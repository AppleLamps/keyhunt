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ucas\Downloads\"/>
    </mc:Choice>
  </mc:AlternateContent>
  <xr:revisionPtr revIDLastSave="0" documentId="13_ncr:9_{F3F5FE80-14E9-4ED4-A5F4-D1BBDEEB0376}" xr6:coauthVersionLast="47" xr6:coauthVersionMax="47" xr10:uidLastSave="{00000000-0000-0000-0000-000000000000}"/>
  <bookViews>
    <workbookView xWindow="1230" yWindow="2190" windowWidth="37050" windowHeight="15345" activeTab="3" xr2:uid="{77EF075C-2C38-4742-9A7A-E4F5409AC35A}"/>
  </bookViews>
  <sheets>
    <sheet name="puzzle-all" sheetId="1" r:id="rId1"/>
    <sheet name="Key Analysis" sheetId="2" r:id="rId2"/>
    <sheet name="Bit Heatmap" sheetId="3" r:id="rId3"/>
    <sheet name="Summary" sheetId="4" r:id="rId4"/>
  </sheets>
  <definedNames>
    <definedName name="BASE2DEC" comment="Converts a hex (base 16) or binary (base 2) text string to an exact decimal text string (up to 42 digits)">_xlfn.LAMBDA(_xlpm.s,_xlpm.base,_xlfn.LET(_xlpm.M,1000000,_xlpm.dg,SEARCH(MID(_xlpm.s,_xlfn.SEQUENCE(LEN(_xlpm.s)),1),"0123456789abcdef")-1,_xlpm.L,_xlfn.REDUCE(_xlfn.SEQUENCE(7,1,0,0),_xlpm.dg,_xlfn.LAMBDA(_xlpm.L0,_xlpm.d,_xlfn.LET(_xlpm.x,_xlpm.L0*_xlpm.base+(_xlfn.SEQUENCE(7)=1)*_xlpm.d,_xlfn.REDUCE(_xlpm.x,_xlfn.SEQUENCE(7),_xlfn.LAMBDA(_xlpm.a,_xlpm.k,_xlfn.LET(_xlpm.c,INT(_xlpm.a/_xlpm.M),_xlpm.a-_xlpm.c*_xlpm.M+_xlfn.VSTACK(0,_xlfn.DROP(_xlpm.c,-1)))))))),_xlpm.t,_xlfn.TEXTJOIN("",,TEXT(_xlfn.SORTBY(_xlpm.L,_xlfn.SEQUENCE(7),-1),"000000")),MID(_xlpm.t,IFERROR(MATCH(TRUE,INDEX(MID(_xlpm.t,_xlfn.SEQUENCE(42),1)&lt;&gt;"0",0),0),42),50)))</definedName>
    <definedName name="BIGADD" comment="Exact decimal-text addition (up to 42 digits)">_xlfn.LAMBDA(_xlpm.a,_xlpm.b,BIGTEXT(BIGNORM(BIGLIMBS(_xlpm.a)+BIGLIMBS(_xlpm.b))))</definedName>
    <definedName name="BIGLIMBS" comment="Helper for exact big-number arithmetic">_xlfn.LAMBDA(_xlpm.s,VALUE(MID(REPT("0",42-LEN(_xlpm.s))&amp;_xlpm.s,_xlfn.SEQUENCE(7,,1,6),6)))</definedName>
    <definedName name="BIGNORM" comment="Helper for exact big-number arithmetic">_xlfn.LAMBDA(_xlpm.v,_xlfn.REDUCE(_xlpm.v,_xlfn.SEQUENCE(7),_xlfn.LAMBDA(_xlpm.a,_xlpm.k,_xlfn.LET(_xlpm.c,INT(_xlpm.a/1000000),_xlpm.a-_xlpm.c*1000000+_xlfn.VSTACK(_xlfn.DROP(_xlpm.c,1),0)))))</definedName>
    <definedName name="BIGSUB" comment="Exact decimal-text subtraction a-b (up to 42 digits, signed result)">_xlfn.LAMBDA(_xlpm.a,_xlpm.b,_xlfn.LET(_xlpm.pa,REPT("0",42-LEN(_xlpm.a))&amp;_xlpm.a,_xlpm.pb,REPT("0",42-LEN(_xlpm.b))&amp;_xlpm.b,_xlpm.neg,_xlpm.pa&lt;_xlpm.pb,_xlpm.x,IF(_xlpm.neg,_xlpm.b,_xlpm.a),_xlpm.y,IF(_xlpm.neg,_xlpm.a,_xlpm.b),_xlpm.t,BIGTEXT(BIGNORM(BIGLIMBS(_xlpm.x)-BIGLIMBS(_xlpm.y))),IF(AND(_xlpm.neg,_xlpm.t&lt;&gt;"0"),"-","")&amp;_xlpm.t))</definedName>
    <definedName name="BIGTEXT" comment="Helper for exact big-number arithmetic">_xlfn.LAMBDA(_xlpm.v,_xlfn.LET(_xlpm.t,_xlfn.TEXTJOIN("",,TEXT(_xlpm.v,"000000")),MID(_xlpm.t,IFERROR(MATCH(TRUE,INDEX(MID(_xlpm.t,_xlfn.SEQUENCE(42),1)&lt;&gt;"0",0),0),42),50)))</definedName>
    <definedName name="SECP256K1_ORDER" comment="secp256k1 group order n, approximate (15 significant digits) - used only for the key/n ratio">1.15792089237316E+77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C25" i="4"/>
  <c r="C26" i="4"/>
  <c r="C27" i="4"/>
  <c r="C28" i="4"/>
  <c r="C29" i="4"/>
  <c r="C30" i="4"/>
  <c r="C31" i="4"/>
  <c r="C32" i="4"/>
  <c r="C33" i="4"/>
  <c r="C34" i="4"/>
  <c r="B21" i="4" a="1"/>
  <c r="B20" i="4" a="1"/>
  <c r="C19" i="4"/>
  <c r="B9" i="4"/>
  <c r="B8" i="4"/>
  <c r="B7" i="4"/>
  <c r="C7" i="4"/>
  <c r="B6" i="4"/>
  <c r="F2" i="4"/>
  <c r="H2" i="4" s="1"/>
  <c r="G2" i="4"/>
  <c r="I2" i="4"/>
  <c r="F3" i="4"/>
  <c r="H3" i="4" s="1"/>
  <c r="G3" i="4"/>
  <c r="I3" i="4"/>
  <c r="F4" i="4"/>
  <c r="H4" i="4" s="1"/>
  <c r="G4" i="4"/>
  <c r="I4" i="4"/>
  <c r="F5" i="4"/>
  <c r="G5" i="4"/>
  <c r="H5" i="4"/>
  <c r="I5" i="4"/>
  <c r="F6" i="4"/>
  <c r="G6" i="4"/>
  <c r="H6" i="4"/>
  <c r="I6" i="4"/>
  <c r="F7" i="4"/>
  <c r="H7" i="4" s="1"/>
  <c r="G7" i="4"/>
  <c r="I7" i="4"/>
  <c r="F8" i="4"/>
  <c r="G8" i="4"/>
  <c r="H8" i="4"/>
  <c r="I8" i="4"/>
  <c r="F9" i="4"/>
  <c r="G9" i="4"/>
  <c r="H9" i="4"/>
  <c r="I9" i="4"/>
  <c r="F10" i="4"/>
  <c r="G10" i="4"/>
  <c r="H10" i="4"/>
  <c r="I10" i="4"/>
  <c r="F11" i="4"/>
  <c r="H11" i="4" s="1"/>
  <c r="G11" i="4"/>
  <c r="I11" i="4"/>
  <c r="F12" i="4"/>
  <c r="G12" i="4"/>
  <c r="H12" i="4"/>
  <c r="I12" i="4"/>
  <c r="F13" i="4"/>
  <c r="G13" i="4"/>
  <c r="H13" i="4"/>
  <c r="I13" i="4"/>
  <c r="F14" i="4"/>
  <c r="G14" i="4"/>
  <c r="H14" i="4"/>
  <c r="I14" i="4"/>
  <c r="F15" i="4"/>
  <c r="H15" i="4" s="1"/>
  <c r="G15" i="4"/>
  <c r="I15" i="4"/>
  <c r="F16" i="4"/>
  <c r="G16" i="4"/>
  <c r="H16" i="4"/>
  <c r="I16" i="4"/>
  <c r="F17" i="4"/>
  <c r="H17" i="4" s="1"/>
  <c r="G17" i="4"/>
  <c r="I17" i="4"/>
  <c r="F18" i="4"/>
  <c r="G18" i="4"/>
  <c r="H18" i="4"/>
  <c r="I18" i="4"/>
  <c r="F19" i="4"/>
  <c r="H19" i="4" s="1"/>
  <c r="G19" i="4"/>
  <c r="I19" i="4"/>
  <c r="F20" i="4"/>
  <c r="G20" i="4"/>
  <c r="H20" i="4"/>
  <c r="I20" i="4"/>
  <c r="F21" i="4"/>
  <c r="H21" i="4" s="1"/>
  <c r="G21" i="4"/>
  <c r="I21" i="4"/>
  <c r="F22" i="4"/>
  <c r="H22" i="4" s="1"/>
  <c r="G22" i="4"/>
  <c r="I22" i="4"/>
  <c r="F23" i="4"/>
  <c r="G23" i="4"/>
  <c r="H23" i="4"/>
  <c r="I23" i="4"/>
  <c r="F24" i="4"/>
  <c r="G24" i="4"/>
  <c r="H24" i="4"/>
  <c r="I24" i="4"/>
  <c r="F25" i="4"/>
  <c r="H25" i="4" s="1"/>
  <c r="G25" i="4"/>
  <c r="I25" i="4"/>
  <c r="F26" i="4"/>
  <c r="G26" i="4"/>
  <c r="H26" i="4"/>
  <c r="I26" i="4"/>
  <c r="F27" i="4"/>
  <c r="H27" i="4" s="1"/>
  <c r="G27" i="4"/>
  <c r="I27" i="4"/>
  <c r="F28" i="4"/>
  <c r="G28" i="4"/>
  <c r="H28" i="4"/>
  <c r="I28" i="4"/>
  <c r="F29" i="4"/>
  <c r="H29" i="4" s="1"/>
  <c r="G29" i="4"/>
  <c r="I29" i="4"/>
  <c r="F30" i="4"/>
  <c r="G30" i="4"/>
  <c r="H30" i="4"/>
  <c r="I30" i="4"/>
  <c r="F31" i="4"/>
  <c r="H31" i="4" s="1"/>
  <c r="G31" i="4"/>
  <c r="I31" i="4"/>
  <c r="F32" i="4"/>
  <c r="H32" i="4" s="1"/>
  <c r="G32" i="4"/>
  <c r="I32" i="4"/>
  <c r="F33" i="4"/>
  <c r="H33" i="4" s="1"/>
  <c r="G33" i="4"/>
  <c r="I33" i="4"/>
  <c r="F34" i="4"/>
  <c r="H34" i="4" s="1"/>
  <c r="G34" i="4"/>
  <c r="I34" i="4"/>
  <c r="F35" i="4"/>
  <c r="H35" i="4" s="1"/>
  <c r="G35" i="4"/>
  <c r="I35" i="4"/>
  <c r="F36" i="4"/>
  <c r="G36" i="4"/>
  <c r="H36" i="4"/>
  <c r="I36" i="4"/>
  <c r="F37" i="4"/>
  <c r="H37" i="4" s="1"/>
  <c r="G37" i="4"/>
  <c r="I37" i="4"/>
  <c r="F38" i="4"/>
  <c r="H38" i="4" s="1"/>
  <c r="G38" i="4"/>
  <c r="I38" i="4"/>
  <c r="F39" i="4"/>
  <c r="G39" i="4"/>
  <c r="H39" i="4"/>
  <c r="I39" i="4"/>
  <c r="F40" i="4"/>
  <c r="G40" i="4"/>
  <c r="H40" i="4"/>
  <c r="I40" i="4"/>
  <c r="F41" i="4"/>
  <c r="H41" i="4" s="1"/>
  <c r="G41" i="4"/>
  <c r="I41" i="4"/>
  <c r="F42" i="4"/>
  <c r="G42" i="4"/>
  <c r="H42" i="4"/>
  <c r="I42" i="4"/>
  <c r="F43" i="4"/>
  <c r="G43" i="4"/>
  <c r="H43" i="4"/>
  <c r="I43" i="4"/>
  <c r="F44" i="4"/>
  <c r="H44" i="4" s="1"/>
  <c r="G44" i="4"/>
  <c r="I44" i="4"/>
  <c r="F45" i="4"/>
  <c r="H45" i="4" s="1"/>
  <c r="G45" i="4"/>
  <c r="I45" i="4"/>
  <c r="F46" i="4"/>
  <c r="H46" i="4" s="1"/>
  <c r="G46" i="4"/>
  <c r="I46" i="4"/>
  <c r="F47" i="4"/>
  <c r="H47" i="4" s="1"/>
  <c r="G47" i="4"/>
  <c r="I47" i="4"/>
  <c r="F48" i="4"/>
  <c r="H48" i="4" s="1"/>
  <c r="G48" i="4"/>
  <c r="I48" i="4"/>
  <c r="F49" i="4"/>
  <c r="G49" i="4"/>
  <c r="H49" i="4"/>
  <c r="I49" i="4"/>
  <c r="F50" i="4"/>
  <c r="H50" i="4" s="1"/>
  <c r="G50" i="4"/>
  <c r="I50" i="4"/>
  <c r="F51" i="4"/>
  <c r="G51" i="4"/>
  <c r="H51" i="4"/>
  <c r="I51" i="4"/>
  <c r="F52" i="4"/>
  <c r="G52" i="4"/>
  <c r="H52" i="4"/>
  <c r="I52" i="4"/>
  <c r="F53" i="4"/>
  <c r="H53" i="4" s="1"/>
  <c r="G53" i="4"/>
  <c r="I53" i="4"/>
  <c r="F54" i="4"/>
  <c r="H54" i="4" s="1"/>
  <c r="G54" i="4"/>
  <c r="I54" i="4"/>
  <c r="F55" i="4"/>
  <c r="H55" i="4" s="1"/>
  <c r="G55" i="4"/>
  <c r="I55" i="4"/>
  <c r="F56" i="4"/>
  <c r="G56" i="4"/>
  <c r="H56" i="4"/>
  <c r="I56" i="4"/>
  <c r="F57" i="4"/>
  <c r="G57" i="4"/>
  <c r="H57" i="4"/>
  <c r="I57" i="4"/>
  <c r="F58" i="4"/>
  <c r="G58" i="4"/>
  <c r="H58" i="4"/>
  <c r="I58" i="4"/>
  <c r="F59" i="4"/>
  <c r="H59" i="4" s="1"/>
  <c r="G59" i="4"/>
  <c r="I59" i="4"/>
  <c r="F60" i="4"/>
  <c r="G60" i="4"/>
  <c r="H60" i="4"/>
  <c r="I60" i="4"/>
  <c r="F61" i="4"/>
  <c r="H61" i="4" s="1"/>
  <c r="G61" i="4"/>
  <c r="I61" i="4"/>
  <c r="F62" i="4"/>
  <c r="G62" i="4"/>
  <c r="H62" i="4"/>
  <c r="I62" i="4"/>
  <c r="F63" i="4"/>
  <c r="G63" i="4"/>
  <c r="H63" i="4"/>
  <c r="I63" i="4"/>
  <c r="F64" i="4"/>
  <c r="H64" i="4" s="1"/>
  <c r="G64" i="4"/>
  <c r="I64" i="4"/>
  <c r="F65" i="4"/>
  <c r="H65" i="4" s="1"/>
  <c r="G65" i="4"/>
  <c r="I65" i="4"/>
  <c r="F66" i="4"/>
  <c r="G66" i="4"/>
  <c r="H66" i="4"/>
  <c r="I66" i="4"/>
  <c r="F67" i="4"/>
  <c r="H67" i="4" s="1"/>
  <c r="G67" i="4"/>
  <c r="I67" i="4"/>
  <c r="F68" i="4"/>
  <c r="G68" i="4"/>
  <c r="H68" i="4"/>
  <c r="I68" i="4"/>
  <c r="F69" i="4"/>
  <c r="G69" i="4"/>
  <c r="H69" i="4"/>
  <c r="I69" i="4"/>
  <c r="F70" i="4"/>
  <c r="H70" i="4" s="1"/>
  <c r="G70" i="4"/>
  <c r="I70" i="4"/>
  <c r="F71" i="4"/>
  <c r="G71" i="4"/>
  <c r="H71" i="4"/>
  <c r="I71" i="4"/>
  <c r="F72" i="4"/>
  <c r="H72" i="4" s="1"/>
  <c r="G72" i="4"/>
  <c r="I72" i="4"/>
  <c r="F73" i="4"/>
  <c r="H73" i="4" s="1"/>
  <c r="G73" i="4"/>
  <c r="I73" i="4"/>
  <c r="F74" i="4"/>
  <c r="G74" i="4"/>
  <c r="H74" i="4"/>
  <c r="I74" i="4"/>
  <c r="F75" i="4"/>
  <c r="G75" i="4"/>
  <c r="H75" i="4"/>
  <c r="I75" i="4"/>
  <c r="F76" i="4"/>
  <c r="H76" i="4" s="1"/>
  <c r="G76" i="4"/>
  <c r="I76" i="4"/>
  <c r="F77" i="4"/>
  <c r="G77" i="4"/>
  <c r="H77" i="4"/>
  <c r="I77" i="4"/>
  <c r="F78" i="4"/>
  <c r="G78" i="4"/>
  <c r="H78" i="4"/>
  <c r="I78" i="4"/>
  <c r="F79" i="4"/>
  <c r="G79" i="4"/>
  <c r="H79" i="4"/>
  <c r="I79" i="4"/>
  <c r="F80" i="4"/>
  <c r="G80" i="4"/>
  <c r="H80" i="4"/>
  <c r="I80" i="4"/>
  <c r="F81" i="4"/>
  <c r="H81" i="4" s="1"/>
  <c r="G81" i="4"/>
  <c r="I81" i="4"/>
  <c r="F82" i="4"/>
  <c r="G82" i="4"/>
  <c r="H82" i="4"/>
  <c r="I82" i="4"/>
  <c r="F83" i="4"/>
  <c r="G83" i="4"/>
  <c r="H83" i="4"/>
  <c r="I83" i="4"/>
  <c r="F84" i="4"/>
  <c r="G84" i="4"/>
  <c r="H84" i="4"/>
  <c r="I84" i="4"/>
  <c r="F85" i="4"/>
  <c r="G85" i="4"/>
  <c r="H85" i="4"/>
  <c r="I85" i="4"/>
  <c r="F86" i="4"/>
  <c r="G86" i="4"/>
  <c r="H86" i="4"/>
  <c r="I86" i="4"/>
  <c r="F87" i="4"/>
  <c r="G87" i="4"/>
  <c r="H87" i="4"/>
  <c r="I87" i="4"/>
  <c r="F88" i="4"/>
  <c r="G88" i="4"/>
  <c r="H88" i="4"/>
  <c r="I88" i="4"/>
  <c r="F89" i="4"/>
  <c r="G89" i="4"/>
  <c r="H89" i="4"/>
  <c r="I89" i="4"/>
  <c r="F90" i="4"/>
  <c r="G90" i="4"/>
  <c r="H90" i="4"/>
  <c r="I90" i="4"/>
  <c r="F91" i="4"/>
  <c r="H91" i="4" s="1"/>
  <c r="G91" i="4"/>
  <c r="I91" i="4"/>
  <c r="F92" i="4"/>
  <c r="G92" i="4"/>
  <c r="H92" i="4"/>
  <c r="I92" i="4"/>
  <c r="F93" i="4"/>
  <c r="G93" i="4"/>
  <c r="H93" i="4"/>
  <c r="I93" i="4"/>
  <c r="F94" i="4"/>
  <c r="H94" i="4" s="1"/>
  <c r="G94" i="4"/>
  <c r="I94" i="4"/>
  <c r="F95" i="4"/>
  <c r="H95" i="4" s="1"/>
  <c r="G95" i="4"/>
  <c r="I95" i="4"/>
  <c r="F96" i="4"/>
  <c r="H96" i="4" s="1"/>
  <c r="G96" i="4"/>
  <c r="I96" i="4"/>
  <c r="F97" i="4"/>
  <c r="G97" i="4"/>
  <c r="H97" i="4"/>
  <c r="I97" i="4"/>
  <c r="F98" i="4"/>
  <c r="G98" i="4"/>
  <c r="H98" i="4"/>
  <c r="I98" i="4"/>
  <c r="F99" i="4"/>
  <c r="G99" i="4"/>
  <c r="H99" i="4"/>
  <c r="I99" i="4"/>
  <c r="F100" i="4"/>
  <c r="G100" i="4"/>
  <c r="H100" i="4"/>
  <c r="I100" i="4"/>
  <c r="F101" i="4"/>
  <c r="G101" i="4"/>
  <c r="H101" i="4"/>
  <c r="I101" i="4"/>
  <c r="F102" i="4"/>
  <c r="H102" i="4" s="1"/>
  <c r="G102" i="4"/>
  <c r="I102" i="4"/>
  <c r="F103" i="4"/>
  <c r="G103" i="4"/>
  <c r="H103" i="4"/>
  <c r="I103" i="4"/>
  <c r="F104" i="4"/>
  <c r="H104" i="4" s="1"/>
  <c r="G104" i="4"/>
  <c r="I104" i="4"/>
  <c r="F105" i="4"/>
  <c r="G105" i="4"/>
  <c r="H105" i="4"/>
  <c r="I105" i="4"/>
  <c r="F106" i="4"/>
  <c r="H106" i="4" s="1"/>
  <c r="G106" i="4"/>
  <c r="I106" i="4"/>
  <c r="F107" i="4"/>
  <c r="H107" i="4" s="1"/>
  <c r="G107" i="4"/>
  <c r="I107" i="4"/>
  <c r="F108" i="4"/>
  <c r="H108" i="4" s="1"/>
  <c r="G108" i="4"/>
  <c r="I108" i="4"/>
  <c r="F109" i="4"/>
  <c r="G109" i="4"/>
  <c r="H109" i="4"/>
  <c r="I109" i="4"/>
  <c r="F110" i="4"/>
  <c r="H110" i="4" s="1"/>
  <c r="G110" i="4"/>
  <c r="I110" i="4"/>
  <c r="F111" i="4"/>
  <c r="G111" i="4"/>
  <c r="H111" i="4"/>
  <c r="I111" i="4"/>
  <c r="F112" i="4"/>
  <c r="G112" i="4"/>
  <c r="H112" i="4"/>
  <c r="I112" i="4"/>
  <c r="F113" i="4"/>
  <c r="H113" i="4" s="1"/>
  <c r="G113" i="4"/>
  <c r="I113" i="4"/>
  <c r="F114" i="4"/>
  <c r="H114" i="4" s="1"/>
  <c r="G114" i="4"/>
  <c r="I114" i="4"/>
  <c r="F115" i="4"/>
  <c r="G115" i="4"/>
  <c r="H115" i="4"/>
  <c r="I115" i="4"/>
  <c r="F116" i="4"/>
  <c r="G116" i="4"/>
  <c r="H116" i="4"/>
  <c r="I116" i="4"/>
  <c r="F117" i="4"/>
  <c r="G117" i="4"/>
  <c r="H117" i="4"/>
  <c r="I117" i="4"/>
  <c r="F118" i="4"/>
  <c r="G118" i="4"/>
  <c r="H118" i="4"/>
  <c r="I118" i="4"/>
  <c r="F119" i="4"/>
  <c r="H119" i="4" s="1"/>
  <c r="G119" i="4"/>
  <c r="I119" i="4"/>
  <c r="F120" i="4"/>
  <c r="G120" i="4"/>
  <c r="H120" i="4"/>
  <c r="I120" i="4"/>
  <c r="F121" i="4"/>
  <c r="G121" i="4"/>
  <c r="H121" i="4"/>
  <c r="I121" i="4"/>
  <c r="F122" i="4"/>
  <c r="G122" i="4"/>
  <c r="H122" i="4"/>
  <c r="I122" i="4"/>
  <c r="F123" i="4"/>
  <c r="G123" i="4"/>
  <c r="H123" i="4"/>
  <c r="I123" i="4"/>
  <c r="F124" i="4"/>
  <c r="H124" i="4" s="1"/>
  <c r="G124" i="4"/>
  <c r="I124" i="4"/>
  <c r="F125" i="4"/>
  <c r="G125" i="4"/>
  <c r="H125" i="4"/>
  <c r="I125" i="4"/>
  <c r="F126" i="4"/>
  <c r="H126" i="4" s="1"/>
  <c r="G126" i="4"/>
  <c r="I126" i="4"/>
  <c r="F127" i="4"/>
  <c r="H127" i="4" s="1"/>
  <c r="G127" i="4"/>
  <c r="I127" i="4"/>
  <c r="F128" i="4"/>
  <c r="G128" i="4"/>
  <c r="H128" i="4"/>
  <c r="I128" i="4"/>
  <c r="F129" i="4"/>
  <c r="G129" i="4"/>
  <c r="H129" i="4"/>
  <c r="I129" i="4"/>
  <c r="F130" i="4"/>
  <c r="G130" i="4"/>
  <c r="H130" i="4"/>
  <c r="I130" i="4"/>
  <c r="F131" i="4"/>
  <c r="H131" i="4" s="1"/>
  <c r="G131" i="4"/>
  <c r="I131" i="4"/>
  <c r="F132" i="4"/>
  <c r="H132" i="4" s="1"/>
  <c r="G132" i="4"/>
  <c r="I132" i="4"/>
  <c r="F133" i="4"/>
  <c r="G133" i="4"/>
  <c r="H133" i="4"/>
  <c r="I133" i="4"/>
  <c r="F134" i="4"/>
  <c r="G134" i="4"/>
  <c r="H134" i="4"/>
  <c r="I134" i="4"/>
  <c r="F135" i="4"/>
  <c r="H135" i="4" s="1"/>
  <c r="G135" i="4"/>
  <c r="I135" i="4"/>
  <c r="F136" i="4"/>
  <c r="H136" i="4" s="1"/>
  <c r="G136" i="4"/>
  <c r="I136" i="4"/>
  <c r="F137" i="4"/>
  <c r="G137" i="4"/>
  <c r="H137" i="4"/>
  <c r="I137" i="4"/>
  <c r="F138" i="4"/>
  <c r="H138" i="4" s="1"/>
  <c r="G138" i="4"/>
  <c r="I138" i="4"/>
  <c r="F139" i="4"/>
  <c r="H139" i="4" s="1"/>
  <c r="G139" i="4"/>
  <c r="I139" i="4"/>
  <c r="F140" i="4"/>
  <c r="H140" i="4" s="1"/>
  <c r="G140" i="4"/>
  <c r="I140" i="4"/>
  <c r="F141" i="4"/>
  <c r="H141" i="4" s="1"/>
  <c r="G141" i="4"/>
  <c r="I141" i="4"/>
  <c r="F142" i="4"/>
  <c r="G142" i="4"/>
  <c r="H142" i="4"/>
  <c r="I142" i="4"/>
  <c r="F143" i="4"/>
  <c r="G143" i="4"/>
  <c r="H143" i="4"/>
  <c r="I143" i="4"/>
  <c r="F144" i="4"/>
  <c r="G144" i="4"/>
  <c r="H144" i="4"/>
  <c r="I144" i="4"/>
  <c r="F145" i="4"/>
  <c r="H145" i="4" s="1"/>
  <c r="G145" i="4"/>
  <c r="I145" i="4"/>
  <c r="F146" i="4"/>
  <c r="H146" i="4" s="1"/>
  <c r="G146" i="4"/>
  <c r="I146" i="4"/>
  <c r="F147" i="4"/>
  <c r="H147" i="4" s="1"/>
  <c r="G147" i="4"/>
  <c r="I147" i="4"/>
  <c r="F148" i="4"/>
  <c r="G148" i="4"/>
  <c r="H148" i="4"/>
  <c r="I148" i="4"/>
  <c r="F149" i="4"/>
  <c r="H149" i="4" s="1"/>
  <c r="G149" i="4"/>
  <c r="I149" i="4"/>
  <c r="F150" i="4"/>
  <c r="H150" i="4" s="1"/>
  <c r="G150" i="4"/>
  <c r="I150" i="4"/>
  <c r="F151" i="4"/>
  <c r="H151" i="4" s="1"/>
  <c r="G151" i="4"/>
  <c r="I151" i="4"/>
  <c r="F152" i="4"/>
  <c r="G152" i="4"/>
  <c r="H152" i="4"/>
  <c r="I152" i="4"/>
  <c r="F153" i="4"/>
  <c r="H153" i="4" s="1"/>
  <c r="G153" i="4"/>
  <c r="I153" i="4"/>
  <c r="F154" i="4"/>
  <c r="G154" i="4"/>
  <c r="H154" i="4"/>
  <c r="I154" i="4"/>
  <c r="F155" i="4"/>
  <c r="H155" i="4" s="1"/>
  <c r="G155" i="4"/>
  <c r="I155" i="4"/>
  <c r="F156" i="4"/>
  <c r="H156" i="4" s="1"/>
  <c r="G156" i="4"/>
  <c r="I156" i="4"/>
  <c r="F157" i="4"/>
  <c r="H157" i="4" s="1"/>
  <c r="G157" i="4"/>
  <c r="I157" i="4"/>
  <c r="F158" i="4"/>
  <c r="H158" i="4" s="1"/>
  <c r="G158" i="4"/>
  <c r="I158" i="4"/>
  <c r="F159" i="4"/>
  <c r="G159" i="4"/>
  <c r="H159" i="4"/>
  <c r="I159" i="4"/>
  <c r="F160" i="4"/>
  <c r="H160" i="4" s="1"/>
  <c r="G160" i="4"/>
  <c r="I160" i="4"/>
  <c r="F161" i="4"/>
  <c r="G161" i="4"/>
  <c r="H161" i="4"/>
  <c r="I161" i="4"/>
  <c r="B25" i="4"/>
  <c r="D25" i="4"/>
  <c r="B35" i="4" s="1"/>
  <c r="B36" i="4" s="1"/>
  <c r="B26" i="4"/>
  <c r="D26" i="4"/>
  <c r="B27" i="4"/>
  <c r="D27" i="4" s="1"/>
  <c r="B28" i="4"/>
  <c r="D28" i="4" s="1"/>
  <c r="B29" i="4"/>
  <c r="D29" i="4" s="1"/>
  <c r="B30" i="4"/>
  <c r="D30" i="4" s="1"/>
  <c r="B31" i="4"/>
  <c r="D31" i="4" s="1"/>
  <c r="B32" i="4"/>
  <c r="D32" i="4" s="1"/>
  <c r="B33" i="4"/>
  <c r="D33" i="4" s="1"/>
  <c r="B34" i="4"/>
  <c r="D34" i="4" s="1"/>
  <c r="C3" i="3"/>
  <c r="D3"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AW3" i="3"/>
  <c r="AX3" i="3"/>
  <c r="AY3" i="3"/>
  <c r="AZ3" i="3"/>
  <c r="BA3" i="3"/>
  <c r="BB3" i="3"/>
  <c r="BC3" i="3"/>
  <c r="BD3" i="3"/>
  <c r="BE3" i="3"/>
  <c r="BF3" i="3"/>
  <c r="BG3" i="3"/>
  <c r="BH3" i="3"/>
  <c r="BI3" i="3"/>
  <c r="BJ3" i="3"/>
  <c r="BK3" i="3"/>
  <c r="BL3" i="3"/>
  <c r="BM3" i="3"/>
  <c r="BN3" i="3"/>
  <c r="BO3" i="3"/>
  <c r="BP3" i="3"/>
  <c r="BQ3" i="3"/>
  <c r="BR3" i="3"/>
  <c r="BS3" i="3"/>
  <c r="BT3" i="3"/>
  <c r="BU3" i="3"/>
  <c r="BV3" i="3"/>
  <c r="BW3" i="3"/>
  <c r="BX3" i="3"/>
  <c r="BY3" i="3"/>
  <c r="BZ3" i="3"/>
  <c r="CA3" i="3"/>
  <c r="CB3" i="3"/>
  <c r="CC3" i="3"/>
  <c r="CD3" i="3"/>
  <c r="CE3" i="3"/>
  <c r="CF3" i="3"/>
  <c r="CG3" i="3"/>
  <c r="CH3" i="3"/>
  <c r="CI3" i="3"/>
  <c r="CJ3" i="3"/>
  <c r="CK3" i="3"/>
  <c r="CL3" i="3"/>
  <c r="CM3" i="3"/>
  <c r="CN3" i="3"/>
  <c r="CO3" i="3"/>
  <c r="CP3" i="3"/>
  <c r="CQ3" i="3"/>
  <c r="CR3" i="3"/>
  <c r="CS3" i="3"/>
  <c r="CT3" i="3"/>
  <c r="CU3" i="3"/>
  <c r="CV3" i="3"/>
  <c r="CW3" i="3"/>
  <c r="CX3" i="3"/>
  <c r="CY3" i="3"/>
  <c r="CZ3" i="3"/>
  <c r="DA3" i="3"/>
  <c r="DB3" i="3"/>
  <c r="DC3" i="3"/>
  <c r="DD3" i="3"/>
  <c r="DE3" i="3"/>
  <c r="DF3" i="3"/>
  <c r="DG3" i="3"/>
  <c r="DH3" i="3"/>
  <c r="DI3" i="3"/>
  <c r="DJ3" i="3"/>
  <c r="DK3" i="3"/>
  <c r="DL3" i="3"/>
  <c r="DM3" i="3"/>
  <c r="DN3" i="3"/>
  <c r="DO3" i="3"/>
  <c r="DP3" i="3"/>
  <c r="DQ3" i="3"/>
  <c r="DR3" i="3"/>
  <c r="DS3" i="3"/>
  <c r="DT3" i="3"/>
  <c r="DU3" i="3"/>
  <c r="DV3" i="3"/>
  <c r="DW3" i="3"/>
  <c r="DX3" i="3"/>
  <c r="DY3" i="3"/>
  <c r="DZ3" i="3"/>
  <c r="EA3" i="3"/>
  <c r="EB3" i="3"/>
  <c r="EC3" i="3"/>
  <c r="ED3" i="3"/>
  <c r="EE3" i="3"/>
  <c r="EF3" i="3"/>
  <c r="EG3" i="3"/>
  <c r="EI3" i="3"/>
  <c r="EJ3" i="3"/>
  <c r="EK3" i="3"/>
  <c r="EL3" i="3"/>
  <c r="EM3" i="3"/>
  <c r="EN3" i="3"/>
  <c r="EO3" i="3"/>
  <c r="EP3" i="3"/>
  <c r="EQ3" i="3"/>
  <c r="ER3" i="3"/>
  <c r="ES3" i="3"/>
  <c r="ET3" i="3"/>
  <c r="EU3" i="3"/>
  <c r="EV3" i="3"/>
  <c r="EW3" i="3"/>
  <c r="EX3" i="3"/>
  <c r="EY3" i="3"/>
  <c r="EZ3" i="3"/>
  <c r="FA3" i="3"/>
  <c r="FB3" i="3"/>
  <c r="FC3" i="3"/>
  <c r="FD3" i="3"/>
  <c r="FE3" i="3"/>
  <c r="FF3" i="3"/>
  <c r="FG3" i="3"/>
  <c r="FH3" i="3"/>
  <c r="FI3" i="3"/>
  <c r="FJ3" i="3"/>
  <c r="FK3" i="3"/>
  <c r="FL3" i="3"/>
  <c r="FM3" i="3"/>
  <c r="FN3" i="3"/>
  <c r="FO3" i="3"/>
  <c r="FP3" i="3"/>
  <c r="FQ3" i="3"/>
  <c r="FR3" i="3"/>
  <c r="FS3" i="3"/>
  <c r="FT3" i="3"/>
  <c r="FU3" i="3"/>
  <c r="FV3" i="3"/>
  <c r="FW3" i="3"/>
  <c r="FX3" i="3"/>
  <c r="FY3" i="3"/>
  <c r="FZ3" i="3"/>
  <c r="GA3" i="3"/>
  <c r="GB3" i="3"/>
  <c r="GC3" i="3"/>
  <c r="GD3" i="3"/>
  <c r="GE3" i="3"/>
  <c r="GF3" i="3"/>
  <c r="GG3" i="3"/>
  <c r="GH3" i="3"/>
  <c r="GI3" i="3"/>
  <c r="GJ3" i="3"/>
  <c r="GK3" i="3"/>
  <c r="GL3" i="3"/>
  <c r="GM3" i="3"/>
  <c r="GN3" i="3"/>
  <c r="GO3" i="3"/>
  <c r="GP3" i="3"/>
  <c r="GQ3" i="3"/>
  <c r="GR3" i="3"/>
  <c r="GS3" i="3"/>
  <c r="GT3" i="3"/>
  <c r="GU3" i="3"/>
  <c r="GV3" i="3"/>
  <c r="GW3" i="3"/>
  <c r="GX3" i="3"/>
  <c r="GY3" i="3"/>
  <c r="GZ3" i="3"/>
  <c r="HA3" i="3"/>
  <c r="HB3" i="3"/>
  <c r="HC3" i="3"/>
  <c r="HD3" i="3"/>
  <c r="HE3" i="3"/>
  <c r="HF3" i="3"/>
  <c r="HG3" i="3"/>
  <c r="HH3" i="3"/>
  <c r="HI3" i="3"/>
  <c r="HJ3" i="3"/>
  <c r="HK3" i="3"/>
  <c r="HL3" i="3"/>
  <c r="HM3" i="3"/>
  <c r="HN3" i="3"/>
  <c r="HO3" i="3"/>
  <c r="HP3" i="3"/>
  <c r="HQ3" i="3"/>
  <c r="HR3" i="3"/>
  <c r="HS3" i="3"/>
  <c r="HT3" i="3"/>
  <c r="HU3" i="3"/>
  <c r="HV3" i="3"/>
  <c r="HW3" i="3"/>
  <c r="HX3" i="3"/>
  <c r="HY3" i="3"/>
  <c r="HZ3" i="3"/>
  <c r="IA3" i="3"/>
  <c r="IB3" i="3"/>
  <c r="IC3" i="3"/>
  <c r="ID3" i="3"/>
  <c r="IE3" i="3"/>
  <c r="IF3" i="3"/>
  <c r="IG3" i="3"/>
  <c r="IH3" i="3"/>
  <c r="II3" i="3"/>
  <c r="IJ3" i="3"/>
  <c r="IK3" i="3"/>
  <c r="IL3" i="3"/>
  <c r="IM3" i="3"/>
  <c r="IN3" i="3"/>
  <c r="IO3" i="3"/>
  <c r="IP3" i="3"/>
  <c r="IQ3" i="3"/>
  <c r="IR3" i="3"/>
  <c r="IS3" i="3"/>
  <c r="IT3" i="3"/>
  <c r="IU3" i="3"/>
  <c r="IV3" i="3"/>
  <c r="IW3" i="3"/>
  <c r="IX3" i="3"/>
  <c r="IY3" i="3"/>
  <c r="IZ3" i="3"/>
  <c r="JA3" i="3"/>
  <c r="JB3" i="3"/>
  <c r="JC3" i="3"/>
  <c r="JD3" i="3"/>
  <c r="JE3" i="3"/>
  <c r="JF3" i="3"/>
  <c r="JG3" i="3"/>
  <c r="JH3" i="3"/>
  <c r="JI3" i="3"/>
  <c r="JJ3" i="3"/>
  <c r="JK3" i="3"/>
  <c r="JL3" i="3"/>
  <c r="JM3" i="3"/>
  <c r="C4" i="3"/>
  <c r="D4" i="3"/>
  <c r="E4" i="3"/>
  <c r="E5" i="3" s="1"/>
  <c r="F4" i="3"/>
  <c r="F5" i="3" s="1"/>
  <c r="G4" i="3"/>
  <c r="G5" i="3" s="1"/>
  <c r="H4" i="3"/>
  <c r="H5" i="3" s="1"/>
  <c r="I4" i="3"/>
  <c r="I5" i="3" s="1"/>
  <c r="J4" i="3"/>
  <c r="J5" i="3" s="1"/>
  <c r="K4" i="3"/>
  <c r="K5" i="3" s="1"/>
  <c r="L4" i="3"/>
  <c r="L5" i="3" s="1"/>
  <c r="M4" i="3"/>
  <c r="M5" i="3" s="1"/>
  <c r="N4" i="3"/>
  <c r="N5" i="3" s="1"/>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BN4" i="3"/>
  <c r="BO4" i="3"/>
  <c r="BP4" i="3"/>
  <c r="BQ4" i="3"/>
  <c r="BR4" i="3"/>
  <c r="BS4" i="3"/>
  <c r="BT4" i="3"/>
  <c r="BU4" i="3"/>
  <c r="BV4" i="3"/>
  <c r="BW4" i="3"/>
  <c r="BX4" i="3"/>
  <c r="BY4" i="3"/>
  <c r="BZ4" i="3"/>
  <c r="CA4" i="3"/>
  <c r="CB4" i="3"/>
  <c r="CC4" i="3"/>
  <c r="CD4" i="3"/>
  <c r="CE4" i="3"/>
  <c r="CF4" i="3"/>
  <c r="CG4" i="3"/>
  <c r="CH4" i="3"/>
  <c r="CI4" i="3"/>
  <c r="CJ4" i="3"/>
  <c r="CK4" i="3"/>
  <c r="CL4" i="3"/>
  <c r="CM4" i="3"/>
  <c r="CN4" i="3"/>
  <c r="CO4" i="3"/>
  <c r="CP4" i="3"/>
  <c r="CQ4" i="3"/>
  <c r="CR4" i="3"/>
  <c r="CS4" i="3"/>
  <c r="CT4" i="3"/>
  <c r="CU4" i="3"/>
  <c r="CV4" i="3"/>
  <c r="CW4" i="3"/>
  <c r="CX4" i="3"/>
  <c r="CY4" i="3"/>
  <c r="CZ4" i="3"/>
  <c r="DA4" i="3"/>
  <c r="DB4" i="3"/>
  <c r="DC4" i="3"/>
  <c r="DD4" i="3"/>
  <c r="DE4" i="3"/>
  <c r="DF4" i="3"/>
  <c r="DG4" i="3"/>
  <c r="DH4" i="3"/>
  <c r="DI4" i="3"/>
  <c r="DJ4" i="3"/>
  <c r="DK4" i="3"/>
  <c r="DL4" i="3"/>
  <c r="DM4" i="3"/>
  <c r="DN4" i="3"/>
  <c r="DO4" i="3"/>
  <c r="DP4" i="3"/>
  <c r="DQ4" i="3"/>
  <c r="DR4" i="3"/>
  <c r="DS4" i="3"/>
  <c r="DT4" i="3"/>
  <c r="DU4" i="3"/>
  <c r="DV4" i="3"/>
  <c r="DW4" i="3"/>
  <c r="DX4" i="3"/>
  <c r="DY4" i="3"/>
  <c r="DZ4" i="3"/>
  <c r="EA4" i="3"/>
  <c r="EB4" i="3"/>
  <c r="EC4" i="3"/>
  <c r="ED4" i="3"/>
  <c r="EE4" i="3"/>
  <c r="EF4" i="3"/>
  <c r="EG4" i="3"/>
  <c r="EI4" i="3"/>
  <c r="EJ4" i="3"/>
  <c r="EK4" i="3"/>
  <c r="EL4" i="3"/>
  <c r="EM4" i="3"/>
  <c r="EN4" i="3"/>
  <c r="EO4" i="3"/>
  <c r="EP4" i="3"/>
  <c r="EQ4" i="3"/>
  <c r="ER4" i="3"/>
  <c r="ES4" i="3"/>
  <c r="ET4" i="3"/>
  <c r="EU4" i="3"/>
  <c r="EV4" i="3"/>
  <c r="EW4" i="3"/>
  <c r="EX4" i="3"/>
  <c r="EY4" i="3"/>
  <c r="EZ4" i="3"/>
  <c r="FA4" i="3"/>
  <c r="FB4" i="3"/>
  <c r="FC4" i="3"/>
  <c r="FD4" i="3"/>
  <c r="FE4" i="3"/>
  <c r="FF4" i="3"/>
  <c r="FG4" i="3"/>
  <c r="FH4" i="3"/>
  <c r="FI4" i="3"/>
  <c r="FJ4" i="3"/>
  <c r="FK4" i="3"/>
  <c r="FL4" i="3"/>
  <c r="FM4" i="3"/>
  <c r="FN4" i="3"/>
  <c r="FO4" i="3"/>
  <c r="FP4" i="3"/>
  <c r="FQ4" i="3"/>
  <c r="FR4" i="3"/>
  <c r="FS4" i="3"/>
  <c r="FT4" i="3"/>
  <c r="FU4" i="3"/>
  <c r="FV4" i="3"/>
  <c r="FW4" i="3"/>
  <c r="FX4" i="3"/>
  <c r="FY4" i="3"/>
  <c r="FZ4" i="3"/>
  <c r="GA4" i="3"/>
  <c r="GB4" i="3"/>
  <c r="GC4" i="3"/>
  <c r="GD4" i="3"/>
  <c r="GE4" i="3"/>
  <c r="GF4" i="3"/>
  <c r="GG4" i="3"/>
  <c r="GH4" i="3"/>
  <c r="GI4" i="3"/>
  <c r="GJ4" i="3"/>
  <c r="GK4" i="3"/>
  <c r="GL4" i="3"/>
  <c r="GM4" i="3"/>
  <c r="GN4" i="3"/>
  <c r="GO4" i="3"/>
  <c r="GP4" i="3"/>
  <c r="GQ4" i="3"/>
  <c r="GR4" i="3"/>
  <c r="GS4" i="3"/>
  <c r="GT4" i="3"/>
  <c r="GU4" i="3"/>
  <c r="GV4" i="3"/>
  <c r="GW4" i="3"/>
  <c r="GX4" i="3"/>
  <c r="GY4" i="3"/>
  <c r="GZ4" i="3"/>
  <c r="HA4" i="3"/>
  <c r="HB4" i="3"/>
  <c r="HC4" i="3"/>
  <c r="HD4" i="3"/>
  <c r="HE4" i="3"/>
  <c r="HF4" i="3"/>
  <c r="HG4" i="3"/>
  <c r="HH4" i="3"/>
  <c r="HI4" i="3"/>
  <c r="HJ4" i="3"/>
  <c r="HK4" i="3"/>
  <c r="HL4" i="3"/>
  <c r="HM4" i="3"/>
  <c r="HN4" i="3"/>
  <c r="HO4" i="3"/>
  <c r="HP4" i="3"/>
  <c r="HQ4" i="3"/>
  <c r="HR4" i="3"/>
  <c r="HS4" i="3"/>
  <c r="HT4" i="3"/>
  <c r="HU4" i="3"/>
  <c r="HV4" i="3"/>
  <c r="HW4" i="3"/>
  <c r="HX4" i="3"/>
  <c r="HY4" i="3"/>
  <c r="HZ4" i="3"/>
  <c r="IA4" i="3"/>
  <c r="IB4" i="3"/>
  <c r="IC4" i="3"/>
  <c r="ID4" i="3"/>
  <c r="IE4" i="3"/>
  <c r="IF4" i="3"/>
  <c r="IG4" i="3"/>
  <c r="IH4" i="3"/>
  <c r="II4" i="3"/>
  <c r="IJ4" i="3"/>
  <c r="IK4" i="3"/>
  <c r="IL4" i="3"/>
  <c r="IM4" i="3"/>
  <c r="IN4" i="3"/>
  <c r="IO4" i="3"/>
  <c r="IP4" i="3"/>
  <c r="IQ4" i="3"/>
  <c r="IR4" i="3"/>
  <c r="IS4" i="3"/>
  <c r="IT4" i="3"/>
  <c r="IU4" i="3"/>
  <c r="IV4" i="3"/>
  <c r="IW4" i="3"/>
  <c r="IX4" i="3"/>
  <c r="IY4" i="3"/>
  <c r="IZ4" i="3"/>
  <c r="JA4" i="3"/>
  <c r="JB4" i="3"/>
  <c r="JC4" i="3"/>
  <c r="JD4" i="3"/>
  <c r="JE4" i="3"/>
  <c r="JF4" i="3"/>
  <c r="JG4" i="3"/>
  <c r="JH4" i="3"/>
  <c r="JI4" i="3"/>
  <c r="JJ4" i="3"/>
  <c r="JK4" i="3"/>
  <c r="JL4" i="3"/>
  <c r="JM4" i="3"/>
  <c r="C5" i="3"/>
  <c r="D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N5" i="3"/>
  <c r="BO5" i="3"/>
  <c r="BP5" i="3"/>
  <c r="BQ5" i="3"/>
  <c r="BR5" i="3"/>
  <c r="BS5" i="3"/>
  <c r="BT5" i="3"/>
  <c r="BU5" i="3"/>
  <c r="BV5" i="3"/>
  <c r="BW5" i="3"/>
  <c r="BX5" i="3"/>
  <c r="BY5" i="3"/>
  <c r="BZ5" i="3"/>
  <c r="CA5" i="3"/>
  <c r="CB5" i="3"/>
  <c r="CC5" i="3"/>
  <c r="CD5" i="3"/>
  <c r="CE5" i="3"/>
  <c r="CF5" i="3"/>
  <c r="CG5" i="3"/>
  <c r="CH5" i="3"/>
  <c r="CI5" i="3"/>
  <c r="CJ5" i="3"/>
  <c r="CK5" i="3"/>
  <c r="CL5" i="3"/>
  <c r="CM5" i="3"/>
  <c r="CN5" i="3"/>
  <c r="CO5" i="3"/>
  <c r="CP5" i="3"/>
  <c r="CQ5" i="3"/>
  <c r="CR5" i="3"/>
  <c r="CS5" i="3"/>
  <c r="CT5" i="3"/>
  <c r="CU5" i="3"/>
  <c r="CV5" i="3"/>
  <c r="CW5" i="3"/>
  <c r="CX5" i="3"/>
  <c r="CY5" i="3"/>
  <c r="CZ5" i="3"/>
  <c r="DA5" i="3"/>
  <c r="DB5" i="3"/>
  <c r="DC5" i="3"/>
  <c r="DD5" i="3"/>
  <c r="DE5" i="3"/>
  <c r="DF5" i="3"/>
  <c r="DG5" i="3"/>
  <c r="DH5" i="3"/>
  <c r="DI5" i="3"/>
  <c r="DJ5" i="3"/>
  <c r="DK5" i="3"/>
  <c r="DL5" i="3"/>
  <c r="DM5" i="3"/>
  <c r="DN5" i="3"/>
  <c r="DO5" i="3"/>
  <c r="DP5" i="3"/>
  <c r="DQ5" i="3"/>
  <c r="DR5" i="3"/>
  <c r="DS5" i="3"/>
  <c r="DT5" i="3"/>
  <c r="DU5" i="3"/>
  <c r="DV5" i="3"/>
  <c r="DW5" i="3"/>
  <c r="DX5" i="3"/>
  <c r="DY5" i="3"/>
  <c r="DZ5" i="3"/>
  <c r="EA5" i="3"/>
  <c r="EB5" i="3"/>
  <c r="EC5" i="3"/>
  <c r="ED5" i="3"/>
  <c r="EE5" i="3"/>
  <c r="EF5" i="3"/>
  <c r="EG5" i="3"/>
  <c r="EI5" i="3"/>
  <c r="EJ5" i="3"/>
  <c r="EK5" i="3"/>
  <c r="EL5" i="3"/>
  <c r="EM5" i="3"/>
  <c r="EN5" i="3"/>
  <c r="EO5" i="3"/>
  <c r="EP5" i="3"/>
  <c r="EQ5" i="3"/>
  <c r="ER5" i="3"/>
  <c r="ES5" i="3"/>
  <c r="ET5" i="3"/>
  <c r="EU5" i="3"/>
  <c r="EV5" i="3"/>
  <c r="EW5" i="3"/>
  <c r="EX5" i="3"/>
  <c r="EY5" i="3"/>
  <c r="EZ5" i="3"/>
  <c r="FA5" i="3"/>
  <c r="FB5" i="3"/>
  <c r="FC5" i="3"/>
  <c r="FD5" i="3"/>
  <c r="FE5" i="3"/>
  <c r="FF5" i="3"/>
  <c r="FG5" i="3"/>
  <c r="FH5" i="3"/>
  <c r="FI5" i="3"/>
  <c r="FJ5" i="3"/>
  <c r="FK5" i="3"/>
  <c r="FL5" i="3"/>
  <c r="FM5" i="3"/>
  <c r="FN5" i="3"/>
  <c r="FO5" i="3"/>
  <c r="FP5" i="3"/>
  <c r="FQ5" i="3"/>
  <c r="FR5" i="3"/>
  <c r="FS5" i="3"/>
  <c r="FT5" i="3"/>
  <c r="FU5" i="3"/>
  <c r="FV5" i="3"/>
  <c r="FW5" i="3"/>
  <c r="FX5" i="3"/>
  <c r="FY5" i="3"/>
  <c r="FZ5" i="3"/>
  <c r="GA5" i="3"/>
  <c r="GB5" i="3"/>
  <c r="GC5" i="3"/>
  <c r="GD5" i="3"/>
  <c r="GE5" i="3"/>
  <c r="GF5" i="3"/>
  <c r="GG5" i="3"/>
  <c r="GH5" i="3"/>
  <c r="GI5" i="3"/>
  <c r="GJ5" i="3"/>
  <c r="GK5" i="3"/>
  <c r="GL5" i="3"/>
  <c r="GM5" i="3"/>
  <c r="GN5" i="3"/>
  <c r="GO5" i="3"/>
  <c r="GP5" i="3"/>
  <c r="GQ5" i="3"/>
  <c r="GR5" i="3"/>
  <c r="GS5" i="3"/>
  <c r="GT5" i="3"/>
  <c r="GU5" i="3"/>
  <c r="GV5" i="3"/>
  <c r="GW5" i="3"/>
  <c r="GX5" i="3"/>
  <c r="GY5" i="3"/>
  <c r="GZ5" i="3"/>
  <c r="HA5" i="3"/>
  <c r="HB5" i="3"/>
  <c r="HC5" i="3"/>
  <c r="HD5" i="3"/>
  <c r="HE5" i="3"/>
  <c r="HF5" i="3"/>
  <c r="HG5" i="3"/>
  <c r="HH5" i="3"/>
  <c r="HI5" i="3"/>
  <c r="HJ5" i="3"/>
  <c r="HK5" i="3"/>
  <c r="HL5" i="3"/>
  <c r="HM5" i="3"/>
  <c r="HN5" i="3"/>
  <c r="HO5" i="3"/>
  <c r="HP5" i="3"/>
  <c r="HQ5" i="3"/>
  <c r="HR5" i="3"/>
  <c r="HS5" i="3"/>
  <c r="HT5" i="3"/>
  <c r="HU5" i="3"/>
  <c r="HV5" i="3"/>
  <c r="HW5" i="3"/>
  <c r="HX5" i="3"/>
  <c r="HY5" i="3"/>
  <c r="HZ5" i="3"/>
  <c r="IA5" i="3"/>
  <c r="IB5" i="3"/>
  <c r="IC5" i="3"/>
  <c r="ID5" i="3"/>
  <c r="IE5" i="3"/>
  <c r="IF5" i="3"/>
  <c r="IG5" i="3"/>
  <c r="IH5" i="3"/>
  <c r="II5" i="3"/>
  <c r="IJ5" i="3"/>
  <c r="IK5" i="3"/>
  <c r="IL5" i="3"/>
  <c r="IM5" i="3"/>
  <c r="IN5" i="3"/>
  <c r="IO5" i="3"/>
  <c r="IP5" i="3"/>
  <c r="IQ5" i="3"/>
  <c r="IR5" i="3"/>
  <c r="IS5" i="3"/>
  <c r="IT5" i="3"/>
  <c r="IU5" i="3"/>
  <c r="IV5" i="3"/>
  <c r="IW5" i="3"/>
  <c r="IX5" i="3"/>
  <c r="IY5" i="3"/>
  <c r="IZ5" i="3"/>
  <c r="JA5" i="3"/>
  <c r="JB5" i="3"/>
  <c r="JC5" i="3"/>
  <c r="JD5" i="3"/>
  <c r="JE5" i="3"/>
  <c r="JF5" i="3"/>
  <c r="JG5" i="3"/>
  <c r="JH5" i="3"/>
  <c r="JI5" i="3"/>
  <c r="JJ5" i="3"/>
  <c r="JK5" i="3"/>
  <c r="JL5" i="3"/>
  <c r="JM5" i="3"/>
  <c r="A161" i="3"/>
  <c r="B161" i="3"/>
  <c r="C161" i="3"/>
  <c r="D161" i="3"/>
  <c r="E161" i="3"/>
  <c r="F161" i="3"/>
  <c r="G161" i="3"/>
  <c r="H161" i="3"/>
  <c r="I161" i="3"/>
  <c r="J161" i="3"/>
  <c r="K161"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K161" i="3"/>
  <c r="AL161" i="3"/>
  <c r="AM161" i="3"/>
  <c r="AN161" i="3"/>
  <c r="AO161" i="3"/>
  <c r="AP161" i="3"/>
  <c r="AQ161" i="3"/>
  <c r="AR161" i="3"/>
  <c r="AS161" i="3"/>
  <c r="AT161" i="3"/>
  <c r="AU161" i="3"/>
  <c r="AV161" i="3"/>
  <c r="AW161" i="3"/>
  <c r="AX161" i="3"/>
  <c r="AY161" i="3"/>
  <c r="AZ161" i="3"/>
  <c r="BA161" i="3"/>
  <c r="BB161" i="3"/>
  <c r="BC161" i="3"/>
  <c r="BD161" i="3"/>
  <c r="BE161" i="3"/>
  <c r="BF161" i="3"/>
  <c r="BG161" i="3"/>
  <c r="BH161" i="3"/>
  <c r="BI161" i="3"/>
  <c r="BJ161" i="3"/>
  <c r="BK161" i="3"/>
  <c r="BL161" i="3"/>
  <c r="BM161" i="3"/>
  <c r="BN161" i="3"/>
  <c r="BO161" i="3"/>
  <c r="BP161" i="3"/>
  <c r="BQ161" i="3"/>
  <c r="BR161" i="3"/>
  <c r="BS161" i="3"/>
  <c r="BT161" i="3"/>
  <c r="BU161" i="3"/>
  <c r="BV161" i="3"/>
  <c r="BW161" i="3"/>
  <c r="BX161" i="3"/>
  <c r="BY161" i="3"/>
  <c r="BZ161" i="3"/>
  <c r="CA161" i="3"/>
  <c r="CB161" i="3"/>
  <c r="CC161" i="3"/>
  <c r="CD161" i="3"/>
  <c r="CE161" i="3"/>
  <c r="CF161" i="3"/>
  <c r="CG161" i="3"/>
  <c r="CH161" i="3"/>
  <c r="CI161" i="3"/>
  <c r="CJ161" i="3"/>
  <c r="CK161" i="3"/>
  <c r="CL161" i="3"/>
  <c r="CM161" i="3"/>
  <c r="CN161" i="3"/>
  <c r="CO161" i="3"/>
  <c r="CP161" i="3"/>
  <c r="CQ161" i="3"/>
  <c r="CR161" i="3"/>
  <c r="CS161" i="3"/>
  <c r="CT161" i="3"/>
  <c r="CU161" i="3"/>
  <c r="CV161" i="3"/>
  <c r="CW161" i="3"/>
  <c r="CX161" i="3"/>
  <c r="CY161" i="3"/>
  <c r="CZ161" i="3"/>
  <c r="DA161" i="3"/>
  <c r="DB161" i="3"/>
  <c r="DC161" i="3"/>
  <c r="DD161" i="3"/>
  <c r="DE161" i="3"/>
  <c r="DF161" i="3"/>
  <c r="DG161" i="3"/>
  <c r="DH161" i="3"/>
  <c r="DI161" i="3"/>
  <c r="DJ161" i="3"/>
  <c r="DK161" i="3"/>
  <c r="DL161" i="3"/>
  <c r="DM161" i="3"/>
  <c r="DN161" i="3"/>
  <c r="DO161" i="3"/>
  <c r="DP161" i="3"/>
  <c r="DQ161" i="3"/>
  <c r="DR161" i="3"/>
  <c r="DS161" i="3"/>
  <c r="DT161" i="3"/>
  <c r="DU161" i="3"/>
  <c r="DV161" i="3"/>
  <c r="DW161" i="3"/>
  <c r="DX161" i="3"/>
  <c r="DY161" i="3"/>
  <c r="DZ161" i="3"/>
  <c r="EA161" i="3"/>
  <c r="EB161" i="3"/>
  <c r="EC161" i="3"/>
  <c r="ED161" i="3"/>
  <c r="EE161" i="3"/>
  <c r="EF161" i="3"/>
  <c r="EG161" i="3"/>
  <c r="EI161" i="3"/>
  <c r="EJ161" i="3"/>
  <c r="EK161" i="3"/>
  <c r="EL161" i="3"/>
  <c r="EM161" i="3"/>
  <c r="EN161" i="3"/>
  <c r="EO161" i="3"/>
  <c r="EP161" i="3"/>
  <c r="EQ161" i="3"/>
  <c r="ER161" i="3"/>
  <c r="ES161" i="3"/>
  <c r="ET161" i="3"/>
  <c r="EU161" i="3"/>
  <c r="EV161" i="3"/>
  <c r="EW161" i="3"/>
  <c r="EX161" i="3"/>
  <c r="EY161" i="3"/>
  <c r="EZ161" i="3"/>
  <c r="FA161" i="3"/>
  <c r="FB161" i="3"/>
  <c r="FC161" i="3"/>
  <c r="FD161" i="3"/>
  <c r="FE161" i="3"/>
  <c r="FF161" i="3"/>
  <c r="FG161" i="3"/>
  <c r="FH161" i="3"/>
  <c r="FI161" i="3"/>
  <c r="FJ161" i="3"/>
  <c r="FK161" i="3"/>
  <c r="FL161" i="3"/>
  <c r="FM161" i="3"/>
  <c r="FN161" i="3"/>
  <c r="FO161" i="3"/>
  <c r="FP161" i="3"/>
  <c r="FQ161" i="3"/>
  <c r="FR161" i="3"/>
  <c r="FS161" i="3"/>
  <c r="FT161" i="3"/>
  <c r="FU161" i="3"/>
  <c r="FV161" i="3"/>
  <c r="FW161" i="3"/>
  <c r="FX161" i="3"/>
  <c r="FY161" i="3"/>
  <c r="FZ161" i="3"/>
  <c r="GA161" i="3"/>
  <c r="GB161" i="3"/>
  <c r="GC161" i="3"/>
  <c r="GD161" i="3"/>
  <c r="GE161" i="3"/>
  <c r="GF161" i="3"/>
  <c r="GG161" i="3"/>
  <c r="GH161" i="3"/>
  <c r="GI161" i="3"/>
  <c r="GJ161" i="3"/>
  <c r="GK161" i="3"/>
  <c r="GL161" i="3"/>
  <c r="GM161" i="3"/>
  <c r="GN161" i="3"/>
  <c r="GO161" i="3"/>
  <c r="GP161" i="3"/>
  <c r="GQ161" i="3"/>
  <c r="GR161" i="3"/>
  <c r="GS161" i="3"/>
  <c r="GT161" i="3"/>
  <c r="GU161" i="3"/>
  <c r="GV161" i="3"/>
  <c r="GW161" i="3"/>
  <c r="GX161" i="3"/>
  <c r="GY161" i="3"/>
  <c r="GZ161" i="3"/>
  <c r="HA161" i="3"/>
  <c r="HB161" i="3"/>
  <c r="HC161" i="3"/>
  <c r="HD161" i="3"/>
  <c r="HE161" i="3"/>
  <c r="HF161" i="3"/>
  <c r="HG161" i="3"/>
  <c r="HH161" i="3"/>
  <c r="HI161" i="3"/>
  <c r="HJ161" i="3"/>
  <c r="HK161" i="3"/>
  <c r="HL161" i="3"/>
  <c r="HM161" i="3"/>
  <c r="HN161" i="3"/>
  <c r="HO161" i="3"/>
  <c r="HP161" i="3"/>
  <c r="HQ161" i="3"/>
  <c r="HR161" i="3"/>
  <c r="HS161" i="3"/>
  <c r="HT161" i="3"/>
  <c r="HU161" i="3"/>
  <c r="HV161" i="3"/>
  <c r="HW161" i="3"/>
  <c r="HX161" i="3"/>
  <c r="HY161" i="3"/>
  <c r="HZ161" i="3"/>
  <c r="IA161" i="3"/>
  <c r="IB161" i="3"/>
  <c r="IC161" i="3"/>
  <c r="ID161" i="3"/>
  <c r="IE161" i="3"/>
  <c r="IF161" i="3"/>
  <c r="IG161" i="3"/>
  <c r="IH161" i="3"/>
  <c r="II161" i="3"/>
  <c r="IJ161" i="3"/>
  <c r="IK161" i="3"/>
  <c r="IL161" i="3"/>
  <c r="IM161" i="3"/>
  <c r="IN161" i="3"/>
  <c r="IO161" i="3"/>
  <c r="IP161" i="3"/>
  <c r="IQ161" i="3"/>
  <c r="IR161" i="3"/>
  <c r="IS161" i="3"/>
  <c r="IT161" i="3"/>
  <c r="IU161" i="3"/>
  <c r="IV161" i="3"/>
  <c r="IW161" i="3"/>
  <c r="IX161" i="3"/>
  <c r="IY161" i="3"/>
  <c r="IZ161" i="3"/>
  <c r="JA161" i="3"/>
  <c r="JB161" i="3"/>
  <c r="JC161" i="3"/>
  <c r="JD161" i="3"/>
  <c r="JE161" i="3"/>
  <c r="JF161" i="3"/>
  <c r="JG161" i="3"/>
  <c r="JH161" i="3"/>
  <c r="JI161" i="3"/>
  <c r="JJ161" i="3"/>
  <c r="JK161" i="3"/>
  <c r="JL161" i="3"/>
  <c r="JM161" i="3"/>
  <c r="A162" i="3"/>
  <c r="B162" i="3"/>
  <c r="N162" i="3"/>
  <c r="O162" i="3"/>
  <c r="P162" i="3"/>
  <c r="Q162" i="3"/>
  <c r="R162" i="3"/>
  <c r="S162" i="3"/>
  <c r="T162" i="3"/>
  <c r="U162" i="3"/>
  <c r="V162" i="3"/>
  <c r="W162" i="3"/>
  <c r="X162" i="3"/>
  <c r="Y162" i="3"/>
  <c r="Z162" i="3"/>
  <c r="AA162" i="3"/>
  <c r="AB162" i="3"/>
  <c r="AC162" i="3"/>
  <c r="AD162" i="3"/>
  <c r="AE162" i="3"/>
  <c r="AF162" i="3"/>
  <c r="AG162" i="3"/>
  <c r="AH162" i="3"/>
  <c r="AI162" i="3"/>
  <c r="AJ162" i="3"/>
  <c r="AK162" i="3"/>
  <c r="AL162" i="3"/>
  <c r="AM162" i="3"/>
  <c r="AN162" i="3"/>
  <c r="AO162" i="3"/>
  <c r="AP162" i="3"/>
  <c r="AQ162" i="3"/>
  <c r="AR162" i="3"/>
  <c r="AS162" i="3"/>
  <c r="AT162" i="3"/>
  <c r="AU162" i="3"/>
  <c r="AV162" i="3"/>
  <c r="AW162" i="3"/>
  <c r="AX162" i="3"/>
  <c r="AY162" i="3"/>
  <c r="AZ162" i="3"/>
  <c r="BA162" i="3"/>
  <c r="BB162" i="3"/>
  <c r="BC162" i="3"/>
  <c r="BD162" i="3"/>
  <c r="BE162" i="3"/>
  <c r="BF162" i="3"/>
  <c r="BG162" i="3"/>
  <c r="BH162" i="3"/>
  <c r="BI162" i="3"/>
  <c r="BJ162" i="3"/>
  <c r="BK162" i="3"/>
  <c r="BL162" i="3"/>
  <c r="BM162" i="3"/>
  <c r="BN162" i="3"/>
  <c r="BO162" i="3"/>
  <c r="BP162" i="3"/>
  <c r="BQ162" i="3"/>
  <c r="BR162" i="3"/>
  <c r="BS162" i="3"/>
  <c r="BT162" i="3"/>
  <c r="BU162" i="3"/>
  <c r="BV162" i="3"/>
  <c r="BW162" i="3"/>
  <c r="BX162" i="3"/>
  <c r="BY162" i="3"/>
  <c r="BZ162" i="3"/>
  <c r="CA162" i="3"/>
  <c r="CB162" i="3"/>
  <c r="CC162" i="3"/>
  <c r="CD162" i="3"/>
  <c r="CE162" i="3"/>
  <c r="CF162" i="3"/>
  <c r="CG162" i="3"/>
  <c r="CH162" i="3"/>
  <c r="CI162" i="3"/>
  <c r="CJ162" i="3"/>
  <c r="CK162" i="3"/>
  <c r="CL162" i="3"/>
  <c r="CM162" i="3"/>
  <c r="CN162" i="3"/>
  <c r="CO162" i="3"/>
  <c r="CP162" i="3"/>
  <c r="CQ162" i="3"/>
  <c r="CR162" i="3"/>
  <c r="CS162" i="3"/>
  <c r="CT162" i="3"/>
  <c r="CU162" i="3"/>
  <c r="CV162" i="3"/>
  <c r="CW162" i="3"/>
  <c r="CX162" i="3"/>
  <c r="CY162" i="3"/>
  <c r="CZ162" i="3"/>
  <c r="DA162" i="3"/>
  <c r="DB162" i="3"/>
  <c r="DC162" i="3"/>
  <c r="DD162" i="3"/>
  <c r="DE162" i="3"/>
  <c r="DF162" i="3"/>
  <c r="DG162" i="3"/>
  <c r="DH162" i="3"/>
  <c r="DI162" i="3"/>
  <c r="DJ162" i="3"/>
  <c r="DK162" i="3"/>
  <c r="DL162" i="3"/>
  <c r="DM162" i="3"/>
  <c r="DN162" i="3"/>
  <c r="DO162" i="3"/>
  <c r="DP162" i="3"/>
  <c r="DQ162" i="3"/>
  <c r="DR162" i="3"/>
  <c r="DS162" i="3"/>
  <c r="DT162" i="3"/>
  <c r="DU162" i="3"/>
  <c r="DV162" i="3"/>
  <c r="DW162" i="3"/>
  <c r="DX162" i="3"/>
  <c r="DY162" i="3"/>
  <c r="DZ162" i="3"/>
  <c r="EA162" i="3"/>
  <c r="EB162" i="3"/>
  <c r="EC162" i="3"/>
  <c r="ED162" i="3"/>
  <c r="EE162" i="3"/>
  <c r="EF162" i="3"/>
  <c r="EG162" i="3"/>
  <c r="EI162" i="3"/>
  <c r="EJ162" i="3"/>
  <c r="EK162" i="3"/>
  <c r="EL162" i="3"/>
  <c r="EM162" i="3"/>
  <c r="EN162" i="3"/>
  <c r="EO162" i="3"/>
  <c r="EP162" i="3"/>
  <c r="EQ162" i="3"/>
  <c r="ER162" i="3"/>
  <c r="ES162" i="3"/>
  <c r="ET162" i="3"/>
  <c r="EU162" i="3"/>
  <c r="EV162" i="3"/>
  <c r="EW162" i="3"/>
  <c r="EX162" i="3"/>
  <c r="EY162" i="3"/>
  <c r="EZ162" i="3"/>
  <c r="FA162" i="3"/>
  <c r="FB162" i="3"/>
  <c r="FC162" i="3"/>
  <c r="FD162" i="3"/>
  <c r="FE162" i="3"/>
  <c r="FF162" i="3"/>
  <c r="FG162" i="3"/>
  <c r="FH162" i="3"/>
  <c r="FI162" i="3"/>
  <c r="FJ162" i="3"/>
  <c r="FK162" i="3"/>
  <c r="FL162" i="3"/>
  <c r="FM162" i="3"/>
  <c r="FN162" i="3"/>
  <c r="FO162" i="3"/>
  <c r="FP162" i="3"/>
  <c r="FQ162" i="3"/>
  <c r="FR162" i="3"/>
  <c r="FS162" i="3"/>
  <c r="FT162" i="3"/>
  <c r="FU162" i="3"/>
  <c r="FV162" i="3"/>
  <c r="FW162" i="3"/>
  <c r="FX162" i="3"/>
  <c r="FY162" i="3"/>
  <c r="FZ162" i="3"/>
  <c r="GA162" i="3"/>
  <c r="GB162" i="3"/>
  <c r="GC162" i="3"/>
  <c r="GD162" i="3"/>
  <c r="GE162" i="3"/>
  <c r="GF162" i="3"/>
  <c r="GG162" i="3"/>
  <c r="GH162" i="3"/>
  <c r="GI162" i="3"/>
  <c r="GJ162" i="3"/>
  <c r="GK162" i="3"/>
  <c r="GL162" i="3"/>
  <c r="GM162" i="3"/>
  <c r="GN162" i="3"/>
  <c r="GO162" i="3"/>
  <c r="GP162" i="3"/>
  <c r="GQ162" i="3"/>
  <c r="GR162" i="3"/>
  <c r="GS162" i="3"/>
  <c r="GT162" i="3"/>
  <c r="GU162" i="3"/>
  <c r="GV162" i="3"/>
  <c r="GW162" i="3"/>
  <c r="GX162" i="3"/>
  <c r="GY162" i="3"/>
  <c r="GZ162" i="3"/>
  <c r="HA162" i="3"/>
  <c r="HB162" i="3"/>
  <c r="HC162" i="3"/>
  <c r="HD162" i="3"/>
  <c r="HE162" i="3"/>
  <c r="HF162" i="3"/>
  <c r="HG162" i="3"/>
  <c r="HH162" i="3"/>
  <c r="HI162" i="3"/>
  <c r="HJ162" i="3"/>
  <c r="HK162" i="3"/>
  <c r="HL162" i="3"/>
  <c r="HM162" i="3"/>
  <c r="HN162" i="3"/>
  <c r="HO162" i="3"/>
  <c r="HP162" i="3"/>
  <c r="HQ162" i="3"/>
  <c r="HR162" i="3"/>
  <c r="HS162" i="3"/>
  <c r="HT162" i="3"/>
  <c r="HU162" i="3"/>
  <c r="HV162" i="3"/>
  <c r="HW162" i="3"/>
  <c r="HX162" i="3"/>
  <c r="HY162" i="3"/>
  <c r="HZ162" i="3"/>
  <c r="IA162" i="3"/>
  <c r="IB162" i="3"/>
  <c r="IC162" i="3"/>
  <c r="ID162" i="3"/>
  <c r="IE162" i="3"/>
  <c r="IF162" i="3"/>
  <c r="IG162" i="3"/>
  <c r="IH162" i="3"/>
  <c r="II162" i="3"/>
  <c r="IJ162" i="3"/>
  <c r="IK162" i="3"/>
  <c r="IL162" i="3"/>
  <c r="IM162" i="3"/>
  <c r="IN162" i="3"/>
  <c r="IO162" i="3"/>
  <c r="IP162" i="3"/>
  <c r="IQ162" i="3"/>
  <c r="IR162" i="3"/>
  <c r="IS162" i="3"/>
  <c r="IT162" i="3"/>
  <c r="IU162" i="3"/>
  <c r="IV162" i="3"/>
  <c r="IW162" i="3"/>
  <c r="IX162" i="3"/>
  <c r="IY162" i="3"/>
  <c r="IZ162" i="3"/>
  <c r="JA162" i="3"/>
  <c r="JB162" i="3"/>
  <c r="JC162" i="3"/>
  <c r="JD162" i="3"/>
  <c r="JE162" i="3"/>
  <c r="JF162" i="3"/>
  <c r="JG162" i="3"/>
  <c r="JH162" i="3"/>
  <c r="JI162" i="3"/>
  <c r="JJ162" i="3"/>
  <c r="JK162" i="3"/>
  <c r="JL162" i="3"/>
  <c r="JM162" i="3"/>
  <c r="A163" i="3"/>
  <c r="B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K163" i="3"/>
  <c r="AL163" i="3"/>
  <c r="AM163" i="3"/>
  <c r="AN163" i="3"/>
  <c r="AO163" i="3"/>
  <c r="AP163" i="3"/>
  <c r="AQ163" i="3"/>
  <c r="AR163" i="3"/>
  <c r="AS163" i="3"/>
  <c r="AT163" i="3"/>
  <c r="AU163" i="3"/>
  <c r="AV163" i="3"/>
  <c r="AW163" i="3"/>
  <c r="AX163" i="3"/>
  <c r="AY163" i="3"/>
  <c r="AZ163" i="3"/>
  <c r="BA163" i="3"/>
  <c r="BB163" i="3"/>
  <c r="BC163" i="3"/>
  <c r="BD163" i="3"/>
  <c r="BE163" i="3"/>
  <c r="BF163" i="3"/>
  <c r="BG163" i="3"/>
  <c r="BH163" i="3"/>
  <c r="BI163" i="3"/>
  <c r="BJ163" i="3"/>
  <c r="BK163" i="3"/>
  <c r="BL163" i="3"/>
  <c r="BM163" i="3"/>
  <c r="BN163" i="3"/>
  <c r="BO163" i="3"/>
  <c r="BP163" i="3"/>
  <c r="BQ163" i="3"/>
  <c r="BR163" i="3"/>
  <c r="BS163" i="3"/>
  <c r="BT163" i="3"/>
  <c r="BU163" i="3"/>
  <c r="BV163" i="3"/>
  <c r="BW163" i="3"/>
  <c r="BX163" i="3"/>
  <c r="BY163" i="3"/>
  <c r="BZ163" i="3"/>
  <c r="CA163" i="3"/>
  <c r="CB163" i="3"/>
  <c r="CC163" i="3"/>
  <c r="CD163" i="3"/>
  <c r="CE163" i="3"/>
  <c r="CF163" i="3"/>
  <c r="CG163" i="3"/>
  <c r="CH163" i="3"/>
  <c r="CI163" i="3"/>
  <c r="CJ163" i="3"/>
  <c r="CK163" i="3"/>
  <c r="CL163" i="3"/>
  <c r="CM163" i="3"/>
  <c r="CN163" i="3"/>
  <c r="CO163" i="3"/>
  <c r="CP163" i="3"/>
  <c r="CQ163" i="3"/>
  <c r="CR163" i="3"/>
  <c r="CS163" i="3"/>
  <c r="CT163" i="3"/>
  <c r="CU163" i="3"/>
  <c r="CV163" i="3"/>
  <c r="CW163" i="3"/>
  <c r="CX163" i="3"/>
  <c r="CY163" i="3"/>
  <c r="CZ163" i="3"/>
  <c r="DA163" i="3"/>
  <c r="DB163" i="3"/>
  <c r="DC163" i="3"/>
  <c r="DD163" i="3"/>
  <c r="DE163" i="3"/>
  <c r="DF163" i="3"/>
  <c r="DG163" i="3"/>
  <c r="DH163" i="3"/>
  <c r="DI163" i="3"/>
  <c r="DJ163" i="3"/>
  <c r="DK163" i="3"/>
  <c r="DL163" i="3"/>
  <c r="DM163" i="3"/>
  <c r="DN163" i="3"/>
  <c r="DO163" i="3"/>
  <c r="DP163" i="3"/>
  <c r="DQ163" i="3"/>
  <c r="DR163" i="3"/>
  <c r="DS163" i="3"/>
  <c r="DT163" i="3"/>
  <c r="DU163" i="3"/>
  <c r="DV163" i="3"/>
  <c r="DW163" i="3"/>
  <c r="DX163" i="3"/>
  <c r="DY163" i="3"/>
  <c r="DZ163" i="3"/>
  <c r="EA163" i="3"/>
  <c r="EB163" i="3"/>
  <c r="EC163" i="3"/>
  <c r="ED163" i="3"/>
  <c r="EE163" i="3"/>
  <c r="EF163" i="3"/>
  <c r="EG163" i="3"/>
  <c r="EI163" i="3"/>
  <c r="EJ163" i="3"/>
  <c r="EK163" i="3"/>
  <c r="EL163" i="3"/>
  <c r="EM163" i="3"/>
  <c r="EN163" i="3"/>
  <c r="EO163" i="3"/>
  <c r="EP163" i="3"/>
  <c r="EQ163" i="3"/>
  <c r="ER163" i="3"/>
  <c r="ES163" i="3"/>
  <c r="ET163" i="3"/>
  <c r="EU163" i="3"/>
  <c r="EV163" i="3"/>
  <c r="EW163" i="3"/>
  <c r="EX163" i="3"/>
  <c r="EY163" i="3"/>
  <c r="EZ163" i="3"/>
  <c r="FA163" i="3"/>
  <c r="FB163" i="3"/>
  <c r="FC163" i="3"/>
  <c r="FD163" i="3"/>
  <c r="FE163" i="3"/>
  <c r="FF163" i="3"/>
  <c r="FG163" i="3"/>
  <c r="FH163" i="3"/>
  <c r="FI163" i="3"/>
  <c r="FJ163" i="3"/>
  <c r="FK163" i="3"/>
  <c r="FL163" i="3"/>
  <c r="FM163" i="3"/>
  <c r="FN163" i="3"/>
  <c r="FO163" i="3"/>
  <c r="FP163" i="3"/>
  <c r="FQ163" i="3"/>
  <c r="FR163" i="3"/>
  <c r="FS163" i="3"/>
  <c r="FT163" i="3"/>
  <c r="FU163" i="3"/>
  <c r="FV163" i="3"/>
  <c r="FW163" i="3"/>
  <c r="FX163" i="3"/>
  <c r="FY163" i="3"/>
  <c r="FZ163" i="3"/>
  <c r="GA163" i="3"/>
  <c r="GB163" i="3"/>
  <c r="GC163" i="3"/>
  <c r="GD163" i="3"/>
  <c r="GE163" i="3"/>
  <c r="GF163" i="3"/>
  <c r="GG163" i="3"/>
  <c r="GH163" i="3"/>
  <c r="GI163" i="3"/>
  <c r="GJ163" i="3"/>
  <c r="GK163" i="3"/>
  <c r="GL163" i="3"/>
  <c r="GM163" i="3"/>
  <c r="GN163" i="3"/>
  <c r="GO163" i="3"/>
  <c r="GP163" i="3"/>
  <c r="GQ163" i="3"/>
  <c r="GR163" i="3"/>
  <c r="GS163" i="3"/>
  <c r="GT163" i="3"/>
  <c r="GU163" i="3"/>
  <c r="GV163" i="3"/>
  <c r="GW163" i="3"/>
  <c r="GX163" i="3"/>
  <c r="GY163" i="3"/>
  <c r="GZ163" i="3"/>
  <c r="HA163" i="3"/>
  <c r="HB163" i="3"/>
  <c r="HC163" i="3"/>
  <c r="HD163" i="3"/>
  <c r="HE163" i="3"/>
  <c r="HF163" i="3"/>
  <c r="HG163" i="3"/>
  <c r="HH163" i="3"/>
  <c r="HI163" i="3"/>
  <c r="HJ163" i="3"/>
  <c r="HK163" i="3"/>
  <c r="HL163" i="3"/>
  <c r="HM163" i="3"/>
  <c r="HN163" i="3"/>
  <c r="HO163" i="3"/>
  <c r="HP163" i="3"/>
  <c r="HQ163" i="3"/>
  <c r="HR163" i="3"/>
  <c r="HS163" i="3"/>
  <c r="HT163" i="3"/>
  <c r="HU163" i="3"/>
  <c r="HV163" i="3"/>
  <c r="HW163" i="3"/>
  <c r="HX163" i="3"/>
  <c r="HY163" i="3"/>
  <c r="HZ163" i="3"/>
  <c r="IA163" i="3"/>
  <c r="IB163" i="3"/>
  <c r="IC163" i="3"/>
  <c r="ID163" i="3"/>
  <c r="IE163" i="3"/>
  <c r="IF163" i="3"/>
  <c r="IG163" i="3"/>
  <c r="IH163" i="3"/>
  <c r="II163" i="3"/>
  <c r="IJ163" i="3"/>
  <c r="IK163" i="3"/>
  <c r="IL163" i="3"/>
  <c r="IM163" i="3"/>
  <c r="IN163" i="3"/>
  <c r="IO163" i="3"/>
  <c r="IP163" i="3"/>
  <c r="IQ163" i="3"/>
  <c r="IR163" i="3"/>
  <c r="IS163" i="3"/>
  <c r="IT163" i="3"/>
  <c r="IU163" i="3"/>
  <c r="IV163" i="3"/>
  <c r="IW163" i="3"/>
  <c r="IX163" i="3"/>
  <c r="IY163" i="3"/>
  <c r="IZ163" i="3"/>
  <c r="JA163" i="3"/>
  <c r="JB163" i="3"/>
  <c r="JC163" i="3"/>
  <c r="JD163" i="3"/>
  <c r="JE163" i="3"/>
  <c r="JF163" i="3"/>
  <c r="JG163" i="3"/>
  <c r="JH163" i="3"/>
  <c r="JI163" i="3"/>
  <c r="JJ163" i="3"/>
  <c r="JK163" i="3"/>
  <c r="JL163" i="3"/>
  <c r="JM163" i="3"/>
  <c r="A164" i="3"/>
  <c r="B164" i="3"/>
  <c r="F164" i="3"/>
  <c r="G164" i="3"/>
  <c r="H164" i="3"/>
  <c r="I164" i="3"/>
  <c r="J164" i="3"/>
  <c r="K164"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K164" i="3"/>
  <c r="AL164" i="3"/>
  <c r="AM164" i="3"/>
  <c r="AN164" i="3"/>
  <c r="AO164" i="3"/>
  <c r="AP164" i="3"/>
  <c r="AQ164" i="3"/>
  <c r="AR164" i="3"/>
  <c r="AS164" i="3"/>
  <c r="AT164" i="3"/>
  <c r="AU164" i="3"/>
  <c r="AV164" i="3"/>
  <c r="AW164" i="3"/>
  <c r="AX164" i="3"/>
  <c r="AY164" i="3"/>
  <c r="AZ164" i="3"/>
  <c r="BA164" i="3"/>
  <c r="BB164" i="3"/>
  <c r="BC164" i="3"/>
  <c r="BD164" i="3"/>
  <c r="BE164" i="3"/>
  <c r="BF164" i="3"/>
  <c r="BG164" i="3"/>
  <c r="BH164" i="3"/>
  <c r="BI164" i="3"/>
  <c r="BJ164" i="3"/>
  <c r="BK164" i="3"/>
  <c r="BL164" i="3"/>
  <c r="BM164" i="3"/>
  <c r="BN164" i="3"/>
  <c r="BO164" i="3"/>
  <c r="BP164" i="3"/>
  <c r="BQ164" i="3"/>
  <c r="BR164" i="3"/>
  <c r="BS164" i="3"/>
  <c r="BT164" i="3"/>
  <c r="BU164" i="3"/>
  <c r="BV164" i="3"/>
  <c r="BW164" i="3"/>
  <c r="BX164" i="3"/>
  <c r="BY164" i="3"/>
  <c r="BZ164" i="3"/>
  <c r="CA164" i="3"/>
  <c r="CB164" i="3"/>
  <c r="CC164" i="3"/>
  <c r="CD164" i="3"/>
  <c r="CE164" i="3"/>
  <c r="CF164" i="3"/>
  <c r="CG164" i="3"/>
  <c r="CH164" i="3"/>
  <c r="CI164" i="3"/>
  <c r="CJ164" i="3"/>
  <c r="CK164" i="3"/>
  <c r="CL164" i="3"/>
  <c r="CM164" i="3"/>
  <c r="CN164" i="3"/>
  <c r="CO164" i="3"/>
  <c r="CP164" i="3"/>
  <c r="CQ164" i="3"/>
  <c r="CR164" i="3"/>
  <c r="CS164" i="3"/>
  <c r="CT164" i="3"/>
  <c r="CU164" i="3"/>
  <c r="CV164" i="3"/>
  <c r="CW164" i="3"/>
  <c r="CX164" i="3"/>
  <c r="CY164" i="3"/>
  <c r="CZ164" i="3"/>
  <c r="DA164" i="3"/>
  <c r="DB164" i="3"/>
  <c r="DC164" i="3"/>
  <c r="DD164" i="3"/>
  <c r="DE164" i="3"/>
  <c r="DF164" i="3"/>
  <c r="DG164" i="3"/>
  <c r="DH164" i="3"/>
  <c r="DI164" i="3"/>
  <c r="DJ164" i="3"/>
  <c r="DK164" i="3"/>
  <c r="DL164" i="3"/>
  <c r="DM164" i="3"/>
  <c r="DN164" i="3"/>
  <c r="DO164" i="3"/>
  <c r="DP164" i="3"/>
  <c r="DQ164" i="3"/>
  <c r="DR164" i="3"/>
  <c r="DS164" i="3"/>
  <c r="DT164" i="3"/>
  <c r="DU164" i="3"/>
  <c r="DV164" i="3"/>
  <c r="DW164" i="3"/>
  <c r="DX164" i="3"/>
  <c r="DY164" i="3"/>
  <c r="DZ164" i="3"/>
  <c r="EA164" i="3"/>
  <c r="EB164" i="3"/>
  <c r="EC164" i="3"/>
  <c r="ED164" i="3"/>
  <c r="EE164" i="3"/>
  <c r="EF164" i="3"/>
  <c r="EG164" i="3"/>
  <c r="EI164" i="3"/>
  <c r="EJ164" i="3"/>
  <c r="EK164" i="3"/>
  <c r="EL164" i="3"/>
  <c r="EM164" i="3"/>
  <c r="EN164" i="3"/>
  <c r="EO164" i="3"/>
  <c r="EP164" i="3"/>
  <c r="EQ164" i="3"/>
  <c r="ER164" i="3"/>
  <c r="ES164" i="3"/>
  <c r="ET164" i="3"/>
  <c r="EU164" i="3"/>
  <c r="EV164" i="3"/>
  <c r="EW164" i="3"/>
  <c r="EX164" i="3"/>
  <c r="EY164" i="3"/>
  <c r="EZ164" i="3"/>
  <c r="FA164" i="3"/>
  <c r="FB164" i="3"/>
  <c r="FC164" i="3"/>
  <c r="FD164" i="3"/>
  <c r="FE164" i="3"/>
  <c r="FF164" i="3"/>
  <c r="FG164" i="3"/>
  <c r="FH164" i="3"/>
  <c r="FI164" i="3"/>
  <c r="FJ164" i="3"/>
  <c r="FK164" i="3"/>
  <c r="FL164" i="3"/>
  <c r="FM164" i="3"/>
  <c r="FN164" i="3"/>
  <c r="FO164" i="3"/>
  <c r="FP164" i="3"/>
  <c r="FQ164" i="3"/>
  <c r="FR164" i="3"/>
  <c r="FS164" i="3"/>
  <c r="FT164" i="3"/>
  <c r="FU164" i="3"/>
  <c r="FV164" i="3"/>
  <c r="FW164" i="3"/>
  <c r="FX164" i="3"/>
  <c r="FY164" i="3"/>
  <c r="FZ164" i="3"/>
  <c r="GA164" i="3"/>
  <c r="GB164" i="3"/>
  <c r="GC164" i="3"/>
  <c r="GD164" i="3"/>
  <c r="GE164" i="3"/>
  <c r="GF164" i="3"/>
  <c r="GG164" i="3"/>
  <c r="GH164" i="3"/>
  <c r="GI164" i="3"/>
  <c r="GJ164" i="3"/>
  <c r="GK164" i="3"/>
  <c r="GL164" i="3"/>
  <c r="GM164" i="3"/>
  <c r="GN164" i="3"/>
  <c r="GO164" i="3"/>
  <c r="GP164" i="3"/>
  <c r="GQ164" i="3"/>
  <c r="GR164" i="3"/>
  <c r="GS164" i="3"/>
  <c r="GT164" i="3"/>
  <c r="GU164" i="3"/>
  <c r="GV164" i="3"/>
  <c r="GW164" i="3"/>
  <c r="GX164" i="3"/>
  <c r="GY164" i="3"/>
  <c r="GZ164" i="3"/>
  <c r="HA164" i="3"/>
  <c r="HB164" i="3"/>
  <c r="HC164" i="3"/>
  <c r="HD164" i="3"/>
  <c r="HE164" i="3"/>
  <c r="HF164" i="3"/>
  <c r="HG164" i="3"/>
  <c r="HH164" i="3"/>
  <c r="HI164" i="3"/>
  <c r="HJ164" i="3"/>
  <c r="HK164" i="3"/>
  <c r="HL164" i="3"/>
  <c r="HM164" i="3"/>
  <c r="HN164" i="3"/>
  <c r="HO164" i="3"/>
  <c r="HP164" i="3"/>
  <c r="HQ164" i="3"/>
  <c r="HR164" i="3"/>
  <c r="HS164" i="3"/>
  <c r="HT164" i="3"/>
  <c r="HU164" i="3"/>
  <c r="HV164" i="3"/>
  <c r="HW164" i="3"/>
  <c r="HX164" i="3"/>
  <c r="HY164" i="3"/>
  <c r="HZ164" i="3"/>
  <c r="IA164" i="3"/>
  <c r="IB164" i="3"/>
  <c r="IC164" i="3"/>
  <c r="ID164" i="3"/>
  <c r="IE164" i="3"/>
  <c r="IF164" i="3"/>
  <c r="IG164" i="3"/>
  <c r="IH164" i="3"/>
  <c r="II164" i="3"/>
  <c r="IJ164" i="3"/>
  <c r="IK164" i="3"/>
  <c r="IL164" i="3"/>
  <c r="IM164" i="3"/>
  <c r="IN164" i="3"/>
  <c r="IO164" i="3"/>
  <c r="IP164" i="3"/>
  <c r="IQ164" i="3"/>
  <c r="IR164" i="3"/>
  <c r="IS164" i="3"/>
  <c r="IT164" i="3"/>
  <c r="IU164" i="3"/>
  <c r="IV164" i="3"/>
  <c r="IW164" i="3"/>
  <c r="IX164" i="3"/>
  <c r="IY164" i="3"/>
  <c r="IZ164" i="3"/>
  <c r="JA164" i="3"/>
  <c r="JB164" i="3"/>
  <c r="JC164" i="3"/>
  <c r="JD164" i="3"/>
  <c r="JE164" i="3"/>
  <c r="JF164" i="3"/>
  <c r="JG164" i="3"/>
  <c r="JH164" i="3"/>
  <c r="JI164" i="3"/>
  <c r="JJ164" i="3"/>
  <c r="JK164" i="3"/>
  <c r="JL164" i="3"/>
  <c r="JM164" i="3"/>
  <c r="A165" i="3"/>
  <c r="B165"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K165" i="3"/>
  <c r="AL165" i="3"/>
  <c r="AM165" i="3"/>
  <c r="AN165" i="3"/>
  <c r="AO165" i="3"/>
  <c r="AP165" i="3"/>
  <c r="AQ165" i="3"/>
  <c r="AR165" i="3"/>
  <c r="AS165" i="3"/>
  <c r="AT165" i="3"/>
  <c r="AU165" i="3"/>
  <c r="AV165" i="3"/>
  <c r="AW165" i="3"/>
  <c r="AX165" i="3"/>
  <c r="AY165" i="3"/>
  <c r="AZ165" i="3"/>
  <c r="BA165" i="3"/>
  <c r="BB165" i="3"/>
  <c r="BC165" i="3"/>
  <c r="BD165" i="3"/>
  <c r="BE165" i="3"/>
  <c r="BF165" i="3"/>
  <c r="BG165" i="3"/>
  <c r="BH165" i="3"/>
  <c r="BI165" i="3"/>
  <c r="BJ165" i="3"/>
  <c r="BK165" i="3"/>
  <c r="BL165" i="3"/>
  <c r="BM165" i="3"/>
  <c r="BN165" i="3"/>
  <c r="BO165" i="3"/>
  <c r="BP165" i="3"/>
  <c r="BQ165" i="3"/>
  <c r="BR165" i="3"/>
  <c r="BS165" i="3"/>
  <c r="BT165" i="3"/>
  <c r="BU165" i="3"/>
  <c r="BV165" i="3"/>
  <c r="BW165" i="3"/>
  <c r="BX165" i="3"/>
  <c r="BY165" i="3"/>
  <c r="BZ165" i="3"/>
  <c r="CA165" i="3"/>
  <c r="CB165" i="3"/>
  <c r="CC165" i="3"/>
  <c r="CD165" i="3"/>
  <c r="CE165" i="3"/>
  <c r="CF165" i="3"/>
  <c r="CG165" i="3"/>
  <c r="CH165" i="3"/>
  <c r="CI165" i="3"/>
  <c r="CJ165" i="3"/>
  <c r="CK165" i="3"/>
  <c r="CL165" i="3"/>
  <c r="CM165" i="3"/>
  <c r="CN165" i="3"/>
  <c r="CO165" i="3"/>
  <c r="CP165" i="3"/>
  <c r="CQ165" i="3"/>
  <c r="CR165" i="3"/>
  <c r="CS165" i="3"/>
  <c r="CT165" i="3"/>
  <c r="CU165" i="3"/>
  <c r="CV165" i="3"/>
  <c r="CW165" i="3"/>
  <c r="CX165" i="3"/>
  <c r="CY165" i="3"/>
  <c r="CZ165" i="3"/>
  <c r="DA165" i="3"/>
  <c r="DB165" i="3"/>
  <c r="DC165" i="3"/>
  <c r="DD165" i="3"/>
  <c r="DE165" i="3"/>
  <c r="DF165" i="3"/>
  <c r="DG165" i="3"/>
  <c r="DH165" i="3"/>
  <c r="DI165" i="3"/>
  <c r="DJ165" i="3"/>
  <c r="DK165" i="3"/>
  <c r="DL165" i="3"/>
  <c r="DM165" i="3"/>
  <c r="DN165" i="3"/>
  <c r="DO165" i="3"/>
  <c r="DP165" i="3"/>
  <c r="DQ165" i="3"/>
  <c r="DR165" i="3"/>
  <c r="DS165" i="3"/>
  <c r="DT165" i="3"/>
  <c r="DU165" i="3"/>
  <c r="DV165" i="3"/>
  <c r="DW165" i="3"/>
  <c r="DX165" i="3"/>
  <c r="DY165" i="3"/>
  <c r="DZ165" i="3"/>
  <c r="EA165" i="3"/>
  <c r="EB165" i="3"/>
  <c r="EC165" i="3"/>
  <c r="ED165" i="3"/>
  <c r="EE165" i="3"/>
  <c r="EF165" i="3"/>
  <c r="EG165" i="3"/>
  <c r="EI165" i="3"/>
  <c r="EJ165" i="3"/>
  <c r="EK165" i="3"/>
  <c r="EL165" i="3"/>
  <c r="EM165" i="3"/>
  <c r="EN165" i="3"/>
  <c r="EO165" i="3"/>
  <c r="EP165" i="3"/>
  <c r="EQ165" i="3"/>
  <c r="ER165" i="3"/>
  <c r="ES165" i="3"/>
  <c r="ET165" i="3"/>
  <c r="EU165" i="3"/>
  <c r="EV165" i="3"/>
  <c r="EW165" i="3"/>
  <c r="EX165" i="3"/>
  <c r="EY165" i="3"/>
  <c r="EZ165" i="3"/>
  <c r="FA165" i="3"/>
  <c r="FB165" i="3"/>
  <c r="FC165" i="3"/>
  <c r="FD165" i="3"/>
  <c r="FE165" i="3"/>
  <c r="FF165" i="3"/>
  <c r="FG165" i="3"/>
  <c r="FH165" i="3"/>
  <c r="FI165" i="3"/>
  <c r="FJ165" i="3"/>
  <c r="FK165" i="3"/>
  <c r="FL165" i="3"/>
  <c r="FM165" i="3"/>
  <c r="FN165" i="3"/>
  <c r="FO165" i="3"/>
  <c r="FP165" i="3"/>
  <c r="FQ165" i="3"/>
  <c r="FR165" i="3"/>
  <c r="FS165" i="3"/>
  <c r="FT165" i="3"/>
  <c r="FU165" i="3"/>
  <c r="FV165" i="3"/>
  <c r="FW165" i="3"/>
  <c r="FX165" i="3"/>
  <c r="FY165" i="3"/>
  <c r="FZ165" i="3"/>
  <c r="GA165" i="3"/>
  <c r="GB165" i="3"/>
  <c r="GC165" i="3"/>
  <c r="GD165" i="3"/>
  <c r="GE165" i="3"/>
  <c r="GF165" i="3"/>
  <c r="GG165" i="3"/>
  <c r="GH165" i="3"/>
  <c r="GI165" i="3"/>
  <c r="GJ165" i="3"/>
  <c r="GK165" i="3"/>
  <c r="GL165" i="3"/>
  <c r="GM165" i="3"/>
  <c r="GN165" i="3"/>
  <c r="GO165" i="3"/>
  <c r="GP165" i="3"/>
  <c r="GQ165" i="3"/>
  <c r="GR165" i="3"/>
  <c r="GS165" i="3"/>
  <c r="GT165" i="3"/>
  <c r="GU165" i="3"/>
  <c r="GV165" i="3"/>
  <c r="GW165" i="3"/>
  <c r="GX165" i="3"/>
  <c r="GY165" i="3"/>
  <c r="GZ165" i="3"/>
  <c r="HA165" i="3"/>
  <c r="HB165" i="3"/>
  <c r="HC165" i="3"/>
  <c r="HD165" i="3"/>
  <c r="HE165" i="3"/>
  <c r="HF165" i="3"/>
  <c r="HG165" i="3"/>
  <c r="HH165" i="3"/>
  <c r="HI165" i="3"/>
  <c r="HJ165" i="3"/>
  <c r="HK165" i="3"/>
  <c r="HL165" i="3"/>
  <c r="HM165" i="3"/>
  <c r="HN165" i="3"/>
  <c r="HO165" i="3"/>
  <c r="HP165" i="3"/>
  <c r="HQ165" i="3"/>
  <c r="HR165" i="3"/>
  <c r="HS165" i="3"/>
  <c r="HT165" i="3"/>
  <c r="HU165" i="3"/>
  <c r="HV165" i="3"/>
  <c r="HW165" i="3"/>
  <c r="HX165" i="3"/>
  <c r="HY165" i="3"/>
  <c r="HZ165" i="3"/>
  <c r="IA165" i="3"/>
  <c r="IB165" i="3"/>
  <c r="IC165" i="3"/>
  <c r="ID165" i="3"/>
  <c r="IE165" i="3"/>
  <c r="IF165" i="3"/>
  <c r="IG165" i="3"/>
  <c r="IH165" i="3"/>
  <c r="II165" i="3"/>
  <c r="IJ165" i="3"/>
  <c r="IK165" i="3"/>
  <c r="IL165" i="3"/>
  <c r="IM165" i="3"/>
  <c r="IN165" i="3"/>
  <c r="IO165" i="3"/>
  <c r="IP165" i="3"/>
  <c r="IQ165" i="3"/>
  <c r="IR165" i="3"/>
  <c r="IS165" i="3"/>
  <c r="IT165" i="3"/>
  <c r="IU165" i="3"/>
  <c r="IV165" i="3"/>
  <c r="IW165" i="3"/>
  <c r="IX165" i="3"/>
  <c r="IY165" i="3"/>
  <c r="IZ165" i="3"/>
  <c r="JA165" i="3"/>
  <c r="JB165" i="3"/>
  <c r="JC165" i="3"/>
  <c r="JD165" i="3"/>
  <c r="JE165" i="3"/>
  <c r="JF165" i="3"/>
  <c r="JG165" i="3"/>
  <c r="JH165" i="3"/>
  <c r="JI165" i="3"/>
  <c r="JJ165" i="3"/>
  <c r="JK165" i="3"/>
  <c r="JL165" i="3"/>
  <c r="JM165" i="3"/>
  <c r="A156" i="3"/>
  <c r="B156" i="3"/>
  <c r="C156" i="3"/>
  <c r="D156" i="3"/>
  <c r="E156" i="3"/>
  <c r="F156" i="3"/>
  <c r="G156" i="3"/>
  <c r="H156" i="3"/>
  <c r="I156" i="3"/>
  <c r="J156" i="3"/>
  <c r="K156"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K156" i="3"/>
  <c r="AL156" i="3"/>
  <c r="AM156" i="3"/>
  <c r="AN156" i="3"/>
  <c r="AO156" i="3"/>
  <c r="AP156" i="3"/>
  <c r="AQ156" i="3"/>
  <c r="AR156" i="3"/>
  <c r="AS156" i="3"/>
  <c r="AT156" i="3"/>
  <c r="AU156" i="3"/>
  <c r="AV156" i="3"/>
  <c r="AW156" i="3"/>
  <c r="AX156" i="3"/>
  <c r="AY156" i="3"/>
  <c r="AZ156" i="3"/>
  <c r="BA156" i="3"/>
  <c r="BB156" i="3"/>
  <c r="BC156" i="3"/>
  <c r="BD156" i="3"/>
  <c r="BE156" i="3"/>
  <c r="BF156" i="3"/>
  <c r="BG156" i="3"/>
  <c r="BH156" i="3"/>
  <c r="BI156" i="3"/>
  <c r="BJ156" i="3"/>
  <c r="BK156" i="3"/>
  <c r="BL156" i="3"/>
  <c r="BM156" i="3"/>
  <c r="BN156" i="3"/>
  <c r="BO156" i="3"/>
  <c r="BP156" i="3"/>
  <c r="BQ156" i="3"/>
  <c r="BR156" i="3"/>
  <c r="BS156" i="3"/>
  <c r="BT156" i="3"/>
  <c r="BU156" i="3"/>
  <c r="BV156" i="3"/>
  <c r="BW156" i="3"/>
  <c r="BX156" i="3"/>
  <c r="BY156" i="3"/>
  <c r="BZ156" i="3"/>
  <c r="CA156" i="3"/>
  <c r="CB156" i="3"/>
  <c r="CC156" i="3"/>
  <c r="CD156" i="3"/>
  <c r="CE156" i="3"/>
  <c r="CF156" i="3"/>
  <c r="CG156" i="3"/>
  <c r="CH156" i="3"/>
  <c r="CI156" i="3"/>
  <c r="CJ156" i="3"/>
  <c r="CK156" i="3"/>
  <c r="CL156" i="3"/>
  <c r="CM156" i="3"/>
  <c r="CN156" i="3"/>
  <c r="CO156" i="3"/>
  <c r="CP156" i="3"/>
  <c r="CQ156" i="3"/>
  <c r="CR156" i="3"/>
  <c r="CS156" i="3"/>
  <c r="CT156" i="3"/>
  <c r="CU156" i="3"/>
  <c r="CV156" i="3"/>
  <c r="CW156" i="3"/>
  <c r="CX156" i="3"/>
  <c r="CY156" i="3"/>
  <c r="CZ156" i="3"/>
  <c r="DA156" i="3"/>
  <c r="DB156" i="3"/>
  <c r="DC156" i="3"/>
  <c r="DD156" i="3"/>
  <c r="DE156" i="3"/>
  <c r="DF156" i="3"/>
  <c r="DG156" i="3"/>
  <c r="DH156" i="3"/>
  <c r="DI156" i="3"/>
  <c r="DJ156" i="3"/>
  <c r="DK156" i="3"/>
  <c r="DL156" i="3"/>
  <c r="DM156" i="3"/>
  <c r="DN156" i="3"/>
  <c r="DO156" i="3"/>
  <c r="DP156" i="3"/>
  <c r="DQ156" i="3"/>
  <c r="DR156" i="3"/>
  <c r="DS156" i="3"/>
  <c r="DT156" i="3"/>
  <c r="DU156" i="3"/>
  <c r="DV156" i="3"/>
  <c r="DW156" i="3"/>
  <c r="DX156" i="3"/>
  <c r="DY156" i="3"/>
  <c r="DZ156" i="3"/>
  <c r="EA156" i="3"/>
  <c r="EB156" i="3"/>
  <c r="EC156" i="3"/>
  <c r="ED156" i="3"/>
  <c r="EE156" i="3"/>
  <c r="EF156" i="3"/>
  <c r="EG156" i="3"/>
  <c r="EI156" i="3"/>
  <c r="EJ156" i="3"/>
  <c r="EK156" i="3"/>
  <c r="EL156" i="3"/>
  <c r="EM156" i="3"/>
  <c r="EN156" i="3"/>
  <c r="EO156" i="3"/>
  <c r="EP156" i="3"/>
  <c r="EQ156" i="3"/>
  <c r="ER156" i="3"/>
  <c r="ES156" i="3"/>
  <c r="ET156" i="3"/>
  <c r="EU156" i="3"/>
  <c r="EV156" i="3"/>
  <c r="EW156" i="3"/>
  <c r="EX156" i="3"/>
  <c r="EY156" i="3"/>
  <c r="EZ156" i="3"/>
  <c r="FA156" i="3"/>
  <c r="FB156" i="3"/>
  <c r="FC156" i="3"/>
  <c r="FD156" i="3"/>
  <c r="FE156" i="3"/>
  <c r="FF156" i="3"/>
  <c r="FG156" i="3"/>
  <c r="FH156" i="3"/>
  <c r="FI156" i="3"/>
  <c r="FJ156" i="3"/>
  <c r="FK156" i="3"/>
  <c r="FL156" i="3"/>
  <c r="FM156" i="3"/>
  <c r="FN156" i="3"/>
  <c r="FO156" i="3"/>
  <c r="FP156" i="3"/>
  <c r="FQ156" i="3"/>
  <c r="FR156" i="3"/>
  <c r="FS156" i="3"/>
  <c r="FT156" i="3"/>
  <c r="FU156" i="3"/>
  <c r="FV156" i="3"/>
  <c r="FW156" i="3"/>
  <c r="FX156" i="3"/>
  <c r="FY156" i="3"/>
  <c r="FZ156" i="3"/>
  <c r="GA156" i="3"/>
  <c r="GB156" i="3"/>
  <c r="GC156" i="3"/>
  <c r="GD156" i="3"/>
  <c r="GE156" i="3"/>
  <c r="GF156" i="3"/>
  <c r="GG156" i="3"/>
  <c r="GH156" i="3"/>
  <c r="GI156" i="3"/>
  <c r="GJ156" i="3"/>
  <c r="GK156" i="3"/>
  <c r="GL156" i="3"/>
  <c r="GM156" i="3"/>
  <c r="GN156" i="3"/>
  <c r="GO156" i="3"/>
  <c r="GP156" i="3"/>
  <c r="GQ156" i="3"/>
  <c r="GR156" i="3"/>
  <c r="GS156" i="3"/>
  <c r="GT156" i="3"/>
  <c r="GU156" i="3"/>
  <c r="GV156" i="3"/>
  <c r="GW156" i="3"/>
  <c r="GX156" i="3"/>
  <c r="GY156" i="3"/>
  <c r="GZ156" i="3"/>
  <c r="HA156" i="3"/>
  <c r="HB156" i="3"/>
  <c r="HC156" i="3"/>
  <c r="HD156" i="3"/>
  <c r="HE156" i="3"/>
  <c r="HF156" i="3"/>
  <c r="HG156" i="3"/>
  <c r="HH156" i="3"/>
  <c r="HI156" i="3"/>
  <c r="HJ156" i="3"/>
  <c r="HK156" i="3"/>
  <c r="HL156" i="3"/>
  <c r="HM156" i="3"/>
  <c r="HN156" i="3"/>
  <c r="HO156" i="3"/>
  <c r="HP156" i="3"/>
  <c r="HQ156" i="3"/>
  <c r="HR156" i="3"/>
  <c r="HS156" i="3"/>
  <c r="HT156" i="3"/>
  <c r="HU156" i="3"/>
  <c r="HV156" i="3"/>
  <c r="HW156" i="3"/>
  <c r="HX156" i="3"/>
  <c r="HY156" i="3"/>
  <c r="HZ156" i="3"/>
  <c r="IA156" i="3"/>
  <c r="IB156" i="3"/>
  <c r="IC156" i="3"/>
  <c r="ID156" i="3"/>
  <c r="IE156" i="3"/>
  <c r="IF156" i="3"/>
  <c r="IG156" i="3"/>
  <c r="IH156" i="3"/>
  <c r="II156" i="3"/>
  <c r="IJ156" i="3"/>
  <c r="IK156" i="3"/>
  <c r="IL156" i="3"/>
  <c r="IM156" i="3"/>
  <c r="IN156" i="3"/>
  <c r="IO156" i="3"/>
  <c r="IP156" i="3"/>
  <c r="IQ156" i="3"/>
  <c r="IR156" i="3"/>
  <c r="IS156" i="3"/>
  <c r="IT156" i="3"/>
  <c r="IU156" i="3"/>
  <c r="IV156" i="3"/>
  <c r="IW156" i="3"/>
  <c r="IX156" i="3"/>
  <c r="IY156" i="3"/>
  <c r="IZ156" i="3"/>
  <c r="JA156" i="3"/>
  <c r="JB156" i="3"/>
  <c r="JC156" i="3"/>
  <c r="JD156" i="3"/>
  <c r="JE156" i="3"/>
  <c r="JF156" i="3"/>
  <c r="JG156" i="3"/>
  <c r="JH156" i="3"/>
  <c r="JI156" i="3"/>
  <c r="JJ156" i="3"/>
  <c r="JK156" i="3"/>
  <c r="JL156" i="3"/>
  <c r="JM156" i="3"/>
  <c r="A157" i="3"/>
  <c r="B157" i="3"/>
  <c r="E157" i="3"/>
  <c r="F157" i="3"/>
  <c r="G157" i="3"/>
  <c r="H157" i="3"/>
  <c r="I157" i="3"/>
  <c r="J157" i="3"/>
  <c r="K157"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K157" i="3"/>
  <c r="AL157" i="3"/>
  <c r="AM157" i="3"/>
  <c r="AN157" i="3"/>
  <c r="AO157" i="3"/>
  <c r="AP157" i="3"/>
  <c r="AQ157" i="3"/>
  <c r="AR157" i="3"/>
  <c r="AS157" i="3"/>
  <c r="AT157" i="3"/>
  <c r="AU157" i="3"/>
  <c r="AV157" i="3"/>
  <c r="AW157" i="3"/>
  <c r="AX157" i="3"/>
  <c r="AY157" i="3"/>
  <c r="AZ157" i="3"/>
  <c r="BA157" i="3"/>
  <c r="BB157" i="3"/>
  <c r="BC157" i="3"/>
  <c r="BD157" i="3"/>
  <c r="BE157" i="3"/>
  <c r="BF157" i="3"/>
  <c r="BG157" i="3"/>
  <c r="BH157" i="3"/>
  <c r="BI157" i="3"/>
  <c r="BJ157" i="3"/>
  <c r="BK157" i="3"/>
  <c r="BL157" i="3"/>
  <c r="BM157" i="3"/>
  <c r="BN157" i="3"/>
  <c r="BO157" i="3"/>
  <c r="BP157" i="3"/>
  <c r="BQ157" i="3"/>
  <c r="BR157" i="3"/>
  <c r="BS157" i="3"/>
  <c r="BT157" i="3"/>
  <c r="BU157" i="3"/>
  <c r="BV157" i="3"/>
  <c r="BW157" i="3"/>
  <c r="BX157" i="3"/>
  <c r="BY157" i="3"/>
  <c r="BZ157" i="3"/>
  <c r="CA157" i="3"/>
  <c r="CB157" i="3"/>
  <c r="CC157" i="3"/>
  <c r="CD157" i="3"/>
  <c r="CE157" i="3"/>
  <c r="CF157" i="3"/>
  <c r="CG157" i="3"/>
  <c r="CH157" i="3"/>
  <c r="CI157" i="3"/>
  <c r="CJ157" i="3"/>
  <c r="CK157" i="3"/>
  <c r="CL157" i="3"/>
  <c r="CM157" i="3"/>
  <c r="CN157" i="3"/>
  <c r="CO157" i="3"/>
  <c r="CP157" i="3"/>
  <c r="CQ157" i="3"/>
  <c r="CR157" i="3"/>
  <c r="CS157" i="3"/>
  <c r="CT157" i="3"/>
  <c r="CU157" i="3"/>
  <c r="CV157" i="3"/>
  <c r="CW157" i="3"/>
  <c r="CX157" i="3"/>
  <c r="CY157" i="3"/>
  <c r="CZ157" i="3"/>
  <c r="DA157" i="3"/>
  <c r="DB157" i="3"/>
  <c r="DC157" i="3"/>
  <c r="DD157" i="3"/>
  <c r="DE157" i="3"/>
  <c r="DF157" i="3"/>
  <c r="DG157" i="3"/>
  <c r="DH157" i="3"/>
  <c r="DI157" i="3"/>
  <c r="DJ157" i="3"/>
  <c r="DK157" i="3"/>
  <c r="DL157" i="3"/>
  <c r="DM157" i="3"/>
  <c r="DN157" i="3"/>
  <c r="DO157" i="3"/>
  <c r="DP157" i="3"/>
  <c r="DQ157" i="3"/>
  <c r="DR157" i="3"/>
  <c r="DS157" i="3"/>
  <c r="DT157" i="3"/>
  <c r="DU157" i="3"/>
  <c r="DV157" i="3"/>
  <c r="DW157" i="3"/>
  <c r="DX157" i="3"/>
  <c r="DY157" i="3"/>
  <c r="DZ157" i="3"/>
  <c r="EA157" i="3"/>
  <c r="EB157" i="3"/>
  <c r="EC157" i="3"/>
  <c r="ED157" i="3"/>
  <c r="EE157" i="3"/>
  <c r="EF157" i="3"/>
  <c r="EG157" i="3"/>
  <c r="EI157" i="3"/>
  <c r="EJ157" i="3"/>
  <c r="EK157" i="3"/>
  <c r="EL157" i="3"/>
  <c r="EM157" i="3"/>
  <c r="EN157" i="3"/>
  <c r="EO157" i="3"/>
  <c r="EP157" i="3"/>
  <c r="EQ157" i="3"/>
  <c r="ER157" i="3"/>
  <c r="ES157" i="3"/>
  <c r="ET157" i="3"/>
  <c r="EU157" i="3"/>
  <c r="EV157" i="3"/>
  <c r="EW157" i="3"/>
  <c r="EX157" i="3"/>
  <c r="EY157" i="3"/>
  <c r="EZ157" i="3"/>
  <c r="FA157" i="3"/>
  <c r="FB157" i="3"/>
  <c r="FC157" i="3"/>
  <c r="FD157" i="3"/>
  <c r="FE157" i="3"/>
  <c r="FF157" i="3"/>
  <c r="FG157" i="3"/>
  <c r="FH157" i="3"/>
  <c r="FI157" i="3"/>
  <c r="FJ157" i="3"/>
  <c r="FK157" i="3"/>
  <c r="FL157" i="3"/>
  <c r="FM157" i="3"/>
  <c r="FN157" i="3"/>
  <c r="FO157" i="3"/>
  <c r="FP157" i="3"/>
  <c r="FQ157" i="3"/>
  <c r="FR157" i="3"/>
  <c r="FS157" i="3"/>
  <c r="FT157" i="3"/>
  <c r="FU157" i="3"/>
  <c r="FV157" i="3"/>
  <c r="FW157" i="3"/>
  <c r="FX157" i="3"/>
  <c r="FY157" i="3"/>
  <c r="FZ157" i="3"/>
  <c r="GA157" i="3"/>
  <c r="GB157" i="3"/>
  <c r="GC157" i="3"/>
  <c r="GD157" i="3"/>
  <c r="GE157" i="3"/>
  <c r="GF157" i="3"/>
  <c r="GG157" i="3"/>
  <c r="GH157" i="3"/>
  <c r="GI157" i="3"/>
  <c r="GJ157" i="3"/>
  <c r="GK157" i="3"/>
  <c r="GL157" i="3"/>
  <c r="GM157" i="3"/>
  <c r="GN157" i="3"/>
  <c r="GO157" i="3"/>
  <c r="GP157" i="3"/>
  <c r="GQ157" i="3"/>
  <c r="GR157" i="3"/>
  <c r="GS157" i="3"/>
  <c r="GT157" i="3"/>
  <c r="GU157" i="3"/>
  <c r="GV157" i="3"/>
  <c r="GW157" i="3"/>
  <c r="GX157" i="3"/>
  <c r="GY157" i="3"/>
  <c r="GZ157" i="3"/>
  <c r="HA157" i="3"/>
  <c r="HB157" i="3"/>
  <c r="HC157" i="3"/>
  <c r="HD157" i="3"/>
  <c r="HE157" i="3"/>
  <c r="HF157" i="3"/>
  <c r="HG157" i="3"/>
  <c r="HH157" i="3"/>
  <c r="HI157" i="3"/>
  <c r="HJ157" i="3"/>
  <c r="HK157" i="3"/>
  <c r="HL157" i="3"/>
  <c r="HM157" i="3"/>
  <c r="HN157" i="3"/>
  <c r="HO157" i="3"/>
  <c r="HP157" i="3"/>
  <c r="HQ157" i="3"/>
  <c r="HR157" i="3"/>
  <c r="HS157" i="3"/>
  <c r="HT157" i="3"/>
  <c r="HU157" i="3"/>
  <c r="HV157" i="3"/>
  <c r="HW157" i="3"/>
  <c r="HX157" i="3"/>
  <c r="HY157" i="3"/>
  <c r="HZ157" i="3"/>
  <c r="IA157" i="3"/>
  <c r="IB157" i="3"/>
  <c r="IC157" i="3"/>
  <c r="ID157" i="3"/>
  <c r="IE157" i="3"/>
  <c r="IF157" i="3"/>
  <c r="IG157" i="3"/>
  <c r="IH157" i="3"/>
  <c r="II157" i="3"/>
  <c r="IJ157" i="3"/>
  <c r="IK157" i="3"/>
  <c r="IL157" i="3"/>
  <c r="IM157" i="3"/>
  <c r="IN157" i="3"/>
  <c r="IO157" i="3"/>
  <c r="IP157" i="3"/>
  <c r="IQ157" i="3"/>
  <c r="IR157" i="3"/>
  <c r="IS157" i="3"/>
  <c r="IT157" i="3"/>
  <c r="IU157" i="3"/>
  <c r="IV157" i="3"/>
  <c r="IW157" i="3"/>
  <c r="IX157" i="3"/>
  <c r="IY157" i="3"/>
  <c r="IZ157" i="3"/>
  <c r="JA157" i="3"/>
  <c r="JB157" i="3"/>
  <c r="JC157" i="3"/>
  <c r="JD157" i="3"/>
  <c r="JE157" i="3"/>
  <c r="JF157" i="3"/>
  <c r="JG157" i="3"/>
  <c r="JH157" i="3"/>
  <c r="JI157" i="3"/>
  <c r="JJ157" i="3"/>
  <c r="JK157" i="3"/>
  <c r="JL157" i="3"/>
  <c r="JM157" i="3"/>
  <c r="A158" i="3"/>
  <c r="B158" i="3"/>
  <c r="C158" i="3"/>
  <c r="D158" i="3"/>
  <c r="E158" i="3"/>
  <c r="F158" i="3"/>
  <c r="G158" i="3"/>
  <c r="H158" i="3"/>
  <c r="I158" i="3"/>
  <c r="J158" i="3"/>
  <c r="K158"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K158" i="3"/>
  <c r="AL158" i="3"/>
  <c r="AM158" i="3"/>
  <c r="AN158" i="3"/>
  <c r="AO158" i="3"/>
  <c r="AP158" i="3"/>
  <c r="AQ158" i="3"/>
  <c r="AR158" i="3"/>
  <c r="AS158" i="3"/>
  <c r="AT158" i="3"/>
  <c r="AU158" i="3"/>
  <c r="AV158" i="3"/>
  <c r="AW158" i="3"/>
  <c r="AX158" i="3"/>
  <c r="AY158" i="3"/>
  <c r="AZ158" i="3"/>
  <c r="BA158" i="3"/>
  <c r="BB158" i="3"/>
  <c r="BC158" i="3"/>
  <c r="BD158" i="3"/>
  <c r="BE158" i="3"/>
  <c r="BF158" i="3"/>
  <c r="BG158" i="3"/>
  <c r="BH158" i="3"/>
  <c r="BI158" i="3"/>
  <c r="BJ158" i="3"/>
  <c r="BK158" i="3"/>
  <c r="BL158" i="3"/>
  <c r="BM158" i="3"/>
  <c r="BN158" i="3"/>
  <c r="BO158" i="3"/>
  <c r="BP158" i="3"/>
  <c r="BQ158" i="3"/>
  <c r="BR158" i="3"/>
  <c r="BS158" i="3"/>
  <c r="BT158" i="3"/>
  <c r="BU158" i="3"/>
  <c r="BV158" i="3"/>
  <c r="BW158" i="3"/>
  <c r="BX158" i="3"/>
  <c r="BY158" i="3"/>
  <c r="BZ158" i="3"/>
  <c r="CA158" i="3"/>
  <c r="CB158" i="3"/>
  <c r="CC158" i="3"/>
  <c r="CD158" i="3"/>
  <c r="CE158" i="3"/>
  <c r="CF158" i="3"/>
  <c r="CG158" i="3"/>
  <c r="CH158" i="3"/>
  <c r="CI158" i="3"/>
  <c r="CJ158" i="3"/>
  <c r="CK158" i="3"/>
  <c r="CL158" i="3"/>
  <c r="CM158" i="3"/>
  <c r="CN158" i="3"/>
  <c r="CO158" i="3"/>
  <c r="CP158" i="3"/>
  <c r="CQ158" i="3"/>
  <c r="CR158" i="3"/>
  <c r="CS158" i="3"/>
  <c r="CT158" i="3"/>
  <c r="CU158" i="3"/>
  <c r="CV158" i="3"/>
  <c r="CW158" i="3"/>
  <c r="CX158" i="3"/>
  <c r="CY158" i="3"/>
  <c r="CZ158" i="3"/>
  <c r="DA158" i="3"/>
  <c r="DB158" i="3"/>
  <c r="DC158" i="3"/>
  <c r="DD158" i="3"/>
  <c r="DE158" i="3"/>
  <c r="DF158" i="3"/>
  <c r="DG158" i="3"/>
  <c r="DH158" i="3"/>
  <c r="DI158" i="3"/>
  <c r="DJ158" i="3"/>
  <c r="DK158" i="3"/>
  <c r="DL158" i="3"/>
  <c r="DM158" i="3"/>
  <c r="DN158" i="3"/>
  <c r="DO158" i="3"/>
  <c r="DP158" i="3"/>
  <c r="DQ158" i="3"/>
  <c r="DR158" i="3"/>
  <c r="DS158" i="3"/>
  <c r="DT158" i="3"/>
  <c r="DU158" i="3"/>
  <c r="DV158" i="3"/>
  <c r="DW158" i="3"/>
  <c r="DX158" i="3"/>
  <c r="DY158" i="3"/>
  <c r="DZ158" i="3"/>
  <c r="EA158" i="3"/>
  <c r="EB158" i="3"/>
  <c r="EC158" i="3"/>
  <c r="ED158" i="3"/>
  <c r="EE158" i="3"/>
  <c r="EF158" i="3"/>
  <c r="EG158" i="3"/>
  <c r="EI158" i="3"/>
  <c r="EJ158" i="3"/>
  <c r="EK158" i="3"/>
  <c r="EL158" i="3"/>
  <c r="EM158" i="3"/>
  <c r="EN158" i="3"/>
  <c r="EO158" i="3"/>
  <c r="EP158" i="3"/>
  <c r="EQ158" i="3"/>
  <c r="ER158" i="3"/>
  <c r="ES158" i="3"/>
  <c r="ET158" i="3"/>
  <c r="EU158" i="3"/>
  <c r="EV158" i="3"/>
  <c r="EW158" i="3"/>
  <c r="EX158" i="3"/>
  <c r="EY158" i="3"/>
  <c r="EZ158" i="3"/>
  <c r="FA158" i="3"/>
  <c r="FB158" i="3"/>
  <c r="FC158" i="3"/>
  <c r="FD158" i="3"/>
  <c r="FE158" i="3"/>
  <c r="FF158" i="3"/>
  <c r="FG158" i="3"/>
  <c r="FH158" i="3"/>
  <c r="FI158" i="3"/>
  <c r="FJ158" i="3"/>
  <c r="FK158" i="3"/>
  <c r="FL158" i="3"/>
  <c r="FM158" i="3"/>
  <c r="FN158" i="3"/>
  <c r="FO158" i="3"/>
  <c r="FP158" i="3"/>
  <c r="FQ158" i="3"/>
  <c r="FR158" i="3"/>
  <c r="FS158" i="3"/>
  <c r="FT158" i="3"/>
  <c r="FU158" i="3"/>
  <c r="FV158" i="3"/>
  <c r="FW158" i="3"/>
  <c r="FX158" i="3"/>
  <c r="FY158" i="3"/>
  <c r="FZ158" i="3"/>
  <c r="GA158" i="3"/>
  <c r="GB158" i="3"/>
  <c r="GC158" i="3"/>
  <c r="GD158" i="3"/>
  <c r="GE158" i="3"/>
  <c r="GF158" i="3"/>
  <c r="GG158" i="3"/>
  <c r="GH158" i="3"/>
  <c r="GI158" i="3"/>
  <c r="GJ158" i="3"/>
  <c r="GK158" i="3"/>
  <c r="GL158" i="3"/>
  <c r="GM158" i="3"/>
  <c r="GN158" i="3"/>
  <c r="GO158" i="3"/>
  <c r="GP158" i="3"/>
  <c r="GQ158" i="3"/>
  <c r="GR158" i="3"/>
  <c r="GS158" i="3"/>
  <c r="GT158" i="3"/>
  <c r="GU158" i="3"/>
  <c r="GV158" i="3"/>
  <c r="GW158" i="3"/>
  <c r="GX158" i="3"/>
  <c r="GY158" i="3"/>
  <c r="GZ158" i="3"/>
  <c r="HA158" i="3"/>
  <c r="HB158" i="3"/>
  <c r="HC158" i="3"/>
  <c r="HD158" i="3"/>
  <c r="HE158" i="3"/>
  <c r="HF158" i="3"/>
  <c r="HG158" i="3"/>
  <c r="HH158" i="3"/>
  <c r="HI158" i="3"/>
  <c r="HJ158" i="3"/>
  <c r="HK158" i="3"/>
  <c r="HL158" i="3"/>
  <c r="HM158" i="3"/>
  <c r="HN158" i="3"/>
  <c r="HO158" i="3"/>
  <c r="HP158" i="3"/>
  <c r="HQ158" i="3"/>
  <c r="HR158" i="3"/>
  <c r="HS158" i="3"/>
  <c r="HT158" i="3"/>
  <c r="HU158" i="3"/>
  <c r="HV158" i="3"/>
  <c r="HW158" i="3"/>
  <c r="HX158" i="3"/>
  <c r="HY158" i="3"/>
  <c r="HZ158" i="3"/>
  <c r="IA158" i="3"/>
  <c r="IB158" i="3"/>
  <c r="IC158" i="3"/>
  <c r="ID158" i="3"/>
  <c r="IE158" i="3"/>
  <c r="IF158" i="3"/>
  <c r="IG158" i="3"/>
  <c r="IH158" i="3"/>
  <c r="II158" i="3"/>
  <c r="IJ158" i="3"/>
  <c r="IK158" i="3"/>
  <c r="IL158" i="3"/>
  <c r="IM158" i="3"/>
  <c r="IN158" i="3"/>
  <c r="IO158" i="3"/>
  <c r="IP158" i="3"/>
  <c r="IQ158" i="3"/>
  <c r="IR158" i="3"/>
  <c r="IS158" i="3"/>
  <c r="IT158" i="3"/>
  <c r="IU158" i="3"/>
  <c r="IV158" i="3"/>
  <c r="IW158" i="3"/>
  <c r="IX158" i="3"/>
  <c r="IY158" i="3"/>
  <c r="IZ158" i="3"/>
  <c r="JA158" i="3"/>
  <c r="JB158" i="3"/>
  <c r="JC158" i="3"/>
  <c r="JD158" i="3"/>
  <c r="JE158" i="3"/>
  <c r="JF158" i="3"/>
  <c r="JG158" i="3"/>
  <c r="JH158" i="3"/>
  <c r="JI158" i="3"/>
  <c r="JJ158" i="3"/>
  <c r="JK158" i="3"/>
  <c r="JL158" i="3"/>
  <c r="JM158" i="3"/>
  <c r="A159" i="3"/>
  <c r="B159" i="3"/>
  <c r="K159"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K159" i="3"/>
  <c r="AL159" i="3"/>
  <c r="AM159" i="3"/>
  <c r="AN159" i="3"/>
  <c r="AO159" i="3"/>
  <c r="AP159" i="3"/>
  <c r="AQ159" i="3"/>
  <c r="AR159" i="3"/>
  <c r="AS159" i="3"/>
  <c r="AT159" i="3"/>
  <c r="AU159" i="3"/>
  <c r="AV159" i="3"/>
  <c r="AW159" i="3"/>
  <c r="AX159" i="3"/>
  <c r="AY159" i="3"/>
  <c r="AZ159" i="3"/>
  <c r="BA159" i="3"/>
  <c r="BB159" i="3"/>
  <c r="BC159" i="3"/>
  <c r="BD159" i="3"/>
  <c r="BE159" i="3"/>
  <c r="BF159" i="3"/>
  <c r="BG159" i="3"/>
  <c r="BH159" i="3"/>
  <c r="BI159" i="3"/>
  <c r="BJ159" i="3"/>
  <c r="BK159" i="3"/>
  <c r="BL159" i="3"/>
  <c r="BM159" i="3"/>
  <c r="BN159" i="3"/>
  <c r="BO159" i="3"/>
  <c r="BP159" i="3"/>
  <c r="BQ159" i="3"/>
  <c r="BR159" i="3"/>
  <c r="BS159" i="3"/>
  <c r="BT159" i="3"/>
  <c r="BU159" i="3"/>
  <c r="BV159" i="3"/>
  <c r="BW159" i="3"/>
  <c r="BX159" i="3"/>
  <c r="BY159" i="3"/>
  <c r="BZ159" i="3"/>
  <c r="CA159" i="3"/>
  <c r="CB159" i="3"/>
  <c r="CC159" i="3"/>
  <c r="CD159" i="3"/>
  <c r="CE159" i="3"/>
  <c r="CF159" i="3"/>
  <c r="CG159" i="3"/>
  <c r="CH159" i="3"/>
  <c r="CI159" i="3"/>
  <c r="CJ159" i="3"/>
  <c r="CK159" i="3"/>
  <c r="CL159" i="3"/>
  <c r="CM159" i="3"/>
  <c r="CN159" i="3"/>
  <c r="CO159" i="3"/>
  <c r="CP159" i="3"/>
  <c r="CQ159" i="3"/>
  <c r="CR159" i="3"/>
  <c r="CS159" i="3"/>
  <c r="CT159" i="3"/>
  <c r="CU159" i="3"/>
  <c r="CV159" i="3"/>
  <c r="CW159" i="3"/>
  <c r="CX159" i="3"/>
  <c r="CY159" i="3"/>
  <c r="CZ159" i="3"/>
  <c r="DA159" i="3"/>
  <c r="DB159" i="3"/>
  <c r="DC159" i="3"/>
  <c r="DD159" i="3"/>
  <c r="DE159" i="3"/>
  <c r="DF159" i="3"/>
  <c r="DG159" i="3"/>
  <c r="DH159" i="3"/>
  <c r="DI159" i="3"/>
  <c r="DJ159" i="3"/>
  <c r="DK159" i="3"/>
  <c r="DL159" i="3"/>
  <c r="DM159" i="3"/>
  <c r="DN159" i="3"/>
  <c r="DO159" i="3"/>
  <c r="DP159" i="3"/>
  <c r="DQ159" i="3"/>
  <c r="DR159" i="3"/>
  <c r="DS159" i="3"/>
  <c r="DT159" i="3"/>
  <c r="DU159" i="3"/>
  <c r="DV159" i="3"/>
  <c r="DW159" i="3"/>
  <c r="DX159" i="3"/>
  <c r="DY159" i="3"/>
  <c r="DZ159" i="3"/>
  <c r="EA159" i="3"/>
  <c r="EB159" i="3"/>
  <c r="EC159" i="3"/>
  <c r="ED159" i="3"/>
  <c r="EE159" i="3"/>
  <c r="EF159" i="3"/>
  <c r="EG159" i="3"/>
  <c r="EI159" i="3"/>
  <c r="EJ159" i="3"/>
  <c r="EK159" i="3"/>
  <c r="EL159" i="3"/>
  <c r="EM159" i="3"/>
  <c r="EN159" i="3"/>
  <c r="EO159" i="3"/>
  <c r="EP159" i="3"/>
  <c r="EQ159" i="3"/>
  <c r="ER159" i="3"/>
  <c r="ES159" i="3"/>
  <c r="ET159" i="3"/>
  <c r="EU159" i="3"/>
  <c r="EV159" i="3"/>
  <c r="EW159" i="3"/>
  <c r="EX159" i="3"/>
  <c r="EY159" i="3"/>
  <c r="EZ159" i="3"/>
  <c r="FA159" i="3"/>
  <c r="FB159" i="3"/>
  <c r="FC159" i="3"/>
  <c r="FD159" i="3"/>
  <c r="FE159" i="3"/>
  <c r="FF159" i="3"/>
  <c r="FG159" i="3"/>
  <c r="FH159" i="3"/>
  <c r="FI159" i="3"/>
  <c r="FJ159" i="3"/>
  <c r="FK159" i="3"/>
  <c r="FL159" i="3"/>
  <c r="FM159" i="3"/>
  <c r="FN159" i="3"/>
  <c r="FO159" i="3"/>
  <c r="FP159" i="3"/>
  <c r="FQ159" i="3"/>
  <c r="FR159" i="3"/>
  <c r="FS159" i="3"/>
  <c r="FT159" i="3"/>
  <c r="FU159" i="3"/>
  <c r="FV159" i="3"/>
  <c r="FW159" i="3"/>
  <c r="FX159" i="3"/>
  <c r="FY159" i="3"/>
  <c r="FZ159" i="3"/>
  <c r="GA159" i="3"/>
  <c r="GB159" i="3"/>
  <c r="GC159" i="3"/>
  <c r="GD159" i="3"/>
  <c r="GE159" i="3"/>
  <c r="GF159" i="3"/>
  <c r="GG159" i="3"/>
  <c r="GH159" i="3"/>
  <c r="GI159" i="3"/>
  <c r="GJ159" i="3"/>
  <c r="GK159" i="3"/>
  <c r="GL159" i="3"/>
  <c r="GM159" i="3"/>
  <c r="GN159" i="3"/>
  <c r="GO159" i="3"/>
  <c r="GP159" i="3"/>
  <c r="GQ159" i="3"/>
  <c r="GR159" i="3"/>
  <c r="GS159" i="3"/>
  <c r="GT159" i="3"/>
  <c r="GU159" i="3"/>
  <c r="GV159" i="3"/>
  <c r="GW159" i="3"/>
  <c r="GX159" i="3"/>
  <c r="GY159" i="3"/>
  <c r="GZ159" i="3"/>
  <c r="HA159" i="3"/>
  <c r="HB159" i="3"/>
  <c r="HC159" i="3"/>
  <c r="HD159" i="3"/>
  <c r="HE159" i="3"/>
  <c r="HF159" i="3"/>
  <c r="HG159" i="3"/>
  <c r="HH159" i="3"/>
  <c r="HI159" i="3"/>
  <c r="HJ159" i="3"/>
  <c r="HK159" i="3"/>
  <c r="HL159" i="3"/>
  <c r="HM159" i="3"/>
  <c r="HN159" i="3"/>
  <c r="HO159" i="3"/>
  <c r="HP159" i="3"/>
  <c r="HQ159" i="3"/>
  <c r="HR159" i="3"/>
  <c r="HS159" i="3"/>
  <c r="HT159" i="3"/>
  <c r="HU159" i="3"/>
  <c r="HV159" i="3"/>
  <c r="HW159" i="3"/>
  <c r="HX159" i="3"/>
  <c r="HY159" i="3"/>
  <c r="HZ159" i="3"/>
  <c r="IA159" i="3"/>
  <c r="IB159" i="3"/>
  <c r="IC159" i="3"/>
  <c r="ID159" i="3"/>
  <c r="IE159" i="3"/>
  <c r="IF159" i="3"/>
  <c r="IG159" i="3"/>
  <c r="IH159" i="3"/>
  <c r="II159" i="3"/>
  <c r="IJ159" i="3"/>
  <c r="IK159" i="3"/>
  <c r="IL159" i="3"/>
  <c r="IM159" i="3"/>
  <c r="IN159" i="3"/>
  <c r="IO159" i="3"/>
  <c r="IP159" i="3"/>
  <c r="IQ159" i="3"/>
  <c r="IR159" i="3"/>
  <c r="IS159" i="3"/>
  <c r="IT159" i="3"/>
  <c r="IU159" i="3"/>
  <c r="IV159" i="3"/>
  <c r="IW159" i="3"/>
  <c r="IX159" i="3"/>
  <c r="IY159" i="3"/>
  <c r="IZ159" i="3"/>
  <c r="JA159" i="3"/>
  <c r="JB159" i="3"/>
  <c r="JC159" i="3"/>
  <c r="JD159" i="3"/>
  <c r="JE159" i="3"/>
  <c r="JF159" i="3"/>
  <c r="JG159" i="3"/>
  <c r="JH159" i="3"/>
  <c r="JI159" i="3"/>
  <c r="JJ159" i="3"/>
  <c r="JK159" i="3"/>
  <c r="JL159" i="3"/>
  <c r="JM159" i="3"/>
  <c r="A160" i="3"/>
  <c r="B160" i="3"/>
  <c r="G160" i="3"/>
  <c r="H160" i="3"/>
  <c r="I160" i="3"/>
  <c r="J160" i="3"/>
  <c r="K160"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K160" i="3"/>
  <c r="AL160" i="3"/>
  <c r="AM160" i="3"/>
  <c r="AN160" i="3"/>
  <c r="AO160" i="3"/>
  <c r="AP160" i="3"/>
  <c r="AQ160" i="3"/>
  <c r="AR160" i="3"/>
  <c r="AS160" i="3"/>
  <c r="AT160" i="3"/>
  <c r="AU160" i="3"/>
  <c r="AV160" i="3"/>
  <c r="AW160" i="3"/>
  <c r="AX160" i="3"/>
  <c r="AY160" i="3"/>
  <c r="AZ160" i="3"/>
  <c r="BA160" i="3"/>
  <c r="BB160" i="3"/>
  <c r="BC160" i="3"/>
  <c r="BD160" i="3"/>
  <c r="BE160" i="3"/>
  <c r="BF160" i="3"/>
  <c r="BG160" i="3"/>
  <c r="BH160" i="3"/>
  <c r="BI160" i="3"/>
  <c r="BJ160" i="3"/>
  <c r="BK160" i="3"/>
  <c r="BL160" i="3"/>
  <c r="BM160" i="3"/>
  <c r="BN160" i="3"/>
  <c r="BO160" i="3"/>
  <c r="BP160" i="3"/>
  <c r="BQ160" i="3"/>
  <c r="BR160" i="3"/>
  <c r="BS160" i="3"/>
  <c r="BT160" i="3"/>
  <c r="BU160" i="3"/>
  <c r="BV160" i="3"/>
  <c r="BW160" i="3"/>
  <c r="BX160" i="3"/>
  <c r="BY160" i="3"/>
  <c r="BZ160" i="3"/>
  <c r="CA160" i="3"/>
  <c r="CB160" i="3"/>
  <c r="CC160" i="3"/>
  <c r="CD160" i="3"/>
  <c r="CE160" i="3"/>
  <c r="CF160" i="3"/>
  <c r="CG160" i="3"/>
  <c r="CH160" i="3"/>
  <c r="CI160" i="3"/>
  <c r="CJ160" i="3"/>
  <c r="CK160" i="3"/>
  <c r="CL160" i="3"/>
  <c r="CM160" i="3"/>
  <c r="CN160" i="3"/>
  <c r="CO160" i="3"/>
  <c r="CP160" i="3"/>
  <c r="CQ160" i="3"/>
  <c r="CR160" i="3"/>
  <c r="CS160" i="3"/>
  <c r="CT160" i="3"/>
  <c r="CU160" i="3"/>
  <c r="CV160" i="3"/>
  <c r="CW160" i="3"/>
  <c r="CX160" i="3"/>
  <c r="CY160" i="3"/>
  <c r="CZ160" i="3"/>
  <c r="DA160" i="3"/>
  <c r="DB160" i="3"/>
  <c r="DC160" i="3"/>
  <c r="DD160" i="3"/>
  <c r="DE160" i="3"/>
  <c r="DF160" i="3"/>
  <c r="DG160" i="3"/>
  <c r="DH160" i="3"/>
  <c r="DI160" i="3"/>
  <c r="DJ160" i="3"/>
  <c r="DK160" i="3"/>
  <c r="DL160" i="3"/>
  <c r="DM160" i="3"/>
  <c r="DN160" i="3"/>
  <c r="DO160" i="3"/>
  <c r="DP160" i="3"/>
  <c r="DQ160" i="3"/>
  <c r="DR160" i="3"/>
  <c r="DS160" i="3"/>
  <c r="DT160" i="3"/>
  <c r="DU160" i="3"/>
  <c r="DV160" i="3"/>
  <c r="DW160" i="3"/>
  <c r="DX160" i="3"/>
  <c r="DY160" i="3"/>
  <c r="DZ160" i="3"/>
  <c r="EA160" i="3"/>
  <c r="EB160" i="3"/>
  <c r="EC160" i="3"/>
  <c r="ED160" i="3"/>
  <c r="EE160" i="3"/>
  <c r="EF160" i="3"/>
  <c r="EG160" i="3"/>
  <c r="EI160" i="3"/>
  <c r="EJ160" i="3"/>
  <c r="EK160" i="3"/>
  <c r="EL160" i="3"/>
  <c r="EM160" i="3"/>
  <c r="EN160" i="3"/>
  <c r="EO160" i="3"/>
  <c r="EP160" i="3"/>
  <c r="EQ160" i="3"/>
  <c r="ER160" i="3"/>
  <c r="ES160" i="3"/>
  <c r="ET160" i="3"/>
  <c r="EU160" i="3"/>
  <c r="EV160" i="3"/>
  <c r="EW160" i="3"/>
  <c r="EX160" i="3"/>
  <c r="EY160" i="3"/>
  <c r="EZ160" i="3"/>
  <c r="FA160" i="3"/>
  <c r="FB160" i="3"/>
  <c r="FC160" i="3"/>
  <c r="FD160" i="3"/>
  <c r="FE160" i="3"/>
  <c r="FF160" i="3"/>
  <c r="FG160" i="3"/>
  <c r="FH160" i="3"/>
  <c r="FI160" i="3"/>
  <c r="FJ160" i="3"/>
  <c r="FK160" i="3"/>
  <c r="FL160" i="3"/>
  <c r="FM160" i="3"/>
  <c r="FN160" i="3"/>
  <c r="FO160" i="3"/>
  <c r="FP160" i="3"/>
  <c r="FQ160" i="3"/>
  <c r="FR160" i="3"/>
  <c r="FS160" i="3"/>
  <c r="FT160" i="3"/>
  <c r="FU160" i="3"/>
  <c r="FV160" i="3"/>
  <c r="FW160" i="3"/>
  <c r="FX160" i="3"/>
  <c r="FY160" i="3"/>
  <c r="FZ160" i="3"/>
  <c r="GA160" i="3"/>
  <c r="GB160" i="3"/>
  <c r="GC160" i="3"/>
  <c r="GD160" i="3"/>
  <c r="GE160" i="3"/>
  <c r="GF160" i="3"/>
  <c r="GG160" i="3"/>
  <c r="GH160" i="3"/>
  <c r="GI160" i="3"/>
  <c r="GJ160" i="3"/>
  <c r="GK160" i="3"/>
  <c r="GL160" i="3"/>
  <c r="GM160" i="3"/>
  <c r="GN160" i="3"/>
  <c r="GO160" i="3"/>
  <c r="GP160" i="3"/>
  <c r="GQ160" i="3"/>
  <c r="GR160" i="3"/>
  <c r="GS160" i="3"/>
  <c r="GT160" i="3"/>
  <c r="GU160" i="3"/>
  <c r="GV160" i="3"/>
  <c r="GW160" i="3"/>
  <c r="GX160" i="3"/>
  <c r="GY160" i="3"/>
  <c r="GZ160" i="3"/>
  <c r="HA160" i="3"/>
  <c r="HB160" i="3"/>
  <c r="HC160" i="3"/>
  <c r="HD160" i="3"/>
  <c r="HE160" i="3"/>
  <c r="HF160" i="3"/>
  <c r="HG160" i="3"/>
  <c r="HH160" i="3"/>
  <c r="HI160" i="3"/>
  <c r="HJ160" i="3"/>
  <c r="HK160" i="3"/>
  <c r="HL160" i="3"/>
  <c r="HM160" i="3"/>
  <c r="HN160" i="3"/>
  <c r="HO160" i="3"/>
  <c r="HP160" i="3"/>
  <c r="HQ160" i="3"/>
  <c r="HR160" i="3"/>
  <c r="HS160" i="3"/>
  <c r="HT160" i="3"/>
  <c r="HU160" i="3"/>
  <c r="HV160" i="3"/>
  <c r="HW160" i="3"/>
  <c r="HX160" i="3"/>
  <c r="HY160" i="3"/>
  <c r="HZ160" i="3"/>
  <c r="IA160" i="3"/>
  <c r="IB160" i="3"/>
  <c r="IC160" i="3"/>
  <c r="ID160" i="3"/>
  <c r="IE160" i="3"/>
  <c r="IF160" i="3"/>
  <c r="IG160" i="3"/>
  <c r="IH160" i="3"/>
  <c r="II160" i="3"/>
  <c r="IJ160" i="3"/>
  <c r="IK160" i="3"/>
  <c r="IL160" i="3"/>
  <c r="IM160" i="3"/>
  <c r="IN160" i="3"/>
  <c r="IO160" i="3"/>
  <c r="IP160" i="3"/>
  <c r="IQ160" i="3"/>
  <c r="IR160" i="3"/>
  <c r="IS160" i="3"/>
  <c r="IT160" i="3"/>
  <c r="IU160" i="3"/>
  <c r="IV160" i="3"/>
  <c r="IW160" i="3"/>
  <c r="IX160" i="3"/>
  <c r="IY160" i="3"/>
  <c r="IZ160" i="3"/>
  <c r="JA160" i="3"/>
  <c r="JB160" i="3"/>
  <c r="JC160" i="3"/>
  <c r="JD160" i="3"/>
  <c r="JE160" i="3"/>
  <c r="JF160" i="3"/>
  <c r="JG160" i="3"/>
  <c r="JH160" i="3"/>
  <c r="JI160" i="3"/>
  <c r="JJ160" i="3"/>
  <c r="JK160" i="3"/>
  <c r="JL160" i="3"/>
  <c r="JM160" i="3"/>
  <c r="A151" i="3"/>
  <c r="B151" i="3"/>
  <c r="C151" i="3"/>
  <c r="D151" i="3"/>
  <c r="E151" i="3"/>
  <c r="F151" i="3"/>
  <c r="G151" i="3"/>
  <c r="H151" i="3"/>
  <c r="I151" i="3"/>
  <c r="J151" i="3"/>
  <c r="K151"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K151" i="3"/>
  <c r="AL151" i="3"/>
  <c r="AM151" i="3"/>
  <c r="AN151" i="3"/>
  <c r="AO151" i="3"/>
  <c r="AP151" i="3"/>
  <c r="AQ151" i="3"/>
  <c r="AR151" i="3"/>
  <c r="AS151" i="3"/>
  <c r="AT151" i="3"/>
  <c r="AU151" i="3"/>
  <c r="AV151" i="3"/>
  <c r="AW151" i="3"/>
  <c r="AX151" i="3"/>
  <c r="AY151" i="3"/>
  <c r="AZ151" i="3"/>
  <c r="BA151" i="3"/>
  <c r="BB151" i="3"/>
  <c r="BC151" i="3"/>
  <c r="BD151" i="3"/>
  <c r="BE151" i="3"/>
  <c r="BF151" i="3"/>
  <c r="BG151" i="3"/>
  <c r="BH151" i="3"/>
  <c r="BI151" i="3"/>
  <c r="BJ151" i="3"/>
  <c r="BK151" i="3"/>
  <c r="BL151" i="3"/>
  <c r="BM151" i="3"/>
  <c r="BN151" i="3"/>
  <c r="BO151" i="3"/>
  <c r="BP151" i="3"/>
  <c r="BQ151" i="3"/>
  <c r="BR151" i="3"/>
  <c r="BS151" i="3"/>
  <c r="BT151" i="3"/>
  <c r="BU151" i="3"/>
  <c r="BV151" i="3"/>
  <c r="BW151" i="3"/>
  <c r="BX151" i="3"/>
  <c r="BY151" i="3"/>
  <c r="BZ151" i="3"/>
  <c r="CA151" i="3"/>
  <c r="CB151" i="3"/>
  <c r="CC151" i="3"/>
  <c r="CD151" i="3"/>
  <c r="CE151" i="3"/>
  <c r="CF151" i="3"/>
  <c r="CG151" i="3"/>
  <c r="CH151" i="3"/>
  <c r="CI151" i="3"/>
  <c r="CJ151" i="3"/>
  <c r="CK151" i="3"/>
  <c r="CL151" i="3"/>
  <c r="CM151" i="3"/>
  <c r="CN151" i="3"/>
  <c r="CO151" i="3"/>
  <c r="CP151" i="3"/>
  <c r="CQ151" i="3"/>
  <c r="CR151" i="3"/>
  <c r="CS151" i="3"/>
  <c r="CT151" i="3"/>
  <c r="CU151" i="3"/>
  <c r="CV151" i="3"/>
  <c r="CW151" i="3"/>
  <c r="CX151" i="3"/>
  <c r="CY151" i="3"/>
  <c r="CZ151" i="3"/>
  <c r="DA151" i="3"/>
  <c r="DB151" i="3"/>
  <c r="DC151" i="3"/>
  <c r="DD151" i="3"/>
  <c r="DE151" i="3"/>
  <c r="DF151" i="3"/>
  <c r="DG151" i="3"/>
  <c r="DH151" i="3"/>
  <c r="DI151" i="3"/>
  <c r="DJ151" i="3"/>
  <c r="DK151" i="3"/>
  <c r="DL151" i="3"/>
  <c r="DM151" i="3"/>
  <c r="DN151" i="3"/>
  <c r="DO151" i="3"/>
  <c r="DP151" i="3"/>
  <c r="DQ151" i="3"/>
  <c r="DR151" i="3"/>
  <c r="DS151" i="3"/>
  <c r="DT151" i="3"/>
  <c r="DU151" i="3"/>
  <c r="DV151" i="3"/>
  <c r="DW151" i="3"/>
  <c r="DX151" i="3"/>
  <c r="DY151" i="3"/>
  <c r="DZ151" i="3"/>
  <c r="EA151" i="3"/>
  <c r="EB151" i="3"/>
  <c r="EC151" i="3"/>
  <c r="ED151" i="3"/>
  <c r="EE151" i="3"/>
  <c r="EF151" i="3"/>
  <c r="EG151" i="3"/>
  <c r="EI151" i="3"/>
  <c r="EJ151" i="3"/>
  <c r="EK151" i="3"/>
  <c r="EL151" i="3"/>
  <c r="EM151" i="3"/>
  <c r="EN151" i="3"/>
  <c r="EO151" i="3"/>
  <c r="EP151" i="3"/>
  <c r="EQ151" i="3"/>
  <c r="ER151" i="3"/>
  <c r="ES151" i="3"/>
  <c r="ET151" i="3"/>
  <c r="EU151" i="3"/>
  <c r="EV151" i="3"/>
  <c r="EW151" i="3"/>
  <c r="EX151" i="3"/>
  <c r="EY151" i="3"/>
  <c r="EZ151" i="3"/>
  <c r="FA151" i="3"/>
  <c r="FB151" i="3"/>
  <c r="FC151" i="3"/>
  <c r="FD151" i="3"/>
  <c r="FE151" i="3"/>
  <c r="FF151" i="3"/>
  <c r="FG151" i="3"/>
  <c r="FH151" i="3"/>
  <c r="FI151" i="3"/>
  <c r="FJ151" i="3"/>
  <c r="FK151" i="3"/>
  <c r="FL151" i="3"/>
  <c r="FM151" i="3"/>
  <c r="FN151" i="3"/>
  <c r="FO151" i="3"/>
  <c r="FP151" i="3"/>
  <c r="FQ151" i="3"/>
  <c r="FR151" i="3"/>
  <c r="FS151" i="3"/>
  <c r="FT151" i="3"/>
  <c r="FU151" i="3"/>
  <c r="FV151" i="3"/>
  <c r="FW151" i="3"/>
  <c r="FX151" i="3"/>
  <c r="FY151" i="3"/>
  <c r="FZ151" i="3"/>
  <c r="GA151" i="3"/>
  <c r="GB151" i="3"/>
  <c r="GC151" i="3"/>
  <c r="GD151" i="3"/>
  <c r="GE151" i="3"/>
  <c r="GF151" i="3"/>
  <c r="GG151" i="3"/>
  <c r="GH151" i="3"/>
  <c r="GI151" i="3"/>
  <c r="GJ151" i="3"/>
  <c r="GK151" i="3"/>
  <c r="GL151" i="3"/>
  <c r="GM151" i="3"/>
  <c r="GN151" i="3"/>
  <c r="GO151" i="3"/>
  <c r="GP151" i="3"/>
  <c r="GQ151" i="3"/>
  <c r="GR151" i="3"/>
  <c r="GS151" i="3"/>
  <c r="GT151" i="3"/>
  <c r="GU151" i="3"/>
  <c r="GV151" i="3"/>
  <c r="GW151" i="3"/>
  <c r="GX151" i="3"/>
  <c r="GY151" i="3"/>
  <c r="GZ151" i="3"/>
  <c r="HA151" i="3"/>
  <c r="HB151" i="3"/>
  <c r="HC151" i="3"/>
  <c r="HD151" i="3"/>
  <c r="HE151" i="3"/>
  <c r="HF151" i="3"/>
  <c r="HG151" i="3"/>
  <c r="HH151" i="3"/>
  <c r="HI151" i="3"/>
  <c r="HJ151" i="3"/>
  <c r="HK151" i="3"/>
  <c r="HL151" i="3"/>
  <c r="HM151" i="3"/>
  <c r="HN151" i="3"/>
  <c r="HO151" i="3"/>
  <c r="HP151" i="3"/>
  <c r="HQ151" i="3"/>
  <c r="HR151" i="3"/>
  <c r="HS151" i="3"/>
  <c r="HT151" i="3"/>
  <c r="HU151" i="3"/>
  <c r="HV151" i="3"/>
  <c r="HW151" i="3"/>
  <c r="HX151" i="3"/>
  <c r="HY151" i="3"/>
  <c r="HZ151" i="3"/>
  <c r="IA151" i="3"/>
  <c r="IB151" i="3"/>
  <c r="IC151" i="3"/>
  <c r="ID151" i="3"/>
  <c r="IE151" i="3"/>
  <c r="IF151" i="3"/>
  <c r="IG151" i="3"/>
  <c r="IH151" i="3"/>
  <c r="II151" i="3"/>
  <c r="IJ151" i="3"/>
  <c r="IK151" i="3"/>
  <c r="IL151" i="3"/>
  <c r="IM151" i="3"/>
  <c r="IN151" i="3"/>
  <c r="IO151" i="3"/>
  <c r="IP151" i="3"/>
  <c r="IQ151" i="3"/>
  <c r="IR151" i="3"/>
  <c r="IS151" i="3"/>
  <c r="IT151" i="3"/>
  <c r="IU151" i="3"/>
  <c r="IV151" i="3"/>
  <c r="IW151" i="3"/>
  <c r="IX151" i="3"/>
  <c r="IY151" i="3"/>
  <c r="IZ151" i="3"/>
  <c r="JA151" i="3"/>
  <c r="JB151" i="3"/>
  <c r="JC151" i="3"/>
  <c r="JD151" i="3"/>
  <c r="JE151" i="3"/>
  <c r="JF151" i="3"/>
  <c r="JG151" i="3"/>
  <c r="JH151" i="3"/>
  <c r="JI151" i="3"/>
  <c r="JJ151" i="3"/>
  <c r="JK151" i="3"/>
  <c r="JL151" i="3"/>
  <c r="JM151" i="3"/>
  <c r="A152" i="3"/>
  <c r="B152" i="3"/>
  <c r="O152" i="3"/>
  <c r="P152" i="3"/>
  <c r="Q152" i="3"/>
  <c r="R152" i="3"/>
  <c r="S152" i="3"/>
  <c r="T152" i="3"/>
  <c r="U152" i="3"/>
  <c r="V152" i="3"/>
  <c r="W152" i="3"/>
  <c r="X152" i="3"/>
  <c r="Y152" i="3"/>
  <c r="Z152" i="3"/>
  <c r="AA152" i="3"/>
  <c r="AB152" i="3"/>
  <c r="AC152" i="3"/>
  <c r="AD152" i="3"/>
  <c r="AE152" i="3"/>
  <c r="AF152" i="3"/>
  <c r="AG152" i="3"/>
  <c r="AH152" i="3"/>
  <c r="AI152" i="3"/>
  <c r="AJ152" i="3"/>
  <c r="AK152" i="3"/>
  <c r="AL152" i="3"/>
  <c r="AM152" i="3"/>
  <c r="AN152" i="3"/>
  <c r="AO152" i="3"/>
  <c r="AP152" i="3"/>
  <c r="AQ152" i="3"/>
  <c r="AR152" i="3"/>
  <c r="AS152" i="3"/>
  <c r="AT152" i="3"/>
  <c r="AU152" i="3"/>
  <c r="AV152" i="3"/>
  <c r="AW152" i="3"/>
  <c r="AX152" i="3"/>
  <c r="AY152" i="3"/>
  <c r="AZ152" i="3"/>
  <c r="BA152" i="3"/>
  <c r="BB152" i="3"/>
  <c r="BC152" i="3"/>
  <c r="BD152" i="3"/>
  <c r="BE152" i="3"/>
  <c r="BF152" i="3"/>
  <c r="BG152" i="3"/>
  <c r="BH152" i="3"/>
  <c r="BI152" i="3"/>
  <c r="BJ152" i="3"/>
  <c r="BK152" i="3"/>
  <c r="BL152" i="3"/>
  <c r="BM152" i="3"/>
  <c r="BN152" i="3"/>
  <c r="BO152" i="3"/>
  <c r="BP152" i="3"/>
  <c r="BQ152" i="3"/>
  <c r="BR152" i="3"/>
  <c r="BS152" i="3"/>
  <c r="BT152" i="3"/>
  <c r="BU152" i="3"/>
  <c r="BV152" i="3"/>
  <c r="BW152" i="3"/>
  <c r="BX152" i="3"/>
  <c r="BY152" i="3"/>
  <c r="BZ152" i="3"/>
  <c r="CA152" i="3"/>
  <c r="CB152" i="3"/>
  <c r="CC152" i="3"/>
  <c r="CD152" i="3"/>
  <c r="CE152" i="3"/>
  <c r="CF152" i="3"/>
  <c r="CG152" i="3"/>
  <c r="CH152" i="3"/>
  <c r="CI152" i="3"/>
  <c r="CJ152" i="3"/>
  <c r="CK152" i="3"/>
  <c r="CL152" i="3"/>
  <c r="CM152" i="3"/>
  <c r="CN152" i="3"/>
  <c r="CO152" i="3"/>
  <c r="CP152" i="3"/>
  <c r="CQ152" i="3"/>
  <c r="CR152" i="3"/>
  <c r="CS152" i="3"/>
  <c r="CT152" i="3"/>
  <c r="CU152" i="3"/>
  <c r="CV152" i="3"/>
  <c r="CW152" i="3"/>
  <c r="CX152" i="3"/>
  <c r="CY152" i="3"/>
  <c r="CZ152" i="3"/>
  <c r="DA152" i="3"/>
  <c r="DB152" i="3"/>
  <c r="DC152" i="3"/>
  <c r="DD152" i="3"/>
  <c r="DE152" i="3"/>
  <c r="DF152" i="3"/>
  <c r="DG152" i="3"/>
  <c r="DH152" i="3"/>
  <c r="DI152" i="3"/>
  <c r="DJ152" i="3"/>
  <c r="DK152" i="3"/>
  <c r="DL152" i="3"/>
  <c r="DM152" i="3"/>
  <c r="DN152" i="3"/>
  <c r="DO152" i="3"/>
  <c r="DP152" i="3"/>
  <c r="DQ152" i="3"/>
  <c r="DR152" i="3"/>
  <c r="DS152" i="3"/>
  <c r="DT152" i="3"/>
  <c r="DU152" i="3"/>
  <c r="DV152" i="3"/>
  <c r="DW152" i="3"/>
  <c r="DX152" i="3"/>
  <c r="DY152" i="3"/>
  <c r="DZ152" i="3"/>
  <c r="EA152" i="3"/>
  <c r="EB152" i="3"/>
  <c r="EC152" i="3"/>
  <c r="ED152" i="3"/>
  <c r="EE152" i="3"/>
  <c r="EF152" i="3"/>
  <c r="EG152" i="3"/>
  <c r="EI152" i="3"/>
  <c r="EJ152" i="3"/>
  <c r="EK152" i="3"/>
  <c r="EL152" i="3"/>
  <c r="EM152" i="3"/>
  <c r="EN152" i="3"/>
  <c r="EO152" i="3"/>
  <c r="EP152" i="3"/>
  <c r="EQ152" i="3"/>
  <c r="ER152" i="3"/>
  <c r="ES152" i="3"/>
  <c r="ET152" i="3"/>
  <c r="EU152" i="3"/>
  <c r="EV152" i="3"/>
  <c r="EW152" i="3"/>
  <c r="EX152" i="3"/>
  <c r="EY152" i="3"/>
  <c r="EZ152" i="3"/>
  <c r="FA152" i="3"/>
  <c r="FB152" i="3"/>
  <c r="FC152" i="3"/>
  <c r="FD152" i="3"/>
  <c r="FE152" i="3"/>
  <c r="FF152" i="3"/>
  <c r="FG152" i="3"/>
  <c r="FH152" i="3"/>
  <c r="FI152" i="3"/>
  <c r="FJ152" i="3"/>
  <c r="FK152" i="3"/>
  <c r="FL152" i="3"/>
  <c r="FM152" i="3"/>
  <c r="FN152" i="3"/>
  <c r="FO152" i="3"/>
  <c r="FP152" i="3"/>
  <c r="FQ152" i="3"/>
  <c r="FR152" i="3"/>
  <c r="FS152" i="3"/>
  <c r="FT152" i="3"/>
  <c r="FU152" i="3"/>
  <c r="FV152" i="3"/>
  <c r="FW152" i="3"/>
  <c r="FX152" i="3"/>
  <c r="FY152" i="3"/>
  <c r="FZ152" i="3"/>
  <c r="GA152" i="3"/>
  <c r="GB152" i="3"/>
  <c r="GC152" i="3"/>
  <c r="GD152" i="3"/>
  <c r="GE152" i="3"/>
  <c r="GF152" i="3"/>
  <c r="GG152" i="3"/>
  <c r="GH152" i="3"/>
  <c r="GI152" i="3"/>
  <c r="GJ152" i="3"/>
  <c r="GK152" i="3"/>
  <c r="GL152" i="3"/>
  <c r="GM152" i="3"/>
  <c r="GN152" i="3"/>
  <c r="GO152" i="3"/>
  <c r="GP152" i="3"/>
  <c r="GQ152" i="3"/>
  <c r="GR152" i="3"/>
  <c r="GS152" i="3"/>
  <c r="GT152" i="3"/>
  <c r="GU152" i="3"/>
  <c r="GV152" i="3"/>
  <c r="GW152" i="3"/>
  <c r="GX152" i="3"/>
  <c r="GY152" i="3"/>
  <c r="GZ152" i="3"/>
  <c r="HA152" i="3"/>
  <c r="HB152" i="3"/>
  <c r="HC152" i="3"/>
  <c r="HD152" i="3"/>
  <c r="HE152" i="3"/>
  <c r="HF152" i="3"/>
  <c r="HG152" i="3"/>
  <c r="HH152" i="3"/>
  <c r="HI152" i="3"/>
  <c r="HJ152" i="3"/>
  <c r="HK152" i="3"/>
  <c r="HL152" i="3"/>
  <c r="HM152" i="3"/>
  <c r="HN152" i="3"/>
  <c r="HO152" i="3"/>
  <c r="HP152" i="3"/>
  <c r="HQ152" i="3"/>
  <c r="HR152" i="3"/>
  <c r="HS152" i="3"/>
  <c r="HT152" i="3"/>
  <c r="HU152" i="3"/>
  <c r="HV152" i="3"/>
  <c r="HW152" i="3"/>
  <c r="HX152" i="3"/>
  <c r="HY152" i="3"/>
  <c r="HZ152" i="3"/>
  <c r="IA152" i="3"/>
  <c r="IB152" i="3"/>
  <c r="IC152" i="3"/>
  <c r="ID152" i="3"/>
  <c r="IE152" i="3"/>
  <c r="IF152" i="3"/>
  <c r="IG152" i="3"/>
  <c r="IH152" i="3"/>
  <c r="II152" i="3"/>
  <c r="IJ152" i="3"/>
  <c r="IK152" i="3"/>
  <c r="IL152" i="3"/>
  <c r="IM152" i="3"/>
  <c r="IN152" i="3"/>
  <c r="IO152" i="3"/>
  <c r="IP152" i="3"/>
  <c r="IQ152" i="3"/>
  <c r="IR152" i="3"/>
  <c r="IS152" i="3"/>
  <c r="IT152" i="3"/>
  <c r="IU152" i="3"/>
  <c r="IV152" i="3"/>
  <c r="IW152" i="3"/>
  <c r="IX152" i="3"/>
  <c r="IY152" i="3"/>
  <c r="IZ152" i="3"/>
  <c r="JA152" i="3"/>
  <c r="JB152" i="3"/>
  <c r="JC152" i="3"/>
  <c r="JD152" i="3"/>
  <c r="JE152" i="3"/>
  <c r="JF152" i="3"/>
  <c r="JG152" i="3"/>
  <c r="JH152" i="3"/>
  <c r="JI152" i="3"/>
  <c r="JJ152" i="3"/>
  <c r="JK152" i="3"/>
  <c r="JL152" i="3"/>
  <c r="JM152" i="3"/>
  <c r="A153" i="3"/>
  <c r="B153" i="3"/>
  <c r="O153" i="3"/>
  <c r="P153" i="3"/>
  <c r="Q153" i="3"/>
  <c r="R153" i="3"/>
  <c r="S153" i="3"/>
  <c r="T153" i="3"/>
  <c r="U153" i="3"/>
  <c r="V153" i="3"/>
  <c r="W153" i="3"/>
  <c r="X153" i="3"/>
  <c r="Y153" i="3"/>
  <c r="Z153" i="3"/>
  <c r="AA153" i="3"/>
  <c r="AB153" i="3"/>
  <c r="AC153" i="3"/>
  <c r="AD153" i="3"/>
  <c r="AE153" i="3"/>
  <c r="AF153" i="3"/>
  <c r="AG153" i="3"/>
  <c r="AH153" i="3"/>
  <c r="AI153" i="3"/>
  <c r="AJ153" i="3"/>
  <c r="AK153" i="3"/>
  <c r="AL153" i="3"/>
  <c r="AM153" i="3"/>
  <c r="AN153" i="3"/>
  <c r="AO153" i="3"/>
  <c r="AP153" i="3"/>
  <c r="AQ153" i="3"/>
  <c r="AR153" i="3"/>
  <c r="AS153" i="3"/>
  <c r="AT153" i="3"/>
  <c r="AU153" i="3"/>
  <c r="AV153" i="3"/>
  <c r="AW153" i="3"/>
  <c r="AX153" i="3"/>
  <c r="AY153" i="3"/>
  <c r="AZ153" i="3"/>
  <c r="BA153" i="3"/>
  <c r="BB153" i="3"/>
  <c r="BC153" i="3"/>
  <c r="BD153" i="3"/>
  <c r="BE153" i="3"/>
  <c r="BF153" i="3"/>
  <c r="BG153" i="3"/>
  <c r="BH153" i="3"/>
  <c r="BI153" i="3"/>
  <c r="BJ153" i="3"/>
  <c r="BK153" i="3"/>
  <c r="BL153" i="3"/>
  <c r="BM153" i="3"/>
  <c r="BN153" i="3"/>
  <c r="BO153" i="3"/>
  <c r="BP153" i="3"/>
  <c r="BQ153" i="3"/>
  <c r="BR153" i="3"/>
  <c r="BS153" i="3"/>
  <c r="BT153" i="3"/>
  <c r="BU153" i="3"/>
  <c r="BV153" i="3"/>
  <c r="BW153" i="3"/>
  <c r="BX153" i="3"/>
  <c r="BY153" i="3"/>
  <c r="BZ153" i="3"/>
  <c r="CA153" i="3"/>
  <c r="CB153" i="3"/>
  <c r="CC153" i="3"/>
  <c r="CD153" i="3"/>
  <c r="CE153" i="3"/>
  <c r="CF153" i="3"/>
  <c r="CG153" i="3"/>
  <c r="CH153" i="3"/>
  <c r="CI153" i="3"/>
  <c r="CJ153" i="3"/>
  <c r="CK153" i="3"/>
  <c r="CL153" i="3"/>
  <c r="CM153" i="3"/>
  <c r="CN153" i="3"/>
  <c r="CO153" i="3"/>
  <c r="CP153" i="3"/>
  <c r="CQ153" i="3"/>
  <c r="CR153" i="3"/>
  <c r="CS153" i="3"/>
  <c r="CT153" i="3"/>
  <c r="CU153" i="3"/>
  <c r="CV153" i="3"/>
  <c r="CW153" i="3"/>
  <c r="CX153" i="3"/>
  <c r="CY153" i="3"/>
  <c r="CZ153" i="3"/>
  <c r="DA153" i="3"/>
  <c r="DB153" i="3"/>
  <c r="DC153" i="3"/>
  <c r="DD153" i="3"/>
  <c r="DE153" i="3"/>
  <c r="DF153" i="3"/>
  <c r="DG153" i="3"/>
  <c r="DH153" i="3"/>
  <c r="DI153" i="3"/>
  <c r="DJ153" i="3"/>
  <c r="DK153" i="3"/>
  <c r="DL153" i="3"/>
  <c r="DM153" i="3"/>
  <c r="DN153" i="3"/>
  <c r="DO153" i="3"/>
  <c r="DP153" i="3"/>
  <c r="DQ153" i="3"/>
  <c r="DR153" i="3"/>
  <c r="DS153" i="3"/>
  <c r="DT153" i="3"/>
  <c r="DU153" i="3"/>
  <c r="DV153" i="3"/>
  <c r="DW153" i="3"/>
  <c r="DX153" i="3"/>
  <c r="DY153" i="3"/>
  <c r="DZ153" i="3"/>
  <c r="EA153" i="3"/>
  <c r="EB153" i="3"/>
  <c r="EC153" i="3"/>
  <c r="ED153" i="3"/>
  <c r="EE153" i="3"/>
  <c r="EF153" i="3"/>
  <c r="EG153" i="3"/>
  <c r="EI153" i="3"/>
  <c r="EJ153" i="3"/>
  <c r="EK153" i="3"/>
  <c r="EL153" i="3"/>
  <c r="EM153" i="3"/>
  <c r="EN153" i="3"/>
  <c r="EO153" i="3"/>
  <c r="EP153" i="3"/>
  <c r="EQ153" i="3"/>
  <c r="ER153" i="3"/>
  <c r="ES153" i="3"/>
  <c r="ET153" i="3"/>
  <c r="EU153" i="3"/>
  <c r="EV153" i="3"/>
  <c r="EW153" i="3"/>
  <c r="EX153" i="3"/>
  <c r="EY153" i="3"/>
  <c r="EZ153" i="3"/>
  <c r="FA153" i="3"/>
  <c r="FB153" i="3"/>
  <c r="FC153" i="3"/>
  <c r="FD153" i="3"/>
  <c r="FE153" i="3"/>
  <c r="FF153" i="3"/>
  <c r="FG153" i="3"/>
  <c r="FH153" i="3"/>
  <c r="FI153" i="3"/>
  <c r="FJ153" i="3"/>
  <c r="FK153" i="3"/>
  <c r="FL153" i="3"/>
  <c r="FM153" i="3"/>
  <c r="FN153" i="3"/>
  <c r="FO153" i="3"/>
  <c r="FP153" i="3"/>
  <c r="FQ153" i="3"/>
  <c r="FR153" i="3"/>
  <c r="FS153" i="3"/>
  <c r="FT153" i="3"/>
  <c r="FU153" i="3"/>
  <c r="FV153" i="3"/>
  <c r="FW153" i="3"/>
  <c r="FX153" i="3"/>
  <c r="FY153" i="3"/>
  <c r="FZ153" i="3"/>
  <c r="GA153" i="3"/>
  <c r="GB153" i="3"/>
  <c r="GC153" i="3"/>
  <c r="GD153" i="3"/>
  <c r="GE153" i="3"/>
  <c r="GF153" i="3"/>
  <c r="GG153" i="3"/>
  <c r="GH153" i="3"/>
  <c r="GI153" i="3"/>
  <c r="GJ153" i="3"/>
  <c r="GK153" i="3"/>
  <c r="GL153" i="3"/>
  <c r="GM153" i="3"/>
  <c r="GN153" i="3"/>
  <c r="GO153" i="3"/>
  <c r="GP153" i="3"/>
  <c r="GQ153" i="3"/>
  <c r="GR153" i="3"/>
  <c r="GS153" i="3"/>
  <c r="GT153" i="3"/>
  <c r="GU153" i="3"/>
  <c r="GV153" i="3"/>
  <c r="GW153" i="3"/>
  <c r="GX153" i="3"/>
  <c r="GY153" i="3"/>
  <c r="GZ153" i="3"/>
  <c r="HA153" i="3"/>
  <c r="HB153" i="3"/>
  <c r="HC153" i="3"/>
  <c r="HD153" i="3"/>
  <c r="HE153" i="3"/>
  <c r="HF153" i="3"/>
  <c r="HG153" i="3"/>
  <c r="HH153" i="3"/>
  <c r="HI153" i="3"/>
  <c r="HJ153" i="3"/>
  <c r="HK153" i="3"/>
  <c r="HL153" i="3"/>
  <c r="HM153" i="3"/>
  <c r="HN153" i="3"/>
  <c r="HO153" i="3"/>
  <c r="HP153" i="3"/>
  <c r="HQ153" i="3"/>
  <c r="HR153" i="3"/>
  <c r="HS153" i="3"/>
  <c r="HT153" i="3"/>
  <c r="HU153" i="3"/>
  <c r="HV153" i="3"/>
  <c r="HW153" i="3"/>
  <c r="HX153" i="3"/>
  <c r="HY153" i="3"/>
  <c r="HZ153" i="3"/>
  <c r="IA153" i="3"/>
  <c r="IB153" i="3"/>
  <c r="IC153" i="3"/>
  <c r="ID153" i="3"/>
  <c r="IE153" i="3"/>
  <c r="IF153" i="3"/>
  <c r="IG153" i="3"/>
  <c r="IH153" i="3"/>
  <c r="II153" i="3"/>
  <c r="IJ153" i="3"/>
  <c r="IK153" i="3"/>
  <c r="IL153" i="3"/>
  <c r="IM153" i="3"/>
  <c r="IN153" i="3"/>
  <c r="IO153" i="3"/>
  <c r="IP153" i="3"/>
  <c r="IQ153" i="3"/>
  <c r="IR153" i="3"/>
  <c r="IS153" i="3"/>
  <c r="IT153" i="3"/>
  <c r="IU153" i="3"/>
  <c r="IV153" i="3"/>
  <c r="IW153" i="3"/>
  <c r="IX153" i="3"/>
  <c r="IY153" i="3"/>
  <c r="IZ153" i="3"/>
  <c r="JA153" i="3"/>
  <c r="JB153" i="3"/>
  <c r="JC153" i="3"/>
  <c r="JD153" i="3"/>
  <c r="JE153" i="3"/>
  <c r="JF153" i="3"/>
  <c r="JG153" i="3"/>
  <c r="JH153" i="3"/>
  <c r="JI153" i="3"/>
  <c r="JJ153" i="3"/>
  <c r="JK153" i="3"/>
  <c r="JL153" i="3"/>
  <c r="JM153" i="3"/>
  <c r="A154" i="3"/>
  <c r="B154" i="3"/>
  <c r="I154" i="3"/>
  <c r="J154" i="3"/>
  <c r="K154"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K154" i="3"/>
  <c r="AL154" i="3"/>
  <c r="AM154" i="3"/>
  <c r="AN154" i="3"/>
  <c r="AO154" i="3"/>
  <c r="AP154" i="3"/>
  <c r="AQ154" i="3"/>
  <c r="AR154" i="3"/>
  <c r="AS154" i="3"/>
  <c r="AT154" i="3"/>
  <c r="AU154" i="3"/>
  <c r="AV154" i="3"/>
  <c r="AW154" i="3"/>
  <c r="AX154" i="3"/>
  <c r="AY154" i="3"/>
  <c r="AZ154" i="3"/>
  <c r="BA154" i="3"/>
  <c r="BB154" i="3"/>
  <c r="BC154" i="3"/>
  <c r="BD154" i="3"/>
  <c r="BE154" i="3"/>
  <c r="BF154" i="3"/>
  <c r="BG154" i="3"/>
  <c r="BH154" i="3"/>
  <c r="BI154" i="3"/>
  <c r="BJ154" i="3"/>
  <c r="BK154" i="3"/>
  <c r="BL154" i="3"/>
  <c r="BM154" i="3"/>
  <c r="BN154" i="3"/>
  <c r="BO154" i="3"/>
  <c r="BP154" i="3"/>
  <c r="BQ154" i="3"/>
  <c r="BR154" i="3"/>
  <c r="BS154" i="3"/>
  <c r="BT154" i="3"/>
  <c r="BU154" i="3"/>
  <c r="BV154" i="3"/>
  <c r="BW154" i="3"/>
  <c r="BX154" i="3"/>
  <c r="BY154" i="3"/>
  <c r="BZ154" i="3"/>
  <c r="CA154" i="3"/>
  <c r="CB154" i="3"/>
  <c r="CC154" i="3"/>
  <c r="CD154" i="3"/>
  <c r="CE154" i="3"/>
  <c r="CF154" i="3"/>
  <c r="CG154" i="3"/>
  <c r="CH154" i="3"/>
  <c r="CI154" i="3"/>
  <c r="CJ154" i="3"/>
  <c r="CK154" i="3"/>
  <c r="CL154" i="3"/>
  <c r="CM154" i="3"/>
  <c r="CN154" i="3"/>
  <c r="CO154" i="3"/>
  <c r="CP154" i="3"/>
  <c r="CQ154" i="3"/>
  <c r="CR154" i="3"/>
  <c r="CS154" i="3"/>
  <c r="CT154" i="3"/>
  <c r="CU154" i="3"/>
  <c r="CV154" i="3"/>
  <c r="CW154" i="3"/>
  <c r="CX154" i="3"/>
  <c r="CY154" i="3"/>
  <c r="CZ154" i="3"/>
  <c r="DA154" i="3"/>
  <c r="DB154" i="3"/>
  <c r="DC154" i="3"/>
  <c r="DD154" i="3"/>
  <c r="DE154" i="3"/>
  <c r="DF154" i="3"/>
  <c r="DG154" i="3"/>
  <c r="DH154" i="3"/>
  <c r="DI154" i="3"/>
  <c r="DJ154" i="3"/>
  <c r="DK154" i="3"/>
  <c r="DL154" i="3"/>
  <c r="DM154" i="3"/>
  <c r="DN154" i="3"/>
  <c r="DO154" i="3"/>
  <c r="DP154" i="3"/>
  <c r="DQ154" i="3"/>
  <c r="DR154" i="3"/>
  <c r="DS154" i="3"/>
  <c r="DT154" i="3"/>
  <c r="DU154" i="3"/>
  <c r="DV154" i="3"/>
  <c r="DW154" i="3"/>
  <c r="DX154" i="3"/>
  <c r="DY154" i="3"/>
  <c r="DZ154" i="3"/>
  <c r="EA154" i="3"/>
  <c r="EB154" i="3"/>
  <c r="EC154" i="3"/>
  <c r="ED154" i="3"/>
  <c r="EE154" i="3"/>
  <c r="EF154" i="3"/>
  <c r="EG154" i="3"/>
  <c r="EI154" i="3"/>
  <c r="EJ154" i="3"/>
  <c r="EK154" i="3"/>
  <c r="EL154" i="3"/>
  <c r="EM154" i="3"/>
  <c r="EN154" i="3"/>
  <c r="EO154" i="3"/>
  <c r="EP154" i="3"/>
  <c r="EQ154" i="3"/>
  <c r="ER154" i="3"/>
  <c r="ES154" i="3"/>
  <c r="ET154" i="3"/>
  <c r="EU154" i="3"/>
  <c r="EV154" i="3"/>
  <c r="EW154" i="3"/>
  <c r="EX154" i="3"/>
  <c r="EY154" i="3"/>
  <c r="EZ154" i="3"/>
  <c r="FA154" i="3"/>
  <c r="FB154" i="3"/>
  <c r="FC154" i="3"/>
  <c r="FD154" i="3"/>
  <c r="FE154" i="3"/>
  <c r="FF154" i="3"/>
  <c r="FG154" i="3"/>
  <c r="FH154" i="3"/>
  <c r="FI154" i="3"/>
  <c r="FJ154" i="3"/>
  <c r="FK154" i="3"/>
  <c r="FL154" i="3"/>
  <c r="FM154" i="3"/>
  <c r="FN154" i="3"/>
  <c r="FO154" i="3"/>
  <c r="FP154" i="3"/>
  <c r="FQ154" i="3"/>
  <c r="FR154" i="3"/>
  <c r="FS154" i="3"/>
  <c r="FT154" i="3"/>
  <c r="FU154" i="3"/>
  <c r="FV154" i="3"/>
  <c r="FW154" i="3"/>
  <c r="FX154" i="3"/>
  <c r="FY154" i="3"/>
  <c r="FZ154" i="3"/>
  <c r="GA154" i="3"/>
  <c r="GB154" i="3"/>
  <c r="GC154" i="3"/>
  <c r="GD154" i="3"/>
  <c r="GE154" i="3"/>
  <c r="GF154" i="3"/>
  <c r="GG154" i="3"/>
  <c r="GH154" i="3"/>
  <c r="GI154" i="3"/>
  <c r="GJ154" i="3"/>
  <c r="GK154" i="3"/>
  <c r="GL154" i="3"/>
  <c r="GM154" i="3"/>
  <c r="GN154" i="3"/>
  <c r="GO154" i="3"/>
  <c r="GP154" i="3"/>
  <c r="GQ154" i="3"/>
  <c r="GR154" i="3"/>
  <c r="GS154" i="3"/>
  <c r="GT154" i="3"/>
  <c r="GU154" i="3"/>
  <c r="GV154" i="3"/>
  <c r="GW154" i="3"/>
  <c r="GX154" i="3"/>
  <c r="GY154" i="3"/>
  <c r="GZ154" i="3"/>
  <c r="HA154" i="3"/>
  <c r="HB154" i="3"/>
  <c r="HC154" i="3"/>
  <c r="HD154" i="3"/>
  <c r="HE154" i="3"/>
  <c r="HF154" i="3"/>
  <c r="HG154" i="3"/>
  <c r="HH154" i="3"/>
  <c r="HI154" i="3"/>
  <c r="HJ154" i="3"/>
  <c r="HK154" i="3"/>
  <c r="HL154" i="3"/>
  <c r="HM154" i="3"/>
  <c r="HN154" i="3"/>
  <c r="HO154" i="3"/>
  <c r="HP154" i="3"/>
  <c r="HQ154" i="3"/>
  <c r="HR154" i="3"/>
  <c r="HS154" i="3"/>
  <c r="HT154" i="3"/>
  <c r="HU154" i="3"/>
  <c r="HV154" i="3"/>
  <c r="HW154" i="3"/>
  <c r="HX154" i="3"/>
  <c r="HY154" i="3"/>
  <c r="HZ154" i="3"/>
  <c r="IA154" i="3"/>
  <c r="IB154" i="3"/>
  <c r="IC154" i="3"/>
  <c r="ID154" i="3"/>
  <c r="IE154" i="3"/>
  <c r="IF154" i="3"/>
  <c r="IG154" i="3"/>
  <c r="IH154" i="3"/>
  <c r="II154" i="3"/>
  <c r="IJ154" i="3"/>
  <c r="IK154" i="3"/>
  <c r="IL154" i="3"/>
  <c r="IM154" i="3"/>
  <c r="IN154" i="3"/>
  <c r="IO154" i="3"/>
  <c r="IP154" i="3"/>
  <c r="IQ154" i="3"/>
  <c r="IR154" i="3"/>
  <c r="IS154" i="3"/>
  <c r="IT154" i="3"/>
  <c r="IU154" i="3"/>
  <c r="IV154" i="3"/>
  <c r="IW154" i="3"/>
  <c r="IX154" i="3"/>
  <c r="IY154" i="3"/>
  <c r="IZ154" i="3"/>
  <c r="JA154" i="3"/>
  <c r="JB154" i="3"/>
  <c r="JC154" i="3"/>
  <c r="JD154" i="3"/>
  <c r="JE154" i="3"/>
  <c r="JF154" i="3"/>
  <c r="JG154" i="3"/>
  <c r="JH154" i="3"/>
  <c r="JI154" i="3"/>
  <c r="JJ154" i="3"/>
  <c r="JK154" i="3"/>
  <c r="JL154" i="3"/>
  <c r="JM154" i="3"/>
  <c r="A155" i="3"/>
  <c r="B155" i="3"/>
  <c r="G155" i="3"/>
  <c r="I155" i="3"/>
  <c r="J155" i="3"/>
  <c r="K155"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K155" i="3"/>
  <c r="AL155" i="3"/>
  <c r="AM155" i="3"/>
  <c r="AN155" i="3"/>
  <c r="AO155" i="3"/>
  <c r="AP155" i="3"/>
  <c r="AQ155" i="3"/>
  <c r="AR155" i="3"/>
  <c r="AS155" i="3"/>
  <c r="AT155" i="3"/>
  <c r="AU155" i="3"/>
  <c r="AV155" i="3"/>
  <c r="AW155" i="3"/>
  <c r="AX155" i="3"/>
  <c r="AY155" i="3"/>
  <c r="AZ155" i="3"/>
  <c r="BA155" i="3"/>
  <c r="BB155" i="3"/>
  <c r="BC155" i="3"/>
  <c r="BD155" i="3"/>
  <c r="BE155" i="3"/>
  <c r="BF155" i="3"/>
  <c r="BG155" i="3"/>
  <c r="BH155" i="3"/>
  <c r="BI155" i="3"/>
  <c r="BJ155" i="3"/>
  <c r="BK155" i="3"/>
  <c r="BL155" i="3"/>
  <c r="BM155" i="3"/>
  <c r="BN155" i="3"/>
  <c r="BO155" i="3"/>
  <c r="BP155" i="3"/>
  <c r="BQ155" i="3"/>
  <c r="BR155" i="3"/>
  <c r="BS155" i="3"/>
  <c r="BT155" i="3"/>
  <c r="BU155" i="3"/>
  <c r="BV155" i="3"/>
  <c r="BW155" i="3"/>
  <c r="BX155" i="3"/>
  <c r="BY155" i="3"/>
  <c r="BZ155" i="3"/>
  <c r="CA155" i="3"/>
  <c r="CB155" i="3"/>
  <c r="CC155" i="3"/>
  <c r="CD155" i="3"/>
  <c r="CE155" i="3"/>
  <c r="CF155" i="3"/>
  <c r="CG155" i="3"/>
  <c r="CH155" i="3"/>
  <c r="CI155" i="3"/>
  <c r="CJ155" i="3"/>
  <c r="CK155" i="3"/>
  <c r="CL155" i="3"/>
  <c r="CM155" i="3"/>
  <c r="CN155" i="3"/>
  <c r="CO155" i="3"/>
  <c r="CP155" i="3"/>
  <c r="CQ155" i="3"/>
  <c r="CR155" i="3"/>
  <c r="CS155" i="3"/>
  <c r="CT155" i="3"/>
  <c r="CU155" i="3"/>
  <c r="CV155" i="3"/>
  <c r="CW155" i="3"/>
  <c r="CX155" i="3"/>
  <c r="CY155" i="3"/>
  <c r="CZ155" i="3"/>
  <c r="DA155" i="3"/>
  <c r="DB155" i="3"/>
  <c r="DC155" i="3"/>
  <c r="DD155" i="3"/>
  <c r="DE155" i="3"/>
  <c r="DF155" i="3"/>
  <c r="DG155" i="3"/>
  <c r="DH155" i="3"/>
  <c r="DI155" i="3"/>
  <c r="DJ155" i="3"/>
  <c r="DK155" i="3"/>
  <c r="DL155" i="3"/>
  <c r="DM155" i="3"/>
  <c r="DN155" i="3"/>
  <c r="DO155" i="3"/>
  <c r="DP155" i="3"/>
  <c r="DQ155" i="3"/>
  <c r="DR155" i="3"/>
  <c r="DS155" i="3"/>
  <c r="DT155" i="3"/>
  <c r="DU155" i="3"/>
  <c r="DV155" i="3"/>
  <c r="DW155" i="3"/>
  <c r="DX155" i="3"/>
  <c r="DY155" i="3"/>
  <c r="DZ155" i="3"/>
  <c r="EA155" i="3"/>
  <c r="EB155" i="3"/>
  <c r="EC155" i="3"/>
  <c r="ED155" i="3"/>
  <c r="EE155" i="3"/>
  <c r="EF155" i="3"/>
  <c r="EG155" i="3"/>
  <c r="EI155" i="3"/>
  <c r="EJ155" i="3"/>
  <c r="EK155" i="3"/>
  <c r="EL155" i="3"/>
  <c r="EM155" i="3"/>
  <c r="EN155" i="3"/>
  <c r="EO155" i="3"/>
  <c r="EP155" i="3"/>
  <c r="EQ155" i="3"/>
  <c r="ER155" i="3"/>
  <c r="ES155" i="3"/>
  <c r="ET155" i="3"/>
  <c r="EU155" i="3"/>
  <c r="EV155" i="3"/>
  <c r="EW155" i="3"/>
  <c r="EX155" i="3"/>
  <c r="EY155" i="3"/>
  <c r="EZ155" i="3"/>
  <c r="FA155" i="3"/>
  <c r="FB155" i="3"/>
  <c r="FC155" i="3"/>
  <c r="FD155" i="3"/>
  <c r="FE155" i="3"/>
  <c r="FF155" i="3"/>
  <c r="FG155" i="3"/>
  <c r="FH155" i="3"/>
  <c r="FI155" i="3"/>
  <c r="FJ155" i="3"/>
  <c r="FK155" i="3"/>
  <c r="FL155" i="3"/>
  <c r="FM155" i="3"/>
  <c r="FN155" i="3"/>
  <c r="FO155" i="3"/>
  <c r="FP155" i="3"/>
  <c r="FQ155" i="3"/>
  <c r="FR155" i="3"/>
  <c r="FS155" i="3"/>
  <c r="FT155" i="3"/>
  <c r="FU155" i="3"/>
  <c r="FV155" i="3"/>
  <c r="FW155" i="3"/>
  <c r="FX155" i="3"/>
  <c r="FY155" i="3"/>
  <c r="FZ155" i="3"/>
  <c r="GA155" i="3"/>
  <c r="GB155" i="3"/>
  <c r="GC155" i="3"/>
  <c r="GD155" i="3"/>
  <c r="GE155" i="3"/>
  <c r="GF155" i="3"/>
  <c r="GG155" i="3"/>
  <c r="GH155" i="3"/>
  <c r="GI155" i="3"/>
  <c r="GJ155" i="3"/>
  <c r="GK155" i="3"/>
  <c r="GL155" i="3"/>
  <c r="GM155" i="3"/>
  <c r="GN155" i="3"/>
  <c r="GO155" i="3"/>
  <c r="GP155" i="3"/>
  <c r="GQ155" i="3"/>
  <c r="GR155" i="3"/>
  <c r="GS155" i="3"/>
  <c r="GT155" i="3"/>
  <c r="GU155" i="3"/>
  <c r="GV155" i="3"/>
  <c r="GW155" i="3"/>
  <c r="GX155" i="3"/>
  <c r="GY155" i="3"/>
  <c r="GZ155" i="3"/>
  <c r="HA155" i="3"/>
  <c r="HB155" i="3"/>
  <c r="HC155" i="3"/>
  <c r="HD155" i="3"/>
  <c r="HE155" i="3"/>
  <c r="HF155" i="3"/>
  <c r="HG155" i="3"/>
  <c r="HH155" i="3"/>
  <c r="HI155" i="3"/>
  <c r="HJ155" i="3"/>
  <c r="HK155" i="3"/>
  <c r="HL155" i="3"/>
  <c r="HM155" i="3"/>
  <c r="HN155" i="3"/>
  <c r="HO155" i="3"/>
  <c r="HP155" i="3"/>
  <c r="HQ155" i="3"/>
  <c r="HR155" i="3"/>
  <c r="HS155" i="3"/>
  <c r="HT155" i="3"/>
  <c r="HU155" i="3"/>
  <c r="HV155" i="3"/>
  <c r="HW155" i="3"/>
  <c r="HX155" i="3"/>
  <c r="HY155" i="3"/>
  <c r="HZ155" i="3"/>
  <c r="IA155" i="3"/>
  <c r="IB155" i="3"/>
  <c r="IC155" i="3"/>
  <c r="ID155" i="3"/>
  <c r="IE155" i="3"/>
  <c r="IF155" i="3"/>
  <c r="IG155" i="3"/>
  <c r="IH155" i="3"/>
  <c r="II155" i="3"/>
  <c r="IJ155" i="3"/>
  <c r="IK155" i="3"/>
  <c r="IL155" i="3"/>
  <c r="IM155" i="3"/>
  <c r="IN155" i="3"/>
  <c r="IO155" i="3"/>
  <c r="IP155" i="3"/>
  <c r="IQ155" i="3"/>
  <c r="IR155" i="3"/>
  <c r="IS155" i="3"/>
  <c r="IT155" i="3"/>
  <c r="IU155" i="3"/>
  <c r="IV155" i="3"/>
  <c r="IW155" i="3"/>
  <c r="IX155" i="3"/>
  <c r="IY155" i="3"/>
  <c r="IZ155" i="3"/>
  <c r="JA155" i="3"/>
  <c r="JB155" i="3"/>
  <c r="JC155" i="3"/>
  <c r="JD155" i="3"/>
  <c r="JE155" i="3"/>
  <c r="JF155" i="3"/>
  <c r="JG155" i="3"/>
  <c r="JH155" i="3"/>
  <c r="JI155" i="3"/>
  <c r="JJ155" i="3"/>
  <c r="JK155" i="3"/>
  <c r="JL155" i="3"/>
  <c r="JM155" i="3"/>
  <c r="A146" i="3"/>
  <c r="B146" i="3"/>
  <c r="C146" i="3"/>
  <c r="D146" i="3"/>
  <c r="E146" i="3"/>
  <c r="F146" i="3"/>
  <c r="G146" i="3"/>
  <c r="H146" i="3"/>
  <c r="I146" i="3"/>
  <c r="J146" i="3"/>
  <c r="K146"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K146" i="3"/>
  <c r="AL146" i="3"/>
  <c r="AM146" i="3"/>
  <c r="AN146" i="3"/>
  <c r="AO146" i="3"/>
  <c r="AP146" i="3"/>
  <c r="AQ146" i="3"/>
  <c r="AR146" i="3"/>
  <c r="AS146" i="3"/>
  <c r="AT146" i="3"/>
  <c r="AU146" i="3"/>
  <c r="AV146" i="3"/>
  <c r="AW146" i="3"/>
  <c r="AX146" i="3"/>
  <c r="AY146" i="3"/>
  <c r="AZ146" i="3"/>
  <c r="BA146" i="3"/>
  <c r="BB146" i="3"/>
  <c r="BC146" i="3"/>
  <c r="BD146" i="3"/>
  <c r="BE146" i="3"/>
  <c r="BF146" i="3"/>
  <c r="BG146" i="3"/>
  <c r="BH146" i="3"/>
  <c r="BI146" i="3"/>
  <c r="BJ146" i="3"/>
  <c r="BK146" i="3"/>
  <c r="BL146" i="3"/>
  <c r="BM146" i="3"/>
  <c r="BN146" i="3"/>
  <c r="BO146" i="3"/>
  <c r="BP146" i="3"/>
  <c r="BQ146" i="3"/>
  <c r="BR146" i="3"/>
  <c r="BS146" i="3"/>
  <c r="BT146" i="3"/>
  <c r="BU146" i="3"/>
  <c r="BV146" i="3"/>
  <c r="BW146" i="3"/>
  <c r="BX146" i="3"/>
  <c r="BY146" i="3"/>
  <c r="BZ146" i="3"/>
  <c r="CA146" i="3"/>
  <c r="CB146" i="3"/>
  <c r="CC146" i="3"/>
  <c r="CD146" i="3"/>
  <c r="CE146" i="3"/>
  <c r="CF146" i="3"/>
  <c r="CG146" i="3"/>
  <c r="CH146" i="3"/>
  <c r="CI146" i="3"/>
  <c r="CJ146" i="3"/>
  <c r="CK146" i="3"/>
  <c r="CL146" i="3"/>
  <c r="CM146" i="3"/>
  <c r="CN146" i="3"/>
  <c r="CO146" i="3"/>
  <c r="CP146" i="3"/>
  <c r="CQ146" i="3"/>
  <c r="CR146" i="3"/>
  <c r="CS146" i="3"/>
  <c r="CT146" i="3"/>
  <c r="CU146" i="3"/>
  <c r="CV146" i="3"/>
  <c r="CW146" i="3"/>
  <c r="CX146" i="3"/>
  <c r="CY146" i="3"/>
  <c r="CZ146" i="3"/>
  <c r="DA146" i="3"/>
  <c r="DB146" i="3"/>
  <c r="DC146" i="3"/>
  <c r="DD146" i="3"/>
  <c r="DE146" i="3"/>
  <c r="DF146" i="3"/>
  <c r="DG146" i="3"/>
  <c r="DH146" i="3"/>
  <c r="DI146" i="3"/>
  <c r="DJ146" i="3"/>
  <c r="DK146" i="3"/>
  <c r="DL146" i="3"/>
  <c r="DM146" i="3"/>
  <c r="DN146" i="3"/>
  <c r="DO146" i="3"/>
  <c r="DP146" i="3"/>
  <c r="DQ146" i="3"/>
  <c r="DR146" i="3"/>
  <c r="DS146" i="3"/>
  <c r="DT146" i="3"/>
  <c r="DU146" i="3"/>
  <c r="DV146" i="3"/>
  <c r="DW146" i="3"/>
  <c r="DX146" i="3"/>
  <c r="DY146" i="3"/>
  <c r="DZ146" i="3"/>
  <c r="EA146" i="3"/>
  <c r="EB146" i="3"/>
  <c r="EC146" i="3"/>
  <c r="ED146" i="3"/>
  <c r="EE146" i="3"/>
  <c r="EF146" i="3"/>
  <c r="EG146" i="3"/>
  <c r="EI146" i="3"/>
  <c r="EJ146" i="3"/>
  <c r="EK146" i="3"/>
  <c r="EL146" i="3"/>
  <c r="EM146" i="3"/>
  <c r="EN146" i="3"/>
  <c r="EO146" i="3"/>
  <c r="EP146" i="3"/>
  <c r="EQ146" i="3"/>
  <c r="ER146" i="3"/>
  <c r="ES146" i="3"/>
  <c r="ET146" i="3"/>
  <c r="EU146" i="3"/>
  <c r="EV146" i="3"/>
  <c r="EW146" i="3"/>
  <c r="EX146" i="3"/>
  <c r="EY146" i="3"/>
  <c r="EZ146" i="3"/>
  <c r="FA146" i="3"/>
  <c r="FB146" i="3"/>
  <c r="FC146" i="3"/>
  <c r="FD146" i="3"/>
  <c r="FE146" i="3"/>
  <c r="FF146" i="3"/>
  <c r="FG146" i="3"/>
  <c r="FH146" i="3"/>
  <c r="FI146" i="3"/>
  <c r="FJ146" i="3"/>
  <c r="FK146" i="3"/>
  <c r="FL146" i="3"/>
  <c r="FM146" i="3"/>
  <c r="FN146" i="3"/>
  <c r="FO146" i="3"/>
  <c r="FP146" i="3"/>
  <c r="FQ146" i="3"/>
  <c r="FR146" i="3"/>
  <c r="FS146" i="3"/>
  <c r="FT146" i="3"/>
  <c r="FU146" i="3"/>
  <c r="FV146" i="3"/>
  <c r="FW146" i="3"/>
  <c r="FX146" i="3"/>
  <c r="FY146" i="3"/>
  <c r="FZ146" i="3"/>
  <c r="GA146" i="3"/>
  <c r="GB146" i="3"/>
  <c r="GC146" i="3"/>
  <c r="GD146" i="3"/>
  <c r="GE146" i="3"/>
  <c r="GF146" i="3"/>
  <c r="GG146" i="3"/>
  <c r="GH146" i="3"/>
  <c r="GI146" i="3"/>
  <c r="GJ146" i="3"/>
  <c r="GK146" i="3"/>
  <c r="GL146" i="3"/>
  <c r="GM146" i="3"/>
  <c r="GN146" i="3"/>
  <c r="GO146" i="3"/>
  <c r="GP146" i="3"/>
  <c r="GQ146" i="3"/>
  <c r="GR146" i="3"/>
  <c r="GS146" i="3"/>
  <c r="GT146" i="3"/>
  <c r="GU146" i="3"/>
  <c r="GV146" i="3"/>
  <c r="GW146" i="3"/>
  <c r="GX146" i="3"/>
  <c r="GY146" i="3"/>
  <c r="GZ146" i="3"/>
  <c r="HA146" i="3"/>
  <c r="HB146" i="3"/>
  <c r="HC146" i="3"/>
  <c r="HD146" i="3"/>
  <c r="HE146" i="3"/>
  <c r="HF146" i="3"/>
  <c r="HG146" i="3"/>
  <c r="HH146" i="3"/>
  <c r="HI146" i="3"/>
  <c r="HJ146" i="3"/>
  <c r="HK146" i="3"/>
  <c r="HL146" i="3"/>
  <c r="HM146" i="3"/>
  <c r="HN146" i="3"/>
  <c r="HO146" i="3"/>
  <c r="HP146" i="3"/>
  <c r="HQ146" i="3"/>
  <c r="HR146" i="3"/>
  <c r="HS146" i="3"/>
  <c r="HT146" i="3"/>
  <c r="HU146" i="3"/>
  <c r="HV146" i="3"/>
  <c r="HW146" i="3"/>
  <c r="HX146" i="3"/>
  <c r="HY146" i="3"/>
  <c r="HZ146" i="3"/>
  <c r="IA146" i="3"/>
  <c r="IB146" i="3"/>
  <c r="IC146" i="3"/>
  <c r="ID146" i="3"/>
  <c r="IE146" i="3"/>
  <c r="IF146" i="3"/>
  <c r="IG146" i="3"/>
  <c r="IH146" i="3"/>
  <c r="II146" i="3"/>
  <c r="IJ146" i="3"/>
  <c r="IK146" i="3"/>
  <c r="IL146" i="3"/>
  <c r="IM146" i="3"/>
  <c r="IN146" i="3"/>
  <c r="IO146" i="3"/>
  <c r="IP146" i="3"/>
  <c r="IQ146" i="3"/>
  <c r="IR146" i="3"/>
  <c r="IS146" i="3"/>
  <c r="IT146" i="3"/>
  <c r="IU146" i="3"/>
  <c r="IV146" i="3"/>
  <c r="IW146" i="3"/>
  <c r="IX146" i="3"/>
  <c r="IY146" i="3"/>
  <c r="IZ146" i="3"/>
  <c r="JA146" i="3"/>
  <c r="JB146" i="3"/>
  <c r="JC146" i="3"/>
  <c r="JD146" i="3"/>
  <c r="JE146" i="3"/>
  <c r="JF146" i="3"/>
  <c r="JG146" i="3"/>
  <c r="JH146" i="3"/>
  <c r="JI146" i="3"/>
  <c r="JJ146" i="3"/>
  <c r="JK146" i="3"/>
  <c r="JL146" i="3"/>
  <c r="JM146" i="3"/>
  <c r="A147" i="3"/>
  <c r="B147" i="3"/>
  <c r="K147"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K147" i="3"/>
  <c r="AL147" i="3"/>
  <c r="AM147" i="3"/>
  <c r="AN147" i="3"/>
  <c r="AO147" i="3"/>
  <c r="AP147" i="3"/>
  <c r="AQ147" i="3"/>
  <c r="AR147" i="3"/>
  <c r="AS147" i="3"/>
  <c r="AT147" i="3"/>
  <c r="AU147" i="3"/>
  <c r="AV147" i="3"/>
  <c r="AW147" i="3"/>
  <c r="AX147" i="3"/>
  <c r="AY147" i="3"/>
  <c r="AZ147" i="3"/>
  <c r="BA147" i="3"/>
  <c r="BB147" i="3"/>
  <c r="BC147" i="3"/>
  <c r="BD147" i="3"/>
  <c r="BE147" i="3"/>
  <c r="BF147" i="3"/>
  <c r="BG147" i="3"/>
  <c r="BH147" i="3"/>
  <c r="BI147" i="3"/>
  <c r="BJ147" i="3"/>
  <c r="BK147" i="3"/>
  <c r="BL147" i="3"/>
  <c r="BM147" i="3"/>
  <c r="BN147" i="3"/>
  <c r="BO147" i="3"/>
  <c r="BP147" i="3"/>
  <c r="BQ147" i="3"/>
  <c r="BR147" i="3"/>
  <c r="BS147" i="3"/>
  <c r="BT147" i="3"/>
  <c r="BU147" i="3"/>
  <c r="BV147" i="3"/>
  <c r="BW147" i="3"/>
  <c r="BX147" i="3"/>
  <c r="BY147" i="3"/>
  <c r="BZ147" i="3"/>
  <c r="CA147" i="3"/>
  <c r="CB147" i="3"/>
  <c r="CC147" i="3"/>
  <c r="CD147" i="3"/>
  <c r="CE147" i="3"/>
  <c r="CF147" i="3"/>
  <c r="CG147" i="3"/>
  <c r="CH147" i="3"/>
  <c r="CI147" i="3"/>
  <c r="CJ147" i="3"/>
  <c r="CK147" i="3"/>
  <c r="CL147" i="3"/>
  <c r="CM147" i="3"/>
  <c r="CN147" i="3"/>
  <c r="CO147" i="3"/>
  <c r="CP147" i="3"/>
  <c r="CQ147" i="3"/>
  <c r="CR147" i="3"/>
  <c r="CS147" i="3"/>
  <c r="CT147" i="3"/>
  <c r="CU147" i="3"/>
  <c r="CV147" i="3"/>
  <c r="CW147" i="3"/>
  <c r="CX147" i="3"/>
  <c r="CY147" i="3"/>
  <c r="CZ147" i="3"/>
  <c r="DA147" i="3"/>
  <c r="DB147" i="3"/>
  <c r="DC147" i="3"/>
  <c r="DD147" i="3"/>
  <c r="DE147" i="3"/>
  <c r="DF147" i="3"/>
  <c r="DG147" i="3"/>
  <c r="DH147" i="3"/>
  <c r="DI147" i="3"/>
  <c r="DJ147" i="3"/>
  <c r="DK147" i="3"/>
  <c r="DL147" i="3"/>
  <c r="DM147" i="3"/>
  <c r="DN147" i="3"/>
  <c r="DO147" i="3"/>
  <c r="DP147" i="3"/>
  <c r="DQ147" i="3"/>
  <c r="DR147" i="3"/>
  <c r="DS147" i="3"/>
  <c r="DT147" i="3"/>
  <c r="DU147" i="3"/>
  <c r="DV147" i="3"/>
  <c r="DW147" i="3"/>
  <c r="DX147" i="3"/>
  <c r="DY147" i="3"/>
  <c r="DZ147" i="3"/>
  <c r="EA147" i="3"/>
  <c r="EB147" i="3"/>
  <c r="EC147" i="3"/>
  <c r="ED147" i="3"/>
  <c r="EE147" i="3"/>
  <c r="EF147" i="3"/>
  <c r="EG147" i="3"/>
  <c r="EI147" i="3"/>
  <c r="EJ147" i="3"/>
  <c r="EK147" i="3"/>
  <c r="EL147" i="3"/>
  <c r="EM147" i="3"/>
  <c r="EN147" i="3"/>
  <c r="EO147" i="3"/>
  <c r="EP147" i="3"/>
  <c r="EQ147" i="3"/>
  <c r="ER147" i="3"/>
  <c r="ES147" i="3"/>
  <c r="ET147" i="3"/>
  <c r="EU147" i="3"/>
  <c r="EV147" i="3"/>
  <c r="EW147" i="3"/>
  <c r="EX147" i="3"/>
  <c r="EY147" i="3"/>
  <c r="EZ147" i="3"/>
  <c r="FA147" i="3"/>
  <c r="FB147" i="3"/>
  <c r="FC147" i="3"/>
  <c r="FD147" i="3"/>
  <c r="FE147" i="3"/>
  <c r="FF147" i="3"/>
  <c r="FG147" i="3"/>
  <c r="FH147" i="3"/>
  <c r="FI147" i="3"/>
  <c r="FJ147" i="3"/>
  <c r="FK147" i="3"/>
  <c r="FL147" i="3"/>
  <c r="FM147" i="3"/>
  <c r="FN147" i="3"/>
  <c r="FO147" i="3"/>
  <c r="FP147" i="3"/>
  <c r="FQ147" i="3"/>
  <c r="FR147" i="3"/>
  <c r="FS147" i="3"/>
  <c r="FT147" i="3"/>
  <c r="FU147" i="3"/>
  <c r="FV147" i="3"/>
  <c r="FW147" i="3"/>
  <c r="FX147" i="3"/>
  <c r="FY147" i="3"/>
  <c r="FZ147" i="3"/>
  <c r="GA147" i="3"/>
  <c r="GB147" i="3"/>
  <c r="GC147" i="3"/>
  <c r="GD147" i="3"/>
  <c r="GE147" i="3"/>
  <c r="GF147" i="3"/>
  <c r="GG147" i="3"/>
  <c r="GH147" i="3"/>
  <c r="GI147" i="3"/>
  <c r="GJ147" i="3"/>
  <c r="GK147" i="3"/>
  <c r="GL147" i="3"/>
  <c r="GM147" i="3"/>
  <c r="GN147" i="3"/>
  <c r="GO147" i="3"/>
  <c r="GP147" i="3"/>
  <c r="GQ147" i="3"/>
  <c r="GR147" i="3"/>
  <c r="GS147" i="3"/>
  <c r="GT147" i="3"/>
  <c r="GU147" i="3"/>
  <c r="GV147" i="3"/>
  <c r="GW147" i="3"/>
  <c r="GX147" i="3"/>
  <c r="GY147" i="3"/>
  <c r="GZ147" i="3"/>
  <c r="HA147" i="3"/>
  <c r="HB147" i="3"/>
  <c r="HC147" i="3"/>
  <c r="HD147" i="3"/>
  <c r="HE147" i="3"/>
  <c r="HF147" i="3"/>
  <c r="HG147" i="3"/>
  <c r="HH147" i="3"/>
  <c r="HI147" i="3"/>
  <c r="HJ147" i="3"/>
  <c r="HK147" i="3"/>
  <c r="HL147" i="3"/>
  <c r="HM147" i="3"/>
  <c r="HN147" i="3"/>
  <c r="HO147" i="3"/>
  <c r="HP147" i="3"/>
  <c r="HQ147" i="3"/>
  <c r="HR147" i="3"/>
  <c r="HS147" i="3"/>
  <c r="HT147" i="3"/>
  <c r="HU147" i="3"/>
  <c r="HV147" i="3"/>
  <c r="HW147" i="3"/>
  <c r="HX147" i="3"/>
  <c r="HY147" i="3"/>
  <c r="HZ147" i="3"/>
  <c r="IA147" i="3"/>
  <c r="IB147" i="3"/>
  <c r="IC147" i="3"/>
  <c r="ID147" i="3"/>
  <c r="IE147" i="3"/>
  <c r="IF147" i="3"/>
  <c r="IG147" i="3"/>
  <c r="IH147" i="3"/>
  <c r="II147" i="3"/>
  <c r="IJ147" i="3"/>
  <c r="IK147" i="3"/>
  <c r="IL147" i="3"/>
  <c r="IM147" i="3"/>
  <c r="IN147" i="3"/>
  <c r="IO147" i="3"/>
  <c r="IP147" i="3"/>
  <c r="IQ147" i="3"/>
  <c r="IR147" i="3"/>
  <c r="IS147" i="3"/>
  <c r="IT147" i="3"/>
  <c r="IU147" i="3"/>
  <c r="IV147" i="3"/>
  <c r="IW147" i="3"/>
  <c r="IX147" i="3"/>
  <c r="IY147" i="3"/>
  <c r="IZ147" i="3"/>
  <c r="JA147" i="3"/>
  <c r="JB147" i="3"/>
  <c r="JC147" i="3"/>
  <c r="JD147" i="3"/>
  <c r="JE147" i="3"/>
  <c r="JF147" i="3"/>
  <c r="JG147" i="3"/>
  <c r="JH147" i="3"/>
  <c r="JI147" i="3"/>
  <c r="JJ147" i="3"/>
  <c r="JK147" i="3"/>
  <c r="JL147" i="3"/>
  <c r="JM147" i="3"/>
  <c r="A148" i="3"/>
  <c r="B148" i="3"/>
  <c r="I148" i="3"/>
  <c r="J148" i="3"/>
  <c r="K148"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K148" i="3"/>
  <c r="AL148" i="3"/>
  <c r="AM148" i="3"/>
  <c r="AN148" i="3"/>
  <c r="AO148" i="3"/>
  <c r="AP148" i="3"/>
  <c r="AQ148" i="3"/>
  <c r="AR148" i="3"/>
  <c r="AS148" i="3"/>
  <c r="AT148" i="3"/>
  <c r="AU148" i="3"/>
  <c r="AV148" i="3"/>
  <c r="AW148" i="3"/>
  <c r="AX148" i="3"/>
  <c r="AY148" i="3"/>
  <c r="AZ148" i="3"/>
  <c r="BA148" i="3"/>
  <c r="BB148" i="3"/>
  <c r="BC148" i="3"/>
  <c r="BD148" i="3"/>
  <c r="BE148" i="3"/>
  <c r="BF148" i="3"/>
  <c r="BG148" i="3"/>
  <c r="BH148" i="3"/>
  <c r="BI148" i="3"/>
  <c r="BJ148" i="3"/>
  <c r="BK148" i="3"/>
  <c r="BL148" i="3"/>
  <c r="BM148" i="3"/>
  <c r="BN148" i="3"/>
  <c r="BO148" i="3"/>
  <c r="BP148" i="3"/>
  <c r="BQ148" i="3"/>
  <c r="BR148" i="3"/>
  <c r="BS148" i="3"/>
  <c r="BT148" i="3"/>
  <c r="BU148" i="3"/>
  <c r="BV148" i="3"/>
  <c r="BW148" i="3"/>
  <c r="BX148" i="3"/>
  <c r="BY148" i="3"/>
  <c r="BZ148" i="3"/>
  <c r="CA148" i="3"/>
  <c r="CB148" i="3"/>
  <c r="CC148" i="3"/>
  <c r="CD148" i="3"/>
  <c r="CE148" i="3"/>
  <c r="CF148" i="3"/>
  <c r="CG148" i="3"/>
  <c r="CH148" i="3"/>
  <c r="CI148" i="3"/>
  <c r="CJ148" i="3"/>
  <c r="CK148" i="3"/>
  <c r="CL148" i="3"/>
  <c r="CM148" i="3"/>
  <c r="CN148" i="3"/>
  <c r="CO148" i="3"/>
  <c r="CP148" i="3"/>
  <c r="CQ148" i="3"/>
  <c r="CR148" i="3"/>
  <c r="CS148" i="3"/>
  <c r="CT148" i="3"/>
  <c r="CU148" i="3"/>
  <c r="CV148" i="3"/>
  <c r="CW148" i="3"/>
  <c r="CX148" i="3"/>
  <c r="CY148" i="3"/>
  <c r="CZ148" i="3"/>
  <c r="DA148" i="3"/>
  <c r="DB148" i="3"/>
  <c r="DC148" i="3"/>
  <c r="DD148" i="3"/>
  <c r="DE148" i="3"/>
  <c r="DF148" i="3"/>
  <c r="DG148" i="3"/>
  <c r="DH148" i="3"/>
  <c r="DI148" i="3"/>
  <c r="DJ148" i="3"/>
  <c r="DK148" i="3"/>
  <c r="DL148" i="3"/>
  <c r="DM148" i="3"/>
  <c r="DN148" i="3"/>
  <c r="DO148" i="3"/>
  <c r="DP148" i="3"/>
  <c r="DQ148" i="3"/>
  <c r="DR148" i="3"/>
  <c r="DS148" i="3"/>
  <c r="DT148" i="3"/>
  <c r="DU148" i="3"/>
  <c r="DV148" i="3"/>
  <c r="DW148" i="3"/>
  <c r="DX148" i="3"/>
  <c r="DY148" i="3"/>
  <c r="DZ148" i="3"/>
  <c r="EA148" i="3"/>
  <c r="EB148" i="3"/>
  <c r="EC148" i="3"/>
  <c r="ED148" i="3"/>
  <c r="EE148" i="3"/>
  <c r="EF148" i="3"/>
  <c r="EG148" i="3"/>
  <c r="EI148" i="3"/>
  <c r="EJ148" i="3"/>
  <c r="EK148" i="3"/>
  <c r="EL148" i="3"/>
  <c r="EM148" i="3"/>
  <c r="EN148" i="3"/>
  <c r="EO148" i="3"/>
  <c r="EP148" i="3"/>
  <c r="EQ148" i="3"/>
  <c r="ER148" i="3"/>
  <c r="ES148" i="3"/>
  <c r="ET148" i="3"/>
  <c r="EU148" i="3"/>
  <c r="EV148" i="3"/>
  <c r="EW148" i="3"/>
  <c r="EX148" i="3"/>
  <c r="EY148" i="3"/>
  <c r="EZ148" i="3"/>
  <c r="FA148" i="3"/>
  <c r="FB148" i="3"/>
  <c r="FC148" i="3"/>
  <c r="FD148" i="3"/>
  <c r="FE148" i="3"/>
  <c r="FF148" i="3"/>
  <c r="FG148" i="3"/>
  <c r="FH148" i="3"/>
  <c r="FI148" i="3"/>
  <c r="FJ148" i="3"/>
  <c r="FK148" i="3"/>
  <c r="FL148" i="3"/>
  <c r="FM148" i="3"/>
  <c r="FN148" i="3"/>
  <c r="FO148" i="3"/>
  <c r="FP148" i="3"/>
  <c r="FQ148" i="3"/>
  <c r="FR148" i="3"/>
  <c r="FS148" i="3"/>
  <c r="FT148" i="3"/>
  <c r="FU148" i="3"/>
  <c r="FV148" i="3"/>
  <c r="FW148" i="3"/>
  <c r="FX148" i="3"/>
  <c r="FY148" i="3"/>
  <c r="FZ148" i="3"/>
  <c r="GA148" i="3"/>
  <c r="GB148" i="3"/>
  <c r="GC148" i="3"/>
  <c r="GD148" i="3"/>
  <c r="GE148" i="3"/>
  <c r="GF148" i="3"/>
  <c r="GG148" i="3"/>
  <c r="GH148" i="3"/>
  <c r="GI148" i="3"/>
  <c r="GJ148" i="3"/>
  <c r="GK148" i="3"/>
  <c r="GL148" i="3"/>
  <c r="GM148" i="3"/>
  <c r="GN148" i="3"/>
  <c r="GO148" i="3"/>
  <c r="GP148" i="3"/>
  <c r="GQ148" i="3"/>
  <c r="GR148" i="3"/>
  <c r="GS148" i="3"/>
  <c r="GT148" i="3"/>
  <c r="GU148" i="3"/>
  <c r="GV148" i="3"/>
  <c r="GW148" i="3"/>
  <c r="GX148" i="3"/>
  <c r="GY148" i="3"/>
  <c r="GZ148" i="3"/>
  <c r="HA148" i="3"/>
  <c r="HB148" i="3"/>
  <c r="HC148" i="3"/>
  <c r="HD148" i="3"/>
  <c r="HE148" i="3"/>
  <c r="HF148" i="3"/>
  <c r="HG148" i="3"/>
  <c r="HH148" i="3"/>
  <c r="HI148" i="3"/>
  <c r="HJ148" i="3"/>
  <c r="HK148" i="3"/>
  <c r="HL148" i="3"/>
  <c r="HM148" i="3"/>
  <c r="HN148" i="3"/>
  <c r="HO148" i="3"/>
  <c r="HP148" i="3"/>
  <c r="HQ148" i="3"/>
  <c r="HR148" i="3"/>
  <c r="HS148" i="3"/>
  <c r="HT148" i="3"/>
  <c r="HU148" i="3"/>
  <c r="HV148" i="3"/>
  <c r="HW148" i="3"/>
  <c r="HX148" i="3"/>
  <c r="HY148" i="3"/>
  <c r="HZ148" i="3"/>
  <c r="IA148" i="3"/>
  <c r="IB148" i="3"/>
  <c r="IC148" i="3"/>
  <c r="ID148" i="3"/>
  <c r="IE148" i="3"/>
  <c r="IF148" i="3"/>
  <c r="IG148" i="3"/>
  <c r="IH148" i="3"/>
  <c r="II148" i="3"/>
  <c r="IJ148" i="3"/>
  <c r="IK148" i="3"/>
  <c r="IL148" i="3"/>
  <c r="IM148" i="3"/>
  <c r="IN148" i="3"/>
  <c r="IO148" i="3"/>
  <c r="IP148" i="3"/>
  <c r="IQ148" i="3"/>
  <c r="IR148" i="3"/>
  <c r="IS148" i="3"/>
  <c r="IT148" i="3"/>
  <c r="IU148" i="3"/>
  <c r="IV148" i="3"/>
  <c r="IW148" i="3"/>
  <c r="IX148" i="3"/>
  <c r="IY148" i="3"/>
  <c r="IZ148" i="3"/>
  <c r="JA148" i="3"/>
  <c r="JB148" i="3"/>
  <c r="JC148" i="3"/>
  <c r="JD148" i="3"/>
  <c r="JE148" i="3"/>
  <c r="JF148" i="3"/>
  <c r="JG148" i="3"/>
  <c r="JH148" i="3"/>
  <c r="JI148" i="3"/>
  <c r="JJ148" i="3"/>
  <c r="JK148" i="3"/>
  <c r="JL148" i="3"/>
  <c r="JM148" i="3"/>
  <c r="A149" i="3"/>
  <c r="B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K149" i="3"/>
  <c r="AL149" i="3"/>
  <c r="AM149" i="3"/>
  <c r="AN149" i="3"/>
  <c r="AO149" i="3"/>
  <c r="AP149" i="3"/>
  <c r="AQ149" i="3"/>
  <c r="AR149" i="3"/>
  <c r="AS149" i="3"/>
  <c r="AT149" i="3"/>
  <c r="AU149" i="3"/>
  <c r="AV149" i="3"/>
  <c r="AW149" i="3"/>
  <c r="AX149" i="3"/>
  <c r="AY149" i="3"/>
  <c r="AZ149" i="3"/>
  <c r="BA149" i="3"/>
  <c r="BB149" i="3"/>
  <c r="BC149" i="3"/>
  <c r="BD149" i="3"/>
  <c r="BE149" i="3"/>
  <c r="BF149" i="3"/>
  <c r="BG149" i="3"/>
  <c r="BH149" i="3"/>
  <c r="BI149" i="3"/>
  <c r="BJ149" i="3"/>
  <c r="BK149" i="3"/>
  <c r="BL149" i="3"/>
  <c r="BM149" i="3"/>
  <c r="BN149" i="3"/>
  <c r="BO149" i="3"/>
  <c r="BP149" i="3"/>
  <c r="BQ149" i="3"/>
  <c r="BR149" i="3"/>
  <c r="BS149" i="3"/>
  <c r="BT149" i="3"/>
  <c r="BU149" i="3"/>
  <c r="BV149" i="3"/>
  <c r="BW149" i="3"/>
  <c r="BX149" i="3"/>
  <c r="BY149" i="3"/>
  <c r="BZ149" i="3"/>
  <c r="CA149" i="3"/>
  <c r="CB149" i="3"/>
  <c r="CC149" i="3"/>
  <c r="CD149" i="3"/>
  <c r="CE149" i="3"/>
  <c r="CF149" i="3"/>
  <c r="CG149" i="3"/>
  <c r="CH149" i="3"/>
  <c r="CI149" i="3"/>
  <c r="CJ149" i="3"/>
  <c r="CK149" i="3"/>
  <c r="CL149" i="3"/>
  <c r="CM149" i="3"/>
  <c r="CN149" i="3"/>
  <c r="CO149" i="3"/>
  <c r="CP149" i="3"/>
  <c r="CQ149" i="3"/>
  <c r="CR149" i="3"/>
  <c r="CS149" i="3"/>
  <c r="CT149" i="3"/>
  <c r="CU149" i="3"/>
  <c r="CV149" i="3"/>
  <c r="CW149" i="3"/>
  <c r="CX149" i="3"/>
  <c r="CY149" i="3"/>
  <c r="CZ149" i="3"/>
  <c r="DA149" i="3"/>
  <c r="DB149" i="3"/>
  <c r="DC149" i="3"/>
  <c r="DD149" i="3"/>
  <c r="DE149" i="3"/>
  <c r="DF149" i="3"/>
  <c r="DG149" i="3"/>
  <c r="DH149" i="3"/>
  <c r="DI149" i="3"/>
  <c r="DJ149" i="3"/>
  <c r="DK149" i="3"/>
  <c r="DL149" i="3"/>
  <c r="DM149" i="3"/>
  <c r="DN149" i="3"/>
  <c r="DO149" i="3"/>
  <c r="DP149" i="3"/>
  <c r="DQ149" i="3"/>
  <c r="DR149" i="3"/>
  <c r="DS149" i="3"/>
  <c r="DT149" i="3"/>
  <c r="DU149" i="3"/>
  <c r="DV149" i="3"/>
  <c r="DW149" i="3"/>
  <c r="DX149" i="3"/>
  <c r="DY149" i="3"/>
  <c r="DZ149" i="3"/>
  <c r="EA149" i="3"/>
  <c r="EB149" i="3"/>
  <c r="EC149" i="3"/>
  <c r="ED149" i="3"/>
  <c r="EE149" i="3"/>
  <c r="EF149" i="3"/>
  <c r="EG149" i="3"/>
  <c r="EI149" i="3"/>
  <c r="EJ149" i="3"/>
  <c r="EK149" i="3"/>
  <c r="EL149" i="3"/>
  <c r="EM149" i="3"/>
  <c r="EN149" i="3"/>
  <c r="EO149" i="3"/>
  <c r="EP149" i="3"/>
  <c r="EQ149" i="3"/>
  <c r="ER149" i="3"/>
  <c r="ES149" i="3"/>
  <c r="ET149" i="3"/>
  <c r="EU149" i="3"/>
  <c r="EV149" i="3"/>
  <c r="EW149" i="3"/>
  <c r="EX149" i="3"/>
  <c r="EY149" i="3"/>
  <c r="EZ149" i="3"/>
  <c r="FA149" i="3"/>
  <c r="FB149" i="3"/>
  <c r="FC149" i="3"/>
  <c r="FD149" i="3"/>
  <c r="FE149" i="3"/>
  <c r="FF149" i="3"/>
  <c r="FG149" i="3"/>
  <c r="FH149" i="3"/>
  <c r="FI149" i="3"/>
  <c r="FJ149" i="3"/>
  <c r="FK149" i="3"/>
  <c r="FL149" i="3"/>
  <c r="FM149" i="3"/>
  <c r="FN149" i="3"/>
  <c r="FO149" i="3"/>
  <c r="FP149" i="3"/>
  <c r="FQ149" i="3"/>
  <c r="FR149" i="3"/>
  <c r="FS149" i="3"/>
  <c r="FT149" i="3"/>
  <c r="FU149" i="3"/>
  <c r="FV149" i="3"/>
  <c r="FW149" i="3"/>
  <c r="FX149" i="3"/>
  <c r="FY149" i="3"/>
  <c r="FZ149" i="3"/>
  <c r="GA149" i="3"/>
  <c r="GB149" i="3"/>
  <c r="GC149" i="3"/>
  <c r="GD149" i="3"/>
  <c r="GE149" i="3"/>
  <c r="GF149" i="3"/>
  <c r="GG149" i="3"/>
  <c r="GH149" i="3"/>
  <c r="GI149" i="3"/>
  <c r="GJ149" i="3"/>
  <c r="GK149" i="3"/>
  <c r="GL149" i="3"/>
  <c r="GM149" i="3"/>
  <c r="GN149" i="3"/>
  <c r="GO149" i="3"/>
  <c r="GP149" i="3"/>
  <c r="GQ149" i="3"/>
  <c r="GR149" i="3"/>
  <c r="GS149" i="3"/>
  <c r="GT149" i="3"/>
  <c r="GU149" i="3"/>
  <c r="GV149" i="3"/>
  <c r="GW149" i="3"/>
  <c r="GX149" i="3"/>
  <c r="GY149" i="3"/>
  <c r="GZ149" i="3"/>
  <c r="HA149" i="3"/>
  <c r="HB149" i="3"/>
  <c r="HC149" i="3"/>
  <c r="HD149" i="3"/>
  <c r="HE149" i="3"/>
  <c r="HF149" i="3"/>
  <c r="HG149" i="3"/>
  <c r="HH149" i="3"/>
  <c r="HI149" i="3"/>
  <c r="HJ149" i="3"/>
  <c r="HK149" i="3"/>
  <c r="HL149" i="3"/>
  <c r="HM149" i="3"/>
  <c r="HN149" i="3"/>
  <c r="HO149" i="3"/>
  <c r="HP149" i="3"/>
  <c r="HQ149" i="3"/>
  <c r="HR149" i="3"/>
  <c r="HS149" i="3"/>
  <c r="HT149" i="3"/>
  <c r="HU149" i="3"/>
  <c r="HV149" i="3"/>
  <c r="HW149" i="3"/>
  <c r="HX149" i="3"/>
  <c r="HY149" i="3"/>
  <c r="HZ149" i="3"/>
  <c r="IA149" i="3"/>
  <c r="IB149" i="3"/>
  <c r="IC149" i="3"/>
  <c r="ID149" i="3"/>
  <c r="IE149" i="3"/>
  <c r="IF149" i="3"/>
  <c r="IG149" i="3"/>
  <c r="IH149" i="3"/>
  <c r="II149" i="3"/>
  <c r="IJ149" i="3"/>
  <c r="IK149" i="3"/>
  <c r="IL149" i="3"/>
  <c r="IM149" i="3"/>
  <c r="IN149" i="3"/>
  <c r="IO149" i="3"/>
  <c r="IP149" i="3"/>
  <c r="IQ149" i="3"/>
  <c r="IR149" i="3"/>
  <c r="IS149" i="3"/>
  <c r="IT149" i="3"/>
  <c r="IU149" i="3"/>
  <c r="IV149" i="3"/>
  <c r="IW149" i="3"/>
  <c r="IX149" i="3"/>
  <c r="IY149" i="3"/>
  <c r="IZ149" i="3"/>
  <c r="JA149" i="3"/>
  <c r="JB149" i="3"/>
  <c r="JC149" i="3"/>
  <c r="JD149" i="3"/>
  <c r="JE149" i="3"/>
  <c r="JF149" i="3"/>
  <c r="JG149" i="3"/>
  <c r="JH149" i="3"/>
  <c r="JI149" i="3"/>
  <c r="JJ149" i="3"/>
  <c r="JK149" i="3"/>
  <c r="JL149" i="3"/>
  <c r="JM149" i="3"/>
  <c r="A150" i="3"/>
  <c r="B150" i="3"/>
  <c r="I150" i="3"/>
  <c r="J150" i="3"/>
  <c r="K150"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K150" i="3"/>
  <c r="AL150" i="3"/>
  <c r="AM150" i="3"/>
  <c r="AN150" i="3"/>
  <c r="AO150" i="3"/>
  <c r="AP150" i="3"/>
  <c r="AQ150" i="3"/>
  <c r="AR150" i="3"/>
  <c r="AS150" i="3"/>
  <c r="AT150" i="3"/>
  <c r="AU150" i="3"/>
  <c r="AV150" i="3"/>
  <c r="AW150" i="3"/>
  <c r="AX150" i="3"/>
  <c r="AY150" i="3"/>
  <c r="AZ150" i="3"/>
  <c r="BA150" i="3"/>
  <c r="BB150" i="3"/>
  <c r="BC150" i="3"/>
  <c r="BD150" i="3"/>
  <c r="BE150" i="3"/>
  <c r="BF150" i="3"/>
  <c r="BG150" i="3"/>
  <c r="BH150" i="3"/>
  <c r="BI150" i="3"/>
  <c r="BJ150" i="3"/>
  <c r="BK150" i="3"/>
  <c r="BL150" i="3"/>
  <c r="BM150" i="3"/>
  <c r="BN150" i="3"/>
  <c r="BO150" i="3"/>
  <c r="BP150" i="3"/>
  <c r="BQ150" i="3"/>
  <c r="BR150" i="3"/>
  <c r="BS150" i="3"/>
  <c r="BT150" i="3"/>
  <c r="BU150" i="3"/>
  <c r="BV150" i="3"/>
  <c r="BW150" i="3"/>
  <c r="BX150" i="3"/>
  <c r="BY150" i="3"/>
  <c r="BZ150" i="3"/>
  <c r="CA150" i="3"/>
  <c r="CB150" i="3"/>
  <c r="CC150" i="3"/>
  <c r="CD150" i="3"/>
  <c r="CE150" i="3"/>
  <c r="CF150" i="3"/>
  <c r="CG150" i="3"/>
  <c r="CH150" i="3"/>
  <c r="CI150" i="3"/>
  <c r="CJ150" i="3"/>
  <c r="CK150" i="3"/>
  <c r="CL150" i="3"/>
  <c r="CM150" i="3"/>
  <c r="CN150" i="3"/>
  <c r="CO150" i="3"/>
  <c r="CP150" i="3"/>
  <c r="CQ150" i="3"/>
  <c r="CR150" i="3"/>
  <c r="CS150" i="3"/>
  <c r="CT150" i="3"/>
  <c r="CU150" i="3"/>
  <c r="CV150" i="3"/>
  <c r="CW150" i="3"/>
  <c r="CX150" i="3"/>
  <c r="CY150" i="3"/>
  <c r="CZ150" i="3"/>
  <c r="DA150" i="3"/>
  <c r="DB150" i="3"/>
  <c r="DC150" i="3"/>
  <c r="DD150" i="3"/>
  <c r="DE150" i="3"/>
  <c r="DF150" i="3"/>
  <c r="DG150" i="3"/>
  <c r="DH150" i="3"/>
  <c r="DI150" i="3"/>
  <c r="DJ150" i="3"/>
  <c r="DK150" i="3"/>
  <c r="DL150" i="3"/>
  <c r="DM150" i="3"/>
  <c r="DN150" i="3"/>
  <c r="DO150" i="3"/>
  <c r="DP150" i="3"/>
  <c r="DQ150" i="3"/>
  <c r="DR150" i="3"/>
  <c r="DS150" i="3"/>
  <c r="DT150" i="3"/>
  <c r="DU150" i="3"/>
  <c r="DV150" i="3"/>
  <c r="DW150" i="3"/>
  <c r="DX150" i="3"/>
  <c r="DY150" i="3"/>
  <c r="DZ150" i="3"/>
  <c r="EA150" i="3"/>
  <c r="EB150" i="3"/>
  <c r="EC150" i="3"/>
  <c r="ED150" i="3"/>
  <c r="EE150" i="3"/>
  <c r="EF150" i="3"/>
  <c r="EG150" i="3"/>
  <c r="EI150" i="3"/>
  <c r="EJ150" i="3"/>
  <c r="EK150" i="3"/>
  <c r="EL150" i="3"/>
  <c r="EM150" i="3"/>
  <c r="EN150" i="3"/>
  <c r="EO150" i="3"/>
  <c r="EP150" i="3"/>
  <c r="EQ150" i="3"/>
  <c r="ER150" i="3"/>
  <c r="ES150" i="3"/>
  <c r="ET150" i="3"/>
  <c r="EU150" i="3"/>
  <c r="EV150" i="3"/>
  <c r="EW150" i="3"/>
  <c r="EX150" i="3"/>
  <c r="EY150" i="3"/>
  <c r="EZ150" i="3"/>
  <c r="FA150" i="3"/>
  <c r="FB150" i="3"/>
  <c r="FC150" i="3"/>
  <c r="FD150" i="3"/>
  <c r="FE150" i="3"/>
  <c r="FF150" i="3"/>
  <c r="FG150" i="3"/>
  <c r="FH150" i="3"/>
  <c r="FI150" i="3"/>
  <c r="FJ150" i="3"/>
  <c r="FK150" i="3"/>
  <c r="FL150" i="3"/>
  <c r="FM150" i="3"/>
  <c r="FN150" i="3"/>
  <c r="FO150" i="3"/>
  <c r="FP150" i="3"/>
  <c r="FQ150" i="3"/>
  <c r="FR150" i="3"/>
  <c r="FS150" i="3"/>
  <c r="FT150" i="3"/>
  <c r="FU150" i="3"/>
  <c r="FV150" i="3"/>
  <c r="FW150" i="3"/>
  <c r="FX150" i="3"/>
  <c r="FY150" i="3"/>
  <c r="FZ150" i="3"/>
  <c r="GA150" i="3"/>
  <c r="GB150" i="3"/>
  <c r="GC150" i="3"/>
  <c r="GD150" i="3"/>
  <c r="GE150" i="3"/>
  <c r="GF150" i="3"/>
  <c r="GG150" i="3"/>
  <c r="GH150" i="3"/>
  <c r="GI150" i="3"/>
  <c r="GJ150" i="3"/>
  <c r="GK150" i="3"/>
  <c r="GL150" i="3"/>
  <c r="GM150" i="3"/>
  <c r="GN150" i="3"/>
  <c r="GO150" i="3"/>
  <c r="GP150" i="3"/>
  <c r="GQ150" i="3"/>
  <c r="GR150" i="3"/>
  <c r="GS150" i="3"/>
  <c r="GT150" i="3"/>
  <c r="GU150" i="3"/>
  <c r="GV150" i="3"/>
  <c r="GW150" i="3"/>
  <c r="GX150" i="3"/>
  <c r="GY150" i="3"/>
  <c r="GZ150" i="3"/>
  <c r="HA150" i="3"/>
  <c r="HB150" i="3"/>
  <c r="HC150" i="3"/>
  <c r="HD150" i="3"/>
  <c r="HE150" i="3"/>
  <c r="HF150" i="3"/>
  <c r="HG150" i="3"/>
  <c r="HH150" i="3"/>
  <c r="HI150" i="3"/>
  <c r="HJ150" i="3"/>
  <c r="HK150" i="3"/>
  <c r="HL150" i="3"/>
  <c r="HM150" i="3"/>
  <c r="HN150" i="3"/>
  <c r="HO150" i="3"/>
  <c r="HP150" i="3"/>
  <c r="HQ150" i="3"/>
  <c r="HR150" i="3"/>
  <c r="HS150" i="3"/>
  <c r="HT150" i="3"/>
  <c r="HU150" i="3"/>
  <c r="HV150" i="3"/>
  <c r="HW150" i="3"/>
  <c r="HX150" i="3"/>
  <c r="HY150" i="3"/>
  <c r="HZ150" i="3"/>
  <c r="IA150" i="3"/>
  <c r="IB150" i="3"/>
  <c r="IC150" i="3"/>
  <c r="ID150" i="3"/>
  <c r="IE150" i="3"/>
  <c r="IF150" i="3"/>
  <c r="IG150" i="3"/>
  <c r="IH150" i="3"/>
  <c r="II150" i="3"/>
  <c r="IJ150" i="3"/>
  <c r="IK150" i="3"/>
  <c r="IL150" i="3"/>
  <c r="IM150" i="3"/>
  <c r="IN150" i="3"/>
  <c r="IO150" i="3"/>
  <c r="IP150" i="3"/>
  <c r="IQ150" i="3"/>
  <c r="IR150" i="3"/>
  <c r="IS150" i="3"/>
  <c r="IT150" i="3"/>
  <c r="IU150" i="3"/>
  <c r="IV150" i="3"/>
  <c r="IW150" i="3"/>
  <c r="IX150" i="3"/>
  <c r="IY150" i="3"/>
  <c r="IZ150" i="3"/>
  <c r="JA150" i="3"/>
  <c r="JB150" i="3"/>
  <c r="JC150" i="3"/>
  <c r="JD150" i="3"/>
  <c r="JE150" i="3"/>
  <c r="JF150" i="3"/>
  <c r="JG150" i="3"/>
  <c r="JH150" i="3"/>
  <c r="JI150" i="3"/>
  <c r="JJ150" i="3"/>
  <c r="JK150" i="3"/>
  <c r="JL150" i="3"/>
  <c r="JM150" i="3"/>
  <c r="A141" i="3"/>
  <c r="B141" i="3"/>
  <c r="C141" i="3"/>
  <c r="D141" i="3"/>
  <c r="E141" i="3"/>
  <c r="F141" i="3"/>
  <c r="G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O141" i="3"/>
  <c r="AP141" i="3"/>
  <c r="AQ141" i="3"/>
  <c r="AR141" i="3"/>
  <c r="AS141" i="3"/>
  <c r="AT141" i="3"/>
  <c r="AU141" i="3"/>
  <c r="AV141" i="3"/>
  <c r="AW141" i="3"/>
  <c r="AX141" i="3"/>
  <c r="AY141" i="3"/>
  <c r="AZ141" i="3"/>
  <c r="BA141" i="3"/>
  <c r="BB141" i="3"/>
  <c r="BC141" i="3"/>
  <c r="BD141" i="3"/>
  <c r="BE141" i="3"/>
  <c r="BF141" i="3"/>
  <c r="BG141" i="3"/>
  <c r="BH141" i="3"/>
  <c r="BI141" i="3"/>
  <c r="BJ141" i="3"/>
  <c r="BK141" i="3"/>
  <c r="BL141" i="3"/>
  <c r="BM141" i="3"/>
  <c r="BN141" i="3"/>
  <c r="BO141" i="3"/>
  <c r="BP141" i="3"/>
  <c r="BQ141" i="3"/>
  <c r="BR141" i="3"/>
  <c r="BS141" i="3"/>
  <c r="BT141" i="3"/>
  <c r="BU141" i="3"/>
  <c r="BV141" i="3"/>
  <c r="BW141" i="3"/>
  <c r="BX141" i="3"/>
  <c r="BY141" i="3"/>
  <c r="BZ141" i="3"/>
  <c r="CA141" i="3"/>
  <c r="CB141" i="3"/>
  <c r="CC141" i="3"/>
  <c r="CD141" i="3"/>
  <c r="CE141" i="3"/>
  <c r="CF141" i="3"/>
  <c r="CG141" i="3"/>
  <c r="CH141" i="3"/>
  <c r="CI141" i="3"/>
  <c r="CJ141" i="3"/>
  <c r="CK141" i="3"/>
  <c r="CL141" i="3"/>
  <c r="CM141" i="3"/>
  <c r="CN141" i="3"/>
  <c r="CO141" i="3"/>
  <c r="CP141" i="3"/>
  <c r="CQ141" i="3"/>
  <c r="CR141" i="3"/>
  <c r="CS141" i="3"/>
  <c r="CT141" i="3"/>
  <c r="CU141" i="3"/>
  <c r="CV141" i="3"/>
  <c r="CW141" i="3"/>
  <c r="CX141" i="3"/>
  <c r="CY141" i="3"/>
  <c r="CZ141" i="3"/>
  <c r="DA141" i="3"/>
  <c r="DB141" i="3"/>
  <c r="DC141" i="3"/>
  <c r="DD141" i="3"/>
  <c r="DE141" i="3"/>
  <c r="DF141" i="3"/>
  <c r="DG141" i="3"/>
  <c r="DH141" i="3"/>
  <c r="DI141" i="3"/>
  <c r="DJ141" i="3"/>
  <c r="DK141" i="3"/>
  <c r="DL141" i="3"/>
  <c r="DM141" i="3"/>
  <c r="DN141" i="3"/>
  <c r="DO141" i="3"/>
  <c r="DP141" i="3"/>
  <c r="DQ141" i="3"/>
  <c r="DR141" i="3"/>
  <c r="DS141" i="3"/>
  <c r="DT141" i="3"/>
  <c r="DU141" i="3"/>
  <c r="DV141" i="3"/>
  <c r="DW141" i="3"/>
  <c r="DX141" i="3"/>
  <c r="DY141" i="3"/>
  <c r="DZ141" i="3"/>
  <c r="EA141" i="3"/>
  <c r="EB141" i="3"/>
  <c r="EC141" i="3"/>
  <c r="ED141" i="3"/>
  <c r="EE141" i="3"/>
  <c r="EF141" i="3"/>
  <c r="EG141" i="3"/>
  <c r="EI141" i="3"/>
  <c r="EJ141" i="3"/>
  <c r="EK141" i="3"/>
  <c r="EL141" i="3"/>
  <c r="EM141" i="3"/>
  <c r="EN141" i="3"/>
  <c r="EO141" i="3"/>
  <c r="EP141" i="3"/>
  <c r="EQ141" i="3"/>
  <c r="ER141" i="3"/>
  <c r="ES141" i="3"/>
  <c r="ET141" i="3"/>
  <c r="EU141" i="3"/>
  <c r="EV141" i="3"/>
  <c r="EW141" i="3"/>
  <c r="EX141" i="3"/>
  <c r="EY141" i="3"/>
  <c r="EZ141" i="3"/>
  <c r="FA141" i="3"/>
  <c r="FB141" i="3"/>
  <c r="FC141" i="3"/>
  <c r="FD141" i="3"/>
  <c r="FE141" i="3"/>
  <c r="FF141" i="3"/>
  <c r="FG141" i="3"/>
  <c r="FH141" i="3"/>
  <c r="FI141" i="3"/>
  <c r="FJ141" i="3"/>
  <c r="FK141" i="3"/>
  <c r="FL141" i="3"/>
  <c r="FM141" i="3"/>
  <c r="FN141" i="3"/>
  <c r="FO141" i="3"/>
  <c r="FP141" i="3"/>
  <c r="FQ141" i="3"/>
  <c r="FR141" i="3"/>
  <c r="FS141" i="3"/>
  <c r="FT141" i="3"/>
  <c r="FU141" i="3"/>
  <c r="FV141" i="3"/>
  <c r="FW141" i="3"/>
  <c r="FX141" i="3"/>
  <c r="FY141" i="3"/>
  <c r="FZ141" i="3"/>
  <c r="GA141" i="3"/>
  <c r="GB141" i="3"/>
  <c r="GC141" i="3"/>
  <c r="GD141" i="3"/>
  <c r="GE141" i="3"/>
  <c r="GF141" i="3"/>
  <c r="GG141" i="3"/>
  <c r="GH141" i="3"/>
  <c r="GI141" i="3"/>
  <c r="GJ141" i="3"/>
  <c r="GK141" i="3"/>
  <c r="GL141" i="3"/>
  <c r="GM141" i="3"/>
  <c r="GN141" i="3"/>
  <c r="GO141" i="3"/>
  <c r="GP141" i="3"/>
  <c r="GQ141" i="3"/>
  <c r="GR141" i="3"/>
  <c r="GS141" i="3"/>
  <c r="GT141" i="3"/>
  <c r="GU141" i="3"/>
  <c r="GV141" i="3"/>
  <c r="GW141" i="3"/>
  <c r="GX141" i="3"/>
  <c r="GY141" i="3"/>
  <c r="GZ141" i="3"/>
  <c r="HA141" i="3"/>
  <c r="HB141" i="3"/>
  <c r="HC141" i="3"/>
  <c r="HD141" i="3"/>
  <c r="HE141" i="3"/>
  <c r="HF141" i="3"/>
  <c r="HG141" i="3"/>
  <c r="HH141" i="3"/>
  <c r="HI141" i="3"/>
  <c r="HJ141" i="3"/>
  <c r="HK141" i="3"/>
  <c r="HL141" i="3"/>
  <c r="HM141" i="3"/>
  <c r="HN141" i="3"/>
  <c r="HO141" i="3"/>
  <c r="HP141" i="3"/>
  <c r="HQ141" i="3"/>
  <c r="HR141" i="3"/>
  <c r="HS141" i="3"/>
  <c r="HT141" i="3"/>
  <c r="HU141" i="3"/>
  <c r="HV141" i="3"/>
  <c r="HW141" i="3"/>
  <c r="HX141" i="3"/>
  <c r="HY141" i="3"/>
  <c r="HZ141" i="3"/>
  <c r="IA141" i="3"/>
  <c r="IB141" i="3"/>
  <c r="IC141" i="3"/>
  <c r="ID141" i="3"/>
  <c r="IE141" i="3"/>
  <c r="IF141" i="3"/>
  <c r="IG141" i="3"/>
  <c r="IH141" i="3"/>
  <c r="II141" i="3"/>
  <c r="IJ141" i="3"/>
  <c r="IK141" i="3"/>
  <c r="IL141" i="3"/>
  <c r="IM141" i="3"/>
  <c r="IN141" i="3"/>
  <c r="IO141" i="3"/>
  <c r="IP141" i="3"/>
  <c r="IQ141" i="3"/>
  <c r="IR141" i="3"/>
  <c r="IS141" i="3"/>
  <c r="IT141" i="3"/>
  <c r="IU141" i="3"/>
  <c r="IV141" i="3"/>
  <c r="IW141" i="3"/>
  <c r="IX141" i="3"/>
  <c r="IY141" i="3"/>
  <c r="IZ141" i="3"/>
  <c r="JA141" i="3"/>
  <c r="JB141" i="3"/>
  <c r="JC141" i="3"/>
  <c r="JD141" i="3"/>
  <c r="JE141" i="3"/>
  <c r="JF141" i="3"/>
  <c r="JG141" i="3"/>
  <c r="JH141" i="3"/>
  <c r="JI141" i="3"/>
  <c r="JJ141" i="3"/>
  <c r="JK141" i="3"/>
  <c r="JL141" i="3"/>
  <c r="JM141" i="3"/>
  <c r="A142" i="3"/>
  <c r="B142" i="3"/>
  <c r="H142"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K142" i="3"/>
  <c r="AL142" i="3"/>
  <c r="AM142" i="3"/>
  <c r="AN142" i="3"/>
  <c r="AO142" i="3"/>
  <c r="AP142" i="3"/>
  <c r="AQ142" i="3"/>
  <c r="AR142" i="3"/>
  <c r="AS142" i="3"/>
  <c r="AT142" i="3"/>
  <c r="AU142" i="3"/>
  <c r="AV142" i="3"/>
  <c r="AW142" i="3"/>
  <c r="AX142" i="3"/>
  <c r="AY142" i="3"/>
  <c r="AZ142" i="3"/>
  <c r="BA142" i="3"/>
  <c r="BB142" i="3"/>
  <c r="BC142" i="3"/>
  <c r="BD142" i="3"/>
  <c r="BE142" i="3"/>
  <c r="BF142" i="3"/>
  <c r="BG142" i="3"/>
  <c r="BH142" i="3"/>
  <c r="BI142" i="3"/>
  <c r="BJ142" i="3"/>
  <c r="BK142" i="3"/>
  <c r="BL142" i="3"/>
  <c r="BM142" i="3"/>
  <c r="BN142" i="3"/>
  <c r="BO142" i="3"/>
  <c r="BP142" i="3"/>
  <c r="BQ142" i="3"/>
  <c r="BR142" i="3"/>
  <c r="BS142" i="3"/>
  <c r="BT142" i="3"/>
  <c r="BU142" i="3"/>
  <c r="BV142" i="3"/>
  <c r="BW142" i="3"/>
  <c r="BX142" i="3"/>
  <c r="BY142" i="3"/>
  <c r="BZ142" i="3"/>
  <c r="CA142" i="3"/>
  <c r="CB142" i="3"/>
  <c r="CC142" i="3"/>
  <c r="CD142" i="3"/>
  <c r="CE142" i="3"/>
  <c r="CF142" i="3"/>
  <c r="CG142" i="3"/>
  <c r="CH142" i="3"/>
  <c r="CI142" i="3"/>
  <c r="CJ142" i="3"/>
  <c r="CK142" i="3"/>
  <c r="CL142" i="3"/>
  <c r="CM142" i="3"/>
  <c r="CN142" i="3"/>
  <c r="CO142" i="3"/>
  <c r="CP142" i="3"/>
  <c r="CQ142" i="3"/>
  <c r="CR142" i="3"/>
  <c r="CS142" i="3"/>
  <c r="CT142" i="3"/>
  <c r="CU142" i="3"/>
  <c r="CV142" i="3"/>
  <c r="CW142" i="3"/>
  <c r="CX142" i="3"/>
  <c r="CY142" i="3"/>
  <c r="CZ142" i="3"/>
  <c r="DA142" i="3"/>
  <c r="DB142" i="3"/>
  <c r="DC142" i="3"/>
  <c r="DD142" i="3"/>
  <c r="DE142" i="3"/>
  <c r="DF142" i="3"/>
  <c r="DG142" i="3"/>
  <c r="DH142" i="3"/>
  <c r="DI142" i="3"/>
  <c r="DJ142" i="3"/>
  <c r="DK142" i="3"/>
  <c r="DL142" i="3"/>
  <c r="DM142" i="3"/>
  <c r="DN142" i="3"/>
  <c r="DO142" i="3"/>
  <c r="DP142" i="3"/>
  <c r="DQ142" i="3"/>
  <c r="DR142" i="3"/>
  <c r="DS142" i="3"/>
  <c r="DT142" i="3"/>
  <c r="DU142" i="3"/>
  <c r="DV142" i="3"/>
  <c r="DW142" i="3"/>
  <c r="DX142" i="3"/>
  <c r="DY142" i="3"/>
  <c r="DZ142" i="3"/>
  <c r="EA142" i="3"/>
  <c r="EB142" i="3"/>
  <c r="EC142" i="3"/>
  <c r="ED142" i="3"/>
  <c r="EE142" i="3"/>
  <c r="EF142" i="3"/>
  <c r="EG142" i="3"/>
  <c r="EI142" i="3"/>
  <c r="EJ142" i="3"/>
  <c r="EK142" i="3"/>
  <c r="EL142" i="3"/>
  <c r="EM142" i="3"/>
  <c r="EN142" i="3"/>
  <c r="EO142" i="3"/>
  <c r="EP142" i="3"/>
  <c r="EQ142" i="3"/>
  <c r="ER142" i="3"/>
  <c r="ES142" i="3"/>
  <c r="ET142" i="3"/>
  <c r="EU142" i="3"/>
  <c r="EV142" i="3"/>
  <c r="EW142" i="3"/>
  <c r="EX142" i="3"/>
  <c r="EY142" i="3"/>
  <c r="EZ142" i="3"/>
  <c r="FA142" i="3"/>
  <c r="FB142" i="3"/>
  <c r="FC142" i="3"/>
  <c r="FD142" i="3"/>
  <c r="FE142" i="3"/>
  <c r="FF142" i="3"/>
  <c r="FG142" i="3"/>
  <c r="FH142" i="3"/>
  <c r="FI142" i="3"/>
  <c r="FJ142" i="3"/>
  <c r="FK142" i="3"/>
  <c r="FL142" i="3"/>
  <c r="FM142" i="3"/>
  <c r="FN142" i="3"/>
  <c r="FO142" i="3"/>
  <c r="FP142" i="3"/>
  <c r="FQ142" i="3"/>
  <c r="FR142" i="3"/>
  <c r="FS142" i="3"/>
  <c r="FT142" i="3"/>
  <c r="FU142" i="3"/>
  <c r="FV142" i="3"/>
  <c r="FW142" i="3"/>
  <c r="FX142" i="3"/>
  <c r="FY142" i="3"/>
  <c r="FZ142" i="3"/>
  <c r="GA142" i="3"/>
  <c r="GB142" i="3"/>
  <c r="GC142" i="3"/>
  <c r="GD142" i="3"/>
  <c r="GE142" i="3"/>
  <c r="GF142" i="3"/>
  <c r="GG142" i="3"/>
  <c r="GH142" i="3"/>
  <c r="GI142" i="3"/>
  <c r="GJ142" i="3"/>
  <c r="GK142" i="3"/>
  <c r="GL142" i="3"/>
  <c r="GM142" i="3"/>
  <c r="GN142" i="3"/>
  <c r="GO142" i="3"/>
  <c r="GP142" i="3"/>
  <c r="GQ142" i="3"/>
  <c r="GR142" i="3"/>
  <c r="GS142" i="3"/>
  <c r="GT142" i="3"/>
  <c r="GU142" i="3"/>
  <c r="GV142" i="3"/>
  <c r="GW142" i="3"/>
  <c r="GX142" i="3"/>
  <c r="GY142" i="3"/>
  <c r="GZ142" i="3"/>
  <c r="HA142" i="3"/>
  <c r="HB142" i="3"/>
  <c r="HC142" i="3"/>
  <c r="HD142" i="3"/>
  <c r="HE142" i="3"/>
  <c r="HF142" i="3"/>
  <c r="HG142" i="3"/>
  <c r="HH142" i="3"/>
  <c r="HI142" i="3"/>
  <c r="HJ142" i="3"/>
  <c r="HK142" i="3"/>
  <c r="HL142" i="3"/>
  <c r="HM142" i="3"/>
  <c r="HN142" i="3"/>
  <c r="HO142" i="3"/>
  <c r="HP142" i="3"/>
  <c r="HQ142" i="3"/>
  <c r="HR142" i="3"/>
  <c r="HS142" i="3"/>
  <c r="HT142" i="3"/>
  <c r="HU142" i="3"/>
  <c r="HV142" i="3"/>
  <c r="HW142" i="3"/>
  <c r="HX142" i="3"/>
  <c r="HY142" i="3"/>
  <c r="HZ142" i="3"/>
  <c r="IA142" i="3"/>
  <c r="IB142" i="3"/>
  <c r="IC142" i="3"/>
  <c r="ID142" i="3"/>
  <c r="IE142" i="3"/>
  <c r="IF142" i="3"/>
  <c r="IG142" i="3"/>
  <c r="IH142" i="3"/>
  <c r="II142" i="3"/>
  <c r="IJ142" i="3"/>
  <c r="IK142" i="3"/>
  <c r="IL142" i="3"/>
  <c r="IM142" i="3"/>
  <c r="IN142" i="3"/>
  <c r="IO142" i="3"/>
  <c r="IP142" i="3"/>
  <c r="IQ142" i="3"/>
  <c r="IR142" i="3"/>
  <c r="IS142" i="3"/>
  <c r="IT142" i="3"/>
  <c r="IU142" i="3"/>
  <c r="IV142" i="3"/>
  <c r="IW142" i="3"/>
  <c r="IX142" i="3"/>
  <c r="IY142" i="3"/>
  <c r="IZ142" i="3"/>
  <c r="JA142" i="3"/>
  <c r="JB142" i="3"/>
  <c r="JC142" i="3"/>
  <c r="JD142" i="3"/>
  <c r="JE142" i="3"/>
  <c r="JF142" i="3"/>
  <c r="JG142" i="3"/>
  <c r="JH142" i="3"/>
  <c r="JI142" i="3"/>
  <c r="JJ142" i="3"/>
  <c r="JK142" i="3"/>
  <c r="JL142" i="3"/>
  <c r="JM142" i="3"/>
  <c r="A143" i="3"/>
  <c r="B143" i="3"/>
  <c r="H143"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K143" i="3"/>
  <c r="AL143" i="3"/>
  <c r="AM143" i="3"/>
  <c r="AN143" i="3"/>
  <c r="AO143" i="3"/>
  <c r="AP143" i="3"/>
  <c r="AQ143" i="3"/>
  <c r="AR143" i="3"/>
  <c r="AS143" i="3"/>
  <c r="AT143" i="3"/>
  <c r="AU143" i="3"/>
  <c r="AV143" i="3"/>
  <c r="AW143" i="3"/>
  <c r="AX143" i="3"/>
  <c r="AY143" i="3"/>
  <c r="AZ143" i="3"/>
  <c r="BA143" i="3"/>
  <c r="BB143" i="3"/>
  <c r="BC143" i="3"/>
  <c r="BD143" i="3"/>
  <c r="BE143" i="3"/>
  <c r="BF143" i="3"/>
  <c r="BG143" i="3"/>
  <c r="BH143" i="3"/>
  <c r="BI143" i="3"/>
  <c r="BJ143" i="3"/>
  <c r="BK143" i="3"/>
  <c r="BL143" i="3"/>
  <c r="BM143" i="3"/>
  <c r="BN143" i="3"/>
  <c r="BO143" i="3"/>
  <c r="BP143" i="3"/>
  <c r="BQ143" i="3"/>
  <c r="BR143" i="3"/>
  <c r="BS143" i="3"/>
  <c r="BT143" i="3"/>
  <c r="BU143" i="3"/>
  <c r="BV143" i="3"/>
  <c r="BW143" i="3"/>
  <c r="BX143" i="3"/>
  <c r="BY143" i="3"/>
  <c r="BZ143" i="3"/>
  <c r="CA143" i="3"/>
  <c r="CB143" i="3"/>
  <c r="CC143" i="3"/>
  <c r="CD143" i="3"/>
  <c r="CE143" i="3"/>
  <c r="CF143" i="3"/>
  <c r="CG143" i="3"/>
  <c r="CH143" i="3"/>
  <c r="CI143" i="3"/>
  <c r="CJ143" i="3"/>
  <c r="CK143" i="3"/>
  <c r="CL143" i="3"/>
  <c r="CM143" i="3"/>
  <c r="CN143" i="3"/>
  <c r="CO143" i="3"/>
  <c r="CP143" i="3"/>
  <c r="CQ143" i="3"/>
  <c r="CR143" i="3"/>
  <c r="CS143" i="3"/>
  <c r="CT143" i="3"/>
  <c r="CU143" i="3"/>
  <c r="CV143" i="3"/>
  <c r="CW143" i="3"/>
  <c r="CX143" i="3"/>
  <c r="CY143" i="3"/>
  <c r="CZ143" i="3"/>
  <c r="DA143" i="3"/>
  <c r="DB143" i="3"/>
  <c r="DC143" i="3"/>
  <c r="DD143" i="3"/>
  <c r="DE143" i="3"/>
  <c r="DF143" i="3"/>
  <c r="DG143" i="3"/>
  <c r="DH143" i="3"/>
  <c r="DI143" i="3"/>
  <c r="DJ143" i="3"/>
  <c r="DK143" i="3"/>
  <c r="DL143" i="3"/>
  <c r="DM143" i="3"/>
  <c r="DN143" i="3"/>
  <c r="DO143" i="3"/>
  <c r="DP143" i="3"/>
  <c r="DQ143" i="3"/>
  <c r="DR143" i="3"/>
  <c r="DS143" i="3"/>
  <c r="DT143" i="3"/>
  <c r="DU143" i="3"/>
  <c r="DV143" i="3"/>
  <c r="DW143" i="3"/>
  <c r="DX143" i="3"/>
  <c r="DY143" i="3"/>
  <c r="DZ143" i="3"/>
  <c r="EA143" i="3"/>
  <c r="EB143" i="3"/>
  <c r="EC143" i="3"/>
  <c r="ED143" i="3"/>
  <c r="EE143" i="3"/>
  <c r="EF143" i="3"/>
  <c r="EG143" i="3"/>
  <c r="EI143" i="3"/>
  <c r="EJ143" i="3"/>
  <c r="EK143" i="3"/>
  <c r="EL143" i="3"/>
  <c r="EM143" i="3"/>
  <c r="EN143" i="3"/>
  <c r="EO143" i="3"/>
  <c r="EP143" i="3"/>
  <c r="EQ143" i="3"/>
  <c r="ER143" i="3"/>
  <c r="ES143" i="3"/>
  <c r="ET143" i="3"/>
  <c r="EU143" i="3"/>
  <c r="EV143" i="3"/>
  <c r="EW143" i="3"/>
  <c r="EX143" i="3"/>
  <c r="EY143" i="3"/>
  <c r="EZ143" i="3"/>
  <c r="FA143" i="3"/>
  <c r="FB143" i="3"/>
  <c r="FC143" i="3"/>
  <c r="FD143" i="3"/>
  <c r="FE143" i="3"/>
  <c r="FF143" i="3"/>
  <c r="FG143" i="3"/>
  <c r="FH143" i="3"/>
  <c r="FI143" i="3"/>
  <c r="FJ143" i="3"/>
  <c r="FK143" i="3"/>
  <c r="FL143" i="3"/>
  <c r="FM143" i="3"/>
  <c r="FN143" i="3"/>
  <c r="FO143" i="3"/>
  <c r="FP143" i="3"/>
  <c r="FQ143" i="3"/>
  <c r="FR143" i="3"/>
  <c r="FS143" i="3"/>
  <c r="FT143" i="3"/>
  <c r="FU143" i="3"/>
  <c r="FV143" i="3"/>
  <c r="FW143" i="3"/>
  <c r="FX143" i="3"/>
  <c r="FY143" i="3"/>
  <c r="FZ143" i="3"/>
  <c r="GA143" i="3"/>
  <c r="GB143" i="3"/>
  <c r="GC143" i="3"/>
  <c r="GD143" i="3"/>
  <c r="GE143" i="3"/>
  <c r="GF143" i="3"/>
  <c r="GG143" i="3"/>
  <c r="GH143" i="3"/>
  <c r="GI143" i="3"/>
  <c r="GJ143" i="3"/>
  <c r="GK143" i="3"/>
  <c r="GL143" i="3"/>
  <c r="GM143" i="3"/>
  <c r="GN143" i="3"/>
  <c r="GO143" i="3"/>
  <c r="GP143" i="3"/>
  <c r="GQ143" i="3"/>
  <c r="GR143" i="3"/>
  <c r="GS143" i="3"/>
  <c r="GT143" i="3"/>
  <c r="GU143" i="3"/>
  <c r="GV143" i="3"/>
  <c r="GW143" i="3"/>
  <c r="GX143" i="3"/>
  <c r="GY143" i="3"/>
  <c r="GZ143" i="3"/>
  <c r="HA143" i="3"/>
  <c r="HB143" i="3"/>
  <c r="HC143" i="3"/>
  <c r="HD143" i="3"/>
  <c r="HE143" i="3"/>
  <c r="HF143" i="3"/>
  <c r="HG143" i="3"/>
  <c r="HH143" i="3"/>
  <c r="HI143" i="3"/>
  <c r="HJ143" i="3"/>
  <c r="HK143" i="3"/>
  <c r="HL143" i="3"/>
  <c r="HM143" i="3"/>
  <c r="HN143" i="3"/>
  <c r="HO143" i="3"/>
  <c r="HP143" i="3"/>
  <c r="HQ143" i="3"/>
  <c r="HR143" i="3"/>
  <c r="HS143" i="3"/>
  <c r="HT143" i="3"/>
  <c r="HU143" i="3"/>
  <c r="HV143" i="3"/>
  <c r="HW143" i="3"/>
  <c r="HX143" i="3"/>
  <c r="HY143" i="3"/>
  <c r="HZ143" i="3"/>
  <c r="IA143" i="3"/>
  <c r="IB143" i="3"/>
  <c r="IC143" i="3"/>
  <c r="ID143" i="3"/>
  <c r="IE143" i="3"/>
  <c r="IF143" i="3"/>
  <c r="IG143" i="3"/>
  <c r="IH143" i="3"/>
  <c r="II143" i="3"/>
  <c r="IJ143" i="3"/>
  <c r="IK143" i="3"/>
  <c r="IL143" i="3"/>
  <c r="IM143" i="3"/>
  <c r="IN143" i="3"/>
  <c r="IO143" i="3"/>
  <c r="IP143" i="3"/>
  <c r="IQ143" i="3"/>
  <c r="IR143" i="3"/>
  <c r="IS143" i="3"/>
  <c r="IT143" i="3"/>
  <c r="IU143" i="3"/>
  <c r="IV143" i="3"/>
  <c r="IW143" i="3"/>
  <c r="IX143" i="3"/>
  <c r="IY143" i="3"/>
  <c r="IZ143" i="3"/>
  <c r="JA143" i="3"/>
  <c r="JB143" i="3"/>
  <c r="JC143" i="3"/>
  <c r="JD143" i="3"/>
  <c r="JE143" i="3"/>
  <c r="JF143" i="3"/>
  <c r="JG143" i="3"/>
  <c r="JH143" i="3"/>
  <c r="JI143" i="3"/>
  <c r="JJ143" i="3"/>
  <c r="JK143" i="3"/>
  <c r="JL143" i="3"/>
  <c r="JM143" i="3"/>
  <c r="A144" i="3"/>
  <c r="B144" i="3"/>
  <c r="O144" i="3"/>
  <c r="P144" i="3"/>
  <c r="Q144" i="3"/>
  <c r="R144" i="3"/>
  <c r="S144" i="3"/>
  <c r="T144" i="3"/>
  <c r="U144" i="3"/>
  <c r="V144" i="3"/>
  <c r="W144" i="3"/>
  <c r="X144" i="3"/>
  <c r="Y144" i="3"/>
  <c r="Z144" i="3"/>
  <c r="AA144" i="3"/>
  <c r="AB144" i="3"/>
  <c r="AC144" i="3"/>
  <c r="AD144" i="3"/>
  <c r="AE144" i="3"/>
  <c r="AF144" i="3"/>
  <c r="AG144" i="3"/>
  <c r="AH144" i="3"/>
  <c r="AI144" i="3"/>
  <c r="AJ144" i="3"/>
  <c r="AK144" i="3"/>
  <c r="AL144" i="3"/>
  <c r="AM144" i="3"/>
  <c r="AN144" i="3"/>
  <c r="AO144" i="3"/>
  <c r="AP144" i="3"/>
  <c r="AQ144" i="3"/>
  <c r="AR144" i="3"/>
  <c r="AS144" i="3"/>
  <c r="AT144" i="3"/>
  <c r="AU144" i="3"/>
  <c r="AV144" i="3"/>
  <c r="AW144" i="3"/>
  <c r="AX144" i="3"/>
  <c r="AY144" i="3"/>
  <c r="AZ144" i="3"/>
  <c r="BA144" i="3"/>
  <c r="BB144" i="3"/>
  <c r="BC144" i="3"/>
  <c r="BD144" i="3"/>
  <c r="BE144" i="3"/>
  <c r="BF144" i="3"/>
  <c r="BG144" i="3"/>
  <c r="BH144" i="3"/>
  <c r="BI144" i="3"/>
  <c r="BJ144" i="3"/>
  <c r="BK144" i="3"/>
  <c r="BL144" i="3"/>
  <c r="BM144" i="3"/>
  <c r="BN144" i="3"/>
  <c r="BO144" i="3"/>
  <c r="BP144" i="3"/>
  <c r="BQ144" i="3"/>
  <c r="BR144" i="3"/>
  <c r="BS144" i="3"/>
  <c r="BT144" i="3"/>
  <c r="BU144" i="3"/>
  <c r="BV144" i="3"/>
  <c r="BW144" i="3"/>
  <c r="BX144" i="3"/>
  <c r="BY144" i="3"/>
  <c r="BZ144" i="3"/>
  <c r="CA144" i="3"/>
  <c r="CB144" i="3"/>
  <c r="CC144" i="3"/>
  <c r="CD144" i="3"/>
  <c r="CE144" i="3"/>
  <c r="CF144" i="3"/>
  <c r="CG144" i="3"/>
  <c r="CH144" i="3"/>
  <c r="CI144" i="3"/>
  <c r="CJ144" i="3"/>
  <c r="CK144" i="3"/>
  <c r="CL144" i="3"/>
  <c r="CM144" i="3"/>
  <c r="CN144" i="3"/>
  <c r="CO144" i="3"/>
  <c r="CP144" i="3"/>
  <c r="CQ144" i="3"/>
  <c r="CR144" i="3"/>
  <c r="CS144" i="3"/>
  <c r="CT144" i="3"/>
  <c r="CU144" i="3"/>
  <c r="CV144" i="3"/>
  <c r="CW144" i="3"/>
  <c r="CX144" i="3"/>
  <c r="CY144" i="3"/>
  <c r="CZ144" i="3"/>
  <c r="DA144" i="3"/>
  <c r="DB144" i="3"/>
  <c r="DC144" i="3"/>
  <c r="DD144" i="3"/>
  <c r="DE144" i="3"/>
  <c r="DF144" i="3"/>
  <c r="DG144" i="3"/>
  <c r="DH144" i="3"/>
  <c r="DI144" i="3"/>
  <c r="DJ144" i="3"/>
  <c r="DK144" i="3"/>
  <c r="DL144" i="3"/>
  <c r="DM144" i="3"/>
  <c r="DN144" i="3"/>
  <c r="DO144" i="3"/>
  <c r="DP144" i="3"/>
  <c r="DQ144" i="3"/>
  <c r="DR144" i="3"/>
  <c r="DS144" i="3"/>
  <c r="DT144" i="3"/>
  <c r="DU144" i="3"/>
  <c r="DV144" i="3"/>
  <c r="DW144" i="3"/>
  <c r="DX144" i="3"/>
  <c r="DY144" i="3"/>
  <c r="DZ144" i="3"/>
  <c r="EA144" i="3"/>
  <c r="EB144" i="3"/>
  <c r="EC144" i="3"/>
  <c r="ED144" i="3"/>
  <c r="EE144" i="3"/>
  <c r="EF144" i="3"/>
  <c r="EG144" i="3"/>
  <c r="EI144" i="3"/>
  <c r="EJ144" i="3"/>
  <c r="EK144" i="3"/>
  <c r="EL144" i="3"/>
  <c r="EM144" i="3"/>
  <c r="EN144" i="3"/>
  <c r="EO144" i="3"/>
  <c r="EP144" i="3"/>
  <c r="EQ144" i="3"/>
  <c r="ER144" i="3"/>
  <c r="ES144" i="3"/>
  <c r="ET144" i="3"/>
  <c r="EU144" i="3"/>
  <c r="EV144" i="3"/>
  <c r="EW144" i="3"/>
  <c r="EX144" i="3"/>
  <c r="EY144" i="3"/>
  <c r="EZ144" i="3"/>
  <c r="FA144" i="3"/>
  <c r="FB144" i="3"/>
  <c r="FC144" i="3"/>
  <c r="FD144" i="3"/>
  <c r="FE144" i="3"/>
  <c r="FF144" i="3"/>
  <c r="FG144" i="3"/>
  <c r="FH144" i="3"/>
  <c r="FI144" i="3"/>
  <c r="FJ144" i="3"/>
  <c r="FK144" i="3"/>
  <c r="FL144" i="3"/>
  <c r="FM144" i="3"/>
  <c r="FN144" i="3"/>
  <c r="FO144" i="3"/>
  <c r="FP144" i="3"/>
  <c r="FQ144" i="3"/>
  <c r="FR144" i="3"/>
  <c r="FS144" i="3"/>
  <c r="FT144" i="3"/>
  <c r="FU144" i="3"/>
  <c r="FV144" i="3"/>
  <c r="FW144" i="3"/>
  <c r="FX144" i="3"/>
  <c r="FY144" i="3"/>
  <c r="FZ144" i="3"/>
  <c r="GA144" i="3"/>
  <c r="GB144" i="3"/>
  <c r="GC144" i="3"/>
  <c r="GD144" i="3"/>
  <c r="GE144" i="3"/>
  <c r="GF144" i="3"/>
  <c r="GG144" i="3"/>
  <c r="GH144" i="3"/>
  <c r="GI144" i="3"/>
  <c r="GJ144" i="3"/>
  <c r="GK144" i="3"/>
  <c r="GL144" i="3"/>
  <c r="GM144" i="3"/>
  <c r="GN144" i="3"/>
  <c r="GO144" i="3"/>
  <c r="GP144" i="3"/>
  <c r="GQ144" i="3"/>
  <c r="GR144" i="3"/>
  <c r="GS144" i="3"/>
  <c r="GT144" i="3"/>
  <c r="GU144" i="3"/>
  <c r="GV144" i="3"/>
  <c r="GW144" i="3"/>
  <c r="GX144" i="3"/>
  <c r="GY144" i="3"/>
  <c r="GZ144" i="3"/>
  <c r="HA144" i="3"/>
  <c r="HB144" i="3"/>
  <c r="HC144" i="3"/>
  <c r="HD144" i="3"/>
  <c r="HE144" i="3"/>
  <c r="HF144" i="3"/>
  <c r="HG144" i="3"/>
  <c r="HH144" i="3"/>
  <c r="HI144" i="3"/>
  <c r="HJ144" i="3"/>
  <c r="HK144" i="3"/>
  <c r="HL144" i="3"/>
  <c r="HM144" i="3"/>
  <c r="HN144" i="3"/>
  <c r="HO144" i="3"/>
  <c r="HP144" i="3"/>
  <c r="HQ144" i="3"/>
  <c r="HR144" i="3"/>
  <c r="HS144" i="3"/>
  <c r="HT144" i="3"/>
  <c r="HU144" i="3"/>
  <c r="HV144" i="3"/>
  <c r="HW144" i="3"/>
  <c r="HX144" i="3"/>
  <c r="HY144" i="3"/>
  <c r="HZ144" i="3"/>
  <c r="IA144" i="3"/>
  <c r="IB144" i="3"/>
  <c r="IC144" i="3"/>
  <c r="ID144" i="3"/>
  <c r="IE144" i="3"/>
  <c r="IF144" i="3"/>
  <c r="IG144" i="3"/>
  <c r="IH144" i="3"/>
  <c r="II144" i="3"/>
  <c r="IJ144" i="3"/>
  <c r="IK144" i="3"/>
  <c r="IL144" i="3"/>
  <c r="IM144" i="3"/>
  <c r="IN144" i="3"/>
  <c r="IO144" i="3"/>
  <c r="IP144" i="3"/>
  <c r="IQ144" i="3"/>
  <c r="IR144" i="3"/>
  <c r="IS144" i="3"/>
  <c r="IT144" i="3"/>
  <c r="IU144" i="3"/>
  <c r="IV144" i="3"/>
  <c r="IW144" i="3"/>
  <c r="IX144" i="3"/>
  <c r="IY144" i="3"/>
  <c r="IZ144" i="3"/>
  <c r="JA144" i="3"/>
  <c r="JB144" i="3"/>
  <c r="JC144" i="3"/>
  <c r="JD144" i="3"/>
  <c r="JE144" i="3"/>
  <c r="JF144" i="3"/>
  <c r="JG144" i="3"/>
  <c r="JH144" i="3"/>
  <c r="JI144" i="3"/>
  <c r="JJ144" i="3"/>
  <c r="JK144" i="3"/>
  <c r="JL144" i="3"/>
  <c r="JM144" i="3"/>
  <c r="A145" i="3"/>
  <c r="B145" i="3"/>
  <c r="E145" i="3"/>
  <c r="F145" i="3"/>
  <c r="G145" i="3"/>
  <c r="H145" i="3"/>
  <c r="I145" i="3"/>
  <c r="J145" i="3"/>
  <c r="K145"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K145" i="3"/>
  <c r="AL145" i="3"/>
  <c r="AM145" i="3"/>
  <c r="AN145" i="3"/>
  <c r="AO145" i="3"/>
  <c r="AP145" i="3"/>
  <c r="AQ145" i="3"/>
  <c r="AR145" i="3"/>
  <c r="AS145" i="3"/>
  <c r="AT145" i="3"/>
  <c r="AU145" i="3"/>
  <c r="AV145" i="3"/>
  <c r="AW145" i="3"/>
  <c r="AX145" i="3"/>
  <c r="AY145" i="3"/>
  <c r="AZ145" i="3"/>
  <c r="BA145" i="3"/>
  <c r="BB145" i="3"/>
  <c r="BC145" i="3"/>
  <c r="BD145" i="3"/>
  <c r="BE145" i="3"/>
  <c r="BF145" i="3"/>
  <c r="BG145" i="3"/>
  <c r="BH145" i="3"/>
  <c r="BI145" i="3"/>
  <c r="BJ145" i="3"/>
  <c r="BK145" i="3"/>
  <c r="BL145" i="3"/>
  <c r="BM145" i="3"/>
  <c r="BN145" i="3"/>
  <c r="BO145" i="3"/>
  <c r="BP145" i="3"/>
  <c r="BQ145" i="3"/>
  <c r="BR145" i="3"/>
  <c r="BS145" i="3"/>
  <c r="BT145" i="3"/>
  <c r="BU145" i="3"/>
  <c r="BV145" i="3"/>
  <c r="BW145" i="3"/>
  <c r="BX145" i="3"/>
  <c r="BY145" i="3"/>
  <c r="BZ145" i="3"/>
  <c r="CA145" i="3"/>
  <c r="CB145" i="3"/>
  <c r="CC145" i="3"/>
  <c r="CD145" i="3"/>
  <c r="CE145" i="3"/>
  <c r="CF145" i="3"/>
  <c r="CG145" i="3"/>
  <c r="CH145" i="3"/>
  <c r="CI145" i="3"/>
  <c r="CJ145" i="3"/>
  <c r="CK145" i="3"/>
  <c r="CL145" i="3"/>
  <c r="CM145" i="3"/>
  <c r="CN145" i="3"/>
  <c r="CO145" i="3"/>
  <c r="CP145" i="3"/>
  <c r="CQ145" i="3"/>
  <c r="CR145" i="3"/>
  <c r="CS145" i="3"/>
  <c r="CT145" i="3"/>
  <c r="CU145" i="3"/>
  <c r="CV145" i="3"/>
  <c r="CW145" i="3"/>
  <c r="CX145" i="3"/>
  <c r="CY145" i="3"/>
  <c r="CZ145" i="3"/>
  <c r="DA145" i="3"/>
  <c r="DB145" i="3"/>
  <c r="DC145" i="3"/>
  <c r="DD145" i="3"/>
  <c r="DE145" i="3"/>
  <c r="DF145" i="3"/>
  <c r="DG145" i="3"/>
  <c r="DH145" i="3"/>
  <c r="DI145" i="3"/>
  <c r="DJ145" i="3"/>
  <c r="DK145" i="3"/>
  <c r="DL145" i="3"/>
  <c r="DM145" i="3"/>
  <c r="DN145" i="3"/>
  <c r="DO145" i="3"/>
  <c r="DP145" i="3"/>
  <c r="DQ145" i="3"/>
  <c r="DR145" i="3"/>
  <c r="DS145" i="3"/>
  <c r="DT145" i="3"/>
  <c r="DU145" i="3"/>
  <c r="DV145" i="3"/>
  <c r="DW145" i="3"/>
  <c r="DX145" i="3"/>
  <c r="DY145" i="3"/>
  <c r="DZ145" i="3"/>
  <c r="EA145" i="3"/>
  <c r="EB145" i="3"/>
  <c r="EC145" i="3"/>
  <c r="ED145" i="3"/>
  <c r="EE145" i="3"/>
  <c r="EF145" i="3"/>
  <c r="EG145" i="3"/>
  <c r="EI145" i="3"/>
  <c r="EJ145" i="3"/>
  <c r="EK145" i="3"/>
  <c r="EL145" i="3"/>
  <c r="EM145" i="3"/>
  <c r="EN145" i="3"/>
  <c r="EO145" i="3"/>
  <c r="EP145" i="3"/>
  <c r="EQ145" i="3"/>
  <c r="ER145" i="3"/>
  <c r="ES145" i="3"/>
  <c r="ET145" i="3"/>
  <c r="EU145" i="3"/>
  <c r="EV145" i="3"/>
  <c r="EW145" i="3"/>
  <c r="EX145" i="3"/>
  <c r="EY145" i="3"/>
  <c r="EZ145" i="3"/>
  <c r="FA145" i="3"/>
  <c r="FB145" i="3"/>
  <c r="FC145" i="3"/>
  <c r="FD145" i="3"/>
  <c r="FE145" i="3"/>
  <c r="FF145" i="3"/>
  <c r="FG145" i="3"/>
  <c r="FH145" i="3"/>
  <c r="FI145" i="3"/>
  <c r="FJ145" i="3"/>
  <c r="FK145" i="3"/>
  <c r="FL145" i="3"/>
  <c r="FM145" i="3"/>
  <c r="FN145" i="3"/>
  <c r="FO145" i="3"/>
  <c r="FP145" i="3"/>
  <c r="FQ145" i="3"/>
  <c r="FR145" i="3"/>
  <c r="FS145" i="3"/>
  <c r="FT145" i="3"/>
  <c r="FU145" i="3"/>
  <c r="FV145" i="3"/>
  <c r="FW145" i="3"/>
  <c r="FX145" i="3"/>
  <c r="FY145" i="3"/>
  <c r="FZ145" i="3"/>
  <c r="GA145" i="3"/>
  <c r="GB145" i="3"/>
  <c r="GC145" i="3"/>
  <c r="GD145" i="3"/>
  <c r="GE145" i="3"/>
  <c r="GF145" i="3"/>
  <c r="GG145" i="3"/>
  <c r="GH145" i="3"/>
  <c r="GI145" i="3"/>
  <c r="GJ145" i="3"/>
  <c r="GK145" i="3"/>
  <c r="GL145" i="3"/>
  <c r="GM145" i="3"/>
  <c r="GN145" i="3"/>
  <c r="GO145" i="3"/>
  <c r="GP145" i="3"/>
  <c r="GQ145" i="3"/>
  <c r="GR145" i="3"/>
  <c r="GS145" i="3"/>
  <c r="GT145" i="3"/>
  <c r="GU145" i="3"/>
  <c r="GV145" i="3"/>
  <c r="GW145" i="3"/>
  <c r="GX145" i="3"/>
  <c r="GY145" i="3"/>
  <c r="GZ145" i="3"/>
  <c r="HA145" i="3"/>
  <c r="HB145" i="3"/>
  <c r="HC145" i="3"/>
  <c r="HD145" i="3"/>
  <c r="HE145" i="3"/>
  <c r="HF145" i="3"/>
  <c r="HG145" i="3"/>
  <c r="HH145" i="3"/>
  <c r="HI145" i="3"/>
  <c r="HJ145" i="3"/>
  <c r="HK145" i="3"/>
  <c r="HL145" i="3"/>
  <c r="HM145" i="3"/>
  <c r="HN145" i="3"/>
  <c r="HO145" i="3"/>
  <c r="HP145" i="3"/>
  <c r="HQ145" i="3"/>
  <c r="HR145" i="3"/>
  <c r="HS145" i="3"/>
  <c r="HT145" i="3"/>
  <c r="HU145" i="3"/>
  <c r="HV145" i="3"/>
  <c r="HW145" i="3"/>
  <c r="HX145" i="3"/>
  <c r="HY145" i="3"/>
  <c r="HZ145" i="3"/>
  <c r="IA145" i="3"/>
  <c r="IB145" i="3"/>
  <c r="IC145" i="3"/>
  <c r="ID145" i="3"/>
  <c r="IE145" i="3"/>
  <c r="IF145" i="3"/>
  <c r="IG145" i="3"/>
  <c r="IH145" i="3"/>
  <c r="II145" i="3"/>
  <c r="IJ145" i="3"/>
  <c r="IK145" i="3"/>
  <c r="IL145" i="3"/>
  <c r="IM145" i="3"/>
  <c r="IN145" i="3"/>
  <c r="IO145" i="3"/>
  <c r="IP145" i="3"/>
  <c r="IQ145" i="3"/>
  <c r="IR145" i="3"/>
  <c r="IS145" i="3"/>
  <c r="IT145" i="3"/>
  <c r="IU145" i="3"/>
  <c r="IV145" i="3"/>
  <c r="IW145" i="3"/>
  <c r="IX145" i="3"/>
  <c r="IY145" i="3"/>
  <c r="IZ145" i="3"/>
  <c r="JA145" i="3"/>
  <c r="JB145" i="3"/>
  <c r="JC145" i="3"/>
  <c r="JD145" i="3"/>
  <c r="JE145" i="3"/>
  <c r="JF145" i="3"/>
  <c r="JG145" i="3"/>
  <c r="JH145" i="3"/>
  <c r="JI145" i="3"/>
  <c r="JJ145" i="3"/>
  <c r="JK145" i="3"/>
  <c r="JL145" i="3"/>
  <c r="JM145" i="3"/>
  <c r="A136" i="3"/>
  <c r="B136" i="3"/>
  <c r="C136" i="3"/>
  <c r="D136" i="3"/>
  <c r="E136" i="3"/>
  <c r="F136" i="3"/>
  <c r="G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O136" i="3"/>
  <c r="AP136" i="3"/>
  <c r="AQ136" i="3"/>
  <c r="AR136" i="3"/>
  <c r="AS136" i="3"/>
  <c r="AT136" i="3"/>
  <c r="AU136" i="3"/>
  <c r="AV136" i="3"/>
  <c r="AW136" i="3"/>
  <c r="AX136" i="3"/>
  <c r="AY136" i="3"/>
  <c r="AZ136" i="3"/>
  <c r="BA136" i="3"/>
  <c r="BB136" i="3"/>
  <c r="BC136" i="3"/>
  <c r="BD136" i="3"/>
  <c r="BE136" i="3"/>
  <c r="BF136" i="3"/>
  <c r="BG136" i="3"/>
  <c r="BH136" i="3"/>
  <c r="BI136" i="3"/>
  <c r="BJ136" i="3"/>
  <c r="BK136" i="3"/>
  <c r="BL136" i="3"/>
  <c r="BM136" i="3"/>
  <c r="BN136" i="3"/>
  <c r="BO136" i="3"/>
  <c r="BP136" i="3"/>
  <c r="BQ136" i="3"/>
  <c r="BR136" i="3"/>
  <c r="BS136" i="3"/>
  <c r="BT136" i="3"/>
  <c r="BU136" i="3"/>
  <c r="BV136" i="3"/>
  <c r="BW136" i="3"/>
  <c r="BX136" i="3"/>
  <c r="BY136" i="3"/>
  <c r="BZ136" i="3"/>
  <c r="CA136" i="3"/>
  <c r="CB136" i="3"/>
  <c r="CC136" i="3"/>
  <c r="CD136" i="3"/>
  <c r="CE136" i="3"/>
  <c r="CF136" i="3"/>
  <c r="CG136" i="3"/>
  <c r="CH136" i="3"/>
  <c r="CI136" i="3"/>
  <c r="CJ136" i="3"/>
  <c r="CK136" i="3"/>
  <c r="CL136" i="3"/>
  <c r="CM136" i="3"/>
  <c r="CN136" i="3"/>
  <c r="CO136" i="3"/>
  <c r="CP136" i="3"/>
  <c r="CQ136" i="3"/>
  <c r="CR136" i="3"/>
  <c r="CS136" i="3"/>
  <c r="CT136" i="3"/>
  <c r="CU136" i="3"/>
  <c r="CV136" i="3"/>
  <c r="CW136" i="3"/>
  <c r="CX136" i="3"/>
  <c r="CY136" i="3"/>
  <c r="CZ136" i="3"/>
  <c r="DA136" i="3"/>
  <c r="DB136" i="3"/>
  <c r="DC136" i="3"/>
  <c r="DD136" i="3"/>
  <c r="DE136" i="3"/>
  <c r="DF136" i="3"/>
  <c r="DG136" i="3"/>
  <c r="DH136" i="3"/>
  <c r="DI136" i="3"/>
  <c r="DJ136" i="3"/>
  <c r="DK136" i="3"/>
  <c r="DL136" i="3"/>
  <c r="DM136" i="3"/>
  <c r="DN136" i="3"/>
  <c r="DO136" i="3"/>
  <c r="DP136" i="3"/>
  <c r="DQ136" i="3"/>
  <c r="DR136" i="3"/>
  <c r="DS136" i="3"/>
  <c r="DT136" i="3"/>
  <c r="DU136" i="3"/>
  <c r="DV136" i="3"/>
  <c r="DW136" i="3"/>
  <c r="DX136" i="3"/>
  <c r="DY136" i="3"/>
  <c r="DZ136" i="3"/>
  <c r="EA136" i="3"/>
  <c r="EB136" i="3"/>
  <c r="EC136" i="3"/>
  <c r="ED136" i="3"/>
  <c r="EE136" i="3"/>
  <c r="EF136" i="3"/>
  <c r="EG136" i="3"/>
  <c r="EI136" i="3"/>
  <c r="EJ136" i="3"/>
  <c r="EK136" i="3"/>
  <c r="EL136" i="3"/>
  <c r="EM136" i="3"/>
  <c r="EN136" i="3"/>
  <c r="EO136" i="3"/>
  <c r="EP136" i="3"/>
  <c r="EQ136" i="3"/>
  <c r="ER136" i="3"/>
  <c r="ES136" i="3"/>
  <c r="ET136" i="3"/>
  <c r="EU136" i="3"/>
  <c r="EV136" i="3"/>
  <c r="EW136" i="3"/>
  <c r="EX136" i="3"/>
  <c r="EY136" i="3"/>
  <c r="EZ136" i="3"/>
  <c r="FA136" i="3"/>
  <c r="FB136" i="3"/>
  <c r="FC136" i="3"/>
  <c r="FD136" i="3"/>
  <c r="FE136" i="3"/>
  <c r="FF136" i="3"/>
  <c r="FG136" i="3"/>
  <c r="FH136" i="3"/>
  <c r="FI136" i="3"/>
  <c r="FJ136" i="3"/>
  <c r="FK136" i="3"/>
  <c r="FL136" i="3"/>
  <c r="FM136" i="3"/>
  <c r="FN136" i="3"/>
  <c r="FO136" i="3"/>
  <c r="FP136" i="3"/>
  <c r="FQ136" i="3"/>
  <c r="FR136" i="3"/>
  <c r="FS136" i="3"/>
  <c r="FT136" i="3"/>
  <c r="FU136" i="3"/>
  <c r="FV136" i="3"/>
  <c r="FW136" i="3"/>
  <c r="FX136" i="3"/>
  <c r="FY136" i="3"/>
  <c r="FZ136" i="3"/>
  <c r="GA136" i="3"/>
  <c r="GB136" i="3"/>
  <c r="GC136" i="3"/>
  <c r="GD136" i="3"/>
  <c r="GE136" i="3"/>
  <c r="GF136" i="3"/>
  <c r="GG136" i="3"/>
  <c r="GH136" i="3"/>
  <c r="GI136" i="3"/>
  <c r="GJ136" i="3"/>
  <c r="GK136" i="3"/>
  <c r="GL136" i="3"/>
  <c r="GM136" i="3"/>
  <c r="GN136" i="3"/>
  <c r="GO136" i="3"/>
  <c r="GP136" i="3"/>
  <c r="GQ136" i="3"/>
  <c r="GR136" i="3"/>
  <c r="GS136" i="3"/>
  <c r="GT136" i="3"/>
  <c r="GU136" i="3"/>
  <c r="GV136" i="3"/>
  <c r="GW136" i="3"/>
  <c r="GX136" i="3"/>
  <c r="GY136" i="3"/>
  <c r="GZ136" i="3"/>
  <c r="HA136" i="3"/>
  <c r="HB136" i="3"/>
  <c r="HC136" i="3"/>
  <c r="HD136" i="3"/>
  <c r="HE136" i="3"/>
  <c r="HF136" i="3"/>
  <c r="HG136" i="3"/>
  <c r="HH136" i="3"/>
  <c r="HI136" i="3"/>
  <c r="HJ136" i="3"/>
  <c r="HK136" i="3"/>
  <c r="HL136" i="3"/>
  <c r="HM136" i="3"/>
  <c r="HN136" i="3"/>
  <c r="HO136" i="3"/>
  <c r="HP136" i="3"/>
  <c r="HQ136" i="3"/>
  <c r="HR136" i="3"/>
  <c r="HS136" i="3"/>
  <c r="HT136" i="3"/>
  <c r="HU136" i="3"/>
  <c r="HV136" i="3"/>
  <c r="HW136" i="3"/>
  <c r="HX136" i="3"/>
  <c r="HY136" i="3"/>
  <c r="HZ136" i="3"/>
  <c r="IA136" i="3"/>
  <c r="IB136" i="3"/>
  <c r="IC136" i="3"/>
  <c r="ID136" i="3"/>
  <c r="IE136" i="3"/>
  <c r="IF136" i="3"/>
  <c r="IG136" i="3"/>
  <c r="IH136" i="3"/>
  <c r="II136" i="3"/>
  <c r="IJ136" i="3"/>
  <c r="IK136" i="3"/>
  <c r="IL136" i="3"/>
  <c r="IM136" i="3"/>
  <c r="IN136" i="3"/>
  <c r="IO136" i="3"/>
  <c r="IP136" i="3"/>
  <c r="IQ136" i="3"/>
  <c r="IR136" i="3"/>
  <c r="IS136" i="3"/>
  <c r="IT136" i="3"/>
  <c r="IU136" i="3"/>
  <c r="IV136" i="3"/>
  <c r="IW136" i="3"/>
  <c r="IX136" i="3"/>
  <c r="IY136" i="3"/>
  <c r="IZ136" i="3"/>
  <c r="JA136" i="3"/>
  <c r="JB136" i="3"/>
  <c r="JC136" i="3"/>
  <c r="JD136" i="3"/>
  <c r="JE136" i="3"/>
  <c r="JF136" i="3"/>
  <c r="JG136" i="3"/>
  <c r="JH136" i="3"/>
  <c r="JI136" i="3"/>
  <c r="JJ136" i="3"/>
  <c r="JK136" i="3"/>
  <c r="JL136" i="3"/>
  <c r="JM136" i="3"/>
  <c r="A137" i="3"/>
  <c r="B137" i="3"/>
  <c r="G137" i="3"/>
  <c r="H137"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K137" i="3"/>
  <c r="AL137" i="3"/>
  <c r="AM137" i="3"/>
  <c r="AN137" i="3"/>
  <c r="AO137" i="3"/>
  <c r="AP137" i="3"/>
  <c r="AQ137" i="3"/>
  <c r="AR137" i="3"/>
  <c r="AS137" i="3"/>
  <c r="AT137" i="3"/>
  <c r="AU137" i="3"/>
  <c r="AV137" i="3"/>
  <c r="AW137" i="3"/>
  <c r="AX137" i="3"/>
  <c r="AY137" i="3"/>
  <c r="AZ137" i="3"/>
  <c r="BA137" i="3"/>
  <c r="BB137" i="3"/>
  <c r="BC137" i="3"/>
  <c r="BD137" i="3"/>
  <c r="BE137" i="3"/>
  <c r="BF137" i="3"/>
  <c r="BG137" i="3"/>
  <c r="BH137" i="3"/>
  <c r="BI137" i="3"/>
  <c r="BJ137" i="3"/>
  <c r="BK137" i="3"/>
  <c r="BL137" i="3"/>
  <c r="BM137" i="3"/>
  <c r="BN137" i="3"/>
  <c r="BO137" i="3"/>
  <c r="BP137" i="3"/>
  <c r="BQ137" i="3"/>
  <c r="BR137" i="3"/>
  <c r="BS137" i="3"/>
  <c r="BT137" i="3"/>
  <c r="BU137" i="3"/>
  <c r="BV137" i="3"/>
  <c r="BW137" i="3"/>
  <c r="BX137" i="3"/>
  <c r="BY137" i="3"/>
  <c r="BZ137" i="3"/>
  <c r="CA137" i="3"/>
  <c r="CB137" i="3"/>
  <c r="CC137" i="3"/>
  <c r="CD137" i="3"/>
  <c r="CE137" i="3"/>
  <c r="CF137" i="3"/>
  <c r="CG137" i="3"/>
  <c r="CH137" i="3"/>
  <c r="CI137" i="3"/>
  <c r="CJ137" i="3"/>
  <c r="CK137" i="3"/>
  <c r="CL137" i="3"/>
  <c r="CM137" i="3"/>
  <c r="CN137" i="3"/>
  <c r="CO137" i="3"/>
  <c r="CP137" i="3"/>
  <c r="CQ137" i="3"/>
  <c r="CR137" i="3"/>
  <c r="CS137" i="3"/>
  <c r="CT137" i="3"/>
  <c r="CU137" i="3"/>
  <c r="CV137" i="3"/>
  <c r="CW137" i="3"/>
  <c r="CX137" i="3"/>
  <c r="CY137" i="3"/>
  <c r="CZ137" i="3"/>
  <c r="DA137" i="3"/>
  <c r="DB137" i="3"/>
  <c r="DC137" i="3"/>
  <c r="DD137" i="3"/>
  <c r="DE137" i="3"/>
  <c r="DF137" i="3"/>
  <c r="DG137" i="3"/>
  <c r="DH137" i="3"/>
  <c r="DI137" i="3"/>
  <c r="DJ137" i="3"/>
  <c r="DK137" i="3"/>
  <c r="DL137" i="3"/>
  <c r="DM137" i="3"/>
  <c r="DN137" i="3"/>
  <c r="DO137" i="3"/>
  <c r="DP137" i="3"/>
  <c r="DQ137" i="3"/>
  <c r="DR137" i="3"/>
  <c r="DS137" i="3"/>
  <c r="DT137" i="3"/>
  <c r="DU137" i="3"/>
  <c r="DV137" i="3"/>
  <c r="DW137" i="3"/>
  <c r="DX137" i="3"/>
  <c r="DY137" i="3"/>
  <c r="DZ137" i="3"/>
  <c r="EA137" i="3"/>
  <c r="EB137" i="3"/>
  <c r="EC137" i="3"/>
  <c r="ED137" i="3"/>
  <c r="EE137" i="3"/>
  <c r="EF137" i="3"/>
  <c r="EG137" i="3"/>
  <c r="EI137" i="3"/>
  <c r="EJ137" i="3"/>
  <c r="EK137" i="3"/>
  <c r="EL137" i="3"/>
  <c r="EM137" i="3"/>
  <c r="EN137" i="3"/>
  <c r="EO137" i="3"/>
  <c r="EP137" i="3"/>
  <c r="EQ137" i="3"/>
  <c r="ER137" i="3"/>
  <c r="ES137" i="3"/>
  <c r="ET137" i="3"/>
  <c r="EU137" i="3"/>
  <c r="EV137" i="3"/>
  <c r="EW137" i="3"/>
  <c r="EX137" i="3"/>
  <c r="EY137" i="3"/>
  <c r="EZ137" i="3"/>
  <c r="FA137" i="3"/>
  <c r="FB137" i="3"/>
  <c r="FC137" i="3"/>
  <c r="FD137" i="3"/>
  <c r="FE137" i="3"/>
  <c r="FF137" i="3"/>
  <c r="FG137" i="3"/>
  <c r="FH137" i="3"/>
  <c r="FI137" i="3"/>
  <c r="FJ137" i="3"/>
  <c r="FK137" i="3"/>
  <c r="FL137" i="3"/>
  <c r="FM137" i="3"/>
  <c r="FN137" i="3"/>
  <c r="FO137" i="3"/>
  <c r="FP137" i="3"/>
  <c r="FQ137" i="3"/>
  <c r="FR137" i="3"/>
  <c r="FS137" i="3"/>
  <c r="FT137" i="3"/>
  <c r="FU137" i="3"/>
  <c r="FV137" i="3"/>
  <c r="FW137" i="3"/>
  <c r="FX137" i="3"/>
  <c r="FY137" i="3"/>
  <c r="FZ137" i="3"/>
  <c r="GA137" i="3"/>
  <c r="GB137" i="3"/>
  <c r="GC137" i="3"/>
  <c r="GD137" i="3"/>
  <c r="GE137" i="3"/>
  <c r="GF137" i="3"/>
  <c r="GG137" i="3"/>
  <c r="GH137" i="3"/>
  <c r="GI137" i="3"/>
  <c r="GJ137" i="3"/>
  <c r="GK137" i="3"/>
  <c r="GL137" i="3"/>
  <c r="GM137" i="3"/>
  <c r="GN137" i="3"/>
  <c r="GO137" i="3"/>
  <c r="GP137" i="3"/>
  <c r="GQ137" i="3"/>
  <c r="GR137" i="3"/>
  <c r="GS137" i="3"/>
  <c r="GT137" i="3"/>
  <c r="GU137" i="3"/>
  <c r="GV137" i="3"/>
  <c r="GW137" i="3"/>
  <c r="GX137" i="3"/>
  <c r="GY137" i="3"/>
  <c r="GZ137" i="3"/>
  <c r="HA137" i="3"/>
  <c r="HB137" i="3"/>
  <c r="HC137" i="3"/>
  <c r="HD137" i="3"/>
  <c r="HE137" i="3"/>
  <c r="HF137" i="3"/>
  <c r="HG137" i="3"/>
  <c r="HH137" i="3"/>
  <c r="HI137" i="3"/>
  <c r="HJ137" i="3"/>
  <c r="HK137" i="3"/>
  <c r="HL137" i="3"/>
  <c r="HM137" i="3"/>
  <c r="HN137" i="3"/>
  <c r="HO137" i="3"/>
  <c r="HP137" i="3"/>
  <c r="HQ137" i="3"/>
  <c r="HR137" i="3"/>
  <c r="HS137" i="3"/>
  <c r="HT137" i="3"/>
  <c r="HU137" i="3"/>
  <c r="HV137" i="3"/>
  <c r="HW137" i="3"/>
  <c r="HX137" i="3"/>
  <c r="HY137" i="3"/>
  <c r="HZ137" i="3"/>
  <c r="IA137" i="3"/>
  <c r="IB137" i="3"/>
  <c r="IC137" i="3"/>
  <c r="ID137" i="3"/>
  <c r="IE137" i="3"/>
  <c r="IF137" i="3"/>
  <c r="IG137" i="3"/>
  <c r="IH137" i="3"/>
  <c r="II137" i="3"/>
  <c r="IJ137" i="3"/>
  <c r="IK137" i="3"/>
  <c r="IL137" i="3"/>
  <c r="IM137" i="3"/>
  <c r="IN137" i="3"/>
  <c r="IO137" i="3"/>
  <c r="IP137" i="3"/>
  <c r="IQ137" i="3"/>
  <c r="IR137" i="3"/>
  <c r="IS137" i="3"/>
  <c r="IT137" i="3"/>
  <c r="IU137" i="3"/>
  <c r="IV137" i="3"/>
  <c r="IW137" i="3"/>
  <c r="IX137" i="3"/>
  <c r="IY137" i="3"/>
  <c r="IZ137" i="3"/>
  <c r="JA137" i="3"/>
  <c r="JB137" i="3"/>
  <c r="JC137" i="3"/>
  <c r="JD137" i="3"/>
  <c r="JE137" i="3"/>
  <c r="JF137" i="3"/>
  <c r="JG137" i="3"/>
  <c r="JH137" i="3"/>
  <c r="JI137" i="3"/>
  <c r="JJ137" i="3"/>
  <c r="JK137" i="3"/>
  <c r="JL137" i="3"/>
  <c r="JM137" i="3"/>
  <c r="A138" i="3"/>
  <c r="B138" i="3"/>
  <c r="H138"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K138" i="3"/>
  <c r="AL138" i="3"/>
  <c r="AM138" i="3"/>
  <c r="AN138" i="3"/>
  <c r="AO138" i="3"/>
  <c r="AP138" i="3"/>
  <c r="AQ138" i="3"/>
  <c r="AR138" i="3"/>
  <c r="AS138" i="3"/>
  <c r="AT138" i="3"/>
  <c r="AU138" i="3"/>
  <c r="AV138" i="3"/>
  <c r="AW138" i="3"/>
  <c r="AX138" i="3"/>
  <c r="AY138" i="3"/>
  <c r="AZ138" i="3"/>
  <c r="BA138" i="3"/>
  <c r="BB138" i="3"/>
  <c r="BC138" i="3"/>
  <c r="BD138" i="3"/>
  <c r="BE138" i="3"/>
  <c r="BF138" i="3"/>
  <c r="BG138" i="3"/>
  <c r="BH138" i="3"/>
  <c r="BI138" i="3"/>
  <c r="BJ138" i="3"/>
  <c r="BK138" i="3"/>
  <c r="BL138" i="3"/>
  <c r="BM138" i="3"/>
  <c r="BN138" i="3"/>
  <c r="BO138" i="3"/>
  <c r="BP138" i="3"/>
  <c r="BQ138" i="3"/>
  <c r="BR138" i="3"/>
  <c r="BS138" i="3"/>
  <c r="BT138" i="3"/>
  <c r="BU138" i="3"/>
  <c r="BV138" i="3"/>
  <c r="BW138" i="3"/>
  <c r="BX138" i="3"/>
  <c r="BY138" i="3"/>
  <c r="BZ138" i="3"/>
  <c r="CA138" i="3"/>
  <c r="CB138" i="3"/>
  <c r="CC138" i="3"/>
  <c r="CD138" i="3"/>
  <c r="CE138" i="3"/>
  <c r="CF138" i="3"/>
  <c r="CG138" i="3"/>
  <c r="CH138" i="3"/>
  <c r="CI138" i="3"/>
  <c r="CJ138" i="3"/>
  <c r="CK138" i="3"/>
  <c r="CL138" i="3"/>
  <c r="CM138" i="3"/>
  <c r="CN138" i="3"/>
  <c r="CO138" i="3"/>
  <c r="CP138" i="3"/>
  <c r="CQ138" i="3"/>
  <c r="CR138" i="3"/>
  <c r="CS138" i="3"/>
  <c r="CT138" i="3"/>
  <c r="CU138" i="3"/>
  <c r="CV138" i="3"/>
  <c r="CW138" i="3"/>
  <c r="CX138" i="3"/>
  <c r="CY138" i="3"/>
  <c r="CZ138" i="3"/>
  <c r="DA138" i="3"/>
  <c r="DB138" i="3"/>
  <c r="DC138" i="3"/>
  <c r="DD138" i="3"/>
  <c r="DE138" i="3"/>
  <c r="DF138" i="3"/>
  <c r="DG138" i="3"/>
  <c r="DH138" i="3"/>
  <c r="DI138" i="3"/>
  <c r="DJ138" i="3"/>
  <c r="DK138" i="3"/>
  <c r="DL138" i="3"/>
  <c r="DM138" i="3"/>
  <c r="DN138" i="3"/>
  <c r="DO138" i="3"/>
  <c r="DP138" i="3"/>
  <c r="DQ138" i="3"/>
  <c r="DR138" i="3"/>
  <c r="DS138" i="3"/>
  <c r="DT138" i="3"/>
  <c r="DU138" i="3"/>
  <c r="DV138" i="3"/>
  <c r="DW138" i="3"/>
  <c r="DX138" i="3"/>
  <c r="DY138" i="3"/>
  <c r="DZ138" i="3"/>
  <c r="EA138" i="3"/>
  <c r="EB138" i="3"/>
  <c r="EC138" i="3"/>
  <c r="ED138" i="3"/>
  <c r="EE138" i="3"/>
  <c r="EF138" i="3"/>
  <c r="EG138" i="3"/>
  <c r="EI138" i="3"/>
  <c r="EJ138" i="3"/>
  <c r="EK138" i="3"/>
  <c r="EL138" i="3"/>
  <c r="EM138" i="3"/>
  <c r="EN138" i="3"/>
  <c r="EO138" i="3"/>
  <c r="EP138" i="3"/>
  <c r="EQ138" i="3"/>
  <c r="ER138" i="3"/>
  <c r="ES138" i="3"/>
  <c r="ET138" i="3"/>
  <c r="EU138" i="3"/>
  <c r="EV138" i="3"/>
  <c r="EW138" i="3"/>
  <c r="EX138" i="3"/>
  <c r="EY138" i="3"/>
  <c r="EZ138" i="3"/>
  <c r="FA138" i="3"/>
  <c r="FB138" i="3"/>
  <c r="FC138" i="3"/>
  <c r="FD138" i="3"/>
  <c r="FE138" i="3"/>
  <c r="FF138" i="3"/>
  <c r="FG138" i="3"/>
  <c r="FH138" i="3"/>
  <c r="FI138" i="3"/>
  <c r="FJ138" i="3"/>
  <c r="FK138" i="3"/>
  <c r="FL138" i="3"/>
  <c r="FM138" i="3"/>
  <c r="FN138" i="3"/>
  <c r="FO138" i="3"/>
  <c r="FP138" i="3"/>
  <c r="FQ138" i="3"/>
  <c r="FR138" i="3"/>
  <c r="FS138" i="3"/>
  <c r="FT138" i="3"/>
  <c r="FU138" i="3"/>
  <c r="FV138" i="3"/>
  <c r="FW138" i="3"/>
  <c r="FX138" i="3"/>
  <c r="FY138" i="3"/>
  <c r="FZ138" i="3"/>
  <c r="GA138" i="3"/>
  <c r="GB138" i="3"/>
  <c r="GC138" i="3"/>
  <c r="GD138" i="3"/>
  <c r="GE138" i="3"/>
  <c r="GF138" i="3"/>
  <c r="GG138" i="3"/>
  <c r="GH138" i="3"/>
  <c r="GI138" i="3"/>
  <c r="GJ138" i="3"/>
  <c r="GK138" i="3"/>
  <c r="GL138" i="3"/>
  <c r="GM138" i="3"/>
  <c r="GN138" i="3"/>
  <c r="GO138" i="3"/>
  <c r="GP138" i="3"/>
  <c r="GQ138" i="3"/>
  <c r="GR138" i="3"/>
  <c r="GS138" i="3"/>
  <c r="GT138" i="3"/>
  <c r="GU138" i="3"/>
  <c r="GV138" i="3"/>
  <c r="GW138" i="3"/>
  <c r="GX138" i="3"/>
  <c r="GY138" i="3"/>
  <c r="GZ138" i="3"/>
  <c r="HA138" i="3"/>
  <c r="HB138" i="3"/>
  <c r="HC138" i="3"/>
  <c r="HD138" i="3"/>
  <c r="HE138" i="3"/>
  <c r="HF138" i="3"/>
  <c r="HG138" i="3"/>
  <c r="HH138" i="3"/>
  <c r="HI138" i="3"/>
  <c r="HJ138" i="3"/>
  <c r="HK138" i="3"/>
  <c r="HL138" i="3"/>
  <c r="HM138" i="3"/>
  <c r="HN138" i="3"/>
  <c r="HO138" i="3"/>
  <c r="HP138" i="3"/>
  <c r="HQ138" i="3"/>
  <c r="HR138" i="3"/>
  <c r="HS138" i="3"/>
  <c r="HT138" i="3"/>
  <c r="HU138" i="3"/>
  <c r="HV138" i="3"/>
  <c r="HW138" i="3"/>
  <c r="HX138" i="3"/>
  <c r="HY138" i="3"/>
  <c r="HZ138" i="3"/>
  <c r="IA138" i="3"/>
  <c r="IB138" i="3"/>
  <c r="IC138" i="3"/>
  <c r="ID138" i="3"/>
  <c r="IE138" i="3"/>
  <c r="IF138" i="3"/>
  <c r="IG138" i="3"/>
  <c r="IH138" i="3"/>
  <c r="II138" i="3"/>
  <c r="IJ138" i="3"/>
  <c r="IK138" i="3"/>
  <c r="IL138" i="3"/>
  <c r="IM138" i="3"/>
  <c r="IN138" i="3"/>
  <c r="IO138" i="3"/>
  <c r="IP138" i="3"/>
  <c r="IQ138" i="3"/>
  <c r="IR138" i="3"/>
  <c r="IS138" i="3"/>
  <c r="IT138" i="3"/>
  <c r="IU138" i="3"/>
  <c r="IV138" i="3"/>
  <c r="IW138" i="3"/>
  <c r="IX138" i="3"/>
  <c r="IY138" i="3"/>
  <c r="IZ138" i="3"/>
  <c r="JA138" i="3"/>
  <c r="JB138" i="3"/>
  <c r="JC138" i="3"/>
  <c r="JD138" i="3"/>
  <c r="JE138" i="3"/>
  <c r="JF138" i="3"/>
  <c r="JG138" i="3"/>
  <c r="JH138" i="3"/>
  <c r="JI138" i="3"/>
  <c r="JJ138" i="3"/>
  <c r="JK138" i="3"/>
  <c r="JL138" i="3"/>
  <c r="JM138" i="3"/>
  <c r="A139" i="3"/>
  <c r="B139" i="3"/>
  <c r="O139" i="3"/>
  <c r="P139" i="3"/>
  <c r="Q139" i="3"/>
  <c r="R139" i="3"/>
  <c r="S139" i="3"/>
  <c r="T139" i="3"/>
  <c r="U139" i="3"/>
  <c r="V139" i="3"/>
  <c r="W139" i="3"/>
  <c r="X139" i="3"/>
  <c r="Y139" i="3"/>
  <c r="Z139" i="3"/>
  <c r="AA139" i="3"/>
  <c r="AB139" i="3"/>
  <c r="AC139" i="3"/>
  <c r="AD139" i="3"/>
  <c r="AE139" i="3"/>
  <c r="AF139" i="3"/>
  <c r="AG139" i="3"/>
  <c r="AH139" i="3"/>
  <c r="AI139" i="3"/>
  <c r="AJ139" i="3"/>
  <c r="AK139" i="3"/>
  <c r="AL139" i="3"/>
  <c r="AM139" i="3"/>
  <c r="AN139" i="3"/>
  <c r="AO139" i="3"/>
  <c r="AP139" i="3"/>
  <c r="AQ139" i="3"/>
  <c r="AR139" i="3"/>
  <c r="AS139" i="3"/>
  <c r="AT139" i="3"/>
  <c r="AU139" i="3"/>
  <c r="AV139" i="3"/>
  <c r="AW139" i="3"/>
  <c r="AX139" i="3"/>
  <c r="AY139" i="3"/>
  <c r="AZ139" i="3"/>
  <c r="BA139" i="3"/>
  <c r="BB139" i="3"/>
  <c r="BC139" i="3"/>
  <c r="BD139" i="3"/>
  <c r="BE139" i="3"/>
  <c r="BF139" i="3"/>
  <c r="BG139" i="3"/>
  <c r="BH139" i="3"/>
  <c r="BI139" i="3"/>
  <c r="BJ139" i="3"/>
  <c r="BK139" i="3"/>
  <c r="BL139" i="3"/>
  <c r="BM139" i="3"/>
  <c r="BN139" i="3"/>
  <c r="BO139" i="3"/>
  <c r="BP139" i="3"/>
  <c r="BQ139" i="3"/>
  <c r="BR139" i="3"/>
  <c r="BS139" i="3"/>
  <c r="BT139" i="3"/>
  <c r="BU139" i="3"/>
  <c r="BV139" i="3"/>
  <c r="BW139" i="3"/>
  <c r="BX139" i="3"/>
  <c r="BY139" i="3"/>
  <c r="BZ139" i="3"/>
  <c r="CA139" i="3"/>
  <c r="CB139" i="3"/>
  <c r="CC139" i="3"/>
  <c r="CD139" i="3"/>
  <c r="CE139" i="3"/>
  <c r="CF139" i="3"/>
  <c r="CG139" i="3"/>
  <c r="CH139" i="3"/>
  <c r="CI139" i="3"/>
  <c r="CJ139" i="3"/>
  <c r="CK139" i="3"/>
  <c r="CL139" i="3"/>
  <c r="CM139" i="3"/>
  <c r="CN139" i="3"/>
  <c r="CO139" i="3"/>
  <c r="CP139" i="3"/>
  <c r="CQ139" i="3"/>
  <c r="CR139" i="3"/>
  <c r="CS139" i="3"/>
  <c r="CT139" i="3"/>
  <c r="CU139" i="3"/>
  <c r="CV139" i="3"/>
  <c r="CW139" i="3"/>
  <c r="CX139" i="3"/>
  <c r="CY139" i="3"/>
  <c r="CZ139" i="3"/>
  <c r="DA139" i="3"/>
  <c r="DB139" i="3"/>
  <c r="DC139" i="3"/>
  <c r="DD139" i="3"/>
  <c r="DE139" i="3"/>
  <c r="DF139" i="3"/>
  <c r="DG139" i="3"/>
  <c r="DH139" i="3"/>
  <c r="DI139" i="3"/>
  <c r="DJ139" i="3"/>
  <c r="DK139" i="3"/>
  <c r="DL139" i="3"/>
  <c r="DM139" i="3"/>
  <c r="DN139" i="3"/>
  <c r="DO139" i="3"/>
  <c r="DP139" i="3"/>
  <c r="DQ139" i="3"/>
  <c r="DR139" i="3"/>
  <c r="DS139" i="3"/>
  <c r="DT139" i="3"/>
  <c r="DU139" i="3"/>
  <c r="DV139" i="3"/>
  <c r="DW139" i="3"/>
  <c r="DX139" i="3"/>
  <c r="DY139" i="3"/>
  <c r="DZ139" i="3"/>
  <c r="EA139" i="3"/>
  <c r="EB139" i="3"/>
  <c r="EC139" i="3"/>
  <c r="ED139" i="3"/>
  <c r="EE139" i="3"/>
  <c r="EF139" i="3"/>
  <c r="EG139" i="3"/>
  <c r="EI139" i="3"/>
  <c r="EJ139" i="3"/>
  <c r="EK139" i="3"/>
  <c r="EL139" i="3"/>
  <c r="EM139" i="3"/>
  <c r="EN139" i="3"/>
  <c r="EO139" i="3"/>
  <c r="EP139" i="3"/>
  <c r="EQ139" i="3"/>
  <c r="ER139" i="3"/>
  <c r="ES139" i="3"/>
  <c r="ET139" i="3"/>
  <c r="EU139" i="3"/>
  <c r="EV139" i="3"/>
  <c r="EW139" i="3"/>
  <c r="EX139" i="3"/>
  <c r="EY139" i="3"/>
  <c r="EZ139" i="3"/>
  <c r="FA139" i="3"/>
  <c r="FB139" i="3"/>
  <c r="FC139" i="3"/>
  <c r="FD139" i="3"/>
  <c r="FE139" i="3"/>
  <c r="FF139" i="3"/>
  <c r="FG139" i="3"/>
  <c r="FH139" i="3"/>
  <c r="FI139" i="3"/>
  <c r="FJ139" i="3"/>
  <c r="FK139" i="3"/>
  <c r="FL139" i="3"/>
  <c r="FM139" i="3"/>
  <c r="FN139" i="3"/>
  <c r="FO139" i="3"/>
  <c r="FP139" i="3"/>
  <c r="FQ139" i="3"/>
  <c r="FR139" i="3"/>
  <c r="FS139" i="3"/>
  <c r="FT139" i="3"/>
  <c r="FU139" i="3"/>
  <c r="FV139" i="3"/>
  <c r="FW139" i="3"/>
  <c r="FX139" i="3"/>
  <c r="FY139" i="3"/>
  <c r="FZ139" i="3"/>
  <c r="GA139" i="3"/>
  <c r="GB139" i="3"/>
  <c r="GC139" i="3"/>
  <c r="GD139" i="3"/>
  <c r="GE139" i="3"/>
  <c r="GF139" i="3"/>
  <c r="GG139" i="3"/>
  <c r="GH139" i="3"/>
  <c r="GI139" i="3"/>
  <c r="GJ139" i="3"/>
  <c r="GK139" i="3"/>
  <c r="GL139" i="3"/>
  <c r="GM139" i="3"/>
  <c r="GN139" i="3"/>
  <c r="GO139" i="3"/>
  <c r="GP139" i="3"/>
  <c r="GQ139" i="3"/>
  <c r="GR139" i="3"/>
  <c r="GS139" i="3"/>
  <c r="GT139" i="3"/>
  <c r="GU139" i="3"/>
  <c r="GV139" i="3"/>
  <c r="GW139" i="3"/>
  <c r="GX139" i="3"/>
  <c r="GY139" i="3"/>
  <c r="GZ139" i="3"/>
  <c r="HA139" i="3"/>
  <c r="HB139" i="3"/>
  <c r="HC139" i="3"/>
  <c r="HD139" i="3"/>
  <c r="HE139" i="3"/>
  <c r="HF139" i="3"/>
  <c r="HG139" i="3"/>
  <c r="HH139" i="3"/>
  <c r="HI139" i="3"/>
  <c r="HJ139" i="3"/>
  <c r="HK139" i="3"/>
  <c r="HL139" i="3"/>
  <c r="HM139" i="3"/>
  <c r="HN139" i="3"/>
  <c r="HO139" i="3"/>
  <c r="HP139" i="3"/>
  <c r="HQ139" i="3"/>
  <c r="HR139" i="3"/>
  <c r="HS139" i="3"/>
  <c r="HT139" i="3"/>
  <c r="HU139" i="3"/>
  <c r="HV139" i="3"/>
  <c r="HW139" i="3"/>
  <c r="HX139" i="3"/>
  <c r="HY139" i="3"/>
  <c r="HZ139" i="3"/>
  <c r="IA139" i="3"/>
  <c r="IB139" i="3"/>
  <c r="IC139" i="3"/>
  <c r="ID139" i="3"/>
  <c r="IE139" i="3"/>
  <c r="IF139" i="3"/>
  <c r="IG139" i="3"/>
  <c r="IH139" i="3"/>
  <c r="II139" i="3"/>
  <c r="IJ139" i="3"/>
  <c r="IK139" i="3"/>
  <c r="IL139" i="3"/>
  <c r="IM139" i="3"/>
  <c r="IN139" i="3"/>
  <c r="IO139" i="3"/>
  <c r="IP139" i="3"/>
  <c r="IQ139" i="3"/>
  <c r="IR139" i="3"/>
  <c r="IS139" i="3"/>
  <c r="IT139" i="3"/>
  <c r="IU139" i="3"/>
  <c r="IV139" i="3"/>
  <c r="IW139" i="3"/>
  <c r="IX139" i="3"/>
  <c r="IY139" i="3"/>
  <c r="IZ139" i="3"/>
  <c r="JA139" i="3"/>
  <c r="JB139" i="3"/>
  <c r="JC139" i="3"/>
  <c r="JD139" i="3"/>
  <c r="JE139" i="3"/>
  <c r="JF139" i="3"/>
  <c r="JG139" i="3"/>
  <c r="JH139" i="3"/>
  <c r="JI139" i="3"/>
  <c r="JJ139" i="3"/>
  <c r="JK139" i="3"/>
  <c r="JL139" i="3"/>
  <c r="JM139" i="3"/>
  <c r="A140" i="3"/>
  <c r="B140" i="3"/>
  <c r="J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K140" i="3"/>
  <c r="AL140" i="3"/>
  <c r="AM140" i="3"/>
  <c r="AN140" i="3"/>
  <c r="AO140" i="3"/>
  <c r="AP140" i="3"/>
  <c r="AQ140" i="3"/>
  <c r="AR140" i="3"/>
  <c r="AS140" i="3"/>
  <c r="AT140" i="3"/>
  <c r="AU140" i="3"/>
  <c r="AV140" i="3"/>
  <c r="AW140" i="3"/>
  <c r="AX140" i="3"/>
  <c r="AY140" i="3"/>
  <c r="AZ140" i="3"/>
  <c r="BA140" i="3"/>
  <c r="BB140" i="3"/>
  <c r="BC140" i="3"/>
  <c r="BD140" i="3"/>
  <c r="BE140" i="3"/>
  <c r="BF140" i="3"/>
  <c r="BG140" i="3"/>
  <c r="BH140" i="3"/>
  <c r="BI140" i="3"/>
  <c r="BJ140" i="3"/>
  <c r="BK140" i="3"/>
  <c r="BL140" i="3"/>
  <c r="BM140" i="3"/>
  <c r="BN140" i="3"/>
  <c r="BO140" i="3"/>
  <c r="BP140" i="3"/>
  <c r="BQ140" i="3"/>
  <c r="BR140" i="3"/>
  <c r="BS140" i="3"/>
  <c r="BT140" i="3"/>
  <c r="BU140" i="3"/>
  <c r="BV140" i="3"/>
  <c r="BW140" i="3"/>
  <c r="BX140" i="3"/>
  <c r="BY140" i="3"/>
  <c r="BZ140" i="3"/>
  <c r="CA140" i="3"/>
  <c r="CB140" i="3"/>
  <c r="CC140" i="3"/>
  <c r="CD140" i="3"/>
  <c r="CE140" i="3"/>
  <c r="CF140" i="3"/>
  <c r="CG140" i="3"/>
  <c r="CH140" i="3"/>
  <c r="CI140" i="3"/>
  <c r="CJ140" i="3"/>
  <c r="CK140" i="3"/>
  <c r="CL140" i="3"/>
  <c r="CM140" i="3"/>
  <c r="CN140" i="3"/>
  <c r="CO140" i="3"/>
  <c r="CP140" i="3"/>
  <c r="CQ140" i="3"/>
  <c r="CR140" i="3"/>
  <c r="CS140" i="3"/>
  <c r="CT140" i="3"/>
  <c r="CU140" i="3"/>
  <c r="CV140" i="3"/>
  <c r="CW140" i="3"/>
  <c r="CX140" i="3"/>
  <c r="CY140" i="3"/>
  <c r="CZ140" i="3"/>
  <c r="DA140" i="3"/>
  <c r="DB140" i="3"/>
  <c r="DC140" i="3"/>
  <c r="DD140" i="3"/>
  <c r="DE140" i="3"/>
  <c r="DF140" i="3"/>
  <c r="DG140" i="3"/>
  <c r="DH140" i="3"/>
  <c r="DI140" i="3"/>
  <c r="DJ140" i="3"/>
  <c r="DK140" i="3"/>
  <c r="DL140" i="3"/>
  <c r="DM140" i="3"/>
  <c r="DN140" i="3"/>
  <c r="DO140" i="3"/>
  <c r="DP140" i="3"/>
  <c r="DQ140" i="3"/>
  <c r="DR140" i="3"/>
  <c r="DS140" i="3"/>
  <c r="DT140" i="3"/>
  <c r="DU140" i="3"/>
  <c r="DV140" i="3"/>
  <c r="DW140" i="3"/>
  <c r="DX140" i="3"/>
  <c r="DY140" i="3"/>
  <c r="DZ140" i="3"/>
  <c r="EA140" i="3"/>
  <c r="EB140" i="3"/>
  <c r="EC140" i="3"/>
  <c r="ED140" i="3"/>
  <c r="EE140" i="3"/>
  <c r="EF140" i="3"/>
  <c r="EG140" i="3"/>
  <c r="EI140" i="3"/>
  <c r="EJ140" i="3"/>
  <c r="EK140" i="3"/>
  <c r="EL140" i="3"/>
  <c r="EM140" i="3"/>
  <c r="EN140" i="3"/>
  <c r="EO140" i="3"/>
  <c r="EP140" i="3"/>
  <c r="EQ140" i="3"/>
  <c r="ER140" i="3"/>
  <c r="ES140" i="3"/>
  <c r="ET140" i="3"/>
  <c r="EU140" i="3"/>
  <c r="EV140" i="3"/>
  <c r="EW140" i="3"/>
  <c r="EX140" i="3"/>
  <c r="EY140" i="3"/>
  <c r="EZ140" i="3"/>
  <c r="FA140" i="3"/>
  <c r="FB140" i="3"/>
  <c r="FC140" i="3"/>
  <c r="FD140" i="3"/>
  <c r="FE140" i="3"/>
  <c r="FF140" i="3"/>
  <c r="FG140" i="3"/>
  <c r="FH140" i="3"/>
  <c r="FI140" i="3"/>
  <c r="FJ140" i="3"/>
  <c r="FK140" i="3"/>
  <c r="FL140" i="3"/>
  <c r="FM140" i="3"/>
  <c r="FN140" i="3"/>
  <c r="FO140" i="3"/>
  <c r="FP140" i="3"/>
  <c r="FQ140" i="3"/>
  <c r="FR140" i="3"/>
  <c r="FS140" i="3"/>
  <c r="FT140" i="3"/>
  <c r="FU140" i="3"/>
  <c r="FV140" i="3"/>
  <c r="FW140" i="3"/>
  <c r="FX140" i="3"/>
  <c r="FY140" i="3"/>
  <c r="FZ140" i="3"/>
  <c r="GA140" i="3"/>
  <c r="GB140" i="3"/>
  <c r="GC140" i="3"/>
  <c r="GD140" i="3"/>
  <c r="GE140" i="3"/>
  <c r="GF140" i="3"/>
  <c r="GG140" i="3"/>
  <c r="GH140" i="3"/>
  <c r="GI140" i="3"/>
  <c r="GJ140" i="3"/>
  <c r="GK140" i="3"/>
  <c r="GL140" i="3"/>
  <c r="GM140" i="3"/>
  <c r="GN140" i="3"/>
  <c r="GO140" i="3"/>
  <c r="GP140" i="3"/>
  <c r="GQ140" i="3"/>
  <c r="GR140" i="3"/>
  <c r="GS140" i="3"/>
  <c r="GT140" i="3"/>
  <c r="GU140" i="3"/>
  <c r="GV140" i="3"/>
  <c r="GW140" i="3"/>
  <c r="GX140" i="3"/>
  <c r="GY140" i="3"/>
  <c r="GZ140" i="3"/>
  <c r="HA140" i="3"/>
  <c r="HB140" i="3"/>
  <c r="HC140" i="3"/>
  <c r="HD140" i="3"/>
  <c r="HE140" i="3"/>
  <c r="HF140" i="3"/>
  <c r="HG140" i="3"/>
  <c r="HH140" i="3"/>
  <c r="HI140" i="3"/>
  <c r="HJ140" i="3"/>
  <c r="HK140" i="3"/>
  <c r="HL140" i="3"/>
  <c r="HM140" i="3"/>
  <c r="HN140" i="3"/>
  <c r="HO140" i="3"/>
  <c r="HP140" i="3"/>
  <c r="HQ140" i="3"/>
  <c r="HR140" i="3"/>
  <c r="HS140" i="3"/>
  <c r="HT140" i="3"/>
  <c r="HU140" i="3"/>
  <c r="HV140" i="3"/>
  <c r="HW140" i="3"/>
  <c r="HX140" i="3"/>
  <c r="HY140" i="3"/>
  <c r="HZ140" i="3"/>
  <c r="IA140" i="3"/>
  <c r="IB140" i="3"/>
  <c r="IC140" i="3"/>
  <c r="ID140" i="3"/>
  <c r="IE140" i="3"/>
  <c r="IF140" i="3"/>
  <c r="IG140" i="3"/>
  <c r="IH140" i="3"/>
  <c r="II140" i="3"/>
  <c r="IJ140" i="3"/>
  <c r="IK140" i="3"/>
  <c r="IL140" i="3"/>
  <c r="IM140" i="3"/>
  <c r="IN140" i="3"/>
  <c r="IO140" i="3"/>
  <c r="IP140" i="3"/>
  <c r="IQ140" i="3"/>
  <c r="IR140" i="3"/>
  <c r="IS140" i="3"/>
  <c r="IT140" i="3"/>
  <c r="IU140" i="3"/>
  <c r="IV140" i="3"/>
  <c r="IW140" i="3"/>
  <c r="IX140" i="3"/>
  <c r="IY140" i="3"/>
  <c r="IZ140" i="3"/>
  <c r="JA140" i="3"/>
  <c r="JB140" i="3"/>
  <c r="JC140" i="3"/>
  <c r="JD140" i="3"/>
  <c r="JE140" i="3"/>
  <c r="JF140" i="3"/>
  <c r="JG140" i="3"/>
  <c r="JH140" i="3"/>
  <c r="JI140" i="3"/>
  <c r="JJ140" i="3"/>
  <c r="JK140" i="3"/>
  <c r="JL140" i="3"/>
  <c r="JM140" i="3"/>
  <c r="A131" i="3"/>
  <c r="B131" i="3"/>
  <c r="C131" i="3"/>
  <c r="D131" i="3"/>
  <c r="E131" i="3"/>
  <c r="F131" i="3"/>
  <c r="G131" i="3"/>
  <c r="H131" i="3"/>
  <c r="I131" i="3"/>
  <c r="J131" i="3"/>
  <c r="K131"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K131" i="3"/>
  <c r="AL131" i="3"/>
  <c r="AM131" i="3"/>
  <c r="AN131" i="3"/>
  <c r="AO131" i="3"/>
  <c r="AP131" i="3"/>
  <c r="AQ131" i="3"/>
  <c r="AR131" i="3"/>
  <c r="AS131" i="3"/>
  <c r="AT131" i="3"/>
  <c r="AU131" i="3"/>
  <c r="AV131" i="3"/>
  <c r="AW131" i="3"/>
  <c r="AX131" i="3"/>
  <c r="AY131" i="3"/>
  <c r="AZ131" i="3"/>
  <c r="BA131" i="3"/>
  <c r="BB131" i="3"/>
  <c r="BC131" i="3"/>
  <c r="BD131" i="3"/>
  <c r="BE131" i="3"/>
  <c r="BF131" i="3"/>
  <c r="BG131" i="3"/>
  <c r="BH131" i="3"/>
  <c r="BI131" i="3"/>
  <c r="BJ131" i="3"/>
  <c r="BK131" i="3"/>
  <c r="BL131" i="3"/>
  <c r="BM131" i="3"/>
  <c r="BN131" i="3"/>
  <c r="BO131" i="3"/>
  <c r="BP131" i="3"/>
  <c r="BQ131" i="3"/>
  <c r="BR131" i="3"/>
  <c r="BS131" i="3"/>
  <c r="BT131" i="3"/>
  <c r="BU131" i="3"/>
  <c r="BV131" i="3"/>
  <c r="BW131" i="3"/>
  <c r="BX131" i="3"/>
  <c r="BY131" i="3"/>
  <c r="BZ131" i="3"/>
  <c r="CA131" i="3"/>
  <c r="CB131" i="3"/>
  <c r="CC131" i="3"/>
  <c r="CD131" i="3"/>
  <c r="CE131" i="3"/>
  <c r="CF131" i="3"/>
  <c r="CG131" i="3"/>
  <c r="CH131" i="3"/>
  <c r="CI131" i="3"/>
  <c r="CJ131" i="3"/>
  <c r="CK131" i="3"/>
  <c r="CL131" i="3"/>
  <c r="CM131" i="3"/>
  <c r="CN131" i="3"/>
  <c r="CO131" i="3"/>
  <c r="CP131" i="3"/>
  <c r="CQ131" i="3"/>
  <c r="CR131" i="3"/>
  <c r="CS131" i="3"/>
  <c r="CT131" i="3"/>
  <c r="CU131" i="3"/>
  <c r="CV131" i="3"/>
  <c r="CW131" i="3"/>
  <c r="CX131" i="3"/>
  <c r="CY131" i="3"/>
  <c r="CZ131" i="3"/>
  <c r="DA131" i="3"/>
  <c r="DB131" i="3"/>
  <c r="DC131" i="3"/>
  <c r="DD131" i="3"/>
  <c r="DE131" i="3"/>
  <c r="DF131" i="3"/>
  <c r="DG131" i="3"/>
  <c r="DH131" i="3"/>
  <c r="DI131" i="3"/>
  <c r="DJ131" i="3"/>
  <c r="DK131" i="3"/>
  <c r="DL131" i="3"/>
  <c r="DM131" i="3"/>
  <c r="DN131" i="3"/>
  <c r="DO131" i="3"/>
  <c r="DP131" i="3"/>
  <c r="DQ131" i="3"/>
  <c r="DR131" i="3"/>
  <c r="DS131" i="3"/>
  <c r="DT131" i="3"/>
  <c r="DU131" i="3"/>
  <c r="DV131" i="3"/>
  <c r="DW131" i="3"/>
  <c r="DX131" i="3"/>
  <c r="DY131" i="3"/>
  <c r="DZ131" i="3"/>
  <c r="EA131" i="3"/>
  <c r="EB131" i="3"/>
  <c r="EC131" i="3"/>
  <c r="ED131" i="3"/>
  <c r="EE131" i="3"/>
  <c r="EF131" i="3"/>
  <c r="EG131" i="3"/>
  <c r="EI131" i="3"/>
  <c r="EJ131" i="3"/>
  <c r="EK131" i="3"/>
  <c r="EL131" i="3"/>
  <c r="EM131" i="3"/>
  <c r="EN131" i="3"/>
  <c r="EO131" i="3"/>
  <c r="EP131" i="3"/>
  <c r="EQ131" i="3"/>
  <c r="ER131" i="3"/>
  <c r="ES131" i="3"/>
  <c r="ET131" i="3"/>
  <c r="EU131" i="3"/>
  <c r="EV131" i="3"/>
  <c r="EW131" i="3"/>
  <c r="EX131" i="3"/>
  <c r="EY131" i="3"/>
  <c r="EZ131" i="3"/>
  <c r="FA131" i="3"/>
  <c r="FB131" i="3"/>
  <c r="FC131" i="3"/>
  <c r="FD131" i="3"/>
  <c r="FE131" i="3"/>
  <c r="FF131" i="3"/>
  <c r="FG131" i="3"/>
  <c r="FH131" i="3"/>
  <c r="FI131" i="3"/>
  <c r="FJ131" i="3"/>
  <c r="FK131" i="3"/>
  <c r="FL131" i="3"/>
  <c r="FM131" i="3"/>
  <c r="FN131" i="3"/>
  <c r="FO131" i="3"/>
  <c r="FP131" i="3"/>
  <c r="FQ131" i="3"/>
  <c r="FR131" i="3"/>
  <c r="FS131" i="3"/>
  <c r="FT131" i="3"/>
  <c r="FU131" i="3"/>
  <c r="FV131" i="3"/>
  <c r="FW131" i="3"/>
  <c r="FX131" i="3"/>
  <c r="FY131" i="3"/>
  <c r="FZ131" i="3"/>
  <c r="GA131" i="3"/>
  <c r="GB131" i="3"/>
  <c r="GC131" i="3"/>
  <c r="GD131" i="3"/>
  <c r="GE131" i="3"/>
  <c r="GF131" i="3"/>
  <c r="GG131" i="3"/>
  <c r="GH131" i="3"/>
  <c r="GI131" i="3"/>
  <c r="GJ131" i="3"/>
  <c r="GK131" i="3"/>
  <c r="GL131" i="3"/>
  <c r="GM131" i="3"/>
  <c r="GN131" i="3"/>
  <c r="GO131" i="3"/>
  <c r="GP131" i="3"/>
  <c r="GQ131" i="3"/>
  <c r="GR131" i="3"/>
  <c r="GS131" i="3"/>
  <c r="GT131" i="3"/>
  <c r="GU131" i="3"/>
  <c r="GV131" i="3"/>
  <c r="GW131" i="3"/>
  <c r="GX131" i="3"/>
  <c r="GY131" i="3"/>
  <c r="GZ131" i="3"/>
  <c r="HA131" i="3"/>
  <c r="HB131" i="3"/>
  <c r="HC131" i="3"/>
  <c r="HD131" i="3"/>
  <c r="HE131" i="3"/>
  <c r="HF131" i="3"/>
  <c r="HG131" i="3"/>
  <c r="HH131" i="3"/>
  <c r="HI131" i="3"/>
  <c r="HJ131" i="3"/>
  <c r="HK131" i="3"/>
  <c r="HL131" i="3"/>
  <c r="HM131" i="3"/>
  <c r="HN131" i="3"/>
  <c r="HO131" i="3"/>
  <c r="HP131" i="3"/>
  <c r="HQ131" i="3"/>
  <c r="HR131" i="3"/>
  <c r="HS131" i="3"/>
  <c r="HT131" i="3"/>
  <c r="HU131" i="3"/>
  <c r="HV131" i="3"/>
  <c r="HW131" i="3"/>
  <c r="HX131" i="3"/>
  <c r="HY131" i="3"/>
  <c r="HZ131" i="3"/>
  <c r="IA131" i="3"/>
  <c r="IB131" i="3"/>
  <c r="IC131" i="3"/>
  <c r="ID131" i="3"/>
  <c r="IE131" i="3"/>
  <c r="IF131" i="3"/>
  <c r="IG131" i="3"/>
  <c r="IH131" i="3"/>
  <c r="II131" i="3"/>
  <c r="IJ131" i="3"/>
  <c r="IK131" i="3"/>
  <c r="IL131" i="3"/>
  <c r="IM131" i="3"/>
  <c r="IN131" i="3"/>
  <c r="IO131" i="3"/>
  <c r="IP131" i="3"/>
  <c r="IQ131" i="3"/>
  <c r="IR131" i="3"/>
  <c r="IS131" i="3"/>
  <c r="IT131" i="3"/>
  <c r="IU131" i="3"/>
  <c r="IV131" i="3"/>
  <c r="IW131" i="3"/>
  <c r="IX131" i="3"/>
  <c r="IY131" i="3"/>
  <c r="IZ131" i="3"/>
  <c r="JA131" i="3"/>
  <c r="JB131" i="3"/>
  <c r="JC131" i="3"/>
  <c r="JD131" i="3"/>
  <c r="JE131" i="3"/>
  <c r="JF131" i="3"/>
  <c r="JG131" i="3"/>
  <c r="JH131" i="3"/>
  <c r="JI131" i="3"/>
  <c r="JJ131" i="3"/>
  <c r="JK131" i="3"/>
  <c r="JL131" i="3"/>
  <c r="JM131" i="3"/>
  <c r="A132" i="3"/>
  <c r="B132" i="3"/>
  <c r="O132" i="3"/>
  <c r="P132" i="3"/>
  <c r="Q132" i="3"/>
  <c r="R132" i="3"/>
  <c r="S132" i="3"/>
  <c r="T132" i="3"/>
  <c r="U132" i="3"/>
  <c r="V132" i="3"/>
  <c r="W132" i="3"/>
  <c r="X132" i="3"/>
  <c r="Y132" i="3"/>
  <c r="Z132" i="3"/>
  <c r="AA132" i="3"/>
  <c r="AB132" i="3"/>
  <c r="AC132" i="3"/>
  <c r="AD132" i="3"/>
  <c r="AE132" i="3"/>
  <c r="AF132" i="3"/>
  <c r="AG132" i="3"/>
  <c r="AH132" i="3"/>
  <c r="AI132" i="3"/>
  <c r="AJ132" i="3"/>
  <c r="AK132" i="3"/>
  <c r="AL132" i="3"/>
  <c r="AM132" i="3"/>
  <c r="AN132" i="3"/>
  <c r="AO132" i="3"/>
  <c r="AP132" i="3"/>
  <c r="AQ132" i="3"/>
  <c r="AR132" i="3"/>
  <c r="AS132" i="3"/>
  <c r="AT132" i="3"/>
  <c r="AU132" i="3"/>
  <c r="AV132" i="3"/>
  <c r="AW132" i="3"/>
  <c r="AX132" i="3"/>
  <c r="AY132" i="3"/>
  <c r="AZ132" i="3"/>
  <c r="BA132" i="3"/>
  <c r="BB132" i="3"/>
  <c r="BC132" i="3"/>
  <c r="BD132" i="3"/>
  <c r="BE132" i="3"/>
  <c r="BF132" i="3"/>
  <c r="BG132" i="3"/>
  <c r="BH132" i="3"/>
  <c r="BI132" i="3"/>
  <c r="BJ132" i="3"/>
  <c r="BK132" i="3"/>
  <c r="BL132" i="3"/>
  <c r="BM132" i="3"/>
  <c r="BN132" i="3"/>
  <c r="BO132" i="3"/>
  <c r="BP132" i="3"/>
  <c r="BQ132" i="3"/>
  <c r="BR132" i="3"/>
  <c r="BS132" i="3"/>
  <c r="BT132" i="3"/>
  <c r="BU132" i="3"/>
  <c r="BV132" i="3"/>
  <c r="BW132" i="3"/>
  <c r="BX132" i="3"/>
  <c r="BY132" i="3"/>
  <c r="BZ132" i="3"/>
  <c r="CA132" i="3"/>
  <c r="CB132" i="3"/>
  <c r="CC132" i="3"/>
  <c r="CD132" i="3"/>
  <c r="CE132" i="3"/>
  <c r="CF132" i="3"/>
  <c r="CG132" i="3"/>
  <c r="CH132" i="3"/>
  <c r="CI132" i="3"/>
  <c r="CJ132" i="3"/>
  <c r="CK132" i="3"/>
  <c r="CL132" i="3"/>
  <c r="CM132" i="3"/>
  <c r="CN132" i="3"/>
  <c r="CO132" i="3"/>
  <c r="CP132" i="3"/>
  <c r="CQ132" i="3"/>
  <c r="CR132" i="3"/>
  <c r="CS132" i="3"/>
  <c r="CT132" i="3"/>
  <c r="CU132" i="3"/>
  <c r="CV132" i="3"/>
  <c r="CW132" i="3"/>
  <c r="CX132" i="3"/>
  <c r="CY132" i="3"/>
  <c r="CZ132" i="3"/>
  <c r="DA132" i="3"/>
  <c r="DB132" i="3"/>
  <c r="DC132" i="3"/>
  <c r="DD132" i="3"/>
  <c r="DE132" i="3"/>
  <c r="DF132" i="3"/>
  <c r="DG132" i="3"/>
  <c r="DH132" i="3"/>
  <c r="DI132" i="3"/>
  <c r="DJ132" i="3"/>
  <c r="DK132" i="3"/>
  <c r="DL132" i="3"/>
  <c r="DM132" i="3"/>
  <c r="DN132" i="3"/>
  <c r="DO132" i="3"/>
  <c r="DP132" i="3"/>
  <c r="DQ132" i="3"/>
  <c r="DR132" i="3"/>
  <c r="DS132" i="3"/>
  <c r="DT132" i="3"/>
  <c r="DU132" i="3"/>
  <c r="DV132" i="3"/>
  <c r="DW132" i="3"/>
  <c r="DX132" i="3"/>
  <c r="DY132" i="3"/>
  <c r="DZ132" i="3"/>
  <c r="EA132" i="3"/>
  <c r="EB132" i="3"/>
  <c r="EC132" i="3"/>
  <c r="ED132" i="3"/>
  <c r="EE132" i="3"/>
  <c r="EF132" i="3"/>
  <c r="EG132" i="3"/>
  <c r="EI132" i="3"/>
  <c r="EJ132" i="3"/>
  <c r="EK132" i="3"/>
  <c r="EL132" i="3"/>
  <c r="EM132" i="3"/>
  <c r="EN132" i="3"/>
  <c r="EO132" i="3"/>
  <c r="EP132" i="3"/>
  <c r="EQ132" i="3"/>
  <c r="ER132" i="3"/>
  <c r="ES132" i="3"/>
  <c r="ET132" i="3"/>
  <c r="EU132" i="3"/>
  <c r="EV132" i="3"/>
  <c r="EW132" i="3"/>
  <c r="EX132" i="3"/>
  <c r="EY132" i="3"/>
  <c r="EZ132" i="3"/>
  <c r="FA132" i="3"/>
  <c r="FB132" i="3"/>
  <c r="FC132" i="3"/>
  <c r="FD132" i="3"/>
  <c r="FE132" i="3"/>
  <c r="FF132" i="3"/>
  <c r="FG132" i="3"/>
  <c r="FH132" i="3"/>
  <c r="FI132" i="3"/>
  <c r="FJ132" i="3"/>
  <c r="FK132" i="3"/>
  <c r="FL132" i="3"/>
  <c r="FM132" i="3"/>
  <c r="FN132" i="3"/>
  <c r="FO132" i="3"/>
  <c r="FP132" i="3"/>
  <c r="FQ132" i="3"/>
  <c r="FR132" i="3"/>
  <c r="FS132" i="3"/>
  <c r="FT132" i="3"/>
  <c r="FU132" i="3"/>
  <c r="FV132" i="3"/>
  <c r="FW132" i="3"/>
  <c r="FX132" i="3"/>
  <c r="FY132" i="3"/>
  <c r="FZ132" i="3"/>
  <c r="GA132" i="3"/>
  <c r="GB132" i="3"/>
  <c r="GC132" i="3"/>
  <c r="GD132" i="3"/>
  <c r="GE132" i="3"/>
  <c r="GF132" i="3"/>
  <c r="GG132" i="3"/>
  <c r="GH132" i="3"/>
  <c r="GI132" i="3"/>
  <c r="GJ132" i="3"/>
  <c r="GK132" i="3"/>
  <c r="GL132" i="3"/>
  <c r="GM132" i="3"/>
  <c r="GN132" i="3"/>
  <c r="GO132" i="3"/>
  <c r="GP132" i="3"/>
  <c r="GQ132" i="3"/>
  <c r="GR132" i="3"/>
  <c r="GS132" i="3"/>
  <c r="GT132" i="3"/>
  <c r="GU132" i="3"/>
  <c r="GV132" i="3"/>
  <c r="GW132" i="3"/>
  <c r="GX132" i="3"/>
  <c r="GY132" i="3"/>
  <c r="GZ132" i="3"/>
  <c r="HA132" i="3"/>
  <c r="HB132" i="3"/>
  <c r="HC132" i="3"/>
  <c r="HD132" i="3"/>
  <c r="HE132" i="3"/>
  <c r="HF132" i="3"/>
  <c r="HG132" i="3"/>
  <c r="HH132" i="3"/>
  <c r="HI132" i="3"/>
  <c r="HJ132" i="3"/>
  <c r="HK132" i="3"/>
  <c r="HL132" i="3"/>
  <c r="HM132" i="3"/>
  <c r="HN132" i="3"/>
  <c r="HO132" i="3"/>
  <c r="HP132" i="3"/>
  <c r="HQ132" i="3"/>
  <c r="HR132" i="3"/>
  <c r="HS132" i="3"/>
  <c r="HT132" i="3"/>
  <c r="HU132" i="3"/>
  <c r="HV132" i="3"/>
  <c r="HW132" i="3"/>
  <c r="HX132" i="3"/>
  <c r="HY132" i="3"/>
  <c r="HZ132" i="3"/>
  <c r="IA132" i="3"/>
  <c r="IB132" i="3"/>
  <c r="IC132" i="3"/>
  <c r="ID132" i="3"/>
  <c r="IE132" i="3"/>
  <c r="IF132" i="3"/>
  <c r="IG132" i="3"/>
  <c r="IH132" i="3"/>
  <c r="II132" i="3"/>
  <c r="IJ132" i="3"/>
  <c r="IK132" i="3"/>
  <c r="IL132" i="3"/>
  <c r="IM132" i="3"/>
  <c r="IN132" i="3"/>
  <c r="IO132" i="3"/>
  <c r="IP132" i="3"/>
  <c r="IQ132" i="3"/>
  <c r="IR132" i="3"/>
  <c r="IS132" i="3"/>
  <c r="IT132" i="3"/>
  <c r="IU132" i="3"/>
  <c r="IV132" i="3"/>
  <c r="IW132" i="3"/>
  <c r="IX132" i="3"/>
  <c r="IY132" i="3"/>
  <c r="IZ132" i="3"/>
  <c r="JA132" i="3"/>
  <c r="JB132" i="3"/>
  <c r="JC132" i="3"/>
  <c r="JD132" i="3"/>
  <c r="JE132" i="3"/>
  <c r="JF132" i="3"/>
  <c r="JG132" i="3"/>
  <c r="JH132" i="3"/>
  <c r="JI132" i="3"/>
  <c r="JJ132" i="3"/>
  <c r="JK132" i="3"/>
  <c r="JL132" i="3"/>
  <c r="JM132" i="3"/>
  <c r="A133" i="3"/>
  <c r="B133" i="3"/>
  <c r="M133" i="3"/>
  <c r="O133" i="3"/>
  <c r="P133" i="3"/>
  <c r="Q133" i="3"/>
  <c r="R133" i="3"/>
  <c r="S133" i="3"/>
  <c r="T133" i="3"/>
  <c r="U133" i="3"/>
  <c r="V133" i="3"/>
  <c r="W133" i="3"/>
  <c r="X133" i="3"/>
  <c r="Y133" i="3"/>
  <c r="Z133" i="3"/>
  <c r="AA133" i="3"/>
  <c r="AB133" i="3"/>
  <c r="AC133" i="3"/>
  <c r="AD133" i="3"/>
  <c r="AE133" i="3"/>
  <c r="AF133" i="3"/>
  <c r="AG133" i="3"/>
  <c r="AH133" i="3"/>
  <c r="AI133" i="3"/>
  <c r="AJ133" i="3"/>
  <c r="AK133" i="3"/>
  <c r="AL133" i="3"/>
  <c r="AM133" i="3"/>
  <c r="AN133" i="3"/>
  <c r="AO133" i="3"/>
  <c r="AP133" i="3"/>
  <c r="AQ133" i="3"/>
  <c r="AR133" i="3"/>
  <c r="AS133" i="3"/>
  <c r="AT133" i="3"/>
  <c r="AU133" i="3"/>
  <c r="AV133" i="3"/>
  <c r="AW133" i="3"/>
  <c r="AX133" i="3"/>
  <c r="AY133" i="3"/>
  <c r="AZ133" i="3"/>
  <c r="BA133" i="3"/>
  <c r="BB133" i="3"/>
  <c r="BC133" i="3"/>
  <c r="BD133" i="3"/>
  <c r="BE133" i="3"/>
  <c r="BF133" i="3"/>
  <c r="BG133" i="3"/>
  <c r="BH133" i="3"/>
  <c r="BI133" i="3"/>
  <c r="BJ133" i="3"/>
  <c r="BK133" i="3"/>
  <c r="BL133" i="3"/>
  <c r="BM133" i="3"/>
  <c r="BN133" i="3"/>
  <c r="BO133" i="3"/>
  <c r="BP133" i="3"/>
  <c r="BQ133" i="3"/>
  <c r="BR133" i="3"/>
  <c r="BS133" i="3"/>
  <c r="BT133" i="3"/>
  <c r="BU133" i="3"/>
  <c r="BV133" i="3"/>
  <c r="BW133" i="3"/>
  <c r="BX133" i="3"/>
  <c r="BY133" i="3"/>
  <c r="BZ133" i="3"/>
  <c r="CA133" i="3"/>
  <c r="CB133" i="3"/>
  <c r="CC133" i="3"/>
  <c r="CD133" i="3"/>
  <c r="CE133" i="3"/>
  <c r="CF133" i="3"/>
  <c r="CG133" i="3"/>
  <c r="CH133" i="3"/>
  <c r="CI133" i="3"/>
  <c r="CJ133" i="3"/>
  <c r="CK133" i="3"/>
  <c r="CL133" i="3"/>
  <c r="CM133" i="3"/>
  <c r="CN133" i="3"/>
  <c r="CO133" i="3"/>
  <c r="CP133" i="3"/>
  <c r="CQ133" i="3"/>
  <c r="CR133" i="3"/>
  <c r="CS133" i="3"/>
  <c r="CT133" i="3"/>
  <c r="CU133" i="3"/>
  <c r="CV133" i="3"/>
  <c r="CW133" i="3"/>
  <c r="CX133" i="3"/>
  <c r="CY133" i="3"/>
  <c r="CZ133" i="3"/>
  <c r="DA133" i="3"/>
  <c r="DB133" i="3"/>
  <c r="DC133" i="3"/>
  <c r="DD133" i="3"/>
  <c r="DE133" i="3"/>
  <c r="DF133" i="3"/>
  <c r="DG133" i="3"/>
  <c r="DH133" i="3"/>
  <c r="DI133" i="3"/>
  <c r="DJ133" i="3"/>
  <c r="DK133" i="3"/>
  <c r="DL133" i="3"/>
  <c r="DM133" i="3"/>
  <c r="DN133" i="3"/>
  <c r="DO133" i="3"/>
  <c r="DP133" i="3"/>
  <c r="DQ133" i="3"/>
  <c r="DR133" i="3"/>
  <c r="DS133" i="3"/>
  <c r="DT133" i="3"/>
  <c r="DU133" i="3"/>
  <c r="DV133" i="3"/>
  <c r="DW133" i="3"/>
  <c r="DX133" i="3"/>
  <c r="DY133" i="3"/>
  <c r="DZ133" i="3"/>
  <c r="EA133" i="3"/>
  <c r="EB133" i="3"/>
  <c r="EC133" i="3"/>
  <c r="ED133" i="3"/>
  <c r="EE133" i="3"/>
  <c r="EF133" i="3"/>
  <c r="EG133" i="3"/>
  <c r="EI133" i="3"/>
  <c r="EJ133" i="3"/>
  <c r="EK133" i="3"/>
  <c r="EL133" i="3"/>
  <c r="EM133" i="3"/>
  <c r="EN133" i="3"/>
  <c r="EO133" i="3"/>
  <c r="EP133" i="3"/>
  <c r="EQ133" i="3"/>
  <c r="ER133" i="3"/>
  <c r="ES133" i="3"/>
  <c r="ET133" i="3"/>
  <c r="EU133" i="3"/>
  <c r="EV133" i="3"/>
  <c r="EW133" i="3"/>
  <c r="EX133" i="3"/>
  <c r="EY133" i="3"/>
  <c r="EZ133" i="3"/>
  <c r="FA133" i="3"/>
  <c r="FB133" i="3"/>
  <c r="FC133" i="3"/>
  <c r="FD133" i="3"/>
  <c r="FE133" i="3"/>
  <c r="FF133" i="3"/>
  <c r="FG133" i="3"/>
  <c r="FH133" i="3"/>
  <c r="FI133" i="3"/>
  <c r="FJ133" i="3"/>
  <c r="FK133" i="3"/>
  <c r="FL133" i="3"/>
  <c r="FM133" i="3"/>
  <c r="FN133" i="3"/>
  <c r="FO133" i="3"/>
  <c r="FP133" i="3"/>
  <c r="FQ133" i="3"/>
  <c r="FR133" i="3"/>
  <c r="FS133" i="3"/>
  <c r="FT133" i="3"/>
  <c r="FU133" i="3"/>
  <c r="FV133" i="3"/>
  <c r="FW133" i="3"/>
  <c r="FX133" i="3"/>
  <c r="FY133" i="3"/>
  <c r="FZ133" i="3"/>
  <c r="GA133" i="3"/>
  <c r="GB133" i="3"/>
  <c r="GC133" i="3"/>
  <c r="GD133" i="3"/>
  <c r="GE133" i="3"/>
  <c r="GF133" i="3"/>
  <c r="GG133" i="3"/>
  <c r="GH133" i="3"/>
  <c r="GI133" i="3"/>
  <c r="GJ133" i="3"/>
  <c r="GK133" i="3"/>
  <c r="GL133" i="3"/>
  <c r="GM133" i="3"/>
  <c r="GN133" i="3"/>
  <c r="GO133" i="3"/>
  <c r="GP133" i="3"/>
  <c r="GQ133" i="3"/>
  <c r="GR133" i="3"/>
  <c r="GS133" i="3"/>
  <c r="GT133" i="3"/>
  <c r="GU133" i="3"/>
  <c r="GV133" i="3"/>
  <c r="GW133" i="3"/>
  <c r="GX133" i="3"/>
  <c r="GY133" i="3"/>
  <c r="GZ133" i="3"/>
  <c r="HA133" i="3"/>
  <c r="HB133" i="3"/>
  <c r="HC133" i="3"/>
  <c r="HD133" i="3"/>
  <c r="HE133" i="3"/>
  <c r="HF133" i="3"/>
  <c r="HG133" i="3"/>
  <c r="HH133" i="3"/>
  <c r="HI133" i="3"/>
  <c r="HJ133" i="3"/>
  <c r="HK133" i="3"/>
  <c r="HL133" i="3"/>
  <c r="HM133" i="3"/>
  <c r="HN133" i="3"/>
  <c r="HO133" i="3"/>
  <c r="HP133" i="3"/>
  <c r="HQ133" i="3"/>
  <c r="HR133" i="3"/>
  <c r="HS133" i="3"/>
  <c r="HT133" i="3"/>
  <c r="HU133" i="3"/>
  <c r="HV133" i="3"/>
  <c r="HW133" i="3"/>
  <c r="HX133" i="3"/>
  <c r="HY133" i="3"/>
  <c r="HZ133" i="3"/>
  <c r="IA133" i="3"/>
  <c r="IB133" i="3"/>
  <c r="IC133" i="3"/>
  <c r="ID133" i="3"/>
  <c r="IE133" i="3"/>
  <c r="IF133" i="3"/>
  <c r="IG133" i="3"/>
  <c r="IH133" i="3"/>
  <c r="II133" i="3"/>
  <c r="IJ133" i="3"/>
  <c r="IK133" i="3"/>
  <c r="IL133" i="3"/>
  <c r="IM133" i="3"/>
  <c r="IN133" i="3"/>
  <c r="IO133" i="3"/>
  <c r="IP133" i="3"/>
  <c r="IQ133" i="3"/>
  <c r="IR133" i="3"/>
  <c r="IS133" i="3"/>
  <c r="IT133" i="3"/>
  <c r="IU133" i="3"/>
  <c r="IV133" i="3"/>
  <c r="IW133" i="3"/>
  <c r="IX133" i="3"/>
  <c r="IY133" i="3"/>
  <c r="IZ133" i="3"/>
  <c r="JA133" i="3"/>
  <c r="JB133" i="3"/>
  <c r="JC133" i="3"/>
  <c r="JD133" i="3"/>
  <c r="JE133" i="3"/>
  <c r="JF133" i="3"/>
  <c r="JG133" i="3"/>
  <c r="JH133" i="3"/>
  <c r="JI133" i="3"/>
  <c r="JJ133" i="3"/>
  <c r="JK133" i="3"/>
  <c r="JL133" i="3"/>
  <c r="JM133" i="3"/>
  <c r="A134" i="3"/>
  <c r="B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O134" i="3"/>
  <c r="AP134" i="3"/>
  <c r="AQ134" i="3"/>
  <c r="AR134" i="3"/>
  <c r="AS134" i="3"/>
  <c r="AT134" i="3"/>
  <c r="AU134" i="3"/>
  <c r="AV134" i="3"/>
  <c r="AW134" i="3"/>
  <c r="AX134" i="3"/>
  <c r="AY134" i="3"/>
  <c r="AZ134" i="3"/>
  <c r="BA134" i="3"/>
  <c r="BB134" i="3"/>
  <c r="BC134" i="3"/>
  <c r="BD134" i="3"/>
  <c r="BE134" i="3"/>
  <c r="BF134" i="3"/>
  <c r="BG134" i="3"/>
  <c r="BH134" i="3"/>
  <c r="BI134" i="3"/>
  <c r="BJ134" i="3"/>
  <c r="BK134" i="3"/>
  <c r="BL134" i="3"/>
  <c r="BM134" i="3"/>
  <c r="BN134" i="3"/>
  <c r="BO134" i="3"/>
  <c r="BP134" i="3"/>
  <c r="BQ134" i="3"/>
  <c r="BR134" i="3"/>
  <c r="BS134" i="3"/>
  <c r="BT134" i="3"/>
  <c r="BU134" i="3"/>
  <c r="BV134" i="3"/>
  <c r="BW134" i="3"/>
  <c r="BX134" i="3"/>
  <c r="BY134" i="3"/>
  <c r="BZ134" i="3"/>
  <c r="CA134" i="3"/>
  <c r="CB134" i="3"/>
  <c r="CC134" i="3"/>
  <c r="CD134" i="3"/>
  <c r="CE134" i="3"/>
  <c r="CF134" i="3"/>
  <c r="CG134" i="3"/>
  <c r="CH134" i="3"/>
  <c r="CI134" i="3"/>
  <c r="CJ134" i="3"/>
  <c r="CK134" i="3"/>
  <c r="CL134" i="3"/>
  <c r="CM134" i="3"/>
  <c r="CN134" i="3"/>
  <c r="CO134" i="3"/>
  <c r="CP134" i="3"/>
  <c r="CQ134" i="3"/>
  <c r="CR134" i="3"/>
  <c r="CS134" i="3"/>
  <c r="CT134" i="3"/>
  <c r="CU134" i="3"/>
  <c r="CV134" i="3"/>
  <c r="CW134" i="3"/>
  <c r="CX134" i="3"/>
  <c r="CY134" i="3"/>
  <c r="CZ134" i="3"/>
  <c r="DA134" i="3"/>
  <c r="DB134" i="3"/>
  <c r="DC134" i="3"/>
  <c r="DD134" i="3"/>
  <c r="DE134" i="3"/>
  <c r="DF134" i="3"/>
  <c r="DG134" i="3"/>
  <c r="DH134" i="3"/>
  <c r="DI134" i="3"/>
  <c r="DJ134" i="3"/>
  <c r="DK134" i="3"/>
  <c r="DL134" i="3"/>
  <c r="DM134" i="3"/>
  <c r="DN134" i="3"/>
  <c r="DO134" i="3"/>
  <c r="DP134" i="3"/>
  <c r="DQ134" i="3"/>
  <c r="DR134" i="3"/>
  <c r="DS134" i="3"/>
  <c r="DT134" i="3"/>
  <c r="DU134" i="3"/>
  <c r="DV134" i="3"/>
  <c r="DW134" i="3"/>
  <c r="DX134" i="3"/>
  <c r="DY134" i="3"/>
  <c r="DZ134" i="3"/>
  <c r="EA134" i="3"/>
  <c r="EB134" i="3"/>
  <c r="EC134" i="3"/>
  <c r="ED134" i="3"/>
  <c r="EE134" i="3"/>
  <c r="EF134" i="3"/>
  <c r="EG134" i="3"/>
  <c r="EI134" i="3"/>
  <c r="EJ134" i="3"/>
  <c r="EK134" i="3"/>
  <c r="EL134" i="3"/>
  <c r="EM134" i="3"/>
  <c r="EN134" i="3"/>
  <c r="EO134" i="3"/>
  <c r="EP134" i="3"/>
  <c r="EQ134" i="3"/>
  <c r="ER134" i="3"/>
  <c r="ES134" i="3"/>
  <c r="ET134" i="3"/>
  <c r="EU134" i="3"/>
  <c r="EV134" i="3"/>
  <c r="EW134" i="3"/>
  <c r="EX134" i="3"/>
  <c r="EY134" i="3"/>
  <c r="EZ134" i="3"/>
  <c r="FA134" i="3"/>
  <c r="FB134" i="3"/>
  <c r="FC134" i="3"/>
  <c r="FD134" i="3"/>
  <c r="FE134" i="3"/>
  <c r="FF134" i="3"/>
  <c r="FG134" i="3"/>
  <c r="FH134" i="3"/>
  <c r="FI134" i="3"/>
  <c r="FJ134" i="3"/>
  <c r="FK134" i="3"/>
  <c r="FL134" i="3"/>
  <c r="FM134" i="3"/>
  <c r="FN134" i="3"/>
  <c r="FO134" i="3"/>
  <c r="FP134" i="3"/>
  <c r="FQ134" i="3"/>
  <c r="FR134" i="3"/>
  <c r="FS134" i="3"/>
  <c r="FT134" i="3"/>
  <c r="FU134" i="3"/>
  <c r="FV134" i="3"/>
  <c r="FW134" i="3"/>
  <c r="FX134" i="3"/>
  <c r="FY134" i="3"/>
  <c r="FZ134" i="3"/>
  <c r="GA134" i="3"/>
  <c r="GB134" i="3"/>
  <c r="GC134" i="3"/>
  <c r="GD134" i="3"/>
  <c r="GE134" i="3"/>
  <c r="GF134" i="3"/>
  <c r="GG134" i="3"/>
  <c r="GH134" i="3"/>
  <c r="GI134" i="3"/>
  <c r="GJ134" i="3"/>
  <c r="GK134" i="3"/>
  <c r="GL134" i="3"/>
  <c r="GM134" i="3"/>
  <c r="GN134" i="3"/>
  <c r="GO134" i="3"/>
  <c r="GP134" i="3"/>
  <c r="GQ134" i="3"/>
  <c r="GR134" i="3"/>
  <c r="GS134" i="3"/>
  <c r="GT134" i="3"/>
  <c r="GU134" i="3"/>
  <c r="GV134" i="3"/>
  <c r="GW134" i="3"/>
  <c r="GX134" i="3"/>
  <c r="GY134" i="3"/>
  <c r="GZ134" i="3"/>
  <c r="HA134" i="3"/>
  <c r="HB134" i="3"/>
  <c r="HC134" i="3"/>
  <c r="HD134" i="3"/>
  <c r="HE134" i="3"/>
  <c r="HF134" i="3"/>
  <c r="HG134" i="3"/>
  <c r="HH134" i="3"/>
  <c r="HI134" i="3"/>
  <c r="HJ134" i="3"/>
  <c r="HK134" i="3"/>
  <c r="HL134" i="3"/>
  <c r="HM134" i="3"/>
  <c r="HN134" i="3"/>
  <c r="HO134" i="3"/>
  <c r="HP134" i="3"/>
  <c r="HQ134" i="3"/>
  <c r="HR134" i="3"/>
  <c r="HS134" i="3"/>
  <c r="HT134" i="3"/>
  <c r="HU134" i="3"/>
  <c r="HV134" i="3"/>
  <c r="HW134" i="3"/>
  <c r="HX134" i="3"/>
  <c r="HY134" i="3"/>
  <c r="HZ134" i="3"/>
  <c r="IA134" i="3"/>
  <c r="IB134" i="3"/>
  <c r="IC134" i="3"/>
  <c r="ID134" i="3"/>
  <c r="IE134" i="3"/>
  <c r="IF134" i="3"/>
  <c r="IG134" i="3"/>
  <c r="IH134" i="3"/>
  <c r="II134" i="3"/>
  <c r="IJ134" i="3"/>
  <c r="IK134" i="3"/>
  <c r="IL134" i="3"/>
  <c r="IM134" i="3"/>
  <c r="IN134" i="3"/>
  <c r="IO134" i="3"/>
  <c r="IP134" i="3"/>
  <c r="IQ134" i="3"/>
  <c r="IR134" i="3"/>
  <c r="IS134" i="3"/>
  <c r="IT134" i="3"/>
  <c r="IU134" i="3"/>
  <c r="IV134" i="3"/>
  <c r="IW134" i="3"/>
  <c r="IX134" i="3"/>
  <c r="IY134" i="3"/>
  <c r="IZ134" i="3"/>
  <c r="JA134" i="3"/>
  <c r="JB134" i="3"/>
  <c r="JC134" i="3"/>
  <c r="JD134" i="3"/>
  <c r="JE134" i="3"/>
  <c r="JF134" i="3"/>
  <c r="JG134" i="3"/>
  <c r="JH134" i="3"/>
  <c r="JI134" i="3"/>
  <c r="JJ134" i="3"/>
  <c r="JK134" i="3"/>
  <c r="JL134" i="3"/>
  <c r="JM134" i="3"/>
  <c r="A135" i="3"/>
  <c r="B135" i="3"/>
  <c r="W135" i="3"/>
  <c r="Y135" i="3"/>
  <c r="Z135" i="3"/>
  <c r="AA135" i="3"/>
  <c r="AB135" i="3"/>
  <c r="AC135" i="3"/>
  <c r="AD135" i="3"/>
  <c r="AE135" i="3"/>
  <c r="AF135" i="3"/>
  <c r="AG135" i="3"/>
  <c r="AH135" i="3"/>
  <c r="AI135" i="3"/>
  <c r="AJ135" i="3"/>
  <c r="AK135" i="3"/>
  <c r="AL135" i="3"/>
  <c r="AM135" i="3"/>
  <c r="AN135" i="3"/>
  <c r="AO135" i="3"/>
  <c r="AP135" i="3"/>
  <c r="AQ135" i="3"/>
  <c r="AR135" i="3"/>
  <c r="AS135" i="3"/>
  <c r="AT135" i="3"/>
  <c r="AU135" i="3"/>
  <c r="AV135" i="3"/>
  <c r="AW135" i="3"/>
  <c r="AX135" i="3"/>
  <c r="AY135" i="3"/>
  <c r="AZ135" i="3"/>
  <c r="BA135" i="3"/>
  <c r="BB135" i="3"/>
  <c r="BC135" i="3"/>
  <c r="BD135" i="3"/>
  <c r="BE135" i="3"/>
  <c r="BF135" i="3"/>
  <c r="BG135" i="3"/>
  <c r="BH135" i="3"/>
  <c r="BI135" i="3"/>
  <c r="BJ135" i="3"/>
  <c r="BK135" i="3"/>
  <c r="BL135" i="3"/>
  <c r="BM135" i="3"/>
  <c r="BN135" i="3"/>
  <c r="BO135" i="3"/>
  <c r="BP135" i="3"/>
  <c r="BQ135" i="3"/>
  <c r="BR135" i="3"/>
  <c r="BS135" i="3"/>
  <c r="BT135" i="3"/>
  <c r="BU135" i="3"/>
  <c r="BV135" i="3"/>
  <c r="BW135" i="3"/>
  <c r="BX135" i="3"/>
  <c r="BY135" i="3"/>
  <c r="BZ135" i="3"/>
  <c r="CA135" i="3"/>
  <c r="CB135" i="3"/>
  <c r="CC135" i="3"/>
  <c r="CD135" i="3"/>
  <c r="CE135" i="3"/>
  <c r="CF135" i="3"/>
  <c r="CG135" i="3"/>
  <c r="CH135" i="3"/>
  <c r="CI135" i="3"/>
  <c r="CJ135" i="3"/>
  <c r="CK135" i="3"/>
  <c r="CL135" i="3"/>
  <c r="CM135" i="3"/>
  <c r="CN135" i="3"/>
  <c r="CO135" i="3"/>
  <c r="CP135" i="3"/>
  <c r="CQ135" i="3"/>
  <c r="CR135" i="3"/>
  <c r="CS135" i="3"/>
  <c r="CT135" i="3"/>
  <c r="CU135" i="3"/>
  <c r="CV135" i="3"/>
  <c r="CW135" i="3"/>
  <c r="CX135" i="3"/>
  <c r="CY135" i="3"/>
  <c r="CZ135" i="3"/>
  <c r="DA135" i="3"/>
  <c r="DB135" i="3"/>
  <c r="DC135" i="3"/>
  <c r="DD135" i="3"/>
  <c r="DE135" i="3"/>
  <c r="DF135" i="3"/>
  <c r="DG135" i="3"/>
  <c r="DH135" i="3"/>
  <c r="DI135" i="3"/>
  <c r="DJ135" i="3"/>
  <c r="DK135" i="3"/>
  <c r="DL135" i="3"/>
  <c r="DM135" i="3"/>
  <c r="DN135" i="3"/>
  <c r="DO135" i="3"/>
  <c r="DP135" i="3"/>
  <c r="DQ135" i="3"/>
  <c r="DR135" i="3"/>
  <c r="DS135" i="3"/>
  <c r="DT135" i="3"/>
  <c r="DU135" i="3"/>
  <c r="DV135" i="3"/>
  <c r="DW135" i="3"/>
  <c r="DX135" i="3"/>
  <c r="DY135" i="3"/>
  <c r="DZ135" i="3"/>
  <c r="EA135" i="3"/>
  <c r="EB135" i="3"/>
  <c r="EC135" i="3"/>
  <c r="ED135" i="3"/>
  <c r="EE135" i="3"/>
  <c r="EF135" i="3"/>
  <c r="EG135" i="3"/>
  <c r="EI135" i="3"/>
  <c r="EJ135" i="3"/>
  <c r="EK135" i="3"/>
  <c r="EL135" i="3"/>
  <c r="EM135" i="3"/>
  <c r="EN135" i="3"/>
  <c r="EO135" i="3"/>
  <c r="EP135" i="3"/>
  <c r="EQ135" i="3"/>
  <c r="ER135" i="3"/>
  <c r="ES135" i="3"/>
  <c r="ET135" i="3"/>
  <c r="EU135" i="3"/>
  <c r="EV135" i="3"/>
  <c r="EW135" i="3"/>
  <c r="EX135" i="3"/>
  <c r="EY135" i="3"/>
  <c r="EZ135" i="3"/>
  <c r="FA135" i="3"/>
  <c r="FB135" i="3"/>
  <c r="FC135" i="3"/>
  <c r="FD135" i="3"/>
  <c r="FE135" i="3"/>
  <c r="FF135" i="3"/>
  <c r="FG135" i="3"/>
  <c r="FH135" i="3"/>
  <c r="FI135" i="3"/>
  <c r="FJ135" i="3"/>
  <c r="FK135" i="3"/>
  <c r="FL135" i="3"/>
  <c r="FM135" i="3"/>
  <c r="FN135" i="3"/>
  <c r="FO135" i="3"/>
  <c r="FP135" i="3"/>
  <c r="FQ135" i="3"/>
  <c r="FR135" i="3"/>
  <c r="FS135" i="3"/>
  <c r="FT135" i="3"/>
  <c r="FU135" i="3"/>
  <c r="FV135" i="3"/>
  <c r="FW135" i="3"/>
  <c r="FX135" i="3"/>
  <c r="FY135" i="3"/>
  <c r="FZ135" i="3"/>
  <c r="GA135" i="3"/>
  <c r="GB135" i="3"/>
  <c r="GC135" i="3"/>
  <c r="GD135" i="3"/>
  <c r="GE135" i="3"/>
  <c r="GF135" i="3"/>
  <c r="GG135" i="3"/>
  <c r="GH135" i="3"/>
  <c r="GI135" i="3"/>
  <c r="GJ135" i="3"/>
  <c r="GK135" i="3"/>
  <c r="GL135" i="3"/>
  <c r="GM135" i="3"/>
  <c r="GN135" i="3"/>
  <c r="GO135" i="3"/>
  <c r="GP135" i="3"/>
  <c r="GQ135" i="3"/>
  <c r="GR135" i="3"/>
  <c r="GS135" i="3"/>
  <c r="GT135" i="3"/>
  <c r="GU135" i="3"/>
  <c r="GV135" i="3"/>
  <c r="GW135" i="3"/>
  <c r="GX135" i="3"/>
  <c r="GY135" i="3"/>
  <c r="GZ135" i="3"/>
  <c r="HA135" i="3"/>
  <c r="HB135" i="3"/>
  <c r="HC135" i="3"/>
  <c r="HD135" i="3"/>
  <c r="HE135" i="3"/>
  <c r="HF135" i="3"/>
  <c r="HG135" i="3"/>
  <c r="HH135" i="3"/>
  <c r="HI135" i="3"/>
  <c r="HJ135" i="3"/>
  <c r="HK135" i="3"/>
  <c r="HL135" i="3"/>
  <c r="HM135" i="3"/>
  <c r="HN135" i="3"/>
  <c r="HO135" i="3"/>
  <c r="HP135" i="3"/>
  <c r="HQ135" i="3"/>
  <c r="HR135" i="3"/>
  <c r="HS135" i="3"/>
  <c r="HT135" i="3"/>
  <c r="HU135" i="3"/>
  <c r="HV135" i="3"/>
  <c r="HW135" i="3"/>
  <c r="HX135" i="3"/>
  <c r="HY135" i="3"/>
  <c r="HZ135" i="3"/>
  <c r="IA135" i="3"/>
  <c r="IB135" i="3"/>
  <c r="IC135" i="3"/>
  <c r="ID135" i="3"/>
  <c r="IE135" i="3"/>
  <c r="IF135" i="3"/>
  <c r="IG135" i="3"/>
  <c r="IH135" i="3"/>
  <c r="II135" i="3"/>
  <c r="IJ135" i="3"/>
  <c r="IK135" i="3"/>
  <c r="IL135" i="3"/>
  <c r="IM135" i="3"/>
  <c r="IN135" i="3"/>
  <c r="IO135" i="3"/>
  <c r="IP135" i="3"/>
  <c r="IQ135" i="3"/>
  <c r="IR135" i="3"/>
  <c r="IS135" i="3"/>
  <c r="IT135" i="3"/>
  <c r="IU135" i="3"/>
  <c r="IV135" i="3"/>
  <c r="IW135" i="3"/>
  <c r="IX135" i="3"/>
  <c r="IY135" i="3"/>
  <c r="IZ135" i="3"/>
  <c r="JA135" i="3"/>
  <c r="JB135" i="3"/>
  <c r="JC135" i="3"/>
  <c r="JD135" i="3"/>
  <c r="JE135" i="3"/>
  <c r="JF135" i="3"/>
  <c r="JG135" i="3"/>
  <c r="JH135" i="3"/>
  <c r="JI135" i="3"/>
  <c r="JJ135" i="3"/>
  <c r="JK135" i="3"/>
  <c r="JL135" i="3"/>
  <c r="JM135" i="3"/>
  <c r="A126" i="3"/>
  <c r="B126" i="3"/>
  <c r="C126" i="3"/>
  <c r="D126" i="3"/>
  <c r="E126" i="3"/>
  <c r="F126" i="3"/>
  <c r="G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K126" i="3"/>
  <c r="AL126" i="3"/>
  <c r="AM126" i="3"/>
  <c r="AN126" i="3"/>
  <c r="AO126" i="3"/>
  <c r="AP126" i="3"/>
  <c r="AQ126" i="3"/>
  <c r="AR126" i="3"/>
  <c r="AS126" i="3"/>
  <c r="AT126" i="3"/>
  <c r="AU126" i="3"/>
  <c r="AV126" i="3"/>
  <c r="AW126" i="3"/>
  <c r="AX126" i="3"/>
  <c r="AY126" i="3"/>
  <c r="AZ126" i="3"/>
  <c r="BA126" i="3"/>
  <c r="BB126" i="3"/>
  <c r="BC126" i="3"/>
  <c r="BD126" i="3"/>
  <c r="BE126" i="3"/>
  <c r="BF126" i="3"/>
  <c r="BG126" i="3"/>
  <c r="BH126" i="3"/>
  <c r="BI126" i="3"/>
  <c r="BJ126" i="3"/>
  <c r="BK126" i="3"/>
  <c r="BL126" i="3"/>
  <c r="BM126" i="3"/>
  <c r="BN126" i="3"/>
  <c r="BO126" i="3"/>
  <c r="BP126" i="3"/>
  <c r="BQ126" i="3"/>
  <c r="BR126" i="3"/>
  <c r="BS126" i="3"/>
  <c r="BT126" i="3"/>
  <c r="BU126" i="3"/>
  <c r="BV126" i="3"/>
  <c r="BW126" i="3"/>
  <c r="BX126" i="3"/>
  <c r="BY126" i="3"/>
  <c r="BZ126" i="3"/>
  <c r="CA126" i="3"/>
  <c r="CB126" i="3"/>
  <c r="CC126" i="3"/>
  <c r="CD126" i="3"/>
  <c r="CE126" i="3"/>
  <c r="CF126" i="3"/>
  <c r="CG126" i="3"/>
  <c r="CH126" i="3"/>
  <c r="CI126" i="3"/>
  <c r="CJ126" i="3"/>
  <c r="CK126" i="3"/>
  <c r="CL126" i="3"/>
  <c r="CM126" i="3"/>
  <c r="CN126" i="3"/>
  <c r="CO126" i="3"/>
  <c r="CP126" i="3"/>
  <c r="CQ126" i="3"/>
  <c r="CR126" i="3"/>
  <c r="CS126" i="3"/>
  <c r="CT126" i="3"/>
  <c r="CU126" i="3"/>
  <c r="CV126" i="3"/>
  <c r="CW126" i="3"/>
  <c r="CX126" i="3"/>
  <c r="CY126" i="3"/>
  <c r="CZ126" i="3"/>
  <c r="DA126" i="3"/>
  <c r="DB126" i="3"/>
  <c r="DC126" i="3"/>
  <c r="DD126" i="3"/>
  <c r="DE126" i="3"/>
  <c r="DF126" i="3"/>
  <c r="DG126" i="3"/>
  <c r="DH126" i="3"/>
  <c r="DI126" i="3"/>
  <c r="DJ126" i="3"/>
  <c r="DK126" i="3"/>
  <c r="DL126" i="3"/>
  <c r="DM126" i="3"/>
  <c r="DN126" i="3"/>
  <c r="DO126" i="3"/>
  <c r="DP126" i="3"/>
  <c r="DQ126" i="3"/>
  <c r="DR126" i="3"/>
  <c r="DS126" i="3"/>
  <c r="DT126" i="3"/>
  <c r="DU126" i="3"/>
  <c r="DV126" i="3"/>
  <c r="DW126" i="3"/>
  <c r="DX126" i="3"/>
  <c r="DY126" i="3"/>
  <c r="DZ126" i="3"/>
  <c r="EA126" i="3"/>
  <c r="EB126" i="3"/>
  <c r="EC126" i="3"/>
  <c r="ED126" i="3"/>
  <c r="EE126" i="3"/>
  <c r="EF126" i="3"/>
  <c r="EG126" i="3"/>
  <c r="EI126" i="3"/>
  <c r="EJ126" i="3"/>
  <c r="EK126" i="3"/>
  <c r="EL126" i="3"/>
  <c r="EM126" i="3"/>
  <c r="EN126" i="3"/>
  <c r="EO126" i="3"/>
  <c r="EP126" i="3"/>
  <c r="EQ126" i="3"/>
  <c r="ER126" i="3"/>
  <c r="ES126" i="3"/>
  <c r="ET126" i="3"/>
  <c r="EU126" i="3"/>
  <c r="EV126" i="3"/>
  <c r="EW126" i="3"/>
  <c r="EX126" i="3"/>
  <c r="EY126" i="3"/>
  <c r="EZ126" i="3"/>
  <c r="FA126" i="3"/>
  <c r="FB126" i="3"/>
  <c r="FC126" i="3"/>
  <c r="FD126" i="3"/>
  <c r="FE126" i="3"/>
  <c r="FF126" i="3"/>
  <c r="FG126" i="3"/>
  <c r="FH126" i="3"/>
  <c r="FI126" i="3"/>
  <c r="FJ126" i="3"/>
  <c r="FK126" i="3"/>
  <c r="FL126" i="3"/>
  <c r="FM126" i="3"/>
  <c r="FN126" i="3"/>
  <c r="FO126" i="3"/>
  <c r="FP126" i="3"/>
  <c r="FQ126" i="3"/>
  <c r="FR126" i="3"/>
  <c r="FS126" i="3"/>
  <c r="FT126" i="3"/>
  <c r="FU126" i="3"/>
  <c r="FV126" i="3"/>
  <c r="FW126" i="3"/>
  <c r="FX126" i="3"/>
  <c r="FY126" i="3"/>
  <c r="FZ126" i="3"/>
  <c r="GA126" i="3"/>
  <c r="GB126" i="3"/>
  <c r="GC126" i="3"/>
  <c r="GD126" i="3"/>
  <c r="GE126" i="3"/>
  <c r="GF126" i="3"/>
  <c r="GG126" i="3"/>
  <c r="GH126" i="3"/>
  <c r="GI126" i="3"/>
  <c r="GJ126" i="3"/>
  <c r="GK126" i="3"/>
  <c r="GL126" i="3"/>
  <c r="GM126" i="3"/>
  <c r="GN126" i="3"/>
  <c r="GO126" i="3"/>
  <c r="GP126" i="3"/>
  <c r="GQ126" i="3"/>
  <c r="GR126" i="3"/>
  <c r="GS126" i="3"/>
  <c r="GT126" i="3"/>
  <c r="GU126" i="3"/>
  <c r="GV126" i="3"/>
  <c r="GW126" i="3"/>
  <c r="GX126" i="3"/>
  <c r="GY126" i="3"/>
  <c r="GZ126" i="3"/>
  <c r="HA126" i="3"/>
  <c r="HB126" i="3"/>
  <c r="HC126" i="3"/>
  <c r="HD126" i="3"/>
  <c r="HE126" i="3"/>
  <c r="HF126" i="3"/>
  <c r="HG126" i="3"/>
  <c r="HH126" i="3"/>
  <c r="HI126" i="3"/>
  <c r="HJ126" i="3"/>
  <c r="HK126" i="3"/>
  <c r="HL126" i="3"/>
  <c r="HM126" i="3"/>
  <c r="HN126" i="3"/>
  <c r="HO126" i="3"/>
  <c r="HP126" i="3"/>
  <c r="HQ126" i="3"/>
  <c r="HR126" i="3"/>
  <c r="HS126" i="3"/>
  <c r="HT126" i="3"/>
  <c r="HU126" i="3"/>
  <c r="HV126" i="3"/>
  <c r="HW126" i="3"/>
  <c r="HX126" i="3"/>
  <c r="HY126" i="3"/>
  <c r="HZ126" i="3"/>
  <c r="IA126" i="3"/>
  <c r="IB126" i="3"/>
  <c r="IC126" i="3"/>
  <c r="ID126" i="3"/>
  <c r="IE126" i="3"/>
  <c r="IF126" i="3"/>
  <c r="IG126" i="3"/>
  <c r="IH126" i="3"/>
  <c r="II126" i="3"/>
  <c r="IJ126" i="3"/>
  <c r="IK126" i="3"/>
  <c r="IL126" i="3"/>
  <c r="IM126" i="3"/>
  <c r="IN126" i="3"/>
  <c r="IO126" i="3"/>
  <c r="IP126" i="3"/>
  <c r="IQ126" i="3"/>
  <c r="IR126" i="3"/>
  <c r="IS126" i="3"/>
  <c r="IT126" i="3"/>
  <c r="IU126" i="3"/>
  <c r="IV126" i="3"/>
  <c r="IW126" i="3"/>
  <c r="IX126" i="3"/>
  <c r="IY126" i="3"/>
  <c r="IZ126" i="3"/>
  <c r="JA126" i="3"/>
  <c r="JB126" i="3"/>
  <c r="JC126" i="3"/>
  <c r="JD126" i="3"/>
  <c r="JE126" i="3"/>
  <c r="JF126" i="3"/>
  <c r="JG126" i="3"/>
  <c r="JH126" i="3"/>
  <c r="JI126" i="3"/>
  <c r="JJ126" i="3"/>
  <c r="JK126" i="3"/>
  <c r="JL126" i="3"/>
  <c r="JM126" i="3"/>
  <c r="A127" i="3"/>
  <c r="B127" i="3"/>
  <c r="F127" i="3"/>
  <c r="G127" i="3"/>
  <c r="H127"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K127" i="3"/>
  <c r="AL127" i="3"/>
  <c r="AM127" i="3"/>
  <c r="AN127" i="3"/>
  <c r="AO127" i="3"/>
  <c r="AP127" i="3"/>
  <c r="AQ127" i="3"/>
  <c r="AR127" i="3"/>
  <c r="AS127" i="3"/>
  <c r="AT127" i="3"/>
  <c r="AU127" i="3"/>
  <c r="AV127" i="3"/>
  <c r="AW127" i="3"/>
  <c r="AX127" i="3"/>
  <c r="AY127" i="3"/>
  <c r="AZ127" i="3"/>
  <c r="BA127" i="3"/>
  <c r="BB127" i="3"/>
  <c r="BC127" i="3"/>
  <c r="BD127" i="3"/>
  <c r="BE127" i="3"/>
  <c r="BF127" i="3"/>
  <c r="BG127" i="3"/>
  <c r="BH127" i="3"/>
  <c r="BI127" i="3"/>
  <c r="BJ127" i="3"/>
  <c r="BK127" i="3"/>
  <c r="BL127" i="3"/>
  <c r="BM127" i="3"/>
  <c r="BN127" i="3"/>
  <c r="BO127" i="3"/>
  <c r="BP127" i="3"/>
  <c r="BQ127" i="3"/>
  <c r="BR127" i="3"/>
  <c r="BS127" i="3"/>
  <c r="BT127" i="3"/>
  <c r="BU127" i="3"/>
  <c r="BV127" i="3"/>
  <c r="BW127" i="3"/>
  <c r="BX127" i="3"/>
  <c r="BY127" i="3"/>
  <c r="BZ127" i="3"/>
  <c r="CA127" i="3"/>
  <c r="CB127" i="3"/>
  <c r="CC127" i="3"/>
  <c r="CD127" i="3"/>
  <c r="CE127" i="3"/>
  <c r="CF127" i="3"/>
  <c r="CG127" i="3"/>
  <c r="CH127" i="3"/>
  <c r="CI127" i="3"/>
  <c r="CJ127" i="3"/>
  <c r="CK127" i="3"/>
  <c r="CL127" i="3"/>
  <c r="CM127" i="3"/>
  <c r="CN127" i="3"/>
  <c r="CO127" i="3"/>
  <c r="CP127" i="3"/>
  <c r="CQ127" i="3"/>
  <c r="CR127" i="3"/>
  <c r="CS127" i="3"/>
  <c r="CT127" i="3"/>
  <c r="CU127" i="3"/>
  <c r="CV127" i="3"/>
  <c r="CW127" i="3"/>
  <c r="CX127" i="3"/>
  <c r="CY127" i="3"/>
  <c r="CZ127" i="3"/>
  <c r="DA127" i="3"/>
  <c r="DB127" i="3"/>
  <c r="DC127" i="3"/>
  <c r="DD127" i="3"/>
  <c r="DE127" i="3"/>
  <c r="DF127" i="3"/>
  <c r="DG127" i="3"/>
  <c r="DH127" i="3"/>
  <c r="DI127" i="3"/>
  <c r="DJ127" i="3"/>
  <c r="DK127" i="3"/>
  <c r="DL127" i="3"/>
  <c r="DM127" i="3"/>
  <c r="DN127" i="3"/>
  <c r="DO127" i="3"/>
  <c r="DP127" i="3"/>
  <c r="DQ127" i="3"/>
  <c r="DR127" i="3"/>
  <c r="DS127" i="3"/>
  <c r="DT127" i="3"/>
  <c r="DU127" i="3"/>
  <c r="DV127" i="3"/>
  <c r="DW127" i="3"/>
  <c r="DX127" i="3"/>
  <c r="DY127" i="3"/>
  <c r="DZ127" i="3"/>
  <c r="EA127" i="3"/>
  <c r="EB127" i="3"/>
  <c r="EC127" i="3"/>
  <c r="ED127" i="3"/>
  <c r="EE127" i="3"/>
  <c r="EF127" i="3"/>
  <c r="EG127" i="3"/>
  <c r="EI127" i="3"/>
  <c r="EJ127" i="3"/>
  <c r="EK127" i="3"/>
  <c r="EL127" i="3"/>
  <c r="EM127" i="3"/>
  <c r="EN127" i="3"/>
  <c r="EO127" i="3"/>
  <c r="EP127" i="3"/>
  <c r="EQ127" i="3"/>
  <c r="ER127" i="3"/>
  <c r="ES127" i="3"/>
  <c r="ET127" i="3"/>
  <c r="EU127" i="3"/>
  <c r="EV127" i="3"/>
  <c r="EW127" i="3"/>
  <c r="EX127" i="3"/>
  <c r="EY127" i="3"/>
  <c r="EZ127" i="3"/>
  <c r="FA127" i="3"/>
  <c r="FB127" i="3"/>
  <c r="FC127" i="3"/>
  <c r="FD127" i="3"/>
  <c r="FE127" i="3"/>
  <c r="FF127" i="3"/>
  <c r="FG127" i="3"/>
  <c r="FH127" i="3"/>
  <c r="FI127" i="3"/>
  <c r="FJ127" i="3"/>
  <c r="FK127" i="3"/>
  <c r="FL127" i="3"/>
  <c r="FM127" i="3"/>
  <c r="FN127" i="3"/>
  <c r="FO127" i="3"/>
  <c r="FP127" i="3"/>
  <c r="FQ127" i="3"/>
  <c r="FR127" i="3"/>
  <c r="FS127" i="3"/>
  <c r="FT127" i="3"/>
  <c r="FU127" i="3"/>
  <c r="FV127" i="3"/>
  <c r="FW127" i="3"/>
  <c r="FX127" i="3"/>
  <c r="FY127" i="3"/>
  <c r="FZ127" i="3"/>
  <c r="GA127" i="3"/>
  <c r="GB127" i="3"/>
  <c r="GC127" i="3"/>
  <c r="GD127" i="3"/>
  <c r="GE127" i="3"/>
  <c r="GF127" i="3"/>
  <c r="GG127" i="3"/>
  <c r="GH127" i="3"/>
  <c r="GI127" i="3"/>
  <c r="GJ127" i="3"/>
  <c r="GK127" i="3"/>
  <c r="GL127" i="3"/>
  <c r="GM127" i="3"/>
  <c r="GN127" i="3"/>
  <c r="GO127" i="3"/>
  <c r="GP127" i="3"/>
  <c r="GQ127" i="3"/>
  <c r="GR127" i="3"/>
  <c r="GS127" i="3"/>
  <c r="GT127" i="3"/>
  <c r="GU127" i="3"/>
  <c r="GV127" i="3"/>
  <c r="GW127" i="3"/>
  <c r="GX127" i="3"/>
  <c r="GY127" i="3"/>
  <c r="GZ127" i="3"/>
  <c r="HA127" i="3"/>
  <c r="HB127" i="3"/>
  <c r="HC127" i="3"/>
  <c r="HD127" i="3"/>
  <c r="HE127" i="3"/>
  <c r="HF127" i="3"/>
  <c r="HG127" i="3"/>
  <c r="HH127" i="3"/>
  <c r="HI127" i="3"/>
  <c r="HJ127" i="3"/>
  <c r="HK127" i="3"/>
  <c r="HL127" i="3"/>
  <c r="HM127" i="3"/>
  <c r="HN127" i="3"/>
  <c r="HO127" i="3"/>
  <c r="HP127" i="3"/>
  <c r="HQ127" i="3"/>
  <c r="HR127" i="3"/>
  <c r="HS127" i="3"/>
  <c r="HT127" i="3"/>
  <c r="HU127" i="3"/>
  <c r="HV127" i="3"/>
  <c r="HW127" i="3"/>
  <c r="HX127" i="3"/>
  <c r="HY127" i="3"/>
  <c r="HZ127" i="3"/>
  <c r="IA127" i="3"/>
  <c r="IB127" i="3"/>
  <c r="IC127" i="3"/>
  <c r="ID127" i="3"/>
  <c r="IE127" i="3"/>
  <c r="IF127" i="3"/>
  <c r="IG127" i="3"/>
  <c r="IH127" i="3"/>
  <c r="II127" i="3"/>
  <c r="IJ127" i="3"/>
  <c r="IK127" i="3"/>
  <c r="IL127" i="3"/>
  <c r="IM127" i="3"/>
  <c r="IN127" i="3"/>
  <c r="IO127" i="3"/>
  <c r="IP127" i="3"/>
  <c r="IQ127" i="3"/>
  <c r="IR127" i="3"/>
  <c r="IS127" i="3"/>
  <c r="IT127" i="3"/>
  <c r="IU127" i="3"/>
  <c r="IV127" i="3"/>
  <c r="IW127" i="3"/>
  <c r="IX127" i="3"/>
  <c r="IY127" i="3"/>
  <c r="IZ127" i="3"/>
  <c r="JA127" i="3"/>
  <c r="JB127" i="3"/>
  <c r="JC127" i="3"/>
  <c r="JD127" i="3"/>
  <c r="JE127" i="3"/>
  <c r="JF127" i="3"/>
  <c r="JG127" i="3"/>
  <c r="JH127" i="3"/>
  <c r="JI127" i="3"/>
  <c r="JJ127" i="3"/>
  <c r="JK127" i="3"/>
  <c r="JL127" i="3"/>
  <c r="JM127" i="3"/>
  <c r="A128" i="3"/>
  <c r="B128" i="3"/>
  <c r="E128" i="3"/>
  <c r="F128" i="3"/>
  <c r="G128" i="3"/>
  <c r="H128"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K128" i="3"/>
  <c r="AL128" i="3"/>
  <c r="AM128" i="3"/>
  <c r="AN128" i="3"/>
  <c r="AO128" i="3"/>
  <c r="AP128" i="3"/>
  <c r="AQ128" i="3"/>
  <c r="AR128" i="3"/>
  <c r="AS128" i="3"/>
  <c r="AT128" i="3"/>
  <c r="AU128" i="3"/>
  <c r="AV128" i="3"/>
  <c r="AW128" i="3"/>
  <c r="AX128" i="3"/>
  <c r="AY128" i="3"/>
  <c r="AZ128" i="3"/>
  <c r="BA128" i="3"/>
  <c r="BB128" i="3"/>
  <c r="BC128" i="3"/>
  <c r="BD128" i="3"/>
  <c r="BE128" i="3"/>
  <c r="BF128" i="3"/>
  <c r="BG128" i="3"/>
  <c r="BH128" i="3"/>
  <c r="BI128" i="3"/>
  <c r="BJ128" i="3"/>
  <c r="BK128" i="3"/>
  <c r="BL128" i="3"/>
  <c r="BM128" i="3"/>
  <c r="BN128" i="3"/>
  <c r="BO128" i="3"/>
  <c r="BP128" i="3"/>
  <c r="BQ128" i="3"/>
  <c r="BR128" i="3"/>
  <c r="BS128" i="3"/>
  <c r="BT128" i="3"/>
  <c r="BU128" i="3"/>
  <c r="BV128" i="3"/>
  <c r="BW128" i="3"/>
  <c r="BX128" i="3"/>
  <c r="BY128" i="3"/>
  <c r="BZ128" i="3"/>
  <c r="CA128" i="3"/>
  <c r="CB128" i="3"/>
  <c r="CC128" i="3"/>
  <c r="CD128" i="3"/>
  <c r="CE128" i="3"/>
  <c r="CF128" i="3"/>
  <c r="CG128" i="3"/>
  <c r="CH128" i="3"/>
  <c r="CI128" i="3"/>
  <c r="CJ128" i="3"/>
  <c r="CK128" i="3"/>
  <c r="CL128" i="3"/>
  <c r="CM128" i="3"/>
  <c r="CN128" i="3"/>
  <c r="CO128" i="3"/>
  <c r="CP128" i="3"/>
  <c r="CQ128" i="3"/>
  <c r="CR128" i="3"/>
  <c r="CS128" i="3"/>
  <c r="CT128" i="3"/>
  <c r="CU128" i="3"/>
  <c r="CV128" i="3"/>
  <c r="CW128" i="3"/>
  <c r="CX128" i="3"/>
  <c r="CY128" i="3"/>
  <c r="CZ128" i="3"/>
  <c r="DA128" i="3"/>
  <c r="DB128" i="3"/>
  <c r="DC128" i="3"/>
  <c r="DD128" i="3"/>
  <c r="DE128" i="3"/>
  <c r="DF128" i="3"/>
  <c r="DG128" i="3"/>
  <c r="DH128" i="3"/>
  <c r="DI128" i="3"/>
  <c r="DJ128" i="3"/>
  <c r="DK128" i="3"/>
  <c r="DL128" i="3"/>
  <c r="DM128" i="3"/>
  <c r="DN128" i="3"/>
  <c r="DO128" i="3"/>
  <c r="DP128" i="3"/>
  <c r="DQ128" i="3"/>
  <c r="DR128" i="3"/>
  <c r="DS128" i="3"/>
  <c r="DT128" i="3"/>
  <c r="DU128" i="3"/>
  <c r="DV128" i="3"/>
  <c r="DW128" i="3"/>
  <c r="DX128" i="3"/>
  <c r="DY128" i="3"/>
  <c r="DZ128" i="3"/>
  <c r="EA128" i="3"/>
  <c r="EB128" i="3"/>
  <c r="EC128" i="3"/>
  <c r="ED128" i="3"/>
  <c r="EE128" i="3"/>
  <c r="EF128" i="3"/>
  <c r="EG128" i="3"/>
  <c r="EI128" i="3"/>
  <c r="EJ128" i="3"/>
  <c r="EK128" i="3"/>
  <c r="EL128" i="3"/>
  <c r="EM128" i="3"/>
  <c r="EN128" i="3"/>
  <c r="EO128" i="3"/>
  <c r="EP128" i="3"/>
  <c r="EQ128" i="3"/>
  <c r="ER128" i="3"/>
  <c r="ES128" i="3"/>
  <c r="ET128" i="3"/>
  <c r="EU128" i="3"/>
  <c r="EV128" i="3"/>
  <c r="EW128" i="3"/>
  <c r="EX128" i="3"/>
  <c r="EY128" i="3"/>
  <c r="EZ128" i="3"/>
  <c r="FA128" i="3"/>
  <c r="FB128" i="3"/>
  <c r="FC128" i="3"/>
  <c r="FD128" i="3"/>
  <c r="FE128" i="3"/>
  <c r="FF128" i="3"/>
  <c r="FG128" i="3"/>
  <c r="FH128" i="3"/>
  <c r="FI128" i="3"/>
  <c r="FJ128" i="3"/>
  <c r="FK128" i="3"/>
  <c r="FL128" i="3"/>
  <c r="FM128" i="3"/>
  <c r="FN128" i="3"/>
  <c r="FO128" i="3"/>
  <c r="FP128" i="3"/>
  <c r="FQ128" i="3"/>
  <c r="FR128" i="3"/>
  <c r="FS128" i="3"/>
  <c r="FT128" i="3"/>
  <c r="FU128" i="3"/>
  <c r="FV128" i="3"/>
  <c r="FW128" i="3"/>
  <c r="FX128" i="3"/>
  <c r="FY128" i="3"/>
  <c r="FZ128" i="3"/>
  <c r="GA128" i="3"/>
  <c r="GB128" i="3"/>
  <c r="GC128" i="3"/>
  <c r="GD128" i="3"/>
  <c r="GE128" i="3"/>
  <c r="GF128" i="3"/>
  <c r="GG128" i="3"/>
  <c r="GH128" i="3"/>
  <c r="GI128" i="3"/>
  <c r="GJ128" i="3"/>
  <c r="GK128" i="3"/>
  <c r="GL128" i="3"/>
  <c r="GM128" i="3"/>
  <c r="GN128" i="3"/>
  <c r="GO128" i="3"/>
  <c r="GP128" i="3"/>
  <c r="GQ128" i="3"/>
  <c r="GR128" i="3"/>
  <c r="GS128" i="3"/>
  <c r="GT128" i="3"/>
  <c r="GU128" i="3"/>
  <c r="GV128" i="3"/>
  <c r="GW128" i="3"/>
  <c r="GX128" i="3"/>
  <c r="GY128" i="3"/>
  <c r="GZ128" i="3"/>
  <c r="HA128" i="3"/>
  <c r="HB128" i="3"/>
  <c r="HC128" i="3"/>
  <c r="HD128" i="3"/>
  <c r="HE128" i="3"/>
  <c r="HF128" i="3"/>
  <c r="HG128" i="3"/>
  <c r="HH128" i="3"/>
  <c r="HI128" i="3"/>
  <c r="HJ128" i="3"/>
  <c r="HK128" i="3"/>
  <c r="HL128" i="3"/>
  <c r="HM128" i="3"/>
  <c r="HN128" i="3"/>
  <c r="HO128" i="3"/>
  <c r="HP128" i="3"/>
  <c r="HQ128" i="3"/>
  <c r="HR128" i="3"/>
  <c r="HS128" i="3"/>
  <c r="HT128" i="3"/>
  <c r="HU128" i="3"/>
  <c r="HV128" i="3"/>
  <c r="HW128" i="3"/>
  <c r="HX128" i="3"/>
  <c r="HY128" i="3"/>
  <c r="HZ128" i="3"/>
  <c r="IA128" i="3"/>
  <c r="IB128" i="3"/>
  <c r="IC128" i="3"/>
  <c r="ID128" i="3"/>
  <c r="IE128" i="3"/>
  <c r="IF128" i="3"/>
  <c r="IG128" i="3"/>
  <c r="IH128" i="3"/>
  <c r="II128" i="3"/>
  <c r="IJ128" i="3"/>
  <c r="IK128" i="3"/>
  <c r="IL128" i="3"/>
  <c r="IM128" i="3"/>
  <c r="IN128" i="3"/>
  <c r="IO128" i="3"/>
  <c r="IP128" i="3"/>
  <c r="IQ128" i="3"/>
  <c r="IR128" i="3"/>
  <c r="IS128" i="3"/>
  <c r="IT128" i="3"/>
  <c r="IU128" i="3"/>
  <c r="IV128" i="3"/>
  <c r="IW128" i="3"/>
  <c r="IX128" i="3"/>
  <c r="IY128" i="3"/>
  <c r="IZ128" i="3"/>
  <c r="JA128" i="3"/>
  <c r="JB128" i="3"/>
  <c r="JC128" i="3"/>
  <c r="JD128" i="3"/>
  <c r="JE128" i="3"/>
  <c r="JF128" i="3"/>
  <c r="JG128" i="3"/>
  <c r="JH128" i="3"/>
  <c r="JI128" i="3"/>
  <c r="JJ128" i="3"/>
  <c r="JK128" i="3"/>
  <c r="JL128" i="3"/>
  <c r="JM128" i="3"/>
  <c r="A129" i="3"/>
  <c r="B129" i="3"/>
  <c r="N129" i="3"/>
  <c r="O129" i="3"/>
  <c r="P129" i="3"/>
  <c r="Q129" i="3"/>
  <c r="R129" i="3"/>
  <c r="S129" i="3"/>
  <c r="T129" i="3"/>
  <c r="U129" i="3"/>
  <c r="V129" i="3"/>
  <c r="W129" i="3"/>
  <c r="X129" i="3"/>
  <c r="Y129" i="3"/>
  <c r="Z129" i="3"/>
  <c r="AA129" i="3"/>
  <c r="AB129" i="3"/>
  <c r="AC129" i="3"/>
  <c r="AD129" i="3"/>
  <c r="AE129" i="3"/>
  <c r="AF129" i="3"/>
  <c r="AG129" i="3"/>
  <c r="AH129" i="3"/>
  <c r="AI129" i="3"/>
  <c r="AJ129" i="3"/>
  <c r="AK129" i="3"/>
  <c r="AL129" i="3"/>
  <c r="AM129" i="3"/>
  <c r="AN129" i="3"/>
  <c r="AO129" i="3"/>
  <c r="AP129" i="3"/>
  <c r="AQ129" i="3"/>
  <c r="AR129" i="3"/>
  <c r="AS129" i="3"/>
  <c r="AT129" i="3"/>
  <c r="AU129" i="3"/>
  <c r="AV129" i="3"/>
  <c r="AW129" i="3"/>
  <c r="AX129" i="3"/>
  <c r="AY129" i="3"/>
  <c r="AZ129" i="3"/>
  <c r="BA129" i="3"/>
  <c r="BB129" i="3"/>
  <c r="BC129" i="3"/>
  <c r="BD129" i="3"/>
  <c r="BE129" i="3"/>
  <c r="BF129" i="3"/>
  <c r="BG129" i="3"/>
  <c r="BH129" i="3"/>
  <c r="BI129" i="3"/>
  <c r="BJ129" i="3"/>
  <c r="BK129" i="3"/>
  <c r="BL129" i="3"/>
  <c r="BM129" i="3"/>
  <c r="BN129" i="3"/>
  <c r="BO129" i="3"/>
  <c r="BP129" i="3"/>
  <c r="BQ129" i="3"/>
  <c r="BR129" i="3"/>
  <c r="BS129" i="3"/>
  <c r="BT129" i="3"/>
  <c r="BU129" i="3"/>
  <c r="BV129" i="3"/>
  <c r="BW129" i="3"/>
  <c r="BX129" i="3"/>
  <c r="BY129" i="3"/>
  <c r="BZ129" i="3"/>
  <c r="CA129" i="3"/>
  <c r="CB129" i="3"/>
  <c r="CC129" i="3"/>
  <c r="CD129" i="3"/>
  <c r="CE129" i="3"/>
  <c r="CF129" i="3"/>
  <c r="CG129" i="3"/>
  <c r="CH129" i="3"/>
  <c r="CI129" i="3"/>
  <c r="CJ129" i="3"/>
  <c r="CK129" i="3"/>
  <c r="CL129" i="3"/>
  <c r="CM129" i="3"/>
  <c r="CN129" i="3"/>
  <c r="CO129" i="3"/>
  <c r="CP129" i="3"/>
  <c r="CQ129" i="3"/>
  <c r="CR129" i="3"/>
  <c r="CS129" i="3"/>
  <c r="CT129" i="3"/>
  <c r="CU129" i="3"/>
  <c r="CV129" i="3"/>
  <c r="CW129" i="3"/>
  <c r="CX129" i="3"/>
  <c r="CY129" i="3"/>
  <c r="CZ129" i="3"/>
  <c r="DA129" i="3"/>
  <c r="DB129" i="3"/>
  <c r="DC129" i="3"/>
  <c r="DD129" i="3"/>
  <c r="DE129" i="3"/>
  <c r="DF129" i="3"/>
  <c r="DG129" i="3"/>
  <c r="DH129" i="3"/>
  <c r="DI129" i="3"/>
  <c r="DJ129" i="3"/>
  <c r="DK129" i="3"/>
  <c r="DL129" i="3"/>
  <c r="DM129" i="3"/>
  <c r="DN129" i="3"/>
  <c r="DO129" i="3"/>
  <c r="DP129" i="3"/>
  <c r="DQ129" i="3"/>
  <c r="DR129" i="3"/>
  <c r="DS129" i="3"/>
  <c r="DT129" i="3"/>
  <c r="DU129" i="3"/>
  <c r="DV129" i="3"/>
  <c r="DW129" i="3"/>
  <c r="DX129" i="3"/>
  <c r="DY129" i="3"/>
  <c r="DZ129" i="3"/>
  <c r="EA129" i="3"/>
  <c r="EB129" i="3"/>
  <c r="EC129" i="3"/>
  <c r="ED129" i="3"/>
  <c r="EE129" i="3"/>
  <c r="EF129" i="3"/>
  <c r="EG129" i="3"/>
  <c r="EI129" i="3"/>
  <c r="EJ129" i="3"/>
  <c r="EK129" i="3"/>
  <c r="EL129" i="3"/>
  <c r="EM129" i="3"/>
  <c r="EN129" i="3"/>
  <c r="EO129" i="3"/>
  <c r="EP129" i="3"/>
  <c r="EQ129" i="3"/>
  <c r="ER129" i="3"/>
  <c r="ES129" i="3"/>
  <c r="ET129" i="3"/>
  <c r="EU129" i="3"/>
  <c r="EV129" i="3"/>
  <c r="EW129" i="3"/>
  <c r="EX129" i="3"/>
  <c r="EY129" i="3"/>
  <c r="EZ129" i="3"/>
  <c r="FA129" i="3"/>
  <c r="FB129" i="3"/>
  <c r="FC129" i="3"/>
  <c r="FD129" i="3"/>
  <c r="FE129" i="3"/>
  <c r="FF129" i="3"/>
  <c r="FG129" i="3"/>
  <c r="FH129" i="3"/>
  <c r="FI129" i="3"/>
  <c r="FJ129" i="3"/>
  <c r="FK129" i="3"/>
  <c r="FL129" i="3"/>
  <c r="FM129" i="3"/>
  <c r="FN129" i="3"/>
  <c r="FO129" i="3"/>
  <c r="FP129" i="3"/>
  <c r="FQ129" i="3"/>
  <c r="FR129" i="3"/>
  <c r="FS129" i="3"/>
  <c r="FT129" i="3"/>
  <c r="FU129" i="3"/>
  <c r="FV129" i="3"/>
  <c r="FW129" i="3"/>
  <c r="FX129" i="3"/>
  <c r="FY129" i="3"/>
  <c r="FZ129" i="3"/>
  <c r="GA129" i="3"/>
  <c r="GB129" i="3"/>
  <c r="GC129" i="3"/>
  <c r="GD129" i="3"/>
  <c r="GE129" i="3"/>
  <c r="GF129" i="3"/>
  <c r="GG129" i="3"/>
  <c r="GH129" i="3"/>
  <c r="GI129" i="3"/>
  <c r="GJ129" i="3"/>
  <c r="GK129" i="3"/>
  <c r="GL129" i="3"/>
  <c r="GM129" i="3"/>
  <c r="GN129" i="3"/>
  <c r="GO129" i="3"/>
  <c r="GP129" i="3"/>
  <c r="GQ129" i="3"/>
  <c r="GR129" i="3"/>
  <c r="GS129" i="3"/>
  <c r="GT129" i="3"/>
  <c r="GU129" i="3"/>
  <c r="GV129" i="3"/>
  <c r="GW129" i="3"/>
  <c r="GX129" i="3"/>
  <c r="GY129" i="3"/>
  <c r="GZ129" i="3"/>
  <c r="HA129" i="3"/>
  <c r="HB129" i="3"/>
  <c r="HC129" i="3"/>
  <c r="HD129" i="3"/>
  <c r="HE129" i="3"/>
  <c r="HF129" i="3"/>
  <c r="HG129" i="3"/>
  <c r="HH129" i="3"/>
  <c r="HI129" i="3"/>
  <c r="HJ129" i="3"/>
  <c r="HK129" i="3"/>
  <c r="HL129" i="3"/>
  <c r="HM129" i="3"/>
  <c r="HN129" i="3"/>
  <c r="HO129" i="3"/>
  <c r="HP129" i="3"/>
  <c r="HQ129" i="3"/>
  <c r="HR129" i="3"/>
  <c r="HS129" i="3"/>
  <c r="HT129" i="3"/>
  <c r="HU129" i="3"/>
  <c r="HV129" i="3"/>
  <c r="HW129" i="3"/>
  <c r="HX129" i="3"/>
  <c r="HY129" i="3"/>
  <c r="HZ129" i="3"/>
  <c r="IA129" i="3"/>
  <c r="IB129" i="3"/>
  <c r="IC129" i="3"/>
  <c r="ID129" i="3"/>
  <c r="IE129" i="3"/>
  <c r="IF129" i="3"/>
  <c r="IG129" i="3"/>
  <c r="IH129" i="3"/>
  <c r="II129" i="3"/>
  <c r="IJ129" i="3"/>
  <c r="IK129" i="3"/>
  <c r="IL129" i="3"/>
  <c r="IM129" i="3"/>
  <c r="IN129" i="3"/>
  <c r="IO129" i="3"/>
  <c r="IP129" i="3"/>
  <c r="IQ129" i="3"/>
  <c r="IR129" i="3"/>
  <c r="IS129" i="3"/>
  <c r="IT129" i="3"/>
  <c r="IU129" i="3"/>
  <c r="IV129" i="3"/>
  <c r="IW129" i="3"/>
  <c r="IX129" i="3"/>
  <c r="IY129" i="3"/>
  <c r="IZ129" i="3"/>
  <c r="JA129" i="3"/>
  <c r="JB129" i="3"/>
  <c r="JC129" i="3"/>
  <c r="JD129" i="3"/>
  <c r="JE129" i="3"/>
  <c r="JF129" i="3"/>
  <c r="JG129" i="3"/>
  <c r="JH129" i="3"/>
  <c r="JI129" i="3"/>
  <c r="JJ129" i="3"/>
  <c r="JK129" i="3"/>
  <c r="JL129" i="3"/>
  <c r="JM129" i="3"/>
  <c r="A130" i="3"/>
  <c r="B130" i="3"/>
  <c r="IM130" i="3"/>
  <c r="JF130" i="3"/>
  <c r="JG130" i="3"/>
  <c r="JH130" i="3"/>
  <c r="JI130" i="3"/>
  <c r="JJ130" i="3"/>
  <c r="JK130" i="3"/>
  <c r="JL130" i="3"/>
  <c r="JM130" i="3"/>
  <c r="A121" i="3"/>
  <c r="B121" i="3"/>
  <c r="C121"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M121" i="3"/>
  <c r="AN121" i="3"/>
  <c r="AO121" i="3"/>
  <c r="AP121" i="3"/>
  <c r="AQ121" i="3"/>
  <c r="AR121" i="3"/>
  <c r="AS121" i="3"/>
  <c r="AT121" i="3"/>
  <c r="AU121" i="3"/>
  <c r="AV121" i="3"/>
  <c r="AW121" i="3"/>
  <c r="AX121" i="3"/>
  <c r="AY121" i="3"/>
  <c r="AZ121" i="3"/>
  <c r="BA121" i="3"/>
  <c r="BB121" i="3"/>
  <c r="BC121" i="3"/>
  <c r="BD121" i="3"/>
  <c r="BE121" i="3"/>
  <c r="BF121" i="3"/>
  <c r="BG121" i="3"/>
  <c r="BH121" i="3"/>
  <c r="BI121" i="3"/>
  <c r="BJ121" i="3"/>
  <c r="BK121" i="3"/>
  <c r="BL121" i="3"/>
  <c r="BM121" i="3"/>
  <c r="BN121" i="3"/>
  <c r="BO121" i="3"/>
  <c r="BP121" i="3"/>
  <c r="BQ121" i="3"/>
  <c r="BR121" i="3"/>
  <c r="BS121" i="3"/>
  <c r="BT121" i="3"/>
  <c r="BU121" i="3"/>
  <c r="BV121" i="3"/>
  <c r="BW121" i="3"/>
  <c r="BX121" i="3"/>
  <c r="BY121" i="3"/>
  <c r="BZ121" i="3"/>
  <c r="CA121" i="3"/>
  <c r="CB121" i="3"/>
  <c r="CC121" i="3"/>
  <c r="CD121" i="3"/>
  <c r="CE121" i="3"/>
  <c r="CF121" i="3"/>
  <c r="CG121" i="3"/>
  <c r="CH121" i="3"/>
  <c r="CI121" i="3"/>
  <c r="CJ121" i="3"/>
  <c r="CK121" i="3"/>
  <c r="CL121" i="3"/>
  <c r="CM121" i="3"/>
  <c r="CN121" i="3"/>
  <c r="CO121" i="3"/>
  <c r="CP121" i="3"/>
  <c r="CQ121" i="3"/>
  <c r="CR121" i="3"/>
  <c r="CS121" i="3"/>
  <c r="CT121" i="3"/>
  <c r="CU121" i="3"/>
  <c r="CV121" i="3"/>
  <c r="CW121" i="3"/>
  <c r="CX121" i="3"/>
  <c r="CY121" i="3"/>
  <c r="CZ121" i="3"/>
  <c r="DA121" i="3"/>
  <c r="DB121" i="3"/>
  <c r="DC121" i="3"/>
  <c r="DD121" i="3"/>
  <c r="DE121" i="3"/>
  <c r="DF121" i="3"/>
  <c r="DG121" i="3"/>
  <c r="DH121" i="3"/>
  <c r="DI121" i="3"/>
  <c r="DJ121" i="3"/>
  <c r="DK121" i="3"/>
  <c r="DL121" i="3"/>
  <c r="DM121" i="3"/>
  <c r="DN121" i="3"/>
  <c r="DO121" i="3"/>
  <c r="DP121" i="3"/>
  <c r="DQ121" i="3"/>
  <c r="DR121" i="3"/>
  <c r="DS121" i="3"/>
  <c r="DT121" i="3"/>
  <c r="DU121" i="3"/>
  <c r="DV121" i="3"/>
  <c r="DW121" i="3"/>
  <c r="DX121" i="3"/>
  <c r="DY121" i="3"/>
  <c r="DZ121" i="3"/>
  <c r="EA121" i="3"/>
  <c r="EB121" i="3"/>
  <c r="EC121" i="3"/>
  <c r="ED121" i="3"/>
  <c r="EE121" i="3"/>
  <c r="EF121" i="3"/>
  <c r="EG121" i="3"/>
  <c r="EI121" i="3"/>
  <c r="EJ121" i="3"/>
  <c r="EK121" i="3"/>
  <c r="EL121" i="3"/>
  <c r="EM121" i="3"/>
  <c r="EN121" i="3"/>
  <c r="EO121" i="3"/>
  <c r="EP121" i="3"/>
  <c r="EQ121" i="3"/>
  <c r="ER121" i="3"/>
  <c r="ES121" i="3"/>
  <c r="ET121" i="3"/>
  <c r="EU121" i="3"/>
  <c r="EV121" i="3"/>
  <c r="EW121" i="3"/>
  <c r="EX121" i="3"/>
  <c r="EY121" i="3"/>
  <c r="EZ121" i="3"/>
  <c r="FA121" i="3"/>
  <c r="FB121" i="3"/>
  <c r="FC121" i="3"/>
  <c r="FD121" i="3"/>
  <c r="FE121" i="3"/>
  <c r="FF121" i="3"/>
  <c r="FG121" i="3"/>
  <c r="FH121" i="3"/>
  <c r="FI121" i="3"/>
  <c r="FJ121" i="3"/>
  <c r="FK121" i="3"/>
  <c r="FL121" i="3"/>
  <c r="FM121" i="3"/>
  <c r="FN121" i="3"/>
  <c r="FO121" i="3"/>
  <c r="FP121" i="3"/>
  <c r="FQ121" i="3"/>
  <c r="FR121" i="3"/>
  <c r="FS121" i="3"/>
  <c r="FT121" i="3"/>
  <c r="FU121" i="3"/>
  <c r="FV121" i="3"/>
  <c r="FW121" i="3"/>
  <c r="FX121" i="3"/>
  <c r="FY121" i="3"/>
  <c r="FZ121" i="3"/>
  <c r="GA121" i="3"/>
  <c r="GB121" i="3"/>
  <c r="GC121" i="3"/>
  <c r="GD121" i="3"/>
  <c r="GE121" i="3"/>
  <c r="GF121" i="3"/>
  <c r="GG121" i="3"/>
  <c r="GH121" i="3"/>
  <c r="GI121" i="3"/>
  <c r="GJ121" i="3"/>
  <c r="GK121" i="3"/>
  <c r="GL121" i="3"/>
  <c r="GM121" i="3"/>
  <c r="GN121" i="3"/>
  <c r="GO121" i="3"/>
  <c r="GP121" i="3"/>
  <c r="GQ121" i="3"/>
  <c r="GR121" i="3"/>
  <c r="GS121" i="3"/>
  <c r="GT121" i="3"/>
  <c r="GU121" i="3"/>
  <c r="GV121" i="3"/>
  <c r="GW121" i="3"/>
  <c r="GX121" i="3"/>
  <c r="GY121" i="3"/>
  <c r="GZ121" i="3"/>
  <c r="HA121" i="3"/>
  <c r="HB121" i="3"/>
  <c r="HC121" i="3"/>
  <c r="HD121" i="3"/>
  <c r="HE121" i="3"/>
  <c r="HF121" i="3"/>
  <c r="HG121" i="3"/>
  <c r="HH121" i="3"/>
  <c r="HI121" i="3"/>
  <c r="HJ121" i="3"/>
  <c r="HK121" i="3"/>
  <c r="HL121" i="3"/>
  <c r="HM121" i="3"/>
  <c r="HN121" i="3"/>
  <c r="HO121" i="3"/>
  <c r="HP121" i="3"/>
  <c r="HQ121" i="3"/>
  <c r="HR121" i="3"/>
  <c r="HS121" i="3"/>
  <c r="HT121" i="3"/>
  <c r="HU121" i="3"/>
  <c r="HV121" i="3"/>
  <c r="HW121" i="3"/>
  <c r="HX121" i="3"/>
  <c r="HY121" i="3"/>
  <c r="HZ121" i="3"/>
  <c r="IA121" i="3"/>
  <c r="IB121" i="3"/>
  <c r="IC121" i="3"/>
  <c r="ID121" i="3"/>
  <c r="IE121" i="3"/>
  <c r="IF121" i="3"/>
  <c r="IG121" i="3"/>
  <c r="IH121" i="3"/>
  <c r="II121" i="3"/>
  <c r="IJ121" i="3"/>
  <c r="IK121" i="3"/>
  <c r="IL121" i="3"/>
  <c r="IM121" i="3"/>
  <c r="IN121" i="3"/>
  <c r="IO121" i="3"/>
  <c r="IP121" i="3"/>
  <c r="IQ121" i="3"/>
  <c r="IR121" i="3"/>
  <c r="IS121" i="3"/>
  <c r="IT121" i="3"/>
  <c r="IU121" i="3"/>
  <c r="IV121" i="3"/>
  <c r="IW121" i="3"/>
  <c r="IX121" i="3"/>
  <c r="IY121" i="3"/>
  <c r="IZ121" i="3"/>
  <c r="JA121" i="3"/>
  <c r="JB121" i="3"/>
  <c r="JC121" i="3"/>
  <c r="JD121" i="3"/>
  <c r="JE121" i="3"/>
  <c r="JF121" i="3"/>
  <c r="JG121" i="3"/>
  <c r="JH121" i="3"/>
  <c r="JI121" i="3"/>
  <c r="JJ121" i="3"/>
  <c r="JK121" i="3"/>
  <c r="JL121" i="3"/>
  <c r="JM121" i="3"/>
  <c r="A122" i="3"/>
  <c r="B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K122" i="3"/>
  <c r="AL122" i="3"/>
  <c r="AM122" i="3"/>
  <c r="AN122" i="3"/>
  <c r="AO122" i="3"/>
  <c r="AP122" i="3"/>
  <c r="AQ122" i="3"/>
  <c r="AR122" i="3"/>
  <c r="AS122" i="3"/>
  <c r="AT122" i="3"/>
  <c r="AU122" i="3"/>
  <c r="AV122" i="3"/>
  <c r="AW122" i="3"/>
  <c r="AX122" i="3"/>
  <c r="AY122" i="3"/>
  <c r="AZ122" i="3"/>
  <c r="BA122" i="3"/>
  <c r="BB122" i="3"/>
  <c r="BC122" i="3"/>
  <c r="BD122" i="3"/>
  <c r="BE122" i="3"/>
  <c r="BF122" i="3"/>
  <c r="BG122" i="3"/>
  <c r="BH122" i="3"/>
  <c r="BI122" i="3"/>
  <c r="BJ122" i="3"/>
  <c r="BK122" i="3"/>
  <c r="BL122" i="3"/>
  <c r="BM122" i="3"/>
  <c r="BN122" i="3"/>
  <c r="BO122" i="3"/>
  <c r="BP122" i="3"/>
  <c r="BQ122" i="3"/>
  <c r="BR122" i="3"/>
  <c r="BS122" i="3"/>
  <c r="BT122" i="3"/>
  <c r="BU122" i="3"/>
  <c r="BV122" i="3"/>
  <c r="BW122" i="3"/>
  <c r="BX122" i="3"/>
  <c r="BY122" i="3"/>
  <c r="BZ122" i="3"/>
  <c r="CA122" i="3"/>
  <c r="CB122" i="3"/>
  <c r="CC122" i="3"/>
  <c r="CD122" i="3"/>
  <c r="CE122" i="3"/>
  <c r="CF122" i="3"/>
  <c r="CG122" i="3"/>
  <c r="CH122" i="3"/>
  <c r="CI122" i="3"/>
  <c r="CJ122" i="3"/>
  <c r="CK122" i="3"/>
  <c r="CL122" i="3"/>
  <c r="CM122" i="3"/>
  <c r="CN122" i="3"/>
  <c r="CO122" i="3"/>
  <c r="CP122" i="3"/>
  <c r="CQ122" i="3"/>
  <c r="CR122" i="3"/>
  <c r="CS122" i="3"/>
  <c r="CT122" i="3"/>
  <c r="CU122" i="3"/>
  <c r="CV122" i="3"/>
  <c r="CW122" i="3"/>
  <c r="CX122" i="3"/>
  <c r="CY122" i="3"/>
  <c r="CZ122" i="3"/>
  <c r="DA122" i="3"/>
  <c r="DB122" i="3"/>
  <c r="DC122" i="3"/>
  <c r="DD122" i="3"/>
  <c r="DE122" i="3"/>
  <c r="DF122" i="3"/>
  <c r="DG122" i="3"/>
  <c r="DH122" i="3"/>
  <c r="DI122" i="3"/>
  <c r="DJ122" i="3"/>
  <c r="DK122" i="3"/>
  <c r="DL122" i="3"/>
  <c r="DM122" i="3"/>
  <c r="DN122" i="3"/>
  <c r="DO122" i="3"/>
  <c r="DP122" i="3"/>
  <c r="DQ122" i="3"/>
  <c r="DR122" i="3"/>
  <c r="DS122" i="3"/>
  <c r="DT122" i="3"/>
  <c r="DU122" i="3"/>
  <c r="DV122" i="3"/>
  <c r="DW122" i="3"/>
  <c r="DX122" i="3"/>
  <c r="DY122" i="3"/>
  <c r="DZ122" i="3"/>
  <c r="EA122" i="3"/>
  <c r="EB122" i="3"/>
  <c r="EC122" i="3"/>
  <c r="ED122" i="3"/>
  <c r="EE122" i="3"/>
  <c r="EF122" i="3"/>
  <c r="EG122" i="3"/>
  <c r="EI122" i="3"/>
  <c r="EJ122" i="3"/>
  <c r="EK122" i="3"/>
  <c r="EL122" i="3"/>
  <c r="EM122" i="3"/>
  <c r="EN122" i="3"/>
  <c r="EO122" i="3"/>
  <c r="EP122" i="3"/>
  <c r="EQ122" i="3"/>
  <c r="ER122" i="3"/>
  <c r="ES122" i="3"/>
  <c r="ET122" i="3"/>
  <c r="EU122" i="3"/>
  <c r="EV122" i="3"/>
  <c r="EW122" i="3"/>
  <c r="EX122" i="3"/>
  <c r="EY122" i="3"/>
  <c r="EZ122" i="3"/>
  <c r="FA122" i="3"/>
  <c r="FB122" i="3"/>
  <c r="FC122" i="3"/>
  <c r="FD122" i="3"/>
  <c r="FE122" i="3"/>
  <c r="FF122" i="3"/>
  <c r="FG122" i="3"/>
  <c r="FH122" i="3"/>
  <c r="FI122" i="3"/>
  <c r="FJ122" i="3"/>
  <c r="FK122" i="3"/>
  <c r="FL122" i="3"/>
  <c r="FM122" i="3"/>
  <c r="FN122" i="3"/>
  <c r="FO122" i="3"/>
  <c r="FP122" i="3"/>
  <c r="FQ122" i="3"/>
  <c r="FR122" i="3"/>
  <c r="FS122" i="3"/>
  <c r="FT122" i="3"/>
  <c r="FU122" i="3"/>
  <c r="FV122" i="3"/>
  <c r="FW122" i="3"/>
  <c r="FX122" i="3"/>
  <c r="FY122" i="3"/>
  <c r="FZ122" i="3"/>
  <c r="GA122" i="3"/>
  <c r="GB122" i="3"/>
  <c r="GC122" i="3"/>
  <c r="GD122" i="3"/>
  <c r="GE122" i="3"/>
  <c r="GF122" i="3"/>
  <c r="GG122" i="3"/>
  <c r="GH122" i="3"/>
  <c r="GI122" i="3"/>
  <c r="GJ122" i="3"/>
  <c r="GK122" i="3"/>
  <c r="GL122" i="3"/>
  <c r="GM122" i="3"/>
  <c r="GN122" i="3"/>
  <c r="GO122" i="3"/>
  <c r="GP122" i="3"/>
  <c r="GQ122" i="3"/>
  <c r="GR122" i="3"/>
  <c r="GS122" i="3"/>
  <c r="GT122" i="3"/>
  <c r="GU122" i="3"/>
  <c r="GV122" i="3"/>
  <c r="GW122" i="3"/>
  <c r="GX122" i="3"/>
  <c r="GY122" i="3"/>
  <c r="GZ122" i="3"/>
  <c r="HA122" i="3"/>
  <c r="HB122" i="3"/>
  <c r="HC122" i="3"/>
  <c r="HD122" i="3"/>
  <c r="HE122" i="3"/>
  <c r="HF122" i="3"/>
  <c r="HG122" i="3"/>
  <c r="HH122" i="3"/>
  <c r="HI122" i="3"/>
  <c r="HJ122" i="3"/>
  <c r="HK122" i="3"/>
  <c r="HL122" i="3"/>
  <c r="HM122" i="3"/>
  <c r="HN122" i="3"/>
  <c r="HO122" i="3"/>
  <c r="HP122" i="3"/>
  <c r="HQ122" i="3"/>
  <c r="HR122" i="3"/>
  <c r="HS122" i="3"/>
  <c r="HT122" i="3"/>
  <c r="HU122" i="3"/>
  <c r="HV122" i="3"/>
  <c r="HW122" i="3"/>
  <c r="HX122" i="3"/>
  <c r="HY122" i="3"/>
  <c r="HZ122" i="3"/>
  <c r="IA122" i="3"/>
  <c r="IB122" i="3"/>
  <c r="IC122" i="3"/>
  <c r="ID122" i="3"/>
  <c r="IE122" i="3"/>
  <c r="IF122" i="3"/>
  <c r="IG122" i="3"/>
  <c r="IH122" i="3"/>
  <c r="II122" i="3"/>
  <c r="IJ122" i="3"/>
  <c r="IK122" i="3"/>
  <c r="IL122" i="3"/>
  <c r="IM122" i="3"/>
  <c r="IN122" i="3"/>
  <c r="IO122" i="3"/>
  <c r="IP122" i="3"/>
  <c r="IQ122" i="3"/>
  <c r="IR122" i="3"/>
  <c r="IS122" i="3"/>
  <c r="IT122" i="3"/>
  <c r="IU122" i="3"/>
  <c r="IV122" i="3"/>
  <c r="IW122" i="3"/>
  <c r="IX122" i="3"/>
  <c r="IY122" i="3"/>
  <c r="IZ122" i="3"/>
  <c r="JA122" i="3"/>
  <c r="JB122" i="3"/>
  <c r="JC122" i="3"/>
  <c r="JD122" i="3"/>
  <c r="JE122" i="3"/>
  <c r="JF122" i="3"/>
  <c r="JG122" i="3"/>
  <c r="JH122" i="3"/>
  <c r="JI122" i="3"/>
  <c r="JJ122" i="3"/>
  <c r="JK122" i="3"/>
  <c r="JL122" i="3"/>
  <c r="JM122" i="3"/>
  <c r="A123" i="3"/>
  <c r="B123" i="3"/>
  <c r="O123" i="3"/>
  <c r="P123" i="3"/>
  <c r="Q123" i="3"/>
  <c r="R123" i="3"/>
  <c r="S123" i="3"/>
  <c r="T123" i="3"/>
  <c r="U123" i="3"/>
  <c r="V123" i="3"/>
  <c r="W123" i="3"/>
  <c r="X123" i="3"/>
  <c r="Y123" i="3"/>
  <c r="Z123" i="3"/>
  <c r="AA123" i="3"/>
  <c r="AB123" i="3"/>
  <c r="AC123" i="3"/>
  <c r="AD123" i="3"/>
  <c r="AE123" i="3"/>
  <c r="AF123" i="3"/>
  <c r="AG123" i="3"/>
  <c r="AH123" i="3"/>
  <c r="AI123" i="3"/>
  <c r="AJ123" i="3"/>
  <c r="AK123" i="3"/>
  <c r="AL123" i="3"/>
  <c r="AM123" i="3"/>
  <c r="AN123" i="3"/>
  <c r="AO123" i="3"/>
  <c r="AP123" i="3"/>
  <c r="AQ123" i="3"/>
  <c r="AR123" i="3"/>
  <c r="AS123" i="3"/>
  <c r="AT123" i="3"/>
  <c r="AU123" i="3"/>
  <c r="AV123" i="3"/>
  <c r="AW123" i="3"/>
  <c r="AX123" i="3"/>
  <c r="AY123" i="3"/>
  <c r="AZ123" i="3"/>
  <c r="BA123" i="3"/>
  <c r="BB123" i="3"/>
  <c r="BC123" i="3"/>
  <c r="BD123" i="3"/>
  <c r="BE123" i="3"/>
  <c r="BF123" i="3"/>
  <c r="BG123" i="3"/>
  <c r="BH123" i="3"/>
  <c r="BI123" i="3"/>
  <c r="BJ123" i="3"/>
  <c r="BK123" i="3"/>
  <c r="BL123" i="3"/>
  <c r="BM123" i="3"/>
  <c r="BN123" i="3"/>
  <c r="BO123" i="3"/>
  <c r="BP123" i="3"/>
  <c r="BQ123" i="3"/>
  <c r="BR123" i="3"/>
  <c r="BS123" i="3"/>
  <c r="BT123" i="3"/>
  <c r="BU123" i="3"/>
  <c r="BV123" i="3"/>
  <c r="BW123" i="3"/>
  <c r="BX123" i="3"/>
  <c r="BY123" i="3"/>
  <c r="BZ123" i="3"/>
  <c r="CA123" i="3"/>
  <c r="CB123" i="3"/>
  <c r="CC123" i="3"/>
  <c r="CD123" i="3"/>
  <c r="CE123" i="3"/>
  <c r="CF123" i="3"/>
  <c r="CG123" i="3"/>
  <c r="CH123" i="3"/>
  <c r="CI123" i="3"/>
  <c r="CJ123" i="3"/>
  <c r="CK123" i="3"/>
  <c r="CL123" i="3"/>
  <c r="CM123" i="3"/>
  <c r="CN123" i="3"/>
  <c r="CO123" i="3"/>
  <c r="CP123" i="3"/>
  <c r="CQ123" i="3"/>
  <c r="CR123" i="3"/>
  <c r="CS123" i="3"/>
  <c r="CT123" i="3"/>
  <c r="CU123" i="3"/>
  <c r="CV123" i="3"/>
  <c r="CW123" i="3"/>
  <c r="CX123" i="3"/>
  <c r="CY123" i="3"/>
  <c r="CZ123" i="3"/>
  <c r="DA123" i="3"/>
  <c r="DB123" i="3"/>
  <c r="DC123" i="3"/>
  <c r="DD123" i="3"/>
  <c r="DE123" i="3"/>
  <c r="DF123" i="3"/>
  <c r="DG123" i="3"/>
  <c r="DH123" i="3"/>
  <c r="DI123" i="3"/>
  <c r="DJ123" i="3"/>
  <c r="DK123" i="3"/>
  <c r="DL123" i="3"/>
  <c r="DM123" i="3"/>
  <c r="DN123" i="3"/>
  <c r="DO123" i="3"/>
  <c r="DP123" i="3"/>
  <c r="DQ123" i="3"/>
  <c r="DR123" i="3"/>
  <c r="DS123" i="3"/>
  <c r="DT123" i="3"/>
  <c r="DU123" i="3"/>
  <c r="DV123" i="3"/>
  <c r="DW123" i="3"/>
  <c r="DX123" i="3"/>
  <c r="DY123" i="3"/>
  <c r="DZ123" i="3"/>
  <c r="EA123" i="3"/>
  <c r="EB123" i="3"/>
  <c r="EC123" i="3"/>
  <c r="ED123" i="3"/>
  <c r="EE123" i="3"/>
  <c r="EF123" i="3"/>
  <c r="EG123" i="3"/>
  <c r="EI123" i="3"/>
  <c r="EJ123" i="3"/>
  <c r="EK123" i="3"/>
  <c r="EL123" i="3"/>
  <c r="EM123" i="3"/>
  <c r="EN123" i="3"/>
  <c r="EO123" i="3"/>
  <c r="EP123" i="3"/>
  <c r="EQ123" i="3"/>
  <c r="ER123" i="3"/>
  <c r="ES123" i="3"/>
  <c r="ET123" i="3"/>
  <c r="EU123" i="3"/>
  <c r="EV123" i="3"/>
  <c r="EW123" i="3"/>
  <c r="EX123" i="3"/>
  <c r="EY123" i="3"/>
  <c r="EZ123" i="3"/>
  <c r="FA123" i="3"/>
  <c r="FB123" i="3"/>
  <c r="FC123" i="3"/>
  <c r="FD123" i="3"/>
  <c r="FE123" i="3"/>
  <c r="FF123" i="3"/>
  <c r="FG123" i="3"/>
  <c r="FH123" i="3"/>
  <c r="FI123" i="3"/>
  <c r="FJ123" i="3"/>
  <c r="FK123" i="3"/>
  <c r="FL123" i="3"/>
  <c r="FM123" i="3"/>
  <c r="FN123" i="3"/>
  <c r="FO123" i="3"/>
  <c r="FP123" i="3"/>
  <c r="FQ123" i="3"/>
  <c r="FR123" i="3"/>
  <c r="FS123" i="3"/>
  <c r="FT123" i="3"/>
  <c r="FU123" i="3"/>
  <c r="FV123" i="3"/>
  <c r="FW123" i="3"/>
  <c r="FX123" i="3"/>
  <c r="FY123" i="3"/>
  <c r="FZ123" i="3"/>
  <c r="GA123" i="3"/>
  <c r="GB123" i="3"/>
  <c r="GC123" i="3"/>
  <c r="GD123" i="3"/>
  <c r="GE123" i="3"/>
  <c r="GF123" i="3"/>
  <c r="GG123" i="3"/>
  <c r="GH123" i="3"/>
  <c r="GI123" i="3"/>
  <c r="GJ123" i="3"/>
  <c r="GK123" i="3"/>
  <c r="GL123" i="3"/>
  <c r="GM123" i="3"/>
  <c r="GN123" i="3"/>
  <c r="GO123" i="3"/>
  <c r="GP123" i="3"/>
  <c r="GQ123" i="3"/>
  <c r="GR123" i="3"/>
  <c r="GS123" i="3"/>
  <c r="GT123" i="3"/>
  <c r="GU123" i="3"/>
  <c r="GV123" i="3"/>
  <c r="GW123" i="3"/>
  <c r="GX123" i="3"/>
  <c r="GY123" i="3"/>
  <c r="GZ123" i="3"/>
  <c r="HA123" i="3"/>
  <c r="HB123" i="3"/>
  <c r="HC123" i="3"/>
  <c r="HD123" i="3"/>
  <c r="HE123" i="3"/>
  <c r="HF123" i="3"/>
  <c r="HG123" i="3"/>
  <c r="HH123" i="3"/>
  <c r="HI123" i="3"/>
  <c r="HJ123" i="3"/>
  <c r="HK123" i="3"/>
  <c r="HL123" i="3"/>
  <c r="HM123" i="3"/>
  <c r="HN123" i="3"/>
  <c r="HO123" i="3"/>
  <c r="HP123" i="3"/>
  <c r="HQ123" i="3"/>
  <c r="HR123" i="3"/>
  <c r="HS123" i="3"/>
  <c r="HT123" i="3"/>
  <c r="HU123" i="3"/>
  <c r="HV123" i="3"/>
  <c r="HW123" i="3"/>
  <c r="HX123" i="3"/>
  <c r="HY123" i="3"/>
  <c r="HZ123" i="3"/>
  <c r="IA123" i="3"/>
  <c r="IB123" i="3"/>
  <c r="IC123" i="3"/>
  <c r="ID123" i="3"/>
  <c r="IE123" i="3"/>
  <c r="IF123" i="3"/>
  <c r="IG123" i="3"/>
  <c r="IH123" i="3"/>
  <c r="II123" i="3"/>
  <c r="IJ123" i="3"/>
  <c r="IK123" i="3"/>
  <c r="IL123" i="3"/>
  <c r="IM123" i="3"/>
  <c r="IN123" i="3"/>
  <c r="IO123" i="3"/>
  <c r="IP123" i="3"/>
  <c r="IQ123" i="3"/>
  <c r="IR123" i="3"/>
  <c r="IS123" i="3"/>
  <c r="IT123" i="3"/>
  <c r="IU123" i="3"/>
  <c r="IV123" i="3"/>
  <c r="IW123" i="3"/>
  <c r="IX123" i="3"/>
  <c r="IY123" i="3"/>
  <c r="IZ123" i="3"/>
  <c r="JA123" i="3"/>
  <c r="JB123" i="3"/>
  <c r="JC123" i="3"/>
  <c r="JD123" i="3"/>
  <c r="JE123" i="3"/>
  <c r="JF123" i="3"/>
  <c r="JG123" i="3"/>
  <c r="JH123" i="3"/>
  <c r="JI123" i="3"/>
  <c r="JJ123" i="3"/>
  <c r="JK123" i="3"/>
  <c r="JL123" i="3"/>
  <c r="JM123" i="3"/>
  <c r="A124" i="3"/>
  <c r="B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K124" i="3"/>
  <c r="AL124" i="3"/>
  <c r="AM124" i="3"/>
  <c r="AN124" i="3"/>
  <c r="AO124" i="3"/>
  <c r="AP124" i="3"/>
  <c r="AQ124" i="3"/>
  <c r="AR124" i="3"/>
  <c r="AS124" i="3"/>
  <c r="AT124" i="3"/>
  <c r="AU124" i="3"/>
  <c r="AV124" i="3"/>
  <c r="AW124" i="3"/>
  <c r="AX124" i="3"/>
  <c r="AY124" i="3"/>
  <c r="AZ124" i="3"/>
  <c r="BA124" i="3"/>
  <c r="BB124" i="3"/>
  <c r="BC124" i="3"/>
  <c r="BD124" i="3"/>
  <c r="BE124" i="3"/>
  <c r="BF124" i="3"/>
  <c r="BG124" i="3"/>
  <c r="BH124" i="3"/>
  <c r="BI124" i="3"/>
  <c r="BJ124" i="3"/>
  <c r="BK124" i="3"/>
  <c r="BL124" i="3"/>
  <c r="BM124" i="3"/>
  <c r="BN124" i="3"/>
  <c r="BO124" i="3"/>
  <c r="BP124" i="3"/>
  <c r="BQ124" i="3"/>
  <c r="BR124" i="3"/>
  <c r="BS124" i="3"/>
  <c r="BT124" i="3"/>
  <c r="BU124" i="3"/>
  <c r="BV124" i="3"/>
  <c r="BW124" i="3"/>
  <c r="BX124" i="3"/>
  <c r="BY124" i="3"/>
  <c r="BZ124" i="3"/>
  <c r="CA124" i="3"/>
  <c r="CB124" i="3"/>
  <c r="CC124" i="3"/>
  <c r="CD124" i="3"/>
  <c r="CE124" i="3"/>
  <c r="CF124" i="3"/>
  <c r="CG124" i="3"/>
  <c r="CH124" i="3"/>
  <c r="CI124" i="3"/>
  <c r="CJ124" i="3"/>
  <c r="CK124" i="3"/>
  <c r="CL124" i="3"/>
  <c r="CM124" i="3"/>
  <c r="CN124" i="3"/>
  <c r="CO124" i="3"/>
  <c r="CP124" i="3"/>
  <c r="CQ124" i="3"/>
  <c r="CR124" i="3"/>
  <c r="CS124" i="3"/>
  <c r="CT124" i="3"/>
  <c r="CU124" i="3"/>
  <c r="CV124" i="3"/>
  <c r="CW124" i="3"/>
  <c r="CX124" i="3"/>
  <c r="CY124" i="3"/>
  <c r="CZ124" i="3"/>
  <c r="DA124" i="3"/>
  <c r="DB124" i="3"/>
  <c r="DC124" i="3"/>
  <c r="DD124" i="3"/>
  <c r="DE124" i="3"/>
  <c r="DF124" i="3"/>
  <c r="DG124" i="3"/>
  <c r="DH124" i="3"/>
  <c r="DI124" i="3"/>
  <c r="DJ124" i="3"/>
  <c r="DK124" i="3"/>
  <c r="DL124" i="3"/>
  <c r="DM124" i="3"/>
  <c r="DN124" i="3"/>
  <c r="DO124" i="3"/>
  <c r="DP124" i="3"/>
  <c r="DQ124" i="3"/>
  <c r="DR124" i="3"/>
  <c r="DS124" i="3"/>
  <c r="DT124" i="3"/>
  <c r="DU124" i="3"/>
  <c r="DV124" i="3"/>
  <c r="DW124" i="3"/>
  <c r="DX124" i="3"/>
  <c r="DY124" i="3"/>
  <c r="DZ124" i="3"/>
  <c r="EA124" i="3"/>
  <c r="EB124" i="3"/>
  <c r="EC124" i="3"/>
  <c r="ED124" i="3"/>
  <c r="EE124" i="3"/>
  <c r="EF124" i="3"/>
  <c r="EG124" i="3"/>
  <c r="EI124" i="3"/>
  <c r="EJ124" i="3"/>
  <c r="EK124" i="3"/>
  <c r="EL124" i="3"/>
  <c r="EM124" i="3"/>
  <c r="EN124" i="3"/>
  <c r="EO124" i="3"/>
  <c r="EP124" i="3"/>
  <c r="EQ124" i="3"/>
  <c r="ER124" i="3"/>
  <c r="ES124" i="3"/>
  <c r="ET124" i="3"/>
  <c r="EU124" i="3"/>
  <c r="EV124" i="3"/>
  <c r="EW124" i="3"/>
  <c r="EX124" i="3"/>
  <c r="EY124" i="3"/>
  <c r="EZ124" i="3"/>
  <c r="FA124" i="3"/>
  <c r="FB124" i="3"/>
  <c r="FC124" i="3"/>
  <c r="FD124" i="3"/>
  <c r="FE124" i="3"/>
  <c r="FF124" i="3"/>
  <c r="FG124" i="3"/>
  <c r="FH124" i="3"/>
  <c r="FI124" i="3"/>
  <c r="FJ124" i="3"/>
  <c r="FK124" i="3"/>
  <c r="FL124" i="3"/>
  <c r="FM124" i="3"/>
  <c r="FN124" i="3"/>
  <c r="FO124" i="3"/>
  <c r="FP124" i="3"/>
  <c r="FQ124" i="3"/>
  <c r="FR124" i="3"/>
  <c r="FS124" i="3"/>
  <c r="FT124" i="3"/>
  <c r="FU124" i="3"/>
  <c r="FV124" i="3"/>
  <c r="FW124" i="3"/>
  <c r="FX124" i="3"/>
  <c r="FY124" i="3"/>
  <c r="FZ124" i="3"/>
  <c r="GA124" i="3"/>
  <c r="GB124" i="3"/>
  <c r="GC124" i="3"/>
  <c r="GD124" i="3"/>
  <c r="GE124" i="3"/>
  <c r="GF124" i="3"/>
  <c r="GG124" i="3"/>
  <c r="GH124" i="3"/>
  <c r="GI124" i="3"/>
  <c r="GJ124" i="3"/>
  <c r="GK124" i="3"/>
  <c r="GL124" i="3"/>
  <c r="GM124" i="3"/>
  <c r="GN124" i="3"/>
  <c r="GO124" i="3"/>
  <c r="GP124" i="3"/>
  <c r="GQ124" i="3"/>
  <c r="GR124" i="3"/>
  <c r="GS124" i="3"/>
  <c r="GT124" i="3"/>
  <c r="GU124" i="3"/>
  <c r="GV124" i="3"/>
  <c r="GW124" i="3"/>
  <c r="GX124" i="3"/>
  <c r="GY124" i="3"/>
  <c r="GZ124" i="3"/>
  <c r="HA124" i="3"/>
  <c r="HB124" i="3"/>
  <c r="HC124" i="3"/>
  <c r="HD124" i="3"/>
  <c r="HE124" i="3"/>
  <c r="HF124" i="3"/>
  <c r="HG124" i="3"/>
  <c r="HH124" i="3"/>
  <c r="HI124" i="3"/>
  <c r="HJ124" i="3"/>
  <c r="HK124" i="3"/>
  <c r="HL124" i="3"/>
  <c r="HM124" i="3"/>
  <c r="HN124" i="3"/>
  <c r="HO124" i="3"/>
  <c r="HP124" i="3"/>
  <c r="HQ124" i="3"/>
  <c r="HR124" i="3"/>
  <c r="HS124" i="3"/>
  <c r="HT124" i="3"/>
  <c r="HU124" i="3"/>
  <c r="HV124" i="3"/>
  <c r="HW124" i="3"/>
  <c r="HX124" i="3"/>
  <c r="HY124" i="3"/>
  <c r="HZ124" i="3"/>
  <c r="IA124" i="3"/>
  <c r="IB124" i="3"/>
  <c r="IC124" i="3"/>
  <c r="ID124" i="3"/>
  <c r="IE124" i="3"/>
  <c r="IF124" i="3"/>
  <c r="IG124" i="3"/>
  <c r="IH124" i="3"/>
  <c r="II124" i="3"/>
  <c r="IJ124" i="3"/>
  <c r="IK124" i="3"/>
  <c r="IL124" i="3"/>
  <c r="IM124" i="3"/>
  <c r="IN124" i="3"/>
  <c r="IO124" i="3"/>
  <c r="IP124" i="3"/>
  <c r="IQ124" i="3"/>
  <c r="IR124" i="3"/>
  <c r="IS124" i="3"/>
  <c r="IT124" i="3"/>
  <c r="IU124" i="3"/>
  <c r="IV124" i="3"/>
  <c r="IW124" i="3"/>
  <c r="IX124" i="3"/>
  <c r="IY124" i="3"/>
  <c r="IZ124" i="3"/>
  <c r="JA124" i="3"/>
  <c r="JB124" i="3"/>
  <c r="JC124" i="3"/>
  <c r="JD124" i="3"/>
  <c r="JE124" i="3"/>
  <c r="JF124" i="3"/>
  <c r="JG124" i="3"/>
  <c r="JH124" i="3"/>
  <c r="JI124" i="3"/>
  <c r="JJ124" i="3"/>
  <c r="JK124" i="3"/>
  <c r="JL124" i="3"/>
  <c r="JM124" i="3"/>
  <c r="A125" i="3"/>
  <c r="B125" i="3"/>
  <c r="Z125" i="3"/>
  <c r="AA125" i="3"/>
  <c r="AB125" i="3"/>
  <c r="AC125" i="3"/>
  <c r="AD125" i="3"/>
  <c r="AE125" i="3"/>
  <c r="AF125" i="3"/>
  <c r="AG125" i="3"/>
  <c r="AH125" i="3"/>
  <c r="AI125" i="3"/>
  <c r="AJ125" i="3"/>
  <c r="AK125" i="3"/>
  <c r="AL125" i="3"/>
  <c r="AM125" i="3"/>
  <c r="AN125" i="3"/>
  <c r="AO125" i="3"/>
  <c r="AP125" i="3"/>
  <c r="AQ125" i="3"/>
  <c r="AR125" i="3"/>
  <c r="AS125" i="3"/>
  <c r="AT125" i="3"/>
  <c r="AU125" i="3"/>
  <c r="AV125" i="3"/>
  <c r="AW125" i="3"/>
  <c r="AX125" i="3"/>
  <c r="AY125" i="3"/>
  <c r="AZ125" i="3"/>
  <c r="BA125" i="3"/>
  <c r="BB125" i="3"/>
  <c r="BC125" i="3"/>
  <c r="BD125" i="3"/>
  <c r="BE125" i="3"/>
  <c r="BF125" i="3"/>
  <c r="BG125" i="3"/>
  <c r="BH125" i="3"/>
  <c r="BI125" i="3"/>
  <c r="BJ125" i="3"/>
  <c r="BK125" i="3"/>
  <c r="BL125" i="3"/>
  <c r="BM125" i="3"/>
  <c r="BN125" i="3"/>
  <c r="BO125" i="3"/>
  <c r="BP125" i="3"/>
  <c r="BQ125" i="3"/>
  <c r="BR125" i="3"/>
  <c r="BS125" i="3"/>
  <c r="BT125" i="3"/>
  <c r="BU125" i="3"/>
  <c r="BV125" i="3"/>
  <c r="BW125" i="3"/>
  <c r="BX125" i="3"/>
  <c r="BY125" i="3"/>
  <c r="BZ125" i="3"/>
  <c r="CA125" i="3"/>
  <c r="CB125" i="3"/>
  <c r="CC125" i="3"/>
  <c r="CD125" i="3"/>
  <c r="CE125" i="3"/>
  <c r="CF125" i="3"/>
  <c r="CG125" i="3"/>
  <c r="CH125" i="3"/>
  <c r="CI125" i="3"/>
  <c r="CJ125" i="3"/>
  <c r="CK125" i="3"/>
  <c r="CL125" i="3"/>
  <c r="CM125" i="3"/>
  <c r="CN125" i="3"/>
  <c r="CO125" i="3"/>
  <c r="CP125" i="3"/>
  <c r="CQ125" i="3"/>
  <c r="CR125" i="3"/>
  <c r="CS125" i="3"/>
  <c r="CT125" i="3"/>
  <c r="CU125" i="3"/>
  <c r="CV125" i="3"/>
  <c r="CW125" i="3"/>
  <c r="CX125" i="3"/>
  <c r="CY125" i="3"/>
  <c r="CZ125" i="3"/>
  <c r="DA125" i="3"/>
  <c r="DB125" i="3"/>
  <c r="DC125" i="3"/>
  <c r="DD125" i="3"/>
  <c r="DE125" i="3"/>
  <c r="DF125" i="3"/>
  <c r="DG125" i="3"/>
  <c r="DH125" i="3"/>
  <c r="DI125" i="3"/>
  <c r="DJ125" i="3"/>
  <c r="DK125" i="3"/>
  <c r="DL125" i="3"/>
  <c r="DM125" i="3"/>
  <c r="DN125" i="3"/>
  <c r="DO125" i="3"/>
  <c r="DP125" i="3"/>
  <c r="DQ125" i="3"/>
  <c r="DR125" i="3"/>
  <c r="DS125" i="3"/>
  <c r="DT125" i="3"/>
  <c r="DU125" i="3"/>
  <c r="DV125" i="3"/>
  <c r="DW125" i="3"/>
  <c r="DX125" i="3"/>
  <c r="DY125" i="3"/>
  <c r="DZ125" i="3"/>
  <c r="EA125" i="3"/>
  <c r="EB125" i="3"/>
  <c r="EC125" i="3"/>
  <c r="ED125" i="3"/>
  <c r="EE125" i="3"/>
  <c r="EF125" i="3"/>
  <c r="EG125" i="3"/>
  <c r="EI125" i="3"/>
  <c r="EJ125" i="3"/>
  <c r="EK125" i="3"/>
  <c r="EL125" i="3"/>
  <c r="EM125" i="3"/>
  <c r="EN125" i="3"/>
  <c r="EO125" i="3"/>
  <c r="EP125" i="3"/>
  <c r="EQ125" i="3"/>
  <c r="ER125" i="3"/>
  <c r="ES125" i="3"/>
  <c r="ET125" i="3"/>
  <c r="EU125" i="3"/>
  <c r="EV125" i="3"/>
  <c r="EW125" i="3"/>
  <c r="EX125" i="3"/>
  <c r="EY125" i="3"/>
  <c r="EZ125" i="3"/>
  <c r="FA125" i="3"/>
  <c r="FB125" i="3"/>
  <c r="FC125" i="3"/>
  <c r="FD125" i="3"/>
  <c r="FE125" i="3"/>
  <c r="FF125" i="3"/>
  <c r="FG125" i="3"/>
  <c r="FH125" i="3"/>
  <c r="FI125" i="3"/>
  <c r="FJ125" i="3"/>
  <c r="FK125" i="3"/>
  <c r="FL125" i="3"/>
  <c r="FM125" i="3"/>
  <c r="FN125" i="3"/>
  <c r="FO125" i="3"/>
  <c r="FP125" i="3"/>
  <c r="FQ125" i="3"/>
  <c r="FR125" i="3"/>
  <c r="FS125" i="3"/>
  <c r="FT125" i="3"/>
  <c r="FU125" i="3"/>
  <c r="FV125" i="3"/>
  <c r="FW125" i="3"/>
  <c r="FX125" i="3"/>
  <c r="FY125" i="3"/>
  <c r="FZ125" i="3"/>
  <c r="GA125" i="3"/>
  <c r="GB125" i="3"/>
  <c r="GC125" i="3"/>
  <c r="GD125" i="3"/>
  <c r="GE125" i="3"/>
  <c r="GF125" i="3"/>
  <c r="GG125" i="3"/>
  <c r="GH125" i="3"/>
  <c r="GI125" i="3"/>
  <c r="GJ125" i="3"/>
  <c r="GK125" i="3"/>
  <c r="GL125" i="3"/>
  <c r="GM125" i="3"/>
  <c r="GN125" i="3"/>
  <c r="GO125" i="3"/>
  <c r="GP125" i="3"/>
  <c r="GQ125" i="3"/>
  <c r="GR125" i="3"/>
  <c r="GS125" i="3"/>
  <c r="GT125" i="3"/>
  <c r="GU125" i="3"/>
  <c r="GV125" i="3"/>
  <c r="GW125" i="3"/>
  <c r="GX125" i="3"/>
  <c r="GY125" i="3"/>
  <c r="GZ125" i="3"/>
  <c r="HA125" i="3"/>
  <c r="HB125" i="3"/>
  <c r="HC125" i="3"/>
  <c r="HD125" i="3"/>
  <c r="HE125" i="3"/>
  <c r="HF125" i="3"/>
  <c r="HG125" i="3"/>
  <c r="HH125" i="3"/>
  <c r="HI125" i="3"/>
  <c r="HJ125" i="3"/>
  <c r="HK125" i="3"/>
  <c r="HL125" i="3"/>
  <c r="HM125" i="3"/>
  <c r="HN125" i="3"/>
  <c r="HO125" i="3"/>
  <c r="HP125" i="3"/>
  <c r="HQ125" i="3"/>
  <c r="HR125" i="3"/>
  <c r="HS125" i="3"/>
  <c r="HT125" i="3"/>
  <c r="HU125" i="3"/>
  <c r="HV125" i="3"/>
  <c r="HW125" i="3"/>
  <c r="HX125" i="3"/>
  <c r="HY125" i="3"/>
  <c r="HZ125" i="3"/>
  <c r="IA125" i="3"/>
  <c r="IB125" i="3"/>
  <c r="IC125" i="3"/>
  <c r="ID125" i="3"/>
  <c r="IE125" i="3"/>
  <c r="IF125" i="3"/>
  <c r="IG125" i="3"/>
  <c r="IH125" i="3"/>
  <c r="II125" i="3"/>
  <c r="IJ125" i="3"/>
  <c r="IK125" i="3"/>
  <c r="IL125" i="3"/>
  <c r="IM125" i="3"/>
  <c r="IN125" i="3"/>
  <c r="IO125" i="3"/>
  <c r="IP125" i="3"/>
  <c r="IQ125" i="3"/>
  <c r="IR125" i="3"/>
  <c r="IS125" i="3"/>
  <c r="IT125" i="3"/>
  <c r="IU125" i="3"/>
  <c r="IV125" i="3"/>
  <c r="IW125" i="3"/>
  <c r="IX125" i="3"/>
  <c r="IY125" i="3"/>
  <c r="IZ125" i="3"/>
  <c r="JA125" i="3"/>
  <c r="JB125" i="3"/>
  <c r="JC125" i="3"/>
  <c r="JD125" i="3"/>
  <c r="JE125" i="3"/>
  <c r="JF125" i="3"/>
  <c r="JG125" i="3"/>
  <c r="JH125" i="3"/>
  <c r="JI125" i="3"/>
  <c r="JJ125" i="3"/>
  <c r="JK125" i="3"/>
  <c r="JL125" i="3"/>
  <c r="JM125" i="3"/>
  <c r="A116" i="3"/>
  <c r="B116" i="3"/>
  <c r="C116" i="3" s="1"/>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K116" i="3"/>
  <c r="AL116" i="3"/>
  <c r="AM116" i="3"/>
  <c r="AN116" i="3"/>
  <c r="AO116" i="3"/>
  <c r="AP116" i="3"/>
  <c r="AQ116" i="3"/>
  <c r="AR116" i="3"/>
  <c r="AS116" i="3"/>
  <c r="AT116" i="3"/>
  <c r="AU116" i="3"/>
  <c r="AV116" i="3"/>
  <c r="AW116" i="3"/>
  <c r="AX116" i="3"/>
  <c r="AY116" i="3"/>
  <c r="AZ116" i="3"/>
  <c r="BA116" i="3"/>
  <c r="BB116" i="3"/>
  <c r="BC116" i="3"/>
  <c r="BD116" i="3"/>
  <c r="BE116" i="3"/>
  <c r="BF116" i="3"/>
  <c r="BG116" i="3"/>
  <c r="BH116" i="3"/>
  <c r="BI116" i="3"/>
  <c r="BJ116" i="3"/>
  <c r="BK116" i="3"/>
  <c r="BL116" i="3"/>
  <c r="BM116" i="3"/>
  <c r="BN116" i="3"/>
  <c r="BO116" i="3"/>
  <c r="BP116" i="3"/>
  <c r="BQ116" i="3"/>
  <c r="BR116" i="3"/>
  <c r="BS116" i="3"/>
  <c r="BT116" i="3"/>
  <c r="BU116" i="3"/>
  <c r="BV116" i="3"/>
  <c r="BW116" i="3"/>
  <c r="BX116" i="3"/>
  <c r="BY116" i="3"/>
  <c r="BZ116" i="3"/>
  <c r="CA116" i="3"/>
  <c r="CB116" i="3"/>
  <c r="CC116" i="3"/>
  <c r="CD116" i="3"/>
  <c r="CE116" i="3"/>
  <c r="CF116" i="3"/>
  <c r="CG116" i="3"/>
  <c r="CH116" i="3"/>
  <c r="CI116" i="3"/>
  <c r="CJ116" i="3"/>
  <c r="CK116" i="3"/>
  <c r="CL116" i="3"/>
  <c r="CM116" i="3"/>
  <c r="CN116" i="3"/>
  <c r="CO116" i="3"/>
  <c r="CP116" i="3"/>
  <c r="CQ116" i="3"/>
  <c r="CR116" i="3"/>
  <c r="CS116" i="3"/>
  <c r="CT116" i="3"/>
  <c r="CU116" i="3"/>
  <c r="CV116" i="3"/>
  <c r="CW116" i="3"/>
  <c r="CX116" i="3"/>
  <c r="CY116" i="3"/>
  <c r="CZ116" i="3"/>
  <c r="DA116" i="3"/>
  <c r="DB116" i="3"/>
  <c r="DC116" i="3"/>
  <c r="DD116" i="3"/>
  <c r="DE116" i="3"/>
  <c r="DF116" i="3"/>
  <c r="DG116" i="3"/>
  <c r="DH116" i="3"/>
  <c r="DI116" i="3"/>
  <c r="DJ116" i="3"/>
  <c r="DK116" i="3"/>
  <c r="DL116" i="3"/>
  <c r="DM116" i="3"/>
  <c r="DN116" i="3"/>
  <c r="DO116" i="3"/>
  <c r="DP116" i="3"/>
  <c r="DQ116" i="3"/>
  <c r="DR116" i="3"/>
  <c r="DS116" i="3"/>
  <c r="DT116" i="3"/>
  <c r="DU116" i="3"/>
  <c r="DV116" i="3"/>
  <c r="DW116" i="3"/>
  <c r="DX116" i="3"/>
  <c r="DY116" i="3"/>
  <c r="DZ116" i="3"/>
  <c r="EA116" i="3"/>
  <c r="EB116" i="3"/>
  <c r="EC116" i="3"/>
  <c r="ED116" i="3"/>
  <c r="EE116" i="3"/>
  <c r="EF116" i="3"/>
  <c r="EG116" i="3"/>
  <c r="EI116" i="3"/>
  <c r="EJ116" i="3"/>
  <c r="EK116" i="3"/>
  <c r="EL116" i="3"/>
  <c r="EM116" i="3"/>
  <c r="EN116" i="3"/>
  <c r="EO116" i="3"/>
  <c r="EP116" i="3"/>
  <c r="EQ116" i="3"/>
  <c r="ER116" i="3"/>
  <c r="ES116" i="3"/>
  <c r="ET116" i="3"/>
  <c r="EU116" i="3"/>
  <c r="EV116" i="3"/>
  <c r="EW116" i="3"/>
  <c r="EX116" i="3"/>
  <c r="EY116" i="3"/>
  <c r="EZ116" i="3"/>
  <c r="FA116" i="3"/>
  <c r="FB116" i="3"/>
  <c r="FC116" i="3"/>
  <c r="FD116" i="3"/>
  <c r="FE116" i="3"/>
  <c r="FF116" i="3"/>
  <c r="FG116" i="3"/>
  <c r="FH116" i="3"/>
  <c r="FI116" i="3"/>
  <c r="FJ116" i="3"/>
  <c r="FK116" i="3"/>
  <c r="FL116" i="3"/>
  <c r="FM116" i="3"/>
  <c r="FN116" i="3"/>
  <c r="FO116" i="3"/>
  <c r="FP116" i="3"/>
  <c r="FQ116" i="3"/>
  <c r="FR116" i="3"/>
  <c r="FS116" i="3"/>
  <c r="FT116" i="3"/>
  <c r="FU116" i="3"/>
  <c r="FV116" i="3"/>
  <c r="FW116" i="3"/>
  <c r="FX116" i="3"/>
  <c r="FY116" i="3"/>
  <c r="FZ116" i="3"/>
  <c r="GA116" i="3"/>
  <c r="GB116" i="3"/>
  <c r="GC116" i="3"/>
  <c r="GD116" i="3"/>
  <c r="GE116" i="3"/>
  <c r="GF116" i="3"/>
  <c r="GG116" i="3"/>
  <c r="GH116" i="3"/>
  <c r="GI116" i="3"/>
  <c r="GJ116" i="3"/>
  <c r="GK116" i="3"/>
  <c r="GL116" i="3"/>
  <c r="GM116" i="3"/>
  <c r="GN116" i="3"/>
  <c r="GO116" i="3"/>
  <c r="GP116" i="3"/>
  <c r="GQ116" i="3"/>
  <c r="GR116" i="3"/>
  <c r="GS116" i="3"/>
  <c r="GT116" i="3"/>
  <c r="GU116" i="3"/>
  <c r="GV116" i="3"/>
  <c r="GW116" i="3"/>
  <c r="GX116" i="3"/>
  <c r="GY116" i="3"/>
  <c r="GZ116" i="3"/>
  <c r="HA116" i="3"/>
  <c r="HB116" i="3"/>
  <c r="HC116" i="3"/>
  <c r="HD116" i="3"/>
  <c r="HE116" i="3"/>
  <c r="HF116" i="3"/>
  <c r="HG116" i="3"/>
  <c r="HH116" i="3"/>
  <c r="HI116" i="3"/>
  <c r="HJ116" i="3"/>
  <c r="HK116" i="3"/>
  <c r="HL116" i="3"/>
  <c r="HM116" i="3"/>
  <c r="HN116" i="3"/>
  <c r="HO116" i="3"/>
  <c r="HP116" i="3"/>
  <c r="HQ116" i="3"/>
  <c r="HR116" i="3"/>
  <c r="HS116" i="3"/>
  <c r="HT116" i="3"/>
  <c r="HU116" i="3"/>
  <c r="HV116" i="3"/>
  <c r="HW116" i="3"/>
  <c r="HX116" i="3"/>
  <c r="HY116" i="3"/>
  <c r="HZ116" i="3"/>
  <c r="IA116" i="3"/>
  <c r="IB116" i="3"/>
  <c r="IC116" i="3"/>
  <c r="ID116" i="3"/>
  <c r="IE116" i="3"/>
  <c r="IF116" i="3"/>
  <c r="IG116" i="3"/>
  <c r="IH116" i="3"/>
  <c r="II116" i="3"/>
  <c r="IJ116" i="3"/>
  <c r="IK116" i="3"/>
  <c r="IL116" i="3"/>
  <c r="IM116" i="3"/>
  <c r="IN116" i="3"/>
  <c r="IO116" i="3"/>
  <c r="IP116" i="3"/>
  <c r="IQ116" i="3"/>
  <c r="IR116" i="3"/>
  <c r="IS116" i="3"/>
  <c r="IT116" i="3"/>
  <c r="IU116" i="3"/>
  <c r="IV116" i="3"/>
  <c r="IW116" i="3"/>
  <c r="IX116" i="3"/>
  <c r="IY116" i="3"/>
  <c r="IZ116" i="3"/>
  <c r="JA116" i="3"/>
  <c r="JB116" i="3"/>
  <c r="JC116" i="3"/>
  <c r="JD116" i="3"/>
  <c r="JE116" i="3"/>
  <c r="JF116" i="3"/>
  <c r="JG116" i="3"/>
  <c r="JH116" i="3"/>
  <c r="JI116" i="3"/>
  <c r="JJ116" i="3"/>
  <c r="JK116" i="3"/>
  <c r="JL116" i="3"/>
  <c r="JM116" i="3"/>
  <c r="A117" i="3"/>
  <c r="B117" i="3"/>
  <c r="C117" i="3"/>
  <c r="D117" i="3"/>
  <c r="E117" i="3"/>
  <c r="F117" i="3"/>
  <c r="G117" i="3"/>
  <c r="H117" i="3"/>
  <c r="I117" i="3"/>
  <c r="J117" i="3"/>
  <c r="K117"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K117" i="3"/>
  <c r="AL117" i="3"/>
  <c r="AM117" i="3"/>
  <c r="AN117" i="3"/>
  <c r="AO117" i="3"/>
  <c r="AP117" i="3"/>
  <c r="AQ117" i="3"/>
  <c r="AR117" i="3"/>
  <c r="AS117" i="3"/>
  <c r="AT117" i="3"/>
  <c r="AU117" i="3"/>
  <c r="AV117" i="3"/>
  <c r="AW117" i="3"/>
  <c r="AX117" i="3"/>
  <c r="AY117" i="3"/>
  <c r="AZ117" i="3"/>
  <c r="BA117" i="3"/>
  <c r="BB117" i="3"/>
  <c r="BC117" i="3"/>
  <c r="BD117" i="3"/>
  <c r="BE117" i="3"/>
  <c r="BF117" i="3"/>
  <c r="BG117" i="3"/>
  <c r="BH117" i="3"/>
  <c r="BI117" i="3"/>
  <c r="BJ117" i="3"/>
  <c r="BK117" i="3"/>
  <c r="BL117" i="3"/>
  <c r="BM117" i="3"/>
  <c r="BN117" i="3"/>
  <c r="BO117" i="3"/>
  <c r="BP117" i="3"/>
  <c r="BQ117" i="3"/>
  <c r="BR117" i="3"/>
  <c r="BS117" i="3"/>
  <c r="BT117" i="3"/>
  <c r="BU117" i="3"/>
  <c r="BV117" i="3"/>
  <c r="BW117" i="3"/>
  <c r="BX117" i="3"/>
  <c r="BY117" i="3"/>
  <c r="BZ117" i="3"/>
  <c r="CA117" i="3"/>
  <c r="CB117" i="3"/>
  <c r="CC117" i="3"/>
  <c r="CD117" i="3"/>
  <c r="CE117" i="3"/>
  <c r="CF117" i="3"/>
  <c r="CG117" i="3"/>
  <c r="CH117" i="3"/>
  <c r="CI117" i="3"/>
  <c r="CJ117" i="3"/>
  <c r="CK117" i="3"/>
  <c r="CL117" i="3"/>
  <c r="CM117" i="3"/>
  <c r="CN117" i="3"/>
  <c r="CO117" i="3"/>
  <c r="CP117" i="3"/>
  <c r="CQ117" i="3"/>
  <c r="CR117" i="3"/>
  <c r="CS117" i="3"/>
  <c r="CT117" i="3"/>
  <c r="CU117" i="3"/>
  <c r="CV117" i="3"/>
  <c r="CW117" i="3"/>
  <c r="CX117" i="3"/>
  <c r="CY117" i="3"/>
  <c r="CZ117" i="3"/>
  <c r="DA117" i="3"/>
  <c r="DB117" i="3"/>
  <c r="DC117" i="3"/>
  <c r="DD117" i="3"/>
  <c r="DE117" i="3"/>
  <c r="DF117" i="3"/>
  <c r="DG117" i="3"/>
  <c r="DH117" i="3"/>
  <c r="DI117" i="3"/>
  <c r="DJ117" i="3"/>
  <c r="DK117" i="3"/>
  <c r="DL117" i="3"/>
  <c r="DM117" i="3"/>
  <c r="DN117" i="3"/>
  <c r="DO117" i="3"/>
  <c r="DP117" i="3"/>
  <c r="DQ117" i="3"/>
  <c r="DR117" i="3"/>
  <c r="DS117" i="3"/>
  <c r="DT117" i="3"/>
  <c r="DU117" i="3"/>
  <c r="DV117" i="3"/>
  <c r="DW117" i="3"/>
  <c r="DX117" i="3"/>
  <c r="DY117" i="3"/>
  <c r="DZ117" i="3"/>
  <c r="EA117" i="3"/>
  <c r="EB117" i="3"/>
  <c r="EC117" i="3"/>
  <c r="ED117" i="3"/>
  <c r="EE117" i="3"/>
  <c r="EF117" i="3"/>
  <c r="EG117" i="3"/>
  <c r="EI117" i="3"/>
  <c r="EJ117" i="3"/>
  <c r="EK117" i="3"/>
  <c r="EL117" i="3"/>
  <c r="EM117" i="3"/>
  <c r="EN117" i="3"/>
  <c r="EO117" i="3"/>
  <c r="EP117" i="3"/>
  <c r="EQ117" i="3"/>
  <c r="ER117" i="3"/>
  <c r="ES117" i="3"/>
  <c r="ET117" i="3"/>
  <c r="EU117" i="3"/>
  <c r="EV117" i="3"/>
  <c r="EW117" i="3"/>
  <c r="EX117" i="3"/>
  <c r="EY117" i="3"/>
  <c r="EZ117" i="3"/>
  <c r="FA117" i="3"/>
  <c r="FB117" i="3"/>
  <c r="FC117" i="3"/>
  <c r="FD117" i="3"/>
  <c r="FE117" i="3"/>
  <c r="FF117" i="3"/>
  <c r="FG117" i="3"/>
  <c r="FH117" i="3"/>
  <c r="FI117" i="3"/>
  <c r="FJ117" i="3"/>
  <c r="FK117" i="3"/>
  <c r="FL117" i="3"/>
  <c r="FM117" i="3"/>
  <c r="FN117" i="3"/>
  <c r="FO117" i="3"/>
  <c r="FP117" i="3"/>
  <c r="FQ117" i="3"/>
  <c r="FR117" i="3"/>
  <c r="FS117" i="3"/>
  <c r="FT117" i="3"/>
  <c r="FU117" i="3"/>
  <c r="FV117" i="3"/>
  <c r="FW117" i="3"/>
  <c r="FX117" i="3"/>
  <c r="FY117" i="3"/>
  <c r="FZ117" i="3"/>
  <c r="GA117" i="3"/>
  <c r="GB117" i="3"/>
  <c r="GC117" i="3"/>
  <c r="GD117" i="3"/>
  <c r="GE117" i="3"/>
  <c r="GF117" i="3"/>
  <c r="GG117" i="3"/>
  <c r="GH117" i="3"/>
  <c r="GI117" i="3"/>
  <c r="GJ117" i="3"/>
  <c r="GK117" i="3"/>
  <c r="GL117" i="3"/>
  <c r="GM117" i="3"/>
  <c r="GN117" i="3"/>
  <c r="GO117" i="3"/>
  <c r="GP117" i="3"/>
  <c r="GQ117" i="3"/>
  <c r="GR117" i="3"/>
  <c r="GS117" i="3"/>
  <c r="GT117" i="3"/>
  <c r="GU117" i="3"/>
  <c r="GV117" i="3"/>
  <c r="GW117" i="3"/>
  <c r="GX117" i="3"/>
  <c r="GY117" i="3"/>
  <c r="GZ117" i="3"/>
  <c r="HA117" i="3"/>
  <c r="HB117" i="3"/>
  <c r="HC117" i="3"/>
  <c r="HD117" i="3"/>
  <c r="HE117" i="3"/>
  <c r="HF117" i="3"/>
  <c r="HG117" i="3"/>
  <c r="HH117" i="3"/>
  <c r="HI117" i="3"/>
  <c r="HJ117" i="3"/>
  <c r="HK117" i="3"/>
  <c r="HL117" i="3"/>
  <c r="HM117" i="3"/>
  <c r="HN117" i="3"/>
  <c r="HO117" i="3"/>
  <c r="HP117" i="3"/>
  <c r="HQ117" i="3"/>
  <c r="HR117" i="3"/>
  <c r="HS117" i="3"/>
  <c r="HT117" i="3"/>
  <c r="HU117" i="3"/>
  <c r="HV117" i="3"/>
  <c r="HW117" i="3"/>
  <c r="HX117" i="3"/>
  <c r="HY117" i="3"/>
  <c r="HZ117" i="3"/>
  <c r="IA117" i="3"/>
  <c r="IB117" i="3"/>
  <c r="IC117" i="3"/>
  <c r="ID117" i="3"/>
  <c r="IE117" i="3"/>
  <c r="IF117" i="3"/>
  <c r="IG117" i="3"/>
  <c r="IH117" i="3"/>
  <c r="II117" i="3"/>
  <c r="IJ117" i="3"/>
  <c r="IK117" i="3"/>
  <c r="IL117" i="3"/>
  <c r="IM117" i="3"/>
  <c r="IN117" i="3"/>
  <c r="IO117" i="3"/>
  <c r="IP117" i="3"/>
  <c r="IQ117" i="3"/>
  <c r="IR117" i="3"/>
  <c r="IS117" i="3"/>
  <c r="IT117" i="3"/>
  <c r="IU117" i="3"/>
  <c r="IV117" i="3"/>
  <c r="IW117" i="3"/>
  <c r="IX117" i="3"/>
  <c r="IY117" i="3"/>
  <c r="IZ117" i="3"/>
  <c r="JA117" i="3"/>
  <c r="JB117" i="3"/>
  <c r="JC117" i="3"/>
  <c r="JD117" i="3"/>
  <c r="JE117" i="3"/>
  <c r="JF117" i="3"/>
  <c r="JG117" i="3"/>
  <c r="JH117" i="3"/>
  <c r="JI117" i="3"/>
  <c r="JJ117" i="3"/>
  <c r="JK117" i="3"/>
  <c r="JL117" i="3"/>
  <c r="JM117" i="3"/>
  <c r="A118" i="3"/>
  <c r="B118" i="3"/>
  <c r="CZ118" i="3"/>
  <c r="DA118" i="3"/>
  <c r="DB118" i="3"/>
  <c r="DC118" i="3"/>
  <c r="DD118" i="3"/>
  <c r="DE118" i="3"/>
  <c r="DF118" i="3"/>
  <c r="DG118" i="3"/>
  <c r="DH118" i="3"/>
  <c r="DI118" i="3"/>
  <c r="DJ118" i="3"/>
  <c r="DK118" i="3"/>
  <c r="DL118" i="3"/>
  <c r="DM118" i="3"/>
  <c r="DN118" i="3"/>
  <c r="DO118" i="3"/>
  <c r="DP118" i="3"/>
  <c r="DQ118" i="3"/>
  <c r="DR118" i="3"/>
  <c r="DS118" i="3"/>
  <c r="DT118" i="3"/>
  <c r="DU118" i="3"/>
  <c r="DV118" i="3"/>
  <c r="DW118" i="3"/>
  <c r="DX118" i="3"/>
  <c r="DY118" i="3"/>
  <c r="DZ118" i="3"/>
  <c r="EA118" i="3"/>
  <c r="EB118" i="3"/>
  <c r="EC118" i="3"/>
  <c r="ED118" i="3"/>
  <c r="EE118" i="3"/>
  <c r="EF118" i="3"/>
  <c r="EG118" i="3"/>
  <c r="EI118" i="3"/>
  <c r="EJ118" i="3"/>
  <c r="EK118" i="3"/>
  <c r="EL118" i="3"/>
  <c r="EM118" i="3"/>
  <c r="EN118" i="3"/>
  <c r="EO118" i="3"/>
  <c r="EP118" i="3"/>
  <c r="EQ118" i="3"/>
  <c r="ER118" i="3"/>
  <c r="ES118" i="3"/>
  <c r="ET118" i="3"/>
  <c r="EU118" i="3"/>
  <c r="EV118" i="3"/>
  <c r="EW118" i="3"/>
  <c r="EX118" i="3"/>
  <c r="EY118" i="3"/>
  <c r="EZ118" i="3"/>
  <c r="FA118" i="3"/>
  <c r="FB118" i="3"/>
  <c r="FC118" i="3"/>
  <c r="FD118" i="3"/>
  <c r="FE118" i="3"/>
  <c r="FF118" i="3"/>
  <c r="FG118" i="3"/>
  <c r="FH118" i="3"/>
  <c r="FI118" i="3"/>
  <c r="FJ118" i="3"/>
  <c r="FK118" i="3"/>
  <c r="FL118" i="3"/>
  <c r="FM118" i="3"/>
  <c r="FN118" i="3"/>
  <c r="FO118" i="3"/>
  <c r="FP118" i="3"/>
  <c r="FQ118" i="3"/>
  <c r="FR118" i="3"/>
  <c r="FS118" i="3"/>
  <c r="FT118" i="3"/>
  <c r="FU118" i="3"/>
  <c r="FV118" i="3"/>
  <c r="FW118" i="3"/>
  <c r="FX118" i="3"/>
  <c r="FY118" i="3"/>
  <c r="FZ118" i="3"/>
  <c r="GA118" i="3"/>
  <c r="GB118" i="3"/>
  <c r="GC118" i="3"/>
  <c r="GD118" i="3"/>
  <c r="GE118" i="3"/>
  <c r="GF118" i="3"/>
  <c r="GG118" i="3"/>
  <c r="GH118" i="3"/>
  <c r="GI118" i="3"/>
  <c r="GJ118" i="3"/>
  <c r="GK118" i="3"/>
  <c r="GL118" i="3"/>
  <c r="GM118" i="3"/>
  <c r="GN118" i="3"/>
  <c r="GO118" i="3"/>
  <c r="GP118" i="3"/>
  <c r="GQ118" i="3"/>
  <c r="GR118" i="3"/>
  <c r="GS118" i="3"/>
  <c r="GT118" i="3"/>
  <c r="GU118" i="3"/>
  <c r="GV118" i="3"/>
  <c r="GW118" i="3"/>
  <c r="GX118" i="3"/>
  <c r="GY118" i="3"/>
  <c r="GZ118" i="3"/>
  <c r="HA118" i="3"/>
  <c r="HB118" i="3"/>
  <c r="HC118" i="3"/>
  <c r="HD118" i="3"/>
  <c r="HE118" i="3"/>
  <c r="HF118" i="3"/>
  <c r="HG118" i="3"/>
  <c r="HH118" i="3"/>
  <c r="HI118" i="3"/>
  <c r="HJ118" i="3"/>
  <c r="HK118" i="3"/>
  <c r="HL118" i="3"/>
  <c r="HM118" i="3"/>
  <c r="HN118" i="3"/>
  <c r="HO118" i="3"/>
  <c r="HP118" i="3"/>
  <c r="HQ118" i="3"/>
  <c r="HR118" i="3"/>
  <c r="HS118" i="3"/>
  <c r="HT118" i="3"/>
  <c r="HU118" i="3"/>
  <c r="HV118" i="3"/>
  <c r="HW118" i="3"/>
  <c r="HX118" i="3"/>
  <c r="HY118" i="3"/>
  <c r="HZ118" i="3"/>
  <c r="IA118" i="3"/>
  <c r="IB118" i="3"/>
  <c r="IC118" i="3"/>
  <c r="ID118" i="3"/>
  <c r="IE118" i="3"/>
  <c r="IF118" i="3"/>
  <c r="IG118" i="3"/>
  <c r="IH118" i="3"/>
  <c r="II118" i="3"/>
  <c r="IJ118" i="3"/>
  <c r="IK118" i="3"/>
  <c r="IL118" i="3"/>
  <c r="IM118" i="3"/>
  <c r="IN118" i="3"/>
  <c r="IO118" i="3"/>
  <c r="IP118" i="3"/>
  <c r="IQ118" i="3"/>
  <c r="IR118" i="3"/>
  <c r="IS118" i="3"/>
  <c r="IT118" i="3"/>
  <c r="IU118" i="3"/>
  <c r="IV118" i="3"/>
  <c r="IW118" i="3"/>
  <c r="IX118" i="3"/>
  <c r="IY118" i="3"/>
  <c r="IZ118" i="3"/>
  <c r="JA118" i="3"/>
  <c r="JB118" i="3"/>
  <c r="JC118" i="3"/>
  <c r="JD118" i="3"/>
  <c r="JE118" i="3"/>
  <c r="JF118" i="3"/>
  <c r="JG118" i="3"/>
  <c r="JH118" i="3"/>
  <c r="JI118" i="3"/>
  <c r="JJ118" i="3"/>
  <c r="JK118" i="3"/>
  <c r="JL118" i="3"/>
  <c r="JM118" i="3"/>
  <c r="A119" i="3"/>
  <c r="B119"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O119" i="3"/>
  <c r="AP119" i="3"/>
  <c r="AQ119" i="3"/>
  <c r="AR119" i="3"/>
  <c r="AS119" i="3"/>
  <c r="AT119" i="3"/>
  <c r="AU119" i="3"/>
  <c r="AV119" i="3"/>
  <c r="AW119" i="3"/>
  <c r="AX119" i="3"/>
  <c r="AY119" i="3"/>
  <c r="AZ119" i="3"/>
  <c r="BA119" i="3"/>
  <c r="BB119" i="3"/>
  <c r="BC119" i="3"/>
  <c r="BD119" i="3"/>
  <c r="BE119" i="3"/>
  <c r="BF119" i="3"/>
  <c r="BG119" i="3"/>
  <c r="BH119" i="3"/>
  <c r="BI119" i="3"/>
  <c r="BJ119" i="3"/>
  <c r="BK119" i="3"/>
  <c r="BL119" i="3"/>
  <c r="BM119" i="3"/>
  <c r="BN119" i="3"/>
  <c r="BO119" i="3"/>
  <c r="BP119" i="3"/>
  <c r="BQ119" i="3"/>
  <c r="BR119" i="3"/>
  <c r="BS119" i="3"/>
  <c r="BT119" i="3"/>
  <c r="BU119" i="3"/>
  <c r="BV119" i="3"/>
  <c r="BW119" i="3"/>
  <c r="BX119" i="3"/>
  <c r="BY119" i="3"/>
  <c r="BZ119" i="3"/>
  <c r="CA119" i="3"/>
  <c r="CB119" i="3"/>
  <c r="CC119" i="3"/>
  <c r="CD119" i="3"/>
  <c r="CE119" i="3"/>
  <c r="CF119" i="3"/>
  <c r="CG119" i="3"/>
  <c r="CH119" i="3"/>
  <c r="CI119" i="3"/>
  <c r="CJ119" i="3"/>
  <c r="CK119" i="3"/>
  <c r="CL119" i="3"/>
  <c r="CM119" i="3"/>
  <c r="CN119" i="3"/>
  <c r="CO119" i="3"/>
  <c r="CP119" i="3"/>
  <c r="CQ119" i="3"/>
  <c r="CR119" i="3"/>
  <c r="CS119" i="3"/>
  <c r="CT119" i="3"/>
  <c r="CU119" i="3"/>
  <c r="CV119" i="3"/>
  <c r="CW119" i="3"/>
  <c r="CX119" i="3"/>
  <c r="CY119" i="3"/>
  <c r="CZ119" i="3"/>
  <c r="DA119" i="3"/>
  <c r="DB119" i="3"/>
  <c r="DC119" i="3"/>
  <c r="DD119" i="3"/>
  <c r="DE119" i="3"/>
  <c r="DF119" i="3"/>
  <c r="DG119" i="3"/>
  <c r="DH119" i="3"/>
  <c r="DI119" i="3"/>
  <c r="DJ119" i="3"/>
  <c r="DK119" i="3"/>
  <c r="DL119" i="3"/>
  <c r="DM119" i="3"/>
  <c r="DN119" i="3"/>
  <c r="DO119" i="3"/>
  <c r="DP119" i="3"/>
  <c r="DQ119" i="3"/>
  <c r="DR119" i="3"/>
  <c r="DS119" i="3"/>
  <c r="DT119" i="3"/>
  <c r="DU119" i="3"/>
  <c r="DV119" i="3"/>
  <c r="DW119" i="3"/>
  <c r="DX119" i="3"/>
  <c r="DY119" i="3"/>
  <c r="DZ119" i="3"/>
  <c r="EA119" i="3"/>
  <c r="EB119" i="3"/>
  <c r="EC119" i="3"/>
  <c r="ED119" i="3"/>
  <c r="EE119" i="3"/>
  <c r="EF119" i="3"/>
  <c r="EG119" i="3"/>
  <c r="EI119" i="3"/>
  <c r="EJ119" i="3"/>
  <c r="EK119" i="3"/>
  <c r="EL119" i="3"/>
  <c r="EM119" i="3"/>
  <c r="EN119" i="3"/>
  <c r="EO119" i="3"/>
  <c r="EP119" i="3"/>
  <c r="EQ119" i="3"/>
  <c r="ER119" i="3"/>
  <c r="ES119" i="3"/>
  <c r="ET119" i="3"/>
  <c r="EU119" i="3"/>
  <c r="EV119" i="3"/>
  <c r="EW119" i="3"/>
  <c r="EX119" i="3"/>
  <c r="EY119" i="3"/>
  <c r="EZ119" i="3"/>
  <c r="FA119" i="3"/>
  <c r="FB119" i="3"/>
  <c r="FC119" i="3"/>
  <c r="FD119" i="3"/>
  <c r="FE119" i="3"/>
  <c r="FF119" i="3"/>
  <c r="FG119" i="3"/>
  <c r="FH119" i="3"/>
  <c r="FI119" i="3"/>
  <c r="FJ119" i="3"/>
  <c r="FK119" i="3"/>
  <c r="FL119" i="3"/>
  <c r="FM119" i="3"/>
  <c r="FN119" i="3"/>
  <c r="FO119" i="3"/>
  <c r="FP119" i="3"/>
  <c r="FQ119" i="3"/>
  <c r="FR119" i="3"/>
  <c r="FS119" i="3"/>
  <c r="FT119" i="3"/>
  <c r="FU119" i="3"/>
  <c r="FV119" i="3"/>
  <c r="FW119" i="3"/>
  <c r="FX119" i="3"/>
  <c r="FY119" i="3"/>
  <c r="FZ119" i="3"/>
  <c r="GA119" i="3"/>
  <c r="GB119" i="3"/>
  <c r="GC119" i="3"/>
  <c r="GD119" i="3"/>
  <c r="GE119" i="3"/>
  <c r="GF119" i="3"/>
  <c r="GG119" i="3"/>
  <c r="GH119" i="3"/>
  <c r="GI119" i="3"/>
  <c r="GJ119" i="3"/>
  <c r="GK119" i="3"/>
  <c r="GL119" i="3"/>
  <c r="GM119" i="3"/>
  <c r="GN119" i="3"/>
  <c r="GO119" i="3"/>
  <c r="GP119" i="3"/>
  <c r="GQ119" i="3"/>
  <c r="GR119" i="3"/>
  <c r="GS119" i="3"/>
  <c r="GT119" i="3"/>
  <c r="GU119" i="3"/>
  <c r="GV119" i="3"/>
  <c r="GW119" i="3"/>
  <c r="GX119" i="3"/>
  <c r="GY119" i="3"/>
  <c r="GZ119" i="3"/>
  <c r="HA119" i="3"/>
  <c r="HB119" i="3"/>
  <c r="HC119" i="3"/>
  <c r="HD119" i="3"/>
  <c r="HE119" i="3"/>
  <c r="HF119" i="3"/>
  <c r="HG119" i="3"/>
  <c r="HH119" i="3"/>
  <c r="HI119" i="3"/>
  <c r="HJ119" i="3"/>
  <c r="HK119" i="3"/>
  <c r="HL119" i="3"/>
  <c r="HM119" i="3"/>
  <c r="HN119" i="3"/>
  <c r="HO119" i="3"/>
  <c r="HP119" i="3"/>
  <c r="HQ119" i="3"/>
  <c r="HR119" i="3"/>
  <c r="HS119" i="3"/>
  <c r="HT119" i="3"/>
  <c r="HU119" i="3"/>
  <c r="HV119" i="3"/>
  <c r="HW119" i="3"/>
  <c r="HX119" i="3"/>
  <c r="HY119" i="3"/>
  <c r="HZ119" i="3"/>
  <c r="IA119" i="3"/>
  <c r="IB119" i="3"/>
  <c r="IC119" i="3"/>
  <c r="ID119" i="3"/>
  <c r="IE119" i="3"/>
  <c r="IF119" i="3"/>
  <c r="IG119" i="3"/>
  <c r="IH119" i="3"/>
  <c r="II119" i="3"/>
  <c r="IJ119" i="3"/>
  <c r="IK119" i="3"/>
  <c r="IL119" i="3"/>
  <c r="IM119" i="3"/>
  <c r="IN119" i="3"/>
  <c r="IO119" i="3"/>
  <c r="IP119" i="3"/>
  <c r="IQ119" i="3"/>
  <c r="IR119" i="3"/>
  <c r="IS119" i="3"/>
  <c r="IT119" i="3"/>
  <c r="IU119" i="3"/>
  <c r="IV119" i="3"/>
  <c r="IW119" i="3"/>
  <c r="IX119" i="3"/>
  <c r="IY119" i="3"/>
  <c r="IZ119" i="3"/>
  <c r="JA119" i="3"/>
  <c r="JB119" i="3"/>
  <c r="JC119" i="3"/>
  <c r="JD119" i="3"/>
  <c r="JE119" i="3"/>
  <c r="JF119" i="3"/>
  <c r="JG119" i="3"/>
  <c r="JH119" i="3"/>
  <c r="JI119" i="3"/>
  <c r="JJ119" i="3"/>
  <c r="JK119" i="3"/>
  <c r="JL119" i="3"/>
  <c r="JM119" i="3"/>
  <c r="A120" i="3"/>
  <c r="B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M120" i="3"/>
  <c r="AN120" i="3"/>
  <c r="AO120" i="3"/>
  <c r="AP120" i="3"/>
  <c r="AQ120" i="3"/>
  <c r="AR120" i="3"/>
  <c r="AS120" i="3"/>
  <c r="AT120" i="3"/>
  <c r="AU120" i="3"/>
  <c r="AV120" i="3"/>
  <c r="AW120" i="3"/>
  <c r="AX120" i="3"/>
  <c r="AY120" i="3"/>
  <c r="AZ120" i="3"/>
  <c r="BA120" i="3"/>
  <c r="BB120" i="3"/>
  <c r="BC120" i="3"/>
  <c r="BD120" i="3"/>
  <c r="BE120" i="3"/>
  <c r="BF120" i="3"/>
  <c r="BG120" i="3"/>
  <c r="BH120" i="3"/>
  <c r="BI120" i="3"/>
  <c r="BJ120" i="3"/>
  <c r="BK120" i="3"/>
  <c r="BL120" i="3"/>
  <c r="BM120" i="3"/>
  <c r="BN120" i="3"/>
  <c r="BO120" i="3"/>
  <c r="BP120" i="3"/>
  <c r="BQ120" i="3"/>
  <c r="BR120" i="3"/>
  <c r="BS120" i="3"/>
  <c r="BT120" i="3"/>
  <c r="BU120" i="3"/>
  <c r="BV120" i="3"/>
  <c r="BW120" i="3"/>
  <c r="BX120" i="3"/>
  <c r="BY120" i="3"/>
  <c r="BZ120" i="3"/>
  <c r="CA120" i="3"/>
  <c r="CB120" i="3"/>
  <c r="CC120" i="3"/>
  <c r="CD120" i="3"/>
  <c r="CE120" i="3"/>
  <c r="CF120" i="3"/>
  <c r="CG120" i="3"/>
  <c r="CH120" i="3"/>
  <c r="CI120" i="3"/>
  <c r="CJ120" i="3"/>
  <c r="CK120" i="3"/>
  <c r="CL120" i="3"/>
  <c r="CM120" i="3"/>
  <c r="CN120" i="3"/>
  <c r="CO120" i="3"/>
  <c r="CP120" i="3"/>
  <c r="CQ120" i="3"/>
  <c r="CR120" i="3"/>
  <c r="CS120" i="3"/>
  <c r="CT120" i="3"/>
  <c r="CU120" i="3"/>
  <c r="CV120" i="3"/>
  <c r="CW120" i="3"/>
  <c r="CX120" i="3"/>
  <c r="CY120" i="3"/>
  <c r="CZ120" i="3"/>
  <c r="DA120" i="3"/>
  <c r="DB120" i="3"/>
  <c r="DC120" i="3"/>
  <c r="DD120" i="3"/>
  <c r="DE120" i="3"/>
  <c r="DF120" i="3"/>
  <c r="DG120" i="3"/>
  <c r="DH120" i="3"/>
  <c r="DI120" i="3"/>
  <c r="DJ120" i="3"/>
  <c r="DK120" i="3"/>
  <c r="DL120" i="3"/>
  <c r="DM120" i="3"/>
  <c r="DN120" i="3"/>
  <c r="DO120" i="3"/>
  <c r="DP120" i="3"/>
  <c r="DQ120" i="3"/>
  <c r="DR120" i="3"/>
  <c r="DS120" i="3"/>
  <c r="DT120" i="3"/>
  <c r="DU120" i="3"/>
  <c r="DV120" i="3"/>
  <c r="DW120" i="3"/>
  <c r="DX120" i="3"/>
  <c r="DY120" i="3"/>
  <c r="DZ120" i="3"/>
  <c r="EA120" i="3"/>
  <c r="EB120" i="3"/>
  <c r="EC120" i="3"/>
  <c r="ED120" i="3"/>
  <c r="EE120" i="3"/>
  <c r="EF120" i="3"/>
  <c r="EG120" i="3"/>
  <c r="EI120" i="3"/>
  <c r="EJ120" i="3"/>
  <c r="EK120" i="3"/>
  <c r="EL120" i="3"/>
  <c r="EM120" i="3"/>
  <c r="EN120" i="3"/>
  <c r="EO120" i="3"/>
  <c r="EP120" i="3"/>
  <c r="EQ120" i="3"/>
  <c r="ER120" i="3"/>
  <c r="ES120" i="3"/>
  <c r="ET120" i="3"/>
  <c r="EU120" i="3"/>
  <c r="EV120" i="3"/>
  <c r="EW120" i="3"/>
  <c r="EX120" i="3"/>
  <c r="EY120" i="3"/>
  <c r="EZ120" i="3"/>
  <c r="FA120" i="3"/>
  <c r="FB120" i="3"/>
  <c r="FC120" i="3"/>
  <c r="FD120" i="3"/>
  <c r="FE120" i="3"/>
  <c r="FF120" i="3"/>
  <c r="FG120" i="3"/>
  <c r="FH120" i="3"/>
  <c r="FI120" i="3"/>
  <c r="FJ120" i="3"/>
  <c r="FK120" i="3"/>
  <c r="FL120" i="3"/>
  <c r="FM120" i="3"/>
  <c r="FN120" i="3"/>
  <c r="FO120" i="3"/>
  <c r="FP120" i="3"/>
  <c r="FQ120" i="3"/>
  <c r="FR120" i="3"/>
  <c r="FS120" i="3"/>
  <c r="FT120" i="3"/>
  <c r="FU120" i="3"/>
  <c r="FV120" i="3"/>
  <c r="FW120" i="3"/>
  <c r="FX120" i="3"/>
  <c r="FY120" i="3"/>
  <c r="FZ120" i="3"/>
  <c r="GA120" i="3"/>
  <c r="GB120" i="3"/>
  <c r="GC120" i="3"/>
  <c r="GD120" i="3"/>
  <c r="GE120" i="3"/>
  <c r="GF120" i="3"/>
  <c r="GG120" i="3"/>
  <c r="GH120" i="3"/>
  <c r="GI120" i="3"/>
  <c r="GJ120" i="3"/>
  <c r="GK120" i="3"/>
  <c r="GL120" i="3"/>
  <c r="GM120" i="3"/>
  <c r="GN120" i="3"/>
  <c r="GO120" i="3"/>
  <c r="GP120" i="3"/>
  <c r="GQ120" i="3"/>
  <c r="GR120" i="3"/>
  <c r="GS120" i="3"/>
  <c r="GT120" i="3"/>
  <c r="GU120" i="3"/>
  <c r="GV120" i="3"/>
  <c r="GW120" i="3"/>
  <c r="GX120" i="3"/>
  <c r="GY120" i="3"/>
  <c r="GZ120" i="3"/>
  <c r="HA120" i="3"/>
  <c r="HB120" i="3"/>
  <c r="HC120" i="3"/>
  <c r="HD120" i="3"/>
  <c r="HE120" i="3"/>
  <c r="HF120" i="3"/>
  <c r="HG120" i="3"/>
  <c r="HH120" i="3"/>
  <c r="HI120" i="3"/>
  <c r="HJ120" i="3"/>
  <c r="HK120" i="3"/>
  <c r="HL120" i="3"/>
  <c r="HM120" i="3"/>
  <c r="HN120" i="3"/>
  <c r="HO120" i="3"/>
  <c r="HP120" i="3"/>
  <c r="HQ120" i="3"/>
  <c r="HR120" i="3"/>
  <c r="HS120" i="3"/>
  <c r="HT120" i="3"/>
  <c r="HU120" i="3"/>
  <c r="HV120" i="3"/>
  <c r="HW120" i="3"/>
  <c r="HX120" i="3"/>
  <c r="HY120" i="3"/>
  <c r="HZ120" i="3"/>
  <c r="IA120" i="3"/>
  <c r="IB120" i="3"/>
  <c r="IC120" i="3"/>
  <c r="ID120" i="3"/>
  <c r="IE120" i="3"/>
  <c r="IF120" i="3"/>
  <c r="IG120" i="3"/>
  <c r="IH120" i="3"/>
  <c r="II120" i="3"/>
  <c r="IJ120" i="3"/>
  <c r="IK120" i="3"/>
  <c r="IL120" i="3"/>
  <c r="IM120" i="3"/>
  <c r="IN120" i="3"/>
  <c r="IO120" i="3"/>
  <c r="IP120" i="3"/>
  <c r="IQ120" i="3"/>
  <c r="IR120" i="3"/>
  <c r="IS120" i="3"/>
  <c r="IT120" i="3"/>
  <c r="IU120" i="3"/>
  <c r="IV120" i="3"/>
  <c r="IW120" i="3"/>
  <c r="IX120" i="3"/>
  <c r="IY120" i="3"/>
  <c r="IZ120" i="3"/>
  <c r="JA120" i="3"/>
  <c r="JB120" i="3"/>
  <c r="JC120" i="3"/>
  <c r="JD120" i="3"/>
  <c r="JE120" i="3"/>
  <c r="JF120" i="3"/>
  <c r="JG120" i="3"/>
  <c r="JH120" i="3"/>
  <c r="JI120" i="3"/>
  <c r="JJ120" i="3"/>
  <c r="JK120" i="3"/>
  <c r="JL120" i="3"/>
  <c r="JM120" i="3"/>
  <c r="A111" i="3"/>
  <c r="B111" i="3"/>
  <c r="AL111" i="3"/>
  <c r="AM111" i="3"/>
  <c r="AN111" i="3"/>
  <c r="AO111" i="3"/>
  <c r="AP111" i="3"/>
  <c r="AQ111" i="3"/>
  <c r="AR111" i="3"/>
  <c r="AS111" i="3"/>
  <c r="AT111" i="3"/>
  <c r="AU111" i="3"/>
  <c r="AV111" i="3"/>
  <c r="AW111" i="3"/>
  <c r="AX111" i="3"/>
  <c r="AY111" i="3"/>
  <c r="AZ111" i="3"/>
  <c r="BA111" i="3"/>
  <c r="BB111" i="3"/>
  <c r="BC111" i="3"/>
  <c r="BD111" i="3"/>
  <c r="BE111" i="3"/>
  <c r="BF111" i="3"/>
  <c r="BG111" i="3"/>
  <c r="BH111" i="3"/>
  <c r="BI111" i="3"/>
  <c r="BJ111" i="3"/>
  <c r="BK111" i="3"/>
  <c r="BL111" i="3"/>
  <c r="BM111" i="3"/>
  <c r="BN111" i="3"/>
  <c r="BO111" i="3"/>
  <c r="BP111" i="3"/>
  <c r="BQ111" i="3"/>
  <c r="BR111" i="3"/>
  <c r="BS111" i="3"/>
  <c r="BT111" i="3"/>
  <c r="BU111" i="3"/>
  <c r="BV111" i="3"/>
  <c r="BW111" i="3"/>
  <c r="BX111" i="3"/>
  <c r="BY111" i="3"/>
  <c r="BZ111" i="3"/>
  <c r="CA111" i="3"/>
  <c r="CB111" i="3"/>
  <c r="CC111" i="3"/>
  <c r="CD111" i="3"/>
  <c r="CE111" i="3"/>
  <c r="CF111" i="3"/>
  <c r="CG111" i="3"/>
  <c r="CH111" i="3"/>
  <c r="CI111" i="3"/>
  <c r="CJ111" i="3"/>
  <c r="CK111" i="3"/>
  <c r="CL111" i="3"/>
  <c r="CM111" i="3"/>
  <c r="CN111" i="3"/>
  <c r="CO111" i="3"/>
  <c r="CP111" i="3"/>
  <c r="CQ111" i="3"/>
  <c r="CR111" i="3"/>
  <c r="CS111" i="3"/>
  <c r="CT111" i="3"/>
  <c r="CU111" i="3"/>
  <c r="CV111" i="3"/>
  <c r="CW111" i="3"/>
  <c r="CX111" i="3"/>
  <c r="CY111" i="3"/>
  <c r="CZ111" i="3"/>
  <c r="DA111" i="3"/>
  <c r="DB111" i="3"/>
  <c r="DC111" i="3"/>
  <c r="DD111" i="3"/>
  <c r="DE111" i="3"/>
  <c r="DF111" i="3"/>
  <c r="DG111" i="3"/>
  <c r="DH111" i="3"/>
  <c r="DI111" i="3"/>
  <c r="DJ111" i="3"/>
  <c r="DK111" i="3"/>
  <c r="DL111" i="3"/>
  <c r="DM111" i="3"/>
  <c r="DN111" i="3"/>
  <c r="DO111" i="3"/>
  <c r="DP111" i="3"/>
  <c r="DQ111" i="3"/>
  <c r="DR111" i="3"/>
  <c r="DS111" i="3"/>
  <c r="DT111" i="3"/>
  <c r="DU111" i="3"/>
  <c r="DV111" i="3"/>
  <c r="DW111" i="3"/>
  <c r="DX111" i="3"/>
  <c r="DY111" i="3"/>
  <c r="DZ111" i="3"/>
  <c r="EA111" i="3"/>
  <c r="EB111" i="3"/>
  <c r="EC111" i="3"/>
  <c r="ED111" i="3"/>
  <c r="EE111" i="3"/>
  <c r="EF111" i="3"/>
  <c r="EG111" i="3"/>
  <c r="EI111" i="3"/>
  <c r="EJ111" i="3"/>
  <c r="EK111" i="3"/>
  <c r="EL111" i="3"/>
  <c r="EM111" i="3"/>
  <c r="EN111" i="3"/>
  <c r="EO111" i="3"/>
  <c r="EP111" i="3"/>
  <c r="EQ111" i="3"/>
  <c r="ER111" i="3"/>
  <c r="ES111" i="3"/>
  <c r="ET111" i="3"/>
  <c r="EU111" i="3"/>
  <c r="EV111" i="3"/>
  <c r="EW111" i="3"/>
  <c r="EX111" i="3"/>
  <c r="EY111" i="3"/>
  <c r="EZ111" i="3"/>
  <c r="FA111" i="3"/>
  <c r="FB111" i="3"/>
  <c r="FC111" i="3"/>
  <c r="FD111" i="3"/>
  <c r="FE111" i="3"/>
  <c r="FF111" i="3"/>
  <c r="FG111" i="3"/>
  <c r="FH111" i="3"/>
  <c r="FI111" i="3"/>
  <c r="FJ111" i="3"/>
  <c r="FK111" i="3"/>
  <c r="FL111" i="3"/>
  <c r="FM111" i="3"/>
  <c r="FN111" i="3"/>
  <c r="FO111" i="3"/>
  <c r="FP111" i="3"/>
  <c r="FQ111" i="3"/>
  <c r="FR111" i="3"/>
  <c r="FS111" i="3"/>
  <c r="FT111" i="3"/>
  <c r="FU111" i="3"/>
  <c r="FV111" i="3"/>
  <c r="FW111" i="3"/>
  <c r="FX111" i="3"/>
  <c r="FY111" i="3"/>
  <c r="FZ111" i="3"/>
  <c r="GA111" i="3"/>
  <c r="GB111" i="3"/>
  <c r="GC111" i="3"/>
  <c r="GD111" i="3"/>
  <c r="GE111" i="3"/>
  <c r="GF111" i="3"/>
  <c r="GG111" i="3"/>
  <c r="GH111" i="3"/>
  <c r="GI111" i="3"/>
  <c r="GJ111" i="3"/>
  <c r="GK111" i="3"/>
  <c r="GL111" i="3"/>
  <c r="GM111" i="3"/>
  <c r="GN111" i="3"/>
  <c r="GO111" i="3"/>
  <c r="GP111" i="3"/>
  <c r="GQ111" i="3"/>
  <c r="GR111" i="3"/>
  <c r="GS111" i="3"/>
  <c r="GT111" i="3"/>
  <c r="GU111" i="3"/>
  <c r="GV111" i="3"/>
  <c r="GW111" i="3"/>
  <c r="GX111" i="3"/>
  <c r="GY111" i="3"/>
  <c r="GZ111" i="3"/>
  <c r="HA111" i="3"/>
  <c r="HB111" i="3"/>
  <c r="HC111" i="3"/>
  <c r="HD111" i="3"/>
  <c r="HE111" i="3"/>
  <c r="HF111" i="3"/>
  <c r="HG111" i="3"/>
  <c r="HH111" i="3"/>
  <c r="HI111" i="3"/>
  <c r="HJ111" i="3"/>
  <c r="HK111" i="3"/>
  <c r="HL111" i="3"/>
  <c r="HM111" i="3"/>
  <c r="HN111" i="3"/>
  <c r="HO111" i="3"/>
  <c r="HP111" i="3"/>
  <c r="HQ111" i="3"/>
  <c r="HR111" i="3"/>
  <c r="HS111" i="3"/>
  <c r="HT111" i="3"/>
  <c r="HU111" i="3"/>
  <c r="HV111" i="3"/>
  <c r="HW111" i="3"/>
  <c r="HX111" i="3"/>
  <c r="HY111" i="3"/>
  <c r="HZ111" i="3"/>
  <c r="IA111" i="3"/>
  <c r="IB111" i="3"/>
  <c r="IC111" i="3"/>
  <c r="ID111" i="3"/>
  <c r="IE111" i="3"/>
  <c r="IF111" i="3"/>
  <c r="IG111" i="3"/>
  <c r="IH111" i="3"/>
  <c r="II111" i="3"/>
  <c r="IJ111" i="3"/>
  <c r="IK111" i="3"/>
  <c r="IL111" i="3"/>
  <c r="IM111" i="3"/>
  <c r="IN111" i="3"/>
  <c r="IO111" i="3"/>
  <c r="IP111" i="3"/>
  <c r="IQ111" i="3"/>
  <c r="IR111" i="3"/>
  <c r="IS111" i="3"/>
  <c r="IT111" i="3"/>
  <c r="IU111" i="3"/>
  <c r="IV111" i="3"/>
  <c r="IW111" i="3"/>
  <c r="IX111" i="3"/>
  <c r="IY111" i="3"/>
  <c r="IZ111" i="3"/>
  <c r="JA111" i="3"/>
  <c r="JB111" i="3"/>
  <c r="JC111" i="3"/>
  <c r="JD111" i="3"/>
  <c r="JE111" i="3"/>
  <c r="JF111" i="3"/>
  <c r="JG111" i="3"/>
  <c r="JH111" i="3"/>
  <c r="JI111" i="3"/>
  <c r="JJ111" i="3"/>
  <c r="JK111" i="3"/>
  <c r="JL111" i="3"/>
  <c r="JM111" i="3"/>
  <c r="A112" i="3"/>
  <c r="B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K112" i="3"/>
  <c r="AL112" i="3"/>
  <c r="AM112" i="3"/>
  <c r="AN112" i="3"/>
  <c r="AO112" i="3"/>
  <c r="AP112" i="3"/>
  <c r="AQ112" i="3"/>
  <c r="AR112" i="3"/>
  <c r="AS112" i="3"/>
  <c r="AT112" i="3"/>
  <c r="AU112" i="3"/>
  <c r="AV112" i="3"/>
  <c r="AW112" i="3"/>
  <c r="AX112" i="3"/>
  <c r="AY112" i="3"/>
  <c r="AZ112" i="3"/>
  <c r="BA112" i="3"/>
  <c r="BB112" i="3"/>
  <c r="BC112" i="3"/>
  <c r="BD112" i="3"/>
  <c r="BE112" i="3"/>
  <c r="BF112" i="3"/>
  <c r="BG112" i="3"/>
  <c r="BH112" i="3"/>
  <c r="BI112" i="3"/>
  <c r="BJ112" i="3"/>
  <c r="BK112" i="3"/>
  <c r="BL112" i="3"/>
  <c r="BM112" i="3"/>
  <c r="BN112" i="3"/>
  <c r="BO112" i="3"/>
  <c r="BP112" i="3"/>
  <c r="BQ112" i="3"/>
  <c r="BR112" i="3"/>
  <c r="BS112" i="3"/>
  <c r="BT112" i="3"/>
  <c r="BU112" i="3"/>
  <c r="BV112" i="3"/>
  <c r="BW112" i="3"/>
  <c r="BX112" i="3"/>
  <c r="BY112" i="3"/>
  <c r="BZ112" i="3"/>
  <c r="CA112" i="3"/>
  <c r="CB112" i="3"/>
  <c r="CC112" i="3"/>
  <c r="CD112" i="3"/>
  <c r="CE112" i="3"/>
  <c r="CF112" i="3"/>
  <c r="CG112" i="3"/>
  <c r="CH112" i="3"/>
  <c r="CI112" i="3"/>
  <c r="CJ112" i="3"/>
  <c r="CK112" i="3"/>
  <c r="CL112" i="3"/>
  <c r="CM112" i="3"/>
  <c r="CN112" i="3"/>
  <c r="CO112" i="3"/>
  <c r="CP112" i="3"/>
  <c r="CQ112" i="3"/>
  <c r="CR112" i="3"/>
  <c r="CS112" i="3"/>
  <c r="CT112" i="3"/>
  <c r="CU112" i="3"/>
  <c r="CV112" i="3"/>
  <c r="CW112" i="3"/>
  <c r="CX112" i="3"/>
  <c r="CY112" i="3"/>
  <c r="CZ112" i="3"/>
  <c r="DA112" i="3"/>
  <c r="DB112" i="3"/>
  <c r="DC112" i="3"/>
  <c r="DD112" i="3"/>
  <c r="DE112" i="3"/>
  <c r="DF112" i="3"/>
  <c r="DG112" i="3"/>
  <c r="DH112" i="3"/>
  <c r="DI112" i="3"/>
  <c r="DJ112" i="3"/>
  <c r="DK112" i="3"/>
  <c r="DL112" i="3"/>
  <c r="DM112" i="3"/>
  <c r="DN112" i="3"/>
  <c r="DO112" i="3"/>
  <c r="DP112" i="3"/>
  <c r="DQ112" i="3"/>
  <c r="DR112" i="3"/>
  <c r="DS112" i="3"/>
  <c r="DT112" i="3"/>
  <c r="DU112" i="3"/>
  <c r="DV112" i="3"/>
  <c r="DW112" i="3"/>
  <c r="DX112" i="3"/>
  <c r="DY112" i="3"/>
  <c r="DZ112" i="3"/>
  <c r="EA112" i="3"/>
  <c r="EB112" i="3"/>
  <c r="EC112" i="3"/>
  <c r="ED112" i="3"/>
  <c r="EE112" i="3"/>
  <c r="EF112" i="3"/>
  <c r="EG112" i="3"/>
  <c r="EI112" i="3"/>
  <c r="EJ112" i="3"/>
  <c r="EK112" i="3"/>
  <c r="EL112" i="3"/>
  <c r="EM112" i="3"/>
  <c r="EN112" i="3"/>
  <c r="EO112" i="3"/>
  <c r="EP112" i="3"/>
  <c r="EQ112" i="3"/>
  <c r="ER112" i="3"/>
  <c r="ES112" i="3"/>
  <c r="ET112" i="3"/>
  <c r="EU112" i="3"/>
  <c r="EV112" i="3"/>
  <c r="EW112" i="3"/>
  <c r="EX112" i="3"/>
  <c r="EY112" i="3"/>
  <c r="EZ112" i="3"/>
  <c r="FA112" i="3"/>
  <c r="FB112" i="3"/>
  <c r="FC112" i="3"/>
  <c r="FD112" i="3"/>
  <c r="FE112" i="3"/>
  <c r="FF112" i="3"/>
  <c r="FG112" i="3"/>
  <c r="FH112" i="3"/>
  <c r="FI112" i="3"/>
  <c r="FJ112" i="3"/>
  <c r="FK112" i="3"/>
  <c r="FL112" i="3"/>
  <c r="FM112" i="3"/>
  <c r="FN112" i="3"/>
  <c r="FO112" i="3"/>
  <c r="FP112" i="3"/>
  <c r="FQ112" i="3"/>
  <c r="FR112" i="3"/>
  <c r="FS112" i="3"/>
  <c r="FT112" i="3"/>
  <c r="FU112" i="3"/>
  <c r="FV112" i="3"/>
  <c r="FW112" i="3"/>
  <c r="FX112" i="3"/>
  <c r="FY112" i="3"/>
  <c r="FZ112" i="3"/>
  <c r="GA112" i="3"/>
  <c r="GB112" i="3"/>
  <c r="GC112" i="3"/>
  <c r="GD112" i="3"/>
  <c r="GE112" i="3"/>
  <c r="GF112" i="3"/>
  <c r="GG112" i="3"/>
  <c r="GH112" i="3"/>
  <c r="GI112" i="3"/>
  <c r="GJ112" i="3"/>
  <c r="GK112" i="3"/>
  <c r="GL112" i="3"/>
  <c r="GM112" i="3"/>
  <c r="GN112" i="3"/>
  <c r="GO112" i="3"/>
  <c r="GP112" i="3"/>
  <c r="GQ112" i="3"/>
  <c r="GR112" i="3"/>
  <c r="GS112" i="3"/>
  <c r="GT112" i="3"/>
  <c r="GU112" i="3"/>
  <c r="GV112" i="3"/>
  <c r="GW112" i="3"/>
  <c r="GX112" i="3"/>
  <c r="GY112" i="3"/>
  <c r="GZ112" i="3"/>
  <c r="HA112" i="3"/>
  <c r="HB112" i="3"/>
  <c r="HC112" i="3"/>
  <c r="HD112" i="3"/>
  <c r="HE112" i="3"/>
  <c r="HF112" i="3"/>
  <c r="HG112" i="3"/>
  <c r="HH112" i="3"/>
  <c r="HI112" i="3"/>
  <c r="HJ112" i="3"/>
  <c r="HK112" i="3"/>
  <c r="HL112" i="3"/>
  <c r="HM112" i="3"/>
  <c r="HN112" i="3"/>
  <c r="HO112" i="3"/>
  <c r="HP112" i="3"/>
  <c r="HQ112" i="3"/>
  <c r="HR112" i="3"/>
  <c r="HS112" i="3"/>
  <c r="HT112" i="3"/>
  <c r="HU112" i="3"/>
  <c r="HV112" i="3"/>
  <c r="HW112" i="3"/>
  <c r="HX112" i="3"/>
  <c r="HY112" i="3"/>
  <c r="HZ112" i="3"/>
  <c r="IA112" i="3"/>
  <c r="IB112" i="3"/>
  <c r="IC112" i="3"/>
  <c r="ID112" i="3"/>
  <c r="IE112" i="3"/>
  <c r="IF112" i="3"/>
  <c r="IG112" i="3"/>
  <c r="IH112" i="3"/>
  <c r="II112" i="3"/>
  <c r="IJ112" i="3"/>
  <c r="IK112" i="3"/>
  <c r="IL112" i="3"/>
  <c r="IM112" i="3"/>
  <c r="IN112" i="3"/>
  <c r="IO112" i="3"/>
  <c r="IP112" i="3"/>
  <c r="IQ112" i="3"/>
  <c r="IR112" i="3"/>
  <c r="IS112" i="3"/>
  <c r="IT112" i="3"/>
  <c r="IU112" i="3"/>
  <c r="IV112" i="3"/>
  <c r="IW112" i="3"/>
  <c r="IX112" i="3"/>
  <c r="IY112" i="3"/>
  <c r="IZ112" i="3"/>
  <c r="JA112" i="3"/>
  <c r="JB112" i="3"/>
  <c r="JC112" i="3"/>
  <c r="JD112" i="3"/>
  <c r="JE112" i="3"/>
  <c r="JF112" i="3"/>
  <c r="JG112" i="3"/>
  <c r="JH112" i="3"/>
  <c r="JI112" i="3"/>
  <c r="JJ112" i="3"/>
  <c r="JK112" i="3"/>
  <c r="JL112" i="3"/>
  <c r="JM112" i="3"/>
  <c r="A113" i="3"/>
  <c r="B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K113" i="3"/>
  <c r="AL113" i="3"/>
  <c r="AM113" i="3"/>
  <c r="AN113" i="3"/>
  <c r="AO113" i="3"/>
  <c r="AP113" i="3"/>
  <c r="AQ113" i="3"/>
  <c r="AR113" i="3"/>
  <c r="AS113" i="3"/>
  <c r="AT113" i="3"/>
  <c r="AU113" i="3"/>
  <c r="AV113" i="3"/>
  <c r="AW113" i="3"/>
  <c r="AX113" i="3"/>
  <c r="AY113" i="3"/>
  <c r="AZ113" i="3"/>
  <c r="BA113" i="3"/>
  <c r="BB113" i="3"/>
  <c r="BC113" i="3"/>
  <c r="BD113" i="3"/>
  <c r="BE113" i="3"/>
  <c r="BF113" i="3"/>
  <c r="BG113" i="3"/>
  <c r="BH113" i="3"/>
  <c r="BI113" i="3"/>
  <c r="BJ113" i="3"/>
  <c r="BK113" i="3"/>
  <c r="BL113" i="3"/>
  <c r="BM113" i="3"/>
  <c r="BN113" i="3"/>
  <c r="BO113" i="3"/>
  <c r="BP113" i="3"/>
  <c r="BQ113" i="3"/>
  <c r="BR113" i="3"/>
  <c r="BS113" i="3"/>
  <c r="BT113" i="3"/>
  <c r="BU113" i="3"/>
  <c r="BV113" i="3"/>
  <c r="BW113" i="3"/>
  <c r="BX113" i="3"/>
  <c r="BY113" i="3"/>
  <c r="BZ113" i="3"/>
  <c r="CA113" i="3"/>
  <c r="CB113" i="3"/>
  <c r="CC113" i="3"/>
  <c r="CD113" i="3"/>
  <c r="CE113" i="3"/>
  <c r="CF113" i="3"/>
  <c r="CG113" i="3"/>
  <c r="CH113" i="3"/>
  <c r="CI113" i="3"/>
  <c r="CJ113" i="3"/>
  <c r="CK113" i="3"/>
  <c r="CL113" i="3"/>
  <c r="CM113" i="3"/>
  <c r="CN113" i="3"/>
  <c r="CO113" i="3"/>
  <c r="CP113" i="3"/>
  <c r="CQ113" i="3"/>
  <c r="CR113" i="3"/>
  <c r="CS113" i="3"/>
  <c r="CT113" i="3"/>
  <c r="CU113" i="3"/>
  <c r="CV113" i="3"/>
  <c r="CW113" i="3"/>
  <c r="CX113" i="3"/>
  <c r="CY113" i="3"/>
  <c r="CZ113" i="3"/>
  <c r="DA113" i="3"/>
  <c r="DB113" i="3"/>
  <c r="DC113" i="3"/>
  <c r="DD113" i="3"/>
  <c r="DE113" i="3"/>
  <c r="DF113" i="3"/>
  <c r="DG113" i="3"/>
  <c r="DH113" i="3"/>
  <c r="DI113" i="3"/>
  <c r="DJ113" i="3"/>
  <c r="DK113" i="3"/>
  <c r="DL113" i="3"/>
  <c r="DM113" i="3"/>
  <c r="DN113" i="3"/>
  <c r="DO113" i="3"/>
  <c r="DP113" i="3"/>
  <c r="DQ113" i="3"/>
  <c r="DR113" i="3"/>
  <c r="DS113" i="3"/>
  <c r="DT113" i="3"/>
  <c r="DU113" i="3"/>
  <c r="DV113" i="3"/>
  <c r="DW113" i="3"/>
  <c r="DX113" i="3"/>
  <c r="DY113" i="3"/>
  <c r="DZ113" i="3"/>
  <c r="EA113" i="3"/>
  <c r="EB113" i="3"/>
  <c r="EC113" i="3"/>
  <c r="ED113" i="3"/>
  <c r="EE113" i="3"/>
  <c r="EF113" i="3"/>
  <c r="EG113" i="3"/>
  <c r="EI113" i="3"/>
  <c r="EJ113" i="3"/>
  <c r="EK113" i="3"/>
  <c r="EL113" i="3"/>
  <c r="EM113" i="3"/>
  <c r="EN113" i="3"/>
  <c r="EO113" i="3"/>
  <c r="EP113" i="3"/>
  <c r="EQ113" i="3"/>
  <c r="ER113" i="3"/>
  <c r="ES113" i="3"/>
  <c r="ET113" i="3"/>
  <c r="EU113" i="3"/>
  <c r="EV113" i="3"/>
  <c r="EW113" i="3"/>
  <c r="EX113" i="3"/>
  <c r="EY113" i="3"/>
  <c r="EZ113" i="3"/>
  <c r="FA113" i="3"/>
  <c r="FB113" i="3"/>
  <c r="FC113" i="3"/>
  <c r="FD113" i="3"/>
  <c r="FE113" i="3"/>
  <c r="FF113" i="3"/>
  <c r="FG113" i="3"/>
  <c r="FH113" i="3"/>
  <c r="FI113" i="3"/>
  <c r="FJ113" i="3"/>
  <c r="FK113" i="3"/>
  <c r="FL113" i="3"/>
  <c r="FM113" i="3"/>
  <c r="FN113" i="3"/>
  <c r="FO113" i="3"/>
  <c r="FP113" i="3"/>
  <c r="FQ113" i="3"/>
  <c r="FR113" i="3"/>
  <c r="FS113" i="3"/>
  <c r="FT113" i="3"/>
  <c r="FU113" i="3"/>
  <c r="FV113" i="3"/>
  <c r="FW113" i="3"/>
  <c r="FX113" i="3"/>
  <c r="FY113" i="3"/>
  <c r="FZ113" i="3"/>
  <c r="GA113" i="3"/>
  <c r="GB113" i="3"/>
  <c r="GC113" i="3"/>
  <c r="GD113" i="3"/>
  <c r="GE113" i="3"/>
  <c r="GF113" i="3"/>
  <c r="GG113" i="3"/>
  <c r="GH113" i="3"/>
  <c r="GI113" i="3"/>
  <c r="GJ113" i="3"/>
  <c r="GK113" i="3"/>
  <c r="GL113" i="3"/>
  <c r="GM113" i="3"/>
  <c r="GN113" i="3"/>
  <c r="GO113" i="3"/>
  <c r="GP113" i="3"/>
  <c r="GQ113" i="3"/>
  <c r="GR113" i="3"/>
  <c r="GS113" i="3"/>
  <c r="GT113" i="3"/>
  <c r="GU113" i="3"/>
  <c r="GV113" i="3"/>
  <c r="GW113" i="3"/>
  <c r="GX113" i="3"/>
  <c r="GY113" i="3"/>
  <c r="GZ113" i="3"/>
  <c r="HA113" i="3"/>
  <c r="HB113" i="3"/>
  <c r="HC113" i="3"/>
  <c r="HD113" i="3"/>
  <c r="HE113" i="3"/>
  <c r="HF113" i="3"/>
  <c r="HG113" i="3"/>
  <c r="HH113" i="3"/>
  <c r="HI113" i="3"/>
  <c r="HJ113" i="3"/>
  <c r="HK113" i="3"/>
  <c r="HL113" i="3"/>
  <c r="HM113" i="3"/>
  <c r="HN113" i="3"/>
  <c r="HO113" i="3"/>
  <c r="HP113" i="3"/>
  <c r="HQ113" i="3"/>
  <c r="HR113" i="3"/>
  <c r="HS113" i="3"/>
  <c r="HT113" i="3"/>
  <c r="HU113" i="3"/>
  <c r="HV113" i="3"/>
  <c r="HW113" i="3"/>
  <c r="HX113" i="3"/>
  <c r="HY113" i="3"/>
  <c r="HZ113" i="3"/>
  <c r="IA113" i="3"/>
  <c r="IB113" i="3"/>
  <c r="IC113" i="3"/>
  <c r="ID113" i="3"/>
  <c r="IE113" i="3"/>
  <c r="IF113" i="3"/>
  <c r="IG113" i="3"/>
  <c r="IH113" i="3"/>
  <c r="II113" i="3"/>
  <c r="IJ113" i="3"/>
  <c r="IK113" i="3"/>
  <c r="IL113" i="3"/>
  <c r="IM113" i="3"/>
  <c r="IN113" i="3"/>
  <c r="IO113" i="3"/>
  <c r="IP113" i="3"/>
  <c r="IQ113" i="3"/>
  <c r="IR113" i="3"/>
  <c r="IS113" i="3"/>
  <c r="IT113" i="3"/>
  <c r="IU113" i="3"/>
  <c r="IV113" i="3"/>
  <c r="IW113" i="3"/>
  <c r="IX113" i="3"/>
  <c r="IY113" i="3"/>
  <c r="IZ113" i="3"/>
  <c r="JA113" i="3"/>
  <c r="JB113" i="3"/>
  <c r="JC113" i="3"/>
  <c r="JD113" i="3"/>
  <c r="JE113" i="3"/>
  <c r="JF113" i="3"/>
  <c r="JG113" i="3"/>
  <c r="JH113" i="3"/>
  <c r="JI113" i="3"/>
  <c r="JJ113" i="3"/>
  <c r="JK113" i="3"/>
  <c r="JL113" i="3"/>
  <c r="JM113" i="3"/>
  <c r="A114" i="3"/>
  <c r="B114" i="3"/>
  <c r="C114" i="3" s="1"/>
  <c r="D114" i="3"/>
  <c r="E114" i="3"/>
  <c r="F114"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K114" i="3"/>
  <c r="AL114" i="3"/>
  <c r="AM114" i="3"/>
  <c r="AN114" i="3"/>
  <c r="AO114" i="3"/>
  <c r="AP114" i="3"/>
  <c r="AQ114" i="3"/>
  <c r="AR114" i="3"/>
  <c r="AS114" i="3"/>
  <c r="AT114" i="3"/>
  <c r="AU114" i="3"/>
  <c r="AV114" i="3"/>
  <c r="AW114" i="3"/>
  <c r="AX114" i="3"/>
  <c r="AY114" i="3"/>
  <c r="AZ114" i="3"/>
  <c r="BA114" i="3"/>
  <c r="BB114" i="3"/>
  <c r="BC114" i="3"/>
  <c r="BD114" i="3"/>
  <c r="BE114" i="3"/>
  <c r="BF114" i="3"/>
  <c r="BG114" i="3"/>
  <c r="BH114" i="3"/>
  <c r="BI114" i="3"/>
  <c r="BJ114" i="3"/>
  <c r="BK114" i="3"/>
  <c r="BL114" i="3"/>
  <c r="BM114" i="3"/>
  <c r="BN114" i="3"/>
  <c r="BO114" i="3"/>
  <c r="BP114" i="3"/>
  <c r="BQ114" i="3"/>
  <c r="BR114" i="3"/>
  <c r="BS114" i="3"/>
  <c r="BT114" i="3"/>
  <c r="BU114" i="3"/>
  <c r="BV114" i="3"/>
  <c r="BW114" i="3"/>
  <c r="BX114" i="3"/>
  <c r="BY114" i="3"/>
  <c r="BZ114" i="3"/>
  <c r="CA114" i="3"/>
  <c r="CB114" i="3"/>
  <c r="CC114" i="3"/>
  <c r="CD114" i="3"/>
  <c r="CE114" i="3"/>
  <c r="CF114" i="3"/>
  <c r="CG114" i="3"/>
  <c r="CH114" i="3"/>
  <c r="CI114" i="3"/>
  <c r="CJ114" i="3"/>
  <c r="CK114" i="3"/>
  <c r="CL114" i="3"/>
  <c r="CM114" i="3"/>
  <c r="CN114" i="3"/>
  <c r="CO114" i="3"/>
  <c r="CP114" i="3"/>
  <c r="CQ114" i="3"/>
  <c r="CR114" i="3"/>
  <c r="CS114" i="3"/>
  <c r="CT114" i="3"/>
  <c r="CU114" i="3"/>
  <c r="CV114" i="3"/>
  <c r="CW114" i="3"/>
  <c r="CX114" i="3"/>
  <c r="CY114" i="3"/>
  <c r="CZ114" i="3"/>
  <c r="DA114" i="3"/>
  <c r="DB114" i="3"/>
  <c r="DC114" i="3"/>
  <c r="DD114" i="3"/>
  <c r="DE114" i="3"/>
  <c r="DF114" i="3"/>
  <c r="DG114" i="3"/>
  <c r="DH114" i="3"/>
  <c r="DI114" i="3"/>
  <c r="DJ114" i="3"/>
  <c r="DK114" i="3"/>
  <c r="DL114" i="3"/>
  <c r="DM114" i="3"/>
  <c r="DN114" i="3"/>
  <c r="DO114" i="3"/>
  <c r="DP114" i="3"/>
  <c r="DQ114" i="3"/>
  <c r="DR114" i="3"/>
  <c r="DS114" i="3"/>
  <c r="DT114" i="3"/>
  <c r="DU114" i="3"/>
  <c r="DV114" i="3"/>
  <c r="DW114" i="3"/>
  <c r="DX114" i="3"/>
  <c r="DY114" i="3"/>
  <c r="DZ114" i="3"/>
  <c r="EA114" i="3"/>
  <c r="EB114" i="3"/>
  <c r="EC114" i="3"/>
  <c r="ED114" i="3"/>
  <c r="EE114" i="3"/>
  <c r="EF114" i="3"/>
  <c r="EG114" i="3"/>
  <c r="EI114" i="3"/>
  <c r="EJ114" i="3"/>
  <c r="EK114" i="3"/>
  <c r="EL114" i="3"/>
  <c r="EM114" i="3"/>
  <c r="EN114" i="3"/>
  <c r="EO114" i="3"/>
  <c r="EP114" i="3"/>
  <c r="EQ114" i="3"/>
  <c r="ER114" i="3"/>
  <c r="ES114" i="3"/>
  <c r="ET114" i="3"/>
  <c r="EU114" i="3"/>
  <c r="EV114" i="3"/>
  <c r="EW114" i="3"/>
  <c r="EX114" i="3"/>
  <c r="EY114" i="3"/>
  <c r="EZ114" i="3"/>
  <c r="FA114" i="3"/>
  <c r="FB114" i="3"/>
  <c r="FC114" i="3"/>
  <c r="FD114" i="3"/>
  <c r="FE114" i="3"/>
  <c r="FF114" i="3"/>
  <c r="FG114" i="3"/>
  <c r="FH114" i="3"/>
  <c r="FI114" i="3"/>
  <c r="FJ114" i="3"/>
  <c r="FK114" i="3"/>
  <c r="FL114" i="3"/>
  <c r="FM114" i="3"/>
  <c r="FN114" i="3"/>
  <c r="FO114" i="3"/>
  <c r="FP114" i="3"/>
  <c r="FQ114" i="3"/>
  <c r="FR114" i="3"/>
  <c r="FS114" i="3"/>
  <c r="FT114" i="3"/>
  <c r="FU114" i="3"/>
  <c r="FV114" i="3"/>
  <c r="FW114" i="3"/>
  <c r="FX114" i="3"/>
  <c r="FY114" i="3"/>
  <c r="FZ114" i="3"/>
  <c r="GA114" i="3"/>
  <c r="GB114" i="3"/>
  <c r="GC114" i="3"/>
  <c r="GD114" i="3"/>
  <c r="GE114" i="3"/>
  <c r="GF114" i="3"/>
  <c r="GG114" i="3"/>
  <c r="GH114" i="3"/>
  <c r="GI114" i="3"/>
  <c r="GJ114" i="3"/>
  <c r="GK114" i="3"/>
  <c r="GL114" i="3"/>
  <c r="GM114" i="3"/>
  <c r="GN114" i="3"/>
  <c r="GO114" i="3"/>
  <c r="GP114" i="3"/>
  <c r="GQ114" i="3"/>
  <c r="GR114" i="3"/>
  <c r="GS114" i="3"/>
  <c r="GT114" i="3"/>
  <c r="GU114" i="3"/>
  <c r="GV114" i="3"/>
  <c r="GW114" i="3"/>
  <c r="GX114" i="3"/>
  <c r="GY114" i="3"/>
  <c r="GZ114" i="3"/>
  <c r="HA114" i="3"/>
  <c r="HB114" i="3"/>
  <c r="HC114" i="3"/>
  <c r="HD114" i="3"/>
  <c r="HE114" i="3"/>
  <c r="HF114" i="3"/>
  <c r="HG114" i="3"/>
  <c r="HH114" i="3"/>
  <c r="HI114" i="3"/>
  <c r="HJ114" i="3"/>
  <c r="HK114" i="3"/>
  <c r="HL114" i="3"/>
  <c r="HM114" i="3"/>
  <c r="HN114" i="3"/>
  <c r="HO114" i="3"/>
  <c r="HP114" i="3"/>
  <c r="HQ114" i="3"/>
  <c r="HR114" i="3"/>
  <c r="HS114" i="3"/>
  <c r="HT114" i="3"/>
  <c r="HU114" i="3"/>
  <c r="HV114" i="3"/>
  <c r="HW114" i="3"/>
  <c r="HX114" i="3"/>
  <c r="HY114" i="3"/>
  <c r="HZ114" i="3"/>
  <c r="IA114" i="3"/>
  <c r="IB114" i="3"/>
  <c r="IC114" i="3"/>
  <c r="ID114" i="3"/>
  <c r="IE114" i="3"/>
  <c r="IF114" i="3"/>
  <c r="IG114" i="3"/>
  <c r="IH114" i="3"/>
  <c r="II114" i="3"/>
  <c r="IJ114" i="3"/>
  <c r="IK114" i="3"/>
  <c r="IL114" i="3"/>
  <c r="IM114" i="3"/>
  <c r="IN114" i="3"/>
  <c r="IO114" i="3"/>
  <c r="IP114" i="3"/>
  <c r="IQ114" i="3"/>
  <c r="IR114" i="3"/>
  <c r="IS114" i="3"/>
  <c r="IT114" i="3"/>
  <c r="IU114" i="3"/>
  <c r="IV114" i="3"/>
  <c r="IW114" i="3"/>
  <c r="IX114" i="3"/>
  <c r="IY114" i="3"/>
  <c r="IZ114" i="3"/>
  <c r="JA114" i="3"/>
  <c r="JB114" i="3"/>
  <c r="JC114" i="3"/>
  <c r="JD114" i="3"/>
  <c r="JE114" i="3"/>
  <c r="JF114" i="3"/>
  <c r="JG114" i="3"/>
  <c r="JH114" i="3"/>
  <c r="JI114" i="3"/>
  <c r="JJ114" i="3"/>
  <c r="JK114" i="3"/>
  <c r="JL114" i="3"/>
  <c r="JM114" i="3"/>
  <c r="A115" i="3"/>
  <c r="B115" i="3"/>
  <c r="O115" i="3"/>
  <c r="P115" i="3"/>
  <c r="Q115" i="3"/>
  <c r="R115" i="3"/>
  <c r="S115" i="3"/>
  <c r="T115" i="3"/>
  <c r="U115" i="3"/>
  <c r="V115" i="3"/>
  <c r="W115" i="3"/>
  <c r="X115" i="3"/>
  <c r="Y115" i="3"/>
  <c r="Z115" i="3"/>
  <c r="AA115" i="3"/>
  <c r="AB115" i="3"/>
  <c r="AC115" i="3"/>
  <c r="AD115" i="3"/>
  <c r="AE115" i="3"/>
  <c r="AF115" i="3"/>
  <c r="AG115" i="3"/>
  <c r="AH115" i="3"/>
  <c r="AI115" i="3"/>
  <c r="AJ115" i="3"/>
  <c r="AK115" i="3"/>
  <c r="AL115" i="3"/>
  <c r="AM115" i="3"/>
  <c r="AN115" i="3"/>
  <c r="AO115" i="3"/>
  <c r="AP115" i="3"/>
  <c r="AQ115" i="3"/>
  <c r="AR115" i="3"/>
  <c r="AS115" i="3"/>
  <c r="AT115" i="3"/>
  <c r="AU115" i="3"/>
  <c r="AV115" i="3"/>
  <c r="AW115" i="3"/>
  <c r="AX115" i="3"/>
  <c r="AY115" i="3"/>
  <c r="AZ115" i="3"/>
  <c r="BA115" i="3"/>
  <c r="BB115" i="3"/>
  <c r="BC115" i="3"/>
  <c r="BD115" i="3"/>
  <c r="BE115" i="3"/>
  <c r="BF115" i="3"/>
  <c r="BG115" i="3"/>
  <c r="BH115" i="3"/>
  <c r="BI115" i="3"/>
  <c r="BJ115" i="3"/>
  <c r="BK115" i="3"/>
  <c r="BL115" i="3"/>
  <c r="BM115" i="3"/>
  <c r="BN115" i="3"/>
  <c r="BO115" i="3"/>
  <c r="BP115" i="3"/>
  <c r="BQ115" i="3"/>
  <c r="BR115" i="3"/>
  <c r="BS115" i="3"/>
  <c r="BT115" i="3"/>
  <c r="BU115" i="3"/>
  <c r="BV115" i="3"/>
  <c r="BW115" i="3"/>
  <c r="BX115" i="3"/>
  <c r="BY115" i="3"/>
  <c r="BZ115" i="3"/>
  <c r="CA115" i="3"/>
  <c r="CB115" i="3"/>
  <c r="CC115" i="3"/>
  <c r="CD115" i="3"/>
  <c r="CE115" i="3"/>
  <c r="CF115" i="3"/>
  <c r="CG115" i="3"/>
  <c r="CH115" i="3"/>
  <c r="CI115" i="3"/>
  <c r="CJ115" i="3"/>
  <c r="CK115" i="3"/>
  <c r="CL115" i="3"/>
  <c r="CM115" i="3"/>
  <c r="CN115" i="3"/>
  <c r="CO115" i="3"/>
  <c r="CP115" i="3"/>
  <c r="CQ115" i="3"/>
  <c r="CR115" i="3"/>
  <c r="CS115" i="3"/>
  <c r="CT115" i="3"/>
  <c r="CU115" i="3"/>
  <c r="CV115" i="3"/>
  <c r="CW115" i="3"/>
  <c r="CX115" i="3"/>
  <c r="CY115" i="3"/>
  <c r="CZ115" i="3"/>
  <c r="DA115" i="3"/>
  <c r="DB115" i="3"/>
  <c r="DC115" i="3"/>
  <c r="DD115" i="3"/>
  <c r="DE115" i="3"/>
  <c r="DF115" i="3"/>
  <c r="DG115" i="3"/>
  <c r="DH115" i="3"/>
  <c r="DI115" i="3"/>
  <c r="DJ115" i="3"/>
  <c r="DK115" i="3"/>
  <c r="DL115" i="3"/>
  <c r="DM115" i="3"/>
  <c r="DN115" i="3"/>
  <c r="DO115" i="3"/>
  <c r="DP115" i="3"/>
  <c r="DQ115" i="3"/>
  <c r="DR115" i="3"/>
  <c r="DS115" i="3"/>
  <c r="DT115" i="3"/>
  <c r="DU115" i="3"/>
  <c r="DV115" i="3"/>
  <c r="DW115" i="3"/>
  <c r="DX115" i="3"/>
  <c r="DY115" i="3"/>
  <c r="DZ115" i="3"/>
  <c r="EA115" i="3"/>
  <c r="EB115" i="3"/>
  <c r="EC115" i="3"/>
  <c r="ED115" i="3"/>
  <c r="EE115" i="3"/>
  <c r="EF115" i="3"/>
  <c r="EG115" i="3"/>
  <c r="EI115" i="3"/>
  <c r="EJ115" i="3"/>
  <c r="EK115" i="3"/>
  <c r="EL115" i="3"/>
  <c r="EM115" i="3"/>
  <c r="EN115" i="3"/>
  <c r="EO115" i="3"/>
  <c r="EP115" i="3"/>
  <c r="EQ115" i="3"/>
  <c r="ER115" i="3"/>
  <c r="ES115" i="3"/>
  <c r="ET115" i="3"/>
  <c r="EU115" i="3"/>
  <c r="EV115" i="3"/>
  <c r="EW115" i="3"/>
  <c r="EX115" i="3"/>
  <c r="EY115" i="3"/>
  <c r="EZ115" i="3"/>
  <c r="FA115" i="3"/>
  <c r="FB115" i="3"/>
  <c r="FC115" i="3"/>
  <c r="FD115" i="3"/>
  <c r="FE115" i="3"/>
  <c r="FF115" i="3"/>
  <c r="FG115" i="3"/>
  <c r="FH115" i="3"/>
  <c r="FI115" i="3"/>
  <c r="FJ115" i="3"/>
  <c r="FK115" i="3"/>
  <c r="FL115" i="3"/>
  <c r="FM115" i="3"/>
  <c r="FN115" i="3"/>
  <c r="FO115" i="3"/>
  <c r="FP115" i="3"/>
  <c r="FQ115" i="3"/>
  <c r="FR115" i="3"/>
  <c r="FS115" i="3"/>
  <c r="FT115" i="3"/>
  <c r="FU115" i="3"/>
  <c r="FV115" i="3"/>
  <c r="FW115" i="3"/>
  <c r="FX115" i="3"/>
  <c r="FY115" i="3"/>
  <c r="FZ115" i="3"/>
  <c r="GA115" i="3"/>
  <c r="GB115" i="3"/>
  <c r="GC115" i="3"/>
  <c r="GD115" i="3"/>
  <c r="GE115" i="3"/>
  <c r="GF115" i="3"/>
  <c r="GG115" i="3"/>
  <c r="GH115" i="3"/>
  <c r="GI115" i="3"/>
  <c r="GJ115" i="3"/>
  <c r="GK115" i="3"/>
  <c r="GL115" i="3"/>
  <c r="GM115" i="3"/>
  <c r="GN115" i="3"/>
  <c r="GO115" i="3"/>
  <c r="GP115" i="3"/>
  <c r="GQ115" i="3"/>
  <c r="GR115" i="3"/>
  <c r="GS115" i="3"/>
  <c r="GT115" i="3"/>
  <c r="GU115" i="3"/>
  <c r="GV115" i="3"/>
  <c r="GW115" i="3"/>
  <c r="GX115" i="3"/>
  <c r="GY115" i="3"/>
  <c r="GZ115" i="3"/>
  <c r="HA115" i="3"/>
  <c r="HB115" i="3"/>
  <c r="HC115" i="3"/>
  <c r="HD115" i="3"/>
  <c r="HE115" i="3"/>
  <c r="HF115" i="3"/>
  <c r="HG115" i="3"/>
  <c r="HH115" i="3"/>
  <c r="HI115" i="3"/>
  <c r="HJ115" i="3"/>
  <c r="HK115" i="3"/>
  <c r="HL115" i="3"/>
  <c r="HM115" i="3"/>
  <c r="HN115" i="3"/>
  <c r="HO115" i="3"/>
  <c r="HP115" i="3"/>
  <c r="HQ115" i="3"/>
  <c r="HR115" i="3"/>
  <c r="HS115" i="3"/>
  <c r="HT115" i="3"/>
  <c r="HU115" i="3"/>
  <c r="HV115" i="3"/>
  <c r="HW115" i="3"/>
  <c r="HX115" i="3"/>
  <c r="HY115" i="3"/>
  <c r="HZ115" i="3"/>
  <c r="IA115" i="3"/>
  <c r="IB115" i="3"/>
  <c r="IC115" i="3"/>
  <c r="ID115" i="3"/>
  <c r="IE115" i="3"/>
  <c r="IF115" i="3"/>
  <c r="IG115" i="3"/>
  <c r="IH115" i="3"/>
  <c r="II115" i="3"/>
  <c r="IJ115" i="3"/>
  <c r="IK115" i="3"/>
  <c r="IL115" i="3"/>
  <c r="IM115" i="3"/>
  <c r="IN115" i="3"/>
  <c r="IO115" i="3"/>
  <c r="IP115" i="3"/>
  <c r="IQ115" i="3"/>
  <c r="IR115" i="3"/>
  <c r="IS115" i="3"/>
  <c r="IT115" i="3"/>
  <c r="IU115" i="3"/>
  <c r="IV115" i="3"/>
  <c r="IW115" i="3"/>
  <c r="IX115" i="3"/>
  <c r="IY115" i="3"/>
  <c r="IZ115" i="3"/>
  <c r="JA115" i="3"/>
  <c r="JB115" i="3"/>
  <c r="JC115" i="3"/>
  <c r="JD115" i="3"/>
  <c r="JE115" i="3"/>
  <c r="JF115" i="3"/>
  <c r="JG115" i="3"/>
  <c r="JH115" i="3"/>
  <c r="JI115" i="3"/>
  <c r="JJ115" i="3"/>
  <c r="JK115" i="3"/>
  <c r="JL115" i="3"/>
  <c r="JM115" i="3"/>
  <c r="A106" i="3"/>
  <c r="B106" i="3"/>
  <c r="BC106" i="3"/>
  <c r="BD106" i="3"/>
  <c r="BE106" i="3"/>
  <c r="BF106" i="3"/>
  <c r="BG106" i="3"/>
  <c r="BH106" i="3"/>
  <c r="BI106" i="3"/>
  <c r="BJ106" i="3"/>
  <c r="BK106" i="3"/>
  <c r="BL106" i="3"/>
  <c r="BM106" i="3"/>
  <c r="BN106" i="3"/>
  <c r="BO106" i="3"/>
  <c r="BP106" i="3"/>
  <c r="BQ106" i="3"/>
  <c r="BR106" i="3"/>
  <c r="BS106" i="3"/>
  <c r="BT106" i="3"/>
  <c r="BU106" i="3"/>
  <c r="BV106" i="3"/>
  <c r="BW106" i="3"/>
  <c r="BX106" i="3"/>
  <c r="BY106" i="3"/>
  <c r="BZ106" i="3"/>
  <c r="CA106" i="3"/>
  <c r="CB106" i="3"/>
  <c r="CC106" i="3"/>
  <c r="CD106" i="3"/>
  <c r="CE106" i="3"/>
  <c r="CF106" i="3"/>
  <c r="CG106" i="3"/>
  <c r="CH106" i="3"/>
  <c r="CI106" i="3"/>
  <c r="CJ106" i="3"/>
  <c r="CK106" i="3"/>
  <c r="CL106" i="3"/>
  <c r="CM106" i="3"/>
  <c r="CN106" i="3"/>
  <c r="CO106" i="3"/>
  <c r="CP106" i="3"/>
  <c r="CQ106" i="3"/>
  <c r="CR106" i="3"/>
  <c r="CS106" i="3"/>
  <c r="CT106" i="3"/>
  <c r="CU106" i="3"/>
  <c r="CV106" i="3"/>
  <c r="CW106" i="3"/>
  <c r="CX106" i="3"/>
  <c r="CY106" i="3"/>
  <c r="CZ106" i="3"/>
  <c r="DA106" i="3"/>
  <c r="DB106" i="3"/>
  <c r="DC106" i="3"/>
  <c r="DD106" i="3"/>
  <c r="DE106" i="3"/>
  <c r="DF106" i="3"/>
  <c r="DG106" i="3"/>
  <c r="DH106" i="3"/>
  <c r="DI106" i="3"/>
  <c r="DJ106" i="3"/>
  <c r="DK106" i="3"/>
  <c r="DL106" i="3"/>
  <c r="DM106" i="3"/>
  <c r="DN106" i="3"/>
  <c r="DO106" i="3"/>
  <c r="DP106" i="3"/>
  <c r="DQ106" i="3"/>
  <c r="DR106" i="3"/>
  <c r="DS106" i="3"/>
  <c r="DT106" i="3"/>
  <c r="DU106" i="3"/>
  <c r="DV106" i="3"/>
  <c r="DW106" i="3"/>
  <c r="DX106" i="3"/>
  <c r="DY106" i="3"/>
  <c r="DZ106" i="3"/>
  <c r="EA106" i="3"/>
  <c r="EB106" i="3"/>
  <c r="EC106" i="3"/>
  <c r="ED106" i="3"/>
  <c r="EE106" i="3"/>
  <c r="EF106" i="3"/>
  <c r="EG106" i="3"/>
  <c r="EI106" i="3"/>
  <c r="EJ106" i="3"/>
  <c r="EK106" i="3"/>
  <c r="EL106" i="3"/>
  <c r="EM106" i="3"/>
  <c r="EN106" i="3"/>
  <c r="EO106" i="3"/>
  <c r="EP106" i="3"/>
  <c r="EQ106" i="3"/>
  <c r="ER106" i="3"/>
  <c r="ES106" i="3"/>
  <c r="ET106" i="3"/>
  <c r="EU106" i="3"/>
  <c r="EV106" i="3"/>
  <c r="EW106" i="3"/>
  <c r="EX106" i="3"/>
  <c r="EY106" i="3"/>
  <c r="EZ106" i="3"/>
  <c r="FA106" i="3"/>
  <c r="FB106" i="3"/>
  <c r="FC106" i="3"/>
  <c r="FD106" i="3"/>
  <c r="FE106" i="3"/>
  <c r="FF106" i="3"/>
  <c r="FG106" i="3"/>
  <c r="FH106" i="3"/>
  <c r="FI106" i="3"/>
  <c r="FJ106" i="3"/>
  <c r="FK106" i="3"/>
  <c r="FL106" i="3"/>
  <c r="FM106" i="3"/>
  <c r="FN106" i="3"/>
  <c r="FO106" i="3"/>
  <c r="FP106" i="3"/>
  <c r="FQ106" i="3"/>
  <c r="FR106" i="3"/>
  <c r="FS106" i="3"/>
  <c r="FT106" i="3"/>
  <c r="FU106" i="3"/>
  <c r="FV106" i="3"/>
  <c r="FW106" i="3"/>
  <c r="FX106" i="3"/>
  <c r="FY106" i="3"/>
  <c r="FZ106" i="3"/>
  <c r="GA106" i="3"/>
  <c r="GB106" i="3"/>
  <c r="GC106" i="3"/>
  <c r="GD106" i="3"/>
  <c r="GE106" i="3"/>
  <c r="GF106" i="3"/>
  <c r="GG106" i="3"/>
  <c r="GH106" i="3"/>
  <c r="GI106" i="3"/>
  <c r="GJ106" i="3"/>
  <c r="GK106" i="3"/>
  <c r="GL106" i="3"/>
  <c r="GM106" i="3"/>
  <c r="GN106" i="3"/>
  <c r="GO106" i="3"/>
  <c r="GP106" i="3"/>
  <c r="GQ106" i="3"/>
  <c r="GR106" i="3"/>
  <c r="GS106" i="3"/>
  <c r="GT106" i="3"/>
  <c r="GU106" i="3"/>
  <c r="GV106" i="3"/>
  <c r="GW106" i="3"/>
  <c r="GX106" i="3"/>
  <c r="GY106" i="3"/>
  <c r="GZ106" i="3"/>
  <c r="HA106" i="3"/>
  <c r="HB106" i="3"/>
  <c r="HC106" i="3"/>
  <c r="HD106" i="3"/>
  <c r="HE106" i="3"/>
  <c r="HF106" i="3"/>
  <c r="HG106" i="3"/>
  <c r="HH106" i="3"/>
  <c r="HI106" i="3"/>
  <c r="HJ106" i="3"/>
  <c r="HK106" i="3"/>
  <c r="HL106" i="3"/>
  <c r="HM106" i="3"/>
  <c r="HN106" i="3"/>
  <c r="HO106" i="3"/>
  <c r="HP106" i="3"/>
  <c r="HQ106" i="3"/>
  <c r="HR106" i="3"/>
  <c r="HS106" i="3"/>
  <c r="HT106" i="3"/>
  <c r="HU106" i="3"/>
  <c r="HV106" i="3"/>
  <c r="HW106" i="3"/>
  <c r="HX106" i="3"/>
  <c r="HY106" i="3"/>
  <c r="HZ106" i="3"/>
  <c r="IA106" i="3"/>
  <c r="IB106" i="3"/>
  <c r="IC106" i="3"/>
  <c r="ID106" i="3"/>
  <c r="IE106" i="3"/>
  <c r="IF106" i="3"/>
  <c r="IG106" i="3"/>
  <c r="IH106" i="3"/>
  <c r="II106" i="3"/>
  <c r="IJ106" i="3"/>
  <c r="IK106" i="3"/>
  <c r="IL106" i="3"/>
  <c r="IM106" i="3"/>
  <c r="IN106" i="3"/>
  <c r="IO106" i="3"/>
  <c r="IP106" i="3"/>
  <c r="IQ106" i="3"/>
  <c r="IR106" i="3"/>
  <c r="IS106" i="3"/>
  <c r="IT106" i="3"/>
  <c r="IU106" i="3"/>
  <c r="IV106" i="3"/>
  <c r="IW106" i="3"/>
  <c r="IX106" i="3"/>
  <c r="IY106" i="3"/>
  <c r="IZ106" i="3"/>
  <c r="JA106" i="3"/>
  <c r="JB106" i="3"/>
  <c r="JC106" i="3"/>
  <c r="JD106" i="3"/>
  <c r="JE106" i="3"/>
  <c r="JF106" i="3"/>
  <c r="JG106" i="3"/>
  <c r="JH106" i="3"/>
  <c r="JI106" i="3"/>
  <c r="JJ106" i="3"/>
  <c r="JK106" i="3"/>
  <c r="JL106" i="3"/>
  <c r="JM106" i="3"/>
  <c r="A107" i="3"/>
  <c r="B107" i="3"/>
  <c r="C107"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K107" i="3"/>
  <c r="AL107" i="3"/>
  <c r="AM107" i="3"/>
  <c r="AN107" i="3"/>
  <c r="AO107" i="3"/>
  <c r="AP107" i="3"/>
  <c r="AQ107" i="3"/>
  <c r="AR107" i="3"/>
  <c r="AS107" i="3"/>
  <c r="AT107" i="3"/>
  <c r="AU107" i="3"/>
  <c r="AV107" i="3"/>
  <c r="AW107" i="3"/>
  <c r="AX107" i="3"/>
  <c r="AY107" i="3"/>
  <c r="AZ107" i="3"/>
  <c r="BA107" i="3"/>
  <c r="BB107" i="3"/>
  <c r="BC107" i="3"/>
  <c r="BD107" i="3"/>
  <c r="BE107" i="3"/>
  <c r="BF107" i="3"/>
  <c r="BG107" i="3"/>
  <c r="BH107" i="3"/>
  <c r="BI107" i="3"/>
  <c r="BJ107" i="3"/>
  <c r="BK107" i="3"/>
  <c r="BL107" i="3"/>
  <c r="BM107" i="3"/>
  <c r="BN107" i="3"/>
  <c r="BO107" i="3"/>
  <c r="BP107" i="3"/>
  <c r="BQ107" i="3"/>
  <c r="BR107" i="3"/>
  <c r="BS107" i="3"/>
  <c r="BT107" i="3"/>
  <c r="BU107" i="3"/>
  <c r="BV107" i="3"/>
  <c r="BW107" i="3"/>
  <c r="BX107" i="3"/>
  <c r="BY107" i="3"/>
  <c r="BZ107" i="3"/>
  <c r="CA107" i="3"/>
  <c r="CB107" i="3"/>
  <c r="CC107" i="3"/>
  <c r="CD107" i="3"/>
  <c r="CE107" i="3"/>
  <c r="CF107" i="3"/>
  <c r="CG107" i="3"/>
  <c r="CH107" i="3"/>
  <c r="CI107" i="3"/>
  <c r="CJ107" i="3"/>
  <c r="CK107" i="3"/>
  <c r="CL107" i="3"/>
  <c r="CM107" i="3"/>
  <c r="CN107" i="3"/>
  <c r="CO107" i="3"/>
  <c r="CP107" i="3"/>
  <c r="CQ107" i="3"/>
  <c r="CR107" i="3"/>
  <c r="CS107" i="3"/>
  <c r="CT107" i="3"/>
  <c r="CU107" i="3"/>
  <c r="CV107" i="3"/>
  <c r="CW107" i="3"/>
  <c r="CX107" i="3"/>
  <c r="CY107" i="3"/>
  <c r="CZ107" i="3"/>
  <c r="DA107" i="3"/>
  <c r="DB107" i="3"/>
  <c r="DC107" i="3"/>
  <c r="DD107" i="3"/>
  <c r="DE107" i="3"/>
  <c r="DF107" i="3"/>
  <c r="DG107" i="3"/>
  <c r="DH107" i="3"/>
  <c r="DI107" i="3"/>
  <c r="DJ107" i="3"/>
  <c r="DK107" i="3"/>
  <c r="DL107" i="3"/>
  <c r="DM107" i="3"/>
  <c r="DN107" i="3"/>
  <c r="DO107" i="3"/>
  <c r="DP107" i="3"/>
  <c r="DQ107" i="3"/>
  <c r="DR107" i="3"/>
  <c r="DS107" i="3"/>
  <c r="DT107" i="3"/>
  <c r="DU107" i="3"/>
  <c r="DV107" i="3"/>
  <c r="DW107" i="3"/>
  <c r="DX107" i="3"/>
  <c r="DY107" i="3"/>
  <c r="DZ107" i="3"/>
  <c r="EA107" i="3"/>
  <c r="EB107" i="3"/>
  <c r="EC107" i="3"/>
  <c r="ED107" i="3"/>
  <c r="EE107" i="3"/>
  <c r="EF107" i="3"/>
  <c r="EG107" i="3"/>
  <c r="EI107" i="3"/>
  <c r="EJ107" i="3"/>
  <c r="EK107" i="3"/>
  <c r="EL107" i="3"/>
  <c r="EM107" i="3"/>
  <c r="EN107" i="3"/>
  <c r="EO107" i="3"/>
  <c r="EP107" i="3"/>
  <c r="EQ107" i="3"/>
  <c r="ER107" i="3"/>
  <c r="ES107" i="3"/>
  <c r="ET107" i="3"/>
  <c r="EU107" i="3"/>
  <c r="EV107" i="3"/>
  <c r="EW107" i="3"/>
  <c r="EX107" i="3"/>
  <c r="EY107" i="3"/>
  <c r="EZ107" i="3"/>
  <c r="FA107" i="3"/>
  <c r="FB107" i="3"/>
  <c r="FC107" i="3"/>
  <c r="FD107" i="3"/>
  <c r="FE107" i="3"/>
  <c r="FF107" i="3"/>
  <c r="FG107" i="3"/>
  <c r="FH107" i="3"/>
  <c r="FI107" i="3"/>
  <c r="FJ107" i="3"/>
  <c r="FK107" i="3"/>
  <c r="FL107" i="3"/>
  <c r="FM107" i="3"/>
  <c r="FN107" i="3"/>
  <c r="FO107" i="3"/>
  <c r="FP107" i="3"/>
  <c r="FQ107" i="3"/>
  <c r="FR107" i="3"/>
  <c r="FS107" i="3"/>
  <c r="FT107" i="3"/>
  <c r="FU107" i="3"/>
  <c r="FV107" i="3"/>
  <c r="FW107" i="3"/>
  <c r="FX107" i="3"/>
  <c r="FY107" i="3"/>
  <c r="FZ107" i="3"/>
  <c r="GA107" i="3"/>
  <c r="GB107" i="3"/>
  <c r="GC107" i="3"/>
  <c r="GD107" i="3"/>
  <c r="GE107" i="3"/>
  <c r="GF107" i="3"/>
  <c r="GG107" i="3"/>
  <c r="GH107" i="3"/>
  <c r="GI107" i="3"/>
  <c r="GJ107" i="3"/>
  <c r="GK107" i="3"/>
  <c r="GL107" i="3"/>
  <c r="GM107" i="3"/>
  <c r="GN107" i="3"/>
  <c r="GO107" i="3"/>
  <c r="GP107" i="3"/>
  <c r="GQ107" i="3"/>
  <c r="GR107" i="3"/>
  <c r="GS107" i="3"/>
  <c r="GT107" i="3"/>
  <c r="GU107" i="3"/>
  <c r="GV107" i="3"/>
  <c r="GW107" i="3"/>
  <c r="GX107" i="3"/>
  <c r="GY107" i="3"/>
  <c r="GZ107" i="3"/>
  <c r="HA107" i="3"/>
  <c r="HB107" i="3"/>
  <c r="HC107" i="3"/>
  <c r="HD107" i="3"/>
  <c r="HE107" i="3"/>
  <c r="HF107" i="3"/>
  <c r="HG107" i="3"/>
  <c r="HH107" i="3"/>
  <c r="HI107" i="3"/>
  <c r="HJ107" i="3"/>
  <c r="HK107" i="3"/>
  <c r="HL107" i="3"/>
  <c r="HM107" i="3"/>
  <c r="HN107" i="3"/>
  <c r="HO107" i="3"/>
  <c r="HP107" i="3"/>
  <c r="HQ107" i="3"/>
  <c r="HR107" i="3"/>
  <c r="HS107" i="3"/>
  <c r="HT107" i="3"/>
  <c r="HU107" i="3"/>
  <c r="HV107" i="3"/>
  <c r="HW107" i="3"/>
  <c r="HX107" i="3"/>
  <c r="HY107" i="3"/>
  <c r="HZ107" i="3"/>
  <c r="IA107" i="3"/>
  <c r="IB107" i="3"/>
  <c r="IC107" i="3"/>
  <c r="ID107" i="3"/>
  <c r="IE107" i="3"/>
  <c r="IF107" i="3"/>
  <c r="IG107" i="3"/>
  <c r="IH107" i="3"/>
  <c r="II107" i="3"/>
  <c r="IJ107" i="3"/>
  <c r="IK107" i="3"/>
  <c r="IL107" i="3"/>
  <c r="IM107" i="3"/>
  <c r="IN107" i="3"/>
  <c r="IO107" i="3"/>
  <c r="IP107" i="3"/>
  <c r="IQ107" i="3"/>
  <c r="IR107" i="3"/>
  <c r="IS107" i="3"/>
  <c r="IT107" i="3"/>
  <c r="IU107" i="3"/>
  <c r="IV107" i="3"/>
  <c r="IW107" i="3"/>
  <c r="IX107" i="3"/>
  <c r="IY107" i="3"/>
  <c r="IZ107" i="3"/>
  <c r="JA107" i="3"/>
  <c r="JB107" i="3"/>
  <c r="JC107" i="3"/>
  <c r="JD107" i="3"/>
  <c r="JE107" i="3"/>
  <c r="JF107" i="3"/>
  <c r="JG107" i="3"/>
  <c r="JH107" i="3"/>
  <c r="JI107" i="3"/>
  <c r="JJ107" i="3"/>
  <c r="JK107" i="3"/>
  <c r="JL107" i="3"/>
  <c r="JM107" i="3"/>
  <c r="A108" i="3"/>
  <c r="B108" i="3"/>
  <c r="E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K108" i="3"/>
  <c r="AL108" i="3"/>
  <c r="AM108" i="3"/>
  <c r="AN108" i="3"/>
  <c r="AO108" i="3"/>
  <c r="AP108" i="3"/>
  <c r="AQ108" i="3"/>
  <c r="AR108" i="3"/>
  <c r="AS108" i="3"/>
  <c r="AT108" i="3"/>
  <c r="AU108" i="3"/>
  <c r="AV108" i="3"/>
  <c r="AW108" i="3"/>
  <c r="AX108" i="3"/>
  <c r="AY108" i="3"/>
  <c r="AZ108" i="3"/>
  <c r="BA108" i="3"/>
  <c r="BB108" i="3"/>
  <c r="BC108" i="3"/>
  <c r="BD108" i="3"/>
  <c r="BE108" i="3"/>
  <c r="BF108" i="3"/>
  <c r="BG108" i="3"/>
  <c r="BH108" i="3"/>
  <c r="BI108" i="3"/>
  <c r="BJ108" i="3"/>
  <c r="BK108" i="3"/>
  <c r="BL108" i="3"/>
  <c r="BM108" i="3"/>
  <c r="BN108" i="3"/>
  <c r="BO108" i="3"/>
  <c r="BP108" i="3"/>
  <c r="BQ108" i="3"/>
  <c r="BR108" i="3"/>
  <c r="BS108" i="3"/>
  <c r="BT108" i="3"/>
  <c r="BU108" i="3"/>
  <c r="BV108" i="3"/>
  <c r="BW108" i="3"/>
  <c r="BX108" i="3"/>
  <c r="BY108" i="3"/>
  <c r="BZ108" i="3"/>
  <c r="CA108" i="3"/>
  <c r="CB108" i="3"/>
  <c r="CC108" i="3"/>
  <c r="CD108" i="3"/>
  <c r="CE108" i="3"/>
  <c r="CF108" i="3"/>
  <c r="CG108" i="3"/>
  <c r="CH108" i="3"/>
  <c r="CI108" i="3"/>
  <c r="CJ108" i="3"/>
  <c r="CK108" i="3"/>
  <c r="CL108" i="3"/>
  <c r="CM108" i="3"/>
  <c r="CN108" i="3"/>
  <c r="CO108" i="3"/>
  <c r="CP108" i="3"/>
  <c r="CQ108" i="3"/>
  <c r="CR108" i="3"/>
  <c r="CS108" i="3"/>
  <c r="CT108" i="3"/>
  <c r="CU108" i="3"/>
  <c r="CV108" i="3"/>
  <c r="CW108" i="3"/>
  <c r="CX108" i="3"/>
  <c r="CY108" i="3"/>
  <c r="CZ108" i="3"/>
  <c r="DA108" i="3"/>
  <c r="DB108" i="3"/>
  <c r="DC108" i="3"/>
  <c r="DD108" i="3"/>
  <c r="DE108" i="3"/>
  <c r="DF108" i="3"/>
  <c r="DG108" i="3"/>
  <c r="DH108" i="3"/>
  <c r="DI108" i="3"/>
  <c r="DJ108" i="3"/>
  <c r="DK108" i="3"/>
  <c r="DL108" i="3"/>
  <c r="DM108" i="3"/>
  <c r="DN108" i="3"/>
  <c r="DO108" i="3"/>
  <c r="DP108" i="3"/>
  <c r="DQ108" i="3"/>
  <c r="DR108" i="3"/>
  <c r="DS108" i="3"/>
  <c r="DT108" i="3"/>
  <c r="DU108" i="3"/>
  <c r="DV108" i="3"/>
  <c r="DW108" i="3"/>
  <c r="DX108" i="3"/>
  <c r="DY108" i="3"/>
  <c r="DZ108" i="3"/>
  <c r="EA108" i="3"/>
  <c r="EB108" i="3"/>
  <c r="EC108" i="3"/>
  <c r="ED108" i="3"/>
  <c r="EE108" i="3"/>
  <c r="EF108" i="3"/>
  <c r="EG108" i="3"/>
  <c r="EI108" i="3"/>
  <c r="EJ108" i="3"/>
  <c r="EK108" i="3"/>
  <c r="EL108" i="3"/>
  <c r="EM108" i="3"/>
  <c r="EN108" i="3"/>
  <c r="EO108" i="3"/>
  <c r="EP108" i="3"/>
  <c r="EQ108" i="3"/>
  <c r="ER108" i="3"/>
  <c r="ES108" i="3"/>
  <c r="ET108" i="3"/>
  <c r="EU108" i="3"/>
  <c r="EV108" i="3"/>
  <c r="EW108" i="3"/>
  <c r="EX108" i="3"/>
  <c r="EY108" i="3"/>
  <c r="EZ108" i="3"/>
  <c r="FA108" i="3"/>
  <c r="FB108" i="3"/>
  <c r="FC108" i="3"/>
  <c r="FD108" i="3"/>
  <c r="FE108" i="3"/>
  <c r="FF108" i="3"/>
  <c r="FG108" i="3"/>
  <c r="FH108" i="3"/>
  <c r="FI108" i="3"/>
  <c r="FJ108" i="3"/>
  <c r="FK108" i="3"/>
  <c r="FL108" i="3"/>
  <c r="FM108" i="3"/>
  <c r="FN108" i="3"/>
  <c r="FO108" i="3"/>
  <c r="FP108" i="3"/>
  <c r="FQ108" i="3"/>
  <c r="FR108" i="3"/>
  <c r="FS108" i="3"/>
  <c r="FT108" i="3"/>
  <c r="FU108" i="3"/>
  <c r="FV108" i="3"/>
  <c r="FW108" i="3"/>
  <c r="FX108" i="3"/>
  <c r="FY108" i="3"/>
  <c r="FZ108" i="3"/>
  <c r="GA108" i="3"/>
  <c r="GB108" i="3"/>
  <c r="GC108" i="3"/>
  <c r="GD108" i="3"/>
  <c r="GE108" i="3"/>
  <c r="GF108" i="3"/>
  <c r="GG108" i="3"/>
  <c r="GH108" i="3"/>
  <c r="GI108" i="3"/>
  <c r="GJ108" i="3"/>
  <c r="GK108" i="3"/>
  <c r="GL108" i="3"/>
  <c r="GM108" i="3"/>
  <c r="GN108" i="3"/>
  <c r="GO108" i="3"/>
  <c r="GP108" i="3"/>
  <c r="GQ108" i="3"/>
  <c r="GR108" i="3"/>
  <c r="GS108" i="3"/>
  <c r="GT108" i="3"/>
  <c r="GU108" i="3"/>
  <c r="GV108" i="3"/>
  <c r="GW108" i="3"/>
  <c r="GX108" i="3"/>
  <c r="GY108" i="3"/>
  <c r="GZ108" i="3"/>
  <c r="HA108" i="3"/>
  <c r="HB108" i="3"/>
  <c r="HC108" i="3"/>
  <c r="HD108" i="3"/>
  <c r="HE108" i="3"/>
  <c r="HF108" i="3"/>
  <c r="HG108" i="3"/>
  <c r="HH108" i="3"/>
  <c r="HI108" i="3"/>
  <c r="HJ108" i="3"/>
  <c r="HK108" i="3"/>
  <c r="HL108" i="3"/>
  <c r="HM108" i="3"/>
  <c r="HN108" i="3"/>
  <c r="HO108" i="3"/>
  <c r="HP108" i="3"/>
  <c r="HQ108" i="3"/>
  <c r="HR108" i="3"/>
  <c r="HS108" i="3"/>
  <c r="HT108" i="3"/>
  <c r="HU108" i="3"/>
  <c r="HV108" i="3"/>
  <c r="HW108" i="3"/>
  <c r="HX108" i="3"/>
  <c r="HY108" i="3"/>
  <c r="HZ108" i="3"/>
  <c r="IA108" i="3"/>
  <c r="IB108" i="3"/>
  <c r="IC108" i="3"/>
  <c r="ID108" i="3"/>
  <c r="IE108" i="3"/>
  <c r="IF108" i="3"/>
  <c r="IG108" i="3"/>
  <c r="IH108" i="3"/>
  <c r="II108" i="3"/>
  <c r="IJ108" i="3"/>
  <c r="IK108" i="3"/>
  <c r="IL108" i="3"/>
  <c r="IM108" i="3"/>
  <c r="IN108" i="3"/>
  <c r="IO108" i="3"/>
  <c r="IP108" i="3"/>
  <c r="IQ108" i="3"/>
  <c r="IR108" i="3"/>
  <c r="IS108" i="3"/>
  <c r="IT108" i="3"/>
  <c r="IU108" i="3"/>
  <c r="IV108" i="3"/>
  <c r="IW108" i="3"/>
  <c r="IX108" i="3"/>
  <c r="IY108" i="3"/>
  <c r="IZ108" i="3"/>
  <c r="JA108" i="3"/>
  <c r="JB108" i="3"/>
  <c r="JC108" i="3"/>
  <c r="JD108" i="3"/>
  <c r="JE108" i="3"/>
  <c r="JF108" i="3"/>
  <c r="JG108" i="3"/>
  <c r="JH108" i="3"/>
  <c r="JI108" i="3"/>
  <c r="JJ108" i="3"/>
  <c r="JK108" i="3"/>
  <c r="JL108" i="3"/>
  <c r="JM108" i="3"/>
  <c r="A109" i="3"/>
  <c r="B109" i="3"/>
  <c r="C109" i="3" s="1"/>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K109" i="3"/>
  <c r="AL109" i="3"/>
  <c r="AM109" i="3"/>
  <c r="AN109" i="3"/>
  <c r="AO109" i="3"/>
  <c r="AP109" i="3"/>
  <c r="AQ109" i="3"/>
  <c r="AR109" i="3"/>
  <c r="AS109" i="3"/>
  <c r="AT109" i="3"/>
  <c r="AU109" i="3"/>
  <c r="AV109" i="3"/>
  <c r="AW109" i="3"/>
  <c r="AX109" i="3"/>
  <c r="AY109" i="3"/>
  <c r="AZ109" i="3"/>
  <c r="BA109" i="3"/>
  <c r="BB109" i="3"/>
  <c r="BC109" i="3"/>
  <c r="BD109" i="3"/>
  <c r="BE109" i="3"/>
  <c r="BF109" i="3"/>
  <c r="BG109" i="3"/>
  <c r="BH109" i="3"/>
  <c r="BI109" i="3"/>
  <c r="BJ109" i="3"/>
  <c r="BK109" i="3"/>
  <c r="BL109" i="3"/>
  <c r="BM109" i="3"/>
  <c r="BN109" i="3"/>
  <c r="BO109" i="3"/>
  <c r="BP109" i="3"/>
  <c r="BQ109" i="3"/>
  <c r="BR109" i="3"/>
  <c r="BS109" i="3"/>
  <c r="BT109" i="3"/>
  <c r="BU109" i="3"/>
  <c r="BV109" i="3"/>
  <c r="BW109" i="3"/>
  <c r="BX109" i="3"/>
  <c r="BY109" i="3"/>
  <c r="BZ109" i="3"/>
  <c r="CA109" i="3"/>
  <c r="CB109" i="3"/>
  <c r="CC109" i="3"/>
  <c r="CD109" i="3"/>
  <c r="CE109" i="3"/>
  <c r="CF109" i="3"/>
  <c r="CG109" i="3"/>
  <c r="CH109" i="3"/>
  <c r="CI109" i="3"/>
  <c r="CJ109" i="3"/>
  <c r="CK109" i="3"/>
  <c r="CL109" i="3"/>
  <c r="CM109" i="3"/>
  <c r="CN109" i="3"/>
  <c r="CO109" i="3"/>
  <c r="CP109" i="3"/>
  <c r="CQ109" i="3"/>
  <c r="CR109" i="3"/>
  <c r="CS109" i="3"/>
  <c r="CT109" i="3"/>
  <c r="CU109" i="3"/>
  <c r="CV109" i="3"/>
  <c r="CW109" i="3"/>
  <c r="CX109" i="3"/>
  <c r="CY109" i="3"/>
  <c r="CZ109" i="3"/>
  <c r="DA109" i="3"/>
  <c r="DB109" i="3"/>
  <c r="DC109" i="3"/>
  <c r="DD109" i="3"/>
  <c r="DE109" i="3"/>
  <c r="DF109" i="3"/>
  <c r="DG109" i="3"/>
  <c r="DH109" i="3"/>
  <c r="DI109" i="3"/>
  <c r="DJ109" i="3"/>
  <c r="DK109" i="3"/>
  <c r="DL109" i="3"/>
  <c r="DM109" i="3"/>
  <c r="DN109" i="3"/>
  <c r="DO109" i="3"/>
  <c r="DP109" i="3"/>
  <c r="DQ109" i="3"/>
  <c r="DR109" i="3"/>
  <c r="DS109" i="3"/>
  <c r="DT109" i="3"/>
  <c r="DU109" i="3"/>
  <c r="DV109" i="3"/>
  <c r="DW109" i="3"/>
  <c r="DX109" i="3"/>
  <c r="DY109" i="3"/>
  <c r="DZ109" i="3"/>
  <c r="EA109" i="3"/>
  <c r="EB109" i="3"/>
  <c r="EC109" i="3"/>
  <c r="ED109" i="3"/>
  <c r="EE109" i="3"/>
  <c r="EF109" i="3"/>
  <c r="EG109" i="3"/>
  <c r="EI109" i="3"/>
  <c r="EJ109" i="3"/>
  <c r="EK109" i="3"/>
  <c r="EL109" i="3"/>
  <c r="EM109" i="3"/>
  <c r="EN109" i="3"/>
  <c r="EO109" i="3"/>
  <c r="EP109" i="3"/>
  <c r="EQ109" i="3"/>
  <c r="ER109" i="3"/>
  <c r="ES109" i="3"/>
  <c r="ET109" i="3"/>
  <c r="EU109" i="3"/>
  <c r="EV109" i="3"/>
  <c r="EW109" i="3"/>
  <c r="EX109" i="3"/>
  <c r="EY109" i="3"/>
  <c r="EZ109" i="3"/>
  <c r="FA109" i="3"/>
  <c r="FB109" i="3"/>
  <c r="FC109" i="3"/>
  <c r="FD109" i="3"/>
  <c r="FE109" i="3"/>
  <c r="FF109" i="3"/>
  <c r="FG109" i="3"/>
  <c r="FH109" i="3"/>
  <c r="FI109" i="3"/>
  <c r="FJ109" i="3"/>
  <c r="FK109" i="3"/>
  <c r="FL109" i="3"/>
  <c r="FM109" i="3"/>
  <c r="FN109" i="3"/>
  <c r="FO109" i="3"/>
  <c r="FP109" i="3"/>
  <c r="FQ109" i="3"/>
  <c r="FR109" i="3"/>
  <c r="FS109" i="3"/>
  <c r="FT109" i="3"/>
  <c r="FU109" i="3"/>
  <c r="FV109" i="3"/>
  <c r="FW109" i="3"/>
  <c r="FX109" i="3"/>
  <c r="FY109" i="3"/>
  <c r="FZ109" i="3"/>
  <c r="GA109" i="3"/>
  <c r="GB109" i="3"/>
  <c r="GC109" i="3"/>
  <c r="GD109" i="3"/>
  <c r="GE109" i="3"/>
  <c r="GF109" i="3"/>
  <c r="GG109" i="3"/>
  <c r="GH109" i="3"/>
  <c r="GI109" i="3"/>
  <c r="GJ109" i="3"/>
  <c r="GK109" i="3"/>
  <c r="GL109" i="3"/>
  <c r="GM109" i="3"/>
  <c r="GN109" i="3"/>
  <c r="GO109" i="3"/>
  <c r="GP109" i="3"/>
  <c r="GQ109" i="3"/>
  <c r="GR109" i="3"/>
  <c r="GS109" i="3"/>
  <c r="GT109" i="3"/>
  <c r="GU109" i="3"/>
  <c r="GV109" i="3"/>
  <c r="GW109" i="3"/>
  <c r="GX109" i="3"/>
  <c r="GY109" i="3"/>
  <c r="GZ109" i="3"/>
  <c r="HA109" i="3"/>
  <c r="HB109" i="3"/>
  <c r="HC109" i="3"/>
  <c r="HD109" i="3"/>
  <c r="HE109" i="3"/>
  <c r="HF109" i="3"/>
  <c r="HG109" i="3"/>
  <c r="HH109" i="3"/>
  <c r="HI109" i="3"/>
  <c r="HJ109" i="3"/>
  <c r="HK109" i="3"/>
  <c r="HL109" i="3"/>
  <c r="HM109" i="3"/>
  <c r="HN109" i="3"/>
  <c r="HO109" i="3"/>
  <c r="HP109" i="3"/>
  <c r="HQ109" i="3"/>
  <c r="HR109" i="3"/>
  <c r="HS109" i="3"/>
  <c r="HT109" i="3"/>
  <c r="HU109" i="3"/>
  <c r="HV109" i="3"/>
  <c r="HW109" i="3"/>
  <c r="HX109" i="3"/>
  <c r="HY109" i="3"/>
  <c r="HZ109" i="3"/>
  <c r="IA109" i="3"/>
  <c r="IB109" i="3"/>
  <c r="IC109" i="3"/>
  <c r="ID109" i="3"/>
  <c r="IE109" i="3"/>
  <c r="IF109" i="3"/>
  <c r="IG109" i="3"/>
  <c r="IH109" i="3"/>
  <c r="II109" i="3"/>
  <c r="IJ109" i="3"/>
  <c r="IK109" i="3"/>
  <c r="IL109" i="3"/>
  <c r="IM109" i="3"/>
  <c r="IN109" i="3"/>
  <c r="IO109" i="3"/>
  <c r="IP109" i="3"/>
  <c r="IQ109" i="3"/>
  <c r="IR109" i="3"/>
  <c r="IS109" i="3"/>
  <c r="IT109" i="3"/>
  <c r="IU109" i="3"/>
  <c r="IV109" i="3"/>
  <c r="IW109" i="3"/>
  <c r="IX109" i="3"/>
  <c r="IY109" i="3"/>
  <c r="IZ109" i="3"/>
  <c r="JA109" i="3"/>
  <c r="JB109" i="3"/>
  <c r="JC109" i="3"/>
  <c r="JD109" i="3"/>
  <c r="JE109" i="3"/>
  <c r="JF109" i="3"/>
  <c r="JG109" i="3"/>
  <c r="JH109" i="3"/>
  <c r="JI109" i="3"/>
  <c r="JJ109" i="3"/>
  <c r="JK109" i="3"/>
  <c r="JL109" i="3"/>
  <c r="JM109" i="3"/>
  <c r="A110" i="3"/>
  <c r="B110" i="3"/>
  <c r="V110" i="3"/>
  <c r="W110" i="3"/>
  <c r="X110" i="3"/>
  <c r="Y110" i="3"/>
  <c r="Z110" i="3"/>
  <c r="AA110" i="3"/>
  <c r="AB110" i="3"/>
  <c r="AC110" i="3"/>
  <c r="AD110" i="3"/>
  <c r="AE110" i="3"/>
  <c r="AF110" i="3"/>
  <c r="AG110" i="3"/>
  <c r="AH110" i="3"/>
  <c r="AI110" i="3"/>
  <c r="AJ110" i="3"/>
  <c r="AK110" i="3"/>
  <c r="AL110" i="3"/>
  <c r="AM110" i="3"/>
  <c r="AN110" i="3"/>
  <c r="AO110" i="3"/>
  <c r="AP110" i="3"/>
  <c r="AQ110" i="3"/>
  <c r="AR110" i="3"/>
  <c r="AS110" i="3"/>
  <c r="AT110" i="3"/>
  <c r="AU110" i="3"/>
  <c r="AV110" i="3"/>
  <c r="AW110" i="3"/>
  <c r="AX110" i="3"/>
  <c r="AY110" i="3"/>
  <c r="AZ110" i="3"/>
  <c r="BA110" i="3"/>
  <c r="BB110" i="3"/>
  <c r="BC110" i="3"/>
  <c r="BD110" i="3"/>
  <c r="BE110" i="3"/>
  <c r="BF110" i="3"/>
  <c r="BG110" i="3"/>
  <c r="BH110" i="3"/>
  <c r="BI110" i="3"/>
  <c r="BJ110" i="3"/>
  <c r="BK110" i="3"/>
  <c r="BL110" i="3"/>
  <c r="BM110" i="3"/>
  <c r="BN110" i="3"/>
  <c r="BO110" i="3"/>
  <c r="BP110" i="3"/>
  <c r="BQ110" i="3"/>
  <c r="BR110" i="3"/>
  <c r="BS110" i="3"/>
  <c r="BT110" i="3"/>
  <c r="BU110" i="3"/>
  <c r="BV110" i="3"/>
  <c r="BW110" i="3"/>
  <c r="BX110" i="3"/>
  <c r="BY110" i="3"/>
  <c r="BZ110" i="3"/>
  <c r="CA110" i="3"/>
  <c r="CB110" i="3"/>
  <c r="CC110" i="3"/>
  <c r="CD110" i="3"/>
  <c r="CE110" i="3"/>
  <c r="CF110" i="3"/>
  <c r="CG110" i="3"/>
  <c r="CH110" i="3"/>
  <c r="CI110" i="3"/>
  <c r="CJ110" i="3"/>
  <c r="CK110" i="3"/>
  <c r="CL110" i="3"/>
  <c r="CM110" i="3"/>
  <c r="CN110" i="3"/>
  <c r="CO110" i="3"/>
  <c r="CP110" i="3"/>
  <c r="CQ110" i="3"/>
  <c r="CR110" i="3"/>
  <c r="CS110" i="3"/>
  <c r="CT110" i="3"/>
  <c r="CU110" i="3"/>
  <c r="CV110" i="3"/>
  <c r="CW110" i="3"/>
  <c r="CX110" i="3"/>
  <c r="CY110" i="3"/>
  <c r="CZ110" i="3"/>
  <c r="DA110" i="3"/>
  <c r="DB110" i="3"/>
  <c r="DC110" i="3"/>
  <c r="DD110" i="3"/>
  <c r="DE110" i="3"/>
  <c r="DF110" i="3"/>
  <c r="DG110" i="3"/>
  <c r="DH110" i="3"/>
  <c r="DI110" i="3"/>
  <c r="DJ110" i="3"/>
  <c r="DK110" i="3"/>
  <c r="DL110" i="3"/>
  <c r="DM110" i="3"/>
  <c r="DN110" i="3"/>
  <c r="DO110" i="3"/>
  <c r="DP110" i="3"/>
  <c r="DQ110" i="3"/>
  <c r="DR110" i="3"/>
  <c r="DS110" i="3"/>
  <c r="DT110" i="3"/>
  <c r="DU110" i="3"/>
  <c r="DV110" i="3"/>
  <c r="DW110" i="3"/>
  <c r="DX110" i="3"/>
  <c r="DY110" i="3"/>
  <c r="DZ110" i="3"/>
  <c r="EA110" i="3"/>
  <c r="EB110" i="3"/>
  <c r="EC110" i="3"/>
  <c r="ED110" i="3"/>
  <c r="EE110" i="3"/>
  <c r="EF110" i="3"/>
  <c r="EG110" i="3"/>
  <c r="EI110" i="3"/>
  <c r="EJ110" i="3"/>
  <c r="EK110" i="3"/>
  <c r="EL110" i="3"/>
  <c r="EM110" i="3"/>
  <c r="EN110" i="3"/>
  <c r="EO110" i="3"/>
  <c r="EP110" i="3"/>
  <c r="EQ110" i="3"/>
  <c r="ER110" i="3"/>
  <c r="ES110" i="3"/>
  <c r="ET110" i="3"/>
  <c r="EU110" i="3"/>
  <c r="EV110" i="3"/>
  <c r="EW110" i="3"/>
  <c r="EX110" i="3"/>
  <c r="EY110" i="3"/>
  <c r="EZ110" i="3"/>
  <c r="FA110" i="3"/>
  <c r="FB110" i="3"/>
  <c r="FC110" i="3"/>
  <c r="FD110" i="3"/>
  <c r="FE110" i="3"/>
  <c r="FF110" i="3"/>
  <c r="FG110" i="3"/>
  <c r="FH110" i="3"/>
  <c r="FI110" i="3"/>
  <c r="FJ110" i="3"/>
  <c r="FK110" i="3"/>
  <c r="FL110" i="3"/>
  <c r="FM110" i="3"/>
  <c r="FN110" i="3"/>
  <c r="FO110" i="3"/>
  <c r="FP110" i="3"/>
  <c r="FQ110" i="3"/>
  <c r="FR110" i="3"/>
  <c r="FS110" i="3"/>
  <c r="FT110" i="3"/>
  <c r="FU110" i="3"/>
  <c r="FV110" i="3"/>
  <c r="FW110" i="3"/>
  <c r="FX110" i="3"/>
  <c r="FY110" i="3"/>
  <c r="FZ110" i="3"/>
  <c r="GA110" i="3"/>
  <c r="GB110" i="3"/>
  <c r="GC110" i="3"/>
  <c r="GD110" i="3"/>
  <c r="GE110" i="3"/>
  <c r="GF110" i="3"/>
  <c r="GG110" i="3"/>
  <c r="GH110" i="3"/>
  <c r="GI110" i="3"/>
  <c r="GJ110" i="3"/>
  <c r="GK110" i="3"/>
  <c r="GL110" i="3"/>
  <c r="GM110" i="3"/>
  <c r="GN110" i="3"/>
  <c r="GO110" i="3"/>
  <c r="GP110" i="3"/>
  <c r="GQ110" i="3"/>
  <c r="GR110" i="3"/>
  <c r="GS110" i="3"/>
  <c r="GT110" i="3"/>
  <c r="GU110" i="3"/>
  <c r="GV110" i="3"/>
  <c r="GW110" i="3"/>
  <c r="GX110" i="3"/>
  <c r="GY110" i="3"/>
  <c r="GZ110" i="3"/>
  <c r="HA110" i="3"/>
  <c r="HB110" i="3"/>
  <c r="HC110" i="3"/>
  <c r="HD110" i="3"/>
  <c r="HE110" i="3"/>
  <c r="HF110" i="3"/>
  <c r="HG110" i="3"/>
  <c r="HH110" i="3"/>
  <c r="HI110" i="3"/>
  <c r="HJ110" i="3"/>
  <c r="HK110" i="3"/>
  <c r="HL110" i="3"/>
  <c r="HM110" i="3"/>
  <c r="HN110" i="3"/>
  <c r="HO110" i="3"/>
  <c r="HP110" i="3"/>
  <c r="HQ110" i="3"/>
  <c r="HR110" i="3"/>
  <c r="HS110" i="3"/>
  <c r="HT110" i="3"/>
  <c r="HU110" i="3"/>
  <c r="HV110" i="3"/>
  <c r="HW110" i="3"/>
  <c r="HX110" i="3"/>
  <c r="HY110" i="3"/>
  <c r="HZ110" i="3"/>
  <c r="IA110" i="3"/>
  <c r="IB110" i="3"/>
  <c r="IC110" i="3"/>
  <c r="ID110" i="3"/>
  <c r="IE110" i="3"/>
  <c r="IF110" i="3"/>
  <c r="IG110" i="3"/>
  <c r="IH110" i="3"/>
  <c r="II110" i="3"/>
  <c r="IJ110" i="3"/>
  <c r="IK110" i="3"/>
  <c r="IL110" i="3"/>
  <c r="IM110" i="3"/>
  <c r="IN110" i="3"/>
  <c r="IO110" i="3"/>
  <c r="IP110" i="3"/>
  <c r="IQ110" i="3"/>
  <c r="IR110" i="3"/>
  <c r="IS110" i="3"/>
  <c r="IT110" i="3"/>
  <c r="IU110" i="3"/>
  <c r="IV110" i="3"/>
  <c r="IW110" i="3"/>
  <c r="IX110" i="3"/>
  <c r="IY110" i="3"/>
  <c r="IZ110" i="3"/>
  <c r="JA110" i="3"/>
  <c r="JB110" i="3"/>
  <c r="JC110" i="3"/>
  <c r="JD110" i="3"/>
  <c r="JE110" i="3"/>
  <c r="JF110" i="3"/>
  <c r="JG110" i="3"/>
  <c r="JH110" i="3"/>
  <c r="JI110" i="3"/>
  <c r="JJ110" i="3"/>
  <c r="JK110" i="3"/>
  <c r="JL110" i="3"/>
  <c r="JM110" i="3"/>
  <c r="A101" i="3"/>
  <c r="B101" i="3"/>
  <c r="S101" i="3"/>
  <c r="AR101" i="3"/>
  <c r="AS101" i="3"/>
  <c r="AT101" i="3"/>
  <c r="AU101" i="3"/>
  <c r="AV101" i="3"/>
  <c r="AW101" i="3"/>
  <c r="AX101" i="3"/>
  <c r="AY101" i="3"/>
  <c r="AZ101" i="3"/>
  <c r="BA101" i="3"/>
  <c r="BB101" i="3"/>
  <c r="BC101" i="3"/>
  <c r="BD101" i="3"/>
  <c r="BE101" i="3"/>
  <c r="BF101" i="3"/>
  <c r="BG101" i="3"/>
  <c r="BH101" i="3"/>
  <c r="BI101" i="3"/>
  <c r="BJ101" i="3"/>
  <c r="BK101" i="3"/>
  <c r="BL101" i="3"/>
  <c r="BM101" i="3"/>
  <c r="BN101" i="3"/>
  <c r="BO101" i="3"/>
  <c r="BP101" i="3"/>
  <c r="BQ101" i="3"/>
  <c r="BR101" i="3"/>
  <c r="BS101" i="3"/>
  <c r="BT101" i="3"/>
  <c r="BU101" i="3"/>
  <c r="BV101" i="3"/>
  <c r="BW101" i="3"/>
  <c r="BX101" i="3"/>
  <c r="BY101" i="3"/>
  <c r="BZ101" i="3"/>
  <c r="CA101" i="3"/>
  <c r="CB101" i="3"/>
  <c r="CC101" i="3"/>
  <c r="CD101" i="3"/>
  <c r="CE101" i="3"/>
  <c r="CF101" i="3"/>
  <c r="CG101" i="3"/>
  <c r="CH101" i="3"/>
  <c r="CI101" i="3"/>
  <c r="CJ101" i="3"/>
  <c r="CK101" i="3"/>
  <c r="CL101" i="3"/>
  <c r="CM101" i="3"/>
  <c r="CN101" i="3"/>
  <c r="CO101" i="3"/>
  <c r="CP101" i="3"/>
  <c r="CQ101" i="3"/>
  <c r="CR101" i="3"/>
  <c r="CS101" i="3"/>
  <c r="CT101" i="3"/>
  <c r="CU101" i="3"/>
  <c r="CV101" i="3"/>
  <c r="CW101" i="3"/>
  <c r="CX101" i="3"/>
  <c r="CY101" i="3"/>
  <c r="CZ101" i="3"/>
  <c r="DA101" i="3"/>
  <c r="DB101" i="3"/>
  <c r="DC101" i="3"/>
  <c r="DD101" i="3"/>
  <c r="DE101" i="3"/>
  <c r="DF101" i="3"/>
  <c r="DG101" i="3"/>
  <c r="DH101" i="3"/>
  <c r="DI101" i="3"/>
  <c r="DJ101" i="3"/>
  <c r="DK101" i="3"/>
  <c r="DL101" i="3"/>
  <c r="DM101" i="3"/>
  <c r="DN101" i="3"/>
  <c r="DO101" i="3"/>
  <c r="DP101" i="3"/>
  <c r="DQ101" i="3"/>
  <c r="DR101" i="3"/>
  <c r="DS101" i="3"/>
  <c r="DT101" i="3"/>
  <c r="DU101" i="3"/>
  <c r="DV101" i="3"/>
  <c r="DW101" i="3"/>
  <c r="DX101" i="3"/>
  <c r="DY101" i="3"/>
  <c r="DZ101" i="3"/>
  <c r="EA101" i="3"/>
  <c r="EB101" i="3"/>
  <c r="EC101" i="3"/>
  <c r="ED101" i="3"/>
  <c r="EE101" i="3"/>
  <c r="EF101" i="3"/>
  <c r="EG101" i="3"/>
  <c r="EI101" i="3"/>
  <c r="EJ101" i="3"/>
  <c r="EK101" i="3"/>
  <c r="EL101" i="3"/>
  <c r="EM101" i="3"/>
  <c r="EN101" i="3"/>
  <c r="EO101" i="3"/>
  <c r="EP101" i="3"/>
  <c r="EQ101" i="3"/>
  <c r="ER101" i="3"/>
  <c r="ES101" i="3"/>
  <c r="ET101" i="3"/>
  <c r="EU101" i="3"/>
  <c r="EV101" i="3"/>
  <c r="EW101" i="3"/>
  <c r="EX101" i="3"/>
  <c r="EY101" i="3"/>
  <c r="EZ101" i="3"/>
  <c r="FA101" i="3"/>
  <c r="FB101" i="3"/>
  <c r="FC101" i="3"/>
  <c r="FD101" i="3"/>
  <c r="FE101" i="3"/>
  <c r="FF101" i="3"/>
  <c r="FG101" i="3"/>
  <c r="FH101" i="3"/>
  <c r="FI101" i="3"/>
  <c r="FJ101" i="3"/>
  <c r="FK101" i="3"/>
  <c r="FL101" i="3"/>
  <c r="FM101" i="3"/>
  <c r="FN101" i="3"/>
  <c r="FO101" i="3"/>
  <c r="FP101" i="3"/>
  <c r="FQ101" i="3"/>
  <c r="FR101" i="3"/>
  <c r="FS101" i="3"/>
  <c r="FT101" i="3"/>
  <c r="FU101" i="3"/>
  <c r="FV101" i="3"/>
  <c r="FW101" i="3"/>
  <c r="FX101" i="3"/>
  <c r="FY101" i="3"/>
  <c r="FZ101" i="3"/>
  <c r="GA101" i="3"/>
  <c r="GB101" i="3"/>
  <c r="GC101" i="3"/>
  <c r="GD101" i="3"/>
  <c r="GE101" i="3"/>
  <c r="GF101" i="3"/>
  <c r="GG101" i="3"/>
  <c r="GH101" i="3"/>
  <c r="GI101" i="3"/>
  <c r="GJ101" i="3"/>
  <c r="GK101" i="3"/>
  <c r="GL101" i="3"/>
  <c r="GM101" i="3"/>
  <c r="GN101" i="3"/>
  <c r="GO101" i="3"/>
  <c r="GP101" i="3"/>
  <c r="GQ101" i="3"/>
  <c r="GR101" i="3"/>
  <c r="GS101" i="3"/>
  <c r="GT101" i="3"/>
  <c r="GU101" i="3"/>
  <c r="GV101" i="3"/>
  <c r="GW101" i="3"/>
  <c r="GX101" i="3"/>
  <c r="GY101" i="3"/>
  <c r="GZ101" i="3"/>
  <c r="HA101" i="3"/>
  <c r="HB101" i="3"/>
  <c r="HC101" i="3"/>
  <c r="HD101" i="3"/>
  <c r="HE101" i="3"/>
  <c r="HF101" i="3"/>
  <c r="HG101" i="3"/>
  <c r="HH101" i="3"/>
  <c r="HI101" i="3"/>
  <c r="HJ101" i="3"/>
  <c r="HK101" i="3"/>
  <c r="HL101" i="3"/>
  <c r="HM101" i="3"/>
  <c r="HN101" i="3"/>
  <c r="HO101" i="3"/>
  <c r="HP101" i="3"/>
  <c r="HQ101" i="3"/>
  <c r="HR101" i="3"/>
  <c r="HS101" i="3"/>
  <c r="HT101" i="3"/>
  <c r="HU101" i="3"/>
  <c r="HV101" i="3"/>
  <c r="HW101" i="3"/>
  <c r="HX101" i="3"/>
  <c r="HY101" i="3"/>
  <c r="HZ101" i="3"/>
  <c r="IA101" i="3"/>
  <c r="IB101" i="3"/>
  <c r="IC101" i="3"/>
  <c r="ID101" i="3"/>
  <c r="IE101" i="3"/>
  <c r="IF101" i="3"/>
  <c r="IG101" i="3"/>
  <c r="IH101" i="3"/>
  <c r="II101" i="3"/>
  <c r="IJ101" i="3"/>
  <c r="IK101" i="3"/>
  <c r="IL101" i="3"/>
  <c r="IM101" i="3"/>
  <c r="IN101" i="3"/>
  <c r="IO101" i="3"/>
  <c r="IP101" i="3"/>
  <c r="IQ101" i="3"/>
  <c r="IR101" i="3"/>
  <c r="IS101" i="3"/>
  <c r="IT101" i="3"/>
  <c r="IU101" i="3"/>
  <c r="IV101" i="3"/>
  <c r="IW101" i="3"/>
  <c r="IX101" i="3"/>
  <c r="IY101" i="3"/>
  <c r="IZ101" i="3"/>
  <c r="JA101" i="3"/>
  <c r="JB101" i="3"/>
  <c r="JC101" i="3"/>
  <c r="JD101" i="3"/>
  <c r="JE101" i="3"/>
  <c r="JF101" i="3"/>
  <c r="JG101" i="3"/>
  <c r="JH101" i="3"/>
  <c r="JI101" i="3"/>
  <c r="JJ101" i="3"/>
  <c r="JK101" i="3"/>
  <c r="JL101" i="3"/>
  <c r="JM101" i="3"/>
  <c r="A102" i="3"/>
  <c r="B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K102" i="3"/>
  <c r="AL102" i="3"/>
  <c r="AM102" i="3"/>
  <c r="AN102" i="3"/>
  <c r="AO102" i="3"/>
  <c r="AP102" i="3"/>
  <c r="AQ102" i="3"/>
  <c r="AR102" i="3"/>
  <c r="AS102" i="3"/>
  <c r="AT102" i="3"/>
  <c r="AU102" i="3"/>
  <c r="AV102" i="3"/>
  <c r="AW102" i="3"/>
  <c r="AX102" i="3"/>
  <c r="AY102" i="3"/>
  <c r="AZ102" i="3"/>
  <c r="BA102" i="3"/>
  <c r="BB102" i="3"/>
  <c r="BC102" i="3"/>
  <c r="BD102" i="3"/>
  <c r="BE102" i="3"/>
  <c r="BF102" i="3"/>
  <c r="BG102" i="3"/>
  <c r="BH102" i="3"/>
  <c r="BI102" i="3"/>
  <c r="BJ102" i="3"/>
  <c r="BK102" i="3"/>
  <c r="BL102" i="3"/>
  <c r="BM102" i="3"/>
  <c r="BN102" i="3"/>
  <c r="BO102" i="3"/>
  <c r="BP102" i="3"/>
  <c r="BQ102" i="3"/>
  <c r="BR102" i="3"/>
  <c r="BS102" i="3"/>
  <c r="BT102" i="3"/>
  <c r="BU102" i="3"/>
  <c r="BV102" i="3"/>
  <c r="BW102" i="3"/>
  <c r="BX102" i="3"/>
  <c r="BY102" i="3"/>
  <c r="BZ102" i="3"/>
  <c r="CA102" i="3"/>
  <c r="CB102" i="3"/>
  <c r="CC102" i="3"/>
  <c r="CD102" i="3"/>
  <c r="CE102" i="3"/>
  <c r="CF102" i="3"/>
  <c r="CG102" i="3"/>
  <c r="CH102" i="3"/>
  <c r="CI102" i="3"/>
  <c r="CJ102" i="3"/>
  <c r="CK102" i="3"/>
  <c r="CL102" i="3"/>
  <c r="CM102" i="3"/>
  <c r="CN102" i="3"/>
  <c r="CO102" i="3"/>
  <c r="CP102" i="3"/>
  <c r="CQ102" i="3"/>
  <c r="CR102" i="3"/>
  <c r="CS102" i="3"/>
  <c r="CT102" i="3"/>
  <c r="CU102" i="3"/>
  <c r="CV102" i="3"/>
  <c r="CW102" i="3"/>
  <c r="CX102" i="3"/>
  <c r="CY102" i="3"/>
  <c r="CZ102" i="3"/>
  <c r="DA102" i="3"/>
  <c r="DB102" i="3"/>
  <c r="DC102" i="3"/>
  <c r="DD102" i="3"/>
  <c r="DE102" i="3"/>
  <c r="DF102" i="3"/>
  <c r="DG102" i="3"/>
  <c r="DH102" i="3"/>
  <c r="DI102" i="3"/>
  <c r="DJ102" i="3"/>
  <c r="DK102" i="3"/>
  <c r="DL102" i="3"/>
  <c r="DM102" i="3"/>
  <c r="DN102" i="3"/>
  <c r="DO102" i="3"/>
  <c r="DP102" i="3"/>
  <c r="DQ102" i="3"/>
  <c r="DR102" i="3"/>
  <c r="DS102" i="3"/>
  <c r="DT102" i="3"/>
  <c r="DU102" i="3"/>
  <c r="DV102" i="3"/>
  <c r="DW102" i="3"/>
  <c r="DX102" i="3"/>
  <c r="DY102" i="3"/>
  <c r="DZ102" i="3"/>
  <c r="EA102" i="3"/>
  <c r="EB102" i="3"/>
  <c r="EC102" i="3"/>
  <c r="ED102" i="3"/>
  <c r="EE102" i="3"/>
  <c r="EF102" i="3"/>
  <c r="EG102" i="3"/>
  <c r="EI102" i="3"/>
  <c r="EJ102" i="3"/>
  <c r="EK102" i="3"/>
  <c r="EL102" i="3"/>
  <c r="EM102" i="3"/>
  <c r="EN102" i="3"/>
  <c r="EO102" i="3"/>
  <c r="EP102" i="3"/>
  <c r="EQ102" i="3"/>
  <c r="ER102" i="3"/>
  <c r="ES102" i="3"/>
  <c r="ET102" i="3"/>
  <c r="EU102" i="3"/>
  <c r="EV102" i="3"/>
  <c r="EW102" i="3"/>
  <c r="EX102" i="3"/>
  <c r="EY102" i="3"/>
  <c r="EZ102" i="3"/>
  <c r="FA102" i="3"/>
  <c r="FB102" i="3"/>
  <c r="FC102" i="3"/>
  <c r="FD102" i="3"/>
  <c r="FE102" i="3"/>
  <c r="FF102" i="3"/>
  <c r="FG102" i="3"/>
  <c r="FH102" i="3"/>
  <c r="FI102" i="3"/>
  <c r="FJ102" i="3"/>
  <c r="FK102" i="3"/>
  <c r="FL102" i="3"/>
  <c r="FM102" i="3"/>
  <c r="FN102" i="3"/>
  <c r="FO102" i="3"/>
  <c r="FP102" i="3"/>
  <c r="FQ102" i="3"/>
  <c r="FR102" i="3"/>
  <c r="FS102" i="3"/>
  <c r="FT102" i="3"/>
  <c r="FU102" i="3"/>
  <c r="FV102" i="3"/>
  <c r="FW102" i="3"/>
  <c r="FX102" i="3"/>
  <c r="FY102" i="3"/>
  <c r="FZ102" i="3"/>
  <c r="GA102" i="3"/>
  <c r="GB102" i="3"/>
  <c r="GC102" i="3"/>
  <c r="GD102" i="3"/>
  <c r="GE102" i="3"/>
  <c r="GF102" i="3"/>
  <c r="GG102" i="3"/>
  <c r="GH102" i="3"/>
  <c r="GI102" i="3"/>
  <c r="GJ102" i="3"/>
  <c r="GK102" i="3"/>
  <c r="GL102" i="3"/>
  <c r="GM102" i="3"/>
  <c r="GN102" i="3"/>
  <c r="GO102" i="3"/>
  <c r="GP102" i="3"/>
  <c r="GQ102" i="3"/>
  <c r="GR102" i="3"/>
  <c r="GS102" i="3"/>
  <c r="GT102" i="3"/>
  <c r="GU102" i="3"/>
  <c r="GV102" i="3"/>
  <c r="GW102" i="3"/>
  <c r="GX102" i="3"/>
  <c r="GY102" i="3"/>
  <c r="GZ102" i="3"/>
  <c r="HA102" i="3"/>
  <c r="HB102" i="3"/>
  <c r="HC102" i="3"/>
  <c r="HD102" i="3"/>
  <c r="HE102" i="3"/>
  <c r="HF102" i="3"/>
  <c r="HG102" i="3"/>
  <c r="HH102" i="3"/>
  <c r="HI102" i="3"/>
  <c r="HJ102" i="3"/>
  <c r="HK102" i="3"/>
  <c r="HL102" i="3"/>
  <c r="HM102" i="3"/>
  <c r="HN102" i="3"/>
  <c r="HO102" i="3"/>
  <c r="HP102" i="3"/>
  <c r="HQ102" i="3"/>
  <c r="HR102" i="3"/>
  <c r="HS102" i="3"/>
  <c r="HT102" i="3"/>
  <c r="HU102" i="3"/>
  <c r="HV102" i="3"/>
  <c r="HW102" i="3"/>
  <c r="HX102" i="3"/>
  <c r="HY102" i="3"/>
  <c r="HZ102" i="3"/>
  <c r="IA102" i="3"/>
  <c r="IB102" i="3"/>
  <c r="IC102" i="3"/>
  <c r="ID102" i="3"/>
  <c r="IE102" i="3"/>
  <c r="IF102" i="3"/>
  <c r="IG102" i="3"/>
  <c r="IH102" i="3"/>
  <c r="II102" i="3"/>
  <c r="IJ102" i="3"/>
  <c r="IK102" i="3"/>
  <c r="IL102" i="3"/>
  <c r="IM102" i="3"/>
  <c r="IN102" i="3"/>
  <c r="IO102" i="3"/>
  <c r="IP102" i="3"/>
  <c r="IQ102" i="3"/>
  <c r="IR102" i="3"/>
  <c r="IS102" i="3"/>
  <c r="IT102" i="3"/>
  <c r="IU102" i="3"/>
  <c r="IV102" i="3"/>
  <c r="IW102" i="3"/>
  <c r="IX102" i="3"/>
  <c r="IY102" i="3"/>
  <c r="IZ102" i="3"/>
  <c r="JA102" i="3"/>
  <c r="JB102" i="3"/>
  <c r="JC102" i="3"/>
  <c r="JD102" i="3"/>
  <c r="JE102" i="3"/>
  <c r="JF102" i="3"/>
  <c r="JG102" i="3"/>
  <c r="JH102" i="3"/>
  <c r="JI102" i="3"/>
  <c r="JJ102" i="3"/>
  <c r="JK102" i="3"/>
  <c r="JL102" i="3"/>
  <c r="JM102" i="3"/>
  <c r="A103" i="3"/>
  <c r="B103" i="3"/>
  <c r="A104" i="3"/>
  <c r="B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K104" i="3"/>
  <c r="AL104" i="3"/>
  <c r="AM104" i="3"/>
  <c r="AN104" i="3"/>
  <c r="AO104" i="3"/>
  <c r="AP104" i="3"/>
  <c r="AQ104" i="3"/>
  <c r="AR104" i="3"/>
  <c r="AS104" i="3"/>
  <c r="AT104" i="3"/>
  <c r="AU104" i="3"/>
  <c r="AV104" i="3"/>
  <c r="AW104" i="3"/>
  <c r="AX104" i="3"/>
  <c r="AY104" i="3"/>
  <c r="AZ104" i="3"/>
  <c r="BA104" i="3"/>
  <c r="BB104" i="3"/>
  <c r="BC104" i="3"/>
  <c r="BD104" i="3"/>
  <c r="BE104" i="3"/>
  <c r="BF104" i="3"/>
  <c r="BG104" i="3"/>
  <c r="BH104" i="3"/>
  <c r="BI104" i="3"/>
  <c r="BJ104" i="3"/>
  <c r="BK104" i="3"/>
  <c r="BL104" i="3"/>
  <c r="BM104" i="3"/>
  <c r="BN104" i="3"/>
  <c r="BO104" i="3"/>
  <c r="BP104" i="3"/>
  <c r="BQ104" i="3"/>
  <c r="BR104" i="3"/>
  <c r="BS104" i="3"/>
  <c r="BT104" i="3"/>
  <c r="BU104" i="3"/>
  <c r="BV104" i="3"/>
  <c r="BW104" i="3"/>
  <c r="BX104" i="3"/>
  <c r="BY104" i="3"/>
  <c r="BZ104" i="3"/>
  <c r="CA104" i="3"/>
  <c r="CB104" i="3"/>
  <c r="CC104" i="3"/>
  <c r="CD104" i="3"/>
  <c r="CE104" i="3"/>
  <c r="CF104" i="3"/>
  <c r="CG104" i="3"/>
  <c r="CH104" i="3"/>
  <c r="CI104" i="3"/>
  <c r="CJ104" i="3"/>
  <c r="CK104" i="3"/>
  <c r="CL104" i="3"/>
  <c r="CM104" i="3"/>
  <c r="CN104" i="3"/>
  <c r="CO104" i="3"/>
  <c r="CP104" i="3"/>
  <c r="CQ104" i="3"/>
  <c r="CR104" i="3"/>
  <c r="CS104" i="3"/>
  <c r="CT104" i="3"/>
  <c r="CU104" i="3"/>
  <c r="CV104" i="3"/>
  <c r="CW104" i="3"/>
  <c r="CX104" i="3"/>
  <c r="CY104" i="3"/>
  <c r="CZ104" i="3"/>
  <c r="DA104" i="3"/>
  <c r="DB104" i="3"/>
  <c r="DC104" i="3"/>
  <c r="DD104" i="3"/>
  <c r="DE104" i="3"/>
  <c r="DF104" i="3"/>
  <c r="DG104" i="3"/>
  <c r="DH104" i="3"/>
  <c r="DI104" i="3"/>
  <c r="DJ104" i="3"/>
  <c r="DK104" i="3"/>
  <c r="DL104" i="3"/>
  <c r="DM104" i="3"/>
  <c r="DN104" i="3"/>
  <c r="DO104" i="3"/>
  <c r="DP104" i="3"/>
  <c r="DQ104" i="3"/>
  <c r="DR104" i="3"/>
  <c r="DS104" i="3"/>
  <c r="DT104" i="3"/>
  <c r="DU104" i="3"/>
  <c r="DV104" i="3"/>
  <c r="DW104" i="3"/>
  <c r="DX104" i="3"/>
  <c r="DY104" i="3"/>
  <c r="DZ104" i="3"/>
  <c r="EA104" i="3"/>
  <c r="EB104" i="3"/>
  <c r="EC104" i="3"/>
  <c r="ED104" i="3"/>
  <c r="EE104" i="3"/>
  <c r="EF104" i="3"/>
  <c r="EG104" i="3"/>
  <c r="EI104" i="3"/>
  <c r="EJ104" i="3"/>
  <c r="EK104" i="3"/>
  <c r="EL104" i="3"/>
  <c r="EM104" i="3"/>
  <c r="EN104" i="3"/>
  <c r="EO104" i="3"/>
  <c r="EP104" i="3"/>
  <c r="EQ104" i="3"/>
  <c r="ER104" i="3"/>
  <c r="ES104" i="3"/>
  <c r="ET104" i="3"/>
  <c r="EU104" i="3"/>
  <c r="EV104" i="3"/>
  <c r="EW104" i="3"/>
  <c r="EX104" i="3"/>
  <c r="EY104" i="3"/>
  <c r="EZ104" i="3"/>
  <c r="FA104" i="3"/>
  <c r="FB104" i="3"/>
  <c r="FC104" i="3"/>
  <c r="FD104" i="3"/>
  <c r="FE104" i="3"/>
  <c r="FF104" i="3"/>
  <c r="FG104" i="3"/>
  <c r="FH104" i="3"/>
  <c r="FI104" i="3"/>
  <c r="FJ104" i="3"/>
  <c r="FK104" i="3"/>
  <c r="FL104" i="3"/>
  <c r="FM104" i="3"/>
  <c r="FN104" i="3"/>
  <c r="FO104" i="3"/>
  <c r="FP104" i="3"/>
  <c r="FQ104" i="3"/>
  <c r="FR104" i="3"/>
  <c r="FS104" i="3"/>
  <c r="FT104" i="3"/>
  <c r="FU104" i="3"/>
  <c r="FV104" i="3"/>
  <c r="FW104" i="3"/>
  <c r="FX104" i="3"/>
  <c r="FY104" i="3"/>
  <c r="FZ104" i="3"/>
  <c r="GA104" i="3"/>
  <c r="GB104" i="3"/>
  <c r="GC104" i="3"/>
  <c r="GD104" i="3"/>
  <c r="GE104" i="3"/>
  <c r="GF104" i="3"/>
  <c r="GG104" i="3"/>
  <c r="GH104" i="3"/>
  <c r="GI104" i="3"/>
  <c r="GJ104" i="3"/>
  <c r="GK104" i="3"/>
  <c r="GL104" i="3"/>
  <c r="GM104" i="3"/>
  <c r="GN104" i="3"/>
  <c r="GO104" i="3"/>
  <c r="GP104" i="3"/>
  <c r="GQ104" i="3"/>
  <c r="GR104" i="3"/>
  <c r="GS104" i="3"/>
  <c r="GT104" i="3"/>
  <c r="GU104" i="3"/>
  <c r="GV104" i="3"/>
  <c r="GW104" i="3"/>
  <c r="GX104" i="3"/>
  <c r="GY104" i="3"/>
  <c r="GZ104" i="3"/>
  <c r="HA104" i="3"/>
  <c r="HB104" i="3"/>
  <c r="HC104" i="3"/>
  <c r="HD104" i="3"/>
  <c r="HE104" i="3"/>
  <c r="HF104" i="3"/>
  <c r="HG104" i="3"/>
  <c r="HH104" i="3"/>
  <c r="HI104" i="3"/>
  <c r="HJ104" i="3"/>
  <c r="HK104" i="3"/>
  <c r="HL104" i="3"/>
  <c r="HM104" i="3"/>
  <c r="HN104" i="3"/>
  <c r="HO104" i="3"/>
  <c r="HP104" i="3"/>
  <c r="HQ104" i="3"/>
  <c r="HR104" i="3"/>
  <c r="HS104" i="3"/>
  <c r="HT104" i="3"/>
  <c r="HU104" i="3"/>
  <c r="HV104" i="3"/>
  <c r="HW104" i="3"/>
  <c r="HX104" i="3"/>
  <c r="HY104" i="3"/>
  <c r="HZ104" i="3"/>
  <c r="IA104" i="3"/>
  <c r="IB104" i="3"/>
  <c r="IC104" i="3"/>
  <c r="ID104" i="3"/>
  <c r="IE104" i="3"/>
  <c r="IF104" i="3"/>
  <c r="IG104" i="3"/>
  <c r="IH104" i="3"/>
  <c r="II104" i="3"/>
  <c r="IJ104" i="3"/>
  <c r="IK104" i="3"/>
  <c r="IL104" i="3"/>
  <c r="IM104" i="3"/>
  <c r="IN104" i="3"/>
  <c r="IO104" i="3"/>
  <c r="IP104" i="3"/>
  <c r="IQ104" i="3"/>
  <c r="IR104" i="3"/>
  <c r="IS104" i="3"/>
  <c r="IT104" i="3"/>
  <c r="IU104" i="3"/>
  <c r="IV104" i="3"/>
  <c r="IW104" i="3"/>
  <c r="IX104" i="3"/>
  <c r="IY104" i="3"/>
  <c r="IZ104" i="3"/>
  <c r="JA104" i="3"/>
  <c r="JB104" i="3"/>
  <c r="JC104" i="3"/>
  <c r="JD104" i="3"/>
  <c r="JE104" i="3"/>
  <c r="JF104" i="3"/>
  <c r="JG104" i="3"/>
  <c r="JH104" i="3"/>
  <c r="JI104" i="3"/>
  <c r="JJ104" i="3"/>
  <c r="JK104" i="3"/>
  <c r="JL104" i="3"/>
  <c r="JM104" i="3"/>
  <c r="A105" i="3"/>
  <c r="B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K105" i="3"/>
  <c r="AL105" i="3"/>
  <c r="AM105" i="3"/>
  <c r="AN105" i="3"/>
  <c r="AO105" i="3"/>
  <c r="AP105" i="3"/>
  <c r="AQ105" i="3"/>
  <c r="AR105" i="3"/>
  <c r="AS105" i="3"/>
  <c r="AT105" i="3"/>
  <c r="AU105" i="3"/>
  <c r="AV105" i="3"/>
  <c r="AW105" i="3"/>
  <c r="AX105" i="3"/>
  <c r="AY105" i="3"/>
  <c r="AZ105" i="3"/>
  <c r="BA105" i="3"/>
  <c r="BB105" i="3"/>
  <c r="BC105" i="3"/>
  <c r="BD105" i="3"/>
  <c r="BE105" i="3"/>
  <c r="BF105" i="3"/>
  <c r="BG105" i="3"/>
  <c r="BH105" i="3"/>
  <c r="BI105" i="3"/>
  <c r="BJ105" i="3"/>
  <c r="BK105" i="3"/>
  <c r="BL105" i="3"/>
  <c r="BM105" i="3"/>
  <c r="BN105" i="3"/>
  <c r="BO105" i="3"/>
  <c r="BP105" i="3"/>
  <c r="BQ105" i="3"/>
  <c r="BR105" i="3"/>
  <c r="BS105" i="3"/>
  <c r="BT105" i="3"/>
  <c r="BU105" i="3"/>
  <c r="BV105" i="3"/>
  <c r="BW105" i="3"/>
  <c r="BX105" i="3"/>
  <c r="BY105" i="3"/>
  <c r="BZ105" i="3"/>
  <c r="CA105" i="3"/>
  <c r="CB105" i="3"/>
  <c r="CC105" i="3"/>
  <c r="CD105" i="3"/>
  <c r="CE105" i="3"/>
  <c r="CF105" i="3"/>
  <c r="CG105" i="3"/>
  <c r="CH105" i="3"/>
  <c r="CI105" i="3"/>
  <c r="CJ105" i="3"/>
  <c r="CK105" i="3"/>
  <c r="CL105" i="3"/>
  <c r="CM105" i="3"/>
  <c r="CN105" i="3"/>
  <c r="CO105" i="3"/>
  <c r="CP105" i="3"/>
  <c r="CQ105" i="3"/>
  <c r="CR105" i="3"/>
  <c r="CS105" i="3"/>
  <c r="CT105" i="3"/>
  <c r="CU105" i="3"/>
  <c r="CV105" i="3"/>
  <c r="CW105" i="3"/>
  <c r="CX105" i="3"/>
  <c r="CY105" i="3"/>
  <c r="CZ105" i="3"/>
  <c r="DA105" i="3"/>
  <c r="DB105" i="3"/>
  <c r="DC105" i="3"/>
  <c r="DD105" i="3"/>
  <c r="DE105" i="3"/>
  <c r="DF105" i="3"/>
  <c r="DG105" i="3"/>
  <c r="DH105" i="3"/>
  <c r="DI105" i="3"/>
  <c r="DJ105" i="3"/>
  <c r="DK105" i="3"/>
  <c r="DL105" i="3"/>
  <c r="DM105" i="3"/>
  <c r="DN105" i="3"/>
  <c r="DO105" i="3"/>
  <c r="DP105" i="3"/>
  <c r="DQ105" i="3"/>
  <c r="DR105" i="3"/>
  <c r="DS105" i="3"/>
  <c r="DT105" i="3"/>
  <c r="DU105" i="3"/>
  <c r="DV105" i="3"/>
  <c r="DW105" i="3"/>
  <c r="DX105" i="3"/>
  <c r="DY105" i="3"/>
  <c r="DZ105" i="3"/>
  <c r="EA105" i="3"/>
  <c r="EB105" i="3"/>
  <c r="EC105" i="3"/>
  <c r="ED105" i="3"/>
  <c r="EE105" i="3"/>
  <c r="EF105" i="3"/>
  <c r="EG105" i="3"/>
  <c r="EI105" i="3"/>
  <c r="EJ105" i="3"/>
  <c r="EK105" i="3"/>
  <c r="EL105" i="3"/>
  <c r="EM105" i="3"/>
  <c r="EN105" i="3"/>
  <c r="EO105" i="3"/>
  <c r="EP105" i="3"/>
  <c r="EQ105" i="3"/>
  <c r="ER105" i="3"/>
  <c r="ES105" i="3"/>
  <c r="ET105" i="3"/>
  <c r="EU105" i="3"/>
  <c r="EV105" i="3"/>
  <c r="EW105" i="3"/>
  <c r="EX105" i="3"/>
  <c r="EY105" i="3"/>
  <c r="EZ105" i="3"/>
  <c r="FA105" i="3"/>
  <c r="FB105" i="3"/>
  <c r="FC105" i="3"/>
  <c r="FD105" i="3"/>
  <c r="FE105" i="3"/>
  <c r="FF105" i="3"/>
  <c r="FG105" i="3"/>
  <c r="FH105" i="3"/>
  <c r="FI105" i="3"/>
  <c r="FJ105" i="3"/>
  <c r="FK105" i="3"/>
  <c r="FL105" i="3"/>
  <c r="FM105" i="3"/>
  <c r="FN105" i="3"/>
  <c r="FO105" i="3"/>
  <c r="FP105" i="3"/>
  <c r="FQ105" i="3"/>
  <c r="FR105" i="3"/>
  <c r="FS105" i="3"/>
  <c r="FT105" i="3"/>
  <c r="FU105" i="3"/>
  <c r="FV105" i="3"/>
  <c r="FW105" i="3"/>
  <c r="FX105" i="3"/>
  <c r="FY105" i="3"/>
  <c r="FZ105" i="3"/>
  <c r="GA105" i="3"/>
  <c r="GB105" i="3"/>
  <c r="GC105" i="3"/>
  <c r="GD105" i="3"/>
  <c r="GE105" i="3"/>
  <c r="GF105" i="3"/>
  <c r="GG105" i="3"/>
  <c r="GH105" i="3"/>
  <c r="GI105" i="3"/>
  <c r="GJ105" i="3"/>
  <c r="GK105" i="3"/>
  <c r="GL105" i="3"/>
  <c r="GM105" i="3"/>
  <c r="GN105" i="3"/>
  <c r="GO105" i="3"/>
  <c r="GP105" i="3"/>
  <c r="GQ105" i="3"/>
  <c r="GR105" i="3"/>
  <c r="GS105" i="3"/>
  <c r="GT105" i="3"/>
  <c r="GU105" i="3"/>
  <c r="GV105" i="3"/>
  <c r="GW105" i="3"/>
  <c r="GX105" i="3"/>
  <c r="GY105" i="3"/>
  <c r="GZ105" i="3"/>
  <c r="HA105" i="3"/>
  <c r="HB105" i="3"/>
  <c r="HC105" i="3"/>
  <c r="HD105" i="3"/>
  <c r="HE105" i="3"/>
  <c r="HF105" i="3"/>
  <c r="HG105" i="3"/>
  <c r="HH105" i="3"/>
  <c r="HI105" i="3"/>
  <c r="HJ105" i="3"/>
  <c r="HK105" i="3"/>
  <c r="HL105" i="3"/>
  <c r="HM105" i="3"/>
  <c r="HN105" i="3"/>
  <c r="HO105" i="3"/>
  <c r="HP105" i="3"/>
  <c r="HQ105" i="3"/>
  <c r="HR105" i="3"/>
  <c r="HS105" i="3"/>
  <c r="HT105" i="3"/>
  <c r="HU105" i="3"/>
  <c r="HV105" i="3"/>
  <c r="HW105" i="3"/>
  <c r="HX105" i="3"/>
  <c r="HY105" i="3"/>
  <c r="HZ105" i="3"/>
  <c r="IA105" i="3"/>
  <c r="IB105" i="3"/>
  <c r="IC105" i="3"/>
  <c r="ID105" i="3"/>
  <c r="IE105" i="3"/>
  <c r="IF105" i="3"/>
  <c r="IG105" i="3"/>
  <c r="IH105" i="3"/>
  <c r="II105" i="3"/>
  <c r="IJ105" i="3"/>
  <c r="IK105" i="3"/>
  <c r="IL105" i="3"/>
  <c r="IM105" i="3"/>
  <c r="IN105" i="3"/>
  <c r="IO105" i="3"/>
  <c r="IP105" i="3"/>
  <c r="IQ105" i="3"/>
  <c r="IR105" i="3"/>
  <c r="IS105" i="3"/>
  <c r="IT105" i="3"/>
  <c r="IU105" i="3"/>
  <c r="IV105" i="3"/>
  <c r="IW105" i="3"/>
  <c r="IX105" i="3"/>
  <c r="IY105" i="3"/>
  <c r="IZ105" i="3"/>
  <c r="JA105" i="3"/>
  <c r="JB105" i="3"/>
  <c r="JC105" i="3"/>
  <c r="JD105" i="3"/>
  <c r="JE105" i="3"/>
  <c r="JF105" i="3"/>
  <c r="JG105" i="3"/>
  <c r="JH105" i="3"/>
  <c r="JI105" i="3"/>
  <c r="JJ105" i="3"/>
  <c r="JK105" i="3"/>
  <c r="JL105" i="3"/>
  <c r="JM105" i="3"/>
  <c r="A96" i="3"/>
  <c r="B96" i="3"/>
  <c r="BN96" i="3"/>
  <c r="BO96" i="3"/>
  <c r="BP96" i="3"/>
  <c r="BQ96" i="3"/>
  <c r="BR96" i="3"/>
  <c r="BS96" i="3"/>
  <c r="BT96" i="3"/>
  <c r="BU96" i="3"/>
  <c r="BV96" i="3"/>
  <c r="BW96" i="3"/>
  <c r="BX96" i="3"/>
  <c r="BY96" i="3"/>
  <c r="BZ96" i="3"/>
  <c r="CA96" i="3"/>
  <c r="CB96" i="3"/>
  <c r="CC96" i="3"/>
  <c r="CD96" i="3"/>
  <c r="CE96" i="3"/>
  <c r="CF96" i="3"/>
  <c r="CG96" i="3"/>
  <c r="CH96" i="3"/>
  <c r="CI96" i="3"/>
  <c r="CJ96" i="3"/>
  <c r="CK96" i="3"/>
  <c r="CL96" i="3"/>
  <c r="CM96" i="3"/>
  <c r="CN96" i="3"/>
  <c r="CO96" i="3"/>
  <c r="CP96" i="3"/>
  <c r="CQ96" i="3"/>
  <c r="CR96" i="3"/>
  <c r="CS96" i="3"/>
  <c r="CT96" i="3"/>
  <c r="CU96" i="3"/>
  <c r="CV96" i="3"/>
  <c r="CW96" i="3"/>
  <c r="CX96" i="3"/>
  <c r="CY96" i="3"/>
  <c r="CZ96" i="3"/>
  <c r="DA96" i="3"/>
  <c r="DB96" i="3"/>
  <c r="DC96" i="3"/>
  <c r="DD96" i="3"/>
  <c r="DE96" i="3"/>
  <c r="DF96" i="3"/>
  <c r="DG96" i="3"/>
  <c r="DH96" i="3"/>
  <c r="DI96" i="3"/>
  <c r="DJ96" i="3"/>
  <c r="DK96" i="3"/>
  <c r="DL96" i="3"/>
  <c r="DM96" i="3"/>
  <c r="DN96" i="3"/>
  <c r="DO96" i="3"/>
  <c r="DP96" i="3"/>
  <c r="DQ96" i="3"/>
  <c r="DR96" i="3"/>
  <c r="DS96" i="3"/>
  <c r="DT96" i="3"/>
  <c r="DU96" i="3"/>
  <c r="DV96" i="3"/>
  <c r="DW96" i="3"/>
  <c r="DX96" i="3"/>
  <c r="DY96" i="3"/>
  <c r="DZ96" i="3"/>
  <c r="EA96" i="3"/>
  <c r="EB96" i="3"/>
  <c r="EC96" i="3"/>
  <c r="ED96" i="3"/>
  <c r="EE96" i="3"/>
  <c r="EF96" i="3"/>
  <c r="EG96" i="3"/>
  <c r="EI96" i="3"/>
  <c r="EJ96" i="3"/>
  <c r="EK96" i="3"/>
  <c r="EL96" i="3"/>
  <c r="EM96" i="3"/>
  <c r="EN96" i="3"/>
  <c r="EO96" i="3"/>
  <c r="EP96" i="3"/>
  <c r="EQ96" i="3"/>
  <c r="ER96" i="3"/>
  <c r="ES96" i="3"/>
  <c r="ET96" i="3"/>
  <c r="EU96" i="3"/>
  <c r="EV96" i="3"/>
  <c r="EW96" i="3"/>
  <c r="EX96" i="3"/>
  <c r="EY96" i="3"/>
  <c r="EZ96" i="3"/>
  <c r="FA96" i="3"/>
  <c r="FB96" i="3"/>
  <c r="FC96" i="3"/>
  <c r="FD96" i="3"/>
  <c r="FE96" i="3"/>
  <c r="FF96" i="3"/>
  <c r="FG96" i="3"/>
  <c r="FH96" i="3"/>
  <c r="FI96" i="3"/>
  <c r="FJ96" i="3"/>
  <c r="FK96" i="3"/>
  <c r="FL96" i="3"/>
  <c r="FM96" i="3"/>
  <c r="FN96" i="3"/>
  <c r="FO96" i="3"/>
  <c r="FP96" i="3"/>
  <c r="FQ96" i="3"/>
  <c r="FR96" i="3"/>
  <c r="FS96" i="3"/>
  <c r="FT96" i="3"/>
  <c r="FU96" i="3"/>
  <c r="FV96" i="3"/>
  <c r="FW96" i="3"/>
  <c r="FX96" i="3"/>
  <c r="FY96" i="3"/>
  <c r="FZ96" i="3"/>
  <c r="GA96" i="3"/>
  <c r="GB96" i="3"/>
  <c r="GC96" i="3"/>
  <c r="GD96" i="3"/>
  <c r="GE96" i="3"/>
  <c r="GF96" i="3"/>
  <c r="GG96" i="3"/>
  <c r="GH96" i="3"/>
  <c r="GI96" i="3"/>
  <c r="GJ96" i="3"/>
  <c r="GK96" i="3"/>
  <c r="GL96" i="3"/>
  <c r="GM96" i="3"/>
  <c r="GN96" i="3"/>
  <c r="GO96" i="3"/>
  <c r="GP96" i="3"/>
  <c r="GQ96" i="3"/>
  <c r="GR96" i="3"/>
  <c r="GS96" i="3"/>
  <c r="GT96" i="3"/>
  <c r="GU96" i="3"/>
  <c r="GV96" i="3"/>
  <c r="GW96" i="3"/>
  <c r="GX96" i="3"/>
  <c r="GY96" i="3"/>
  <c r="GZ96" i="3"/>
  <c r="HA96" i="3"/>
  <c r="HB96" i="3"/>
  <c r="HC96" i="3"/>
  <c r="HD96" i="3"/>
  <c r="HE96" i="3"/>
  <c r="HF96" i="3"/>
  <c r="HG96" i="3"/>
  <c r="HH96" i="3"/>
  <c r="HI96" i="3"/>
  <c r="HJ96" i="3"/>
  <c r="HK96" i="3"/>
  <c r="HL96" i="3"/>
  <c r="HM96" i="3"/>
  <c r="HN96" i="3"/>
  <c r="HO96" i="3"/>
  <c r="HP96" i="3"/>
  <c r="HQ96" i="3"/>
  <c r="HR96" i="3"/>
  <c r="HS96" i="3"/>
  <c r="HT96" i="3"/>
  <c r="HU96" i="3"/>
  <c r="HV96" i="3"/>
  <c r="HW96" i="3"/>
  <c r="HX96" i="3"/>
  <c r="HY96" i="3"/>
  <c r="HZ96" i="3"/>
  <c r="IA96" i="3"/>
  <c r="IB96" i="3"/>
  <c r="IC96" i="3"/>
  <c r="ID96" i="3"/>
  <c r="IE96" i="3"/>
  <c r="IF96" i="3"/>
  <c r="IG96" i="3"/>
  <c r="IH96" i="3"/>
  <c r="II96" i="3"/>
  <c r="IJ96" i="3"/>
  <c r="IK96" i="3"/>
  <c r="IL96" i="3"/>
  <c r="IM96" i="3"/>
  <c r="IN96" i="3"/>
  <c r="IO96" i="3"/>
  <c r="IP96" i="3"/>
  <c r="IQ96" i="3"/>
  <c r="IR96" i="3"/>
  <c r="IS96" i="3"/>
  <c r="IT96" i="3"/>
  <c r="IU96" i="3"/>
  <c r="IV96" i="3"/>
  <c r="IW96" i="3"/>
  <c r="IX96" i="3"/>
  <c r="IY96" i="3"/>
  <c r="IZ96" i="3"/>
  <c r="JA96" i="3"/>
  <c r="JB96" i="3"/>
  <c r="JC96" i="3"/>
  <c r="JD96" i="3"/>
  <c r="JE96" i="3"/>
  <c r="JF96" i="3"/>
  <c r="JG96" i="3"/>
  <c r="JH96" i="3"/>
  <c r="JI96" i="3"/>
  <c r="JJ96" i="3"/>
  <c r="JK96" i="3"/>
  <c r="JL96" i="3"/>
  <c r="JM96" i="3"/>
  <c r="A97" i="3"/>
  <c r="B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AK97" i="3"/>
  <c r="AL97" i="3"/>
  <c r="AM97" i="3"/>
  <c r="AN97" i="3"/>
  <c r="AO97" i="3"/>
  <c r="AP97" i="3"/>
  <c r="AQ97" i="3"/>
  <c r="AR97" i="3"/>
  <c r="AS97" i="3"/>
  <c r="AT97" i="3"/>
  <c r="AU97" i="3"/>
  <c r="AV97" i="3"/>
  <c r="AW97" i="3"/>
  <c r="AX97" i="3"/>
  <c r="AY97" i="3"/>
  <c r="AZ97" i="3"/>
  <c r="BA97" i="3"/>
  <c r="BB97" i="3"/>
  <c r="BC97" i="3"/>
  <c r="BD97" i="3"/>
  <c r="BE97" i="3"/>
  <c r="BF97" i="3"/>
  <c r="BG97" i="3"/>
  <c r="BH97" i="3"/>
  <c r="BI97" i="3"/>
  <c r="BJ97" i="3"/>
  <c r="BK97" i="3"/>
  <c r="BL97" i="3"/>
  <c r="BM97" i="3"/>
  <c r="BN97" i="3"/>
  <c r="BO97" i="3"/>
  <c r="BP97" i="3"/>
  <c r="BQ97" i="3"/>
  <c r="BR97" i="3"/>
  <c r="BS97" i="3"/>
  <c r="BT97" i="3"/>
  <c r="BU97" i="3"/>
  <c r="BV97" i="3"/>
  <c r="BW97" i="3"/>
  <c r="BX97" i="3"/>
  <c r="BY97" i="3"/>
  <c r="BZ97" i="3"/>
  <c r="CA97" i="3"/>
  <c r="CB97" i="3"/>
  <c r="CC97" i="3"/>
  <c r="CD97" i="3"/>
  <c r="CE97" i="3"/>
  <c r="CF97" i="3"/>
  <c r="CG97" i="3"/>
  <c r="CH97" i="3"/>
  <c r="CI97" i="3"/>
  <c r="CJ97" i="3"/>
  <c r="CK97" i="3"/>
  <c r="CL97" i="3"/>
  <c r="CM97" i="3"/>
  <c r="CN97" i="3"/>
  <c r="CO97" i="3"/>
  <c r="CP97" i="3"/>
  <c r="CQ97" i="3"/>
  <c r="CR97" i="3"/>
  <c r="CS97" i="3"/>
  <c r="CT97" i="3"/>
  <c r="CU97" i="3"/>
  <c r="CV97" i="3"/>
  <c r="CW97" i="3"/>
  <c r="CX97" i="3"/>
  <c r="CY97" i="3"/>
  <c r="CZ97" i="3"/>
  <c r="DA97" i="3"/>
  <c r="DB97" i="3"/>
  <c r="DC97" i="3"/>
  <c r="DD97" i="3"/>
  <c r="DE97" i="3"/>
  <c r="DF97" i="3"/>
  <c r="DG97" i="3"/>
  <c r="DH97" i="3"/>
  <c r="DI97" i="3"/>
  <c r="DJ97" i="3"/>
  <c r="DK97" i="3"/>
  <c r="DL97" i="3"/>
  <c r="DM97" i="3"/>
  <c r="DN97" i="3"/>
  <c r="DO97" i="3"/>
  <c r="DP97" i="3"/>
  <c r="DQ97" i="3"/>
  <c r="DR97" i="3"/>
  <c r="DS97" i="3"/>
  <c r="DT97" i="3"/>
  <c r="DU97" i="3"/>
  <c r="DV97" i="3"/>
  <c r="DW97" i="3"/>
  <c r="DX97" i="3"/>
  <c r="DY97" i="3"/>
  <c r="DZ97" i="3"/>
  <c r="EA97" i="3"/>
  <c r="EB97" i="3"/>
  <c r="EC97" i="3"/>
  <c r="ED97" i="3"/>
  <c r="EE97" i="3"/>
  <c r="EF97" i="3"/>
  <c r="EG97" i="3"/>
  <c r="EI97" i="3"/>
  <c r="EJ97" i="3"/>
  <c r="EK97" i="3"/>
  <c r="EL97" i="3"/>
  <c r="EM97" i="3"/>
  <c r="EN97" i="3"/>
  <c r="EO97" i="3"/>
  <c r="EP97" i="3"/>
  <c r="EQ97" i="3"/>
  <c r="ER97" i="3"/>
  <c r="ES97" i="3"/>
  <c r="ET97" i="3"/>
  <c r="EU97" i="3"/>
  <c r="EV97" i="3"/>
  <c r="EW97" i="3"/>
  <c r="EX97" i="3"/>
  <c r="EY97" i="3"/>
  <c r="EZ97" i="3"/>
  <c r="FA97" i="3"/>
  <c r="FB97" i="3"/>
  <c r="FC97" i="3"/>
  <c r="FD97" i="3"/>
  <c r="FE97" i="3"/>
  <c r="FF97" i="3"/>
  <c r="FG97" i="3"/>
  <c r="FH97" i="3"/>
  <c r="FI97" i="3"/>
  <c r="FJ97" i="3"/>
  <c r="FK97" i="3"/>
  <c r="FL97" i="3"/>
  <c r="FM97" i="3"/>
  <c r="FN97" i="3"/>
  <c r="FO97" i="3"/>
  <c r="FP97" i="3"/>
  <c r="FQ97" i="3"/>
  <c r="FR97" i="3"/>
  <c r="FS97" i="3"/>
  <c r="FT97" i="3"/>
  <c r="FU97" i="3"/>
  <c r="FV97" i="3"/>
  <c r="FW97" i="3"/>
  <c r="FX97" i="3"/>
  <c r="FY97" i="3"/>
  <c r="FZ97" i="3"/>
  <c r="GA97" i="3"/>
  <c r="GB97" i="3"/>
  <c r="GC97" i="3"/>
  <c r="GD97" i="3"/>
  <c r="GE97" i="3"/>
  <c r="GF97" i="3"/>
  <c r="GG97" i="3"/>
  <c r="GH97" i="3"/>
  <c r="GI97" i="3"/>
  <c r="GJ97" i="3"/>
  <c r="GK97" i="3"/>
  <c r="GL97" i="3"/>
  <c r="GM97" i="3"/>
  <c r="GN97" i="3"/>
  <c r="GO97" i="3"/>
  <c r="GP97" i="3"/>
  <c r="GQ97" i="3"/>
  <c r="GR97" i="3"/>
  <c r="GS97" i="3"/>
  <c r="GT97" i="3"/>
  <c r="GU97" i="3"/>
  <c r="GV97" i="3"/>
  <c r="GW97" i="3"/>
  <c r="GX97" i="3"/>
  <c r="GY97" i="3"/>
  <c r="GZ97" i="3"/>
  <c r="HA97" i="3"/>
  <c r="HB97" i="3"/>
  <c r="HC97" i="3"/>
  <c r="HD97" i="3"/>
  <c r="HE97" i="3"/>
  <c r="HF97" i="3"/>
  <c r="HG97" i="3"/>
  <c r="HH97" i="3"/>
  <c r="HI97" i="3"/>
  <c r="HJ97" i="3"/>
  <c r="HK97" i="3"/>
  <c r="HL97" i="3"/>
  <c r="HM97" i="3"/>
  <c r="HN97" i="3"/>
  <c r="HO97" i="3"/>
  <c r="HP97" i="3"/>
  <c r="HQ97" i="3"/>
  <c r="HR97" i="3"/>
  <c r="HS97" i="3"/>
  <c r="HT97" i="3"/>
  <c r="HU97" i="3"/>
  <c r="HV97" i="3"/>
  <c r="HW97" i="3"/>
  <c r="HX97" i="3"/>
  <c r="HY97" i="3"/>
  <c r="HZ97" i="3"/>
  <c r="IA97" i="3"/>
  <c r="IB97" i="3"/>
  <c r="IC97" i="3"/>
  <c r="ID97" i="3"/>
  <c r="IE97" i="3"/>
  <c r="IF97" i="3"/>
  <c r="IG97" i="3"/>
  <c r="IH97" i="3"/>
  <c r="II97" i="3"/>
  <c r="IJ97" i="3"/>
  <c r="IK97" i="3"/>
  <c r="IL97" i="3"/>
  <c r="IM97" i="3"/>
  <c r="IN97" i="3"/>
  <c r="IO97" i="3"/>
  <c r="IP97" i="3"/>
  <c r="IQ97" i="3"/>
  <c r="IR97" i="3"/>
  <c r="IS97" i="3"/>
  <c r="IT97" i="3"/>
  <c r="IU97" i="3"/>
  <c r="IV97" i="3"/>
  <c r="IW97" i="3"/>
  <c r="IX97" i="3"/>
  <c r="IY97" i="3"/>
  <c r="IZ97" i="3"/>
  <c r="JA97" i="3"/>
  <c r="JB97" i="3"/>
  <c r="JC97" i="3"/>
  <c r="JD97" i="3"/>
  <c r="JE97" i="3"/>
  <c r="JF97" i="3"/>
  <c r="JG97" i="3"/>
  <c r="JH97" i="3"/>
  <c r="JI97" i="3"/>
  <c r="JJ97" i="3"/>
  <c r="JK97" i="3"/>
  <c r="JL97" i="3"/>
  <c r="JM97" i="3"/>
  <c r="A98" i="3"/>
  <c r="B98" i="3"/>
  <c r="K98" i="3"/>
  <c r="L98" i="3"/>
  <c r="M98" i="3"/>
  <c r="N98" i="3"/>
  <c r="O98" i="3"/>
  <c r="P98" i="3"/>
  <c r="Q98" i="3"/>
  <c r="R98" i="3"/>
  <c r="S98" i="3"/>
  <c r="T98" i="3"/>
  <c r="U98" i="3"/>
  <c r="V98" i="3"/>
  <c r="W98" i="3"/>
  <c r="X98" i="3"/>
  <c r="Y98" i="3"/>
  <c r="Z98" i="3"/>
  <c r="AA98" i="3"/>
  <c r="AB98" i="3"/>
  <c r="AC98" i="3"/>
  <c r="AD98" i="3"/>
  <c r="AE98" i="3"/>
  <c r="AF98" i="3"/>
  <c r="AG98" i="3"/>
  <c r="AH98" i="3"/>
  <c r="AI98" i="3"/>
  <c r="AJ98" i="3"/>
  <c r="AK98" i="3"/>
  <c r="AL98" i="3"/>
  <c r="AM98" i="3"/>
  <c r="AN98" i="3"/>
  <c r="AO98" i="3"/>
  <c r="AP98" i="3"/>
  <c r="AQ98" i="3"/>
  <c r="AR98" i="3"/>
  <c r="AS98" i="3"/>
  <c r="AT98" i="3"/>
  <c r="AU98" i="3"/>
  <c r="AV98" i="3"/>
  <c r="AW98" i="3"/>
  <c r="AX98" i="3"/>
  <c r="AY98" i="3"/>
  <c r="AZ98" i="3"/>
  <c r="BA98" i="3"/>
  <c r="BB98" i="3"/>
  <c r="BC98" i="3"/>
  <c r="BD98" i="3"/>
  <c r="BE98" i="3"/>
  <c r="BF98" i="3"/>
  <c r="BG98" i="3"/>
  <c r="BH98" i="3"/>
  <c r="BI98" i="3"/>
  <c r="BJ98" i="3"/>
  <c r="BK98" i="3"/>
  <c r="BL98" i="3"/>
  <c r="BM98" i="3"/>
  <c r="BN98" i="3"/>
  <c r="BO98" i="3"/>
  <c r="BP98" i="3"/>
  <c r="BQ98" i="3"/>
  <c r="BR98" i="3"/>
  <c r="BS98" i="3"/>
  <c r="BT98" i="3"/>
  <c r="BU98" i="3"/>
  <c r="BV98" i="3"/>
  <c r="BW98" i="3"/>
  <c r="BX98" i="3"/>
  <c r="BY98" i="3"/>
  <c r="BZ98" i="3"/>
  <c r="CA98" i="3"/>
  <c r="CB98" i="3"/>
  <c r="CC98" i="3"/>
  <c r="CD98" i="3"/>
  <c r="CE98" i="3"/>
  <c r="CF98" i="3"/>
  <c r="CG98" i="3"/>
  <c r="CH98" i="3"/>
  <c r="CI98" i="3"/>
  <c r="CJ98" i="3"/>
  <c r="CK98" i="3"/>
  <c r="CL98" i="3"/>
  <c r="CM98" i="3"/>
  <c r="CN98" i="3"/>
  <c r="CO98" i="3"/>
  <c r="CP98" i="3"/>
  <c r="CQ98" i="3"/>
  <c r="CR98" i="3"/>
  <c r="CS98" i="3"/>
  <c r="CT98" i="3"/>
  <c r="CU98" i="3"/>
  <c r="CV98" i="3"/>
  <c r="CW98" i="3"/>
  <c r="CX98" i="3"/>
  <c r="CY98" i="3"/>
  <c r="CZ98" i="3"/>
  <c r="DA98" i="3"/>
  <c r="DB98" i="3"/>
  <c r="DC98" i="3"/>
  <c r="DD98" i="3"/>
  <c r="DE98" i="3"/>
  <c r="DF98" i="3"/>
  <c r="DG98" i="3"/>
  <c r="DH98" i="3"/>
  <c r="DI98" i="3"/>
  <c r="DJ98" i="3"/>
  <c r="DK98" i="3"/>
  <c r="DL98" i="3"/>
  <c r="DM98" i="3"/>
  <c r="DN98" i="3"/>
  <c r="DO98" i="3"/>
  <c r="DP98" i="3"/>
  <c r="DQ98" i="3"/>
  <c r="DR98" i="3"/>
  <c r="DS98" i="3"/>
  <c r="DT98" i="3"/>
  <c r="DU98" i="3"/>
  <c r="DV98" i="3"/>
  <c r="DW98" i="3"/>
  <c r="DX98" i="3"/>
  <c r="DY98" i="3"/>
  <c r="DZ98" i="3"/>
  <c r="EA98" i="3"/>
  <c r="EB98" i="3"/>
  <c r="EC98" i="3"/>
  <c r="ED98" i="3"/>
  <c r="EE98" i="3"/>
  <c r="EF98" i="3"/>
  <c r="EG98" i="3"/>
  <c r="EI98" i="3"/>
  <c r="EJ98" i="3"/>
  <c r="EK98" i="3"/>
  <c r="EL98" i="3"/>
  <c r="EM98" i="3"/>
  <c r="EN98" i="3"/>
  <c r="EO98" i="3"/>
  <c r="EP98" i="3"/>
  <c r="EQ98" i="3"/>
  <c r="ER98" i="3"/>
  <c r="ES98" i="3"/>
  <c r="ET98" i="3"/>
  <c r="EU98" i="3"/>
  <c r="EV98" i="3"/>
  <c r="EW98" i="3"/>
  <c r="EX98" i="3"/>
  <c r="EY98" i="3"/>
  <c r="EZ98" i="3"/>
  <c r="FA98" i="3"/>
  <c r="FB98" i="3"/>
  <c r="FC98" i="3"/>
  <c r="FD98" i="3"/>
  <c r="FE98" i="3"/>
  <c r="FF98" i="3"/>
  <c r="FG98" i="3"/>
  <c r="FH98" i="3"/>
  <c r="FI98" i="3"/>
  <c r="FJ98" i="3"/>
  <c r="FK98" i="3"/>
  <c r="FL98" i="3"/>
  <c r="FM98" i="3"/>
  <c r="FN98" i="3"/>
  <c r="FO98" i="3"/>
  <c r="FP98" i="3"/>
  <c r="FQ98" i="3"/>
  <c r="FR98" i="3"/>
  <c r="FS98" i="3"/>
  <c r="FT98" i="3"/>
  <c r="FU98" i="3"/>
  <c r="FV98" i="3"/>
  <c r="FW98" i="3"/>
  <c r="FX98" i="3"/>
  <c r="FY98" i="3"/>
  <c r="FZ98" i="3"/>
  <c r="GA98" i="3"/>
  <c r="GB98" i="3"/>
  <c r="GC98" i="3"/>
  <c r="GD98" i="3"/>
  <c r="GE98" i="3"/>
  <c r="GF98" i="3"/>
  <c r="GG98" i="3"/>
  <c r="GH98" i="3"/>
  <c r="GI98" i="3"/>
  <c r="GJ98" i="3"/>
  <c r="GK98" i="3"/>
  <c r="GL98" i="3"/>
  <c r="GM98" i="3"/>
  <c r="GN98" i="3"/>
  <c r="GO98" i="3"/>
  <c r="GP98" i="3"/>
  <c r="GQ98" i="3"/>
  <c r="GR98" i="3"/>
  <c r="GS98" i="3"/>
  <c r="GT98" i="3"/>
  <c r="GU98" i="3"/>
  <c r="GV98" i="3"/>
  <c r="GW98" i="3"/>
  <c r="GX98" i="3"/>
  <c r="GY98" i="3"/>
  <c r="GZ98" i="3"/>
  <c r="HA98" i="3"/>
  <c r="HB98" i="3"/>
  <c r="HC98" i="3"/>
  <c r="HD98" i="3"/>
  <c r="HE98" i="3"/>
  <c r="HF98" i="3"/>
  <c r="HG98" i="3"/>
  <c r="HH98" i="3"/>
  <c r="HI98" i="3"/>
  <c r="HJ98" i="3"/>
  <c r="HK98" i="3"/>
  <c r="HL98" i="3"/>
  <c r="HM98" i="3"/>
  <c r="HN98" i="3"/>
  <c r="HO98" i="3"/>
  <c r="HP98" i="3"/>
  <c r="HQ98" i="3"/>
  <c r="HR98" i="3"/>
  <c r="HS98" i="3"/>
  <c r="HT98" i="3"/>
  <c r="HU98" i="3"/>
  <c r="HV98" i="3"/>
  <c r="HW98" i="3"/>
  <c r="HX98" i="3"/>
  <c r="HY98" i="3"/>
  <c r="HZ98" i="3"/>
  <c r="IA98" i="3"/>
  <c r="IB98" i="3"/>
  <c r="IC98" i="3"/>
  <c r="ID98" i="3"/>
  <c r="IE98" i="3"/>
  <c r="IF98" i="3"/>
  <c r="IG98" i="3"/>
  <c r="IH98" i="3"/>
  <c r="II98" i="3"/>
  <c r="IJ98" i="3"/>
  <c r="IK98" i="3"/>
  <c r="IL98" i="3"/>
  <c r="IM98" i="3"/>
  <c r="IN98" i="3"/>
  <c r="IO98" i="3"/>
  <c r="IP98" i="3"/>
  <c r="IQ98" i="3"/>
  <c r="IR98" i="3"/>
  <c r="IS98" i="3"/>
  <c r="IT98" i="3"/>
  <c r="IU98" i="3"/>
  <c r="IV98" i="3"/>
  <c r="IW98" i="3"/>
  <c r="IX98" i="3"/>
  <c r="IY98" i="3"/>
  <c r="IZ98" i="3"/>
  <c r="JA98" i="3"/>
  <c r="JB98" i="3"/>
  <c r="JC98" i="3"/>
  <c r="JD98" i="3"/>
  <c r="JE98" i="3"/>
  <c r="JF98" i="3"/>
  <c r="JG98" i="3"/>
  <c r="JH98" i="3"/>
  <c r="JI98" i="3"/>
  <c r="JJ98" i="3"/>
  <c r="JK98" i="3"/>
  <c r="JL98" i="3"/>
  <c r="JM98" i="3"/>
  <c r="A99" i="3"/>
  <c r="B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AK99" i="3"/>
  <c r="AL99" i="3"/>
  <c r="AM99" i="3"/>
  <c r="AN99" i="3"/>
  <c r="AO99" i="3"/>
  <c r="AP99" i="3"/>
  <c r="AQ99" i="3"/>
  <c r="AR99" i="3"/>
  <c r="AS99" i="3"/>
  <c r="AT99" i="3"/>
  <c r="AU99" i="3"/>
  <c r="AV99" i="3"/>
  <c r="AW99" i="3"/>
  <c r="AX99" i="3"/>
  <c r="AY99" i="3"/>
  <c r="AZ99" i="3"/>
  <c r="BA99" i="3"/>
  <c r="BB99" i="3"/>
  <c r="BC99" i="3"/>
  <c r="BD99" i="3"/>
  <c r="BE99" i="3"/>
  <c r="BF99" i="3"/>
  <c r="BG99" i="3"/>
  <c r="BH99" i="3"/>
  <c r="BI99" i="3"/>
  <c r="BJ99" i="3"/>
  <c r="BK99" i="3"/>
  <c r="BL99" i="3"/>
  <c r="BM99" i="3"/>
  <c r="BN99" i="3"/>
  <c r="BO99" i="3"/>
  <c r="BP99" i="3"/>
  <c r="BQ99" i="3"/>
  <c r="BR99" i="3"/>
  <c r="BS99" i="3"/>
  <c r="BT99" i="3"/>
  <c r="BU99" i="3"/>
  <c r="BV99" i="3"/>
  <c r="BW99" i="3"/>
  <c r="BX99" i="3"/>
  <c r="BY99" i="3"/>
  <c r="BZ99" i="3"/>
  <c r="CA99" i="3"/>
  <c r="CB99" i="3"/>
  <c r="CC99" i="3"/>
  <c r="CD99" i="3"/>
  <c r="CE99" i="3"/>
  <c r="CF99" i="3"/>
  <c r="CG99" i="3"/>
  <c r="CH99" i="3"/>
  <c r="CI99" i="3"/>
  <c r="CJ99" i="3"/>
  <c r="CK99" i="3"/>
  <c r="CL99" i="3"/>
  <c r="CM99" i="3"/>
  <c r="CN99" i="3"/>
  <c r="CO99" i="3"/>
  <c r="CP99" i="3"/>
  <c r="CQ99" i="3"/>
  <c r="CR99" i="3"/>
  <c r="CS99" i="3"/>
  <c r="CT99" i="3"/>
  <c r="CU99" i="3"/>
  <c r="CV99" i="3"/>
  <c r="CW99" i="3"/>
  <c r="CX99" i="3"/>
  <c r="CY99" i="3"/>
  <c r="CZ99" i="3"/>
  <c r="DA99" i="3"/>
  <c r="DB99" i="3"/>
  <c r="DC99" i="3"/>
  <c r="DD99" i="3"/>
  <c r="DE99" i="3"/>
  <c r="DF99" i="3"/>
  <c r="DG99" i="3"/>
  <c r="DH99" i="3"/>
  <c r="DI99" i="3"/>
  <c r="DJ99" i="3"/>
  <c r="DK99" i="3"/>
  <c r="DL99" i="3"/>
  <c r="DM99" i="3"/>
  <c r="DN99" i="3"/>
  <c r="DO99" i="3"/>
  <c r="DP99" i="3"/>
  <c r="DQ99" i="3"/>
  <c r="DR99" i="3"/>
  <c r="DS99" i="3"/>
  <c r="DT99" i="3"/>
  <c r="DU99" i="3"/>
  <c r="DV99" i="3"/>
  <c r="DW99" i="3"/>
  <c r="DX99" i="3"/>
  <c r="DY99" i="3"/>
  <c r="DZ99" i="3"/>
  <c r="EA99" i="3"/>
  <c r="EB99" i="3"/>
  <c r="EC99" i="3"/>
  <c r="ED99" i="3"/>
  <c r="EE99" i="3"/>
  <c r="EF99" i="3"/>
  <c r="EG99" i="3"/>
  <c r="EI99" i="3"/>
  <c r="EJ99" i="3"/>
  <c r="EK99" i="3"/>
  <c r="EL99" i="3"/>
  <c r="EM99" i="3"/>
  <c r="EN99" i="3"/>
  <c r="EO99" i="3"/>
  <c r="EP99" i="3"/>
  <c r="EQ99" i="3"/>
  <c r="ER99" i="3"/>
  <c r="ES99" i="3"/>
  <c r="ET99" i="3"/>
  <c r="EU99" i="3"/>
  <c r="EV99" i="3"/>
  <c r="EW99" i="3"/>
  <c r="EX99" i="3"/>
  <c r="EY99" i="3"/>
  <c r="EZ99" i="3"/>
  <c r="FA99" i="3"/>
  <c r="FB99" i="3"/>
  <c r="FC99" i="3"/>
  <c r="FD99" i="3"/>
  <c r="FE99" i="3"/>
  <c r="FF99" i="3"/>
  <c r="FG99" i="3"/>
  <c r="FH99" i="3"/>
  <c r="FI99" i="3"/>
  <c r="FJ99" i="3"/>
  <c r="FK99" i="3"/>
  <c r="FL99" i="3"/>
  <c r="FM99" i="3"/>
  <c r="FN99" i="3"/>
  <c r="FO99" i="3"/>
  <c r="FP99" i="3"/>
  <c r="FQ99" i="3"/>
  <c r="FR99" i="3"/>
  <c r="FS99" i="3"/>
  <c r="FT99" i="3"/>
  <c r="FU99" i="3"/>
  <c r="FV99" i="3"/>
  <c r="FW99" i="3"/>
  <c r="FX99" i="3"/>
  <c r="FY99" i="3"/>
  <c r="FZ99" i="3"/>
  <c r="GA99" i="3"/>
  <c r="GB99" i="3"/>
  <c r="GC99" i="3"/>
  <c r="GD99" i="3"/>
  <c r="GE99" i="3"/>
  <c r="GF99" i="3"/>
  <c r="GG99" i="3"/>
  <c r="GH99" i="3"/>
  <c r="GI99" i="3"/>
  <c r="GJ99" i="3"/>
  <c r="GK99" i="3"/>
  <c r="GL99" i="3"/>
  <c r="GM99" i="3"/>
  <c r="GN99" i="3"/>
  <c r="GO99" i="3"/>
  <c r="GP99" i="3"/>
  <c r="GQ99" i="3"/>
  <c r="GR99" i="3"/>
  <c r="GS99" i="3"/>
  <c r="GT99" i="3"/>
  <c r="GU99" i="3"/>
  <c r="GV99" i="3"/>
  <c r="GW99" i="3"/>
  <c r="GX99" i="3"/>
  <c r="GY99" i="3"/>
  <c r="GZ99" i="3"/>
  <c r="HA99" i="3"/>
  <c r="HB99" i="3"/>
  <c r="HC99" i="3"/>
  <c r="HD99" i="3"/>
  <c r="HE99" i="3"/>
  <c r="HF99" i="3"/>
  <c r="HG99" i="3"/>
  <c r="HH99" i="3"/>
  <c r="HI99" i="3"/>
  <c r="HJ99" i="3"/>
  <c r="HK99" i="3"/>
  <c r="HL99" i="3"/>
  <c r="HM99" i="3"/>
  <c r="HN99" i="3"/>
  <c r="HO99" i="3"/>
  <c r="HP99" i="3"/>
  <c r="HQ99" i="3"/>
  <c r="HR99" i="3"/>
  <c r="HS99" i="3"/>
  <c r="HT99" i="3"/>
  <c r="HU99" i="3"/>
  <c r="HV99" i="3"/>
  <c r="HW99" i="3"/>
  <c r="HX99" i="3"/>
  <c r="HY99" i="3"/>
  <c r="HZ99" i="3"/>
  <c r="IA99" i="3"/>
  <c r="IB99" i="3"/>
  <c r="IC99" i="3"/>
  <c r="ID99" i="3"/>
  <c r="IE99" i="3"/>
  <c r="IF99" i="3"/>
  <c r="IG99" i="3"/>
  <c r="IH99" i="3"/>
  <c r="II99" i="3"/>
  <c r="IJ99" i="3"/>
  <c r="IK99" i="3"/>
  <c r="IL99" i="3"/>
  <c r="IM99" i="3"/>
  <c r="IN99" i="3"/>
  <c r="IO99" i="3"/>
  <c r="IP99" i="3"/>
  <c r="IQ99" i="3"/>
  <c r="IR99" i="3"/>
  <c r="IS99" i="3"/>
  <c r="IT99" i="3"/>
  <c r="IU99" i="3"/>
  <c r="IV99" i="3"/>
  <c r="IW99" i="3"/>
  <c r="IX99" i="3"/>
  <c r="IY99" i="3"/>
  <c r="IZ99" i="3"/>
  <c r="JA99" i="3"/>
  <c r="JB99" i="3"/>
  <c r="JC99" i="3"/>
  <c r="JD99" i="3"/>
  <c r="JE99" i="3"/>
  <c r="JF99" i="3"/>
  <c r="JG99" i="3"/>
  <c r="JH99" i="3"/>
  <c r="JI99" i="3"/>
  <c r="JJ99" i="3"/>
  <c r="JK99" i="3"/>
  <c r="JL99" i="3"/>
  <c r="JM99" i="3"/>
  <c r="A100" i="3"/>
  <c r="B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K100" i="3"/>
  <c r="AL100" i="3"/>
  <c r="AM100" i="3"/>
  <c r="AN100" i="3"/>
  <c r="AO100" i="3"/>
  <c r="AP100" i="3"/>
  <c r="AQ100" i="3"/>
  <c r="AR100" i="3"/>
  <c r="AS100" i="3"/>
  <c r="AT100" i="3"/>
  <c r="AU100" i="3"/>
  <c r="AV100" i="3"/>
  <c r="AW100" i="3"/>
  <c r="AX100" i="3"/>
  <c r="AY100" i="3"/>
  <c r="AZ100" i="3"/>
  <c r="BA100" i="3"/>
  <c r="BB100" i="3"/>
  <c r="BC100" i="3"/>
  <c r="BD100" i="3"/>
  <c r="BE100" i="3"/>
  <c r="BF100" i="3"/>
  <c r="BG100" i="3"/>
  <c r="BH100" i="3"/>
  <c r="BI100" i="3"/>
  <c r="BJ100" i="3"/>
  <c r="BK100" i="3"/>
  <c r="BL100" i="3"/>
  <c r="BM100" i="3"/>
  <c r="BN100" i="3"/>
  <c r="BO100" i="3"/>
  <c r="BP100" i="3"/>
  <c r="BQ100" i="3"/>
  <c r="BR100" i="3"/>
  <c r="BS100" i="3"/>
  <c r="BT100" i="3"/>
  <c r="BU100" i="3"/>
  <c r="BV100" i="3"/>
  <c r="BW100" i="3"/>
  <c r="BX100" i="3"/>
  <c r="BY100" i="3"/>
  <c r="BZ100" i="3"/>
  <c r="CA100" i="3"/>
  <c r="CB100" i="3"/>
  <c r="CC100" i="3"/>
  <c r="CD100" i="3"/>
  <c r="CE100" i="3"/>
  <c r="CF100" i="3"/>
  <c r="CG100" i="3"/>
  <c r="CH100" i="3"/>
  <c r="CI100" i="3"/>
  <c r="CJ100" i="3"/>
  <c r="CK100" i="3"/>
  <c r="CL100" i="3"/>
  <c r="CM100" i="3"/>
  <c r="CN100" i="3"/>
  <c r="CO100" i="3"/>
  <c r="CP100" i="3"/>
  <c r="CQ100" i="3"/>
  <c r="CR100" i="3"/>
  <c r="CS100" i="3"/>
  <c r="CT100" i="3"/>
  <c r="CU100" i="3"/>
  <c r="CV100" i="3"/>
  <c r="CW100" i="3"/>
  <c r="CX100" i="3"/>
  <c r="CY100" i="3"/>
  <c r="CZ100" i="3"/>
  <c r="DA100" i="3"/>
  <c r="DB100" i="3"/>
  <c r="DC100" i="3"/>
  <c r="DD100" i="3"/>
  <c r="DE100" i="3"/>
  <c r="DF100" i="3"/>
  <c r="DG100" i="3"/>
  <c r="DH100" i="3"/>
  <c r="DI100" i="3"/>
  <c r="DJ100" i="3"/>
  <c r="DK100" i="3"/>
  <c r="DL100" i="3"/>
  <c r="DM100" i="3"/>
  <c r="DN100" i="3"/>
  <c r="DO100" i="3"/>
  <c r="DP100" i="3"/>
  <c r="DQ100" i="3"/>
  <c r="DR100" i="3"/>
  <c r="DS100" i="3"/>
  <c r="DT100" i="3"/>
  <c r="DU100" i="3"/>
  <c r="DV100" i="3"/>
  <c r="DW100" i="3"/>
  <c r="DX100" i="3"/>
  <c r="DY100" i="3"/>
  <c r="DZ100" i="3"/>
  <c r="EA100" i="3"/>
  <c r="EB100" i="3"/>
  <c r="EC100" i="3"/>
  <c r="ED100" i="3"/>
  <c r="EE100" i="3"/>
  <c r="EF100" i="3"/>
  <c r="EG100" i="3"/>
  <c r="EI100" i="3"/>
  <c r="EJ100" i="3"/>
  <c r="EK100" i="3"/>
  <c r="EL100" i="3"/>
  <c r="EM100" i="3"/>
  <c r="EN100" i="3"/>
  <c r="EO100" i="3"/>
  <c r="EP100" i="3"/>
  <c r="EQ100" i="3"/>
  <c r="ER100" i="3"/>
  <c r="ES100" i="3"/>
  <c r="ET100" i="3"/>
  <c r="EU100" i="3"/>
  <c r="EV100" i="3"/>
  <c r="EW100" i="3"/>
  <c r="EX100" i="3"/>
  <c r="EY100" i="3"/>
  <c r="EZ100" i="3"/>
  <c r="FA100" i="3"/>
  <c r="FB100" i="3"/>
  <c r="FC100" i="3"/>
  <c r="FD100" i="3"/>
  <c r="FE100" i="3"/>
  <c r="FF100" i="3"/>
  <c r="FG100" i="3"/>
  <c r="FH100" i="3"/>
  <c r="FI100" i="3"/>
  <c r="FJ100" i="3"/>
  <c r="FK100" i="3"/>
  <c r="FL100" i="3"/>
  <c r="FM100" i="3"/>
  <c r="FN100" i="3"/>
  <c r="FO100" i="3"/>
  <c r="FP100" i="3"/>
  <c r="FQ100" i="3"/>
  <c r="FR100" i="3"/>
  <c r="FS100" i="3"/>
  <c r="FT100" i="3"/>
  <c r="FU100" i="3"/>
  <c r="FV100" i="3"/>
  <c r="FW100" i="3"/>
  <c r="FX100" i="3"/>
  <c r="FY100" i="3"/>
  <c r="FZ100" i="3"/>
  <c r="GA100" i="3"/>
  <c r="GB100" i="3"/>
  <c r="GC100" i="3"/>
  <c r="GD100" i="3"/>
  <c r="GE100" i="3"/>
  <c r="GF100" i="3"/>
  <c r="GG100" i="3"/>
  <c r="GH100" i="3"/>
  <c r="GI100" i="3"/>
  <c r="GJ100" i="3"/>
  <c r="GK100" i="3"/>
  <c r="GL100" i="3"/>
  <c r="GM100" i="3"/>
  <c r="GN100" i="3"/>
  <c r="GO100" i="3"/>
  <c r="GP100" i="3"/>
  <c r="GQ100" i="3"/>
  <c r="GR100" i="3"/>
  <c r="GS100" i="3"/>
  <c r="GT100" i="3"/>
  <c r="GU100" i="3"/>
  <c r="GV100" i="3"/>
  <c r="GW100" i="3"/>
  <c r="GX100" i="3"/>
  <c r="GY100" i="3"/>
  <c r="GZ100" i="3"/>
  <c r="HA100" i="3"/>
  <c r="HB100" i="3"/>
  <c r="HC100" i="3"/>
  <c r="HD100" i="3"/>
  <c r="HE100" i="3"/>
  <c r="HF100" i="3"/>
  <c r="HG100" i="3"/>
  <c r="HH100" i="3"/>
  <c r="HI100" i="3"/>
  <c r="HJ100" i="3"/>
  <c r="HK100" i="3"/>
  <c r="HL100" i="3"/>
  <c r="HM100" i="3"/>
  <c r="HN100" i="3"/>
  <c r="HO100" i="3"/>
  <c r="HP100" i="3"/>
  <c r="HQ100" i="3"/>
  <c r="HR100" i="3"/>
  <c r="HS100" i="3"/>
  <c r="HT100" i="3"/>
  <c r="HU100" i="3"/>
  <c r="HV100" i="3"/>
  <c r="HW100" i="3"/>
  <c r="HX100" i="3"/>
  <c r="HY100" i="3"/>
  <c r="HZ100" i="3"/>
  <c r="IA100" i="3"/>
  <c r="IB100" i="3"/>
  <c r="IC100" i="3"/>
  <c r="ID100" i="3"/>
  <c r="IE100" i="3"/>
  <c r="IF100" i="3"/>
  <c r="IG100" i="3"/>
  <c r="IH100" i="3"/>
  <c r="II100" i="3"/>
  <c r="IJ100" i="3"/>
  <c r="IK100" i="3"/>
  <c r="IL100" i="3"/>
  <c r="IM100" i="3"/>
  <c r="IN100" i="3"/>
  <c r="IO100" i="3"/>
  <c r="IP100" i="3"/>
  <c r="IQ100" i="3"/>
  <c r="IR100" i="3"/>
  <c r="IS100" i="3"/>
  <c r="IT100" i="3"/>
  <c r="IU100" i="3"/>
  <c r="IV100" i="3"/>
  <c r="IW100" i="3"/>
  <c r="IX100" i="3"/>
  <c r="IY100" i="3"/>
  <c r="IZ100" i="3"/>
  <c r="JA100" i="3"/>
  <c r="JB100" i="3"/>
  <c r="JC100" i="3"/>
  <c r="JD100" i="3"/>
  <c r="JE100" i="3"/>
  <c r="JF100" i="3"/>
  <c r="JG100" i="3"/>
  <c r="JH100" i="3"/>
  <c r="JI100" i="3"/>
  <c r="JJ100" i="3"/>
  <c r="JK100" i="3"/>
  <c r="JL100" i="3"/>
  <c r="JM100" i="3"/>
  <c r="A91" i="3"/>
  <c r="B91" i="3"/>
  <c r="C91" i="3"/>
  <c r="D91" i="3"/>
  <c r="E91"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AI91" i="3"/>
  <c r="AJ91" i="3"/>
  <c r="AK91" i="3"/>
  <c r="AL91" i="3"/>
  <c r="AM91" i="3"/>
  <c r="AN91" i="3"/>
  <c r="AO91" i="3"/>
  <c r="AP91" i="3"/>
  <c r="AQ91" i="3"/>
  <c r="AR91" i="3"/>
  <c r="AS91" i="3"/>
  <c r="AT91" i="3"/>
  <c r="AU91" i="3"/>
  <c r="AV91" i="3"/>
  <c r="AW91" i="3"/>
  <c r="AX91" i="3"/>
  <c r="AY91" i="3"/>
  <c r="AZ91" i="3"/>
  <c r="BA91" i="3"/>
  <c r="BB91" i="3"/>
  <c r="BC91" i="3"/>
  <c r="BD91" i="3"/>
  <c r="BE91" i="3"/>
  <c r="BF91" i="3"/>
  <c r="BG91" i="3"/>
  <c r="BH91" i="3"/>
  <c r="BI91" i="3"/>
  <c r="BJ91" i="3"/>
  <c r="BK91" i="3"/>
  <c r="BL91" i="3"/>
  <c r="BM91" i="3"/>
  <c r="BN91" i="3"/>
  <c r="BO91" i="3"/>
  <c r="BP91" i="3"/>
  <c r="BQ91" i="3"/>
  <c r="BR91" i="3"/>
  <c r="BS91" i="3"/>
  <c r="BT91" i="3"/>
  <c r="BU91" i="3"/>
  <c r="BV91" i="3"/>
  <c r="BW91" i="3"/>
  <c r="BX91" i="3"/>
  <c r="BY91" i="3"/>
  <c r="BZ91" i="3"/>
  <c r="CA91" i="3"/>
  <c r="CB91" i="3"/>
  <c r="CC91" i="3"/>
  <c r="CD91" i="3"/>
  <c r="CE91" i="3"/>
  <c r="CF91" i="3"/>
  <c r="CG91" i="3"/>
  <c r="CH91" i="3"/>
  <c r="CI91" i="3"/>
  <c r="CJ91" i="3"/>
  <c r="CK91" i="3"/>
  <c r="CL91" i="3"/>
  <c r="CM91" i="3"/>
  <c r="CN91" i="3"/>
  <c r="CO91" i="3"/>
  <c r="CP91" i="3"/>
  <c r="CQ91" i="3"/>
  <c r="CR91" i="3"/>
  <c r="CS91" i="3"/>
  <c r="CT91" i="3"/>
  <c r="CU91" i="3"/>
  <c r="CV91" i="3"/>
  <c r="CW91" i="3"/>
  <c r="CX91" i="3"/>
  <c r="CY91" i="3"/>
  <c r="CZ91" i="3"/>
  <c r="DA91" i="3"/>
  <c r="DB91" i="3"/>
  <c r="DC91" i="3"/>
  <c r="DD91" i="3"/>
  <c r="DE91" i="3"/>
  <c r="DF91" i="3"/>
  <c r="DG91" i="3"/>
  <c r="DH91" i="3"/>
  <c r="DI91" i="3"/>
  <c r="DJ91" i="3"/>
  <c r="DK91" i="3"/>
  <c r="DL91" i="3"/>
  <c r="DM91" i="3"/>
  <c r="DN91" i="3"/>
  <c r="DO91" i="3"/>
  <c r="DP91" i="3"/>
  <c r="DQ91" i="3"/>
  <c r="DR91" i="3"/>
  <c r="DS91" i="3"/>
  <c r="DT91" i="3"/>
  <c r="DU91" i="3"/>
  <c r="DV91" i="3"/>
  <c r="DW91" i="3"/>
  <c r="DX91" i="3"/>
  <c r="DY91" i="3"/>
  <c r="DZ91" i="3"/>
  <c r="EA91" i="3"/>
  <c r="EB91" i="3"/>
  <c r="EC91" i="3"/>
  <c r="ED91" i="3"/>
  <c r="EE91" i="3"/>
  <c r="EF91" i="3"/>
  <c r="EG91" i="3"/>
  <c r="EI91" i="3"/>
  <c r="EJ91" i="3"/>
  <c r="EK91" i="3"/>
  <c r="EL91" i="3"/>
  <c r="EM91" i="3"/>
  <c r="EN91" i="3"/>
  <c r="EO91" i="3"/>
  <c r="EP91" i="3"/>
  <c r="EQ91" i="3"/>
  <c r="ER91" i="3"/>
  <c r="ES91" i="3"/>
  <c r="ET91" i="3"/>
  <c r="EU91" i="3"/>
  <c r="EV91" i="3"/>
  <c r="EW91" i="3"/>
  <c r="EX91" i="3"/>
  <c r="EY91" i="3"/>
  <c r="EZ91" i="3"/>
  <c r="FA91" i="3"/>
  <c r="FB91" i="3"/>
  <c r="FC91" i="3"/>
  <c r="FD91" i="3"/>
  <c r="FE91" i="3"/>
  <c r="FF91" i="3"/>
  <c r="FG91" i="3"/>
  <c r="FH91" i="3"/>
  <c r="FI91" i="3"/>
  <c r="FJ91" i="3"/>
  <c r="FK91" i="3"/>
  <c r="FL91" i="3"/>
  <c r="FM91" i="3"/>
  <c r="FN91" i="3"/>
  <c r="FO91" i="3"/>
  <c r="FP91" i="3"/>
  <c r="FQ91" i="3"/>
  <c r="FR91" i="3"/>
  <c r="FS91" i="3"/>
  <c r="FT91" i="3"/>
  <c r="FU91" i="3"/>
  <c r="FV91" i="3"/>
  <c r="FW91" i="3"/>
  <c r="FX91" i="3"/>
  <c r="FY91" i="3"/>
  <c r="FZ91" i="3"/>
  <c r="GA91" i="3"/>
  <c r="GB91" i="3"/>
  <c r="GC91" i="3"/>
  <c r="GD91" i="3"/>
  <c r="GE91" i="3"/>
  <c r="GF91" i="3"/>
  <c r="GG91" i="3"/>
  <c r="GH91" i="3"/>
  <c r="GI91" i="3"/>
  <c r="GJ91" i="3"/>
  <c r="GK91" i="3"/>
  <c r="GL91" i="3"/>
  <c r="GM91" i="3"/>
  <c r="GN91" i="3"/>
  <c r="GO91" i="3"/>
  <c r="GP91" i="3"/>
  <c r="GQ91" i="3"/>
  <c r="GR91" i="3"/>
  <c r="GS91" i="3"/>
  <c r="GT91" i="3"/>
  <c r="GU91" i="3"/>
  <c r="GV91" i="3"/>
  <c r="GW91" i="3"/>
  <c r="GX91" i="3"/>
  <c r="GY91" i="3"/>
  <c r="GZ91" i="3"/>
  <c r="HA91" i="3"/>
  <c r="HB91" i="3"/>
  <c r="HC91" i="3"/>
  <c r="HD91" i="3"/>
  <c r="HE91" i="3"/>
  <c r="HF91" i="3"/>
  <c r="HG91" i="3"/>
  <c r="HH91" i="3"/>
  <c r="HI91" i="3"/>
  <c r="HJ91" i="3"/>
  <c r="HK91" i="3"/>
  <c r="HL91" i="3"/>
  <c r="HM91" i="3"/>
  <c r="HN91" i="3"/>
  <c r="HO91" i="3"/>
  <c r="HP91" i="3"/>
  <c r="HQ91" i="3"/>
  <c r="HR91" i="3"/>
  <c r="HS91" i="3"/>
  <c r="HT91" i="3"/>
  <c r="HU91" i="3"/>
  <c r="HV91" i="3"/>
  <c r="HW91" i="3"/>
  <c r="HX91" i="3"/>
  <c r="HY91" i="3"/>
  <c r="HZ91" i="3"/>
  <c r="IA91" i="3"/>
  <c r="IB91" i="3"/>
  <c r="IC91" i="3"/>
  <c r="ID91" i="3"/>
  <c r="IE91" i="3"/>
  <c r="IF91" i="3"/>
  <c r="IG91" i="3"/>
  <c r="IH91" i="3"/>
  <c r="II91" i="3"/>
  <c r="IJ91" i="3"/>
  <c r="IK91" i="3"/>
  <c r="IL91" i="3"/>
  <c r="IM91" i="3"/>
  <c r="IN91" i="3"/>
  <c r="IO91" i="3"/>
  <c r="IP91" i="3"/>
  <c r="IQ91" i="3"/>
  <c r="IR91" i="3"/>
  <c r="IS91" i="3"/>
  <c r="IT91" i="3"/>
  <c r="IU91" i="3"/>
  <c r="IV91" i="3"/>
  <c r="IW91" i="3"/>
  <c r="IX91" i="3"/>
  <c r="IY91" i="3"/>
  <c r="IZ91" i="3"/>
  <c r="JA91" i="3"/>
  <c r="JB91" i="3"/>
  <c r="JC91" i="3"/>
  <c r="JD91" i="3"/>
  <c r="JE91" i="3"/>
  <c r="JF91" i="3"/>
  <c r="JG91" i="3"/>
  <c r="JH91" i="3"/>
  <c r="JI91" i="3"/>
  <c r="JJ91" i="3"/>
  <c r="JK91" i="3"/>
  <c r="JL91" i="3"/>
  <c r="JM91" i="3"/>
  <c r="A92" i="3"/>
  <c r="B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O92" i="3"/>
  <c r="AP92" i="3"/>
  <c r="AQ92" i="3"/>
  <c r="AR92" i="3"/>
  <c r="AS92" i="3"/>
  <c r="AT92" i="3"/>
  <c r="AU92" i="3"/>
  <c r="AV92" i="3"/>
  <c r="AW92" i="3"/>
  <c r="AX92" i="3"/>
  <c r="AY92" i="3"/>
  <c r="AZ92" i="3"/>
  <c r="BA92" i="3"/>
  <c r="BB92" i="3"/>
  <c r="BC92" i="3"/>
  <c r="BD92" i="3"/>
  <c r="BE92" i="3"/>
  <c r="BF92" i="3"/>
  <c r="BG92" i="3"/>
  <c r="BH92" i="3"/>
  <c r="BI92" i="3"/>
  <c r="BJ92" i="3"/>
  <c r="BK92" i="3"/>
  <c r="BL92" i="3"/>
  <c r="BM92" i="3"/>
  <c r="BN92" i="3"/>
  <c r="BO92" i="3"/>
  <c r="BP92" i="3"/>
  <c r="BQ92" i="3"/>
  <c r="BR92" i="3"/>
  <c r="BS92" i="3"/>
  <c r="BT92" i="3"/>
  <c r="BU92" i="3"/>
  <c r="BV92" i="3"/>
  <c r="BW92" i="3"/>
  <c r="BX92" i="3"/>
  <c r="BY92" i="3"/>
  <c r="BZ92" i="3"/>
  <c r="CA92" i="3"/>
  <c r="CB92" i="3"/>
  <c r="CC92" i="3"/>
  <c r="CD92" i="3"/>
  <c r="CE92" i="3"/>
  <c r="CF92" i="3"/>
  <c r="CG92" i="3"/>
  <c r="CH92" i="3"/>
  <c r="CI92" i="3"/>
  <c r="CJ92" i="3"/>
  <c r="CK92" i="3"/>
  <c r="CL92" i="3"/>
  <c r="CM92" i="3"/>
  <c r="CN92" i="3"/>
  <c r="CO92" i="3"/>
  <c r="CP92" i="3"/>
  <c r="CQ92" i="3"/>
  <c r="CR92" i="3"/>
  <c r="CS92" i="3"/>
  <c r="CT92" i="3"/>
  <c r="CU92" i="3"/>
  <c r="CV92" i="3"/>
  <c r="CW92" i="3"/>
  <c r="CX92" i="3"/>
  <c r="CY92" i="3"/>
  <c r="CZ92" i="3"/>
  <c r="DA92" i="3"/>
  <c r="DB92" i="3"/>
  <c r="DC92" i="3"/>
  <c r="DD92" i="3"/>
  <c r="DE92" i="3"/>
  <c r="DF92" i="3"/>
  <c r="DG92" i="3"/>
  <c r="DH92" i="3"/>
  <c r="DI92" i="3"/>
  <c r="DJ92" i="3"/>
  <c r="DK92" i="3"/>
  <c r="DL92" i="3"/>
  <c r="DM92" i="3"/>
  <c r="DN92" i="3"/>
  <c r="DO92" i="3"/>
  <c r="DP92" i="3"/>
  <c r="DQ92" i="3"/>
  <c r="DR92" i="3"/>
  <c r="DS92" i="3"/>
  <c r="DT92" i="3"/>
  <c r="DU92" i="3"/>
  <c r="DV92" i="3"/>
  <c r="DW92" i="3"/>
  <c r="DX92" i="3"/>
  <c r="DY92" i="3"/>
  <c r="DZ92" i="3"/>
  <c r="EA92" i="3"/>
  <c r="EB92" i="3"/>
  <c r="EC92" i="3"/>
  <c r="ED92" i="3"/>
  <c r="EE92" i="3"/>
  <c r="EF92" i="3"/>
  <c r="EG92" i="3"/>
  <c r="EI92" i="3"/>
  <c r="EJ92" i="3"/>
  <c r="EK92" i="3"/>
  <c r="EL92" i="3"/>
  <c r="EM92" i="3"/>
  <c r="EN92" i="3"/>
  <c r="EO92" i="3"/>
  <c r="EP92" i="3"/>
  <c r="EQ92" i="3"/>
  <c r="ER92" i="3"/>
  <c r="ES92" i="3"/>
  <c r="ET92" i="3"/>
  <c r="EU92" i="3"/>
  <c r="EV92" i="3"/>
  <c r="EW92" i="3"/>
  <c r="EX92" i="3"/>
  <c r="EY92" i="3"/>
  <c r="EZ92" i="3"/>
  <c r="FA92" i="3"/>
  <c r="FB92" i="3"/>
  <c r="FC92" i="3"/>
  <c r="FD92" i="3"/>
  <c r="FE92" i="3"/>
  <c r="FF92" i="3"/>
  <c r="FG92" i="3"/>
  <c r="FH92" i="3"/>
  <c r="FI92" i="3"/>
  <c r="FJ92" i="3"/>
  <c r="FK92" i="3"/>
  <c r="FL92" i="3"/>
  <c r="FM92" i="3"/>
  <c r="FN92" i="3"/>
  <c r="FO92" i="3"/>
  <c r="FP92" i="3"/>
  <c r="FQ92" i="3"/>
  <c r="FR92" i="3"/>
  <c r="FS92" i="3"/>
  <c r="FT92" i="3"/>
  <c r="FU92" i="3"/>
  <c r="FV92" i="3"/>
  <c r="FW92" i="3"/>
  <c r="FX92" i="3"/>
  <c r="FY92" i="3"/>
  <c r="FZ92" i="3"/>
  <c r="GA92" i="3"/>
  <c r="GB92" i="3"/>
  <c r="GC92" i="3"/>
  <c r="GD92" i="3"/>
  <c r="GE92" i="3"/>
  <c r="GF92" i="3"/>
  <c r="GG92" i="3"/>
  <c r="GH92" i="3"/>
  <c r="GI92" i="3"/>
  <c r="GJ92" i="3"/>
  <c r="GK92" i="3"/>
  <c r="GL92" i="3"/>
  <c r="GM92" i="3"/>
  <c r="GN92" i="3"/>
  <c r="GO92" i="3"/>
  <c r="GP92" i="3"/>
  <c r="GQ92" i="3"/>
  <c r="GR92" i="3"/>
  <c r="GS92" i="3"/>
  <c r="GT92" i="3"/>
  <c r="GU92" i="3"/>
  <c r="GV92" i="3"/>
  <c r="GW92" i="3"/>
  <c r="GX92" i="3"/>
  <c r="GY92" i="3"/>
  <c r="GZ92" i="3"/>
  <c r="HA92" i="3"/>
  <c r="HB92" i="3"/>
  <c r="HC92" i="3"/>
  <c r="HD92" i="3"/>
  <c r="HE92" i="3"/>
  <c r="HF92" i="3"/>
  <c r="HG92" i="3"/>
  <c r="HH92" i="3"/>
  <c r="HI92" i="3"/>
  <c r="HJ92" i="3"/>
  <c r="HK92" i="3"/>
  <c r="HL92" i="3"/>
  <c r="HM92" i="3"/>
  <c r="HN92" i="3"/>
  <c r="HO92" i="3"/>
  <c r="HP92" i="3"/>
  <c r="HQ92" i="3"/>
  <c r="HR92" i="3"/>
  <c r="HS92" i="3"/>
  <c r="HT92" i="3"/>
  <c r="HU92" i="3"/>
  <c r="HV92" i="3"/>
  <c r="HW92" i="3"/>
  <c r="HX92" i="3"/>
  <c r="HY92" i="3"/>
  <c r="HZ92" i="3"/>
  <c r="IA92" i="3"/>
  <c r="IB92" i="3"/>
  <c r="IC92" i="3"/>
  <c r="ID92" i="3"/>
  <c r="IE92" i="3"/>
  <c r="IF92" i="3"/>
  <c r="IG92" i="3"/>
  <c r="IH92" i="3"/>
  <c r="II92" i="3"/>
  <c r="IJ92" i="3"/>
  <c r="IK92" i="3"/>
  <c r="IL92" i="3"/>
  <c r="IM92" i="3"/>
  <c r="IN92" i="3"/>
  <c r="IO92" i="3"/>
  <c r="IP92" i="3"/>
  <c r="IQ92" i="3"/>
  <c r="IR92" i="3"/>
  <c r="IS92" i="3"/>
  <c r="IT92" i="3"/>
  <c r="IU92" i="3"/>
  <c r="IV92" i="3"/>
  <c r="IW92" i="3"/>
  <c r="IX92" i="3"/>
  <c r="IY92" i="3"/>
  <c r="IZ92" i="3"/>
  <c r="JA92" i="3"/>
  <c r="JB92" i="3"/>
  <c r="JC92" i="3"/>
  <c r="JD92" i="3"/>
  <c r="JE92" i="3"/>
  <c r="JF92" i="3"/>
  <c r="JG92" i="3"/>
  <c r="JH92" i="3"/>
  <c r="JI92" i="3"/>
  <c r="JJ92" i="3"/>
  <c r="JK92" i="3"/>
  <c r="JL92" i="3"/>
  <c r="JM92" i="3"/>
  <c r="A93" i="3"/>
  <c r="B93" i="3"/>
  <c r="L93" i="3"/>
  <c r="M93" i="3"/>
  <c r="N93" i="3"/>
  <c r="O93" i="3"/>
  <c r="P93" i="3"/>
  <c r="Q93" i="3"/>
  <c r="R93" i="3"/>
  <c r="S93" i="3"/>
  <c r="T93" i="3"/>
  <c r="U93" i="3"/>
  <c r="V93" i="3"/>
  <c r="W93" i="3"/>
  <c r="X93" i="3"/>
  <c r="Y93" i="3"/>
  <c r="Z93" i="3"/>
  <c r="AA93" i="3"/>
  <c r="AB93" i="3"/>
  <c r="AC93" i="3"/>
  <c r="AD93" i="3"/>
  <c r="AE93" i="3"/>
  <c r="AF93" i="3"/>
  <c r="AG93" i="3"/>
  <c r="AH93" i="3"/>
  <c r="AI93" i="3"/>
  <c r="AJ93" i="3"/>
  <c r="AK93" i="3"/>
  <c r="AL93" i="3"/>
  <c r="AM93" i="3"/>
  <c r="AN93" i="3"/>
  <c r="AO93" i="3"/>
  <c r="AP93" i="3"/>
  <c r="AQ93" i="3"/>
  <c r="AR93" i="3"/>
  <c r="AS93" i="3"/>
  <c r="AT93" i="3"/>
  <c r="AU93" i="3"/>
  <c r="AV93" i="3"/>
  <c r="AW93" i="3"/>
  <c r="AX93" i="3"/>
  <c r="AY93" i="3"/>
  <c r="AZ93" i="3"/>
  <c r="BA93" i="3"/>
  <c r="BB93" i="3"/>
  <c r="BC93" i="3"/>
  <c r="BD93" i="3"/>
  <c r="BE93" i="3"/>
  <c r="BF93" i="3"/>
  <c r="BG93" i="3"/>
  <c r="BH93" i="3"/>
  <c r="BI93" i="3"/>
  <c r="BJ93" i="3"/>
  <c r="BK93" i="3"/>
  <c r="BL93" i="3"/>
  <c r="BM93" i="3"/>
  <c r="BN93" i="3"/>
  <c r="BO93" i="3"/>
  <c r="BP93" i="3"/>
  <c r="BQ93" i="3"/>
  <c r="BR93" i="3"/>
  <c r="BS93" i="3"/>
  <c r="BT93" i="3"/>
  <c r="BU93" i="3"/>
  <c r="BV93" i="3"/>
  <c r="BW93" i="3"/>
  <c r="BX93" i="3"/>
  <c r="BY93" i="3"/>
  <c r="BZ93" i="3"/>
  <c r="CA93" i="3"/>
  <c r="CB93" i="3"/>
  <c r="CC93" i="3"/>
  <c r="CD93" i="3"/>
  <c r="CE93" i="3"/>
  <c r="CF93" i="3"/>
  <c r="CG93" i="3"/>
  <c r="CH93" i="3"/>
  <c r="CI93" i="3"/>
  <c r="CJ93" i="3"/>
  <c r="CK93" i="3"/>
  <c r="CL93" i="3"/>
  <c r="CM93" i="3"/>
  <c r="CN93" i="3"/>
  <c r="CO93" i="3"/>
  <c r="CP93" i="3"/>
  <c r="CQ93" i="3"/>
  <c r="CR93" i="3"/>
  <c r="CS93" i="3"/>
  <c r="CT93" i="3"/>
  <c r="CU93" i="3"/>
  <c r="CV93" i="3"/>
  <c r="CW93" i="3"/>
  <c r="CX93" i="3"/>
  <c r="CY93" i="3"/>
  <c r="CZ93" i="3"/>
  <c r="DA93" i="3"/>
  <c r="DB93" i="3"/>
  <c r="DC93" i="3"/>
  <c r="DD93" i="3"/>
  <c r="DE93" i="3"/>
  <c r="DF93" i="3"/>
  <c r="DG93" i="3"/>
  <c r="DH93" i="3"/>
  <c r="DI93" i="3"/>
  <c r="DJ93" i="3"/>
  <c r="DK93" i="3"/>
  <c r="DL93" i="3"/>
  <c r="DM93" i="3"/>
  <c r="DN93" i="3"/>
  <c r="DO93" i="3"/>
  <c r="DP93" i="3"/>
  <c r="DQ93" i="3"/>
  <c r="DR93" i="3"/>
  <c r="DS93" i="3"/>
  <c r="DT93" i="3"/>
  <c r="DU93" i="3"/>
  <c r="DV93" i="3"/>
  <c r="DW93" i="3"/>
  <c r="DX93" i="3"/>
  <c r="DY93" i="3"/>
  <c r="DZ93" i="3"/>
  <c r="EA93" i="3"/>
  <c r="EB93" i="3"/>
  <c r="EC93" i="3"/>
  <c r="ED93" i="3"/>
  <c r="EE93" i="3"/>
  <c r="EF93" i="3"/>
  <c r="EG93" i="3"/>
  <c r="EI93" i="3"/>
  <c r="EJ93" i="3"/>
  <c r="EK93" i="3"/>
  <c r="EL93" i="3"/>
  <c r="EM93" i="3"/>
  <c r="EN93" i="3"/>
  <c r="EO93" i="3"/>
  <c r="EP93" i="3"/>
  <c r="EQ93" i="3"/>
  <c r="ER93" i="3"/>
  <c r="ES93" i="3"/>
  <c r="ET93" i="3"/>
  <c r="EU93" i="3"/>
  <c r="EV93" i="3"/>
  <c r="EW93" i="3"/>
  <c r="EX93" i="3"/>
  <c r="EY93" i="3"/>
  <c r="EZ93" i="3"/>
  <c r="FA93" i="3"/>
  <c r="FB93" i="3"/>
  <c r="FC93" i="3"/>
  <c r="FD93" i="3"/>
  <c r="FE93" i="3"/>
  <c r="FF93" i="3"/>
  <c r="FG93" i="3"/>
  <c r="FH93" i="3"/>
  <c r="FI93" i="3"/>
  <c r="FJ93" i="3"/>
  <c r="FK93" i="3"/>
  <c r="FL93" i="3"/>
  <c r="FM93" i="3"/>
  <c r="FN93" i="3"/>
  <c r="FO93" i="3"/>
  <c r="FP93" i="3"/>
  <c r="FQ93" i="3"/>
  <c r="FR93" i="3"/>
  <c r="FS93" i="3"/>
  <c r="FT93" i="3"/>
  <c r="FU93" i="3"/>
  <c r="FV93" i="3"/>
  <c r="FW93" i="3"/>
  <c r="FX93" i="3"/>
  <c r="FY93" i="3"/>
  <c r="FZ93" i="3"/>
  <c r="GA93" i="3"/>
  <c r="GB93" i="3"/>
  <c r="GC93" i="3"/>
  <c r="GD93" i="3"/>
  <c r="GE93" i="3"/>
  <c r="GF93" i="3"/>
  <c r="GG93" i="3"/>
  <c r="GH93" i="3"/>
  <c r="GI93" i="3"/>
  <c r="GJ93" i="3"/>
  <c r="GK93" i="3"/>
  <c r="GL93" i="3"/>
  <c r="GM93" i="3"/>
  <c r="GN93" i="3"/>
  <c r="GO93" i="3"/>
  <c r="GP93" i="3"/>
  <c r="GQ93" i="3"/>
  <c r="GR93" i="3"/>
  <c r="GS93" i="3"/>
  <c r="GT93" i="3"/>
  <c r="GU93" i="3"/>
  <c r="GV93" i="3"/>
  <c r="GW93" i="3"/>
  <c r="GX93" i="3"/>
  <c r="GY93" i="3"/>
  <c r="GZ93" i="3"/>
  <c r="HA93" i="3"/>
  <c r="HB93" i="3"/>
  <c r="HC93" i="3"/>
  <c r="HD93" i="3"/>
  <c r="HE93" i="3"/>
  <c r="HF93" i="3"/>
  <c r="HG93" i="3"/>
  <c r="HH93" i="3"/>
  <c r="HI93" i="3"/>
  <c r="HJ93" i="3"/>
  <c r="HK93" i="3"/>
  <c r="HL93" i="3"/>
  <c r="HM93" i="3"/>
  <c r="HN93" i="3"/>
  <c r="HO93" i="3"/>
  <c r="HP93" i="3"/>
  <c r="HQ93" i="3"/>
  <c r="HR93" i="3"/>
  <c r="HS93" i="3"/>
  <c r="HT93" i="3"/>
  <c r="HU93" i="3"/>
  <c r="HV93" i="3"/>
  <c r="HW93" i="3"/>
  <c r="HX93" i="3"/>
  <c r="HY93" i="3"/>
  <c r="HZ93" i="3"/>
  <c r="IA93" i="3"/>
  <c r="IB93" i="3"/>
  <c r="IC93" i="3"/>
  <c r="ID93" i="3"/>
  <c r="IE93" i="3"/>
  <c r="IF93" i="3"/>
  <c r="IG93" i="3"/>
  <c r="IH93" i="3"/>
  <c r="II93" i="3"/>
  <c r="IJ93" i="3"/>
  <c r="IK93" i="3"/>
  <c r="IL93" i="3"/>
  <c r="IM93" i="3"/>
  <c r="IN93" i="3"/>
  <c r="IO93" i="3"/>
  <c r="IP93" i="3"/>
  <c r="IQ93" i="3"/>
  <c r="IR93" i="3"/>
  <c r="IS93" i="3"/>
  <c r="IT93" i="3"/>
  <c r="IU93" i="3"/>
  <c r="IV93" i="3"/>
  <c r="IW93" i="3"/>
  <c r="IX93" i="3"/>
  <c r="IY93" i="3"/>
  <c r="IZ93" i="3"/>
  <c r="JA93" i="3"/>
  <c r="JB93" i="3"/>
  <c r="JC93" i="3"/>
  <c r="JD93" i="3"/>
  <c r="JE93" i="3"/>
  <c r="JF93" i="3"/>
  <c r="JG93" i="3"/>
  <c r="JH93" i="3"/>
  <c r="JI93" i="3"/>
  <c r="JJ93" i="3"/>
  <c r="JK93" i="3"/>
  <c r="JL93" i="3"/>
  <c r="JM93" i="3"/>
  <c r="A94" i="3"/>
  <c r="B94" i="3"/>
  <c r="C94" i="3" s="1"/>
  <c r="G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AK94" i="3"/>
  <c r="AL94" i="3"/>
  <c r="AM94" i="3"/>
  <c r="AN94" i="3"/>
  <c r="AO94" i="3"/>
  <c r="AP94" i="3"/>
  <c r="AQ94" i="3"/>
  <c r="AR94" i="3"/>
  <c r="AS94" i="3"/>
  <c r="AT94" i="3"/>
  <c r="AU94" i="3"/>
  <c r="AV94" i="3"/>
  <c r="AW94" i="3"/>
  <c r="AX94" i="3"/>
  <c r="AY94" i="3"/>
  <c r="AZ94" i="3"/>
  <c r="BA94" i="3"/>
  <c r="BB94" i="3"/>
  <c r="BC94" i="3"/>
  <c r="BD94" i="3"/>
  <c r="BE94" i="3"/>
  <c r="BF94" i="3"/>
  <c r="BG94" i="3"/>
  <c r="BH94" i="3"/>
  <c r="BI94" i="3"/>
  <c r="BJ94" i="3"/>
  <c r="BK94" i="3"/>
  <c r="BL94" i="3"/>
  <c r="BM94" i="3"/>
  <c r="BN94" i="3"/>
  <c r="BO94" i="3"/>
  <c r="BP94" i="3"/>
  <c r="BQ94" i="3"/>
  <c r="BR94" i="3"/>
  <c r="BS94" i="3"/>
  <c r="BT94" i="3"/>
  <c r="BU94" i="3"/>
  <c r="BV94" i="3"/>
  <c r="BW94" i="3"/>
  <c r="BX94" i="3"/>
  <c r="BY94" i="3"/>
  <c r="BZ94" i="3"/>
  <c r="CA94" i="3"/>
  <c r="CB94" i="3"/>
  <c r="CC94" i="3"/>
  <c r="CD94" i="3"/>
  <c r="CE94" i="3"/>
  <c r="CF94" i="3"/>
  <c r="CG94" i="3"/>
  <c r="CH94" i="3"/>
  <c r="CI94" i="3"/>
  <c r="CJ94" i="3"/>
  <c r="CK94" i="3"/>
  <c r="CL94" i="3"/>
  <c r="CM94" i="3"/>
  <c r="CN94" i="3"/>
  <c r="CO94" i="3"/>
  <c r="CP94" i="3"/>
  <c r="CQ94" i="3"/>
  <c r="CR94" i="3"/>
  <c r="CS94" i="3"/>
  <c r="CT94" i="3"/>
  <c r="CU94" i="3"/>
  <c r="CV94" i="3"/>
  <c r="CW94" i="3"/>
  <c r="CX94" i="3"/>
  <c r="CY94" i="3"/>
  <c r="CZ94" i="3"/>
  <c r="DA94" i="3"/>
  <c r="DB94" i="3"/>
  <c r="DC94" i="3"/>
  <c r="DD94" i="3"/>
  <c r="DE94" i="3"/>
  <c r="DF94" i="3"/>
  <c r="DG94" i="3"/>
  <c r="DH94" i="3"/>
  <c r="DI94" i="3"/>
  <c r="DJ94" i="3"/>
  <c r="DK94" i="3"/>
  <c r="DL94" i="3"/>
  <c r="DM94" i="3"/>
  <c r="DN94" i="3"/>
  <c r="DO94" i="3"/>
  <c r="DP94" i="3"/>
  <c r="DQ94" i="3"/>
  <c r="DR94" i="3"/>
  <c r="DS94" i="3"/>
  <c r="DT94" i="3"/>
  <c r="DU94" i="3"/>
  <c r="DV94" i="3"/>
  <c r="DW94" i="3"/>
  <c r="DX94" i="3"/>
  <c r="DY94" i="3"/>
  <c r="DZ94" i="3"/>
  <c r="EA94" i="3"/>
  <c r="EB94" i="3"/>
  <c r="EC94" i="3"/>
  <c r="ED94" i="3"/>
  <c r="EE94" i="3"/>
  <c r="EF94" i="3"/>
  <c r="EG94" i="3"/>
  <c r="EI94" i="3"/>
  <c r="EJ94" i="3"/>
  <c r="EK94" i="3"/>
  <c r="EL94" i="3"/>
  <c r="EM94" i="3"/>
  <c r="EN94" i="3"/>
  <c r="EO94" i="3"/>
  <c r="EP94" i="3"/>
  <c r="EQ94" i="3"/>
  <c r="ER94" i="3"/>
  <c r="ES94" i="3"/>
  <c r="ET94" i="3"/>
  <c r="EU94" i="3"/>
  <c r="EV94" i="3"/>
  <c r="EW94" i="3"/>
  <c r="EX94" i="3"/>
  <c r="EY94" i="3"/>
  <c r="EZ94" i="3"/>
  <c r="FA94" i="3"/>
  <c r="FB94" i="3"/>
  <c r="FC94" i="3"/>
  <c r="FD94" i="3"/>
  <c r="FE94" i="3"/>
  <c r="FF94" i="3"/>
  <c r="FG94" i="3"/>
  <c r="FH94" i="3"/>
  <c r="FI94" i="3"/>
  <c r="FJ94" i="3"/>
  <c r="FK94" i="3"/>
  <c r="FL94" i="3"/>
  <c r="FM94" i="3"/>
  <c r="FN94" i="3"/>
  <c r="FO94" i="3"/>
  <c r="FP94" i="3"/>
  <c r="FQ94" i="3"/>
  <c r="FR94" i="3"/>
  <c r="FS94" i="3"/>
  <c r="FT94" i="3"/>
  <c r="FU94" i="3"/>
  <c r="FV94" i="3"/>
  <c r="FW94" i="3"/>
  <c r="FX94" i="3"/>
  <c r="FY94" i="3"/>
  <c r="FZ94" i="3"/>
  <c r="GA94" i="3"/>
  <c r="GB94" i="3"/>
  <c r="GC94" i="3"/>
  <c r="GD94" i="3"/>
  <c r="GE94" i="3"/>
  <c r="GF94" i="3"/>
  <c r="GG94" i="3"/>
  <c r="GH94" i="3"/>
  <c r="GI94" i="3"/>
  <c r="GJ94" i="3"/>
  <c r="GK94" i="3"/>
  <c r="GL94" i="3"/>
  <c r="GM94" i="3"/>
  <c r="GN94" i="3"/>
  <c r="GO94" i="3"/>
  <c r="GP94" i="3"/>
  <c r="GQ94" i="3"/>
  <c r="GR94" i="3"/>
  <c r="GS94" i="3"/>
  <c r="GT94" i="3"/>
  <c r="GU94" i="3"/>
  <c r="GV94" i="3"/>
  <c r="GW94" i="3"/>
  <c r="GX94" i="3"/>
  <c r="GY94" i="3"/>
  <c r="GZ94" i="3"/>
  <c r="HA94" i="3"/>
  <c r="HB94" i="3"/>
  <c r="HC94" i="3"/>
  <c r="HD94" i="3"/>
  <c r="HE94" i="3"/>
  <c r="HF94" i="3"/>
  <c r="HG94" i="3"/>
  <c r="HH94" i="3"/>
  <c r="HI94" i="3"/>
  <c r="HJ94" i="3"/>
  <c r="HK94" i="3"/>
  <c r="HL94" i="3"/>
  <c r="HM94" i="3"/>
  <c r="HN94" i="3"/>
  <c r="HO94" i="3"/>
  <c r="HP94" i="3"/>
  <c r="HQ94" i="3"/>
  <c r="HR94" i="3"/>
  <c r="HS94" i="3"/>
  <c r="HT94" i="3"/>
  <c r="HU94" i="3"/>
  <c r="HV94" i="3"/>
  <c r="HW94" i="3"/>
  <c r="HX94" i="3"/>
  <c r="HY94" i="3"/>
  <c r="HZ94" i="3"/>
  <c r="IA94" i="3"/>
  <c r="IB94" i="3"/>
  <c r="IC94" i="3"/>
  <c r="ID94" i="3"/>
  <c r="IE94" i="3"/>
  <c r="IF94" i="3"/>
  <c r="IG94" i="3"/>
  <c r="IH94" i="3"/>
  <c r="II94" i="3"/>
  <c r="IJ94" i="3"/>
  <c r="IK94" i="3"/>
  <c r="IL94" i="3"/>
  <c r="IM94" i="3"/>
  <c r="IN94" i="3"/>
  <c r="IO94" i="3"/>
  <c r="IP94" i="3"/>
  <c r="IQ94" i="3"/>
  <c r="IR94" i="3"/>
  <c r="IS94" i="3"/>
  <c r="IT94" i="3"/>
  <c r="IU94" i="3"/>
  <c r="IV94" i="3"/>
  <c r="IW94" i="3"/>
  <c r="IX94" i="3"/>
  <c r="IY94" i="3"/>
  <c r="IZ94" i="3"/>
  <c r="JA94" i="3"/>
  <c r="JB94" i="3"/>
  <c r="JC94" i="3"/>
  <c r="JD94" i="3"/>
  <c r="JE94" i="3"/>
  <c r="JF94" i="3"/>
  <c r="JG94" i="3"/>
  <c r="JH94" i="3"/>
  <c r="JI94" i="3"/>
  <c r="JJ94" i="3"/>
  <c r="JK94" i="3"/>
  <c r="JL94" i="3"/>
  <c r="JM94" i="3"/>
  <c r="A95" i="3"/>
  <c r="B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AK95" i="3"/>
  <c r="AL95" i="3"/>
  <c r="AM95" i="3"/>
  <c r="AN95" i="3"/>
  <c r="AO95" i="3"/>
  <c r="AP95" i="3"/>
  <c r="AQ95" i="3"/>
  <c r="AR95" i="3"/>
  <c r="AS95" i="3"/>
  <c r="AT95" i="3"/>
  <c r="AU95" i="3"/>
  <c r="AV95" i="3"/>
  <c r="AW95" i="3"/>
  <c r="AX95" i="3"/>
  <c r="AY95" i="3"/>
  <c r="AZ95" i="3"/>
  <c r="BA95" i="3"/>
  <c r="BB95" i="3"/>
  <c r="BC95" i="3"/>
  <c r="BD95" i="3"/>
  <c r="BE95" i="3"/>
  <c r="BF95" i="3"/>
  <c r="BG95" i="3"/>
  <c r="BH95" i="3"/>
  <c r="BI95" i="3"/>
  <c r="BJ95" i="3"/>
  <c r="BK95" i="3"/>
  <c r="BL95" i="3"/>
  <c r="BM95" i="3"/>
  <c r="BN95" i="3"/>
  <c r="BO95" i="3"/>
  <c r="BP95" i="3"/>
  <c r="BQ95" i="3"/>
  <c r="BR95" i="3"/>
  <c r="BS95" i="3"/>
  <c r="BT95" i="3"/>
  <c r="BU95" i="3"/>
  <c r="BV95" i="3"/>
  <c r="BW95" i="3"/>
  <c r="BX95" i="3"/>
  <c r="BY95" i="3"/>
  <c r="BZ95" i="3"/>
  <c r="CA95" i="3"/>
  <c r="CB95" i="3"/>
  <c r="CC95" i="3"/>
  <c r="CD95" i="3"/>
  <c r="CE95" i="3"/>
  <c r="CF95" i="3"/>
  <c r="CG95" i="3"/>
  <c r="CH95" i="3"/>
  <c r="CI95" i="3"/>
  <c r="CJ95" i="3"/>
  <c r="CK95" i="3"/>
  <c r="CL95" i="3"/>
  <c r="CM95" i="3"/>
  <c r="CN95" i="3"/>
  <c r="CO95" i="3"/>
  <c r="CP95" i="3"/>
  <c r="CQ95" i="3"/>
  <c r="CR95" i="3"/>
  <c r="CS95" i="3"/>
  <c r="CT95" i="3"/>
  <c r="CU95" i="3"/>
  <c r="CV95" i="3"/>
  <c r="CW95" i="3"/>
  <c r="CX95" i="3"/>
  <c r="CY95" i="3"/>
  <c r="CZ95" i="3"/>
  <c r="DA95" i="3"/>
  <c r="DB95" i="3"/>
  <c r="DC95" i="3"/>
  <c r="DD95" i="3"/>
  <c r="DE95" i="3"/>
  <c r="DF95" i="3"/>
  <c r="DG95" i="3"/>
  <c r="DH95" i="3"/>
  <c r="DI95" i="3"/>
  <c r="DJ95" i="3"/>
  <c r="DK95" i="3"/>
  <c r="DL95" i="3"/>
  <c r="DM95" i="3"/>
  <c r="DN95" i="3"/>
  <c r="DO95" i="3"/>
  <c r="DP95" i="3"/>
  <c r="DQ95" i="3"/>
  <c r="DR95" i="3"/>
  <c r="DS95" i="3"/>
  <c r="DT95" i="3"/>
  <c r="DU95" i="3"/>
  <c r="DV95" i="3"/>
  <c r="DW95" i="3"/>
  <c r="DX95" i="3"/>
  <c r="DY95" i="3"/>
  <c r="DZ95" i="3"/>
  <c r="EA95" i="3"/>
  <c r="EB95" i="3"/>
  <c r="EC95" i="3"/>
  <c r="ED95" i="3"/>
  <c r="EE95" i="3"/>
  <c r="EF95" i="3"/>
  <c r="EG95" i="3"/>
  <c r="EI95" i="3"/>
  <c r="EJ95" i="3"/>
  <c r="EK95" i="3"/>
  <c r="EL95" i="3"/>
  <c r="EM95" i="3"/>
  <c r="EN95" i="3"/>
  <c r="EO95" i="3"/>
  <c r="EP95" i="3"/>
  <c r="EQ95" i="3"/>
  <c r="ER95" i="3"/>
  <c r="ES95" i="3"/>
  <c r="ET95" i="3"/>
  <c r="EU95" i="3"/>
  <c r="EV95" i="3"/>
  <c r="EW95" i="3"/>
  <c r="EX95" i="3"/>
  <c r="EY95" i="3"/>
  <c r="EZ95" i="3"/>
  <c r="FA95" i="3"/>
  <c r="FB95" i="3"/>
  <c r="FC95" i="3"/>
  <c r="FD95" i="3"/>
  <c r="FE95" i="3"/>
  <c r="FF95" i="3"/>
  <c r="FG95" i="3"/>
  <c r="FH95" i="3"/>
  <c r="FI95" i="3"/>
  <c r="FJ95" i="3"/>
  <c r="FK95" i="3"/>
  <c r="FL95" i="3"/>
  <c r="FM95" i="3"/>
  <c r="FN95" i="3"/>
  <c r="FO95" i="3"/>
  <c r="FP95" i="3"/>
  <c r="FQ95" i="3"/>
  <c r="FR95" i="3"/>
  <c r="FS95" i="3"/>
  <c r="FT95" i="3"/>
  <c r="FU95" i="3"/>
  <c r="FV95" i="3"/>
  <c r="FW95" i="3"/>
  <c r="FX95" i="3"/>
  <c r="FY95" i="3"/>
  <c r="FZ95" i="3"/>
  <c r="GA95" i="3"/>
  <c r="GB95" i="3"/>
  <c r="GC95" i="3"/>
  <c r="GD95" i="3"/>
  <c r="GE95" i="3"/>
  <c r="GF95" i="3"/>
  <c r="GG95" i="3"/>
  <c r="GH95" i="3"/>
  <c r="GI95" i="3"/>
  <c r="GJ95" i="3"/>
  <c r="GK95" i="3"/>
  <c r="GL95" i="3"/>
  <c r="GM95" i="3"/>
  <c r="GN95" i="3"/>
  <c r="GO95" i="3"/>
  <c r="GP95" i="3"/>
  <c r="GQ95" i="3"/>
  <c r="GR95" i="3"/>
  <c r="GS95" i="3"/>
  <c r="GT95" i="3"/>
  <c r="GU95" i="3"/>
  <c r="GV95" i="3"/>
  <c r="GW95" i="3"/>
  <c r="GX95" i="3"/>
  <c r="GY95" i="3"/>
  <c r="GZ95" i="3"/>
  <c r="HA95" i="3"/>
  <c r="HB95" i="3"/>
  <c r="HC95" i="3"/>
  <c r="HD95" i="3"/>
  <c r="HE95" i="3"/>
  <c r="HF95" i="3"/>
  <c r="HG95" i="3"/>
  <c r="HH95" i="3"/>
  <c r="HI95" i="3"/>
  <c r="HJ95" i="3"/>
  <c r="HK95" i="3"/>
  <c r="HL95" i="3"/>
  <c r="HM95" i="3"/>
  <c r="HN95" i="3"/>
  <c r="HO95" i="3"/>
  <c r="HP95" i="3"/>
  <c r="HQ95" i="3"/>
  <c r="HR95" i="3"/>
  <c r="HS95" i="3"/>
  <c r="HT95" i="3"/>
  <c r="HU95" i="3"/>
  <c r="HV95" i="3"/>
  <c r="HW95" i="3"/>
  <c r="HX95" i="3"/>
  <c r="HY95" i="3"/>
  <c r="HZ95" i="3"/>
  <c r="IA95" i="3"/>
  <c r="IB95" i="3"/>
  <c r="IC95" i="3"/>
  <c r="ID95" i="3"/>
  <c r="IE95" i="3"/>
  <c r="IF95" i="3"/>
  <c r="IG95" i="3"/>
  <c r="IH95" i="3"/>
  <c r="II95" i="3"/>
  <c r="IJ95" i="3"/>
  <c r="IK95" i="3"/>
  <c r="IL95" i="3"/>
  <c r="IM95" i="3"/>
  <c r="IN95" i="3"/>
  <c r="IO95" i="3"/>
  <c r="IP95" i="3"/>
  <c r="IQ95" i="3"/>
  <c r="IR95" i="3"/>
  <c r="IS95" i="3"/>
  <c r="IT95" i="3"/>
  <c r="IU95" i="3"/>
  <c r="IV95" i="3"/>
  <c r="IW95" i="3"/>
  <c r="IX95" i="3"/>
  <c r="IY95" i="3"/>
  <c r="IZ95" i="3"/>
  <c r="JA95" i="3"/>
  <c r="JB95" i="3"/>
  <c r="JC95" i="3"/>
  <c r="JD95" i="3"/>
  <c r="JE95" i="3"/>
  <c r="JF95" i="3"/>
  <c r="JG95" i="3"/>
  <c r="JH95" i="3"/>
  <c r="JI95" i="3"/>
  <c r="JJ95" i="3"/>
  <c r="JK95" i="3"/>
  <c r="JL95" i="3"/>
  <c r="JM95" i="3"/>
  <c r="A86" i="3"/>
  <c r="B86" i="3"/>
  <c r="C86" i="3"/>
  <c r="D86" i="3"/>
  <c r="E86" i="3"/>
  <c r="F86" i="3"/>
  <c r="G86" i="3"/>
  <c r="H86" i="3"/>
  <c r="I86" i="3"/>
  <c r="J86" i="3"/>
  <c r="K86" i="3"/>
  <c r="L86" i="3"/>
  <c r="M86" i="3"/>
  <c r="N86" i="3"/>
  <c r="O86" i="3"/>
  <c r="P86" i="3"/>
  <c r="Q86" i="3"/>
  <c r="R86" i="3"/>
  <c r="S86" i="3"/>
  <c r="T86" i="3"/>
  <c r="U86" i="3"/>
  <c r="V86" i="3"/>
  <c r="W86" i="3"/>
  <c r="X86" i="3"/>
  <c r="Y86" i="3"/>
  <c r="Z86" i="3"/>
  <c r="AA86" i="3"/>
  <c r="AB86" i="3"/>
  <c r="AC86" i="3"/>
  <c r="AD86" i="3"/>
  <c r="AE86" i="3"/>
  <c r="AF86" i="3"/>
  <c r="AG86" i="3"/>
  <c r="AH86" i="3"/>
  <c r="AI86" i="3"/>
  <c r="AJ86" i="3"/>
  <c r="AK86" i="3"/>
  <c r="AL86" i="3"/>
  <c r="AM86" i="3"/>
  <c r="AN86" i="3"/>
  <c r="AO86" i="3"/>
  <c r="AP86" i="3"/>
  <c r="AQ86" i="3"/>
  <c r="AR86" i="3"/>
  <c r="AS86" i="3"/>
  <c r="AT86" i="3"/>
  <c r="AU86" i="3"/>
  <c r="AV86" i="3"/>
  <c r="AW86" i="3"/>
  <c r="AX86" i="3"/>
  <c r="AY86" i="3"/>
  <c r="AZ86" i="3"/>
  <c r="BA86" i="3"/>
  <c r="BB86" i="3"/>
  <c r="BC86" i="3"/>
  <c r="BD86" i="3"/>
  <c r="BE86" i="3"/>
  <c r="BF86" i="3"/>
  <c r="BG86" i="3"/>
  <c r="BH86" i="3"/>
  <c r="BI86" i="3"/>
  <c r="BJ86" i="3"/>
  <c r="BK86" i="3"/>
  <c r="BL86" i="3"/>
  <c r="BM86" i="3"/>
  <c r="BN86" i="3"/>
  <c r="BO86" i="3"/>
  <c r="BP86" i="3"/>
  <c r="BQ86" i="3"/>
  <c r="BR86" i="3"/>
  <c r="BS86" i="3"/>
  <c r="BT86" i="3"/>
  <c r="BU86" i="3"/>
  <c r="BV86" i="3"/>
  <c r="BW86" i="3"/>
  <c r="BX86" i="3"/>
  <c r="BY86" i="3"/>
  <c r="BZ86" i="3"/>
  <c r="CA86" i="3"/>
  <c r="CB86" i="3"/>
  <c r="CC86" i="3"/>
  <c r="CD86" i="3"/>
  <c r="CE86" i="3"/>
  <c r="CF86" i="3"/>
  <c r="CG86" i="3"/>
  <c r="CH86" i="3"/>
  <c r="CI86" i="3"/>
  <c r="CJ86" i="3"/>
  <c r="CK86" i="3"/>
  <c r="CL86" i="3"/>
  <c r="CM86" i="3"/>
  <c r="CN86" i="3"/>
  <c r="CO86" i="3"/>
  <c r="CP86" i="3"/>
  <c r="CQ86" i="3"/>
  <c r="CR86" i="3"/>
  <c r="CS86" i="3"/>
  <c r="CT86" i="3"/>
  <c r="CU86" i="3"/>
  <c r="CV86" i="3"/>
  <c r="CW86" i="3"/>
  <c r="CX86" i="3"/>
  <c r="CY86" i="3"/>
  <c r="CZ86" i="3"/>
  <c r="DA86" i="3"/>
  <c r="DB86" i="3"/>
  <c r="DC86" i="3"/>
  <c r="DD86" i="3"/>
  <c r="DE86" i="3"/>
  <c r="DF86" i="3"/>
  <c r="DG86" i="3"/>
  <c r="DH86" i="3"/>
  <c r="DI86" i="3"/>
  <c r="DJ86" i="3"/>
  <c r="DK86" i="3"/>
  <c r="DL86" i="3"/>
  <c r="DM86" i="3"/>
  <c r="DN86" i="3"/>
  <c r="DO86" i="3"/>
  <c r="DP86" i="3"/>
  <c r="DQ86" i="3"/>
  <c r="DR86" i="3"/>
  <c r="DS86" i="3"/>
  <c r="DT86" i="3"/>
  <c r="DU86" i="3"/>
  <c r="DV86" i="3"/>
  <c r="DW86" i="3"/>
  <c r="DX86" i="3"/>
  <c r="DY86" i="3"/>
  <c r="DZ86" i="3"/>
  <c r="EA86" i="3"/>
  <c r="EB86" i="3"/>
  <c r="EC86" i="3"/>
  <c r="ED86" i="3"/>
  <c r="EE86" i="3"/>
  <c r="EF86" i="3"/>
  <c r="EG86" i="3"/>
  <c r="EI86" i="3"/>
  <c r="EJ86" i="3"/>
  <c r="EK86" i="3"/>
  <c r="EL86" i="3"/>
  <c r="EM86" i="3"/>
  <c r="EN86" i="3"/>
  <c r="EO86" i="3"/>
  <c r="EP86" i="3"/>
  <c r="EQ86" i="3"/>
  <c r="ER86" i="3"/>
  <c r="ES86" i="3"/>
  <c r="ET86" i="3"/>
  <c r="EU86" i="3"/>
  <c r="EV86" i="3"/>
  <c r="EW86" i="3"/>
  <c r="EX86" i="3"/>
  <c r="EY86" i="3"/>
  <c r="EZ86" i="3"/>
  <c r="FA86" i="3"/>
  <c r="FB86" i="3"/>
  <c r="FC86" i="3"/>
  <c r="FD86" i="3"/>
  <c r="FE86" i="3"/>
  <c r="FF86" i="3"/>
  <c r="FG86" i="3"/>
  <c r="FH86" i="3"/>
  <c r="FI86" i="3"/>
  <c r="FJ86" i="3"/>
  <c r="FK86" i="3"/>
  <c r="FL86" i="3"/>
  <c r="FM86" i="3"/>
  <c r="FN86" i="3"/>
  <c r="FO86" i="3"/>
  <c r="FP86" i="3"/>
  <c r="FQ86" i="3"/>
  <c r="FR86" i="3"/>
  <c r="FS86" i="3"/>
  <c r="FT86" i="3"/>
  <c r="FU86" i="3"/>
  <c r="FV86" i="3"/>
  <c r="FW86" i="3"/>
  <c r="FX86" i="3"/>
  <c r="FY86" i="3"/>
  <c r="FZ86" i="3"/>
  <c r="GA86" i="3"/>
  <c r="GB86" i="3"/>
  <c r="GC86" i="3"/>
  <c r="GD86" i="3"/>
  <c r="GE86" i="3"/>
  <c r="GF86" i="3"/>
  <c r="GG86" i="3"/>
  <c r="GH86" i="3"/>
  <c r="GI86" i="3"/>
  <c r="GJ86" i="3"/>
  <c r="GK86" i="3"/>
  <c r="GL86" i="3"/>
  <c r="GM86" i="3"/>
  <c r="GN86" i="3"/>
  <c r="GO86" i="3"/>
  <c r="GP86" i="3"/>
  <c r="GQ86" i="3"/>
  <c r="GR86" i="3"/>
  <c r="GS86" i="3"/>
  <c r="GT86" i="3"/>
  <c r="GU86" i="3"/>
  <c r="GV86" i="3"/>
  <c r="GW86" i="3"/>
  <c r="GX86" i="3"/>
  <c r="GY86" i="3"/>
  <c r="GZ86" i="3"/>
  <c r="HA86" i="3"/>
  <c r="HB86" i="3"/>
  <c r="HC86" i="3"/>
  <c r="HD86" i="3"/>
  <c r="HE86" i="3"/>
  <c r="HF86" i="3"/>
  <c r="HG86" i="3"/>
  <c r="HH86" i="3"/>
  <c r="HI86" i="3"/>
  <c r="HJ86" i="3"/>
  <c r="HK86" i="3"/>
  <c r="HL86" i="3"/>
  <c r="HM86" i="3"/>
  <c r="HN86" i="3"/>
  <c r="HO86" i="3"/>
  <c r="HP86" i="3"/>
  <c r="HQ86" i="3"/>
  <c r="HR86" i="3"/>
  <c r="HS86" i="3"/>
  <c r="HT86" i="3"/>
  <c r="HU86" i="3"/>
  <c r="HV86" i="3"/>
  <c r="HW86" i="3"/>
  <c r="HX86" i="3"/>
  <c r="HY86" i="3"/>
  <c r="HZ86" i="3"/>
  <c r="IA86" i="3"/>
  <c r="IB86" i="3"/>
  <c r="IC86" i="3"/>
  <c r="ID86" i="3"/>
  <c r="IE86" i="3"/>
  <c r="IF86" i="3"/>
  <c r="IG86" i="3"/>
  <c r="IH86" i="3"/>
  <c r="II86" i="3"/>
  <c r="IJ86" i="3"/>
  <c r="IK86" i="3"/>
  <c r="IL86" i="3"/>
  <c r="IM86" i="3"/>
  <c r="IN86" i="3"/>
  <c r="IO86" i="3"/>
  <c r="IP86" i="3"/>
  <c r="IQ86" i="3"/>
  <c r="IR86" i="3"/>
  <c r="IS86" i="3"/>
  <c r="IT86" i="3"/>
  <c r="IU86" i="3"/>
  <c r="IV86" i="3"/>
  <c r="IW86" i="3"/>
  <c r="IX86" i="3"/>
  <c r="IY86" i="3"/>
  <c r="IZ86" i="3"/>
  <c r="JA86" i="3"/>
  <c r="JB86" i="3"/>
  <c r="JC86" i="3"/>
  <c r="JD86" i="3"/>
  <c r="JE86" i="3"/>
  <c r="JF86" i="3"/>
  <c r="JG86" i="3"/>
  <c r="JH86" i="3"/>
  <c r="JI86" i="3"/>
  <c r="JJ86" i="3"/>
  <c r="JK86" i="3"/>
  <c r="JL86" i="3"/>
  <c r="JM86" i="3"/>
  <c r="A87" i="3"/>
  <c r="B87" i="3"/>
  <c r="J87" i="3"/>
  <c r="L87" i="3"/>
  <c r="M87" i="3"/>
  <c r="N87" i="3"/>
  <c r="O87" i="3"/>
  <c r="P87" i="3"/>
  <c r="Q87" i="3"/>
  <c r="R87" i="3"/>
  <c r="S87" i="3"/>
  <c r="T87" i="3"/>
  <c r="U87" i="3"/>
  <c r="V87" i="3"/>
  <c r="W87" i="3"/>
  <c r="X87" i="3"/>
  <c r="Y87" i="3"/>
  <c r="Z87" i="3"/>
  <c r="AA87" i="3"/>
  <c r="AB87" i="3"/>
  <c r="AC87" i="3"/>
  <c r="AD87" i="3"/>
  <c r="AE87" i="3"/>
  <c r="AF87" i="3"/>
  <c r="AG87" i="3"/>
  <c r="AH87" i="3"/>
  <c r="AI87" i="3"/>
  <c r="AJ87" i="3"/>
  <c r="AK87" i="3"/>
  <c r="AL87" i="3"/>
  <c r="AM87" i="3"/>
  <c r="AN87" i="3"/>
  <c r="AO87" i="3"/>
  <c r="AP87" i="3"/>
  <c r="AQ87" i="3"/>
  <c r="AR87" i="3"/>
  <c r="AS87" i="3"/>
  <c r="AT87" i="3"/>
  <c r="AU87" i="3"/>
  <c r="AV87" i="3"/>
  <c r="AW87" i="3"/>
  <c r="AX87" i="3"/>
  <c r="AY87" i="3"/>
  <c r="AZ87" i="3"/>
  <c r="BA87" i="3"/>
  <c r="BB87" i="3"/>
  <c r="BC87" i="3"/>
  <c r="BD87" i="3"/>
  <c r="BE87" i="3"/>
  <c r="BF87" i="3"/>
  <c r="BG87" i="3"/>
  <c r="BH87" i="3"/>
  <c r="BI87" i="3"/>
  <c r="BJ87" i="3"/>
  <c r="BK87" i="3"/>
  <c r="BL87" i="3"/>
  <c r="BM87" i="3"/>
  <c r="BN87" i="3"/>
  <c r="BO87" i="3"/>
  <c r="BP87" i="3"/>
  <c r="BQ87" i="3"/>
  <c r="BR87" i="3"/>
  <c r="BS87" i="3"/>
  <c r="BT87" i="3"/>
  <c r="BU87" i="3"/>
  <c r="BV87" i="3"/>
  <c r="BW87" i="3"/>
  <c r="BX87" i="3"/>
  <c r="BY87" i="3"/>
  <c r="BZ87" i="3"/>
  <c r="CA87" i="3"/>
  <c r="CB87" i="3"/>
  <c r="CC87" i="3"/>
  <c r="CD87" i="3"/>
  <c r="CE87" i="3"/>
  <c r="CF87" i="3"/>
  <c r="CG87" i="3"/>
  <c r="CH87" i="3"/>
  <c r="CI87" i="3"/>
  <c r="CJ87" i="3"/>
  <c r="CK87" i="3"/>
  <c r="CL87" i="3"/>
  <c r="CM87" i="3"/>
  <c r="CN87" i="3"/>
  <c r="CO87" i="3"/>
  <c r="CP87" i="3"/>
  <c r="CQ87" i="3"/>
  <c r="CR87" i="3"/>
  <c r="CS87" i="3"/>
  <c r="CT87" i="3"/>
  <c r="CU87" i="3"/>
  <c r="CV87" i="3"/>
  <c r="CW87" i="3"/>
  <c r="CX87" i="3"/>
  <c r="CY87" i="3"/>
  <c r="CZ87" i="3"/>
  <c r="DA87" i="3"/>
  <c r="DB87" i="3"/>
  <c r="DC87" i="3"/>
  <c r="DD87" i="3"/>
  <c r="DE87" i="3"/>
  <c r="DF87" i="3"/>
  <c r="DG87" i="3"/>
  <c r="DH87" i="3"/>
  <c r="DI87" i="3"/>
  <c r="DJ87" i="3"/>
  <c r="DK87" i="3"/>
  <c r="DL87" i="3"/>
  <c r="DM87" i="3"/>
  <c r="DN87" i="3"/>
  <c r="DO87" i="3"/>
  <c r="DP87" i="3"/>
  <c r="DQ87" i="3"/>
  <c r="DR87" i="3"/>
  <c r="DS87" i="3"/>
  <c r="DT87" i="3"/>
  <c r="DU87" i="3"/>
  <c r="DV87" i="3"/>
  <c r="DW87" i="3"/>
  <c r="DX87" i="3"/>
  <c r="DY87" i="3"/>
  <c r="DZ87" i="3"/>
  <c r="EA87" i="3"/>
  <c r="EB87" i="3"/>
  <c r="EC87" i="3"/>
  <c r="ED87" i="3"/>
  <c r="EE87" i="3"/>
  <c r="EF87" i="3"/>
  <c r="EG87" i="3"/>
  <c r="EI87" i="3"/>
  <c r="EJ87" i="3"/>
  <c r="EK87" i="3"/>
  <c r="EL87" i="3"/>
  <c r="EM87" i="3"/>
  <c r="EN87" i="3"/>
  <c r="EO87" i="3"/>
  <c r="EP87" i="3"/>
  <c r="EQ87" i="3"/>
  <c r="ER87" i="3"/>
  <c r="ES87" i="3"/>
  <c r="ET87" i="3"/>
  <c r="EU87" i="3"/>
  <c r="EV87" i="3"/>
  <c r="EW87" i="3"/>
  <c r="EX87" i="3"/>
  <c r="EY87" i="3"/>
  <c r="EZ87" i="3"/>
  <c r="FA87" i="3"/>
  <c r="FB87" i="3"/>
  <c r="FC87" i="3"/>
  <c r="FD87" i="3"/>
  <c r="FE87" i="3"/>
  <c r="FF87" i="3"/>
  <c r="FG87" i="3"/>
  <c r="FH87" i="3"/>
  <c r="FI87" i="3"/>
  <c r="FJ87" i="3"/>
  <c r="FK87" i="3"/>
  <c r="FL87" i="3"/>
  <c r="FM87" i="3"/>
  <c r="FN87" i="3"/>
  <c r="FO87" i="3"/>
  <c r="FP87" i="3"/>
  <c r="FQ87" i="3"/>
  <c r="FR87" i="3"/>
  <c r="FS87" i="3"/>
  <c r="FT87" i="3"/>
  <c r="FU87" i="3"/>
  <c r="FV87" i="3"/>
  <c r="FW87" i="3"/>
  <c r="FX87" i="3"/>
  <c r="FY87" i="3"/>
  <c r="FZ87" i="3"/>
  <c r="GA87" i="3"/>
  <c r="GB87" i="3"/>
  <c r="GC87" i="3"/>
  <c r="GD87" i="3"/>
  <c r="GE87" i="3"/>
  <c r="GF87" i="3"/>
  <c r="GG87" i="3"/>
  <c r="GH87" i="3"/>
  <c r="GI87" i="3"/>
  <c r="GJ87" i="3"/>
  <c r="GK87" i="3"/>
  <c r="GL87" i="3"/>
  <c r="GM87" i="3"/>
  <c r="GN87" i="3"/>
  <c r="GO87" i="3"/>
  <c r="GP87" i="3"/>
  <c r="GQ87" i="3"/>
  <c r="GR87" i="3"/>
  <c r="GS87" i="3"/>
  <c r="GT87" i="3"/>
  <c r="GU87" i="3"/>
  <c r="GV87" i="3"/>
  <c r="GW87" i="3"/>
  <c r="GX87" i="3"/>
  <c r="GY87" i="3"/>
  <c r="GZ87" i="3"/>
  <c r="HA87" i="3"/>
  <c r="HB87" i="3"/>
  <c r="HC87" i="3"/>
  <c r="HD87" i="3"/>
  <c r="HE87" i="3"/>
  <c r="HF87" i="3"/>
  <c r="HG87" i="3"/>
  <c r="HH87" i="3"/>
  <c r="HI87" i="3"/>
  <c r="HJ87" i="3"/>
  <c r="HK87" i="3"/>
  <c r="HL87" i="3"/>
  <c r="HM87" i="3"/>
  <c r="HN87" i="3"/>
  <c r="HO87" i="3"/>
  <c r="HP87" i="3"/>
  <c r="HQ87" i="3"/>
  <c r="HR87" i="3"/>
  <c r="HS87" i="3"/>
  <c r="HT87" i="3"/>
  <c r="HU87" i="3"/>
  <c r="HV87" i="3"/>
  <c r="HW87" i="3"/>
  <c r="HX87" i="3"/>
  <c r="HY87" i="3"/>
  <c r="HZ87" i="3"/>
  <c r="IA87" i="3"/>
  <c r="IB87" i="3"/>
  <c r="IC87" i="3"/>
  <c r="ID87" i="3"/>
  <c r="IE87" i="3"/>
  <c r="IF87" i="3"/>
  <c r="IG87" i="3"/>
  <c r="IH87" i="3"/>
  <c r="II87" i="3"/>
  <c r="IJ87" i="3"/>
  <c r="IK87" i="3"/>
  <c r="IL87" i="3"/>
  <c r="IM87" i="3"/>
  <c r="IN87" i="3"/>
  <c r="IO87" i="3"/>
  <c r="IP87" i="3"/>
  <c r="IQ87" i="3"/>
  <c r="IR87" i="3"/>
  <c r="IS87" i="3"/>
  <c r="IT87" i="3"/>
  <c r="IU87" i="3"/>
  <c r="IV87" i="3"/>
  <c r="IW87" i="3"/>
  <c r="IX87" i="3"/>
  <c r="IY87" i="3"/>
  <c r="IZ87" i="3"/>
  <c r="JA87" i="3"/>
  <c r="JB87" i="3"/>
  <c r="JC87" i="3"/>
  <c r="JD87" i="3"/>
  <c r="JE87" i="3"/>
  <c r="JF87" i="3"/>
  <c r="JG87" i="3"/>
  <c r="JH87" i="3"/>
  <c r="JI87" i="3"/>
  <c r="JJ87" i="3"/>
  <c r="JK87" i="3"/>
  <c r="JL87" i="3"/>
  <c r="JM87" i="3"/>
  <c r="A88" i="3"/>
  <c r="B88" i="3"/>
  <c r="P88" i="3"/>
  <c r="Q88" i="3"/>
  <c r="R88" i="3"/>
  <c r="S88" i="3"/>
  <c r="T88" i="3"/>
  <c r="U88" i="3"/>
  <c r="V88" i="3"/>
  <c r="W88" i="3"/>
  <c r="X88" i="3"/>
  <c r="Y88" i="3"/>
  <c r="Z88" i="3"/>
  <c r="AA88" i="3"/>
  <c r="AB88" i="3"/>
  <c r="AC88" i="3"/>
  <c r="AD88" i="3"/>
  <c r="AE88" i="3"/>
  <c r="AF88" i="3"/>
  <c r="AG88" i="3"/>
  <c r="AH88" i="3"/>
  <c r="AI88" i="3"/>
  <c r="AJ88" i="3"/>
  <c r="AK88" i="3"/>
  <c r="AL88" i="3"/>
  <c r="AM88" i="3"/>
  <c r="AN88" i="3"/>
  <c r="AO88" i="3"/>
  <c r="AP88" i="3"/>
  <c r="AQ88" i="3"/>
  <c r="AR88" i="3"/>
  <c r="AS88" i="3"/>
  <c r="AT88" i="3"/>
  <c r="AU88" i="3"/>
  <c r="AV88" i="3"/>
  <c r="AW88" i="3"/>
  <c r="AX88" i="3"/>
  <c r="AY88" i="3"/>
  <c r="AZ88" i="3"/>
  <c r="BA88" i="3"/>
  <c r="BB88" i="3"/>
  <c r="BC88" i="3"/>
  <c r="BD88" i="3"/>
  <c r="BE88" i="3"/>
  <c r="BF88" i="3"/>
  <c r="BG88" i="3"/>
  <c r="BH88" i="3"/>
  <c r="BI88" i="3"/>
  <c r="BJ88" i="3"/>
  <c r="BK88" i="3"/>
  <c r="BL88" i="3"/>
  <c r="BM88" i="3"/>
  <c r="BN88" i="3"/>
  <c r="BO88" i="3"/>
  <c r="BP88" i="3"/>
  <c r="BQ88" i="3"/>
  <c r="BR88" i="3"/>
  <c r="BS88" i="3"/>
  <c r="BT88" i="3"/>
  <c r="BU88" i="3"/>
  <c r="BV88" i="3"/>
  <c r="BW88" i="3"/>
  <c r="BX88" i="3"/>
  <c r="BY88" i="3"/>
  <c r="BZ88" i="3"/>
  <c r="CA88" i="3"/>
  <c r="CB88" i="3"/>
  <c r="CC88" i="3"/>
  <c r="CD88" i="3"/>
  <c r="CE88" i="3"/>
  <c r="CF88" i="3"/>
  <c r="CG88" i="3"/>
  <c r="CH88" i="3"/>
  <c r="CI88" i="3"/>
  <c r="CJ88" i="3"/>
  <c r="CK88" i="3"/>
  <c r="CL88" i="3"/>
  <c r="CM88" i="3"/>
  <c r="CN88" i="3"/>
  <c r="CO88" i="3"/>
  <c r="CP88" i="3"/>
  <c r="CQ88" i="3"/>
  <c r="CR88" i="3"/>
  <c r="CS88" i="3"/>
  <c r="CT88" i="3"/>
  <c r="CU88" i="3"/>
  <c r="CV88" i="3"/>
  <c r="CW88" i="3"/>
  <c r="CX88" i="3"/>
  <c r="CY88" i="3"/>
  <c r="CZ88" i="3"/>
  <c r="DA88" i="3"/>
  <c r="DB88" i="3"/>
  <c r="DC88" i="3"/>
  <c r="DD88" i="3"/>
  <c r="DE88" i="3"/>
  <c r="DF88" i="3"/>
  <c r="DG88" i="3"/>
  <c r="DH88" i="3"/>
  <c r="DI88" i="3"/>
  <c r="DJ88" i="3"/>
  <c r="DK88" i="3"/>
  <c r="DL88" i="3"/>
  <c r="DM88" i="3"/>
  <c r="DN88" i="3"/>
  <c r="DO88" i="3"/>
  <c r="DP88" i="3"/>
  <c r="DQ88" i="3"/>
  <c r="DR88" i="3"/>
  <c r="DS88" i="3"/>
  <c r="DT88" i="3"/>
  <c r="DU88" i="3"/>
  <c r="DV88" i="3"/>
  <c r="DW88" i="3"/>
  <c r="DX88" i="3"/>
  <c r="DY88" i="3"/>
  <c r="DZ88" i="3"/>
  <c r="EA88" i="3"/>
  <c r="EB88" i="3"/>
  <c r="EC88" i="3"/>
  <c r="ED88" i="3"/>
  <c r="EE88" i="3"/>
  <c r="EF88" i="3"/>
  <c r="EG88" i="3"/>
  <c r="EI88" i="3"/>
  <c r="EJ88" i="3"/>
  <c r="EK88" i="3"/>
  <c r="EL88" i="3"/>
  <c r="EM88" i="3"/>
  <c r="EN88" i="3"/>
  <c r="EO88" i="3"/>
  <c r="EP88" i="3"/>
  <c r="EQ88" i="3"/>
  <c r="ER88" i="3"/>
  <c r="ES88" i="3"/>
  <c r="ET88" i="3"/>
  <c r="EU88" i="3"/>
  <c r="EV88" i="3"/>
  <c r="EW88" i="3"/>
  <c r="EX88" i="3"/>
  <c r="EY88" i="3"/>
  <c r="EZ88" i="3"/>
  <c r="FA88" i="3"/>
  <c r="FB88" i="3"/>
  <c r="FC88" i="3"/>
  <c r="FD88" i="3"/>
  <c r="FE88" i="3"/>
  <c r="FF88" i="3"/>
  <c r="FG88" i="3"/>
  <c r="FH88" i="3"/>
  <c r="FI88" i="3"/>
  <c r="FJ88" i="3"/>
  <c r="FK88" i="3"/>
  <c r="FL88" i="3"/>
  <c r="FM88" i="3"/>
  <c r="FN88" i="3"/>
  <c r="FO88" i="3"/>
  <c r="FP88" i="3"/>
  <c r="FQ88" i="3"/>
  <c r="FR88" i="3"/>
  <c r="FS88" i="3"/>
  <c r="FT88" i="3"/>
  <c r="FU88" i="3"/>
  <c r="FV88" i="3"/>
  <c r="FW88" i="3"/>
  <c r="FX88" i="3"/>
  <c r="FY88" i="3"/>
  <c r="FZ88" i="3"/>
  <c r="GA88" i="3"/>
  <c r="GB88" i="3"/>
  <c r="GC88" i="3"/>
  <c r="GD88" i="3"/>
  <c r="GE88" i="3"/>
  <c r="GF88" i="3"/>
  <c r="GG88" i="3"/>
  <c r="GH88" i="3"/>
  <c r="GI88" i="3"/>
  <c r="GJ88" i="3"/>
  <c r="GK88" i="3"/>
  <c r="GL88" i="3"/>
  <c r="GM88" i="3"/>
  <c r="GN88" i="3"/>
  <c r="GO88" i="3"/>
  <c r="GP88" i="3"/>
  <c r="GQ88" i="3"/>
  <c r="GR88" i="3"/>
  <c r="GS88" i="3"/>
  <c r="GT88" i="3"/>
  <c r="GU88" i="3"/>
  <c r="GV88" i="3"/>
  <c r="GW88" i="3"/>
  <c r="GX88" i="3"/>
  <c r="GY88" i="3"/>
  <c r="GZ88" i="3"/>
  <c r="HA88" i="3"/>
  <c r="HB88" i="3"/>
  <c r="HC88" i="3"/>
  <c r="HD88" i="3"/>
  <c r="HE88" i="3"/>
  <c r="HF88" i="3"/>
  <c r="HG88" i="3"/>
  <c r="HH88" i="3"/>
  <c r="HI88" i="3"/>
  <c r="HJ88" i="3"/>
  <c r="HK88" i="3"/>
  <c r="HL88" i="3"/>
  <c r="HM88" i="3"/>
  <c r="HN88" i="3"/>
  <c r="HO88" i="3"/>
  <c r="HP88" i="3"/>
  <c r="HQ88" i="3"/>
  <c r="HR88" i="3"/>
  <c r="HS88" i="3"/>
  <c r="HT88" i="3"/>
  <c r="HU88" i="3"/>
  <c r="HV88" i="3"/>
  <c r="HW88" i="3"/>
  <c r="HX88" i="3"/>
  <c r="HY88" i="3"/>
  <c r="HZ88" i="3"/>
  <c r="IA88" i="3"/>
  <c r="IB88" i="3"/>
  <c r="IC88" i="3"/>
  <c r="ID88" i="3"/>
  <c r="IE88" i="3"/>
  <c r="IF88" i="3"/>
  <c r="IG88" i="3"/>
  <c r="IH88" i="3"/>
  <c r="II88" i="3"/>
  <c r="IJ88" i="3"/>
  <c r="IK88" i="3"/>
  <c r="IL88" i="3"/>
  <c r="IM88" i="3"/>
  <c r="IN88" i="3"/>
  <c r="IO88" i="3"/>
  <c r="IP88" i="3"/>
  <c r="IQ88" i="3"/>
  <c r="IR88" i="3"/>
  <c r="IS88" i="3"/>
  <c r="IT88" i="3"/>
  <c r="IU88" i="3"/>
  <c r="IV88" i="3"/>
  <c r="IW88" i="3"/>
  <c r="IX88" i="3"/>
  <c r="IY88" i="3"/>
  <c r="IZ88" i="3"/>
  <c r="JA88" i="3"/>
  <c r="JB88" i="3"/>
  <c r="JC88" i="3"/>
  <c r="JD88" i="3"/>
  <c r="JE88" i="3"/>
  <c r="JF88" i="3"/>
  <c r="JG88" i="3"/>
  <c r="JH88" i="3"/>
  <c r="JI88" i="3"/>
  <c r="JJ88" i="3"/>
  <c r="JK88" i="3"/>
  <c r="JL88" i="3"/>
  <c r="JM88" i="3"/>
  <c r="A89" i="3"/>
  <c r="B89" i="3"/>
  <c r="J89" i="3"/>
  <c r="K89" i="3"/>
  <c r="L89" i="3"/>
  <c r="M89" i="3"/>
  <c r="N89" i="3"/>
  <c r="O89" i="3"/>
  <c r="P89" i="3"/>
  <c r="Q89" i="3"/>
  <c r="R89" i="3"/>
  <c r="S89" i="3"/>
  <c r="T89" i="3"/>
  <c r="U89" i="3"/>
  <c r="V89" i="3"/>
  <c r="W89" i="3"/>
  <c r="X89" i="3"/>
  <c r="Y89" i="3"/>
  <c r="Z89" i="3"/>
  <c r="AA89" i="3"/>
  <c r="AB89" i="3"/>
  <c r="AC89" i="3"/>
  <c r="AD89" i="3"/>
  <c r="AE89" i="3"/>
  <c r="AF89" i="3"/>
  <c r="AG89" i="3"/>
  <c r="AH89" i="3"/>
  <c r="AI89" i="3"/>
  <c r="AJ89" i="3"/>
  <c r="AK89" i="3"/>
  <c r="AL89" i="3"/>
  <c r="AM89" i="3"/>
  <c r="AN89" i="3"/>
  <c r="AO89" i="3"/>
  <c r="AP89" i="3"/>
  <c r="AQ89" i="3"/>
  <c r="AR89" i="3"/>
  <c r="AS89" i="3"/>
  <c r="AT89" i="3"/>
  <c r="AU89" i="3"/>
  <c r="AV89" i="3"/>
  <c r="AW89" i="3"/>
  <c r="AX89" i="3"/>
  <c r="AY89" i="3"/>
  <c r="AZ89" i="3"/>
  <c r="BA89" i="3"/>
  <c r="BB89" i="3"/>
  <c r="BC89" i="3"/>
  <c r="BD89" i="3"/>
  <c r="BE89" i="3"/>
  <c r="BF89" i="3"/>
  <c r="BG89" i="3"/>
  <c r="BH89" i="3"/>
  <c r="BI89" i="3"/>
  <c r="BJ89" i="3"/>
  <c r="BK89" i="3"/>
  <c r="BL89" i="3"/>
  <c r="BM89" i="3"/>
  <c r="BN89" i="3"/>
  <c r="BO89" i="3"/>
  <c r="BP89" i="3"/>
  <c r="BQ89" i="3"/>
  <c r="BR89" i="3"/>
  <c r="BS89" i="3"/>
  <c r="BT89" i="3"/>
  <c r="BU89" i="3"/>
  <c r="BV89" i="3"/>
  <c r="BW89" i="3"/>
  <c r="BX89" i="3"/>
  <c r="BY89" i="3"/>
  <c r="BZ89" i="3"/>
  <c r="CA89" i="3"/>
  <c r="CB89" i="3"/>
  <c r="CC89" i="3"/>
  <c r="CD89" i="3"/>
  <c r="CE89" i="3"/>
  <c r="CF89" i="3"/>
  <c r="CG89" i="3"/>
  <c r="CH89" i="3"/>
  <c r="CI89" i="3"/>
  <c r="CJ89" i="3"/>
  <c r="CK89" i="3"/>
  <c r="CL89" i="3"/>
  <c r="CM89" i="3"/>
  <c r="CN89" i="3"/>
  <c r="CO89" i="3"/>
  <c r="CP89" i="3"/>
  <c r="CQ89" i="3"/>
  <c r="CR89" i="3"/>
  <c r="CS89" i="3"/>
  <c r="CT89" i="3"/>
  <c r="CU89" i="3"/>
  <c r="CV89" i="3"/>
  <c r="CW89" i="3"/>
  <c r="CX89" i="3"/>
  <c r="CY89" i="3"/>
  <c r="CZ89" i="3"/>
  <c r="DA89" i="3"/>
  <c r="DB89" i="3"/>
  <c r="DC89" i="3"/>
  <c r="DD89" i="3"/>
  <c r="DE89" i="3"/>
  <c r="DF89" i="3"/>
  <c r="DG89" i="3"/>
  <c r="DH89" i="3"/>
  <c r="DI89" i="3"/>
  <c r="DJ89" i="3"/>
  <c r="DK89" i="3"/>
  <c r="DL89" i="3"/>
  <c r="DM89" i="3"/>
  <c r="DN89" i="3"/>
  <c r="DO89" i="3"/>
  <c r="DP89" i="3"/>
  <c r="DQ89" i="3"/>
  <c r="DR89" i="3"/>
  <c r="DS89" i="3"/>
  <c r="DT89" i="3"/>
  <c r="DU89" i="3"/>
  <c r="DV89" i="3"/>
  <c r="DW89" i="3"/>
  <c r="DX89" i="3"/>
  <c r="DY89" i="3"/>
  <c r="DZ89" i="3"/>
  <c r="EA89" i="3"/>
  <c r="EB89" i="3"/>
  <c r="EC89" i="3"/>
  <c r="ED89" i="3"/>
  <c r="EE89" i="3"/>
  <c r="EF89" i="3"/>
  <c r="EG89" i="3"/>
  <c r="EI89" i="3"/>
  <c r="EJ89" i="3"/>
  <c r="EK89" i="3"/>
  <c r="EL89" i="3"/>
  <c r="EM89" i="3"/>
  <c r="EN89" i="3"/>
  <c r="EO89" i="3"/>
  <c r="EP89" i="3"/>
  <c r="EQ89" i="3"/>
  <c r="ER89" i="3"/>
  <c r="ES89" i="3"/>
  <c r="ET89" i="3"/>
  <c r="EU89" i="3"/>
  <c r="EV89" i="3"/>
  <c r="EW89" i="3"/>
  <c r="EX89" i="3"/>
  <c r="EY89" i="3"/>
  <c r="EZ89" i="3"/>
  <c r="FA89" i="3"/>
  <c r="FB89" i="3"/>
  <c r="FC89" i="3"/>
  <c r="FD89" i="3"/>
  <c r="FE89" i="3"/>
  <c r="FF89" i="3"/>
  <c r="FG89" i="3"/>
  <c r="FH89" i="3"/>
  <c r="FI89" i="3"/>
  <c r="FJ89" i="3"/>
  <c r="FK89" i="3"/>
  <c r="FL89" i="3"/>
  <c r="FM89" i="3"/>
  <c r="FN89" i="3"/>
  <c r="FO89" i="3"/>
  <c r="FP89" i="3"/>
  <c r="FQ89" i="3"/>
  <c r="FR89" i="3"/>
  <c r="FS89" i="3"/>
  <c r="FT89" i="3"/>
  <c r="FU89" i="3"/>
  <c r="FV89" i="3"/>
  <c r="FW89" i="3"/>
  <c r="FX89" i="3"/>
  <c r="FY89" i="3"/>
  <c r="FZ89" i="3"/>
  <c r="GA89" i="3"/>
  <c r="GB89" i="3"/>
  <c r="GC89" i="3"/>
  <c r="GD89" i="3"/>
  <c r="GE89" i="3"/>
  <c r="GF89" i="3"/>
  <c r="GG89" i="3"/>
  <c r="GH89" i="3"/>
  <c r="GI89" i="3"/>
  <c r="GJ89" i="3"/>
  <c r="GK89" i="3"/>
  <c r="GL89" i="3"/>
  <c r="GM89" i="3"/>
  <c r="GN89" i="3"/>
  <c r="GO89" i="3"/>
  <c r="GP89" i="3"/>
  <c r="GQ89" i="3"/>
  <c r="GR89" i="3"/>
  <c r="GS89" i="3"/>
  <c r="GT89" i="3"/>
  <c r="GU89" i="3"/>
  <c r="GV89" i="3"/>
  <c r="GW89" i="3"/>
  <c r="GX89" i="3"/>
  <c r="GY89" i="3"/>
  <c r="GZ89" i="3"/>
  <c r="HA89" i="3"/>
  <c r="HB89" i="3"/>
  <c r="HC89" i="3"/>
  <c r="HD89" i="3"/>
  <c r="HE89" i="3"/>
  <c r="HF89" i="3"/>
  <c r="HG89" i="3"/>
  <c r="HH89" i="3"/>
  <c r="HI89" i="3"/>
  <c r="HJ89" i="3"/>
  <c r="HK89" i="3"/>
  <c r="HL89" i="3"/>
  <c r="HM89" i="3"/>
  <c r="HN89" i="3"/>
  <c r="HO89" i="3"/>
  <c r="HP89" i="3"/>
  <c r="HQ89" i="3"/>
  <c r="HR89" i="3"/>
  <c r="HS89" i="3"/>
  <c r="HT89" i="3"/>
  <c r="HU89" i="3"/>
  <c r="HV89" i="3"/>
  <c r="HW89" i="3"/>
  <c r="HX89" i="3"/>
  <c r="HY89" i="3"/>
  <c r="HZ89" i="3"/>
  <c r="IA89" i="3"/>
  <c r="IB89" i="3"/>
  <c r="IC89" i="3"/>
  <c r="ID89" i="3"/>
  <c r="IE89" i="3"/>
  <c r="IF89" i="3"/>
  <c r="IG89" i="3"/>
  <c r="IH89" i="3"/>
  <c r="II89" i="3"/>
  <c r="IJ89" i="3"/>
  <c r="IK89" i="3"/>
  <c r="IL89" i="3"/>
  <c r="IM89" i="3"/>
  <c r="IN89" i="3"/>
  <c r="IO89" i="3"/>
  <c r="IP89" i="3"/>
  <c r="IQ89" i="3"/>
  <c r="IR89" i="3"/>
  <c r="IS89" i="3"/>
  <c r="IT89" i="3"/>
  <c r="IU89" i="3"/>
  <c r="IV89" i="3"/>
  <c r="IW89" i="3"/>
  <c r="IX89" i="3"/>
  <c r="IY89" i="3"/>
  <c r="IZ89" i="3"/>
  <c r="JA89" i="3"/>
  <c r="JB89" i="3"/>
  <c r="JC89" i="3"/>
  <c r="JD89" i="3"/>
  <c r="JE89" i="3"/>
  <c r="JF89" i="3"/>
  <c r="JG89" i="3"/>
  <c r="JH89" i="3"/>
  <c r="JI89" i="3"/>
  <c r="JJ89" i="3"/>
  <c r="JK89" i="3"/>
  <c r="JL89" i="3"/>
  <c r="JM89" i="3"/>
  <c r="A90" i="3"/>
  <c r="B90" i="3"/>
  <c r="X90" i="3"/>
  <c r="Y90" i="3"/>
  <c r="Z90" i="3"/>
  <c r="AA90" i="3"/>
  <c r="AB90" i="3"/>
  <c r="AC90" i="3"/>
  <c r="AD90" i="3"/>
  <c r="AE90" i="3"/>
  <c r="AF90" i="3"/>
  <c r="AG90" i="3"/>
  <c r="AH90" i="3"/>
  <c r="AI90" i="3"/>
  <c r="AJ90" i="3"/>
  <c r="AK90" i="3"/>
  <c r="AL90" i="3"/>
  <c r="AM90" i="3"/>
  <c r="AN90" i="3"/>
  <c r="AO90" i="3"/>
  <c r="AP90" i="3"/>
  <c r="AQ90" i="3"/>
  <c r="AR90" i="3"/>
  <c r="AS90" i="3"/>
  <c r="AT90" i="3"/>
  <c r="AU90" i="3"/>
  <c r="AV90" i="3"/>
  <c r="AW90" i="3"/>
  <c r="AX90" i="3"/>
  <c r="AY90" i="3"/>
  <c r="AZ90" i="3"/>
  <c r="BA90" i="3"/>
  <c r="BB90" i="3"/>
  <c r="BC90" i="3"/>
  <c r="BD90" i="3"/>
  <c r="BE90" i="3"/>
  <c r="BF90" i="3"/>
  <c r="BG90" i="3"/>
  <c r="BH90" i="3"/>
  <c r="BI90" i="3"/>
  <c r="BJ90" i="3"/>
  <c r="BK90" i="3"/>
  <c r="BL90" i="3"/>
  <c r="BM90" i="3"/>
  <c r="BN90" i="3"/>
  <c r="BO90" i="3"/>
  <c r="BP90" i="3"/>
  <c r="BQ90" i="3"/>
  <c r="BR90" i="3"/>
  <c r="BS90" i="3"/>
  <c r="BT90" i="3"/>
  <c r="BU90" i="3"/>
  <c r="BV90" i="3"/>
  <c r="BW90" i="3"/>
  <c r="BX90" i="3"/>
  <c r="BY90" i="3"/>
  <c r="BZ90" i="3"/>
  <c r="CA90" i="3"/>
  <c r="CB90" i="3"/>
  <c r="CC90" i="3"/>
  <c r="CD90" i="3"/>
  <c r="CE90" i="3"/>
  <c r="CF90" i="3"/>
  <c r="CG90" i="3"/>
  <c r="CH90" i="3"/>
  <c r="CI90" i="3"/>
  <c r="CJ90" i="3"/>
  <c r="CK90" i="3"/>
  <c r="CL90" i="3"/>
  <c r="CM90" i="3"/>
  <c r="CN90" i="3"/>
  <c r="CO90" i="3"/>
  <c r="CP90" i="3"/>
  <c r="CQ90" i="3"/>
  <c r="CR90" i="3"/>
  <c r="CS90" i="3"/>
  <c r="CT90" i="3"/>
  <c r="CU90" i="3"/>
  <c r="CV90" i="3"/>
  <c r="CW90" i="3"/>
  <c r="CX90" i="3"/>
  <c r="CY90" i="3"/>
  <c r="CZ90" i="3"/>
  <c r="DA90" i="3"/>
  <c r="DB90" i="3"/>
  <c r="DC90" i="3"/>
  <c r="DD90" i="3"/>
  <c r="DE90" i="3"/>
  <c r="DF90" i="3"/>
  <c r="DG90" i="3"/>
  <c r="DH90" i="3"/>
  <c r="DI90" i="3"/>
  <c r="DJ90" i="3"/>
  <c r="DK90" i="3"/>
  <c r="DL90" i="3"/>
  <c r="DM90" i="3"/>
  <c r="DN90" i="3"/>
  <c r="DO90" i="3"/>
  <c r="DP90" i="3"/>
  <c r="DQ90" i="3"/>
  <c r="DR90" i="3"/>
  <c r="DS90" i="3"/>
  <c r="DT90" i="3"/>
  <c r="DU90" i="3"/>
  <c r="DV90" i="3"/>
  <c r="DW90" i="3"/>
  <c r="DX90" i="3"/>
  <c r="DY90" i="3"/>
  <c r="DZ90" i="3"/>
  <c r="EA90" i="3"/>
  <c r="EB90" i="3"/>
  <c r="EC90" i="3"/>
  <c r="ED90" i="3"/>
  <c r="EE90" i="3"/>
  <c r="EF90" i="3"/>
  <c r="EG90" i="3"/>
  <c r="EI90" i="3"/>
  <c r="EJ90" i="3"/>
  <c r="EK90" i="3"/>
  <c r="EL90" i="3"/>
  <c r="EM90" i="3"/>
  <c r="EN90" i="3"/>
  <c r="EO90" i="3"/>
  <c r="EP90" i="3"/>
  <c r="EQ90" i="3"/>
  <c r="ER90" i="3"/>
  <c r="ES90" i="3"/>
  <c r="ET90" i="3"/>
  <c r="EU90" i="3"/>
  <c r="EV90" i="3"/>
  <c r="EW90" i="3"/>
  <c r="EX90" i="3"/>
  <c r="EY90" i="3"/>
  <c r="EZ90" i="3"/>
  <c r="FA90" i="3"/>
  <c r="FB90" i="3"/>
  <c r="FC90" i="3"/>
  <c r="FD90" i="3"/>
  <c r="FE90" i="3"/>
  <c r="FF90" i="3"/>
  <c r="FG90" i="3"/>
  <c r="FH90" i="3"/>
  <c r="FI90" i="3"/>
  <c r="FJ90" i="3"/>
  <c r="FK90" i="3"/>
  <c r="FL90" i="3"/>
  <c r="FM90" i="3"/>
  <c r="FN90" i="3"/>
  <c r="FO90" i="3"/>
  <c r="FP90" i="3"/>
  <c r="FQ90" i="3"/>
  <c r="FR90" i="3"/>
  <c r="FS90" i="3"/>
  <c r="FT90" i="3"/>
  <c r="FU90" i="3"/>
  <c r="FV90" i="3"/>
  <c r="FW90" i="3"/>
  <c r="FX90" i="3"/>
  <c r="FY90" i="3"/>
  <c r="FZ90" i="3"/>
  <c r="GA90" i="3"/>
  <c r="GB90" i="3"/>
  <c r="GC90" i="3"/>
  <c r="GD90" i="3"/>
  <c r="GE90" i="3"/>
  <c r="GF90" i="3"/>
  <c r="GG90" i="3"/>
  <c r="GH90" i="3"/>
  <c r="GI90" i="3"/>
  <c r="GJ90" i="3"/>
  <c r="GK90" i="3"/>
  <c r="GL90" i="3"/>
  <c r="GM90" i="3"/>
  <c r="GN90" i="3"/>
  <c r="GO90" i="3"/>
  <c r="GP90" i="3"/>
  <c r="GQ90" i="3"/>
  <c r="GR90" i="3"/>
  <c r="GS90" i="3"/>
  <c r="GT90" i="3"/>
  <c r="GU90" i="3"/>
  <c r="GV90" i="3"/>
  <c r="GW90" i="3"/>
  <c r="GX90" i="3"/>
  <c r="GY90" i="3"/>
  <c r="GZ90" i="3"/>
  <c r="HA90" i="3"/>
  <c r="HB90" i="3"/>
  <c r="HC90" i="3"/>
  <c r="HD90" i="3"/>
  <c r="HE90" i="3"/>
  <c r="HF90" i="3"/>
  <c r="HG90" i="3"/>
  <c r="HH90" i="3"/>
  <c r="HI90" i="3"/>
  <c r="HJ90" i="3"/>
  <c r="HK90" i="3"/>
  <c r="HL90" i="3"/>
  <c r="HM90" i="3"/>
  <c r="HN90" i="3"/>
  <c r="HO90" i="3"/>
  <c r="HP90" i="3"/>
  <c r="HQ90" i="3"/>
  <c r="HR90" i="3"/>
  <c r="HS90" i="3"/>
  <c r="HT90" i="3"/>
  <c r="HU90" i="3"/>
  <c r="HV90" i="3"/>
  <c r="HW90" i="3"/>
  <c r="HX90" i="3"/>
  <c r="HY90" i="3"/>
  <c r="HZ90" i="3"/>
  <c r="IA90" i="3"/>
  <c r="IB90" i="3"/>
  <c r="IC90" i="3"/>
  <c r="ID90" i="3"/>
  <c r="IE90" i="3"/>
  <c r="IF90" i="3"/>
  <c r="IG90" i="3"/>
  <c r="IH90" i="3"/>
  <c r="II90" i="3"/>
  <c r="IJ90" i="3"/>
  <c r="IK90" i="3"/>
  <c r="IL90" i="3"/>
  <c r="IM90" i="3"/>
  <c r="IN90" i="3"/>
  <c r="IO90" i="3"/>
  <c r="IP90" i="3"/>
  <c r="IQ90" i="3"/>
  <c r="IR90" i="3"/>
  <c r="IS90" i="3"/>
  <c r="IT90" i="3"/>
  <c r="IU90" i="3"/>
  <c r="IV90" i="3"/>
  <c r="IW90" i="3"/>
  <c r="IX90" i="3"/>
  <c r="IY90" i="3"/>
  <c r="IZ90" i="3"/>
  <c r="JA90" i="3"/>
  <c r="JB90" i="3"/>
  <c r="JC90" i="3"/>
  <c r="JD90" i="3"/>
  <c r="JE90" i="3"/>
  <c r="JF90" i="3"/>
  <c r="JG90" i="3"/>
  <c r="JH90" i="3"/>
  <c r="JI90" i="3"/>
  <c r="JJ90" i="3"/>
  <c r="JK90" i="3"/>
  <c r="JL90" i="3"/>
  <c r="JM90" i="3"/>
  <c r="A81" i="3"/>
  <c r="B81" i="3"/>
  <c r="C81" i="3" s="1"/>
  <c r="D81" i="3"/>
  <c r="E81" i="3"/>
  <c r="F81" i="3"/>
  <c r="G81" i="3"/>
  <c r="H81" i="3"/>
  <c r="I81" i="3"/>
  <c r="J81" i="3"/>
  <c r="K81" i="3"/>
  <c r="L81" i="3"/>
  <c r="M81" i="3"/>
  <c r="N81" i="3"/>
  <c r="O81" i="3"/>
  <c r="P81" i="3"/>
  <c r="Q81" i="3"/>
  <c r="R81" i="3"/>
  <c r="S81" i="3"/>
  <c r="T81" i="3"/>
  <c r="U81" i="3"/>
  <c r="V81" i="3"/>
  <c r="W81" i="3"/>
  <c r="X81" i="3"/>
  <c r="Y81" i="3"/>
  <c r="Z81" i="3"/>
  <c r="AA81" i="3"/>
  <c r="AB81" i="3"/>
  <c r="AC81" i="3"/>
  <c r="AD81" i="3"/>
  <c r="AE81" i="3"/>
  <c r="AF81" i="3"/>
  <c r="AG81" i="3"/>
  <c r="AH81" i="3"/>
  <c r="AI81" i="3"/>
  <c r="AJ81" i="3"/>
  <c r="AK81" i="3"/>
  <c r="AL81" i="3"/>
  <c r="AM81" i="3"/>
  <c r="AN81" i="3"/>
  <c r="AO81" i="3"/>
  <c r="AP81" i="3"/>
  <c r="AQ81" i="3"/>
  <c r="AR81" i="3"/>
  <c r="AS81" i="3"/>
  <c r="AT81" i="3"/>
  <c r="AU81" i="3"/>
  <c r="AV81" i="3"/>
  <c r="AW81" i="3"/>
  <c r="AX81" i="3"/>
  <c r="AY81" i="3"/>
  <c r="AZ81" i="3"/>
  <c r="BA81" i="3"/>
  <c r="BB81" i="3"/>
  <c r="BC81" i="3"/>
  <c r="BD81" i="3"/>
  <c r="BE81" i="3"/>
  <c r="BF81" i="3"/>
  <c r="BG81" i="3"/>
  <c r="BH81" i="3"/>
  <c r="BI81" i="3"/>
  <c r="BJ81" i="3"/>
  <c r="BK81" i="3"/>
  <c r="BL81" i="3"/>
  <c r="BM81" i="3"/>
  <c r="BN81" i="3"/>
  <c r="BO81" i="3"/>
  <c r="BP81" i="3"/>
  <c r="BQ81" i="3"/>
  <c r="BR81" i="3"/>
  <c r="BS81" i="3"/>
  <c r="BT81" i="3"/>
  <c r="BU81" i="3"/>
  <c r="BV81" i="3"/>
  <c r="BW81" i="3"/>
  <c r="BX81" i="3"/>
  <c r="BY81" i="3"/>
  <c r="BZ81" i="3"/>
  <c r="CA81" i="3"/>
  <c r="CB81" i="3"/>
  <c r="CC81" i="3"/>
  <c r="CD81" i="3"/>
  <c r="CE81" i="3"/>
  <c r="CF81" i="3"/>
  <c r="CG81" i="3"/>
  <c r="CH81" i="3"/>
  <c r="CI81" i="3"/>
  <c r="CJ81" i="3"/>
  <c r="CK81" i="3"/>
  <c r="CL81" i="3"/>
  <c r="CM81" i="3"/>
  <c r="CN81" i="3"/>
  <c r="CO81" i="3"/>
  <c r="CP81" i="3"/>
  <c r="CQ81" i="3"/>
  <c r="CR81" i="3"/>
  <c r="CS81" i="3"/>
  <c r="CT81" i="3"/>
  <c r="CU81" i="3"/>
  <c r="CV81" i="3"/>
  <c r="CW81" i="3"/>
  <c r="CX81" i="3"/>
  <c r="CY81" i="3"/>
  <c r="CZ81" i="3"/>
  <c r="DA81" i="3"/>
  <c r="DB81" i="3"/>
  <c r="DC81" i="3"/>
  <c r="DD81" i="3"/>
  <c r="DE81" i="3"/>
  <c r="DF81" i="3"/>
  <c r="DG81" i="3"/>
  <c r="DH81" i="3"/>
  <c r="DI81" i="3"/>
  <c r="DJ81" i="3"/>
  <c r="DK81" i="3"/>
  <c r="DL81" i="3"/>
  <c r="DM81" i="3"/>
  <c r="DN81" i="3"/>
  <c r="DO81" i="3"/>
  <c r="DP81" i="3"/>
  <c r="DQ81" i="3"/>
  <c r="DR81" i="3"/>
  <c r="DS81" i="3"/>
  <c r="DT81" i="3"/>
  <c r="DU81" i="3"/>
  <c r="DV81" i="3"/>
  <c r="DW81" i="3"/>
  <c r="DX81" i="3"/>
  <c r="DY81" i="3"/>
  <c r="DZ81" i="3"/>
  <c r="EA81" i="3"/>
  <c r="EB81" i="3"/>
  <c r="EC81" i="3"/>
  <c r="ED81" i="3"/>
  <c r="EE81" i="3"/>
  <c r="EF81" i="3"/>
  <c r="EG81" i="3"/>
  <c r="EI81" i="3"/>
  <c r="EJ81" i="3"/>
  <c r="EK81" i="3"/>
  <c r="EL81" i="3"/>
  <c r="EM81" i="3"/>
  <c r="EN81" i="3"/>
  <c r="EO81" i="3"/>
  <c r="EP81" i="3"/>
  <c r="EQ81" i="3"/>
  <c r="ER81" i="3"/>
  <c r="ES81" i="3"/>
  <c r="ET81" i="3"/>
  <c r="EU81" i="3"/>
  <c r="EV81" i="3"/>
  <c r="EW81" i="3"/>
  <c r="EX81" i="3"/>
  <c r="EY81" i="3"/>
  <c r="EZ81" i="3"/>
  <c r="FA81" i="3"/>
  <c r="FB81" i="3"/>
  <c r="FC81" i="3"/>
  <c r="FD81" i="3"/>
  <c r="FE81" i="3"/>
  <c r="FF81" i="3"/>
  <c r="FG81" i="3"/>
  <c r="FH81" i="3"/>
  <c r="FI81" i="3"/>
  <c r="FJ81" i="3"/>
  <c r="FK81" i="3"/>
  <c r="FL81" i="3"/>
  <c r="FM81" i="3"/>
  <c r="FN81" i="3"/>
  <c r="FO81" i="3"/>
  <c r="FP81" i="3"/>
  <c r="FQ81" i="3"/>
  <c r="FR81" i="3"/>
  <c r="FS81" i="3"/>
  <c r="FT81" i="3"/>
  <c r="FU81" i="3"/>
  <c r="FV81" i="3"/>
  <c r="FW81" i="3"/>
  <c r="FX81" i="3"/>
  <c r="FY81" i="3"/>
  <c r="FZ81" i="3"/>
  <c r="GA81" i="3"/>
  <c r="GB81" i="3"/>
  <c r="GC81" i="3"/>
  <c r="GD81" i="3"/>
  <c r="GE81" i="3"/>
  <c r="GF81" i="3"/>
  <c r="GG81" i="3"/>
  <c r="GH81" i="3"/>
  <c r="GI81" i="3"/>
  <c r="GJ81" i="3"/>
  <c r="GK81" i="3"/>
  <c r="GL81" i="3"/>
  <c r="GM81" i="3"/>
  <c r="GN81" i="3"/>
  <c r="GO81" i="3"/>
  <c r="GP81" i="3"/>
  <c r="GQ81" i="3"/>
  <c r="GR81" i="3"/>
  <c r="GS81" i="3"/>
  <c r="GT81" i="3"/>
  <c r="GU81" i="3"/>
  <c r="GV81" i="3"/>
  <c r="GW81" i="3"/>
  <c r="GX81" i="3"/>
  <c r="GY81" i="3"/>
  <c r="GZ81" i="3"/>
  <c r="HA81" i="3"/>
  <c r="HB81" i="3"/>
  <c r="HC81" i="3"/>
  <c r="HD81" i="3"/>
  <c r="HE81" i="3"/>
  <c r="HF81" i="3"/>
  <c r="HG81" i="3"/>
  <c r="HH81" i="3"/>
  <c r="HI81" i="3"/>
  <c r="HJ81" i="3"/>
  <c r="HK81" i="3"/>
  <c r="HL81" i="3"/>
  <c r="HM81" i="3"/>
  <c r="HN81" i="3"/>
  <c r="HO81" i="3"/>
  <c r="HP81" i="3"/>
  <c r="HQ81" i="3"/>
  <c r="HR81" i="3"/>
  <c r="HS81" i="3"/>
  <c r="HT81" i="3"/>
  <c r="HU81" i="3"/>
  <c r="HV81" i="3"/>
  <c r="HW81" i="3"/>
  <c r="HX81" i="3"/>
  <c r="HY81" i="3"/>
  <c r="HZ81" i="3"/>
  <c r="IA81" i="3"/>
  <c r="IB81" i="3"/>
  <c r="IC81" i="3"/>
  <c r="ID81" i="3"/>
  <c r="IE81" i="3"/>
  <c r="IF81" i="3"/>
  <c r="IG81" i="3"/>
  <c r="IH81" i="3"/>
  <c r="II81" i="3"/>
  <c r="IJ81" i="3"/>
  <c r="IK81" i="3"/>
  <c r="IL81" i="3"/>
  <c r="IM81" i="3"/>
  <c r="IN81" i="3"/>
  <c r="IO81" i="3"/>
  <c r="IP81" i="3"/>
  <c r="IQ81" i="3"/>
  <c r="IR81" i="3"/>
  <c r="IS81" i="3"/>
  <c r="IT81" i="3"/>
  <c r="IU81" i="3"/>
  <c r="IV81" i="3"/>
  <c r="IW81" i="3"/>
  <c r="IX81" i="3"/>
  <c r="IY81" i="3"/>
  <c r="IZ81" i="3"/>
  <c r="JA81" i="3"/>
  <c r="JB81" i="3"/>
  <c r="JC81" i="3"/>
  <c r="JD81" i="3"/>
  <c r="JE81" i="3"/>
  <c r="JF81" i="3"/>
  <c r="JG81" i="3"/>
  <c r="JH81" i="3"/>
  <c r="JI81" i="3"/>
  <c r="JJ81" i="3"/>
  <c r="JK81" i="3"/>
  <c r="JL81" i="3"/>
  <c r="JM81" i="3"/>
  <c r="A82" i="3"/>
  <c r="B82" i="3"/>
  <c r="C82" i="3" s="1"/>
  <c r="D82" i="3"/>
  <c r="E82" i="3"/>
  <c r="F82" i="3"/>
  <c r="G82" i="3"/>
  <c r="H82" i="3"/>
  <c r="I82" i="3"/>
  <c r="J82" i="3"/>
  <c r="K82" i="3"/>
  <c r="L82" i="3"/>
  <c r="M82" i="3"/>
  <c r="N82" i="3"/>
  <c r="O82" i="3"/>
  <c r="P82" i="3"/>
  <c r="Q82" i="3"/>
  <c r="R82" i="3"/>
  <c r="S82" i="3"/>
  <c r="T82" i="3"/>
  <c r="U82" i="3"/>
  <c r="V82" i="3"/>
  <c r="W82" i="3"/>
  <c r="X82" i="3"/>
  <c r="Y82" i="3"/>
  <c r="Z82" i="3"/>
  <c r="AA82" i="3"/>
  <c r="AB82" i="3"/>
  <c r="AC82" i="3"/>
  <c r="AD82" i="3"/>
  <c r="AE82" i="3"/>
  <c r="AF82" i="3"/>
  <c r="AG82" i="3"/>
  <c r="AH82" i="3"/>
  <c r="AI82" i="3"/>
  <c r="AJ82" i="3"/>
  <c r="AK82" i="3"/>
  <c r="AL82" i="3"/>
  <c r="AM82" i="3"/>
  <c r="AN82" i="3"/>
  <c r="AO82" i="3"/>
  <c r="AP82" i="3"/>
  <c r="AQ82" i="3"/>
  <c r="AR82" i="3"/>
  <c r="AS82" i="3"/>
  <c r="AT82" i="3"/>
  <c r="AU82" i="3"/>
  <c r="AV82" i="3"/>
  <c r="AW82" i="3"/>
  <c r="AX82" i="3"/>
  <c r="AY82" i="3"/>
  <c r="AZ82" i="3"/>
  <c r="BA82" i="3"/>
  <c r="BB82" i="3"/>
  <c r="BC82" i="3"/>
  <c r="BD82" i="3"/>
  <c r="BE82" i="3"/>
  <c r="BF82" i="3"/>
  <c r="BG82" i="3"/>
  <c r="BH82" i="3"/>
  <c r="BI82" i="3"/>
  <c r="BJ82" i="3"/>
  <c r="BK82" i="3"/>
  <c r="BL82" i="3"/>
  <c r="BM82" i="3"/>
  <c r="BN82" i="3"/>
  <c r="BO82" i="3"/>
  <c r="BP82" i="3"/>
  <c r="BQ82" i="3"/>
  <c r="BR82" i="3"/>
  <c r="BS82" i="3"/>
  <c r="BT82" i="3"/>
  <c r="BU82" i="3"/>
  <c r="BV82" i="3"/>
  <c r="BW82" i="3"/>
  <c r="BX82" i="3"/>
  <c r="BY82" i="3"/>
  <c r="BZ82" i="3"/>
  <c r="CA82" i="3"/>
  <c r="CB82" i="3"/>
  <c r="CC82" i="3"/>
  <c r="CD82" i="3"/>
  <c r="CE82" i="3"/>
  <c r="CF82" i="3"/>
  <c r="CG82" i="3"/>
  <c r="CH82" i="3"/>
  <c r="CI82" i="3"/>
  <c r="CJ82" i="3"/>
  <c r="CK82" i="3"/>
  <c r="CL82" i="3"/>
  <c r="CM82" i="3"/>
  <c r="CN82" i="3"/>
  <c r="CO82" i="3"/>
  <c r="CP82" i="3"/>
  <c r="CQ82" i="3"/>
  <c r="CR82" i="3"/>
  <c r="CS82" i="3"/>
  <c r="CT82" i="3"/>
  <c r="CU82" i="3"/>
  <c r="CV82" i="3"/>
  <c r="CW82" i="3"/>
  <c r="CX82" i="3"/>
  <c r="CY82" i="3"/>
  <c r="CZ82" i="3"/>
  <c r="DA82" i="3"/>
  <c r="DB82" i="3"/>
  <c r="DC82" i="3"/>
  <c r="DD82" i="3"/>
  <c r="DE82" i="3"/>
  <c r="DF82" i="3"/>
  <c r="DG82" i="3"/>
  <c r="DH82" i="3"/>
  <c r="DI82" i="3"/>
  <c r="DJ82" i="3"/>
  <c r="DK82" i="3"/>
  <c r="DL82" i="3"/>
  <c r="DM82" i="3"/>
  <c r="DN82" i="3"/>
  <c r="DO82" i="3"/>
  <c r="DP82" i="3"/>
  <c r="DQ82" i="3"/>
  <c r="DR82" i="3"/>
  <c r="DS82" i="3"/>
  <c r="DT82" i="3"/>
  <c r="DU82" i="3"/>
  <c r="DV82" i="3"/>
  <c r="DW82" i="3"/>
  <c r="DX82" i="3"/>
  <c r="DY82" i="3"/>
  <c r="DZ82" i="3"/>
  <c r="EA82" i="3"/>
  <c r="EB82" i="3"/>
  <c r="EC82" i="3"/>
  <c r="ED82" i="3"/>
  <c r="EE82" i="3"/>
  <c r="EF82" i="3"/>
  <c r="EG82" i="3"/>
  <c r="EI82" i="3"/>
  <c r="EJ82" i="3"/>
  <c r="EK82" i="3"/>
  <c r="EL82" i="3"/>
  <c r="EM82" i="3"/>
  <c r="EN82" i="3"/>
  <c r="EO82" i="3"/>
  <c r="EP82" i="3"/>
  <c r="EQ82" i="3"/>
  <c r="ER82" i="3"/>
  <c r="ES82" i="3"/>
  <c r="ET82" i="3"/>
  <c r="EU82" i="3"/>
  <c r="EV82" i="3"/>
  <c r="EW82" i="3"/>
  <c r="EX82" i="3"/>
  <c r="EY82" i="3"/>
  <c r="EZ82" i="3"/>
  <c r="FA82" i="3"/>
  <c r="FB82" i="3"/>
  <c r="FC82" i="3"/>
  <c r="FD82" i="3"/>
  <c r="FE82" i="3"/>
  <c r="FF82" i="3"/>
  <c r="FG82" i="3"/>
  <c r="FH82" i="3"/>
  <c r="FI82" i="3"/>
  <c r="FJ82" i="3"/>
  <c r="FK82" i="3"/>
  <c r="FL82" i="3"/>
  <c r="FM82" i="3"/>
  <c r="FN82" i="3"/>
  <c r="FO82" i="3"/>
  <c r="FP82" i="3"/>
  <c r="FQ82" i="3"/>
  <c r="FR82" i="3"/>
  <c r="FS82" i="3"/>
  <c r="FT82" i="3"/>
  <c r="FU82" i="3"/>
  <c r="FV82" i="3"/>
  <c r="FW82" i="3"/>
  <c r="FX82" i="3"/>
  <c r="FY82" i="3"/>
  <c r="FZ82" i="3"/>
  <c r="GA82" i="3"/>
  <c r="GB82" i="3"/>
  <c r="GC82" i="3"/>
  <c r="GD82" i="3"/>
  <c r="GE82" i="3"/>
  <c r="GF82" i="3"/>
  <c r="GG82" i="3"/>
  <c r="GH82" i="3"/>
  <c r="GI82" i="3"/>
  <c r="GJ82" i="3"/>
  <c r="GK82" i="3"/>
  <c r="GL82" i="3"/>
  <c r="GM82" i="3"/>
  <c r="GN82" i="3"/>
  <c r="GO82" i="3"/>
  <c r="GP82" i="3"/>
  <c r="GQ82" i="3"/>
  <c r="GR82" i="3"/>
  <c r="GS82" i="3"/>
  <c r="GT82" i="3"/>
  <c r="GU82" i="3"/>
  <c r="GV82" i="3"/>
  <c r="GW82" i="3"/>
  <c r="GX82" i="3"/>
  <c r="GY82" i="3"/>
  <c r="GZ82" i="3"/>
  <c r="HA82" i="3"/>
  <c r="HB82" i="3"/>
  <c r="HC82" i="3"/>
  <c r="HD82" i="3"/>
  <c r="HE82" i="3"/>
  <c r="HF82" i="3"/>
  <c r="HG82" i="3"/>
  <c r="HH82" i="3"/>
  <c r="HI82" i="3"/>
  <c r="HJ82" i="3"/>
  <c r="HK82" i="3"/>
  <c r="HL82" i="3"/>
  <c r="HM82" i="3"/>
  <c r="HN82" i="3"/>
  <c r="HO82" i="3"/>
  <c r="HP82" i="3"/>
  <c r="HQ82" i="3"/>
  <c r="HR82" i="3"/>
  <c r="HS82" i="3"/>
  <c r="HT82" i="3"/>
  <c r="HU82" i="3"/>
  <c r="HV82" i="3"/>
  <c r="HW82" i="3"/>
  <c r="HX82" i="3"/>
  <c r="HY82" i="3"/>
  <c r="HZ82" i="3"/>
  <c r="IA82" i="3"/>
  <c r="IB82" i="3"/>
  <c r="IC82" i="3"/>
  <c r="ID82" i="3"/>
  <c r="IE82" i="3"/>
  <c r="IF82" i="3"/>
  <c r="IG82" i="3"/>
  <c r="IH82" i="3"/>
  <c r="II82" i="3"/>
  <c r="IJ82" i="3"/>
  <c r="IK82" i="3"/>
  <c r="IL82" i="3"/>
  <c r="IM82" i="3"/>
  <c r="IN82" i="3"/>
  <c r="IO82" i="3"/>
  <c r="IP82" i="3"/>
  <c r="IQ82" i="3"/>
  <c r="IR82" i="3"/>
  <c r="IS82" i="3"/>
  <c r="IT82" i="3"/>
  <c r="IU82" i="3"/>
  <c r="IV82" i="3"/>
  <c r="IW82" i="3"/>
  <c r="IX82" i="3"/>
  <c r="IY82" i="3"/>
  <c r="IZ82" i="3"/>
  <c r="JA82" i="3"/>
  <c r="JB82" i="3"/>
  <c r="JC82" i="3"/>
  <c r="JD82" i="3"/>
  <c r="JE82" i="3"/>
  <c r="JF82" i="3"/>
  <c r="JG82" i="3"/>
  <c r="JH82" i="3"/>
  <c r="JI82" i="3"/>
  <c r="JJ82" i="3"/>
  <c r="JK82" i="3"/>
  <c r="JL82" i="3"/>
  <c r="JM82" i="3"/>
  <c r="A83" i="3"/>
  <c r="B83" i="3"/>
  <c r="C83" i="3"/>
  <c r="D83" i="3"/>
  <c r="E83" i="3"/>
  <c r="F83" i="3"/>
  <c r="G83" i="3"/>
  <c r="H83" i="3"/>
  <c r="I83" i="3"/>
  <c r="J83" i="3"/>
  <c r="K83" i="3"/>
  <c r="L83" i="3"/>
  <c r="M83" i="3"/>
  <c r="N83" i="3"/>
  <c r="O83" i="3"/>
  <c r="P83" i="3"/>
  <c r="Q83" i="3"/>
  <c r="R83" i="3"/>
  <c r="S83" i="3"/>
  <c r="T83" i="3"/>
  <c r="U83" i="3"/>
  <c r="V83" i="3"/>
  <c r="W83" i="3"/>
  <c r="X83" i="3"/>
  <c r="Y83" i="3"/>
  <c r="Z83" i="3"/>
  <c r="AA83" i="3"/>
  <c r="AB83" i="3"/>
  <c r="AC83" i="3"/>
  <c r="AD83" i="3"/>
  <c r="AE83" i="3"/>
  <c r="AF83" i="3"/>
  <c r="AG83" i="3"/>
  <c r="AH83" i="3"/>
  <c r="AI83" i="3"/>
  <c r="AJ83" i="3"/>
  <c r="AK83" i="3"/>
  <c r="AL83" i="3"/>
  <c r="AM83" i="3"/>
  <c r="AN83" i="3"/>
  <c r="AO83" i="3"/>
  <c r="AP83" i="3"/>
  <c r="AQ83" i="3"/>
  <c r="AR83" i="3"/>
  <c r="AS83" i="3"/>
  <c r="AT83" i="3"/>
  <c r="AU83" i="3"/>
  <c r="AV83" i="3"/>
  <c r="AW83" i="3"/>
  <c r="AX83" i="3"/>
  <c r="AY83" i="3"/>
  <c r="AZ83" i="3"/>
  <c r="BA83" i="3"/>
  <c r="BB83" i="3"/>
  <c r="BC83" i="3"/>
  <c r="BD83" i="3"/>
  <c r="BE83" i="3"/>
  <c r="BF83" i="3"/>
  <c r="BG83" i="3"/>
  <c r="BH83" i="3"/>
  <c r="BI83" i="3"/>
  <c r="BJ83" i="3"/>
  <c r="BK83" i="3"/>
  <c r="BL83" i="3"/>
  <c r="BM83" i="3"/>
  <c r="BN83" i="3"/>
  <c r="BO83" i="3"/>
  <c r="BP83" i="3"/>
  <c r="BQ83" i="3"/>
  <c r="BR83" i="3"/>
  <c r="BS83" i="3"/>
  <c r="BT83" i="3"/>
  <c r="BU83" i="3"/>
  <c r="BV83" i="3"/>
  <c r="BW83" i="3"/>
  <c r="BX83" i="3"/>
  <c r="BY83" i="3"/>
  <c r="BZ83" i="3"/>
  <c r="CA83" i="3"/>
  <c r="CB83" i="3"/>
  <c r="CC83" i="3"/>
  <c r="CD83" i="3"/>
  <c r="CE83" i="3"/>
  <c r="CF83" i="3"/>
  <c r="CG83" i="3"/>
  <c r="CH83" i="3"/>
  <c r="CI83" i="3"/>
  <c r="CJ83" i="3"/>
  <c r="CK83" i="3"/>
  <c r="CL83" i="3"/>
  <c r="CM83" i="3"/>
  <c r="CN83" i="3"/>
  <c r="CO83" i="3"/>
  <c r="CP83" i="3"/>
  <c r="CQ83" i="3"/>
  <c r="CR83" i="3"/>
  <c r="CS83" i="3"/>
  <c r="CT83" i="3"/>
  <c r="CU83" i="3"/>
  <c r="CV83" i="3"/>
  <c r="CW83" i="3"/>
  <c r="CX83" i="3"/>
  <c r="CY83" i="3"/>
  <c r="CZ83" i="3"/>
  <c r="DA83" i="3"/>
  <c r="DB83" i="3"/>
  <c r="DC83" i="3"/>
  <c r="DD83" i="3"/>
  <c r="DE83" i="3"/>
  <c r="DF83" i="3"/>
  <c r="DG83" i="3"/>
  <c r="DH83" i="3"/>
  <c r="DI83" i="3"/>
  <c r="DJ83" i="3"/>
  <c r="DK83" i="3"/>
  <c r="DL83" i="3"/>
  <c r="DM83" i="3"/>
  <c r="DN83" i="3"/>
  <c r="DO83" i="3"/>
  <c r="DP83" i="3"/>
  <c r="DQ83" i="3"/>
  <c r="DR83" i="3"/>
  <c r="DS83" i="3"/>
  <c r="DT83" i="3"/>
  <c r="DU83" i="3"/>
  <c r="DV83" i="3"/>
  <c r="DW83" i="3"/>
  <c r="DX83" i="3"/>
  <c r="DY83" i="3"/>
  <c r="DZ83" i="3"/>
  <c r="EA83" i="3"/>
  <c r="EB83" i="3"/>
  <c r="EC83" i="3"/>
  <c r="ED83" i="3"/>
  <c r="EE83" i="3"/>
  <c r="EF83" i="3"/>
  <c r="EG83" i="3"/>
  <c r="EI83" i="3"/>
  <c r="EJ83" i="3"/>
  <c r="EK83" i="3"/>
  <c r="EL83" i="3"/>
  <c r="EM83" i="3"/>
  <c r="EN83" i="3"/>
  <c r="EO83" i="3"/>
  <c r="EP83" i="3"/>
  <c r="EQ83" i="3"/>
  <c r="ER83" i="3"/>
  <c r="ES83" i="3"/>
  <c r="ET83" i="3"/>
  <c r="EU83" i="3"/>
  <c r="EV83" i="3"/>
  <c r="EW83" i="3"/>
  <c r="EX83" i="3"/>
  <c r="EY83" i="3"/>
  <c r="EZ83" i="3"/>
  <c r="FA83" i="3"/>
  <c r="FB83" i="3"/>
  <c r="FC83" i="3"/>
  <c r="FD83" i="3"/>
  <c r="FE83" i="3"/>
  <c r="FF83" i="3"/>
  <c r="FG83" i="3"/>
  <c r="FH83" i="3"/>
  <c r="FI83" i="3"/>
  <c r="FJ83" i="3"/>
  <c r="FK83" i="3"/>
  <c r="FL83" i="3"/>
  <c r="FM83" i="3"/>
  <c r="FN83" i="3"/>
  <c r="FO83" i="3"/>
  <c r="FP83" i="3"/>
  <c r="FQ83" i="3"/>
  <c r="FR83" i="3"/>
  <c r="FS83" i="3"/>
  <c r="FT83" i="3"/>
  <c r="FU83" i="3"/>
  <c r="FV83" i="3"/>
  <c r="FW83" i="3"/>
  <c r="FX83" i="3"/>
  <c r="FY83" i="3"/>
  <c r="FZ83" i="3"/>
  <c r="GA83" i="3"/>
  <c r="GB83" i="3"/>
  <c r="GC83" i="3"/>
  <c r="GD83" i="3"/>
  <c r="GE83" i="3"/>
  <c r="GF83" i="3"/>
  <c r="GG83" i="3"/>
  <c r="GH83" i="3"/>
  <c r="GI83" i="3"/>
  <c r="GJ83" i="3"/>
  <c r="GK83" i="3"/>
  <c r="GL83" i="3"/>
  <c r="GM83" i="3"/>
  <c r="GN83" i="3"/>
  <c r="GO83" i="3"/>
  <c r="GP83" i="3"/>
  <c r="GQ83" i="3"/>
  <c r="GR83" i="3"/>
  <c r="GS83" i="3"/>
  <c r="GT83" i="3"/>
  <c r="GU83" i="3"/>
  <c r="GV83" i="3"/>
  <c r="GW83" i="3"/>
  <c r="GX83" i="3"/>
  <c r="GY83" i="3"/>
  <c r="GZ83" i="3"/>
  <c r="HA83" i="3"/>
  <c r="HB83" i="3"/>
  <c r="HC83" i="3"/>
  <c r="HD83" i="3"/>
  <c r="HE83" i="3"/>
  <c r="HF83" i="3"/>
  <c r="HG83" i="3"/>
  <c r="HH83" i="3"/>
  <c r="HI83" i="3"/>
  <c r="HJ83" i="3"/>
  <c r="HK83" i="3"/>
  <c r="HL83" i="3"/>
  <c r="HM83" i="3"/>
  <c r="HN83" i="3"/>
  <c r="HO83" i="3"/>
  <c r="HP83" i="3"/>
  <c r="HQ83" i="3"/>
  <c r="HR83" i="3"/>
  <c r="HS83" i="3"/>
  <c r="HT83" i="3"/>
  <c r="HU83" i="3"/>
  <c r="HV83" i="3"/>
  <c r="HW83" i="3"/>
  <c r="HX83" i="3"/>
  <c r="HY83" i="3"/>
  <c r="HZ83" i="3"/>
  <c r="IA83" i="3"/>
  <c r="IB83" i="3"/>
  <c r="IC83" i="3"/>
  <c r="ID83" i="3"/>
  <c r="IE83" i="3"/>
  <c r="IF83" i="3"/>
  <c r="IG83" i="3"/>
  <c r="IH83" i="3"/>
  <c r="II83" i="3"/>
  <c r="IJ83" i="3"/>
  <c r="IK83" i="3"/>
  <c r="IL83" i="3"/>
  <c r="IM83" i="3"/>
  <c r="IN83" i="3"/>
  <c r="IO83" i="3"/>
  <c r="IP83" i="3"/>
  <c r="IQ83" i="3"/>
  <c r="IR83" i="3"/>
  <c r="IS83" i="3"/>
  <c r="IT83" i="3"/>
  <c r="IU83" i="3"/>
  <c r="IV83" i="3"/>
  <c r="IW83" i="3"/>
  <c r="IX83" i="3"/>
  <c r="IY83" i="3"/>
  <c r="IZ83" i="3"/>
  <c r="JA83" i="3"/>
  <c r="JB83" i="3"/>
  <c r="JC83" i="3"/>
  <c r="JD83" i="3"/>
  <c r="JE83" i="3"/>
  <c r="JF83" i="3"/>
  <c r="JG83" i="3"/>
  <c r="JH83" i="3"/>
  <c r="JI83" i="3"/>
  <c r="JJ83" i="3"/>
  <c r="JK83" i="3"/>
  <c r="JL83" i="3"/>
  <c r="JM83" i="3"/>
  <c r="A84" i="3"/>
  <c r="B84" i="3"/>
  <c r="C84" i="3"/>
  <c r="D84" i="3"/>
  <c r="E84" i="3"/>
  <c r="F84" i="3"/>
  <c r="G84" i="3"/>
  <c r="H84" i="3"/>
  <c r="I84" i="3"/>
  <c r="J84" i="3"/>
  <c r="K84" i="3"/>
  <c r="L84" i="3"/>
  <c r="M84" i="3"/>
  <c r="N84" i="3"/>
  <c r="O84" i="3"/>
  <c r="P84" i="3"/>
  <c r="Q84" i="3"/>
  <c r="R84" i="3"/>
  <c r="S84" i="3"/>
  <c r="T84" i="3"/>
  <c r="U84" i="3"/>
  <c r="V84" i="3"/>
  <c r="W84" i="3"/>
  <c r="X84" i="3"/>
  <c r="Y84" i="3"/>
  <c r="Z84" i="3"/>
  <c r="AA84" i="3"/>
  <c r="AB84" i="3"/>
  <c r="AC84" i="3"/>
  <c r="AD84" i="3"/>
  <c r="AE84" i="3"/>
  <c r="AF84" i="3"/>
  <c r="AG84" i="3"/>
  <c r="AH84" i="3"/>
  <c r="AI84" i="3"/>
  <c r="AJ84" i="3"/>
  <c r="AK84" i="3"/>
  <c r="AL84" i="3"/>
  <c r="AM84" i="3"/>
  <c r="AN84" i="3"/>
  <c r="AO84" i="3"/>
  <c r="AP84" i="3"/>
  <c r="AQ84" i="3"/>
  <c r="AR84" i="3"/>
  <c r="AS84" i="3"/>
  <c r="AT84" i="3"/>
  <c r="AU84" i="3"/>
  <c r="AV84" i="3"/>
  <c r="AW84" i="3"/>
  <c r="AX84" i="3"/>
  <c r="AY84" i="3"/>
  <c r="AZ84" i="3"/>
  <c r="BA84" i="3"/>
  <c r="BB84" i="3"/>
  <c r="BC84" i="3"/>
  <c r="BD84" i="3"/>
  <c r="BE84" i="3"/>
  <c r="BF84" i="3"/>
  <c r="BG84" i="3"/>
  <c r="BH84" i="3"/>
  <c r="BI84" i="3"/>
  <c r="BJ84" i="3"/>
  <c r="BK84" i="3"/>
  <c r="BL84" i="3"/>
  <c r="BM84" i="3"/>
  <c r="BN84" i="3"/>
  <c r="BO84" i="3"/>
  <c r="BP84" i="3"/>
  <c r="BQ84" i="3"/>
  <c r="BR84" i="3"/>
  <c r="BS84" i="3"/>
  <c r="BT84" i="3"/>
  <c r="BU84" i="3"/>
  <c r="BV84" i="3"/>
  <c r="BW84" i="3"/>
  <c r="BX84" i="3"/>
  <c r="BY84" i="3"/>
  <c r="BZ84" i="3"/>
  <c r="CA84" i="3"/>
  <c r="CB84" i="3"/>
  <c r="CC84" i="3"/>
  <c r="CD84" i="3"/>
  <c r="CE84" i="3"/>
  <c r="CF84" i="3"/>
  <c r="CG84" i="3"/>
  <c r="CH84" i="3"/>
  <c r="CI84" i="3"/>
  <c r="CJ84" i="3"/>
  <c r="CK84" i="3"/>
  <c r="CL84" i="3"/>
  <c r="CM84" i="3"/>
  <c r="CN84" i="3"/>
  <c r="CO84" i="3"/>
  <c r="CP84" i="3"/>
  <c r="CQ84" i="3"/>
  <c r="CR84" i="3"/>
  <c r="CS84" i="3"/>
  <c r="CT84" i="3"/>
  <c r="CU84" i="3"/>
  <c r="CV84" i="3"/>
  <c r="CW84" i="3"/>
  <c r="CX84" i="3"/>
  <c r="CY84" i="3"/>
  <c r="CZ84" i="3"/>
  <c r="DA84" i="3"/>
  <c r="DB84" i="3"/>
  <c r="DC84" i="3"/>
  <c r="DD84" i="3"/>
  <c r="DE84" i="3"/>
  <c r="DF84" i="3"/>
  <c r="DG84" i="3"/>
  <c r="DH84" i="3"/>
  <c r="DI84" i="3"/>
  <c r="DJ84" i="3"/>
  <c r="DK84" i="3"/>
  <c r="DL84" i="3"/>
  <c r="DM84" i="3"/>
  <c r="DN84" i="3"/>
  <c r="DO84" i="3"/>
  <c r="DP84" i="3"/>
  <c r="DQ84" i="3"/>
  <c r="DR84" i="3"/>
  <c r="DS84" i="3"/>
  <c r="DT84" i="3"/>
  <c r="DU84" i="3"/>
  <c r="DV84" i="3"/>
  <c r="DW84" i="3"/>
  <c r="DX84" i="3"/>
  <c r="DY84" i="3"/>
  <c r="DZ84" i="3"/>
  <c r="EA84" i="3"/>
  <c r="EB84" i="3"/>
  <c r="EC84" i="3"/>
  <c r="ED84" i="3"/>
  <c r="EE84" i="3"/>
  <c r="EF84" i="3"/>
  <c r="EG84" i="3"/>
  <c r="EI84" i="3"/>
  <c r="EJ84" i="3"/>
  <c r="EK84" i="3"/>
  <c r="EL84" i="3"/>
  <c r="EM84" i="3"/>
  <c r="EN84" i="3"/>
  <c r="EO84" i="3"/>
  <c r="EP84" i="3"/>
  <c r="EQ84" i="3"/>
  <c r="ER84" i="3"/>
  <c r="ES84" i="3"/>
  <c r="ET84" i="3"/>
  <c r="EU84" i="3"/>
  <c r="EV84" i="3"/>
  <c r="EW84" i="3"/>
  <c r="EX84" i="3"/>
  <c r="EY84" i="3"/>
  <c r="EZ84" i="3"/>
  <c r="FA84" i="3"/>
  <c r="FB84" i="3"/>
  <c r="FC84" i="3"/>
  <c r="FD84" i="3"/>
  <c r="FE84" i="3"/>
  <c r="FF84" i="3"/>
  <c r="FG84" i="3"/>
  <c r="FH84" i="3"/>
  <c r="FI84" i="3"/>
  <c r="FJ84" i="3"/>
  <c r="FK84" i="3"/>
  <c r="FL84" i="3"/>
  <c r="FM84" i="3"/>
  <c r="FN84" i="3"/>
  <c r="FO84" i="3"/>
  <c r="FP84" i="3"/>
  <c r="FQ84" i="3"/>
  <c r="FR84" i="3"/>
  <c r="FS84" i="3"/>
  <c r="FT84" i="3"/>
  <c r="FU84" i="3"/>
  <c r="FV84" i="3"/>
  <c r="FW84" i="3"/>
  <c r="FX84" i="3"/>
  <c r="FY84" i="3"/>
  <c r="FZ84" i="3"/>
  <c r="GA84" i="3"/>
  <c r="GB84" i="3"/>
  <c r="GC84" i="3"/>
  <c r="GD84" i="3"/>
  <c r="GE84" i="3"/>
  <c r="GF84" i="3"/>
  <c r="GG84" i="3"/>
  <c r="GH84" i="3"/>
  <c r="GI84" i="3"/>
  <c r="GJ84" i="3"/>
  <c r="GK84" i="3"/>
  <c r="GL84" i="3"/>
  <c r="GM84" i="3"/>
  <c r="GN84" i="3"/>
  <c r="GO84" i="3"/>
  <c r="GP84" i="3"/>
  <c r="GQ84" i="3"/>
  <c r="GR84" i="3"/>
  <c r="GS84" i="3"/>
  <c r="GT84" i="3"/>
  <c r="GU84" i="3"/>
  <c r="GV84" i="3"/>
  <c r="GW84" i="3"/>
  <c r="GX84" i="3"/>
  <c r="GY84" i="3"/>
  <c r="GZ84" i="3"/>
  <c r="HA84" i="3"/>
  <c r="HB84" i="3"/>
  <c r="HC84" i="3"/>
  <c r="HD84" i="3"/>
  <c r="HE84" i="3"/>
  <c r="HF84" i="3"/>
  <c r="HG84" i="3"/>
  <c r="HH84" i="3"/>
  <c r="HI84" i="3"/>
  <c r="HJ84" i="3"/>
  <c r="HK84" i="3"/>
  <c r="HL84" i="3"/>
  <c r="HM84" i="3"/>
  <c r="HN84" i="3"/>
  <c r="HO84" i="3"/>
  <c r="HP84" i="3"/>
  <c r="HQ84" i="3"/>
  <c r="HR84" i="3"/>
  <c r="HS84" i="3"/>
  <c r="HT84" i="3"/>
  <c r="HU84" i="3"/>
  <c r="HV84" i="3"/>
  <c r="HW84" i="3"/>
  <c r="HX84" i="3"/>
  <c r="HY84" i="3"/>
  <c r="HZ84" i="3"/>
  <c r="IA84" i="3"/>
  <c r="IB84" i="3"/>
  <c r="IC84" i="3"/>
  <c r="ID84" i="3"/>
  <c r="IE84" i="3"/>
  <c r="IF84" i="3"/>
  <c r="IG84" i="3"/>
  <c r="IH84" i="3"/>
  <c r="II84" i="3"/>
  <c r="IJ84" i="3"/>
  <c r="IK84" i="3"/>
  <c r="IL84" i="3"/>
  <c r="IM84" i="3"/>
  <c r="IN84" i="3"/>
  <c r="IO84" i="3"/>
  <c r="IP84" i="3"/>
  <c r="IQ84" i="3"/>
  <c r="IR84" i="3"/>
  <c r="IS84" i="3"/>
  <c r="IT84" i="3"/>
  <c r="IU84" i="3"/>
  <c r="IV84" i="3"/>
  <c r="IW84" i="3"/>
  <c r="IX84" i="3"/>
  <c r="IY84" i="3"/>
  <c r="IZ84" i="3"/>
  <c r="JA84" i="3"/>
  <c r="JB84" i="3"/>
  <c r="JC84" i="3"/>
  <c r="JD84" i="3"/>
  <c r="JE84" i="3"/>
  <c r="JF84" i="3"/>
  <c r="JG84" i="3"/>
  <c r="JH84" i="3"/>
  <c r="JI84" i="3"/>
  <c r="JJ84" i="3"/>
  <c r="JK84" i="3"/>
  <c r="JL84" i="3"/>
  <c r="JM84" i="3"/>
  <c r="A85" i="3"/>
  <c r="B85" i="3"/>
  <c r="H85" i="3"/>
  <c r="I85" i="3"/>
  <c r="J85" i="3"/>
  <c r="K85" i="3"/>
  <c r="L85" i="3"/>
  <c r="M85" i="3"/>
  <c r="N85" i="3"/>
  <c r="O85" i="3"/>
  <c r="P85" i="3"/>
  <c r="Q85" i="3"/>
  <c r="R85" i="3"/>
  <c r="S85" i="3"/>
  <c r="T85" i="3"/>
  <c r="U85" i="3"/>
  <c r="V85" i="3"/>
  <c r="W85" i="3"/>
  <c r="X85" i="3"/>
  <c r="Y85" i="3"/>
  <c r="Z85" i="3"/>
  <c r="AA85" i="3"/>
  <c r="AB85" i="3"/>
  <c r="AC85" i="3"/>
  <c r="AD85" i="3"/>
  <c r="AE85" i="3"/>
  <c r="AF85" i="3"/>
  <c r="AG85" i="3"/>
  <c r="AH85" i="3"/>
  <c r="AI85" i="3"/>
  <c r="AJ85" i="3"/>
  <c r="AK85" i="3"/>
  <c r="AL85" i="3"/>
  <c r="AM85" i="3"/>
  <c r="AN85" i="3"/>
  <c r="AO85" i="3"/>
  <c r="AP85" i="3"/>
  <c r="AQ85" i="3"/>
  <c r="AR85" i="3"/>
  <c r="AS85" i="3"/>
  <c r="AT85" i="3"/>
  <c r="AU85" i="3"/>
  <c r="AV85" i="3"/>
  <c r="AW85" i="3"/>
  <c r="AX85" i="3"/>
  <c r="AY85" i="3"/>
  <c r="AZ85" i="3"/>
  <c r="BA85" i="3"/>
  <c r="BB85" i="3"/>
  <c r="BC85" i="3"/>
  <c r="BD85" i="3"/>
  <c r="BE85" i="3"/>
  <c r="BF85" i="3"/>
  <c r="BG85" i="3"/>
  <c r="BH85" i="3"/>
  <c r="BI85" i="3"/>
  <c r="BJ85" i="3"/>
  <c r="BK85" i="3"/>
  <c r="BL85" i="3"/>
  <c r="BM85" i="3"/>
  <c r="BN85" i="3"/>
  <c r="BO85" i="3"/>
  <c r="BP85" i="3"/>
  <c r="BQ85" i="3"/>
  <c r="BR85" i="3"/>
  <c r="BS85" i="3"/>
  <c r="BT85" i="3"/>
  <c r="BU85" i="3"/>
  <c r="BV85" i="3"/>
  <c r="BW85" i="3"/>
  <c r="BX85" i="3"/>
  <c r="BY85" i="3"/>
  <c r="BZ85" i="3"/>
  <c r="CA85" i="3"/>
  <c r="CB85" i="3"/>
  <c r="CC85" i="3"/>
  <c r="CD85" i="3"/>
  <c r="CE85" i="3"/>
  <c r="CF85" i="3"/>
  <c r="CG85" i="3"/>
  <c r="CH85" i="3"/>
  <c r="CI85" i="3"/>
  <c r="CJ85" i="3"/>
  <c r="CK85" i="3"/>
  <c r="CL85" i="3"/>
  <c r="CM85" i="3"/>
  <c r="CN85" i="3"/>
  <c r="CO85" i="3"/>
  <c r="CP85" i="3"/>
  <c r="CQ85" i="3"/>
  <c r="CR85" i="3"/>
  <c r="CS85" i="3"/>
  <c r="CT85" i="3"/>
  <c r="CU85" i="3"/>
  <c r="CV85" i="3"/>
  <c r="CW85" i="3"/>
  <c r="CX85" i="3"/>
  <c r="CY85" i="3"/>
  <c r="CZ85" i="3"/>
  <c r="DA85" i="3"/>
  <c r="DB85" i="3"/>
  <c r="DC85" i="3"/>
  <c r="DD85" i="3"/>
  <c r="DE85" i="3"/>
  <c r="DF85" i="3"/>
  <c r="DG85" i="3"/>
  <c r="DH85" i="3"/>
  <c r="DI85" i="3"/>
  <c r="DJ85" i="3"/>
  <c r="DK85" i="3"/>
  <c r="DL85" i="3"/>
  <c r="DM85" i="3"/>
  <c r="DN85" i="3"/>
  <c r="DO85" i="3"/>
  <c r="DP85" i="3"/>
  <c r="DQ85" i="3"/>
  <c r="DR85" i="3"/>
  <c r="DS85" i="3"/>
  <c r="DT85" i="3"/>
  <c r="DU85" i="3"/>
  <c r="DV85" i="3"/>
  <c r="DW85" i="3"/>
  <c r="DX85" i="3"/>
  <c r="DY85" i="3"/>
  <c r="DZ85" i="3"/>
  <c r="EA85" i="3"/>
  <c r="EB85" i="3"/>
  <c r="EC85" i="3"/>
  <c r="ED85" i="3"/>
  <c r="EE85" i="3"/>
  <c r="EF85" i="3"/>
  <c r="EG85" i="3"/>
  <c r="EI85" i="3"/>
  <c r="EJ85" i="3"/>
  <c r="EK85" i="3"/>
  <c r="EL85" i="3"/>
  <c r="EM85" i="3"/>
  <c r="EN85" i="3"/>
  <c r="EO85" i="3"/>
  <c r="EP85" i="3"/>
  <c r="EQ85" i="3"/>
  <c r="ER85" i="3"/>
  <c r="ES85" i="3"/>
  <c r="ET85" i="3"/>
  <c r="EU85" i="3"/>
  <c r="EV85" i="3"/>
  <c r="EW85" i="3"/>
  <c r="EX85" i="3"/>
  <c r="EY85" i="3"/>
  <c r="EZ85" i="3"/>
  <c r="FA85" i="3"/>
  <c r="FB85" i="3"/>
  <c r="FC85" i="3"/>
  <c r="FD85" i="3"/>
  <c r="FE85" i="3"/>
  <c r="FF85" i="3"/>
  <c r="FG85" i="3"/>
  <c r="FH85" i="3"/>
  <c r="FI85" i="3"/>
  <c r="FJ85" i="3"/>
  <c r="FK85" i="3"/>
  <c r="FL85" i="3"/>
  <c r="FM85" i="3"/>
  <c r="FN85" i="3"/>
  <c r="FO85" i="3"/>
  <c r="FP85" i="3"/>
  <c r="FQ85" i="3"/>
  <c r="FR85" i="3"/>
  <c r="FS85" i="3"/>
  <c r="FT85" i="3"/>
  <c r="FU85" i="3"/>
  <c r="FV85" i="3"/>
  <c r="FW85" i="3"/>
  <c r="FX85" i="3"/>
  <c r="FY85" i="3"/>
  <c r="FZ85" i="3"/>
  <c r="GA85" i="3"/>
  <c r="GB85" i="3"/>
  <c r="GC85" i="3"/>
  <c r="GD85" i="3"/>
  <c r="GE85" i="3"/>
  <c r="GF85" i="3"/>
  <c r="GG85" i="3"/>
  <c r="GH85" i="3"/>
  <c r="GI85" i="3"/>
  <c r="GJ85" i="3"/>
  <c r="GK85" i="3"/>
  <c r="GL85" i="3"/>
  <c r="GM85" i="3"/>
  <c r="GN85" i="3"/>
  <c r="GO85" i="3"/>
  <c r="GP85" i="3"/>
  <c r="GQ85" i="3"/>
  <c r="GR85" i="3"/>
  <c r="GS85" i="3"/>
  <c r="GT85" i="3"/>
  <c r="GU85" i="3"/>
  <c r="GV85" i="3"/>
  <c r="GW85" i="3"/>
  <c r="GX85" i="3"/>
  <c r="GY85" i="3"/>
  <c r="GZ85" i="3"/>
  <c r="HA85" i="3"/>
  <c r="HB85" i="3"/>
  <c r="HC85" i="3"/>
  <c r="HD85" i="3"/>
  <c r="HE85" i="3"/>
  <c r="HF85" i="3"/>
  <c r="HG85" i="3"/>
  <c r="HH85" i="3"/>
  <c r="HI85" i="3"/>
  <c r="HJ85" i="3"/>
  <c r="HK85" i="3"/>
  <c r="HL85" i="3"/>
  <c r="HM85" i="3"/>
  <c r="HN85" i="3"/>
  <c r="HO85" i="3"/>
  <c r="HP85" i="3"/>
  <c r="HQ85" i="3"/>
  <c r="HR85" i="3"/>
  <c r="HS85" i="3"/>
  <c r="HT85" i="3"/>
  <c r="HU85" i="3"/>
  <c r="HV85" i="3"/>
  <c r="HW85" i="3"/>
  <c r="HX85" i="3"/>
  <c r="HY85" i="3"/>
  <c r="HZ85" i="3"/>
  <c r="IA85" i="3"/>
  <c r="IB85" i="3"/>
  <c r="IC85" i="3"/>
  <c r="ID85" i="3"/>
  <c r="IE85" i="3"/>
  <c r="IF85" i="3"/>
  <c r="IG85" i="3"/>
  <c r="IH85" i="3"/>
  <c r="II85" i="3"/>
  <c r="IJ85" i="3"/>
  <c r="IK85" i="3"/>
  <c r="IL85" i="3"/>
  <c r="IM85" i="3"/>
  <c r="IN85" i="3"/>
  <c r="IO85" i="3"/>
  <c r="IP85" i="3"/>
  <c r="IQ85" i="3"/>
  <c r="IR85" i="3"/>
  <c r="IS85" i="3"/>
  <c r="IT85" i="3"/>
  <c r="IU85" i="3"/>
  <c r="IV85" i="3"/>
  <c r="IW85" i="3"/>
  <c r="IX85" i="3"/>
  <c r="IY85" i="3"/>
  <c r="IZ85" i="3"/>
  <c r="JA85" i="3"/>
  <c r="JB85" i="3"/>
  <c r="JC85" i="3"/>
  <c r="JD85" i="3"/>
  <c r="JE85" i="3"/>
  <c r="JF85" i="3"/>
  <c r="JG85" i="3"/>
  <c r="JH85" i="3"/>
  <c r="JI85" i="3"/>
  <c r="JJ85" i="3"/>
  <c r="JK85" i="3"/>
  <c r="JL85" i="3"/>
  <c r="JM85" i="3"/>
  <c r="A76" i="3"/>
  <c r="B76" i="3"/>
  <c r="E76" i="3"/>
  <c r="F76" i="3"/>
  <c r="G76" i="3"/>
  <c r="H76" i="3"/>
  <c r="I76" i="3"/>
  <c r="J76" i="3"/>
  <c r="K76" i="3"/>
  <c r="L76" i="3"/>
  <c r="M76" i="3"/>
  <c r="N76" i="3"/>
  <c r="O76" i="3"/>
  <c r="P76" i="3"/>
  <c r="Q76" i="3"/>
  <c r="R76" i="3"/>
  <c r="S76" i="3"/>
  <c r="T76" i="3"/>
  <c r="U76" i="3"/>
  <c r="V76" i="3"/>
  <c r="W76" i="3"/>
  <c r="X76" i="3"/>
  <c r="Y76" i="3"/>
  <c r="Z76" i="3"/>
  <c r="AA76" i="3"/>
  <c r="AB76" i="3"/>
  <c r="AC76" i="3"/>
  <c r="AD76" i="3"/>
  <c r="AE76" i="3"/>
  <c r="AF76" i="3"/>
  <c r="AG76" i="3"/>
  <c r="AH76" i="3"/>
  <c r="AI76" i="3"/>
  <c r="AJ76" i="3"/>
  <c r="AK76" i="3"/>
  <c r="AL76" i="3"/>
  <c r="AM76" i="3"/>
  <c r="AN76" i="3"/>
  <c r="AO76" i="3"/>
  <c r="AP76" i="3"/>
  <c r="AQ76" i="3"/>
  <c r="AR76" i="3"/>
  <c r="AS76" i="3"/>
  <c r="AT76" i="3"/>
  <c r="AU76" i="3"/>
  <c r="AV76" i="3"/>
  <c r="AW76" i="3"/>
  <c r="AX76" i="3"/>
  <c r="AY76" i="3"/>
  <c r="AZ76" i="3"/>
  <c r="BA76" i="3"/>
  <c r="BB76" i="3"/>
  <c r="BC76" i="3"/>
  <c r="BD76" i="3"/>
  <c r="BE76" i="3"/>
  <c r="BF76" i="3"/>
  <c r="BG76" i="3"/>
  <c r="BH76" i="3"/>
  <c r="BI76" i="3"/>
  <c r="BJ76" i="3"/>
  <c r="BK76" i="3"/>
  <c r="BL76" i="3"/>
  <c r="BM76" i="3"/>
  <c r="BN76" i="3"/>
  <c r="BO76" i="3"/>
  <c r="BP76" i="3"/>
  <c r="BQ76" i="3"/>
  <c r="BR76" i="3"/>
  <c r="BS76" i="3"/>
  <c r="BT76" i="3"/>
  <c r="BU76" i="3"/>
  <c r="BV76" i="3"/>
  <c r="BW76" i="3"/>
  <c r="BX76" i="3"/>
  <c r="BY76" i="3"/>
  <c r="BZ76" i="3"/>
  <c r="CA76" i="3"/>
  <c r="CB76" i="3"/>
  <c r="CC76" i="3"/>
  <c r="CD76" i="3"/>
  <c r="CE76" i="3"/>
  <c r="CF76" i="3"/>
  <c r="CG76" i="3"/>
  <c r="CH76" i="3"/>
  <c r="CI76" i="3"/>
  <c r="CJ76" i="3"/>
  <c r="CK76" i="3"/>
  <c r="CL76" i="3"/>
  <c r="CM76" i="3"/>
  <c r="CN76" i="3"/>
  <c r="CO76" i="3"/>
  <c r="CP76" i="3"/>
  <c r="CQ76" i="3"/>
  <c r="CR76" i="3"/>
  <c r="CS76" i="3"/>
  <c r="CT76" i="3"/>
  <c r="CU76" i="3"/>
  <c r="CV76" i="3"/>
  <c r="CW76" i="3"/>
  <c r="CX76" i="3"/>
  <c r="CY76" i="3"/>
  <c r="CZ76" i="3"/>
  <c r="DA76" i="3"/>
  <c r="DB76" i="3"/>
  <c r="DC76" i="3"/>
  <c r="DD76" i="3"/>
  <c r="DE76" i="3"/>
  <c r="DF76" i="3"/>
  <c r="DG76" i="3"/>
  <c r="DH76" i="3"/>
  <c r="DI76" i="3"/>
  <c r="DJ76" i="3"/>
  <c r="DK76" i="3"/>
  <c r="DL76" i="3"/>
  <c r="DM76" i="3"/>
  <c r="DN76" i="3"/>
  <c r="DO76" i="3"/>
  <c r="DP76" i="3"/>
  <c r="DQ76" i="3"/>
  <c r="DR76" i="3"/>
  <c r="DS76" i="3"/>
  <c r="DT76" i="3"/>
  <c r="DU76" i="3"/>
  <c r="DV76" i="3"/>
  <c r="DW76" i="3"/>
  <c r="DX76" i="3"/>
  <c r="DY76" i="3"/>
  <c r="DZ76" i="3"/>
  <c r="EA76" i="3"/>
  <c r="EB76" i="3"/>
  <c r="EC76" i="3"/>
  <c r="ED76" i="3"/>
  <c r="EE76" i="3"/>
  <c r="EF76" i="3"/>
  <c r="EG76" i="3"/>
  <c r="EI76" i="3"/>
  <c r="EJ76" i="3"/>
  <c r="EK76" i="3"/>
  <c r="EL76" i="3"/>
  <c r="EM76" i="3"/>
  <c r="EN76" i="3"/>
  <c r="EO76" i="3"/>
  <c r="EP76" i="3"/>
  <c r="EQ76" i="3"/>
  <c r="ER76" i="3"/>
  <c r="ES76" i="3"/>
  <c r="ET76" i="3"/>
  <c r="EU76" i="3"/>
  <c r="EV76" i="3"/>
  <c r="EW76" i="3"/>
  <c r="EX76" i="3"/>
  <c r="EY76" i="3"/>
  <c r="EZ76" i="3"/>
  <c r="FA76" i="3"/>
  <c r="FB76" i="3"/>
  <c r="FC76" i="3"/>
  <c r="FD76" i="3"/>
  <c r="FE76" i="3"/>
  <c r="FF76" i="3"/>
  <c r="FG76" i="3"/>
  <c r="FH76" i="3"/>
  <c r="FI76" i="3"/>
  <c r="FJ76" i="3"/>
  <c r="FK76" i="3"/>
  <c r="FL76" i="3"/>
  <c r="FM76" i="3"/>
  <c r="FN76" i="3"/>
  <c r="FO76" i="3"/>
  <c r="FP76" i="3"/>
  <c r="FQ76" i="3"/>
  <c r="FR76" i="3"/>
  <c r="FS76" i="3"/>
  <c r="FT76" i="3"/>
  <c r="FU76" i="3"/>
  <c r="FV76" i="3"/>
  <c r="FW76" i="3"/>
  <c r="FX76" i="3"/>
  <c r="FY76" i="3"/>
  <c r="FZ76" i="3"/>
  <c r="GA76" i="3"/>
  <c r="GB76" i="3"/>
  <c r="GC76" i="3"/>
  <c r="GD76" i="3"/>
  <c r="GE76" i="3"/>
  <c r="GF76" i="3"/>
  <c r="GG76" i="3"/>
  <c r="GH76" i="3"/>
  <c r="GI76" i="3"/>
  <c r="GJ76" i="3"/>
  <c r="GK76" i="3"/>
  <c r="GL76" i="3"/>
  <c r="GM76" i="3"/>
  <c r="GN76" i="3"/>
  <c r="GO76" i="3"/>
  <c r="GP76" i="3"/>
  <c r="GQ76" i="3"/>
  <c r="GR76" i="3"/>
  <c r="GS76" i="3"/>
  <c r="GT76" i="3"/>
  <c r="GU76" i="3"/>
  <c r="GV76" i="3"/>
  <c r="GW76" i="3"/>
  <c r="GX76" i="3"/>
  <c r="GY76" i="3"/>
  <c r="GZ76" i="3"/>
  <c r="HA76" i="3"/>
  <c r="HB76" i="3"/>
  <c r="HC76" i="3"/>
  <c r="HD76" i="3"/>
  <c r="HE76" i="3"/>
  <c r="HF76" i="3"/>
  <c r="HG76" i="3"/>
  <c r="HH76" i="3"/>
  <c r="HI76" i="3"/>
  <c r="HJ76" i="3"/>
  <c r="HK76" i="3"/>
  <c r="HL76" i="3"/>
  <c r="HM76" i="3"/>
  <c r="HN76" i="3"/>
  <c r="HO76" i="3"/>
  <c r="HP76" i="3"/>
  <c r="HQ76" i="3"/>
  <c r="HR76" i="3"/>
  <c r="HS76" i="3"/>
  <c r="HT76" i="3"/>
  <c r="HU76" i="3"/>
  <c r="HV76" i="3"/>
  <c r="HW76" i="3"/>
  <c r="HX76" i="3"/>
  <c r="HY76" i="3"/>
  <c r="HZ76" i="3"/>
  <c r="IA76" i="3"/>
  <c r="IB76" i="3"/>
  <c r="IC76" i="3"/>
  <c r="ID76" i="3"/>
  <c r="IE76" i="3"/>
  <c r="IF76" i="3"/>
  <c r="IG76" i="3"/>
  <c r="IH76" i="3"/>
  <c r="II76" i="3"/>
  <c r="IJ76" i="3"/>
  <c r="IK76" i="3"/>
  <c r="IL76" i="3"/>
  <c r="IM76" i="3"/>
  <c r="IN76" i="3"/>
  <c r="IO76" i="3"/>
  <c r="IP76" i="3"/>
  <c r="IQ76" i="3"/>
  <c r="IR76" i="3"/>
  <c r="IS76" i="3"/>
  <c r="IT76" i="3"/>
  <c r="IU76" i="3"/>
  <c r="IV76" i="3"/>
  <c r="IW76" i="3"/>
  <c r="IX76" i="3"/>
  <c r="IY76" i="3"/>
  <c r="IZ76" i="3"/>
  <c r="JA76" i="3"/>
  <c r="JB76" i="3"/>
  <c r="JC76" i="3"/>
  <c r="JD76" i="3"/>
  <c r="JE76" i="3"/>
  <c r="JF76" i="3"/>
  <c r="JG76" i="3"/>
  <c r="JH76" i="3"/>
  <c r="JI76" i="3"/>
  <c r="JJ76" i="3"/>
  <c r="JK76" i="3"/>
  <c r="JL76" i="3"/>
  <c r="JM76" i="3"/>
  <c r="A77" i="3"/>
  <c r="B77" i="3"/>
  <c r="C77" i="3"/>
  <c r="D77" i="3"/>
  <c r="E77" i="3"/>
  <c r="F77" i="3"/>
  <c r="G77" i="3"/>
  <c r="H77" i="3"/>
  <c r="I77" i="3"/>
  <c r="J77" i="3"/>
  <c r="K77" i="3"/>
  <c r="L77" i="3"/>
  <c r="M77" i="3"/>
  <c r="N77" i="3"/>
  <c r="O77" i="3"/>
  <c r="P77" i="3"/>
  <c r="Q77" i="3"/>
  <c r="R77" i="3"/>
  <c r="S77" i="3"/>
  <c r="T77" i="3"/>
  <c r="U77" i="3"/>
  <c r="V77" i="3"/>
  <c r="W77" i="3"/>
  <c r="X77" i="3"/>
  <c r="Y77" i="3"/>
  <c r="Z77" i="3"/>
  <c r="AA77" i="3"/>
  <c r="AB77" i="3"/>
  <c r="AC77" i="3"/>
  <c r="AD77" i="3"/>
  <c r="AE77" i="3"/>
  <c r="AF77" i="3"/>
  <c r="AG77" i="3"/>
  <c r="AH77" i="3"/>
  <c r="AI77" i="3"/>
  <c r="AJ77" i="3"/>
  <c r="AK77" i="3"/>
  <c r="AL77" i="3"/>
  <c r="AM77" i="3"/>
  <c r="AN77" i="3"/>
  <c r="AO77" i="3"/>
  <c r="AP77" i="3"/>
  <c r="AQ77" i="3"/>
  <c r="AR77" i="3"/>
  <c r="AS77" i="3"/>
  <c r="AT77" i="3"/>
  <c r="AU77" i="3"/>
  <c r="AV77" i="3"/>
  <c r="AW77" i="3"/>
  <c r="AX77" i="3"/>
  <c r="AY77" i="3"/>
  <c r="AZ77" i="3"/>
  <c r="BA77" i="3"/>
  <c r="BB77" i="3"/>
  <c r="BC77" i="3"/>
  <c r="BD77" i="3"/>
  <c r="BE77" i="3"/>
  <c r="BF77" i="3"/>
  <c r="BG77" i="3"/>
  <c r="BH77" i="3"/>
  <c r="BI77" i="3"/>
  <c r="BJ77" i="3"/>
  <c r="BK77" i="3"/>
  <c r="BL77" i="3"/>
  <c r="BM77" i="3"/>
  <c r="BN77" i="3"/>
  <c r="BO77" i="3"/>
  <c r="BP77" i="3"/>
  <c r="BQ77" i="3"/>
  <c r="BR77" i="3"/>
  <c r="BS77" i="3"/>
  <c r="BT77" i="3"/>
  <c r="BU77" i="3"/>
  <c r="BV77" i="3"/>
  <c r="BW77" i="3"/>
  <c r="BX77" i="3"/>
  <c r="BY77" i="3"/>
  <c r="BZ77" i="3"/>
  <c r="CA77" i="3"/>
  <c r="CB77" i="3"/>
  <c r="CC77" i="3"/>
  <c r="CD77" i="3"/>
  <c r="CE77" i="3"/>
  <c r="CF77" i="3"/>
  <c r="CG77" i="3"/>
  <c r="CH77" i="3"/>
  <c r="CI77" i="3"/>
  <c r="CJ77" i="3"/>
  <c r="CK77" i="3"/>
  <c r="CL77" i="3"/>
  <c r="CM77" i="3"/>
  <c r="CN77" i="3"/>
  <c r="CO77" i="3"/>
  <c r="CP77" i="3"/>
  <c r="CQ77" i="3"/>
  <c r="CR77" i="3"/>
  <c r="CS77" i="3"/>
  <c r="CT77" i="3"/>
  <c r="CU77" i="3"/>
  <c r="CV77" i="3"/>
  <c r="CW77" i="3"/>
  <c r="CX77" i="3"/>
  <c r="CY77" i="3"/>
  <c r="CZ77" i="3"/>
  <c r="DA77" i="3"/>
  <c r="DB77" i="3"/>
  <c r="DC77" i="3"/>
  <c r="DD77" i="3"/>
  <c r="DE77" i="3"/>
  <c r="DF77" i="3"/>
  <c r="DG77" i="3"/>
  <c r="DH77" i="3"/>
  <c r="DI77" i="3"/>
  <c r="DJ77" i="3"/>
  <c r="DK77" i="3"/>
  <c r="DL77" i="3"/>
  <c r="DM77" i="3"/>
  <c r="DN77" i="3"/>
  <c r="DO77" i="3"/>
  <c r="DP77" i="3"/>
  <c r="DQ77" i="3"/>
  <c r="DR77" i="3"/>
  <c r="DS77" i="3"/>
  <c r="DT77" i="3"/>
  <c r="DU77" i="3"/>
  <c r="DV77" i="3"/>
  <c r="DW77" i="3"/>
  <c r="DX77" i="3"/>
  <c r="DY77" i="3"/>
  <c r="DZ77" i="3"/>
  <c r="EA77" i="3"/>
  <c r="EB77" i="3"/>
  <c r="EC77" i="3"/>
  <c r="ED77" i="3"/>
  <c r="EE77" i="3"/>
  <c r="EF77" i="3"/>
  <c r="EG77" i="3"/>
  <c r="EI77" i="3"/>
  <c r="EJ77" i="3"/>
  <c r="EK77" i="3"/>
  <c r="EL77" i="3"/>
  <c r="EM77" i="3"/>
  <c r="EN77" i="3"/>
  <c r="EO77" i="3"/>
  <c r="EP77" i="3"/>
  <c r="EQ77" i="3"/>
  <c r="ER77" i="3"/>
  <c r="ES77" i="3"/>
  <c r="ET77" i="3"/>
  <c r="EU77" i="3"/>
  <c r="EV77" i="3"/>
  <c r="EW77" i="3"/>
  <c r="EX77" i="3"/>
  <c r="EY77" i="3"/>
  <c r="EZ77" i="3"/>
  <c r="FA77" i="3"/>
  <c r="FB77" i="3"/>
  <c r="FC77" i="3"/>
  <c r="FD77" i="3"/>
  <c r="FE77" i="3"/>
  <c r="FF77" i="3"/>
  <c r="FG77" i="3"/>
  <c r="FH77" i="3"/>
  <c r="FI77" i="3"/>
  <c r="FJ77" i="3"/>
  <c r="FK77" i="3"/>
  <c r="FL77" i="3"/>
  <c r="FM77" i="3"/>
  <c r="FN77" i="3"/>
  <c r="FO77" i="3"/>
  <c r="FP77" i="3"/>
  <c r="FQ77" i="3"/>
  <c r="FR77" i="3"/>
  <c r="FS77" i="3"/>
  <c r="FT77" i="3"/>
  <c r="FU77" i="3"/>
  <c r="FV77" i="3"/>
  <c r="FW77" i="3"/>
  <c r="FX77" i="3"/>
  <c r="FY77" i="3"/>
  <c r="FZ77" i="3"/>
  <c r="GA77" i="3"/>
  <c r="GB77" i="3"/>
  <c r="GC77" i="3"/>
  <c r="GD77" i="3"/>
  <c r="GE77" i="3"/>
  <c r="GF77" i="3"/>
  <c r="GG77" i="3"/>
  <c r="GH77" i="3"/>
  <c r="GI77" i="3"/>
  <c r="GJ77" i="3"/>
  <c r="GK77" i="3"/>
  <c r="GL77" i="3"/>
  <c r="GM77" i="3"/>
  <c r="GN77" i="3"/>
  <c r="GO77" i="3"/>
  <c r="GP77" i="3"/>
  <c r="GQ77" i="3"/>
  <c r="GR77" i="3"/>
  <c r="GS77" i="3"/>
  <c r="GT77" i="3"/>
  <c r="GU77" i="3"/>
  <c r="GV77" i="3"/>
  <c r="GW77" i="3"/>
  <c r="GX77" i="3"/>
  <c r="GY77" i="3"/>
  <c r="GZ77" i="3"/>
  <c r="HA77" i="3"/>
  <c r="HB77" i="3"/>
  <c r="HC77" i="3"/>
  <c r="HD77" i="3"/>
  <c r="HE77" i="3"/>
  <c r="HF77" i="3"/>
  <c r="HG77" i="3"/>
  <c r="HH77" i="3"/>
  <c r="HI77" i="3"/>
  <c r="HJ77" i="3"/>
  <c r="HK77" i="3"/>
  <c r="HL77" i="3"/>
  <c r="HM77" i="3"/>
  <c r="HN77" i="3"/>
  <c r="HO77" i="3"/>
  <c r="HP77" i="3"/>
  <c r="HQ77" i="3"/>
  <c r="HR77" i="3"/>
  <c r="HS77" i="3"/>
  <c r="HT77" i="3"/>
  <c r="HU77" i="3"/>
  <c r="HV77" i="3"/>
  <c r="HW77" i="3"/>
  <c r="HX77" i="3"/>
  <c r="HY77" i="3"/>
  <c r="HZ77" i="3"/>
  <c r="IA77" i="3"/>
  <c r="IB77" i="3"/>
  <c r="IC77" i="3"/>
  <c r="ID77" i="3"/>
  <c r="IE77" i="3"/>
  <c r="IF77" i="3"/>
  <c r="IG77" i="3"/>
  <c r="IH77" i="3"/>
  <c r="II77" i="3"/>
  <c r="IJ77" i="3"/>
  <c r="IK77" i="3"/>
  <c r="IL77" i="3"/>
  <c r="IM77" i="3"/>
  <c r="IN77" i="3"/>
  <c r="IO77" i="3"/>
  <c r="IP77" i="3"/>
  <c r="IQ77" i="3"/>
  <c r="IR77" i="3"/>
  <c r="IS77" i="3"/>
  <c r="IT77" i="3"/>
  <c r="IU77" i="3"/>
  <c r="IV77" i="3"/>
  <c r="IW77" i="3"/>
  <c r="IX77" i="3"/>
  <c r="IY77" i="3"/>
  <c r="IZ77" i="3"/>
  <c r="JA77" i="3"/>
  <c r="JB77" i="3"/>
  <c r="JC77" i="3"/>
  <c r="JD77" i="3"/>
  <c r="JE77" i="3"/>
  <c r="JF77" i="3"/>
  <c r="JG77" i="3"/>
  <c r="JH77" i="3"/>
  <c r="JI77" i="3"/>
  <c r="JJ77" i="3"/>
  <c r="JK77" i="3"/>
  <c r="JL77" i="3"/>
  <c r="JM77" i="3"/>
  <c r="A78" i="3"/>
  <c r="B78" i="3"/>
  <c r="C78" i="3"/>
  <c r="D78" i="3"/>
  <c r="E78" i="3"/>
  <c r="F78" i="3"/>
  <c r="G78" i="3"/>
  <c r="H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AK78" i="3"/>
  <c r="AL78" i="3"/>
  <c r="AM78" i="3"/>
  <c r="AN78" i="3"/>
  <c r="AO78" i="3"/>
  <c r="AP78" i="3"/>
  <c r="AQ78" i="3"/>
  <c r="AR78" i="3"/>
  <c r="AS78" i="3"/>
  <c r="AT78" i="3"/>
  <c r="AU78" i="3"/>
  <c r="AV78" i="3"/>
  <c r="AW78" i="3"/>
  <c r="AX78" i="3"/>
  <c r="AY78" i="3"/>
  <c r="AZ78" i="3"/>
  <c r="BA78" i="3"/>
  <c r="BB78" i="3"/>
  <c r="BC78" i="3"/>
  <c r="BD78" i="3"/>
  <c r="BE78" i="3"/>
  <c r="BF78" i="3"/>
  <c r="BG78" i="3"/>
  <c r="BH78" i="3"/>
  <c r="BI78" i="3"/>
  <c r="BJ78" i="3"/>
  <c r="BK78" i="3"/>
  <c r="BL78" i="3"/>
  <c r="BM78" i="3"/>
  <c r="BN78" i="3"/>
  <c r="BO78" i="3"/>
  <c r="BP78" i="3"/>
  <c r="BQ78" i="3"/>
  <c r="BR78" i="3"/>
  <c r="BS78" i="3"/>
  <c r="BT78" i="3"/>
  <c r="BU78" i="3"/>
  <c r="BV78" i="3"/>
  <c r="BW78" i="3"/>
  <c r="BX78" i="3"/>
  <c r="BY78" i="3"/>
  <c r="BZ78" i="3"/>
  <c r="CA78" i="3"/>
  <c r="CB78" i="3"/>
  <c r="CC78" i="3"/>
  <c r="CD78" i="3"/>
  <c r="CE78" i="3"/>
  <c r="CF78" i="3"/>
  <c r="CG78" i="3"/>
  <c r="CH78" i="3"/>
  <c r="CI78" i="3"/>
  <c r="CJ78" i="3"/>
  <c r="CK78" i="3"/>
  <c r="CL78" i="3"/>
  <c r="CM78" i="3"/>
  <c r="CN78" i="3"/>
  <c r="CO78" i="3"/>
  <c r="CP78" i="3"/>
  <c r="CQ78" i="3"/>
  <c r="CR78" i="3"/>
  <c r="CS78" i="3"/>
  <c r="CT78" i="3"/>
  <c r="CU78" i="3"/>
  <c r="CV78" i="3"/>
  <c r="CW78" i="3"/>
  <c r="CX78" i="3"/>
  <c r="CY78" i="3"/>
  <c r="CZ78" i="3"/>
  <c r="DA78" i="3"/>
  <c r="DB78" i="3"/>
  <c r="DC78" i="3"/>
  <c r="DD78" i="3"/>
  <c r="DE78" i="3"/>
  <c r="DF78" i="3"/>
  <c r="DG78" i="3"/>
  <c r="DH78" i="3"/>
  <c r="DI78" i="3"/>
  <c r="DJ78" i="3"/>
  <c r="DK78" i="3"/>
  <c r="DL78" i="3"/>
  <c r="DM78" i="3"/>
  <c r="DN78" i="3"/>
  <c r="DO78" i="3"/>
  <c r="DP78" i="3"/>
  <c r="DQ78" i="3"/>
  <c r="DR78" i="3"/>
  <c r="DS78" i="3"/>
  <c r="DT78" i="3"/>
  <c r="DU78" i="3"/>
  <c r="DV78" i="3"/>
  <c r="DW78" i="3"/>
  <c r="DX78" i="3"/>
  <c r="DY78" i="3"/>
  <c r="DZ78" i="3"/>
  <c r="EA78" i="3"/>
  <c r="EB78" i="3"/>
  <c r="EC78" i="3"/>
  <c r="ED78" i="3"/>
  <c r="EE78" i="3"/>
  <c r="EF78" i="3"/>
  <c r="EG78" i="3"/>
  <c r="EI78" i="3"/>
  <c r="EJ78" i="3"/>
  <c r="EK78" i="3"/>
  <c r="EL78" i="3"/>
  <c r="EM78" i="3"/>
  <c r="EN78" i="3"/>
  <c r="EO78" i="3"/>
  <c r="EP78" i="3"/>
  <c r="EQ78" i="3"/>
  <c r="ER78" i="3"/>
  <c r="ES78" i="3"/>
  <c r="ET78" i="3"/>
  <c r="EU78" i="3"/>
  <c r="EV78" i="3"/>
  <c r="EW78" i="3"/>
  <c r="EX78" i="3"/>
  <c r="EY78" i="3"/>
  <c r="EZ78" i="3"/>
  <c r="FA78" i="3"/>
  <c r="FB78" i="3"/>
  <c r="FC78" i="3"/>
  <c r="FD78" i="3"/>
  <c r="FE78" i="3"/>
  <c r="FF78" i="3"/>
  <c r="FG78" i="3"/>
  <c r="FH78" i="3"/>
  <c r="FI78" i="3"/>
  <c r="FJ78" i="3"/>
  <c r="FK78" i="3"/>
  <c r="FL78" i="3"/>
  <c r="FM78" i="3"/>
  <c r="FN78" i="3"/>
  <c r="FO78" i="3"/>
  <c r="FP78" i="3"/>
  <c r="FQ78" i="3"/>
  <c r="FR78" i="3"/>
  <c r="FS78" i="3"/>
  <c r="FT78" i="3"/>
  <c r="FU78" i="3"/>
  <c r="FV78" i="3"/>
  <c r="FW78" i="3"/>
  <c r="FX78" i="3"/>
  <c r="FY78" i="3"/>
  <c r="FZ78" i="3"/>
  <c r="GA78" i="3"/>
  <c r="GB78" i="3"/>
  <c r="GC78" i="3"/>
  <c r="GD78" i="3"/>
  <c r="GE78" i="3"/>
  <c r="GF78" i="3"/>
  <c r="GG78" i="3"/>
  <c r="GH78" i="3"/>
  <c r="GI78" i="3"/>
  <c r="GJ78" i="3"/>
  <c r="GK78" i="3"/>
  <c r="GL78" i="3"/>
  <c r="GM78" i="3"/>
  <c r="GN78" i="3"/>
  <c r="GO78" i="3"/>
  <c r="GP78" i="3"/>
  <c r="GQ78" i="3"/>
  <c r="GR78" i="3"/>
  <c r="GS78" i="3"/>
  <c r="GT78" i="3"/>
  <c r="GU78" i="3"/>
  <c r="GV78" i="3"/>
  <c r="GW78" i="3"/>
  <c r="GX78" i="3"/>
  <c r="GY78" i="3"/>
  <c r="GZ78" i="3"/>
  <c r="HA78" i="3"/>
  <c r="HB78" i="3"/>
  <c r="HC78" i="3"/>
  <c r="HD78" i="3"/>
  <c r="HE78" i="3"/>
  <c r="HF78" i="3"/>
  <c r="HG78" i="3"/>
  <c r="HH78" i="3"/>
  <c r="HI78" i="3"/>
  <c r="HJ78" i="3"/>
  <c r="HK78" i="3"/>
  <c r="HL78" i="3"/>
  <c r="HM78" i="3"/>
  <c r="HN78" i="3"/>
  <c r="HO78" i="3"/>
  <c r="HP78" i="3"/>
  <c r="HQ78" i="3"/>
  <c r="HR78" i="3"/>
  <c r="HS78" i="3"/>
  <c r="HT78" i="3"/>
  <c r="HU78" i="3"/>
  <c r="HV78" i="3"/>
  <c r="HW78" i="3"/>
  <c r="HX78" i="3"/>
  <c r="HY78" i="3"/>
  <c r="HZ78" i="3"/>
  <c r="IA78" i="3"/>
  <c r="IB78" i="3"/>
  <c r="IC78" i="3"/>
  <c r="ID78" i="3"/>
  <c r="IE78" i="3"/>
  <c r="IF78" i="3"/>
  <c r="IG78" i="3"/>
  <c r="IH78" i="3"/>
  <c r="II78" i="3"/>
  <c r="IJ78" i="3"/>
  <c r="IK78" i="3"/>
  <c r="IL78" i="3"/>
  <c r="IM78" i="3"/>
  <c r="IN78" i="3"/>
  <c r="IO78" i="3"/>
  <c r="IP78" i="3"/>
  <c r="IQ78" i="3"/>
  <c r="IR78" i="3"/>
  <c r="IS78" i="3"/>
  <c r="IT78" i="3"/>
  <c r="IU78" i="3"/>
  <c r="IV78" i="3"/>
  <c r="IW78" i="3"/>
  <c r="IX78" i="3"/>
  <c r="IY78" i="3"/>
  <c r="IZ78" i="3"/>
  <c r="JA78" i="3"/>
  <c r="JB78" i="3"/>
  <c r="JC78" i="3"/>
  <c r="JD78" i="3"/>
  <c r="JE78" i="3"/>
  <c r="JF78" i="3"/>
  <c r="JG78" i="3"/>
  <c r="JH78" i="3"/>
  <c r="JI78" i="3"/>
  <c r="JJ78" i="3"/>
  <c r="JK78" i="3"/>
  <c r="JL78" i="3"/>
  <c r="JM78" i="3"/>
  <c r="A79" i="3"/>
  <c r="B79" i="3"/>
  <c r="F79" i="3"/>
  <c r="G79" i="3"/>
  <c r="H79" i="3"/>
  <c r="I79" i="3"/>
  <c r="J79" i="3"/>
  <c r="K79" i="3"/>
  <c r="L79" i="3"/>
  <c r="M79" i="3"/>
  <c r="N79" i="3"/>
  <c r="O79" i="3"/>
  <c r="P79" i="3"/>
  <c r="Q79" i="3"/>
  <c r="R79" i="3"/>
  <c r="S79" i="3"/>
  <c r="T79" i="3"/>
  <c r="U79" i="3"/>
  <c r="V79" i="3"/>
  <c r="W79" i="3"/>
  <c r="X79" i="3"/>
  <c r="Y79" i="3"/>
  <c r="Z79" i="3"/>
  <c r="AA79" i="3"/>
  <c r="AB79" i="3"/>
  <c r="AC79" i="3"/>
  <c r="AD79" i="3"/>
  <c r="AE79" i="3"/>
  <c r="AF79" i="3"/>
  <c r="AG79" i="3"/>
  <c r="AH79" i="3"/>
  <c r="AI79" i="3"/>
  <c r="AJ79" i="3"/>
  <c r="AK79" i="3"/>
  <c r="AL79" i="3"/>
  <c r="AM79" i="3"/>
  <c r="AN79" i="3"/>
  <c r="AO79" i="3"/>
  <c r="AP79" i="3"/>
  <c r="AQ79" i="3"/>
  <c r="AR79" i="3"/>
  <c r="AS79" i="3"/>
  <c r="AT79" i="3"/>
  <c r="AU79" i="3"/>
  <c r="AV79" i="3"/>
  <c r="AW79" i="3"/>
  <c r="AX79" i="3"/>
  <c r="AY79" i="3"/>
  <c r="AZ79" i="3"/>
  <c r="BA79" i="3"/>
  <c r="BB79" i="3"/>
  <c r="BC79" i="3"/>
  <c r="BD79" i="3"/>
  <c r="BE79" i="3"/>
  <c r="BF79" i="3"/>
  <c r="BG79" i="3"/>
  <c r="BH79" i="3"/>
  <c r="BI79" i="3"/>
  <c r="BJ79" i="3"/>
  <c r="BK79" i="3"/>
  <c r="BL79" i="3"/>
  <c r="BM79" i="3"/>
  <c r="BN79" i="3"/>
  <c r="BO79" i="3"/>
  <c r="BP79" i="3"/>
  <c r="BQ79" i="3"/>
  <c r="BR79" i="3"/>
  <c r="BS79" i="3"/>
  <c r="BT79" i="3"/>
  <c r="BU79" i="3"/>
  <c r="BV79" i="3"/>
  <c r="BW79" i="3"/>
  <c r="BX79" i="3"/>
  <c r="BY79" i="3"/>
  <c r="BZ79" i="3"/>
  <c r="CA79" i="3"/>
  <c r="CB79" i="3"/>
  <c r="CC79" i="3"/>
  <c r="CD79" i="3"/>
  <c r="CE79" i="3"/>
  <c r="CF79" i="3"/>
  <c r="CG79" i="3"/>
  <c r="CH79" i="3"/>
  <c r="CI79" i="3"/>
  <c r="CJ79" i="3"/>
  <c r="CK79" i="3"/>
  <c r="CL79" i="3"/>
  <c r="CM79" i="3"/>
  <c r="CN79" i="3"/>
  <c r="CO79" i="3"/>
  <c r="CP79" i="3"/>
  <c r="CQ79" i="3"/>
  <c r="CR79" i="3"/>
  <c r="CS79" i="3"/>
  <c r="CT79" i="3"/>
  <c r="CU79" i="3"/>
  <c r="CV79" i="3"/>
  <c r="CW79" i="3"/>
  <c r="CX79" i="3"/>
  <c r="CY79" i="3"/>
  <c r="CZ79" i="3"/>
  <c r="DA79" i="3"/>
  <c r="DB79" i="3"/>
  <c r="DC79" i="3"/>
  <c r="DD79" i="3"/>
  <c r="DE79" i="3"/>
  <c r="DF79" i="3"/>
  <c r="DG79" i="3"/>
  <c r="DH79" i="3"/>
  <c r="DI79" i="3"/>
  <c r="DJ79" i="3"/>
  <c r="DK79" i="3"/>
  <c r="DL79" i="3"/>
  <c r="DM79" i="3"/>
  <c r="DN79" i="3"/>
  <c r="DO79" i="3"/>
  <c r="DP79" i="3"/>
  <c r="DQ79" i="3"/>
  <c r="DR79" i="3"/>
  <c r="DS79" i="3"/>
  <c r="DT79" i="3"/>
  <c r="DU79" i="3"/>
  <c r="DV79" i="3"/>
  <c r="DW79" i="3"/>
  <c r="DX79" i="3"/>
  <c r="DY79" i="3"/>
  <c r="DZ79" i="3"/>
  <c r="EA79" i="3"/>
  <c r="EB79" i="3"/>
  <c r="EC79" i="3"/>
  <c r="ED79" i="3"/>
  <c r="EE79" i="3"/>
  <c r="EF79" i="3"/>
  <c r="EG79" i="3"/>
  <c r="EI79" i="3"/>
  <c r="EJ79" i="3"/>
  <c r="EK79" i="3"/>
  <c r="EL79" i="3"/>
  <c r="EM79" i="3"/>
  <c r="EN79" i="3"/>
  <c r="EO79" i="3"/>
  <c r="EP79" i="3"/>
  <c r="EQ79" i="3"/>
  <c r="ER79" i="3"/>
  <c r="ES79" i="3"/>
  <c r="ET79" i="3"/>
  <c r="EU79" i="3"/>
  <c r="EV79" i="3"/>
  <c r="EW79" i="3"/>
  <c r="EX79" i="3"/>
  <c r="EY79" i="3"/>
  <c r="EZ79" i="3"/>
  <c r="FA79" i="3"/>
  <c r="FB79" i="3"/>
  <c r="FC79" i="3"/>
  <c r="FD79" i="3"/>
  <c r="FE79" i="3"/>
  <c r="FF79" i="3"/>
  <c r="FG79" i="3"/>
  <c r="FH79" i="3"/>
  <c r="FI79" i="3"/>
  <c r="FJ79" i="3"/>
  <c r="FK79" i="3"/>
  <c r="FL79" i="3"/>
  <c r="FM79" i="3"/>
  <c r="FN79" i="3"/>
  <c r="FO79" i="3"/>
  <c r="FP79" i="3"/>
  <c r="FQ79" i="3"/>
  <c r="FR79" i="3"/>
  <c r="FS79" i="3"/>
  <c r="FT79" i="3"/>
  <c r="FU79" i="3"/>
  <c r="FV79" i="3"/>
  <c r="FW79" i="3"/>
  <c r="FX79" i="3"/>
  <c r="FY79" i="3"/>
  <c r="FZ79" i="3"/>
  <c r="GA79" i="3"/>
  <c r="GB79" i="3"/>
  <c r="GC79" i="3"/>
  <c r="GD79" i="3"/>
  <c r="GE79" i="3"/>
  <c r="GF79" i="3"/>
  <c r="GG79" i="3"/>
  <c r="GH79" i="3"/>
  <c r="GI79" i="3"/>
  <c r="GJ79" i="3"/>
  <c r="GK79" i="3"/>
  <c r="GL79" i="3"/>
  <c r="GM79" i="3"/>
  <c r="GN79" i="3"/>
  <c r="GO79" i="3"/>
  <c r="GP79" i="3"/>
  <c r="GQ79" i="3"/>
  <c r="GR79" i="3"/>
  <c r="GS79" i="3"/>
  <c r="GT79" i="3"/>
  <c r="GU79" i="3"/>
  <c r="GV79" i="3"/>
  <c r="GW79" i="3"/>
  <c r="GX79" i="3"/>
  <c r="GY79" i="3"/>
  <c r="GZ79" i="3"/>
  <c r="HA79" i="3"/>
  <c r="HB79" i="3"/>
  <c r="HC79" i="3"/>
  <c r="HD79" i="3"/>
  <c r="HE79" i="3"/>
  <c r="HF79" i="3"/>
  <c r="HG79" i="3"/>
  <c r="HH79" i="3"/>
  <c r="HI79" i="3"/>
  <c r="HJ79" i="3"/>
  <c r="HK79" i="3"/>
  <c r="HL79" i="3"/>
  <c r="HM79" i="3"/>
  <c r="HN79" i="3"/>
  <c r="HO79" i="3"/>
  <c r="HP79" i="3"/>
  <c r="HQ79" i="3"/>
  <c r="HR79" i="3"/>
  <c r="HS79" i="3"/>
  <c r="HT79" i="3"/>
  <c r="HU79" i="3"/>
  <c r="HV79" i="3"/>
  <c r="HW79" i="3"/>
  <c r="HX79" i="3"/>
  <c r="HY79" i="3"/>
  <c r="HZ79" i="3"/>
  <c r="IA79" i="3"/>
  <c r="IB79" i="3"/>
  <c r="IC79" i="3"/>
  <c r="ID79" i="3"/>
  <c r="IE79" i="3"/>
  <c r="IF79" i="3"/>
  <c r="IG79" i="3"/>
  <c r="IH79" i="3"/>
  <c r="II79" i="3"/>
  <c r="IJ79" i="3"/>
  <c r="IK79" i="3"/>
  <c r="IL79" i="3"/>
  <c r="IM79" i="3"/>
  <c r="IN79" i="3"/>
  <c r="IO79" i="3"/>
  <c r="IP79" i="3"/>
  <c r="IQ79" i="3"/>
  <c r="IR79" i="3"/>
  <c r="IS79" i="3"/>
  <c r="IT79" i="3"/>
  <c r="IU79" i="3"/>
  <c r="IV79" i="3"/>
  <c r="IW79" i="3"/>
  <c r="IX79" i="3"/>
  <c r="IY79" i="3"/>
  <c r="IZ79" i="3"/>
  <c r="JA79" i="3"/>
  <c r="JB79" i="3"/>
  <c r="JC79" i="3"/>
  <c r="JD79" i="3"/>
  <c r="JE79" i="3"/>
  <c r="JF79" i="3"/>
  <c r="JG79" i="3"/>
  <c r="JH79" i="3"/>
  <c r="JI79" i="3"/>
  <c r="JJ79" i="3"/>
  <c r="JK79" i="3"/>
  <c r="JL79" i="3"/>
  <c r="JM79" i="3"/>
  <c r="A80" i="3"/>
  <c r="B80" i="3"/>
  <c r="O80" i="3"/>
  <c r="P80" i="3"/>
  <c r="Q80" i="3"/>
  <c r="R80" i="3"/>
  <c r="S80" i="3"/>
  <c r="T80" i="3"/>
  <c r="U80" i="3"/>
  <c r="V80" i="3"/>
  <c r="W80" i="3"/>
  <c r="X80" i="3"/>
  <c r="Y80" i="3"/>
  <c r="Z80" i="3"/>
  <c r="AA80" i="3"/>
  <c r="AB80" i="3"/>
  <c r="AC80" i="3"/>
  <c r="AD80" i="3"/>
  <c r="AE80" i="3"/>
  <c r="AF80" i="3"/>
  <c r="AG80" i="3"/>
  <c r="AH80" i="3"/>
  <c r="AI80" i="3"/>
  <c r="AJ80" i="3"/>
  <c r="AK80" i="3"/>
  <c r="AL80" i="3"/>
  <c r="AM80" i="3"/>
  <c r="AN80" i="3"/>
  <c r="AO80" i="3"/>
  <c r="AP80" i="3"/>
  <c r="AQ80" i="3"/>
  <c r="AR80" i="3"/>
  <c r="AS80" i="3"/>
  <c r="AT80" i="3"/>
  <c r="AU80" i="3"/>
  <c r="AV80" i="3"/>
  <c r="AW80" i="3"/>
  <c r="AX80" i="3"/>
  <c r="AY80" i="3"/>
  <c r="AZ80" i="3"/>
  <c r="BA80" i="3"/>
  <c r="BB80" i="3"/>
  <c r="BC80" i="3"/>
  <c r="BD80" i="3"/>
  <c r="BE80" i="3"/>
  <c r="BF80" i="3"/>
  <c r="BG80" i="3"/>
  <c r="BH80" i="3"/>
  <c r="BI80" i="3"/>
  <c r="BJ80" i="3"/>
  <c r="BK80" i="3"/>
  <c r="BL80" i="3"/>
  <c r="BM80" i="3"/>
  <c r="BN80" i="3"/>
  <c r="BO80" i="3"/>
  <c r="BP80" i="3"/>
  <c r="BQ80" i="3"/>
  <c r="BR80" i="3"/>
  <c r="BS80" i="3"/>
  <c r="BT80" i="3"/>
  <c r="BU80" i="3"/>
  <c r="BV80" i="3"/>
  <c r="BW80" i="3"/>
  <c r="BX80" i="3"/>
  <c r="BY80" i="3"/>
  <c r="BZ80" i="3"/>
  <c r="CA80" i="3"/>
  <c r="CB80" i="3"/>
  <c r="CC80" i="3"/>
  <c r="CD80" i="3"/>
  <c r="CE80" i="3"/>
  <c r="CF80" i="3"/>
  <c r="CG80" i="3"/>
  <c r="CH80" i="3"/>
  <c r="CI80" i="3"/>
  <c r="CJ80" i="3"/>
  <c r="CK80" i="3"/>
  <c r="CL80" i="3"/>
  <c r="CM80" i="3"/>
  <c r="CN80" i="3"/>
  <c r="CO80" i="3"/>
  <c r="CP80" i="3"/>
  <c r="CQ80" i="3"/>
  <c r="CR80" i="3"/>
  <c r="CS80" i="3"/>
  <c r="CT80" i="3"/>
  <c r="CU80" i="3"/>
  <c r="CV80" i="3"/>
  <c r="CW80" i="3"/>
  <c r="CX80" i="3"/>
  <c r="CY80" i="3"/>
  <c r="CZ80" i="3"/>
  <c r="DA80" i="3"/>
  <c r="DB80" i="3"/>
  <c r="DC80" i="3"/>
  <c r="DD80" i="3"/>
  <c r="DE80" i="3"/>
  <c r="DF80" i="3"/>
  <c r="DG80" i="3"/>
  <c r="DH80" i="3"/>
  <c r="DI80" i="3"/>
  <c r="DJ80" i="3"/>
  <c r="DK80" i="3"/>
  <c r="DL80" i="3"/>
  <c r="DM80" i="3"/>
  <c r="DN80" i="3"/>
  <c r="DO80" i="3"/>
  <c r="DP80" i="3"/>
  <c r="DQ80" i="3"/>
  <c r="DR80" i="3"/>
  <c r="DS80" i="3"/>
  <c r="DT80" i="3"/>
  <c r="DU80" i="3"/>
  <c r="DV80" i="3"/>
  <c r="DW80" i="3"/>
  <c r="DX80" i="3"/>
  <c r="DY80" i="3"/>
  <c r="DZ80" i="3"/>
  <c r="EA80" i="3"/>
  <c r="EB80" i="3"/>
  <c r="EC80" i="3"/>
  <c r="ED80" i="3"/>
  <c r="EE80" i="3"/>
  <c r="EF80" i="3"/>
  <c r="EG80" i="3"/>
  <c r="EI80" i="3"/>
  <c r="EJ80" i="3"/>
  <c r="EK80" i="3"/>
  <c r="EL80" i="3"/>
  <c r="EM80" i="3"/>
  <c r="EN80" i="3"/>
  <c r="EO80" i="3"/>
  <c r="EP80" i="3"/>
  <c r="EQ80" i="3"/>
  <c r="ER80" i="3"/>
  <c r="ES80" i="3"/>
  <c r="ET80" i="3"/>
  <c r="EU80" i="3"/>
  <c r="EV80" i="3"/>
  <c r="EW80" i="3"/>
  <c r="EX80" i="3"/>
  <c r="EY80" i="3"/>
  <c r="EZ80" i="3"/>
  <c r="FA80" i="3"/>
  <c r="FB80" i="3"/>
  <c r="FC80" i="3"/>
  <c r="FD80" i="3"/>
  <c r="FE80" i="3"/>
  <c r="FF80" i="3"/>
  <c r="FG80" i="3"/>
  <c r="FH80" i="3"/>
  <c r="FI80" i="3"/>
  <c r="FJ80" i="3"/>
  <c r="FK80" i="3"/>
  <c r="FL80" i="3"/>
  <c r="FM80" i="3"/>
  <c r="FN80" i="3"/>
  <c r="FO80" i="3"/>
  <c r="FP80" i="3"/>
  <c r="FQ80" i="3"/>
  <c r="FR80" i="3"/>
  <c r="FS80" i="3"/>
  <c r="FT80" i="3"/>
  <c r="FU80" i="3"/>
  <c r="FV80" i="3"/>
  <c r="FW80" i="3"/>
  <c r="FX80" i="3"/>
  <c r="FY80" i="3"/>
  <c r="FZ80" i="3"/>
  <c r="GA80" i="3"/>
  <c r="GB80" i="3"/>
  <c r="GC80" i="3"/>
  <c r="GD80" i="3"/>
  <c r="GE80" i="3"/>
  <c r="GF80" i="3"/>
  <c r="GG80" i="3"/>
  <c r="GH80" i="3"/>
  <c r="GI80" i="3"/>
  <c r="GJ80" i="3"/>
  <c r="GK80" i="3"/>
  <c r="GL80" i="3"/>
  <c r="GM80" i="3"/>
  <c r="GN80" i="3"/>
  <c r="GO80" i="3"/>
  <c r="GP80" i="3"/>
  <c r="GQ80" i="3"/>
  <c r="GR80" i="3"/>
  <c r="GS80" i="3"/>
  <c r="GT80" i="3"/>
  <c r="GU80" i="3"/>
  <c r="GV80" i="3"/>
  <c r="GW80" i="3"/>
  <c r="GX80" i="3"/>
  <c r="GY80" i="3"/>
  <c r="GZ80" i="3"/>
  <c r="HA80" i="3"/>
  <c r="HB80" i="3"/>
  <c r="HC80" i="3"/>
  <c r="HD80" i="3"/>
  <c r="HE80" i="3"/>
  <c r="HF80" i="3"/>
  <c r="HG80" i="3"/>
  <c r="HH80" i="3"/>
  <c r="HI80" i="3"/>
  <c r="HJ80" i="3"/>
  <c r="HK80" i="3"/>
  <c r="HL80" i="3"/>
  <c r="HM80" i="3"/>
  <c r="HN80" i="3"/>
  <c r="HO80" i="3"/>
  <c r="HP80" i="3"/>
  <c r="HQ80" i="3"/>
  <c r="HR80" i="3"/>
  <c r="HS80" i="3"/>
  <c r="HT80" i="3"/>
  <c r="HU80" i="3"/>
  <c r="HV80" i="3"/>
  <c r="HW80" i="3"/>
  <c r="HX80" i="3"/>
  <c r="HY80" i="3"/>
  <c r="HZ80" i="3"/>
  <c r="IA80" i="3"/>
  <c r="IB80" i="3"/>
  <c r="IC80" i="3"/>
  <c r="ID80" i="3"/>
  <c r="IE80" i="3"/>
  <c r="IF80" i="3"/>
  <c r="IG80" i="3"/>
  <c r="IH80" i="3"/>
  <c r="II80" i="3"/>
  <c r="IJ80" i="3"/>
  <c r="IK80" i="3"/>
  <c r="IL80" i="3"/>
  <c r="IM80" i="3"/>
  <c r="IN80" i="3"/>
  <c r="IO80" i="3"/>
  <c r="IP80" i="3"/>
  <c r="IQ80" i="3"/>
  <c r="IR80" i="3"/>
  <c r="IS80" i="3"/>
  <c r="IT80" i="3"/>
  <c r="IU80" i="3"/>
  <c r="IV80" i="3"/>
  <c r="IW80" i="3"/>
  <c r="IX80" i="3"/>
  <c r="IY80" i="3"/>
  <c r="IZ80" i="3"/>
  <c r="JA80" i="3"/>
  <c r="JB80" i="3"/>
  <c r="JC80" i="3"/>
  <c r="JD80" i="3"/>
  <c r="JE80" i="3"/>
  <c r="JF80" i="3"/>
  <c r="JG80" i="3"/>
  <c r="JH80" i="3"/>
  <c r="JI80" i="3"/>
  <c r="JJ80" i="3"/>
  <c r="JK80" i="3"/>
  <c r="JL80" i="3"/>
  <c r="JM80" i="3"/>
  <c r="A71" i="3"/>
  <c r="B71" i="3"/>
  <c r="C71" i="3"/>
  <c r="D71" i="3"/>
  <c r="E71"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AK71" i="3"/>
  <c r="AL71" i="3"/>
  <c r="AM71" i="3"/>
  <c r="AN71" i="3"/>
  <c r="AO71" i="3"/>
  <c r="AP71" i="3"/>
  <c r="AQ71" i="3"/>
  <c r="AR71" i="3"/>
  <c r="AS71" i="3"/>
  <c r="AT71" i="3"/>
  <c r="AU71" i="3"/>
  <c r="AV71" i="3"/>
  <c r="AW71" i="3"/>
  <c r="AX71" i="3"/>
  <c r="AY71" i="3"/>
  <c r="AZ71" i="3"/>
  <c r="BA71" i="3"/>
  <c r="BB71" i="3"/>
  <c r="BC71" i="3"/>
  <c r="BD71" i="3"/>
  <c r="BE71" i="3"/>
  <c r="BF71" i="3"/>
  <c r="BG71" i="3"/>
  <c r="BH71" i="3"/>
  <c r="BI71" i="3"/>
  <c r="BJ71" i="3"/>
  <c r="BK71" i="3"/>
  <c r="BL71" i="3"/>
  <c r="BM71" i="3"/>
  <c r="BN71" i="3"/>
  <c r="BO71" i="3"/>
  <c r="BP71" i="3"/>
  <c r="BQ71" i="3"/>
  <c r="BR71" i="3"/>
  <c r="BS71" i="3"/>
  <c r="BT71" i="3"/>
  <c r="BU71" i="3"/>
  <c r="BV71" i="3"/>
  <c r="BW71" i="3"/>
  <c r="BX71" i="3"/>
  <c r="BY71" i="3"/>
  <c r="BZ71" i="3"/>
  <c r="CA71" i="3"/>
  <c r="CB71" i="3"/>
  <c r="CC71" i="3"/>
  <c r="CD71" i="3"/>
  <c r="CE71" i="3"/>
  <c r="CF71" i="3"/>
  <c r="CG71" i="3"/>
  <c r="CH71" i="3"/>
  <c r="CI71" i="3"/>
  <c r="CJ71" i="3"/>
  <c r="CK71" i="3"/>
  <c r="CL71" i="3"/>
  <c r="CM71" i="3"/>
  <c r="CN71" i="3"/>
  <c r="CO71" i="3"/>
  <c r="CP71" i="3"/>
  <c r="CQ71" i="3"/>
  <c r="CR71" i="3"/>
  <c r="CS71" i="3"/>
  <c r="CT71" i="3"/>
  <c r="CU71" i="3"/>
  <c r="CV71" i="3"/>
  <c r="CW71" i="3"/>
  <c r="CX71" i="3"/>
  <c r="CY71" i="3"/>
  <c r="CZ71" i="3"/>
  <c r="DA71" i="3"/>
  <c r="DB71" i="3"/>
  <c r="DC71" i="3"/>
  <c r="DD71" i="3"/>
  <c r="DE71" i="3"/>
  <c r="DF71" i="3"/>
  <c r="DG71" i="3"/>
  <c r="DH71" i="3"/>
  <c r="DI71" i="3"/>
  <c r="DJ71" i="3"/>
  <c r="DK71" i="3"/>
  <c r="DL71" i="3"/>
  <c r="DM71" i="3"/>
  <c r="DN71" i="3"/>
  <c r="DO71" i="3"/>
  <c r="DP71" i="3"/>
  <c r="DQ71" i="3"/>
  <c r="DR71" i="3"/>
  <c r="DS71" i="3"/>
  <c r="DT71" i="3"/>
  <c r="DU71" i="3"/>
  <c r="DV71" i="3"/>
  <c r="DW71" i="3"/>
  <c r="DX71" i="3"/>
  <c r="DY71" i="3"/>
  <c r="DZ71" i="3"/>
  <c r="EA71" i="3"/>
  <c r="EB71" i="3"/>
  <c r="EC71" i="3"/>
  <c r="ED71" i="3"/>
  <c r="EE71" i="3"/>
  <c r="EF71" i="3"/>
  <c r="EG71" i="3"/>
  <c r="EI71" i="3"/>
  <c r="EJ71" i="3"/>
  <c r="EK71" i="3"/>
  <c r="EL71" i="3"/>
  <c r="EM71" i="3"/>
  <c r="EN71" i="3"/>
  <c r="EO71" i="3"/>
  <c r="EP71" i="3"/>
  <c r="EQ71" i="3"/>
  <c r="ER71" i="3"/>
  <c r="ES71" i="3"/>
  <c r="ET71" i="3"/>
  <c r="EU71" i="3"/>
  <c r="EV71" i="3"/>
  <c r="EW71" i="3"/>
  <c r="EX71" i="3"/>
  <c r="EY71" i="3"/>
  <c r="EZ71" i="3"/>
  <c r="FA71" i="3"/>
  <c r="FB71" i="3"/>
  <c r="FC71" i="3"/>
  <c r="FD71" i="3"/>
  <c r="FE71" i="3"/>
  <c r="FF71" i="3"/>
  <c r="FG71" i="3"/>
  <c r="FH71" i="3"/>
  <c r="FI71" i="3"/>
  <c r="FJ71" i="3"/>
  <c r="FK71" i="3"/>
  <c r="FL71" i="3"/>
  <c r="FM71" i="3"/>
  <c r="FN71" i="3"/>
  <c r="FO71" i="3"/>
  <c r="FP71" i="3"/>
  <c r="FQ71" i="3"/>
  <c r="FR71" i="3"/>
  <c r="FS71" i="3"/>
  <c r="FT71" i="3"/>
  <c r="FU71" i="3"/>
  <c r="FV71" i="3"/>
  <c r="FW71" i="3"/>
  <c r="FX71" i="3"/>
  <c r="FY71" i="3"/>
  <c r="FZ71" i="3"/>
  <c r="GA71" i="3"/>
  <c r="GB71" i="3"/>
  <c r="GC71" i="3"/>
  <c r="GD71" i="3"/>
  <c r="GE71" i="3"/>
  <c r="GF71" i="3"/>
  <c r="GG71" i="3"/>
  <c r="GH71" i="3"/>
  <c r="GI71" i="3"/>
  <c r="GJ71" i="3"/>
  <c r="GK71" i="3"/>
  <c r="GL71" i="3"/>
  <c r="GM71" i="3"/>
  <c r="GN71" i="3"/>
  <c r="GO71" i="3"/>
  <c r="GP71" i="3"/>
  <c r="GQ71" i="3"/>
  <c r="GR71" i="3"/>
  <c r="GS71" i="3"/>
  <c r="GT71" i="3"/>
  <c r="GU71" i="3"/>
  <c r="GV71" i="3"/>
  <c r="GW71" i="3"/>
  <c r="GX71" i="3"/>
  <c r="GY71" i="3"/>
  <c r="GZ71" i="3"/>
  <c r="HA71" i="3"/>
  <c r="HB71" i="3"/>
  <c r="HC71" i="3"/>
  <c r="HD71" i="3"/>
  <c r="HE71" i="3"/>
  <c r="HF71" i="3"/>
  <c r="HG71" i="3"/>
  <c r="HH71" i="3"/>
  <c r="HI71" i="3"/>
  <c r="HJ71" i="3"/>
  <c r="HK71" i="3"/>
  <c r="HL71" i="3"/>
  <c r="HM71" i="3"/>
  <c r="HN71" i="3"/>
  <c r="HO71" i="3"/>
  <c r="HP71" i="3"/>
  <c r="HQ71" i="3"/>
  <c r="HR71" i="3"/>
  <c r="HS71" i="3"/>
  <c r="HT71" i="3"/>
  <c r="HU71" i="3"/>
  <c r="HV71" i="3"/>
  <c r="HW71" i="3"/>
  <c r="HX71" i="3"/>
  <c r="HY71" i="3"/>
  <c r="HZ71" i="3"/>
  <c r="IA71" i="3"/>
  <c r="IB71" i="3"/>
  <c r="IC71" i="3"/>
  <c r="ID71" i="3"/>
  <c r="IE71" i="3"/>
  <c r="IF71" i="3"/>
  <c r="IG71" i="3"/>
  <c r="IH71" i="3"/>
  <c r="II71" i="3"/>
  <c r="IJ71" i="3"/>
  <c r="IK71" i="3"/>
  <c r="IL71" i="3"/>
  <c r="IM71" i="3"/>
  <c r="IN71" i="3"/>
  <c r="IO71" i="3"/>
  <c r="IP71" i="3"/>
  <c r="IQ71" i="3"/>
  <c r="IR71" i="3"/>
  <c r="IS71" i="3"/>
  <c r="IT71" i="3"/>
  <c r="IU71" i="3"/>
  <c r="IV71" i="3"/>
  <c r="IW71" i="3"/>
  <c r="IX71" i="3"/>
  <c r="IY71" i="3"/>
  <c r="IZ71" i="3"/>
  <c r="JA71" i="3"/>
  <c r="JB71" i="3"/>
  <c r="JC71" i="3"/>
  <c r="JD71" i="3"/>
  <c r="JE71" i="3"/>
  <c r="JF71" i="3"/>
  <c r="JG71" i="3"/>
  <c r="JH71" i="3"/>
  <c r="JI71" i="3"/>
  <c r="JJ71" i="3"/>
  <c r="JK71" i="3"/>
  <c r="JL71" i="3"/>
  <c r="JM71" i="3"/>
  <c r="A72" i="3"/>
  <c r="B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AK72" i="3"/>
  <c r="AL72" i="3"/>
  <c r="AM72" i="3"/>
  <c r="AN72" i="3"/>
  <c r="AO72" i="3"/>
  <c r="AP72" i="3"/>
  <c r="AQ72" i="3"/>
  <c r="AR72" i="3"/>
  <c r="AS72" i="3"/>
  <c r="AT72" i="3"/>
  <c r="AU72" i="3"/>
  <c r="AV72" i="3"/>
  <c r="AW72" i="3"/>
  <c r="AX72" i="3"/>
  <c r="AY72" i="3"/>
  <c r="AZ72" i="3"/>
  <c r="BA72" i="3"/>
  <c r="BB72" i="3"/>
  <c r="BC72" i="3"/>
  <c r="BD72" i="3"/>
  <c r="BE72" i="3"/>
  <c r="BF72" i="3"/>
  <c r="BG72" i="3"/>
  <c r="BH72" i="3"/>
  <c r="BI72" i="3"/>
  <c r="BJ72" i="3"/>
  <c r="BK72" i="3"/>
  <c r="BL72" i="3"/>
  <c r="BM72" i="3"/>
  <c r="BN72" i="3"/>
  <c r="BO72" i="3"/>
  <c r="BP72" i="3"/>
  <c r="BQ72" i="3"/>
  <c r="BR72" i="3"/>
  <c r="BS72" i="3"/>
  <c r="BT72" i="3"/>
  <c r="BU72" i="3"/>
  <c r="BV72" i="3"/>
  <c r="BW72" i="3"/>
  <c r="BX72" i="3"/>
  <c r="BY72" i="3"/>
  <c r="BZ72" i="3"/>
  <c r="CA72" i="3"/>
  <c r="CB72" i="3"/>
  <c r="CC72" i="3"/>
  <c r="CD72" i="3"/>
  <c r="CE72" i="3"/>
  <c r="CF72" i="3"/>
  <c r="CG72" i="3"/>
  <c r="CH72" i="3"/>
  <c r="CI72" i="3"/>
  <c r="CJ72" i="3"/>
  <c r="CK72" i="3"/>
  <c r="CL72" i="3"/>
  <c r="CM72" i="3"/>
  <c r="CN72" i="3"/>
  <c r="CO72" i="3"/>
  <c r="CP72" i="3"/>
  <c r="CQ72" i="3"/>
  <c r="CR72" i="3"/>
  <c r="CS72" i="3"/>
  <c r="CT72" i="3"/>
  <c r="CU72" i="3"/>
  <c r="CV72" i="3"/>
  <c r="CW72" i="3"/>
  <c r="CX72" i="3"/>
  <c r="CY72" i="3"/>
  <c r="CZ72" i="3"/>
  <c r="DA72" i="3"/>
  <c r="DB72" i="3"/>
  <c r="DC72" i="3"/>
  <c r="DD72" i="3"/>
  <c r="DE72" i="3"/>
  <c r="DF72" i="3"/>
  <c r="DG72" i="3"/>
  <c r="DH72" i="3"/>
  <c r="DI72" i="3"/>
  <c r="DJ72" i="3"/>
  <c r="DK72" i="3"/>
  <c r="DL72" i="3"/>
  <c r="DM72" i="3"/>
  <c r="DN72" i="3"/>
  <c r="DO72" i="3"/>
  <c r="DP72" i="3"/>
  <c r="DQ72" i="3"/>
  <c r="DR72" i="3"/>
  <c r="DS72" i="3"/>
  <c r="DT72" i="3"/>
  <c r="DU72" i="3"/>
  <c r="DV72" i="3"/>
  <c r="DW72" i="3"/>
  <c r="DX72" i="3"/>
  <c r="DY72" i="3"/>
  <c r="DZ72" i="3"/>
  <c r="EA72" i="3"/>
  <c r="EB72" i="3"/>
  <c r="EC72" i="3"/>
  <c r="ED72" i="3"/>
  <c r="EE72" i="3"/>
  <c r="EF72" i="3"/>
  <c r="EG72" i="3"/>
  <c r="EI72" i="3"/>
  <c r="EJ72" i="3"/>
  <c r="EK72" i="3"/>
  <c r="EL72" i="3"/>
  <c r="EM72" i="3"/>
  <c r="EN72" i="3"/>
  <c r="EO72" i="3"/>
  <c r="EP72" i="3"/>
  <c r="EQ72" i="3"/>
  <c r="ER72" i="3"/>
  <c r="ES72" i="3"/>
  <c r="ET72" i="3"/>
  <c r="EU72" i="3"/>
  <c r="EV72" i="3"/>
  <c r="EW72" i="3"/>
  <c r="EX72" i="3"/>
  <c r="EY72" i="3"/>
  <c r="EZ72" i="3"/>
  <c r="FA72" i="3"/>
  <c r="FB72" i="3"/>
  <c r="FC72" i="3"/>
  <c r="FD72" i="3"/>
  <c r="FE72" i="3"/>
  <c r="FF72" i="3"/>
  <c r="FG72" i="3"/>
  <c r="FH72" i="3"/>
  <c r="FI72" i="3"/>
  <c r="FJ72" i="3"/>
  <c r="FK72" i="3"/>
  <c r="FL72" i="3"/>
  <c r="FM72" i="3"/>
  <c r="FN72" i="3"/>
  <c r="FO72" i="3"/>
  <c r="FP72" i="3"/>
  <c r="FQ72" i="3"/>
  <c r="FR72" i="3"/>
  <c r="FS72" i="3"/>
  <c r="FT72" i="3"/>
  <c r="FU72" i="3"/>
  <c r="FV72" i="3"/>
  <c r="FW72" i="3"/>
  <c r="FX72" i="3"/>
  <c r="FY72" i="3"/>
  <c r="FZ72" i="3"/>
  <c r="GA72" i="3"/>
  <c r="GB72" i="3"/>
  <c r="GC72" i="3"/>
  <c r="GD72" i="3"/>
  <c r="GE72" i="3"/>
  <c r="GF72" i="3"/>
  <c r="GG72" i="3"/>
  <c r="GH72" i="3"/>
  <c r="GI72" i="3"/>
  <c r="GJ72" i="3"/>
  <c r="GK72" i="3"/>
  <c r="GL72" i="3"/>
  <c r="GM72" i="3"/>
  <c r="GN72" i="3"/>
  <c r="GO72" i="3"/>
  <c r="GP72" i="3"/>
  <c r="GQ72" i="3"/>
  <c r="GR72" i="3"/>
  <c r="GS72" i="3"/>
  <c r="GT72" i="3"/>
  <c r="GU72" i="3"/>
  <c r="GV72" i="3"/>
  <c r="GW72" i="3"/>
  <c r="GX72" i="3"/>
  <c r="GY72" i="3"/>
  <c r="GZ72" i="3"/>
  <c r="HA72" i="3"/>
  <c r="HB72" i="3"/>
  <c r="HC72" i="3"/>
  <c r="HD72" i="3"/>
  <c r="HE72" i="3"/>
  <c r="HF72" i="3"/>
  <c r="HG72" i="3"/>
  <c r="HH72" i="3"/>
  <c r="HI72" i="3"/>
  <c r="HJ72" i="3"/>
  <c r="HK72" i="3"/>
  <c r="HL72" i="3"/>
  <c r="HM72" i="3"/>
  <c r="HN72" i="3"/>
  <c r="HO72" i="3"/>
  <c r="HP72" i="3"/>
  <c r="HQ72" i="3"/>
  <c r="HR72" i="3"/>
  <c r="HS72" i="3"/>
  <c r="HT72" i="3"/>
  <c r="HU72" i="3"/>
  <c r="HV72" i="3"/>
  <c r="HW72" i="3"/>
  <c r="HX72" i="3"/>
  <c r="HY72" i="3"/>
  <c r="HZ72" i="3"/>
  <c r="IA72" i="3"/>
  <c r="IB72" i="3"/>
  <c r="IC72" i="3"/>
  <c r="ID72" i="3"/>
  <c r="IE72" i="3"/>
  <c r="IF72" i="3"/>
  <c r="IG72" i="3"/>
  <c r="IH72" i="3"/>
  <c r="II72" i="3"/>
  <c r="IJ72" i="3"/>
  <c r="IK72" i="3"/>
  <c r="IL72" i="3"/>
  <c r="IM72" i="3"/>
  <c r="IN72" i="3"/>
  <c r="IO72" i="3"/>
  <c r="IP72" i="3"/>
  <c r="IQ72" i="3"/>
  <c r="IR72" i="3"/>
  <c r="IS72" i="3"/>
  <c r="IT72" i="3"/>
  <c r="IU72" i="3"/>
  <c r="IV72" i="3"/>
  <c r="IW72" i="3"/>
  <c r="IX72" i="3"/>
  <c r="IY72" i="3"/>
  <c r="IZ72" i="3"/>
  <c r="JA72" i="3"/>
  <c r="JB72" i="3"/>
  <c r="JC72" i="3"/>
  <c r="JD72" i="3"/>
  <c r="JE72" i="3"/>
  <c r="JF72" i="3"/>
  <c r="JG72" i="3"/>
  <c r="JH72" i="3"/>
  <c r="JI72" i="3"/>
  <c r="JJ72" i="3"/>
  <c r="JK72" i="3"/>
  <c r="JL72" i="3"/>
  <c r="JM72" i="3"/>
  <c r="A73" i="3"/>
  <c r="B73" i="3"/>
  <c r="G73" i="3"/>
  <c r="H73" i="3"/>
  <c r="I73" i="3"/>
  <c r="J73" i="3"/>
  <c r="K73" i="3"/>
  <c r="L73" i="3"/>
  <c r="M73" i="3"/>
  <c r="N73" i="3"/>
  <c r="O73" i="3"/>
  <c r="P73" i="3"/>
  <c r="Q73" i="3"/>
  <c r="R73" i="3"/>
  <c r="S73" i="3"/>
  <c r="T73" i="3"/>
  <c r="U73" i="3"/>
  <c r="V73" i="3"/>
  <c r="W73" i="3"/>
  <c r="X73" i="3"/>
  <c r="Y73" i="3"/>
  <c r="Z73" i="3"/>
  <c r="AA73" i="3"/>
  <c r="AB73" i="3"/>
  <c r="AC73" i="3"/>
  <c r="AD73" i="3"/>
  <c r="AE73" i="3"/>
  <c r="AF73" i="3"/>
  <c r="AG73" i="3"/>
  <c r="AH73" i="3"/>
  <c r="AI73" i="3"/>
  <c r="AJ73" i="3"/>
  <c r="AK73" i="3"/>
  <c r="AL73" i="3"/>
  <c r="AM73" i="3"/>
  <c r="AN73" i="3"/>
  <c r="AO73" i="3"/>
  <c r="AP73" i="3"/>
  <c r="AQ73" i="3"/>
  <c r="AR73" i="3"/>
  <c r="AS73" i="3"/>
  <c r="AT73" i="3"/>
  <c r="AU73" i="3"/>
  <c r="AV73" i="3"/>
  <c r="AW73" i="3"/>
  <c r="AX73" i="3"/>
  <c r="AY73" i="3"/>
  <c r="AZ73" i="3"/>
  <c r="BA73" i="3"/>
  <c r="BB73" i="3"/>
  <c r="BC73" i="3"/>
  <c r="BD73" i="3"/>
  <c r="BE73" i="3"/>
  <c r="BF73" i="3"/>
  <c r="BG73" i="3"/>
  <c r="BH73" i="3"/>
  <c r="BI73" i="3"/>
  <c r="BJ73" i="3"/>
  <c r="BK73" i="3"/>
  <c r="BL73" i="3"/>
  <c r="BM73" i="3"/>
  <c r="BN73" i="3"/>
  <c r="BO73" i="3"/>
  <c r="BP73" i="3"/>
  <c r="BQ73" i="3"/>
  <c r="BR73" i="3"/>
  <c r="BS73" i="3"/>
  <c r="BT73" i="3"/>
  <c r="BU73" i="3"/>
  <c r="BV73" i="3"/>
  <c r="BW73" i="3"/>
  <c r="BX73" i="3"/>
  <c r="BY73" i="3"/>
  <c r="BZ73" i="3"/>
  <c r="CA73" i="3"/>
  <c r="CB73" i="3"/>
  <c r="CC73" i="3"/>
  <c r="CD73" i="3"/>
  <c r="CE73" i="3"/>
  <c r="CF73" i="3"/>
  <c r="CG73" i="3"/>
  <c r="CH73" i="3"/>
  <c r="CI73" i="3"/>
  <c r="CJ73" i="3"/>
  <c r="CK73" i="3"/>
  <c r="CL73" i="3"/>
  <c r="CM73" i="3"/>
  <c r="CN73" i="3"/>
  <c r="CO73" i="3"/>
  <c r="CP73" i="3"/>
  <c r="CQ73" i="3"/>
  <c r="CR73" i="3"/>
  <c r="CS73" i="3"/>
  <c r="CT73" i="3"/>
  <c r="CU73" i="3"/>
  <c r="CV73" i="3"/>
  <c r="CW73" i="3"/>
  <c r="CX73" i="3"/>
  <c r="CY73" i="3"/>
  <c r="CZ73" i="3"/>
  <c r="DA73" i="3"/>
  <c r="DB73" i="3"/>
  <c r="DC73" i="3"/>
  <c r="DD73" i="3"/>
  <c r="DE73" i="3"/>
  <c r="DF73" i="3"/>
  <c r="DG73" i="3"/>
  <c r="DH73" i="3"/>
  <c r="DI73" i="3"/>
  <c r="DJ73" i="3"/>
  <c r="DK73" i="3"/>
  <c r="DL73" i="3"/>
  <c r="DM73" i="3"/>
  <c r="DN73" i="3"/>
  <c r="DO73" i="3"/>
  <c r="DP73" i="3"/>
  <c r="DQ73" i="3"/>
  <c r="DR73" i="3"/>
  <c r="DS73" i="3"/>
  <c r="DT73" i="3"/>
  <c r="DU73" i="3"/>
  <c r="DV73" i="3"/>
  <c r="DW73" i="3"/>
  <c r="DX73" i="3"/>
  <c r="DY73" i="3"/>
  <c r="DZ73" i="3"/>
  <c r="EA73" i="3"/>
  <c r="EB73" i="3"/>
  <c r="EC73" i="3"/>
  <c r="ED73" i="3"/>
  <c r="EE73" i="3"/>
  <c r="EF73" i="3"/>
  <c r="EG73" i="3"/>
  <c r="EI73" i="3"/>
  <c r="EJ73" i="3"/>
  <c r="EK73" i="3"/>
  <c r="EL73" i="3"/>
  <c r="EM73" i="3"/>
  <c r="EN73" i="3"/>
  <c r="EO73" i="3"/>
  <c r="EP73" i="3"/>
  <c r="EQ73" i="3"/>
  <c r="ER73" i="3"/>
  <c r="ES73" i="3"/>
  <c r="ET73" i="3"/>
  <c r="EU73" i="3"/>
  <c r="EV73" i="3"/>
  <c r="EW73" i="3"/>
  <c r="EX73" i="3"/>
  <c r="EY73" i="3"/>
  <c r="EZ73" i="3"/>
  <c r="FA73" i="3"/>
  <c r="FB73" i="3"/>
  <c r="FC73" i="3"/>
  <c r="FD73" i="3"/>
  <c r="FE73" i="3"/>
  <c r="FF73" i="3"/>
  <c r="FG73" i="3"/>
  <c r="FH73" i="3"/>
  <c r="FI73" i="3"/>
  <c r="FJ73" i="3"/>
  <c r="FK73" i="3"/>
  <c r="FL73" i="3"/>
  <c r="FM73" i="3"/>
  <c r="FN73" i="3"/>
  <c r="FO73" i="3"/>
  <c r="FP73" i="3"/>
  <c r="FQ73" i="3"/>
  <c r="FR73" i="3"/>
  <c r="FS73" i="3"/>
  <c r="FT73" i="3"/>
  <c r="FU73" i="3"/>
  <c r="FV73" i="3"/>
  <c r="FW73" i="3"/>
  <c r="FX73" i="3"/>
  <c r="FY73" i="3"/>
  <c r="FZ73" i="3"/>
  <c r="GA73" i="3"/>
  <c r="GB73" i="3"/>
  <c r="GC73" i="3"/>
  <c r="GD73" i="3"/>
  <c r="GE73" i="3"/>
  <c r="GF73" i="3"/>
  <c r="GG73" i="3"/>
  <c r="GH73" i="3"/>
  <c r="GI73" i="3"/>
  <c r="GJ73" i="3"/>
  <c r="GK73" i="3"/>
  <c r="GL73" i="3"/>
  <c r="GM73" i="3"/>
  <c r="GN73" i="3"/>
  <c r="GO73" i="3"/>
  <c r="GP73" i="3"/>
  <c r="GQ73" i="3"/>
  <c r="GR73" i="3"/>
  <c r="GS73" i="3"/>
  <c r="GT73" i="3"/>
  <c r="GU73" i="3"/>
  <c r="GV73" i="3"/>
  <c r="GW73" i="3"/>
  <c r="GX73" i="3"/>
  <c r="GY73" i="3"/>
  <c r="GZ73" i="3"/>
  <c r="HA73" i="3"/>
  <c r="HB73" i="3"/>
  <c r="HC73" i="3"/>
  <c r="HD73" i="3"/>
  <c r="HE73" i="3"/>
  <c r="HF73" i="3"/>
  <c r="HG73" i="3"/>
  <c r="HH73" i="3"/>
  <c r="HI73" i="3"/>
  <c r="HJ73" i="3"/>
  <c r="HK73" i="3"/>
  <c r="HL73" i="3"/>
  <c r="HM73" i="3"/>
  <c r="HN73" i="3"/>
  <c r="HO73" i="3"/>
  <c r="HP73" i="3"/>
  <c r="HQ73" i="3"/>
  <c r="HR73" i="3"/>
  <c r="HS73" i="3"/>
  <c r="HT73" i="3"/>
  <c r="HU73" i="3"/>
  <c r="HV73" i="3"/>
  <c r="HW73" i="3"/>
  <c r="HX73" i="3"/>
  <c r="HY73" i="3"/>
  <c r="HZ73" i="3"/>
  <c r="IA73" i="3"/>
  <c r="IB73" i="3"/>
  <c r="IC73" i="3"/>
  <c r="ID73" i="3"/>
  <c r="IE73" i="3"/>
  <c r="IF73" i="3"/>
  <c r="IG73" i="3"/>
  <c r="IH73" i="3"/>
  <c r="II73" i="3"/>
  <c r="IJ73" i="3"/>
  <c r="IK73" i="3"/>
  <c r="IL73" i="3"/>
  <c r="IM73" i="3"/>
  <c r="IN73" i="3"/>
  <c r="IO73" i="3"/>
  <c r="IP73" i="3"/>
  <c r="IQ73" i="3"/>
  <c r="IR73" i="3"/>
  <c r="IS73" i="3"/>
  <c r="IT73" i="3"/>
  <c r="IU73" i="3"/>
  <c r="IV73" i="3"/>
  <c r="IW73" i="3"/>
  <c r="IX73" i="3"/>
  <c r="IY73" i="3"/>
  <c r="IZ73" i="3"/>
  <c r="JA73" i="3"/>
  <c r="JB73" i="3"/>
  <c r="JC73" i="3"/>
  <c r="JD73" i="3"/>
  <c r="JE73" i="3"/>
  <c r="JF73" i="3"/>
  <c r="JG73" i="3"/>
  <c r="JH73" i="3"/>
  <c r="JI73" i="3"/>
  <c r="JJ73" i="3"/>
  <c r="JK73" i="3"/>
  <c r="JL73" i="3"/>
  <c r="JM73" i="3"/>
  <c r="A74" i="3"/>
  <c r="B74" i="3"/>
  <c r="W74" i="3"/>
  <c r="X74" i="3"/>
  <c r="Y74" i="3"/>
  <c r="Z74" i="3"/>
  <c r="AA74" i="3"/>
  <c r="AB74" i="3"/>
  <c r="AC74" i="3"/>
  <c r="AD74" i="3"/>
  <c r="AE74" i="3"/>
  <c r="AF74" i="3"/>
  <c r="AG74" i="3"/>
  <c r="AH74" i="3"/>
  <c r="AI74" i="3"/>
  <c r="AJ74" i="3"/>
  <c r="AK74" i="3"/>
  <c r="AL74" i="3"/>
  <c r="AM74" i="3"/>
  <c r="AN74" i="3"/>
  <c r="AO74" i="3"/>
  <c r="AP74" i="3"/>
  <c r="AQ74" i="3"/>
  <c r="AR74" i="3"/>
  <c r="AS74" i="3"/>
  <c r="AT74" i="3"/>
  <c r="AU74" i="3"/>
  <c r="AV74" i="3"/>
  <c r="AW74" i="3"/>
  <c r="AX74" i="3"/>
  <c r="AY74" i="3"/>
  <c r="AZ74" i="3"/>
  <c r="BA74" i="3"/>
  <c r="BB74" i="3"/>
  <c r="BC74" i="3"/>
  <c r="BD74" i="3"/>
  <c r="BE74" i="3"/>
  <c r="BF74" i="3"/>
  <c r="BG74" i="3"/>
  <c r="BH74" i="3"/>
  <c r="BI74" i="3"/>
  <c r="BJ74" i="3"/>
  <c r="BK74" i="3"/>
  <c r="BL74" i="3"/>
  <c r="BM74" i="3"/>
  <c r="BN74" i="3"/>
  <c r="BO74" i="3"/>
  <c r="BP74" i="3"/>
  <c r="BQ74" i="3"/>
  <c r="BR74" i="3"/>
  <c r="BS74" i="3"/>
  <c r="BT74" i="3"/>
  <c r="BU74" i="3"/>
  <c r="BV74" i="3"/>
  <c r="BW74" i="3"/>
  <c r="BX74" i="3"/>
  <c r="BY74" i="3"/>
  <c r="BZ74" i="3"/>
  <c r="CA74" i="3"/>
  <c r="CB74" i="3"/>
  <c r="CC74" i="3"/>
  <c r="CD74" i="3"/>
  <c r="CE74" i="3"/>
  <c r="CF74" i="3"/>
  <c r="CG74" i="3"/>
  <c r="CH74" i="3"/>
  <c r="CI74" i="3"/>
  <c r="CJ74" i="3"/>
  <c r="CK74" i="3"/>
  <c r="CL74" i="3"/>
  <c r="CM74" i="3"/>
  <c r="CN74" i="3"/>
  <c r="CO74" i="3"/>
  <c r="CP74" i="3"/>
  <c r="CQ74" i="3"/>
  <c r="CR74" i="3"/>
  <c r="CS74" i="3"/>
  <c r="CT74" i="3"/>
  <c r="CU74" i="3"/>
  <c r="CV74" i="3"/>
  <c r="CW74" i="3"/>
  <c r="CX74" i="3"/>
  <c r="CY74" i="3"/>
  <c r="CZ74" i="3"/>
  <c r="DA74" i="3"/>
  <c r="DB74" i="3"/>
  <c r="DC74" i="3"/>
  <c r="DD74" i="3"/>
  <c r="DE74" i="3"/>
  <c r="DF74" i="3"/>
  <c r="DG74" i="3"/>
  <c r="DH74" i="3"/>
  <c r="DI74" i="3"/>
  <c r="DJ74" i="3"/>
  <c r="DK74" i="3"/>
  <c r="DL74" i="3"/>
  <c r="DM74" i="3"/>
  <c r="DN74" i="3"/>
  <c r="DO74" i="3"/>
  <c r="DP74" i="3"/>
  <c r="DQ74" i="3"/>
  <c r="DR74" i="3"/>
  <c r="DS74" i="3"/>
  <c r="DT74" i="3"/>
  <c r="DU74" i="3"/>
  <c r="DV74" i="3"/>
  <c r="DW74" i="3"/>
  <c r="DX74" i="3"/>
  <c r="DY74" i="3"/>
  <c r="DZ74" i="3"/>
  <c r="EA74" i="3"/>
  <c r="EB74" i="3"/>
  <c r="EC74" i="3"/>
  <c r="ED74" i="3"/>
  <c r="EE74" i="3"/>
  <c r="EF74" i="3"/>
  <c r="EG74" i="3"/>
  <c r="EI74" i="3"/>
  <c r="EJ74" i="3"/>
  <c r="EK74" i="3"/>
  <c r="EL74" i="3"/>
  <c r="EM74" i="3"/>
  <c r="EN74" i="3"/>
  <c r="EO74" i="3"/>
  <c r="EP74" i="3"/>
  <c r="EQ74" i="3"/>
  <c r="ER74" i="3"/>
  <c r="ES74" i="3"/>
  <c r="ET74" i="3"/>
  <c r="EU74" i="3"/>
  <c r="EV74" i="3"/>
  <c r="EW74" i="3"/>
  <c r="EX74" i="3"/>
  <c r="EY74" i="3"/>
  <c r="EZ74" i="3"/>
  <c r="FA74" i="3"/>
  <c r="FB74" i="3"/>
  <c r="FC74" i="3"/>
  <c r="FD74" i="3"/>
  <c r="FE74" i="3"/>
  <c r="FF74" i="3"/>
  <c r="FG74" i="3"/>
  <c r="FH74" i="3"/>
  <c r="FI74" i="3"/>
  <c r="FJ74" i="3"/>
  <c r="FK74" i="3"/>
  <c r="FL74" i="3"/>
  <c r="FM74" i="3"/>
  <c r="FN74" i="3"/>
  <c r="FO74" i="3"/>
  <c r="FP74" i="3"/>
  <c r="FQ74" i="3"/>
  <c r="FR74" i="3"/>
  <c r="FS74" i="3"/>
  <c r="FT74" i="3"/>
  <c r="FU74" i="3"/>
  <c r="FV74" i="3"/>
  <c r="FW74" i="3"/>
  <c r="FX74" i="3"/>
  <c r="FY74" i="3"/>
  <c r="FZ74" i="3"/>
  <c r="GA74" i="3"/>
  <c r="GB74" i="3"/>
  <c r="GC74" i="3"/>
  <c r="GD74" i="3"/>
  <c r="GE74" i="3"/>
  <c r="GF74" i="3"/>
  <c r="GG74" i="3"/>
  <c r="GH74" i="3"/>
  <c r="GI74" i="3"/>
  <c r="GJ74" i="3"/>
  <c r="GK74" i="3"/>
  <c r="GL74" i="3"/>
  <c r="GM74" i="3"/>
  <c r="GN74" i="3"/>
  <c r="GO74" i="3"/>
  <c r="GP74" i="3"/>
  <c r="GQ74" i="3"/>
  <c r="GR74" i="3"/>
  <c r="GS74" i="3"/>
  <c r="GT74" i="3"/>
  <c r="GU74" i="3"/>
  <c r="GV74" i="3"/>
  <c r="GW74" i="3"/>
  <c r="GX74" i="3"/>
  <c r="GY74" i="3"/>
  <c r="GZ74" i="3"/>
  <c r="HA74" i="3"/>
  <c r="HB74" i="3"/>
  <c r="HC74" i="3"/>
  <c r="HD74" i="3"/>
  <c r="HE74" i="3"/>
  <c r="HF74" i="3"/>
  <c r="HG74" i="3"/>
  <c r="HH74" i="3"/>
  <c r="HI74" i="3"/>
  <c r="HJ74" i="3"/>
  <c r="HK74" i="3"/>
  <c r="HL74" i="3"/>
  <c r="HM74" i="3"/>
  <c r="HN74" i="3"/>
  <c r="HO74" i="3"/>
  <c r="HP74" i="3"/>
  <c r="HQ74" i="3"/>
  <c r="HR74" i="3"/>
  <c r="HS74" i="3"/>
  <c r="HT74" i="3"/>
  <c r="HU74" i="3"/>
  <c r="HV74" i="3"/>
  <c r="HW74" i="3"/>
  <c r="HX74" i="3"/>
  <c r="HY74" i="3"/>
  <c r="HZ74" i="3"/>
  <c r="IA74" i="3"/>
  <c r="IB74" i="3"/>
  <c r="IC74" i="3"/>
  <c r="ID74" i="3"/>
  <c r="IE74" i="3"/>
  <c r="IF74" i="3"/>
  <c r="IG74" i="3"/>
  <c r="IH74" i="3"/>
  <c r="II74" i="3"/>
  <c r="IJ74" i="3"/>
  <c r="IK74" i="3"/>
  <c r="IL74" i="3"/>
  <c r="IM74" i="3"/>
  <c r="IN74" i="3"/>
  <c r="IO74" i="3"/>
  <c r="IP74" i="3"/>
  <c r="IQ74" i="3"/>
  <c r="IR74" i="3"/>
  <c r="IS74" i="3"/>
  <c r="IT74" i="3"/>
  <c r="IU74" i="3"/>
  <c r="IV74" i="3"/>
  <c r="IW74" i="3"/>
  <c r="IX74" i="3"/>
  <c r="IY74" i="3"/>
  <c r="IZ74" i="3"/>
  <c r="JA74" i="3"/>
  <c r="JB74" i="3"/>
  <c r="JC74" i="3"/>
  <c r="JD74" i="3"/>
  <c r="JE74" i="3"/>
  <c r="JF74" i="3"/>
  <c r="JG74" i="3"/>
  <c r="JH74" i="3"/>
  <c r="JI74" i="3"/>
  <c r="JJ74" i="3"/>
  <c r="JK74" i="3"/>
  <c r="JL74" i="3"/>
  <c r="JM74" i="3"/>
  <c r="A75" i="3"/>
  <c r="B75" i="3"/>
  <c r="E75" i="3"/>
  <c r="F75" i="3"/>
  <c r="G75" i="3"/>
  <c r="H75" i="3"/>
  <c r="I75" i="3"/>
  <c r="J75" i="3"/>
  <c r="K75" i="3"/>
  <c r="L75" i="3"/>
  <c r="M75" i="3"/>
  <c r="N75" i="3"/>
  <c r="O75" i="3"/>
  <c r="P75" i="3"/>
  <c r="Q75" i="3"/>
  <c r="R75" i="3"/>
  <c r="S75" i="3"/>
  <c r="T75" i="3"/>
  <c r="U75" i="3"/>
  <c r="V75" i="3"/>
  <c r="W75" i="3"/>
  <c r="X75" i="3"/>
  <c r="Y75" i="3"/>
  <c r="Z75" i="3"/>
  <c r="AA75" i="3"/>
  <c r="AB75" i="3"/>
  <c r="AC75" i="3"/>
  <c r="AD75" i="3"/>
  <c r="AE75" i="3"/>
  <c r="AF75" i="3"/>
  <c r="AG75" i="3"/>
  <c r="AH75" i="3"/>
  <c r="AI75" i="3"/>
  <c r="AJ75" i="3"/>
  <c r="AK75" i="3"/>
  <c r="AL75" i="3"/>
  <c r="AM75" i="3"/>
  <c r="AN75" i="3"/>
  <c r="AO75" i="3"/>
  <c r="AP75" i="3"/>
  <c r="AQ75" i="3"/>
  <c r="AR75" i="3"/>
  <c r="AS75" i="3"/>
  <c r="AT75" i="3"/>
  <c r="AU75" i="3"/>
  <c r="AV75" i="3"/>
  <c r="AW75" i="3"/>
  <c r="AX75" i="3"/>
  <c r="AY75" i="3"/>
  <c r="AZ75" i="3"/>
  <c r="BA75" i="3"/>
  <c r="BB75" i="3"/>
  <c r="BC75" i="3"/>
  <c r="BD75" i="3"/>
  <c r="BE75" i="3"/>
  <c r="BF75" i="3"/>
  <c r="BG75" i="3"/>
  <c r="BH75" i="3"/>
  <c r="BI75" i="3"/>
  <c r="BJ75" i="3"/>
  <c r="BK75" i="3"/>
  <c r="BL75" i="3"/>
  <c r="BM75" i="3"/>
  <c r="BN75" i="3"/>
  <c r="BO75" i="3"/>
  <c r="BP75" i="3"/>
  <c r="BQ75" i="3"/>
  <c r="BR75" i="3"/>
  <c r="BS75" i="3"/>
  <c r="BT75" i="3"/>
  <c r="BU75" i="3"/>
  <c r="BV75" i="3"/>
  <c r="BW75" i="3"/>
  <c r="BX75" i="3"/>
  <c r="BY75" i="3"/>
  <c r="BZ75" i="3"/>
  <c r="CA75" i="3"/>
  <c r="CB75" i="3"/>
  <c r="CC75" i="3"/>
  <c r="CD75" i="3"/>
  <c r="CE75" i="3"/>
  <c r="CF75" i="3"/>
  <c r="CG75" i="3"/>
  <c r="CH75" i="3"/>
  <c r="CI75" i="3"/>
  <c r="CJ75" i="3"/>
  <c r="CK75" i="3"/>
  <c r="CL75" i="3"/>
  <c r="CM75" i="3"/>
  <c r="CN75" i="3"/>
  <c r="CO75" i="3"/>
  <c r="CP75" i="3"/>
  <c r="CQ75" i="3"/>
  <c r="CR75" i="3"/>
  <c r="CS75" i="3"/>
  <c r="CT75" i="3"/>
  <c r="CU75" i="3"/>
  <c r="CV75" i="3"/>
  <c r="CW75" i="3"/>
  <c r="CX75" i="3"/>
  <c r="CY75" i="3"/>
  <c r="CZ75" i="3"/>
  <c r="DA75" i="3"/>
  <c r="DB75" i="3"/>
  <c r="DC75" i="3"/>
  <c r="DD75" i="3"/>
  <c r="DE75" i="3"/>
  <c r="DF75" i="3"/>
  <c r="DG75" i="3"/>
  <c r="DH75" i="3"/>
  <c r="DI75" i="3"/>
  <c r="DJ75" i="3"/>
  <c r="DK75" i="3"/>
  <c r="DL75" i="3"/>
  <c r="DM75" i="3"/>
  <c r="DN75" i="3"/>
  <c r="DO75" i="3"/>
  <c r="DP75" i="3"/>
  <c r="DQ75" i="3"/>
  <c r="DR75" i="3"/>
  <c r="DS75" i="3"/>
  <c r="DT75" i="3"/>
  <c r="DU75" i="3"/>
  <c r="DV75" i="3"/>
  <c r="DW75" i="3"/>
  <c r="DX75" i="3"/>
  <c r="DY75" i="3"/>
  <c r="DZ75" i="3"/>
  <c r="EA75" i="3"/>
  <c r="EB75" i="3"/>
  <c r="EC75" i="3"/>
  <c r="ED75" i="3"/>
  <c r="EE75" i="3"/>
  <c r="EF75" i="3"/>
  <c r="EG75" i="3"/>
  <c r="EI75" i="3"/>
  <c r="EJ75" i="3"/>
  <c r="EK75" i="3"/>
  <c r="EL75" i="3"/>
  <c r="EM75" i="3"/>
  <c r="EN75" i="3"/>
  <c r="EO75" i="3"/>
  <c r="EP75" i="3"/>
  <c r="EQ75" i="3"/>
  <c r="ER75" i="3"/>
  <c r="ES75" i="3"/>
  <c r="ET75" i="3"/>
  <c r="EU75" i="3"/>
  <c r="EV75" i="3"/>
  <c r="EW75" i="3"/>
  <c r="EX75" i="3"/>
  <c r="EY75" i="3"/>
  <c r="EZ75" i="3"/>
  <c r="FA75" i="3"/>
  <c r="FB75" i="3"/>
  <c r="FC75" i="3"/>
  <c r="FD75" i="3"/>
  <c r="FE75" i="3"/>
  <c r="FF75" i="3"/>
  <c r="FG75" i="3"/>
  <c r="FH75" i="3"/>
  <c r="FI75" i="3"/>
  <c r="FJ75" i="3"/>
  <c r="FK75" i="3"/>
  <c r="FL75" i="3"/>
  <c r="FM75" i="3"/>
  <c r="FN75" i="3"/>
  <c r="FO75" i="3"/>
  <c r="FP75" i="3"/>
  <c r="FQ75" i="3"/>
  <c r="FR75" i="3"/>
  <c r="FS75" i="3"/>
  <c r="FT75" i="3"/>
  <c r="FU75" i="3"/>
  <c r="FV75" i="3"/>
  <c r="FW75" i="3"/>
  <c r="FX75" i="3"/>
  <c r="FY75" i="3"/>
  <c r="FZ75" i="3"/>
  <c r="GA75" i="3"/>
  <c r="GB75" i="3"/>
  <c r="GC75" i="3"/>
  <c r="GD75" i="3"/>
  <c r="GE75" i="3"/>
  <c r="GF75" i="3"/>
  <c r="GG75" i="3"/>
  <c r="GH75" i="3"/>
  <c r="GI75" i="3"/>
  <c r="GJ75" i="3"/>
  <c r="GK75" i="3"/>
  <c r="GL75" i="3"/>
  <c r="GM75" i="3"/>
  <c r="GN75" i="3"/>
  <c r="GO75" i="3"/>
  <c r="GP75" i="3"/>
  <c r="GQ75" i="3"/>
  <c r="GR75" i="3"/>
  <c r="GS75" i="3"/>
  <c r="GT75" i="3"/>
  <c r="GU75" i="3"/>
  <c r="GV75" i="3"/>
  <c r="GW75" i="3"/>
  <c r="GX75" i="3"/>
  <c r="GY75" i="3"/>
  <c r="GZ75" i="3"/>
  <c r="HA75" i="3"/>
  <c r="HB75" i="3"/>
  <c r="HC75" i="3"/>
  <c r="HD75" i="3"/>
  <c r="HE75" i="3"/>
  <c r="HF75" i="3"/>
  <c r="HG75" i="3"/>
  <c r="HH75" i="3"/>
  <c r="HI75" i="3"/>
  <c r="HJ75" i="3"/>
  <c r="HK75" i="3"/>
  <c r="HL75" i="3"/>
  <c r="HM75" i="3"/>
  <c r="HN75" i="3"/>
  <c r="HO75" i="3"/>
  <c r="HP75" i="3"/>
  <c r="HQ75" i="3"/>
  <c r="HR75" i="3"/>
  <c r="HS75" i="3"/>
  <c r="HT75" i="3"/>
  <c r="HU75" i="3"/>
  <c r="HV75" i="3"/>
  <c r="HW75" i="3"/>
  <c r="HX75" i="3"/>
  <c r="HY75" i="3"/>
  <c r="HZ75" i="3"/>
  <c r="IA75" i="3"/>
  <c r="IB75" i="3"/>
  <c r="IC75" i="3"/>
  <c r="ID75" i="3"/>
  <c r="IE75" i="3"/>
  <c r="IF75" i="3"/>
  <c r="IG75" i="3"/>
  <c r="IH75" i="3"/>
  <c r="II75" i="3"/>
  <c r="IJ75" i="3"/>
  <c r="IK75" i="3"/>
  <c r="IL75" i="3"/>
  <c r="IM75" i="3"/>
  <c r="IN75" i="3"/>
  <c r="IO75" i="3"/>
  <c r="IP75" i="3"/>
  <c r="IQ75" i="3"/>
  <c r="IR75" i="3"/>
  <c r="IS75" i="3"/>
  <c r="IT75" i="3"/>
  <c r="IU75" i="3"/>
  <c r="IV75" i="3"/>
  <c r="IW75" i="3"/>
  <c r="IX75" i="3"/>
  <c r="IY75" i="3"/>
  <c r="IZ75" i="3"/>
  <c r="JA75" i="3"/>
  <c r="JB75" i="3"/>
  <c r="JC75" i="3"/>
  <c r="JD75" i="3"/>
  <c r="JE75" i="3"/>
  <c r="JF75" i="3"/>
  <c r="JG75" i="3"/>
  <c r="JH75" i="3"/>
  <c r="JI75" i="3"/>
  <c r="JJ75" i="3"/>
  <c r="JK75" i="3"/>
  <c r="JL75" i="3"/>
  <c r="JM75" i="3"/>
  <c r="A66" i="3"/>
  <c r="B66" i="3"/>
  <c r="C66" i="3"/>
  <c r="D66" i="3"/>
  <c r="E66" i="3"/>
  <c r="F66" i="3"/>
  <c r="G66" i="3"/>
  <c r="H66" i="3"/>
  <c r="I66" i="3"/>
  <c r="J66" i="3"/>
  <c r="K66" i="3"/>
  <c r="L66" i="3"/>
  <c r="M66" i="3"/>
  <c r="N66" i="3"/>
  <c r="O66" i="3"/>
  <c r="P66" i="3"/>
  <c r="Q66" i="3"/>
  <c r="R66" i="3"/>
  <c r="S66" i="3"/>
  <c r="T66" i="3"/>
  <c r="U66" i="3"/>
  <c r="V66" i="3"/>
  <c r="W66" i="3"/>
  <c r="X66" i="3"/>
  <c r="Y66" i="3"/>
  <c r="Z66" i="3"/>
  <c r="AA66" i="3"/>
  <c r="AB66" i="3"/>
  <c r="AC66" i="3"/>
  <c r="AD66" i="3"/>
  <c r="AE66" i="3"/>
  <c r="AF66" i="3"/>
  <c r="AG66" i="3"/>
  <c r="AH66" i="3"/>
  <c r="AI66" i="3"/>
  <c r="AJ66" i="3"/>
  <c r="AK66" i="3"/>
  <c r="AL66" i="3"/>
  <c r="AM66" i="3"/>
  <c r="AN66" i="3"/>
  <c r="AO66" i="3"/>
  <c r="AP66" i="3"/>
  <c r="AQ66" i="3"/>
  <c r="AR66" i="3"/>
  <c r="AS66" i="3"/>
  <c r="AT66" i="3"/>
  <c r="AU66" i="3"/>
  <c r="AV66" i="3"/>
  <c r="AW66" i="3"/>
  <c r="AX66" i="3"/>
  <c r="AY66" i="3"/>
  <c r="AZ66" i="3"/>
  <c r="BA66" i="3"/>
  <c r="BB66" i="3"/>
  <c r="BC66" i="3"/>
  <c r="BD66" i="3"/>
  <c r="BE66" i="3"/>
  <c r="BF66" i="3"/>
  <c r="BG66" i="3"/>
  <c r="BH66" i="3"/>
  <c r="BI66" i="3"/>
  <c r="BJ66" i="3"/>
  <c r="BK66" i="3"/>
  <c r="BL66" i="3"/>
  <c r="BM66" i="3"/>
  <c r="BN66" i="3"/>
  <c r="BO66" i="3"/>
  <c r="BP66" i="3"/>
  <c r="BQ66" i="3"/>
  <c r="BR66" i="3"/>
  <c r="BS66" i="3"/>
  <c r="BT66" i="3"/>
  <c r="BU66" i="3"/>
  <c r="BV66" i="3"/>
  <c r="BW66" i="3"/>
  <c r="BX66" i="3"/>
  <c r="BY66" i="3"/>
  <c r="BZ66" i="3"/>
  <c r="CA66" i="3"/>
  <c r="CB66" i="3"/>
  <c r="CC66" i="3"/>
  <c r="CD66" i="3"/>
  <c r="CE66" i="3"/>
  <c r="CF66" i="3"/>
  <c r="CG66" i="3"/>
  <c r="CH66" i="3"/>
  <c r="CI66" i="3"/>
  <c r="CJ66" i="3"/>
  <c r="CK66" i="3"/>
  <c r="CL66" i="3"/>
  <c r="CM66" i="3"/>
  <c r="CN66" i="3"/>
  <c r="CO66" i="3"/>
  <c r="CP66" i="3"/>
  <c r="CQ66" i="3"/>
  <c r="CR66" i="3"/>
  <c r="CS66" i="3"/>
  <c r="CT66" i="3"/>
  <c r="CU66" i="3"/>
  <c r="CV66" i="3"/>
  <c r="CW66" i="3"/>
  <c r="CX66" i="3"/>
  <c r="CY66" i="3"/>
  <c r="CZ66" i="3"/>
  <c r="DA66" i="3"/>
  <c r="DB66" i="3"/>
  <c r="DC66" i="3"/>
  <c r="DD66" i="3"/>
  <c r="DE66" i="3"/>
  <c r="DF66" i="3"/>
  <c r="DG66" i="3"/>
  <c r="DH66" i="3"/>
  <c r="DI66" i="3"/>
  <c r="DJ66" i="3"/>
  <c r="DK66" i="3"/>
  <c r="DL66" i="3"/>
  <c r="DM66" i="3"/>
  <c r="DN66" i="3"/>
  <c r="DO66" i="3"/>
  <c r="DP66" i="3"/>
  <c r="DQ66" i="3"/>
  <c r="DR66" i="3"/>
  <c r="DS66" i="3"/>
  <c r="DT66" i="3"/>
  <c r="DU66" i="3"/>
  <c r="DV66" i="3"/>
  <c r="DW66" i="3"/>
  <c r="DX66" i="3"/>
  <c r="DY66" i="3"/>
  <c r="DZ66" i="3"/>
  <c r="EA66" i="3"/>
  <c r="EB66" i="3"/>
  <c r="EC66" i="3"/>
  <c r="ED66" i="3"/>
  <c r="EE66" i="3"/>
  <c r="EF66" i="3"/>
  <c r="EG66" i="3"/>
  <c r="EI66" i="3"/>
  <c r="EJ66" i="3"/>
  <c r="EK66" i="3"/>
  <c r="EL66" i="3"/>
  <c r="EM66" i="3"/>
  <c r="EN66" i="3"/>
  <c r="EO66" i="3"/>
  <c r="EP66" i="3"/>
  <c r="EQ66" i="3"/>
  <c r="ER66" i="3"/>
  <c r="ES66" i="3"/>
  <c r="ET66" i="3"/>
  <c r="EU66" i="3"/>
  <c r="EV66" i="3"/>
  <c r="EW66" i="3"/>
  <c r="EX66" i="3"/>
  <c r="EY66" i="3"/>
  <c r="EZ66" i="3"/>
  <c r="FA66" i="3"/>
  <c r="FB66" i="3"/>
  <c r="FC66" i="3"/>
  <c r="FD66" i="3"/>
  <c r="FE66" i="3"/>
  <c r="FF66" i="3"/>
  <c r="FG66" i="3"/>
  <c r="FH66" i="3"/>
  <c r="FI66" i="3"/>
  <c r="FJ66" i="3"/>
  <c r="FK66" i="3"/>
  <c r="FL66" i="3"/>
  <c r="FM66" i="3"/>
  <c r="FN66" i="3"/>
  <c r="FO66" i="3"/>
  <c r="FP66" i="3"/>
  <c r="FQ66" i="3"/>
  <c r="FR66" i="3"/>
  <c r="FS66" i="3"/>
  <c r="FT66" i="3"/>
  <c r="FU66" i="3"/>
  <c r="FV66" i="3"/>
  <c r="FW66" i="3"/>
  <c r="FX66" i="3"/>
  <c r="FY66" i="3"/>
  <c r="FZ66" i="3"/>
  <c r="GA66" i="3"/>
  <c r="GB66" i="3"/>
  <c r="GC66" i="3"/>
  <c r="GD66" i="3"/>
  <c r="GE66" i="3"/>
  <c r="GF66" i="3"/>
  <c r="GG66" i="3"/>
  <c r="GH66" i="3"/>
  <c r="GI66" i="3"/>
  <c r="GJ66" i="3"/>
  <c r="GK66" i="3"/>
  <c r="GL66" i="3"/>
  <c r="GM66" i="3"/>
  <c r="GN66" i="3"/>
  <c r="GO66" i="3"/>
  <c r="GP66" i="3"/>
  <c r="GQ66" i="3"/>
  <c r="GR66" i="3"/>
  <c r="GS66" i="3"/>
  <c r="GT66" i="3"/>
  <c r="GU66" i="3"/>
  <c r="GV66" i="3"/>
  <c r="GW66" i="3"/>
  <c r="GX66" i="3"/>
  <c r="GY66" i="3"/>
  <c r="GZ66" i="3"/>
  <c r="HA66" i="3"/>
  <c r="HB66" i="3"/>
  <c r="HC66" i="3"/>
  <c r="HD66" i="3"/>
  <c r="HE66" i="3"/>
  <c r="HF66" i="3"/>
  <c r="HG66" i="3"/>
  <c r="HH66" i="3"/>
  <c r="HI66" i="3"/>
  <c r="HJ66" i="3"/>
  <c r="HK66" i="3"/>
  <c r="HL66" i="3"/>
  <c r="HM66" i="3"/>
  <c r="HN66" i="3"/>
  <c r="HO66" i="3"/>
  <c r="HP66" i="3"/>
  <c r="HQ66" i="3"/>
  <c r="HR66" i="3"/>
  <c r="HS66" i="3"/>
  <c r="HT66" i="3"/>
  <c r="HU66" i="3"/>
  <c r="HV66" i="3"/>
  <c r="HW66" i="3"/>
  <c r="HX66" i="3"/>
  <c r="HY66" i="3"/>
  <c r="HZ66" i="3"/>
  <c r="IA66" i="3"/>
  <c r="IB66" i="3"/>
  <c r="IC66" i="3"/>
  <c r="ID66" i="3"/>
  <c r="IE66" i="3"/>
  <c r="IF66" i="3"/>
  <c r="IG66" i="3"/>
  <c r="IH66" i="3"/>
  <c r="II66" i="3"/>
  <c r="IJ66" i="3"/>
  <c r="IK66" i="3"/>
  <c r="IL66" i="3"/>
  <c r="IM66" i="3"/>
  <c r="IN66" i="3"/>
  <c r="IO66" i="3"/>
  <c r="IP66" i="3"/>
  <c r="IQ66" i="3"/>
  <c r="IR66" i="3"/>
  <c r="IS66" i="3"/>
  <c r="IT66" i="3"/>
  <c r="IU66" i="3"/>
  <c r="IV66" i="3"/>
  <c r="IW66" i="3"/>
  <c r="IX66" i="3"/>
  <c r="IY66" i="3"/>
  <c r="IZ66" i="3"/>
  <c r="JA66" i="3"/>
  <c r="JB66" i="3"/>
  <c r="JC66" i="3"/>
  <c r="JD66" i="3"/>
  <c r="JE66" i="3"/>
  <c r="JF66" i="3"/>
  <c r="JG66" i="3"/>
  <c r="JH66" i="3"/>
  <c r="JI66" i="3"/>
  <c r="JJ66" i="3"/>
  <c r="JK66" i="3"/>
  <c r="JL66" i="3"/>
  <c r="JM66" i="3"/>
  <c r="A67" i="3"/>
  <c r="B67" i="3"/>
  <c r="M67" i="3"/>
  <c r="N67" i="3"/>
  <c r="O67" i="3"/>
  <c r="P67" i="3"/>
  <c r="Q67" i="3"/>
  <c r="R67" i="3"/>
  <c r="S67" i="3"/>
  <c r="T67" i="3"/>
  <c r="U67" i="3"/>
  <c r="V67" i="3"/>
  <c r="W67" i="3"/>
  <c r="X67" i="3"/>
  <c r="Y67" i="3"/>
  <c r="Z67" i="3"/>
  <c r="AA67" i="3"/>
  <c r="AB67" i="3"/>
  <c r="AC67" i="3"/>
  <c r="AD67" i="3"/>
  <c r="AE67" i="3"/>
  <c r="AF67" i="3"/>
  <c r="AG67" i="3"/>
  <c r="AH67" i="3"/>
  <c r="AI67" i="3"/>
  <c r="AJ67" i="3"/>
  <c r="AK67" i="3"/>
  <c r="AL67" i="3"/>
  <c r="AM67" i="3"/>
  <c r="AN67" i="3"/>
  <c r="AO67" i="3"/>
  <c r="AP67" i="3"/>
  <c r="AQ67" i="3"/>
  <c r="AR67" i="3"/>
  <c r="AS67" i="3"/>
  <c r="AT67" i="3"/>
  <c r="AU67" i="3"/>
  <c r="AV67" i="3"/>
  <c r="AW67" i="3"/>
  <c r="AX67" i="3"/>
  <c r="AY67" i="3"/>
  <c r="AZ67" i="3"/>
  <c r="BA67" i="3"/>
  <c r="BB67" i="3"/>
  <c r="BC67" i="3"/>
  <c r="BD67" i="3"/>
  <c r="BE67" i="3"/>
  <c r="BF67" i="3"/>
  <c r="BG67" i="3"/>
  <c r="BH67" i="3"/>
  <c r="BI67" i="3"/>
  <c r="BJ67" i="3"/>
  <c r="BK67" i="3"/>
  <c r="BL67" i="3"/>
  <c r="BM67" i="3"/>
  <c r="BN67" i="3"/>
  <c r="BO67" i="3"/>
  <c r="BP67" i="3"/>
  <c r="BQ67" i="3"/>
  <c r="BR67" i="3"/>
  <c r="BS67" i="3"/>
  <c r="BT67" i="3"/>
  <c r="BU67" i="3"/>
  <c r="BV67" i="3"/>
  <c r="BW67" i="3"/>
  <c r="BX67" i="3"/>
  <c r="BY67" i="3"/>
  <c r="BZ67" i="3"/>
  <c r="CA67" i="3"/>
  <c r="CB67" i="3"/>
  <c r="CC67" i="3"/>
  <c r="CD67" i="3"/>
  <c r="CE67" i="3"/>
  <c r="CF67" i="3"/>
  <c r="CG67" i="3"/>
  <c r="CH67" i="3"/>
  <c r="CI67" i="3"/>
  <c r="CJ67" i="3"/>
  <c r="CK67" i="3"/>
  <c r="CL67" i="3"/>
  <c r="CM67" i="3"/>
  <c r="CN67" i="3"/>
  <c r="CO67" i="3"/>
  <c r="CP67" i="3"/>
  <c r="CQ67" i="3"/>
  <c r="CR67" i="3"/>
  <c r="CS67" i="3"/>
  <c r="CT67" i="3"/>
  <c r="CU67" i="3"/>
  <c r="CV67" i="3"/>
  <c r="CW67" i="3"/>
  <c r="CX67" i="3"/>
  <c r="CY67" i="3"/>
  <c r="CZ67" i="3"/>
  <c r="DA67" i="3"/>
  <c r="DB67" i="3"/>
  <c r="DC67" i="3"/>
  <c r="DD67" i="3"/>
  <c r="DE67" i="3"/>
  <c r="DF67" i="3"/>
  <c r="DG67" i="3"/>
  <c r="DH67" i="3"/>
  <c r="DI67" i="3"/>
  <c r="DJ67" i="3"/>
  <c r="DK67" i="3"/>
  <c r="DL67" i="3"/>
  <c r="DM67" i="3"/>
  <c r="DN67" i="3"/>
  <c r="DO67" i="3"/>
  <c r="DP67" i="3"/>
  <c r="DQ67" i="3"/>
  <c r="DR67" i="3"/>
  <c r="DS67" i="3"/>
  <c r="DT67" i="3"/>
  <c r="DU67" i="3"/>
  <c r="DV67" i="3"/>
  <c r="DW67" i="3"/>
  <c r="DX67" i="3"/>
  <c r="DY67" i="3"/>
  <c r="DZ67" i="3"/>
  <c r="EA67" i="3"/>
  <c r="EB67" i="3"/>
  <c r="EC67" i="3"/>
  <c r="ED67" i="3"/>
  <c r="EE67" i="3"/>
  <c r="EF67" i="3"/>
  <c r="EG67" i="3"/>
  <c r="EI67" i="3"/>
  <c r="EJ67" i="3"/>
  <c r="EK67" i="3"/>
  <c r="EL67" i="3"/>
  <c r="EM67" i="3"/>
  <c r="EN67" i="3"/>
  <c r="EO67" i="3"/>
  <c r="EP67" i="3"/>
  <c r="EQ67" i="3"/>
  <c r="ER67" i="3"/>
  <c r="ES67" i="3"/>
  <c r="ET67" i="3"/>
  <c r="EU67" i="3"/>
  <c r="EV67" i="3"/>
  <c r="EW67" i="3"/>
  <c r="EX67" i="3"/>
  <c r="EY67" i="3"/>
  <c r="EZ67" i="3"/>
  <c r="FA67" i="3"/>
  <c r="FB67" i="3"/>
  <c r="FC67" i="3"/>
  <c r="FD67" i="3"/>
  <c r="FE67" i="3"/>
  <c r="FF67" i="3"/>
  <c r="FG67" i="3"/>
  <c r="FH67" i="3"/>
  <c r="FI67" i="3"/>
  <c r="FJ67" i="3"/>
  <c r="FK67" i="3"/>
  <c r="FL67" i="3"/>
  <c r="FM67" i="3"/>
  <c r="FN67" i="3"/>
  <c r="FO67" i="3"/>
  <c r="FP67" i="3"/>
  <c r="FQ67" i="3"/>
  <c r="FR67" i="3"/>
  <c r="FS67" i="3"/>
  <c r="FT67" i="3"/>
  <c r="FU67" i="3"/>
  <c r="FV67" i="3"/>
  <c r="FW67" i="3"/>
  <c r="FX67" i="3"/>
  <c r="FY67" i="3"/>
  <c r="FZ67" i="3"/>
  <c r="GA67" i="3"/>
  <c r="GB67" i="3"/>
  <c r="GC67" i="3"/>
  <c r="GD67" i="3"/>
  <c r="GE67" i="3"/>
  <c r="GF67" i="3"/>
  <c r="GG67" i="3"/>
  <c r="GH67" i="3"/>
  <c r="GI67" i="3"/>
  <c r="GJ67" i="3"/>
  <c r="GK67" i="3"/>
  <c r="GL67" i="3"/>
  <c r="GM67" i="3"/>
  <c r="GN67" i="3"/>
  <c r="GO67" i="3"/>
  <c r="GP67" i="3"/>
  <c r="GQ67" i="3"/>
  <c r="GR67" i="3"/>
  <c r="GS67" i="3"/>
  <c r="GT67" i="3"/>
  <c r="GU67" i="3"/>
  <c r="GV67" i="3"/>
  <c r="GW67" i="3"/>
  <c r="GX67" i="3"/>
  <c r="GY67" i="3"/>
  <c r="GZ67" i="3"/>
  <c r="HA67" i="3"/>
  <c r="HB67" i="3"/>
  <c r="HC67" i="3"/>
  <c r="HD67" i="3"/>
  <c r="HE67" i="3"/>
  <c r="HF67" i="3"/>
  <c r="HG67" i="3"/>
  <c r="HH67" i="3"/>
  <c r="HI67" i="3"/>
  <c r="HJ67" i="3"/>
  <c r="HK67" i="3"/>
  <c r="HL67" i="3"/>
  <c r="HM67" i="3"/>
  <c r="HN67" i="3"/>
  <c r="HO67" i="3"/>
  <c r="HP67" i="3"/>
  <c r="HQ67" i="3"/>
  <c r="HR67" i="3"/>
  <c r="HS67" i="3"/>
  <c r="HT67" i="3"/>
  <c r="HU67" i="3"/>
  <c r="HV67" i="3"/>
  <c r="HW67" i="3"/>
  <c r="HX67" i="3"/>
  <c r="HY67" i="3"/>
  <c r="HZ67" i="3"/>
  <c r="IA67" i="3"/>
  <c r="IB67" i="3"/>
  <c r="IC67" i="3"/>
  <c r="ID67" i="3"/>
  <c r="IE67" i="3"/>
  <c r="IF67" i="3"/>
  <c r="IG67" i="3"/>
  <c r="IH67" i="3"/>
  <c r="II67" i="3"/>
  <c r="IJ67" i="3"/>
  <c r="IK67" i="3"/>
  <c r="IL67" i="3"/>
  <c r="IM67" i="3"/>
  <c r="IN67" i="3"/>
  <c r="IO67" i="3"/>
  <c r="IP67" i="3"/>
  <c r="IQ67" i="3"/>
  <c r="IR67" i="3"/>
  <c r="IS67" i="3"/>
  <c r="IT67" i="3"/>
  <c r="IU67" i="3"/>
  <c r="IV67" i="3"/>
  <c r="IW67" i="3"/>
  <c r="IX67" i="3"/>
  <c r="IY67" i="3"/>
  <c r="IZ67" i="3"/>
  <c r="JA67" i="3"/>
  <c r="JB67" i="3"/>
  <c r="JC67" i="3"/>
  <c r="JD67" i="3"/>
  <c r="JE67" i="3"/>
  <c r="JF67" i="3"/>
  <c r="JG67" i="3"/>
  <c r="JH67" i="3"/>
  <c r="JI67" i="3"/>
  <c r="JJ67" i="3"/>
  <c r="JK67" i="3"/>
  <c r="JL67" i="3"/>
  <c r="JM67" i="3"/>
  <c r="A68" i="3"/>
  <c r="B68" i="3"/>
  <c r="S68" i="3"/>
  <c r="T68" i="3"/>
  <c r="U68" i="3"/>
  <c r="V68" i="3"/>
  <c r="W68" i="3"/>
  <c r="X68" i="3"/>
  <c r="Y68" i="3"/>
  <c r="Z68" i="3"/>
  <c r="AA68" i="3"/>
  <c r="AB68" i="3"/>
  <c r="AC68" i="3"/>
  <c r="AD68" i="3"/>
  <c r="AE68" i="3"/>
  <c r="AF68" i="3"/>
  <c r="AG68" i="3"/>
  <c r="AH68" i="3"/>
  <c r="AI68" i="3"/>
  <c r="AJ68" i="3"/>
  <c r="AK68" i="3"/>
  <c r="AL68" i="3"/>
  <c r="AM68" i="3"/>
  <c r="AN68" i="3"/>
  <c r="AO68" i="3"/>
  <c r="AP68" i="3"/>
  <c r="AQ68" i="3"/>
  <c r="AR68" i="3"/>
  <c r="AS68" i="3"/>
  <c r="AT68" i="3"/>
  <c r="AU68" i="3"/>
  <c r="AV68" i="3"/>
  <c r="AW68" i="3"/>
  <c r="AX68" i="3"/>
  <c r="AY68" i="3"/>
  <c r="AZ68" i="3"/>
  <c r="BA68" i="3"/>
  <c r="BB68" i="3"/>
  <c r="BC68" i="3"/>
  <c r="BD68" i="3"/>
  <c r="BE68" i="3"/>
  <c r="BF68" i="3"/>
  <c r="BG68" i="3"/>
  <c r="BH68" i="3"/>
  <c r="BI68" i="3"/>
  <c r="BJ68" i="3"/>
  <c r="BK68" i="3"/>
  <c r="BL68" i="3"/>
  <c r="BM68" i="3"/>
  <c r="BN68" i="3"/>
  <c r="BO68" i="3"/>
  <c r="BP68" i="3"/>
  <c r="BQ68" i="3"/>
  <c r="BR68" i="3"/>
  <c r="BS68" i="3"/>
  <c r="BT68" i="3"/>
  <c r="BU68" i="3"/>
  <c r="BV68" i="3"/>
  <c r="BW68" i="3"/>
  <c r="BX68" i="3"/>
  <c r="BY68" i="3"/>
  <c r="BZ68" i="3"/>
  <c r="CA68" i="3"/>
  <c r="CB68" i="3"/>
  <c r="CC68" i="3"/>
  <c r="CD68" i="3"/>
  <c r="CE68" i="3"/>
  <c r="CF68" i="3"/>
  <c r="CG68" i="3"/>
  <c r="CH68" i="3"/>
  <c r="CI68" i="3"/>
  <c r="CJ68" i="3"/>
  <c r="CK68" i="3"/>
  <c r="CL68" i="3"/>
  <c r="CM68" i="3"/>
  <c r="CN68" i="3"/>
  <c r="CO68" i="3"/>
  <c r="CP68" i="3"/>
  <c r="CQ68" i="3"/>
  <c r="CR68" i="3"/>
  <c r="CS68" i="3"/>
  <c r="CT68" i="3"/>
  <c r="CU68" i="3"/>
  <c r="CV68" i="3"/>
  <c r="CW68" i="3"/>
  <c r="CX68" i="3"/>
  <c r="CY68" i="3"/>
  <c r="CZ68" i="3"/>
  <c r="DA68" i="3"/>
  <c r="DB68" i="3"/>
  <c r="DC68" i="3"/>
  <c r="DD68" i="3"/>
  <c r="DE68" i="3"/>
  <c r="DF68" i="3"/>
  <c r="DG68" i="3"/>
  <c r="DH68" i="3"/>
  <c r="DI68" i="3"/>
  <c r="DJ68" i="3"/>
  <c r="DK68" i="3"/>
  <c r="DL68" i="3"/>
  <c r="DM68" i="3"/>
  <c r="DN68" i="3"/>
  <c r="DO68" i="3"/>
  <c r="DP68" i="3"/>
  <c r="DQ68" i="3"/>
  <c r="DR68" i="3"/>
  <c r="DS68" i="3"/>
  <c r="DT68" i="3"/>
  <c r="DU68" i="3"/>
  <c r="DV68" i="3"/>
  <c r="DW68" i="3"/>
  <c r="DX68" i="3"/>
  <c r="DY68" i="3"/>
  <c r="DZ68" i="3"/>
  <c r="EA68" i="3"/>
  <c r="EB68" i="3"/>
  <c r="EC68" i="3"/>
  <c r="ED68" i="3"/>
  <c r="EE68" i="3"/>
  <c r="EF68" i="3"/>
  <c r="EG68" i="3"/>
  <c r="EI68" i="3"/>
  <c r="EJ68" i="3"/>
  <c r="EK68" i="3"/>
  <c r="EL68" i="3"/>
  <c r="EM68" i="3"/>
  <c r="EN68" i="3"/>
  <c r="EO68" i="3"/>
  <c r="EP68" i="3"/>
  <c r="EQ68" i="3"/>
  <c r="ER68" i="3"/>
  <c r="ES68" i="3"/>
  <c r="ET68" i="3"/>
  <c r="EU68" i="3"/>
  <c r="EV68" i="3"/>
  <c r="EW68" i="3"/>
  <c r="EX68" i="3"/>
  <c r="EY68" i="3"/>
  <c r="EZ68" i="3"/>
  <c r="FA68" i="3"/>
  <c r="FB68" i="3"/>
  <c r="FC68" i="3"/>
  <c r="FD68" i="3"/>
  <c r="FE68" i="3"/>
  <c r="FF68" i="3"/>
  <c r="FG68" i="3"/>
  <c r="FH68" i="3"/>
  <c r="FI68" i="3"/>
  <c r="FJ68" i="3"/>
  <c r="FK68" i="3"/>
  <c r="FL68" i="3"/>
  <c r="FM68" i="3"/>
  <c r="FN68" i="3"/>
  <c r="FO68" i="3"/>
  <c r="FP68" i="3"/>
  <c r="FQ68" i="3"/>
  <c r="FR68" i="3"/>
  <c r="FS68" i="3"/>
  <c r="FT68" i="3"/>
  <c r="FU68" i="3"/>
  <c r="FV68" i="3"/>
  <c r="FW68" i="3"/>
  <c r="FX68" i="3"/>
  <c r="FY68" i="3"/>
  <c r="FZ68" i="3"/>
  <c r="GA68" i="3"/>
  <c r="GB68" i="3"/>
  <c r="GC68" i="3"/>
  <c r="GD68" i="3"/>
  <c r="GE68" i="3"/>
  <c r="GF68" i="3"/>
  <c r="GG68" i="3"/>
  <c r="GH68" i="3"/>
  <c r="GI68" i="3"/>
  <c r="GJ68" i="3"/>
  <c r="GK68" i="3"/>
  <c r="GL68" i="3"/>
  <c r="GM68" i="3"/>
  <c r="GN68" i="3"/>
  <c r="GO68" i="3"/>
  <c r="GP68" i="3"/>
  <c r="GQ68" i="3"/>
  <c r="GR68" i="3"/>
  <c r="GS68" i="3"/>
  <c r="GT68" i="3"/>
  <c r="GU68" i="3"/>
  <c r="GV68" i="3"/>
  <c r="GW68" i="3"/>
  <c r="GX68" i="3"/>
  <c r="GY68" i="3"/>
  <c r="GZ68" i="3"/>
  <c r="HA68" i="3"/>
  <c r="HB68" i="3"/>
  <c r="HC68" i="3"/>
  <c r="HD68" i="3"/>
  <c r="HE68" i="3"/>
  <c r="HF68" i="3"/>
  <c r="HG68" i="3"/>
  <c r="HH68" i="3"/>
  <c r="HI68" i="3"/>
  <c r="HJ68" i="3"/>
  <c r="HK68" i="3"/>
  <c r="HL68" i="3"/>
  <c r="HM68" i="3"/>
  <c r="HN68" i="3"/>
  <c r="HO68" i="3"/>
  <c r="HP68" i="3"/>
  <c r="HQ68" i="3"/>
  <c r="HR68" i="3"/>
  <c r="HS68" i="3"/>
  <c r="HT68" i="3"/>
  <c r="HU68" i="3"/>
  <c r="HV68" i="3"/>
  <c r="HW68" i="3"/>
  <c r="HX68" i="3"/>
  <c r="HY68" i="3"/>
  <c r="HZ68" i="3"/>
  <c r="IA68" i="3"/>
  <c r="IB68" i="3"/>
  <c r="IC68" i="3"/>
  <c r="ID68" i="3"/>
  <c r="IE68" i="3"/>
  <c r="IF68" i="3"/>
  <c r="IG68" i="3"/>
  <c r="IH68" i="3"/>
  <c r="II68" i="3"/>
  <c r="IJ68" i="3"/>
  <c r="IK68" i="3"/>
  <c r="IL68" i="3"/>
  <c r="IM68" i="3"/>
  <c r="IN68" i="3"/>
  <c r="IO68" i="3"/>
  <c r="IP68" i="3"/>
  <c r="IQ68" i="3"/>
  <c r="IR68" i="3"/>
  <c r="IS68" i="3"/>
  <c r="IT68" i="3"/>
  <c r="IU68" i="3"/>
  <c r="IV68" i="3"/>
  <c r="IW68" i="3"/>
  <c r="IX68" i="3"/>
  <c r="IY68" i="3"/>
  <c r="IZ68" i="3"/>
  <c r="JA68" i="3"/>
  <c r="JB68" i="3"/>
  <c r="JC68" i="3"/>
  <c r="JD68" i="3"/>
  <c r="JE68" i="3"/>
  <c r="JF68" i="3"/>
  <c r="JG68" i="3"/>
  <c r="JH68" i="3"/>
  <c r="JI68" i="3"/>
  <c r="JJ68" i="3"/>
  <c r="JK68" i="3"/>
  <c r="JL68" i="3"/>
  <c r="JM68" i="3"/>
  <c r="A69" i="3"/>
  <c r="B69" i="3"/>
  <c r="H69" i="3"/>
  <c r="I69" i="3"/>
  <c r="J69" i="3"/>
  <c r="K69" i="3"/>
  <c r="L69" i="3"/>
  <c r="M69" i="3"/>
  <c r="N69" i="3"/>
  <c r="O69" i="3"/>
  <c r="P69" i="3"/>
  <c r="Q69" i="3"/>
  <c r="R69" i="3"/>
  <c r="S69" i="3"/>
  <c r="T69" i="3"/>
  <c r="U69" i="3"/>
  <c r="V69" i="3"/>
  <c r="W69" i="3"/>
  <c r="X69" i="3"/>
  <c r="Y69" i="3"/>
  <c r="Z69" i="3"/>
  <c r="AA69" i="3"/>
  <c r="AB69" i="3"/>
  <c r="AC69" i="3"/>
  <c r="AD69" i="3"/>
  <c r="AE69" i="3"/>
  <c r="AF69" i="3"/>
  <c r="AG69" i="3"/>
  <c r="AH69" i="3"/>
  <c r="AI69" i="3"/>
  <c r="AJ69" i="3"/>
  <c r="AK69" i="3"/>
  <c r="AL69" i="3"/>
  <c r="AM69" i="3"/>
  <c r="AN69" i="3"/>
  <c r="AO69" i="3"/>
  <c r="AP69" i="3"/>
  <c r="AQ69" i="3"/>
  <c r="AR69" i="3"/>
  <c r="AS69" i="3"/>
  <c r="AT69" i="3"/>
  <c r="AU69" i="3"/>
  <c r="AV69" i="3"/>
  <c r="AW69" i="3"/>
  <c r="AX69" i="3"/>
  <c r="AY69" i="3"/>
  <c r="AZ69" i="3"/>
  <c r="BA69" i="3"/>
  <c r="BB69" i="3"/>
  <c r="BC69" i="3"/>
  <c r="BD69" i="3"/>
  <c r="BE69" i="3"/>
  <c r="BF69" i="3"/>
  <c r="BG69" i="3"/>
  <c r="BH69" i="3"/>
  <c r="BI69" i="3"/>
  <c r="BJ69" i="3"/>
  <c r="BK69" i="3"/>
  <c r="BL69" i="3"/>
  <c r="BM69" i="3"/>
  <c r="BN69" i="3"/>
  <c r="BO69" i="3"/>
  <c r="BP69" i="3"/>
  <c r="BQ69" i="3"/>
  <c r="BR69" i="3"/>
  <c r="BS69" i="3"/>
  <c r="BT69" i="3"/>
  <c r="BU69" i="3"/>
  <c r="BV69" i="3"/>
  <c r="BW69" i="3"/>
  <c r="BX69" i="3"/>
  <c r="BY69" i="3"/>
  <c r="BZ69" i="3"/>
  <c r="CA69" i="3"/>
  <c r="CB69" i="3"/>
  <c r="CC69" i="3"/>
  <c r="CD69" i="3"/>
  <c r="CE69" i="3"/>
  <c r="CF69" i="3"/>
  <c r="CG69" i="3"/>
  <c r="CH69" i="3"/>
  <c r="CI69" i="3"/>
  <c r="CJ69" i="3"/>
  <c r="CK69" i="3"/>
  <c r="CL69" i="3"/>
  <c r="CM69" i="3"/>
  <c r="CN69" i="3"/>
  <c r="CO69" i="3"/>
  <c r="CP69" i="3"/>
  <c r="CQ69" i="3"/>
  <c r="CR69" i="3"/>
  <c r="CS69" i="3"/>
  <c r="CT69" i="3"/>
  <c r="CU69" i="3"/>
  <c r="CV69" i="3"/>
  <c r="CW69" i="3"/>
  <c r="CX69" i="3"/>
  <c r="CY69" i="3"/>
  <c r="CZ69" i="3"/>
  <c r="DA69" i="3"/>
  <c r="DB69" i="3"/>
  <c r="DC69" i="3"/>
  <c r="DD69" i="3"/>
  <c r="DE69" i="3"/>
  <c r="DF69" i="3"/>
  <c r="DG69" i="3"/>
  <c r="DH69" i="3"/>
  <c r="DI69" i="3"/>
  <c r="DJ69" i="3"/>
  <c r="DK69" i="3"/>
  <c r="DL69" i="3"/>
  <c r="DM69" i="3"/>
  <c r="DN69" i="3"/>
  <c r="DO69" i="3"/>
  <c r="DP69" i="3"/>
  <c r="DQ69" i="3"/>
  <c r="DR69" i="3"/>
  <c r="DS69" i="3"/>
  <c r="DT69" i="3"/>
  <c r="DU69" i="3"/>
  <c r="DV69" i="3"/>
  <c r="DW69" i="3"/>
  <c r="DX69" i="3"/>
  <c r="DY69" i="3"/>
  <c r="DZ69" i="3"/>
  <c r="EA69" i="3"/>
  <c r="EB69" i="3"/>
  <c r="EC69" i="3"/>
  <c r="ED69" i="3"/>
  <c r="EE69" i="3"/>
  <c r="EF69" i="3"/>
  <c r="EG69" i="3"/>
  <c r="EI69" i="3"/>
  <c r="EJ69" i="3"/>
  <c r="EK69" i="3"/>
  <c r="EL69" i="3"/>
  <c r="EM69" i="3"/>
  <c r="EN69" i="3"/>
  <c r="EO69" i="3"/>
  <c r="EP69" i="3"/>
  <c r="EQ69" i="3"/>
  <c r="ER69" i="3"/>
  <c r="ES69" i="3"/>
  <c r="ET69" i="3"/>
  <c r="EU69" i="3"/>
  <c r="EV69" i="3"/>
  <c r="EW69" i="3"/>
  <c r="EX69" i="3"/>
  <c r="EY69" i="3"/>
  <c r="EZ69" i="3"/>
  <c r="FA69" i="3"/>
  <c r="FB69" i="3"/>
  <c r="FC69" i="3"/>
  <c r="FD69" i="3"/>
  <c r="FE69" i="3"/>
  <c r="FF69" i="3"/>
  <c r="FG69" i="3"/>
  <c r="FH69" i="3"/>
  <c r="FI69" i="3"/>
  <c r="FJ69" i="3"/>
  <c r="FK69" i="3"/>
  <c r="FL69" i="3"/>
  <c r="FM69" i="3"/>
  <c r="FN69" i="3"/>
  <c r="FO69" i="3"/>
  <c r="FP69" i="3"/>
  <c r="FQ69" i="3"/>
  <c r="FR69" i="3"/>
  <c r="FS69" i="3"/>
  <c r="FT69" i="3"/>
  <c r="FU69" i="3"/>
  <c r="FV69" i="3"/>
  <c r="FW69" i="3"/>
  <c r="FX69" i="3"/>
  <c r="FY69" i="3"/>
  <c r="FZ69" i="3"/>
  <c r="GA69" i="3"/>
  <c r="GB69" i="3"/>
  <c r="GC69" i="3"/>
  <c r="GD69" i="3"/>
  <c r="GE69" i="3"/>
  <c r="GF69" i="3"/>
  <c r="GG69" i="3"/>
  <c r="GH69" i="3"/>
  <c r="GI69" i="3"/>
  <c r="GJ69" i="3"/>
  <c r="GK69" i="3"/>
  <c r="GL69" i="3"/>
  <c r="GM69" i="3"/>
  <c r="GN69" i="3"/>
  <c r="GO69" i="3"/>
  <c r="GP69" i="3"/>
  <c r="GQ69" i="3"/>
  <c r="GR69" i="3"/>
  <c r="GS69" i="3"/>
  <c r="GT69" i="3"/>
  <c r="GU69" i="3"/>
  <c r="GV69" i="3"/>
  <c r="GW69" i="3"/>
  <c r="GX69" i="3"/>
  <c r="GY69" i="3"/>
  <c r="GZ69" i="3"/>
  <c r="HA69" i="3"/>
  <c r="HB69" i="3"/>
  <c r="HC69" i="3"/>
  <c r="HD69" i="3"/>
  <c r="HE69" i="3"/>
  <c r="HF69" i="3"/>
  <c r="HG69" i="3"/>
  <c r="HH69" i="3"/>
  <c r="HI69" i="3"/>
  <c r="HJ69" i="3"/>
  <c r="HK69" i="3"/>
  <c r="HL69" i="3"/>
  <c r="HM69" i="3"/>
  <c r="HN69" i="3"/>
  <c r="HO69" i="3"/>
  <c r="HP69" i="3"/>
  <c r="HQ69" i="3"/>
  <c r="HR69" i="3"/>
  <c r="HS69" i="3"/>
  <c r="HT69" i="3"/>
  <c r="HU69" i="3"/>
  <c r="HV69" i="3"/>
  <c r="HW69" i="3"/>
  <c r="HX69" i="3"/>
  <c r="HY69" i="3"/>
  <c r="HZ69" i="3"/>
  <c r="IA69" i="3"/>
  <c r="IB69" i="3"/>
  <c r="IC69" i="3"/>
  <c r="ID69" i="3"/>
  <c r="IE69" i="3"/>
  <c r="IF69" i="3"/>
  <c r="IG69" i="3"/>
  <c r="IH69" i="3"/>
  <c r="II69" i="3"/>
  <c r="IJ69" i="3"/>
  <c r="IK69" i="3"/>
  <c r="IL69" i="3"/>
  <c r="IM69" i="3"/>
  <c r="IN69" i="3"/>
  <c r="IO69" i="3"/>
  <c r="IP69" i="3"/>
  <c r="IQ69" i="3"/>
  <c r="IR69" i="3"/>
  <c r="IS69" i="3"/>
  <c r="IT69" i="3"/>
  <c r="IU69" i="3"/>
  <c r="IV69" i="3"/>
  <c r="IW69" i="3"/>
  <c r="IX69" i="3"/>
  <c r="IY69" i="3"/>
  <c r="IZ69" i="3"/>
  <c r="JA69" i="3"/>
  <c r="JB69" i="3"/>
  <c r="JC69" i="3"/>
  <c r="JD69" i="3"/>
  <c r="JE69" i="3"/>
  <c r="JF69" i="3"/>
  <c r="JG69" i="3"/>
  <c r="JH69" i="3"/>
  <c r="JI69" i="3"/>
  <c r="JJ69" i="3"/>
  <c r="JK69" i="3"/>
  <c r="JL69" i="3"/>
  <c r="JM69" i="3"/>
  <c r="A70" i="3"/>
  <c r="B70" i="3"/>
  <c r="FA70" i="3"/>
  <c r="FB70" i="3"/>
  <c r="FC70" i="3"/>
  <c r="FD70" i="3"/>
  <c r="FE70" i="3"/>
  <c r="FF70" i="3"/>
  <c r="FG70" i="3"/>
  <c r="FH70" i="3"/>
  <c r="FI70" i="3"/>
  <c r="FJ70" i="3"/>
  <c r="FK70" i="3"/>
  <c r="FL70" i="3"/>
  <c r="FM70" i="3"/>
  <c r="FN70" i="3"/>
  <c r="FO70" i="3"/>
  <c r="FP70" i="3"/>
  <c r="FQ70" i="3"/>
  <c r="FR70" i="3"/>
  <c r="FS70" i="3"/>
  <c r="FT70" i="3"/>
  <c r="FU70" i="3"/>
  <c r="FV70" i="3"/>
  <c r="FW70" i="3"/>
  <c r="FX70" i="3"/>
  <c r="FY70" i="3"/>
  <c r="FZ70" i="3"/>
  <c r="GA70" i="3"/>
  <c r="GB70" i="3"/>
  <c r="GC70" i="3"/>
  <c r="GD70" i="3"/>
  <c r="GE70" i="3"/>
  <c r="GF70" i="3"/>
  <c r="GG70" i="3"/>
  <c r="GH70" i="3"/>
  <c r="GI70" i="3"/>
  <c r="GJ70" i="3"/>
  <c r="GK70" i="3"/>
  <c r="GL70" i="3"/>
  <c r="GM70" i="3"/>
  <c r="GN70" i="3"/>
  <c r="GO70" i="3"/>
  <c r="GP70" i="3"/>
  <c r="GQ70" i="3"/>
  <c r="GR70" i="3"/>
  <c r="GS70" i="3"/>
  <c r="GT70" i="3"/>
  <c r="GU70" i="3"/>
  <c r="GV70" i="3"/>
  <c r="GW70" i="3"/>
  <c r="GX70" i="3"/>
  <c r="GY70" i="3"/>
  <c r="GZ70" i="3"/>
  <c r="HA70" i="3"/>
  <c r="HB70" i="3"/>
  <c r="HC70" i="3"/>
  <c r="HD70" i="3"/>
  <c r="HE70" i="3"/>
  <c r="HF70" i="3"/>
  <c r="HG70" i="3"/>
  <c r="HH70" i="3"/>
  <c r="HI70" i="3"/>
  <c r="HJ70" i="3"/>
  <c r="HK70" i="3"/>
  <c r="HL70" i="3"/>
  <c r="HM70" i="3"/>
  <c r="HN70" i="3"/>
  <c r="HO70" i="3"/>
  <c r="HP70" i="3"/>
  <c r="HQ70" i="3"/>
  <c r="HR70" i="3"/>
  <c r="HS70" i="3"/>
  <c r="HT70" i="3"/>
  <c r="HU70" i="3"/>
  <c r="HV70" i="3"/>
  <c r="HW70" i="3"/>
  <c r="HX70" i="3"/>
  <c r="HY70" i="3"/>
  <c r="HZ70" i="3"/>
  <c r="IA70" i="3"/>
  <c r="IB70" i="3"/>
  <c r="IC70" i="3"/>
  <c r="ID70" i="3"/>
  <c r="IE70" i="3"/>
  <c r="IF70" i="3"/>
  <c r="IG70" i="3"/>
  <c r="IH70" i="3"/>
  <c r="II70" i="3"/>
  <c r="IJ70" i="3"/>
  <c r="IK70" i="3"/>
  <c r="IL70" i="3"/>
  <c r="IM70" i="3"/>
  <c r="IN70" i="3"/>
  <c r="IO70" i="3"/>
  <c r="IP70" i="3"/>
  <c r="IQ70" i="3"/>
  <c r="IR70" i="3"/>
  <c r="IS70" i="3"/>
  <c r="IT70" i="3"/>
  <c r="IU70" i="3"/>
  <c r="IV70" i="3"/>
  <c r="IW70" i="3"/>
  <c r="IX70" i="3"/>
  <c r="IY70" i="3"/>
  <c r="IZ70" i="3"/>
  <c r="JA70" i="3"/>
  <c r="JB70" i="3"/>
  <c r="JC70" i="3"/>
  <c r="JD70" i="3"/>
  <c r="JE70" i="3"/>
  <c r="JF70" i="3"/>
  <c r="JG70" i="3"/>
  <c r="JH70" i="3"/>
  <c r="JI70" i="3"/>
  <c r="JJ70" i="3"/>
  <c r="JK70" i="3"/>
  <c r="JL70" i="3"/>
  <c r="JM70" i="3"/>
  <c r="A61" i="3"/>
  <c r="B61" i="3"/>
  <c r="C61" i="3"/>
  <c r="D61"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AK61" i="3"/>
  <c r="AL61" i="3"/>
  <c r="AM61" i="3"/>
  <c r="AN61" i="3"/>
  <c r="AO61" i="3"/>
  <c r="AP61" i="3"/>
  <c r="AQ61" i="3"/>
  <c r="AR61" i="3"/>
  <c r="AS61" i="3"/>
  <c r="AT61" i="3"/>
  <c r="AU61" i="3"/>
  <c r="AV61" i="3"/>
  <c r="AW61" i="3"/>
  <c r="AX61" i="3"/>
  <c r="AY61" i="3"/>
  <c r="AZ61" i="3"/>
  <c r="BA61" i="3"/>
  <c r="BB61" i="3"/>
  <c r="BC61" i="3"/>
  <c r="BD61" i="3"/>
  <c r="BE61" i="3"/>
  <c r="BF61" i="3"/>
  <c r="BG61" i="3"/>
  <c r="BH61" i="3"/>
  <c r="BI61" i="3"/>
  <c r="BJ61" i="3"/>
  <c r="BK61" i="3"/>
  <c r="BL61" i="3"/>
  <c r="BM61" i="3"/>
  <c r="BN61" i="3"/>
  <c r="BO61" i="3"/>
  <c r="BP61" i="3"/>
  <c r="BQ61" i="3"/>
  <c r="BR61" i="3"/>
  <c r="BS61" i="3"/>
  <c r="BT61" i="3"/>
  <c r="BU61" i="3"/>
  <c r="BV61" i="3"/>
  <c r="BW61" i="3"/>
  <c r="BX61" i="3"/>
  <c r="BY61" i="3"/>
  <c r="BZ61" i="3"/>
  <c r="CA61" i="3"/>
  <c r="CB61" i="3"/>
  <c r="CC61" i="3"/>
  <c r="CD61" i="3"/>
  <c r="CE61" i="3"/>
  <c r="CF61" i="3"/>
  <c r="CG61" i="3"/>
  <c r="CH61" i="3"/>
  <c r="CI61" i="3"/>
  <c r="CJ61" i="3"/>
  <c r="CK61" i="3"/>
  <c r="CL61" i="3"/>
  <c r="CM61" i="3"/>
  <c r="CN61" i="3"/>
  <c r="CO61" i="3"/>
  <c r="CP61" i="3"/>
  <c r="CQ61" i="3"/>
  <c r="CR61" i="3"/>
  <c r="CS61" i="3"/>
  <c r="CT61" i="3"/>
  <c r="CU61" i="3"/>
  <c r="CV61" i="3"/>
  <c r="CW61" i="3"/>
  <c r="CX61" i="3"/>
  <c r="CY61" i="3"/>
  <c r="CZ61" i="3"/>
  <c r="DA61" i="3"/>
  <c r="DB61" i="3"/>
  <c r="DC61" i="3"/>
  <c r="DD61" i="3"/>
  <c r="DE61" i="3"/>
  <c r="DF61" i="3"/>
  <c r="DG61" i="3"/>
  <c r="DH61" i="3"/>
  <c r="DI61" i="3"/>
  <c r="DJ61" i="3"/>
  <c r="DK61" i="3"/>
  <c r="DL61" i="3"/>
  <c r="DM61" i="3"/>
  <c r="DN61" i="3"/>
  <c r="DO61" i="3"/>
  <c r="DP61" i="3"/>
  <c r="DQ61" i="3"/>
  <c r="DR61" i="3"/>
  <c r="DS61" i="3"/>
  <c r="DT61" i="3"/>
  <c r="DU61" i="3"/>
  <c r="DV61" i="3"/>
  <c r="DW61" i="3"/>
  <c r="DX61" i="3"/>
  <c r="DY61" i="3"/>
  <c r="DZ61" i="3"/>
  <c r="EA61" i="3"/>
  <c r="EB61" i="3"/>
  <c r="EC61" i="3"/>
  <c r="ED61" i="3"/>
  <c r="EE61" i="3"/>
  <c r="EF61" i="3"/>
  <c r="EG61" i="3"/>
  <c r="EI61" i="3"/>
  <c r="EJ61" i="3"/>
  <c r="EK61" i="3"/>
  <c r="EL61" i="3"/>
  <c r="EM61" i="3"/>
  <c r="EN61" i="3"/>
  <c r="EO61" i="3"/>
  <c r="EP61" i="3"/>
  <c r="EQ61" i="3"/>
  <c r="ER61" i="3"/>
  <c r="ES61" i="3"/>
  <c r="ET61" i="3"/>
  <c r="EU61" i="3"/>
  <c r="EV61" i="3"/>
  <c r="EW61" i="3"/>
  <c r="EX61" i="3"/>
  <c r="EY61" i="3"/>
  <c r="EZ61" i="3"/>
  <c r="FA61" i="3"/>
  <c r="FB61" i="3"/>
  <c r="FC61" i="3"/>
  <c r="FD61" i="3"/>
  <c r="FE61" i="3"/>
  <c r="FF61" i="3"/>
  <c r="FG61" i="3"/>
  <c r="FH61" i="3"/>
  <c r="FI61" i="3"/>
  <c r="FJ61" i="3"/>
  <c r="FK61" i="3"/>
  <c r="FL61" i="3"/>
  <c r="FM61" i="3"/>
  <c r="FN61" i="3"/>
  <c r="FO61" i="3"/>
  <c r="FP61" i="3"/>
  <c r="FQ61" i="3"/>
  <c r="FR61" i="3"/>
  <c r="FS61" i="3"/>
  <c r="FT61" i="3"/>
  <c r="FU61" i="3"/>
  <c r="FV61" i="3"/>
  <c r="FW61" i="3"/>
  <c r="FX61" i="3"/>
  <c r="FY61" i="3"/>
  <c r="FZ61" i="3"/>
  <c r="GA61" i="3"/>
  <c r="GB61" i="3"/>
  <c r="GC61" i="3"/>
  <c r="GD61" i="3"/>
  <c r="GE61" i="3"/>
  <c r="GF61" i="3"/>
  <c r="GG61" i="3"/>
  <c r="GH61" i="3"/>
  <c r="GI61" i="3"/>
  <c r="GJ61" i="3"/>
  <c r="GK61" i="3"/>
  <c r="GL61" i="3"/>
  <c r="GM61" i="3"/>
  <c r="GN61" i="3"/>
  <c r="GO61" i="3"/>
  <c r="GP61" i="3"/>
  <c r="GQ61" i="3"/>
  <c r="GR61" i="3"/>
  <c r="GS61" i="3"/>
  <c r="GT61" i="3"/>
  <c r="GU61" i="3"/>
  <c r="GV61" i="3"/>
  <c r="GW61" i="3"/>
  <c r="GX61" i="3"/>
  <c r="GY61" i="3"/>
  <c r="GZ61" i="3"/>
  <c r="HA61" i="3"/>
  <c r="HB61" i="3"/>
  <c r="HC61" i="3"/>
  <c r="HD61" i="3"/>
  <c r="HE61" i="3"/>
  <c r="HF61" i="3"/>
  <c r="HG61" i="3"/>
  <c r="HH61" i="3"/>
  <c r="HI61" i="3"/>
  <c r="HJ61" i="3"/>
  <c r="HK61" i="3"/>
  <c r="HL61" i="3"/>
  <c r="HM61" i="3"/>
  <c r="HN61" i="3"/>
  <c r="HO61" i="3"/>
  <c r="HP61" i="3"/>
  <c r="HQ61" i="3"/>
  <c r="HR61" i="3"/>
  <c r="HS61" i="3"/>
  <c r="HT61" i="3"/>
  <c r="HU61" i="3"/>
  <c r="HV61" i="3"/>
  <c r="HW61" i="3"/>
  <c r="HX61" i="3"/>
  <c r="HY61" i="3"/>
  <c r="HZ61" i="3"/>
  <c r="IA61" i="3"/>
  <c r="IB61" i="3"/>
  <c r="IC61" i="3"/>
  <c r="ID61" i="3"/>
  <c r="IE61" i="3"/>
  <c r="IF61" i="3"/>
  <c r="IG61" i="3"/>
  <c r="IH61" i="3"/>
  <c r="II61" i="3"/>
  <c r="IJ61" i="3"/>
  <c r="IK61" i="3"/>
  <c r="IL61" i="3"/>
  <c r="IM61" i="3"/>
  <c r="IN61" i="3"/>
  <c r="IO61" i="3"/>
  <c r="IP61" i="3"/>
  <c r="IQ61" i="3"/>
  <c r="IR61" i="3"/>
  <c r="IS61" i="3"/>
  <c r="IT61" i="3"/>
  <c r="IU61" i="3"/>
  <c r="IV61" i="3"/>
  <c r="IW61" i="3"/>
  <c r="IX61" i="3"/>
  <c r="IY61" i="3"/>
  <c r="IZ61" i="3"/>
  <c r="JA61" i="3"/>
  <c r="JB61" i="3"/>
  <c r="JC61" i="3"/>
  <c r="JD61" i="3"/>
  <c r="JE61" i="3"/>
  <c r="JF61" i="3"/>
  <c r="JG61" i="3"/>
  <c r="JH61" i="3"/>
  <c r="JI61" i="3"/>
  <c r="JJ61" i="3"/>
  <c r="JK61" i="3"/>
  <c r="JL61" i="3"/>
  <c r="JM61" i="3"/>
  <c r="A62" i="3"/>
  <c r="B62" i="3"/>
  <c r="K62" i="3"/>
  <c r="L62" i="3"/>
  <c r="M62" i="3"/>
  <c r="N62" i="3"/>
  <c r="O62" i="3"/>
  <c r="P62" i="3"/>
  <c r="Q62" i="3"/>
  <c r="R62" i="3"/>
  <c r="S62" i="3"/>
  <c r="T62" i="3"/>
  <c r="U62" i="3"/>
  <c r="V62" i="3"/>
  <c r="W62" i="3"/>
  <c r="X62" i="3"/>
  <c r="Y62" i="3"/>
  <c r="Z62" i="3"/>
  <c r="AA62" i="3"/>
  <c r="AB62" i="3"/>
  <c r="AC62" i="3"/>
  <c r="AD62" i="3"/>
  <c r="AE62" i="3"/>
  <c r="AF62" i="3"/>
  <c r="AG62" i="3"/>
  <c r="AH62" i="3"/>
  <c r="AI62" i="3"/>
  <c r="AJ62" i="3"/>
  <c r="AK62" i="3"/>
  <c r="AL62" i="3"/>
  <c r="AM62" i="3"/>
  <c r="AN62" i="3"/>
  <c r="AO62" i="3"/>
  <c r="AP62" i="3"/>
  <c r="AQ62" i="3"/>
  <c r="AR62" i="3"/>
  <c r="AS62" i="3"/>
  <c r="AT62" i="3"/>
  <c r="AU62" i="3"/>
  <c r="AV62" i="3"/>
  <c r="AW62" i="3"/>
  <c r="AX62" i="3"/>
  <c r="AY62" i="3"/>
  <c r="AZ62" i="3"/>
  <c r="BA62" i="3"/>
  <c r="BB62" i="3"/>
  <c r="BC62" i="3"/>
  <c r="BD62" i="3"/>
  <c r="BE62" i="3"/>
  <c r="BF62" i="3"/>
  <c r="BG62" i="3"/>
  <c r="BH62" i="3"/>
  <c r="BI62" i="3"/>
  <c r="BJ62" i="3"/>
  <c r="BK62" i="3"/>
  <c r="BL62" i="3"/>
  <c r="BM62" i="3"/>
  <c r="BN62" i="3"/>
  <c r="BO62" i="3"/>
  <c r="BP62" i="3"/>
  <c r="BQ62" i="3"/>
  <c r="BR62" i="3"/>
  <c r="BS62" i="3"/>
  <c r="BT62" i="3"/>
  <c r="BU62" i="3"/>
  <c r="BV62" i="3"/>
  <c r="BW62" i="3"/>
  <c r="BX62" i="3"/>
  <c r="BY62" i="3"/>
  <c r="BZ62" i="3"/>
  <c r="CA62" i="3"/>
  <c r="CB62" i="3"/>
  <c r="CC62" i="3"/>
  <c r="CD62" i="3"/>
  <c r="CE62" i="3"/>
  <c r="CF62" i="3"/>
  <c r="CG62" i="3"/>
  <c r="CH62" i="3"/>
  <c r="CI62" i="3"/>
  <c r="CJ62" i="3"/>
  <c r="CK62" i="3"/>
  <c r="CL62" i="3"/>
  <c r="CM62" i="3"/>
  <c r="CN62" i="3"/>
  <c r="CO62" i="3"/>
  <c r="CP62" i="3"/>
  <c r="CQ62" i="3"/>
  <c r="CR62" i="3"/>
  <c r="CS62" i="3"/>
  <c r="CT62" i="3"/>
  <c r="CU62" i="3"/>
  <c r="CV62" i="3"/>
  <c r="CW62" i="3"/>
  <c r="CX62" i="3"/>
  <c r="CY62" i="3"/>
  <c r="CZ62" i="3"/>
  <c r="DA62" i="3"/>
  <c r="DB62" i="3"/>
  <c r="DC62" i="3"/>
  <c r="DD62" i="3"/>
  <c r="DE62" i="3"/>
  <c r="DF62" i="3"/>
  <c r="DG62" i="3"/>
  <c r="DH62" i="3"/>
  <c r="DI62" i="3"/>
  <c r="DJ62" i="3"/>
  <c r="DK62" i="3"/>
  <c r="DL62" i="3"/>
  <c r="DM62" i="3"/>
  <c r="DN62" i="3"/>
  <c r="DO62" i="3"/>
  <c r="DP62" i="3"/>
  <c r="DQ62" i="3"/>
  <c r="DR62" i="3"/>
  <c r="DS62" i="3"/>
  <c r="DT62" i="3"/>
  <c r="DU62" i="3"/>
  <c r="DV62" i="3"/>
  <c r="DW62" i="3"/>
  <c r="DX62" i="3"/>
  <c r="DY62" i="3"/>
  <c r="DZ62" i="3"/>
  <c r="EA62" i="3"/>
  <c r="EB62" i="3"/>
  <c r="EC62" i="3"/>
  <c r="ED62" i="3"/>
  <c r="EE62" i="3"/>
  <c r="EF62" i="3"/>
  <c r="EG62" i="3"/>
  <c r="EI62" i="3"/>
  <c r="EJ62" i="3"/>
  <c r="EK62" i="3"/>
  <c r="EL62" i="3"/>
  <c r="EM62" i="3"/>
  <c r="EN62" i="3"/>
  <c r="EO62" i="3"/>
  <c r="EP62" i="3"/>
  <c r="EQ62" i="3"/>
  <c r="ER62" i="3"/>
  <c r="ES62" i="3"/>
  <c r="ET62" i="3"/>
  <c r="EU62" i="3"/>
  <c r="EV62" i="3"/>
  <c r="EW62" i="3"/>
  <c r="EX62" i="3"/>
  <c r="EY62" i="3"/>
  <c r="EZ62" i="3"/>
  <c r="FA62" i="3"/>
  <c r="FB62" i="3"/>
  <c r="FC62" i="3"/>
  <c r="FD62" i="3"/>
  <c r="FE62" i="3"/>
  <c r="FF62" i="3"/>
  <c r="FG62" i="3"/>
  <c r="FH62" i="3"/>
  <c r="FI62" i="3"/>
  <c r="FJ62" i="3"/>
  <c r="FK62" i="3"/>
  <c r="FL62" i="3"/>
  <c r="FM62" i="3"/>
  <c r="FN62" i="3"/>
  <c r="FO62" i="3"/>
  <c r="FP62" i="3"/>
  <c r="FQ62" i="3"/>
  <c r="FR62" i="3"/>
  <c r="FS62" i="3"/>
  <c r="FT62" i="3"/>
  <c r="FU62" i="3"/>
  <c r="FV62" i="3"/>
  <c r="FW62" i="3"/>
  <c r="FX62" i="3"/>
  <c r="FY62" i="3"/>
  <c r="FZ62" i="3"/>
  <c r="GA62" i="3"/>
  <c r="GB62" i="3"/>
  <c r="GC62" i="3"/>
  <c r="GD62" i="3"/>
  <c r="GE62" i="3"/>
  <c r="GF62" i="3"/>
  <c r="GG62" i="3"/>
  <c r="GH62" i="3"/>
  <c r="GI62" i="3"/>
  <c r="GJ62" i="3"/>
  <c r="GK62" i="3"/>
  <c r="GL62" i="3"/>
  <c r="GM62" i="3"/>
  <c r="GN62" i="3"/>
  <c r="GO62" i="3"/>
  <c r="GP62" i="3"/>
  <c r="GQ62" i="3"/>
  <c r="GR62" i="3"/>
  <c r="GS62" i="3"/>
  <c r="GT62" i="3"/>
  <c r="GU62" i="3"/>
  <c r="GV62" i="3"/>
  <c r="GW62" i="3"/>
  <c r="GX62" i="3"/>
  <c r="GY62" i="3"/>
  <c r="GZ62" i="3"/>
  <c r="HA62" i="3"/>
  <c r="HB62" i="3"/>
  <c r="HC62" i="3"/>
  <c r="HD62" i="3"/>
  <c r="HE62" i="3"/>
  <c r="HF62" i="3"/>
  <c r="HG62" i="3"/>
  <c r="HH62" i="3"/>
  <c r="HI62" i="3"/>
  <c r="HJ62" i="3"/>
  <c r="HK62" i="3"/>
  <c r="HL62" i="3"/>
  <c r="HM62" i="3"/>
  <c r="HN62" i="3"/>
  <c r="HO62" i="3"/>
  <c r="HP62" i="3"/>
  <c r="HQ62" i="3"/>
  <c r="HR62" i="3"/>
  <c r="HS62" i="3"/>
  <c r="HT62" i="3"/>
  <c r="HU62" i="3"/>
  <c r="HV62" i="3"/>
  <c r="HW62" i="3"/>
  <c r="HX62" i="3"/>
  <c r="HY62" i="3"/>
  <c r="HZ62" i="3"/>
  <c r="IA62" i="3"/>
  <c r="IB62" i="3"/>
  <c r="IC62" i="3"/>
  <c r="ID62" i="3"/>
  <c r="IE62" i="3"/>
  <c r="IF62" i="3"/>
  <c r="IG62" i="3"/>
  <c r="IH62" i="3"/>
  <c r="II62" i="3"/>
  <c r="IJ62" i="3"/>
  <c r="IK62" i="3"/>
  <c r="IL62" i="3"/>
  <c r="IM62" i="3"/>
  <c r="IN62" i="3"/>
  <c r="IO62" i="3"/>
  <c r="IP62" i="3"/>
  <c r="IQ62" i="3"/>
  <c r="IR62" i="3"/>
  <c r="IS62" i="3"/>
  <c r="IT62" i="3"/>
  <c r="IU62" i="3"/>
  <c r="IV62" i="3"/>
  <c r="IW62" i="3"/>
  <c r="IX62" i="3"/>
  <c r="IY62" i="3"/>
  <c r="IZ62" i="3"/>
  <c r="JA62" i="3"/>
  <c r="JB62" i="3"/>
  <c r="JC62" i="3"/>
  <c r="JD62" i="3"/>
  <c r="JE62" i="3"/>
  <c r="JF62" i="3"/>
  <c r="JG62" i="3"/>
  <c r="JH62" i="3"/>
  <c r="JI62" i="3"/>
  <c r="JJ62" i="3"/>
  <c r="JK62" i="3"/>
  <c r="JL62" i="3"/>
  <c r="JM62" i="3"/>
  <c r="A63" i="3"/>
  <c r="B63" i="3"/>
  <c r="G63" i="3"/>
  <c r="H63" i="3"/>
  <c r="I63" i="3"/>
  <c r="J63" i="3"/>
  <c r="K63" i="3"/>
  <c r="L63" i="3"/>
  <c r="M63" i="3"/>
  <c r="N63" i="3"/>
  <c r="O63" i="3"/>
  <c r="P63" i="3"/>
  <c r="Q63" i="3"/>
  <c r="R63" i="3"/>
  <c r="S63" i="3"/>
  <c r="T63" i="3"/>
  <c r="U63" i="3"/>
  <c r="V63" i="3"/>
  <c r="W63" i="3"/>
  <c r="X63" i="3"/>
  <c r="Y63" i="3"/>
  <c r="Z63" i="3"/>
  <c r="AA63" i="3"/>
  <c r="AB63" i="3"/>
  <c r="AC63" i="3"/>
  <c r="AD63" i="3"/>
  <c r="AE63" i="3"/>
  <c r="AF63" i="3"/>
  <c r="AG63" i="3"/>
  <c r="AH63" i="3"/>
  <c r="AI63" i="3"/>
  <c r="AJ63" i="3"/>
  <c r="AK63" i="3"/>
  <c r="AL63" i="3"/>
  <c r="AM63" i="3"/>
  <c r="AN63" i="3"/>
  <c r="AO63" i="3"/>
  <c r="AP63" i="3"/>
  <c r="AQ63" i="3"/>
  <c r="AR63" i="3"/>
  <c r="AS63" i="3"/>
  <c r="AT63" i="3"/>
  <c r="AU63" i="3"/>
  <c r="AV63" i="3"/>
  <c r="AW63" i="3"/>
  <c r="AX63" i="3"/>
  <c r="AY63" i="3"/>
  <c r="AZ63" i="3"/>
  <c r="BA63" i="3"/>
  <c r="BB63" i="3"/>
  <c r="BC63" i="3"/>
  <c r="BD63" i="3"/>
  <c r="BE63" i="3"/>
  <c r="BF63" i="3"/>
  <c r="BG63" i="3"/>
  <c r="BH63" i="3"/>
  <c r="BI63" i="3"/>
  <c r="BJ63" i="3"/>
  <c r="BK63" i="3"/>
  <c r="BL63" i="3"/>
  <c r="BM63" i="3"/>
  <c r="BN63" i="3"/>
  <c r="BO63" i="3"/>
  <c r="BP63" i="3"/>
  <c r="BQ63" i="3"/>
  <c r="BR63" i="3"/>
  <c r="BS63" i="3"/>
  <c r="BT63" i="3"/>
  <c r="BU63" i="3"/>
  <c r="BV63" i="3"/>
  <c r="BW63" i="3"/>
  <c r="BX63" i="3"/>
  <c r="BY63" i="3"/>
  <c r="BZ63" i="3"/>
  <c r="CA63" i="3"/>
  <c r="CB63" i="3"/>
  <c r="CC63" i="3"/>
  <c r="CD63" i="3"/>
  <c r="CE63" i="3"/>
  <c r="CF63" i="3"/>
  <c r="CG63" i="3"/>
  <c r="CH63" i="3"/>
  <c r="CI63" i="3"/>
  <c r="CJ63" i="3"/>
  <c r="CK63" i="3"/>
  <c r="CL63" i="3"/>
  <c r="CM63" i="3"/>
  <c r="CN63" i="3"/>
  <c r="CO63" i="3"/>
  <c r="CP63" i="3"/>
  <c r="CQ63" i="3"/>
  <c r="CR63" i="3"/>
  <c r="CS63" i="3"/>
  <c r="CT63" i="3"/>
  <c r="CU63" i="3"/>
  <c r="CV63" i="3"/>
  <c r="CW63" i="3"/>
  <c r="CX63" i="3"/>
  <c r="CY63" i="3"/>
  <c r="CZ63" i="3"/>
  <c r="DA63" i="3"/>
  <c r="DB63" i="3"/>
  <c r="DC63" i="3"/>
  <c r="DD63" i="3"/>
  <c r="DE63" i="3"/>
  <c r="DF63" i="3"/>
  <c r="DG63" i="3"/>
  <c r="DH63" i="3"/>
  <c r="DI63" i="3"/>
  <c r="DJ63" i="3"/>
  <c r="DK63" i="3"/>
  <c r="DL63" i="3"/>
  <c r="DM63" i="3"/>
  <c r="DN63" i="3"/>
  <c r="DO63" i="3"/>
  <c r="DP63" i="3"/>
  <c r="DQ63" i="3"/>
  <c r="DR63" i="3"/>
  <c r="DS63" i="3"/>
  <c r="DT63" i="3"/>
  <c r="DU63" i="3"/>
  <c r="DV63" i="3"/>
  <c r="DW63" i="3"/>
  <c r="DX63" i="3"/>
  <c r="DY63" i="3"/>
  <c r="DZ63" i="3"/>
  <c r="EA63" i="3"/>
  <c r="EB63" i="3"/>
  <c r="EC63" i="3"/>
  <c r="ED63" i="3"/>
  <c r="EE63" i="3"/>
  <c r="EF63" i="3"/>
  <c r="EG63" i="3"/>
  <c r="EI63" i="3"/>
  <c r="EJ63" i="3"/>
  <c r="EK63" i="3"/>
  <c r="EL63" i="3"/>
  <c r="EM63" i="3"/>
  <c r="EN63" i="3"/>
  <c r="EO63" i="3"/>
  <c r="EP63" i="3"/>
  <c r="EQ63" i="3"/>
  <c r="ER63" i="3"/>
  <c r="ES63" i="3"/>
  <c r="ET63" i="3"/>
  <c r="EU63" i="3"/>
  <c r="EV63" i="3"/>
  <c r="EW63" i="3"/>
  <c r="EX63" i="3"/>
  <c r="EY63" i="3"/>
  <c r="EZ63" i="3"/>
  <c r="FA63" i="3"/>
  <c r="FB63" i="3"/>
  <c r="FC63" i="3"/>
  <c r="FD63" i="3"/>
  <c r="FE63" i="3"/>
  <c r="FF63" i="3"/>
  <c r="FG63" i="3"/>
  <c r="FH63" i="3"/>
  <c r="FI63" i="3"/>
  <c r="FJ63" i="3"/>
  <c r="FK63" i="3"/>
  <c r="FL63" i="3"/>
  <c r="FM63" i="3"/>
  <c r="FN63" i="3"/>
  <c r="FO63" i="3"/>
  <c r="FP63" i="3"/>
  <c r="FQ63" i="3"/>
  <c r="FR63" i="3"/>
  <c r="FS63" i="3"/>
  <c r="FT63" i="3"/>
  <c r="FU63" i="3"/>
  <c r="FV63" i="3"/>
  <c r="FW63" i="3"/>
  <c r="FX63" i="3"/>
  <c r="FY63" i="3"/>
  <c r="FZ63" i="3"/>
  <c r="GA63" i="3"/>
  <c r="GB63" i="3"/>
  <c r="GC63" i="3"/>
  <c r="GD63" i="3"/>
  <c r="GE63" i="3"/>
  <c r="GF63" i="3"/>
  <c r="GG63" i="3"/>
  <c r="GH63" i="3"/>
  <c r="GI63" i="3"/>
  <c r="GJ63" i="3"/>
  <c r="GK63" i="3"/>
  <c r="GL63" i="3"/>
  <c r="GM63" i="3"/>
  <c r="GN63" i="3"/>
  <c r="GO63" i="3"/>
  <c r="GP63" i="3"/>
  <c r="GQ63" i="3"/>
  <c r="GR63" i="3"/>
  <c r="GS63" i="3"/>
  <c r="GT63" i="3"/>
  <c r="GU63" i="3"/>
  <c r="GV63" i="3"/>
  <c r="GW63" i="3"/>
  <c r="GX63" i="3"/>
  <c r="GY63" i="3"/>
  <c r="GZ63" i="3"/>
  <c r="HA63" i="3"/>
  <c r="HB63" i="3"/>
  <c r="HC63" i="3"/>
  <c r="HD63" i="3"/>
  <c r="HE63" i="3"/>
  <c r="HF63" i="3"/>
  <c r="HG63" i="3"/>
  <c r="HH63" i="3"/>
  <c r="HI63" i="3"/>
  <c r="HJ63" i="3"/>
  <c r="HK63" i="3"/>
  <c r="HL63" i="3"/>
  <c r="HM63" i="3"/>
  <c r="HN63" i="3"/>
  <c r="HO63" i="3"/>
  <c r="HP63" i="3"/>
  <c r="HQ63" i="3"/>
  <c r="HR63" i="3"/>
  <c r="HS63" i="3"/>
  <c r="HT63" i="3"/>
  <c r="HU63" i="3"/>
  <c r="HV63" i="3"/>
  <c r="HW63" i="3"/>
  <c r="HX63" i="3"/>
  <c r="HY63" i="3"/>
  <c r="HZ63" i="3"/>
  <c r="IA63" i="3"/>
  <c r="IB63" i="3"/>
  <c r="IC63" i="3"/>
  <c r="ID63" i="3"/>
  <c r="IE63" i="3"/>
  <c r="IF63" i="3"/>
  <c r="IG63" i="3"/>
  <c r="IH63" i="3"/>
  <c r="II63" i="3"/>
  <c r="IJ63" i="3"/>
  <c r="IK63" i="3"/>
  <c r="IL63" i="3"/>
  <c r="IM63" i="3"/>
  <c r="IN63" i="3"/>
  <c r="IO63" i="3"/>
  <c r="IP63" i="3"/>
  <c r="IQ63" i="3"/>
  <c r="IR63" i="3"/>
  <c r="IS63" i="3"/>
  <c r="IT63" i="3"/>
  <c r="IU63" i="3"/>
  <c r="IV63" i="3"/>
  <c r="IW63" i="3"/>
  <c r="IX63" i="3"/>
  <c r="IY63" i="3"/>
  <c r="IZ63" i="3"/>
  <c r="JA63" i="3"/>
  <c r="JB63" i="3"/>
  <c r="JC63" i="3"/>
  <c r="JD63" i="3"/>
  <c r="JE63" i="3"/>
  <c r="JF63" i="3"/>
  <c r="JG63" i="3"/>
  <c r="JH63" i="3"/>
  <c r="JI63" i="3"/>
  <c r="JJ63" i="3"/>
  <c r="JK63" i="3"/>
  <c r="JL63" i="3"/>
  <c r="JM63" i="3"/>
  <c r="A64" i="3"/>
  <c r="B64" i="3"/>
  <c r="J64" i="3"/>
  <c r="K64" i="3"/>
  <c r="L64" i="3"/>
  <c r="M64" i="3"/>
  <c r="N64" i="3"/>
  <c r="O64" i="3"/>
  <c r="P64" i="3"/>
  <c r="Q64" i="3"/>
  <c r="R64" i="3"/>
  <c r="S64" i="3"/>
  <c r="T64" i="3"/>
  <c r="U64" i="3"/>
  <c r="V64" i="3"/>
  <c r="W64" i="3"/>
  <c r="X64" i="3"/>
  <c r="Y64" i="3"/>
  <c r="Z64" i="3"/>
  <c r="AA64" i="3"/>
  <c r="AB64" i="3"/>
  <c r="AC64" i="3"/>
  <c r="AD64" i="3"/>
  <c r="AE64" i="3"/>
  <c r="AF64" i="3"/>
  <c r="AG64" i="3"/>
  <c r="AH64" i="3"/>
  <c r="AI64" i="3"/>
  <c r="AJ64" i="3"/>
  <c r="AK64" i="3"/>
  <c r="AL64" i="3"/>
  <c r="AM64" i="3"/>
  <c r="AN64" i="3"/>
  <c r="AO64" i="3"/>
  <c r="AP64" i="3"/>
  <c r="AQ64" i="3"/>
  <c r="AR64" i="3"/>
  <c r="AS64" i="3"/>
  <c r="AT64" i="3"/>
  <c r="AU64" i="3"/>
  <c r="AV64" i="3"/>
  <c r="AW64" i="3"/>
  <c r="AX64" i="3"/>
  <c r="AY64" i="3"/>
  <c r="AZ64" i="3"/>
  <c r="BA64" i="3"/>
  <c r="BB64" i="3"/>
  <c r="BC64" i="3"/>
  <c r="BD64" i="3"/>
  <c r="BE64" i="3"/>
  <c r="BF64" i="3"/>
  <c r="BG64" i="3"/>
  <c r="BH64" i="3"/>
  <c r="BI64" i="3"/>
  <c r="BJ64" i="3"/>
  <c r="BK64" i="3"/>
  <c r="BL64" i="3"/>
  <c r="BM64" i="3"/>
  <c r="BN64" i="3"/>
  <c r="BO64" i="3"/>
  <c r="BP64" i="3"/>
  <c r="BQ64" i="3"/>
  <c r="BR64" i="3"/>
  <c r="BS64" i="3"/>
  <c r="BT64" i="3"/>
  <c r="BU64" i="3"/>
  <c r="BV64" i="3"/>
  <c r="BW64" i="3"/>
  <c r="BX64" i="3"/>
  <c r="BY64" i="3"/>
  <c r="BZ64" i="3"/>
  <c r="CA64" i="3"/>
  <c r="CB64" i="3"/>
  <c r="CC64" i="3"/>
  <c r="CD64" i="3"/>
  <c r="CE64" i="3"/>
  <c r="CF64" i="3"/>
  <c r="CG64" i="3"/>
  <c r="CH64" i="3"/>
  <c r="CI64" i="3"/>
  <c r="CJ64" i="3"/>
  <c r="CK64" i="3"/>
  <c r="CL64" i="3"/>
  <c r="CM64" i="3"/>
  <c r="CN64" i="3"/>
  <c r="CO64" i="3"/>
  <c r="CP64" i="3"/>
  <c r="CQ64" i="3"/>
  <c r="CR64" i="3"/>
  <c r="CS64" i="3"/>
  <c r="CT64" i="3"/>
  <c r="CU64" i="3"/>
  <c r="CV64" i="3"/>
  <c r="CW64" i="3"/>
  <c r="CX64" i="3"/>
  <c r="CY64" i="3"/>
  <c r="CZ64" i="3"/>
  <c r="DA64" i="3"/>
  <c r="DB64" i="3"/>
  <c r="DC64" i="3"/>
  <c r="DD64" i="3"/>
  <c r="DE64" i="3"/>
  <c r="DF64" i="3"/>
  <c r="DG64" i="3"/>
  <c r="DH64" i="3"/>
  <c r="DI64" i="3"/>
  <c r="DJ64" i="3"/>
  <c r="DK64" i="3"/>
  <c r="DL64" i="3"/>
  <c r="DM64" i="3"/>
  <c r="DN64" i="3"/>
  <c r="DO64" i="3"/>
  <c r="DP64" i="3"/>
  <c r="DQ64" i="3"/>
  <c r="DR64" i="3"/>
  <c r="DS64" i="3"/>
  <c r="DT64" i="3"/>
  <c r="DU64" i="3"/>
  <c r="DV64" i="3"/>
  <c r="DW64" i="3"/>
  <c r="DX64" i="3"/>
  <c r="DY64" i="3"/>
  <c r="DZ64" i="3"/>
  <c r="EA64" i="3"/>
  <c r="EB64" i="3"/>
  <c r="EC64" i="3"/>
  <c r="ED64" i="3"/>
  <c r="EE64" i="3"/>
  <c r="EF64" i="3"/>
  <c r="EG64" i="3"/>
  <c r="EI64" i="3"/>
  <c r="EJ64" i="3"/>
  <c r="EK64" i="3"/>
  <c r="EL64" i="3"/>
  <c r="EM64" i="3"/>
  <c r="EN64" i="3"/>
  <c r="EO64" i="3"/>
  <c r="EP64" i="3"/>
  <c r="EQ64" i="3"/>
  <c r="ER64" i="3"/>
  <c r="ES64" i="3"/>
  <c r="ET64" i="3"/>
  <c r="EU64" i="3"/>
  <c r="EV64" i="3"/>
  <c r="EW64" i="3"/>
  <c r="EX64" i="3"/>
  <c r="EY64" i="3"/>
  <c r="EZ64" i="3"/>
  <c r="FA64" i="3"/>
  <c r="FB64" i="3"/>
  <c r="FC64" i="3"/>
  <c r="FD64" i="3"/>
  <c r="FE64" i="3"/>
  <c r="FF64" i="3"/>
  <c r="FG64" i="3"/>
  <c r="FH64" i="3"/>
  <c r="FI64" i="3"/>
  <c r="FJ64" i="3"/>
  <c r="FK64" i="3"/>
  <c r="FL64" i="3"/>
  <c r="FM64" i="3"/>
  <c r="FN64" i="3"/>
  <c r="FO64" i="3"/>
  <c r="FP64" i="3"/>
  <c r="FQ64" i="3"/>
  <c r="FR64" i="3"/>
  <c r="FS64" i="3"/>
  <c r="FT64" i="3"/>
  <c r="FU64" i="3"/>
  <c r="FV64" i="3"/>
  <c r="FW64" i="3"/>
  <c r="FX64" i="3"/>
  <c r="FY64" i="3"/>
  <c r="FZ64" i="3"/>
  <c r="GA64" i="3"/>
  <c r="GB64" i="3"/>
  <c r="GC64" i="3"/>
  <c r="GD64" i="3"/>
  <c r="GE64" i="3"/>
  <c r="GF64" i="3"/>
  <c r="GG64" i="3"/>
  <c r="GH64" i="3"/>
  <c r="GI64" i="3"/>
  <c r="GJ64" i="3"/>
  <c r="GK64" i="3"/>
  <c r="GL64" i="3"/>
  <c r="GM64" i="3"/>
  <c r="GN64" i="3"/>
  <c r="GO64" i="3"/>
  <c r="GP64" i="3"/>
  <c r="GQ64" i="3"/>
  <c r="GR64" i="3"/>
  <c r="GS64" i="3"/>
  <c r="GT64" i="3"/>
  <c r="GU64" i="3"/>
  <c r="GV64" i="3"/>
  <c r="GW64" i="3"/>
  <c r="GX64" i="3"/>
  <c r="GY64" i="3"/>
  <c r="GZ64" i="3"/>
  <c r="HA64" i="3"/>
  <c r="HB64" i="3"/>
  <c r="HC64" i="3"/>
  <c r="HD64" i="3"/>
  <c r="HE64" i="3"/>
  <c r="HF64" i="3"/>
  <c r="HG64" i="3"/>
  <c r="HH64" i="3"/>
  <c r="HI64" i="3"/>
  <c r="HJ64" i="3"/>
  <c r="HK64" i="3"/>
  <c r="HL64" i="3"/>
  <c r="HM64" i="3"/>
  <c r="HN64" i="3"/>
  <c r="HO64" i="3"/>
  <c r="HP64" i="3"/>
  <c r="HQ64" i="3"/>
  <c r="HR64" i="3"/>
  <c r="HS64" i="3"/>
  <c r="HT64" i="3"/>
  <c r="HU64" i="3"/>
  <c r="HV64" i="3"/>
  <c r="HW64" i="3"/>
  <c r="HX64" i="3"/>
  <c r="HY64" i="3"/>
  <c r="HZ64" i="3"/>
  <c r="IA64" i="3"/>
  <c r="IB64" i="3"/>
  <c r="IC64" i="3"/>
  <c r="ID64" i="3"/>
  <c r="IE64" i="3"/>
  <c r="IF64" i="3"/>
  <c r="IG64" i="3"/>
  <c r="IH64" i="3"/>
  <c r="II64" i="3"/>
  <c r="IJ64" i="3"/>
  <c r="IK64" i="3"/>
  <c r="IL64" i="3"/>
  <c r="IM64" i="3"/>
  <c r="IN64" i="3"/>
  <c r="IO64" i="3"/>
  <c r="IP64" i="3"/>
  <c r="IQ64" i="3"/>
  <c r="IR64" i="3"/>
  <c r="IS64" i="3"/>
  <c r="IT64" i="3"/>
  <c r="IU64" i="3"/>
  <c r="IV64" i="3"/>
  <c r="IW64" i="3"/>
  <c r="IX64" i="3"/>
  <c r="IY64" i="3"/>
  <c r="IZ64" i="3"/>
  <c r="JA64" i="3"/>
  <c r="JB64" i="3"/>
  <c r="JC64" i="3"/>
  <c r="JD64" i="3"/>
  <c r="JE64" i="3"/>
  <c r="JF64" i="3"/>
  <c r="JG64" i="3"/>
  <c r="JH64" i="3"/>
  <c r="JI64" i="3"/>
  <c r="JJ64" i="3"/>
  <c r="JK64" i="3"/>
  <c r="JL64" i="3"/>
  <c r="JM64" i="3"/>
  <c r="A65" i="3"/>
  <c r="B65" i="3"/>
  <c r="L65" i="3"/>
  <c r="M65" i="3"/>
  <c r="N65" i="3"/>
  <c r="O65" i="3"/>
  <c r="P65" i="3"/>
  <c r="Q65" i="3"/>
  <c r="R65" i="3"/>
  <c r="S65" i="3"/>
  <c r="T65" i="3"/>
  <c r="U65" i="3"/>
  <c r="V65" i="3"/>
  <c r="W65" i="3"/>
  <c r="X65" i="3"/>
  <c r="Y65" i="3"/>
  <c r="Z65" i="3"/>
  <c r="AA65" i="3"/>
  <c r="AB65" i="3"/>
  <c r="AC65" i="3"/>
  <c r="AD65" i="3"/>
  <c r="AE65" i="3"/>
  <c r="AF65" i="3"/>
  <c r="AG65" i="3"/>
  <c r="AH65" i="3"/>
  <c r="AI65" i="3"/>
  <c r="AJ65" i="3"/>
  <c r="AK65" i="3"/>
  <c r="AL65" i="3"/>
  <c r="AM65" i="3"/>
  <c r="AN65" i="3"/>
  <c r="AO65" i="3"/>
  <c r="AP65" i="3"/>
  <c r="AQ65" i="3"/>
  <c r="AR65" i="3"/>
  <c r="AS65" i="3"/>
  <c r="AT65" i="3"/>
  <c r="AU65" i="3"/>
  <c r="AV65" i="3"/>
  <c r="AW65" i="3"/>
  <c r="AX65" i="3"/>
  <c r="AY65" i="3"/>
  <c r="AZ65" i="3"/>
  <c r="BA65" i="3"/>
  <c r="BB65" i="3"/>
  <c r="BC65" i="3"/>
  <c r="BD65" i="3"/>
  <c r="BE65" i="3"/>
  <c r="BF65" i="3"/>
  <c r="BG65" i="3"/>
  <c r="BH65" i="3"/>
  <c r="BI65" i="3"/>
  <c r="BJ65" i="3"/>
  <c r="BK65" i="3"/>
  <c r="BL65" i="3"/>
  <c r="BM65" i="3"/>
  <c r="BN65" i="3"/>
  <c r="BO65" i="3"/>
  <c r="BP65" i="3"/>
  <c r="BQ65" i="3"/>
  <c r="BR65" i="3"/>
  <c r="BS65" i="3"/>
  <c r="BT65" i="3"/>
  <c r="BU65" i="3"/>
  <c r="BV65" i="3"/>
  <c r="BW65" i="3"/>
  <c r="BX65" i="3"/>
  <c r="BY65" i="3"/>
  <c r="BZ65" i="3"/>
  <c r="CA65" i="3"/>
  <c r="CB65" i="3"/>
  <c r="CC65" i="3"/>
  <c r="CD65" i="3"/>
  <c r="CE65" i="3"/>
  <c r="CF65" i="3"/>
  <c r="CG65" i="3"/>
  <c r="CH65" i="3"/>
  <c r="CI65" i="3"/>
  <c r="CJ65" i="3"/>
  <c r="CK65" i="3"/>
  <c r="CL65" i="3"/>
  <c r="CM65" i="3"/>
  <c r="CN65" i="3"/>
  <c r="CO65" i="3"/>
  <c r="CP65" i="3"/>
  <c r="CQ65" i="3"/>
  <c r="CR65" i="3"/>
  <c r="CS65" i="3"/>
  <c r="CT65" i="3"/>
  <c r="CU65" i="3"/>
  <c r="CV65" i="3"/>
  <c r="CW65" i="3"/>
  <c r="CX65" i="3"/>
  <c r="CY65" i="3"/>
  <c r="CZ65" i="3"/>
  <c r="DA65" i="3"/>
  <c r="DB65" i="3"/>
  <c r="DC65" i="3"/>
  <c r="DD65" i="3"/>
  <c r="DE65" i="3"/>
  <c r="DF65" i="3"/>
  <c r="DG65" i="3"/>
  <c r="DH65" i="3"/>
  <c r="DI65" i="3"/>
  <c r="DJ65" i="3"/>
  <c r="DK65" i="3"/>
  <c r="DL65" i="3"/>
  <c r="DM65" i="3"/>
  <c r="DN65" i="3"/>
  <c r="DO65" i="3"/>
  <c r="DP65" i="3"/>
  <c r="DQ65" i="3"/>
  <c r="DR65" i="3"/>
  <c r="DS65" i="3"/>
  <c r="DT65" i="3"/>
  <c r="DU65" i="3"/>
  <c r="DV65" i="3"/>
  <c r="DW65" i="3"/>
  <c r="DX65" i="3"/>
  <c r="DY65" i="3"/>
  <c r="DZ65" i="3"/>
  <c r="EA65" i="3"/>
  <c r="EB65" i="3"/>
  <c r="EC65" i="3"/>
  <c r="ED65" i="3"/>
  <c r="EE65" i="3"/>
  <c r="EF65" i="3"/>
  <c r="EG65" i="3"/>
  <c r="EI65" i="3"/>
  <c r="EJ65" i="3"/>
  <c r="EK65" i="3"/>
  <c r="EL65" i="3"/>
  <c r="EM65" i="3"/>
  <c r="EN65" i="3"/>
  <c r="EO65" i="3"/>
  <c r="EP65" i="3"/>
  <c r="EQ65" i="3"/>
  <c r="ER65" i="3"/>
  <c r="ES65" i="3"/>
  <c r="ET65" i="3"/>
  <c r="EU65" i="3"/>
  <c r="EV65" i="3"/>
  <c r="EW65" i="3"/>
  <c r="EX65" i="3"/>
  <c r="EY65" i="3"/>
  <c r="EZ65" i="3"/>
  <c r="FA65" i="3"/>
  <c r="FB65" i="3"/>
  <c r="FC65" i="3"/>
  <c r="FD65" i="3"/>
  <c r="FE65" i="3"/>
  <c r="FF65" i="3"/>
  <c r="FG65" i="3"/>
  <c r="FH65" i="3"/>
  <c r="FI65" i="3"/>
  <c r="FJ65" i="3"/>
  <c r="FK65" i="3"/>
  <c r="FL65" i="3"/>
  <c r="FM65" i="3"/>
  <c r="FN65" i="3"/>
  <c r="FO65" i="3"/>
  <c r="FP65" i="3"/>
  <c r="FQ65" i="3"/>
  <c r="FR65" i="3"/>
  <c r="FS65" i="3"/>
  <c r="FT65" i="3"/>
  <c r="FU65" i="3"/>
  <c r="FV65" i="3"/>
  <c r="FW65" i="3"/>
  <c r="FX65" i="3"/>
  <c r="FY65" i="3"/>
  <c r="FZ65" i="3"/>
  <c r="GA65" i="3"/>
  <c r="GB65" i="3"/>
  <c r="GC65" i="3"/>
  <c r="GD65" i="3"/>
  <c r="GE65" i="3"/>
  <c r="GF65" i="3"/>
  <c r="GG65" i="3"/>
  <c r="GH65" i="3"/>
  <c r="GI65" i="3"/>
  <c r="GJ65" i="3"/>
  <c r="GK65" i="3"/>
  <c r="GL65" i="3"/>
  <c r="GM65" i="3"/>
  <c r="GN65" i="3"/>
  <c r="GO65" i="3"/>
  <c r="GP65" i="3"/>
  <c r="GQ65" i="3"/>
  <c r="GR65" i="3"/>
  <c r="GS65" i="3"/>
  <c r="GT65" i="3"/>
  <c r="GU65" i="3"/>
  <c r="GV65" i="3"/>
  <c r="GW65" i="3"/>
  <c r="GX65" i="3"/>
  <c r="GY65" i="3"/>
  <c r="GZ65" i="3"/>
  <c r="HA65" i="3"/>
  <c r="HB65" i="3"/>
  <c r="HC65" i="3"/>
  <c r="HD65" i="3"/>
  <c r="HE65" i="3"/>
  <c r="HF65" i="3"/>
  <c r="HG65" i="3"/>
  <c r="HH65" i="3"/>
  <c r="HI65" i="3"/>
  <c r="HJ65" i="3"/>
  <c r="HK65" i="3"/>
  <c r="HL65" i="3"/>
  <c r="HM65" i="3"/>
  <c r="HN65" i="3"/>
  <c r="HO65" i="3"/>
  <c r="HP65" i="3"/>
  <c r="HQ65" i="3"/>
  <c r="HR65" i="3"/>
  <c r="HS65" i="3"/>
  <c r="HT65" i="3"/>
  <c r="HU65" i="3"/>
  <c r="HV65" i="3"/>
  <c r="HW65" i="3"/>
  <c r="HX65" i="3"/>
  <c r="HY65" i="3"/>
  <c r="HZ65" i="3"/>
  <c r="IA65" i="3"/>
  <c r="IB65" i="3"/>
  <c r="IC65" i="3"/>
  <c r="ID65" i="3"/>
  <c r="IE65" i="3"/>
  <c r="IF65" i="3"/>
  <c r="IG65" i="3"/>
  <c r="IH65" i="3"/>
  <c r="II65" i="3"/>
  <c r="IJ65" i="3"/>
  <c r="IK65" i="3"/>
  <c r="IL65" i="3"/>
  <c r="IM65" i="3"/>
  <c r="IN65" i="3"/>
  <c r="IO65" i="3"/>
  <c r="IP65" i="3"/>
  <c r="IQ65" i="3"/>
  <c r="IR65" i="3"/>
  <c r="IS65" i="3"/>
  <c r="IT65" i="3"/>
  <c r="IU65" i="3"/>
  <c r="IV65" i="3"/>
  <c r="IW65" i="3"/>
  <c r="IX65" i="3"/>
  <c r="IY65" i="3"/>
  <c r="IZ65" i="3"/>
  <c r="JA65" i="3"/>
  <c r="JB65" i="3"/>
  <c r="JC65" i="3"/>
  <c r="JD65" i="3"/>
  <c r="JE65" i="3"/>
  <c r="JF65" i="3"/>
  <c r="JG65" i="3"/>
  <c r="JH65" i="3"/>
  <c r="JI65" i="3"/>
  <c r="JJ65" i="3"/>
  <c r="JK65" i="3"/>
  <c r="JL65" i="3"/>
  <c r="JM65" i="3"/>
  <c r="A56" i="3"/>
  <c r="B56" i="3"/>
  <c r="C56" i="3"/>
  <c r="D56"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AK56" i="3"/>
  <c r="AL56" i="3"/>
  <c r="AM56" i="3"/>
  <c r="AN56" i="3"/>
  <c r="AO56" i="3"/>
  <c r="AP56" i="3"/>
  <c r="AQ56" i="3"/>
  <c r="AR56" i="3"/>
  <c r="AS56" i="3"/>
  <c r="AT56" i="3"/>
  <c r="AU56" i="3"/>
  <c r="AV56" i="3"/>
  <c r="AW56" i="3"/>
  <c r="AX56" i="3"/>
  <c r="AY56" i="3"/>
  <c r="AZ56" i="3"/>
  <c r="BA56" i="3"/>
  <c r="BB56" i="3"/>
  <c r="BC56" i="3"/>
  <c r="BD56" i="3"/>
  <c r="BE56" i="3"/>
  <c r="BF56" i="3"/>
  <c r="BG56" i="3"/>
  <c r="BH56" i="3"/>
  <c r="BI56" i="3"/>
  <c r="BJ56" i="3"/>
  <c r="BK56" i="3"/>
  <c r="BL56" i="3"/>
  <c r="BM56" i="3"/>
  <c r="BN56" i="3"/>
  <c r="BO56" i="3"/>
  <c r="BP56" i="3"/>
  <c r="BQ56" i="3"/>
  <c r="BR56" i="3"/>
  <c r="BS56" i="3"/>
  <c r="BT56" i="3"/>
  <c r="BU56" i="3"/>
  <c r="BV56" i="3"/>
  <c r="BW56" i="3"/>
  <c r="BX56" i="3"/>
  <c r="BY56" i="3"/>
  <c r="BZ56" i="3"/>
  <c r="CA56" i="3"/>
  <c r="CB56" i="3"/>
  <c r="CC56" i="3"/>
  <c r="CD56" i="3"/>
  <c r="CE56" i="3"/>
  <c r="CF56" i="3"/>
  <c r="CG56" i="3"/>
  <c r="CH56" i="3"/>
  <c r="CI56" i="3"/>
  <c r="CJ56" i="3"/>
  <c r="CK56" i="3"/>
  <c r="CL56" i="3"/>
  <c r="CM56" i="3"/>
  <c r="CN56" i="3"/>
  <c r="CO56" i="3"/>
  <c r="CP56" i="3"/>
  <c r="CQ56" i="3"/>
  <c r="CR56" i="3"/>
  <c r="CS56" i="3"/>
  <c r="CT56" i="3"/>
  <c r="CU56" i="3"/>
  <c r="CV56" i="3"/>
  <c r="CW56" i="3"/>
  <c r="CX56" i="3"/>
  <c r="CY56" i="3"/>
  <c r="CZ56" i="3"/>
  <c r="DA56" i="3"/>
  <c r="DB56" i="3"/>
  <c r="DC56" i="3"/>
  <c r="DD56" i="3"/>
  <c r="DE56" i="3"/>
  <c r="DF56" i="3"/>
  <c r="DG56" i="3"/>
  <c r="DH56" i="3"/>
  <c r="DI56" i="3"/>
  <c r="DJ56" i="3"/>
  <c r="DK56" i="3"/>
  <c r="DL56" i="3"/>
  <c r="DM56" i="3"/>
  <c r="DN56" i="3"/>
  <c r="DO56" i="3"/>
  <c r="DP56" i="3"/>
  <c r="DQ56" i="3"/>
  <c r="DR56" i="3"/>
  <c r="DS56" i="3"/>
  <c r="DT56" i="3"/>
  <c r="DU56" i="3"/>
  <c r="DV56" i="3"/>
  <c r="DW56" i="3"/>
  <c r="DX56" i="3"/>
  <c r="DY56" i="3"/>
  <c r="DZ56" i="3"/>
  <c r="EA56" i="3"/>
  <c r="EB56" i="3"/>
  <c r="EC56" i="3"/>
  <c r="ED56" i="3"/>
  <c r="EE56" i="3"/>
  <c r="EF56" i="3"/>
  <c r="EG56" i="3"/>
  <c r="EI56" i="3"/>
  <c r="EJ56" i="3"/>
  <c r="EK56" i="3"/>
  <c r="EL56" i="3"/>
  <c r="EM56" i="3"/>
  <c r="EN56" i="3"/>
  <c r="EO56" i="3"/>
  <c r="EP56" i="3"/>
  <c r="EQ56" i="3"/>
  <c r="ER56" i="3"/>
  <c r="ES56" i="3"/>
  <c r="ET56" i="3"/>
  <c r="EU56" i="3"/>
  <c r="EV56" i="3"/>
  <c r="EW56" i="3"/>
  <c r="EX56" i="3"/>
  <c r="EY56" i="3"/>
  <c r="EZ56" i="3"/>
  <c r="FA56" i="3"/>
  <c r="FB56" i="3"/>
  <c r="FC56" i="3"/>
  <c r="FD56" i="3"/>
  <c r="FE56" i="3"/>
  <c r="FF56" i="3"/>
  <c r="FG56" i="3"/>
  <c r="FH56" i="3"/>
  <c r="FI56" i="3"/>
  <c r="FJ56" i="3"/>
  <c r="FK56" i="3"/>
  <c r="FL56" i="3"/>
  <c r="FM56" i="3"/>
  <c r="FN56" i="3"/>
  <c r="FO56" i="3"/>
  <c r="FP56" i="3"/>
  <c r="FQ56" i="3"/>
  <c r="FR56" i="3"/>
  <c r="FS56" i="3"/>
  <c r="FT56" i="3"/>
  <c r="FU56" i="3"/>
  <c r="FV56" i="3"/>
  <c r="FW56" i="3"/>
  <c r="FX56" i="3"/>
  <c r="FY56" i="3"/>
  <c r="FZ56" i="3"/>
  <c r="GA56" i="3"/>
  <c r="GB56" i="3"/>
  <c r="GC56" i="3"/>
  <c r="GD56" i="3"/>
  <c r="GE56" i="3"/>
  <c r="GF56" i="3"/>
  <c r="GG56" i="3"/>
  <c r="GH56" i="3"/>
  <c r="GI56" i="3"/>
  <c r="GJ56" i="3"/>
  <c r="GK56" i="3"/>
  <c r="GL56" i="3"/>
  <c r="GM56" i="3"/>
  <c r="GN56" i="3"/>
  <c r="GO56" i="3"/>
  <c r="GP56" i="3"/>
  <c r="GQ56" i="3"/>
  <c r="GR56" i="3"/>
  <c r="GS56" i="3"/>
  <c r="GT56" i="3"/>
  <c r="GU56" i="3"/>
  <c r="GV56" i="3"/>
  <c r="GW56" i="3"/>
  <c r="GX56" i="3"/>
  <c r="GY56" i="3"/>
  <c r="GZ56" i="3"/>
  <c r="HA56" i="3"/>
  <c r="HB56" i="3"/>
  <c r="HC56" i="3"/>
  <c r="HD56" i="3"/>
  <c r="HE56" i="3"/>
  <c r="HF56" i="3"/>
  <c r="HG56" i="3"/>
  <c r="HH56" i="3"/>
  <c r="HI56" i="3"/>
  <c r="HJ56" i="3"/>
  <c r="HK56" i="3"/>
  <c r="HL56" i="3"/>
  <c r="HM56" i="3"/>
  <c r="HN56" i="3"/>
  <c r="HO56" i="3"/>
  <c r="HP56" i="3"/>
  <c r="HQ56" i="3"/>
  <c r="HR56" i="3"/>
  <c r="HS56" i="3"/>
  <c r="HT56" i="3"/>
  <c r="HU56" i="3"/>
  <c r="HV56" i="3"/>
  <c r="HW56" i="3"/>
  <c r="HX56" i="3"/>
  <c r="HY56" i="3"/>
  <c r="HZ56" i="3"/>
  <c r="IA56" i="3"/>
  <c r="IB56" i="3"/>
  <c r="IC56" i="3"/>
  <c r="ID56" i="3"/>
  <c r="IE56" i="3"/>
  <c r="IF56" i="3"/>
  <c r="IG56" i="3"/>
  <c r="IH56" i="3"/>
  <c r="II56" i="3"/>
  <c r="IJ56" i="3"/>
  <c r="IK56" i="3"/>
  <c r="IL56" i="3"/>
  <c r="IM56" i="3"/>
  <c r="IN56" i="3"/>
  <c r="IO56" i="3"/>
  <c r="IP56" i="3"/>
  <c r="IQ56" i="3"/>
  <c r="IR56" i="3"/>
  <c r="IS56" i="3"/>
  <c r="IT56" i="3"/>
  <c r="IU56" i="3"/>
  <c r="IV56" i="3"/>
  <c r="IW56" i="3"/>
  <c r="IX56" i="3"/>
  <c r="IY56" i="3"/>
  <c r="IZ56" i="3"/>
  <c r="JA56" i="3"/>
  <c r="JB56" i="3"/>
  <c r="JC56" i="3"/>
  <c r="JD56" i="3"/>
  <c r="JE56" i="3"/>
  <c r="JF56" i="3"/>
  <c r="JG56" i="3"/>
  <c r="JH56" i="3"/>
  <c r="JI56" i="3"/>
  <c r="JJ56" i="3"/>
  <c r="JK56" i="3"/>
  <c r="JL56" i="3"/>
  <c r="JM56" i="3"/>
  <c r="A57" i="3"/>
  <c r="B57" i="3"/>
  <c r="C57" i="3" s="1"/>
  <c r="D57"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AK57" i="3"/>
  <c r="AL57" i="3"/>
  <c r="AM57" i="3"/>
  <c r="AN57" i="3"/>
  <c r="AO57" i="3"/>
  <c r="AP57" i="3"/>
  <c r="AQ57" i="3"/>
  <c r="AR57" i="3"/>
  <c r="AS57" i="3"/>
  <c r="AT57" i="3"/>
  <c r="AU57" i="3"/>
  <c r="AV57" i="3"/>
  <c r="AW57" i="3"/>
  <c r="AX57" i="3"/>
  <c r="AY57" i="3"/>
  <c r="AZ57" i="3"/>
  <c r="BA57" i="3"/>
  <c r="BB57" i="3"/>
  <c r="BC57" i="3"/>
  <c r="BD57" i="3"/>
  <c r="BE57" i="3"/>
  <c r="BF57" i="3"/>
  <c r="BG57" i="3"/>
  <c r="BH57" i="3"/>
  <c r="BI57" i="3"/>
  <c r="BJ57" i="3"/>
  <c r="BK57" i="3"/>
  <c r="BL57" i="3"/>
  <c r="BM57" i="3"/>
  <c r="BN57" i="3"/>
  <c r="BO57" i="3"/>
  <c r="BP57" i="3"/>
  <c r="BQ57" i="3"/>
  <c r="BR57" i="3"/>
  <c r="BS57" i="3"/>
  <c r="BT57" i="3"/>
  <c r="BU57" i="3"/>
  <c r="BV57" i="3"/>
  <c r="BW57" i="3"/>
  <c r="BX57" i="3"/>
  <c r="BY57" i="3"/>
  <c r="BZ57" i="3"/>
  <c r="CA57" i="3"/>
  <c r="CB57" i="3"/>
  <c r="CC57" i="3"/>
  <c r="CD57" i="3"/>
  <c r="CE57" i="3"/>
  <c r="CF57" i="3"/>
  <c r="CG57" i="3"/>
  <c r="CH57" i="3"/>
  <c r="CI57" i="3"/>
  <c r="CJ57" i="3"/>
  <c r="CK57" i="3"/>
  <c r="CL57" i="3"/>
  <c r="CM57" i="3"/>
  <c r="CN57" i="3"/>
  <c r="CO57" i="3"/>
  <c r="CP57" i="3"/>
  <c r="CQ57" i="3"/>
  <c r="CR57" i="3"/>
  <c r="CS57" i="3"/>
  <c r="CT57" i="3"/>
  <c r="CU57" i="3"/>
  <c r="CV57" i="3"/>
  <c r="CW57" i="3"/>
  <c r="CX57" i="3"/>
  <c r="CY57" i="3"/>
  <c r="CZ57" i="3"/>
  <c r="DA57" i="3"/>
  <c r="DB57" i="3"/>
  <c r="DC57" i="3"/>
  <c r="DD57" i="3"/>
  <c r="DE57" i="3"/>
  <c r="DF57" i="3"/>
  <c r="DG57" i="3"/>
  <c r="DH57" i="3"/>
  <c r="DI57" i="3"/>
  <c r="DJ57" i="3"/>
  <c r="DK57" i="3"/>
  <c r="DL57" i="3"/>
  <c r="DM57" i="3"/>
  <c r="DN57" i="3"/>
  <c r="DO57" i="3"/>
  <c r="DP57" i="3"/>
  <c r="DQ57" i="3"/>
  <c r="DR57" i="3"/>
  <c r="DS57" i="3"/>
  <c r="DT57" i="3"/>
  <c r="DU57" i="3"/>
  <c r="DV57" i="3"/>
  <c r="DW57" i="3"/>
  <c r="DX57" i="3"/>
  <c r="DY57" i="3"/>
  <c r="DZ57" i="3"/>
  <c r="EA57" i="3"/>
  <c r="EB57" i="3"/>
  <c r="EC57" i="3"/>
  <c r="ED57" i="3"/>
  <c r="EE57" i="3"/>
  <c r="EF57" i="3"/>
  <c r="EG57" i="3"/>
  <c r="EI57" i="3"/>
  <c r="EJ57" i="3"/>
  <c r="EK57" i="3"/>
  <c r="EL57" i="3"/>
  <c r="EM57" i="3"/>
  <c r="EN57" i="3"/>
  <c r="EO57" i="3"/>
  <c r="EP57" i="3"/>
  <c r="EQ57" i="3"/>
  <c r="ER57" i="3"/>
  <c r="ES57" i="3"/>
  <c r="ET57" i="3"/>
  <c r="EU57" i="3"/>
  <c r="EV57" i="3"/>
  <c r="EW57" i="3"/>
  <c r="EX57" i="3"/>
  <c r="EY57" i="3"/>
  <c r="EZ57" i="3"/>
  <c r="FA57" i="3"/>
  <c r="FB57" i="3"/>
  <c r="FC57" i="3"/>
  <c r="FD57" i="3"/>
  <c r="FE57" i="3"/>
  <c r="FF57" i="3"/>
  <c r="FG57" i="3"/>
  <c r="FH57" i="3"/>
  <c r="FI57" i="3"/>
  <c r="FJ57" i="3"/>
  <c r="FK57" i="3"/>
  <c r="FL57" i="3"/>
  <c r="FM57" i="3"/>
  <c r="FN57" i="3"/>
  <c r="FO57" i="3"/>
  <c r="FP57" i="3"/>
  <c r="FQ57" i="3"/>
  <c r="FR57" i="3"/>
  <c r="FS57" i="3"/>
  <c r="FT57" i="3"/>
  <c r="FU57" i="3"/>
  <c r="FV57" i="3"/>
  <c r="FW57" i="3"/>
  <c r="FX57" i="3"/>
  <c r="FY57" i="3"/>
  <c r="FZ57" i="3"/>
  <c r="GA57" i="3"/>
  <c r="GB57" i="3"/>
  <c r="GC57" i="3"/>
  <c r="GD57" i="3"/>
  <c r="GE57" i="3"/>
  <c r="GF57" i="3"/>
  <c r="GG57" i="3"/>
  <c r="GH57" i="3"/>
  <c r="GI57" i="3"/>
  <c r="GJ57" i="3"/>
  <c r="GK57" i="3"/>
  <c r="GL57" i="3"/>
  <c r="GM57" i="3"/>
  <c r="GN57" i="3"/>
  <c r="GO57" i="3"/>
  <c r="GP57" i="3"/>
  <c r="GQ57" i="3"/>
  <c r="GR57" i="3"/>
  <c r="GS57" i="3"/>
  <c r="GT57" i="3"/>
  <c r="GU57" i="3"/>
  <c r="GV57" i="3"/>
  <c r="GW57" i="3"/>
  <c r="GX57" i="3"/>
  <c r="GY57" i="3"/>
  <c r="GZ57" i="3"/>
  <c r="HA57" i="3"/>
  <c r="HB57" i="3"/>
  <c r="HC57" i="3"/>
  <c r="HD57" i="3"/>
  <c r="HE57" i="3"/>
  <c r="HF57" i="3"/>
  <c r="HG57" i="3"/>
  <c r="HH57" i="3"/>
  <c r="HI57" i="3"/>
  <c r="HJ57" i="3"/>
  <c r="HK57" i="3"/>
  <c r="HL57" i="3"/>
  <c r="HM57" i="3"/>
  <c r="HN57" i="3"/>
  <c r="HO57" i="3"/>
  <c r="HP57" i="3"/>
  <c r="HQ57" i="3"/>
  <c r="HR57" i="3"/>
  <c r="HS57" i="3"/>
  <c r="HT57" i="3"/>
  <c r="HU57" i="3"/>
  <c r="HV57" i="3"/>
  <c r="HW57" i="3"/>
  <c r="HX57" i="3"/>
  <c r="HY57" i="3"/>
  <c r="HZ57" i="3"/>
  <c r="IA57" i="3"/>
  <c r="IB57" i="3"/>
  <c r="IC57" i="3"/>
  <c r="ID57" i="3"/>
  <c r="IE57" i="3"/>
  <c r="IF57" i="3"/>
  <c r="IG57" i="3"/>
  <c r="IH57" i="3"/>
  <c r="II57" i="3"/>
  <c r="IJ57" i="3"/>
  <c r="IK57" i="3"/>
  <c r="IL57" i="3"/>
  <c r="IM57" i="3"/>
  <c r="IN57" i="3"/>
  <c r="IO57" i="3"/>
  <c r="IP57" i="3"/>
  <c r="IQ57" i="3"/>
  <c r="IR57" i="3"/>
  <c r="IS57" i="3"/>
  <c r="IT57" i="3"/>
  <c r="IU57" i="3"/>
  <c r="IV57" i="3"/>
  <c r="IW57" i="3"/>
  <c r="IX57" i="3"/>
  <c r="IY57" i="3"/>
  <c r="IZ57" i="3"/>
  <c r="JA57" i="3"/>
  <c r="JB57" i="3"/>
  <c r="JC57" i="3"/>
  <c r="JD57" i="3"/>
  <c r="JE57" i="3"/>
  <c r="JF57" i="3"/>
  <c r="JG57" i="3"/>
  <c r="JH57" i="3"/>
  <c r="JI57" i="3"/>
  <c r="JJ57" i="3"/>
  <c r="JK57" i="3"/>
  <c r="JL57" i="3"/>
  <c r="JM57" i="3"/>
  <c r="A58" i="3"/>
  <c r="B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AK58" i="3"/>
  <c r="AL58" i="3"/>
  <c r="AM58" i="3"/>
  <c r="AN58" i="3"/>
  <c r="AO58" i="3"/>
  <c r="AP58" i="3"/>
  <c r="AQ58" i="3"/>
  <c r="AR58" i="3"/>
  <c r="AS58" i="3"/>
  <c r="AT58" i="3"/>
  <c r="AU58" i="3"/>
  <c r="AV58" i="3"/>
  <c r="AW58" i="3"/>
  <c r="AX58" i="3"/>
  <c r="AY58" i="3"/>
  <c r="AZ58" i="3"/>
  <c r="BA58" i="3"/>
  <c r="BB58" i="3"/>
  <c r="BC58" i="3"/>
  <c r="BD58" i="3"/>
  <c r="BE58" i="3"/>
  <c r="BF58" i="3"/>
  <c r="BG58" i="3"/>
  <c r="BH58" i="3"/>
  <c r="BI58" i="3"/>
  <c r="BJ58" i="3"/>
  <c r="BK58" i="3"/>
  <c r="BL58" i="3"/>
  <c r="BM58" i="3"/>
  <c r="BN58" i="3"/>
  <c r="BO58" i="3"/>
  <c r="BP58" i="3"/>
  <c r="BQ58" i="3"/>
  <c r="BR58" i="3"/>
  <c r="BS58" i="3"/>
  <c r="BT58" i="3"/>
  <c r="BU58" i="3"/>
  <c r="BV58" i="3"/>
  <c r="BW58" i="3"/>
  <c r="BX58" i="3"/>
  <c r="BY58" i="3"/>
  <c r="BZ58" i="3"/>
  <c r="CA58" i="3"/>
  <c r="CB58" i="3"/>
  <c r="CC58" i="3"/>
  <c r="CD58" i="3"/>
  <c r="CE58" i="3"/>
  <c r="CF58" i="3"/>
  <c r="CG58" i="3"/>
  <c r="CH58" i="3"/>
  <c r="CI58" i="3"/>
  <c r="CJ58" i="3"/>
  <c r="CK58" i="3"/>
  <c r="CL58" i="3"/>
  <c r="CM58" i="3"/>
  <c r="CN58" i="3"/>
  <c r="CO58" i="3"/>
  <c r="CP58" i="3"/>
  <c r="CQ58" i="3"/>
  <c r="CR58" i="3"/>
  <c r="CS58" i="3"/>
  <c r="CT58" i="3"/>
  <c r="CU58" i="3"/>
  <c r="CV58" i="3"/>
  <c r="CW58" i="3"/>
  <c r="CX58" i="3"/>
  <c r="CY58" i="3"/>
  <c r="CZ58" i="3"/>
  <c r="DA58" i="3"/>
  <c r="DB58" i="3"/>
  <c r="DC58" i="3"/>
  <c r="DD58" i="3"/>
  <c r="DE58" i="3"/>
  <c r="DF58" i="3"/>
  <c r="DG58" i="3"/>
  <c r="DH58" i="3"/>
  <c r="DI58" i="3"/>
  <c r="DJ58" i="3"/>
  <c r="DK58" i="3"/>
  <c r="DL58" i="3"/>
  <c r="DM58" i="3"/>
  <c r="DN58" i="3"/>
  <c r="DO58" i="3"/>
  <c r="DP58" i="3"/>
  <c r="DQ58" i="3"/>
  <c r="DR58" i="3"/>
  <c r="DS58" i="3"/>
  <c r="DT58" i="3"/>
  <c r="DU58" i="3"/>
  <c r="DV58" i="3"/>
  <c r="DW58" i="3"/>
  <c r="DX58" i="3"/>
  <c r="DY58" i="3"/>
  <c r="DZ58" i="3"/>
  <c r="EA58" i="3"/>
  <c r="EB58" i="3"/>
  <c r="EC58" i="3"/>
  <c r="ED58" i="3"/>
  <c r="EE58" i="3"/>
  <c r="EF58" i="3"/>
  <c r="EG58" i="3"/>
  <c r="EI58" i="3"/>
  <c r="EJ58" i="3"/>
  <c r="EK58" i="3"/>
  <c r="EL58" i="3"/>
  <c r="EM58" i="3"/>
  <c r="EN58" i="3"/>
  <c r="EO58" i="3"/>
  <c r="EP58" i="3"/>
  <c r="EQ58" i="3"/>
  <c r="ER58" i="3"/>
  <c r="ES58" i="3"/>
  <c r="ET58" i="3"/>
  <c r="EU58" i="3"/>
  <c r="EV58" i="3"/>
  <c r="EW58" i="3"/>
  <c r="EX58" i="3"/>
  <c r="EY58" i="3"/>
  <c r="EZ58" i="3"/>
  <c r="FA58" i="3"/>
  <c r="FB58" i="3"/>
  <c r="FC58" i="3"/>
  <c r="FD58" i="3"/>
  <c r="FE58" i="3"/>
  <c r="FF58" i="3"/>
  <c r="FG58" i="3"/>
  <c r="FH58" i="3"/>
  <c r="FI58" i="3"/>
  <c r="FJ58" i="3"/>
  <c r="FK58" i="3"/>
  <c r="FL58" i="3"/>
  <c r="FM58" i="3"/>
  <c r="FN58" i="3"/>
  <c r="FO58" i="3"/>
  <c r="FP58" i="3"/>
  <c r="FQ58" i="3"/>
  <c r="FR58" i="3"/>
  <c r="FS58" i="3"/>
  <c r="FT58" i="3"/>
  <c r="FU58" i="3"/>
  <c r="FV58" i="3"/>
  <c r="FW58" i="3"/>
  <c r="FX58" i="3"/>
  <c r="FY58" i="3"/>
  <c r="FZ58" i="3"/>
  <c r="GA58" i="3"/>
  <c r="GB58" i="3"/>
  <c r="GC58" i="3"/>
  <c r="GD58" i="3"/>
  <c r="GE58" i="3"/>
  <c r="GF58" i="3"/>
  <c r="GG58" i="3"/>
  <c r="GH58" i="3"/>
  <c r="GI58" i="3"/>
  <c r="GJ58" i="3"/>
  <c r="GK58" i="3"/>
  <c r="GL58" i="3"/>
  <c r="GM58" i="3"/>
  <c r="GN58" i="3"/>
  <c r="GO58" i="3"/>
  <c r="GP58" i="3"/>
  <c r="GQ58" i="3"/>
  <c r="GR58" i="3"/>
  <c r="GS58" i="3"/>
  <c r="GT58" i="3"/>
  <c r="GU58" i="3"/>
  <c r="GV58" i="3"/>
  <c r="GW58" i="3"/>
  <c r="GX58" i="3"/>
  <c r="GY58" i="3"/>
  <c r="GZ58" i="3"/>
  <c r="HA58" i="3"/>
  <c r="HB58" i="3"/>
  <c r="HC58" i="3"/>
  <c r="HD58" i="3"/>
  <c r="HE58" i="3"/>
  <c r="HF58" i="3"/>
  <c r="HG58" i="3"/>
  <c r="HH58" i="3"/>
  <c r="HI58" i="3"/>
  <c r="HJ58" i="3"/>
  <c r="HK58" i="3"/>
  <c r="HL58" i="3"/>
  <c r="HM58" i="3"/>
  <c r="HN58" i="3"/>
  <c r="HO58" i="3"/>
  <c r="HP58" i="3"/>
  <c r="HQ58" i="3"/>
  <c r="HR58" i="3"/>
  <c r="HS58" i="3"/>
  <c r="HT58" i="3"/>
  <c r="HU58" i="3"/>
  <c r="HV58" i="3"/>
  <c r="HW58" i="3"/>
  <c r="HX58" i="3"/>
  <c r="HY58" i="3"/>
  <c r="HZ58" i="3"/>
  <c r="IA58" i="3"/>
  <c r="IB58" i="3"/>
  <c r="IC58" i="3"/>
  <c r="ID58" i="3"/>
  <c r="IE58" i="3"/>
  <c r="IF58" i="3"/>
  <c r="IG58" i="3"/>
  <c r="IH58" i="3"/>
  <c r="II58" i="3"/>
  <c r="IJ58" i="3"/>
  <c r="IK58" i="3"/>
  <c r="IL58" i="3"/>
  <c r="IM58" i="3"/>
  <c r="IN58" i="3"/>
  <c r="IO58" i="3"/>
  <c r="IP58" i="3"/>
  <c r="IQ58" i="3"/>
  <c r="IR58" i="3"/>
  <c r="IS58" i="3"/>
  <c r="IT58" i="3"/>
  <c r="IU58" i="3"/>
  <c r="IV58" i="3"/>
  <c r="IW58" i="3"/>
  <c r="IX58" i="3"/>
  <c r="IY58" i="3"/>
  <c r="IZ58" i="3"/>
  <c r="JA58" i="3"/>
  <c r="JB58" i="3"/>
  <c r="JC58" i="3"/>
  <c r="JD58" i="3"/>
  <c r="JE58" i="3"/>
  <c r="JF58" i="3"/>
  <c r="JG58" i="3"/>
  <c r="JH58" i="3"/>
  <c r="JI58" i="3"/>
  <c r="JJ58" i="3"/>
  <c r="JK58" i="3"/>
  <c r="JL58" i="3"/>
  <c r="JM58" i="3"/>
  <c r="A59" i="3"/>
  <c r="B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AN59" i="3"/>
  <c r="AO59" i="3"/>
  <c r="AP59" i="3"/>
  <c r="AQ59" i="3"/>
  <c r="AR59" i="3"/>
  <c r="AS59" i="3"/>
  <c r="AT59" i="3"/>
  <c r="AU59" i="3"/>
  <c r="AV59" i="3"/>
  <c r="AW59" i="3"/>
  <c r="AX59" i="3"/>
  <c r="AY59" i="3"/>
  <c r="AZ59" i="3"/>
  <c r="BA59" i="3"/>
  <c r="BB59" i="3"/>
  <c r="BC59" i="3"/>
  <c r="BD59" i="3"/>
  <c r="BE59" i="3"/>
  <c r="BF59" i="3"/>
  <c r="BG59" i="3"/>
  <c r="BH59" i="3"/>
  <c r="BI59" i="3"/>
  <c r="BJ59" i="3"/>
  <c r="BK59" i="3"/>
  <c r="BL59" i="3"/>
  <c r="BM59" i="3"/>
  <c r="BN59" i="3"/>
  <c r="BO59" i="3"/>
  <c r="BP59" i="3"/>
  <c r="BQ59" i="3"/>
  <c r="BR59" i="3"/>
  <c r="BS59" i="3"/>
  <c r="BT59" i="3"/>
  <c r="BU59" i="3"/>
  <c r="BV59" i="3"/>
  <c r="BW59" i="3"/>
  <c r="BX59" i="3"/>
  <c r="BY59" i="3"/>
  <c r="BZ59" i="3"/>
  <c r="CA59" i="3"/>
  <c r="CB59" i="3"/>
  <c r="CC59" i="3"/>
  <c r="CD59" i="3"/>
  <c r="CE59" i="3"/>
  <c r="CF59" i="3"/>
  <c r="CG59" i="3"/>
  <c r="CH59" i="3"/>
  <c r="CI59" i="3"/>
  <c r="CJ59" i="3"/>
  <c r="CK59" i="3"/>
  <c r="CL59" i="3"/>
  <c r="CM59" i="3"/>
  <c r="CN59" i="3"/>
  <c r="CO59" i="3"/>
  <c r="CP59" i="3"/>
  <c r="CQ59" i="3"/>
  <c r="CR59" i="3"/>
  <c r="CS59" i="3"/>
  <c r="CT59" i="3"/>
  <c r="CU59" i="3"/>
  <c r="CV59" i="3"/>
  <c r="CW59" i="3"/>
  <c r="CX59" i="3"/>
  <c r="CY59" i="3"/>
  <c r="CZ59" i="3"/>
  <c r="DA59" i="3"/>
  <c r="DB59" i="3"/>
  <c r="DC59" i="3"/>
  <c r="DD59" i="3"/>
  <c r="DE59" i="3"/>
  <c r="DF59" i="3"/>
  <c r="DG59" i="3"/>
  <c r="DH59" i="3"/>
  <c r="DI59" i="3"/>
  <c r="DJ59" i="3"/>
  <c r="DK59" i="3"/>
  <c r="DL59" i="3"/>
  <c r="DM59" i="3"/>
  <c r="DN59" i="3"/>
  <c r="DO59" i="3"/>
  <c r="DP59" i="3"/>
  <c r="DQ59" i="3"/>
  <c r="DR59" i="3"/>
  <c r="DS59" i="3"/>
  <c r="DT59" i="3"/>
  <c r="DU59" i="3"/>
  <c r="DV59" i="3"/>
  <c r="DW59" i="3"/>
  <c r="DX59" i="3"/>
  <c r="DY59" i="3"/>
  <c r="DZ59" i="3"/>
  <c r="EA59" i="3"/>
  <c r="EB59" i="3"/>
  <c r="EC59" i="3"/>
  <c r="ED59" i="3"/>
  <c r="EE59" i="3"/>
  <c r="EF59" i="3"/>
  <c r="EG59" i="3"/>
  <c r="EI59" i="3"/>
  <c r="EJ59" i="3"/>
  <c r="EK59" i="3"/>
  <c r="EL59" i="3"/>
  <c r="EM59" i="3"/>
  <c r="EN59" i="3"/>
  <c r="EO59" i="3"/>
  <c r="EP59" i="3"/>
  <c r="EQ59" i="3"/>
  <c r="ER59" i="3"/>
  <c r="ES59" i="3"/>
  <c r="ET59" i="3"/>
  <c r="EU59" i="3"/>
  <c r="EV59" i="3"/>
  <c r="EW59" i="3"/>
  <c r="EX59" i="3"/>
  <c r="EY59" i="3"/>
  <c r="EZ59" i="3"/>
  <c r="FA59" i="3"/>
  <c r="FB59" i="3"/>
  <c r="FC59" i="3"/>
  <c r="FD59" i="3"/>
  <c r="FE59" i="3"/>
  <c r="FF59" i="3"/>
  <c r="FG59" i="3"/>
  <c r="FH59" i="3"/>
  <c r="FI59" i="3"/>
  <c r="FJ59" i="3"/>
  <c r="FK59" i="3"/>
  <c r="FL59" i="3"/>
  <c r="FM59" i="3"/>
  <c r="FN59" i="3"/>
  <c r="FO59" i="3"/>
  <c r="FP59" i="3"/>
  <c r="FQ59" i="3"/>
  <c r="FR59" i="3"/>
  <c r="FS59" i="3"/>
  <c r="FT59" i="3"/>
  <c r="FU59" i="3"/>
  <c r="FV59" i="3"/>
  <c r="FW59" i="3"/>
  <c r="FX59" i="3"/>
  <c r="FY59" i="3"/>
  <c r="FZ59" i="3"/>
  <c r="GA59" i="3"/>
  <c r="GB59" i="3"/>
  <c r="GC59" i="3"/>
  <c r="GD59" i="3"/>
  <c r="GE59" i="3"/>
  <c r="GF59" i="3"/>
  <c r="GG59" i="3"/>
  <c r="GH59" i="3"/>
  <c r="GI59" i="3"/>
  <c r="GJ59" i="3"/>
  <c r="GK59" i="3"/>
  <c r="GL59" i="3"/>
  <c r="GM59" i="3"/>
  <c r="GN59" i="3"/>
  <c r="GO59" i="3"/>
  <c r="GP59" i="3"/>
  <c r="GQ59" i="3"/>
  <c r="GR59" i="3"/>
  <c r="GS59" i="3"/>
  <c r="GT59" i="3"/>
  <c r="GU59" i="3"/>
  <c r="GV59" i="3"/>
  <c r="GW59" i="3"/>
  <c r="GX59" i="3"/>
  <c r="GY59" i="3"/>
  <c r="GZ59" i="3"/>
  <c r="HA59" i="3"/>
  <c r="HB59" i="3"/>
  <c r="HC59" i="3"/>
  <c r="HD59" i="3"/>
  <c r="HE59" i="3"/>
  <c r="HF59" i="3"/>
  <c r="HG59" i="3"/>
  <c r="HH59" i="3"/>
  <c r="HI59" i="3"/>
  <c r="HJ59" i="3"/>
  <c r="HK59" i="3"/>
  <c r="HL59" i="3"/>
  <c r="HM59" i="3"/>
  <c r="HN59" i="3"/>
  <c r="HO59" i="3"/>
  <c r="HP59" i="3"/>
  <c r="HQ59" i="3"/>
  <c r="HR59" i="3"/>
  <c r="HS59" i="3"/>
  <c r="HT59" i="3"/>
  <c r="HU59" i="3"/>
  <c r="HV59" i="3"/>
  <c r="HW59" i="3"/>
  <c r="HX59" i="3"/>
  <c r="HY59" i="3"/>
  <c r="HZ59" i="3"/>
  <c r="IA59" i="3"/>
  <c r="IB59" i="3"/>
  <c r="IC59" i="3"/>
  <c r="ID59" i="3"/>
  <c r="IE59" i="3"/>
  <c r="IF59" i="3"/>
  <c r="IG59" i="3"/>
  <c r="IH59" i="3"/>
  <c r="II59" i="3"/>
  <c r="IJ59" i="3"/>
  <c r="IK59" i="3"/>
  <c r="IL59" i="3"/>
  <c r="IM59" i="3"/>
  <c r="IN59" i="3"/>
  <c r="IO59" i="3"/>
  <c r="IP59" i="3"/>
  <c r="IQ59" i="3"/>
  <c r="IR59" i="3"/>
  <c r="IS59" i="3"/>
  <c r="IT59" i="3"/>
  <c r="IU59" i="3"/>
  <c r="IV59" i="3"/>
  <c r="IW59" i="3"/>
  <c r="IX59" i="3"/>
  <c r="IY59" i="3"/>
  <c r="IZ59" i="3"/>
  <c r="JA59" i="3"/>
  <c r="JB59" i="3"/>
  <c r="JC59" i="3"/>
  <c r="JD59" i="3"/>
  <c r="JE59" i="3"/>
  <c r="JF59" i="3"/>
  <c r="JG59" i="3"/>
  <c r="JH59" i="3"/>
  <c r="JI59" i="3"/>
  <c r="JJ59" i="3"/>
  <c r="JK59" i="3"/>
  <c r="JL59" i="3"/>
  <c r="JM59" i="3"/>
  <c r="A60" i="3"/>
  <c r="B60" i="3"/>
  <c r="DE60" i="3"/>
  <c r="DF60" i="3"/>
  <c r="DG60" i="3"/>
  <c r="DH60" i="3"/>
  <c r="DI60" i="3"/>
  <c r="DJ60" i="3"/>
  <c r="DK60" i="3"/>
  <c r="DL60" i="3"/>
  <c r="DM60" i="3"/>
  <c r="DN60" i="3"/>
  <c r="DO60" i="3"/>
  <c r="DP60" i="3"/>
  <c r="DQ60" i="3"/>
  <c r="DR60" i="3"/>
  <c r="DS60" i="3"/>
  <c r="DT60" i="3"/>
  <c r="DU60" i="3"/>
  <c r="DV60" i="3"/>
  <c r="DW60" i="3"/>
  <c r="DX60" i="3"/>
  <c r="DY60" i="3"/>
  <c r="DZ60" i="3"/>
  <c r="EA60" i="3"/>
  <c r="EB60" i="3"/>
  <c r="EC60" i="3"/>
  <c r="ED60" i="3"/>
  <c r="EE60" i="3"/>
  <c r="EF60" i="3"/>
  <c r="EG60" i="3"/>
  <c r="EI60" i="3"/>
  <c r="EJ60" i="3"/>
  <c r="EK60" i="3"/>
  <c r="EL60" i="3"/>
  <c r="EM60" i="3"/>
  <c r="EN60" i="3"/>
  <c r="EO60" i="3"/>
  <c r="EP60" i="3"/>
  <c r="EQ60" i="3"/>
  <c r="ER60" i="3"/>
  <c r="ES60" i="3"/>
  <c r="ET60" i="3"/>
  <c r="EU60" i="3"/>
  <c r="EV60" i="3"/>
  <c r="EW60" i="3"/>
  <c r="EX60" i="3"/>
  <c r="EY60" i="3"/>
  <c r="EZ60" i="3"/>
  <c r="FA60" i="3"/>
  <c r="FB60" i="3"/>
  <c r="FC60" i="3"/>
  <c r="FD60" i="3"/>
  <c r="FE60" i="3"/>
  <c r="FF60" i="3"/>
  <c r="FG60" i="3"/>
  <c r="FH60" i="3"/>
  <c r="FI60" i="3"/>
  <c r="FJ60" i="3"/>
  <c r="FK60" i="3"/>
  <c r="FL60" i="3"/>
  <c r="FM60" i="3"/>
  <c r="FN60" i="3"/>
  <c r="FO60" i="3"/>
  <c r="FP60" i="3"/>
  <c r="FQ60" i="3"/>
  <c r="FR60" i="3"/>
  <c r="FS60" i="3"/>
  <c r="FT60" i="3"/>
  <c r="FU60" i="3"/>
  <c r="FV60" i="3"/>
  <c r="FW60" i="3"/>
  <c r="FX60" i="3"/>
  <c r="FY60" i="3"/>
  <c r="FZ60" i="3"/>
  <c r="GA60" i="3"/>
  <c r="GB60" i="3"/>
  <c r="GC60" i="3"/>
  <c r="GD60" i="3"/>
  <c r="GE60" i="3"/>
  <c r="GF60" i="3"/>
  <c r="GG60" i="3"/>
  <c r="GH60" i="3"/>
  <c r="GI60" i="3"/>
  <c r="GJ60" i="3"/>
  <c r="GK60" i="3"/>
  <c r="GL60" i="3"/>
  <c r="GM60" i="3"/>
  <c r="GN60" i="3"/>
  <c r="GO60" i="3"/>
  <c r="GP60" i="3"/>
  <c r="GQ60" i="3"/>
  <c r="GR60" i="3"/>
  <c r="GS60" i="3"/>
  <c r="GT60" i="3"/>
  <c r="GU60" i="3"/>
  <c r="GV60" i="3"/>
  <c r="GW60" i="3"/>
  <c r="GX60" i="3"/>
  <c r="GY60" i="3"/>
  <c r="GZ60" i="3"/>
  <c r="HA60" i="3"/>
  <c r="HB60" i="3"/>
  <c r="HC60" i="3"/>
  <c r="HD60" i="3"/>
  <c r="HE60" i="3"/>
  <c r="HF60" i="3"/>
  <c r="HG60" i="3"/>
  <c r="HH60" i="3"/>
  <c r="HI60" i="3"/>
  <c r="HJ60" i="3"/>
  <c r="HK60" i="3"/>
  <c r="HL60" i="3"/>
  <c r="HM60" i="3"/>
  <c r="HN60" i="3"/>
  <c r="HO60" i="3"/>
  <c r="HP60" i="3"/>
  <c r="HQ60" i="3"/>
  <c r="HR60" i="3"/>
  <c r="HS60" i="3"/>
  <c r="HT60" i="3"/>
  <c r="HU60" i="3"/>
  <c r="HV60" i="3"/>
  <c r="HW60" i="3"/>
  <c r="HX60" i="3"/>
  <c r="HY60" i="3"/>
  <c r="HZ60" i="3"/>
  <c r="IA60" i="3"/>
  <c r="IB60" i="3"/>
  <c r="IC60" i="3"/>
  <c r="ID60" i="3"/>
  <c r="IE60" i="3"/>
  <c r="IF60" i="3"/>
  <c r="IG60" i="3"/>
  <c r="IH60" i="3"/>
  <c r="II60" i="3"/>
  <c r="IJ60" i="3"/>
  <c r="IK60" i="3"/>
  <c r="IL60" i="3"/>
  <c r="IM60" i="3"/>
  <c r="IN60" i="3"/>
  <c r="IO60" i="3"/>
  <c r="IP60" i="3"/>
  <c r="IQ60" i="3"/>
  <c r="IR60" i="3"/>
  <c r="IS60" i="3"/>
  <c r="IT60" i="3"/>
  <c r="IU60" i="3"/>
  <c r="IV60" i="3"/>
  <c r="IW60" i="3"/>
  <c r="IX60" i="3"/>
  <c r="IY60" i="3"/>
  <c r="IZ60" i="3"/>
  <c r="JA60" i="3"/>
  <c r="JB60" i="3"/>
  <c r="JC60" i="3"/>
  <c r="JD60" i="3"/>
  <c r="JE60" i="3"/>
  <c r="JF60" i="3"/>
  <c r="JG60" i="3"/>
  <c r="JH60" i="3"/>
  <c r="JI60" i="3"/>
  <c r="JJ60" i="3"/>
  <c r="JK60" i="3"/>
  <c r="JL60" i="3"/>
  <c r="JM60" i="3"/>
  <c r="A51" i="3"/>
  <c r="B51" i="3"/>
  <c r="C51" i="3"/>
  <c r="D51" i="3"/>
  <c r="E51" i="3"/>
  <c r="F51" i="3"/>
  <c r="G51" i="3"/>
  <c r="H51" i="3"/>
  <c r="I51" i="3"/>
  <c r="J51" i="3"/>
  <c r="K51" i="3"/>
  <c r="L51" i="3"/>
  <c r="M51" i="3"/>
  <c r="N51" i="3"/>
  <c r="O51" i="3"/>
  <c r="P51" i="3"/>
  <c r="Q51" i="3"/>
  <c r="R51" i="3"/>
  <c r="S51" i="3"/>
  <c r="T51" i="3"/>
  <c r="U51" i="3"/>
  <c r="V51" i="3"/>
  <c r="W51" i="3"/>
  <c r="X51" i="3"/>
  <c r="Y51" i="3"/>
  <c r="Z51" i="3"/>
  <c r="AA51" i="3"/>
  <c r="AB51" i="3"/>
  <c r="AC51" i="3"/>
  <c r="AD51" i="3"/>
  <c r="AE51" i="3"/>
  <c r="AF51" i="3"/>
  <c r="AG51" i="3"/>
  <c r="AH51" i="3"/>
  <c r="AI51" i="3"/>
  <c r="AJ51" i="3"/>
  <c r="AK51" i="3"/>
  <c r="AL51" i="3"/>
  <c r="AM51" i="3"/>
  <c r="AN51" i="3"/>
  <c r="AO51" i="3"/>
  <c r="AP51" i="3"/>
  <c r="AQ51" i="3"/>
  <c r="AR51" i="3"/>
  <c r="AS51" i="3"/>
  <c r="AT51" i="3"/>
  <c r="AU51" i="3"/>
  <c r="AV51" i="3"/>
  <c r="AW51" i="3"/>
  <c r="AX51" i="3"/>
  <c r="AY51" i="3"/>
  <c r="AZ51" i="3"/>
  <c r="BA51" i="3"/>
  <c r="BB51" i="3"/>
  <c r="BC51" i="3"/>
  <c r="BD51" i="3"/>
  <c r="BE51" i="3"/>
  <c r="BF51" i="3"/>
  <c r="BG51" i="3"/>
  <c r="BH51" i="3"/>
  <c r="BI51" i="3"/>
  <c r="BJ51" i="3"/>
  <c r="BK51" i="3"/>
  <c r="BL51" i="3"/>
  <c r="BM51" i="3"/>
  <c r="BN51" i="3"/>
  <c r="BO51" i="3"/>
  <c r="BP51" i="3"/>
  <c r="BQ51" i="3"/>
  <c r="BR51" i="3"/>
  <c r="BS51" i="3"/>
  <c r="BT51" i="3"/>
  <c r="BU51" i="3"/>
  <c r="BV51" i="3"/>
  <c r="BW51" i="3"/>
  <c r="BX51" i="3"/>
  <c r="BY51" i="3"/>
  <c r="BZ51" i="3"/>
  <c r="CA51" i="3"/>
  <c r="CB51" i="3"/>
  <c r="CC51" i="3"/>
  <c r="CD51" i="3"/>
  <c r="CE51" i="3"/>
  <c r="CF51" i="3"/>
  <c r="CG51" i="3"/>
  <c r="CH51" i="3"/>
  <c r="CI51" i="3"/>
  <c r="CJ51" i="3"/>
  <c r="CK51" i="3"/>
  <c r="CL51" i="3"/>
  <c r="CM51" i="3"/>
  <c r="CN51" i="3"/>
  <c r="CO51" i="3"/>
  <c r="CP51" i="3"/>
  <c r="CQ51" i="3"/>
  <c r="CR51" i="3"/>
  <c r="CS51" i="3"/>
  <c r="CT51" i="3"/>
  <c r="CU51" i="3"/>
  <c r="CV51" i="3"/>
  <c r="CW51" i="3"/>
  <c r="CX51" i="3"/>
  <c r="CY51" i="3"/>
  <c r="CZ51" i="3"/>
  <c r="DA51" i="3"/>
  <c r="DB51" i="3"/>
  <c r="DC51" i="3"/>
  <c r="DD51" i="3"/>
  <c r="DE51" i="3"/>
  <c r="DF51" i="3"/>
  <c r="DG51" i="3"/>
  <c r="DH51" i="3"/>
  <c r="DI51" i="3"/>
  <c r="DJ51" i="3"/>
  <c r="DK51" i="3"/>
  <c r="DL51" i="3"/>
  <c r="DM51" i="3"/>
  <c r="DN51" i="3"/>
  <c r="DO51" i="3"/>
  <c r="DP51" i="3"/>
  <c r="DQ51" i="3"/>
  <c r="DR51" i="3"/>
  <c r="DS51" i="3"/>
  <c r="DT51" i="3"/>
  <c r="DU51" i="3"/>
  <c r="DV51" i="3"/>
  <c r="DW51" i="3"/>
  <c r="DX51" i="3"/>
  <c r="DY51" i="3"/>
  <c r="DZ51" i="3"/>
  <c r="EA51" i="3"/>
  <c r="EB51" i="3"/>
  <c r="EC51" i="3"/>
  <c r="ED51" i="3"/>
  <c r="EE51" i="3"/>
  <c r="EF51" i="3"/>
  <c r="EG51" i="3"/>
  <c r="EI51" i="3"/>
  <c r="EJ51" i="3"/>
  <c r="EK51" i="3"/>
  <c r="EL51" i="3"/>
  <c r="EM51" i="3"/>
  <c r="EN51" i="3"/>
  <c r="EO51" i="3"/>
  <c r="EP51" i="3"/>
  <c r="EQ51" i="3"/>
  <c r="ER51" i="3"/>
  <c r="ES51" i="3"/>
  <c r="ET51" i="3"/>
  <c r="EU51" i="3"/>
  <c r="EV51" i="3"/>
  <c r="EW51" i="3"/>
  <c r="EX51" i="3"/>
  <c r="EY51" i="3"/>
  <c r="EZ51" i="3"/>
  <c r="FA51" i="3"/>
  <c r="FB51" i="3"/>
  <c r="FC51" i="3"/>
  <c r="FD51" i="3"/>
  <c r="FE51" i="3"/>
  <c r="FF51" i="3"/>
  <c r="FG51" i="3"/>
  <c r="FH51" i="3"/>
  <c r="FI51" i="3"/>
  <c r="FJ51" i="3"/>
  <c r="FK51" i="3"/>
  <c r="FL51" i="3"/>
  <c r="FM51" i="3"/>
  <c r="FN51" i="3"/>
  <c r="FO51" i="3"/>
  <c r="FP51" i="3"/>
  <c r="FQ51" i="3"/>
  <c r="FR51" i="3"/>
  <c r="FS51" i="3"/>
  <c r="FT51" i="3"/>
  <c r="FU51" i="3"/>
  <c r="FV51" i="3"/>
  <c r="FW51" i="3"/>
  <c r="FX51" i="3"/>
  <c r="FY51" i="3"/>
  <c r="FZ51" i="3"/>
  <c r="GA51" i="3"/>
  <c r="GB51" i="3"/>
  <c r="GC51" i="3"/>
  <c r="GD51" i="3"/>
  <c r="GE51" i="3"/>
  <c r="GF51" i="3"/>
  <c r="GG51" i="3"/>
  <c r="GH51" i="3"/>
  <c r="GI51" i="3"/>
  <c r="GJ51" i="3"/>
  <c r="GK51" i="3"/>
  <c r="GL51" i="3"/>
  <c r="GM51" i="3"/>
  <c r="GN51" i="3"/>
  <c r="GO51" i="3"/>
  <c r="GP51" i="3"/>
  <c r="GQ51" i="3"/>
  <c r="GR51" i="3"/>
  <c r="GS51" i="3"/>
  <c r="GT51" i="3"/>
  <c r="GU51" i="3"/>
  <c r="GV51" i="3"/>
  <c r="GW51" i="3"/>
  <c r="GX51" i="3"/>
  <c r="GY51" i="3"/>
  <c r="GZ51" i="3"/>
  <c r="HA51" i="3"/>
  <c r="HB51" i="3"/>
  <c r="HC51" i="3"/>
  <c r="HD51" i="3"/>
  <c r="HE51" i="3"/>
  <c r="HF51" i="3"/>
  <c r="HG51" i="3"/>
  <c r="HH51" i="3"/>
  <c r="HI51" i="3"/>
  <c r="HJ51" i="3"/>
  <c r="HK51" i="3"/>
  <c r="HL51" i="3"/>
  <c r="HM51" i="3"/>
  <c r="HN51" i="3"/>
  <c r="HO51" i="3"/>
  <c r="HP51" i="3"/>
  <c r="HQ51" i="3"/>
  <c r="HR51" i="3"/>
  <c r="HS51" i="3"/>
  <c r="HT51" i="3"/>
  <c r="HU51" i="3"/>
  <c r="HV51" i="3"/>
  <c r="HW51" i="3"/>
  <c r="HX51" i="3"/>
  <c r="HY51" i="3"/>
  <c r="HZ51" i="3"/>
  <c r="IA51" i="3"/>
  <c r="IB51" i="3"/>
  <c r="IC51" i="3"/>
  <c r="ID51" i="3"/>
  <c r="IE51" i="3"/>
  <c r="IF51" i="3"/>
  <c r="IG51" i="3"/>
  <c r="IH51" i="3"/>
  <c r="II51" i="3"/>
  <c r="IJ51" i="3"/>
  <c r="IK51" i="3"/>
  <c r="IL51" i="3"/>
  <c r="IM51" i="3"/>
  <c r="IN51" i="3"/>
  <c r="IO51" i="3"/>
  <c r="IP51" i="3"/>
  <c r="IQ51" i="3"/>
  <c r="IR51" i="3"/>
  <c r="IS51" i="3"/>
  <c r="IT51" i="3"/>
  <c r="IU51" i="3"/>
  <c r="IV51" i="3"/>
  <c r="IW51" i="3"/>
  <c r="IX51" i="3"/>
  <c r="IY51" i="3"/>
  <c r="IZ51" i="3"/>
  <c r="JA51" i="3"/>
  <c r="JB51" i="3"/>
  <c r="JC51" i="3"/>
  <c r="JD51" i="3"/>
  <c r="JE51" i="3"/>
  <c r="JF51" i="3"/>
  <c r="JG51" i="3"/>
  <c r="JH51" i="3"/>
  <c r="JI51" i="3"/>
  <c r="JJ51" i="3"/>
  <c r="JK51" i="3"/>
  <c r="JL51" i="3"/>
  <c r="JM51" i="3"/>
  <c r="A52" i="3"/>
  <c r="B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AH52" i="3"/>
  <c r="AI52" i="3"/>
  <c r="AJ52" i="3"/>
  <c r="AK52" i="3"/>
  <c r="AL52" i="3"/>
  <c r="AM52" i="3"/>
  <c r="AN52" i="3"/>
  <c r="AO52" i="3"/>
  <c r="AP52" i="3"/>
  <c r="AQ52" i="3"/>
  <c r="AR52" i="3"/>
  <c r="AS52" i="3"/>
  <c r="AT52" i="3"/>
  <c r="AU52" i="3"/>
  <c r="AV52" i="3"/>
  <c r="AW52" i="3"/>
  <c r="AX52" i="3"/>
  <c r="AY52" i="3"/>
  <c r="AZ52" i="3"/>
  <c r="BA52" i="3"/>
  <c r="BB52" i="3"/>
  <c r="BC52" i="3"/>
  <c r="BD52" i="3"/>
  <c r="BE52" i="3"/>
  <c r="BF52" i="3"/>
  <c r="BG52" i="3"/>
  <c r="BH52" i="3"/>
  <c r="BI52" i="3"/>
  <c r="BJ52" i="3"/>
  <c r="BK52" i="3"/>
  <c r="BL52" i="3"/>
  <c r="BM52" i="3"/>
  <c r="BN52" i="3"/>
  <c r="BO52" i="3"/>
  <c r="BP52" i="3"/>
  <c r="BQ52" i="3"/>
  <c r="BR52" i="3"/>
  <c r="BS52" i="3"/>
  <c r="BT52" i="3"/>
  <c r="BU52" i="3"/>
  <c r="BV52" i="3"/>
  <c r="BW52" i="3"/>
  <c r="BX52" i="3"/>
  <c r="BY52" i="3"/>
  <c r="BZ52" i="3"/>
  <c r="CA52" i="3"/>
  <c r="CB52" i="3"/>
  <c r="CC52" i="3"/>
  <c r="CD52" i="3"/>
  <c r="CE52" i="3"/>
  <c r="CF52" i="3"/>
  <c r="CG52" i="3"/>
  <c r="CH52" i="3"/>
  <c r="CI52" i="3"/>
  <c r="CJ52" i="3"/>
  <c r="CK52" i="3"/>
  <c r="CL52" i="3"/>
  <c r="CM52" i="3"/>
  <c r="CN52" i="3"/>
  <c r="CO52" i="3"/>
  <c r="CP52" i="3"/>
  <c r="CQ52" i="3"/>
  <c r="CR52" i="3"/>
  <c r="CS52" i="3"/>
  <c r="CT52" i="3"/>
  <c r="CU52" i="3"/>
  <c r="CV52" i="3"/>
  <c r="CW52" i="3"/>
  <c r="CX52" i="3"/>
  <c r="CY52" i="3"/>
  <c r="CZ52" i="3"/>
  <c r="DA52" i="3"/>
  <c r="DB52" i="3"/>
  <c r="DC52" i="3"/>
  <c r="DD52" i="3"/>
  <c r="DE52" i="3"/>
  <c r="DF52" i="3"/>
  <c r="DG52" i="3"/>
  <c r="DH52" i="3"/>
  <c r="DI52" i="3"/>
  <c r="DJ52" i="3"/>
  <c r="DK52" i="3"/>
  <c r="DL52" i="3"/>
  <c r="DM52" i="3"/>
  <c r="DN52" i="3"/>
  <c r="DO52" i="3"/>
  <c r="DP52" i="3"/>
  <c r="DQ52" i="3"/>
  <c r="DR52" i="3"/>
  <c r="DS52" i="3"/>
  <c r="DT52" i="3"/>
  <c r="DU52" i="3"/>
  <c r="DV52" i="3"/>
  <c r="DW52" i="3"/>
  <c r="DX52" i="3"/>
  <c r="DY52" i="3"/>
  <c r="DZ52" i="3"/>
  <c r="EA52" i="3"/>
  <c r="EB52" i="3"/>
  <c r="EC52" i="3"/>
  <c r="ED52" i="3"/>
  <c r="EE52" i="3"/>
  <c r="EF52" i="3"/>
  <c r="EG52" i="3"/>
  <c r="EI52" i="3"/>
  <c r="EJ52" i="3"/>
  <c r="EK52" i="3"/>
  <c r="EL52" i="3"/>
  <c r="EM52" i="3"/>
  <c r="EN52" i="3"/>
  <c r="EO52" i="3"/>
  <c r="EP52" i="3"/>
  <c r="EQ52" i="3"/>
  <c r="ER52" i="3"/>
  <c r="ES52" i="3"/>
  <c r="ET52" i="3"/>
  <c r="EU52" i="3"/>
  <c r="EV52" i="3"/>
  <c r="EW52" i="3"/>
  <c r="EX52" i="3"/>
  <c r="EY52" i="3"/>
  <c r="EZ52" i="3"/>
  <c r="FA52" i="3"/>
  <c r="FB52" i="3"/>
  <c r="FC52" i="3"/>
  <c r="FD52" i="3"/>
  <c r="FE52" i="3"/>
  <c r="FF52" i="3"/>
  <c r="FG52" i="3"/>
  <c r="FH52" i="3"/>
  <c r="FI52" i="3"/>
  <c r="FJ52" i="3"/>
  <c r="FK52" i="3"/>
  <c r="FL52" i="3"/>
  <c r="FM52" i="3"/>
  <c r="FN52" i="3"/>
  <c r="FO52" i="3"/>
  <c r="FP52" i="3"/>
  <c r="FQ52" i="3"/>
  <c r="FR52" i="3"/>
  <c r="FS52" i="3"/>
  <c r="FT52" i="3"/>
  <c r="FU52" i="3"/>
  <c r="FV52" i="3"/>
  <c r="FW52" i="3"/>
  <c r="FX52" i="3"/>
  <c r="FY52" i="3"/>
  <c r="FZ52" i="3"/>
  <c r="GA52" i="3"/>
  <c r="GB52" i="3"/>
  <c r="GC52" i="3"/>
  <c r="GD52" i="3"/>
  <c r="GE52" i="3"/>
  <c r="GF52" i="3"/>
  <c r="GG52" i="3"/>
  <c r="GH52" i="3"/>
  <c r="GI52" i="3"/>
  <c r="GJ52" i="3"/>
  <c r="GK52" i="3"/>
  <c r="GL52" i="3"/>
  <c r="GM52" i="3"/>
  <c r="GN52" i="3"/>
  <c r="GO52" i="3"/>
  <c r="GP52" i="3"/>
  <c r="GQ52" i="3"/>
  <c r="GR52" i="3"/>
  <c r="GS52" i="3"/>
  <c r="GT52" i="3"/>
  <c r="GU52" i="3"/>
  <c r="GV52" i="3"/>
  <c r="GW52" i="3"/>
  <c r="GX52" i="3"/>
  <c r="GY52" i="3"/>
  <c r="GZ52" i="3"/>
  <c r="HA52" i="3"/>
  <c r="HB52" i="3"/>
  <c r="HC52" i="3"/>
  <c r="HD52" i="3"/>
  <c r="HE52" i="3"/>
  <c r="HF52" i="3"/>
  <c r="HG52" i="3"/>
  <c r="HH52" i="3"/>
  <c r="HI52" i="3"/>
  <c r="HJ52" i="3"/>
  <c r="HK52" i="3"/>
  <c r="HL52" i="3"/>
  <c r="HM52" i="3"/>
  <c r="HN52" i="3"/>
  <c r="HO52" i="3"/>
  <c r="HP52" i="3"/>
  <c r="HQ52" i="3"/>
  <c r="HR52" i="3"/>
  <c r="HS52" i="3"/>
  <c r="HT52" i="3"/>
  <c r="HU52" i="3"/>
  <c r="HV52" i="3"/>
  <c r="HW52" i="3"/>
  <c r="HX52" i="3"/>
  <c r="HY52" i="3"/>
  <c r="HZ52" i="3"/>
  <c r="IA52" i="3"/>
  <c r="IB52" i="3"/>
  <c r="IC52" i="3"/>
  <c r="ID52" i="3"/>
  <c r="IE52" i="3"/>
  <c r="IF52" i="3"/>
  <c r="IG52" i="3"/>
  <c r="IH52" i="3"/>
  <c r="II52" i="3"/>
  <c r="IJ52" i="3"/>
  <c r="IK52" i="3"/>
  <c r="IL52" i="3"/>
  <c r="IM52" i="3"/>
  <c r="IN52" i="3"/>
  <c r="IO52" i="3"/>
  <c r="IP52" i="3"/>
  <c r="IQ52" i="3"/>
  <c r="IR52" i="3"/>
  <c r="IS52" i="3"/>
  <c r="IT52" i="3"/>
  <c r="IU52" i="3"/>
  <c r="IV52" i="3"/>
  <c r="IW52" i="3"/>
  <c r="IX52" i="3"/>
  <c r="IY52" i="3"/>
  <c r="IZ52" i="3"/>
  <c r="JA52" i="3"/>
  <c r="JB52" i="3"/>
  <c r="JC52" i="3"/>
  <c r="JD52" i="3"/>
  <c r="JE52" i="3"/>
  <c r="JF52" i="3"/>
  <c r="JG52" i="3"/>
  <c r="JH52" i="3"/>
  <c r="JI52" i="3"/>
  <c r="JJ52" i="3"/>
  <c r="JK52" i="3"/>
  <c r="JL52" i="3"/>
  <c r="JM52" i="3"/>
  <c r="A53" i="3"/>
  <c r="B53" i="3"/>
  <c r="Q53" i="3"/>
  <c r="R53" i="3"/>
  <c r="S53" i="3"/>
  <c r="T53" i="3"/>
  <c r="U53" i="3"/>
  <c r="V53" i="3"/>
  <c r="W53" i="3"/>
  <c r="X53" i="3"/>
  <c r="Y53" i="3"/>
  <c r="Z53" i="3"/>
  <c r="AA53" i="3"/>
  <c r="AB53" i="3"/>
  <c r="AC53" i="3"/>
  <c r="AD53" i="3"/>
  <c r="AE53" i="3"/>
  <c r="AF53" i="3"/>
  <c r="AG53" i="3"/>
  <c r="AH53" i="3"/>
  <c r="AI53" i="3"/>
  <c r="AJ53" i="3"/>
  <c r="AK53" i="3"/>
  <c r="AL53" i="3"/>
  <c r="AM53" i="3"/>
  <c r="AN53" i="3"/>
  <c r="AO53" i="3"/>
  <c r="AP53" i="3"/>
  <c r="AQ53" i="3"/>
  <c r="AR53" i="3"/>
  <c r="AS53" i="3"/>
  <c r="AT53" i="3"/>
  <c r="AU53" i="3"/>
  <c r="AV53" i="3"/>
  <c r="AW53" i="3"/>
  <c r="AX53" i="3"/>
  <c r="AY53" i="3"/>
  <c r="AZ53" i="3"/>
  <c r="BA53" i="3"/>
  <c r="BB53" i="3"/>
  <c r="BC53" i="3"/>
  <c r="BD53" i="3"/>
  <c r="BE53" i="3"/>
  <c r="BF53" i="3"/>
  <c r="BG53" i="3"/>
  <c r="BH53" i="3"/>
  <c r="BI53" i="3"/>
  <c r="BJ53" i="3"/>
  <c r="BK53" i="3"/>
  <c r="BL53" i="3"/>
  <c r="BM53" i="3"/>
  <c r="BN53" i="3"/>
  <c r="BO53" i="3"/>
  <c r="BP53" i="3"/>
  <c r="BQ53" i="3"/>
  <c r="BR53" i="3"/>
  <c r="BS53" i="3"/>
  <c r="BT53" i="3"/>
  <c r="BU53" i="3"/>
  <c r="BV53" i="3"/>
  <c r="BW53" i="3"/>
  <c r="BX53" i="3"/>
  <c r="BY53" i="3"/>
  <c r="BZ53" i="3"/>
  <c r="CA53" i="3"/>
  <c r="CB53" i="3"/>
  <c r="CC53" i="3"/>
  <c r="CD53" i="3"/>
  <c r="CE53" i="3"/>
  <c r="CF53" i="3"/>
  <c r="CG53" i="3"/>
  <c r="CH53" i="3"/>
  <c r="CI53" i="3"/>
  <c r="CJ53" i="3"/>
  <c r="CK53" i="3"/>
  <c r="CL53" i="3"/>
  <c r="CM53" i="3"/>
  <c r="CN53" i="3"/>
  <c r="CO53" i="3"/>
  <c r="CP53" i="3"/>
  <c r="CQ53" i="3"/>
  <c r="CR53" i="3"/>
  <c r="CS53" i="3"/>
  <c r="CT53" i="3"/>
  <c r="CU53" i="3"/>
  <c r="CV53" i="3"/>
  <c r="CW53" i="3"/>
  <c r="CX53" i="3"/>
  <c r="CY53" i="3"/>
  <c r="CZ53" i="3"/>
  <c r="DA53" i="3"/>
  <c r="DB53" i="3"/>
  <c r="DC53" i="3"/>
  <c r="DD53" i="3"/>
  <c r="DE53" i="3"/>
  <c r="DF53" i="3"/>
  <c r="DG53" i="3"/>
  <c r="DH53" i="3"/>
  <c r="DI53" i="3"/>
  <c r="DJ53" i="3"/>
  <c r="DK53" i="3"/>
  <c r="DL53" i="3"/>
  <c r="DM53" i="3"/>
  <c r="DN53" i="3"/>
  <c r="DO53" i="3"/>
  <c r="DP53" i="3"/>
  <c r="DQ53" i="3"/>
  <c r="DR53" i="3"/>
  <c r="DS53" i="3"/>
  <c r="DT53" i="3"/>
  <c r="DU53" i="3"/>
  <c r="DV53" i="3"/>
  <c r="DW53" i="3"/>
  <c r="DX53" i="3"/>
  <c r="DY53" i="3"/>
  <c r="DZ53" i="3"/>
  <c r="EA53" i="3"/>
  <c r="EB53" i="3"/>
  <c r="EC53" i="3"/>
  <c r="ED53" i="3"/>
  <c r="EE53" i="3"/>
  <c r="EF53" i="3"/>
  <c r="EG53" i="3"/>
  <c r="EI53" i="3"/>
  <c r="EJ53" i="3"/>
  <c r="EK53" i="3"/>
  <c r="EL53" i="3"/>
  <c r="EM53" i="3"/>
  <c r="EN53" i="3"/>
  <c r="EO53" i="3"/>
  <c r="EP53" i="3"/>
  <c r="EQ53" i="3"/>
  <c r="ER53" i="3"/>
  <c r="ES53" i="3"/>
  <c r="ET53" i="3"/>
  <c r="EU53" i="3"/>
  <c r="EV53" i="3"/>
  <c r="EW53" i="3"/>
  <c r="EX53" i="3"/>
  <c r="EY53" i="3"/>
  <c r="EZ53" i="3"/>
  <c r="FA53" i="3"/>
  <c r="FB53" i="3"/>
  <c r="FC53" i="3"/>
  <c r="FD53" i="3"/>
  <c r="FE53" i="3"/>
  <c r="FF53" i="3"/>
  <c r="FG53" i="3"/>
  <c r="FH53" i="3"/>
  <c r="FI53" i="3"/>
  <c r="FJ53" i="3"/>
  <c r="FK53" i="3"/>
  <c r="FL53" i="3"/>
  <c r="FM53" i="3"/>
  <c r="FN53" i="3"/>
  <c r="FO53" i="3"/>
  <c r="FP53" i="3"/>
  <c r="FQ53" i="3"/>
  <c r="FR53" i="3"/>
  <c r="FS53" i="3"/>
  <c r="FT53" i="3"/>
  <c r="FU53" i="3"/>
  <c r="FV53" i="3"/>
  <c r="FW53" i="3"/>
  <c r="FX53" i="3"/>
  <c r="FY53" i="3"/>
  <c r="FZ53" i="3"/>
  <c r="GA53" i="3"/>
  <c r="GB53" i="3"/>
  <c r="GC53" i="3"/>
  <c r="GD53" i="3"/>
  <c r="GE53" i="3"/>
  <c r="GF53" i="3"/>
  <c r="GG53" i="3"/>
  <c r="GH53" i="3"/>
  <c r="GI53" i="3"/>
  <c r="GJ53" i="3"/>
  <c r="GK53" i="3"/>
  <c r="GL53" i="3"/>
  <c r="GM53" i="3"/>
  <c r="GN53" i="3"/>
  <c r="GO53" i="3"/>
  <c r="GP53" i="3"/>
  <c r="GQ53" i="3"/>
  <c r="GR53" i="3"/>
  <c r="GS53" i="3"/>
  <c r="GT53" i="3"/>
  <c r="GU53" i="3"/>
  <c r="GV53" i="3"/>
  <c r="GW53" i="3"/>
  <c r="GX53" i="3"/>
  <c r="GY53" i="3"/>
  <c r="GZ53" i="3"/>
  <c r="HA53" i="3"/>
  <c r="HB53" i="3"/>
  <c r="HC53" i="3"/>
  <c r="HD53" i="3"/>
  <c r="HE53" i="3"/>
  <c r="HF53" i="3"/>
  <c r="HG53" i="3"/>
  <c r="HH53" i="3"/>
  <c r="HI53" i="3"/>
  <c r="HJ53" i="3"/>
  <c r="HK53" i="3"/>
  <c r="HL53" i="3"/>
  <c r="HM53" i="3"/>
  <c r="HN53" i="3"/>
  <c r="HO53" i="3"/>
  <c r="HP53" i="3"/>
  <c r="HQ53" i="3"/>
  <c r="HR53" i="3"/>
  <c r="HS53" i="3"/>
  <c r="HT53" i="3"/>
  <c r="HU53" i="3"/>
  <c r="HV53" i="3"/>
  <c r="HW53" i="3"/>
  <c r="HX53" i="3"/>
  <c r="HY53" i="3"/>
  <c r="HZ53" i="3"/>
  <c r="IA53" i="3"/>
  <c r="IB53" i="3"/>
  <c r="IC53" i="3"/>
  <c r="ID53" i="3"/>
  <c r="IE53" i="3"/>
  <c r="IF53" i="3"/>
  <c r="IG53" i="3"/>
  <c r="IH53" i="3"/>
  <c r="II53" i="3"/>
  <c r="IJ53" i="3"/>
  <c r="IK53" i="3"/>
  <c r="IL53" i="3"/>
  <c r="IM53" i="3"/>
  <c r="IN53" i="3"/>
  <c r="IO53" i="3"/>
  <c r="IP53" i="3"/>
  <c r="IQ53" i="3"/>
  <c r="IR53" i="3"/>
  <c r="IS53" i="3"/>
  <c r="IT53" i="3"/>
  <c r="IU53" i="3"/>
  <c r="IV53" i="3"/>
  <c r="IW53" i="3"/>
  <c r="IX53" i="3"/>
  <c r="IY53" i="3"/>
  <c r="IZ53" i="3"/>
  <c r="JA53" i="3"/>
  <c r="JB53" i="3"/>
  <c r="JC53" i="3"/>
  <c r="JD53" i="3"/>
  <c r="JE53" i="3"/>
  <c r="JF53" i="3"/>
  <c r="JG53" i="3"/>
  <c r="JH53" i="3"/>
  <c r="JI53" i="3"/>
  <c r="JJ53" i="3"/>
  <c r="JK53" i="3"/>
  <c r="JL53" i="3"/>
  <c r="JM53" i="3"/>
  <c r="A54" i="3"/>
  <c r="B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AN54" i="3"/>
  <c r="AO54" i="3"/>
  <c r="AP54" i="3"/>
  <c r="AQ54" i="3"/>
  <c r="AR54" i="3"/>
  <c r="AS54" i="3"/>
  <c r="AT54" i="3"/>
  <c r="AU54" i="3"/>
  <c r="AV54" i="3"/>
  <c r="AW54" i="3"/>
  <c r="AX54" i="3"/>
  <c r="AY54" i="3"/>
  <c r="AZ54" i="3"/>
  <c r="BA54" i="3"/>
  <c r="BB54" i="3"/>
  <c r="BC54" i="3"/>
  <c r="BD54" i="3"/>
  <c r="BE54" i="3"/>
  <c r="BF54" i="3"/>
  <c r="BG54" i="3"/>
  <c r="BH54" i="3"/>
  <c r="BI54" i="3"/>
  <c r="BJ54" i="3"/>
  <c r="BK54" i="3"/>
  <c r="BL54" i="3"/>
  <c r="BM54" i="3"/>
  <c r="BN54" i="3"/>
  <c r="BO54" i="3"/>
  <c r="BP54" i="3"/>
  <c r="BQ54" i="3"/>
  <c r="BR54" i="3"/>
  <c r="BS54" i="3"/>
  <c r="BT54" i="3"/>
  <c r="BU54" i="3"/>
  <c r="BV54" i="3"/>
  <c r="BW54" i="3"/>
  <c r="BX54" i="3"/>
  <c r="BY54" i="3"/>
  <c r="BZ54" i="3"/>
  <c r="CA54" i="3"/>
  <c r="CB54" i="3"/>
  <c r="CC54" i="3"/>
  <c r="CD54" i="3"/>
  <c r="CE54" i="3"/>
  <c r="CF54" i="3"/>
  <c r="CG54" i="3"/>
  <c r="CH54" i="3"/>
  <c r="CI54" i="3"/>
  <c r="CJ54" i="3"/>
  <c r="CK54" i="3"/>
  <c r="CL54" i="3"/>
  <c r="CM54" i="3"/>
  <c r="CN54" i="3"/>
  <c r="CO54" i="3"/>
  <c r="CP54" i="3"/>
  <c r="CQ54" i="3"/>
  <c r="CR54" i="3"/>
  <c r="CS54" i="3"/>
  <c r="CT54" i="3"/>
  <c r="CU54" i="3"/>
  <c r="CV54" i="3"/>
  <c r="CW54" i="3"/>
  <c r="CX54" i="3"/>
  <c r="CY54" i="3"/>
  <c r="CZ54" i="3"/>
  <c r="DA54" i="3"/>
  <c r="DB54" i="3"/>
  <c r="DC54" i="3"/>
  <c r="DD54" i="3"/>
  <c r="DE54" i="3"/>
  <c r="DF54" i="3"/>
  <c r="DG54" i="3"/>
  <c r="DH54" i="3"/>
  <c r="DI54" i="3"/>
  <c r="DJ54" i="3"/>
  <c r="DK54" i="3"/>
  <c r="DL54" i="3"/>
  <c r="DM54" i="3"/>
  <c r="DN54" i="3"/>
  <c r="DO54" i="3"/>
  <c r="DP54" i="3"/>
  <c r="DQ54" i="3"/>
  <c r="DR54" i="3"/>
  <c r="DS54" i="3"/>
  <c r="DT54" i="3"/>
  <c r="DU54" i="3"/>
  <c r="DV54" i="3"/>
  <c r="DW54" i="3"/>
  <c r="DX54" i="3"/>
  <c r="DY54" i="3"/>
  <c r="DZ54" i="3"/>
  <c r="EA54" i="3"/>
  <c r="EB54" i="3"/>
  <c r="EC54" i="3"/>
  <c r="ED54" i="3"/>
  <c r="EE54" i="3"/>
  <c r="EF54" i="3"/>
  <c r="EG54" i="3"/>
  <c r="EI54" i="3"/>
  <c r="EJ54" i="3"/>
  <c r="EK54" i="3"/>
  <c r="EL54" i="3"/>
  <c r="EM54" i="3"/>
  <c r="EN54" i="3"/>
  <c r="EO54" i="3"/>
  <c r="EP54" i="3"/>
  <c r="EQ54" i="3"/>
  <c r="ER54" i="3"/>
  <c r="ES54" i="3"/>
  <c r="ET54" i="3"/>
  <c r="EU54" i="3"/>
  <c r="EV54" i="3"/>
  <c r="EW54" i="3"/>
  <c r="EX54" i="3"/>
  <c r="EY54" i="3"/>
  <c r="EZ54" i="3"/>
  <c r="FA54" i="3"/>
  <c r="FB54" i="3"/>
  <c r="FC54" i="3"/>
  <c r="FD54" i="3"/>
  <c r="FE54" i="3"/>
  <c r="FF54" i="3"/>
  <c r="FG54" i="3"/>
  <c r="FH54" i="3"/>
  <c r="FI54" i="3"/>
  <c r="FJ54" i="3"/>
  <c r="FK54" i="3"/>
  <c r="FL54" i="3"/>
  <c r="FM54" i="3"/>
  <c r="FN54" i="3"/>
  <c r="FO54" i="3"/>
  <c r="FP54" i="3"/>
  <c r="FQ54" i="3"/>
  <c r="FR54" i="3"/>
  <c r="FS54" i="3"/>
  <c r="FT54" i="3"/>
  <c r="FU54" i="3"/>
  <c r="FV54" i="3"/>
  <c r="FW54" i="3"/>
  <c r="FX54" i="3"/>
  <c r="FY54" i="3"/>
  <c r="FZ54" i="3"/>
  <c r="GA54" i="3"/>
  <c r="GB54" i="3"/>
  <c r="GC54" i="3"/>
  <c r="GD54" i="3"/>
  <c r="GE54" i="3"/>
  <c r="GF54" i="3"/>
  <c r="GG54" i="3"/>
  <c r="GH54" i="3"/>
  <c r="GI54" i="3"/>
  <c r="GJ54" i="3"/>
  <c r="GK54" i="3"/>
  <c r="GL54" i="3"/>
  <c r="GM54" i="3"/>
  <c r="GN54" i="3"/>
  <c r="GO54" i="3"/>
  <c r="GP54" i="3"/>
  <c r="GQ54" i="3"/>
  <c r="GR54" i="3"/>
  <c r="GS54" i="3"/>
  <c r="GT54" i="3"/>
  <c r="GU54" i="3"/>
  <c r="GV54" i="3"/>
  <c r="GW54" i="3"/>
  <c r="GX54" i="3"/>
  <c r="GY54" i="3"/>
  <c r="GZ54" i="3"/>
  <c r="HA54" i="3"/>
  <c r="HB54" i="3"/>
  <c r="HC54" i="3"/>
  <c r="HD54" i="3"/>
  <c r="HE54" i="3"/>
  <c r="HF54" i="3"/>
  <c r="HG54" i="3"/>
  <c r="HH54" i="3"/>
  <c r="HI54" i="3"/>
  <c r="HJ54" i="3"/>
  <c r="HK54" i="3"/>
  <c r="HL54" i="3"/>
  <c r="HM54" i="3"/>
  <c r="HN54" i="3"/>
  <c r="HO54" i="3"/>
  <c r="HP54" i="3"/>
  <c r="HQ54" i="3"/>
  <c r="HR54" i="3"/>
  <c r="HS54" i="3"/>
  <c r="HT54" i="3"/>
  <c r="HU54" i="3"/>
  <c r="HV54" i="3"/>
  <c r="HW54" i="3"/>
  <c r="HX54" i="3"/>
  <c r="HY54" i="3"/>
  <c r="HZ54" i="3"/>
  <c r="IA54" i="3"/>
  <c r="IB54" i="3"/>
  <c r="IC54" i="3"/>
  <c r="ID54" i="3"/>
  <c r="IE54" i="3"/>
  <c r="IF54" i="3"/>
  <c r="IG54" i="3"/>
  <c r="IH54" i="3"/>
  <c r="II54" i="3"/>
  <c r="IJ54" i="3"/>
  <c r="IK54" i="3"/>
  <c r="IL54" i="3"/>
  <c r="IM54" i="3"/>
  <c r="IN54" i="3"/>
  <c r="IO54" i="3"/>
  <c r="IP54" i="3"/>
  <c r="IQ54" i="3"/>
  <c r="IR54" i="3"/>
  <c r="IS54" i="3"/>
  <c r="IT54" i="3"/>
  <c r="IU54" i="3"/>
  <c r="IV54" i="3"/>
  <c r="IW54" i="3"/>
  <c r="IX54" i="3"/>
  <c r="IY54" i="3"/>
  <c r="IZ54" i="3"/>
  <c r="JA54" i="3"/>
  <c r="JB54" i="3"/>
  <c r="JC54" i="3"/>
  <c r="JD54" i="3"/>
  <c r="JE54" i="3"/>
  <c r="JF54" i="3"/>
  <c r="JG54" i="3"/>
  <c r="JH54" i="3"/>
  <c r="JI54" i="3"/>
  <c r="JJ54" i="3"/>
  <c r="JK54" i="3"/>
  <c r="JL54" i="3"/>
  <c r="JM54" i="3"/>
  <c r="A55" i="3"/>
  <c r="B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AK55" i="3"/>
  <c r="AL55" i="3"/>
  <c r="AM55" i="3"/>
  <c r="AN55" i="3"/>
  <c r="AO55" i="3"/>
  <c r="AP55" i="3"/>
  <c r="AQ55" i="3"/>
  <c r="AR55" i="3"/>
  <c r="AS55" i="3"/>
  <c r="AT55" i="3"/>
  <c r="AU55" i="3"/>
  <c r="AV55" i="3"/>
  <c r="AW55" i="3"/>
  <c r="AX55" i="3"/>
  <c r="AY55" i="3"/>
  <c r="AZ55" i="3"/>
  <c r="BA55" i="3"/>
  <c r="BB55" i="3"/>
  <c r="BC55" i="3"/>
  <c r="BD55" i="3"/>
  <c r="BE55" i="3"/>
  <c r="BF55" i="3"/>
  <c r="BG55" i="3"/>
  <c r="BH55" i="3"/>
  <c r="BI55" i="3"/>
  <c r="BJ55" i="3"/>
  <c r="BK55" i="3"/>
  <c r="BL55" i="3"/>
  <c r="BM55" i="3"/>
  <c r="BN55" i="3"/>
  <c r="BO55" i="3"/>
  <c r="BP55" i="3"/>
  <c r="BQ55" i="3"/>
  <c r="BR55" i="3"/>
  <c r="BS55" i="3"/>
  <c r="BT55" i="3"/>
  <c r="BU55" i="3"/>
  <c r="BV55" i="3"/>
  <c r="BW55" i="3"/>
  <c r="BX55" i="3"/>
  <c r="BY55" i="3"/>
  <c r="BZ55" i="3"/>
  <c r="CA55" i="3"/>
  <c r="CB55" i="3"/>
  <c r="CC55" i="3"/>
  <c r="CD55" i="3"/>
  <c r="CE55" i="3"/>
  <c r="CF55" i="3"/>
  <c r="CG55" i="3"/>
  <c r="CH55" i="3"/>
  <c r="CI55" i="3"/>
  <c r="CJ55" i="3"/>
  <c r="CK55" i="3"/>
  <c r="CL55" i="3"/>
  <c r="CM55" i="3"/>
  <c r="CN55" i="3"/>
  <c r="CO55" i="3"/>
  <c r="CP55" i="3"/>
  <c r="CQ55" i="3"/>
  <c r="CR55" i="3"/>
  <c r="CS55" i="3"/>
  <c r="CT55" i="3"/>
  <c r="CU55" i="3"/>
  <c r="CV55" i="3"/>
  <c r="CW55" i="3"/>
  <c r="CX55" i="3"/>
  <c r="CY55" i="3"/>
  <c r="CZ55" i="3"/>
  <c r="DA55" i="3"/>
  <c r="DB55" i="3"/>
  <c r="DC55" i="3"/>
  <c r="DD55" i="3"/>
  <c r="DE55" i="3"/>
  <c r="DF55" i="3"/>
  <c r="DG55" i="3"/>
  <c r="DH55" i="3"/>
  <c r="DI55" i="3"/>
  <c r="DJ55" i="3"/>
  <c r="DK55" i="3"/>
  <c r="DL55" i="3"/>
  <c r="DM55" i="3"/>
  <c r="DN55" i="3"/>
  <c r="DO55" i="3"/>
  <c r="DP55" i="3"/>
  <c r="DQ55" i="3"/>
  <c r="DR55" i="3"/>
  <c r="DS55" i="3"/>
  <c r="DT55" i="3"/>
  <c r="DU55" i="3"/>
  <c r="DV55" i="3"/>
  <c r="DW55" i="3"/>
  <c r="DX55" i="3"/>
  <c r="DY55" i="3"/>
  <c r="DZ55" i="3"/>
  <c r="EA55" i="3"/>
  <c r="EB55" i="3"/>
  <c r="EC55" i="3"/>
  <c r="ED55" i="3"/>
  <c r="EE55" i="3"/>
  <c r="EF55" i="3"/>
  <c r="EG55" i="3"/>
  <c r="EI55" i="3"/>
  <c r="EJ55" i="3"/>
  <c r="EK55" i="3"/>
  <c r="EL55" i="3"/>
  <c r="EM55" i="3"/>
  <c r="EN55" i="3"/>
  <c r="EO55" i="3"/>
  <c r="EP55" i="3"/>
  <c r="EQ55" i="3"/>
  <c r="ER55" i="3"/>
  <c r="ES55" i="3"/>
  <c r="ET55" i="3"/>
  <c r="EU55" i="3"/>
  <c r="EV55" i="3"/>
  <c r="EW55" i="3"/>
  <c r="EX55" i="3"/>
  <c r="EY55" i="3"/>
  <c r="EZ55" i="3"/>
  <c r="FA55" i="3"/>
  <c r="FB55" i="3"/>
  <c r="FC55" i="3"/>
  <c r="FD55" i="3"/>
  <c r="FE55" i="3"/>
  <c r="FF55" i="3"/>
  <c r="FG55" i="3"/>
  <c r="FH55" i="3"/>
  <c r="FI55" i="3"/>
  <c r="FJ55" i="3"/>
  <c r="FK55" i="3"/>
  <c r="FL55" i="3"/>
  <c r="FM55" i="3"/>
  <c r="FN55" i="3"/>
  <c r="FO55" i="3"/>
  <c r="FP55" i="3"/>
  <c r="FQ55" i="3"/>
  <c r="FR55" i="3"/>
  <c r="FS55" i="3"/>
  <c r="FT55" i="3"/>
  <c r="FU55" i="3"/>
  <c r="FV55" i="3"/>
  <c r="FW55" i="3"/>
  <c r="FX55" i="3"/>
  <c r="FY55" i="3"/>
  <c r="FZ55" i="3"/>
  <c r="GA55" i="3"/>
  <c r="GB55" i="3"/>
  <c r="GC55" i="3"/>
  <c r="GD55" i="3"/>
  <c r="GE55" i="3"/>
  <c r="GF55" i="3"/>
  <c r="GG55" i="3"/>
  <c r="GH55" i="3"/>
  <c r="GI55" i="3"/>
  <c r="GJ55" i="3"/>
  <c r="GK55" i="3"/>
  <c r="GL55" i="3"/>
  <c r="GM55" i="3"/>
  <c r="GN55" i="3"/>
  <c r="GO55" i="3"/>
  <c r="GP55" i="3"/>
  <c r="GQ55" i="3"/>
  <c r="GR55" i="3"/>
  <c r="GS55" i="3"/>
  <c r="GT55" i="3"/>
  <c r="GU55" i="3"/>
  <c r="GV55" i="3"/>
  <c r="GW55" i="3"/>
  <c r="GX55" i="3"/>
  <c r="GY55" i="3"/>
  <c r="GZ55" i="3"/>
  <c r="HA55" i="3"/>
  <c r="HB55" i="3"/>
  <c r="HC55" i="3"/>
  <c r="HD55" i="3"/>
  <c r="HE55" i="3"/>
  <c r="HF55" i="3"/>
  <c r="HG55" i="3"/>
  <c r="HH55" i="3"/>
  <c r="HI55" i="3"/>
  <c r="HJ55" i="3"/>
  <c r="HK55" i="3"/>
  <c r="HL55" i="3"/>
  <c r="HM55" i="3"/>
  <c r="HN55" i="3"/>
  <c r="HO55" i="3"/>
  <c r="HP55" i="3"/>
  <c r="HQ55" i="3"/>
  <c r="HR55" i="3"/>
  <c r="HS55" i="3"/>
  <c r="HT55" i="3"/>
  <c r="HU55" i="3"/>
  <c r="HV55" i="3"/>
  <c r="HW55" i="3"/>
  <c r="HX55" i="3"/>
  <c r="HY55" i="3"/>
  <c r="HZ55" i="3"/>
  <c r="IA55" i="3"/>
  <c r="IB55" i="3"/>
  <c r="IC55" i="3"/>
  <c r="ID55" i="3"/>
  <c r="IE55" i="3"/>
  <c r="IF55" i="3"/>
  <c r="IG55" i="3"/>
  <c r="IH55" i="3"/>
  <c r="II55" i="3"/>
  <c r="IJ55" i="3"/>
  <c r="IK55" i="3"/>
  <c r="IL55" i="3"/>
  <c r="IM55" i="3"/>
  <c r="IN55" i="3"/>
  <c r="IO55" i="3"/>
  <c r="IP55" i="3"/>
  <c r="IQ55" i="3"/>
  <c r="IR55" i="3"/>
  <c r="IS55" i="3"/>
  <c r="IT55" i="3"/>
  <c r="IU55" i="3"/>
  <c r="IV55" i="3"/>
  <c r="IW55" i="3"/>
  <c r="IX55" i="3"/>
  <c r="IY55" i="3"/>
  <c r="IZ55" i="3"/>
  <c r="JA55" i="3"/>
  <c r="JB55" i="3"/>
  <c r="JC55" i="3"/>
  <c r="JD55" i="3"/>
  <c r="JE55" i="3"/>
  <c r="A46" i="3"/>
  <c r="B46" i="3"/>
  <c r="C46"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AO46" i="3"/>
  <c r="AP46" i="3"/>
  <c r="AQ46" i="3"/>
  <c r="AR46" i="3"/>
  <c r="AS46" i="3"/>
  <c r="AT46" i="3"/>
  <c r="AU46" i="3"/>
  <c r="AV46" i="3"/>
  <c r="AW46" i="3"/>
  <c r="AX46" i="3"/>
  <c r="AY46" i="3"/>
  <c r="AZ46" i="3"/>
  <c r="BA46" i="3"/>
  <c r="BB46" i="3"/>
  <c r="BC46" i="3"/>
  <c r="BD46" i="3"/>
  <c r="BE46" i="3"/>
  <c r="BF46" i="3"/>
  <c r="BG46" i="3"/>
  <c r="BH46" i="3"/>
  <c r="BI46" i="3"/>
  <c r="BJ46" i="3"/>
  <c r="BK46" i="3"/>
  <c r="BL46" i="3"/>
  <c r="BM46" i="3"/>
  <c r="BN46" i="3"/>
  <c r="BO46" i="3"/>
  <c r="BP46" i="3"/>
  <c r="BQ46" i="3"/>
  <c r="BR46" i="3"/>
  <c r="BS46" i="3"/>
  <c r="BT46" i="3"/>
  <c r="BU46" i="3"/>
  <c r="BV46" i="3"/>
  <c r="BW46" i="3"/>
  <c r="BX46" i="3"/>
  <c r="BY46" i="3"/>
  <c r="BZ46" i="3"/>
  <c r="CA46" i="3"/>
  <c r="CB46" i="3"/>
  <c r="CC46" i="3"/>
  <c r="CD46" i="3"/>
  <c r="CE46" i="3"/>
  <c r="CF46" i="3"/>
  <c r="CG46" i="3"/>
  <c r="CH46" i="3"/>
  <c r="CI46" i="3"/>
  <c r="CJ46" i="3"/>
  <c r="CK46" i="3"/>
  <c r="CL46" i="3"/>
  <c r="CM46" i="3"/>
  <c r="CN46" i="3"/>
  <c r="CO46" i="3"/>
  <c r="CP46" i="3"/>
  <c r="CQ46" i="3"/>
  <c r="CR46" i="3"/>
  <c r="CS46" i="3"/>
  <c r="CT46" i="3"/>
  <c r="CU46" i="3"/>
  <c r="CV46" i="3"/>
  <c r="CW46" i="3"/>
  <c r="CX46" i="3"/>
  <c r="CY46" i="3"/>
  <c r="CZ46" i="3"/>
  <c r="DA46" i="3"/>
  <c r="DB46" i="3"/>
  <c r="DC46" i="3"/>
  <c r="DD46" i="3"/>
  <c r="DE46" i="3"/>
  <c r="DF46" i="3"/>
  <c r="DG46" i="3"/>
  <c r="DH46" i="3"/>
  <c r="DI46" i="3"/>
  <c r="DJ46" i="3"/>
  <c r="DK46" i="3"/>
  <c r="DL46" i="3"/>
  <c r="DM46" i="3"/>
  <c r="DN46" i="3"/>
  <c r="DO46" i="3"/>
  <c r="DP46" i="3"/>
  <c r="DQ46" i="3"/>
  <c r="DR46" i="3"/>
  <c r="DS46" i="3"/>
  <c r="DT46" i="3"/>
  <c r="DU46" i="3"/>
  <c r="DV46" i="3"/>
  <c r="DW46" i="3"/>
  <c r="DX46" i="3"/>
  <c r="DY46" i="3"/>
  <c r="DZ46" i="3"/>
  <c r="EA46" i="3"/>
  <c r="EB46" i="3"/>
  <c r="EC46" i="3"/>
  <c r="ED46" i="3"/>
  <c r="EE46" i="3"/>
  <c r="EF46" i="3"/>
  <c r="EG46" i="3"/>
  <c r="EI46" i="3"/>
  <c r="EJ46" i="3"/>
  <c r="EK46" i="3"/>
  <c r="EL46" i="3"/>
  <c r="EM46" i="3"/>
  <c r="EN46" i="3"/>
  <c r="EO46" i="3"/>
  <c r="EP46" i="3"/>
  <c r="EQ46" i="3"/>
  <c r="ER46" i="3"/>
  <c r="ES46" i="3"/>
  <c r="ET46" i="3"/>
  <c r="EU46" i="3"/>
  <c r="EV46" i="3"/>
  <c r="EW46" i="3"/>
  <c r="EX46" i="3"/>
  <c r="EY46" i="3"/>
  <c r="EZ46" i="3"/>
  <c r="FA46" i="3"/>
  <c r="FB46" i="3"/>
  <c r="FC46" i="3"/>
  <c r="FD46" i="3"/>
  <c r="FE46" i="3"/>
  <c r="FF46" i="3"/>
  <c r="FG46" i="3"/>
  <c r="FH46" i="3"/>
  <c r="FI46" i="3"/>
  <c r="FJ46" i="3"/>
  <c r="FK46" i="3"/>
  <c r="FL46" i="3"/>
  <c r="FM46" i="3"/>
  <c r="FN46" i="3"/>
  <c r="FO46" i="3"/>
  <c r="FP46" i="3"/>
  <c r="FQ46" i="3"/>
  <c r="FR46" i="3"/>
  <c r="FS46" i="3"/>
  <c r="FT46" i="3"/>
  <c r="FU46" i="3"/>
  <c r="FV46" i="3"/>
  <c r="FW46" i="3"/>
  <c r="FX46" i="3"/>
  <c r="FY46" i="3"/>
  <c r="FZ46" i="3"/>
  <c r="GA46" i="3"/>
  <c r="GB46" i="3"/>
  <c r="GC46" i="3"/>
  <c r="GD46" i="3"/>
  <c r="GE46" i="3"/>
  <c r="GF46" i="3"/>
  <c r="GG46" i="3"/>
  <c r="GH46" i="3"/>
  <c r="GI46" i="3"/>
  <c r="GJ46" i="3"/>
  <c r="GK46" i="3"/>
  <c r="GL46" i="3"/>
  <c r="GM46" i="3"/>
  <c r="GN46" i="3"/>
  <c r="GO46" i="3"/>
  <c r="GP46" i="3"/>
  <c r="GQ46" i="3"/>
  <c r="GR46" i="3"/>
  <c r="GS46" i="3"/>
  <c r="GT46" i="3"/>
  <c r="GU46" i="3"/>
  <c r="GV46" i="3"/>
  <c r="GW46" i="3"/>
  <c r="GX46" i="3"/>
  <c r="GY46" i="3"/>
  <c r="GZ46" i="3"/>
  <c r="HA46" i="3"/>
  <c r="HB46" i="3"/>
  <c r="HC46" i="3"/>
  <c r="HD46" i="3"/>
  <c r="HE46" i="3"/>
  <c r="HF46" i="3"/>
  <c r="HG46" i="3"/>
  <c r="HH46" i="3"/>
  <c r="HI46" i="3"/>
  <c r="HJ46" i="3"/>
  <c r="HK46" i="3"/>
  <c r="HL46" i="3"/>
  <c r="HM46" i="3"/>
  <c r="HN46" i="3"/>
  <c r="HO46" i="3"/>
  <c r="HP46" i="3"/>
  <c r="HQ46" i="3"/>
  <c r="HR46" i="3"/>
  <c r="HS46" i="3"/>
  <c r="HT46" i="3"/>
  <c r="HU46" i="3"/>
  <c r="HV46" i="3"/>
  <c r="HW46" i="3"/>
  <c r="HX46" i="3"/>
  <c r="HY46" i="3"/>
  <c r="HZ46" i="3"/>
  <c r="IA46" i="3"/>
  <c r="IB46" i="3"/>
  <c r="IC46" i="3"/>
  <c r="ID46" i="3"/>
  <c r="IE46" i="3"/>
  <c r="IF46" i="3"/>
  <c r="IG46" i="3"/>
  <c r="IH46" i="3"/>
  <c r="II46" i="3"/>
  <c r="IJ46" i="3"/>
  <c r="IK46" i="3"/>
  <c r="IL46" i="3"/>
  <c r="IM46" i="3"/>
  <c r="IN46" i="3"/>
  <c r="IO46" i="3"/>
  <c r="IP46" i="3"/>
  <c r="IQ46" i="3"/>
  <c r="IR46" i="3"/>
  <c r="IS46" i="3"/>
  <c r="IT46" i="3"/>
  <c r="IU46" i="3"/>
  <c r="IV46" i="3"/>
  <c r="IW46" i="3"/>
  <c r="IX46" i="3"/>
  <c r="IY46" i="3"/>
  <c r="IZ46" i="3"/>
  <c r="JA46" i="3"/>
  <c r="JB46" i="3"/>
  <c r="JC46" i="3"/>
  <c r="JD46" i="3"/>
  <c r="JE46" i="3"/>
  <c r="JF46" i="3"/>
  <c r="JG46" i="3"/>
  <c r="JH46" i="3"/>
  <c r="JI46" i="3"/>
  <c r="JJ46" i="3"/>
  <c r="JK46" i="3"/>
  <c r="JL46" i="3"/>
  <c r="JM46" i="3"/>
  <c r="A47" i="3"/>
  <c r="B47" i="3"/>
  <c r="J47" i="3"/>
  <c r="K47" i="3"/>
  <c r="L47" i="3"/>
  <c r="M47" i="3"/>
  <c r="N47" i="3"/>
  <c r="O47" i="3"/>
  <c r="P47" i="3"/>
  <c r="Q47" i="3"/>
  <c r="R47" i="3"/>
  <c r="S47" i="3"/>
  <c r="T47" i="3"/>
  <c r="U47" i="3"/>
  <c r="V47" i="3"/>
  <c r="W47" i="3"/>
  <c r="X47" i="3"/>
  <c r="Y47" i="3"/>
  <c r="Z47" i="3"/>
  <c r="AA47" i="3"/>
  <c r="AB47" i="3"/>
  <c r="AC47" i="3"/>
  <c r="AD47" i="3"/>
  <c r="AE47" i="3"/>
  <c r="AF47" i="3"/>
  <c r="AG47" i="3"/>
  <c r="AH47" i="3"/>
  <c r="AI47" i="3"/>
  <c r="AJ47" i="3"/>
  <c r="AK47" i="3"/>
  <c r="AL47" i="3"/>
  <c r="AM47" i="3"/>
  <c r="AN47" i="3"/>
  <c r="AO47" i="3"/>
  <c r="AP47" i="3"/>
  <c r="AQ47" i="3"/>
  <c r="AR47" i="3"/>
  <c r="AS47" i="3"/>
  <c r="AT47" i="3"/>
  <c r="AU47" i="3"/>
  <c r="AV47" i="3"/>
  <c r="AW47" i="3"/>
  <c r="AX47" i="3"/>
  <c r="AY47" i="3"/>
  <c r="AZ47" i="3"/>
  <c r="BA47" i="3"/>
  <c r="BB47" i="3"/>
  <c r="BC47" i="3"/>
  <c r="BD47" i="3"/>
  <c r="BE47" i="3"/>
  <c r="BF47" i="3"/>
  <c r="BG47" i="3"/>
  <c r="BH47" i="3"/>
  <c r="BI47" i="3"/>
  <c r="BJ47" i="3"/>
  <c r="BK47" i="3"/>
  <c r="BL47" i="3"/>
  <c r="BM47" i="3"/>
  <c r="BN47" i="3"/>
  <c r="BO47" i="3"/>
  <c r="BP47" i="3"/>
  <c r="BQ47" i="3"/>
  <c r="BR47" i="3"/>
  <c r="BS47" i="3"/>
  <c r="BT47" i="3"/>
  <c r="BU47" i="3"/>
  <c r="BV47" i="3"/>
  <c r="BW47" i="3"/>
  <c r="BX47" i="3"/>
  <c r="BY47" i="3"/>
  <c r="BZ47" i="3"/>
  <c r="CA47" i="3"/>
  <c r="CB47" i="3"/>
  <c r="CC47" i="3"/>
  <c r="CD47" i="3"/>
  <c r="CE47" i="3"/>
  <c r="CF47" i="3"/>
  <c r="CG47" i="3"/>
  <c r="CH47" i="3"/>
  <c r="CI47" i="3"/>
  <c r="CJ47" i="3"/>
  <c r="CK47" i="3"/>
  <c r="CL47" i="3"/>
  <c r="CM47" i="3"/>
  <c r="CN47" i="3"/>
  <c r="CO47" i="3"/>
  <c r="CP47" i="3"/>
  <c r="CQ47" i="3"/>
  <c r="CR47" i="3"/>
  <c r="CS47" i="3"/>
  <c r="CT47" i="3"/>
  <c r="CU47" i="3"/>
  <c r="CV47" i="3"/>
  <c r="CW47" i="3"/>
  <c r="CX47" i="3"/>
  <c r="CY47" i="3"/>
  <c r="CZ47" i="3"/>
  <c r="DA47" i="3"/>
  <c r="DB47" i="3"/>
  <c r="DC47" i="3"/>
  <c r="DD47" i="3"/>
  <c r="DE47" i="3"/>
  <c r="DF47" i="3"/>
  <c r="DG47" i="3"/>
  <c r="DH47" i="3"/>
  <c r="DI47" i="3"/>
  <c r="DJ47" i="3"/>
  <c r="DK47" i="3"/>
  <c r="DL47" i="3"/>
  <c r="DM47" i="3"/>
  <c r="DN47" i="3"/>
  <c r="DO47" i="3"/>
  <c r="DP47" i="3"/>
  <c r="DQ47" i="3"/>
  <c r="DR47" i="3"/>
  <c r="DS47" i="3"/>
  <c r="DT47" i="3"/>
  <c r="DU47" i="3"/>
  <c r="DV47" i="3"/>
  <c r="DW47" i="3"/>
  <c r="DX47" i="3"/>
  <c r="DY47" i="3"/>
  <c r="DZ47" i="3"/>
  <c r="EA47" i="3"/>
  <c r="EB47" i="3"/>
  <c r="EC47" i="3"/>
  <c r="ED47" i="3"/>
  <c r="EE47" i="3"/>
  <c r="EF47" i="3"/>
  <c r="EG47" i="3"/>
  <c r="EI47" i="3"/>
  <c r="EJ47" i="3"/>
  <c r="EK47" i="3"/>
  <c r="EL47" i="3"/>
  <c r="EM47" i="3"/>
  <c r="EN47" i="3"/>
  <c r="EO47" i="3"/>
  <c r="EP47" i="3"/>
  <c r="EQ47" i="3"/>
  <c r="ER47" i="3"/>
  <c r="ES47" i="3"/>
  <c r="ET47" i="3"/>
  <c r="EU47" i="3"/>
  <c r="EV47" i="3"/>
  <c r="EW47" i="3"/>
  <c r="EX47" i="3"/>
  <c r="EY47" i="3"/>
  <c r="EZ47" i="3"/>
  <c r="FA47" i="3"/>
  <c r="FB47" i="3"/>
  <c r="FC47" i="3"/>
  <c r="FD47" i="3"/>
  <c r="FE47" i="3"/>
  <c r="FF47" i="3"/>
  <c r="FG47" i="3"/>
  <c r="FH47" i="3"/>
  <c r="FI47" i="3"/>
  <c r="FJ47" i="3"/>
  <c r="FK47" i="3"/>
  <c r="FL47" i="3"/>
  <c r="FM47" i="3"/>
  <c r="FN47" i="3"/>
  <c r="FO47" i="3"/>
  <c r="FP47" i="3"/>
  <c r="FQ47" i="3"/>
  <c r="FR47" i="3"/>
  <c r="FS47" i="3"/>
  <c r="FT47" i="3"/>
  <c r="FU47" i="3"/>
  <c r="FV47" i="3"/>
  <c r="FW47" i="3"/>
  <c r="FX47" i="3"/>
  <c r="FY47" i="3"/>
  <c r="FZ47" i="3"/>
  <c r="GA47" i="3"/>
  <c r="GB47" i="3"/>
  <c r="GC47" i="3"/>
  <c r="GD47" i="3"/>
  <c r="GE47" i="3"/>
  <c r="GF47" i="3"/>
  <c r="GG47" i="3"/>
  <c r="GH47" i="3"/>
  <c r="GI47" i="3"/>
  <c r="GJ47" i="3"/>
  <c r="GK47" i="3"/>
  <c r="GL47" i="3"/>
  <c r="GM47" i="3"/>
  <c r="GN47" i="3"/>
  <c r="GO47" i="3"/>
  <c r="GP47" i="3"/>
  <c r="GQ47" i="3"/>
  <c r="GR47" i="3"/>
  <c r="GS47" i="3"/>
  <c r="GT47" i="3"/>
  <c r="GU47" i="3"/>
  <c r="GV47" i="3"/>
  <c r="GW47" i="3"/>
  <c r="GX47" i="3"/>
  <c r="GY47" i="3"/>
  <c r="GZ47" i="3"/>
  <c r="HA47" i="3"/>
  <c r="HB47" i="3"/>
  <c r="HC47" i="3"/>
  <c r="HD47" i="3"/>
  <c r="HE47" i="3"/>
  <c r="HF47" i="3"/>
  <c r="HG47" i="3"/>
  <c r="HH47" i="3"/>
  <c r="HI47" i="3"/>
  <c r="HJ47" i="3"/>
  <c r="HK47" i="3"/>
  <c r="HL47" i="3"/>
  <c r="HM47" i="3"/>
  <c r="HN47" i="3"/>
  <c r="HO47" i="3"/>
  <c r="HP47" i="3"/>
  <c r="HQ47" i="3"/>
  <c r="HR47" i="3"/>
  <c r="HS47" i="3"/>
  <c r="HT47" i="3"/>
  <c r="HU47" i="3"/>
  <c r="HV47" i="3"/>
  <c r="HW47" i="3"/>
  <c r="HX47" i="3"/>
  <c r="HY47" i="3"/>
  <c r="HZ47" i="3"/>
  <c r="IA47" i="3"/>
  <c r="IB47" i="3"/>
  <c r="IC47" i="3"/>
  <c r="ID47" i="3"/>
  <c r="IE47" i="3"/>
  <c r="IF47" i="3"/>
  <c r="IG47" i="3"/>
  <c r="IH47" i="3"/>
  <c r="II47" i="3"/>
  <c r="IJ47" i="3"/>
  <c r="IK47" i="3"/>
  <c r="IL47" i="3"/>
  <c r="IM47" i="3"/>
  <c r="IN47" i="3"/>
  <c r="IO47" i="3"/>
  <c r="IP47" i="3"/>
  <c r="IQ47" i="3"/>
  <c r="IR47" i="3"/>
  <c r="IS47" i="3"/>
  <c r="IT47" i="3"/>
  <c r="IU47" i="3"/>
  <c r="IV47" i="3"/>
  <c r="IW47" i="3"/>
  <c r="IX47" i="3"/>
  <c r="IY47" i="3"/>
  <c r="IZ47" i="3"/>
  <c r="JA47" i="3"/>
  <c r="JB47" i="3"/>
  <c r="JC47" i="3"/>
  <c r="JD47" i="3"/>
  <c r="JE47" i="3"/>
  <c r="JF47" i="3"/>
  <c r="JG47" i="3"/>
  <c r="JH47" i="3"/>
  <c r="JI47" i="3"/>
  <c r="JJ47" i="3"/>
  <c r="JK47" i="3"/>
  <c r="JL47" i="3"/>
  <c r="JM47" i="3"/>
  <c r="A48" i="3"/>
  <c r="B48" i="3"/>
  <c r="N48" i="3"/>
  <c r="O48" i="3"/>
  <c r="P48" i="3"/>
  <c r="Q48" i="3"/>
  <c r="R48" i="3"/>
  <c r="S48" i="3"/>
  <c r="T48" i="3"/>
  <c r="U48" i="3"/>
  <c r="V48" i="3"/>
  <c r="W48" i="3"/>
  <c r="X48" i="3"/>
  <c r="Y48" i="3"/>
  <c r="Z48" i="3"/>
  <c r="AA48" i="3"/>
  <c r="AB48" i="3"/>
  <c r="AC48" i="3"/>
  <c r="AD48" i="3"/>
  <c r="AE48" i="3"/>
  <c r="AF48" i="3"/>
  <c r="AG48" i="3"/>
  <c r="AH48" i="3"/>
  <c r="AI48" i="3"/>
  <c r="AJ48" i="3"/>
  <c r="AK48" i="3"/>
  <c r="AL48" i="3"/>
  <c r="AM48" i="3"/>
  <c r="AN48" i="3"/>
  <c r="AO48" i="3"/>
  <c r="AP48" i="3"/>
  <c r="AQ48" i="3"/>
  <c r="AR48" i="3"/>
  <c r="AS48" i="3"/>
  <c r="AT48" i="3"/>
  <c r="AU48" i="3"/>
  <c r="AV48" i="3"/>
  <c r="AW48" i="3"/>
  <c r="AX48" i="3"/>
  <c r="AY48" i="3"/>
  <c r="AZ48" i="3"/>
  <c r="BA48" i="3"/>
  <c r="BB48" i="3"/>
  <c r="BC48" i="3"/>
  <c r="BD48" i="3"/>
  <c r="BE48" i="3"/>
  <c r="BF48" i="3"/>
  <c r="BG48" i="3"/>
  <c r="BH48" i="3"/>
  <c r="BI48" i="3"/>
  <c r="BJ48" i="3"/>
  <c r="BK48" i="3"/>
  <c r="BL48" i="3"/>
  <c r="BM48" i="3"/>
  <c r="BN48" i="3"/>
  <c r="BO48" i="3"/>
  <c r="BP48" i="3"/>
  <c r="BQ48" i="3"/>
  <c r="BR48" i="3"/>
  <c r="BS48" i="3"/>
  <c r="BT48" i="3"/>
  <c r="BU48" i="3"/>
  <c r="BV48" i="3"/>
  <c r="BW48" i="3"/>
  <c r="BX48" i="3"/>
  <c r="BY48" i="3"/>
  <c r="BZ48" i="3"/>
  <c r="CA48" i="3"/>
  <c r="CB48" i="3"/>
  <c r="CC48" i="3"/>
  <c r="CD48" i="3"/>
  <c r="CE48" i="3"/>
  <c r="CF48" i="3"/>
  <c r="CG48" i="3"/>
  <c r="CH48" i="3"/>
  <c r="CI48" i="3"/>
  <c r="CJ48" i="3"/>
  <c r="CK48" i="3"/>
  <c r="CL48" i="3"/>
  <c r="CM48" i="3"/>
  <c r="CN48" i="3"/>
  <c r="CO48" i="3"/>
  <c r="CP48" i="3"/>
  <c r="CQ48" i="3"/>
  <c r="CR48" i="3"/>
  <c r="CS48" i="3"/>
  <c r="CT48" i="3"/>
  <c r="CU48" i="3"/>
  <c r="CV48" i="3"/>
  <c r="CW48" i="3"/>
  <c r="CX48" i="3"/>
  <c r="CY48" i="3"/>
  <c r="CZ48" i="3"/>
  <c r="DA48" i="3"/>
  <c r="DB48" i="3"/>
  <c r="DC48" i="3"/>
  <c r="DD48" i="3"/>
  <c r="DE48" i="3"/>
  <c r="DF48" i="3"/>
  <c r="DG48" i="3"/>
  <c r="DH48" i="3"/>
  <c r="DI48" i="3"/>
  <c r="DJ48" i="3"/>
  <c r="DK48" i="3"/>
  <c r="DL48" i="3"/>
  <c r="DM48" i="3"/>
  <c r="DN48" i="3"/>
  <c r="DO48" i="3"/>
  <c r="DP48" i="3"/>
  <c r="DQ48" i="3"/>
  <c r="DR48" i="3"/>
  <c r="DS48" i="3"/>
  <c r="DT48" i="3"/>
  <c r="DU48" i="3"/>
  <c r="DV48" i="3"/>
  <c r="DW48" i="3"/>
  <c r="DX48" i="3"/>
  <c r="DY48" i="3"/>
  <c r="DZ48" i="3"/>
  <c r="EA48" i="3"/>
  <c r="EB48" i="3"/>
  <c r="EC48" i="3"/>
  <c r="ED48" i="3"/>
  <c r="EE48" i="3"/>
  <c r="EF48" i="3"/>
  <c r="EG48" i="3"/>
  <c r="EI48" i="3"/>
  <c r="EJ48" i="3"/>
  <c r="EK48" i="3"/>
  <c r="EL48" i="3"/>
  <c r="EM48" i="3"/>
  <c r="EN48" i="3"/>
  <c r="EO48" i="3"/>
  <c r="EP48" i="3"/>
  <c r="EQ48" i="3"/>
  <c r="ER48" i="3"/>
  <c r="ES48" i="3"/>
  <c r="ET48" i="3"/>
  <c r="EU48" i="3"/>
  <c r="EV48" i="3"/>
  <c r="EW48" i="3"/>
  <c r="EX48" i="3"/>
  <c r="EY48" i="3"/>
  <c r="EZ48" i="3"/>
  <c r="FA48" i="3"/>
  <c r="FB48" i="3"/>
  <c r="FC48" i="3"/>
  <c r="FD48" i="3"/>
  <c r="FE48" i="3"/>
  <c r="FF48" i="3"/>
  <c r="FG48" i="3"/>
  <c r="FH48" i="3"/>
  <c r="FI48" i="3"/>
  <c r="FJ48" i="3"/>
  <c r="FK48" i="3"/>
  <c r="FL48" i="3"/>
  <c r="FM48" i="3"/>
  <c r="FN48" i="3"/>
  <c r="FO48" i="3"/>
  <c r="FP48" i="3"/>
  <c r="FQ48" i="3"/>
  <c r="FR48" i="3"/>
  <c r="FS48" i="3"/>
  <c r="FT48" i="3"/>
  <c r="FU48" i="3"/>
  <c r="FV48" i="3"/>
  <c r="FW48" i="3"/>
  <c r="FX48" i="3"/>
  <c r="FY48" i="3"/>
  <c r="FZ48" i="3"/>
  <c r="GA48" i="3"/>
  <c r="GB48" i="3"/>
  <c r="GC48" i="3"/>
  <c r="GD48" i="3"/>
  <c r="GE48" i="3"/>
  <c r="GF48" i="3"/>
  <c r="GG48" i="3"/>
  <c r="GH48" i="3"/>
  <c r="GI48" i="3"/>
  <c r="GJ48" i="3"/>
  <c r="GK48" i="3"/>
  <c r="GL48" i="3"/>
  <c r="GM48" i="3"/>
  <c r="GN48" i="3"/>
  <c r="GO48" i="3"/>
  <c r="GP48" i="3"/>
  <c r="GQ48" i="3"/>
  <c r="GR48" i="3"/>
  <c r="GS48" i="3"/>
  <c r="GT48" i="3"/>
  <c r="GU48" i="3"/>
  <c r="GV48" i="3"/>
  <c r="GW48" i="3"/>
  <c r="GX48" i="3"/>
  <c r="GY48" i="3"/>
  <c r="GZ48" i="3"/>
  <c r="HA48" i="3"/>
  <c r="HB48" i="3"/>
  <c r="HC48" i="3"/>
  <c r="HD48" i="3"/>
  <c r="HE48" i="3"/>
  <c r="HF48" i="3"/>
  <c r="HG48" i="3"/>
  <c r="HH48" i="3"/>
  <c r="HI48" i="3"/>
  <c r="HJ48" i="3"/>
  <c r="HK48" i="3"/>
  <c r="HL48" i="3"/>
  <c r="HM48" i="3"/>
  <c r="HN48" i="3"/>
  <c r="HO48" i="3"/>
  <c r="HP48" i="3"/>
  <c r="HQ48" i="3"/>
  <c r="HR48" i="3"/>
  <c r="HS48" i="3"/>
  <c r="HT48" i="3"/>
  <c r="HU48" i="3"/>
  <c r="HV48" i="3"/>
  <c r="HW48" i="3"/>
  <c r="HX48" i="3"/>
  <c r="HY48" i="3"/>
  <c r="HZ48" i="3"/>
  <c r="IA48" i="3"/>
  <c r="IB48" i="3"/>
  <c r="IC48" i="3"/>
  <c r="ID48" i="3"/>
  <c r="IE48" i="3"/>
  <c r="IF48" i="3"/>
  <c r="IG48" i="3"/>
  <c r="IH48" i="3"/>
  <c r="II48" i="3"/>
  <c r="IJ48" i="3"/>
  <c r="IK48" i="3"/>
  <c r="IL48" i="3"/>
  <c r="IM48" i="3"/>
  <c r="IN48" i="3"/>
  <c r="IO48" i="3"/>
  <c r="IP48" i="3"/>
  <c r="IQ48" i="3"/>
  <c r="IR48" i="3"/>
  <c r="IS48" i="3"/>
  <c r="IT48" i="3"/>
  <c r="IU48" i="3"/>
  <c r="IV48" i="3"/>
  <c r="IW48" i="3"/>
  <c r="IX48" i="3"/>
  <c r="IY48" i="3"/>
  <c r="IZ48" i="3"/>
  <c r="JA48" i="3"/>
  <c r="JB48" i="3"/>
  <c r="JC48" i="3"/>
  <c r="JD48" i="3"/>
  <c r="JE48" i="3"/>
  <c r="JF48" i="3"/>
  <c r="JG48" i="3"/>
  <c r="JH48" i="3"/>
  <c r="JI48" i="3"/>
  <c r="JJ48" i="3"/>
  <c r="JK48" i="3"/>
  <c r="JL48" i="3"/>
  <c r="JM48" i="3"/>
  <c r="A49" i="3"/>
  <c r="B49" i="3"/>
  <c r="U49" i="3"/>
  <c r="V49" i="3"/>
  <c r="W49" i="3"/>
  <c r="X49" i="3"/>
  <c r="Y49" i="3"/>
  <c r="Z49" i="3"/>
  <c r="AA49" i="3"/>
  <c r="AB49" i="3"/>
  <c r="AC49" i="3"/>
  <c r="AD49" i="3"/>
  <c r="AE49" i="3"/>
  <c r="AF49" i="3"/>
  <c r="AG49" i="3"/>
  <c r="AH49" i="3"/>
  <c r="AI49" i="3"/>
  <c r="AJ49" i="3"/>
  <c r="AK49" i="3"/>
  <c r="AL49" i="3"/>
  <c r="AM49" i="3"/>
  <c r="AN49" i="3"/>
  <c r="AO49" i="3"/>
  <c r="AP49" i="3"/>
  <c r="AQ49" i="3"/>
  <c r="AR49" i="3"/>
  <c r="AS49" i="3"/>
  <c r="AT49" i="3"/>
  <c r="AU49" i="3"/>
  <c r="AV49" i="3"/>
  <c r="AW49" i="3"/>
  <c r="AX49" i="3"/>
  <c r="AY49" i="3"/>
  <c r="AZ49" i="3"/>
  <c r="BA49" i="3"/>
  <c r="BB49" i="3"/>
  <c r="BC49" i="3"/>
  <c r="BD49" i="3"/>
  <c r="BE49" i="3"/>
  <c r="BF49" i="3"/>
  <c r="BG49" i="3"/>
  <c r="BH49" i="3"/>
  <c r="BI49" i="3"/>
  <c r="BJ49" i="3"/>
  <c r="BK49" i="3"/>
  <c r="BL49" i="3"/>
  <c r="BM49" i="3"/>
  <c r="BN49" i="3"/>
  <c r="BO49" i="3"/>
  <c r="BP49" i="3"/>
  <c r="BQ49" i="3"/>
  <c r="BR49" i="3"/>
  <c r="BS49" i="3"/>
  <c r="BT49" i="3"/>
  <c r="BU49" i="3"/>
  <c r="BV49" i="3"/>
  <c r="BW49" i="3"/>
  <c r="BX49" i="3"/>
  <c r="BY49" i="3"/>
  <c r="BZ49" i="3"/>
  <c r="CA49" i="3"/>
  <c r="CB49" i="3"/>
  <c r="CC49" i="3"/>
  <c r="CD49" i="3"/>
  <c r="CE49" i="3"/>
  <c r="CF49" i="3"/>
  <c r="CG49" i="3"/>
  <c r="CH49" i="3"/>
  <c r="CI49" i="3"/>
  <c r="CJ49" i="3"/>
  <c r="CK49" i="3"/>
  <c r="CL49" i="3"/>
  <c r="CM49" i="3"/>
  <c r="CN49" i="3"/>
  <c r="CO49" i="3"/>
  <c r="CP49" i="3"/>
  <c r="CQ49" i="3"/>
  <c r="CR49" i="3"/>
  <c r="CS49" i="3"/>
  <c r="CT49" i="3"/>
  <c r="CU49" i="3"/>
  <c r="CV49" i="3"/>
  <c r="CW49" i="3"/>
  <c r="CX49" i="3"/>
  <c r="CY49" i="3"/>
  <c r="CZ49" i="3"/>
  <c r="DA49" i="3"/>
  <c r="DB49" i="3"/>
  <c r="DC49" i="3"/>
  <c r="DD49" i="3"/>
  <c r="DE49" i="3"/>
  <c r="DF49" i="3"/>
  <c r="DG49" i="3"/>
  <c r="DH49" i="3"/>
  <c r="DI49" i="3"/>
  <c r="DJ49" i="3"/>
  <c r="DK49" i="3"/>
  <c r="DL49" i="3"/>
  <c r="DM49" i="3"/>
  <c r="DN49" i="3"/>
  <c r="DO49" i="3"/>
  <c r="DP49" i="3"/>
  <c r="DQ49" i="3"/>
  <c r="DR49" i="3"/>
  <c r="DS49" i="3"/>
  <c r="DT49" i="3"/>
  <c r="DU49" i="3"/>
  <c r="DV49" i="3"/>
  <c r="DW49" i="3"/>
  <c r="DX49" i="3"/>
  <c r="DY49" i="3"/>
  <c r="DZ49" i="3"/>
  <c r="EA49" i="3"/>
  <c r="EB49" i="3"/>
  <c r="EC49" i="3"/>
  <c r="ED49" i="3"/>
  <c r="EE49" i="3"/>
  <c r="EF49" i="3"/>
  <c r="EG49" i="3"/>
  <c r="EI49" i="3"/>
  <c r="EJ49" i="3"/>
  <c r="EK49" i="3"/>
  <c r="EL49" i="3"/>
  <c r="EM49" i="3"/>
  <c r="EN49" i="3"/>
  <c r="EO49" i="3"/>
  <c r="EP49" i="3"/>
  <c r="EQ49" i="3"/>
  <c r="ER49" i="3"/>
  <c r="ES49" i="3"/>
  <c r="ET49" i="3"/>
  <c r="EU49" i="3"/>
  <c r="EV49" i="3"/>
  <c r="EW49" i="3"/>
  <c r="EX49" i="3"/>
  <c r="EY49" i="3"/>
  <c r="EZ49" i="3"/>
  <c r="FA49" i="3"/>
  <c r="FB49" i="3"/>
  <c r="FC49" i="3"/>
  <c r="FD49" i="3"/>
  <c r="FE49" i="3"/>
  <c r="FF49" i="3"/>
  <c r="FG49" i="3"/>
  <c r="FH49" i="3"/>
  <c r="FI49" i="3"/>
  <c r="FJ49" i="3"/>
  <c r="FK49" i="3"/>
  <c r="FL49" i="3"/>
  <c r="FM49" i="3"/>
  <c r="FN49" i="3"/>
  <c r="FO49" i="3"/>
  <c r="FP49" i="3"/>
  <c r="FQ49" i="3"/>
  <c r="FR49" i="3"/>
  <c r="FS49" i="3"/>
  <c r="FT49" i="3"/>
  <c r="FU49" i="3"/>
  <c r="FV49" i="3"/>
  <c r="FW49" i="3"/>
  <c r="FX49" i="3"/>
  <c r="FY49" i="3"/>
  <c r="FZ49" i="3"/>
  <c r="GA49" i="3"/>
  <c r="GB49" i="3"/>
  <c r="GC49" i="3"/>
  <c r="GD49" i="3"/>
  <c r="GE49" i="3"/>
  <c r="GF49" i="3"/>
  <c r="GG49" i="3"/>
  <c r="GH49" i="3"/>
  <c r="GI49" i="3"/>
  <c r="GJ49" i="3"/>
  <c r="GK49" i="3"/>
  <c r="GL49" i="3"/>
  <c r="GM49" i="3"/>
  <c r="GN49" i="3"/>
  <c r="GO49" i="3"/>
  <c r="GP49" i="3"/>
  <c r="GQ49" i="3"/>
  <c r="GR49" i="3"/>
  <c r="GS49" i="3"/>
  <c r="GT49" i="3"/>
  <c r="GU49" i="3"/>
  <c r="GV49" i="3"/>
  <c r="GW49" i="3"/>
  <c r="GX49" i="3"/>
  <c r="GY49" i="3"/>
  <c r="GZ49" i="3"/>
  <c r="HA49" i="3"/>
  <c r="HB49" i="3"/>
  <c r="HC49" i="3"/>
  <c r="HD49" i="3"/>
  <c r="HE49" i="3"/>
  <c r="HF49" i="3"/>
  <c r="HG49" i="3"/>
  <c r="HH49" i="3"/>
  <c r="HI49" i="3"/>
  <c r="HJ49" i="3"/>
  <c r="HK49" i="3"/>
  <c r="HL49" i="3"/>
  <c r="HM49" i="3"/>
  <c r="HN49" i="3"/>
  <c r="HO49" i="3"/>
  <c r="HP49" i="3"/>
  <c r="HQ49" i="3"/>
  <c r="HR49" i="3"/>
  <c r="HS49" i="3"/>
  <c r="HT49" i="3"/>
  <c r="HU49" i="3"/>
  <c r="HV49" i="3"/>
  <c r="HW49" i="3"/>
  <c r="HX49" i="3"/>
  <c r="HY49" i="3"/>
  <c r="HZ49" i="3"/>
  <c r="IA49" i="3"/>
  <c r="IB49" i="3"/>
  <c r="IC49" i="3"/>
  <c r="ID49" i="3"/>
  <c r="IE49" i="3"/>
  <c r="IF49" i="3"/>
  <c r="IG49" i="3"/>
  <c r="IH49" i="3"/>
  <c r="II49" i="3"/>
  <c r="IJ49" i="3"/>
  <c r="IK49" i="3"/>
  <c r="IL49" i="3"/>
  <c r="IM49" i="3"/>
  <c r="IN49" i="3"/>
  <c r="IO49" i="3"/>
  <c r="IP49" i="3"/>
  <c r="IQ49" i="3"/>
  <c r="IR49" i="3"/>
  <c r="IS49" i="3"/>
  <c r="IT49" i="3"/>
  <c r="IU49" i="3"/>
  <c r="IV49" i="3"/>
  <c r="IW49" i="3"/>
  <c r="IX49" i="3"/>
  <c r="IY49" i="3"/>
  <c r="IZ49" i="3"/>
  <c r="JA49" i="3"/>
  <c r="JB49" i="3"/>
  <c r="JC49" i="3"/>
  <c r="JD49" i="3"/>
  <c r="JE49" i="3"/>
  <c r="JF49" i="3"/>
  <c r="JG49" i="3"/>
  <c r="JH49" i="3"/>
  <c r="JI49" i="3"/>
  <c r="JJ49" i="3"/>
  <c r="JK49" i="3"/>
  <c r="JL49" i="3"/>
  <c r="JM49" i="3"/>
  <c r="A50" i="3"/>
  <c r="B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AK50" i="3"/>
  <c r="AL50" i="3"/>
  <c r="AM50" i="3"/>
  <c r="AN50" i="3"/>
  <c r="AO50" i="3"/>
  <c r="AP50" i="3"/>
  <c r="AQ50" i="3"/>
  <c r="AR50" i="3"/>
  <c r="AS50" i="3"/>
  <c r="AT50" i="3"/>
  <c r="AU50" i="3"/>
  <c r="AV50" i="3"/>
  <c r="AW50" i="3"/>
  <c r="AX50" i="3"/>
  <c r="AY50" i="3"/>
  <c r="AZ50" i="3"/>
  <c r="BA50" i="3"/>
  <c r="BB50" i="3"/>
  <c r="BC50" i="3"/>
  <c r="BD50" i="3"/>
  <c r="BE50" i="3"/>
  <c r="BF50" i="3"/>
  <c r="BG50" i="3"/>
  <c r="BH50" i="3"/>
  <c r="BI50" i="3"/>
  <c r="BJ50" i="3"/>
  <c r="BK50" i="3"/>
  <c r="BL50" i="3"/>
  <c r="BM50" i="3"/>
  <c r="BN50" i="3"/>
  <c r="BO50" i="3"/>
  <c r="BP50" i="3"/>
  <c r="BQ50" i="3"/>
  <c r="BR50" i="3"/>
  <c r="BS50" i="3"/>
  <c r="BT50" i="3"/>
  <c r="BU50" i="3"/>
  <c r="BV50" i="3"/>
  <c r="BW50" i="3"/>
  <c r="BX50" i="3"/>
  <c r="BY50" i="3"/>
  <c r="BZ50" i="3"/>
  <c r="CA50" i="3"/>
  <c r="CB50" i="3"/>
  <c r="CC50" i="3"/>
  <c r="CD50" i="3"/>
  <c r="CE50" i="3"/>
  <c r="CF50" i="3"/>
  <c r="CG50" i="3"/>
  <c r="CH50" i="3"/>
  <c r="CI50" i="3"/>
  <c r="CJ50" i="3"/>
  <c r="CK50" i="3"/>
  <c r="CL50" i="3"/>
  <c r="CM50" i="3"/>
  <c r="CN50" i="3"/>
  <c r="CO50" i="3"/>
  <c r="CP50" i="3"/>
  <c r="CQ50" i="3"/>
  <c r="CR50" i="3"/>
  <c r="CS50" i="3"/>
  <c r="CT50" i="3"/>
  <c r="CU50" i="3"/>
  <c r="CV50" i="3"/>
  <c r="CW50" i="3"/>
  <c r="CX50" i="3"/>
  <c r="CY50" i="3"/>
  <c r="CZ50" i="3"/>
  <c r="DA50" i="3"/>
  <c r="DB50" i="3"/>
  <c r="DC50" i="3"/>
  <c r="DD50" i="3"/>
  <c r="DE50" i="3"/>
  <c r="DF50" i="3"/>
  <c r="DG50" i="3"/>
  <c r="DH50" i="3"/>
  <c r="DI50" i="3"/>
  <c r="DJ50" i="3"/>
  <c r="DK50" i="3"/>
  <c r="DL50" i="3"/>
  <c r="DM50" i="3"/>
  <c r="DN50" i="3"/>
  <c r="DO50" i="3"/>
  <c r="DP50" i="3"/>
  <c r="DQ50" i="3"/>
  <c r="DR50" i="3"/>
  <c r="DS50" i="3"/>
  <c r="DT50" i="3"/>
  <c r="DU50" i="3"/>
  <c r="DV50" i="3"/>
  <c r="DW50" i="3"/>
  <c r="DX50" i="3"/>
  <c r="DY50" i="3"/>
  <c r="DZ50" i="3"/>
  <c r="EA50" i="3"/>
  <c r="EB50" i="3"/>
  <c r="EC50" i="3"/>
  <c r="ED50" i="3"/>
  <c r="EE50" i="3"/>
  <c r="EF50" i="3"/>
  <c r="EG50" i="3"/>
  <c r="EI50" i="3"/>
  <c r="EJ50" i="3"/>
  <c r="EK50" i="3"/>
  <c r="EL50" i="3"/>
  <c r="EM50" i="3"/>
  <c r="EN50" i="3"/>
  <c r="EO50" i="3"/>
  <c r="EP50" i="3"/>
  <c r="EQ50" i="3"/>
  <c r="ER50" i="3"/>
  <c r="ES50" i="3"/>
  <c r="ET50" i="3"/>
  <c r="EU50" i="3"/>
  <c r="EV50" i="3"/>
  <c r="EW50" i="3"/>
  <c r="EX50" i="3"/>
  <c r="EY50" i="3"/>
  <c r="EZ50" i="3"/>
  <c r="FA50" i="3"/>
  <c r="FB50" i="3"/>
  <c r="FC50" i="3"/>
  <c r="FD50" i="3"/>
  <c r="FE50" i="3"/>
  <c r="FF50" i="3"/>
  <c r="FG50" i="3"/>
  <c r="FH50" i="3"/>
  <c r="A41" i="3"/>
  <c r="B41" i="3"/>
  <c r="C41"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AH41" i="3"/>
  <c r="AI41" i="3"/>
  <c r="AJ41" i="3"/>
  <c r="AK41" i="3"/>
  <c r="AL41" i="3"/>
  <c r="AM41" i="3"/>
  <c r="AN41" i="3"/>
  <c r="AO41" i="3"/>
  <c r="AP41" i="3"/>
  <c r="AQ41" i="3"/>
  <c r="AR41" i="3"/>
  <c r="AS41" i="3"/>
  <c r="AT41" i="3"/>
  <c r="AU41" i="3"/>
  <c r="AV41" i="3"/>
  <c r="AW41" i="3"/>
  <c r="AX41" i="3"/>
  <c r="AY41" i="3"/>
  <c r="AZ41" i="3"/>
  <c r="BA41" i="3"/>
  <c r="BB41" i="3"/>
  <c r="BC41" i="3"/>
  <c r="BD41" i="3"/>
  <c r="BE41" i="3"/>
  <c r="BF41" i="3"/>
  <c r="BG41" i="3"/>
  <c r="BH41" i="3"/>
  <c r="BI41" i="3"/>
  <c r="BJ41" i="3"/>
  <c r="BK41" i="3"/>
  <c r="BL41" i="3"/>
  <c r="BM41" i="3"/>
  <c r="BN41" i="3"/>
  <c r="BO41" i="3"/>
  <c r="BP41" i="3"/>
  <c r="BQ41" i="3"/>
  <c r="BR41" i="3"/>
  <c r="BS41" i="3"/>
  <c r="BT41" i="3"/>
  <c r="BU41" i="3"/>
  <c r="BV41" i="3"/>
  <c r="BW41" i="3"/>
  <c r="BX41" i="3"/>
  <c r="BY41" i="3"/>
  <c r="BZ41" i="3"/>
  <c r="CA41" i="3"/>
  <c r="CB41" i="3"/>
  <c r="CC41" i="3"/>
  <c r="CD41" i="3"/>
  <c r="CE41" i="3"/>
  <c r="CF41" i="3"/>
  <c r="CG41" i="3"/>
  <c r="CH41" i="3"/>
  <c r="CI41" i="3"/>
  <c r="CJ41" i="3"/>
  <c r="CK41" i="3"/>
  <c r="CL41" i="3"/>
  <c r="CM41" i="3"/>
  <c r="CN41" i="3"/>
  <c r="CO41" i="3"/>
  <c r="CP41" i="3"/>
  <c r="CQ41" i="3"/>
  <c r="CR41" i="3"/>
  <c r="CS41" i="3"/>
  <c r="CT41" i="3"/>
  <c r="CU41" i="3"/>
  <c r="CV41" i="3"/>
  <c r="CW41" i="3"/>
  <c r="CX41" i="3"/>
  <c r="CY41" i="3"/>
  <c r="CZ41" i="3"/>
  <c r="DA41" i="3"/>
  <c r="DB41" i="3"/>
  <c r="DC41" i="3"/>
  <c r="DD41" i="3"/>
  <c r="DE41" i="3"/>
  <c r="DF41" i="3"/>
  <c r="DG41" i="3"/>
  <c r="DH41" i="3"/>
  <c r="DI41" i="3"/>
  <c r="DJ41" i="3"/>
  <c r="DK41" i="3"/>
  <c r="DL41" i="3"/>
  <c r="DM41" i="3"/>
  <c r="DN41" i="3"/>
  <c r="DO41" i="3"/>
  <c r="DP41" i="3"/>
  <c r="DQ41" i="3"/>
  <c r="DR41" i="3"/>
  <c r="DS41" i="3"/>
  <c r="DT41" i="3"/>
  <c r="DU41" i="3"/>
  <c r="DV41" i="3"/>
  <c r="DW41" i="3"/>
  <c r="DX41" i="3"/>
  <c r="DY41" i="3"/>
  <c r="DZ41" i="3"/>
  <c r="EA41" i="3"/>
  <c r="EB41" i="3"/>
  <c r="EC41" i="3"/>
  <c r="ED41" i="3"/>
  <c r="EE41" i="3"/>
  <c r="EF41" i="3"/>
  <c r="EG41" i="3"/>
  <c r="EI41" i="3"/>
  <c r="EJ41" i="3"/>
  <c r="EK41" i="3"/>
  <c r="EL41" i="3"/>
  <c r="EM41" i="3"/>
  <c r="EN41" i="3"/>
  <c r="EO41" i="3"/>
  <c r="EP41" i="3"/>
  <c r="EQ41" i="3"/>
  <c r="ER41" i="3"/>
  <c r="ES41" i="3"/>
  <c r="ET41" i="3"/>
  <c r="EU41" i="3"/>
  <c r="EV41" i="3"/>
  <c r="EW41" i="3"/>
  <c r="EX41" i="3"/>
  <c r="EY41" i="3"/>
  <c r="EZ41" i="3"/>
  <c r="FA41" i="3"/>
  <c r="FB41" i="3"/>
  <c r="FC41" i="3"/>
  <c r="FD41" i="3"/>
  <c r="FE41" i="3"/>
  <c r="FF41" i="3"/>
  <c r="FG41" i="3"/>
  <c r="FH41" i="3"/>
  <c r="FI41" i="3"/>
  <c r="FJ41" i="3"/>
  <c r="FK41" i="3"/>
  <c r="FL41" i="3"/>
  <c r="FM41" i="3"/>
  <c r="FN41" i="3"/>
  <c r="FO41" i="3"/>
  <c r="FP41" i="3"/>
  <c r="FQ41" i="3"/>
  <c r="FR41" i="3"/>
  <c r="FS41" i="3"/>
  <c r="FT41" i="3"/>
  <c r="FU41" i="3"/>
  <c r="FV41" i="3"/>
  <c r="FW41" i="3"/>
  <c r="FX41" i="3"/>
  <c r="FY41" i="3"/>
  <c r="FZ41" i="3"/>
  <c r="GA41" i="3"/>
  <c r="GB41" i="3"/>
  <c r="GC41" i="3"/>
  <c r="GD41" i="3"/>
  <c r="GE41" i="3"/>
  <c r="GF41" i="3"/>
  <c r="GG41" i="3"/>
  <c r="GH41" i="3"/>
  <c r="GI41" i="3"/>
  <c r="GJ41" i="3"/>
  <c r="GK41" i="3"/>
  <c r="GL41" i="3"/>
  <c r="GM41" i="3"/>
  <c r="GN41" i="3"/>
  <c r="GO41" i="3"/>
  <c r="GP41" i="3"/>
  <c r="GQ41" i="3"/>
  <c r="GR41" i="3"/>
  <c r="GS41" i="3"/>
  <c r="GT41" i="3"/>
  <c r="GU41" i="3"/>
  <c r="GV41" i="3"/>
  <c r="GW41" i="3"/>
  <c r="GX41" i="3"/>
  <c r="GY41" i="3"/>
  <c r="GZ41" i="3"/>
  <c r="HA41" i="3"/>
  <c r="HB41" i="3"/>
  <c r="HC41" i="3"/>
  <c r="HD41" i="3"/>
  <c r="HE41" i="3"/>
  <c r="HF41" i="3"/>
  <c r="HG41" i="3"/>
  <c r="HH41" i="3"/>
  <c r="HI41" i="3"/>
  <c r="HJ41" i="3"/>
  <c r="HK41" i="3"/>
  <c r="HL41" i="3"/>
  <c r="HM41" i="3"/>
  <c r="HN41" i="3"/>
  <c r="HO41" i="3"/>
  <c r="HP41" i="3"/>
  <c r="HQ41" i="3"/>
  <c r="HR41" i="3"/>
  <c r="HS41" i="3"/>
  <c r="HT41" i="3"/>
  <c r="HU41" i="3"/>
  <c r="HV41" i="3"/>
  <c r="HW41" i="3"/>
  <c r="HX41" i="3"/>
  <c r="HY41" i="3"/>
  <c r="HZ41" i="3"/>
  <c r="IA41" i="3"/>
  <c r="IB41" i="3"/>
  <c r="IC41" i="3"/>
  <c r="ID41" i="3"/>
  <c r="IE41" i="3"/>
  <c r="IF41" i="3"/>
  <c r="IG41" i="3"/>
  <c r="IH41" i="3"/>
  <c r="II41" i="3"/>
  <c r="IJ41" i="3"/>
  <c r="IK41" i="3"/>
  <c r="IL41" i="3"/>
  <c r="IM41" i="3"/>
  <c r="IN41" i="3"/>
  <c r="IO41" i="3"/>
  <c r="IP41" i="3"/>
  <c r="IQ41" i="3"/>
  <c r="IR41" i="3"/>
  <c r="IS41" i="3"/>
  <c r="IT41" i="3"/>
  <c r="IU41" i="3"/>
  <c r="IV41" i="3"/>
  <c r="IW41" i="3"/>
  <c r="IX41" i="3"/>
  <c r="IY41" i="3"/>
  <c r="IZ41" i="3"/>
  <c r="JA41" i="3"/>
  <c r="JB41" i="3"/>
  <c r="JC41" i="3"/>
  <c r="JD41" i="3"/>
  <c r="JE41" i="3"/>
  <c r="JF41" i="3"/>
  <c r="JG41" i="3"/>
  <c r="JH41" i="3"/>
  <c r="JI41" i="3"/>
  <c r="JJ41" i="3"/>
  <c r="JK41" i="3"/>
  <c r="JL41" i="3"/>
  <c r="JM41" i="3"/>
  <c r="A42" i="3"/>
  <c r="B42" i="3"/>
  <c r="M42" i="3"/>
  <c r="N42" i="3"/>
  <c r="O42" i="3"/>
  <c r="P42" i="3"/>
  <c r="Q42" i="3"/>
  <c r="R42" i="3"/>
  <c r="S42" i="3"/>
  <c r="T42" i="3"/>
  <c r="U42" i="3"/>
  <c r="V42" i="3"/>
  <c r="W42" i="3"/>
  <c r="X42" i="3"/>
  <c r="Y42" i="3"/>
  <c r="Z42" i="3"/>
  <c r="AA42" i="3"/>
  <c r="AB42" i="3"/>
  <c r="AC42" i="3"/>
  <c r="AD42" i="3"/>
  <c r="AE42" i="3"/>
  <c r="AF42" i="3"/>
  <c r="AG42" i="3"/>
  <c r="AH42" i="3"/>
  <c r="AI42" i="3"/>
  <c r="AJ42" i="3"/>
  <c r="AK42" i="3"/>
  <c r="AL42" i="3"/>
  <c r="AM42" i="3"/>
  <c r="AN42" i="3"/>
  <c r="AO42" i="3"/>
  <c r="AP42" i="3"/>
  <c r="AQ42" i="3"/>
  <c r="AR42" i="3"/>
  <c r="AS42" i="3"/>
  <c r="AT42" i="3"/>
  <c r="AU42" i="3"/>
  <c r="AV42" i="3"/>
  <c r="AW42" i="3"/>
  <c r="AX42" i="3"/>
  <c r="AY42" i="3"/>
  <c r="AZ42" i="3"/>
  <c r="BA42" i="3"/>
  <c r="BB42" i="3"/>
  <c r="BC42" i="3"/>
  <c r="BD42" i="3"/>
  <c r="BE42" i="3"/>
  <c r="BF42" i="3"/>
  <c r="BG42" i="3"/>
  <c r="BH42" i="3"/>
  <c r="BI42" i="3"/>
  <c r="BJ42" i="3"/>
  <c r="BK42" i="3"/>
  <c r="BL42" i="3"/>
  <c r="BM42" i="3"/>
  <c r="BN42" i="3"/>
  <c r="BO42" i="3"/>
  <c r="BP42" i="3"/>
  <c r="BQ42" i="3"/>
  <c r="BR42" i="3"/>
  <c r="BS42" i="3"/>
  <c r="BT42" i="3"/>
  <c r="BU42" i="3"/>
  <c r="BV42" i="3"/>
  <c r="BW42" i="3"/>
  <c r="BX42" i="3"/>
  <c r="BY42" i="3"/>
  <c r="BZ42" i="3"/>
  <c r="CA42" i="3"/>
  <c r="CB42" i="3"/>
  <c r="CC42" i="3"/>
  <c r="CD42" i="3"/>
  <c r="CE42" i="3"/>
  <c r="CF42" i="3"/>
  <c r="CG42" i="3"/>
  <c r="CH42" i="3"/>
  <c r="CI42" i="3"/>
  <c r="CJ42" i="3"/>
  <c r="CK42" i="3"/>
  <c r="CL42" i="3"/>
  <c r="CM42" i="3"/>
  <c r="CN42" i="3"/>
  <c r="CO42" i="3"/>
  <c r="CP42" i="3"/>
  <c r="CQ42" i="3"/>
  <c r="CR42" i="3"/>
  <c r="CS42" i="3"/>
  <c r="CT42" i="3"/>
  <c r="CU42" i="3"/>
  <c r="CV42" i="3"/>
  <c r="CW42" i="3"/>
  <c r="CX42" i="3"/>
  <c r="CY42" i="3"/>
  <c r="CZ42" i="3"/>
  <c r="DA42" i="3"/>
  <c r="DB42" i="3"/>
  <c r="DC42" i="3"/>
  <c r="DD42" i="3"/>
  <c r="DE42" i="3"/>
  <c r="DF42" i="3"/>
  <c r="DG42" i="3"/>
  <c r="DH42" i="3"/>
  <c r="DI42" i="3"/>
  <c r="DJ42" i="3"/>
  <c r="DK42" i="3"/>
  <c r="DL42" i="3"/>
  <c r="DM42" i="3"/>
  <c r="DN42" i="3"/>
  <c r="DO42" i="3"/>
  <c r="DP42" i="3"/>
  <c r="DQ42" i="3"/>
  <c r="DR42" i="3"/>
  <c r="DS42" i="3"/>
  <c r="DT42" i="3"/>
  <c r="DU42" i="3"/>
  <c r="DV42" i="3"/>
  <c r="DW42" i="3"/>
  <c r="DX42" i="3"/>
  <c r="DY42" i="3"/>
  <c r="DZ42" i="3"/>
  <c r="EA42" i="3"/>
  <c r="EB42" i="3"/>
  <c r="EC42" i="3"/>
  <c r="ED42" i="3"/>
  <c r="EE42" i="3"/>
  <c r="EF42" i="3"/>
  <c r="EG42" i="3"/>
  <c r="EI42" i="3"/>
  <c r="EJ42" i="3"/>
  <c r="EK42" i="3"/>
  <c r="EL42" i="3"/>
  <c r="EM42" i="3"/>
  <c r="EN42" i="3"/>
  <c r="EO42" i="3"/>
  <c r="EP42" i="3"/>
  <c r="EQ42" i="3"/>
  <c r="ER42" i="3"/>
  <c r="ES42" i="3"/>
  <c r="ET42" i="3"/>
  <c r="EU42" i="3"/>
  <c r="EV42" i="3"/>
  <c r="EW42" i="3"/>
  <c r="EX42" i="3"/>
  <c r="EY42" i="3"/>
  <c r="EZ42" i="3"/>
  <c r="FA42" i="3"/>
  <c r="FB42" i="3"/>
  <c r="FC42" i="3"/>
  <c r="FD42" i="3"/>
  <c r="FE42" i="3"/>
  <c r="FF42" i="3"/>
  <c r="FG42" i="3"/>
  <c r="FH42" i="3"/>
  <c r="FI42" i="3"/>
  <c r="FJ42" i="3"/>
  <c r="FK42" i="3"/>
  <c r="FL42" i="3"/>
  <c r="FM42" i="3"/>
  <c r="FN42" i="3"/>
  <c r="FO42" i="3"/>
  <c r="FP42" i="3"/>
  <c r="FQ42" i="3"/>
  <c r="FR42" i="3"/>
  <c r="FS42" i="3"/>
  <c r="FT42" i="3"/>
  <c r="FU42" i="3"/>
  <c r="FV42" i="3"/>
  <c r="FW42" i="3"/>
  <c r="FX42" i="3"/>
  <c r="FY42" i="3"/>
  <c r="FZ42" i="3"/>
  <c r="GA42" i="3"/>
  <c r="GB42" i="3"/>
  <c r="GC42" i="3"/>
  <c r="GD42" i="3"/>
  <c r="GE42" i="3"/>
  <c r="GF42" i="3"/>
  <c r="GG42" i="3"/>
  <c r="GH42" i="3"/>
  <c r="GI42" i="3"/>
  <c r="GJ42" i="3"/>
  <c r="GK42" i="3"/>
  <c r="GL42" i="3"/>
  <c r="GM42" i="3"/>
  <c r="GN42" i="3"/>
  <c r="GO42" i="3"/>
  <c r="GP42" i="3"/>
  <c r="GQ42" i="3"/>
  <c r="GR42" i="3"/>
  <c r="GS42" i="3"/>
  <c r="GT42" i="3"/>
  <c r="GU42" i="3"/>
  <c r="GV42" i="3"/>
  <c r="GW42" i="3"/>
  <c r="GX42" i="3"/>
  <c r="GY42" i="3"/>
  <c r="GZ42" i="3"/>
  <c r="HA42" i="3"/>
  <c r="HB42" i="3"/>
  <c r="HC42" i="3"/>
  <c r="HD42" i="3"/>
  <c r="HE42" i="3"/>
  <c r="HF42" i="3"/>
  <c r="HG42" i="3"/>
  <c r="HH42" i="3"/>
  <c r="HI42" i="3"/>
  <c r="HJ42" i="3"/>
  <c r="HK42" i="3"/>
  <c r="HL42" i="3"/>
  <c r="HM42" i="3"/>
  <c r="HN42" i="3"/>
  <c r="HO42" i="3"/>
  <c r="HP42" i="3"/>
  <c r="HQ42" i="3"/>
  <c r="HR42" i="3"/>
  <c r="HS42" i="3"/>
  <c r="HT42" i="3"/>
  <c r="HU42" i="3"/>
  <c r="HV42" i="3"/>
  <c r="HW42" i="3"/>
  <c r="HX42" i="3"/>
  <c r="HY42" i="3"/>
  <c r="HZ42" i="3"/>
  <c r="IA42" i="3"/>
  <c r="IB42" i="3"/>
  <c r="IC42" i="3"/>
  <c r="ID42" i="3"/>
  <c r="IE42" i="3"/>
  <c r="IF42" i="3"/>
  <c r="IG42" i="3"/>
  <c r="IH42" i="3"/>
  <c r="II42" i="3"/>
  <c r="IJ42" i="3"/>
  <c r="IK42" i="3"/>
  <c r="IL42" i="3"/>
  <c r="IM42" i="3"/>
  <c r="IN42" i="3"/>
  <c r="IO42" i="3"/>
  <c r="IP42" i="3"/>
  <c r="IQ42" i="3"/>
  <c r="IR42" i="3"/>
  <c r="IS42" i="3"/>
  <c r="IT42" i="3"/>
  <c r="IU42" i="3"/>
  <c r="IV42" i="3"/>
  <c r="IW42" i="3"/>
  <c r="IX42" i="3"/>
  <c r="IY42" i="3"/>
  <c r="IZ42" i="3"/>
  <c r="JA42" i="3"/>
  <c r="JB42" i="3"/>
  <c r="JC42" i="3"/>
  <c r="JD42" i="3"/>
  <c r="JE42" i="3"/>
  <c r="JF42" i="3"/>
  <c r="JG42" i="3"/>
  <c r="JH42" i="3"/>
  <c r="JI42" i="3"/>
  <c r="JJ42" i="3"/>
  <c r="JK42" i="3"/>
  <c r="JL42" i="3"/>
  <c r="JM42" i="3"/>
  <c r="A43" i="3"/>
  <c r="B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AK43" i="3"/>
  <c r="AL43" i="3"/>
  <c r="AM43" i="3"/>
  <c r="AN43" i="3"/>
  <c r="AO43" i="3"/>
  <c r="AP43" i="3"/>
  <c r="AQ43" i="3"/>
  <c r="AR43" i="3"/>
  <c r="AS43" i="3"/>
  <c r="AT43" i="3"/>
  <c r="AU43" i="3"/>
  <c r="AV43" i="3"/>
  <c r="AW43" i="3"/>
  <c r="AX43" i="3"/>
  <c r="AY43" i="3"/>
  <c r="AZ43" i="3"/>
  <c r="BA43" i="3"/>
  <c r="BB43" i="3"/>
  <c r="BC43" i="3"/>
  <c r="BD43" i="3"/>
  <c r="BE43" i="3"/>
  <c r="BF43" i="3"/>
  <c r="BG43" i="3"/>
  <c r="BH43" i="3"/>
  <c r="BI43" i="3"/>
  <c r="BJ43" i="3"/>
  <c r="BK43" i="3"/>
  <c r="BL43" i="3"/>
  <c r="BM43" i="3"/>
  <c r="BN43" i="3"/>
  <c r="BO43" i="3"/>
  <c r="BP43" i="3"/>
  <c r="BQ43" i="3"/>
  <c r="BR43" i="3"/>
  <c r="BS43" i="3"/>
  <c r="BT43" i="3"/>
  <c r="BU43" i="3"/>
  <c r="BV43" i="3"/>
  <c r="BW43" i="3"/>
  <c r="BX43" i="3"/>
  <c r="BY43" i="3"/>
  <c r="BZ43" i="3"/>
  <c r="CA43" i="3"/>
  <c r="CB43" i="3"/>
  <c r="CC43" i="3"/>
  <c r="CD43" i="3"/>
  <c r="CE43" i="3"/>
  <c r="CF43" i="3"/>
  <c r="CG43" i="3"/>
  <c r="CH43" i="3"/>
  <c r="CI43" i="3"/>
  <c r="CJ43" i="3"/>
  <c r="CK43" i="3"/>
  <c r="CL43" i="3"/>
  <c r="CM43" i="3"/>
  <c r="CN43" i="3"/>
  <c r="CO43" i="3"/>
  <c r="CP43" i="3"/>
  <c r="CQ43" i="3"/>
  <c r="CR43" i="3"/>
  <c r="CS43" i="3"/>
  <c r="CT43" i="3"/>
  <c r="CU43" i="3"/>
  <c r="CV43" i="3"/>
  <c r="CW43" i="3"/>
  <c r="CX43" i="3"/>
  <c r="CY43" i="3"/>
  <c r="CZ43" i="3"/>
  <c r="DA43" i="3"/>
  <c r="DB43" i="3"/>
  <c r="DC43" i="3"/>
  <c r="DD43" i="3"/>
  <c r="DE43" i="3"/>
  <c r="DF43" i="3"/>
  <c r="DG43" i="3"/>
  <c r="DH43" i="3"/>
  <c r="DI43" i="3"/>
  <c r="DJ43" i="3"/>
  <c r="DK43" i="3"/>
  <c r="DL43" i="3"/>
  <c r="DM43" i="3"/>
  <c r="DN43" i="3"/>
  <c r="DO43" i="3"/>
  <c r="DP43" i="3"/>
  <c r="DQ43" i="3"/>
  <c r="DR43" i="3"/>
  <c r="DS43" i="3"/>
  <c r="DT43" i="3"/>
  <c r="DU43" i="3"/>
  <c r="DV43" i="3"/>
  <c r="DW43" i="3"/>
  <c r="DX43" i="3"/>
  <c r="DY43" i="3"/>
  <c r="DZ43" i="3"/>
  <c r="EA43" i="3"/>
  <c r="EB43" i="3"/>
  <c r="EC43" i="3"/>
  <c r="ED43" i="3"/>
  <c r="EE43" i="3"/>
  <c r="EF43" i="3"/>
  <c r="EG43" i="3"/>
  <c r="EI43" i="3"/>
  <c r="EJ43" i="3"/>
  <c r="EK43" i="3"/>
  <c r="EL43" i="3"/>
  <c r="EM43" i="3"/>
  <c r="EN43" i="3"/>
  <c r="EO43" i="3"/>
  <c r="EP43" i="3"/>
  <c r="EQ43" i="3"/>
  <c r="ER43" i="3"/>
  <c r="ES43" i="3"/>
  <c r="ET43" i="3"/>
  <c r="EU43" i="3"/>
  <c r="EV43" i="3"/>
  <c r="EW43" i="3"/>
  <c r="EX43" i="3"/>
  <c r="EY43" i="3"/>
  <c r="EZ43" i="3"/>
  <c r="FA43" i="3"/>
  <c r="FB43" i="3"/>
  <c r="FC43" i="3"/>
  <c r="FD43" i="3"/>
  <c r="FE43" i="3"/>
  <c r="FF43" i="3"/>
  <c r="FG43" i="3"/>
  <c r="FH43" i="3"/>
  <c r="FI43" i="3"/>
  <c r="FJ43" i="3"/>
  <c r="FK43" i="3"/>
  <c r="FL43" i="3"/>
  <c r="FM43" i="3"/>
  <c r="FN43" i="3"/>
  <c r="FO43" i="3"/>
  <c r="FP43" i="3"/>
  <c r="FQ43" i="3"/>
  <c r="FR43" i="3"/>
  <c r="FS43" i="3"/>
  <c r="FT43" i="3"/>
  <c r="FU43" i="3"/>
  <c r="FV43" i="3"/>
  <c r="FW43" i="3"/>
  <c r="FX43" i="3"/>
  <c r="FY43" i="3"/>
  <c r="FZ43" i="3"/>
  <c r="GA43" i="3"/>
  <c r="GB43" i="3"/>
  <c r="GC43" i="3"/>
  <c r="GD43" i="3"/>
  <c r="GE43" i="3"/>
  <c r="GF43" i="3"/>
  <c r="GG43" i="3"/>
  <c r="GH43" i="3"/>
  <c r="GI43" i="3"/>
  <c r="GJ43" i="3"/>
  <c r="GK43" i="3"/>
  <c r="GL43" i="3"/>
  <c r="GM43" i="3"/>
  <c r="GN43" i="3"/>
  <c r="GO43" i="3"/>
  <c r="GP43" i="3"/>
  <c r="GQ43" i="3"/>
  <c r="GR43" i="3"/>
  <c r="GS43" i="3"/>
  <c r="GT43" i="3"/>
  <c r="GU43" i="3"/>
  <c r="GV43" i="3"/>
  <c r="GW43" i="3"/>
  <c r="GX43" i="3"/>
  <c r="GY43" i="3"/>
  <c r="GZ43" i="3"/>
  <c r="HA43" i="3"/>
  <c r="HB43" i="3"/>
  <c r="HC43" i="3"/>
  <c r="HD43" i="3"/>
  <c r="HE43" i="3"/>
  <c r="HF43" i="3"/>
  <c r="HG43" i="3"/>
  <c r="HH43" i="3"/>
  <c r="HI43" i="3"/>
  <c r="HJ43" i="3"/>
  <c r="HK43" i="3"/>
  <c r="HL43" i="3"/>
  <c r="HM43" i="3"/>
  <c r="HN43" i="3"/>
  <c r="HO43" i="3"/>
  <c r="HP43" i="3"/>
  <c r="HQ43" i="3"/>
  <c r="HR43" i="3"/>
  <c r="HS43" i="3"/>
  <c r="HT43" i="3"/>
  <c r="HU43" i="3"/>
  <c r="HV43" i="3"/>
  <c r="HW43" i="3"/>
  <c r="HX43" i="3"/>
  <c r="HY43" i="3"/>
  <c r="HZ43" i="3"/>
  <c r="IA43" i="3"/>
  <c r="IB43" i="3"/>
  <c r="IC43" i="3"/>
  <c r="ID43" i="3"/>
  <c r="IE43" i="3"/>
  <c r="IF43" i="3"/>
  <c r="IG43" i="3"/>
  <c r="IH43" i="3"/>
  <c r="II43" i="3"/>
  <c r="IJ43" i="3"/>
  <c r="IK43" i="3"/>
  <c r="IL43" i="3"/>
  <c r="IM43" i="3"/>
  <c r="IN43" i="3"/>
  <c r="IO43" i="3"/>
  <c r="IP43" i="3"/>
  <c r="IQ43" i="3"/>
  <c r="IR43" i="3"/>
  <c r="IS43" i="3"/>
  <c r="IT43" i="3"/>
  <c r="IU43" i="3"/>
  <c r="IV43" i="3"/>
  <c r="IW43" i="3"/>
  <c r="IX43" i="3"/>
  <c r="IY43" i="3"/>
  <c r="IZ43" i="3"/>
  <c r="JA43" i="3"/>
  <c r="JB43" i="3"/>
  <c r="JC43" i="3"/>
  <c r="JD43" i="3"/>
  <c r="JE43" i="3"/>
  <c r="JF43" i="3"/>
  <c r="JG43" i="3"/>
  <c r="JH43" i="3"/>
  <c r="JI43" i="3"/>
  <c r="JJ43" i="3"/>
  <c r="JK43" i="3"/>
  <c r="JL43" i="3"/>
  <c r="JM43" i="3"/>
  <c r="A44" i="3"/>
  <c r="B44" i="3"/>
  <c r="O44" i="3"/>
  <c r="P44" i="3"/>
  <c r="Q44" i="3"/>
  <c r="R44" i="3"/>
  <c r="S44" i="3"/>
  <c r="T44" i="3"/>
  <c r="U44" i="3"/>
  <c r="V44" i="3"/>
  <c r="W44" i="3"/>
  <c r="X44" i="3"/>
  <c r="Y44" i="3"/>
  <c r="Z44" i="3"/>
  <c r="AA44" i="3"/>
  <c r="AB44" i="3"/>
  <c r="AC44" i="3"/>
  <c r="AD44" i="3"/>
  <c r="AE44" i="3"/>
  <c r="AF44" i="3"/>
  <c r="AG44" i="3"/>
  <c r="AH44" i="3"/>
  <c r="AI44" i="3"/>
  <c r="AJ44" i="3"/>
  <c r="AK44" i="3"/>
  <c r="AL44" i="3"/>
  <c r="AM44" i="3"/>
  <c r="AN44" i="3"/>
  <c r="AO44" i="3"/>
  <c r="AP44" i="3"/>
  <c r="AQ44" i="3"/>
  <c r="AR44" i="3"/>
  <c r="AS44" i="3"/>
  <c r="AT44" i="3"/>
  <c r="AU44" i="3"/>
  <c r="AV44" i="3"/>
  <c r="AW44" i="3"/>
  <c r="AX44" i="3"/>
  <c r="AY44" i="3"/>
  <c r="AZ44" i="3"/>
  <c r="BA44" i="3"/>
  <c r="BB44" i="3"/>
  <c r="BC44" i="3"/>
  <c r="BD44" i="3"/>
  <c r="BE44" i="3"/>
  <c r="BF44" i="3"/>
  <c r="BG44" i="3"/>
  <c r="BH44" i="3"/>
  <c r="BI44" i="3"/>
  <c r="BJ44" i="3"/>
  <c r="BK44" i="3"/>
  <c r="BL44" i="3"/>
  <c r="BM44" i="3"/>
  <c r="BN44" i="3"/>
  <c r="BO44" i="3"/>
  <c r="BP44" i="3"/>
  <c r="BQ44" i="3"/>
  <c r="BR44" i="3"/>
  <c r="BS44" i="3"/>
  <c r="BT44" i="3"/>
  <c r="BU44" i="3"/>
  <c r="BV44" i="3"/>
  <c r="BW44" i="3"/>
  <c r="BX44" i="3"/>
  <c r="BY44" i="3"/>
  <c r="BZ44" i="3"/>
  <c r="CA44" i="3"/>
  <c r="CB44" i="3"/>
  <c r="CC44" i="3"/>
  <c r="CD44" i="3"/>
  <c r="CE44" i="3"/>
  <c r="CF44" i="3"/>
  <c r="CG44" i="3"/>
  <c r="CH44" i="3"/>
  <c r="CI44" i="3"/>
  <c r="CJ44" i="3"/>
  <c r="CK44" i="3"/>
  <c r="CL44" i="3"/>
  <c r="CM44" i="3"/>
  <c r="CN44" i="3"/>
  <c r="CO44" i="3"/>
  <c r="CP44" i="3"/>
  <c r="CQ44" i="3"/>
  <c r="CR44" i="3"/>
  <c r="CS44" i="3"/>
  <c r="CT44" i="3"/>
  <c r="CU44" i="3"/>
  <c r="CV44" i="3"/>
  <c r="CW44" i="3"/>
  <c r="CX44" i="3"/>
  <c r="CY44" i="3"/>
  <c r="CZ44" i="3"/>
  <c r="DA44" i="3"/>
  <c r="DB44" i="3"/>
  <c r="DC44" i="3"/>
  <c r="DD44" i="3"/>
  <c r="DE44" i="3"/>
  <c r="DF44" i="3"/>
  <c r="DG44" i="3"/>
  <c r="DH44" i="3"/>
  <c r="DI44" i="3"/>
  <c r="DJ44" i="3"/>
  <c r="DK44" i="3"/>
  <c r="DL44" i="3"/>
  <c r="DM44" i="3"/>
  <c r="DN44" i="3"/>
  <c r="DO44" i="3"/>
  <c r="DP44" i="3"/>
  <c r="DQ44" i="3"/>
  <c r="DR44" i="3"/>
  <c r="DS44" i="3"/>
  <c r="DT44" i="3"/>
  <c r="DU44" i="3"/>
  <c r="DV44" i="3"/>
  <c r="DW44" i="3"/>
  <c r="DX44" i="3"/>
  <c r="DY44" i="3"/>
  <c r="DZ44" i="3"/>
  <c r="EA44" i="3"/>
  <c r="EB44" i="3"/>
  <c r="EC44" i="3"/>
  <c r="ED44" i="3"/>
  <c r="EE44" i="3"/>
  <c r="EF44" i="3"/>
  <c r="EG44" i="3"/>
  <c r="EI44" i="3"/>
  <c r="EJ44" i="3"/>
  <c r="EK44" i="3"/>
  <c r="EL44" i="3"/>
  <c r="EM44" i="3"/>
  <c r="EN44" i="3"/>
  <c r="EO44" i="3"/>
  <c r="EP44" i="3"/>
  <c r="EQ44" i="3"/>
  <c r="ER44" i="3"/>
  <c r="ES44" i="3"/>
  <c r="ET44" i="3"/>
  <c r="EU44" i="3"/>
  <c r="EV44" i="3"/>
  <c r="EW44" i="3"/>
  <c r="EX44" i="3"/>
  <c r="EY44" i="3"/>
  <c r="EZ44" i="3"/>
  <c r="FA44" i="3"/>
  <c r="FB44" i="3"/>
  <c r="FC44" i="3"/>
  <c r="FD44" i="3"/>
  <c r="FE44" i="3"/>
  <c r="FF44" i="3"/>
  <c r="FG44" i="3"/>
  <c r="FH44" i="3"/>
  <c r="FI44" i="3"/>
  <c r="FJ44" i="3"/>
  <c r="FK44" i="3"/>
  <c r="FL44" i="3"/>
  <c r="FM44" i="3"/>
  <c r="FN44" i="3"/>
  <c r="FO44" i="3"/>
  <c r="FP44" i="3"/>
  <c r="FQ44" i="3"/>
  <c r="FR44" i="3"/>
  <c r="FS44" i="3"/>
  <c r="FT44" i="3"/>
  <c r="FU44" i="3"/>
  <c r="FV44" i="3"/>
  <c r="FW44" i="3"/>
  <c r="FX44" i="3"/>
  <c r="FY44" i="3"/>
  <c r="FZ44" i="3"/>
  <c r="GA44" i="3"/>
  <c r="GB44" i="3"/>
  <c r="GC44" i="3"/>
  <c r="GD44" i="3"/>
  <c r="GE44" i="3"/>
  <c r="GF44" i="3"/>
  <c r="GG44" i="3"/>
  <c r="GH44" i="3"/>
  <c r="GI44" i="3"/>
  <c r="GJ44" i="3"/>
  <c r="GK44" i="3"/>
  <c r="GL44" i="3"/>
  <c r="GM44" i="3"/>
  <c r="GN44" i="3"/>
  <c r="GO44" i="3"/>
  <c r="GP44" i="3"/>
  <c r="GQ44" i="3"/>
  <c r="GR44" i="3"/>
  <c r="GS44" i="3"/>
  <c r="GT44" i="3"/>
  <c r="GU44" i="3"/>
  <c r="GV44" i="3"/>
  <c r="GW44" i="3"/>
  <c r="GX44" i="3"/>
  <c r="GY44" i="3"/>
  <c r="GZ44" i="3"/>
  <c r="HA44" i="3"/>
  <c r="HB44" i="3"/>
  <c r="HC44" i="3"/>
  <c r="HD44" i="3"/>
  <c r="HE44" i="3"/>
  <c r="HF44" i="3"/>
  <c r="HG44" i="3"/>
  <c r="HH44" i="3"/>
  <c r="HI44" i="3"/>
  <c r="HJ44" i="3"/>
  <c r="HK44" i="3"/>
  <c r="HL44" i="3"/>
  <c r="HM44" i="3"/>
  <c r="HN44" i="3"/>
  <c r="HO44" i="3"/>
  <c r="HP44" i="3"/>
  <c r="HQ44" i="3"/>
  <c r="HR44" i="3"/>
  <c r="HS44" i="3"/>
  <c r="HT44" i="3"/>
  <c r="HU44" i="3"/>
  <c r="HV44" i="3"/>
  <c r="HW44" i="3"/>
  <c r="HX44" i="3"/>
  <c r="HY44" i="3"/>
  <c r="HZ44" i="3"/>
  <c r="IA44" i="3"/>
  <c r="IB44" i="3"/>
  <c r="IC44" i="3"/>
  <c r="ID44" i="3"/>
  <c r="IE44" i="3"/>
  <c r="IF44" i="3"/>
  <c r="IG44" i="3"/>
  <c r="IH44" i="3"/>
  <c r="II44" i="3"/>
  <c r="IJ44" i="3"/>
  <c r="IK44" i="3"/>
  <c r="IL44" i="3"/>
  <c r="IM44" i="3"/>
  <c r="IN44" i="3"/>
  <c r="IO44" i="3"/>
  <c r="IP44" i="3"/>
  <c r="IQ44" i="3"/>
  <c r="IR44" i="3"/>
  <c r="IS44" i="3"/>
  <c r="IT44" i="3"/>
  <c r="IU44" i="3"/>
  <c r="IV44" i="3"/>
  <c r="IW44" i="3"/>
  <c r="IX44" i="3"/>
  <c r="IY44" i="3"/>
  <c r="IZ44" i="3"/>
  <c r="JA44" i="3"/>
  <c r="JB44" i="3"/>
  <c r="JC44" i="3"/>
  <c r="JD44" i="3"/>
  <c r="JE44" i="3"/>
  <c r="JF44" i="3"/>
  <c r="JG44" i="3"/>
  <c r="JH44" i="3"/>
  <c r="JI44" i="3"/>
  <c r="JJ44" i="3"/>
  <c r="JK44" i="3"/>
  <c r="JL44" i="3"/>
  <c r="JM44" i="3"/>
  <c r="A45" i="3"/>
  <c r="B45" i="3"/>
  <c r="H45" i="3"/>
  <c r="I45" i="3"/>
  <c r="J45" i="3"/>
  <c r="K45" i="3"/>
  <c r="L45" i="3"/>
  <c r="M45" i="3"/>
  <c r="N45" i="3"/>
  <c r="O45" i="3"/>
  <c r="P45" i="3"/>
  <c r="Q45" i="3"/>
  <c r="R45" i="3"/>
  <c r="S45" i="3"/>
  <c r="T45" i="3"/>
  <c r="U45" i="3"/>
  <c r="V45" i="3"/>
  <c r="W45" i="3"/>
  <c r="X45" i="3"/>
  <c r="Y45" i="3"/>
  <c r="Z45" i="3"/>
  <c r="AA45" i="3"/>
  <c r="AB45" i="3"/>
  <c r="AC45" i="3"/>
  <c r="AD45" i="3"/>
  <c r="AE45" i="3"/>
  <c r="AF45" i="3"/>
  <c r="AG45" i="3"/>
  <c r="AH45" i="3"/>
  <c r="AI45" i="3"/>
  <c r="AJ45" i="3"/>
  <c r="AK45" i="3"/>
  <c r="AL45" i="3"/>
  <c r="AM45" i="3"/>
  <c r="AN45" i="3"/>
  <c r="AO45" i="3"/>
  <c r="AP45" i="3"/>
  <c r="AQ45" i="3"/>
  <c r="AR45" i="3"/>
  <c r="AS45" i="3"/>
  <c r="AT45" i="3"/>
  <c r="AU45" i="3"/>
  <c r="AV45" i="3"/>
  <c r="AW45" i="3"/>
  <c r="AX45" i="3"/>
  <c r="AY45" i="3"/>
  <c r="AZ45" i="3"/>
  <c r="BA45" i="3"/>
  <c r="BB45" i="3"/>
  <c r="BC45" i="3"/>
  <c r="BD45" i="3"/>
  <c r="BE45" i="3"/>
  <c r="BF45" i="3"/>
  <c r="BG45" i="3"/>
  <c r="BH45" i="3"/>
  <c r="BI45" i="3"/>
  <c r="BJ45" i="3"/>
  <c r="BK45" i="3"/>
  <c r="BL45" i="3"/>
  <c r="BM45" i="3"/>
  <c r="BN45" i="3"/>
  <c r="BO45" i="3"/>
  <c r="BP45" i="3"/>
  <c r="BQ45" i="3"/>
  <c r="A36" i="3"/>
  <c r="B36" i="3"/>
  <c r="C36"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P36" i="3"/>
  <c r="AQ36" i="3"/>
  <c r="AR36" i="3"/>
  <c r="AS36" i="3"/>
  <c r="AT36" i="3"/>
  <c r="AU36" i="3"/>
  <c r="AV36" i="3"/>
  <c r="AW36" i="3"/>
  <c r="AX36" i="3"/>
  <c r="AY36" i="3"/>
  <c r="AZ36" i="3"/>
  <c r="BA36" i="3"/>
  <c r="BB36" i="3"/>
  <c r="BC36" i="3"/>
  <c r="BD36" i="3"/>
  <c r="BE36" i="3"/>
  <c r="BF36" i="3"/>
  <c r="BG36" i="3"/>
  <c r="BH36" i="3"/>
  <c r="BI36" i="3"/>
  <c r="BJ36" i="3"/>
  <c r="BK36" i="3"/>
  <c r="BL36" i="3"/>
  <c r="BM36" i="3"/>
  <c r="BN36" i="3"/>
  <c r="BO36" i="3"/>
  <c r="BP36" i="3"/>
  <c r="BQ36" i="3"/>
  <c r="BR36" i="3"/>
  <c r="BS36" i="3"/>
  <c r="BT36" i="3"/>
  <c r="BU36" i="3"/>
  <c r="BV36" i="3"/>
  <c r="BW36" i="3"/>
  <c r="BX36" i="3"/>
  <c r="BY36" i="3"/>
  <c r="BZ36" i="3"/>
  <c r="CA36" i="3"/>
  <c r="CB36" i="3"/>
  <c r="CC36" i="3"/>
  <c r="CD36" i="3"/>
  <c r="CE36" i="3"/>
  <c r="CF36" i="3"/>
  <c r="CG36" i="3"/>
  <c r="CH36" i="3"/>
  <c r="CI36" i="3"/>
  <c r="CJ36" i="3"/>
  <c r="CK36" i="3"/>
  <c r="CL36" i="3"/>
  <c r="CM36" i="3"/>
  <c r="CN36" i="3"/>
  <c r="CO36" i="3"/>
  <c r="CP36" i="3"/>
  <c r="CQ36" i="3"/>
  <c r="CR36" i="3"/>
  <c r="CS36" i="3"/>
  <c r="CT36" i="3"/>
  <c r="CU36" i="3"/>
  <c r="CV36" i="3"/>
  <c r="CW36" i="3"/>
  <c r="CX36" i="3"/>
  <c r="CY36" i="3"/>
  <c r="CZ36" i="3"/>
  <c r="DA36" i="3"/>
  <c r="DB36" i="3"/>
  <c r="DC36" i="3"/>
  <c r="DD36" i="3"/>
  <c r="DE36" i="3"/>
  <c r="DF36" i="3"/>
  <c r="DG36" i="3"/>
  <c r="DH36" i="3"/>
  <c r="DI36" i="3"/>
  <c r="DJ36" i="3"/>
  <c r="DK36" i="3"/>
  <c r="DL36" i="3"/>
  <c r="DM36" i="3"/>
  <c r="DN36" i="3"/>
  <c r="DO36" i="3"/>
  <c r="DP36" i="3"/>
  <c r="DQ36" i="3"/>
  <c r="DR36" i="3"/>
  <c r="DS36" i="3"/>
  <c r="DT36" i="3"/>
  <c r="DU36" i="3"/>
  <c r="DV36" i="3"/>
  <c r="DW36" i="3"/>
  <c r="DX36" i="3"/>
  <c r="DY36" i="3"/>
  <c r="DZ36" i="3"/>
  <c r="EA36" i="3"/>
  <c r="EB36" i="3"/>
  <c r="EC36" i="3"/>
  <c r="ED36" i="3"/>
  <c r="EE36" i="3"/>
  <c r="EF36" i="3"/>
  <c r="EG36" i="3"/>
  <c r="EI36" i="3"/>
  <c r="EJ36" i="3"/>
  <c r="EK36" i="3"/>
  <c r="EL36" i="3"/>
  <c r="EM36" i="3"/>
  <c r="EN36" i="3"/>
  <c r="EO36" i="3"/>
  <c r="EP36" i="3"/>
  <c r="EQ36" i="3"/>
  <c r="ER36" i="3"/>
  <c r="ES36" i="3"/>
  <c r="ET36" i="3"/>
  <c r="EU36" i="3"/>
  <c r="EV36" i="3"/>
  <c r="EW36" i="3"/>
  <c r="EX36" i="3"/>
  <c r="EY36" i="3"/>
  <c r="EZ36" i="3"/>
  <c r="FA36" i="3"/>
  <c r="FB36" i="3"/>
  <c r="FC36" i="3"/>
  <c r="FD36" i="3"/>
  <c r="FE36" i="3"/>
  <c r="FF36" i="3"/>
  <c r="FG36" i="3"/>
  <c r="FH36" i="3"/>
  <c r="FI36" i="3"/>
  <c r="FJ36" i="3"/>
  <c r="FK36" i="3"/>
  <c r="FL36" i="3"/>
  <c r="FM36" i="3"/>
  <c r="FN36" i="3"/>
  <c r="FO36" i="3"/>
  <c r="FP36" i="3"/>
  <c r="FQ36" i="3"/>
  <c r="FR36" i="3"/>
  <c r="FS36" i="3"/>
  <c r="FT36" i="3"/>
  <c r="FU36" i="3"/>
  <c r="FV36" i="3"/>
  <c r="FW36" i="3"/>
  <c r="FX36" i="3"/>
  <c r="FY36" i="3"/>
  <c r="FZ36" i="3"/>
  <c r="GA36" i="3"/>
  <c r="GB36" i="3"/>
  <c r="GC36" i="3"/>
  <c r="GD36" i="3"/>
  <c r="GE36" i="3"/>
  <c r="GF36" i="3"/>
  <c r="GG36" i="3"/>
  <c r="GH36" i="3"/>
  <c r="GI36" i="3"/>
  <c r="GJ36" i="3"/>
  <c r="GK36" i="3"/>
  <c r="GL36" i="3"/>
  <c r="GM36" i="3"/>
  <c r="GN36" i="3"/>
  <c r="GO36" i="3"/>
  <c r="GP36" i="3"/>
  <c r="GQ36" i="3"/>
  <c r="GR36" i="3"/>
  <c r="GS36" i="3"/>
  <c r="GT36" i="3"/>
  <c r="GU36" i="3"/>
  <c r="GV36" i="3"/>
  <c r="GW36" i="3"/>
  <c r="GX36" i="3"/>
  <c r="GY36" i="3"/>
  <c r="GZ36" i="3"/>
  <c r="HA36" i="3"/>
  <c r="HB36" i="3"/>
  <c r="HC36" i="3"/>
  <c r="HD36" i="3"/>
  <c r="HE36" i="3"/>
  <c r="HF36" i="3"/>
  <c r="HG36" i="3"/>
  <c r="HH36" i="3"/>
  <c r="HI36" i="3"/>
  <c r="HJ36" i="3"/>
  <c r="HK36" i="3"/>
  <c r="HL36" i="3"/>
  <c r="HM36" i="3"/>
  <c r="HN36" i="3"/>
  <c r="HO36" i="3"/>
  <c r="HP36" i="3"/>
  <c r="HQ36" i="3"/>
  <c r="HR36" i="3"/>
  <c r="HS36" i="3"/>
  <c r="HT36" i="3"/>
  <c r="HU36" i="3"/>
  <c r="HV36" i="3"/>
  <c r="HW36" i="3"/>
  <c r="HX36" i="3"/>
  <c r="HY36" i="3"/>
  <c r="HZ36" i="3"/>
  <c r="IA36" i="3"/>
  <c r="IB36" i="3"/>
  <c r="IC36" i="3"/>
  <c r="ID36" i="3"/>
  <c r="IE36" i="3"/>
  <c r="IF36" i="3"/>
  <c r="IG36" i="3"/>
  <c r="IH36" i="3"/>
  <c r="II36" i="3"/>
  <c r="IJ36" i="3"/>
  <c r="IK36" i="3"/>
  <c r="IL36" i="3"/>
  <c r="IM36" i="3"/>
  <c r="IN36" i="3"/>
  <c r="IO36" i="3"/>
  <c r="IP36" i="3"/>
  <c r="IQ36" i="3"/>
  <c r="IR36" i="3"/>
  <c r="IS36" i="3"/>
  <c r="IT36" i="3"/>
  <c r="IU36" i="3"/>
  <c r="IV36" i="3"/>
  <c r="IW36" i="3"/>
  <c r="IX36" i="3"/>
  <c r="IY36" i="3"/>
  <c r="IZ36" i="3"/>
  <c r="JA36" i="3"/>
  <c r="JB36" i="3"/>
  <c r="JC36" i="3"/>
  <c r="JD36" i="3"/>
  <c r="JE36" i="3"/>
  <c r="JF36" i="3"/>
  <c r="JG36" i="3"/>
  <c r="JH36" i="3"/>
  <c r="JI36" i="3"/>
  <c r="JJ36" i="3"/>
  <c r="JK36" i="3"/>
  <c r="JL36" i="3"/>
  <c r="JM36" i="3"/>
  <c r="A37" i="3"/>
  <c r="B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O37" i="3"/>
  <c r="AP37" i="3"/>
  <c r="AQ37" i="3"/>
  <c r="AR37" i="3"/>
  <c r="AS37" i="3"/>
  <c r="AT37" i="3"/>
  <c r="AU37" i="3"/>
  <c r="AV37" i="3"/>
  <c r="AW37" i="3"/>
  <c r="AX37" i="3"/>
  <c r="AY37" i="3"/>
  <c r="AZ37" i="3"/>
  <c r="BA37" i="3"/>
  <c r="BB37" i="3"/>
  <c r="BC37" i="3"/>
  <c r="BD37" i="3"/>
  <c r="BE37" i="3"/>
  <c r="BF37" i="3"/>
  <c r="BG37" i="3"/>
  <c r="BH37" i="3"/>
  <c r="BI37" i="3"/>
  <c r="BJ37" i="3"/>
  <c r="BK37" i="3"/>
  <c r="BL37" i="3"/>
  <c r="BM37" i="3"/>
  <c r="BN37" i="3"/>
  <c r="BO37" i="3"/>
  <c r="BP37" i="3"/>
  <c r="BQ37" i="3"/>
  <c r="BR37" i="3"/>
  <c r="BS37" i="3"/>
  <c r="BT37" i="3"/>
  <c r="BU37" i="3"/>
  <c r="BV37" i="3"/>
  <c r="BW37" i="3"/>
  <c r="BX37" i="3"/>
  <c r="BY37" i="3"/>
  <c r="BZ37" i="3"/>
  <c r="CA37" i="3"/>
  <c r="CB37" i="3"/>
  <c r="CC37" i="3"/>
  <c r="CD37" i="3"/>
  <c r="CE37" i="3"/>
  <c r="CF37" i="3"/>
  <c r="CG37" i="3"/>
  <c r="CH37" i="3"/>
  <c r="CI37" i="3"/>
  <c r="CJ37" i="3"/>
  <c r="CK37" i="3"/>
  <c r="CL37" i="3"/>
  <c r="CM37" i="3"/>
  <c r="CN37" i="3"/>
  <c r="CO37" i="3"/>
  <c r="CP37" i="3"/>
  <c r="CQ37" i="3"/>
  <c r="CR37" i="3"/>
  <c r="CS37" i="3"/>
  <c r="CT37" i="3"/>
  <c r="CU37" i="3"/>
  <c r="CV37" i="3"/>
  <c r="CW37" i="3"/>
  <c r="CX37" i="3"/>
  <c r="CY37" i="3"/>
  <c r="CZ37" i="3"/>
  <c r="DA37" i="3"/>
  <c r="DB37" i="3"/>
  <c r="DC37" i="3"/>
  <c r="DD37" i="3"/>
  <c r="DE37" i="3"/>
  <c r="DF37" i="3"/>
  <c r="DG37" i="3"/>
  <c r="DH37" i="3"/>
  <c r="DI37" i="3"/>
  <c r="DJ37" i="3"/>
  <c r="DK37" i="3"/>
  <c r="DL37" i="3"/>
  <c r="DM37" i="3"/>
  <c r="DN37" i="3"/>
  <c r="DO37" i="3"/>
  <c r="DP37" i="3"/>
  <c r="DQ37" i="3"/>
  <c r="DR37" i="3"/>
  <c r="DS37" i="3"/>
  <c r="DT37" i="3"/>
  <c r="DU37" i="3"/>
  <c r="DV37" i="3"/>
  <c r="DW37" i="3"/>
  <c r="DX37" i="3"/>
  <c r="DY37" i="3"/>
  <c r="DZ37" i="3"/>
  <c r="EA37" i="3"/>
  <c r="EB37" i="3"/>
  <c r="EC37" i="3"/>
  <c r="ED37" i="3"/>
  <c r="EE37" i="3"/>
  <c r="EF37" i="3"/>
  <c r="EG37" i="3"/>
  <c r="EI37" i="3"/>
  <c r="EJ37" i="3"/>
  <c r="EK37" i="3"/>
  <c r="EL37" i="3"/>
  <c r="EM37" i="3"/>
  <c r="EN37" i="3"/>
  <c r="EO37" i="3"/>
  <c r="EP37" i="3"/>
  <c r="EQ37" i="3"/>
  <c r="ER37" i="3"/>
  <c r="ES37" i="3"/>
  <c r="ET37" i="3"/>
  <c r="EU37" i="3"/>
  <c r="EV37" i="3"/>
  <c r="EW37" i="3"/>
  <c r="EX37" i="3"/>
  <c r="EY37" i="3"/>
  <c r="EZ37" i="3"/>
  <c r="FA37" i="3"/>
  <c r="FB37" i="3"/>
  <c r="FC37" i="3"/>
  <c r="FD37" i="3"/>
  <c r="FE37" i="3"/>
  <c r="FF37" i="3"/>
  <c r="FG37" i="3"/>
  <c r="FH37" i="3"/>
  <c r="FI37" i="3"/>
  <c r="FJ37" i="3"/>
  <c r="FK37" i="3"/>
  <c r="FL37" i="3"/>
  <c r="FM37" i="3"/>
  <c r="FN37" i="3"/>
  <c r="FO37" i="3"/>
  <c r="FP37" i="3"/>
  <c r="FQ37" i="3"/>
  <c r="FR37" i="3"/>
  <c r="FS37" i="3"/>
  <c r="FT37" i="3"/>
  <c r="FU37" i="3"/>
  <c r="FV37" i="3"/>
  <c r="FW37" i="3"/>
  <c r="FX37" i="3"/>
  <c r="FY37" i="3"/>
  <c r="FZ37" i="3"/>
  <c r="GA37" i="3"/>
  <c r="GB37" i="3"/>
  <c r="GC37" i="3"/>
  <c r="GD37" i="3"/>
  <c r="GE37" i="3"/>
  <c r="GF37" i="3"/>
  <c r="GG37" i="3"/>
  <c r="GH37" i="3"/>
  <c r="GI37" i="3"/>
  <c r="GJ37" i="3"/>
  <c r="GK37" i="3"/>
  <c r="GL37" i="3"/>
  <c r="GM37" i="3"/>
  <c r="GN37" i="3"/>
  <c r="GO37" i="3"/>
  <c r="GP37" i="3"/>
  <c r="GQ37" i="3"/>
  <c r="GR37" i="3"/>
  <c r="GS37" i="3"/>
  <c r="GT37" i="3"/>
  <c r="GU37" i="3"/>
  <c r="GV37" i="3"/>
  <c r="GW37" i="3"/>
  <c r="GX37" i="3"/>
  <c r="GY37" i="3"/>
  <c r="GZ37" i="3"/>
  <c r="HA37" i="3"/>
  <c r="HB37" i="3"/>
  <c r="HC37" i="3"/>
  <c r="HD37" i="3"/>
  <c r="HE37" i="3"/>
  <c r="HF37" i="3"/>
  <c r="HG37" i="3"/>
  <c r="HH37" i="3"/>
  <c r="HI37" i="3"/>
  <c r="HJ37" i="3"/>
  <c r="HK37" i="3"/>
  <c r="HL37" i="3"/>
  <c r="HM37" i="3"/>
  <c r="HN37" i="3"/>
  <c r="HO37" i="3"/>
  <c r="HP37" i="3"/>
  <c r="HQ37" i="3"/>
  <c r="HR37" i="3"/>
  <c r="HS37" i="3"/>
  <c r="HT37" i="3"/>
  <c r="HU37" i="3"/>
  <c r="HV37" i="3"/>
  <c r="HW37" i="3"/>
  <c r="HX37" i="3"/>
  <c r="HY37" i="3"/>
  <c r="HZ37" i="3"/>
  <c r="IA37" i="3"/>
  <c r="IB37" i="3"/>
  <c r="IC37" i="3"/>
  <c r="ID37" i="3"/>
  <c r="IE37" i="3"/>
  <c r="IF37" i="3"/>
  <c r="IG37" i="3"/>
  <c r="IH37" i="3"/>
  <c r="II37" i="3"/>
  <c r="IJ37" i="3"/>
  <c r="IK37" i="3"/>
  <c r="IL37" i="3"/>
  <c r="IM37" i="3"/>
  <c r="IN37" i="3"/>
  <c r="IO37" i="3"/>
  <c r="IP37" i="3"/>
  <c r="IQ37" i="3"/>
  <c r="IR37" i="3"/>
  <c r="IS37" i="3"/>
  <c r="IT37" i="3"/>
  <c r="IU37" i="3"/>
  <c r="IV37" i="3"/>
  <c r="IW37" i="3"/>
  <c r="IX37" i="3"/>
  <c r="IY37" i="3"/>
  <c r="IZ37" i="3"/>
  <c r="JA37" i="3"/>
  <c r="JB37" i="3"/>
  <c r="JC37" i="3"/>
  <c r="JD37" i="3"/>
  <c r="JE37" i="3"/>
  <c r="JF37" i="3"/>
  <c r="JG37" i="3"/>
  <c r="JH37" i="3"/>
  <c r="JI37" i="3"/>
  <c r="JJ37" i="3"/>
  <c r="JK37" i="3"/>
  <c r="JL37" i="3"/>
  <c r="JM37" i="3"/>
  <c r="A38" i="3"/>
  <c r="B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AH38" i="3"/>
  <c r="AI38" i="3"/>
  <c r="AJ38" i="3"/>
  <c r="AK38" i="3"/>
  <c r="AL38" i="3"/>
  <c r="AM38" i="3"/>
  <c r="AN38" i="3"/>
  <c r="AO38" i="3"/>
  <c r="AP38" i="3"/>
  <c r="AQ38" i="3"/>
  <c r="AR38" i="3"/>
  <c r="AS38" i="3"/>
  <c r="AT38" i="3"/>
  <c r="AU38" i="3"/>
  <c r="AV38" i="3"/>
  <c r="AW38" i="3"/>
  <c r="AX38" i="3"/>
  <c r="AY38" i="3"/>
  <c r="AZ38" i="3"/>
  <c r="BA38" i="3"/>
  <c r="BB38" i="3"/>
  <c r="BC38" i="3"/>
  <c r="BD38" i="3"/>
  <c r="BE38" i="3"/>
  <c r="BF38" i="3"/>
  <c r="BG38" i="3"/>
  <c r="BH38" i="3"/>
  <c r="BI38" i="3"/>
  <c r="BJ38" i="3"/>
  <c r="BK38" i="3"/>
  <c r="BL38" i="3"/>
  <c r="BM38" i="3"/>
  <c r="BN38" i="3"/>
  <c r="BO38" i="3"/>
  <c r="BP38" i="3"/>
  <c r="BQ38" i="3"/>
  <c r="BR38" i="3"/>
  <c r="BS38" i="3"/>
  <c r="BT38" i="3"/>
  <c r="BU38" i="3"/>
  <c r="BV38" i="3"/>
  <c r="BW38" i="3"/>
  <c r="BX38" i="3"/>
  <c r="BY38" i="3"/>
  <c r="BZ38" i="3"/>
  <c r="CA38" i="3"/>
  <c r="CB38" i="3"/>
  <c r="CC38" i="3"/>
  <c r="CD38" i="3"/>
  <c r="CE38" i="3"/>
  <c r="CF38" i="3"/>
  <c r="CG38" i="3"/>
  <c r="CH38" i="3"/>
  <c r="CI38" i="3"/>
  <c r="CJ38" i="3"/>
  <c r="CK38" i="3"/>
  <c r="CL38" i="3"/>
  <c r="CM38" i="3"/>
  <c r="CN38" i="3"/>
  <c r="CO38" i="3"/>
  <c r="CP38" i="3"/>
  <c r="CQ38" i="3"/>
  <c r="CR38" i="3"/>
  <c r="CS38" i="3"/>
  <c r="CT38" i="3"/>
  <c r="CU38" i="3"/>
  <c r="CV38" i="3"/>
  <c r="CW38" i="3"/>
  <c r="CX38" i="3"/>
  <c r="CY38" i="3"/>
  <c r="CZ38" i="3"/>
  <c r="DA38" i="3"/>
  <c r="DB38" i="3"/>
  <c r="DC38" i="3"/>
  <c r="DD38" i="3"/>
  <c r="DE38" i="3"/>
  <c r="DF38" i="3"/>
  <c r="DG38" i="3"/>
  <c r="DH38" i="3"/>
  <c r="DI38" i="3"/>
  <c r="DJ38" i="3"/>
  <c r="DK38" i="3"/>
  <c r="DL38" i="3"/>
  <c r="DM38" i="3"/>
  <c r="DN38" i="3"/>
  <c r="DO38" i="3"/>
  <c r="DP38" i="3"/>
  <c r="DQ38" i="3"/>
  <c r="DR38" i="3"/>
  <c r="DS38" i="3"/>
  <c r="DT38" i="3"/>
  <c r="DU38" i="3"/>
  <c r="DV38" i="3"/>
  <c r="DW38" i="3"/>
  <c r="DX38" i="3"/>
  <c r="DY38" i="3"/>
  <c r="DZ38" i="3"/>
  <c r="EA38" i="3"/>
  <c r="EB38" i="3"/>
  <c r="EC38" i="3"/>
  <c r="ED38" i="3"/>
  <c r="EE38" i="3"/>
  <c r="EF38" i="3"/>
  <c r="EG38" i="3"/>
  <c r="EI38" i="3"/>
  <c r="EJ38" i="3"/>
  <c r="EK38" i="3"/>
  <c r="EL38" i="3"/>
  <c r="EM38" i="3"/>
  <c r="EN38" i="3"/>
  <c r="EO38" i="3"/>
  <c r="EP38" i="3"/>
  <c r="EQ38" i="3"/>
  <c r="ER38" i="3"/>
  <c r="ES38" i="3"/>
  <c r="ET38" i="3"/>
  <c r="EU38" i="3"/>
  <c r="EV38" i="3"/>
  <c r="EW38" i="3"/>
  <c r="EX38" i="3"/>
  <c r="EY38" i="3"/>
  <c r="EZ38" i="3"/>
  <c r="FA38" i="3"/>
  <c r="FB38" i="3"/>
  <c r="FC38" i="3"/>
  <c r="FD38" i="3"/>
  <c r="FE38" i="3"/>
  <c r="FF38" i="3"/>
  <c r="FG38" i="3"/>
  <c r="FH38" i="3"/>
  <c r="FI38" i="3"/>
  <c r="FJ38" i="3"/>
  <c r="FK38" i="3"/>
  <c r="FL38" i="3"/>
  <c r="FM38" i="3"/>
  <c r="FN38" i="3"/>
  <c r="FO38" i="3"/>
  <c r="FP38" i="3"/>
  <c r="FQ38" i="3"/>
  <c r="FR38" i="3"/>
  <c r="FS38" i="3"/>
  <c r="FT38" i="3"/>
  <c r="FU38" i="3"/>
  <c r="FV38" i="3"/>
  <c r="FW38" i="3"/>
  <c r="FX38" i="3"/>
  <c r="FY38" i="3"/>
  <c r="FZ38" i="3"/>
  <c r="GA38" i="3"/>
  <c r="GB38" i="3"/>
  <c r="GC38" i="3"/>
  <c r="GD38" i="3"/>
  <c r="GE38" i="3"/>
  <c r="GF38" i="3"/>
  <c r="GG38" i="3"/>
  <c r="GH38" i="3"/>
  <c r="GI38" i="3"/>
  <c r="GJ38" i="3"/>
  <c r="GK38" i="3"/>
  <c r="GL38" i="3"/>
  <c r="GM38" i="3"/>
  <c r="GN38" i="3"/>
  <c r="GO38" i="3"/>
  <c r="GP38" i="3"/>
  <c r="GQ38" i="3"/>
  <c r="GR38" i="3"/>
  <c r="GS38" i="3"/>
  <c r="GT38" i="3"/>
  <c r="GU38" i="3"/>
  <c r="GV38" i="3"/>
  <c r="GW38" i="3"/>
  <c r="GX38" i="3"/>
  <c r="GY38" i="3"/>
  <c r="GZ38" i="3"/>
  <c r="HA38" i="3"/>
  <c r="HB38" i="3"/>
  <c r="HC38" i="3"/>
  <c r="HD38" i="3"/>
  <c r="HE38" i="3"/>
  <c r="HF38" i="3"/>
  <c r="HG38" i="3"/>
  <c r="HH38" i="3"/>
  <c r="HI38" i="3"/>
  <c r="HJ38" i="3"/>
  <c r="HK38" i="3"/>
  <c r="HL38" i="3"/>
  <c r="HM38" i="3"/>
  <c r="HN38" i="3"/>
  <c r="HO38" i="3"/>
  <c r="HP38" i="3"/>
  <c r="HQ38" i="3"/>
  <c r="HR38" i="3"/>
  <c r="HS38" i="3"/>
  <c r="HT38" i="3"/>
  <c r="HU38" i="3"/>
  <c r="HV38" i="3"/>
  <c r="HW38" i="3"/>
  <c r="HX38" i="3"/>
  <c r="HY38" i="3"/>
  <c r="HZ38" i="3"/>
  <c r="IA38" i="3"/>
  <c r="IB38" i="3"/>
  <c r="IC38" i="3"/>
  <c r="ID38" i="3"/>
  <c r="IE38" i="3"/>
  <c r="IF38" i="3"/>
  <c r="IG38" i="3"/>
  <c r="IH38" i="3"/>
  <c r="II38" i="3"/>
  <c r="IJ38" i="3"/>
  <c r="IK38" i="3"/>
  <c r="IL38" i="3"/>
  <c r="IM38" i="3"/>
  <c r="IN38" i="3"/>
  <c r="IO38" i="3"/>
  <c r="IP38" i="3"/>
  <c r="IQ38" i="3"/>
  <c r="IR38" i="3"/>
  <c r="IS38" i="3"/>
  <c r="IT38" i="3"/>
  <c r="IU38" i="3"/>
  <c r="IV38" i="3"/>
  <c r="IW38" i="3"/>
  <c r="IX38" i="3"/>
  <c r="IY38" i="3"/>
  <c r="IZ38" i="3"/>
  <c r="JA38" i="3"/>
  <c r="JB38" i="3"/>
  <c r="JC38" i="3"/>
  <c r="JD38" i="3"/>
  <c r="JE38" i="3"/>
  <c r="JF38" i="3"/>
  <c r="JG38" i="3"/>
  <c r="JH38" i="3"/>
  <c r="JI38" i="3"/>
  <c r="JJ38" i="3"/>
  <c r="JK38" i="3"/>
  <c r="JL38" i="3"/>
  <c r="JM38" i="3"/>
  <c r="A39" i="3"/>
  <c r="B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O39" i="3"/>
  <c r="AP39" i="3"/>
  <c r="AQ39" i="3"/>
  <c r="AR39" i="3"/>
  <c r="AS39" i="3"/>
  <c r="AT39" i="3"/>
  <c r="AU39" i="3"/>
  <c r="AV39" i="3"/>
  <c r="AW39" i="3"/>
  <c r="AX39" i="3"/>
  <c r="AY39" i="3"/>
  <c r="AZ39" i="3"/>
  <c r="BA39" i="3"/>
  <c r="BB39" i="3"/>
  <c r="BC39" i="3"/>
  <c r="BD39" i="3"/>
  <c r="BE39" i="3"/>
  <c r="BF39" i="3"/>
  <c r="BG39" i="3"/>
  <c r="BH39" i="3"/>
  <c r="BI39" i="3"/>
  <c r="BJ39" i="3"/>
  <c r="BK39" i="3"/>
  <c r="BL39" i="3"/>
  <c r="BM39" i="3"/>
  <c r="BN39" i="3"/>
  <c r="BO39" i="3"/>
  <c r="BP39" i="3"/>
  <c r="BQ39" i="3"/>
  <c r="BR39" i="3"/>
  <c r="BS39" i="3"/>
  <c r="BT39" i="3"/>
  <c r="BU39" i="3"/>
  <c r="BV39" i="3"/>
  <c r="BW39" i="3"/>
  <c r="BX39" i="3"/>
  <c r="BY39" i="3"/>
  <c r="BZ39" i="3"/>
  <c r="CA39" i="3"/>
  <c r="CB39" i="3"/>
  <c r="CC39" i="3"/>
  <c r="CD39" i="3"/>
  <c r="CE39" i="3"/>
  <c r="CF39" i="3"/>
  <c r="CG39" i="3"/>
  <c r="CH39" i="3"/>
  <c r="CI39" i="3"/>
  <c r="CJ39" i="3"/>
  <c r="CK39" i="3"/>
  <c r="CL39" i="3"/>
  <c r="CM39" i="3"/>
  <c r="CN39" i="3"/>
  <c r="CO39" i="3"/>
  <c r="CP39" i="3"/>
  <c r="CQ39" i="3"/>
  <c r="CR39" i="3"/>
  <c r="CS39" i="3"/>
  <c r="CT39" i="3"/>
  <c r="CU39" i="3"/>
  <c r="CV39" i="3"/>
  <c r="CW39" i="3"/>
  <c r="CX39" i="3"/>
  <c r="CY39" i="3"/>
  <c r="CZ39" i="3"/>
  <c r="DA39" i="3"/>
  <c r="DB39" i="3"/>
  <c r="DC39" i="3"/>
  <c r="DD39" i="3"/>
  <c r="DE39" i="3"/>
  <c r="DF39" i="3"/>
  <c r="DG39" i="3"/>
  <c r="DH39" i="3"/>
  <c r="DI39" i="3"/>
  <c r="DJ39" i="3"/>
  <c r="DK39" i="3"/>
  <c r="DL39" i="3"/>
  <c r="DM39" i="3"/>
  <c r="DN39" i="3"/>
  <c r="DO39" i="3"/>
  <c r="DP39" i="3"/>
  <c r="DQ39" i="3"/>
  <c r="DR39" i="3"/>
  <c r="DS39" i="3"/>
  <c r="DT39" i="3"/>
  <c r="DU39" i="3"/>
  <c r="DV39" i="3"/>
  <c r="DW39" i="3"/>
  <c r="DX39" i="3"/>
  <c r="DY39" i="3"/>
  <c r="DZ39" i="3"/>
  <c r="EA39" i="3"/>
  <c r="EB39" i="3"/>
  <c r="EC39" i="3"/>
  <c r="ED39" i="3"/>
  <c r="EE39" i="3"/>
  <c r="EF39" i="3"/>
  <c r="EG39" i="3"/>
  <c r="EI39" i="3"/>
  <c r="EJ39" i="3"/>
  <c r="EK39" i="3"/>
  <c r="EL39" i="3"/>
  <c r="EM39" i="3"/>
  <c r="EN39" i="3"/>
  <c r="EO39" i="3"/>
  <c r="EP39" i="3"/>
  <c r="EQ39" i="3"/>
  <c r="ER39" i="3"/>
  <c r="ES39" i="3"/>
  <c r="ET39" i="3"/>
  <c r="EU39" i="3"/>
  <c r="EV39" i="3"/>
  <c r="EW39" i="3"/>
  <c r="EX39" i="3"/>
  <c r="EY39" i="3"/>
  <c r="EZ39" i="3"/>
  <c r="FA39" i="3"/>
  <c r="FB39" i="3"/>
  <c r="FC39" i="3"/>
  <c r="FD39" i="3"/>
  <c r="FE39" i="3"/>
  <c r="FF39" i="3"/>
  <c r="FG39" i="3"/>
  <c r="FH39" i="3"/>
  <c r="FI39" i="3"/>
  <c r="FJ39" i="3"/>
  <c r="FK39" i="3"/>
  <c r="FL39" i="3"/>
  <c r="FM39" i="3"/>
  <c r="FN39" i="3"/>
  <c r="FO39" i="3"/>
  <c r="FP39" i="3"/>
  <c r="FQ39" i="3"/>
  <c r="FR39" i="3"/>
  <c r="FS39" i="3"/>
  <c r="FT39" i="3"/>
  <c r="FU39" i="3"/>
  <c r="FV39" i="3"/>
  <c r="FW39" i="3"/>
  <c r="FX39" i="3"/>
  <c r="FY39" i="3"/>
  <c r="FZ39" i="3"/>
  <c r="GA39" i="3"/>
  <c r="GB39" i="3"/>
  <c r="GC39" i="3"/>
  <c r="GD39" i="3"/>
  <c r="GE39" i="3"/>
  <c r="GF39" i="3"/>
  <c r="GG39" i="3"/>
  <c r="GH39" i="3"/>
  <c r="GI39" i="3"/>
  <c r="GJ39" i="3"/>
  <c r="GK39" i="3"/>
  <c r="GL39" i="3"/>
  <c r="GM39" i="3"/>
  <c r="GN39" i="3"/>
  <c r="GO39" i="3"/>
  <c r="GP39" i="3"/>
  <c r="GQ39" i="3"/>
  <c r="GR39" i="3"/>
  <c r="GS39" i="3"/>
  <c r="GT39" i="3"/>
  <c r="GU39" i="3"/>
  <c r="GV39" i="3"/>
  <c r="GW39" i="3"/>
  <c r="GX39" i="3"/>
  <c r="GY39" i="3"/>
  <c r="GZ39" i="3"/>
  <c r="HA39" i="3"/>
  <c r="HB39" i="3"/>
  <c r="HC39" i="3"/>
  <c r="HD39" i="3"/>
  <c r="HE39" i="3"/>
  <c r="HF39" i="3"/>
  <c r="HG39" i="3"/>
  <c r="HH39" i="3"/>
  <c r="HI39" i="3"/>
  <c r="HJ39" i="3"/>
  <c r="HK39" i="3"/>
  <c r="HL39" i="3"/>
  <c r="HM39" i="3"/>
  <c r="HN39" i="3"/>
  <c r="HO39" i="3"/>
  <c r="HP39" i="3"/>
  <c r="HQ39" i="3"/>
  <c r="HR39" i="3"/>
  <c r="HS39" i="3"/>
  <c r="HT39" i="3"/>
  <c r="HU39" i="3"/>
  <c r="HV39" i="3"/>
  <c r="HW39" i="3"/>
  <c r="HX39" i="3"/>
  <c r="HY39" i="3"/>
  <c r="HZ39" i="3"/>
  <c r="A40" i="3"/>
  <c r="B40" i="3"/>
  <c r="C40"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AN40" i="3"/>
  <c r="AO40" i="3"/>
  <c r="AP40" i="3"/>
  <c r="AQ40" i="3"/>
  <c r="AR40" i="3"/>
  <c r="AS40" i="3"/>
  <c r="AT40" i="3"/>
  <c r="AU40" i="3"/>
  <c r="AV40" i="3"/>
  <c r="AW40" i="3"/>
  <c r="AX40" i="3"/>
  <c r="AY40" i="3"/>
  <c r="AZ40" i="3"/>
  <c r="BA40" i="3"/>
  <c r="BB40" i="3"/>
  <c r="BC40" i="3"/>
  <c r="BD40" i="3"/>
  <c r="BE40" i="3"/>
  <c r="BF40" i="3"/>
  <c r="BG40" i="3"/>
  <c r="BH40" i="3"/>
  <c r="BI40" i="3"/>
  <c r="BJ40" i="3"/>
  <c r="BK40" i="3"/>
  <c r="BL40" i="3"/>
  <c r="BM40" i="3"/>
  <c r="BN40" i="3"/>
  <c r="BO40" i="3"/>
  <c r="BP40" i="3"/>
  <c r="BQ40" i="3"/>
  <c r="BR40" i="3"/>
  <c r="BS40" i="3"/>
  <c r="BT40" i="3"/>
  <c r="BU40" i="3"/>
  <c r="BV40" i="3"/>
  <c r="BW40" i="3"/>
  <c r="BX40" i="3"/>
  <c r="BY40" i="3"/>
  <c r="BZ40" i="3"/>
  <c r="CA40" i="3"/>
  <c r="CB40" i="3"/>
  <c r="CC40" i="3"/>
  <c r="CD40" i="3"/>
  <c r="CE40" i="3"/>
  <c r="CF40" i="3"/>
  <c r="CG40" i="3"/>
  <c r="CH40" i="3"/>
  <c r="CI40" i="3"/>
  <c r="CJ40" i="3"/>
  <c r="CK40" i="3"/>
  <c r="CL40" i="3"/>
  <c r="CM40" i="3"/>
  <c r="CN40" i="3"/>
  <c r="CO40" i="3"/>
  <c r="CP40" i="3"/>
  <c r="CQ40" i="3"/>
  <c r="CR40" i="3"/>
  <c r="CS40" i="3"/>
  <c r="CT40" i="3"/>
  <c r="CU40" i="3"/>
  <c r="CV40" i="3"/>
  <c r="CW40" i="3"/>
  <c r="CX40" i="3"/>
  <c r="CY40" i="3"/>
  <c r="CZ40" i="3"/>
  <c r="DA40" i="3"/>
  <c r="DB40" i="3"/>
  <c r="DC40" i="3"/>
  <c r="DD40" i="3"/>
  <c r="DE40" i="3"/>
  <c r="DF40" i="3"/>
  <c r="DG40" i="3"/>
  <c r="DH40" i="3"/>
  <c r="DI40" i="3"/>
  <c r="DJ40" i="3"/>
  <c r="DK40" i="3"/>
  <c r="DL40" i="3"/>
  <c r="DM40" i="3"/>
  <c r="DN40" i="3"/>
  <c r="DO40" i="3"/>
  <c r="DP40" i="3"/>
  <c r="DQ40" i="3"/>
  <c r="DR40" i="3"/>
  <c r="DS40" i="3"/>
  <c r="DT40" i="3"/>
  <c r="DU40" i="3"/>
  <c r="DV40" i="3"/>
  <c r="DW40" i="3"/>
  <c r="DX40" i="3"/>
  <c r="DY40" i="3"/>
  <c r="DZ40" i="3"/>
  <c r="EA40" i="3"/>
  <c r="EB40" i="3"/>
  <c r="EC40" i="3"/>
  <c r="ED40" i="3"/>
  <c r="EE40" i="3"/>
  <c r="EF40" i="3"/>
  <c r="EG40" i="3"/>
  <c r="EI40" i="3"/>
  <c r="EJ40" i="3"/>
  <c r="EK40" i="3"/>
  <c r="EL40" i="3"/>
  <c r="EM40" i="3"/>
  <c r="EN40" i="3"/>
  <c r="EO40" i="3"/>
  <c r="EP40" i="3"/>
  <c r="EQ40" i="3"/>
  <c r="ER40" i="3"/>
  <c r="ES40" i="3"/>
  <c r="ET40" i="3"/>
  <c r="EU40" i="3"/>
  <c r="EV40" i="3"/>
  <c r="EW40" i="3"/>
  <c r="EX40" i="3"/>
  <c r="EY40" i="3"/>
  <c r="EZ40" i="3"/>
  <c r="FA40" i="3"/>
  <c r="FB40" i="3"/>
  <c r="FC40" i="3"/>
  <c r="FD40" i="3"/>
  <c r="FE40" i="3"/>
  <c r="FF40" i="3"/>
  <c r="FG40" i="3"/>
  <c r="FH40" i="3"/>
  <c r="FI40" i="3"/>
  <c r="FJ40" i="3"/>
  <c r="FK40" i="3"/>
  <c r="FL40" i="3"/>
  <c r="FM40" i="3"/>
  <c r="FN40" i="3"/>
  <c r="FO40" i="3"/>
  <c r="FP40" i="3"/>
  <c r="FQ40" i="3"/>
  <c r="FR40" i="3"/>
  <c r="FS40" i="3"/>
  <c r="FT40" i="3"/>
  <c r="FU40" i="3"/>
  <c r="FV40" i="3"/>
  <c r="FW40" i="3"/>
  <c r="FX40" i="3"/>
  <c r="FY40" i="3"/>
  <c r="FZ40" i="3"/>
  <c r="GA40" i="3"/>
  <c r="GB40" i="3"/>
  <c r="GC40" i="3"/>
  <c r="GD40" i="3"/>
  <c r="GE40" i="3"/>
  <c r="GF40" i="3"/>
  <c r="GG40" i="3"/>
  <c r="GH40" i="3"/>
  <c r="GI40" i="3"/>
  <c r="GJ40" i="3"/>
  <c r="GK40" i="3"/>
  <c r="GL40" i="3"/>
  <c r="GM40" i="3"/>
  <c r="GN40" i="3"/>
  <c r="GO40" i="3"/>
  <c r="GP40" i="3"/>
  <c r="GQ40" i="3"/>
  <c r="GR40" i="3"/>
  <c r="GS40" i="3"/>
  <c r="GT40" i="3"/>
  <c r="GU40" i="3"/>
  <c r="GV40" i="3"/>
  <c r="GW40" i="3"/>
  <c r="GX40" i="3"/>
  <c r="GY40" i="3"/>
  <c r="GZ40" i="3"/>
  <c r="HA40" i="3"/>
  <c r="HB40" i="3"/>
  <c r="HC40" i="3"/>
  <c r="HD40" i="3"/>
  <c r="HE40" i="3"/>
  <c r="HF40" i="3"/>
  <c r="HG40" i="3"/>
  <c r="HH40" i="3"/>
  <c r="HI40" i="3"/>
  <c r="HJ40" i="3"/>
  <c r="HK40" i="3"/>
  <c r="HL40" i="3"/>
  <c r="HM40" i="3"/>
  <c r="HN40" i="3"/>
  <c r="HO40" i="3"/>
  <c r="HP40" i="3"/>
  <c r="HQ40" i="3"/>
  <c r="HR40" i="3"/>
  <c r="HS40" i="3"/>
  <c r="HT40" i="3"/>
  <c r="HU40" i="3"/>
  <c r="HV40" i="3"/>
  <c r="HW40" i="3"/>
  <c r="HX40" i="3"/>
  <c r="HY40" i="3"/>
  <c r="HZ40" i="3"/>
  <c r="IA40" i="3"/>
  <c r="IB40" i="3"/>
  <c r="IC40" i="3"/>
  <c r="ID40" i="3"/>
  <c r="IE40" i="3"/>
  <c r="IF40" i="3"/>
  <c r="IG40" i="3"/>
  <c r="IH40" i="3"/>
  <c r="II40" i="3"/>
  <c r="IJ40" i="3"/>
  <c r="IK40" i="3"/>
  <c r="IL40" i="3"/>
  <c r="IM40" i="3"/>
  <c r="IN40" i="3"/>
  <c r="IO40" i="3"/>
  <c r="IP40" i="3"/>
  <c r="IQ40" i="3"/>
  <c r="IR40" i="3"/>
  <c r="IS40" i="3"/>
  <c r="IT40" i="3"/>
  <c r="IU40" i="3"/>
  <c r="IV40" i="3"/>
  <c r="IW40" i="3"/>
  <c r="IX40" i="3"/>
  <c r="IY40" i="3"/>
  <c r="IZ40" i="3"/>
  <c r="JA40" i="3"/>
  <c r="JB40" i="3"/>
  <c r="JC40" i="3"/>
  <c r="JD40" i="3"/>
  <c r="JE40" i="3"/>
  <c r="JF40" i="3"/>
  <c r="JG40" i="3"/>
  <c r="JH40" i="3"/>
  <c r="JI40" i="3"/>
  <c r="JJ40" i="3"/>
  <c r="JK40" i="3"/>
  <c r="JL40" i="3"/>
  <c r="JM40" i="3"/>
  <c r="A31" i="3"/>
  <c r="B31" i="3"/>
  <c r="C31"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AH31" i="3"/>
  <c r="AI31" i="3"/>
  <c r="AJ31" i="3"/>
  <c r="AK31" i="3"/>
  <c r="AL31" i="3"/>
  <c r="AM31" i="3"/>
  <c r="AN31" i="3"/>
  <c r="AO31" i="3"/>
  <c r="AP31" i="3"/>
  <c r="AQ31" i="3"/>
  <c r="AR31" i="3"/>
  <c r="AS31" i="3"/>
  <c r="AT31" i="3"/>
  <c r="AU31" i="3"/>
  <c r="AV31" i="3"/>
  <c r="AW31" i="3"/>
  <c r="AX31" i="3"/>
  <c r="AY31" i="3"/>
  <c r="AZ31" i="3"/>
  <c r="BA31" i="3"/>
  <c r="BB31" i="3"/>
  <c r="BC31" i="3"/>
  <c r="BD31" i="3"/>
  <c r="BE31" i="3"/>
  <c r="BF31" i="3"/>
  <c r="BG31" i="3"/>
  <c r="BH31" i="3"/>
  <c r="BI31" i="3"/>
  <c r="BJ31" i="3"/>
  <c r="BK31" i="3"/>
  <c r="BL31" i="3"/>
  <c r="BM31" i="3"/>
  <c r="BN31" i="3"/>
  <c r="BO31" i="3"/>
  <c r="BP31" i="3"/>
  <c r="BQ31" i="3"/>
  <c r="BR31" i="3"/>
  <c r="BS31" i="3"/>
  <c r="BT31" i="3"/>
  <c r="BU31" i="3"/>
  <c r="BV31" i="3"/>
  <c r="BW31" i="3"/>
  <c r="BX31" i="3"/>
  <c r="BY31" i="3"/>
  <c r="BZ31" i="3"/>
  <c r="CA31" i="3"/>
  <c r="CB31" i="3"/>
  <c r="CC31" i="3"/>
  <c r="CD31" i="3"/>
  <c r="CE31" i="3"/>
  <c r="CF31" i="3"/>
  <c r="CG31" i="3"/>
  <c r="CH31" i="3"/>
  <c r="CI31" i="3"/>
  <c r="CJ31" i="3"/>
  <c r="CK31" i="3"/>
  <c r="CL31" i="3"/>
  <c r="CM31" i="3"/>
  <c r="CN31" i="3"/>
  <c r="CO31" i="3"/>
  <c r="CP31" i="3"/>
  <c r="CQ31" i="3"/>
  <c r="CR31" i="3"/>
  <c r="CS31" i="3"/>
  <c r="CT31" i="3"/>
  <c r="CU31" i="3"/>
  <c r="CV31" i="3"/>
  <c r="CW31" i="3"/>
  <c r="CX31" i="3"/>
  <c r="CY31" i="3"/>
  <c r="CZ31" i="3"/>
  <c r="DA31" i="3"/>
  <c r="DB31" i="3"/>
  <c r="DC31" i="3"/>
  <c r="DD31" i="3"/>
  <c r="DE31" i="3"/>
  <c r="DF31" i="3"/>
  <c r="DG31" i="3"/>
  <c r="DH31" i="3"/>
  <c r="DI31" i="3"/>
  <c r="DJ31" i="3"/>
  <c r="DK31" i="3"/>
  <c r="DL31" i="3"/>
  <c r="DM31" i="3"/>
  <c r="DN31" i="3"/>
  <c r="DO31" i="3"/>
  <c r="DP31" i="3"/>
  <c r="DQ31" i="3"/>
  <c r="DR31" i="3"/>
  <c r="DS31" i="3"/>
  <c r="DT31" i="3"/>
  <c r="DU31" i="3"/>
  <c r="DV31" i="3"/>
  <c r="DW31" i="3"/>
  <c r="DX31" i="3"/>
  <c r="DY31" i="3"/>
  <c r="DZ31" i="3"/>
  <c r="EA31" i="3"/>
  <c r="EB31" i="3"/>
  <c r="EC31" i="3"/>
  <c r="ED31" i="3"/>
  <c r="EE31" i="3"/>
  <c r="EF31" i="3"/>
  <c r="EG31" i="3"/>
  <c r="EI31" i="3"/>
  <c r="EJ31" i="3"/>
  <c r="EK31" i="3"/>
  <c r="EL31" i="3"/>
  <c r="EM31" i="3"/>
  <c r="EN31" i="3"/>
  <c r="EO31" i="3"/>
  <c r="EP31" i="3"/>
  <c r="EQ31" i="3"/>
  <c r="ER31" i="3"/>
  <c r="ES31" i="3"/>
  <c r="ET31" i="3"/>
  <c r="EU31" i="3"/>
  <c r="EV31" i="3"/>
  <c r="EW31" i="3"/>
  <c r="EX31" i="3"/>
  <c r="EY31" i="3"/>
  <c r="EZ31" i="3"/>
  <c r="FA31" i="3"/>
  <c r="FB31" i="3"/>
  <c r="FC31" i="3"/>
  <c r="FD31" i="3"/>
  <c r="FE31" i="3"/>
  <c r="FF31" i="3"/>
  <c r="FG31" i="3"/>
  <c r="FH31" i="3"/>
  <c r="FI31" i="3"/>
  <c r="FJ31" i="3"/>
  <c r="FK31" i="3"/>
  <c r="FL31" i="3"/>
  <c r="FM31" i="3"/>
  <c r="FN31" i="3"/>
  <c r="FO31" i="3"/>
  <c r="FP31" i="3"/>
  <c r="FQ31" i="3"/>
  <c r="FR31" i="3"/>
  <c r="FS31" i="3"/>
  <c r="FT31" i="3"/>
  <c r="FU31" i="3"/>
  <c r="FV31" i="3"/>
  <c r="FW31" i="3"/>
  <c r="FX31" i="3"/>
  <c r="FY31" i="3"/>
  <c r="FZ31" i="3"/>
  <c r="GA31" i="3"/>
  <c r="GB31" i="3"/>
  <c r="GC31" i="3"/>
  <c r="GD31" i="3"/>
  <c r="GE31" i="3"/>
  <c r="GF31" i="3"/>
  <c r="GG31" i="3"/>
  <c r="GH31" i="3"/>
  <c r="GI31" i="3"/>
  <c r="GJ31" i="3"/>
  <c r="GK31" i="3"/>
  <c r="GL31" i="3"/>
  <c r="GM31" i="3"/>
  <c r="GN31" i="3"/>
  <c r="GO31" i="3"/>
  <c r="GP31" i="3"/>
  <c r="GQ31" i="3"/>
  <c r="GR31" i="3"/>
  <c r="GS31" i="3"/>
  <c r="GT31" i="3"/>
  <c r="GU31" i="3"/>
  <c r="GV31" i="3"/>
  <c r="GW31" i="3"/>
  <c r="GX31" i="3"/>
  <c r="GY31" i="3"/>
  <c r="GZ31" i="3"/>
  <c r="HA31" i="3"/>
  <c r="HB31" i="3"/>
  <c r="HC31" i="3"/>
  <c r="HD31" i="3"/>
  <c r="HE31" i="3"/>
  <c r="HF31" i="3"/>
  <c r="HG31" i="3"/>
  <c r="HH31" i="3"/>
  <c r="HI31" i="3"/>
  <c r="HJ31" i="3"/>
  <c r="HK31" i="3"/>
  <c r="HL31" i="3"/>
  <c r="HM31" i="3"/>
  <c r="HN31" i="3"/>
  <c r="HO31" i="3"/>
  <c r="HP31" i="3"/>
  <c r="HQ31" i="3"/>
  <c r="HR31" i="3"/>
  <c r="HS31" i="3"/>
  <c r="HT31" i="3"/>
  <c r="HU31" i="3"/>
  <c r="HV31" i="3"/>
  <c r="HW31" i="3"/>
  <c r="HX31" i="3"/>
  <c r="HY31" i="3"/>
  <c r="HZ31" i="3"/>
  <c r="IA31" i="3"/>
  <c r="IB31" i="3"/>
  <c r="IC31" i="3"/>
  <c r="ID31" i="3"/>
  <c r="IE31" i="3"/>
  <c r="IF31" i="3"/>
  <c r="IG31" i="3"/>
  <c r="IH31" i="3"/>
  <c r="II31" i="3"/>
  <c r="IJ31" i="3"/>
  <c r="IK31" i="3"/>
  <c r="IL31" i="3"/>
  <c r="IM31" i="3"/>
  <c r="IN31" i="3"/>
  <c r="IO31" i="3"/>
  <c r="IP31" i="3"/>
  <c r="IQ31" i="3"/>
  <c r="IR31" i="3"/>
  <c r="IS31" i="3"/>
  <c r="IT31" i="3"/>
  <c r="IU31" i="3"/>
  <c r="IV31" i="3"/>
  <c r="IW31" i="3"/>
  <c r="IX31" i="3"/>
  <c r="IY31" i="3"/>
  <c r="IZ31" i="3"/>
  <c r="JA31" i="3"/>
  <c r="JB31" i="3"/>
  <c r="JC31" i="3"/>
  <c r="JD31" i="3"/>
  <c r="JE31" i="3"/>
  <c r="JF31" i="3"/>
  <c r="JG31" i="3"/>
  <c r="JH31" i="3"/>
  <c r="JI31" i="3"/>
  <c r="JJ31" i="3"/>
  <c r="JK31" i="3"/>
  <c r="JL31" i="3"/>
  <c r="JM31" i="3"/>
  <c r="A32" i="3"/>
  <c r="B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AO32" i="3"/>
  <c r="AP32" i="3"/>
  <c r="AQ32" i="3"/>
  <c r="AR32" i="3"/>
  <c r="AS32" i="3"/>
  <c r="AT32" i="3"/>
  <c r="AU32" i="3"/>
  <c r="AV32" i="3"/>
  <c r="AW32" i="3"/>
  <c r="AX32" i="3"/>
  <c r="AY32" i="3"/>
  <c r="AZ32" i="3"/>
  <c r="BA32" i="3"/>
  <c r="BB32" i="3"/>
  <c r="BC32" i="3"/>
  <c r="BD32" i="3"/>
  <c r="BE32" i="3"/>
  <c r="BF32" i="3"/>
  <c r="BG32" i="3"/>
  <c r="BH32" i="3"/>
  <c r="BI32" i="3"/>
  <c r="BJ32" i="3"/>
  <c r="BK32" i="3"/>
  <c r="BL32" i="3"/>
  <c r="BM32" i="3"/>
  <c r="BN32" i="3"/>
  <c r="BO32" i="3"/>
  <c r="BP32" i="3"/>
  <c r="BQ32" i="3"/>
  <c r="BR32" i="3"/>
  <c r="BS32" i="3"/>
  <c r="BT32" i="3"/>
  <c r="BU32" i="3"/>
  <c r="BV32" i="3"/>
  <c r="BW32" i="3"/>
  <c r="BX32" i="3"/>
  <c r="BY32" i="3"/>
  <c r="BZ32" i="3"/>
  <c r="CA32" i="3"/>
  <c r="CB32" i="3"/>
  <c r="CC32" i="3"/>
  <c r="CD32" i="3"/>
  <c r="CE32" i="3"/>
  <c r="CF32" i="3"/>
  <c r="CG32" i="3"/>
  <c r="CH32" i="3"/>
  <c r="CI32" i="3"/>
  <c r="CJ32" i="3"/>
  <c r="CK32" i="3"/>
  <c r="CL32" i="3"/>
  <c r="CM32" i="3"/>
  <c r="CN32" i="3"/>
  <c r="CO32" i="3"/>
  <c r="CP32" i="3"/>
  <c r="CQ32" i="3"/>
  <c r="CR32" i="3"/>
  <c r="CS32" i="3"/>
  <c r="CT32" i="3"/>
  <c r="CU32" i="3"/>
  <c r="CV32" i="3"/>
  <c r="CW32" i="3"/>
  <c r="CX32" i="3"/>
  <c r="CY32" i="3"/>
  <c r="CZ32" i="3"/>
  <c r="DA32" i="3"/>
  <c r="DB32" i="3"/>
  <c r="DC32" i="3"/>
  <c r="DD32" i="3"/>
  <c r="DE32" i="3"/>
  <c r="DF32" i="3"/>
  <c r="DG32" i="3"/>
  <c r="DH32" i="3"/>
  <c r="DI32" i="3"/>
  <c r="DJ32" i="3"/>
  <c r="DK32" i="3"/>
  <c r="DL32" i="3"/>
  <c r="DM32" i="3"/>
  <c r="DN32" i="3"/>
  <c r="DO32" i="3"/>
  <c r="DP32" i="3"/>
  <c r="DQ32" i="3"/>
  <c r="DR32" i="3"/>
  <c r="DS32" i="3"/>
  <c r="DT32" i="3"/>
  <c r="DU32" i="3"/>
  <c r="DV32" i="3"/>
  <c r="DW32" i="3"/>
  <c r="DX32" i="3"/>
  <c r="DY32" i="3"/>
  <c r="DZ32" i="3"/>
  <c r="EA32" i="3"/>
  <c r="EB32" i="3"/>
  <c r="EC32" i="3"/>
  <c r="ED32" i="3"/>
  <c r="EE32" i="3"/>
  <c r="EF32" i="3"/>
  <c r="EG32" i="3"/>
  <c r="EI32" i="3"/>
  <c r="EJ32" i="3"/>
  <c r="EK32" i="3"/>
  <c r="EL32" i="3"/>
  <c r="EM32" i="3"/>
  <c r="EN32" i="3"/>
  <c r="EO32" i="3"/>
  <c r="EP32" i="3"/>
  <c r="EQ32" i="3"/>
  <c r="ER32" i="3"/>
  <c r="ES32" i="3"/>
  <c r="ET32" i="3"/>
  <c r="EU32" i="3"/>
  <c r="EV32" i="3"/>
  <c r="EW32" i="3"/>
  <c r="EX32" i="3"/>
  <c r="EY32" i="3"/>
  <c r="EZ32" i="3"/>
  <c r="FA32" i="3"/>
  <c r="FB32" i="3"/>
  <c r="FC32" i="3"/>
  <c r="FD32" i="3"/>
  <c r="FE32" i="3"/>
  <c r="FF32" i="3"/>
  <c r="FG32" i="3"/>
  <c r="FH32" i="3"/>
  <c r="FI32" i="3"/>
  <c r="FJ32" i="3"/>
  <c r="FK32" i="3"/>
  <c r="FL32" i="3"/>
  <c r="FM32" i="3"/>
  <c r="FN32" i="3"/>
  <c r="FO32" i="3"/>
  <c r="FP32" i="3"/>
  <c r="FQ32" i="3"/>
  <c r="FR32" i="3"/>
  <c r="FS32" i="3"/>
  <c r="FT32" i="3"/>
  <c r="FU32" i="3"/>
  <c r="FV32" i="3"/>
  <c r="FW32" i="3"/>
  <c r="FX32" i="3"/>
  <c r="FY32" i="3"/>
  <c r="FZ32" i="3"/>
  <c r="GA32" i="3"/>
  <c r="GB32" i="3"/>
  <c r="GC32" i="3"/>
  <c r="GD32" i="3"/>
  <c r="GE32" i="3"/>
  <c r="GF32" i="3"/>
  <c r="GG32" i="3"/>
  <c r="GH32" i="3"/>
  <c r="GI32" i="3"/>
  <c r="GJ32" i="3"/>
  <c r="GK32" i="3"/>
  <c r="GL32" i="3"/>
  <c r="GM32" i="3"/>
  <c r="GN32" i="3"/>
  <c r="GO32" i="3"/>
  <c r="GP32" i="3"/>
  <c r="GQ32" i="3"/>
  <c r="GR32" i="3"/>
  <c r="GS32" i="3"/>
  <c r="GT32" i="3"/>
  <c r="GU32" i="3"/>
  <c r="GV32" i="3"/>
  <c r="GW32" i="3"/>
  <c r="GX32" i="3"/>
  <c r="GY32" i="3"/>
  <c r="GZ32" i="3"/>
  <c r="HA32" i="3"/>
  <c r="HB32" i="3"/>
  <c r="HC32" i="3"/>
  <c r="HD32" i="3"/>
  <c r="HE32" i="3"/>
  <c r="HF32" i="3"/>
  <c r="HG32" i="3"/>
  <c r="HH32" i="3"/>
  <c r="HI32" i="3"/>
  <c r="HJ32" i="3"/>
  <c r="HK32" i="3"/>
  <c r="HL32" i="3"/>
  <c r="HM32" i="3"/>
  <c r="HN32" i="3"/>
  <c r="HO32" i="3"/>
  <c r="HP32" i="3"/>
  <c r="HQ32" i="3"/>
  <c r="HR32" i="3"/>
  <c r="HS32" i="3"/>
  <c r="HT32" i="3"/>
  <c r="HU32" i="3"/>
  <c r="HV32" i="3"/>
  <c r="HW32" i="3"/>
  <c r="HX32" i="3"/>
  <c r="HY32" i="3"/>
  <c r="HZ32" i="3"/>
  <c r="IA32" i="3"/>
  <c r="IB32" i="3"/>
  <c r="IC32" i="3"/>
  <c r="ID32" i="3"/>
  <c r="IE32" i="3"/>
  <c r="IF32" i="3"/>
  <c r="IG32" i="3"/>
  <c r="IH32" i="3"/>
  <c r="II32" i="3"/>
  <c r="IJ32" i="3"/>
  <c r="IK32" i="3"/>
  <c r="IL32" i="3"/>
  <c r="IM32" i="3"/>
  <c r="IN32" i="3"/>
  <c r="IO32" i="3"/>
  <c r="IP32" i="3"/>
  <c r="IQ32" i="3"/>
  <c r="IR32" i="3"/>
  <c r="IS32" i="3"/>
  <c r="IT32" i="3"/>
  <c r="IU32" i="3"/>
  <c r="IV32" i="3"/>
  <c r="IW32" i="3"/>
  <c r="IX32" i="3"/>
  <c r="IY32" i="3"/>
  <c r="IZ32" i="3"/>
  <c r="JA32" i="3"/>
  <c r="JB32" i="3"/>
  <c r="JC32" i="3"/>
  <c r="JD32" i="3"/>
  <c r="JE32" i="3"/>
  <c r="JF32" i="3"/>
  <c r="JG32" i="3"/>
  <c r="JH32" i="3"/>
  <c r="JI32" i="3"/>
  <c r="JJ32" i="3"/>
  <c r="JK32" i="3"/>
  <c r="JL32" i="3"/>
  <c r="JM32" i="3"/>
  <c r="A33" i="3"/>
  <c r="B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AK33" i="3"/>
  <c r="AL33" i="3"/>
  <c r="AM33" i="3"/>
  <c r="AN33" i="3"/>
  <c r="AO33" i="3"/>
  <c r="AP33" i="3"/>
  <c r="AQ33" i="3"/>
  <c r="AR33" i="3"/>
  <c r="AS33" i="3"/>
  <c r="AT33" i="3"/>
  <c r="AU33" i="3"/>
  <c r="AV33" i="3"/>
  <c r="AW33" i="3"/>
  <c r="AX33" i="3"/>
  <c r="AY33" i="3"/>
  <c r="AZ33" i="3"/>
  <c r="BA33" i="3"/>
  <c r="BB33" i="3"/>
  <c r="BC33" i="3"/>
  <c r="BD33" i="3"/>
  <c r="BE33" i="3"/>
  <c r="BF33" i="3"/>
  <c r="BG33" i="3"/>
  <c r="BH33" i="3"/>
  <c r="BI33" i="3"/>
  <c r="BJ33" i="3"/>
  <c r="BK33" i="3"/>
  <c r="BL33" i="3"/>
  <c r="BM33" i="3"/>
  <c r="BN33" i="3"/>
  <c r="BO33" i="3"/>
  <c r="BP33" i="3"/>
  <c r="BQ33" i="3"/>
  <c r="BR33" i="3"/>
  <c r="BS33" i="3"/>
  <c r="BT33" i="3"/>
  <c r="BU33" i="3"/>
  <c r="BV33" i="3"/>
  <c r="BW33" i="3"/>
  <c r="BX33" i="3"/>
  <c r="BY33" i="3"/>
  <c r="BZ33" i="3"/>
  <c r="CA33" i="3"/>
  <c r="CB33" i="3"/>
  <c r="CC33" i="3"/>
  <c r="CD33" i="3"/>
  <c r="CE33" i="3"/>
  <c r="CF33" i="3"/>
  <c r="CG33" i="3"/>
  <c r="CH33" i="3"/>
  <c r="CI33" i="3"/>
  <c r="CJ33" i="3"/>
  <c r="CK33" i="3"/>
  <c r="CL33" i="3"/>
  <c r="CM33" i="3"/>
  <c r="CN33" i="3"/>
  <c r="CO33" i="3"/>
  <c r="CP33" i="3"/>
  <c r="CQ33" i="3"/>
  <c r="CR33" i="3"/>
  <c r="CS33" i="3"/>
  <c r="CT33" i="3"/>
  <c r="CU33" i="3"/>
  <c r="CV33" i="3"/>
  <c r="CW33" i="3"/>
  <c r="CX33" i="3"/>
  <c r="CY33" i="3"/>
  <c r="CZ33" i="3"/>
  <c r="DA33" i="3"/>
  <c r="DB33" i="3"/>
  <c r="DC33" i="3"/>
  <c r="DD33" i="3"/>
  <c r="DE33" i="3"/>
  <c r="DF33" i="3"/>
  <c r="DG33" i="3"/>
  <c r="DH33" i="3"/>
  <c r="DI33" i="3"/>
  <c r="DJ33" i="3"/>
  <c r="DK33" i="3"/>
  <c r="DL33" i="3"/>
  <c r="DM33" i="3"/>
  <c r="DN33" i="3"/>
  <c r="DO33" i="3"/>
  <c r="DP33" i="3"/>
  <c r="DQ33" i="3"/>
  <c r="DR33" i="3"/>
  <c r="DS33" i="3"/>
  <c r="DT33" i="3"/>
  <c r="DU33" i="3"/>
  <c r="DV33" i="3"/>
  <c r="DW33" i="3"/>
  <c r="DX33" i="3"/>
  <c r="DY33" i="3"/>
  <c r="DZ33" i="3"/>
  <c r="EA33" i="3"/>
  <c r="EB33" i="3"/>
  <c r="EC33" i="3"/>
  <c r="ED33" i="3"/>
  <c r="EE33" i="3"/>
  <c r="EF33" i="3"/>
  <c r="EG33" i="3"/>
  <c r="EI33" i="3"/>
  <c r="EJ33" i="3"/>
  <c r="EK33" i="3"/>
  <c r="EL33" i="3"/>
  <c r="EM33" i="3"/>
  <c r="EN33" i="3"/>
  <c r="EO33" i="3"/>
  <c r="EP33" i="3"/>
  <c r="EQ33" i="3"/>
  <c r="ER33" i="3"/>
  <c r="ES33" i="3"/>
  <c r="ET33" i="3"/>
  <c r="EU33" i="3"/>
  <c r="EV33" i="3"/>
  <c r="EW33" i="3"/>
  <c r="EX33" i="3"/>
  <c r="EY33" i="3"/>
  <c r="EZ33" i="3"/>
  <c r="FA33" i="3"/>
  <c r="FB33" i="3"/>
  <c r="FC33" i="3"/>
  <c r="FD33" i="3"/>
  <c r="FE33" i="3"/>
  <c r="FF33" i="3"/>
  <c r="FG33" i="3"/>
  <c r="FH33" i="3"/>
  <c r="FI33" i="3"/>
  <c r="FJ33" i="3"/>
  <c r="FK33" i="3"/>
  <c r="FL33" i="3"/>
  <c r="FM33" i="3"/>
  <c r="FN33" i="3"/>
  <c r="FO33" i="3"/>
  <c r="FP33" i="3"/>
  <c r="FQ33" i="3"/>
  <c r="FR33" i="3"/>
  <c r="FS33" i="3"/>
  <c r="FT33" i="3"/>
  <c r="FU33" i="3"/>
  <c r="FV33" i="3"/>
  <c r="FW33" i="3"/>
  <c r="FX33" i="3"/>
  <c r="FY33" i="3"/>
  <c r="FZ33" i="3"/>
  <c r="GA33" i="3"/>
  <c r="GB33" i="3"/>
  <c r="GC33" i="3"/>
  <c r="GD33" i="3"/>
  <c r="GE33" i="3"/>
  <c r="GF33" i="3"/>
  <c r="GG33" i="3"/>
  <c r="GH33" i="3"/>
  <c r="GI33" i="3"/>
  <c r="GJ33" i="3"/>
  <c r="GK33" i="3"/>
  <c r="GL33" i="3"/>
  <c r="GM33" i="3"/>
  <c r="GN33" i="3"/>
  <c r="GO33" i="3"/>
  <c r="GP33" i="3"/>
  <c r="GQ33" i="3"/>
  <c r="GR33" i="3"/>
  <c r="GS33" i="3"/>
  <c r="GT33" i="3"/>
  <c r="GU33" i="3"/>
  <c r="GV33" i="3"/>
  <c r="GW33" i="3"/>
  <c r="GX33" i="3"/>
  <c r="GY33" i="3"/>
  <c r="GZ33" i="3"/>
  <c r="HA33" i="3"/>
  <c r="HB33" i="3"/>
  <c r="HC33" i="3"/>
  <c r="HD33" i="3"/>
  <c r="HE33" i="3"/>
  <c r="HF33" i="3"/>
  <c r="HG33" i="3"/>
  <c r="HH33" i="3"/>
  <c r="HI33" i="3"/>
  <c r="HJ33" i="3"/>
  <c r="HK33" i="3"/>
  <c r="HL33" i="3"/>
  <c r="HM33" i="3"/>
  <c r="HN33" i="3"/>
  <c r="HO33" i="3"/>
  <c r="HP33" i="3"/>
  <c r="HQ33" i="3"/>
  <c r="HR33" i="3"/>
  <c r="HS33" i="3"/>
  <c r="HT33" i="3"/>
  <c r="HU33" i="3"/>
  <c r="HV33" i="3"/>
  <c r="HW33" i="3"/>
  <c r="HX33" i="3"/>
  <c r="HY33" i="3"/>
  <c r="HZ33" i="3"/>
  <c r="IA33" i="3"/>
  <c r="IB33" i="3"/>
  <c r="IC33" i="3"/>
  <c r="ID33" i="3"/>
  <c r="IE33" i="3"/>
  <c r="IF33" i="3"/>
  <c r="IG33" i="3"/>
  <c r="IH33" i="3"/>
  <c r="II33" i="3"/>
  <c r="IJ33" i="3"/>
  <c r="IK33" i="3"/>
  <c r="IL33" i="3"/>
  <c r="IM33" i="3"/>
  <c r="IN33" i="3"/>
  <c r="IO33" i="3"/>
  <c r="IP33" i="3"/>
  <c r="IQ33" i="3"/>
  <c r="IR33" i="3"/>
  <c r="IS33" i="3"/>
  <c r="IT33" i="3"/>
  <c r="IU33" i="3"/>
  <c r="IV33" i="3"/>
  <c r="IW33" i="3"/>
  <c r="IX33" i="3"/>
  <c r="IY33" i="3"/>
  <c r="IZ33" i="3"/>
  <c r="JA33" i="3"/>
  <c r="JB33" i="3"/>
  <c r="JC33" i="3"/>
  <c r="JD33" i="3"/>
  <c r="JE33" i="3"/>
  <c r="JF33" i="3"/>
  <c r="JG33" i="3"/>
  <c r="JH33" i="3"/>
  <c r="JI33" i="3"/>
  <c r="JJ33" i="3"/>
  <c r="JK33" i="3"/>
  <c r="JL33" i="3"/>
  <c r="JM33" i="3"/>
  <c r="A34" i="3"/>
  <c r="B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AO34" i="3"/>
  <c r="AP34" i="3"/>
  <c r="AQ34" i="3"/>
  <c r="AR34" i="3"/>
  <c r="AS34" i="3"/>
  <c r="AT34" i="3"/>
  <c r="AU34" i="3"/>
  <c r="AV34" i="3"/>
  <c r="AW34" i="3"/>
  <c r="AX34" i="3"/>
  <c r="AY34" i="3"/>
  <c r="AZ34" i="3"/>
  <c r="BA34" i="3"/>
  <c r="BB34" i="3"/>
  <c r="BC34" i="3"/>
  <c r="BD34" i="3"/>
  <c r="BE34" i="3"/>
  <c r="BF34" i="3"/>
  <c r="BG34" i="3"/>
  <c r="BH34" i="3"/>
  <c r="BI34" i="3"/>
  <c r="BJ34" i="3"/>
  <c r="BK34" i="3"/>
  <c r="BL34" i="3"/>
  <c r="BM34" i="3"/>
  <c r="BN34" i="3"/>
  <c r="BO34" i="3"/>
  <c r="BP34" i="3"/>
  <c r="BQ34" i="3"/>
  <c r="BR34" i="3"/>
  <c r="BS34" i="3"/>
  <c r="BT34" i="3"/>
  <c r="BU34" i="3"/>
  <c r="BV34" i="3"/>
  <c r="BW34" i="3"/>
  <c r="BX34" i="3"/>
  <c r="BY34" i="3"/>
  <c r="BZ34" i="3"/>
  <c r="CA34" i="3"/>
  <c r="CB34" i="3"/>
  <c r="CC34" i="3"/>
  <c r="CD34" i="3"/>
  <c r="CE34" i="3"/>
  <c r="CF34" i="3"/>
  <c r="CG34" i="3"/>
  <c r="CH34" i="3"/>
  <c r="CI34" i="3"/>
  <c r="CJ34" i="3"/>
  <c r="CK34" i="3"/>
  <c r="CL34" i="3"/>
  <c r="CM34" i="3"/>
  <c r="CN34" i="3"/>
  <c r="CO34" i="3"/>
  <c r="CP34" i="3"/>
  <c r="CQ34" i="3"/>
  <c r="CR34" i="3"/>
  <c r="CS34" i="3"/>
  <c r="CT34" i="3"/>
  <c r="CU34" i="3"/>
  <c r="CV34" i="3"/>
  <c r="CW34" i="3"/>
  <c r="CX34" i="3"/>
  <c r="CY34" i="3"/>
  <c r="CZ34" i="3"/>
  <c r="DA34" i="3"/>
  <c r="DB34" i="3"/>
  <c r="DC34" i="3"/>
  <c r="DD34" i="3"/>
  <c r="DE34" i="3"/>
  <c r="DF34" i="3"/>
  <c r="DG34" i="3"/>
  <c r="DH34" i="3"/>
  <c r="DI34" i="3"/>
  <c r="DJ34" i="3"/>
  <c r="DK34" i="3"/>
  <c r="DL34" i="3"/>
  <c r="DM34" i="3"/>
  <c r="DN34" i="3"/>
  <c r="DO34" i="3"/>
  <c r="DP34" i="3"/>
  <c r="DQ34" i="3"/>
  <c r="DR34" i="3"/>
  <c r="DS34" i="3"/>
  <c r="DT34" i="3"/>
  <c r="DU34" i="3"/>
  <c r="DV34" i="3"/>
  <c r="DW34" i="3"/>
  <c r="DX34" i="3"/>
  <c r="DY34" i="3"/>
  <c r="DZ34" i="3"/>
  <c r="EA34" i="3"/>
  <c r="EB34" i="3"/>
  <c r="A35" i="3"/>
  <c r="B35" i="3"/>
  <c r="C35" i="3"/>
  <c r="D35" i="3"/>
  <c r="E35" i="3"/>
  <c r="F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AL35" i="3"/>
  <c r="AM35" i="3"/>
  <c r="AN35" i="3"/>
  <c r="AO35" i="3"/>
  <c r="AP35" i="3"/>
  <c r="AQ35" i="3"/>
  <c r="AR35" i="3"/>
  <c r="AS35" i="3"/>
  <c r="AT35" i="3"/>
  <c r="AU35" i="3"/>
  <c r="AV35" i="3"/>
  <c r="AW35" i="3"/>
  <c r="AX35" i="3"/>
  <c r="AY35" i="3"/>
  <c r="AZ35" i="3"/>
  <c r="BA35" i="3"/>
  <c r="BB35" i="3"/>
  <c r="BC35" i="3"/>
  <c r="BD35" i="3"/>
  <c r="BE35" i="3"/>
  <c r="BF35" i="3"/>
  <c r="BG35" i="3"/>
  <c r="BH35" i="3"/>
  <c r="BI35" i="3"/>
  <c r="BJ35" i="3"/>
  <c r="BK35" i="3"/>
  <c r="BL35" i="3"/>
  <c r="BM35" i="3"/>
  <c r="BN35" i="3"/>
  <c r="BO35" i="3"/>
  <c r="BP35" i="3"/>
  <c r="BQ35" i="3"/>
  <c r="BR35" i="3"/>
  <c r="BS35" i="3"/>
  <c r="BT35" i="3"/>
  <c r="BU35" i="3"/>
  <c r="BV35" i="3"/>
  <c r="BW35" i="3"/>
  <c r="BX35" i="3"/>
  <c r="BY35" i="3"/>
  <c r="BZ35" i="3"/>
  <c r="CA35" i="3"/>
  <c r="CB35" i="3"/>
  <c r="CC35" i="3"/>
  <c r="CD35" i="3"/>
  <c r="CE35" i="3"/>
  <c r="CF35" i="3"/>
  <c r="CG35" i="3"/>
  <c r="CH35" i="3"/>
  <c r="CI35" i="3"/>
  <c r="CJ35" i="3"/>
  <c r="CK35" i="3"/>
  <c r="CL35" i="3"/>
  <c r="CM35" i="3"/>
  <c r="CN35" i="3"/>
  <c r="CO35" i="3"/>
  <c r="CP35" i="3"/>
  <c r="CQ35" i="3"/>
  <c r="CR35" i="3"/>
  <c r="CS35" i="3"/>
  <c r="CT35" i="3"/>
  <c r="CU35" i="3"/>
  <c r="CV35" i="3"/>
  <c r="CW35" i="3"/>
  <c r="CX35" i="3"/>
  <c r="CY35" i="3"/>
  <c r="CZ35" i="3"/>
  <c r="DA35" i="3"/>
  <c r="DB35" i="3"/>
  <c r="DC35" i="3"/>
  <c r="DD35" i="3"/>
  <c r="DE35" i="3"/>
  <c r="DF35" i="3"/>
  <c r="DG35" i="3"/>
  <c r="DH35" i="3"/>
  <c r="DI35" i="3"/>
  <c r="DJ35" i="3"/>
  <c r="DK35" i="3"/>
  <c r="DL35" i="3"/>
  <c r="DM35" i="3"/>
  <c r="DN35" i="3"/>
  <c r="DO35" i="3"/>
  <c r="DP35" i="3"/>
  <c r="DQ35" i="3"/>
  <c r="DR35" i="3"/>
  <c r="DS35" i="3"/>
  <c r="DT35" i="3"/>
  <c r="DU35" i="3"/>
  <c r="DV35" i="3"/>
  <c r="DW35" i="3"/>
  <c r="DX35" i="3"/>
  <c r="DY35" i="3"/>
  <c r="DZ35" i="3"/>
  <c r="EA35" i="3"/>
  <c r="EB35" i="3"/>
  <c r="EC35" i="3"/>
  <c r="ED35" i="3"/>
  <c r="EE35" i="3"/>
  <c r="EF35" i="3"/>
  <c r="EG35" i="3"/>
  <c r="EI35" i="3"/>
  <c r="EJ35" i="3"/>
  <c r="EK35" i="3"/>
  <c r="EL35" i="3"/>
  <c r="EM35" i="3"/>
  <c r="EN35" i="3"/>
  <c r="EO35" i="3"/>
  <c r="EP35" i="3"/>
  <c r="EQ35" i="3"/>
  <c r="ER35" i="3"/>
  <c r="ES35" i="3"/>
  <c r="ET35" i="3"/>
  <c r="EU35" i="3"/>
  <c r="EV35" i="3"/>
  <c r="EW35" i="3"/>
  <c r="EX35" i="3"/>
  <c r="EY35" i="3"/>
  <c r="EZ35" i="3"/>
  <c r="FA35" i="3"/>
  <c r="FB35" i="3"/>
  <c r="FC35" i="3"/>
  <c r="FD35" i="3"/>
  <c r="FE35" i="3"/>
  <c r="FF35" i="3"/>
  <c r="FG35" i="3"/>
  <c r="FH35" i="3"/>
  <c r="FI35" i="3"/>
  <c r="FJ35" i="3"/>
  <c r="FK35" i="3"/>
  <c r="FL35" i="3"/>
  <c r="FM35" i="3"/>
  <c r="FN35" i="3"/>
  <c r="FO35" i="3"/>
  <c r="FP35" i="3"/>
  <c r="FQ35" i="3"/>
  <c r="FR35" i="3"/>
  <c r="FS35" i="3"/>
  <c r="FT35" i="3"/>
  <c r="FU35" i="3"/>
  <c r="FV35" i="3"/>
  <c r="FW35" i="3"/>
  <c r="FX35" i="3"/>
  <c r="FY35" i="3"/>
  <c r="FZ35" i="3"/>
  <c r="GA35" i="3"/>
  <c r="GB35" i="3"/>
  <c r="GC35" i="3"/>
  <c r="GD35" i="3"/>
  <c r="GE35" i="3"/>
  <c r="GF35" i="3"/>
  <c r="GG35" i="3"/>
  <c r="GH35" i="3"/>
  <c r="GI35" i="3"/>
  <c r="GJ35" i="3"/>
  <c r="GK35" i="3"/>
  <c r="GL35" i="3"/>
  <c r="GM35" i="3"/>
  <c r="GN35" i="3"/>
  <c r="GO35" i="3"/>
  <c r="GP35" i="3"/>
  <c r="GQ35" i="3"/>
  <c r="GR35" i="3"/>
  <c r="GS35" i="3"/>
  <c r="GT35" i="3"/>
  <c r="GU35" i="3"/>
  <c r="GV35" i="3"/>
  <c r="GW35" i="3"/>
  <c r="GX35" i="3"/>
  <c r="GY35" i="3"/>
  <c r="GZ35" i="3"/>
  <c r="HA35" i="3"/>
  <c r="HB35" i="3"/>
  <c r="HC35" i="3"/>
  <c r="HD35" i="3"/>
  <c r="HE35" i="3"/>
  <c r="HF35" i="3"/>
  <c r="HG35" i="3"/>
  <c r="HH35" i="3"/>
  <c r="HI35" i="3"/>
  <c r="HJ35" i="3"/>
  <c r="HK35" i="3"/>
  <c r="HL35" i="3"/>
  <c r="HM35" i="3"/>
  <c r="HN35" i="3"/>
  <c r="HO35" i="3"/>
  <c r="HP35" i="3"/>
  <c r="HQ35" i="3"/>
  <c r="HR35" i="3"/>
  <c r="HS35" i="3"/>
  <c r="HT35" i="3"/>
  <c r="HU35" i="3"/>
  <c r="HV35" i="3"/>
  <c r="HW35" i="3"/>
  <c r="HX35" i="3"/>
  <c r="HY35" i="3"/>
  <c r="HZ35" i="3"/>
  <c r="IA35" i="3"/>
  <c r="IB35" i="3"/>
  <c r="IC35" i="3"/>
  <c r="ID35" i="3"/>
  <c r="IE35" i="3"/>
  <c r="IF35" i="3"/>
  <c r="IG35" i="3"/>
  <c r="IH35" i="3"/>
  <c r="II35" i="3"/>
  <c r="IJ35" i="3"/>
  <c r="IK35" i="3"/>
  <c r="IL35" i="3"/>
  <c r="IM35" i="3"/>
  <c r="IN35" i="3"/>
  <c r="IO35" i="3"/>
  <c r="IP35" i="3"/>
  <c r="IQ35" i="3"/>
  <c r="IR35" i="3"/>
  <c r="IS35" i="3"/>
  <c r="IT35" i="3"/>
  <c r="IU35" i="3"/>
  <c r="IV35" i="3"/>
  <c r="IW35" i="3"/>
  <c r="IX35" i="3"/>
  <c r="IY35" i="3"/>
  <c r="IZ35" i="3"/>
  <c r="JA35" i="3"/>
  <c r="JB35" i="3"/>
  <c r="JC35" i="3"/>
  <c r="JD35" i="3"/>
  <c r="JE35" i="3"/>
  <c r="JF35" i="3"/>
  <c r="JG35" i="3"/>
  <c r="JH35" i="3"/>
  <c r="JI35" i="3"/>
  <c r="JJ35" i="3"/>
  <c r="JK35" i="3"/>
  <c r="JL35" i="3"/>
  <c r="JM35" i="3"/>
  <c r="A26" i="3"/>
  <c r="B26" i="3"/>
  <c r="C26" i="3"/>
  <c r="D26" i="3"/>
  <c r="E26" i="3"/>
  <c r="F26" i="3"/>
  <c r="G26" i="3"/>
  <c r="H26" i="3"/>
  <c r="I26" i="3"/>
  <c r="J26" i="3"/>
  <c r="K26" i="3"/>
  <c r="L26" i="3"/>
  <c r="M26" i="3"/>
  <c r="N26" i="3"/>
  <c r="O26" i="3"/>
  <c r="P26" i="3"/>
  <c r="Q26" i="3"/>
  <c r="R26" i="3"/>
  <c r="S26" i="3"/>
  <c r="T26" i="3"/>
  <c r="U26" i="3"/>
  <c r="V26" i="3"/>
  <c r="W26" i="3"/>
  <c r="X26" i="3"/>
  <c r="Y26" i="3"/>
  <c r="Z26" i="3"/>
  <c r="AA26" i="3"/>
  <c r="AB26" i="3"/>
  <c r="AC26" i="3"/>
  <c r="AD26" i="3"/>
  <c r="AE26" i="3"/>
  <c r="AF26" i="3"/>
  <c r="AG26" i="3"/>
  <c r="AH26" i="3"/>
  <c r="AI26" i="3"/>
  <c r="AJ26" i="3"/>
  <c r="AK26" i="3"/>
  <c r="AL26" i="3"/>
  <c r="AM26" i="3"/>
  <c r="AN26" i="3"/>
  <c r="AO26" i="3"/>
  <c r="AP26" i="3"/>
  <c r="AQ26" i="3"/>
  <c r="AR26" i="3"/>
  <c r="AS26" i="3"/>
  <c r="AT26" i="3"/>
  <c r="AU26" i="3"/>
  <c r="AV26" i="3"/>
  <c r="AW26" i="3"/>
  <c r="AX26" i="3"/>
  <c r="AY26" i="3"/>
  <c r="AZ26" i="3"/>
  <c r="BA26" i="3"/>
  <c r="BB26" i="3"/>
  <c r="BC26" i="3"/>
  <c r="BD26" i="3"/>
  <c r="BE26" i="3"/>
  <c r="BF26" i="3"/>
  <c r="BG26" i="3"/>
  <c r="BH26" i="3"/>
  <c r="BI26" i="3"/>
  <c r="BJ26" i="3"/>
  <c r="BK26" i="3"/>
  <c r="BL26" i="3"/>
  <c r="BM26" i="3"/>
  <c r="BN26" i="3"/>
  <c r="BO26" i="3"/>
  <c r="BP26" i="3"/>
  <c r="BQ26" i="3"/>
  <c r="BR26" i="3"/>
  <c r="BS26" i="3"/>
  <c r="BT26" i="3"/>
  <c r="BU26" i="3"/>
  <c r="BV26" i="3"/>
  <c r="BW26" i="3"/>
  <c r="BX26" i="3"/>
  <c r="BY26" i="3"/>
  <c r="BZ26" i="3"/>
  <c r="CA26" i="3"/>
  <c r="CB26" i="3"/>
  <c r="CC26" i="3"/>
  <c r="CD26" i="3"/>
  <c r="CE26" i="3"/>
  <c r="CF26" i="3"/>
  <c r="CG26" i="3"/>
  <c r="CH26" i="3"/>
  <c r="CI26" i="3"/>
  <c r="CJ26" i="3"/>
  <c r="CK26" i="3"/>
  <c r="CL26" i="3"/>
  <c r="CM26" i="3"/>
  <c r="CN26" i="3"/>
  <c r="CO26" i="3"/>
  <c r="CP26" i="3"/>
  <c r="CQ26" i="3"/>
  <c r="CR26" i="3"/>
  <c r="CS26" i="3"/>
  <c r="CT26" i="3"/>
  <c r="CU26" i="3"/>
  <c r="CV26" i="3"/>
  <c r="CW26" i="3"/>
  <c r="CX26" i="3"/>
  <c r="CY26" i="3"/>
  <c r="CZ26" i="3"/>
  <c r="DA26" i="3"/>
  <c r="DB26" i="3"/>
  <c r="DC26" i="3"/>
  <c r="DD26" i="3"/>
  <c r="DE26" i="3"/>
  <c r="DF26" i="3"/>
  <c r="DG26" i="3"/>
  <c r="DH26" i="3"/>
  <c r="DI26" i="3"/>
  <c r="DJ26" i="3"/>
  <c r="DK26" i="3"/>
  <c r="DL26" i="3"/>
  <c r="DM26" i="3"/>
  <c r="DN26" i="3"/>
  <c r="DO26" i="3"/>
  <c r="DP26" i="3"/>
  <c r="DQ26" i="3"/>
  <c r="DR26" i="3"/>
  <c r="DS26" i="3"/>
  <c r="DT26" i="3"/>
  <c r="DU26" i="3"/>
  <c r="DV26" i="3"/>
  <c r="DW26" i="3"/>
  <c r="DX26" i="3"/>
  <c r="DY26" i="3"/>
  <c r="DZ26" i="3"/>
  <c r="EA26" i="3"/>
  <c r="EB26" i="3"/>
  <c r="EC26" i="3"/>
  <c r="ED26" i="3"/>
  <c r="EE26" i="3"/>
  <c r="EF26" i="3"/>
  <c r="EG26" i="3"/>
  <c r="EI26" i="3"/>
  <c r="EJ26" i="3"/>
  <c r="EK26" i="3"/>
  <c r="EL26" i="3"/>
  <c r="EM26" i="3"/>
  <c r="EN26" i="3"/>
  <c r="EO26" i="3"/>
  <c r="EP26" i="3"/>
  <c r="EQ26" i="3"/>
  <c r="ER26" i="3"/>
  <c r="ES26" i="3"/>
  <c r="ET26" i="3"/>
  <c r="EU26" i="3"/>
  <c r="EV26" i="3"/>
  <c r="EW26" i="3"/>
  <c r="EX26" i="3"/>
  <c r="EY26" i="3"/>
  <c r="EZ26" i="3"/>
  <c r="FA26" i="3"/>
  <c r="FB26" i="3"/>
  <c r="FC26" i="3"/>
  <c r="FD26" i="3"/>
  <c r="FE26" i="3"/>
  <c r="FF26" i="3"/>
  <c r="FG26" i="3"/>
  <c r="FH26" i="3"/>
  <c r="FI26" i="3"/>
  <c r="FJ26" i="3"/>
  <c r="FK26" i="3"/>
  <c r="FL26" i="3"/>
  <c r="FM26" i="3"/>
  <c r="FN26" i="3"/>
  <c r="FO26" i="3"/>
  <c r="FP26" i="3"/>
  <c r="FQ26" i="3"/>
  <c r="FR26" i="3"/>
  <c r="FS26" i="3"/>
  <c r="FT26" i="3"/>
  <c r="FU26" i="3"/>
  <c r="FV26" i="3"/>
  <c r="FW26" i="3"/>
  <c r="FX26" i="3"/>
  <c r="FY26" i="3"/>
  <c r="FZ26" i="3"/>
  <c r="GA26" i="3"/>
  <c r="GB26" i="3"/>
  <c r="GC26" i="3"/>
  <c r="GD26" i="3"/>
  <c r="GE26" i="3"/>
  <c r="GF26" i="3"/>
  <c r="GG26" i="3"/>
  <c r="GH26" i="3"/>
  <c r="GI26" i="3"/>
  <c r="GJ26" i="3"/>
  <c r="GK26" i="3"/>
  <c r="GL26" i="3"/>
  <c r="GM26" i="3"/>
  <c r="GN26" i="3"/>
  <c r="GO26" i="3"/>
  <c r="GP26" i="3"/>
  <c r="GQ26" i="3"/>
  <c r="GR26" i="3"/>
  <c r="GS26" i="3"/>
  <c r="GT26" i="3"/>
  <c r="GU26" i="3"/>
  <c r="GV26" i="3"/>
  <c r="GW26" i="3"/>
  <c r="GX26" i="3"/>
  <c r="GY26" i="3"/>
  <c r="GZ26" i="3"/>
  <c r="HA26" i="3"/>
  <c r="HB26" i="3"/>
  <c r="HC26" i="3"/>
  <c r="HD26" i="3"/>
  <c r="HE26" i="3"/>
  <c r="HF26" i="3"/>
  <c r="HG26" i="3"/>
  <c r="HH26" i="3"/>
  <c r="HI26" i="3"/>
  <c r="HJ26" i="3"/>
  <c r="HK26" i="3"/>
  <c r="HL26" i="3"/>
  <c r="HM26" i="3"/>
  <c r="HN26" i="3"/>
  <c r="HO26" i="3"/>
  <c r="HP26" i="3"/>
  <c r="HQ26" i="3"/>
  <c r="HR26" i="3"/>
  <c r="HS26" i="3"/>
  <c r="HT26" i="3"/>
  <c r="HU26" i="3"/>
  <c r="HV26" i="3"/>
  <c r="HW26" i="3"/>
  <c r="HX26" i="3"/>
  <c r="HY26" i="3"/>
  <c r="HZ26" i="3"/>
  <c r="IA26" i="3"/>
  <c r="IB26" i="3"/>
  <c r="IC26" i="3"/>
  <c r="ID26" i="3"/>
  <c r="IE26" i="3"/>
  <c r="IF26" i="3"/>
  <c r="IG26" i="3"/>
  <c r="IH26" i="3"/>
  <c r="II26" i="3"/>
  <c r="IJ26" i="3"/>
  <c r="IK26" i="3"/>
  <c r="IL26" i="3"/>
  <c r="IM26" i="3"/>
  <c r="IN26" i="3"/>
  <c r="IO26" i="3"/>
  <c r="IP26" i="3"/>
  <c r="IQ26" i="3"/>
  <c r="IR26" i="3"/>
  <c r="IS26" i="3"/>
  <c r="IT26" i="3"/>
  <c r="IU26" i="3"/>
  <c r="IV26" i="3"/>
  <c r="IW26" i="3"/>
  <c r="IX26" i="3"/>
  <c r="IY26" i="3"/>
  <c r="IZ26" i="3"/>
  <c r="JA26" i="3"/>
  <c r="JB26" i="3"/>
  <c r="JC26" i="3"/>
  <c r="JD26" i="3"/>
  <c r="JE26" i="3"/>
  <c r="JF26" i="3"/>
  <c r="JG26" i="3"/>
  <c r="JH26" i="3"/>
  <c r="JI26" i="3"/>
  <c r="JJ26" i="3"/>
  <c r="JK26" i="3"/>
  <c r="JL26" i="3"/>
  <c r="JM26" i="3"/>
  <c r="A27" i="3"/>
  <c r="B27" i="3"/>
  <c r="H27" i="3"/>
  <c r="I27" i="3"/>
  <c r="J27" i="3"/>
  <c r="K27" i="3"/>
  <c r="L27" i="3"/>
  <c r="M27" i="3"/>
  <c r="N27" i="3"/>
  <c r="O27" i="3"/>
  <c r="P27" i="3"/>
  <c r="Q27" i="3"/>
  <c r="R27" i="3"/>
  <c r="S27" i="3"/>
  <c r="T27" i="3"/>
  <c r="U27" i="3"/>
  <c r="V27" i="3"/>
  <c r="W27" i="3"/>
  <c r="X27" i="3"/>
  <c r="Y27" i="3"/>
  <c r="Z27" i="3"/>
  <c r="AA27" i="3"/>
  <c r="AB27" i="3"/>
  <c r="AC27" i="3"/>
  <c r="AD27" i="3"/>
  <c r="AE27" i="3"/>
  <c r="AF27" i="3"/>
  <c r="AG27" i="3"/>
  <c r="AH27" i="3"/>
  <c r="AI27" i="3"/>
  <c r="AJ27" i="3"/>
  <c r="AK27" i="3"/>
  <c r="AL27" i="3"/>
  <c r="AM27" i="3"/>
  <c r="AN27" i="3"/>
  <c r="AO27" i="3"/>
  <c r="AP27" i="3"/>
  <c r="AQ27" i="3"/>
  <c r="AR27" i="3"/>
  <c r="AS27" i="3"/>
  <c r="AT27" i="3"/>
  <c r="AU27" i="3"/>
  <c r="AV27" i="3"/>
  <c r="AW27" i="3"/>
  <c r="AX27" i="3"/>
  <c r="AY27" i="3"/>
  <c r="AZ27" i="3"/>
  <c r="BA27" i="3"/>
  <c r="BB27" i="3"/>
  <c r="BC27" i="3"/>
  <c r="BD27" i="3"/>
  <c r="BE27" i="3"/>
  <c r="BF27" i="3"/>
  <c r="BG27" i="3"/>
  <c r="BH27" i="3"/>
  <c r="BI27" i="3"/>
  <c r="BJ27" i="3"/>
  <c r="BK27" i="3"/>
  <c r="BL27" i="3"/>
  <c r="BM27" i="3"/>
  <c r="BN27" i="3"/>
  <c r="BO27" i="3"/>
  <c r="BP27" i="3"/>
  <c r="BQ27" i="3"/>
  <c r="BR27" i="3"/>
  <c r="BS27" i="3"/>
  <c r="BT27" i="3"/>
  <c r="BU27" i="3"/>
  <c r="BV27" i="3"/>
  <c r="BW27" i="3"/>
  <c r="BX27" i="3"/>
  <c r="BY27" i="3"/>
  <c r="BZ27" i="3"/>
  <c r="CA27" i="3"/>
  <c r="CB27" i="3"/>
  <c r="CC27" i="3"/>
  <c r="CD27" i="3"/>
  <c r="CE27" i="3"/>
  <c r="CF27" i="3"/>
  <c r="CG27" i="3"/>
  <c r="CH27" i="3"/>
  <c r="CI27" i="3"/>
  <c r="CJ27" i="3"/>
  <c r="CK27" i="3"/>
  <c r="CL27" i="3"/>
  <c r="CM27" i="3"/>
  <c r="CN27" i="3"/>
  <c r="CO27" i="3"/>
  <c r="CP27" i="3"/>
  <c r="CQ27" i="3"/>
  <c r="CR27" i="3"/>
  <c r="CS27" i="3"/>
  <c r="CT27" i="3"/>
  <c r="CU27" i="3"/>
  <c r="CV27" i="3"/>
  <c r="CW27" i="3"/>
  <c r="CX27" i="3"/>
  <c r="CY27" i="3"/>
  <c r="CZ27" i="3"/>
  <c r="DA27" i="3"/>
  <c r="DB27" i="3"/>
  <c r="DC27" i="3"/>
  <c r="DD27" i="3"/>
  <c r="DE27" i="3"/>
  <c r="DF27" i="3"/>
  <c r="DG27" i="3"/>
  <c r="DH27" i="3"/>
  <c r="DI27" i="3"/>
  <c r="DJ27" i="3"/>
  <c r="DK27" i="3"/>
  <c r="DL27" i="3"/>
  <c r="DM27" i="3"/>
  <c r="DN27" i="3"/>
  <c r="DO27" i="3"/>
  <c r="DP27" i="3"/>
  <c r="DQ27" i="3"/>
  <c r="DR27" i="3"/>
  <c r="DS27" i="3"/>
  <c r="DT27" i="3"/>
  <c r="DU27" i="3"/>
  <c r="DV27" i="3"/>
  <c r="DW27" i="3"/>
  <c r="DX27" i="3"/>
  <c r="DY27" i="3"/>
  <c r="DZ27" i="3"/>
  <c r="EA27" i="3"/>
  <c r="EB27" i="3"/>
  <c r="EC27" i="3"/>
  <c r="ED27" i="3"/>
  <c r="EE27" i="3"/>
  <c r="EF27" i="3"/>
  <c r="EG27" i="3"/>
  <c r="EI27" i="3"/>
  <c r="EJ27" i="3"/>
  <c r="EK27" i="3"/>
  <c r="EL27" i="3"/>
  <c r="EM27" i="3"/>
  <c r="EN27" i="3"/>
  <c r="EO27" i="3"/>
  <c r="EP27" i="3"/>
  <c r="EQ27" i="3"/>
  <c r="ER27" i="3"/>
  <c r="ES27" i="3"/>
  <c r="ET27" i="3"/>
  <c r="EU27" i="3"/>
  <c r="EV27" i="3"/>
  <c r="EW27" i="3"/>
  <c r="EX27" i="3"/>
  <c r="EY27" i="3"/>
  <c r="EZ27" i="3"/>
  <c r="FA27" i="3"/>
  <c r="FB27" i="3"/>
  <c r="FC27" i="3"/>
  <c r="FD27" i="3"/>
  <c r="FE27" i="3"/>
  <c r="FF27" i="3"/>
  <c r="FG27" i="3"/>
  <c r="FH27" i="3"/>
  <c r="FI27" i="3"/>
  <c r="FJ27" i="3"/>
  <c r="FK27" i="3"/>
  <c r="FL27" i="3"/>
  <c r="FM27" i="3"/>
  <c r="FN27" i="3"/>
  <c r="FO27" i="3"/>
  <c r="FP27" i="3"/>
  <c r="FQ27" i="3"/>
  <c r="FR27" i="3"/>
  <c r="FS27" i="3"/>
  <c r="FT27" i="3"/>
  <c r="FU27" i="3"/>
  <c r="FV27" i="3"/>
  <c r="FW27" i="3"/>
  <c r="FX27" i="3"/>
  <c r="FY27" i="3"/>
  <c r="FZ27" i="3"/>
  <c r="GA27" i="3"/>
  <c r="GB27" i="3"/>
  <c r="GC27" i="3"/>
  <c r="GD27" i="3"/>
  <c r="GE27" i="3"/>
  <c r="GF27" i="3"/>
  <c r="GG27" i="3"/>
  <c r="GH27" i="3"/>
  <c r="GI27" i="3"/>
  <c r="GJ27" i="3"/>
  <c r="GK27" i="3"/>
  <c r="GL27" i="3"/>
  <c r="GM27" i="3"/>
  <c r="GN27" i="3"/>
  <c r="GO27" i="3"/>
  <c r="GP27" i="3"/>
  <c r="GQ27" i="3"/>
  <c r="GR27" i="3"/>
  <c r="GS27" i="3"/>
  <c r="GT27" i="3"/>
  <c r="GU27" i="3"/>
  <c r="GV27" i="3"/>
  <c r="GW27" i="3"/>
  <c r="GX27" i="3"/>
  <c r="GY27" i="3"/>
  <c r="GZ27" i="3"/>
  <c r="HA27" i="3"/>
  <c r="HB27" i="3"/>
  <c r="HC27" i="3"/>
  <c r="HD27" i="3"/>
  <c r="HE27" i="3"/>
  <c r="HF27" i="3"/>
  <c r="HG27" i="3"/>
  <c r="HH27" i="3"/>
  <c r="HI27" i="3"/>
  <c r="HJ27" i="3"/>
  <c r="HK27" i="3"/>
  <c r="HL27" i="3"/>
  <c r="HM27" i="3"/>
  <c r="HN27" i="3"/>
  <c r="HO27" i="3"/>
  <c r="HP27" i="3"/>
  <c r="HQ27" i="3"/>
  <c r="HR27" i="3"/>
  <c r="HS27" i="3"/>
  <c r="HT27" i="3"/>
  <c r="HU27" i="3"/>
  <c r="HV27" i="3"/>
  <c r="HW27" i="3"/>
  <c r="HX27" i="3"/>
  <c r="HY27" i="3"/>
  <c r="HZ27" i="3"/>
  <c r="IA27" i="3"/>
  <c r="IB27" i="3"/>
  <c r="IC27" i="3"/>
  <c r="ID27" i="3"/>
  <c r="IE27" i="3"/>
  <c r="IF27" i="3"/>
  <c r="IG27" i="3"/>
  <c r="IH27" i="3"/>
  <c r="II27" i="3"/>
  <c r="IJ27" i="3"/>
  <c r="IK27" i="3"/>
  <c r="IL27" i="3"/>
  <c r="IM27" i="3"/>
  <c r="IN27" i="3"/>
  <c r="IO27" i="3"/>
  <c r="IP27" i="3"/>
  <c r="IQ27" i="3"/>
  <c r="IR27" i="3"/>
  <c r="IS27" i="3"/>
  <c r="IT27" i="3"/>
  <c r="IU27" i="3"/>
  <c r="IV27" i="3"/>
  <c r="IW27" i="3"/>
  <c r="IX27" i="3"/>
  <c r="IY27" i="3"/>
  <c r="IZ27" i="3"/>
  <c r="JA27" i="3"/>
  <c r="JB27" i="3"/>
  <c r="JC27" i="3"/>
  <c r="JD27" i="3"/>
  <c r="JE27" i="3"/>
  <c r="JF27" i="3"/>
  <c r="JG27" i="3"/>
  <c r="JH27" i="3"/>
  <c r="JI27" i="3"/>
  <c r="JJ27" i="3"/>
  <c r="JK27" i="3"/>
  <c r="JL27" i="3"/>
  <c r="JM27" i="3"/>
  <c r="A28" i="3"/>
  <c r="B28" i="3"/>
  <c r="H28" i="3"/>
  <c r="I28" i="3"/>
  <c r="J28" i="3"/>
  <c r="K28" i="3"/>
  <c r="L28" i="3"/>
  <c r="M28" i="3"/>
  <c r="N28" i="3"/>
  <c r="O28" i="3"/>
  <c r="P28" i="3"/>
  <c r="Q28" i="3"/>
  <c r="R28" i="3"/>
  <c r="S28" i="3"/>
  <c r="T28" i="3"/>
  <c r="U28" i="3"/>
  <c r="V28" i="3"/>
  <c r="W28" i="3"/>
  <c r="X28" i="3"/>
  <c r="Y28" i="3"/>
  <c r="Z28" i="3"/>
  <c r="AA28" i="3"/>
  <c r="AB28" i="3"/>
  <c r="AC28" i="3"/>
  <c r="AD28" i="3"/>
  <c r="AE28" i="3"/>
  <c r="AF28" i="3"/>
  <c r="AG28" i="3"/>
  <c r="AH28" i="3"/>
  <c r="AI28" i="3"/>
  <c r="AJ28" i="3"/>
  <c r="AK28" i="3"/>
  <c r="AL28" i="3"/>
  <c r="AM28" i="3"/>
  <c r="AN28" i="3"/>
  <c r="AO28" i="3"/>
  <c r="AP28" i="3"/>
  <c r="AQ28" i="3"/>
  <c r="AR28" i="3"/>
  <c r="AS28" i="3"/>
  <c r="AT28" i="3"/>
  <c r="AU28" i="3"/>
  <c r="AV28" i="3"/>
  <c r="AW28" i="3"/>
  <c r="AX28" i="3"/>
  <c r="AY28" i="3"/>
  <c r="AZ28" i="3"/>
  <c r="BA28" i="3"/>
  <c r="BB28" i="3"/>
  <c r="BC28" i="3"/>
  <c r="BD28" i="3"/>
  <c r="BE28" i="3"/>
  <c r="BF28" i="3"/>
  <c r="BG28" i="3"/>
  <c r="BH28" i="3"/>
  <c r="BI28" i="3"/>
  <c r="BJ28" i="3"/>
  <c r="BK28" i="3"/>
  <c r="BL28" i="3"/>
  <c r="BM28" i="3"/>
  <c r="BN28" i="3"/>
  <c r="BO28" i="3"/>
  <c r="BP28" i="3"/>
  <c r="BQ28" i="3"/>
  <c r="BR28" i="3"/>
  <c r="BS28" i="3"/>
  <c r="BT28" i="3"/>
  <c r="BU28" i="3"/>
  <c r="BV28" i="3"/>
  <c r="BW28" i="3"/>
  <c r="BX28" i="3"/>
  <c r="BY28" i="3"/>
  <c r="BZ28" i="3"/>
  <c r="CA28" i="3"/>
  <c r="CB28" i="3"/>
  <c r="CC28" i="3"/>
  <c r="CD28" i="3"/>
  <c r="CE28" i="3"/>
  <c r="CF28" i="3"/>
  <c r="CG28" i="3"/>
  <c r="CH28" i="3"/>
  <c r="CI28" i="3"/>
  <c r="CJ28" i="3"/>
  <c r="CK28" i="3"/>
  <c r="CL28" i="3"/>
  <c r="CM28" i="3"/>
  <c r="CN28" i="3"/>
  <c r="CO28" i="3"/>
  <c r="CP28" i="3"/>
  <c r="CQ28" i="3"/>
  <c r="CR28" i="3"/>
  <c r="CS28" i="3"/>
  <c r="CT28" i="3"/>
  <c r="CU28" i="3"/>
  <c r="CV28" i="3"/>
  <c r="CW28" i="3"/>
  <c r="CX28" i="3"/>
  <c r="CY28" i="3"/>
  <c r="CZ28" i="3"/>
  <c r="DA28" i="3"/>
  <c r="DB28" i="3"/>
  <c r="DC28" i="3"/>
  <c r="DD28" i="3"/>
  <c r="DE28" i="3"/>
  <c r="DF28" i="3"/>
  <c r="DG28" i="3"/>
  <c r="DH28" i="3"/>
  <c r="DI28" i="3"/>
  <c r="DJ28" i="3"/>
  <c r="DK28" i="3"/>
  <c r="DL28" i="3"/>
  <c r="DM28" i="3"/>
  <c r="DN28" i="3"/>
  <c r="DO28" i="3"/>
  <c r="DP28" i="3"/>
  <c r="DQ28" i="3"/>
  <c r="DR28" i="3"/>
  <c r="DS28" i="3"/>
  <c r="DT28" i="3"/>
  <c r="DU28" i="3"/>
  <c r="DV28" i="3"/>
  <c r="DW28" i="3"/>
  <c r="DX28" i="3"/>
  <c r="DY28" i="3"/>
  <c r="DZ28" i="3"/>
  <c r="EA28" i="3"/>
  <c r="EB28" i="3"/>
  <c r="EC28" i="3"/>
  <c r="ED28" i="3"/>
  <c r="EE28" i="3"/>
  <c r="EF28" i="3"/>
  <c r="EG28" i="3"/>
  <c r="EI28" i="3"/>
  <c r="EJ28" i="3"/>
  <c r="EK28" i="3"/>
  <c r="EL28" i="3"/>
  <c r="EM28" i="3"/>
  <c r="EN28" i="3"/>
  <c r="EO28" i="3"/>
  <c r="EP28" i="3"/>
  <c r="EQ28" i="3"/>
  <c r="ER28" i="3"/>
  <c r="ES28" i="3"/>
  <c r="ET28" i="3"/>
  <c r="EU28" i="3"/>
  <c r="EV28" i="3"/>
  <c r="EW28" i="3"/>
  <c r="EX28" i="3"/>
  <c r="EY28" i="3"/>
  <c r="EZ28" i="3"/>
  <c r="FA28" i="3"/>
  <c r="FB28" i="3"/>
  <c r="FC28" i="3"/>
  <c r="FD28" i="3"/>
  <c r="FE28" i="3"/>
  <c r="FF28" i="3"/>
  <c r="FG28" i="3"/>
  <c r="FH28" i="3"/>
  <c r="FI28" i="3"/>
  <c r="FJ28" i="3"/>
  <c r="FK28" i="3"/>
  <c r="FL28" i="3"/>
  <c r="FM28" i="3"/>
  <c r="FN28" i="3"/>
  <c r="FO28" i="3"/>
  <c r="FP28" i="3"/>
  <c r="FQ28" i="3"/>
  <c r="FR28" i="3"/>
  <c r="FS28" i="3"/>
  <c r="FT28" i="3"/>
  <c r="FU28" i="3"/>
  <c r="FV28" i="3"/>
  <c r="FW28" i="3"/>
  <c r="FX28" i="3"/>
  <c r="FY28" i="3"/>
  <c r="FZ28" i="3"/>
  <c r="GA28" i="3"/>
  <c r="GB28" i="3"/>
  <c r="GC28" i="3"/>
  <c r="GD28" i="3"/>
  <c r="GE28" i="3"/>
  <c r="GF28" i="3"/>
  <c r="GG28" i="3"/>
  <c r="GH28" i="3"/>
  <c r="GI28" i="3"/>
  <c r="GJ28" i="3"/>
  <c r="GK28" i="3"/>
  <c r="GL28" i="3"/>
  <c r="GM28" i="3"/>
  <c r="GN28" i="3"/>
  <c r="GO28" i="3"/>
  <c r="GP28" i="3"/>
  <c r="GQ28" i="3"/>
  <c r="GR28" i="3"/>
  <c r="GS28" i="3"/>
  <c r="GT28" i="3"/>
  <c r="GU28" i="3"/>
  <c r="GV28" i="3"/>
  <c r="GW28" i="3"/>
  <c r="GX28" i="3"/>
  <c r="GY28" i="3"/>
  <c r="GZ28" i="3"/>
  <c r="HA28" i="3"/>
  <c r="HB28" i="3"/>
  <c r="HC28" i="3"/>
  <c r="HD28" i="3"/>
  <c r="HE28" i="3"/>
  <c r="HF28" i="3"/>
  <c r="HG28" i="3"/>
  <c r="HH28" i="3"/>
  <c r="HI28" i="3"/>
  <c r="HJ28" i="3"/>
  <c r="HK28" i="3"/>
  <c r="HL28" i="3"/>
  <c r="HM28" i="3"/>
  <c r="HN28" i="3"/>
  <c r="HO28" i="3"/>
  <c r="HP28" i="3"/>
  <c r="HQ28" i="3"/>
  <c r="HR28" i="3"/>
  <c r="HS28" i="3"/>
  <c r="HT28" i="3"/>
  <c r="HU28" i="3"/>
  <c r="HV28" i="3"/>
  <c r="HW28" i="3"/>
  <c r="HX28" i="3"/>
  <c r="HY28" i="3"/>
  <c r="HZ28" i="3"/>
  <c r="IA28" i="3"/>
  <c r="IB28" i="3"/>
  <c r="IC28" i="3"/>
  <c r="ID28" i="3"/>
  <c r="IE28" i="3"/>
  <c r="IF28" i="3"/>
  <c r="IG28" i="3"/>
  <c r="IH28" i="3"/>
  <c r="II28" i="3"/>
  <c r="IJ28" i="3"/>
  <c r="IK28" i="3"/>
  <c r="IL28" i="3"/>
  <c r="IM28" i="3"/>
  <c r="IN28" i="3"/>
  <c r="IO28" i="3"/>
  <c r="IP28" i="3"/>
  <c r="IQ28" i="3"/>
  <c r="IR28" i="3"/>
  <c r="IS28" i="3"/>
  <c r="IT28" i="3"/>
  <c r="IU28" i="3"/>
  <c r="IV28" i="3"/>
  <c r="IW28" i="3"/>
  <c r="IX28" i="3"/>
  <c r="IY28" i="3"/>
  <c r="IZ28" i="3"/>
  <c r="JA28" i="3"/>
  <c r="JB28" i="3"/>
  <c r="JC28" i="3"/>
  <c r="JD28" i="3"/>
  <c r="JE28" i="3"/>
  <c r="JF28" i="3"/>
  <c r="JG28" i="3"/>
  <c r="JH28" i="3"/>
  <c r="JI28" i="3"/>
  <c r="JJ28" i="3"/>
  <c r="JK28" i="3"/>
  <c r="JL28" i="3"/>
  <c r="JM28" i="3"/>
  <c r="A29" i="3"/>
  <c r="B29" i="3"/>
  <c r="H29" i="3"/>
  <c r="I29" i="3"/>
  <c r="J29" i="3"/>
  <c r="K29" i="3"/>
  <c r="L29" i="3"/>
  <c r="M29" i="3"/>
  <c r="N29" i="3"/>
  <c r="O29" i="3"/>
  <c r="P29" i="3"/>
  <c r="Q29" i="3"/>
  <c r="R29" i="3"/>
  <c r="S29" i="3"/>
  <c r="T29" i="3"/>
  <c r="U29" i="3"/>
  <c r="V29" i="3"/>
  <c r="W29" i="3"/>
  <c r="X29" i="3"/>
  <c r="Y29" i="3"/>
  <c r="Z29" i="3"/>
  <c r="AA29" i="3"/>
  <c r="AB29" i="3"/>
  <c r="AC29" i="3"/>
  <c r="AD29" i="3"/>
  <c r="AE29" i="3"/>
  <c r="AF29" i="3"/>
  <c r="AG29" i="3"/>
  <c r="AH29" i="3"/>
  <c r="AI29" i="3"/>
  <c r="AJ29" i="3"/>
  <c r="AK29" i="3"/>
  <c r="AL29" i="3"/>
  <c r="AM29" i="3"/>
  <c r="A30" i="3"/>
  <c r="B30" i="3"/>
  <c r="C30"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AH30" i="3"/>
  <c r="AI30" i="3"/>
  <c r="AJ30" i="3"/>
  <c r="AK30" i="3"/>
  <c r="AL30" i="3"/>
  <c r="AM30" i="3"/>
  <c r="AN30" i="3"/>
  <c r="AO30" i="3"/>
  <c r="AP30" i="3"/>
  <c r="AQ30" i="3"/>
  <c r="AR30" i="3"/>
  <c r="AS30" i="3"/>
  <c r="AT30" i="3"/>
  <c r="AU30" i="3"/>
  <c r="AV30" i="3"/>
  <c r="AW30" i="3"/>
  <c r="AX30" i="3"/>
  <c r="AY30" i="3"/>
  <c r="AZ30" i="3"/>
  <c r="BA30" i="3"/>
  <c r="BB30" i="3"/>
  <c r="BC30" i="3"/>
  <c r="BD30" i="3"/>
  <c r="BE30" i="3"/>
  <c r="BF30" i="3"/>
  <c r="BG30" i="3"/>
  <c r="BH30" i="3"/>
  <c r="BI30" i="3"/>
  <c r="BJ30" i="3"/>
  <c r="BK30" i="3"/>
  <c r="BL30" i="3"/>
  <c r="BM30" i="3"/>
  <c r="BN30" i="3"/>
  <c r="BO30" i="3"/>
  <c r="BP30" i="3"/>
  <c r="BQ30" i="3"/>
  <c r="BR30" i="3"/>
  <c r="BS30" i="3"/>
  <c r="BT30" i="3"/>
  <c r="BU30" i="3"/>
  <c r="BV30" i="3"/>
  <c r="BW30" i="3"/>
  <c r="BX30" i="3"/>
  <c r="BY30" i="3"/>
  <c r="BZ30" i="3"/>
  <c r="CA30" i="3"/>
  <c r="CB30" i="3"/>
  <c r="CC30" i="3"/>
  <c r="CD30" i="3"/>
  <c r="CE30" i="3"/>
  <c r="CF30" i="3"/>
  <c r="CG30" i="3"/>
  <c r="CH30" i="3"/>
  <c r="CI30" i="3"/>
  <c r="CJ30" i="3"/>
  <c r="CK30" i="3"/>
  <c r="CL30" i="3"/>
  <c r="CM30" i="3"/>
  <c r="CN30" i="3"/>
  <c r="CO30" i="3"/>
  <c r="CP30" i="3"/>
  <c r="CQ30" i="3"/>
  <c r="CR30" i="3"/>
  <c r="CS30" i="3"/>
  <c r="CT30" i="3"/>
  <c r="CU30" i="3"/>
  <c r="CV30" i="3"/>
  <c r="CW30" i="3"/>
  <c r="CX30" i="3"/>
  <c r="CY30" i="3"/>
  <c r="CZ30" i="3"/>
  <c r="DA30" i="3"/>
  <c r="DB30" i="3"/>
  <c r="DC30" i="3"/>
  <c r="DD30" i="3"/>
  <c r="DE30" i="3"/>
  <c r="DF30" i="3"/>
  <c r="DG30" i="3"/>
  <c r="DH30" i="3"/>
  <c r="DI30" i="3"/>
  <c r="DJ30" i="3"/>
  <c r="DK30" i="3"/>
  <c r="DL30" i="3"/>
  <c r="DM30" i="3"/>
  <c r="DN30" i="3"/>
  <c r="DO30" i="3"/>
  <c r="DP30" i="3"/>
  <c r="DQ30" i="3"/>
  <c r="DR30" i="3"/>
  <c r="DS30" i="3"/>
  <c r="DT30" i="3"/>
  <c r="DU30" i="3"/>
  <c r="DV30" i="3"/>
  <c r="DW30" i="3"/>
  <c r="DX30" i="3"/>
  <c r="DY30" i="3"/>
  <c r="DZ30" i="3"/>
  <c r="EA30" i="3"/>
  <c r="EB30" i="3"/>
  <c r="EC30" i="3"/>
  <c r="ED30" i="3"/>
  <c r="EE30" i="3"/>
  <c r="EF30" i="3"/>
  <c r="EG30" i="3"/>
  <c r="EI30" i="3"/>
  <c r="EJ30" i="3"/>
  <c r="EK30" i="3"/>
  <c r="EL30" i="3"/>
  <c r="EM30" i="3"/>
  <c r="EN30" i="3"/>
  <c r="EO30" i="3"/>
  <c r="EP30" i="3"/>
  <c r="EQ30" i="3"/>
  <c r="ER30" i="3"/>
  <c r="ES30" i="3"/>
  <c r="ET30" i="3"/>
  <c r="EU30" i="3"/>
  <c r="EV30" i="3"/>
  <c r="EW30" i="3"/>
  <c r="EX30" i="3"/>
  <c r="EY30" i="3"/>
  <c r="EZ30" i="3"/>
  <c r="FA30" i="3"/>
  <c r="FB30" i="3"/>
  <c r="FC30" i="3"/>
  <c r="FD30" i="3"/>
  <c r="FE30" i="3"/>
  <c r="FF30" i="3"/>
  <c r="FG30" i="3"/>
  <c r="FH30" i="3"/>
  <c r="FI30" i="3"/>
  <c r="FJ30" i="3"/>
  <c r="FK30" i="3"/>
  <c r="FL30" i="3"/>
  <c r="FM30" i="3"/>
  <c r="FN30" i="3"/>
  <c r="FO30" i="3"/>
  <c r="FP30" i="3"/>
  <c r="FQ30" i="3"/>
  <c r="FR30" i="3"/>
  <c r="FS30" i="3"/>
  <c r="FT30" i="3"/>
  <c r="FU30" i="3"/>
  <c r="FV30" i="3"/>
  <c r="FW30" i="3"/>
  <c r="FX30" i="3"/>
  <c r="FY30" i="3"/>
  <c r="FZ30" i="3"/>
  <c r="GA30" i="3"/>
  <c r="GB30" i="3"/>
  <c r="GC30" i="3"/>
  <c r="GD30" i="3"/>
  <c r="GE30" i="3"/>
  <c r="GF30" i="3"/>
  <c r="GG30" i="3"/>
  <c r="GH30" i="3"/>
  <c r="GI30" i="3"/>
  <c r="GJ30" i="3"/>
  <c r="GK30" i="3"/>
  <c r="GL30" i="3"/>
  <c r="GM30" i="3"/>
  <c r="GN30" i="3"/>
  <c r="GO30" i="3"/>
  <c r="GP30" i="3"/>
  <c r="GQ30" i="3"/>
  <c r="GR30" i="3"/>
  <c r="GS30" i="3"/>
  <c r="GT30" i="3"/>
  <c r="GU30" i="3"/>
  <c r="GV30" i="3"/>
  <c r="GW30" i="3"/>
  <c r="GX30" i="3"/>
  <c r="GY30" i="3"/>
  <c r="GZ30" i="3"/>
  <c r="HA30" i="3"/>
  <c r="HB30" i="3"/>
  <c r="HC30" i="3"/>
  <c r="HD30" i="3"/>
  <c r="HE30" i="3"/>
  <c r="HF30" i="3"/>
  <c r="HG30" i="3"/>
  <c r="HH30" i="3"/>
  <c r="HI30" i="3"/>
  <c r="HJ30" i="3"/>
  <c r="HK30" i="3"/>
  <c r="HL30" i="3"/>
  <c r="HM30" i="3"/>
  <c r="HN30" i="3"/>
  <c r="HO30" i="3"/>
  <c r="HP30" i="3"/>
  <c r="HQ30" i="3"/>
  <c r="HR30" i="3"/>
  <c r="HS30" i="3"/>
  <c r="HT30" i="3"/>
  <c r="HU30" i="3"/>
  <c r="HV30" i="3"/>
  <c r="HW30" i="3"/>
  <c r="HX30" i="3"/>
  <c r="HY30" i="3"/>
  <c r="HZ30" i="3"/>
  <c r="IA30" i="3"/>
  <c r="IB30" i="3"/>
  <c r="IC30" i="3"/>
  <c r="ID30" i="3"/>
  <c r="IE30" i="3"/>
  <c r="IF30" i="3"/>
  <c r="IG30" i="3"/>
  <c r="IH30" i="3"/>
  <c r="II30" i="3"/>
  <c r="IJ30" i="3"/>
  <c r="IK30" i="3"/>
  <c r="IL30" i="3"/>
  <c r="IM30" i="3"/>
  <c r="IN30" i="3"/>
  <c r="IO30" i="3"/>
  <c r="IP30" i="3"/>
  <c r="IQ30" i="3"/>
  <c r="IR30" i="3"/>
  <c r="IS30" i="3"/>
  <c r="IT30" i="3"/>
  <c r="IU30" i="3"/>
  <c r="IV30" i="3"/>
  <c r="IW30" i="3"/>
  <c r="IX30" i="3"/>
  <c r="IY30" i="3"/>
  <c r="IZ30" i="3"/>
  <c r="JA30" i="3"/>
  <c r="JB30" i="3"/>
  <c r="JC30" i="3"/>
  <c r="JD30" i="3"/>
  <c r="JE30" i="3"/>
  <c r="JF30" i="3"/>
  <c r="JG30" i="3"/>
  <c r="JH30" i="3"/>
  <c r="JI30" i="3"/>
  <c r="JJ30" i="3"/>
  <c r="JK30" i="3"/>
  <c r="JL30" i="3"/>
  <c r="JM30" i="3"/>
  <c r="A21" i="3"/>
  <c r="B21" i="3"/>
  <c r="C21"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AO21" i="3"/>
  <c r="AP21" i="3"/>
  <c r="AQ21" i="3"/>
  <c r="AR21" i="3"/>
  <c r="AS21" i="3"/>
  <c r="AT21" i="3"/>
  <c r="AU21" i="3"/>
  <c r="AV21" i="3"/>
  <c r="AW21" i="3"/>
  <c r="AX21" i="3"/>
  <c r="AY21" i="3"/>
  <c r="AZ21" i="3"/>
  <c r="BA21" i="3"/>
  <c r="BB21" i="3"/>
  <c r="BC21" i="3"/>
  <c r="BD21" i="3"/>
  <c r="BE21" i="3"/>
  <c r="BF21" i="3"/>
  <c r="BG21" i="3"/>
  <c r="BH21" i="3"/>
  <c r="BI21" i="3"/>
  <c r="BJ21" i="3"/>
  <c r="BK21" i="3"/>
  <c r="BL21" i="3"/>
  <c r="BM21" i="3"/>
  <c r="BN21" i="3"/>
  <c r="BO21" i="3"/>
  <c r="BP21" i="3"/>
  <c r="BQ21" i="3"/>
  <c r="BR21" i="3"/>
  <c r="BS21" i="3"/>
  <c r="BT21" i="3"/>
  <c r="BU21" i="3"/>
  <c r="BV21" i="3"/>
  <c r="BW21" i="3"/>
  <c r="BX21" i="3"/>
  <c r="BY21" i="3"/>
  <c r="BZ21" i="3"/>
  <c r="CA21" i="3"/>
  <c r="CB21" i="3"/>
  <c r="CC21" i="3"/>
  <c r="CD21" i="3"/>
  <c r="CE21" i="3"/>
  <c r="CF21" i="3"/>
  <c r="CG21" i="3"/>
  <c r="CH21" i="3"/>
  <c r="CI21" i="3"/>
  <c r="CJ21" i="3"/>
  <c r="CK21" i="3"/>
  <c r="CL21" i="3"/>
  <c r="CM21" i="3"/>
  <c r="CN21" i="3"/>
  <c r="CO21" i="3"/>
  <c r="CP21" i="3"/>
  <c r="CQ21" i="3"/>
  <c r="CR21" i="3"/>
  <c r="CS21" i="3"/>
  <c r="CT21" i="3"/>
  <c r="CU21" i="3"/>
  <c r="CV21" i="3"/>
  <c r="CW21" i="3"/>
  <c r="CX21" i="3"/>
  <c r="CY21" i="3"/>
  <c r="CZ21" i="3"/>
  <c r="DA21" i="3"/>
  <c r="DB21" i="3"/>
  <c r="DC21" i="3"/>
  <c r="DD21" i="3"/>
  <c r="DE21" i="3"/>
  <c r="DF21" i="3"/>
  <c r="DG21" i="3"/>
  <c r="DH21" i="3"/>
  <c r="DI21" i="3"/>
  <c r="DJ21" i="3"/>
  <c r="DK21" i="3"/>
  <c r="DL21" i="3"/>
  <c r="DM21" i="3"/>
  <c r="DN21" i="3"/>
  <c r="DO21" i="3"/>
  <c r="DP21" i="3"/>
  <c r="DQ21" i="3"/>
  <c r="DR21" i="3"/>
  <c r="DS21" i="3"/>
  <c r="DT21" i="3"/>
  <c r="DU21" i="3"/>
  <c r="DV21" i="3"/>
  <c r="DW21" i="3"/>
  <c r="DX21" i="3"/>
  <c r="DY21" i="3"/>
  <c r="DZ21" i="3"/>
  <c r="EA21" i="3"/>
  <c r="EB21" i="3"/>
  <c r="EC21" i="3"/>
  <c r="ED21" i="3"/>
  <c r="EE21" i="3"/>
  <c r="EF21" i="3"/>
  <c r="EG21" i="3"/>
  <c r="EI21" i="3"/>
  <c r="EJ21" i="3"/>
  <c r="EK21" i="3"/>
  <c r="EL21" i="3"/>
  <c r="EM21" i="3"/>
  <c r="EN21" i="3"/>
  <c r="EO21" i="3"/>
  <c r="EP21" i="3"/>
  <c r="EQ21" i="3"/>
  <c r="ER21" i="3"/>
  <c r="ES21" i="3"/>
  <c r="ET21" i="3"/>
  <c r="EU21" i="3"/>
  <c r="EV21" i="3"/>
  <c r="EW21" i="3"/>
  <c r="EX21" i="3"/>
  <c r="EY21" i="3"/>
  <c r="EZ21" i="3"/>
  <c r="FA21" i="3"/>
  <c r="FB21" i="3"/>
  <c r="FC21" i="3"/>
  <c r="FD21" i="3"/>
  <c r="FE21" i="3"/>
  <c r="FF21" i="3"/>
  <c r="FG21" i="3"/>
  <c r="FH21" i="3"/>
  <c r="FI21" i="3"/>
  <c r="FJ21" i="3"/>
  <c r="FK21" i="3"/>
  <c r="FL21" i="3"/>
  <c r="FM21" i="3"/>
  <c r="FN21" i="3"/>
  <c r="FO21" i="3"/>
  <c r="FP21" i="3"/>
  <c r="FQ21" i="3"/>
  <c r="FR21" i="3"/>
  <c r="FS21" i="3"/>
  <c r="FT21" i="3"/>
  <c r="FU21" i="3"/>
  <c r="FV21" i="3"/>
  <c r="FW21" i="3"/>
  <c r="FX21" i="3"/>
  <c r="FY21" i="3"/>
  <c r="FZ21" i="3"/>
  <c r="GA21" i="3"/>
  <c r="GB21" i="3"/>
  <c r="GC21" i="3"/>
  <c r="GD21" i="3"/>
  <c r="GE21" i="3"/>
  <c r="GF21" i="3"/>
  <c r="GG21" i="3"/>
  <c r="GH21" i="3"/>
  <c r="GI21" i="3"/>
  <c r="GJ21" i="3"/>
  <c r="GK21" i="3"/>
  <c r="GL21" i="3"/>
  <c r="GM21" i="3"/>
  <c r="GN21" i="3"/>
  <c r="GO21" i="3"/>
  <c r="GP21" i="3"/>
  <c r="GQ21" i="3"/>
  <c r="GR21" i="3"/>
  <c r="GS21" i="3"/>
  <c r="GT21" i="3"/>
  <c r="GU21" i="3"/>
  <c r="GV21" i="3"/>
  <c r="GW21" i="3"/>
  <c r="GX21" i="3"/>
  <c r="GY21" i="3"/>
  <c r="GZ21" i="3"/>
  <c r="HA21" i="3"/>
  <c r="HB21" i="3"/>
  <c r="HC21" i="3"/>
  <c r="HD21" i="3"/>
  <c r="HE21" i="3"/>
  <c r="HF21" i="3"/>
  <c r="HG21" i="3"/>
  <c r="HH21" i="3"/>
  <c r="HI21" i="3"/>
  <c r="HJ21" i="3"/>
  <c r="HK21" i="3"/>
  <c r="HL21" i="3"/>
  <c r="HM21" i="3"/>
  <c r="HN21" i="3"/>
  <c r="HO21" i="3"/>
  <c r="HP21" i="3"/>
  <c r="HQ21" i="3"/>
  <c r="HR21" i="3"/>
  <c r="HS21" i="3"/>
  <c r="HT21" i="3"/>
  <c r="HU21" i="3"/>
  <c r="HV21" i="3"/>
  <c r="HW21" i="3"/>
  <c r="HX21" i="3"/>
  <c r="HY21" i="3"/>
  <c r="HZ21" i="3"/>
  <c r="IA21" i="3"/>
  <c r="IB21" i="3"/>
  <c r="IC21" i="3"/>
  <c r="ID21" i="3"/>
  <c r="IE21" i="3"/>
  <c r="IF21" i="3"/>
  <c r="IG21" i="3"/>
  <c r="IH21" i="3"/>
  <c r="II21" i="3"/>
  <c r="IJ21" i="3"/>
  <c r="IK21" i="3"/>
  <c r="IL21" i="3"/>
  <c r="IM21" i="3"/>
  <c r="IN21" i="3"/>
  <c r="IO21" i="3"/>
  <c r="IP21" i="3"/>
  <c r="IQ21" i="3"/>
  <c r="IR21" i="3"/>
  <c r="IS21" i="3"/>
  <c r="IT21" i="3"/>
  <c r="IU21" i="3"/>
  <c r="IV21" i="3"/>
  <c r="IW21" i="3"/>
  <c r="IX21" i="3"/>
  <c r="IY21" i="3"/>
  <c r="IZ21" i="3"/>
  <c r="JA21" i="3"/>
  <c r="JB21" i="3"/>
  <c r="JC21" i="3"/>
  <c r="JD21" i="3"/>
  <c r="JE21" i="3"/>
  <c r="JF21" i="3"/>
  <c r="JG21" i="3"/>
  <c r="JH21" i="3"/>
  <c r="JI21" i="3"/>
  <c r="JJ21" i="3"/>
  <c r="JK21" i="3"/>
  <c r="JL21" i="3"/>
  <c r="JM21" i="3"/>
  <c r="A22" i="3"/>
  <c r="B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AH22" i="3"/>
  <c r="AI22" i="3"/>
  <c r="AJ22" i="3"/>
  <c r="AK22" i="3"/>
  <c r="AL22" i="3"/>
  <c r="AM22" i="3"/>
  <c r="AN22" i="3"/>
  <c r="AO22" i="3"/>
  <c r="AP22" i="3"/>
  <c r="AQ22" i="3"/>
  <c r="AR22" i="3"/>
  <c r="AS22" i="3"/>
  <c r="AT22" i="3"/>
  <c r="AU22" i="3"/>
  <c r="AV22" i="3"/>
  <c r="AW22" i="3"/>
  <c r="AX22" i="3"/>
  <c r="AY22" i="3"/>
  <c r="AZ22" i="3"/>
  <c r="BA22" i="3"/>
  <c r="BB22" i="3"/>
  <c r="BC22" i="3"/>
  <c r="BD22" i="3"/>
  <c r="BE22" i="3"/>
  <c r="BF22" i="3"/>
  <c r="BG22" i="3"/>
  <c r="BH22" i="3"/>
  <c r="BI22" i="3"/>
  <c r="BJ22" i="3"/>
  <c r="BK22" i="3"/>
  <c r="BL22" i="3"/>
  <c r="BM22" i="3"/>
  <c r="BN22" i="3"/>
  <c r="BO22" i="3"/>
  <c r="BP22" i="3"/>
  <c r="BQ22" i="3"/>
  <c r="BR22" i="3"/>
  <c r="BS22" i="3"/>
  <c r="BT22" i="3"/>
  <c r="BU22" i="3"/>
  <c r="BV22" i="3"/>
  <c r="BW22" i="3"/>
  <c r="BX22" i="3"/>
  <c r="BY22" i="3"/>
  <c r="BZ22" i="3"/>
  <c r="CA22" i="3"/>
  <c r="CB22" i="3"/>
  <c r="CC22" i="3"/>
  <c r="CD22" i="3"/>
  <c r="CE22" i="3"/>
  <c r="CF22" i="3"/>
  <c r="CG22" i="3"/>
  <c r="CH22" i="3"/>
  <c r="CI22" i="3"/>
  <c r="CJ22" i="3"/>
  <c r="CK22" i="3"/>
  <c r="CL22" i="3"/>
  <c r="CM22" i="3"/>
  <c r="CN22" i="3"/>
  <c r="CO22" i="3"/>
  <c r="CP22" i="3"/>
  <c r="CQ22" i="3"/>
  <c r="CR22" i="3"/>
  <c r="CS22" i="3"/>
  <c r="CT22" i="3"/>
  <c r="CU22" i="3"/>
  <c r="CV22" i="3"/>
  <c r="CW22" i="3"/>
  <c r="CX22" i="3"/>
  <c r="CY22" i="3"/>
  <c r="CZ22" i="3"/>
  <c r="DA22" i="3"/>
  <c r="DB22" i="3"/>
  <c r="DC22" i="3"/>
  <c r="DD22" i="3"/>
  <c r="DE22" i="3"/>
  <c r="DF22" i="3"/>
  <c r="DG22" i="3"/>
  <c r="DH22" i="3"/>
  <c r="DI22" i="3"/>
  <c r="DJ22" i="3"/>
  <c r="DK22" i="3"/>
  <c r="DL22" i="3"/>
  <c r="DM22" i="3"/>
  <c r="DN22" i="3"/>
  <c r="DO22" i="3"/>
  <c r="DP22" i="3"/>
  <c r="DQ22" i="3"/>
  <c r="DR22" i="3"/>
  <c r="DS22" i="3"/>
  <c r="DT22" i="3"/>
  <c r="DU22" i="3"/>
  <c r="DV22" i="3"/>
  <c r="DW22" i="3"/>
  <c r="DX22" i="3"/>
  <c r="DY22" i="3"/>
  <c r="DZ22" i="3"/>
  <c r="EA22" i="3"/>
  <c r="EB22" i="3"/>
  <c r="EC22" i="3"/>
  <c r="ED22" i="3"/>
  <c r="EE22" i="3"/>
  <c r="EF22" i="3"/>
  <c r="EG22" i="3"/>
  <c r="EI22" i="3"/>
  <c r="EJ22" i="3"/>
  <c r="EK22" i="3"/>
  <c r="EL22" i="3"/>
  <c r="EM22" i="3"/>
  <c r="EN22" i="3"/>
  <c r="EO22" i="3"/>
  <c r="EP22" i="3"/>
  <c r="EQ22" i="3"/>
  <c r="ER22" i="3"/>
  <c r="ES22" i="3"/>
  <c r="ET22" i="3"/>
  <c r="EU22" i="3"/>
  <c r="EV22" i="3"/>
  <c r="EW22" i="3"/>
  <c r="EX22" i="3"/>
  <c r="EY22" i="3"/>
  <c r="EZ22" i="3"/>
  <c r="FA22" i="3"/>
  <c r="FB22" i="3"/>
  <c r="FC22" i="3"/>
  <c r="FD22" i="3"/>
  <c r="FE22" i="3"/>
  <c r="FF22" i="3"/>
  <c r="FG22" i="3"/>
  <c r="FH22" i="3"/>
  <c r="FI22" i="3"/>
  <c r="FJ22" i="3"/>
  <c r="FK22" i="3"/>
  <c r="FL22" i="3"/>
  <c r="FM22" i="3"/>
  <c r="FN22" i="3"/>
  <c r="FO22" i="3"/>
  <c r="FP22" i="3"/>
  <c r="FQ22" i="3"/>
  <c r="FR22" i="3"/>
  <c r="FS22" i="3"/>
  <c r="FT22" i="3"/>
  <c r="FU22" i="3"/>
  <c r="FV22" i="3"/>
  <c r="FW22" i="3"/>
  <c r="FX22" i="3"/>
  <c r="FY22" i="3"/>
  <c r="FZ22" i="3"/>
  <c r="GA22" i="3"/>
  <c r="GB22" i="3"/>
  <c r="GC22" i="3"/>
  <c r="GD22" i="3"/>
  <c r="GE22" i="3"/>
  <c r="GF22" i="3"/>
  <c r="GG22" i="3"/>
  <c r="GH22" i="3"/>
  <c r="GI22" i="3"/>
  <c r="GJ22" i="3"/>
  <c r="GK22" i="3"/>
  <c r="GL22" i="3"/>
  <c r="GM22" i="3"/>
  <c r="GN22" i="3"/>
  <c r="GO22" i="3"/>
  <c r="GP22" i="3"/>
  <c r="GQ22" i="3"/>
  <c r="GR22" i="3"/>
  <c r="GS22" i="3"/>
  <c r="GT22" i="3"/>
  <c r="GU22" i="3"/>
  <c r="GV22" i="3"/>
  <c r="GW22" i="3"/>
  <c r="GX22" i="3"/>
  <c r="GY22" i="3"/>
  <c r="GZ22" i="3"/>
  <c r="HA22" i="3"/>
  <c r="HB22" i="3"/>
  <c r="HC22" i="3"/>
  <c r="HD22" i="3"/>
  <c r="HE22" i="3"/>
  <c r="HF22" i="3"/>
  <c r="HG22" i="3"/>
  <c r="HH22" i="3"/>
  <c r="HI22" i="3"/>
  <c r="HJ22" i="3"/>
  <c r="HK22" i="3"/>
  <c r="HL22" i="3"/>
  <c r="HM22" i="3"/>
  <c r="HN22" i="3"/>
  <c r="HO22" i="3"/>
  <c r="HP22" i="3"/>
  <c r="HQ22" i="3"/>
  <c r="HR22" i="3"/>
  <c r="HS22" i="3"/>
  <c r="HT22" i="3"/>
  <c r="HU22" i="3"/>
  <c r="HV22" i="3"/>
  <c r="HW22" i="3"/>
  <c r="HX22" i="3"/>
  <c r="HY22" i="3"/>
  <c r="HZ22" i="3"/>
  <c r="IA22" i="3"/>
  <c r="IB22" i="3"/>
  <c r="IC22" i="3"/>
  <c r="ID22" i="3"/>
  <c r="IE22" i="3"/>
  <c r="IF22" i="3"/>
  <c r="IG22" i="3"/>
  <c r="IH22" i="3"/>
  <c r="II22" i="3"/>
  <c r="IJ22" i="3"/>
  <c r="IK22" i="3"/>
  <c r="IL22" i="3"/>
  <c r="IM22" i="3"/>
  <c r="IN22" i="3"/>
  <c r="IO22" i="3"/>
  <c r="IP22" i="3"/>
  <c r="IQ22" i="3"/>
  <c r="IR22" i="3"/>
  <c r="IS22" i="3"/>
  <c r="IT22" i="3"/>
  <c r="IU22" i="3"/>
  <c r="IV22" i="3"/>
  <c r="IW22" i="3"/>
  <c r="IX22" i="3"/>
  <c r="IY22" i="3"/>
  <c r="IZ22" i="3"/>
  <c r="JA22" i="3"/>
  <c r="JB22" i="3"/>
  <c r="JC22" i="3"/>
  <c r="JD22" i="3"/>
  <c r="JE22" i="3"/>
  <c r="JF22" i="3"/>
  <c r="JG22" i="3"/>
  <c r="JH22" i="3"/>
  <c r="JI22" i="3"/>
  <c r="JJ22" i="3"/>
  <c r="JK22" i="3"/>
  <c r="JL22" i="3"/>
  <c r="JM22" i="3"/>
  <c r="A23" i="3"/>
  <c r="B23" i="3"/>
  <c r="I23" i="3"/>
  <c r="J23" i="3"/>
  <c r="K23" i="3"/>
  <c r="L23" i="3"/>
  <c r="M23" i="3"/>
  <c r="N23" i="3"/>
  <c r="O23" i="3"/>
  <c r="P23" i="3"/>
  <c r="Q23" i="3"/>
  <c r="R23" i="3"/>
  <c r="S23" i="3"/>
  <c r="T23" i="3"/>
  <c r="U23" i="3"/>
  <c r="V23" i="3"/>
  <c r="W23" i="3"/>
  <c r="X23" i="3"/>
  <c r="Y23" i="3"/>
  <c r="Z23" i="3"/>
  <c r="AA23" i="3"/>
  <c r="AB23" i="3"/>
  <c r="AC23" i="3"/>
  <c r="AD23" i="3"/>
  <c r="AE23" i="3"/>
  <c r="AF23" i="3"/>
  <c r="AG23" i="3"/>
  <c r="AH23" i="3"/>
  <c r="AI23" i="3"/>
  <c r="AJ23" i="3"/>
  <c r="AK23" i="3"/>
  <c r="AL23" i="3"/>
  <c r="AM23" i="3"/>
  <c r="AN23" i="3"/>
  <c r="AO23" i="3"/>
  <c r="AP23" i="3"/>
  <c r="AQ23" i="3"/>
  <c r="AR23" i="3"/>
  <c r="AS23" i="3"/>
  <c r="AT23" i="3"/>
  <c r="AU23" i="3"/>
  <c r="AV23" i="3"/>
  <c r="AW23" i="3"/>
  <c r="AX23" i="3"/>
  <c r="AY23" i="3"/>
  <c r="AZ23" i="3"/>
  <c r="BA23" i="3"/>
  <c r="BB23" i="3"/>
  <c r="BC23" i="3"/>
  <c r="BD23" i="3"/>
  <c r="BE23" i="3"/>
  <c r="BF23" i="3"/>
  <c r="BG23" i="3"/>
  <c r="BH23" i="3"/>
  <c r="BI23" i="3"/>
  <c r="BJ23" i="3"/>
  <c r="BK23" i="3"/>
  <c r="BL23" i="3"/>
  <c r="BM23" i="3"/>
  <c r="BN23" i="3"/>
  <c r="BO23" i="3"/>
  <c r="BP23" i="3"/>
  <c r="BQ23" i="3"/>
  <c r="BR23" i="3"/>
  <c r="BS23" i="3"/>
  <c r="BT23" i="3"/>
  <c r="BU23" i="3"/>
  <c r="BV23" i="3"/>
  <c r="BW23" i="3"/>
  <c r="BX23" i="3"/>
  <c r="BY23" i="3"/>
  <c r="BZ23" i="3"/>
  <c r="CA23" i="3"/>
  <c r="CB23" i="3"/>
  <c r="CC23" i="3"/>
  <c r="CD23" i="3"/>
  <c r="CE23" i="3"/>
  <c r="CF23" i="3"/>
  <c r="CG23" i="3"/>
  <c r="CH23" i="3"/>
  <c r="CI23" i="3"/>
  <c r="CJ23" i="3"/>
  <c r="CK23" i="3"/>
  <c r="CL23" i="3"/>
  <c r="CM23" i="3"/>
  <c r="CN23" i="3"/>
  <c r="CO23" i="3"/>
  <c r="CP23" i="3"/>
  <c r="CQ23" i="3"/>
  <c r="CR23" i="3"/>
  <c r="CS23" i="3"/>
  <c r="CT23" i="3"/>
  <c r="CU23" i="3"/>
  <c r="CV23" i="3"/>
  <c r="CW23" i="3"/>
  <c r="CX23" i="3"/>
  <c r="CY23" i="3"/>
  <c r="CZ23" i="3"/>
  <c r="DA23" i="3"/>
  <c r="DB23" i="3"/>
  <c r="DC23" i="3"/>
  <c r="DD23" i="3"/>
  <c r="DE23" i="3"/>
  <c r="DF23" i="3"/>
  <c r="DG23" i="3"/>
  <c r="DH23" i="3"/>
  <c r="DI23" i="3"/>
  <c r="DJ23" i="3"/>
  <c r="DK23" i="3"/>
  <c r="DL23" i="3"/>
  <c r="DM23" i="3"/>
  <c r="DN23" i="3"/>
  <c r="DO23" i="3"/>
  <c r="DP23" i="3"/>
  <c r="DQ23" i="3"/>
  <c r="DR23" i="3"/>
  <c r="DS23" i="3"/>
  <c r="DT23" i="3"/>
  <c r="DU23" i="3"/>
  <c r="DV23" i="3"/>
  <c r="DW23" i="3"/>
  <c r="DX23" i="3"/>
  <c r="DY23" i="3"/>
  <c r="DZ23" i="3"/>
  <c r="EA23" i="3"/>
  <c r="EB23" i="3"/>
  <c r="EC23" i="3"/>
  <c r="ED23" i="3"/>
  <c r="EE23" i="3"/>
  <c r="EF23" i="3"/>
  <c r="EG23" i="3"/>
  <c r="EI23" i="3"/>
  <c r="EJ23" i="3"/>
  <c r="EK23" i="3"/>
  <c r="EL23" i="3"/>
  <c r="EM23" i="3"/>
  <c r="EN23" i="3"/>
  <c r="EO23" i="3"/>
  <c r="EP23" i="3"/>
  <c r="EQ23" i="3"/>
  <c r="ER23" i="3"/>
  <c r="ES23" i="3"/>
  <c r="ET23" i="3"/>
  <c r="EU23" i="3"/>
  <c r="EV23" i="3"/>
  <c r="EW23" i="3"/>
  <c r="EX23" i="3"/>
  <c r="EY23" i="3"/>
  <c r="EZ23" i="3"/>
  <c r="FA23" i="3"/>
  <c r="FB23" i="3"/>
  <c r="FC23" i="3"/>
  <c r="FD23" i="3"/>
  <c r="FE23" i="3"/>
  <c r="FF23" i="3"/>
  <c r="FG23" i="3"/>
  <c r="FH23" i="3"/>
  <c r="FI23" i="3"/>
  <c r="FJ23" i="3"/>
  <c r="FK23" i="3"/>
  <c r="FL23" i="3"/>
  <c r="FM23" i="3"/>
  <c r="FN23" i="3"/>
  <c r="FO23" i="3"/>
  <c r="FP23" i="3"/>
  <c r="FQ23" i="3"/>
  <c r="FR23" i="3"/>
  <c r="FS23" i="3"/>
  <c r="FT23" i="3"/>
  <c r="FU23" i="3"/>
  <c r="FV23" i="3"/>
  <c r="FW23" i="3"/>
  <c r="FX23" i="3"/>
  <c r="FY23" i="3"/>
  <c r="FZ23" i="3"/>
  <c r="GA23" i="3"/>
  <c r="GB23" i="3"/>
  <c r="GC23" i="3"/>
  <c r="GD23" i="3"/>
  <c r="GE23" i="3"/>
  <c r="GF23" i="3"/>
  <c r="GG23" i="3"/>
  <c r="GH23" i="3"/>
  <c r="GI23" i="3"/>
  <c r="GJ23" i="3"/>
  <c r="GK23" i="3"/>
  <c r="GL23" i="3"/>
  <c r="GM23" i="3"/>
  <c r="GN23" i="3"/>
  <c r="GO23" i="3"/>
  <c r="GP23" i="3"/>
  <c r="GQ23" i="3"/>
  <c r="GR23" i="3"/>
  <c r="GS23" i="3"/>
  <c r="GT23" i="3"/>
  <c r="GU23" i="3"/>
  <c r="GV23" i="3"/>
  <c r="GW23" i="3"/>
  <c r="GX23" i="3"/>
  <c r="A24" i="3"/>
  <c r="B24" i="3"/>
  <c r="C24"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AG24" i="3"/>
  <c r="AH24" i="3"/>
  <c r="AI24" i="3"/>
  <c r="AJ24" i="3"/>
  <c r="AK24" i="3"/>
  <c r="AL24" i="3"/>
  <c r="AM24" i="3"/>
  <c r="AN24" i="3"/>
  <c r="AO24" i="3"/>
  <c r="AP24" i="3"/>
  <c r="AQ24" i="3"/>
  <c r="AR24" i="3"/>
  <c r="AS24" i="3"/>
  <c r="AT24" i="3"/>
  <c r="AU24" i="3"/>
  <c r="AV24" i="3"/>
  <c r="AW24" i="3"/>
  <c r="AX24" i="3"/>
  <c r="AY24" i="3"/>
  <c r="AZ24" i="3"/>
  <c r="BA24" i="3"/>
  <c r="BB24" i="3"/>
  <c r="BC24" i="3"/>
  <c r="BD24" i="3"/>
  <c r="BE24" i="3"/>
  <c r="BF24" i="3"/>
  <c r="BG24" i="3"/>
  <c r="BH24" i="3"/>
  <c r="BI24" i="3"/>
  <c r="BJ24" i="3"/>
  <c r="BK24" i="3"/>
  <c r="BL24" i="3"/>
  <c r="BM24" i="3"/>
  <c r="BN24" i="3"/>
  <c r="BO24" i="3"/>
  <c r="BP24" i="3"/>
  <c r="BQ24" i="3"/>
  <c r="BR24" i="3"/>
  <c r="BS24" i="3"/>
  <c r="BT24" i="3"/>
  <c r="BU24" i="3"/>
  <c r="BV24" i="3"/>
  <c r="BW24" i="3"/>
  <c r="BX24" i="3"/>
  <c r="BY24" i="3"/>
  <c r="BZ24" i="3"/>
  <c r="CA24" i="3"/>
  <c r="CB24" i="3"/>
  <c r="CC24" i="3"/>
  <c r="CD24" i="3"/>
  <c r="CE24" i="3"/>
  <c r="CF24" i="3"/>
  <c r="CG24" i="3"/>
  <c r="CH24" i="3"/>
  <c r="CI24" i="3"/>
  <c r="CJ24" i="3"/>
  <c r="CK24" i="3"/>
  <c r="CL24" i="3"/>
  <c r="CM24" i="3"/>
  <c r="CN24" i="3"/>
  <c r="CO24" i="3"/>
  <c r="CP24" i="3"/>
  <c r="CQ24" i="3"/>
  <c r="CR24" i="3"/>
  <c r="CS24" i="3"/>
  <c r="CT24" i="3"/>
  <c r="CU24" i="3"/>
  <c r="CV24" i="3"/>
  <c r="CW24" i="3"/>
  <c r="CX24" i="3"/>
  <c r="CY24" i="3"/>
  <c r="CZ24" i="3"/>
  <c r="DA24" i="3"/>
  <c r="DB24" i="3"/>
  <c r="DC24" i="3"/>
  <c r="DD24" i="3"/>
  <c r="DE24" i="3"/>
  <c r="DF24" i="3"/>
  <c r="DG24" i="3"/>
  <c r="DH24" i="3"/>
  <c r="DI24" i="3"/>
  <c r="DJ24" i="3"/>
  <c r="DK24" i="3"/>
  <c r="DL24" i="3"/>
  <c r="DM24" i="3"/>
  <c r="DN24" i="3"/>
  <c r="DO24" i="3"/>
  <c r="DP24" i="3"/>
  <c r="DQ24" i="3"/>
  <c r="DR24" i="3"/>
  <c r="DS24" i="3"/>
  <c r="DT24" i="3"/>
  <c r="DU24" i="3"/>
  <c r="DV24" i="3"/>
  <c r="DW24" i="3"/>
  <c r="DX24" i="3"/>
  <c r="DY24" i="3"/>
  <c r="DZ24" i="3"/>
  <c r="EA24" i="3"/>
  <c r="EB24" i="3"/>
  <c r="EC24" i="3"/>
  <c r="ED24" i="3"/>
  <c r="EE24" i="3"/>
  <c r="EF24" i="3"/>
  <c r="EG24" i="3"/>
  <c r="EI24" i="3"/>
  <c r="EJ24" i="3"/>
  <c r="EK24" i="3"/>
  <c r="EL24" i="3"/>
  <c r="EM24" i="3"/>
  <c r="EN24" i="3"/>
  <c r="EO24" i="3"/>
  <c r="EP24" i="3"/>
  <c r="EQ24" i="3"/>
  <c r="ER24" i="3"/>
  <c r="ES24" i="3"/>
  <c r="ET24" i="3"/>
  <c r="EU24" i="3"/>
  <c r="EV24" i="3"/>
  <c r="EW24" i="3"/>
  <c r="EX24" i="3"/>
  <c r="EY24" i="3"/>
  <c r="EZ24" i="3"/>
  <c r="FA24" i="3"/>
  <c r="FB24" i="3"/>
  <c r="FC24" i="3"/>
  <c r="FD24" i="3"/>
  <c r="FE24" i="3"/>
  <c r="FF24" i="3"/>
  <c r="FG24" i="3"/>
  <c r="FH24" i="3"/>
  <c r="FI24" i="3"/>
  <c r="FJ24" i="3"/>
  <c r="FK24" i="3"/>
  <c r="FL24" i="3"/>
  <c r="FM24" i="3"/>
  <c r="FN24" i="3"/>
  <c r="FO24" i="3"/>
  <c r="FP24" i="3"/>
  <c r="FQ24" i="3"/>
  <c r="FR24" i="3"/>
  <c r="FS24" i="3"/>
  <c r="FT24" i="3"/>
  <c r="FU24" i="3"/>
  <c r="FV24" i="3"/>
  <c r="FW24" i="3"/>
  <c r="FX24" i="3"/>
  <c r="FY24" i="3"/>
  <c r="FZ24" i="3"/>
  <c r="GA24" i="3"/>
  <c r="GB24" i="3"/>
  <c r="GC24" i="3"/>
  <c r="GD24" i="3"/>
  <c r="GE24" i="3"/>
  <c r="GF24" i="3"/>
  <c r="GG24" i="3"/>
  <c r="GH24" i="3"/>
  <c r="GI24" i="3"/>
  <c r="GJ24" i="3"/>
  <c r="GK24" i="3"/>
  <c r="GL24" i="3"/>
  <c r="GM24" i="3"/>
  <c r="GN24" i="3"/>
  <c r="GO24" i="3"/>
  <c r="GP24" i="3"/>
  <c r="GQ24" i="3"/>
  <c r="GR24" i="3"/>
  <c r="GS24" i="3"/>
  <c r="GT24" i="3"/>
  <c r="GU24" i="3"/>
  <c r="GV24" i="3"/>
  <c r="GW24" i="3"/>
  <c r="GX24" i="3"/>
  <c r="GY24" i="3"/>
  <c r="GZ24" i="3"/>
  <c r="HA24" i="3"/>
  <c r="HB24" i="3"/>
  <c r="HC24" i="3"/>
  <c r="HD24" i="3"/>
  <c r="HE24" i="3"/>
  <c r="HF24" i="3"/>
  <c r="HG24" i="3"/>
  <c r="HH24" i="3"/>
  <c r="HI24" i="3"/>
  <c r="HJ24" i="3"/>
  <c r="HK24" i="3"/>
  <c r="HL24" i="3"/>
  <c r="HM24" i="3"/>
  <c r="HN24" i="3"/>
  <c r="HO24" i="3"/>
  <c r="HP24" i="3"/>
  <c r="HQ24" i="3"/>
  <c r="HR24" i="3"/>
  <c r="HS24" i="3"/>
  <c r="HT24" i="3"/>
  <c r="HU24" i="3"/>
  <c r="HV24" i="3"/>
  <c r="HW24" i="3"/>
  <c r="HX24" i="3"/>
  <c r="HY24" i="3"/>
  <c r="HZ24" i="3"/>
  <c r="IA24" i="3"/>
  <c r="IB24" i="3"/>
  <c r="IC24" i="3"/>
  <c r="ID24" i="3"/>
  <c r="IE24" i="3"/>
  <c r="IF24" i="3"/>
  <c r="IG24" i="3"/>
  <c r="IH24" i="3"/>
  <c r="II24" i="3"/>
  <c r="IJ24" i="3"/>
  <c r="IK24" i="3"/>
  <c r="IL24" i="3"/>
  <c r="IM24" i="3"/>
  <c r="IN24" i="3"/>
  <c r="IO24" i="3"/>
  <c r="IP24" i="3"/>
  <c r="IQ24" i="3"/>
  <c r="IR24" i="3"/>
  <c r="IS24" i="3"/>
  <c r="IT24" i="3"/>
  <c r="IU24" i="3"/>
  <c r="IV24" i="3"/>
  <c r="IW24" i="3"/>
  <c r="IX24" i="3"/>
  <c r="IY24" i="3"/>
  <c r="IZ24" i="3"/>
  <c r="JA24" i="3"/>
  <c r="JB24" i="3"/>
  <c r="JC24" i="3"/>
  <c r="JD24" i="3"/>
  <c r="JE24" i="3"/>
  <c r="JF24" i="3"/>
  <c r="JG24" i="3"/>
  <c r="JH24" i="3"/>
  <c r="JI24" i="3"/>
  <c r="JJ24" i="3"/>
  <c r="JK24" i="3"/>
  <c r="JL24" i="3"/>
  <c r="JM24" i="3"/>
  <c r="A25" i="3"/>
  <c r="B25" i="3"/>
  <c r="J25" i="3"/>
  <c r="K25" i="3"/>
  <c r="L25" i="3"/>
  <c r="M25" i="3"/>
  <c r="N25" i="3"/>
  <c r="O25" i="3"/>
  <c r="P25" i="3"/>
  <c r="Q25" i="3"/>
  <c r="R25" i="3"/>
  <c r="S25" i="3"/>
  <c r="T25" i="3"/>
  <c r="U25" i="3"/>
  <c r="V25" i="3"/>
  <c r="W25" i="3"/>
  <c r="X25" i="3"/>
  <c r="Y25" i="3"/>
  <c r="Z25" i="3"/>
  <c r="AA25" i="3"/>
  <c r="AB25" i="3"/>
  <c r="AC25" i="3"/>
  <c r="AD25" i="3"/>
  <c r="AE25" i="3"/>
  <c r="AF25" i="3"/>
  <c r="AG25" i="3"/>
  <c r="AH25" i="3"/>
  <c r="AI25" i="3"/>
  <c r="AJ25" i="3"/>
  <c r="AK25" i="3"/>
  <c r="AL25" i="3"/>
  <c r="AM25" i="3"/>
  <c r="AN25" i="3"/>
  <c r="AO25" i="3"/>
  <c r="AP25" i="3"/>
  <c r="AQ25" i="3"/>
  <c r="AR25" i="3"/>
  <c r="AS25" i="3"/>
  <c r="AT25" i="3"/>
  <c r="AU25" i="3"/>
  <c r="AV25" i="3"/>
  <c r="AW25" i="3"/>
  <c r="AX25" i="3"/>
  <c r="AY25" i="3"/>
  <c r="AZ25" i="3"/>
  <c r="BA25" i="3"/>
  <c r="BB25" i="3"/>
  <c r="BC25" i="3"/>
  <c r="BD25" i="3"/>
  <c r="BE25" i="3"/>
  <c r="BF25" i="3"/>
  <c r="BG25" i="3"/>
  <c r="BH25" i="3"/>
  <c r="BI25" i="3"/>
  <c r="BJ25" i="3"/>
  <c r="BK25" i="3"/>
  <c r="BL25" i="3"/>
  <c r="BM25" i="3"/>
  <c r="BN25" i="3"/>
  <c r="BO25" i="3"/>
  <c r="BP25" i="3"/>
  <c r="BQ25" i="3"/>
  <c r="BR25" i="3"/>
  <c r="BS25" i="3"/>
  <c r="BT25" i="3"/>
  <c r="BU25" i="3"/>
  <c r="BV25" i="3"/>
  <c r="BW25" i="3"/>
  <c r="BX25" i="3"/>
  <c r="BY25" i="3"/>
  <c r="BZ25" i="3"/>
  <c r="CA25" i="3"/>
  <c r="CB25" i="3"/>
  <c r="CC25" i="3"/>
  <c r="CD25" i="3"/>
  <c r="CE25" i="3"/>
  <c r="CF25" i="3"/>
  <c r="CG25" i="3"/>
  <c r="CH25" i="3"/>
  <c r="CI25" i="3"/>
  <c r="CJ25" i="3"/>
  <c r="CK25" i="3"/>
  <c r="CL25" i="3"/>
  <c r="CM25" i="3"/>
  <c r="CN25" i="3"/>
  <c r="CO25" i="3"/>
  <c r="CP25" i="3"/>
  <c r="CQ25" i="3"/>
  <c r="CR25" i="3"/>
  <c r="CS25" i="3"/>
  <c r="CT25" i="3"/>
  <c r="CU25" i="3"/>
  <c r="CV25" i="3"/>
  <c r="CW25" i="3"/>
  <c r="CX25" i="3"/>
  <c r="CY25" i="3"/>
  <c r="CZ25" i="3"/>
  <c r="DA25" i="3"/>
  <c r="DB25" i="3"/>
  <c r="DC25" i="3"/>
  <c r="DD25" i="3"/>
  <c r="DE25" i="3"/>
  <c r="DF25" i="3"/>
  <c r="DG25" i="3"/>
  <c r="DH25" i="3"/>
  <c r="DI25" i="3"/>
  <c r="DJ25" i="3"/>
  <c r="DK25" i="3"/>
  <c r="DL25" i="3"/>
  <c r="DM25" i="3"/>
  <c r="DN25" i="3"/>
  <c r="DO25" i="3"/>
  <c r="DP25" i="3"/>
  <c r="DQ25" i="3"/>
  <c r="DR25" i="3"/>
  <c r="DS25" i="3"/>
  <c r="DT25" i="3"/>
  <c r="DU25" i="3"/>
  <c r="DV25" i="3"/>
  <c r="DW25" i="3"/>
  <c r="DX25" i="3"/>
  <c r="DY25" i="3"/>
  <c r="DZ25" i="3"/>
  <c r="EA25" i="3"/>
  <c r="EB25" i="3"/>
  <c r="EC25" i="3"/>
  <c r="ED25" i="3"/>
  <c r="EE25" i="3"/>
  <c r="EF25" i="3"/>
  <c r="EG25" i="3"/>
  <c r="EI25" i="3"/>
  <c r="EJ25" i="3"/>
  <c r="EK25" i="3"/>
  <c r="EL25" i="3"/>
  <c r="EM25" i="3"/>
  <c r="EN25" i="3"/>
  <c r="EO25" i="3"/>
  <c r="EP25" i="3"/>
  <c r="EQ25" i="3"/>
  <c r="ER25" i="3"/>
  <c r="ES25" i="3"/>
  <c r="ET25" i="3"/>
  <c r="EU25" i="3"/>
  <c r="EV25" i="3"/>
  <c r="EW25" i="3"/>
  <c r="EX25" i="3"/>
  <c r="EY25" i="3"/>
  <c r="EZ25" i="3"/>
  <c r="FA25" i="3"/>
  <c r="FB25" i="3"/>
  <c r="FC25" i="3"/>
  <c r="FD25" i="3"/>
  <c r="FE25" i="3"/>
  <c r="FF25" i="3"/>
  <c r="FG25" i="3"/>
  <c r="FH25" i="3"/>
  <c r="FI25" i="3"/>
  <c r="FJ25" i="3"/>
  <c r="FK25" i="3"/>
  <c r="FL25" i="3"/>
  <c r="FM25" i="3"/>
  <c r="FN25" i="3"/>
  <c r="FO25" i="3"/>
  <c r="FP25" i="3"/>
  <c r="FQ25" i="3"/>
  <c r="FR25" i="3"/>
  <c r="FS25" i="3"/>
  <c r="FT25" i="3"/>
  <c r="FU25" i="3"/>
  <c r="FV25" i="3"/>
  <c r="FW25" i="3"/>
  <c r="FX25" i="3"/>
  <c r="FY25" i="3"/>
  <c r="FZ25" i="3"/>
  <c r="GA25" i="3"/>
  <c r="GB25" i="3"/>
  <c r="GC25" i="3"/>
  <c r="GD25" i="3"/>
  <c r="GE25" i="3"/>
  <c r="GF25" i="3"/>
  <c r="GG25" i="3"/>
  <c r="GH25" i="3"/>
  <c r="GI25" i="3"/>
  <c r="GJ25" i="3"/>
  <c r="GK25" i="3"/>
  <c r="GL25" i="3"/>
  <c r="GM25" i="3"/>
  <c r="GN25" i="3"/>
  <c r="GO25" i="3"/>
  <c r="GP25" i="3"/>
  <c r="GQ25" i="3"/>
  <c r="GR25" i="3"/>
  <c r="GS25" i="3"/>
  <c r="GT25" i="3"/>
  <c r="GU25" i="3"/>
  <c r="GV25" i="3"/>
  <c r="GW25" i="3"/>
  <c r="GX25" i="3"/>
  <c r="GY25" i="3"/>
  <c r="GZ25" i="3"/>
  <c r="HA25" i="3"/>
  <c r="HB25" i="3"/>
  <c r="HC25" i="3"/>
  <c r="HD25" i="3"/>
  <c r="HE25" i="3"/>
  <c r="HF25" i="3"/>
  <c r="HG25" i="3"/>
  <c r="HH25" i="3"/>
  <c r="HI25" i="3"/>
  <c r="HJ25" i="3"/>
  <c r="HK25" i="3"/>
  <c r="HL25" i="3"/>
  <c r="HM25" i="3"/>
  <c r="HN25" i="3"/>
  <c r="HO25" i="3"/>
  <c r="HP25" i="3"/>
  <c r="HQ25" i="3"/>
  <c r="HR25" i="3"/>
  <c r="HS25" i="3"/>
  <c r="HT25" i="3"/>
  <c r="HU25" i="3"/>
  <c r="HV25" i="3"/>
  <c r="HW25" i="3"/>
  <c r="HX25" i="3"/>
  <c r="HY25" i="3"/>
  <c r="HZ25" i="3"/>
  <c r="IA25" i="3"/>
  <c r="IB25" i="3"/>
  <c r="IC25" i="3"/>
  <c r="ID25" i="3"/>
  <c r="IE25" i="3"/>
  <c r="IF25" i="3"/>
  <c r="IG25" i="3"/>
  <c r="IH25" i="3"/>
  <c r="II25" i="3"/>
  <c r="IJ25" i="3"/>
  <c r="IK25" i="3"/>
  <c r="IL25" i="3"/>
  <c r="IM25" i="3"/>
  <c r="IN25" i="3"/>
  <c r="IO25" i="3"/>
  <c r="IP25" i="3"/>
  <c r="IQ25" i="3"/>
  <c r="IR25" i="3"/>
  <c r="IS25" i="3"/>
  <c r="IT25" i="3"/>
  <c r="IU25" i="3"/>
  <c r="IV25" i="3"/>
  <c r="IW25" i="3"/>
  <c r="IX25" i="3"/>
  <c r="IY25" i="3"/>
  <c r="IZ25" i="3"/>
  <c r="JA25" i="3"/>
  <c r="JB25" i="3"/>
  <c r="JC25" i="3"/>
  <c r="JD25" i="3"/>
  <c r="JE25" i="3"/>
  <c r="JF25" i="3"/>
  <c r="JG25" i="3"/>
  <c r="JH25" i="3"/>
  <c r="JI25" i="3"/>
  <c r="JJ25" i="3"/>
  <c r="JK25" i="3"/>
  <c r="JL25" i="3"/>
  <c r="JM25" i="3"/>
  <c r="A16" i="3"/>
  <c r="B16" i="3"/>
  <c r="C16" i="3"/>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AK16" i="3"/>
  <c r="AL16" i="3"/>
  <c r="AM16" i="3"/>
  <c r="AN16" i="3"/>
  <c r="AO16" i="3"/>
  <c r="AP16" i="3"/>
  <c r="AQ16" i="3"/>
  <c r="AR16" i="3"/>
  <c r="AS16" i="3"/>
  <c r="AT16" i="3"/>
  <c r="AU16" i="3"/>
  <c r="AV16" i="3"/>
  <c r="AW16" i="3"/>
  <c r="AX16" i="3"/>
  <c r="AY16" i="3"/>
  <c r="AZ16" i="3"/>
  <c r="BA16" i="3"/>
  <c r="BB16" i="3"/>
  <c r="BC16" i="3"/>
  <c r="BD16" i="3"/>
  <c r="BE16" i="3"/>
  <c r="BF16" i="3"/>
  <c r="BG16" i="3"/>
  <c r="BH16" i="3"/>
  <c r="BI16" i="3"/>
  <c r="BJ16" i="3"/>
  <c r="BK16" i="3"/>
  <c r="BL16" i="3"/>
  <c r="BM16" i="3"/>
  <c r="BN16" i="3"/>
  <c r="BO16" i="3"/>
  <c r="BP16" i="3"/>
  <c r="BQ16" i="3"/>
  <c r="BR16" i="3"/>
  <c r="BS16" i="3"/>
  <c r="BT16" i="3"/>
  <c r="BU16" i="3"/>
  <c r="BV16" i="3"/>
  <c r="BW16" i="3"/>
  <c r="BX16" i="3"/>
  <c r="BY16" i="3"/>
  <c r="BZ16" i="3"/>
  <c r="CA16" i="3"/>
  <c r="CB16" i="3"/>
  <c r="CC16" i="3"/>
  <c r="CD16" i="3"/>
  <c r="CE16" i="3"/>
  <c r="CF16" i="3"/>
  <c r="CG16" i="3"/>
  <c r="CH16" i="3"/>
  <c r="CI16" i="3"/>
  <c r="CJ16" i="3"/>
  <c r="CK16" i="3"/>
  <c r="CL16" i="3"/>
  <c r="CM16" i="3"/>
  <c r="CN16" i="3"/>
  <c r="CO16" i="3"/>
  <c r="CP16" i="3"/>
  <c r="CQ16" i="3"/>
  <c r="CR16" i="3"/>
  <c r="CS16" i="3"/>
  <c r="CT16" i="3"/>
  <c r="CU16" i="3"/>
  <c r="CV16" i="3"/>
  <c r="CW16" i="3"/>
  <c r="CX16" i="3"/>
  <c r="CY16" i="3"/>
  <c r="CZ16" i="3"/>
  <c r="DA16" i="3"/>
  <c r="DB16" i="3"/>
  <c r="DC16" i="3"/>
  <c r="DD16" i="3"/>
  <c r="DE16" i="3"/>
  <c r="DF16" i="3"/>
  <c r="DG16" i="3"/>
  <c r="DH16" i="3"/>
  <c r="DI16" i="3"/>
  <c r="DJ16" i="3"/>
  <c r="DK16" i="3"/>
  <c r="DL16" i="3"/>
  <c r="DM16" i="3"/>
  <c r="DN16" i="3"/>
  <c r="DO16" i="3"/>
  <c r="DP16" i="3"/>
  <c r="DQ16" i="3"/>
  <c r="DR16" i="3"/>
  <c r="DS16" i="3"/>
  <c r="DT16" i="3"/>
  <c r="DU16" i="3"/>
  <c r="DV16" i="3"/>
  <c r="DW16" i="3"/>
  <c r="DX16" i="3"/>
  <c r="DY16" i="3"/>
  <c r="DZ16" i="3"/>
  <c r="EA16" i="3"/>
  <c r="EB16" i="3"/>
  <c r="EC16" i="3"/>
  <c r="ED16" i="3"/>
  <c r="EE16" i="3"/>
  <c r="EF16" i="3"/>
  <c r="EG16" i="3"/>
  <c r="EI16" i="3"/>
  <c r="EJ16" i="3"/>
  <c r="EK16" i="3"/>
  <c r="EL16" i="3"/>
  <c r="EM16" i="3"/>
  <c r="EN16" i="3"/>
  <c r="EO16" i="3"/>
  <c r="EP16" i="3"/>
  <c r="EQ16" i="3"/>
  <c r="ER16" i="3"/>
  <c r="ES16" i="3"/>
  <c r="ET16" i="3"/>
  <c r="EU16" i="3"/>
  <c r="EV16" i="3"/>
  <c r="EW16" i="3"/>
  <c r="EX16" i="3"/>
  <c r="EY16" i="3"/>
  <c r="EZ16" i="3"/>
  <c r="FA16" i="3"/>
  <c r="FB16" i="3"/>
  <c r="FC16" i="3"/>
  <c r="FD16" i="3"/>
  <c r="FE16" i="3"/>
  <c r="FF16" i="3"/>
  <c r="FG16" i="3"/>
  <c r="FH16" i="3"/>
  <c r="FI16" i="3"/>
  <c r="FJ16" i="3"/>
  <c r="FK16" i="3"/>
  <c r="FL16" i="3"/>
  <c r="FM16" i="3"/>
  <c r="FN16" i="3"/>
  <c r="FO16" i="3"/>
  <c r="FP16" i="3"/>
  <c r="FQ16" i="3"/>
  <c r="FR16" i="3"/>
  <c r="FS16" i="3"/>
  <c r="FT16" i="3"/>
  <c r="FU16" i="3"/>
  <c r="FV16" i="3"/>
  <c r="FW16" i="3"/>
  <c r="FX16" i="3"/>
  <c r="FY16" i="3"/>
  <c r="FZ16" i="3"/>
  <c r="GA16" i="3"/>
  <c r="GB16" i="3"/>
  <c r="GC16" i="3"/>
  <c r="GD16" i="3"/>
  <c r="GE16" i="3"/>
  <c r="GF16" i="3"/>
  <c r="GG16" i="3"/>
  <c r="GH16" i="3"/>
  <c r="GI16" i="3"/>
  <c r="GJ16" i="3"/>
  <c r="GK16" i="3"/>
  <c r="GL16" i="3"/>
  <c r="GM16" i="3"/>
  <c r="GN16" i="3"/>
  <c r="GO16" i="3"/>
  <c r="GP16" i="3"/>
  <c r="GQ16" i="3"/>
  <c r="GR16" i="3"/>
  <c r="GS16" i="3"/>
  <c r="GT16" i="3"/>
  <c r="GU16" i="3"/>
  <c r="GV16" i="3"/>
  <c r="GW16" i="3"/>
  <c r="GX16" i="3"/>
  <c r="GY16" i="3"/>
  <c r="GZ16" i="3"/>
  <c r="HA16" i="3"/>
  <c r="HB16" i="3"/>
  <c r="HC16" i="3"/>
  <c r="HD16" i="3"/>
  <c r="HE16" i="3"/>
  <c r="HF16" i="3"/>
  <c r="HG16" i="3"/>
  <c r="HH16" i="3"/>
  <c r="HI16" i="3"/>
  <c r="HJ16" i="3"/>
  <c r="HK16" i="3"/>
  <c r="HL16" i="3"/>
  <c r="HM16" i="3"/>
  <c r="HN16" i="3"/>
  <c r="HO16" i="3"/>
  <c r="HP16" i="3"/>
  <c r="HQ16" i="3"/>
  <c r="HR16" i="3"/>
  <c r="HS16" i="3"/>
  <c r="HT16" i="3"/>
  <c r="HU16" i="3"/>
  <c r="HV16" i="3"/>
  <c r="HW16" i="3"/>
  <c r="HX16" i="3"/>
  <c r="HY16" i="3"/>
  <c r="HZ16" i="3"/>
  <c r="IA16" i="3"/>
  <c r="IB16" i="3"/>
  <c r="IC16" i="3"/>
  <c r="ID16" i="3"/>
  <c r="IE16" i="3"/>
  <c r="IF16" i="3"/>
  <c r="IG16" i="3"/>
  <c r="IH16" i="3"/>
  <c r="II16" i="3"/>
  <c r="IJ16" i="3"/>
  <c r="IK16" i="3"/>
  <c r="IL16" i="3"/>
  <c r="IM16" i="3"/>
  <c r="IN16" i="3"/>
  <c r="IO16" i="3"/>
  <c r="IP16" i="3"/>
  <c r="IQ16" i="3"/>
  <c r="IR16" i="3"/>
  <c r="IS16" i="3"/>
  <c r="IT16" i="3"/>
  <c r="IU16" i="3"/>
  <c r="IV16" i="3"/>
  <c r="IW16" i="3"/>
  <c r="IX16" i="3"/>
  <c r="IY16" i="3"/>
  <c r="IZ16" i="3"/>
  <c r="JA16" i="3"/>
  <c r="JB16" i="3"/>
  <c r="JC16" i="3"/>
  <c r="JD16" i="3"/>
  <c r="JE16" i="3"/>
  <c r="JF16" i="3"/>
  <c r="JG16" i="3"/>
  <c r="JH16" i="3"/>
  <c r="JI16" i="3"/>
  <c r="JJ16" i="3"/>
  <c r="JK16" i="3"/>
  <c r="JL16" i="3"/>
  <c r="JM16" i="3"/>
  <c r="A17" i="3"/>
  <c r="B17" i="3"/>
  <c r="H17" i="3"/>
  <c r="I17" i="3"/>
  <c r="J17" i="3"/>
  <c r="K17" i="3"/>
  <c r="L17" i="3"/>
  <c r="M17" i="3"/>
  <c r="N17" i="3"/>
  <c r="O17" i="3"/>
  <c r="P17" i="3"/>
  <c r="Q17" i="3"/>
  <c r="R17" i="3"/>
  <c r="S17" i="3"/>
  <c r="T17" i="3"/>
  <c r="U17" i="3"/>
  <c r="V17" i="3"/>
  <c r="W17" i="3"/>
  <c r="X17" i="3"/>
  <c r="Y17" i="3"/>
  <c r="Z17" i="3"/>
  <c r="AA17" i="3"/>
  <c r="AB17" i="3"/>
  <c r="AC17" i="3"/>
  <c r="AD17" i="3"/>
  <c r="AE17" i="3"/>
  <c r="AF17" i="3"/>
  <c r="AG17" i="3"/>
  <c r="AH17" i="3"/>
  <c r="AI17" i="3"/>
  <c r="AJ17" i="3"/>
  <c r="AK17" i="3"/>
  <c r="AL17" i="3"/>
  <c r="AM17" i="3"/>
  <c r="AN17" i="3"/>
  <c r="AO17" i="3"/>
  <c r="AP17" i="3"/>
  <c r="AQ17" i="3"/>
  <c r="AR17" i="3"/>
  <c r="AS17" i="3"/>
  <c r="AT17" i="3"/>
  <c r="AU17" i="3"/>
  <c r="AV17" i="3"/>
  <c r="AW17" i="3"/>
  <c r="AX17" i="3"/>
  <c r="AY17" i="3"/>
  <c r="AZ17" i="3"/>
  <c r="BA17" i="3"/>
  <c r="BB17" i="3"/>
  <c r="BC17" i="3"/>
  <c r="BD17" i="3"/>
  <c r="BE17" i="3"/>
  <c r="BF17" i="3"/>
  <c r="BG17" i="3"/>
  <c r="BH17" i="3"/>
  <c r="BI17" i="3"/>
  <c r="BJ17" i="3"/>
  <c r="BK17" i="3"/>
  <c r="BL17" i="3"/>
  <c r="BM17" i="3"/>
  <c r="BN17" i="3"/>
  <c r="BO17" i="3"/>
  <c r="BP17" i="3"/>
  <c r="BQ17" i="3"/>
  <c r="BR17" i="3"/>
  <c r="BS17" i="3"/>
  <c r="BT17" i="3"/>
  <c r="BU17" i="3"/>
  <c r="BV17" i="3"/>
  <c r="BW17" i="3"/>
  <c r="BX17" i="3"/>
  <c r="BY17" i="3"/>
  <c r="BZ17" i="3"/>
  <c r="CA17" i="3"/>
  <c r="CB17" i="3"/>
  <c r="CC17" i="3"/>
  <c r="CD17" i="3"/>
  <c r="CE17" i="3"/>
  <c r="CF17" i="3"/>
  <c r="CG17" i="3"/>
  <c r="CH17" i="3"/>
  <c r="CI17" i="3"/>
  <c r="CJ17" i="3"/>
  <c r="CK17" i="3"/>
  <c r="CL17" i="3"/>
  <c r="CM17" i="3"/>
  <c r="CN17" i="3"/>
  <c r="CO17" i="3"/>
  <c r="CP17" i="3"/>
  <c r="CQ17" i="3"/>
  <c r="CR17" i="3"/>
  <c r="CS17" i="3"/>
  <c r="CT17" i="3"/>
  <c r="CU17" i="3"/>
  <c r="CV17" i="3"/>
  <c r="CW17" i="3"/>
  <c r="CX17" i="3"/>
  <c r="CY17" i="3"/>
  <c r="CZ17" i="3"/>
  <c r="DA17" i="3"/>
  <c r="DB17" i="3"/>
  <c r="DC17" i="3"/>
  <c r="DD17" i="3"/>
  <c r="DE17" i="3"/>
  <c r="DF17" i="3"/>
  <c r="DG17" i="3"/>
  <c r="DH17" i="3"/>
  <c r="DI17" i="3"/>
  <c r="DJ17" i="3"/>
  <c r="DK17" i="3"/>
  <c r="DL17" i="3"/>
  <c r="DM17" i="3"/>
  <c r="DN17" i="3"/>
  <c r="DO17" i="3"/>
  <c r="DP17" i="3"/>
  <c r="DQ17" i="3"/>
  <c r="DR17" i="3"/>
  <c r="DS17" i="3"/>
  <c r="DT17" i="3"/>
  <c r="DU17" i="3"/>
  <c r="DV17" i="3"/>
  <c r="DW17" i="3"/>
  <c r="DX17" i="3"/>
  <c r="DY17" i="3"/>
  <c r="DZ17" i="3"/>
  <c r="EA17" i="3"/>
  <c r="EB17" i="3"/>
  <c r="EC17" i="3"/>
  <c r="ED17" i="3"/>
  <c r="EE17" i="3"/>
  <c r="EF17" i="3"/>
  <c r="EG17" i="3"/>
  <c r="EI17" i="3"/>
  <c r="EJ17" i="3"/>
  <c r="EK17" i="3"/>
  <c r="EL17" i="3"/>
  <c r="EM17" i="3"/>
  <c r="EN17" i="3"/>
  <c r="EO17" i="3"/>
  <c r="EP17" i="3"/>
  <c r="EQ17" i="3"/>
  <c r="ER17" i="3"/>
  <c r="ES17" i="3"/>
  <c r="ET17" i="3"/>
  <c r="EU17" i="3"/>
  <c r="EV17" i="3"/>
  <c r="EW17" i="3"/>
  <c r="EX17" i="3"/>
  <c r="EY17" i="3"/>
  <c r="EZ17" i="3"/>
  <c r="FA17" i="3"/>
  <c r="FB17" i="3"/>
  <c r="FC17" i="3"/>
  <c r="FD17" i="3"/>
  <c r="FE17" i="3"/>
  <c r="FF17" i="3"/>
  <c r="FG17" i="3"/>
  <c r="FH17" i="3"/>
  <c r="FI17" i="3"/>
  <c r="FJ17" i="3"/>
  <c r="FK17" i="3"/>
  <c r="FL17" i="3"/>
  <c r="FM17" i="3"/>
  <c r="FN17" i="3"/>
  <c r="FO17" i="3"/>
  <c r="FP17" i="3"/>
  <c r="FQ17" i="3"/>
  <c r="FR17" i="3"/>
  <c r="FS17" i="3"/>
  <c r="FT17" i="3"/>
  <c r="FU17" i="3"/>
  <c r="FV17" i="3"/>
  <c r="FW17" i="3"/>
  <c r="FX17" i="3"/>
  <c r="FY17" i="3"/>
  <c r="FZ17" i="3"/>
  <c r="GA17" i="3"/>
  <c r="GB17" i="3"/>
  <c r="GC17" i="3"/>
  <c r="GD17" i="3"/>
  <c r="GE17" i="3"/>
  <c r="GF17" i="3"/>
  <c r="GG17" i="3"/>
  <c r="GH17" i="3"/>
  <c r="GI17" i="3"/>
  <c r="GJ17" i="3"/>
  <c r="GK17" i="3"/>
  <c r="GL17" i="3"/>
  <c r="GM17" i="3"/>
  <c r="GN17" i="3"/>
  <c r="GO17" i="3"/>
  <c r="GP17" i="3"/>
  <c r="GQ17" i="3"/>
  <c r="GR17" i="3"/>
  <c r="GS17" i="3"/>
  <c r="GT17" i="3"/>
  <c r="GU17" i="3"/>
  <c r="GV17" i="3"/>
  <c r="GW17" i="3"/>
  <c r="GX17" i="3"/>
  <c r="GY17" i="3"/>
  <c r="GZ17" i="3"/>
  <c r="HA17" i="3"/>
  <c r="HB17" i="3"/>
  <c r="HC17" i="3"/>
  <c r="HD17" i="3"/>
  <c r="HE17" i="3"/>
  <c r="HF17" i="3"/>
  <c r="HG17" i="3"/>
  <c r="HH17" i="3"/>
  <c r="HI17" i="3"/>
  <c r="HJ17" i="3"/>
  <c r="HK17" i="3"/>
  <c r="HL17" i="3"/>
  <c r="HM17" i="3"/>
  <c r="HN17" i="3"/>
  <c r="HO17" i="3"/>
  <c r="HP17" i="3"/>
  <c r="HQ17" i="3"/>
  <c r="HR17" i="3"/>
  <c r="HS17" i="3"/>
  <c r="HT17" i="3"/>
  <c r="HU17" i="3"/>
  <c r="HV17" i="3"/>
  <c r="HW17" i="3"/>
  <c r="HX17" i="3"/>
  <c r="HY17" i="3"/>
  <c r="HZ17" i="3"/>
  <c r="IA17" i="3"/>
  <c r="IB17" i="3"/>
  <c r="IC17" i="3"/>
  <c r="ID17" i="3"/>
  <c r="IE17" i="3"/>
  <c r="IF17" i="3"/>
  <c r="IG17" i="3"/>
  <c r="IH17" i="3"/>
  <c r="II17" i="3"/>
  <c r="IJ17" i="3"/>
  <c r="IK17" i="3"/>
  <c r="IL17" i="3"/>
  <c r="IM17" i="3"/>
  <c r="IN17" i="3"/>
  <c r="IO17" i="3"/>
  <c r="IP17" i="3"/>
  <c r="IQ17" i="3"/>
  <c r="IR17" i="3"/>
  <c r="IS17" i="3"/>
  <c r="IT17" i="3"/>
  <c r="IU17" i="3"/>
  <c r="IV17" i="3"/>
  <c r="IW17" i="3"/>
  <c r="IX17" i="3"/>
  <c r="IY17" i="3"/>
  <c r="IZ17" i="3"/>
  <c r="JA17" i="3"/>
  <c r="JB17" i="3"/>
  <c r="JC17" i="3"/>
  <c r="JD17" i="3"/>
  <c r="JE17" i="3"/>
  <c r="JF17" i="3"/>
  <c r="JG17" i="3"/>
  <c r="JH17" i="3"/>
  <c r="JI17" i="3"/>
  <c r="JJ17" i="3"/>
  <c r="JK17" i="3"/>
  <c r="JL17" i="3"/>
  <c r="JM17" i="3"/>
  <c r="A18" i="3"/>
  <c r="B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AH18" i="3"/>
  <c r="AI18" i="3"/>
  <c r="AJ18" i="3"/>
  <c r="AK18" i="3"/>
  <c r="AL18" i="3"/>
  <c r="AM18" i="3"/>
  <c r="AN18" i="3"/>
  <c r="AO18" i="3"/>
  <c r="AP18" i="3"/>
  <c r="AQ18" i="3"/>
  <c r="AR18" i="3"/>
  <c r="AS18" i="3"/>
  <c r="AT18" i="3"/>
  <c r="AU18" i="3"/>
  <c r="AV18" i="3"/>
  <c r="AW18" i="3"/>
  <c r="AX18" i="3"/>
  <c r="AY18" i="3"/>
  <c r="AZ18" i="3"/>
  <c r="BA18" i="3"/>
  <c r="BB18" i="3"/>
  <c r="BC18" i="3"/>
  <c r="BD18" i="3"/>
  <c r="BE18" i="3"/>
  <c r="BF18" i="3"/>
  <c r="BG18" i="3"/>
  <c r="BH18" i="3"/>
  <c r="BI18" i="3"/>
  <c r="BJ18" i="3"/>
  <c r="BK18" i="3"/>
  <c r="BL18" i="3"/>
  <c r="BM18" i="3"/>
  <c r="BN18" i="3"/>
  <c r="BO18" i="3"/>
  <c r="BP18" i="3"/>
  <c r="BQ18" i="3"/>
  <c r="BR18" i="3"/>
  <c r="BS18" i="3"/>
  <c r="BT18" i="3"/>
  <c r="BU18" i="3"/>
  <c r="BV18" i="3"/>
  <c r="BW18" i="3"/>
  <c r="BX18" i="3"/>
  <c r="BY18" i="3"/>
  <c r="BZ18" i="3"/>
  <c r="CA18" i="3"/>
  <c r="CB18" i="3"/>
  <c r="CC18" i="3"/>
  <c r="CD18" i="3"/>
  <c r="CE18" i="3"/>
  <c r="CF18" i="3"/>
  <c r="CG18" i="3"/>
  <c r="CH18" i="3"/>
  <c r="CI18" i="3"/>
  <c r="CJ18" i="3"/>
  <c r="CK18" i="3"/>
  <c r="CL18" i="3"/>
  <c r="CM18" i="3"/>
  <c r="CN18" i="3"/>
  <c r="CO18" i="3"/>
  <c r="CP18" i="3"/>
  <c r="CQ18" i="3"/>
  <c r="CR18" i="3"/>
  <c r="CS18" i="3"/>
  <c r="CT18" i="3"/>
  <c r="CU18" i="3"/>
  <c r="CV18" i="3"/>
  <c r="CW18" i="3"/>
  <c r="CX18" i="3"/>
  <c r="CY18" i="3"/>
  <c r="CZ18" i="3"/>
  <c r="DA18" i="3"/>
  <c r="DB18" i="3"/>
  <c r="DC18" i="3"/>
  <c r="DD18" i="3"/>
  <c r="DE18" i="3"/>
  <c r="DF18" i="3"/>
  <c r="A19" i="3"/>
  <c r="B19" i="3"/>
  <c r="C19"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AH19" i="3"/>
  <c r="AI19" i="3"/>
  <c r="AJ19" i="3"/>
  <c r="AK19" i="3"/>
  <c r="AL19" i="3"/>
  <c r="AM19" i="3"/>
  <c r="AN19" i="3"/>
  <c r="AO19" i="3"/>
  <c r="AP19" i="3"/>
  <c r="AQ19" i="3"/>
  <c r="AR19" i="3"/>
  <c r="AS19" i="3"/>
  <c r="AT19" i="3"/>
  <c r="AU19" i="3"/>
  <c r="AV19" i="3"/>
  <c r="AW19" i="3"/>
  <c r="AX19" i="3"/>
  <c r="AY19" i="3"/>
  <c r="AZ19" i="3"/>
  <c r="BA19" i="3"/>
  <c r="BB19" i="3"/>
  <c r="BC19" i="3"/>
  <c r="BD19" i="3"/>
  <c r="BE19" i="3"/>
  <c r="BF19" i="3"/>
  <c r="BG19" i="3"/>
  <c r="BH19" i="3"/>
  <c r="BI19" i="3"/>
  <c r="BJ19" i="3"/>
  <c r="BK19" i="3"/>
  <c r="BL19" i="3"/>
  <c r="BM19" i="3"/>
  <c r="BN19" i="3"/>
  <c r="BO19" i="3"/>
  <c r="BP19" i="3"/>
  <c r="BQ19" i="3"/>
  <c r="BR19" i="3"/>
  <c r="BS19" i="3"/>
  <c r="BT19" i="3"/>
  <c r="BU19" i="3"/>
  <c r="BV19" i="3"/>
  <c r="BW19" i="3"/>
  <c r="BX19" i="3"/>
  <c r="BY19" i="3"/>
  <c r="BZ19" i="3"/>
  <c r="CA19" i="3"/>
  <c r="CB19" i="3"/>
  <c r="CC19" i="3"/>
  <c r="CD19" i="3"/>
  <c r="CE19" i="3"/>
  <c r="CF19" i="3"/>
  <c r="CG19" i="3"/>
  <c r="CH19" i="3"/>
  <c r="CI19" i="3"/>
  <c r="CJ19" i="3"/>
  <c r="CK19" i="3"/>
  <c r="CL19" i="3"/>
  <c r="CM19" i="3"/>
  <c r="CN19" i="3"/>
  <c r="CO19" i="3"/>
  <c r="CP19" i="3"/>
  <c r="CQ19" i="3"/>
  <c r="CR19" i="3"/>
  <c r="CS19" i="3"/>
  <c r="CT19" i="3"/>
  <c r="CU19" i="3"/>
  <c r="CV19" i="3"/>
  <c r="CW19" i="3"/>
  <c r="CX19" i="3"/>
  <c r="CY19" i="3"/>
  <c r="CZ19" i="3"/>
  <c r="DA19" i="3"/>
  <c r="DB19" i="3"/>
  <c r="DC19" i="3"/>
  <c r="DD19" i="3"/>
  <c r="DE19" i="3"/>
  <c r="DF19" i="3"/>
  <c r="DG19" i="3"/>
  <c r="DH19" i="3"/>
  <c r="DI19" i="3"/>
  <c r="DJ19" i="3"/>
  <c r="DK19" i="3"/>
  <c r="DL19" i="3"/>
  <c r="DM19" i="3"/>
  <c r="DN19" i="3"/>
  <c r="DO19" i="3"/>
  <c r="DP19" i="3"/>
  <c r="DQ19" i="3"/>
  <c r="DR19" i="3"/>
  <c r="DS19" i="3"/>
  <c r="DT19" i="3"/>
  <c r="DU19" i="3"/>
  <c r="DV19" i="3"/>
  <c r="DW19" i="3"/>
  <c r="DX19" i="3"/>
  <c r="DY19" i="3"/>
  <c r="DZ19" i="3"/>
  <c r="EA19" i="3"/>
  <c r="EB19" i="3"/>
  <c r="EC19" i="3"/>
  <c r="ED19" i="3"/>
  <c r="EE19" i="3"/>
  <c r="EF19" i="3"/>
  <c r="EG19" i="3"/>
  <c r="EI19" i="3"/>
  <c r="EJ19" i="3"/>
  <c r="EK19" i="3"/>
  <c r="EL19" i="3"/>
  <c r="EM19" i="3"/>
  <c r="EN19" i="3"/>
  <c r="EO19" i="3"/>
  <c r="EP19" i="3"/>
  <c r="EQ19" i="3"/>
  <c r="ER19" i="3"/>
  <c r="ES19" i="3"/>
  <c r="ET19" i="3"/>
  <c r="EU19" i="3"/>
  <c r="EV19" i="3"/>
  <c r="EW19" i="3"/>
  <c r="EX19" i="3"/>
  <c r="EY19" i="3"/>
  <c r="EZ19" i="3"/>
  <c r="FA19" i="3"/>
  <c r="FB19" i="3"/>
  <c r="FC19" i="3"/>
  <c r="FD19" i="3"/>
  <c r="FE19" i="3"/>
  <c r="FF19" i="3"/>
  <c r="FG19" i="3"/>
  <c r="FH19" i="3"/>
  <c r="FI19" i="3"/>
  <c r="FJ19" i="3"/>
  <c r="FK19" i="3"/>
  <c r="FL19" i="3"/>
  <c r="FM19" i="3"/>
  <c r="FN19" i="3"/>
  <c r="FO19" i="3"/>
  <c r="FP19" i="3"/>
  <c r="FQ19" i="3"/>
  <c r="FR19" i="3"/>
  <c r="FS19" i="3"/>
  <c r="FT19" i="3"/>
  <c r="FU19" i="3"/>
  <c r="FV19" i="3"/>
  <c r="FW19" i="3"/>
  <c r="FX19" i="3"/>
  <c r="FY19" i="3"/>
  <c r="FZ19" i="3"/>
  <c r="GA19" i="3"/>
  <c r="GB19" i="3"/>
  <c r="GC19" i="3"/>
  <c r="GD19" i="3"/>
  <c r="GE19" i="3"/>
  <c r="GF19" i="3"/>
  <c r="GG19" i="3"/>
  <c r="GH19" i="3"/>
  <c r="GI19" i="3"/>
  <c r="GJ19" i="3"/>
  <c r="GK19" i="3"/>
  <c r="GL19" i="3"/>
  <c r="GM19" i="3"/>
  <c r="GN19" i="3"/>
  <c r="GO19" i="3"/>
  <c r="GP19" i="3"/>
  <c r="GQ19" i="3"/>
  <c r="GR19" i="3"/>
  <c r="GS19" i="3"/>
  <c r="GT19" i="3"/>
  <c r="GU19" i="3"/>
  <c r="GV19" i="3"/>
  <c r="GW19" i="3"/>
  <c r="GX19" i="3"/>
  <c r="GY19" i="3"/>
  <c r="GZ19" i="3"/>
  <c r="HA19" i="3"/>
  <c r="HB19" i="3"/>
  <c r="HC19" i="3"/>
  <c r="HD19" i="3"/>
  <c r="HE19" i="3"/>
  <c r="HF19" i="3"/>
  <c r="HG19" i="3"/>
  <c r="HH19" i="3"/>
  <c r="HI19" i="3"/>
  <c r="HJ19" i="3"/>
  <c r="HK19" i="3"/>
  <c r="HL19" i="3"/>
  <c r="HM19" i="3"/>
  <c r="HN19" i="3"/>
  <c r="HO19" i="3"/>
  <c r="HP19" i="3"/>
  <c r="HQ19" i="3"/>
  <c r="HR19" i="3"/>
  <c r="HS19" i="3"/>
  <c r="HT19" i="3"/>
  <c r="HU19" i="3"/>
  <c r="HV19" i="3"/>
  <c r="HW19" i="3"/>
  <c r="HX19" i="3"/>
  <c r="HY19" i="3"/>
  <c r="HZ19" i="3"/>
  <c r="IA19" i="3"/>
  <c r="IB19" i="3"/>
  <c r="IC19" i="3"/>
  <c r="ID19" i="3"/>
  <c r="IE19" i="3"/>
  <c r="IF19" i="3"/>
  <c r="IG19" i="3"/>
  <c r="IH19" i="3"/>
  <c r="II19" i="3"/>
  <c r="IJ19" i="3"/>
  <c r="IK19" i="3"/>
  <c r="IL19" i="3"/>
  <c r="IM19" i="3"/>
  <c r="IN19" i="3"/>
  <c r="IO19" i="3"/>
  <c r="IP19" i="3"/>
  <c r="IQ19" i="3"/>
  <c r="IR19" i="3"/>
  <c r="IS19" i="3"/>
  <c r="IT19" i="3"/>
  <c r="IU19" i="3"/>
  <c r="IV19" i="3"/>
  <c r="IW19" i="3"/>
  <c r="IX19" i="3"/>
  <c r="IY19" i="3"/>
  <c r="IZ19" i="3"/>
  <c r="JA19" i="3"/>
  <c r="JB19" i="3"/>
  <c r="JC19" i="3"/>
  <c r="JD19" i="3"/>
  <c r="JE19" i="3"/>
  <c r="JF19" i="3"/>
  <c r="JG19" i="3"/>
  <c r="JH19" i="3"/>
  <c r="JI19" i="3"/>
  <c r="JJ19" i="3"/>
  <c r="JK19" i="3"/>
  <c r="JL19" i="3"/>
  <c r="JM19" i="3"/>
  <c r="A20" i="3"/>
  <c r="B20" i="3"/>
  <c r="J20" i="3"/>
  <c r="K20" i="3"/>
  <c r="L20" i="3"/>
  <c r="M20" i="3"/>
  <c r="N20" i="3"/>
  <c r="O20" i="3"/>
  <c r="P20" i="3"/>
  <c r="Q20" i="3"/>
  <c r="R20" i="3"/>
  <c r="S20" i="3"/>
  <c r="T20" i="3"/>
  <c r="U20" i="3"/>
  <c r="V20" i="3"/>
  <c r="W20" i="3"/>
  <c r="X20" i="3"/>
  <c r="Y20" i="3"/>
  <c r="Z20" i="3"/>
  <c r="AA20" i="3"/>
  <c r="AB20" i="3"/>
  <c r="AC20" i="3"/>
  <c r="AD20" i="3"/>
  <c r="AE20" i="3"/>
  <c r="AF20" i="3"/>
  <c r="AG20" i="3"/>
  <c r="AH20" i="3"/>
  <c r="AI20" i="3"/>
  <c r="AJ20" i="3"/>
  <c r="AK20" i="3"/>
  <c r="AL20" i="3"/>
  <c r="AM20" i="3"/>
  <c r="AN20" i="3"/>
  <c r="AO20" i="3"/>
  <c r="AP20" i="3"/>
  <c r="AQ20" i="3"/>
  <c r="AR20" i="3"/>
  <c r="AS20" i="3"/>
  <c r="AT20" i="3"/>
  <c r="AU20" i="3"/>
  <c r="AV20" i="3"/>
  <c r="AW20" i="3"/>
  <c r="AX20" i="3"/>
  <c r="AY20" i="3"/>
  <c r="AZ20" i="3"/>
  <c r="BA20" i="3"/>
  <c r="BB20" i="3"/>
  <c r="BC20" i="3"/>
  <c r="BD20" i="3"/>
  <c r="BE20" i="3"/>
  <c r="BF20" i="3"/>
  <c r="BG20" i="3"/>
  <c r="BH20" i="3"/>
  <c r="BI20" i="3"/>
  <c r="BJ20" i="3"/>
  <c r="BK20" i="3"/>
  <c r="BL20" i="3"/>
  <c r="BM20" i="3"/>
  <c r="BN20" i="3"/>
  <c r="BO20" i="3"/>
  <c r="BP20" i="3"/>
  <c r="BQ20" i="3"/>
  <c r="BR20" i="3"/>
  <c r="BS20" i="3"/>
  <c r="BT20" i="3"/>
  <c r="BU20" i="3"/>
  <c r="BV20" i="3"/>
  <c r="BW20" i="3"/>
  <c r="BX20" i="3"/>
  <c r="BY20" i="3"/>
  <c r="BZ20" i="3"/>
  <c r="CA20" i="3"/>
  <c r="CB20" i="3"/>
  <c r="CC20" i="3"/>
  <c r="CD20" i="3"/>
  <c r="CE20" i="3"/>
  <c r="CF20" i="3"/>
  <c r="CG20" i="3"/>
  <c r="CH20" i="3"/>
  <c r="CI20" i="3"/>
  <c r="CJ20" i="3"/>
  <c r="CK20" i="3"/>
  <c r="CL20" i="3"/>
  <c r="CM20" i="3"/>
  <c r="CN20" i="3"/>
  <c r="CO20" i="3"/>
  <c r="CP20" i="3"/>
  <c r="CQ20" i="3"/>
  <c r="CR20" i="3"/>
  <c r="CS20" i="3"/>
  <c r="CT20" i="3"/>
  <c r="CU20" i="3"/>
  <c r="CV20" i="3"/>
  <c r="CW20" i="3"/>
  <c r="CX20" i="3"/>
  <c r="CY20" i="3"/>
  <c r="CZ20" i="3"/>
  <c r="DA20" i="3"/>
  <c r="DB20" i="3"/>
  <c r="DC20" i="3"/>
  <c r="DD20" i="3"/>
  <c r="DE20" i="3"/>
  <c r="DF20" i="3"/>
  <c r="DG20" i="3"/>
  <c r="DH20" i="3"/>
  <c r="DI20" i="3"/>
  <c r="DJ20" i="3"/>
  <c r="DK20" i="3"/>
  <c r="DL20" i="3"/>
  <c r="DM20" i="3"/>
  <c r="DN20" i="3"/>
  <c r="DO20" i="3"/>
  <c r="DP20" i="3"/>
  <c r="DQ20" i="3"/>
  <c r="DR20" i="3"/>
  <c r="DS20" i="3"/>
  <c r="DT20" i="3"/>
  <c r="DU20" i="3"/>
  <c r="DV20" i="3"/>
  <c r="DW20" i="3"/>
  <c r="DX20" i="3"/>
  <c r="DY20" i="3"/>
  <c r="DZ20" i="3"/>
  <c r="EA20" i="3"/>
  <c r="EB20" i="3"/>
  <c r="EC20" i="3"/>
  <c r="ED20" i="3"/>
  <c r="EE20" i="3"/>
  <c r="EF20" i="3"/>
  <c r="EG20" i="3"/>
  <c r="EI20" i="3"/>
  <c r="EJ20" i="3"/>
  <c r="EK20" i="3"/>
  <c r="EL20" i="3"/>
  <c r="EM20" i="3"/>
  <c r="EN20" i="3"/>
  <c r="EO20" i="3"/>
  <c r="EP20" i="3"/>
  <c r="EQ20" i="3"/>
  <c r="ER20" i="3"/>
  <c r="ES20" i="3"/>
  <c r="ET20" i="3"/>
  <c r="EU20" i="3"/>
  <c r="EV20" i="3"/>
  <c r="EW20" i="3"/>
  <c r="EX20" i="3"/>
  <c r="EY20" i="3"/>
  <c r="EZ20" i="3"/>
  <c r="FA20" i="3"/>
  <c r="FB20" i="3"/>
  <c r="FC20" i="3"/>
  <c r="FD20" i="3"/>
  <c r="FE20" i="3"/>
  <c r="FF20" i="3"/>
  <c r="FG20" i="3"/>
  <c r="FH20" i="3"/>
  <c r="FI20" i="3"/>
  <c r="FJ20" i="3"/>
  <c r="FK20" i="3"/>
  <c r="FL20" i="3"/>
  <c r="FM20" i="3"/>
  <c r="FN20" i="3"/>
  <c r="FO20" i="3"/>
  <c r="FP20" i="3"/>
  <c r="FQ20" i="3"/>
  <c r="FR20" i="3"/>
  <c r="FS20" i="3"/>
  <c r="FT20" i="3"/>
  <c r="FU20" i="3"/>
  <c r="FV20" i="3"/>
  <c r="FW20" i="3"/>
  <c r="FX20" i="3"/>
  <c r="FY20" i="3"/>
  <c r="FZ20" i="3"/>
  <c r="GA20" i="3"/>
  <c r="GB20" i="3"/>
  <c r="GC20" i="3"/>
  <c r="GD20" i="3"/>
  <c r="GE20" i="3"/>
  <c r="GF20" i="3"/>
  <c r="GG20" i="3"/>
  <c r="GH20" i="3"/>
  <c r="GI20" i="3"/>
  <c r="GJ20" i="3"/>
  <c r="GK20" i="3"/>
  <c r="GL20" i="3"/>
  <c r="GM20" i="3"/>
  <c r="GN20" i="3"/>
  <c r="GO20" i="3"/>
  <c r="GP20" i="3"/>
  <c r="GQ20" i="3"/>
  <c r="GR20" i="3"/>
  <c r="GS20" i="3"/>
  <c r="GT20" i="3"/>
  <c r="GU20" i="3"/>
  <c r="GV20" i="3"/>
  <c r="GW20" i="3"/>
  <c r="GX20" i="3"/>
  <c r="GY20" i="3"/>
  <c r="GZ20" i="3"/>
  <c r="HA20" i="3"/>
  <c r="HB20" i="3"/>
  <c r="HC20" i="3"/>
  <c r="HD20" i="3"/>
  <c r="HE20" i="3"/>
  <c r="HF20" i="3"/>
  <c r="HG20" i="3"/>
  <c r="HH20" i="3"/>
  <c r="HI20" i="3"/>
  <c r="HJ20" i="3"/>
  <c r="HK20" i="3"/>
  <c r="HL20" i="3"/>
  <c r="HM20" i="3"/>
  <c r="HN20" i="3"/>
  <c r="A11" i="3"/>
  <c r="B11" i="3"/>
  <c r="C11"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AK11" i="3"/>
  <c r="AL11" i="3"/>
  <c r="AM11" i="3"/>
  <c r="AN11" i="3"/>
  <c r="AO11" i="3"/>
  <c r="AP11" i="3"/>
  <c r="AQ11" i="3"/>
  <c r="AR11" i="3"/>
  <c r="AS11" i="3"/>
  <c r="AT11" i="3"/>
  <c r="AU11" i="3"/>
  <c r="AV11" i="3"/>
  <c r="AW11" i="3"/>
  <c r="AX11" i="3"/>
  <c r="AY11" i="3"/>
  <c r="AZ11" i="3"/>
  <c r="BA11" i="3"/>
  <c r="BB11" i="3"/>
  <c r="BC11" i="3"/>
  <c r="BD11" i="3"/>
  <c r="BE11" i="3"/>
  <c r="BF11" i="3"/>
  <c r="BG11" i="3"/>
  <c r="BH11" i="3"/>
  <c r="BI11" i="3"/>
  <c r="BJ11" i="3"/>
  <c r="BK11" i="3"/>
  <c r="BL11" i="3"/>
  <c r="BM11" i="3"/>
  <c r="BN11" i="3"/>
  <c r="BO11" i="3"/>
  <c r="BP11" i="3"/>
  <c r="BQ11" i="3"/>
  <c r="BR11" i="3"/>
  <c r="BS11" i="3"/>
  <c r="BT11" i="3"/>
  <c r="BU11" i="3"/>
  <c r="BV11" i="3"/>
  <c r="BW11" i="3"/>
  <c r="BX11" i="3"/>
  <c r="BY11" i="3"/>
  <c r="BZ11" i="3"/>
  <c r="CA11" i="3"/>
  <c r="CB11" i="3"/>
  <c r="CC11" i="3"/>
  <c r="CD11" i="3"/>
  <c r="CE11" i="3"/>
  <c r="CF11" i="3"/>
  <c r="CG11" i="3"/>
  <c r="CH11" i="3"/>
  <c r="CI11" i="3"/>
  <c r="CJ11" i="3"/>
  <c r="CK11" i="3"/>
  <c r="CL11" i="3"/>
  <c r="CM11" i="3"/>
  <c r="CN11" i="3"/>
  <c r="CO11" i="3"/>
  <c r="CP11" i="3"/>
  <c r="CQ11" i="3"/>
  <c r="CR11" i="3"/>
  <c r="CS11" i="3"/>
  <c r="CT11" i="3"/>
  <c r="CU11" i="3"/>
  <c r="CV11" i="3"/>
  <c r="CW11" i="3"/>
  <c r="CX11" i="3"/>
  <c r="CY11" i="3"/>
  <c r="CZ11" i="3"/>
  <c r="DA11" i="3"/>
  <c r="DB11" i="3"/>
  <c r="DC11" i="3"/>
  <c r="DD11" i="3"/>
  <c r="DE11" i="3"/>
  <c r="DF11" i="3"/>
  <c r="DG11" i="3"/>
  <c r="DH11" i="3"/>
  <c r="DI11" i="3"/>
  <c r="DJ11" i="3"/>
  <c r="DK11" i="3"/>
  <c r="DL11" i="3"/>
  <c r="DM11" i="3"/>
  <c r="DN11" i="3"/>
  <c r="DO11" i="3"/>
  <c r="DP11" i="3"/>
  <c r="DQ11" i="3"/>
  <c r="DR11" i="3"/>
  <c r="DS11" i="3"/>
  <c r="DT11" i="3"/>
  <c r="DU11" i="3"/>
  <c r="DV11" i="3"/>
  <c r="DW11" i="3"/>
  <c r="DX11" i="3"/>
  <c r="DY11" i="3"/>
  <c r="DZ11" i="3"/>
  <c r="EA11" i="3"/>
  <c r="EB11" i="3"/>
  <c r="EC11" i="3"/>
  <c r="ED11" i="3"/>
  <c r="EE11" i="3"/>
  <c r="EF11" i="3"/>
  <c r="EG11" i="3"/>
  <c r="EI11" i="3"/>
  <c r="EJ11" i="3"/>
  <c r="EK11" i="3"/>
  <c r="EL11" i="3"/>
  <c r="EM11" i="3"/>
  <c r="EN11" i="3"/>
  <c r="EO11" i="3"/>
  <c r="EP11" i="3"/>
  <c r="EQ11" i="3"/>
  <c r="ER11" i="3"/>
  <c r="ES11" i="3"/>
  <c r="ET11" i="3"/>
  <c r="EU11" i="3"/>
  <c r="EV11" i="3"/>
  <c r="EW11" i="3"/>
  <c r="EX11" i="3"/>
  <c r="EY11" i="3"/>
  <c r="EZ11" i="3"/>
  <c r="FA11" i="3"/>
  <c r="FB11" i="3"/>
  <c r="FC11" i="3"/>
  <c r="FD11" i="3"/>
  <c r="FE11" i="3"/>
  <c r="FF11" i="3"/>
  <c r="FG11" i="3"/>
  <c r="FH11" i="3"/>
  <c r="FI11" i="3"/>
  <c r="FJ11" i="3"/>
  <c r="FK11" i="3"/>
  <c r="FL11" i="3"/>
  <c r="FM11" i="3"/>
  <c r="FN11" i="3"/>
  <c r="FO11" i="3"/>
  <c r="FP11" i="3"/>
  <c r="FQ11" i="3"/>
  <c r="FR11" i="3"/>
  <c r="FS11" i="3"/>
  <c r="FT11" i="3"/>
  <c r="FU11" i="3"/>
  <c r="FV11" i="3"/>
  <c r="FW11" i="3"/>
  <c r="FX11" i="3"/>
  <c r="FY11" i="3"/>
  <c r="FZ11" i="3"/>
  <c r="GA11" i="3"/>
  <c r="GB11" i="3"/>
  <c r="GC11" i="3"/>
  <c r="GD11" i="3"/>
  <c r="GE11" i="3"/>
  <c r="GF11" i="3"/>
  <c r="GG11" i="3"/>
  <c r="GH11" i="3"/>
  <c r="GI11" i="3"/>
  <c r="GJ11" i="3"/>
  <c r="GK11" i="3"/>
  <c r="GL11" i="3"/>
  <c r="GM11" i="3"/>
  <c r="GN11" i="3"/>
  <c r="GO11" i="3"/>
  <c r="GP11" i="3"/>
  <c r="GQ11" i="3"/>
  <c r="GR11" i="3"/>
  <c r="GS11" i="3"/>
  <c r="GT11" i="3"/>
  <c r="GU11" i="3"/>
  <c r="GV11" i="3"/>
  <c r="GW11" i="3"/>
  <c r="GX11" i="3"/>
  <c r="GY11" i="3"/>
  <c r="GZ11" i="3"/>
  <c r="HA11" i="3"/>
  <c r="HB11" i="3"/>
  <c r="HC11" i="3"/>
  <c r="HD11" i="3"/>
  <c r="HE11" i="3"/>
  <c r="HF11" i="3"/>
  <c r="HG11" i="3"/>
  <c r="HH11" i="3"/>
  <c r="HI11" i="3"/>
  <c r="HJ11" i="3"/>
  <c r="HK11" i="3"/>
  <c r="HL11" i="3"/>
  <c r="HM11" i="3"/>
  <c r="HN11" i="3"/>
  <c r="HO11" i="3"/>
  <c r="HP11" i="3"/>
  <c r="HQ11" i="3"/>
  <c r="HR11" i="3"/>
  <c r="HS11" i="3"/>
  <c r="HT11" i="3"/>
  <c r="HU11" i="3"/>
  <c r="HV11" i="3"/>
  <c r="HW11" i="3"/>
  <c r="HX11" i="3"/>
  <c r="HY11" i="3"/>
  <c r="HZ11" i="3"/>
  <c r="IA11" i="3"/>
  <c r="IB11" i="3"/>
  <c r="IC11" i="3"/>
  <c r="ID11" i="3"/>
  <c r="IE11" i="3"/>
  <c r="IF11" i="3"/>
  <c r="IG11" i="3"/>
  <c r="IH11" i="3"/>
  <c r="II11" i="3"/>
  <c r="IJ11" i="3"/>
  <c r="IK11" i="3"/>
  <c r="IL11" i="3"/>
  <c r="IM11" i="3"/>
  <c r="IN11" i="3"/>
  <c r="IO11" i="3"/>
  <c r="IP11" i="3"/>
  <c r="IQ11" i="3"/>
  <c r="IR11" i="3"/>
  <c r="IS11" i="3"/>
  <c r="IT11" i="3"/>
  <c r="IU11" i="3"/>
  <c r="IV11" i="3"/>
  <c r="IW11" i="3"/>
  <c r="IX11" i="3"/>
  <c r="IY11" i="3"/>
  <c r="IZ11" i="3"/>
  <c r="JA11" i="3"/>
  <c r="JB11" i="3"/>
  <c r="JC11" i="3"/>
  <c r="JD11" i="3"/>
  <c r="JE11" i="3"/>
  <c r="JF11" i="3"/>
  <c r="JG11" i="3"/>
  <c r="JH11" i="3"/>
  <c r="JI11" i="3"/>
  <c r="JJ11" i="3"/>
  <c r="JK11" i="3"/>
  <c r="JL11" i="3"/>
  <c r="JM11" i="3"/>
  <c r="A12" i="3"/>
  <c r="B12" i="3"/>
  <c r="G12" i="3"/>
  <c r="H12" i="3"/>
  <c r="I12" i="3"/>
  <c r="J12" i="3"/>
  <c r="K12" i="3"/>
  <c r="L12" i="3"/>
  <c r="M12" i="3"/>
  <c r="N12" i="3"/>
  <c r="O12" i="3"/>
  <c r="P12" i="3"/>
  <c r="Q12" i="3"/>
  <c r="R12" i="3"/>
  <c r="S12" i="3"/>
  <c r="T12" i="3"/>
  <c r="U12" i="3"/>
  <c r="V12" i="3"/>
  <c r="W12" i="3"/>
  <c r="X12" i="3"/>
  <c r="Y12" i="3"/>
  <c r="Z12" i="3"/>
  <c r="AA12" i="3"/>
  <c r="AB12" i="3"/>
  <c r="AC12" i="3"/>
  <c r="AD12" i="3"/>
  <c r="AE12" i="3"/>
  <c r="AF12" i="3"/>
  <c r="AG12" i="3"/>
  <c r="AH12" i="3"/>
  <c r="AI12" i="3"/>
  <c r="AJ12" i="3"/>
  <c r="AK12" i="3"/>
  <c r="AL12" i="3"/>
  <c r="AM12" i="3"/>
  <c r="AN12" i="3"/>
  <c r="AO12" i="3"/>
  <c r="AP12" i="3"/>
  <c r="AQ12" i="3"/>
  <c r="AR12" i="3"/>
  <c r="AS12" i="3"/>
  <c r="AT12" i="3"/>
  <c r="AU12" i="3"/>
  <c r="AV12" i="3"/>
  <c r="AW12" i="3"/>
  <c r="AX12" i="3"/>
  <c r="AY12" i="3"/>
  <c r="AZ12" i="3"/>
  <c r="BA12" i="3"/>
  <c r="BB12" i="3"/>
  <c r="BC12" i="3"/>
  <c r="BD12" i="3"/>
  <c r="BE12" i="3"/>
  <c r="BF12" i="3"/>
  <c r="BG12" i="3"/>
  <c r="BH12" i="3"/>
  <c r="BI12" i="3"/>
  <c r="BJ12" i="3"/>
  <c r="BK12" i="3"/>
  <c r="BL12" i="3"/>
  <c r="BM12" i="3"/>
  <c r="BN12" i="3"/>
  <c r="BO12" i="3"/>
  <c r="BP12" i="3"/>
  <c r="BQ12" i="3"/>
  <c r="BR12" i="3"/>
  <c r="BS12" i="3"/>
  <c r="BT12" i="3"/>
  <c r="BU12" i="3"/>
  <c r="BV12" i="3"/>
  <c r="BW12" i="3"/>
  <c r="BX12" i="3"/>
  <c r="BY12" i="3"/>
  <c r="BZ12" i="3"/>
  <c r="CA12" i="3"/>
  <c r="CB12" i="3"/>
  <c r="CC12" i="3"/>
  <c r="CD12" i="3"/>
  <c r="CE12" i="3"/>
  <c r="CF12" i="3"/>
  <c r="CG12" i="3"/>
  <c r="CH12" i="3"/>
  <c r="CI12" i="3"/>
  <c r="CJ12" i="3"/>
  <c r="CK12" i="3"/>
  <c r="CL12" i="3"/>
  <c r="CM12" i="3"/>
  <c r="CN12" i="3"/>
  <c r="CO12" i="3"/>
  <c r="CP12" i="3"/>
  <c r="CQ12" i="3"/>
  <c r="CR12" i="3"/>
  <c r="CS12" i="3"/>
  <c r="CT12" i="3"/>
  <c r="CU12" i="3"/>
  <c r="CV12" i="3"/>
  <c r="CW12" i="3"/>
  <c r="CX12" i="3"/>
  <c r="CY12" i="3"/>
  <c r="CZ12" i="3"/>
  <c r="DA12" i="3"/>
  <c r="DB12" i="3"/>
  <c r="DC12" i="3"/>
  <c r="DD12" i="3"/>
  <c r="DE12" i="3"/>
  <c r="DF12" i="3"/>
  <c r="DG12" i="3"/>
  <c r="DH12" i="3"/>
  <c r="DI12" i="3"/>
  <c r="DJ12" i="3"/>
  <c r="DK12" i="3"/>
  <c r="DL12" i="3"/>
  <c r="DM12" i="3"/>
  <c r="DN12" i="3"/>
  <c r="DO12" i="3"/>
  <c r="DP12" i="3"/>
  <c r="DQ12" i="3"/>
  <c r="DR12" i="3"/>
  <c r="DS12" i="3"/>
  <c r="DT12" i="3"/>
  <c r="DU12" i="3"/>
  <c r="DV12" i="3"/>
  <c r="DW12" i="3"/>
  <c r="DX12" i="3"/>
  <c r="DY12" i="3"/>
  <c r="DZ12" i="3"/>
  <c r="EA12" i="3"/>
  <c r="EB12" i="3"/>
  <c r="EC12" i="3"/>
  <c r="ED12" i="3"/>
  <c r="EE12" i="3"/>
  <c r="EF12" i="3"/>
  <c r="EG12" i="3"/>
  <c r="EI12" i="3"/>
  <c r="EJ12" i="3"/>
  <c r="EK12" i="3"/>
  <c r="EL12" i="3"/>
  <c r="EM12" i="3"/>
  <c r="EN12" i="3"/>
  <c r="EO12" i="3"/>
  <c r="EP12" i="3"/>
  <c r="EQ12" i="3"/>
  <c r="ER12" i="3"/>
  <c r="ES12" i="3"/>
  <c r="ET12" i="3"/>
  <c r="EU12" i="3"/>
  <c r="EV12" i="3"/>
  <c r="EW12" i="3"/>
  <c r="EX12" i="3"/>
  <c r="EY12" i="3"/>
  <c r="EZ12" i="3"/>
  <c r="FA12" i="3"/>
  <c r="FB12" i="3"/>
  <c r="FC12" i="3"/>
  <c r="FD12" i="3"/>
  <c r="FE12" i="3"/>
  <c r="FF12" i="3"/>
  <c r="FG12" i="3"/>
  <c r="FH12" i="3"/>
  <c r="FI12" i="3"/>
  <c r="FJ12" i="3"/>
  <c r="FK12" i="3"/>
  <c r="FL12" i="3"/>
  <c r="FM12" i="3"/>
  <c r="FN12" i="3"/>
  <c r="FO12" i="3"/>
  <c r="FP12" i="3"/>
  <c r="FQ12" i="3"/>
  <c r="FR12" i="3"/>
  <c r="FS12" i="3"/>
  <c r="FT12" i="3"/>
  <c r="FU12" i="3"/>
  <c r="FV12" i="3"/>
  <c r="FW12" i="3"/>
  <c r="FX12" i="3"/>
  <c r="FY12" i="3"/>
  <c r="FZ12" i="3"/>
  <c r="GA12" i="3"/>
  <c r="GB12" i="3"/>
  <c r="GC12" i="3"/>
  <c r="GD12" i="3"/>
  <c r="GE12" i="3"/>
  <c r="GF12" i="3"/>
  <c r="GG12" i="3"/>
  <c r="GH12" i="3"/>
  <c r="GI12" i="3"/>
  <c r="GJ12" i="3"/>
  <c r="GK12" i="3"/>
  <c r="GL12" i="3"/>
  <c r="GM12" i="3"/>
  <c r="GN12" i="3"/>
  <c r="GO12" i="3"/>
  <c r="GP12" i="3"/>
  <c r="GQ12" i="3"/>
  <c r="GR12" i="3"/>
  <c r="GS12" i="3"/>
  <c r="GT12" i="3"/>
  <c r="GU12" i="3"/>
  <c r="GV12" i="3"/>
  <c r="GW12" i="3"/>
  <c r="GX12" i="3"/>
  <c r="GY12" i="3"/>
  <c r="GZ12" i="3"/>
  <c r="HA12" i="3"/>
  <c r="HB12" i="3"/>
  <c r="HC12" i="3"/>
  <c r="HD12" i="3"/>
  <c r="HE12" i="3"/>
  <c r="HF12" i="3"/>
  <c r="HG12" i="3"/>
  <c r="HH12" i="3"/>
  <c r="HI12" i="3"/>
  <c r="HJ12" i="3"/>
  <c r="HK12" i="3"/>
  <c r="HL12" i="3"/>
  <c r="HM12" i="3"/>
  <c r="HN12" i="3"/>
  <c r="HO12" i="3"/>
  <c r="HP12" i="3"/>
  <c r="HQ12" i="3"/>
  <c r="HR12" i="3"/>
  <c r="HS12" i="3"/>
  <c r="HT12" i="3"/>
  <c r="HU12" i="3"/>
  <c r="HV12" i="3"/>
  <c r="HW12" i="3"/>
  <c r="HX12" i="3"/>
  <c r="HY12" i="3"/>
  <c r="HZ12" i="3"/>
  <c r="IA12" i="3"/>
  <c r="IB12" i="3"/>
  <c r="IC12" i="3"/>
  <c r="ID12" i="3"/>
  <c r="IE12" i="3"/>
  <c r="IF12" i="3"/>
  <c r="IG12" i="3"/>
  <c r="IH12" i="3"/>
  <c r="II12" i="3"/>
  <c r="IJ12" i="3"/>
  <c r="IK12" i="3"/>
  <c r="IL12" i="3"/>
  <c r="IM12" i="3"/>
  <c r="IN12" i="3"/>
  <c r="IO12" i="3"/>
  <c r="IP12" i="3"/>
  <c r="IQ12" i="3"/>
  <c r="IR12" i="3"/>
  <c r="IS12" i="3"/>
  <c r="IT12" i="3"/>
  <c r="IU12" i="3"/>
  <c r="IV12" i="3"/>
  <c r="IW12" i="3"/>
  <c r="IX12" i="3"/>
  <c r="IY12" i="3"/>
  <c r="IZ12" i="3"/>
  <c r="JA12" i="3"/>
  <c r="JB12" i="3"/>
  <c r="JC12" i="3"/>
  <c r="JD12" i="3"/>
  <c r="JE12" i="3"/>
  <c r="JF12" i="3"/>
  <c r="JG12" i="3"/>
  <c r="JH12" i="3"/>
  <c r="JI12" i="3"/>
  <c r="JJ12" i="3"/>
  <c r="JK12" i="3"/>
  <c r="JL12" i="3"/>
  <c r="JM12" i="3"/>
  <c r="A13" i="3"/>
  <c r="B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14" i="3"/>
  <c r="B14" i="3"/>
  <c r="C14" i="3"/>
  <c r="D14" i="3"/>
  <c r="E14" i="3"/>
  <c r="F14" i="3"/>
  <c r="G14" i="3"/>
  <c r="H14" i="3"/>
  <c r="I14" i="3"/>
  <c r="J14" i="3"/>
  <c r="K14" i="3"/>
  <c r="L14" i="3"/>
  <c r="M14" i="3"/>
  <c r="N14" i="3"/>
  <c r="O14" i="3"/>
  <c r="P14" i="3"/>
  <c r="Q14" i="3"/>
  <c r="R14" i="3"/>
  <c r="S14" i="3"/>
  <c r="T14" i="3"/>
  <c r="U14" i="3"/>
  <c r="V14" i="3"/>
  <c r="W14" i="3"/>
  <c r="X14" i="3"/>
  <c r="Y14" i="3"/>
  <c r="Z14" i="3"/>
  <c r="AA14" i="3"/>
  <c r="AB14" i="3"/>
  <c r="AC14" i="3"/>
  <c r="AD14" i="3"/>
  <c r="AE14" i="3"/>
  <c r="AF14" i="3"/>
  <c r="AG14" i="3"/>
  <c r="AH14" i="3"/>
  <c r="AI14" i="3"/>
  <c r="AJ14" i="3"/>
  <c r="AK14" i="3"/>
  <c r="AL14" i="3"/>
  <c r="AM14" i="3"/>
  <c r="AN14" i="3"/>
  <c r="AO14" i="3"/>
  <c r="AP14" i="3"/>
  <c r="AQ14" i="3"/>
  <c r="AR14" i="3"/>
  <c r="AS14" i="3"/>
  <c r="AT14" i="3"/>
  <c r="AU14" i="3"/>
  <c r="AV14" i="3"/>
  <c r="AW14" i="3"/>
  <c r="AX14" i="3"/>
  <c r="AY14" i="3"/>
  <c r="AZ14" i="3"/>
  <c r="BA14" i="3"/>
  <c r="BB14" i="3"/>
  <c r="BC14" i="3"/>
  <c r="BD14" i="3"/>
  <c r="BE14" i="3"/>
  <c r="BF14" i="3"/>
  <c r="BG14" i="3"/>
  <c r="BH14" i="3"/>
  <c r="BI14" i="3"/>
  <c r="BJ14" i="3"/>
  <c r="BK14" i="3"/>
  <c r="BL14" i="3"/>
  <c r="BM14" i="3"/>
  <c r="BN14" i="3"/>
  <c r="BO14" i="3"/>
  <c r="BP14" i="3"/>
  <c r="BQ14" i="3"/>
  <c r="BR14" i="3"/>
  <c r="BS14" i="3"/>
  <c r="BT14" i="3"/>
  <c r="BU14" i="3"/>
  <c r="BV14" i="3"/>
  <c r="BW14" i="3"/>
  <c r="BX14" i="3"/>
  <c r="BY14" i="3"/>
  <c r="BZ14" i="3"/>
  <c r="CA14" i="3"/>
  <c r="CB14" i="3"/>
  <c r="CC14" i="3"/>
  <c r="CD14" i="3"/>
  <c r="CE14" i="3"/>
  <c r="CF14" i="3"/>
  <c r="CG14" i="3"/>
  <c r="CH14" i="3"/>
  <c r="CI14" i="3"/>
  <c r="CJ14" i="3"/>
  <c r="CK14" i="3"/>
  <c r="CL14" i="3"/>
  <c r="CM14" i="3"/>
  <c r="CN14" i="3"/>
  <c r="CO14" i="3"/>
  <c r="CP14" i="3"/>
  <c r="CQ14" i="3"/>
  <c r="CR14" i="3"/>
  <c r="CS14" i="3"/>
  <c r="CT14" i="3"/>
  <c r="CU14" i="3"/>
  <c r="CV14" i="3"/>
  <c r="CW14" i="3"/>
  <c r="CX14" i="3"/>
  <c r="CY14" i="3"/>
  <c r="CZ14" i="3"/>
  <c r="DA14" i="3"/>
  <c r="DB14" i="3"/>
  <c r="DC14" i="3"/>
  <c r="DD14" i="3"/>
  <c r="DE14" i="3"/>
  <c r="DF14" i="3"/>
  <c r="DG14" i="3"/>
  <c r="DH14" i="3"/>
  <c r="DI14" i="3"/>
  <c r="DJ14" i="3"/>
  <c r="DK14" i="3"/>
  <c r="DL14" i="3"/>
  <c r="DM14" i="3"/>
  <c r="DN14" i="3"/>
  <c r="DO14" i="3"/>
  <c r="DP14" i="3"/>
  <c r="DQ14" i="3"/>
  <c r="DR14" i="3"/>
  <c r="DS14" i="3"/>
  <c r="DT14" i="3"/>
  <c r="DU14" i="3"/>
  <c r="DV14" i="3"/>
  <c r="DW14" i="3"/>
  <c r="DX14" i="3"/>
  <c r="DY14" i="3"/>
  <c r="DZ14" i="3"/>
  <c r="EA14" i="3"/>
  <c r="EB14" i="3"/>
  <c r="EC14" i="3"/>
  <c r="ED14" i="3"/>
  <c r="EE14" i="3"/>
  <c r="EF14" i="3"/>
  <c r="EG14" i="3"/>
  <c r="EI14" i="3"/>
  <c r="EJ14" i="3"/>
  <c r="EK14" i="3"/>
  <c r="EL14" i="3"/>
  <c r="EM14" i="3"/>
  <c r="EN14" i="3"/>
  <c r="EO14" i="3"/>
  <c r="EP14" i="3"/>
  <c r="EQ14" i="3"/>
  <c r="ER14" i="3"/>
  <c r="ES14" i="3"/>
  <c r="ET14" i="3"/>
  <c r="EU14" i="3"/>
  <c r="EV14" i="3"/>
  <c r="EW14" i="3"/>
  <c r="EX14" i="3"/>
  <c r="EY14" i="3"/>
  <c r="EZ14" i="3"/>
  <c r="FA14" i="3"/>
  <c r="FB14" i="3"/>
  <c r="FC14" i="3"/>
  <c r="FD14" i="3"/>
  <c r="FE14" i="3"/>
  <c r="FF14" i="3"/>
  <c r="FG14" i="3"/>
  <c r="FH14" i="3"/>
  <c r="FI14" i="3"/>
  <c r="FJ14" i="3"/>
  <c r="FK14" i="3"/>
  <c r="FL14" i="3"/>
  <c r="FM14" i="3"/>
  <c r="FN14" i="3"/>
  <c r="FO14" i="3"/>
  <c r="FP14" i="3"/>
  <c r="FQ14" i="3"/>
  <c r="FR14" i="3"/>
  <c r="FS14" i="3"/>
  <c r="FT14" i="3"/>
  <c r="FU14" i="3"/>
  <c r="FV14" i="3"/>
  <c r="FW14" i="3"/>
  <c r="FX14" i="3"/>
  <c r="FY14" i="3"/>
  <c r="FZ14" i="3"/>
  <c r="GA14" i="3"/>
  <c r="GB14" i="3"/>
  <c r="GC14" i="3"/>
  <c r="GD14" i="3"/>
  <c r="GE14" i="3"/>
  <c r="GF14" i="3"/>
  <c r="GG14" i="3"/>
  <c r="GH14" i="3"/>
  <c r="GI14" i="3"/>
  <c r="GJ14" i="3"/>
  <c r="GK14" i="3"/>
  <c r="GL14" i="3"/>
  <c r="GM14" i="3"/>
  <c r="GN14" i="3"/>
  <c r="GO14" i="3"/>
  <c r="GP14" i="3"/>
  <c r="GQ14" i="3"/>
  <c r="GR14" i="3"/>
  <c r="GS14" i="3"/>
  <c r="GT14" i="3"/>
  <c r="GU14" i="3"/>
  <c r="GV14" i="3"/>
  <c r="GW14" i="3"/>
  <c r="GX14" i="3"/>
  <c r="GY14" i="3"/>
  <c r="GZ14" i="3"/>
  <c r="HA14" i="3"/>
  <c r="HB14" i="3"/>
  <c r="HC14" i="3"/>
  <c r="HD14" i="3"/>
  <c r="HE14" i="3"/>
  <c r="HF14" i="3"/>
  <c r="HG14" i="3"/>
  <c r="HH14" i="3"/>
  <c r="HI14" i="3"/>
  <c r="HJ14" i="3"/>
  <c r="HK14" i="3"/>
  <c r="HL14" i="3"/>
  <c r="HM14" i="3"/>
  <c r="HN14" i="3"/>
  <c r="HO14" i="3"/>
  <c r="HP14" i="3"/>
  <c r="HQ14" i="3"/>
  <c r="HR14" i="3"/>
  <c r="HS14" i="3"/>
  <c r="HT14" i="3"/>
  <c r="HU14" i="3"/>
  <c r="HV14" i="3"/>
  <c r="HW14" i="3"/>
  <c r="HX14" i="3"/>
  <c r="HY14" i="3"/>
  <c r="HZ14" i="3"/>
  <c r="IA14" i="3"/>
  <c r="IB14" i="3"/>
  <c r="IC14" i="3"/>
  <c r="ID14" i="3"/>
  <c r="IE14" i="3"/>
  <c r="IF14" i="3"/>
  <c r="IG14" i="3"/>
  <c r="IH14" i="3"/>
  <c r="II14" i="3"/>
  <c r="IJ14" i="3"/>
  <c r="IK14" i="3"/>
  <c r="IL14" i="3"/>
  <c r="IM14" i="3"/>
  <c r="IN14" i="3"/>
  <c r="IO14" i="3"/>
  <c r="IP14" i="3"/>
  <c r="IQ14" i="3"/>
  <c r="IR14" i="3"/>
  <c r="IS14" i="3"/>
  <c r="IT14" i="3"/>
  <c r="IU14" i="3"/>
  <c r="IV14" i="3"/>
  <c r="IW14" i="3"/>
  <c r="IX14" i="3"/>
  <c r="IY14" i="3"/>
  <c r="IZ14" i="3"/>
  <c r="JA14" i="3"/>
  <c r="JB14" i="3"/>
  <c r="JC14" i="3"/>
  <c r="JD14" i="3"/>
  <c r="JE14" i="3"/>
  <c r="JF14" i="3"/>
  <c r="JG14" i="3"/>
  <c r="JH14" i="3"/>
  <c r="JI14" i="3"/>
  <c r="JJ14" i="3"/>
  <c r="JK14" i="3"/>
  <c r="JL14" i="3"/>
  <c r="JM14" i="3"/>
  <c r="A15" i="3"/>
  <c r="B15"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AG15" i="3"/>
  <c r="AH15" i="3"/>
  <c r="AI15" i="3"/>
  <c r="AJ15" i="3"/>
  <c r="AK15" i="3"/>
  <c r="AL15" i="3"/>
  <c r="AM15" i="3"/>
  <c r="AN15" i="3"/>
  <c r="AO15" i="3"/>
  <c r="AP15" i="3"/>
  <c r="AQ15" i="3"/>
  <c r="AR15" i="3"/>
  <c r="AS15" i="3"/>
  <c r="AT15" i="3"/>
  <c r="AU15" i="3"/>
  <c r="AV15" i="3"/>
  <c r="AW15" i="3"/>
  <c r="AX15" i="3"/>
  <c r="AY15" i="3"/>
  <c r="AZ15" i="3"/>
  <c r="BA15" i="3"/>
  <c r="BB15" i="3"/>
  <c r="BC15" i="3"/>
  <c r="BD15" i="3"/>
  <c r="BE15" i="3"/>
  <c r="BF15" i="3"/>
  <c r="BG15" i="3"/>
  <c r="BH15" i="3"/>
  <c r="BI15" i="3"/>
  <c r="BJ15" i="3"/>
  <c r="BK15" i="3"/>
  <c r="BL15" i="3"/>
  <c r="BM15" i="3"/>
  <c r="BN15" i="3"/>
  <c r="BO15" i="3"/>
  <c r="BP15" i="3"/>
  <c r="BQ15" i="3"/>
  <c r="A6" i="3"/>
  <c r="B6" i="3"/>
  <c r="C6" i="3"/>
  <c r="D6"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O6" i="3"/>
  <c r="AP6" i="3"/>
  <c r="AQ6" i="3"/>
  <c r="AR6" i="3"/>
  <c r="AS6" i="3"/>
  <c r="AT6" i="3"/>
  <c r="AU6" i="3"/>
  <c r="AV6" i="3"/>
  <c r="AW6" i="3"/>
  <c r="AX6" i="3"/>
  <c r="AY6" i="3"/>
  <c r="AZ6" i="3"/>
  <c r="BA6" i="3"/>
  <c r="BB6" i="3"/>
  <c r="BC6" i="3"/>
  <c r="BD6" i="3"/>
  <c r="BE6" i="3"/>
  <c r="BF6" i="3"/>
  <c r="BG6" i="3"/>
  <c r="BH6" i="3"/>
  <c r="BI6" i="3"/>
  <c r="BJ6" i="3"/>
  <c r="BK6" i="3"/>
  <c r="BL6" i="3"/>
  <c r="BM6" i="3"/>
  <c r="BN6" i="3"/>
  <c r="BO6" i="3"/>
  <c r="BP6" i="3"/>
  <c r="BQ6" i="3"/>
  <c r="BR6" i="3"/>
  <c r="BS6" i="3"/>
  <c r="BT6" i="3"/>
  <c r="BU6" i="3"/>
  <c r="BV6" i="3"/>
  <c r="BW6" i="3"/>
  <c r="BX6" i="3"/>
  <c r="BY6" i="3"/>
  <c r="BZ6" i="3"/>
  <c r="CA6" i="3"/>
  <c r="CB6" i="3"/>
  <c r="CC6" i="3"/>
  <c r="CD6" i="3"/>
  <c r="CE6" i="3"/>
  <c r="CF6" i="3"/>
  <c r="CG6" i="3"/>
  <c r="CH6" i="3"/>
  <c r="CI6" i="3"/>
  <c r="CJ6" i="3"/>
  <c r="CK6" i="3"/>
  <c r="CL6" i="3"/>
  <c r="CM6" i="3"/>
  <c r="CN6" i="3"/>
  <c r="CO6" i="3"/>
  <c r="CP6" i="3"/>
  <c r="CQ6" i="3"/>
  <c r="CR6" i="3"/>
  <c r="CS6" i="3"/>
  <c r="CT6" i="3"/>
  <c r="CU6" i="3"/>
  <c r="CV6" i="3"/>
  <c r="CW6" i="3"/>
  <c r="CX6" i="3"/>
  <c r="CY6" i="3"/>
  <c r="CZ6" i="3"/>
  <c r="DA6" i="3"/>
  <c r="DB6" i="3"/>
  <c r="DC6" i="3"/>
  <c r="DD6" i="3"/>
  <c r="DE6" i="3"/>
  <c r="DF6" i="3"/>
  <c r="DG6" i="3"/>
  <c r="DH6" i="3"/>
  <c r="DI6" i="3"/>
  <c r="DJ6" i="3"/>
  <c r="DK6" i="3"/>
  <c r="DL6" i="3"/>
  <c r="DM6" i="3"/>
  <c r="DN6" i="3"/>
  <c r="DO6" i="3"/>
  <c r="DP6" i="3"/>
  <c r="DQ6" i="3"/>
  <c r="DR6" i="3"/>
  <c r="DS6" i="3"/>
  <c r="DT6" i="3"/>
  <c r="DU6" i="3"/>
  <c r="DV6" i="3"/>
  <c r="DW6" i="3"/>
  <c r="DX6" i="3"/>
  <c r="DY6" i="3"/>
  <c r="DZ6" i="3"/>
  <c r="EA6" i="3"/>
  <c r="EB6" i="3"/>
  <c r="EC6" i="3"/>
  <c r="ED6" i="3"/>
  <c r="EE6" i="3"/>
  <c r="EF6" i="3"/>
  <c r="EG6" i="3"/>
  <c r="EI6" i="3"/>
  <c r="EJ6" i="3"/>
  <c r="EK6" i="3"/>
  <c r="EL6" i="3"/>
  <c r="EM6" i="3"/>
  <c r="EN6" i="3"/>
  <c r="EO6" i="3"/>
  <c r="EP6" i="3"/>
  <c r="EQ6" i="3"/>
  <c r="ER6" i="3"/>
  <c r="ES6" i="3"/>
  <c r="ET6" i="3"/>
  <c r="EU6" i="3"/>
  <c r="EV6" i="3"/>
  <c r="EW6" i="3"/>
  <c r="EX6" i="3"/>
  <c r="EY6" i="3"/>
  <c r="EZ6" i="3"/>
  <c r="FA6" i="3"/>
  <c r="FB6" i="3"/>
  <c r="FC6" i="3"/>
  <c r="FD6" i="3"/>
  <c r="FE6" i="3"/>
  <c r="FF6" i="3"/>
  <c r="FG6" i="3"/>
  <c r="FH6" i="3"/>
  <c r="FI6" i="3"/>
  <c r="FJ6" i="3"/>
  <c r="FK6" i="3"/>
  <c r="FL6" i="3"/>
  <c r="FM6" i="3"/>
  <c r="FN6" i="3"/>
  <c r="FO6" i="3"/>
  <c r="FP6" i="3"/>
  <c r="FQ6" i="3"/>
  <c r="FR6" i="3"/>
  <c r="FS6" i="3"/>
  <c r="FT6" i="3"/>
  <c r="FU6" i="3"/>
  <c r="FV6" i="3"/>
  <c r="FW6" i="3"/>
  <c r="FX6" i="3"/>
  <c r="FY6" i="3"/>
  <c r="FZ6" i="3"/>
  <c r="GA6" i="3"/>
  <c r="GB6" i="3"/>
  <c r="GC6" i="3"/>
  <c r="GD6" i="3"/>
  <c r="GE6" i="3"/>
  <c r="GF6" i="3"/>
  <c r="GG6" i="3"/>
  <c r="GH6" i="3"/>
  <c r="GI6" i="3"/>
  <c r="GJ6" i="3"/>
  <c r="GK6" i="3"/>
  <c r="GL6" i="3"/>
  <c r="GM6" i="3"/>
  <c r="GN6" i="3"/>
  <c r="GO6" i="3"/>
  <c r="GP6" i="3"/>
  <c r="GQ6" i="3"/>
  <c r="GR6" i="3"/>
  <c r="GS6" i="3"/>
  <c r="GT6" i="3"/>
  <c r="GU6" i="3"/>
  <c r="GV6" i="3"/>
  <c r="GW6" i="3"/>
  <c r="GX6" i="3"/>
  <c r="GY6" i="3"/>
  <c r="GZ6" i="3"/>
  <c r="HA6" i="3"/>
  <c r="HB6" i="3"/>
  <c r="HC6" i="3"/>
  <c r="HD6" i="3"/>
  <c r="HE6" i="3"/>
  <c r="HF6" i="3"/>
  <c r="HG6" i="3"/>
  <c r="HH6" i="3"/>
  <c r="HI6" i="3"/>
  <c r="HJ6" i="3"/>
  <c r="HK6" i="3"/>
  <c r="HL6" i="3"/>
  <c r="HM6" i="3"/>
  <c r="HN6" i="3"/>
  <c r="HO6" i="3"/>
  <c r="HP6" i="3"/>
  <c r="HQ6" i="3"/>
  <c r="HR6" i="3"/>
  <c r="HS6" i="3"/>
  <c r="HT6" i="3"/>
  <c r="HU6" i="3"/>
  <c r="HV6" i="3"/>
  <c r="HW6" i="3"/>
  <c r="HX6" i="3"/>
  <c r="HY6" i="3"/>
  <c r="HZ6" i="3"/>
  <c r="IA6" i="3"/>
  <c r="IB6" i="3"/>
  <c r="IC6" i="3"/>
  <c r="ID6" i="3"/>
  <c r="IE6" i="3"/>
  <c r="IF6" i="3"/>
  <c r="IG6" i="3"/>
  <c r="IH6" i="3"/>
  <c r="II6" i="3"/>
  <c r="IJ6" i="3"/>
  <c r="IK6" i="3"/>
  <c r="IL6" i="3"/>
  <c r="IM6" i="3"/>
  <c r="IN6" i="3"/>
  <c r="IO6" i="3"/>
  <c r="IP6" i="3"/>
  <c r="IQ6" i="3"/>
  <c r="IR6" i="3"/>
  <c r="IS6" i="3"/>
  <c r="IT6" i="3"/>
  <c r="IU6" i="3"/>
  <c r="IV6" i="3"/>
  <c r="IW6" i="3"/>
  <c r="IX6" i="3"/>
  <c r="IY6" i="3"/>
  <c r="IZ6" i="3"/>
  <c r="JA6" i="3"/>
  <c r="JB6" i="3"/>
  <c r="JC6" i="3"/>
  <c r="JD6" i="3"/>
  <c r="JE6" i="3"/>
  <c r="JF6" i="3"/>
  <c r="JG6" i="3"/>
  <c r="JH6" i="3"/>
  <c r="JI6" i="3"/>
  <c r="JJ6" i="3"/>
  <c r="JK6" i="3"/>
  <c r="JL6" i="3"/>
  <c r="JM6" i="3"/>
  <c r="A7" i="3"/>
  <c r="B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EF7" i="3"/>
  <c r="EG7" i="3"/>
  <c r="EI7" i="3"/>
  <c r="EJ7" i="3"/>
  <c r="EK7" i="3"/>
  <c r="EL7" i="3"/>
  <c r="EM7" i="3"/>
  <c r="EN7" i="3"/>
  <c r="EO7" i="3"/>
  <c r="EP7" i="3"/>
  <c r="EQ7" i="3"/>
  <c r="ER7" i="3"/>
  <c r="ES7" i="3"/>
  <c r="ET7" i="3"/>
  <c r="EU7" i="3"/>
  <c r="EV7" i="3"/>
  <c r="EW7" i="3"/>
  <c r="EX7" i="3"/>
  <c r="EY7" i="3"/>
  <c r="EZ7" i="3"/>
  <c r="FA7" i="3"/>
  <c r="FB7" i="3"/>
  <c r="FC7" i="3"/>
  <c r="FD7" i="3"/>
  <c r="FE7" i="3"/>
  <c r="FF7" i="3"/>
  <c r="FG7" i="3"/>
  <c r="FH7" i="3"/>
  <c r="FI7" i="3"/>
  <c r="FJ7" i="3"/>
  <c r="FK7" i="3"/>
  <c r="FL7" i="3"/>
  <c r="FM7" i="3"/>
  <c r="FN7" i="3"/>
  <c r="FO7" i="3"/>
  <c r="FP7" i="3"/>
  <c r="FQ7" i="3"/>
  <c r="FR7" i="3"/>
  <c r="FS7" i="3"/>
  <c r="FT7" i="3"/>
  <c r="FU7" i="3"/>
  <c r="FV7" i="3"/>
  <c r="FW7" i="3"/>
  <c r="FX7" i="3"/>
  <c r="FY7" i="3"/>
  <c r="FZ7" i="3"/>
  <c r="GA7" i="3"/>
  <c r="GB7" i="3"/>
  <c r="GC7" i="3"/>
  <c r="GD7" i="3"/>
  <c r="GE7" i="3"/>
  <c r="GF7" i="3"/>
  <c r="GG7" i="3"/>
  <c r="GH7" i="3"/>
  <c r="GI7" i="3"/>
  <c r="GJ7" i="3"/>
  <c r="GK7" i="3"/>
  <c r="GL7" i="3"/>
  <c r="GM7" i="3"/>
  <c r="GN7" i="3"/>
  <c r="GO7" i="3"/>
  <c r="GP7" i="3"/>
  <c r="GQ7" i="3"/>
  <c r="GR7" i="3"/>
  <c r="GS7" i="3"/>
  <c r="GT7" i="3"/>
  <c r="GU7" i="3"/>
  <c r="GV7" i="3"/>
  <c r="GW7" i="3"/>
  <c r="GX7" i="3"/>
  <c r="GY7" i="3"/>
  <c r="GZ7" i="3"/>
  <c r="HA7" i="3"/>
  <c r="HB7" i="3"/>
  <c r="HC7" i="3"/>
  <c r="A8" i="3"/>
  <c r="B8" i="3"/>
  <c r="C8" i="3"/>
  <c r="D8"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BY8" i="3"/>
  <c r="BZ8" i="3"/>
  <c r="CA8" i="3"/>
  <c r="CB8" i="3"/>
  <c r="CC8" i="3"/>
  <c r="CD8" i="3"/>
  <c r="CE8" i="3"/>
  <c r="CF8" i="3"/>
  <c r="CG8" i="3"/>
  <c r="CH8" i="3"/>
  <c r="CI8" i="3"/>
  <c r="CJ8" i="3"/>
  <c r="CK8" i="3"/>
  <c r="CL8" i="3"/>
  <c r="CM8" i="3"/>
  <c r="CN8" i="3"/>
  <c r="CO8" i="3"/>
  <c r="CP8" i="3"/>
  <c r="CQ8" i="3"/>
  <c r="CR8" i="3"/>
  <c r="CS8" i="3"/>
  <c r="CT8" i="3"/>
  <c r="CU8" i="3"/>
  <c r="CV8" i="3"/>
  <c r="CW8" i="3"/>
  <c r="CX8" i="3"/>
  <c r="CY8" i="3"/>
  <c r="CZ8" i="3"/>
  <c r="DA8" i="3"/>
  <c r="DB8" i="3"/>
  <c r="DC8" i="3"/>
  <c r="DD8" i="3"/>
  <c r="DE8" i="3"/>
  <c r="DF8" i="3"/>
  <c r="DG8" i="3"/>
  <c r="DH8" i="3"/>
  <c r="DI8" i="3"/>
  <c r="DJ8" i="3"/>
  <c r="DK8" i="3"/>
  <c r="DL8" i="3"/>
  <c r="DM8" i="3"/>
  <c r="DN8" i="3"/>
  <c r="DO8" i="3"/>
  <c r="DP8" i="3"/>
  <c r="DQ8" i="3"/>
  <c r="DR8" i="3"/>
  <c r="DS8" i="3"/>
  <c r="DT8" i="3"/>
  <c r="DU8" i="3"/>
  <c r="DV8" i="3"/>
  <c r="DW8" i="3"/>
  <c r="DX8" i="3"/>
  <c r="DY8" i="3"/>
  <c r="DZ8" i="3"/>
  <c r="EA8" i="3"/>
  <c r="EB8" i="3"/>
  <c r="EC8" i="3"/>
  <c r="ED8" i="3"/>
  <c r="EE8" i="3"/>
  <c r="EF8" i="3"/>
  <c r="EG8" i="3"/>
  <c r="EI8" i="3"/>
  <c r="EJ8" i="3"/>
  <c r="EK8" i="3"/>
  <c r="EL8" i="3"/>
  <c r="EM8" i="3"/>
  <c r="EN8" i="3"/>
  <c r="EO8" i="3"/>
  <c r="EP8" i="3"/>
  <c r="EQ8" i="3"/>
  <c r="ER8" i="3"/>
  <c r="ES8" i="3"/>
  <c r="ET8" i="3"/>
  <c r="EU8" i="3"/>
  <c r="EV8" i="3"/>
  <c r="EW8" i="3"/>
  <c r="EX8" i="3"/>
  <c r="EY8" i="3"/>
  <c r="EZ8" i="3"/>
  <c r="FA8" i="3"/>
  <c r="FB8" i="3"/>
  <c r="FC8" i="3"/>
  <c r="FD8" i="3"/>
  <c r="FE8" i="3"/>
  <c r="FF8" i="3"/>
  <c r="FG8" i="3"/>
  <c r="FH8" i="3"/>
  <c r="FI8" i="3"/>
  <c r="FJ8" i="3"/>
  <c r="FK8" i="3"/>
  <c r="FL8" i="3"/>
  <c r="FM8" i="3"/>
  <c r="FN8" i="3"/>
  <c r="FO8" i="3"/>
  <c r="FP8" i="3"/>
  <c r="FQ8" i="3"/>
  <c r="FR8" i="3"/>
  <c r="FS8" i="3"/>
  <c r="FT8" i="3"/>
  <c r="FU8" i="3"/>
  <c r="FV8" i="3"/>
  <c r="FW8" i="3"/>
  <c r="FX8" i="3"/>
  <c r="FY8" i="3"/>
  <c r="FZ8" i="3"/>
  <c r="GA8" i="3"/>
  <c r="GB8" i="3"/>
  <c r="GC8" i="3"/>
  <c r="GD8" i="3"/>
  <c r="GE8" i="3"/>
  <c r="GF8" i="3"/>
  <c r="GG8" i="3"/>
  <c r="GH8" i="3"/>
  <c r="GI8" i="3"/>
  <c r="GJ8" i="3"/>
  <c r="GK8" i="3"/>
  <c r="GL8" i="3"/>
  <c r="GM8" i="3"/>
  <c r="GN8" i="3"/>
  <c r="GO8" i="3"/>
  <c r="GP8" i="3"/>
  <c r="GQ8" i="3"/>
  <c r="GR8" i="3"/>
  <c r="GS8" i="3"/>
  <c r="GT8" i="3"/>
  <c r="GU8" i="3"/>
  <c r="GV8" i="3"/>
  <c r="GW8" i="3"/>
  <c r="GX8" i="3"/>
  <c r="GY8" i="3"/>
  <c r="GZ8" i="3"/>
  <c r="HA8" i="3"/>
  <c r="HB8" i="3"/>
  <c r="HC8" i="3"/>
  <c r="HD8" i="3"/>
  <c r="HE8" i="3"/>
  <c r="HF8" i="3"/>
  <c r="HG8" i="3"/>
  <c r="HH8" i="3"/>
  <c r="HI8" i="3"/>
  <c r="HJ8" i="3"/>
  <c r="HK8" i="3"/>
  <c r="HL8" i="3"/>
  <c r="HM8" i="3"/>
  <c r="HN8" i="3"/>
  <c r="HO8" i="3"/>
  <c r="HP8" i="3"/>
  <c r="HQ8" i="3"/>
  <c r="HR8" i="3"/>
  <c r="HS8" i="3"/>
  <c r="HT8" i="3"/>
  <c r="HU8" i="3"/>
  <c r="HV8" i="3"/>
  <c r="HW8" i="3"/>
  <c r="HX8" i="3"/>
  <c r="HY8" i="3"/>
  <c r="HZ8" i="3"/>
  <c r="IA8" i="3"/>
  <c r="IB8" i="3"/>
  <c r="IC8" i="3"/>
  <c r="ID8" i="3"/>
  <c r="IE8" i="3"/>
  <c r="IF8" i="3"/>
  <c r="IG8" i="3"/>
  <c r="IH8" i="3"/>
  <c r="II8" i="3"/>
  <c r="IJ8" i="3"/>
  <c r="IK8" i="3"/>
  <c r="IL8" i="3"/>
  <c r="IM8" i="3"/>
  <c r="IN8" i="3"/>
  <c r="IO8" i="3"/>
  <c r="IP8" i="3"/>
  <c r="IQ8" i="3"/>
  <c r="IR8" i="3"/>
  <c r="IS8" i="3"/>
  <c r="IT8" i="3"/>
  <c r="IU8" i="3"/>
  <c r="IV8" i="3"/>
  <c r="IW8" i="3"/>
  <c r="IX8" i="3"/>
  <c r="IY8" i="3"/>
  <c r="IZ8" i="3"/>
  <c r="JA8" i="3"/>
  <c r="JB8" i="3"/>
  <c r="JC8" i="3"/>
  <c r="JD8" i="3"/>
  <c r="JE8" i="3"/>
  <c r="JF8" i="3"/>
  <c r="JG8" i="3"/>
  <c r="JH8" i="3"/>
  <c r="JI8" i="3"/>
  <c r="JJ8" i="3"/>
  <c r="JK8" i="3"/>
  <c r="JL8" i="3"/>
  <c r="JM8" i="3"/>
  <c r="A9" i="3"/>
  <c r="B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BY9" i="3"/>
  <c r="BZ9" i="3"/>
  <c r="CA9" i="3"/>
  <c r="CB9" i="3"/>
  <c r="CC9" i="3"/>
  <c r="CD9" i="3"/>
  <c r="CE9" i="3"/>
  <c r="CF9" i="3"/>
  <c r="CG9" i="3"/>
  <c r="CH9" i="3"/>
  <c r="CI9" i="3"/>
  <c r="CJ9" i="3"/>
  <c r="CK9" i="3"/>
  <c r="CL9" i="3"/>
  <c r="CM9" i="3"/>
  <c r="CN9" i="3"/>
  <c r="CO9" i="3"/>
  <c r="CP9" i="3"/>
  <c r="CQ9" i="3"/>
  <c r="CR9" i="3"/>
  <c r="CS9" i="3"/>
  <c r="CT9" i="3"/>
  <c r="CU9" i="3"/>
  <c r="CV9" i="3"/>
  <c r="CW9" i="3"/>
  <c r="CX9" i="3"/>
  <c r="CY9" i="3"/>
  <c r="CZ9" i="3"/>
  <c r="DA9" i="3"/>
  <c r="DB9" i="3"/>
  <c r="DC9" i="3"/>
  <c r="DD9" i="3"/>
  <c r="DE9" i="3"/>
  <c r="DF9" i="3"/>
  <c r="DG9" i="3"/>
  <c r="DH9" i="3"/>
  <c r="DI9" i="3"/>
  <c r="DJ9" i="3"/>
  <c r="DK9" i="3"/>
  <c r="DL9" i="3"/>
  <c r="DM9" i="3"/>
  <c r="DN9" i="3"/>
  <c r="DO9" i="3"/>
  <c r="DP9" i="3"/>
  <c r="DQ9" i="3"/>
  <c r="DR9" i="3"/>
  <c r="DS9" i="3"/>
  <c r="DT9" i="3"/>
  <c r="DU9" i="3"/>
  <c r="DV9" i="3"/>
  <c r="DW9" i="3"/>
  <c r="DX9" i="3"/>
  <c r="DY9" i="3"/>
  <c r="DZ9" i="3"/>
  <c r="EA9" i="3"/>
  <c r="EB9" i="3"/>
  <c r="EC9" i="3"/>
  <c r="ED9" i="3"/>
  <c r="EE9" i="3"/>
  <c r="EF9" i="3"/>
  <c r="EG9" i="3"/>
  <c r="EI9" i="3"/>
  <c r="EJ9" i="3"/>
  <c r="EK9" i="3"/>
  <c r="EL9" i="3"/>
  <c r="EM9" i="3"/>
  <c r="EN9" i="3"/>
  <c r="EO9" i="3"/>
  <c r="EP9" i="3"/>
  <c r="EQ9" i="3"/>
  <c r="ER9" i="3"/>
  <c r="ES9" i="3"/>
  <c r="ET9" i="3"/>
  <c r="A10" i="3"/>
  <c r="B10" i="3"/>
  <c r="C10" i="3"/>
  <c r="D10"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AK10" i="3"/>
  <c r="AL10" i="3"/>
  <c r="AM10" i="3"/>
  <c r="AN10" i="3"/>
  <c r="AO10" i="3"/>
  <c r="AP10" i="3"/>
  <c r="AQ10" i="3"/>
  <c r="AR10" i="3"/>
  <c r="AS10" i="3"/>
  <c r="AT10" i="3"/>
  <c r="AU10" i="3"/>
  <c r="AV10" i="3"/>
  <c r="AW10" i="3"/>
  <c r="AX10" i="3"/>
  <c r="AY10" i="3"/>
  <c r="AZ10" i="3"/>
  <c r="BA10" i="3"/>
  <c r="BB10" i="3"/>
  <c r="BC10" i="3"/>
  <c r="BD10" i="3"/>
  <c r="BE10" i="3"/>
  <c r="BF10" i="3"/>
  <c r="BG10" i="3"/>
  <c r="BH10" i="3"/>
  <c r="BI10" i="3"/>
  <c r="BJ10" i="3"/>
  <c r="BK10" i="3"/>
  <c r="BL10" i="3"/>
  <c r="BM10" i="3"/>
  <c r="BN10" i="3"/>
  <c r="BO10" i="3"/>
  <c r="BP10" i="3"/>
  <c r="BQ10" i="3"/>
  <c r="BR10" i="3"/>
  <c r="BS10" i="3"/>
  <c r="BT10" i="3"/>
  <c r="BU10" i="3"/>
  <c r="BV10" i="3"/>
  <c r="BW10" i="3"/>
  <c r="BX10" i="3"/>
  <c r="BY10" i="3"/>
  <c r="BZ10" i="3"/>
  <c r="CA10" i="3"/>
  <c r="CB10" i="3"/>
  <c r="CC10" i="3"/>
  <c r="CD10" i="3"/>
  <c r="CE10" i="3"/>
  <c r="CF10" i="3"/>
  <c r="CG10" i="3"/>
  <c r="CH10" i="3"/>
  <c r="CI10" i="3"/>
  <c r="CJ10" i="3"/>
  <c r="CK10" i="3"/>
  <c r="CL10" i="3"/>
  <c r="CM10" i="3"/>
  <c r="CN10" i="3"/>
  <c r="CO10" i="3"/>
  <c r="CP10" i="3"/>
  <c r="CQ10" i="3"/>
  <c r="CR10" i="3"/>
  <c r="CS10" i="3"/>
  <c r="CT10" i="3"/>
  <c r="CU10" i="3"/>
  <c r="CV10" i="3"/>
  <c r="CW10" i="3"/>
  <c r="CX10" i="3"/>
  <c r="CY10" i="3"/>
  <c r="CZ10" i="3"/>
  <c r="DA10" i="3"/>
  <c r="DB10" i="3"/>
  <c r="DC10" i="3"/>
  <c r="DD10" i="3"/>
  <c r="DE10" i="3"/>
  <c r="DF10" i="3"/>
  <c r="DG10" i="3"/>
  <c r="DH10" i="3"/>
  <c r="DI10" i="3"/>
  <c r="DJ10" i="3"/>
  <c r="DK10" i="3"/>
  <c r="DL10" i="3"/>
  <c r="DM10" i="3"/>
  <c r="DN10" i="3"/>
  <c r="DO10" i="3"/>
  <c r="DP10" i="3"/>
  <c r="DQ10" i="3"/>
  <c r="DR10" i="3"/>
  <c r="DS10" i="3"/>
  <c r="DT10" i="3"/>
  <c r="DU10" i="3"/>
  <c r="DV10" i="3"/>
  <c r="DW10" i="3"/>
  <c r="DX10" i="3"/>
  <c r="DY10" i="3"/>
  <c r="DZ10" i="3"/>
  <c r="EA10" i="3"/>
  <c r="EB10" i="3"/>
  <c r="EC10" i="3"/>
  <c r="ED10" i="3"/>
  <c r="EE10" i="3"/>
  <c r="EF10" i="3"/>
  <c r="EG10" i="3"/>
  <c r="EI10" i="3"/>
  <c r="EJ10" i="3"/>
  <c r="EK10" i="3"/>
  <c r="EL10" i="3"/>
  <c r="EM10" i="3"/>
  <c r="EN10" i="3"/>
  <c r="EO10" i="3"/>
  <c r="EP10" i="3"/>
  <c r="EQ10" i="3"/>
  <c r="ER10" i="3"/>
  <c r="ES10" i="3"/>
  <c r="ET10" i="3"/>
  <c r="EU10" i="3"/>
  <c r="EV10" i="3"/>
  <c r="EW10" i="3"/>
  <c r="EX10" i="3"/>
  <c r="EY10" i="3"/>
  <c r="EZ10" i="3"/>
  <c r="FA10" i="3"/>
  <c r="FB10" i="3"/>
  <c r="FC10" i="3"/>
  <c r="FD10" i="3"/>
  <c r="FE10" i="3"/>
  <c r="FF10" i="3"/>
  <c r="FG10" i="3"/>
  <c r="FH10" i="3"/>
  <c r="FI10" i="3"/>
  <c r="FJ10" i="3"/>
  <c r="FK10" i="3"/>
  <c r="FL10" i="3"/>
  <c r="FM10" i="3"/>
  <c r="FN10" i="3"/>
  <c r="FO10" i="3"/>
  <c r="FP10" i="3"/>
  <c r="FQ10" i="3"/>
  <c r="FR10" i="3"/>
  <c r="FS10" i="3"/>
  <c r="FT10" i="3"/>
  <c r="FU10" i="3"/>
  <c r="FV10" i="3"/>
  <c r="FW10" i="3"/>
  <c r="FX10" i="3"/>
  <c r="FY10" i="3"/>
  <c r="FZ10" i="3"/>
  <c r="GA10" i="3"/>
  <c r="GB10" i="3"/>
  <c r="GC10" i="3"/>
  <c r="GD10" i="3"/>
  <c r="GE10" i="3"/>
  <c r="GF10" i="3"/>
  <c r="GG10" i="3"/>
  <c r="GH10" i="3"/>
  <c r="GI10" i="3"/>
  <c r="GJ10" i="3"/>
  <c r="GK10" i="3"/>
  <c r="GL10" i="3"/>
  <c r="GM10" i="3"/>
  <c r="GN10" i="3"/>
  <c r="GO10" i="3"/>
  <c r="GP10" i="3"/>
  <c r="GQ10" i="3"/>
  <c r="GR10" i="3"/>
  <c r="GS10" i="3"/>
  <c r="GT10" i="3"/>
  <c r="GU10" i="3"/>
  <c r="GV10" i="3"/>
  <c r="GW10" i="3"/>
  <c r="GX10" i="3"/>
  <c r="GY10" i="3"/>
  <c r="GZ10" i="3"/>
  <c r="HA10" i="3"/>
  <c r="HB10" i="3"/>
  <c r="HC10" i="3"/>
  <c r="HD10" i="3"/>
  <c r="HE10" i="3"/>
  <c r="HF10" i="3"/>
  <c r="HG10" i="3"/>
  <c r="HH10" i="3"/>
  <c r="HI10" i="3"/>
  <c r="HJ10" i="3"/>
  <c r="HK10" i="3"/>
  <c r="HL10" i="3"/>
  <c r="HM10" i="3"/>
  <c r="HN10" i="3"/>
  <c r="HO10" i="3"/>
  <c r="HP10" i="3"/>
  <c r="HQ10" i="3"/>
  <c r="HR10" i="3"/>
  <c r="HS10" i="3"/>
  <c r="HT10" i="3"/>
  <c r="HU10" i="3"/>
  <c r="HV10" i="3"/>
  <c r="HW10" i="3"/>
  <c r="HX10" i="3"/>
  <c r="HY10" i="3"/>
  <c r="HZ10" i="3"/>
  <c r="IA10" i="3"/>
  <c r="IB10" i="3"/>
  <c r="IC10" i="3"/>
  <c r="ID10" i="3"/>
  <c r="IE10" i="3"/>
  <c r="IF10" i="3"/>
  <c r="IG10" i="3"/>
  <c r="IH10" i="3"/>
  <c r="II10" i="3"/>
  <c r="IJ10" i="3"/>
  <c r="IK10" i="3"/>
  <c r="IL10" i="3"/>
  <c r="IM10" i="3"/>
  <c r="IN10" i="3"/>
  <c r="IO10" i="3"/>
  <c r="IP10" i="3"/>
  <c r="IQ10" i="3"/>
  <c r="IR10" i="3"/>
  <c r="IS10" i="3"/>
  <c r="IT10" i="3"/>
  <c r="IU10" i="3"/>
  <c r="IV10" i="3"/>
  <c r="IW10" i="3"/>
  <c r="IX10" i="3"/>
  <c r="IY10" i="3"/>
  <c r="IZ10" i="3"/>
  <c r="JA10" i="3"/>
  <c r="JB10" i="3"/>
  <c r="JC10" i="3"/>
  <c r="JD10" i="3"/>
  <c r="JE10" i="3"/>
  <c r="JF10" i="3"/>
  <c r="JG10" i="3"/>
  <c r="JH10" i="3"/>
  <c r="JI10" i="3"/>
  <c r="JJ10" i="3"/>
  <c r="JK10" i="3"/>
  <c r="JL10" i="3"/>
  <c r="JM10" i="3"/>
  <c r="DT2" i="2" a="1"/>
  <c r="DT3" i="2" a="1"/>
  <c r="DT4" i="2" a="1"/>
  <c r="DT5" i="2" a="1"/>
  <c r="DT6" i="2" a="1"/>
  <c r="DT7" i="2" a="1"/>
  <c r="DT8" i="2" a="1"/>
  <c r="DT9" i="2" a="1"/>
  <c r="DT10" i="2" a="1"/>
  <c r="DT11" i="2" a="1"/>
  <c r="DT12" i="2" a="1"/>
  <c r="DT13" i="2" a="1"/>
  <c r="DT14" i="2" a="1"/>
  <c r="DT15" i="2" a="1"/>
  <c r="DT16" i="2" a="1"/>
  <c r="DT17" i="2" a="1"/>
  <c r="DT18" i="2" a="1"/>
  <c r="DT19" i="2" a="1"/>
  <c r="DT20" i="2" a="1"/>
  <c r="DT21" i="2" a="1"/>
  <c r="DT22" i="2" a="1"/>
  <c r="DT23" i="2" a="1"/>
  <c r="DT24" i="2" a="1"/>
  <c r="DT25" i="2" a="1"/>
  <c r="DT26" i="2" a="1"/>
  <c r="DT27" i="2" a="1"/>
  <c r="DT28" i="2" a="1"/>
  <c r="DT29" i="2" a="1"/>
  <c r="DT30" i="2" a="1"/>
  <c r="DT31" i="2" a="1"/>
  <c r="DT32" i="2" a="1"/>
  <c r="DT33" i="2" a="1"/>
  <c r="DT34" i="2" a="1"/>
  <c r="DT35" i="2" a="1"/>
  <c r="DT36" i="2" a="1"/>
  <c r="DT37" i="2" a="1"/>
  <c r="DT38" i="2" a="1"/>
  <c r="DT39" i="2" a="1"/>
  <c r="DT40" i="2" a="1"/>
  <c r="DT41" i="2" a="1"/>
  <c r="DT42" i="2" a="1"/>
  <c r="DT43" i="2" a="1"/>
  <c r="DT44" i="2" a="1"/>
  <c r="DT45" i="2" a="1"/>
  <c r="DT46" i="2" a="1"/>
  <c r="DT47" i="2" a="1"/>
  <c r="DT48" i="2" a="1"/>
  <c r="DT49" i="2" a="1"/>
  <c r="DT50" i="2" a="1"/>
  <c r="DT51" i="2" a="1"/>
  <c r="DT52" i="2" a="1"/>
  <c r="DT53" i="2" a="1"/>
  <c r="DT54" i="2" a="1"/>
  <c r="DT55" i="2" a="1"/>
  <c r="DT56" i="2" a="1"/>
  <c r="DT57" i="2" a="1"/>
  <c r="DT58" i="2" a="1"/>
  <c r="DT59" i="2" a="1"/>
  <c r="DT60" i="2" a="1"/>
  <c r="DT61" i="2" a="1"/>
  <c r="DT62" i="2" a="1"/>
  <c r="DT63" i="2" a="1"/>
  <c r="DT64" i="2" a="1"/>
  <c r="DT65" i="2" a="1"/>
  <c r="DT66" i="2" a="1"/>
  <c r="DT67" i="2" a="1"/>
  <c r="DT68" i="2" a="1"/>
  <c r="DT69" i="2" a="1"/>
  <c r="DT70" i="2" a="1"/>
  <c r="DT71" i="2" a="1"/>
  <c r="DT72" i="2" a="1"/>
  <c r="DT73" i="2" a="1"/>
  <c r="DT74" i="2" a="1"/>
  <c r="DT75" i="2" a="1"/>
  <c r="DT76" i="2" a="1"/>
  <c r="DT77" i="2" a="1"/>
  <c r="DT78" i="2" a="1"/>
  <c r="DT79" i="2" a="1"/>
  <c r="DT80" i="2" a="1"/>
  <c r="DT81" i="2" a="1"/>
  <c r="DT82" i="2" a="1"/>
  <c r="DT83" i="2" a="1"/>
  <c r="DT84" i="2" a="1"/>
  <c r="DT85" i="2" a="1"/>
  <c r="DT86" i="2" a="1"/>
  <c r="DT87" i="2" a="1"/>
  <c r="DT88" i="2" a="1"/>
  <c r="DT89" i="2" a="1"/>
  <c r="DT90" i="2" a="1"/>
  <c r="DT91" i="2" a="1"/>
  <c r="DT92" i="2" a="1"/>
  <c r="DT93" i="2" a="1"/>
  <c r="DT94" i="2" a="1"/>
  <c r="DT95" i="2" a="1"/>
  <c r="DT96" i="2" a="1"/>
  <c r="DT97" i="2" a="1"/>
  <c r="DT98" i="2" a="1"/>
  <c r="DT99" i="2" a="1"/>
  <c r="DT100" i="2" a="1"/>
  <c r="DT101" i="2" a="1"/>
  <c r="DT102" i="2" a="1"/>
  <c r="DT103" i="2" a="1"/>
  <c r="DT104" i="2" a="1"/>
  <c r="DT105" i="2" a="1"/>
  <c r="DT106" i="2" a="1"/>
  <c r="DT107" i="2" a="1"/>
  <c r="DT108" i="2" a="1"/>
  <c r="DT109" i="2" a="1"/>
  <c r="DT110" i="2" a="1"/>
  <c r="DT111" i="2" a="1"/>
  <c r="DT112" i="2" a="1"/>
  <c r="DT113" i="2" a="1"/>
  <c r="DT114" i="2" a="1"/>
  <c r="DT115" i="2" a="1"/>
  <c r="DT116" i="2" a="1"/>
  <c r="DT117" i="2" a="1"/>
  <c r="DT118" i="2" a="1"/>
  <c r="DT119" i="2" a="1"/>
  <c r="DT120" i="2" a="1"/>
  <c r="DT121" i="2" a="1"/>
  <c r="DT122" i="2" a="1"/>
  <c r="DT123" i="2" a="1"/>
  <c r="DT124" i="2" a="1"/>
  <c r="DT125" i="2" a="1"/>
  <c r="DT126" i="2" a="1"/>
  <c r="DT127" i="2" a="1"/>
  <c r="DT128" i="2" a="1"/>
  <c r="DT129" i="2" a="1"/>
  <c r="DT130" i="2" a="1"/>
  <c r="DT131" i="2" a="1"/>
  <c r="DT132" i="2" a="1"/>
  <c r="DT133" i="2" a="1"/>
  <c r="DT134" i="2" a="1"/>
  <c r="DT135" i="2" a="1"/>
  <c r="DT136" i="2" a="1"/>
  <c r="DT137" i="2" a="1"/>
  <c r="DT138" i="2" a="1"/>
  <c r="DT139" i="2" a="1"/>
  <c r="DT140" i="2" a="1"/>
  <c r="DT141" i="2" a="1"/>
  <c r="DT142" i="2" a="1"/>
  <c r="DT143" i="2" a="1"/>
  <c r="DT144" i="2" a="1"/>
  <c r="DT145" i="2" a="1"/>
  <c r="DT146" i="2" a="1"/>
  <c r="DT147" i="2" a="1"/>
  <c r="DT148" i="2" a="1"/>
  <c r="DT149" i="2" a="1"/>
  <c r="DT150" i="2" a="1"/>
  <c r="DT151" i="2" a="1"/>
  <c r="DT152" i="2" a="1"/>
  <c r="DT153" i="2" a="1"/>
  <c r="DT154" i="2" a="1"/>
  <c r="DT155" i="2" a="1"/>
  <c r="DT156" i="2" a="1"/>
  <c r="DT157" i="2" a="1"/>
  <c r="DT158" i="2" a="1"/>
  <c r="DT159" i="2" a="1"/>
  <c r="DT160" i="2" a="1"/>
  <c r="DT161" i="2" a="1"/>
  <c r="CQ2" i="2"/>
  <c r="CQ3" i="2"/>
  <c r="CQ4" i="2"/>
  <c r="CQ5" i="2"/>
  <c r="CQ6" i="2"/>
  <c r="CQ7" i="2"/>
  <c r="CQ8" i="2"/>
  <c r="CQ9" i="2"/>
  <c r="CQ10" i="2"/>
  <c r="CQ11" i="2"/>
  <c r="CQ12" i="2"/>
  <c r="CQ13" i="2"/>
  <c r="CQ14" i="2"/>
  <c r="CQ15" i="2"/>
  <c r="CQ16" i="2"/>
  <c r="CQ17" i="2"/>
  <c r="CQ18" i="2"/>
  <c r="CQ19" i="2"/>
  <c r="CQ20" i="2"/>
  <c r="CQ21" i="2"/>
  <c r="CQ22" i="2"/>
  <c r="CQ23" i="2"/>
  <c r="CQ24" i="2"/>
  <c r="CQ25" i="2"/>
  <c r="CQ26" i="2"/>
  <c r="CQ27" i="2"/>
  <c r="CQ28" i="2"/>
  <c r="CQ29" i="2"/>
  <c r="CQ30" i="2"/>
  <c r="CQ31" i="2"/>
  <c r="CQ32" i="2"/>
  <c r="CQ33" i="2"/>
  <c r="CQ34" i="2"/>
  <c r="CQ35" i="2"/>
  <c r="CQ36" i="2"/>
  <c r="CQ37" i="2"/>
  <c r="CQ38" i="2"/>
  <c r="CQ39" i="2"/>
  <c r="CQ40" i="2"/>
  <c r="CQ41" i="2"/>
  <c r="CQ42" i="2"/>
  <c r="CQ43" i="2"/>
  <c r="CQ44" i="2"/>
  <c r="CQ45" i="2"/>
  <c r="CQ46" i="2"/>
  <c r="CQ47" i="2"/>
  <c r="CQ48" i="2"/>
  <c r="CQ49" i="2"/>
  <c r="CQ50" i="2"/>
  <c r="CQ51" i="2"/>
  <c r="CQ52" i="2"/>
  <c r="CQ53" i="2"/>
  <c r="CQ54" i="2"/>
  <c r="CQ55" i="2"/>
  <c r="CQ56" i="2"/>
  <c r="CQ57" i="2"/>
  <c r="CQ58" i="2"/>
  <c r="CQ59" i="2"/>
  <c r="CQ60" i="2"/>
  <c r="CQ61" i="2"/>
  <c r="CQ62" i="2"/>
  <c r="CQ63" i="2"/>
  <c r="CQ64" i="2"/>
  <c r="CQ65" i="2"/>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CQ105" i="2"/>
  <c r="CQ106" i="2"/>
  <c r="CQ107" i="2"/>
  <c r="CQ108" i="2"/>
  <c r="CQ109" i="2"/>
  <c r="CQ110" i="2"/>
  <c r="CQ111" i="2"/>
  <c r="CQ112" i="2"/>
  <c r="CQ113" i="2"/>
  <c r="CQ114" i="2"/>
  <c r="CQ115" i="2"/>
  <c r="CQ116" i="2"/>
  <c r="CQ117" i="2"/>
  <c r="CQ118" i="2"/>
  <c r="CQ119" i="2"/>
  <c r="CQ120" i="2"/>
  <c r="CQ121" i="2"/>
  <c r="CQ122" i="2"/>
  <c r="CQ123" i="2"/>
  <c r="CQ124" i="2"/>
  <c r="CQ125" i="2"/>
  <c r="CQ126" i="2"/>
  <c r="CQ127" i="2"/>
  <c r="CQ128" i="2"/>
  <c r="CQ129" i="2"/>
  <c r="CQ130" i="2"/>
  <c r="CQ131" i="2"/>
  <c r="CQ132" i="2"/>
  <c r="CQ133" i="2"/>
  <c r="CQ134" i="2"/>
  <c r="CQ135" i="2"/>
  <c r="CQ136" i="2"/>
  <c r="CQ137" i="2"/>
  <c r="CQ138" i="2"/>
  <c r="CQ139" i="2"/>
  <c r="CQ140" i="2"/>
  <c r="CQ141" i="2"/>
  <c r="CQ142" i="2"/>
  <c r="CQ143" i="2"/>
  <c r="CQ144" i="2"/>
  <c r="CQ145" i="2"/>
  <c r="CQ146" i="2"/>
  <c r="CQ147" i="2"/>
  <c r="CQ148" i="2"/>
  <c r="CQ149" i="2"/>
  <c r="CQ150" i="2"/>
  <c r="CQ151" i="2"/>
  <c r="CQ152" i="2"/>
  <c r="CQ153" i="2"/>
  <c r="CQ154" i="2"/>
  <c r="CQ155" i="2"/>
  <c r="CQ156" i="2"/>
  <c r="CQ157" i="2"/>
  <c r="CQ158" i="2"/>
  <c r="CQ159" i="2"/>
  <c r="CQ160" i="2"/>
  <c r="CQ161" i="2"/>
  <c r="CO2" i="2" a="1"/>
  <c r="CP2" i="2" a="1"/>
  <c r="CR2" i="2" a="1"/>
  <c r="CS2" i="2" a="1"/>
  <c r="CT2" i="2" a="1"/>
  <c r="CU2" i="2" a="1"/>
  <c r="CO3" i="2" a="1"/>
  <c r="CP3" i="2" a="1"/>
  <c r="CR3" i="2" a="1"/>
  <c r="CS3" i="2" a="1"/>
  <c r="CT3" i="2" a="1"/>
  <c r="CU3" i="2" a="1"/>
  <c r="CO4" i="2" a="1"/>
  <c r="CP4" i="2" a="1"/>
  <c r="CR4" i="2" a="1"/>
  <c r="CS4" i="2" a="1"/>
  <c r="CT4" i="2" a="1"/>
  <c r="CU4" i="2" a="1"/>
  <c r="CO5" i="2" a="1"/>
  <c r="CP5" i="2" a="1"/>
  <c r="CR5" i="2" a="1"/>
  <c r="CS5" i="2" a="1"/>
  <c r="CT5" i="2" a="1"/>
  <c r="CU5" i="2" a="1"/>
  <c r="CO6" i="2" a="1"/>
  <c r="CP6" i="2" s="1" a="1"/>
  <c r="CR6" i="2" a="1"/>
  <c r="CS6" i="2" a="1"/>
  <c r="CT6" i="2" a="1"/>
  <c r="CU6" i="2" a="1"/>
  <c r="CO7" i="2" a="1"/>
  <c r="CP7" i="2" a="1"/>
  <c r="CR7" i="2" a="1"/>
  <c r="CS7" i="2" a="1"/>
  <c r="CT7" i="2" a="1"/>
  <c r="CU7" i="2" a="1"/>
  <c r="CO8" i="2" a="1"/>
  <c r="CP8" i="2" a="1"/>
  <c r="CR8" i="2" a="1"/>
  <c r="CS8" i="2" a="1"/>
  <c r="CT8" i="2" a="1"/>
  <c r="CU8" i="2" a="1"/>
  <c r="CO9" i="2" a="1"/>
  <c r="CP9" i="2" a="1"/>
  <c r="CR9" i="2" a="1"/>
  <c r="CS9" i="2" a="1"/>
  <c r="CT9" i="2" a="1"/>
  <c r="CU9" i="2" a="1"/>
  <c r="CO10" i="2" a="1"/>
  <c r="CP10" i="2" a="1"/>
  <c r="CR10" i="2" a="1"/>
  <c r="CS10" i="2" a="1"/>
  <c r="CT10" i="2" a="1"/>
  <c r="CU10" i="2" a="1"/>
  <c r="CO11" i="2" a="1"/>
  <c r="CP11" i="2" s="1" a="1"/>
  <c r="CR11" i="2" a="1"/>
  <c r="CS11" i="2" a="1"/>
  <c r="CT11" i="2" a="1"/>
  <c r="CU11" i="2" a="1"/>
  <c r="CO12" i="2" a="1"/>
  <c r="CP12" i="2" a="1"/>
  <c r="CR12" i="2" a="1"/>
  <c r="CS12" i="2" a="1"/>
  <c r="CT12" i="2" a="1"/>
  <c r="CU12" i="2" a="1"/>
  <c r="CO13" i="2" a="1"/>
  <c r="CP13" i="2" a="1"/>
  <c r="CR13" i="2" a="1"/>
  <c r="CS13" i="2" a="1"/>
  <c r="CT13" i="2" a="1"/>
  <c r="CU13" i="2" a="1"/>
  <c r="CO14" i="2" a="1"/>
  <c r="CP14" i="2" a="1"/>
  <c r="CR14" i="2" a="1"/>
  <c r="CS14" i="2" a="1"/>
  <c r="CT14" i="2" a="1"/>
  <c r="CU14" i="2" a="1"/>
  <c r="CO15" i="2" a="1"/>
  <c r="CP15" i="2" a="1"/>
  <c r="CR15" i="2" a="1"/>
  <c r="CS15" i="2" a="1"/>
  <c r="CT15" i="2" a="1"/>
  <c r="CU15" i="2" a="1"/>
  <c r="CO16" i="2" a="1"/>
  <c r="CP16" i="2" a="1"/>
  <c r="CR16" i="2" a="1"/>
  <c r="CS16" i="2" a="1"/>
  <c r="CT16" i="2" a="1"/>
  <c r="CU16" i="2" a="1"/>
  <c r="CO17" i="2" a="1"/>
  <c r="CP17" i="2" a="1"/>
  <c r="CR17" i="2" a="1"/>
  <c r="CS17" i="2" a="1"/>
  <c r="CT17" i="2" a="1"/>
  <c r="CU17" i="2" a="1"/>
  <c r="CO18" i="2" a="1"/>
  <c r="CP18" i="2" s="1" a="1"/>
  <c r="CR18" i="2" a="1"/>
  <c r="CS18" i="2" a="1"/>
  <c r="CT18" i="2" a="1"/>
  <c r="CU18" i="2" a="1"/>
  <c r="CO19" i="2" a="1"/>
  <c r="CP19" i="2" a="1"/>
  <c r="CR19" i="2" a="1"/>
  <c r="CS19" i="2" a="1"/>
  <c r="CT19" i="2" a="1"/>
  <c r="CU19" i="2" a="1"/>
  <c r="CO20" i="2" a="1"/>
  <c r="CP20" i="2" a="1"/>
  <c r="CR20" i="2" a="1"/>
  <c r="CS20" i="2" a="1"/>
  <c r="CT20" i="2" a="1"/>
  <c r="CU20" i="2" a="1"/>
  <c r="CO21" i="2" a="1"/>
  <c r="CP21" i="2" a="1"/>
  <c r="CR21" i="2" a="1"/>
  <c r="CS21" i="2" a="1"/>
  <c r="CT21" i="2" a="1"/>
  <c r="CU21" i="2" a="1"/>
  <c r="CO22" i="2" a="1"/>
  <c r="CP22" i="2" a="1"/>
  <c r="CR22" i="2" a="1"/>
  <c r="CS22" i="2" a="1"/>
  <c r="CT22" i="2" a="1"/>
  <c r="CU22" i="2" a="1"/>
  <c r="CO23" i="2" a="1"/>
  <c r="CP23" i="2" a="1"/>
  <c r="CR23" i="2" a="1"/>
  <c r="CS23" i="2" a="1"/>
  <c r="CT23" i="2" a="1"/>
  <c r="CU23" i="2" a="1"/>
  <c r="CO24" i="2" a="1"/>
  <c r="CP24" i="2" a="1"/>
  <c r="CR24" i="2" a="1"/>
  <c r="CS24" i="2" a="1"/>
  <c r="CT24" i="2" a="1"/>
  <c r="CU24" i="2" a="1"/>
  <c r="CO25" i="2" a="1"/>
  <c r="CP25" i="2" a="1"/>
  <c r="CR25" i="2" a="1"/>
  <c r="CS25" i="2" a="1"/>
  <c r="CT25" i="2" a="1"/>
  <c r="CU25" i="2" a="1"/>
  <c r="CO26" i="2" a="1"/>
  <c r="CP26" i="2" a="1"/>
  <c r="CR26" i="2" a="1"/>
  <c r="CS26" i="2" a="1"/>
  <c r="CT26" i="2" a="1"/>
  <c r="CU26" i="2" a="1"/>
  <c r="CO27" i="2" a="1"/>
  <c r="CP27" i="2" a="1"/>
  <c r="CR27" i="2" a="1"/>
  <c r="CS27" i="2" a="1"/>
  <c r="CT27" i="2" a="1"/>
  <c r="CU27" i="2" a="1"/>
  <c r="CO28" i="2" a="1"/>
  <c r="CP28" i="2" a="1"/>
  <c r="CR28" i="2" a="1"/>
  <c r="CS28" i="2" a="1"/>
  <c r="CT28" i="2" a="1"/>
  <c r="CU28" i="2" a="1"/>
  <c r="CO29" i="2" a="1"/>
  <c r="CP29" i="2" a="1"/>
  <c r="CR29" i="2" a="1"/>
  <c r="CS29" i="2" a="1"/>
  <c r="CT29" i="2" a="1"/>
  <c r="CU29" i="2" a="1"/>
  <c r="CO30" i="2" a="1"/>
  <c r="CP30" i="2" a="1"/>
  <c r="CR30" i="2" a="1"/>
  <c r="CS30" i="2" a="1"/>
  <c r="CT30" i="2" a="1"/>
  <c r="CU30" i="2" a="1"/>
  <c r="CO31" i="2" a="1"/>
  <c r="CP31" i="2" s="1" a="1"/>
  <c r="CR31" i="2" a="1"/>
  <c r="CS31" i="2" a="1"/>
  <c r="CT31" i="2" a="1"/>
  <c r="CU31" i="2" a="1"/>
  <c r="CO32" i="2" a="1"/>
  <c r="CP32" i="2" a="1"/>
  <c r="CR32" i="2" a="1"/>
  <c r="CS32" i="2" a="1"/>
  <c r="CT32" i="2" a="1"/>
  <c r="CU32" i="2" a="1"/>
  <c r="CO33" i="2" a="1"/>
  <c r="CP33" i="2" a="1"/>
  <c r="CR33" i="2" a="1"/>
  <c r="CS33" i="2" a="1"/>
  <c r="CT33" i="2" a="1"/>
  <c r="CU33" i="2" a="1"/>
  <c r="CO34" i="2" a="1"/>
  <c r="CP34" i="2" a="1"/>
  <c r="CR34" i="2" a="1"/>
  <c r="CS34" i="2" a="1"/>
  <c r="CT34" i="2" a="1"/>
  <c r="CU34" i="2" a="1"/>
  <c r="CO35" i="2" a="1"/>
  <c r="CP35" i="2" s="1" a="1"/>
  <c r="CR35" i="2" a="1"/>
  <c r="CS35" i="2" a="1"/>
  <c r="CT35" i="2" a="1"/>
  <c r="CU35" i="2" a="1"/>
  <c r="CO36" i="2" a="1"/>
  <c r="CP36" i="2" a="1"/>
  <c r="CR36" i="2" a="1"/>
  <c r="CS36" i="2" a="1"/>
  <c r="CT36" i="2" a="1"/>
  <c r="CU36" i="2" a="1"/>
  <c r="CO37" i="2" a="1"/>
  <c r="CP37" i="2" a="1"/>
  <c r="CR37" i="2" a="1"/>
  <c r="CS37" i="2" a="1"/>
  <c r="CT37" i="2" a="1"/>
  <c r="CU37" i="2" a="1"/>
  <c r="CO38" i="2" a="1"/>
  <c r="CP38" i="2" a="1"/>
  <c r="CR38" i="2" a="1"/>
  <c r="CS38" i="2" a="1"/>
  <c r="CT38" i="2" a="1"/>
  <c r="CU38" i="2" a="1"/>
  <c r="CO39" i="2" a="1"/>
  <c r="CP39" i="2" a="1"/>
  <c r="CR39" i="2" a="1"/>
  <c r="CS39" i="2" a="1"/>
  <c r="CT39" i="2" a="1"/>
  <c r="CU39" i="2" a="1"/>
  <c r="CO40" i="2" a="1"/>
  <c r="CP40" i="2" a="1"/>
  <c r="CR40" i="2" a="1"/>
  <c r="CS40" i="2" a="1"/>
  <c r="CT40" i="2" a="1"/>
  <c r="CU40" i="2" a="1"/>
  <c r="CO41" i="2" a="1"/>
  <c r="CP41" i="2" a="1"/>
  <c r="CR41" i="2" a="1"/>
  <c r="CS41" i="2" a="1"/>
  <c r="CT41" i="2" a="1"/>
  <c r="CU41" i="2" a="1"/>
  <c r="CO42" i="2" a="1"/>
  <c r="CP42" i="2" a="1"/>
  <c r="CR42" i="2" a="1"/>
  <c r="CS42" i="2" a="1"/>
  <c r="CT42" i="2" a="1"/>
  <c r="CU42" i="2" a="1"/>
  <c r="CO43" i="2" a="1"/>
  <c r="CP43" i="2" a="1"/>
  <c r="CR43" i="2" a="1"/>
  <c r="CS43" i="2" a="1"/>
  <c r="CT43" i="2" a="1"/>
  <c r="CU43" i="2" a="1"/>
  <c r="CO44" i="2" a="1"/>
  <c r="CP44" i="2" a="1"/>
  <c r="CR44" i="2" a="1"/>
  <c r="CS44" i="2" a="1"/>
  <c r="CT44" i="2" a="1"/>
  <c r="CU44" i="2" a="1"/>
  <c r="CO45" i="2" a="1"/>
  <c r="CP45" i="2" a="1"/>
  <c r="CR45" i="2" a="1"/>
  <c r="CS45" i="2" a="1"/>
  <c r="CT45" i="2" a="1"/>
  <c r="CU45" i="2" a="1"/>
  <c r="CO46" i="2" a="1"/>
  <c r="CP46" i="2" a="1"/>
  <c r="CR46" i="2" a="1"/>
  <c r="CS46" i="2" a="1"/>
  <c r="CT46" i="2" a="1"/>
  <c r="CU46" i="2" a="1"/>
  <c r="CO47" i="2" a="1"/>
  <c r="CP47" i="2" a="1"/>
  <c r="CR47" i="2" a="1"/>
  <c r="CS47" i="2" a="1"/>
  <c r="CT47" i="2" a="1"/>
  <c r="CU47" i="2" a="1"/>
  <c r="CO48" i="2" a="1"/>
  <c r="CP48" i="2" a="1"/>
  <c r="CR48" i="2" a="1"/>
  <c r="CS48" i="2" a="1"/>
  <c r="CT48" i="2" a="1"/>
  <c r="CU48" i="2" a="1"/>
  <c r="CO49" i="2" a="1"/>
  <c r="CP49" i="2" a="1"/>
  <c r="CR49" i="2" a="1"/>
  <c r="CS49" i="2" a="1"/>
  <c r="CT49" i="2" a="1"/>
  <c r="CU49" i="2" a="1"/>
  <c r="CO50" i="2" a="1"/>
  <c r="CP50" i="2" a="1"/>
  <c r="CR50" i="2" a="1"/>
  <c r="CS50" i="2" a="1"/>
  <c r="CT50" i="2" a="1"/>
  <c r="CU50" i="2" a="1"/>
  <c r="CO51" i="2" a="1"/>
  <c r="CP51" i="2" a="1"/>
  <c r="CR51" i="2" a="1"/>
  <c r="CS51" i="2" a="1"/>
  <c r="CT51" i="2" a="1"/>
  <c r="CU51" i="2" a="1"/>
  <c r="CO52" i="2" a="1"/>
  <c r="CP52" i="2" a="1"/>
  <c r="CR52" i="2" a="1"/>
  <c r="CS52" i="2" a="1"/>
  <c r="CT52" i="2" a="1"/>
  <c r="CU52" i="2" a="1"/>
  <c r="CO53" i="2" a="1"/>
  <c r="CP53" i="2" a="1"/>
  <c r="CR53" i="2" a="1"/>
  <c r="CS53" i="2" a="1"/>
  <c r="CT53" i="2" a="1"/>
  <c r="CU53" i="2" a="1"/>
  <c r="CO54" i="2" a="1"/>
  <c r="CP54" i="2" a="1"/>
  <c r="CR54" i="2" a="1"/>
  <c r="CS54" i="2" a="1"/>
  <c r="CT54" i="2" a="1"/>
  <c r="CU54" i="2" a="1"/>
  <c r="CO55" i="2" a="1"/>
  <c r="CP55" i="2" a="1"/>
  <c r="CR55" i="2" a="1"/>
  <c r="CS55" i="2" a="1"/>
  <c r="CT55" i="2" a="1"/>
  <c r="CU55" i="2" a="1"/>
  <c r="CO56" i="2" a="1"/>
  <c r="CP56" i="2" a="1"/>
  <c r="CR56" i="2" a="1"/>
  <c r="CS56" i="2" a="1"/>
  <c r="CT56" i="2" a="1"/>
  <c r="CU56" i="2" a="1"/>
  <c r="CO57" i="2" a="1"/>
  <c r="CP57" i="2" a="1"/>
  <c r="CR57" i="2" a="1"/>
  <c r="CS57" i="2" a="1"/>
  <c r="CT57" i="2" a="1"/>
  <c r="CU57" i="2" a="1"/>
  <c r="CO58" i="2" a="1"/>
  <c r="CP58" i="2" a="1"/>
  <c r="CR58" i="2" a="1"/>
  <c r="CS58" i="2" a="1"/>
  <c r="CT58" i="2" a="1"/>
  <c r="CU58" i="2" a="1"/>
  <c r="CO59" i="2" a="1"/>
  <c r="CP59" i="2" a="1"/>
  <c r="CR59" i="2" a="1"/>
  <c r="CS59" i="2" a="1"/>
  <c r="CT59" i="2" a="1"/>
  <c r="CU59" i="2" a="1"/>
  <c r="CO60" i="2" a="1"/>
  <c r="CP60" i="2" a="1"/>
  <c r="CR60" i="2" a="1"/>
  <c r="CS60" i="2" a="1"/>
  <c r="CT60" i="2" a="1"/>
  <c r="CU60" i="2" a="1"/>
  <c r="CO61" i="2" a="1"/>
  <c r="CP61" i="2" a="1"/>
  <c r="CR61" i="2" a="1"/>
  <c r="CS61" i="2" a="1"/>
  <c r="CT61" i="2" a="1"/>
  <c r="CU61" i="2" a="1"/>
  <c r="CO62" i="2" a="1"/>
  <c r="CP62" i="2" a="1"/>
  <c r="CR62" i="2" a="1"/>
  <c r="CS62" i="2" a="1"/>
  <c r="CT62" i="2" a="1"/>
  <c r="CU62" i="2" a="1"/>
  <c r="CO63" i="2" a="1"/>
  <c r="CP63" i="2" a="1"/>
  <c r="CR63" i="2" a="1"/>
  <c r="CS63" i="2" a="1"/>
  <c r="CT63" i="2" a="1"/>
  <c r="CU63" i="2" a="1"/>
  <c r="CO64" i="2" a="1"/>
  <c r="CP64" i="2" a="1"/>
  <c r="CR64" i="2" a="1"/>
  <c r="CS64" i="2" a="1"/>
  <c r="CT64" i="2" a="1"/>
  <c r="CU64" i="2" a="1"/>
  <c r="CO65" i="2" a="1"/>
  <c r="CP65" i="2" a="1"/>
  <c r="CR65" i="2" a="1"/>
  <c r="CS65" i="2" a="1"/>
  <c r="CT65" i="2" a="1"/>
  <c r="CU65" i="2" a="1"/>
  <c r="CO66" i="2" a="1"/>
  <c r="CP66" i="2" a="1"/>
  <c r="CR66" i="2" a="1"/>
  <c r="CS66" i="2" a="1"/>
  <c r="CT66" i="2" a="1"/>
  <c r="CU66" i="2" a="1"/>
  <c r="CO67" i="2" a="1"/>
  <c r="CP67" i="2" a="1"/>
  <c r="CR67" i="2" a="1"/>
  <c r="CS67" i="2" a="1"/>
  <c r="CT67" i="2" a="1"/>
  <c r="CU67" i="2" a="1"/>
  <c r="CO68" i="2" a="1"/>
  <c r="CP68" i="2" a="1"/>
  <c r="CR68" i="2" a="1"/>
  <c r="CS68" i="2" a="1"/>
  <c r="CT68" i="2" a="1"/>
  <c r="CU68" i="2" a="1"/>
  <c r="CO69" i="2" a="1"/>
  <c r="CP69" i="2" a="1"/>
  <c r="CR69" i="2" a="1"/>
  <c r="CS69" i="2" a="1"/>
  <c r="CT69" i="2" a="1"/>
  <c r="CU69" i="2" a="1"/>
  <c r="CO70" i="2" a="1"/>
  <c r="CP70" i="2" s="1" a="1"/>
  <c r="CR70" i="2" a="1"/>
  <c r="CS70" i="2" a="1"/>
  <c r="CT70" i="2" a="1"/>
  <c r="CU70" i="2" a="1"/>
  <c r="CO71" i="2" a="1"/>
  <c r="CP71" i="2" s="1" a="1"/>
  <c r="CR71" i="2" a="1"/>
  <c r="CS71" i="2" a="1"/>
  <c r="CT71" i="2" a="1"/>
  <c r="CU71" i="2" a="1"/>
  <c r="CO72" i="2" a="1"/>
  <c r="CP72" i="2" a="1"/>
  <c r="CR72" i="2" a="1"/>
  <c r="CS72" i="2" a="1"/>
  <c r="CT72" i="2" a="1"/>
  <c r="CU72" i="2" a="1"/>
  <c r="CO73" i="2" a="1"/>
  <c r="CP73" i="2" a="1"/>
  <c r="CR73" i="2" a="1"/>
  <c r="CS73" i="2" a="1"/>
  <c r="CT73" i="2" a="1"/>
  <c r="CU73" i="2" a="1"/>
  <c r="CO74" i="2" a="1"/>
  <c r="CP74" i="2" a="1"/>
  <c r="CR74" i="2" a="1"/>
  <c r="CS74" i="2" a="1"/>
  <c r="CT74" i="2" a="1"/>
  <c r="CU74" i="2" a="1"/>
  <c r="CO75" i="2" a="1"/>
  <c r="CP75" i="2" a="1"/>
  <c r="CR75" i="2" a="1"/>
  <c r="CS75" i="2" a="1"/>
  <c r="CT75" i="2" a="1"/>
  <c r="CU75" i="2" a="1"/>
  <c r="CO76" i="2" a="1"/>
  <c r="CP76" i="2" s="1" a="1"/>
  <c r="CR76" i="2" a="1"/>
  <c r="CS76" i="2" a="1"/>
  <c r="CT76" i="2" a="1"/>
  <c r="CU76" i="2" a="1"/>
  <c r="CO77" i="2" a="1"/>
  <c r="CP77" i="2" a="1"/>
  <c r="CR77" i="2" a="1"/>
  <c r="CS77" i="2" a="1"/>
  <c r="CT77" i="2" a="1"/>
  <c r="CU77" i="2" a="1"/>
  <c r="CO78" i="2" a="1"/>
  <c r="CP78" i="2" a="1"/>
  <c r="CR78" i="2" a="1"/>
  <c r="CS78" i="2" a="1"/>
  <c r="CT78" i="2" a="1"/>
  <c r="CU78" i="2" a="1"/>
  <c r="CO79" i="2" a="1"/>
  <c r="CP79" i="2" a="1"/>
  <c r="CR79" i="2" a="1"/>
  <c r="CS79" i="2" a="1"/>
  <c r="CT79" i="2" a="1"/>
  <c r="CU79" i="2" a="1"/>
  <c r="CO80" i="2" a="1"/>
  <c r="CP80" i="2" a="1"/>
  <c r="CR80" i="2" a="1"/>
  <c r="CS80" i="2" a="1"/>
  <c r="CT80" i="2" a="1"/>
  <c r="CU80" i="2" a="1"/>
  <c r="CO81" i="2" a="1"/>
  <c r="CP81" i="2" s="1" a="1"/>
  <c r="CR81" i="2" a="1"/>
  <c r="CS81" i="2" a="1"/>
  <c r="CT81" i="2" a="1"/>
  <c r="CU81" i="2" a="1"/>
  <c r="CO82" i="2" a="1"/>
  <c r="CP82" i="2" a="1"/>
  <c r="CR82" i="2" a="1"/>
  <c r="CS82" i="2" a="1"/>
  <c r="CT82" i="2" a="1"/>
  <c r="CU82" i="2" a="1"/>
  <c r="CO83" i="2" a="1"/>
  <c r="CP83" i="2" a="1"/>
  <c r="CR83" i="2" a="1"/>
  <c r="CS83" i="2" a="1"/>
  <c r="CT83" i="2" a="1"/>
  <c r="CU83" i="2" a="1"/>
  <c r="CO84" i="2" a="1"/>
  <c r="CP84" i="2" a="1"/>
  <c r="CR84" i="2" a="1"/>
  <c r="CS84" i="2" a="1"/>
  <c r="CT84" i="2" a="1"/>
  <c r="CU84" i="2" a="1"/>
  <c r="CO85" i="2" a="1"/>
  <c r="CP85" i="2" a="1"/>
  <c r="CR85" i="2" a="1"/>
  <c r="CS85" i="2" a="1"/>
  <c r="CT85" i="2" a="1"/>
  <c r="CU85" i="2" a="1"/>
  <c r="CO86" i="2" a="1"/>
  <c r="CP86" i="2" s="1" a="1"/>
  <c r="CR86" i="2" a="1"/>
  <c r="CS86" i="2" a="1"/>
  <c r="CT86" i="2" a="1"/>
  <c r="CU86" i="2" a="1"/>
  <c r="CO87" i="2" a="1"/>
  <c r="CP87" i="2" a="1"/>
  <c r="CR87" i="2" a="1"/>
  <c r="CS87" i="2" a="1"/>
  <c r="CT87" i="2" a="1"/>
  <c r="CU87" i="2" a="1"/>
  <c r="CO88" i="2" a="1"/>
  <c r="CP88" i="2" a="1"/>
  <c r="CR88" i="2" a="1"/>
  <c r="CS88" i="2" a="1"/>
  <c r="CT88" i="2" a="1"/>
  <c r="CU88" i="2" a="1"/>
  <c r="CO89" i="2" a="1"/>
  <c r="CP89" i="2" a="1"/>
  <c r="CR89" i="2" a="1"/>
  <c r="CS89" i="2" a="1"/>
  <c r="CT89" i="2" a="1"/>
  <c r="CU89" i="2" a="1"/>
  <c r="CO90" i="2" a="1"/>
  <c r="CP90" i="2" a="1"/>
  <c r="CR90" i="2" a="1"/>
  <c r="CS90" i="2" a="1"/>
  <c r="CT90" i="2" a="1"/>
  <c r="CU90" i="2" a="1"/>
  <c r="CO91" i="2" a="1"/>
  <c r="CP91" i="2" s="1" a="1"/>
  <c r="CR91" i="2" a="1"/>
  <c r="CS91" i="2" a="1"/>
  <c r="CT91" i="2" a="1"/>
  <c r="CU91" i="2" a="1"/>
  <c r="CO92" i="2" a="1"/>
  <c r="CP92" i="2" a="1"/>
  <c r="CR92" i="2" a="1"/>
  <c r="CS92" i="2" a="1"/>
  <c r="CT92" i="2" a="1"/>
  <c r="CU92" i="2" a="1"/>
  <c r="CO93" i="2" a="1"/>
  <c r="CP93" i="2" a="1"/>
  <c r="CR93" i="2" a="1"/>
  <c r="CS93" i="2" a="1"/>
  <c r="CT93" i="2" a="1"/>
  <c r="CU93" i="2" a="1"/>
  <c r="CO94" i="2" a="1"/>
  <c r="CP94" i="2" a="1"/>
  <c r="CR94" i="2" a="1"/>
  <c r="CS94" i="2" a="1"/>
  <c r="CT94" i="2" a="1"/>
  <c r="CU94" i="2" a="1"/>
  <c r="CO95" i="2" a="1"/>
  <c r="CP95" i="2" a="1"/>
  <c r="CR95" i="2" a="1"/>
  <c r="CS95" i="2" a="1"/>
  <c r="CT95" i="2" a="1"/>
  <c r="CU95" i="2" a="1"/>
  <c r="CO96" i="2" a="1"/>
  <c r="CP96" i="2" s="1" a="1"/>
  <c r="CR96" i="2" a="1"/>
  <c r="CS96" i="2" a="1"/>
  <c r="CT96" i="2" a="1"/>
  <c r="CU96" i="2" a="1"/>
  <c r="CO97" i="2" a="1"/>
  <c r="CP97" i="2" a="1"/>
  <c r="CR97" i="2" a="1"/>
  <c r="CS97" i="2" a="1"/>
  <c r="CT97" i="2" a="1"/>
  <c r="CU97" i="2" a="1"/>
  <c r="CO98" i="2" a="1"/>
  <c r="CP98" i="2" a="1"/>
  <c r="CR98" i="2" a="1"/>
  <c r="CS98" i="2" a="1"/>
  <c r="CT98" i="2" a="1"/>
  <c r="CU98" i="2" a="1"/>
  <c r="CO99" i="2" a="1"/>
  <c r="CP99" i="2" a="1"/>
  <c r="CR99" i="2" a="1"/>
  <c r="CS99" i="2" a="1"/>
  <c r="CT99" i="2" a="1"/>
  <c r="CU99" i="2" a="1"/>
  <c r="CO100" i="2" a="1"/>
  <c r="CP100" i="2" a="1"/>
  <c r="CR100" i="2" a="1"/>
  <c r="CS100" i="2" a="1"/>
  <c r="CT100" i="2" a="1"/>
  <c r="CU100" i="2" a="1"/>
  <c r="CO101" i="2" a="1"/>
  <c r="CP101" i="2" s="1" a="1"/>
  <c r="CR101" i="2" a="1"/>
  <c r="CS101" i="2" a="1"/>
  <c r="CT101" i="2" a="1"/>
  <c r="CU101" i="2" a="1"/>
  <c r="CO102" i="2" a="1"/>
  <c r="CP102" i="2" a="1"/>
  <c r="CR102" i="2" a="1"/>
  <c r="CS102" i="2" a="1"/>
  <c r="CT102" i="2" a="1"/>
  <c r="CU102" i="2" a="1"/>
  <c r="CO103" i="2" a="1"/>
  <c r="CP103" i="2" a="1"/>
  <c r="CR103" i="2" a="1"/>
  <c r="CS103" i="2" a="1"/>
  <c r="CT103" i="2" a="1"/>
  <c r="CU103" i="2" a="1"/>
  <c r="CO104" i="2" a="1"/>
  <c r="CP104" i="2" a="1"/>
  <c r="CR104" i="2" a="1"/>
  <c r="CS104" i="2" a="1"/>
  <c r="CT104" i="2" a="1"/>
  <c r="CU104" i="2" a="1"/>
  <c r="CO105" i="2" a="1"/>
  <c r="CP105" i="2" a="1"/>
  <c r="CR105" i="2" a="1"/>
  <c r="CS105" i="2" a="1"/>
  <c r="CT105" i="2" a="1"/>
  <c r="CU105" i="2" a="1"/>
  <c r="CO106" i="2" a="1"/>
  <c r="CP106" i="2" a="1"/>
  <c r="CR106" i="2" a="1"/>
  <c r="CS106" i="2" a="1"/>
  <c r="CT106" i="2" a="1"/>
  <c r="CU106" i="2" a="1"/>
  <c r="CO107" i="2" a="1"/>
  <c r="CP107" i="2" a="1"/>
  <c r="CR107" i="2" a="1"/>
  <c r="CS107" i="2" a="1"/>
  <c r="CT107" i="2" a="1"/>
  <c r="CU107" i="2" a="1"/>
  <c r="CO108" i="2" a="1"/>
  <c r="CP108" i="2" a="1"/>
  <c r="CR108" i="2" a="1"/>
  <c r="CS108" i="2" a="1"/>
  <c r="CT108" i="2" a="1"/>
  <c r="CU108" i="2" a="1"/>
  <c r="CO109" i="2" a="1"/>
  <c r="CP109" i="2" a="1"/>
  <c r="CR109" i="2" a="1"/>
  <c r="CS109" i="2" a="1"/>
  <c r="CT109" i="2" a="1"/>
  <c r="CU109" i="2" a="1"/>
  <c r="CO110" i="2" a="1"/>
  <c r="CP110" i="2" a="1"/>
  <c r="CR110" i="2" a="1"/>
  <c r="CS110" i="2" a="1"/>
  <c r="CT110" i="2" a="1"/>
  <c r="CU110" i="2" a="1"/>
  <c r="CO111" i="2" a="1"/>
  <c r="CP111" i="2" a="1"/>
  <c r="CR111" i="2" a="1"/>
  <c r="CS111" i="2" a="1"/>
  <c r="CT111" i="2" a="1"/>
  <c r="CU111" i="2" a="1"/>
  <c r="CO112" i="2" a="1"/>
  <c r="CP112" i="2" a="1"/>
  <c r="CR112" i="2" a="1"/>
  <c r="CS112" i="2" a="1"/>
  <c r="CT112" i="2" a="1"/>
  <c r="CU112" i="2" a="1"/>
  <c r="CO113" i="2" a="1"/>
  <c r="CP113" i="2" a="1"/>
  <c r="CR113" i="2" a="1"/>
  <c r="CS113" i="2" a="1"/>
  <c r="CT113" i="2" a="1"/>
  <c r="CU113" i="2" a="1"/>
  <c r="CO114" i="2" a="1"/>
  <c r="CP114" i="2" a="1"/>
  <c r="CR114" i="2" a="1"/>
  <c r="CS114" i="2" a="1"/>
  <c r="CT114" i="2" a="1"/>
  <c r="CU114" i="2" a="1"/>
  <c r="CO115" i="2" a="1"/>
  <c r="CP115" i="2" a="1"/>
  <c r="CR115" i="2" a="1"/>
  <c r="CS115" i="2" a="1"/>
  <c r="CT115" i="2" a="1"/>
  <c r="CU115" i="2" a="1"/>
  <c r="CO116" i="2" a="1"/>
  <c r="CP116" i="2" a="1"/>
  <c r="CR116" i="2" a="1"/>
  <c r="CS116" i="2" a="1"/>
  <c r="CT116" i="2" a="1"/>
  <c r="CU116" i="2" a="1"/>
  <c r="CO117" i="2" a="1"/>
  <c r="CP117" i="2" a="1"/>
  <c r="CR117" i="2" a="1"/>
  <c r="CS117" i="2" a="1"/>
  <c r="CT117" i="2" a="1"/>
  <c r="CU117" i="2" a="1"/>
  <c r="CO118" i="2" a="1"/>
  <c r="CP118" i="2" a="1"/>
  <c r="CR118" i="2" a="1"/>
  <c r="CS118" i="2" a="1"/>
  <c r="CT118" i="2" a="1"/>
  <c r="CU118" i="2" a="1"/>
  <c r="CO119" i="2" a="1"/>
  <c r="CP119" i="2" a="1"/>
  <c r="CR119" i="2" a="1"/>
  <c r="CS119" i="2" a="1"/>
  <c r="CT119" i="2" a="1"/>
  <c r="CU119" i="2" a="1"/>
  <c r="CO120" i="2" a="1"/>
  <c r="CP120" i="2" a="1"/>
  <c r="CR120" i="2" a="1"/>
  <c r="CS120" i="2" a="1"/>
  <c r="CT120" i="2" a="1"/>
  <c r="CU120" i="2" a="1"/>
  <c r="CO121" i="2" a="1"/>
  <c r="CP121" i="2" a="1"/>
  <c r="CR121" i="2" a="1"/>
  <c r="CS121" i="2" a="1"/>
  <c r="CT121" i="2" a="1"/>
  <c r="CU121" i="2" a="1"/>
  <c r="CO122" i="2" a="1"/>
  <c r="CP122" i="2" a="1"/>
  <c r="CR122" i="2" a="1"/>
  <c r="CS122" i="2" a="1"/>
  <c r="CT122" i="2" a="1"/>
  <c r="CU122" i="2" a="1"/>
  <c r="CO123" i="2" a="1"/>
  <c r="CP123" i="2" a="1"/>
  <c r="CR123" i="2" a="1"/>
  <c r="CS123" i="2" a="1"/>
  <c r="CT123" i="2" a="1"/>
  <c r="CU123" i="2" a="1"/>
  <c r="CO124" i="2" a="1"/>
  <c r="CP124" i="2" a="1"/>
  <c r="CR124" i="2" a="1"/>
  <c r="CS124" i="2" a="1"/>
  <c r="CT124" i="2" a="1"/>
  <c r="CU124" i="2" a="1"/>
  <c r="CO125" i="2" a="1"/>
  <c r="CP125" i="2" a="1"/>
  <c r="CR125" i="2" a="1"/>
  <c r="CS125" i="2" a="1"/>
  <c r="CT125" i="2" a="1"/>
  <c r="CU125" i="2" a="1"/>
  <c r="CO126" i="2" a="1"/>
  <c r="CP126" i="2" a="1"/>
  <c r="CR126" i="2" a="1"/>
  <c r="CS126" i="2" a="1"/>
  <c r="CT126" i="2" a="1"/>
  <c r="CU126" i="2" a="1"/>
  <c r="CO127" i="2" a="1"/>
  <c r="CP127" i="2" a="1"/>
  <c r="CR127" i="2" a="1"/>
  <c r="CS127" i="2" a="1"/>
  <c r="CT127" i="2" a="1"/>
  <c r="CU127" i="2" a="1"/>
  <c r="CO128" i="2" a="1"/>
  <c r="CP128" i="2" a="1"/>
  <c r="CR128" i="2" a="1"/>
  <c r="CS128" i="2" a="1"/>
  <c r="CT128" i="2" a="1"/>
  <c r="CU128" i="2" a="1"/>
  <c r="CO129" i="2" a="1"/>
  <c r="CP129" i="2" a="1"/>
  <c r="CR129" i="2" a="1"/>
  <c r="CS129" i="2" a="1"/>
  <c r="CT129" i="2" a="1"/>
  <c r="CU129" i="2" a="1"/>
  <c r="CO130" i="2" a="1"/>
  <c r="CP130" i="2" a="1"/>
  <c r="CR130" i="2" a="1"/>
  <c r="CS130" i="2" a="1"/>
  <c r="CT130" i="2" a="1"/>
  <c r="CU130" i="2" a="1"/>
  <c r="CO131" i="2" a="1"/>
  <c r="CP131" i="2" s="1" a="1"/>
  <c r="CR131" i="2" a="1"/>
  <c r="CS131" i="2" a="1"/>
  <c r="CT131" i="2" a="1"/>
  <c r="CU131" i="2" a="1"/>
  <c r="CO132" i="2" a="1"/>
  <c r="CP132" i="2" a="1"/>
  <c r="CR132" i="2" a="1"/>
  <c r="CS132" i="2" a="1"/>
  <c r="CT132" i="2" a="1"/>
  <c r="CU132" i="2" a="1"/>
  <c r="CO133" i="2" a="1"/>
  <c r="CP133" i="2" a="1"/>
  <c r="CR133" i="2" a="1"/>
  <c r="CS133" i="2" a="1"/>
  <c r="CT133" i="2" a="1"/>
  <c r="CU133" i="2" a="1"/>
  <c r="CO134" i="2" a="1"/>
  <c r="CP134" i="2" a="1"/>
  <c r="CR134" i="2" a="1"/>
  <c r="CS134" i="2" a="1"/>
  <c r="CT134" i="2" a="1"/>
  <c r="CU134" i="2" a="1"/>
  <c r="CO135" i="2" a="1"/>
  <c r="CP135" i="2" a="1"/>
  <c r="CR135" i="2" a="1"/>
  <c r="CS135" i="2" a="1"/>
  <c r="CT135" i="2" a="1"/>
  <c r="CU135" i="2" a="1"/>
  <c r="CO136" i="2" a="1"/>
  <c r="CP136" i="2" s="1" a="1"/>
  <c r="CR136" i="2" a="1"/>
  <c r="CS136" i="2" a="1"/>
  <c r="CT136" i="2" a="1"/>
  <c r="CU136" i="2" a="1"/>
  <c r="CO137" i="2" a="1"/>
  <c r="CP137" i="2" a="1"/>
  <c r="CR137" i="2" a="1"/>
  <c r="CS137" i="2" a="1"/>
  <c r="CT137" i="2" a="1"/>
  <c r="CU137" i="2" a="1"/>
  <c r="CO138" i="2" a="1"/>
  <c r="CP138" i="2" a="1"/>
  <c r="CR138" i="2" a="1"/>
  <c r="CS138" i="2" a="1"/>
  <c r="CT138" i="2" a="1"/>
  <c r="CU138" i="2" a="1"/>
  <c r="CO139" i="2" a="1"/>
  <c r="CP139" i="2" a="1"/>
  <c r="CR139" i="2" a="1"/>
  <c r="CS139" i="2" a="1"/>
  <c r="CT139" i="2" a="1"/>
  <c r="CU139" i="2" a="1"/>
  <c r="CO140" i="2" a="1"/>
  <c r="CP140" i="2" a="1"/>
  <c r="CR140" i="2" a="1"/>
  <c r="CS140" i="2" a="1"/>
  <c r="CT140" i="2" a="1"/>
  <c r="CU140" i="2" a="1"/>
  <c r="CO141" i="2" a="1"/>
  <c r="CP141" i="2" a="1"/>
  <c r="CR141" i="2" a="1"/>
  <c r="CS141" i="2" a="1"/>
  <c r="CT141" i="2" a="1"/>
  <c r="CU141" i="2" a="1"/>
  <c r="CO142" i="2" a="1"/>
  <c r="CP142" i="2" a="1"/>
  <c r="CR142" i="2" a="1"/>
  <c r="CS142" i="2" a="1"/>
  <c r="CT142" i="2" a="1"/>
  <c r="CU142" i="2" a="1"/>
  <c r="CO143" i="2" a="1"/>
  <c r="CP143" i="2" a="1"/>
  <c r="CR143" i="2" a="1"/>
  <c r="CS143" i="2" a="1"/>
  <c r="CT143" i="2" a="1"/>
  <c r="CU143" i="2" a="1"/>
  <c r="CO144" i="2" a="1"/>
  <c r="CP144" i="2" a="1"/>
  <c r="CR144" i="2" a="1"/>
  <c r="CS144" i="2" a="1"/>
  <c r="CT144" i="2" a="1"/>
  <c r="CU144" i="2" a="1"/>
  <c r="CO145" i="2" a="1"/>
  <c r="CP145" i="2" a="1"/>
  <c r="CR145" i="2" a="1"/>
  <c r="CS145" i="2" a="1"/>
  <c r="CT145" i="2" a="1"/>
  <c r="CU145" i="2" a="1"/>
  <c r="CO146" i="2" a="1"/>
  <c r="CP146" i="2" a="1"/>
  <c r="CR146" i="2" a="1"/>
  <c r="CS146" i="2" a="1"/>
  <c r="CT146" i="2" a="1"/>
  <c r="CU146" i="2" a="1"/>
  <c r="CO147" i="2" a="1"/>
  <c r="CP147" i="2" a="1"/>
  <c r="CR147" i="2" a="1"/>
  <c r="CS147" i="2" a="1"/>
  <c r="CT147" i="2" a="1"/>
  <c r="CU147" i="2" a="1"/>
  <c r="CO148" i="2" a="1"/>
  <c r="CP148" i="2" a="1"/>
  <c r="CR148" i="2" a="1"/>
  <c r="CS148" i="2" a="1"/>
  <c r="CT148" i="2" a="1"/>
  <c r="CU148" i="2" a="1"/>
  <c r="CO149" i="2" a="1"/>
  <c r="CP149" i="2" a="1"/>
  <c r="CR149" i="2" a="1"/>
  <c r="CS149" i="2" a="1"/>
  <c r="CT149" i="2" a="1"/>
  <c r="CU149" i="2" a="1"/>
  <c r="CO150" i="2" a="1"/>
  <c r="CP150" i="2" a="1"/>
  <c r="CR150" i="2" a="1"/>
  <c r="CS150" i="2" a="1"/>
  <c r="CT150" i="2" a="1"/>
  <c r="CU150" i="2" a="1"/>
  <c r="CO151" i="2" a="1"/>
  <c r="CP151" i="2" a="1"/>
  <c r="CR151" i="2" a="1"/>
  <c r="CS151" i="2" a="1"/>
  <c r="CT151" i="2" a="1"/>
  <c r="CU151" i="2" a="1"/>
  <c r="CO152" i="2" a="1"/>
  <c r="CP152" i="2" a="1"/>
  <c r="CR152" i="2" a="1"/>
  <c r="CS152" i="2" a="1"/>
  <c r="CT152" i="2" a="1"/>
  <c r="CU152" i="2" a="1"/>
  <c r="CO153" i="2" a="1"/>
  <c r="CP153" i="2" a="1"/>
  <c r="CR153" i="2" a="1"/>
  <c r="CS153" i="2" a="1"/>
  <c r="CT153" i="2" a="1"/>
  <c r="CU153" i="2" a="1"/>
  <c r="CO154" i="2" a="1"/>
  <c r="CP154" i="2" a="1"/>
  <c r="CR154" i="2" a="1"/>
  <c r="CS154" i="2" a="1"/>
  <c r="CT154" i="2" a="1"/>
  <c r="CU154" i="2" a="1"/>
  <c r="CO155" i="2" a="1"/>
  <c r="CP155" i="2" a="1"/>
  <c r="CR155" i="2" a="1"/>
  <c r="CS155" i="2" a="1"/>
  <c r="CT155" i="2" a="1"/>
  <c r="CU155" i="2" a="1"/>
  <c r="CO156" i="2" a="1"/>
  <c r="CP156" i="2" a="1"/>
  <c r="CR156" i="2" a="1"/>
  <c r="CS156" i="2" a="1"/>
  <c r="CT156" i="2" a="1"/>
  <c r="CU156" i="2" a="1"/>
  <c r="CO157" i="2" a="1"/>
  <c r="CP157" i="2" a="1"/>
  <c r="CR157" i="2" a="1"/>
  <c r="CS157" i="2" a="1"/>
  <c r="CT157" i="2" a="1"/>
  <c r="CU157" i="2" a="1"/>
  <c r="CO158" i="2" a="1"/>
  <c r="CP158" i="2" a="1"/>
  <c r="CR158" i="2" a="1"/>
  <c r="CS158" i="2" a="1"/>
  <c r="CT158" i="2" a="1"/>
  <c r="CU158" i="2" a="1"/>
  <c r="CO159" i="2" a="1"/>
  <c r="CP159" i="2" a="1"/>
  <c r="CR159" i="2" a="1"/>
  <c r="CS159" i="2" a="1"/>
  <c r="CT159" i="2" a="1"/>
  <c r="CU159" i="2" a="1"/>
  <c r="CO160" i="2" a="1"/>
  <c r="CP160" i="2" a="1"/>
  <c r="CR160" i="2" a="1"/>
  <c r="CS160" i="2" a="1"/>
  <c r="CT160" i="2" a="1"/>
  <c r="CU160" i="2" a="1"/>
  <c r="CO161" i="2" a="1"/>
  <c r="CP161" i="2" a="1"/>
  <c r="CR161" i="2" a="1"/>
  <c r="CS161" i="2" a="1"/>
  <c r="CT161" i="2" a="1"/>
  <c r="CU161" i="2" a="1"/>
  <c r="CM2" i="2"/>
  <c r="CM3" i="2" a="1"/>
  <c r="CM4" i="2" a="1"/>
  <c r="CM5" i="2" a="1"/>
  <c r="CM6" i="2" a="1"/>
  <c r="CM7" i="2" a="1"/>
  <c r="CM8" i="2" a="1"/>
  <c r="CM9" i="2" a="1"/>
  <c r="CM10" i="2" a="1"/>
  <c r="CM11" i="2" a="1"/>
  <c r="CM12" i="2" a="1"/>
  <c r="CM13" i="2" a="1"/>
  <c r="CM14" i="2" a="1"/>
  <c r="CM15" i="2" a="1"/>
  <c r="CM16" i="2" a="1"/>
  <c r="CM17" i="2" a="1"/>
  <c r="CM18" i="2" a="1"/>
  <c r="CM19" i="2" a="1"/>
  <c r="CM20" i="2" a="1"/>
  <c r="CM21" i="2" a="1"/>
  <c r="CM22" i="2" a="1"/>
  <c r="CM23" i="2" a="1"/>
  <c r="CM24" i="2" a="1"/>
  <c r="CM25" i="2" a="1"/>
  <c r="CM26" i="2" a="1"/>
  <c r="CM27" i="2" a="1"/>
  <c r="CM28" i="2" a="1"/>
  <c r="CM29" i="2" a="1"/>
  <c r="CM30" i="2" a="1"/>
  <c r="CM31" i="2" a="1"/>
  <c r="CM32" i="2" a="1"/>
  <c r="CM33" i="2" a="1"/>
  <c r="CM34" i="2" a="1"/>
  <c r="CM35" i="2" a="1"/>
  <c r="CM36" i="2" a="1"/>
  <c r="CM37" i="2" a="1"/>
  <c r="CM38" i="2" a="1"/>
  <c r="CM39" i="2" a="1"/>
  <c r="CM40" i="2" a="1"/>
  <c r="CM41" i="2" a="1"/>
  <c r="CM42" i="2" a="1"/>
  <c r="CM43" i="2" a="1"/>
  <c r="CM44" i="2" a="1"/>
  <c r="CM45" i="2" a="1"/>
  <c r="CM46" i="2" a="1"/>
  <c r="CM47" i="2" a="1"/>
  <c r="CM48" i="2" a="1"/>
  <c r="CM49" i="2" a="1"/>
  <c r="CM50" i="2" a="1"/>
  <c r="CM51" i="2" a="1"/>
  <c r="CM52" i="2" a="1"/>
  <c r="CM53" i="2" a="1"/>
  <c r="CM54" i="2" a="1"/>
  <c r="CM55" i="2" a="1"/>
  <c r="CM56" i="2" a="1"/>
  <c r="CM57" i="2" a="1"/>
  <c r="CM58" i="2" a="1"/>
  <c r="CM59" i="2" a="1"/>
  <c r="CM60" i="2" a="1"/>
  <c r="CM61" i="2" a="1"/>
  <c r="CM62" i="2" a="1"/>
  <c r="CM63" i="2" a="1"/>
  <c r="CM64" i="2" a="1"/>
  <c r="CM65" i="2" a="1"/>
  <c r="CM66" i="2" a="1"/>
  <c r="CM67" i="2" a="1"/>
  <c r="CM68" i="2" a="1"/>
  <c r="CM69" i="2" a="1"/>
  <c r="CM70" i="2" a="1"/>
  <c r="CM71" i="2" a="1"/>
  <c r="CM72" i="2" a="1"/>
  <c r="CM73" i="2" a="1"/>
  <c r="CM74" i="2" a="1"/>
  <c r="CM75" i="2" a="1"/>
  <c r="CM76" i="2" a="1"/>
  <c r="CM77" i="2" a="1"/>
  <c r="CM78" i="2" a="1"/>
  <c r="CM79" i="2" a="1"/>
  <c r="CM80" i="2" a="1"/>
  <c r="CM81" i="2" a="1"/>
  <c r="CM82" i="2" a="1"/>
  <c r="CM83" i="2" a="1"/>
  <c r="CM84" i="2" a="1"/>
  <c r="CM85" i="2" a="1"/>
  <c r="CM86" i="2" a="1"/>
  <c r="CM87" i="2" a="1"/>
  <c r="CM88" i="2" a="1"/>
  <c r="CM89" i="2" a="1"/>
  <c r="CM90" i="2" a="1"/>
  <c r="CM91" i="2" a="1"/>
  <c r="CM92" i="2" a="1"/>
  <c r="CM93" i="2" a="1"/>
  <c r="CM94" i="2" a="1"/>
  <c r="CM95" i="2" a="1"/>
  <c r="CM96" i="2" a="1"/>
  <c r="CM97" i="2" a="1"/>
  <c r="CM98" i="2" a="1"/>
  <c r="CM99" i="2" a="1"/>
  <c r="CM100" i="2" a="1"/>
  <c r="CM101" i="2" a="1"/>
  <c r="CM102" i="2" a="1"/>
  <c r="CM103" i="2" a="1"/>
  <c r="CM104" i="2" a="1"/>
  <c r="CM105" i="2" a="1"/>
  <c r="CM106" i="2" a="1"/>
  <c r="CM107" i="2" a="1"/>
  <c r="CM108" i="2" a="1"/>
  <c r="CM109" i="2" a="1"/>
  <c r="CM110" i="2" a="1"/>
  <c r="CM111" i="2" a="1"/>
  <c r="CM112" i="2" a="1"/>
  <c r="CM113" i="2" a="1"/>
  <c r="CM114" i="2" a="1"/>
  <c r="CM115" i="2" a="1"/>
  <c r="CM116" i="2" a="1"/>
  <c r="CM117" i="2" a="1"/>
  <c r="CM118" i="2" a="1"/>
  <c r="CM119" i="2" a="1"/>
  <c r="CM120" i="2" a="1"/>
  <c r="CM121" i="2" a="1"/>
  <c r="CM122" i="2" a="1"/>
  <c r="CM123" i="2" a="1"/>
  <c r="CM124" i="2" a="1"/>
  <c r="CM125" i="2" a="1"/>
  <c r="CM126" i="2" a="1"/>
  <c r="CM127" i="2" a="1"/>
  <c r="CM128" i="2" a="1"/>
  <c r="CM129" i="2" a="1"/>
  <c r="CM130" i="2" a="1"/>
  <c r="CM131" i="2" a="1"/>
  <c r="CM132" i="2" a="1"/>
  <c r="CM133" i="2" a="1"/>
  <c r="CM134" i="2" a="1"/>
  <c r="CM135" i="2" a="1"/>
  <c r="CM136" i="2" a="1"/>
  <c r="CM137" i="2" a="1"/>
  <c r="CM138" i="2" a="1"/>
  <c r="CM139" i="2" a="1"/>
  <c r="CM140" i="2" a="1"/>
  <c r="CM141" i="2" a="1"/>
  <c r="CM142" i="2" a="1"/>
  <c r="CM143" i="2" a="1"/>
  <c r="CM144" i="2" a="1"/>
  <c r="CM145" i="2" a="1"/>
  <c r="CM146" i="2" a="1"/>
  <c r="CM147" i="2" a="1"/>
  <c r="CM148" i="2" a="1"/>
  <c r="CM149" i="2" a="1"/>
  <c r="CM150" i="2" a="1"/>
  <c r="CM151" i="2" a="1"/>
  <c r="CM152" i="2" a="1"/>
  <c r="CM153" i="2" a="1"/>
  <c r="CM154" i="2" a="1"/>
  <c r="CM155" i="2" a="1"/>
  <c r="CM156" i="2" a="1"/>
  <c r="CM157" i="2" a="1"/>
  <c r="CM158" i="2" a="1"/>
  <c r="CM159" i="2" a="1"/>
  <c r="CM160" i="2" a="1"/>
  <c r="CM161" i="2" a="1"/>
  <c r="CA109" i="2"/>
  <c r="CB109" i="2" a="1"/>
  <c r="CC109" i="2"/>
  <c r="CD109" i="2"/>
  <c r="CE109" i="2" a="1"/>
  <c r="CF109" i="2" s="1"/>
  <c r="CG109" i="2" a="1"/>
  <c r="CH109" i="2" a="1"/>
  <c r="CI109" i="2"/>
  <c r="CJ109" i="2"/>
  <c r="CK109" i="2"/>
  <c r="CL109" i="2"/>
  <c r="CN109" i="2"/>
  <c r="CA110" i="2"/>
  <c r="CB110" i="2" a="1"/>
  <c r="CC110" i="2"/>
  <c r="CD110" i="2"/>
  <c r="CE110" i="2" a="1"/>
  <c r="CF110" i="2" s="1"/>
  <c r="CG110" i="2" a="1"/>
  <c r="CH110" i="2" a="1"/>
  <c r="CI110" i="2"/>
  <c r="CJ110" i="2"/>
  <c r="CK110" i="2"/>
  <c r="CL110" i="2"/>
  <c r="CN110" i="2"/>
  <c r="CA111" i="2"/>
  <c r="CB111" i="2" a="1"/>
  <c r="CC111" i="2"/>
  <c r="CD111" i="2"/>
  <c r="CE111" i="2" a="1"/>
  <c r="CF111" i="2" s="1"/>
  <c r="CG111" i="2" a="1"/>
  <c r="CH111" i="2" a="1"/>
  <c r="CI111" i="2"/>
  <c r="CJ111" i="2"/>
  <c r="CK111" i="2"/>
  <c r="CL111" i="2"/>
  <c r="CN111" i="2"/>
  <c r="CA112" i="2"/>
  <c r="CB112" i="2" a="1"/>
  <c r="CC112" i="2"/>
  <c r="CD112" i="2"/>
  <c r="CE112" i="2" a="1"/>
  <c r="CF112" i="2" s="1"/>
  <c r="CG112" i="2" a="1"/>
  <c r="CH112" i="2" a="1"/>
  <c r="CI112" i="2"/>
  <c r="CJ112" i="2"/>
  <c r="CK112" i="2"/>
  <c r="CL112" i="2"/>
  <c r="CN112" i="2"/>
  <c r="CA113" i="2"/>
  <c r="CB113" i="2" a="1"/>
  <c r="CC113" i="2"/>
  <c r="CD113" i="2"/>
  <c r="CE113" i="2" a="1"/>
  <c r="CF113" i="2" s="1"/>
  <c r="CG113" i="2" a="1"/>
  <c r="CH113" i="2" a="1"/>
  <c r="CI113" i="2"/>
  <c r="CJ113" i="2"/>
  <c r="CK113" i="2"/>
  <c r="CL113" i="2"/>
  <c r="CN113" i="2"/>
  <c r="CA114" i="2"/>
  <c r="CB114" i="2" a="1"/>
  <c r="CC114" i="2"/>
  <c r="CD114" i="2"/>
  <c r="CE114" i="2" a="1"/>
  <c r="CF114" i="2" s="1"/>
  <c r="CG114" i="2" a="1"/>
  <c r="CH114" i="2" a="1"/>
  <c r="CI114" i="2"/>
  <c r="CJ114" i="2"/>
  <c r="CK114" i="2"/>
  <c r="CL114" i="2"/>
  <c r="CN114" i="2"/>
  <c r="CA115" i="2"/>
  <c r="CB115" i="2" a="1"/>
  <c r="CC115" i="2"/>
  <c r="CD115" i="2"/>
  <c r="CE115" i="2" a="1"/>
  <c r="CF115" i="2" s="1"/>
  <c r="CG115" i="2" a="1"/>
  <c r="CH115" i="2" a="1"/>
  <c r="CI115" i="2"/>
  <c r="CJ115" i="2"/>
  <c r="CK115" i="2"/>
  <c r="CL115" i="2"/>
  <c r="CN115" i="2"/>
  <c r="CA116" i="2"/>
  <c r="CB116" i="2" a="1"/>
  <c r="CC116" i="2"/>
  <c r="CD116" i="2"/>
  <c r="CE116" i="2" a="1"/>
  <c r="CF116" i="2" s="1"/>
  <c r="CG116" i="2" a="1"/>
  <c r="CH116" i="2" a="1"/>
  <c r="CI116" i="2"/>
  <c r="CJ116" i="2"/>
  <c r="CK116" i="2"/>
  <c r="CL116" i="2"/>
  <c r="CN116" i="2"/>
  <c r="CA117" i="2"/>
  <c r="CB117" i="2" a="1"/>
  <c r="CC117" i="2"/>
  <c r="CD117" i="2"/>
  <c r="CE117" i="2" a="1"/>
  <c r="CF117" i="2" s="1"/>
  <c r="CG117" i="2" a="1"/>
  <c r="CH117" i="2" a="1"/>
  <c r="CI117" i="2"/>
  <c r="CJ117" i="2"/>
  <c r="CK117" i="2"/>
  <c r="CL117" i="2"/>
  <c r="CN117" i="2"/>
  <c r="CA118" i="2"/>
  <c r="CB118" i="2" a="1"/>
  <c r="CC118" i="2"/>
  <c r="CD118" i="2"/>
  <c r="CE118" i="2" a="1"/>
  <c r="CF118" i="2" s="1"/>
  <c r="CG118" i="2" a="1"/>
  <c r="CH118" i="2" a="1"/>
  <c r="CI118" i="2"/>
  <c r="CJ118" i="2"/>
  <c r="CK118" i="2"/>
  <c r="CL118" i="2"/>
  <c r="CN118" i="2"/>
  <c r="CA119" i="2"/>
  <c r="CB119" i="2" a="1"/>
  <c r="CC119" i="2"/>
  <c r="CD119" i="2"/>
  <c r="CE119" i="2" a="1"/>
  <c r="CF119" i="2" s="1"/>
  <c r="CG119" i="2" a="1"/>
  <c r="CH119" i="2" a="1"/>
  <c r="CI119" i="2"/>
  <c r="CJ119" i="2"/>
  <c r="CK119" i="2"/>
  <c r="CL119" i="2"/>
  <c r="CN119" i="2"/>
  <c r="CA120" i="2"/>
  <c r="CB120" i="2" a="1"/>
  <c r="CC120" i="2"/>
  <c r="CD120" i="2"/>
  <c r="CE120" i="2" a="1"/>
  <c r="CF120" i="2" s="1"/>
  <c r="CG120" i="2" a="1"/>
  <c r="CH120" i="2" a="1"/>
  <c r="CI120" i="2"/>
  <c r="CJ120" i="2"/>
  <c r="CK120" i="2"/>
  <c r="CL120" i="2"/>
  <c r="CN120" i="2"/>
  <c r="CA121" i="2"/>
  <c r="CB121" i="2" a="1"/>
  <c r="CC121" i="2"/>
  <c r="CD121" i="2"/>
  <c r="CE121" i="2" a="1"/>
  <c r="CF121" i="2" s="1"/>
  <c r="CG121" i="2" a="1"/>
  <c r="CH121" i="2" a="1"/>
  <c r="CI121" i="2"/>
  <c r="CJ121" i="2"/>
  <c r="CK121" i="2"/>
  <c r="CL121" i="2"/>
  <c r="CN121" i="2"/>
  <c r="CA122" i="2"/>
  <c r="CB122" i="2" a="1"/>
  <c r="CC122" i="2"/>
  <c r="CD122" i="2"/>
  <c r="CE122" i="2" a="1"/>
  <c r="CF122" i="2" s="1"/>
  <c r="CG122" i="2" a="1"/>
  <c r="CH122" i="2" a="1"/>
  <c r="CI122" i="2"/>
  <c r="CJ122" i="2"/>
  <c r="CK122" i="2"/>
  <c r="CL122" i="2"/>
  <c r="CN122" i="2"/>
  <c r="CA123" i="2"/>
  <c r="CB123" i="2" a="1"/>
  <c r="CC123" i="2"/>
  <c r="CD123" i="2"/>
  <c r="CE123" i="2" a="1"/>
  <c r="CF123" i="2" s="1"/>
  <c r="CG123" i="2" a="1"/>
  <c r="CH123" i="2" a="1"/>
  <c r="CI123" i="2"/>
  <c r="CJ123" i="2"/>
  <c r="CK123" i="2"/>
  <c r="CL123" i="2"/>
  <c r="CN123" i="2"/>
  <c r="CA124" i="2"/>
  <c r="CB124" i="2" a="1"/>
  <c r="CC124" i="2"/>
  <c r="CD124" i="2"/>
  <c r="CE124" i="2" a="1"/>
  <c r="CF124" i="2" s="1"/>
  <c r="CG124" i="2" a="1"/>
  <c r="CH124" i="2" a="1"/>
  <c r="CI124" i="2"/>
  <c r="CJ124" i="2"/>
  <c r="CK124" i="2"/>
  <c r="CL124" i="2"/>
  <c r="CN124" i="2"/>
  <c r="CA125" i="2"/>
  <c r="CB125" i="2" a="1"/>
  <c r="CC125" i="2"/>
  <c r="CD125" i="2"/>
  <c r="CE125" i="2" a="1"/>
  <c r="CF125" i="2" s="1"/>
  <c r="CG125" i="2" a="1"/>
  <c r="CH125" i="2" a="1"/>
  <c r="CI125" i="2"/>
  <c r="CJ125" i="2"/>
  <c r="CK125" i="2"/>
  <c r="CL125" i="2"/>
  <c r="CN125" i="2"/>
  <c r="CA126" i="2"/>
  <c r="CB126" i="2" a="1"/>
  <c r="CC126" i="2"/>
  <c r="CD126" i="2"/>
  <c r="CE126" i="2" a="1"/>
  <c r="CF126" i="2" s="1"/>
  <c r="CG126" i="2" a="1"/>
  <c r="CH126" i="2" a="1"/>
  <c r="CI126" i="2"/>
  <c r="CJ126" i="2"/>
  <c r="CK126" i="2"/>
  <c r="CL126" i="2"/>
  <c r="CN126" i="2"/>
  <c r="CA127" i="2"/>
  <c r="CB127" i="2" a="1"/>
  <c r="CC127" i="2"/>
  <c r="CD127" i="2"/>
  <c r="CE127" i="2" a="1"/>
  <c r="CF127" i="2"/>
  <c r="CG127" i="2" a="1"/>
  <c r="CH127" i="2" a="1"/>
  <c r="CI127" i="2"/>
  <c r="CJ127" i="2"/>
  <c r="CK127" i="2"/>
  <c r="CL127" i="2"/>
  <c r="CN127" i="2"/>
  <c r="CA128" i="2"/>
  <c r="CB128" i="2" a="1"/>
  <c r="CC128" i="2"/>
  <c r="CD128" i="2"/>
  <c r="CE128" i="2" a="1"/>
  <c r="CF128" i="2"/>
  <c r="CG128" i="2" a="1"/>
  <c r="CH128" i="2" a="1"/>
  <c r="CI128" i="2"/>
  <c r="CJ128" i="2"/>
  <c r="CK128" i="2"/>
  <c r="CL128" i="2"/>
  <c r="CN128" i="2"/>
  <c r="CA129" i="2"/>
  <c r="CB129" i="2" a="1"/>
  <c r="CC129" i="2"/>
  <c r="CD129" i="2"/>
  <c r="CE129" i="2" a="1"/>
  <c r="CF129" i="2"/>
  <c r="CG129" i="2" a="1"/>
  <c r="CH129" i="2" a="1"/>
  <c r="CI129" i="2"/>
  <c r="CJ129" i="2"/>
  <c r="CK129" i="2"/>
  <c r="CL129" i="2"/>
  <c r="CN129" i="2"/>
  <c r="CA130" i="2"/>
  <c r="CB130" i="2" a="1"/>
  <c r="CC130" i="2"/>
  <c r="CD130" i="2"/>
  <c r="CE130" i="2" a="1"/>
  <c r="CF130" i="2"/>
  <c r="CG130" i="2" a="1"/>
  <c r="CH130" i="2" a="1"/>
  <c r="CI130" i="2"/>
  <c r="CJ130" i="2"/>
  <c r="CK130" i="2"/>
  <c r="CL130" i="2"/>
  <c r="CN130" i="2"/>
  <c r="CA131" i="2"/>
  <c r="CB131" i="2" a="1"/>
  <c r="CC131" i="2"/>
  <c r="CD131" i="2"/>
  <c r="CE131" i="2" a="1"/>
  <c r="CF131" i="2" s="1"/>
  <c r="CG131" i="2" a="1"/>
  <c r="CH131" i="2" a="1"/>
  <c r="CI131" i="2"/>
  <c r="CJ131" i="2"/>
  <c r="CK131" i="2"/>
  <c r="CL131" i="2"/>
  <c r="CN131" i="2"/>
  <c r="CA132" i="2"/>
  <c r="CB132" i="2" a="1"/>
  <c r="CC132" i="2"/>
  <c r="CD132" i="2"/>
  <c r="CE132" i="2" a="1"/>
  <c r="CF132" i="2" s="1"/>
  <c r="CG132" i="2" a="1"/>
  <c r="CH132" i="2" a="1"/>
  <c r="CI132" i="2"/>
  <c r="CJ132" i="2"/>
  <c r="CK132" i="2"/>
  <c r="CL132" i="2"/>
  <c r="CN132" i="2"/>
  <c r="CA133" i="2"/>
  <c r="CB133" i="2" a="1"/>
  <c r="CC133" i="2"/>
  <c r="CD133" i="2"/>
  <c r="CE133" i="2" a="1"/>
  <c r="CF133" i="2" s="1"/>
  <c r="CG133" i="2" a="1"/>
  <c r="CH133" i="2" a="1"/>
  <c r="CI133" i="2"/>
  <c r="CJ133" i="2"/>
  <c r="CK133" i="2"/>
  <c r="CL133" i="2"/>
  <c r="CN133" i="2"/>
  <c r="CA134" i="2"/>
  <c r="CB134" i="2" a="1"/>
  <c r="CC134" i="2"/>
  <c r="CD134" i="2"/>
  <c r="CE134" i="2" a="1"/>
  <c r="CF134" i="2" s="1"/>
  <c r="CG134" i="2" a="1"/>
  <c r="CH134" i="2" a="1"/>
  <c r="CI134" i="2"/>
  <c r="CJ134" i="2"/>
  <c r="CK134" i="2"/>
  <c r="CL134" i="2"/>
  <c r="CN134" i="2"/>
  <c r="CA135" i="2"/>
  <c r="CB135" i="2" a="1"/>
  <c r="CC135" i="2"/>
  <c r="CD135" i="2"/>
  <c r="CE135" i="2" a="1"/>
  <c r="CF135" i="2" s="1"/>
  <c r="CG135" i="2" a="1"/>
  <c r="CH135" i="2" a="1"/>
  <c r="CI135" i="2"/>
  <c r="CJ135" i="2"/>
  <c r="CK135" i="2"/>
  <c r="CL135" i="2"/>
  <c r="CN135" i="2"/>
  <c r="CA136" i="2"/>
  <c r="CB136" i="2" a="1"/>
  <c r="CC136" i="2"/>
  <c r="CD136" i="2"/>
  <c r="CE136" i="2" a="1"/>
  <c r="CF136" i="2" s="1"/>
  <c r="CG136" i="2" a="1"/>
  <c r="CH136" i="2" a="1"/>
  <c r="CI136" i="2"/>
  <c r="CJ136" i="2"/>
  <c r="CK136" i="2"/>
  <c r="CL136" i="2"/>
  <c r="CN136" i="2"/>
  <c r="CA137" i="2"/>
  <c r="CB137" i="2" a="1"/>
  <c r="CC137" i="2"/>
  <c r="CD137" i="2"/>
  <c r="CE137" i="2" a="1"/>
  <c r="CF137" i="2"/>
  <c r="CG137" i="2" a="1"/>
  <c r="CH137" i="2" a="1"/>
  <c r="CI137" i="2"/>
  <c r="CJ137" i="2"/>
  <c r="CK137" i="2"/>
  <c r="CL137" i="2"/>
  <c r="CN137" i="2"/>
  <c r="CA138" i="2"/>
  <c r="CB138" i="2" a="1"/>
  <c r="CC138" i="2"/>
  <c r="CD138" i="2"/>
  <c r="CE138" i="2" a="1"/>
  <c r="CF138" i="2"/>
  <c r="CG138" i="2" a="1"/>
  <c r="CH138" i="2" a="1"/>
  <c r="CI138" i="2"/>
  <c r="CJ138" i="2"/>
  <c r="CK138" i="2"/>
  <c r="CL138" i="2"/>
  <c r="CN138" i="2"/>
  <c r="CA139" i="2"/>
  <c r="CB139" i="2" a="1"/>
  <c r="CC139" i="2"/>
  <c r="CD139" i="2"/>
  <c r="CE139" i="2" a="1"/>
  <c r="CF139" i="2" s="1"/>
  <c r="CG139" i="2" a="1"/>
  <c r="CH139" i="2" a="1"/>
  <c r="CI139" i="2"/>
  <c r="CJ139" i="2"/>
  <c r="CK139" i="2"/>
  <c r="CL139" i="2"/>
  <c r="CN139" i="2"/>
  <c r="CA140" i="2"/>
  <c r="CB140" i="2" a="1"/>
  <c r="CC140" i="2"/>
  <c r="CD140" i="2"/>
  <c r="CE140" i="2" a="1"/>
  <c r="CF140" i="2" s="1"/>
  <c r="CG140" i="2" a="1"/>
  <c r="CH140" i="2" a="1"/>
  <c r="CI140" i="2"/>
  <c r="CJ140" i="2"/>
  <c r="CK140" i="2"/>
  <c r="CL140" i="2"/>
  <c r="CN140" i="2"/>
  <c r="CA141" i="2"/>
  <c r="CB141" i="2" a="1"/>
  <c r="CC141" i="2"/>
  <c r="CD141" i="2"/>
  <c r="CE141" i="2" a="1"/>
  <c r="CF141" i="2" s="1"/>
  <c r="CG141" i="2" a="1"/>
  <c r="CH141" i="2" a="1"/>
  <c r="CI141" i="2"/>
  <c r="CJ141" i="2"/>
  <c r="CK141" i="2"/>
  <c r="CL141" i="2"/>
  <c r="CN141" i="2"/>
  <c r="CA142" i="2"/>
  <c r="CB142" i="2" a="1"/>
  <c r="CC142" i="2"/>
  <c r="CD142" i="2"/>
  <c r="CE142" i="2" a="1"/>
  <c r="CF142" i="2" s="1"/>
  <c r="CG142" i="2" a="1"/>
  <c r="CH142" i="2" a="1"/>
  <c r="CI142" i="2"/>
  <c r="CJ142" i="2"/>
  <c r="CK142" i="2"/>
  <c r="CL142" i="2"/>
  <c r="CN142" i="2"/>
  <c r="CA143" i="2"/>
  <c r="CB143" i="2" a="1"/>
  <c r="CC143" i="2"/>
  <c r="CD143" i="2"/>
  <c r="CE143" i="2" a="1"/>
  <c r="CF143" i="2" s="1"/>
  <c r="CG143" i="2" a="1"/>
  <c r="CH143" i="2" a="1"/>
  <c r="CI143" i="2"/>
  <c r="CJ143" i="2"/>
  <c r="CK143" i="2"/>
  <c r="CL143" i="2"/>
  <c r="CN143" i="2"/>
  <c r="CA144" i="2"/>
  <c r="CB144" i="2" a="1"/>
  <c r="CC144" i="2"/>
  <c r="CD144" i="2"/>
  <c r="CE144" i="2" a="1"/>
  <c r="CF144" i="2" s="1"/>
  <c r="CG144" i="2" a="1"/>
  <c r="CH144" i="2" a="1"/>
  <c r="CI144" i="2"/>
  <c r="CJ144" i="2"/>
  <c r="CK144" i="2"/>
  <c r="CL144" i="2"/>
  <c r="CN144" i="2"/>
  <c r="CA145" i="2"/>
  <c r="CB145" i="2" a="1"/>
  <c r="CC145" i="2"/>
  <c r="CD145" i="2"/>
  <c r="CE145" i="2" a="1"/>
  <c r="CF145" i="2" s="1"/>
  <c r="CG145" i="2" a="1"/>
  <c r="CH145" i="2" a="1"/>
  <c r="CI145" i="2"/>
  <c r="CJ145" i="2"/>
  <c r="CK145" i="2"/>
  <c r="CL145" i="2"/>
  <c r="CN145" i="2"/>
  <c r="CA146" i="2"/>
  <c r="CB146" i="2" a="1"/>
  <c r="CC146" i="2"/>
  <c r="CD146" i="2"/>
  <c r="CE146" i="2" a="1"/>
  <c r="CF146" i="2" s="1"/>
  <c r="CG146" i="2" a="1"/>
  <c r="CH146" i="2" a="1"/>
  <c r="CI146" i="2"/>
  <c r="CJ146" i="2"/>
  <c r="CK146" i="2"/>
  <c r="CL146" i="2"/>
  <c r="CN146" i="2"/>
  <c r="CA147" i="2"/>
  <c r="CB147" i="2" a="1"/>
  <c r="CC147" i="2"/>
  <c r="CD147" i="2"/>
  <c r="CE147" i="2" a="1"/>
  <c r="CF147" i="2"/>
  <c r="CG147" i="2" a="1"/>
  <c r="CH147" i="2" a="1"/>
  <c r="CI147" i="2"/>
  <c r="CJ147" i="2"/>
  <c r="CK147" i="2"/>
  <c r="CL147" i="2"/>
  <c r="CN147" i="2"/>
  <c r="CA148" i="2"/>
  <c r="CB148" i="2" a="1"/>
  <c r="CC148" i="2"/>
  <c r="CD148" i="2"/>
  <c r="CE148" i="2" a="1"/>
  <c r="CF148" i="2"/>
  <c r="CG148" i="2" a="1"/>
  <c r="CH148" i="2" a="1"/>
  <c r="CI148" i="2"/>
  <c r="CJ148" i="2"/>
  <c r="CK148" i="2"/>
  <c r="CL148" i="2"/>
  <c r="CN148" i="2"/>
  <c r="CA149" i="2"/>
  <c r="CB149" i="2" a="1"/>
  <c r="CC149" i="2"/>
  <c r="CD149" i="2"/>
  <c r="CE149" i="2" a="1"/>
  <c r="CF149" i="2"/>
  <c r="CG149" i="2" a="1"/>
  <c r="CH149" i="2" a="1"/>
  <c r="CI149" i="2"/>
  <c r="CJ149" i="2"/>
  <c r="CK149" i="2"/>
  <c r="CL149" i="2"/>
  <c r="CN149" i="2"/>
  <c r="CA150" i="2"/>
  <c r="CB150" i="2" a="1"/>
  <c r="CC150" i="2"/>
  <c r="CD150" i="2"/>
  <c r="CE150" i="2" a="1"/>
  <c r="CF150" i="2"/>
  <c r="CG150" i="2" a="1"/>
  <c r="CH150" i="2" a="1"/>
  <c r="CI150" i="2"/>
  <c r="CJ150" i="2"/>
  <c r="CK150" i="2"/>
  <c r="CL150" i="2"/>
  <c r="CN150" i="2"/>
  <c r="CA151" i="2"/>
  <c r="CB151" i="2" a="1"/>
  <c r="CC151" i="2"/>
  <c r="CD151" i="2"/>
  <c r="CE151" i="2" a="1"/>
  <c r="CF151" i="2"/>
  <c r="CG151" i="2" a="1"/>
  <c r="CH151" i="2" a="1"/>
  <c r="CI151" i="2"/>
  <c r="CJ151" i="2"/>
  <c r="CK151" i="2"/>
  <c r="CL151" i="2"/>
  <c r="CN151" i="2"/>
  <c r="CA152" i="2"/>
  <c r="CB152" i="2" a="1"/>
  <c r="CC152" i="2"/>
  <c r="CD152" i="2"/>
  <c r="CE152" i="2" a="1"/>
  <c r="CF152" i="2"/>
  <c r="CG152" i="2" a="1"/>
  <c r="CH152" i="2" a="1"/>
  <c r="CI152" i="2"/>
  <c r="CJ152" i="2"/>
  <c r="CK152" i="2"/>
  <c r="CL152" i="2"/>
  <c r="CN152" i="2"/>
  <c r="CA153" i="2"/>
  <c r="CB153" i="2" a="1"/>
  <c r="CC153" i="2"/>
  <c r="CD153" i="2"/>
  <c r="CE153" i="2" a="1"/>
  <c r="CF153" i="2"/>
  <c r="CG153" i="2" a="1"/>
  <c r="CH153" i="2" a="1"/>
  <c r="CI153" i="2"/>
  <c r="CJ153" i="2"/>
  <c r="CK153" i="2"/>
  <c r="CL153" i="2"/>
  <c r="CN153" i="2"/>
  <c r="CA154" i="2"/>
  <c r="CB154" i="2" a="1"/>
  <c r="CC154" i="2"/>
  <c r="CD154" i="2"/>
  <c r="CE154" i="2" a="1"/>
  <c r="CF154" i="2"/>
  <c r="CG154" i="2" a="1"/>
  <c r="CH154" i="2" a="1"/>
  <c r="CI154" i="2"/>
  <c r="CJ154" i="2"/>
  <c r="CK154" i="2"/>
  <c r="CL154" i="2"/>
  <c r="CN154" i="2"/>
  <c r="CA155" i="2"/>
  <c r="CB155" i="2" a="1"/>
  <c r="CC155" i="2"/>
  <c r="CD155" i="2"/>
  <c r="CE155" i="2" a="1"/>
  <c r="CF155" i="2"/>
  <c r="CG155" i="2" a="1"/>
  <c r="CH155" i="2" a="1"/>
  <c r="CI155" i="2"/>
  <c r="CJ155" i="2"/>
  <c r="CK155" i="2"/>
  <c r="CL155" i="2"/>
  <c r="CN155" i="2"/>
  <c r="CA156" i="2"/>
  <c r="CB156" i="2" a="1"/>
  <c r="CC156" i="2"/>
  <c r="CD156" i="2"/>
  <c r="CE156" i="2" a="1"/>
  <c r="CF156" i="2"/>
  <c r="CG156" i="2" a="1"/>
  <c r="CH156" i="2" a="1"/>
  <c r="CI156" i="2"/>
  <c r="CJ156" i="2"/>
  <c r="CK156" i="2"/>
  <c r="CL156" i="2"/>
  <c r="CN156" i="2"/>
  <c r="CA157" i="2"/>
  <c r="CB157" i="2" a="1"/>
  <c r="CC157" i="2"/>
  <c r="CD157" i="2"/>
  <c r="CE157" i="2" a="1"/>
  <c r="CF157" i="2"/>
  <c r="CG157" i="2" a="1"/>
  <c r="CH157" i="2" a="1"/>
  <c r="CI157" i="2"/>
  <c r="CJ157" i="2"/>
  <c r="CK157" i="2"/>
  <c r="CL157" i="2"/>
  <c r="CN157" i="2"/>
  <c r="CA158" i="2"/>
  <c r="CB158" i="2" a="1"/>
  <c r="CC158" i="2"/>
  <c r="CD158" i="2"/>
  <c r="CE158" i="2" a="1"/>
  <c r="CF158" i="2"/>
  <c r="CG158" i="2" a="1"/>
  <c r="CH158" i="2" a="1"/>
  <c r="CI158" i="2"/>
  <c r="CJ158" i="2"/>
  <c r="CK158" i="2"/>
  <c r="CL158" i="2"/>
  <c r="CN158" i="2"/>
  <c r="CA159" i="2"/>
  <c r="CB159" i="2" a="1"/>
  <c r="CC159" i="2"/>
  <c r="CD159" i="2"/>
  <c r="CE159" i="2" a="1"/>
  <c r="CF159" i="2"/>
  <c r="CG159" i="2" a="1"/>
  <c r="CH159" i="2" a="1"/>
  <c r="CI159" i="2"/>
  <c r="CJ159" i="2"/>
  <c r="CK159" i="2"/>
  <c r="CL159" i="2"/>
  <c r="CN159" i="2"/>
  <c r="CA160" i="2"/>
  <c r="CB160" i="2" a="1"/>
  <c r="CC160" i="2"/>
  <c r="CD160" i="2"/>
  <c r="CE160" i="2" a="1"/>
  <c r="CF160" i="2"/>
  <c r="CG160" i="2" a="1"/>
  <c r="CH160" i="2" a="1"/>
  <c r="CI160" i="2"/>
  <c r="CJ160" i="2"/>
  <c r="CK160" i="2"/>
  <c r="CL160" i="2"/>
  <c r="CN160" i="2"/>
  <c r="CA161" i="2"/>
  <c r="CB161" i="2" a="1"/>
  <c r="CC161" i="2"/>
  <c r="CD161" i="2"/>
  <c r="CE161" i="2" a="1"/>
  <c r="CF161" i="2"/>
  <c r="CG161" i="2" a="1"/>
  <c r="CH161" i="2" a="1"/>
  <c r="CI161" i="2"/>
  <c r="CJ161" i="2"/>
  <c r="CK161" i="2"/>
  <c r="CL161" i="2"/>
  <c r="CN161" i="2"/>
  <c r="CA2" i="2"/>
  <c r="CB2" i="2" a="1"/>
  <c r="CC2" i="2"/>
  <c r="CD2" i="2"/>
  <c r="CE2" i="2" a="1"/>
  <c r="CF2" i="2" s="1"/>
  <c r="CG2" i="2"/>
  <c r="CH2" i="2"/>
  <c r="CI2" i="2"/>
  <c r="CJ2" i="2"/>
  <c r="CK2" i="2"/>
  <c r="CL2" i="2"/>
  <c r="CN2" i="2"/>
  <c r="CA3" i="2"/>
  <c r="CB3" i="2" a="1"/>
  <c r="CC3" i="2"/>
  <c r="CD3" i="2"/>
  <c r="CE3" i="2" a="1"/>
  <c r="CF3" i="2" s="1"/>
  <c r="CG3" i="2" a="1"/>
  <c r="CH3" i="2" a="1"/>
  <c r="CI3" i="2"/>
  <c r="CJ3" i="2"/>
  <c r="CK3" i="2"/>
  <c r="CL3" i="2"/>
  <c r="CN3" i="2"/>
  <c r="CA4" i="2"/>
  <c r="CB4" i="2" a="1"/>
  <c r="CC4" i="2"/>
  <c r="CD4" i="2"/>
  <c r="CE4" i="2" a="1"/>
  <c r="CF4" i="2" s="1"/>
  <c r="CG4" i="2" a="1"/>
  <c r="CH4" i="2" a="1"/>
  <c r="CI4" i="2"/>
  <c r="CJ4" i="2"/>
  <c r="CK4" i="2"/>
  <c r="CL4" i="2"/>
  <c r="CN4" i="2"/>
  <c r="CA5" i="2"/>
  <c r="CB5" i="2" a="1"/>
  <c r="CC5" i="2"/>
  <c r="CD5" i="2"/>
  <c r="CE5" i="2" a="1"/>
  <c r="CF5" i="2" s="1"/>
  <c r="CG5" i="2" a="1"/>
  <c r="CH5" i="2" a="1"/>
  <c r="CI5" i="2"/>
  <c r="CJ5" i="2"/>
  <c r="CK5" i="2"/>
  <c r="CL5" i="2"/>
  <c r="CN5" i="2"/>
  <c r="CA6" i="2"/>
  <c r="CB6" i="2" a="1"/>
  <c r="CC6" i="2"/>
  <c r="CD6" i="2"/>
  <c r="CE6" i="2" a="1"/>
  <c r="CF6" i="2" s="1"/>
  <c r="CG6" i="2" a="1"/>
  <c r="CH6" i="2" a="1"/>
  <c r="CI6" i="2"/>
  <c r="CJ6" i="2"/>
  <c r="CK6" i="2"/>
  <c r="CL6" i="2"/>
  <c r="CN6" i="2"/>
  <c r="CA7" i="2"/>
  <c r="CB7" i="2" a="1"/>
  <c r="CC7" i="2"/>
  <c r="CD7" i="2"/>
  <c r="CE7" i="2" a="1"/>
  <c r="CF7" i="2" s="1"/>
  <c r="CG7" i="2" a="1"/>
  <c r="CH7" i="2" a="1"/>
  <c r="CI7" i="2"/>
  <c r="CJ7" i="2"/>
  <c r="CK7" i="2"/>
  <c r="CL7" i="2"/>
  <c r="CN7" i="2"/>
  <c r="CA8" i="2"/>
  <c r="CB8" i="2" a="1"/>
  <c r="CC8" i="2"/>
  <c r="CD8" i="2"/>
  <c r="CE8" i="2" a="1"/>
  <c r="CF8" i="2"/>
  <c r="CG8" i="2" a="1"/>
  <c r="CH8" i="2" a="1"/>
  <c r="CI8" i="2"/>
  <c r="CJ8" i="2"/>
  <c r="CK8" i="2"/>
  <c r="CL8" i="2"/>
  <c r="CN8" i="2"/>
  <c r="CA9" i="2"/>
  <c r="CB9" i="2" a="1"/>
  <c r="CC9" i="2"/>
  <c r="CD9" i="2"/>
  <c r="CE9" i="2" a="1"/>
  <c r="CF9" i="2"/>
  <c r="CG9" i="2" a="1"/>
  <c r="CH9" i="2" a="1"/>
  <c r="CI9" i="2"/>
  <c r="CJ9" i="2"/>
  <c r="CK9" i="2"/>
  <c r="CL9" i="2"/>
  <c r="CN9" i="2"/>
  <c r="CA10" i="2"/>
  <c r="CB10" i="2" a="1"/>
  <c r="CC10" i="2"/>
  <c r="CD10" i="2"/>
  <c r="CE10" i="2" a="1"/>
  <c r="CF10" i="2"/>
  <c r="CG10" i="2" a="1"/>
  <c r="CH10" i="2" a="1"/>
  <c r="CI10" i="2"/>
  <c r="CJ10" i="2"/>
  <c r="CK10" i="2"/>
  <c r="CL10" i="2"/>
  <c r="CN10" i="2"/>
  <c r="CA11" i="2"/>
  <c r="CB11" i="2" a="1"/>
  <c r="CC11" i="2"/>
  <c r="CD11" i="2"/>
  <c r="CE11" i="2" a="1"/>
  <c r="CF11" i="2"/>
  <c r="CG11" i="2" a="1"/>
  <c r="CH11" i="2" a="1"/>
  <c r="CI11" i="2"/>
  <c r="CJ11" i="2"/>
  <c r="CK11" i="2"/>
  <c r="CL11" i="2"/>
  <c r="CN11" i="2"/>
  <c r="CA12" i="2"/>
  <c r="CB12" i="2" a="1"/>
  <c r="CC12" i="2"/>
  <c r="CD12" i="2"/>
  <c r="CE12" i="2" a="1"/>
  <c r="CF12" i="2"/>
  <c r="CG12" i="2" a="1"/>
  <c r="CH12" i="2" a="1"/>
  <c r="CI12" i="2"/>
  <c r="CJ12" i="2"/>
  <c r="CK12" i="2"/>
  <c r="CL12" i="2"/>
  <c r="CN12" i="2"/>
  <c r="CA13" i="2"/>
  <c r="CB13" i="2" a="1"/>
  <c r="CC13" i="2"/>
  <c r="CD13" i="2"/>
  <c r="CE13" i="2" a="1"/>
  <c r="CF13" i="2" s="1"/>
  <c r="CG13" i="2" a="1"/>
  <c r="CH13" i="2" a="1"/>
  <c r="CI13" i="2"/>
  <c r="CJ13" i="2"/>
  <c r="CK13" i="2"/>
  <c r="CL13" i="2"/>
  <c r="CN13" i="2"/>
  <c r="CA14" i="2"/>
  <c r="CB14" i="2" a="1"/>
  <c r="CC14" i="2"/>
  <c r="CD14" i="2"/>
  <c r="CE14" i="2" a="1"/>
  <c r="CF14" i="2"/>
  <c r="CG14" i="2" a="1"/>
  <c r="CH14" i="2" a="1"/>
  <c r="CI14" i="2"/>
  <c r="CJ14" i="2"/>
  <c r="CK14" i="2"/>
  <c r="CL14" i="2"/>
  <c r="CN14" i="2"/>
  <c r="CA15" i="2"/>
  <c r="CB15" i="2" a="1"/>
  <c r="CC15" i="2"/>
  <c r="CD15" i="2"/>
  <c r="CE15" i="2" a="1"/>
  <c r="CF15" i="2" s="1"/>
  <c r="CG15" i="2" a="1"/>
  <c r="CH15" i="2" a="1"/>
  <c r="CI15" i="2"/>
  <c r="CJ15" i="2"/>
  <c r="CK15" i="2"/>
  <c r="CL15" i="2"/>
  <c r="CN15" i="2"/>
  <c r="CA16" i="2"/>
  <c r="CB16" i="2" a="1"/>
  <c r="CC16" i="2"/>
  <c r="CD16" i="2"/>
  <c r="CE16" i="2" a="1"/>
  <c r="CF16" i="2"/>
  <c r="CG16" i="2" a="1"/>
  <c r="CH16" i="2" a="1"/>
  <c r="CI16" i="2"/>
  <c r="CJ16" i="2"/>
  <c r="CK16" i="2"/>
  <c r="CL16" i="2"/>
  <c r="CN16" i="2"/>
  <c r="CA17" i="2"/>
  <c r="CB17" i="2" a="1"/>
  <c r="CC17" i="2"/>
  <c r="CD17" i="2"/>
  <c r="CE17" i="2" a="1"/>
  <c r="CF17" i="2"/>
  <c r="CG17" i="2" a="1"/>
  <c r="CH17" i="2" a="1"/>
  <c r="CI17" i="2"/>
  <c r="CJ17" i="2"/>
  <c r="CK17" i="2"/>
  <c r="CL17" i="2"/>
  <c r="CN17" i="2"/>
  <c r="CA18" i="2"/>
  <c r="CB18" i="2" a="1"/>
  <c r="CC18" i="2"/>
  <c r="CD18" i="2"/>
  <c r="CE18" i="2" a="1"/>
  <c r="CF18" i="2" s="1"/>
  <c r="CG18" i="2" a="1"/>
  <c r="CH18" i="2" a="1"/>
  <c r="CI18" i="2"/>
  <c r="CJ18" i="2"/>
  <c r="CK18" i="2"/>
  <c r="CL18" i="2"/>
  <c r="CN18" i="2"/>
  <c r="CA19" i="2"/>
  <c r="CB19" i="2" a="1"/>
  <c r="CC19" i="2"/>
  <c r="CD19" i="2"/>
  <c r="CE19" i="2" a="1"/>
  <c r="CF19" i="2" s="1"/>
  <c r="CG19" i="2" a="1"/>
  <c r="CH19" i="2" a="1"/>
  <c r="CI19" i="2"/>
  <c r="CJ19" i="2"/>
  <c r="CK19" i="2"/>
  <c r="CL19" i="2"/>
  <c r="CN19" i="2"/>
  <c r="CA20" i="2"/>
  <c r="CB20" i="2" a="1"/>
  <c r="CC20" i="2"/>
  <c r="CD20" i="2"/>
  <c r="CE20" i="2" a="1"/>
  <c r="CF20" i="2" s="1"/>
  <c r="CG20" i="2" a="1"/>
  <c r="CH20" i="2" a="1"/>
  <c r="CI20" i="2"/>
  <c r="CJ20" i="2"/>
  <c r="CK20" i="2"/>
  <c r="CL20" i="2"/>
  <c r="CN20" i="2"/>
  <c r="CA21" i="2"/>
  <c r="CB21" i="2" a="1"/>
  <c r="CC21" i="2"/>
  <c r="CD21" i="2"/>
  <c r="CE21" i="2" a="1"/>
  <c r="CF21" i="2" s="1"/>
  <c r="CG21" i="2" a="1"/>
  <c r="CH21" i="2" a="1"/>
  <c r="CI21" i="2"/>
  <c r="CJ21" i="2"/>
  <c r="CK21" i="2"/>
  <c r="CL21" i="2"/>
  <c r="CN21" i="2"/>
  <c r="CA22" i="2"/>
  <c r="CB22" i="2" a="1"/>
  <c r="CC22" i="2"/>
  <c r="CD22" i="2" s="1"/>
  <c r="CE22" i="2" a="1"/>
  <c r="CF22" i="2" s="1"/>
  <c r="CG22" i="2" a="1"/>
  <c r="CH22" i="2" a="1"/>
  <c r="CI22" i="2"/>
  <c r="CJ22" i="2"/>
  <c r="CK22" i="2"/>
  <c r="CL22" i="2"/>
  <c r="CN22" i="2"/>
  <c r="CA23" i="2"/>
  <c r="CB23" i="2" a="1"/>
  <c r="CC23" i="2"/>
  <c r="CD23" i="2" s="1"/>
  <c r="CE23" i="2" a="1"/>
  <c r="CF23" i="2"/>
  <c r="CG23" i="2" a="1"/>
  <c r="CH23" i="2" a="1"/>
  <c r="CI23" i="2"/>
  <c r="CJ23" i="2"/>
  <c r="CK23" i="2"/>
  <c r="CL23" i="2"/>
  <c r="CN23" i="2"/>
  <c r="CA24" i="2"/>
  <c r="CB24" i="2" a="1"/>
  <c r="CC24" i="2"/>
  <c r="CD24" i="2" s="1"/>
  <c r="CE24" i="2" a="1"/>
  <c r="CF24" i="2" s="1"/>
  <c r="CG24" i="2" a="1"/>
  <c r="CH24" i="2" a="1"/>
  <c r="CI24" i="2"/>
  <c r="CJ24" i="2"/>
  <c r="CK24" i="2"/>
  <c r="CL24" i="2"/>
  <c r="CN24" i="2"/>
  <c r="CA25" i="2"/>
  <c r="CB25" i="2" a="1"/>
  <c r="CC25" i="2"/>
  <c r="CD25" i="2"/>
  <c r="CE25" i="2" a="1"/>
  <c r="CF25" i="2" s="1"/>
  <c r="CG25" i="2" a="1"/>
  <c r="CH25" i="2" a="1"/>
  <c r="CI25" i="2"/>
  <c r="CJ25" i="2"/>
  <c r="CK25" i="2"/>
  <c r="CL25" i="2"/>
  <c r="CN25" i="2"/>
  <c r="CA26" i="2"/>
  <c r="CB26" i="2" a="1"/>
  <c r="CC26" i="2"/>
  <c r="CD26" i="2"/>
  <c r="CE26" i="2" a="1"/>
  <c r="CF26" i="2" s="1"/>
  <c r="CG26" i="2" a="1"/>
  <c r="CH26" i="2" a="1"/>
  <c r="CI26" i="2"/>
  <c r="CJ26" i="2"/>
  <c r="CK26" i="2"/>
  <c r="CL26" i="2"/>
  <c r="CN26" i="2"/>
  <c r="CA27" i="2"/>
  <c r="CB27" i="2" a="1"/>
  <c r="CC27" i="2"/>
  <c r="CD27" i="2" s="1"/>
  <c r="CE27" i="2" a="1"/>
  <c r="CF27" i="2"/>
  <c r="CG27" i="2" a="1"/>
  <c r="CH27" i="2" a="1"/>
  <c r="CI27" i="2"/>
  <c r="CJ27" i="2"/>
  <c r="CK27" i="2"/>
  <c r="CL27" i="2"/>
  <c r="CN27" i="2"/>
  <c r="CA28" i="2"/>
  <c r="CB28" i="2" a="1"/>
  <c r="CC28" i="2"/>
  <c r="CD28" i="2"/>
  <c r="CE28" i="2" a="1"/>
  <c r="CF28" i="2"/>
  <c r="CG28" i="2" a="1"/>
  <c r="CH28" i="2" a="1"/>
  <c r="CI28" i="2"/>
  <c r="CJ28" i="2"/>
  <c r="CK28" i="2"/>
  <c r="CL28" i="2"/>
  <c r="CN28" i="2"/>
  <c r="CA29" i="2"/>
  <c r="CB29" i="2" a="1"/>
  <c r="CC29" i="2"/>
  <c r="CD29" i="2"/>
  <c r="CE29" i="2" a="1"/>
  <c r="CF29" i="2"/>
  <c r="CG29" i="2" a="1"/>
  <c r="CH29" i="2" a="1"/>
  <c r="CI29" i="2"/>
  <c r="CJ29" i="2"/>
  <c r="CK29" i="2"/>
  <c r="CL29" i="2"/>
  <c r="CN29" i="2"/>
  <c r="CA30" i="2"/>
  <c r="CB30" i="2" a="1"/>
  <c r="CC30" i="2"/>
  <c r="CD30" i="2"/>
  <c r="CE30" i="2" a="1"/>
  <c r="CF30" i="2"/>
  <c r="CG30" i="2" a="1"/>
  <c r="CH30" i="2" a="1"/>
  <c r="CI30" i="2"/>
  <c r="CJ30" i="2"/>
  <c r="CK30" i="2"/>
  <c r="CL30" i="2"/>
  <c r="CN30" i="2"/>
  <c r="CA31" i="2"/>
  <c r="CB31" i="2" a="1"/>
  <c r="CC31" i="2"/>
  <c r="CD31" i="2"/>
  <c r="CE31" i="2" a="1"/>
  <c r="CF31" i="2"/>
  <c r="CG31" i="2" a="1"/>
  <c r="CH31" i="2" a="1"/>
  <c r="CI31" i="2"/>
  <c r="CJ31" i="2"/>
  <c r="CK31" i="2"/>
  <c r="CL31" i="2"/>
  <c r="CN31" i="2"/>
  <c r="CA32" i="2"/>
  <c r="CB32" i="2" a="1"/>
  <c r="CC32" i="2"/>
  <c r="CD32" i="2"/>
  <c r="CE32" i="2" a="1"/>
  <c r="CF32" i="2"/>
  <c r="CG32" i="2" a="1"/>
  <c r="CH32" i="2" a="1"/>
  <c r="CI32" i="2"/>
  <c r="CJ32" i="2"/>
  <c r="CK32" i="2"/>
  <c r="CL32" i="2"/>
  <c r="CN32" i="2"/>
  <c r="CA33" i="2"/>
  <c r="CB33" i="2" a="1"/>
  <c r="CC33" i="2"/>
  <c r="CD33" i="2"/>
  <c r="CE33" i="2" a="1"/>
  <c r="CF33" i="2"/>
  <c r="CG33" i="2" a="1"/>
  <c r="CH33" i="2" a="1"/>
  <c r="CI33" i="2"/>
  <c r="CJ33" i="2"/>
  <c r="CK33" i="2"/>
  <c r="CL33" i="2"/>
  <c r="CN33" i="2"/>
  <c r="CA34" i="2"/>
  <c r="CB34" i="2" a="1"/>
  <c r="CC34" i="2"/>
  <c r="CD34" i="2"/>
  <c r="CE34" i="2" a="1"/>
  <c r="CF34" i="2"/>
  <c r="CG34" i="2" a="1"/>
  <c r="CH34" i="2" a="1"/>
  <c r="CI34" i="2"/>
  <c r="CJ34" i="2"/>
  <c r="CK34" i="2"/>
  <c r="CL34" i="2"/>
  <c r="CN34" i="2"/>
  <c r="CA35" i="2"/>
  <c r="CB35" i="2" a="1"/>
  <c r="CC35" i="2"/>
  <c r="CD35" i="2"/>
  <c r="CE35" i="2" a="1"/>
  <c r="CF35" i="2"/>
  <c r="CG35" i="2" a="1"/>
  <c r="CH35" i="2" a="1"/>
  <c r="CI35" i="2"/>
  <c r="CJ35" i="2"/>
  <c r="CK35" i="2"/>
  <c r="CL35" i="2"/>
  <c r="CN35" i="2"/>
  <c r="CA36" i="2"/>
  <c r="CB36" i="2" a="1"/>
  <c r="CC36" i="2"/>
  <c r="CD36" i="2"/>
  <c r="CE36" i="2" a="1"/>
  <c r="CF36" i="2" s="1"/>
  <c r="CG36" i="2" a="1"/>
  <c r="CH36" i="2" a="1"/>
  <c r="CI36" i="2"/>
  <c r="CJ36" i="2"/>
  <c r="CK36" i="2"/>
  <c r="CL36" i="2"/>
  <c r="CN36" i="2"/>
  <c r="CA37" i="2"/>
  <c r="CB37" i="2" a="1"/>
  <c r="CC37" i="2"/>
  <c r="CD37" i="2"/>
  <c r="CE37" i="2" a="1"/>
  <c r="CF37" i="2" s="1"/>
  <c r="CG37" i="2" a="1"/>
  <c r="CH37" i="2" a="1"/>
  <c r="CI37" i="2"/>
  <c r="CJ37" i="2"/>
  <c r="CK37" i="2"/>
  <c r="CL37" i="2"/>
  <c r="CN37" i="2"/>
  <c r="CA38" i="2"/>
  <c r="CB38" i="2" a="1"/>
  <c r="CC38" i="2"/>
  <c r="CD38" i="2"/>
  <c r="CE38" i="2" a="1"/>
  <c r="CF38" i="2"/>
  <c r="CG38" i="2" a="1"/>
  <c r="CH38" i="2" a="1"/>
  <c r="CI38" i="2"/>
  <c r="CJ38" i="2"/>
  <c r="CK38" i="2"/>
  <c r="CL38" i="2"/>
  <c r="CN38" i="2"/>
  <c r="CA39" i="2"/>
  <c r="CB39" i="2" a="1"/>
  <c r="CC39" i="2"/>
  <c r="CD39" i="2"/>
  <c r="CE39" i="2" a="1"/>
  <c r="CF39" i="2"/>
  <c r="CG39" i="2" a="1"/>
  <c r="CH39" i="2" a="1"/>
  <c r="CI39" i="2"/>
  <c r="CJ39" i="2"/>
  <c r="CK39" i="2"/>
  <c r="CL39" i="2"/>
  <c r="CN39" i="2"/>
  <c r="CA40" i="2"/>
  <c r="CB40" i="2" a="1"/>
  <c r="CC40" i="2"/>
  <c r="CD40" i="2"/>
  <c r="CE40" i="2" a="1"/>
  <c r="CF40" i="2"/>
  <c r="CG40" i="2" a="1"/>
  <c r="CH40" i="2" a="1"/>
  <c r="CI40" i="2"/>
  <c r="CJ40" i="2"/>
  <c r="CK40" i="2"/>
  <c r="CL40" i="2"/>
  <c r="CN40" i="2"/>
  <c r="CA41" i="2"/>
  <c r="CB41" i="2" a="1"/>
  <c r="CC41" i="2"/>
  <c r="CD41" i="2"/>
  <c r="CE41" i="2" a="1"/>
  <c r="CF41" i="2"/>
  <c r="CG41" i="2" a="1"/>
  <c r="CH41" i="2" a="1"/>
  <c r="CI41" i="2"/>
  <c r="CJ41" i="2"/>
  <c r="CK41" i="2"/>
  <c r="CL41" i="2"/>
  <c r="CN41" i="2"/>
  <c r="CA42" i="2"/>
  <c r="CB42" i="2" a="1"/>
  <c r="CC42" i="2"/>
  <c r="CD42" i="2"/>
  <c r="CE42" i="2" a="1"/>
  <c r="CF42" i="2" s="1"/>
  <c r="CG42" i="2" a="1"/>
  <c r="CH42" i="2" a="1"/>
  <c r="CI42" i="2"/>
  <c r="CJ42" i="2"/>
  <c r="CK42" i="2"/>
  <c r="CL42" i="2"/>
  <c r="CN42" i="2"/>
  <c r="CA43" i="2"/>
  <c r="CB43" i="2" a="1"/>
  <c r="CC43" i="2"/>
  <c r="CD43" i="2"/>
  <c r="CE43" i="2" a="1"/>
  <c r="CF43" i="2" s="1"/>
  <c r="CG43" i="2" a="1"/>
  <c r="CH43" i="2" a="1"/>
  <c r="CI43" i="2"/>
  <c r="CJ43" i="2"/>
  <c r="CK43" i="2"/>
  <c r="CL43" i="2"/>
  <c r="CN43" i="2"/>
  <c r="CA44" i="2"/>
  <c r="CB44" i="2" a="1"/>
  <c r="CC44" i="2"/>
  <c r="CD44" i="2"/>
  <c r="CE44" i="2" a="1"/>
  <c r="CF44" i="2" s="1"/>
  <c r="CG44" i="2" a="1"/>
  <c r="CH44" i="2" a="1"/>
  <c r="CI44" i="2"/>
  <c r="CJ44" i="2"/>
  <c r="CK44" i="2"/>
  <c r="CL44" i="2"/>
  <c r="CN44" i="2"/>
  <c r="CA45" i="2"/>
  <c r="CB45" i="2" a="1"/>
  <c r="CC45" i="2"/>
  <c r="CD45" i="2"/>
  <c r="CE45" i="2" a="1"/>
  <c r="CF45" i="2"/>
  <c r="CG45" i="2" a="1"/>
  <c r="CH45" i="2" a="1"/>
  <c r="CI45" i="2"/>
  <c r="CJ45" i="2"/>
  <c r="CK45" i="2"/>
  <c r="CL45" i="2"/>
  <c r="CN45" i="2"/>
  <c r="CA46" i="2"/>
  <c r="CB46" i="2" a="1"/>
  <c r="CC46" i="2"/>
  <c r="CD46" i="2"/>
  <c r="CE46" i="2" a="1"/>
  <c r="CF46" i="2"/>
  <c r="CG46" i="2" a="1"/>
  <c r="CH46" i="2" a="1"/>
  <c r="CI46" i="2"/>
  <c r="CJ46" i="2"/>
  <c r="CK46" i="2"/>
  <c r="CL46" i="2"/>
  <c r="CN46" i="2"/>
  <c r="CA47" i="2"/>
  <c r="CB47" i="2" a="1"/>
  <c r="CC47" i="2"/>
  <c r="CD47" i="2"/>
  <c r="CE47" i="2" a="1"/>
  <c r="CF47" i="2" s="1"/>
  <c r="CG47" i="2" a="1"/>
  <c r="CH47" i="2" a="1"/>
  <c r="CI47" i="2"/>
  <c r="CJ47" i="2"/>
  <c r="CK47" i="2"/>
  <c r="CL47" i="2"/>
  <c r="CN47" i="2"/>
  <c r="CA48" i="2"/>
  <c r="CB48" i="2" a="1"/>
  <c r="CC48" i="2"/>
  <c r="CD48" i="2"/>
  <c r="CE48" i="2" a="1"/>
  <c r="CF48" i="2" s="1"/>
  <c r="CG48" i="2" a="1"/>
  <c r="CH48" i="2" a="1"/>
  <c r="CI48" i="2"/>
  <c r="CJ48" i="2"/>
  <c r="CK48" i="2"/>
  <c r="CL48" i="2"/>
  <c r="CN48" i="2"/>
  <c r="CA49" i="2"/>
  <c r="CB49" i="2" a="1"/>
  <c r="CC49" i="2"/>
  <c r="CD49" i="2"/>
  <c r="CE49" i="2" a="1"/>
  <c r="CF49" i="2"/>
  <c r="CG49" i="2" a="1"/>
  <c r="CH49" i="2" a="1"/>
  <c r="CI49" i="2"/>
  <c r="CJ49" i="2"/>
  <c r="CK49" i="2"/>
  <c r="CL49" i="2"/>
  <c r="CN49" i="2"/>
  <c r="CA50" i="2"/>
  <c r="CB50" i="2" a="1"/>
  <c r="CC50" i="2"/>
  <c r="CD50" i="2"/>
  <c r="CE50" i="2" a="1"/>
  <c r="CF50" i="2"/>
  <c r="CG50" i="2" a="1"/>
  <c r="CH50" i="2" a="1"/>
  <c r="CI50" i="2"/>
  <c r="CJ50" i="2"/>
  <c r="CK50" i="2"/>
  <c r="CL50" i="2"/>
  <c r="CN50" i="2"/>
  <c r="CA51" i="2"/>
  <c r="CB51" i="2" a="1"/>
  <c r="CC51" i="2"/>
  <c r="CD51" i="2"/>
  <c r="CE51" i="2" a="1"/>
  <c r="CF51" i="2"/>
  <c r="CG51" i="2" a="1"/>
  <c r="CH51" i="2" a="1"/>
  <c r="CI51" i="2"/>
  <c r="CJ51" i="2"/>
  <c r="CK51" i="2"/>
  <c r="CL51" i="2"/>
  <c r="CN51" i="2"/>
  <c r="CA52" i="2"/>
  <c r="CB52" i="2" a="1"/>
  <c r="CC52" i="2"/>
  <c r="CD52" i="2"/>
  <c r="CE52" i="2" a="1"/>
  <c r="CF52" i="2"/>
  <c r="CG52" i="2" a="1"/>
  <c r="CH52" i="2" a="1"/>
  <c r="CI52" i="2"/>
  <c r="CJ52" i="2"/>
  <c r="CK52" i="2"/>
  <c r="CL52" i="2"/>
  <c r="CN52" i="2"/>
  <c r="CA53" i="2"/>
  <c r="CB53" i="2" a="1"/>
  <c r="CC53" i="2"/>
  <c r="CD53" i="2"/>
  <c r="CE53" i="2" a="1"/>
  <c r="CF53" i="2"/>
  <c r="CG53" i="2" a="1"/>
  <c r="CH53" i="2" a="1"/>
  <c r="CI53" i="2"/>
  <c r="CJ53" i="2"/>
  <c r="CK53" i="2"/>
  <c r="CL53" i="2"/>
  <c r="CN53" i="2"/>
  <c r="CA54" i="2"/>
  <c r="CB54" i="2" a="1"/>
  <c r="CC54" i="2"/>
  <c r="CD54" i="2"/>
  <c r="CE54" i="2" a="1"/>
  <c r="CF54" i="2"/>
  <c r="CG54" i="2" a="1"/>
  <c r="CH54" i="2" a="1"/>
  <c r="CI54" i="2"/>
  <c r="CJ54" i="2"/>
  <c r="CK54" i="2"/>
  <c r="CL54" i="2"/>
  <c r="CN54" i="2"/>
  <c r="CA55" i="2"/>
  <c r="CB55" i="2" a="1"/>
  <c r="CC55" i="2"/>
  <c r="CD55" i="2"/>
  <c r="CE55" i="2" a="1"/>
  <c r="CF55" i="2"/>
  <c r="CG55" i="2" a="1"/>
  <c r="CH55" i="2" a="1"/>
  <c r="CI55" i="2"/>
  <c r="CJ55" i="2"/>
  <c r="CK55" i="2"/>
  <c r="CL55" i="2"/>
  <c r="CN55" i="2"/>
  <c r="CA56" i="2"/>
  <c r="CB56" i="2" a="1"/>
  <c r="CC56" i="2"/>
  <c r="CD56" i="2"/>
  <c r="CE56" i="2" a="1"/>
  <c r="CF56" i="2"/>
  <c r="CG56" i="2" a="1"/>
  <c r="CH56" i="2" a="1"/>
  <c r="CI56" i="2"/>
  <c r="CJ56" i="2"/>
  <c r="CK56" i="2"/>
  <c r="CL56" i="2"/>
  <c r="CN56" i="2"/>
  <c r="CA57" i="2"/>
  <c r="CB57" i="2" a="1"/>
  <c r="CC57" i="2"/>
  <c r="CD57" i="2"/>
  <c r="CE57" i="2" a="1"/>
  <c r="CF57" i="2"/>
  <c r="CG57" i="2" a="1"/>
  <c r="CH57" i="2" a="1"/>
  <c r="CI57" i="2"/>
  <c r="CJ57" i="2"/>
  <c r="CK57" i="2"/>
  <c r="CL57" i="2"/>
  <c r="CN57" i="2"/>
  <c r="CA58" i="2"/>
  <c r="CB58" i="2" a="1"/>
  <c r="CC58" i="2"/>
  <c r="CD58" i="2"/>
  <c r="CE58" i="2" a="1"/>
  <c r="CF58" i="2"/>
  <c r="CG58" i="2" a="1"/>
  <c r="CH58" i="2" a="1"/>
  <c r="CI58" i="2"/>
  <c r="CJ58" i="2"/>
  <c r="CK58" i="2"/>
  <c r="CL58" i="2"/>
  <c r="CN58" i="2"/>
  <c r="CA59" i="2"/>
  <c r="CB59" i="2" a="1"/>
  <c r="CC59" i="2"/>
  <c r="CD59" i="2"/>
  <c r="CE59" i="2" a="1"/>
  <c r="CF59" i="2" s="1"/>
  <c r="CG59" i="2" a="1"/>
  <c r="CH59" i="2" a="1"/>
  <c r="CI59" i="2"/>
  <c r="CJ59" i="2"/>
  <c r="CK59" i="2"/>
  <c r="CL59" i="2"/>
  <c r="CN59" i="2"/>
  <c r="CA60" i="2"/>
  <c r="CB60" i="2" a="1"/>
  <c r="CC60" i="2"/>
  <c r="CD60" i="2"/>
  <c r="CE60" i="2" a="1"/>
  <c r="CF60" i="2"/>
  <c r="CG60" i="2" a="1"/>
  <c r="CH60" i="2" a="1"/>
  <c r="CI60" i="2"/>
  <c r="CJ60" i="2"/>
  <c r="CK60" i="2"/>
  <c r="CL60" i="2"/>
  <c r="CN60" i="2"/>
  <c r="CA61" i="2"/>
  <c r="CB61" i="2" a="1"/>
  <c r="CC61" i="2"/>
  <c r="CD61" i="2"/>
  <c r="CE61" i="2" a="1"/>
  <c r="CF61" i="2" s="1"/>
  <c r="CG61" i="2" a="1"/>
  <c r="CH61" i="2" a="1"/>
  <c r="CI61" i="2"/>
  <c r="CJ61" i="2"/>
  <c r="CK61" i="2"/>
  <c r="CL61" i="2"/>
  <c r="CN61" i="2"/>
  <c r="CA62" i="2"/>
  <c r="CB62" i="2" a="1"/>
  <c r="CC62" i="2"/>
  <c r="CD62" i="2" s="1"/>
  <c r="CE62" i="2" a="1"/>
  <c r="CF62" i="2" s="1"/>
  <c r="CG62" i="2" a="1"/>
  <c r="CH62" i="2" a="1"/>
  <c r="CI62" i="2"/>
  <c r="CJ62" i="2"/>
  <c r="CK62" i="2"/>
  <c r="CL62" i="2"/>
  <c r="CN62" i="2"/>
  <c r="CA63" i="2"/>
  <c r="CB63" i="2" a="1"/>
  <c r="CC63" i="2"/>
  <c r="CD63" i="2"/>
  <c r="CE63" i="2" a="1"/>
  <c r="CF63" i="2" s="1"/>
  <c r="CG63" i="2" a="1"/>
  <c r="CH63" i="2" a="1"/>
  <c r="CI63" i="2"/>
  <c r="CJ63" i="2"/>
  <c r="CK63" i="2"/>
  <c r="CL63" i="2"/>
  <c r="CN63" i="2"/>
  <c r="CA64" i="2"/>
  <c r="CB64" i="2" a="1"/>
  <c r="CC64" i="2"/>
  <c r="CD64" i="2"/>
  <c r="CE64" i="2" a="1"/>
  <c r="CF64" i="2"/>
  <c r="CG64" i="2" a="1"/>
  <c r="CH64" i="2" a="1"/>
  <c r="CI64" i="2"/>
  <c r="CJ64" i="2"/>
  <c r="CK64" i="2"/>
  <c r="CL64" i="2"/>
  <c r="CN64" i="2"/>
  <c r="CA65" i="2"/>
  <c r="CB65" i="2" a="1"/>
  <c r="CC65" i="2"/>
  <c r="CD65" i="2" s="1"/>
  <c r="CE65" i="2" a="1"/>
  <c r="CF65" i="2" s="1"/>
  <c r="CG65" i="2" a="1"/>
  <c r="CH65" i="2" a="1"/>
  <c r="CI65" i="2"/>
  <c r="CJ65" i="2"/>
  <c r="CK65" i="2"/>
  <c r="CL65" i="2"/>
  <c r="CN65" i="2"/>
  <c r="CA66" i="2"/>
  <c r="CB66" i="2" a="1"/>
  <c r="CC66" i="2"/>
  <c r="CD66" i="2"/>
  <c r="CE66" i="2" a="1"/>
  <c r="CF66" i="2" s="1"/>
  <c r="CG66" i="2" a="1"/>
  <c r="CH66" i="2" a="1"/>
  <c r="CI66" i="2"/>
  <c r="CJ66" i="2"/>
  <c r="CK66" i="2"/>
  <c r="CL66" i="2"/>
  <c r="CN66" i="2"/>
  <c r="CA67" i="2"/>
  <c r="CB67" i="2" a="1"/>
  <c r="CC67" i="2"/>
  <c r="CD67" i="2"/>
  <c r="CE67" i="2" a="1"/>
  <c r="CF67" i="2" s="1"/>
  <c r="CG67" i="2" a="1"/>
  <c r="CH67" i="2" a="1"/>
  <c r="CI67" i="2"/>
  <c r="CJ67" i="2"/>
  <c r="CK67" i="2"/>
  <c r="CL67" i="2"/>
  <c r="CN67" i="2"/>
  <c r="CA68" i="2"/>
  <c r="CB68" i="2" a="1"/>
  <c r="CC68" i="2"/>
  <c r="CD68" i="2"/>
  <c r="CE68" i="2" a="1"/>
  <c r="CF68" i="2" s="1"/>
  <c r="CG68" i="2" a="1"/>
  <c r="CH68" i="2" a="1"/>
  <c r="CI68" i="2"/>
  <c r="CJ68" i="2"/>
  <c r="CK68" i="2"/>
  <c r="CL68" i="2"/>
  <c r="CN68" i="2"/>
  <c r="CA69" i="2"/>
  <c r="CB69" i="2" a="1"/>
  <c r="CC69" i="2"/>
  <c r="CD69" i="2"/>
  <c r="CE69" i="2" a="1"/>
  <c r="CF69" i="2" s="1"/>
  <c r="CG69" i="2" a="1"/>
  <c r="CH69" i="2" a="1"/>
  <c r="CI69" i="2"/>
  <c r="CJ69" i="2"/>
  <c r="CK69" i="2"/>
  <c r="CL69" i="2"/>
  <c r="CN69" i="2"/>
  <c r="CA70" i="2"/>
  <c r="CB70" i="2" a="1"/>
  <c r="CC70" i="2"/>
  <c r="CD70" i="2"/>
  <c r="CE70" i="2" a="1"/>
  <c r="CF70" i="2" s="1"/>
  <c r="CG70" i="2" a="1"/>
  <c r="CH70" i="2" a="1"/>
  <c r="CI70" i="2"/>
  <c r="CJ70" i="2"/>
  <c r="CK70" i="2"/>
  <c r="CL70" i="2"/>
  <c r="CN70" i="2"/>
  <c r="CA71" i="2"/>
  <c r="CB71" i="2" a="1"/>
  <c r="CC71" i="2"/>
  <c r="CD71" i="2"/>
  <c r="CE71" i="2" a="1"/>
  <c r="CF71" i="2" s="1"/>
  <c r="CG71" i="2" a="1"/>
  <c r="CH71" i="2" a="1"/>
  <c r="CI71" i="2"/>
  <c r="CJ71" i="2"/>
  <c r="CK71" i="2"/>
  <c r="CL71" i="2"/>
  <c r="CN71" i="2"/>
  <c r="CA72" i="2"/>
  <c r="CB72" i="2" a="1"/>
  <c r="CC72" i="2"/>
  <c r="CD72" i="2"/>
  <c r="CE72" i="2" a="1"/>
  <c r="CF72" i="2" s="1"/>
  <c r="CG72" i="2" a="1"/>
  <c r="CH72" i="2" a="1"/>
  <c r="CI72" i="2"/>
  <c r="CJ72" i="2"/>
  <c r="CK72" i="2"/>
  <c r="CL72" i="2"/>
  <c r="CN72" i="2"/>
  <c r="CA73" i="2"/>
  <c r="CB73" i="2" a="1"/>
  <c r="CC73" i="2"/>
  <c r="CD73" i="2"/>
  <c r="CE73" i="2" a="1"/>
  <c r="CF73" i="2" s="1"/>
  <c r="CG73" i="2" a="1"/>
  <c r="CH73" i="2" a="1"/>
  <c r="CI73" i="2"/>
  <c r="CJ73" i="2"/>
  <c r="CK73" i="2"/>
  <c r="CL73" i="2"/>
  <c r="CN73" i="2"/>
  <c r="CA74" i="2"/>
  <c r="CB74" i="2" a="1"/>
  <c r="CC74" i="2"/>
  <c r="CD74" i="2"/>
  <c r="CE74" i="2" a="1"/>
  <c r="CF74" i="2"/>
  <c r="CG74" i="2" a="1"/>
  <c r="CH74" i="2" a="1"/>
  <c r="CI74" i="2"/>
  <c r="CJ74" i="2"/>
  <c r="CK74" i="2"/>
  <c r="CL74" i="2"/>
  <c r="CN74" i="2"/>
  <c r="CA75" i="2"/>
  <c r="CB75" i="2" a="1"/>
  <c r="CC75" i="2"/>
  <c r="CD75" i="2"/>
  <c r="CE75" i="2" a="1"/>
  <c r="CF75" i="2"/>
  <c r="CG75" i="2" a="1"/>
  <c r="CH75" i="2" a="1"/>
  <c r="CI75" i="2"/>
  <c r="CJ75" i="2"/>
  <c r="CK75" i="2"/>
  <c r="CL75" i="2"/>
  <c r="CN75" i="2"/>
  <c r="CA76" i="2"/>
  <c r="CB76" i="2" a="1"/>
  <c r="CC76" i="2"/>
  <c r="CD76" i="2"/>
  <c r="CE76" i="2" a="1"/>
  <c r="CF76" i="2"/>
  <c r="CG76" i="2" a="1"/>
  <c r="CH76" i="2" a="1"/>
  <c r="CI76" i="2"/>
  <c r="CJ76" i="2"/>
  <c r="CK76" i="2"/>
  <c r="CL76" i="2"/>
  <c r="CN76" i="2"/>
  <c r="CA77" i="2"/>
  <c r="CB77" i="2" a="1"/>
  <c r="CC77" i="2"/>
  <c r="CD77" i="2"/>
  <c r="CE77" i="2" a="1"/>
  <c r="CF77" i="2"/>
  <c r="CG77" i="2" a="1"/>
  <c r="CH77" i="2" a="1"/>
  <c r="CI77" i="2"/>
  <c r="CJ77" i="2"/>
  <c r="CK77" i="2"/>
  <c r="CL77" i="2"/>
  <c r="CN77" i="2"/>
  <c r="CA78" i="2"/>
  <c r="CB78" i="2" a="1"/>
  <c r="CC78" i="2"/>
  <c r="CD78" i="2"/>
  <c r="CE78" i="2" a="1"/>
  <c r="CF78" i="2"/>
  <c r="CG78" i="2" a="1"/>
  <c r="CH78" i="2" a="1"/>
  <c r="CI78" i="2"/>
  <c r="CJ78" i="2"/>
  <c r="CK78" i="2"/>
  <c r="CL78" i="2"/>
  <c r="CN78" i="2"/>
  <c r="CA79" i="2"/>
  <c r="CB79" i="2" a="1"/>
  <c r="CC79" i="2"/>
  <c r="CD79" i="2"/>
  <c r="CE79" i="2" a="1"/>
  <c r="CF79" i="2" s="1"/>
  <c r="CG79" i="2" a="1"/>
  <c r="CH79" i="2" a="1"/>
  <c r="CI79" i="2"/>
  <c r="CJ79" i="2"/>
  <c r="CK79" i="2"/>
  <c r="CL79" i="2"/>
  <c r="CN79" i="2"/>
  <c r="CA80" i="2"/>
  <c r="CB80" i="2" a="1"/>
  <c r="CC80" i="2"/>
  <c r="CD80" i="2"/>
  <c r="CE80" i="2" a="1"/>
  <c r="CF80" i="2" s="1"/>
  <c r="CG80" i="2" a="1"/>
  <c r="CH80" i="2" a="1"/>
  <c r="CI80" i="2"/>
  <c r="CJ80" i="2"/>
  <c r="CK80" i="2"/>
  <c r="CL80" i="2"/>
  <c r="CN80" i="2"/>
  <c r="CA81" i="2"/>
  <c r="CB81" i="2" a="1"/>
  <c r="CC81" i="2"/>
  <c r="CD81" i="2"/>
  <c r="CE81" i="2" a="1"/>
  <c r="CF81" i="2" s="1"/>
  <c r="CG81" i="2" a="1"/>
  <c r="CH81" i="2" a="1"/>
  <c r="CI81" i="2"/>
  <c r="CJ81" i="2"/>
  <c r="CK81" i="2"/>
  <c r="CL81" i="2"/>
  <c r="CN81" i="2"/>
  <c r="CA82" i="2"/>
  <c r="CB82" i="2" a="1"/>
  <c r="CC82" i="2"/>
  <c r="CD82" i="2"/>
  <c r="CE82" i="2" a="1"/>
  <c r="CF82" i="2" s="1"/>
  <c r="CG82" i="2" a="1"/>
  <c r="CH82" i="2" a="1"/>
  <c r="CI82" i="2"/>
  <c r="CJ82" i="2"/>
  <c r="CK82" i="2"/>
  <c r="CL82" i="2"/>
  <c r="CN82" i="2"/>
  <c r="CA83" i="2"/>
  <c r="CB83" i="2" a="1"/>
  <c r="CC83" i="2"/>
  <c r="CD83" i="2"/>
  <c r="CE83" i="2" a="1"/>
  <c r="CF83" i="2" s="1"/>
  <c r="CG83" i="2" a="1"/>
  <c r="CH83" i="2" a="1"/>
  <c r="CI83" i="2"/>
  <c r="CJ83" i="2"/>
  <c r="CK83" i="2"/>
  <c r="CL83" i="2"/>
  <c r="CN83" i="2"/>
  <c r="CA84" i="2"/>
  <c r="CB84" i="2" a="1"/>
  <c r="CC84" i="2"/>
  <c r="CD84" i="2"/>
  <c r="CE84" i="2" a="1"/>
  <c r="CF84" i="2" s="1"/>
  <c r="CG84" i="2" a="1"/>
  <c r="CH84" i="2" a="1"/>
  <c r="CI84" i="2"/>
  <c r="CJ84" i="2"/>
  <c r="CK84" i="2"/>
  <c r="CL84" i="2"/>
  <c r="CN84" i="2"/>
  <c r="CA85" i="2"/>
  <c r="CB85" i="2" a="1"/>
  <c r="CC85" i="2"/>
  <c r="CD85" i="2"/>
  <c r="CE85" i="2" a="1"/>
  <c r="CF85" i="2" s="1"/>
  <c r="CG85" i="2" a="1"/>
  <c r="CH85" i="2" a="1"/>
  <c r="CI85" i="2"/>
  <c r="CJ85" i="2"/>
  <c r="CK85" i="2"/>
  <c r="CL85" i="2"/>
  <c r="CN85" i="2"/>
  <c r="CA86" i="2"/>
  <c r="CB86" i="2" a="1"/>
  <c r="CC86" i="2"/>
  <c r="CD86" i="2"/>
  <c r="CE86" i="2" a="1"/>
  <c r="CF86" i="2" s="1"/>
  <c r="CG86" i="2" a="1"/>
  <c r="CH86" i="2" a="1"/>
  <c r="CI86" i="2"/>
  <c r="CJ86" i="2"/>
  <c r="CK86" i="2"/>
  <c r="CL86" i="2"/>
  <c r="CN86" i="2"/>
  <c r="CA87" i="2"/>
  <c r="CB87" i="2" a="1"/>
  <c r="CC87" i="2"/>
  <c r="CD87" i="2"/>
  <c r="CE87" i="2" a="1"/>
  <c r="CF87" i="2" s="1"/>
  <c r="CG87" i="2" a="1"/>
  <c r="CH87" i="2" a="1"/>
  <c r="CI87" i="2"/>
  <c r="CJ87" i="2"/>
  <c r="CK87" i="2"/>
  <c r="CL87" i="2"/>
  <c r="CN87" i="2"/>
  <c r="CA88" i="2"/>
  <c r="CB88" i="2" a="1"/>
  <c r="CC88" i="2"/>
  <c r="CD88" i="2"/>
  <c r="CE88" i="2" a="1"/>
  <c r="CF88" i="2"/>
  <c r="CG88" i="2" a="1"/>
  <c r="CH88" i="2" a="1"/>
  <c r="CI88" i="2"/>
  <c r="CJ88" i="2"/>
  <c r="CK88" i="2"/>
  <c r="CL88" i="2"/>
  <c r="CN88" i="2"/>
  <c r="CA89" i="2"/>
  <c r="CB89" i="2" a="1"/>
  <c r="CC89" i="2"/>
  <c r="CD89" i="2"/>
  <c r="CE89" i="2" a="1"/>
  <c r="CF89" i="2"/>
  <c r="CG89" i="2" a="1"/>
  <c r="CH89" i="2" a="1"/>
  <c r="CI89" i="2"/>
  <c r="CJ89" i="2"/>
  <c r="CK89" i="2"/>
  <c r="CL89" i="2"/>
  <c r="CN89" i="2"/>
  <c r="CA90" i="2"/>
  <c r="CB90" i="2" a="1"/>
  <c r="CC90" i="2"/>
  <c r="CD90" i="2"/>
  <c r="CE90" i="2" a="1"/>
  <c r="CF90" i="2"/>
  <c r="CG90" i="2" a="1"/>
  <c r="CH90" i="2" a="1"/>
  <c r="CI90" i="2"/>
  <c r="CJ90" i="2"/>
  <c r="CK90" i="2"/>
  <c r="CL90" i="2"/>
  <c r="CN90" i="2"/>
  <c r="CA91" i="2"/>
  <c r="CB91" i="2" a="1"/>
  <c r="CC91" i="2"/>
  <c r="CD91" i="2"/>
  <c r="CE91" i="2" a="1"/>
  <c r="CF91" i="2" s="1"/>
  <c r="CG91" i="2" a="1"/>
  <c r="CH91" i="2" a="1"/>
  <c r="CI91" i="2"/>
  <c r="CJ91" i="2"/>
  <c r="CK91" i="2"/>
  <c r="CL91" i="2"/>
  <c r="CN91" i="2"/>
  <c r="CA92" i="2"/>
  <c r="CB92" i="2" a="1"/>
  <c r="CC92" i="2"/>
  <c r="CD92" i="2"/>
  <c r="CE92" i="2" a="1"/>
  <c r="CF92" i="2" s="1"/>
  <c r="CG92" i="2" a="1"/>
  <c r="CH92" i="2" a="1"/>
  <c r="CI92" i="2"/>
  <c r="CJ92" i="2"/>
  <c r="CK92" i="2"/>
  <c r="CL92" i="2"/>
  <c r="CN92" i="2"/>
  <c r="CA93" i="2"/>
  <c r="CB93" i="2" a="1"/>
  <c r="CC93" i="2"/>
  <c r="CD93" i="2"/>
  <c r="CE93" i="2" a="1"/>
  <c r="CF93" i="2" s="1"/>
  <c r="CG93" i="2" a="1"/>
  <c r="CH93" i="2" a="1"/>
  <c r="CI93" i="2"/>
  <c r="CJ93" i="2"/>
  <c r="CK93" i="2"/>
  <c r="CL93" i="2"/>
  <c r="CN93" i="2"/>
  <c r="CA94" i="2"/>
  <c r="CB94" i="2" a="1"/>
  <c r="CC94" i="2"/>
  <c r="CD94" i="2"/>
  <c r="CE94" i="2" a="1"/>
  <c r="CF94" i="2" s="1"/>
  <c r="CG94" i="2" a="1"/>
  <c r="CH94" i="2" a="1"/>
  <c r="CI94" i="2"/>
  <c r="CJ94" i="2"/>
  <c r="CK94" i="2"/>
  <c r="CL94" i="2"/>
  <c r="CN94" i="2"/>
  <c r="CA95" i="2"/>
  <c r="CB95" i="2" a="1"/>
  <c r="CC95" i="2"/>
  <c r="CD95" i="2"/>
  <c r="CE95" i="2" a="1"/>
  <c r="CF95" i="2" s="1"/>
  <c r="CG95" i="2" a="1"/>
  <c r="CH95" i="2" a="1"/>
  <c r="CI95" i="2"/>
  <c r="CJ95" i="2"/>
  <c r="CK95" i="2"/>
  <c r="CL95" i="2"/>
  <c r="CN95" i="2"/>
  <c r="CA96" i="2"/>
  <c r="CB96" i="2" a="1"/>
  <c r="CC96" i="2"/>
  <c r="CD96" i="2"/>
  <c r="CE96" i="2" a="1"/>
  <c r="CF96" i="2" s="1"/>
  <c r="CG96" i="2" a="1"/>
  <c r="CH96" i="2" a="1"/>
  <c r="CI96" i="2"/>
  <c r="CJ96" i="2"/>
  <c r="CK96" i="2"/>
  <c r="CL96" i="2"/>
  <c r="CN96" i="2"/>
  <c r="CA97" i="2"/>
  <c r="CB97" i="2" a="1"/>
  <c r="CC97" i="2"/>
  <c r="CD97" i="2"/>
  <c r="CE97" i="2" a="1"/>
  <c r="CF97" i="2"/>
  <c r="CG97" i="2" a="1"/>
  <c r="CH97" i="2" a="1"/>
  <c r="CI97" i="2"/>
  <c r="CJ97" i="2"/>
  <c r="CK97" i="2"/>
  <c r="CL97" i="2"/>
  <c r="CN97" i="2"/>
  <c r="CA98" i="2"/>
  <c r="CB98" i="2" a="1"/>
  <c r="CC98" i="2"/>
  <c r="CD98" i="2"/>
  <c r="CE98" i="2" a="1"/>
  <c r="CF98" i="2" s="1"/>
  <c r="CG98" i="2" a="1"/>
  <c r="CH98" i="2" a="1"/>
  <c r="CI98" i="2"/>
  <c r="CJ98" i="2"/>
  <c r="CK98" i="2"/>
  <c r="CL98" i="2"/>
  <c r="CN98" i="2"/>
  <c r="CA99" i="2"/>
  <c r="CB99" i="2" a="1"/>
  <c r="CC99" i="2"/>
  <c r="CD99" i="2"/>
  <c r="CE99" i="2" a="1"/>
  <c r="CF99" i="2" s="1"/>
  <c r="CG99" i="2" a="1"/>
  <c r="CH99" i="2" a="1"/>
  <c r="CI99" i="2"/>
  <c r="CJ99" i="2"/>
  <c r="CK99" i="2"/>
  <c r="CL99" i="2"/>
  <c r="CN99" i="2"/>
  <c r="CA100" i="2"/>
  <c r="CB100" i="2" a="1"/>
  <c r="CC100" i="2"/>
  <c r="CD100" i="2"/>
  <c r="CE100" i="2" a="1"/>
  <c r="CF100" i="2" s="1"/>
  <c r="CG100" i="2" a="1"/>
  <c r="CH100" i="2" a="1"/>
  <c r="CI100" i="2"/>
  <c r="CJ100" i="2"/>
  <c r="CK100" i="2"/>
  <c r="CL100" i="2"/>
  <c r="CN100" i="2"/>
  <c r="CA101" i="2"/>
  <c r="CB101" i="2" a="1"/>
  <c r="CC101" i="2"/>
  <c r="CD101" i="2"/>
  <c r="CE101" i="2" a="1"/>
  <c r="CF101" i="2" s="1"/>
  <c r="CG101" i="2" a="1"/>
  <c r="CH101" i="2" a="1"/>
  <c r="CI101" i="2"/>
  <c r="CJ101" i="2"/>
  <c r="CK101" i="2"/>
  <c r="CL101" i="2"/>
  <c r="CN101" i="2"/>
  <c r="CA102" i="2"/>
  <c r="CB102" i="2" a="1"/>
  <c r="CC102" i="2"/>
  <c r="CD102" i="2"/>
  <c r="CE102" i="2" a="1"/>
  <c r="CF102" i="2" s="1"/>
  <c r="CG102" i="2" a="1"/>
  <c r="CH102" i="2" a="1"/>
  <c r="CI102" i="2"/>
  <c r="CJ102" i="2"/>
  <c r="CK102" i="2"/>
  <c r="CL102" i="2"/>
  <c r="CN102" i="2"/>
  <c r="CA103" i="2"/>
  <c r="CB103" i="2" a="1"/>
  <c r="CC103" i="2"/>
  <c r="CD103" i="2"/>
  <c r="CE103" i="2" a="1"/>
  <c r="CF103" i="2"/>
  <c r="CG103" i="2" a="1"/>
  <c r="CH103" i="2" a="1"/>
  <c r="CI103" i="2"/>
  <c r="CJ103" i="2"/>
  <c r="CK103" i="2"/>
  <c r="CL103" i="2"/>
  <c r="CN103" i="2"/>
  <c r="CA104" i="2"/>
  <c r="CB104" i="2" a="1"/>
  <c r="CC104" i="2"/>
  <c r="CD104" i="2"/>
  <c r="CE104" i="2" a="1"/>
  <c r="CF104" i="2"/>
  <c r="CG104" i="2" a="1"/>
  <c r="CH104" i="2" a="1"/>
  <c r="CI104" i="2"/>
  <c r="CJ104" i="2"/>
  <c r="CK104" i="2"/>
  <c r="CL104" i="2"/>
  <c r="CN104" i="2"/>
  <c r="CA105" i="2"/>
  <c r="CB105" i="2" a="1"/>
  <c r="CC105" i="2"/>
  <c r="CD105" i="2"/>
  <c r="CE105" i="2" a="1"/>
  <c r="CF105" i="2"/>
  <c r="CG105" i="2" a="1"/>
  <c r="CH105" i="2" a="1"/>
  <c r="CI105" i="2"/>
  <c r="CJ105" i="2"/>
  <c r="CK105" i="2"/>
  <c r="CL105" i="2"/>
  <c r="CN105" i="2"/>
  <c r="CA106" i="2"/>
  <c r="CB106" i="2" a="1"/>
  <c r="CC106" i="2"/>
  <c r="CD106" i="2"/>
  <c r="CE106" i="2" a="1"/>
  <c r="CF106" i="2"/>
  <c r="CG106" i="2" a="1"/>
  <c r="CH106" i="2" a="1"/>
  <c r="CI106" i="2"/>
  <c r="CJ106" i="2"/>
  <c r="CK106" i="2"/>
  <c r="CL106" i="2"/>
  <c r="CN106" i="2"/>
  <c r="CA107" i="2"/>
  <c r="CB107" i="2" a="1"/>
  <c r="CC107" i="2"/>
  <c r="CD107" i="2"/>
  <c r="CE107" i="2" a="1"/>
  <c r="CF107" i="2"/>
  <c r="CG107" i="2" a="1"/>
  <c r="CH107" i="2" a="1"/>
  <c r="CI107" i="2"/>
  <c r="CJ107" i="2"/>
  <c r="CK107" i="2"/>
  <c r="CL107" i="2"/>
  <c r="CN107" i="2"/>
  <c r="CA108" i="2"/>
  <c r="CB108" i="2" a="1"/>
  <c r="CC108" i="2"/>
  <c r="CD108" i="2"/>
  <c r="CE108" i="2" a="1"/>
  <c r="CF108" i="2"/>
  <c r="CG108" i="2" a="1"/>
  <c r="CH108" i="2" a="1"/>
  <c r="CI108" i="2"/>
  <c r="CJ108" i="2"/>
  <c r="CK108" i="2"/>
  <c r="CL108" i="2"/>
  <c r="CN108" i="2"/>
  <c r="H162" i="3" l="1"/>
  <c r="F162" i="3"/>
  <c r="G162" i="3"/>
  <c r="C162" i="3"/>
  <c r="L162" i="3"/>
  <c r="E162" i="3"/>
  <c r="M162" i="3"/>
  <c r="I162" i="3"/>
  <c r="D162" i="3"/>
  <c r="K162" i="3"/>
  <c r="J162" i="3"/>
  <c r="H163" i="3"/>
  <c r="G163" i="3"/>
  <c r="E163" i="3"/>
  <c r="K163" i="3"/>
  <c r="J163" i="3"/>
  <c r="I163" i="3"/>
  <c r="L163" i="3"/>
  <c r="D163" i="3"/>
  <c r="F163" i="3"/>
  <c r="C163" i="3"/>
  <c r="C164" i="3"/>
  <c r="E164" i="3"/>
  <c r="D164" i="3"/>
  <c r="K165" i="3"/>
  <c r="J165" i="3"/>
  <c r="I165" i="3"/>
  <c r="G165" i="3"/>
  <c r="H165" i="3"/>
  <c r="D165" i="3"/>
  <c r="F165" i="3"/>
  <c r="C165" i="3"/>
  <c r="E165" i="3"/>
  <c r="C157" i="3"/>
  <c r="D157" i="3"/>
  <c r="E159" i="3"/>
  <c r="H159" i="3"/>
  <c r="C159" i="3"/>
  <c r="G159" i="3"/>
  <c r="D159" i="3"/>
  <c r="J159" i="3"/>
  <c r="F159" i="3"/>
  <c r="I159" i="3"/>
  <c r="F160" i="3"/>
  <c r="C160" i="3"/>
  <c r="E160" i="3"/>
  <c r="D160" i="3"/>
  <c r="E152" i="3"/>
  <c r="H152" i="3"/>
  <c r="L152" i="3"/>
  <c r="D152" i="3"/>
  <c r="F152" i="3"/>
  <c r="N152" i="3"/>
  <c r="J152" i="3"/>
  <c r="M152" i="3"/>
  <c r="G152" i="3"/>
  <c r="I152" i="3"/>
  <c r="K152" i="3"/>
  <c r="C152" i="3"/>
  <c r="D153" i="3"/>
  <c r="G153" i="3"/>
  <c r="L153" i="3"/>
  <c r="E153" i="3"/>
  <c r="K153" i="3"/>
  <c r="J153" i="3"/>
  <c r="I153" i="3"/>
  <c r="C153" i="3"/>
  <c r="H153" i="3"/>
  <c r="M153" i="3"/>
  <c r="F153" i="3"/>
  <c r="N153" i="3"/>
  <c r="C154" i="3"/>
  <c r="F154" i="3"/>
  <c r="G154" i="3"/>
  <c r="D154" i="3"/>
  <c r="H154" i="3"/>
  <c r="E154" i="3"/>
  <c r="E155" i="3"/>
  <c r="H155" i="3"/>
  <c r="F155" i="3"/>
  <c r="D155" i="3"/>
  <c r="C155" i="3"/>
  <c r="D147" i="3"/>
  <c r="F147" i="3"/>
  <c r="J147" i="3"/>
  <c r="I147" i="3"/>
  <c r="E147" i="3"/>
  <c r="H147" i="3"/>
  <c r="G147" i="3"/>
  <c r="C147" i="3"/>
  <c r="D148" i="3"/>
  <c r="G148" i="3"/>
  <c r="C148" i="3"/>
  <c r="E148" i="3"/>
  <c r="F148" i="3"/>
  <c r="H148" i="3"/>
  <c r="H149" i="3"/>
  <c r="E149" i="3"/>
  <c r="J149" i="3"/>
  <c r="C149" i="3"/>
  <c r="F149" i="3"/>
  <c r="I149" i="3"/>
  <c r="L149" i="3"/>
  <c r="D149" i="3"/>
  <c r="G149" i="3"/>
  <c r="K149" i="3"/>
  <c r="H150" i="3"/>
  <c r="C150" i="3"/>
  <c r="F150" i="3"/>
  <c r="D150" i="3"/>
  <c r="E150" i="3"/>
  <c r="G150" i="3"/>
  <c r="G142" i="3"/>
  <c r="F142" i="3"/>
  <c r="E142" i="3"/>
  <c r="D142" i="3"/>
  <c r="C142" i="3"/>
  <c r="D143" i="3"/>
  <c r="F143" i="3"/>
  <c r="C143" i="3"/>
  <c r="G143" i="3"/>
  <c r="E143" i="3"/>
  <c r="G144" i="3"/>
  <c r="E144" i="3"/>
  <c r="K144" i="3"/>
  <c r="C144" i="3"/>
  <c r="H144" i="3"/>
  <c r="L144" i="3"/>
  <c r="D144" i="3"/>
  <c r="I144" i="3"/>
  <c r="M144" i="3"/>
  <c r="F144" i="3"/>
  <c r="J144" i="3"/>
  <c r="N144" i="3"/>
  <c r="D145" i="3"/>
  <c r="C145" i="3"/>
  <c r="C137" i="3"/>
  <c r="E137" i="3"/>
  <c r="F137" i="3"/>
  <c r="D137" i="3"/>
  <c r="E138" i="3"/>
  <c r="D138" i="3"/>
  <c r="C138" i="3"/>
  <c r="F138" i="3"/>
  <c r="G138" i="3"/>
  <c r="I139" i="3"/>
  <c r="G139" i="3"/>
  <c r="L139" i="3"/>
  <c r="D139" i="3"/>
  <c r="F139" i="3"/>
  <c r="J139" i="3"/>
  <c r="M139" i="3"/>
  <c r="C139" i="3"/>
  <c r="E139" i="3"/>
  <c r="H139" i="3"/>
  <c r="K139" i="3"/>
  <c r="N139" i="3"/>
  <c r="D140" i="3"/>
  <c r="I140" i="3"/>
  <c r="F140" i="3"/>
  <c r="L140" i="3"/>
  <c r="C140" i="3"/>
  <c r="G140" i="3"/>
  <c r="H140" i="3"/>
  <c r="E140" i="3"/>
  <c r="K140" i="3"/>
  <c r="I132" i="3"/>
  <c r="C132" i="3"/>
  <c r="K132" i="3"/>
  <c r="D132" i="3"/>
  <c r="J132" i="3"/>
  <c r="N132" i="3"/>
  <c r="F132" i="3"/>
  <c r="E132" i="3"/>
  <c r="H132" i="3"/>
  <c r="L132" i="3"/>
  <c r="M132" i="3"/>
  <c r="G132" i="3"/>
  <c r="I133" i="3"/>
  <c r="H133" i="3"/>
  <c r="C133" i="3"/>
  <c r="N133" i="3"/>
  <c r="D133" i="3"/>
  <c r="E133" i="3"/>
  <c r="L133" i="3"/>
  <c r="J133" i="3"/>
  <c r="F133" i="3"/>
  <c r="K133" i="3"/>
  <c r="G133" i="3"/>
  <c r="E134" i="3"/>
  <c r="H134" i="3"/>
  <c r="J134" i="3"/>
  <c r="G134" i="3"/>
  <c r="C134" i="3"/>
  <c r="F134" i="3"/>
  <c r="I134" i="3"/>
  <c r="D134" i="3"/>
  <c r="K134" i="3"/>
  <c r="N135" i="3"/>
  <c r="Q135" i="3"/>
  <c r="S135" i="3"/>
  <c r="V135" i="3"/>
  <c r="C135" i="3"/>
  <c r="E135" i="3"/>
  <c r="H135" i="3"/>
  <c r="J135" i="3"/>
  <c r="G135" i="3"/>
  <c r="R135" i="3"/>
  <c r="U135" i="3"/>
  <c r="T135" i="3"/>
  <c r="P135" i="3"/>
  <c r="X135" i="3"/>
  <c r="D135" i="3"/>
  <c r="L135" i="3"/>
  <c r="M135" i="3"/>
  <c r="K135" i="3"/>
  <c r="I135" i="3"/>
  <c r="F135" i="3"/>
  <c r="O135" i="3"/>
  <c r="E127" i="3"/>
  <c r="D127" i="3"/>
  <c r="C127" i="3"/>
  <c r="C128" i="3"/>
  <c r="D128" i="3"/>
  <c r="C129" i="3"/>
  <c r="I129" i="3"/>
  <c r="K129" i="3"/>
  <c r="F129" i="3"/>
  <c r="G129" i="3"/>
  <c r="L129" i="3"/>
  <c r="D129" i="3"/>
  <c r="H129" i="3"/>
  <c r="J129" i="3"/>
  <c r="E129" i="3"/>
  <c r="M129" i="3"/>
  <c r="IS130" i="3"/>
  <c r="IW130" i="3"/>
  <c r="JA130" i="3"/>
  <c r="Q130" i="3"/>
  <c r="W130" i="3"/>
  <c r="AE130" i="3"/>
  <c r="AH130" i="3"/>
  <c r="AM130" i="3"/>
  <c r="AR130" i="3"/>
  <c r="AU130" i="3"/>
  <c r="AY130" i="3"/>
  <c r="BD130" i="3"/>
  <c r="BH130" i="3"/>
  <c r="BL130" i="3"/>
  <c r="BP130" i="3"/>
  <c r="BT130" i="3"/>
  <c r="BX130" i="3"/>
  <c r="CC130" i="3"/>
  <c r="CH130" i="3"/>
  <c r="CK130" i="3"/>
  <c r="CO130" i="3"/>
  <c r="CR130" i="3"/>
  <c r="CV130" i="3"/>
  <c r="CX130" i="3"/>
  <c r="DB130" i="3"/>
  <c r="DD130" i="3"/>
  <c r="DG130" i="3"/>
  <c r="DJ130" i="3"/>
  <c r="DM130" i="3"/>
  <c r="DQ130" i="3"/>
  <c r="DS130" i="3"/>
  <c r="DX130" i="3"/>
  <c r="EB130" i="3"/>
  <c r="EE130" i="3"/>
  <c r="EG130" i="3"/>
  <c r="EL130" i="3"/>
  <c r="EN130" i="3"/>
  <c r="EQ130" i="3"/>
  <c r="ET130" i="3"/>
  <c r="EY130" i="3"/>
  <c r="FA130" i="3"/>
  <c r="FE130" i="3"/>
  <c r="FH130" i="3"/>
  <c r="FM130" i="3"/>
  <c r="FS130" i="3"/>
  <c r="FX130" i="3"/>
  <c r="GB130" i="3"/>
  <c r="GF130" i="3"/>
  <c r="GJ130" i="3"/>
  <c r="GO130" i="3"/>
  <c r="GS130" i="3"/>
  <c r="GW130" i="3"/>
  <c r="HA130" i="3"/>
  <c r="HG130" i="3"/>
  <c r="HN130" i="3"/>
  <c r="HR130" i="3"/>
  <c r="HX130" i="3"/>
  <c r="IE130" i="3"/>
  <c r="II130" i="3"/>
  <c r="IN130" i="3"/>
  <c r="IQ130" i="3"/>
  <c r="IU130" i="3"/>
  <c r="IX130" i="3"/>
  <c r="JB130" i="3"/>
  <c r="JD130" i="3"/>
  <c r="R130" i="3"/>
  <c r="U130" i="3"/>
  <c r="Z130" i="3"/>
  <c r="AB130" i="3"/>
  <c r="AG130" i="3"/>
  <c r="AL130" i="3"/>
  <c r="AQ130" i="3"/>
  <c r="AV130" i="3"/>
  <c r="BA130" i="3"/>
  <c r="BE130" i="3"/>
  <c r="BK130" i="3"/>
  <c r="BO130" i="3"/>
  <c r="BZ130" i="3"/>
  <c r="CD130" i="3"/>
  <c r="CG130" i="3"/>
  <c r="CL130" i="3"/>
  <c r="CP130" i="3"/>
  <c r="CS130" i="3"/>
  <c r="CU130" i="3"/>
  <c r="CY130" i="3"/>
  <c r="DA130" i="3"/>
  <c r="DE130" i="3"/>
  <c r="DH130" i="3"/>
  <c r="DK130" i="3"/>
  <c r="DN130" i="3"/>
  <c r="DP130" i="3"/>
  <c r="DT130" i="3"/>
  <c r="DV130" i="3"/>
  <c r="DZ130" i="3"/>
  <c r="EC130" i="3"/>
  <c r="EF130" i="3"/>
  <c r="EJ130" i="3"/>
  <c r="EM130" i="3"/>
  <c r="EO130" i="3"/>
  <c r="EU130" i="3"/>
  <c r="EX130" i="3"/>
  <c r="FB130" i="3"/>
  <c r="FF130" i="3"/>
  <c r="FO130" i="3"/>
  <c r="FR130" i="3"/>
  <c r="FU130" i="3"/>
  <c r="FZ130" i="3"/>
  <c r="GE130" i="3"/>
  <c r="GK130" i="3"/>
  <c r="GN130" i="3"/>
  <c r="GR130" i="3"/>
  <c r="GU130" i="3"/>
  <c r="GX130" i="3"/>
  <c r="HC130" i="3"/>
  <c r="HH130" i="3"/>
  <c r="HK130" i="3"/>
  <c r="HP130" i="3"/>
  <c r="HV130" i="3"/>
  <c r="HY130" i="3"/>
  <c r="ID130" i="3"/>
  <c r="IJ130" i="3"/>
  <c r="IO130" i="3"/>
  <c r="IT130" i="3"/>
  <c r="IY130" i="3"/>
  <c r="JC130" i="3"/>
  <c r="JE130" i="3"/>
  <c r="EV130" i="3"/>
  <c r="FJ130" i="3"/>
  <c r="FL130" i="3"/>
  <c r="FQ130" i="3"/>
  <c r="FW130" i="3"/>
  <c r="GA130" i="3"/>
  <c r="GG130" i="3"/>
  <c r="GP130" i="3"/>
  <c r="GT130" i="3"/>
  <c r="GZ130" i="3"/>
  <c r="HD130" i="3"/>
  <c r="HJ130" i="3"/>
  <c r="HO130" i="3"/>
  <c r="HT130" i="3"/>
  <c r="IA130" i="3"/>
  <c r="IG130" i="3"/>
  <c r="S130" i="3"/>
  <c r="V130" i="3"/>
  <c r="Y130" i="3"/>
  <c r="AC130" i="3"/>
  <c r="AI130" i="3"/>
  <c r="AN130" i="3"/>
  <c r="AS130" i="3"/>
  <c r="AX130" i="3"/>
  <c r="BB130" i="3"/>
  <c r="BF130" i="3"/>
  <c r="BJ130" i="3"/>
  <c r="BN130" i="3"/>
  <c r="BS130" i="3"/>
  <c r="BW130" i="3"/>
  <c r="CB130" i="3"/>
  <c r="CF130" i="3"/>
  <c r="CI130" i="3"/>
  <c r="CM130" i="3"/>
  <c r="T130" i="3"/>
  <c r="AD130" i="3"/>
  <c r="AJ130" i="3"/>
  <c r="AO130" i="3"/>
  <c r="AT130" i="3"/>
  <c r="AZ130" i="3"/>
  <c r="BI130" i="3"/>
  <c r="BM130" i="3"/>
  <c r="BQ130" i="3"/>
  <c r="BU130" i="3"/>
  <c r="BY130" i="3"/>
  <c r="CE130" i="3"/>
  <c r="CJ130" i="3"/>
  <c r="CN130" i="3"/>
  <c r="CQ130" i="3"/>
  <c r="CT130" i="3"/>
  <c r="CW130" i="3"/>
  <c r="CZ130" i="3"/>
  <c r="DC130" i="3"/>
  <c r="DF130" i="3"/>
  <c r="DI130" i="3"/>
  <c r="DL130" i="3"/>
  <c r="DO130" i="3"/>
  <c r="DR130" i="3"/>
  <c r="DU130" i="3"/>
  <c r="DW130" i="3"/>
  <c r="EA130" i="3"/>
  <c r="ED130" i="3"/>
  <c r="EI130" i="3"/>
  <c r="EK130" i="3"/>
  <c r="EP130" i="3"/>
  <c r="ES130" i="3"/>
  <c r="EW130" i="3"/>
  <c r="FC130" i="3"/>
  <c r="FG130" i="3"/>
  <c r="FK130" i="3"/>
  <c r="FN130" i="3"/>
  <c r="FT130" i="3"/>
  <c r="FY130" i="3"/>
  <c r="GD130" i="3"/>
  <c r="GI130" i="3"/>
  <c r="GM130" i="3"/>
  <c r="GQ130" i="3"/>
  <c r="GY130" i="3"/>
  <c r="HE130" i="3"/>
  <c r="HI130" i="3"/>
  <c r="HM130" i="3"/>
  <c r="HS130" i="3"/>
  <c r="HW130" i="3"/>
  <c r="IB130" i="3"/>
  <c r="IF130" i="3"/>
  <c r="IK130" i="3"/>
  <c r="IR130" i="3"/>
  <c r="IV130" i="3"/>
  <c r="IZ130" i="3"/>
  <c r="N130" i="3"/>
  <c r="X130" i="3"/>
  <c r="AA130" i="3"/>
  <c r="AF130" i="3"/>
  <c r="AK130" i="3"/>
  <c r="AP130" i="3"/>
  <c r="AW130" i="3"/>
  <c r="BC130" i="3"/>
  <c r="BG130" i="3"/>
  <c r="BR130" i="3"/>
  <c r="BV130" i="3"/>
  <c r="CA130" i="3"/>
  <c r="DY130" i="3"/>
  <c r="ER130" i="3"/>
  <c r="EZ130" i="3"/>
  <c r="FD130" i="3"/>
  <c r="FI130" i="3"/>
  <c r="FP130" i="3"/>
  <c r="FV130" i="3"/>
  <c r="GC130" i="3"/>
  <c r="GH130" i="3"/>
  <c r="GL130" i="3"/>
  <c r="GV130" i="3"/>
  <c r="HB130" i="3"/>
  <c r="HF130" i="3"/>
  <c r="HL130" i="3"/>
  <c r="HQ130" i="3"/>
  <c r="HU130" i="3"/>
  <c r="HZ130" i="3"/>
  <c r="IC130" i="3"/>
  <c r="IH130" i="3"/>
  <c r="IL130" i="3"/>
  <c r="IP130" i="3"/>
  <c r="E130" i="3"/>
  <c r="F130" i="3"/>
  <c r="K130" i="3"/>
  <c r="J130" i="3"/>
  <c r="D130" i="3"/>
  <c r="M130" i="3"/>
  <c r="H130" i="3"/>
  <c r="G130" i="3"/>
  <c r="L130" i="3"/>
  <c r="P130" i="3"/>
  <c r="O130" i="3"/>
  <c r="C130" i="3"/>
  <c r="I130" i="3"/>
  <c r="D122" i="3"/>
  <c r="E122" i="3"/>
  <c r="F122" i="3"/>
  <c r="C122" i="3"/>
  <c r="G122" i="3"/>
  <c r="H122" i="3"/>
  <c r="E123" i="3"/>
  <c r="L123" i="3"/>
  <c r="D123" i="3"/>
  <c r="M123" i="3"/>
  <c r="H123" i="3"/>
  <c r="K123" i="3"/>
  <c r="C123" i="3"/>
  <c r="J123" i="3"/>
  <c r="N123" i="3"/>
  <c r="G123" i="3"/>
  <c r="I123" i="3"/>
  <c r="F123" i="3"/>
  <c r="C124" i="3"/>
  <c r="G124" i="3"/>
  <c r="I124" i="3"/>
  <c r="F124" i="3"/>
  <c r="L124" i="3"/>
  <c r="D124" i="3"/>
  <c r="K124" i="3"/>
  <c r="J124" i="3"/>
  <c r="E124" i="3"/>
  <c r="H124" i="3"/>
  <c r="E125" i="3"/>
  <c r="M125" i="3"/>
  <c r="Q125" i="3"/>
  <c r="F125" i="3"/>
  <c r="G125" i="3"/>
  <c r="Y125" i="3"/>
  <c r="O125" i="3"/>
  <c r="I125" i="3"/>
  <c r="X125" i="3"/>
  <c r="C125" i="3"/>
  <c r="D125" i="3"/>
  <c r="P125" i="3"/>
  <c r="U125" i="3"/>
  <c r="L125" i="3"/>
  <c r="K125" i="3"/>
  <c r="V125" i="3"/>
  <c r="J125" i="3"/>
  <c r="T125" i="3"/>
  <c r="R125" i="3"/>
  <c r="H125" i="3"/>
  <c r="N125" i="3"/>
  <c r="S125" i="3"/>
  <c r="W125" i="3"/>
  <c r="N118" i="3"/>
  <c r="CW118" i="3"/>
  <c r="C118" i="3"/>
  <c r="D118" i="3"/>
  <c r="E118" i="3"/>
  <c r="F118" i="3"/>
  <c r="G118" i="3"/>
  <c r="H118" i="3"/>
  <c r="I118" i="3"/>
  <c r="J118" i="3"/>
  <c r="K118" i="3"/>
  <c r="L118" i="3"/>
  <c r="M118" i="3"/>
  <c r="AB118" i="3"/>
  <c r="O118" i="3"/>
  <c r="P118" i="3"/>
  <c r="Q118" i="3"/>
  <c r="R118" i="3"/>
  <c r="S118" i="3"/>
  <c r="T118" i="3"/>
  <c r="U118" i="3"/>
  <c r="V118" i="3"/>
  <c r="W118" i="3"/>
  <c r="X118" i="3"/>
  <c r="Y118" i="3"/>
  <c r="Z118" i="3"/>
  <c r="AA118" i="3"/>
  <c r="CY118" i="3"/>
  <c r="AC118" i="3"/>
  <c r="AD118" i="3"/>
  <c r="AE118" i="3"/>
  <c r="AF118" i="3"/>
  <c r="AG118" i="3"/>
  <c r="AH118" i="3"/>
  <c r="AI118" i="3"/>
  <c r="AJ118" i="3"/>
  <c r="AK118" i="3"/>
  <c r="AL118" i="3"/>
  <c r="AM118" i="3"/>
  <c r="AN118" i="3"/>
  <c r="AO118" i="3"/>
  <c r="AP118" i="3"/>
  <c r="AQ118" i="3"/>
  <c r="AR118" i="3"/>
  <c r="AS118" i="3"/>
  <c r="AT118" i="3"/>
  <c r="AU118" i="3"/>
  <c r="AV118" i="3"/>
  <c r="AW118" i="3"/>
  <c r="AX118" i="3"/>
  <c r="AY118" i="3"/>
  <c r="AZ118" i="3"/>
  <c r="BB118" i="3"/>
  <c r="BC118" i="3"/>
  <c r="BD118" i="3"/>
  <c r="BE118" i="3"/>
  <c r="BF118" i="3"/>
  <c r="BH118" i="3"/>
  <c r="BJ118" i="3"/>
  <c r="BL118" i="3"/>
  <c r="BN118" i="3"/>
  <c r="BP118" i="3"/>
  <c r="BR118" i="3"/>
  <c r="BT118" i="3"/>
  <c r="BV118" i="3"/>
  <c r="BX118" i="3"/>
  <c r="BY118" i="3"/>
  <c r="CA118" i="3"/>
  <c r="CC118" i="3"/>
  <c r="CE118" i="3"/>
  <c r="CG118" i="3"/>
  <c r="CI118" i="3"/>
  <c r="CK118" i="3"/>
  <c r="CM118" i="3"/>
  <c r="CO118" i="3"/>
  <c r="CP118" i="3"/>
  <c r="CR118" i="3"/>
  <c r="CT118" i="3"/>
  <c r="CV118" i="3"/>
  <c r="CX118" i="3"/>
  <c r="BZ118" i="3"/>
  <c r="BA118" i="3"/>
  <c r="BG118" i="3"/>
  <c r="BI118" i="3"/>
  <c r="BK118" i="3"/>
  <c r="BM118" i="3"/>
  <c r="BO118" i="3"/>
  <c r="BQ118" i="3"/>
  <c r="BS118" i="3"/>
  <c r="BU118" i="3"/>
  <c r="BW118" i="3"/>
  <c r="CB118" i="3"/>
  <c r="CD118" i="3"/>
  <c r="CF118" i="3"/>
  <c r="CH118" i="3"/>
  <c r="CJ118" i="3"/>
  <c r="CL118" i="3"/>
  <c r="CN118" i="3"/>
  <c r="CQ118" i="3"/>
  <c r="CS118" i="3"/>
  <c r="CU118" i="3"/>
  <c r="L120" i="3"/>
  <c r="F120" i="3"/>
  <c r="H120" i="3"/>
  <c r="E120" i="3"/>
  <c r="I120" i="3"/>
  <c r="M120" i="3"/>
  <c r="J120" i="3"/>
  <c r="C120" i="3"/>
  <c r="D120" i="3"/>
  <c r="G120" i="3"/>
  <c r="K120" i="3"/>
  <c r="D111" i="3"/>
  <c r="E111" i="3"/>
  <c r="G111" i="3"/>
  <c r="I111" i="3"/>
  <c r="L111" i="3"/>
  <c r="N111" i="3"/>
  <c r="P111" i="3"/>
  <c r="R111" i="3"/>
  <c r="U111" i="3"/>
  <c r="W111" i="3"/>
  <c r="Z111" i="3"/>
  <c r="AB111" i="3"/>
  <c r="AD111" i="3"/>
  <c r="AF111" i="3"/>
  <c r="AI111" i="3"/>
  <c r="AJ111" i="3"/>
  <c r="S111" i="3"/>
  <c r="X111" i="3"/>
  <c r="Y111" i="3"/>
  <c r="AA111" i="3"/>
  <c r="AC111" i="3"/>
  <c r="AE111" i="3"/>
  <c r="H111" i="3"/>
  <c r="AH111" i="3"/>
  <c r="AK111" i="3"/>
  <c r="T111" i="3"/>
  <c r="AG111" i="3"/>
  <c r="C111" i="3"/>
  <c r="F111" i="3"/>
  <c r="V111" i="3"/>
  <c r="J111" i="3"/>
  <c r="K111" i="3"/>
  <c r="M111" i="3"/>
  <c r="O111" i="3"/>
  <c r="Q111" i="3"/>
  <c r="D112" i="3"/>
  <c r="E112" i="3"/>
  <c r="G112" i="3"/>
  <c r="F112" i="3"/>
  <c r="C112" i="3"/>
  <c r="D113" i="3"/>
  <c r="G113" i="3"/>
  <c r="C113" i="3"/>
  <c r="E113" i="3"/>
  <c r="F113" i="3"/>
  <c r="C115" i="3"/>
  <c r="E115" i="3"/>
  <c r="I115" i="3"/>
  <c r="K115" i="3"/>
  <c r="L115" i="3"/>
  <c r="N115" i="3"/>
  <c r="G115" i="3"/>
  <c r="D115" i="3"/>
  <c r="F115" i="3"/>
  <c r="H115" i="3"/>
  <c r="J115" i="3"/>
  <c r="M115" i="3"/>
  <c r="C106" i="3"/>
  <c r="F106" i="3"/>
  <c r="H106" i="3"/>
  <c r="J106" i="3"/>
  <c r="L106" i="3"/>
  <c r="O106" i="3"/>
  <c r="Q106" i="3"/>
  <c r="T106" i="3"/>
  <c r="V106" i="3"/>
  <c r="X106" i="3"/>
  <c r="Z106" i="3"/>
  <c r="AB106" i="3"/>
  <c r="AD106" i="3"/>
  <c r="AF106" i="3"/>
  <c r="AH106" i="3"/>
  <c r="AJ106" i="3"/>
  <c r="AN106" i="3"/>
  <c r="AP106" i="3"/>
  <c r="AR106" i="3"/>
  <c r="AT106" i="3"/>
  <c r="AV106" i="3"/>
  <c r="AY106" i="3"/>
  <c r="BA106" i="3"/>
  <c r="AX106" i="3"/>
  <c r="D106" i="3"/>
  <c r="E106" i="3"/>
  <c r="G106" i="3"/>
  <c r="I106" i="3"/>
  <c r="K106" i="3"/>
  <c r="M106" i="3"/>
  <c r="N106" i="3"/>
  <c r="P106" i="3"/>
  <c r="R106" i="3"/>
  <c r="S106" i="3"/>
  <c r="U106" i="3"/>
  <c r="W106" i="3"/>
  <c r="Y106" i="3"/>
  <c r="AA106" i="3"/>
  <c r="AC106" i="3"/>
  <c r="AE106" i="3"/>
  <c r="AG106" i="3"/>
  <c r="AI106" i="3"/>
  <c r="AK106" i="3"/>
  <c r="AM106" i="3"/>
  <c r="AO106" i="3"/>
  <c r="AQ106" i="3"/>
  <c r="AS106" i="3"/>
  <c r="AU106" i="3"/>
  <c r="AW106" i="3"/>
  <c r="AZ106" i="3"/>
  <c r="BB106" i="3"/>
  <c r="AL106" i="3"/>
  <c r="D108" i="3"/>
  <c r="C108" i="3"/>
  <c r="E110" i="3"/>
  <c r="G110" i="3"/>
  <c r="I110" i="3"/>
  <c r="L110" i="3"/>
  <c r="O110" i="3"/>
  <c r="R110" i="3"/>
  <c r="T110" i="3"/>
  <c r="D110" i="3"/>
  <c r="H110" i="3"/>
  <c r="K110" i="3"/>
  <c r="M110" i="3"/>
  <c r="Q110" i="3"/>
  <c r="S110" i="3"/>
  <c r="C110" i="3"/>
  <c r="F110" i="3"/>
  <c r="J110" i="3"/>
  <c r="N110" i="3"/>
  <c r="P110" i="3"/>
  <c r="U110" i="3"/>
  <c r="W101" i="3"/>
  <c r="Y101" i="3"/>
  <c r="AB101" i="3"/>
  <c r="AD101" i="3"/>
  <c r="AF101" i="3"/>
  <c r="AH101" i="3"/>
  <c r="AK101" i="3"/>
  <c r="AM101" i="3"/>
  <c r="AP101" i="3"/>
  <c r="O101" i="3"/>
  <c r="C101" i="3"/>
  <c r="AA101" i="3"/>
  <c r="AJ101" i="3"/>
  <c r="AO101" i="3"/>
  <c r="P101" i="3"/>
  <c r="H101" i="3"/>
  <c r="T101" i="3"/>
  <c r="R101" i="3"/>
  <c r="D101" i="3"/>
  <c r="G101" i="3"/>
  <c r="J101" i="3"/>
  <c r="L101" i="3"/>
  <c r="N101" i="3"/>
  <c r="Q101" i="3"/>
  <c r="U101" i="3"/>
  <c r="V101" i="3"/>
  <c r="X101" i="3"/>
  <c r="Z101" i="3"/>
  <c r="AC101" i="3"/>
  <c r="AE101" i="3"/>
  <c r="AG101" i="3"/>
  <c r="AI101" i="3"/>
  <c r="AL101" i="3"/>
  <c r="AN101" i="3"/>
  <c r="AQ101" i="3"/>
  <c r="E101" i="3"/>
  <c r="F101" i="3"/>
  <c r="I101" i="3"/>
  <c r="K101" i="3"/>
  <c r="M101" i="3"/>
  <c r="E102" i="3"/>
  <c r="C102" i="3"/>
  <c r="F102" i="3"/>
  <c r="D102" i="3"/>
  <c r="EK103" i="3"/>
  <c r="ER103" i="3"/>
  <c r="EU103" i="3"/>
  <c r="EX103" i="3"/>
  <c r="FB103" i="3"/>
  <c r="FG103" i="3"/>
  <c r="FO103" i="3"/>
  <c r="FU103" i="3"/>
  <c r="GC103" i="3"/>
  <c r="GF103" i="3"/>
  <c r="GK103" i="3"/>
  <c r="GS103" i="3"/>
  <c r="GW103" i="3"/>
  <c r="GZ103" i="3"/>
  <c r="HJ103" i="3"/>
  <c r="HN103" i="3"/>
  <c r="HT103" i="3"/>
  <c r="IB103" i="3"/>
  <c r="IE103" i="3"/>
  <c r="IT103" i="3"/>
  <c r="IW103" i="3"/>
  <c r="JE103" i="3"/>
  <c r="C103" i="3"/>
  <c r="H103" i="3"/>
  <c r="J103" i="3"/>
  <c r="N103" i="3"/>
  <c r="R103" i="3"/>
  <c r="Z103" i="3"/>
  <c r="AC103" i="3"/>
  <c r="AI103" i="3"/>
  <c r="AP103" i="3"/>
  <c r="AV103" i="3"/>
  <c r="BB103" i="3"/>
  <c r="BR103" i="3"/>
  <c r="BV103" i="3"/>
  <c r="CB103" i="3"/>
  <c r="CJ103" i="3"/>
  <c r="CN103" i="3"/>
  <c r="CT103" i="3"/>
  <c r="DB103" i="3"/>
  <c r="DD103" i="3"/>
  <c r="DL103" i="3"/>
  <c r="DU103" i="3"/>
  <c r="EA103" i="3"/>
  <c r="EE103" i="3"/>
  <c r="EM103" i="3"/>
  <c r="EQ103" i="3"/>
  <c r="ET103" i="3"/>
  <c r="FA103" i="3"/>
  <c r="FC103" i="3"/>
  <c r="FJ103" i="3"/>
  <c r="FR103" i="3"/>
  <c r="FV103" i="3"/>
  <c r="FZ103" i="3"/>
  <c r="GG103" i="3"/>
  <c r="GJ103" i="3"/>
  <c r="GM103" i="3"/>
  <c r="GQ103" i="3"/>
  <c r="GU103" i="3"/>
  <c r="HA103" i="3"/>
  <c r="HG103" i="3"/>
  <c r="HQ103" i="3"/>
  <c r="HV103" i="3"/>
  <c r="IA103" i="3"/>
  <c r="ID103" i="3"/>
  <c r="IH103" i="3"/>
  <c r="IL103" i="3"/>
  <c r="IP103" i="3"/>
  <c r="IS103" i="3"/>
  <c r="IY103" i="3"/>
  <c r="JD103" i="3"/>
  <c r="F103" i="3"/>
  <c r="M103" i="3"/>
  <c r="S103" i="3"/>
  <c r="W103" i="3"/>
  <c r="AA103" i="3"/>
  <c r="AD103" i="3"/>
  <c r="AK103" i="3"/>
  <c r="AO103" i="3"/>
  <c r="AR103" i="3"/>
  <c r="AW103" i="3"/>
  <c r="BD103" i="3"/>
  <c r="BO103" i="3"/>
  <c r="BW103" i="3"/>
  <c r="CA103" i="3"/>
  <c r="CK103" i="3"/>
  <c r="CQ103" i="3"/>
  <c r="CV103" i="3"/>
  <c r="CX103" i="3"/>
  <c r="DH103" i="3"/>
  <c r="DO103" i="3"/>
  <c r="DT103" i="3"/>
  <c r="DZ103" i="3"/>
  <c r="EJ103" i="3"/>
  <c r="EO103" i="3"/>
  <c r="EZ103" i="3"/>
  <c r="FI103" i="3"/>
  <c r="FL103" i="3"/>
  <c r="FQ103" i="3"/>
  <c r="FY103" i="3"/>
  <c r="GO103" i="3"/>
  <c r="GY103" i="3"/>
  <c r="HC103" i="3"/>
  <c r="HF103" i="3"/>
  <c r="HM103" i="3"/>
  <c r="HR103" i="3"/>
  <c r="HW103" i="3"/>
  <c r="IK103" i="3"/>
  <c r="IQ103" i="3"/>
  <c r="IV103" i="3"/>
  <c r="JF103" i="3"/>
  <c r="JK103" i="3"/>
  <c r="G103" i="3"/>
  <c r="K103" i="3"/>
  <c r="Q103" i="3"/>
  <c r="U103" i="3"/>
  <c r="Y103" i="3"/>
  <c r="AF103" i="3"/>
  <c r="AL103" i="3"/>
  <c r="AS103" i="3"/>
  <c r="AZ103" i="3"/>
  <c r="BH103" i="3"/>
  <c r="BK103" i="3"/>
  <c r="BP103" i="3"/>
  <c r="BS103" i="3"/>
  <c r="CC103" i="3"/>
  <c r="CH103" i="3"/>
  <c r="CP103" i="3"/>
  <c r="CU103" i="3"/>
  <c r="DA103" i="3"/>
  <c r="DE103" i="3"/>
  <c r="DN103" i="3"/>
  <c r="DS103" i="3"/>
  <c r="EF103" i="3"/>
  <c r="EL103" i="3"/>
  <c r="EP103" i="3"/>
  <c r="EW103" i="3"/>
  <c r="FF103" i="3"/>
  <c r="FM103" i="3"/>
  <c r="FS103" i="3"/>
  <c r="FX103" i="3"/>
  <c r="GA103" i="3"/>
  <c r="GD103" i="3"/>
  <c r="GI103" i="3"/>
  <c r="GL103" i="3"/>
  <c r="HB103" i="3"/>
  <c r="HH103" i="3"/>
  <c r="HO103" i="3"/>
  <c r="HU103" i="3"/>
  <c r="HZ103" i="3"/>
  <c r="IF103" i="3"/>
  <c r="II103" i="3"/>
  <c r="IM103" i="3"/>
  <c r="IR103" i="3"/>
  <c r="IX103" i="3"/>
  <c r="JB103" i="3"/>
  <c r="JH103" i="3"/>
  <c r="JL103" i="3"/>
  <c r="D103" i="3"/>
  <c r="AG103" i="3"/>
  <c r="AQ103" i="3"/>
  <c r="AT103" i="3"/>
  <c r="AY103" i="3"/>
  <c r="BE103" i="3"/>
  <c r="BL103" i="3"/>
  <c r="BT103" i="3"/>
  <c r="BX103" i="3"/>
  <c r="CD103" i="3"/>
  <c r="CG103" i="3"/>
  <c r="CR103" i="3"/>
  <c r="CW103" i="3"/>
  <c r="DC103" i="3"/>
  <c r="DG103" i="3"/>
  <c r="DJ103" i="3"/>
  <c r="DR103" i="3"/>
  <c r="DX103" i="3"/>
  <c r="E103" i="3"/>
  <c r="I103" i="3"/>
  <c r="L103" i="3"/>
  <c r="P103" i="3"/>
  <c r="V103" i="3"/>
  <c r="AB103" i="3"/>
  <c r="AJ103" i="3"/>
  <c r="AM103" i="3"/>
  <c r="AU103" i="3"/>
  <c r="BA103" i="3"/>
  <c r="BG103" i="3"/>
  <c r="BI103" i="3"/>
  <c r="BN103" i="3"/>
  <c r="BY103" i="3"/>
  <c r="CF103" i="3"/>
  <c r="CI103" i="3"/>
  <c r="CM103" i="3"/>
  <c r="CS103" i="3"/>
  <c r="CY103" i="3"/>
  <c r="DF103" i="3"/>
  <c r="DK103" i="3"/>
  <c r="DP103" i="3"/>
  <c r="DW103" i="3"/>
  <c r="EC103" i="3"/>
  <c r="EG103" i="3"/>
  <c r="ES103" i="3"/>
  <c r="EY103" i="3"/>
  <c r="FE103" i="3"/>
  <c r="FK103" i="3"/>
  <c r="FP103" i="3"/>
  <c r="GE103" i="3"/>
  <c r="GP103" i="3"/>
  <c r="GR103" i="3"/>
  <c r="GV103" i="3"/>
  <c r="HD103" i="3"/>
  <c r="HK103" i="3"/>
  <c r="HS103" i="3"/>
  <c r="HY103" i="3"/>
  <c r="IN103" i="3"/>
  <c r="JA103" i="3"/>
  <c r="JI103" i="3"/>
  <c r="JM103" i="3"/>
  <c r="EB103" i="3"/>
  <c r="O103" i="3"/>
  <c r="T103" i="3"/>
  <c r="X103" i="3"/>
  <c r="AE103" i="3"/>
  <c r="AH103" i="3"/>
  <c r="AN103" i="3"/>
  <c r="AX103" i="3"/>
  <c r="BC103" i="3"/>
  <c r="BF103" i="3"/>
  <c r="BJ103" i="3"/>
  <c r="BM103" i="3"/>
  <c r="BQ103" i="3"/>
  <c r="BU103" i="3"/>
  <c r="BZ103" i="3"/>
  <c r="CE103" i="3"/>
  <c r="CL103" i="3"/>
  <c r="CO103" i="3"/>
  <c r="CZ103" i="3"/>
  <c r="DI103" i="3"/>
  <c r="DM103" i="3"/>
  <c r="DQ103" i="3"/>
  <c r="DV103" i="3"/>
  <c r="DY103" i="3"/>
  <c r="ED103" i="3"/>
  <c r="EI103" i="3"/>
  <c r="EN103" i="3"/>
  <c r="EV103" i="3"/>
  <c r="FD103" i="3"/>
  <c r="FH103" i="3"/>
  <c r="FN103" i="3"/>
  <c r="FT103" i="3"/>
  <c r="FW103" i="3"/>
  <c r="GB103" i="3"/>
  <c r="GH103" i="3"/>
  <c r="GN103" i="3"/>
  <c r="GT103" i="3"/>
  <c r="GX103" i="3"/>
  <c r="HE103" i="3"/>
  <c r="HI103" i="3"/>
  <c r="HL103" i="3"/>
  <c r="HP103" i="3"/>
  <c r="HX103" i="3"/>
  <c r="IC103" i="3"/>
  <c r="IG103" i="3"/>
  <c r="IJ103" i="3"/>
  <c r="IO103" i="3"/>
  <c r="IU103" i="3"/>
  <c r="IZ103" i="3"/>
  <c r="JC103" i="3"/>
  <c r="JG103" i="3"/>
  <c r="JJ103" i="3"/>
  <c r="E104" i="3"/>
  <c r="H104" i="3"/>
  <c r="C104" i="3"/>
  <c r="G104" i="3"/>
  <c r="D104" i="3"/>
  <c r="F104" i="3"/>
  <c r="F105" i="3"/>
  <c r="D105" i="3"/>
  <c r="G105" i="3"/>
  <c r="H105" i="3"/>
  <c r="C105" i="3"/>
  <c r="E105" i="3"/>
  <c r="J96" i="3"/>
  <c r="BJ96" i="3"/>
  <c r="BK96" i="3"/>
  <c r="BL96" i="3"/>
  <c r="C96" i="3"/>
  <c r="D96" i="3"/>
  <c r="E96" i="3"/>
  <c r="F96" i="3"/>
  <c r="G96" i="3"/>
  <c r="H96" i="3"/>
  <c r="I96" i="3"/>
  <c r="U96" i="3"/>
  <c r="K96" i="3"/>
  <c r="L96" i="3"/>
  <c r="M96" i="3"/>
  <c r="N96" i="3"/>
  <c r="O96" i="3"/>
  <c r="P96" i="3"/>
  <c r="Q96" i="3"/>
  <c r="R96" i="3"/>
  <c r="S96" i="3"/>
  <c r="T96" i="3"/>
  <c r="BM96" i="3"/>
  <c r="V96" i="3"/>
  <c r="W96" i="3"/>
  <c r="X96" i="3"/>
  <c r="Y96" i="3"/>
  <c r="Z96" i="3"/>
  <c r="AA96" i="3"/>
  <c r="AB96" i="3"/>
  <c r="AC96" i="3"/>
  <c r="AD96" i="3"/>
  <c r="AE96" i="3"/>
  <c r="AF96" i="3"/>
  <c r="AG96" i="3"/>
  <c r="AH96" i="3"/>
  <c r="AI96" i="3"/>
  <c r="AJ96" i="3"/>
  <c r="AK96" i="3"/>
  <c r="AL96" i="3"/>
  <c r="AM96" i="3"/>
  <c r="AN96" i="3"/>
  <c r="AO96" i="3"/>
  <c r="AP96" i="3"/>
  <c r="AQ96" i="3"/>
  <c r="AR96" i="3"/>
  <c r="AS96" i="3"/>
  <c r="AT96" i="3"/>
  <c r="AU96" i="3"/>
  <c r="AV96" i="3"/>
  <c r="AW96" i="3"/>
  <c r="AX96" i="3"/>
  <c r="AY96" i="3"/>
  <c r="AZ96" i="3"/>
  <c r="BA96" i="3"/>
  <c r="BB96" i="3"/>
  <c r="BC96" i="3"/>
  <c r="BD96" i="3"/>
  <c r="BE96" i="3"/>
  <c r="BF96" i="3"/>
  <c r="BG96" i="3"/>
  <c r="BH96" i="3"/>
  <c r="BI96" i="3"/>
  <c r="D97" i="3"/>
  <c r="E97" i="3"/>
  <c r="F97" i="3"/>
  <c r="C97" i="3"/>
  <c r="D98" i="3"/>
  <c r="E98" i="3"/>
  <c r="F98" i="3"/>
  <c r="G98" i="3"/>
  <c r="I98" i="3"/>
  <c r="J98" i="3"/>
  <c r="C98" i="3"/>
  <c r="H98" i="3"/>
  <c r="C99" i="3"/>
  <c r="D99" i="3"/>
  <c r="F99" i="3"/>
  <c r="E99" i="3"/>
  <c r="C100" i="3"/>
  <c r="H100" i="3"/>
  <c r="L100" i="3"/>
  <c r="E100" i="3"/>
  <c r="I100" i="3"/>
  <c r="K100" i="3"/>
  <c r="D100" i="3"/>
  <c r="F100" i="3"/>
  <c r="G100" i="3"/>
  <c r="J100" i="3"/>
  <c r="F92" i="3"/>
  <c r="E92" i="3"/>
  <c r="H92" i="3"/>
  <c r="G92" i="3"/>
  <c r="C92" i="3"/>
  <c r="D92" i="3"/>
  <c r="D93" i="3"/>
  <c r="F93" i="3"/>
  <c r="J93" i="3"/>
  <c r="G93" i="3"/>
  <c r="K93" i="3"/>
  <c r="H93" i="3"/>
  <c r="C93" i="3"/>
  <c r="E93" i="3"/>
  <c r="I93" i="3"/>
  <c r="D94" i="3"/>
  <c r="F94" i="3"/>
  <c r="E94" i="3"/>
  <c r="H94" i="3"/>
  <c r="H95" i="3"/>
  <c r="F95" i="3"/>
  <c r="C95" i="3"/>
  <c r="D95" i="3"/>
  <c r="E95" i="3"/>
  <c r="G95" i="3"/>
  <c r="C87" i="3"/>
  <c r="H87" i="3"/>
  <c r="D87" i="3"/>
  <c r="E87" i="3"/>
  <c r="F87" i="3"/>
  <c r="I87" i="3"/>
  <c r="G87" i="3"/>
  <c r="K87" i="3"/>
  <c r="F88" i="3"/>
  <c r="L88" i="3"/>
  <c r="H88" i="3"/>
  <c r="G88" i="3"/>
  <c r="O88" i="3"/>
  <c r="J88" i="3"/>
  <c r="E88" i="3"/>
  <c r="M88" i="3"/>
  <c r="D88" i="3"/>
  <c r="N88" i="3"/>
  <c r="I88" i="3"/>
  <c r="C88" i="3"/>
  <c r="K88" i="3"/>
  <c r="I89" i="3"/>
  <c r="H89" i="3"/>
  <c r="G89" i="3"/>
  <c r="E89" i="3"/>
  <c r="D89" i="3"/>
  <c r="F89" i="3"/>
  <c r="C89" i="3"/>
  <c r="F90" i="3"/>
  <c r="P90" i="3"/>
  <c r="T90" i="3"/>
  <c r="M90" i="3"/>
  <c r="H90" i="3"/>
  <c r="E90" i="3"/>
  <c r="L90" i="3"/>
  <c r="S90" i="3"/>
  <c r="C90" i="3"/>
  <c r="V90" i="3"/>
  <c r="N90" i="3"/>
  <c r="I90" i="3"/>
  <c r="D90" i="3"/>
  <c r="G90" i="3"/>
  <c r="K90" i="3"/>
  <c r="Q90" i="3"/>
  <c r="U90" i="3"/>
  <c r="J90" i="3"/>
  <c r="O90" i="3"/>
  <c r="R90" i="3"/>
  <c r="W90" i="3"/>
  <c r="C85" i="3"/>
  <c r="D85" i="3"/>
  <c r="E85" i="3"/>
  <c r="F85" i="3"/>
  <c r="G85" i="3"/>
  <c r="C76" i="3"/>
  <c r="D76" i="3"/>
  <c r="C79" i="3"/>
  <c r="E79" i="3"/>
  <c r="D79" i="3"/>
  <c r="G80" i="3"/>
  <c r="N80" i="3"/>
  <c r="D80" i="3"/>
  <c r="E80" i="3"/>
  <c r="H80" i="3"/>
  <c r="K80" i="3"/>
  <c r="M80" i="3"/>
  <c r="C80" i="3"/>
  <c r="F80" i="3"/>
  <c r="I80" i="3"/>
  <c r="J80" i="3"/>
  <c r="L80" i="3"/>
  <c r="G72" i="3"/>
  <c r="D72" i="3"/>
  <c r="F72" i="3"/>
  <c r="I72" i="3"/>
  <c r="C72" i="3"/>
  <c r="E72" i="3"/>
  <c r="H72" i="3"/>
  <c r="C73" i="3"/>
  <c r="D73" i="3"/>
  <c r="E73" i="3"/>
  <c r="F73" i="3"/>
  <c r="C74" i="3"/>
  <c r="K74" i="3"/>
  <c r="S74" i="3"/>
  <c r="G74" i="3"/>
  <c r="N74" i="3"/>
  <c r="P74" i="3"/>
  <c r="V74" i="3"/>
  <c r="E74" i="3"/>
  <c r="J74" i="3"/>
  <c r="M74" i="3"/>
  <c r="T74" i="3"/>
  <c r="H74" i="3"/>
  <c r="I74" i="3"/>
  <c r="O74" i="3"/>
  <c r="R74" i="3"/>
  <c r="D74" i="3"/>
  <c r="U74" i="3"/>
  <c r="F74" i="3"/>
  <c r="L74" i="3"/>
  <c r="Q74" i="3"/>
  <c r="C75" i="3"/>
  <c r="D75" i="3"/>
  <c r="C67" i="3"/>
  <c r="E67" i="3"/>
  <c r="J67" i="3"/>
  <c r="D67" i="3"/>
  <c r="G67" i="3"/>
  <c r="L67" i="3"/>
  <c r="H67" i="3"/>
  <c r="F67" i="3"/>
  <c r="I67" i="3"/>
  <c r="K67" i="3"/>
  <c r="D68" i="3"/>
  <c r="G68" i="3"/>
  <c r="M68" i="3"/>
  <c r="H68" i="3"/>
  <c r="Q68" i="3"/>
  <c r="E68" i="3"/>
  <c r="J68" i="3"/>
  <c r="O68" i="3"/>
  <c r="N68" i="3"/>
  <c r="C68" i="3"/>
  <c r="F68" i="3"/>
  <c r="L68" i="3"/>
  <c r="P68" i="3"/>
  <c r="I68" i="3"/>
  <c r="K68" i="3"/>
  <c r="R68" i="3"/>
  <c r="C69" i="3"/>
  <c r="F69" i="3"/>
  <c r="D69" i="3"/>
  <c r="E69" i="3"/>
  <c r="G69" i="3"/>
  <c r="CD70" i="3"/>
  <c r="CH70" i="3"/>
  <c r="CO70" i="3"/>
  <c r="CR70" i="3"/>
  <c r="CV70" i="3"/>
  <c r="DC70" i="3"/>
  <c r="DI70" i="3"/>
  <c r="DX70" i="3"/>
  <c r="EA70" i="3"/>
  <c r="EI70" i="3"/>
  <c r="EQ70" i="3"/>
  <c r="D70" i="3"/>
  <c r="K70" i="3"/>
  <c r="R70" i="3"/>
  <c r="AE70" i="3"/>
  <c r="AZ70" i="3"/>
  <c r="BR70" i="3"/>
  <c r="CI70" i="3"/>
  <c r="DA70" i="3"/>
  <c r="DM70" i="3"/>
  <c r="DS70" i="3"/>
  <c r="DV70" i="3"/>
  <c r="EF70" i="3"/>
  <c r="EL70" i="3"/>
  <c r="EP70" i="3"/>
  <c r="ET70" i="3"/>
  <c r="EX70" i="3"/>
  <c r="M70" i="3"/>
  <c r="Y70" i="3"/>
  <c r="AC70" i="3"/>
  <c r="AV70" i="3"/>
  <c r="BI70" i="3"/>
  <c r="BO70" i="3"/>
  <c r="CE70" i="3"/>
  <c r="CN70" i="3"/>
  <c r="CX70" i="3"/>
  <c r="DE70" i="3"/>
  <c r="DJ70" i="3"/>
  <c r="DN70" i="3"/>
  <c r="DT70" i="3"/>
  <c r="EB70" i="3"/>
  <c r="EE70" i="3"/>
  <c r="EO70" i="3"/>
  <c r="G70" i="3"/>
  <c r="N70" i="3"/>
  <c r="W70" i="3"/>
  <c r="AD70" i="3"/>
  <c r="AL70" i="3"/>
  <c r="AO70" i="3"/>
  <c r="AR70" i="3"/>
  <c r="BA70" i="3"/>
  <c r="BD70" i="3"/>
  <c r="BG70" i="3"/>
  <c r="BJ70" i="3"/>
  <c r="BT70" i="3"/>
  <c r="BW70" i="3"/>
  <c r="CA70" i="3"/>
  <c r="CF70" i="3"/>
  <c r="CT70" i="3"/>
  <c r="CW70" i="3"/>
  <c r="CZ70" i="3"/>
  <c r="DU70" i="3"/>
  <c r="EJ70" i="3"/>
  <c r="ES70" i="3"/>
  <c r="EW70" i="3"/>
  <c r="C70" i="3"/>
  <c r="E70" i="3"/>
  <c r="I70" i="3"/>
  <c r="J70" i="3"/>
  <c r="P70" i="3"/>
  <c r="T70" i="3"/>
  <c r="AA70" i="3"/>
  <c r="AK70" i="3"/>
  <c r="AY70" i="3"/>
  <c r="BC70" i="3"/>
  <c r="BL70" i="3"/>
  <c r="BY70" i="3"/>
  <c r="CC70" i="3"/>
  <c r="CG70" i="3"/>
  <c r="CM70" i="3"/>
  <c r="CP70" i="3"/>
  <c r="DD70" i="3"/>
  <c r="DL70" i="3"/>
  <c r="DQ70" i="3"/>
  <c r="EC70" i="3"/>
  <c r="O70" i="3"/>
  <c r="U70" i="3"/>
  <c r="X70" i="3"/>
  <c r="AF70" i="3"/>
  <c r="AI70" i="3"/>
  <c r="H70" i="3"/>
  <c r="S70" i="3"/>
  <c r="Z70" i="3"/>
  <c r="AG70" i="3"/>
  <c r="AJ70" i="3"/>
  <c r="AP70" i="3"/>
  <c r="AU70" i="3"/>
  <c r="BF70" i="3"/>
  <c r="BK70" i="3"/>
  <c r="BP70" i="3"/>
  <c r="BU70" i="3"/>
  <c r="BZ70" i="3"/>
  <c r="CJ70" i="3"/>
  <c r="CS70" i="3"/>
  <c r="CY70" i="3"/>
  <c r="DB70" i="3"/>
  <c r="DH70" i="3"/>
  <c r="DO70" i="3"/>
  <c r="DR70" i="3"/>
  <c r="DZ70" i="3"/>
  <c r="ED70" i="3"/>
  <c r="EK70" i="3"/>
  <c r="ER70" i="3"/>
  <c r="EU70" i="3"/>
  <c r="AN70" i="3"/>
  <c r="AS70" i="3"/>
  <c r="AW70" i="3"/>
  <c r="L70" i="3"/>
  <c r="V70" i="3"/>
  <c r="AH70" i="3"/>
  <c r="AM70" i="3"/>
  <c r="AQ70" i="3"/>
  <c r="AT70" i="3"/>
  <c r="BN70" i="3"/>
  <c r="BV70" i="3"/>
  <c r="CB70" i="3"/>
  <c r="CL70" i="3"/>
  <c r="CQ70" i="3"/>
  <c r="DG70" i="3"/>
  <c r="DK70" i="3"/>
  <c r="DP70" i="3"/>
  <c r="DY70" i="3"/>
  <c r="EM70" i="3"/>
  <c r="EZ70" i="3"/>
  <c r="BB70" i="3"/>
  <c r="BE70" i="3"/>
  <c r="BH70" i="3"/>
  <c r="BM70" i="3"/>
  <c r="BS70" i="3"/>
  <c r="F70" i="3"/>
  <c r="Q70" i="3"/>
  <c r="AB70" i="3"/>
  <c r="AX70" i="3"/>
  <c r="BQ70" i="3"/>
  <c r="BX70" i="3"/>
  <c r="CK70" i="3"/>
  <c r="CU70" i="3"/>
  <c r="DF70" i="3"/>
  <c r="DW70" i="3"/>
  <c r="EG70" i="3"/>
  <c r="EN70" i="3"/>
  <c r="EV70" i="3"/>
  <c r="EY70" i="3"/>
  <c r="I62" i="3"/>
  <c r="G62" i="3"/>
  <c r="C62" i="3"/>
  <c r="F62" i="3"/>
  <c r="H62" i="3"/>
  <c r="J62" i="3"/>
  <c r="E62" i="3"/>
  <c r="D62" i="3"/>
  <c r="C63" i="3"/>
  <c r="E63" i="3"/>
  <c r="D63" i="3"/>
  <c r="F63" i="3"/>
  <c r="H64" i="3"/>
  <c r="E64" i="3"/>
  <c r="I64" i="3"/>
  <c r="D64" i="3"/>
  <c r="C64" i="3"/>
  <c r="G64" i="3"/>
  <c r="F64" i="3"/>
  <c r="I65" i="3"/>
  <c r="J65" i="3"/>
  <c r="G65" i="3"/>
  <c r="F65" i="3"/>
  <c r="E65" i="3"/>
  <c r="K65" i="3"/>
  <c r="C65" i="3"/>
  <c r="D65" i="3"/>
  <c r="H65" i="3"/>
  <c r="H58" i="3"/>
  <c r="C58" i="3"/>
  <c r="D58" i="3"/>
  <c r="E58" i="3"/>
  <c r="I58" i="3"/>
  <c r="G58" i="3"/>
  <c r="F58" i="3"/>
  <c r="F59" i="3"/>
  <c r="E59" i="3"/>
  <c r="H59" i="3"/>
  <c r="D59" i="3"/>
  <c r="G59" i="3"/>
  <c r="C59" i="3"/>
  <c r="I59" i="3"/>
  <c r="CL60" i="3"/>
  <c r="CQ60" i="3"/>
  <c r="CW60" i="3"/>
  <c r="DD60" i="3"/>
  <c r="L60" i="3"/>
  <c r="T60" i="3"/>
  <c r="Z60" i="3"/>
  <c r="AB60" i="3"/>
  <c r="AK60" i="3"/>
  <c r="AR60" i="3"/>
  <c r="AU60" i="3"/>
  <c r="AZ60" i="3"/>
  <c r="BE60" i="3"/>
  <c r="BK60" i="3"/>
  <c r="BR60" i="3"/>
  <c r="BT60" i="3"/>
  <c r="BY60" i="3"/>
  <c r="CE60" i="3"/>
  <c r="CI60" i="3"/>
  <c r="CP60" i="3"/>
  <c r="DA60" i="3"/>
  <c r="DC60" i="3"/>
  <c r="F60" i="3"/>
  <c r="K60" i="3"/>
  <c r="P60" i="3"/>
  <c r="AI60" i="3"/>
  <c r="AN60" i="3"/>
  <c r="AS60" i="3"/>
  <c r="AX60" i="3"/>
  <c r="BC60" i="3"/>
  <c r="BF60" i="3"/>
  <c r="BO60" i="3"/>
  <c r="CF60" i="3"/>
  <c r="CZ60" i="3"/>
  <c r="M60" i="3"/>
  <c r="S60" i="3"/>
  <c r="X60" i="3"/>
  <c r="AC60" i="3"/>
  <c r="AF60" i="3"/>
  <c r="AO60" i="3"/>
  <c r="AV60" i="3"/>
  <c r="BB60" i="3"/>
  <c r="BG60" i="3"/>
  <c r="BN60" i="3"/>
  <c r="BS60" i="3"/>
  <c r="BV60" i="3"/>
  <c r="BX60" i="3"/>
  <c r="CH60" i="3"/>
  <c r="CO60" i="3"/>
  <c r="CT60" i="3"/>
  <c r="DB60" i="3"/>
  <c r="D60" i="3"/>
  <c r="G60" i="3"/>
  <c r="J60" i="3"/>
  <c r="Q60" i="3"/>
  <c r="AG60" i="3"/>
  <c r="AM60" i="3"/>
  <c r="O60" i="3"/>
  <c r="V60" i="3"/>
  <c r="AA60" i="3"/>
  <c r="AL60" i="3"/>
  <c r="AQ60" i="3"/>
  <c r="BI60" i="3"/>
  <c r="BP60" i="3"/>
  <c r="BW60" i="3"/>
  <c r="CC60" i="3"/>
  <c r="CG60" i="3"/>
  <c r="CN60" i="3"/>
  <c r="CY60" i="3"/>
  <c r="AW60" i="3"/>
  <c r="BA60" i="3"/>
  <c r="E60" i="3"/>
  <c r="I60" i="3"/>
  <c r="N60" i="3"/>
  <c r="W60" i="3"/>
  <c r="BL60" i="3"/>
  <c r="AJ60" i="3"/>
  <c r="AT60" i="3"/>
  <c r="BH60" i="3"/>
  <c r="BM60" i="3"/>
  <c r="BU60" i="3"/>
  <c r="CA60" i="3"/>
  <c r="CK60" i="3"/>
  <c r="CS60" i="3"/>
  <c r="CV60" i="3"/>
  <c r="CX60" i="3"/>
  <c r="C60" i="3"/>
  <c r="H60" i="3"/>
  <c r="R60" i="3"/>
  <c r="U60" i="3"/>
  <c r="AD60" i="3"/>
  <c r="AE60" i="3"/>
  <c r="AH60" i="3"/>
  <c r="AP60" i="3"/>
  <c r="AY60" i="3"/>
  <c r="BD60" i="3"/>
  <c r="BJ60" i="3"/>
  <c r="BQ60" i="3"/>
  <c r="BZ60" i="3"/>
  <c r="CD60" i="3"/>
  <c r="CJ60" i="3"/>
  <c r="CM60" i="3"/>
  <c r="CR60" i="3"/>
  <c r="CU60" i="3"/>
  <c r="CB60" i="3"/>
  <c r="Y60" i="3"/>
  <c r="F52" i="3"/>
  <c r="C52" i="3"/>
  <c r="E52" i="3"/>
  <c r="D52" i="3"/>
  <c r="F53" i="3"/>
  <c r="J53" i="3"/>
  <c r="P53" i="3"/>
  <c r="C53" i="3"/>
  <c r="M53" i="3"/>
  <c r="I53" i="3"/>
  <c r="D53" i="3"/>
  <c r="K53" i="3"/>
  <c r="O53" i="3"/>
  <c r="E53" i="3"/>
  <c r="L53" i="3"/>
  <c r="H53" i="3"/>
  <c r="G53" i="3"/>
  <c r="N53" i="3"/>
  <c r="F54" i="3"/>
  <c r="J54" i="3"/>
  <c r="H54" i="3"/>
  <c r="D54" i="3"/>
  <c r="E54" i="3"/>
  <c r="G54" i="3"/>
  <c r="I54" i="3"/>
  <c r="C54" i="3"/>
  <c r="JF55" i="3"/>
  <c r="JG55" i="3"/>
  <c r="JH55" i="3"/>
  <c r="JI55" i="3"/>
  <c r="JJ55" i="3"/>
  <c r="JK55" i="3"/>
  <c r="JL55" i="3"/>
  <c r="G55" i="3"/>
  <c r="E55" i="3"/>
  <c r="JM55" i="3"/>
  <c r="F55" i="3"/>
  <c r="D55" i="3"/>
  <c r="C55" i="3"/>
  <c r="G47" i="3"/>
  <c r="H47" i="3"/>
  <c r="I47" i="3"/>
  <c r="D47" i="3"/>
  <c r="C47" i="3"/>
  <c r="F47" i="3"/>
  <c r="E47" i="3"/>
  <c r="E48" i="3"/>
  <c r="L48" i="3"/>
  <c r="J48" i="3"/>
  <c r="G48" i="3"/>
  <c r="D48" i="3"/>
  <c r="C48" i="3"/>
  <c r="K48" i="3"/>
  <c r="I48" i="3"/>
  <c r="F48" i="3"/>
  <c r="H48" i="3"/>
  <c r="M48" i="3"/>
  <c r="F49" i="3"/>
  <c r="P49" i="3"/>
  <c r="O49" i="3"/>
  <c r="D49" i="3"/>
  <c r="L49" i="3"/>
  <c r="E49" i="3"/>
  <c r="M49" i="3"/>
  <c r="S49" i="3"/>
  <c r="T49" i="3"/>
  <c r="G49" i="3"/>
  <c r="I49" i="3"/>
  <c r="N49" i="3"/>
  <c r="Q49" i="3"/>
  <c r="C49" i="3"/>
  <c r="H49" i="3"/>
  <c r="K49" i="3"/>
  <c r="R49" i="3"/>
  <c r="J49" i="3"/>
  <c r="GN50" i="3"/>
  <c r="GO50" i="3"/>
  <c r="GP50" i="3"/>
  <c r="GQ50" i="3"/>
  <c r="GR50" i="3"/>
  <c r="GS50" i="3"/>
  <c r="GT50" i="3"/>
  <c r="GU50" i="3"/>
  <c r="GV50" i="3"/>
  <c r="GW50" i="3"/>
  <c r="GX50" i="3"/>
  <c r="GY50" i="3"/>
  <c r="GZ50" i="3"/>
  <c r="HA50" i="3"/>
  <c r="HB50" i="3"/>
  <c r="HC50" i="3"/>
  <c r="HD50" i="3"/>
  <c r="HE50" i="3"/>
  <c r="HF50" i="3"/>
  <c r="HG50" i="3"/>
  <c r="HH50" i="3"/>
  <c r="HI50" i="3"/>
  <c r="HJ50" i="3"/>
  <c r="HK50" i="3"/>
  <c r="HL50" i="3"/>
  <c r="HM50" i="3"/>
  <c r="HN50" i="3"/>
  <c r="HO50" i="3"/>
  <c r="HP50" i="3"/>
  <c r="HQ50" i="3"/>
  <c r="HR50" i="3"/>
  <c r="HS50" i="3"/>
  <c r="HT50" i="3"/>
  <c r="HU50" i="3"/>
  <c r="HV50" i="3"/>
  <c r="HW50" i="3"/>
  <c r="HX50" i="3"/>
  <c r="HY50" i="3"/>
  <c r="HZ50" i="3"/>
  <c r="IA50" i="3"/>
  <c r="IB50" i="3"/>
  <c r="IC50" i="3"/>
  <c r="ID50" i="3"/>
  <c r="IE50" i="3"/>
  <c r="IF50" i="3"/>
  <c r="IG50" i="3"/>
  <c r="IH50" i="3"/>
  <c r="II50" i="3"/>
  <c r="IJ50" i="3"/>
  <c r="IK50" i="3"/>
  <c r="IL50" i="3"/>
  <c r="IM50" i="3"/>
  <c r="IN50" i="3"/>
  <c r="IO50" i="3"/>
  <c r="IP50" i="3"/>
  <c r="IQ50" i="3"/>
  <c r="IR50" i="3"/>
  <c r="IS50" i="3"/>
  <c r="IT50" i="3"/>
  <c r="IU50" i="3"/>
  <c r="IV50" i="3"/>
  <c r="IW50" i="3"/>
  <c r="IX50" i="3"/>
  <c r="IY50" i="3"/>
  <c r="IZ50" i="3"/>
  <c r="JA50" i="3"/>
  <c r="JB50" i="3"/>
  <c r="JC50" i="3"/>
  <c r="JD50" i="3"/>
  <c r="JE50" i="3"/>
  <c r="JF50" i="3"/>
  <c r="JG50" i="3"/>
  <c r="JH50" i="3"/>
  <c r="JI50" i="3"/>
  <c r="JJ50" i="3"/>
  <c r="JK50" i="3"/>
  <c r="FI50" i="3"/>
  <c r="JM50" i="3"/>
  <c r="FJ50" i="3"/>
  <c r="FK50" i="3"/>
  <c r="FL50" i="3"/>
  <c r="FM50" i="3"/>
  <c r="FN50" i="3"/>
  <c r="FO50" i="3"/>
  <c r="FP50" i="3"/>
  <c r="FQ50" i="3"/>
  <c r="FR50" i="3"/>
  <c r="FS50" i="3"/>
  <c r="FT50" i="3"/>
  <c r="FU50" i="3"/>
  <c r="FV50" i="3"/>
  <c r="FW50" i="3"/>
  <c r="FX50" i="3"/>
  <c r="FY50" i="3"/>
  <c r="JL50" i="3"/>
  <c r="FZ50" i="3"/>
  <c r="C50" i="3"/>
  <c r="F50" i="3"/>
  <c r="GA50" i="3"/>
  <c r="GB50" i="3"/>
  <c r="GC50" i="3"/>
  <c r="GD50" i="3"/>
  <c r="GE50" i="3"/>
  <c r="GF50" i="3"/>
  <c r="GG50" i="3"/>
  <c r="GH50" i="3"/>
  <c r="GI50" i="3"/>
  <c r="GJ50" i="3"/>
  <c r="E50" i="3"/>
  <c r="GK50" i="3"/>
  <c r="GL50" i="3"/>
  <c r="GM50" i="3"/>
  <c r="D50" i="3"/>
  <c r="D42" i="3"/>
  <c r="J42" i="3"/>
  <c r="E42" i="3"/>
  <c r="K42" i="3"/>
  <c r="C42" i="3"/>
  <c r="I42" i="3"/>
  <c r="G42" i="3"/>
  <c r="H42" i="3"/>
  <c r="L42" i="3"/>
  <c r="F42" i="3"/>
  <c r="C43" i="3"/>
  <c r="D43" i="3"/>
  <c r="E43" i="3"/>
  <c r="C44" i="3"/>
  <c r="F44" i="3"/>
  <c r="N44" i="3"/>
  <c r="E44" i="3"/>
  <c r="K44" i="3"/>
  <c r="H44" i="3"/>
  <c r="M44" i="3"/>
  <c r="D44" i="3"/>
  <c r="I44" i="3"/>
  <c r="L44" i="3"/>
  <c r="J44" i="3"/>
  <c r="G44" i="3"/>
  <c r="CL45" i="3"/>
  <c r="CM45" i="3"/>
  <c r="CN45" i="3"/>
  <c r="CO45" i="3"/>
  <c r="CP45" i="3"/>
  <c r="CQ45" i="3"/>
  <c r="CR45" i="3"/>
  <c r="CS45" i="3"/>
  <c r="CT45" i="3"/>
  <c r="CU45" i="3"/>
  <c r="CV45" i="3"/>
  <c r="CW45" i="3"/>
  <c r="CX45" i="3"/>
  <c r="CY45" i="3"/>
  <c r="CZ45" i="3"/>
  <c r="DA45" i="3"/>
  <c r="DB45" i="3"/>
  <c r="DC45" i="3"/>
  <c r="DD45" i="3"/>
  <c r="DE45" i="3"/>
  <c r="DF45" i="3"/>
  <c r="DG45" i="3"/>
  <c r="DH45" i="3"/>
  <c r="DI45" i="3"/>
  <c r="DJ45" i="3"/>
  <c r="DK45" i="3"/>
  <c r="DL45" i="3"/>
  <c r="DM45" i="3"/>
  <c r="DN45" i="3"/>
  <c r="DO45" i="3"/>
  <c r="DP45" i="3"/>
  <c r="DQ45" i="3"/>
  <c r="DR45" i="3"/>
  <c r="DS45" i="3"/>
  <c r="DT45" i="3"/>
  <c r="DU45" i="3"/>
  <c r="DV45" i="3"/>
  <c r="DW45" i="3"/>
  <c r="DX45" i="3"/>
  <c r="DY45" i="3"/>
  <c r="DZ45" i="3"/>
  <c r="EA45" i="3"/>
  <c r="EB45" i="3"/>
  <c r="EC45" i="3"/>
  <c r="ED45" i="3"/>
  <c r="EE45" i="3"/>
  <c r="EF45" i="3"/>
  <c r="EG45" i="3"/>
  <c r="EI45" i="3"/>
  <c r="EJ45" i="3"/>
  <c r="EK45" i="3"/>
  <c r="EL45" i="3"/>
  <c r="EM45" i="3"/>
  <c r="EN45" i="3"/>
  <c r="EO45" i="3"/>
  <c r="EP45" i="3"/>
  <c r="EQ45" i="3"/>
  <c r="ER45" i="3"/>
  <c r="ES45" i="3"/>
  <c r="ET45" i="3"/>
  <c r="EU45" i="3"/>
  <c r="EV45" i="3"/>
  <c r="EW45" i="3"/>
  <c r="EX45" i="3"/>
  <c r="EY45" i="3"/>
  <c r="EZ45" i="3"/>
  <c r="FA45" i="3"/>
  <c r="FB45" i="3"/>
  <c r="FC45" i="3"/>
  <c r="FD45" i="3"/>
  <c r="FE45" i="3"/>
  <c r="FF45" i="3"/>
  <c r="FG45" i="3"/>
  <c r="FH45" i="3"/>
  <c r="FI45" i="3"/>
  <c r="FJ45" i="3"/>
  <c r="FK45" i="3"/>
  <c r="FL45" i="3"/>
  <c r="FM45" i="3"/>
  <c r="FN45" i="3"/>
  <c r="FO45" i="3"/>
  <c r="FP45" i="3"/>
  <c r="FQ45" i="3"/>
  <c r="FR45" i="3"/>
  <c r="FS45" i="3"/>
  <c r="FT45" i="3"/>
  <c r="FU45" i="3"/>
  <c r="FV45" i="3"/>
  <c r="FW45" i="3"/>
  <c r="FX45" i="3"/>
  <c r="FY45" i="3"/>
  <c r="FZ45" i="3"/>
  <c r="GA45" i="3"/>
  <c r="GB45" i="3"/>
  <c r="GC45" i="3"/>
  <c r="GD45" i="3"/>
  <c r="GE45" i="3"/>
  <c r="GF45" i="3"/>
  <c r="GG45" i="3"/>
  <c r="GH45" i="3"/>
  <c r="GI45" i="3"/>
  <c r="GJ45" i="3"/>
  <c r="GK45" i="3"/>
  <c r="GL45" i="3"/>
  <c r="GM45" i="3"/>
  <c r="GN45" i="3"/>
  <c r="GO45" i="3"/>
  <c r="GP45" i="3"/>
  <c r="GQ45" i="3"/>
  <c r="GR45" i="3"/>
  <c r="GS45" i="3"/>
  <c r="GT45" i="3"/>
  <c r="GU45" i="3"/>
  <c r="GV45" i="3"/>
  <c r="GW45" i="3"/>
  <c r="GX45" i="3"/>
  <c r="GY45" i="3"/>
  <c r="GZ45" i="3"/>
  <c r="HA45" i="3"/>
  <c r="HB45" i="3"/>
  <c r="HC45" i="3"/>
  <c r="HD45" i="3"/>
  <c r="HE45" i="3"/>
  <c r="HF45" i="3"/>
  <c r="HG45" i="3"/>
  <c r="HH45" i="3"/>
  <c r="HI45" i="3"/>
  <c r="HJ45" i="3"/>
  <c r="HK45" i="3"/>
  <c r="HL45" i="3"/>
  <c r="HM45" i="3"/>
  <c r="HN45" i="3"/>
  <c r="HO45" i="3"/>
  <c r="HP45" i="3"/>
  <c r="HQ45" i="3"/>
  <c r="HR45" i="3"/>
  <c r="HS45" i="3"/>
  <c r="HT45" i="3"/>
  <c r="HU45" i="3"/>
  <c r="HV45" i="3"/>
  <c r="HW45" i="3"/>
  <c r="HX45" i="3"/>
  <c r="HY45" i="3"/>
  <c r="HZ45" i="3"/>
  <c r="IA45" i="3"/>
  <c r="IB45" i="3"/>
  <c r="IC45" i="3"/>
  <c r="ID45" i="3"/>
  <c r="IE45" i="3"/>
  <c r="BR45" i="3"/>
  <c r="IG45" i="3"/>
  <c r="IH45" i="3"/>
  <c r="II45" i="3"/>
  <c r="IJ45" i="3"/>
  <c r="IK45" i="3"/>
  <c r="IL45" i="3"/>
  <c r="IM45" i="3"/>
  <c r="IN45" i="3"/>
  <c r="IO45" i="3"/>
  <c r="IP45" i="3"/>
  <c r="IQ45" i="3"/>
  <c r="IR45" i="3"/>
  <c r="IS45" i="3"/>
  <c r="IT45" i="3"/>
  <c r="IU45" i="3"/>
  <c r="IV45" i="3"/>
  <c r="IW45" i="3"/>
  <c r="IX45" i="3"/>
  <c r="IY45" i="3"/>
  <c r="IZ45" i="3"/>
  <c r="JA45" i="3"/>
  <c r="JB45" i="3"/>
  <c r="JC45" i="3"/>
  <c r="JD45" i="3"/>
  <c r="JE45" i="3"/>
  <c r="JF45" i="3"/>
  <c r="JG45" i="3"/>
  <c r="JH45" i="3"/>
  <c r="IF45" i="3"/>
  <c r="JJ45" i="3"/>
  <c r="JK45" i="3"/>
  <c r="JL45" i="3"/>
  <c r="JM45" i="3"/>
  <c r="BS45" i="3"/>
  <c r="BT45" i="3"/>
  <c r="BU45" i="3"/>
  <c r="BV45" i="3"/>
  <c r="BW45" i="3"/>
  <c r="BX45" i="3"/>
  <c r="BY45" i="3"/>
  <c r="C45" i="3"/>
  <c r="E45" i="3"/>
  <c r="BZ45" i="3"/>
  <c r="CA45" i="3"/>
  <c r="CB45" i="3"/>
  <c r="CC45" i="3"/>
  <c r="CD45" i="3"/>
  <c r="CE45" i="3"/>
  <c r="CF45" i="3"/>
  <c r="D45" i="3"/>
  <c r="G45" i="3"/>
  <c r="CG45" i="3"/>
  <c r="CH45" i="3"/>
  <c r="CI45" i="3"/>
  <c r="F45" i="3"/>
  <c r="CJ45" i="3"/>
  <c r="CK45" i="3"/>
  <c r="JI45" i="3"/>
  <c r="H37" i="3"/>
  <c r="C37" i="3"/>
  <c r="F37" i="3"/>
  <c r="E37" i="3"/>
  <c r="G37" i="3"/>
  <c r="I37" i="3"/>
  <c r="J37" i="3"/>
  <c r="L37" i="3"/>
  <c r="N37" i="3"/>
  <c r="D37" i="3"/>
  <c r="K37" i="3"/>
  <c r="M37" i="3"/>
  <c r="E38" i="3"/>
  <c r="C38" i="3"/>
  <c r="F38" i="3"/>
  <c r="D38" i="3"/>
  <c r="IO39" i="3"/>
  <c r="IP39" i="3"/>
  <c r="IQ39" i="3"/>
  <c r="IR39" i="3"/>
  <c r="IS39" i="3"/>
  <c r="IT39" i="3"/>
  <c r="IU39" i="3"/>
  <c r="IV39" i="3"/>
  <c r="IW39" i="3"/>
  <c r="IX39" i="3"/>
  <c r="IY39" i="3"/>
  <c r="IZ39" i="3"/>
  <c r="JA39" i="3"/>
  <c r="JB39" i="3"/>
  <c r="IF39" i="3"/>
  <c r="JD39" i="3"/>
  <c r="JE39" i="3"/>
  <c r="JF39" i="3"/>
  <c r="JG39" i="3"/>
  <c r="JH39" i="3"/>
  <c r="JI39" i="3"/>
  <c r="JJ39" i="3"/>
  <c r="JK39" i="3"/>
  <c r="JL39" i="3"/>
  <c r="JM39" i="3"/>
  <c r="IA39" i="3"/>
  <c r="C39" i="3"/>
  <c r="G39" i="3"/>
  <c r="IB39" i="3"/>
  <c r="IC39" i="3"/>
  <c r="F39" i="3"/>
  <c r="ID39" i="3"/>
  <c r="IE39" i="3"/>
  <c r="D39" i="3"/>
  <c r="IG39" i="3"/>
  <c r="IH39" i="3"/>
  <c r="JC39" i="3"/>
  <c r="II39" i="3"/>
  <c r="IJ39" i="3"/>
  <c r="IK39" i="3"/>
  <c r="IL39" i="3"/>
  <c r="IM39" i="3"/>
  <c r="IN39" i="3"/>
  <c r="E39" i="3"/>
  <c r="C32" i="3"/>
  <c r="E32" i="3"/>
  <c r="D32" i="3"/>
  <c r="C33" i="3"/>
  <c r="E33" i="3"/>
  <c r="D33" i="3"/>
  <c r="EI34" i="3"/>
  <c r="EJ34" i="3"/>
  <c r="EK34" i="3"/>
  <c r="EL34" i="3"/>
  <c r="EM34" i="3"/>
  <c r="EN34" i="3"/>
  <c r="EO34" i="3"/>
  <c r="EP34" i="3"/>
  <c r="EQ34" i="3"/>
  <c r="ER34" i="3"/>
  <c r="ES34" i="3"/>
  <c r="ET34" i="3"/>
  <c r="EU34" i="3"/>
  <c r="EV34" i="3"/>
  <c r="EW34" i="3"/>
  <c r="EX34" i="3"/>
  <c r="EY34" i="3"/>
  <c r="EZ34" i="3"/>
  <c r="FA34" i="3"/>
  <c r="FB34" i="3"/>
  <c r="FC34" i="3"/>
  <c r="FD34" i="3"/>
  <c r="FE34" i="3"/>
  <c r="FF34" i="3"/>
  <c r="FG34" i="3"/>
  <c r="FH34" i="3"/>
  <c r="FI34" i="3"/>
  <c r="FJ34" i="3"/>
  <c r="FK34" i="3"/>
  <c r="FL34" i="3"/>
  <c r="FM34" i="3"/>
  <c r="FN34" i="3"/>
  <c r="FO34" i="3"/>
  <c r="FP34" i="3"/>
  <c r="FQ34" i="3"/>
  <c r="FR34" i="3"/>
  <c r="FS34" i="3"/>
  <c r="FT34" i="3"/>
  <c r="FU34" i="3"/>
  <c r="FV34" i="3"/>
  <c r="FW34" i="3"/>
  <c r="FX34" i="3"/>
  <c r="FY34" i="3"/>
  <c r="FZ34" i="3"/>
  <c r="GA34" i="3"/>
  <c r="GB34" i="3"/>
  <c r="GC34" i="3"/>
  <c r="GD34" i="3"/>
  <c r="GE34" i="3"/>
  <c r="GF34" i="3"/>
  <c r="GG34" i="3"/>
  <c r="GH34" i="3"/>
  <c r="GI34" i="3"/>
  <c r="GJ34" i="3"/>
  <c r="GK34" i="3"/>
  <c r="GL34" i="3"/>
  <c r="GM34" i="3"/>
  <c r="GN34" i="3"/>
  <c r="GO34" i="3"/>
  <c r="GP34" i="3"/>
  <c r="GQ34" i="3"/>
  <c r="GR34" i="3"/>
  <c r="GS34" i="3"/>
  <c r="GT34" i="3"/>
  <c r="GU34" i="3"/>
  <c r="GV34" i="3"/>
  <c r="GW34" i="3"/>
  <c r="GX34" i="3"/>
  <c r="GY34" i="3"/>
  <c r="GZ34" i="3"/>
  <c r="HA34" i="3"/>
  <c r="HB34" i="3"/>
  <c r="HC34" i="3"/>
  <c r="HD34" i="3"/>
  <c r="HE34" i="3"/>
  <c r="HF34" i="3"/>
  <c r="HG34" i="3"/>
  <c r="HH34" i="3"/>
  <c r="HI34" i="3"/>
  <c r="HJ34" i="3"/>
  <c r="HK34" i="3"/>
  <c r="HL34" i="3"/>
  <c r="HM34" i="3"/>
  <c r="HN34" i="3"/>
  <c r="HO34" i="3"/>
  <c r="HP34" i="3"/>
  <c r="HQ34" i="3"/>
  <c r="HR34" i="3"/>
  <c r="HS34" i="3"/>
  <c r="HT34" i="3"/>
  <c r="HU34" i="3"/>
  <c r="HV34" i="3"/>
  <c r="HW34" i="3"/>
  <c r="HX34" i="3"/>
  <c r="HY34" i="3"/>
  <c r="HZ34" i="3"/>
  <c r="IA34" i="3"/>
  <c r="IB34" i="3"/>
  <c r="IC34" i="3"/>
  <c r="ID34" i="3"/>
  <c r="IE34" i="3"/>
  <c r="IF34" i="3"/>
  <c r="IG34" i="3"/>
  <c r="IH34" i="3"/>
  <c r="II34" i="3"/>
  <c r="IJ34" i="3"/>
  <c r="IK34" i="3"/>
  <c r="IL34" i="3"/>
  <c r="IM34" i="3"/>
  <c r="IN34" i="3"/>
  <c r="IO34" i="3"/>
  <c r="IP34" i="3"/>
  <c r="IQ34" i="3"/>
  <c r="IR34" i="3"/>
  <c r="IS34" i="3"/>
  <c r="IT34" i="3"/>
  <c r="IU34" i="3"/>
  <c r="IV34" i="3"/>
  <c r="IW34" i="3"/>
  <c r="IX34" i="3"/>
  <c r="IY34" i="3"/>
  <c r="IZ34" i="3"/>
  <c r="JA34" i="3"/>
  <c r="JB34" i="3"/>
  <c r="JC34" i="3"/>
  <c r="JD34" i="3"/>
  <c r="JE34" i="3"/>
  <c r="JF34" i="3"/>
  <c r="JG34" i="3"/>
  <c r="JH34" i="3"/>
  <c r="JI34" i="3"/>
  <c r="JJ34" i="3"/>
  <c r="JK34" i="3"/>
  <c r="JL34" i="3"/>
  <c r="JM34" i="3"/>
  <c r="EC34" i="3"/>
  <c r="ED34" i="3"/>
  <c r="EE34" i="3"/>
  <c r="C34" i="3"/>
  <c r="EF34" i="3"/>
  <c r="EG34" i="3"/>
  <c r="D34" i="3"/>
  <c r="C27" i="3"/>
  <c r="D27" i="3"/>
  <c r="E27" i="3"/>
  <c r="G27" i="3"/>
  <c r="F27" i="3"/>
  <c r="G28" i="3"/>
  <c r="E28" i="3"/>
  <c r="C28" i="3"/>
  <c r="F28" i="3"/>
  <c r="D28" i="3"/>
  <c r="AW29" i="3"/>
  <c r="AX29" i="3"/>
  <c r="AY29" i="3"/>
  <c r="AZ29" i="3"/>
  <c r="BA29" i="3"/>
  <c r="BB29" i="3"/>
  <c r="BC29" i="3"/>
  <c r="BD29" i="3"/>
  <c r="BE29" i="3"/>
  <c r="BF29" i="3"/>
  <c r="BG29" i="3"/>
  <c r="BH29" i="3"/>
  <c r="BI29" i="3"/>
  <c r="BJ29" i="3"/>
  <c r="BK29" i="3"/>
  <c r="BL29" i="3"/>
  <c r="BM29" i="3"/>
  <c r="BN29" i="3"/>
  <c r="BO29" i="3"/>
  <c r="BP29" i="3"/>
  <c r="BQ29" i="3"/>
  <c r="BR29" i="3"/>
  <c r="BS29" i="3"/>
  <c r="BT29" i="3"/>
  <c r="BU29" i="3"/>
  <c r="BV29" i="3"/>
  <c r="BW29" i="3"/>
  <c r="BX29" i="3"/>
  <c r="BY29" i="3"/>
  <c r="BZ29" i="3"/>
  <c r="CA29" i="3"/>
  <c r="CB29" i="3"/>
  <c r="CC29" i="3"/>
  <c r="CD29" i="3"/>
  <c r="CE29" i="3"/>
  <c r="CF29" i="3"/>
  <c r="CG29" i="3"/>
  <c r="CH29" i="3"/>
  <c r="CI29" i="3"/>
  <c r="CJ29" i="3"/>
  <c r="CK29" i="3"/>
  <c r="CL29" i="3"/>
  <c r="CM29" i="3"/>
  <c r="CN29" i="3"/>
  <c r="CO29" i="3"/>
  <c r="CP29" i="3"/>
  <c r="CQ29" i="3"/>
  <c r="CR29" i="3"/>
  <c r="CS29" i="3"/>
  <c r="CT29" i="3"/>
  <c r="CU29" i="3"/>
  <c r="CV29" i="3"/>
  <c r="CW29" i="3"/>
  <c r="CX29" i="3"/>
  <c r="CY29" i="3"/>
  <c r="CZ29" i="3"/>
  <c r="DA29" i="3"/>
  <c r="DB29" i="3"/>
  <c r="DC29" i="3"/>
  <c r="DD29" i="3"/>
  <c r="DE29" i="3"/>
  <c r="DF29" i="3"/>
  <c r="DG29" i="3"/>
  <c r="DH29" i="3"/>
  <c r="DI29" i="3"/>
  <c r="DJ29" i="3"/>
  <c r="DK29" i="3"/>
  <c r="DL29" i="3"/>
  <c r="DM29" i="3"/>
  <c r="DN29" i="3"/>
  <c r="DO29" i="3"/>
  <c r="DP29" i="3"/>
  <c r="DQ29" i="3"/>
  <c r="DR29" i="3"/>
  <c r="DS29" i="3"/>
  <c r="DT29" i="3"/>
  <c r="DU29" i="3"/>
  <c r="DV29" i="3"/>
  <c r="DW29" i="3"/>
  <c r="DX29" i="3"/>
  <c r="DY29" i="3"/>
  <c r="DZ29" i="3"/>
  <c r="EA29" i="3"/>
  <c r="EB29" i="3"/>
  <c r="EC29" i="3"/>
  <c r="ED29" i="3"/>
  <c r="EE29" i="3"/>
  <c r="EF29" i="3"/>
  <c r="EG29" i="3"/>
  <c r="EI29" i="3"/>
  <c r="EJ29" i="3"/>
  <c r="EK29" i="3"/>
  <c r="EL29" i="3"/>
  <c r="EM29" i="3"/>
  <c r="EN29" i="3"/>
  <c r="EO29" i="3"/>
  <c r="EP29" i="3"/>
  <c r="EQ29" i="3"/>
  <c r="ER29" i="3"/>
  <c r="ES29" i="3"/>
  <c r="ET29" i="3"/>
  <c r="EU29" i="3"/>
  <c r="EV29" i="3"/>
  <c r="EW29" i="3"/>
  <c r="EX29" i="3"/>
  <c r="EY29" i="3"/>
  <c r="EZ29" i="3"/>
  <c r="FA29" i="3"/>
  <c r="FB29" i="3"/>
  <c r="FC29" i="3"/>
  <c r="FD29" i="3"/>
  <c r="FE29" i="3"/>
  <c r="FF29" i="3"/>
  <c r="FG29" i="3"/>
  <c r="FH29" i="3"/>
  <c r="FI29" i="3"/>
  <c r="FJ29" i="3"/>
  <c r="FK29" i="3"/>
  <c r="FL29" i="3"/>
  <c r="FM29" i="3"/>
  <c r="FN29" i="3"/>
  <c r="FO29" i="3"/>
  <c r="FP29" i="3"/>
  <c r="FQ29" i="3"/>
  <c r="FR29" i="3"/>
  <c r="FS29" i="3"/>
  <c r="FT29" i="3"/>
  <c r="FU29" i="3"/>
  <c r="FV29" i="3"/>
  <c r="FW29" i="3"/>
  <c r="FX29" i="3"/>
  <c r="FY29" i="3"/>
  <c r="FZ29" i="3"/>
  <c r="GA29" i="3"/>
  <c r="GB29" i="3"/>
  <c r="GC29" i="3"/>
  <c r="GD29" i="3"/>
  <c r="GE29" i="3"/>
  <c r="GF29" i="3"/>
  <c r="GG29" i="3"/>
  <c r="GH29" i="3"/>
  <c r="GI29" i="3"/>
  <c r="GJ29" i="3"/>
  <c r="GK29" i="3"/>
  <c r="GL29" i="3"/>
  <c r="GM29" i="3"/>
  <c r="GN29" i="3"/>
  <c r="GO29" i="3"/>
  <c r="GP29" i="3"/>
  <c r="GQ29" i="3"/>
  <c r="GR29" i="3"/>
  <c r="GS29" i="3"/>
  <c r="GT29" i="3"/>
  <c r="GU29" i="3"/>
  <c r="GV29" i="3"/>
  <c r="GW29" i="3"/>
  <c r="GX29" i="3"/>
  <c r="GY29" i="3"/>
  <c r="GZ29" i="3"/>
  <c r="HA29" i="3"/>
  <c r="HB29" i="3"/>
  <c r="HC29" i="3"/>
  <c r="HD29" i="3"/>
  <c r="HE29" i="3"/>
  <c r="HF29" i="3"/>
  <c r="HG29" i="3"/>
  <c r="HH29" i="3"/>
  <c r="HI29" i="3"/>
  <c r="HJ29" i="3"/>
  <c r="HK29" i="3"/>
  <c r="HL29" i="3"/>
  <c r="HM29" i="3"/>
  <c r="HN29" i="3"/>
  <c r="HO29" i="3"/>
  <c r="HP29" i="3"/>
  <c r="AN29" i="3"/>
  <c r="HR29" i="3"/>
  <c r="HS29" i="3"/>
  <c r="HT29" i="3"/>
  <c r="HU29" i="3"/>
  <c r="HV29" i="3"/>
  <c r="HW29" i="3"/>
  <c r="HX29" i="3"/>
  <c r="HY29" i="3"/>
  <c r="HZ29" i="3"/>
  <c r="IA29" i="3"/>
  <c r="IB29" i="3"/>
  <c r="IC29" i="3"/>
  <c r="ID29" i="3"/>
  <c r="IE29" i="3"/>
  <c r="IF29" i="3"/>
  <c r="IG29" i="3"/>
  <c r="IH29" i="3"/>
  <c r="II29" i="3"/>
  <c r="IJ29" i="3"/>
  <c r="IK29" i="3"/>
  <c r="IL29" i="3"/>
  <c r="IM29" i="3"/>
  <c r="IN29" i="3"/>
  <c r="IO29" i="3"/>
  <c r="IP29" i="3"/>
  <c r="IQ29" i="3"/>
  <c r="IR29" i="3"/>
  <c r="IS29" i="3"/>
  <c r="IT29" i="3"/>
  <c r="IU29" i="3"/>
  <c r="HQ29" i="3"/>
  <c r="IW29" i="3"/>
  <c r="IX29" i="3"/>
  <c r="IY29" i="3"/>
  <c r="IZ29" i="3"/>
  <c r="JA29" i="3"/>
  <c r="JB29" i="3"/>
  <c r="JC29" i="3"/>
  <c r="JD29" i="3"/>
  <c r="JE29" i="3"/>
  <c r="JF29" i="3"/>
  <c r="JG29" i="3"/>
  <c r="JH29" i="3"/>
  <c r="JI29" i="3"/>
  <c r="JJ29" i="3"/>
  <c r="JK29" i="3"/>
  <c r="JL29" i="3"/>
  <c r="JM29" i="3"/>
  <c r="AO29" i="3"/>
  <c r="AP29" i="3"/>
  <c r="E29" i="3"/>
  <c r="AQ29" i="3"/>
  <c r="C29" i="3"/>
  <c r="G29" i="3"/>
  <c r="D29" i="3"/>
  <c r="AR29" i="3"/>
  <c r="AS29" i="3"/>
  <c r="AT29" i="3"/>
  <c r="F29" i="3"/>
  <c r="AU29" i="3"/>
  <c r="AV29" i="3"/>
  <c r="IV29" i="3"/>
  <c r="E22" i="3"/>
  <c r="C22" i="3"/>
  <c r="F22" i="3"/>
  <c r="D22" i="3"/>
  <c r="HA23" i="3"/>
  <c r="HB23" i="3"/>
  <c r="HC23" i="3"/>
  <c r="HD23" i="3"/>
  <c r="HE23" i="3"/>
  <c r="HF23" i="3"/>
  <c r="HG23" i="3"/>
  <c r="HH23" i="3"/>
  <c r="HI23" i="3"/>
  <c r="HJ23" i="3"/>
  <c r="HK23" i="3"/>
  <c r="HL23" i="3"/>
  <c r="HM23" i="3"/>
  <c r="HN23" i="3"/>
  <c r="HO23" i="3"/>
  <c r="HP23" i="3"/>
  <c r="HQ23" i="3"/>
  <c r="HR23" i="3"/>
  <c r="HS23" i="3"/>
  <c r="HT23" i="3"/>
  <c r="HU23" i="3"/>
  <c r="HV23" i="3"/>
  <c r="HW23" i="3"/>
  <c r="HX23" i="3"/>
  <c r="HY23" i="3"/>
  <c r="HZ23" i="3"/>
  <c r="IA23" i="3"/>
  <c r="IB23" i="3"/>
  <c r="IC23" i="3"/>
  <c r="ID23" i="3"/>
  <c r="IE23" i="3"/>
  <c r="IF23" i="3"/>
  <c r="IG23" i="3"/>
  <c r="IH23" i="3"/>
  <c r="II23" i="3"/>
  <c r="IJ23" i="3"/>
  <c r="IK23" i="3"/>
  <c r="IL23" i="3"/>
  <c r="IM23" i="3"/>
  <c r="IN23" i="3"/>
  <c r="IO23" i="3"/>
  <c r="IP23" i="3"/>
  <c r="IQ23" i="3"/>
  <c r="IR23" i="3"/>
  <c r="IS23" i="3"/>
  <c r="IT23" i="3"/>
  <c r="IU23" i="3"/>
  <c r="IV23" i="3"/>
  <c r="IW23" i="3"/>
  <c r="IX23" i="3"/>
  <c r="IY23" i="3"/>
  <c r="IZ23" i="3"/>
  <c r="JA23" i="3"/>
  <c r="JB23" i="3"/>
  <c r="JC23" i="3"/>
  <c r="JD23" i="3"/>
  <c r="JE23" i="3"/>
  <c r="JF23" i="3"/>
  <c r="JG23" i="3"/>
  <c r="JI23" i="3"/>
  <c r="JJ23" i="3"/>
  <c r="JK23" i="3"/>
  <c r="JL23" i="3"/>
  <c r="JM23" i="3"/>
  <c r="F23" i="3"/>
  <c r="D23" i="3"/>
  <c r="JH23" i="3"/>
  <c r="C23" i="3"/>
  <c r="E23" i="3"/>
  <c r="H23" i="3"/>
  <c r="GY23" i="3"/>
  <c r="GZ23" i="3"/>
  <c r="G23" i="3"/>
  <c r="C25" i="3"/>
  <c r="F25" i="3"/>
  <c r="G25" i="3"/>
  <c r="I25" i="3"/>
  <c r="H25" i="3"/>
  <c r="E25" i="3"/>
  <c r="D25" i="3"/>
  <c r="E17" i="3"/>
  <c r="D17" i="3"/>
  <c r="F17" i="3"/>
  <c r="G17" i="3"/>
  <c r="C17" i="3"/>
  <c r="DJ18" i="3"/>
  <c r="DK18" i="3"/>
  <c r="DL18" i="3"/>
  <c r="DM18" i="3"/>
  <c r="DN18" i="3"/>
  <c r="DO18" i="3"/>
  <c r="DP18" i="3"/>
  <c r="DQ18" i="3"/>
  <c r="DR18" i="3"/>
  <c r="DS18" i="3"/>
  <c r="DT18" i="3"/>
  <c r="DU18" i="3"/>
  <c r="DV18" i="3"/>
  <c r="DW18" i="3"/>
  <c r="DX18" i="3"/>
  <c r="DY18" i="3"/>
  <c r="DZ18" i="3"/>
  <c r="EA18" i="3"/>
  <c r="EB18" i="3"/>
  <c r="EC18" i="3"/>
  <c r="ED18" i="3"/>
  <c r="EE18" i="3"/>
  <c r="EF18" i="3"/>
  <c r="EG18" i="3"/>
  <c r="EI18" i="3"/>
  <c r="EJ18" i="3"/>
  <c r="EK18" i="3"/>
  <c r="EL18" i="3"/>
  <c r="EM18" i="3"/>
  <c r="EN18" i="3"/>
  <c r="EO18" i="3"/>
  <c r="EP18" i="3"/>
  <c r="EQ18" i="3"/>
  <c r="ER18" i="3"/>
  <c r="ES18" i="3"/>
  <c r="ET18" i="3"/>
  <c r="EU18" i="3"/>
  <c r="EV18" i="3"/>
  <c r="EW18" i="3"/>
  <c r="EX18" i="3"/>
  <c r="EY18" i="3"/>
  <c r="EZ18" i="3"/>
  <c r="FA18" i="3"/>
  <c r="FB18" i="3"/>
  <c r="FC18" i="3"/>
  <c r="FD18" i="3"/>
  <c r="FE18" i="3"/>
  <c r="FF18" i="3"/>
  <c r="FG18" i="3"/>
  <c r="FH18" i="3"/>
  <c r="FI18" i="3"/>
  <c r="FJ18" i="3"/>
  <c r="FK18" i="3"/>
  <c r="FL18" i="3"/>
  <c r="FM18" i="3"/>
  <c r="FN18" i="3"/>
  <c r="FO18" i="3"/>
  <c r="FP18" i="3"/>
  <c r="FQ18" i="3"/>
  <c r="FR18" i="3"/>
  <c r="FS18" i="3"/>
  <c r="FT18" i="3"/>
  <c r="FU18" i="3"/>
  <c r="FV18" i="3"/>
  <c r="FW18" i="3"/>
  <c r="FX18" i="3"/>
  <c r="FY18" i="3"/>
  <c r="FZ18" i="3"/>
  <c r="GA18" i="3"/>
  <c r="GB18" i="3"/>
  <c r="GC18" i="3"/>
  <c r="GD18" i="3"/>
  <c r="GE18" i="3"/>
  <c r="GF18" i="3"/>
  <c r="GG18" i="3"/>
  <c r="GH18" i="3"/>
  <c r="GI18" i="3"/>
  <c r="GJ18" i="3"/>
  <c r="GK18" i="3"/>
  <c r="GL18" i="3"/>
  <c r="GM18" i="3"/>
  <c r="GN18" i="3"/>
  <c r="GO18" i="3"/>
  <c r="GP18" i="3"/>
  <c r="GQ18" i="3"/>
  <c r="GR18" i="3"/>
  <c r="GS18" i="3"/>
  <c r="GT18" i="3"/>
  <c r="GU18" i="3"/>
  <c r="GV18" i="3"/>
  <c r="GW18" i="3"/>
  <c r="GX18" i="3"/>
  <c r="GY18" i="3"/>
  <c r="GZ18" i="3"/>
  <c r="HA18" i="3"/>
  <c r="HB18" i="3"/>
  <c r="HC18" i="3"/>
  <c r="HD18" i="3"/>
  <c r="HE18" i="3"/>
  <c r="HF18" i="3"/>
  <c r="HG18" i="3"/>
  <c r="HH18" i="3"/>
  <c r="HI18" i="3"/>
  <c r="HJ18" i="3"/>
  <c r="HK18" i="3"/>
  <c r="HL18" i="3"/>
  <c r="HM18" i="3"/>
  <c r="HN18" i="3"/>
  <c r="HO18" i="3"/>
  <c r="HP18" i="3"/>
  <c r="HQ18" i="3"/>
  <c r="HR18" i="3"/>
  <c r="HS18" i="3"/>
  <c r="HT18" i="3"/>
  <c r="HU18" i="3"/>
  <c r="HV18" i="3"/>
  <c r="HW18" i="3"/>
  <c r="HX18" i="3"/>
  <c r="HY18" i="3"/>
  <c r="HZ18" i="3"/>
  <c r="IA18" i="3"/>
  <c r="IB18" i="3"/>
  <c r="IC18" i="3"/>
  <c r="ID18" i="3"/>
  <c r="IE18" i="3"/>
  <c r="IF18" i="3"/>
  <c r="IG18" i="3"/>
  <c r="IH18" i="3"/>
  <c r="II18" i="3"/>
  <c r="IJ18" i="3"/>
  <c r="IK18" i="3"/>
  <c r="IL18" i="3"/>
  <c r="IM18" i="3"/>
  <c r="IN18" i="3"/>
  <c r="IO18" i="3"/>
  <c r="IP18" i="3"/>
  <c r="IQ18" i="3"/>
  <c r="IR18" i="3"/>
  <c r="IS18" i="3"/>
  <c r="IT18" i="3"/>
  <c r="IU18" i="3"/>
  <c r="IV18" i="3"/>
  <c r="IW18" i="3"/>
  <c r="IX18" i="3"/>
  <c r="IY18" i="3"/>
  <c r="IZ18" i="3"/>
  <c r="JA18" i="3"/>
  <c r="JB18" i="3"/>
  <c r="JC18" i="3"/>
  <c r="JD18" i="3"/>
  <c r="JE18" i="3"/>
  <c r="JF18" i="3"/>
  <c r="JG18" i="3"/>
  <c r="JH18" i="3"/>
  <c r="JI18" i="3"/>
  <c r="JJ18" i="3"/>
  <c r="JK18" i="3"/>
  <c r="JL18" i="3"/>
  <c r="JM18" i="3"/>
  <c r="DG18" i="3"/>
  <c r="C18" i="3"/>
  <c r="DH18" i="3"/>
  <c r="DI18" i="3"/>
  <c r="D18" i="3"/>
  <c r="HS20" i="3"/>
  <c r="HT20" i="3"/>
  <c r="HU20" i="3"/>
  <c r="HV20" i="3"/>
  <c r="HW20" i="3"/>
  <c r="HX20" i="3"/>
  <c r="HY20" i="3"/>
  <c r="HZ20" i="3"/>
  <c r="IA20" i="3"/>
  <c r="IB20" i="3"/>
  <c r="IC20" i="3"/>
  <c r="ID20" i="3"/>
  <c r="IE20" i="3"/>
  <c r="IF20" i="3"/>
  <c r="IG20" i="3"/>
  <c r="IH20" i="3"/>
  <c r="II20" i="3"/>
  <c r="IJ20" i="3"/>
  <c r="IK20" i="3"/>
  <c r="IL20" i="3"/>
  <c r="IM20" i="3"/>
  <c r="IN20" i="3"/>
  <c r="IO20" i="3"/>
  <c r="IP20" i="3"/>
  <c r="IQ20" i="3"/>
  <c r="IR20" i="3"/>
  <c r="IS20" i="3"/>
  <c r="IT20" i="3"/>
  <c r="IU20" i="3"/>
  <c r="IV20" i="3"/>
  <c r="IW20" i="3"/>
  <c r="IX20" i="3"/>
  <c r="IY20" i="3"/>
  <c r="IZ20" i="3"/>
  <c r="JA20" i="3"/>
  <c r="JB20" i="3"/>
  <c r="JC20" i="3"/>
  <c r="JD20" i="3"/>
  <c r="JE20" i="3"/>
  <c r="JF20" i="3"/>
  <c r="JG20" i="3"/>
  <c r="JH20" i="3"/>
  <c r="JI20" i="3"/>
  <c r="JJ20" i="3"/>
  <c r="JK20" i="3"/>
  <c r="JL20" i="3"/>
  <c r="JM20" i="3"/>
  <c r="H20" i="3"/>
  <c r="E20" i="3"/>
  <c r="I20" i="3"/>
  <c r="C20" i="3"/>
  <c r="F20" i="3"/>
  <c r="G20" i="3"/>
  <c r="HO20" i="3"/>
  <c r="HP20" i="3"/>
  <c r="HQ20" i="3"/>
  <c r="HR20" i="3"/>
  <c r="D20" i="3"/>
  <c r="F12" i="3"/>
  <c r="C12" i="3"/>
  <c r="D12" i="3"/>
  <c r="E12" i="3"/>
  <c r="AK13" i="3"/>
  <c r="AL13" i="3"/>
  <c r="AM13" i="3"/>
  <c r="AN13" i="3"/>
  <c r="AO13" i="3"/>
  <c r="AP13" i="3"/>
  <c r="AQ13" i="3"/>
  <c r="AR13" i="3"/>
  <c r="AS13" i="3"/>
  <c r="AT13" i="3"/>
  <c r="AU13" i="3"/>
  <c r="AV13" i="3"/>
  <c r="AW13" i="3"/>
  <c r="AX13" i="3"/>
  <c r="AY13" i="3"/>
  <c r="AZ13" i="3"/>
  <c r="BA13" i="3"/>
  <c r="BB13" i="3"/>
  <c r="BC13" i="3"/>
  <c r="BD13" i="3"/>
  <c r="BE13" i="3"/>
  <c r="BF13" i="3"/>
  <c r="BG13" i="3"/>
  <c r="BH13" i="3"/>
  <c r="BI13" i="3"/>
  <c r="BJ13" i="3"/>
  <c r="BK13" i="3"/>
  <c r="BL13" i="3"/>
  <c r="BM13" i="3"/>
  <c r="BN13" i="3"/>
  <c r="BO13" i="3"/>
  <c r="BP13" i="3"/>
  <c r="BQ13" i="3"/>
  <c r="BR13" i="3"/>
  <c r="BS13" i="3"/>
  <c r="BT13" i="3"/>
  <c r="BU13" i="3"/>
  <c r="BV13" i="3"/>
  <c r="BW13" i="3"/>
  <c r="BX13" i="3"/>
  <c r="BY13" i="3"/>
  <c r="BZ13" i="3"/>
  <c r="CA13" i="3"/>
  <c r="CB13" i="3"/>
  <c r="CC13" i="3"/>
  <c r="CD13" i="3"/>
  <c r="CE13" i="3"/>
  <c r="CF13" i="3"/>
  <c r="CG13" i="3"/>
  <c r="CH13" i="3"/>
  <c r="CI13" i="3"/>
  <c r="CJ13" i="3"/>
  <c r="CK13" i="3"/>
  <c r="CL13" i="3"/>
  <c r="CM13" i="3"/>
  <c r="CN13" i="3"/>
  <c r="CO13" i="3"/>
  <c r="CP13" i="3"/>
  <c r="CQ13" i="3"/>
  <c r="CR13" i="3"/>
  <c r="CS13" i="3"/>
  <c r="CT13" i="3"/>
  <c r="CU13" i="3"/>
  <c r="CV13" i="3"/>
  <c r="CW13" i="3"/>
  <c r="CX13" i="3"/>
  <c r="CY13" i="3"/>
  <c r="CZ13" i="3"/>
  <c r="DA13" i="3"/>
  <c r="DB13" i="3"/>
  <c r="DC13" i="3"/>
  <c r="DD13" i="3"/>
  <c r="DE13" i="3"/>
  <c r="DF13" i="3"/>
  <c r="DG13" i="3"/>
  <c r="DH13" i="3"/>
  <c r="DI13" i="3"/>
  <c r="DJ13" i="3"/>
  <c r="DK13" i="3"/>
  <c r="DL13" i="3"/>
  <c r="DM13" i="3"/>
  <c r="DN13" i="3"/>
  <c r="DO13" i="3"/>
  <c r="DP13" i="3"/>
  <c r="DQ13" i="3"/>
  <c r="DR13" i="3"/>
  <c r="DS13" i="3"/>
  <c r="DT13" i="3"/>
  <c r="DU13" i="3"/>
  <c r="DV13" i="3"/>
  <c r="DW13" i="3"/>
  <c r="DX13" i="3"/>
  <c r="DY13" i="3"/>
  <c r="DZ13" i="3"/>
  <c r="EA13" i="3"/>
  <c r="EB13" i="3"/>
  <c r="EC13" i="3"/>
  <c r="ED13" i="3"/>
  <c r="EE13" i="3"/>
  <c r="EF13" i="3"/>
  <c r="EG13" i="3"/>
  <c r="EI13" i="3"/>
  <c r="EJ13" i="3"/>
  <c r="EK13" i="3"/>
  <c r="EL13" i="3"/>
  <c r="EM13" i="3"/>
  <c r="EN13" i="3"/>
  <c r="EO13" i="3"/>
  <c r="EP13" i="3"/>
  <c r="EQ13" i="3"/>
  <c r="ER13" i="3"/>
  <c r="ES13" i="3"/>
  <c r="ET13" i="3"/>
  <c r="EU13" i="3"/>
  <c r="EV13" i="3"/>
  <c r="EW13" i="3"/>
  <c r="EX13" i="3"/>
  <c r="EY13" i="3"/>
  <c r="EZ13" i="3"/>
  <c r="FA13" i="3"/>
  <c r="FB13" i="3"/>
  <c r="FC13" i="3"/>
  <c r="FD13" i="3"/>
  <c r="FE13" i="3"/>
  <c r="FF13" i="3"/>
  <c r="FG13" i="3"/>
  <c r="FH13" i="3"/>
  <c r="FI13" i="3"/>
  <c r="FJ13" i="3"/>
  <c r="FK13" i="3"/>
  <c r="FL13" i="3"/>
  <c r="FM13" i="3"/>
  <c r="FN13" i="3"/>
  <c r="FO13" i="3"/>
  <c r="FP13" i="3"/>
  <c r="FQ13" i="3"/>
  <c r="FR13" i="3"/>
  <c r="FS13" i="3"/>
  <c r="FT13" i="3"/>
  <c r="FU13" i="3"/>
  <c r="FV13" i="3"/>
  <c r="FW13" i="3"/>
  <c r="FX13" i="3"/>
  <c r="FY13" i="3"/>
  <c r="FZ13" i="3"/>
  <c r="GA13" i="3"/>
  <c r="GB13" i="3"/>
  <c r="GC13" i="3"/>
  <c r="GD13" i="3"/>
  <c r="GE13" i="3"/>
  <c r="GF13" i="3"/>
  <c r="GG13" i="3"/>
  <c r="GH13" i="3"/>
  <c r="GI13" i="3"/>
  <c r="GJ13" i="3"/>
  <c r="GK13" i="3"/>
  <c r="GL13" i="3"/>
  <c r="GM13" i="3"/>
  <c r="GN13" i="3"/>
  <c r="GO13" i="3"/>
  <c r="GP13" i="3"/>
  <c r="GQ13" i="3"/>
  <c r="GR13" i="3"/>
  <c r="GS13" i="3"/>
  <c r="GT13" i="3"/>
  <c r="GU13" i="3"/>
  <c r="GV13" i="3"/>
  <c r="GW13" i="3"/>
  <c r="GX13" i="3"/>
  <c r="GY13" i="3"/>
  <c r="GZ13" i="3"/>
  <c r="HA13" i="3"/>
  <c r="HB13" i="3"/>
  <c r="HC13" i="3"/>
  <c r="HD13" i="3"/>
  <c r="HE13" i="3"/>
  <c r="HF13" i="3"/>
  <c r="HG13" i="3"/>
  <c r="HH13" i="3"/>
  <c r="HI13" i="3"/>
  <c r="HJ13" i="3"/>
  <c r="HK13" i="3"/>
  <c r="HL13" i="3"/>
  <c r="HM13" i="3"/>
  <c r="HN13" i="3"/>
  <c r="HO13" i="3"/>
  <c r="HP13" i="3"/>
  <c r="HQ13" i="3"/>
  <c r="HR13" i="3"/>
  <c r="HS13" i="3"/>
  <c r="HT13" i="3"/>
  <c r="HU13" i="3"/>
  <c r="HV13" i="3"/>
  <c r="HW13" i="3"/>
  <c r="HX13" i="3"/>
  <c r="HY13" i="3"/>
  <c r="HZ13" i="3"/>
  <c r="IA13" i="3"/>
  <c r="IB13" i="3"/>
  <c r="IC13" i="3"/>
  <c r="ID13" i="3"/>
  <c r="IE13" i="3"/>
  <c r="IF13" i="3"/>
  <c r="IG13" i="3"/>
  <c r="IH13" i="3"/>
  <c r="II13" i="3"/>
  <c r="IJ13" i="3"/>
  <c r="IK13" i="3"/>
  <c r="IL13" i="3"/>
  <c r="IM13" i="3"/>
  <c r="IN13" i="3"/>
  <c r="IO13" i="3"/>
  <c r="IP13" i="3"/>
  <c r="IQ13" i="3"/>
  <c r="IR13" i="3"/>
  <c r="IS13" i="3"/>
  <c r="IT13" i="3"/>
  <c r="IU13" i="3"/>
  <c r="IV13" i="3"/>
  <c r="IW13" i="3"/>
  <c r="IX13" i="3"/>
  <c r="IY13" i="3"/>
  <c r="IZ13" i="3"/>
  <c r="JA13" i="3"/>
  <c r="JB13" i="3"/>
  <c r="JC13" i="3"/>
  <c r="JD13" i="3"/>
  <c r="JE13" i="3"/>
  <c r="JF13" i="3"/>
  <c r="JG13" i="3"/>
  <c r="JH13" i="3"/>
  <c r="JI13" i="3"/>
  <c r="JJ13" i="3"/>
  <c r="JK13" i="3"/>
  <c r="JL13" i="3"/>
  <c r="JM13" i="3"/>
  <c r="E13" i="3"/>
  <c r="C13" i="3"/>
  <c r="AI13" i="3"/>
  <c r="AJ13" i="3"/>
  <c r="D13" i="3"/>
  <c r="BW15" i="3"/>
  <c r="BX15" i="3"/>
  <c r="BY15" i="3"/>
  <c r="BZ15" i="3"/>
  <c r="CA15" i="3"/>
  <c r="CB15" i="3"/>
  <c r="CC15" i="3"/>
  <c r="CD15" i="3"/>
  <c r="CE15" i="3"/>
  <c r="CF15" i="3"/>
  <c r="CG15" i="3"/>
  <c r="CH15" i="3"/>
  <c r="CI15" i="3"/>
  <c r="CJ15" i="3"/>
  <c r="CK15" i="3"/>
  <c r="CL15" i="3"/>
  <c r="CM15" i="3"/>
  <c r="CN15" i="3"/>
  <c r="CO15" i="3"/>
  <c r="CP15" i="3"/>
  <c r="CQ15" i="3"/>
  <c r="CR15" i="3"/>
  <c r="CS15" i="3"/>
  <c r="CT15" i="3"/>
  <c r="CU15" i="3"/>
  <c r="CV15" i="3"/>
  <c r="CW15" i="3"/>
  <c r="CX15" i="3"/>
  <c r="CY15" i="3"/>
  <c r="CZ15" i="3"/>
  <c r="DA15" i="3"/>
  <c r="DB15" i="3"/>
  <c r="DC15" i="3"/>
  <c r="DD15" i="3"/>
  <c r="DE15" i="3"/>
  <c r="DF15" i="3"/>
  <c r="DG15" i="3"/>
  <c r="DH15" i="3"/>
  <c r="DI15" i="3"/>
  <c r="DJ15" i="3"/>
  <c r="DK15" i="3"/>
  <c r="DL15" i="3"/>
  <c r="DM15" i="3"/>
  <c r="DN15" i="3"/>
  <c r="DO15" i="3"/>
  <c r="DP15" i="3"/>
  <c r="DQ15" i="3"/>
  <c r="DR15" i="3"/>
  <c r="DS15" i="3"/>
  <c r="DT15" i="3"/>
  <c r="DU15" i="3"/>
  <c r="DV15" i="3"/>
  <c r="DW15" i="3"/>
  <c r="DX15" i="3"/>
  <c r="DY15" i="3"/>
  <c r="DZ15" i="3"/>
  <c r="EA15" i="3"/>
  <c r="EB15" i="3"/>
  <c r="EC15" i="3"/>
  <c r="ED15" i="3"/>
  <c r="EE15" i="3"/>
  <c r="EF15" i="3"/>
  <c r="EG15" i="3"/>
  <c r="EI15" i="3"/>
  <c r="EJ15" i="3"/>
  <c r="EK15" i="3"/>
  <c r="EL15" i="3"/>
  <c r="EM15" i="3"/>
  <c r="EN15" i="3"/>
  <c r="EO15" i="3"/>
  <c r="EP15" i="3"/>
  <c r="EQ15" i="3"/>
  <c r="ER15" i="3"/>
  <c r="ES15" i="3"/>
  <c r="ET15" i="3"/>
  <c r="EU15" i="3"/>
  <c r="EV15" i="3"/>
  <c r="EW15" i="3"/>
  <c r="EX15" i="3"/>
  <c r="EY15" i="3"/>
  <c r="EZ15" i="3"/>
  <c r="FA15" i="3"/>
  <c r="FB15" i="3"/>
  <c r="FC15" i="3"/>
  <c r="FD15" i="3"/>
  <c r="FE15" i="3"/>
  <c r="FF15" i="3"/>
  <c r="FG15" i="3"/>
  <c r="FH15" i="3"/>
  <c r="FI15" i="3"/>
  <c r="FJ15" i="3"/>
  <c r="FK15" i="3"/>
  <c r="FL15" i="3"/>
  <c r="FM15" i="3"/>
  <c r="FN15" i="3"/>
  <c r="FO15" i="3"/>
  <c r="FP15" i="3"/>
  <c r="FQ15" i="3"/>
  <c r="FR15" i="3"/>
  <c r="FS15" i="3"/>
  <c r="FT15" i="3"/>
  <c r="FU15" i="3"/>
  <c r="FV15" i="3"/>
  <c r="FW15" i="3"/>
  <c r="FX15" i="3"/>
  <c r="FY15" i="3"/>
  <c r="FZ15" i="3"/>
  <c r="GA15" i="3"/>
  <c r="GB15" i="3"/>
  <c r="GC15" i="3"/>
  <c r="GD15" i="3"/>
  <c r="GE15" i="3"/>
  <c r="GF15" i="3"/>
  <c r="GG15" i="3"/>
  <c r="GH15" i="3"/>
  <c r="GI15" i="3"/>
  <c r="GJ15" i="3"/>
  <c r="GK15" i="3"/>
  <c r="GL15" i="3"/>
  <c r="GM15" i="3"/>
  <c r="GN15" i="3"/>
  <c r="GO15" i="3"/>
  <c r="GP15" i="3"/>
  <c r="GQ15" i="3"/>
  <c r="GR15" i="3"/>
  <c r="GS15" i="3"/>
  <c r="GT15" i="3"/>
  <c r="GU15" i="3"/>
  <c r="GV15" i="3"/>
  <c r="GW15" i="3"/>
  <c r="GX15" i="3"/>
  <c r="GY15" i="3"/>
  <c r="GZ15" i="3"/>
  <c r="HA15" i="3"/>
  <c r="HB15" i="3"/>
  <c r="HC15" i="3"/>
  <c r="HD15" i="3"/>
  <c r="HE15" i="3"/>
  <c r="HF15" i="3"/>
  <c r="HG15" i="3"/>
  <c r="HH15" i="3"/>
  <c r="HI15" i="3"/>
  <c r="HJ15" i="3"/>
  <c r="HK15" i="3"/>
  <c r="HL15" i="3"/>
  <c r="HM15" i="3"/>
  <c r="HN15" i="3"/>
  <c r="HO15" i="3"/>
  <c r="HP15" i="3"/>
  <c r="HQ15" i="3"/>
  <c r="HR15" i="3"/>
  <c r="HS15" i="3"/>
  <c r="HT15" i="3"/>
  <c r="HU15" i="3"/>
  <c r="HV15" i="3"/>
  <c r="HW15" i="3"/>
  <c r="HX15" i="3"/>
  <c r="HY15" i="3"/>
  <c r="HZ15" i="3"/>
  <c r="IA15" i="3"/>
  <c r="IB15" i="3"/>
  <c r="IC15" i="3"/>
  <c r="ID15" i="3"/>
  <c r="IE15" i="3"/>
  <c r="IF15" i="3"/>
  <c r="IG15" i="3"/>
  <c r="IH15" i="3"/>
  <c r="II15" i="3"/>
  <c r="IJ15" i="3"/>
  <c r="IK15" i="3"/>
  <c r="IL15" i="3"/>
  <c r="IM15" i="3"/>
  <c r="IN15" i="3"/>
  <c r="IO15" i="3"/>
  <c r="IP15" i="3"/>
  <c r="IQ15" i="3"/>
  <c r="IR15" i="3"/>
  <c r="IS15" i="3"/>
  <c r="IT15" i="3"/>
  <c r="IU15" i="3"/>
  <c r="IV15" i="3"/>
  <c r="IW15" i="3"/>
  <c r="IX15" i="3"/>
  <c r="IY15" i="3"/>
  <c r="IZ15" i="3"/>
  <c r="JA15" i="3"/>
  <c r="JB15" i="3"/>
  <c r="JC15" i="3"/>
  <c r="JD15" i="3"/>
  <c r="JE15" i="3"/>
  <c r="JF15" i="3"/>
  <c r="JG15" i="3"/>
  <c r="JH15" i="3"/>
  <c r="JI15" i="3"/>
  <c r="JJ15" i="3"/>
  <c r="JK15" i="3"/>
  <c r="JL15" i="3"/>
  <c r="JM15" i="3"/>
  <c r="BR15" i="3"/>
  <c r="C15" i="3"/>
  <c r="BS15" i="3"/>
  <c r="BT15" i="3"/>
  <c r="BU15" i="3"/>
  <c r="BV15" i="3"/>
  <c r="D15" i="3"/>
  <c r="F7" i="3"/>
  <c r="JI7" i="3"/>
  <c r="JJ7" i="3"/>
  <c r="JK7" i="3"/>
  <c r="JL7" i="3"/>
  <c r="JM7" i="3"/>
  <c r="HD7" i="3"/>
  <c r="HE7" i="3"/>
  <c r="HF7" i="3"/>
  <c r="HG7" i="3"/>
  <c r="HH7" i="3"/>
  <c r="HI7" i="3"/>
  <c r="HJ7" i="3"/>
  <c r="HK7" i="3"/>
  <c r="HL7" i="3"/>
  <c r="HM7" i="3"/>
  <c r="HN7" i="3"/>
  <c r="HO7" i="3"/>
  <c r="HP7" i="3"/>
  <c r="HQ7" i="3"/>
  <c r="HR7" i="3"/>
  <c r="HS7" i="3"/>
  <c r="HT7" i="3"/>
  <c r="HU7" i="3"/>
  <c r="HV7" i="3"/>
  <c r="HW7" i="3"/>
  <c r="HX7" i="3"/>
  <c r="HY7" i="3"/>
  <c r="HZ7" i="3"/>
  <c r="IA7" i="3"/>
  <c r="IB7" i="3"/>
  <c r="IC7" i="3"/>
  <c r="ID7" i="3"/>
  <c r="IE7" i="3"/>
  <c r="IF7" i="3"/>
  <c r="IG7" i="3"/>
  <c r="IH7" i="3"/>
  <c r="II7" i="3"/>
  <c r="IJ7" i="3"/>
  <c r="IK7" i="3"/>
  <c r="IL7" i="3"/>
  <c r="IM7" i="3"/>
  <c r="IN7" i="3"/>
  <c r="IO7" i="3"/>
  <c r="IP7" i="3"/>
  <c r="IQ7" i="3"/>
  <c r="IR7" i="3"/>
  <c r="IS7" i="3"/>
  <c r="IT7" i="3"/>
  <c r="IU7" i="3"/>
  <c r="IV7" i="3"/>
  <c r="IW7" i="3"/>
  <c r="IX7" i="3"/>
  <c r="IY7" i="3"/>
  <c r="IZ7" i="3"/>
  <c r="JA7" i="3"/>
  <c r="JB7" i="3"/>
  <c r="JC7" i="3"/>
  <c r="JD7" i="3"/>
  <c r="JE7" i="3"/>
  <c r="JF7" i="3"/>
  <c r="JG7" i="3"/>
  <c r="JH7" i="3"/>
  <c r="C7" i="3"/>
  <c r="D7" i="3"/>
  <c r="E7" i="3"/>
  <c r="O9" i="3"/>
  <c r="S9" i="3"/>
  <c r="D9" i="3"/>
  <c r="I9" i="3"/>
  <c r="N9" i="3"/>
  <c r="R9" i="3"/>
  <c r="EU9" i="3"/>
  <c r="EV9" i="3"/>
  <c r="EW9" i="3"/>
  <c r="EX9" i="3"/>
  <c r="EY9" i="3"/>
  <c r="EZ9" i="3"/>
  <c r="FA9" i="3"/>
  <c r="FB9" i="3"/>
  <c r="FC9" i="3"/>
  <c r="FD9" i="3"/>
  <c r="FE9" i="3"/>
  <c r="FF9" i="3"/>
  <c r="FG9" i="3"/>
  <c r="FH9" i="3"/>
  <c r="FI9" i="3"/>
  <c r="FJ9" i="3"/>
  <c r="FK9" i="3"/>
  <c r="FL9" i="3"/>
  <c r="FM9" i="3"/>
  <c r="FN9" i="3"/>
  <c r="FO9" i="3"/>
  <c r="FP9" i="3"/>
  <c r="FQ9" i="3"/>
  <c r="FR9" i="3"/>
  <c r="FS9" i="3"/>
  <c r="FT9" i="3"/>
  <c r="FU9" i="3"/>
  <c r="FV9" i="3"/>
  <c r="FW9" i="3"/>
  <c r="FX9" i="3"/>
  <c r="FY9" i="3"/>
  <c r="FZ9" i="3"/>
  <c r="GA9" i="3"/>
  <c r="GB9" i="3"/>
  <c r="GC9" i="3"/>
  <c r="GD9" i="3"/>
  <c r="GE9" i="3"/>
  <c r="GF9" i="3"/>
  <c r="GG9" i="3"/>
  <c r="GH9" i="3"/>
  <c r="GI9" i="3"/>
  <c r="GJ9" i="3"/>
  <c r="GK9" i="3"/>
  <c r="GL9" i="3"/>
  <c r="GM9" i="3"/>
  <c r="GN9" i="3"/>
  <c r="GO9" i="3"/>
  <c r="GP9" i="3"/>
  <c r="GQ9" i="3"/>
  <c r="GR9" i="3"/>
  <c r="GS9" i="3"/>
  <c r="GT9" i="3"/>
  <c r="GU9" i="3"/>
  <c r="GV9" i="3"/>
  <c r="GW9" i="3"/>
  <c r="GX9" i="3"/>
  <c r="GY9" i="3"/>
  <c r="GZ9" i="3"/>
  <c r="HA9" i="3"/>
  <c r="HB9" i="3"/>
  <c r="HC9" i="3"/>
  <c r="HD9" i="3"/>
  <c r="HE9" i="3"/>
  <c r="HF9" i="3"/>
  <c r="HG9" i="3"/>
  <c r="HH9" i="3"/>
  <c r="HI9" i="3"/>
  <c r="HJ9" i="3"/>
  <c r="HK9" i="3"/>
  <c r="HL9" i="3"/>
  <c r="HM9" i="3"/>
  <c r="HN9" i="3"/>
  <c r="HO9" i="3"/>
  <c r="HP9" i="3"/>
  <c r="HQ9" i="3"/>
  <c r="HR9" i="3"/>
  <c r="HS9" i="3"/>
  <c r="HT9" i="3"/>
  <c r="HU9" i="3"/>
  <c r="HV9" i="3"/>
  <c r="HW9" i="3"/>
  <c r="HX9" i="3"/>
  <c r="HY9" i="3"/>
  <c r="C9" i="3"/>
  <c r="IA9" i="3"/>
  <c r="IB9" i="3"/>
  <c r="IC9" i="3"/>
  <c r="ID9" i="3"/>
  <c r="IE9" i="3"/>
  <c r="IF9" i="3"/>
  <c r="IG9" i="3"/>
  <c r="IH9" i="3"/>
  <c r="II9" i="3"/>
  <c r="IJ9" i="3"/>
  <c r="IK9" i="3"/>
  <c r="IL9" i="3"/>
  <c r="IM9" i="3"/>
  <c r="IN9" i="3"/>
  <c r="IO9" i="3"/>
  <c r="IP9" i="3"/>
  <c r="IQ9" i="3"/>
  <c r="IR9" i="3"/>
  <c r="IS9" i="3"/>
  <c r="IT9" i="3"/>
  <c r="IU9" i="3"/>
  <c r="IV9" i="3"/>
  <c r="IW9" i="3"/>
  <c r="IX9" i="3"/>
  <c r="HZ9" i="3"/>
  <c r="IZ9" i="3"/>
  <c r="JA9" i="3"/>
  <c r="JB9" i="3"/>
  <c r="JC9" i="3"/>
  <c r="JD9" i="3"/>
  <c r="JE9" i="3"/>
  <c r="JF9" i="3"/>
  <c r="JG9" i="3"/>
  <c r="JH9" i="3"/>
  <c r="JI9" i="3"/>
  <c r="JJ9" i="3"/>
  <c r="JK9" i="3"/>
  <c r="JL9" i="3"/>
  <c r="JM9" i="3"/>
  <c r="H9" i="3"/>
  <c r="F9" i="3"/>
  <c r="J9" i="3"/>
  <c r="M9" i="3"/>
  <c r="Q9" i="3"/>
  <c r="K9" i="3"/>
  <c r="G9" i="3"/>
  <c r="L9" i="3"/>
  <c r="P9" i="3"/>
  <c r="E9" i="3"/>
  <c r="IY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millen</author>
  </authors>
  <commentList>
    <comment ref="A1" authorId="0" shapeId="0" xr:uid="{57B3A033-E159-4D2B-ADDE-7A83311676A3}">
      <text>
        <r>
          <rPr>
            <b/>
            <sz val="9"/>
            <color indexed="81"/>
            <rFont val="Tahoma"/>
            <family val="2"/>
          </rPr>
          <t>lucas millen:</t>
        </r>
        <r>
          <rPr>
            <sz val="9"/>
            <color indexed="81"/>
            <rFont val="Tahoma"/>
            <family val="2"/>
          </rPr>
          <t xml:space="preserve">
All columns are live formulas reading private_key (column H) on the source sheet, one row per puzzle (row n+1 = puzzle n). Blank where no key is known. Big numbers use the named formula BASE2DEC (exact decimal text). Relative position = offset / 2^(bits-1). XOR/Hamming are vs the previous puzzle's key and only shown when that key is known.</t>
        </r>
      </text>
    </comment>
    <comment ref="V1" authorId="0" shapeId="0" xr:uid="{FC98FFB3-3958-4D74-9DA4-2646E3C8CD8C}">
      <text>
        <r>
          <rPr>
            <b/>
            <sz val="9"/>
            <color indexed="81"/>
            <rFont val="Tahoma"/>
            <family val="2"/>
          </rPr>
          <t>lucas millen:</t>
        </r>
        <r>
          <rPr>
            <sz val="9"/>
            <color indexed="81"/>
            <rFont val="Tahoma"/>
            <family val="2"/>
          </rPr>
          <t xml:space="preserve">
Columns V:X are static values (not formulas) because Excel has no native SHA-256/Base58/Base64. Generated from column H of the source sheet; if a key in H changes, these must be regenerated. Checked against the known WIFs for puzzle 1 (KwDiBf89...73sVHnoWn / 5HpHagT6...EsreAnchuDf).</t>
        </r>
      </text>
    </comment>
    <comment ref="Y1" authorId="0" shapeId="0" xr:uid="{77DC0BAA-1CAD-4446-AF29-9D33B17ACF8E}">
      <text>
        <r>
          <rPr>
            <b/>
            <sz val="9"/>
            <color indexed="81"/>
            <rFont val="Tahoma"/>
            <family val="2"/>
          </rPr>
          <t>lucas millen:</t>
        </r>
        <r>
          <rPr>
            <sz val="9"/>
            <color indexed="81"/>
            <rFont val="Tahoma"/>
            <family val="2"/>
          </rPr>
          <t xml:space="preserve">
hash160_compressed (source column F) as 160 bits. Hamming columns compare the key's n bits with the LAST n bits (low) or FIRST n bits (high) of the hash160, so a random match averages n/2. 'full160' left-pads the key with zeros to 160 bits and counts all differing bits (not n/2-centred, since the key is mostly leading zeros). z = (distance - n/2) / sqrt(n/4).</t>
        </r>
      </text>
    </comment>
    <comment ref="AE1" authorId="0" shapeId="0" xr:uid="{6E93DA1F-052C-4C89-BA4A-442956CCC9C5}">
      <text>
        <r>
          <rPr>
            <b/>
            <sz val="9"/>
            <color indexed="81"/>
            <rFont val="Tahoma"/>
            <family val="2"/>
          </rPr>
          <t>lucas millen:</t>
        </r>
        <r>
          <rPr>
            <sz val="9"/>
            <color indexed="81"/>
            <rFont val="Tahoma"/>
            <family val="2"/>
          </rPr>
          <t xml:space="preserve">
AE:BI are live formulas. Bit-string columns use the n-bit binary in column C. Residue columns (AU:AZ) read the modulus from their own header (e.g. mod_7), via exact digit-by-digit reduction. Neighbour arithmetic (BA:BD) uses the BIGADD/BIGSUB named formulas for exact results beyond 15 digits; BA:BB are blank when the previous puzzle's key is unknown.</t>
        </r>
      </text>
    </comment>
    <comment ref="BJ1" authorId="0" shapeId="0" xr:uid="{761B067A-394E-4963-ABBF-DDCD4B4FBE54}">
      <text>
        <r>
          <rPr>
            <b/>
            <sz val="9"/>
            <color indexed="81"/>
            <rFont val="Tahoma"/>
            <family val="2"/>
          </rPr>
          <t>lucas millen:</t>
        </r>
        <r>
          <rPr>
            <sz val="9"/>
            <color indexed="81"/>
            <rFont val="Tahoma"/>
            <family val="2"/>
          </rPr>
          <t xml:space="preserve">
BJ:BT (yellow headers) are static values computed outside Excel (no native EC, SHA-256, RIPEMD-160, Base58 or Bech32). They are re-derived from column H of the source sheet and regenerate-only: if a key changes, they go stale. Cross-checked: for all 83 keys the derived compressed public key, hash160 and P2PKH address equal the source sheet's public_key, hash160_compressed and address columns. n_minus_k is the 'twin' private key (curve order minus key). Base32 is RFC 4648 (padded); base64url is unpadded; both encode the 32-byte big-endian key.</t>
        </r>
      </text>
    </comment>
    <comment ref="BU1" authorId="0" shapeId="0" xr:uid="{0B4C3423-7609-469A-A083-D82D9AE41561}">
      <text>
        <r>
          <rPr>
            <b/>
            <sz val="9"/>
            <color indexed="81"/>
            <rFont val="Tahoma"/>
            <family val="2"/>
          </rPr>
          <t>lucas millen:</t>
        </r>
        <r>
          <rPr>
            <sz val="9"/>
            <color indexed="81"/>
            <rFont val="Tahoma"/>
            <family val="2"/>
          </rPr>
          <t xml:space="preserve">
BU:BZ are live formulas. key_over_curve_order uses the named constant SECP256K1_ORDER (approximate, 15 significant digits). Hamming columns compare the n-bit key with the last/first n bits of the public key's x-coordinate (static column BN); z = (distance - n/2)/sqrt(n/4).</t>
        </r>
      </text>
    </comment>
    <comment ref="CA1" authorId="0" shapeId="0" xr:uid="{FE4579CA-E0B9-4FB5-AC8C-32B7CBA2D058}">
      <text>
        <r>
          <rPr>
            <b/>
            <sz val="9"/>
            <color indexed="81"/>
            <rFont val="Tahoma"/>
            <family val="2"/>
          </rPr>
          <t>lucas millen:</t>
        </r>
        <r>
          <rPr>
            <sz val="9"/>
            <color indexed="81"/>
            <rFont val="Tahoma"/>
            <family val="2"/>
          </rPr>
          <t xml:space="preserve">
CA:CN are live formulas (bits ≥ 8 for the per-key tests). runs_test_z: Wald–Wolfowitz runs test on the n bits. serial_corr_bits: correlation of each bit with the next. longest_run_excess: longest run minus log2(n). hex_chi_square/p: digit-frequency test (16 digits, 15 df; keys with ≥16 hex digits only). common_prefix/suffix_prev: matching leading/trailing bits with the previous key (padded to n). key_mod_prev: exact via BIGSUB. All *_prev columns blank when the previous key is unknown.</t>
        </r>
      </text>
    </comment>
    <comment ref="CO1" authorId="0" shapeId="0" xr:uid="{B14F3D94-ECA5-4004-B57B-763F4757CDF9}">
      <text>
        <r>
          <rPr>
            <b/>
            <sz val="9"/>
            <color indexed="81"/>
            <rFont val="Tahoma"/>
            <family val="2"/>
          </rPr>
          <t>lucas millen:</t>
        </r>
        <r>
          <rPr>
            <sz val="9"/>
            <color indexed="81"/>
            <rFont val="Tahoma"/>
            <family val="2"/>
          </rPr>
          <t xml:space="preserve">
CO:CU are live formulas. nibble-reversed = hex digits in reverse order (not byte order). bcd_reading = the hex digits read as a decimal number, only when all are 0–9. decimal_as_hex_value = the decimal digits read as hex (≤15 digits). key_in_words for keys ≤ 999,999.</t>
        </r>
      </text>
    </comment>
    <comment ref="CV1" authorId="0" shapeId="0" xr:uid="{CE04DA82-B99F-4BEC-954B-B85E78CE452C}">
      <text>
        <r>
          <rPr>
            <b/>
            <sz val="9"/>
            <color indexed="81"/>
            <rFont val="Tahoma"/>
            <family val="2"/>
          </rPr>
          <t>lucas millen:</t>
        </r>
        <r>
          <rPr>
            <sz val="9"/>
            <color indexed="81"/>
            <rFont val="Tahoma"/>
            <family val="2"/>
          </rPr>
          <t xml:space="preserve">
CV:DH (yellow) are static values computed outside Excel (BigInt; Miller–Rabin to base 37 for primality; trial division to 2,000,000 for factors — a '?' marks an unfactored cofactor, '&gt;2e6' means no small factor found). Regenerate if a key in puzzle-all!H changes.</t>
        </r>
      </text>
    </comment>
    <comment ref="DI1" authorId="0" shapeId="0" xr:uid="{D13742C0-10E4-4DB3-B078-49EF4F785154}">
      <text>
        <r>
          <rPr>
            <b/>
            <sz val="9"/>
            <color indexed="81"/>
            <rFont val="Tahoma"/>
            <family val="2"/>
          </rPr>
          <t>lucas millen:</t>
        </r>
        <r>
          <rPr>
            <sz val="9"/>
            <color indexed="81"/>
            <rFont val="Tahoma"/>
            <family val="2"/>
          </rPr>
          <t xml:space="preserve">
DI:DS (yellow) are static values: testnet (0xEF WIF, 0x6F P2PKH, tb1 bech32), Taproot P2TR with BIP341 key-path tweak (no script tree) and bech32m, Litecoin (0xB0 WIF, 0x30 P2PKH, ltc1), Dogecoin (0x9E WIF, 0x1E P2PKH), and base64 of the compressed public key. Encoders checked against BIP173/BIP350/BIP341 test vectors. Regenerate if a key changes.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<sst xmlns="http://schemas.openxmlformats.org/spreadsheetml/2006/main" count="14867" uniqueCount="6183">
  <si>
    <t>bits</t>
  </si>
  <si>
    <t>range_min</t>
  </si>
  <si>
    <t>range_max</t>
  </si>
  <si>
    <t>address</t>
  </si>
  <si>
    <t>hash160_compressed</t>
  </si>
  <si>
    <t>public_key</t>
  </si>
  <si>
    <t>private_key</t>
  </si>
  <si>
    <t>1BgGZ9tcN4rm9KBzDn7KprQz87SZ26SAMH</t>
  </si>
  <si>
    <t>751e76e8199196d454941c45d1b3a323f1433bd6</t>
  </si>
  <si>
    <t>0279be667ef9dcbbac55a06295ce870b07029bfcdb2dce28d959f2815b16f81798</t>
  </si>
  <si>
    <t>1CUNEBjYrCn2y1SdiUMohaKUi4wpP326Lb</t>
  </si>
  <si>
    <t>7dd65592d0ab2fe0d0257d571abf032cd9db93dc</t>
  </si>
  <si>
    <t>02f9308a019258c31049344f85f89d5229b531c845836f99b08601f113bce036f9</t>
  </si>
  <si>
    <t>19ZewH8Kk1PDbSNdJ97FP4EiCjTRaZMZQA</t>
  </si>
  <si>
    <t>5dedfbf9ea599dd4e3ca6a80b333c472fd0b3f69</t>
  </si>
  <si>
    <t>025cbdf0646e5db4eaa398f365f2ea7a0e3d419b7e0330e39ce92bddedcac4f9bc</t>
  </si>
  <si>
    <t>f</t>
  </si>
  <si>
    <t>1EhqbyUMvvs7BfL8goY6qcPbD6YKfPqb7e</t>
  </si>
  <si>
    <t>9652d86bedf43ad264362e6e6eba6eb764508127</t>
  </si>
  <si>
    <t>022f01e5e15cca351daff3843fb70f3c2f0a1bdd05e5af888a67784ef3e10a2a01</t>
  </si>
  <si>
    <t>1f</t>
  </si>
  <si>
    <t>1E6NuFjCi27W5zoXg8TRdcSRq84zJeBW3k</t>
  </si>
  <si>
    <t>8f9dff39a81ee4abcbad2ad8bafff090415a2be8</t>
  </si>
  <si>
    <t>02352bbf4a4cdd12564f93fa332ce333301d9ad40271f8107181340aef25be59d5</t>
  </si>
  <si>
    <t>3f</t>
  </si>
  <si>
    <t>1PitScNLyp2HCygzadCh7FveTnfmpPbfp8</t>
  </si>
  <si>
    <t>f93ec34e9e34a8f8ff7d600cdad83047b1bcb45c</t>
  </si>
  <si>
    <t>03f2dac991cc4ce4b9ea44887e5c7c0bce58c80074ab9d4dbaeb28531b7739f530</t>
  </si>
  <si>
    <t>7f</t>
  </si>
  <si>
    <t>1McVt1vMtCC7yn5b9wgX1833yCcLXzueeC</t>
  </si>
  <si>
    <t>e2192e8a7dd8dd1c88321959b477968b941aa973</t>
  </si>
  <si>
    <t>0296516a8f65774275278d0d7420a88df0ac44bd64c7bae07c3fe397c5b3300b23</t>
  </si>
  <si>
    <t>000000000000000000000000000000000000000000000000000000000000004c</t>
  </si>
  <si>
    <t>ff</t>
  </si>
  <si>
    <t>1M92tSqNmQLYw33fuBvjmeadirh1ysMBxK</t>
  </si>
  <si>
    <t>dce76b2613052ea012204404a97b3c25eac31715</t>
  </si>
  <si>
    <t>0308bc89c2f919ed158885c35600844d49890905c79b357322609c45706ce6b514</t>
  </si>
  <si>
    <t>1ff</t>
  </si>
  <si>
    <t>1CQFwcjw1dwhtkVWBttNLDtqL7ivBonGPV</t>
  </si>
  <si>
    <t>7d0f6c64afb419bbd7e971e943d7404b0e0daab4</t>
  </si>
  <si>
    <t>0243601d61c836387485e9514ab5c8924dd2cfd466af34ac95002727e1659d60f7</t>
  </si>
  <si>
    <t>00000000000000000000000000000000000000000000000000000000000001d3</t>
  </si>
  <si>
    <t>3ff</t>
  </si>
  <si>
    <t>1LeBZP5QCwwgXRtmVUvTVrraqPUokyLHqe</t>
  </si>
  <si>
    <t>d7729816650e581d7462d52ad6f732da0e2ec93b</t>
  </si>
  <si>
    <t>03a7a4c30291ac1db24b4ab00c442aa832f7794b5a0959bec6e8d7fee802289dcd</t>
  </si>
  <si>
    <t>7ff</t>
  </si>
  <si>
    <t>1PgQVLmst3Z314JrQn5TNiys8Hc38TcXJu</t>
  </si>
  <si>
    <t>f8c698da3164ef8fa4258692d118cc9a902c5acc</t>
  </si>
  <si>
    <t>038b05b0603abd75b0c57489e451f811e1afe54a8715045cdf4888333f3ebc6e8b</t>
  </si>
  <si>
    <t>fff</t>
  </si>
  <si>
    <t>1DBaumZxUkM4qMQRt2LVWyFJq5kDtSZQot</t>
  </si>
  <si>
    <t>85a1f9ba4da24c24e582d9b891dacbd1b043f971</t>
  </si>
  <si>
    <t>038b00fcbfc1a203f44bf123fc7f4c91c10a85c8eae9187f9d22242b4600ce781c</t>
  </si>
  <si>
    <t>0000000000000000000000000000000000000000000000000000000000000a7b</t>
  </si>
  <si>
    <t>1fff</t>
  </si>
  <si>
    <t>1Pie8JkxBT6MGPz9Nvi3fsPkr2D8q3GBc1</t>
  </si>
  <si>
    <t>f932d0188616c964416b91fb9cf76ba9790a921e</t>
  </si>
  <si>
    <t>03aadaaab1db8d5d450b511789c37e7cfeb0eb8b3e61a57a34166c5edc9a4b869d</t>
  </si>
  <si>
    <t>3fff</t>
  </si>
  <si>
    <t>1ErZWg5cFCe4Vw5BzgfzB74VNLaXEiEkhk</t>
  </si>
  <si>
    <t>97f9281a1383879d72ac52a6a3e9e8b9a4a4f655</t>
  </si>
  <si>
    <t>03b4f1de58b8b41afe9fd4e5ffbdafaeab86c5db4769c15d6e6011ae7351e54759</t>
  </si>
  <si>
    <t>7fff</t>
  </si>
  <si>
    <t>1QCbW9HWnwQWiQqVo5exhAnmfqKRrCRsvW</t>
  </si>
  <si>
    <t>fe7c45126731f7384640b0b0045fd40bac72e2a2</t>
  </si>
  <si>
    <t>02fea58ffcf49566f6e9e9350cf5bca2861312f422966e8db16094beb14dc3df2c</t>
  </si>
  <si>
    <t>00000000000000000000000000000000000000000000000000000000000068f3</t>
  </si>
  <si>
    <t>ffff</t>
  </si>
  <si>
    <t>1BDyrQ6WoF8VN3g9SAS1iKZcPzFfnDVieY</t>
  </si>
  <si>
    <t>7025b4efb3ff42eb4d6d71fab6b53b4f4967e3dd</t>
  </si>
  <si>
    <t>029d8c5d35231d75eb87fd2c5f05f65281ed9573dc41853288c62ee94eb2590b7a</t>
  </si>
  <si>
    <t>000000000000000000000000000000000000000000000000000000000000c936</t>
  </si>
  <si>
    <t>1ffff</t>
  </si>
  <si>
    <t>1HduPEXZRdG26SUT5Yk83mLkPyjnZuJ7Bm</t>
  </si>
  <si>
    <t>b67cb6edeabc0c8b927c9ea327628e7aa63e2d52</t>
  </si>
  <si>
    <t>033f688bae8321b8e02b7e6c0a55c2515fb25ab97d85fda842449f7bfa04e128c3</t>
  </si>
  <si>
    <t>000000000000000000000000000000000000000000000000000000000001764f</t>
  </si>
  <si>
    <t>3ffff</t>
  </si>
  <si>
    <t>1GnNTmTVLZiqQfLbAdp9DVdicEnB5GoERE</t>
  </si>
  <si>
    <t>ad1e852b08eba53df306ec9daa8c643426953f94</t>
  </si>
  <si>
    <t>020ce4a3291b19d2e1a7bf73ee87d30a6bdbc72b20771e7dfff40d0db755cd4af1</t>
  </si>
  <si>
    <t>000000000000000000000000000000000000000000000000000000000003080d</t>
  </si>
  <si>
    <t>7ffff</t>
  </si>
  <si>
    <t>1NWmZRpHH4XSPwsW6dsS3nrNWfL1yrJj4w</t>
  </si>
  <si>
    <t>ebfbe6819fcdebab061732ce91df7d586a037dee</t>
  </si>
  <si>
    <t>0385663c8b2f90659e1ccab201694f4f8ec24b3749cfe5030c7c3646a709408e19</t>
  </si>
  <si>
    <t>000000000000000000000000000000000000000000000000000000000005749f</t>
  </si>
  <si>
    <t>fffff</t>
  </si>
  <si>
    <t>1HsMJxNiV7TLxmoF6uJNkydxPFDog4NQum</t>
  </si>
  <si>
    <t>b907c3a2a3b27789dfb509b730dd47703c272868</t>
  </si>
  <si>
    <t>033c4a45cbd643ff97d77f41ea37e843648d50fd894b864b0d52febc62f6454f7c</t>
  </si>
  <si>
    <t>00000000000000000000000000000000000000000000000000000000000d2c55</t>
  </si>
  <si>
    <t>1fffff</t>
  </si>
  <si>
    <t>14oFNXucftsHiUMY8uctg6N487riuyXs4h</t>
  </si>
  <si>
    <t>29a78213caa9eea824acf08022ab9dfc83414f56</t>
  </si>
  <si>
    <t>031a746c78f72754e0be046186df8a20cdce5c79b2eda76013c647af08d306e49e</t>
  </si>
  <si>
    <t>00000000000000000000000000000000000000000000000000000000001ba534</t>
  </si>
  <si>
    <t>3fffff</t>
  </si>
  <si>
    <t>1CfZWK1QTQE3eS9qn61dQjV89KDjZzfNcv</t>
  </si>
  <si>
    <t>7ff45303774ef7a52fffd8011981034b258cb86b</t>
  </si>
  <si>
    <t>023ed96b524db5ff4fe007ce730366052b7c511dc566227d929070b9ce917abb43</t>
  </si>
  <si>
    <t>00000000000000000000000000000000000000000000000000000000002de40f</t>
  </si>
  <si>
    <t>7fffff</t>
  </si>
  <si>
    <t>1L2GM8eE7mJWLdo3HZS6su1832NX2txaac</t>
  </si>
  <si>
    <t>d0a79df189fe1ad5c306cc70497b358415da579e</t>
  </si>
  <si>
    <t>03f82710361b8b81bdedb16994f30c80db522450a93e8e87eeb07f7903cf28d04b</t>
  </si>
  <si>
    <t>ffffff</t>
  </si>
  <si>
    <t>1rSnXMr63jdCuegJFuidJqWxUPV7AtUf7</t>
  </si>
  <si>
    <t>0959e80121f36aea13b3bad361c15dac26189e2f</t>
  </si>
  <si>
    <t>036ea839d22847ee1dce3bfc5b11f6cf785b0682db58c35b63d1342eb221c3490c</t>
  </si>
  <si>
    <t>0000000000000000000000000000000000000000000000000000000000dc2a04</t>
  </si>
  <si>
    <t>1ffffff</t>
  </si>
  <si>
    <t>15JhYXn6Mx3oF4Y7PcTAv2wVVAuCFFQNiP</t>
  </si>
  <si>
    <t>2f396b29b27324300d0c59b17c3abc1835bd3dbb</t>
  </si>
  <si>
    <t>03057fbea3a2623382628dde556b2a0698e32428d3cd225f3bd034dca82dd7455a</t>
  </si>
  <si>
    <t>0000000000000000000000000000000000000000000000000000000001fa5ee5</t>
  </si>
  <si>
    <t>3ffffff</t>
  </si>
  <si>
    <t>1JVnST957hGztonaWK6FougdtjxzHzRMMg</t>
  </si>
  <si>
    <t>bfebb73562d4541b32a02ba664d140b5a574792f</t>
  </si>
  <si>
    <t>024e4f50a2a3eccdb368988ae37cd4b611697b26b29696e42e06d71368b4f3840f</t>
  </si>
  <si>
    <t>000000000000000000000000000000000000000000000000000000000340326e</t>
  </si>
  <si>
    <t>7ffffff</t>
  </si>
  <si>
    <t>128z5d7nN7PkCuX5qoA4Ys6pmxUYnEy86k</t>
  </si>
  <si>
    <t>0c7aaf6caa7e5424b63d317f0f8f1f9fa40d5560</t>
  </si>
  <si>
    <t>031a864bae3922f351f1b57cfdd827c25b7e093cb9c88a72c1cd893d9f90f44ece</t>
  </si>
  <si>
    <t>0000000000000000000000000000000000000000000000000000000006ac3875</t>
  </si>
  <si>
    <t>fffffff</t>
  </si>
  <si>
    <t>12jbtzBb54r97TCwW3G1gCFoumpckRAPdY</t>
  </si>
  <si>
    <t>1306b9e4ff56513a476841bac7ba48d69516b1da</t>
  </si>
  <si>
    <t>03e9e661838a96a65331637e2a3e948dc0756e5009e7cb5c36664d9b72dd18c0a7</t>
  </si>
  <si>
    <t>000000000000000000000000000000000000000000000000000000000d916ce8</t>
  </si>
  <si>
    <t>1fffffff</t>
  </si>
  <si>
    <t>19EEC52krRUK1RkUAEZmQdjTyHT7Gp1TYT</t>
  </si>
  <si>
    <t>5a416cc9148f4a377b672c8ae5d3287adaafadec</t>
  </si>
  <si>
    <t>026caad634382d34691e3bef43ed4a124d8909a8a3362f91f1d20abaaf7e917b36</t>
  </si>
  <si>
    <t>0000000000000000000000000000000000000000000000000000000017e2551e</t>
  </si>
  <si>
    <t>3fffffff</t>
  </si>
  <si>
    <t>1LHtnpd8nU5VHEMkG2TMYYNUjjLc992bps</t>
  </si>
  <si>
    <t>d39c4704664e1deb76c9331e637564c257d68a08</t>
  </si>
  <si>
    <t>030d282cf2ff536d2c42f105d0b8588821a915dc3f9a05bd98bb23af67a2e92a5b</t>
  </si>
  <si>
    <t>000000000000000000000000000000000000000000000000000000003d94cd64</t>
  </si>
  <si>
    <t>7fffffff</t>
  </si>
  <si>
    <t>1LhE6sCTuGae42Axu1L1ZB7L96yi9irEBE</t>
  </si>
  <si>
    <t>d805f6f251f7479ebd853b3d0f4b9b2656d92f1d</t>
  </si>
  <si>
    <t>0387dc70db1806cd9a9a76637412ec11dd998be666584849b3185f7f9313c8fd28</t>
  </si>
  <si>
    <t>000000000000000000000000000000000000000000000000000000007d4fe747</t>
  </si>
  <si>
    <t>ffffffff</t>
  </si>
  <si>
    <t>1FRoHA9xewq7DjrZ1psWJVeTer8gHRqEvR</t>
  </si>
  <si>
    <t>9e42601eeaedc244e15f17375adb0e2cd08efdc9</t>
  </si>
  <si>
    <t>0209c58240e50e3ba3f833c82655e8725c037a2294e14cf5d73a5df8d56159de69</t>
  </si>
  <si>
    <t>00000000000000000000000000000000000000000000000000000000b862a62e</t>
  </si>
  <si>
    <t>1ffffffff</t>
  </si>
  <si>
    <t>187swFMjz1G54ycVU56B7jZFHFTNVQFDiu</t>
  </si>
  <si>
    <t>4e15e5189752d1eaf444dfd6bff399feb0443977</t>
  </si>
  <si>
    <t>03a355aa5e2e09dd44bb46a4722e9336e9e3ee4ee4e7b7a0cf5785b283bf2ab579</t>
  </si>
  <si>
    <t>00000000000000000000000000000000000000000000000000000001a96ca8d8</t>
  </si>
  <si>
    <t>3ffffffff</t>
  </si>
  <si>
    <t>1PWABE7oUahG2AFFQhhvViQovnCr4rEv7Q</t>
  </si>
  <si>
    <t>f6d67d7983bf70450f295c9cb828daab265f1bfa</t>
  </si>
  <si>
    <t>033cdd9d6d97cbfe7c26f902faf6a435780fe652e159ec953650ec7b1004082790</t>
  </si>
  <si>
    <t>000000000000000000000000000000000000000000000000000000034a65911d</t>
  </si>
  <si>
    <t>7ffffffff</t>
  </si>
  <si>
    <t>1PWCx5fovoEaoBowAvF5k91m2Xat9bMgwb</t>
  </si>
  <si>
    <t>f6d8ce225ffbdecec170f8298c3fc28ae686df25</t>
  </si>
  <si>
    <t>02f6a8148a62320e149cb15c544fe8a25ab483a0095d2280d03b8a00a7feada13d</t>
  </si>
  <si>
    <t>00000000000000000000000000000000000000000000000000000004aed21170</t>
  </si>
  <si>
    <t>fffffffff</t>
  </si>
  <si>
    <t>1Be2UF9NLfyLFbtm3TCbmuocc9N1Kduci1</t>
  </si>
  <si>
    <t>74b1e012be1521e5d8d75e745a26ced845ea3d37</t>
  </si>
  <si>
    <t>02b3e772216695845fa9dda419fb5daca28154d8aa59ea302f05e916635e47b9f6</t>
  </si>
  <si>
    <t>00000000000000000000000000000000000000000000000000000009de820a7c</t>
  </si>
  <si>
    <t>1fffffffff</t>
  </si>
  <si>
    <t>14iXhn8bGajVWegZHJ18vJLHhntcpL4dex</t>
  </si>
  <si>
    <t>28c30fb9118ed1da72e7c4f89c0164756e8a021d</t>
  </si>
  <si>
    <t>027d2c03c3ef0aec70f2c7e1e75454a5dfdd0e1adea670c1b3a4643c48ad0f1255</t>
  </si>
  <si>
    <t>0000000000000000000000000000000000000000000000000000001757756a93</t>
  </si>
  <si>
    <t>3fffffffff</t>
  </si>
  <si>
    <t>1HBtApAFA9B2YZw3G2YKSMCtb3dVnjuNe2</t>
  </si>
  <si>
    <t>b190e2d40cfdeee2cee072954a2be89e7ba39364</t>
  </si>
  <si>
    <t>03c060e1e3771cbeccb38e119c2414702f3f5181a89652538851d2e3886bdd70c6</t>
  </si>
  <si>
    <t>00000000000000000000000000000000000000000000000000000022382facd0</t>
  </si>
  <si>
    <t>7fffffffff</t>
  </si>
  <si>
    <t>122AJhKLEfkFBaGAd84pLp1kfE7xK3GdT8</t>
  </si>
  <si>
    <t>0b304f2a79a027270276533fe1ed4eff30910876</t>
  </si>
  <si>
    <t>022d77cd1467019a6bf28f7375d0949ce30e6b5815c2758b98a74c2700bc006543</t>
  </si>
  <si>
    <t>0000000000000000000000000000000000000000000000000000004b5f8303e9</t>
  </si>
  <si>
    <t>ffffffffff</t>
  </si>
  <si>
    <t>1EeAxcprB2PpCnr34VfZdFrkUWuxyiNEFv</t>
  </si>
  <si>
    <t>95a156cd21b4a69de969eb6716864f4c8b82a82a</t>
  </si>
  <si>
    <t>03a2efa402fd5268400c77c20e574ba86409ededee7c4020e4b9f0edbee53de0d4</t>
  </si>
  <si>
    <t>000000000000000000000000000000000000000000000000000000e9ae4933d6</t>
  </si>
  <si>
    <t>1ffffffffff</t>
  </si>
  <si>
    <t>1L5sU9qvJeuwQUdt4y1eiLmquFxKjtHr3E</t>
  </si>
  <si>
    <t>d1562eb37357f9e6fc41cb2359f4d3eda4032329</t>
  </si>
  <si>
    <t>03b357e68437da273dcf995a474a524439faad86fc9effc300183f714b0903468b</t>
  </si>
  <si>
    <t>00000000000000000000000000000000000000000000000000000153869acc5b</t>
  </si>
  <si>
    <t>3ffffffffff</t>
  </si>
  <si>
    <t>1E32GPWgDyeyQac4aJxm9HVoLrrEYPnM4N</t>
  </si>
  <si>
    <t>8efb85f9c5b5db2d55973a04128dc7510075ae23</t>
  </si>
  <si>
    <t>03eec88385be9da803a0d6579798d977a5d0c7f80917dab49cb73c9e3927142cb6</t>
  </si>
  <si>
    <t>000000000000000000000000000000000000000000000000000002a221c58d8f</t>
  </si>
  <si>
    <t>7ffffffffff</t>
  </si>
  <si>
    <t>1PiFuqGpG8yGM5v6rNHWS3TjsG6awgEGA1</t>
  </si>
  <si>
    <t>f92044c7924e5525c61207972c253c9fc9f086f7</t>
  </si>
  <si>
    <t>02a631f9ba0f28511614904df80d7f97a4f43f02249c8909dac92276ccf0bcdaed</t>
  </si>
  <si>
    <t>000000000000000000000000000000000000000000000000000006bd3b27c591</t>
  </si>
  <si>
    <t>fffffffffff</t>
  </si>
  <si>
    <t>1CkR2uS7LmFwc3T2jV8C1BhWb5mQaoxedF</t>
  </si>
  <si>
    <t>80df54e1f612f2fc5bdc05c9d21a83aa8d20791e</t>
  </si>
  <si>
    <t>025e466e97ed0e7910d3d90ceb0332df48ddf67d456b9e7303b50a3d89de357336</t>
  </si>
  <si>
    <t>00000000000000000000000000000000000000000000000000000e02b35a358f</t>
  </si>
  <si>
    <t>1fffffffffff</t>
  </si>
  <si>
    <t>1NtiLNGegHWE3Mp9g2JPkgx6wUg4TW7bbk</t>
  </si>
  <si>
    <t>f0225bfc68a6e17e87cd8b5e60ae3be18f120753</t>
  </si>
  <si>
    <t>026ecabd2d22fdb737be21975ce9a694e108eb94f3649c586cc7461c8abf5da71a</t>
  </si>
  <si>
    <t>0000000000000000000000000000000000000000000000000000122fca143c05</t>
  </si>
  <si>
    <t>3fffffffffff</t>
  </si>
  <si>
    <t>1F3JRMWudBaj48EhwcHDdpeuy2jwACNxjP</t>
  </si>
  <si>
    <t>9a012260d01c5113df66c8a8438c9f7a1e3d5dac</t>
  </si>
  <si>
    <t>03fd5487722d2576cb6d7081426b66a3e2986c1ce8358d479063fb5f2bb6dd5849</t>
  </si>
  <si>
    <t>00000000000000000000000000000000000000000000000000002ec18388d544</t>
  </si>
  <si>
    <t>7fffffffffff</t>
  </si>
  <si>
    <t>1Pd8VvT49sHKsmqrQiP61RsVwmXCZ6ay7Z</t>
  </si>
  <si>
    <t>f828005d41b0f4fed4c8dca3b06011072cfb07d4</t>
  </si>
  <si>
    <t>023a12bd3caf0b0f77bf4eea8e7a40dbe27932bf80b19ac72f5f5a64925a594196</t>
  </si>
  <si>
    <t>00000000000000000000000000000000000000000000000000006cd610b53cba</t>
  </si>
  <si>
    <t>ffffffffffff</t>
  </si>
  <si>
    <t>1DFYhaB2J9q1LLZJWKTnscPWos9VBqDHzv</t>
  </si>
  <si>
    <t>8661cb56d9df0a61f01328b55af7e56a3fe7a2b2</t>
  </si>
  <si>
    <t>0291bee5cf4b14c291c650732faa166040e4c18a14731f9a930c1e87d3ec12debb</t>
  </si>
  <si>
    <t>0000000000000000000000000000000000000000000000000000ade6d7ce3b9b</t>
  </si>
  <si>
    <t>1ffffffffffff</t>
  </si>
  <si>
    <t>12CiUhYVTTH33w3SPUBqcpMoqnApAV4WCF</t>
  </si>
  <si>
    <t>0d2f533966c6578e1111978ca698f8add7fffdf3</t>
  </si>
  <si>
    <t>02591d682c3da4a2a698633bf5751738b67c343285ebdc3492645cb44658911484</t>
  </si>
  <si>
    <t>000000000000000000000000000000000000000000000000000174176b015f4d</t>
  </si>
  <si>
    <t>3ffffffffffff</t>
  </si>
  <si>
    <t>1MEzite4ReNuWaL5Ds17ePKt2dCxWEofwk</t>
  </si>
  <si>
    <t>de081b76f840e462fa2cdf360173dfaf4a976a47</t>
  </si>
  <si>
    <t>03f46f41027bbf44fafd6b059091b900dad41e6845b2241dc3254c7cdd3c5a16c6</t>
  </si>
  <si>
    <t>00000000000000000000000000000000000000000000000000022bd43c2e9354</t>
  </si>
  <si>
    <t>7ffffffffffff</t>
  </si>
  <si>
    <t>1NpnQyZ7x24ud82b7WiRNvPm6N8bqGQnaS</t>
  </si>
  <si>
    <t>ef6419cffd7fad7027994354eb8efae223c2dbe7</t>
  </si>
  <si>
    <t>028c6c67bef9e9eebe6a513272e50c230f0f91ed560c37bc9b033241ff6c3be78f</t>
  </si>
  <si>
    <t>00000000000000000000000000000000000000000000000000075070a1a009d4</t>
  </si>
  <si>
    <t>fffffffffffff</t>
  </si>
  <si>
    <t>15z9c9sVpu6fwNiK7dMAFgMYSK4GqsGZim</t>
  </si>
  <si>
    <t>36af659edbe94453f6344e920d143f1778653ae7</t>
  </si>
  <si>
    <t>0374c33bd548ef02667d61341892134fcf216640bc2201ae61928cd0874f6314a7</t>
  </si>
  <si>
    <t>000000000000000000000000000000000000000000000000000efae164cb9e3c</t>
  </si>
  <si>
    <t>1fffffffffffff</t>
  </si>
  <si>
    <t>15K1YKJMiJ4fpesTVUcByoz334rHmknxmT</t>
  </si>
  <si>
    <t>2f4870ef54fa4b048c1365d42594cc7d3d269551</t>
  </si>
  <si>
    <t>020faaf5f3afe58300a335874c80681cf66933e2a7aeb28387c0d28bb048bc6349</t>
  </si>
  <si>
    <t>00000000000000000000000000000000000000000000000000180788e47e326c</t>
  </si>
  <si>
    <t>3fffffffffffff</t>
  </si>
  <si>
    <t>1KYUv7nSvXx4642TKeuC2SNdTk326uUpFy</t>
  </si>
  <si>
    <t>cb66763cf7fde659869ae7f06884d9a0f879a092</t>
  </si>
  <si>
    <t>034af4b81f8c450c2c870ce1df184aff1297e5fcd54944d98d81e1a545ffb22596</t>
  </si>
  <si>
    <t>00000000000000000000000000000000000000000000000000236fb6d5ad1f43</t>
  </si>
  <si>
    <t>7fffffffffffff</t>
  </si>
  <si>
    <t>1LzhS3k3e9Ub8i2W1V8xQFdB8n2MYCHPCa</t>
  </si>
  <si>
    <t>db53d9bbd1f3a83b094eeca7dd970bd85b492fa2</t>
  </si>
  <si>
    <t>0385a30d8413af4f8f9e6312400f2d194fe14f02e719b24c3f83bf1fd233a8f963</t>
  </si>
  <si>
    <t>000000000000000000000000000000000000000000000000006abe1f9b67e114</t>
  </si>
  <si>
    <t>ffffffffffffff</t>
  </si>
  <si>
    <t>17aPYR1m6pVAacXg1PTDDU7XafvK1dxvhi</t>
  </si>
  <si>
    <t>48214c5969ae9f43f75070cea1e2cb41d5bdcccd</t>
  </si>
  <si>
    <t>033f2db2074e3217b3e5ee305301eeebb1160c4fa1e993ee280112f6348637999a</t>
  </si>
  <si>
    <t>000000000000000000000000000000000000000000000000009d18b63ac4ffdf</t>
  </si>
  <si>
    <t>1ffffffffffffff</t>
  </si>
  <si>
    <t>15c9mPGLku1HuW9LRtBf4jcHVpBUt8txKz</t>
  </si>
  <si>
    <t>328660ef43f66abe2653fa178452a5dfc594c2a1</t>
  </si>
  <si>
    <t>02a521a07e98f78b03fc1e039bc3a51408cd73119b5eb116e583fe57dc8db07aea</t>
  </si>
  <si>
    <t>00000000000000000000000000000000000000000000000001eb25c90795d61c</t>
  </si>
  <si>
    <t>3ffffffffffffff</t>
  </si>
  <si>
    <t>1Dn8NF8qDyyfHMktmuoQLGyjWmZXgvosXf</t>
  </si>
  <si>
    <t>8c2a6071f89c90c4dab5ab295d7729d1b54ea60f</t>
  </si>
  <si>
    <t>0311569442e870326ceec0de24eb5478c19e146ecd9d15e4666440f2f638875f42</t>
  </si>
  <si>
    <t>00000000000000000000000000000000000000000000000002c675b852189a21</t>
  </si>
  <si>
    <t>7ffffffffffffff</t>
  </si>
  <si>
    <t>1HAX2n9Uruu9YDt4cqRgYcvtGvZj1rbUyt</t>
  </si>
  <si>
    <t>b14ed3146f5b2c9bde1703deae9ef33af8110210</t>
  </si>
  <si>
    <t>0241267d2d7ee1a8e76f8d1546d0d30aefb2892d231cee0dde7776daf9f8021485</t>
  </si>
  <si>
    <t>00000000000000000000000000000000000000000000000007496cbb87cab44f</t>
  </si>
  <si>
    <t>fffffffffffffff</t>
  </si>
  <si>
    <t>1Kn5h2qpgw9mWE5jKpk8PP4qvvJ1QVy8su</t>
  </si>
  <si>
    <t>cdf8e5c7503a9d22642e3ecfc87817672787b9c5</t>
  </si>
  <si>
    <t>0348e843dc5b1bd246e6309b4924b81543d02b16c8083df973a89ce2c7eb89a10d</t>
  </si>
  <si>
    <t>0000000000000000000000000000000000000000000000000fc07a1825367bbe</t>
  </si>
  <si>
    <t>1fffffffffffffff</t>
  </si>
  <si>
    <t>1AVJKwzs9AskraJLGHAZPiaZcrpDr1U6AB</t>
  </si>
  <si>
    <t>68133e19b2dfb9034edf9830a200cfdf38c90cbd</t>
  </si>
  <si>
    <t>0249a43860d115143c35c09454863d6f82a95e47c1162fb9b2ebe0186eb26f453f</t>
  </si>
  <si>
    <t>00000000000000000000000000000000000000000000000013c96a3742f64906</t>
  </si>
  <si>
    <t>3fffffffffffffff</t>
  </si>
  <si>
    <t>1Me6EfpwZK5kQziBwBfvLiHjaPGxCKLoJi</t>
  </si>
  <si>
    <t>e26646db84b0602f32b34b5a62ca3cae1f91b779</t>
  </si>
  <si>
    <t>03231a67e424caf7d01a00d5cd49b0464942255b8e48766f96602bdfa4ea14fea8</t>
  </si>
  <si>
    <t>000000000000000000000000000000000000000000000000363d541eb611abee</t>
  </si>
  <si>
    <t>7fffffffffffffff</t>
  </si>
  <si>
    <t>1NpYjtLira16LfGbGwZJ5JbDPh3ai9bjf4</t>
  </si>
  <si>
    <t>ef58afb697b094423ce90721fbb19a359ef7c50e</t>
  </si>
  <si>
    <t>0365ec2994b8cc0a20d40dd69edfe55ca32a54bcbbaa6b0ddcff36049301a54579</t>
  </si>
  <si>
    <t>0000000000000000000000000000000000000000000000007cce5efdaccf6808</t>
  </si>
  <si>
    <t>ffffffffffffffff</t>
  </si>
  <si>
    <t>16jY7qLJnxb7CHZyqBP8qca9d51gAjyXQN</t>
  </si>
  <si>
    <t>3ee4133d991f52fdf6a25c9834e0745ac74248a4</t>
  </si>
  <si>
    <t>03100611c54dfef604163b8358f7b7fac13ce478e02cb224ae16d45526b25d9d4d</t>
  </si>
  <si>
    <t>000000000000000000000000000000000000000000000000f7051f27b09112d4</t>
  </si>
  <si>
    <t>1ffffffffffffffff</t>
  </si>
  <si>
    <t>18ZMbwUFLMHoZBbfpCjUJQTCMCbktshgpe</t>
  </si>
  <si>
    <t>52e763a7ddc1aa4fa811578c491c1bc7fd570137</t>
  </si>
  <si>
    <t>0230210c23b1a047bc9bdbb13448e67deddc108946de6de639bcc75d47c0216b1b</t>
  </si>
  <si>
    <t>000000000000000000000000000000000000000000000001a838b13505b26867</t>
  </si>
  <si>
    <t>3ffffffffffffffff</t>
  </si>
  <si>
    <t>13zb1hQbWVsc2S7ZTZnP2G4undNNpdh5so</t>
  </si>
  <si>
    <t>20d45a6a762535700ce9e0b216e31994335db8a5</t>
  </si>
  <si>
    <t>024ee2be2d4e9f92d2f5a4a03058617dc45befe22938feed5b7a6b7282dd74cbdd</t>
  </si>
  <si>
    <t>000000000000000000000000000000000000000000000002832ed74f2b5e35ee</t>
  </si>
  <si>
    <t>7ffffffffffffffff</t>
  </si>
  <si>
    <t>1BY8GQbnueYofwSuFAT3USAhGjPrkxDdW9</t>
  </si>
  <si>
    <t>739437bb3dd6d1983e66629c5f08c70e52769371</t>
  </si>
  <si>
    <t>0212209f5ec514a1580a2937bd833979d933199fc230e204c6cdc58872b7d46f75</t>
  </si>
  <si>
    <t>00000000000000000000000000000000000000000000000730fc235c1942c1ae</t>
  </si>
  <si>
    <t>fffffffffffffffff</t>
  </si>
  <si>
    <t>1MVDYgVaSN6iKKEsbzRUAYFrYJadLYZvvZ</t>
  </si>
  <si>
    <t>e0b8a2baee1b77fc703455f39d51477451fc8cfc</t>
  </si>
  <si>
    <t>031fe02f1d740637a7127cdfe8a77a8a0cfc6435f85e7ec3282cb6243c0a93ba1b</t>
  </si>
  <si>
    <t>00000000000000000000000000000000000000000000000bebb3940cd0fc1491</t>
  </si>
  <si>
    <t>1fffffffffffffffff</t>
  </si>
  <si>
    <t>19vkiEajfhuZ8bs8Zu2jgmC6oqZbWqhxhG</t>
  </si>
  <si>
    <t>61eb8a50c86b0584bb727dd65bed8d2400d6d5aa</t>
  </si>
  <si>
    <t>024babadccc6cfd5f0e5e7fd2a50aa7d677ce0aa16fdce26a0d0882eed03e7ba53</t>
  </si>
  <si>
    <t>0000000000000000000000000000000000000000000000101d83275fb2bc7e0c</t>
  </si>
  <si>
    <t>3fffffffffffffffff</t>
  </si>
  <si>
    <t>19YZECXj3SxEZMoUeJ1yiPsw8xANe7M7QR</t>
  </si>
  <si>
    <t>5db8cda53a6a002db10365967d7f85d19e171b10</t>
  </si>
  <si>
    <t>0290e6900a58d33393bc1097b5aed31f2e4e7cbd3e5466af958665bc0121248483</t>
  </si>
  <si>
    <t>0000000000000000000000000000000000000000000000349b84b6431a6c4ef1</t>
  </si>
  <si>
    <t>7fffffffffffffffff</t>
  </si>
  <si>
    <t>1PWo3JeB9jrGwfHDNpdGK54CRas7fsVzXU</t>
  </si>
  <si>
    <t>f6f5431d25bbf7b12e8add9af5e3475c44a0a5b8</t>
  </si>
  <si>
    <t>ffffffffffffffffff</t>
  </si>
  <si>
    <t>1JTK7s9YVYywfm5XUH7RNhHJH1LshCaRFR</t>
  </si>
  <si>
    <t>bf7413e8df4e7a34ce9dc13e2f2648783ec54adb</t>
  </si>
  <si>
    <t>1ffffffffffffffffff</t>
  </si>
  <si>
    <t>12VVRNPi4SJqUTsp6FmqDqY5sGosDtysn4</t>
  </si>
  <si>
    <t>105b7f253f0ebd7843adaebbd805c944bfb863e4</t>
  </si>
  <si>
    <t>3ffffffffffffffffff</t>
  </si>
  <si>
    <t>1FWGcVDK3JGzCC3WtkYetULPszMaK2Jksv</t>
  </si>
  <si>
    <t>9f1adb20baeacc38b3f49f3df6906a0e48f2df3d</t>
  </si>
  <si>
    <t>7ffffffffffffffffff</t>
  </si>
  <si>
    <t>1J36UjUByGroXcCvmj13U6uwaVv9caEeAt</t>
  </si>
  <si>
    <t>badf8b0d34289e679ec65c6c61d3a974353be5cf</t>
  </si>
  <si>
    <t>03726b574f193e374686d8e12bc6e4142adeb06770e0a2856f5e4ad89f66044755</t>
  </si>
  <si>
    <t>0000000000000000000000000000000000000000000004c5ce114686a1336e07</t>
  </si>
  <si>
    <t>fffffffffffffffffff</t>
  </si>
  <si>
    <t>1DJh2eHFYQfACPmrvpyWc8MSTYKh7w9eRF</t>
  </si>
  <si>
    <t>86f9fea5cdecf033161dd2f8f8560768ae0a6d14</t>
  </si>
  <si>
    <t>1fffffffffffffffffff</t>
  </si>
  <si>
    <t>1Bxk4CQdqL9p22JEtDfdXMsng1XacifUtE</t>
  </si>
  <si>
    <t>783c138ac81f6a52398564bb17455576e8525b29</t>
  </si>
  <si>
    <t>3fffffffffffffffffff</t>
  </si>
  <si>
    <t>15qF6X51huDjqTmF9BJgxXdt1xcj46Jmhb</t>
  </si>
  <si>
    <t>35003c3ef8759c92092f8488fca59a042859018c</t>
  </si>
  <si>
    <t>7fffffffffffffffffff</t>
  </si>
  <si>
    <t>1ARk8HWJMn8js8tQmGUJeQHjSE7KRkn2t8</t>
  </si>
  <si>
    <t>67671d5490c272e3ab7ddd34030d587738df33da</t>
  </si>
  <si>
    <t>ffffffffffffffffffff</t>
  </si>
  <si>
    <t>1BCf6rHUW6m3iH2ptsvnjgLruAiPQQepLe</t>
  </si>
  <si>
    <t>6fe5a36eef0684af0b91f3b6cfc972d68c4f6fab</t>
  </si>
  <si>
    <t>037e1238f7b1ce757df94faa9a2eb261bf0aeb9f84dbf81212104e78931c2a19dc</t>
  </si>
  <si>
    <t>00000000000000000000000000000000000000000000ea1a5c66dcc11b5ad180</t>
  </si>
  <si>
    <t>1ffffffffffffffffffff</t>
  </si>
  <si>
    <t>15qsCm78whspNQFydGJQk5rexzxTQopnHZ</t>
  </si>
  <si>
    <t>351e605fac813965951ba433b7c2956bf8ad95ce</t>
  </si>
  <si>
    <t>3ffffffffffffffffffff</t>
  </si>
  <si>
    <t>13zYrYhhJxp6Ui1VV7pqa5WDhNWM45ARAC</t>
  </si>
  <si>
    <t>20d28d4e87543947c7e4913bcdceaa16e2f8f061</t>
  </si>
  <si>
    <t>7ffffffffffffffffffff</t>
  </si>
  <si>
    <t>14MdEb4eFcT3MVG5sPFG4jGLuHJSnt1Dk2</t>
  </si>
  <si>
    <t>24cef184714bbd030833904f5265c9c3e12a95a2</t>
  </si>
  <si>
    <t>fffffffffffffffffffff</t>
  </si>
  <si>
    <t>1CMq3SvFcVEcpLMuuH8PUcNiqsK1oicG2D</t>
  </si>
  <si>
    <t>7c99ce73e19f9fbfcce4825ae88261e2b0b0b040</t>
  </si>
  <si>
    <t>1fffffffffffffffffffff</t>
  </si>
  <si>
    <t>1Kh22PvXERd2xpTQk3ur6pPEqFeckCJfAr</t>
  </si>
  <si>
    <t>cd03c1e6268ce9b89e3c3eeab8d0f1b6e8cac281</t>
  </si>
  <si>
    <t>0329c4574a4fd8c810b7e42a4b398882b381bcd85e40c6883712912d167c83e73a</t>
  </si>
  <si>
    <t>00000000000000000000000000000000000000000011720c4f018d51b8cebba8</t>
  </si>
  <si>
    <t>3fffffffffffffffffffff</t>
  </si>
  <si>
    <t>1K3x5L6G57Y494fDqBfrojD28UJv4s5JcK</t>
  </si>
  <si>
    <t>c60111ed3d63b49665747b0e31eb382da5193535</t>
  </si>
  <si>
    <t>7fffffffffffffffffffff</t>
  </si>
  <si>
    <t>1PxH3K1Shdjb7gSEoTX7UPDZ6SH4qGPrvq</t>
  </si>
  <si>
    <t>fbc708d671c03e26661b9c08f77598a529858b5e</t>
  </si>
  <si>
    <t>ffffffffffffffffffffff</t>
  </si>
  <si>
    <t>16AbnZjZZipwHMkYKBSfswGWKDmXHjEpSf</t>
  </si>
  <si>
    <t>38a968fdfb457654c51bcfc4f9174d6ee487bb41</t>
  </si>
  <si>
    <t>1ffffffffffffffffffffff</t>
  </si>
  <si>
    <t>19QciEHbGVNY4hrhfKXmcBBCrJSBZ6TaVt</t>
  </si>
  <si>
    <t>5c3862203d1e44ab3af441503e22db97b1c5097e</t>
  </si>
  <si>
    <t>3ffffffffffffffffffffff</t>
  </si>
  <si>
    <t>1L12FHH2FHjvTviyanuiFVfmzCy46RRATU</t>
  </si>
  <si>
    <t>d06b6e206691295ec345782d7ea0686969d8674b</t>
  </si>
  <si>
    <t>035c38bd9ae4b10e8a250857006f3cfd98ab15a6196d9f4dfd25bc7ecc77d788d5</t>
  </si>
  <si>
    <t>000000000000000000000000000000000000000002ce00bb2136a445c71e85bf</t>
  </si>
  <si>
    <t>7ffffffffffffffffffffff</t>
  </si>
  <si>
    <t>1EzVHtmbN4fs4MiNk3ppEnKKhsmXYJ4s74</t>
  </si>
  <si>
    <t>9978f61b92d16c5f1a463a0995df70da1f7a7d2a</t>
  </si>
  <si>
    <t>fffffffffffffffffffffff</t>
  </si>
  <si>
    <t>1AE8NzzgKE7Yhz7BWtAcAAxiFMbPo82NB5</t>
  </si>
  <si>
    <t>6534b31208fe6e100d29f9c9c75aac8bf06fbb38</t>
  </si>
  <si>
    <t>1fffffffffffffffffffffff</t>
  </si>
  <si>
    <t>17Q7tuG2JwFFU9rXVj3uZqRtioH3mx2Jad</t>
  </si>
  <si>
    <t>463013cd41279f2fd0c31d0a16db3972bfffac8d</t>
  </si>
  <si>
    <t>3fffffffffffffffffffffff</t>
  </si>
  <si>
    <t>1K6xGMUbs6ZTXBnhw1pippqwK6wjBWtNpL</t>
  </si>
  <si>
    <t>c6927a00970d0165327d0a6db7950f05720c295c</t>
  </si>
  <si>
    <t>7fffffffffffffffffffffff</t>
  </si>
  <si>
    <t>19eVSDuizydXxhohGh8Ki9WY9KsHdSwoQC</t>
  </si>
  <si>
    <t>5ed822125365274262191d2b77e88d436dd56d88</t>
  </si>
  <si>
    <t>02967a5905d6f3b420959a02789f96ab4c3223a2c4d2762f817b7895c5bc88a045</t>
  </si>
  <si>
    <t>0000000000000000000000000000000000000000527a792b183c7f64a0e8b1f4</t>
  </si>
  <si>
    <t>ffffffffffffffffffffffff</t>
  </si>
  <si>
    <t>15ANYzzCp5BFHcCnVFzXqyibpzgPLWaD8b</t>
  </si>
  <si>
    <t>2da63cbd251d23c7b633cb287c09e6cf888b3fe4</t>
  </si>
  <si>
    <t>1ffffffffffffffffffffffff</t>
  </si>
  <si>
    <t>18ywPwj39nGjqBrQJSzZVq2izR12MDpDr8</t>
  </si>
  <si>
    <t>578d94dc6f40fff35f91f6fba9b71c46b361dff2</t>
  </si>
  <si>
    <t>3ffffffffffffffffffffffff</t>
  </si>
  <si>
    <t>1CaBVPrwUxbQYYswu32w7Mj4HR4maNoJSX</t>
  </si>
  <si>
    <t>7eefddd979a1d6bb6f29757a1f463579770ba566</t>
  </si>
  <si>
    <t>7ffffffffffffffffffffffff</t>
  </si>
  <si>
    <t>1JWnE6p6UN7ZJBN7TtcbNDoRcjFtuDWoNL</t>
  </si>
  <si>
    <t>c01bf430a97cbcdaedddba87ef4ea21c456cebdb</t>
  </si>
  <si>
    <t>fffffffffffffffffffffffff</t>
  </si>
  <si>
    <t>1KCgMv8fo2TPBpddVi9jqmMmcne9uSNJ5F</t>
  </si>
  <si>
    <t>c7a7b23f6bd98b8aaf527beb724dda9460b1bc6e</t>
  </si>
  <si>
    <t>03d2063d40402f030d4cc71331468827aa41a8a09bd6fd801ba77fb64f8e67e617</t>
  </si>
  <si>
    <t>000000000000000000000000000000000000000af55fc59c335c8ec67ed24826</t>
  </si>
  <si>
    <t>1fffffffffffffffffffffffff</t>
  </si>
  <si>
    <t>1CKCVdbDJasYmhswB6HKZHEAnNaDpK7W4n</t>
  </si>
  <si>
    <t>7c1a77205c03b9909663b2034faa0b544e6bc96b</t>
  </si>
  <si>
    <t>3fffffffffffffffffffffffff</t>
  </si>
  <si>
    <t>1PXv28YxmYMaB8zxrKeZBW8dt2HK7RkRPX</t>
  </si>
  <si>
    <t>f72b812932f6d7102233971d65cec0a22b89e136</t>
  </si>
  <si>
    <t>7fffffffffffffffffffffffff</t>
  </si>
  <si>
    <t>1AcAmB6jmtU6AiEcXkmiNE9TNVPsj9DULf</t>
  </si>
  <si>
    <t>695fd6dcf33f47166b25de968b2932b351b0afc4</t>
  </si>
  <si>
    <t>ffffffffffffffffffffffffff</t>
  </si>
  <si>
    <t>1EQJvpsmhazYCcKX5Au6AZmZKRnzarMVZu</t>
  </si>
  <si>
    <t>93022af9a38f3ebb0c3f15dd1c83f8fadaf64e74</t>
  </si>
  <si>
    <t>1ffffffffffffffffffffffffff</t>
  </si>
  <si>
    <t>1CMjscKB3QW7SDyQ4c3C3DEUHiHRhiZVib</t>
  </si>
  <si>
    <t>7c957db6fdd0733bb83bc6d6d747711263ba50b0</t>
  </si>
  <si>
    <t>03bcf7ce887ffca5e62c9cabbdb7ffa71dc183c52c04ff4ee5ee82e0c55c39d77b</t>
  </si>
  <si>
    <t>000000000000000000000000000000000000016f14fc2054cd87ee6396b33df3</t>
  </si>
  <si>
    <t>3ffffffffffffffffffffffffff</t>
  </si>
  <si>
    <t>18KsfuHuzQaBTNLASyj15hy4LuqPUo1FNB</t>
  </si>
  <si>
    <t>505aaa63a5e209dfb90cee683a8e227a8c278e47</t>
  </si>
  <si>
    <t>7ffffffffffffffffffffffffff</t>
  </si>
  <si>
    <t>15EJFC5ZTs9nhsdvSUeBXjLAuYq3SWaxTc</t>
  </si>
  <si>
    <t>2e644e46b042ffa86da35c54d7275f1abe6d4911</t>
  </si>
  <si>
    <t>fffffffffffffffffffffffffff</t>
  </si>
  <si>
    <t>1HB1iKUqeffnVsvQsbpC6dNi1XKbyNuqao</t>
  </si>
  <si>
    <t>b166c44f12c7fc565f37ff6288ee64e0f0ec9a0b</t>
  </si>
  <si>
    <t>1fffffffffffffffffffffffffff</t>
  </si>
  <si>
    <t>1GvgAXVCbA8FBjXfWiAms4ytFeJcKsoyhL</t>
  </si>
  <si>
    <t>aeb0a0197442d4ade8ef41442d557b0e22b85ac0</t>
  </si>
  <si>
    <t>3fffffffffffffffffffffffffff</t>
  </si>
  <si>
    <t>12JzYkkN76xkwvcPT6AWKZtGX6w2LAgsJg</t>
  </si>
  <si>
    <t>0e5f3c406397442996825fd395543514fd06f207</t>
  </si>
  <si>
    <t>0309976ba5570966bf889196b7fdf5a0f9a1e9ab340556ec29f8bb60599616167d</t>
  </si>
  <si>
    <t>00000000000000000000000000000000000035c0d7234df7deb0f20cf7062444</t>
  </si>
  <si>
    <t>7fffffffffffffffffffffffffff</t>
  </si>
  <si>
    <t>1824ZJQ7nKJ9QFTRBqn7z7dHV5EGpzUpH3</t>
  </si>
  <si>
    <t>4cfc43fe12a330c8164251e38c0c0c3c84cf86f6</t>
  </si>
  <si>
    <t>ffffffffffffffffffffffffffff</t>
  </si>
  <si>
    <t>18A7NA9FTsnJxWgkoFfPAFbQzuQxpRtCos</t>
  </si>
  <si>
    <t>4e81efec43c5195aeca0e3877664330418b8e48e</t>
  </si>
  <si>
    <t>1ffffffffffffffffffffffffffff</t>
  </si>
  <si>
    <t>1NeGn21dUDDeqFQ63xb2SpgUuXuBLA4WT4</t>
  </si>
  <si>
    <t>ed673389e4b12925316f9166d56d701829e53cf8</t>
  </si>
  <si>
    <t>3ffffffffffffffffffffffffffff</t>
  </si>
  <si>
    <t>174SNxfqpdMGYy5YQcfLbSTK3MRNZEePoy</t>
  </si>
  <si>
    <t>42773005f9594cd16b10985d428418acb7f352ec</t>
  </si>
  <si>
    <t>7ffffffffffffffffffffffffffff</t>
  </si>
  <si>
    <t>1NLbHuJebVwUZ1XqDjsAyfTRUPwDQbemfv</t>
  </si>
  <si>
    <t>ea0f2b7576bd098921fce9bfebe37f6383e639a4</t>
  </si>
  <si>
    <t>0248d313b0398d4923cdca73b8cfa6532b91b96703902fc8b32fd438a3b7cd7f55</t>
  </si>
  <si>
    <t>0000000000000000000000000000000000060f4d11574f5deee49961d9609ac6</t>
  </si>
  <si>
    <t>fffffffffffffffffffffffffffff</t>
  </si>
  <si>
    <t>1MnJ6hdhvK37VLmqcdEwqC3iFxyWH2PHUV</t>
  </si>
  <si>
    <t>e3f381c34a20da049779b44cae0417c7fb2898d0</t>
  </si>
  <si>
    <t>1fffffffffffffffffffffffffffff</t>
  </si>
  <si>
    <t>1KNRfGWw7Q9Rmwsc6NT5zsdvEb9M2Wkj5Z</t>
  </si>
  <si>
    <t>c97f9591e28687be1c4d972e25be7c372a3221b4</t>
  </si>
  <si>
    <t>3fffffffffffffffffffffffffffff</t>
  </si>
  <si>
    <t>1PJZPzvGX19a7twf5HyD2VvNiPdHLzm9F6</t>
  </si>
  <si>
    <t>f4a4e1c11a5bbbd2fc139d221825407c66e0b8b4</t>
  </si>
  <si>
    <t>7fffffffffffffffffffffffffffff</t>
  </si>
  <si>
    <t>1GuBBhf61rnvRe4K8zu8vdQB3kHzwFqSy7</t>
  </si>
  <si>
    <t>ae6804b35c82f47f8b0a42d8c5e514fe5ef0a883</t>
  </si>
  <si>
    <t>ffffffffffffffffffffffffffffff</t>
  </si>
  <si>
    <t>17s2b9ksz5y7abUm92cHwG8jEPCzK3dLnT</t>
  </si>
  <si>
    <t>4b46e10a541aeec6be3fac709c256fb7da69308e</t>
  </si>
  <si>
    <t>02ceb6cbbcdbdf5ef7150682150f4ce2c6f4807b349827dcdbdd1f2efa885a2630</t>
  </si>
  <si>
    <t>0000000000000000000000000000000000b10f22572c497a836ea187f2e1fc23</t>
  </si>
  <si>
    <t>1ffffffffffffffffffffffffffffff</t>
  </si>
  <si>
    <t>1GDSuiThEV64c166LUFC9uDcVdGjqkxKyh</t>
  </si>
  <si>
    <t>a6e4818537e42f7b3f021daa810367dad4dda16f</t>
  </si>
  <si>
    <t>3ffffffffffffffffffffffffffffff</t>
  </si>
  <si>
    <t>1Me3ASYt5JCTAK2XaC32RMeH34PdprrfDx</t>
  </si>
  <si>
    <t>e263b62ea294b9650615a13b926e75944c823990</t>
  </si>
  <si>
    <t>7ffffffffffffffffffffffffffffff</t>
  </si>
  <si>
    <t>1CdufMQL892A69KXgv6UNBD17ywWqYpKut</t>
  </si>
  <si>
    <t>7fa4515066ba6905f894b2078f9af7b1379169cf</t>
  </si>
  <si>
    <t>fffffffffffffffffffffffffffffff</t>
  </si>
  <si>
    <t>1BkkGsX9ZM6iwL3zbqs7HWBV7SvosR6m8N</t>
  </si>
  <si>
    <t>75f74467ce7214f1767406d5ed12012aa523c48e</t>
  </si>
  <si>
    <t>1fffffffffffffffffffffffffffffff</t>
  </si>
  <si>
    <t>1PXAyUB8ZoH3WD8n5zoAthYjN15yN5CVq5</t>
  </si>
  <si>
    <t>f7079256aa027dc437cbb539f955472416725fc8</t>
  </si>
  <si>
    <t>0233709eb11e0d4439a729f21c2c443dedb727528229713f0065721ba8fa46f00e</t>
  </si>
  <si>
    <t>000000000000000000000000000000001c533b6bb7f0804e09960225e44877ac</t>
  </si>
  <si>
    <t>3fffffffffffffffffffffffffffffff</t>
  </si>
  <si>
    <t>1AWCLZAjKbV1P7AHvaPNCKiB7ZWVDMxFiz</t>
  </si>
  <si>
    <t>683ea8a1ef06eada90556017d44323b5c04e00f1</t>
  </si>
  <si>
    <t>7fffffffffffffffffffffffffffffff</t>
  </si>
  <si>
    <t>1G6EFyBRU86sThN3SSt3GrHu1sA7w7nzi4</t>
  </si>
  <si>
    <t>a58708aa98ad35c889bb36d8049bf9e9cacfd02a</t>
  </si>
  <si>
    <t>ffffffffffffffffffffffffffffffff</t>
  </si>
  <si>
    <t>1MZ2L1gFrCtkkn6DnTT2e4PFUTHw9gNwaj</t>
  </si>
  <si>
    <t>e170ef514689d7230da362a0c121a07723550512</t>
  </si>
  <si>
    <t>1ffffffffffffffffffffffffffffffff</t>
  </si>
  <si>
    <t>1Hz3uv3nNZzBVMXLGadCucgjiCs5W9vaGz</t>
  </si>
  <si>
    <t>ba4c2748360a6b66263e11d1dc8658463ca5ff18</t>
  </si>
  <si>
    <t>3ffffffffffffffffffffffffffffffff</t>
  </si>
  <si>
    <t>1Fo65aKq8s8iquMt6weF1rku1moWVEd5Ua</t>
  </si>
  <si>
    <t>a24922852051a9002ebf4c864a55acb75bb4cf75</t>
  </si>
  <si>
    <t>03633cbe3ec02b9401c5effa144c5b4d22f87940259634858fc7e59b1c09937852</t>
  </si>
  <si>
    <t>000000000000000000000000000000033e7665705359f04f28b88cf897c603c9</t>
  </si>
  <si>
    <t>7ffffffffffffffffffffffffffffffff</t>
  </si>
  <si>
    <t>16zRPnT8znwq42q7XeMkZUhb1bKqgRogyy</t>
  </si>
  <si>
    <t>41b4b36a6c036568972380177eca2916cacd71de</t>
  </si>
  <si>
    <t>fffffffffffffffffffffffffffffffff</t>
  </si>
  <si>
    <t>1KrU4dHE5WrW8rhWDsTRjR21r8t3dsrS3R</t>
  </si>
  <si>
    <t>cecd3ca4319651bd3afd1e23ab66e111ed38d16d</t>
  </si>
  <si>
    <t>1fffffffffffffffffffffffffffffffff</t>
  </si>
  <si>
    <t>17uDfp5r4n441xkgLFmhNoSW1KWp6xVLD</t>
  </si>
  <si>
    <t>014e15e4ea6da460cc7835e262676baa37988e4f</t>
  </si>
  <si>
    <t>3fffffffffffffffffffffffffffffffff</t>
  </si>
  <si>
    <t>13A3JrvXmvg5w9XGvyyR4JEJqiLz8ZySY3</t>
  </si>
  <si>
    <t>17a5ebfaf62e73f149e33ba674836801f13a80b9</t>
  </si>
  <si>
    <t>7fffffffffffffffffffffffffffffffff</t>
  </si>
  <si>
    <t>16RGFo6hjq9ym6Pj7N5H7L1NR1rVPJyw2v</t>
  </si>
  <si>
    <t>3b6f58a75a54bfd85d1bc6c51180fdc732992326</t>
  </si>
  <si>
    <t>02145d2611c823a396ef6712ce0f712f09b9b4f3135e3e0aa3230fb9b6d08d1e16</t>
  </si>
  <si>
    <t>0000000000000000000000000000006d9392a16883f90903d5f78da57af07eb2</t>
  </si>
  <si>
    <t>ffffffffffffffffffffffffffffffffff</t>
  </si>
  <si>
    <t>1UDHPdovvR985NrWSkdWQDEQ1xuRiTALq</t>
  </si>
  <si>
    <t>05257be4b57ee43fc09762d5d3a9ad4a6e1a0364</t>
  </si>
  <si>
    <t>1ffffffffffffffffffffffffffffffffff</t>
  </si>
  <si>
    <t>15nf31J46iLuK1ZkTnqHo7WgN5cARFK3RA</t>
  </si>
  <si>
    <t>3482f8986e13c018692053a784481c63a3554c9c</t>
  </si>
  <si>
    <t>3ffffffffffffffffffffffffffffffffff</t>
  </si>
  <si>
    <t>1Ab4vzG6wEQBDNQM1B2bvUz4fqXXdFk2WT</t>
  </si>
  <si>
    <t>692a8e583866fc9056f5c61a45969fb9d868a08c</t>
  </si>
  <si>
    <t>7ffffffffffffffffffffffffffffffffff</t>
  </si>
  <si>
    <t>1Fz63c775VV9fNyj25d9Xfw3YHE6sKCxbt</t>
  </si>
  <si>
    <t>a45dae9cd5d3fde21e5aa9a95367d107267b3b8a</t>
  </si>
  <si>
    <t>fffffffffffffffffffffffffffffffffff</t>
  </si>
  <si>
    <t>1QKBaU6WAeycb3DbKbLBkX7vJiaS8r42Xo</t>
  </si>
  <si>
    <t>ffbb35a7bb9bbe16c1aa2534f7ff11d59c8e3d1a</t>
  </si>
  <si>
    <t>031f6a332d3c5c4f2de2378c012f429cd109ba07d69690c6c701b6bb87860d6640</t>
  </si>
  <si>
    <t>1fffffffffffffffffffffffffffffffffff</t>
  </si>
  <si>
    <t>1CD91Vm97mLQvXhrnoMChhJx4TP9MaQkJo</t>
  </si>
  <si>
    <t>7af50f73fd580f1713af3a6f9c5de49643ec6fc6</t>
  </si>
  <si>
    <t>3fffffffffffffffffffffffffffffffffff</t>
  </si>
  <si>
    <t>15MnK2jXPqTMURX4xC3h4mAZxyCcaWWEDD</t>
  </si>
  <si>
    <t>2fcea55e6d027a2ba7c7ebe95eedf47766730fe2</t>
  </si>
  <si>
    <t>7fffffffffffffffffffffffffffffffffff</t>
  </si>
  <si>
    <t>13N66gCzWWHEZBxhVxG18P8wyjEWF9Yoi1</t>
  </si>
  <si>
    <t>19ed3e03d19ddcedd5fa86543be820b3a7951650</t>
  </si>
  <si>
    <t>ffffffffffffffffffffffffffffffffffff</t>
  </si>
  <si>
    <t>1NevxKDYuDcCh1ZMMi6ftmWwGrZKC6j7Ux</t>
  </si>
  <si>
    <t>ed87120066e244ff5331d5f8625873d7a3acc39c</t>
  </si>
  <si>
    <t>1ffffffffffffffffffffffffffffffffffff</t>
  </si>
  <si>
    <t>19GpszRNUej5yYqxXoLnbZWKew3KdVLkXg</t>
  </si>
  <si>
    <t>5abf369388deb8072741b4eb43ef10fa9388a729</t>
  </si>
  <si>
    <t>03afdda497369e219a2c1c369954a930e4d3740968e5e4352475bcffce3140dae5</t>
  </si>
  <si>
    <t>3ffffffffffffffffffffffffffffffffffff</t>
  </si>
  <si>
    <t>1M7ipcdYHey2Y5RZM34MBbpugghmjaV89P</t>
  </si>
  <si>
    <t>dca7ebfb78ce21884300f133d89244bc4b1b756f</t>
  </si>
  <si>
    <t>7ffffffffffffffffffffffffffffffffffff</t>
  </si>
  <si>
    <t>18aNhurEAJsw6BAgtANpexk5ob1aGTwSeL</t>
  </si>
  <si>
    <t>5318b9d7fcc93873f768725eb68ba2c924bb07ee</t>
  </si>
  <si>
    <t>fffffffffffffffffffffffffffffffffffff</t>
  </si>
  <si>
    <t>1FwZXt6EpRT7Fkndzv6K4b4DFoT4trbMrV</t>
  </si>
  <si>
    <t>a3e3612e586fd206efb8eee6ccd58318e182829a</t>
  </si>
  <si>
    <t>1fffffffffffffffffffffffffffffffffffff</t>
  </si>
  <si>
    <t>1CXvTzR6qv8wJ7eprzUKeWxyGcHwDYP1i2</t>
  </si>
  <si>
    <t>7e827e3b90da24c2a15f7b67e3bbece39955a5d0</t>
  </si>
  <si>
    <t>3fffffffffffffffffffffffffffffffffffff</t>
  </si>
  <si>
    <t>1MUJSJYtGPVGkBCTqGspnxyHahpt5Te8jy</t>
  </si>
  <si>
    <t>e08c4d3bc9cf2b3e2cb88de2bfaa4fe8c7aa3f24</t>
  </si>
  <si>
    <t>03137807790ea7dc6e97901c2bc87411f45ed74a5629315c4e4b03a0a102250c49</t>
  </si>
  <si>
    <t>7fffffffffffffffffffffffffffffffffffff</t>
  </si>
  <si>
    <t>13Q84TNNvgcL3HJiqQPvyBb9m4hxjS3jkV</t>
  </si>
  <si>
    <t>1a4fb632f0de0c53a0a31d57f840a19e56c645ee</t>
  </si>
  <si>
    <t>ffffffffffffffffffffffffffffffffffffff</t>
  </si>
  <si>
    <t>1LuUHyrQr8PKSvbcY1v1PiuGuqFjWpDumN</t>
  </si>
  <si>
    <t>da56cd815fa2f0d6a4ce6d25ed7b1a01d9f9bc6b</t>
  </si>
  <si>
    <t>1ffffffffffffffffffffffffffffffffffffff</t>
  </si>
  <si>
    <t>18192XpzzdDi2K11QVHR7td2HcPS6Qs5vg</t>
  </si>
  <si>
    <t>4ccf94a1b0efd63cddeee0ef5eee5ebe720cfcbf</t>
  </si>
  <si>
    <t>3ffffffffffffffffffffffffffffffffffffff</t>
  </si>
  <si>
    <t>1NgVmsCCJaKLzGyKLFJfVequnFW9ZvnMLN</t>
  </si>
  <si>
    <t>edd2e206825fa8949d1304cd82c08d64b222f2eb</t>
  </si>
  <si>
    <t>7ffffffffffffffffffffffffffffffffffffff</t>
  </si>
  <si>
    <t>1AoeP37TmHdFh8uN72fu9AqgtLrUwcv2wJ</t>
  </si>
  <si>
    <t>6b8b7830f73c5bf9e8beb9f161ad82b3bde992e4</t>
  </si>
  <si>
    <t>035cd1854cae45391ca4ec428cc7e6c7d9984424b954209a8eea197b9e364c05f6</t>
  </si>
  <si>
    <t>fffffffffffffffffffffffffffffffffffffff</t>
  </si>
  <si>
    <t>1FTpAbQa4h8trvhQXjXnmNhqdiGBd1oraE</t>
  </si>
  <si>
    <t>9ea3f29aaedf7da10b1488934c50a39e271b0b64</t>
  </si>
  <si>
    <t>1fffffffffffffffffffffffffffffffffffffff</t>
  </si>
  <si>
    <t>14JHoRAdmJg3XR4RjMDh6Wed6ft6hzbQe9</t>
  </si>
  <si>
    <t>242d790e5a168043c76f0539fd894b73ee67b3b3</t>
  </si>
  <si>
    <t>3fffffffffffffffffffffffffffffffffffffff</t>
  </si>
  <si>
    <t>19z6waranEf8CcP8FqNgdwUe1QRxvUNKBG</t>
  </si>
  <si>
    <t>628dacebb0faa7f81670e174ca4c8a95a7e37029</t>
  </si>
  <si>
    <t>7fffffffffffffffffffffffffffffffffffffff</t>
  </si>
  <si>
    <t>14u4nA5sugaswb6SZgn5av2vuChdMnD9E5</t>
  </si>
  <si>
    <t>2ac1295b4e54b3f15bb0a99f84018d2082495645</t>
  </si>
  <si>
    <t>ffffffffffffffffffffffffffffffffffffffff</t>
  </si>
  <si>
    <t>1NBC8uXJy1GiJ6drkiZa1WuKn51ps7EPTv</t>
  </si>
  <si>
    <t>e84818e1bf7f699aa6e28ef9edfb582099099292</t>
  </si>
  <si>
    <t>02e0a8b039282faf6fe0fd769cfbc4b6b4cf8758ba68220eac420e32b91ddfa673</t>
  </si>
  <si>
    <t>0000000000000000000000000000000000000000000000000000000000556e52</t>
  </si>
  <si>
    <t>0000000000000000000000000000000000000000000000000000000000000001</t>
  </si>
  <si>
    <t>0000000000000000000000000000000000000000000000000000000000000003</t>
  </si>
  <si>
    <t>0000000000000000000000000000000000000000000000000000000000000007</t>
  </si>
  <si>
    <t>0000000000000000000000000000000000000000000000000000000000000008</t>
  </si>
  <si>
    <t>0000000000000000000000000000000000000000000000000000000000000015</t>
  </si>
  <si>
    <t>0000000000000000000000000000000000000000000000000000000000000031</t>
  </si>
  <si>
    <t>00000000000000000000000000000000000000000000000000000000000000e0</t>
  </si>
  <si>
    <t>0000000000000000000000000000000000000000000000000000000000000202</t>
  </si>
  <si>
    <t>0000000000000000000000000000000000000000000000000000000000000483</t>
  </si>
  <si>
    <t>0000000000000000000000000000000000000000000000000000000000001460</t>
  </si>
  <si>
    <t>0000000000000000000000000000000000000000000000000000000000002930</t>
  </si>
  <si>
    <t>key_hex</t>
  </si>
  <si>
    <t>key_binary</t>
  </si>
  <si>
    <t>key_decimal</t>
  </si>
  <si>
    <t>offset_from_range_min</t>
  </si>
  <si>
    <t>relative_position</t>
  </si>
  <si>
    <t>popcount</t>
  </si>
  <si>
    <t>trailing_zeros</t>
  </si>
  <si>
    <t>xor_prev_binary</t>
  </si>
  <si>
    <t>hamming_prev</t>
  </si>
  <si>
    <t>key_base4</t>
  </si>
  <si>
    <t>key_octal</t>
  </si>
  <si>
    <t>key_base32</t>
  </si>
  <si>
    <t>bit_reversed_binary</t>
  </si>
  <si>
    <t>bit_reversed_decimal</t>
  </si>
  <si>
    <t>gray_code_binary</t>
  </si>
  <si>
    <t>complement_in_range_binary</t>
  </si>
  <si>
    <t>dist_to_range_max</t>
  </si>
  <si>
    <t>byte_reversed_hex_32B</t>
  </si>
  <si>
    <t>ratio_to_prev</t>
  </si>
  <si>
    <t>ones_fraction</t>
  </si>
  <si>
    <t>wif_compressed (static)</t>
  </si>
  <si>
    <t>wif_uncompressed (static)</t>
  </si>
  <si>
    <t>key_base64_32B (static)</t>
  </si>
  <si>
    <t>KwDiBf89QgGbjEhKnhXJuH7LrciVrZi3qYjgd9M7rFU73sVHnoWn</t>
  </si>
  <si>
    <t>5HpHagT65TZzG1PH3CSu63k8DbpvD8s5ip4nEB3kEsreAnchuDf</t>
  </si>
  <si>
    <t>AAAAAAAAAAAAAAAAAAAAAAAAAAAAAAAAAAAAAAAAAAE=</t>
  </si>
  <si>
    <t>KwDiBf89QgGbjEhKnhXJuH7LrciVrZi3qYjgd9M7rFU74sHUHy8S</t>
  </si>
  <si>
    <t>5HpHagT65TZzG1PH3CSu63k8DbpvD8s5ip4nEB3kEsreB1FQ8BZ</t>
  </si>
  <si>
    <t>AAAAAAAAAAAAAAAAAAAAAAAAAAAAAAAAAAAAAAAAAAM=</t>
  </si>
  <si>
    <t>KwDiBf89QgGbjEhKnhXJuH7LrciVrZi3qYjgd9M7rFU76rnZwVdz</t>
  </si>
  <si>
    <t>5HpHagT65TZzG1PH3CSu63k8DbpvD8s5ip4nEB3kEsreBR6zCMU</t>
  </si>
  <si>
    <t>AAAAAAAAAAAAAAAAAAAAAAAAAAAAAAAAAAAAAAAAAAc=</t>
  </si>
  <si>
    <t>KwDiBf89QgGbjEhKnhXJuH7LrciVrZi3qYjgd9M7rFU77MfhviY5</t>
  </si>
  <si>
    <t>5HpHagT65TZzG1PH3CSu63k8DbpvD8s5ip4nEB3kEsreBbMaQX1</t>
  </si>
  <si>
    <t>AAAAAAAAAAAAAAAAAAAAAAAAAAAAAAAAAAAAAAAAAAg=</t>
  </si>
  <si>
    <t>KwDiBf89QgGbjEhKnhXJuH7LrciVrZi3qYjgd9M7rFU7Dq8Au4Pv</t>
  </si>
  <si>
    <t>5HpHagT65TZzG1PH3CSu63k8DbpvD8s5ip4nEB3kEsreD437Nay</t>
  </si>
  <si>
    <t>AAAAAAAAAAAAAAAAAAAAAAAAAAAAAAAAAAAAAAAAABU=</t>
  </si>
  <si>
    <t>KwDiBf89QgGbjEhKnhXJuH7LrciVrZi3qYjgd9M7rFU7Tmu6qHxS</t>
  </si>
  <si>
    <t>5HpHagT65TZzG1PH3CSu63k8DbpvD8s5ip4nEB3kEsreGAk6qMH</t>
  </si>
  <si>
    <t>AAAAAAAAAAAAAAAAAAAAAAAAAAAAAAAAAAAAAAAAADE=</t>
  </si>
  <si>
    <t>KwDiBf89QgGbjEhKnhXJuH7LrciVrZi3qYjgd9M7rFU7hDgvu64y</t>
  </si>
  <si>
    <t>5HpHagT65TZzG1PH3CSu63k8DbpvD8s5ip4nEB3kEsreKD614Nu</t>
  </si>
  <si>
    <t>AAAAAAAAAAAAAAAAAAAAAAAAAAAAAAAAAAAAAAAAAEw=</t>
  </si>
  <si>
    <t>KwDiBf89QgGbjEhKnhXJuH7LrciVrZi3qYjgd9M7rFU8xvGK1zpm</t>
  </si>
  <si>
    <t>5HpHagT65TZzG1PH3CSu63k8DbpvD8s5ip4nEB3kEsrebwE4gQs</t>
  </si>
  <si>
    <t>AAAAAAAAAAAAAAAAAAAAAAAAAAAAAAAAAAAAAAAAAOA=</t>
  </si>
  <si>
    <t>KwDiBf89QgGbjEhKnhXJuH7LrciVrZi3qYjgd9M7rFUB3vfDKcxZ</t>
  </si>
  <si>
    <t>5HpHagT65TZzG1PH3CSu63k8DbpvD8s5ip4nEB3kEsrf5KgGj3x</t>
  </si>
  <si>
    <t>AAAAAAAAAAAAAAAAAAAAAAAAAAAAAAAAAAAAAAAAAdM=</t>
  </si>
  <si>
    <t>KwDiBf89QgGbjEhKnhXJuH7LrciVrZi3qYjgd9M7rFUBTL67V6dE</t>
  </si>
  <si>
    <t>5HpHagT65TZzG1PH3CSu63k8DbpvD8s5ip4nEB3kEsrfAeGjhSe</t>
  </si>
  <si>
    <t>AAAAAAAAAAAAAAAAAAAAAAAAAAAAAAAAAAAAAAAAAgI=</t>
  </si>
  <si>
    <t>KwDiBf89QgGbjEhKnhXJuH7LrciVrZi3qYjgd9M7rFUGxXgtm63M</t>
  </si>
  <si>
    <t>5HpHagT65TZzG1PH3CSu63k8DbpvD8s5ip4nEB3kEsrgQwUiKuq</t>
  </si>
  <si>
    <t>AAAAAAAAAAAAAAAAAAAAAAAAAAAAAAAAAAAAAAAABIM=</t>
  </si>
  <si>
    <t>KwDiBf89QgGbjEhKnhXJuH7LrciVrZi3qYjgd9M7rFUW5RtS2JN1</t>
  </si>
  <si>
    <t>5HpHagT65TZzG1PH3CSu63k8DbpvD8s5ip4nEB3kEsrjPKxKjY2</t>
  </si>
  <si>
    <t>AAAAAAAAAAAAAAAAAAAAAAAAAAAAAAAAAAAAAAAACns=</t>
  </si>
  <si>
    <t>KwDiBf89QgGbjEhKnhXJuH7LrciVrZi3qYjgd9M7rFUspniiQZds</t>
  </si>
  <si>
    <t>5HpHagT65TZzG1PH3CSu63k8DbpvD8s5ip4nEB3kEsrpKArkUBq</t>
  </si>
  <si>
    <t>AAAAAAAAAAAAAAAAAAAAAAAAAAAAAAAAAAAAAAAAFGA=</t>
  </si>
  <si>
    <t>KwDiBf89QgGbjEhKnhXJuH7LrciVrZi3qYjgd9M7rFVfZyiN5iEG</t>
  </si>
  <si>
    <t>5HpHagT65TZzG1PH3CSu63k8DbpvD8s5ip4nEB3kEsrzgDWpY2w</t>
  </si>
  <si>
    <t>AAAAAAAAAAAAAAAAAAAAAAAAAAAAAAAAAAAAAAAAKTA=</t>
  </si>
  <si>
    <t>KwDiBf89QgGbjEhKnhXJuH7LrciVrZi3qYjgd9M7rFY5iMZbuRxj</t>
  </si>
  <si>
    <t>5HpHagT65TZzG1PH3CSu63k8DbpvD8s5ip4nEB3kEssYRrMCmpZ</t>
  </si>
  <si>
    <t>AAAAAAAAAAAAAAAAAAAAAAAAAAAAAAAAAAAAAAAAaPM=</t>
  </si>
  <si>
    <t>KwDiBf89QgGbjEhKnhXJuH7LrciVrZi3qYjgd9M7rFbjHrFMWzJp</t>
  </si>
  <si>
    <t>5HpHagT65TZzG1PH3CSu63k8DbpvD8s5ip4nEB3kEstNN85F5Mw</t>
  </si>
  <si>
    <t>AAAAAAAAAAAAAAAAAAAAAAAAAAAAAAAAAAAAAAAAyTY=</t>
  </si>
  <si>
    <t>KwDiBf89QgGbjEhKnhXJuH7LrciVrZi3qYjgd9M7rFiHkRsp99uC</t>
  </si>
  <si>
    <t>5HpHagT65TZzG1PH3CSu63k8DbpvD8s5ip4nEB3kEsurZXJixkP</t>
  </si>
  <si>
    <t>AAAAAAAAAAAAAAAAAAAAAAAAAAAAAAAAAAAAAAABdk8=</t>
  </si>
  <si>
    <t>KwDiBf89QgGbjEhKnhXJuH7LrciVrZi3qYjgd9M7rFyWkjT5fywW</t>
  </si>
  <si>
    <t>5HpHagT65TZzG1PH3CSu63k8DbpvD8s5ip4nEB3kEsyJco3YM5Z</t>
  </si>
  <si>
    <t>AAAAAAAAAAAAAAAAAAAAAAAAAAAAAAAAAAAAAAADCA0=</t>
  </si>
  <si>
    <t>KwDiBf89QgGbjEhKnhXJuH7LrciVrZi3qYjgd9M7rGP2jMrxCfX3</t>
  </si>
  <si>
    <t>5HpHagT65TZzG1PH3CSu63k8DbpvD8s5ip4nEB3kEt4deKgfY59</t>
  </si>
  <si>
    <t>AAAAAAAAAAAAAAAAAAAAAAAAAAAAAAAAAAAAAAAFdJ8=</t>
  </si>
  <si>
    <t>KwDiBf89QgGbjEhKnhXJuH7LrciVrZi3qYjgd9M7rHfuE2Tg4nJW</t>
  </si>
  <si>
    <t>5HpHagT65TZzG1PH3CSu63k8DbpvD8s5ip4nEB3kEtMbVN6VkAe</t>
  </si>
  <si>
    <t>AAAAAAAAAAAAAAAAAAAAAAAAAAAAAAAAAAAAAAANLFU=</t>
  </si>
  <si>
    <t>KwDiBf89QgGbjEhKnhXJuH7LrciVrZi3qYjgd9M7rL6JJvw6XUry</t>
  </si>
  <si>
    <t>5HpHagT65TZzG1PH3CSu63k8DbpvD8s5ip4nEB3kEtuQQfBxcrT</t>
  </si>
  <si>
    <t>AAAAAAAAAAAAAAAAAAAAAAAAAAAAAAAAAAAAAAAbpTQ=</t>
  </si>
  <si>
    <t>KwDiBf89QgGbjEhKnhXJuH7LrciVrZi3qYjgd9M7rP9Ja2dhtxoh</t>
  </si>
  <si>
    <t>5HpHagT65TZzG1PH3CSu63k8DbpvD8s5ip4nEB3kEubWMgPbZSY</t>
  </si>
  <si>
    <t>AAAAAAAAAAAAAAAAAAAAAAAAAAAAAAAAAAAAAAAt5A8=</t>
  </si>
  <si>
    <t>KwDiBf89QgGbjEhKnhXJuH7LrciVrZi3qYjgd9M7rVkthFNsQ6i7</t>
  </si>
  <si>
    <t>5HpHagT65TZzG1PH3CSu63k8DbpvD8s5ip4nEB3kEw6QwynKpQi</t>
  </si>
  <si>
    <t>AAAAAAAAAAAAAAAAAAAAAAAAAAAAAAAAAAAAAABVblI=</t>
  </si>
  <si>
    <t>KwDiBf89QgGbjEhKnhXJuH7LrciVrZi3qYjgd9M7rtHyNcFoApRd</t>
  </si>
  <si>
    <t>5HpHagT65TZzG1PH3CSu63k8DbpvD8s5ip4nEB3kF2CYofJGeWz</t>
  </si>
  <si>
    <t>AAAAAAAAAAAAAAAAAAAAAAAAAAAAAAAAAAAAAADcKgQ=</t>
  </si>
  <si>
    <t>KwDiBf89QgGbjEhKnhXJuH7LrciVrZi3qYjgd9M7siAXycwkwRQg</t>
  </si>
  <si>
    <t>5HpHagT65TZzG1PH3CSu63k8DbpvD8s5ip4nEB3kFD3cZqtqDcV</t>
  </si>
  <si>
    <t>AAAAAAAAAAAAAAAAAAAAAAAAAAAAAAAAAAAAAAH6XuU=</t>
  </si>
  <si>
    <t>KwDiBf89QgGbjEhKnhXJuH7LrciVrZi3qYjgd9M7tefTXkqGMNis</t>
  </si>
  <si>
    <t>5HpHagT65TZzG1PH3CSu63k8DbpvD8s5ip4nEB3kFRPm5LvgRsh</t>
  </si>
  <si>
    <t>AAAAAAAAAAAAAAAAAAAAAAAAAAAAAAAAAAAAAANAMm4=</t>
  </si>
  <si>
    <t>KwDiBf89QgGbjEhKnhXJuH7LrciVrZi3qYjgd9M7wBBz2KJQdASx</t>
  </si>
  <si>
    <t>5HpHagT65TZzG1PH3CSu63k8DbpvD8s5ip4nEB3kFzbD1oFi4uP</t>
  </si>
  <si>
    <t>AAAAAAAAAAAAAAAAAAAAAAAAAAAAAAAAAAAAAAasOHU=</t>
  </si>
  <si>
    <t>KwDiBf89QgGbjEhKnhXJuH7LrciVrZi3qYjgd9M82GSgY8p5EkUe</t>
  </si>
  <si>
    <t>5HpHagT65TZzG1PH3CSu63k8DbpvD8s5ip4nEB3kH9V2Fos6zmj</t>
  </si>
  <si>
    <t>AAAAAAAAAAAAAAAAAAAAAAAAAAAAAAAAAAAAAA2RbOg=</t>
  </si>
  <si>
    <t>KwDiBf89QgGbjEhKnhXJuH7LrciVrZi3qYjgd9M89tAnjFUUDRtJ</t>
  </si>
  <si>
    <t>5HpHagT65TZzG1PH3CSu63k8DbpvD8s5ip4nEB3kJsZaUF8qWJH</t>
  </si>
  <si>
    <t>AAAAAAAAAAAAAAAAAAAAAAAAAAAAAAAAAAAAABfiVR4=</t>
  </si>
  <si>
    <t>KwDiBf89QgGbjEhKnhXJuH7LrciVrZi3qYjgd9M8diLSC5MyERoW</t>
  </si>
  <si>
    <t>5HpHagT65TZzG1PH3CSu63k8DbpvD8s5ip4nEB3kRBGjQsHeT9B</t>
  </si>
  <si>
    <t>AAAAAAAAAAAAAAAAAAAAAAAAAAAAAAAAAAAAAD2UzWQ=</t>
  </si>
  <si>
    <t>KwDiBf89QgGbjEhKnhXJuH7LrciVrZi3qYjgd9M9SmFMSCA4jQRW</t>
  </si>
  <si>
    <t>5HpHagT65TZzG1PH3CSu63k8DbpvD8s5ip4nEB3kbqYM38cziku</t>
  </si>
  <si>
    <t>AAAAAAAAAAAAAAAAAAAAAAAAAAAAAAAAAAAAAH1P50c=</t>
  </si>
  <si>
    <t>KwDiBf89QgGbjEhKnhXJuH7LrciVrZi3qYjgd9MACNivtz8yMYTd</t>
  </si>
  <si>
    <t>5HpHagT65TZzG1PH3CSu63k8DbpvD8s5ip4nEB3kmidEaBAp5Ee</t>
  </si>
  <si>
    <t>AAAAAAAAAAAAAAAAAAAAAAAAAAAAAAAAAAAAALhipi4=</t>
  </si>
  <si>
    <t>KwDiBf89QgGbjEhKnhXJuH7LrciVrZi3qYjgd9MDGKrXXQL647jj</t>
  </si>
  <si>
    <t>5HpHagT65TZzG1PH3CSu63k8DbpvD8s5ip4nEB3mU31M4JzEsry</t>
  </si>
  <si>
    <t>AAAAAAAAAAAAAAAAAAAAAAAAAAAAAAAAAAAAAalsqNg=</t>
  </si>
  <si>
    <t>KwDiBf89QgGbjEhKnhXJuH7LrciVrZi3qYjgd9MJaAKqns7PN9Ra</t>
  </si>
  <si>
    <t>5HpHagT65TZzG1PH3CSu63k8DbpvD8s5ip4nEB3nfnAFgUF9hzZ</t>
  </si>
  <si>
    <t>AAAAAAAAAAAAAAAAAAAAAAAAAAAAAAAAAAAAA0plkR0=</t>
  </si>
  <si>
    <t>KwDiBf89QgGbjEhKnhXJuH7LrciVrZi3qYjgd9MP7J9oTbu6KuRr</t>
  </si>
  <si>
    <t>5HpHagT65TZzG1PH3CSu63k8DbpvD8s5ip4nEB3ohPvCS9khB9n</t>
  </si>
  <si>
    <t>AAAAAAAAAAAAAAAAAAAAAAAAAAAAAAAAAAAABK7SEXA=</t>
  </si>
  <si>
    <t>KwDiBf89QgGbjEhKnhXJuH7LrciVrZi3qYjgd9Mg1Upu7eJAtiDr</t>
  </si>
  <si>
    <t>5HpHagT65TZzG1PH3CSu63k8DbpvD8s5ip4nEB3sXU9b1haJkT8</t>
  </si>
  <si>
    <t>AAAAAAAAAAAAAAAAAAAAAAAAAAAAAAAAAAAACd6CCnw=</t>
  </si>
  <si>
    <t>KwDiBf89QgGbjEhKnhXJuH7LrciVrZi3qYjgd9NRuiZFAX6XciCX</t>
  </si>
  <si>
    <t>5HpHagT65TZzG1PH3CSu63k8DbpvD8s5ip4nEB43UMHpcm3f8ag</t>
  </si>
  <si>
    <t>AAAAAAAAAAAAAAAAAAAAAAAAAAAAAAAAAAAAF1d1apM=</t>
  </si>
  <si>
    <t>KwDiBf89QgGbjEhKnhXJuH7LrciVrZi3qYjgd9P3MahktLW5315v</t>
  </si>
  <si>
    <t>5HpHagT65TZzG1PH3CSu63k8DbpvD8s5ip4nEB4BW8dsj4c9a6g</t>
  </si>
  <si>
    <t>AAAAAAAAAAAAAAAAAAAAAAAAAAAAAAAAAAAAIjgvrNA=</t>
  </si>
  <si>
    <t>KwDiBf89QgGbjEhKnhXJuH7LrciVrZi3qYjgd9RMTSCcQzX3EjMZ</t>
  </si>
  <si>
    <t>5HpHagT65TZzG1PH3CSu63k8DbpvD8s5ip4nEB4htJVTbuNiGA1</t>
  </si>
  <si>
    <t>AAAAAAAAAAAAAAAAAAAAAAAAAAAAAAAAAAAAS1+DA+k=</t>
  </si>
  <si>
    <t>KwDiBf89QgGbjEhKnhXJuH7LrciVrZi3qYjgd9aFJuCJDo5F6Jm7</t>
  </si>
  <si>
    <t>5HpHagT65TZzG1PH3CSu63k8DbpvD8s5ip4nEB6ikvy2duGEu2D</t>
  </si>
  <si>
    <t>AAAAAAAAAAAAAAAAAAAAAAAAAAAAAAAAAAAA6a5JM9Y=</t>
  </si>
  <si>
    <t>KwDiBf89QgGbjEhKnhXJuH7LrciVrZi3qYjgd9gCD9CBomewdcUD</t>
  </si>
  <si>
    <t>5HpHagT65TZzG1PH3CSu63k8DbpvD8s5ip4nEB84u9Cbd5fwdR6</t>
  </si>
  <si>
    <t>AAAAAAAAAAAAAAAAAAAAAAAAAAAAAAAAAAABU4aazFs=</t>
  </si>
  <si>
    <t>KwDiBf89QgGbjEhKnhXJuH7LrciVrZi3qYjgd9zzYEemjCVJ3vo9</t>
  </si>
  <si>
    <t>5HpHagT65TZzG1PH3CSu63k8DbpvD8s5ip4nEBCKvkRRBUtpNdX</t>
  </si>
  <si>
    <t>AAAAAAAAAAAAAAAAAAAAAAAAAAAAAAAAAAACoiHFjY8=</t>
  </si>
  <si>
    <t>KwDiBf89QgGbjEhKnhXJuH7LrciVrZi3qYjgdB23bP5LsYN8Krv7</t>
  </si>
  <si>
    <t>5HpHagT65TZzG1PH3CSu63k8DbpvD8s5ip4nEBRhv6ue8TGcLBe</t>
  </si>
  <si>
    <t>AAAAAAAAAAAAAAAAAAAAAAAAAAAAAAAAAAAGvTsnxZE=</t>
  </si>
  <si>
    <t>KwDiBf89QgGbjEhKnhXJuH7LrciVrZi3qYjgdCpdGyxm7PWoNQdr</t>
  </si>
  <si>
    <t>5HpHagT65TZzG1PH3CSu63k8DbpvD8s5ip4nEBqQAxxEAdgvLgN</t>
  </si>
  <si>
    <t>AAAAAAAAAAAAAAAAAAAAAAAAAAAAAAAAAAAOArNaNY8=</t>
  </si>
  <si>
    <t>KwDiBf89QgGbjEhKnhXJuH7LrciVrZi3qYjgdDrgx63tbte4scLA</t>
  </si>
  <si>
    <t>5HpHagT65TZzG1PH3CSu63k8DbpvD8s5ip4nEC51Sd31pLUWx3i</t>
  </si>
  <si>
    <t>AAAAAAAAAAAAAAAAAAAAAAAAAAAAAAAAAAASL8oUPAU=</t>
  </si>
  <si>
    <t>KwDiBf89QgGbjEhKnhXJuH7LrciVrZi3qYjgdLwb42sQhwTBJDnG</t>
  </si>
  <si>
    <t>5HpHagT65TZzG1PH3CSu63k8DbpvD8s5ip4nEDg6uLuezrDySzX</t>
  </si>
  <si>
    <t>AAAAAAAAAAAAAAAAAAAAAAAAAAAAAAAAAAAuwYOI1UQ=</t>
  </si>
  <si>
    <t>KwDiBf89QgGbjEhKnhXJuH7LrciVrZi3qYjgdcLTenJYVVVTRzxN</t>
  </si>
  <si>
    <t>5HpHagT65TZzG1PH3CSu63k8DbpvD8s5ip4nEHAPod6LNRWAZBf</t>
  </si>
  <si>
    <t>AAAAAAAAAAAAAAAAAAAAAAAAAAAAAAAAAABs1hC1PLo=</t>
  </si>
  <si>
    <t>KwDiBf89QgGbjEhKnhXJuH7LrciVrZi3qYjgdtUGWxHzvDi28MfR</t>
  </si>
  <si>
    <t>5HpHagT65TZzG1PH3CSu63k8DbpvD8s5ip4nELpQuZ1gQQYrZ1J</t>
  </si>
  <si>
    <t>AAAAAAAAAAAAAAAAAAAAAAAAAAAAAAAAAACt5tfOO5s=</t>
  </si>
  <si>
    <t>KwDiBf89QgGbjEhKnhXJuH7LrciVrZi3qYjgejcjwprJ4MAYLw8e</t>
  </si>
  <si>
    <t>5HpHagT65TZzG1PH3CSu63k8DbpvD8s5ip4nEXxDuJBiUbiVA9e</t>
  </si>
  <si>
    <t>AAAAAAAAAAAAAAAAAAAAAAAAAAAAAAAAAAF0F2sBX00=</t>
  </si>
  <si>
    <t>KwDiBf89QgGbjEhKnhXJuH7LrciVrZi3qYjgfXBMYdNVA4EjUMzg</t>
  </si>
  <si>
    <t>5HpHagT65TZzG1PH3CSu63k8DbpvD8s5ip4nEiGwVv6mtxTe9ip</t>
  </si>
  <si>
    <t>AAAAAAAAAAAAAAAAAAAAAAAAAAAAAAAAAAIr1Dwuk1Q=</t>
  </si>
  <si>
    <t>KwDiBf89QgGbjEhKnhXJuH7LrciVrZi3qYjgm9fa43QnU2CpULaK</t>
  </si>
  <si>
    <t>5HpHagT65TZzG1PH3CSu63k8DbpvD8s5ip4nFzFBD1zxALEsLqK</t>
  </si>
  <si>
    <t>AAAAAAAAAAAAAAAAAAAAAAAAAAAAAAAAAAdQcKGgCdQ=</t>
  </si>
  <si>
    <t>KwDiBf89QgGbjEhKnhXJuH7LrciVrZi3qYjguYJTZsntce5oQQrh</t>
  </si>
  <si>
    <t>5HpHagT65TZzG1PH3CSu63k8DbpvD8s5ip4nHtVssx1RqUdSdVj</t>
  </si>
  <si>
    <t>AAAAAAAAAAAAAAAAAAAAAAAAAAAAAAAAAA764WTLnjw=</t>
  </si>
  <si>
    <t>KwDiBf89QgGbjEhKnhXJuH7LrciVrZi3qYjh5SmqrUoK2mhwSYFV</t>
  </si>
  <si>
    <t>5HpHagT65TZzG1PH3CSu63k8DbpvD8s5ip4nL8eoQu4hLSpXwa4</t>
  </si>
  <si>
    <t>AAAAAAAAAAAAAAAAAAAAAAAAAAAAAAAAABgHiOR+Mmw=</t>
  </si>
  <si>
    <t>KwDiBf89QgGbjEhKnhXJuH7LrciVrZi3qYjhHvuTMSDchRp5hktc</t>
  </si>
  <si>
    <t>5HpHagT65TZzG1PH3CSu63k8DbpvD8s5ip4nNxiLZixsgdChZjz</t>
  </si>
  <si>
    <t>AAAAAAAAAAAAAAAAAAAAAAAAAAAAAAAAACNvttWtH0M=</t>
  </si>
  <si>
    <t>KwDiBf89QgGbjEhKnhXJuH7LrciVrZi3qYjidyYKE5NcJQZYvknA</t>
  </si>
  <si>
    <t>5HpHagT65TZzG1PH3CSu63k8DbpvD8s5ip4ngeHA7b4zPaJ3ga1</t>
  </si>
  <si>
    <t>AAAAAAAAAAAAAAAAAAAAAAAAAAAAAAAAAGq+H5tn4RQ=</t>
  </si>
  <si>
    <t>KwDiBf89QgGbjEhKnhXJuH7LrciVrZi3qYjjb65nDHeqyjiBaJXv</t>
  </si>
  <si>
    <t>5HpHagT65TZzG1PH3CSu63k8DbpvD8s5ip4nu8VixoNGBCuaLCm</t>
  </si>
  <si>
    <t>AAAAAAAAAAAAAAAAAAAAAAAAAAAAAAAAAJ0YtjrE/98=</t>
  </si>
  <si>
    <t>KwDiBf89QgGbjEhKnhXJuH7LrciVrZi3qYjqtiAvYTJzYEmqup7b</t>
  </si>
  <si>
    <t>5HpHagT65TZzG1PH3CSu63k8DbpvD8s5ip4pKxzyzRYGJZF2CUQ</t>
  </si>
  <si>
    <t>AAAAAAAAAAAAAAAAAAAAAAAAAAAAAAAAAeslyQeV1hw=</t>
  </si>
  <si>
    <t>KwDiBf89QgGbjEhKnhXJuH7LrciVrZi3qYjv2kTamEYQT9BNC7o1</t>
  </si>
  <si>
    <t>5HpHagT65TZzG1PH3CSu63k8DbpvD8s5ip4qGMGYDHfP5bxwCnj</t>
  </si>
  <si>
    <t>AAAAAAAAAAAAAAAAAAAAAAAAAAAAAAAAAsZ1uFIYmiE=</t>
  </si>
  <si>
    <t>KwDiBf89QgGbjEhKnhXJuH7LrciVrZi3qYkHpsTBP19HvTFqiU6i</t>
  </si>
  <si>
    <t>5HpHagT65TZzG1PH3CSu63k8DbpvD8s5ip4vCkbw1TKC5xefUVS</t>
  </si>
  <si>
    <t>AAAAAAAAAAAAAAAAAAAAAAAAAAAAAAAAB0lsu4fKtE8=</t>
  </si>
  <si>
    <t>KwDiBf89QgGbjEhKnhXJuH7LrciVrZi3qYkzijLsc5qE43yZ5eLV</t>
  </si>
  <si>
    <t>5HpHagT65TZzG1PH3CSu63k8DbpvD8s5ip55U8L18x1xXBdqu84</t>
  </si>
  <si>
    <t>AAAAAAAAAAAAAAAAAAAAAAAAAAAAAAAAD8B6GCU2e74=</t>
  </si>
  <si>
    <t>KwDiBf89QgGbjEhKnhXJuH7LrciVrZi3qYmLDHsih379uP9zbHSD</t>
  </si>
  <si>
    <t>5HpHagT65TZzG1PH3CSu63k8DbpvD8s5ip59tGc46u8joQDakRT</t>
  </si>
  <si>
    <t>AAAAAAAAAAAAAAAAAAAAAAAAAAAAAAAAE8lqN0L2SQY=</t>
  </si>
  <si>
    <t>KwDiBf89QgGbjEhKnhXJuH7LrciVrZi3qYpCemuaUp7NigjvtJug</t>
  </si>
  <si>
    <t>5HpHagT65TZzG1PH3CSu63k8DbpvD8s5ip5obPQhDC8LRVrSnwc</t>
  </si>
  <si>
    <t>AAAAAAAAAAAAAAAAAAAAAAAAAAAAAAAANj1UHrYRq+4=</t>
  </si>
  <si>
    <t>KwDiBf89QgGbjEhKnhXJuH7LrciVrZi3qYv5Z9J7hv7VYYN3XL3Y</t>
  </si>
  <si>
    <t>5HpHagT65TZzG1PH3CSu63k8DbpvD8s5ip78q4h8QmfB6MwMuF1</t>
  </si>
  <si>
    <t>AAAAAAAAAAAAAAAAAAAAAAAAAAAAAAAAfM5e/azPaAg=</t>
  </si>
  <si>
    <t>KwDiBf89QgGbjEhKnhXJuH7LrciVrZi3qZ6FxoaD5r1kYegmtbaT</t>
  </si>
  <si>
    <t>5HpHagT65TZzG1PH3CSu63k8DbpvD8s5ip9SbPnb1C74XPPH9cU</t>
  </si>
  <si>
    <t>AAAAAAAAAAAAAAAAAAAAAAAAAAAAAAAA9wUfJ7CREtQ=</t>
  </si>
  <si>
    <t>KwDiBf89QgGbjEhKnhXJuH7LrciVrZi3qZM21gaY8WN2CdwnTG57</t>
  </si>
  <si>
    <t>5HpHagT65TZzG1PH3CSu63k8DbpvD8s5ipCnYRNeQuRFKarWVVs</t>
  </si>
  <si>
    <t>AAAAAAAAAAAAAAAAAAAAAAAAAAAAAAABqDixNQWyaGc=</t>
  </si>
  <si>
    <t>KwDiBf89QgGbjEhKnhXJuH7LrciVrZi3qZfFoWMiwBt943V7CQeX</t>
  </si>
  <si>
    <t>5HpHagT65TZzG1PH3CSu63k8DbpvD8s5ipGvCSgayELk4Uxq4ZA</t>
  </si>
  <si>
    <t>AAAAAAAAAAAAAAAAAAAAAAAAAAAAAAACgy7XTyteNe4=</t>
  </si>
  <si>
    <t>KwDiBf89QgGbjEhKnhXJuH7LrciVrZi3qbP2K5cm35XKMND1X1KW</t>
  </si>
  <si>
    <t>5HpHagT65TZzG1PH3CSu63k8DbpvD8s5ipfXCoMnmssNNsN77qV</t>
  </si>
  <si>
    <t>AAAAAAAAAAAAAAAAAAAAAAAAAAAAAAAHMPwjXBlCwa4=</t>
  </si>
  <si>
    <t>KwDiBf89QgGbjEhKnhXJuH7LrciVrZi3qd7sDG4F2sdMtzNe8y2U</t>
  </si>
  <si>
    <t>5HpHagT65TZzG1PH3CSu63k8DbpvD8s5iq4NLznbSoMvfzUuhdh</t>
  </si>
  <si>
    <t>AAAAAAAAAAAAAAAAAAAAAAAAAAAAAAAL67OUDND8FJE=</t>
  </si>
  <si>
    <t>KwDiBf89QgGbjEhKnhXJuH7LrciVrZi3qefJjCmLAPHbQ4x7D9Qy</t>
  </si>
  <si>
    <t>5HpHagT65TZzG1PH3CSu63k8DbpvD8s5iqQdeCjDVruhRNTMUJ4</t>
  </si>
  <si>
    <t>AAAAAAAAAAAAAAAAAAAAAAAAAAAAAAAQHYMnX7K8fgw=</t>
  </si>
  <si>
    <t>KwDiBf89QgGbjEhKnhXJuH7LrciVrZi3qt5RQNhFCn1r58in2E78</t>
  </si>
  <si>
    <t>5HpHagT65TZzG1PH3CSu63k8DbpvD8s5itSvZV2R4aJs65TTYmz</t>
  </si>
  <si>
    <t>AAAAAAAAAAAAAAAAAAAAAAAAAAAAAAA0m4S2QxpsTvE=</t>
  </si>
  <si>
    <t/>
  </si>
  <si>
    <t>KwDiBf89QgGbjEhKnhXJuH7LrciVrZi3yHuxB7NfERRuDTNy2kbr</t>
  </si>
  <si>
    <t>5HpHagT65TZzG1PH3CSu63k8DbpvD8s5kZqFK9hFZ3N3mZ74FJm</t>
  </si>
  <si>
    <t>AAAAAAAAAAAAAAAAAAAAAAAAAAAAAATFzhFGhqEzbgc=</t>
  </si>
  <si>
    <t>KwDiBf89QgGbjEhKnhXJuH7LrciVrZiAPRB6KvN7FnKsw69PP7vW</t>
  </si>
  <si>
    <t>5HpHagT65TZzG1PH3CSu63k8DbpvD8s7CsnncZ2cQHcYUh48auk</t>
  </si>
  <si>
    <t>AAAAAAAAAAAAAAAAAAAAAAAAAAAAAOoaXGbcwRta0YA=</t>
  </si>
  <si>
    <t>KwDiBf89QgGbjEhKnhXJuH7LrciVrZkCnRjpBspr8M5K8YnUtDNa</t>
  </si>
  <si>
    <t>5HpHagT65TZzG1PH3CSu63k8DbpvD8sa2gbAnWe842NpcFVVn5f</t>
  </si>
  <si>
    <t>AAAAAAAAAAAAAAAAAAAAAAAAAAAAEXIMTwGNUbjOu6g=</t>
  </si>
  <si>
    <t>KwDiBf89QgGbjEhKnhXJuH7LrciVrbEiEhLWVU4Yn1RCfnX51KrT</t>
  </si>
  <si>
    <t>5HpHagT65TZzG1PH3CSu63k8DbpvD9DAo9gmHsYATxq5TZpzj8v</t>
  </si>
  <si>
    <t>AAAAAAAAAAAAAAAAAAAAAAAAAAACzgC7ITakRccehb8=</t>
  </si>
  <si>
    <t>KwDiBf89QgGbjEhKnhXJuH7LrciVsLfMYB8ydZ3QXMqEra1sapfT</t>
  </si>
  <si>
    <t>5HpHagT65TZzG1PH3CSu63k8DbpvDK3oLkXopFWYcRf7mQi3DKr</t>
  </si>
  <si>
    <t>AAAAAAAAAAAAAAAAAAAAAAAAAABSenkrGDx/ZKDosfQ=</t>
  </si>
  <si>
    <t>KwDiBf89QgGbjEhKnhXJuH7LrciWJvjTPYdp4sSLwstc63avmfRA</t>
  </si>
  <si>
    <t>5HpHagT65TZzG1PH3CSu63k8DbpvK7HR71pmCJKRum9ySBN3fA4</t>
  </si>
  <si>
    <t>AAAAAAAAAAAAAAAAAAAAAAAAAAr1X8WcM1yOxn7SSCY=</t>
  </si>
  <si>
    <t>KwDiBf89QgGbjEhKnhXJuH7Lrcim5eBMkFQwQtRbW6wxT1ajoNqE</t>
  </si>
  <si>
    <t>5HpHagT65TZzG1PH3CSu63k8DbpyfD3oPVBrwMG66gs4W77dCDN</t>
  </si>
  <si>
    <t>AAAAAAAAAAAAAAAAAAAAAAAAAW8U/CBUzYfuY5azPfM=</t>
  </si>
  <si>
    <t>KwDiBf89QgGbjEhKnhXJuH7LrctLcZtumiizzSmSckgpxQu6ieu6</t>
  </si>
  <si>
    <t>5HpHagT65TZzG1PH3CSu63k8Dbs9XGA3SYCnJzwvqRrMP9SpvPd</t>
  </si>
  <si>
    <t>AAAAAAAAAAAAAAAAAAAAAAAANcDXI0333rDyDPcGJEQ=</t>
  </si>
  <si>
    <t>KwDiBf89QgGbjEhKnhXJuH7LrhcVkatbczm7Y9ZaB56U1jLNU2Xh</t>
  </si>
  <si>
    <t>5HpHagT65TZzG1PH3CSu63k8DcwG8A3B7LtEGDMyTJEvhXBWr4G</t>
  </si>
  <si>
    <t>AAAAAAAAAAAAAAAAAAAAAAAGD00RV09d7uSZYdlgmsY=</t>
  </si>
  <si>
    <t>KwDiBf89QgGbjEhKnhXJuH7Lu5nahGjEQZB8k82itXNSb1Aa2Woh</t>
  </si>
  <si>
    <t>5HpHagT65TZzG1PH3CSu63k8EAExDJA7fR4CiwcHHf9V14DiNUC</t>
  </si>
  <si>
    <t>AAAAAAAAAAAAAAAAAAAAAACxDyJXLEl6g26hh/Lh/CM=</t>
  </si>
  <si>
    <t>KwDiBf89QgGbjEhKnhXJuH7Nbdz1FhKePEPcr4to6PqoSc6KxQy6</t>
  </si>
  <si>
    <t>5HpHagT65TZzG1PH3CSu63k8cVKMSzAfNoXxFHk12Dsw2LJTDMY</t>
  </si>
  <si>
    <t>AAAAAAAAAAAAAAAAAAAAABxTO2u38IBOCZYCJeRId6w=</t>
  </si>
  <si>
    <t>KwDiBf89QgGbjEhKnhXJuH8DvUBxVmJ3761ahfZuohBr53Zh9M3t</t>
  </si>
  <si>
    <t>5HpHagT65TZzG1PH3CSu63kKneRgm8KMsKMXHv9N2Wx29e92a7b</t>
  </si>
  <si>
    <t>AAAAAAAAAAAAAAAAAAAAAz52ZXBTWfBPKLiM+JfGA8k=</t>
  </si>
  <si>
    <t>KwDiBf89QgGbjEhKnhXJuHd5nqdUrAnYX4EBqgA3Lxm2rHQuQMih</t>
  </si>
  <si>
    <t>5HpHagT65TZzG1PH3CSu63rs2KioBgpvp8yukesXteZBPaZyGyj</t>
  </si>
  <si>
    <t>AAAAAAAAAAAAAAAAAAAAbZOSoWiD+QkD1feNpXrwfrI=</t>
  </si>
  <si>
    <t>hash160_binary</t>
  </si>
  <si>
    <t>hamming_vs_hash160_low_n</t>
  </si>
  <si>
    <t>hamming_vs_hash160_high_n</t>
  </si>
  <si>
    <t>hamming_vs_hash160_full160</t>
  </si>
  <si>
    <t>z_low_n</t>
  </si>
  <si>
    <t>z_high_n</t>
  </si>
  <si>
    <t>digit_count</t>
  </si>
  <si>
    <t>digit_sum</t>
  </si>
  <si>
    <t>digital_root</t>
  </si>
  <si>
    <t>decimal_reversed</t>
  </si>
  <si>
    <t>log2_key</t>
  </si>
  <si>
    <t>log2_offset</t>
  </si>
  <si>
    <t>rotl1_binary</t>
  </si>
  <si>
    <t>rotr1_binary</t>
  </si>
  <si>
    <t>bitwise_not_n_bits</t>
  </si>
  <si>
    <t>longest_run_0</t>
  </si>
  <si>
    <t>longest_run_1</t>
  </si>
  <si>
    <t>run_count</t>
  </si>
  <si>
    <t>run_length_string</t>
  </si>
  <si>
    <t>distinct_hex_digits</t>
  </si>
  <si>
    <t>most_common_hex_digit</t>
  </si>
  <si>
    <t>hex_digit_counts</t>
  </si>
  <si>
    <t>mod_3</t>
  </si>
  <si>
    <t>mod_5</t>
  </si>
  <si>
    <t>mod_7</t>
  </si>
  <si>
    <t>mod_11</t>
  </si>
  <si>
    <t>mod_256</t>
  </si>
  <si>
    <t>mod_65536</t>
  </si>
  <si>
    <t>key_minus_prev</t>
  </si>
  <si>
    <t>key_minus_2x_prev</t>
  </si>
  <si>
    <t>key_plus_1</t>
  </si>
  <si>
    <t>key_minus_1</t>
  </si>
  <si>
    <t>hex_0x_spaced_bytes</t>
  </si>
  <si>
    <t>byte_values_decimal</t>
  </si>
  <si>
    <t>ascii_reading</t>
  </si>
  <si>
    <t>ipv4_low32</t>
  </si>
  <si>
    <t>unix_time_utc_if_lt_2^32</t>
  </si>
  <si>
    <t>key_base36 (static)</t>
  </si>
  <si>
    <t>key_base32_rfc4648 (static)</t>
  </si>
  <si>
    <t>key_base64url (static)</t>
  </si>
  <si>
    <t>n_minus_k_hex (static)</t>
  </si>
  <si>
    <t>pubkey_x_hex (static)</t>
  </si>
  <si>
    <t>pubkey_y_hex (static)</t>
  </si>
  <si>
    <t>pubkey_uncompressed_hex (static)</t>
  </si>
  <si>
    <t>hash160_uncompressed (static)</t>
  </si>
  <si>
    <t>address_p2pkh_uncompressed (static)</t>
  </si>
  <si>
    <t>address_p2sh_p2wpkh (static)</t>
  </si>
  <si>
    <t>address_bech32_p2wpkh (static)</t>
  </si>
  <si>
    <t>1</t>
  </si>
  <si>
    <t>AAAAAAAAAAAAAAAAAAAAAAAAAAAAAAAAAAAAAAAAAAAAAAAAAAAQ====</t>
  </si>
  <si>
    <t>AAAAAAAAAAAAAAAAAAAAAAAAAAAAAAAAAAAAAAAAAAE</t>
  </si>
  <si>
    <t>fffffffffffffffffffffffffffffffebaaedce6af48a03bbfd25e8cd0364140</t>
  </si>
  <si>
    <t>79be667ef9dcbbac55a06295ce870b07029bfcdb2dce28d959f2815b16f81798</t>
  </si>
  <si>
    <t>483ada7726a3c4655da4fbfc0e1108a8fd17b448a68554199c47d08ffb10d4b8</t>
  </si>
  <si>
    <t>0479be667ef9dcbbac55a06295ce870b07029bfcdb2dce28d959f2815b16f81798483ada7726a3c4655da4fbfc0e1108a8fd17b448a68554199c47d08ffb10d4b8</t>
  </si>
  <si>
    <t>91b24bf9f5288532960ac687abb035127b1d28a5</t>
  </si>
  <si>
    <t>1EHNa6Q4Jz2uvNExL497mE43ikXhwF6kZm</t>
  </si>
  <si>
    <t>3JvL6Ymt8MVWiCNHC7oWU6nLeHNJKLZGLN</t>
  </si>
  <si>
    <t>bc1qw508d6qejxtdg4y5r3zarvary0c5xw7kv8f3t4</t>
  </si>
  <si>
    <t>3</t>
  </si>
  <si>
    <t>AAAAAAAAAAAAAAAAAAAAAAAAAAAAAAAAAAAAAAAAAAAAAAAAAABQ====</t>
  </si>
  <si>
    <t>AAAAAAAAAAAAAAAAAAAAAAAAAAAAAAAAAAAAAAAAAAM</t>
  </si>
  <si>
    <t>fffffffffffffffffffffffffffffffebaaedce6af48a03bbfd25e8cd036413e</t>
  </si>
  <si>
    <t>f9308a019258c31049344f85f89d5229b531c845836f99b08601f113bce036f9</t>
  </si>
  <si>
    <t>388f7b0f632de8140fe337e62a37f3566500a99934c2231b6cb9fd7584b8e672</t>
  </si>
  <si>
    <t>04f9308a019258c31049344f85f89d5229b531c845836f99b08601f113bce036f9388f7b0f632de8140fe337e62a37f3566500a99934c2231b6cb9fd7584b8e672</t>
  </si>
  <si>
    <t>ec7eced2c57ed1292bc4eb9bfd13c9f7603bc338</t>
  </si>
  <si>
    <t>1NZUP3JAc9JkmbvmoTv7nVgZGtyJjirKV1</t>
  </si>
  <si>
    <t>3BM3eLQZbwubG3XwwxJmd9qxwMJn7yUTSn</t>
  </si>
  <si>
    <t>bc1q0ht9tyks4vh7p5p904t340cr9nvahy7u3re7zg</t>
  </si>
  <si>
    <t>7</t>
  </si>
  <si>
    <t>AAAAAAAAAAAAAAAAAAAAAAAAAAAAAAAAAAAAAAAAAAAAAAAAAADQ====</t>
  </si>
  <si>
    <t>AAAAAAAAAAAAAAAAAAAAAAAAAAAAAAAAAAAAAAAAAAc</t>
  </si>
  <si>
    <t>fffffffffffffffffffffffffffffffebaaedce6af48a03bbfd25e8cd036413a</t>
  </si>
  <si>
    <t>5cbdf0646e5db4eaa398f365f2ea7a0e3d419b7e0330e39ce92bddedcac4f9bc</t>
  </si>
  <si>
    <t>6aebca40ba255960a3178d6d861a54dba813d0b813fde7b5a5082628087264da</t>
  </si>
  <si>
    <t>045cbdf0646e5db4eaa398f365f2ea7a0e3d419b7e0330e39ce92bddedcac4f9bc6aebca40ba255960a3178d6d861a54dba813d0b813fde7b5a5082628087264da</t>
  </si>
  <si>
    <t>73ab19930b7c023b0c7e17da43649ca58a419999</t>
  </si>
  <si>
    <t>1BYbgHpSKQCtMrQfwN6b6n5S718EJkEJ41</t>
  </si>
  <si>
    <t>3BW9kFfY5TGhjVoRtxoijfjJvfggZgfNDX</t>
  </si>
  <si>
    <t>bc1qthklh702txwafc72d2qtxv7ywt7sk0mfy3mw6y</t>
  </si>
  <si>
    <t>8</t>
  </si>
  <si>
    <t>AAAAAAAAAAAAAAAAAAAAAAAAAAAAAAAAAAAAAAAAAAAAAAAAAAEA====</t>
  </si>
  <si>
    <t>AAAAAAAAAAAAAAAAAAAAAAAAAAAAAAAAAAAAAAAAAAg</t>
  </si>
  <si>
    <t>fffffffffffffffffffffffffffffffebaaedce6af48a03bbfd25e8cd0364139</t>
  </si>
  <si>
    <t>2f01e5e15cca351daff3843fb70f3c2f0a1bdd05e5af888a67784ef3e10a2a01</t>
  </si>
  <si>
    <t>5c4da8a741539949293d082a132d13b4c2e213d6ba5b7617b5da2cb76cbde904</t>
  </si>
  <si>
    <t>042f01e5e15cca351daff3843fb70f3c2f0a1bdd05e5af888a67784ef3e10a2a015c4da8a741539949293d082a132d13b4c2e213d6ba5b7617b5da2cb76cbde904</t>
  </si>
  <si>
    <t>be5fdeb54c869d582cf796c34e28b4d21813ffa6</t>
  </si>
  <si>
    <t>1JMcEcKXQ7xA7JLAMPsBmHz68bzugYtdrv</t>
  </si>
  <si>
    <t>3PNNDgsXkAwe6jZScfShL3KapB6FhFePRH</t>
  </si>
  <si>
    <t>bc1qjefds6ld7sadyepk9ehxawnwkaj9pqf8xuq2eg</t>
  </si>
  <si>
    <t>l</t>
  </si>
  <si>
    <t>AAAAAAAAAAAAAAAAAAAAAAAAAAAAAAAAAAAAAAAAAAAAAAAAAAKQ====</t>
  </si>
  <si>
    <t>AAAAAAAAAAAAAAAAAAAAAAAAAAAAAAAAAAAAAAAAABU</t>
  </si>
  <si>
    <t>fffffffffffffffffffffffffffffffebaaedce6af48a03bbfd25e8cd036412c</t>
  </si>
  <si>
    <t>352bbf4a4cdd12564f93fa332ce333301d9ad40271f8107181340aef25be59d5</t>
  </si>
  <si>
    <t>321eb4075348f534d59c18259dda3e1f4a1b3b2e71b1039c67bd3d8bcf81998c</t>
  </si>
  <si>
    <t>04352bbf4a4cdd12564f93fa332ce333301d9ad40271f8107181340aef25be59d5321eb4075348f534d59c18259dda3e1f4a1b3b2e71b1039c67bd3d8bcf81998c</t>
  </si>
  <si>
    <t>61f5b379403bcfdac1c05c3746768a14855e6519</t>
  </si>
  <si>
    <t>19vxtDbLMNasSpbAEZd7va5Qge6d2zYWbp</t>
  </si>
  <si>
    <t>38xPY27A6fiRXHSDRbRkLfV2xQb7UmKpXv</t>
  </si>
  <si>
    <t>bc1q37wl7wdgrmj2hjad9tvt4llsjpq452lgkcskpy</t>
  </si>
  <si>
    <t>1d</t>
  </si>
  <si>
    <t>AAAAAAAAAAAAAAAAAAAAAAAAAAAAAAAAAAAAAAAAAAAAAAAAAAYQ====</t>
  </si>
  <si>
    <t>AAAAAAAAAAAAAAAAAAAAAAAAAAAAAAAAAAAAAAAAADE</t>
  </si>
  <si>
    <t>fffffffffffffffffffffffffffffffebaaedce6af48a03bbfd25e8cd0364110</t>
  </si>
  <si>
    <t>f2dac991cc4ce4b9ea44887e5c7c0bce58c80074ab9d4dbaeb28531b7739f530</t>
  </si>
  <si>
    <t>e0dedc9b3b2f8dad4da1f32dec2531df9eb5fbeb0598e4fd1a117dba703a3c37</t>
  </si>
  <si>
    <t>04f2dac991cc4ce4b9ea44887e5c7c0bce58c80074ab9d4dbaeb28531b7739f530e0dedc9b3b2f8dad4da1f32dec2531df9eb5fbeb0598e4fd1a117dba703a3c37</t>
  </si>
  <si>
    <t>50178322b20379db4a958958ef4988db6d9e9e20</t>
  </si>
  <si>
    <t>18JVE1MSS7a2NEhtHJkxhwgvT4hLQYBw3w</t>
  </si>
  <si>
    <t>3BkXwT6CK1dFEVSGbJHzrwNisUGhuWBRwd</t>
  </si>
  <si>
    <t>bc1qlylvxn57xj503lmavqxd4kpsg7cmedzuugem3h</t>
  </si>
  <si>
    <t>24</t>
  </si>
  <si>
    <t>AAAAAAAAAAAAAAAAAAAAAAAAAAAAAAAAAAAAAAAAAAAAAAAAABGA====</t>
  </si>
  <si>
    <t>AAAAAAAAAAAAAAAAAAAAAAAAAAAAAAAAAAAAAAAAAEw</t>
  </si>
  <si>
    <t>fffffffffffffffffffffffffffffffebaaedce6af48a03bbfd25e8cd03640f5</t>
  </si>
  <si>
    <t>96516a8f65774275278d0d7420a88df0ac44bd64c7bae07c3fe397c5b3300b23</t>
  </si>
  <si>
    <t>bdacd9a05fb9fb73108c0a99d567fba9b2f75ab36207e1557f6bf255f1337ff0</t>
  </si>
  <si>
    <t>0496516a8f65774275278d0d7420a88df0ac44bd64c7bae07c3fe397c5b3300b23bdacd9a05fb9fb73108c0a99d567fba9b2f75ab36207e1557f6bf255f1337ff0</t>
  </si>
  <si>
    <t>9362a33d628569a2edf58c037bed601c78556497</t>
  </si>
  <si>
    <t>1ESJVfV5UVERkWgVNfMjsLwJT88yMJHi8R</t>
  </si>
  <si>
    <t>33NmypyeTdoE2tdj2tZwAQMCRranteifcy</t>
  </si>
  <si>
    <t>bc1qugvjaznamrw3ezpjr9vmgauk3w2p42tn3txcnx</t>
  </si>
  <si>
    <t>68</t>
  </si>
  <si>
    <t>AAAAAAAAAAAAAAAAAAAAAAAAAAAAAAAAAAAAAAAAAAAAAAAAADQA====</t>
  </si>
  <si>
    <t>AAAAAAAAAAAAAAAAAAAAAAAAAAAAAAAAAAAAAAAAAOA</t>
  </si>
  <si>
    <t>fffffffffffffffffffffffffffffffebaaedce6af48a03bbfd25e8cd0364061</t>
  </si>
  <si>
    <t>08bc89c2f919ed158885c35600844d49890905c79b357322609c45706ce6b514</t>
  </si>
  <si>
    <t>d313f3cdd7cdcc16de776fec3b5892c1172d3056112776f06f63f4cea8c95157</t>
  </si>
  <si>
    <t>0408bc89c2f919ed158885c35600844d49890905c79b357322609c45706ce6b514d313f3cdd7cdcc16de776fec3b5892c1172d3056112776f06f63f4cea8c95157</t>
  </si>
  <si>
    <t>b2546b4cb502e9ff3a0f9539ddea69d3a1cf2780</t>
  </si>
  <si>
    <t>1HFvQh3dVFPae3JaFjL5Mpua9Zbg9Y6FrK</t>
  </si>
  <si>
    <t>384CGuTAFqcvTJ1DEnmTn7NQe3kSoBdP69</t>
  </si>
  <si>
    <t>bc1qmnnkkfsnq5h2qy3qgsz2j7euyh4vx9c4ct6tuv</t>
  </si>
  <si>
    <t>cz</t>
  </si>
  <si>
    <t>AAAAAAAAAAAAAAAAAAAAAAAAAAAAAAAAAAAAAAAAAAAAAAAAAHJQ====</t>
  </si>
  <si>
    <t>AAAAAAAAAAAAAAAAAAAAAAAAAAAAAAAAAAAAAAAAAdM</t>
  </si>
  <si>
    <t>fffffffffffffffffffffffffffffffebaaedce6af48a03bbfd25e8cd0363f6e</t>
  </si>
  <si>
    <t>43601d61c836387485e9514ab5c8924dd2cfd466af34ac95002727e1659d60f7</t>
  </si>
  <si>
    <t>8791c0007c09c94db328034b88c5bbbc113335366679eb099a5e75b583bc2c2a</t>
  </si>
  <si>
    <t>0443601d61c836387485e9514ab5c8924dd2cfd466af34ac95002727e1659d60f78791c0007c09c94db328034b88c5bbbc113335366679eb099a5e75b583bc2c2a</t>
  </si>
  <si>
    <t>81b8dfa29ee8569a04e37dc091c6b072f32b6707</t>
  </si>
  <si>
    <t>1CpudzGLUutTRM8wFu2BRQJNo11CzpMmHH</t>
  </si>
  <si>
    <t>3FgyX6YmQq1XN29KCjbDPAiZPCh72EYeSH</t>
  </si>
  <si>
    <t>bc1q058kce90ksvmh4lfw855846qfv8qm2457xqm7h</t>
  </si>
  <si>
    <t>ea</t>
  </si>
  <si>
    <t>AAAAAAAAAAAAAAAAAAAAAAAAAAAAAAAAAAAAAAAAAAAAAAAAAIBA====</t>
  </si>
  <si>
    <t>AAAAAAAAAAAAAAAAAAAAAAAAAAAAAAAAAAAAAAAAAgI</t>
  </si>
  <si>
    <t>fffffffffffffffffffffffffffffffebaaedce6af48a03bbfd25e8cd0363f3f</t>
  </si>
  <si>
    <t>a7a4c30291ac1db24b4ab00c442aa832f7794b5a0959bec6e8d7fee802289dcd</t>
  </si>
  <si>
    <t>d580b4242cf68189ac1309e79c5a2132d2cbf0e18be6d0b37d05a32256ca0c8b</t>
  </si>
  <si>
    <t>04a7a4c30291ac1db24b4ab00c442aa832f7794b5a0959bec6e8d7fee802289dcdd580b4242cf68189ac1309e79c5a2132d2cbf0e18be6d0b37d05a32256ca0c8b</t>
  </si>
  <si>
    <t>08d35aae7d4e0dc0e3e41783adc31e055bf72c60</t>
  </si>
  <si>
    <t>1ofbgenBbkCcmQyRK7XzHnhFHULAdNsBu</t>
  </si>
  <si>
    <t>37ikgSWtXptgUeVshZV7PbBZwxce1BPoBq</t>
  </si>
  <si>
    <t>bc1q6aefs9n9pevp6arz654ddaejmg8zajfmftc9yt</t>
  </si>
  <si>
    <t>w3</t>
  </si>
  <si>
    <t>AAAAAAAAAAAAAAAAAAAAAAAAAAAAAAAAAAAAAAAAAAAAAAAAASBQ====</t>
  </si>
  <si>
    <t>AAAAAAAAAAAAAAAAAAAAAAAAAAAAAAAAAAAAAAAABIM</t>
  </si>
  <si>
    <t>fffffffffffffffffffffffffffffffebaaedce6af48a03bbfd25e8cd0363cbe</t>
  </si>
  <si>
    <t>8b05b0603abd75b0c57489e451f811e1afe54a8715045cdf4888333f3ebc6e8b</t>
  </si>
  <si>
    <t>1d10f88145db40fb889e2ddce81bda7c27f5b615acd6179dbb30f4fe7f40fb39</t>
  </si>
  <si>
    <t>048b05b0603abd75b0c57489e451f811e1afe54a8715045cdf4888333f3ebc6e8b1d10f88145db40fb889e2ddce81bda7c27f5b615acd6179dbb30f4fe7f40fb39</t>
  </si>
  <si>
    <t>baed9d732aa1a62feee35b308f77efba1af607e7</t>
  </si>
  <si>
    <t>1J3PLTqmUnBX3CMxxCap3pFgzPGgN5btKf</t>
  </si>
  <si>
    <t>35iHgrxTFLkXaWnjgQD5PDmiEWpcVGMZFD</t>
  </si>
  <si>
    <t>bc1qlrrf3k33vnhclfp9s6fdzxxvn2gzckkv4z28x5</t>
  </si>
  <si>
    <t>22j</t>
  </si>
  <si>
    <t>AAAAAAAAAAAAAAAAAAAAAAAAAAAAAAAAAAAAAAAAAAAAAAAABJ5Q====</t>
  </si>
  <si>
    <t>AAAAAAAAAAAAAAAAAAAAAAAAAAAAAAAAAAAAAAAACns</t>
  </si>
  <si>
    <t>fffffffffffffffffffffffffffffffebaaedce6af48a03bbfd25e8cd03636c6</t>
  </si>
  <si>
    <t>8b00fcbfc1a203f44bf123fc7f4c91c10a85c8eae9187f9d22242b4600ce781c</t>
  </si>
  <si>
    <t>61e9e58a3e81e690ec0264280ee5442a0a8de699dadfbcac478985cc89d35bc9</t>
  </si>
  <si>
    <t>048b00fcbfc1a203f44bf123fc7f4c91c10a85c8eae9187f9d22242b4600ce781c61e9e58a3e81e690ec0264280ee5442a0a8de699dadfbcac478985cc89d35bc9</t>
  </si>
  <si>
    <t>68430075ebd769394116ddd6c93bc4082b9af1e7</t>
  </si>
  <si>
    <t>1AWHYKPNdiu33TFCve7k7QiKuWLpiyzBby</t>
  </si>
  <si>
    <t>36s3phz7Zb27FPYC1fnbxoBoEz537icvRx</t>
  </si>
  <si>
    <t>bc1qskslnwjd5fxzfevzmxufrkkt6xcy87t3wzknyy</t>
  </si>
  <si>
    <t>40w</t>
  </si>
  <si>
    <t>AAAAAAAAAAAAAAAAAAAAAAAAAAAAAAAAAAAAAAAAAAAAAAAACRQA====</t>
  </si>
  <si>
    <t>AAAAAAAAAAAAAAAAAAAAAAAAAAAAAAAAAAAAAAAAFGA</t>
  </si>
  <si>
    <t>fffffffffffffffffffffffffffffffebaaedce6af48a03bbfd25e8cd0362ce1</t>
  </si>
  <si>
    <t>aadaaab1db8d5d450b511789c37e7cfeb0eb8b3e61a57a34166c5edc9a4b869d</t>
  </si>
  <si>
    <t>2ed7caaf2a261616f564190b4bc9f496f3df86353ff76d7f704e48e654bacdf1</t>
  </si>
  <si>
    <t>04aadaaab1db8d5d450b511789c37e7cfeb0eb8b3e61a57a34166c5edc9a4b869d2ed7caaf2a261616f564190b4bc9f496f3df86353ff76d7f704e48e654bacdf1</t>
  </si>
  <si>
    <t>88c65dab3a80f0502320b8d3e5a354165c6c15f5</t>
  </si>
  <si>
    <t>1DUCXnzF7hA7fLDToQEJjQaZ2rCVHonNfF</t>
  </si>
  <si>
    <t>3Je2iFcyWXkoRU8RyMYrysEj2dpNdKX4QK</t>
  </si>
  <si>
    <t>bc1qlyedqxyxzmykgsttj8aeeamt49us4ys739hecy</t>
  </si>
  <si>
    <t>84w</t>
  </si>
  <si>
    <t>AAAAAAAAAAAAAAAAAAAAAAAAAAAAAAAAAAAAAAAAAAAAAAAAFEYA====</t>
  </si>
  <si>
    <t>AAAAAAAAAAAAAAAAAAAAAAAAAAAAAAAAAAAAAAAAKTA</t>
  </si>
  <si>
    <t>fffffffffffffffffffffffffffffffebaaedce6af48a03bbfd25e8cd0361811</t>
  </si>
  <si>
    <t>b4f1de58b8b41afe9fd4e5ffbdafaeab86c5db4769c15d6e6011ae7351e54759</t>
  </si>
  <si>
    <t>7875ee3c7e4d1b5c753d3747c7d5774b583da4d075fb8caf8cab311b0f350483</t>
  </si>
  <si>
    <t>04b4f1de58b8b41afe9fd4e5ffbdafaeab86c5db4769c15d6e6011ae7351e547597875ee3c7e4d1b5c753d3747c7d5774b583da4d075fb8caf8cab311b0f350483</t>
  </si>
  <si>
    <t>b87be3de1d64465369fdfcac95047cdca05bac66</t>
  </si>
  <si>
    <t>1HpTkLHDZ8zcqwkeNWiFfHBouiZvP9gj4Z</t>
  </si>
  <si>
    <t>3CX65tUEAt8e7fKocvEFbzY6cf1XVQi4iP</t>
  </si>
  <si>
    <t>bc1qjlujsxsnswre6u4v22n2860ghxj2faj4ws7l43</t>
  </si>
  <si>
    <t>kqb</t>
  </si>
  <si>
    <t>AAAAAAAAAAAAAAAAAAAAAAAAAAAAAAAAAAAAAAAAAAAAAAAANDZQ====</t>
  </si>
  <si>
    <t>AAAAAAAAAAAAAAAAAAAAAAAAAAAAAAAAAAAAAAAAaPM</t>
  </si>
  <si>
    <t>fffffffffffffffffffffffffffffffebaaedce6af48a03bbfd25e8cd035d84e</t>
  </si>
  <si>
    <t>fea58ffcf49566f6e9e9350cf5bca2861312f422966e8db16094beb14dc3df2c</t>
  </si>
  <si>
    <t>c71136e9f21ec86870c3a999f045d712f848c6fd6ed9582521c3f7444c8f182e</t>
  </si>
  <si>
    <t>04fea58ffcf49566f6e9e9350cf5bca2861312f422966e8db16094beb14dc3df2cc71136e9f21ec86870c3a999f045d712f848c6fd6ed9582521c3f7444c8f182e</t>
  </si>
  <si>
    <t>450153d2afb08cdd3bd4fae826c89e8400743862</t>
  </si>
  <si>
    <t>17HsDU9MSyoYCrkDkPg2gz5ZwdX2kWLvBG</t>
  </si>
  <si>
    <t>3EiQhnQ5yhWpzWU3u29R1VgHmiqim1yhnc</t>
  </si>
  <si>
    <t>bc1qle7y2yn8x8mns3jqkzcqgh75pwk89c4zqgxwrd</t>
  </si>
  <si>
    <t>13qu</t>
  </si>
  <si>
    <t>AAAAAAAAAAAAAAAAAAAAAAAAAAAAAAAAAAAAAAAAAAAAAAAAZE3A====</t>
  </si>
  <si>
    <t>AAAAAAAAAAAAAAAAAAAAAAAAAAAAAAAAAAAAAAAAyTY</t>
  </si>
  <si>
    <t>fffffffffffffffffffffffffffffffebaaedce6af48a03bbfd25e8cd035780b</t>
  </si>
  <si>
    <t>9d8c5d35231d75eb87fd2c5f05f65281ed9573dc41853288c62ee94eb2590b7a</t>
  </si>
  <si>
    <t>83c227263dece3d7e8afe4005eff667bb90dd33ce17c663b1e83b303b12c0348</t>
  </si>
  <si>
    <t>049d8c5d35231d75eb87fd2c5f05f65281ed9573dc41853288c62ee94eb2590b7a83c227263dece3d7e8afe4005eff667bb90dd33ce17c663b1e83b303b12c0348</t>
  </si>
  <si>
    <t>16f39f4f19379a80533da9c81f25beb85d1ef06c</t>
  </si>
  <si>
    <t>136MiPt1obHE3LaR95u4JcM9KgnxzSDa8m</t>
  </si>
  <si>
    <t>33jZuDRvEsym5SyekGVV5VZ6iaZAAtsdb1</t>
  </si>
  <si>
    <t>bc1qwqjmfmanlapwkntdw8atddfmfayk0c7a5ckf4h</t>
  </si>
  <si>
    <t>21xr</t>
  </si>
  <si>
    <t>AAAAAAAAAAAAAAAAAAAAAAAAAAAAAAAAAAAAAAAAAAAAAAABOZHQ====</t>
  </si>
  <si>
    <t>AAAAAAAAAAAAAAAAAAAAAAAAAAAAAAAAAAAAAAABdk8</t>
  </si>
  <si>
    <t>fffffffffffffffffffffffffffffffebaaedce6af48a03bbfd25e8cd034caf2</t>
  </si>
  <si>
    <t>3f688bae8321b8e02b7e6c0a55c2515fb25ab97d85fda842449f7bfa04e128c3</t>
  </si>
  <si>
    <t>393e3b1c529624e56840acbb10243ec9e0cfe99c3cffe1c87537b735bbba2d2f</t>
  </si>
  <si>
    <t>043f688bae8321b8e02b7e6c0a55c2515fb25ab97d85fda842449f7bfa04e128c3393e3b1c529624e56840acbb10243ec9e0cfe99c3cffe1c87537b735bbba2d2f</t>
  </si>
  <si>
    <t>e0e9389beaede08f7bbb23d4cef4618106f4f61e</t>
  </si>
  <si>
    <t>1MWDkTaDJiSh6sXWeoiwU5ZHmosyqmMnEJ</t>
  </si>
  <si>
    <t>3Cm9CCFXUp39tp7PfGRCDxbv3SssgZirVi</t>
  </si>
  <si>
    <t>bc1qke7tdm02hsxghynun63jwc5w02nrut2jcvlfx8</t>
  </si>
  <si>
    <t>49al</t>
  </si>
  <si>
    <t>AAAAAAAAAAAAAAAAAAAAAAAAAAAAAAAAAAAAAAAAAAAAAAADBAGQ====</t>
  </si>
  <si>
    <t>AAAAAAAAAAAAAAAAAAAAAAAAAAAAAAAAAAAAAAADCA0</t>
  </si>
  <si>
    <t>fffffffffffffffffffffffffffffffebaaedce6af48a03bbfd25e8cd0333934</t>
  </si>
  <si>
    <t>0ce4a3291b19d2e1a7bf73ee87d30a6bdbc72b20771e7dfff40d0db755cd4af1</t>
  </si>
  <si>
    <t>889098969cd1f2642a070ace8aacd681b6c97281ed46d6354f8094614865fba8</t>
  </si>
  <si>
    <t>040ce4a3291b19d2e1a7bf73ee87d30a6bdbc72b20771e7dfff40d0db755cd4af1889098969cd1f2642a070ace8aacd681b6c97281ed46d6354f8094614865fba8</t>
  </si>
  <si>
    <t>2d73414f62c90d3eed4af1505db4d9555b7b883c</t>
  </si>
  <si>
    <t>159KUhWBS8qVZwbX7ZPzwQt6mNppZcN3WX</t>
  </si>
  <si>
    <t>3AcZWc59FsfwvMhsra2W4v4RdkAbW68jKU</t>
  </si>
  <si>
    <t>bc1q450g22cgawjnmucxajw64rryxsnf20u579kvze</t>
  </si>
  <si>
    <t>7nvj</t>
  </si>
  <si>
    <t>AAAAAAAAAAAAAAAAAAAAAAAAAAAAAAAAAAAAAAAAAAAAAAAFOSPQ====</t>
  </si>
  <si>
    <t>AAAAAAAAAAAAAAAAAAAAAAAAAAAAAAAAAAAAAAAFdJ8</t>
  </si>
  <si>
    <t>fffffffffffffffffffffffffffffffebaaedce6af48a03bbfd25e8cd030cca2</t>
  </si>
  <si>
    <t>85663c8b2f90659e1ccab201694f4f8ec24b3749cfe5030c7c3646a709408e19</t>
  </si>
  <si>
    <t>457e3dd2f2a02ea1dd219233e317782fcc39a3594ca5ef4228f9af3b49bdc671</t>
  </si>
  <si>
    <t>0485663c8b2f90659e1ccab201694f4f8ec24b3749cfe5030c7c3646a709408e19457e3dd2f2a02ea1dd219233e317782fcc39a3594ca5ef4228f9af3b49bdc671</t>
  </si>
  <si>
    <t>754aeaa7f736dd192946edf3c2b792681cdeb003</t>
  </si>
  <si>
    <t>1BhBok4wXceco3cxfqA8e6hZUnjikD6QR4</t>
  </si>
  <si>
    <t>3G7sz4Kn9fj6xLvC3eFaFvbrBhkCrrdEXk</t>
  </si>
  <si>
    <t>bc1qa0a7dqvleh46kpshxt8frhmatp4qxl0wa2zrm7</t>
  </si>
  <si>
    <t>ii51</t>
  </si>
  <si>
    <t>AAAAAAAAAAAAAAAAAAAAAAAAAAAAAAAAAAAAAAAAAAAAAAANFRKQ====</t>
  </si>
  <si>
    <t>AAAAAAAAAAAAAAAAAAAAAAAAAAAAAAAAAAAAAAANLFU</t>
  </si>
  <si>
    <t>fffffffffffffffffffffffffffffffebaaedce6af48a03bbfd25e8cd02914ec</t>
  </si>
  <si>
    <t>3c4a45cbd643ff97d77f41ea37e843648d50fd894b864b0d52febc62f6454f7c</t>
  </si>
  <si>
    <t>88020b66e0e1970a0009fa411e77166bca00b1ada6163854362ca33d1ee35ab1</t>
  </si>
  <si>
    <t>043c4a45cbd643ff97d77f41ea37e843648d50fd894b864b0d52febc62f6454f7c88020b66e0e1970a0009fa411e77166bca00b1ada6163854362ca33d1ee35ab1</t>
  </si>
  <si>
    <t>aa054fa44135d0f414fd5c6fd8c1ccdea727fb2a</t>
  </si>
  <si>
    <t>1GVzEdhzLtcNruKtgSVNEn31BpXsw6nVxN</t>
  </si>
  <si>
    <t>3E6zPtGL2sRfrQijjZt4hD7vs1HkW2vB7m</t>
  </si>
  <si>
    <t>bc1qhyru8g4rkfmcnha4pxmnph28wq7zw2rgkfzty9</t>
  </si>
  <si>
    <t>12tys</t>
  </si>
  <si>
    <t>AAAAAAAAAAAAAAAAAAAAAAAAAAAAAAAAAAAAAAAAAAAAAAA3UU2A====</t>
  </si>
  <si>
    <t>AAAAAAAAAAAAAAAAAAAAAAAAAAAAAAAAAAAAAAAbpTQ</t>
  </si>
  <si>
    <t>fffffffffffffffffffffffffffffffebaaedce6af48a03bbfd25e8cd01a9c0d</t>
  </si>
  <si>
    <t>1a746c78f72754e0be046186df8a20cdce5c79b2eda76013c647af08d306e49e</t>
  </si>
  <si>
    <t>2d5736900aa6d87c26325ccc3d707065de2fb7dd6602f71ffadb33dcdf26c239</t>
  </si>
  <si>
    <t>041a746c78f72754e0be046186df8a20cdce5c79b2eda76013c647af08d306e49e2d5736900aa6d87c26325ccc3d707065de2fb7dd6602f71ffadb33dcdf26c239</t>
  </si>
  <si>
    <t>f7c2c9e82bd3aac5e1f80b382b28cdbd8516bb5a</t>
  </si>
  <si>
    <t>1Pb3FYDSxspgNp5T2vhfmgunFy8huxdGHd</t>
  </si>
  <si>
    <t>32CSbyYZfTxUg6HijbTUNqdTPbgRbAExLv</t>
  </si>
  <si>
    <t>bc1q9xncyy7248h2sf9v7zqz92ualjp5zn6k9luadf</t>
  </si>
  <si>
    <t>1sglr</t>
  </si>
  <si>
    <t>AAAAAAAAAAAAAAAAAAAAAAAAAAAAAAAAAAAAAAAAAAAAAABN4QHQ====</t>
  </si>
  <si>
    <t>AAAAAAAAAAAAAAAAAAAAAAAAAAAAAAAAAAAAAAAt5A8</t>
  </si>
  <si>
    <t>fffffffffffffffffffffffffffffffebaaedce6af48a03bbfd25e8cd0085d32</t>
  </si>
  <si>
    <t>3ed96b524db5ff4fe007ce730366052b7c511dc566227d929070b9ce917abb43</t>
  </si>
  <si>
    <t>700d7526050cc27c80c39aac7e5a930a79914bc74c8808177d58335f69ab72f4</t>
  </si>
  <si>
    <t>043ed96b524db5ff4fe007ce730366052b7c511dc566227d929070b9ce917abb43700d7526050cc27c80c39aac7e5a930a79914bc74c8808177d58335f69ab72f4</t>
  </si>
  <si>
    <t>277b7a5c156956ea2ec7f24b4b3f97bb7e95fe26</t>
  </si>
  <si>
    <t>14bmGt6czWuDF6usu7n9BawVtnFoZWNFbU</t>
  </si>
  <si>
    <t>38QCiF5Dg47nWUTMN9deNhHWVRQa9QpCV1</t>
  </si>
  <si>
    <t>bc1q0l69xqmhfmm62tllmqq3nqgrfvjcewrts6zfxy</t>
  </si>
  <si>
    <t>3c02a</t>
  </si>
  <si>
    <t>AAAAAAAAAAAAAAAAAAAAAAAAAAAAAAAAAAAAAAAAAAAAAACVNZJA====</t>
  </si>
  <si>
    <t>AAAAAAAAAAAAAAAAAAAAAAAAAAAAAAAAAAAAAABVblI</t>
  </si>
  <si>
    <t>fffffffffffffffffffffffffffffffebaaedce6af48a03bbfd25e8ccfe0d2ef</t>
  </si>
  <si>
    <t>f82710361b8b81bdedb16994f30c80db522450a93e8e87eeb07f7903cf28d04b</t>
  </si>
  <si>
    <t>97336f10faad1355ee425ca4f3a989bbd929704bfb9ae2371178ae3adef7ab3f</t>
  </si>
  <si>
    <t>04f82710361b8b81bdedb16994f30c80db522450a93e8e87eeb07f7903cf28d04b97336f10faad1355ee425ca4f3a989bbd929704bfb9ae2371178ae3adef7ab3f</t>
  </si>
  <si>
    <t>9c5e7c02ecacaf0d6e0a7c9dcdb6cbe21c180eb8</t>
  </si>
  <si>
    <t>1FFobpT8KuuzVjH1559gWEs9sPUB8ktkXQ</t>
  </si>
  <si>
    <t>3FuaEEKh6aVSTCs2drWaFPJUTECveggzeF</t>
  </si>
  <si>
    <t>bc1q6znemuvflcddtscxe3cyj7e4ss2a54u739r7hp</t>
  </si>
  <si>
    <t>8l98k</t>
  </si>
  <si>
    <t>AAAAAAAAAAAAAAAAAAAAAAAAAAAAAAAAAAAAAAAAAAAAAAG4FICA====</t>
  </si>
  <si>
    <t>AAAAAAAAAAAAAAAAAAAAAAAAAAAAAAAAAAAAAADcKgQ</t>
  </si>
  <si>
    <t>fffffffffffffffffffffffffffffffebaaedce6af48a03bbfd25e8ccf5a173d</t>
  </si>
  <si>
    <t>6ea839d22847ee1dce3bfc5b11f6cf785b0682db58c35b63d1342eb221c3490c</t>
  </si>
  <si>
    <t>d4313e400ac025a18f72b7e4487a3a47676c1e97ba6f8119e9736d4b8c4ce2a9</t>
  </si>
  <si>
    <t>046ea839d22847ee1dce3bfc5b11f6cf785b0682db58c35b63d1342eb221c3490cd4313e400ac025a18f72b7e4487a3a47676c1e97ba6f8119e9736d4b8c4ce2a9</t>
  </si>
  <si>
    <t>d17edabb09aadb33561e0fec938bdef5ca545929</t>
  </si>
  <si>
    <t>1L6iC6LGPdC7nQdAC93vyhPeYnsr9kw3be</t>
  </si>
  <si>
    <t>383F9xzayfbV9yMQCdB6ZCLVWVD95hSEUU</t>
  </si>
  <si>
    <t>bc1qp9v7sqfp7d4w5yanhtfkrs2a4snp3830ypfdk4</t>
  </si>
  <si>
    <t>jra3p</t>
  </si>
  <si>
    <t>AAAAAAAAAAAAAAAAAAAAAAAAAAAAAAAAAAAAAAAAAAAAAAP2L3SQ====</t>
  </si>
  <si>
    <t>AAAAAAAAAAAAAAAAAAAAAAAAAAAAAAAAAAAAAAH6XuU</t>
  </si>
  <si>
    <t>fffffffffffffffffffffffffffffffebaaedce6af48a03bbfd25e8cce3be25c</t>
  </si>
  <si>
    <t>057fbea3a2623382628dde556b2a0698e32428d3cd225f3bd034dca82dd7455a</t>
  </si>
  <si>
    <t>b7deb4729bedde33c9edc651ecb0c034adc49678ad67414e3e90b01f2d085655</t>
  </si>
  <si>
    <t>04057fbea3a2623382628dde556b2a0698e32428d3cd225f3bd034dca82dd7455ab7deb4729bedde33c9edc651ecb0c034adc49678ad67414e3e90b01f2d085655</t>
  </si>
  <si>
    <t>f9f514300900e45d6fcc2b568ce857d5033f4b2d</t>
  </si>
  <si>
    <t>1Pner9KEtCMgsgU1nUE8vwbEY7nbcgN7F2</t>
  </si>
  <si>
    <t>3PX4SySm87s7CzeASzQm4XM8fCYaW54ohG</t>
  </si>
  <si>
    <t>bc1q9uukk2djwvjrqrgvtxchcw4urq6m60dm5qs3gm</t>
  </si>
  <si>
    <t>wgyge</t>
  </si>
  <si>
    <t>AAAAAAAAAAAAAAAAAAAAAAAAAAAAAAAAAAAAAAAAAAAAAA2AGJXA====</t>
  </si>
  <si>
    <t>AAAAAAAAAAAAAAAAAAAAAAAAAAAAAAAAAAAAAANAMm4</t>
  </si>
  <si>
    <t>fffffffffffffffffffffffffffffffebaaedce6af48a03bbfd25e8cccf60ed3</t>
  </si>
  <si>
    <t>4e4f50a2a3eccdb368988ae37cd4b611697b26b29696e42e06d71368b4f3840f</t>
  </si>
  <si>
    <t>076d012b98c9e265dda1a9028ae37f1a4548505fac40524d507b5675c74714ca</t>
  </si>
  <si>
    <t>044e4f50a2a3eccdb368988ae37cd4b611697b26b29696e42e06d71368b4f3840f076d012b98c9e265dda1a9028ae37f1a4548505fac40524d507b5675c74714ca</t>
  </si>
  <si>
    <t>8fe7c7556c4079421792d10293d68c5c3004b16b</t>
  </si>
  <si>
    <t>1E7uHhHFBg2TUjXYcyFCwisLKENhRanmi5</t>
  </si>
  <si>
    <t>38dwChHZUJgVgHNREwyYjGA172kCwaP3BS</t>
  </si>
  <si>
    <t>bc1qhl4mwdtz632pkv4q9wnxf52qkkjhg7f04mg3dr</t>
  </si>
  <si>
    <t>1unh4l</t>
  </si>
  <si>
    <t>AAAAAAAAAAAAAAAAAAAAAAAAAAAAAAAAAAAAAAAAAAAAABVMHB2Q====</t>
  </si>
  <si>
    <t>AAAAAAAAAAAAAAAAAAAAAAAAAAAAAAAAAAAAAAasOHU</t>
  </si>
  <si>
    <t>fffffffffffffffffffffffffffffffebaaedce6af48a03bbfd25e8cc98a08cc</t>
  </si>
  <si>
    <t>1a864bae3922f351f1b57cfdd827c25b7e093cb9c88a72c1cd893d9f90f44ece</t>
  </si>
  <si>
    <t>0340864e1e4a939cf2eb8511e833c1c2bdd51a55bd204368332ae70d68a65c61</t>
  </si>
  <si>
    <t>041a864bae3922f351f1b57cfdd827c25b7e093cb9c88a72c1cd893d9f90f44ece0340864e1e4a939cf2eb8511e833c1c2bdd51a55bd204368332ae70d68a65c61</t>
  </si>
  <si>
    <t>b2b8dc3612dfdb6f6c40156374b0ecb560efca48</t>
  </si>
  <si>
    <t>1HHzjTYgVzkd1Ce4CMmN24HoSWNRRpWked</t>
  </si>
  <si>
    <t>37ikXJtt6jZ41Qgg6eQRtAsBDYJwLjuPki</t>
  </si>
  <si>
    <t>bc1qp3a27m920e2zfd3ax9lslrcln7jq64tqhxpu4z</t>
  </si>
  <si>
    <t>3rizu0</t>
  </si>
  <si>
    <t>AAAAAAAAAAAAAAAAAAAAAAAAAAAAAAAAAAAAAAAAAAAAADMRNTUA====</t>
  </si>
  <si>
    <t>AAAAAAAAAAAAAAAAAAAAAAAAAAAAAAAAAAAAAA2RbOg</t>
  </si>
  <si>
    <t>fffffffffffffffffffffffffffffffebaaedce6af48a03bbfd25e8cc2a4d459</t>
  </si>
  <si>
    <t>e9e661838a96a65331637e2a3e948dc0756e5009e7cb5c36664d9b72dd18c0a7</t>
  </si>
  <si>
    <t>09f531540a4ca59f50f93b8bf7b0c060045754aaae7ce1bea5a136c0d5874b97</t>
  </si>
  <si>
    <t>04e9e661838a96a65331637e2a3e948dc0756e5009e7cb5c36664d9b72dd18c0a709f531540a4ca59f50f93b8bf7b0c060045754aaae7ce1bea5a136c0d5874b97</t>
  </si>
  <si>
    <t>e926b60be86df76a953b0d8fe72cd52749976df5</t>
  </si>
  <si>
    <t>1NFnpPkNao3bpSLV7DfF4UDJn7LSaWAMfo</t>
  </si>
  <si>
    <t>34oa6tLyZ9AvECEGNqaGFLNybWa2bqbcgu</t>
  </si>
  <si>
    <t>bc1qzvrtne8l2egn53mggxav0wjg6623dvw655fjk9</t>
  </si>
  <si>
    <t>6mkkym</t>
  </si>
  <si>
    <t>AAAAAAAAAAAAAAAAAAAAAAAAAAAAAAAAAAAAAAAAAAAAAF7CKUPA====</t>
  </si>
  <si>
    <t>AAAAAAAAAAAAAAAAAAAAAAAAAAAAAAAAAAAAABfiVR4</t>
  </si>
  <si>
    <t>fffffffffffffffffffffffffffffffebaaedce6af48a03bbfd25e8cb853ec23</t>
  </si>
  <si>
    <t>6caad634382d34691e3bef43ed4a124d8909a8a3362f91f1d20abaaf7e917b36</t>
  </si>
  <si>
    <t>f5c907aad14e4457181ce6be0f0206a1a22d2730d14edf5d50630ad30d63baf4</t>
  </si>
  <si>
    <t>046caad634382d34691e3bef43ed4a124d8909a8a3362f91f1d20abaaf7e917b36f5c907aad14e4457181ce6be0f0206a1a22d2730d14edf5d50630ad30d63baf4</t>
  </si>
  <si>
    <t>1827bdbd8ff0d5659d98630289393c042b78f33b</t>
  </si>
  <si>
    <t>13CipsQcrHEij2EMLeBzdVDXtVtBJZ2hyU</t>
  </si>
  <si>
    <t>374eDAT4N5X8bTC5LsKDwJDLpPoKVtN3wF</t>
  </si>
  <si>
    <t>bc1qtfqkejg53a9rw7m89j9wt5eg0td2lt0vpfrzyk</t>
  </si>
  <si>
    <t>h348ys</t>
  </si>
  <si>
    <t>AAAAAAAAAAAAAAAAAAAAAAAAAAAAAAAAAAAAAAAAAAAAAPMUZVSA====</t>
  </si>
  <si>
    <t>AAAAAAAAAAAAAAAAAAAAAAAAAAAAAAAAAAAAAD2UzWQ</t>
  </si>
  <si>
    <t>fffffffffffffffffffffffffffffffebaaedce6af48a03bbfd25e8c92a173dd</t>
  </si>
  <si>
    <t>0d282cf2ff536d2c42f105d0b8588821a915dc3f9a05bd98bb23af67a2e92a5b</t>
  </si>
  <si>
    <t>b0ca8ab2bfb595a48a19d4faecd863697762a74e1e889de825accfee9895790d</t>
  </si>
  <si>
    <t>040d282cf2ff536d2c42f105d0b8588821a915dc3f9a05bd98bb23af67a2e92a5bb0ca8ab2bfb595a48a19d4faecd863697762a74e1e889de825accfee9895790d</t>
  </si>
  <si>
    <t>97b21f3bd783f9cd2d13d7a0a9db2d92045f5b7f</t>
  </si>
  <si>
    <t>1Eq6R6pjxDHjaaqUVh9GWrRQAFVFDgkZDf</t>
  </si>
  <si>
    <t>34ebKeHEJDH2kLhoVGxfBMMpV1KnchvSDY</t>
  </si>
  <si>
    <t>bc1q6wwywprxfcw7kakfxv0xxatycftadzsg9kek58</t>
  </si>
  <si>
    <t>yrphdz</t>
  </si>
  <si>
    <t>AAAAAAAAAAAAAAAAAAAAAAAAAAAAAAAAAAAAAAAAAAAAA7KP45DQ====</t>
  </si>
  <si>
    <t>AAAAAAAAAAAAAAAAAAAAAAAAAAAAAAAAAAAAAH1P50c</t>
  </si>
  <si>
    <t>fffffffffffffffffffffffffffffffebaaedce6af48a03bbfd25e8c52e659fa</t>
  </si>
  <si>
    <t>87dc70db1806cd9a9a76637412ec11dd998be666584849b3185f7f9313c8fd28</t>
  </si>
  <si>
    <t>446b6eef4da5141b139a7d9a8f684d20536cd9383a747885791a11af1aef6c91</t>
  </si>
  <si>
    <t>0487dc70db1806cd9a9a76637412ec11dd998be666584849b3185f7f9313c8fd28446b6eef4da5141b139a7d9a8f684d20536cd9383a747885791a11af1aef6c91</t>
  </si>
  <si>
    <t>ed780d72bfea25eb9dcbdde328c47c16464bc453</t>
  </si>
  <si>
    <t>1NecxrsyXndGKU7HVAKgHFLnUHcdyNhTJS</t>
  </si>
  <si>
    <t>338W4xFBhcmoRBsQpxySuZpwYvTbVbc698</t>
  </si>
  <si>
    <t>bc1qmqzlduj37area0v98v7s7jumyetdjtcaa6n236</t>
  </si>
  <si>
    <t>1f5ruwe</t>
  </si>
  <si>
    <t>AAAAAAAAAAAAAAAAAAAAAAAAAAAAAAAAAAAAAAAAAAAABODCUYXA====</t>
  </si>
  <si>
    <t>AAAAAAAAAAAAAAAAAAAAAAAAAAAAAAAAAAAAALhipi4</t>
  </si>
  <si>
    <t>fffffffffffffffffffffffffffffffebaaedce6af48a03bbfd25e8c17d39b13</t>
  </si>
  <si>
    <t>09c58240e50e3ba3f833c82655e8725c037a2294e14cf5d73a5df8d56159de69</t>
  </si>
  <si>
    <t>4fd08050375c910eecb46adeb9ffde4614adbf875f0493ad8d0a117d23b219e0</t>
  </si>
  <si>
    <t>0409c58240e50e3ba3f833c82655e8725c037a2294e14cf5d73a5df8d56159de694fd08050375c910eecb46adeb9ffde4614adbf875f0493ad8d0a117d23b219e0</t>
  </si>
  <si>
    <t>f3d981f8da48c1762e33ab0a13ac4c294aa320fd</t>
  </si>
  <si>
    <t>1PEMmKGZWn4KBDhcUbnkETvjQkXNcaU1nf</t>
  </si>
  <si>
    <t>3LvidDesm3AgZHU9DfVXj2APVA1N9xsPvZ</t>
  </si>
  <si>
    <t>bc1qnepxq8h2ahpyfc2lzum44kcw9nggalwfm2pjzz</t>
  </si>
  <si>
    <t>3a1g2c8</t>
  </si>
  <si>
    <t>AAAAAAAAAAAAAAAAAAAAAAAAAAAAAAAAAAAAAAAAAAAADKLMVDMA====</t>
  </si>
  <si>
    <t>AAAAAAAAAAAAAAAAAAAAAAAAAAAAAAAAAAAAAalsqNg</t>
  </si>
  <si>
    <t>fffffffffffffffffffffffffffffffebaaedce6af48a03bbfd25e8b26c99869</t>
  </si>
  <si>
    <t>a355aa5e2e09dd44bb46a4722e9336e9e3ee4ee4e7b7a0cf5785b283bf2ab579</t>
  </si>
  <si>
    <t>04162d6719ade112c0440936eaa0666052fd1fffb8562ad3629b0718c298495f</t>
  </si>
  <si>
    <t>04a355aa5e2e09dd44bb46a4722e9336e9e3ee4ee4e7b7a0cf5785b283bf2ab57904162d6719ade112c0440936eaa0666052fd1fffb8562ad3629b0718c298495f</t>
  </si>
  <si>
    <t>b7cfa6b2bc512d81e1bafab9054c1a6e4143c6c0</t>
  </si>
  <si>
    <t>1HkuQxjFB2uxqKG2Fh4Vu3wZMkML5nZJs8</t>
  </si>
  <si>
    <t>3PerDgbh2CN3U1WXbe8Ke2VNQ1RmMt5Wbq</t>
  </si>
  <si>
    <t>bc1qfc272xyh2tg74azymlttluuel6cygwthy2w7lt</t>
  </si>
  <si>
    <t>6hqgs9p</t>
  </si>
  <si>
    <t>AAAAAAAAAAAAAAAAAAAAAAAAAAAAAAAAAAAAAAAAAAAAGSTFSEOQ====</t>
  </si>
  <si>
    <t>AAAAAAAAAAAAAAAAAAAAAAAAAAAAAAAAAAAAA0plkR0</t>
  </si>
  <si>
    <t>fffffffffffffffffffffffffffffffebaaedce6af48a03bbfd25e8985d0b024</t>
  </si>
  <si>
    <t>3cdd9d6d97cbfe7c26f902faf6a435780fe652e159ec953650ec7b1004082790</t>
  </si>
  <si>
    <t>c7fd4dd8b1c621129b2277c44a3fd706e17783cafc47894cfe5fbc912e7b67bb</t>
  </si>
  <si>
    <t>043cdd9d6d97cbfe7c26f902faf6a435780fe652e159ec953650ec7b1004082790c7fd4dd8b1c621129b2277c44a3fd706e17783cafc47894cfe5fbc912e7b67bb</t>
  </si>
  <si>
    <t>9996de5801da8d0fc6dbc5a45a0a67d8015858e6</t>
  </si>
  <si>
    <t>1F177t12B6VewoZrRh1g9ihMxhWM9e3qwQ</t>
  </si>
  <si>
    <t>37H1pg192zJ6rZFHEM6SptqTFrx1yKuW7F</t>
  </si>
  <si>
    <t>bc1q7mt867vrhacy2reftjwts2x64vn97xl6au29r0</t>
  </si>
  <si>
    <t>98mon74</t>
  </si>
  <si>
    <t>AAAAAAAAAAAAAAAAAAAAAAAAAAAAAAAAAAAAAAAAAAAAJLWSCFYA====</t>
  </si>
  <si>
    <t>AAAAAAAAAAAAAAAAAAAAAAAAAAAAAAAAAAAABK7SEXA</t>
  </si>
  <si>
    <t>fffffffffffffffffffffffffffffffebaaedce6af48a03bbfd25e8821642fd1</t>
  </si>
  <si>
    <t>f6a8148a62320e149cb15c544fe8a25ab483a0095d2280d03b8a00a7feada13d</t>
  </si>
  <si>
    <t>8fde318a70a6dbed63953f4bb93087820e5ccb071faa514204ad19650e5a86ee</t>
  </si>
  <si>
    <t>04f6a8148a62320e149cb15c544fe8a25ab483a0095d2280d03b8a00a7feada13d8fde318a70a6dbed63953f4bb93087820e5ccb071faa514204ad19650e5a86ee</t>
  </si>
  <si>
    <t>95abdedcdb5f997f5fbab7a3e667e6d9f9735438</t>
  </si>
  <si>
    <t>1EePaMnjNHn5wofq8pGmfbjsCznGQtzozG</t>
  </si>
  <si>
    <t>35tQq6awbSq6hK4J7fFNWVXjTNHRy3183n</t>
  </si>
  <si>
    <t>bc1q7mvvugjll00vastslq5cc07z3tngdhe9wxd8ft</t>
  </si>
  <si>
    <t>jh0l0n0</t>
  </si>
  <si>
    <t>AAAAAAAAAAAAAAAAAAAAAAAAAAAAAAAAAAAAAAAAAAAATXUCBJ6A====</t>
  </si>
  <si>
    <t>AAAAAAAAAAAAAAAAAAAAAAAAAAAAAAAAAAAACd6CCnw</t>
  </si>
  <si>
    <t>fffffffffffffffffffffffffffffffebaaedce6af48a03bbfd25e82f1b436c5</t>
  </si>
  <si>
    <t>b3e772216695845fa9dda419fb5daca28154d8aa59ea302f05e916635e47b9f6</t>
  </si>
  <si>
    <t>6e1ad5a30b9c99a0ce54247314bd60f6a8c4af66c2672b1a9d7bfebbd8f9340c</t>
  </si>
  <si>
    <t>04b3e772216695845fa9dda419fb5daca28154d8aa59ea302f05e916635e47b9f66e1ad5a30b9c99a0ce54247314bd60f6a8c4af66c2672b1a9d7bfebbd8f9340c</t>
  </si>
  <si>
    <t>1b05e248b50da1edcf74f919d7af635bd3362acc</t>
  </si>
  <si>
    <t>13TtJ15zW6WhtX8bs4bBM8qviZ5oAjZeSN</t>
  </si>
  <si>
    <t>3JT7VFdEkusrgRs9CABzWZwyR43RS6z5SA</t>
  </si>
  <si>
    <t>bc1qwjc7qy47z5s7tkxhte695fkwmpz750fhk95z2t</t>
  </si>
  <si>
    <t>1a1z6v83</t>
  </si>
  <si>
    <t>AAAAAAAAAAAAAAAAAAAAAAAAAAAAAAAAAAAAAAAAAAABOV3VNKJQ====</t>
  </si>
  <si>
    <t>AAAAAAAAAAAAAAAAAAAAAAAAAAAAAAAAAAAAF1d1apM</t>
  </si>
  <si>
    <t>fffffffffffffffffffffffffffffffebaaedce6af48a03bbfd25e7578c0d6ae</t>
  </si>
  <si>
    <t>7d2c03c3ef0aec70f2c7e1e75454a5dfdd0e1adea670c1b3a4643c48ad0f1255</t>
  </si>
  <si>
    <t>6144da0f5d8070b5cbfc25541705394c22b83d0c90f3f6fb1fe5b20dac02a940</t>
  </si>
  <si>
    <t>047d2c03c3ef0aec70f2c7e1e75454a5dfdd0e1adea670c1b3a4643c48ad0f12556144da0f5d8070b5cbfc25541705394c22b83d0c90f3f6fb1fe5b20dac02a940</t>
  </si>
  <si>
    <t>d41626cb6e05db4e50525754a4e9fc6b30547e79</t>
  </si>
  <si>
    <t>1LLQnnUrNqubML25mRaDsZ7cw17SdzJHGm</t>
  </si>
  <si>
    <t>3LkN6z1NGhmHLqWYGTjJQY2XH3CAAXBnha</t>
  </si>
  <si>
    <t>bc1q9rpslwg33mga5uh8cnufcqtyw4hg5qsaqfvepk</t>
  </si>
  <si>
    <t>1vin23f4</t>
  </si>
  <si>
    <t>AAAAAAAAAAAAAAAAAAAAAAAAAAAAAAAAAAAAAAAAAAACEOBPVTIA====</t>
  </si>
  <si>
    <t>AAAAAAAAAAAAAAAAAAAAAAAAAAAAAAAAAAAAIjgvrNA</t>
  </si>
  <si>
    <t>fffffffffffffffffffffffffffffffebaaedce6af48a03bbfd25e6a98069471</t>
  </si>
  <si>
    <t>c060e1e3771cbeccb38e119c2414702f3f5181a89652538851d2e3886bdd70c6</t>
  </si>
  <si>
    <t>37bbfdac1b7ca715972daa71db7e26d673a9793c6b499406676154c12d566d3f</t>
  </si>
  <si>
    <t>04c060e1e3771cbeccb38e119c2414702f3f5181a89652538851d2e3886bdd70c637bbfdac1b7ca715972daa71db7e26d673a9793c6b499406676154c12d566d3f</t>
  </si>
  <si>
    <t>da4fe191f592a9e8cb4bb1e0b96d520891e8a1fb</t>
  </si>
  <si>
    <t>1LuL14LNek7MRAe3diEYqFFnWvj36KY9RW</t>
  </si>
  <si>
    <t>3MeqMbcAdiPbUnG3NGWY6pEvy4iHTjgZNC</t>
  </si>
  <si>
    <t>bc1qkxgw94qvlhhw9nhqw22552lgnea68ymy6ul6wa</t>
  </si>
  <si>
    <t>44pthko9</t>
  </si>
  <si>
    <t>AAAAAAAAAAAAAAAAAAAAAAAAAAAAAAAAAAAAAAAAAAAEWX4DAPUQ====</t>
  </si>
  <si>
    <t>AAAAAAAAAAAAAAAAAAAAAAAAAAAAAAAAAAAAS1-DA-k</t>
  </si>
  <si>
    <t>fffffffffffffffffffffffffffffffebaaedce6af48a03bbfd25e4170b33d58</t>
  </si>
  <si>
    <t>2d77cd1467019a6bf28f7375d0949ce30e6b5815c2758b98a74c2700bc006543</t>
  </si>
  <si>
    <t>35c003eaea2e33c7ced258f506f57f8dbd90636cbf24e91c9729e5833050d06e</t>
  </si>
  <si>
    <t>042d77cd1467019a6bf28f7375d0949ce30e6b5815c2758b98a74c2700bc00654335c003eaea2e33c7ced258f506f57f8dbd90636cbf24e91c9729e5833050d06e</t>
  </si>
  <si>
    <t>81fe733d04b5ae3fa8ffb5a0c352a2eee8ba3e1b</t>
  </si>
  <si>
    <t>1CrLzFeL6MUgSnuZ5XRsJvyTxLLVvupVwg</t>
  </si>
  <si>
    <t>33fo3VXeRWptXsVxhG62pMo8r6k3fUM49S</t>
  </si>
  <si>
    <t>bc1qpvcy72ne5qnjwqnk2vl7rm2wlucfzzrkj772zw</t>
  </si>
  <si>
    <t>ct2k4yja</t>
  </si>
  <si>
    <t>AAAAAAAAAAAAAAAAAAAAAAAAAAAAAAAAAAAAAAAAAAAOTLSJGPLA====</t>
  </si>
  <si>
    <t>AAAAAAAAAAAAAAAAAAAAAAAAAAAAAAAAAAAA6a5JM9Y</t>
  </si>
  <si>
    <t>fffffffffffffffffffffffffffffffebaaedce6af48a03bbfd25da321ed0d6b</t>
  </si>
  <si>
    <t>a2efa402fd5268400c77c20e574ba86409ededee7c4020e4b9f0edbee53de0d4</t>
  </si>
  <si>
    <t>7ba1a987013e78aef5295bf842749bdf97e25336a82458bbaba8c00d16a79ea7</t>
  </si>
  <si>
    <t>04a2efa402fd5268400c77c20e574ba86409ededee7c4020e4b9f0edbee53de0d47ba1a987013e78aef5295bf842749bdf97e25336a82458bbaba8c00d16a79ea7</t>
  </si>
  <si>
    <t>99a77938b448f7519a16fc4f8a6e6468b7e2b4ff</t>
  </si>
  <si>
    <t>1F1T1cdb6xkwCua6m3TKgASXUEq2PsECBn</t>
  </si>
  <si>
    <t>33o13pNkNLtfTvUiDWWPQmtszxPJtcd75s</t>
  </si>
  <si>
    <t>bc1qjks4dnfpkjnfm6tfadn3dpj0fj9c92p2pq8jdc</t>
  </si>
  <si>
    <t>ilwtpmqj</t>
  </si>
  <si>
    <t>AAAAAAAAAAAAAAAAAAAAAAAAAAAAAAAAAAAAAAAAAAAVHBU2ZRNQ====</t>
  </si>
  <si>
    <t>AAAAAAAAAAAAAAAAAAAAAAAAAAAAAAAAAAABU4aazFs</t>
  </si>
  <si>
    <t>fffffffffffffffffffffffffffffffebaaedce6af48a03bbfd25d39499b74e6</t>
  </si>
  <si>
    <t>b357e68437da273dcf995a474a524439faad86fc9effc300183f714b0903468b</t>
  </si>
  <si>
    <t>9a6435e99428f3ef51a405550940fc39ce67823cb8b35f7f4d829902974d0c65</t>
  </si>
  <si>
    <t>04b357e68437da273dcf995a474a524439faad86fc9effc300183f714b0903468b9a6435e99428f3ef51a405550940fc39ce67823cb8b35f7f4d829902974d0c65</t>
  </si>
  <si>
    <t>0f7ddf92e12ce022932afe1446f51d30ee3ed1c5</t>
  </si>
  <si>
    <t>12QuviBkoRvUdhK6LbXZuTNnjtSr6DmjD9</t>
  </si>
  <si>
    <t>394qcZu6DrY9NocjoPyqFm4MT5AtAf6v6f</t>
  </si>
  <si>
    <t>bc1q69tzavmn2lu7dlzpev34naxnakjqxgefhfd4q8</t>
  </si>
  <si>
    <t>10y4792tr</t>
  </si>
  <si>
    <t>AAAAAAAAAAAAAAAAAAAAAAAAAAAAAAAAAAAAAAAAAABKEIOFRWHQ====</t>
  </si>
  <si>
    <t>AAAAAAAAAAAAAAAAAAAAAAAAAAAAAAAAAAACoiHFjY8</t>
  </si>
  <si>
    <t>fffffffffffffffffffffffffffffffebaaedce6af48a03bbfd25beaae70b3b2</t>
  </si>
  <si>
    <t>eec88385be9da803a0d6579798d977a5d0c7f80917dab49cb73c9e3927142cb6</t>
  </si>
  <si>
    <t>28afea598588ea50a6b11e552f8574e0b93abd5595f5aa17ea3be5304103d255</t>
  </si>
  <si>
    <t>04eec88385be9da803a0d6579798d977a5d0c7f80917dab49cb73c9e3927142cb628afea598588ea50a6b11e552f8574e0b93abd5595f5aa17ea3be5304103d255</t>
  </si>
  <si>
    <t>a11a83e2ef95db11510b89a193619741bc6f31f3</t>
  </si>
  <si>
    <t>1FgqZC8Esvag58WRcHje2kK41kPZDsxmRT</t>
  </si>
  <si>
    <t>3EQm7EM9PryhycuAipDBBJmPcLu45qhzQF</t>
  </si>
  <si>
    <t>bc1q3mact7w9khdj64vh8gzp9rw82yq8tt3rat4gqt</t>
  </si>
  <si>
    <t>2mk0q6k5t</t>
  </si>
  <si>
    <t>AAAAAAAAAAAAAAAAAAAAAAAAAAAAAAAAAAAAAAAAAADL2OZHYWIQ====</t>
  </si>
  <si>
    <t>AAAAAAAAAAAAAAAAAAAAAAAAAAAAAAAAAAAGvTsnxZE</t>
  </si>
  <si>
    <t>fffffffffffffffffffffffffffffffebaaedce6af48a03bbfd257cf950e7bb0</t>
  </si>
  <si>
    <t>a631f9ba0f28511614904df80d7f97a4f43f02249c8909dac92276ccf0bcdaed</t>
  </si>
  <si>
    <t>c69d75bbc4ec87b7d7616b7a197fa0ab25814fb551d292aa70b54979e21cbc64</t>
  </si>
  <si>
    <t>04a631f9ba0f28511614904df80d7f97a4f43f02249c8909dac92276ccf0bcdaedc69d75bbc4ec87b7d7616b7a197fa0ab25814fb551d292aa70b54979e21cbc64</t>
  </si>
  <si>
    <t>93fd70c0e1b6cf238eea52533997bced34b13a98</t>
  </si>
  <si>
    <t>1EVVwYtSTrFJxn7A4V3V8thJkWZZdEsTw7</t>
  </si>
  <si>
    <t>38pZyEgKEFkXYkkQWZ5gXaB8GCxKnLnmyR</t>
  </si>
  <si>
    <t>bc1qlysyf3ujfe2jt3sjq7tjcffunlylpphhj3ed4m</t>
  </si>
  <si>
    <t>5gkulesnj</t>
  </si>
  <si>
    <t>AAAAAAAAAAAAAAAAAAAAAAAAAAAAAAAAAAAAAAAAAAHAFM22GWHQ====</t>
  </si>
  <si>
    <t>AAAAAAAAAAAAAAAAAAAAAAAAAAAAAAAAAAAOArNaNY8</t>
  </si>
  <si>
    <t>fffffffffffffffffffffffffffffffebaaedce6af48a03bbfd2508a1cdc0bb2</t>
  </si>
  <si>
    <t>5e466e97ed0e7910d3d90ceb0332df48ddf67d456b9e7303b50a3d89de357336</t>
  </si>
  <si>
    <t>7715eb01dc2b29c9400694be91f9dda229d7f7eac9da41441f112daeb4dbf54c</t>
  </si>
  <si>
    <t>045e466e97ed0e7910d3d90ceb0332df48ddf67d456b9e7303b50a3d89de3573367715eb01dc2b29c9400694be91f9dda229d7f7eac9da41441f112daeb4dbf54c</t>
  </si>
  <si>
    <t>016498207eade1f9633e57cbe23a660839a4ad49</t>
  </si>
  <si>
    <t>18NBbx2MZaRHV5Yj8iNWmvZuWM2DiYv2k</t>
  </si>
  <si>
    <t>3F31hV5yhazS9ryfBFjpoJRsoKJfP3T78L</t>
  </si>
  <si>
    <t>bc1qsr04fc0kzte0ck7uqhyayx5r42xjq7g7a5eq2a</t>
  </si>
  <si>
    <t>7368xttl1</t>
  </si>
  <si>
    <t>AAAAAAAAAAAAAAAAAAAAAAAAAAAAAAAAAAAAAAAAAAJC7SQUHQCQ====</t>
  </si>
  <si>
    <t>AAAAAAAAAAAAAAAAAAAAAAAAAAAAAAAAAAASL8oUPAU</t>
  </si>
  <si>
    <t>fffffffffffffffffffffffffffffffebaaedce6af48a03bbfd24c5d0622053c</t>
  </si>
  <si>
    <t>6ecabd2d22fdb737be21975ce9a694e108eb94f3649c586cc7461c8abf5da71a</t>
  </si>
  <si>
    <t>aa9a8c19d3626939f8f87d0c00c130d76a332fa99fda533bdf449a67407d11b6</t>
  </si>
  <si>
    <t>046ecabd2d22fdb737be21975ce9a694e108eb94f3649c586cc7461c8abf5da71aaa9a8c19d3626939f8f87d0c00c130d76a332fa99fda533bdf449a67407d11b6</t>
  </si>
  <si>
    <t>84765cde91c9683619e0e750f4814811b13ab778</t>
  </si>
  <si>
    <t>1D5PzK3eHjj5YxRenRGL7vxu1osU8wLU9x</t>
  </si>
  <si>
    <t>3Pv1J3RPFkdxbF38WduKTs7cTD34sYvWfA</t>
  </si>
  <si>
    <t>bc1q7q39hlrg5mshap7d3d0xpt3mux83yp6nkua7jr</t>
  </si>
  <si>
    <t>i80tezqys</t>
  </si>
  <si>
    <t>AAAAAAAAAAAAAAAAAAAAAAAAAAAAAAAAAAAAAAAAAAXMDA4I2VCA====</t>
  </si>
  <si>
    <t>AAAAAAAAAAAAAAAAAAAAAAAAAAAAAAAAAAAuwYOI1UQ</t>
  </si>
  <si>
    <t>fffffffffffffffffffffffffffffffebaaedce6af48a03bbfd22fcb4cad6bfd</t>
  </si>
  <si>
    <t>fd5487722d2576cb6d7081426b66a3e2986c1ce8358d479063fb5f2bb6dd5849</t>
  </si>
  <si>
    <t>a004626dffa0fb7b934118ea84bacc3b030332eee083010efa60025e4fde7297</t>
  </si>
  <si>
    <t>04fd5487722d2576cb6d7081426b66a3e2986c1ce8358d479063fb5f2bb6dd5849a004626dffa0fb7b934118ea84bacc3b030332eee083010efa60025e4fde7297</t>
  </si>
  <si>
    <t>1fde1922a5addf7132ba07bf268cc2c4a7366925</t>
  </si>
  <si>
    <t>13uW1bkbb8f8VMoWzCHmaZZC6prsZHsURL</t>
  </si>
  <si>
    <t>3Lu67qh4jfrXUkEqPKTHafTwiHmyNVMiGy</t>
  </si>
  <si>
    <t>bc1qngqjycxsr3g38hmxez5y8ryl0g0r6hdv55zuxh</t>
  </si>
  <si>
    <t>16f23r4uyi</t>
  </si>
  <si>
    <t>AAAAAAAAAAAAAAAAAAAAAAAAAAAAAAAAAAAAAAAAABWNMEFVHS5A====</t>
  </si>
  <si>
    <t>AAAAAAAAAAAAAAAAAAAAAAAAAAAAAAAAAABs1hC1PLo</t>
  </si>
  <si>
    <t>fffffffffffffffffffffffffffffffebaaedce6af48a03bbfd1f1b6bf810487</t>
  </si>
  <si>
    <t>3a12bd3caf0b0f77bf4eea8e7a40dbe27932bf80b19ac72f5f5a64925a594196</t>
  </si>
  <si>
    <t>c058e0f0f399f3c35b24b1de2374abe4355f932126eeb97919e73d5d2e56ce3a</t>
  </si>
  <si>
    <t>043a12bd3caf0b0f77bf4eea8e7a40dbe27932bf80b19ac72f5f5a64925a594196c058e0f0f399f3c35b24b1de2374abe4355f932126eeb97919e73d5d2e56ce3a</t>
  </si>
  <si>
    <t>fb54fdfa4759b0a61805f3bc544677cbb71645c0</t>
  </si>
  <si>
    <t>1PuvRWEk3U77CWLjBbYr12LY464KSxM4KB</t>
  </si>
  <si>
    <t>3NSygCzyDwKvZwwTM4Tm8jX4Mp3UYEbLFZ</t>
  </si>
  <si>
    <t>bc1qlq5qqh2pkr60a4xgmj3mqcq3quk0kp75rqt4k7</t>
  </si>
  <si>
    <t>1vrz9rx2u3</t>
  </si>
  <si>
    <t>AAAAAAAAAAAAAAAAAAAAAAAAAAAAAAAAAAAAAAAAACW6NV6OHONQ====</t>
  </si>
  <si>
    <t>AAAAAAAAAAAAAAAAAAAAAAAAAAAAAAAAAACt5tfOO5s</t>
  </si>
  <si>
    <t>fffffffffffffffffffffffffffffffebaaedce6af48a03bbfd1b0a5f86805a6</t>
  </si>
  <si>
    <t>91bee5cf4b14c291c650732faa166040e4c18a14731f9a930c1e87d3ec12debb</t>
  </si>
  <si>
    <t>5c9103bbf879a6d6544a5df287116caf287ac27c934508ea1a2f422fbc7b5156</t>
  </si>
  <si>
    <t>0491bee5cf4b14c291c650732faa166040e4c18a14731f9a930c1e87d3ec12debb5c9103bbf879a6d6544a5df287116caf287ac27c934508ea1a2f422fbc7b5156</t>
  </si>
  <si>
    <t>52171787f3a087a52949fde019f36f8b2c27e1f0</t>
  </si>
  <si>
    <t>18V45BiL5oMNynbxMtMxVQRFrvbpwEHbts</t>
  </si>
  <si>
    <t>3NGCbCMJmK9NuMvFL8KmU3kQxa1dKGCs1y</t>
  </si>
  <si>
    <t>bc1qsesuk4kemu9xruqn9z644al9dgl70g4jj5frql</t>
  </si>
  <si>
    <t>410qmox3d9</t>
  </si>
  <si>
    <t>AAAAAAAAAAAAAAAAAAAAAAAAAAAAAAAAAAAAAAAAAF2BO2YBL5GQ====</t>
  </si>
  <si>
    <t>AAAAAAAAAAAAAAAAAAAAAAAAAAAAAAAAAAF0F2sBX00</t>
  </si>
  <si>
    <t>fffffffffffffffffffffffffffffffebaaedce6af48a03bbfd0ea756534e1f4</t>
  </si>
  <si>
    <t>591d682c3da4a2a698633bf5751738b67c343285ebdc3492645cb44658911484</t>
  </si>
  <si>
    <t>baca0af074d601c29f5acd658d0cb8568a38f48f3d3c2de066805f3247cecbb4</t>
  </si>
  <si>
    <t>04591d682c3da4a2a698633bf5751738b67c343285ebdc3492645cb44658911484baca0af074d601c29f5acd658d0cb8568a38f48f3d3c2de066805f3247cecbb4</t>
  </si>
  <si>
    <t>b555667e8c99fb7da342a5c412638e1f6ae5f18d</t>
  </si>
  <si>
    <t>1HXocSh2faBTiw7PiLyDJhyrxeczrfDD52</t>
  </si>
  <si>
    <t>3L9TuJF2RTzkmAsKn97umgjpJuC7nj3X6t</t>
  </si>
  <si>
    <t>bc1qp5h4xwtxcetcuyg3j7x2dx8c4htlll0n3jdwxq</t>
  </si>
  <si>
    <t>60mq2g8kt0</t>
  </si>
  <si>
    <t>AAAAAAAAAAAAAAAAAAAAAAAAAAAAAAAAAAAAAAAAAIV5IPBOSNKA====</t>
  </si>
  <si>
    <t>AAAAAAAAAAAAAAAAAAAAAAAAAAAAAAAAAAIr1Dwuk1Q</t>
  </si>
  <si>
    <t>fffffffffffffffffffffffffffffffebaaedce6af48a03bbfd032b89407aded</t>
  </si>
  <si>
    <t>f46f41027bbf44fafd6b059091b900dad41e6845b2241dc3254c7cdd3c5a16c6</t>
  </si>
  <si>
    <t>eb3dfcc04c320b55c529291478550be6072977c0c86603fb2e4f5283631064fb</t>
  </si>
  <si>
    <t>04f46f41027bbf44fafd6b059091b900dad41e6845b2241dc3254c7cdd3c5a16c6eb3dfcc04c320b55c529291478550be6072977c0c86603fb2e4f5283631064fb</t>
  </si>
  <si>
    <t>1ff08a5c6da6105d15f43d84b3e40df38d53f4aa</t>
  </si>
  <si>
    <t>13ut6zXQDkLZTkpY7YSrbFz2LmnwZDNH3X</t>
  </si>
  <si>
    <t>38yUTn9Fnw2mA1ZzWBWpp3SPUCBSxuvzRU</t>
  </si>
  <si>
    <t>bc1qmcypkahcgrjx973vmumqzu7l4a9fw6j85xx3ug</t>
  </si>
  <si>
    <t>k9rtnpgvro</t>
  </si>
  <si>
    <t>AAAAAAAAAAAAAAAAAAAAAAAAAAAAAAAAAAAAAAAAA5IHBINABHKA====</t>
  </si>
  <si>
    <t>AAAAAAAAAAAAAAAAAAAAAAAAAAAAAAAAAAdQcKGgCdQ</t>
  </si>
  <si>
    <t>fffffffffffffffffffffffffffffffebaaedce6af48a03bbfcb0e1c2e96376d</t>
  </si>
  <si>
    <t>8c6c67bef9e9eebe6a513272e50c230f0f91ed560c37bc9b033241ff6c3be78f</t>
  </si>
  <si>
    <t>810ddadcaeae69d8aae00ec0760b089bc312134b87d14bbb69ffcdefa5b38bfc</t>
  </si>
  <si>
    <t>048c6c67bef9e9eebe6a513272e50c230f0f91ed560c37bc9b033241ff6c3be78f810ddadcaeae69d8aae00ec0760b089bc312134b87d14bbb69ffcdefa5b38bfc</t>
  </si>
  <si>
    <t>71b15d09e8aeb622fc708eda7948bdd7da16afcb</t>
  </si>
  <si>
    <t>1BN9q73RSvjWUod3nnE6v86kZ6UzJCMYpJ</t>
  </si>
  <si>
    <t>36HECEm96xGKQ8frNuuQs7S68fe1iQEhdf</t>
  </si>
  <si>
    <t>bc1qaajpnnla07khqfuegd2whrh6ug3u9kl8ud2uc2</t>
  </si>
  <si>
    <t>15imfct4kl8</t>
  </si>
  <si>
    <t>AAAAAAAAAAAAAAAAAAAAAAAAAAAAAAAAAAAAAAAAB35OCZGLTY6A====</t>
  </si>
  <si>
    <t>AAAAAAAAAAAAAAAAAAAAAAAAAAAAAAAAAA764WTLnjw</t>
  </si>
  <si>
    <t>fffffffffffffffffffffffffffffffebaaedce6af48a03bbfc363ab6b6aa305</t>
  </si>
  <si>
    <t>74c33bd548ef02667d61341892134fcf216640bc2201ae61928cd0874f6314a7</t>
  </si>
  <si>
    <t>d8b0b0699fb814528ef174a644b4fae2cc77dd91f167b19577b2c0d24b1e15ed</t>
  </si>
  <si>
    <t>0474c33bd548ef02667d61341892134fcf216640bc2201ae61928cd0874f6314a7d8b0b0699fb814528ef174a644b4fae2cc77dd91f167b19577b2c0d24b1e15ed</t>
  </si>
  <si>
    <t>e427ac06e11a6da13d0151411bfd785e6451db7d</t>
  </si>
  <si>
    <t>1MoNbCJQGXxSj3C6bhMsgh1pvmDzNHxU4i</t>
  </si>
  <si>
    <t>3KKjHMQz8MkRkEidvjoPk2Hh8sLvzEEyuB</t>
  </si>
  <si>
    <t>bc1qx6hkt8kma9z98a35f6fq69plzaux2wh8cd44ag</t>
  </si>
  <si>
    <t>1ulixirh10s</t>
  </si>
  <si>
    <t>AAAAAAAAAAAAAAAAAAAAAAAAAAAAAAAAAAAAAAAADADYRZD6GJWA====</t>
  </si>
  <si>
    <t>AAAAAAAAAAAAAAAAAAAAAAAAAAAAAAAAABgHiOR-Mmw</t>
  </si>
  <si>
    <t>fffffffffffffffffffffffffffffffebaaedce6af48a03bbfba5703ebb80ed5</t>
  </si>
  <si>
    <t>0faaf5f3afe58300a335874c80681cf66933e2a7aeb28387c0d28bb048bc6349</t>
  </si>
  <si>
    <t>65455ef6afc625e4aeef1229f052dfd9ab299b02aaa7e659c0e010a795e49e38</t>
  </si>
  <si>
    <t>040faaf5f3afe58300a335874c80681cf66933e2a7aeb28387c0d28bb048bc634965455ef6afc625e4aeef1229f052dfd9ab299b02aaa7e659c0e010a795e49e38</t>
  </si>
  <si>
    <t>0b5b54227f23ad235e04e0bfef3e19714079d6cc</t>
  </si>
  <si>
    <t>1233qjhAmJzZwcG6kLM7HtoiLLgU4kDat1</t>
  </si>
  <si>
    <t>3JRgxXQh2gZotCRu4VZQYLPP9C8AMd1DXD</t>
  </si>
  <si>
    <t>bc1q9ay8pm65lf9sfrqnvh2zt9xv057jd9230553p6</t>
  </si>
  <si>
    <t>2q7ndhbrqrn</t>
  </si>
  <si>
    <t>AAAAAAAAAAAAAAAAAAAAAAAAAAAAAAAAAAAAAAAAENX3NVNND5BQ====</t>
  </si>
  <si>
    <t>AAAAAAAAAAAAAAAAAAAAAAAAAAAAAAAAACNvttWtH0M</t>
  </si>
  <si>
    <t>fffffffffffffffffffffffffffffffebaaedce6af48a03bbfaeeed5fa8921fe</t>
  </si>
  <si>
    <t>4af4b81f8c450c2c870ce1df184aff1297e5fcd54944d98d81e1a545ffb22596</t>
  </si>
  <si>
    <t>005f8151d32bd6771ea637e2c8328097d49d2498c3ddd4c76a81f2bad58944cd</t>
  </si>
  <si>
    <t>044af4b81f8c450c2c870ce1df184aff1297e5fcd54944d98d81e1a545ffb22596005f8151d32bd6771ea637e2c8328097d49d2498c3ddd4c76a81f2bad58944cd</t>
  </si>
  <si>
    <t>c63c0291b0adfe4119509ba22d9f3a0e230485d2</t>
  </si>
  <si>
    <t>1K5AgZ4b9bYK8LbVjnNs8gcuE4RqP1SoK2</t>
  </si>
  <si>
    <t>33yUerVuD3mMNb2mMkiTk6Q2mDJdqyq3jC</t>
  </si>
  <si>
    <t>bc1qedn8v08hlhn9np56ulcx3pxe5ru8ngyjm2d4nu</t>
  </si>
  <si>
    <t>87u79udv578</t>
  </si>
  <si>
    <t>AAAAAAAAAAAAAAAAAAAAAAAAAAAAAAAAAAAAAAAANK7B7G3H4EKA====</t>
  </si>
  <si>
    <t>AAAAAAAAAAAAAAAAAAAAAAAAAAAAAAAAAGq-H5tn4RQ</t>
  </si>
  <si>
    <t>fffffffffffffffffffffffffffffffebaaedce6af48a03bbf67a06d34ce602d</t>
  </si>
  <si>
    <t>85a30d8413af4f8f9e6312400f2d194fe14f02e719b24c3f83bf1fd233a8f963</t>
  </si>
  <si>
    <t>0eb400323654cec63999b56f4ba44e8b21ab92d9d697fabe4666df3678585669</t>
  </si>
  <si>
    <t>0485a30d8413af4f8f9e6312400f2d194fe14f02e719b24c3f83bf1fd233a8f9630eb400323654cec63999b56f4ba44e8b21ab92d9d697fabe4666df3678585669</t>
  </si>
  <si>
    <t>7173ff0473b9af6be635f103368f80c6be1e56d7</t>
  </si>
  <si>
    <t>1BLtKERadFYF3nCtTTGQht9dyGhK7U4zij</t>
  </si>
  <si>
    <t>36VkVhMCtGoBcSvN9YnB7WQvQShPGbRzcj</t>
  </si>
  <si>
    <t>bc1qmdfanw737w5rkz2wajnam9ctmpd5jtazrrryrs</t>
  </si>
  <si>
    <t>c3e8hruyspr</t>
  </si>
  <si>
    <t>AAAAAAAAAAAAAAAAAAAAAAAAAAAAAAAAAAAAAAAATUMLMOWE77PQ====</t>
  </si>
  <si>
    <t>AAAAAAAAAAAAAAAAAAAAAAAAAAAAAAAAAJ0YtjrE_98</t>
  </si>
  <si>
    <t>fffffffffffffffffffffffffffffffebaaedce6af48a03bbf3545d695714162</t>
  </si>
  <si>
    <t>3f2db2074e3217b3e5ee305301eeebb1160c4fa1e993ee280112f6348637999a</t>
  </si>
  <si>
    <t>e00baccca7595a1af869923463f7f5928452d888fbeb495f827bc28f829ab38f</t>
  </si>
  <si>
    <t>043f2db2074e3217b3e5ee305301eeebb1160c4fa1e993ee280112f6348637999ae00baccca7595a1af869923463f7f5928452d888fbeb495f827bc28f829ab38f</t>
  </si>
  <si>
    <t>62979380433e7809c727a2539a38b9ea26618620</t>
  </si>
  <si>
    <t>19zJoVowy4L7xKSqrx5xKx2QR6MxdWFvNA</t>
  </si>
  <si>
    <t>3BrqM2SJi8hAiX9bhTQR6C3PxeWVNf2nn6</t>
  </si>
  <si>
    <t>bc1qfqs5cktf46058a6swr82rcktg82mmnxdlkvyep</t>
  </si>
  <si>
    <t>11t814vzsqvw</t>
  </si>
  <si>
    <t>AAAAAAAAAAAAAAAAAAAAAAAAAAAAAAAAAAAAAAAB5MS4SB4V2YOA====</t>
  </si>
  <si>
    <t>AAAAAAAAAAAAAAAAAAAAAAAAAAAAAAAAAeslyQeV1hw</t>
  </si>
  <si>
    <t>fffffffffffffffffffffffffffffffebaaedce6af48a03bbde738c3c8a06b25</t>
  </si>
  <si>
    <t>a521a07e98f78b03fc1e039bc3a51408cd73119b5eb116e583fe57dc8db07aea</t>
  </si>
  <si>
    <t>6fb15c871dd7cf7d287390acd4e09d41f705081a98d5fe3a930ca032525dbcdc</t>
  </si>
  <si>
    <t>04a521a07e98f78b03fc1e039bc3a51408cd73119b5eb116e583fe57dc8db07aea6fb15c871dd7cf7d287390acd4e09d41f705081a98d5fe3a930ca032525dbcdc</t>
  </si>
  <si>
    <t>ee9daf39b09cfcd562501ab0e00ca15004aa2997</t>
  </si>
  <si>
    <t>1NkgimNMbkP8wSk2vs9e3MmnXh4sRjqdxa</t>
  </si>
  <si>
    <t>399TwfjthzcpELuKRTxqhyoFJ7xxQyY2x3</t>
  </si>
  <si>
    <t>bc1qx2rxpm6r7e4tufjnlgtcg549mlzefs4p4753r5</t>
  </si>
  <si>
    <t>1ip1t90kjyn5</t>
  </si>
  <si>
    <t>AAAAAAAAAAAAAAAAAAAAAAAAAAAAAAAAAAAAAAACYZ23QUQYTIQQ====</t>
  </si>
  <si>
    <t>AAAAAAAAAAAAAAAAAAAAAAAAAAAAAAAAAsZ1uFIYmiE</t>
  </si>
  <si>
    <t>fffffffffffffffffffffffffffffffebaaedce6af48a03bbd0be8d47e1da720</t>
  </si>
  <si>
    <t>11569442e870326ceec0de24eb5478c19e146ecd9d15e4666440f2f638875f42</t>
  </si>
  <si>
    <t>524c08d882f868347f8b69d3330dc1913a159d8fb2b27864f197693a0eb39a23</t>
  </si>
  <si>
    <t>0411569442e870326ceec0de24eb5478c19e146ecd9d15e4666440f2f638875f42524c08d882f868347f8b69d3330dc1913a159d8fb2b27864f197693a0eb39a23</t>
  </si>
  <si>
    <t>feb2d32ebaa5ecb3e96c712f6fe85d5c6142ea79</t>
  </si>
  <si>
    <t>1QDirhYUSiwePD5u2U3cFVkuKA6atDm4ax</t>
  </si>
  <si>
    <t>3F2Vd3jJ4wQdrXWN1UNU1d3P761ZeF98oi</t>
  </si>
  <si>
    <t>bc1q3s4xqu0cnjgvfk444v546aef6x65afs0wt3lg5</t>
  </si>
  <si>
    <t>3zm1x0j3sndb</t>
  </si>
  <si>
    <t>AAAAAAAAAAAAAAAAAAAAAAAAAAAAAAAAAAAAAAAHJFWLXB6KWRHQ====</t>
  </si>
  <si>
    <t>AAAAAAAAAAAAAAAAAAAAAAAAAAAAAAAAB0lsu4fKtE8</t>
  </si>
  <si>
    <t>fffffffffffffffffffffffffffffffebaaedce6af48a03bb888f1d1486b8cf2</t>
  </si>
  <si>
    <t>41267d2d7ee1a8e76f8d1546d0d30aefb2892d231cee0dde7776daf9f8021485</t>
  </si>
  <si>
    <t>0cf8b796676a624addecf7aaa9151eb7aafee708d2b1762adfc0bf2974836ebc</t>
  </si>
  <si>
    <t>0441267d2d7ee1a8e76f8d1546d0d30aefb2892d231cee0dde7776daf9f80214850cf8b796676a624addecf7aaa9151eb7aafee708d2b1762adfc0bf2974836ebc</t>
  </si>
  <si>
    <t>24cef1acf7bf7a9b2835dbfbc65edec37838ba23</t>
  </si>
  <si>
    <t>14MdEdZBCVSmDJZHFcGeq4sjvjV1dkzsKa</t>
  </si>
  <si>
    <t>39tpym94ex4zKnb6gZebRZ9ZQYXxMphEyj</t>
  </si>
  <si>
    <t>bc1qk98dx9r0tvkfhhshq002a8hn8tupzqssm4xmw2</t>
  </si>
  <si>
    <t>8mg2ktuth5mm</t>
  </si>
  <si>
    <t>AAAAAAAAAAAAAAAAAAAAAAAAAAAAAAAAAAAAAAAPYB5BQJJWPO7A====</t>
  </si>
  <si>
    <t>AAAAAAAAAAAAAAAAAAAAAAAAAAAAAAAAD8B6GCU2e74</t>
  </si>
  <si>
    <t>fffffffffffffffffffffffffffffffebaaedce6af48a03bb011e474aaffc583</t>
  </si>
  <si>
    <t>48e843dc5b1bd246e6309b4924b81543d02b16c8083df973a89ce2c7eb89a10d</t>
  </si>
  <si>
    <t>d094fcabf8995e2a25c73298a9f7419720db622daff89c67fd5535f6ac29720f</t>
  </si>
  <si>
    <t>0448e843dc5b1bd246e6309b4924b81543d02b16c8083df973a89ce2c7eb89a10dd094fcabf8995e2a25c73298a9f7419720db622daff89c67fd5535f6ac29720f</t>
  </si>
  <si>
    <t>bc2d8a27f753158e3c515abd50b04e9f8dd82fbd</t>
  </si>
  <si>
    <t>1J9zbDXhsiyeq7iY81XvfhD8czRn8tEHR2</t>
  </si>
  <si>
    <t>3QTzUtMEFd9gxcxyYRR2keJMmGrsrck6S4</t>
  </si>
  <si>
    <t>bc1qehuwt36s82wjyepw8m8us7qhvunc0ww95zdj5r</t>
  </si>
  <si>
    <t>atyvi2qbpekm</t>
  </si>
  <si>
    <t>AAAAAAAAAAAAAAAAAAAAAAAAAAAAAAAAAAAAAAATZFVDOQXWJEDA====</t>
  </si>
  <si>
    <t>AAAAAAAAAAAAAAAAAAAAAAAAAAAAAAAAE8lqN0L2SQY</t>
  </si>
  <si>
    <t>fffffffffffffffffffffffffffffffebaaedce6af48a03bac08f4558d3ff83b</t>
  </si>
  <si>
    <t>49a43860d115143c35c09454863d6f82a95e47c1162fb9b2ebe0186eb26f453f</t>
  </si>
  <si>
    <t>d3a2cb3be02da3fe0286ef4a5fe755045bcc2067424e33243e0506c1ce631e5c</t>
  </si>
  <si>
    <t>0449a43860d115143c35c09454863d6f82a95e47c1162fb9b2ebe0186eb26f453fd3a2cb3be02da3fe0286ef4a5fe755045bcc2067424e33243e0506c1ce631e5c</t>
  </si>
  <si>
    <t>2691ac563cf163024ebcb5718377964f589e0321</t>
  </si>
  <si>
    <t>14WwBqjmvP2JXa6x7dY8o2cqT13XUSTzAv</t>
  </si>
  <si>
    <t>3PPjUS74yCTogw1j9yR85WQxAdLhBziRbr</t>
  </si>
  <si>
    <t>bc1qdqfnuxdjm7usxnklnqc2yqx0muuvjr9adf9kjm</t>
  </si>
  <si>
    <t>tozefr4cifou</t>
  </si>
  <si>
    <t>AAAAAAAAAAAAAAAAAAAAAAAAAAAAAAAAAAAAAABWHVKB5NQRVPXA====</t>
  </si>
  <si>
    <t>AAAAAAAAAAAAAAAAAAAAAAAAAAAAAAAANj1UHrYRq-4</t>
  </si>
  <si>
    <t>fffffffffffffffffffffffffffffffebaaedce6af48a03b89950a6e1a249553</t>
  </si>
  <si>
    <t>231a67e424caf7d01a00d5cd49b0464942255b8e48766f96602bdfa4ea14fea8</t>
  </si>
  <si>
    <t>3d3011be9c3eac0a86a1d3a6a1fa7f5d97a48329985209ebf0eb0152f4d362c5</t>
  </si>
  <si>
    <t>04231a67e424caf7d01a00d5cd49b0464942255b8e48766f96602bdfa4ea14fea83d3011be9c3eac0a86a1d3a6a1fa7f5d97a48329985209ebf0eb0152f4d362c5</t>
  </si>
  <si>
    <t>96bedc9b0c0806060d9f5bd7f1719795b3346072</t>
  </si>
  <si>
    <t>1Ek515gpTXGFvMTpVRiV37mzhgSGofqVNT</t>
  </si>
  <si>
    <t>37bFugjY4RMc9SbRdS1Bxx4yEwiUZEox2Q</t>
  </si>
  <si>
    <t>bc1qufnydkuykpsz7v4nfddx9j3u4c0erdmen2j6ga</t>
  </si>
  <si>
    <t>1wbqxybq6jdag</t>
  </si>
  <si>
    <t>AAAAAAAAAAAAAAAAAAAAAAAAAAAAAAAAAAAAAAD4ZZPP3LGPNAEA====</t>
  </si>
  <si>
    <t>AAAAAAAAAAAAAAAAAAAAAAAAAAAAAAAAfM5e_azPaAg</t>
  </si>
  <si>
    <t>fffffffffffffffffffffffffffffffebaaedce6af48a03b4303ff8f2366d939</t>
  </si>
  <si>
    <t>65ec2994b8cc0a20d40dd69edfe55ca32a54bcbbaa6b0ddcff36049301a54579</t>
  </si>
  <si>
    <t>5a1b76ab01e9edd0de24157ceff77bcb0f615560b250b365a5d435873eaa4625</t>
  </si>
  <si>
    <t>0465ec2994b8cc0a20d40dd69edfe55ca32a54bcbbaa6b0ddcff36049301a545795a1b76ab01e9edd0de24157ceff77bcb0f615560b250b365a5d435873eaa4625</t>
  </si>
  <si>
    <t>bf7c262e71dada34929bccdf27a93a77acecd93c</t>
  </si>
  <si>
    <t>1JTUng4hGuPqbbjbkuoyS6BnEXKii6aXV7</t>
  </si>
  <si>
    <t>32PW77tkNfz81w7iKkyYHqoBe2qZA5eTwh</t>
  </si>
  <si>
    <t>bc1qaav2ld5hkz2yy08fquslhvv6xk0003gweluqmg</t>
  </si>
  <si>
    <t>3r8enh6jhx4no</t>
  </si>
  <si>
    <t>AAAAAAAAAAAAAAAAAAAAAAAAAAAAAAAAAAAAAAHXAUPSPMERCLKA====</t>
  </si>
  <si>
    <t>AAAAAAAAAAAAAAAAAAAAAAAAAAAAAAAA9wUfJ7CREtQ</t>
  </si>
  <si>
    <t>fffffffffffffffffffffffffffffffebaaedce6af48a03ac8cd3f651fa52e6d</t>
  </si>
  <si>
    <t>100611c54dfef604163b8358f7b7fac13ce478e02cb224ae16d45526b25d9d4d</t>
  </si>
  <si>
    <t>5127c2d0b1c4a4d5b4996bbdf37633b86901d0303b61e2f6f0772282ae08ff95</t>
  </si>
  <si>
    <t>04100611c54dfef604163b8358f7b7fac13ce478e02cb224ae16d45526b25d9d4d5127c2d0b1c4a4d5b4996bbdf37633b86901d0303b61e2f6f0772282ae08ff95</t>
  </si>
  <si>
    <t>239b55caa5381955eecb0d089a9e8d28bff072df</t>
  </si>
  <si>
    <t>14FGjb5rGFRqyQ5mH9fijFkoB57Pzh8fB6</t>
  </si>
  <si>
    <t>384DBhzwx6ch6oiRT9S8TJByq9vA6AZ2zQ</t>
  </si>
  <si>
    <t>bc1q8mjpx0veraf0ma4ztjvrfcr5ttr5yj9yvgkf7q</t>
  </si>
  <si>
    <t>6g8she8g1j04n</t>
  </si>
  <si>
    <t>AAAAAAAAAAAAAAAAAAAAAAAAAAAAAAAAAAAAAANIHCYTKBNSNBTQ====</t>
  </si>
  <si>
    <t>AAAAAAAAAAAAAAAAAAAAAAAAAAAAAAABqDixNQWyaGc</t>
  </si>
  <si>
    <t>fffffffffffffffffffffffffffffffebaaedce6af48a03a1799ad57ca83d8da</t>
  </si>
  <si>
    <t>30210c23b1a047bc9bdbb13448e67deddc108946de6de639bcc75d47c0216b1b</t>
  </si>
  <si>
    <t>e383c4a8ed4fac77c0d2ad737d8499a362f483f8fe39d1e86aaed578a9455dfc</t>
  </si>
  <si>
    <t>0430210c23b1a047bc9bdbb13448e67deddc108946de6de639bcc75d47c0216b1be383c4a8ed4fac77c0d2ad737d8499a362f483f8fe39d1e86aaed578a9455dfc</t>
  </si>
  <si>
    <t>fa6b600ec240c78aed2222e29a59e0d4cab161a1</t>
  </si>
  <si>
    <t>1Pq6ZX74n7KvWpHtLX19rLnE37iMA4FTWC</t>
  </si>
  <si>
    <t>32xNiwhBsssQikVNaRPzxpp4UZKc7F789h</t>
  </si>
  <si>
    <t>bc1q2tnk8f7acx4yl2q327xyj8qmcl74wqfhz3w3zh</t>
  </si>
  <si>
    <t>9s47ez2tbt9ta</t>
  </si>
  <si>
    <t>AAAAAAAAAAAAAAAAAAAAAAAAAAAAAAAAAAAAAAUDF3LU6K26GXXA====</t>
  </si>
  <si>
    <t>AAAAAAAAAAAAAAAAAAAAAAAAAAAAAAACgy7XTyteNe4</t>
  </si>
  <si>
    <t>fffffffffffffffffffffffffffffffebaaedce6af48a0393ca3873da4d80b53</t>
  </si>
  <si>
    <t>4ee2be2d4e9f92d2f5a4a03058617dc45befe22938feed5b7a6b7282dd74cbdd</t>
  </si>
  <si>
    <t>7b4c61e962f21c90418e516459c297472a3d1902259b9babf4cf8e72e2eb2238</t>
  </si>
  <si>
    <t>044ee2be2d4e9f92d2f5a4a03058617dc45befe22938feed5b7a6b7282dd74cbdd7b4c61e962f21c90418e516459c297472a3d1902259b9babf4cf8e72e2eb2238</t>
  </si>
  <si>
    <t>175d00714140f7e5a3e84588ee49094653da6a6e</t>
  </si>
  <si>
    <t>138XxHZGcKM6WyWuYCijLsoCd8K3x4WYjs</t>
  </si>
  <si>
    <t>3PdQoXyQwWmerpt3SbF7Hbh3aukC5w28GP</t>
  </si>
  <si>
    <t>bc1qyr2956nky56hqr8fuzepdccejse4mw994lyftn</t>
  </si>
  <si>
    <t>rzv5dv8b0eoxa</t>
  </si>
  <si>
    <t>AAAAAAAAAAAAAAAAAAAAAAAAAAAAAAAAAAAAABZQ7QRVYGKCYGXA====</t>
  </si>
  <si>
    <t>AAAAAAAAAAAAAAAAAAAAAAAAAAAAAAAHMPwjXBlCwa4</t>
  </si>
  <si>
    <t>fffffffffffffffffffffffffffffffebaaedce6af48a0348ed63b30b6f37f93</t>
  </si>
  <si>
    <t>12209f5ec514a1580a2937bd833979d933199fc230e204c6cdc58872b7d46f75</t>
  </si>
  <si>
    <t>f0473484a9d3f348a15f196fa805e0cd4c87d668f10f0b0a29835c50ba6826f2</t>
  </si>
  <si>
    <t>0412209f5ec514a1580a2937bd833979d933199fc230e204c6cdc58872b7d46f75f0473484a9d3f348a15f196fa805e0cd4c87d668f10f0b0a29835c50ba6826f2</t>
  </si>
  <si>
    <t>d14dc3d28e3f4570617f7658e098e99603c1c838</t>
  </si>
  <si>
    <t>1L5hPJ6Ty3HJJCySZbLWZrjvNbZkYmLSjp</t>
  </si>
  <si>
    <t>3H1HAvNW4qSX5jgPvrJFLaJdY2asa8U8N1</t>
  </si>
  <si>
    <t>bc1qww2r0wea6mges0nxv2w97zx8pef8dym3x2g8t3</t>
  </si>
  <si>
    <t>1aeomdpj3swgpd</t>
  </si>
  <si>
    <t>AAAAAAAAAAAAAAAAAAAAAAAAAAAAAAAAAAAAAC7LWOKAZUH4CSIQ====</t>
  </si>
  <si>
    <t>AAAAAAAAAAAAAAAAAAAAAAAAAAAAAAAL67OUDND8FJE</t>
  </si>
  <si>
    <t>fffffffffffffffffffffffffffffffebaaedce6af48a02fd41eca7fff3a2cb0</t>
  </si>
  <si>
    <t>1fe02f1d740637a7127cdfe8a77a8a0cfc6435f85e7ec3282cb6243c0a93ba1b</t>
  </si>
  <si>
    <t>0f939fb5729f35b2f7464cfacd80481da04c1cc35e3f2769aec334f41766836b</t>
  </si>
  <si>
    <t>041fe02f1d740637a7127cdfe8a77a8a0cfc6435f85e7ec3282cb6243c0a93ba1b0f939fb5729f35b2f7464cfacd80481da04c1cc35e3f2769aec334f41766836b</t>
  </si>
  <si>
    <t>a49cfc388a84d9887d91c0e4aca9fa682facdcd6</t>
  </si>
  <si>
    <t>1G1PszAzdLZWgGNG79pijNrt6BuK5HsVo8</t>
  </si>
  <si>
    <t>3LL6jvJGDmBF7wN24AsjqNQQHjuKYvakiA</t>
  </si>
  <si>
    <t>bc1quzu29whwrdmlcup52hee6528w3gler8u2ha9xa</t>
  </si>
  <si>
    <t>1qqjvok0qf8zrg</t>
  </si>
  <si>
    <t>AAAAAAAAAAAAAAAAAAAAAAAAAAAAAAAAAAAAAEA5QMTV7MV4PYGA====</t>
  </si>
  <si>
    <t>AAAAAAAAAAAAAAAAAAAAAAAAAAAAAAAQHYMnX7K8fgw</t>
  </si>
  <si>
    <t>fffffffffffffffffffffffffffffffebaaedce6af48a02ba24f372d1d79c335</t>
  </si>
  <si>
    <t>4babadccc6cfd5f0e5e7fd2a50aa7d677ce0aa16fdce26a0d0882eed03e7ba53</t>
  </si>
  <si>
    <t>d2cadbc2264032203cec6a0d89859e3d0880b39649fc81654aa4e077fb4d0f3e</t>
  </si>
  <si>
    <t>044babadccc6cfd5f0e5e7fd2a50aa7d677ce0aa16fdce26a0d0882eed03e7ba53d2cadbc2264032203cec6a0d89859e3d0880b39649fc81654aa4e077fb4d0f3e</t>
  </si>
  <si>
    <t>4186a6d6a7e15c3fda656bfe71a58eee86d065cd</t>
  </si>
  <si>
    <t>16yUEEaCRxmxmdco2aXrCXyb1DP5gCpuK5</t>
  </si>
  <si>
    <t>3KSpqEJLTZFFP6PujW7mrumaMZfw2R4nXb</t>
  </si>
  <si>
    <t>bc1qv84c55xgdvzcfwmj0ht9hmvdysqdd4d2rgq4u9</t>
  </si>
  <si>
    <t>5osxb10wgu32sx</t>
  </si>
  <si>
    <t>AAAAAAAAAAAAAAAAAAAAAAAAAAAAAAAAAAAAANE3QS3EGGTMJ3YQ====</t>
  </si>
  <si>
    <t>AAAAAAAAAAAAAAAAAAAAAAAAAAAAAAA0m4S2QxpsTvE</t>
  </si>
  <si>
    <t>fffffffffffffffffffffffffffffffebaaedce6af48a007244da849b5c9f250</t>
  </si>
  <si>
    <t>90e6900a58d33393bc1097b5aed31f2e4e7cbd3e5466af958665bc0121248483</t>
  </si>
  <si>
    <t>d7319f127105f492fd15e009b103b4a83295722f28f07c95f9a5443ef8e77ce0</t>
  </si>
  <si>
    <t>0490e6900a58d33393bc1097b5aed31f2e4e7cbd3e5466af958665bc0121248483d7319f127105f492fd15e009b103b4a83295722f28f07c95f9a5443ef8e77ce0</t>
  </si>
  <si>
    <t>740bfe04d8b2628633d74150f46b691925345ee7</t>
  </si>
  <si>
    <t>1BabkVNssmWVsts6fA1JRDrXdXjt8hDZmQ</t>
  </si>
  <si>
    <t>37kv1kaxv3dViRBvpQL1zNyw91oud43RNA</t>
  </si>
  <si>
    <t>bc1qtkuvmff6dgqzmvgrvkt86lu96x0pwxcshnzgl7</t>
  </si>
  <si>
    <t>3o4jm3fdqrseyh3</t>
  </si>
  <si>
    <t>AAAAAAAAAAAAAAAAAAAAAAAAAAAAAAAAAAAAJROOCFDINIJTNYDQ====</t>
  </si>
  <si>
    <t>AAAAAAAAAAAAAAAAAAAAAAAAAAAAAATFzhFGhqEzbgc</t>
  </si>
  <si>
    <t>fffffffffffffffffffffffffffffffebaaedce6af489b75f1c118062f02d33a</t>
  </si>
  <si>
    <t>726b574f193e374686d8e12bc6e4142adeb06770e0a2856f5e4ad89f66044755</t>
  </si>
  <si>
    <t>9b15322e6707090a4db3f09c7e6632a26db57f03eb07b40979fc01c827e1b0a3</t>
  </si>
  <si>
    <t>04726b574f193e374686d8e12bc6e4142adeb06770e0a2856f5e4ad89f660447559b15322e6707090a4db3f09c7e6632a26db57f03eb07b40979fc01c827e1b0a3</t>
  </si>
  <si>
    <t>7caa08d41987f6459dcfe5e6bba27cbb4f8c0a66</t>
  </si>
  <si>
    <t>1CNAUzS3Uszugzr9gk6Mjs8LbKTqmGZ1qp</t>
  </si>
  <si>
    <t>3Fk1JLoSHfkS1rxfmipZwMHrorSQDKE1Kr</t>
  </si>
  <si>
    <t>bc1qht0ckrf59z0x08kxt3kxr5afws6nhew0he4zd8</t>
  </si>
  <si>
    <t>500vqwtkddtbwo74</t>
  </si>
  <si>
    <t>AAAAAAAAAAAAAAAAAAAAAAAAAAAAAAAAAAAOUGS4M3OMCG222GAA====</t>
  </si>
  <si>
    <t>AAAAAAAAAAAAAAAAAAAAAAAAAAAAAOoaXGbcwRta0YA</t>
  </si>
  <si>
    <t>fffffffffffffffffffffffffffffffebaaedce6af47b621636b81cbb4db6fc1</t>
  </si>
  <si>
    <t>7e1238f7b1ce757df94faa9a2eb261bf0aeb9f84dbf81212104e78931c2a19dc</t>
  </si>
  <si>
    <t>625c7118f1c29cb92d28ce0dfd0dc58144fe5572effebc7fee54c4fce3333a6b</t>
  </si>
  <si>
    <t>047e1238f7b1ce757df94faa9a2eb261bf0aeb9f84dbf81212104e78931c2a19dc625c7118f1c29cb92d28ce0dfd0dc58144fe5572effebc7fee54c4fce3333a6b</t>
  </si>
  <si>
    <t>07deb99c7063547a0fac8fe834c6266dcd3e270f</t>
  </si>
  <si>
    <t>1icYYucHo7gwYZF4QQj8cqQWPPNEAFpPT</t>
  </si>
  <si>
    <t>34nBcZ5kAvehWALi2Pex4RP4u86SvzVic7</t>
  </si>
  <si>
    <t>bc1qdlj6xmh0q6z27zu37wmvljtj66xy7matg9u4wv</t>
  </si>
  <si>
    <t>2nedlnt1clm8fq208</t>
  </si>
  <si>
    <t>AAAAAAAAAAAAAAAAAAAAAAAAAAAAAAAAAAIXEDCPAGGVDOGOXOUA====</t>
  </si>
  <si>
    <t>AAAAAAAAAAAAAAAAAAAAAAAAAAAAEXIMTwGNUbjOu6g</t>
  </si>
  <si>
    <t>fffffffffffffffffffffffffffffffebaaedce6af372e2f70d0d13b17678599</t>
  </si>
  <si>
    <t>29c4574a4fd8c810b7e42a4b398882b381bcd85e40c6883712912d167c83e73a</t>
  </si>
  <si>
    <t>0e02c3afd79913ab0961c95f12498f36a72ffa35c93af27cee30010fa6b51c53</t>
  </si>
  <si>
    <t>0429c4574a4fd8c810b7e42a4b398882b381bcd85e40c6883712912d167c83e73a0e02c3afd79913ab0961c95f12498f36a72ffa35c93af27cee30010fa6b51c53</t>
  </si>
  <si>
    <t>1d74ac9fcd7f39fa42aa34a6030cbe98cf36d463</t>
  </si>
  <si>
    <t>13gkNEiaJDacPdk98TKwkb1EB3YiJEKXUn</t>
  </si>
  <si>
    <t>3Gpjkz57rGdY9enVZ74Q32QhveGscGyHQi</t>
  </si>
  <si>
    <t>bc1qe5pure3x3n5m383u8m4t3583km5v4s5p53p3g7</t>
  </si>
  <si>
    <t>312cdfcj4bw7hwz7pb</t>
  </si>
  <si>
    <t>AAAAAAAAAAAAAAAAAAAAAAAAAAAAAAAAALHABOZBG2SELRY6QW7Q====</t>
  </si>
  <si>
    <t>AAAAAAAAAAAAAAAAAAAAAAAAAAACzgC7ITakRccehb8</t>
  </si>
  <si>
    <t>fffffffffffffffffffffffffffffffebaaedce6ac7a9f809e9bba470917bb82</t>
  </si>
  <si>
    <t>5c38bd9ae4b10e8a250857006f3cfd98ab15a6196d9f4dfd25bc7ecc77d788d5</t>
  </si>
  <si>
    <t>a84963ebff4abefe121a0d3c6bf9203faaef25898cda62686efbf64d1c6fb433</t>
  </si>
  <si>
    <t>045c38bd9ae4b10e8a250857006f3cfd98ab15a6196d9f4dfd25bc7ecc77d788d5a84963ebff4abefe121a0d3c6bf9203faaef25898cda62686efbf64d1c6fb433</t>
  </si>
  <si>
    <t>f75f9096c073cdadef6614bb8ee1eafc785ba469</t>
  </si>
  <si>
    <t>1PYzPLmbmNzxuXQPGZVnUDPmYcG6kraAon</t>
  </si>
  <si>
    <t>3FTRCQcyhUvxX6nVsN6NEJ1MVmrAP9imJz</t>
  </si>
  <si>
    <t>bc1q6p4kugrxjy54as690qkhagrgd95ase6tzs40qu</t>
  </si>
  <si>
    <t>2h3avrda50c3x43zq44</t>
  </si>
  <si>
    <t>AAAAAAAAAAAAAAAAAAAAAAAAAAAAAAAAKJ5HSKYYHR7WJIHIWH2A====</t>
  </si>
  <si>
    <t>AAAAAAAAAAAAAAAAAAAAAAAAAABSenkrGDx_ZKDosfQ</t>
  </si>
  <si>
    <t>fffffffffffffffffffffffffffffffebaaedce65cce2710a795df282f4d8f4d</t>
  </si>
  <si>
    <t>967a5905d6f3b420959a02789f96ab4c3223a2c4d2762f817b7895c5bc88a045</t>
  </si>
  <si>
    <t>9da9709f8e830ba5cea1d0426a261f0b9b5dda057478d8e6009ad7c4a8af6916</t>
  </si>
  <si>
    <t>04967a5905d6f3b420959a02789f96ab4c3223a2c4d2762f817b7895c5bc88a0459da9709f8e830ba5cea1d0426a261f0b9b5dda057478d8e6009ad7c4a8af6916</t>
  </si>
  <si>
    <t>7054bded1da3971c0b2c2265184626419b596568</t>
  </si>
  <si>
    <t>1BExCTQxPpPsAELSzC1ADSmeEfH7u2GiLy</t>
  </si>
  <si>
    <t>3AYPiyqG8NMfpWADRnmUc3GSopCMym4nVS</t>
  </si>
  <si>
    <t>bc1qtmvzyyjnv5n5ycser54h06ydgdka2mvgesjppv</t>
  </si>
  <si>
    <t>2c6bd9v5mt1wk1nmdjxi</t>
  </si>
  <si>
    <t>AAAAAAAAAAAAAAAAAAAAAAAAAAAAAAAK6VP4LHBTLSHMM7WSJATA====</t>
  </si>
  <si>
    <t>AAAAAAAAAAAAAAAAAAAAAAAAAAr1X8WcM1yOxn7SSCY</t>
  </si>
  <si>
    <t>fffffffffffffffffffffffffffffffebaaedcdbb9e8da9f8c75cfc65163f91b</t>
  </si>
  <si>
    <t>d2063d40402f030d4cc71331468827aa41a8a09bd6fd801ba77fb64f8e67e617</t>
  </si>
  <si>
    <t>875561c0bd6298fbf187053d33ffde9672edf2830e2cb961582431369fd53765</t>
  </si>
  <si>
    <t>04d2063d40402f030d4cc71331468827aa41a8a09bd6fd801ba77fb64f8e67e617875561c0bd6298fbf187053d33ffde9672edf2830e2cb961582431369fd53765</t>
  </si>
  <si>
    <t>77bdb270f5920e0fb0784755bbfdbbc06d00c5fc</t>
  </si>
  <si>
    <t>1Bv8fD7w52gWTRpnAMTLPvMrsfpX6bySpe</t>
  </si>
  <si>
    <t>3MNQpuLfu4g1wJF49bLtN1ZW34ttKmbon6</t>
  </si>
  <si>
    <t>bc1qc7nmy0mtmx9c4t6j004hynw6j3str0rwjln3n4</t>
  </si>
  <si>
    <t>26bnysdcv4etkl3l54i5v</t>
  </si>
  <si>
    <t>AAAAAAAAAAAAAAAAAAAAAAAAAAAAAALPCT6CAVGNQ7XGHFVTHXZQ====</t>
  </si>
  <si>
    <t>AAAAAAAAAAAAAAAAAAAAAAAAAW8U_CBUzYfuY5azPfM</t>
  </si>
  <si>
    <t>fffffffffffffffffffffffffffffffebaaedb779a4c7fe6f24a70293983034e</t>
  </si>
  <si>
    <t>bcf7ce887ffca5e62c9cabbdb7ffa71dc183c52c04ff4ee5ee82e0c55c39d77b</t>
  </si>
  <si>
    <t>0506c02f3b5c15c12deb94ba16d02bd9710eeaf3b25adf89cc5012ed9c44c31f</t>
  </si>
  <si>
    <t>04bcf7ce887ffca5e62c9cabbdb7ffa71dc183c52c04ff4ee5ee82e0c55c39d77b0506c02f3b5c15c12deb94ba16d02bd9710eeaf3b25adf89cc5012ed9c44c31f</t>
  </si>
  <si>
    <t>bc4431bca7d78dfe746897f738b81505b3280dc4</t>
  </si>
  <si>
    <t>1JATjHbShdvgkvGHyoRv1vTnEeiibqMVnj</t>
  </si>
  <si>
    <t>3BLvvyzx6fykHv11CsqBLc8BptHk9XjPwE</t>
  </si>
  <si>
    <t>bc1q0j2hmdha6penhwpmcmtdw3m3zf3m559sus3vnu</t>
  </si>
  <si>
    <t>29k53s0ok75d0ina95885g</t>
  </si>
  <si>
    <t>AAAAAAAAAAAAAAAAAAAAAAAAAAAAANOA24RU3566WDZAZ5YGERCA====</t>
  </si>
  <si>
    <t>AAAAAAAAAAAAAAAAAAAAAAAANcDXI0333rDyDPcGJEQ</t>
  </si>
  <si>
    <t>fffffffffffffffffffffffffffffffebaaea725d8255243e1216c7fd9301cfd</t>
  </si>
  <si>
    <t>09976ba5570966bf889196b7fdf5a0f9a1e9ab340556ec29f8bb60599616167d</t>
  </si>
  <si>
    <t>02ef58f7eef3ebbc285602744ad51753bad939c214ff6a465c384377abdea7b9</t>
  </si>
  <si>
    <t>0409976ba5570966bf889196b7fdf5a0f9a1e9ab340556ec29f8bb60599616167d02ef58f7eef3ebbc285602744ad51753bad939c214ff6a465c384377abdea7b9</t>
  </si>
  <si>
    <t>24d6e8d2f6ec51188ea6763d7e997490889e0e52</t>
  </si>
  <si>
    <t>14Mnn5VzcBr8ownMoyJrKQpLZpuVa9WKZP</t>
  </si>
  <si>
    <t>3Jx23VkfU23Haaina56wmEzmLVvu1UJrJj</t>
  </si>
  <si>
    <t>bc1qpe0ncsrrjazzn95ztlfe24p4zn7sdus8drp3xp</t>
  </si>
  <si>
    <t>1tds14mm8dwd7maiacr5cqu</t>
  </si>
  <si>
    <t>AAAAAAAAAAAAAAAAAAAAAAAAAAAAMD2NCFLU6XPO4SMWDWLATLDA====</t>
  </si>
  <si>
    <t>AAAAAAAAAAAAAAAAAAAAAAAGD00RV09d7uSZYdlgmsY</t>
  </si>
  <si>
    <t>fffffffffffffffffffffffffffffffebaa8cd999df150ddd0edc52af6d5a67b</t>
  </si>
  <si>
    <t>48d313b0398d4923cdca73b8cfa6532b91b96703902fc8b32fd438a3b7cd7f55</t>
  </si>
  <si>
    <t>66f0742c24f5ff80c799d691d756ad8e5aa7f6d8f986abd9eeef45514637c0d4</t>
  </si>
  <si>
    <t>0448d313b0398d4923cdca73b8cfa6532b91b96703902fc8b32fd438a3b7cd7f5566f0742c24f5ff80c799d691d756ad8e5aa7f6d8f986abd9eeef45514637c0d4</t>
  </si>
  <si>
    <t>8cfc73024a350d259ef035a07a1e6512238cc445</t>
  </si>
  <si>
    <t>1DrU2LbjPZMMvdTv2mzsHxtJ8NZZB3U2Bm</t>
  </si>
  <si>
    <t>3JPRrG9RMPFBipiNULdCvDEKacQmAiKmmu</t>
  </si>
  <si>
    <t>bc1qag8jkatkh5ycjg0uaxl7hcmlvwp7vwdyjxd3hk</t>
  </si>
  <si>
    <t>1h2ek0hlcwqt9idnz281abz7</t>
  </si>
  <si>
    <t>AAAAAAAAAAAAAAAAAAAAAAAAAAALCDZCK4WES6UDN2QYP4XB7QRQ====</t>
  </si>
  <si>
    <t>AAAAAAAAAAAAAAAAAAAAAACxDyJXLEl6g26hh_Lh_CM</t>
  </si>
  <si>
    <t>fffffffffffffffffffffffffffffffeb9fdcdc4581c56c13c63bd04dd54451e</t>
  </si>
  <si>
    <t>ceb6cbbcdbdf5ef7150682150f4ce2c6f4807b349827dcdbdd1f2efa885a2630</t>
  </si>
  <si>
    <t>2b195386bea3f5f002dc033b92cfc2c9e71b586302b09cfe535e1ff290b1b5ac</t>
  </si>
  <si>
    <t>04ceb6cbbcdbdf5ef7150682150f4ce2c6f4807b349827dcdbdd1f2efa885a26302b195386bea3f5f002dc033b92cfc2c9e71b586302b09cfe535e1ff290b1b5ac</t>
  </si>
  <si>
    <t>279dc5346b857450bfcc5ff057f4646c5fcb861e</t>
  </si>
  <si>
    <t>14cUMZFxWnma7fZR6hL3nrDiSQw5eC4smT</t>
  </si>
  <si>
    <t>3CiPke5gtEYNpGhcdUbemvxdDKH3hWe6xt</t>
  </si>
  <si>
    <t>bc1qfdrwzzj5rthvd03l43cfcft0kldxjvywxqax37</t>
  </si>
  <si>
    <t>1oda6wqeb9td0sgyrulp89a5o</t>
  </si>
  <si>
    <t>AAAAAAAAAAAAAAAAAAAAAAAAAAOFGO3LW7YIATQJSYBCLZCIO6WA====</t>
  </si>
  <si>
    <t>AAAAAAAAAAAAAAAAAAAAABxTO2u38IBOCZYCJeRId6w</t>
  </si>
  <si>
    <t>fffffffffffffffffffffffffffffffe9e5ba17af7581fedb63c5c66ebedc995</t>
  </si>
  <si>
    <t>33709eb11e0d4439a729f21c2c443dedb727528229713f0065721ba8fa46f00e</t>
  </si>
  <si>
    <t>2a1c304a39a77775d3579d077b6ee5e4d26fd3ec36f52ad674a9b47fdd999c48</t>
  </si>
  <si>
    <t>0433709eb11e0d4439a729f21c2c443dedb727528229713f0065721ba8fa46f00e2a1c304a39a77775d3579d077b6ee5e4d26fd3ec36f52ad674a9b47fdd999c48</t>
  </si>
  <si>
    <t>b9fef424e577c86186608e45ea513c901ced9314</t>
  </si>
  <si>
    <t>1HxTRyvWs9eExQ9pQ2picVZ6zMHqtwkCUc</t>
  </si>
  <si>
    <t>38eGK2Yz6o59bFf2iJonHsGSTrwLGt9Rke</t>
  </si>
  <si>
    <t>bc1q7urey442qf7ugd7tk5ulj428yst8yh7grw9mdn</t>
  </si>
  <si>
    <t>1d5yce2nik90gm0pac0lhs4hxl</t>
  </si>
  <si>
    <t>AAAAAAAAAAAAAAAAAAAAAAAAAM7HMZLQKNM7ATZIXCGPRF6GAPEQ====</t>
  </si>
  <si>
    <t>AAAAAAAAAAAAAAAAAAAAAz52ZXBTWfBPKLiM-JfGA8k</t>
  </si>
  <si>
    <t>fffffffffffffffffffffffffffffffb7c3877765beeafec9719d19438703d78</t>
  </si>
  <si>
    <t>633cbe3ec02b9401c5effa144c5b4d22f87940259634858fc7e59b1c09937852</t>
  </si>
  <si>
    <t>b078a17cc1558a9a4fa0b406f194c9a2b71d9a61424b533ceefe27408b3191e3</t>
  </si>
  <si>
    <t>04633cbe3ec02b9401c5effa144c5b4d22f87940259634858fc7e59b1c09937852b078a17cc1558a9a4fa0b406f194c9a2b71d9a61424b533ceefe27408b3191e3</t>
  </si>
  <si>
    <t>3300ad3ec6d64b99ae4916aff5096a2c5c9df8bd</t>
  </si>
  <si>
    <t>15egGodhKQ6Toowa7N3wxqrri1N9WenhKC</t>
  </si>
  <si>
    <t>3J9ANKe3NQgDvtS33JX1v4CB1tyDZAYgrS</t>
  </si>
  <si>
    <t>bc1q5fyj9pfq2x5sqt4lfjry54dvkadmfnm4sdlecz</t>
  </si>
  <si>
    <t>1a4pyey5g2uvrumw3ma8w0cw8fm</t>
  </si>
  <si>
    <t>AAAAAAAAAAAAAAAAAAAAAAAANWJZFILIQP4QSA6V66G2K6XQP2ZA====</t>
  </si>
  <si>
    <t>AAAAAAAAAAAAAAAAAAAAbZOSoWiD-QkD1feNpXrwfrI</t>
  </si>
  <si>
    <t>ffffffffffffffffffffffffffffff91271c3b7e2b4f9737e9dad0e75545c28f</t>
  </si>
  <si>
    <t>145d2611c823a396ef6712ce0f712f09b9b4f3135e3e0aa3230fb9b6d08d1e16</t>
  </si>
  <si>
    <t>667a05e9a1bdd6f70142b66558bd12ce2c0f9cbc7001b20c8a6a109c80dc5330</t>
  </si>
  <si>
    <t>04145d2611c823a396ef6712ce0f712f09b9b4f3135e3e0aa3230fb9b6d08d1e16667a05e9a1bdd6f70142b66558bd12ce2c0f9cbc7001b20c8a6a109c80dc5330</t>
  </si>
  <si>
    <t>300b81b8f39eb00f0c1f6e7bddb8fefc81e32877</t>
  </si>
  <si>
    <t>15P3Di9JaLNkAhHawEvGnrS5wJy3CKuUps</t>
  </si>
  <si>
    <t>3DQJ2NoeMd11mXYrjGDu8r2wb5mwvn8QGA</t>
  </si>
  <si>
    <t>bc1q8dh43f662jlashgmcmz3rq8acuefjgexxalxrv</t>
  </si>
  <si>
    <t>key_over_curve_order</t>
  </si>
  <si>
    <t>pubkey_x_binary</t>
  </si>
  <si>
    <t>hamming_x_vs_key_low_n</t>
  </si>
  <si>
    <t>hamming_x_vs_key_high_n</t>
  </si>
  <si>
    <t>z_x_low_n</t>
  </si>
  <si>
    <t>z_x_high_n</t>
  </si>
  <si>
    <t>2</t>
  </si>
  <si>
    <t>4</t>
  </si>
  <si>
    <t>10</t>
  </si>
  <si>
    <t>20</t>
  </si>
  <si>
    <t>40</t>
  </si>
  <si>
    <t>80</t>
  </si>
  <si>
    <t>100</t>
  </si>
  <si>
    <t>200</t>
  </si>
  <si>
    <t>400</t>
  </si>
  <si>
    <t>800</t>
  </si>
  <si>
    <t>1000</t>
  </si>
  <si>
    <t>2000</t>
  </si>
  <si>
    <t>4000</t>
  </si>
  <si>
    <t>8000</t>
  </si>
  <si>
    <t>10000</t>
  </si>
  <si>
    <t>20000</t>
  </si>
  <si>
    <t>40000</t>
  </si>
  <si>
    <t>80000</t>
  </si>
  <si>
    <t>100000</t>
  </si>
  <si>
    <t>200000</t>
  </si>
  <si>
    <t>400000</t>
  </si>
  <si>
    <t>800000</t>
  </si>
  <si>
    <t>1000000</t>
  </si>
  <si>
    <t>2000000</t>
  </si>
  <si>
    <t>4000000</t>
  </si>
  <si>
    <t>8000000</t>
  </si>
  <si>
    <t>10000000</t>
  </si>
  <si>
    <t>20000000</t>
  </si>
  <si>
    <t>40000000</t>
  </si>
  <si>
    <t>80000000</t>
  </si>
  <si>
    <t>100000000</t>
  </si>
  <si>
    <t>200000000</t>
  </si>
  <si>
    <t>400000000</t>
  </si>
  <si>
    <t>800000000</t>
  </si>
  <si>
    <t>1000000000</t>
  </si>
  <si>
    <t>2000000000</t>
  </si>
  <si>
    <t>4000000000</t>
  </si>
  <si>
    <t>8000000000</t>
  </si>
  <si>
    <t>10000000000</t>
  </si>
  <si>
    <t>20000000000</t>
  </si>
  <si>
    <t>40000000000</t>
  </si>
  <si>
    <t>80000000000</t>
  </si>
  <si>
    <t>100000000000</t>
  </si>
  <si>
    <t>200000000000</t>
  </si>
  <si>
    <t>400000000000</t>
  </si>
  <si>
    <t>800000000000</t>
  </si>
  <si>
    <t>1000000000000</t>
  </si>
  <si>
    <t>2000000000000</t>
  </si>
  <si>
    <t>4000000000000</t>
  </si>
  <si>
    <t>8000000000000</t>
  </si>
  <si>
    <t>10000000000000</t>
  </si>
  <si>
    <t>20000000000000</t>
  </si>
  <si>
    <t>40000000000000</t>
  </si>
  <si>
    <t>80000000000000</t>
  </si>
  <si>
    <t>100000000000000</t>
  </si>
  <si>
    <t>200000000000000</t>
  </si>
  <si>
    <t>400000000000000</t>
  </si>
  <si>
    <t>800000000000000</t>
  </si>
  <si>
    <t>1000000000000000</t>
  </si>
  <si>
    <t>2000000000000000</t>
  </si>
  <si>
    <t>4000000000000000</t>
  </si>
  <si>
    <t>8000000000000000</t>
  </si>
  <si>
    <t>10000000000000000</t>
  </si>
  <si>
    <t>20000000000000000</t>
  </si>
  <si>
    <t>40000000000000000</t>
  </si>
  <si>
    <t>80000000000000000</t>
  </si>
  <si>
    <t>100000000000000000</t>
  </si>
  <si>
    <t>200000000000000000</t>
  </si>
  <si>
    <t>400000000000000000</t>
  </si>
  <si>
    <t>800000000000000000</t>
  </si>
  <si>
    <t>1000000000000000000</t>
  </si>
  <si>
    <t>2000000000000000000</t>
  </si>
  <si>
    <t>4000000000000000000</t>
  </si>
  <si>
    <t>8000000000000000000</t>
  </si>
  <si>
    <t>10000000000000000000</t>
  </si>
  <si>
    <t>20000000000000000000</t>
  </si>
  <si>
    <t>40000000000000000000</t>
  </si>
  <si>
    <t>80000000000000000000</t>
  </si>
  <si>
    <t>100000000000000000000</t>
  </si>
  <si>
    <t>200000000000000000000</t>
  </si>
  <si>
    <t>400000000000000000000</t>
  </si>
  <si>
    <t>800000000000000000000</t>
  </si>
  <si>
    <t>1000000000000000000000</t>
  </si>
  <si>
    <t>2000000000000000000000</t>
  </si>
  <si>
    <t>4000000000000000000000</t>
  </si>
  <si>
    <t>8000000000000000000000</t>
  </si>
  <si>
    <t>10000000000000000000000</t>
  </si>
  <si>
    <t>20000000000000000000000</t>
  </si>
  <si>
    <t>40000000000000000000000</t>
  </si>
  <si>
    <t>80000000000000000000000</t>
  </si>
  <si>
    <t>100000000000000000000000</t>
  </si>
  <si>
    <t>200000000000000000000000</t>
  </si>
  <si>
    <t>400000000000000000000000</t>
  </si>
  <si>
    <t>800000000000000000000000</t>
  </si>
  <si>
    <t>1000000000000000000000000</t>
  </si>
  <si>
    <t>2000000000000000000000000</t>
  </si>
  <si>
    <t>4000000000000000000000000</t>
  </si>
  <si>
    <t>8000000000000000000000000</t>
  </si>
  <si>
    <t>10000000000000000000000000</t>
  </si>
  <si>
    <t>20000000000000000000000000</t>
  </si>
  <si>
    <t>40000000000000000000000000</t>
  </si>
  <si>
    <t>80000000000000000000000000</t>
  </si>
  <si>
    <t>100000000000000000000000000</t>
  </si>
  <si>
    <t>200000000000000000000000000</t>
  </si>
  <si>
    <t>400000000000000000000000000</t>
  </si>
  <si>
    <t>800000000000000000000000000</t>
  </si>
  <si>
    <t>1000000000000000000000000000</t>
  </si>
  <si>
    <t>2000000000000000000000000000</t>
  </si>
  <si>
    <t>4000000000000000000000000000</t>
  </si>
  <si>
    <t>8000000000000000000000000000</t>
  </si>
  <si>
    <t>10000000000000000000000000000</t>
  </si>
  <si>
    <t>20000000000000000000000000000</t>
  </si>
  <si>
    <t>40000000000000000000000000000</t>
  </si>
  <si>
    <t>80000000000000000000000000000</t>
  </si>
  <si>
    <t>100000000000000000000000000000</t>
  </si>
  <si>
    <t>200000000000000000000000000000</t>
  </si>
  <si>
    <t>400000000000000000000000000000</t>
  </si>
  <si>
    <t>800000000000000000000000000000</t>
  </si>
  <si>
    <t>1000000000000000000000000000000</t>
  </si>
  <si>
    <t>2000000000000000000000000000000</t>
  </si>
  <si>
    <t>4000000000000000000000000000000</t>
  </si>
  <si>
    <t>8000000000000000000000000000000</t>
  </si>
  <si>
    <t>10000000000000000000000000000000</t>
  </si>
  <si>
    <t>20000000000000000000000000000000</t>
  </si>
  <si>
    <t>40000000000000000000000000000000</t>
  </si>
  <si>
    <t>80000000000000000000000000000000</t>
  </si>
  <si>
    <t>100000000000000000000000000000000</t>
  </si>
  <si>
    <t>200000000000000000000000000000000</t>
  </si>
  <si>
    <t>400000000000000000000000000000000</t>
  </si>
  <si>
    <t>800000000000000000000000000000000</t>
  </si>
  <si>
    <t>1000000000000000000000000000000000</t>
  </si>
  <si>
    <t>2000000000000000000000000000000000</t>
  </si>
  <si>
    <t>4000000000000000000000000000000000</t>
  </si>
  <si>
    <t>8000000000000000000000000000000000</t>
  </si>
  <si>
    <t>10000000000000000000000000000000000</t>
  </si>
  <si>
    <t>20000000000000000000000000000000000</t>
  </si>
  <si>
    <t>40000000000000000000000000000000000</t>
  </si>
  <si>
    <t>80000000000000000000000000000000000</t>
  </si>
  <si>
    <t>100000000000000000000000000000000000</t>
  </si>
  <si>
    <t>200000000000000000000000000000000000</t>
  </si>
  <si>
    <t>400000000000000000000000000000000000</t>
  </si>
  <si>
    <t>800000000000000000000000000000000000</t>
  </si>
  <si>
    <t>1000000000000000000000000000000000000</t>
  </si>
  <si>
    <t>2000000000000000000000000000000000000</t>
  </si>
  <si>
    <t>4000000000000000000000000000000000000</t>
  </si>
  <si>
    <t>8000000000000000000000000000000000000</t>
  </si>
  <si>
    <t>10000000000000000000000000000000000000</t>
  </si>
  <si>
    <t>20000000000000000000000000000000000000</t>
  </si>
  <si>
    <t>40000000000000000000000000000000000000</t>
  </si>
  <si>
    <t>80000000000000000000000000000000000000</t>
  </si>
  <si>
    <t>100000000000000000000000000000000000000</t>
  </si>
  <si>
    <t>200000000000000000000000000000000000000</t>
  </si>
  <si>
    <t>400000000000000000000000000000000000000</t>
  </si>
  <si>
    <t>800000000000000000000000000000000000000</t>
  </si>
  <si>
    <t>1000000000000000000000000000000000000000</t>
  </si>
  <si>
    <t>2000000000000000000000000000000000000000</t>
  </si>
  <si>
    <t>4000000000000000000000000000000000000000</t>
  </si>
  <si>
    <t>8000000000000000000000000000000000000000</t>
  </si>
  <si>
    <t>btc_value (BTC)</t>
  </si>
  <si>
    <t>0</t>
  </si>
  <si>
    <t>0100000000000000000000000000000000000000000000000000000000000000</t>
  </si>
  <si>
    <t>0111010100011110011101101110100000011001100100011001011011010100010101001001010000011100010001011101000110110011101000110010001111110001010000110011101111010110</t>
  </si>
  <si>
    <t>1x1</t>
  </si>
  <si>
    <t>1:1</t>
  </si>
  <si>
    <t>0x00 00 00 00 00 00 00 00 00 00 00 00 00 00 00 00 00 00 00 00 00 00 00 00 00 00 00 00 00 00 00 01</t>
  </si>
  <si>
    <t>0,0,0,0,0,0,0,0,0,0,0,0,0,0,0,0,0,0,0,0,0,0,0,0,0,0,0,0,0,0,0,1</t>
  </si>
  <si>
    <t>................................</t>
  </si>
  <si>
    <t>0.0.0.1</t>
  </si>
  <si>
    <t>0111100110111110011001100111111011111001110111001011101110101100010101011010000001100010100101011100111010000111000010110000011100000010100110111111110011011011001011011100111000101000110110010101100111110010100000010101101100010110111110000001011110011000</t>
  </si>
  <si>
    <t>11</t>
  </si>
  <si>
    <t>0300000000000000000000000000000000000000000000000000000000000000</t>
  </si>
  <si>
    <t>0111110111010110010101011001001011010000101010110010111111100000110100000010010101111101010101110001101010111111000000110010110011011001110110111001001111011100</t>
  </si>
  <si>
    <t>00</t>
  </si>
  <si>
    <t>1x2</t>
  </si>
  <si>
    <t>3:1</t>
  </si>
  <si>
    <t>0x00 00 00 00 00 00 00 00 00 00 00 00 00 00 00 00 00 00 00 00 00 00 00 00 00 00 00 00 00 00 00 03</t>
  </si>
  <si>
    <t>0,0,0,0,0,0,0,0,0,0,0,0,0,0,0,0,0,0,0,0,0,0,0,0,0,0,0,0,0,0,0,3</t>
  </si>
  <si>
    <t>0.0.0.3</t>
  </si>
  <si>
    <t>1111100100110000100010100000000110010010010110001100001100010000010010010011010001001111100001011111100010011101010100100010100110110101001100011100100001000101100000110110111110011001101100001000011000000001111100010001001110111100111000000011011011111001</t>
  </si>
  <si>
    <t>111</t>
  </si>
  <si>
    <t>13</t>
  </si>
  <si>
    <t>0700000000000000000000000000000000000000000000000000000000000000</t>
  </si>
  <si>
    <t>0101110111101101111110111111100111101010010110011001110111010100111000111100101001101010100000001011001100110011110001000111001011111101000010110011111101101001</t>
  </si>
  <si>
    <t>000</t>
  </si>
  <si>
    <t>1x3</t>
  </si>
  <si>
    <t>7:1</t>
  </si>
  <si>
    <t>6</t>
  </si>
  <si>
    <t>0x00 00 00 00 00 00 00 00 00 00 00 00 00 00 00 00 00 00 00 00 00 00 00 00 00 00 00 00 00 00 00 07</t>
  </si>
  <si>
    <t>0,0,0,0,0,0,0,0,0,0,0,0,0,0,0,0,0,0,0,0,0,0,0,0,0,0,0,0,0,0,0,7</t>
  </si>
  <si>
    <t>0.0.0.7</t>
  </si>
  <si>
    <t>0101110010111101111100000110010001101110010111011011010011101010101000111001100011110011011001011111001011101010011110100000111000111101010000011001101101111110000000110011000011100011100111001110100100101011110111011110110111001010110001001111100110111100</t>
  </si>
  <si>
    <t>1111</t>
  </si>
  <si>
    <t>0001</t>
  </si>
  <si>
    <t>1100</t>
  </si>
  <si>
    <t>0800000000000000000000000000000000000000000000000000000000000000</t>
  </si>
  <si>
    <t>1001011001010010110110000110101111101101111101000011101011010010011001000011011000101110011011100110111010111010011011101011011101100100010100001000000100100111</t>
  </si>
  <si>
    <t>0100</t>
  </si>
  <si>
    <t>0111</t>
  </si>
  <si>
    <t>1x1,0x3</t>
  </si>
  <si>
    <t>8:1</t>
  </si>
  <si>
    <t>-6</t>
  </si>
  <si>
    <t>9</t>
  </si>
  <si>
    <t>0x00 00 00 00 00 00 00 00 00 00 00 00 00 00 00 00 00 00 00 00 00 00 00 00 00 00 00 00 00 00 00 08</t>
  </si>
  <si>
    <t>0,0,0,0,0,0,0,0,0,0,0,0,0,0,0,0,0,0,0,0,0,0,0,0,0,0,0,0,0,0,0,8</t>
  </si>
  <si>
    <t>0.0.0.8</t>
  </si>
  <si>
    <t>0010111100000001111001011110000101011100110010100011010100011101101011111111001110000100001111111011011100001111001111000010111100001010000110111101110100000101111001011010111110001000100010100110011101111000010011101111001111100001000010100010101000000001</t>
  </si>
  <si>
    <t>15</t>
  </si>
  <si>
    <t>10101</t>
  </si>
  <si>
    <t>21</t>
  </si>
  <si>
    <t>5</t>
  </si>
  <si>
    <t>11101</t>
  </si>
  <si>
    <t>25</t>
  </si>
  <si>
    <t>11111</t>
  </si>
  <si>
    <t>11010</t>
  </si>
  <si>
    <t>1500000000000000000000000000000000000000000000000000000000000000</t>
  </si>
  <si>
    <t>1000111110011101111111110011100110101000000111101110010010101011110010111010110100101010110110001011101011111111111100001001000001000001010110100010101111101000</t>
  </si>
  <si>
    <t>12</t>
  </si>
  <si>
    <t>01011</t>
  </si>
  <si>
    <t>01010</t>
  </si>
  <si>
    <t>1x1,0x1,1x1,0x1,1x1</t>
  </si>
  <si>
    <t>1:1 5:1</t>
  </si>
  <si>
    <t>22</t>
  </si>
  <si>
    <t>0x00 00 00 00 00 00 00 00 00 00 00 00 00 00 00 00 00 00 00 00 00 00 00 00 00 00 00 00 00 00 00 15</t>
  </si>
  <si>
    <t>0,0,0,0,0,0,0,0,0,0,0,0,0,0,0,0,0,0,0,0,0,0,0,0,0,0,0,0,0,0,0,21</t>
  </si>
  <si>
    <t>0.0.0.21</t>
  </si>
  <si>
    <t>0011010100101011101111110100101001001100110111010001001001010110010011111001001111111010001100110010110011100011001100110011000000011101100110101101010000000010011100011111100000010000011100011000000100110100000010101110111100100101101111100101100111010101</t>
  </si>
  <si>
    <t>31</t>
  </si>
  <si>
    <t>110001</t>
  </si>
  <si>
    <t>49</t>
  </si>
  <si>
    <t>17</t>
  </si>
  <si>
    <t>100100</t>
  </si>
  <si>
    <t>301</t>
  </si>
  <si>
    <t>61</t>
  </si>
  <si>
    <t>1h</t>
  </si>
  <si>
    <t>100011</t>
  </si>
  <si>
    <t>35</t>
  </si>
  <si>
    <t>101001</t>
  </si>
  <si>
    <t>101110</t>
  </si>
  <si>
    <t>14</t>
  </si>
  <si>
    <t>3100000000000000000000000000000000000000000000000000000000000000</t>
  </si>
  <si>
    <t>1111100100111110110000110100111010011110001101001010100011111000111111110111110101100000000011001101101011011000001100000100011110110001101111001011010001011100</t>
  </si>
  <si>
    <t>94</t>
  </si>
  <si>
    <t>111000</t>
  </si>
  <si>
    <t>001110</t>
  </si>
  <si>
    <t>1x2,0x3,1x1</t>
  </si>
  <si>
    <t>1:1 3:1</t>
  </si>
  <si>
    <t>28</t>
  </si>
  <si>
    <t>50</t>
  </si>
  <si>
    <t>48</t>
  </si>
  <si>
    <t>0x00 00 00 00 00 00 00 00 00 00 00 00 00 00 00 00 00 00 00 00 00 00 00 00 00 00 00 00 00 00 00 31</t>
  </si>
  <si>
    <t>0,0,0,0,0,0,0,0,0,0,0,0,0,0,0,0,0,0,0,0,0,0,0,0,0,0,0,0,0,0,0,49</t>
  </si>
  <si>
    <t>...............................1</t>
  </si>
  <si>
    <t>0.0.0.49</t>
  </si>
  <si>
    <t>1111001011011010110010011001000111001100010011001110010010111001111010100100010010001000011111100101110001111100000010111100111001011000110010000000000001110100101010111001110101001101101110101110101100101000010100110001101101110111001110011111010100110000</t>
  </si>
  <si>
    <t>4c</t>
  </si>
  <si>
    <t>1001100</t>
  </si>
  <si>
    <t>76</t>
  </si>
  <si>
    <t>1111101</t>
  </si>
  <si>
    <t>1030</t>
  </si>
  <si>
    <t>114</t>
  </si>
  <si>
    <t>2c</t>
  </si>
  <si>
    <t>0011001</t>
  </si>
  <si>
    <t>1101010</t>
  </si>
  <si>
    <t>1110011</t>
  </si>
  <si>
    <t>51</t>
  </si>
  <si>
    <t>4c00000000000000000000000000000000000000000000000000000000000000</t>
  </si>
  <si>
    <t>1110001000011001001011101000101001111101110110001101110100011100100010000011001000011001010110011011010001110111100101101000101110010100000110101010100101110011</t>
  </si>
  <si>
    <t>67</t>
  </si>
  <si>
    <t>0100110</t>
  </si>
  <si>
    <t>0110011</t>
  </si>
  <si>
    <t>1x1,0x2,1x2,0x2</t>
  </si>
  <si>
    <t>4:1 c:1</t>
  </si>
  <si>
    <t>27</t>
  </si>
  <si>
    <t>-22</t>
  </si>
  <si>
    <t>77</t>
  </si>
  <si>
    <t>75</t>
  </si>
  <si>
    <t>0x00 00 00 00 00 00 00 00 00 00 00 00 00 00 00 00 00 00 00 00 00 00 00 00 00 00 00 00 00 00 00 4c</t>
  </si>
  <si>
    <t>0,0,0,0,0,0,0,0,0,0,0,0,0,0,0,0,0,0,0,0,0,0,0,0,0,0,0,0,0,0,0,76</t>
  </si>
  <si>
    <t>...............................L</t>
  </si>
  <si>
    <t>0.0.0.76</t>
  </si>
  <si>
    <t>1001011001010001011010101000111101100101011101110100001001110101001001111000110100001101011101000010000010101000100011011111000010101100010001001011110101100100110001111011101011100000011111000011111111100011100101111100010110110011001100000000101100100011</t>
  </si>
  <si>
    <t>e0</t>
  </si>
  <si>
    <t>11100000</t>
  </si>
  <si>
    <t>224</t>
  </si>
  <si>
    <t>96</t>
  </si>
  <si>
    <t>10101100</t>
  </si>
  <si>
    <t>3200</t>
  </si>
  <si>
    <t>340</t>
  </si>
  <si>
    <t>70</t>
  </si>
  <si>
    <t>00000111</t>
  </si>
  <si>
    <t>10010000</t>
  </si>
  <si>
    <t>10011111</t>
  </si>
  <si>
    <t>e000000000000000000000000000000000000000000000000000000000000000</t>
  </si>
  <si>
    <t>1101110011100111011010110010011000010011000001010010111010100000000100100010000001000100000001001010100101111011001111000010010111101010110000110001011100010101</t>
  </si>
  <si>
    <t>422</t>
  </si>
  <si>
    <t>11000001</t>
  </si>
  <si>
    <t>01110000</t>
  </si>
  <si>
    <t>00011111</t>
  </si>
  <si>
    <t>1x3,0x5</t>
  </si>
  <si>
    <t>0:1 e:1</t>
  </si>
  <si>
    <t>148</t>
  </si>
  <si>
    <t>72</t>
  </si>
  <si>
    <t>225</t>
  </si>
  <si>
    <t>223</t>
  </si>
  <si>
    <t>0x00 00 00 00 00 00 00 00 00 00 00 00 00 00 00 00 00 00 00 00 00 00 00 00 00 00 00 00 00 00 00 e0</t>
  </si>
  <si>
    <t>0,0,0,0,0,0,0,0,0,0,0,0,0,0,0,0,0,0,0,0,0,0,0,0,0,0,0,0,0,0,0,224</t>
  </si>
  <si>
    <t>0.0.0.224</t>
  </si>
  <si>
    <t>0000100010111100100010011100001011111001000110011110110100010101100010001000010111000011010101100000000010000100010011010100100110001001000010010000010111000111100110110011010101110011001000100110000010011100010001010111000001101100111001101011010100010100</t>
  </si>
  <si>
    <t>1d3</t>
  </si>
  <si>
    <t>111010011</t>
  </si>
  <si>
    <t>467</t>
  </si>
  <si>
    <t>211</t>
  </si>
  <si>
    <t>100110011</t>
  </si>
  <si>
    <t>13103</t>
  </si>
  <si>
    <t>723</t>
  </si>
  <si>
    <t>ej</t>
  </si>
  <si>
    <t>110010111</t>
  </si>
  <si>
    <t>407</t>
  </si>
  <si>
    <t>100111010</t>
  </si>
  <si>
    <t>100101100</t>
  </si>
  <si>
    <t>44</t>
  </si>
  <si>
    <t>d301000000000000000000000000000000000000000000000000000000000000</t>
  </si>
  <si>
    <t>0111110100001111011011000110010010101111101101000001100110111011110101111110100101110001111010010100001111010111010000000100101100001110000011011010101010110100</t>
  </si>
  <si>
    <t>764</t>
  </si>
  <si>
    <t>110100111</t>
  </si>
  <si>
    <t>111101001</t>
  </si>
  <si>
    <t>000101100</t>
  </si>
  <si>
    <t>1x3,0x1,1x1,0x2,1x2</t>
  </si>
  <si>
    <t>1:1 3:1 d:1</t>
  </si>
  <si>
    <t>243</t>
  </si>
  <si>
    <t>19</t>
  </si>
  <si>
    <t>468</t>
  </si>
  <si>
    <t>466</t>
  </si>
  <si>
    <t>0x00 00 00 00 00 00 00 00 00 00 00 00 00 00 00 00 00 00 00 00 00 00 00 00 00 00 00 00 00 00 01 d3</t>
  </si>
  <si>
    <t>0,0,0,0,0,0,0,0,0,0,0,0,0,0,0,0,0,0,0,0,0,0,0,0,0,0,0,0,0,0,1,211</t>
  </si>
  <si>
    <t>0.0.1.211</t>
  </si>
  <si>
    <t>0100001101100000000111010110000111001000001101100011100001110100100001011110100101010001010010101011010111001000100100100100110111010010110011111101010001100110101011110011010010101100100101010000000000100111001001111110000101100101100111010110000011110111</t>
  </si>
  <si>
    <t>202</t>
  </si>
  <si>
    <t>1000000010</t>
  </si>
  <si>
    <t>514</t>
  </si>
  <si>
    <t>1111010001</t>
  </si>
  <si>
    <t>20002</t>
  </si>
  <si>
    <t>1002</t>
  </si>
  <si>
    <t>g2</t>
  </si>
  <si>
    <t>0100000001</t>
  </si>
  <si>
    <t>257</t>
  </si>
  <si>
    <t>1100000011</t>
  </si>
  <si>
    <t>1111111101</t>
  </si>
  <si>
    <t>509</t>
  </si>
  <si>
    <t>0202000000000000000000000000000000000000000000000000000000000000</t>
  </si>
  <si>
    <t>1101011101110010100110000001011001100101000011100101100000011101011101000110001011010101001010101101011011110111001100101101101000001110001011101100100100111011</t>
  </si>
  <si>
    <t>415</t>
  </si>
  <si>
    <t>0000000101</t>
  </si>
  <si>
    <t>0111111101</t>
  </si>
  <si>
    <t>1x1,0x7,1x1,0x1</t>
  </si>
  <si>
    <t>0:1 2:2</t>
  </si>
  <si>
    <t>47</t>
  </si>
  <si>
    <t>-420</t>
  </si>
  <si>
    <t>515</t>
  </si>
  <si>
    <t>513</t>
  </si>
  <si>
    <t>0x00 00 00 00 00 00 00 00 00 00 00 00 00 00 00 00 00 00 00 00 00 00 00 00 00 00 00 00 00 00 02 02</t>
  </si>
  <si>
    <t>0,0,0,0,0,0,0,0,0,0,0,0,0,0,0,0,0,0,0,0,0,0,0,0,0,0,0,0,0,0,2,2</t>
  </si>
  <si>
    <t>0.0.2.2</t>
  </si>
  <si>
    <t>1010011110100100110000110000001010010001101011000001110110110010010010110100101010110000000011000100010000101010101010000011001011110111011110010100101101011010000010010101100110111110110001101110100011010111111111101110100000000010001010001001110111001101</t>
  </si>
  <si>
    <t>483</t>
  </si>
  <si>
    <t>10010000011</t>
  </si>
  <si>
    <t>1155</t>
  </si>
  <si>
    <t>131</t>
  </si>
  <si>
    <t>11010000001</t>
  </si>
  <si>
    <t>102003</t>
  </si>
  <si>
    <t>2203</t>
  </si>
  <si>
    <t>143</t>
  </si>
  <si>
    <t>11000001001</t>
  </si>
  <si>
    <t>1545</t>
  </si>
  <si>
    <t>11011000010</t>
  </si>
  <si>
    <t>11101111100</t>
  </si>
  <si>
    <t>892</t>
  </si>
  <si>
    <t>8304000000000000000000000000000000000000000000000000000000000000</t>
  </si>
  <si>
    <t>1111100011000110100110001101101000110001011001001110111110001111101001000010010110000110100100101101000100011000110011001001101010010000001011000101101011001100</t>
  </si>
  <si>
    <t>5511</t>
  </si>
  <si>
    <t>00100000111</t>
  </si>
  <si>
    <t>11001000001</t>
  </si>
  <si>
    <t>01101111100</t>
  </si>
  <si>
    <t>1x1,0x2,1x1,0x5,1x2</t>
  </si>
  <si>
    <t>3:1 4:1 8:1</t>
  </si>
  <si>
    <t>641</t>
  </si>
  <si>
    <t>127</t>
  </si>
  <si>
    <t>1156</t>
  </si>
  <si>
    <t>1154</t>
  </si>
  <si>
    <t>0x00 00 00 00 00 00 00 00 00 00 00 00 00 00 00 00 00 00 00 00 00 00 00 00 00 00 00 00 00 00 04 83</t>
  </si>
  <si>
    <t>0,0,0,0,0,0,0,0,0,0,0,0,0,0,0,0,0,0,0,0,0,0,0,0,0,0,0,0,0,0,4,131</t>
  </si>
  <si>
    <t>0.0.4.131</t>
  </si>
  <si>
    <t>1000101100000101101100000110000000111010101111010111010110110000110001010111010010001001111001000101000111111000000100011110000110101111111001010100101010000111000101010000010001011100110111110100100010001000001100110011111100111110101111000110111010001011</t>
  </si>
  <si>
    <t>a7b</t>
  </si>
  <si>
    <t>101001111011</t>
  </si>
  <si>
    <t>2683</t>
  </si>
  <si>
    <t>635</t>
  </si>
  <si>
    <t>111011111000</t>
  </si>
  <si>
    <t>221323</t>
  </si>
  <si>
    <t>5173</t>
  </si>
  <si>
    <t>2jr</t>
  </si>
  <si>
    <t>110111100101</t>
  </si>
  <si>
    <t>3557</t>
  </si>
  <si>
    <t>111101000110</t>
  </si>
  <si>
    <t>110110000100</t>
  </si>
  <si>
    <t>1412</t>
  </si>
  <si>
    <t>7b0a000000000000000000000000000000000000000000000000000000000000</t>
  </si>
  <si>
    <t>1000010110100001111110011011101001001101101000100100110000100100111001011000001011011001101110001001000111011010110010111101000110110000010000111111100101110001</t>
  </si>
  <si>
    <t>3862</t>
  </si>
  <si>
    <t>010011110111</t>
  </si>
  <si>
    <t>110100111101</t>
  </si>
  <si>
    <t>010110000100</t>
  </si>
  <si>
    <t>1x1,0x1,1x1,0x2,1x4,0x1,1x2</t>
  </si>
  <si>
    <t>7:1 a:1 b:1</t>
  </si>
  <si>
    <t>1528</t>
  </si>
  <si>
    <t>373</t>
  </si>
  <si>
    <t>2684</t>
  </si>
  <si>
    <t>2682</t>
  </si>
  <si>
    <t>0x00 00 00 00 00 00 00 00 00 00 00 00 00 00 00 00 00 00 00 00 00 00 00 00 00 00 00 00 00 00 0a 7b</t>
  </si>
  <si>
    <t>0,0,0,0,0,0,0,0,0,0,0,0,0,0,0,0,0,0,0,0,0,0,0,0,0,0,0,0,0,0,10,123</t>
  </si>
  <si>
    <t>...............................{</t>
  </si>
  <si>
    <t>0.0.10.123</t>
  </si>
  <si>
    <t>1000101100000000111111001011111111000001101000100000001111110100010010111111000100100011111111000111111101001100100100011100000100001010100001011100100011101010111010010001100001111111100111010010001000100100001010110100011000000000110011100111100000011100</t>
  </si>
  <si>
    <t>1460</t>
  </si>
  <si>
    <t>1010001100000</t>
  </si>
  <si>
    <t>5216</t>
  </si>
  <si>
    <t>1120</t>
  </si>
  <si>
    <t>1111000011011</t>
  </si>
  <si>
    <t>1101200</t>
  </si>
  <si>
    <t>12140</t>
  </si>
  <si>
    <t>530</t>
  </si>
  <si>
    <t>0000011000101</t>
  </si>
  <si>
    <t>197</t>
  </si>
  <si>
    <t>1111001010000</t>
  </si>
  <si>
    <t>1101110011111</t>
  </si>
  <si>
    <t>2975</t>
  </si>
  <si>
    <t>6014000000000000000000000000000000000000000000000000000000000000</t>
  </si>
  <si>
    <t>1111100100110010110100000001100010000110000101101100100101100100010000010110101110010001111110111001110011110111011010111010100101111001000010101001001000011110</t>
  </si>
  <si>
    <t>6125</t>
  </si>
  <si>
    <t>0100011000001</t>
  </si>
  <si>
    <t>0101000110000</t>
  </si>
  <si>
    <t>0101110011111</t>
  </si>
  <si>
    <t>1x1,0x1,1x1,0x3,1x2,0x5</t>
  </si>
  <si>
    <t>0:1 1:1 4:1 6:1</t>
  </si>
  <si>
    <t>2533</t>
  </si>
  <si>
    <t>-150</t>
  </si>
  <si>
    <t>5217</t>
  </si>
  <si>
    <t>5215</t>
  </si>
  <si>
    <t>0x00 00 00 00 00 00 00 00 00 00 00 00 00 00 00 00 00 00 00 00 00 00 00 00 00 00 00 00 00 00 14 60</t>
  </si>
  <si>
    <t>0,0,0,0,0,0,0,0,0,0,0,0,0,0,0,0,0,0,0,0,0,0,0,0,0,0,0,0,0,0,20,96</t>
  </si>
  <si>
    <t>...............................`</t>
  </si>
  <si>
    <t>0.0.20.96</t>
  </si>
  <si>
    <t>1010101011011010101010101011000111011011100011010101110101000101000010110101000100010111100010011100001101111110011111001111111010110000111010111000101100111110011000011010010101111010001101000001011001101100010111101101110010011010010010111000011010011101</t>
  </si>
  <si>
    <t>2930</t>
  </si>
  <si>
    <t>10100100110000</t>
  </si>
  <si>
    <t>10544</t>
  </si>
  <si>
    <t>2352</t>
  </si>
  <si>
    <t>11110101010000</t>
  </si>
  <si>
    <t>2210300</t>
  </si>
  <si>
    <t>24460</t>
  </si>
  <si>
    <t>a9g</t>
  </si>
  <si>
    <t>00001100100101</t>
  </si>
  <si>
    <t>805</t>
  </si>
  <si>
    <t>11110110101000</t>
  </si>
  <si>
    <t>11011011001111</t>
  </si>
  <si>
    <t>5839</t>
  </si>
  <si>
    <t>3029000000000000000000000000000000000000000000000000000000000000</t>
  </si>
  <si>
    <t>1001011111111001001010000001101000010011100000111000011110011101011100101010110001010010101001101010001111101001111010001011100110100100101001001111011001010101</t>
  </si>
  <si>
    <t>44501</t>
  </si>
  <si>
    <t>01001001100001</t>
  </si>
  <si>
    <t>01010010011000</t>
  </si>
  <si>
    <t>01011011001111</t>
  </si>
  <si>
    <t>1x1,0x1,1x1,0x2,1x1,0x2,1x2,0x4</t>
  </si>
  <si>
    <t>0:1 2:1 3:1 9:1</t>
  </si>
  <si>
    <t>5328</t>
  </si>
  <si>
    <t>112</t>
  </si>
  <si>
    <t>10545</t>
  </si>
  <si>
    <t>10543</t>
  </si>
  <si>
    <t>0x00 00 00 00 00 00 00 00 00 00 00 00 00 00 00 00 00 00 00 00 00 00 00 00 00 00 00 00 00 00 29 30</t>
  </si>
  <si>
    <t>0,0,0,0,0,0,0,0,0,0,0,0,0,0,0,0,0,0,0,0,0,0,0,0,0,0,0,0,0,0,41,48</t>
  </si>
  <si>
    <t>..............................)0</t>
  </si>
  <si>
    <t>0.0.41.48</t>
  </si>
  <si>
    <t>1011010011110001110111100101100010111000101101000001101011111110100111111101010011100101111111111011110110101111101011101010101110000110110001011101101101000111011010011100000101011101011011100110000000010001101011100111001101010001111001010100011101011001</t>
  </si>
  <si>
    <t>68f3</t>
  </si>
  <si>
    <t>110100011110011</t>
  </si>
  <si>
    <t>26867</t>
  </si>
  <si>
    <t>10483</t>
  </si>
  <si>
    <t>100000111000011</t>
  </si>
  <si>
    <t>12203303</t>
  </si>
  <si>
    <t>64363</t>
  </si>
  <si>
    <t>q7j</t>
  </si>
  <si>
    <t>110011110001011</t>
  </si>
  <si>
    <t>26507</t>
  </si>
  <si>
    <t>101110010001010</t>
  </si>
  <si>
    <t>101011100001100</t>
  </si>
  <si>
    <t>5900</t>
  </si>
  <si>
    <t>f368000000000000000000000000000000000000000000000000000000000000</t>
  </si>
  <si>
    <t>1111111001111100010001010001001001100111001100011111011100111000010001100100000010110000101100000000010001011111110101000000101110101100011100101110001010100010</t>
  </si>
  <si>
    <t>76862</t>
  </si>
  <si>
    <t>101000111100111</t>
  </si>
  <si>
    <t>111010001111001</t>
  </si>
  <si>
    <t>001011100001100</t>
  </si>
  <si>
    <t>1x2,0x1,1x1,0x3,1x4,0x2,1x2</t>
  </si>
  <si>
    <t>3:1 6:1 8:1 f:1</t>
  </si>
  <si>
    <t>16323</t>
  </si>
  <si>
    <t>5779</t>
  </si>
  <si>
    <t>26868</t>
  </si>
  <si>
    <t>26866</t>
  </si>
  <si>
    <t>0x00 00 00 00 00 00 00 00 00 00 00 00 00 00 00 00 00 00 00 00 00 00 00 00 00 00 00 00 00 00 68 f3</t>
  </si>
  <si>
    <t>0,0,0,0,0,0,0,0,0,0,0,0,0,0,0,0,0,0,0,0,0,0,0,0,0,0,0,0,0,0,104,243</t>
  </si>
  <si>
    <t>..............................h.</t>
  </si>
  <si>
    <t>0.0.104.243</t>
  </si>
  <si>
    <t>1111111010100101100011111111110011110100100101010110011011110110111010011110100100110101000011001111010110111100101000101000011000010011000100101111010000100010100101100110111010001101101100010110000010010100101111101011000101001101110000111101111100101100</t>
  </si>
  <si>
    <t>c936</t>
  </si>
  <si>
    <t>1100100100110110</t>
  </si>
  <si>
    <t>51510</t>
  </si>
  <si>
    <t>18742</t>
  </si>
  <si>
    <t>1010000111000101</t>
  </si>
  <si>
    <t>30210312</t>
  </si>
  <si>
    <t>144466</t>
  </si>
  <si>
    <t>1i9m</t>
  </si>
  <si>
    <t>0110110010010011</t>
  </si>
  <si>
    <t>27795</t>
  </si>
  <si>
    <t>1010110110101101</t>
  </si>
  <si>
    <t>1011011011001001</t>
  </si>
  <si>
    <t>14025</t>
  </si>
  <si>
    <t>36c9000000000000000000000000000000000000000000000000000000000000</t>
  </si>
  <si>
    <t>0111000000100101101101001110111110110011111111110100001011101011010011010110110101110001111110101011011010110101001110110100111101001001011001111110001111011101</t>
  </si>
  <si>
    <t>01515</t>
  </si>
  <si>
    <t>1001001001101101</t>
  </si>
  <si>
    <t>0110010010011011</t>
  </si>
  <si>
    <t>0011011011001001</t>
  </si>
  <si>
    <t>1x2,0x2,1x1,0x2,1x1,0x2,1x2,0x1,1x2,0x1</t>
  </si>
  <si>
    <t>3:1 6:1 9:1 c:1</t>
  </si>
  <si>
    <t>24643</t>
  </si>
  <si>
    <t>-2224</t>
  </si>
  <si>
    <t>51511</t>
  </si>
  <si>
    <t>51509</t>
  </si>
  <si>
    <t>0x00 00 00 00 00 00 00 00 00 00 00 00 00 00 00 00 00 00 00 00 00 00 00 00 00 00 00 00 00 00 c9 36</t>
  </si>
  <si>
    <t>0,0,0,0,0,0,0,0,0,0,0,0,0,0,0,0,0,0,0,0,0,0,0,0,0,0,0,0,0,0,201,54</t>
  </si>
  <si>
    <t>...............................6</t>
  </si>
  <si>
    <t>0.0.201.54</t>
  </si>
  <si>
    <t>1001110110001100010111010011010100100011000111010111010111101011100001111111110100101100010111110000010111110110010100101000000111101101100101010111001111011100010000011000010100110010100010001100011000101110111010010100111010110010010110010000101101111010</t>
  </si>
  <si>
    <t>1764f</t>
  </si>
  <si>
    <t>10111011001001111</t>
  </si>
  <si>
    <t>95823</t>
  </si>
  <si>
    <t>30287</t>
  </si>
  <si>
    <t>11011111101111001</t>
  </si>
  <si>
    <t>113121033</t>
  </si>
  <si>
    <t>273117</t>
  </si>
  <si>
    <t>2tif</t>
  </si>
  <si>
    <t>11110010011011101</t>
  </si>
  <si>
    <t>124125</t>
  </si>
  <si>
    <t>11100110101101000</t>
  </si>
  <si>
    <t>11000100110110000</t>
  </si>
  <si>
    <t>35248</t>
  </si>
  <si>
    <t>4f76010000000000000000000000000000000000000000000000000000000000</t>
  </si>
  <si>
    <t>1011011001111100101101101110110111101010101111000000110010001011100100100111110010011110101000110010011101100010100011100111101010100110001111100010110101010010</t>
  </si>
  <si>
    <t>32859</t>
  </si>
  <si>
    <t>01110110010011111</t>
  </si>
  <si>
    <t>11011101100100111</t>
  </si>
  <si>
    <t>01000100110110000</t>
  </si>
  <si>
    <t>1x1,0x1,1x3,0x1,1x2,0x2,1x1,0x2,1x4</t>
  </si>
  <si>
    <t>1:1 4:1 6:1 7:1 f:1</t>
  </si>
  <si>
    <t>44313</t>
  </si>
  <si>
    <t>-7197</t>
  </si>
  <si>
    <t>95824</t>
  </si>
  <si>
    <t>95822</t>
  </si>
  <si>
    <t>0x00 00 00 00 00 00 00 00 00 00 00 00 00 00 00 00 00 00 00 00 00 00 00 00 00 00 00 00 00 01 76 4f</t>
  </si>
  <si>
    <t>0,0,0,0,0,0,0,0,0,0,0,0,0,0,0,0,0,0,0,0,0,0,0,0,0,0,0,0,0,1,118,79</t>
  </si>
  <si>
    <t>..............................vO</t>
  </si>
  <si>
    <t>0.1.118.79</t>
  </si>
  <si>
    <t>0011111101101000100010111010111010000011001000011011100011100000001010110111111001101100000010100101010111000010010100010101111110110010010110101011100101111101100001011111110110101000010000100100010010011111011110111111101000000100111000010010100011000011</t>
  </si>
  <si>
    <t>3080d</t>
  </si>
  <si>
    <t>110000100000001101</t>
  </si>
  <si>
    <t>198669</t>
  </si>
  <si>
    <t>67597</t>
  </si>
  <si>
    <t>100111111001000010</t>
  </si>
  <si>
    <t>300200031</t>
  </si>
  <si>
    <t>604015</t>
  </si>
  <si>
    <t>620d</t>
  </si>
  <si>
    <t>101100000001000011</t>
  </si>
  <si>
    <t>180291</t>
  </si>
  <si>
    <t>101000110000001011</t>
  </si>
  <si>
    <t>101111011111110010</t>
  </si>
  <si>
    <t>63474</t>
  </si>
  <si>
    <t>0d08030000000000000000000000000000000000000000000000000000000000</t>
  </si>
  <si>
    <t>1010110100011110100001010010101100001000111010111010010100111101111100110000011011101100100111011010101010001100011001000011010000100110100101010011111110010100</t>
  </si>
  <si>
    <t>966891</t>
  </si>
  <si>
    <t>100001000000011011</t>
  </si>
  <si>
    <t>111000010000000110</t>
  </si>
  <si>
    <t>001111011111110010</t>
  </si>
  <si>
    <t>1x2,0x4,1x1,0x7,1x2,0x1,1x1</t>
  </si>
  <si>
    <t>0:2 3:1 8:1 d:1</t>
  </si>
  <si>
    <t>102846</t>
  </si>
  <si>
    <t>7023</t>
  </si>
  <si>
    <t>198670</t>
  </si>
  <si>
    <t>198668</t>
  </si>
  <si>
    <t>0x00 00 00 00 00 00 00 00 00 00 00 00 00 00 00 00 00 00 00 00 00 00 00 00 00 00 00 00 00 03 08 0d</t>
  </si>
  <si>
    <t>0,0,0,0,0,0,0,0,0,0,0,0,0,0,0,0,0,0,0,0,0,0,0,0,0,0,0,0,0,3,8,13</t>
  </si>
  <si>
    <t>0.3.8.13</t>
  </si>
  <si>
    <t>0000110011100100101000110010100100011011000110011101001011100001101001111011111101110011111011101000011111010011000010100110101111011011110001110010101100100000011101110001111001111101111111111111010000001101000011011011011101010101110011010100101011110001</t>
  </si>
  <si>
    <t>5749f</t>
  </si>
  <si>
    <t>1010111010010011111</t>
  </si>
  <si>
    <t>357535</t>
  </si>
  <si>
    <t>95391</t>
  </si>
  <si>
    <t>1100111110010010010</t>
  </si>
  <si>
    <t>1113102133</t>
  </si>
  <si>
    <t>1272237</t>
  </si>
  <si>
    <t>at4v</t>
  </si>
  <si>
    <t>1111100100101110101</t>
  </si>
  <si>
    <t>510325</t>
  </si>
  <si>
    <t>1111100111011010000</t>
  </si>
  <si>
    <t>1101000101101100000</t>
  </si>
  <si>
    <t>166752</t>
  </si>
  <si>
    <t>9f74050000000000000000000000000000000000000000000000000000000000</t>
  </si>
  <si>
    <t>1110101111111011111001101000000110011111110011011110101110101011000001100001011100110010110011101001000111011111011111010101100001101010000000110111110111101110</t>
  </si>
  <si>
    <t>535753</t>
  </si>
  <si>
    <t>0101110100100111111</t>
  </si>
  <si>
    <t>1101011101001001111</t>
  </si>
  <si>
    <t>0101000101101100000</t>
  </si>
  <si>
    <t>1x1,0x1,1x1,0x1,1x3,0x1,1x1,0x2,1x1,0x2,1x5</t>
  </si>
  <si>
    <t>4:1 5:1 7:1 9:1 f:1</t>
  </si>
  <si>
    <t>158866</t>
  </si>
  <si>
    <t>-39803</t>
  </si>
  <si>
    <t>357536</t>
  </si>
  <si>
    <t>357534</t>
  </si>
  <si>
    <t>0x00 00 00 00 00 00 00 00 00 00 00 00 00 00 00 00 00 00 00 00 00 00 00 00 00 00 00 00 00 05 74 9f</t>
  </si>
  <si>
    <t>0,0,0,0,0,0,0,0,0,0,0,0,0,0,0,0,0,0,0,0,0,0,0,0,0,0,0,0,0,5,116,159</t>
  </si>
  <si>
    <t>..............................t.</t>
  </si>
  <si>
    <t>0.5.116.159</t>
  </si>
  <si>
    <t>1000010101100110001111001000101100101111100100000110010110011110000111001100101010110010000000010110100101001111010011111000111011000010010010110011011101001001110011111110010100000011000011000111110000110110010001101010011100001001010000001000111000011001</t>
  </si>
  <si>
    <t>d2c55</t>
  </si>
  <si>
    <t>11010010110001010101</t>
  </si>
  <si>
    <t>863317</t>
  </si>
  <si>
    <t>339029</t>
  </si>
  <si>
    <t>10000101100011001010</t>
  </si>
  <si>
    <t>3102301111</t>
  </si>
  <si>
    <t>3226125</t>
  </si>
  <si>
    <t>qb2l</t>
  </si>
  <si>
    <t>10101010001101001011</t>
  </si>
  <si>
    <t>697163</t>
  </si>
  <si>
    <t>10111011101001111111</t>
  </si>
  <si>
    <t>10101101001110101010</t>
  </si>
  <si>
    <t>185258</t>
  </si>
  <si>
    <t>552c0d0000000000000000000000000000000000000000000000000000000000</t>
  </si>
  <si>
    <t>1011100100000111110000111010001010100011101100100111011110001001110111111011010100001001101101110011000011011101010001110111000000111100001001110010100001101000</t>
  </si>
  <si>
    <t>713368</t>
  </si>
  <si>
    <t>10100101100010101011</t>
  </si>
  <si>
    <t>11101001011000101010</t>
  </si>
  <si>
    <t>00101101001110101010</t>
  </si>
  <si>
    <t>1x2,0x1,1x1,0x2,1x1,0x1,1x2,0x3,1x1,0x1,1x1,0x1,1x1,0x1,1x1</t>
  </si>
  <si>
    <t>2:1 5:2 c:1 d:1</t>
  </si>
  <si>
    <t>505782</t>
  </si>
  <si>
    <t>148247</t>
  </si>
  <si>
    <t>863318</t>
  </si>
  <si>
    <t>863316</t>
  </si>
  <si>
    <t>0x00 00 00 00 00 00 00 00 00 00 00 00 00 00 00 00 00 00 00 00 00 00 00 00 00 00 00 00 00 0d 2c 55</t>
  </si>
  <si>
    <t>0,0,0,0,0,0,0,0,0,0,0,0,0,0,0,0,0,0,0,0,0,0,0,0,0,0,0,0,0,13,44,85</t>
  </si>
  <si>
    <t>..............................,U</t>
  </si>
  <si>
    <t>0.13.44.85</t>
  </si>
  <si>
    <t>0011110001001010010001011100101111010110010000111111111110010111110101110111111101000001111010100011011111101000010000110110010010001101010100001111110110001001010010111000011001001011000011010101001011111110101111000110001011110110010001010100111101111100</t>
  </si>
  <si>
    <t>1ba534</t>
  </si>
  <si>
    <t>110111010010100110100</t>
  </si>
  <si>
    <t>1811764</t>
  </si>
  <si>
    <t>763188</t>
  </si>
  <si>
    <t>101101000100101100001</t>
  </si>
  <si>
    <t>12322110310</t>
  </si>
  <si>
    <t>6722464</t>
  </si>
  <si>
    <t>1n99k</t>
  </si>
  <si>
    <t>001011001010010111011</t>
  </si>
  <si>
    <t>365755</t>
  </si>
  <si>
    <t>101100111011110101110</t>
  </si>
  <si>
    <t>101000101101011001011</t>
  </si>
  <si>
    <t>285387</t>
  </si>
  <si>
    <t>34a51b0000000000000000000000000000000000000000000000000000000000</t>
  </si>
  <si>
    <t>0010100110100111100000100001001111001010101010011110111010101000001001001010110011110000100000000010001010101011100111011111110010000011010000010100111101010110</t>
  </si>
  <si>
    <t>4671181</t>
  </si>
  <si>
    <t>101110100101001101001</t>
  </si>
  <si>
    <t>011011101001010011010</t>
  </si>
  <si>
    <t>001000101101011001011</t>
  </si>
  <si>
    <t>1x2,0x1,1x3,0x1,1x1,0x2,1x1,0x1,1x1,0x2,1x2,0x1,1x1,0x2</t>
  </si>
  <si>
    <t>1:1 3:1 4:1 5:1 a:1 b:1</t>
  </si>
  <si>
    <t>948447</t>
  </si>
  <si>
    <t>85130</t>
  </si>
  <si>
    <t>1811765</t>
  </si>
  <si>
    <t>1811763</t>
  </si>
  <si>
    <t>0x00 00 00 00 00 00 00 00 00 00 00 00 00 00 00 00 00 00 00 00 00 00 00 00 00 00 00 00 00 1b a5 34</t>
  </si>
  <si>
    <t>0,0,0,0,0,0,0,0,0,0,0,0,0,0,0,0,0,0,0,0,0,0,0,0,0,0,0,0,0,27,165,52</t>
  </si>
  <si>
    <t>...............................4</t>
  </si>
  <si>
    <t>0.27.165.52</t>
  </si>
  <si>
    <t>0001101001110100011011000111100011110111001001110101010011100000101111100000010001100001100001101101111110001010001000001100110111001110010111000111100110110010111011011010011101100000000100111100011001000111101011110000100011010011000001101110010010011110</t>
  </si>
  <si>
    <t>2de40f</t>
  </si>
  <si>
    <t>1011011110010000001111</t>
  </si>
  <si>
    <t>3007503</t>
  </si>
  <si>
    <t>910351</t>
  </si>
  <si>
    <t>1101100100000100111011</t>
  </si>
  <si>
    <t>23132100033</t>
  </si>
  <si>
    <t>13362017</t>
  </si>
  <si>
    <t>2rp0f</t>
  </si>
  <si>
    <t>1111000000100111101101</t>
  </si>
  <si>
    <t>3934701</t>
  </si>
  <si>
    <t>1110110001011000001000</t>
  </si>
  <si>
    <t>1100100001101111110000</t>
  </si>
  <si>
    <t>1186800</t>
  </si>
  <si>
    <t>0fe42d0000000000000000000000000000000000000000000000000000000000</t>
  </si>
  <si>
    <t>0111111111110100010100110000001101110111010011101111011110100101001011111111111111011000000000010001100110000001000000110100101100100101100011001011100001101011</t>
  </si>
  <si>
    <t>3057003</t>
  </si>
  <si>
    <t>0110111100100000011111</t>
  </si>
  <si>
    <t>1101101111001000000111</t>
  </si>
  <si>
    <t>0100100001101111110000</t>
  </si>
  <si>
    <t>1x1,0x1,1x2,0x1,1x4,0x2,1x1,0x6,1x4</t>
  </si>
  <si>
    <t>0:1 2:1 4:1 d:1 e:1 f:1</t>
  </si>
  <si>
    <t>1195739</t>
  </si>
  <si>
    <t>-616025</t>
  </si>
  <si>
    <t>3007504</t>
  </si>
  <si>
    <t>3007502</t>
  </si>
  <si>
    <t>0x00 00 00 00 00 00 00 00 00 00 00 00 00 00 00 00 00 00 00 00 00 00 00 00 00 00 00 00 00 2d e4 0f</t>
  </si>
  <si>
    <t>0,0,0,0,0,0,0,0,0,0,0,0,0,0,0,0,0,0,0,0,0,0,0,0,0,0,0,0,0,45,228,15</t>
  </si>
  <si>
    <t>.............................-..</t>
  </si>
  <si>
    <t>0.45.228.15</t>
  </si>
  <si>
    <t>0011111011011001011010110101001001001101101101011111111101001111111000000000011111001110011100110000001101100110000001010010101101111100010100010001110111000101011001100010001001111101100100101001000001110000101110011100111010010001011110101011101101000011</t>
  </si>
  <si>
    <t>556e52</t>
  </si>
  <si>
    <t>10101010110111001010010</t>
  </si>
  <si>
    <t>5598802</t>
  </si>
  <si>
    <t>1404498</t>
  </si>
  <si>
    <t>11110001000101001011101</t>
  </si>
  <si>
    <t>111112321102</t>
  </si>
  <si>
    <t>25267122</t>
  </si>
  <si>
    <t>5arii</t>
  </si>
  <si>
    <t>01001010011101101010101</t>
  </si>
  <si>
    <t>2440021</t>
  </si>
  <si>
    <t>11111111101100101111011</t>
  </si>
  <si>
    <t>11010101001000110101101</t>
  </si>
  <si>
    <t>2789805</t>
  </si>
  <si>
    <t>526e550000000000000000000000000000000000000000000000000000000000</t>
  </si>
  <si>
    <t>1101000010100111100111011111000110001001111111100001101011010101110000110000011011001100011100000100100101111011001101011000010000010101110110100101011110011110</t>
  </si>
  <si>
    <t>2088955</t>
  </si>
  <si>
    <t>01010101101110010100101</t>
  </si>
  <si>
    <t>01010101011011100101001</t>
  </si>
  <si>
    <t>01010101001000110101101</t>
  </si>
  <si>
    <t>1x1,0x1,1x1,0x1,1x1,0x1,1x1,0x1,1x2,0x1,1x3,0x2,1x1,0x1,1x1,0x2,1x1,0x1</t>
  </si>
  <si>
    <t>2:1 5:3 6:1 e:1</t>
  </si>
  <si>
    <t>2591299</t>
  </si>
  <si>
    <t>-416204</t>
  </si>
  <si>
    <t>5598803</t>
  </si>
  <si>
    <t>5598801</t>
  </si>
  <si>
    <t>0x00 00 00 00 00 00 00 00 00 00 00 00 00 00 00 00 00 00 00 00 00 00 00 00 00 00 00 00 00 55 6e 52</t>
  </si>
  <si>
    <t>0,0,0,0,0,0,0,0,0,0,0,0,0,0,0,0,0,0,0,0,0,0,0,0,0,0,0,0,0,85,110,82</t>
  </si>
  <si>
    <t>.............................UnR</t>
  </si>
  <si>
    <t>0.85.110.82</t>
  </si>
  <si>
    <t>1111100000100111000100000011011000011011100010111000000110111101111011011011000101101001100101001111001100001100100000001101101101010010001001000101000010101001001111101000111010000111111011101011000001111111011110010000001111001111001010001101000001001011</t>
  </si>
  <si>
    <t>dc2a04</t>
  </si>
  <si>
    <t>110111000010101000000100</t>
  </si>
  <si>
    <t>14428676</t>
  </si>
  <si>
    <t>6040068</t>
  </si>
  <si>
    <t>100010010100010001010110</t>
  </si>
  <si>
    <t>313002220010</t>
  </si>
  <si>
    <t>67025004</t>
  </si>
  <si>
    <t>doag4</t>
  </si>
  <si>
    <t>001000000101010000111011</t>
  </si>
  <si>
    <t>2118715</t>
  </si>
  <si>
    <t>101100100011111100000110</t>
  </si>
  <si>
    <t>101000111101010111111011</t>
  </si>
  <si>
    <t>2348539</t>
  </si>
  <si>
    <t>042adc0000000000000000000000000000000000000000000000000000000000</t>
  </si>
  <si>
    <t>0000100101011001111010000000000100100001111100110110101011101010000100111011001110111010110100110110000111000001010111011010110000100110000110001001111000101111</t>
  </si>
  <si>
    <t>67682441</t>
  </si>
  <si>
    <t>101110000101010000001001</t>
  </si>
  <si>
    <t>011011100001010100000010</t>
  </si>
  <si>
    <t>001000111101010111111011</t>
  </si>
  <si>
    <t>1x2,0x1,1x3,0x4,1x1,0x1,1x1,0x1,1x1,0x6,1x1,0x2</t>
  </si>
  <si>
    <t>0:1 2:1 4:1 a:1 c:1 d:1</t>
  </si>
  <si>
    <t>8829874</t>
  </si>
  <si>
    <t>3231072</t>
  </si>
  <si>
    <t>14428677</t>
  </si>
  <si>
    <t>14428675</t>
  </si>
  <si>
    <t>0x00 00 00 00 00 00 00 00 00 00 00 00 00 00 00 00 00 00 00 00 00 00 00 00 00 00 00 00 00 dc 2a 04</t>
  </si>
  <si>
    <t>0,0,0,0,0,0,0,0,0,0,0,0,0,0,0,0,0,0,0,0,0,0,0,0,0,0,0,0,0,220,42,4</t>
  </si>
  <si>
    <t>..............................*.</t>
  </si>
  <si>
    <t>0.220.42.4</t>
  </si>
  <si>
    <t>0110111010101000001110011101001000101000010001111110111000011101110011100011101111111100010110110001000111110110110011110111100001011011000001101000001011011011010110001100001101011011011000111101000100110100001011101011001000100001110000110100100100001100</t>
  </si>
  <si>
    <t>1fa5ee5</t>
  </si>
  <si>
    <t>1111110100101111011100101</t>
  </si>
  <si>
    <t>33185509</t>
  </si>
  <si>
    <t>16408293</t>
  </si>
  <si>
    <t>1001001100111010011100001</t>
  </si>
  <si>
    <t>1332211323211</t>
  </si>
  <si>
    <t>176457345</t>
  </si>
  <si>
    <t>vknn5</t>
  </si>
  <si>
    <t>1010011101111010010111111</t>
  </si>
  <si>
    <t>21951679</t>
  </si>
  <si>
    <t>1000001110111000110010111</t>
  </si>
  <si>
    <t>1000001011010000100011010</t>
  </si>
  <si>
    <t>368922</t>
  </si>
  <si>
    <t>e55efa0100000000000000000000000000000000000000000000000000000000</t>
  </si>
  <si>
    <t>0010111100111001011010110010100110110010011100110010010000110000000011010000110001011001101100010111110000111010101111000001100000110101101111010011110110111011</t>
  </si>
  <si>
    <t>90558133</t>
  </si>
  <si>
    <t>1111101001011110111001011</t>
  </si>
  <si>
    <t>1111111010010111101110010</t>
  </si>
  <si>
    <t>0000001011010000100011010</t>
  </si>
  <si>
    <t>1x6,0x1,1x1,0x2,1x1,0x1,1x4,0x1,1x3,0x2,1x1,0x1,1x1</t>
  </si>
  <si>
    <t>1:1 5:2 a:1 e:2 f:1</t>
  </si>
  <si>
    <t>18756833</t>
  </si>
  <si>
    <t>4328157</t>
  </si>
  <si>
    <t>33185510</t>
  </si>
  <si>
    <t>33185508</t>
  </si>
  <si>
    <t>0x00 00 00 00 00 00 00 00 00 00 00 00 00 00 00 00 00 00 00 00 00 00 00 00 00 00 00 00 01 fa 5e e5</t>
  </si>
  <si>
    <t>0,0,0,0,0,0,0,0,0,0,0,0,0,0,0,0,0,0,0,0,0,0,0,0,0,0,0,0,1,250,94,229</t>
  </si>
  <si>
    <t>..............................^.</t>
  </si>
  <si>
    <t>1.250.94.229</t>
  </si>
  <si>
    <t>0000010101111111101111101010001110100010011000100011001110000010011000101000110111011110010101010110101100101010000001101001100011100011001001000010100011010011110011010010001001011111001110111101000000110100110111001010100000101101110101110100010101011010</t>
  </si>
  <si>
    <t>340326e</t>
  </si>
  <si>
    <t>11010000000011001001101110</t>
  </si>
  <si>
    <t>54538862</t>
  </si>
  <si>
    <t>20984430</t>
  </si>
  <si>
    <t>10101110100110110010001011</t>
  </si>
  <si>
    <t>3100003021232</t>
  </si>
  <si>
    <t>320031156</t>
  </si>
  <si>
    <t>1k0cje</t>
  </si>
  <si>
    <t>01110110010011000000001011</t>
  </si>
  <si>
    <t>31010827</t>
  </si>
  <si>
    <t>10111000000010101101011001</t>
  </si>
  <si>
    <t>10101111111100110110010001</t>
  </si>
  <si>
    <t>12570001</t>
  </si>
  <si>
    <t>6e32400300000000000000000000000000000000000000000000000000000000</t>
  </si>
  <si>
    <t>1011111111101011101101110011010101100010110101000101010000011011001100101010000000101011101001100110010011010001010000001011010110100101011101000111100100101111</t>
  </si>
  <si>
    <t>26883545</t>
  </si>
  <si>
    <t>10100000000110010011011101</t>
  </si>
  <si>
    <t>01101000000001100100110111</t>
  </si>
  <si>
    <t>00101111111100110110010001</t>
  </si>
  <si>
    <t>1x2,0x1,1x1,0x8,1x2,0x2,1x1,0x2,1x2,0x1,1x3,0x1</t>
  </si>
  <si>
    <t>0:1 2:1 3:2 4:1 6:1 e:1</t>
  </si>
  <si>
    <t>21353353</t>
  </si>
  <si>
    <t>-11832156</t>
  </si>
  <si>
    <t>54538863</t>
  </si>
  <si>
    <t>54538861</t>
  </si>
  <si>
    <t>0x00 00 00 00 00 00 00 00 00 00 00 00 00 00 00 00 00 00 00 00 00 00 00 00 00 00 00 00 03 40 32 6e</t>
  </si>
  <si>
    <t>0,0,0,0,0,0,0,0,0,0,0,0,0,0,0,0,0,0,0,0,0,0,0,0,0,0,0,0,3,64,50,110</t>
  </si>
  <si>
    <t>.............................@2n</t>
  </si>
  <si>
    <t>3.64.50.110</t>
  </si>
  <si>
    <t>0100111001001111010100001010001010100011111011001100110110110011011010001001100010001010111000110111110011010100101101100001000101101001011110110010011010110010100101101001011011100100001011100000011011010111000100110110100010110100111100111000010000001111</t>
  </si>
  <si>
    <t>6ac3875</t>
  </si>
  <si>
    <t>110101011000011100001110101</t>
  </si>
  <si>
    <t>111949941</t>
  </si>
  <si>
    <t>44841077</t>
  </si>
  <si>
    <t>101111011000000101000011011</t>
  </si>
  <si>
    <t>12223003201311</t>
  </si>
  <si>
    <t>653034165</t>
  </si>
  <si>
    <t>3aoe3l</t>
  </si>
  <si>
    <t>101011100001110000110101011</t>
  </si>
  <si>
    <t>91283883</t>
  </si>
  <si>
    <t>101111110100010010001001111</t>
  </si>
  <si>
    <t>101010100111100011110001010</t>
  </si>
  <si>
    <t>22267786</t>
  </si>
  <si>
    <t>7538ac0600000000000000000000000000000000000000000000000000000000</t>
  </si>
  <si>
    <t>0000110001111010101011110110110010101010011111100101010000100100101101100011110100110001011111110000111110001111000111111001111110100100000011010101010101100000</t>
  </si>
  <si>
    <t>149949111</t>
  </si>
  <si>
    <t>101010110000111000011101011</t>
  </si>
  <si>
    <t>111010101100001110000111010</t>
  </si>
  <si>
    <t>001010100111100011110001010</t>
  </si>
  <si>
    <t>1x2,0x1,1x1,0x1,1x1,0x1,1x2,0x4,1x3,0x4,1x3,0x1,1x1,0x1,1x1</t>
  </si>
  <si>
    <t>3:1 5:1 6:1 7:1 8:1 a:1 c:1</t>
  </si>
  <si>
    <t>57411079</t>
  </si>
  <si>
    <t>2872217</t>
  </si>
  <si>
    <t>111949942</t>
  </si>
  <si>
    <t>111949940</t>
  </si>
  <si>
    <t>0x00 00 00 00 00 00 00 00 00 00 00 00 00 00 00 00 00 00 00 00 00 00 00 00 00 00 00 00 06 ac 38 75</t>
  </si>
  <si>
    <t>0,0,0,0,0,0,0,0,0,0,0,0,0,0,0,0,0,0,0,0,0,0,0,0,0,0,0,0,6,172,56,117</t>
  </si>
  <si>
    <t>..............................8u</t>
  </si>
  <si>
    <t>6.172.56.117</t>
  </si>
  <si>
    <t>0001101010000110010010111010111000111001001000101111001101010001111100011011010101111100111111011101100000100111110000100101101101111110000010010011110010111001110010001000101001110010110000011100110110001001001111011001111110010000111101000100111011001110</t>
  </si>
  <si>
    <t>d916ce8</t>
  </si>
  <si>
    <t>1101100100010110110011101000</t>
  </si>
  <si>
    <t>227634408</t>
  </si>
  <si>
    <t>93416680</t>
  </si>
  <si>
    <t>1011001111010101010010011101</t>
  </si>
  <si>
    <t>31210112303220</t>
  </si>
  <si>
    <t>1544266350</t>
  </si>
  <si>
    <t>6p2r78</t>
  </si>
  <si>
    <t>0001011100110110100010011011</t>
  </si>
  <si>
    <t>24340635</t>
  </si>
  <si>
    <t>1011010110011101101010011100</t>
  </si>
  <si>
    <t>1010011011101001001100010111</t>
  </si>
  <si>
    <t>40801047</t>
  </si>
  <si>
    <t>e86c910d00000000000000000000000000000000000000000000000000000000</t>
  </si>
  <si>
    <t>0001001100000110101110011110010011111111010101100101000100111010010001110110100001000001101110101100011110111010010010001101011010010101000101101011000111011010</t>
  </si>
  <si>
    <t>804436722</t>
  </si>
  <si>
    <t>1011001000101101100111010001</t>
  </si>
  <si>
    <t>0110110010001011011001110100</t>
  </si>
  <si>
    <t>0010011011101001001100010111</t>
  </si>
  <si>
    <t>1x2,0x1,1x2,0x2,1x1,0x3,1x1,0x1,1x2,0x1,1x2,0x2,1x3,0x1,1x1,0x3</t>
  </si>
  <si>
    <t>1:1 6:1 8:1 9:1 c:1 d:1 e:1</t>
  </si>
  <si>
    <t>115684467</t>
  </si>
  <si>
    <t>3734526</t>
  </si>
  <si>
    <t>227634409</t>
  </si>
  <si>
    <t>227634407</t>
  </si>
  <si>
    <t>0x00 00 00 00 00 00 00 00 00 00 00 00 00 00 00 00 00 00 00 00 00 00 00 00 00 00 00 00 0d 91 6c e8</t>
  </si>
  <si>
    <t>0,0,0,0,0,0,0,0,0,0,0,0,0,0,0,0,0,0,0,0,0,0,0,0,0,0,0,0,13,145,108,232</t>
  </si>
  <si>
    <t>..............................l.</t>
  </si>
  <si>
    <t>13.145.108.232</t>
  </si>
  <si>
    <t>1110100111100110011000011000001110001010100101101010011001010011001100010110001101111110001010100011111010010100100011011100000001110101011011100101000000001001111001111100101101011100001101100110011001001101100110110111001011011101000110001100000010100111</t>
  </si>
  <si>
    <t>17e2551e</t>
  </si>
  <si>
    <t>10111111000100101010100011110</t>
  </si>
  <si>
    <t>400708894</t>
  </si>
  <si>
    <t>132273438</t>
  </si>
  <si>
    <t>11010011100110011100111110110</t>
  </si>
  <si>
    <t>113320211110132</t>
  </si>
  <si>
    <t>2770452436</t>
  </si>
  <si>
    <t>bu4l8u</t>
  </si>
  <si>
    <t>01111000101010100100011111101</t>
  </si>
  <si>
    <t>253053181</t>
  </si>
  <si>
    <t>11100000100110111111110010001</t>
  </si>
  <si>
    <t>11000000111011010101011100001</t>
  </si>
  <si>
    <t>136162017</t>
  </si>
  <si>
    <t>1e55e21700000000000000000000000000000000000000000000000000000000</t>
  </si>
  <si>
    <t>0101101001000001011011001100100100010100100011110100101000110111011110110110011100101100100010101110010111010011001010000111101011011010101011111010110111101100</t>
  </si>
  <si>
    <t>498807004</t>
  </si>
  <si>
    <t>01111110001001010101000111101</t>
  </si>
  <si>
    <t>01011111100010010101010001111</t>
  </si>
  <si>
    <t>01000000111011010101011100001</t>
  </si>
  <si>
    <t>1x1,0x1,1x6,0x3,1x1,0x2,1x1,0x1,1x1,0x1,1x1,0x1,1x1,0x3,1x4,0x1</t>
  </si>
  <si>
    <t>1:2 2:1 5:2 7:1 e:2</t>
  </si>
  <si>
    <t>173074486</t>
  </si>
  <si>
    <t>-54559922</t>
  </si>
  <si>
    <t>400708895</t>
  </si>
  <si>
    <t>400708893</t>
  </si>
  <si>
    <t>0x00 00 00 00 00 00 00 00 00 00 00 00 00 00 00 00 00 00 00 00 00 00 00 00 00 00 00 00 17 e2 55 1e</t>
  </si>
  <si>
    <t>0,0,0,0,0,0,0,0,0,0,0,0,0,0,0,0,0,0,0,0,0,0,0,0,0,0,0,0,23,226,85,30</t>
  </si>
  <si>
    <t>..............................U.</t>
  </si>
  <si>
    <t>23.226.85.30</t>
  </si>
  <si>
    <t>0110110010101010110101100011010000111000001011010011010001101001000111100011101111101111010000111110110101001010000100100100110110001001000010011010100010100011001101100010111110010001111100011101001000001010101110101010111101111110100100010111101100110110</t>
  </si>
  <si>
    <t>3d94cd64</t>
  </si>
  <si>
    <t>111101100101001100110101100100</t>
  </si>
  <si>
    <t>1033162084</t>
  </si>
  <si>
    <t>496291172</t>
  </si>
  <si>
    <t>101010011101101001100001111010</t>
  </si>
  <si>
    <t>331211030311210</t>
  </si>
  <si>
    <t>7545146544</t>
  </si>
  <si>
    <t>up9jb4</t>
  </si>
  <si>
    <t>001001101011001100101001101111</t>
  </si>
  <si>
    <t>162318959</t>
  </si>
  <si>
    <t>100011010111101010101111010110</t>
  </si>
  <si>
    <t>100010011010110011001010011011</t>
  </si>
  <si>
    <t>40579739</t>
  </si>
  <si>
    <t>64cd943d00000000000000000000000000000000000000000000000000000000</t>
  </si>
  <si>
    <t>1101001110011100010001110000010001100110010011100001110111101011011101101100100100110011000111100110001101110101011001001100001001010111110101101000101000001000</t>
  </si>
  <si>
    <t>4802613301</t>
  </si>
  <si>
    <t>111011001010011001101011001001</t>
  </si>
  <si>
    <t>011110110010100110011010110010</t>
  </si>
  <si>
    <t>000010011010110011001010011011</t>
  </si>
  <si>
    <t>1x4,0x1,1x2,0x2,1x1,0x1,1x1,0x2,1x2,0x2,1x2,0x1,1x1,0x1,1x2,0x2,1x1,0x2</t>
  </si>
  <si>
    <t>3:1 4:2 6:1 9:1 c:1 d:2</t>
  </si>
  <si>
    <t>632453190</t>
  </si>
  <si>
    <t>231744296</t>
  </si>
  <si>
    <t>1033162085</t>
  </si>
  <si>
    <t>1033162083</t>
  </si>
  <si>
    <t>0x00 00 00 00 00 00 00 00 00 00 00 00 00 00 00 00 00 00 00 00 00 00 00 00 00 00 00 00 3d 94 cd 64</t>
  </si>
  <si>
    <t>0,0,0,0,0,0,0,0,0,0,0,0,0,0,0,0,0,0,0,0,0,0,0,0,0,0,0,0,61,148,205,100</t>
  </si>
  <si>
    <t>............................=..d</t>
  </si>
  <si>
    <t>61.148.205.100</t>
  </si>
  <si>
    <t>0000110100101000001011001111001011111111010100110110110100101100010000101111000100000101110100001011100001011000100010000010000110101001000101011101110000111111100110100000010110111101100110001011101100100011101011110110011110100010111010010010101001011011</t>
  </si>
  <si>
    <t>7d4fe747</t>
  </si>
  <si>
    <t>1111101010011111110011101000111</t>
  </si>
  <si>
    <t>2102388551</t>
  </si>
  <si>
    <t>1028646727</t>
  </si>
  <si>
    <t>1000000110110110010101000100011</t>
  </si>
  <si>
    <t>1331103332131013</t>
  </si>
  <si>
    <t>17523763507</t>
  </si>
  <si>
    <t>1ukvpq7</t>
  </si>
  <si>
    <t>1110001011100111111100101011111</t>
  </si>
  <si>
    <t>1903425887</t>
  </si>
  <si>
    <t>1000011111010000001010011100100</t>
  </si>
  <si>
    <t>1000010101100000001100010111000</t>
  </si>
  <si>
    <t>45095096</t>
  </si>
  <si>
    <t>47e74f7d00000000000000000000000000000000000000000000000000000000</t>
  </si>
  <si>
    <t>1101100000000101111101101111001001010001111101110100011110011110101111011000010100111011001111010000111101001011100110110010011001010110110110010010111100011101</t>
  </si>
  <si>
    <t>1558832012</t>
  </si>
  <si>
    <t>1111010100111111100111010001111</t>
  </si>
  <si>
    <t>1111110101001111111001110100011</t>
  </si>
  <si>
    <t>0000010101100000001100010111000</t>
  </si>
  <si>
    <t>1x5,0x1,1x1,0x1,1x1,0x2,1x7,0x2,1x3,0x1,1x1,0x3,1x3</t>
  </si>
  <si>
    <t>4:2 7:3 d:1 e:1 f:1</t>
  </si>
  <si>
    <t>1069226467</t>
  </si>
  <si>
    <t>36064383</t>
  </si>
  <si>
    <t>2102388552</t>
  </si>
  <si>
    <t>2102388550</t>
  </si>
  <si>
    <t>0x00 00 00 00 00 00 00 00 00 00 00 00 00 00 00 00 00 00 00 00 00 00 00 00 00 00 00 00 7d 4f e7 47</t>
  </si>
  <si>
    <t>0,0,0,0,0,0,0,0,0,0,0,0,0,0,0,0,0,0,0,0,0,0,0,0,0,0,0,0,125,79,231,71</t>
  </si>
  <si>
    <t>............................}O.G</t>
  </si>
  <si>
    <t>125.79.231.71</t>
  </si>
  <si>
    <t>1000011111011100011100001101101100011000000001101100110110011010100110100111011001100011011101000001001011101100000100011101110110011001100010111110011001100110010110000100100001001001101100110001100001011111011111111001001100010011110010001111110100101000</t>
  </si>
  <si>
    <t>b862a62e</t>
  </si>
  <si>
    <t>10111000011000101010011000101110</t>
  </si>
  <si>
    <t>3093472814</t>
  </si>
  <si>
    <t>945989166</t>
  </si>
  <si>
    <t>11000101001011010100000101101001</t>
  </si>
  <si>
    <t>2320120222120232</t>
  </si>
  <si>
    <t>27030523056</t>
  </si>
  <si>
    <t>2s659he</t>
  </si>
  <si>
    <t>01110100011001010100011000011101</t>
  </si>
  <si>
    <t>1952794141</t>
  </si>
  <si>
    <t>11100100010100111111010100111001</t>
  </si>
  <si>
    <t>11000111100111010101100111010001</t>
  </si>
  <si>
    <t>1201494481</t>
  </si>
  <si>
    <t>2ea662b800000000000000000000000000000000000000000000000000000000</t>
  </si>
  <si>
    <t>1001111001000010011000000001111011101010111011011100001001000100111000010101111100010111001101110101101011011011000011100010110011010000100011101111110111001001</t>
  </si>
  <si>
    <t>4182743903</t>
  </si>
  <si>
    <t>01110000110001010100110001011101</t>
  </si>
  <si>
    <t>01011100001100010101001100010111</t>
  </si>
  <si>
    <t>01000111100111010101100111010001</t>
  </si>
  <si>
    <t>1x1,0x1,1x3,0x4,1x2,0x3,1x1,0x1,1x1,0x1,1x1,0x2,1x2,0x3,1x1,0x1,1x3,0x1</t>
  </si>
  <si>
    <t>2:2 6:2 8:1 a:1 b:1 e:1</t>
  </si>
  <si>
    <t>991084263</t>
  </si>
  <si>
    <t>-1111304288</t>
  </si>
  <si>
    <t>3093472815</t>
  </si>
  <si>
    <t>3093472813</t>
  </si>
  <si>
    <t>0x00 00 00 00 00 00 00 00 00 00 00 00 00 00 00 00 00 00 00 00 00 00 00 00 00 00 00 00 b8 62 a6 2e</t>
  </si>
  <si>
    <t>0,0,0,0,0,0,0,0,0,0,0,0,0,0,0,0,0,0,0,0,0,0,0,0,0,0,0,0,184,98,166,46</t>
  </si>
  <si>
    <t>.............................b..</t>
  </si>
  <si>
    <t>184.98.166.46</t>
  </si>
  <si>
    <t>0000100111000101100000100100000011100101000011100011101110100011111110000011001111001000001001100101010111101000011100100101110000000011011110100010001010010100111000010100110011110101110101110011101001011101111110001101010101100001010110011101111001101001</t>
  </si>
  <si>
    <t>1a96ca8d8</t>
  </si>
  <si>
    <t>110101001011011001010100011011000</t>
  </si>
  <si>
    <t>7137437912</t>
  </si>
  <si>
    <t>2842470616</t>
  </si>
  <si>
    <t>100010001000011100000111011110110</t>
  </si>
  <si>
    <t>12221123022203120</t>
  </si>
  <si>
    <t>65133124330</t>
  </si>
  <si>
    <t>6kmpa6o</t>
  </si>
  <si>
    <t>000110110001010100110110100101011</t>
  </si>
  <si>
    <t>908750123</t>
  </si>
  <si>
    <t>101111101110110101111110010110100</t>
  </si>
  <si>
    <t>101010110100100110101011100100111</t>
  </si>
  <si>
    <t>1452496679</t>
  </si>
  <si>
    <t>d8a86ca901000000000000000000000000000000000000000000000000000000</t>
  </si>
  <si>
    <t>0100111000010101111001010001100010010111010100101101000111101010111101000100010011011111110101101011111111110011100110011111111010110000010001000011100101110111</t>
  </si>
  <si>
    <t>2197347317</t>
  </si>
  <si>
    <t>101010010110110010101000110110001</t>
  </si>
  <si>
    <t>011010100101101100101010001101100</t>
  </si>
  <si>
    <t>001010110100100110101011100100111</t>
  </si>
  <si>
    <t>1x2,0x1,1x1,0x1,1x1,0x2,1x1,0x1,1x2,0x1,1x2,0x2,1x1,0x1,1x1,0x1,1x1,0x3,1x2,0x1,1x2,0x3</t>
  </si>
  <si>
    <t>1:1 6:1 8:2 9:1 a:2 c:1 d:1</t>
  </si>
  <si>
    <t>4043965098</t>
  </si>
  <si>
    <t>950492284</t>
  </si>
  <si>
    <t>7137437913</t>
  </si>
  <si>
    <t>7137437911</t>
  </si>
  <si>
    <t>0x00 00 00 00 00 00 00 00 00 00 00 00 00 00 00 00 00 00 00 00 00 00 00 00 00 00 00 01 a9 6c a8 d8</t>
  </si>
  <si>
    <t>0,0,0,0,0,0,0,0,0,0,0,0,0,0,0,0,0,0,0,0,0,0,0,0,0,0,0,1,169,108,168,216</t>
  </si>
  <si>
    <t>.............................l..</t>
  </si>
  <si>
    <t>169.108.168.216</t>
  </si>
  <si>
    <t>1010001101010101101010100101111000101110000010011101110101000100101110110100011010100100011100100010111010010011001101101110100111100011111011100100111011100100111001111011011110100000110011110101011110000101101100101000001110111111001010101011010101111001</t>
  </si>
  <si>
    <t>34a65911d</t>
  </si>
  <si>
    <t>1101001010011001011001000100011101</t>
  </si>
  <si>
    <t>14133072157</t>
  </si>
  <si>
    <t>5543137565</t>
  </si>
  <si>
    <t>1011100011000010010011100111000101</t>
  </si>
  <si>
    <t>31022121121010131</t>
  </si>
  <si>
    <t>151231310435</t>
  </si>
  <si>
    <t>d56b48t</t>
  </si>
  <si>
    <t>1011100010001001101001100101001011</t>
  </si>
  <si>
    <t>12384115019</t>
  </si>
  <si>
    <t>1011101111010101110101100110010011</t>
  </si>
  <si>
    <t>1010110101100110100110111011100010</t>
  </si>
  <si>
    <t>3046797026</t>
  </si>
  <si>
    <t>1d91654a03000000000000000000000000000000000000000000000000000000</t>
  </si>
  <si>
    <t>1111011011010110011111010111100110000011101111110111000001000101000011110010100101011100100111001011100000101000110110101010101100100110010111110001101111111010</t>
  </si>
  <si>
    <t>75127033141</t>
  </si>
  <si>
    <t>1010010100110010110010001000111011</t>
  </si>
  <si>
    <t>1110100101001100101100100010001110</t>
  </si>
  <si>
    <t>0010110101100110100110111011100010</t>
  </si>
  <si>
    <t>1x2,0x1,1x1,0x2,1x1,0x1,1x1,0x2,1x2,0x2,1x1,0x1,1x2,0x2,1x1,0x3,1x1,0x3,1x3,0x1,1x1</t>
  </si>
  <si>
    <t>1:2 3:1 4:1 5:1 6:1 9:1 a:1 d:1</t>
  </si>
  <si>
    <t>6995634245</t>
  </si>
  <si>
    <t>-141803667</t>
  </si>
  <si>
    <t>14133072158</t>
  </si>
  <si>
    <t>14133072156</t>
  </si>
  <si>
    <t>0x00 00 00 00 00 00 00 00 00 00 00 00 00 00 00 00 00 00 00 00 00 00 00 00 00 00 00 03 4a 65 91 1d</t>
  </si>
  <si>
    <t>0,0,0,0,0,0,0,0,0,0,0,0,0,0,0,0,0,0,0,0,0,0,0,0,0,0,0,3,74,101,145,29</t>
  </si>
  <si>
    <t>............................Je..</t>
  </si>
  <si>
    <t>74.101.145.29</t>
  </si>
  <si>
    <t>0011110011011101100111010110110110010111110010111111111001111100001001101111100100000010111110101111011010100100001101010111100000001111111001100101001011100001010110011110110010010101001101100101000011101100011110110001000000000100000010000010011110010000</t>
  </si>
  <si>
    <t>4aed21170</t>
  </si>
  <si>
    <t>10010101110110100100001000101110000</t>
  </si>
  <si>
    <t>20112871792</t>
  </si>
  <si>
    <t>2933002608</t>
  </si>
  <si>
    <t>11111100100101101111000000001101101</t>
  </si>
  <si>
    <t>102232310201011300</t>
  </si>
  <si>
    <t>225664410560</t>
  </si>
  <si>
    <t>ind44bg</t>
  </si>
  <si>
    <t>00001110100010000100101101110101001</t>
  </si>
  <si>
    <t>1950505897</t>
  </si>
  <si>
    <t>11011111001101110110001100111001000</t>
  </si>
  <si>
    <t>11101010001001011011110111010001111</t>
  </si>
  <si>
    <t>14246866575</t>
  </si>
  <si>
    <t>7011d2ae04000000000000000000000000000000000000000000000000000000</t>
  </si>
  <si>
    <t>1111011011011000110011100010001001011111111110111101111011001110110000010111000011111000001010011000110000111111110000101000101011100110100001101101111100100101</t>
  </si>
  <si>
    <t>29717821102</t>
  </si>
  <si>
    <t>00101011101101001000010001011100001</t>
  </si>
  <si>
    <t>01001010111011010010000100010111000</t>
  </si>
  <si>
    <t>01101010001001011011110111010001111</t>
  </si>
  <si>
    <t>1x1,0x2,1x1,0x1,1x1,0x1,1x3,0x1,1x2,0x1,1x1,0x2,1x1,0x4,1x1,0x3,1x1,0x1,1x3,0x4</t>
  </si>
  <si>
    <t>0:1 1:2 2:1 4:1 7:1 a:1 d:1 e:1</t>
  </si>
  <si>
    <t>5979799635</t>
  </si>
  <si>
    <t>-8153272522</t>
  </si>
  <si>
    <t>20112871793</t>
  </si>
  <si>
    <t>20112871791</t>
  </si>
  <si>
    <t>0x00 00 00 00 00 00 00 00 00 00 00 00 00 00 00 00 00 00 00 00 00 00 00 00 00 00 00 04 ae d2 11 70</t>
  </si>
  <si>
    <t>0,0,0,0,0,0,0,0,0,0,0,0,0,0,0,0,0,0,0,0,0,0,0,0,0,0,0,4,174,210,17,112</t>
  </si>
  <si>
    <t>...............................p</t>
  </si>
  <si>
    <t>174.210.17.112</t>
  </si>
  <si>
    <t>1111011010101000000101001000101001100010001100100000111000010100100111001011000101011100010101000100111111101000101000100101101010110100100000111010000000001001010111010010001010000000110100000011101110001010000000001010011111111110101011011010000100111101</t>
  </si>
  <si>
    <t>9de820a7c</t>
  </si>
  <si>
    <t>100111011110100000100000101001111100</t>
  </si>
  <si>
    <t>42387769980</t>
  </si>
  <si>
    <t>8028031612</t>
  </si>
  <si>
    <t>110101110000010100000001101100001100</t>
  </si>
  <si>
    <t>213132200200221330</t>
  </si>
  <si>
    <t>473640405174</t>
  </si>
  <si>
    <t>17f842js</t>
  </si>
  <si>
    <t>001111100101000001000001011110111001</t>
  </si>
  <si>
    <t>16727152569</t>
  </si>
  <si>
    <t>110100110001110000110000111101000010</t>
  </si>
  <si>
    <t>111000100001011111011111010110000011</t>
  </si>
  <si>
    <t>26331706755</t>
  </si>
  <si>
    <t>7c0a82de09000000000000000000000000000000000000000000000000000000</t>
  </si>
  <si>
    <t>0111010010110001111000000001001010111110000101010010000111100101110110001101011101011110011101000101101000100110110011101101100001000101111010100011110100110111</t>
  </si>
  <si>
    <t>08996778324</t>
  </si>
  <si>
    <t>001110111101000001000001010011111001</t>
  </si>
  <si>
    <t>010011101111010000010000010100111110</t>
  </si>
  <si>
    <t>011000100001011111011111010110000011</t>
  </si>
  <si>
    <t>1x1,0x2,1x3,0x1,1x4,0x1,1x1,0x5,1x1,0x5,1x1,0x1,1x1,0x2,1x5,0x2</t>
  </si>
  <si>
    <t>0:1 2:1 7:1 8:1 9:1 a:1 c:1 d:1 e:1</t>
  </si>
  <si>
    <t>22274898188</t>
  </si>
  <si>
    <t>2162026396</t>
  </si>
  <si>
    <t>42387769981</t>
  </si>
  <si>
    <t>42387769979</t>
  </si>
  <si>
    <t>0x00 00 00 00 00 00 00 00 00 00 00 00 00 00 00 00 00 00 00 00 00 00 00 00 00 00 00 09 de 82 0a 7c</t>
  </si>
  <si>
    <t>0,0,0,0,0,0,0,0,0,0,0,0,0,0,0,0,0,0,0,0,0,0,0,0,0,0,0,9,222,130,10,124</t>
  </si>
  <si>
    <t>...............................|</t>
  </si>
  <si>
    <t>222.130.10.124</t>
  </si>
  <si>
    <t>1011001111100111011100100010000101100110100101011000010001011111101010011101110110100100000110011111101101011101101011001010001010000001010101001101100010101010010110011110101000110000001011110000010111101001000101100110001101011110010001111011100111110110</t>
  </si>
  <si>
    <t>1757756a93</t>
  </si>
  <si>
    <t>1011101010111011101010110101010010011</t>
  </si>
  <si>
    <t>100251560595</t>
  </si>
  <si>
    <t>31532083859</t>
  </si>
  <si>
    <t>1111010001001111101110110000011101111</t>
  </si>
  <si>
    <t>1131113131112222103</t>
  </si>
  <si>
    <t>1352735265223</t>
  </si>
  <si>
    <t>2tbnaqkj</t>
  </si>
  <si>
    <t>1100100101010110101011101110101011101</t>
  </si>
  <si>
    <t>108092841309</t>
  </si>
  <si>
    <t>1110011111100110011111101111111011010</t>
  </si>
  <si>
    <t>1100010101000100010101001010101101100</t>
  </si>
  <si>
    <t>37187392876</t>
  </si>
  <si>
    <t>936a755717000000000000000000000000000000000000000000000000000000</t>
  </si>
  <si>
    <t>0010100011000011000011111011100100010001100011101101000111011010011100101110011111000100111110001001110000000001011001000111010101101110100010100000001000011101</t>
  </si>
  <si>
    <t>595065152001</t>
  </si>
  <si>
    <t>0111010101110111010101101010100100111</t>
  </si>
  <si>
    <t>1101110101011101110101011010101001001</t>
  </si>
  <si>
    <t>0100010101000100010101001010101101100</t>
  </si>
  <si>
    <t>1x1,0x1,1x3,0x1,1x1,0x1,1x1,0x1,1x3,0x1,1x3,0x1,1x1,0x1,1x1,0x1,1x2,0x1,1x1,0x1,1x1,0x1,1x1,0x2,1x1,0x2,1x2</t>
  </si>
  <si>
    <t>1:1 3:1 5:2 6:1 7:3 9:1 a:1</t>
  </si>
  <si>
    <t>57863790615</t>
  </si>
  <si>
    <t>15476020635</t>
  </si>
  <si>
    <t>100251560596</t>
  </si>
  <si>
    <t>100251560594</t>
  </si>
  <si>
    <t>0x00 00 00 00 00 00 00 00 00 00 00 00 00 00 00 00 00 00 00 00 00 00 00 00 00 00 00 17 57 75 6a 93</t>
  </si>
  <si>
    <t>0,0,0,0,0,0,0,0,0,0,0,0,0,0,0,0,0,0,0,0,0,0,0,0,0,0,0,23,87,117,106,147</t>
  </si>
  <si>
    <t>............................Wuj.</t>
  </si>
  <si>
    <t>87.117.106.147</t>
  </si>
  <si>
    <t>0111110100101100000000111100001111101111000010101110110001110000111100101100011111100001111001110101010001010100101001011101111111011101000011100001101011011110101001100111000011000001101100111010010001100100001111000100100010101101000011110001001001010101</t>
  </si>
  <si>
    <t>22382facd0</t>
  </si>
  <si>
    <t>10001000111000001011111010110011010000</t>
  </si>
  <si>
    <t>146971536592</t>
  </si>
  <si>
    <t>9532583120</t>
  </si>
  <si>
    <t>11010101101111010110101100011001000011</t>
  </si>
  <si>
    <t>2020320023322303100</t>
  </si>
  <si>
    <t>2107013726320</t>
  </si>
  <si>
    <t>48s2vb6g</t>
  </si>
  <si>
    <t>00001011001101011111010000011100010001</t>
  </si>
  <si>
    <t>12037457681</t>
  </si>
  <si>
    <t>11001100100100001110000111101010111000</t>
  </si>
  <si>
    <t>11110111000111110100000101001100101111</t>
  </si>
  <si>
    <t>127906370351</t>
  </si>
  <si>
    <t>d0ac2f3822000000000000000000000000000000000000000000000000000000</t>
  </si>
  <si>
    <t>1011000110010000111000101101010000001100111111011110111011100010110011101110000001110010100101010100101000101011111010001001111001111011101000111001001101100100</t>
  </si>
  <si>
    <t>295635179641</t>
  </si>
  <si>
    <t>00010001110000010111110101100110100001</t>
  </si>
  <si>
    <t>01000100011100000101111101011001101000</t>
  </si>
  <si>
    <t>01110111000111110100000101001100101111</t>
  </si>
  <si>
    <t>1x1,0x3,1x1,0x3,1x3,0x5,1x1,0x1,1x5,0x1,1x1,0x1,1x2,0x2,1x2,0x1,1x1,0x4</t>
  </si>
  <si>
    <t>0:1 2:3 3:1 8:1 a:1 c:1 d:1 f:1</t>
  </si>
  <si>
    <t>46719975997</t>
  </si>
  <si>
    <t>-53531584598</t>
  </si>
  <si>
    <t>146971536593</t>
  </si>
  <si>
    <t>146971536591</t>
  </si>
  <si>
    <t>0x00 00 00 00 00 00 00 00 00 00 00 00 00 00 00 00 00 00 00 00 00 00 00 00 00 00 00 22 38 2f ac d0</t>
  </si>
  <si>
    <t>0,0,0,0,0,0,0,0,0,0,0,0,0,0,0,0,0,0,0,0,0,0,0,0,0,0,0,34,56,47,172,208</t>
  </si>
  <si>
    <t>..........................."8/..</t>
  </si>
  <si>
    <t>56.47.172.208</t>
  </si>
  <si>
    <t>1100000001100000111000011110001101110111000111001011111011001100101100111000111000010001100111000010010000010100011100000010111100111111010100011000000110101000100101100101001001010011100010000101000111010010111000111000100001101011110111010111000011000110</t>
  </si>
  <si>
    <t>4b5f8303e9</t>
  </si>
  <si>
    <t>100101101011111100000110000001111101001</t>
  </si>
  <si>
    <t>323724968937</t>
  </si>
  <si>
    <t>48847061993</t>
  </si>
  <si>
    <t>110100101100111101011001010111100111001</t>
  </si>
  <si>
    <t>10231133200300033221</t>
  </si>
  <si>
    <t>4553740601751</t>
  </si>
  <si>
    <t>9dfo60v9</t>
  </si>
  <si>
    <t>100101111100000011000001111110101101001</t>
  </si>
  <si>
    <t>325886999913</t>
  </si>
  <si>
    <t>110111011110000010000101000001000011101</t>
  </si>
  <si>
    <t>111010010100000011111001111110000010110</t>
  </si>
  <si>
    <t>226030844950</t>
  </si>
  <si>
    <t>e903835f4b000000000000000000000000000000000000000000000000000000</t>
  </si>
  <si>
    <t>0000101100110000010011110010101001111001101000000010011100100111000000100111011001010011001111111110000111101101010011101111111100110000100100010000100001110110</t>
  </si>
  <si>
    <t>739869427323</t>
  </si>
  <si>
    <t>001011010111111000001100000011111010011</t>
  </si>
  <si>
    <t>110010110101111110000011000000111110100</t>
  </si>
  <si>
    <t>011010010100000011111001111110000010110</t>
  </si>
  <si>
    <t>1x1,0x2,1x1,0x1,1x2,0x1,1x1,0x1,1x6,0x5,1x2,0x6,1x5,0x1,1x1,0x2,1x1</t>
  </si>
  <si>
    <t>0:1 3:2 4:1 5:1 8:1 9:1 b:1 e:1 f:1</t>
  </si>
  <si>
    <t>176753432345</t>
  </si>
  <si>
    <t>29781895753</t>
  </si>
  <si>
    <t>323724968938</t>
  </si>
  <si>
    <t>323724968936</t>
  </si>
  <si>
    <t>0x00 00 00 00 00 00 00 00 00 00 00 00 00 00 00 00 00 00 00 00 00 00 00 00 00 00 00 4b 5f 83 03 e9</t>
  </si>
  <si>
    <t>0,0,0,0,0,0,0,0,0,0,0,0,0,0,0,0,0,0,0,0,0,0,0,0,0,0,0,75,95,131,3,233</t>
  </si>
  <si>
    <t>...........................K_...</t>
  </si>
  <si>
    <t>95.131.3.233</t>
  </si>
  <si>
    <t>0010110101110111110011010001010001100111000000011001101001101011111100101000111101110011011101011101000010010100100111001110001100001110011010110101100000010101110000100111010110001011100110001010011101001100001001110000000010111100000000000110010101000011</t>
  </si>
  <si>
    <t>e9ae4933d6</t>
  </si>
  <si>
    <t>1110100110101110010010010011001111010110</t>
  </si>
  <si>
    <t>1003651412950</t>
  </si>
  <si>
    <t>453895599062</t>
  </si>
  <si>
    <t>1010001011110001110010100011000000111111</t>
  </si>
  <si>
    <t>32212232102103033112</t>
  </si>
  <si>
    <t>16465622231726</t>
  </si>
  <si>
    <t>t6n4icum</t>
  </si>
  <si>
    <t>0110101111001100100100100111010110010111</t>
  </si>
  <si>
    <t>462993651095</t>
  </si>
  <si>
    <t>1001110101111001011011011010101000111101</t>
  </si>
  <si>
    <t>1001011001010001101101101100110000101001</t>
  </si>
  <si>
    <t>95860214825</t>
  </si>
  <si>
    <t>d63349aee9000000000000000000000000000000000000000000000000000000</t>
  </si>
  <si>
    <t>1001010110100001010101101100110100100001101101001010011010011101111010010110100111101011011001110001011010000110010011110100110010001011100000101010100000101010</t>
  </si>
  <si>
    <t>0592141563001</t>
  </si>
  <si>
    <t>1101001101011100100100100110011110101101</t>
  </si>
  <si>
    <t>0111010011010111001001001001100111101011</t>
  </si>
  <si>
    <t>0001011001010001101101101100110000101001</t>
  </si>
  <si>
    <t>1x3,0x1,1x1,0x2,1x2,0x1,1x1,0x1,1x3,0x2,1x1,0x2,1x1,0x2,1x1,0x2,1x2,0x2,1x4,0x1,1x1,0x1,1x2,0x1</t>
  </si>
  <si>
    <t>3:2 4:1 6:1 9:2 a:1 d:1 e:2</t>
  </si>
  <si>
    <t>679926444013</t>
  </si>
  <si>
    <t>356201475076</t>
  </si>
  <si>
    <t>1003651412951</t>
  </si>
  <si>
    <t>1003651412949</t>
  </si>
  <si>
    <t>0x00 00 00 00 00 00 00 00 00 00 00 00 00 00 00 00 00 00 00 00 00 00 00 00 00 00 00 e9 ae 49 33 d6</t>
  </si>
  <si>
    <t>0,0,0,0,0,0,0,0,0,0,0,0,0,0,0,0,0,0,0,0,0,0,0,0,0,0,0,233,174,73,51,214</t>
  </si>
  <si>
    <t>.............................I3.</t>
  </si>
  <si>
    <t>174.73.51.214</t>
  </si>
  <si>
    <t>1010001011101111101001000000001011111101010100100110100001000000000011000111011111000010000011100101011101001011101010000110010000001001111011011110110111101110011111000100000000100000111001001011100111110000111011011011111011100101001111011110000011010100</t>
  </si>
  <si>
    <t>153869acc5b</t>
  </si>
  <si>
    <t>10101001110000110100110101100110001011011</t>
  </si>
  <si>
    <t>1458252205147</t>
  </si>
  <si>
    <t>358740577371</t>
  </si>
  <si>
    <t>11011101000101000110100111111111110001101</t>
  </si>
  <si>
    <t>111032012212230301123</t>
  </si>
  <si>
    <t>25160646546133</t>
  </si>
  <si>
    <t>1ae39lj2r</t>
  </si>
  <si>
    <t>11011010001100110101100101100001110010101</t>
  </si>
  <si>
    <t>1874328732565</t>
  </si>
  <si>
    <t>11111101001000101110101111010101001110110</t>
  </si>
  <si>
    <t>11010110001111001011001010011001110100100</t>
  </si>
  <si>
    <t>740771050404</t>
  </si>
  <si>
    <t>5bcc9a8653010000000000000000000000000000000000000000000000000000</t>
  </si>
  <si>
    <t>1101000101010110001011101011001101110011010101111111100111100110111111000100000111001011001000110101100111110100110100111110110110100100000000110010001100101001</t>
  </si>
  <si>
    <t>7415022528541</t>
  </si>
  <si>
    <t>01010011100001101001101011001100010110111</t>
  </si>
  <si>
    <t>11010100111000011010011010110011000101101</t>
  </si>
  <si>
    <t>01010110001111001011001010011001110100100</t>
  </si>
  <si>
    <t>1x1,0x1,1x1,0x1,1x1,0x2,1x3,0x4,1x2,0x1,1x1,0x2,1x2,0x1,1x1,0x1,1x2,0x2,1x2,0x3,1x1,0x1,1x2,0x1,1x2</t>
  </si>
  <si>
    <t>1:1 3:1 5:2 6:1 8:1 9:1 a:1 b:1 c:2</t>
  </si>
  <si>
    <t>454600792197</t>
  </si>
  <si>
    <t>-549050620753</t>
  </si>
  <si>
    <t>1458252205148</t>
  </si>
  <si>
    <t>1458252205146</t>
  </si>
  <si>
    <t>0x00 00 00 00 00 00 00 00 00 00 00 00 00 00 00 00 00 00 00 00 00 00 00 00 00 00 01 53 86 9a cc 5b</t>
  </si>
  <si>
    <t>0,0,0,0,0,0,0,0,0,0,0,0,0,0,0,0,0,0,0,0,0,0,0,0,0,0,1,83,134,154,204,91</t>
  </si>
  <si>
    <t>...........................S...[</t>
  </si>
  <si>
    <t>134.154.204.91</t>
  </si>
  <si>
    <t>1011001101010111111001101000010000110111110110100010011100111101110011111001100101011010010001110100101001010010010001000011100111111010101011011000011011111100100111101111111111000011000000000001100000111111011100010100101100001001000000110100011010001011</t>
  </si>
  <si>
    <t>2a221c58d8f</t>
  </si>
  <si>
    <t>101010001000100001110001011000110110001111</t>
  </si>
  <si>
    <t>2895374552463</t>
  </si>
  <si>
    <t>696351296911</t>
  </si>
  <si>
    <t>111111000110100111010111110100000111010100</t>
  </si>
  <si>
    <t>222020201301120312033</t>
  </si>
  <si>
    <t>52104161306617</t>
  </si>
  <si>
    <t>2k8gsb3cf</t>
  </si>
  <si>
    <t>111100011011000110100011100001000100010101</t>
  </si>
  <si>
    <t>4152269607189</t>
  </si>
  <si>
    <t>111111001100110001001001110100101101001000</t>
  </si>
  <si>
    <t>110101110111011110001110100111001001110000</t>
  </si>
  <si>
    <t>1502671958640</t>
  </si>
  <si>
    <t>8f8dc521a2020000000000000000000000000000000000000000000000000000</t>
  </si>
  <si>
    <t>1000111011111011100001011111100111000101101101011101101100101101010101011001011100111010000001000001001010001101110001110101000100000000011101011010111000100011</t>
  </si>
  <si>
    <t>3642554735982</t>
  </si>
  <si>
    <t>010100010001000011100010110001101100011111</t>
  </si>
  <si>
    <t>110101000100010000111000101100011011000111</t>
  </si>
  <si>
    <t>010101110111011110001110100111001001110000</t>
  </si>
  <si>
    <t>1x1,0x1,1x1,0x1,1x1,0x3,1x1,0x3,1x1,0x4,1x3,0x3,1x1,0x1,1x2,0x3,1x2,0x1,1x2,0x3,1x4</t>
  </si>
  <si>
    <t>1:1 2:3 5:1 8:2 a:1 c:1 d:1 f:1</t>
  </si>
  <si>
    <t>1437122347316</t>
  </si>
  <si>
    <t>-21129857831</t>
  </si>
  <si>
    <t>2895374552464</t>
  </si>
  <si>
    <t>2895374552462</t>
  </si>
  <si>
    <t>0x00 00 00 00 00 00 00 00 00 00 00 00 00 00 00 00 00 00 00 00 00 00 00 00 00 00 02 a2 21 c5 8d 8f</t>
  </si>
  <si>
    <t>0,0,0,0,0,0,0,0,0,0,0,0,0,0,0,0,0,0,0,0,0,0,0,0,0,0,2,162,33,197,141,143</t>
  </si>
  <si>
    <t>............................!...</t>
  </si>
  <si>
    <t>33.197.141.143</t>
  </si>
  <si>
    <t>1110111011001000100000111000010110111110100111011010100000000011101000001101011001010111100101111001100011011001011101111010010111010000110001111111100000001001000101111101101010110100100111001011011100111100100111100011100100100111000101000010110010110110</t>
  </si>
  <si>
    <t>6bd3b27c591</t>
  </si>
  <si>
    <t>1101011110100111011001001111100010110010001</t>
  </si>
  <si>
    <t>7409811047825</t>
  </si>
  <si>
    <t>3011764536721</t>
  </si>
  <si>
    <t>1000001111100011010111000100100100000011110</t>
  </si>
  <si>
    <t>1223310323021330112101</t>
  </si>
  <si>
    <t>153647311742621</t>
  </si>
  <si>
    <t>6nktifhch</t>
  </si>
  <si>
    <t>1000100110100011111001001101110010111101011</t>
  </si>
  <si>
    <t>4729281635819</t>
  </si>
  <si>
    <t>1011110001110100110101101000010011101011001</t>
  </si>
  <si>
    <t>1010100001011000100110110000011101001101110</t>
  </si>
  <si>
    <t>1386281974382</t>
  </si>
  <si>
    <t>91c5273bbd060000000000000000000000000000000000000000000000000000</t>
  </si>
  <si>
    <t>1111100100100000010001001100011110010010010011100101010100100101110001100001001000000111100101110010110000100101001111001001111111001001111100001000011011110111</t>
  </si>
  <si>
    <t>5287401189047</t>
  </si>
  <si>
    <t>1010111101001110110010011111000101100100011</t>
  </si>
  <si>
    <t>1110101111010011101100100111110001011001000</t>
  </si>
  <si>
    <t>0010100001011000100110110000011101001101110</t>
  </si>
  <si>
    <t>1x2,0x1,1x1,0x1,1x4,0x1,1x1,0x2,1x3,0x1,1x2,0x2,1x1,0x2,1x5,0x3,1x1,0x1,1x2,0x2,1x1,0x3,1x1</t>
  </si>
  <si>
    <t>b</t>
  </si>
  <si>
    <t>1:1 2:1 3:1 5:1 6:1 7:1 9:1 b:2 c:1 d:1</t>
  </si>
  <si>
    <t>4514436495362</t>
  </si>
  <si>
    <t>1619061942899</t>
  </si>
  <si>
    <t>7409811047826</t>
  </si>
  <si>
    <t>7409811047824</t>
  </si>
  <si>
    <t>0x00 00 00 00 00 00 00 00 00 00 00 00 00 00 00 00 00 00 00 00 00 00 00 00 00 00 06 bd 3b 27 c5 91</t>
  </si>
  <si>
    <t>0,0,0,0,0,0,0,0,0,0,0,0,0,0,0,0,0,0,0,0,0,0,0,0,0,0,6,189,59,39,197,145</t>
  </si>
  <si>
    <t>............................;'..</t>
  </si>
  <si>
    <t>59.39.197.145</t>
  </si>
  <si>
    <t>1010011000110001111110011011101000001111001010000101000100010110000101001001000001001101111110000000110101111111100101111010010011110100001111110000001000100100100111001000100100001001110110101100100100100010011101101100110011110000101111001101101011101101</t>
  </si>
  <si>
    <t>e02b35a358f</t>
  </si>
  <si>
    <t>11100000001010110011010110100011010110001111</t>
  </si>
  <si>
    <t>15404761757071</t>
  </si>
  <si>
    <t>6608668734863</t>
  </si>
  <si>
    <t>10001011111110001000011111011111000000011110</t>
  </si>
  <si>
    <t>3200022303112203112033</t>
  </si>
  <si>
    <t>340126326432617</t>
  </si>
  <si>
    <t>e0aplkdcf</t>
  </si>
  <si>
    <t>11110001101011000101101011001101010000000111</t>
  </si>
  <si>
    <t>16607660004359</t>
  </si>
  <si>
    <t>10010000001111101010111101110010111101001000</t>
  </si>
  <si>
    <t>10011111110101001100101001011100101001110000</t>
  </si>
  <si>
    <t>2187424287344</t>
  </si>
  <si>
    <t>8f355ab3020e0000000000000000000000000000000000000000000000000000</t>
  </si>
  <si>
    <t>1000000011011111010101001110000111110110000100101111001011111100010110111101110000000101110010011101001000011010100000111010101010001101001000000111100100011110</t>
  </si>
  <si>
    <t>17075716740451</t>
  </si>
  <si>
    <t>11000000010101100110101101000110101100011111</t>
  </si>
  <si>
    <t>11110000000101011001101011010001101011000111</t>
  </si>
  <si>
    <t>00011111110101001100101001011100101001110000</t>
  </si>
  <si>
    <t>1x3,0x7,1x1,0x1,1x1,0x1,1x2,0x2,1x2,0x1,1x1,0x1,1x2,0x1,1x1,0x3,1x2,0x1,1x1,0x1,1x2,0x3,1x4</t>
  </si>
  <si>
    <t>0:1 2:1 3:2 5:2 8:1 a:1 b:1 e:1 f:1</t>
  </si>
  <si>
    <t>7994950709246</t>
  </si>
  <si>
    <t>585139661421</t>
  </si>
  <si>
    <t>15404761757072</t>
  </si>
  <si>
    <t>15404761757070</t>
  </si>
  <si>
    <t>0x00 00 00 00 00 00 00 00 00 00 00 00 00 00 00 00 00 00 00 00 00 00 00 00 00 00 0e 02 b3 5a 35 8f</t>
  </si>
  <si>
    <t>0,0,0,0,0,0,0,0,0,0,0,0,0,0,0,0,0,0,0,0,0,0,0,0,0,0,14,2,179,90,53,143</t>
  </si>
  <si>
    <t>.............................Z5.</t>
  </si>
  <si>
    <t>179.90.53.143</t>
  </si>
  <si>
    <t>0101111001000110011011101001011111101101000011100111100100010000110100111101100100001100111010110000001100110010110111110100100011011101111101100111110101000101011010111001111001110011000000111011010100001010001111011000100111011110001101010111001100110110</t>
  </si>
  <si>
    <t>122fca143c05</t>
  </si>
  <si>
    <t>100100010111111001010000101000011110000000101</t>
  </si>
  <si>
    <t>19996463086597</t>
  </si>
  <si>
    <t>2404277042181</t>
  </si>
  <si>
    <t>111000010110101111001010011100000100110001010</t>
  </si>
  <si>
    <t>10202333022011003300011</t>
  </si>
  <si>
    <t>442771205036005</t>
  </si>
  <si>
    <t>i5v518f05</t>
  </si>
  <si>
    <t>101000000011110000101000010100111111010001001</t>
  </si>
  <si>
    <t>22022529384073</t>
  </si>
  <si>
    <t>110110011100000101111000111100010001000000111</t>
  </si>
  <si>
    <t>111011101000000110101111010111100001111111010</t>
  </si>
  <si>
    <t>15187909002234</t>
  </si>
  <si>
    <t>053c14ca2f120000000000000000000000000000000000000000000000000000</t>
  </si>
  <si>
    <t>1111000000100010010110111111110001101000101001101110000101111110100001111100110110001011010111100110000010101110001110111110000110001111000100100000011101010011</t>
  </si>
  <si>
    <t>79568036469991</t>
  </si>
  <si>
    <t>001000101111110010100001010000111100000001011</t>
  </si>
  <si>
    <t>110010001011111100101000010100001111000000010</t>
  </si>
  <si>
    <t>011011101000000110101111010111100001111111010</t>
  </si>
  <si>
    <t>1x1,0x2,1x1,0x3,1x1,0x1,1x6,0x2,1x1,0x1,1x1,0x4,1x1,0x1,1x1,0x4,1x4,0x7,1x1,0x1,1x1</t>
  </si>
  <si>
    <t>0:1 1:2 2:2 3:1 4:1 5:1 a:1 c:2 f:1</t>
  </si>
  <si>
    <t>4591701329526</t>
  </si>
  <si>
    <t>-10813060427545</t>
  </si>
  <si>
    <t>19996463086598</t>
  </si>
  <si>
    <t>19996463086596</t>
  </si>
  <si>
    <t>0x00 00 00 00 00 00 00 00 00 00 00 00 00 00 00 00 00 00 00 00 00 00 00 00 00 00 12 2f ca 14 3c 05</t>
  </si>
  <si>
    <t>0,0,0,0,0,0,0,0,0,0,0,0,0,0,0,0,0,0,0,0,0,0,0,0,0,0,18,47,202,20,60,5</t>
  </si>
  <si>
    <t>.........................../..&lt;.</t>
  </si>
  <si>
    <t>202.20.60.5</t>
  </si>
  <si>
    <t>0110111011001010101111010010110100100010111111011011011100110111101111100010000110010111010111001110100110100110100101001110000100001000111010111001010011110011011001001001110001011000011011001100011101000110000111001000101010111111010111011010011100011010</t>
  </si>
  <si>
    <t>2ec18388d544</t>
  </si>
  <si>
    <t>1011101100000110000011100010001101010101000100</t>
  </si>
  <si>
    <t>51408670348612</t>
  </si>
  <si>
    <t>16224298259780</t>
  </si>
  <si>
    <t>1111001110111001001001100111001110100101000001</t>
  </si>
  <si>
    <t>23230012003202031111010</t>
  </si>
  <si>
    <t>1354060342152504</t>
  </si>
  <si>
    <t>1eo61ohla4</t>
  </si>
  <si>
    <t>0010001010101011000100011100000110000011011101</t>
  </si>
  <si>
    <t>9529533161693</t>
  </si>
  <si>
    <t>1110011010000101000010010011001011111111100110</t>
  </si>
  <si>
    <t>1100010011111001111100011101110010101010111011</t>
  </si>
  <si>
    <t>18960073829051</t>
  </si>
  <si>
    <t>44d58883c12e0000000000000000000000000000000000000000000000000000</t>
  </si>
  <si>
    <t>1001101000000001001000100110000011010000000111000101000100010011110111110110011011001000101010000100001110001100100111110111101000011110001111010101110110101100</t>
  </si>
  <si>
    <t>21684307680415</t>
  </si>
  <si>
    <t>0111011000001100000111000100011010101010001001</t>
  </si>
  <si>
    <t>0101110110000011000001110001000110101010100010</t>
  </si>
  <si>
    <t>0100010011111001111100011101110010101010111011</t>
  </si>
  <si>
    <t>1x1,0x1,1x3,0x1,1x2,0x5,1x2,0x5,1x3,0x3,1x1,0x3,1x2,0x1,1x1,0x1,1x1,0x1,1x1,0x1,1x1,0x3,1x1,0x2</t>
  </si>
  <si>
    <t>1:1 2:1 3:1 4:2 5:1 8:3 c:1 d:1 e:1</t>
  </si>
  <si>
    <t>31412207262015</t>
  </si>
  <si>
    <t>11415744175418</t>
  </si>
  <si>
    <t>51408670348613</t>
  </si>
  <si>
    <t>51408670348611</t>
  </si>
  <si>
    <t>0x00 00 00 00 00 00 00 00 00 00 00 00 00 00 00 00 00 00 00 00 00 00 00 00 00 00 2e c1 83 88 d5 44</t>
  </si>
  <si>
    <t>0,0,0,0,0,0,0,0,0,0,0,0,0,0,0,0,0,0,0,0,0,0,0,0,0,0,46,193,131,136,213,68</t>
  </si>
  <si>
    <t>...............................D</t>
  </si>
  <si>
    <t>131.136.213.68</t>
  </si>
  <si>
    <t>1111110101010100100001110111001000101101001001010111011011001011011011010111000010000001010000100110101101100110101000111110001010011000011011000001110011101000001101011000110101000111100100000110001111111011010111110010101110110110110111010101100001001001</t>
  </si>
  <si>
    <t>6cd610b53cba</t>
  </si>
  <si>
    <t>11011001101011000010000101101010011110010111010</t>
  </si>
  <si>
    <t>119666659114170</t>
  </si>
  <si>
    <t>49297914936506</t>
  </si>
  <si>
    <t>10000100001011110010011001111011110100111111110</t>
  </si>
  <si>
    <t>123031120100231103302322</t>
  </si>
  <si>
    <t>3315302055236272</t>
  </si>
  <si>
    <t>3cqo8baf5q</t>
  </si>
  <si>
    <t>01011101001111001010110100001000011010110011011</t>
  </si>
  <si>
    <t>51257591215515</t>
  </si>
  <si>
    <t>10110101011110100011000111011111010001011100111</t>
  </si>
  <si>
    <t>10100110010100111101111010010101100001101000101</t>
  </si>
  <si>
    <t>21070829241157</t>
  </si>
  <si>
    <t>ba3cb510d66c0000000000000000000000000000000000000000000000000000</t>
  </si>
  <si>
    <t>1111100000101000000000000101110101000001101100001111010011111110110101001100100011011100101000111011000001100000000100010000011100101100111110110000011111010100</t>
  </si>
  <si>
    <t>071411956666911</t>
  </si>
  <si>
    <t>10110011010110000100001011010100111100101110101</t>
  </si>
  <si>
    <t>01101100110101100001000010110101001111001011101</t>
  </si>
  <si>
    <t>00100110010100111101111010010101100001101000101</t>
  </si>
  <si>
    <t>1x2,0x1,1x2,0x2,1x2,0x1,1x1,0x1,1x2,0x4,1x1,0x4,1x1,0x1,1x2,0x1,1x1,0x1,1x1,0x2,1x4,0x2,1x1,0x1,1x3,0x1,1x1,0x1</t>
  </si>
  <si>
    <t>0:1 1:1 3:1 5:1 6:2 a:1 b:2 c:2 d:1</t>
  </si>
  <si>
    <t>68257988765558</t>
  </si>
  <si>
    <t>16849318416946</t>
  </si>
  <si>
    <t>119666659114171</t>
  </si>
  <si>
    <t>119666659114169</t>
  </si>
  <si>
    <t>0x00 00 00 00 00 00 00 00 00 00 00 00 00 00 00 00 00 00 00 00 00 00 00 00 00 00 6c d6 10 b5 3c ba</t>
  </si>
  <si>
    <t>0,0,0,0,0,0,0,0,0,0,0,0,0,0,0,0,0,0,0,0,0,0,0,0,0,0,108,214,16,181,60,186</t>
  </si>
  <si>
    <t>..........................l...&lt;.</t>
  </si>
  <si>
    <t>16.181.60.186</t>
  </si>
  <si>
    <t>0011101000010010101111010011110010101111000010110000111101110111101111110100111011101010100011100111101001000000110110111110001001111001001100101011111110000000101100011001101011000111001011110101111101011010011001001001001001011010010110010100000110010110</t>
  </si>
  <si>
    <t>ade6d7ce3b9b</t>
  </si>
  <si>
    <t>101011011110011011010111110011100011101110011011</t>
  </si>
  <si>
    <t>191206974700443</t>
  </si>
  <si>
    <t>50469486345115</t>
  </si>
  <si>
    <t>110000010011000011000111011110110000011100100001</t>
  </si>
  <si>
    <t>223132123113303203232123</t>
  </si>
  <si>
    <t>5336332763435633</t>
  </si>
  <si>
    <t>5dsrbssesr</t>
  </si>
  <si>
    <t>110110011101110001110011111010110110011110110101</t>
  </si>
  <si>
    <t>239540860839861</t>
  </si>
  <si>
    <t>111110110001010110111100001010010010011001010110</t>
  </si>
  <si>
    <t>110100100001100100101000001100011100010001100100</t>
  </si>
  <si>
    <t>90268002010212</t>
  </si>
  <si>
    <t>9b3bced7e6ad0000000000000000000000000000000000000000000000000000</t>
  </si>
  <si>
    <t>1000011001100001110010110101011011011001110111110000101001100001111100000001001100101000101101010101101011110111111001010110101000111111111001111010001010110010</t>
  </si>
  <si>
    <t>344007479602191</t>
  </si>
  <si>
    <t>010110111100110110101111100111000111011100110111</t>
  </si>
  <si>
    <t>110101101111001101101011111001110001110111001101</t>
  </si>
  <si>
    <t>010100100001100100101000001100011100010001100100</t>
  </si>
  <si>
    <t>1x1,0x1,1x1,0x1,1x2,0x1,1x4,0x2,1x2,0x1,1x2,0x1,1x1,0x1,1x5,0x2,1x3,0x3,1x3,0x1,1x3,0x2,1x2,0x1,1x2</t>
  </si>
  <si>
    <t>3:1 6:1 7:1 9:1 a:1 b:2 c:1 d:2 e:2</t>
  </si>
  <si>
    <t>71540315586273</t>
  </si>
  <si>
    <t>-48126343527897</t>
  </si>
  <si>
    <t>191206974700444</t>
  </si>
  <si>
    <t>191206974700442</t>
  </si>
  <si>
    <t>0x00 00 00 00 00 00 00 00 00 00 00 00 00 00 00 00 00 00 00 00 00 00 00 00 00 00 ad e6 d7 ce 3b 9b</t>
  </si>
  <si>
    <t>0,0,0,0,0,0,0,0,0,0,0,0,0,0,0,0,0,0,0,0,0,0,0,0,0,0,173,230,215,206,59,155</t>
  </si>
  <si>
    <t>..............................;.</t>
  </si>
  <si>
    <t>215.206.59.155</t>
  </si>
  <si>
    <t>1001000110111110111001011100111101001011000101001100001010010001110001100101000001110011001011111010101000010110011000000100000011100100110000011000101000010100011100110001111110011010100100110000110000011110100001111101001111101100000100101101111010111011</t>
  </si>
  <si>
    <t>174176b015f4d</t>
  </si>
  <si>
    <t>1011101000001011101101011000000010101111101001101</t>
  </si>
  <si>
    <t>409118905032525</t>
  </si>
  <si>
    <t>127643928321869</t>
  </si>
  <si>
    <t>1110110011111000110111100110011110110010011010110</t>
  </si>
  <si>
    <t>1131001131223000111331031</t>
  </si>
  <si>
    <t>13501355300257515</t>
  </si>
  <si>
    <t>bk2tlg2nqd</t>
  </si>
  <si>
    <t>1011001011111010100000001101011011101000001011101</t>
  </si>
  <si>
    <t>393577946271837</t>
  </si>
  <si>
    <t>1110011100001110011011110100000011111000011101011</t>
  </si>
  <si>
    <t>1100010111110100010010100111111101010000010110010</t>
  </si>
  <si>
    <t>153831048388786</t>
  </si>
  <si>
    <t>4d5f016b17740100000000000000000000000000000000000000000000000000</t>
  </si>
  <si>
    <t>0000110100101111010100110011100101100110110001100101011110001110000100010001000110010111100011001010011010011000111110001010110111010111111111111111110111110011</t>
  </si>
  <si>
    <t>525230509811904</t>
  </si>
  <si>
    <t>0111010000010111011010110000000101011111010011011</t>
  </si>
  <si>
    <t>1101110100000101110110101100000001010111110100110</t>
  </si>
  <si>
    <t>0100010111110100010010100111111101010000010110010</t>
  </si>
  <si>
    <t>1x1,0x1,1x3,0x1,1x1,0x5,1x1,0x1,1x3,0x1,1x2,0x1,1x1,0x1,1x2,0x7,1x1,0x1,1x1,0x1,1x5,0x1,1x1,0x2,1x2,0x1,1x1</t>
  </si>
  <si>
    <t>0:1 1:3 4:2 5:1 6:1 7:2 b:1 d:1 f:1</t>
  </si>
  <si>
    <t>217911930332082</t>
  </si>
  <si>
    <t>26704955631639</t>
  </si>
  <si>
    <t>409118905032526</t>
  </si>
  <si>
    <t>409118905032524</t>
  </si>
  <si>
    <t>0x00 00 00 00 00 00 00 00 00 00 00 00 00 00 00 00 00 00 00 00 00 00 00 00 00 01 74 17 6b 01 5f 4d</t>
  </si>
  <si>
    <t>0,0,0,0,0,0,0,0,0,0,0,0,0,0,0,0,0,0,0,0,0,0,0,0,0,1,116,23,107,1,95,77</t>
  </si>
  <si>
    <t>..........................t.k._M</t>
  </si>
  <si>
    <t>107.1.95.77</t>
  </si>
  <si>
    <t>0101100100011101011010000010110000111101101001001010001010100110100110000110001100111011111101010111010100010111001110001011011001111100001101000011001010000101111010111101110000110100100100100110010001011100101101000100011001011000100100010001010010000100</t>
  </si>
  <si>
    <t>22bd43c2e9354</t>
  </si>
  <si>
    <t>10001010111101010000111100001011101001001101010100</t>
  </si>
  <si>
    <t>611140496167764</t>
  </si>
  <si>
    <t>48190542746452</t>
  </si>
  <si>
    <t>11010111111100001101010111001011111100110000011001</t>
  </si>
  <si>
    <t>2022331100330023221031110</t>
  </si>
  <si>
    <t>21275207413511524</t>
  </si>
  <si>
    <t>hbqgu2t4qk</t>
  </si>
  <si>
    <t>00101010110010010111010000111100001010111101010001</t>
  </si>
  <si>
    <t>188178907574097</t>
  </si>
  <si>
    <t>11001111100011111000100010001110011101101011111110</t>
  </si>
  <si>
    <t>11110101000010101111000011110100010110110010101011</t>
  </si>
  <si>
    <t>514759410674859</t>
  </si>
  <si>
    <t>54932e3cd42b0200000000000000000000000000000000000000000000000000</t>
  </si>
  <si>
    <t>1101111000001000000110110111011011111000010000001110010001100010111110100010110011011111001101100000000101110011110111111010111101001010100101110110101001000111</t>
  </si>
  <si>
    <t>467761694041116</t>
  </si>
  <si>
    <t>00010101111010100001111000010111010010011010101001</t>
  </si>
  <si>
    <t>01000101011110101000011110000101110100100110101010</t>
  </si>
  <si>
    <t>01110101000010101111000011110100010110110010101011</t>
  </si>
  <si>
    <t>1x1,0x3,1x1,0x1,1x1,0x1,1x4,0x1,1x1,0x1,1x1,0x4,1x4,0x4,1x1,0x1,1x3,0x1,1x1,0x2,1x1,0x2,1x2,0x1,1x1,0x1,1x1,0x1,1x1,0x2</t>
  </si>
  <si>
    <t>2:3 3:2 4:2 5:1 9:1 b:1 c:1 d:1 e:1</t>
  </si>
  <si>
    <t>202021591135239</t>
  </si>
  <si>
    <t>-207097313897286</t>
  </si>
  <si>
    <t>611140496167765</t>
  </si>
  <si>
    <t>611140496167763</t>
  </si>
  <si>
    <t>0x00 00 00 00 00 00 00 00 00 00 00 00 00 00 00 00 00 00 00 00 00 00 00 00 00 02 2b d4 3c 2e 93 54</t>
  </si>
  <si>
    <t>0,0,0,0,0,0,0,0,0,0,0,0,0,0,0,0,0,0,0,0,0,0,0,0,0,2,43,212,60,46,147,84</t>
  </si>
  <si>
    <t>..........................+.&lt;..T</t>
  </si>
  <si>
    <t>60.46.147.84</t>
  </si>
  <si>
    <t>1111010001101111010000010000001001111011101111110100010011111010111111010110101100000101100100001001000110111001000000001101101011010100000111100110100001000101101100100010010000011101110000110010010101001100011111001101110100111100010110100001011011000110</t>
  </si>
  <si>
    <t>75070a1a009d4</t>
  </si>
  <si>
    <t>111010100000111000010100001101000000000100111010100</t>
  </si>
  <si>
    <t>2058769515153876</t>
  </si>
  <si>
    <t>932869608311252</t>
  </si>
  <si>
    <t>101011110111010010010011101100011101001101010000000</t>
  </si>
  <si>
    <t>13110013002201220000213110</t>
  </si>
  <si>
    <t>72407024150004724</t>
  </si>
  <si>
    <t>1qge2gq02ek</t>
  </si>
  <si>
    <t>001010111001000000000101100001010000111000001010111</t>
  </si>
  <si>
    <t>383180543127639</t>
  </si>
  <si>
    <t>100111110000100100011110001011100000000110100111110</t>
  </si>
  <si>
    <t>100101011111000111101011110010111111111011000101011</t>
  </si>
  <si>
    <t>193030298531371</t>
  </si>
  <si>
    <t>d409a0a170500700000000000000000000000000000000000000000000000000</t>
  </si>
  <si>
    <t>1110111101100100000110011100111111111101011111111010110101110000001001111001100101000011010101001110101110001110111110101110001000100011110000101101101111100111</t>
  </si>
  <si>
    <t>6783515159678502</t>
  </si>
  <si>
    <t>110101000001110000101000011010000000001001110101001</t>
  </si>
  <si>
    <t>011101010000011100001010000110100000000010011101010</t>
  </si>
  <si>
    <t>000101011111000111101011110010111111111011000101011</t>
  </si>
  <si>
    <t>1x3,0x1,1x1,0x1,1x1,0x5,1x3,0x4,1x1,0x1,1x1,0x4,1x2,0x1,1x1,0x9,1x1,0x2,1x3,0x1,1x1,0x1,1x1,0x2</t>
  </si>
  <si>
    <t>0:4 1:1 4:1 5:1 7:2 9:1 a:2 d:1</t>
  </si>
  <si>
    <t>1447629018986112</t>
  </si>
  <si>
    <t>836488522818348</t>
  </si>
  <si>
    <t>2058769515153877</t>
  </si>
  <si>
    <t>2058769515153875</t>
  </si>
  <si>
    <t>0x00 00 00 00 00 00 00 00 00 00 00 00 00 00 00 00 00 00 00 00 00 00 00 00 00 07 50 70 a1 a0 09 d4</t>
  </si>
  <si>
    <t>0,0,0,0,0,0,0,0,0,0,0,0,0,0,0,0,0,0,0,0,0,0,0,0,0,7,80,112,161,160,9,212</t>
  </si>
  <si>
    <t>..........................Pp....</t>
  </si>
  <si>
    <t>161.160.9.212</t>
  </si>
  <si>
    <t>1000110001101100011001111011111011111001111010011110111010111110011010100101000100110010011100101110010100001100001000110000111100001111100100011110110101010110000011000011011110111100100110110000001100110010010000011111111101101100001110111110011110001111</t>
  </si>
  <si>
    <t>efae164cb9e3c</t>
  </si>
  <si>
    <t>1110111110101110000101100100110010111001111000111100</t>
  </si>
  <si>
    <t>4216495639600700</t>
  </si>
  <si>
    <t>1964695825915452</t>
  </si>
  <si>
    <t>1001101010101001000111000101011010111001011111101000</t>
  </si>
  <si>
    <t>32332232011210302321320330</t>
  </si>
  <si>
    <t>167656054462717074</t>
  </si>
  <si>
    <t>3nqs5icn7hs</t>
  </si>
  <si>
    <t>0011110001111001110100110010011010000111010111110111</t>
  </si>
  <si>
    <t>1063902899631607</t>
  </si>
  <si>
    <t>1001100001111001000111010110101011100101000100100010</t>
  </si>
  <si>
    <t>1001000001010001111010011011001101000110000111000011</t>
  </si>
  <si>
    <t>287103987769795</t>
  </si>
  <si>
    <t>3c9ecb64e1fa0e00000000000000000000000000000000000000000000000000</t>
  </si>
  <si>
    <t>0011011010101111011001011001111011011011111010010100010001010011111101100011010001001110100100100000110100010100001111110001011101111000011001010011101011100111</t>
  </si>
  <si>
    <t>0070069365946124</t>
  </si>
  <si>
    <t>1101111101011100001011001001100101110011110001111001</t>
  </si>
  <si>
    <t>0111011111010111000010110010011001011100111100011110</t>
  </si>
  <si>
    <t>0001000001010001111010011011001101000110000111000011</t>
  </si>
  <si>
    <t>1x3,0x1,1x5,0x1,1x1,0x1,1x3,0x4,1x1,0x1,1x2,0x2,1x1,0x2,1x2,0x2,1x1,0x1,1x3,0x2,1x4,0x3,1x4,0x2</t>
  </si>
  <si>
    <t>e</t>
  </si>
  <si>
    <t>1:1 3:1 4:1 6:1 9:1 a:1 b:1 c:2 e:3 f:1</t>
  </si>
  <si>
    <t>2157726124446824</t>
  </si>
  <si>
    <t>98956609292948</t>
  </si>
  <si>
    <t>4216495639600701</t>
  </si>
  <si>
    <t>4216495639600699</t>
  </si>
  <si>
    <t>0x00 00 00 00 00 00 00 00 00 00 00 00 00 00 00 00 00 00 00 00 00 00 00 00 00 0e fa e1 64 cb 9e 3c</t>
  </si>
  <si>
    <t>0,0,0,0,0,0,0,0,0,0,0,0,0,0,0,0,0,0,0,0,0,0,0,0,0,14,250,225,100,203,158,60</t>
  </si>
  <si>
    <t>............................d..&lt;</t>
  </si>
  <si>
    <t>100.203.158.60</t>
  </si>
  <si>
    <t>0111010011000011001110111101010101001000111011110000001001100110011111010110000100110100000110001001001000010011010011111100111100100001011001100100000010111100001000100000000110101110011000011001001010001100110100001000011101001111011000110001010010100111</t>
  </si>
  <si>
    <t>180788e47e326c</t>
  </si>
  <si>
    <t>11000000001111000100011100100011111100011001001101100</t>
  </si>
  <si>
    <t>6763683971478124</t>
  </si>
  <si>
    <t>2260084344107628</t>
  </si>
  <si>
    <t>10110111111010110100110000000101101011010110001010000</t>
  </si>
  <si>
    <t>120001320203210133203021230</t>
  </si>
  <si>
    <t>300170434437431154</t>
  </si>
  <si>
    <t>607h3i7scjc</t>
  </si>
  <si>
    <t>00110110010011000111111000100111000100011110000000011</t>
  </si>
  <si>
    <t>1910469180931075</t>
  </si>
  <si>
    <t>10100000001000100110010010110010000010010101101011010</t>
  </si>
  <si>
    <t>10111111110000111011100011011100000011100110110010011</t>
  </si>
  <si>
    <t>2243515283262867</t>
  </si>
  <si>
    <t>6c327ee488071800000000000000000000000000000000000000000000000000</t>
  </si>
  <si>
    <t>0010111101001000011100001110111101010100111110100100101100000100100011000001001101100101110101000010010110010100110011000111110100111101001001101001010101010001</t>
  </si>
  <si>
    <t>4218741793863676</t>
  </si>
  <si>
    <t>10000000011110001000111001000111111000110010011011001</t>
  </si>
  <si>
    <t>01100000000111100010001110010001111110001100100110110</t>
  </si>
  <si>
    <t>00111111110000111011100011011100000011100110110010011</t>
  </si>
  <si>
    <t>1x2,0x8,1x4,0x3,1x1,0x3,1x3,0x2,1x1,0x3,1x6,0x3,1x2,0x2,1x1,0x2,1x2,0x1,1x2,0x2</t>
  </si>
  <si>
    <t>0:1 1:1 2:1 3:1 4:1 6:1 7:2 8:3 c:1 e:2</t>
  </si>
  <si>
    <t>2547188331877424</t>
  </si>
  <si>
    <t>-1669307307723276</t>
  </si>
  <si>
    <t>6763683971478125</t>
  </si>
  <si>
    <t>6763683971478123</t>
  </si>
  <si>
    <t>0x00 00 00 00 00 00 00 00 00 00 00 00 00 00 00 00 00 00 00 00 00 00 00 00 00 18 07 88 e4 7e 32 6c</t>
  </si>
  <si>
    <t>0,0,0,0,0,0,0,0,0,0,0,0,0,0,0,0,0,0,0,0,0,0,0,0,0,24,7,136,228,126,50,108</t>
  </si>
  <si>
    <t>.............................~2l</t>
  </si>
  <si>
    <t>228.126.50.108</t>
  </si>
  <si>
    <t>0000111110101010111101011111001110101111111001011000001100000000101000110011010110000111010011001000000001101000000111001111011001101001001100111110001010100111101011101011001010000011100001111100000011010010100010111011000001001000101111000110001101001001</t>
  </si>
  <si>
    <t>236fb6d5ad1f43</t>
  </si>
  <si>
    <t>100011011011111011011011010101101011010001111101000011</t>
  </si>
  <si>
    <t>9974455244496707</t>
  </si>
  <si>
    <t>967255989755715</t>
  </si>
  <si>
    <t>111011011010000011111000110001110100110010110100101111</t>
  </si>
  <si>
    <t>203123323123111223101331003</t>
  </si>
  <si>
    <t>433373332553217503</t>
  </si>
  <si>
    <t>8rfmraqq7q3</t>
  </si>
  <si>
    <t>110000101111100010110101101010110110110111110110110001</t>
  </si>
  <si>
    <t>13719901157686705</t>
  </si>
  <si>
    <t>110010110110000110110110111111011110111001000011100010</t>
  </si>
  <si>
    <t>111100100100000100100100101010010100101110000010111100</t>
  </si>
  <si>
    <t>8039943264985276</t>
  </si>
  <si>
    <t>431fadd5b66f2300000000000000000000000000000000000000000000000000</t>
  </si>
  <si>
    <t>1100101101100110011101100011110011110111111111011110011001011001100001101001101011100111111100000110100010000100110110011010000011111000011110011010000010010010</t>
  </si>
  <si>
    <t>7076944425544799</t>
  </si>
  <si>
    <t>000110110111110110110110101011010110100011111010000111</t>
  </si>
  <si>
    <t>110001101101111101101101101010110101101000111110100001</t>
  </si>
  <si>
    <t>011100100100000100100100101010010100101110000010111100</t>
  </si>
  <si>
    <t>1x1,0x3,1x2,0x1,1x2,0x1,1x5,0x1,1x2,0x1,1x2,0x1,1x2,0x1,1x1,0x1,1x1,0x1,1x2,0x1,1x1,0x1,1x2,0x1,1x1,0x3,1x5,0x1,1x1,0x4,1x2</t>
  </si>
  <si>
    <t>1:1 2:1 3:2 4:1 5:1 6:2 a:1 b:1 d:2 f:2</t>
  </si>
  <si>
    <t>3210771273018583</t>
  </si>
  <si>
    <t>-3552912698459541</t>
  </si>
  <si>
    <t>9974455244496708</t>
  </si>
  <si>
    <t>9974455244496706</t>
  </si>
  <si>
    <t>0x00 00 00 00 00 00 00 00 00 00 00 00 00 00 00 00 00 00 00 00 00 00 00 00 00 23 6f b6 d5 ad 1f 43</t>
  </si>
  <si>
    <t>0,0,0,0,0,0,0,0,0,0,0,0,0,0,0,0,0,0,0,0,0,0,0,0,0,35,111,182,213,173,31,67</t>
  </si>
  <si>
    <t>.........................#o....C</t>
  </si>
  <si>
    <t>213.173.31.67</t>
  </si>
  <si>
    <t>0100101011110100101110000001111110001100010001010000110000101100100001110000110011100001110111110001100001001010111111110001001010010111111001011111110011010101010010010100010011011001100011011000000111100001101001010100010111111111101100100010010110010110</t>
  </si>
  <si>
    <t>6abe1f9b67e114</t>
  </si>
  <si>
    <t>1101010101111100001111110011011011001111110000100010100</t>
  </si>
  <si>
    <t>30045390491869460</t>
  </si>
  <si>
    <t>12030991982387476</t>
  </si>
  <si>
    <t>1001001110100011010100101001110110010101111111001010111</t>
  </si>
  <si>
    <t>1222233201332123121332010110</t>
  </si>
  <si>
    <t>1525741763331760424</t>
  </si>
  <si>
    <t>qlu3udmfo8k</t>
  </si>
  <si>
    <t>0010100010000111111001101101100111111000011111010101011</t>
  </si>
  <si>
    <t>5704212318797483</t>
  </si>
  <si>
    <t>1011111111000010001000001010110110101000001000110011110</t>
  </si>
  <si>
    <t>1010101010000011110000001100100100110000001111011101011</t>
  </si>
  <si>
    <t>5983406527094507</t>
  </si>
  <si>
    <t>14e1679b1fbe6a00000000000000000000000000000000000000000000000000</t>
  </si>
  <si>
    <t>1101101101010011110110011011101111010001111100111010100000111011000010010100111011101100101001111101110110010111000010111101100001011011010010010010111110100010</t>
  </si>
  <si>
    <t>06496819409354003</t>
  </si>
  <si>
    <t>1010101011111000011111100110110110011111100001000101001</t>
  </si>
  <si>
    <t>0110101010111110000111111001101101100111111000010001010</t>
  </si>
  <si>
    <t>0010101010000011110000001100100100110000001111011101011</t>
  </si>
  <si>
    <t>1x2,0x1,1x1,0x1,1x1,0x1,1x1,0x1,1x5,0x4,1x6,0x2,1x2,0x1,1x2,0x1,1x2,0x2,1x6,0x4,1x1,0x3,1x1,0x1,1x1,0x2</t>
  </si>
  <si>
    <t>1:3 4:1 6:2 7:1 9:1 a:1 b:2 e:2 f:1</t>
  </si>
  <si>
    <t>20070935247372753</t>
  </si>
  <si>
    <t>10096480002876046</t>
  </si>
  <si>
    <t>30045390491869461</t>
  </si>
  <si>
    <t>30045390491869459</t>
  </si>
  <si>
    <t>0x00 00 00 00 00 00 00 00 00 00 00 00 00 00 00 00 00 00 00 00 00 00 00 00 00 6a be 1f 9b 67 e1 14</t>
  </si>
  <si>
    <t>0,0,0,0,0,0,0,0,0,0,0,0,0,0,0,0,0,0,0,0,0,0,0,0,0,106,190,31,155,103,225,20</t>
  </si>
  <si>
    <t>.........................j...g..</t>
  </si>
  <si>
    <t>155.103.225.20</t>
  </si>
  <si>
    <t>1000010110100011000011011000010000010011101011110100111110001111100111100110001100010010010000000000111100101101000110010100111111100001010011110000001011100111000110011011001001001100001111111000001110111111000111111101001000110011101010001111100101100011</t>
  </si>
  <si>
    <t>9d18b63ac4ffdf</t>
  </si>
  <si>
    <t>10011101000110001011011000111010110001001111111111011111</t>
  </si>
  <si>
    <t>44218742292676575</t>
  </si>
  <si>
    <t>8189945273712607</t>
  </si>
  <si>
    <t>11110111101001101010100110100001101000110001111011001011</t>
  </si>
  <si>
    <t>2131012023120322301033333133</t>
  </si>
  <si>
    <t>2350613307261177737</t>
  </si>
  <si>
    <t>178omotc9vuv</t>
  </si>
  <si>
    <t>11111011111111110010001101011100011011010001100010111001</t>
  </si>
  <si>
    <t>70930746493966521</t>
  </si>
  <si>
    <t>11010011100101001110110100100111101001101000000000110000</t>
  </si>
  <si>
    <t>11100010111001110100100111000101001110110000000000100000</t>
  </si>
  <si>
    <t>27838851745251360</t>
  </si>
  <si>
    <t>dfffc43ab6189d00000000000000000000000000000000000000000000000000</t>
  </si>
  <si>
    <t>0100100000100001010011000101100101101001101011101001111101000011111101110101000001110000110011101010000111100010110010110100000111010101101111011100110011001101</t>
  </si>
  <si>
    <t>57567629224781244</t>
  </si>
  <si>
    <t>00111010001100010110110001110101100010011111111110111111</t>
  </si>
  <si>
    <t>11001110100011000101101100011101011000100111111111101111</t>
  </si>
  <si>
    <t>01100010111001110100100111000101001110110000000000100000</t>
  </si>
  <si>
    <t>1x1,0x2,1x3,0x1,1x1,0x3,1x2,0x3,1x1,0x1,1x2,0x1,1x2,0x3,1x3,0x1,1x1,0x1,1x2,0x3,1x1,0x2,1x10,0x1,1x5</t>
  </si>
  <si>
    <t>1:1 3:1 4:1 6:1 8:1 9:1 a:1 b:1 c:1 d:2 f:3</t>
  </si>
  <si>
    <t>14173351800807115</t>
  </si>
  <si>
    <t>-15872038691062345</t>
  </si>
  <si>
    <t>44218742292676576</t>
  </si>
  <si>
    <t>44218742292676574</t>
  </si>
  <si>
    <t>0x00 00 00 00 00 00 00 00 00 00 00 00 00 00 00 00 00 00 00 00 00 00 00 00 00 9d 18 b6 3a c4 ff df</t>
  </si>
  <si>
    <t>0,0,0,0,0,0,0,0,0,0,0,0,0,0,0,0,0,0,0,0,0,0,0,0,0,157,24,182,58,196,255,223</t>
  </si>
  <si>
    <t>............................:...</t>
  </si>
  <si>
    <t>58.196.255.223</t>
  </si>
  <si>
    <t>0011111100101101101100100000011101001110001100100001011110110011111001011110111000110000010100110000000111101110111010111011000100010110000011000100111110100001111010011001001111101110001010000000000100010010111101100011010010000110001101111001100110011010</t>
  </si>
  <si>
    <t>1eb25c90795d61c</t>
  </si>
  <si>
    <t>111101011001001011100100100000111100101011101011000011100</t>
  </si>
  <si>
    <t>138245758910846492</t>
  </si>
  <si>
    <t>66188164872918556</t>
  </si>
  <si>
    <t>101110110001111010111111100111101010100010010100111000011</t>
  </si>
  <si>
    <t>13223021130210013211131120130</t>
  </si>
  <si>
    <t>7531134440745353034</t>
  </si>
  <si>
    <t>3qp5p43pblgs</t>
  </si>
  <si>
    <t>001110000110101110101001111000001001001110100100110101111</t>
  </si>
  <si>
    <t>31761952114428335</t>
  </si>
  <si>
    <t>100011110101101110010110110000100010111110011110100010010</t>
  </si>
  <si>
    <t>100010100110110100011011011111000011010100010100111100011</t>
  </si>
  <si>
    <t>5869429165009379</t>
  </si>
  <si>
    <t>1cd69507c925eb01000000000000000000000000000000000000000000000000</t>
  </si>
  <si>
    <t>0011001010000110011000001110111101000011111101100110101010111110001001100101001111111010000101111000010001010010101001011101111111000101100101001100001010100001</t>
  </si>
  <si>
    <t>294648019857542831</t>
  </si>
  <si>
    <t>111010110010010111001001000001111001010111010110000111001</t>
  </si>
  <si>
    <t>011110101100100101110010010000011110010101110101100001110</t>
  </si>
  <si>
    <t>000010100110110100011011011111000011010100010100111100011</t>
  </si>
  <si>
    <t>1x4,0x1,1x1,0x1,1x2,0x2,1x1,0x2,1x1,0x1,1x3,0x2,1x1,0x2,1x1,0x5,1x4,0x2,1x1,0x1,1x1,0x1,1x3,0x1,1x1,0x1,1x2,0x4,1x3,0x2</t>
  </si>
  <si>
    <t>0:1 1:2 2:1 5:2 6:1 7:1 9:2 b:1 c:2 d:1 e:1</t>
  </si>
  <si>
    <t>94027016618169917</t>
  </si>
  <si>
    <t>49808274325493342</t>
  </si>
  <si>
    <t>138245758910846493</t>
  </si>
  <si>
    <t>138245758910846491</t>
  </si>
  <si>
    <t>0x00 00 00 00 00 00 00 00 00 00 00 00 00 00 00 00 00 00 00 00 00 00 00 00 01 eb 25 c9 07 95 d6 1c</t>
  </si>
  <si>
    <t>0,0,0,0,0,0,0,0,0,0,0,0,0,0,0,0,0,0,0,0,0,0,0,0,1,235,37,201,7,149,214,28</t>
  </si>
  <si>
    <t>..........................%.....</t>
  </si>
  <si>
    <t>7.149.214.28</t>
  </si>
  <si>
    <t>1010010100100001101000000111111010011000111101111000101100000011111111000001111000000011100110111100001110100101000101000000100011001101011100110001000110011011010111101011000100010110111001011000001111111110010101111101110010001101101100000111101011101010</t>
  </si>
  <si>
    <t>2c675b852189a21</t>
  </si>
  <si>
    <t>1011000110011101011011100001010010000110001001101000100001</t>
  </si>
  <si>
    <t>199976667976342049</t>
  </si>
  <si>
    <t>55861479900486177</t>
  </si>
  <si>
    <t>1100101101010100000111000101010101100011010100110000111101</t>
  </si>
  <si>
    <t>23012131123201102012021220201</t>
  </si>
  <si>
    <t>13063533412206115041</t>
  </si>
  <si>
    <t>5hjln191h6h1</t>
  </si>
  <si>
    <t>1000010001011001000110000100101000011101101011100110001101</t>
  </si>
  <si>
    <t>149010631133411725</t>
  </si>
  <si>
    <t>1110100101010011110110010001111011000101001101011100110001</t>
  </si>
  <si>
    <t>1100111001100010100100011110101101111001110110010111011110</t>
  </si>
  <si>
    <t>88253708175369694</t>
  </si>
  <si>
    <t>219a1852b875c602000000000000000000000000000000000000000000000000</t>
  </si>
  <si>
    <t>1000110000101010011000000111000111111000100111001001000011000100110110101011010110101011001010010101110101110111001010011101000110110101010011101010011000001111</t>
  </si>
  <si>
    <t>940243679766679991</t>
  </si>
  <si>
    <t>0110001100111010110111000010100100001100010011010001000011</t>
  </si>
  <si>
    <t>1101100011001110101101110000101001000011000100110100010000</t>
  </si>
  <si>
    <t>0100111001100010100100011110101101111001110110010111011110</t>
  </si>
  <si>
    <t>1x1,0x1,1x2,0x3,1x2,0x2,1x3,0x1,1x1,0x1,1x2,0x1,1x3,0x4,1x1,0x1,1x1,0x2,1x1,0x4,1x2,0x3,1x1,0x2,1x2,0x1,1x1,0x3,1x1,0x4,1x1</t>
  </si>
  <si>
    <t>1:2 2:3 5:2 6:1 7:1 8:2 9:1 a:1 b:1 c:1</t>
  </si>
  <si>
    <t>61730909065495557</t>
  </si>
  <si>
    <t>-76514849845350935</t>
  </si>
  <si>
    <t>199976667976342050</t>
  </si>
  <si>
    <t>199976667976342048</t>
  </si>
  <si>
    <t>0x00 00 00 00 00 00 00 00 00 00 00 00 00 00 00 00 00 00 00 00 00 00 00 00 02 c6 75 b8 52 18 9a 21</t>
  </si>
  <si>
    <t>0,0,0,0,0,0,0,0,0,0,0,0,0,0,0,0,0,0,0,0,0,0,0,0,2,198,117,184,82,24,154,33</t>
  </si>
  <si>
    <t>..........................u.R..!</t>
  </si>
  <si>
    <t>82.24.154.33</t>
  </si>
  <si>
    <t>0001000101010110100101000100001011101000011100000011001001101100111011101100000011011110001001001110101101010100011110001100000110011110000101000110111011001101100111010001010111100100011001100110010001000000111100101111011000111000100001110101111101000010</t>
  </si>
  <si>
    <t>7496cbb87cab44f</t>
  </si>
  <si>
    <t>11101001001011011001011101110000111110010101011010001001111</t>
  </si>
  <si>
    <t>525070384258266191</t>
  </si>
  <si>
    <t>236840008106554447</t>
  </si>
  <si>
    <t>10110001111000110010000001111010101110100100010111001101110</t>
  </si>
  <si>
    <t>131021123023232013302223101033</t>
  </si>
  <si>
    <t>35113313560762532117</t>
  </si>
  <si>
    <t>eibcne3sld2f</t>
  </si>
  <si>
    <t>11110010001011010101001111100001110111010011011010010010111</t>
  </si>
  <si>
    <t>545334261271082135</t>
  </si>
  <si>
    <t>10011101101110110101110011001000100001011111110111001101000</t>
  </si>
  <si>
    <t>10010110110100100110100010001111000001101010100101110110000</t>
  </si>
  <si>
    <t>51390368045157296</t>
  </si>
  <si>
    <t>4fb4ca87bb6c4907000000000000000000000000000000000000000000000000</t>
  </si>
  <si>
    <t>1011000101001110110100110001010001101111010110110010110010011011110111100001011100000011110111101010111010011110111100110011101011111000000100010000001000010000</t>
  </si>
  <si>
    <t>191662852483070525</t>
  </si>
  <si>
    <t>11010010010110110010111011100001111100101010110100010011111</t>
  </si>
  <si>
    <t>11110100100101101100101110111000011111001010101101000100111</t>
  </si>
  <si>
    <t>00010110110100100110100010001111000001101010100101110110000</t>
  </si>
  <si>
    <t>1x3,0x1,1x1,0x2,1x1,0x2,1x1,0x1,1x2,0x1,1x2,0x2,1x1,0x1,1x3,0x1,1x3,0x4,1x5,0x2,1x1,0x1,1x1,0x1,1x1,0x1,1x2,0x1,1x1,0x3,1x1,0x2,1x4</t>
  </si>
  <si>
    <t>4:3 6:1 7:2 8:1 9:1 a:1 b:3 c:2 f:1</t>
  </si>
  <si>
    <t>325093716281924142</t>
  </si>
  <si>
    <t>125117048305582093</t>
  </si>
  <si>
    <t>525070384258266192</t>
  </si>
  <si>
    <t>525070384258266190</t>
  </si>
  <si>
    <t>0x00 00 00 00 00 00 00 00 00 00 00 00 00 00 00 00 00 00 00 00 00 00 00 00 07 49 6c bb 87 ca b4 4f</t>
  </si>
  <si>
    <t>0,0,0,0,0,0,0,0,0,0,0,0,0,0,0,0,0,0,0,0,0,0,0,0,7,73,108,187,135,202,180,79</t>
  </si>
  <si>
    <t>.........................Il....O</t>
  </si>
  <si>
    <t>135.202.180.79</t>
  </si>
  <si>
    <t>0100000100100110011111010010110101111110111000011010100011100111011011111000110100010101010001101101000011010011000010101110111110110010100010010010110100100011000111001110111000001101110111100111011101110110110110101111100111111000000000100001010010000101</t>
  </si>
  <si>
    <t>fc07a1825367bbe</t>
  </si>
  <si>
    <t>111111000000011110100001100000100101001101100111101110111110</t>
  </si>
  <si>
    <t>1135041350219496382</t>
  </si>
  <si>
    <t>558580597916072894</t>
  </si>
  <si>
    <t>100010001001000101101010001110100010111111001100111111110001</t>
  </si>
  <si>
    <t>333000132201200211031213232332</t>
  </si>
  <si>
    <t>77003641404515475676</t>
  </si>
  <si>
    <t>vg3q30ijcutu</t>
  </si>
  <si>
    <t>011111011101111001101100101001000001100001011110000000111111</t>
  </si>
  <si>
    <t>566862884475625535</t>
  </si>
  <si>
    <t>100000100000010001110001010000110111101011010100011001100001</t>
  </si>
  <si>
    <t>100000111111100001011110011111011010110010011000010001000001</t>
  </si>
  <si>
    <t>17880154387350593</t>
  </si>
  <si>
    <t>be7b3625187ac00f000000000000000000000000000000000000000000000000</t>
  </si>
  <si>
    <t>1100110111111000111001011100011101010000001110101001110100100010011001000010111000111110110011111100100001111000000101110110011100100111100001111011100111000101</t>
  </si>
  <si>
    <t>2836949120531405311</t>
  </si>
  <si>
    <t>111110000000111101000011000001001010011011001111011101111101</t>
  </si>
  <si>
    <t>011111100000001111010000110000010010100110110011110111011111</t>
  </si>
  <si>
    <t>000000111111100001011110011111011010110010011000010001000001</t>
  </si>
  <si>
    <t>1x6,0x7,1x4,0x1,1x1,0x4,1x2,0x5,1x1,0x2,1x1,0x1,1x1,0x2,1x2,0x1,1x2,0x2,1x4,0x1,1x3,0x1,1x5,0x1</t>
  </si>
  <si>
    <t>0:1 1:1 2:1 3:1 5:1 6:1 7:2 8:1 a:1 b:2 c:1 e:1 f:1</t>
  </si>
  <si>
    <t>609970965961230191</t>
  </si>
  <si>
    <t>84900581702964000</t>
  </si>
  <si>
    <t>1135041350219496383</t>
  </si>
  <si>
    <t>1135041350219496381</t>
  </si>
  <si>
    <t>0x00 00 00 00 00 00 00 00 00 00 00 00 00 00 00 00 00 00 00 00 00 00 00 00 0f c0 7a 18 25 36 7b be</t>
  </si>
  <si>
    <t>0,0,0,0,0,0,0,0,0,0,0,0,0,0,0,0,0,0,0,0,0,0,0,0,15,192,122,24,37,54,123,190</t>
  </si>
  <si>
    <t>..........................z.%6{.</t>
  </si>
  <si>
    <t>37.54.123.190</t>
  </si>
  <si>
    <t>0100100011101000010000111101110001011011000110111101001001000110111001100011000010011011010010010010010010111000000101010100001111010000001010110001011011001000000010000011110111111001011100111010100010011100111000101100011111101011100010011010000100001101</t>
  </si>
  <si>
    <t>13c96a3742f64906</t>
  </si>
  <si>
    <t>1001111001001011010100011011101000010111101100100100100000110</t>
  </si>
  <si>
    <t>1425787542618654982</t>
  </si>
  <si>
    <t>272866038011808006</t>
  </si>
  <si>
    <t>1110000001001000100000010111101100111110000000011001010111000</t>
  </si>
  <si>
    <t>1033021122203131002331210210012</t>
  </si>
  <si>
    <t>117113243350275444406</t>
  </si>
  <si>
    <t>17iba6t1fci86</t>
  </si>
  <si>
    <t>0110000010010010011011110100001011101100010101101001001111001</t>
  </si>
  <si>
    <t>869843338433057401</t>
  </si>
  <si>
    <t>1101000101101110111110010110011100011100011010110110110000101</t>
  </si>
  <si>
    <t>1110000110110100101011100100010111101000010011011011011111001</t>
  </si>
  <si>
    <t>880055466595038969</t>
  </si>
  <si>
    <t>0649f642376ac913000000000000000000000000000000000000000000000000</t>
  </si>
  <si>
    <t>0110100000010011001111100001100110110010110111111011100100000011010011101101111110011000001100001010001000000000110011111101111100111000110010010000110010111101</t>
  </si>
  <si>
    <t>2894568162457875241</t>
  </si>
  <si>
    <t>0011110010010110101000110111010000101111011001001001000001101</t>
  </si>
  <si>
    <t>0100111100100101101010001101110100001011110110010010010000011</t>
  </si>
  <si>
    <t>0110000110110100101011100100010111101000010011011011011111001</t>
  </si>
  <si>
    <t>1x1,0x2,1x4,0x2,1x1,0x2,1x1,0x1,1x2,0x1,1x1,0x1,1x1,0x3,1x2,0x1,1x3,0x1,1x1,0x4,1x1,0x1,1x4,0x1,1x2,0x2,1x1,0x2,1x1,0x2,1x1,0x5,1x2,0x1</t>
  </si>
  <si>
    <t>0:1 1:1 2:1 3:2 4:2 6:3 7:1 9:2 a:1 c:1 f:1</t>
  </si>
  <si>
    <t>290746192399158600</t>
  </si>
  <si>
    <t>-844295157820337782</t>
  </si>
  <si>
    <t>1425787542618654983</t>
  </si>
  <si>
    <t>1425787542618654981</t>
  </si>
  <si>
    <t>0x00 00 00 00 00 00 00 00 00 00 00 00 00 00 00 00 00 00 00 00 00 00 00 00 13 c9 6a 37 42 f6 49 06</t>
  </si>
  <si>
    <t>0,0,0,0,0,0,0,0,0,0,0,0,0,0,0,0,0,0,0,0,0,0,0,0,19,201,106,55,66,246,73,6</t>
  </si>
  <si>
    <t>..........................j7B.I.</t>
  </si>
  <si>
    <t>66.246.73.6</t>
  </si>
  <si>
    <t>0100100110100100001110000110000011010001000101010001010000111100001101011100000010010100010101001000011000111101011011111000001010101001010111100100011111000001000101100010111110111001101100101110101111100000000110000110111010110010011011110100010100111111</t>
  </si>
  <si>
    <t>363d541eb611abee</t>
  </si>
  <si>
    <t>11011000111101010101000001111010110110000100011010101111101110</t>
  </si>
  <si>
    <t>3908372542507822062</t>
  </si>
  <si>
    <t>1602529533294128110</t>
  </si>
  <si>
    <t>10010111110100001111100010100111110100111001111110001011101000</t>
  </si>
  <si>
    <t>3120331111001322312010122233232</t>
  </si>
  <si>
    <t>330752501726604325756</t>
  </si>
  <si>
    <t>3cfak3qr13ave</t>
  </si>
  <si>
    <t>01110111110101011000100001101101011110000010101010111100011011</t>
  </si>
  <si>
    <t>2158739466075418395</t>
  </si>
  <si>
    <t>10110100100011111111100001000111101101000110010111111000011001</t>
  </si>
  <si>
    <t>10100111000010101010111110000101001001111011100101010000010001</t>
  </si>
  <si>
    <t>703313475919565841</t>
  </si>
  <si>
    <t>eeab11b61e543d36000000000000000000000000000000000000000000000000</t>
  </si>
  <si>
    <t>1110001001100110010001101101101110000100101100000110000000101111001100101011001101001011010110100110001011001010001111001010111000011111100100011011011101111001</t>
  </si>
  <si>
    <t>2602287052452738093</t>
  </si>
  <si>
    <t>10110001111010101010000011110101101100001000110101011111011101</t>
  </si>
  <si>
    <t>01101100011110101010100000111101011011000010001101010111110111</t>
  </si>
  <si>
    <t>00100111000010101010111110000101001001111011100101010000010001</t>
  </si>
  <si>
    <t>1x2,0x1,1x2,0x3,1x4,0x1,1x1,0x1,1x1,0x1,1x1,0x1,1x1,0x5,1x4,0x1,1x1,0x1,1x2,0x1,1x2,0x4,1x1,0x3,1x2,0x1,1x1,0x1,1x1,0x1,1x5,0x1,1x3,0x1</t>
  </si>
  <si>
    <t>1:3 3:2 4:1 5:1 6:2 a:1 b:2 d:1 e:3</t>
  </si>
  <si>
    <t>2482584999889167080</t>
  </si>
  <si>
    <t>1056797457270512098</t>
  </si>
  <si>
    <t>3908372542507822063</t>
  </si>
  <si>
    <t>3908372542507822061</t>
  </si>
  <si>
    <t>0x00 00 00 00 00 00 00 00 00 00 00 00 00 00 00 00 00 00 00 00 00 00 00 00 36 3d 54 1e b6 11 ab ee</t>
  </si>
  <si>
    <t>0,0,0,0,0,0,0,0,0,0,0,0,0,0,0,0,0,0,0,0,0,0,0,0,54,61,84,30,182,17,171,238</t>
  </si>
  <si>
    <t>........................6=T.....</t>
  </si>
  <si>
    <t>182.17.171.238</t>
  </si>
  <si>
    <t>0010001100011010011001111110010000100100110010101111011111010000000110100000000011010101110011010100100110110000010001100100100101000010001001010101101110001110010010000111011001101111100101100110000000101011110111111010010011101010000101001111111010101000</t>
  </si>
  <si>
    <t>7cce5efdaccf6808</t>
  </si>
  <si>
    <t>111110011001110010111101111110110101100110011110110100000001000</t>
  </si>
  <si>
    <t>8993229949524469768</t>
  </si>
  <si>
    <t>4381543931097081864</t>
  </si>
  <si>
    <t>100101011110011000010101110001100011010110111101100001111100110</t>
  </si>
  <si>
    <t>13303032113233312230303312200020</t>
  </si>
  <si>
    <t>763162757665463664010</t>
  </si>
  <si>
    <t>7pjiuvmmcuq08</t>
  </si>
  <si>
    <t>000100000001011011110011001101011011111101111010011100110011111</t>
  </si>
  <si>
    <t>579690683132885407</t>
  </si>
  <si>
    <t>100001010101001011100011000001101111010101010001101110000001100</t>
  </si>
  <si>
    <t>100001100110001101000010000001001010011001100001001011111110111</t>
  </si>
  <si>
    <t>230142087330306039</t>
  </si>
  <si>
    <t>0868cfacfd5ece7c000000000000000000000000000000000000000000000000</t>
  </si>
  <si>
    <t>1110111101011000101011111011011010010111101100001001010001000010001111001110100100000111001000011111101110110001100110100011010110011110111101111100010100001110</t>
  </si>
  <si>
    <t>8679644259499223998</t>
  </si>
  <si>
    <t>111100110011100101111011111101101011001100111101101000000010001</t>
  </si>
  <si>
    <t>011111001100111001011110111111011010110011001111011010000000100</t>
  </si>
  <si>
    <t>000001100110001101000010000001001010011001100001001011111110111</t>
  </si>
  <si>
    <t>1x5,0x2,1x2,0x2,1x3,0x2,1x1,0x1,1x4,0x1,1x6,0x1,1x2,0x1,1x1,0x1,1x2,0x2,1x2,0x2,1x4,0x1,1x2,0x1,1x1,0x7,1x1,0x3</t>
  </si>
  <si>
    <t>c</t>
  </si>
  <si>
    <t>0:1 5:1 6:1 7:1 8:2 a:1 c:4 d:1 e:2 f:2</t>
  </si>
  <si>
    <t>5084857407016647706</t>
  </si>
  <si>
    <t>1176484864508825644</t>
  </si>
  <si>
    <t>8993229949524469769</t>
  </si>
  <si>
    <t>8993229949524469767</t>
  </si>
  <si>
    <t>0x00 00 00 00 00 00 00 00 00 00 00 00 00 00 00 00 00 00 00 00 00 00 00 00 7c ce 5e fd ac cf 68 08</t>
  </si>
  <si>
    <t>0,0,0,0,0,0,0,0,0,0,0,0,0,0,0,0,0,0,0,0,0,0,0,0,124,206,94,253,172,207,104,8</t>
  </si>
  <si>
    <t>........................|.^...h.</t>
  </si>
  <si>
    <t>172.207.104.8</t>
  </si>
  <si>
    <t>0110010111101100001010011001010010111000110011000000101000100000110101000000110111010110100111101101111111100101010111001010001100101010010101001011110010111011101010100110101100001101110111001111111100110110000001001001001100000001101001010100010101111001</t>
  </si>
  <si>
    <t>f7051f27b09112d4</t>
  </si>
  <si>
    <t>1111011100000101000111110010011110110000100100010001001011010100</t>
  </si>
  <si>
    <t>17799667357578236628</t>
  </si>
  <si>
    <t>8576295320723460820</t>
  </si>
  <si>
    <t>1000101111001011010000011101101000011100010111100111101011011100</t>
  </si>
  <si>
    <t>33130011013302132300210101023110</t>
  </si>
  <si>
    <t>1734050762366044211324</t>
  </si>
  <si>
    <t>fe18v4uo924mk</t>
  </si>
  <si>
    <t>0010101101001000100010010000110111100100111110001010000011101111</t>
  </si>
  <si>
    <t>3118893434723148015</t>
  </si>
  <si>
    <t>1000110010000111100100001011010001101000110110011001101110111110</t>
  </si>
  <si>
    <t>1000100011111010111000001101100001001111011011101110110100101011</t>
  </si>
  <si>
    <t>647076716131314987</t>
  </si>
  <si>
    <t>d41291b0271f05f7000000000000000000000000000000000000000000000000</t>
  </si>
  <si>
    <t>0011111011100100000100110011110110011001000111110101001011111101111101101010001001011100100110000011010011100000011101000101101011000111010000100100100010100100</t>
  </si>
  <si>
    <t>82663287575376699771</t>
  </si>
  <si>
    <t>1110111000001010001111100100111101100001001000100010010110101001</t>
  </si>
  <si>
    <t>0111101110000010100011111001001111011000010010001000100101101010</t>
  </si>
  <si>
    <t>0000100011111010111000001101100001001111011011101110110100101011</t>
  </si>
  <si>
    <t>1x4,0x1,1x3,0x5,1x1,0x1,1x1,0x3,1x5,0x2,1x1,0x2,1x4,0x1,1x2,0x4,1x1,0x2,1x1,0x3,1x1,0x3,1x1,0x2,1x1,0x1,1x2,0x1,1x1,0x1,1x1,0x2</t>
  </si>
  <si>
    <t>0:2 1:3 2:2 4:1 5:1 7:2 9:1 b:1 d:1 f:2</t>
  </si>
  <si>
    <t>8806437408053766860</t>
  </si>
  <si>
    <t>-186792541470702908</t>
  </si>
  <si>
    <t>17799667357578236629</t>
  </si>
  <si>
    <t>17799667357578236627</t>
  </si>
  <si>
    <t>0x00 00 00 00 00 00 00 00 00 00 00 00 00 00 00 00 00 00 00 00 00 00 00 00 f7 05 1f 27 b0 91 12 d4</t>
  </si>
  <si>
    <t>0,0,0,0,0,0,0,0,0,0,0,0,0,0,0,0,0,0,0,0,0,0,0,0,247,5,31,39,176,145,18,212</t>
  </si>
  <si>
    <t>...........................'....</t>
  </si>
  <si>
    <t>176.145.18.212</t>
  </si>
  <si>
    <t>0001000000000110000100011100010101001101111111101111011000000100000101100011101110000011010110001111011110110111111110101100000100111100111001000111100011100000001011001011001000100100101011100001011011010100010101010010011010110010010111011001110101001101</t>
  </si>
  <si>
    <t>1a838b13505b26867</t>
  </si>
  <si>
    <t>11010100000111000101100010011010100000101101100100110100001100111</t>
  </si>
  <si>
    <t>30568377312064202855</t>
  </si>
  <si>
    <t>12121633238354651239</t>
  </si>
  <si>
    <t>10101111100111101101011100001001010110101001000110111101010110011</t>
  </si>
  <si>
    <t>122200320230103110011230212201213</t>
  </si>
  <si>
    <t>3240705423240554464147</t>
  </si>
  <si>
    <t>qge5h6k2r4q37</t>
  </si>
  <si>
    <t>11100110000101100100110110100000101011001000110100011100000101011</t>
  </si>
  <si>
    <t>33159048861392189483</t>
  </si>
  <si>
    <t>10111110000100100111010011010111110000111011010110101110001010100</t>
  </si>
  <si>
    <t>10101011111000111010011101100101011111010010011011001011110011000</t>
  </si>
  <si>
    <t>6325110835354900376</t>
  </si>
  <si>
    <t>6768b20535b138a8010000000000000000000000000000000000000000000000</t>
  </si>
  <si>
    <t>0101001011100111011000111010011111011101110000011010101001001111101010000001000101010111100011000100100100011100000110111100011111111101010101110000000100110111</t>
  </si>
  <si>
    <t>55820246021377386503</t>
  </si>
  <si>
    <t>10101000001110001011000100110101000001011011001001101000011001111</t>
  </si>
  <si>
    <t>11101010000011100010110001001101010000010110110010011010000110011</t>
  </si>
  <si>
    <t>00101011111000111010011101100101011111010010011011001011110011000</t>
  </si>
  <si>
    <t>1x2,0x1,1x1,0x1,1x1,0x5,1x3,0x3,1x1,0x1,1x2,0x3,1x1,0x2,1x2,0x1,1x1,0x1,1x1,0x5,1x1,0x1,1x2,0x1,1x2,0x2,1x1,0x2,1x2,0x1,1x1,0x4,1x2,0x2,1x3</t>
  </si>
  <si>
    <t>0:1 1:2 2:1 3:2 5:2 6:2 7:1 8:3 a:1 b:2</t>
  </si>
  <si>
    <t>12768709954485966227</t>
  </si>
  <si>
    <t>-5030957403092270401</t>
  </si>
  <si>
    <t>30568377312064202856</t>
  </si>
  <si>
    <t>30568377312064202854</t>
  </si>
  <si>
    <t>0x00 00 00 00 00 00 00 00 00 00 00 00 00 00 00 00 00 00 00 00 00 00 00 01 a8 38 b1 35 05 b2 68 67</t>
  </si>
  <si>
    <t>0,0,0,0,0,0,0,0,0,0,0,0,0,0,0,0,0,0,0,0,0,0,0,1,168,56,177,53,5,178,104,103</t>
  </si>
  <si>
    <t>.........................8.5..hg</t>
  </si>
  <si>
    <t>5.178.104.103</t>
  </si>
  <si>
    <t>0011000000100001000011000010001110110001101000000100011110111100100110111101101110110001001101000100100011100110011111011110110111011100000100001000100101000110110111100110110111100110001110011011110011000111010111010100011111000000001000010110101100011011</t>
  </si>
  <si>
    <t>2832ed74f2b5e35ee</t>
  </si>
  <si>
    <t>101000001100101110110101110100111100101011010111100011010111101110</t>
  </si>
  <si>
    <t>46346217550346335726</t>
  </si>
  <si>
    <t>9452729402927232494</t>
  </si>
  <si>
    <t>110010101100010110011001100111101000101110111011000101110110001001</t>
  </si>
  <si>
    <t>220030232311310330223113203113232</t>
  </si>
  <si>
    <t>5014566564745327432756</t>
  </si>
  <si>
    <t>186bmn9sllsdfe</t>
  </si>
  <si>
    <t>011101111010110001111010110101001111001011101011011101001100000101</t>
  </si>
  <si>
    <t>34493609766139319045</t>
  </si>
  <si>
    <t>111100001010111001101111001110100010111110111100010010111100011001</t>
  </si>
  <si>
    <t>110111110011010001001010001011000011010100101000011100101000010001</t>
  </si>
  <si>
    <t>27440758744491870737</t>
  </si>
  <si>
    <t>ee355e2b4fd72e83020000000000000000000000000000000000000000000000</t>
  </si>
  <si>
    <t>0010000011010100010110100110101001110110001001010011010101110000000011001110100111100000101100100001011011100011000110011001010000110011010111011011100010100101</t>
  </si>
  <si>
    <t>62753364305571264364</t>
  </si>
  <si>
    <t>010000011001011101101011101001111001010110101111000110101111011101</t>
  </si>
  <si>
    <t>010100000110010111011010111010011110010101101011110001101011110111</t>
  </si>
  <si>
    <t>010111110011010001001010001011000011010100101000011100101000010001</t>
  </si>
  <si>
    <t>1x1,0x1,1x1,0x5,1x2,0x2,1x1,0x1,1x3,0x1,1x2,0x1,1x1,0x1,1x3,0x1,1x1,0x2,1x4,0x2,1x1,0x1,1x1,0x1,1x2,0x1,1x1,0x1,1x4,0x3,1x2,0x1,1x1,0x1,1x4,0x1,1x3,0x1</t>
  </si>
  <si>
    <t>2:3 3:2 4:1 5:2 7:1 8:1 b:1 d:1 e:4 f:1</t>
  </si>
  <si>
    <t>15777840238282132871</t>
  </si>
  <si>
    <t>-14790537073782069984</t>
  </si>
  <si>
    <t>46346217550346335727</t>
  </si>
  <si>
    <t>46346217550346335725</t>
  </si>
  <si>
    <t>0x00 00 00 00 00 00 00 00 00 00 00 00 00 00 00 00 00 00 00 00 00 00 00 02 83 2e d7 4f 2b 5e 35 ee</t>
  </si>
  <si>
    <t>0,0,0,0,0,0,0,0,0,0,0,0,0,0,0,0,0,0,0,0,0,0,0,2,131,46,215,79,43,94,53,238</t>
  </si>
  <si>
    <t>...........................O+^5.</t>
  </si>
  <si>
    <t>43.94.53.238</t>
  </si>
  <si>
    <t>0100111011100010101111100010110101001110100111111001001011010010111101011010010010100000001100000101100001100001011111011100010001011011111011111110001000101001001110001111111011101101010110110111101001101011011100101000001011011101011101001100101111011101</t>
  </si>
  <si>
    <t>730fc235c1942c1ae</t>
  </si>
  <si>
    <t>1110011000011111100001000110101110000011001010000101100000110101110</t>
  </si>
  <si>
    <t>132656943602386256302</t>
  </si>
  <si>
    <t>58869967307548049838</t>
  </si>
  <si>
    <t>1011011001111010010111101000001001100110010000111001111010001000000</t>
  </si>
  <si>
    <t>1303003330020311300121100230012232</t>
  </si>
  <si>
    <t>16303741065603120540656</t>
  </si>
  <si>
    <t>3j1v13bgck5gde</t>
  </si>
  <si>
    <t>0111010110000011010000101001100000111010110001000011111100001100111</t>
  </si>
  <si>
    <t>67741479567800531047</t>
  </si>
  <si>
    <t>1001010100010000010001100101111001000010101111000111010000101111001</t>
  </si>
  <si>
    <t>1001100111100000011110111001010001111100110101111010011111001010001</t>
  </si>
  <si>
    <t>14917008987290156625</t>
  </si>
  <si>
    <t>aec142195c23fc30070000000000000000000000000000000000000000000000</t>
  </si>
  <si>
    <t>0111001110010100001101111011101100111101110101101101000110011000001111100110011001100010100111000101111100001000110001110000111001010010011101101001001101110001</t>
  </si>
  <si>
    <t>203652683206349656231</t>
  </si>
  <si>
    <t>1100110000111111000010001101011100000110010100001011000001101011101</t>
  </si>
  <si>
    <t>0111001100001111110000100011010111000001100101000010110000011010111</t>
  </si>
  <si>
    <t>0001100111100000011110111001010001111100110101111010011111001010001</t>
  </si>
  <si>
    <t>1x3,0x2,1x2,0x4,1x6,0x4,1x1,0x3,1x2,0x1,1x1,0x1,1x3,0x5,1x2,0x2,1x1,0x1,1x1,0x4,1x1,0x1,1x2,0x5,1x2,0x1,1x1,0x1,1x3,0x1</t>
  </si>
  <si>
    <t>0:1 1:2 2:2 3:2 4:1 5:1 7:1 9:1 a:1 c:3 e:1 f:1</t>
  </si>
  <si>
    <t>86310726052039920576</t>
  </si>
  <si>
    <t>39964508501693584850</t>
  </si>
  <si>
    <t>132656943602386256303</t>
  </si>
  <si>
    <t>132656943602386256301</t>
  </si>
  <si>
    <t>0x00 00 00 00 00 00 00 00 00 00 00 00 00 00 00 00 00 00 00 00 00 00 00 07 30 fc 23 5c 19 42 c1 ae</t>
  </si>
  <si>
    <t>0,0,0,0,0,0,0,0,0,0,0,0,0,0,0,0,0,0,0,0,0,0,0,7,48,252,35,92,25,66,193,174</t>
  </si>
  <si>
    <t>........................0.#\.B..</t>
  </si>
  <si>
    <t>25.66.193.174</t>
  </si>
  <si>
    <t>0001001000100000100111110101111011000101000101001010000101011000000010100010100100110111101111011000001100111001011110011101100100110011000110011001111111000010001100001110001000000100110001101100110111000101100010000111001010110111110101000110111101110101</t>
  </si>
  <si>
    <t>bebb3940cd0fc1491</t>
  </si>
  <si>
    <t>10111110101110110011100101000000110011010000111111000001010010010001</t>
  </si>
  <si>
    <t>219898266213316039825</t>
  </si>
  <si>
    <t>72324313623639626897</t>
  </si>
  <si>
    <t>11001101101101001111101101110101000011001001101111101101010100111111</t>
  </si>
  <si>
    <t>2332232303211000303100333001102101</t>
  </si>
  <si>
    <t>27656634500632077012221</t>
  </si>
  <si>
    <t>5uncsk1j8fo54h</t>
  </si>
  <si>
    <t>10001001001010000011111100001011001100000010100111001101110101111101</t>
  </si>
  <si>
    <t>158131499192796634493</t>
  </si>
  <si>
    <t>11100001111001101010010111100000101010111000100000100001111011011001</t>
  </si>
  <si>
    <t>11000001010001001100011010111111001100101111000000111110101101101110</t>
  </si>
  <si>
    <t>75249638966036786030</t>
  </si>
  <si>
    <t>9114fcd00c94b3eb0b0000000000000000000000000000000000000000000000</t>
  </si>
  <si>
    <t>1110000010111000101000101011101011101110000110110111011111111100011100000011010001010101111100111001110101010001010001110111010001010001111111001000110011111100</t>
  </si>
  <si>
    <t>528930613312662898912</t>
  </si>
  <si>
    <t>01111101011101100111001010000001100110100001111110000010100100100011</t>
  </si>
  <si>
    <t>11011111010111011001110010100000011001101000011111100000101001001000</t>
  </si>
  <si>
    <t>01000001010001001100011010111111001100101111000000111110101101101110</t>
  </si>
  <si>
    <t>1x1,0x1,1x5,0x1,1x1,0x1,1x3,0x1,1x2,0x2,1x3,0x2,1x1,0x1,1x1,0x6,1x2,0x2,1x2,0x1,1x1,0x4,1x6,0x5,1x1,0x1,1x1,0x2,1x1,0x2,1x1,0x3,1x1</t>
  </si>
  <si>
    <t>0:2 1:2 3:1 4:2 9:2 b:3 c:2 d:1 e:1 f:1</t>
  </si>
  <si>
    <t>87241322610929783523</t>
  </si>
  <si>
    <t>-45415620991456472779</t>
  </si>
  <si>
    <t>219898266213316039826</t>
  </si>
  <si>
    <t>219898266213316039824</t>
  </si>
  <si>
    <t>0x00 00 00 00 00 00 00 00 00 00 00 00 00 00 00 00 00 00 00 00 00 00 00 0b eb b3 94 0c d0 fc 14 91</t>
  </si>
  <si>
    <t>0,0,0,0,0,0,0,0,0,0,0,0,0,0,0,0,0,0,0,0,0,0,0,11,235,179,148,12,208,252,20,145</t>
  </si>
  <si>
    <t>208.252.20.145</t>
  </si>
  <si>
    <t>0001111111100000001011110001110101110100000001100011011110100111000100100111110011011111111010001010011101111010100010100000110011111100011001000011010111111000010111100111111011000011001010000010110010110110001001000011110000001010100100111011101000011011</t>
  </si>
  <si>
    <t>101d83275fb2bc7e0c</t>
  </si>
  <si>
    <t>100000001110110000011001001110101111110110010101111000111111000001100</t>
  </si>
  <si>
    <t>297274491920375905804</t>
  </si>
  <si>
    <t>2126586741023079948</t>
  </si>
  <si>
    <t>110111111011000110000101100110101001101100010010000000110101010011101</t>
  </si>
  <si>
    <t>10001312003021311332302233013320030</t>
  </si>
  <si>
    <t>40166031165766257077014</t>
  </si>
  <si>
    <t>81r0p7bupbovgc</t>
  </si>
  <si>
    <t>001100000111111000111101010011011111101011100100110000011011100000001</t>
  </si>
  <si>
    <t>111817528512548976385</t>
  </si>
  <si>
    <t>110000001001101000010101101001111000001101011111000100100000100001010</t>
  </si>
  <si>
    <t>111111110001001111100110110001010000001001101010000111000000111110011</t>
  </si>
  <si>
    <t>293021318438329745907</t>
  </si>
  <si>
    <t>0c7ebcb25f27831d100000000000000000000000000000000000000000000000</t>
  </si>
  <si>
    <t>0110000111101011100010100101000011001000011010110000010110000100101110110111001001111101110101100101101111101101100011010010010000000000110101101101010110101010</t>
  </si>
  <si>
    <t>408509573029194472792</t>
  </si>
  <si>
    <t>000000011101100000110010011101011111101100101011110001111110000011001</t>
  </si>
  <si>
    <t>010000000111011000001100100111010111111011001010111100011111100000110</t>
  </si>
  <si>
    <t>011111110001001111100110110001010000001001101010000111000000111110011</t>
  </si>
  <si>
    <t>1x1,0x7,1x3,0x1,1x2,0x5,1x2,0x2,1x1,0x2,1x3,0x1,1x1,0x1,1x6,0x1,1x2,0x2,1x1,0x1,1x1,0x1,1x4,0x3,1x6,0x5,1x2,0x2</t>
  </si>
  <si>
    <t>0:2 1:2 2:2 3:1 5:1 7:2 8:1 b:2 c:2 d:1 e:1 f:1</t>
  </si>
  <si>
    <t>77376225707059865979</t>
  </si>
  <si>
    <t>-142522040506256173846</t>
  </si>
  <si>
    <t>297274491920375905805</t>
  </si>
  <si>
    <t>297274491920375905803</t>
  </si>
  <si>
    <t>0x00 00 00 00 00 00 00 00 00 00 00 00 00 00 00 00 00 00 00 00 00 00 00 10 1d 83 27 5f b2 bc 7e 0c</t>
  </si>
  <si>
    <t>0,0,0,0,0,0,0,0,0,0,0,0,0,0,0,0,0,0,0,0,0,0,0,16,29,131,39,95,178,188,126,12</t>
  </si>
  <si>
    <t>..........................'_..~.</t>
  </si>
  <si>
    <t>178.188.126.12</t>
  </si>
  <si>
    <t>0100101110101011101011011100110011000110110011111101010111110000111001011110011111111101001010100101000010101010011111010110011101111100111000001010101000010110111111011100111000100110101000001101000010001000001011101110110100000011111001111011101001010011</t>
  </si>
  <si>
    <t>349b84b6431a6c4ef1</t>
  </si>
  <si>
    <t>1101001001101110000100101101100100001100011010011011000100111011110001</t>
  </si>
  <si>
    <t>970436974005023690481</t>
  </si>
  <si>
    <t>380141163646318038769</t>
  </si>
  <si>
    <t>1001001000011000000111100100010001110010101000110100000011000011111101</t>
  </si>
  <si>
    <t>31021232010231210030122123010323301</t>
  </si>
  <si>
    <t>151156045544143233047361</t>
  </si>
  <si>
    <t>q9n15m8cd6ojnh</t>
  </si>
  <si>
    <t>1000111101110010001101100101100011000010011011010010000111011001001011</t>
  </si>
  <si>
    <t>661528566375402468939</t>
  </si>
  <si>
    <t>1011101101011001000110111011010110001010010111010110100110100110001001</t>
  </si>
  <si>
    <t>1010110110010001111011010010011011110011100101100100111011000100001110</t>
  </si>
  <si>
    <t>210154646712387612942</t>
  </si>
  <si>
    <t>f14e6c1a43b6849b340000000000000000000000000000000000000000000000</t>
  </si>
  <si>
    <t>0101110110111000110011011010010100111010011010100000000000101101101100010000001101100101100101100111110101111111100001011101000110011110000101110001101100010000</t>
  </si>
  <si>
    <t>184096320500479634079</t>
  </si>
  <si>
    <t>1010010011011100001001011011001000011000110100110110001001110111100011</t>
  </si>
  <si>
    <t>1110100100110111000010010110110010000110001101001101100010011101111000</t>
  </si>
  <si>
    <t>0010110110010001111011010010011011110011100101100100111011000100001110</t>
  </si>
  <si>
    <t>1x2,0x1,1x1,0x2,1x1,0x2,1x2,0x1,1x3,0x4,1x1,0x2,1x1,0x1,1x2,0x1,1x2,0x2,1x1,0x4,1x2,0x3,1x2,0x1,1x1,0x2,1x2,0x1,1x2,0x3,1x1,0x2,1x3,0x1,1x4,0x3,1x1</t>
  </si>
  <si>
    <t>1:2 3:2 4:4 6:2 8:1 9:1 a:1 b:2 c:1 e:1 f:1</t>
  </si>
  <si>
    <t>673162482084647784677</t>
  </si>
  <si>
    <t>375887990164271878873</t>
  </si>
  <si>
    <t>970436974005023690482</t>
  </si>
  <si>
    <t>970436974005023690480</t>
  </si>
  <si>
    <t>0x00 00 00 00 00 00 00 00 00 00 00 00 00 00 00 00 00 00 00 00 00 00 00 34 9b 84 b6 43 1a 6c 4e f1</t>
  </si>
  <si>
    <t>0,0,0,0,0,0,0,0,0,0,0,0,0,0,0,0,0,0,0,0,0,0,0,52,155,132,182,67,26,108,78,241</t>
  </si>
  <si>
    <t>.......................4...C.lN.</t>
  </si>
  <si>
    <t>26.108.78.241</t>
  </si>
  <si>
    <t>1001000011100110100100000000101001011000110100110011001110010011101111000001000010010111101101011010111011010011000111110010111001001110011111001011110100111110010101000110011010101111100101011000011001100101101111000000000100100001001001001000010010000011</t>
  </si>
  <si>
    <t>4c5ce114686a1336e07</t>
  </si>
  <si>
    <t>100110001011100111000010001010001101000011010100001001100110110111000000111</t>
  </si>
  <si>
    <t>22538323240989823823367</t>
  </si>
  <si>
    <t>3648857309511242968583</t>
  </si>
  <si>
    <t>10301130320101101220122201030312320013</t>
  </si>
  <si>
    <t>4613470212150324114667007</t>
  </si>
  <si>
    <t>j2ss4a6gqgj6rg7</t>
  </si>
  <si>
    <t>111000000111011011001100100001010110000101100010100010000111001110100011001</t>
  </si>
  <si>
    <t>33125048289247803710745</t>
  </si>
  <si>
    <t>110101001110010100100011001111001011100010111110001101010101101100100000100</t>
  </si>
  <si>
    <t>111001110100011000111101110101110010111100101011110110011001001000111111000</t>
  </si>
  <si>
    <t>15240608621967337886200</t>
  </si>
  <si>
    <t>076e33a1864611cec50400000000000000000000000000000000000000000000</t>
  </si>
  <si>
    <t>1011101011011111100010110000110100110100001010001001111001100111100111101100011001011100011011000110000111010011101010010111010000110101001110111110010111001111</t>
  </si>
  <si>
    <t>76332832898904232383522</t>
  </si>
  <si>
    <t>001100010111001110000100010100011010000110101000010011001101101110000001111</t>
  </si>
  <si>
    <t>110011000101110011100001000101000110100001101010000100110011011011100000011</t>
  </si>
  <si>
    <t>011001110100011000111101110101110010111100101011110110011001001000111111000</t>
  </si>
  <si>
    <t>1x1,0x2,1x2,0x3,1x1,0x1,1x3,0x2,1x3,0x4,1x1,0x3,1x1,0x1,1x1,0x3,1x2,0x1,1x1,0x4,1x2,0x1,1x1,0x1,1x1,0x4,1x1,0x2,1x2,0x2,1x2,0x1,1x2,0x1,1x3,0x6,1x3</t>
  </si>
  <si>
    <t>0:1 1:3 3:2 4:2 5:1 6:3 7:1 8:1 a:1 c:2 e:2</t>
  </si>
  <si>
    <t>22538323240989823823368</t>
  </si>
  <si>
    <t>22538323240989823823366</t>
  </si>
  <si>
    <t>0x00 00 00 00 00 00 00 00 00 00 00 00 00 00 00 00 00 00 00 00 00 00 04 c5 ce 11 46 86 a1 33 6e 07</t>
  </si>
  <si>
    <t>0,0,0,0,0,0,0,0,0,0,0,0,0,0,0,0,0,0,0,0,0,0,4,197,206,17,70,134,161,51,110,7</t>
  </si>
  <si>
    <t>..........................F..3n.</t>
  </si>
  <si>
    <t>161.51.110.7</t>
  </si>
  <si>
    <t>0111001001101011010101110100111100011001001111100011011101000110100001101101100011100001001010111100011011100100000101000010101011011110101100000110011101110000111000001010001010000101011011110101111001001010110110001001111101100110000001000100011101010101</t>
  </si>
  <si>
    <t>ea1a5c66dcc11b5ad180</t>
  </si>
  <si>
    <t>11101010000110100101110001100110110111001100000100011011010110101101000110000000</t>
  </si>
  <si>
    <t>1105520030589234487939456</t>
  </si>
  <si>
    <t>501057120781919900586368</t>
  </si>
  <si>
    <t>3222012211301212313030010123112231012000</t>
  </si>
  <si>
    <t>352064561466714043326550600</t>
  </si>
  <si>
    <t>t8d5opmso4dllkc0</t>
  </si>
  <si>
    <t>00000001100010110101101011011000100000110011101101100110001110100101100001010111</t>
  </si>
  <si>
    <t>7293010035464797313111</t>
  </si>
  <si>
    <t>10011111000101110111001001010101101100101010000110010110111101111011100101000000</t>
  </si>
  <si>
    <t>10010101111001011010001110011001001000110011111011100100101001010010111001111111</t>
  </si>
  <si>
    <t>103405789025394686766719</t>
  </si>
  <si>
    <t>80d15a1bc1dc665c1aea00000000000000000000000000000000000000000000</t>
  </si>
  <si>
    <t>0110111111100101101000110110111011101111000001101000010010101111000010111001000111110011101101101100111111001001011100101101011010001100010011110110111110101011</t>
  </si>
  <si>
    <t>6549397844329850300255011</t>
  </si>
  <si>
    <t>11010100001101001011100011001101101110011000001000110110101101011010001100000001</t>
  </si>
  <si>
    <t>01110101000011010010111000110011011011100110000010001101101011010110100011000000</t>
  </si>
  <si>
    <t>00010101111001011010001110011001001000110011111011100100101001010010111001111111</t>
  </si>
  <si>
    <t>1x3,0x1,1x1,0x1,1x1,0x4,1x2,0x1,1x1,0x2,1x1,0x1,1x3,0x3,1x2,0x2,1x2,0x1,1x2,0x1,1x3,0x2,1x2,0x5,1x1,0x3,1x2,0x1,1x2,0x1,1x1,0x1,1x2,0x1,1x1,0x1,1x2,0x1,1x1,0x3,1x2,0x7</t>
  </si>
  <si>
    <t>0:1 1:4 5:2 6:2 8:1 a:3 b:1 c:3 d:2 e:1</t>
  </si>
  <si>
    <t>1105520030589234487939457</t>
  </si>
  <si>
    <t>1105520030589234487939455</t>
  </si>
  <si>
    <t>0x00 00 00 00 00 00 00 00 00 00 00 00 00 00 00 00 00 00 00 00 00 00 ea 1a 5c 66 dc c1 1b 5a d1 80</t>
  </si>
  <si>
    <t>0,0,0,0,0,0,0,0,0,0,0,0,0,0,0,0,0,0,0,0,0,0,234,26,92,102,220,193,27,90,209,128</t>
  </si>
  <si>
    <t>........................\f...Z..</t>
  </si>
  <si>
    <t>27.90.209.128</t>
  </si>
  <si>
    <t>0111111000010010001110001111011110110001110011100111010101111101111110010100111110101010100110100010111010110010011000011011111100001010111010111001111110000100110110111111100000010010000100100001000001001110011110001001001100011100001010100001100111011100</t>
  </si>
  <si>
    <t>11720c4f018d51b8cebba8</t>
  </si>
  <si>
    <t>1000101110010000011000100111100000001100011010101000110111000110011101011101110101000</t>
  </si>
  <si>
    <t>21090315766411506144426920</t>
  </si>
  <si>
    <t>1747502652577439349128104</t>
  </si>
  <si>
    <t>1011302003010330001203111012320303223232220</t>
  </si>
  <si>
    <t>10562030474014325067063535650</t>
  </si>
  <si>
    <t>he864u0cda6sctet8</t>
  </si>
  <si>
    <t>0001010111011101011100110001110110001010101100011000000011110010001100000100111010001</t>
  </si>
  <si>
    <t>3304151088612352765331921</t>
  </si>
  <si>
    <t>1100111001011000010100110100010000001010010111111100101100100101010011110011001111100</t>
  </si>
  <si>
    <t>1111010001101111100111011000011111110011100101010111001000111001100010100010001010111</t>
  </si>
  <si>
    <t>17595310461256627446170711</t>
  </si>
  <si>
    <t>a8bbceb8518d014f0c7211000000000000000000000000000000000000000000</t>
  </si>
  <si>
    <t>1100110100000011110000011110011000100110100011001110100110111000100111100011110000111110111010101011100011010000111100011011011011101000110010101100001010000001</t>
  </si>
  <si>
    <t>02962444160511466751309012</t>
  </si>
  <si>
    <t>0001011100100000110001001111000000011000110101010001101110001100111010111011101010001</t>
  </si>
  <si>
    <t>0100010111001000001100010011110000000110001101010100011011100011001110101110111010100</t>
  </si>
  <si>
    <t>0111010001101111100111011000011111110011100101010111001000111001100010100010001010111</t>
  </si>
  <si>
    <t>1x1,0x3,1x1,0x1,1x3,0x2,1x1,0x5,1x2,0x3,1x1,0x2,1x4,0x7,1x2,0x3,1x2,0x1,1x1,0x1,1x1,0x1,1x1,0x3,1x2,0x1,1x3,0x3,1x2,0x2,1x3,0x1,1x1,0x1,1x3,0x1,1x3,0x1,1x1,0x1,1x1,0x3</t>
  </si>
  <si>
    <t>0:2 1:4 2:1 4:1 5:1 7:1 8:3 a:1 b:3 c:2 d:1 e:1 f:1</t>
  </si>
  <si>
    <t>21090315766411506144426921</t>
  </si>
  <si>
    <t>21090315766411506144426919</t>
  </si>
  <si>
    <t>0x00 00 00 00 00 00 00 00 00 00 00 00 00 00 00 00 00 00 00 00 00 11 72 0c 4f 01 8d 51 b8 ce bb a8</t>
  </si>
  <si>
    <t>0,0,0,0,0,0,0,0,0,0,0,0,0,0,0,0,0,0,0,0,0,17,114,12,79,1,141,81,184,206,187,168</t>
  </si>
  <si>
    <t>......................r.O..Q....</t>
  </si>
  <si>
    <t>184.206.187.168</t>
  </si>
  <si>
    <t>0010100111000100010101110100101001001111110110001100100000010000101101111110010000101010010010110011100110001000100000101011001110000001101111001101100001011110010000001100011010001000001101110001001010010001001011010001011001111100100000111110011100111010</t>
  </si>
  <si>
    <t>2ce00bb2136a445c71e85bf</t>
  </si>
  <si>
    <t>101100111000000000101110110010000100110110101001000100010111000111000111101000010110111111</t>
  </si>
  <si>
    <t>868012190417726402719548863</t>
  </si>
  <si>
    <t>249042170775036265269986751</t>
  </si>
  <si>
    <t>230320000232302010312221010113013013220112333</t>
  </si>
  <si>
    <t>547000566204665104270707502677</t>
  </si>
  <si>
    <t>me02ti2dl48n3ht1dv</t>
  </si>
  <si>
    <t>111111011010000101111000111000111010001000100101011011001000010011011101000000000111001101</t>
  </si>
  <si>
    <t>1226483053512983920315204045</t>
  </si>
  <si>
    <t>111010100100000000111001101011000110101101111101100110011100100100100100011100011101100000</t>
  </si>
  <si>
    <t>110011000111111111010001001101111011001001010110111011101000111000111000010111101001000000</t>
  </si>
  <si>
    <t>369927848867653872179575360</t>
  </si>
  <si>
    <t>bf851ec745a43621bb00ce020000000000000000000000000000000000000000</t>
  </si>
  <si>
    <t>1101000001101011011011100010000001100110100100010010100101011110110000110100010101111000001011010111111010100000011010000110100101101001110110000110011101001011</t>
  </si>
  <si>
    <t>368845917204627714091210868</t>
  </si>
  <si>
    <t>011001110000000001011101100100001001101101010010001000101110001110001111010000101101111111</t>
  </si>
  <si>
    <t>110110011100000000010111011001000010011011010100100010001011100011100011110100001011011111</t>
  </si>
  <si>
    <t>010011000111111111010001001101111011001001010110111011101000111000111000010111101001000000</t>
  </si>
  <si>
    <t>1x1,0x1,1x2,0x2,1x3,0x9,1x1,0x1,1x3,0x1,1x2,0x2,1x1,0x4,1x1,0x2,1x2,0x1,1x2,0x1,1x1,0x1,1x1,0x2,1x1,0x3,1x1,0x3,1x1,0x1,1x3,0x3,1x3,0x3,1x4,0x1,1x1,0x4,1x1,0x1,1x2,0x1,1x6</t>
  </si>
  <si>
    <t>0:2 1:2 2:2 3:1 4:2 5:2 6:1 7:1 8:1 a:1 b:3 c:2 e:2 f:1</t>
  </si>
  <si>
    <t>868012190417726402719548864</t>
  </si>
  <si>
    <t>868012190417726402719548862</t>
  </si>
  <si>
    <t>0x00 00 00 00 00 00 00 00 00 00 00 00 00 00 00 00 00 00 00 00 02 ce 00 bb 21 36 a4 45 c7 1e 85 bf</t>
  </si>
  <si>
    <t>0,0,0,0,0,0,0,0,0,0,0,0,0,0,0,0,0,0,0,0,2,206,0,187,33,54,164,69,199,30,133,191</t>
  </si>
  <si>
    <t>........................!6.E....</t>
  </si>
  <si>
    <t>199.30.133.191</t>
  </si>
  <si>
    <t>0101110000111000101111011001101011100100101100010000111010001010001001010000100001010111000000000110111100111100111111011001100010101011000101011010011000011001011011011001111101001101111111010010010110111100011111101100110001110111110101111000100011010101</t>
  </si>
  <si>
    <t>527a792b183c7f64a0e8b1f4</t>
  </si>
  <si>
    <t>10100100111101001111001001010110001100000111100011111110110010010100000111010001011000111110100</t>
  </si>
  <si>
    <t>25525831956644113617013748212</t>
  </si>
  <si>
    <t>5718791328078029218627760628</t>
  </si>
  <si>
    <t>110213221321022301200330133312102200322023013310</t>
  </si>
  <si>
    <t>24475171126140743766224072130764</t>
  </si>
  <si>
    <t>kjqf4lhgf3vcigehcfk</t>
  </si>
  <si>
    <t>00101111100011010001011100000101001001101111111000111100000110001101010010011110010111100100101</t>
  </si>
  <si>
    <t>7358181355820728304477876005</t>
  </si>
  <si>
    <t>11110110100011101000101101111101001010000100010010000001101011011110000100111001110100100001110</t>
  </si>
  <si>
    <t>11011011000010110000110110101001110011111000011100000001001101101011111000101110100111000001011</t>
  </si>
  <si>
    <t>14088249300488055179758226955</t>
  </si>
  <si>
    <t>f4b1e8a0647f3c182b797a520000000000000000000000000000000000000000</t>
  </si>
  <si>
    <t>0101111011011000001000100001001001010011011001010010011101000010011000100001100100011101001010110111011111101000100011010100001101101101110101010110110110001000</t>
  </si>
  <si>
    <t>21284731071631144665913852552</t>
  </si>
  <si>
    <t>01001001111010011110010010101100011000001111000111111101100100101000001110100010110001111101001</t>
  </si>
  <si>
    <t>01010010011110100111100100101011000110000011110001111111011001001010000011101000101100011111010</t>
  </si>
  <si>
    <t>01011011000010110000110110101001110011111000011100000001001101101011111000101110100111000001011</t>
  </si>
  <si>
    <t>1x1,0x1,1x1,0x2,1x1,0x2,1x4,0x1,1x1,0x2,1x4,0x2,1x1,0x2,1x1,0x1,1x1,0x1,1x2,0x3,1x2,0x5,1x4,0x3,1x7,0x1,1x2,0x2,1x1,0x2,1x1,0x1,1x1,0x5,1x3,0x1,1x1,0x3,1x1,0x1,1x2,0x3,1x5,0x1,1x1,0x2</t>
  </si>
  <si>
    <t>0:1 1:2 2:2 3:1 4:2 5:1 6:1 7:3 8:2 9:1 a:2 b:2 c:1 e:1 f:2</t>
  </si>
  <si>
    <t>25525831956644113617013748213</t>
  </si>
  <si>
    <t>25525831956644113617013748211</t>
  </si>
  <si>
    <t>0x00 00 00 00 00 00 00 00 00 00 00 00 00 00 00 00 00 00 00 00 52 7a 79 2b 18 3c 7f 64 a0 e8 b1 f4</t>
  </si>
  <si>
    <t>0,0,0,0,0,0,0,0,0,0,0,0,0,0,0,0,0,0,0,0,82,122,121,43,24,60,127,100,160,232,177,244</t>
  </si>
  <si>
    <t>....................Rzy+.&lt;.d....</t>
  </si>
  <si>
    <t>160.232.177.244</t>
  </si>
  <si>
    <t>1001011001111010010110010000010111010110111100111011010000100000100101011001101000000010011110001001111110010110101010110100110000110010001000111010001011000100110100100111011000101111100000010111101101111000100101011100010110111100100010001010000001000101</t>
  </si>
  <si>
    <t>af55fc59c335c8ec67ed24826</t>
  </si>
  <si>
    <t>1010111101010101111111000101100111000011001101011100100011101100011001111110110100100100100000100110</t>
  </si>
  <si>
    <t>868221233689326498340379183142</t>
  </si>
  <si>
    <t>234395933575211797592027580454</t>
  </si>
  <si>
    <t>22331111333011213003031130203230121332310210200212</t>
  </si>
  <si>
    <t>1275257705470315344354317664444046</t>
  </si>
  <si>
    <t>ltavome36n4eopvd4i16</t>
  </si>
  <si>
    <t>0110010000010010010010110111111001100011011100010011101011001100001110011010001111111010101011110101</t>
  </si>
  <si>
    <t>495529890493265789429684873973</t>
  </si>
  <si>
    <t>1111100011111111000000100111010100100010101011110010110010011010010101000001101110110110110000110101</t>
  </si>
  <si>
    <t>1101000010101010000000111010011000111100110010100011011100010011100110000001001011011011011111011001</t>
  </si>
  <si>
    <t>399429366538902903156324022233</t>
  </si>
  <si>
    <t>2648d27ec68e5c339cc55ff50a00000000000000000000000000000000000000</t>
  </si>
  <si>
    <t>1100011110100111101100100011111101101011110110011000101110001010101011110101001001111011111010110111001001001101110110101001010001100000101100011011110001101110</t>
  </si>
  <si>
    <t>241381973043894623986332122868</t>
  </si>
  <si>
    <t>0101111010101011111110001011001110000110011010111001000111011000110011111101101001001001000001001101</t>
  </si>
  <si>
    <t>0101011110101010111111100010110011100001100110101110010001110110001100111111011010010010010000010011</t>
  </si>
  <si>
    <t>0101000010101010000000111010011000111100110010100011011100010011100110000001001011011011011111011001</t>
  </si>
  <si>
    <t>1x1,0x1,1x1,0x1,1x4,0x1,1x1,0x1,1x1,0x1,1x1,0x1,1x7,0x3,1x1,0x1,1x2,0x2,1x3,0x4,1x2,0x2,1x2,0x1,1x1,0x1,1x3,0x2,1x1,0x3,1x3,0x1,1x2,0x3,1x2,0x2,1x6,0x1,1x2,0x1,1x1,0x2,1x1,0x2,1x1,0x2,1x1,0x5,1x1,0x2,1x2,0x1</t>
  </si>
  <si>
    <t>2:2 3:2 4:1 5:4 6:2 7:1 8:2 9:1 a:1 c:4 d:1 e:2 f:2</t>
  </si>
  <si>
    <t>868221233689326498340379183143</t>
  </si>
  <si>
    <t>868221233689326498340379183141</t>
  </si>
  <si>
    <t>0x00 00 00 00 00 00 00 00 00 00 00 00 00 00 00 00 00 00 00 0a f5 5f c5 9c 33 5c 8e c6 7e d2 48 26</t>
  </si>
  <si>
    <t>0,0,0,0,0,0,0,0,0,0,0,0,0,0,0,0,0,0,0,10,245,95,197,156,51,92,142,198,126,210,72,38</t>
  </si>
  <si>
    <t>....................._..3\..~.H&amp;</t>
  </si>
  <si>
    <t>126.210.72.38</t>
  </si>
  <si>
    <t>1101001000000110001111010100000001000000001011110000001100001101010011001100011100010011001100010100011010001000001001111010101001000001101010001010000010011011110101101111110110000000000110111010011101111111101101100100111110001110011001111110011000010111</t>
  </si>
  <si>
    <t>16f14fc2054cd87ee6396b33df3</t>
  </si>
  <si>
    <t>101101111000101001111110000100000010101001100110110000111111011100110001110010110101100110011110111110011</t>
  </si>
  <si>
    <t>29083230144918045706788529192435</t>
  </si>
  <si>
    <t>8800820541266375282841277906419</t>
  </si>
  <si>
    <t>11233011033300200111030312013323212032112230303313303</t>
  </si>
  <si>
    <t>55705176040251466077346162654636763</t>
  </si>
  <si>
    <t>mu57s41acr1vecebb6ffj</t>
  </si>
  <si>
    <t>110011111011110011001101011010011100011001110111111000011011001100101010000001000011111100101000111101101</t>
  </si>
  <si>
    <t>32917322303203452328450449101293</t>
  </si>
  <si>
    <t>111011000100111101000001000110000011111101010101101000100000110010101001001011101111010101010001100001010</t>
  </si>
  <si>
    <t>110010000111010110000001111011111101010110011001001111000000100011001110001101001010011001100001000001100</t>
  </si>
  <si>
    <t>11481589062385295141105973379596</t>
  </si>
  <si>
    <t>f33db39663ee87cd5420fc146f01000000000000000000000000000000000000</t>
  </si>
  <si>
    <t>0111110010010101011111011011011011111101110100000111001100111011101110000011101111000110110101101101011101000111011100010001001001100011101110100101000010110000</t>
  </si>
  <si>
    <t>53429192588760754081944103238092</t>
  </si>
  <si>
    <t>011011110001010011111100001000000101010011001101100001111110111001100011100101101011001100111101111100111</t>
  </si>
  <si>
    <t>110110111100010100111111000010000001010100110011011000011111101110011000111001011010110011001111011111001</t>
  </si>
  <si>
    <t>010010000111010110000001111011111101010110011001001111000000100011001110001101001010011001100001000001100</t>
  </si>
  <si>
    <t>1x1,0x1,1x2,0x1,1x4,0x3,1x1,0x1,1x1,0x2,1x6,0x4,1x1,0x6,1x1,0x1,1x1,0x1,1x1,0x2,1x2,0x2,1x2,0x1,1x2,0x4,1x6,0x1,1x3,0x2,1x2,0x3,1x3,0x2,1x1,0x1,1x2,0x1,1x1,0x1,1x2,0x2,1x2,0x2,1x4,0x1,1x5,0x2,1x2</t>
  </si>
  <si>
    <t>0:1 1:2 2:1 3:4 4:2 5:1 6:3 7:1 8:1 9:1 b:1 c:2 d:2 e:2 f:3</t>
  </si>
  <si>
    <t>29083230144918045706788529192436</t>
  </si>
  <si>
    <t>29083230144918045706788529192434</t>
  </si>
  <si>
    <t>0x00 00 00 00 00 00 00 00 00 00 00 00 00 00 00 00 00 00 01 6f 14 fc 20 54 cd 87 ee 63 96 b3 3d f3</t>
  </si>
  <si>
    <t>0,0,0,0,0,0,0,0,0,0,0,0,0,0,0,0,0,0,1,111,20,252,32,84,205,135,238,99,150,179,61,243</t>
  </si>
  <si>
    <t>...................o.. T...c..=.</t>
  </si>
  <si>
    <t>150.179.61.243</t>
  </si>
  <si>
    <t>1011110011110111110011101000100001111111111111001010010111100110001011001001110010101011101111011011011111111111101001110001110111000001100000111100010100101100000001001111111101001110111001011110111010000010111000001100010101011100001110011101011101111011</t>
  </si>
  <si>
    <t>35c0d7234df7deb0f20cf7062444</t>
  </si>
  <si>
    <t>11010111000000110101110010001101001101111101111101111010110000111100100000110011110111000001100010010001000100</t>
  </si>
  <si>
    <t>1090246098153987172547740458951748</t>
  </si>
  <si>
    <t>441208990837133718981428417799236</t>
  </si>
  <si>
    <t>3113000311302031031331331322300330200303313001202101010</t>
  </si>
  <si>
    <t>3270065621515757572607440636701422104</t>
  </si>
  <si>
    <t>qs1lp39nrttc7i1jrgc924</t>
  </si>
  <si>
    <t>00100010001001000110000011101111001100000100111100001101011110111110111110110010110001001110101100000011101011</t>
  </si>
  <si>
    <t>173121035024253975795951549989099</t>
  </si>
  <si>
    <t>10111100100000101111001011001011101011000011000011000111101000100010110000101010001100100001010011011001100110</t>
  </si>
  <si>
    <t>10101000111111001010001101110010110010000010000010000101001111000011011111001100001000111110011101101110111011</t>
  </si>
  <si>
    <t>207828116479719734584883623353275</t>
  </si>
  <si>
    <t>442406f70cf2b0def74d23d7c035000000000000000000000000000000000000</t>
  </si>
  <si>
    <t>0000111001011111001111000100000001100011100101110100010000101001100101101000001001011111110100111001010101010100001101010001010011111101000001101111001000000111</t>
  </si>
  <si>
    <t>8471598540477452717893518906420901</t>
  </si>
  <si>
    <t>10101110000001101011100100011010011011111011111011110101100001111001000001100111101110000011000100100010001001</t>
  </si>
  <si>
    <t>01101011100000011010111001000110100110111110111110111101011000011110010000011001111011100000110001001000100010</t>
  </si>
  <si>
    <t>00101000111111001010001101110010110010000010000010000101001111000011011111001100001000111110011101101110111011</t>
  </si>
  <si>
    <t>1x2,0x1,1x1,0x1,1x3,0x6,1x2,0x1,1x1,0x1,1x3,0x2,1x1,0x3,1x2,0x1,1x1,0x2,1x2,0x1,1x5,0x1,1x5,0x1,1x4,0x1,1x1,0x1,1x2,0x4,1x4,0x2,1x1,0x5,1x2,0x2,1x4,0x1,1x3,0x5,1x2,0x3,1x1,0x2,1x1,0x3,1x1,0x3,1x1,0x2</t>
  </si>
  <si>
    <t>0:4 2:3 3:2 4:4 5:1 6:1 7:3 b:1 c:2 d:3 e:1 f:3</t>
  </si>
  <si>
    <t>1090246098153987172547740458951749</t>
  </si>
  <si>
    <t>1090246098153987172547740458951747</t>
  </si>
  <si>
    <t>0x00 00 00 00 00 00 00 00 00 00 00 00 00 00 00 00 00 00 35 c0 d7 23 4d f7 de b0 f2 0c f7 06 24 44</t>
  </si>
  <si>
    <t>0,0,0,0,0,0,0,0,0,0,0,0,0,0,0,0,0,0,53,192,215,35,77,247,222,176,242,12,247,6,36,68</t>
  </si>
  <si>
    <t>..................5..#M.......$D</t>
  </si>
  <si>
    <t>247.6.36.68</t>
  </si>
  <si>
    <t>0000100110010111011010111010010101010111000010010110011010111111100010001001000110010110101101111111110111110101101000001111100110100001111010011010101100110100000001010101011011101100001010011111100010111011011000000101100110010110000101100001011001111101</t>
  </si>
  <si>
    <t>60f4d11574f5deee49961d9609ac6</t>
  </si>
  <si>
    <t>1100000111101001101000100010101011101001111010111011110111011100100100110010110000111011001011000001001101011000110</t>
  </si>
  <si>
    <t>31464123230573852164273674364426950</t>
  </si>
  <si>
    <t>10694935796434541650151689047546566</t>
  </si>
  <si>
    <t>1200331031010111131033113132323210212112013121120021223012</t>
  </si>
  <si>
    <t>140751504253517273673444626073130115306</t>
  </si>
  <si>
    <t>o7kq4an9teutp4pc7cm16m6</t>
  </si>
  <si>
    <t>0110001101011001000001101001101110000110100110010010011101110111101110101111001011101010100010001011001011110000011</t>
  </si>
  <si>
    <t>16120095217235745366796719396067203</t>
  </si>
  <si>
    <t>1010000100011101011100110011111110011101000111100110001100110010110110101011101000100110101110100001101011110100101</t>
  </si>
  <si>
    <t>1011111000010110010111011101010100010110000101000100001000100011011011001101001111000100110100111110110010100111001</t>
  </si>
  <si>
    <t>10074251637704768863970296269333817</t>
  </si>
  <si>
    <t>c69a60d96199e4ee5d4f57114d0f060000000000000000000000000000000000</t>
  </si>
  <si>
    <t>1110101000001111001010110111010101110110101111010000100110001001001000011111110011101001101111111110101111100011011111110110001110000011111001100011100110100100</t>
  </si>
  <si>
    <t>05962446347637246125837503232146413</t>
  </si>
  <si>
    <t>1000001111010011010001000101010111010011110101110111101110111001001001100101100001110110010110000010011010110001101</t>
  </si>
  <si>
    <t>0110000011110100110100010001010101110100111101011101111011101110010010011001011000011101100101100000100110101100011</t>
  </si>
  <si>
    <t>0011111000010110010111011101010100010110000101000100001000100011011011001101001111000100110100111110110010100111001</t>
  </si>
  <si>
    <t>1x2,0x5,1x4,0x1,1x1,0x2,1x2,0x1,1x1,0x3,1x1,0x3,1x1,0x1,1x1,0x1,1x1,0x1,1x3,0x1,1x1,0x2,1x4,0x1,1x1,0x1,1x3,0x1,1x4,0x1,1x3,0x1,1x3,0x2,1x1,0x2,1x1,0x2,1x2,0x2,1x1,0x1,1x2,0x4,1x3,0x1,1x2,0x2,1x1,0x1,1x2,0x5,1x1,0x2,1x2,0x1,1x1,0x1,1x2,0x3,1x2,0x1</t>
  </si>
  <si>
    <t>0:2 1:3 4:3 5:2 6:4 7:1 9:4 a:1 c:1 d:3 e:3 f:2</t>
  </si>
  <si>
    <t>31464123230573852164273674364426951</t>
  </si>
  <si>
    <t>31464123230573852164273674364426949</t>
  </si>
  <si>
    <t>0x00 00 00 00 00 00 00 00 00 00 00 00 00 00 00 00 00 06 0f 4d 11 57 4f 5d ee e4 99 61 d9 60 9a c6</t>
  </si>
  <si>
    <t>0,0,0,0,0,0,0,0,0,0,0,0,0,0,0,0,0,6,15,77,17,87,79,93,238,228,153,97,217,96,154,198</t>
  </si>
  <si>
    <t>...................M.WO]...a.`..</t>
  </si>
  <si>
    <t>217.96.154.198</t>
  </si>
  <si>
    <t>0100100011010011000100111011000000111001100011010100100100100011110011011100101001110011101110001100111110100110010100110010101110010001101110010110011100000011100100000010111111001000101100110010111111010100001110001010001110110111110011010111111101010101</t>
  </si>
  <si>
    <t>b10f22572c497a836ea187f2e1fc23</t>
  </si>
  <si>
    <t>101100010000111100100010010101110010110001001001011110101000001101101110101000011000011111110010111000011111110000100011</t>
  </si>
  <si>
    <t>919343500840980333540511050618764323</t>
  </si>
  <si>
    <t>254729502948522397088607520478592035</t>
  </si>
  <si>
    <t>230100330202111302301021132220031232220120133302320133300203</t>
  </si>
  <si>
    <t>5420744225626111365015565030376270376043</t>
  </si>
  <si>
    <t>m47i4lpc95t86rl1gvpe3v13</t>
  </si>
  <si>
    <t>110001000011111110000111010011111110000110000101011101101100000101011110100100100011010011101010010001001111000010001101</t>
  </si>
  <si>
    <t>1018978696601750046805570492995793037</t>
  </si>
  <si>
    <t>111010011000100010110011011111001011101001101101110001111100001011011001111100010100010000001011100100010000001000110010</t>
  </si>
  <si>
    <t>110011101111000011011101101010001101001110110110100001010111110010010001010111100111100000001101000111100000001111011100</t>
  </si>
  <si>
    <t>409884494943935539363296009661580252</t>
  </si>
  <si>
    <t>23fce1f287a16e837a492c57220fb10000000000000000000000000000000000</t>
  </si>
  <si>
    <t>0100101101000110111000010000101001010100000110101110111011000110101111100011111110101100011100001001110000100101011011111011011111011010011010010011000010001110</t>
  </si>
  <si>
    <t>323467816050115045333089048005343919</t>
  </si>
  <si>
    <t>011000100001111001000100101011100101100010010010111101010000011011011101010000110000111111100101110000111111100001000111</t>
  </si>
  <si>
    <t>110110001000011110010001001010111001011000100100101111010100000110110111010100001100001111111001011100001111111000010001</t>
  </si>
  <si>
    <t>010011101111000011011101101010001101001110110110100001010111110010010001010111100111100000001101000111100000001111011100</t>
  </si>
  <si>
    <t>1x1,0x1,1x2,0x3,1x1,0x4,1x4,0x2,1x1,0x3,1x1,0x2,1x1,0x1,1x1,0x1,1x3,0x2,1x1,0x1,1x2,0x3,1x1,0x2,1x1,0x2,1x1,0x1,1x4,0x1,1x1,0x1,1x1,0x5,1x2,0x1,1x2,0x1,1x3,0x1,1x1,0x1,1x1,0x4,1x2,0x4,1x7,0x2,1x1,0x1,1x3,0x4,1x7,0x4,1x1,0x3,1x2</t>
  </si>
  <si>
    <t>0:1 1:3 2:5 3:2 4:1 5:1 6:1 7:3 8:2 9:1 a:2 b:1 c:2 e:2 f:3</t>
  </si>
  <si>
    <t>919343500840980333540511050618764324</t>
  </si>
  <si>
    <t>919343500840980333540511050618764322</t>
  </si>
  <si>
    <t>0x00 00 00 00 00 00 00 00 00 00 00 00 00 00 00 00 00 b1 0f 22 57 2c 49 7a 83 6e a1 87 f2 e1 fc 23</t>
  </si>
  <si>
    <t>0,0,0,0,0,0,0,0,0,0,0,0,0,0,0,0,0,177,15,34,87,44,73,122,131,110,161,135,242,225,252,35</t>
  </si>
  <si>
    <t>..................."W,Iz.n.....#</t>
  </si>
  <si>
    <t>242.225.252.35</t>
  </si>
  <si>
    <t>1100111010110110110010111011110011011011110111110101111011110111000101010000011010000010000101010000111101001100111000101100011011110100100000000111101100110100100110000010011111011100110110111101110100011111001011101111101010001000010110100010011000110000</t>
  </si>
  <si>
    <t>1c533b6bb7f0804e09960225e44877ac</t>
  </si>
  <si>
    <t>11100010100110011101101101011101101111111000010000000010011100000100110010110000000100010010111100100010010000111011110101100</t>
  </si>
  <si>
    <t>37650549717742544505774009877315221420</t>
  </si>
  <si>
    <t>16382901785183890539313096912829708204</t>
  </si>
  <si>
    <t>130110303231223231333002000103200212112000202113210102013132230</t>
  </si>
  <si>
    <t>342463555355770200234046260042274422073654</t>
  </si>
  <si>
    <t>sactmndvgg170j5g24ni4gttc</t>
  </si>
  <si>
    <t>00110101111011100001001000100111101001000100000001101001100100000111001000000001000011111110110111010110110111001100101000111</t>
  </si>
  <si>
    <t>8960652331629555675256433711800621383</t>
  </si>
  <si>
    <t>10010011110101010011011011110011011000000100011000000011010010000110101011101000000110011011100010110011011000100110001111010</t>
  </si>
  <si>
    <t>10011101011001100010010010100010010000000111101111111101100011111011001101001111111011101101000011011101101111000100001010011</t>
  </si>
  <si>
    <t>4884746147374763427147816051655805011</t>
  </si>
  <si>
    <t>ac7748e4250296094e80f0b76b3b531c00000000000000000000000000000000</t>
  </si>
  <si>
    <t>1111011100000111100100100101011010101010000000100111110111000100001101111100101110110101001110011111100101010101010001110010010000010110011100100101111111001000</t>
  </si>
  <si>
    <t>02412251377890047750544524771794505673</t>
  </si>
  <si>
    <t>11000101001100111011011010111011011111110000100000000100111000001001100101100000001000100101111001000100100001110111101011001</t>
  </si>
  <si>
    <t>01110001010011001110110110101110110111111100001000000001001110000010011001011000000010001001011110010001001000011101111010110</t>
  </si>
  <si>
    <t>00011101011001100010010010100010010000000111101111111101100011111011001101001111111011101101000011011101101111000100001010011</t>
  </si>
  <si>
    <t>1x3,0x3,1x1,0x1,1x1,0x2,1x2,0x2,1x3,0x1,1x2,0x1,1x2,0x1,1x1,0x1,1x3,0x1,1x2,0x1,1x7,0x4,1x1,0x8,1x1,0x2,1x3,0x5,1x1,0x2,1x2,0x2,1x1,0x1,1x2,0x7,1x1,0x3,1x1,0x2,1x1,0x1,1x4,0x2,1x1,0x3,1x1,0x2,1x1,0x4,1x3,0x1,1x4,0x1,1x1,0x1,1x2,0x2</t>
  </si>
  <si>
    <t>0:4 1:1 2:2 3:2 4:3 5:2 6:2 7:3 8:2 9:2 a:1 b:3 c:2 e:2 f:1</t>
  </si>
  <si>
    <t>37650549717742544505774009877315221421</t>
  </si>
  <si>
    <t>37650549717742544505774009877315221419</t>
  </si>
  <si>
    <t>0x00 00 00 00 00 00 00 00 00 00 00 00 00 00 00 00 1c 53 3b 6b b7 f0 80 4e 09 96 02 25 e4 48 77 ac</t>
  </si>
  <si>
    <t>0,0,0,0,0,0,0,0,0,0,0,0,0,0,0,0,28,83,59,107,183,240,128,78,9,150,2,37,228,72,119,172</t>
  </si>
  <si>
    <t>.................S;k...N...%.Hw.</t>
  </si>
  <si>
    <t>228.72.119.172</t>
  </si>
  <si>
    <t>0011001101110000100111101011000100011110000011010100010000111001101001110010100111110010000111000010110001000100001111011110110110110111001001110101001010000010001010010111000100111111000000000110010101110010000110111010100011111010010001101111000000001110</t>
  </si>
  <si>
    <t>33e7665705359f04f28b88cf897c603c9</t>
  </si>
  <si>
    <t>1100111110011101100110010101110000010100110101100111110000010011110010100010111000100011001111100010010111110001100000001111001001</t>
  </si>
  <si>
    <t>1103873984953507439627945351144005829577</t>
  </si>
  <si>
    <t>423309251111630512701196136280469406665</t>
  </si>
  <si>
    <t>30332131212111300110311213300103302202320203033202113301200033021</t>
  </si>
  <si>
    <t>14763546256024654760236242704317422761401711</t>
  </si>
  <si>
    <t>puepin0kqpu17ihe4cv2bsc0u9</t>
  </si>
  <si>
    <t>1001001111000000011000111110100100011111001100010001110100010100111100100000111110011010110010100000111010100110011011100111110011</t>
  </si>
  <si>
    <t>785581851222349430260512607833675119091</t>
  </si>
  <si>
    <t>1010100001010011010101011111001000011110101111010100001000011010001011110011100100110010101000010011011100001001010000001000101101</t>
  </si>
  <si>
    <t>1011000001100010011001101010001111101011001010011000001111101100001101011101000111011100110000011101101000001110011111110000110110</t>
  </si>
  <si>
    <t>257255482730246414225553078583067016246</t>
  </si>
  <si>
    <t>c903c697f88cb8284ff059537065763e03000000000000000000000000000000</t>
  </si>
  <si>
    <t>1010001001001001001000101000010100100000010100011010100100000000001011101011111101001100100001100100101001010101101011001011011101011011101101001100111101110101</t>
  </si>
  <si>
    <t>7759285004411535497269347053594893783011</t>
  </si>
  <si>
    <t>1001111100111011001100101011100000101001101011001111100000100111100101000101110001000110011111000100101111100011000000011110010011</t>
  </si>
  <si>
    <t>1110011111001110110011001010111000001010011010110011111000001001111001010001011100010001100111110001001011111000110000000111100100</t>
  </si>
  <si>
    <t>0011000001100010011001101010001111101011001010011000001111101100001101011101000111011100110000011101101000001110011111110000110110</t>
  </si>
  <si>
    <t>1x2,0x2,1x5,0x2,1x3,0x1,1x2,0x2,1x2,0x2,1x1,0x1,1x1,0x1,1x3,0x5,1x1,0x1,1x1,0x2,1x2,0x1,1x1,0x1,1x2,0x2,1x5,0x5,1x1,0x2,1x4,0x2,1x1,0x1,1x1,0x3,1x1,0x1,1x3,0x3,1x1,0x3,1x2,0x2,1x5,0x3,1x1,0x2,1x1,0x1,1x5,0x3,1x2,0x7,1x4,0x2,1x1,0x2,1x1</t>
  </si>
  <si>
    <t>0:3 2:1 3:4 4:1 5:3 6:3 7:3 8:4 9:3 b:1 c:3 e:1 f:3</t>
  </si>
  <si>
    <t>1103873984953507439627945351144005829578</t>
  </si>
  <si>
    <t>1103873984953507439627945351144005829576</t>
  </si>
  <si>
    <t>0x00 00 00 00 00 00 00 00 00 00 00 00 00 00 00 03 3e 76 65 70 53 59 f0 4f 28 b8 8c f8 97 c6 03 c9</t>
  </si>
  <si>
    <t>0,0,0,0,0,0,0,0,0,0,0,0,0,0,0,3,62,118,101,112,83,89,240,79,40,184,140,248,151,198,3,201</t>
  </si>
  <si>
    <t>................&gt;vepSY.O(.......</t>
  </si>
  <si>
    <t>151.198.3.201</t>
  </si>
  <si>
    <t>0110001100111100101111100011111011000000001010111001010000000001110001011110111111111010000101000100110001011011010011010010001011111000011110010100000000100101100101100011010010000101100011111100011111100101100110110001110000001001100100110111100001010010</t>
  </si>
  <si>
    <t>6d9392a16883f90903d5f78da57af07eb2</t>
  </si>
  <si>
    <t>110110110010011100100101010000101101000100000111111100100001001000000111101010111110111100011011010010101111010111100000111111010110010</t>
  </si>
  <si>
    <t>37286935858852539926448623437930621337266</t>
  </si>
  <si>
    <t>15508864375912478264792648562297455804082</t>
  </si>
  <si>
    <t>12312103210222011220200333210021000331113313203122111322330013322302</t>
  </si>
  <si>
    <t>666234452055040774411007527674332257274077262</t>
  </si>
  <si>
    <t>rcjiagmh0vp141tbtsdkltf0vli</t>
  </si>
  <si>
    <t>010011010111111000001111010111101010010110110001111011111010101111000000100100001001111111000001000101101000010101001001110010011011011</t>
  </si>
  <si>
    <t>13184652392254128629138459320013310715099</t>
  </si>
  <si>
    <t>101101101011010010110111111000111011100110000100000010110001101100000100011111100001100010010110111011111000111100010000100000111101011</t>
  </si>
  <si>
    <t>101001001101100011011010101111010010111011111000000011011110110111111000010101000001000011100100101101010000101000011111000000101001101</t>
  </si>
  <si>
    <t>6269207107027583396863326313335709729101</t>
  </si>
  <si>
    <t>b27ef07aa58df7d50309f98368a192936d000000000000000000000000000000</t>
  </si>
  <si>
    <t>0011101101101111010110001010011101011010010101001011111111011000010111010001101111000110110001010001000110000000111111011100011100110010100110010010001100100110</t>
  </si>
  <si>
    <t>66273312603973432684462993525885853968273</t>
  </si>
  <si>
    <t>101101100100111001001010100001011010001000001111111001000010010000001111010101111101111000110110100101011110101111000001111110101100101</t>
  </si>
  <si>
    <t>011011011001001110010010101000010110100010000011111110010000100100000011110101011111011110001101101001010111101011110000011111101011001</t>
  </si>
  <si>
    <t>001001001101100011011010101111010010111011111000000011011110110111111000010101000001000011100100101101010000101000011111000000101001101</t>
  </si>
  <si>
    <t>1x2,0x1,1x2,0x1,1x2,0x2,1x1,0x2,1x3,0x2,1x1,0x2,1x1,0x1,1x1,0x1,1x1,0x4,1x1,0x1,1x2,0x1,1x1,0x3,1x1,0x5,1x7,0x2,1x1,0x4,1x1,0x2,1x1,0x6,1x4,0x1,1x1,0x1,1x1,0x1,1x5,0x1,1x4,0x3,1x2,0x1,1x2,0x1,1x1,0x2,1x1,0x1,1x1,0x1,1x4,0x1,1x1,0x1,1x4,0x5,1x6,0x1,1x1,0x1,1x2,0x2,1x1,0x1</t>
  </si>
  <si>
    <t>0:3 1:1 2:2 3:3 5:2 6:2 7:3 8:3 9:4 a:3 b:1 d:3 e:1 f:3</t>
  </si>
  <si>
    <t>37286935858852539926448623437930621337267</t>
  </si>
  <si>
    <t>37286935858852539926448623437930621337265</t>
  </si>
  <si>
    <t>0x00 00 00 00 00 00 00 00 00 00 00 00 00 00 00 6d 93 92 a1 68 83 f9 09 03 d5 f7 8d a5 7a f0 7e b2</t>
  </si>
  <si>
    <t>0,0,0,0,0,0,0,0,0,0,0,0,0,0,0,109,147,146,161,104,131,249,9,3,213,247,141,165,122,240,126,178</t>
  </si>
  <si>
    <t>...............m...h........z.~.</t>
  </si>
  <si>
    <t>122.240.126.178</t>
  </si>
  <si>
    <t>0001010001011101001001100001000111001000001000111010001110010110111011110110011100010010110011100000111101110001001011110000100110111001101101001111001100010011010111100011111000001010101000110010001100001111101110011011011011010000100011010001111000010110</t>
  </si>
  <si>
    <t>runs_test_z</t>
  </si>
  <si>
    <t>serial_corr_bits</t>
  </si>
  <si>
    <t>longest_run_expected</t>
  </si>
  <si>
    <t>longest_run_excess</t>
  </si>
  <si>
    <t>hex_chi_square</t>
  </si>
  <si>
    <t>hex_chi_p</t>
  </si>
  <si>
    <t>common_prefix_prev</t>
  </si>
  <si>
    <t>common_suffix_prev</t>
  </si>
  <si>
    <t>relpos_drift_prev</t>
  </si>
  <si>
    <t>prev_key_in_key_hex</t>
  </si>
  <si>
    <t>prev_key_in_key_bin</t>
  </si>
  <si>
    <t>prev_key_bin_offset</t>
  </si>
  <si>
    <t>key_mod_prev</t>
  </si>
  <si>
    <t>relpos_minus_half</t>
  </si>
  <si>
    <t>hex_nibble_reversed</t>
  </si>
  <si>
    <t>hex_nibble_reversed_decimal</t>
  </si>
  <si>
    <t>bcd_reading</t>
  </si>
  <si>
    <t>decimal_as_hex_value</t>
  </si>
  <si>
    <t>hex_grouped_4</t>
  </si>
  <si>
    <t>hex_grouped_8_upper</t>
  </si>
  <si>
    <t>key_in_words_if_small</t>
  </si>
  <si>
    <t>is_prime (static)</t>
  </si>
  <si>
    <t>smallest_prime_factor (static)</t>
  </si>
  <si>
    <t>distinct_prime_factors (static)</t>
  </si>
  <si>
    <t>factorization (static)</t>
  </si>
  <si>
    <t>is_perfect_square (static)</t>
  </si>
  <si>
    <t>is_perfect_cube (static)</t>
  </si>
  <si>
    <t>nearest_pow2_exp (static)</t>
  </si>
  <si>
    <t>dist_to_nearest_pow2 (static)</t>
  </si>
  <si>
    <t>nearest_fibonacci (static)</t>
  </si>
  <si>
    <t>dist_to_fibonacci (static)</t>
  </si>
  <si>
    <t>nearest_triangular (static)</t>
  </si>
  <si>
    <t>dist_to_triangular (static)</t>
  </si>
  <si>
    <t>parity (static)</t>
  </si>
  <si>
    <t>no</t>
  </si>
  <si>
    <t>&gt;2e6 (not found)</t>
  </si>
  <si>
    <t>yes</t>
  </si>
  <si>
    <t>0 below 2^0</t>
  </si>
  <si>
    <t>odd</t>
  </si>
  <si>
    <t>1 above 2^1</t>
  </si>
  <si>
    <t>1 below 2^3</t>
  </si>
  <si>
    <t>0 below 2^3</t>
  </si>
  <si>
    <t>even</t>
  </si>
  <si>
    <t>3 × 7</t>
  </si>
  <si>
    <t>5 above 2^4</t>
  </si>
  <si>
    <t>15 below 2^6</t>
  </si>
  <si>
    <t>55</t>
  </si>
  <si>
    <t>45</t>
  </si>
  <si>
    <t>2 × 19</t>
  </si>
  <si>
    <t>12 above 2^6</t>
  </si>
  <si>
    <t>89</t>
  </si>
  <si>
    <t>78</t>
  </si>
  <si>
    <t>2 × 7</t>
  </si>
  <si>
    <t>32 below 2^8</t>
  </si>
  <si>
    <t>233</t>
  </si>
  <si>
    <t>231</t>
  </si>
  <si>
    <t>45 below 2^9</t>
  </si>
  <si>
    <t>377</t>
  </si>
  <si>
    <t>90</t>
  </si>
  <si>
    <t>465</t>
  </si>
  <si>
    <t>2 × 257</t>
  </si>
  <si>
    <t>2 above 2^9</t>
  </si>
  <si>
    <t>610</t>
  </si>
  <si>
    <t>528</t>
  </si>
  <si>
    <t>3 × 5 × 7 × 11</t>
  </si>
  <si>
    <t>131 above 2^10</t>
  </si>
  <si>
    <t>987</t>
  </si>
  <si>
    <t>168</t>
  </si>
  <si>
    <t>1176</t>
  </si>
  <si>
    <t>635 above 2^11</t>
  </si>
  <si>
    <t>2584</t>
  </si>
  <si>
    <t>99</t>
  </si>
  <si>
    <t>2701</t>
  </si>
  <si>
    <t>18</t>
  </si>
  <si>
    <t>2 × 163</t>
  </si>
  <si>
    <t>1120 above 2^12</t>
  </si>
  <si>
    <t>4181</t>
  </si>
  <si>
    <t>1035</t>
  </si>
  <si>
    <t>5253</t>
  </si>
  <si>
    <t>37</t>
  </si>
  <si>
    <t>2 × 659</t>
  </si>
  <si>
    <t>2352 above 2^13</t>
  </si>
  <si>
    <t>10946</t>
  </si>
  <si>
    <t>402</t>
  </si>
  <si>
    <t>10585</t>
  </si>
  <si>
    <t>41</t>
  </si>
  <si>
    <t>67 × 401</t>
  </si>
  <si>
    <t>5901 below 2^15</t>
  </si>
  <si>
    <t>28657</t>
  </si>
  <si>
    <t>1790</t>
  </si>
  <si>
    <t>26796</t>
  </si>
  <si>
    <t>71</t>
  </si>
  <si>
    <t>2 × 3 × 5 × 17 × 101</t>
  </si>
  <si>
    <t>14026 below 2^16</t>
  </si>
  <si>
    <t>46368</t>
  </si>
  <si>
    <t>5142</t>
  </si>
  <si>
    <t>51360</t>
  </si>
  <si>
    <t>150</t>
  </si>
  <si>
    <t>3 × 7 × 13</t>
  </si>
  <si>
    <t>30287 above 2^16</t>
  </si>
  <si>
    <t>75025</t>
  </si>
  <si>
    <t>20798</t>
  </si>
  <si>
    <t>95703</t>
  </si>
  <si>
    <t>120</t>
  </si>
  <si>
    <t>3 × 47 × 1409</t>
  </si>
  <si>
    <t>63475 below 2^18</t>
  </si>
  <si>
    <t>196418</t>
  </si>
  <si>
    <t>2251</t>
  </si>
  <si>
    <t>198765</t>
  </si>
  <si>
    <t>5 × 23 × 3109</t>
  </si>
  <si>
    <t>95391 above 2^18</t>
  </si>
  <si>
    <t>317811</t>
  </si>
  <si>
    <t>39724</t>
  </si>
  <si>
    <t>357435</t>
  </si>
  <si>
    <t>7 × 13 × 53 × 179</t>
  </si>
  <si>
    <t>185259 below 2^20</t>
  </si>
  <si>
    <t>832040</t>
  </si>
  <si>
    <t>31277</t>
  </si>
  <si>
    <t>863955</t>
  </si>
  <si>
    <t>638</t>
  </si>
  <si>
    <t>2 × 19 × 31 × 769</t>
  </si>
  <si>
    <t>285388 below 2^21</t>
  </si>
  <si>
    <t>2178309</t>
  </si>
  <si>
    <t>366545</t>
  </si>
  <si>
    <t>1811656</t>
  </si>
  <si>
    <t>108</t>
  </si>
  <si>
    <t>3 × 23 × 29 × 167</t>
  </si>
  <si>
    <t>910351 above 2^21</t>
  </si>
  <si>
    <t>3524578</t>
  </si>
  <si>
    <t>517075</t>
  </si>
  <si>
    <t>3007378</t>
  </si>
  <si>
    <t>125</t>
  </si>
  <si>
    <t>2 × 11 × 254491</t>
  </si>
  <si>
    <t>1404498 above 2^22</t>
  </si>
  <si>
    <t>5702887</t>
  </si>
  <si>
    <t>104085</t>
  </si>
  <si>
    <t>5599531</t>
  </si>
  <si>
    <t>729</t>
  </si>
  <si>
    <t>2 × 19 × 189851</t>
  </si>
  <si>
    <t>2348540 below 2^24</t>
  </si>
  <si>
    <t>14930352</t>
  </si>
  <si>
    <t>501676</t>
  </si>
  <si>
    <t>14426506</t>
  </si>
  <si>
    <t>2170</t>
  </si>
  <si>
    <t>7 × 4740787</t>
  </si>
  <si>
    <t>368923 below 2^25</t>
  </si>
  <si>
    <t>39088169</t>
  </si>
  <si>
    <t>5902660</t>
  </si>
  <si>
    <t>33182731</t>
  </si>
  <si>
    <t>2778</t>
  </si>
  <si>
    <t>2 × 7 × 556519</t>
  </si>
  <si>
    <t>12570002 below 2^26</t>
  </si>
  <si>
    <t>63245986</t>
  </si>
  <si>
    <t>8707124</t>
  </si>
  <si>
    <t>54543790</t>
  </si>
  <si>
    <t>4928</t>
  </si>
  <si>
    <t>3 × 43 × 867829</t>
  </si>
  <si>
    <t>22267787 below 2^27</t>
  </si>
  <si>
    <t>102334155</t>
  </si>
  <si>
    <t>9615786</t>
  </si>
  <si>
    <t>111953166</t>
  </si>
  <si>
    <t>3225</t>
  </si>
  <si>
    <t>2 × 3 × 1053863</t>
  </si>
  <si>
    <t>40801048 below 2^28</t>
  </si>
  <si>
    <t>267914296</t>
  </si>
  <si>
    <t>40279888</t>
  </si>
  <si>
    <t>227644453</t>
  </si>
  <si>
    <t>10045</t>
  </si>
  <si>
    <t>2 × 83 × 2413909</t>
  </si>
  <si>
    <t>132273438 above 2^28</t>
  </si>
  <si>
    <t>433494437</t>
  </si>
  <si>
    <t>32785543</t>
  </si>
  <si>
    <t>400713895</t>
  </si>
  <si>
    <t>5001</t>
  </si>
  <si>
    <t>2 × 47 × 5495543</t>
  </si>
  <si>
    <t>40579740 below 2^30</t>
  </si>
  <si>
    <t>1134903170</t>
  </si>
  <si>
    <t>101741086</t>
  </si>
  <si>
    <t>1033146696</t>
  </si>
  <si>
    <t>15388</t>
  </si>
  <si>
    <t>19 × 43 × 167 × 811</t>
  </si>
  <si>
    <t>45095097 below 2^31</t>
  </si>
  <si>
    <t>1836311903</t>
  </si>
  <si>
    <t>266076648</t>
  </si>
  <si>
    <t>2102404590</t>
  </si>
  <si>
    <t>16039</t>
  </si>
  <si>
    <t>2 × 23 × 3001 × 22409</t>
  </si>
  <si>
    <t>945989166 above 2^31</t>
  </si>
  <si>
    <t>2971215073</t>
  </si>
  <si>
    <t>122257741</t>
  </si>
  <si>
    <t>3093501153</t>
  </si>
  <si>
    <t>28339</t>
  </si>
  <si>
    <t>2 × 11 × 751 × 107999</t>
  </si>
  <si>
    <t>1452496680 below 2^33</t>
  </si>
  <si>
    <t>7778742049</t>
  </si>
  <si>
    <t>641304137</t>
  </si>
  <si>
    <t>7137436503</t>
  </si>
  <si>
    <t>1409</t>
  </si>
  <si>
    <t>19 × 41 × 131 × 138493</t>
  </si>
  <si>
    <t>3046797027 below 2^34</t>
  </si>
  <si>
    <t>12586269025</t>
  </si>
  <si>
    <t>1546803132</t>
  </si>
  <si>
    <t>14133091875</t>
  </si>
  <si>
    <t>19718</t>
  </si>
  <si>
    <t>2 × 13 × 96696499</t>
  </si>
  <si>
    <t>2933002608 above 2^34</t>
  </si>
  <si>
    <t>20365011074</t>
  </si>
  <si>
    <t>252139282</t>
  </si>
  <si>
    <t>20112858766</t>
  </si>
  <si>
    <t>13026</t>
  </si>
  <si>
    <t>2 × 3 × 5 × 235487611</t>
  </si>
  <si>
    <t>8028031612 above 2^35</t>
  </si>
  <si>
    <t>32951280099</t>
  </si>
  <si>
    <t>9436489881</t>
  </si>
  <si>
    <t>42387800703</t>
  </si>
  <si>
    <t>30723</t>
  </si>
  <si>
    <t>3 × 5 × 6683437373</t>
  </si>
  <si>
    <t>31532083859 above 2^36</t>
  </si>
  <si>
    <t>86267571272</t>
  </si>
  <si>
    <t>13983989323</t>
  </si>
  <si>
    <t>100251449200</t>
  </si>
  <si>
    <t>111395</t>
  </si>
  <si>
    <t>2 × 60037 × 153001</t>
  </si>
  <si>
    <t>9532583120 above 2^37</t>
  </si>
  <si>
    <t>139583862445</t>
  </si>
  <si>
    <t>7387674147</t>
  </si>
  <si>
    <t>146971714695</t>
  </si>
  <si>
    <t>178103</t>
  </si>
  <si>
    <t>3 × 138319 × 260047</t>
  </si>
  <si>
    <t>48847061993 above 2^38</t>
  </si>
  <si>
    <t>365435296162</t>
  </si>
  <si>
    <t>41710327225</t>
  </si>
  <si>
    <t>323724776403</t>
  </si>
  <si>
    <t>192534</t>
  </si>
  <si>
    <t>2 × 5 × 20073028259</t>
  </si>
  <si>
    <t>95860214826 below 2^40</t>
  </si>
  <si>
    <t>956722026041</t>
  </si>
  <si>
    <t>46929386909</t>
  </si>
  <si>
    <t>1003651910821</t>
  </si>
  <si>
    <t>497871</t>
  </si>
  <si>
    <t>23</t>
  </si>
  <si>
    <t>23 × 63402269789</t>
  </si>
  <si>
    <t>358740577371 above 2^40</t>
  </si>
  <si>
    <t>1548008755920</t>
  </si>
  <si>
    <t>89756550773</t>
  </si>
  <si>
    <t>1458251994753</t>
  </si>
  <si>
    <t>210394</t>
  </si>
  <si>
    <t>3 × 59 × 5452682773</t>
  </si>
  <si>
    <t>696351296911 above 2^41</t>
  </si>
  <si>
    <t>2504730781961</t>
  </si>
  <si>
    <t>390643770502</t>
  </si>
  <si>
    <t>2895374464003</t>
  </si>
  <si>
    <t>88460</t>
  </si>
  <si>
    <t>5 × 587 × 2903 × 173933</t>
  </si>
  <si>
    <t>1386281974383 below 2^43</t>
  </si>
  <si>
    <t>6557470319842</t>
  </si>
  <si>
    <t>852340727983</t>
  </si>
  <si>
    <t>7409812094751</t>
  </si>
  <si>
    <t>1046926</t>
  </si>
  <si>
    <t>2187424287345 below 2^44</t>
  </si>
  <si>
    <t>17167680177565</t>
  </si>
  <si>
    <t>1762918420494</t>
  </si>
  <si>
    <t>15404760575028</t>
  </si>
  <si>
    <t>1182043</t>
  </si>
  <si>
    <t>157</t>
  </si>
  <si>
    <t>157 × 193 × 7477 × 88261</t>
  </si>
  <si>
    <t>2404277042181 above 2^44</t>
  </si>
  <si>
    <t>2828782909032</t>
  </si>
  <si>
    <t>19996465866006</t>
  </si>
  <si>
    <t>2779409</t>
  </si>
  <si>
    <t>2 × 5839 × 2201090527</t>
  </si>
  <si>
    <t>16224298259780 above 2^45</t>
  </si>
  <si>
    <t>44945570212853</t>
  </si>
  <si>
    <t>6463100135759</t>
  </si>
  <si>
    <t>51408669396216</t>
  </si>
  <si>
    <t>952396</t>
  </si>
  <si>
    <t>2 × 3 × 5 × 7 × 17 × 89 × 41847781</t>
  </si>
  <si>
    <t>21070829241158 below 2^47</t>
  </si>
  <si>
    <t>117669030460994</t>
  </si>
  <si>
    <t>1997628653176</t>
  </si>
  <si>
    <t>119666661285601</t>
  </si>
  <si>
    <t>2171431</t>
  </si>
  <si>
    <t>3 × 13 × 4902742941037</t>
  </si>
  <si>
    <t>50469486345115 above 2^47</t>
  </si>
  <si>
    <t>190392490709135</t>
  </si>
  <si>
    <t>814483991308</t>
  </si>
  <si>
    <t>191206981245528</t>
  </si>
  <si>
    <t>6545085</t>
  </si>
  <si>
    <t>3 × 5 × 23 × 197 × 1663 × 241313</t>
  </si>
  <si>
    <t>127643928321869 above 2^48</t>
  </si>
  <si>
    <t>498454011879264</t>
  </si>
  <si>
    <t>89335106846739</t>
  </si>
  <si>
    <t>409118907692796</t>
  </si>
  <si>
    <t>2660271</t>
  </si>
  <si>
    <t>2 × 3 × 12211 × 1390232159</t>
  </si>
  <si>
    <t>48190542746452 above 2^49</t>
  </si>
  <si>
    <t>112686484288500</t>
  </si>
  <si>
    <t>611140497724680</t>
  </si>
  <si>
    <t>1556916</t>
  </si>
  <si>
    <t>2 × 3 × 7 × 43 × 53 × 197 × 2477 × 22039</t>
  </si>
  <si>
    <t>193030298531372 below 2^51</t>
  </si>
  <si>
    <t>2111485077978050</t>
  </si>
  <si>
    <t>52715562824174</t>
  </si>
  <si>
    <t>2058769544989431</t>
  </si>
  <si>
    <t>29835555</t>
  </si>
  <si>
    <t>2 × 5 × 53 × 795565215019</t>
  </si>
  <si>
    <t>287103987769796 below 2^52</t>
  </si>
  <si>
    <t>3416454622906707</t>
  </si>
  <si>
    <t>800041016693993</t>
  </si>
  <si>
    <t>4216495620555540</t>
  </si>
  <si>
    <t>19045160</t>
  </si>
  <si>
    <t>2+</t>
  </si>
  <si>
    <t>2 × 1690920992869531?</t>
  </si>
  <si>
    <t>2243515283262868 below 2^53</t>
  </si>
  <si>
    <t>5527939700884757</t>
  </si>
  <si>
    <t>1235744270593367</t>
  </si>
  <si>
    <t>6763683956067291</t>
  </si>
  <si>
    <t>15410833</t>
  </si>
  <si>
    <t>7019</t>
  </si>
  <si>
    <t>7019 × 76123 × 18668011</t>
  </si>
  <si>
    <t>967255989755715 above 2^53</t>
  </si>
  <si>
    <t>8944394323791464</t>
  </si>
  <si>
    <t>1030060920705243</t>
  </si>
  <si>
    <t>9974455309687578</t>
  </si>
  <si>
    <t>65190871</t>
  </si>
  <si>
    <t>2 × 5 × 19 × 79066817083867</t>
  </si>
  <si>
    <t>5983406527094508 below 2^55</t>
  </si>
  <si>
    <t>23416728348467685</t>
  </si>
  <si>
    <t>6628662143401775</t>
  </si>
  <si>
    <t>30045390578729155</t>
  </si>
  <si>
    <t>86859695</t>
  </si>
  <si>
    <t>3 × 5 × 13 × 15117518732539</t>
  </si>
  <si>
    <t>8189945273712607 above 2^55</t>
  </si>
  <si>
    <t>37889062373143906</t>
  </si>
  <si>
    <t>6329679919532669</t>
  </si>
  <si>
    <t>44218742317294215</t>
  </si>
  <si>
    <t>24617640</t>
  </si>
  <si>
    <t>2 × 23 × 1002377 × 1499107913</t>
  </si>
  <si>
    <t>5869429165009380 below 2^57</t>
  </si>
  <si>
    <t>160500643816367088</t>
  </si>
  <si>
    <t>22254884905520596</t>
  </si>
  <si>
    <t>138245758926264528</t>
  </si>
  <si>
    <t>15418036</t>
  </si>
  <si>
    <t>3+</t>
  </si>
  <si>
    <t>13 × 167 × 92112698284819?</t>
  </si>
  <si>
    <t>55861479900486177 above 2^57</t>
  </si>
  <si>
    <t>39476024159974961</t>
  </si>
  <si>
    <t>199976667793515480</t>
  </si>
  <si>
    <t>182826569</t>
  </si>
  <si>
    <t>307</t>
  </si>
  <si>
    <t>307 × 5571097669559</t>
  </si>
  <si>
    <t>51390368045157297 below 2^59</t>
  </si>
  <si>
    <t>420196140727489673</t>
  </si>
  <si>
    <t>104874243530776518</t>
  </si>
  <si>
    <t>525070384466578203</t>
  </si>
  <si>
    <t>208312012</t>
  </si>
  <si>
    <t>2 × 13 × 31 × 71 × 269 × 587 × 3637 × 34537</t>
  </si>
  <si>
    <t>17880154387350594 below 2^60</t>
  </si>
  <si>
    <t>1100087778366101931</t>
  </si>
  <si>
    <t>34953571853394451</t>
  </si>
  <si>
    <t>1135041350691703203</t>
  </si>
  <si>
    <t>472206821</t>
  </si>
  <si>
    <t>2 × 13 × 54837982408409807</t>
  </si>
  <si>
    <t>272866038011808006 above 2^60</t>
  </si>
  <si>
    <t>325699764252553051</t>
  </si>
  <si>
    <t>1425787543187021953</t>
  </si>
  <si>
    <t>568366971</t>
  </si>
  <si>
    <t>4+</t>
  </si>
  <si>
    <t>2 × 3 × 43 × 15148730784914039?</t>
  </si>
  <si>
    <t>703313475919565842 below 2^62</t>
  </si>
  <si>
    <t>4660046610375530309</t>
  </si>
  <si>
    <t>751674067867708247</t>
  </si>
  <si>
    <t>3908372542118641878</t>
  </si>
  <si>
    <t>389180184</t>
  </si>
  <si>
    <t>2 × 7 × 251 × 2383 × 268491108091</t>
  </si>
  <si>
    <t>230142087330306040 below 2^63</t>
  </si>
  <si>
    <t>7540113804746346429</t>
  </si>
  <si>
    <t>1453116144778123339</t>
  </si>
  <si>
    <t>8993229948588226785</t>
  </si>
  <si>
    <t>936242983</t>
  </si>
  <si>
    <t>2 × 3 × 19 × 3761 × 408229 × 50847529</t>
  </si>
  <si>
    <t>647076716131314988 below 2^64</t>
  </si>
  <si>
    <t>19740274219868223167</t>
  </si>
  <si>
    <t>1940606862289986539</t>
  </si>
  <si>
    <t>17799667355707750110</t>
  </si>
  <si>
    <t>1870486518</t>
  </si>
  <si>
    <t>5 × 67 × 5639 × 16181749866767</t>
  </si>
  <si>
    <t>6325110835354900377 below 2^65</t>
  </si>
  <si>
    <t>31940434634990099905</t>
  </si>
  <si>
    <t>1372057322925897050</t>
  </si>
  <si>
    <t>30568377313757583028</t>
  </si>
  <si>
    <t>1693380173</t>
  </si>
  <si>
    <t>2 × 13 × 17 × 104855695815263203</t>
  </si>
  <si>
    <t>9452729402927232494 above 2^65</t>
  </si>
  <si>
    <t>51680708854858323072</t>
  </si>
  <si>
    <t>5334491304511987346</t>
  </si>
  <si>
    <t>46346217549332734153</t>
  </si>
  <si>
    <t>1013601573</t>
  </si>
  <si>
    <t>2 × 23 × 3881 × 743067920652377</t>
  </si>
  <si>
    <t>14917008987290156626 below 2^67</t>
  </si>
  <si>
    <t>135301852344706746049</t>
  </si>
  <si>
    <t>2644908742320489747</t>
  </si>
  <si>
    <t>132656943598120120116</t>
  </si>
  <si>
    <t>4266136186</t>
  </si>
  <si>
    <t>5 × 7 × 1973 × 636878622006563?</t>
  </si>
  <si>
    <t>72324313623639626897 above 2^67</t>
  </si>
  <si>
    <t>218922995834555169026</t>
  </si>
  <si>
    <t>975270378760870799</t>
  </si>
  <si>
    <t>219898266211179241395</t>
  </si>
  <si>
    <t>2136798430</t>
  </si>
  <si>
    <t>2 × 11 × 139 × 48606032034070619</t>
  </si>
  <si>
    <t>2126586741023079948 above 2^68</t>
  </si>
  <si>
    <t>354224848179261915075</t>
  </si>
  <si>
    <t>56950356258886009271</t>
  </si>
  <si>
    <t>297274491913777199128</t>
  </si>
  <si>
    <t>6598706676</t>
  </si>
  <si>
    <t>3 × 59 × 1931 × 255473 × 11113907731</t>
  </si>
  <si>
    <t>210154646712387612943 below 2^70</t>
  </si>
  <si>
    <t>927372692193078999176</t>
  </si>
  <si>
    <t>43064281811944691305</t>
  </si>
  <si>
    <t>970436973994248083403</t>
  </si>
  <si>
    <t>10775607078</t>
  </si>
  <si>
    <t>3 × 7 × 769 × 458069 × 3046807857407</t>
  </si>
  <si>
    <t>3648857309511242968583 above 2^74</t>
  </si>
  <si>
    <t>26925748508234281076009</t>
  </si>
  <si>
    <t>4387425267244457252642</t>
  </si>
  <si>
    <t>22538323240990579582605</t>
  </si>
  <si>
    <t>755759238</t>
  </si>
  <si>
    <t>2 × 643 × 2687 × 4909 × 313561 × 3247603</t>
  </si>
  <si>
    <t>103405789025394686766720 below 2^80</t>
  </si>
  <si>
    <t>1264937032042997393488322</t>
  </si>
  <si>
    <t>159417001453762905548866</t>
  </si>
  <si>
    <t>1105520030589432239338105</t>
  </si>
  <si>
    <t>197751398649</t>
  </si>
  <si>
    <t>2 × 5 × 17 × 59 × 103 × 3253 × 8527 × 183994400687</t>
  </si>
  <si>
    <t>1747502652577439349128104 above 2^84</t>
  </si>
  <si>
    <t>22698374052006863956975682</t>
  </si>
  <si>
    <t>1608058285595357812548762</t>
  </si>
  <si>
    <t>21090315766413778602378066</t>
  </si>
  <si>
    <t>2272457951146</t>
  </si>
  <si>
    <t>25229</t>
  </si>
  <si>
    <t>25229 × 1760491 × 19543033591421617</t>
  </si>
  <si>
    <t>249042170775036265269986751 above 2^89</t>
  </si>
  <si>
    <t>1066340417491710595814572169</t>
  </si>
  <si>
    <t>198328227073984193095023306</t>
  </si>
  <si>
    <t>868012190417739604183409980</t>
  </si>
  <si>
    <t>13201463861117</t>
  </si>
  <si>
    <t>2 × 23 × 277454695180914278445801611</t>
  </si>
  <si>
    <t>5718791328078029218627760628 above 2^94</t>
  </si>
  <si>
    <t>30960598847965113057878492344</t>
  </si>
  <si>
    <t>5434766891320999440864744132</t>
  </si>
  <si>
    <t>25525831956644111281189017051</t>
  </si>
  <si>
    <t>2335824731161</t>
  </si>
  <si>
    <t>2 × 3 × 7 × 17 × 19 × 23 × 42379 × 120929 × 180987396728603</t>
  </si>
  <si>
    <t>234395933575211797592027580454 above 2^99</t>
  </si>
  <si>
    <t>898923707008479989274290850145</t>
  </si>
  <si>
    <t>30702473319153490933911667003</t>
  </si>
  <si>
    <t>868221233689326565390078552003</t>
  </si>
  <si>
    <t>67049699368861</t>
  </si>
  <si>
    <t>5 × 11 × 103 × 5133844685775471439856757139?</t>
  </si>
  <si>
    <t>8800820541266375282841277906419 above 2^104</t>
  </si>
  <si>
    <t>26099748102093884802012313146549</t>
  </si>
  <si>
    <t>2983482042824160904776216045886</t>
  </si>
  <si>
    <t>29083230144918046036467416694900</t>
  </si>
  <si>
    <t>329678887502465</t>
  </si>
  <si>
    <t>6+</t>
  </si>
  <si>
    <t>2 × 7 × 647 × 1733 × 805153 × 43130575284119064397?</t>
  </si>
  <si>
    <t>207828116479719734584883623353276 below 2^110</t>
  </si>
  <si>
    <t>1226132595394188293000174702095995</t>
  </si>
  <si>
    <t>135886497240201120452434243144247</t>
  </si>
  <si>
    <t>1090246098153987152351277090380496</t>
  </si>
  <si>
    <t>20196463368571252</t>
  </si>
  <si>
    <t>2 × 3 × 5 × 139 × 1509070658540712334017922031867</t>
  </si>
  <si>
    <t>10074251637704768863970296269333818 below 2^115</t>
  </si>
  <si>
    <t>35600075545958458963222876581316753</t>
  </si>
  <si>
    <t>4135952315384606798949202216889803</t>
  </si>
  <si>
    <t>31464123230573852147154861387994180</t>
  </si>
  <si>
    <t>17118812976432770</t>
  </si>
  <si>
    <t>23 × 107 × 6659 × 56099266340829560671357456277</t>
  </si>
  <si>
    <t>254729502948522397088607520478592035 above 2^119</t>
  </si>
  <si>
    <t>1033628323428189498226463595560281832</t>
  </si>
  <si>
    <t>114284822587209164685952544941517509</t>
  </si>
  <si>
    <t>919343500840980332867009866794937161</t>
  </si>
  <si>
    <t>673501183823827162</t>
  </si>
  <si>
    <t>8+</t>
  </si>
  <si>
    <t>2 × 3 × 5 × 19 × 53 × 233 × 507937 × 5265320719821527145986131?</t>
  </si>
  <si>
    <t>4884746147374763427147816051655805012 below 2^125</t>
  </si>
  <si>
    <t>30010821454963453907530667147829489881</t>
  </si>
  <si>
    <t>7639728262779090598243342729485731539</t>
  </si>
  <si>
    <t>37650549717742544506488071938195380070</t>
  </si>
  <si>
    <t>714062060880158650</t>
  </si>
  <si>
    <t>3 × 367957994984502479875981783714668609859?</t>
  </si>
  <si>
    <t>257255482730246414225553078583067016247 below 2^130</t>
  </si>
  <si>
    <t>871347450517368352816615810882615488381</t>
  </si>
  <si>
    <t>232526534436139086811329540261390341196</t>
  </si>
  <si>
    <t>1103873984953507439618862750143274010671</t>
  </si>
  <si>
    <t>9082601000731818906</t>
  </si>
  <si>
    <t>2 × 43 × 73 × 33083 × 415447 × 432130452263706643419789247</t>
  </si>
  <si>
    <t>6269207107027583396863326313335709729102 below 2^135</t>
  </si>
  <si>
    <t>40934782466626840596168752972961528246147</t>
  </si>
  <si>
    <t>3647846607774300669720129535030906908881</t>
  </si>
  <si>
    <t>37286935858852539926556319286983451323503</t>
  </si>
  <si>
    <t>107695849052829986237</t>
  </si>
  <si>
    <t>wif_testnet_compressed (static)</t>
  </si>
  <si>
    <t>address_testnet_p2pkh (static)</t>
  </si>
  <si>
    <t>address_testnet_bech32 (static)</t>
  </si>
  <si>
    <t>address_taproot_p2tr (static)</t>
  </si>
  <si>
    <t>taproot_output_key_x (static)</t>
  </si>
  <si>
    <t>wif_litecoin_compressed (static)</t>
  </si>
  <si>
    <t>address_litecoin_p2pkh (static)</t>
  </si>
  <si>
    <t>address_litecoin_bech32 (static)</t>
  </si>
  <si>
    <t>wif_dogecoin_compressed (static)</t>
  </si>
  <si>
    <t>address_dogecoin_p2pkh (static)</t>
  </si>
  <si>
    <t>cMahea7zqjxrtgAbB7LSGbcQUr1uX1ojuat9jZodMN87JcbXMTcA</t>
  </si>
  <si>
    <t>mrCDrCybB6J1vRfbwM5hemdJz73FwDBC8r</t>
  </si>
  <si>
    <t>tb1qw508d6qejxtdg4y5r3zarvary0c5xw7kxpjzsx</t>
  </si>
  <si>
    <t>bc1pmfr3p9j00pfxjh0zmgp99y8zftmd3s5pmedqhyptwy6lm87hf5sspknck9</t>
  </si>
  <si>
    <t>da4710964f7852695de2da025290e24af6d8c281de5a0b902b7135fd9fd74d21</t>
  </si>
  <si>
    <t>T33ydQRKp4FCW5LCLLUB7deioUMoveiwekdwUwyfRDeGZm76aUjV</t>
  </si>
  <si>
    <t>LVuDpNCSSj6pQ7t9Pv6d6sUkLKoqDEVUnJ</t>
  </si>
  <si>
    <t>ltc1qw508d6qejxtdg4y5r3zarvary0c5xw7kgmn4n9</t>
  </si>
  <si>
    <t>QNcdLVw8fHkixm6NNyN6nVwxKek4u7qrioRbQmjxac5TVoTtZuot</t>
  </si>
  <si>
    <t>DFpN6QqFfUm3gKNaxN6tNcab1FArL9cZLE</t>
  </si>
  <si>
    <t>cMahea7zqjxrtgAbB7LSGbcQUr1uX1ojuat9jZodMN87KcLPVfXz</t>
  </si>
  <si>
    <t>mrzKXEpXfEDHk7vFS3LBXVXoa4YXFcCkje</t>
  </si>
  <si>
    <t>tb1q0ht9tyks4vh7p5p904t340cr9nvahy7um9zdem</t>
  </si>
  <si>
    <t>bc1pgxxyvcmdncdxs06cudd5yvmwwahaesaj6n3eu7st7x4sw9hrchaqjy33gs</t>
  </si>
  <si>
    <t>418c46636d9e1a683f58e35b42336e776fdcc3b2d4e39e7a0bf1ab0716e3c5fa</t>
  </si>
  <si>
    <t>T33ydQRKp4FCW5LCLLUB7deioUMoveiwekdwUwyfRDeGakooUYaf</t>
  </si>
  <si>
    <t>LWhKVQ3Nvs26Dp8ntcM6ybPEvHK6Y4VWZU</t>
  </si>
  <si>
    <t>ltc1q0ht9tyks4vh7p5p904t340cr9nvahy7u4lr66c</t>
  </si>
  <si>
    <t>QNcdLVw8fHkixm6NNyN6nVwxKek4u7qrioRbQmjxac5TWoFhHVeV</t>
  </si>
  <si>
    <t>DGcTmSgC9cgKW1dET4MNFLV5bCg7em2Bds</t>
  </si>
  <si>
    <t>cMahea7zqjxrtgAbB7LSGbcQUr1uX1ojuat9jZodMN87MbvFSpLf</t>
  </si>
  <si>
    <t>mp5cELDJZ2pUNYrF1i5dCyT34j48UzaKRU</t>
  </si>
  <si>
    <t>tb1qthklh702txwafc72d2qtxv7ywt7sk0mfwhqaph</t>
  </si>
  <si>
    <t>bc1pr896td3mmjl5vc57mutumgfmeet8hyzy9w6zr6hg5vhrtppevlpsp3x3nm</t>
  </si>
  <si>
    <t>19cba5b63bdcbf46629edf17cda13bce567b90442bb421eae8a32e35843967c3</t>
  </si>
  <si>
    <t>T33ydQRKp4FCW5LCLLUB7deioUMoveiwekdwUwyfRDeGckMREisC</t>
  </si>
  <si>
    <t>LTncCVS9pfdGrF4nUH6Yf5JUQwphhqVq54</t>
  </si>
  <si>
    <t>ltc1qthklh702txwafc72d2qtxv7ywt7sk0mfqdp2z5</t>
  </si>
  <si>
    <t>QNcdLVw8fHkixm6NNyN6nVwxKek4u7qrioRbQmjxac5TYnjVc8Ke</t>
  </si>
  <si>
    <t>DDhkUY4y3RHW8SZE2j6ovpQK5sBiv5gurH</t>
  </si>
  <si>
    <t>cMahea7zqjxrtgAbB7LSGbcQUr1uX1ojuat9jZodMN87N6jaiCXQ</t>
  </si>
  <si>
    <t>muDnu2ZLjxJMxmokQNWUfXbv5692bmye8C</t>
  </si>
  <si>
    <t>tb1qjefds6ld7sadyepk9ehxawnwkaj9pqf8v6mezm</t>
  </si>
  <si>
    <t>bc1p5ju3f0m0dz3y4hgynde804krzz2grxr8chytzgew4fxmk5lunzlqwe8xsx</t>
  </si>
  <si>
    <t>a4b914bf6f68a24add049b7277d6c31094819867c5c8b1232eaa4dbb53fc98be</t>
  </si>
  <si>
    <t>T33ydQRKp4FCW5LCLLUB7deioUMoveiwekdwUwyfRDeGdFCPBp4F</t>
  </si>
  <si>
    <t>LYvnsBnC1b7ASU2HrwXQ7dTMRJubqCryRA</t>
  </si>
  <si>
    <t>ltc1qjefds6ld7sadyepk9ehxawnwkaj9pqf8zq6wpc</t>
  </si>
  <si>
    <t>QNcdLVw8fHkixm6NNyN6nVwxKek4u7qrioRbQmjxac5TZHeZtgye</t>
  </si>
  <si>
    <t>DJqw9ER1ELmPifWjRPXfPNZC6EGcyShGGH</t>
  </si>
  <si>
    <t>cMahea7zqjxrtgAbB7LSGbcQUr1uX1ojuat9jZodMN87UaEpLrnP</t>
  </si>
  <si>
    <t>mtcLCJpBX3Yks7H9PhRoTXekh7fhD5LcxK</t>
  </si>
  <si>
    <t>tb1q37wl7wdgrmj2hjad9tvt4llsjpq452lgu7t96h</t>
  </si>
  <si>
    <t>bc1pssmuqnp7u3eavjvqph0j2f36ar4ejtu7yreykq9vuw528sskwcnqh6t7hx</t>
  </si>
  <si>
    <t>8437c04c3ee473d649800ddf25263ae8eb992f9e20f24b00ace3a8a3c2167626</t>
  </si>
  <si>
    <t>T33ydQRKp4FCW5LCLLUB7deioUMoveiwekdwUwyfRDeGjik62hs1</t>
  </si>
  <si>
    <t>LYKLAU32ngMZLoVgrGSiudWC3LSGTLHNn8</t>
  </si>
  <si>
    <t>ltc1q37wl7wdgrmj2hjad9tvt4llsjpq452lgjy2je5</t>
  </si>
  <si>
    <t>QNcdLVw8fHkixm6NNyN6nVwxKek4u7qrioRbQmjxac5TfmAaoycD</t>
  </si>
  <si>
    <t>DJEUSWfr1S1nczz8QiSzBNc2iFoHappwyx</t>
  </si>
  <si>
    <t>cMahea7zqjxrtgAbB7LSGbcQUr1uX1ojuat9jZodMN87iWuZkMNo</t>
  </si>
  <si>
    <t>n4EqjfTKnqTXz6AcJCB4wB8yKnGUinug6t</t>
  </si>
  <si>
    <t>tb1qlylvxn57xj503lmavqxd4kpsg7cmedzukwzg2y</t>
  </si>
  <si>
    <t>bc1plf7y7rs8y0z844yadzmtpg5rre439v4le07p99008edwnlt2tu4srzvtaw</t>
  </si>
  <si>
    <t>fa7c4f0e0723c47ad49d68b6b0a2831e6b12b2bfcbfc1295ef3e5ae9fd6a5f2b</t>
  </si>
  <si>
    <t>T33ydQRKp4FCW5LCLLUB7deioUMoveiwekdwUwyfRDeGyfMu7Wd2</t>
  </si>
  <si>
    <t>LhwqhpgB4UGLTnP9kmBzPGzQg133vnMf5y</t>
  </si>
  <si>
    <t>ltc1qlylvxn57xj503lmavqxd4kpsg7cmedzuc5rlf8</t>
  </si>
  <si>
    <t>QNcdLVw8fHkixm6NNyN6nVwxKek4u7qrioRbQmjxac5TuhsaBucn</t>
  </si>
  <si>
    <t>DTryysJzHDvZjysbKDCFf26FLvQ5AdFGC8</t>
  </si>
  <si>
    <t>cMahea7zqjxrtgAbB7LSGbcQUr1uX1ojuat9jZodMN87wxnxLPqt</t>
  </si>
  <si>
    <t>n28TB51LhDdNktZCsWetq3FNqCD3X8B2gF</t>
  </si>
  <si>
    <t>tb1qugvjaznamrw3ezpjr9vmgauk3w2p42tnmdatg4</t>
  </si>
  <si>
    <t>bc1pp5mtkgk6rv7se4x92ladpe458kr8nd6q9c08xnyztkjekwmq96zsdhuy6y</t>
  </si>
  <si>
    <t>0d36bb22da1b3d0cd4c557fad0e6b43d8679b7402e1e734c825da59b3b602e85</t>
  </si>
  <si>
    <t>T33ydQRKp4FCW5LCLLUB7deioUMoveiwekdwUwyfRDeHD7GFm2Fn</t>
  </si>
  <si>
    <t>LfqT9EEBxrSBEamkL5fpH96pBQycgDzwK2</t>
  </si>
  <si>
    <t>ltc1qugvjaznamrw3ezpjr9vmgauk3w2p42tn4huutk</t>
  </si>
  <si>
    <t>QNcdLVw8fHkixm6NNyN6nVwxKek4u7qrioRbQmjxac5U99bvf63v</t>
  </si>
  <si>
    <t>DRkbRGs1Bc6QWnGBtXg5YtCerLLdsm1FAY</t>
  </si>
  <si>
    <t>cMahea7zqjxrtgAbB7LSGbcQUr1uX1ojuat9jZodMN89DfPD7k9d</t>
  </si>
  <si>
    <t>n1ezBVvMaRmoi9XHcku7bZnxarHiwAZ4bg</t>
  </si>
  <si>
    <t>tb1qmnnkkfsnq5h2qy3qgsz2j7euyh4vx9c4jdpc8l</t>
  </si>
  <si>
    <t>bc1pxmgex4kujlzcmkn27k86pvpnqjs8g8e6e2ga4mh78mf8f6dalfvq5wl6xd</t>
  </si>
  <si>
    <t>36d19356dc97c58dda6af58fa0b03304a0741f3aca91daeefe3ed274e9bdfa58</t>
  </si>
  <si>
    <t>T33ydQRKp4FCW5LCLLUB7deioUMoveiwekdwUwyfRDeJUoqCYAAn</t>
  </si>
  <si>
    <t>LfMz9f9Cr4acBqjq5Kv33fePw54JAXU6yB</t>
  </si>
  <si>
    <t>ltc1qmnnkkfsnq5h2qy3qgsz2j7euyh4vx9c4uhq0yu</t>
  </si>
  <si>
    <t>QNcdLVw8fHkixm6NNyN6nVwxKek4u7qrioRbQmjxac5VQrGGncX2</t>
  </si>
  <si>
    <t>DRH8Rhn24pEqU3EGdmvJKQkEbzRKKKggmh</t>
  </si>
  <si>
    <t>cMahea7zqjxrtgAbB7LSGbcQUr1uX1ojuat9jZodMN8BJfo2n43t</t>
  </si>
  <si>
    <t>mrvDEfpupfNxfry7uTrkA97AC7Kd9dW2Fz</t>
  </si>
  <si>
    <t>tb1q058kce90ksvmh4lfw855846qfv8qm2455qmg9y</t>
  </si>
  <si>
    <t>bc1pa9759nqu4tngahcteen27qpnqym6jg5x75m6padlgfwp88xwlf3q664ze3</t>
  </si>
  <si>
    <t>e97d42cc1caae68edf0bce66af00330137a92286f537a0f5bf425c139ccefa62</t>
  </si>
  <si>
    <t>T33ydQRKp4FCW5LCLLUB7deioUMoveiwekdwUwyfRDeLZpAFLcUB</t>
  </si>
  <si>
    <t>LWdDCq3m6JBm9ZBfN2sfcExbYL6CJLkvn5</t>
  </si>
  <si>
    <t>ltc1q058kce90ksvmh4lfw855846qfv8qm245666lx8</t>
  </si>
  <si>
    <t>QNcdLVw8fHkixm6NNyN6nVwxKek4u7qrioRbQmjxac5XVrcjGvup</t>
  </si>
  <si>
    <t>DGYMUsgaK3qzRkg6vUsvsz4SDFTDZPAxCS</t>
  </si>
  <si>
    <t>cMahea7zqjxrtgAbB7LSGbcQUr1uX1ojuat9jZodMN8Bi5EvRh6Y</t>
  </si>
  <si>
    <t>n1A8rSAP1yNwJYNPD3tqKn4uhP5WbwmkqA</t>
  </si>
  <si>
    <t>tb1q6aefs9n9pevp6arz654ddaejmg8zajfmrdrklc</t>
  </si>
  <si>
    <t>bc1p3w0d3xn365magqa6k3vhcuszykr5wtu36xgea03s20qj6vcxd5yqyd92at</t>
  </si>
  <si>
    <t>8b9ed89a71d537d403bab4597c72022587472f91d1919ebe3053c12d33066d08</t>
  </si>
  <si>
    <t>T33ydQRKp4FCW5LCLLUB7deioUMoveiwekdwUwyfRDeLyDiZ6h6C</t>
  </si>
  <si>
    <t>Les8pbPEHcBjnEavfcukmsvM3br5p4oQ1F</t>
  </si>
  <si>
    <t>ltc1q6aefs9n9pevp6arz654ddaejmg8zajfmdhzpum</t>
  </si>
  <si>
    <t>QNcdLVw8fHkixm6NNyN6nVwxKek4u7qrioRbQmjxac5XuG7NKhqF</t>
  </si>
  <si>
    <t>DQnH6e23WMqy4S5NE4v23d2BiXD72eaJvL</t>
  </si>
  <si>
    <t>cMahea7zqjxrtgAbB7LSGbcQUr1uX1ojuat9jZodMN8HDGpSgkcF</t>
  </si>
  <si>
    <t>n4CMnPrrh4zHnAnU8M3qCeCBzHCk4JFw5n</t>
  </si>
  <si>
    <t>tb1qlrrf3k33vnhclfp9s6fdzxxvn2gzckkvly35a8</t>
  </si>
  <si>
    <t>bc1p79spurgar05az9dc8va5ds6yygqd4ecgs32wgqksp974pmwjlyrqvn0hr9</t>
  </si>
  <si>
    <t>f1601e0d1d1be9d115b83b3b46c3442200dae7088454e402d0097d50edd2f906</t>
  </si>
  <si>
    <t>T33ydQRKp4FCW5LCLLUB7deioUMoveiwekdwUwyfRDeSURGZzjRq</t>
  </si>
  <si>
    <t>LhuMkZ5hxho6Fs11av4kek3dLVyKHMooP7</t>
  </si>
  <si>
    <t>ltc1qlrrf3k33vnhclfp9s6fdzxxvn2gzckkv37sr7y</t>
  </si>
  <si>
    <t>QNcdLVw8fHkixm6NNyN6nVwxKek4u7qrioRbQmjxac5dQThC44qi</t>
  </si>
  <si>
    <t>DTpW2biXBTTKY4VT9N51vV9U1RLLW19VkN</t>
  </si>
  <si>
    <t>cMahea7zqjxrtgAbB7LSGbcQUr1uX1ojuat9jZodMN8WLAvWgPPv</t>
  </si>
  <si>
    <t>mshYCpewHmnKcTt3bbJsLtTdh5LvoH2jM1</t>
  </si>
  <si>
    <t>tb1qskslnwjd5fxzfevzmxufrkkt6xcy87t3yydqlh</t>
  </si>
  <si>
    <t>bc1pwjaj0zh2gsrv233cuz48828ynmgen3k7ck48u9aja5f4a2l3xgfqtlzfeg</t>
  </si>
  <si>
    <t>74bb278aea4406c54638e0aa73a8e49ed199c6dec5aa7e17b2ed135eabf13212</t>
  </si>
  <si>
    <t>T33ydQRKp4FCW5LCLLUB7deioUMoveiwekdwUwyfRDefbKTRCVW3</t>
  </si>
  <si>
    <t>LXQYAysnZQb86A6b4AKnnzK53J7VykXCmP</t>
  </si>
  <si>
    <t>ltc1qskslnwjd5fxzfevzmxufrkkt6xcy87t327vhu5</t>
  </si>
  <si>
    <t>QNcdLVw8fHkixm6NNyN6nVwxKek4u7qrioRbQmjxac5rXMqLGu9Z</t>
  </si>
  <si>
    <t>DHKgT2WbnAFMNMb2ccL44jQuiDUXG1UXZb</t>
  </si>
  <si>
    <t>cMahea7zqjxrtgAbB7LSGbcQUr1uX1ojuat9jZodMN8t5XnJQKi7</t>
  </si>
  <si>
    <t>n4EbRMqvzUXc3WTm6VgRVnc5i1oqiwJBHX</t>
  </si>
  <si>
    <t>tb1qlyedqxyxzmykgsttj8aeeamt49us4ys7mrv2rh</t>
  </si>
  <si>
    <t>bc1p0xnptpcdrazsn72wj9s222x535tqmpkhwhnh3p56u6wu9x9634us0ajl32</t>
  </si>
  <si>
    <t>79a615870d1f4509f94e9160a528d48d160d86d775e778869ae69dc298ba8d79</t>
  </si>
  <si>
    <t>T33ydQRKp4FCW5LCLLUB7deioUMoveiwekdwUwyfRDf3LgGJJvoY</t>
  </si>
  <si>
    <t>LhwbPX4nG7LQXCgJZ4hLwtTX4EaQvqTHNT</t>
  </si>
  <si>
    <t>ltc1qlyedqxyxzmykgsttj8aeeamt49us4ys74edaq5</t>
  </si>
  <si>
    <t>QNcdLVw8fHkixm6NNyN6nVwxKek4u7qrioRbQmjxac6EGifJaHkB</t>
  </si>
  <si>
    <t>DTrjfZhbUrzdoQAk7WhcDdZMj9wSCEZahm</t>
  </si>
  <si>
    <t>cMahea7zqjxrtgAbB7LSGbcQUr1uX1ojuat9jZodMN9fpioFvz2G</t>
  </si>
  <si>
    <t>muNWojAb4E5KH3YoiFeN12GpELBE8xXkwr</t>
  </si>
  <si>
    <t>tb1qjlujsxsnswre6u4v22n2860ghxj2faj4yk9vwz</t>
  </si>
  <si>
    <t>bc1p3n7nn2pycf0hdmxg7wltzzp84rytpdq8mlhpf7uy0gm2s8nkrsnsa52qaq</t>
  </si>
  <si>
    <t>8cfd39a824c25f76ecc8f3beb10827a8c8b0b407dfee14fb847a36a81e761c27</t>
  </si>
  <si>
    <t>T33ydQRKp4FCW5LCLLUB7deioUMoveiwekdwUwyfRDfq5sBKiFtf</t>
  </si>
  <si>
    <t>LZ5WmtPSKrt7kjmMApfHT88FaYwoSSp71D</t>
  </si>
  <si>
    <t>ltc1qjlujsxsnswre6u4v22n2860ghxj2faj42vymdp</t>
  </si>
  <si>
    <t>QNcdLVw8fHkixm6NNyN6nVwxKek4u7qrioRbQmjxac721uccMGt4</t>
  </si>
  <si>
    <t>DJzf3w2FYcYM2wFnjGfYisE6FUJpdU4E8c</t>
  </si>
  <si>
    <t>cMahea7zqjxrtgAbB7LSGbcQUr1uX1ojuat9jZodMNC5y6fCGbii</t>
  </si>
  <si>
    <t>n4iYoCNVbxqmVXK7WedLX616Xpv8jLnPje</t>
  </si>
  <si>
    <t>tb1qle7y2yn8x8mns3jqkzcqgh75pwk89c4z2waac7</t>
  </si>
  <si>
    <t>bc1pd7kv3aavrd9aa29ma8rlhc0ywuvd7xqhcen70ztx95n5z47apr9svtjzww</t>
  </si>
  <si>
    <t>6facc8f7ac1b4bdea8bbe9c7fbe1e47718df1817c667e789662d274157dd08cb</t>
  </si>
  <si>
    <t>T33ydQRKp4FCW5LCLLUB7deioUMoveiwekdwUwyfRDiFEF7DH2YL</t>
  </si>
  <si>
    <t>LiRYmMbLsbeZyDXeyDeFyBrXt3ghwzbnGB</t>
  </si>
  <si>
    <t>ltc1qle7y2yn8x8mns3jqkzcqgh75pwk89c4zy5u2ma</t>
  </si>
  <si>
    <t>QNcdLVw8fHkixm6NNyN6nVwxKek4u7qrioRbQmjxac9SAHZ7Ytxa</t>
  </si>
  <si>
    <t>DULh3QEA6MJoFR26XfeXEvxNYy3jCumFZy</t>
  </si>
  <si>
    <t>cMahea7zqjxrtgAbB7LSGbcQUr1uX1ojuat9jZodMNFjYbGo9uU4</t>
  </si>
  <si>
    <t>mqjw9TBVcGZk9A9m9jQPYEmwFyrNjJqYhr</t>
  </si>
  <si>
    <t>tb1qwqjmfmanlapwkntdw8atddfmfayk0c7a77d6wy</t>
  </si>
  <si>
    <t>bc1py58wttd82hehyk7mqy00ztwx5679ap4d9wrfgs2ruztwaes8ekvsnwfymx</t>
  </si>
  <si>
    <t>250ee5ada755f3725bdb011ef12dc6a6bc5e86ad2b86944143e096eee607cd99</t>
  </si>
  <si>
    <t>T33ydQRKp4FCW5LCLLUB7deioUMoveiwekdwUwyfRDmtojjLmPvy</t>
  </si>
  <si>
    <t>LVSw7cQLsuNYcrNJcJRJzLdNcCcwtgtvRU</t>
  </si>
  <si>
    <t>ltc1qwqjmfmanlapwkntdw8atddfmfayk0c7asyvdd8</t>
  </si>
  <si>
    <t>QNcdLVw8fHkixm6NNyN6nVwxKek4u7qrioRbQmjxacD5jn8tg73A</t>
  </si>
  <si>
    <t>DFN5Pf3A6f2mu3rkAkRaG5jDH7yy75JJJK</t>
  </si>
  <si>
    <t>cMahea7zqjxrtgAbB7LSGbcQUr1uX1ojuat9jZodMNNJ1At66Y3R</t>
  </si>
  <si>
    <t>mx9rgHcYEehGsYx4o7iVsgZ5FyLVS8bWYB</t>
  </si>
  <si>
    <t>tb1qke7tdm02hsxghynun63jwc5w02nrut2jj2y6a5</t>
  </si>
  <si>
    <t>bc1pcf4pk7qaac4ef445q6z6753r4atywfjfqln3zpt5rw3hzf96n49q3fzgm0</t>
  </si>
  <si>
    <t>c26a1b781dee2b94d6b40685af5223af5647264907e71105741ba37124ba9d4a</t>
  </si>
  <si>
    <t>T33ydQRKp4FCW5LCLLUB7deioUMoveiwekdwUwyfRDtTGKSbReyV</t>
  </si>
  <si>
    <t>LbrreSqPWHW5MFAcFgjRKnQWcC74f4aEmB</t>
  </si>
  <si>
    <t>ltc1qke7tdm02hsxghynun63jwc5w02nrut2jus9d7h</t>
  </si>
  <si>
    <t>QNcdLVw8fHkixm6NNyN6nVwxKek4u7qrioRbQmjxacKeCMposovL</t>
  </si>
  <si>
    <t>DMmzvVUCj3AJdSf3p8jgbXWMH7U5r7dEsF</t>
  </si>
  <si>
    <t>cMahea7zqjxrtgAbB7LSGbcQUr1uX1ojuat9jZodMNdX1Uchpq9M</t>
  </si>
  <si>
    <t>mwJKkpYU9bA6BmpCtCnX3Qr3UENsyawT2i</t>
  </si>
  <si>
    <t>tb1q450g22cgawjnmucxajw64rryxsnf20u55rdle2</t>
  </si>
  <si>
    <t>bc1p24y6ecx72vqrycm2tdd4y3h4hneyqql6z7nlsrqsw8ajah6qc3dsj8cl6e</t>
  </si>
  <si>
    <t>5549ace0de530032636a5b5b5246f5bcf24003fa17a7f80c1071fb2edf40c45b</t>
  </si>
  <si>
    <t>T33ydQRKp4FCW5LCLLUB7deioUMoveiwekdwUwyfRE9gGd2NTtJQ</t>
  </si>
  <si>
    <t>Lb1KiymKRDxtfU2kLmoSVWhUpT9T8B2q6D</t>
  </si>
  <si>
    <t>ltc1q450g22cgawjnmucxajw64rryxsnf20u56evg6f</t>
  </si>
  <si>
    <t>QNcdLVw8fHkixm6NNyN6nVwxKek4u7qrioRbQmjxacasCfRjq8pZ</t>
  </si>
  <si>
    <t>DLvU12Q8dyd7wfXBuDohmFoKVNWUQXJUru</t>
  </si>
  <si>
    <t>cMahea7zqjxrtgAbB7LSGbcQUr1uX1ojuat9jZodMP32z73QYK13</t>
  </si>
  <si>
    <t>n32irUuG65xhB4M7pCqosi4hNevitCEN26</t>
  </si>
  <si>
    <t>tb1qa0a7dqvleh46kpshxt8frhmatp4qxl0whvesqd</t>
  </si>
  <si>
    <t>bc1ppk4r2rtw8jrl54pcpa8qxnwahjd9kvdluu4p9sk3s88taw6gpf6qpg8umd</t>
  </si>
  <si>
    <t>0daa350d6e3c87fa54380f4e034dddbc9a5b31bfe72a12c2d181cebebb480a74</t>
  </si>
  <si>
    <t>T33ydQRKp4FCW5LCLLUB7deioUMoveiwekdwUwyfREZCFFU7A3r4</t>
  </si>
  <si>
    <t>Lgjipe87MimVekZfGmrjKov8ishJ6X1pCZ</t>
  </si>
  <si>
    <t>ltc1qa0a7dqvleh46kpshxt8frhmatp4qxl0wekc8rw</t>
  </si>
  <si>
    <t>QNcdLVw8fHkixm6NNyN6nVwxKek4u7qrioRbQmjxaczPBHw1UouA</t>
  </si>
  <si>
    <t>DSes6gkvaURivx46qDrzbZ1yPo4KLrzxR2</t>
  </si>
  <si>
    <t>cMahea7zqjxrtgAbB7LSGbcQUr1uX1ojuat9jZodMQKuUmWJynv6</t>
  </si>
  <si>
    <t>mxPJc1ThJ8tbjtGrpUGkatrHFEpWZzmDBE</t>
  </si>
  <si>
    <t>tb1qhyru8g4rkfmcnha4pxmnph28wq7zw2rgu0eclk</t>
  </si>
  <si>
    <t>bc1pqp5wxegkchvgntle6fjea80cltzlnkgwt9c5fq673alwtga258us4jr75p</t>
  </si>
  <si>
    <t>0068e36516c5d889aff9d2659e9df8fac5f9d90e597144835e8f7ee5a3aaa1f9</t>
  </si>
  <si>
    <t>T33ydQRKp4FCW5LCLLUB7deioUMoveiwekdwUwyfRFr4jv1HjZuR</t>
  </si>
  <si>
    <t>Lc6JaAgYZmhQDaVQH3Hg2zhibTb5nqwxcY</t>
  </si>
  <si>
    <t>ltc1qhyru8g4rkfmcnha4pxmnph28wq7zw2rgj4c0u4</t>
  </si>
  <si>
    <t>QNcdLVw8fHkixm6NNyN6nVwxKek4u7qrioRbQmjxaeHFfxMF1qcn</t>
  </si>
  <si>
    <t>DN1SrDKMnXMdVmyqqVHwJjoZGNx76SFmzN</t>
  </si>
  <si>
    <t>cMahea7zqjxrtgAbB7LSGbcQUr1uX1ojuat9jZodMSkJZfzsSes7</t>
  </si>
  <si>
    <t>mjKCfazbUvJYVaq9rUbGW1aNz7TRucKPAn</t>
  </si>
  <si>
    <t>tb1q9xncyy7248h2sf9v7zqz92ualjp5zn6k0e8wk6</t>
  </si>
  <si>
    <t>bc1pew9a87nmgukrl7e5s6hjl24uvdy60n6w73jpn6dl4sy2aww757yq5mqjha</t>
  </si>
  <si>
    <t>cb8bd3fa7b472c3ffb3486af2faabc6349a7cf4ef46419e9bfac08aeb9dea788</t>
  </si>
  <si>
    <t>T33ydQRKp4FCW5LCLLUB7deioUMoveiwekdwUwyfRJGTppThSQVd</t>
  </si>
  <si>
    <t>LP2CdkDSkZ7LyH3hK3cBx7RpLLE12bwebb</t>
  </si>
  <si>
    <t>ltc1q9xncyy7248h2sf9v7zqz92ualjp5zn6kprxe4e</t>
  </si>
  <si>
    <t>QNcdLVw8fHkixm6NNyN6nVwxKek4u7qrioRbQmjxaghekrtYQ7qW</t>
  </si>
  <si>
    <t>D8wLunrFyJmaFUY8sVcTDrXf1Fb2HVd4cJ</t>
  </si>
  <si>
    <t>cMahea7zqjxrtgAbB7LSGbcQUr1uX1ojuat9jZodMVoJpmhmGVT7</t>
  </si>
  <si>
    <t>msBWoN6PGRfJRYdTVez1EehT1JpSRZ4irG</t>
  </si>
  <si>
    <t>tb1q0l69xqmhfmm62tllmqq3nqgrfvjcewrt6ue6ah</t>
  </si>
  <si>
    <t>bc1p0jcsm25tukk7tze8s9vamuqxnjwfspusdzelhhn9lx0mpdunfp4qyjr7gt</t>
  </si>
  <si>
    <t>7cb10daa8be5ade58b278159ddf0069c9c98079068b3fbde65f99fb0b793486a</t>
  </si>
  <si>
    <t>T33ydQRKp4FCW5LCLLUB7deioUMoveiwekdwUwyfRMKU5vDhAxyd</t>
  </si>
  <si>
    <t>LWtWmXKEY4U6uEqzxDzvgkYtMXb1g1WqJB</t>
  </si>
  <si>
    <t>ltc1q0l69xqmhfmm62tllmqq3nqgrfvjcewrt5xcd75</t>
  </si>
  <si>
    <t>QNcdLVw8fHkixm6NNyN6nVwxKek4u7qrioRbQmjxajkf1xYj8K9R</t>
  </si>
  <si>
    <t>DGof3Zx3kp8LBSLSWg1BxVej2Sx2pNCRJw</t>
  </si>
  <si>
    <t>cMahea7zqjxrtgAbB7LSGbcQUr1uX1ojuat9jZodMcQtwzS7ijzd</t>
  </si>
  <si>
    <t>mzYDeBjCvnjm7kGf18QUhpDSu1yDuJBdPL</t>
  </si>
  <si>
    <t>tb1q6znemuvflcddtscxe3cyj7e4ss2a54u7mrcdvj</t>
  </si>
  <si>
    <t>bc1pgycgqfa27ehddw0ntcqtja8m7cyh252v0y8hjytc503xp9tjc0jqy7krzn</t>
  </si>
  <si>
    <t>41308027aaf66ed6b9f35e00b974fbf60975514c790f791178a3e2609572c3e4</t>
  </si>
  <si>
    <t>T33ydQRKp4FCW5LCLLUB7deioUMoveiwekdwUwyfRTw4D8vRDZhX</t>
  </si>
  <si>
    <t>LeFDcLx4CRYZbSVCThRQ9v4tFEjo4piPCJ</t>
  </si>
  <si>
    <t>ltc1q6znemuvflcddtscxe3cyj7e4ss2a54u74ee603</t>
  </si>
  <si>
    <t>QNcdLVw8fHkixm6NNyN6nVwxKek4u7qrioRbQmjxarNF9BGCCBgx</t>
  </si>
  <si>
    <t>DQAMtPasRBCnsdye29RfRfAivA6pGcZCxw</t>
  </si>
  <si>
    <t>cMahea7zqjxrtgAbB7LSGbcQUr1uX1ojuat9jZodMzwydMNMtjPS</t>
  </si>
  <si>
    <t>mgNQ5aSpu5Asz28J1pt6TE3qpTzC7icSRW</t>
  </si>
  <si>
    <t>tb1qp9v7sqfp7d4w5yanhtfkrs2a4snp3830w8j7dx</t>
  </si>
  <si>
    <t>bc1p2z0wla03q0e8v7sh6v5fmpta65u2v255f9jxzpl9kjmdpfufsu2qgv7cru</t>
  </si>
  <si>
    <t>509eeff5f103f2767a17d3289d857dd538a62a9449646107e5b4b6d0a7898714</t>
  </si>
  <si>
    <t>T33ydQRKp4FCW5LCLLUB7deioUMoveiwekdwUwyfRrU8tVtmCAYD</t>
  </si>
  <si>
    <t>LL5Q3jfgAhygTiLqUPu1uKuHAgkmLJ3rdk</t>
  </si>
  <si>
    <t>ltc1qp9v7sqfp7d4w5yanhtfkrs2a4snp3830qanfw9</t>
  </si>
  <si>
    <t>QNcdLVw8fHkixm6NNyN6nVwxKek4u7qrioRbQmjxbEuKpYJJzQ3B</t>
  </si>
  <si>
    <t>D5zYKnJVPTdujuqH2quHB517qc7nTakamH</t>
  </si>
  <si>
    <t>cMahea7zqjxrtgAbB7LSGbcQUr1uX1ojuat9jZodNppYEN4Pgujc</t>
  </si>
  <si>
    <t>mjpeqas5AyV42B1j7BRYjx9pMAVuDD3CEA</t>
  </si>
  <si>
    <t>tb1q9uukk2djwvjrqrgvtxchcw4urq6m60dm7xtzng</t>
  </si>
  <si>
    <t>bc1pklv0733nl2kum8dtp94q2jvd4wfuszk9txst26pspxkjlz57mydsjasu0f</t>
  </si>
  <si>
    <t>b7d8ff4633faadcd9dab096a05498dab93c80ac559a0b5683009ad2f8a9ed91b</t>
  </si>
  <si>
    <t>T33ydQRKp4FCW5LCLLUB7deioUMoveiwekdwUwyfSgLhVWYTWHkc</t>
  </si>
  <si>
    <t>LPXeok5vScHrVsEGZkSUC41FhPGUQbCKs9</t>
  </si>
  <si>
    <t>ltc1q9uukk2djwvjrqrgvtxchcw4urq6m60dmsu24st</t>
  </si>
  <si>
    <t>QNcdLVw8fHkixm6NNyN6nVwxKek4u7qrioRbQmjxc4mtRYthYAtN</t>
  </si>
  <si>
    <t>D9So5nijfMx5n4ii8CSjTo76NJdVd6t3Z1</t>
  </si>
  <si>
    <t>cMahea7zqjxrtgAbB7LSGbcQUr1uX1ojuat9jZodPmKTnVu42MZB</t>
  </si>
  <si>
    <t>my1jjWE3viiFfvGCDt4ddptxkjZhEZ6RXx</t>
  </si>
  <si>
    <t>tb1qhl4mwdtz632pkv4q9wnxf52qkkjhg7f0lanzks</t>
  </si>
  <si>
    <t>bc1pzc090w73rm6v5277s7u0upclsaw3p5yww4cgmvxpayqt5h2hcjusc5c8cv</t>
  </si>
  <si>
    <t>161e57bbd11ef4ca2bde87b8fe071f875d10d08e75708db0c1e900ba5d57c4b9</t>
  </si>
  <si>
    <t>T33ydQRKp4FCW5LCLLUB7deioUMoveiwekdwUwyfTcqd3eN411pC</t>
  </si>
  <si>
    <t>LcijhfSuCMX49cUjgT5Z5vkQ6xLGT7ZyTM</t>
  </si>
  <si>
    <t>ltc1qhl4mwdtz632pkv4q9wnxf52qkkjhg7f038j44n</t>
  </si>
  <si>
    <t>QNcdLVw8fHkixm6NNyN6nVwxKek4u7qrioRbQmjxd1Goygk5zJT3</t>
  </si>
  <si>
    <t>DNdsyi5iR7BHRoyBEu5pMfrEmshHd3sD1G</t>
  </si>
  <si>
    <t>cMahea7zqjxrtgAbB7LSGbcQUr1uX1ojuat9jZodSHqzH4QANphq</t>
  </si>
  <si>
    <t>mgewNgCmB8pzz1zhZN8SNnK9dx5FhyBBwb</t>
  </si>
  <si>
    <t>tb1qp3a27m920e2zfd3ax9lslrcln7jq64tqaq60w3</t>
  </si>
  <si>
    <t>bc1pu4l0agtj3q9kcwlw4mlvm6lf076hg4ehq9t84z6ppadh2pq0vwqsrdkhx2</t>
  </si>
  <si>
    <t>e57efea172880b6c3beeaefecdebe97fb574573701567a8b410f5b75040f6381</t>
  </si>
  <si>
    <t>T33ydQRKp4FCW5LCLLUB7deioUMoveiwekdwUwyfW9N9YCuya81a</t>
  </si>
  <si>
    <t>LLMwLqRcSmdoTiDF1w9MptAazAqppWez1U</t>
  </si>
  <si>
    <t>ltc1qp3a27m920e2zfd3ax9lslrcln7jq64tqn6mcdj</t>
  </si>
  <si>
    <t>QNcdLVw8fHkixm6NNyN6nVwxKek4u7qrioRbQmjxfXoLUFJ4Agnw</t>
  </si>
  <si>
    <t>D6H5ct4RfXJ2juhgaP9d6dGRf6Cr6BUh79</t>
  </si>
  <si>
    <t>cMahea7zqjxrtgAbB7LSGbcQUr1uX1ojuat9jZodXP6gnsurS3bj</t>
  </si>
  <si>
    <t>mhFZC3GZt6HPtZgZDcEPW7U8mmRKe87AfF</t>
  </si>
  <si>
    <t>tb1qzvrtne8l2egn53mggxav0wjg6623dvw67jjpdk</t>
  </si>
  <si>
    <t>bc1p8msz8shq5d597tg9zjtruhx2udusfsgrtz7vxtqljl9x24k82hssek0av6</t>
  </si>
  <si>
    <t>3ee023c2e0a3685f2d0514963e5ccae37904c10358bcc32c1f97ca6556c755e1</t>
  </si>
  <si>
    <t>T33ydQRKp4FCW5LCLLUB7deioUMoveiwekdwUwyfbEcr42NjK7u1</t>
  </si>
  <si>
    <t>LLxZACVR9j6CNFu6gBFJxDKa7zBtvfaFhr</t>
  </si>
  <si>
    <t>ltc1qzvrtne8l2egn53mggxav0wjg6623dvw6sgnkw4</t>
  </si>
  <si>
    <t>QNcdLVw8fHkixm6NNyN6nVwxKek4u7qrioRbQmjxkd42z4mdAyKV</t>
  </si>
  <si>
    <t>D6shSF8ENUkReTPYEdFaDxRQnuYv8ZQE6o</t>
  </si>
  <si>
    <t>cMahea7zqjxrtgAbB7LSGbcQUr1uX1ojuat9jZodezpnyzZGtf3a</t>
  </si>
  <si>
    <t>mokBV87jfSuZnYE5soY9EYwnqH3pCh3HNs</t>
  </si>
  <si>
    <t>tb1qtfqkejg53a9rw7m89j9wt5eg0td2lt0vt0c3l9</t>
  </si>
  <si>
    <t>bc1pvjhfht67nyhld0j3wemu22w93p5qtt2keer3wfx5q33g3mup28fst4hv7w</t>
  </si>
  <si>
    <t>64ae9baf5e992ff6be517677c529c5886805ad56ce471724d4046288ef8151d3</t>
  </si>
  <si>
    <t>T33ydQRKp4FCW5LCLLUB7deioUMoveiwekdwUwyfirLxF8w5TGnh</t>
  </si>
  <si>
    <t>LTTBTHLaw5iNGESdLNZ4geoEBVpPR5EaRg</t>
  </si>
  <si>
    <t>ltc1qtfqkejg53a9rw7m89j9wt5eg0td2lt0v94exux</t>
  </si>
  <si>
    <t>QNcdLVw8fHkixm6NNyN6nVwxKek4u7qrioRbQmjxtEn9BBMrdksR</t>
  </si>
  <si>
    <t>DDNKjKyQ9qNbYRw4tpZKxPu4rRBQbHcDtY</t>
  </si>
  <si>
    <t>cMahea7zqjxrtgAbB7LSGbcQUr1uX1ojuat9jZoe8pzSSpMUdr9J</t>
  </si>
  <si>
    <t>mzor5si7bVWk4LqMybRjNTaobiwK55Rh7j</t>
  </si>
  <si>
    <t>tb1q6wwywprxfcw7kakfxv0xxatycftadzsg0sz905</t>
  </si>
  <si>
    <t>bc1pfdy5x7vnl270n59u9xjc4kg4qs9ety0syl6dv2dclneseev9we5sw8flaz</t>
  </si>
  <si>
    <t>4b49437993fabcf9d0bc29a58ad915040b9591f027f4d629b8fcf30ce5857669</t>
  </si>
  <si>
    <t>T33ydQRKp4FCW5LCLLUB7deioUMoveiwekdwUwygCgWbhxsMFFzi</t>
  </si>
  <si>
    <t>LeWr42vxs8KYY33uSASepZSEwwhtHqx3yQ</t>
  </si>
  <si>
    <t>ltc1q6wwywprxfcw7kakfxv0xxatycftadzsgp2rjvh</t>
  </si>
  <si>
    <t>QNcdLVw8fHkixm6NNyN6nVwxKek4u7qrioRbQmjyN4wne1FafLSg</t>
  </si>
  <si>
    <t>DQRzL5Zn5sympEYLzcSv6JY5cs4uVrwhWD</t>
  </si>
  <si>
    <t>cMahea7zqjxrtgAbB7LSGbcQUr1uX1ojuat9jZoewsuMgwFvQD8a</t>
  </si>
  <si>
    <t>n1DBPvHSiJ1tq8eacaJPP6Kf16aR8QSYpn</t>
  </si>
  <si>
    <t>tb1qmqzlduj37area0v98v7s7jumyetdjtcahuge2f</t>
  </si>
  <si>
    <t>bc1p8p9mvlu5fl2qye35kj9vjhw2rz9mf47ych5ex27q6mveskntl7lsm6tsm2</t>
  </si>
  <si>
    <t>384bb67f944fd4026634b48ac95dca188bb4d7c4c5e9932bc0d6d9985a6bffbf</t>
  </si>
  <si>
    <t>T33ydQRKp4FCW5LCLLUB7deioUMoveiwekdwUwyh1jRWx5jb66mw</t>
  </si>
  <si>
    <t>LevBN5WHyvphJps859KJqCB6MKLzJTwbE1</t>
  </si>
  <si>
    <t>ltc1qmqzlduj37area0v98v7s7jumyetdjtcaexfwf2</t>
  </si>
  <si>
    <t>QNcdLVw8fHkixm6NNyN6nVwxKek4u7qrioRbQmjzB7rht8ANRBkB</t>
  </si>
  <si>
    <t>DQqKe897CgUvb2MZdbKa6wGw2Ei1Xp6WyR</t>
  </si>
  <si>
    <t>cMahea7zqjxrtgAbB7LSGbcQUr1uX1ojuat9jZofhVNw9jHXHeqG</t>
  </si>
  <si>
    <t>muwkaDEwTyGMzrLAjPqt8QrnWqjPJNtVk5</t>
  </si>
  <si>
    <t>tb1qnepxq8h2ahpyfc2lzum44kcw9nggalwf3v6pe3</t>
  </si>
  <si>
    <t>bc1pt4y3ngkfps7xxk9ewnhxqgdsspkz2963ndfzllqqtg3rx4kw2z3sss4uqu</t>
  </si>
  <si>
    <t>5d4919a2c90c3c6358b974ee6021b0806c2517519b522ffc005a223356ce50a3</t>
  </si>
  <si>
    <t>T33ydQRKp4FCW5LCLLUB7deioUMoveiwekdwUwyhmLu6Qsi3FQKp</t>
  </si>
  <si>
    <t>LZekYNTnjc5AUYYiBxroaWiDs4VxQegDTL</t>
  </si>
  <si>
    <t>ltc1qnepxq8h2ahpyfc2lzum44kcw9nggalwflkmk6j</t>
  </si>
  <si>
    <t>QNcdLVw8fHkixm6NNyN6nVwxKek4u7qrioRbQmjzvjLHLv8GzKjZ</t>
  </si>
  <si>
    <t>DKZtpR6bxMjPkk39kQs4rFp4Xyrye92CCS</t>
  </si>
  <si>
    <t>cMahea7zqjxrtgAbB7LSGbcQUr1uX1ojuat9jZoimSWXn9LnStbA</t>
  </si>
  <si>
    <t>mndqEJSio2hKr667Be4Ywema9F45Uwi4sD</t>
  </si>
  <si>
    <t>tb1qfc272xyh2tg74azymlttluuel6cygwthwv4dyc</t>
  </si>
  <si>
    <t>bc1pfuledjgrfhehxuyhkpa6envxlxt6vjtx86vep6e4trkxwashzmqsvu2ukf</t>
  </si>
  <si>
    <t>4f3f96c9034df3737097b07baccd86f997a649663e9990eb3558ec67761716c1</t>
  </si>
  <si>
    <t>T33ydQRKp4FCW5LCLLUB7deioUMoveiwekdwUwykqJ2h3HqSMpuX</t>
  </si>
  <si>
    <t>LSLqCTfa4fW8KnJeeD5UPkd1VTped9ppZu</t>
  </si>
  <si>
    <t>ltc1qfc272xyh2tg74azymlttluuel6cygwthqk568m</t>
  </si>
  <si>
    <t>QNcdLVw8fHkixm6NNyN6nVwxKek4u7qrioRbQmk3zgTsyLHQnnz4</t>
  </si>
  <si>
    <t>DCFyUWJPHRAMbyo6Cf5jfVirAPBfrATfhg</t>
  </si>
  <si>
    <t>cMahea7zqjxrtgAbB7LSGbcQUr1uX1ojuat9jZop5Gyr3cDTDR9v</t>
  </si>
  <si>
    <t>n427UHCnHc8WoGis8GgJKdd8nmoYxokATM</t>
  </si>
  <si>
    <t>tb1q7mt867vrhacy2reftjwts2x64vn97xl6h63kcu</t>
  </si>
  <si>
    <t>bc1pg8su8dzrqwff7xadp5csxstr2a50gp3qmq5wcayplflppx7z79pspj6h9g</t>
  </si>
  <si>
    <t>41e1c3b44303929f1bad0d310341635768f40620d828ec7481fa7e109bc2f143</t>
  </si>
  <si>
    <t>T33ydQRKp4FCW5LCLLUB7deioUMoveiwekdwUwyr98W1Jkh8XBnW</t>
  </si>
  <si>
    <t>Lhj7SSRdZEwKGxwQaqhDmjUa8za8BJFSjw</t>
  </si>
  <si>
    <t>ltc1q7mt867vrhacy2reftjwts2x64vn97xl6eqspml</t>
  </si>
  <si>
    <t>QNcdLVw8fHkixm6NNyN6nVwxKek4u7qrioRbQmk9JWwCEoA8U8kR</t>
  </si>
  <si>
    <t>DTeFiV4SmzbYZARr9HhV3UaQouw9LfFe7g</t>
  </si>
  <si>
    <t>cMahea7zqjxrtgAbB7LSGbcQUr1uX1ojuat9jZotcQooiM3scGnZ</t>
  </si>
  <si>
    <t>n42AF8knjpfqaJHYtVDTa4E5tXBb24sEHJ</t>
  </si>
  <si>
    <t>tb1q7mvvugjll00vastslq5cc07z3tngdhe9yqk5jc</t>
  </si>
  <si>
    <t>bc1pxgzdy78ua29wxzrcr549jmq7ynl68cyn2fw92c7j9ukn9sctrnksxj54vv</t>
  </si>
  <si>
    <t>3204d278fcea8ae308781d2a596c1e24ffa3e093525c5563d22f2d32c30b1ced</t>
  </si>
  <si>
    <t>T33ydQRKp4FCW5LCLLUB7deioUMoveiwekdwUwyvgGKxyVWa5BcV</t>
  </si>
  <si>
    <t>LhjADHye1TUe3zW6M4EP2A5XEjxADq9iAF</t>
  </si>
  <si>
    <t>ltc1q7mvvugjll00vastslq5cc07z3tngdhe926hr3m</t>
  </si>
  <si>
    <t>QNcdLVw8fHkixm6NNyN6nVwxKek4u7qrioRbQmkDqem9uXstt76m</t>
  </si>
  <si>
    <t>DTeJVLcTED8sLBzXuWEeHuBMufKBRw1JDr</t>
  </si>
  <si>
    <t>cMahea7zqjxrtgAbB7LSGbcQUr1uX1ojuat9jZpBWbUuNPSz7ANq</t>
  </si>
  <si>
    <t>mr9ymJEM9hQb2iNNm2Aybq1wU8xiBoN9Gy</t>
  </si>
  <si>
    <t>tb1qwjc7qy47z5s7tkxhte695fkwmpz750fhur033c</t>
  </si>
  <si>
    <t>bc1pu2a6m7ly43vag2xh4eu4tetz2532ytkxzaawspacrad2qhe9xzgstaaw4s</t>
  </si>
  <si>
    <t>e2bbadfbe4ac59d428d7ae7955e5625522a22ec6177ae807b81f5aa05f253091</t>
  </si>
  <si>
    <t>T33ydQRKp4FCW5LCLLUB7deioUMoveiwekdwUwzDaT14dXspXqeU</t>
  </si>
  <si>
    <t>LVryjTTCRLDPWQavDbBu3vsNpMjHNCiHTx</t>
  </si>
  <si>
    <t>ltc1qwjc7qy47z5s7tkxhte695fkwmpz750fhjewxjm</t>
  </si>
  <si>
    <t>QNcdLVw8fHkixm6NNyN6nVwxKek4u7qrioRbQmkWjqSFZaHByMrm</t>
  </si>
  <si>
    <t>DFn81W61e5scnc5Mn3CAKfyDVH6JakyM5M</t>
  </si>
  <si>
    <t>cMahea7zqjxrtgAbB7LSGbcQUr1uX1ojuat9jZpwQqDFRGAAQSxU</t>
  </si>
  <si>
    <t>mjEUzqDa5cAkHmAAzryWkDYcZnVKhvNdue</t>
  </si>
  <si>
    <t>tb1q9rpslwg33mga5uh8cnufcqtyw4hg5qsa20h269</t>
  </si>
  <si>
    <t>bc1pr34sr3mhssswwp7lxez5uasrkwdf93yg4wn4zwpul7hfe45d5ftsw8a8vm</t>
  </si>
  <si>
    <t>1c6b01c7778420e707df36454e7603b39a92c488aba751383cffae9cd68da257</t>
  </si>
  <si>
    <t>T33ydQRKp4FCW5LCLLUB7deioUMoveiwekdwUwzyUgjQgQfD332F</t>
  </si>
  <si>
    <t>LNwUxzSRMEyYmTNiTRzSCKQ3v1FtwpKehE</t>
  </si>
  <si>
    <t>ltc1q9rpslwg33mga5uh8cnufcqtyw4hg5qsay4kaex</t>
  </si>
  <si>
    <t>QNcdLVw8fHkixm6NNyN6nVwxKek4u7qrioRbQmmGe5AbcT7HWwN3</t>
  </si>
  <si>
    <t>D8rdF35EZzdn3esA1szhU4VtavcvAefh7Z</t>
  </si>
  <si>
    <t>cMahea7zqjxrtgAbB7LSGbcQUr1uX1ojuat9jZqYrhMm95dutNwH</t>
  </si>
  <si>
    <t>mwhqTsFDyAcHKgQeybWhGGRDT3ECguZacz</t>
  </si>
  <si>
    <t>tb1qkxgw94qvlhhw9nhqw22552lgnea68ymys6yf4w</t>
  </si>
  <si>
    <t>bc1pu2s67n9enenmac35w9r53gvfjm7e659pq7egrg2fg6qzysplxpesp2ycjd</t>
  </si>
  <si>
    <t>e2a1af4cb99e67bee234714748a18996fd9d50a107b281a149468022403f3073</t>
  </si>
  <si>
    <t>T33ydQRKp4FCW5LCLLUB7deioUMoveiwekdwUx1avYsvQE4vKL1Q</t>
  </si>
  <si>
    <t>LbQqS2U5EoR5oNdCSAXciNGeoFzmug7eTW</t>
  </si>
  <si>
    <t>ltc1qkxgw94qvlhhw9nhqw22552lgnea68ymy7q97kd</t>
  </si>
  <si>
    <t>QNcdLVw8fHkixm6NNyN6nVwxKek4u7qrioRbQmmt5wK7LGUzPJGb</t>
  </si>
  <si>
    <t>DMKyi56tTZ5K5a7dzcXsz7NVUBMo2aAoaL</t>
  </si>
  <si>
    <t>cMahea7zqjxrtgAbB7LSGbcQUr1uX1ojuat9jZsrxYrcfjZYhteH</t>
  </si>
  <si>
    <t>mgY7bkQK3hBVxgjnLh3CAjE5XDifHnMNLG</t>
  </si>
  <si>
    <t>tb1qpvcy72ne5qnjwqnk2vl7rm2wlucfzzrkcc9eea</t>
  </si>
  <si>
    <t>bc1pvgw48wjpmwf8942v7cnut8jqf498ljnkm7nnprvuxzz8hw66l4aq2g7eep</t>
  </si>
  <si>
    <t>621d53ba41db9272d54cf627c59e404d4a7fca76dfa7308d9c30847bbb5afd7a</t>
  </si>
  <si>
    <t>T33ydQRKp4FCW5LCLLUB7deioUMoveiwekdwUx3u2QNmvsyyBguU</t>
  </si>
  <si>
    <t>LLF7ZudAKKzJSNxKoG47cq5WsSVES31LDA</t>
  </si>
  <si>
    <t>ltc1qpvcy72ne5qnjwqnk2vl7rm2wlucfzzrkkzyw67</t>
  </si>
  <si>
    <t>QNcdLVw8fHkixm6NNyN6nVwxKek4u7qrioRbQmpCBnoxrvUYRm9g</t>
  </si>
  <si>
    <t>D6AFqxFyY5eXiaSmMi4NtaBMYMrFboyb5h</t>
  </si>
  <si>
    <t>cMahea7zqjxrtgAbB7LSGbcQUr1uX1ojuat9ja2kp1rJUY6fdU8H</t>
  </si>
  <si>
    <t>muA8Ffupz3q4yuKen4dwTB55LWWfsp3b4h</t>
  </si>
  <si>
    <t>tb1qjks4dnfpkjnfm6tfadn3dpj0fj9c92p2txupkt</t>
  </si>
  <si>
    <t>bc1psqkycmtur8097mk0rt5yt64jy57rxqmy8jkr5h3z8ky4ejn4urxs7gjpcs</t>
  </si>
  <si>
    <t>802c4c6d7c19de5f6ecf1ae845eab2253c3303643cac3a5e223d895cca75e0cd</t>
  </si>
  <si>
    <t>T33ydQRKp4FCW5LCLLUB7deioUMoveiwekdwUxCnssNTjgZomQ82</t>
  </si>
  <si>
    <t>LYs8Dq8gFgdsTbYCEderuGvWgjHF8eetxv</t>
  </si>
  <si>
    <t>ltc1qjks4dnfpkjnfm6tfadn3dpj0fj9c92p29uak4g</t>
  </si>
  <si>
    <t>QNcdLVw8fHkixm6NNyN6nVwxKek4u7qrioRbQmy63Foefiz8Lx3G</t>
  </si>
  <si>
    <t>DJnGVsmVUSJ6jo2do5f8B22MMeeGK4EHdG</t>
  </si>
  <si>
    <t>cMahea7zqjxrtgAbB7LSGbcQUr1uX1ojuat9ja8hiFrC4WjhPTUh</t>
  </si>
  <si>
    <t>mzbpmCvu7gMCBb7VnXz2YFzAmFZ2gq4Jgz</t>
  </si>
  <si>
    <t>tb1q69tzavmn2lu7dlzpev34naxnakjqxgefa0kxm5</t>
  </si>
  <si>
    <t>bc1pfjn38s900rjmxhtlny39sjx6qe6e05sv3e8a320ypz2ccze4jc2qsqt3yv</t>
  </si>
  <si>
    <t>4ca713c0af78e5b35d7f99225848da067597d20c8e4fd8a9e408958c0b359614</t>
  </si>
  <si>
    <t>T33ydQRKp4FCW5LCLLUB7deioUMoveiwekdwUxJjn7NMKfBFakfj</t>
  </si>
  <si>
    <t>LeJpjN9kPK9zfHL3F6zwzMqc7UKbsm22FE</t>
  </si>
  <si>
    <t>ltc1q69tzavmn2lu7dlzpev34naxnakjqxgefn4h3ch</t>
  </si>
  <si>
    <t>QNcdLVw8fHkixm6NNyN6nVwxKek4u7qrioRbQn52wVoYFhXjgV29</t>
  </si>
  <si>
    <t>DQDy1QnZc4pDwUpUoZ1DG6wSnPgd5Di5jE</t>
  </si>
  <si>
    <t>cMahea7zqjxrtgAbB7LSGbcQUr1uX1ojuat9jaTW3MJmywb7TE3B</t>
  </si>
  <si>
    <t>mtYyZSbf316EBh5gHsw8yCi8CrSwWFKVtF</t>
  </si>
  <si>
    <t>tb1q3mact7w9khdj64vh8gzp9rw82yq8tt3rhdwmmc</t>
  </si>
  <si>
    <t>bc1p7hpce76ankwhvzxxpkarfk0y4ypq8j4j9srnww9kv2twy7jpwkgqq3y4jt</t>
  </si>
  <si>
    <t>f5c38cfb5d9d9d7608c60dba34d9e4a90203cab22c073738b66296e27a417590</t>
  </si>
  <si>
    <t>T33ydQRKp4FCW5LCLLUB7deioUMoveiwekdwUxdY7CpwF62QSaDe</t>
  </si>
  <si>
    <t>LYFyXbpWJdu2fPJDkSx4RJZZZ5DWfFHvBM</t>
  </si>
  <si>
    <t>ltc1q3mact7w9khdj64vh8gzp9rw82yq8tt3reh0vcm</t>
  </si>
  <si>
    <t>QNcdLVw8fHkixm6NNyN6nVwxKek4u7qrioRbQnPqGbG8B8PNjAv4</t>
  </si>
  <si>
    <t>DJB7oeTKXPZFwanfJtxKh3fQDzaXwzTUab</t>
  </si>
  <si>
    <t>cMahea7zqjxrtgAbB7LSGbcQUr1uX1ojuat9jbUZ6VjM8HW1597s</t>
  </si>
  <si>
    <t>n4EDCtMo5AQX8CPiZwFtFxg4jFhHs6i61j</t>
  </si>
  <si>
    <t>tb1qlysyf3ujfe2jt3sjq7tjcffunlylpphhchz7wg</t>
  </si>
  <si>
    <t>bc1pdk2n93gqts45zle8mnvjlsw4xkk4ptra3jqcwr4hqwfyc3ntd8vqcdmnmg</t>
  </si>
  <si>
    <t>6d9532c5005c2b417f27dcd92fc1d535ad50ac7d8c81870eb703924c466b69d8</t>
  </si>
  <si>
    <t>T33ydQRKp4FCW5LCLLUB7deioUMoveiwekdwUyebAMFWPRsVDhx1</t>
  </si>
  <si>
    <t>LhwDB3aeLoDKbtcG2WGoi4XW5UTs2e2YZJ</t>
  </si>
  <si>
    <t>ltc1qlysyf3ujfe2jt3sjq7tjcffunlylpphhkdrfdt</t>
  </si>
  <si>
    <t>QNcdLVw8fHkixm6NNyN6nVwxKek4u7qrioRbQoQtKjghKUN2g541</t>
  </si>
  <si>
    <t>DTrMT6DTZYsYt66haxH4yodLkPptCvUVmd</t>
  </si>
  <si>
    <t>cMahea7zqjxrtgAbB7LSGbcQUr1uX1ojuat9jdH8n6cmN8Y5JkQe</t>
  </si>
  <si>
    <t>msGNKxX69nhCP9veT46Zq6uqT5N7XLwyGE</t>
  </si>
  <si>
    <t>tb1qsr04fc0kzte0ck7uqhyayx5r42xjq7g7hjzn3w</t>
  </si>
  <si>
    <t>bc1pgdp4ah5rm0f2wtyeju3vuryuq2km3vcwj2kr82vgdxxvg5tury8s56cty4</t>
  </si>
  <si>
    <t>43435ede83dbd2a72c999722ce0c9c02adb8b30e92ac33a988698cc4517c190f</t>
  </si>
  <si>
    <t>T33ydQRKp4FCW5LCLLUB7deioUMoveiwekdwV1TAqx8vdH37XvSL</t>
  </si>
  <si>
    <t>LWyNJ7jwRRVzrr9Bud7VHCmGoJ8gkDWyRy</t>
  </si>
  <si>
    <t>ltc1qsr04fc0kzte0ck7uqhyayx5r42xjq7g7egryjd</t>
  </si>
  <si>
    <t>QNcdLVw8fHkixm6NNyN6nVwxKek4u7qrioRbQqDU1La7ZKUfvUTv</t>
  </si>
  <si>
    <t>DGtWaANkeBAE93ddU57kYws7UDVhwzehpn</t>
  </si>
  <si>
    <t>cMahea7zqjxrtgAbB7LSGbcQUr1uX1ojuat9jeKCTChtrdgqXKpT</t>
  </si>
  <si>
    <t>n3QfdRMdVJwUpUHmPbGmacARoUGmPL6e3S</t>
  </si>
  <si>
    <t>tb1q7q39hlrg5mshap7d3d0xpt3mux83yp6nu6xdfs</t>
  </si>
  <si>
    <t>bc1ptj9cl66ry66jxvl7c9yyry7k4qcmwnsuha2nf9nplp9d8dhqkymqtze28j</t>
  </si>
  <si>
    <t>5c8b8feb4326b52333fec1484193d6a831b74e1cbf55349661f84ad3b6e0b136</t>
  </si>
  <si>
    <t>T33ydQRKp4FCW5LCLLUB7deioUMoveiwekdwV2VEX4E47n8DZUJH</t>
  </si>
  <si>
    <t>Lh7fbaaUkwkHJAWJrAHh2i1s9h3La12SDM</t>
  </si>
  <si>
    <t>ltc1q7q39hlrg5mshap7d3d0xpt3mux83yp6njq862n</t>
  </si>
  <si>
    <t>QNcdLVw8fHkixm6NNyN6nVwxKek4u7qrioRbQrFXgSfF3pc1eQQz</t>
  </si>
  <si>
    <t>DT2osdDHyhQWaMzkQcHxJT7hpcQMkRXZRd</t>
  </si>
  <si>
    <t>cMahea7zqjxrtgAbB7LSGbcQUr1uX1ojuat9jmQ6Z9XQxgaRmXuK</t>
  </si>
  <si>
    <t>muZFiQbtSD1yqEiKfBFbTjsEq2Le7ryaek</t>
  </si>
  <si>
    <t>tb1qngqjycxsr3g38hmxez5y8ryl0g0r6hdv7je0ay</t>
  </si>
  <si>
    <t>bc1pj48fjlt22x0v84vxpn8lspymhxge2arad0wzh40j7793wzzzgt8qgew0fs</t>
  </si>
  <si>
    <t>954e997d6a519ec3d5860ccff8049bb99195747d6bdc2bd5f2f78b17084242ce</t>
  </si>
  <si>
    <t>T33ydQRKp4FCW5LCLLUB7deioUMoveiwekdwV9a8d13aDq6G6xPC</t>
  </si>
  <si>
    <t>LZGFgZpjhqpnJvvs7kGWuqigBF7DHymG6E</t>
  </si>
  <si>
    <t>ltc1qngqjycxsr3g38hmxez5y8ryl0g0r6hdvsgcc78</t>
  </si>
  <si>
    <t>QNcdLVw8fHkixm6NNyN6nVwxKek4u7qrioRbQyLRnPUm9sVLNtF7</t>
  </si>
  <si>
    <t>DKBPxcTYvbV1b8RJgCGnBapWrAUETrvUdD</t>
  </si>
  <si>
    <t>cMahea7zqjxrtgAbB7LSGbcQUr1uX1ojuat9k2ny9txYkEYJauSe</t>
  </si>
  <si>
    <t>n495nyY2xtiaetKU8HMTqM5pom7uSKhsgH</t>
  </si>
  <si>
    <t>tb1qlq5qqh2pkr60a4xgmj3mqcq3quk0kp75fxsxdd</t>
  </si>
  <si>
    <t>bc1pk5uwlddp76lsham07vng2cl5aszw47lczwlhrmvawkwag400kjssty7gwq</t>
  </si>
  <si>
    <t>b538efb5a1f6bf0bf76ff3268563f4ec04eafbf813bf71ed9d759dd455efb4a1</t>
  </si>
  <si>
    <t>T33ydQRKp4FCW5LCLLUB7deioUMoveiwekdwVQy1DkUi1P5yyEC3</t>
  </si>
  <si>
    <t>Lhr5m8ktEXXP8aY1arNPHSwG9ytUgocYph</t>
  </si>
  <si>
    <t>ltc1qlq5qqh2pkr60a4xgmj3mqcq3quk0kp758u33ww</t>
  </si>
  <si>
    <t>QNcdLVw8fHkixm6NNyN6nVwxKek4u7qrioRbREjJP8utwRVd9GLf</t>
  </si>
  <si>
    <t>DTmE3BPhTHBcQn2T9JNeZC36puFVsVVSdc</t>
  </si>
  <si>
    <t>cMahea7zqjxrtgAbB7LSGbcQUr1uX1ojuat9kJvn24x1AxkPP5t5</t>
  </si>
  <si>
    <t>msmVzdG17BGG7T2vDtSAhXbqfrkC8bsBh1</t>
  </si>
  <si>
    <t>tb1qsesuk4kemu9xruqn9z644al9dgl70g4jcjjsmv</t>
  </si>
  <si>
    <t>bc1p9pwx2q3va4ydyu6jhqa4jrhasrs4m7vzg567d44tqsf7y3vmnqgqx5rfj7</t>
  </si>
  <si>
    <t>285c65022ced48d27352b83b590efd80e15df9824535e6d6ab0413e2459b9810</t>
  </si>
  <si>
    <t>T33ydQRKp4FCW5LCLLUB7deioUMoveiwekdwVh6p5vUAS7GcwjbF</t>
  </si>
  <si>
    <t>LXUVxnUrNp54b9FTgTT69dTH25WmHTj81d</t>
  </si>
  <si>
    <t>ltc1qsesuk4kemu9xruqn9z644al9dgl70g4jkgn8c0</t>
  </si>
  <si>
    <t>QNcdLVw8fHkixm6NNyN6nVwxKek4u7qrioRbRWs7FJuMN9cauEEb</t>
  </si>
  <si>
    <t>DHPeEq7fbZjHsLjuEuTMRNZ7gzsnXDiqev</t>
  </si>
  <si>
    <t>cMahea7zqjxrtgAbB7LSGbcQUr1uX1ojuat9mA5FSwWJK6Fhouqc</t>
  </si>
  <si>
    <t>mgifmkdUGUiHq3X473ADSja8hmmX99K8At</t>
  </si>
  <si>
    <t>tb1qp5h4xwtxcetcuyg3j7x2dx8c4htlll0nm5kaan</t>
  </si>
  <si>
    <t>bc1ptqmw04hcaakxsye8l9ghe4zff0j4ua26mshmxrslludz3x8v7gkqzsmfkg</t>
  </si>
  <si>
    <t>5836e7d6f8ef6c681327f9517cd4494be55e755adc2fb30e1fff1a2898ecf22c</t>
  </si>
  <si>
    <t>T33ydQRKp4FCW5LCLLUB7deioUMoveiwekdwWYFHWo2TaEowtSVW</t>
  </si>
  <si>
    <t>LLRfjurKY7X6JjjbZcB8tqRa3zY6LECWbR</t>
  </si>
  <si>
    <t>ltc1qp5h4xwtxcetcuyg3j7x2dx8c4htlll0n4wh27s</t>
  </si>
  <si>
    <t>QNcdLVw8fHkixm6NNyN6nVwxKek4u7qrioRbSN1agBTeWHDJPFMm</t>
  </si>
  <si>
    <t>D6Lp1xV8ksBKawE384BQAaXQiuu7bZST6x</t>
  </si>
  <si>
    <t>cMahea7zqjxrtgAbB7LSGbcQUr1uX1ojuat9mwds3k2VQoGbeWbJ</t>
  </si>
  <si>
    <t>n1kx1wj3EfpAHgogwRyVUJYCtcofTaJW2E</t>
  </si>
  <si>
    <t>tb1qmcypkahcgrjx973vmumqzu7l4a9fw6j87qaz8m</t>
  </si>
  <si>
    <t>bc1pcy2r24nh00lg5epm4mdhhcplra9ng290jsfe8dufhz3783nz53ssu4v7wt</t>
  </si>
  <si>
    <t>c1143556777bfe8a643baedb7be03f1f4b3428af941393b789b8a3e3c662a461</t>
  </si>
  <si>
    <t>T33ydQRKp4FCW5LCLLUB7deioUMoveiwekdwXKou7bYefwmgPQhy</t>
  </si>
  <si>
    <t>LfTwz6wtWJcxmP2EPzzQvQPeEqaEdEA5jT</t>
  </si>
  <si>
    <t>ltc1qmcypkahcgrjx973vmumqzu7l4a9fw6j8s6u4yc</t>
  </si>
  <si>
    <t>QNcdLVw8fHkixm6NNyN6nVwxKek4u7qrioRbT9aCGyyqbzAY2yM1</t>
  </si>
  <si>
    <t>DRP6G9ahj4HC3aWfxSzgC9VUukwFsqckEE</t>
  </si>
  <si>
    <t>cMahea7zqjxrtgAbB7LSGbcQUr1uX1ojuat9sa85ZA4nimG5duNb</t>
  </si>
  <si>
    <t>n3Lji2e6m3WAQEWCq5goCqc5xMjJndufBF</t>
  </si>
  <si>
    <t>tb1qaajpnnla07khqfuegd2whrh6ug3u9kl8kt30re</t>
  </si>
  <si>
    <t>bc1pl46nwpy6egkuuygunlwq9lvhn7jpe9ge7pf9fcfsaq5puc7zfv0qgu5asz</t>
  </si>
  <si>
    <t>fd7537049aca2dce111c9fdc02fd979fa41c9519f05254e130e8281e63c24b1e</t>
  </si>
  <si>
    <t>T33ydQRKp4FCW5LCLLUB7deioUMoveiwekdwcxJ7d1awyuisC8UJ</t>
  </si>
  <si>
    <t>Lh3jgBrx2gJxsvikHehiewTXJaVt1miazD</t>
  </si>
  <si>
    <t>ltc1qaajpnnla07khqfuegd2whrh6ug3u9kl8c3scq6</t>
  </si>
  <si>
    <t>QNcdLVw8fHkixm6NNyN6nVwxKek4u7qrioRbYn4QnQ28ux9JC8Sh</t>
  </si>
  <si>
    <t>DSxsxEVmFRyCA8DBr6hyvgZMyVruDTNEix</t>
  </si>
  <si>
    <t>cMahea7zqjxrtgAbB7LSGbcQUr1uX1ojuatA1xky4zStsPBMwBjW</t>
  </si>
  <si>
    <t>mkW6uCxUdvXviVBvqCKY5bZsJJeyhRUJid</t>
  </si>
  <si>
    <t>tb1qx6hkt8kma9z98a35f6fq69plzaux2wh8jtwxxm</t>
  </si>
  <si>
    <t>bc1p3ppy84gr02l3htckq7lku0k3et47v67w320v66gmnwejer8ctgjqqm4600</t>
  </si>
  <si>
    <t>884243d5037abf1baf1607bf6e3ed1caebe66bce8a9ecd691b9bb32c8cf85a24</t>
  </si>
  <si>
    <t>T33ydQRKp4FCW5LCLLUB7deioUMoveiwekdwmLw18qy48XiZ5Qxn</t>
  </si>
  <si>
    <t>LQD6sNBKuZLjCBQUHmLTXhRJeXRYx9PPkK</t>
  </si>
  <si>
    <t>ltc1qx6hkt8kma9z98a35f6fq69plzaux2wh8u3039c</t>
  </si>
  <si>
    <t>QNcdLVw8fHkixm6NNyN6nVwxKek4u7qrioRbhAhJJEQF4a4GBbfa</t>
  </si>
  <si>
    <t>DA8F9Qp98JzxUNturDLioSX9KSnaB1WewW</t>
  </si>
  <si>
    <t>cMahea7zqjxrtgAbB7LSGbcQUr1uX1ojuatABsEMMbTKHWkoZJvW</t>
  </si>
  <si>
    <t>mjpxqNPLXKVvbmM5D3aZojCMu4SzipY1XL</t>
  </si>
  <si>
    <t>tb1q9ay8pm65lf9sfrqnvh2zt9xv057jd9239j0z6f</t>
  </si>
  <si>
    <t>bc1p24v2p5tm89fwd88w70uwcy4txqw9fqs9f738dn3ev8rfpmet47sq2ltywg</t>
  </si>
  <si>
    <t>5558a0d17b3952e69ceef3f8ec12ab301c5482054fa276ce3961c690ef2bafa0</t>
  </si>
  <si>
    <t>T33ydQRKp4FCW5LCLLUB7deioUMoveiwekdwwFQPRSyUYfDJykvW</t>
  </si>
  <si>
    <t>LPXxoXcBnxJj5TZcfcbVFq3oFHDZsqn8SA</t>
  </si>
  <si>
    <t>ltc1q9ay8pm65lf9sfrqnvh2zt9xv057jd923tgw4e2</t>
  </si>
  <si>
    <t>QNcdLVw8fHkixm6NNyN6nVwxKek4u7qrioRbs5AgaqQfUhecD2xp</t>
  </si>
  <si>
    <t>D9T75aF11hxxMf44E4bkXa9dvCab5ExUPR</t>
  </si>
  <si>
    <t>cMahea7zqjxrtgAbB7LSGbcQUr1uX1ojuatAQMMxrYscxAu4TaYR</t>
  </si>
  <si>
    <t>mz4SDAsRjZPJsAW53DsZrMaxKjdixWp9ws</t>
  </si>
  <si>
    <t>tb1qedn8v08hlhn9np56ulcx3pxe5ru8ngyj3vkxg0</t>
  </si>
  <si>
    <t>bc1p6sew0rcly4gwhxauxrghtywlzlwlva2e3pymgqqvfdh8smt5xsgqtk2k64</t>
  </si>
  <si>
    <t>d432e78f1f2550eb9bbc30d17591df17ddf675598849b4000c4b6e786d743410</t>
  </si>
  <si>
    <t>T33ydQRKp4FCW5LCLLUB7deioUMoveiwekdx9jXzvQPnDKNVxCGp</t>
  </si>
  <si>
    <t>LdmSBL6H1CC7LricVntVJTSPfxQJGFEsYK</t>
  </si>
  <si>
    <t>ltc1qedn8v08hlhn9np56ulcx3pxe5ru8ngyjlkh3tv</t>
  </si>
  <si>
    <t>QNcdLVw8fHkixm6NNyN6nVwxKek4u7qrioRc5ZJJ5npy9MjvMMvw</t>
  </si>
  <si>
    <t>DPgaTNj6DwrLd4D44EtkaCYELsmKToi6dh</t>
  </si>
  <si>
    <t>cMahea7zqjxrtgAbB7LSGbcQUr1uX1ojuatBkPzpjC2cZ9ay6jue</t>
  </si>
  <si>
    <t>n1Wej6q2TAuqupW7j47LEAqVzmd4QHMzVo</t>
  </si>
  <si>
    <t>tb1qmdfanw737w5rkz2wajnam9ctmpd5jtazf9chcr</t>
  </si>
  <si>
    <t>bc1pngcch09qkewvsxk077dz4krsj6au6qz4yyhsppll7mlsth2tujpqprw7gd</t>
  </si>
  <si>
    <t>9a318bbca0b65cc81acff79a2ad87096bbcd0055212f0087fff6ff05dd4be482</t>
  </si>
  <si>
    <t>T33ydQRKp4FCW5LCLLUB7deioUMoveiwekdyVnAro3YmpJ6ADtEa</t>
  </si>
  <si>
    <t>LfDehG3sioiePWifBd8FgGgwLzPdfSikdw</t>
  </si>
  <si>
    <t>ltc1qmdfanw737w5rkz2wajnam9ctmpd5jtaz8leqmq</t>
  </si>
  <si>
    <t>QNcdLVw8fHkixm6NNyN6nVwxKek4u7qrioRdRbw9xRyxkLUVroBo</t>
  </si>
  <si>
    <t>DR8nyJggwZNsfiD6k58Wx1nn1ukeoUrArR</t>
  </si>
  <si>
    <t>cMahea7zqjxrtgAbB7LSGbcQUr1uX1ojuatChWYHiQJrEUnSgp7R</t>
  </si>
  <si>
    <t>mn6LqU6juqvRMj1HixRb3PKrSfX1uqoZhH</t>
  </si>
  <si>
    <t>tb1qfqs5cktf46058a6swr82rcktg82mmnxd4shhzj</t>
  </si>
  <si>
    <t>bc1pw0au7rk45weeepvf2fmgeefutqhgsplys9twdfsqsdqpvhqp3ans36ts3n</t>
  </si>
  <si>
    <t>73fbcf0ed5a3b39c858952768ce53c582e8807e48156e6a6008340165c018f67</t>
  </si>
  <si>
    <t>T33ydQRKp4FCW5LCLLUB7deioUMoveiwekdzStiKnFq1VdEQswV5</t>
  </si>
  <si>
    <t>LRoLodKbBUjDqRDqBXSWVVBHntHb8mTjXc</t>
  </si>
  <si>
    <t>ltc1qfqs5cktf46058a6swr82rcktg82mmnxdm2kqp3</t>
  </si>
  <si>
    <t>QNcdLVw8fHkixm6NNyN6nVwxKek4u7qrioReNiUcweGCRffBBQbZ</t>
  </si>
  <si>
    <t>DBiV5fxQQEPT7ciGjySmmEH8ToecMNu6Gv</t>
  </si>
  <si>
    <t>cMahea7zqjxrtgAbB7LSGbcQUr1uX1ojuatK18dS3Zxznynw5MBe</t>
  </si>
  <si>
    <t>mk874SMKZvSYgccx9TA2tepcMonBpNujdq</t>
  </si>
  <si>
    <t>tb1qx2rxpm6r7e4tufjnlgtcg549mlzefs4plc0zc8</t>
  </si>
  <si>
    <t>bc1pyaralep8p6lae5pvpm77pqz28vdtj846jahe3elrta7faets66qq4859hf</t>
  </si>
  <si>
    <t>2747dfe4270ebfdcd02c0efde0804a3b1ab91eba976f98e7e35f7c9ee570d680</t>
  </si>
  <si>
    <t>T33ydQRKp4FCW5LCLLUB7deioUMoveiweke6kWoU7RVA48Ec6LzC</t>
  </si>
  <si>
    <t>LPq72baAqZFMAJqVc2AxLkg3i2Ym63pbHD</t>
  </si>
  <si>
    <t>ltc1qx2rxpm6r7e4tufjnlgtcg549mlzefs4p3zw4my</t>
  </si>
  <si>
    <t>QNcdLVw8fHkixm6NNyN6nVwxKek4u7qrioRkgLZmGovLzAgGmBK5</t>
  </si>
  <si>
    <t>D9kFJeCz4JuaSWKwAUBDcVmtNwunFmxVnM</t>
  </si>
  <si>
    <t>cMahea7zqjxrtgAbB7LSGbcQUr1uX1ojuatP9Av6GMCQhtJdYZUj</t>
  </si>
  <si>
    <t>mtJ5fJDp31Qv4UEWVUmnACC4NmAEaxp9U9</t>
  </si>
  <si>
    <t>tb1q3s4xqu0cnjgvfk444v546aef6x65afs0yd2vn8</t>
  </si>
  <si>
    <t>bc1pnkvlhz93gh0flrs26xt6qvghyhsy6nxur28qwupw4yrj9u5g3czqys3jtm</t>
  </si>
  <si>
    <t>9d99fb88b145de9f8e0ad197a0311725e04d4cdc1a8e07702ea90722f2888e04</t>
  </si>
  <si>
    <t>T33ydQRKp4FCW5LCLLUB7deioUMoveiwekeAtZ68LCiZy2mSnvZq</t>
  </si>
  <si>
    <t>LY15dTSfJeDiYAT3x3nhcJ3ViyvopGSMAY</t>
  </si>
  <si>
    <t>ltc1q3s4xqu0cnjgvfk444v546aef6x65afs02htmsy</t>
  </si>
  <si>
    <t>QNcdLVw8fHkixm6NNyN6nVwxKek4u7qrioRppNrRVb9ku57C734Y</t>
  </si>
  <si>
    <t>DHvDuW5UXPswpMwVWVnxt39LPuHpxE1LuM</t>
  </si>
  <si>
    <t>cMahea7zqjxrtgAbB7LSGbcQUr1uX1ojuatkwHugt7oJBCH5gy83</t>
  </si>
  <si>
    <t>mwgUKqETfwLQKLMgLQQ4NY9D8vARutkvh2</t>
  </si>
  <si>
    <t>tb1qk98dx9r0tvkfhhshq002a8hn8tupzqss3nag4e</t>
  </si>
  <si>
    <t>bc1pwenf30vtfegrlmz4c0z7g585reshha2gcdcql0pnecycymm2kw4qc3kh4l</t>
  </si>
  <si>
    <t>766698bd8b4e503fec55c3c5e450f41e617bf548c3700fbc33ce09826f6ab3aa</t>
  </si>
  <si>
    <t>T33ydQRKp4FCW5LCLLUB7deioUMoveiwekeYgg5iwyKTSLqD3boz</t>
  </si>
  <si>
    <t>LbPUHzTJwa9Co2aDnyQypdzeV8w18mfxif</t>
  </si>
  <si>
    <t>ltc1qk98dx9r0tvkfhhshq002a8hn8tupzqsslfulk6</t>
  </si>
  <si>
    <t>QNcdLVw8fHkixm6NNyN6nVwxKek4u7qrioSCcVr27MkeNPDhADhm</t>
  </si>
  <si>
    <t>DMJca368AKoS5E4fMRRF6P6VA4J2PGN9dX</t>
  </si>
  <si>
    <t>cMahea7zqjxrtgAbB7LSGbcQUr1uX1ojuauTq9oP7CVEJo5RtnYc</t>
  </si>
  <si>
    <t>mzJ2z5voVxb2HLZM3PiWDJHAnutiJQdBLB</t>
  </si>
  <si>
    <t>tb1qehuwt36s82wjyepw8m8us7qhvunc0ww97ykp0s</t>
  </si>
  <si>
    <t>bc1pfakaswnuykqhjg5hrjr4zmcytqlf7h7wx8w3u2kr2wfu0hxz6lvszdpgja</t>
  </si>
  <si>
    <t>4f6dd83a7c25817922971c87516f04583e9f5fce31dd1e2ac35393c7dcc2d7d9</t>
  </si>
  <si>
    <t>T33ydQRKp4FCW5LCLLUB7deioUMoveiwekfFaXyRB41PZwWWANLT</t>
  </si>
  <si>
    <t>Le12xF9embPpm2mtVxjRfQ8c98fHU3Pzw2</t>
  </si>
  <si>
    <t>ltc1qehuwt36s82wjyepw8m8us7qhvunc0ww9s7hkvn</t>
  </si>
  <si>
    <t>QNcdLVw8fHkixm6NNyN6nVwxKek4u7qrioSuWMjiLSSaVz1Ea7Up</t>
  </si>
  <si>
    <t>DPvBEHnTzM443EGL4Qjgw9ESp42Jfk6QHT</t>
  </si>
  <si>
    <t>cMahea7zqjxrtgAbB7LSGbcQUr1uX1ojuauoKiLEC9mAA8EYnhFu</t>
  </si>
  <si>
    <t>mq1Fd15qxCK1dgmwyr8wDdntUrQvjdWqz9</t>
  </si>
  <si>
    <t>tb1qdqfnuxdjm7usxnklnqc2yqx0muuvjr9a8079fg</t>
  </si>
  <si>
    <t>bc1pxu2sdmk96epsecp8yps9rgj6w7edvpzqr54mzjgdsdk6feynmhysev8mzz</t>
  </si>
  <si>
    <t>371506eec5d6430ce027206051a25a77b2d604401d2bb1490d836da4e493ddc9</t>
  </si>
  <si>
    <t>T33ydQRKp4FCW5LCLLUB7deioUMoveiwekfb56WGG1HKRGdZPbZQ</t>
  </si>
  <si>
    <t>LUiFbAJhDq7p7NzVSR9rfjeKq5BVwe7UXb</t>
  </si>
  <si>
    <t>ltc1qdqfnuxdjm7usxnklnqc2yqx0muuvjr9af4lj2t</t>
  </si>
  <si>
    <t>QNcdLVw8fHkixm6NNyN6nVwxKek4u7qrioTEzvGZRPiWMK5mz8a7</t>
  </si>
  <si>
    <t>DEdPsCwWSan3PaUvzsA7wUkAVzYXCch2zY</t>
  </si>
  <si>
    <t>cMahea7zqjxrtgAbB7LSGbcQUr1uX1ojuaxfmCN5yvmNyRmTVAit</t>
  </si>
  <si>
    <t>n2A3XiuvNLX1C7BoekeJAdW4SNsf4MjgS5</t>
  </si>
  <si>
    <t>tb1qufnydkuykpsz7v4nfddx9j3u4c0erdmeevffnw</t>
  </si>
  <si>
    <t>bc1puwqxxn9xajetamsqw2qvzs2rwwd358t2g4l099pmqneys87yew3sv6d8ap</t>
  </si>
  <si>
    <t>e380634ca6ecb2beee007280c14143739b1a1d6a457ef2943b04f2481fc4cba3</t>
  </si>
  <si>
    <t>T33ydQRKp4FCW5LCLLUB7deioUMoveiwekiTWaY83nHYEaD3Uca8</t>
  </si>
  <si>
    <t>Lfs3Vt8mdyKofoQM7KfDcjMVnbeEE7DvDf</t>
  </si>
  <si>
    <t>ltc1qufnydkuykpsz7v4nfddx9j3u4c0erdmehkg7sd</t>
  </si>
  <si>
    <t>QNcdLVw8fHkixm6NNyN6nVwxKek4u7qrioW7SQJRDAijAceFUx1g</t>
  </si>
  <si>
    <t>DRnBmvmariz2wztnfmfUtUTLTX1FUunboZ</t>
  </si>
  <si>
    <t>cMahea7zqjxrtgAbB7LSGbcQUr1uX1ojub4YfZkdD2mVoHQuG7gy</t>
  </si>
  <si>
    <t>n3LW2wRhfbSM7mkCzWXfuDoYFgeHcXMmTq</t>
  </si>
  <si>
    <t>tb1qaav2ld5hkz2yy08fquslhvv6xk0003gwne8nqm</t>
  </si>
  <si>
    <t>bc1p6nhskt9r9c59lm73gssxcxrpg4ry0pneu2snlqzd59vwtktasmvsln4f32</t>
  </si>
  <si>
    <t>d4ef0b2ca32e285fefd144206c18614546478679e2a13f804da158e5d97d86d9</t>
  </si>
  <si>
    <t>T33ydQRKp4FCW5LCLLUB7deioUMoveiwekpLQwvfGtHf4RvvJcAd</t>
  </si>
  <si>
    <t>Lh3W16eYwEF9bTxkT5YbMKeybuQrqCHaTv</t>
  </si>
  <si>
    <t>ltc1qaav2ld5hkz2yy08fquslhvv6xk0003gwarxyrc</t>
  </si>
  <si>
    <t>QNcdLVw8fHkixm6NNyN6nVwxKek4u7qriobzLmgxSGiqzULySCHx</t>
  </si>
  <si>
    <t>DSxeH9HN9yuNsfTC1XYrd4kpGpmt5bTUg9</t>
  </si>
  <si>
    <t>cMahea7zqjxrtgAbB7LSGbcQUr1uX1ojubEj5E2iaxfkoPhUpjwx</t>
  </si>
  <si>
    <t>mmFVQtRHbz2MyQ3bYkMWfXnUV4cP6es91m</t>
  </si>
  <si>
    <t>tb1q8mjpx0veraf0ma4ztjvrfcr5ttr5yj9yxwd69n</t>
  </si>
  <si>
    <t>bc1p324m4tmf6s4z2juzm5d5rrzrrsjjzrnv649z7fvluzr5jxrmk0yqjq26ve</t>
  </si>
  <si>
    <t>8aabbaaf69d42a254b82dd1b418c431c25210e6cd54a2f259fe08749187bb3c8</t>
  </si>
  <si>
    <t>T33ydQRKp4FCW5LCLLUB7deioUMoveiwekzWpcCkepBv4YELvgBs</t>
  </si>
  <si>
    <t>LQxVP3e8scqAT6G91KNS7dduqHNxJezECe</t>
  </si>
  <si>
    <t>ltc1q8mjpx0veraf0ma4ztjvrfcr5ttr5yj9yg5vdxs</t>
  </si>
  <si>
    <t>QNcdLVw8fHkixm6NNyN6nVwxKek4u7qrionAkRy3pCd6zaf7wHPC</t>
  </si>
  <si>
    <t>DAsdf6Gx6NVPjHkaZmNhPNjkWCjyVBREUT</t>
  </si>
  <si>
    <t>cMahea7zqjxrtgAbB7LSGbcQUr1uX1ojubVV8733dd22TP2cva6B</t>
  </si>
  <si>
    <t>mo5JtzZE9Nj4LJ5HXmhr8KfXDCCTmtkAtL</t>
  </si>
  <si>
    <t>tb1q2tnk8f7acx4yl2q327xyj8qmcl74wqfhgh4zey</t>
  </si>
  <si>
    <t>bc1p305yd0npzlafnpe7tpst4wp7ulv3xrhjgn58y9pgcgv7dvlmp6aqr3c4eu</t>
  </si>
  <si>
    <t>8be846be6117fa99873e5860bab83ee7d9130ef244e8721428c219e6b3fb0eba</t>
  </si>
  <si>
    <t>T33ydQRKp4FCW5LCLLUB7deioUMoveiwemFGsVD5hUYBiXZ3KZtT</t>
  </si>
  <si>
    <t>LSnJs9n5R1XrozHpzLimaRWxZQy31oMpkD</t>
  </si>
  <si>
    <t>ltc1q2tnk8f7acx4yl2q327xyj8qmcl74wqfhxd5468</t>
  </si>
  <si>
    <t>QNcdLVw8fHkixm6NNyN6nVwxKek4u7qrip2voJyNrryNeZum5bfZ</t>
  </si>
  <si>
    <t>DChT9CQtdmC66BnGYnj2rAcoELL4DPQYty</t>
  </si>
  <si>
    <t>cMahea7zqjxrtgAbB7LSGbcQUr1uX1ojuboiuvpESJY9JncE5EY5</t>
  </si>
  <si>
    <t>miWYJkVaKXJroYbBB8kkrBHEecy5dxNKJP</t>
  </si>
  <si>
    <t>tb1qyr2956nky56hqr8fuzepdccejse4mw99lel6sq</t>
  </si>
  <si>
    <t>bc1pgchl8k5hhxnlcfd3tmxp8vfk9jks438msjkth5lg93fzmskwy6js0kuqd2</t>
  </si>
  <si>
    <t>462ff3da97b9a7fc25b15ecc13b1362cad0ac4fb84acbbd3e82c522dc2ce26a5</t>
  </si>
  <si>
    <t>T33ydQRKp4FCW5LCLLUB7deioUMoveiwemZWfJzGWA4JZw5mK77k</t>
  </si>
  <si>
    <t>LNDYGuiRbA7fHEoidhmgJH8fzqjeseATsU</t>
  </si>
  <si>
    <t>ltc1qyr2956nky56hqr8fuzepdccejse4mw993r7dnr</t>
  </si>
  <si>
    <t>QNcdLVw8fHkixm6NNyN6nVwxKek4u7qripMAb8kZfYVVVyTHy22c</t>
  </si>
  <si>
    <t>D88gYxMEoumtZSJAC9mwa2EWfm6g3uocon</t>
  </si>
  <si>
    <t>cMahea7zqjxrtgAbB7LSGbcQUr1uX1ojudXVRW5GYCBKc7J5sPvp</t>
  </si>
  <si>
    <t>mr45ZTgmifz4T3vWxjRRJMP28izZhpsG6J</t>
  </si>
  <si>
    <t>tb1qww2r0wea6mges0nxv2w97zx8pef8dym3vvn5sz</t>
  </si>
  <si>
    <t>bc1pp36a7hsgfhtm7wk9r26maellfcyadkfy5nar0u7qcmx3amvl6qksc0qh64</t>
  </si>
  <si>
    <t>0c75df5e084dd7bf3ac51ab5bee7ff4e09d6d924a4fa37f3c0c6cd1eed9fd02d</t>
  </si>
  <si>
    <t>T33ydQRKp4FCW5LCLLUB7deioUMoveiweoHHAtFJc3hUsFfuaEy9</t>
  </si>
  <si>
    <t>LVm5XcuczJnrvk94RJSLkTETUwm8tdz3XJ</t>
  </si>
  <si>
    <t>ltc1qww2r0wea6mges0nxv2w97zx8pef8dym3zkjrnp</t>
  </si>
  <si>
    <t>QNcdLVw8fHkixm6NNyN6nVwxKek4u7qrir4w6i1bmS8foJ9xwt24</t>
  </si>
  <si>
    <t>DFgDofYSD4T6CwdVykSc2CLJ9s8A6Bqt97</t>
  </si>
  <si>
    <t>cMahea7zqjxrtgAbB7LSGbcQUr1uX1ojufGLKgWkXzHN9jSBMp4J</t>
  </si>
  <si>
    <t>n21AqjaZFPXy6RiVKZPqzTUBQJBLEjiZ48</t>
  </si>
  <si>
    <t>tb1quzu29whwrdmlcup52hee6528w3gler8uq3xkaw</t>
  </si>
  <si>
    <t>bc1ptkej7jnnym75lfrssmqldxyu2e4ecafxgs3a0vxt0g9hct6p4a5sqw6509</t>
  </si>
  <si>
    <t>5db32f4a7326fd4fa47086c1f6989c566b9c75264423d7b0cb7a0b7c2f41af69</t>
  </si>
  <si>
    <t>T33ydQRKp4FCW5LCLLUB7deioUMoveiweq2854gnbqoXQsxtwCon</t>
  </si>
  <si>
    <t>LfiAotoQX2Lma7w2n8QmSZKckWwuVL3hoF</t>
  </si>
  <si>
    <t>ltc1quzu29whwrdmlcup52hee6528w3gler8uwt8p7d</t>
  </si>
  <si>
    <t>QNcdLVw8fHkixm6NNyN6nVwxKek4u7qrisomztT5mEEiLvPm5giA</t>
  </si>
  <si>
    <t>DRdK5wSDjmzzrKRULaR2iJRTRSJvg5pZXb</t>
  </si>
  <si>
    <t>cMahea7zqjxrtgAbB7LSGbcQUr1uX1ojugomqdDqfVwbep6yer1c</t>
  </si>
  <si>
    <t>mpSi1HfiUjLouiLkHU17WgQRfqAJMjbNkm</t>
  </si>
  <si>
    <t>tb1qv84c55xgdvzcfwmj0ht9hmvdysqdd4d2fwmx8k</t>
  </si>
  <si>
    <t>bc1papdrja80ky97rjkxrrsgky02a3vfkxlct7yzyu9tq5jl7mxza99seqc4sf</t>
  </si>
  <si>
    <t>e85a3974efb10be1cac618e08b11eaec589b1bf85f882270ab0525ff6cc2e94b</t>
  </si>
  <si>
    <t>T33ydQRKp4FCW5LCLLUB7deioUMoveiwerZZb1PsjMTkuxZWzVqL</t>
  </si>
  <si>
    <t>LU9hyStZkN9cPQZHk322xnFs23vsa27F9k</t>
  </si>
  <si>
    <t>ltc1qv84c55xgdvzcfwmj0ht9hmvdysqdd4d28563y4</t>
  </si>
  <si>
    <t>QNcdLVw8fHkixm6NNyN6nVwxKek4u7qriuMDWqAAtjtwqzvZKAwx</t>
  </si>
  <si>
    <t>DE4rFVXNy7oqfc3jJV2JEXMhgyHtmRr6uQ</t>
  </si>
  <si>
    <t>cMahea7zqjxrtgAbB7LSGbcQUr1uX1ojuvDtWo9khtfrKsqRC35Q</t>
  </si>
  <si>
    <t>mp4WXFchrUPVLUH6MrzMYK6Fzwm5c3tF65</t>
  </si>
  <si>
    <t>tb1qtkuvmff6dgqzmvgrvkt86lu96x0pwxcsa4emyd</t>
  </si>
  <si>
    <t>bc1p2pj4j0kjm8y6ntra444sx0pwm3zmyhmm0n4tmm2zmaepmj7hfgssa47503</t>
  </si>
  <si>
    <t>5065593ed2d9c9a9ac7dad6b033c2edc45b25f7b7ceabded42df721dcbd74a21</t>
  </si>
  <si>
    <t>T33ydQRKp4FCW5LCLLUB7deioUMoveiwf5ygGBKnmkC1b2Kg5KgX</t>
  </si>
  <si>
    <t>LTmWVQqZ87CHpAVdpS1GzQwhMAXemFGPZ3</t>
  </si>
  <si>
    <t>ltc1qtkuvmff6dgqzmvgrvkt86lu96x0pwxcsn0cv8w</t>
  </si>
  <si>
    <t>QNcdLVw8fHkixm6NNyN6nVwxKek4u7qrj8mLC165w8dCX4jRhJRv</t>
  </si>
  <si>
    <t>DDgemTUNLrrX6Mz5Nt1YGA3Y25tfx54gxg</t>
  </si>
  <si>
    <t>cMahea7zqjxrtgAbB7LSGbcQUr1uX1ok3L4RHXqAjY5uUCTkfjnh</t>
  </si>
  <si>
    <t>mxZ3mnZAnJJ4JigYVHyRJ28GSVWrXr3887</t>
  </si>
  <si>
    <t>tb1qht0ckrf59z0x08kxt3kxr5afws6nhew0alw3k5</t>
  </si>
  <si>
    <t>bc1pt2q3eq6audg4j678yadx53l887lwhjegxnndwp9tlewk6mkka5xsrna3jk</t>
  </si>
  <si>
    <t>5a811c835de351596bc7275a6a47e73fbeebcb2834e6d704abfe5d6d6ed6ed0d</t>
  </si>
  <si>
    <t>T33ydQRKp4FCW5LCLLUB7deioUMoveiwnVpD2v1CoPc4jLyMq4Q9</t>
  </si>
  <si>
    <t>LcG3jwn23w6rnQu5wrzLk7yhniHRmLKWfj</t>
  </si>
  <si>
    <t>ltc1qht0ckrf59z0x08kxt3kxr5afws6nhew0n90x4h</t>
  </si>
  <si>
    <t>QNcdLVw8fHkixm6NNyN6nVwxKek4u7qrrYbrxjmVxn3FfPQfeM4d</t>
  </si>
  <si>
    <t>DNBC1zQqGgm64cPXWJzc1s5YTdeSsjrbm8</t>
  </si>
  <si>
    <t>cMahea7zqjxrtgAbB7LSGbcQUr1uX1orTTKZSLpcktytBqAn1Mq5</t>
  </si>
  <si>
    <t>mqicPuNTK8CJVPWScSuAZbZBmAK6MYDbY8</t>
  </si>
  <si>
    <t>tb1qdlj6xmh0q6z27zu37wmvljtj66xy7matzr8x4l</t>
  </si>
  <si>
    <t>bc1p336zuxwfqghpyeny79lk5wv44h93pycv0jhc694s9fj2mus02mgqj2c530</t>
  </si>
  <si>
    <t>8c742e19c9022e126664f17f6a3995adcb10930c7caf8d16b02a64adf20f56d0</t>
  </si>
  <si>
    <t>T33ydQRKp4FCW5LCLLUB7deioUMovej4Cd5MBizepkW3Syc7stLn</t>
  </si>
  <si>
    <t>LVRcN4bJam16y5iz51v61hQd7P5fVX89Q3</t>
  </si>
  <si>
    <t>ltc1qdlj6xmh0q6z27zu37wmvljtj66xy7matvex3ku</t>
  </si>
  <si>
    <t>QNcdLVw8fHkixm6NNyN6nVwxKek4u7qyGfs17Ykwz8wEP25QADD9</t>
  </si>
  <si>
    <t>DFLke7E7oWfLFHDRdTvMHSWTnJSgiW7XrQ</t>
  </si>
  <si>
    <t>cMahea7zqjxrtgAbB7LSGbcQUr1uX1qtrTtHJJHMdTjKPHwokEQh</t>
  </si>
  <si>
    <t>mzCyKT1W3T4Hjvw2TctDvjbZhFFKhXBgwp</t>
  </si>
  <si>
    <t>tb1qe5pure3x3n5m383u8m4t3583km5v4s5p7h6znd</t>
  </si>
  <si>
    <t>bc1pksmqwwxaj4cyur8kdwtl3c7jard9jsu5dmuwme3khf6ncyp037nqfach7u</t>
  </si>
  <si>
    <t>b4360738dd95704e0cf66b97f8e3d2e8da5943946ef8ede636ba753c102f8fa6</t>
  </si>
  <si>
    <t>T33ydQRKp4FCW5LCLLUB7deioUMovem6bde53gTPhKFUeSQtLKz5</t>
  </si>
  <si>
    <t>LduyHcEMK5s6Dd9ZvBu9NqT13U1ttshXuV</t>
  </si>
  <si>
    <t>ltc1qe5pure3x3n5m383u8m4t3583km5v4s5psdm4sw</t>
  </si>
  <si>
    <t>QNcdLVw8fHkixm6NNyN6nVwxKek4u7t1fgRiyWDgrhgfaUnwpxBQ</t>
  </si>
  <si>
    <t>DPq7ZesAXqXKVpe1UduQeaYqiPNv9ykJUW</t>
  </si>
  <si>
    <t>cMahea7zqjxrtgAbB7LSGbcQUr1uX3LQJjUybtX4H85CvXXL6EEv</t>
  </si>
  <si>
    <t>mzWyYLN14KBBF3CbJMt65Qt6rCZkvfgPTF</t>
  </si>
  <si>
    <t>tb1q6p4kugrxjy54as690qkhagrgd95ase6tgkwum0</t>
  </si>
  <si>
    <t>bc1pehfvmff8sm592pq4xuudakrz88lz5lgjrzsajhvwpc5l0fz65wgsh2f5fc</t>
  </si>
  <si>
    <t>cdd2cda52786e85504153738ded86239fe2a7d1218a1d95d8e0e29f7a45aa391</t>
  </si>
  <si>
    <t>T33ydQRKp4FCW5LCLLUB7deioUMovgFc3uEmMGh6LybNBfyDtEEX</t>
  </si>
  <si>
    <t>LeDyWVarKwyyijR8kvu1XWjYCRLLBW4GkT</t>
  </si>
  <si>
    <t>ltc1q6p4kugrxjy54as690qkhagrgd95ase6txv0tcv</t>
  </si>
  <si>
    <t>QNcdLVw8fHkixm6NNyN6nVwxKek4u9NX7x2RH6TPWN2Z7iV12aKh</t>
  </si>
  <si>
    <t>DQ97nYDfYheCzvuaKNuGoFqNsLhMQ3t8Rs</t>
  </si>
  <si>
    <t>cMahea7zqjxrtgAbB7LSGbcQUr1uXnm3cDHSjyVv2UVF7Jzpd1g7</t>
  </si>
  <si>
    <t>mpASjGzhp14njpHJzG6hY4is1KTzZJYpyz</t>
  </si>
  <si>
    <t>tb1qtmvzyyjnv5n5ycser54h06ydgdka2mvgnkfj6l</t>
  </si>
  <si>
    <t>bc1p43c8g3xzrp986maqsjnxy27azalvk2f0wp5vdhvzl8p5vgf472zsntt7yc</t>
  </si>
  <si>
    <t>ac707444c2184a7d6fa084a6622bdd177ecb292f7068c6dd82f9c3462135f285</t>
  </si>
  <si>
    <t>T33ydQRKp4FCW5LCLLUB7deioUMowRgFMP3EVMfx6L1QNTXDEmJm</t>
  </si>
  <si>
    <t>LTsShSDZ5dsbDWVrSq7czAaJMYEZiFzKud</t>
  </si>
  <si>
    <t>ltc1qtmvzyyjnv5n5ycser54h06ydgdka2mvgavg9eu</t>
  </si>
  <si>
    <t>QNcdLVw8fHkixm6NNyN6nVwxKek4utoARRptRBSFFiSbJVtkbaok</t>
  </si>
  <si>
    <t>DDnayUrNJPXpVhzJ1H7tFug92TbazEz9Lp</t>
  </si>
  <si>
    <t>cMahea7zqjxrtgAbB7LSGbcQUr1uyNq9TanHBHtrSzYcLnb5AMHH</t>
  </si>
  <si>
    <t>myideyDec3tdxw7FDH87fga6UnErphefuX</t>
  </si>
  <si>
    <t>tb1qc7nmy0mtmx9c4t6j004hynw6j3str0rwcegzgx</t>
  </si>
  <si>
    <t>bc1pl5gn49f4djgkmw3mpj2gpp2348ee4tgmfjh39mp6xxjagyw46rrsvemd8n</t>
  </si>
  <si>
    <t>fd113a95356c916dba3b0c94808551a9f39aad1b4caf12ec3a31a5d411d5d0c7</t>
  </si>
  <si>
    <t>T33ydQRKp4FCW5LCLLUB7deioUMpP1kMCkY4vg4tWr4mbw5gmqrs</t>
  </si>
  <si>
    <t>LdRdd8SVsghSSdKnfr937nRXq11S5YwMkc</t>
  </si>
  <si>
    <t>ltc1qc7nmy0mtmx9c4t6j004hynw6j3str0rwkrf4t9</t>
  </si>
  <si>
    <t>QNcdLVw8fHkixm6NNyN6nVwxKek5MUsGGoKirVqBgEVxXyXSLVzs</t>
  </si>
  <si>
    <t>DPLmuB5K6SMfippEEJ9JPXXNVvNTExyEPK</t>
  </si>
  <si>
    <t>cMahea7zqjxrtgAbB7LSGbcQUr2Ak6H3pHZQXJt71Dbxhkdp721w</t>
  </si>
  <si>
    <t>mrshAfQ9rRwNDLT1nB1Zs8So9ht8bYsBoM</t>
  </si>
  <si>
    <t>tb1q0j2hmdha6penhwpmcmtdw3m3zf3m559skk2lg0</t>
  </si>
  <si>
    <t>bc1pem95cl9ktylz4y43ea4lkdqdg5hhc8xht2l9e72lmc9d6z5nulfqk4dyap</t>
  </si>
  <si>
    <t>cecb4c7cb6593e2a92b1cf6bfb340d452f7c1cd75abe5cf95fde0add0a93e7d2</t>
  </si>
  <si>
    <t>T33ydQRKp4FCW5LCLLUB7deioUN59jCFZTKCGh495587xu4SkZsu</t>
  </si>
  <si>
    <t>LWah8pd184kAh2fZEk2VKEJEVvehsH17Nc</t>
  </si>
  <si>
    <t>ltc1q0j2hmdha6penhwpmcmtdw3m3zf3m559scvtgtv</t>
  </si>
  <si>
    <t>QNcdLVw8fHkixm6NNyN6nVwxKekL8CKAdW6rCWpSETZJtwTyHkR2</t>
  </si>
  <si>
    <t>DGVqQsFpLpQPyE9zoC2kayQ5Ar1j4dxnXb</t>
  </si>
  <si>
    <t>cMahea7zqjxrtgAbB7LSGbcQUrBkH1zbqksU6sDx7sLqDA4ZX8Yc</t>
  </si>
  <si>
    <t>mgpwqoqLv8Q1j361Af8t9V6bP6XjJ4GNYe</t>
  </si>
  <si>
    <t>tb1qpe0ncsrrjazzn95ztlfe24p4zn7sdus8896zaj</t>
  </si>
  <si>
    <t>bc1pdpz5sg67upqdzgdmhkz60vm59fydj6wcnxjgvztdknwthk2jyp6sddx8y7</t>
  </si>
  <si>
    <t>684548235ee040d121bbbd85a7b3742a48d969d899a486096db4dcbbd9522075</t>
  </si>
  <si>
    <t>T33ydQRKp4FCW5LCLLUB7deioUXegeuoavdFrFPzBirzUJSZcTro</t>
  </si>
  <si>
    <t>LLXwoy4CBmCpCjJYdE9obax2jKJJUKf9Qg</t>
  </si>
  <si>
    <t>ltc1qpe0ncsrrjazzn95ztlfe24p4zn7sdus8flm473</t>
  </si>
  <si>
    <t>QNcdLVw8fHkixm6NNyN6nVwxKeuuf82ieyQun5AHM7JBQLxqVyBv</t>
  </si>
  <si>
    <t>D6T661h1QWs3UvnzBgA4sL3sQEfKdjTzaG</t>
  </si>
  <si>
    <t>cMahea7zqjxrtgAbB7LSGbcQUvuuR2zHh2uaea25gBkUGURCzjR5</t>
  </si>
  <si>
    <t>n2rYaxPdQXNjL81SwJqYoafkLPXvLV9g7e</t>
  </si>
  <si>
    <t>tb1qag8jkatkh5ycjg0uaxl7hcmlvwp7vwdycqkzv9</t>
  </si>
  <si>
    <t>bc1pxkmt6h2dvytl8k6a86fqpn5v94r7vx0ypr0l3g2mt4dxgactv84sftehcl</t>
  </si>
  <si>
    <t>35b6bd5d4d6117f3db5d3e9200ce8c2d47e619e408dff8a15b5d5a64770b61eb</t>
  </si>
  <si>
    <t>T33ydQRKp4FCW5LCLLUB7deioZFopfuVSCfNPxC7k3GdXcw32F5j</t>
  </si>
  <si>
    <t>LgZYZ7cUgABXopDzPsrUFgXBgcJVZfMT2E</t>
  </si>
  <si>
    <t>ltc1qag8jkatkh5ycjg0uaxl7hcmlvwp7vwdyk6h40x</t>
  </si>
  <si>
    <t>QNcdLVw8fHkixm6NNyN6nVwxKje4o92QWFT2KmxQuRhpTfN6zdEP</t>
  </si>
  <si>
    <t>DSUgqAFHtuqm61iRxKrjXRd2MXfWn3LWow</t>
  </si>
  <si>
    <t>cMahea7zqjxrtgAbB7LSGbcQXK5zMipvUbKbrYVEPe2SqkEVZCZR</t>
  </si>
  <si>
    <t>mnNytCqro7QNMhxNrbafmBM46NohAJYkxM</t>
  </si>
  <si>
    <t>tb1qfdrwzzj5rthvd03l43cfcft0kldxjvywvxx42d</t>
  </si>
  <si>
    <t>bc1pccut3vmwvjvkvl5yvp4xsj2stz6txpp47vmm66r2pd9ndp0xh0vqshwm20</t>
  </si>
  <si>
    <t>c638b8b36e6499667e84606a68495058b4b30435f337bd686a0b4b3685e6bbd8</t>
  </si>
  <si>
    <t>T33ydQRKp4FCW5LCLLUB7deiqwRtmMk8Dm5PbvfGTVYc6teHkY1u</t>
  </si>
  <si>
    <t>LS5yrN4i4kDAqQAvKAbbDHCVSbaGRJfmSo</t>
  </si>
  <si>
    <t>ltc1qfdrwzzj5rthvd03l43cfcft0kldxjvywzu8zfw</t>
  </si>
  <si>
    <t>QNcdLVw8fHkixm6NNyN6nVwxN7p9jps3Hos3XkRZcsyo2w6i5P6z</t>
  </si>
  <si>
    <t>DC188QhXHVsQ7bfMscbrV2JL7WwHcFGQAs</t>
  </si>
  <si>
    <t>cMahea7zqjxrtgAbB7LSGbcSDsHQv9RLTGY5xVMJbWVohM8wUx2G</t>
  </si>
  <si>
    <t>n438GXG7NpiJHKcPoZmYicm4DzggKGUKtN</t>
  </si>
  <si>
    <t>tb1q7urey442qf7ugd7tk5ulj428yst8yh7gfg7gkq</t>
  </si>
  <si>
    <t>bc1psuyyf6xuc0eucfxadsellrcr5enlp9ajgwtyrhy768efm5n8mruqen6zp8</t>
  </si>
  <si>
    <t>870844e8dcc3f3cc24dd6c33ff8f03a667f097b2439641dc9ed1f29dd267d8f8</t>
  </si>
  <si>
    <t>T33ydQRKp4FCW5LCLLUB7dekYVdKKnLYCSHshsXLfN1xxVdnBy5q</t>
  </si>
  <si>
    <t>Lhk8EgUxeTX6m1pwG8nUAicVaDTFXk9Znw</t>
  </si>
  <si>
    <t>ltc1q7urey442qf7ugd7tk5ulj428yst8yh7g8jll4r</t>
  </si>
  <si>
    <t>QNcdLVw8fHkixm6NNyN6nVwz4g1aJFTTGV5XdhHdpkT9tY1Wmbr9</t>
  </si>
  <si>
    <t>DTfGWj7msDBL3DKNpanjSTiLF8pGiB3ULD</t>
  </si>
  <si>
    <t>cMahea7zqjxrtgAbB7LSGbdHYhVNADPjB8A3p62RJoqrKneJxbgu</t>
  </si>
  <si>
    <t>mvK3NdQowtZyd1qVpWccqmyDsmQDV47syR</t>
  </si>
  <si>
    <t>tb1q5fyj9pfq2x5sqt4lfjry54dvkadmfnm46ty2r3</t>
  </si>
  <si>
    <t>bc1pxpmd982dp6wdy5z0k83xn4d8z3lrvekkwe7n3udg4390uaaepd5s5wrwn7</t>
  </si>
  <si>
    <t>3076d29d4d0e9cd2504fb1e269d5a7147e3666d6767d38f1a8ac4afe77b90b69</t>
  </si>
  <si>
    <t>T33ydQRKp4FCW5LCLLUB7dfbsKqGZrJvvHuqZUCTNfN1aw9Rw6Bg</t>
  </si>
  <si>
    <t>La23LndfDXNn6i43H5dYHspfDzAnf7zTKV</t>
  </si>
  <si>
    <t>ltc1q5fyj9pfq2x5sqt4lfjry54dvkadmfnm4539aqj</t>
  </si>
  <si>
    <t>QNcdLVw8fHkixm6NNyN6nVxqPWDXYKRqzLhVVHxkY3oCWyYKx4xD</t>
  </si>
  <si>
    <t>DKwBcqGUSH31NuYUqXdoZcvVtuXosTUqB2</t>
  </si>
  <si>
    <t>cMahea7zqjxrtgAbB7LSGc89R4vtWctEb6Nex6cYr5R372abYoJH</t>
  </si>
  <si>
    <t>mkwDYrBgYrbEYCsLpw3ewFDhH1TCK4jzpW</t>
  </si>
  <si>
    <t>tb1q8dh43f662jlashgmcmz3rq8acuefjgexvmy4cl</t>
  </si>
  <si>
    <t>bc1pelzzjueckx2mlzst0ajh64my7wxdqqurcgnu78uye9s56nr46mzsgzrs92</t>
  </si>
  <si>
    <t>cfc4297338b195bf8a0b7f657d5764f38cd00383c227cf1f84c9614d4c75d6c5</t>
  </si>
  <si>
    <t>T33ydQRKp4FCW5LCLLUB7eATjhGnvFoSLG8ShUnauvwCNAyL8ov5</t>
  </si>
  <si>
    <t>LQeDX1QXpVQ31u5tHW4aPM58dEDmV3GgWh</t>
  </si>
  <si>
    <t>ltc1q8dh43f662jlashgmcmz3rq8acuefjgexzp9zmu</t>
  </si>
  <si>
    <t>QNcdLVw8fHkixm6NNyN6nWThFsf3tivMQJv6dJYt5KNPJDNcpPbU</t>
  </si>
  <si>
    <t>DAZMo43M3F4GJ6aKqx4qf6AyJ9anfkHKQ9</t>
  </si>
  <si>
    <t>pubkey_compressed_base64 (static)</t>
  </si>
  <si>
    <t>hash160_uncompressed_binary</t>
  </si>
  <si>
    <t>Anm+Zn753LusVaBilc6HCwcCm/zbLc4o2VnygVsW+BeY</t>
  </si>
  <si>
    <t>AvkwigGSWMMQSTRPhfidUim1MchFg2+ZsIYB8RO84Db5</t>
  </si>
  <si>
    <t>Aly98GRuXbTqo5jzZfLqeg49QZt+AzDjnOkr3e3KxPm8</t>
  </si>
  <si>
    <t>Ai8B5eFcyjUdr/OEP7cPPC8KG90F5a+Iimd4TvPhCioB</t>
  </si>
  <si>
    <t>AjUrv0pM3RJWT5P6MyzjMzAdmtQCcfgQcYE0Cu8lvlnV</t>
  </si>
  <si>
    <t>A/LayZHMTOS56kSIflx8C85YyAB0q51NuusoUxt3OfUw</t>
  </si>
  <si>
    <t>ApZRao9ld0J1J40NdCCojfCsRL1kx7rgfD/jl8WzMAsj</t>
  </si>
  <si>
    <t>Awi8icL5Ge0ViIXDVgCETUmJCQXHmzVzImCcRXBs5rUU</t>
  </si>
  <si>
    <t>AkNgHWHINjh0helRSrXIkk3Sz9RmrzSslQAnJ+FlnWD3</t>
  </si>
  <si>
    <t>A6ekwwKRrB2yS0qwDEQqqDL3eUtaCVm+xujX/ugCKJ3N</t>
  </si>
  <si>
    <t>A4sFsGA6vXWwxXSJ5FH4EeGv5UqHFQRc30iIMz8+vG6L</t>
  </si>
  <si>
    <t>A4sA/L/BogP0S/Ej/H9MkcEKhcjq6Rh/nSIkK0YAzngc</t>
  </si>
  <si>
    <t>A6raqrHbjV1FC1EXicN+fP6w64s+YaV6NBZsXtyaS4ad</t>
  </si>
  <si>
    <t>A7Tx3li4tBr+n9Tl/72vrquGxdtHacFdbmARrnNR5UdZ</t>
  </si>
  <si>
    <t>Av6lj/z0lWb26ek1DPW8ooYTEvQilm6NsWCUvrFNw98s</t>
  </si>
  <si>
    <t>Ap2MXTUjHXXrh/0sXwX2UoHtlXPcQYUyiMYu6U6yWQt6</t>
  </si>
  <si>
    <t>Az9oi66DIbjgK35sClXCUV+yWrl9hf2oQkSfe/oE4SjD</t>
  </si>
  <si>
    <t>AgzkoykbGdLhp79z7ofTCmvbxysgdx59//QNDbdVzUrx</t>
  </si>
  <si>
    <t>A4VmPIsvkGWeHMqyAWlPT47CSzdJz+UDDHw2RqcJQI4Z</t>
  </si>
  <si>
    <t>AzxKRcvWQ/+X139B6jfoQ2SNUP2JS4ZLDVL+vGL2RU98</t>
  </si>
  <si>
    <t>Axp0bHj3J1TgvgRhht+KIM3OXHmy7adgE8ZHrwjTBuSe</t>
  </si>
  <si>
    <t>Aj7Za1JNtf9P4AfOcwNmBSt8UR3FZiJ9kpBwuc6RertD</t>
  </si>
  <si>
    <t>A/gnEDYbi4G97bFplPMMgNtSJFCpPo6H7rB/eQPPKNBL</t>
  </si>
  <si>
    <t>A26oOdIoR+4dzjv8WxH2z3hbBoLbWMNbY9E0LrIhw0kM</t>
  </si>
  <si>
    <t>AwV/vqOiYjOCYo3eVWsqBpjjJCjTzSJfO9A03Kgt10Va</t>
  </si>
  <si>
    <t>Ak5PUKKj7M2zaJiK43zUthFpeyaylpbkLgbXE2i084QP</t>
  </si>
  <si>
    <t>AxqGS645IvNR8bV8/dgnwlt+CTy5yIpywc2JPZ+Q9E7O</t>
  </si>
  <si>
    <t>A+nmYYOKlqZTMWN+Kj6UjcB1blAJ58tcNmZNm3LdGMCn</t>
  </si>
  <si>
    <t>Amyq1jQ4LTRpHjvvQ+1KEk2JCaijNi+R8dIKuq9+kXs2</t>
  </si>
  <si>
    <t>Aw0oLPL/U20sQvEF0LhYiCGpFdw/mgW9mLsjr2ei6Spb</t>
  </si>
  <si>
    <t>A4fccNsYBs2amnZjdBLsEd2Zi+ZmWEhJsxhff5MTyP0o</t>
  </si>
  <si>
    <t>AgnFgkDlDjuj+DPIJlXoclwDeiKU4Uz11zpd+NVhWd5p</t>
  </si>
  <si>
    <t>A6NVql4uCd1Eu0akci6TNunj7k7k57egz1eFsoO/KrV5</t>
  </si>
  <si>
    <t>AzzdnW2Xy/58JvkC+vakNXgP5lLhWeyVNlDsexAECCeQ</t>
  </si>
  <si>
    <t>AvaoFIpiMg4UnLFcVE/oolq0g6AJXSKA0DuKAKf+raE9</t>
  </si>
  <si>
    <t>ArPnciFmlYRfqd2kGftdrKKBVNiqWeowLwXpFmNeR7n2</t>
  </si>
  <si>
    <t>An0sA8PvCuxw8sfh51RUpd/dDhrepnDBs6RkPEitDxJV</t>
  </si>
  <si>
    <t>A8Bg4eN3HL7Ms44RnCQUcC8/UYGollJTiFHS44hr3XDG</t>
  </si>
  <si>
    <t>Ai13zRRnAZpr8o9zddCUnOMOa1gVwnWLmKdMJwC8AGVD</t>
  </si>
  <si>
    <t>A6LvpAL9UmhADHfCDldLqGQJ7e3ufEAg5Lnw7b7lPeDU</t>
  </si>
  <si>
    <t>A7NX5oQ32ic9z5laR0pSRDn6rYb8nv/DABg/cUsJA0aL</t>
  </si>
  <si>
    <t>A+7Ig4W+nagDoNZXl5jZd6XQx/gJF9q0nLc8njknFCy2</t>
  </si>
  <si>
    <t>AqYx+boPKFEWFJBN+A1/l6T0PwIknIkJ2skidszwvNrt</t>
  </si>
  <si>
    <t>Al5GbpftDnkQ09kM6wMy30jd9n1Fa55zA7UKPYneNXM2</t>
  </si>
  <si>
    <t>Am7KvS0i/bc3viGXXOmmlOEI65TzZJxYbMdGHIq/Xaca</t>
  </si>
  <si>
    <t>A/1Uh3ItJXbLbXCBQmtmo+KYbBzoNY1HkGP7Xyu23VhJ</t>
  </si>
  <si>
    <t>AjoSvTyvCw93v07qjnpA2+J5Mr+AsZrHL19aZJJaWUGW</t>
  </si>
  <si>
    <t>ApG+5c9LFMKRxlBzL6oWYEDkwYoUcx+akwweh9PsEt67</t>
  </si>
  <si>
    <t>AlkdaCw9pKKmmGM79XUXOLZ8NDKF69w0kmRctEZYkRSE</t>
  </si>
  <si>
    <t>A/RvQQJ7v0T6/WsFkJG5ANrUHmhFsiQdwyVMfN08WhbG</t>
  </si>
  <si>
    <t>AoxsZ7756e6+alEycuUMIw8Pke1WDDe8mwMyQf9sO+eP</t>
  </si>
  <si>
    <t>A3TDO9VI7wJmfWE0GJITT88hZkC8IgGuYZKM0IdPYxSn</t>
  </si>
  <si>
    <t>Ag+q9fOv5YMAozWHTIBoHPZpM+KnrrKDh8DSi7BIvGNJ</t>
  </si>
  <si>
    <t>A0r0uB+MRQwshwzh3xhK/xKX5fzVSUTZjYHhpUX/siWW</t>
  </si>
  <si>
    <t>A4WjDYQTr0+PnmMSQA8tGU/hTwLnGbJMP4O/H9IzqPlj</t>
  </si>
  <si>
    <t>Az8tsgdOMhez5e4wUwHu67EWDE+h6ZPuKAES9jSGN5ma</t>
  </si>
  <si>
    <t>AqUhoH6Y94sD/B4Dm8OlFAjNcxGbXrEW5YP+V9yNsHrq</t>
  </si>
  <si>
    <t>AxFWlELocDJs7sDeJOtUeMGeFG7NnRXkZmRA8vY4h19C</t>
  </si>
  <si>
    <t>AkEmfS1+4ajnb40VRtDTCu+yiS0jHO4N3nd22vn4AhSF</t>
  </si>
  <si>
    <t>A0joQ9xbG9JG5jCbSSS4FUPQKxbICD35c6ic4sfriaEN</t>
  </si>
  <si>
    <t>AkmkOGDRFRQ8NcCUVIY9b4KpXkfBFi+5suvgGG6yb0U/</t>
  </si>
  <si>
    <t>AyMaZ+QkyvfQGgDVzUmwRklCJVuOSHZvlmAr36TqFP6o</t>
  </si>
  <si>
    <t>A2XsKZS4zAog1A3Wnt/lXKMqVLy7qmsN3P82BJMBpUV5</t>
  </si>
  <si>
    <t>AxAGEcVN/vYEFjuDWPe3+sE85HjgLLIkrhbUVSayXZ1N</t>
  </si>
  <si>
    <t>AjAhDCOxoEe8m9uxNEjmfe3cEIlG3m3mObzHXUfAIWsb</t>
  </si>
  <si>
    <t>Ak7ivi1On5LS9aSgMFhhfcRb7+IpOP7tW3prcoLddMvd</t>
  </si>
  <si>
    <t>AhIgn17FFKFYCik3vYM5edkzGZ/CMOIExs3FiHK31G91</t>
  </si>
  <si>
    <t>Ax/gLx10BjenEnzf6Kd6igz8ZDX4Xn7DKCy2JDwKk7ob</t>
  </si>
  <si>
    <t>AkurrczGz9Xw5ef9KlCqfWd84KoW/c4moNCILu0D57pT</t>
  </si>
  <si>
    <t>ApDmkApY0zOTvBCXta7THy5OfL0+VGavlYZlvAEhJISD</t>
  </si>
  <si>
    <t>A3JrV08ZPjdGhtjhK8bkFCresGdw4KKFb15K2J9mBEdV</t>
  </si>
  <si>
    <t>A34SOPexznV9+U+qmi6yYb8K65+E2/gSEhBOeJMcKhnc</t>
  </si>
  <si>
    <t>AynEV0pP2MgQt+QqSzmIgrOBvNheQMaINxKRLRZ8g+c6</t>
  </si>
  <si>
    <t>A1w4vZrksQ6KJQhXAG88/ZirFaYZbZ9N/SW8fsx314jV</t>
  </si>
  <si>
    <t>ApZ6WQXW87QglZoCeJ+Wq0wyI6LE0nYvgXt4lcW8iKBF</t>
  </si>
  <si>
    <t>A9IGPUBALwMNTMcTMUaIJ6pBqKCb1v2AG6d/tk+OZ+YX</t>
  </si>
  <si>
    <t>A7z3zoh//KXmLJyrvbf/px3Bg8UsBP9O5e6C4MVcOdd7</t>
  </si>
  <si>
    <t>AwmXa6VXCWa/iJGWt/31oPmh6as0BVbsKfi7YFmWFhZ9</t>
  </si>
  <si>
    <t>AkjTE7A5jUkjzcpzuM+mUyuRuWcDkC/Isy/UOKO3zX9V</t>
  </si>
  <si>
    <t>As62y7zb3173FQaCFQ9M4sb0gHs0mCfc290fLvqIWiYw</t>
  </si>
  <si>
    <t>AjNwnrEeDUQ5pynyHCxEPe23J1KCKXE/AGVyG6j6RvAO</t>
  </si>
  <si>
    <t>A2M8vj7AK5QBxe/6FExbTSL4eUAlljSFj8flmxwJk3hS</t>
  </si>
  <si>
    <t>AhRdJhHII6OW72cSzg9xLwm5tPMTXj4KoyMPubbQjR4W</t>
  </si>
  <si>
    <t>Ax9qMy08XE8t4jeMAS9CnNEJugfWlpDGxwG2u4eGDWZA</t>
  </si>
  <si>
    <t>A6/dpJc2niGaLBw2mVSpMOTTdAlo5eQ1JHW8/84xQNrl</t>
  </si>
  <si>
    <t>AxN4B3kOp9xul5AcK8h0EfRe10pWKTFcTksDoKECJQxJ</t>
  </si>
  <si>
    <t>A1zRhUyuRTkcpOxCjMfmx9mYRCS5VCCajuoZe542TAX2</t>
  </si>
  <si>
    <t>AuCosDkoL69v4P12nPvEtrTPh1i6aCIOrEIOMrkd36Zz</t>
  </si>
  <si>
    <t>Bit heatmap — 1 = bit set, 0 = clear, blank = outside key length or key unknown. Left block: aligned from LSB (bit 0 = rightmost). Right block: aligned from MSB (bit 1 = top bit, always 1). Rows = puzzles with known key. Row 3 = count of 1s per position; row 4 = count of keys having that position; row 5 = z-score of ones vs 50%.</t>
  </si>
  <si>
    <t>b0</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</si>
  <si>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</si>
  <si>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</si>
  <si>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</si>
  <si>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</si>
  <si>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</si>
  <si>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</si>
  <si>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</si>
  <si>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</si>
  <si>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</si>
  <si>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</si>
  <si>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</si>
  <si>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</si>
  <si>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</si>
  <si>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</si>
  <si>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</si>
  <si>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</si>
  <si>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</si>
  <si>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</si>
  <si>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</si>
  <si>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</si>
  <si>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</si>
  <si>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</si>
  <si>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</si>
  <si>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</si>
  <si>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</si>
  <si>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</si>
  <si>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</si>
  <si>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</si>
  <si>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</si>
  <si>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</si>
  <si>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</si>
  <si>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</si>
  <si>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</si>
  <si>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</si>
  <si>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</si>
  <si>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</si>
  <si>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</si>
  <si>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</si>
  <si>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</si>
  <si>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</si>
  <si>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</si>
  <si>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</si>
  <si>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</si>
  <si>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</si>
  <si>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</si>
  <si>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</si>
  <si>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</si>
  <si>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</si>
  <si>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</si>
  <si>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</si>
  <si>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</si>
  <si>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</si>
  <si>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</si>
  <si>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</si>
  <si>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</si>
  <si>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</si>
  <si>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</si>
  <si>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</si>
  <si>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</si>
  <si>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</si>
  <si>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</si>
  <si>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</si>
  <si>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</si>
  <si>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</si>
  <si>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</si>
  <si>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</si>
  <si>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</si>
  <si>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</si>
  <si>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</si>
  <si>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</si>
  <si>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</si>
  <si>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</si>
  <si>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</si>
  <si>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</si>
  <si>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</si>
  <si>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</si>
  <si>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</si>
  <si>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</si>
  <si>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</si>
  <si>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</si>
  <si>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</si>
  <si>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</si>
  <si>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</si>
  <si>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</si>
  <si>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</si>
  <si>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</si>
  <si>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</si>
  <si>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</si>
  <si>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</si>
  <si>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</si>
  <si>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</si>
  <si>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</si>
  <si>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</si>
  <si>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</si>
  <si>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</si>
  <si>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</si>
  <si>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</si>
  <si>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</si>
  <si>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</si>
  <si>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</si>
  <si>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</si>
  <si>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</si>
  <si>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</si>
  <si>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</si>
  <si>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</si>
  <si>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</si>
  <si>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</si>
  <si>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</si>
  <si>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</si>
  <si>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</si>
  <si>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</si>
  <si>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</si>
  <si>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</si>
  <si>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</si>
  <si>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</si>
  <si>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</si>
  <si>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</si>
  <si>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</si>
  <si>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</si>
  <si>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</si>
  <si>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</si>
  <si>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</si>
  <si>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</si>
  <si>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</si>
  <si>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</si>
  <si>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</si>
  <si>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</si>
  <si>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</si>
  <si>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</si>
  <si>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</si>
  <si>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</si>
  <si>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</si>
  <si>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</si>
  <si>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</si>
  <si>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</si>
  <si>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</si>
  <si>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</si>
  <si>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</si>
  <si>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</si>
  <si>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</si>
  <si>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</si>
  <si>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</si>
  <si>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</si>
  <si>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</si>
  <si>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</si>
  <si>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</si>
  <si>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</si>
  <si>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</si>
  <si>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</si>
  <si>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</si>
  <si>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</si>
  <si>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</si>
  <si>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</si>
  <si>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</si>
  <si>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</si>
  <si>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</si>
  <si>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</si>
  <si>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</si>
  <si>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</si>
  <si>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</si>
  <si>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</si>
  <si>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</si>
  <si>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</si>
  <si>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</si>
  <si>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</si>
  <si>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</si>
  <si>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</si>
  <si>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</si>
  <si>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</si>
  <si>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</si>
  <si>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</si>
  <si>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</si>
  <si>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</si>
  <si>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</si>
  <si>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</si>
  <si>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</si>
  <si>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</si>
  <si>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</si>
  <si>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</si>
  <si>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</si>
  <si>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</si>
  <si>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</si>
  <si>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</si>
  <si>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</si>
  <si>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</si>
  <si>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</si>
  <si>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</si>
  <si>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</si>
  <si>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</si>
  <si>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</si>
  <si>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</si>
  <si>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</si>
  <si>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</si>
  <si>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</si>
  <si>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</si>
  <si>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</si>
  <si>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</si>
  <si>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</si>
  <si>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</si>
  <si>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</si>
  <si>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</si>
  <si>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</si>
  <si>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</si>
  <si>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</si>
  <si>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</si>
  <si>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</si>
  <si>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</si>
  <si>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</si>
  <si>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</si>
  <si>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</si>
  <si>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</si>
  <si>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</si>
  <si>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</si>
  <si>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</si>
  <si>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</si>
  <si>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</si>
  <si>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</si>
  <si>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</si>
  <si>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</si>
  <si>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</si>
  <si>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</si>
  <si>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</si>
  <si>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</si>
  <si>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</si>
  <si>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</si>
  <si>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</si>
  <si>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</si>
  <si>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</si>
  <si>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</si>
  <si>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</si>
  <si>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</si>
  <si>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</si>
  <si>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</si>
  <si>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</si>
  <si>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</si>
  <si>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</si>
  <si>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</si>
  <si>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</si>
  <si>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</si>
  <si>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</si>
  <si>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</si>
  <si>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</si>
  <si>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</si>
  <si>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</si>
  <si>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</si>
  <si>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</si>
  <si>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</si>
  <si>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</si>
  <si>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</si>
  <si>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</si>
  <si>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</si>
  <si>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</si>
  <si>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</si>
  <si>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</si>
  <si>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</si>
  <si>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</si>
  <si>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</si>
  <si>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</si>
  <si>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</si>
  <si>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</si>
  <si>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</si>
  <si>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</si>
  <si>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</si>
  <si>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</si>
  <si>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</si>
  <si>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</si>
  <si>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</si>
  <si>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</si>
  <si>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</si>
  <si>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LSB-aligned (bit index from right)</t>
  </si>
  <si>
    <t>MSB-aligned (position from left)</t>
  </si>
  <si>
    <t>ones</t>
  </si>
  <si>
    <t>count</t>
  </si>
  <si>
    <t>z (vs 50%)</t>
  </si>
  <si>
    <t>Statistic</t>
  </si>
  <si>
    <t>Value</t>
  </si>
  <si>
    <t>Expected if random</t>
  </si>
  <si>
    <t>Note</t>
  </si>
  <si>
    <t>Known keys</t>
  </si>
  <si>
    <t>Keys used for stats (bits ≥ 10)</t>
  </si>
  <si>
    <t>Small ranges excluded; too few free bits</t>
  </si>
  <si>
    <t>Mean relative position</t>
  </si>
  <si>
    <t>Position in range, 0 = bottom, 1 = top</t>
  </si>
  <si>
    <t>SD of relative position</t>
  </si>
  <si>
    <t>Uniform(0,1) SD = 0.2887</t>
  </si>
  <si>
    <t>z of mean relative position</t>
  </si>
  <si>
    <t>|z| &gt; 2 would be notable</t>
  </si>
  <si>
    <t>Free bits set (puzzles ≥ 10)</t>
  </si>
  <si>
    <t>Excludes forced top bit</t>
  </si>
  <si>
    <t>Free bits total</t>
  </si>
  <si>
    <t>Bit balance z</t>
  </si>
  <si>
    <t>Autocorrelation of relative position (puzzles 2–70)</t>
  </si>
  <si>
    <t>Consecutive-key dependence</t>
  </si>
  <si>
    <t>Mean (Hamming vs prev − n/2), puzzles 10–70</t>
  </si>
  <si>
    <t>Independent keys differ in ~half their bits</t>
  </si>
  <si>
    <t>Mean z, Hamming vs hash160 (low n)</t>
  </si>
  <si>
    <t>SD z, Hamming vs hash160 (low n)</t>
  </si>
  <si>
    <t>Mean z, Hamming vs pubkey x (low n)</t>
  </si>
  <si>
    <t>Mean runs-test z</t>
  </si>
  <si>
    <t>Per-key run structure</t>
  </si>
  <si>
    <t>SD runs-test z</t>
  </si>
  <si>
    <t>Mean serial correlation of adjacent bits</t>
  </si>
  <si>
    <t>Keys with hex chi-square p &lt; 0.05</t>
  </si>
  <si>
    <t>Digit-frequency outliers</t>
  </si>
  <si>
    <t>Keys with |runs z| &gt; 2</t>
  </si>
  <si>
    <t>Max |z| over LSB bit positions (heatmap)</t>
  </si>
  <si>
    <t>~3 for 135 positions</t>
  </si>
  <si>
    <t>Max |z| over MSB positions 2+ (heatmap)</t>
  </si>
  <si>
    <t>~3 for 134 positions</t>
  </si>
  <si>
    <t>Prime keys</t>
  </si>
  <si>
    <t>Small keys only, expected a few</t>
  </si>
  <si>
    <t>Decile histogram of relative position (bits ≥ 10)</t>
  </si>
  <si>
    <t>Decile</t>
  </si>
  <si>
    <t>Count</t>
  </si>
  <si>
    <t>Expected</t>
  </si>
  <si>
    <t>(O−E)²/E</t>
  </si>
  <si>
    <t>0.0–0.1</t>
  </si>
  <si>
    <t>0.1–0.2</t>
  </si>
  <si>
    <t>0.2–0.3</t>
  </si>
  <si>
    <t>0.3–0.4</t>
  </si>
  <si>
    <t>0.4–0.5</t>
  </si>
  <si>
    <t>0.5–0.6</t>
  </si>
  <si>
    <t>0.6–0.7</t>
  </si>
  <si>
    <t>0.7–0.8</t>
  </si>
  <si>
    <t>0.8–0.9</t>
  </si>
  <si>
    <t>0.9–1.0</t>
  </si>
  <si>
    <t>Chi-square (9 df)</t>
  </si>
  <si>
    <t>p-value</t>
  </si>
  <si>
    <t>p &lt; 0.05 would suggest non-uniform</t>
  </si>
  <si>
    <t>expected n/2</t>
  </si>
  <si>
    <t>Largest position bias, LSB-aligned (b0–b134)</t>
  </si>
  <si>
    <t>MSB positions m2–m135 (m1 excluded: always 1)</t>
  </si>
  <si>
    <t>Notes</t>
  </si>
  <si>
    <t>Largest LSB-aligned bias</t>
  </si>
  <si>
    <t>b91: 0 of 9 keys set (z = −3.0). With 135 positions tested, one |z| ≈ 3 is expected by chance.</t>
  </si>
  <si>
    <t>Largest MSB-aligned bias</t>
  </si>
  <si>
    <t>m10: 23 of 74 keys set (z = -3.25). Same caveat.</t>
  </si>
  <si>
    <t>m10 = 10th bit from the top; 23 of 74 keys with ≥10 bits have it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</si>
</sst>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000"/>
    <numFmt numFmtId="167" formatCode="0.0000E+00"/>
    <numFmt numFmtId="168" formatCode="\+0.00;\-0.00;0.00"/>
    <numFmt numFmtId="169" formatCode="yyyy\-mm\-dd\ hh:mm:ss"/>
    <numFmt numFmtId="170" formatCode="\+0.0;\-0.0;0.0"/>
    <numFmt numFmtId="171" formatCode="\+0.0000;\-0.0000;0.0000"/>
    <numFmt numFmtId="172" formatCode="\+0.000;\-0.000;0.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sz val="11"/>
      <color theme="1"/>
      <name val="Consolas"/>
      <family val="3"/>
    </font>
    <font>
      <i/>
      <sz val="11"/>
      <color theme="1"/>
      <name val="Aptos Narrow"/>
      <family val="2"/>
      <scheme val="minor"/>
    </font>
    <font>
      <b/>
      <sz val="7"/>
      <color theme="1"/>
      <name val="Aptos Narrow"/>
      <family val="2"/>
      <scheme val="minor"/>
    </font>
    <font>
      <sz val="7"/>
      <color theme="1"/>
      <name val="Aptos Narrow"/>
      <family val="2"/>
      <scheme val="minor"/>
    </font>
    <font>
      <sz val="8"/>
      <color theme="1"/>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1F2"/>
        <bgColor indexed="64"/>
      </patternFill>
    </fill>
    <fill>
      <patternFill patternType="solid">
        <fgColor rgb="FFFFF2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64" fontId="0" fillId="0" borderId="0" xfId="0" applyNumberFormat="1" applyAlignment="1">
      <alignment horizontal="right"/>
    </xf>
    <xf numFmtId="49" fontId="0" fillId="0" borderId="0" xfId="0" applyNumberFormat="1" applyAlignment="1">
      <alignment horizontal="right"/>
    </xf>
    <xf numFmtId="0" fontId="16" fillId="0" borderId="0" xfId="0" applyFont="1"/>
    <xf numFmtId="0" fontId="16" fillId="33" borderId="0" xfId="0" applyFont="1" applyFill="1"/>
    <xf numFmtId="0" fontId="0" fillId="0" borderId="0" xfId="0" applyFont="1" applyAlignment="1">
      <alignment horizontal="center"/>
    </xf>
    <xf numFmtId="0" fontId="0" fillId="0" borderId="0" xfId="0" applyFont="1" applyAlignment="1">
      <alignment horizontal="left"/>
    </xf>
    <xf numFmtId="49" fontId="0" fillId="0" borderId="0" xfId="0" applyNumberFormat="1" applyFont="1" applyAlignment="1">
      <alignment horizontal="left"/>
    </xf>
    <xf numFmtId="2" fontId="0" fillId="0" borderId="0" xfId="0" applyNumberFormat="1" applyFont="1" applyAlignment="1">
      <alignment horizontal="center"/>
    </xf>
    <xf numFmtId="1" fontId="0" fillId="0" borderId="0" xfId="0" applyNumberFormat="1" applyFont="1" applyAlignment="1">
      <alignment horizontal="center"/>
    </xf>
    <xf numFmtId="166" fontId="0" fillId="0" borderId="0" xfId="0" applyNumberFormat="1" applyFont="1" applyAlignment="1">
      <alignment horizontal="right"/>
    </xf>
    <xf numFmtId="164" fontId="0" fillId="0" borderId="0" xfId="0" applyNumberFormat="1" applyFont="1" applyAlignment="1">
      <alignment horizontal="right"/>
    </xf>
    <xf numFmtId="168" fontId="0" fillId="0" borderId="0" xfId="0" applyNumberFormat="1" applyFont="1" applyAlignment="1">
      <alignment horizontal="center"/>
    </xf>
    <xf numFmtId="168" fontId="0" fillId="0" borderId="0" xfId="0" applyNumberFormat="1" applyFont="1" applyAlignment="1">
      <alignment horizontal="right"/>
    </xf>
    <xf numFmtId="167" fontId="0" fillId="0" borderId="0" xfId="0" applyNumberFormat="1" applyFont="1" applyAlignment="1">
      <alignment horizontal="right"/>
    </xf>
    <xf numFmtId="0" fontId="20" fillId="0" borderId="0" xfId="0" applyFont="1" applyAlignment="1">
      <alignment horizontal="left"/>
    </xf>
    <xf numFmtId="49" fontId="20" fillId="0" borderId="0" xfId="0" applyNumberFormat="1" applyFont="1" applyAlignment="1">
      <alignment horizontal="left"/>
    </xf>
    <xf numFmtId="169" fontId="0" fillId="0" borderId="0" xfId="0" applyNumberFormat="1" applyFont="1" applyAlignment="1">
      <alignment horizontal="left"/>
    </xf>
    <xf numFmtId="0" fontId="16" fillId="33" borderId="0" xfId="0" applyFont="1" applyFill="1" applyAlignment="1">
      <alignment horizontal="center" vertical="center"/>
    </xf>
    <xf numFmtId="0" fontId="16" fillId="33" borderId="0" xfId="0" applyFont="1" applyFill="1" applyAlignment="1">
      <alignment horizontal="center" vertical="center" wrapText="1"/>
    </xf>
    <xf numFmtId="0" fontId="16" fillId="34" borderId="0" xfId="0" applyFont="1" applyFill="1" applyAlignment="1">
      <alignment horizontal="center" vertical="center" wrapText="1"/>
    </xf>
    <xf numFmtId="1" fontId="0" fillId="0" borderId="0" xfId="0" applyNumberFormat="1"/>
    <xf numFmtId="1" fontId="0" fillId="0" borderId="0" xfId="0" applyNumberFormat="1" applyAlignment="1">
      <alignment horizontal="center"/>
    </xf>
    <xf numFmtId="164" fontId="0" fillId="0" borderId="0" xfId="0" applyNumberFormat="1"/>
    <xf numFmtId="49" fontId="0" fillId="0" borderId="0" xfId="0" applyNumberFormat="1" applyAlignment="1">
      <alignment horizontal="left"/>
    </xf>
    <xf numFmtId="49" fontId="16" fillId="33" borderId="0" xfId="0" applyNumberFormat="1" applyFont="1" applyFill="1" applyAlignment="1">
      <alignment horizontal="center" vertical="center"/>
    </xf>
    <xf numFmtId="0" fontId="21" fillId="0" borderId="0" xfId="0" applyFont="1"/>
    <xf numFmtId="0" fontId="22" fillId="33" borderId="0" xfId="0" applyFont="1" applyFill="1"/>
    <xf numFmtId="0" fontId="22" fillId="0" borderId="0" xfId="0" applyFont="1" applyAlignment="1">
      <alignment horizontal="center"/>
    </xf>
    <xf numFmtId="0" fontId="23" fillId="0" borderId="0" xfId="0" applyFont="1" applyAlignment="1">
      <alignment horizontal="center"/>
    </xf>
    <xf numFmtId="0" fontId="24" fillId="0" borderId="0" xfId="0" applyFont="1"/>
    <xf numFmtId="170" fontId="22" fillId="0" borderId="0" xfId="0" applyNumberFormat="1" applyFont="1" applyAlignment="1">
      <alignment horizontal="center"/>
    </xf>
    <xf numFmtId="165" fontId="0" fillId="0" borderId="0" xfId="0" applyNumberFormat="1"/>
    <xf numFmtId="2" fontId="0" fillId="0" borderId="0" xfId="0" applyNumberFormat="1"/>
    <xf numFmtId="166" fontId="0" fillId="0" borderId="0" xfId="0" applyNumberFormat="1"/>
    <xf numFmtId="0" fontId="16" fillId="33" borderId="0" xfId="0" applyFont="1" applyFill="1" applyAlignment="1">
      <alignment horizontal="center" wrapText="1"/>
    </xf>
    <xf numFmtId="0" fontId="16" fillId="34" borderId="0" xfId="0" applyFont="1" applyFill="1" applyAlignment="1">
      <alignment horizontal="center" wrapText="1"/>
    </xf>
    <xf numFmtId="164" fontId="0" fillId="0" borderId="0" xfId="0" applyNumberFormat="1" applyFont="1" applyAlignment="1">
      <alignment horizontal="center"/>
    </xf>
    <xf numFmtId="171" fontId="0" fillId="0" borderId="0" xfId="0" applyNumberFormat="1" applyFont="1" applyAlignment="1">
      <alignment horizontal="center"/>
    </xf>
    <xf numFmtId="49" fontId="0" fillId="0" borderId="0" xfId="0" applyNumberFormat="1" applyFont="1" applyAlignment="1">
      <alignment horizontal="center"/>
    </xf>
    <xf numFmtId="17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BFBFBF"/>
      </font>
      <fill>
        <patternFill patternType="solid">
          <fgColor indexed="64"/>
          <bgColor rgb="FFF2F2F2"/>
        </patternFill>
      </fill>
    </dxf>
    <dxf>
      <font>
        <color rgb="FFFFFFFF"/>
      </font>
      <fill>
        <patternFill patternType="solid">
          <fgColor indexed="64"/>
          <bgColor rgb="FF1F4E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 position in range by puzzle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relative position</c:v>
          </c:tx>
          <c:spPr>
            <a:ln w="25400" cap="rnd">
              <a:noFill/>
              <a:round/>
            </a:ln>
            <a:effectLst/>
          </c:spPr>
          <c:marker>
            <c:symbol val="circle"/>
            <c:size val="5"/>
            <c:spPr>
              <a:solidFill>
                <a:schemeClr val="accent1"/>
              </a:solidFill>
              <a:ln w="9525">
                <a:solidFill>
                  <a:schemeClr val="accent1"/>
                </a:solidFill>
              </a:ln>
              <a:effectLst/>
            </c:spPr>
          </c:marker>
          <c:xVal>
            <c:numRef>
              <c:f>Summary!$F$2:$F$161</c:f>
              <c:numCache>
                <c:formatCode>0</c:formatCode>
                <c:ptCount val="1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numCache>
            </c:numRef>
          </c:xVal>
          <c:yVal>
            <c:numRef>
              <c:f>Summary!$I$2:$I$161</c:f>
              <c:numCache>
                <c:formatCode>0.0000</c:formatCode>
                <c:ptCount val="160"/>
                <c:pt idx="0">
                  <c:v>0</c:v>
                </c:pt>
                <c:pt idx="1">
                  <c:v>0.5</c:v>
                </c:pt>
                <c:pt idx="2">
                  <c:v>0.75</c:v>
                </c:pt>
                <c:pt idx="3">
                  <c:v>0</c:v>
                </c:pt>
                <c:pt idx="4">
                  <c:v>0.3125</c:v>
                </c:pt>
                <c:pt idx="5">
                  <c:v>0.53125</c:v>
                </c:pt>
                <c:pt idx="6">
                  <c:v>0.1875</c:v>
                </c:pt>
                <c:pt idx="7">
                  <c:v>0.75</c:v>
                </c:pt>
                <c:pt idx="8">
                  <c:v>0.82421875</c:v>
                </c:pt>
                <c:pt idx="9">
                  <c:v>3.90625E-3</c:v>
                </c:pt>
                <c:pt idx="10">
                  <c:v>0.1279296875</c:v>
                </c:pt>
                <c:pt idx="11">
                  <c:v>0.31005859375</c:v>
                </c:pt>
                <c:pt idx="12">
                  <c:v>0.2734375</c:v>
                </c:pt>
                <c:pt idx="13">
                  <c:v>0.287109375</c:v>
                </c:pt>
                <c:pt idx="14">
                  <c:v>0.63983154296875</c:v>
                </c:pt>
                <c:pt idx="15">
                  <c:v>0.57196044921875</c:v>
                </c:pt>
                <c:pt idx="16">
                  <c:v>0.4621429443359375</c:v>
                </c:pt>
                <c:pt idx="17">
                  <c:v>0.51572418212890625</c:v>
                </c:pt>
                <c:pt idx="18">
                  <c:v>0.36388778686523438</c:v>
                </c:pt>
                <c:pt idx="19">
                  <c:v>0.64664649963378906</c:v>
                </c:pt>
                <c:pt idx="20">
                  <c:v>0.72783279418945313</c:v>
                </c:pt>
                <c:pt idx="21">
                  <c:v>0.43408918380737305</c:v>
                </c:pt>
                <c:pt idx="22">
                  <c:v>0.33485841751098633</c:v>
                </c:pt>
                <c:pt idx="23">
                  <c:v>0.7200322151184082</c:v>
                </c:pt>
                <c:pt idx="24">
                  <c:v>0.97801047563552856</c:v>
                </c:pt>
                <c:pt idx="25">
                  <c:v>0.62538474798202515</c:v>
                </c:pt>
                <c:pt idx="26">
                  <c:v>0.66818411648273468</c:v>
                </c:pt>
                <c:pt idx="27">
                  <c:v>0.69600850343704224</c:v>
                </c:pt>
                <c:pt idx="28">
                  <c:v>0.49275695532560349</c:v>
                </c:pt>
                <c:pt idx="29">
                  <c:v>0.92441434413194656</c:v>
                </c:pt>
                <c:pt idx="30">
                  <c:v>0.95800191815942526</c:v>
                </c:pt>
                <c:pt idx="31">
                  <c:v>0.44051053281873465</c:v>
                </c:pt>
                <c:pt idx="32">
                  <c:v>0.66181426309049129</c:v>
                </c:pt>
                <c:pt idx="33">
                  <c:v>0.6453061435604468</c:v>
                </c:pt>
                <c:pt idx="34">
                  <c:v>0.17072322126477957</c:v>
                </c:pt>
                <c:pt idx="35">
                  <c:v>0.23364647093694657</c:v>
                </c:pt>
                <c:pt idx="36">
                  <c:v>0.45885221128992271</c:v>
                </c:pt>
                <c:pt idx="37">
                  <c:v>6.9358670734800398E-2</c:v>
                </c:pt>
                <c:pt idx="38">
                  <c:v>0.17770457631922909</c:v>
                </c:pt>
                <c:pt idx="39">
                  <c:v>0.82563128500987659</c:v>
                </c:pt>
                <c:pt idx="40">
                  <c:v>0.32627265442988573</c:v>
                </c:pt>
                <c:pt idx="41">
                  <c:v>0.31666390755663087</c:v>
                </c:pt>
                <c:pt idx="42">
                  <c:v>0.68479597228383682</c:v>
                </c:pt>
                <c:pt idx="43">
                  <c:v>0.75131865001628739</c:v>
                </c:pt>
                <c:pt idx="44">
                  <c:v>0.13666732696611916</c:v>
                </c:pt>
                <c:pt idx="45">
                  <c:v>0.46112229085167655</c:v>
                </c:pt>
                <c:pt idx="46">
                  <c:v>0.70056550692507358</c:v>
                </c:pt>
                <c:pt idx="47">
                  <c:v>0.35860726900065032</c:v>
                </c:pt>
                <c:pt idx="48">
                  <c:v>0.45348233016493467</c:v>
                </c:pt>
                <c:pt idx="49">
                  <c:v>8.560360020207014E-2</c:v>
                </c:pt>
                <c:pt idx="50">
                  <c:v>0.82855465449616261</c:v>
                </c:pt>
                <c:pt idx="51">
                  <c:v>0.87250021692650837</c:v>
                </c:pt>
                <c:pt idx="52">
                  <c:v>0.50183953528462499</c:v>
                </c:pt>
                <c:pt idx="53">
                  <c:v>0.10738698705333893</c:v>
                </c:pt>
                <c:pt idx="54">
                  <c:v>0.66785421539635736</c:v>
                </c:pt>
                <c:pt idx="55">
                  <c:v>0.22731664533239271</c:v>
                </c:pt>
                <c:pt idx="56">
                  <c:v>0.91854530749500141</c:v>
                </c:pt>
                <c:pt idx="57">
                  <c:v>0.38761688234471914</c:v>
                </c:pt>
                <c:pt idx="58">
                  <c:v>0.821703844225953</c:v>
                </c:pt>
                <c:pt idx="59">
                  <c:v>0.96898287643017167</c:v>
                </c:pt>
                <c:pt idx="60">
                  <c:v>0.23667356096793157</c:v>
                </c:pt>
                <c:pt idx="61">
                  <c:v>0.69498640058786654</c:v>
                </c:pt>
                <c:pt idx="62">
                  <c:v>0.95009588978722626</c:v>
                </c:pt>
                <c:pt idx="63">
                  <c:v>0.92984380186056415</c:v>
                </c:pt>
                <c:pt idx="64">
                  <c:v>0.65711505455482788</c:v>
                </c:pt>
                <c:pt idx="65">
                  <c:v>0.25621674386428273</c:v>
                </c:pt>
                <c:pt idx="66">
                  <c:v>0.79783683061242705</c:v>
                </c:pt>
                <c:pt idx="67">
                  <c:v>0.49008861221420635</c:v>
                </c:pt>
                <c:pt idx="68">
                  <c:v>7.2051561393627539E-3</c:v>
                </c:pt>
                <c:pt idx="69">
                  <c:v>0.64398418043204009</c:v>
                </c:pt>
                <c:pt idx="70">
                  <c:v>#N/A</c:v>
                </c:pt>
                <c:pt idx="71">
                  <c:v>#N/A</c:v>
                </c:pt>
                <c:pt idx="72">
                  <c:v>#N/A</c:v>
                </c:pt>
                <c:pt idx="73">
                  <c:v>#N/A</c:v>
                </c:pt>
                <c:pt idx="74">
                  <c:v>0.19316889756160641</c:v>
                </c:pt>
                <c:pt idx="75">
                  <c:v>#N/A</c:v>
                </c:pt>
                <c:pt idx="76">
                  <c:v>#N/A</c:v>
                </c:pt>
                <c:pt idx="77">
                  <c:v>#N/A</c:v>
                </c:pt>
                <c:pt idx="78">
                  <c:v>#N/A</c:v>
                </c:pt>
                <c:pt idx="79">
                  <c:v>0.82892947218488822</c:v>
                </c:pt>
                <c:pt idx="80">
                  <c:v>#N/A</c:v>
                </c:pt>
                <c:pt idx="81">
                  <c:v>#N/A</c:v>
                </c:pt>
                <c:pt idx="82">
                  <c:v>#N/A</c:v>
                </c:pt>
                <c:pt idx="83">
                  <c:v>#N/A</c:v>
                </c:pt>
                <c:pt idx="84">
                  <c:v>9.0343769662314957E-2</c:v>
                </c:pt>
                <c:pt idx="85">
                  <c:v>#N/A</c:v>
                </c:pt>
                <c:pt idx="86">
                  <c:v>#N/A</c:v>
                </c:pt>
                <c:pt idx="87">
                  <c:v>#N/A</c:v>
                </c:pt>
                <c:pt idx="88">
                  <c:v>#N/A</c:v>
                </c:pt>
                <c:pt idx="89">
                  <c:v>0.40234932690083985</c:v>
                </c:pt>
                <c:pt idx="90">
                  <c:v>#N/A</c:v>
                </c:pt>
                <c:pt idx="91">
                  <c:v>#N/A</c:v>
                </c:pt>
                <c:pt idx="92">
                  <c:v>#N/A</c:v>
                </c:pt>
                <c:pt idx="93">
                  <c:v>#N/A</c:v>
                </c:pt>
                <c:pt idx="94">
                  <c:v>0.28872517784561275</c:v>
                </c:pt>
                <c:pt idx="95">
                  <c:v>#N/A</c:v>
                </c:pt>
                <c:pt idx="96">
                  <c:v>#N/A</c:v>
                </c:pt>
                <c:pt idx="97">
                  <c:v>#N/A</c:v>
                </c:pt>
                <c:pt idx="98">
                  <c:v>#N/A</c:v>
                </c:pt>
                <c:pt idx="99">
                  <c:v>0.36981157668053022</c:v>
                </c:pt>
                <c:pt idx="100">
                  <c:v>#N/A</c:v>
                </c:pt>
                <c:pt idx="101">
                  <c:v>#N/A</c:v>
                </c:pt>
                <c:pt idx="102">
                  <c:v>#N/A</c:v>
                </c:pt>
                <c:pt idx="103">
                  <c:v>#N/A</c:v>
                </c:pt>
                <c:pt idx="104">
                  <c:v>0.43391395367944147</c:v>
                </c:pt>
                <c:pt idx="105">
                  <c:v>#N/A</c:v>
                </c:pt>
                <c:pt idx="106">
                  <c:v>#N/A</c:v>
                </c:pt>
                <c:pt idx="107">
                  <c:v>#N/A</c:v>
                </c:pt>
                <c:pt idx="108">
                  <c:v>#N/A</c:v>
                </c:pt>
                <c:pt idx="109">
                  <c:v>0.67979008574888644</c:v>
                </c:pt>
                <c:pt idx="110">
                  <c:v>#N/A</c:v>
                </c:pt>
                <c:pt idx="111">
                  <c:v>#N/A</c:v>
                </c:pt>
                <c:pt idx="112">
                  <c:v>#N/A</c:v>
                </c:pt>
                <c:pt idx="113">
                  <c:v>#N/A</c:v>
                </c:pt>
                <c:pt idx="114">
                  <c:v>0.51494242759130382</c:v>
                </c:pt>
                <c:pt idx="115">
                  <c:v>#N/A</c:v>
                </c:pt>
                <c:pt idx="116">
                  <c:v>#N/A</c:v>
                </c:pt>
                <c:pt idx="117">
                  <c:v>#N/A</c:v>
                </c:pt>
                <c:pt idx="118">
                  <c:v>#N/A</c:v>
                </c:pt>
                <c:pt idx="119">
                  <c:v>0.38327435738080873</c:v>
                </c:pt>
                <c:pt idx="120">
                  <c:v>#N/A</c:v>
                </c:pt>
                <c:pt idx="121">
                  <c:v>#N/A</c:v>
                </c:pt>
                <c:pt idx="122">
                  <c:v>#N/A</c:v>
                </c:pt>
                <c:pt idx="123">
                  <c:v>#N/A</c:v>
                </c:pt>
                <c:pt idx="124">
                  <c:v>0.77032033994239701</c:v>
                </c:pt>
                <c:pt idx="125">
                  <c:v>#N/A</c:v>
                </c:pt>
                <c:pt idx="126">
                  <c:v>#N/A</c:v>
                </c:pt>
                <c:pt idx="127">
                  <c:v>#N/A</c:v>
                </c:pt>
                <c:pt idx="128">
                  <c:v>#N/A</c:v>
                </c:pt>
                <c:pt idx="129">
                  <c:v>0.62199704166566772</c:v>
                </c:pt>
                <c:pt idx="130">
                  <c:v>#N/A</c:v>
                </c:pt>
                <c:pt idx="131">
                  <c:v>#N/A</c:v>
                </c:pt>
                <c:pt idx="132">
                  <c:v>#N/A</c:v>
                </c:pt>
                <c:pt idx="133">
                  <c:v>#N/A</c:v>
                </c:pt>
                <c:pt idx="134">
                  <c:v>0.71213212740445497</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numCache>
            </c:numRef>
          </c:yVal>
          <c:smooth val="0"/>
          <c:extLst>
            <c:ext xmlns:c16="http://schemas.microsoft.com/office/drawing/2014/chart" uri="{C3380CC4-5D6E-409C-BE32-E72D297353CC}">
              <c16:uniqueId val="{00000001-9788-4841-B672-7B1A8E4053F1}"/>
            </c:ext>
          </c:extLst>
        </c:ser>
        <c:dLbls>
          <c:showLegendKey val="0"/>
          <c:showVal val="0"/>
          <c:showCatName val="0"/>
          <c:showSerName val="0"/>
          <c:showPercent val="0"/>
          <c:showBubbleSize val="0"/>
        </c:dLbls>
        <c:axId val="1602960575"/>
        <c:axId val="1389550671"/>
      </c:scatterChart>
      <c:valAx>
        <c:axId val="1602960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50671"/>
        <c:crosses val="autoZero"/>
        <c:crossBetween val="midCat"/>
      </c:valAx>
      <c:valAx>
        <c:axId val="1389550671"/>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relative position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60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Popcount vs expected n/2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popcount</c:v>
          </c:tx>
          <c:spPr>
            <a:ln w="25400" cap="rnd">
              <a:noFill/>
              <a:round/>
            </a:ln>
            <a:effectLst/>
          </c:spPr>
          <c:marker>
            <c:symbol val="circle"/>
            <c:size val="4"/>
            <c:spPr>
              <a:solidFill>
                <a:schemeClr val="accent1"/>
              </a:solidFill>
              <a:ln w="9525">
                <a:solidFill>
                  <a:schemeClr val="accent1"/>
                </a:solidFill>
              </a:ln>
              <a:effectLst/>
            </c:spPr>
          </c:marker>
          <c:xVal>
            <c:numRef>
              <c:f>Summary!$F$2:$F$161</c:f>
              <c:numCache>
                <c:formatCode>0</c:formatCode>
                <c:ptCount val="1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numCache>
            </c:numRef>
          </c:xVal>
          <c:yVal>
            <c:numRef>
              <c:f>Summary!$G$2:$G$161</c:f>
              <c:numCache>
                <c:formatCode>General</c:formatCode>
                <c:ptCount val="160"/>
                <c:pt idx="0">
                  <c:v>1</c:v>
                </c:pt>
                <c:pt idx="1">
                  <c:v>2</c:v>
                </c:pt>
                <c:pt idx="2">
                  <c:v>3</c:v>
                </c:pt>
                <c:pt idx="3">
                  <c:v>1</c:v>
                </c:pt>
                <c:pt idx="4">
                  <c:v>3</c:v>
                </c:pt>
                <c:pt idx="5">
                  <c:v>3</c:v>
                </c:pt>
                <c:pt idx="6">
                  <c:v>3</c:v>
                </c:pt>
                <c:pt idx="7">
                  <c:v>3</c:v>
                </c:pt>
                <c:pt idx="8">
                  <c:v>6</c:v>
                </c:pt>
                <c:pt idx="9">
                  <c:v>2</c:v>
                </c:pt>
                <c:pt idx="10">
                  <c:v>4</c:v>
                </c:pt>
                <c:pt idx="11">
                  <c:v>8</c:v>
                </c:pt>
                <c:pt idx="12">
                  <c:v>4</c:v>
                </c:pt>
                <c:pt idx="13">
                  <c:v>5</c:v>
                </c:pt>
                <c:pt idx="14">
                  <c:v>9</c:v>
                </c:pt>
                <c:pt idx="15">
                  <c:v>8</c:v>
                </c:pt>
                <c:pt idx="16">
                  <c:v>11</c:v>
                </c:pt>
                <c:pt idx="17">
                  <c:v>6</c:v>
                </c:pt>
                <c:pt idx="18">
                  <c:v>12</c:v>
                </c:pt>
                <c:pt idx="19">
                  <c:v>10</c:v>
                </c:pt>
                <c:pt idx="20">
                  <c:v>11</c:v>
                </c:pt>
                <c:pt idx="21">
                  <c:v>12</c:v>
                </c:pt>
                <c:pt idx="22">
                  <c:v>12</c:v>
                </c:pt>
                <c:pt idx="23">
                  <c:v>9</c:v>
                </c:pt>
                <c:pt idx="24">
                  <c:v>17</c:v>
                </c:pt>
                <c:pt idx="25">
                  <c:v>11</c:v>
                </c:pt>
                <c:pt idx="26">
                  <c:v>14</c:v>
                </c:pt>
                <c:pt idx="27">
                  <c:v>14</c:v>
                </c:pt>
                <c:pt idx="28">
                  <c:v>16</c:v>
                </c:pt>
                <c:pt idx="29">
                  <c:v>16</c:v>
                </c:pt>
                <c:pt idx="30">
                  <c:v>21</c:v>
                </c:pt>
                <c:pt idx="31">
                  <c:v>15</c:v>
                </c:pt>
                <c:pt idx="32">
                  <c:v>16</c:v>
                </c:pt>
                <c:pt idx="33">
                  <c:v>16</c:v>
                </c:pt>
                <c:pt idx="34">
                  <c:v>15</c:v>
                </c:pt>
                <c:pt idx="35">
                  <c:v>17</c:v>
                </c:pt>
                <c:pt idx="36">
                  <c:v>22</c:v>
                </c:pt>
                <c:pt idx="37">
                  <c:v>17</c:v>
                </c:pt>
                <c:pt idx="38">
                  <c:v>20</c:v>
                </c:pt>
                <c:pt idx="39">
                  <c:v>22</c:v>
                </c:pt>
                <c:pt idx="40">
                  <c:v>21</c:v>
                </c:pt>
                <c:pt idx="41">
                  <c:v>19</c:v>
                </c:pt>
                <c:pt idx="42">
                  <c:v>24</c:v>
                </c:pt>
                <c:pt idx="43">
                  <c:v>22</c:v>
                </c:pt>
                <c:pt idx="44">
                  <c:v>19</c:v>
                </c:pt>
                <c:pt idx="45">
                  <c:v>19</c:v>
                </c:pt>
                <c:pt idx="46">
                  <c:v>24</c:v>
                </c:pt>
                <c:pt idx="47">
                  <c:v>31</c:v>
                </c:pt>
                <c:pt idx="48">
                  <c:v>25</c:v>
                </c:pt>
                <c:pt idx="49">
                  <c:v>24</c:v>
                </c:pt>
                <c:pt idx="50">
                  <c:v>19</c:v>
                </c:pt>
                <c:pt idx="51">
                  <c:v>30</c:v>
                </c:pt>
                <c:pt idx="52">
                  <c:v>24</c:v>
                </c:pt>
                <c:pt idx="53">
                  <c:v>32</c:v>
                </c:pt>
                <c:pt idx="54">
                  <c:v>31</c:v>
                </c:pt>
                <c:pt idx="55">
                  <c:v>34</c:v>
                </c:pt>
                <c:pt idx="56">
                  <c:v>29</c:v>
                </c:pt>
                <c:pt idx="57">
                  <c:v>25</c:v>
                </c:pt>
                <c:pt idx="58">
                  <c:v>33</c:v>
                </c:pt>
                <c:pt idx="59">
                  <c:v>32</c:v>
                </c:pt>
                <c:pt idx="60">
                  <c:v>29</c:v>
                </c:pt>
                <c:pt idx="61">
                  <c:v>34</c:v>
                </c:pt>
                <c:pt idx="62">
                  <c:v>36</c:v>
                </c:pt>
                <c:pt idx="63">
                  <c:v>30</c:v>
                </c:pt>
                <c:pt idx="64">
                  <c:v>29</c:v>
                </c:pt>
                <c:pt idx="65">
                  <c:v>38</c:v>
                </c:pt>
                <c:pt idx="66">
                  <c:v>31</c:v>
                </c:pt>
                <c:pt idx="67">
                  <c:v>33</c:v>
                </c:pt>
                <c:pt idx="68">
                  <c:v>35</c:v>
                </c:pt>
                <c:pt idx="69">
                  <c:v>34</c:v>
                </c:pt>
                <c:pt idx="70">
                  <c:v>#N/A</c:v>
                </c:pt>
                <c:pt idx="71">
                  <c:v>#N/A</c:v>
                </c:pt>
                <c:pt idx="72">
                  <c:v>#N/A</c:v>
                </c:pt>
                <c:pt idx="73">
                  <c:v>#N/A</c:v>
                </c:pt>
                <c:pt idx="74">
                  <c:v>33</c:v>
                </c:pt>
                <c:pt idx="75">
                  <c:v>#N/A</c:v>
                </c:pt>
                <c:pt idx="76">
                  <c:v>#N/A</c:v>
                </c:pt>
                <c:pt idx="77">
                  <c:v>#N/A</c:v>
                </c:pt>
                <c:pt idx="78">
                  <c:v>#N/A</c:v>
                </c:pt>
                <c:pt idx="79">
                  <c:v>37</c:v>
                </c:pt>
                <c:pt idx="80">
                  <c:v>#N/A</c:v>
                </c:pt>
                <c:pt idx="81">
                  <c:v>#N/A</c:v>
                </c:pt>
                <c:pt idx="82">
                  <c:v>#N/A</c:v>
                </c:pt>
                <c:pt idx="83">
                  <c:v>#N/A</c:v>
                </c:pt>
                <c:pt idx="84">
                  <c:v>39</c:v>
                </c:pt>
                <c:pt idx="85">
                  <c:v>#N/A</c:v>
                </c:pt>
                <c:pt idx="86">
                  <c:v>#N/A</c:v>
                </c:pt>
                <c:pt idx="87">
                  <c:v>#N/A</c:v>
                </c:pt>
                <c:pt idx="88">
                  <c:v>#N/A</c:v>
                </c:pt>
                <c:pt idx="89">
                  <c:v>43</c:v>
                </c:pt>
                <c:pt idx="90">
                  <c:v>#N/A</c:v>
                </c:pt>
                <c:pt idx="91">
                  <c:v>#N/A</c:v>
                </c:pt>
                <c:pt idx="92">
                  <c:v>#N/A</c:v>
                </c:pt>
                <c:pt idx="93">
                  <c:v>#N/A</c:v>
                </c:pt>
                <c:pt idx="94">
                  <c:v>48</c:v>
                </c:pt>
                <c:pt idx="95">
                  <c:v>#N/A</c:v>
                </c:pt>
                <c:pt idx="96">
                  <c:v>#N/A</c:v>
                </c:pt>
                <c:pt idx="97">
                  <c:v>#N/A</c:v>
                </c:pt>
                <c:pt idx="98">
                  <c:v>#N/A</c:v>
                </c:pt>
                <c:pt idx="99">
                  <c:v>53</c:v>
                </c:pt>
                <c:pt idx="100">
                  <c:v>#N/A</c:v>
                </c:pt>
                <c:pt idx="101">
                  <c:v>#N/A</c:v>
                </c:pt>
                <c:pt idx="102">
                  <c:v>#N/A</c:v>
                </c:pt>
                <c:pt idx="103">
                  <c:v>#N/A</c:v>
                </c:pt>
                <c:pt idx="104">
                  <c:v>58</c:v>
                </c:pt>
                <c:pt idx="105">
                  <c:v>#N/A</c:v>
                </c:pt>
                <c:pt idx="106">
                  <c:v>#N/A</c:v>
                </c:pt>
                <c:pt idx="107">
                  <c:v>#N/A</c:v>
                </c:pt>
                <c:pt idx="108">
                  <c:v>#N/A</c:v>
                </c:pt>
                <c:pt idx="109">
                  <c:v>55</c:v>
                </c:pt>
                <c:pt idx="110">
                  <c:v>#N/A</c:v>
                </c:pt>
                <c:pt idx="111">
                  <c:v>#N/A</c:v>
                </c:pt>
                <c:pt idx="112">
                  <c:v>#N/A</c:v>
                </c:pt>
                <c:pt idx="113">
                  <c:v>#N/A</c:v>
                </c:pt>
                <c:pt idx="114">
                  <c:v>59</c:v>
                </c:pt>
                <c:pt idx="115">
                  <c:v>#N/A</c:v>
                </c:pt>
                <c:pt idx="116">
                  <c:v>#N/A</c:v>
                </c:pt>
                <c:pt idx="117">
                  <c:v>#N/A</c:v>
                </c:pt>
                <c:pt idx="118">
                  <c:v>#N/A</c:v>
                </c:pt>
                <c:pt idx="119">
                  <c:v>59</c:v>
                </c:pt>
                <c:pt idx="120">
                  <c:v>#N/A</c:v>
                </c:pt>
                <c:pt idx="121">
                  <c:v>#N/A</c:v>
                </c:pt>
                <c:pt idx="122">
                  <c:v>#N/A</c:v>
                </c:pt>
                <c:pt idx="123">
                  <c:v>#N/A</c:v>
                </c:pt>
                <c:pt idx="124">
                  <c:v>58</c:v>
                </c:pt>
                <c:pt idx="125">
                  <c:v>#N/A</c:v>
                </c:pt>
                <c:pt idx="126">
                  <c:v>#N/A</c:v>
                </c:pt>
                <c:pt idx="127">
                  <c:v>#N/A</c:v>
                </c:pt>
                <c:pt idx="128">
                  <c:v>#N/A</c:v>
                </c:pt>
                <c:pt idx="129">
                  <c:v>65</c:v>
                </c:pt>
                <c:pt idx="130">
                  <c:v>#N/A</c:v>
                </c:pt>
                <c:pt idx="131">
                  <c:v>#N/A</c:v>
                </c:pt>
                <c:pt idx="132">
                  <c:v>#N/A</c:v>
                </c:pt>
                <c:pt idx="133">
                  <c:v>#N/A</c:v>
                </c:pt>
                <c:pt idx="134">
                  <c:v>70</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numCache>
            </c:numRef>
          </c:yVal>
          <c:smooth val="0"/>
          <c:extLst>
            <c:ext xmlns:c16="http://schemas.microsoft.com/office/drawing/2014/chart" uri="{C3380CC4-5D6E-409C-BE32-E72D297353CC}">
              <c16:uniqueId val="{00000001-3670-4ED1-9202-910628C7AE32}"/>
            </c:ext>
          </c:extLst>
        </c:ser>
        <c:ser>
          <c:idx val="1"/>
          <c:order val="1"/>
          <c:tx>
            <c:v>expected n/2</c:v>
          </c:tx>
          <c:spPr>
            <a:ln w="19050" cap="rnd">
              <a:solidFill>
                <a:schemeClr val="accent2"/>
              </a:solidFill>
              <a:round/>
            </a:ln>
            <a:effectLst/>
          </c:spPr>
          <c:marker>
            <c:symbol val="none"/>
          </c:marker>
          <c:xVal>
            <c:numRef>
              <c:f>Summary!$F$2:$F$161</c:f>
              <c:numCache>
                <c:formatCode>0</c:formatCode>
                <c:ptCount val="1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numCache>
            </c:numRef>
          </c:xVal>
          <c:yVal>
            <c:numRef>
              <c:f>Summary!$H$2:$H$161</c:f>
              <c:numCache>
                <c:formatCode>0.0</c:formatCode>
                <c:ptCount val="16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pt idx="20">
                  <c:v>10.5</c:v>
                </c:pt>
                <c:pt idx="21">
                  <c:v>11</c:v>
                </c:pt>
                <c:pt idx="22">
                  <c:v>11.5</c:v>
                </c:pt>
                <c:pt idx="23">
                  <c:v>12</c:v>
                </c:pt>
                <c:pt idx="24">
                  <c:v>12.5</c:v>
                </c:pt>
                <c:pt idx="25">
                  <c:v>13</c:v>
                </c:pt>
                <c:pt idx="26">
                  <c:v>13.5</c:v>
                </c:pt>
                <c:pt idx="27">
                  <c:v>14</c:v>
                </c:pt>
                <c:pt idx="28">
                  <c:v>14.5</c:v>
                </c:pt>
                <c:pt idx="29">
                  <c:v>15</c:v>
                </c:pt>
                <c:pt idx="30">
                  <c:v>15.5</c:v>
                </c:pt>
                <c:pt idx="31">
                  <c:v>16</c:v>
                </c:pt>
                <c:pt idx="32">
                  <c:v>16.5</c:v>
                </c:pt>
                <c:pt idx="33">
                  <c:v>17</c:v>
                </c:pt>
                <c:pt idx="34">
                  <c:v>17.5</c:v>
                </c:pt>
                <c:pt idx="35">
                  <c:v>18</c:v>
                </c:pt>
                <c:pt idx="36">
                  <c:v>18.5</c:v>
                </c:pt>
                <c:pt idx="37">
                  <c:v>19</c:v>
                </c:pt>
                <c:pt idx="38">
                  <c:v>19.5</c:v>
                </c:pt>
                <c:pt idx="39">
                  <c:v>20</c:v>
                </c:pt>
                <c:pt idx="40">
                  <c:v>20.5</c:v>
                </c:pt>
                <c:pt idx="41">
                  <c:v>21</c:v>
                </c:pt>
                <c:pt idx="42">
                  <c:v>21.5</c:v>
                </c:pt>
                <c:pt idx="43">
                  <c:v>22</c:v>
                </c:pt>
                <c:pt idx="44">
                  <c:v>22.5</c:v>
                </c:pt>
                <c:pt idx="45">
                  <c:v>23</c:v>
                </c:pt>
                <c:pt idx="46">
                  <c:v>23.5</c:v>
                </c:pt>
                <c:pt idx="47">
                  <c:v>24</c:v>
                </c:pt>
                <c:pt idx="48">
                  <c:v>24.5</c:v>
                </c:pt>
                <c:pt idx="49">
                  <c:v>25</c:v>
                </c:pt>
                <c:pt idx="50">
                  <c:v>25.5</c:v>
                </c:pt>
                <c:pt idx="51">
                  <c:v>26</c:v>
                </c:pt>
                <c:pt idx="52">
                  <c:v>26.5</c:v>
                </c:pt>
                <c:pt idx="53">
                  <c:v>27</c:v>
                </c:pt>
                <c:pt idx="54">
                  <c:v>27.5</c:v>
                </c:pt>
                <c:pt idx="55">
                  <c:v>28</c:v>
                </c:pt>
                <c:pt idx="56">
                  <c:v>28.5</c:v>
                </c:pt>
                <c:pt idx="57">
                  <c:v>29</c:v>
                </c:pt>
                <c:pt idx="58">
                  <c:v>29.5</c:v>
                </c:pt>
                <c:pt idx="59">
                  <c:v>30</c:v>
                </c:pt>
                <c:pt idx="60">
                  <c:v>30.5</c:v>
                </c:pt>
                <c:pt idx="61">
                  <c:v>31</c:v>
                </c:pt>
                <c:pt idx="62">
                  <c:v>31.5</c:v>
                </c:pt>
                <c:pt idx="63">
                  <c:v>32</c:v>
                </c:pt>
                <c:pt idx="64">
                  <c:v>32.5</c:v>
                </c:pt>
                <c:pt idx="65">
                  <c:v>33</c:v>
                </c:pt>
                <c:pt idx="66">
                  <c:v>33.5</c:v>
                </c:pt>
                <c:pt idx="67">
                  <c:v>34</c:v>
                </c:pt>
                <c:pt idx="68">
                  <c:v>34.5</c:v>
                </c:pt>
                <c:pt idx="69">
                  <c:v>35</c:v>
                </c:pt>
                <c:pt idx="70">
                  <c:v>35.5</c:v>
                </c:pt>
                <c:pt idx="71">
                  <c:v>36</c:v>
                </c:pt>
                <c:pt idx="72">
                  <c:v>36.5</c:v>
                </c:pt>
                <c:pt idx="73">
                  <c:v>37</c:v>
                </c:pt>
                <c:pt idx="74">
                  <c:v>37.5</c:v>
                </c:pt>
                <c:pt idx="75">
                  <c:v>38</c:v>
                </c:pt>
                <c:pt idx="76">
                  <c:v>38.5</c:v>
                </c:pt>
                <c:pt idx="77">
                  <c:v>39</c:v>
                </c:pt>
                <c:pt idx="78">
                  <c:v>39.5</c:v>
                </c:pt>
                <c:pt idx="79">
                  <c:v>40</c:v>
                </c:pt>
                <c:pt idx="80">
                  <c:v>40.5</c:v>
                </c:pt>
                <c:pt idx="81">
                  <c:v>41</c:v>
                </c:pt>
                <c:pt idx="82">
                  <c:v>41.5</c:v>
                </c:pt>
                <c:pt idx="83">
                  <c:v>42</c:v>
                </c:pt>
                <c:pt idx="84">
                  <c:v>42.5</c:v>
                </c:pt>
                <c:pt idx="85">
                  <c:v>43</c:v>
                </c:pt>
                <c:pt idx="86">
                  <c:v>43.5</c:v>
                </c:pt>
                <c:pt idx="87">
                  <c:v>44</c:v>
                </c:pt>
                <c:pt idx="88">
                  <c:v>44.5</c:v>
                </c:pt>
                <c:pt idx="89">
                  <c:v>45</c:v>
                </c:pt>
                <c:pt idx="90">
                  <c:v>45.5</c:v>
                </c:pt>
                <c:pt idx="91">
                  <c:v>46</c:v>
                </c:pt>
                <c:pt idx="92">
                  <c:v>46.5</c:v>
                </c:pt>
                <c:pt idx="93">
                  <c:v>47</c:v>
                </c:pt>
                <c:pt idx="94">
                  <c:v>47.5</c:v>
                </c:pt>
                <c:pt idx="95">
                  <c:v>48</c:v>
                </c:pt>
                <c:pt idx="96">
                  <c:v>48.5</c:v>
                </c:pt>
                <c:pt idx="97">
                  <c:v>49</c:v>
                </c:pt>
                <c:pt idx="98">
                  <c:v>49.5</c:v>
                </c:pt>
                <c:pt idx="99">
                  <c:v>50</c:v>
                </c:pt>
                <c:pt idx="100">
                  <c:v>50.5</c:v>
                </c:pt>
                <c:pt idx="101">
                  <c:v>51</c:v>
                </c:pt>
                <c:pt idx="102">
                  <c:v>51.5</c:v>
                </c:pt>
                <c:pt idx="103">
                  <c:v>52</c:v>
                </c:pt>
                <c:pt idx="104">
                  <c:v>52.5</c:v>
                </c:pt>
                <c:pt idx="105">
                  <c:v>53</c:v>
                </c:pt>
                <c:pt idx="106">
                  <c:v>53.5</c:v>
                </c:pt>
                <c:pt idx="107">
                  <c:v>54</c:v>
                </c:pt>
                <c:pt idx="108">
                  <c:v>54.5</c:v>
                </c:pt>
                <c:pt idx="109">
                  <c:v>55</c:v>
                </c:pt>
                <c:pt idx="110">
                  <c:v>55.5</c:v>
                </c:pt>
                <c:pt idx="111">
                  <c:v>56</c:v>
                </c:pt>
                <c:pt idx="112">
                  <c:v>56.5</c:v>
                </c:pt>
                <c:pt idx="113">
                  <c:v>57</c:v>
                </c:pt>
                <c:pt idx="114">
                  <c:v>57.5</c:v>
                </c:pt>
                <c:pt idx="115">
                  <c:v>58</c:v>
                </c:pt>
                <c:pt idx="116">
                  <c:v>58.5</c:v>
                </c:pt>
                <c:pt idx="117">
                  <c:v>59</c:v>
                </c:pt>
                <c:pt idx="118">
                  <c:v>59.5</c:v>
                </c:pt>
                <c:pt idx="119">
                  <c:v>60</c:v>
                </c:pt>
                <c:pt idx="120">
                  <c:v>60.5</c:v>
                </c:pt>
                <c:pt idx="121">
                  <c:v>61</c:v>
                </c:pt>
                <c:pt idx="122">
                  <c:v>61.5</c:v>
                </c:pt>
                <c:pt idx="123">
                  <c:v>62</c:v>
                </c:pt>
                <c:pt idx="124">
                  <c:v>62.5</c:v>
                </c:pt>
                <c:pt idx="125">
                  <c:v>63</c:v>
                </c:pt>
                <c:pt idx="126">
                  <c:v>63.5</c:v>
                </c:pt>
                <c:pt idx="127">
                  <c:v>64</c:v>
                </c:pt>
                <c:pt idx="128">
                  <c:v>64.5</c:v>
                </c:pt>
                <c:pt idx="129">
                  <c:v>65</c:v>
                </c:pt>
                <c:pt idx="130">
                  <c:v>65.5</c:v>
                </c:pt>
                <c:pt idx="131">
                  <c:v>66</c:v>
                </c:pt>
                <c:pt idx="132">
                  <c:v>66.5</c:v>
                </c:pt>
                <c:pt idx="133">
                  <c:v>67</c:v>
                </c:pt>
                <c:pt idx="134">
                  <c:v>67.5</c:v>
                </c:pt>
                <c:pt idx="135">
                  <c:v>68</c:v>
                </c:pt>
                <c:pt idx="136">
                  <c:v>68.5</c:v>
                </c:pt>
                <c:pt idx="137">
                  <c:v>69</c:v>
                </c:pt>
                <c:pt idx="138">
                  <c:v>69.5</c:v>
                </c:pt>
                <c:pt idx="139">
                  <c:v>70</c:v>
                </c:pt>
                <c:pt idx="140">
                  <c:v>70.5</c:v>
                </c:pt>
                <c:pt idx="141">
                  <c:v>71</c:v>
                </c:pt>
                <c:pt idx="142">
                  <c:v>71.5</c:v>
                </c:pt>
                <c:pt idx="143">
                  <c:v>72</c:v>
                </c:pt>
                <c:pt idx="144">
                  <c:v>72.5</c:v>
                </c:pt>
                <c:pt idx="145">
                  <c:v>73</c:v>
                </c:pt>
                <c:pt idx="146">
                  <c:v>73.5</c:v>
                </c:pt>
                <c:pt idx="147">
                  <c:v>74</c:v>
                </c:pt>
                <c:pt idx="148">
                  <c:v>74.5</c:v>
                </c:pt>
                <c:pt idx="149">
                  <c:v>75</c:v>
                </c:pt>
                <c:pt idx="150">
                  <c:v>75.5</c:v>
                </c:pt>
                <c:pt idx="151">
                  <c:v>76</c:v>
                </c:pt>
                <c:pt idx="152">
                  <c:v>76.5</c:v>
                </c:pt>
                <c:pt idx="153">
                  <c:v>77</c:v>
                </c:pt>
                <c:pt idx="154">
                  <c:v>77.5</c:v>
                </c:pt>
                <c:pt idx="155">
                  <c:v>78</c:v>
                </c:pt>
                <c:pt idx="156">
                  <c:v>78.5</c:v>
                </c:pt>
                <c:pt idx="157">
                  <c:v>79</c:v>
                </c:pt>
                <c:pt idx="158">
                  <c:v>79.5</c:v>
                </c:pt>
                <c:pt idx="159">
                  <c:v>80</c:v>
                </c:pt>
              </c:numCache>
            </c:numRef>
          </c:yVal>
          <c:smooth val="0"/>
          <c:extLst>
            <c:ext xmlns:c16="http://schemas.microsoft.com/office/drawing/2014/chart" uri="{C3380CC4-5D6E-409C-BE32-E72D297353CC}">
              <c16:uniqueId val="{00000002-3670-4ED1-9202-910628C7AE32}"/>
            </c:ext>
          </c:extLst>
        </c:ser>
        <c:dLbls>
          <c:showLegendKey val="0"/>
          <c:showVal val="0"/>
          <c:showCatName val="0"/>
          <c:showSerName val="0"/>
          <c:showPercent val="0"/>
          <c:showBubbleSize val="0"/>
        </c:dLbls>
        <c:axId val="1602970783"/>
        <c:axId val="1389544911"/>
      </c:scatterChart>
      <c:valAx>
        <c:axId val="1602970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44911"/>
        <c:crosses val="autoZero"/>
        <c:crossBetween val="midCat"/>
      </c:valAx>
      <c:valAx>
        <c:axId val="138954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1-bits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70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Relative-position deciles: observed vs expected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Summary!$B$24</c:f>
              <c:strCache>
                <c:ptCount val="1"/>
                <c:pt idx="0">
                  <c:v>Count</c:v>
                </c:pt>
              </c:strCache>
            </c:strRef>
          </c:tx>
          <c:spPr>
            <a:solidFill>
              <a:schemeClr val="accent1"/>
            </a:solidFill>
            <a:ln>
              <a:noFill/>
            </a:ln>
            <a:effectLst/>
          </c:spPr>
          <c:invertIfNegative val="0"/>
          <c:cat>
            <c:strRef>
              <c:f>Summary!$A$25:$A$34</c:f>
              <c:strCache>
                <c:ptCount val="10"/>
                <c:pt idx="0">
                  <c:v>0.0–0.1</c:v>
                </c:pt>
                <c:pt idx="1">
                  <c:v>0.1–0.2</c:v>
                </c:pt>
                <c:pt idx="2">
                  <c:v>0.2–0.3</c:v>
                </c:pt>
                <c:pt idx="3">
                  <c:v>0.3–0.4</c:v>
                </c:pt>
                <c:pt idx="4">
                  <c:v>0.4–0.5</c:v>
                </c:pt>
                <c:pt idx="5">
                  <c:v>0.5–0.6</c:v>
                </c:pt>
                <c:pt idx="6">
                  <c:v>0.6–0.7</c:v>
                </c:pt>
                <c:pt idx="7">
                  <c:v>0.7–0.8</c:v>
                </c:pt>
                <c:pt idx="8">
                  <c:v>0.8–0.9</c:v>
                </c:pt>
                <c:pt idx="9">
                  <c:v>0.9–1.0</c:v>
                </c:pt>
              </c:strCache>
            </c:strRef>
          </c:cat>
          <c:val>
            <c:numRef>
              <c:f>Summary!$B$25:$B$34</c:f>
              <c:numCache>
                <c:formatCode>0</c:formatCode>
                <c:ptCount val="10"/>
                <c:pt idx="0">
                  <c:v>5</c:v>
                </c:pt>
                <c:pt idx="1">
                  <c:v>6</c:v>
                </c:pt>
                <c:pt idx="2">
                  <c:v>7</c:v>
                </c:pt>
                <c:pt idx="3">
                  <c:v>9</c:v>
                </c:pt>
                <c:pt idx="4">
                  <c:v>10</c:v>
                </c:pt>
                <c:pt idx="5">
                  <c:v>4</c:v>
                </c:pt>
                <c:pt idx="6">
                  <c:v>14</c:v>
                </c:pt>
                <c:pt idx="7">
                  <c:v>7</c:v>
                </c:pt>
                <c:pt idx="8">
                  <c:v>5</c:v>
                </c:pt>
                <c:pt idx="9">
                  <c:v>7</c:v>
                </c:pt>
              </c:numCache>
            </c:numRef>
          </c:val>
          <c:extLst>
            <c:ext xmlns:c16="http://schemas.microsoft.com/office/drawing/2014/chart" uri="{C3380CC4-5D6E-409C-BE32-E72D297353CC}">
              <c16:uniqueId val="{00000000-510B-4623-A78A-40BB8E6A72C5}"/>
            </c:ext>
          </c:extLst>
        </c:ser>
        <c:ser>
          <c:idx val="1"/>
          <c:order val="1"/>
          <c:tx>
            <c:strRef>
              <c:f>Summary!$C$24</c:f>
              <c:strCache>
                <c:ptCount val="1"/>
                <c:pt idx="0">
                  <c:v>Expected</c:v>
                </c:pt>
              </c:strCache>
            </c:strRef>
          </c:tx>
          <c:spPr>
            <a:solidFill>
              <a:schemeClr val="accent2"/>
            </a:solidFill>
            <a:ln>
              <a:noFill/>
            </a:ln>
            <a:effectLst/>
          </c:spPr>
          <c:invertIfNegative val="0"/>
          <c:cat>
            <c:strRef>
              <c:f>Summary!$A$25:$A$34</c:f>
              <c:strCache>
                <c:ptCount val="10"/>
                <c:pt idx="0">
                  <c:v>0.0–0.1</c:v>
                </c:pt>
                <c:pt idx="1">
                  <c:v>0.1–0.2</c:v>
                </c:pt>
                <c:pt idx="2">
                  <c:v>0.2–0.3</c:v>
                </c:pt>
                <c:pt idx="3">
                  <c:v>0.3–0.4</c:v>
                </c:pt>
                <c:pt idx="4">
                  <c:v>0.4–0.5</c:v>
                </c:pt>
                <c:pt idx="5">
                  <c:v>0.5–0.6</c:v>
                </c:pt>
                <c:pt idx="6">
                  <c:v>0.6–0.7</c:v>
                </c:pt>
                <c:pt idx="7">
                  <c:v>0.7–0.8</c:v>
                </c:pt>
                <c:pt idx="8">
                  <c:v>0.8–0.9</c:v>
                </c:pt>
                <c:pt idx="9">
                  <c:v>0.9–1.0</c:v>
                </c:pt>
              </c:strCache>
            </c:strRef>
          </c:cat>
          <c:val>
            <c:numRef>
              <c:f>Summary!$C$25:$C$34</c:f>
              <c:numCache>
                <c:formatCode>0.0</c:formatCode>
                <c:ptCount val="10"/>
                <c:pt idx="0">
                  <c:v>7.4</c:v>
                </c:pt>
                <c:pt idx="1">
                  <c:v>7.4</c:v>
                </c:pt>
                <c:pt idx="2">
                  <c:v>7.4</c:v>
                </c:pt>
                <c:pt idx="3">
                  <c:v>7.4</c:v>
                </c:pt>
                <c:pt idx="4">
                  <c:v>7.4</c:v>
                </c:pt>
                <c:pt idx="5">
                  <c:v>7.4</c:v>
                </c:pt>
                <c:pt idx="6">
                  <c:v>7.4</c:v>
                </c:pt>
                <c:pt idx="7">
                  <c:v>7.4</c:v>
                </c:pt>
                <c:pt idx="8">
                  <c:v>7.4</c:v>
                </c:pt>
                <c:pt idx="9">
                  <c:v>7.4</c:v>
                </c:pt>
              </c:numCache>
            </c:numRef>
          </c:val>
          <c:extLst>
            <c:ext xmlns:c16="http://schemas.microsoft.com/office/drawing/2014/chart" uri="{C3380CC4-5D6E-409C-BE32-E72D297353CC}">
              <c16:uniqueId val="{00000001-510B-4623-A78A-40BB8E6A72C5}"/>
            </c:ext>
          </c:extLst>
        </c:ser>
        <c:dLbls>
          <c:showLegendKey val="0"/>
          <c:showVal val="0"/>
          <c:showCatName val="0"/>
          <c:showSerName val="0"/>
          <c:showPercent val="0"/>
          <c:showBubbleSize val="0"/>
        </c:dLbls>
        <c:gapWidth val="219"/>
        <c:overlap val="-27"/>
        <c:axId val="1602927631"/>
        <c:axId val="1389460911"/>
      </c:barChart>
      <c:catAx>
        <c:axId val="160292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460911"/>
        <c:crosses val="autoZero"/>
        <c:auto val="1"/>
        <c:lblAlgn val="ctr"/>
        <c:lblOffset val="100"/>
        <c:noMultiLvlLbl val="0"/>
      </c:catAx>
      <c:valAx>
        <c:axId val="1389460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2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0</xdr:rowOff>
    </xdr:from>
    <xdr:to>
      <xdr:col>20</xdr:col>
      <xdr:colOff>0</xdr:colOff>
      <xdr:row>20</xdr:row>
      <xdr:rowOff>0</xdr:rowOff>
    </xdr:to>
    <xdr:graphicFrame macro="">
      <xdr:nvGraphicFramePr>
        <xdr:cNvPr id="3" name="Chart 2">
          <a:extLst>
            <a:ext uri="{FF2B5EF4-FFF2-40B4-BE49-F238E27FC236}">
              <a16:creationId xmlns:a16="http://schemas.microsoft.com/office/drawing/2014/main" id="{ACD0341E-F98F-7FCA-E9BD-80BED58C7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21</xdr:row>
      <xdr:rowOff>0</xdr:rowOff>
    </xdr:from>
    <xdr:to>
      <xdr:col>20</xdr:col>
      <xdr:colOff>0</xdr:colOff>
      <xdr:row>41</xdr:row>
      <xdr:rowOff>0</xdr:rowOff>
    </xdr:to>
    <xdr:graphicFrame macro="">
      <xdr:nvGraphicFramePr>
        <xdr:cNvPr id="4" name="Chart 3">
          <a:extLst>
            <a:ext uri="{FF2B5EF4-FFF2-40B4-BE49-F238E27FC236}">
              <a16:creationId xmlns:a16="http://schemas.microsoft.com/office/drawing/2014/main" id="{5F03175E-E1B0-5528-8D9D-ED0C8AE43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42</xdr:row>
      <xdr:rowOff>0</xdr:rowOff>
    </xdr:from>
    <xdr:to>
      <xdr:col>20</xdr:col>
      <xdr:colOff>0</xdr:colOff>
      <xdr:row>62</xdr:row>
      <xdr:rowOff>0</xdr:rowOff>
    </xdr:to>
    <xdr:graphicFrame macro="">
      <xdr:nvGraphicFramePr>
        <xdr:cNvPr id="5" name="Chart 4">
          <a:extLst>
            <a:ext uri="{FF2B5EF4-FFF2-40B4-BE49-F238E27FC236}">
              <a16:creationId xmlns:a16="http://schemas.microsoft.com/office/drawing/2014/main" id="{90072D8B-F0DA-0636-9801-DEEEA524B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89"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369474-834E-4A65-9EF1-3BE7DD70F91F}">
  <we:reference id="wa200009404" version="1.0.0.8" store="en-US" storeType="OMEX"/>
  <we:alternateReferences>
    <we:reference id="wa200009404" version="1.0.0.8" store="" storeType="OMEX"/>
  </we:alternateReferences>
  <we:properties>
    <we:property name="claude.fileId" value="&quot;9a462dfa-eec0-4758-97db-e4c4778c010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670F4-2978-4E70-848C-BC63DA49CDEB}">
  <dimension ref="A1:H161"/>
  <sheetViews>
    <sheetView workbookViewId="0">
      <pane xSplit="1" ySplit="1" topLeftCell="B54" activePane="bottomRight" state="frozen"/>
      <selection pane="topRight" activeCell="B1" sqref="B1"/>
      <selection pane="bottomLeft" activeCell="A2" sqref="A2"/>
      <selection pane="bottomRight" activeCell="F74" sqref="F74"/>
    </sheetView>
  </sheetViews>
  <sheetFormatPr defaultRowHeight="15" x14ac:dyDescent="0.25"/>
  <cols>
    <col min="1" max="1" width="8.5703125" customWidth="1"/>
    <col min="2" max="3" width="57.140625" customWidth="1"/>
    <col min="4" max="4" width="49.5703125" customWidth="1"/>
    <col min="5" max="5" width="19" customWidth="1"/>
    <col min="6" max="6" width="61" customWidth="1"/>
    <col min="7" max="7" width="91.42578125" customWidth="1"/>
    <col min="8" max="8" width="91.42578125" style="2" customWidth="1"/>
  </cols>
  <sheetData>
    <row r="1" spans="1:8" x14ac:dyDescent="0.25">
      <c r="A1" s="18" t="s">
        <v>0</v>
      </c>
      <c r="B1" s="18" t="s">
        <v>1</v>
      </c>
      <c r="C1" s="18" t="s">
        <v>2</v>
      </c>
      <c r="D1" s="18" t="s">
        <v>3</v>
      </c>
      <c r="E1" s="18" t="s">
        <v>2053</v>
      </c>
      <c r="F1" s="18" t="s">
        <v>4</v>
      </c>
      <c r="G1" s="18" t="s">
        <v>5</v>
      </c>
      <c r="H1" s="25" t="s">
        <v>6</v>
      </c>
    </row>
    <row r="2" spans="1:8" x14ac:dyDescent="0.25">
      <c r="A2" s="22">
        <v>1</v>
      </c>
      <c r="B2" s="16" t="s">
        <v>976</v>
      </c>
      <c r="C2" s="16" t="s">
        <v>976</v>
      </c>
      <c r="D2" s="24" t="s">
        <v>7</v>
      </c>
      <c r="E2" s="1">
        <v>1E-3</v>
      </c>
      <c r="F2" s="16" t="s">
        <v>8</v>
      </c>
      <c r="G2" s="16" t="s">
        <v>9</v>
      </c>
      <c r="H2" s="16" t="s">
        <v>644</v>
      </c>
    </row>
    <row r="3" spans="1:8" x14ac:dyDescent="0.25">
      <c r="A3" s="22">
        <v>2</v>
      </c>
      <c r="B3" s="16" t="s">
        <v>1895</v>
      </c>
      <c r="C3" s="16" t="s">
        <v>987</v>
      </c>
      <c r="D3" s="24" t="s">
        <v>10</v>
      </c>
      <c r="E3" s="1">
        <v>2E-3</v>
      </c>
      <c r="F3" s="16" t="s">
        <v>11</v>
      </c>
      <c r="G3" s="16" t="s">
        <v>12</v>
      </c>
      <c r="H3" s="16" t="s">
        <v>645</v>
      </c>
    </row>
    <row r="4" spans="1:8" x14ac:dyDescent="0.25">
      <c r="A4" s="22">
        <v>3</v>
      </c>
      <c r="B4" s="16" t="s">
        <v>1896</v>
      </c>
      <c r="C4" s="16" t="s">
        <v>998</v>
      </c>
      <c r="D4" s="24" t="s">
        <v>13</v>
      </c>
      <c r="E4" s="1">
        <v>3.0000000000000001E-3</v>
      </c>
      <c r="F4" s="16" t="s">
        <v>14</v>
      </c>
      <c r="G4" s="16" t="s">
        <v>15</v>
      </c>
      <c r="H4" s="16" t="s">
        <v>646</v>
      </c>
    </row>
    <row r="5" spans="1:8" x14ac:dyDescent="0.25">
      <c r="A5" s="22">
        <v>4</v>
      </c>
      <c r="B5" s="16" t="s">
        <v>1009</v>
      </c>
      <c r="C5" s="16" t="s">
        <v>16</v>
      </c>
      <c r="D5" s="24" t="s">
        <v>17</v>
      </c>
      <c r="E5" s="1">
        <v>4.0000000000000001E-3</v>
      </c>
      <c r="F5" s="16" t="s">
        <v>18</v>
      </c>
      <c r="G5" s="16" t="s">
        <v>19</v>
      </c>
      <c r="H5" s="16" t="s">
        <v>647</v>
      </c>
    </row>
    <row r="6" spans="1:8" x14ac:dyDescent="0.25">
      <c r="A6" s="22">
        <v>5</v>
      </c>
      <c r="B6" s="16" t="s">
        <v>1897</v>
      </c>
      <c r="C6" s="16" t="s">
        <v>20</v>
      </c>
      <c r="D6" s="24" t="s">
        <v>21</v>
      </c>
      <c r="E6" s="1">
        <v>5.0000000000000001E-3</v>
      </c>
      <c r="F6" s="16" t="s">
        <v>22</v>
      </c>
      <c r="G6" s="16" t="s">
        <v>23</v>
      </c>
      <c r="H6" s="16" t="s">
        <v>648</v>
      </c>
    </row>
    <row r="7" spans="1:8" x14ac:dyDescent="0.25">
      <c r="A7" s="22">
        <v>6</v>
      </c>
      <c r="B7" s="16" t="s">
        <v>1898</v>
      </c>
      <c r="C7" s="16" t="s">
        <v>24</v>
      </c>
      <c r="D7" s="24" t="s">
        <v>25</v>
      </c>
      <c r="E7" s="1">
        <v>6.0000000000000001E-3</v>
      </c>
      <c r="F7" s="16" t="s">
        <v>26</v>
      </c>
      <c r="G7" s="16" t="s">
        <v>27</v>
      </c>
      <c r="H7" s="16" t="s">
        <v>649</v>
      </c>
    </row>
    <row r="8" spans="1:8" x14ac:dyDescent="0.25">
      <c r="A8" s="22">
        <v>7</v>
      </c>
      <c r="B8" s="16" t="s">
        <v>1899</v>
      </c>
      <c r="C8" s="16" t="s">
        <v>28</v>
      </c>
      <c r="D8" s="24" t="s">
        <v>29</v>
      </c>
      <c r="E8" s="1">
        <v>7.0000000000000001E-3</v>
      </c>
      <c r="F8" s="16" t="s">
        <v>30</v>
      </c>
      <c r="G8" s="16" t="s">
        <v>31</v>
      </c>
      <c r="H8" s="16" t="s">
        <v>32</v>
      </c>
    </row>
    <row r="9" spans="1:8" x14ac:dyDescent="0.25">
      <c r="A9" s="22">
        <v>8</v>
      </c>
      <c r="B9" s="16" t="s">
        <v>1900</v>
      </c>
      <c r="C9" s="16" t="s">
        <v>33</v>
      </c>
      <c r="D9" s="24" t="s">
        <v>34</v>
      </c>
      <c r="E9" s="1">
        <v>8.0000000000000002E-3</v>
      </c>
      <c r="F9" s="16" t="s">
        <v>35</v>
      </c>
      <c r="G9" s="16" t="s">
        <v>36</v>
      </c>
      <c r="H9" s="16" t="s">
        <v>650</v>
      </c>
    </row>
    <row r="10" spans="1:8" x14ac:dyDescent="0.25">
      <c r="A10" s="22">
        <v>9</v>
      </c>
      <c r="B10" s="16" t="s">
        <v>1901</v>
      </c>
      <c r="C10" s="16" t="s">
        <v>37</v>
      </c>
      <c r="D10" s="24" t="s">
        <v>38</v>
      </c>
      <c r="E10" s="1">
        <v>8.9999999999999993E-3</v>
      </c>
      <c r="F10" s="16" t="s">
        <v>39</v>
      </c>
      <c r="G10" s="16" t="s">
        <v>40</v>
      </c>
      <c r="H10" s="16" t="s">
        <v>41</v>
      </c>
    </row>
    <row r="11" spans="1:8" x14ac:dyDescent="0.25">
      <c r="A11" s="22">
        <v>10</v>
      </c>
      <c r="B11" s="16" t="s">
        <v>1902</v>
      </c>
      <c r="C11" s="16" t="s">
        <v>42</v>
      </c>
      <c r="D11" s="24" t="s">
        <v>43</v>
      </c>
      <c r="E11" s="1">
        <v>0.01</v>
      </c>
      <c r="F11" s="16" t="s">
        <v>44</v>
      </c>
      <c r="G11" s="16" t="s">
        <v>45</v>
      </c>
      <c r="H11" s="16" t="s">
        <v>651</v>
      </c>
    </row>
    <row r="12" spans="1:8" x14ac:dyDescent="0.25">
      <c r="A12" s="22">
        <v>11</v>
      </c>
      <c r="B12" s="16" t="s">
        <v>1903</v>
      </c>
      <c r="C12" s="16" t="s">
        <v>46</v>
      </c>
      <c r="D12" s="24" t="s">
        <v>47</v>
      </c>
      <c r="E12" s="1">
        <v>1.0999999999999999E-2</v>
      </c>
      <c r="F12" s="16" t="s">
        <v>48</v>
      </c>
      <c r="G12" s="16" t="s">
        <v>49</v>
      </c>
      <c r="H12" s="16" t="s">
        <v>652</v>
      </c>
    </row>
    <row r="13" spans="1:8" x14ac:dyDescent="0.25">
      <c r="A13" s="22">
        <v>12</v>
      </c>
      <c r="B13" s="16" t="s">
        <v>1904</v>
      </c>
      <c r="C13" s="16" t="s">
        <v>50</v>
      </c>
      <c r="D13" s="24" t="s">
        <v>51</v>
      </c>
      <c r="E13" s="1">
        <v>1.2E-2</v>
      </c>
      <c r="F13" s="16" t="s">
        <v>52</v>
      </c>
      <c r="G13" s="16" t="s">
        <v>53</v>
      </c>
      <c r="H13" s="16" t="s">
        <v>54</v>
      </c>
    </row>
    <row r="14" spans="1:8" x14ac:dyDescent="0.25">
      <c r="A14" s="22">
        <v>13</v>
      </c>
      <c r="B14" s="16" t="s">
        <v>1905</v>
      </c>
      <c r="C14" s="16" t="s">
        <v>55</v>
      </c>
      <c r="D14" s="24" t="s">
        <v>56</v>
      </c>
      <c r="E14" s="1">
        <v>1.2999999999999999E-2</v>
      </c>
      <c r="F14" s="16" t="s">
        <v>57</v>
      </c>
      <c r="G14" s="16" t="s">
        <v>58</v>
      </c>
      <c r="H14" s="16" t="s">
        <v>653</v>
      </c>
    </row>
    <row r="15" spans="1:8" x14ac:dyDescent="0.25">
      <c r="A15" s="22">
        <v>14</v>
      </c>
      <c r="B15" s="16" t="s">
        <v>1906</v>
      </c>
      <c r="C15" s="16" t="s">
        <v>59</v>
      </c>
      <c r="D15" s="24" t="s">
        <v>60</v>
      </c>
      <c r="E15" s="1">
        <v>1.4E-2</v>
      </c>
      <c r="F15" s="16" t="s">
        <v>61</v>
      </c>
      <c r="G15" s="16" t="s">
        <v>62</v>
      </c>
      <c r="H15" s="16" t="s">
        <v>654</v>
      </c>
    </row>
    <row r="16" spans="1:8" x14ac:dyDescent="0.25">
      <c r="A16" s="22">
        <v>15</v>
      </c>
      <c r="B16" s="16" t="s">
        <v>1907</v>
      </c>
      <c r="C16" s="16" t="s">
        <v>63</v>
      </c>
      <c r="D16" s="24" t="s">
        <v>64</v>
      </c>
      <c r="E16" s="1">
        <v>1.4999999999999999E-2</v>
      </c>
      <c r="F16" s="16" t="s">
        <v>65</v>
      </c>
      <c r="G16" s="16" t="s">
        <v>66</v>
      </c>
      <c r="H16" s="16" t="s">
        <v>67</v>
      </c>
    </row>
    <row r="17" spans="1:8" x14ac:dyDescent="0.25">
      <c r="A17" s="22">
        <v>16</v>
      </c>
      <c r="B17" s="16" t="s">
        <v>1908</v>
      </c>
      <c r="C17" s="16" t="s">
        <v>68</v>
      </c>
      <c r="D17" s="24" t="s">
        <v>69</v>
      </c>
      <c r="E17" s="1">
        <v>1.6E-2</v>
      </c>
      <c r="F17" s="16" t="s">
        <v>70</v>
      </c>
      <c r="G17" s="16" t="s">
        <v>71</v>
      </c>
      <c r="H17" s="16" t="s">
        <v>72</v>
      </c>
    </row>
    <row r="18" spans="1:8" x14ac:dyDescent="0.25">
      <c r="A18" s="22">
        <v>17</v>
      </c>
      <c r="B18" s="16" t="s">
        <v>1909</v>
      </c>
      <c r="C18" s="16" t="s">
        <v>73</v>
      </c>
      <c r="D18" s="24" t="s">
        <v>74</v>
      </c>
      <c r="E18" s="1">
        <v>1.7000000000000001E-2</v>
      </c>
      <c r="F18" s="16" t="s">
        <v>75</v>
      </c>
      <c r="G18" s="16" t="s">
        <v>76</v>
      </c>
      <c r="H18" s="16" t="s">
        <v>77</v>
      </c>
    </row>
    <row r="19" spans="1:8" x14ac:dyDescent="0.25">
      <c r="A19" s="22">
        <v>18</v>
      </c>
      <c r="B19" s="16" t="s">
        <v>1910</v>
      </c>
      <c r="C19" s="16" t="s">
        <v>78</v>
      </c>
      <c r="D19" s="24" t="s">
        <v>79</v>
      </c>
      <c r="E19" s="1">
        <v>1.7999999999999999E-2</v>
      </c>
      <c r="F19" s="16" t="s">
        <v>80</v>
      </c>
      <c r="G19" s="16" t="s">
        <v>81</v>
      </c>
      <c r="H19" s="16" t="s">
        <v>82</v>
      </c>
    </row>
    <row r="20" spans="1:8" x14ac:dyDescent="0.25">
      <c r="A20" s="22">
        <v>19</v>
      </c>
      <c r="B20" s="16" t="s">
        <v>1911</v>
      </c>
      <c r="C20" s="16" t="s">
        <v>83</v>
      </c>
      <c r="D20" s="24" t="s">
        <v>84</v>
      </c>
      <c r="E20" s="1">
        <v>1.9E-2</v>
      </c>
      <c r="F20" s="16" t="s">
        <v>85</v>
      </c>
      <c r="G20" s="16" t="s">
        <v>86</v>
      </c>
      <c r="H20" s="16" t="s">
        <v>87</v>
      </c>
    </row>
    <row r="21" spans="1:8" x14ac:dyDescent="0.25">
      <c r="A21" s="22">
        <v>20</v>
      </c>
      <c r="B21" s="16" t="s">
        <v>1912</v>
      </c>
      <c r="C21" s="16" t="s">
        <v>88</v>
      </c>
      <c r="D21" s="24" t="s">
        <v>89</v>
      </c>
      <c r="E21" s="1">
        <v>0.02</v>
      </c>
      <c r="F21" s="16" t="s">
        <v>90</v>
      </c>
      <c r="G21" s="16" t="s">
        <v>91</v>
      </c>
      <c r="H21" s="16" t="s">
        <v>92</v>
      </c>
    </row>
    <row r="22" spans="1:8" x14ac:dyDescent="0.25">
      <c r="A22" s="22">
        <v>21</v>
      </c>
      <c r="B22" s="16" t="s">
        <v>1913</v>
      </c>
      <c r="C22" s="16" t="s">
        <v>93</v>
      </c>
      <c r="D22" s="24" t="s">
        <v>94</v>
      </c>
      <c r="E22" s="1">
        <v>2.1000000000000001E-2</v>
      </c>
      <c r="F22" s="16" t="s">
        <v>95</v>
      </c>
      <c r="G22" s="16" t="s">
        <v>96</v>
      </c>
      <c r="H22" s="16" t="s">
        <v>97</v>
      </c>
    </row>
    <row r="23" spans="1:8" x14ac:dyDescent="0.25">
      <c r="A23" s="22">
        <v>22</v>
      </c>
      <c r="B23" s="16" t="s">
        <v>1914</v>
      </c>
      <c r="C23" s="16" t="s">
        <v>98</v>
      </c>
      <c r="D23" s="24" t="s">
        <v>99</v>
      </c>
      <c r="E23" s="1">
        <v>2.1999999999999999E-2</v>
      </c>
      <c r="F23" s="16" t="s">
        <v>100</v>
      </c>
      <c r="G23" s="16" t="s">
        <v>101</v>
      </c>
      <c r="H23" s="16" t="s">
        <v>102</v>
      </c>
    </row>
    <row r="24" spans="1:8" x14ac:dyDescent="0.25">
      <c r="A24" s="22">
        <v>23</v>
      </c>
      <c r="B24" s="16" t="s">
        <v>1915</v>
      </c>
      <c r="C24" s="16" t="s">
        <v>103</v>
      </c>
      <c r="D24" s="24" t="s">
        <v>104</v>
      </c>
      <c r="E24" s="1">
        <v>2.3E-2</v>
      </c>
      <c r="F24" s="16" t="s">
        <v>105</v>
      </c>
      <c r="G24" s="16" t="s">
        <v>106</v>
      </c>
      <c r="H24" s="16" t="s">
        <v>643</v>
      </c>
    </row>
    <row r="25" spans="1:8" x14ac:dyDescent="0.25">
      <c r="A25" s="22">
        <v>24</v>
      </c>
      <c r="B25" s="16" t="s">
        <v>1916</v>
      </c>
      <c r="C25" s="16" t="s">
        <v>107</v>
      </c>
      <c r="D25" s="24" t="s">
        <v>108</v>
      </c>
      <c r="E25" s="1">
        <v>2.4E-2</v>
      </c>
      <c r="F25" s="16" t="s">
        <v>109</v>
      </c>
      <c r="G25" s="16" t="s">
        <v>110</v>
      </c>
      <c r="H25" s="16" t="s">
        <v>111</v>
      </c>
    </row>
    <row r="26" spans="1:8" x14ac:dyDescent="0.25">
      <c r="A26" s="22">
        <v>25</v>
      </c>
      <c r="B26" s="16" t="s">
        <v>1917</v>
      </c>
      <c r="C26" s="16" t="s">
        <v>112</v>
      </c>
      <c r="D26" s="24" t="s">
        <v>113</v>
      </c>
      <c r="E26" s="1">
        <v>2.5000000000000001E-2</v>
      </c>
      <c r="F26" s="16" t="s">
        <v>114</v>
      </c>
      <c r="G26" s="16" t="s">
        <v>115</v>
      </c>
      <c r="H26" s="16" t="s">
        <v>116</v>
      </c>
    </row>
    <row r="27" spans="1:8" x14ac:dyDescent="0.25">
      <c r="A27" s="22">
        <v>26</v>
      </c>
      <c r="B27" s="16" t="s">
        <v>1918</v>
      </c>
      <c r="C27" s="16" t="s">
        <v>117</v>
      </c>
      <c r="D27" s="24" t="s">
        <v>118</v>
      </c>
      <c r="E27" s="1">
        <v>2.5999999999999999E-2</v>
      </c>
      <c r="F27" s="16" t="s">
        <v>119</v>
      </c>
      <c r="G27" s="16" t="s">
        <v>120</v>
      </c>
      <c r="H27" s="16" t="s">
        <v>121</v>
      </c>
    </row>
    <row r="28" spans="1:8" x14ac:dyDescent="0.25">
      <c r="A28" s="22">
        <v>27</v>
      </c>
      <c r="B28" s="16" t="s">
        <v>1919</v>
      </c>
      <c r="C28" s="16" t="s">
        <v>122</v>
      </c>
      <c r="D28" s="24" t="s">
        <v>123</v>
      </c>
      <c r="E28" s="1">
        <v>2.7E-2</v>
      </c>
      <c r="F28" s="16" t="s">
        <v>124</v>
      </c>
      <c r="G28" s="16" t="s">
        <v>125</v>
      </c>
      <c r="H28" s="16" t="s">
        <v>126</v>
      </c>
    </row>
    <row r="29" spans="1:8" x14ac:dyDescent="0.25">
      <c r="A29" s="22">
        <v>28</v>
      </c>
      <c r="B29" s="16" t="s">
        <v>1920</v>
      </c>
      <c r="C29" s="16" t="s">
        <v>127</v>
      </c>
      <c r="D29" s="24" t="s">
        <v>128</v>
      </c>
      <c r="E29" s="1">
        <v>2.8000000000000001E-2</v>
      </c>
      <c r="F29" s="16" t="s">
        <v>129</v>
      </c>
      <c r="G29" s="16" t="s">
        <v>130</v>
      </c>
      <c r="H29" s="16" t="s">
        <v>131</v>
      </c>
    </row>
    <row r="30" spans="1:8" x14ac:dyDescent="0.25">
      <c r="A30" s="22">
        <v>29</v>
      </c>
      <c r="B30" s="16" t="s">
        <v>1921</v>
      </c>
      <c r="C30" s="16" t="s">
        <v>132</v>
      </c>
      <c r="D30" s="24" t="s">
        <v>133</v>
      </c>
      <c r="E30" s="1">
        <v>2.9000000000000001E-2</v>
      </c>
      <c r="F30" s="16" t="s">
        <v>134</v>
      </c>
      <c r="G30" s="16" t="s">
        <v>135</v>
      </c>
      <c r="H30" s="16" t="s">
        <v>136</v>
      </c>
    </row>
    <row r="31" spans="1:8" x14ac:dyDescent="0.25">
      <c r="A31" s="22">
        <v>30</v>
      </c>
      <c r="B31" s="16" t="s">
        <v>1922</v>
      </c>
      <c r="C31" s="16" t="s">
        <v>137</v>
      </c>
      <c r="D31" s="24" t="s">
        <v>138</v>
      </c>
      <c r="E31" s="1">
        <v>0.03</v>
      </c>
      <c r="F31" s="16" t="s">
        <v>139</v>
      </c>
      <c r="G31" s="16" t="s">
        <v>140</v>
      </c>
      <c r="H31" s="16" t="s">
        <v>141</v>
      </c>
    </row>
    <row r="32" spans="1:8" x14ac:dyDescent="0.25">
      <c r="A32" s="22">
        <v>31</v>
      </c>
      <c r="B32" s="16" t="s">
        <v>1923</v>
      </c>
      <c r="C32" s="16" t="s">
        <v>142</v>
      </c>
      <c r="D32" s="24" t="s">
        <v>143</v>
      </c>
      <c r="E32" s="1">
        <v>3.1E-2</v>
      </c>
      <c r="F32" s="16" t="s">
        <v>144</v>
      </c>
      <c r="G32" s="16" t="s">
        <v>145</v>
      </c>
      <c r="H32" s="16" t="s">
        <v>146</v>
      </c>
    </row>
    <row r="33" spans="1:8" x14ac:dyDescent="0.25">
      <c r="A33" s="22">
        <v>32</v>
      </c>
      <c r="B33" s="16" t="s">
        <v>1924</v>
      </c>
      <c r="C33" s="16" t="s">
        <v>147</v>
      </c>
      <c r="D33" s="24" t="s">
        <v>148</v>
      </c>
      <c r="E33" s="1">
        <v>3.2000000000000001E-2</v>
      </c>
      <c r="F33" s="16" t="s">
        <v>149</v>
      </c>
      <c r="G33" s="16" t="s">
        <v>150</v>
      </c>
      <c r="H33" s="16" t="s">
        <v>151</v>
      </c>
    </row>
    <row r="34" spans="1:8" x14ac:dyDescent="0.25">
      <c r="A34" s="22">
        <v>33</v>
      </c>
      <c r="B34" s="16" t="s">
        <v>1925</v>
      </c>
      <c r="C34" s="16" t="s">
        <v>152</v>
      </c>
      <c r="D34" s="24" t="s">
        <v>153</v>
      </c>
      <c r="E34" s="1">
        <v>3.3000000000000002E-2</v>
      </c>
      <c r="F34" s="16" t="s">
        <v>154</v>
      </c>
      <c r="G34" s="16" t="s">
        <v>155</v>
      </c>
      <c r="H34" s="16" t="s">
        <v>156</v>
      </c>
    </row>
    <row r="35" spans="1:8" x14ac:dyDescent="0.25">
      <c r="A35" s="22">
        <v>34</v>
      </c>
      <c r="B35" s="16" t="s">
        <v>1926</v>
      </c>
      <c r="C35" s="16" t="s">
        <v>157</v>
      </c>
      <c r="D35" s="24" t="s">
        <v>158</v>
      </c>
      <c r="E35" s="1">
        <v>3.4000000000000002E-2</v>
      </c>
      <c r="F35" s="16" t="s">
        <v>159</v>
      </c>
      <c r="G35" s="16" t="s">
        <v>160</v>
      </c>
      <c r="H35" s="16" t="s">
        <v>161</v>
      </c>
    </row>
    <row r="36" spans="1:8" x14ac:dyDescent="0.25">
      <c r="A36" s="22">
        <v>35</v>
      </c>
      <c r="B36" s="16" t="s">
        <v>1927</v>
      </c>
      <c r="C36" s="16" t="s">
        <v>162</v>
      </c>
      <c r="D36" s="24" t="s">
        <v>163</v>
      </c>
      <c r="E36" s="1">
        <v>3.5000000000000003E-2</v>
      </c>
      <c r="F36" s="16" t="s">
        <v>164</v>
      </c>
      <c r="G36" s="16" t="s">
        <v>165</v>
      </c>
      <c r="H36" s="16" t="s">
        <v>166</v>
      </c>
    </row>
    <row r="37" spans="1:8" x14ac:dyDescent="0.25">
      <c r="A37" s="22">
        <v>36</v>
      </c>
      <c r="B37" s="16" t="s">
        <v>1928</v>
      </c>
      <c r="C37" s="16" t="s">
        <v>167</v>
      </c>
      <c r="D37" s="24" t="s">
        <v>168</v>
      </c>
      <c r="E37" s="1">
        <v>3.5999999999999997E-2</v>
      </c>
      <c r="F37" s="16" t="s">
        <v>169</v>
      </c>
      <c r="G37" s="16" t="s">
        <v>170</v>
      </c>
      <c r="H37" s="16" t="s">
        <v>171</v>
      </c>
    </row>
    <row r="38" spans="1:8" x14ac:dyDescent="0.25">
      <c r="A38" s="22">
        <v>37</v>
      </c>
      <c r="B38" s="16" t="s">
        <v>1929</v>
      </c>
      <c r="C38" s="16" t="s">
        <v>172</v>
      </c>
      <c r="D38" s="24" t="s">
        <v>173</v>
      </c>
      <c r="E38" s="1">
        <v>3.6999999999999998E-2</v>
      </c>
      <c r="F38" s="16" t="s">
        <v>174</v>
      </c>
      <c r="G38" s="16" t="s">
        <v>175</v>
      </c>
      <c r="H38" s="16" t="s">
        <v>176</v>
      </c>
    </row>
    <row r="39" spans="1:8" x14ac:dyDescent="0.25">
      <c r="A39" s="22">
        <v>38</v>
      </c>
      <c r="B39" s="16" t="s">
        <v>1930</v>
      </c>
      <c r="C39" s="16" t="s">
        <v>177</v>
      </c>
      <c r="D39" s="24" t="s">
        <v>178</v>
      </c>
      <c r="E39" s="1">
        <v>3.7999999999999999E-2</v>
      </c>
      <c r="F39" s="16" t="s">
        <v>179</v>
      </c>
      <c r="G39" s="16" t="s">
        <v>180</v>
      </c>
      <c r="H39" s="16" t="s">
        <v>181</v>
      </c>
    </row>
    <row r="40" spans="1:8" x14ac:dyDescent="0.25">
      <c r="A40" s="22">
        <v>39</v>
      </c>
      <c r="B40" s="16" t="s">
        <v>1931</v>
      </c>
      <c r="C40" s="16" t="s">
        <v>182</v>
      </c>
      <c r="D40" s="24" t="s">
        <v>183</v>
      </c>
      <c r="E40" s="1">
        <v>3.9E-2</v>
      </c>
      <c r="F40" s="16" t="s">
        <v>184</v>
      </c>
      <c r="G40" s="16" t="s">
        <v>185</v>
      </c>
      <c r="H40" s="16" t="s">
        <v>186</v>
      </c>
    </row>
    <row r="41" spans="1:8" x14ac:dyDescent="0.25">
      <c r="A41" s="22">
        <v>40</v>
      </c>
      <c r="B41" s="16" t="s">
        <v>1932</v>
      </c>
      <c r="C41" s="16" t="s">
        <v>187</v>
      </c>
      <c r="D41" s="24" t="s">
        <v>188</v>
      </c>
      <c r="E41" s="1">
        <v>0.04</v>
      </c>
      <c r="F41" s="16" t="s">
        <v>189</v>
      </c>
      <c r="G41" s="16" t="s">
        <v>190</v>
      </c>
      <c r="H41" s="16" t="s">
        <v>191</v>
      </c>
    </row>
    <row r="42" spans="1:8" x14ac:dyDescent="0.25">
      <c r="A42" s="22">
        <v>41</v>
      </c>
      <c r="B42" s="16" t="s">
        <v>1933</v>
      </c>
      <c r="C42" s="16" t="s">
        <v>192</v>
      </c>
      <c r="D42" s="24" t="s">
        <v>193</v>
      </c>
      <c r="E42" s="1">
        <v>4.1000000000000002E-2</v>
      </c>
      <c r="F42" s="16" t="s">
        <v>194</v>
      </c>
      <c r="G42" s="16" t="s">
        <v>195</v>
      </c>
      <c r="H42" s="16" t="s">
        <v>196</v>
      </c>
    </row>
    <row r="43" spans="1:8" x14ac:dyDescent="0.25">
      <c r="A43" s="22">
        <v>42</v>
      </c>
      <c r="B43" s="16" t="s">
        <v>1934</v>
      </c>
      <c r="C43" s="16" t="s">
        <v>197</v>
      </c>
      <c r="D43" s="24" t="s">
        <v>198</v>
      </c>
      <c r="E43" s="1">
        <v>4.2000000000000003E-2</v>
      </c>
      <c r="F43" s="16" t="s">
        <v>199</v>
      </c>
      <c r="G43" s="16" t="s">
        <v>200</v>
      </c>
      <c r="H43" s="16" t="s">
        <v>201</v>
      </c>
    </row>
    <row r="44" spans="1:8" x14ac:dyDescent="0.25">
      <c r="A44" s="22">
        <v>43</v>
      </c>
      <c r="B44" s="16" t="s">
        <v>1935</v>
      </c>
      <c r="C44" s="16" t="s">
        <v>202</v>
      </c>
      <c r="D44" s="24" t="s">
        <v>203</v>
      </c>
      <c r="E44" s="1">
        <v>4.2999999999999997E-2</v>
      </c>
      <c r="F44" s="16" t="s">
        <v>204</v>
      </c>
      <c r="G44" s="16" t="s">
        <v>205</v>
      </c>
      <c r="H44" s="16" t="s">
        <v>206</v>
      </c>
    </row>
    <row r="45" spans="1:8" x14ac:dyDescent="0.25">
      <c r="A45" s="22">
        <v>44</v>
      </c>
      <c r="B45" s="16" t="s">
        <v>1936</v>
      </c>
      <c r="C45" s="16" t="s">
        <v>207</v>
      </c>
      <c r="D45" s="24" t="s">
        <v>208</v>
      </c>
      <c r="E45" s="1">
        <v>4.3999999999999997E-2</v>
      </c>
      <c r="F45" s="16" t="s">
        <v>209</v>
      </c>
      <c r="G45" s="16" t="s">
        <v>210</v>
      </c>
      <c r="H45" s="16" t="s">
        <v>211</v>
      </c>
    </row>
    <row r="46" spans="1:8" x14ac:dyDescent="0.25">
      <c r="A46" s="22">
        <v>45</v>
      </c>
      <c r="B46" s="16" t="s">
        <v>1937</v>
      </c>
      <c r="C46" s="16" t="s">
        <v>212</v>
      </c>
      <c r="D46" s="24" t="s">
        <v>213</v>
      </c>
      <c r="E46" s="1">
        <v>4.4999999999999998E-2</v>
      </c>
      <c r="F46" s="16" t="s">
        <v>214</v>
      </c>
      <c r="G46" s="16" t="s">
        <v>215</v>
      </c>
      <c r="H46" s="16" t="s">
        <v>216</v>
      </c>
    </row>
    <row r="47" spans="1:8" x14ac:dyDescent="0.25">
      <c r="A47" s="22">
        <v>46</v>
      </c>
      <c r="B47" s="16" t="s">
        <v>1938</v>
      </c>
      <c r="C47" s="16" t="s">
        <v>217</v>
      </c>
      <c r="D47" s="24" t="s">
        <v>218</v>
      </c>
      <c r="E47" s="1">
        <v>4.5999999999999999E-2</v>
      </c>
      <c r="F47" s="16" t="s">
        <v>219</v>
      </c>
      <c r="G47" s="16" t="s">
        <v>220</v>
      </c>
      <c r="H47" s="16" t="s">
        <v>221</v>
      </c>
    </row>
    <row r="48" spans="1:8" x14ac:dyDescent="0.25">
      <c r="A48" s="22">
        <v>47</v>
      </c>
      <c r="B48" s="16" t="s">
        <v>1939</v>
      </c>
      <c r="C48" s="16" t="s">
        <v>222</v>
      </c>
      <c r="D48" s="24" t="s">
        <v>223</v>
      </c>
      <c r="E48" s="1">
        <v>4.7E-2</v>
      </c>
      <c r="F48" s="16" t="s">
        <v>224</v>
      </c>
      <c r="G48" s="16" t="s">
        <v>225</v>
      </c>
      <c r="H48" s="16" t="s">
        <v>226</v>
      </c>
    </row>
    <row r="49" spans="1:8" x14ac:dyDescent="0.25">
      <c r="A49" s="22">
        <v>48</v>
      </c>
      <c r="B49" s="16" t="s">
        <v>1940</v>
      </c>
      <c r="C49" s="16" t="s">
        <v>227</v>
      </c>
      <c r="D49" s="24" t="s">
        <v>228</v>
      </c>
      <c r="E49" s="1">
        <v>4.8000000000000001E-2</v>
      </c>
      <c r="F49" s="16" t="s">
        <v>229</v>
      </c>
      <c r="G49" s="16" t="s">
        <v>230</v>
      </c>
      <c r="H49" s="16" t="s">
        <v>231</v>
      </c>
    </row>
    <row r="50" spans="1:8" x14ac:dyDescent="0.25">
      <c r="A50" s="22">
        <v>49</v>
      </c>
      <c r="B50" s="16" t="s">
        <v>1941</v>
      </c>
      <c r="C50" s="16" t="s">
        <v>232</v>
      </c>
      <c r="D50" s="24" t="s">
        <v>233</v>
      </c>
      <c r="E50" s="1">
        <v>4.9000000000000002E-2</v>
      </c>
      <c r="F50" s="16" t="s">
        <v>234</v>
      </c>
      <c r="G50" s="16" t="s">
        <v>235</v>
      </c>
      <c r="H50" s="16" t="s">
        <v>236</v>
      </c>
    </row>
    <row r="51" spans="1:8" x14ac:dyDescent="0.25">
      <c r="A51" s="22">
        <v>50</v>
      </c>
      <c r="B51" s="16" t="s">
        <v>1942</v>
      </c>
      <c r="C51" s="16" t="s">
        <v>237</v>
      </c>
      <c r="D51" s="24" t="s">
        <v>238</v>
      </c>
      <c r="E51" s="1">
        <v>0.05</v>
      </c>
      <c r="F51" s="16" t="s">
        <v>239</v>
      </c>
      <c r="G51" s="16" t="s">
        <v>240</v>
      </c>
      <c r="H51" s="16" t="s">
        <v>241</v>
      </c>
    </row>
    <row r="52" spans="1:8" x14ac:dyDescent="0.25">
      <c r="A52" s="22">
        <v>51</v>
      </c>
      <c r="B52" s="16" t="s">
        <v>1943</v>
      </c>
      <c r="C52" s="16" t="s">
        <v>242</v>
      </c>
      <c r="D52" s="24" t="s">
        <v>243</v>
      </c>
      <c r="E52" s="1">
        <v>5.0999999999999997E-2</v>
      </c>
      <c r="F52" s="16" t="s">
        <v>244</v>
      </c>
      <c r="G52" s="16" t="s">
        <v>245</v>
      </c>
      <c r="H52" s="16" t="s">
        <v>246</v>
      </c>
    </row>
    <row r="53" spans="1:8" x14ac:dyDescent="0.25">
      <c r="A53" s="22">
        <v>52</v>
      </c>
      <c r="B53" s="16" t="s">
        <v>1944</v>
      </c>
      <c r="C53" s="16" t="s">
        <v>247</v>
      </c>
      <c r="D53" s="24" t="s">
        <v>248</v>
      </c>
      <c r="E53" s="1">
        <v>5.1999999999999998E-2</v>
      </c>
      <c r="F53" s="16" t="s">
        <v>249</v>
      </c>
      <c r="G53" s="16" t="s">
        <v>250</v>
      </c>
      <c r="H53" s="16" t="s">
        <v>251</v>
      </c>
    </row>
    <row r="54" spans="1:8" x14ac:dyDescent="0.25">
      <c r="A54" s="22">
        <v>53</v>
      </c>
      <c r="B54" s="16" t="s">
        <v>1945</v>
      </c>
      <c r="C54" s="16" t="s">
        <v>252</v>
      </c>
      <c r="D54" s="24" t="s">
        <v>253</v>
      </c>
      <c r="E54" s="1">
        <v>0.53</v>
      </c>
      <c r="F54" s="16" t="s">
        <v>254</v>
      </c>
      <c r="G54" s="16" t="s">
        <v>255</v>
      </c>
      <c r="H54" s="16" t="s">
        <v>256</v>
      </c>
    </row>
    <row r="55" spans="1:8" x14ac:dyDescent="0.25">
      <c r="A55" s="22">
        <v>54</v>
      </c>
      <c r="B55" s="16" t="s">
        <v>1946</v>
      </c>
      <c r="C55" s="16" t="s">
        <v>257</v>
      </c>
      <c r="D55" s="24" t="s">
        <v>258</v>
      </c>
      <c r="E55" s="1">
        <v>0.54</v>
      </c>
      <c r="F55" s="16" t="s">
        <v>259</v>
      </c>
      <c r="G55" s="16" t="s">
        <v>260</v>
      </c>
      <c r="H55" s="16" t="s">
        <v>261</v>
      </c>
    </row>
    <row r="56" spans="1:8" x14ac:dyDescent="0.25">
      <c r="A56" s="22">
        <v>55</v>
      </c>
      <c r="B56" s="16" t="s">
        <v>1947</v>
      </c>
      <c r="C56" s="16" t="s">
        <v>262</v>
      </c>
      <c r="D56" s="24" t="s">
        <v>263</v>
      </c>
      <c r="E56" s="1">
        <v>0.55000000000000004</v>
      </c>
      <c r="F56" s="16" t="s">
        <v>264</v>
      </c>
      <c r="G56" s="16" t="s">
        <v>265</v>
      </c>
      <c r="H56" s="16" t="s">
        <v>266</v>
      </c>
    </row>
    <row r="57" spans="1:8" x14ac:dyDescent="0.25">
      <c r="A57" s="22">
        <v>56</v>
      </c>
      <c r="B57" s="16" t="s">
        <v>1948</v>
      </c>
      <c r="C57" s="16" t="s">
        <v>267</v>
      </c>
      <c r="D57" s="24" t="s">
        <v>268</v>
      </c>
      <c r="E57" s="1">
        <v>0.56000000000000005</v>
      </c>
      <c r="F57" s="16" t="s">
        <v>269</v>
      </c>
      <c r="G57" s="16" t="s">
        <v>270</v>
      </c>
      <c r="H57" s="16" t="s">
        <v>271</v>
      </c>
    </row>
    <row r="58" spans="1:8" x14ac:dyDescent="0.25">
      <c r="A58" s="22">
        <v>57</v>
      </c>
      <c r="B58" s="16" t="s">
        <v>1949</v>
      </c>
      <c r="C58" s="16" t="s">
        <v>272</v>
      </c>
      <c r="D58" s="24" t="s">
        <v>273</v>
      </c>
      <c r="E58" s="1">
        <v>0.56999999999999995</v>
      </c>
      <c r="F58" s="16" t="s">
        <v>274</v>
      </c>
      <c r="G58" s="16" t="s">
        <v>275</v>
      </c>
      <c r="H58" s="16" t="s">
        <v>276</v>
      </c>
    </row>
    <row r="59" spans="1:8" x14ac:dyDescent="0.25">
      <c r="A59" s="22">
        <v>58</v>
      </c>
      <c r="B59" s="16" t="s">
        <v>1950</v>
      </c>
      <c r="C59" s="16" t="s">
        <v>277</v>
      </c>
      <c r="D59" s="24" t="s">
        <v>278</v>
      </c>
      <c r="E59" s="1">
        <v>0.57999999999999996</v>
      </c>
      <c r="F59" s="16" t="s">
        <v>279</v>
      </c>
      <c r="G59" s="16" t="s">
        <v>280</v>
      </c>
      <c r="H59" s="16" t="s">
        <v>281</v>
      </c>
    </row>
    <row r="60" spans="1:8" x14ac:dyDescent="0.25">
      <c r="A60" s="22">
        <v>59</v>
      </c>
      <c r="B60" s="16" t="s">
        <v>1951</v>
      </c>
      <c r="C60" s="16" t="s">
        <v>282</v>
      </c>
      <c r="D60" s="24" t="s">
        <v>283</v>
      </c>
      <c r="E60" s="1">
        <v>0.59</v>
      </c>
      <c r="F60" s="16" t="s">
        <v>284</v>
      </c>
      <c r="G60" s="16" t="s">
        <v>285</v>
      </c>
      <c r="H60" s="16" t="s">
        <v>286</v>
      </c>
    </row>
    <row r="61" spans="1:8" x14ac:dyDescent="0.25">
      <c r="A61" s="22">
        <v>60</v>
      </c>
      <c r="B61" s="16" t="s">
        <v>1952</v>
      </c>
      <c r="C61" s="16" t="s">
        <v>287</v>
      </c>
      <c r="D61" s="24" t="s">
        <v>288</v>
      </c>
      <c r="E61" s="1">
        <v>0.6</v>
      </c>
      <c r="F61" s="16" t="s">
        <v>289</v>
      </c>
      <c r="G61" s="16" t="s">
        <v>290</v>
      </c>
      <c r="H61" s="16" t="s">
        <v>291</v>
      </c>
    </row>
    <row r="62" spans="1:8" x14ac:dyDescent="0.25">
      <c r="A62" s="22">
        <v>61</v>
      </c>
      <c r="B62" s="16" t="s">
        <v>1953</v>
      </c>
      <c r="C62" s="16" t="s">
        <v>292</v>
      </c>
      <c r="D62" s="24" t="s">
        <v>293</v>
      </c>
      <c r="E62" s="1">
        <v>0.61</v>
      </c>
      <c r="F62" s="16" t="s">
        <v>294</v>
      </c>
      <c r="G62" s="16" t="s">
        <v>295</v>
      </c>
      <c r="H62" s="16" t="s">
        <v>296</v>
      </c>
    </row>
    <row r="63" spans="1:8" x14ac:dyDescent="0.25">
      <c r="A63" s="22">
        <v>62</v>
      </c>
      <c r="B63" s="16" t="s">
        <v>1954</v>
      </c>
      <c r="C63" s="16" t="s">
        <v>297</v>
      </c>
      <c r="D63" s="24" t="s">
        <v>298</v>
      </c>
      <c r="E63" s="1">
        <v>0.62</v>
      </c>
      <c r="F63" s="16" t="s">
        <v>299</v>
      </c>
      <c r="G63" s="16" t="s">
        <v>300</v>
      </c>
      <c r="H63" s="16" t="s">
        <v>301</v>
      </c>
    </row>
    <row r="64" spans="1:8" x14ac:dyDescent="0.25">
      <c r="A64" s="22">
        <v>63</v>
      </c>
      <c r="B64" s="16" t="s">
        <v>1955</v>
      </c>
      <c r="C64" s="16" t="s">
        <v>302</v>
      </c>
      <c r="D64" s="24" t="s">
        <v>303</v>
      </c>
      <c r="E64" s="1">
        <v>0.63</v>
      </c>
      <c r="F64" s="16" t="s">
        <v>304</v>
      </c>
      <c r="G64" s="16" t="s">
        <v>305</v>
      </c>
      <c r="H64" s="16" t="s">
        <v>306</v>
      </c>
    </row>
    <row r="65" spans="1:8" x14ac:dyDescent="0.25">
      <c r="A65" s="22">
        <v>64</v>
      </c>
      <c r="B65" s="16" t="s">
        <v>1956</v>
      </c>
      <c r="C65" s="16" t="s">
        <v>307</v>
      </c>
      <c r="D65" s="24" t="s">
        <v>308</v>
      </c>
      <c r="E65" s="1">
        <v>0.64</v>
      </c>
      <c r="F65" s="16" t="s">
        <v>309</v>
      </c>
      <c r="G65" s="16" t="s">
        <v>310</v>
      </c>
      <c r="H65" s="16" t="s">
        <v>311</v>
      </c>
    </row>
    <row r="66" spans="1:8" x14ac:dyDescent="0.25">
      <c r="A66" s="22">
        <v>65</v>
      </c>
      <c r="B66" s="16" t="s">
        <v>1957</v>
      </c>
      <c r="C66" s="16" t="s">
        <v>312</v>
      </c>
      <c r="D66" s="24" t="s">
        <v>313</v>
      </c>
      <c r="E66" s="1">
        <v>0.65</v>
      </c>
      <c r="F66" s="16" t="s">
        <v>314</v>
      </c>
      <c r="G66" s="16" t="s">
        <v>315</v>
      </c>
      <c r="H66" s="16" t="s">
        <v>316</v>
      </c>
    </row>
    <row r="67" spans="1:8" x14ac:dyDescent="0.25">
      <c r="A67" s="22">
        <v>66</v>
      </c>
      <c r="B67" s="16" t="s">
        <v>1958</v>
      </c>
      <c r="C67" s="16" t="s">
        <v>317</v>
      </c>
      <c r="D67" s="24" t="s">
        <v>318</v>
      </c>
      <c r="E67" s="1">
        <v>6.6</v>
      </c>
      <c r="F67" s="16" t="s">
        <v>319</v>
      </c>
      <c r="G67" s="16" t="s">
        <v>320</v>
      </c>
      <c r="H67" s="16" t="s">
        <v>321</v>
      </c>
    </row>
    <row r="68" spans="1:8" x14ac:dyDescent="0.25">
      <c r="A68" s="22">
        <v>67</v>
      </c>
      <c r="B68" s="16" t="s">
        <v>1959</v>
      </c>
      <c r="C68" s="16" t="s">
        <v>322</v>
      </c>
      <c r="D68" s="24" t="s">
        <v>323</v>
      </c>
      <c r="E68" s="1">
        <v>6.7</v>
      </c>
      <c r="F68" s="16" t="s">
        <v>324</v>
      </c>
      <c r="G68" s="16" t="s">
        <v>325</v>
      </c>
      <c r="H68" s="16" t="s">
        <v>326</v>
      </c>
    </row>
    <row r="69" spans="1:8" x14ac:dyDescent="0.25">
      <c r="A69" s="22">
        <v>68</v>
      </c>
      <c r="B69" s="16" t="s">
        <v>1960</v>
      </c>
      <c r="C69" s="16" t="s">
        <v>327</v>
      </c>
      <c r="D69" s="24" t="s">
        <v>328</v>
      </c>
      <c r="E69" s="1">
        <v>6.8</v>
      </c>
      <c r="F69" s="16" t="s">
        <v>329</v>
      </c>
      <c r="G69" s="16" t="s">
        <v>330</v>
      </c>
      <c r="H69" s="16" t="s">
        <v>331</v>
      </c>
    </row>
    <row r="70" spans="1:8" x14ac:dyDescent="0.25">
      <c r="A70" s="22">
        <v>69</v>
      </c>
      <c r="B70" s="16" t="s">
        <v>1961</v>
      </c>
      <c r="C70" s="16" t="s">
        <v>332</v>
      </c>
      <c r="D70" s="24" t="s">
        <v>333</v>
      </c>
      <c r="E70" s="1">
        <v>6.9</v>
      </c>
      <c r="F70" s="16" t="s">
        <v>334</v>
      </c>
      <c r="G70" s="16" t="s">
        <v>335</v>
      </c>
      <c r="H70" s="16" t="s">
        <v>336</v>
      </c>
    </row>
    <row r="71" spans="1:8" x14ac:dyDescent="0.25">
      <c r="A71" s="22">
        <v>70</v>
      </c>
      <c r="B71" s="16" t="s">
        <v>1962</v>
      </c>
      <c r="C71" s="16" t="s">
        <v>337</v>
      </c>
      <c r="D71" s="24" t="s">
        <v>338</v>
      </c>
      <c r="E71" s="1">
        <v>0.7</v>
      </c>
      <c r="F71" s="16" t="s">
        <v>339</v>
      </c>
      <c r="G71" s="16" t="s">
        <v>340</v>
      </c>
      <c r="H71" s="16" t="s">
        <v>341</v>
      </c>
    </row>
    <row r="72" spans="1:8" x14ac:dyDescent="0.25">
      <c r="A72" s="22">
        <v>71</v>
      </c>
      <c r="B72" s="16" t="s">
        <v>1963</v>
      </c>
      <c r="C72" s="16" t="s">
        <v>342</v>
      </c>
      <c r="D72" s="24" t="s">
        <v>343</v>
      </c>
      <c r="E72" s="1">
        <v>7.1</v>
      </c>
      <c r="F72" s="16" t="s">
        <v>344</v>
      </c>
      <c r="G72" s="16"/>
      <c r="H72" s="16" t="s">
        <v>888</v>
      </c>
    </row>
    <row r="73" spans="1:8" x14ac:dyDescent="0.25">
      <c r="A73" s="22">
        <v>72</v>
      </c>
      <c r="B73" s="16" t="s">
        <v>1964</v>
      </c>
      <c r="C73" s="16" t="s">
        <v>345</v>
      </c>
      <c r="D73" s="24" t="s">
        <v>346</v>
      </c>
      <c r="E73" s="1">
        <v>7.2</v>
      </c>
      <c r="F73" s="16" t="s">
        <v>347</v>
      </c>
      <c r="G73" s="16"/>
      <c r="H73" s="16" t="s">
        <v>888</v>
      </c>
    </row>
    <row r="74" spans="1:8" x14ac:dyDescent="0.25">
      <c r="A74" s="22">
        <v>73</v>
      </c>
      <c r="B74" s="16" t="s">
        <v>1965</v>
      </c>
      <c r="C74" s="16" t="s">
        <v>348</v>
      </c>
      <c r="D74" s="24" t="s">
        <v>349</v>
      </c>
      <c r="E74" s="1">
        <v>7.3</v>
      </c>
      <c r="F74" s="16" t="s">
        <v>350</v>
      </c>
      <c r="G74" s="16"/>
      <c r="H74" s="16" t="s">
        <v>888</v>
      </c>
    </row>
    <row r="75" spans="1:8" x14ac:dyDescent="0.25">
      <c r="A75" s="22">
        <v>74</v>
      </c>
      <c r="B75" s="16" t="s">
        <v>1966</v>
      </c>
      <c r="C75" s="16" t="s">
        <v>351</v>
      </c>
      <c r="D75" s="24" t="s">
        <v>352</v>
      </c>
      <c r="E75" s="1">
        <v>7.4</v>
      </c>
      <c r="F75" s="16" t="s">
        <v>353</v>
      </c>
      <c r="G75" s="16"/>
      <c r="H75" s="16" t="s">
        <v>888</v>
      </c>
    </row>
    <row r="76" spans="1:8" x14ac:dyDescent="0.25">
      <c r="A76" s="22">
        <v>75</v>
      </c>
      <c r="B76" s="16" t="s">
        <v>1967</v>
      </c>
      <c r="C76" s="16" t="s">
        <v>354</v>
      </c>
      <c r="D76" s="24" t="s">
        <v>355</v>
      </c>
      <c r="E76" s="1">
        <v>0.75</v>
      </c>
      <c r="F76" s="16" t="s">
        <v>356</v>
      </c>
      <c r="G76" s="16" t="s">
        <v>357</v>
      </c>
      <c r="H76" s="16" t="s">
        <v>358</v>
      </c>
    </row>
    <row r="77" spans="1:8" x14ac:dyDescent="0.25">
      <c r="A77" s="22">
        <v>76</v>
      </c>
      <c r="B77" s="16" t="s">
        <v>1968</v>
      </c>
      <c r="C77" s="16" t="s">
        <v>359</v>
      </c>
      <c r="D77" s="24" t="s">
        <v>360</v>
      </c>
      <c r="E77" s="1">
        <v>7.6</v>
      </c>
      <c r="F77" s="16" t="s">
        <v>361</v>
      </c>
      <c r="G77" s="16"/>
      <c r="H77" s="16" t="s">
        <v>888</v>
      </c>
    </row>
    <row r="78" spans="1:8" x14ac:dyDescent="0.25">
      <c r="A78" s="22">
        <v>77</v>
      </c>
      <c r="B78" s="16" t="s">
        <v>1969</v>
      </c>
      <c r="C78" s="16" t="s">
        <v>362</v>
      </c>
      <c r="D78" s="24" t="s">
        <v>363</v>
      </c>
      <c r="E78" s="1">
        <v>7.7</v>
      </c>
      <c r="F78" s="16" t="s">
        <v>364</v>
      </c>
      <c r="G78" s="16"/>
      <c r="H78" s="16" t="s">
        <v>888</v>
      </c>
    </row>
    <row r="79" spans="1:8" x14ac:dyDescent="0.25">
      <c r="A79" s="22">
        <v>78</v>
      </c>
      <c r="B79" s="16" t="s">
        <v>1970</v>
      </c>
      <c r="C79" s="16" t="s">
        <v>365</v>
      </c>
      <c r="D79" s="24" t="s">
        <v>366</v>
      </c>
      <c r="E79" s="1">
        <v>7.8</v>
      </c>
      <c r="F79" s="16" t="s">
        <v>367</v>
      </c>
      <c r="G79" s="16"/>
      <c r="H79" s="16" t="s">
        <v>888</v>
      </c>
    </row>
    <row r="80" spans="1:8" x14ac:dyDescent="0.25">
      <c r="A80" s="22">
        <v>79</v>
      </c>
      <c r="B80" s="16" t="s">
        <v>1971</v>
      </c>
      <c r="C80" s="16" t="s">
        <v>368</v>
      </c>
      <c r="D80" s="24" t="s">
        <v>369</v>
      </c>
      <c r="E80" s="1">
        <v>7.9</v>
      </c>
      <c r="F80" s="16" t="s">
        <v>370</v>
      </c>
      <c r="G80" s="16"/>
      <c r="H80" s="16" t="s">
        <v>888</v>
      </c>
    </row>
    <row r="81" spans="1:8" x14ac:dyDescent="0.25">
      <c r="A81" s="22">
        <v>80</v>
      </c>
      <c r="B81" s="16" t="s">
        <v>1972</v>
      </c>
      <c r="C81" s="16" t="s">
        <v>371</v>
      </c>
      <c r="D81" s="24" t="s">
        <v>372</v>
      </c>
      <c r="E81" s="1">
        <v>0.8</v>
      </c>
      <c r="F81" s="16" t="s">
        <v>373</v>
      </c>
      <c r="G81" s="16" t="s">
        <v>374</v>
      </c>
      <c r="H81" s="16" t="s">
        <v>375</v>
      </c>
    </row>
    <row r="82" spans="1:8" x14ac:dyDescent="0.25">
      <c r="A82" s="22">
        <v>81</v>
      </c>
      <c r="B82" s="16" t="s">
        <v>1973</v>
      </c>
      <c r="C82" s="16" t="s">
        <v>376</v>
      </c>
      <c r="D82" s="24" t="s">
        <v>377</v>
      </c>
      <c r="E82" s="1">
        <v>8.1</v>
      </c>
      <c r="F82" s="16" t="s">
        <v>378</v>
      </c>
      <c r="G82" s="16"/>
      <c r="H82" s="16" t="s">
        <v>888</v>
      </c>
    </row>
    <row r="83" spans="1:8" x14ac:dyDescent="0.25">
      <c r="A83" s="22">
        <v>82</v>
      </c>
      <c r="B83" s="16" t="s">
        <v>1974</v>
      </c>
      <c r="C83" s="16" t="s">
        <v>379</v>
      </c>
      <c r="D83" s="24" t="s">
        <v>380</v>
      </c>
      <c r="E83" s="1">
        <v>8.1999999999999993</v>
      </c>
      <c r="F83" s="16" t="s">
        <v>381</v>
      </c>
      <c r="G83" s="16"/>
      <c r="H83" s="16" t="s">
        <v>888</v>
      </c>
    </row>
    <row r="84" spans="1:8" x14ac:dyDescent="0.25">
      <c r="A84" s="22">
        <v>83</v>
      </c>
      <c r="B84" s="16" t="s">
        <v>1975</v>
      </c>
      <c r="C84" s="16" t="s">
        <v>382</v>
      </c>
      <c r="D84" s="24" t="s">
        <v>383</v>
      </c>
      <c r="E84" s="1">
        <v>8.3000000000000007</v>
      </c>
      <c r="F84" s="16" t="s">
        <v>384</v>
      </c>
      <c r="G84" s="16"/>
      <c r="H84" s="16" t="s">
        <v>888</v>
      </c>
    </row>
    <row r="85" spans="1:8" x14ac:dyDescent="0.25">
      <c r="A85" s="22">
        <v>84</v>
      </c>
      <c r="B85" s="16" t="s">
        <v>1976</v>
      </c>
      <c r="C85" s="16" t="s">
        <v>385</v>
      </c>
      <c r="D85" s="24" t="s">
        <v>386</v>
      </c>
      <c r="E85" s="1">
        <v>8.4</v>
      </c>
      <c r="F85" s="16" t="s">
        <v>387</v>
      </c>
      <c r="G85" s="16"/>
      <c r="H85" s="16" t="s">
        <v>888</v>
      </c>
    </row>
    <row r="86" spans="1:8" x14ac:dyDescent="0.25">
      <c r="A86" s="22">
        <v>85</v>
      </c>
      <c r="B86" s="16" t="s">
        <v>1977</v>
      </c>
      <c r="C86" s="16" t="s">
        <v>388</v>
      </c>
      <c r="D86" s="24" t="s">
        <v>389</v>
      </c>
      <c r="E86" s="1">
        <v>0.85</v>
      </c>
      <c r="F86" s="16" t="s">
        <v>390</v>
      </c>
      <c r="G86" s="16" t="s">
        <v>391</v>
      </c>
      <c r="H86" s="16" t="s">
        <v>392</v>
      </c>
    </row>
    <row r="87" spans="1:8" x14ac:dyDescent="0.25">
      <c r="A87" s="22">
        <v>86</v>
      </c>
      <c r="B87" s="16" t="s">
        <v>1978</v>
      </c>
      <c r="C87" s="16" t="s">
        <v>393</v>
      </c>
      <c r="D87" s="24" t="s">
        <v>394</v>
      </c>
      <c r="E87" s="1">
        <v>8.6</v>
      </c>
      <c r="F87" s="16" t="s">
        <v>395</v>
      </c>
      <c r="G87" s="16"/>
      <c r="H87" s="16" t="s">
        <v>888</v>
      </c>
    </row>
    <row r="88" spans="1:8" x14ac:dyDescent="0.25">
      <c r="A88" s="22">
        <v>87</v>
      </c>
      <c r="B88" s="16" t="s">
        <v>1979</v>
      </c>
      <c r="C88" s="16" t="s">
        <v>396</v>
      </c>
      <c r="D88" s="24" t="s">
        <v>397</v>
      </c>
      <c r="E88" s="1">
        <v>8.6999999999999993</v>
      </c>
      <c r="F88" s="16" t="s">
        <v>398</v>
      </c>
      <c r="G88" s="16"/>
      <c r="H88" s="16" t="s">
        <v>888</v>
      </c>
    </row>
    <row r="89" spans="1:8" x14ac:dyDescent="0.25">
      <c r="A89" s="22">
        <v>88</v>
      </c>
      <c r="B89" s="16" t="s">
        <v>1980</v>
      </c>
      <c r="C89" s="16" t="s">
        <v>399</v>
      </c>
      <c r="D89" s="24" t="s">
        <v>400</v>
      </c>
      <c r="E89" s="1">
        <v>8.8000000000000007</v>
      </c>
      <c r="F89" s="16" t="s">
        <v>401</v>
      </c>
      <c r="G89" s="16"/>
      <c r="H89" s="16" t="s">
        <v>888</v>
      </c>
    </row>
    <row r="90" spans="1:8" x14ac:dyDescent="0.25">
      <c r="A90" s="22">
        <v>89</v>
      </c>
      <c r="B90" s="16" t="s">
        <v>1981</v>
      </c>
      <c r="C90" s="16" t="s">
        <v>402</v>
      </c>
      <c r="D90" s="24" t="s">
        <v>403</v>
      </c>
      <c r="E90" s="1">
        <v>8.9</v>
      </c>
      <c r="F90" s="16" t="s">
        <v>404</v>
      </c>
      <c r="G90" s="16"/>
      <c r="H90" s="16" t="s">
        <v>888</v>
      </c>
    </row>
    <row r="91" spans="1:8" x14ac:dyDescent="0.25">
      <c r="A91" s="22">
        <v>90</v>
      </c>
      <c r="B91" s="16" t="s">
        <v>1982</v>
      </c>
      <c r="C91" s="16" t="s">
        <v>405</v>
      </c>
      <c r="D91" s="24" t="s">
        <v>406</v>
      </c>
      <c r="E91" s="1">
        <v>0.9</v>
      </c>
      <c r="F91" s="16" t="s">
        <v>407</v>
      </c>
      <c r="G91" s="16" t="s">
        <v>408</v>
      </c>
      <c r="H91" s="16" t="s">
        <v>409</v>
      </c>
    </row>
    <row r="92" spans="1:8" x14ac:dyDescent="0.25">
      <c r="A92" s="22">
        <v>91</v>
      </c>
      <c r="B92" s="16" t="s">
        <v>1983</v>
      </c>
      <c r="C92" s="16" t="s">
        <v>410</v>
      </c>
      <c r="D92" s="24" t="s">
        <v>411</v>
      </c>
      <c r="E92" s="1">
        <v>9.1</v>
      </c>
      <c r="F92" s="16" t="s">
        <v>412</v>
      </c>
      <c r="G92" s="16"/>
      <c r="H92" s="16" t="s">
        <v>888</v>
      </c>
    </row>
    <row r="93" spans="1:8" x14ac:dyDescent="0.25">
      <c r="A93" s="22">
        <v>92</v>
      </c>
      <c r="B93" s="16" t="s">
        <v>1984</v>
      </c>
      <c r="C93" s="16" t="s">
        <v>413</v>
      </c>
      <c r="D93" s="24" t="s">
        <v>414</v>
      </c>
      <c r="E93" s="1">
        <v>9.1999999999999993</v>
      </c>
      <c r="F93" s="16" t="s">
        <v>415</v>
      </c>
      <c r="G93" s="16"/>
      <c r="H93" s="16" t="s">
        <v>888</v>
      </c>
    </row>
    <row r="94" spans="1:8" x14ac:dyDescent="0.25">
      <c r="A94" s="22">
        <v>93</v>
      </c>
      <c r="B94" s="16" t="s">
        <v>1985</v>
      </c>
      <c r="C94" s="16" t="s">
        <v>416</v>
      </c>
      <c r="D94" s="24" t="s">
        <v>417</v>
      </c>
      <c r="E94" s="1">
        <v>9.3000000000000007</v>
      </c>
      <c r="F94" s="16" t="s">
        <v>418</v>
      </c>
      <c r="G94" s="16"/>
      <c r="H94" s="16" t="s">
        <v>888</v>
      </c>
    </row>
    <row r="95" spans="1:8" x14ac:dyDescent="0.25">
      <c r="A95" s="22">
        <v>94</v>
      </c>
      <c r="B95" s="16" t="s">
        <v>1986</v>
      </c>
      <c r="C95" s="16" t="s">
        <v>419</v>
      </c>
      <c r="D95" s="24" t="s">
        <v>420</v>
      </c>
      <c r="E95" s="1">
        <v>9.4</v>
      </c>
      <c r="F95" s="16" t="s">
        <v>421</v>
      </c>
      <c r="G95" s="16"/>
      <c r="H95" s="16" t="s">
        <v>888</v>
      </c>
    </row>
    <row r="96" spans="1:8" x14ac:dyDescent="0.25">
      <c r="A96" s="22">
        <v>95</v>
      </c>
      <c r="B96" s="16" t="s">
        <v>1987</v>
      </c>
      <c r="C96" s="16" t="s">
        <v>422</v>
      </c>
      <c r="D96" s="24" t="s">
        <v>423</v>
      </c>
      <c r="E96" s="1">
        <v>0.95</v>
      </c>
      <c r="F96" s="16" t="s">
        <v>424</v>
      </c>
      <c r="G96" s="16" t="s">
        <v>425</v>
      </c>
      <c r="H96" s="16" t="s">
        <v>426</v>
      </c>
    </row>
    <row r="97" spans="1:8" x14ac:dyDescent="0.25">
      <c r="A97" s="22">
        <v>96</v>
      </c>
      <c r="B97" s="16" t="s">
        <v>1988</v>
      </c>
      <c r="C97" s="16" t="s">
        <v>427</v>
      </c>
      <c r="D97" s="24" t="s">
        <v>428</v>
      </c>
      <c r="E97" s="1">
        <v>9.6</v>
      </c>
      <c r="F97" s="16" t="s">
        <v>429</v>
      </c>
      <c r="G97" s="16"/>
      <c r="H97" s="16" t="s">
        <v>888</v>
      </c>
    </row>
    <row r="98" spans="1:8" x14ac:dyDescent="0.25">
      <c r="A98" s="22">
        <v>97</v>
      </c>
      <c r="B98" s="16" t="s">
        <v>1989</v>
      </c>
      <c r="C98" s="16" t="s">
        <v>430</v>
      </c>
      <c r="D98" s="24" t="s">
        <v>431</v>
      </c>
      <c r="E98" s="1">
        <v>9.6999999999999993</v>
      </c>
      <c r="F98" s="16" t="s">
        <v>432</v>
      </c>
      <c r="G98" s="16"/>
      <c r="H98" s="16" t="s">
        <v>888</v>
      </c>
    </row>
    <row r="99" spans="1:8" x14ac:dyDescent="0.25">
      <c r="A99" s="22">
        <v>98</v>
      </c>
      <c r="B99" s="16" t="s">
        <v>1990</v>
      </c>
      <c r="C99" s="16" t="s">
        <v>433</v>
      </c>
      <c r="D99" s="24" t="s">
        <v>434</v>
      </c>
      <c r="E99" s="1">
        <v>9.8000000000000007</v>
      </c>
      <c r="F99" s="16" t="s">
        <v>435</v>
      </c>
      <c r="G99" s="16"/>
      <c r="H99" s="16" t="s">
        <v>888</v>
      </c>
    </row>
    <row r="100" spans="1:8" x14ac:dyDescent="0.25">
      <c r="A100" s="22">
        <v>99</v>
      </c>
      <c r="B100" s="16" t="s">
        <v>1991</v>
      </c>
      <c r="C100" s="16" t="s">
        <v>436</v>
      </c>
      <c r="D100" s="24" t="s">
        <v>437</v>
      </c>
      <c r="E100" s="1">
        <v>9.9</v>
      </c>
      <c r="F100" s="16" t="s">
        <v>438</v>
      </c>
      <c r="G100" s="16"/>
      <c r="H100" s="16" t="s">
        <v>888</v>
      </c>
    </row>
    <row r="101" spans="1:8" x14ac:dyDescent="0.25">
      <c r="A101" s="22">
        <v>100</v>
      </c>
      <c r="B101" s="16" t="s">
        <v>1992</v>
      </c>
      <c r="C101" s="16" t="s">
        <v>439</v>
      </c>
      <c r="D101" s="24" t="s">
        <v>440</v>
      </c>
      <c r="E101" s="1">
        <v>1</v>
      </c>
      <c r="F101" s="16" t="s">
        <v>441</v>
      </c>
      <c r="G101" s="16" t="s">
        <v>442</v>
      </c>
      <c r="H101" s="16" t="s">
        <v>443</v>
      </c>
    </row>
    <row r="102" spans="1:8" x14ac:dyDescent="0.25">
      <c r="A102" s="22">
        <v>101</v>
      </c>
      <c r="B102" s="16" t="s">
        <v>1993</v>
      </c>
      <c r="C102" s="16" t="s">
        <v>444</v>
      </c>
      <c r="D102" s="24" t="s">
        <v>445</v>
      </c>
      <c r="E102" s="1">
        <v>10.1</v>
      </c>
      <c r="F102" s="16" t="s">
        <v>446</v>
      </c>
      <c r="G102" s="16"/>
      <c r="H102" s="16" t="s">
        <v>888</v>
      </c>
    </row>
    <row r="103" spans="1:8" x14ac:dyDescent="0.25">
      <c r="A103" s="22">
        <v>102</v>
      </c>
      <c r="B103" s="16" t="s">
        <v>1994</v>
      </c>
      <c r="C103" s="16" t="s">
        <v>447</v>
      </c>
      <c r="D103" s="24" t="s">
        <v>448</v>
      </c>
      <c r="E103" s="1">
        <v>10.199999999999999</v>
      </c>
      <c r="F103" s="16" t="s">
        <v>449</v>
      </c>
      <c r="G103" s="16"/>
      <c r="H103" s="16" t="s">
        <v>888</v>
      </c>
    </row>
    <row r="104" spans="1:8" x14ac:dyDescent="0.25">
      <c r="A104" s="22">
        <v>103</v>
      </c>
      <c r="B104" s="16" t="s">
        <v>1995</v>
      </c>
      <c r="C104" s="16" t="s">
        <v>450</v>
      </c>
      <c r="D104" s="24" t="s">
        <v>451</v>
      </c>
      <c r="E104" s="1">
        <v>10.3</v>
      </c>
      <c r="F104" s="16" t="s">
        <v>452</v>
      </c>
      <c r="G104" s="16"/>
      <c r="H104" s="16" t="s">
        <v>888</v>
      </c>
    </row>
    <row r="105" spans="1:8" x14ac:dyDescent="0.25">
      <c r="A105" s="22">
        <v>104</v>
      </c>
      <c r="B105" s="16" t="s">
        <v>1996</v>
      </c>
      <c r="C105" s="16" t="s">
        <v>453</v>
      </c>
      <c r="D105" s="24" t="s">
        <v>454</v>
      </c>
      <c r="E105" s="1">
        <v>10.4</v>
      </c>
      <c r="F105" s="16" t="s">
        <v>455</v>
      </c>
      <c r="G105" s="16"/>
      <c r="H105" s="16" t="s">
        <v>888</v>
      </c>
    </row>
    <row r="106" spans="1:8" x14ac:dyDescent="0.25">
      <c r="A106" s="22">
        <v>105</v>
      </c>
      <c r="B106" s="16" t="s">
        <v>1997</v>
      </c>
      <c r="C106" s="16" t="s">
        <v>456</v>
      </c>
      <c r="D106" s="24" t="s">
        <v>457</v>
      </c>
      <c r="E106" s="1">
        <v>1.05</v>
      </c>
      <c r="F106" s="16" t="s">
        <v>458</v>
      </c>
      <c r="G106" s="16" t="s">
        <v>459</v>
      </c>
      <c r="H106" s="16" t="s">
        <v>460</v>
      </c>
    </row>
    <row r="107" spans="1:8" x14ac:dyDescent="0.25">
      <c r="A107" s="22">
        <v>106</v>
      </c>
      <c r="B107" s="16" t="s">
        <v>1998</v>
      </c>
      <c r="C107" s="16" t="s">
        <v>461</v>
      </c>
      <c r="D107" s="24" t="s">
        <v>462</v>
      </c>
      <c r="E107" s="1">
        <v>10.6</v>
      </c>
      <c r="F107" s="16" t="s">
        <v>463</v>
      </c>
      <c r="G107" s="16"/>
      <c r="H107" s="16" t="s">
        <v>888</v>
      </c>
    </row>
    <row r="108" spans="1:8" x14ac:dyDescent="0.25">
      <c r="A108" s="22">
        <v>107</v>
      </c>
      <c r="B108" s="16" t="s">
        <v>1999</v>
      </c>
      <c r="C108" s="16" t="s">
        <v>464</v>
      </c>
      <c r="D108" s="24" t="s">
        <v>465</v>
      </c>
      <c r="E108" s="1">
        <v>10.7</v>
      </c>
      <c r="F108" s="16" t="s">
        <v>466</v>
      </c>
      <c r="G108" s="16"/>
      <c r="H108" s="16" t="s">
        <v>888</v>
      </c>
    </row>
    <row r="109" spans="1:8" x14ac:dyDescent="0.25">
      <c r="A109" s="22">
        <v>108</v>
      </c>
      <c r="B109" s="16" t="s">
        <v>2000</v>
      </c>
      <c r="C109" s="16" t="s">
        <v>467</v>
      </c>
      <c r="D109" s="24" t="s">
        <v>468</v>
      </c>
      <c r="E109" s="1">
        <v>10.8</v>
      </c>
      <c r="F109" s="16" t="s">
        <v>469</v>
      </c>
      <c r="G109" s="16"/>
      <c r="H109" s="16" t="s">
        <v>888</v>
      </c>
    </row>
    <row r="110" spans="1:8" x14ac:dyDescent="0.25">
      <c r="A110" s="22">
        <v>109</v>
      </c>
      <c r="B110" s="16" t="s">
        <v>2001</v>
      </c>
      <c r="C110" s="16" t="s">
        <v>470</v>
      </c>
      <c r="D110" s="24" t="s">
        <v>471</v>
      </c>
      <c r="E110" s="1">
        <v>10.9</v>
      </c>
      <c r="F110" s="16" t="s">
        <v>472</v>
      </c>
      <c r="G110" s="16"/>
      <c r="H110" s="16" t="s">
        <v>888</v>
      </c>
    </row>
    <row r="111" spans="1:8" x14ac:dyDescent="0.25">
      <c r="A111" s="22">
        <v>110</v>
      </c>
      <c r="B111" s="16" t="s">
        <v>2002</v>
      </c>
      <c r="C111" s="16" t="s">
        <v>473</v>
      </c>
      <c r="D111" s="24" t="s">
        <v>474</v>
      </c>
      <c r="E111" s="1">
        <v>1.1000000000000001</v>
      </c>
      <c r="F111" s="16" t="s">
        <v>475</v>
      </c>
      <c r="G111" s="16" t="s">
        <v>476</v>
      </c>
      <c r="H111" s="16" t="s">
        <v>477</v>
      </c>
    </row>
    <row r="112" spans="1:8" x14ac:dyDescent="0.25">
      <c r="A112" s="22">
        <v>111</v>
      </c>
      <c r="B112" s="16" t="s">
        <v>2003</v>
      </c>
      <c r="C112" s="16" t="s">
        <v>478</v>
      </c>
      <c r="D112" s="24" t="s">
        <v>479</v>
      </c>
      <c r="E112" s="1">
        <v>11.1</v>
      </c>
      <c r="F112" s="16" t="s">
        <v>480</v>
      </c>
      <c r="G112" s="16"/>
      <c r="H112" s="16" t="s">
        <v>888</v>
      </c>
    </row>
    <row r="113" spans="1:8" x14ac:dyDescent="0.25">
      <c r="A113" s="22">
        <v>112</v>
      </c>
      <c r="B113" s="16" t="s">
        <v>2004</v>
      </c>
      <c r="C113" s="16" t="s">
        <v>481</v>
      </c>
      <c r="D113" s="24" t="s">
        <v>482</v>
      </c>
      <c r="E113" s="1">
        <v>11.2</v>
      </c>
      <c r="F113" s="16" t="s">
        <v>483</v>
      </c>
      <c r="G113" s="16"/>
      <c r="H113" s="16" t="s">
        <v>888</v>
      </c>
    </row>
    <row r="114" spans="1:8" x14ac:dyDescent="0.25">
      <c r="A114" s="22">
        <v>113</v>
      </c>
      <c r="B114" s="16" t="s">
        <v>2005</v>
      </c>
      <c r="C114" s="16" t="s">
        <v>484</v>
      </c>
      <c r="D114" s="24" t="s">
        <v>485</v>
      </c>
      <c r="E114" s="1">
        <v>11.3</v>
      </c>
      <c r="F114" s="16" t="s">
        <v>486</v>
      </c>
      <c r="G114" s="16"/>
      <c r="H114" s="16" t="s">
        <v>888</v>
      </c>
    </row>
    <row r="115" spans="1:8" x14ac:dyDescent="0.25">
      <c r="A115" s="22">
        <v>114</v>
      </c>
      <c r="B115" s="16" t="s">
        <v>2006</v>
      </c>
      <c r="C115" s="16" t="s">
        <v>487</v>
      </c>
      <c r="D115" s="24" t="s">
        <v>488</v>
      </c>
      <c r="E115" s="1">
        <v>11.4</v>
      </c>
      <c r="F115" s="16" t="s">
        <v>489</v>
      </c>
      <c r="G115" s="16"/>
      <c r="H115" s="16" t="s">
        <v>888</v>
      </c>
    </row>
    <row r="116" spans="1:8" x14ac:dyDescent="0.25">
      <c r="A116" s="22">
        <v>115</v>
      </c>
      <c r="B116" s="16" t="s">
        <v>2007</v>
      </c>
      <c r="C116" s="16" t="s">
        <v>490</v>
      </c>
      <c r="D116" s="24" t="s">
        <v>491</v>
      </c>
      <c r="E116" s="1">
        <v>1.1499999999999999</v>
      </c>
      <c r="F116" s="16" t="s">
        <v>492</v>
      </c>
      <c r="G116" s="16" t="s">
        <v>493</v>
      </c>
      <c r="H116" s="16" t="s">
        <v>494</v>
      </c>
    </row>
    <row r="117" spans="1:8" x14ac:dyDescent="0.25">
      <c r="A117" s="22">
        <v>116</v>
      </c>
      <c r="B117" s="16" t="s">
        <v>2008</v>
      </c>
      <c r="C117" s="16" t="s">
        <v>495</v>
      </c>
      <c r="D117" s="24" t="s">
        <v>496</v>
      </c>
      <c r="E117" s="1">
        <v>11.6</v>
      </c>
      <c r="F117" s="16" t="s">
        <v>497</v>
      </c>
      <c r="G117" s="16"/>
      <c r="H117" s="16" t="s">
        <v>888</v>
      </c>
    </row>
    <row r="118" spans="1:8" x14ac:dyDescent="0.25">
      <c r="A118" s="22">
        <v>117</v>
      </c>
      <c r="B118" s="16" t="s">
        <v>2009</v>
      </c>
      <c r="C118" s="16" t="s">
        <v>498</v>
      </c>
      <c r="D118" s="24" t="s">
        <v>499</v>
      </c>
      <c r="E118" s="1">
        <v>11.7</v>
      </c>
      <c r="F118" s="16" t="s">
        <v>500</v>
      </c>
      <c r="G118" s="16"/>
      <c r="H118" s="16" t="s">
        <v>888</v>
      </c>
    </row>
    <row r="119" spans="1:8" x14ac:dyDescent="0.25">
      <c r="A119" s="22">
        <v>118</v>
      </c>
      <c r="B119" s="16" t="s">
        <v>2010</v>
      </c>
      <c r="C119" s="16" t="s">
        <v>501</v>
      </c>
      <c r="D119" s="24" t="s">
        <v>502</v>
      </c>
      <c r="E119" s="1">
        <v>11.8</v>
      </c>
      <c r="F119" s="16" t="s">
        <v>503</v>
      </c>
      <c r="G119" s="16"/>
      <c r="H119" s="16" t="s">
        <v>888</v>
      </c>
    </row>
    <row r="120" spans="1:8" x14ac:dyDescent="0.25">
      <c r="A120" s="22">
        <v>119</v>
      </c>
      <c r="B120" s="16" t="s">
        <v>2011</v>
      </c>
      <c r="C120" s="16" t="s">
        <v>504</v>
      </c>
      <c r="D120" s="24" t="s">
        <v>505</v>
      </c>
      <c r="E120" s="1">
        <v>11.9</v>
      </c>
      <c r="F120" s="16" t="s">
        <v>506</v>
      </c>
      <c r="G120" s="16"/>
      <c r="H120" s="16" t="s">
        <v>888</v>
      </c>
    </row>
    <row r="121" spans="1:8" x14ac:dyDescent="0.25">
      <c r="A121" s="22">
        <v>120</v>
      </c>
      <c r="B121" s="16" t="s">
        <v>2012</v>
      </c>
      <c r="C121" s="16" t="s">
        <v>507</v>
      </c>
      <c r="D121" s="24" t="s">
        <v>508</v>
      </c>
      <c r="E121" s="1">
        <v>1.2</v>
      </c>
      <c r="F121" s="16" t="s">
        <v>509</v>
      </c>
      <c r="G121" s="16" t="s">
        <v>510</v>
      </c>
      <c r="H121" s="16" t="s">
        <v>511</v>
      </c>
    </row>
    <row r="122" spans="1:8" x14ac:dyDescent="0.25">
      <c r="A122" s="22">
        <v>121</v>
      </c>
      <c r="B122" s="16" t="s">
        <v>2013</v>
      </c>
      <c r="C122" s="16" t="s">
        <v>512</v>
      </c>
      <c r="D122" s="24" t="s">
        <v>513</v>
      </c>
      <c r="E122" s="1">
        <v>12.1</v>
      </c>
      <c r="F122" s="16" t="s">
        <v>514</v>
      </c>
      <c r="G122" s="16"/>
      <c r="H122" s="16" t="s">
        <v>888</v>
      </c>
    </row>
    <row r="123" spans="1:8" x14ac:dyDescent="0.25">
      <c r="A123" s="22">
        <v>122</v>
      </c>
      <c r="B123" s="16" t="s">
        <v>2014</v>
      </c>
      <c r="C123" s="16" t="s">
        <v>515</v>
      </c>
      <c r="D123" s="24" t="s">
        <v>516</v>
      </c>
      <c r="E123" s="1">
        <v>12.2</v>
      </c>
      <c r="F123" s="16" t="s">
        <v>517</v>
      </c>
      <c r="G123" s="16"/>
      <c r="H123" s="16" t="s">
        <v>888</v>
      </c>
    </row>
    <row r="124" spans="1:8" x14ac:dyDescent="0.25">
      <c r="A124" s="22">
        <v>123</v>
      </c>
      <c r="B124" s="16" t="s">
        <v>2015</v>
      </c>
      <c r="C124" s="16" t="s">
        <v>518</v>
      </c>
      <c r="D124" s="24" t="s">
        <v>519</v>
      </c>
      <c r="E124" s="1">
        <v>12.3</v>
      </c>
      <c r="F124" s="16" t="s">
        <v>520</v>
      </c>
      <c r="G124" s="16"/>
      <c r="H124" s="16" t="s">
        <v>888</v>
      </c>
    </row>
    <row r="125" spans="1:8" x14ac:dyDescent="0.25">
      <c r="A125" s="22">
        <v>124</v>
      </c>
      <c r="B125" s="16" t="s">
        <v>2016</v>
      </c>
      <c r="C125" s="16" t="s">
        <v>521</v>
      </c>
      <c r="D125" s="24" t="s">
        <v>522</v>
      </c>
      <c r="E125" s="1">
        <v>12.4</v>
      </c>
      <c r="F125" s="16" t="s">
        <v>523</v>
      </c>
      <c r="G125" s="16"/>
      <c r="H125" s="16" t="s">
        <v>888</v>
      </c>
    </row>
    <row r="126" spans="1:8" x14ac:dyDescent="0.25">
      <c r="A126" s="22">
        <v>125</v>
      </c>
      <c r="B126" s="16" t="s">
        <v>2017</v>
      </c>
      <c r="C126" s="16" t="s">
        <v>524</v>
      </c>
      <c r="D126" s="24" t="s">
        <v>525</v>
      </c>
      <c r="E126" s="1">
        <v>12.5</v>
      </c>
      <c r="F126" s="16" t="s">
        <v>526</v>
      </c>
      <c r="G126" s="16" t="s">
        <v>527</v>
      </c>
      <c r="H126" s="16" t="s">
        <v>528</v>
      </c>
    </row>
    <row r="127" spans="1:8" x14ac:dyDescent="0.25">
      <c r="A127" s="22">
        <v>126</v>
      </c>
      <c r="B127" s="16" t="s">
        <v>2018</v>
      </c>
      <c r="C127" s="16" t="s">
        <v>529</v>
      </c>
      <c r="D127" s="24" t="s">
        <v>530</v>
      </c>
      <c r="E127" s="1">
        <v>12.6</v>
      </c>
      <c r="F127" s="16" t="s">
        <v>531</v>
      </c>
      <c r="G127" s="16"/>
      <c r="H127" s="16" t="s">
        <v>888</v>
      </c>
    </row>
    <row r="128" spans="1:8" x14ac:dyDescent="0.25">
      <c r="A128" s="22">
        <v>127</v>
      </c>
      <c r="B128" s="16" t="s">
        <v>2019</v>
      </c>
      <c r="C128" s="16" t="s">
        <v>532</v>
      </c>
      <c r="D128" s="24" t="s">
        <v>533</v>
      </c>
      <c r="E128" s="1">
        <v>12.7</v>
      </c>
      <c r="F128" s="16" t="s">
        <v>534</v>
      </c>
      <c r="G128" s="16"/>
      <c r="H128" s="16" t="s">
        <v>888</v>
      </c>
    </row>
    <row r="129" spans="1:8" x14ac:dyDescent="0.25">
      <c r="A129" s="22">
        <v>128</v>
      </c>
      <c r="B129" s="16" t="s">
        <v>2020</v>
      </c>
      <c r="C129" s="16" t="s">
        <v>535</v>
      </c>
      <c r="D129" s="24" t="s">
        <v>536</v>
      </c>
      <c r="E129" s="1">
        <v>12.8</v>
      </c>
      <c r="F129" s="16" t="s">
        <v>537</v>
      </c>
      <c r="G129" s="16"/>
      <c r="H129" s="16" t="s">
        <v>888</v>
      </c>
    </row>
    <row r="130" spans="1:8" x14ac:dyDescent="0.25">
      <c r="A130" s="22">
        <v>129</v>
      </c>
      <c r="B130" s="16" t="s">
        <v>2021</v>
      </c>
      <c r="C130" s="16" t="s">
        <v>538</v>
      </c>
      <c r="D130" s="24" t="s">
        <v>539</v>
      </c>
      <c r="E130" s="1">
        <v>12.9</v>
      </c>
      <c r="F130" s="16" t="s">
        <v>540</v>
      </c>
      <c r="G130" s="16"/>
      <c r="H130" s="16" t="s">
        <v>888</v>
      </c>
    </row>
    <row r="131" spans="1:8" x14ac:dyDescent="0.25">
      <c r="A131" s="22">
        <v>130</v>
      </c>
      <c r="B131" s="16" t="s">
        <v>2022</v>
      </c>
      <c r="C131" s="16" t="s">
        <v>541</v>
      </c>
      <c r="D131" s="24" t="s">
        <v>542</v>
      </c>
      <c r="E131" s="1">
        <v>13</v>
      </c>
      <c r="F131" s="16" t="s">
        <v>543</v>
      </c>
      <c r="G131" s="16" t="s">
        <v>544</v>
      </c>
      <c r="H131" s="16" t="s">
        <v>545</v>
      </c>
    </row>
    <row r="132" spans="1:8" x14ac:dyDescent="0.25">
      <c r="A132" s="22">
        <v>131</v>
      </c>
      <c r="B132" s="16" t="s">
        <v>2023</v>
      </c>
      <c r="C132" s="16" t="s">
        <v>546</v>
      </c>
      <c r="D132" s="24" t="s">
        <v>547</v>
      </c>
      <c r="E132" s="1">
        <v>13.1</v>
      </c>
      <c r="F132" s="16" t="s">
        <v>548</v>
      </c>
      <c r="G132" s="16"/>
      <c r="H132" s="16" t="s">
        <v>888</v>
      </c>
    </row>
    <row r="133" spans="1:8" x14ac:dyDescent="0.25">
      <c r="A133" s="22">
        <v>132</v>
      </c>
      <c r="B133" s="16" t="s">
        <v>2024</v>
      </c>
      <c r="C133" s="16" t="s">
        <v>549</v>
      </c>
      <c r="D133" s="24" t="s">
        <v>550</v>
      </c>
      <c r="E133" s="1">
        <v>13.2</v>
      </c>
      <c r="F133" s="16" t="s">
        <v>551</v>
      </c>
      <c r="G133" s="16"/>
      <c r="H133" s="16" t="s">
        <v>888</v>
      </c>
    </row>
    <row r="134" spans="1:8" x14ac:dyDescent="0.25">
      <c r="A134" s="22">
        <v>133</v>
      </c>
      <c r="B134" s="16" t="s">
        <v>2025</v>
      </c>
      <c r="C134" s="16" t="s">
        <v>552</v>
      </c>
      <c r="D134" s="24" t="s">
        <v>553</v>
      </c>
      <c r="E134" s="1">
        <v>13.3</v>
      </c>
      <c r="F134" s="16" t="s">
        <v>554</v>
      </c>
      <c r="G134" s="16"/>
      <c r="H134" s="16" t="s">
        <v>888</v>
      </c>
    </row>
    <row r="135" spans="1:8" x14ac:dyDescent="0.25">
      <c r="A135" s="22">
        <v>134</v>
      </c>
      <c r="B135" s="16" t="s">
        <v>2026</v>
      </c>
      <c r="C135" s="16" t="s">
        <v>555</v>
      </c>
      <c r="D135" s="24" t="s">
        <v>556</v>
      </c>
      <c r="E135" s="1">
        <v>13.4</v>
      </c>
      <c r="F135" s="16" t="s">
        <v>557</v>
      </c>
      <c r="G135" s="16"/>
      <c r="H135" s="16" t="s">
        <v>888</v>
      </c>
    </row>
    <row r="136" spans="1:8" x14ac:dyDescent="0.25">
      <c r="A136" s="22">
        <v>135</v>
      </c>
      <c r="B136" s="16" t="s">
        <v>2027</v>
      </c>
      <c r="C136" s="16" t="s">
        <v>558</v>
      </c>
      <c r="D136" s="24" t="s">
        <v>559</v>
      </c>
      <c r="E136" s="1">
        <v>13.5</v>
      </c>
      <c r="F136" s="16" t="s">
        <v>560</v>
      </c>
      <c r="G136" s="16" t="s">
        <v>561</v>
      </c>
      <c r="H136" s="16" t="s">
        <v>562</v>
      </c>
    </row>
    <row r="137" spans="1:8" x14ac:dyDescent="0.25">
      <c r="A137" s="22">
        <v>136</v>
      </c>
      <c r="B137" s="16" t="s">
        <v>2028</v>
      </c>
      <c r="C137" s="16" t="s">
        <v>563</v>
      </c>
      <c r="D137" s="24" t="s">
        <v>564</v>
      </c>
      <c r="E137" s="1">
        <v>13.6</v>
      </c>
      <c r="F137" s="16" t="s">
        <v>565</v>
      </c>
      <c r="G137" s="16"/>
      <c r="H137" s="16" t="s">
        <v>888</v>
      </c>
    </row>
    <row r="138" spans="1:8" x14ac:dyDescent="0.25">
      <c r="A138" s="22">
        <v>137</v>
      </c>
      <c r="B138" s="16" t="s">
        <v>2029</v>
      </c>
      <c r="C138" s="16" t="s">
        <v>566</v>
      </c>
      <c r="D138" s="24" t="s">
        <v>567</v>
      </c>
      <c r="E138" s="1">
        <v>13.7</v>
      </c>
      <c r="F138" s="16" t="s">
        <v>568</v>
      </c>
      <c r="G138" s="16"/>
      <c r="H138" s="16" t="s">
        <v>888</v>
      </c>
    </row>
    <row r="139" spans="1:8" x14ac:dyDescent="0.25">
      <c r="A139" s="22">
        <v>138</v>
      </c>
      <c r="B139" s="16" t="s">
        <v>2030</v>
      </c>
      <c r="C139" s="16" t="s">
        <v>569</v>
      </c>
      <c r="D139" s="24" t="s">
        <v>570</v>
      </c>
      <c r="E139" s="1">
        <v>13.8</v>
      </c>
      <c r="F139" s="16" t="s">
        <v>571</v>
      </c>
      <c r="G139" s="16"/>
      <c r="H139" s="16" t="s">
        <v>888</v>
      </c>
    </row>
    <row r="140" spans="1:8" x14ac:dyDescent="0.25">
      <c r="A140" s="22">
        <v>139</v>
      </c>
      <c r="B140" s="16" t="s">
        <v>2031</v>
      </c>
      <c r="C140" s="16" t="s">
        <v>572</v>
      </c>
      <c r="D140" s="24" t="s">
        <v>573</v>
      </c>
      <c r="E140" s="1">
        <v>13.9</v>
      </c>
      <c r="F140" s="16" t="s">
        <v>574</v>
      </c>
      <c r="G140" s="16"/>
      <c r="H140" s="16" t="s">
        <v>888</v>
      </c>
    </row>
    <row r="141" spans="1:8" x14ac:dyDescent="0.25">
      <c r="A141" s="22">
        <v>140</v>
      </c>
      <c r="B141" s="16" t="s">
        <v>2032</v>
      </c>
      <c r="C141" s="16" t="s">
        <v>575</v>
      </c>
      <c r="D141" s="24" t="s">
        <v>576</v>
      </c>
      <c r="E141" s="1">
        <v>14</v>
      </c>
      <c r="F141" s="16" t="s">
        <v>577</v>
      </c>
      <c r="G141" s="16" t="s">
        <v>578</v>
      </c>
      <c r="H141" s="16" t="s">
        <v>888</v>
      </c>
    </row>
    <row r="142" spans="1:8" x14ac:dyDescent="0.25">
      <c r="A142" s="22">
        <v>141</v>
      </c>
      <c r="B142" s="16" t="s">
        <v>2033</v>
      </c>
      <c r="C142" s="16" t="s">
        <v>579</v>
      </c>
      <c r="D142" s="24" t="s">
        <v>580</v>
      </c>
      <c r="E142" s="1">
        <v>14.1</v>
      </c>
      <c r="F142" s="16" t="s">
        <v>581</v>
      </c>
      <c r="G142" s="16"/>
      <c r="H142" s="16" t="s">
        <v>888</v>
      </c>
    </row>
    <row r="143" spans="1:8" x14ac:dyDescent="0.25">
      <c r="A143" s="22">
        <v>142</v>
      </c>
      <c r="B143" s="16" t="s">
        <v>2034</v>
      </c>
      <c r="C143" s="16" t="s">
        <v>582</v>
      </c>
      <c r="D143" s="24" t="s">
        <v>583</v>
      </c>
      <c r="E143" s="1">
        <v>14.2</v>
      </c>
      <c r="F143" s="16" t="s">
        <v>584</v>
      </c>
      <c r="G143" s="16"/>
      <c r="H143" s="16" t="s">
        <v>888</v>
      </c>
    </row>
    <row r="144" spans="1:8" x14ac:dyDescent="0.25">
      <c r="A144" s="22">
        <v>143</v>
      </c>
      <c r="B144" s="16" t="s">
        <v>2035</v>
      </c>
      <c r="C144" s="16" t="s">
        <v>585</v>
      </c>
      <c r="D144" s="24" t="s">
        <v>586</v>
      </c>
      <c r="E144" s="1">
        <v>14.3</v>
      </c>
      <c r="F144" s="16" t="s">
        <v>587</v>
      </c>
      <c r="G144" s="16"/>
      <c r="H144" s="16" t="s">
        <v>888</v>
      </c>
    </row>
    <row r="145" spans="1:8" x14ac:dyDescent="0.25">
      <c r="A145" s="22">
        <v>144</v>
      </c>
      <c r="B145" s="16" t="s">
        <v>2036</v>
      </c>
      <c r="C145" s="16" t="s">
        <v>588</v>
      </c>
      <c r="D145" s="24" t="s">
        <v>589</v>
      </c>
      <c r="E145" s="1">
        <v>14.4</v>
      </c>
      <c r="F145" s="16" t="s">
        <v>590</v>
      </c>
      <c r="G145" s="16"/>
      <c r="H145" s="16" t="s">
        <v>888</v>
      </c>
    </row>
    <row r="146" spans="1:8" x14ac:dyDescent="0.25">
      <c r="A146" s="22">
        <v>145</v>
      </c>
      <c r="B146" s="16" t="s">
        <v>2037</v>
      </c>
      <c r="C146" s="16" t="s">
        <v>591</v>
      </c>
      <c r="D146" s="24" t="s">
        <v>592</v>
      </c>
      <c r="E146" s="1">
        <v>14.5</v>
      </c>
      <c r="F146" s="16" t="s">
        <v>593</v>
      </c>
      <c r="G146" s="16" t="s">
        <v>594</v>
      </c>
      <c r="H146" s="16" t="s">
        <v>888</v>
      </c>
    </row>
    <row r="147" spans="1:8" x14ac:dyDescent="0.25">
      <c r="A147" s="22">
        <v>146</v>
      </c>
      <c r="B147" s="16" t="s">
        <v>2038</v>
      </c>
      <c r="C147" s="16" t="s">
        <v>595</v>
      </c>
      <c r="D147" s="24" t="s">
        <v>596</v>
      </c>
      <c r="E147" s="1">
        <v>14.6</v>
      </c>
      <c r="F147" s="16" t="s">
        <v>597</v>
      </c>
      <c r="G147" s="16"/>
      <c r="H147" s="16" t="s">
        <v>888</v>
      </c>
    </row>
    <row r="148" spans="1:8" x14ac:dyDescent="0.25">
      <c r="A148" s="22">
        <v>147</v>
      </c>
      <c r="B148" s="16" t="s">
        <v>2039</v>
      </c>
      <c r="C148" s="16" t="s">
        <v>598</v>
      </c>
      <c r="D148" s="24" t="s">
        <v>599</v>
      </c>
      <c r="E148" s="1">
        <v>14.7</v>
      </c>
      <c r="F148" s="16" t="s">
        <v>600</v>
      </c>
      <c r="G148" s="16"/>
      <c r="H148" s="16" t="s">
        <v>888</v>
      </c>
    </row>
    <row r="149" spans="1:8" x14ac:dyDescent="0.25">
      <c r="A149" s="22">
        <v>148</v>
      </c>
      <c r="B149" s="16" t="s">
        <v>2040</v>
      </c>
      <c r="C149" s="16" t="s">
        <v>601</v>
      </c>
      <c r="D149" s="24" t="s">
        <v>602</v>
      </c>
      <c r="E149" s="1">
        <v>14.8</v>
      </c>
      <c r="F149" s="16" t="s">
        <v>603</v>
      </c>
      <c r="G149" s="16"/>
      <c r="H149" s="16" t="s">
        <v>888</v>
      </c>
    </row>
    <row r="150" spans="1:8" x14ac:dyDescent="0.25">
      <c r="A150" s="22">
        <v>149</v>
      </c>
      <c r="B150" s="16" t="s">
        <v>2041</v>
      </c>
      <c r="C150" s="16" t="s">
        <v>604</v>
      </c>
      <c r="D150" s="24" t="s">
        <v>605</v>
      </c>
      <c r="E150" s="1">
        <v>14.9</v>
      </c>
      <c r="F150" s="16" t="s">
        <v>606</v>
      </c>
      <c r="G150" s="16"/>
      <c r="H150" s="16" t="s">
        <v>888</v>
      </c>
    </row>
    <row r="151" spans="1:8" x14ac:dyDescent="0.25">
      <c r="A151" s="22">
        <v>150</v>
      </c>
      <c r="B151" s="16" t="s">
        <v>2042</v>
      </c>
      <c r="C151" s="16" t="s">
        <v>607</v>
      </c>
      <c r="D151" s="24" t="s">
        <v>608</v>
      </c>
      <c r="E151" s="1">
        <v>15</v>
      </c>
      <c r="F151" s="16" t="s">
        <v>609</v>
      </c>
      <c r="G151" s="16" t="s">
        <v>610</v>
      </c>
      <c r="H151" s="16" t="s">
        <v>888</v>
      </c>
    </row>
    <row r="152" spans="1:8" x14ac:dyDescent="0.25">
      <c r="A152" s="22">
        <v>151</v>
      </c>
      <c r="B152" s="16" t="s">
        <v>2043</v>
      </c>
      <c r="C152" s="16" t="s">
        <v>611</v>
      </c>
      <c r="D152" s="24" t="s">
        <v>612</v>
      </c>
      <c r="E152" s="1">
        <v>15.1</v>
      </c>
      <c r="F152" s="16" t="s">
        <v>613</v>
      </c>
      <c r="G152" s="16"/>
      <c r="H152" s="16" t="s">
        <v>888</v>
      </c>
    </row>
    <row r="153" spans="1:8" x14ac:dyDescent="0.25">
      <c r="A153" s="22">
        <v>152</v>
      </c>
      <c r="B153" s="16" t="s">
        <v>2044</v>
      </c>
      <c r="C153" s="16" t="s">
        <v>614</v>
      </c>
      <c r="D153" s="24" t="s">
        <v>615</v>
      </c>
      <c r="E153" s="1">
        <v>15.2</v>
      </c>
      <c r="F153" s="16" t="s">
        <v>616</v>
      </c>
      <c r="G153" s="16"/>
      <c r="H153" s="16" t="s">
        <v>888</v>
      </c>
    </row>
    <row r="154" spans="1:8" x14ac:dyDescent="0.25">
      <c r="A154" s="22">
        <v>153</v>
      </c>
      <c r="B154" s="16" t="s">
        <v>2045</v>
      </c>
      <c r="C154" s="16" t="s">
        <v>617</v>
      </c>
      <c r="D154" s="24" t="s">
        <v>618</v>
      </c>
      <c r="E154" s="1">
        <v>15.3</v>
      </c>
      <c r="F154" s="16" t="s">
        <v>619</v>
      </c>
      <c r="G154" s="16"/>
      <c r="H154" s="16" t="s">
        <v>888</v>
      </c>
    </row>
    <row r="155" spans="1:8" x14ac:dyDescent="0.25">
      <c r="A155" s="22">
        <v>154</v>
      </c>
      <c r="B155" s="16" t="s">
        <v>2046</v>
      </c>
      <c r="C155" s="16" t="s">
        <v>620</v>
      </c>
      <c r="D155" s="24" t="s">
        <v>621</v>
      </c>
      <c r="E155" s="1">
        <v>15.4</v>
      </c>
      <c r="F155" s="16" t="s">
        <v>622</v>
      </c>
      <c r="G155" s="16"/>
      <c r="H155" s="16" t="s">
        <v>888</v>
      </c>
    </row>
    <row r="156" spans="1:8" x14ac:dyDescent="0.25">
      <c r="A156" s="22">
        <v>155</v>
      </c>
      <c r="B156" s="16" t="s">
        <v>2047</v>
      </c>
      <c r="C156" s="16" t="s">
        <v>623</v>
      </c>
      <c r="D156" s="24" t="s">
        <v>624</v>
      </c>
      <c r="E156" s="1">
        <v>15.5</v>
      </c>
      <c r="F156" s="16" t="s">
        <v>625</v>
      </c>
      <c r="G156" s="16" t="s">
        <v>626</v>
      </c>
      <c r="H156" s="16" t="s">
        <v>888</v>
      </c>
    </row>
    <row r="157" spans="1:8" x14ac:dyDescent="0.25">
      <c r="A157" s="22">
        <v>156</v>
      </c>
      <c r="B157" s="16" t="s">
        <v>2048</v>
      </c>
      <c r="C157" s="16" t="s">
        <v>627</v>
      </c>
      <c r="D157" s="24" t="s">
        <v>628</v>
      </c>
      <c r="E157" s="1">
        <v>15.6</v>
      </c>
      <c r="F157" s="16" t="s">
        <v>629</v>
      </c>
      <c r="G157" s="16"/>
      <c r="H157" s="16" t="s">
        <v>888</v>
      </c>
    </row>
    <row r="158" spans="1:8" x14ac:dyDescent="0.25">
      <c r="A158" s="22">
        <v>157</v>
      </c>
      <c r="B158" s="16" t="s">
        <v>2049</v>
      </c>
      <c r="C158" s="16" t="s">
        <v>630</v>
      </c>
      <c r="D158" s="24" t="s">
        <v>631</v>
      </c>
      <c r="E158" s="1">
        <v>15.7</v>
      </c>
      <c r="F158" s="16" t="s">
        <v>632</v>
      </c>
      <c r="G158" s="16"/>
      <c r="H158" s="16" t="s">
        <v>888</v>
      </c>
    </row>
    <row r="159" spans="1:8" x14ac:dyDescent="0.25">
      <c r="A159" s="22">
        <v>158</v>
      </c>
      <c r="B159" s="16" t="s">
        <v>2050</v>
      </c>
      <c r="C159" s="16" t="s">
        <v>633</v>
      </c>
      <c r="D159" s="24" t="s">
        <v>634</v>
      </c>
      <c r="E159" s="1">
        <v>15.8</v>
      </c>
      <c r="F159" s="16" t="s">
        <v>635</v>
      </c>
      <c r="G159" s="16"/>
      <c r="H159" s="16" t="s">
        <v>888</v>
      </c>
    </row>
    <row r="160" spans="1:8" x14ac:dyDescent="0.25">
      <c r="A160" s="22">
        <v>159</v>
      </c>
      <c r="B160" s="16" t="s">
        <v>2051</v>
      </c>
      <c r="C160" s="16" t="s">
        <v>636</v>
      </c>
      <c r="D160" s="24" t="s">
        <v>637</v>
      </c>
      <c r="E160" s="1">
        <v>15.9</v>
      </c>
      <c r="F160" s="16" t="s">
        <v>638</v>
      </c>
      <c r="G160" s="16"/>
      <c r="H160" s="16" t="s">
        <v>888</v>
      </c>
    </row>
    <row r="161" spans="1:8" x14ac:dyDescent="0.25">
      <c r="A161" s="22">
        <v>160</v>
      </c>
      <c r="B161" s="16" t="s">
        <v>2052</v>
      </c>
      <c r="C161" s="16" t="s">
        <v>639</v>
      </c>
      <c r="D161" s="24" t="s">
        <v>640</v>
      </c>
      <c r="E161" s="1">
        <v>16</v>
      </c>
      <c r="F161" s="16" t="s">
        <v>641</v>
      </c>
      <c r="G161" s="16" t="s">
        <v>642</v>
      </c>
      <c r="H161" s="16" t="s">
        <v>888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D159-8072-4905-964A-DA518978A169}">
  <dimension ref="A1:DT161"/>
  <sheetViews>
    <sheetView workbookViewId="0">
      <pane xSplit="2" ySplit="1" topLeftCell="CW2" activePane="bottomRight" state="frozen"/>
      <selection pane="topRight" activeCell="C1" sqref="C1"/>
      <selection pane="bottomLeft" activeCell="A2" sqref="A2"/>
      <selection pane="bottomRight" activeCell="DJ2" sqref="DJ2"/>
    </sheetView>
  </sheetViews>
  <sheetFormatPr defaultRowHeight="15" x14ac:dyDescent="0.25"/>
  <cols>
    <col min="1" max="1" width="9.5703125" customWidth="1"/>
    <col min="2" max="2" width="15.28515625" customWidth="1"/>
    <col min="3" max="3" width="18.42578125" customWidth="1"/>
    <col min="4" max="4" width="19" customWidth="1"/>
    <col min="5" max="5" width="21.5703125" customWidth="1"/>
    <col min="6" max="6" width="21" customWidth="1"/>
    <col min="7" max="7" width="13.28515625" customWidth="1"/>
    <col min="8" max="8" width="18.140625" customWidth="1"/>
    <col min="9" max="9" width="26.85546875" customWidth="1"/>
    <col min="10" max="10" width="17.140625" customWidth="1"/>
    <col min="11" max="11" width="43.85546875" customWidth="1"/>
    <col min="12" max="12" width="38.140625" customWidth="1"/>
    <col min="13" max="13" width="24.7109375" customWidth="1"/>
    <col min="14" max="14" width="57.140625" customWidth="1"/>
    <col min="15" max="15" width="49.5703125" customWidth="1"/>
    <col min="16" max="17" width="57.140625" customWidth="1"/>
    <col min="18" max="18" width="49.5703125" customWidth="1"/>
    <col min="19" max="19" width="80" customWidth="1"/>
    <col min="20" max="21" width="17.140625" customWidth="1"/>
    <col min="22" max="24" width="62.85546875" customWidth="1"/>
    <col min="25" max="25" width="190.42578125" customWidth="1"/>
    <col min="26" max="27" width="28.5703125" customWidth="1"/>
    <col min="28" max="28" width="32.42578125" customWidth="1"/>
    <col min="29" max="30" width="13.28515625" customWidth="1"/>
    <col min="31" max="31" width="15.28515625" customWidth="1"/>
    <col min="32" max="32" width="13.28515625" customWidth="1"/>
    <col min="33" max="33" width="16.140625" customWidth="1"/>
    <col min="34" max="34" width="43.140625" bestFit="1" customWidth="1"/>
    <col min="35" max="35" width="15.28515625" customWidth="1"/>
    <col min="36" max="36" width="16.140625" customWidth="1"/>
    <col min="37" max="39" width="140.42578125" bestFit="1" customWidth="1"/>
    <col min="40" max="41" width="13.5703125" bestFit="1" customWidth="1"/>
    <col min="42" max="42" width="10" bestFit="1" customWidth="1"/>
    <col min="43" max="43" width="241.5703125" bestFit="1" customWidth="1"/>
    <col min="44" max="44" width="18.140625" bestFit="1" customWidth="1"/>
    <col min="45" max="45" width="23.7109375" bestFit="1" customWidth="1"/>
    <col min="46" max="46" width="46.7109375" bestFit="1" customWidth="1"/>
    <col min="47" max="50" width="11.42578125" customWidth="1"/>
    <col min="51" max="51" width="13.28515625" customWidth="1"/>
    <col min="52" max="52" width="15.28515625" customWidth="1"/>
    <col min="53" max="53" width="22.42578125" bestFit="1" customWidth="1"/>
    <col min="54" max="54" width="23.140625" bestFit="1" customWidth="1"/>
    <col min="55" max="56" width="43.140625" bestFit="1" customWidth="1"/>
    <col min="57" max="57" width="83.5703125" bestFit="1" customWidth="1"/>
    <col min="58" max="58" width="83.140625" bestFit="1" customWidth="1"/>
    <col min="59" max="59" width="24" bestFit="1" customWidth="1"/>
    <col min="60" max="60" width="14.85546875" bestFit="1" customWidth="1"/>
    <col min="61" max="61" width="23.28515625" bestFit="1" customWidth="1"/>
    <col min="62" max="62" width="31.7109375" bestFit="1" customWidth="1"/>
    <col min="63" max="63" width="68.28515625" bestFit="1" customWidth="1"/>
    <col min="64" max="64" width="52.7109375" bestFit="1" customWidth="1"/>
    <col min="65" max="65" width="54.7109375" bestFit="1" customWidth="1"/>
    <col min="66" max="66" width="69.5703125" bestFit="1" customWidth="1"/>
    <col min="67" max="67" width="69.42578125" bestFit="1" customWidth="1"/>
    <col min="68" max="68" width="138.42578125" bestFit="1" customWidth="1"/>
    <col min="69" max="69" width="43.28515625" bestFit="1" customWidth="1"/>
    <col min="70" max="70" width="41.5703125" bestFit="1" customWidth="1"/>
    <col min="71" max="71" width="42.140625" bestFit="1" customWidth="1"/>
    <col min="72" max="72" width="49.140625" bestFit="1" customWidth="1"/>
    <col min="73" max="73" width="20.85546875" bestFit="1" customWidth="1"/>
    <col min="74" max="74" width="255.7109375" bestFit="1" customWidth="1"/>
    <col min="75" max="75" width="24.42578125" bestFit="1" customWidth="1"/>
    <col min="76" max="76" width="25.140625" bestFit="1" customWidth="1"/>
    <col min="77" max="78" width="13.28515625" customWidth="1"/>
    <col min="79" max="86" width="15.28515625" customWidth="1"/>
    <col min="87" max="89" width="17.140625" customWidth="1"/>
    <col min="90" max="90" width="15.28515625" customWidth="1"/>
    <col min="91" max="91" width="49.5703125" customWidth="1"/>
    <col min="92" max="92" width="17.140625" customWidth="1"/>
    <col min="93" max="93" width="57.140625" customWidth="1"/>
    <col min="94" max="94" width="49.5703125" customWidth="1"/>
    <col min="95" max="95" width="21" customWidth="1"/>
    <col min="96" max="96" width="28.5703125" customWidth="1"/>
    <col min="97" max="97" width="72.42578125" customWidth="1"/>
    <col min="98" max="98" width="106.7109375" customWidth="1"/>
    <col min="99" max="99" width="57.140625" customWidth="1"/>
    <col min="100" max="100" width="13.28515625" customWidth="1"/>
    <col min="101" max="101" width="28.5703125" customWidth="1"/>
    <col min="102" max="102" width="15.28515625" customWidth="1"/>
    <col min="103" max="103" width="76.140625" customWidth="1"/>
    <col min="104" max="106" width="15.28515625" customWidth="1"/>
    <col min="107" max="111" width="49.5703125" customWidth="1"/>
    <col min="112" max="112" width="13.28515625" customWidth="1"/>
    <col min="113" max="113" width="68.5703125" customWidth="1"/>
    <col min="114" max="114" width="49.5703125" customWidth="1"/>
    <col min="115" max="115" width="57.140625" customWidth="1"/>
    <col min="116" max="116" width="80" customWidth="1"/>
    <col min="117" max="117" width="87.5703125" customWidth="1"/>
    <col min="118" max="118" width="68.5703125" customWidth="1"/>
    <col min="119" max="119" width="49.5703125" customWidth="1"/>
    <col min="120" max="120" width="57.140625" customWidth="1"/>
    <col min="121" max="121" width="68.5703125" customWidth="1"/>
    <col min="122" max="122" width="49.5703125" customWidth="1"/>
    <col min="123" max="123" width="62.85546875" customWidth="1"/>
    <col min="124" max="124" width="190.42578125" customWidth="1"/>
  </cols>
  <sheetData>
    <row r="1" spans="1:124" ht="32.1" customHeight="1" x14ac:dyDescent="0.25">
      <c r="A1" s="19" t="s">
        <v>0</v>
      </c>
      <c r="B1" s="19" t="s">
        <v>655</v>
      </c>
      <c r="C1" s="19" t="s">
        <v>656</v>
      </c>
      <c r="D1" s="19" t="s">
        <v>657</v>
      </c>
      <c r="E1" s="19" t="s">
        <v>658</v>
      </c>
      <c r="F1" s="19" t="s">
        <v>659</v>
      </c>
      <c r="G1" s="19" t="s">
        <v>660</v>
      </c>
      <c r="H1" s="19" t="s">
        <v>661</v>
      </c>
      <c r="I1" s="19" t="s">
        <v>662</v>
      </c>
      <c r="J1" s="19" t="s">
        <v>663</v>
      </c>
      <c r="K1" s="19" t="s">
        <v>664</v>
      </c>
      <c r="L1" s="19" t="s">
        <v>665</v>
      </c>
      <c r="M1" s="19" t="s">
        <v>666</v>
      </c>
      <c r="N1" s="19" t="s">
        <v>667</v>
      </c>
      <c r="O1" s="19" t="s">
        <v>668</v>
      </c>
      <c r="P1" s="19" t="s">
        <v>669</v>
      </c>
      <c r="Q1" s="19" t="s">
        <v>670</v>
      </c>
      <c r="R1" s="19" t="s">
        <v>671</v>
      </c>
      <c r="S1" s="19" t="s">
        <v>672</v>
      </c>
      <c r="T1" s="19" t="s">
        <v>673</v>
      </c>
      <c r="U1" s="19" t="s">
        <v>674</v>
      </c>
      <c r="V1" s="20" t="s">
        <v>675</v>
      </c>
      <c r="W1" s="20" t="s">
        <v>676</v>
      </c>
      <c r="X1" s="20" t="s">
        <v>677</v>
      </c>
      <c r="Y1" s="19" t="s">
        <v>928</v>
      </c>
      <c r="Z1" s="19" t="s">
        <v>929</v>
      </c>
      <c r="AA1" s="19" t="s">
        <v>930</v>
      </c>
      <c r="AB1" s="19" t="s">
        <v>931</v>
      </c>
      <c r="AC1" s="19" t="s">
        <v>932</v>
      </c>
      <c r="AD1" s="19" t="s">
        <v>933</v>
      </c>
      <c r="AE1" s="19" t="s">
        <v>934</v>
      </c>
      <c r="AF1" s="19" t="s">
        <v>935</v>
      </c>
      <c r="AG1" s="19" t="s">
        <v>936</v>
      </c>
      <c r="AH1" s="19" t="s">
        <v>937</v>
      </c>
      <c r="AI1" s="19" t="s">
        <v>938</v>
      </c>
      <c r="AJ1" s="19" t="s">
        <v>939</v>
      </c>
      <c r="AK1" s="19" t="s">
        <v>940</v>
      </c>
      <c r="AL1" s="19" t="s">
        <v>941</v>
      </c>
      <c r="AM1" s="19" t="s">
        <v>942</v>
      </c>
      <c r="AN1" s="19" t="s">
        <v>943</v>
      </c>
      <c r="AO1" s="19" t="s">
        <v>944</v>
      </c>
      <c r="AP1" s="19" t="s">
        <v>945</v>
      </c>
      <c r="AQ1" s="19" t="s">
        <v>946</v>
      </c>
      <c r="AR1" s="19" t="s">
        <v>947</v>
      </c>
      <c r="AS1" s="19" t="s">
        <v>948</v>
      </c>
      <c r="AT1" s="19" t="s">
        <v>949</v>
      </c>
      <c r="AU1" s="19" t="s">
        <v>950</v>
      </c>
      <c r="AV1" s="19" t="s">
        <v>951</v>
      </c>
      <c r="AW1" s="19" t="s">
        <v>952</v>
      </c>
      <c r="AX1" s="19" t="s">
        <v>953</v>
      </c>
      <c r="AY1" s="19" t="s">
        <v>954</v>
      </c>
      <c r="AZ1" s="19" t="s">
        <v>955</v>
      </c>
      <c r="BA1" s="19" t="s">
        <v>956</v>
      </c>
      <c r="BB1" s="19" t="s">
        <v>957</v>
      </c>
      <c r="BC1" s="19" t="s">
        <v>958</v>
      </c>
      <c r="BD1" s="19" t="s">
        <v>959</v>
      </c>
      <c r="BE1" s="19" t="s">
        <v>960</v>
      </c>
      <c r="BF1" s="19" t="s">
        <v>961</v>
      </c>
      <c r="BG1" s="19" t="s">
        <v>962</v>
      </c>
      <c r="BH1" s="19" t="s">
        <v>963</v>
      </c>
      <c r="BI1" s="19" t="s">
        <v>964</v>
      </c>
      <c r="BJ1" s="20" t="s">
        <v>965</v>
      </c>
      <c r="BK1" s="20" t="s">
        <v>966</v>
      </c>
      <c r="BL1" s="20" t="s">
        <v>967</v>
      </c>
      <c r="BM1" s="20" t="s">
        <v>968</v>
      </c>
      <c r="BN1" s="20" t="s">
        <v>969</v>
      </c>
      <c r="BO1" s="20" t="s">
        <v>970</v>
      </c>
      <c r="BP1" s="20" t="s">
        <v>971</v>
      </c>
      <c r="BQ1" s="20" t="s">
        <v>972</v>
      </c>
      <c r="BR1" s="20" t="s">
        <v>973</v>
      </c>
      <c r="BS1" s="20" t="s">
        <v>974</v>
      </c>
      <c r="BT1" s="20" t="s">
        <v>975</v>
      </c>
      <c r="BU1" s="19" t="s">
        <v>1889</v>
      </c>
      <c r="BV1" s="19" t="s">
        <v>1890</v>
      </c>
      <c r="BW1" s="19" t="s">
        <v>1891</v>
      </c>
      <c r="BX1" s="19" t="s">
        <v>1892</v>
      </c>
      <c r="BY1" s="19" t="s">
        <v>1893</v>
      </c>
      <c r="BZ1" s="19" t="s">
        <v>1894</v>
      </c>
      <c r="CA1" s="35" t="s">
        <v>4410</v>
      </c>
      <c r="CB1" s="35" t="s">
        <v>4411</v>
      </c>
      <c r="CC1" s="35" t="s">
        <v>4412</v>
      </c>
      <c r="CD1" s="35" t="s">
        <v>4413</v>
      </c>
      <c r="CE1" s="35" t="s">
        <v>4414</v>
      </c>
      <c r="CF1" s="35" t="s">
        <v>4415</v>
      </c>
      <c r="CG1" s="35" t="s">
        <v>4416</v>
      </c>
      <c r="CH1" s="35" t="s">
        <v>4417</v>
      </c>
      <c r="CI1" s="35" t="s">
        <v>4418</v>
      </c>
      <c r="CJ1" s="35" t="s">
        <v>4419</v>
      </c>
      <c r="CK1" s="35" t="s">
        <v>4420</v>
      </c>
      <c r="CL1" s="35" t="s">
        <v>4421</v>
      </c>
      <c r="CM1" s="35" t="s">
        <v>4422</v>
      </c>
      <c r="CN1" s="35" t="s">
        <v>4423</v>
      </c>
      <c r="CO1" s="35" t="s">
        <v>4424</v>
      </c>
      <c r="CP1" s="35" t="s">
        <v>4425</v>
      </c>
      <c r="CQ1" s="35" t="s">
        <v>4426</v>
      </c>
      <c r="CR1" s="35" t="s">
        <v>4427</v>
      </c>
      <c r="CS1" s="35" t="s">
        <v>4428</v>
      </c>
      <c r="CT1" s="35" t="s">
        <v>4429</v>
      </c>
      <c r="CU1" s="35" t="s">
        <v>4430</v>
      </c>
      <c r="CV1" s="36" t="s">
        <v>4431</v>
      </c>
      <c r="CW1" s="36" t="s">
        <v>4432</v>
      </c>
      <c r="CX1" s="36" t="s">
        <v>4433</v>
      </c>
      <c r="CY1" s="36" t="s">
        <v>4434</v>
      </c>
      <c r="CZ1" s="36" t="s">
        <v>4435</v>
      </c>
      <c r="DA1" s="36" t="s">
        <v>4436</v>
      </c>
      <c r="DB1" s="36" t="s">
        <v>4437</v>
      </c>
      <c r="DC1" s="36" t="s">
        <v>4438</v>
      </c>
      <c r="DD1" s="36" t="s">
        <v>4439</v>
      </c>
      <c r="DE1" s="36" t="s">
        <v>4440</v>
      </c>
      <c r="DF1" s="36" t="s">
        <v>4441</v>
      </c>
      <c r="DG1" s="36" t="s">
        <v>4442</v>
      </c>
      <c r="DH1" s="36" t="s">
        <v>4443</v>
      </c>
      <c r="DI1" s="36" t="s">
        <v>4913</v>
      </c>
      <c r="DJ1" s="36" t="s">
        <v>4914</v>
      </c>
      <c r="DK1" s="36" t="s">
        <v>4915</v>
      </c>
      <c r="DL1" s="36" t="s">
        <v>4916</v>
      </c>
      <c r="DM1" s="36" t="s">
        <v>4917</v>
      </c>
      <c r="DN1" s="36" t="s">
        <v>4918</v>
      </c>
      <c r="DO1" s="36" t="s">
        <v>4919</v>
      </c>
      <c r="DP1" s="36" t="s">
        <v>4920</v>
      </c>
      <c r="DQ1" s="36" t="s">
        <v>4921</v>
      </c>
      <c r="DR1" s="36" t="s">
        <v>4922</v>
      </c>
      <c r="DS1" s="36" t="s">
        <v>5753</v>
      </c>
      <c r="DT1" s="35" t="s">
        <v>5754</v>
      </c>
    </row>
    <row r="2" spans="1:124" x14ac:dyDescent="0.25">
      <c r="A2" s="9">
        <v>1</v>
      </c>
      <c r="B2" s="15" t="s">
        <v>976</v>
      </c>
      <c r="C2" s="15" t="s">
        <v>976</v>
      </c>
      <c r="D2" s="6" t="s">
        <v>976</v>
      </c>
      <c r="E2" s="6" t="s">
        <v>2054</v>
      </c>
      <c r="F2" s="10">
        <v>0</v>
      </c>
      <c r="G2" s="9">
        <v>1</v>
      </c>
      <c r="H2" s="9">
        <v>0</v>
      </c>
      <c r="I2" s="15" t="s">
        <v>888</v>
      </c>
      <c r="J2" s="9">
        <v>0</v>
      </c>
      <c r="K2" s="15" t="s">
        <v>976</v>
      </c>
      <c r="L2" s="15" t="s">
        <v>976</v>
      </c>
      <c r="M2" s="15" t="s">
        <v>976</v>
      </c>
      <c r="N2" s="15" t="s">
        <v>976</v>
      </c>
      <c r="O2" s="6" t="s">
        <v>976</v>
      </c>
      <c r="P2" s="15" t="s">
        <v>976</v>
      </c>
      <c r="Q2" s="15" t="s">
        <v>976</v>
      </c>
      <c r="R2" s="6" t="s">
        <v>2054</v>
      </c>
      <c r="S2" s="15" t="s">
        <v>2055</v>
      </c>
      <c r="T2" s="11" t="s">
        <v>888</v>
      </c>
      <c r="U2" s="10">
        <v>1</v>
      </c>
      <c r="V2" s="7" t="s">
        <v>678</v>
      </c>
      <c r="W2" s="7" t="s">
        <v>679</v>
      </c>
      <c r="X2" s="7" t="s">
        <v>680</v>
      </c>
      <c r="Y2" s="15" t="s">
        <v>2056</v>
      </c>
      <c r="Z2" s="9">
        <v>1</v>
      </c>
      <c r="AA2" s="9">
        <v>1</v>
      </c>
      <c r="AB2" s="9">
        <v>79</v>
      </c>
      <c r="AC2" s="13">
        <v>1</v>
      </c>
      <c r="AD2" s="13">
        <v>1</v>
      </c>
      <c r="AE2" s="9">
        <v>1</v>
      </c>
      <c r="AF2" s="9">
        <v>1</v>
      </c>
      <c r="AG2" s="9">
        <v>1</v>
      </c>
      <c r="AH2" s="6" t="s">
        <v>976</v>
      </c>
      <c r="AI2" s="10">
        <v>0</v>
      </c>
      <c r="AJ2" s="10" t="s">
        <v>888</v>
      </c>
      <c r="AK2" s="15" t="s">
        <v>976</v>
      </c>
      <c r="AL2" s="15" t="s">
        <v>976</v>
      </c>
      <c r="AM2" s="15" t="s">
        <v>2054</v>
      </c>
      <c r="AN2" s="9">
        <v>0</v>
      </c>
      <c r="AO2" s="9">
        <v>1</v>
      </c>
      <c r="AP2" s="9">
        <v>1</v>
      </c>
      <c r="AQ2" s="15" t="s">
        <v>2057</v>
      </c>
      <c r="AR2" s="9">
        <v>1</v>
      </c>
      <c r="AS2" s="6" t="s">
        <v>976</v>
      </c>
      <c r="AT2" s="15" t="s">
        <v>2058</v>
      </c>
      <c r="AU2" s="9">
        <v>1</v>
      </c>
      <c r="AV2" s="9">
        <v>1</v>
      </c>
      <c r="AW2" s="9">
        <v>1</v>
      </c>
      <c r="AX2" s="9">
        <v>1</v>
      </c>
      <c r="AY2" s="9">
        <v>1</v>
      </c>
      <c r="AZ2" s="9">
        <v>1</v>
      </c>
      <c r="BA2" s="6" t="s">
        <v>888</v>
      </c>
      <c r="BB2" s="6" t="s">
        <v>888</v>
      </c>
      <c r="BC2" s="6" t="s">
        <v>1895</v>
      </c>
      <c r="BD2" s="15" t="s">
        <v>2054</v>
      </c>
      <c r="BE2" s="15" t="s">
        <v>2059</v>
      </c>
      <c r="BF2" s="15" t="s">
        <v>2060</v>
      </c>
      <c r="BG2" s="15" t="s">
        <v>2061</v>
      </c>
      <c r="BH2" s="6" t="s">
        <v>2062</v>
      </c>
      <c r="BI2" s="17">
        <v>25569.000011574073</v>
      </c>
      <c r="BJ2" s="7" t="s">
        <v>976</v>
      </c>
      <c r="BK2" s="7" t="s">
        <v>977</v>
      </c>
      <c r="BL2" s="7" t="s">
        <v>978</v>
      </c>
      <c r="BM2" s="16" t="s">
        <v>979</v>
      </c>
      <c r="BN2" s="16" t="s">
        <v>980</v>
      </c>
      <c r="BO2" s="16" t="s">
        <v>981</v>
      </c>
      <c r="BP2" s="16" t="s">
        <v>982</v>
      </c>
      <c r="BQ2" s="16" t="s">
        <v>983</v>
      </c>
      <c r="BR2" s="7" t="s">
        <v>984</v>
      </c>
      <c r="BS2" s="7" t="s">
        <v>985</v>
      </c>
      <c r="BT2" s="7" t="s">
        <v>986</v>
      </c>
      <c r="BU2" s="14">
        <v>8.63616855509446E-78</v>
      </c>
      <c r="BV2" s="15" t="s">
        <v>2063</v>
      </c>
      <c r="BW2" s="9">
        <v>1</v>
      </c>
      <c r="BX2" s="9">
        <v>1</v>
      </c>
      <c r="BY2" s="13">
        <v>1</v>
      </c>
      <c r="BZ2" s="13">
        <v>1</v>
      </c>
      <c r="CA2" s="12" t="str">
        <f>IF(B2="","",IF(A2&lt;8,"",_xlfn.LET(_xlpm.n,A2,_xlpm.k,G2,_xlpm.R,AP2,_xlpm.mu,1+2*_xlpm.k*(_xlpm.n-_xlpm.k)/_xlpm.n,_xlpm.v,2*_xlpm.k*(_xlpm.n-_xlpm.k)*(2*_xlpm.k*(_xlpm.n-_xlpm.k)-_xlpm.n)/(_xlpm.n^2*(_xlpm.n-1)),IF(_xlpm.v&lt;=0,"",(_xlpm.R-_xlpm.mu)/SQRT(_xlpm.v)))))</f>
        <v/>
      </c>
      <c r="CB2" s="37" t="str" cm="1">
        <f t="array" ref="CB2">IF(B2="","",IF(A2&lt;8,"",_xlfn.LET(_xlpm.b,--MID(C2,_xlfn.SEQUENCE(A2-1),1),_xlpm.c,--MID(C2,_xlfn.SEQUENCE(A2-1,,2),1),IFERROR(CORREL(_xlpm.b,_xlpm.c),""))))</f>
        <v/>
      </c>
      <c r="CC2" s="8">
        <f>IF(B2="","",LOG(A2,2))</f>
        <v>0</v>
      </c>
      <c r="CD2" s="8">
        <f>IF(B2="","",MAX(AN2,AO2)-CC2)</f>
        <v>1</v>
      </c>
      <c r="CE2" s="8" t="str" cm="1">
        <f t="array" ref="CE2">IF(B2="","",IF(LEN(B2)&lt;16,"",_xlfn.LET(_xlpm.d,MID("0123456789abcdef",_xlfn.SEQUENCE(16),1),_xlpm.c,LEN(B2)-LEN(SUBSTITUTE(B2,_xlpm.d,"")),_xlpm.ex,LEN(B2)/16,SUM((_xlpm.c-_xlpm.ex)^2/_xlpm.ex))))</f>
        <v/>
      </c>
      <c r="CF2" s="37" t="str">
        <f>IF(CE2="","",_xlfn.CHISQ.DIST.RT(CE2,15))</f>
        <v/>
      </c>
      <c r="CG2" s="9" t="str">
        <f>""</f>
        <v/>
      </c>
      <c r="CH2" s="9" t="str">
        <f>""</f>
        <v/>
      </c>
      <c r="CI2" s="38" t="str">
        <f>""</f>
        <v/>
      </c>
      <c r="CJ2" s="5" t="str">
        <f>""</f>
        <v/>
      </c>
      <c r="CK2" s="5" t="str">
        <f>""</f>
        <v/>
      </c>
      <c r="CL2" s="9" t="str">
        <f>""</f>
        <v/>
      </c>
      <c r="CM2" s="6" t="str">
        <f>""</f>
        <v/>
      </c>
      <c r="CN2" s="38">
        <f>IF(B2="","",F2-0.5)</f>
        <v>-0.5</v>
      </c>
      <c r="CO2" s="15" t="str" cm="1">
        <f t="array" ref="CO2">IF(B2="","",_xlfn.TEXTJOIN("",,MID(B2,_xlfn.SEQUENCE(LEN(B2),,LEN(B2),-1),1)))</f>
        <v>1</v>
      </c>
      <c r="CP2" s="6" t="str" cm="1">
        <f t="array" ref="CP2">IF(B2="","",BASE2DEC(CO2,16))</f>
        <v>1</v>
      </c>
      <c r="CQ2" s="5">
        <f>IF(B2="","",IF(AND(LEN(B2)&lt;16,LEN(B2)=LEN(SUBSTITUTE(SUBSTITUTE(SUBSTITUTE(SUBSTITUTE(SUBSTITUTE(SUBSTITUTE(B2,"a",""),"b",""),"c",""),"d",""),"e",""),"f",""))),--B2,""))</f>
        <v>1</v>
      </c>
      <c r="CR2" s="6" t="str" cm="1">
        <f t="array" ref="CR2">IF(B2="","",IF(LEN(D2)&lt;=15,BASE2DEC(D2,16),""))</f>
        <v>1</v>
      </c>
      <c r="CS2" s="15" t="str" cm="1">
        <f t="array" ref="CS2">IF(B2="","",_xlfn.LET(_xlpm.p,REPT("0",MOD(-LEN(B2),4))&amp;B2,_xlfn.TEXTJOIN(" ",,MID(_xlpm.p,_xlfn.SEQUENCE(LEN(_xlpm.p)/4,,1,4),4))))</f>
        <v>0001</v>
      </c>
      <c r="CT2" s="15" t="str" cm="1">
        <f t="array" ref="CT2">IF(B2="","",UPPER(_xlfn.LET(_xlpm.p,REPT("0",64-LEN(B2))&amp;B2,_xlfn.TEXTJOIN(" ",,MID(_xlpm.p,_xlfn.SEQUENCE(8,,1,8),8)))))</f>
        <v>00000000 00000000 00000000 00000000 00000000 00000000 00000000 00000001</v>
      </c>
      <c r="CU2" s="6" t="str" cm="1">
        <f t="array" ref="CU2">IF(B2="","",IF(LEN(D2)&lt;=6,_xlfn.LET(_xlpm.n,VALUE(D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one</v>
      </c>
      <c r="CV2" s="39" t="s">
        <v>4444</v>
      </c>
      <c r="CW2" s="39" t="s">
        <v>4445</v>
      </c>
      <c r="CX2" s="39" t="s">
        <v>888</v>
      </c>
      <c r="CY2" s="7" t="s">
        <v>888</v>
      </c>
      <c r="CZ2" s="39" t="s">
        <v>4446</v>
      </c>
      <c r="DA2" s="39" t="s">
        <v>4446</v>
      </c>
      <c r="DB2" s="39">
        <v>0</v>
      </c>
      <c r="DC2" s="7" t="s">
        <v>4447</v>
      </c>
      <c r="DD2" s="7" t="s">
        <v>976</v>
      </c>
      <c r="DE2" s="7" t="s">
        <v>2054</v>
      </c>
      <c r="DF2" s="7" t="s">
        <v>976</v>
      </c>
      <c r="DG2" s="7" t="s">
        <v>2054</v>
      </c>
      <c r="DH2" s="39" t="s">
        <v>4448</v>
      </c>
      <c r="DI2" s="7" t="s">
        <v>4923</v>
      </c>
      <c r="DJ2" s="7" t="s">
        <v>4924</v>
      </c>
      <c r="DK2" s="7" t="s">
        <v>4925</v>
      </c>
      <c r="DL2" s="7" t="s">
        <v>4926</v>
      </c>
      <c r="DM2" s="7" t="s">
        <v>4927</v>
      </c>
      <c r="DN2" s="7" t="s">
        <v>4928</v>
      </c>
      <c r="DO2" s="7" t="s">
        <v>4929</v>
      </c>
      <c r="DP2" s="7" t="s">
        <v>4930</v>
      </c>
      <c r="DQ2" s="7" t="s">
        <v>4931</v>
      </c>
      <c r="DR2" s="7" t="s">
        <v>4932</v>
      </c>
      <c r="DS2" s="7" t="s">
        <v>5755</v>
      </c>
      <c r="DT2" s="15" t="str" cm="1">
        <f t="array" ref="DT2">IF(B2="","",_xlfn.TEXTJOIN("",,HEX2BIN(MID(BQ2,_xlfn.SEQUENCE(40),1),4)))</f>
        <v>1001000110110010010010111111100111110101001010001000010100110010100101100000101011000110100001111010101110110000001101010001001001111011000111010010100010100101</v>
      </c>
    </row>
    <row r="3" spans="1:124" x14ac:dyDescent="0.25">
      <c r="A3" s="9">
        <v>2</v>
      </c>
      <c r="B3" s="15" t="s">
        <v>987</v>
      </c>
      <c r="C3" s="15" t="s">
        <v>2064</v>
      </c>
      <c r="D3" s="6" t="s">
        <v>987</v>
      </c>
      <c r="E3" s="6" t="s">
        <v>976</v>
      </c>
      <c r="F3" s="10">
        <v>0.5</v>
      </c>
      <c r="G3" s="9">
        <v>2</v>
      </c>
      <c r="H3" s="9">
        <v>0</v>
      </c>
      <c r="I3" s="15" t="s">
        <v>1897</v>
      </c>
      <c r="J3" s="9">
        <v>1</v>
      </c>
      <c r="K3" s="15" t="s">
        <v>987</v>
      </c>
      <c r="L3" s="15" t="s">
        <v>987</v>
      </c>
      <c r="M3" s="15" t="s">
        <v>987</v>
      </c>
      <c r="N3" s="15" t="s">
        <v>2064</v>
      </c>
      <c r="O3" s="6" t="s">
        <v>987</v>
      </c>
      <c r="P3" s="15" t="s">
        <v>1897</v>
      </c>
      <c r="Q3" s="15" t="s">
        <v>1897</v>
      </c>
      <c r="R3" s="6" t="s">
        <v>2054</v>
      </c>
      <c r="S3" s="15" t="s">
        <v>2065</v>
      </c>
      <c r="T3" s="11">
        <v>3</v>
      </c>
      <c r="U3" s="10">
        <v>1</v>
      </c>
      <c r="V3" s="7" t="s">
        <v>681</v>
      </c>
      <c r="W3" s="7" t="s">
        <v>682</v>
      </c>
      <c r="X3" s="7" t="s">
        <v>683</v>
      </c>
      <c r="Y3" s="15" t="s">
        <v>2066</v>
      </c>
      <c r="Z3" s="9">
        <v>2</v>
      </c>
      <c r="AA3" s="9">
        <v>1</v>
      </c>
      <c r="AB3" s="9">
        <v>88</v>
      </c>
      <c r="AC3" s="13">
        <v>1.4142135623730949</v>
      </c>
      <c r="AD3" s="13">
        <v>0</v>
      </c>
      <c r="AE3" s="9">
        <v>1</v>
      </c>
      <c r="AF3" s="9">
        <v>3</v>
      </c>
      <c r="AG3" s="9">
        <v>3</v>
      </c>
      <c r="AH3" s="6" t="s">
        <v>987</v>
      </c>
      <c r="AI3" s="10">
        <v>1.5849625007211563</v>
      </c>
      <c r="AJ3" s="10">
        <v>0</v>
      </c>
      <c r="AK3" s="15" t="s">
        <v>2064</v>
      </c>
      <c r="AL3" s="15" t="s">
        <v>2064</v>
      </c>
      <c r="AM3" s="15" t="s">
        <v>2067</v>
      </c>
      <c r="AN3" s="9">
        <v>0</v>
      </c>
      <c r="AO3" s="9">
        <v>2</v>
      </c>
      <c r="AP3" s="9">
        <v>1</v>
      </c>
      <c r="AQ3" s="15" t="s">
        <v>2068</v>
      </c>
      <c r="AR3" s="9">
        <v>1</v>
      </c>
      <c r="AS3" s="6" t="s">
        <v>987</v>
      </c>
      <c r="AT3" s="15" t="s">
        <v>2069</v>
      </c>
      <c r="AU3" s="9">
        <v>0</v>
      </c>
      <c r="AV3" s="9">
        <v>3</v>
      </c>
      <c r="AW3" s="9">
        <v>3</v>
      </c>
      <c r="AX3" s="9">
        <v>3</v>
      </c>
      <c r="AY3" s="9">
        <v>3</v>
      </c>
      <c r="AZ3" s="9">
        <v>3</v>
      </c>
      <c r="BA3" s="6" t="s">
        <v>1895</v>
      </c>
      <c r="BB3" s="6" t="s">
        <v>976</v>
      </c>
      <c r="BC3" s="6" t="s">
        <v>1896</v>
      </c>
      <c r="BD3" s="15" t="s">
        <v>1895</v>
      </c>
      <c r="BE3" s="15" t="s">
        <v>2070</v>
      </c>
      <c r="BF3" s="15" t="s">
        <v>2071</v>
      </c>
      <c r="BG3" s="15" t="s">
        <v>2061</v>
      </c>
      <c r="BH3" s="6" t="s">
        <v>2072</v>
      </c>
      <c r="BI3" s="17">
        <v>25569.000034722223</v>
      </c>
      <c r="BJ3" s="7" t="s">
        <v>987</v>
      </c>
      <c r="BK3" s="7" t="s">
        <v>988</v>
      </c>
      <c r="BL3" s="7" t="s">
        <v>989</v>
      </c>
      <c r="BM3" s="16" t="s">
        <v>990</v>
      </c>
      <c r="BN3" s="16" t="s">
        <v>991</v>
      </c>
      <c r="BO3" s="16" t="s">
        <v>992</v>
      </c>
      <c r="BP3" s="16" t="s">
        <v>993</v>
      </c>
      <c r="BQ3" s="16" t="s">
        <v>994</v>
      </c>
      <c r="BR3" s="7" t="s">
        <v>995</v>
      </c>
      <c r="BS3" s="7" t="s">
        <v>996</v>
      </c>
      <c r="BT3" s="7" t="s">
        <v>997</v>
      </c>
      <c r="BU3" s="14">
        <v>2.5908505665283376E-77</v>
      </c>
      <c r="BV3" s="15" t="s">
        <v>2073</v>
      </c>
      <c r="BW3" s="9">
        <v>1</v>
      </c>
      <c r="BX3" s="9">
        <v>0</v>
      </c>
      <c r="BY3" s="13">
        <v>0</v>
      </c>
      <c r="BZ3" s="13">
        <v>-1.4142135623730949</v>
      </c>
      <c r="CA3" s="12" t="str">
        <f>IF(B3="","",IF(A3&lt;8,"",_xlfn.LET(_xlpm.n,A3,_xlpm.k,G3,_xlpm.R,AP3,_xlpm.mu,1+2*_xlpm.k*(_xlpm.n-_xlpm.k)/_xlpm.n,_xlpm.v,2*_xlpm.k*(_xlpm.n-_xlpm.k)*(2*_xlpm.k*(_xlpm.n-_xlpm.k)-_xlpm.n)/(_xlpm.n^2*(_xlpm.n-1)),IF(_xlpm.v&lt;=0,"",(_xlpm.R-_xlpm.mu)/SQRT(_xlpm.v)))))</f>
        <v/>
      </c>
      <c r="CB3" s="37" t="str" cm="1">
        <f t="array" ref="CB3">IF(B3="","",IF(A3&lt;8,"",_xlfn.LET(_xlpm.b,--MID(C3,_xlfn.SEQUENCE(A3-1),1),_xlpm.c,--MID(C3,_xlfn.SEQUENCE(A3-1,,2),1),IFERROR(CORREL(_xlpm.b,_xlpm.c),""))))</f>
        <v/>
      </c>
      <c r="CC3" s="8">
        <f>IF(B3="","",LOG(A3,2))</f>
        <v>1</v>
      </c>
      <c r="CD3" s="8">
        <f>IF(B3="","",MAX(AN3,AO3)-CC3)</f>
        <v>1</v>
      </c>
      <c r="CE3" s="8" t="str" cm="1">
        <f t="array" ref="CE3">IF(B3="","",IF(LEN(B3)&lt;16,"",_xlfn.LET(_xlpm.d,MID("0123456789abcdef",_xlfn.SEQUENCE(16),1),_xlpm.c,LEN(B3)-LEN(SUBSTITUTE(B3,_xlpm.d,"")),_xlpm.ex,LEN(B3)/16,SUM((_xlpm.c-_xlpm.ex)^2/_xlpm.ex))))</f>
        <v/>
      </c>
      <c r="CF3" s="37" t="str">
        <f>IF(CE3="","",_xlfn.CHISQ.DIST.RT(CE3,15))</f>
        <v/>
      </c>
      <c r="CG3" s="9" cm="1">
        <f t="array" ref="CG3">IF(OR(B3="",B2=""),"",_xlfn.LET(_xlpm.a,C3,_xlpm.b,REPT("0",A3-LEN(C2))&amp;C2,_xlpm.m,MID(_xlpm.a,_xlfn.SEQUENCE(A3),1)=MID(_xlpm.b,_xlfn.SEQUENCE(A3),1),IFERROR(MATCH(FALSE,_xlpm.m,0)-1,A3)))</f>
        <v>0</v>
      </c>
      <c r="CH3" s="9" cm="1">
        <f t="array" ref="CH3">IF(OR(B3="",B2=""),"",_xlfn.LET(_xlpm.a,C3,_xlpm.b,REPT("0",A3-LEN(C2))&amp;C2,_xlpm.n,A3,_xlpm.m,MID(_xlpm.a,_xlfn.SEQUENCE(_xlpm.n,,_xlpm.n,-1),1)=MID(_xlpm.b,_xlfn.SEQUENCE(_xlpm.n,,_xlpm.n,-1),1),IFERROR(MATCH(FALSE,_xlpm.m,0)-1,_xlpm.n)))</f>
        <v>1</v>
      </c>
      <c r="CI3" s="38">
        <f>IF(OR(B3="",B2=""),"",F3-F2)</f>
        <v>0.5</v>
      </c>
      <c r="CJ3" s="5" t="b">
        <f>IF(OR(B3="",B2=""),"",IFERROR(FIND(B2,B3)&gt;0,FALSE))</f>
        <v>0</v>
      </c>
      <c r="CK3" s="5" t="b">
        <f>IF(OR(B3="",B2=""),"",IFERROR(FIND(C2,C3)&gt;0,FALSE))</f>
        <v>1</v>
      </c>
      <c r="CL3" s="9">
        <f>IF(OR(B3="",B2=""),"",IFERROR(FIND(C2,C3),""))</f>
        <v>1</v>
      </c>
      <c r="CM3" s="6" t="str" cm="1">
        <f t="array" ref="CM3">IF(OR(B3="",B2=""),"",_xlfn.LET(_xlpm.pv,D2,_xlpm.ra,BIGSUB(D3,_xlpm.pv),_xlpm.rb,BIGSUB(_xlpm.ra,_xlpm.pv),_xlpm.rc,BIGSUB(_xlpm.rb,_xlpm.pv),IF(LEFT(_xlpm.rb,1)="-",_xlpm.ra,IF(LEFT(_xlpm.rc,1)="-",_xlpm.rb,_xlpm.rc))))</f>
        <v>0</v>
      </c>
      <c r="CN3" s="38">
        <f>IF(B3="","",F3-0.5)</f>
        <v>0</v>
      </c>
      <c r="CO3" s="15" t="str" cm="1">
        <f t="array" ref="CO3">IF(B3="","",_xlfn.TEXTJOIN("",,MID(B3,_xlfn.SEQUENCE(LEN(B3),,LEN(B3),-1),1)))</f>
        <v>3</v>
      </c>
      <c r="CP3" s="6" t="str" cm="1">
        <f t="array" ref="CP3">IF(B3="","",BASE2DEC(CO3,16))</f>
        <v>3</v>
      </c>
      <c r="CQ3" s="5">
        <f>IF(B3="","",IF(AND(LEN(B3)&lt;16,LEN(B3)=LEN(SUBSTITUTE(SUBSTITUTE(SUBSTITUTE(SUBSTITUTE(SUBSTITUTE(SUBSTITUTE(B3,"a",""),"b",""),"c",""),"d",""),"e",""),"f",""))),--B3,""))</f>
        <v>3</v>
      </c>
      <c r="CR3" s="6" t="str" cm="1">
        <f t="array" ref="CR3">IF(B3="","",IF(LEN(D3)&lt;=15,BASE2DEC(D3,16),""))</f>
        <v>3</v>
      </c>
      <c r="CS3" s="15" t="str" cm="1">
        <f t="array" ref="CS3">IF(B3="","",_xlfn.LET(_xlpm.p,REPT("0",MOD(-LEN(B3),4))&amp;B3,_xlfn.TEXTJOIN(" ",,MID(_xlpm.p,_xlfn.SEQUENCE(LEN(_xlpm.p)/4,,1,4),4))))</f>
        <v>0003</v>
      </c>
      <c r="CT3" s="15" t="str" cm="1">
        <f t="array" ref="CT3">IF(B3="","",UPPER(_xlfn.LET(_xlpm.p,REPT("0",64-LEN(B3))&amp;B3,_xlfn.TEXTJOIN(" ",,MID(_xlpm.p,_xlfn.SEQUENCE(8,,1,8),8)))))</f>
        <v>00000000 00000000 00000000 00000000 00000000 00000000 00000000 00000003</v>
      </c>
      <c r="CU3" s="6" t="str" cm="1">
        <f t="array" ref="CU3">IF(B3="","",IF(LEN(D3)&lt;=6,_xlfn.LET(_xlpm.n,VALUE(D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three</v>
      </c>
      <c r="CV3" s="39" t="s">
        <v>4446</v>
      </c>
      <c r="CW3" s="39" t="s">
        <v>987</v>
      </c>
      <c r="CX3" s="39" t="s">
        <v>976</v>
      </c>
      <c r="CY3" s="7" t="s">
        <v>987</v>
      </c>
      <c r="CZ3" s="39" t="s">
        <v>4444</v>
      </c>
      <c r="DA3" s="39" t="s">
        <v>4444</v>
      </c>
      <c r="DB3" s="39">
        <v>1</v>
      </c>
      <c r="DC3" s="7" t="s">
        <v>4449</v>
      </c>
      <c r="DD3" s="7" t="s">
        <v>987</v>
      </c>
      <c r="DE3" s="7" t="s">
        <v>2054</v>
      </c>
      <c r="DF3" s="7" t="s">
        <v>987</v>
      </c>
      <c r="DG3" s="7" t="s">
        <v>2054</v>
      </c>
      <c r="DH3" s="39" t="s">
        <v>4448</v>
      </c>
      <c r="DI3" s="7" t="s">
        <v>4933</v>
      </c>
      <c r="DJ3" s="7" t="s">
        <v>4934</v>
      </c>
      <c r="DK3" s="7" t="s">
        <v>4935</v>
      </c>
      <c r="DL3" s="7" t="s">
        <v>4936</v>
      </c>
      <c r="DM3" s="7" t="s">
        <v>4937</v>
      </c>
      <c r="DN3" s="7" t="s">
        <v>4938</v>
      </c>
      <c r="DO3" s="7" t="s">
        <v>4939</v>
      </c>
      <c r="DP3" s="7" t="s">
        <v>4940</v>
      </c>
      <c r="DQ3" s="7" t="s">
        <v>4941</v>
      </c>
      <c r="DR3" s="7" t="s">
        <v>4942</v>
      </c>
      <c r="DS3" s="7" t="s">
        <v>5756</v>
      </c>
      <c r="DT3" s="15" t="str" cm="1">
        <f t="array" ref="DT3">IF(B3="","",_xlfn.TEXTJOIN("",,HEX2BIN(MID(BQ3,_xlfn.SEQUENCE(40),1),4)))</f>
        <v>1110110001111110110011101101001011000101011111101101000100101001001010111100010011101011100110111111110100010011110010011111011101100000001110111100001100111000</v>
      </c>
    </row>
    <row r="4" spans="1:124" x14ac:dyDescent="0.25">
      <c r="A4" s="9">
        <v>3</v>
      </c>
      <c r="B4" s="15" t="s">
        <v>998</v>
      </c>
      <c r="C4" s="15" t="s">
        <v>2074</v>
      </c>
      <c r="D4" s="6" t="s">
        <v>998</v>
      </c>
      <c r="E4" s="6" t="s">
        <v>987</v>
      </c>
      <c r="F4" s="10">
        <v>0.75</v>
      </c>
      <c r="G4" s="9">
        <v>3</v>
      </c>
      <c r="H4" s="9">
        <v>0</v>
      </c>
      <c r="I4" s="15" t="s">
        <v>1901</v>
      </c>
      <c r="J4" s="9">
        <v>1</v>
      </c>
      <c r="K4" s="15" t="s">
        <v>2075</v>
      </c>
      <c r="L4" s="15" t="s">
        <v>998</v>
      </c>
      <c r="M4" s="15" t="s">
        <v>998</v>
      </c>
      <c r="N4" s="15" t="s">
        <v>2074</v>
      </c>
      <c r="O4" s="6" t="s">
        <v>998</v>
      </c>
      <c r="P4" s="15" t="s">
        <v>1901</v>
      </c>
      <c r="Q4" s="15" t="s">
        <v>1901</v>
      </c>
      <c r="R4" s="6" t="s">
        <v>2054</v>
      </c>
      <c r="S4" s="15" t="s">
        <v>2076</v>
      </c>
      <c r="T4" s="11">
        <v>2.3333333333333335</v>
      </c>
      <c r="U4" s="10">
        <v>1</v>
      </c>
      <c r="V4" s="7" t="s">
        <v>684</v>
      </c>
      <c r="W4" s="7" t="s">
        <v>685</v>
      </c>
      <c r="X4" s="7" t="s">
        <v>686</v>
      </c>
      <c r="Y4" s="15" t="s">
        <v>2077</v>
      </c>
      <c r="Z4" s="9">
        <v>2</v>
      </c>
      <c r="AA4" s="9">
        <v>2</v>
      </c>
      <c r="AB4" s="9">
        <v>93</v>
      </c>
      <c r="AC4" s="13">
        <v>0.57735026918962584</v>
      </c>
      <c r="AD4" s="13">
        <v>0.57735026918962584</v>
      </c>
      <c r="AE4" s="9">
        <v>1</v>
      </c>
      <c r="AF4" s="9">
        <v>7</v>
      </c>
      <c r="AG4" s="9">
        <v>7</v>
      </c>
      <c r="AH4" s="6" t="s">
        <v>998</v>
      </c>
      <c r="AI4" s="10">
        <v>2.8073549220576042</v>
      </c>
      <c r="AJ4" s="10">
        <v>1.5849625007211563</v>
      </c>
      <c r="AK4" s="15" t="s">
        <v>2074</v>
      </c>
      <c r="AL4" s="15" t="s">
        <v>2074</v>
      </c>
      <c r="AM4" s="15" t="s">
        <v>2078</v>
      </c>
      <c r="AN4" s="9">
        <v>0</v>
      </c>
      <c r="AO4" s="9">
        <v>3</v>
      </c>
      <c r="AP4" s="9">
        <v>1</v>
      </c>
      <c r="AQ4" s="15" t="s">
        <v>2079</v>
      </c>
      <c r="AR4" s="9">
        <v>1</v>
      </c>
      <c r="AS4" s="6" t="s">
        <v>998</v>
      </c>
      <c r="AT4" s="15" t="s">
        <v>2080</v>
      </c>
      <c r="AU4" s="9">
        <v>1</v>
      </c>
      <c r="AV4" s="9">
        <v>2</v>
      </c>
      <c r="AW4" s="9">
        <v>0</v>
      </c>
      <c r="AX4" s="9">
        <v>7</v>
      </c>
      <c r="AY4" s="9">
        <v>7</v>
      </c>
      <c r="AZ4" s="9">
        <v>7</v>
      </c>
      <c r="BA4" s="6" t="s">
        <v>1896</v>
      </c>
      <c r="BB4" s="6" t="s">
        <v>976</v>
      </c>
      <c r="BC4" s="6" t="s">
        <v>1009</v>
      </c>
      <c r="BD4" s="15" t="s">
        <v>2081</v>
      </c>
      <c r="BE4" s="15" t="s">
        <v>2082</v>
      </c>
      <c r="BF4" s="15" t="s">
        <v>2083</v>
      </c>
      <c r="BG4" s="15" t="s">
        <v>2061</v>
      </c>
      <c r="BH4" s="6" t="s">
        <v>2084</v>
      </c>
      <c r="BI4" s="17">
        <v>25569.000081018519</v>
      </c>
      <c r="BJ4" s="7" t="s">
        <v>998</v>
      </c>
      <c r="BK4" s="7" t="s">
        <v>999</v>
      </c>
      <c r="BL4" s="7" t="s">
        <v>1000</v>
      </c>
      <c r="BM4" s="16" t="s">
        <v>1001</v>
      </c>
      <c r="BN4" s="16" t="s">
        <v>1002</v>
      </c>
      <c r="BO4" s="16" t="s">
        <v>1003</v>
      </c>
      <c r="BP4" s="16" t="s">
        <v>1004</v>
      </c>
      <c r="BQ4" s="16" t="s">
        <v>1005</v>
      </c>
      <c r="BR4" s="7" t="s">
        <v>1006</v>
      </c>
      <c r="BS4" s="7" t="s">
        <v>1007</v>
      </c>
      <c r="BT4" s="7" t="s">
        <v>1008</v>
      </c>
      <c r="BU4" s="14">
        <v>6.0453179885661212E-77</v>
      </c>
      <c r="BV4" s="15" t="s">
        <v>2085</v>
      </c>
      <c r="BW4" s="9">
        <v>2</v>
      </c>
      <c r="BX4" s="9">
        <v>2</v>
      </c>
      <c r="BY4" s="13">
        <v>0.57735026918962584</v>
      </c>
      <c r="BZ4" s="13">
        <v>0.57735026918962584</v>
      </c>
      <c r="CA4" s="12" t="str">
        <f>IF(B4="","",IF(A4&lt;8,"",_xlfn.LET(_xlpm.n,A4,_xlpm.k,G4,_xlpm.R,AP4,_xlpm.mu,1+2*_xlpm.k*(_xlpm.n-_xlpm.k)/_xlpm.n,_xlpm.v,2*_xlpm.k*(_xlpm.n-_xlpm.k)*(2*_xlpm.k*(_xlpm.n-_xlpm.k)-_xlpm.n)/(_xlpm.n^2*(_xlpm.n-1)),IF(_xlpm.v&lt;=0,"",(_xlpm.R-_xlpm.mu)/SQRT(_xlpm.v)))))</f>
        <v/>
      </c>
      <c r="CB4" s="37" t="str" cm="1">
        <f t="array" ref="CB4">IF(B4="","",IF(A4&lt;8,"",_xlfn.LET(_xlpm.b,--MID(C4,_xlfn.SEQUENCE(A4-1),1),_xlpm.c,--MID(C4,_xlfn.SEQUENCE(A4-1,,2),1),IFERROR(CORREL(_xlpm.b,_xlpm.c),""))))</f>
        <v/>
      </c>
      <c r="CC4" s="8">
        <f>IF(B4="","",LOG(A4,2))</f>
        <v>1.5849625007211563</v>
      </c>
      <c r="CD4" s="8">
        <f>IF(B4="","",MAX(AN4,AO4)-CC4)</f>
        <v>1.4150374992788437</v>
      </c>
      <c r="CE4" s="8" t="str" cm="1">
        <f t="array" ref="CE4">IF(B4="","",IF(LEN(B4)&lt;16,"",_xlfn.LET(_xlpm.d,MID("0123456789abcdef",_xlfn.SEQUENCE(16),1),_xlpm.c,LEN(B4)-LEN(SUBSTITUTE(B4,_xlpm.d,"")),_xlpm.ex,LEN(B4)/16,SUM((_xlpm.c-_xlpm.ex)^2/_xlpm.ex))))</f>
        <v/>
      </c>
      <c r="CF4" s="37" t="str">
        <f>IF(CE4="","",_xlfn.CHISQ.DIST.RT(CE4,15))</f>
        <v/>
      </c>
      <c r="CG4" s="9" cm="1">
        <f t="array" ref="CG4">IF(OR(B4="",B3=""),"",_xlfn.LET(_xlpm.a,C4,_xlpm.b,REPT("0",A4-LEN(C3))&amp;C3,_xlpm.m,MID(_xlpm.a,_xlfn.SEQUENCE(A4),1)=MID(_xlpm.b,_xlfn.SEQUENCE(A4),1),IFERROR(MATCH(FALSE,_xlpm.m,0)-1,A4)))</f>
        <v>0</v>
      </c>
      <c r="CH4" s="9" cm="1">
        <f t="array" ref="CH4">IF(OR(B4="",B3=""),"",_xlfn.LET(_xlpm.a,C4,_xlpm.b,REPT("0",A4-LEN(C3))&amp;C3,_xlpm.n,A4,_xlpm.m,MID(_xlpm.a,_xlfn.SEQUENCE(_xlpm.n,,_xlpm.n,-1),1)=MID(_xlpm.b,_xlfn.SEQUENCE(_xlpm.n,,_xlpm.n,-1),1),IFERROR(MATCH(FALSE,_xlpm.m,0)-1,_xlpm.n)))</f>
        <v>2</v>
      </c>
      <c r="CI4" s="38">
        <f>IF(OR(B4="",B3=""),"",F4-F3)</f>
        <v>0.25</v>
      </c>
      <c r="CJ4" s="5" t="b">
        <f>IF(OR(B4="",B3=""),"",IFERROR(FIND(B3,B4)&gt;0,FALSE))</f>
        <v>0</v>
      </c>
      <c r="CK4" s="5" t="b">
        <f>IF(OR(B4="",B3=""),"",IFERROR(FIND(C3,C4)&gt;0,FALSE))</f>
        <v>1</v>
      </c>
      <c r="CL4" s="9">
        <f>IF(OR(B4="",B3=""),"",IFERROR(FIND(C3,C4),""))</f>
        <v>1</v>
      </c>
      <c r="CM4" s="6" t="str" cm="1">
        <f t="array" ref="CM4">IF(OR(B4="",B3=""),"",_xlfn.LET(_xlpm.pv,D3,_xlpm.ra,BIGSUB(D4,_xlpm.pv),_xlpm.rb,BIGSUB(_xlpm.ra,_xlpm.pv),_xlpm.rc,BIGSUB(_xlpm.rb,_xlpm.pv),IF(LEFT(_xlpm.rb,1)="-",_xlpm.ra,IF(LEFT(_xlpm.rc,1)="-",_xlpm.rb,_xlpm.rc))))</f>
        <v>1</v>
      </c>
      <c r="CN4" s="38">
        <f>IF(B4="","",F4-0.5)</f>
        <v>0.25</v>
      </c>
      <c r="CO4" s="15" t="str" cm="1">
        <f t="array" ref="CO4">IF(B4="","",_xlfn.TEXTJOIN("",,MID(B4,_xlfn.SEQUENCE(LEN(B4),,LEN(B4),-1),1)))</f>
        <v>7</v>
      </c>
      <c r="CP4" s="6" t="str" cm="1">
        <f t="array" ref="CP4">IF(B4="","",BASE2DEC(CO4,16))</f>
        <v>7</v>
      </c>
      <c r="CQ4" s="5">
        <f>IF(B4="","",IF(AND(LEN(B4)&lt;16,LEN(B4)=LEN(SUBSTITUTE(SUBSTITUTE(SUBSTITUTE(SUBSTITUTE(SUBSTITUTE(SUBSTITUTE(B4,"a",""),"b",""),"c",""),"d",""),"e",""),"f",""))),--B4,""))</f>
        <v>7</v>
      </c>
      <c r="CR4" s="6" t="str" cm="1">
        <f t="array" ref="CR4">IF(B4="","",IF(LEN(D4)&lt;=15,BASE2DEC(D4,16),""))</f>
        <v>7</v>
      </c>
      <c r="CS4" s="15" t="str" cm="1">
        <f t="array" ref="CS4">IF(B4="","",_xlfn.LET(_xlpm.p,REPT("0",MOD(-LEN(B4),4))&amp;B4,_xlfn.TEXTJOIN(" ",,MID(_xlpm.p,_xlfn.SEQUENCE(LEN(_xlpm.p)/4,,1,4),4))))</f>
        <v>0007</v>
      </c>
      <c r="CT4" s="15" t="str" cm="1">
        <f t="array" ref="CT4">IF(B4="","",UPPER(_xlfn.LET(_xlpm.p,REPT("0",64-LEN(B4))&amp;B4,_xlfn.TEXTJOIN(" ",,MID(_xlpm.p,_xlfn.SEQUENCE(8,,1,8),8)))))</f>
        <v>00000000 00000000 00000000 00000000 00000000 00000000 00000000 00000007</v>
      </c>
      <c r="CU4" s="6" t="str" cm="1">
        <f t="array" ref="CU4">IF(B4="","",IF(LEN(D4)&lt;=6,_xlfn.LET(_xlpm.n,VALUE(D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seven</v>
      </c>
      <c r="CV4" s="39" t="s">
        <v>4446</v>
      </c>
      <c r="CW4" s="39" t="s">
        <v>998</v>
      </c>
      <c r="CX4" s="39" t="s">
        <v>976</v>
      </c>
      <c r="CY4" s="7" t="s">
        <v>998</v>
      </c>
      <c r="CZ4" s="39" t="s">
        <v>4444</v>
      </c>
      <c r="DA4" s="39" t="s">
        <v>4444</v>
      </c>
      <c r="DB4" s="39">
        <v>3</v>
      </c>
      <c r="DC4" s="7" t="s">
        <v>4450</v>
      </c>
      <c r="DD4" s="7" t="s">
        <v>1009</v>
      </c>
      <c r="DE4" s="7" t="s">
        <v>976</v>
      </c>
      <c r="DF4" s="7" t="s">
        <v>2081</v>
      </c>
      <c r="DG4" s="7" t="s">
        <v>976</v>
      </c>
      <c r="DH4" s="39" t="s">
        <v>4448</v>
      </c>
      <c r="DI4" s="7" t="s">
        <v>4943</v>
      </c>
      <c r="DJ4" s="7" t="s">
        <v>4944</v>
      </c>
      <c r="DK4" s="7" t="s">
        <v>4945</v>
      </c>
      <c r="DL4" s="7" t="s">
        <v>4946</v>
      </c>
      <c r="DM4" s="7" t="s">
        <v>4947</v>
      </c>
      <c r="DN4" s="7" t="s">
        <v>4948</v>
      </c>
      <c r="DO4" s="7" t="s">
        <v>4949</v>
      </c>
      <c r="DP4" s="7" t="s">
        <v>4950</v>
      </c>
      <c r="DQ4" s="7" t="s">
        <v>4951</v>
      </c>
      <c r="DR4" s="7" t="s">
        <v>4952</v>
      </c>
      <c r="DS4" s="7" t="s">
        <v>5757</v>
      </c>
      <c r="DT4" s="15" t="str" cm="1">
        <f t="array" ref="DT4">IF(B4="","",_xlfn.TEXTJOIN("",,HEX2BIN(MID(BQ4,_xlfn.SEQUENCE(40),1),4)))</f>
        <v>0111001110101011000110011001001100001011011111000000001000111011000011000111111000010111110110100100001101100100100111001010010110001010010000011001100110011001</v>
      </c>
    </row>
    <row r="5" spans="1:124" x14ac:dyDescent="0.25">
      <c r="A5" s="9">
        <v>4</v>
      </c>
      <c r="B5" s="15" t="s">
        <v>1009</v>
      </c>
      <c r="C5" s="15" t="s">
        <v>1905</v>
      </c>
      <c r="D5" s="6" t="s">
        <v>1009</v>
      </c>
      <c r="E5" s="6" t="s">
        <v>2054</v>
      </c>
      <c r="F5" s="10">
        <v>0</v>
      </c>
      <c r="G5" s="9">
        <v>1</v>
      </c>
      <c r="H5" s="9">
        <v>3</v>
      </c>
      <c r="I5" s="15" t="s">
        <v>2086</v>
      </c>
      <c r="J5" s="9">
        <v>4</v>
      </c>
      <c r="K5" s="15" t="s">
        <v>1898</v>
      </c>
      <c r="L5" s="15" t="s">
        <v>1897</v>
      </c>
      <c r="M5" s="15" t="s">
        <v>1009</v>
      </c>
      <c r="N5" s="15" t="s">
        <v>2087</v>
      </c>
      <c r="O5" s="6" t="s">
        <v>976</v>
      </c>
      <c r="P5" s="15" t="s">
        <v>2088</v>
      </c>
      <c r="Q5" s="15" t="s">
        <v>2086</v>
      </c>
      <c r="R5" s="6" t="s">
        <v>998</v>
      </c>
      <c r="S5" s="15" t="s">
        <v>2089</v>
      </c>
      <c r="T5" s="11">
        <v>1.1428571428571428</v>
      </c>
      <c r="U5" s="10">
        <v>0.25</v>
      </c>
      <c r="V5" s="7" t="s">
        <v>687</v>
      </c>
      <c r="W5" s="7" t="s">
        <v>688</v>
      </c>
      <c r="X5" s="7" t="s">
        <v>689</v>
      </c>
      <c r="Y5" s="15" t="s">
        <v>2090</v>
      </c>
      <c r="Z5" s="9">
        <v>4</v>
      </c>
      <c r="AA5" s="9">
        <v>1</v>
      </c>
      <c r="AB5" s="9">
        <v>84</v>
      </c>
      <c r="AC5" s="13">
        <v>2</v>
      </c>
      <c r="AD5" s="13">
        <v>-1</v>
      </c>
      <c r="AE5" s="9">
        <v>1</v>
      </c>
      <c r="AF5" s="9">
        <v>8</v>
      </c>
      <c r="AG5" s="9">
        <v>8</v>
      </c>
      <c r="AH5" s="6" t="s">
        <v>1009</v>
      </c>
      <c r="AI5" s="10">
        <v>3</v>
      </c>
      <c r="AJ5" s="10" t="s">
        <v>888</v>
      </c>
      <c r="AK5" s="15" t="s">
        <v>2087</v>
      </c>
      <c r="AL5" s="15" t="s">
        <v>2091</v>
      </c>
      <c r="AM5" s="15" t="s">
        <v>2092</v>
      </c>
      <c r="AN5" s="9">
        <v>3</v>
      </c>
      <c r="AO5" s="9">
        <v>1</v>
      </c>
      <c r="AP5" s="9">
        <v>2</v>
      </c>
      <c r="AQ5" s="15" t="s">
        <v>2093</v>
      </c>
      <c r="AR5" s="9">
        <v>1</v>
      </c>
      <c r="AS5" s="6" t="s">
        <v>1009</v>
      </c>
      <c r="AT5" s="15" t="s">
        <v>2094</v>
      </c>
      <c r="AU5" s="9">
        <v>2</v>
      </c>
      <c r="AV5" s="9">
        <v>3</v>
      </c>
      <c r="AW5" s="9">
        <v>1</v>
      </c>
      <c r="AX5" s="9">
        <v>8</v>
      </c>
      <c r="AY5" s="9">
        <v>8</v>
      </c>
      <c r="AZ5" s="9">
        <v>8</v>
      </c>
      <c r="BA5" s="6" t="s">
        <v>976</v>
      </c>
      <c r="BB5" s="6" t="s">
        <v>2095</v>
      </c>
      <c r="BC5" s="6" t="s">
        <v>2096</v>
      </c>
      <c r="BD5" s="15" t="s">
        <v>998</v>
      </c>
      <c r="BE5" s="15" t="s">
        <v>2097</v>
      </c>
      <c r="BF5" s="15" t="s">
        <v>2098</v>
      </c>
      <c r="BG5" s="15" t="s">
        <v>2061</v>
      </c>
      <c r="BH5" s="6" t="s">
        <v>2099</v>
      </c>
      <c r="BI5" s="17">
        <v>25569.000092592592</v>
      </c>
      <c r="BJ5" s="7" t="s">
        <v>1009</v>
      </c>
      <c r="BK5" s="7" t="s">
        <v>1010</v>
      </c>
      <c r="BL5" s="7" t="s">
        <v>1011</v>
      </c>
      <c r="BM5" s="16" t="s">
        <v>1012</v>
      </c>
      <c r="BN5" s="16" t="s">
        <v>1013</v>
      </c>
      <c r="BO5" s="16" t="s">
        <v>1014</v>
      </c>
      <c r="BP5" s="16" t="s">
        <v>1015</v>
      </c>
      <c r="BQ5" s="16" t="s">
        <v>1016</v>
      </c>
      <c r="BR5" s="7" t="s">
        <v>1017</v>
      </c>
      <c r="BS5" s="7" t="s">
        <v>1018</v>
      </c>
      <c r="BT5" s="7" t="s">
        <v>1019</v>
      </c>
      <c r="BU5" s="14">
        <v>6.908934844075568E-77</v>
      </c>
      <c r="BV5" s="15" t="s">
        <v>2100</v>
      </c>
      <c r="BW5" s="9">
        <v>2</v>
      </c>
      <c r="BX5" s="9">
        <v>2</v>
      </c>
      <c r="BY5" s="13">
        <v>0</v>
      </c>
      <c r="BZ5" s="13">
        <v>0</v>
      </c>
      <c r="CA5" s="12" t="str">
        <f>IF(B5="","",IF(A5&lt;8,"",_xlfn.LET(_xlpm.n,A5,_xlpm.k,G5,_xlpm.R,AP5,_xlpm.mu,1+2*_xlpm.k*(_xlpm.n-_xlpm.k)/_xlpm.n,_xlpm.v,2*_xlpm.k*(_xlpm.n-_xlpm.k)*(2*_xlpm.k*(_xlpm.n-_xlpm.k)-_xlpm.n)/(_xlpm.n^2*(_xlpm.n-1)),IF(_xlpm.v&lt;=0,"",(_xlpm.R-_xlpm.mu)/SQRT(_xlpm.v)))))</f>
        <v/>
      </c>
      <c r="CB5" s="37" t="str" cm="1">
        <f t="array" ref="CB5">IF(B5="","",IF(A5&lt;8,"",_xlfn.LET(_xlpm.b,--MID(C5,_xlfn.SEQUENCE(A5-1),1),_xlpm.c,--MID(C5,_xlfn.SEQUENCE(A5-1,,2),1),IFERROR(CORREL(_xlpm.b,_xlpm.c),""))))</f>
        <v/>
      </c>
      <c r="CC5" s="8">
        <f>IF(B5="","",LOG(A5,2))</f>
        <v>2</v>
      </c>
      <c r="CD5" s="8">
        <f>IF(B5="","",MAX(AN5,AO5)-CC5)</f>
        <v>1</v>
      </c>
      <c r="CE5" s="8" t="str" cm="1">
        <f t="array" ref="CE5">IF(B5="","",IF(LEN(B5)&lt;16,"",_xlfn.LET(_xlpm.d,MID("0123456789abcdef",_xlfn.SEQUENCE(16),1),_xlpm.c,LEN(B5)-LEN(SUBSTITUTE(B5,_xlpm.d,"")),_xlpm.ex,LEN(B5)/16,SUM((_xlpm.c-_xlpm.ex)^2/_xlpm.ex))))</f>
        <v/>
      </c>
      <c r="CF5" s="37" t="str">
        <f>IF(CE5="","",_xlfn.CHISQ.DIST.RT(CE5,15))</f>
        <v/>
      </c>
      <c r="CG5" s="9" cm="1">
        <f t="array" ref="CG5">IF(OR(B5="",B4=""),"",_xlfn.LET(_xlpm.a,C5,_xlpm.b,REPT("0",A5-LEN(C4))&amp;C4,_xlpm.m,MID(_xlpm.a,_xlfn.SEQUENCE(A5),1)=MID(_xlpm.b,_xlfn.SEQUENCE(A5),1),IFERROR(MATCH(FALSE,_xlpm.m,0)-1,A5)))</f>
        <v>0</v>
      </c>
      <c r="CH5" s="9" cm="1">
        <f t="array" ref="CH5">IF(OR(B5="",B4=""),"",_xlfn.LET(_xlpm.a,C5,_xlpm.b,REPT("0",A5-LEN(C4))&amp;C4,_xlpm.n,A5,_xlpm.m,MID(_xlpm.a,_xlfn.SEQUENCE(_xlpm.n,,_xlpm.n,-1),1)=MID(_xlpm.b,_xlfn.SEQUENCE(_xlpm.n,,_xlpm.n,-1),1),IFERROR(MATCH(FALSE,_xlpm.m,0)-1,_xlpm.n)))</f>
        <v>0</v>
      </c>
      <c r="CI5" s="38">
        <f>IF(OR(B5="",B4=""),"",F5-F4)</f>
        <v>-0.75</v>
      </c>
      <c r="CJ5" s="5" t="b">
        <f>IF(OR(B5="",B4=""),"",IFERROR(FIND(B4,B5)&gt;0,FALSE))</f>
        <v>0</v>
      </c>
      <c r="CK5" s="5" t="b">
        <f>IF(OR(B5="",B4=""),"",IFERROR(FIND(C4,C5)&gt;0,FALSE))</f>
        <v>0</v>
      </c>
      <c r="CL5" s="9" t="str">
        <f>IF(OR(B5="",B4=""),"",IFERROR(FIND(C4,C5),""))</f>
        <v/>
      </c>
      <c r="CM5" s="6" t="str" cm="1">
        <f t="array" ref="CM5">IF(OR(B5="",B4=""),"",_xlfn.LET(_xlpm.pv,D4,_xlpm.ra,BIGSUB(D5,_xlpm.pv),_xlpm.rb,BIGSUB(_xlpm.ra,_xlpm.pv),_xlpm.rc,BIGSUB(_xlpm.rb,_xlpm.pv),IF(LEFT(_xlpm.rb,1)="-",_xlpm.ra,IF(LEFT(_xlpm.rc,1)="-",_xlpm.rb,_xlpm.rc))))</f>
        <v>1</v>
      </c>
      <c r="CN5" s="38">
        <f>IF(B5="","",F5-0.5)</f>
        <v>-0.5</v>
      </c>
      <c r="CO5" s="15" t="str" cm="1">
        <f t="array" ref="CO5">IF(B5="","",_xlfn.TEXTJOIN("",,MID(B5,_xlfn.SEQUENCE(LEN(B5),,LEN(B5),-1),1)))</f>
        <v>8</v>
      </c>
      <c r="CP5" s="6" t="str" cm="1">
        <f t="array" ref="CP5">IF(B5="","",BASE2DEC(CO5,16))</f>
        <v>8</v>
      </c>
      <c r="CQ5" s="5">
        <f>IF(B5="","",IF(AND(LEN(B5)&lt;16,LEN(B5)=LEN(SUBSTITUTE(SUBSTITUTE(SUBSTITUTE(SUBSTITUTE(SUBSTITUTE(SUBSTITUTE(B5,"a",""),"b",""),"c",""),"d",""),"e",""),"f",""))),--B5,""))</f>
        <v>8</v>
      </c>
      <c r="CR5" s="6" t="str" cm="1">
        <f t="array" ref="CR5">IF(B5="","",IF(LEN(D5)&lt;=15,BASE2DEC(D5,16),""))</f>
        <v>8</v>
      </c>
      <c r="CS5" s="15" t="str" cm="1">
        <f t="array" ref="CS5">IF(B5="","",_xlfn.LET(_xlpm.p,REPT("0",MOD(-LEN(B5),4))&amp;B5,_xlfn.TEXTJOIN(" ",,MID(_xlpm.p,_xlfn.SEQUENCE(LEN(_xlpm.p)/4,,1,4),4))))</f>
        <v>0008</v>
      </c>
      <c r="CT5" s="15" t="str" cm="1">
        <f t="array" ref="CT5">IF(B5="","",UPPER(_xlfn.LET(_xlpm.p,REPT("0",64-LEN(B5))&amp;B5,_xlfn.TEXTJOIN(" ",,MID(_xlpm.p,_xlfn.SEQUENCE(8,,1,8),8)))))</f>
        <v>00000000 00000000 00000000 00000000 00000000 00000000 00000000 00000008</v>
      </c>
      <c r="CU5" s="6" t="str" cm="1">
        <f t="array" ref="CU5">IF(B5="","",IF(LEN(D5)&lt;=6,_xlfn.LET(_xlpm.n,VALUE(D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eight</v>
      </c>
      <c r="CV5" s="39" t="s">
        <v>4444</v>
      </c>
      <c r="CW5" s="39" t="s">
        <v>1895</v>
      </c>
      <c r="CX5" s="39" t="s">
        <v>976</v>
      </c>
      <c r="CY5" s="7" t="s">
        <v>1895</v>
      </c>
      <c r="CZ5" s="39" t="s">
        <v>4444</v>
      </c>
      <c r="DA5" s="39" t="s">
        <v>4446</v>
      </c>
      <c r="DB5" s="39">
        <v>3</v>
      </c>
      <c r="DC5" s="7" t="s">
        <v>4451</v>
      </c>
      <c r="DD5" s="7" t="s">
        <v>1009</v>
      </c>
      <c r="DE5" s="7" t="s">
        <v>2054</v>
      </c>
      <c r="DF5" s="7" t="s">
        <v>2081</v>
      </c>
      <c r="DG5" s="7" t="s">
        <v>1895</v>
      </c>
      <c r="DH5" s="39" t="s">
        <v>4452</v>
      </c>
      <c r="DI5" s="7" t="s">
        <v>4953</v>
      </c>
      <c r="DJ5" s="7" t="s">
        <v>4954</v>
      </c>
      <c r="DK5" s="7" t="s">
        <v>4955</v>
      </c>
      <c r="DL5" s="7" t="s">
        <v>4956</v>
      </c>
      <c r="DM5" s="7" t="s">
        <v>4957</v>
      </c>
      <c r="DN5" s="7" t="s">
        <v>4958</v>
      </c>
      <c r="DO5" s="7" t="s">
        <v>4959</v>
      </c>
      <c r="DP5" s="7" t="s">
        <v>4960</v>
      </c>
      <c r="DQ5" s="7" t="s">
        <v>4961</v>
      </c>
      <c r="DR5" s="7" t="s">
        <v>4962</v>
      </c>
      <c r="DS5" s="7" t="s">
        <v>5758</v>
      </c>
      <c r="DT5" s="15" t="str" cm="1">
        <f t="array" ref="DT5">IF(B5="","",_xlfn.TEXTJOIN("",,HEX2BIN(MID(BQ5,_xlfn.SEQUENCE(40),1),4)))</f>
        <v>1011111001011111110111101011010101001100100001101001110101011000001011001111011110010110110000110100111000101000101101001101001000011000000100111111111110100110</v>
      </c>
    </row>
    <row r="6" spans="1:124" x14ac:dyDescent="0.25">
      <c r="A6" s="9">
        <v>5</v>
      </c>
      <c r="B6" s="15" t="s">
        <v>2101</v>
      </c>
      <c r="C6" s="15" t="s">
        <v>2102</v>
      </c>
      <c r="D6" s="6" t="s">
        <v>2103</v>
      </c>
      <c r="E6" s="6" t="s">
        <v>2104</v>
      </c>
      <c r="F6" s="10">
        <v>0.3125</v>
      </c>
      <c r="G6" s="9">
        <v>3</v>
      </c>
      <c r="H6" s="9">
        <v>0</v>
      </c>
      <c r="I6" s="15" t="s">
        <v>2105</v>
      </c>
      <c r="J6" s="9">
        <v>4</v>
      </c>
      <c r="K6" s="15" t="s">
        <v>2074</v>
      </c>
      <c r="L6" s="15" t="s">
        <v>2106</v>
      </c>
      <c r="M6" s="15" t="s">
        <v>1020</v>
      </c>
      <c r="N6" s="15" t="s">
        <v>2102</v>
      </c>
      <c r="O6" s="6" t="s">
        <v>2103</v>
      </c>
      <c r="P6" s="15" t="s">
        <v>2107</v>
      </c>
      <c r="Q6" s="15" t="s">
        <v>2108</v>
      </c>
      <c r="R6" s="6" t="s">
        <v>1897</v>
      </c>
      <c r="S6" s="15" t="s">
        <v>2109</v>
      </c>
      <c r="T6" s="11">
        <v>2.625</v>
      </c>
      <c r="U6" s="10">
        <v>0.6</v>
      </c>
      <c r="V6" s="7" t="s">
        <v>690</v>
      </c>
      <c r="W6" s="7" t="s">
        <v>691</v>
      </c>
      <c r="X6" s="7" t="s">
        <v>692</v>
      </c>
      <c r="Y6" s="15" t="s">
        <v>2110</v>
      </c>
      <c r="Z6" s="9">
        <v>4</v>
      </c>
      <c r="AA6" s="9">
        <v>1</v>
      </c>
      <c r="AB6" s="9">
        <v>91</v>
      </c>
      <c r="AC6" s="13">
        <v>1.3416407864998738</v>
      </c>
      <c r="AD6" s="13">
        <v>-1.3416407864998738</v>
      </c>
      <c r="AE6" s="9">
        <v>2</v>
      </c>
      <c r="AF6" s="9">
        <v>3</v>
      </c>
      <c r="AG6" s="9">
        <v>3</v>
      </c>
      <c r="AH6" s="6" t="s">
        <v>2111</v>
      </c>
      <c r="AI6" s="10">
        <v>4.3923174227787607</v>
      </c>
      <c r="AJ6" s="10">
        <v>2.3219280948873622</v>
      </c>
      <c r="AK6" s="15" t="s">
        <v>2112</v>
      </c>
      <c r="AL6" s="15" t="s">
        <v>2108</v>
      </c>
      <c r="AM6" s="15" t="s">
        <v>2113</v>
      </c>
      <c r="AN6" s="9">
        <v>1</v>
      </c>
      <c r="AO6" s="9">
        <v>1</v>
      </c>
      <c r="AP6" s="9">
        <v>5</v>
      </c>
      <c r="AQ6" s="15" t="s">
        <v>2114</v>
      </c>
      <c r="AR6" s="9">
        <v>2</v>
      </c>
      <c r="AS6" s="6" t="s">
        <v>976</v>
      </c>
      <c r="AT6" s="15" t="s">
        <v>2115</v>
      </c>
      <c r="AU6" s="9">
        <v>0</v>
      </c>
      <c r="AV6" s="9">
        <v>1</v>
      </c>
      <c r="AW6" s="9">
        <v>0</v>
      </c>
      <c r="AX6" s="9">
        <v>10</v>
      </c>
      <c r="AY6" s="9">
        <v>21</v>
      </c>
      <c r="AZ6" s="9">
        <v>21</v>
      </c>
      <c r="BA6" s="6" t="s">
        <v>2075</v>
      </c>
      <c r="BB6" s="6" t="s">
        <v>2104</v>
      </c>
      <c r="BC6" s="6" t="s">
        <v>2116</v>
      </c>
      <c r="BD6" s="15" t="s">
        <v>1898</v>
      </c>
      <c r="BE6" s="15" t="s">
        <v>2117</v>
      </c>
      <c r="BF6" s="15" t="s">
        <v>2118</v>
      </c>
      <c r="BG6" s="15" t="s">
        <v>2061</v>
      </c>
      <c r="BH6" s="6" t="s">
        <v>2119</v>
      </c>
      <c r="BI6" s="17">
        <v>25569.000243055554</v>
      </c>
      <c r="BJ6" s="7" t="s">
        <v>1020</v>
      </c>
      <c r="BK6" s="7" t="s">
        <v>1021</v>
      </c>
      <c r="BL6" s="7" t="s">
        <v>1022</v>
      </c>
      <c r="BM6" s="16" t="s">
        <v>1023</v>
      </c>
      <c r="BN6" s="16" t="s">
        <v>1024</v>
      </c>
      <c r="BO6" s="16" t="s">
        <v>1025</v>
      </c>
      <c r="BP6" s="16" t="s">
        <v>1026</v>
      </c>
      <c r="BQ6" s="16" t="s">
        <v>1027</v>
      </c>
      <c r="BR6" s="7" t="s">
        <v>1028</v>
      </c>
      <c r="BS6" s="7" t="s">
        <v>1029</v>
      </c>
      <c r="BT6" s="7" t="s">
        <v>1030</v>
      </c>
      <c r="BU6" s="14">
        <v>1.8135953965698364E-76</v>
      </c>
      <c r="BV6" s="15" t="s">
        <v>2120</v>
      </c>
      <c r="BW6" s="9">
        <v>0</v>
      </c>
      <c r="BX6" s="9">
        <v>3</v>
      </c>
      <c r="BY6" s="13">
        <v>-2.2360679774997898</v>
      </c>
      <c r="BZ6" s="13">
        <v>0.44721359549995793</v>
      </c>
      <c r="CA6" s="12" t="str">
        <f>IF(B6="","",IF(A6&lt;8,"",_xlfn.LET(_xlpm.n,A6,_xlpm.k,G6,_xlpm.R,AP6,_xlpm.mu,1+2*_xlpm.k*(_xlpm.n-_xlpm.k)/_xlpm.n,_xlpm.v,2*_xlpm.k*(_xlpm.n-_xlpm.k)*(2*_xlpm.k*(_xlpm.n-_xlpm.k)-_xlpm.n)/(_xlpm.n^2*(_xlpm.n-1)),IF(_xlpm.v&lt;=0,"",(_xlpm.R-_xlpm.mu)/SQRT(_xlpm.v)))))</f>
        <v/>
      </c>
      <c r="CB6" s="37" t="str" cm="1">
        <f t="array" ref="CB6">IF(B6="","",IF(A6&lt;8,"",_xlfn.LET(_xlpm.b,--MID(C6,_xlfn.SEQUENCE(A6-1),1),_xlpm.c,--MID(C6,_xlfn.SEQUENCE(A6-1,,2),1),IFERROR(CORREL(_xlpm.b,_xlpm.c),""))))</f>
        <v/>
      </c>
      <c r="CC6" s="8">
        <f>IF(B6="","",LOG(A6,2))</f>
        <v>2.3219280948873622</v>
      </c>
      <c r="CD6" s="8">
        <f>IF(B6="","",MAX(AN6,AO6)-CC6)</f>
        <v>-1.3219280948873622</v>
      </c>
      <c r="CE6" s="8" t="str" cm="1">
        <f t="array" ref="CE6">IF(B6="","",IF(LEN(B6)&lt;16,"",_xlfn.LET(_xlpm.d,MID("0123456789abcdef",_xlfn.SEQUENCE(16),1),_xlpm.c,LEN(B6)-LEN(SUBSTITUTE(B6,_xlpm.d,"")),_xlpm.ex,LEN(B6)/16,SUM((_xlpm.c-_xlpm.ex)^2/_xlpm.ex))))</f>
        <v/>
      </c>
      <c r="CF6" s="37" t="str">
        <f>IF(CE6="","",_xlfn.CHISQ.DIST.RT(CE6,15))</f>
        <v/>
      </c>
      <c r="CG6" s="9" cm="1">
        <f t="array" ref="CG6">IF(OR(B6="",B5=""),"",_xlfn.LET(_xlpm.a,C6,_xlpm.b,REPT("0",A6-LEN(C5))&amp;C5,_xlpm.m,MID(_xlpm.a,_xlfn.SEQUENCE(A6),1)=MID(_xlpm.b,_xlfn.SEQUENCE(A6),1),IFERROR(MATCH(FALSE,_xlpm.m,0)-1,A6)))</f>
        <v>0</v>
      </c>
      <c r="CH6" s="9" cm="1">
        <f t="array" ref="CH6">IF(OR(B6="",B5=""),"",_xlfn.LET(_xlpm.a,C6,_xlpm.b,REPT("0",A6-LEN(C5))&amp;C5,_xlpm.n,A6,_xlpm.m,MID(_xlpm.a,_xlfn.SEQUENCE(_xlpm.n,,_xlpm.n,-1),1)=MID(_xlpm.b,_xlfn.SEQUENCE(_xlpm.n,,_xlpm.n,-1),1),IFERROR(MATCH(FALSE,_xlpm.m,0)-1,_xlpm.n)))</f>
        <v>0</v>
      </c>
      <c r="CI6" s="38">
        <f>IF(OR(B6="",B5=""),"",F6-F5)</f>
        <v>0.3125</v>
      </c>
      <c r="CJ6" s="5" t="b">
        <f>IF(OR(B6="",B5=""),"",IFERROR(FIND(B5,B6)&gt;0,FALSE))</f>
        <v>0</v>
      </c>
      <c r="CK6" s="5" t="b">
        <f>IF(OR(B6="",B5=""),"",IFERROR(FIND(C5,C6)&gt;0,FALSE))</f>
        <v>0</v>
      </c>
      <c r="CL6" s="9" t="str">
        <f>IF(OR(B6="",B5=""),"",IFERROR(FIND(C5,C6),""))</f>
        <v/>
      </c>
      <c r="CM6" s="6" t="str" cm="1">
        <f t="array" ref="CM6">IF(OR(B6="",B5=""),"",_xlfn.LET(_xlpm.pv,D5,_xlpm.ra,BIGSUB(D6,_xlpm.pv),_xlpm.rb,BIGSUB(_xlpm.ra,_xlpm.pv),_xlpm.rc,BIGSUB(_xlpm.rb,_xlpm.pv),IF(LEFT(_xlpm.rb,1)="-",_xlpm.ra,IF(LEFT(_xlpm.rc,1)="-",_xlpm.rb,_xlpm.rc))))</f>
        <v>5</v>
      </c>
      <c r="CN6" s="38">
        <f>IF(B6="","",F6-0.5)</f>
        <v>-0.1875</v>
      </c>
      <c r="CO6" s="15" t="str" cm="1">
        <f t="array" ref="CO6">IF(B6="","",_xlfn.TEXTJOIN("",,MID(B6,_xlfn.SEQUENCE(LEN(B6),,LEN(B6),-1),1)))</f>
        <v>51</v>
      </c>
      <c r="CP6" s="6" t="str" cm="1">
        <f t="array" ref="CP6">IF(B6="","",BASE2DEC(CO6,16))</f>
        <v>81</v>
      </c>
      <c r="CQ6" s="5">
        <f>IF(B6="","",IF(AND(LEN(B6)&lt;16,LEN(B6)=LEN(SUBSTITUTE(SUBSTITUTE(SUBSTITUTE(SUBSTITUTE(SUBSTITUTE(SUBSTITUTE(B6,"a",""),"b",""),"c",""),"d",""),"e",""),"f",""))),--B6,""))</f>
        <v>15</v>
      </c>
      <c r="CR6" s="6" t="str" cm="1">
        <f t="array" ref="CR6">IF(B6="","",IF(LEN(D6)&lt;=15,BASE2DEC(D6,16),""))</f>
        <v>33</v>
      </c>
      <c r="CS6" s="15" t="str" cm="1">
        <f t="array" ref="CS6">IF(B6="","",_xlfn.LET(_xlpm.p,REPT("0",MOD(-LEN(B6),4))&amp;B6,_xlfn.TEXTJOIN(" ",,MID(_xlpm.p,_xlfn.SEQUENCE(LEN(_xlpm.p)/4,,1,4),4))))</f>
        <v>0015</v>
      </c>
      <c r="CT6" s="15" t="str" cm="1">
        <f t="array" ref="CT6">IF(B6="","",UPPER(_xlfn.LET(_xlpm.p,REPT("0",64-LEN(B6))&amp;B6,_xlfn.TEXTJOIN(" ",,MID(_xlpm.p,_xlfn.SEQUENCE(8,,1,8),8)))))</f>
        <v>00000000 00000000 00000000 00000000 00000000 00000000 00000000 00000015</v>
      </c>
      <c r="CU6" s="6" t="str" cm="1">
        <f t="array" ref="CU6">IF(B6="","",IF(LEN(D6)&lt;=6,_xlfn.LET(_xlpm.n,VALUE(D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twenty-one</v>
      </c>
      <c r="CV6" s="39" t="s">
        <v>4444</v>
      </c>
      <c r="CW6" s="39" t="s">
        <v>987</v>
      </c>
      <c r="CX6" s="39" t="s">
        <v>1895</v>
      </c>
      <c r="CY6" s="7" t="s">
        <v>4453</v>
      </c>
      <c r="CZ6" s="39" t="s">
        <v>4444</v>
      </c>
      <c r="DA6" s="39" t="s">
        <v>4444</v>
      </c>
      <c r="DB6" s="39">
        <v>4</v>
      </c>
      <c r="DC6" s="7" t="s">
        <v>4454</v>
      </c>
      <c r="DD6" s="7" t="s">
        <v>2103</v>
      </c>
      <c r="DE6" s="7" t="s">
        <v>2054</v>
      </c>
      <c r="DF6" s="7" t="s">
        <v>2103</v>
      </c>
      <c r="DG6" s="7" t="s">
        <v>2054</v>
      </c>
      <c r="DH6" s="39" t="s">
        <v>4448</v>
      </c>
      <c r="DI6" s="7" t="s">
        <v>4963</v>
      </c>
      <c r="DJ6" s="7" t="s">
        <v>4964</v>
      </c>
      <c r="DK6" s="7" t="s">
        <v>4965</v>
      </c>
      <c r="DL6" s="7" t="s">
        <v>4966</v>
      </c>
      <c r="DM6" s="7" t="s">
        <v>4967</v>
      </c>
      <c r="DN6" s="7" t="s">
        <v>4968</v>
      </c>
      <c r="DO6" s="7" t="s">
        <v>4969</v>
      </c>
      <c r="DP6" s="7" t="s">
        <v>4970</v>
      </c>
      <c r="DQ6" s="7" t="s">
        <v>4971</v>
      </c>
      <c r="DR6" s="7" t="s">
        <v>4972</v>
      </c>
      <c r="DS6" s="7" t="s">
        <v>5759</v>
      </c>
      <c r="DT6" s="15" t="str" cm="1">
        <f t="array" ref="DT6">IF(B6="","",_xlfn.TEXTJOIN("",,HEX2BIN(MID(BQ6,_xlfn.SEQUENCE(40),1),4)))</f>
        <v>0110000111110101101100110111100101000000001110111100111111011010110000011100000001011100001101110100011001110110100010100001010010000101010111100110010100011001</v>
      </c>
    </row>
    <row r="7" spans="1:124" x14ac:dyDescent="0.25">
      <c r="A7" s="9">
        <v>6</v>
      </c>
      <c r="B7" s="15" t="s">
        <v>2121</v>
      </c>
      <c r="C7" s="15" t="s">
        <v>2122</v>
      </c>
      <c r="D7" s="6" t="s">
        <v>2123</v>
      </c>
      <c r="E7" s="6" t="s">
        <v>2124</v>
      </c>
      <c r="F7" s="10">
        <v>0.53125</v>
      </c>
      <c r="G7" s="9">
        <v>3</v>
      </c>
      <c r="H7" s="9">
        <v>0</v>
      </c>
      <c r="I7" s="15" t="s">
        <v>2125</v>
      </c>
      <c r="J7" s="9">
        <v>2</v>
      </c>
      <c r="K7" s="15" t="s">
        <v>2126</v>
      </c>
      <c r="L7" s="15" t="s">
        <v>2127</v>
      </c>
      <c r="M7" s="15" t="s">
        <v>2128</v>
      </c>
      <c r="N7" s="15" t="s">
        <v>2129</v>
      </c>
      <c r="O7" s="6" t="s">
        <v>2130</v>
      </c>
      <c r="P7" s="15" t="s">
        <v>2131</v>
      </c>
      <c r="Q7" s="15" t="s">
        <v>2132</v>
      </c>
      <c r="R7" s="6" t="s">
        <v>2133</v>
      </c>
      <c r="S7" s="15" t="s">
        <v>2134</v>
      </c>
      <c r="T7" s="11">
        <v>2.3333333333333335</v>
      </c>
      <c r="U7" s="10">
        <v>0.5</v>
      </c>
      <c r="V7" s="7" t="s">
        <v>693</v>
      </c>
      <c r="W7" s="7" t="s">
        <v>694</v>
      </c>
      <c r="X7" s="7" t="s">
        <v>695</v>
      </c>
      <c r="Y7" s="15" t="s">
        <v>2135</v>
      </c>
      <c r="Z7" s="9">
        <v>4</v>
      </c>
      <c r="AA7" s="9">
        <v>4</v>
      </c>
      <c r="AB7" s="9">
        <v>86</v>
      </c>
      <c r="AC7" s="13">
        <v>0.81649658092772615</v>
      </c>
      <c r="AD7" s="13">
        <v>0.81649658092772615</v>
      </c>
      <c r="AE7" s="9">
        <v>2</v>
      </c>
      <c r="AF7" s="9">
        <v>13</v>
      </c>
      <c r="AG7" s="9">
        <v>4</v>
      </c>
      <c r="AH7" s="6" t="s">
        <v>2136</v>
      </c>
      <c r="AI7" s="10">
        <v>5.6147098441152083</v>
      </c>
      <c r="AJ7" s="10">
        <v>4.08746284125034</v>
      </c>
      <c r="AK7" s="15" t="s">
        <v>2129</v>
      </c>
      <c r="AL7" s="15" t="s">
        <v>2137</v>
      </c>
      <c r="AM7" s="15" t="s">
        <v>2138</v>
      </c>
      <c r="AN7" s="9">
        <v>3</v>
      </c>
      <c r="AO7" s="9">
        <v>2</v>
      </c>
      <c r="AP7" s="9">
        <v>3</v>
      </c>
      <c r="AQ7" s="15" t="s">
        <v>2139</v>
      </c>
      <c r="AR7" s="9">
        <v>2</v>
      </c>
      <c r="AS7" s="6" t="s">
        <v>976</v>
      </c>
      <c r="AT7" s="15" t="s">
        <v>2140</v>
      </c>
      <c r="AU7" s="9">
        <v>1</v>
      </c>
      <c r="AV7" s="9">
        <v>4</v>
      </c>
      <c r="AW7" s="9">
        <v>0</v>
      </c>
      <c r="AX7" s="9">
        <v>5</v>
      </c>
      <c r="AY7" s="9">
        <v>49</v>
      </c>
      <c r="AZ7" s="9">
        <v>49</v>
      </c>
      <c r="BA7" s="6" t="s">
        <v>2141</v>
      </c>
      <c r="BB7" s="6" t="s">
        <v>998</v>
      </c>
      <c r="BC7" s="6" t="s">
        <v>2142</v>
      </c>
      <c r="BD7" s="15" t="s">
        <v>2143</v>
      </c>
      <c r="BE7" s="15" t="s">
        <v>2144</v>
      </c>
      <c r="BF7" s="15" t="s">
        <v>2145</v>
      </c>
      <c r="BG7" s="15" t="s">
        <v>2146</v>
      </c>
      <c r="BH7" s="6" t="s">
        <v>2147</v>
      </c>
      <c r="BI7" s="17">
        <v>25569.000567129631</v>
      </c>
      <c r="BJ7" s="7" t="s">
        <v>1031</v>
      </c>
      <c r="BK7" s="7" t="s">
        <v>1032</v>
      </c>
      <c r="BL7" s="7" t="s">
        <v>1033</v>
      </c>
      <c r="BM7" s="16" t="s">
        <v>1034</v>
      </c>
      <c r="BN7" s="16" t="s">
        <v>1035</v>
      </c>
      <c r="BO7" s="16" t="s">
        <v>1036</v>
      </c>
      <c r="BP7" s="16" t="s">
        <v>1037</v>
      </c>
      <c r="BQ7" s="16" t="s">
        <v>1038</v>
      </c>
      <c r="BR7" s="7" t="s">
        <v>1039</v>
      </c>
      <c r="BS7" s="7" t="s">
        <v>1040</v>
      </c>
      <c r="BT7" s="7" t="s">
        <v>1041</v>
      </c>
      <c r="BU7" s="14">
        <v>4.2317225919962846E-76</v>
      </c>
      <c r="BV7" s="15" t="s">
        <v>2148</v>
      </c>
      <c r="BW7" s="9">
        <v>1</v>
      </c>
      <c r="BX7" s="9">
        <v>3</v>
      </c>
      <c r="BY7" s="13">
        <v>-1.6329931618554523</v>
      </c>
      <c r="BZ7" s="13">
        <v>0</v>
      </c>
      <c r="CA7" s="12" t="str">
        <f>IF(B7="","",IF(A7&lt;8,"",_xlfn.LET(_xlpm.n,A7,_xlpm.k,G7,_xlpm.R,AP7,_xlpm.mu,1+2*_xlpm.k*(_xlpm.n-_xlpm.k)/_xlpm.n,_xlpm.v,2*_xlpm.k*(_xlpm.n-_xlpm.k)*(2*_xlpm.k*(_xlpm.n-_xlpm.k)-_xlpm.n)/(_xlpm.n^2*(_xlpm.n-1)),IF(_xlpm.v&lt;=0,"",(_xlpm.R-_xlpm.mu)/SQRT(_xlpm.v)))))</f>
        <v/>
      </c>
      <c r="CB7" s="37" t="str" cm="1">
        <f t="array" ref="CB7">IF(B7="","",IF(A7&lt;8,"",_xlfn.LET(_xlpm.b,--MID(C7,_xlfn.SEQUENCE(A7-1),1),_xlpm.c,--MID(C7,_xlfn.SEQUENCE(A7-1,,2),1),IFERROR(CORREL(_xlpm.b,_xlpm.c),""))))</f>
        <v/>
      </c>
      <c r="CC7" s="8">
        <f>IF(B7="","",LOG(A7,2))</f>
        <v>2.5849625007211561</v>
      </c>
      <c r="CD7" s="8">
        <f>IF(B7="","",MAX(AN7,AO7)-CC7)</f>
        <v>0.41503749927884392</v>
      </c>
      <c r="CE7" s="8" t="str" cm="1">
        <f t="array" ref="CE7">IF(B7="","",IF(LEN(B7)&lt;16,"",_xlfn.LET(_xlpm.d,MID("0123456789abcdef",_xlfn.SEQUENCE(16),1),_xlpm.c,LEN(B7)-LEN(SUBSTITUTE(B7,_xlpm.d,"")),_xlpm.ex,LEN(B7)/16,SUM((_xlpm.c-_xlpm.ex)^2/_xlpm.ex))))</f>
        <v/>
      </c>
      <c r="CF7" s="37" t="str">
        <f>IF(CE7="","",_xlfn.CHISQ.DIST.RT(CE7,15))</f>
        <v/>
      </c>
      <c r="CG7" s="9" cm="1">
        <f t="array" ref="CG7">IF(OR(B7="",B6=""),"",_xlfn.LET(_xlpm.a,C7,_xlpm.b,REPT("0",A7-LEN(C6))&amp;C6,_xlpm.m,MID(_xlpm.a,_xlfn.SEQUENCE(A7),1)=MID(_xlpm.b,_xlfn.SEQUENCE(A7),1),IFERROR(MATCH(FALSE,_xlpm.m,0)-1,A7)))</f>
        <v>0</v>
      </c>
      <c r="CH7" s="9" cm="1">
        <f t="array" ref="CH7">IF(OR(B7="",B6=""),"",_xlfn.LET(_xlpm.a,C7,_xlpm.b,REPT("0",A7-LEN(C6))&amp;C6,_xlpm.n,A7,_xlpm.m,MID(_xlpm.a,_xlfn.SEQUENCE(_xlpm.n,,_xlpm.n,-1),1)=MID(_xlpm.b,_xlfn.SEQUENCE(_xlpm.n,,_xlpm.n,-1),1),IFERROR(MATCH(FALSE,_xlpm.m,0)-1,_xlpm.n)))</f>
        <v>2</v>
      </c>
      <c r="CI7" s="38">
        <f>IF(OR(B7="",B6=""),"",F7-F6)</f>
        <v>0.21875</v>
      </c>
      <c r="CJ7" s="5" t="b">
        <f>IF(OR(B7="",B6=""),"",IFERROR(FIND(B6,B7)&gt;0,FALSE))</f>
        <v>0</v>
      </c>
      <c r="CK7" s="5" t="b">
        <f>IF(OR(B7="",B6=""),"",IFERROR(FIND(C6,C7)&gt;0,FALSE))</f>
        <v>0</v>
      </c>
      <c r="CL7" s="9" t="str">
        <f>IF(OR(B7="",B6=""),"",IFERROR(FIND(C6,C7),""))</f>
        <v/>
      </c>
      <c r="CM7" s="6" t="str" cm="1">
        <f t="array" ref="CM7">IF(OR(B7="",B6=""),"",_xlfn.LET(_xlpm.pv,D6,_xlpm.ra,BIGSUB(D7,_xlpm.pv),_xlpm.rb,BIGSUB(_xlpm.ra,_xlpm.pv),_xlpm.rc,BIGSUB(_xlpm.rb,_xlpm.pv),IF(LEFT(_xlpm.rb,1)="-",_xlpm.ra,IF(LEFT(_xlpm.rc,1)="-",_xlpm.rb,_xlpm.rc))))</f>
        <v>7</v>
      </c>
      <c r="CN7" s="38">
        <f>IF(B7="","",F7-0.5)</f>
        <v>3.125E-2</v>
      </c>
      <c r="CO7" s="15" t="str" cm="1">
        <f t="array" ref="CO7">IF(B7="","",_xlfn.TEXTJOIN("",,MID(B7,_xlfn.SEQUENCE(LEN(B7),,LEN(B7),-1),1)))</f>
        <v>13</v>
      </c>
      <c r="CP7" s="6" t="str" cm="1">
        <f t="array" ref="CP7">IF(B7="","",BASE2DEC(CO7,16))</f>
        <v>19</v>
      </c>
      <c r="CQ7" s="5">
        <f>IF(B7="","",IF(AND(LEN(B7)&lt;16,LEN(B7)=LEN(SUBSTITUTE(SUBSTITUTE(SUBSTITUTE(SUBSTITUTE(SUBSTITUTE(SUBSTITUTE(B7,"a",""),"b",""),"c",""),"d",""),"e",""),"f",""))),--B7,""))</f>
        <v>31</v>
      </c>
      <c r="CR7" s="6" t="str" cm="1">
        <f t="array" ref="CR7">IF(B7="","",IF(LEN(D7)&lt;=15,BASE2DEC(D7,16),""))</f>
        <v>73</v>
      </c>
      <c r="CS7" s="15" t="str" cm="1">
        <f t="array" ref="CS7">IF(B7="","",_xlfn.LET(_xlpm.p,REPT("0",MOD(-LEN(B7),4))&amp;B7,_xlfn.TEXTJOIN(" ",,MID(_xlpm.p,_xlfn.SEQUENCE(LEN(_xlpm.p)/4,,1,4),4))))</f>
        <v>0031</v>
      </c>
      <c r="CT7" s="15" t="str" cm="1">
        <f t="array" ref="CT7">IF(B7="","",UPPER(_xlfn.LET(_xlpm.p,REPT("0",64-LEN(B7))&amp;B7,_xlfn.TEXTJOIN(" ",,MID(_xlpm.p,_xlfn.SEQUENCE(8,,1,8),8)))))</f>
        <v>00000000 00000000 00000000 00000000 00000000 00000000 00000000 00000031</v>
      </c>
      <c r="CU7" s="6" t="str" cm="1">
        <f t="array" ref="CU7">IF(B7="","",IF(LEN(D7)&lt;=6,_xlfn.LET(_xlpm.n,VALUE(D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forty-nine</v>
      </c>
      <c r="CV7" s="39" t="s">
        <v>4444</v>
      </c>
      <c r="CW7" s="39" t="s">
        <v>998</v>
      </c>
      <c r="CX7" s="39" t="s">
        <v>976</v>
      </c>
      <c r="CY7" s="7" t="s">
        <v>998</v>
      </c>
      <c r="CZ7" s="39" t="s">
        <v>4446</v>
      </c>
      <c r="DA7" s="39" t="s">
        <v>4444</v>
      </c>
      <c r="DB7" s="39">
        <v>6</v>
      </c>
      <c r="DC7" s="7" t="s">
        <v>4455</v>
      </c>
      <c r="DD7" s="7" t="s">
        <v>4456</v>
      </c>
      <c r="DE7" s="7" t="s">
        <v>2081</v>
      </c>
      <c r="DF7" s="7" t="s">
        <v>4457</v>
      </c>
      <c r="DG7" s="7" t="s">
        <v>1896</v>
      </c>
      <c r="DH7" s="39" t="s">
        <v>4448</v>
      </c>
      <c r="DI7" s="7" t="s">
        <v>4973</v>
      </c>
      <c r="DJ7" s="7" t="s">
        <v>4974</v>
      </c>
      <c r="DK7" s="7" t="s">
        <v>4975</v>
      </c>
      <c r="DL7" s="7" t="s">
        <v>4976</v>
      </c>
      <c r="DM7" s="7" t="s">
        <v>4977</v>
      </c>
      <c r="DN7" s="7" t="s">
        <v>4978</v>
      </c>
      <c r="DO7" s="7" t="s">
        <v>4979</v>
      </c>
      <c r="DP7" s="7" t="s">
        <v>4980</v>
      </c>
      <c r="DQ7" s="7" t="s">
        <v>4981</v>
      </c>
      <c r="DR7" s="7" t="s">
        <v>4982</v>
      </c>
      <c r="DS7" s="7" t="s">
        <v>5760</v>
      </c>
      <c r="DT7" s="15" t="str" cm="1">
        <f t="array" ref="DT7">IF(B7="","",_xlfn.TEXTJOIN("",,HEX2BIN(MID(BQ7,_xlfn.SEQUENCE(40),1),4)))</f>
        <v>0101000000010111100000110010001010110010000000110111100111011011010010101001010110001001010110001110111101001001100010001101101101101101100111101001111000100000</v>
      </c>
    </row>
    <row r="8" spans="1:124" x14ac:dyDescent="0.25">
      <c r="A8" s="9">
        <v>7</v>
      </c>
      <c r="B8" s="15" t="s">
        <v>2149</v>
      </c>
      <c r="C8" s="15" t="s">
        <v>2150</v>
      </c>
      <c r="D8" s="6" t="s">
        <v>2151</v>
      </c>
      <c r="E8" s="6" t="s">
        <v>2111</v>
      </c>
      <c r="F8" s="10">
        <v>0.1875</v>
      </c>
      <c r="G8" s="9">
        <v>3</v>
      </c>
      <c r="H8" s="9">
        <v>2</v>
      </c>
      <c r="I8" s="15" t="s">
        <v>2152</v>
      </c>
      <c r="J8" s="9">
        <v>6</v>
      </c>
      <c r="K8" s="15" t="s">
        <v>2153</v>
      </c>
      <c r="L8" s="15" t="s">
        <v>2154</v>
      </c>
      <c r="M8" s="15" t="s">
        <v>2155</v>
      </c>
      <c r="N8" s="15" t="s">
        <v>2156</v>
      </c>
      <c r="O8" s="6" t="s">
        <v>2106</v>
      </c>
      <c r="P8" s="15" t="s">
        <v>2157</v>
      </c>
      <c r="Q8" s="15" t="s">
        <v>2158</v>
      </c>
      <c r="R8" s="6" t="s">
        <v>2159</v>
      </c>
      <c r="S8" s="15" t="s">
        <v>2160</v>
      </c>
      <c r="T8" s="11">
        <v>1.5510204081632653</v>
      </c>
      <c r="U8" s="10">
        <v>0.42857142857142855</v>
      </c>
      <c r="V8" s="7" t="s">
        <v>696</v>
      </c>
      <c r="W8" s="7" t="s">
        <v>697</v>
      </c>
      <c r="X8" s="7" t="s">
        <v>698</v>
      </c>
      <c r="Y8" s="15" t="s">
        <v>2161</v>
      </c>
      <c r="Z8" s="9">
        <v>6</v>
      </c>
      <c r="AA8" s="9">
        <v>5</v>
      </c>
      <c r="AB8" s="9">
        <v>79</v>
      </c>
      <c r="AC8" s="13">
        <v>1.8898223650461361</v>
      </c>
      <c r="AD8" s="13">
        <v>1.1338934190276817</v>
      </c>
      <c r="AE8" s="9">
        <v>2</v>
      </c>
      <c r="AF8" s="9">
        <v>13</v>
      </c>
      <c r="AG8" s="9">
        <v>4</v>
      </c>
      <c r="AH8" s="6" t="s">
        <v>2162</v>
      </c>
      <c r="AI8" s="10">
        <v>6.2479275134435861</v>
      </c>
      <c r="AJ8" s="10">
        <v>3.5849625007211565</v>
      </c>
      <c r="AK8" s="15" t="s">
        <v>2156</v>
      </c>
      <c r="AL8" s="15" t="s">
        <v>2163</v>
      </c>
      <c r="AM8" s="15" t="s">
        <v>2164</v>
      </c>
      <c r="AN8" s="9">
        <v>2</v>
      </c>
      <c r="AO8" s="9">
        <v>2</v>
      </c>
      <c r="AP8" s="9">
        <v>4</v>
      </c>
      <c r="AQ8" s="15" t="s">
        <v>2165</v>
      </c>
      <c r="AR8" s="9">
        <v>2</v>
      </c>
      <c r="AS8" s="6" t="s">
        <v>1896</v>
      </c>
      <c r="AT8" s="15" t="s">
        <v>2166</v>
      </c>
      <c r="AU8" s="9">
        <v>1</v>
      </c>
      <c r="AV8" s="9">
        <v>1</v>
      </c>
      <c r="AW8" s="9">
        <v>6</v>
      </c>
      <c r="AX8" s="9">
        <v>10</v>
      </c>
      <c r="AY8" s="9">
        <v>76</v>
      </c>
      <c r="AZ8" s="9">
        <v>76</v>
      </c>
      <c r="BA8" s="6" t="s">
        <v>2167</v>
      </c>
      <c r="BB8" s="6" t="s">
        <v>2168</v>
      </c>
      <c r="BC8" s="6" t="s">
        <v>2169</v>
      </c>
      <c r="BD8" s="15" t="s">
        <v>2170</v>
      </c>
      <c r="BE8" s="15" t="s">
        <v>2171</v>
      </c>
      <c r="BF8" s="15" t="s">
        <v>2172</v>
      </c>
      <c r="BG8" s="15" t="s">
        <v>2173</v>
      </c>
      <c r="BH8" s="6" t="s">
        <v>2174</v>
      </c>
      <c r="BI8" s="17">
        <v>25569.000879629628</v>
      </c>
      <c r="BJ8" s="7" t="s">
        <v>1042</v>
      </c>
      <c r="BK8" s="7" t="s">
        <v>1043</v>
      </c>
      <c r="BL8" s="7" t="s">
        <v>1044</v>
      </c>
      <c r="BM8" s="16" t="s">
        <v>1045</v>
      </c>
      <c r="BN8" s="16" t="s">
        <v>1046</v>
      </c>
      <c r="BO8" s="16" t="s">
        <v>1047</v>
      </c>
      <c r="BP8" s="16" t="s">
        <v>1048</v>
      </c>
      <c r="BQ8" s="16" t="s">
        <v>1049</v>
      </c>
      <c r="BR8" s="7" t="s">
        <v>1050</v>
      </c>
      <c r="BS8" s="7" t="s">
        <v>1051</v>
      </c>
      <c r="BT8" s="7" t="s">
        <v>1052</v>
      </c>
      <c r="BU8" s="14">
        <v>6.563488101871789E-76</v>
      </c>
      <c r="BV8" s="15" t="s">
        <v>2175</v>
      </c>
      <c r="BW8" s="9">
        <v>6</v>
      </c>
      <c r="BX8" s="9">
        <v>3</v>
      </c>
      <c r="BY8" s="13">
        <v>1.8898223650461361</v>
      </c>
      <c r="BZ8" s="13">
        <v>-0.3779644730092272</v>
      </c>
      <c r="CA8" s="12" t="str">
        <f>IF(B8="","",IF(A8&lt;8,"",_xlfn.LET(_xlpm.n,A8,_xlpm.k,G8,_xlpm.R,AP8,_xlpm.mu,1+2*_xlpm.k*(_xlpm.n-_xlpm.k)/_xlpm.n,_xlpm.v,2*_xlpm.k*(_xlpm.n-_xlpm.k)*(2*_xlpm.k*(_xlpm.n-_xlpm.k)-_xlpm.n)/(_xlpm.n^2*(_xlpm.n-1)),IF(_xlpm.v&lt;=0,"",(_xlpm.R-_xlpm.mu)/SQRT(_xlpm.v)))))</f>
        <v/>
      </c>
      <c r="CB8" s="37" t="str" cm="1">
        <f t="array" ref="CB8">IF(B8="","",IF(A8&lt;8,"",_xlfn.LET(_xlpm.b,--MID(C8,_xlfn.SEQUENCE(A8-1),1),_xlpm.c,--MID(C8,_xlfn.SEQUENCE(A8-1,,2),1),IFERROR(CORREL(_xlpm.b,_xlpm.c),""))))</f>
        <v/>
      </c>
      <c r="CC8" s="8">
        <f>IF(B8="","",LOG(A8,2))</f>
        <v>2.8073549220576042</v>
      </c>
      <c r="CD8" s="8">
        <f>IF(B8="","",MAX(AN8,AO8)-CC8)</f>
        <v>-0.80735492205760417</v>
      </c>
      <c r="CE8" s="8" t="str" cm="1">
        <f t="array" ref="CE8">IF(B8="","",IF(LEN(B8)&lt;16,"",_xlfn.LET(_xlpm.d,MID("0123456789abcdef",_xlfn.SEQUENCE(16),1),_xlpm.c,LEN(B8)-LEN(SUBSTITUTE(B8,_xlpm.d,"")),_xlpm.ex,LEN(B8)/16,SUM((_xlpm.c-_xlpm.ex)^2/_xlpm.ex))))</f>
        <v/>
      </c>
      <c r="CF8" s="37" t="str">
        <f>IF(CE8="","",_xlfn.CHISQ.DIST.RT(CE8,15))</f>
        <v/>
      </c>
      <c r="CG8" s="9" cm="1">
        <f t="array" ref="CG8">IF(OR(B8="",B7=""),"",_xlfn.LET(_xlpm.a,C8,_xlpm.b,REPT("0",A8-LEN(C7))&amp;C7,_xlpm.m,MID(_xlpm.a,_xlfn.SEQUENCE(A8),1)=MID(_xlpm.b,_xlfn.SEQUENCE(A8),1),IFERROR(MATCH(FALSE,_xlpm.m,0)-1,A8)))</f>
        <v>0</v>
      </c>
      <c r="CH8" s="9" cm="1">
        <f t="array" ref="CH8">IF(OR(B8="",B7=""),"",_xlfn.LET(_xlpm.a,C8,_xlpm.b,REPT("0",A8-LEN(C7))&amp;C7,_xlpm.n,A8,_xlpm.m,MID(_xlpm.a,_xlfn.SEQUENCE(_xlpm.n,,_xlpm.n,-1),1)=MID(_xlpm.b,_xlfn.SEQUENCE(_xlpm.n,,_xlpm.n,-1),1),IFERROR(MATCH(FALSE,_xlpm.m,0)-1,_xlpm.n)))</f>
        <v>0</v>
      </c>
      <c r="CI8" s="38">
        <f>IF(OR(B8="",B7=""),"",F8-F7)</f>
        <v>-0.34375</v>
      </c>
      <c r="CJ8" s="5" t="b">
        <f>IF(OR(B8="",B7=""),"",IFERROR(FIND(B7,B8)&gt;0,FALSE))</f>
        <v>0</v>
      </c>
      <c r="CK8" s="5" t="b">
        <f>IF(OR(B8="",B7=""),"",IFERROR(FIND(C7,C8)&gt;0,FALSE))</f>
        <v>0</v>
      </c>
      <c r="CL8" s="9" t="str">
        <f>IF(OR(B8="",B7=""),"",IFERROR(FIND(C7,C8),""))</f>
        <v/>
      </c>
      <c r="CM8" s="6" t="str" cm="1">
        <f t="array" ref="CM8">IF(OR(B8="",B7=""),"",_xlfn.LET(_xlpm.pv,D7,_xlpm.ra,BIGSUB(D8,_xlpm.pv),_xlpm.rb,BIGSUB(_xlpm.ra,_xlpm.pv),_xlpm.rc,BIGSUB(_xlpm.rb,_xlpm.pv),IF(LEFT(_xlpm.rb,1)="-",_xlpm.ra,IF(LEFT(_xlpm.rc,1)="-",_xlpm.rb,_xlpm.rc))))</f>
        <v>27</v>
      </c>
      <c r="CN8" s="38">
        <f>IF(B8="","",F8-0.5)</f>
        <v>-0.3125</v>
      </c>
      <c r="CO8" s="15" t="str" cm="1">
        <f t="array" ref="CO8">IF(B8="","",_xlfn.TEXTJOIN("",,MID(B8,_xlfn.SEQUENCE(LEN(B8),,LEN(B8),-1),1)))</f>
        <v>c4</v>
      </c>
      <c r="CP8" s="6" t="str" cm="1">
        <f t="array" ref="CP8">IF(B8="","",BASE2DEC(CO8,16))</f>
        <v>196</v>
      </c>
      <c r="CQ8" s="5" t="str">
        <f>IF(B8="","",IF(AND(LEN(B8)&lt;16,LEN(B8)=LEN(SUBSTITUTE(SUBSTITUTE(SUBSTITUTE(SUBSTITUTE(SUBSTITUTE(SUBSTITUTE(B8,"a",""),"b",""),"c",""),"d",""),"e",""),"f",""))),--B8,""))</f>
        <v/>
      </c>
      <c r="CR8" s="6" t="str" cm="1">
        <f t="array" ref="CR8">IF(B8="","",IF(LEN(D8)&lt;=15,BASE2DEC(D8,16),""))</f>
        <v>118</v>
      </c>
      <c r="CS8" s="15" t="str" cm="1">
        <f t="array" ref="CS8">IF(B8="","",_xlfn.LET(_xlpm.p,REPT("0",MOD(-LEN(B8),4))&amp;B8,_xlfn.TEXTJOIN(" ",,MID(_xlpm.p,_xlfn.SEQUENCE(LEN(_xlpm.p)/4,,1,4),4))))</f>
        <v>004c</v>
      </c>
      <c r="CT8" s="15" t="str" cm="1">
        <f t="array" ref="CT8">IF(B8="","",UPPER(_xlfn.LET(_xlpm.p,REPT("0",64-LEN(B8))&amp;B8,_xlfn.TEXTJOIN(" ",,MID(_xlpm.p,_xlfn.SEQUENCE(8,,1,8),8)))))</f>
        <v>00000000 00000000 00000000 00000000 00000000 00000000 00000000 0000004C</v>
      </c>
      <c r="CU8" s="6" t="str" cm="1">
        <f t="array" ref="CU8">IF(B8="","",IF(LEN(D8)&lt;=6,_xlfn.LET(_xlpm.n,VALUE(D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seventy-six</v>
      </c>
      <c r="CV8" s="39" t="s">
        <v>4444</v>
      </c>
      <c r="CW8" s="39" t="s">
        <v>1895</v>
      </c>
      <c r="CX8" s="39" t="s">
        <v>1895</v>
      </c>
      <c r="CY8" s="7" t="s">
        <v>4458</v>
      </c>
      <c r="CZ8" s="39" t="s">
        <v>4444</v>
      </c>
      <c r="DA8" s="39" t="s">
        <v>4444</v>
      </c>
      <c r="DB8" s="39">
        <v>6</v>
      </c>
      <c r="DC8" s="7" t="s">
        <v>4459</v>
      </c>
      <c r="DD8" s="7" t="s">
        <v>4460</v>
      </c>
      <c r="DE8" s="7" t="s">
        <v>2075</v>
      </c>
      <c r="DF8" s="7" t="s">
        <v>4461</v>
      </c>
      <c r="DG8" s="7" t="s">
        <v>1895</v>
      </c>
      <c r="DH8" s="39" t="s">
        <v>4452</v>
      </c>
      <c r="DI8" s="7" t="s">
        <v>4983</v>
      </c>
      <c r="DJ8" s="7" t="s">
        <v>4984</v>
      </c>
      <c r="DK8" s="7" t="s">
        <v>4985</v>
      </c>
      <c r="DL8" s="7" t="s">
        <v>4986</v>
      </c>
      <c r="DM8" s="7" t="s">
        <v>4987</v>
      </c>
      <c r="DN8" s="7" t="s">
        <v>4988</v>
      </c>
      <c r="DO8" s="7" t="s">
        <v>4989</v>
      </c>
      <c r="DP8" s="7" t="s">
        <v>4990</v>
      </c>
      <c r="DQ8" s="7" t="s">
        <v>4991</v>
      </c>
      <c r="DR8" s="7" t="s">
        <v>4992</v>
      </c>
      <c r="DS8" s="7" t="s">
        <v>5761</v>
      </c>
      <c r="DT8" s="15" t="str" cm="1">
        <f t="array" ref="DT8">IF(B8="","",_xlfn.TEXTJOIN("",,HEX2BIN(MID(BQ8,_xlfn.SEQUENCE(40),1),4)))</f>
        <v>1001001101100010101000110011110101100010100001010110100110100010111011011111010110001100000000110111101111101101011000000001110001111000010101010110010010010111</v>
      </c>
    </row>
    <row r="9" spans="1:124" x14ac:dyDescent="0.25">
      <c r="A9" s="9">
        <v>8</v>
      </c>
      <c r="B9" s="15" t="s">
        <v>2176</v>
      </c>
      <c r="C9" s="15" t="s">
        <v>2177</v>
      </c>
      <c r="D9" s="6" t="s">
        <v>2178</v>
      </c>
      <c r="E9" s="6" t="s">
        <v>2179</v>
      </c>
      <c r="F9" s="10">
        <v>0.75</v>
      </c>
      <c r="G9" s="9">
        <v>3</v>
      </c>
      <c r="H9" s="9">
        <v>5</v>
      </c>
      <c r="I9" s="15" t="s">
        <v>2180</v>
      </c>
      <c r="J9" s="9">
        <v>4</v>
      </c>
      <c r="K9" s="15" t="s">
        <v>2181</v>
      </c>
      <c r="L9" s="15" t="s">
        <v>2182</v>
      </c>
      <c r="M9" s="15" t="s">
        <v>2183</v>
      </c>
      <c r="N9" s="15" t="s">
        <v>2184</v>
      </c>
      <c r="O9" s="6" t="s">
        <v>998</v>
      </c>
      <c r="P9" s="15" t="s">
        <v>2185</v>
      </c>
      <c r="Q9" s="15" t="s">
        <v>2186</v>
      </c>
      <c r="R9" s="6" t="s">
        <v>2121</v>
      </c>
      <c r="S9" s="15" t="s">
        <v>2187</v>
      </c>
      <c r="T9" s="11">
        <v>2.9473684210526314</v>
      </c>
      <c r="U9" s="10">
        <v>0.375</v>
      </c>
      <c r="V9" s="7" t="s">
        <v>699</v>
      </c>
      <c r="W9" s="7" t="s">
        <v>700</v>
      </c>
      <c r="X9" s="7" t="s">
        <v>701</v>
      </c>
      <c r="Y9" s="15" t="s">
        <v>2188</v>
      </c>
      <c r="Z9" s="9">
        <v>6</v>
      </c>
      <c r="AA9" s="9">
        <v>4</v>
      </c>
      <c r="AB9" s="9">
        <v>72</v>
      </c>
      <c r="AC9" s="13">
        <v>1.4142135623730949</v>
      </c>
      <c r="AD9" s="13">
        <v>0</v>
      </c>
      <c r="AE9" s="9">
        <v>3</v>
      </c>
      <c r="AF9" s="9">
        <v>8</v>
      </c>
      <c r="AG9" s="9">
        <v>8</v>
      </c>
      <c r="AH9" s="6" t="s">
        <v>2189</v>
      </c>
      <c r="AI9" s="10">
        <v>7.8073549220576037</v>
      </c>
      <c r="AJ9" s="10">
        <v>6.5849625007211561</v>
      </c>
      <c r="AK9" s="15" t="s">
        <v>2190</v>
      </c>
      <c r="AL9" s="15" t="s">
        <v>2191</v>
      </c>
      <c r="AM9" s="15" t="s">
        <v>2192</v>
      </c>
      <c r="AN9" s="9">
        <v>5</v>
      </c>
      <c r="AO9" s="9">
        <v>3</v>
      </c>
      <c r="AP9" s="9">
        <v>2</v>
      </c>
      <c r="AQ9" s="15" t="s">
        <v>2193</v>
      </c>
      <c r="AR9" s="9">
        <v>2</v>
      </c>
      <c r="AS9" s="6" t="s">
        <v>2054</v>
      </c>
      <c r="AT9" s="15" t="s">
        <v>2194</v>
      </c>
      <c r="AU9" s="9">
        <v>2</v>
      </c>
      <c r="AV9" s="9">
        <v>4</v>
      </c>
      <c r="AW9" s="9">
        <v>0</v>
      </c>
      <c r="AX9" s="9">
        <v>4</v>
      </c>
      <c r="AY9" s="9">
        <v>224</v>
      </c>
      <c r="AZ9" s="9">
        <v>224</v>
      </c>
      <c r="BA9" s="6" t="s">
        <v>2195</v>
      </c>
      <c r="BB9" s="6" t="s">
        <v>2196</v>
      </c>
      <c r="BC9" s="6" t="s">
        <v>2197</v>
      </c>
      <c r="BD9" s="15" t="s">
        <v>2198</v>
      </c>
      <c r="BE9" s="15" t="s">
        <v>2199</v>
      </c>
      <c r="BF9" s="15" t="s">
        <v>2200</v>
      </c>
      <c r="BG9" s="15" t="s">
        <v>2061</v>
      </c>
      <c r="BH9" s="6" t="s">
        <v>2201</v>
      </c>
      <c r="BI9" s="17">
        <v>25569.002592592591</v>
      </c>
      <c r="BJ9" s="7" t="s">
        <v>1053</v>
      </c>
      <c r="BK9" s="7" t="s">
        <v>1054</v>
      </c>
      <c r="BL9" s="7" t="s">
        <v>1055</v>
      </c>
      <c r="BM9" s="16" t="s">
        <v>1056</v>
      </c>
      <c r="BN9" s="16" t="s">
        <v>1057</v>
      </c>
      <c r="BO9" s="16" t="s">
        <v>1058</v>
      </c>
      <c r="BP9" s="16" t="s">
        <v>1059</v>
      </c>
      <c r="BQ9" s="16" t="s">
        <v>1060</v>
      </c>
      <c r="BR9" s="7" t="s">
        <v>1061</v>
      </c>
      <c r="BS9" s="7" t="s">
        <v>1062</v>
      </c>
      <c r="BT9" s="7" t="s">
        <v>1063</v>
      </c>
      <c r="BU9" s="14">
        <v>1.9345017563411588E-75</v>
      </c>
      <c r="BV9" s="15" t="s">
        <v>2202</v>
      </c>
      <c r="BW9" s="9">
        <v>5</v>
      </c>
      <c r="BX9" s="9">
        <v>4</v>
      </c>
      <c r="BY9" s="13">
        <v>0.70710678118654746</v>
      </c>
      <c r="BZ9" s="13">
        <v>0</v>
      </c>
      <c r="CA9" s="12">
        <f>IF(B9="","",IF(A9&lt;8,"",_xlfn.LET(_xlpm.n,A9,_xlpm.k,G9,_xlpm.R,AP9,_xlpm.mu,1+2*_xlpm.k*(_xlpm.n-_xlpm.k)/_xlpm.n,_xlpm.v,2*_xlpm.k*(_xlpm.n-_xlpm.k)*(2*_xlpm.k*(_xlpm.n-_xlpm.k)-_xlpm.n)/(_xlpm.n^2*(_xlpm.n-1)),IF(_xlpm.v&lt;=0,"",(_xlpm.R-_xlpm.mu)/SQRT(_xlpm.v)))))</f>
        <v>-2.2656860623955239</v>
      </c>
      <c r="CB9" s="37" cm="1">
        <f t="array" ref="CB9">IF(B9="","",IF(A9&lt;8,"",_xlfn.LET(_xlpm.b,--MID(C9,_xlfn.SEQUENCE(A9-1),1),_xlpm.c,--MID(C9,_xlfn.SEQUENCE(A9-1,,2),1),IFERROR(CORREL(_xlpm.b,_xlpm.c),""))))</f>
        <v>0.73029674334022132</v>
      </c>
      <c r="CC9" s="8">
        <f>IF(B9="","",LOG(A9,2))</f>
        <v>3</v>
      </c>
      <c r="CD9" s="8">
        <f>IF(B9="","",MAX(AN9,AO9)-CC9)</f>
        <v>2</v>
      </c>
      <c r="CE9" s="8" t="str" cm="1">
        <f t="array" ref="CE9">IF(B9="","",IF(LEN(B9)&lt;16,"",_xlfn.LET(_xlpm.d,MID("0123456789abcdef",_xlfn.SEQUENCE(16),1),_xlpm.c,LEN(B9)-LEN(SUBSTITUTE(B9,_xlpm.d,"")),_xlpm.ex,LEN(B9)/16,SUM((_xlpm.c-_xlpm.ex)^2/_xlpm.ex))))</f>
        <v/>
      </c>
      <c r="CF9" s="37" t="str">
        <f>IF(CE9="","",_xlfn.CHISQ.DIST.RT(CE9,15))</f>
        <v/>
      </c>
      <c r="CG9" s="9" cm="1">
        <f t="array" ref="CG9">IF(OR(B9="",B8=""),"",_xlfn.LET(_xlpm.a,C9,_xlpm.b,REPT("0",A9-LEN(C8))&amp;C8,_xlpm.m,MID(_xlpm.a,_xlfn.SEQUENCE(A9),1)=MID(_xlpm.b,_xlfn.SEQUENCE(A9),1),IFERROR(MATCH(FALSE,_xlpm.m,0)-1,A9)))</f>
        <v>0</v>
      </c>
      <c r="CH9" s="9" cm="1">
        <f t="array" ref="CH9">IF(OR(B9="",B8=""),"",_xlfn.LET(_xlpm.a,C9,_xlpm.b,REPT("0",A9-LEN(C8))&amp;C8,_xlpm.n,A9,_xlpm.m,MID(_xlpm.a,_xlfn.SEQUENCE(_xlpm.n,,_xlpm.n,-1),1)=MID(_xlpm.b,_xlfn.SEQUENCE(_xlpm.n,,_xlpm.n,-1),1),IFERROR(MATCH(FALSE,_xlpm.m,0)-1,_xlpm.n)))</f>
        <v>2</v>
      </c>
      <c r="CI9" s="38">
        <f>IF(OR(B9="",B8=""),"",F9-F8)</f>
        <v>0.5625</v>
      </c>
      <c r="CJ9" s="5" t="b">
        <f>IF(OR(B9="",B8=""),"",IFERROR(FIND(B8,B9)&gt;0,FALSE))</f>
        <v>0</v>
      </c>
      <c r="CK9" s="5" t="b">
        <f>IF(OR(B9="",B8=""),"",IFERROR(FIND(C8,C9)&gt;0,FALSE))</f>
        <v>0</v>
      </c>
      <c r="CL9" s="9" t="str">
        <f>IF(OR(B9="",B8=""),"",IFERROR(FIND(C8,C9),""))</f>
        <v/>
      </c>
      <c r="CM9" s="6" t="str" cm="1">
        <f t="array" ref="CM9">IF(OR(B9="",B8=""),"",_xlfn.LET(_xlpm.pv,D8,_xlpm.ra,BIGSUB(D9,_xlpm.pv),_xlpm.rb,BIGSUB(_xlpm.ra,_xlpm.pv),_xlpm.rc,BIGSUB(_xlpm.rb,_xlpm.pv),IF(LEFT(_xlpm.rb,1)="-",_xlpm.ra,IF(LEFT(_xlpm.rc,1)="-",_xlpm.rb,_xlpm.rc))))</f>
        <v>72</v>
      </c>
      <c r="CN9" s="38">
        <f>IF(B9="","",F9-0.5)</f>
        <v>0.25</v>
      </c>
      <c r="CO9" s="15" t="str" cm="1">
        <f t="array" ref="CO9">IF(B9="","",_xlfn.TEXTJOIN("",,MID(B9,_xlfn.SEQUENCE(LEN(B9),,LEN(B9),-1),1)))</f>
        <v>0e</v>
      </c>
      <c r="CP9" s="6" t="str" cm="1">
        <f t="array" ref="CP9">IF(B9="","",BASE2DEC(CO9,16))</f>
        <v>14</v>
      </c>
      <c r="CQ9" s="5" t="str">
        <f>IF(B9="","",IF(AND(LEN(B9)&lt;16,LEN(B9)=LEN(SUBSTITUTE(SUBSTITUTE(SUBSTITUTE(SUBSTITUTE(SUBSTITUTE(SUBSTITUTE(B9,"a",""),"b",""),"c",""),"d",""),"e",""),"f",""))),--B9,""))</f>
        <v/>
      </c>
      <c r="CR9" s="6" t="str" cm="1">
        <f t="array" ref="CR9">IF(B9="","",IF(LEN(D9)&lt;=15,BASE2DEC(D9,16),""))</f>
        <v>548</v>
      </c>
      <c r="CS9" s="15" t="str" cm="1">
        <f t="array" ref="CS9">IF(B9="","",_xlfn.LET(_xlpm.p,REPT("0",MOD(-LEN(B9),4))&amp;B9,_xlfn.TEXTJOIN(" ",,MID(_xlpm.p,_xlfn.SEQUENCE(LEN(_xlpm.p)/4,,1,4),4))))</f>
        <v>00e0</v>
      </c>
      <c r="CT9" s="15" t="str" cm="1">
        <f t="array" ref="CT9">IF(B9="","",UPPER(_xlfn.LET(_xlpm.p,REPT("0",64-LEN(B9))&amp;B9,_xlfn.TEXTJOIN(" ",,MID(_xlpm.p,_xlfn.SEQUENCE(8,,1,8),8)))))</f>
        <v>00000000 00000000 00000000 00000000 00000000 00000000 00000000 000000E0</v>
      </c>
      <c r="CU9" s="6" t="str" cm="1">
        <f t="array" ref="CU9">IF(B9="","",IF(LEN(D9)&lt;=6,_xlfn.LET(_xlpm.n,VALUE(D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two hundred twenty-four</v>
      </c>
      <c r="CV9" s="39" t="s">
        <v>4444</v>
      </c>
      <c r="CW9" s="39" t="s">
        <v>1895</v>
      </c>
      <c r="CX9" s="39" t="s">
        <v>1895</v>
      </c>
      <c r="CY9" s="7" t="s">
        <v>4462</v>
      </c>
      <c r="CZ9" s="39" t="s">
        <v>4444</v>
      </c>
      <c r="DA9" s="39" t="s">
        <v>4444</v>
      </c>
      <c r="DB9" s="39">
        <v>8</v>
      </c>
      <c r="DC9" s="7" t="s">
        <v>4463</v>
      </c>
      <c r="DD9" s="7" t="s">
        <v>4464</v>
      </c>
      <c r="DE9" s="7" t="s">
        <v>2096</v>
      </c>
      <c r="DF9" s="7" t="s">
        <v>4465</v>
      </c>
      <c r="DG9" s="7" t="s">
        <v>998</v>
      </c>
      <c r="DH9" s="39" t="s">
        <v>4452</v>
      </c>
      <c r="DI9" s="7" t="s">
        <v>4993</v>
      </c>
      <c r="DJ9" s="7" t="s">
        <v>4994</v>
      </c>
      <c r="DK9" s="7" t="s">
        <v>4995</v>
      </c>
      <c r="DL9" s="7" t="s">
        <v>4996</v>
      </c>
      <c r="DM9" s="7" t="s">
        <v>4997</v>
      </c>
      <c r="DN9" s="7" t="s">
        <v>4998</v>
      </c>
      <c r="DO9" s="7" t="s">
        <v>4999</v>
      </c>
      <c r="DP9" s="7" t="s">
        <v>5000</v>
      </c>
      <c r="DQ9" s="7" t="s">
        <v>5001</v>
      </c>
      <c r="DR9" s="7" t="s">
        <v>5002</v>
      </c>
      <c r="DS9" s="7" t="s">
        <v>5762</v>
      </c>
      <c r="DT9" s="15" t="str" cm="1">
        <f t="array" ref="DT9">IF(B9="","",_xlfn.TEXTJOIN("",,HEX2BIN(MID(BQ9,_xlfn.SEQUENCE(40),1),4)))</f>
        <v>1011001001010100011010110100110010110101000000101110100111111111001110100000111110010101001110011101110111101010011010011101001110100001110011110010011110000000</v>
      </c>
    </row>
    <row r="10" spans="1:124" x14ac:dyDescent="0.25">
      <c r="A10" s="9">
        <v>9</v>
      </c>
      <c r="B10" s="15" t="s">
        <v>2203</v>
      </c>
      <c r="C10" s="15" t="s">
        <v>2204</v>
      </c>
      <c r="D10" s="6" t="s">
        <v>2205</v>
      </c>
      <c r="E10" s="6" t="s">
        <v>2206</v>
      </c>
      <c r="F10" s="10">
        <v>0.82421875</v>
      </c>
      <c r="G10" s="9">
        <v>6</v>
      </c>
      <c r="H10" s="9">
        <v>0</v>
      </c>
      <c r="I10" s="15" t="s">
        <v>2207</v>
      </c>
      <c r="J10" s="9">
        <v>5</v>
      </c>
      <c r="K10" s="15" t="s">
        <v>2208</v>
      </c>
      <c r="L10" s="15" t="s">
        <v>2209</v>
      </c>
      <c r="M10" s="15" t="s">
        <v>2210</v>
      </c>
      <c r="N10" s="15" t="s">
        <v>2211</v>
      </c>
      <c r="O10" s="6" t="s">
        <v>2212</v>
      </c>
      <c r="P10" s="15" t="s">
        <v>2213</v>
      </c>
      <c r="Q10" s="15" t="s">
        <v>2214</v>
      </c>
      <c r="R10" s="6" t="s">
        <v>2215</v>
      </c>
      <c r="S10" s="15" t="s">
        <v>2216</v>
      </c>
      <c r="T10" s="11">
        <v>2.0848214285714284</v>
      </c>
      <c r="U10" s="10">
        <v>0.66666666666666663</v>
      </c>
      <c r="V10" s="7" t="s">
        <v>702</v>
      </c>
      <c r="W10" s="7" t="s">
        <v>703</v>
      </c>
      <c r="X10" s="7" t="s">
        <v>704</v>
      </c>
      <c r="Y10" s="15" t="s">
        <v>2217</v>
      </c>
      <c r="Z10" s="9">
        <v>6</v>
      </c>
      <c r="AA10" s="9">
        <v>4</v>
      </c>
      <c r="AB10" s="9">
        <v>86</v>
      </c>
      <c r="AC10" s="13">
        <v>1</v>
      </c>
      <c r="AD10" s="13">
        <v>-0.33333333333333331</v>
      </c>
      <c r="AE10" s="9">
        <v>3</v>
      </c>
      <c r="AF10" s="9">
        <v>17</v>
      </c>
      <c r="AG10" s="9">
        <v>8</v>
      </c>
      <c r="AH10" s="6" t="s">
        <v>2218</v>
      </c>
      <c r="AI10" s="10">
        <v>8.8672787397096631</v>
      </c>
      <c r="AJ10" s="10">
        <v>7.7210991887071856</v>
      </c>
      <c r="AK10" s="15" t="s">
        <v>2219</v>
      </c>
      <c r="AL10" s="15" t="s">
        <v>2220</v>
      </c>
      <c r="AM10" s="15" t="s">
        <v>2221</v>
      </c>
      <c r="AN10" s="9">
        <v>2</v>
      </c>
      <c r="AO10" s="9">
        <v>3</v>
      </c>
      <c r="AP10" s="9">
        <v>5</v>
      </c>
      <c r="AQ10" s="15" t="s">
        <v>2222</v>
      </c>
      <c r="AR10" s="9">
        <v>3</v>
      </c>
      <c r="AS10" s="6" t="s">
        <v>976</v>
      </c>
      <c r="AT10" s="15" t="s">
        <v>2223</v>
      </c>
      <c r="AU10" s="9">
        <v>2</v>
      </c>
      <c r="AV10" s="9">
        <v>2</v>
      </c>
      <c r="AW10" s="9">
        <v>5</v>
      </c>
      <c r="AX10" s="9">
        <v>5</v>
      </c>
      <c r="AY10" s="9">
        <v>211</v>
      </c>
      <c r="AZ10" s="9">
        <v>467</v>
      </c>
      <c r="BA10" s="6" t="s">
        <v>2224</v>
      </c>
      <c r="BB10" s="6" t="s">
        <v>2225</v>
      </c>
      <c r="BC10" s="6" t="s">
        <v>2226</v>
      </c>
      <c r="BD10" s="15" t="s">
        <v>2227</v>
      </c>
      <c r="BE10" s="15" t="s">
        <v>2228</v>
      </c>
      <c r="BF10" s="15" t="s">
        <v>2229</v>
      </c>
      <c r="BG10" s="15" t="s">
        <v>2061</v>
      </c>
      <c r="BH10" s="6" t="s">
        <v>2230</v>
      </c>
      <c r="BI10" s="17">
        <v>25569.005405092594</v>
      </c>
      <c r="BJ10" s="7" t="s">
        <v>1064</v>
      </c>
      <c r="BK10" s="7" t="s">
        <v>1065</v>
      </c>
      <c r="BL10" s="7" t="s">
        <v>1066</v>
      </c>
      <c r="BM10" s="16" t="s">
        <v>1067</v>
      </c>
      <c r="BN10" s="16" t="s">
        <v>1068</v>
      </c>
      <c r="BO10" s="16" t="s">
        <v>1069</v>
      </c>
      <c r="BP10" s="16" t="s">
        <v>1070</v>
      </c>
      <c r="BQ10" s="16" t="s">
        <v>1071</v>
      </c>
      <c r="BR10" s="7" t="s">
        <v>1072</v>
      </c>
      <c r="BS10" s="7" t="s">
        <v>1073</v>
      </c>
      <c r="BT10" s="7" t="s">
        <v>1074</v>
      </c>
      <c r="BU10" s="14">
        <v>4.0330907152291125E-75</v>
      </c>
      <c r="BV10" s="15" t="s">
        <v>2231</v>
      </c>
      <c r="BW10" s="9">
        <v>3</v>
      </c>
      <c r="BX10" s="9">
        <v>5</v>
      </c>
      <c r="BY10" s="13">
        <v>-1</v>
      </c>
      <c r="BZ10" s="13">
        <v>0.33333333333333331</v>
      </c>
      <c r="CA10" s="12">
        <f>IF(B10="","",IF(A10&lt;8,"",_xlfn.LET(_xlpm.n,A10,_xlpm.k,G10,_xlpm.R,AP10,_xlpm.mu,1+2*_xlpm.k*(_xlpm.n-_xlpm.k)/_xlpm.n,_xlpm.v,2*_xlpm.k*(_xlpm.n-_xlpm.k)*(2*_xlpm.k*(_xlpm.n-_xlpm.k)-_xlpm.n)/(_xlpm.n^2*(_xlpm.n-1)),IF(_xlpm.v&lt;=0,"",(_xlpm.R-_xlpm.mu)/SQRT(_xlpm.v)))))</f>
        <v>0</v>
      </c>
      <c r="CB10" s="37" cm="1">
        <f t="array" ref="CB10">IF(B10="","",IF(A10&lt;8,"",_xlfn.LET(_xlpm.b,--MID(C10,_xlfn.SEQUENCE(A10-1),1),_xlpm.c,--MID(C10,_xlfn.SEQUENCE(A10-1,,2),1),IFERROR(CORREL(_xlpm.b,_xlpm.c),""))))</f>
        <v>-6.6666666666666652E-2</v>
      </c>
      <c r="CC10" s="8">
        <f>IF(B10="","",LOG(A10,2))</f>
        <v>3.1699250014423126</v>
      </c>
      <c r="CD10" s="8">
        <f>IF(B10="","",MAX(AN10,AO10)-CC10)</f>
        <v>-0.1699250014423126</v>
      </c>
      <c r="CE10" s="8" t="str" cm="1">
        <f t="array" ref="CE10">IF(B10="","",IF(LEN(B10)&lt;16,"",_xlfn.LET(_xlpm.d,MID("0123456789abcdef",_xlfn.SEQUENCE(16),1),_xlpm.c,LEN(B10)-LEN(SUBSTITUTE(B10,_xlpm.d,"")),_xlpm.ex,LEN(B10)/16,SUM((_xlpm.c-_xlpm.ex)^2/_xlpm.ex))))</f>
        <v/>
      </c>
      <c r="CF10" s="37" t="str">
        <f>IF(CE10="","",_xlfn.CHISQ.DIST.RT(CE10,15))</f>
        <v/>
      </c>
      <c r="CG10" s="9" cm="1">
        <f t="array" ref="CG10">IF(OR(B10="",B9=""),"",_xlfn.LET(_xlpm.a,C10,_xlpm.b,REPT("0",A10-LEN(C9))&amp;C9,_xlpm.m,MID(_xlpm.a,_xlfn.SEQUENCE(A10),1)=MID(_xlpm.b,_xlfn.SEQUENCE(A10),1),IFERROR(MATCH(FALSE,_xlpm.m,0)-1,A10)))</f>
        <v>0</v>
      </c>
      <c r="CH10" s="9" cm="1">
        <f t="array" ref="CH10">IF(OR(B10="",B9=""),"",_xlfn.LET(_xlpm.a,C10,_xlpm.b,REPT("0",A10-LEN(C9))&amp;C9,_xlpm.n,A10,_xlpm.m,MID(_xlpm.a,_xlfn.SEQUENCE(_xlpm.n,,_xlpm.n,-1),1)=MID(_xlpm.b,_xlfn.SEQUENCE(_xlpm.n,,_xlpm.n,-1),1),IFERROR(MATCH(FALSE,_xlpm.m,0)-1,_xlpm.n)))</f>
        <v>0</v>
      </c>
      <c r="CI10" s="38">
        <f>IF(OR(B10="",B9=""),"",F10-F9)</f>
        <v>7.421875E-2</v>
      </c>
      <c r="CJ10" s="5" t="b">
        <f>IF(OR(B10="",B9=""),"",IFERROR(FIND(B9,B10)&gt;0,FALSE))</f>
        <v>0</v>
      </c>
      <c r="CK10" s="5" t="b">
        <f>IF(OR(B10="",B9=""),"",IFERROR(FIND(C9,C10)&gt;0,FALSE))</f>
        <v>0</v>
      </c>
      <c r="CL10" s="9" t="str">
        <f>IF(OR(B10="",B9=""),"",IFERROR(FIND(C9,C10),""))</f>
        <v/>
      </c>
      <c r="CM10" s="6" t="str" cm="1">
        <f t="array" ref="CM10">IF(OR(B10="",B9=""),"",_xlfn.LET(_xlpm.pv,D9,_xlpm.ra,BIGSUB(D10,_xlpm.pv),_xlpm.rb,BIGSUB(_xlpm.ra,_xlpm.pv),_xlpm.rc,BIGSUB(_xlpm.rb,_xlpm.pv),IF(LEFT(_xlpm.rb,1)="-",_xlpm.ra,IF(LEFT(_xlpm.rc,1)="-",_xlpm.rb,_xlpm.rc))))</f>
        <v>19</v>
      </c>
      <c r="CN10" s="38">
        <f>IF(B10="","",F10-0.5)</f>
        <v>0.32421875</v>
      </c>
      <c r="CO10" s="15" t="str" cm="1">
        <f t="array" ref="CO10">IF(B10="","",_xlfn.TEXTJOIN("",,MID(B10,_xlfn.SEQUENCE(LEN(B10),,LEN(B10),-1),1)))</f>
        <v>3d1</v>
      </c>
      <c r="CP10" s="6" t="str" cm="1">
        <f t="array" ref="CP10">IF(B10="","",BASE2DEC(CO10,16))</f>
        <v>977</v>
      </c>
      <c r="CQ10" s="5" t="str">
        <f>IF(B10="","",IF(AND(LEN(B10)&lt;16,LEN(B10)=LEN(SUBSTITUTE(SUBSTITUTE(SUBSTITUTE(SUBSTITUTE(SUBSTITUTE(SUBSTITUTE(B10,"a",""),"b",""),"c",""),"d",""),"e",""),"f",""))),--B10,""))</f>
        <v/>
      </c>
      <c r="CR10" s="6" t="str" cm="1">
        <f t="array" ref="CR10">IF(B10="","",IF(LEN(D10)&lt;=15,BASE2DEC(D10,16),""))</f>
        <v>1127</v>
      </c>
      <c r="CS10" s="15" t="str" cm="1">
        <f t="array" ref="CS10">IF(B10="","",_xlfn.LET(_xlpm.p,REPT("0",MOD(-LEN(B10),4))&amp;B10,_xlfn.TEXTJOIN(" ",,MID(_xlpm.p,_xlfn.SEQUENCE(LEN(_xlpm.p)/4,,1,4),4))))</f>
        <v>01d3</v>
      </c>
      <c r="CT10" s="15" t="str" cm="1">
        <f t="array" ref="CT10">IF(B10="","",UPPER(_xlfn.LET(_xlpm.p,REPT("0",64-LEN(B10))&amp;B10,_xlfn.TEXTJOIN(" ",,MID(_xlpm.p,_xlfn.SEQUENCE(8,,1,8),8)))))</f>
        <v>00000000 00000000 00000000 00000000 00000000 00000000 00000000 000001D3</v>
      </c>
      <c r="CU10" s="6" t="str" cm="1">
        <f t="array" ref="CU10">IF(B10="","",IF(LEN(D10)&lt;=6,_xlfn.LET(_xlpm.n,VALUE(D10)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four hundred sixty-seven</v>
      </c>
      <c r="CV10" s="39" t="s">
        <v>4446</v>
      </c>
      <c r="CW10" s="39" t="s">
        <v>2205</v>
      </c>
      <c r="CX10" s="39" t="s">
        <v>976</v>
      </c>
      <c r="CY10" s="7" t="s">
        <v>2205</v>
      </c>
      <c r="CZ10" s="39" t="s">
        <v>4444</v>
      </c>
      <c r="DA10" s="39" t="s">
        <v>4444</v>
      </c>
      <c r="DB10" s="39">
        <v>9</v>
      </c>
      <c r="DC10" s="7" t="s">
        <v>4466</v>
      </c>
      <c r="DD10" s="7" t="s">
        <v>4467</v>
      </c>
      <c r="DE10" s="7" t="s">
        <v>4468</v>
      </c>
      <c r="DF10" s="7" t="s">
        <v>4469</v>
      </c>
      <c r="DG10" s="7" t="s">
        <v>1895</v>
      </c>
      <c r="DH10" s="39" t="s">
        <v>4448</v>
      </c>
      <c r="DI10" s="7" t="s">
        <v>5003</v>
      </c>
      <c r="DJ10" s="7" t="s">
        <v>5004</v>
      </c>
      <c r="DK10" s="7" t="s">
        <v>5005</v>
      </c>
      <c r="DL10" s="7" t="s">
        <v>5006</v>
      </c>
      <c r="DM10" s="7" t="s">
        <v>5007</v>
      </c>
      <c r="DN10" s="7" t="s">
        <v>5008</v>
      </c>
      <c r="DO10" s="7" t="s">
        <v>5009</v>
      </c>
      <c r="DP10" s="7" t="s">
        <v>5010</v>
      </c>
      <c r="DQ10" s="7" t="s">
        <v>5011</v>
      </c>
      <c r="DR10" s="7" t="s">
        <v>5012</v>
      </c>
      <c r="DS10" s="7" t="s">
        <v>5763</v>
      </c>
      <c r="DT10" s="15" t="str" cm="1">
        <f t="array" ref="DT10">IF(B10="","",_xlfn.TEXTJOIN("",,HEX2BIN(MID(BQ10,_xlfn.SEQUENCE(40),1),4)))</f>
        <v>1000000110111000110111111010001010011110111010000101011010011010000001001110001101111101110000001001000111000110101100000111001011110011001010110110011100000111</v>
      </c>
    </row>
    <row r="11" spans="1:124" x14ac:dyDescent="0.25">
      <c r="A11" s="9">
        <v>10</v>
      </c>
      <c r="B11" s="15" t="s">
        <v>2232</v>
      </c>
      <c r="C11" s="15" t="s">
        <v>2233</v>
      </c>
      <c r="D11" s="6" t="s">
        <v>2234</v>
      </c>
      <c r="E11" s="6" t="s">
        <v>1895</v>
      </c>
      <c r="F11" s="10">
        <v>3.90625E-3</v>
      </c>
      <c r="G11" s="9">
        <v>2</v>
      </c>
      <c r="H11" s="9">
        <v>1</v>
      </c>
      <c r="I11" s="15" t="s">
        <v>2235</v>
      </c>
      <c r="J11" s="9">
        <v>6</v>
      </c>
      <c r="K11" s="15" t="s">
        <v>2236</v>
      </c>
      <c r="L11" s="15" t="s">
        <v>2237</v>
      </c>
      <c r="M11" s="15" t="s">
        <v>2238</v>
      </c>
      <c r="N11" s="15" t="s">
        <v>2239</v>
      </c>
      <c r="O11" s="6" t="s">
        <v>2240</v>
      </c>
      <c r="P11" s="15" t="s">
        <v>2241</v>
      </c>
      <c r="Q11" s="15" t="s">
        <v>2242</v>
      </c>
      <c r="R11" s="6" t="s">
        <v>2243</v>
      </c>
      <c r="S11" s="15" t="s">
        <v>2244</v>
      </c>
      <c r="T11" s="11">
        <v>1.100642398286938</v>
      </c>
      <c r="U11" s="10">
        <v>0.2</v>
      </c>
      <c r="V11" s="7" t="s">
        <v>705</v>
      </c>
      <c r="W11" s="7" t="s">
        <v>706</v>
      </c>
      <c r="X11" s="7" t="s">
        <v>707</v>
      </c>
      <c r="Y11" s="15" t="s">
        <v>2245</v>
      </c>
      <c r="Z11" s="9">
        <v>6</v>
      </c>
      <c r="AA11" s="9">
        <v>7</v>
      </c>
      <c r="AB11" s="9">
        <v>81</v>
      </c>
      <c r="AC11" s="13">
        <v>0.63245553203367588</v>
      </c>
      <c r="AD11" s="13">
        <v>1.2649110640673518</v>
      </c>
      <c r="AE11" s="9">
        <v>3</v>
      </c>
      <c r="AF11" s="9">
        <v>10</v>
      </c>
      <c r="AG11" s="9">
        <v>1</v>
      </c>
      <c r="AH11" s="6" t="s">
        <v>2246</v>
      </c>
      <c r="AI11" s="10">
        <v>9.0056245491938789</v>
      </c>
      <c r="AJ11" s="10">
        <v>1</v>
      </c>
      <c r="AK11" s="15" t="s">
        <v>2247</v>
      </c>
      <c r="AL11" s="15" t="s">
        <v>2239</v>
      </c>
      <c r="AM11" s="15" t="s">
        <v>2248</v>
      </c>
      <c r="AN11" s="9">
        <v>7</v>
      </c>
      <c r="AO11" s="9">
        <v>1</v>
      </c>
      <c r="AP11" s="9">
        <v>4</v>
      </c>
      <c r="AQ11" s="15" t="s">
        <v>2249</v>
      </c>
      <c r="AR11" s="9">
        <v>2</v>
      </c>
      <c r="AS11" s="6" t="s">
        <v>1895</v>
      </c>
      <c r="AT11" s="15" t="s">
        <v>2250</v>
      </c>
      <c r="AU11" s="9">
        <v>1</v>
      </c>
      <c r="AV11" s="9">
        <v>4</v>
      </c>
      <c r="AW11" s="9">
        <v>3</v>
      </c>
      <c r="AX11" s="9">
        <v>8</v>
      </c>
      <c r="AY11" s="9">
        <v>2</v>
      </c>
      <c r="AZ11" s="9">
        <v>514</v>
      </c>
      <c r="BA11" s="6" t="s">
        <v>2251</v>
      </c>
      <c r="BB11" s="6" t="s">
        <v>2252</v>
      </c>
      <c r="BC11" s="6" t="s">
        <v>2253</v>
      </c>
      <c r="BD11" s="15" t="s">
        <v>2254</v>
      </c>
      <c r="BE11" s="15" t="s">
        <v>2255</v>
      </c>
      <c r="BF11" s="15" t="s">
        <v>2256</v>
      </c>
      <c r="BG11" s="15" t="s">
        <v>2061</v>
      </c>
      <c r="BH11" s="6" t="s">
        <v>2257</v>
      </c>
      <c r="BI11" s="17">
        <v>25569.005949074075</v>
      </c>
      <c r="BJ11" s="7" t="s">
        <v>1075</v>
      </c>
      <c r="BK11" s="7" t="s">
        <v>1076</v>
      </c>
      <c r="BL11" s="7" t="s">
        <v>1077</v>
      </c>
      <c r="BM11" s="16" t="s">
        <v>1078</v>
      </c>
      <c r="BN11" s="16" t="s">
        <v>1079</v>
      </c>
      <c r="BO11" s="16" t="s">
        <v>1080</v>
      </c>
      <c r="BP11" s="16" t="s">
        <v>1081</v>
      </c>
      <c r="BQ11" s="16" t="s">
        <v>1082</v>
      </c>
      <c r="BR11" s="7" t="s">
        <v>1083</v>
      </c>
      <c r="BS11" s="7" t="s">
        <v>1084</v>
      </c>
      <c r="BT11" s="7" t="s">
        <v>1085</v>
      </c>
      <c r="BU11" s="14">
        <v>4.4389906373185524E-75</v>
      </c>
      <c r="BV11" s="15" t="s">
        <v>2258</v>
      </c>
      <c r="BW11" s="9">
        <v>8</v>
      </c>
      <c r="BX11" s="9">
        <v>4</v>
      </c>
      <c r="BY11" s="13">
        <v>1.8973665961010275</v>
      </c>
      <c r="BZ11" s="13">
        <v>-0.63245553203367588</v>
      </c>
      <c r="CA11" s="12">
        <f>IF(B11="","",IF(A11&lt;8,"",_xlfn.LET(_xlpm.n,A11,_xlpm.k,G11,_xlpm.R,AP11,_xlpm.mu,1+2*_xlpm.k*(_xlpm.n-_xlpm.k)/_xlpm.n,_xlpm.v,2*_xlpm.k*(_xlpm.n-_xlpm.k)*(2*_xlpm.k*(_xlpm.n-_xlpm.k)-_xlpm.n)/(_xlpm.n^2*(_xlpm.n-1)),IF(_xlpm.v&lt;=0,"",(_xlpm.R-_xlpm.mu)/SQRT(_xlpm.v)))))</f>
        <v>-0.22613350843332292</v>
      </c>
      <c r="CB11" s="37" cm="1">
        <f t="array" ref="CB11">IF(B11="","",IF(A11&lt;8,"",_xlfn.LET(_xlpm.b,--MID(C11,_xlfn.SEQUENCE(A11-1),1),_xlpm.c,--MID(C11,_xlfn.SEQUENCE(A11-1,,2),1),IFERROR(CORREL(_xlpm.b,_xlpm.c),""))))</f>
        <v>-0.1889822365046136</v>
      </c>
      <c r="CC11" s="8">
        <f>IF(B11="","",LOG(A11,2))</f>
        <v>3.3219280948873626</v>
      </c>
      <c r="CD11" s="8">
        <f>IF(B11="","",MAX(AN11,AO11)-CC11)</f>
        <v>3.6780719051126374</v>
      </c>
      <c r="CE11" s="8" t="str" cm="1">
        <f t="array" ref="CE11">IF(B11="","",IF(LEN(B11)&lt;16,"",_xlfn.LET(_xlpm.d,MID("0123456789abcdef",_xlfn.SEQUENCE(16),1),_xlpm.c,LEN(B11)-LEN(SUBSTITUTE(B11,_xlpm.d,"")),_xlpm.ex,LEN(B11)/16,SUM((_xlpm.c-_xlpm.ex)^2/_xlpm.ex))))</f>
        <v/>
      </c>
      <c r="CF11" s="37" t="str">
        <f>IF(CE11="","",_xlfn.CHISQ.DIST.RT(CE11,15))</f>
        <v/>
      </c>
      <c r="CG11" s="9" cm="1">
        <f t="array" ref="CG11">IF(OR(B11="",B10=""),"",_xlfn.LET(_xlpm.a,C11,_xlpm.b,REPT("0",A11-LEN(C10))&amp;C10,_xlpm.m,MID(_xlpm.a,_xlfn.SEQUENCE(A11),1)=MID(_xlpm.b,_xlfn.SEQUENCE(A11),1),IFERROR(MATCH(FALSE,_xlpm.m,0)-1,A11)))</f>
        <v>0</v>
      </c>
      <c r="CH11" s="9" cm="1">
        <f t="array" ref="CH11">IF(OR(B11="",B10=""),"",_xlfn.LET(_xlpm.a,C11,_xlpm.b,REPT("0",A11-LEN(C10))&amp;C10,_xlpm.n,A11,_xlpm.m,MID(_xlpm.a,_xlfn.SEQUENCE(_xlpm.n,,_xlpm.n,-1),1)=MID(_xlpm.b,_xlfn.SEQUENCE(_xlpm.n,,_xlpm.n,-1),1),IFERROR(MATCH(FALSE,_xlpm.m,0)-1,_xlpm.n)))</f>
        <v>0</v>
      </c>
      <c r="CI11" s="38">
        <f>IF(OR(B11="",B10=""),"",F11-F10)</f>
        <v>-0.8203125</v>
      </c>
      <c r="CJ11" s="5" t="b">
        <f>IF(OR(B11="",B10=""),"",IFERROR(FIND(B10,B11)&gt;0,FALSE))</f>
        <v>0</v>
      </c>
      <c r="CK11" s="5" t="b">
        <f>IF(OR(B11="",B10=""),"",IFERROR(FIND(C10,C11)&gt;0,FALSE))</f>
        <v>0</v>
      </c>
      <c r="CL11" s="9" t="str">
        <f>IF(OR(B11="",B10=""),"",IFERROR(FIND(C10,C11),""))</f>
        <v/>
      </c>
      <c r="CM11" s="6" t="str" cm="1">
        <f t="array" ref="CM11">IF(OR(B11="",B10=""),"",_xlfn.LET(_xlpm.pv,D10,_xlpm.ra,BIGSUB(D11,_xlpm.pv),_xlpm.rb,BIGSUB(_xlpm.ra,_xlpm.pv),_xlpm.rc,BIGSUB(_xlpm.rb,_xlpm.pv),IF(LEFT(_xlpm.rb,1)="-",_xlpm.ra,IF(LEFT(_xlpm.rc,1)="-",_xlpm.rb,_xlpm.rc))))</f>
        <v>47</v>
      </c>
      <c r="CN11" s="38">
        <f>IF(B11="","",F11-0.5)</f>
        <v>-0.49609375</v>
      </c>
      <c r="CO11" s="15" t="str" cm="1">
        <f t="array" ref="CO11">IF(B11="","",_xlfn.TEXTJOIN("",,MID(B11,_xlfn.SEQUENCE(LEN(B11),,LEN(B11),-1),1)))</f>
        <v>202</v>
      </c>
      <c r="CP11" s="6" t="str" cm="1">
        <f t="array" ref="CP11">IF(B11="","",BASE2DEC(CO11,16))</f>
        <v>514</v>
      </c>
      <c r="CQ11" s="5">
        <f>IF(B11="","",IF(AND(LEN(B11)&lt;16,LEN(B11)=LEN(SUBSTITUTE(SUBSTITUTE(SUBSTITUTE(SUBSTITUTE(SUBSTITUTE(SUBSTITUTE(B11,"a",""),"b",""),"c",""),"d",""),"e",""),"f",""))),--B11,""))</f>
        <v>202</v>
      </c>
      <c r="CR11" s="6" t="str" cm="1">
        <f t="array" ref="CR11">IF(B11="","",IF(LEN(D11)&lt;=15,BASE2DEC(D11,16),""))</f>
        <v>1300</v>
      </c>
      <c r="CS11" s="15" t="str" cm="1">
        <f t="array" ref="CS11">IF(B11="","",_xlfn.LET(_xlpm.p,REPT("0",MOD(-LEN(B11),4))&amp;B11,_xlfn.TEXTJOIN(" ",,MID(_xlpm.p,_xlfn.SEQUENCE(LEN(_xlpm.p)/4,,1,4),4))))</f>
        <v>0202</v>
      </c>
      <c r="CT11" s="15" t="str" cm="1">
        <f t="array" ref="CT11">IF(B11="","",UPPER(_xlfn.LET(_xlpm.p,REPT("0",64-LEN(B11))&amp;B11,_xlfn.TEXTJOIN(" ",,MID(_xlpm.p,_xlfn.SEQUENCE(8,,1,8),8)))))</f>
        <v>00000000 00000000 00000000 00000000 00000000 00000000 00000000 00000202</v>
      </c>
      <c r="CU11" s="6" t="str" cm="1">
        <f t="array" ref="CU11">IF(B11="","",IF(LEN(D11)&lt;=6,_xlfn.LET(_xlpm.n,VALUE(D11)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five hundred fourteen</v>
      </c>
      <c r="CV11" s="39" t="s">
        <v>4444</v>
      </c>
      <c r="CW11" s="39" t="s">
        <v>1895</v>
      </c>
      <c r="CX11" s="39" t="s">
        <v>1895</v>
      </c>
      <c r="CY11" s="7" t="s">
        <v>4470</v>
      </c>
      <c r="CZ11" s="39" t="s">
        <v>4444</v>
      </c>
      <c r="DA11" s="39" t="s">
        <v>4444</v>
      </c>
      <c r="DB11" s="39">
        <v>9</v>
      </c>
      <c r="DC11" s="7" t="s">
        <v>4471</v>
      </c>
      <c r="DD11" s="7" t="s">
        <v>4472</v>
      </c>
      <c r="DE11" s="7" t="s">
        <v>2179</v>
      </c>
      <c r="DF11" s="7" t="s">
        <v>4473</v>
      </c>
      <c r="DG11" s="7" t="s">
        <v>2133</v>
      </c>
      <c r="DH11" s="39" t="s">
        <v>4452</v>
      </c>
      <c r="DI11" s="7" t="s">
        <v>5013</v>
      </c>
      <c r="DJ11" s="7" t="s">
        <v>5014</v>
      </c>
      <c r="DK11" s="7" t="s">
        <v>5015</v>
      </c>
      <c r="DL11" s="7" t="s">
        <v>5016</v>
      </c>
      <c r="DM11" s="7" t="s">
        <v>5017</v>
      </c>
      <c r="DN11" s="7" t="s">
        <v>5018</v>
      </c>
      <c r="DO11" s="7" t="s">
        <v>5019</v>
      </c>
      <c r="DP11" s="7" t="s">
        <v>5020</v>
      </c>
      <c r="DQ11" s="7" t="s">
        <v>5021</v>
      </c>
      <c r="DR11" s="7" t="s">
        <v>5022</v>
      </c>
      <c r="DS11" s="7" t="s">
        <v>5764</v>
      </c>
      <c r="DT11" s="15" t="str" cm="1">
        <f t="array" ref="DT11">IF(B11="","",_xlfn.TEXTJOIN("",,HEX2BIN(MID(BQ11,_xlfn.SEQUENCE(40),1),4)))</f>
        <v>0000100011010011010110101010111001111101010011100000110111000000111000111110010000010111100000111010110111000011000111100000010101011011111101110010110001100000</v>
      </c>
    </row>
    <row r="12" spans="1:124" x14ac:dyDescent="0.25">
      <c r="A12" s="9">
        <v>11</v>
      </c>
      <c r="B12" s="15" t="s">
        <v>2259</v>
      </c>
      <c r="C12" s="15" t="s">
        <v>2260</v>
      </c>
      <c r="D12" s="6" t="s">
        <v>2261</v>
      </c>
      <c r="E12" s="6" t="s">
        <v>2262</v>
      </c>
      <c r="F12" s="10">
        <v>0.1279296875</v>
      </c>
      <c r="G12" s="9">
        <v>4</v>
      </c>
      <c r="H12" s="9">
        <v>0</v>
      </c>
      <c r="I12" s="15" t="s">
        <v>2263</v>
      </c>
      <c r="J12" s="9">
        <v>4</v>
      </c>
      <c r="K12" s="15" t="s">
        <v>2264</v>
      </c>
      <c r="L12" s="15" t="s">
        <v>2265</v>
      </c>
      <c r="M12" s="15" t="s">
        <v>2266</v>
      </c>
      <c r="N12" s="15" t="s">
        <v>2267</v>
      </c>
      <c r="O12" s="6" t="s">
        <v>2268</v>
      </c>
      <c r="P12" s="15" t="s">
        <v>2269</v>
      </c>
      <c r="Q12" s="15" t="s">
        <v>2270</v>
      </c>
      <c r="R12" s="6" t="s">
        <v>2271</v>
      </c>
      <c r="S12" s="15" t="s">
        <v>2272</v>
      </c>
      <c r="T12" s="11">
        <v>2.2470817120622568</v>
      </c>
      <c r="U12" s="10">
        <v>0.36363636363636365</v>
      </c>
      <c r="V12" s="7" t="s">
        <v>708</v>
      </c>
      <c r="W12" s="7" t="s">
        <v>709</v>
      </c>
      <c r="X12" s="7" t="s">
        <v>710</v>
      </c>
      <c r="Y12" s="15" t="s">
        <v>2273</v>
      </c>
      <c r="Z12" s="9">
        <v>7</v>
      </c>
      <c r="AA12" s="9">
        <v>5</v>
      </c>
      <c r="AB12" s="9">
        <v>76</v>
      </c>
      <c r="AC12" s="13">
        <v>0.90453403373329089</v>
      </c>
      <c r="AD12" s="13">
        <v>-0.30151134457776363</v>
      </c>
      <c r="AE12" s="9">
        <v>4</v>
      </c>
      <c r="AF12" s="9">
        <v>12</v>
      </c>
      <c r="AG12" s="9">
        <v>3</v>
      </c>
      <c r="AH12" s="6" t="s">
        <v>2274</v>
      </c>
      <c r="AI12" s="10">
        <v>10.17367713630342</v>
      </c>
      <c r="AJ12" s="10">
        <v>7.0334230015374501</v>
      </c>
      <c r="AK12" s="15" t="s">
        <v>2275</v>
      </c>
      <c r="AL12" s="15" t="s">
        <v>2276</v>
      </c>
      <c r="AM12" s="15" t="s">
        <v>2277</v>
      </c>
      <c r="AN12" s="9">
        <v>5</v>
      </c>
      <c r="AO12" s="9">
        <v>2</v>
      </c>
      <c r="AP12" s="9">
        <v>5</v>
      </c>
      <c r="AQ12" s="15" t="s">
        <v>2278</v>
      </c>
      <c r="AR12" s="9">
        <v>3</v>
      </c>
      <c r="AS12" s="6" t="s">
        <v>987</v>
      </c>
      <c r="AT12" s="15" t="s">
        <v>2279</v>
      </c>
      <c r="AU12" s="9">
        <v>0</v>
      </c>
      <c r="AV12" s="9">
        <v>0</v>
      </c>
      <c r="AW12" s="9">
        <v>0</v>
      </c>
      <c r="AX12" s="9">
        <v>0</v>
      </c>
      <c r="AY12" s="9">
        <v>131</v>
      </c>
      <c r="AZ12" s="9">
        <v>1155</v>
      </c>
      <c r="BA12" s="6" t="s">
        <v>2280</v>
      </c>
      <c r="BB12" s="6" t="s">
        <v>2281</v>
      </c>
      <c r="BC12" s="6" t="s">
        <v>2282</v>
      </c>
      <c r="BD12" s="15" t="s">
        <v>2283</v>
      </c>
      <c r="BE12" s="15" t="s">
        <v>2284</v>
      </c>
      <c r="BF12" s="15" t="s">
        <v>2285</v>
      </c>
      <c r="BG12" s="15" t="s">
        <v>2061</v>
      </c>
      <c r="BH12" s="6" t="s">
        <v>2286</v>
      </c>
      <c r="BI12" s="17">
        <v>25569.013368055555</v>
      </c>
      <c r="BJ12" s="7" t="s">
        <v>1086</v>
      </c>
      <c r="BK12" s="7" t="s">
        <v>1087</v>
      </c>
      <c r="BL12" s="7" t="s">
        <v>1088</v>
      </c>
      <c r="BM12" s="16" t="s">
        <v>1089</v>
      </c>
      <c r="BN12" s="16" t="s">
        <v>1090</v>
      </c>
      <c r="BO12" s="16" t="s">
        <v>1091</v>
      </c>
      <c r="BP12" s="16" t="s">
        <v>1092</v>
      </c>
      <c r="BQ12" s="16" t="s">
        <v>1093</v>
      </c>
      <c r="BR12" s="7" t="s">
        <v>1094</v>
      </c>
      <c r="BS12" s="7" t="s">
        <v>1095</v>
      </c>
      <c r="BT12" s="7" t="s">
        <v>1096</v>
      </c>
      <c r="BU12" s="14">
        <v>9.9747746811340993E-75</v>
      </c>
      <c r="BV12" s="15" t="s">
        <v>2287</v>
      </c>
      <c r="BW12" s="9">
        <v>2</v>
      </c>
      <c r="BX12" s="9">
        <v>6</v>
      </c>
      <c r="BY12" s="13">
        <v>-2.1105794120443453</v>
      </c>
      <c r="BZ12" s="13">
        <v>0.30151134457776363</v>
      </c>
      <c r="CA12" s="12">
        <f>IF(B12="","",IF(A12&lt;8,"",_xlfn.LET(_xlpm.n,A12,_xlpm.k,G12,_xlpm.R,AP12,_xlpm.mu,1+2*_xlpm.k*(_xlpm.n-_xlpm.k)/_xlpm.n,_xlpm.v,2*_xlpm.k*(_xlpm.n-_xlpm.k)*(2*_xlpm.k*(_xlpm.n-_xlpm.k)-_xlpm.n)/(_xlpm.n^2*(_xlpm.n-1)),IF(_xlpm.v&lt;=0,"",(_xlpm.R-_xlpm.mu)/SQRT(_xlpm.v)))))</f>
        <v>-0.7559289460184544</v>
      </c>
      <c r="CB12" s="37" cm="1">
        <f t="array" ref="CB12">IF(B12="","",IF(A12&lt;8,"",_xlfn.LET(_xlpm.b,--MID(C12,_xlfn.SEQUENCE(A12-1),1),_xlpm.c,--MID(C12,_xlfn.SEQUENCE(A12-1,,2),1),IFERROR(CORREL(_xlpm.b,_xlpm.c),""))))</f>
        <v>4.7619047619047582E-2</v>
      </c>
      <c r="CC12" s="8">
        <f>IF(B12="","",LOG(A12,2))</f>
        <v>3.4594316186372978</v>
      </c>
      <c r="CD12" s="8">
        <f>IF(B12="","",MAX(AN12,AO12)-CC12)</f>
        <v>1.5405683813627022</v>
      </c>
      <c r="CE12" s="8" t="str" cm="1">
        <f t="array" ref="CE12">IF(B12="","",IF(LEN(B12)&lt;16,"",_xlfn.LET(_xlpm.d,MID("0123456789abcdef",_xlfn.SEQUENCE(16),1),_xlpm.c,LEN(B12)-LEN(SUBSTITUTE(B12,_xlpm.d,"")),_xlpm.ex,LEN(B12)/16,SUM((_xlpm.c-_xlpm.ex)^2/_xlpm.ex))))</f>
        <v/>
      </c>
      <c r="CF12" s="37" t="str">
        <f>IF(CE12="","",_xlfn.CHISQ.DIST.RT(CE12,15))</f>
        <v/>
      </c>
      <c r="CG12" s="9" cm="1">
        <f t="array" ref="CG12">IF(OR(B12="",B11=""),"",_xlfn.LET(_xlpm.a,C12,_xlpm.b,REPT("0",A12-LEN(C11))&amp;C11,_xlpm.m,MID(_xlpm.a,_xlfn.SEQUENCE(A12),1)=MID(_xlpm.b,_xlfn.SEQUENCE(A12),1),IFERROR(MATCH(FALSE,_xlpm.m,0)-1,A12)))</f>
        <v>0</v>
      </c>
      <c r="CH12" s="9" cm="1">
        <f t="array" ref="CH12">IF(OR(B12="",B11=""),"",_xlfn.LET(_xlpm.a,C12,_xlpm.b,REPT("0",A12-LEN(C11))&amp;C11,_xlpm.n,A12,_xlpm.m,MID(_xlpm.a,_xlfn.SEQUENCE(_xlpm.n,,_xlpm.n,-1),1)=MID(_xlpm.b,_xlfn.SEQUENCE(_xlpm.n,,_xlpm.n,-1),1),IFERROR(MATCH(FALSE,_xlpm.m,0)-1,_xlpm.n)))</f>
        <v>0</v>
      </c>
      <c r="CI12" s="38">
        <f>IF(OR(B12="",B11=""),"",F12-F11)</f>
        <v>0.1240234375</v>
      </c>
      <c r="CJ12" s="5" t="b">
        <f>IF(OR(B12="",B11=""),"",IFERROR(FIND(B11,B12)&gt;0,FALSE))</f>
        <v>0</v>
      </c>
      <c r="CK12" s="5" t="b">
        <f>IF(OR(B12="",B11=""),"",IFERROR(FIND(C11,C12)&gt;0,FALSE))</f>
        <v>0</v>
      </c>
      <c r="CL12" s="9" t="str">
        <f>IF(OR(B12="",B11=""),"",IFERROR(FIND(C11,C12),""))</f>
        <v/>
      </c>
      <c r="CM12" s="6" t="str" cm="1">
        <f t="array" ref="CM12">IF(OR(B12="",B11=""),"",_xlfn.LET(_xlpm.pv,D11,_xlpm.ra,BIGSUB(D12,_xlpm.pv),_xlpm.rb,BIGSUB(_xlpm.ra,_xlpm.pv),_xlpm.rc,BIGSUB(_xlpm.rb,_xlpm.pv),IF(LEFT(_xlpm.rb,1)="-",_xlpm.ra,IF(LEFT(_xlpm.rc,1)="-",_xlpm.rb,_xlpm.rc))))</f>
        <v>127</v>
      </c>
      <c r="CN12" s="38">
        <f>IF(B12="","",F12-0.5)</f>
        <v>-0.3720703125</v>
      </c>
      <c r="CO12" s="15" t="str" cm="1">
        <f t="array" ref="CO12">IF(B12="","",_xlfn.TEXTJOIN("",,MID(B12,_xlfn.SEQUENCE(LEN(B12),,LEN(B12),-1),1)))</f>
        <v>384</v>
      </c>
      <c r="CP12" s="6" t="str" cm="1">
        <f t="array" ref="CP12">IF(B12="","",BASE2DEC(CO12,16))</f>
        <v>900</v>
      </c>
      <c r="CQ12" s="5">
        <f>IF(B12="","",IF(AND(LEN(B12)&lt;16,LEN(B12)=LEN(SUBSTITUTE(SUBSTITUTE(SUBSTITUTE(SUBSTITUTE(SUBSTITUTE(SUBSTITUTE(B12,"a",""),"b",""),"c",""),"d",""),"e",""),"f",""))),--B12,""))</f>
        <v>483</v>
      </c>
      <c r="CR12" s="6" t="str" cm="1">
        <f t="array" ref="CR12">IF(B12="","",IF(LEN(D12)&lt;=15,BASE2DEC(D12,16),""))</f>
        <v>4437</v>
      </c>
      <c r="CS12" s="15" t="str" cm="1">
        <f t="array" ref="CS12">IF(B12="","",_xlfn.LET(_xlpm.p,REPT("0",MOD(-LEN(B12),4))&amp;B12,_xlfn.TEXTJOIN(" ",,MID(_xlpm.p,_xlfn.SEQUENCE(LEN(_xlpm.p)/4,,1,4),4))))</f>
        <v>0483</v>
      </c>
      <c r="CT12" s="15" t="str" cm="1">
        <f t="array" ref="CT12">IF(B12="","",UPPER(_xlfn.LET(_xlpm.p,REPT("0",64-LEN(B12))&amp;B12,_xlfn.TEXTJOIN(" ",,MID(_xlpm.p,_xlfn.SEQUENCE(8,,1,8),8)))))</f>
        <v>00000000 00000000 00000000 00000000 00000000 00000000 00000000 00000483</v>
      </c>
      <c r="CU12" s="6" t="str" cm="1">
        <f t="array" ref="CU12">IF(B12="","",IF(LEN(D12)&lt;=6,_xlfn.LET(_xlpm.n,VALUE(D12)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one thousand one hundred fifty-five</v>
      </c>
      <c r="CV12" s="39" t="s">
        <v>4444</v>
      </c>
      <c r="CW12" s="39" t="s">
        <v>987</v>
      </c>
      <c r="CX12" s="39" t="s">
        <v>1896</v>
      </c>
      <c r="CY12" s="7" t="s">
        <v>4474</v>
      </c>
      <c r="CZ12" s="39" t="s">
        <v>4444</v>
      </c>
      <c r="DA12" s="39" t="s">
        <v>4444</v>
      </c>
      <c r="DB12" s="39">
        <v>10</v>
      </c>
      <c r="DC12" s="7" t="s">
        <v>4475</v>
      </c>
      <c r="DD12" s="7" t="s">
        <v>4476</v>
      </c>
      <c r="DE12" s="7" t="s">
        <v>4477</v>
      </c>
      <c r="DF12" s="7" t="s">
        <v>4478</v>
      </c>
      <c r="DG12" s="7" t="s">
        <v>2103</v>
      </c>
      <c r="DH12" s="39" t="s">
        <v>4448</v>
      </c>
      <c r="DI12" s="7" t="s">
        <v>5023</v>
      </c>
      <c r="DJ12" s="7" t="s">
        <v>5024</v>
      </c>
      <c r="DK12" s="7" t="s">
        <v>5025</v>
      </c>
      <c r="DL12" s="7" t="s">
        <v>5026</v>
      </c>
      <c r="DM12" s="7" t="s">
        <v>5027</v>
      </c>
      <c r="DN12" s="7" t="s">
        <v>5028</v>
      </c>
      <c r="DO12" s="7" t="s">
        <v>5029</v>
      </c>
      <c r="DP12" s="7" t="s">
        <v>5030</v>
      </c>
      <c r="DQ12" s="7" t="s">
        <v>5031</v>
      </c>
      <c r="DR12" s="7" t="s">
        <v>5032</v>
      </c>
      <c r="DS12" s="7" t="s">
        <v>5765</v>
      </c>
      <c r="DT12" s="15" t="str" cm="1">
        <f t="array" ref="DT12">IF(B12="","",_xlfn.TEXTJOIN("",,HEX2BIN(MID(BQ12,_xlfn.SEQUENCE(40),1),4)))</f>
        <v>1011101011101101100111010111001100101010101000011010011000101111111011101110001101011011001100001000111101110111111011111011101000011010111101100000011111100111</v>
      </c>
    </row>
    <row r="13" spans="1:124" x14ac:dyDescent="0.25">
      <c r="A13" s="9">
        <v>12</v>
      </c>
      <c r="B13" s="15" t="s">
        <v>2288</v>
      </c>
      <c r="C13" s="15" t="s">
        <v>2289</v>
      </c>
      <c r="D13" s="6" t="s">
        <v>2290</v>
      </c>
      <c r="E13" s="6" t="s">
        <v>2291</v>
      </c>
      <c r="F13" s="10">
        <v>0.31005859375</v>
      </c>
      <c r="G13" s="9">
        <v>8</v>
      </c>
      <c r="H13" s="9">
        <v>0</v>
      </c>
      <c r="I13" s="15" t="s">
        <v>2292</v>
      </c>
      <c r="J13" s="9">
        <v>8</v>
      </c>
      <c r="K13" s="15" t="s">
        <v>2293</v>
      </c>
      <c r="L13" s="15" t="s">
        <v>2294</v>
      </c>
      <c r="M13" s="15" t="s">
        <v>2295</v>
      </c>
      <c r="N13" s="15" t="s">
        <v>2296</v>
      </c>
      <c r="O13" s="6" t="s">
        <v>2297</v>
      </c>
      <c r="P13" s="15" t="s">
        <v>2298</v>
      </c>
      <c r="Q13" s="15" t="s">
        <v>2299</v>
      </c>
      <c r="R13" s="6" t="s">
        <v>2300</v>
      </c>
      <c r="S13" s="15" t="s">
        <v>2301</v>
      </c>
      <c r="T13" s="11">
        <v>2.3229437229437231</v>
      </c>
      <c r="U13" s="10">
        <v>0.66666666666666663</v>
      </c>
      <c r="V13" s="7" t="s">
        <v>711</v>
      </c>
      <c r="W13" s="7" t="s">
        <v>712</v>
      </c>
      <c r="X13" s="7" t="s">
        <v>713</v>
      </c>
      <c r="Y13" s="15" t="s">
        <v>2302</v>
      </c>
      <c r="Z13" s="9">
        <v>4</v>
      </c>
      <c r="AA13" s="9">
        <v>3</v>
      </c>
      <c r="AB13" s="9">
        <v>76</v>
      </c>
      <c r="AC13" s="13">
        <v>-1.1547005383792517</v>
      </c>
      <c r="AD13" s="13">
        <v>-1.7320508075688774</v>
      </c>
      <c r="AE13" s="9">
        <v>4</v>
      </c>
      <c r="AF13" s="9">
        <v>19</v>
      </c>
      <c r="AG13" s="9">
        <v>1</v>
      </c>
      <c r="AH13" s="6" t="s">
        <v>2303</v>
      </c>
      <c r="AI13" s="10">
        <v>11.389631339260522</v>
      </c>
      <c r="AJ13" s="10">
        <v>9.310612781659529</v>
      </c>
      <c r="AK13" s="15" t="s">
        <v>2304</v>
      </c>
      <c r="AL13" s="15" t="s">
        <v>2305</v>
      </c>
      <c r="AM13" s="15" t="s">
        <v>2306</v>
      </c>
      <c r="AN13" s="9">
        <v>2</v>
      </c>
      <c r="AO13" s="9">
        <v>4</v>
      </c>
      <c r="AP13" s="9">
        <v>7</v>
      </c>
      <c r="AQ13" s="15" t="s">
        <v>2307</v>
      </c>
      <c r="AR13" s="9">
        <v>3</v>
      </c>
      <c r="AS13" s="6" t="s">
        <v>998</v>
      </c>
      <c r="AT13" s="15" t="s">
        <v>2308</v>
      </c>
      <c r="AU13" s="9">
        <v>1</v>
      </c>
      <c r="AV13" s="9">
        <v>3</v>
      </c>
      <c r="AW13" s="9">
        <v>2</v>
      </c>
      <c r="AX13" s="9">
        <v>10</v>
      </c>
      <c r="AY13" s="9">
        <v>123</v>
      </c>
      <c r="AZ13" s="9">
        <v>2683</v>
      </c>
      <c r="BA13" s="6" t="s">
        <v>2309</v>
      </c>
      <c r="BB13" s="6" t="s">
        <v>2310</v>
      </c>
      <c r="BC13" s="6" t="s">
        <v>2311</v>
      </c>
      <c r="BD13" s="15" t="s">
        <v>2312</v>
      </c>
      <c r="BE13" s="15" t="s">
        <v>2313</v>
      </c>
      <c r="BF13" s="15" t="s">
        <v>2314</v>
      </c>
      <c r="BG13" s="15" t="s">
        <v>2315</v>
      </c>
      <c r="BH13" s="6" t="s">
        <v>2316</v>
      </c>
      <c r="BI13" s="17">
        <v>25569.031053240742</v>
      </c>
      <c r="BJ13" s="7" t="s">
        <v>1097</v>
      </c>
      <c r="BK13" s="7" t="s">
        <v>1098</v>
      </c>
      <c r="BL13" s="7" t="s">
        <v>1099</v>
      </c>
      <c r="BM13" s="16" t="s">
        <v>1100</v>
      </c>
      <c r="BN13" s="16" t="s">
        <v>1101</v>
      </c>
      <c r="BO13" s="16" t="s">
        <v>1102</v>
      </c>
      <c r="BP13" s="16" t="s">
        <v>1103</v>
      </c>
      <c r="BQ13" s="16" t="s">
        <v>1104</v>
      </c>
      <c r="BR13" s="7" t="s">
        <v>1105</v>
      </c>
      <c r="BS13" s="7" t="s">
        <v>1106</v>
      </c>
      <c r="BT13" s="7" t="s">
        <v>1107</v>
      </c>
      <c r="BU13" s="14">
        <v>2.3170840233318434E-74</v>
      </c>
      <c r="BV13" s="15" t="s">
        <v>2317</v>
      </c>
      <c r="BW13" s="9">
        <v>6</v>
      </c>
      <c r="BX13" s="9">
        <v>6</v>
      </c>
      <c r="BY13" s="13">
        <v>0</v>
      </c>
      <c r="BZ13" s="13">
        <v>0</v>
      </c>
      <c r="CA13" s="12">
        <f>IF(B13="","",IF(A13&lt;8,"",_xlfn.LET(_xlpm.n,A13,_xlpm.k,G13,_xlpm.R,AP13,_xlpm.mu,1+2*_xlpm.k*(_xlpm.n-_xlpm.k)/_xlpm.n,_xlpm.v,2*_xlpm.k*(_xlpm.n-_xlpm.k)*(2*_xlpm.k*(_xlpm.n-_xlpm.k)-_xlpm.n)/(_xlpm.n^2*(_xlpm.n-1)),IF(_xlpm.v&lt;=0,"",(_xlpm.R-_xlpm.mu)/SQRT(_xlpm.v)))))</f>
        <v>0.4599331055039001</v>
      </c>
      <c r="CB13" s="37" cm="1">
        <f t="array" ref="CB13">IF(B13="","",IF(A13&lt;8,"",_xlfn.LET(_xlpm.b,--MID(C13,_xlfn.SEQUENCE(A13-1),1),_xlpm.c,--MID(C13,_xlfn.SEQUENCE(A13-1,,2),1),IFERROR(CORREL(_xlpm.b,_xlpm.c),""))))</f>
        <v>-0.17857142857142858</v>
      </c>
      <c r="CC13" s="8">
        <f>IF(B13="","",LOG(A13,2))</f>
        <v>3.5849625007211565</v>
      </c>
      <c r="CD13" s="8">
        <f>IF(B13="","",MAX(AN13,AO13)-CC13)</f>
        <v>0.41503749927884348</v>
      </c>
      <c r="CE13" s="8" t="str" cm="1">
        <f t="array" ref="CE13">IF(B13="","",IF(LEN(B13)&lt;16,"",_xlfn.LET(_xlpm.d,MID("0123456789abcdef",_xlfn.SEQUENCE(16),1),_xlpm.c,LEN(B13)-LEN(SUBSTITUTE(B13,_xlpm.d,"")),_xlpm.ex,LEN(B13)/16,SUM((_xlpm.c-_xlpm.ex)^2/_xlpm.ex))))</f>
        <v/>
      </c>
      <c r="CF13" s="37" t="str">
        <f>IF(CE13="","",_xlfn.CHISQ.DIST.RT(CE13,15))</f>
        <v/>
      </c>
      <c r="CG13" s="9" cm="1">
        <f t="array" ref="CG13">IF(OR(B13="",B12=""),"",_xlfn.LET(_xlpm.a,C13,_xlpm.b,REPT("0",A13-LEN(C12))&amp;C12,_xlpm.m,MID(_xlpm.a,_xlfn.SEQUENCE(A13),1)=MID(_xlpm.b,_xlfn.SEQUENCE(A13),1),IFERROR(MATCH(FALSE,_xlpm.m,0)-1,A13)))</f>
        <v>0</v>
      </c>
      <c r="CH13" s="9" cm="1">
        <f t="array" ref="CH13">IF(OR(B13="",B12=""),"",_xlfn.LET(_xlpm.a,C13,_xlpm.b,REPT("0",A13-LEN(C12))&amp;C12,_xlpm.n,A13,_xlpm.m,MID(_xlpm.a,_xlfn.SEQUENCE(_xlpm.n,,_xlpm.n,-1),1)=MID(_xlpm.b,_xlfn.SEQUENCE(_xlpm.n,,_xlpm.n,-1),1),IFERROR(MATCH(FALSE,_xlpm.m,0)-1,_xlpm.n)))</f>
        <v>3</v>
      </c>
      <c r="CI13" s="38">
        <f>IF(OR(B13="",B12=""),"",F13-F12)</f>
        <v>0.18212890625</v>
      </c>
      <c r="CJ13" s="5" t="b">
        <f>IF(OR(B13="",B12=""),"",IFERROR(FIND(B12,B13)&gt;0,FALSE))</f>
        <v>0</v>
      </c>
      <c r="CK13" s="5" t="b">
        <f>IF(OR(B13="",B12=""),"",IFERROR(FIND(C12,C13)&gt;0,FALSE))</f>
        <v>0</v>
      </c>
      <c r="CL13" s="9" t="str">
        <f>IF(OR(B13="",B12=""),"",IFERROR(FIND(C12,C13),""))</f>
        <v/>
      </c>
      <c r="CM13" s="6" t="str" cm="1">
        <f t="array" ref="CM13">IF(OR(B13="",B12=""),"",_xlfn.LET(_xlpm.pv,D12,_xlpm.ra,BIGSUB(D13,_xlpm.pv),_xlpm.rb,BIGSUB(_xlpm.ra,_xlpm.pv),_xlpm.rc,BIGSUB(_xlpm.rb,_xlpm.pv),IF(LEFT(_xlpm.rb,1)="-",_xlpm.ra,IF(LEFT(_xlpm.rc,1)="-",_xlpm.rb,_xlpm.rc))))</f>
        <v>373</v>
      </c>
      <c r="CN13" s="38">
        <f>IF(B13="","",F13-0.5)</f>
        <v>-0.18994140625</v>
      </c>
      <c r="CO13" s="15" t="str" cm="1">
        <f t="array" ref="CO13">IF(B13="","",_xlfn.TEXTJOIN("",,MID(B13,_xlfn.SEQUENCE(LEN(B13),,LEN(B13),-1),1)))</f>
        <v>b7a</v>
      </c>
      <c r="CP13" s="6" t="str" cm="1">
        <f t="array" ref="CP13">IF(B13="","",BASE2DEC(CO13,16))</f>
        <v>2938</v>
      </c>
      <c r="CQ13" s="5" t="str">
        <f>IF(B13="","",IF(AND(LEN(B13)&lt;16,LEN(B13)=LEN(SUBSTITUTE(SUBSTITUTE(SUBSTITUTE(SUBSTITUTE(SUBSTITUTE(SUBSTITUTE(B13,"a",""),"b",""),"c",""),"d",""),"e",""),"f",""))),--B13,""))</f>
        <v/>
      </c>
      <c r="CR13" s="6" t="str" cm="1">
        <f t="array" ref="CR13">IF(B13="","",IF(LEN(D13)&lt;=15,BASE2DEC(D13,16),""))</f>
        <v>9859</v>
      </c>
      <c r="CS13" s="15" t="str" cm="1">
        <f t="array" ref="CS13">IF(B13="","",_xlfn.LET(_xlpm.p,REPT("0",MOD(-LEN(B13),4))&amp;B13,_xlfn.TEXTJOIN(" ",,MID(_xlpm.p,_xlfn.SEQUENCE(LEN(_xlpm.p)/4,,1,4),4))))</f>
        <v>0a7b</v>
      </c>
      <c r="CT13" s="15" t="str" cm="1">
        <f t="array" ref="CT13">IF(B13="","",UPPER(_xlfn.LET(_xlpm.p,REPT("0",64-LEN(B13))&amp;B13,_xlfn.TEXTJOIN(" ",,MID(_xlpm.p,_xlfn.SEQUENCE(8,,1,8),8)))))</f>
        <v>00000000 00000000 00000000 00000000 00000000 00000000 00000000 00000A7B</v>
      </c>
      <c r="CU13" s="6" t="str" cm="1">
        <f t="array" ref="CU13">IF(B13="","",IF(LEN(D13)&lt;=6,_xlfn.LET(_xlpm.n,VALUE(D13)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two thousand six hundred eighty-three</v>
      </c>
      <c r="CV13" s="39" t="s">
        <v>4446</v>
      </c>
      <c r="CW13" s="39" t="s">
        <v>2290</v>
      </c>
      <c r="CX13" s="39" t="s">
        <v>976</v>
      </c>
      <c r="CY13" s="7" t="s">
        <v>2290</v>
      </c>
      <c r="CZ13" s="39" t="s">
        <v>4444</v>
      </c>
      <c r="DA13" s="39" t="s">
        <v>4444</v>
      </c>
      <c r="DB13" s="39">
        <v>11</v>
      </c>
      <c r="DC13" s="7" t="s">
        <v>4479</v>
      </c>
      <c r="DD13" s="7" t="s">
        <v>4480</v>
      </c>
      <c r="DE13" s="7" t="s">
        <v>4481</v>
      </c>
      <c r="DF13" s="7" t="s">
        <v>4482</v>
      </c>
      <c r="DG13" s="7" t="s">
        <v>4483</v>
      </c>
      <c r="DH13" s="39" t="s">
        <v>4448</v>
      </c>
      <c r="DI13" s="7" t="s">
        <v>5033</v>
      </c>
      <c r="DJ13" s="7" t="s">
        <v>5034</v>
      </c>
      <c r="DK13" s="7" t="s">
        <v>5035</v>
      </c>
      <c r="DL13" s="7" t="s">
        <v>5036</v>
      </c>
      <c r="DM13" s="7" t="s">
        <v>5037</v>
      </c>
      <c r="DN13" s="7" t="s">
        <v>5038</v>
      </c>
      <c r="DO13" s="7" t="s">
        <v>5039</v>
      </c>
      <c r="DP13" s="7" t="s">
        <v>5040</v>
      </c>
      <c r="DQ13" s="7" t="s">
        <v>5041</v>
      </c>
      <c r="DR13" s="7" t="s">
        <v>5042</v>
      </c>
      <c r="DS13" s="7" t="s">
        <v>5766</v>
      </c>
      <c r="DT13" s="15" t="str" cm="1">
        <f t="array" ref="DT13">IF(B13="","",_xlfn.TEXTJOIN("",,HEX2BIN(MID(BQ13,_xlfn.SEQUENCE(40),1),4)))</f>
        <v>0110100001000011000000000111010111101011110101110110100100111001010000010001011011011101110101101100100100111011110001000000100000101011100110101111000111100111</v>
      </c>
    </row>
    <row r="14" spans="1:124" x14ac:dyDescent="0.25">
      <c r="A14" s="9">
        <v>13</v>
      </c>
      <c r="B14" s="15" t="s">
        <v>2318</v>
      </c>
      <c r="C14" s="15" t="s">
        <v>2319</v>
      </c>
      <c r="D14" s="6" t="s">
        <v>2320</v>
      </c>
      <c r="E14" s="6" t="s">
        <v>2321</v>
      </c>
      <c r="F14" s="10">
        <v>0.2734375</v>
      </c>
      <c r="G14" s="9">
        <v>4</v>
      </c>
      <c r="H14" s="9">
        <v>5</v>
      </c>
      <c r="I14" s="15" t="s">
        <v>2322</v>
      </c>
      <c r="J14" s="9">
        <v>8</v>
      </c>
      <c r="K14" s="15" t="s">
        <v>2323</v>
      </c>
      <c r="L14" s="15" t="s">
        <v>2324</v>
      </c>
      <c r="M14" s="15" t="s">
        <v>2325</v>
      </c>
      <c r="N14" s="15" t="s">
        <v>2326</v>
      </c>
      <c r="O14" s="6" t="s">
        <v>2327</v>
      </c>
      <c r="P14" s="15" t="s">
        <v>2328</v>
      </c>
      <c r="Q14" s="15" t="s">
        <v>2329</v>
      </c>
      <c r="R14" s="6" t="s">
        <v>2330</v>
      </c>
      <c r="S14" s="15" t="s">
        <v>2331</v>
      </c>
      <c r="T14" s="11">
        <v>1.9440924338427135</v>
      </c>
      <c r="U14" s="10">
        <v>0.30769230769230771</v>
      </c>
      <c r="V14" s="7" t="s">
        <v>714</v>
      </c>
      <c r="W14" s="7" t="s">
        <v>715</v>
      </c>
      <c r="X14" s="7" t="s">
        <v>716</v>
      </c>
      <c r="Y14" s="15" t="s">
        <v>2332</v>
      </c>
      <c r="Z14" s="9">
        <v>8</v>
      </c>
      <c r="AA14" s="9">
        <v>6</v>
      </c>
      <c r="AB14" s="9">
        <v>80</v>
      </c>
      <c r="AC14" s="13">
        <v>0.83205029433784372</v>
      </c>
      <c r="AD14" s="13">
        <v>-0.27735009811261457</v>
      </c>
      <c r="AE14" s="9">
        <v>4</v>
      </c>
      <c r="AF14" s="9">
        <v>14</v>
      </c>
      <c r="AG14" s="9">
        <v>5</v>
      </c>
      <c r="AH14" s="6" t="s">
        <v>2333</v>
      </c>
      <c r="AI14" s="10">
        <v>12.348728154231077</v>
      </c>
      <c r="AJ14" s="10">
        <v>10.129283016944967</v>
      </c>
      <c r="AK14" s="15" t="s">
        <v>2334</v>
      </c>
      <c r="AL14" s="15" t="s">
        <v>2335</v>
      </c>
      <c r="AM14" s="15" t="s">
        <v>2336</v>
      </c>
      <c r="AN14" s="9">
        <v>5</v>
      </c>
      <c r="AO14" s="9">
        <v>2</v>
      </c>
      <c r="AP14" s="9">
        <v>6</v>
      </c>
      <c r="AQ14" s="15" t="s">
        <v>2337</v>
      </c>
      <c r="AR14" s="9">
        <v>4</v>
      </c>
      <c r="AS14" s="6" t="s">
        <v>2054</v>
      </c>
      <c r="AT14" s="15" t="s">
        <v>2338</v>
      </c>
      <c r="AU14" s="9">
        <v>2</v>
      </c>
      <c r="AV14" s="9">
        <v>1</v>
      </c>
      <c r="AW14" s="9">
        <v>1</v>
      </c>
      <c r="AX14" s="9">
        <v>2</v>
      </c>
      <c r="AY14" s="9">
        <v>96</v>
      </c>
      <c r="AZ14" s="9">
        <v>5216</v>
      </c>
      <c r="BA14" s="6" t="s">
        <v>2339</v>
      </c>
      <c r="BB14" s="6" t="s">
        <v>2340</v>
      </c>
      <c r="BC14" s="6" t="s">
        <v>2341</v>
      </c>
      <c r="BD14" s="15" t="s">
        <v>2342</v>
      </c>
      <c r="BE14" s="15" t="s">
        <v>2343</v>
      </c>
      <c r="BF14" s="15" t="s">
        <v>2344</v>
      </c>
      <c r="BG14" s="15" t="s">
        <v>2345</v>
      </c>
      <c r="BH14" s="6" t="s">
        <v>2346</v>
      </c>
      <c r="BI14" s="17">
        <v>25569.060370370371</v>
      </c>
      <c r="BJ14" s="7" t="s">
        <v>1108</v>
      </c>
      <c r="BK14" s="7" t="s">
        <v>1109</v>
      </c>
      <c r="BL14" s="7" t="s">
        <v>1110</v>
      </c>
      <c r="BM14" s="16" t="s">
        <v>1111</v>
      </c>
      <c r="BN14" s="16" t="s">
        <v>1112</v>
      </c>
      <c r="BO14" s="16" t="s">
        <v>1113</v>
      </c>
      <c r="BP14" s="16" t="s">
        <v>1114</v>
      </c>
      <c r="BQ14" s="16" t="s">
        <v>1115</v>
      </c>
      <c r="BR14" s="7" t="s">
        <v>1116</v>
      </c>
      <c r="BS14" s="7" t="s">
        <v>1117</v>
      </c>
      <c r="BT14" s="7" t="s">
        <v>1118</v>
      </c>
      <c r="BU14" s="14">
        <v>4.5046255183372702E-74</v>
      </c>
      <c r="BV14" s="15" t="s">
        <v>2347</v>
      </c>
      <c r="BW14" s="9">
        <v>9</v>
      </c>
      <c r="BX14" s="9">
        <v>6</v>
      </c>
      <c r="BY14" s="13">
        <v>1.386750490563073</v>
      </c>
      <c r="BZ14" s="13">
        <v>-0.27735009811261457</v>
      </c>
      <c r="CA14" s="12">
        <f>IF(B14="","",IF(A14&lt;8,"",_xlfn.LET(_xlpm.n,A14,_xlpm.k,G14,_xlpm.R,AP14,_xlpm.mu,1+2*_xlpm.k*(_xlpm.n-_xlpm.k)/_xlpm.n,_xlpm.v,2*_xlpm.k*(_xlpm.n-_xlpm.k)*(2*_xlpm.k*(_xlpm.n-_xlpm.k)-_xlpm.n)/(_xlpm.n^2*(_xlpm.n-1)),IF(_xlpm.v&lt;=0,"",(_xlpm.R-_xlpm.mu)/SQRT(_xlpm.v)))))</f>
        <v>-0.3720458024169136</v>
      </c>
      <c r="CB14" s="37" cm="1">
        <f t="array" ref="CB14">IF(B14="","",IF(A14&lt;8,"",_xlfn.LET(_xlpm.b,--MID(C14,_xlfn.SEQUENCE(A14-1),1),_xlpm.c,--MID(C14,_xlfn.SEQUENCE(A14-1,,2),1),IFERROR(CORREL(_xlpm.b,_xlpm.c),""))))</f>
        <v>-5.6655831479604934E-17</v>
      </c>
      <c r="CC14" s="8">
        <f>IF(B14="","",LOG(A14,2))</f>
        <v>3.7004397181410922</v>
      </c>
      <c r="CD14" s="8">
        <f>IF(B14="","",MAX(AN14,AO14)-CC14)</f>
        <v>1.2995602818589078</v>
      </c>
      <c r="CE14" s="8" t="str" cm="1">
        <f t="array" ref="CE14">IF(B14="","",IF(LEN(B14)&lt;16,"",_xlfn.LET(_xlpm.d,MID("0123456789abcdef",_xlfn.SEQUENCE(16),1),_xlpm.c,LEN(B14)-LEN(SUBSTITUTE(B14,_xlpm.d,"")),_xlpm.ex,LEN(B14)/16,SUM((_xlpm.c-_xlpm.ex)^2/_xlpm.ex))))</f>
        <v/>
      </c>
      <c r="CF14" s="37" t="str">
        <f>IF(CE14="","",_xlfn.CHISQ.DIST.RT(CE14,15))</f>
        <v/>
      </c>
      <c r="CG14" s="9" cm="1">
        <f t="array" ref="CG14">IF(OR(B14="",B13=""),"",_xlfn.LET(_xlpm.a,C14,_xlpm.b,REPT("0",A14-LEN(C13))&amp;C13,_xlpm.m,MID(_xlpm.a,_xlfn.SEQUENCE(A14),1)=MID(_xlpm.b,_xlfn.SEQUENCE(A14),1),IFERROR(MATCH(FALSE,_xlpm.m,0)-1,A14)))</f>
        <v>0</v>
      </c>
      <c r="CH14" s="9" cm="1">
        <f t="array" ref="CH14">IF(OR(B14="",B13=""),"",_xlfn.LET(_xlpm.a,C14,_xlpm.b,REPT("0",A14-LEN(C13))&amp;C13,_xlpm.n,A14,_xlpm.m,MID(_xlpm.a,_xlfn.SEQUENCE(_xlpm.n,,_xlpm.n,-1),1)=MID(_xlpm.b,_xlfn.SEQUENCE(_xlpm.n,,_xlpm.n,-1),1),IFERROR(MATCH(FALSE,_xlpm.m,0)-1,_xlpm.n)))</f>
        <v>0</v>
      </c>
      <c r="CI14" s="38">
        <f>IF(OR(B14="",B13=""),"",F14-F13)</f>
        <v>-3.662109375E-2</v>
      </c>
      <c r="CJ14" s="5" t="b">
        <f>IF(OR(B14="",B13=""),"",IFERROR(FIND(B13,B14)&gt;0,FALSE))</f>
        <v>0</v>
      </c>
      <c r="CK14" s="5" t="b">
        <f>IF(OR(B14="",B13=""),"",IFERROR(FIND(C13,C14)&gt;0,FALSE))</f>
        <v>0</v>
      </c>
      <c r="CL14" s="9" t="str">
        <f>IF(OR(B14="",B13=""),"",IFERROR(FIND(C13,C14),""))</f>
        <v/>
      </c>
      <c r="CM14" s="6" t="str" cm="1">
        <f t="array" ref="CM14">IF(OR(B14="",B13=""),"",_xlfn.LET(_xlpm.pv,D13,_xlpm.ra,BIGSUB(D14,_xlpm.pv),_xlpm.rb,BIGSUB(_xlpm.ra,_xlpm.pv),_xlpm.rc,BIGSUB(_xlpm.rb,_xlpm.pv),IF(LEFT(_xlpm.rb,1)="-",_xlpm.ra,IF(LEFT(_xlpm.rc,1)="-",_xlpm.rb,_xlpm.rc))))</f>
        <v>2533</v>
      </c>
      <c r="CN14" s="38">
        <f>IF(B14="","",F14-0.5)</f>
        <v>-0.2265625</v>
      </c>
      <c r="CO14" s="15" t="str" cm="1">
        <f t="array" ref="CO14">IF(B14="","",_xlfn.TEXTJOIN("",,MID(B14,_xlfn.SEQUENCE(LEN(B14),,LEN(B14),-1),1)))</f>
        <v>0641</v>
      </c>
      <c r="CP14" s="6" t="str" cm="1">
        <f t="array" ref="CP14">IF(B14="","",BASE2DEC(CO14,16))</f>
        <v>1601</v>
      </c>
      <c r="CQ14" s="5">
        <f>IF(B14="","",IF(AND(LEN(B14)&lt;16,LEN(B14)=LEN(SUBSTITUTE(SUBSTITUTE(SUBSTITUTE(SUBSTITUTE(SUBSTITUTE(SUBSTITUTE(B14,"a",""),"b",""),"c",""),"d",""),"e",""),"f",""))),--B14,""))</f>
        <v>1460</v>
      </c>
      <c r="CR14" s="6" t="str" cm="1">
        <f t="array" ref="CR14">IF(B14="","",IF(LEN(D14)&lt;=15,BASE2DEC(D14,16),""))</f>
        <v>21014</v>
      </c>
      <c r="CS14" s="15" t="str" cm="1">
        <f t="array" ref="CS14">IF(B14="","",_xlfn.LET(_xlpm.p,REPT("0",MOD(-LEN(B14),4))&amp;B14,_xlfn.TEXTJOIN(" ",,MID(_xlpm.p,_xlfn.SEQUENCE(LEN(_xlpm.p)/4,,1,4),4))))</f>
        <v>1460</v>
      </c>
      <c r="CT14" s="15" t="str" cm="1">
        <f t="array" ref="CT14">IF(B14="","",UPPER(_xlfn.LET(_xlpm.p,REPT("0",64-LEN(B14))&amp;B14,_xlfn.TEXTJOIN(" ",,MID(_xlpm.p,_xlfn.SEQUENCE(8,,1,8),8)))))</f>
        <v>00000000 00000000 00000000 00000000 00000000 00000000 00000000 00001460</v>
      </c>
      <c r="CU14" s="6" t="str" cm="1">
        <f t="array" ref="CU14">IF(B14="","",IF(LEN(D14)&lt;=6,_xlfn.LET(_xlpm.n,VALUE(D14)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five thousand two hundred sixteen</v>
      </c>
      <c r="CV14" s="39" t="s">
        <v>4444</v>
      </c>
      <c r="CW14" s="39" t="s">
        <v>1895</v>
      </c>
      <c r="CX14" s="39" t="s">
        <v>1895</v>
      </c>
      <c r="CY14" s="7" t="s">
        <v>4484</v>
      </c>
      <c r="CZ14" s="39" t="s">
        <v>4444</v>
      </c>
      <c r="DA14" s="39" t="s">
        <v>4444</v>
      </c>
      <c r="DB14" s="39">
        <v>12</v>
      </c>
      <c r="DC14" s="7" t="s">
        <v>4485</v>
      </c>
      <c r="DD14" s="7" t="s">
        <v>4486</v>
      </c>
      <c r="DE14" s="7" t="s">
        <v>4487</v>
      </c>
      <c r="DF14" s="7" t="s">
        <v>4488</v>
      </c>
      <c r="DG14" s="7" t="s">
        <v>4489</v>
      </c>
      <c r="DH14" s="39" t="s">
        <v>4452</v>
      </c>
      <c r="DI14" s="7" t="s">
        <v>5043</v>
      </c>
      <c r="DJ14" s="7" t="s">
        <v>5044</v>
      </c>
      <c r="DK14" s="7" t="s">
        <v>5045</v>
      </c>
      <c r="DL14" s="7" t="s">
        <v>5046</v>
      </c>
      <c r="DM14" s="7" t="s">
        <v>5047</v>
      </c>
      <c r="DN14" s="7" t="s">
        <v>5048</v>
      </c>
      <c r="DO14" s="7" t="s">
        <v>5049</v>
      </c>
      <c r="DP14" s="7" t="s">
        <v>5050</v>
      </c>
      <c r="DQ14" s="7" t="s">
        <v>5051</v>
      </c>
      <c r="DR14" s="7" t="s">
        <v>5052</v>
      </c>
      <c r="DS14" s="7" t="s">
        <v>5767</v>
      </c>
      <c r="DT14" s="15" t="str" cm="1">
        <f t="array" ref="DT14">IF(B14="","",_xlfn.TEXTJOIN("",,HEX2BIN(MID(BQ14,_xlfn.SEQUENCE(40),1),4)))</f>
        <v>1000100011000110010111011010101100111010100000001111000001010000001000110010000010111000110100111110010110100011010101000001011001011100011011000001010111110101</v>
      </c>
    </row>
    <row r="15" spans="1:124" x14ac:dyDescent="0.25">
      <c r="A15" s="9">
        <v>14</v>
      </c>
      <c r="B15" s="15" t="s">
        <v>2348</v>
      </c>
      <c r="C15" s="15" t="s">
        <v>2349</v>
      </c>
      <c r="D15" s="6" t="s">
        <v>2350</v>
      </c>
      <c r="E15" s="6" t="s">
        <v>2351</v>
      </c>
      <c r="F15" s="10">
        <v>0.287109375</v>
      </c>
      <c r="G15" s="9">
        <v>5</v>
      </c>
      <c r="H15" s="9">
        <v>4</v>
      </c>
      <c r="I15" s="15" t="s">
        <v>2352</v>
      </c>
      <c r="J15" s="9">
        <v>7</v>
      </c>
      <c r="K15" s="15" t="s">
        <v>2353</v>
      </c>
      <c r="L15" s="15" t="s">
        <v>2354</v>
      </c>
      <c r="M15" s="15" t="s">
        <v>2355</v>
      </c>
      <c r="N15" s="15" t="s">
        <v>2356</v>
      </c>
      <c r="O15" s="6" t="s">
        <v>2357</v>
      </c>
      <c r="P15" s="15" t="s">
        <v>2358</v>
      </c>
      <c r="Q15" s="15" t="s">
        <v>2359</v>
      </c>
      <c r="R15" s="6" t="s">
        <v>2360</v>
      </c>
      <c r="S15" s="15" t="s">
        <v>2361</v>
      </c>
      <c r="T15" s="11">
        <v>2.0214723926380369</v>
      </c>
      <c r="U15" s="10">
        <v>0.35714285714285715</v>
      </c>
      <c r="V15" s="7" t="s">
        <v>717</v>
      </c>
      <c r="W15" s="7" t="s">
        <v>718</v>
      </c>
      <c r="X15" s="7" t="s">
        <v>719</v>
      </c>
      <c r="Y15" s="15" t="s">
        <v>2362</v>
      </c>
      <c r="Z15" s="9">
        <v>9</v>
      </c>
      <c r="AA15" s="9">
        <v>7</v>
      </c>
      <c r="AB15" s="9">
        <v>81</v>
      </c>
      <c r="AC15" s="13">
        <v>1.0690449676496976</v>
      </c>
      <c r="AD15" s="13">
        <v>0</v>
      </c>
      <c r="AE15" s="9">
        <v>5</v>
      </c>
      <c r="AF15" s="9">
        <v>14</v>
      </c>
      <c r="AG15" s="9">
        <v>5</v>
      </c>
      <c r="AH15" s="6" t="s">
        <v>2363</v>
      </c>
      <c r="AI15" s="10">
        <v>13.364134655008053</v>
      </c>
      <c r="AJ15" s="10">
        <v>11.199672344836365</v>
      </c>
      <c r="AK15" s="15" t="s">
        <v>2364</v>
      </c>
      <c r="AL15" s="15" t="s">
        <v>2365</v>
      </c>
      <c r="AM15" s="15" t="s">
        <v>2366</v>
      </c>
      <c r="AN15" s="9">
        <v>4</v>
      </c>
      <c r="AO15" s="9">
        <v>2</v>
      </c>
      <c r="AP15" s="9">
        <v>8</v>
      </c>
      <c r="AQ15" s="15" t="s">
        <v>2367</v>
      </c>
      <c r="AR15" s="9">
        <v>4</v>
      </c>
      <c r="AS15" s="6" t="s">
        <v>2054</v>
      </c>
      <c r="AT15" s="15" t="s">
        <v>2368</v>
      </c>
      <c r="AU15" s="9">
        <v>2</v>
      </c>
      <c r="AV15" s="9">
        <v>4</v>
      </c>
      <c r="AW15" s="9">
        <v>2</v>
      </c>
      <c r="AX15" s="9">
        <v>6</v>
      </c>
      <c r="AY15" s="9">
        <v>48</v>
      </c>
      <c r="AZ15" s="9">
        <v>10544</v>
      </c>
      <c r="BA15" s="6" t="s">
        <v>2369</v>
      </c>
      <c r="BB15" s="6" t="s">
        <v>2370</v>
      </c>
      <c r="BC15" s="6" t="s">
        <v>2371</v>
      </c>
      <c r="BD15" s="15" t="s">
        <v>2372</v>
      </c>
      <c r="BE15" s="15" t="s">
        <v>2373</v>
      </c>
      <c r="BF15" s="15" t="s">
        <v>2374</v>
      </c>
      <c r="BG15" s="15" t="s">
        <v>2375</v>
      </c>
      <c r="BH15" s="6" t="s">
        <v>2376</v>
      </c>
      <c r="BI15" s="17">
        <v>25569.122037037036</v>
      </c>
      <c r="BJ15" s="7" t="s">
        <v>1119</v>
      </c>
      <c r="BK15" s="7" t="s">
        <v>1120</v>
      </c>
      <c r="BL15" s="7" t="s">
        <v>1121</v>
      </c>
      <c r="BM15" s="16" t="s">
        <v>1122</v>
      </c>
      <c r="BN15" s="16" t="s">
        <v>1123</v>
      </c>
      <c r="BO15" s="16" t="s">
        <v>1124</v>
      </c>
      <c r="BP15" s="16" t="s">
        <v>1125</v>
      </c>
      <c r="BQ15" s="16" t="s">
        <v>1126</v>
      </c>
      <c r="BR15" s="7" t="s">
        <v>1127</v>
      </c>
      <c r="BS15" s="7" t="s">
        <v>1128</v>
      </c>
      <c r="BT15" s="7" t="s">
        <v>1129</v>
      </c>
      <c r="BU15" s="14">
        <v>9.1059761244915981E-74</v>
      </c>
      <c r="BV15" s="15" t="s">
        <v>2377</v>
      </c>
      <c r="BW15" s="9">
        <v>8</v>
      </c>
      <c r="BX15" s="9">
        <v>3</v>
      </c>
      <c r="BY15" s="13">
        <v>0.53452248382484879</v>
      </c>
      <c r="BZ15" s="13">
        <v>-2.1380899352993952</v>
      </c>
      <c r="CA15" s="12">
        <f>IF(B15="","",IF(A15&lt;8,"",_xlfn.LET(_xlpm.n,A15,_xlpm.k,G15,_xlpm.R,AP15,_xlpm.mu,1+2*_xlpm.k*(_xlpm.n-_xlpm.k)/_xlpm.n,_xlpm.v,2*_xlpm.k*(_xlpm.n-_xlpm.k)*(2*_xlpm.k*(_xlpm.n-_xlpm.k)-_xlpm.n)/(_xlpm.n^2*(_xlpm.n-1)),IF(_xlpm.v&lt;=0,"",(_xlpm.R-_xlpm.mu)/SQRT(_xlpm.v)))))</f>
        <v>0.34876557585373114</v>
      </c>
      <c r="CB15" s="37" cm="1">
        <f t="array" ref="CB15">IF(B15="","",IF(A15&lt;8,"",_xlfn.LET(_xlpm.b,--MID(C15,_xlfn.SEQUENCE(A15-1),1),_xlpm.c,--MID(C15,_xlfn.SEQUENCE(A15-1,,2),1),IFERROR(CORREL(_xlpm.b,_xlpm.c),""))))</f>
        <v>-0.18446619684315549</v>
      </c>
      <c r="CC15" s="8">
        <f>IF(B15="","",LOG(A15,2))</f>
        <v>3.8073549220576037</v>
      </c>
      <c r="CD15" s="8">
        <f>IF(B15="","",MAX(AN15,AO15)-CC15)</f>
        <v>0.19264507794239627</v>
      </c>
      <c r="CE15" s="8" t="str" cm="1">
        <f t="array" ref="CE15">IF(B15="","",IF(LEN(B15)&lt;16,"",_xlfn.LET(_xlpm.d,MID("0123456789abcdef",_xlfn.SEQUENCE(16),1),_xlpm.c,LEN(B15)-LEN(SUBSTITUTE(B15,_xlpm.d,"")),_xlpm.ex,LEN(B15)/16,SUM((_xlpm.c-_xlpm.ex)^2/_xlpm.ex))))</f>
        <v/>
      </c>
      <c r="CF15" s="37" t="str">
        <f>IF(CE15="","",_xlfn.CHISQ.DIST.RT(CE15,15))</f>
        <v/>
      </c>
      <c r="CG15" s="9" cm="1">
        <f t="array" ref="CG15">IF(OR(B15="",B14=""),"",_xlfn.LET(_xlpm.a,C15,_xlpm.b,REPT("0",A15-LEN(C14))&amp;C14,_xlpm.m,MID(_xlpm.a,_xlfn.SEQUENCE(A15),1)=MID(_xlpm.b,_xlfn.SEQUENCE(A15),1),IFERROR(MATCH(FALSE,_xlpm.m,0)-1,A15)))</f>
        <v>0</v>
      </c>
      <c r="CH15" s="9" cm="1">
        <f t="array" ref="CH15">IF(OR(B15="",B14=""),"",_xlfn.LET(_xlpm.a,C15,_xlpm.b,REPT("0",A15-LEN(C14))&amp;C14,_xlpm.n,A15,_xlpm.m,MID(_xlpm.a,_xlfn.SEQUENCE(_xlpm.n,,_xlpm.n,-1),1)=MID(_xlpm.b,_xlfn.SEQUENCE(_xlpm.n,,_xlpm.n,-1),1),IFERROR(MATCH(FALSE,_xlpm.m,0)-1,_xlpm.n)))</f>
        <v>4</v>
      </c>
      <c r="CI15" s="38">
        <f>IF(OR(B15="",B14=""),"",F15-F14)</f>
        <v>1.3671875E-2</v>
      </c>
      <c r="CJ15" s="5" t="b">
        <f>IF(OR(B15="",B14=""),"",IFERROR(FIND(B14,B15)&gt;0,FALSE))</f>
        <v>0</v>
      </c>
      <c r="CK15" s="5" t="b">
        <f>IF(OR(B15="",B14=""),"",IFERROR(FIND(C14,C15)&gt;0,FALSE))</f>
        <v>0</v>
      </c>
      <c r="CL15" s="9" t="str">
        <f>IF(OR(B15="",B14=""),"",IFERROR(FIND(C14,C15),""))</f>
        <v/>
      </c>
      <c r="CM15" s="6" t="str" cm="1">
        <f t="array" ref="CM15">IF(OR(B15="",B14=""),"",_xlfn.LET(_xlpm.pv,D14,_xlpm.ra,BIGSUB(D15,_xlpm.pv),_xlpm.rb,BIGSUB(_xlpm.ra,_xlpm.pv),_xlpm.rc,BIGSUB(_xlpm.rb,_xlpm.pv),IF(LEFT(_xlpm.rb,1)="-",_xlpm.ra,IF(LEFT(_xlpm.rc,1)="-",_xlpm.rb,_xlpm.rc))))</f>
        <v>112</v>
      </c>
      <c r="CN15" s="38">
        <f>IF(B15="","",F15-0.5)</f>
        <v>-0.212890625</v>
      </c>
      <c r="CO15" s="15" t="str" cm="1">
        <f t="array" ref="CO15">IF(B15="","",_xlfn.TEXTJOIN("",,MID(B15,_xlfn.SEQUENCE(LEN(B15),,LEN(B15),-1),1)))</f>
        <v>0392</v>
      </c>
      <c r="CP15" s="6" t="str" cm="1">
        <f t="array" ref="CP15">IF(B15="","",BASE2DEC(CO15,16))</f>
        <v>914</v>
      </c>
      <c r="CQ15" s="5">
        <f>IF(B15="","",IF(AND(LEN(B15)&lt;16,LEN(B15)=LEN(SUBSTITUTE(SUBSTITUTE(SUBSTITUTE(SUBSTITUTE(SUBSTITUTE(SUBSTITUTE(B15,"a",""),"b",""),"c",""),"d",""),"e",""),"f",""))),--B15,""))</f>
        <v>2930</v>
      </c>
      <c r="CR15" s="6" t="str" cm="1">
        <f t="array" ref="CR15">IF(B15="","",IF(LEN(D15)&lt;=15,BASE2DEC(D15,16),""))</f>
        <v>66884</v>
      </c>
      <c r="CS15" s="15" t="str" cm="1">
        <f t="array" ref="CS15">IF(B15="","",_xlfn.LET(_xlpm.p,REPT("0",MOD(-LEN(B15),4))&amp;B15,_xlfn.TEXTJOIN(" ",,MID(_xlpm.p,_xlfn.SEQUENCE(LEN(_xlpm.p)/4,,1,4),4))))</f>
        <v>2930</v>
      </c>
      <c r="CT15" s="15" t="str" cm="1">
        <f t="array" ref="CT15">IF(B15="","",UPPER(_xlfn.LET(_xlpm.p,REPT("0",64-LEN(B15))&amp;B15,_xlfn.TEXTJOIN(" ",,MID(_xlpm.p,_xlfn.SEQUENCE(8,,1,8),8)))))</f>
        <v>00000000 00000000 00000000 00000000 00000000 00000000 00000000 00002930</v>
      </c>
      <c r="CU15" s="6" t="str" cm="1">
        <f t="array" ref="CU15">IF(B15="","",IF(LEN(D15)&lt;=6,_xlfn.LET(_xlpm.n,VALUE(D15)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ten thousand five hundred forty-four</v>
      </c>
      <c r="CV15" s="39" t="s">
        <v>4444</v>
      </c>
      <c r="CW15" s="39" t="s">
        <v>1895</v>
      </c>
      <c r="CX15" s="39" t="s">
        <v>1895</v>
      </c>
      <c r="CY15" s="7" t="s">
        <v>4490</v>
      </c>
      <c r="CZ15" s="39" t="s">
        <v>4444</v>
      </c>
      <c r="DA15" s="39" t="s">
        <v>4444</v>
      </c>
      <c r="DB15" s="39">
        <v>13</v>
      </c>
      <c r="DC15" s="7" t="s">
        <v>4491</v>
      </c>
      <c r="DD15" s="7" t="s">
        <v>4492</v>
      </c>
      <c r="DE15" s="7" t="s">
        <v>4493</v>
      </c>
      <c r="DF15" s="7" t="s">
        <v>4494</v>
      </c>
      <c r="DG15" s="7" t="s">
        <v>4495</v>
      </c>
      <c r="DH15" s="39" t="s">
        <v>4452</v>
      </c>
      <c r="DI15" s="7" t="s">
        <v>5053</v>
      </c>
      <c r="DJ15" s="7" t="s">
        <v>5054</v>
      </c>
      <c r="DK15" s="7" t="s">
        <v>5055</v>
      </c>
      <c r="DL15" s="7" t="s">
        <v>5056</v>
      </c>
      <c r="DM15" s="7" t="s">
        <v>5057</v>
      </c>
      <c r="DN15" s="7" t="s">
        <v>5058</v>
      </c>
      <c r="DO15" s="7" t="s">
        <v>5059</v>
      </c>
      <c r="DP15" s="7" t="s">
        <v>5060</v>
      </c>
      <c r="DQ15" s="7" t="s">
        <v>5061</v>
      </c>
      <c r="DR15" s="7" t="s">
        <v>5062</v>
      </c>
      <c r="DS15" s="7" t="s">
        <v>5768</v>
      </c>
      <c r="DT15" s="15" t="str" cm="1">
        <f t="array" ref="DT15">IF(B15="","",_xlfn.TEXTJOIN("",,HEX2BIN(MID(BQ15,_xlfn.SEQUENCE(40),1),4)))</f>
        <v>1011100001111011111000111101111000011101011001000100011001010011011010011111110111111100101011001001010100000100011111001101110010100000010110111010110001100110</v>
      </c>
    </row>
    <row r="16" spans="1:124" x14ac:dyDescent="0.25">
      <c r="A16" s="9">
        <v>15</v>
      </c>
      <c r="B16" s="15" t="s">
        <v>2378</v>
      </c>
      <c r="C16" s="15" t="s">
        <v>2379</v>
      </c>
      <c r="D16" s="6" t="s">
        <v>2380</v>
      </c>
      <c r="E16" s="6" t="s">
        <v>2381</v>
      </c>
      <c r="F16" s="10">
        <v>0.63983154296875</v>
      </c>
      <c r="G16" s="9">
        <v>9</v>
      </c>
      <c r="H16" s="9">
        <v>0</v>
      </c>
      <c r="I16" s="15" t="s">
        <v>2382</v>
      </c>
      <c r="J16" s="9">
        <v>6</v>
      </c>
      <c r="K16" s="15" t="s">
        <v>2383</v>
      </c>
      <c r="L16" s="15" t="s">
        <v>2384</v>
      </c>
      <c r="M16" s="15" t="s">
        <v>2385</v>
      </c>
      <c r="N16" s="15" t="s">
        <v>2386</v>
      </c>
      <c r="O16" s="6" t="s">
        <v>2387</v>
      </c>
      <c r="P16" s="15" t="s">
        <v>2388</v>
      </c>
      <c r="Q16" s="15" t="s">
        <v>2389</v>
      </c>
      <c r="R16" s="6" t="s">
        <v>2390</v>
      </c>
      <c r="S16" s="15" t="s">
        <v>2391</v>
      </c>
      <c r="T16" s="11">
        <v>2.5480842185128982</v>
      </c>
      <c r="U16" s="10">
        <v>0.6</v>
      </c>
      <c r="V16" s="7" t="s">
        <v>720</v>
      </c>
      <c r="W16" s="7" t="s">
        <v>721</v>
      </c>
      <c r="X16" s="7" t="s">
        <v>722</v>
      </c>
      <c r="Y16" s="15" t="s">
        <v>2392</v>
      </c>
      <c r="Z16" s="9">
        <v>5</v>
      </c>
      <c r="AA16" s="9">
        <v>9</v>
      </c>
      <c r="AB16" s="9">
        <v>73</v>
      </c>
      <c r="AC16" s="13">
        <v>-1.2909944487358056</v>
      </c>
      <c r="AD16" s="13">
        <v>0.7745966692414834</v>
      </c>
      <c r="AE16" s="9">
        <v>5</v>
      </c>
      <c r="AF16" s="9">
        <v>29</v>
      </c>
      <c r="AG16" s="9">
        <v>2</v>
      </c>
      <c r="AH16" s="6" t="s">
        <v>2393</v>
      </c>
      <c r="AI16" s="10">
        <v>14.713547616912694</v>
      </c>
      <c r="AJ16" s="10">
        <v>13.355764022547241</v>
      </c>
      <c r="AK16" s="15" t="s">
        <v>2394</v>
      </c>
      <c r="AL16" s="15" t="s">
        <v>2395</v>
      </c>
      <c r="AM16" s="15" t="s">
        <v>2396</v>
      </c>
      <c r="AN16" s="9">
        <v>3</v>
      </c>
      <c r="AO16" s="9">
        <v>4</v>
      </c>
      <c r="AP16" s="9">
        <v>7</v>
      </c>
      <c r="AQ16" s="15" t="s">
        <v>2397</v>
      </c>
      <c r="AR16" s="9">
        <v>4</v>
      </c>
      <c r="AS16" s="6" t="s">
        <v>987</v>
      </c>
      <c r="AT16" s="15" t="s">
        <v>2398</v>
      </c>
      <c r="AU16" s="9">
        <v>2</v>
      </c>
      <c r="AV16" s="9">
        <v>2</v>
      </c>
      <c r="AW16" s="9">
        <v>1</v>
      </c>
      <c r="AX16" s="9">
        <v>5</v>
      </c>
      <c r="AY16" s="9">
        <v>243</v>
      </c>
      <c r="AZ16" s="9">
        <v>26867</v>
      </c>
      <c r="BA16" s="6" t="s">
        <v>2399</v>
      </c>
      <c r="BB16" s="6" t="s">
        <v>2400</v>
      </c>
      <c r="BC16" s="6" t="s">
        <v>2401</v>
      </c>
      <c r="BD16" s="15" t="s">
        <v>2402</v>
      </c>
      <c r="BE16" s="15" t="s">
        <v>2403</v>
      </c>
      <c r="BF16" s="15" t="s">
        <v>2404</v>
      </c>
      <c r="BG16" s="15" t="s">
        <v>2405</v>
      </c>
      <c r="BH16" s="6" t="s">
        <v>2406</v>
      </c>
      <c r="BI16" s="17">
        <v>25569.310960648148</v>
      </c>
      <c r="BJ16" s="7" t="s">
        <v>1130</v>
      </c>
      <c r="BK16" s="7" t="s">
        <v>1131</v>
      </c>
      <c r="BL16" s="7" t="s">
        <v>1132</v>
      </c>
      <c r="BM16" s="16" t="s">
        <v>1133</v>
      </c>
      <c r="BN16" s="16" t="s">
        <v>1134</v>
      </c>
      <c r="BO16" s="16" t="s">
        <v>1135</v>
      </c>
      <c r="BP16" s="16" t="s">
        <v>1136</v>
      </c>
      <c r="BQ16" s="16" t="s">
        <v>1137</v>
      </c>
      <c r="BR16" s="7" t="s">
        <v>1138</v>
      </c>
      <c r="BS16" s="7" t="s">
        <v>1139</v>
      </c>
      <c r="BT16" s="7" t="s">
        <v>1140</v>
      </c>
      <c r="BU16" s="14">
        <v>2.3202794056972282E-73</v>
      </c>
      <c r="BV16" s="15" t="s">
        <v>2407</v>
      </c>
      <c r="BW16" s="9">
        <v>12</v>
      </c>
      <c r="BX16" s="9">
        <v>7</v>
      </c>
      <c r="BY16" s="13">
        <v>2.3237900077244502</v>
      </c>
      <c r="BZ16" s="13">
        <v>-0.2581988897471611</v>
      </c>
      <c r="CA16" s="12">
        <f>IF(B16="","",IF(A16&lt;8,"",_xlfn.LET(_xlpm.n,A16,_xlpm.k,G16,_xlpm.R,AP16,_xlpm.mu,1+2*_xlpm.k*(_xlpm.n-_xlpm.k)/_xlpm.n,_xlpm.v,2*_xlpm.k*(_xlpm.n-_xlpm.k)*(2*_xlpm.k*(_xlpm.n-_xlpm.k)-_xlpm.n)/(_xlpm.n^2*(_xlpm.n-1)),IF(_xlpm.v&lt;=0,"",(_xlpm.R-_xlpm.mu)/SQRT(_xlpm.v)))))</f>
        <v>-0.67202150503224667</v>
      </c>
      <c r="CB16" s="37" cm="1">
        <f t="array" ref="CB16">IF(B16="","",IF(A16&lt;8,"",_xlfn.LET(_xlpm.b,--MID(C16,_xlfn.SEQUENCE(A16-1),1),_xlpm.c,--MID(C16,_xlfn.SEQUENCE(A16-1,,2),1),IFERROR(CORREL(_xlpm.b,_xlpm.c),""))))</f>
        <v>0.12500000000000006</v>
      </c>
      <c r="CC16" s="8">
        <f>IF(B16="","",LOG(A16,2))</f>
        <v>3.9068905956085187</v>
      </c>
      <c r="CD16" s="8">
        <f>IF(B16="","",MAX(AN16,AO16)-CC16)</f>
        <v>9.3109404391481299E-2</v>
      </c>
      <c r="CE16" s="8" t="str" cm="1">
        <f t="array" ref="CE16">IF(B16="","",IF(LEN(B16)&lt;16,"",_xlfn.LET(_xlpm.d,MID("0123456789abcdef",_xlfn.SEQUENCE(16),1),_xlpm.c,LEN(B16)-LEN(SUBSTITUTE(B16,_xlpm.d,"")),_xlpm.ex,LEN(B16)/16,SUM((_xlpm.c-_xlpm.ex)^2/_xlpm.ex))))</f>
        <v/>
      </c>
      <c r="CF16" s="37" t="str">
        <f>IF(CE16="","",_xlfn.CHISQ.DIST.RT(CE16,15))</f>
        <v/>
      </c>
      <c r="CG16" s="9" cm="1">
        <f t="array" ref="CG16">IF(OR(B16="",B15=""),"",_xlfn.LET(_xlpm.a,C16,_xlpm.b,REPT("0",A16-LEN(C15))&amp;C15,_xlpm.m,MID(_xlpm.a,_xlfn.SEQUENCE(A16),1)=MID(_xlpm.b,_xlfn.SEQUENCE(A16),1),IFERROR(MATCH(FALSE,_xlpm.m,0)-1,A16)))</f>
        <v>0</v>
      </c>
      <c r="CH16" s="9" cm="1">
        <f t="array" ref="CH16">IF(OR(B16="",B15=""),"",_xlfn.LET(_xlpm.a,C16,_xlpm.b,REPT("0",A16-LEN(C15))&amp;C15,_xlpm.n,A16,_xlpm.m,MID(_xlpm.a,_xlfn.SEQUENCE(_xlpm.n,,_xlpm.n,-1),1)=MID(_xlpm.b,_xlfn.SEQUENCE(_xlpm.n,,_xlpm.n,-1),1),IFERROR(MATCH(FALSE,_xlpm.m,0)-1,_xlpm.n)))</f>
        <v>0</v>
      </c>
      <c r="CI16" s="38">
        <f>IF(OR(B16="",B15=""),"",F16-F15)</f>
        <v>0.35272216796875</v>
      </c>
      <c r="CJ16" s="5" t="b">
        <f>IF(OR(B16="",B15=""),"",IFERROR(FIND(B15,B16)&gt;0,FALSE))</f>
        <v>0</v>
      </c>
      <c r="CK16" s="5" t="b">
        <f>IF(OR(B16="",B15=""),"",IFERROR(FIND(C15,C16)&gt;0,FALSE))</f>
        <v>0</v>
      </c>
      <c r="CL16" s="9" t="str">
        <f>IF(OR(B16="",B15=""),"",IFERROR(FIND(C15,C16),""))</f>
        <v/>
      </c>
      <c r="CM16" s="6" t="str" cm="1">
        <f t="array" ref="CM16">IF(OR(B16="",B15=""),"",_xlfn.LET(_xlpm.pv,D15,_xlpm.ra,BIGSUB(D16,_xlpm.pv),_xlpm.rb,BIGSUB(_xlpm.ra,_xlpm.pv),_xlpm.rc,BIGSUB(_xlpm.rb,_xlpm.pv),IF(LEFT(_xlpm.rb,1)="-",_xlpm.ra,IF(LEFT(_xlpm.rc,1)="-",_xlpm.rb,_xlpm.rc))))</f>
        <v>5779</v>
      </c>
      <c r="CN16" s="38">
        <f>IF(B16="","",F16-0.5)</f>
        <v>0.13983154296875</v>
      </c>
      <c r="CO16" s="15" t="str" cm="1">
        <f t="array" ref="CO16">IF(B16="","",_xlfn.TEXTJOIN("",,MID(B16,_xlfn.SEQUENCE(LEN(B16),,LEN(B16),-1),1)))</f>
        <v>3f86</v>
      </c>
      <c r="CP16" s="6" t="str" cm="1">
        <f t="array" ref="CP16">IF(B16="","",BASE2DEC(CO16,16))</f>
        <v>16262</v>
      </c>
      <c r="CQ16" s="5" t="str">
        <f>IF(B16="","",IF(AND(LEN(B16)&lt;16,LEN(B16)=LEN(SUBSTITUTE(SUBSTITUTE(SUBSTITUTE(SUBSTITUTE(SUBSTITUTE(SUBSTITUTE(B16,"a",""),"b",""),"c",""),"d",""),"e",""),"f",""))),--B16,""))</f>
        <v/>
      </c>
      <c r="CR16" s="6" t="str" cm="1">
        <f t="array" ref="CR16">IF(B16="","",IF(LEN(D16)&lt;=15,BASE2DEC(D16,16),""))</f>
        <v>157799</v>
      </c>
      <c r="CS16" s="15" t="str" cm="1">
        <f t="array" ref="CS16">IF(B16="","",_xlfn.LET(_xlpm.p,REPT("0",MOD(-LEN(B16),4))&amp;B16,_xlfn.TEXTJOIN(" ",,MID(_xlpm.p,_xlfn.SEQUENCE(LEN(_xlpm.p)/4,,1,4),4))))</f>
        <v>68f3</v>
      </c>
      <c r="CT16" s="15" t="str" cm="1">
        <f t="array" ref="CT16">IF(B16="","",UPPER(_xlfn.LET(_xlpm.p,REPT("0",64-LEN(B16))&amp;B16,_xlfn.TEXTJOIN(" ",,MID(_xlpm.p,_xlfn.SEQUENCE(8,,1,8),8)))))</f>
        <v>00000000 00000000 00000000 00000000 00000000 00000000 00000000 000068F3</v>
      </c>
      <c r="CU16" s="6" t="str" cm="1">
        <f t="array" ref="CU16">IF(B16="","",IF(LEN(D16)&lt;=6,_xlfn.LET(_xlpm.n,VALUE(D16)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twenty-six thousand eight hundred sixty-seven</v>
      </c>
      <c r="CV16" s="39" t="s">
        <v>4444</v>
      </c>
      <c r="CW16" s="39" t="s">
        <v>2162</v>
      </c>
      <c r="CX16" s="39" t="s">
        <v>1895</v>
      </c>
      <c r="CY16" s="7" t="s">
        <v>4496</v>
      </c>
      <c r="CZ16" s="39" t="s">
        <v>4444</v>
      </c>
      <c r="DA16" s="39" t="s">
        <v>4444</v>
      </c>
      <c r="DB16" s="39">
        <v>15</v>
      </c>
      <c r="DC16" s="7" t="s">
        <v>4497</v>
      </c>
      <c r="DD16" s="7" t="s">
        <v>4498</v>
      </c>
      <c r="DE16" s="7" t="s">
        <v>4499</v>
      </c>
      <c r="DF16" s="7" t="s">
        <v>4500</v>
      </c>
      <c r="DG16" s="7" t="s">
        <v>4501</v>
      </c>
      <c r="DH16" s="39" t="s">
        <v>4448</v>
      </c>
      <c r="DI16" s="7" t="s">
        <v>5063</v>
      </c>
      <c r="DJ16" s="7" t="s">
        <v>5064</v>
      </c>
      <c r="DK16" s="7" t="s">
        <v>5065</v>
      </c>
      <c r="DL16" s="7" t="s">
        <v>5066</v>
      </c>
      <c r="DM16" s="7" t="s">
        <v>5067</v>
      </c>
      <c r="DN16" s="7" t="s">
        <v>5068</v>
      </c>
      <c r="DO16" s="7" t="s">
        <v>5069</v>
      </c>
      <c r="DP16" s="7" t="s">
        <v>5070</v>
      </c>
      <c r="DQ16" s="7" t="s">
        <v>5071</v>
      </c>
      <c r="DR16" s="7" t="s">
        <v>5072</v>
      </c>
      <c r="DS16" s="7" t="s">
        <v>5769</v>
      </c>
      <c r="DT16" s="15" t="str" cm="1">
        <f t="array" ref="DT16">IF(B16="","",_xlfn.TEXTJOIN("",,HEX2BIN(MID(BQ16,_xlfn.SEQUENCE(40),1),4)))</f>
        <v>0100010100000001010100111101001010101111101100001000110011011101001110111101010011111010111010000010011011001000100111101000010000000000011101000011100001100010</v>
      </c>
    </row>
    <row r="17" spans="1:124" x14ac:dyDescent="0.25">
      <c r="A17" s="9">
        <v>16</v>
      </c>
      <c r="B17" s="15" t="s">
        <v>2408</v>
      </c>
      <c r="C17" s="15" t="s">
        <v>2409</v>
      </c>
      <c r="D17" s="6" t="s">
        <v>2410</v>
      </c>
      <c r="E17" s="6" t="s">
        <v>2411</v>
      </c>
      <c r="F17" s="10">
        <v>0.57196044921875</v>
      </c>
      <c r="G17" s="9">
        <v>8</v>
      </c>
      <c r="H17" s="9">
        <v>1</v>
      </c>
      <c r="I17" s="15" t="s">
        <v>2412</v>
      </c>
      <c r="J17" s="9">
        <v>7</v>
      </c>
      <c r="K17" s="15" t="s">
        <v>2413</v>
      </c>
      <c r="L17" s="15" t="s">
        <v>2414</v>
      </c>
      <c r="M17" s="15" t="s">
        <v>2415</v>
      </c>
      <c r="N17" s="15" t="s">
        <v>2416</v>
      </c>
      <c r="O17" s="6" t="s">
        <v>2417</v>
      </c>
      <c r="P17" s="15" t="s">
        <v>2418</v>
      </c>
      <c r="Q17" s="15" t="s">
        <v>2419</v>
      </c>
      <c r="R17" s="6" t="s">
        <v>2420</v>
      </c>
      <c r="S17" s="15" t="s">
        <v>2421</v>
      </c>
      <c r="T17" s="11">
        <v>1.9172218706963933</v>
      </c>
      <c r="U17" s="10">
        <v>0.5</v>
      </c>
      <c r="V17" s="7" t="s">
        <v>723</v>
      </c>
      <c r="W17" s="7" t="s">
        <v>724</v>
      </c>
      <c r="X17" s="7" t="s">
        <v>725</v>
      </c>
      <c r="Y17" s="15" t="s">
        <v>2422</v>
      </c>
      <c r="Z17" s="9">
        <v>9</v>
      </c>
      <c r="AA17" s="9">
        <v>8</v>
      </c>
      <c r="AB17" s="9">
        <v>94</v>
      </c>
      <c r="AC17" s="13">
        <v>0.5</v>
      </c>
      <c r="AD17" s="13">
        <v>0</v>
      </c>
      <c r="AE17" s="9">
        <v>5</v>
      </c>
      <c r="AF17" s="9">
        <v>12</v>
      </c>
      <c r="AG17" s="9">
        <v>3</v>
      </c>
      <c r="AH17" s="6" t="s">
        <v>2423</v>
      </c>
      <c r="AI17" s="10">
        <v>15.652564919610654</v>
      </c>
      <c r="AJ17" s="10">
        <v>14.193987293919182</v>
      </c>
      <c r="AK17" s="15" t="s">
        <v>2424</v>
      </c>
      <c r="AL17" s="15" t="s">
        <v>2425</v>
      </c>
      <c r="AM17" s="15" t="s">
        <v>2426</v>
      </c>
      <c r="AN17" s="9">
        <v>2</v>
      </c>
      <c r="AO17" s="9">
        <v>2</v>
      </c>
      <c r="AP17" s="9">
        <v>10</v>
      </c>
      <c r="AQ17" s="15" t="s">
        <v>2427</v>
      </c>
      <c r="AR17" s="9">
        <v>4</v>
      </c>
      <c r="AS17" s="6" t="s">
        <v>987</v>
      </c>
      <c r="AT17" s="15" t="s">
        <v>2428</v>
      </c>
      <c r="AU17" s="9">
        <v>0</v>
      </c>
      <c r="AV17" s="9">
        <v>0</v>
      </c>
      <c r="AW17" s="9">
        <v>4</v>
      </c>
      <c r="AX17" s="9">
        <v>8</v>
      </c>
      <c r="AY17" s="9">
        <v>54</v>
      </c>
      <c r="AZ17" s="9">
        <v>51510</v>
      </c>
      <c r="BA17" s="6" t="s">
        <v>2429</v>
      </c>
      <c r="BB17" s="6" t="s">
        <v>2430</v>
      </c>
      <c r="BC17" s="6" t="s">
        <v>2431</v>
      </c>
      <c r="BD17" s="15" t="s">
        <v>2432</v>
      </c>
      <c r="BE17" s="15" t="s">
        <v>2433</v>
      </c>
      <c r="BF17" s="15" t="s">
        <v>2434</v>
      </c>
      <c r="BG17" s="15" t="s">
        <v>2435</v>
      </c>
      <c r="BH17" s="6" t="s">
        <v>2436</v>
      </c>
      <c r="BI17" s="17">
        <v>25569.596180555556</v>
      </c>
      <c r="BJ17" s="7" t="s">
        <v>1141</v>
      </c>
      <c r="BK17" s="7" t="s">
        <v>1142</v>
      </c>
      <c r="BL17" s="7" t="s">
        <v>1143</v>
      </c>
      <c r="BM17" s="16" t="s">
        <v>1144</v>
      </c>
      <c r="BN17" s="16" t="s">
        <v>1145</v>
      </c>
      <c r="BO17" s="16" t="s">
        <v>1146</v>
      </c>
      <c r="BP17" s="16" t="s">
        <v>1147</v>
      </c>
      <c r="BQ17" s="16" t="s">
        <v>1148</v>
      </c>
      <c r="BR17" s="7" t="s">
        <v>1149</v>
      </c>
      <c r="BS17" s="7" t="s">
        <v>1150</v>
      </c>
      <c r="BT17" s="7" t="s">
        <v>1151</v>
      </c>
      <c r="BU17" s="14">
        <v>4.448490422729156E-73</v>
      </c>
      <c r="BV17" s="15" t="s">
        <v>2437</v>
      </c>
      <c r="BW17" s="9">
        <v>6</v>
      </c>
      <c r="BX17" s="9">
        <v>8</v>
      </c>
      <c r="BY17" s="13">
        <v>-1</v>
      </c>
      <c r="BZ17" s="13">
        <v>0</v>
      </c>
      <c r="CA17" s="12">
        <f>IF(B17="","",IF(A17&lt;8,"",_xlfn.LET(_xlpm.n,A17,_xlpm.k,G17,_xlpm.R,AP17,_xlpm.mu,1+2*_xlpm.k*(_xlpm.n-_xlpm.k)/_xlpm.n,_xlpm.v,2*_xlpm.k*(_xlpm.n-_xlpm.k)*(2*_xlpm.k*(_xlpm.n-_xlpm.k)-_xlpm.n)/(_xlpm.n^2*(_xlpm.n-1)),IF(_xlpm.v&lt;=0,"",(_xlpm.R-_xlpm.mu)/SQRT(_xlpm.v)))))</f>
        <v>0.51754916950676566</v>
      </c>
      <c r="CB17" s="37" cm="1">
        <f t="array" ref="CB17">IF(B17="","",IF(A17&lt;8,"",_xlfn.LET(_xlpm.b,--MID(C17,_xlfn.SEQUENCE(A17-1),1),_xlpm.c,--MID(C17,_xlfn.SEQUENCE(A17-1,,2),1),IFERROR(CORREL(_xlpm.b,_xlpm.c),""))))</f>
        <v>-0.19642857142857145</v>
      </c>
      <c r="CC17" s="8">
        <f>IF(B17="","",LOG(A17,2))</f>
        <v>4</v>
      </c>
      <c r="CD17" s="8">
        <f>IF(B17="","",MAX(AN17,AO17)-CC17)</f>
        <v>-2</v>
      </c>
      <c r="CE17" s="8" t="str" cm="1">
        <f t="array" ref="CE17">IF(B17="","",IF(LEN(B17)&lt;16,"",_xlfn.LET(_xlpm.d,MID("0123456789abcdef",_xlfn.SEQUENCE(16),1),_xlpm.c,LEN(B17)-LEN(SUBSTITUTE(B17,_xlpm.d,"")),_xlpm.ex,LEN(B17)/16,SUM((_xlpm.c-_xlpm.ex)^2/_xlpm.ex))))</f>
        <v/>
      </c>
      <c r="CF17" s="37" t="str">
        <f>IF(CE17="","",_xlfn.CHISQ.DIST.RT(CE17,15))</f>
        <v/>
      </c>
      <c r="CG17" s="9" cm="1">
        <f t="array" ref="CG17">IF(OR(B17="",B16=""),"",_xlfn.LET(_xlpm.a,C17,_xlpm.b,REPT("0",A17-LEN(C16))&amp;C16,_xlpm.m,MID(_xlpm.a,_xlfn.SEQUENCE(A17),1)=MID(_xlpm.b,_xlfn.SEQUENCE(A17),1),IFERROR(MATCH(FALSE,_xlpm.m,0)-1,A17)))</f>
        <v>0</v>
      </c>
      <c r="CH17" s="9" cm="1">
        <f t="array" ref="CH17">IF(OR(B17="",B16=""),"",_xlfn.LET(_xlpm.a,C17,_xlpm.b,REPT("0",A17-LEN(C16))&amp;C16,_xlpm.n,A17,_xlpm.m,MID(_xlpm.a,_xlfn.SEQUENCE(_xlpm.n,,_xlpm.n,-1),1)=MID(_xlpm.b,_xlfn.SEQUENCE(_xlpm.n,,_xlpm.n,-1),1),IFERROR(MATCH(FALSE,_xlpm.m,0)-1,_xlpm.n)))</f>
        <v>0</v>
      </c>
      <c r="CI17" s="38">
        <f>IF(OR(B17="",B16=""),"",F17-F16)</f>
        <v>-6.787109375E-2</v>
      </c>
      <c r="CJ17" s="5" t="b">
        <f>IF(OR(B17="",B16=""),"",IFERROR(FIND(B16,B17)&gt;0,FALSE))</f>
        <v>0</v>
      </c>
      <c r="CK17" s="5" t="b">
        <f>IF(OR(B17="",B16=""),"",IFERROR(FIND(C16,C17)&gt;0,FALSE))</f>
        <v>0</v>
      </c>
      <c r="CL17" s="9" t="str">
        <f>IF(OR(B17="",B16=""),"",IFERROR(FIND(C16,C17),""))</f>
        <v/>
      </c>
      <c r="CM17" s="6" t="str" cm="1">
        <f t="array" ref="CM17">IF(OR(B17="",B16=""),"",_xlfn.LET(_xlpm.pv,D16,_xlpm.ra,BIGSUB(D17,_xlpm.pv),_xlpm.rb,BIGSUB(_xlpm.ra,_xlpm.pv),_xlpm.rc,BIGSUB(_xlpm.rb,_xlpm.pv),IF(LEFT(_xlpm.rb,1)="-",_xlpm.ra,IF(LEFT(_xlpm.rc,1)="-",_xlpm.rb,_xlpm.rc))))</f>
        <v>24643</v>
      </c>
      <c r="CN17" s="38">
        <f>IF(B17="","",F17-0.5)</f>
        <v>7.196044921875E-2</v>
      </c>
      <c r="CO17" s="15" t="str" cm="1">
        <f t="array" ref="CO17">IF(B17="","",_xlfn.TEXTJOIN("",,MID(B17,_xlfn.SEQUENCE(LEN(B17),,LEN(B17),-1),1)))</f>
        <v>639c</v>
      </c>
      <c r="CP17" s="6" t="str" cm="1">
        <f t="array" ref="CP17">IF(B17="","",BASE2DEC(CO17,16))</f>
        <v>25500</v>
      </c>
      <c r="CQ17" s="5" t="str">
        <f>IF(B17="","",IF(AND(LEN(B17)&lt;16,LEN(B17)=LEN(SUBSTITUTE(SUBSTITUTE(SUBSTITUTE(SUBSTITUTE(SUBSTITUTE(SUBSTITUTE(B17,"a",""),"b",""),"c",""),"d",""),"e",""),"f",""))),--B17,""))</f>
        <v/>
      </c>
      <c r="CR17" s="6" t="str" cm="1">
        <f t="array" ref="CR17">IF(B17="","",IF(LEN(D17)&lt;=15,BASE2DEC(D17,16),""))</f>
        <v>333072</v>
      </c>
      <c r="CS17" s="15" t="str" cm="1">
        <f t="array" ref="CS17">IF(B17="","",_xlfn.LET(_xlpm.p,REPT("0",MOD(-LEN(B17),4))&amp;B17,_xlfn.TEXTJOIN(" ",,MID(_xlpm.p,_xlfn.SEQUENCE(LEN(_xlpm.p)/4,,1,4),4))))</f>
        <v>c936</v>
      </c>
      <c r="CT17" s="15" t="str" cm="1">
        <f t="array" ref="CT17">IF(B17="","",UPPER(_xlfn.LET(_xlpm.p,REPT("0",64-LEN(B17))&amp;B17,_xlfn.TEXTJOIN(" ",,MID(_xlpm.p,_xlfn.SEQUENCE(8,,1,8),8)))))</f>
        <v>00000000 00000000 00000000 00000000 00000000 00000000 00000000 0000C936</v>
      </c>
      <c r="CU17" s="6" t="str" cm="1">
        <f t="array" ref="CU17">IF(B17="","",IF(LEN(D17)&lt;=6,_xlfn.LET(_xlpm.n,VALUE(D17)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fifty-one thousand five hundred ten</v>
      </c>
      <c r="CV17" s="39" t="s">
        <v>4444</v>
      </c>
      <c r="CW17" s="39" t="s">
        <v>1895</v>
      </c>
      <c r="CX17" s="39" t="s">
        <v>2104</v>
      </c>
      <c r="CY17" s="7" t="s">
        <v>4502</v>
      </c>
      <c r="CZ17" s="39" t="s">
        <v>4444</v>
      </c>
      <c r="DA17" s="39" t="s">
        <v>4444</v>
      </c>
      <c r="DB17" s="39">
        <v>16</v>
      </c>
      <c r="DC17" s="7" t="s">
        <v>4503</v>
      </c>
      <c r="DD17" s="7" t="s">
        <v>4504</v>
      </c>
      <c r="DE17" s="7" t="s">
        <v>4505</v>
      </c>
      <c r="DF17" s="7" t="s">
        <v>4506</v>
      </c>
      <c r="DG17" s="7" t="s">
        <v>4507</v>
      </c>
      <c r="DH17" s="39" t="s">
        <v>4452</v>
      </c>
      <c r="DI17" s="7" t="s">
        <v>5073</v>
      </c>
      <c r="DJ17" s="7" t="s">
        <v>5074</v>
      </c>
      <c r="DK17" s="7" t="s">
        <v>5075</v>
      </c>
      <c r="DL17" s="7" t="s">
        <v>5076</v>
      </c>
      <c r="DM17" s="7" t="s">
        <v>5077</v>
      </c>
      <c r="DN17" s="7" t="s">
        <v>5078</v>
      </c>
      <c r="DO17" s="7" t="s">
        <v>5079</v>
      </c>
      <c r="DP17" s="7" t="s">
        <v>5080</v>
      </c>
      <c r="DQ17" s="7" t="s">
        <v>5081</v>
      </c>
      <c r="DR17" s="7" t="s">
        <v>5082</v>
      </c>
      <c r="DS17" s="7" t="s">
        <v>5770</v>
      </c>
      <c r="DT17" s="15" t="str" cm="1">
        <f t="array" ref="DT17">IF(B17="","",_xlfn.TEXTJOIN("",,HEX2BIN(MID(BQ17,_xlfn.SEQUENCE(40),1),4)))</f>
        <v>0001011011110011100111110100111100011001001101111001101010000000010100110011110110101001110010000001111100100101101111101011100001011101000111101111000001101100</v>
      </c>
    </row>
    <row r="18" spans="1:124" x14ac:dyDescent="0.25">
      <c r="A18" s="9">
        <v>17</v>
      </c>
      <c r="B18" s="15" t="s">
        <v>2438</v>
      </c>
      <c r="C18" s="15" t="s">
        <v>2439</v>
      </c>
      <c r="D18" s="6" t="s">
        <v>2440</v>
      </c>
      <c r="E18" s="6" t="s">
        <v>2441</v>
      </c>
      <c r="F18" s="10">
        <v>0.4621429443359375</v>
      </c>
      <c r="G18" s="9">
        <v>11</v>
      </c>
      <c r="H18" s="9">
        <v>0</v>
      </c>
      <c r="I18" s="15" t="s">
        <v>2442</v>
      </c>
      <c r="J18" s="9">
        <v>13</v>
      </c>
      <c r="K18" s="15" t="s">
        <v>2443</v>
      </c>
      <c r="L18" s="15" t="s">
        <v>2444</v>
      </c>
      <c r="M18" s="15" t="s">
        <v>2445</v>
      </c>
      <c r="N18" s="15" t="s">
        <v>2446</v>
      </c>
      <c r="O18" s="6" t="s">
        <v>2447</v>
      </c>
      <c r="P18" s="15" t="s">
        <v>2448</v>
      </c>
      <c r="Q18" s="15" t="s">
        <v>2449</v>
      </c>
      <c r="R18" s="6" t="s">
        <v>2450</v>
      </c>
      <c r="S18" s="15" t="s">
        <v>2451</v>
      </c>
      <c r="T18" s="11">
        <v>1.8602795573675015</v>
      </c>
      <c r="U18" s="10">
        <v>0.6470588235294118</v>
      </c>
      <c r="V18" s="7" t="s">
        <v>726</v>
      </c>
      <c r="W18" s="7" t="s">
        <v>727</v>
      </c>
      <c r="X18" s="7" t="s">
        <v>728</v>
      </c>
      <c r="Y18" s="15" t="s">
        <v>2452</v>
      </c>
      <c r="Z18" s="9">
        <v>10</v>
      </c>
      <c r="AA18" s="9">
        <v>8</v>
      </c>
      <c r="AB18" s="9">
        <v>89</v>
      </c>
      <c r="AC18" s="13">
        <v>0.72760687510899891</v>
      </c>
      <c r="AD18" s="13">
        <v>-0.24253562503633297</v>
      </c>
      <c r="AE18" s="9">
        <v>5</v>
      </c>
      <c r="AF18" s="9">
        <v>27</v>
      </c>
      <c r="AG18" s="9">
        <v>9</v>
      </c>
      <c r="AH18" s="6" t="s">
        <v>2453</v>
      </c>
      <c r="AI18" s="10">
        <v>16.548084361224415</v>
      </c>
      <c r="AJ18" s="10">
        <v>14.886411062355261</v>
      </c>
      <c r="AK18" s="15" t="s">
        <v>2454</v>
      </c>
      <c r="AL18" s="15" t="s">
        <v>2455</v>
      </c>
      <c r="AM18" s="15" t="s">
        <v>2456</v>
      </c>
      <c r="AN18" s="9">
        <v>2</v>
      </c>
      <c r="AO18" s="9">
        <v>4</v>
      </c>
      <c r="AP18" s="9">
        <v>9</v>
      </c>
      <c r="AQ18" s="15" t="s">
        <v>2457</v>
      </c>
      <c r="AR18" s="9">
        <v>5</v>
      </c>
      <c r="AS18" s="6" t="s">
        <v>976</v>
      </c>
      <c r="AT18" s="15" t="s">
        <v>2458</v>
      </c>
      <c r="AU18" s="9">
        <v>0</v>
      </c>
      <c r="AV18" s="9">
        <v>3</v>
      </c>
      <c r="AW18" s="9">
        <v>0</v>
      </c>
      <c r="AX18" s="9">
        <v>2</v>
      </c>
      <c r="AY18" s="9">
        <v>79</v>
      </c>
      <c r="AZ18" s="9">
        <v>30287</v>
      </c>
      <c r="BA18" s="6" t="s">
        <v>2459</v>
      </c>
      <c r="BB18" s="6" t="s">
        <v>2460</v>
      </c>
      <c r="BC18" s="6" t="s">
        <v>2461</v>
      </c>
      <c r="BD18" s="15" t="s">
        <v>2462</v>
      </c>
      <c r="BE18" s="15" t="s">
        <v>2463</v>
      </c>
      <c r="BF18" s="15" t="s">
        <v>2464</v>
      </c>
      <c r="BG18" s="15" t="s">
        <v>2465</v>
      </c>
      <c r="BH18" s="6" t="s">
        <v>2466</v>
      </c>
      <c r="BI18" s="17">
        <v>25570.1090625</v>
      </c>
      <c r="BJ18" s="7" t="s">
        <v>1152</v>
      </c>
      <c r="BK18" s="7" t="s">
        <v>1153</v>
      </c>
      <c r="BL18" s="7" t="s">
        <v>1154</v>
      </c>
      <c r="BM18" s="16" t="s">
        <v>1155</v>
      </c>
      <c r="BN18" s="16" t="s">
        <v>1156</v>
      </c>
      <c r="BO18" s="16" t="s">
        <v>1157</v>
      </c>
      <c r="BP18" s="16" t="s">
        <v>1158</v>
      </c>
      <c r="BQ18" s="16" t="s">
        <v>1159</v>
      </c>
      <c r="BR18" s="7" t="s">
        <v>1160</v>
      </c>
      <c r="BS18" s="7" t="s">
        <v>1161</v>
      </c>
      <c r="BT18" s="7" t="s">
        <v>1162</v>
      </c>
      <c r="BU18" s="14">
        <v>8.2754357945481635E-73</v>
      </c>
      <c r="BV18" s="15" t="s">
        <v>2467</v>
      </c>
      <c r="BW18" s="9">
        <v>8</v>
      </c>
      <c r="BX18" s="9">
        <v>7</v>
      </c>
      <c r="BY18" s="13">
        <v>-0.24253562503633297</v>
      </c>
      <c r="BZ18" s="13">
        <v>-0.72760687510899891</v>
      </c>
      <c r="CA18" s="12">
        <f>IF(B18="","",IF(A18&lt;8,"",_xlfn.LET(_xlpm.n,A18,_xlpm.k,G18,_xlpm.R,AP18,_xlpm.mu,1+2*_xlpm.k*(_xlpm.n-_xlpm.k)/_xlpm.n,_xlpm.v,2*_xlpm.k*(_xlpm.n-_xlpm.k)*(2*_xlpm.k*(_xlpm.n-_xlpm.k)-_xlpm.n)/(_xlpm.n^2*(_xlpm.n-1)),IF(_xlpm.v&lt;=0,"",(_xlpm.R-_xlpm.mu)/SQRT(_xlpm.v)))))</f>
        <v>0.1298626009487126</v>
      </c>
      <c r="CB18" s="37" cm="1">
        <f t="array" ref="CB18">IF(B18="","",IF(A18&lt;8,"",_xlfn.LET(_xlpm.b,--MID(C18,_xlfn.SEQUENCE(A18-1),1),_xlpm.c,--MID(C18,_xlfn.SEQUENCE(A18-1,,2),1),IFERROR(CORREL(_xlpm.b,_xlpm.c),""))))</f>
        <v>-6.6666666666666652E-2</v>
      </c>
      <c r="CC18" s="8">
        <f>IF(B18="","",LOG(A18,2))</f>
        <v>4.08746284125034</v>
      </c>
      <c r="CD18" s="8">
        <f>IF(B18="","",MAX(AN18,AO18)-CC18)</f>
        <v>-8.7462841250339984E-2</v>
      </c>
      <c r="CE18" s="8" t="str" cm="1">
        <f t="array" ref="CE18">IF(B18="","",IF(LEN(B18)&lt;16,"",_xlfn.LET(_xlpm.d,MID("0123456789abcdef",_xlfn.SEQUENCE(16),1),_xlpm.c,LEN(B18)-LEN(SUBSTITUTE(B18,_xlpm.d,"")),_xlpm.ex,LEN(B18)/16,SUM((_xlpm.c-_xlpm.ex)^2/_xlpm.ex))))</f>
        <v/>
      </c>
      <c r="CF18" s="37" t="str">
        <f>IF(CE18="","",_xlfn.CHISQ.DIST.RT(CE18,15))</f>
        <v/>
      </c>
      <c r="CG18" s="9" cm="1">
        <f t="array" ref="CG18">IF(OR(B18="",B17=""),"",_xlfn.LET(_xlpm.a,C18,_xlpm.b,REPT("0",A18-LEN(C17))&amp;C17,_xlpm.m,MID(_xlpm.a,_xlfn.SEQUENCE(A18),1)=MID(_xlpm.b,_xlfn.SEQUENCE(A18),1),IFERROR(MATCH(FALSE,_xlpm.m,0)-1,A18)))</f>
        <v>0</v>
      </c>
      <c r="CH18" s="9" cm="1">
        <f t="array" ref="CH18">IF(OR(B18="",B17=""),"",_xlfn.LET(_xlpm.a,C18,_xlpm.b,REPT("0",A18-LEN(C17))&amp;C17,_xlpm.n,A18,_xlpm.m,MID(_xlpm.a,_xlfn.SEQUENCE(_xlpm.n,,_xlpm.n,-1),1)=MID(_xlpm.b,_xlfn.SEQUENCE(_xlpm.n,,_xlpm.n,-1),1),IFERROR(MATCH(FALSE,_xlpm.m,0)-1,_xlpm.n)))</f>
        <v>0</v>
      </c>
      <c r="CI18" s="38">
        <f>IF(OR(B18="",B17=""),"",F18-F17)</f>
        <v>-0.1098175048828125</v>
      </c>
      <c r="CJ18" s="5" t="b">
        <f>IF(OR(B18="",B17=""),"",IFERROR(FIND(B17,B18)&gt;0,FALSE))</f>
        <v>0</v>
      </c>
      <c r="CK18" s="5" t="b">
        <f>IF(OR(B18="",B17=""),"",IFERROR(FIND(C17,C18)&gt;0,FALSE))</f>
        <v>0</v>
      </c>
      <c r="CL18" s="9" t="str">
        <f>IF(OR(B18="",B17=""),"",IFERROR(FIND(C17,C18),""))</f>
        <v/>
      </c>
      <c r="CM18" s="6" t="str" cm="1">
        <f t="array" ref="CM18">IF(OR(B18="",B17=""),"",_xlfn.LET(_xlpm.pv,D17,_xlpm.ra,BIGSUB(D18,_xlpm.pv),_xlpm.rb,BIGSUB(_xlpm.ra,_xlpm.pv),_xlpm.rc,BIGSUB(_xlpm.rb,_xlpm.pv),IF(LEFT(_xlpm.rb,1)="-",_xlpm.ra,IF(LEFT(_xlpm.rc,1)="-",_xlpm.rb,_xlpm.rc))))</f>
        <v>44313</v>
      </c>
      <c r="CN18" s="38">
        <f>IF(B18="","",F18-0.5)</f>
        <v>-3.78570556640625E-2</v>
      </c>
      <c r="CO18" s="15" t="str" cm="1">
        <f t="array" ref="CO18">IF(B18="","",_xlfn.TEXTJOIN("",,MID(B18,_xlfn.SEQUENCE(LEN(B18),,LEN(B18),-1),1)))</f>
        <v>f4671</v>
      </c>
      <c r="CP18" s="6" t="str" cm="1">
        <f t="array" ref="CP18">IF(B18="","",BASE2DEC(CO18,16))</f>
        <v>1001073</v>
      </c>
      <c r="CQ18" s="5" t="str">
        <f>IF(B18="","",IF(AND(LEN(B18)&lt;16,LEN(B18)=LEN(SUBSTITUTE(SUBSTITUTE(SUBSTITUTE(SUBSTITUTE(SUBSTITUTE(SUBSTITUTE(B18,"a",""),"b",""),"c",""),"d",""),"e",""),"f",""))),--B18,""))</f>
        <v/>
      </c>
      <c r="CR18" s="6" t="str" cm="1">
        <f t="array" ref="CR18">IF(B18="","",IF(LEN(D18)&lt;=15,BASE2DEC(D18,16),""))</f>
        <v>612387</v>
      </c>
      <c r="CS18" s="15" t="str" cm="1">
        <f t="array" ref="CS18">IF(B18="","",_xlfn.LET(_xlpm.p,REPT("0",MOD(-LEN(B18),4))&amp;B18,_xlfn.TEXTJOIN(" ",,MID(_xlpm.p,_xlfn.SEQUENCE(LEN(_xlpm.p)/4,,1,4),4))))</f>
        <v>0001 764f</v>
      </c>
      <c r="CT18" s="15" t="str" cm="1">
        <f t="array" ref="CT18">IF(B18="","",UPPER(_xlfn.LET(_xlpm.p,REPT("0",64-LEN(B18))&amp;B18,_xlfn.TEXTJOIN(" ",,MID(_xlpm.p,_xlfn.SEQUENCE(8,,1,8),8)))))</f>
        <v>00000000 00000000 00000000 00000000 00000000 00000000 00000000 0001764F</v>
      </c>
      <c r="CU18" s="6" t="str" cm="1">
        <f t="array" ref="CU18">IF(B18="","",IF(LEN(D18)&lt;=6,_xlfn.LET(_xlpm.n,VALUE(D18)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ninety-five thousand eight hundred twenty-three</v>
      </c>
      <c r="CV18" s="39" t="s">
        <v>4444</v>
      </c>
      <c r="CW18" s="39" t="s">
        <v>987</v>
      </c>
      <c r="CX18" s="39" t="s">
        <v>987</v>
      </c>
      <c r="CY18" s="7" t="s">
        <v>4508</v>
      </c>
      <c r="CZ18" s="39" t="s">
        <v>4444</v>
      </c>
      <c r="DA18" s="39" t="s">
        <v>4444</v>
      </c>
      <c r="DB18" s="39">
        <v>16</v>
      </c>
      <c r="DC18" s="7" t="s">
        <v>4509</v>
      </c>
      <c r="DD18" s="7" t="s">
        <v>4510</v>
      </c>
      <c r="DE18" s="7" t="s">
        <v>4511</v>
      </c>
      <c r="DF18" s="7" t="s">
        <v>4512</v>
      </c>
      <c r="DG18" s="7" t="s">
        <v>4513</v>
      </c>
      <c r="DH18" s="39" t="s">
        <v>4448</v>
      </c>
      <c r="DI18" s="7" t="s">
        <v>5083</v>
      </c>
      <c r="DJ18" s="7" t="s">
        <v>5084</v>
      </c>
      <c r="DK18" s="7" t="s">
        <v>5085</v>
      </c>
      <c r="DL18" s="7" t="s">
        <v>5086</v>
      </c>
      <c r="DM18" s="7" t="s">
        <v>5087</v>
      </c>
      <c r="DN18" s="7" t="s">
        <v>5088</v>
      </c>
      <c r="DO18" s="7" t="s">
        <v>5089</v>
      </c>
      <c r="DP18" s="7" t="s">
        <v>5090</v>
      </c>
      <c r="DQ18" s="7" t="s">
        <v>5091</v>
      </c>
      <c r="DR18" s="7" t="s">
        <v>5092</v>
      </c>
      <c r="DS18" s="7" t="s">
        <v>5771</v>
      </c>
      <c r="DT18" s="15" t="str" cm="1">
        <f t="array" ref="DT18">IF(B18="","",_xlfn.TEXTJOIN("",,HEX2BIN(MID(BQ18,_xlfn.SEQUENCE(40),1),4)))</f>
        <v>1110000011101001001110001001101111101010111011011110000010001111011110111011101100100011110101001100111011110100011000011000000100000110111101001111011000011110</v>
      </c>
    </row>
    <row r="19" spans="1:124" x14ac:dyDescent="0.25">
      <c r="A19" s="9">
        <v>18</v>
      </c>
      <c r="B19" s="15" t="s">
        <v>2468</v>
      </c>
      <c r="C19" s="15" t="s">
        <v>2469</v>
      </c>
      <c r="D19" s="6" t="s">
        <v>2470</v>
      </c>
      <c r="E19" s="6" t="s">
        <v>2471</v>
      </c>
      <c r="F19" s="10">
        <v>0.51572418212890625</v>
      </c>
      <c r="G19" s="9">
        <v>6</v>
      </c>
      <c r="H19" s="9">
        <v>0</v>
      </c>
      <c r="I19" s="15" t="s">
        <v>2472</v>
      </c>
      <c r="J19" s="9">
        <v>9</v>
      </c>
      <c r="K19" s="15" t="s">
        <v>2473</v>
      </c>
      <c r="L19" s="15" t="s">
        <v>2474</v>
      </c>
      <c r="M19" s="15" t="s">
        <v>2475</v>
      </c>
      <c r="N19" s="15" t="s">
        <v>2476</v>
      </c>
      <c r="O19" s="6" t="s">
        <v>2477</v>
      </c>
      <c r="P19" s="15" t="s">
        <v>2478</v>
      </c>
      <c r="Q19" s="15" t="s">
        <v>2479</v>
      </c>
      <c r="R19" s="6" t="s">
        <v>2480</v>
      </c>
      <c r="S19" s="15" t="s">
        <v>2481</v>
      </c>
      <c r="T19" s="11">
        <v>2.0732913809836888</v>
      </c>
      <c r="U19" s="10">
        <v>0.33333333333333331</v>
      </c>
      <c r="V19" s="7" t="s">
        <v>729</v>
      </c>
      <c r="W19" s="7" t="s">
        <v>730</v>
      </c>
      <c r="X19" s="7" t="s">
        <v>731</v>
      </c>
      <c r="Y19" s="15" t="s">
        <v>2482</v>
      </c>
      <c r="Z19" s="9">
        <v>10</v>
      </c>
      <c r="AA19" s="9">
        <v>12</v>
      </c>
      <c r="AB19" s="9">
        <v>79</v>
      </c>
      <c r="AC19" s="13">
        <v>0.47140452079103173</v>
      </c>
      <c r="AD19" s="13">
        <v>1.4142135623730951</v>
      </c>
      <c r="AE19" s="9">
        <v>6</v>
      </c>
      <c r="AF19" s="9">
        <v>39</v>
      </c>
      <c r="AG19" s="9">
        <v>3</v>
      </c>
      <c r="AH19" s="6" t="s">
        <v>2483</v>
      </c>
      <c r="AI19" s="10">
        <v>17.600007248708433</v>
      </c>
      <c r="AJ19" s="10">
        <v>16.044671599708344</v>
      </c>
      <c r="AK19" s="15" t="s">
        <v>2484</v>
      </c>
      <c r="AL19" s="15" t="s">
        <v>2485</v>
      </c>
      <c r="AM19" s="15" t="s">
        <v>2486</v>
      </c>
      <c r="AN19" s="9">
        <v>7</v>
      </c>
      <c r="AO19" s="9">
        <v>2</v>
      </c>
      <c r="AP19" s="9">
        <v>7</v>
      </c>
      <c r="AQ19" s="15" t="s">
        <v>2487</v>
      </c>
      <c r="AR19" s="9">
        <v>4</v>
      </c>
      <c r="AS19" s="6" t="s">
        <v>2054</v>
      </c>
      <c r="AT19" s="15" t="s">
        <v>2488</v>
      </c>
      <c r="AU19" s="9">
        <v>0</v>
      </c>
      <c r="AV19" s="9">
        <v>4</v>
      </c>
      <c r="AW19" s="9">
        <v>2</v>
      </c>
      <c r="AX19" s="9">
        <v>9</v>
      </c>
      <c r="AY19" s="9">
        <v>13</v>
      </c>
      <c r="AZ19" s="9">
        <v>2061</v>
      </c>
      <c r="BA19" s="6" t="s">
        <v>2489</v>
      </c>
      <c r="BB19" s="6" t="s">
        <v>2490</v>
      </c>
      <c r="BC19" s="6" t="s">
        <v>2491</v>
      </c>
      <c r="BD19" s="15" t="s">
        <v>2492</v>
      </c>
      <c r="BE19" s="15" t="s">
        <v>2493</v>
      </c>
      <c r="BF19" s="15" t="s">
        <v>2494</v>
      </c>
      <c r="BG19" s="15" t="s">
        <v>2061</v>
      </c>
      <c r="BH19" s="6" t="s">
        <v>2495</v>
      </c>
      <c r="BI19" s="17">
        <v>25571.299409722222</v>
      </c>
      <c r="BJ19" s="7" t="s">
        <v>1163</v>
      </c>
      <c r="BK19" s="7" t="s">
        <v>1164</v>
      </c>
      <c r="BL19" s="7" t="s">
        <v>1165</v>
      </c>
      <c r="BM19" s="16" t="s">
        <v>1166</v>
      </c>
      <c r="BN19" s="16" t="s">
        <v>1167</v>
      </c>
      <c r="BO19" s="16" t="s">
        <v>1168</v>
      </c>
      <c r="BP19" s="16" t="s">
        <v>1169</v>
      </c>
      <c r="BQ19" s="16" t="s">
        <v>1170</v>
      </c>
      <c r="BR19" s="7" t="s">
        <v>1171</v>
      </c>
      <c r="BS19" s="7" t="s">
        <v>1172</v>
      </c>
      <c r="BT19" s="7" t="s">
        <v>1173</v>
      </c>
      <c r="BU19" s="14">
        <v>1.715738970672061E-72</v>
      </c>
      <c r="BV19" s="15" t="s">
        <v>2496</v>
      </c>
      <c r="BW19" s="9">
        <v>9</v>
      </c>
      <c r="BX19" s="9">
        <v>13</v>
      </c>
      <c r="BY19" s="13">
        <v>0</v>
      </c>
      <c r="BZ19" s="13">
        <v>1.8856180831641269</v>
      </c>
      <c r="CA19" s="12">
        <f>IF(B19="","",IF(A19&lt;8,"",_xlfn.LET(_xlpm.n,A19,_xlpm.k,G19,_xlpm.R,AP19,_xlpm.mu,1+2*_xlpm.k*(_xlpm.n-_xlpm.k)/_xlpm.n,_xlpm.v,2*_xlpm.k*(_xlpm.n-_xlpm.k)*(2*_xlpm.k*(_xlpm.n-_xlpm.k)-_xlpm.n)/(_xlpm.n^2*(_xlpm.n-1)),IF(_xlpm.v&lt;=0,"",(_xlpm.R-_xlpm.mu)/SQRT(_xlpm.v)))))</f>
        <v>-1.1019463300386796</v>
      </c>
      <c r="CB19" s="37" cm="1">
        <f t="array" ref="CB19">IF(B19="","",IF(A19&lt;8,"",_xlfn.LET(_xlpm.b,--MID(C19,_xlfn.SEQUENCE(A19-1),1),_xlpm.c,--MID(C19,_xlfn.SEQUENCE(A19-1,,2),1),IFERROR(CORREL(_xlpm.b,_xlpm.c),""))))</f>
        <v>0.14999999999999994</v>
      </c>
      <c r="CC19" s="8">
        <f>IF(B19="","",LOG(A19,2))</f>
        <v>4.1699250014423122</v>
      </c>
      <c r="CD19" s="8">
        <f>IF(B19="","",MAX(AN19,AO19)-CC19)</f>
        <v>2.8300749985576878</v>
      </c>
      <c r="CE19" s="8" t="str" cm="1">
        <f t="array" ref="CE19">IF(B19="","",IF(LEN(B19)&lt;16,"",_xlfn.LET(_xlpm.d,MID("0123456789abcdef",_xlfn.SEQUENCE(16),1),_xlpm.c,LEN(B19)-LEN(SUBSTITUTE(B19,_xlpm.d,"")),_xlpm.ex,LEN(B19)/16,SUM((_xlpm.c-_xlpm.ex)^2/_xlpm.ex))))</f>
        <v/>
      </c>
      <c r="CF19" s="37" t="str">
        <f>IF(CE19="","",_xlfn.CHISQ.DIST.RT(CE19,15))</f>
        <v/>
      </c>
      <c r="CG19" s="9" cm="1">
        <f t="array" ref="CG19">IF(OR(B19="",B18=""),"",_xlfn.LET(_xlpm.a,C19,_xlpm.b,REPT("0",A19-LEN(C18))&amp;C18,_xlpm.m,MID(_xlpm.a,_xlfn.SEQUENCE(A19),1)=MID(_xlpm.b,_xlfn.SEQUENCE(A19),1),IFERROR(MATCH(FALSE,_xlpm.m,0)-1,A19)))</f>
        <v>0</v>
      </c>
      <c r="CH19" s="9" cm="1">
        <f t="array" ref="CH19">IF(OR(B19="",B18=""),"",_xlfn.LET(_xlpm.a,C19,_xlpm.b,REPT("0",A19-LEN(C18))&amp;C18,_xlpm.n,A19,_xlpm.m,MID(_xlpm.a,_xlfn.SEQUENCE(_xlpm.n,,_xlpm.n,-1),1)=MID(_xlpm.b,_xlfn.SEQUENCE(_xlpm.n,,_xlpm.n,-1),1),IFERROR(MATCH(FALSE,_xlpm.m,0)-1,_xlpm.n)))</f>
        <v>1</v>
      </c>
      <c r="CI19" s="38">
        <f>IF(OR(B19="",B18=""),"",F19-F18)</f>
        <v>5.358123779296875E-2</v>
      </c>
      <c r="CJ19" s="5" t="b">
        <f>IF(OR(B19="",B18=""),"",IFERROR(FIND(B18,B19)&gt;0,FALSE))</f>
        <v>0</v>
      </c>
      <c r="CK19" s="5" t="b">
        <f>IF(OR(B19="",B18=""),"",IFERROR(FIND(C18,C19)&gt;0,FALSE))</f>
        <v>0</v>
      </c>
      <c r="CL19" s="9" t="str">
        <f>IF(OR(B19="",B18=""),"",IFERROR(FIND(C18,C19),""))</f>
        <v/>
      </c>
      <c r="CM19" s="6" t="str" cm="1">
        <f t="array" ref="CM19">IF(OR(B19="",B18=""),"",_xlfn.LET(_xlpm.pv,D18,_xlpm.ra,BIGSUB(D19,_xlpm.pv),_xlpm.rb,BIGSUB(_xlpm.ra,_xlpm.pv),_xlpm.rc,BIGSUB(_xlpm.rb,_xlpm.pv),IF(LEFT(_xlpm.rb,1)="-",_xlpm.ra,IF(LEFT(_xlpm.rc,1)="-",_xlpm.rb,_xlpm.rc))))</f>
        <v>7023</v>
      </c>
      <c r="CN19" s="38">
        <f>IF(B19="","",F19-0.5)</f>
        <v>1.572418212890625E-2</v>
      </c>
      <c r="CO19" s="15" t="str" cm="1">
        <f t="array" ref="CO19">IF(B19="","",_xlfn.TEXTJOIN("",,MID(B19,_xlfn.SEQUENCE(LEN(B19),,LEN(B19),-1),1)))</f>
        <v>d0803</v>
      </c>
      <c r="CP19" s="6" t="str" cm="1">
        <f t="array" ref="CP19">IF(B19="","",BASE2DEC(CO19,16))</f>
        <v>854019</v>
      </c>
      <c r="CQ19" s="5" t="str">
        <f>IF(B19="","",IF(AND(LEN(B19)&lt;16,LEN(B19)=LEN(SUBSTITUTE(SUBSTITUTE(SUBSTITUTE(SUBSTITUTE(SUBSTITUTE(SUBSTITUTE(B19,"a",""),"b",""),"c",""),"d",""),"e",""),"f",""))),--B19,""))</f>
        <v/>
      </c>
      <c r="CR19" s="6" t="str" cm="1">
        <f t="array" ref="CR19">IF(B19="","",IF(LEN(D19)&lt;=15,BASE2DEC(D19,16),""))</f>
        <v>1672809</v>
      </c>
      <c r="CS19" s="15" t="str" cm="1">
        <f t="array" ref="CS19">IF(B19="","",_xlfn.LET(_xlpm.p,REPT("0",MOD(-LEN(B19),4))&amp;B19,_xlfn.TEXTJOIN(" ",,MID(_xlpm.p,_xlfn.SEQUENCE(LEN(_xlpm.p)/4,,1,4),4))))</f>
        <v>0003 080d</v>
      </c>
      <c r="CT19" s="15" t="str" cm="1">
        <f t="array" ref="CT19">IF(B19="","",UPPER(_xlfn.LET(_xlpm.p,REPT("0",64-LEN(B19))&amp;B19,_xlfn.TEXTJOIN(" ",,MID(_xlpm.p,_xlfn.SEQUENCE(8,,1,8),8)))))</f>
        <v>00000000 00000000 00000000 00000000 00000000 00000000 00000000 0003080D</v>
      </c>
      <c r="CU19" s="6" t="str" cm="1">
        <f t="array" ref="CU19">IF(B19="","",IF(LEN(D19)&lt;=6,_xlfn.LET(_xlpm.n,VALUE(D19)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one hundred ninety-eight thousand six hundred sixty-nine</v>
      </c>
      <c r="CV19" s="39" t="s">
        <v>4444</v>
      </c>
      <c r="CW19" s="39" t="s">
        <v>987</v>
      </c>
      <c r="CX19" s="39" t="s">
        <v>987</v>
      </c>
      <c r="CY19" s="7" t="s">
        <v>4514</v>
      </c>
      <c r="CZ19" s="39" t="s">
        <v>4444</v>
      </c>
      <c r="DA19" s="39" t="s">
        <v>4444</v>
      </c>
      <c r="DB19" s="39">
        <v>18</v>
      </c>
      <c r="DC19" s="7" t="s">
        <v>4515</v>
      </c>
      <c r="DD19" s="7" t="s">
        <v>4516</v>
      </c>
      <c r="DE19" s="7" t="s">
        <v>4517</v>
      </c>
      <c r="DF19" s="7" t="s">
        <v>4518</v>
      </c>
      <c r="DG19" s="7" t="s">
        <v>2179</v>
      </c>
      <c r="DH19" s="39" t="s">
        <v>4448</v>
      </c>
      <c r="DI19" s="7" t="s">
        <v>5093</v>
      </c>
      <c r="DJ19" s="7" t="s">
        <v>5094</v>
      </c>
      <c r="DK19" s="7" t="s">
        <v>5095</v>
      </c>
      <c r="DL19" s="7" t="s">
        <v>5096</v>
      </c>
      <c r="DM19" s="7" t="s">
        <v>5097</v>
      </c>
      <c r="DN19" s="7" t="s">
        <v>5098</v>
      </c>
      <c r="DO19" s="7" t="s">
        <v>5099</v>
      </c>
      <c r="DP19" s="7" t="s">
        <v>5100</v>
      </c>
      <c r="DQ19" s="7" t="s">
        <v>5101</v>
      </c>
      <c r="DR19" s="7" t="s">
        <v>5102</v>
      </c>
      <c r="DS19" s="7" t="s">
        <v>5772</v>
      </c>
      <c r="DT19" s="15" t="str" cm="1">
        <f t="array" ref="DT19">IF(B19="","",_xlfn.TEXTJOIN("",,HEX2BIN(MID(BQ19,_xlfn.SEQUENCE(40),1),4)))</f>
        <v>0010110101110011010000010100111101100010110010010000110100111110111011010100101011110001010100000101110110110100110110010101010101011011011110111000100000111100</v>
      </c>
    </row>
    <row r="20" spans="1:124" x14ac:dyDescent="0.25">
      <c r="A20" s="9">
        <v>19</v>
      </c>
      <c r="B20" s="15" t="s">
        <v>2497</v>
      </c>
      <c r="C20" s="15" t="s">
        <v>2498</v>
      </c>
      <c r="D20" s="6" t="s">
        <v>2499</v>
      </c>
      <c r="E20" s="6" t="s">
        <v>2500</v>
      </c>
      <c r="F20" s="10">
        <v>0.36388778686523438</v>
      </c>
      <c r="G20" s="9">
        <v>12</v>
      </c>
      <c r="H20" s="9">
        <v>0</v>
      </c>
      <c r="I20" s="15" t="s">
        <v>2501</v>
      </c>
      <c r="J20" s="9">
        <v>10</v>
      </c>
      <c r="K20" s="15" t="s">
        <v>2502</v>
      </c>
      <c r="L20" s="15" t="s">
        <v>2503</v>
      </c>
      <c r="M20" s="15" t="s">
        <v>2504</v>
      </c>
      <c r="N20" s="15" t="s">
        <v>2505</v>
      </c>
      <c r="O20" s="6" t="s">
        <v>2506</v>
      </c>
      <c r="P20" s="15" t="s">
        <v>2507</v>
      </c>
      <c r="Q20" s="15" t="s">
        <v>2508</v>
      </c>
      <c r="R20" s="6" t="s">
        <v>2509</v>
      </c>
      <c r="S20" s="15" t="s">
        <v>2510</v>
      </c>
      <c r="T20" s="11">
        <v>1.7996516819433328</v>
      </c>
      <c r="U20" s="10">
        <v>0.63157894736842102</v>
      </c>
      <c r="V20" s="7" t="s">
        <v>732</v>
      </c>
      <c r="W20" s="7" t="s">
        <v>733</v>
      </c>
      <c r="X20" s="7" t="s">
        <v>734</v>
      </c>
      <c r="Y20" s="15" t="s">
        <v>2511</v>
      </c>
      <c r="Z20" s="9">
        <v>8</v>
      </c>
      <c r="AA20" s="9">
        <v>6</v>
      </c>
      <c r="AB20" s="9">
        <v>87</v>
      </c>
      <c r="AC20" s="13">
        <v>-0.68824720161168518</v>
      </c>
      <c r="AD20" s="13">
        <v>-1.6059101370939322</v>
      </c>
      <c r="AE20" s="9">
        <v>6</v>
      </c>
      <c r="AF20" s="9">
        <v>28</v>
      </c>
      <c r="AG20" s="9">
        <v>1</v>
      </c>
      <c r="AH20" s="6" t="s">
        <v>2512</v>
      </c>
      <c r="AI20" s="10">
        <v>18.447724952285437</v>
      </c>
      <c r="AJ20" s="10">
        <v>16.541565536054122</v>
      </c>
      <c r="AK20" s="15" t="s">
        <v>2513</v>
      </c>
      <c r="AL20" s="15" t="s">
        <v>2514</v>
      </c>
      <c r="AM20" s="15" t="s">
        <v>2515</v>
      </c>
      <c r="AN20" s="9">
        <v>2</v>
      </c>
      <c r="AO20" s="9">
        <v>5</v>
      </c>
      <c r="AP20" s="9">
        <v>11</v>
      </c>
      <c r="AQ20" s="15" t="s">
        <v>2516</v>
      </c>
      <c r="AR20" s="9">
        <v>5</v>
      </c>
      <c r="AS20" s="6" t="s">
        <v>1896</v>
      </c>
      <c r="AT20" s="15" t="s">
        <v>2517</v>
      </c>
      <c r="AU20" s="9">
        <v>1</v>
      </c>
      <c r="AV20" s="9">
        <v>0</v>
      </c>
      <c r="AW20" s="9">
        <v>3</v>
      </c>
      <c r="AX20" s="9">
        <v>2</v>
      </c>
      <c r="AY20" s="9">
        <v>159</v>
      </c>
      <c r="AZ20" s="9">
        <v>29855</v>
      </c>
      <c r="BA20" s="6" t="s">
        <v>2518</v>
      </c>
      <c r="BB20" s="6" t="s">
        <v>2519</v>
      </c>
      <c r="BC20" s="6" t="s">
        <v>2520</v>
      </c>
      <c r="BD20" s="15" t="s">
        <v>2521</v>
      </c>
      <c r="BE20" s="15" t="s">
        <v>2522</v>
      </c>
      <c r="BF20" s="15" t="s">
        <v>2523</v>
      </c>
      <c r="BG20" s="15" t="s">
        <v>2524</v>
      </c>
      <c r="BH20" s="6" t="s">
        <v>2525</v>
      </c>
      <c r="BI20" s="17">
        <v>25573.138136574074</v>
      </c>
      <c r="BJ20" s="7" t="s">
        <v>1174</v>
      </c>
      <c r="BK20" s="7" t="s">
        <v>1175</v>
      </c>
      <c r="BL20" s="7" t="s">
        <v>1176</v>
      </c>
      <c r="BM20" s="16" t="s">
        <v>1177</v>
      </c>
      <c r="BN20" s="16" t="s">
        <v>1178</v>
      </c>
      <c r="BO20" s="16" t="s">
        <v>1179</v>
      </c>
      <c r="BP20" s="16" t="s">
        <v>1180</v>
      </c>
      <c r="BQ20" s="16" t="s">
        <v>1181</v>
      </c>
      <c r="BR20" s="7" t="s">
        <v>1182</v>
      </c>
      <c r="BS20" s="7" t="s">
        <v>1183</v>
      </c>
      <c r="BT20" s="7" t="s">
        <v>1184</v>
      </c>
      <c r="BU20" s="14">
        <v>3.0877325243456973E-72</v>
      </c>
      <c r="BV20" s="15" t="s">
        <v>2526</v>
      </c>
      <c r="BW20" s="9">
        <v>11</v>
      </c>
      <c r="BX20" s="9">
        <v>12</v>
      </c>
      <c r="BY20" s="13">
        <v>0.68824720161168518</v>
      </c>
      <c r="BZ20" s="13">
        <v>1.1470786693528088</v>
      </c>
      <c r="CA20" s="12">
        <f>IF(B20="","",IF(A20&lt;8,"",_xlfn.LET(_xlpm.n,A20,_xlpm.k,G20,_xlpm.R,AP20,_xlpm.mu,1+2*_xlpm.k*(_xlpm.n-_xlpm.k)/_xlpm.n,_xlpm.v,2*_xlpm.k*(_xlpm.n-_xlpm.k)*(2*_xlpm.k*(_xlpm.n-_xlpm.k)-_xlpm.n)/(_xlpm.n^2*(_xlpm.n-1)),IF(_xlpm.v&lt;=0,"",(_xlpm.R-_xlpm.mu)/SQRT(_xlpm.v)))))</f>
        <v>0.58994450232182871</v>
      </c>
      <c r="CB20" s="37" cm="1">
        <f t="array" ref="CB20">IF(B20="","",IF(A20&lt;8,"",_xlfn.LET(_xlpm.b,--MID(C20,_xlfn.SEQUENCE(A20-1),1),_xlpm.c,--MID(C20,_xlfn.SEQUENCE(A20-1,,2),1),IFERROR(CORREL(_xlpm.b,_xlpm.c),""))))</f>
        <v>-0.16883116883116869</v>
      </c>
      <c r="CC20" s="8">
        <f>IF(B20="","",LOG(A20,2))</f>
        <v>4.2479275134435852</v>
      </c>
      <c r="CD20" s="8">
        <f>IF(B20="","",MAX(AN20,AO20)-CC20)</f>
        <v>0.75207248655641479</v>
      </c>
      <c r="CE20" s="8" t="str" cm="1">
        <f t="array" ref="CE20">IF(B20="","",IF(LEN(B20)&lt;16,"",_xlfn.LET(_xlpm.d,MID("0123456789abcdef",_xlfn.SEQUENCE(16),1),_xlpm.c,LEN(B20)-LEN(SUBSTITUTE(B20,_xlpm.d,"")),_xlpm.ex,LEN(B20)/16,SUM((_xlpm.c-_xlpm.ex)^2/_xlpm.ex))))</f>
        <v/>
      </c>
      <c r="CF20" s="37" t="str">
        <f>IF(CE20="","",_xlfn.CHISQ.DIST.RT(CE20,15))</f>
        <v/>
      </c>
      <c r="CG20" s="9" cm="1">
        <f t="array" ref="CG20">IF(OR(B20="",B19=""),"",_xlfn.LET(_xlpm.a,C20,_xlpm.b,REPT("0",A20-LEN(C19))&amp;C19,_xlpm.m,MID(_xlpm.a,_xlfn.SEQUENCE(A20),1)=MID(_xlpm.b,_xlfn.SEQUENCE(A20),1),IFERROR(MATCH(FALSE,_xlpm.m,0)-1,A20)))</f>
        <v>0</v>
      </c>
      <c r="CH20" s="9" cm="1">
        <f t="array" ref="CH20">IF(OR(B20="",B19=""),"",_xlfn.LET(_xlpm.a,C20,_xlpm.b,REPT("0",A20-LEN(C19))&amp;C19,_xlpm.n,A20,_xlpm.m,MID(_xlpm.a,_xlfn.SEQUENCE(_xlpm.n,,_xlpm.n,-1),1)=MID(_xlpm.b,_xlfn.SEQUENCE(_xlpm.n,,_xlpm.n,-1),1),IFERROR(MATCH(FALSE,_xlpm.m,0)-1,_xlpm.n)))</f>
        <v>1</v>
      </c>
      <c r="CI20" s="38">
        <f>IF(OR(B20="",B19=""),"",F20-F19)</f>
        <v>-0.15183639526367188</v>
      </c>
      <c r="CJ20" s="5" t="b">
        <f>IF(OR(B20="",B19=""),"",IFERROR(FIND(B19,B20)&gt;0,FALSE))</f>
        <v>0</v>
      </c>
      <c r="CK20" s="5" t="b">
        <f>IF(OR(B20="",B19=""),"",IFERROR(FIND(C19,C20)&gt;0,FALSE))</f>
        <v>0</v>
      </c>
      <c r="CL20" s="9" t="str">
        <f>IF(OR(B20="",B19=""),"",IFERROR(FIND(C19,C20),""))</f>
        <v/>
      </c>
      <c r="CM20" s="6" t="str" cm="1">
        <f t="array" ref="CM20">IF(OR(B20="",B19=""),"",_xlfn.LET(_xlpm.pv,D19,_xlpm.ra,BIGSUB(D20,_xlpm.pv),_xlpm.rb,BIGSUB(_xlpm.ra,_xlpm.pv),_xlpm.rc,BIGSUB(_xlpm.rb,_xlpm.pv),IF(LEFT(_xlpm.rb,1)="-",_xlpm.ra,IF(LEFT(_xlpm.rc,1)="-",_xlpm.rb,_xlpm.rc))))</f>
        <v>158866</v>
      </c>
      <c r="CN20" s="38">
        <f>IF(B20="","",F20-0.5)</f>
        <v>-0.13611221313476563</v>
      </c>
      <c r="CO20" s="15" t="str" cm="1">
        <f t="array" ref="CO20">IF(B20="","",_xlfn.TEXTJOIN("",,MID(B20,_xlfn.SEQUENCE(LEN(B20),,LEN(B20),-1),1)))</f>
        <v>f9475</v>
      </c>
      <c r="CP20" s="6" t="str" cm="1">
        <f t="array" ref="CP20">IF(B20="","",BASE2DEC(CO20,16))</f>
        <v>1021045</v>
      </c>
      <c r="CQ20" s="5" t="str">
        <f>IF(B20="","",IF(AND(LEN(B20)&lt;16,LEN(B20)=LEN(SUBSTITUTE(SUBSTITUTE(SUBSTITUTE(SUBSTITUTE(SUBSTITUTE(SUBSTITUTE(B20,"a",""),"b",""),"c",""),"d",""),"e",""),"f",""))),--B20,""))</f>
        <v/>
      </c>
      <c r="CR20" s="6" t="str" cm="1">
        <f t="array" ref="CR20">IF(B20="","",IF(LEN(D20)&lt;=15,BASE2DEC(D20,16),""))</f>
        <v>3503413</v>
      </c>
      <c r="CS20" s="15" t="str" cm="1">
        <f t="array" ref="CS20">IF(B20="","",_xlfn.LET(_xlpm.p,REPT("0",MOD(-LEN(B20),4))&amp;B20,_xlfn.TEXTJOIN(" ",,MID(_xlpm.p,_xlfn.SEQUENCE(LEN(_xlpm.p)/4,,1,4),4))))</f>
        <v>0005 749f</v>
      </c>
      <c r="CT20" s="15" t="str" cm="1">
        <f t="array" ref="CT20">IF(B20="","",UPPER(_xlfn.LET(_xlpm.p,REPT("0",64-LEN(B20))&amp;B20,_xlfn.TEXTJOIN(" ",,MID(_xlpm.p,_xlfn.SEQUENCE(8,,1,8),8)))))</f>
        <v>00000000 00000000 00000000 00000000 00000000 00000000 00000000 0005749F</v>
      </c>
      <c r="CU20" s="6" t="str" cm="1">
        <f t="array" ref="CU20">IF(B20="","",IF(LEN(D20)&lt;=6,_xlfn.LET(_xlpm.n,VALUE(D20)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three hundred fifty-seven thousand five hundred thirty-five</v>
      </c>
      <c r="CV20" s="39" t="s">
        <v>4444</v>
      </c>
      <c r="CW20" s="39" t="s">
        <v>2104</v>
      </c>
      <c r="CX20" s="39" t="s">
        <v>987</v>
      </c>
      <c r="CY20" s="7" t="s">
        <v>4519</v>
      </c>
      <c r="CZ20" s="39" t="s">
        <v>4444</v>
      </c>
      <c r="DA20" s="39" t="s">
        <v>4444</v>
      </c>
      <c r="DB20" s="39">
        <v>18</v>
      </c>
      <c r="DC20" s="7" t="s">
        <v>4520</v>
      </c>
      <c r="DD20" s="7" t="s">
        <v>4521</v>
      </c>
      <c r="DE20" s="7" t="s">
        <v>4522</v>
      </c>
      <c r="DF20" s="7" t="s">
        <v>4523</v>
      </c>
      <c r="DG20" s="7" t="s">
        <v>1901</v>
      </c>
      <c r="DH20" s="39" t="s">
        <v>4448</v>
      </c>
      <c r="DI20" s="7" t="s">
        <v>5103</v>
      </c>
      <c r="DJ20" s="7" t="s">
        <v>5104</v>
      </c>
      <c r="DK20" s="7" t="s">
        <v>5105</v>
      </c>
      <c r="DL20" s="7" t="s">
        <v>5106</v>
      </c>
      <c r="DM20" s="7" t="s">
        <v>5107</v>
      </c>
      <c r="DN20" s="7" t="s">
        <v>5108</v>
      </c>
      <c r="DO20" s="7" t="s">
        <v>5109</v>
      </c>
      <c r="DP20" s="7" t="s">
        <v>5110</v>
      </c>
      <c r="DQ20" s="7" t="s">
        <v>5111</v>
      </c>
      <c r="DR20" s="7" t="s">
        <v>5112</v>
      </c>
      <c r="DS20" s="7" t="s">
        <v>5773</v>
      </c>
      <c r="DT20" s="15" t="str" cm="1">
        <f t="array" ref="DT20">IF(B20="","",_xlfn.TEXTJOIN("",,HEX2BIN(MID(BQ20,_xlfn.SEQUENCE(40),1),4)))</f>
        <v>0111010101001010111010101010011111110111001101101101110100011001001010010100011011101101111100111100001010110111100100100110100000011100110111101011000000000011</v>
      </c>
    </row>
    <row r="21" spans="1:124" x14ac:dyDescent="0.25">
      <c r="A21" s="9">
        <v>20</v>
      </c>
      <c r="B21" s="15" t="s">
        <v>2527</v>
      </c>
      <c r="C21" s="15" t="s">
        <v>2528</v>
      </c>
      <c r="D21" s="6" t="s">
        <v>2529</v>
      </c>
      <c r="E21" s="6" t="s">
        <v>2530</v>
      </c>
      <c r="F21" s="10">
        <v>0.64664649963378906</v>
      </c>
      <c r="G21" s="9">
        <v>10</v>
      </c>
      <c r="H21" s="9">
        <v>0</v>
      </c>
      <c r="I21" s="15" t="s">
        <v>2531</v>
      </c>
      <c r="J21" s="9">
        <v>8</v>
      </c>
      <c r="K21" s="15" t="s">
        <v>2532</v>
      </c>
      <c r="L21" s="15" t="s">
        <v>2533</v>
      </c>
      <c r="M21" s="15" t="s">
        <v>2534</v>
      </c>
      <c r="N21" s="15" t="s">
        <v>2535</v>
      </c>
      <c r="O21" s="6" t="s">
        <v>2536</v>
      </c>
      <c r="P21" s="15" t="s">
        <v>2537</v>
      </c>
      <c r="Q21" s="15" t="s">
        <v>2538</v>
      </c>
      <c r="R21" s="6" t="s">
        <v>2539</v>
      </c>
      <c r="S21" s="15" t="s">
        <v>2540</v>
      </c>
      <c r="T21" s="11">
        <v>2.4146363293104169</v>
      </c>
      <c r="U21" s="10">
        <v>0.5</v>
      </c>
      <c r="V21" s="7" t="s">
        <v>735</v>
      </c>
      <c r="W21" s="7" t="s">
        <v>736</v>
      </c>
      <c r="X21" s="7" t="s">
        <v>737</v>
      </c>
      <c r="Y21" s="15" t="s">
        <v>2541</v>
      </c>
      <c r="Z21" s="9">
        <v>8</v>
      </c>
      <c r="AA21" s="9">
        <v>10</v>
      </c>
      <c r="AB21" s="9">
        <v>80</v>
      </c>
      <c r="AC21" s="13">
        <v>-0.89442719099991586</v>
      </c>
      <c r="AD21" s="13">
        <v>0</v>
      </c>
      <c r="AE21" s="9">
        <v>6</v>
      </c>
      <c r="AF21" s="9">
        <v>28</v>
      </c>
      <c r="AG21" s="9">
        <v>1</v>
      </c>
      <c r="AH21" s="6" t="s">
        <v>2542</v>
      </c>
      <c r="AI21" s="10">
        <v>19.719530872026152</v>
      </c>
      <c r="AJ21" s="10">
        <v>18.371049158909788</v>
      </c>
      <c r="AK21" s="15" t="s">
        <v>2543</v>
      </c>
      <c r="AL21" s="15" t="s">
        <v>2544</v>
      </c>
      <c r="AM21" s="15" t="s">
        <v>2545</v>
      </c>
      <c r="AN21" s="9">
        <v>3</v>
      </c>
      <c r="AO21" s="9">
        <v>2</v>
      </c>
      <c r="AP21" s="9">
        <v>15</v>
      </c>
      <c r="AQ21" s="15" t="s">
        <v>2546</v>
      </c>
      <c r="AR21" s="9">
        <v>4</v>
      </c>
      <c r="AS21" s="6" t="s">
        <v>2104</v>
      </c>
      <c r="AT21" s="15" t="s">
        <v>2547</v>
      </c>
      <c r="AU21" s="9">
        <v>1</v>
      </c>
      <c r="AV21" s="9">
        <v>2</v>
      </c>
      <c r="AW21" s="9">
        <v>0</v>
      </c>
      <c r="AX21" s="9">
        <v>4</v>
      </c>
      <c r="AY21" s="9">
        <v>85</v>
      </c>
      <c r="AZ21" s="9">
        <v>11349</v>
      </c>
      <c r="BA21" s="6" t="s">
        <v>2548</v>
      </c>
      <c r="BB21" s="6" t="s">
        <v>2549</v>
      </c>
      <c r="BC21" s="6" t="s">
        <v>2550</v>
      </c>
      <c r="BD21" s="15" t="s">
        <v>2551</v>
      </c>
      <c r="BE21" s="15" t="s">
        <v>2552</v>
      </c>
      <c r="BF21" s="15" t="s">
        <v>2553</v>
      </c>
      <c r="BG21" s="15" t="s">
        <v>2554</v>
      </c>
      <c r="BH21" s="6" t="s">
        <v>2555</v>
      </c>
      <c r="BI21" s="17">
        <v>25578.992094907408</v>
      </c>
      <c r="BJ21" s="7" t="s">
        <v>1185</v>
      </c>
      <c r="BK21" s="7" t="s">
        <v>1186</v>
      </c>
      <c r="BL21" s="7" t="s">
        <v>1187</v>
      </c>
      <c r="BM21" s="16" t="s">
        <v>1188</v>
      </c>
      <c r="BN21" s="16" t="s">
        <v>1189</v>
      </c>
      <c r="BO21" s="16" t="s">
        <v>1190</v>
      </c>
      <c r="BP21" s="16" t="s">
        <v>1191</v>
      </c>
      <c r="BQ21" s="16" t="s">
        <v>1192</v>
      </c>
      <c r="BR21" s="7" t="s">
        <v>1193</v>
      </c>
      <c r="BS21" s="7" t="s">
        <v>1194</v>
      </c>
      <c r="BT21" s="7" t="s">
        <v>1195</v>
      </c>
      <c r="BU21" s="14">
        <v>7.4557511284784827E-72</v>
      </c>
      <c r="BV21" s="15" t="s">
        <v>2556</v>
      </c>
      <c r="BW21" s="9">
        <v>8</v>
      </c>
      <c r="BX21" s="9">
        <v>12</v>
      </c>
      <c r="BY21" s="13">
        <v>-0.89442719099991586</v>
      </c>
      <c r="BZ21" s="13">
        <v>0.89442719099991586</v>
      </c>
      <c r="CA21" s="12">
        <f>IF(B21="","",IF(A21&lt;8,"",_xlfn.LET(_xlpm.n,A21,_xlpm.k,G21,_xlpm.R,AP21,_xlpm.mu,1+2*_xlpm.k*(_xlpm.n-_xlpm.k)/_xlpm.n,_xlpm.v,2*_xlpm.k*(_xlpm.n-_xlpm.k)*(2*_xlpm.k*(_xlpm.n-_xlpm.k)-_xlpm.n)/(_xlpm.n^2*(_xlpm.n-1)),IF(_xlpm.v&lt;=0,"",(_xlpm.R-_xlpm.mu)/SQRT(_xlpm.v)))))</f>
        <v>1.837873166945363</v>
      </c>
      <c r="CB21" s="37" cm="1">
        <f t="array" ref="CB21">IF(B21="","",IF(A21&lt;8,"",_xlfn.LET(_xlpm.b,--MID(C21,_xlfn.SEQUENCE(A21-1),1),_xlpm.c,--MID(C21,_xlfn.SEQUENCE(A21-1,,2),1),IFERROR(CORREL(_xlpm.b,_xlpm.c),""))))</f>
        <v>-0.47777777777777786</v>
      </c>
      <c r="CC21" s="8">
        <f>IF(B21="","",LOG(A21,2))</f>
        <v>4.3219280948873626</v>
      </c>
      <c r="CD21" s="8">
        <f>IF(B21="","",MAX(AN21,AO21)-CC21)</f>
        <v>-1.3219280948873626</v>
      </c>
      <c r="CE21" s="8" t="str" cm="1">
        <f t="array" ref="CE21">IF(B21="","",IF(LEN(B21)&lt;16,"",_xlfn.LET(_xlpm.d,MID("0123456789abcdef",_xlfn.SEQUENCE(16),1),_xlpm.c,LEN(B21)-LEN(SUBSTITUTE(B21,_xlpm.d,"")),_xlpm.ex,LEN(B21)/16,SUM((_xlpm.c-_xlpm.ex)^2/_xlpm.ex))))</f>
        <v/>
      </c>
      <c r="CF21" s="37" t="str">
        <f>IF(CE21="","",_xlfn.CHISQ.DIST.RT(CE21,15))</f>
        <v/>
      </c>
      <c r="CG21" s="9" cm="1">
        <f t="array" ref="CG21">IF(OR(B21="",B20=""),"",_xlfn.LET(_xlpm.a,C21,_xlpm.b,REPT("0",A21-LEN(C20))&amp;C20,_xlpm.m,MID(_xlpm.a,_xlfn.SEQUENCE(A21),1)=MID(_xlpm.b,_xlfn.SEQUENCE(A21),1),IFERROR(MATCH(FALSE,_xlpm.m,0)-1,A21)))</f>
        <v>0</v>
      </c>
      <c r="CH21" s="9" cm="1">
        <f t="array" ref="CH21">IF(OR(B21="",B20=""),"",_xlfn.LET(_xlpm.a,C21,_xlpm.b,REPT("0",A21-LEN(C20))&amp;C20,_xlpm.n,A21,_xlpm.m,MID(_xlpm.a,_xlfn.SEQUENCE(_xlpm.n,,_xlpm.n,-1),1)=MID(_xlpm.b,_xlfn.SEQUENCE(_xlpm.n,,_xlpm.n,-1),1),IFERROR(MATCH(FALSE,_xlpm.m,0)-1,_xlpm.n)))</f>
        <v>1</v>
      </c>
      <c r="CI21" s="38">
        <f>IF(OR(B21="",B20=""),"",F21-F20)</f>
        <v>0.28275871276855469</v>
      </c>
      <c r="CJ21" s="5" t="b">
        <f>IF(OR(B21="",B20=""),"",IFERROR(FIND(B20,B21)&gt;0,FALSE))</f>
        <v>0</v>
      </c>
      <c r="CK21" s="5" t="b">
        <f>IF(OR(B21="",B20=""),"",IFERROR(FIND(C20,C21)&gt;0,FALSE))</f>
        <v>0</v>
      </c>
      <c r="CL21" s="9" t="str">
        <f>IF(OR(B21="",B20=""),"",IFERROR(FIND(C20,C21),""))</f>
        <v/>
      </c>
      <c r="CM21" s="6" t="str" cm="1">
        <f t="array" ref="CM21">IF(OR(B21="",B20=""),"",_xlfn.LET(_xlpm.pv,D20,_xlpm.ra,BIGSUB(D21,_xlpm.pv),_xlpm.rb,BIGSUB(_xlpm.ra,_xlpm.pv),_xlpm.rc,BIGSUB(_xlpm.rb,_xlpm.pv),IF(LEFT(_xlpm.rb,1)="-",_xlpm.ra,IF(LEFT(_xlpm.rc,1)="-",_xlpm.rb,_xlpm.rc))))</f>
        <v>148247</v>
      </c>
      <c r="CN21" s="38">
        <f>IF(B21="","",F21-0.5)</f>
        <v>0.14664649963378906</v>
      </c>
      <c r="CO21" s="15" t="str" cm="1">
        <f t="array" ref="CO21">IF(B21="","",_xlfn.TEXTJOIN("",,MID(B21,_xlfn.SEQUENCE(LEN(B21),,LEN(B21),-1),1)))</f>
        <v>55c2d</v>
      </c>
      <c r="CP21" s="6" t="str" cm="1">
        <f t="array" ref="CP21">IF(B21="","",BASE2DEC(CO21,16))</f>
        <v>351277</v>
      </c>
      <c r="CQ21" s="5" t="str">
        <f>IF(B21="","",IF(AND(LEN(B21)&lt;16,LEN(B21)=LEN(SUBSTITUTE(SUBSTITUTE(SUBSTITUTE(SUBSTITUTE(SUBSTITUTE(SUBSTITUTE(B21,"a",""),"b",""),"c",""),"d",""),"e",""),"f",""))),--B21,""))</f>
        <v/>
      </c>
      <c r="CR21" s="6" t="str" cm="1">
        <f t="array" ref="CR21">IF(B21="","",IF(LEN(D21)&lt;=15,BASE2DEC(D21,16),""))</f>
        <v>8794903</v>
      </c>
      <c r="CS21" s="15" t="str" cm="1">
        <f t="array" ref="CS21">IF(B21="","",_xlfn.LET(_xlpm.p,REPT("0",MOD(-LEN(B21),4))&amp;B21,_xlfn.TEXTJOIN(" ",,MID(_xlpm.p,_xlfn.SEQUENCE(LEN(_xlpm.p)/4,,1,4),4))))</f>
        <v>000d 2c55</v>
      </c>
      <c r="CT21" s="15" t="str" cm="1">
        <f t="array" ref="CT21">IF(B21="","",UPPER(_xlfn.LET(_xlpm.p,REPT("0",64-LEN(B21))&amp;B21,_xlfn.TEXTJOIN(" ",,MID(_xlpm.p,_xlfn.SEQUENCE(8,,1,8),8)))))</f>
        <v>00000000 00000000 00000000 00000000 00000000 00000000 00000000 000D2C55</v>
      </c>
      <c r="CU21" s="6" t="str" cm="1">
        <f t="array" ref="CU21">IF(B21="","",IF(LEN(D21)&lt;=6,_xlfn.LET(_xlpm.n,VALUE(D21)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eight hundred sixty-three thousand three hundred seventeen</v>
      </c>
      <c r="CV21" s="39" t="s">
        <v>4444</v>
      </c>
      <c r="CW21" s="39" t="s">
        <v>998</v>
      </c>
      <c r="CX21" s="39" t="s">
        <v>1896</v>
      </c>
      <c r="CY21" s="7" t="s">
        <v>4524</v>
      </c>
      <c r="CZ21" s="39" t="s">
        <v>4444</v>
      </c>
      <c r="DA21" s="39" t="s">
        <v>4444</v>
      </c>
      <c r="DB21" s="39">
        <v>20</v>
      </c>
      <c r="DC21" s="7" t="s">
        <v>4525</v>
      </c>
      <c r="DD21" s="7" t="s">
        <v>4526</v>
      </c>
      <c r="DE21" s="7" t="s">
        <v>4527</v>
      </c>
      <c r="DF21" s="7" t="s">
        <v>4528</v>
      </c>
      <c r="DG21" s="7" t="s">
        <v>4529</v>
      </c>
      <c r="DH21" s="39" t="s">
        <v>4448</v>
      </c>
      <c r="DI21" s="7" t="s">
        <v>5113</v>
      </c>
      <c r="DJ21" s="7" t="s">
        <v>5114</v>
      </c>
      <c r="DK21" s="7" t="s">
        <v>5115</v>
      </c>
      <c r="DL21" s="7" t="s">
        <v>5116</v>
      </c>
      <c r="DM21" s="7" t="s">
        <v>5117</v>
      </c>
      <c r="DN21" s="7" t="s">
        <v>5118</v>
      </c>
      <c r="DO21" s="7" t="s">
        <v>5119</v>
      </c>
      <c r="DP21" s="7" t="s">
        <v>5120</v>
      </c>
      <c r="DQ21" s="7" t="s">
        <v>5121</v>
      </c>
      <c r="DR21" s="7" t="s">
        <v>5122</v>
      </c>
      <c r="DS21" s="7" t="s">
        <v>5774</v>
      </c>
      <c r="DT21" s="15" t="str" cm="1">
        <f t="array" ref="DT21">IF(B21="","",_xlfn.TEXTJOIN("",,HEX2BIN(MID(BQ21,_xlfn.SEQUENCE(40),1),4)))</f>
        <v>1010101000000101010011111010010001000001001101011101000011110100000101001111110101011100011011111101100011000001110011001101111010100111001001111111101100101010</v>
      </c>
    </row>
    <row r="22" spans="1:124" x14ac:dyDescent="0.25">
      <c r="A22" s="9">
        <v>21</v>
      </c>
      <c r="B22" s="15" t="s">
        <v>2557</v>
      </c>
      <c r="C22" s="15" t="s">
        <v>2558</v>
      </c>
      <c r="D22" s="6" t="s">
        <v>2559</v>
      </c>
      <c r="E22" s="6" t="s">
        <v>2560</v>
      </c>
      <c r="F22" s="10">
        <v>0.72783279418945313</v>
      </c>
      <c r="G22" s="9">
        <v>11</v>
      </c>
      <c r="H22" s="9">
        <v>2</v>
      </c>
      <c r="I22" s="15" t="s">
        <v>2561</v>
      </c>
      <c r="J22" s="9">
        <v>9</v>
      </c>
      <c r="K22" s="15" t="s">
        <v>2562</v>
      </c>
      <c r="L22" s="15" t="s">
        <v>2563</v>
      </c>
      <c r="M22" s="15" t="s">
        <v>2564</v>
      </c>
      <c r="N22" s="15" t="s">
        <v>2565</v>
      </c>
      <c r="O22" s="6" t="s">
        <v>2566</v>
      </c>
      <c r="P22" s="15" t="s">
        <v>2567</v>
      </c>
      <c r="Q22" s="15" t="s">
        <v>2568</v>
      </c>
      <c r="R22" s="6" t="s">
        <v>2569</v>
      </c>
      <c r="S22" s="15" t="s">
        <v>2570</v>
      </c>
      <c r="T22" s="11">
        <v>2.0986080431637508</v>
      </c>
      <c r="U22" s="10">
        <v>0.52380952380952384</v>
      </c>
      <c r="V22" s="7" t="s">
        <v>738</v>
      </c>
      <c r="W22" s="7" t="s">
        <v>739</v>
      </c>
      <c r="X22" s="7" t="s">
        <v>740</v>
      </c>
      <c r="Y22" s="15" t="s">
        <v>2571</v>
      </c>
      <c r="Z22" s="9">
        <v>11</v>
      </c>
      <c r="AA22" s="9">
        <v>10</v>
      </c>
      <c r="AB22" s="9">
        <v>74</v>
      </c>
      <c r="AC22" s="13">
        <v>0.21821789023599239</v>
      </c>
      <c r="AD22" s="13">
        <v>-0.21821789023599239</v>
      </c>
      <c r="AE22" s="9">
        <v>7</v>
      </c>
      <c r="AF22" s="9">
        <v>28</v>
      </c>
      <c r="AG22" s="9">
        <v>1</v>
      </c>
      <c r="AH22" s="6" t="s">
        <v>2572</v>
      </c>
      <c r="AI22" s="10">
        <v>20.788963611792287</v>
      </c>
      <c r="AJ22" s="10">
        <v>19.541678961717611</v>
      </c>
      <c r="AK22" s="15" t="s">
        <v>2573</v>
      </c>
      <c r="AL22" s="15" t="s">
        <v>2574</v>
      </c>
      <c r="AM22" s="15" t="s">
        <v>2575</v>
      </c>
      <c r="AN22" s="9">
        <v>2</v>
      </c>
      <c r="AO22" s="9">
        <v>3</v>
      </c>
      <c r="AP22" s="9">
        <v>14</v>
      </c>
      <c r="AQ22" s="15" t="s">
        <v>2576</v>
      </c>
      <c r="AR22" s="9">
        <v>6</v>
      </c>
      <c r="AS22" s="6" t="s">
        <v>976</v>
      </c>
      <c r="AT22" s="15" t="s">
        <v>2577</v>
      </c>
      <c r="AU22" s="9">
        <v>1</v>
      </c>
      <c r="AV22" s="9">
        <v>4</v>
      </c>
      <c r="AW22" s="9">
        <v>3</v>
      </c>
      <c r="AX22" s="9">
        <v>9</v>
      </c>
      <c r="AY22" s="9">
        <v>52</v>
      </c>
      <c r="AZ22" s="9">
        <v>42292</v>
      </c>
      <c r="BA22" s="6" t="s">
        <v>2578</v>
      </c>
      <c r="BB22" s="6" t="s">
        <v>2579</v>
      </c>
      <c r="BC22" s="6" t="s">
        <v>2580</v>
      </c>
      <c r="BD22" s="15" t="s">
        <v>2581</v>
      </c>
      <c r="BE22" s="15" t="s">
        <v>2582</v>
      </c>
      <c r="BF22" s="15" t="s">
        <v>2583</v>
      </c>
      <c r="BG22" s="15" t="s">
        <v>2584</v>
      </c>
      <c r="BH22" s="6" t="s">
        <v>2585</v>
      </c>
      <c r="BI22" s="17">
        <v>25589.969490740739</v>
      </c>
      <c r="BJ22" s="7" t="s">
        <v>1196</v>
      </c>
      <c r="BK22" s="7" t="s">
        <v>1197</v>
      </c>
      <c r="BL22" s="7" t="s">
        <v>1198</v>
      </c>
      <c r="BM22" s="16" t="s">
        <v>1199</v>
      </c>
      <c r="BN22" s="16" t="s">
        <v>1200</v>
      </c>
      <c r="BO22" s="16" t="s">
        <v>1201</v>
      </c>
      <c r="BP22" s="16" t="s">
        <v>1202</v>
      </c>
      <c r="BQ22" s="16" t="s">
        <v>1203</v>
      </c>
      <c r="BR22" s="7" t="s">
        <v>1204</v>
      </c>
      <c r="BS22" s="7" t="s">
        <v>1205</v>
      </c>
      <c r="BT22" s="7" t="s">
        <v>1206</v>
      </c>
      <c r="BU22" s="14">
        <v>1.5646699286052158E-71</v>
      </c>
      <c r="BV22" s="15" t="s">
        <v>2586</v>
      </c>
      <c r="BW22" s="9">
        <v>10</v>
      </c>
      <c r="BX22" s="9">
        <v>13</v>
      </c>
      <c r="BY22" s="13">
        <v>-0.21821789023599239</v>
      </c>
      <c r="BZ22" s="13">
        <v>1.091089451179962</v>
      </c>
      <c r="CA22" s="12">
        <f>IF(B22="","",IF(A22&lt;8,"",_xlfn.LET(_xlpm.n,A22,_xlpm.k,G22,_xlpm.R,AP22,_xlpm.mu,1+2*_xlpm.k*(_xlpm.n-_xlpm.k)/_xlpm.n,_xlpm.v,2*_xlpm.k*(_xlpm.n-_xlpm.k)*(2*_xlpm.k*(_xlpm.n-_xlpm.k)-_xlpm.n)/(_xlpm.n^2*(_xlpm.n-1)),IF(_xlpm.v&lt;=0,"",(_xlpm.R-_xlpm.mu)/SQRT(_xlpm.v)))))</f>
        <v>1.1327993439202337</v>
      </c>
      <c r="CB22" s="37" cm="1">
        <f t="array" ref="CB22">IF(B22="","",IF(A22&lt;8,"",_xlfn.LET(_xlpm.b,--MID(C22,_xlfn.SEQUENCE(A22-1),1),_xlpm.c,--MID(C22,_xlfn.SEQUENCE(A22-1,,2),1),IFERROR(CORREL(_xlpm.b,_xlpm.c),""))))</f>
        <v>-0.30151134457776357</v>
      </c>
      <c r="CC22" s="8">
        <f>IF(B22="","",LOG(A22,2))</f>
        <v>4.3923174227787607</v>
      </c>
      <c r="CD22" s="8">
        <f>IF(B22="","",MAX(AN22,AO22)-CC22)</f>
        <v>-1.3923174227787607</v>
      </c>
      <c r="CE22" s="8" t="str" cm="1">
        <f t="array" ref="CE22">IF(B22="","",IF(LEN(B22)&lt;16,"",_xlfn.LET(_xlpm.d,MID("0123456789abcdef",_xlfn.SEQUENCE(16),1),_xlpm.c,LEN(B22)-LEN(SUBSTITUTE(B22,_xlpm.d,"")),_xlpm.ex,LEN(B22)/16,SUM((_xlpm.c-_xlpm.ex)^2/_xlpm.ex))))</f>
        <v/>
      </c>
      <c r="CF22" s="37" t="str">
        <f>IF(CE22="","",_xlfn.CHISQ.DIST.RT(CE22,15))</f>
        <v/>
      </c>
      <c r="CG22" s="9" cm="1">
        <f t="array" ref="CG22">IF(OR(B22="",B21=""),"",_xlfn.LET(_xlpm.a,C22,_xlpm.b,REPT("0",A22-LEN(C21))&amp;C21,_xlpm.m,MID(_xlpm.a,_xlfn.SEQUENCE(A22),1)=MID(_xlpm.b,_xlfn.SEQUENCE(A22),1),IFERROR(MATCH(FALSE,_xlpm.m,0)-1,A22)))</f>
        <v>0</v>
      </c>
      <c r="CH22" s="9" cm="1">
        <f t="array" ref="CH22">IF(OR(B22="",B21=""),"",_xlfn.LET(_xlpm.a,C22,_xlpm.b,REPT("0",A22-LEN(C21))&amp;C21,_xlpm.n,A22,_xlpm.m,MID(_xlpm.a,_xlfn.SEQUENCE(_xlpm.n,,_xlpm.n,-1),1)=MID(_xlpm.b,_xlfn.SEQUENCE(_xlpm.n,,_xlpm.n,-1),1),IFERROR(MATCH(FALSE,_xlpm.m,0)-1,_xlpm.n)))</f>
        <v>0</v>
      </c>
      <c r="CI22" s="38">
        <f>IF(OR(B22="",B21=""),"",F22-F21)</f>
        <v>8.1186294555664063E-2</v>
      </c>
      <c r="CJ22" s="5" t="b">
        <f>IF(OR(B22="",B21=""),"",IFERROR(FIND(B21,B22)&gt;0,FALSE))</f>
        <v>0</v>
      </c>
      <c r="CK22" s="5" t="b">
        <f>IF(OR(B22="",B21=""),"",IFERROR(FIND(C21,C22)&gt;0,FALSE))</f>
        <v>0</v>
      </c>
      <c r="CL22" s="9" t="str">
        <f>IF(OR(B22="",B21=""),"",IFERROR(FIND(C21,C22),""))</f>
        <v/>
      </c>
      <c r="CM22" s="6" t="str" cm="1">
        <f t="array" ref="CM22">IF(OR(B22="",B21=""),"",_xlfn.LET(_xlpm.pv,D21,_xlpm.ra,BIGSUB(D22,_xlpm.pv),_xlpm.rb,BIGSUB(_xlpm.ra,_xlpm.pv),_xlpm.rc,BIGSUB(_xlpm.rb,_xlpm.pv),IF(LEFT(_xlpm.rb,1)="-",_xlpm.ra,IF(LEFT(_xlpm.rc,1)="-",_xlpm.rb,_xlpm.rc))))</f>
        <v>85130</v>
      </c>
      <c r="CN22" s="38">
        <f>IF(B22="","",F22-0.5)</f>
        <v>0.22783279418945313</v>
      </c>
      <c r="CO22" s="15" t="str" cm="1">
        <f t="array" ref="CO22">IF(B22="","",_xlfn.TEXTJOIN("",,MID(B22,_xlfn.SEQUENCE(LEN(B22),,LEN(B22),-1),1)))</f>
        <v>435ab1</v>
      </c>
      <c r="CP22" s="6" t="str" cm="1">
        <f t="array" ref="CP22">IF(B22="","",BASE2DEC(CO22,16))</f>
        <v>4414129</v>
      </c>
      <c r="CQ22" s="5" t="str">
        <f>IF(B22="","",IF(AND(LEN(B22)&lt;16,LEN(B22)=LEN(SUBSTITUTE(SUBSTITUTE(SUBSTITUTE(SUBSTITUTE(SUBSTITUTE(SUBSTITUTE(B22,"a",""),"b",""),"c",""),"d",""),"e",""),"f",""))),--B22,""))</f>
        <v/>
      </c>
      <c r="CR22" s="6" t="str" cm="1">
        <f t="array" ref="CR22">IF(B22="","",IF(LEN(D22)&lt;=15,BASE2DEC(D22,16),""))</f>
        <v>25237348</v>
      </c>
      <c r="CS22" s="15" t="str" cm="1">
        <f t="array" ref="CS22">IF(B22="","",_xlfn.LET(_xlpm.p,REPT("0",MOD(-LEN(B22),4))&amp;B22,_xlfn.TEXTJOIN(" ",,MID(_xlpm.p,_xlfn.SEQUENCE(LEN(_xlpm.p)/4,,1,4),4))))</f>
        <v>001b a534</v>
      </c>
      <c r="CT22" s="15" t="str" cm="1">
        <f t="array" ref="CT22">IF(B22="","",UPPER(_xlfn.LET(_xlpm.p,REPT("0",64-LEN(B22))&amp;B22,_xlfn.TEXTJOIN(" ",,MID(_xlpm.p,_xlfn.SEQUENCE(8,,1,8),8)))))</f>
        <v>00000000 00000000 00000000 00000000 00000000 00000000 00000000 001BA534</v>
      </c>
      <c r="CU22" s="6" t="str" cm="1">
        <f t="array" ref="CU22">IF(B22="","",IF(LEN(D22)&lt;=6,_xlfn.LET(_xlpm.n,VALUE(D22)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2" s="39" t="s">
        <v>4444</v>
      </c>
      <c r="CW22" s="39" t="s">
        <v>1895</v>
      </c>
      <c r="CX22" s="39" t="s">
        <v>1896</v>
      </c>
      <c r="CY22" s="7" t="s">
        <v>4530</v>
      </c>
      <c r="CZ22" s="39" t="s">
        <v>4444</v>
      </c>
      <c r="DA22" s="39" t="s">
        <v>4444</v>
      </c>
      <c r="DB22" s="39">
        <v>21</v>
      </c>
      <c r="DC22" s="7" t="s">
        <v>4531</v>
      </c>
      <c r="DD22" s="7" t="s">
        <v>4532</v>
      </c>
      <c r="DE22" s="7" t="s">
        <v>4533</v>
      </c>
      <c r="DF22" s="7" t="s">
        <v>4534</v>
      </c>
      <c r="DG22" s="7" t="s">
        <v>4535</v>
      </c>
      <c r="DH22" s="39" t="s">
        <v>4452</v>
      </c>
      <c r="DI22" s="7" t="s">
        <v>5123</v>
      </c>
      <c r="DJ22" s="7" t="s">
        <v>5124</v>
      </c>
      <c r="DK22" s="7" t="s">
        <v>5125</v>
      </c>
      <c r="DL22" s="7" t="s">
        <v>5126</v>
      </c>
      <c r="DM22" s="7" t="s">
        <v>5127</v>
      </c>
      <c r="DN22" s="7" t="s">
        <v>5128</v>
      </c>
      <c r="DO22" s="7" t="s">
        <v>5129</v>
      </c>
      <c r="DP22" s="7" t="s">
        <v>5130</v>
      </c>
      <c r="DQ22" s="7" t="s">
        <v>5131</v>
      </c>
      <c r="DR22" s="7" t="s">
        <v>5132</v>
      </c>
      <c r="DS22" s="7" t="s">
        <v>5775</v>
      </c>
      <c r="DT22" s="15" t="str" cm="1">
        <f t="array" ref="DT22">IF(B22="","",_xlfn.TEXTJOIN("",,HEX2BIN(MID(BQ22,_xlfn.SEQUENCE(40),1),4)))</f>
        <v>1111011111000010110010011110100000101011110100111010101011000101111000011111100000001011001110000010101100101000110011011011110110000101000101101011101101011010</v>
      </c>
    </row>
    <row r="23" spans="1:124" x14ac:dyDescent="0.25">
      <c r="A23" s="9">
        <v>22</v>
      </c>
      <c r="B23" s="15" t="s">
        <v>2587</v>
      </c>
      <c r="C23" s="15" t="s">
        <v>2588</v>
      </c>
      <c r="D23" s="6" t="s">
        <v>2589</v>
      </c>
      <c r="E23" s="6" t="s">
        <v>2590</v>
      </c>
      <c r="F23" s="10">
        <v>0.43408918380737305</v>
      </c>
      <c r="G23" s="9">
        <v>12</v>
      </c>
      <c r="H23" s="9">
        <v>0</v>
      </c>
      <c r="I23" s="15" t="s">
        <v>2591</v>
      </c>
      <c r="J23" s="9">
        <v>11</v>
      </c>
      <c r="K23" s="15" t="s">
        <v>2592</v>
      </c>
      <c r="L23" s="15" t="s">
        <v>2593</v>
      </c>
      <c r="M23" s="15" t="s">
        <v>2594</v>
      </c>
      <c r="N23" s="15" t="s">
        <v>2595</v>
      </c>
      <c r="O23" s="6" t="s">
        <v>2596</v>
      </c>
      <c r="P23" s="15" t="s">
        <v>2597</v>
      </c>
      <c r="Q23" s="15" t="s">
        <v>2598</v>
      </c>
      <c r="R23" s="6" t="s">
        <v>2599</v>
      </c>
      <c r="S23" s="15" t="s">
        <v>2600</v>
      </c>
      <c r="T23" s="11">
        <v>1.6599860688257411</v>
      </c>
      <c r="U23" s="10">
        <v>0.54545454545454541</v>
      </c>
      <c r="V23" s="7" t="s">
        <v>741</v>
      </c>
      <c r="W23" s="7" t="s">
        <v>742</v>
      </c>
      <c r="X23" s="7" t="s">
        <v>743</v>
      </c>
      <c r="Y23" s="15" t="s">
        <v>2601</v>
      </c>
      <c r="Z23" s="9">
        <v>9</v>
      </c>
      <c r="AA23" s="9">
        <v>10</v>
      </c>
      <c r="AB23" s="9">
        <v>81</v>
      </c>
      <c r="AC23" s="13">
        <v>-0.85280286542244166</v>
      </c>
      <c r="AD23" s="13">
        <v>-0.42640143271122083</v>
      </c>
      <c r="AE23" s="9">
        <v>7</v>
      </c>
      <c r="AF23" s="9">
        <v>18</v>
      </c>
      <c r="AG23" s="9">
        <v>9</v>
      </c>
      <c r="AH23" s="6" t="s">
        <v>2602</v>
      </c>
      <c r="AI23" s="10">
        <v>21.520134745822105</v>
      </c>
      <c r="AJ23" s="10">
        <v>19.796063380544087</v>
      </c>
      <c r="AK23" s="15" t="s">
        <v>2603</v>
      </c>
      <c r="AL23" s="15" t="s">
        <v>2604</v>
      </c>
      <c r="AM23" s="15" t="s">
        <v>2605</v>
      </c>
      <c r="AN23" s="9">
        <v>6</v>
      </c>
      <c r="AO23" s="9">
        <v>4</v>
      </c>
      <c r="AP23" s="9">
        <v>9</v>
      </c>
      <c r="AQ23" s="15" t="s">
        <v>2606</v>
      </c>
      <c r="AR23" s="9">
        <v>6</v>
      </c>
      <c r="AS23" s="6" t="s">
        <v>2054</v>
      </c>
      <c r="AT23" s="15" t="s">
        <v>2607</v>
      </c>
      <c r="AU23" s="9">
        <v>0</v>
      </c>
      <c r="AV23" s="9">
        <v>3</v>
      </c>
      <c r="AW23" s="9">
        <v>2</v>
      </c>
      <c r="AX23" s="9">
        <v>4</v>
      </c>
      <c r="AY23" s="9">
        <v>15</v>
      </c>
      <c r="AZ23" s="9">
        <v>58383</v>
      </c>
      <c r="BA23" s="6" t="s">
        <v>2608</v>
      </c>
      <c r="BB23" s="6" t="s">
        <v>2609</v>
      </c>
      <c r="BC23" s="6" t="s">
        <v>2610</v>
      </c>
      <c r="BD23" s="15" t="s">
        <v>2611</v>
      </c>
      <c r="BE23" s="15" t="s">
        <v>2612</v>
      </c>
      <c r="BF23" s="15" t="s">
        <v>2613</v>
      </c>
      <c r="BG23" s="15" t="s">
        <v>2614</v>
      </c>
      <c r="BH23" s="6" t="s">
        <v>2615</v>
      </c>
      <c r="BI23" s="17">
        <v>25603.8090625</v>
      </c>
      <c r="BJ23" s="7" t="s">
        <v>1207</v>
      </c>
      <c r="BK23" s="7" t="s">
        <v>1208</v>
      </c>
      <c r="BL23" s="7" t="s">
        <v>1209</v>
      </c>
      <c r="BM23" s="16" t="s">
        <v>1210</v>
      </c>
      <c r="BN23" s="16" t="s">
        <v>1211</v>
      </c>
      <c r="BO23" s="16" t="s">
        <v>1212</v>
      </c>
      <c r="BP23" s="16" t="s">
        <v>1213</v>
      </c>
      <c r="BQ23" s="16" t="s">
        <v>1214</v>
      </c>
      <c r="BR23" s="7" t="s">
        <v>1215</v>
      </c>
      <c r="BS23" s="7" t="s">
        <v>1216</v>
      </c>
      <c r="BT23" s="7" t="s">
        <v>1217</v>
      </c>
      <c r="BU23" s="14">
        <v>2.5973302837952252E-71</v>
      </c>
      <c r="BV23" s="15" t="s">
        <v>2616</v>
      </c>
      <c r="BW23" s="9">
        <v>13</v>
      </c>
      <c r="BX23" s="9">
        <v>9</v>
      </c>
      <c r="BY23" s="13">
        <v>0.85280286542244166</v>
      </c>
      <c r="BZ23" s="13">
        <v>-0.85280286542244166</v>
      </c>
      <c r="CA23" s="12">
        <f>IF(B23="","",IF(A23&lt;8,"",_xlfn.LET(_xlpm.n,A23,_xlpm.k,G23,_xlpm.R,AP23,_xlpm.mu,1+2*_xlpm.k*(_xlpm.n-_xlpm.k)/_xlpm.n,_xlpm.v,2*_xlpm.k*(_xlpm.n-_xlpm.k)*(2*_xlpm.k*(_xlpm.n-_xlpm.k)-_xlpm.n)/(_xlpm.n^2*(_xlpm.n-1)),IF(_xlpm.v&lt;=0,"",(_xlpm.R-_xlpm.mu)/SQRT(_xlpm.v)))))</f>
        <v>-1.2821999443330614</v>
      </c>
      <c r="CB23" s="37" cm="1">
        <f t="array" ref="CB23">IF(B23="","",IF(A23&lt;8,"",_xlfn.LET(_xlpm.b,--MID(C23,_xlfn.SEQUENCE(A23-1),1),_xlpm.c,--MID(C23,_xlfn.SEQUENCE(A23-1,,2),1),IFERROR(CORREL(_xlpm.b,_xlpm.c),""))))</f>
        <v>0.23636363636363644</v>
      </c>
      <c r="CC23" s="8">
        <f>IF(B23="","",LOG(A23,2))</f>
        <v>4.4594316186372973</v>
      </c>
      <c r="CD23" s="8">
        <f>IF(B23="","",MAX(AN23,AO23)-CC23)</f>
        <v>1.5405683813627027</v>
      </c>
      <c r="CE23" s="8" t="str" cm="1">
        <f t="array" ref="CE23">IF(B23="","",IF(LEN(B23)&lt;16,"",_xlfn.LET(_xlpm.d,MID("0123456789abcdef",_xlfn.SEQUENCE(16),1),_xlpm.c,LEN(B23)-LEN(SUBSTITUTE(B23,_xlpm.d,"")),_xlpm.ex,LEN(B23)/16,SUM((_xlpm.c-_xlpm.ex)^2/_xlpm.ex))))</f>
        <v/>
      </c>
      <c r="CF23" s="37" t="str">
        <f>IF(CE23="","",_xlfn.CHISQ.DIST.RT(CE23,15))</f>
        <v/>
      </c>
      <c r="CG23" s="9" cm="1">
        <f t="array" ref="CG23">IF(OR(B23="",B22=""),"",_xlfn.LET(_xlpm.a,C23,_xlpm.b,REPT("0",A23-LEN(C22))&amp;C22,_xlpm.m,MID(_xlpm.a,_xlfn.SEQUENCE(A23),1)=MID(_xlpm.b,_xlfn.SEQUENCE(A23),1),IFERROR(MATCH(FALSE,_xlpm.m,0)-1,A23)))</f>
        <v>0</v>
      </c>
      <c r="CH23" s="9" cm="1">
        <f t="array" ref="CH23">IF(OR(B23="",B22=""),"",_xlfn.LET(_xlpm.a,C23,_xlpm.b,REPT("0",A23-LEN(C22))&amp;C22,_xlpm.n,A23,_xlpm.m,MID(_xlpm.a,_xlfn.SEQUENCE(_xlpm.n,,_xlpm.n,-1),1)=MID(_xlpm.b,_xlfn.SEQUENCE(_xlpm.n,,_xlpm.n,-1),1),IFERROR(MATCH(FALSE,_xlpm.m,0)-1,_xlpm.n)))</f>
        <v>0</v>
      </c>
      <c r="CI23" s="38">
        <f>IF(OR(B23="",B22=""),"",F23-F22)</f>
        <v>-0.29374361038208008</v>
      </c>
      <c r="CJ23" s="5" t="b">
        <f>IF(OR(B23="",B22=""),"",IFERROR(FIND(B22,B23)&gt;0,FALSE))</f>
        <v>0</v>
      </c>
      <c r="CK23" s="5" t="b">
        <f>IF(OR(B23="",B22=""),"",IFERROR(FIND(C22,C23)&gt;0,FALSE))</f>
        <v>0</v>
      </c>
      <c r="CL23" s="9" t="str">
        <f>IF(OR(B23="",B22=""),"",IFERROR(FIND(C22,C23),""))</f>
        <v/>
      </c>
      <c r="CM23" s="6" t="str" cm="1">
        <f t="array" ref="CM23">IF(OR(B23="",B22=""),"",_xlfn.LET(_xlpm.pv,D22,_xlpm.ra,BIGSUB(D23,_xlpm.pv),_xlpm.rb,BIGSUB(_xlpm.ra,_xlpm.pv),_xlpm.rc,BIGSUB(_xlpm.rb,_xlpm.pv),IF(LEFT(_xlpm.rb,1)="-",_xlpm.ra,IF(LEFT(_xlpm.rc,1)="-",_xlpm.rb,_xlpm.rc))))</f>
        <v>1195739</v>
      </c>
      <c r="CN23" s="38">
        <f>IF(B23="","",F23-0.5)</f>
        <v>-6.5910816192626953E-2</v>
      </c>
      <c r="CO23" s="15" t="str" cm="1">
        <f t="array" ref="CO23">IF(B23="","",_xlfn.TEXTJOIN("",,MID(B23,_xlfn.SEQUENCE(LEN(B23),,LEN(B23),-1),1)))</f>
        <v>f04ed2</v>
      </c>
      <c r="CP23" s="6" t="str" cm="1">
        <f t="array" ref="CP23">IF(B23="","",BASE2DEC(CO23,16))</f>
        <v>15748818</v>
      </c>
      <c r="CQ23" s="5" t="str">
        <f>IF(B23="","",IF(AND(LEN(B23)&lt;16,LEN(B23)=LEN(SUBSTITUTE(SUBSTITUTE(SUBSTITUTE(SUBSTITUTE(SUBSTITUTE(SUBSTITUTE(B23,"a",""),"b",""),"c",""),"d",""),"e",""),"f",""))),--B23,""))</f>
        <v/>
      </c>
      <c r="CR23" s="6" t="str" cm="1">
        <f t="array" ref="CR23">IF(B23="","",IF(LEN(D23)&lt;=15,BASE2DEC(D23,16),""))</f>
        <v>50361603</v>
      </c>
      <c r="CS23" s="15" t="str" cm="1">
        <f t="array" ref="CS23">IF(B23="","",_xlfn.LET(_xlpm.p,REPT("0",MOD(-LEN(B23),4))&amp;B23,_xlfn.TEXTJOIN(" ",,MID(_xlpm.p,_xlfn.SEQUENCE(LEN(_xlpm.p)/4,,1,4),4))))</f>
        <v>002d e40f</v>
      </c>
      <c r="CT23" s="15" t="str" cm="1">
        <f t="array" ref="CT23">IF(B23="","",UPPER(_xlfn.LET(_xlpm.p,REPT("0",64-LEN(B23))&amp;B23,_xlfn.TEXTJOIN(" ",,MID(_xlpm.p,_xlfn.SEQUENCE(8,,1,8),8)))))</f>
        <v>00000000 00000000 00000000 00000000 00000000 00000000 00000000 002DE40F</v>
      </c>
      <c r="CU23" s="6" t="str" cm="1">
        <f t="array" ref="CU23">IF(B23="","",IF(LEN(D23)&lt;=6,_xlfn.LET(_xlpm.n,VALUE(D23)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3" s="39" t="s">
        <v>4444</v>
      </c>
      <c r="CW23" s="39" t="s">
        <v>987</v>
      </c>
      <c r="CX23" s="39" t="s">
        <v>1896</v>
      </c>
      <c r="CY23" s="7" t="s">
        <v>4536</v>
      </c>
      <c r="CZ23" s="39" t="s">
        <v>4444</v>
      </c>
      <c r="DA23" s="39" t="s">
        <v>4444</v>
      </c>
      <c r="DB23" s="39">
        <v>21</v>
      </c>
      <c r="DC23" s="7" t="s">
        <v>4537</v>
      </c>
      <c r="DD23" s="7" t="s">
        <v>4538</v>
      </c>
      <c r="DE23" s="7" t="s">
        <v>4539</v>
      </c>
      <c r="DF23" s="7" t="s">
        <v>4540</v>
      </c>
      <c r="DG23" s="7" t="s">
        <v>4541</v>
      </c>
      <c r="DH23" s="39" t="s">
        <v>4448</v>
      </c>
      <c r="DI23" s="7" t="s">
        <v>5133</v>
      </c>
      <c r="DJ23" s="7" t="s">
        <v>5134</v>
      </c>
      <c r="DK23" s="7" t="s">
        <v>5135</v>
      </c>
      <c r="DL23" s="7" t="s">
        <v>5136</v>
      </c>
      <c r="DM23" s="7" t="s">
        <v>5137</v>
      </c>
      <c r="DN23" s="7" t="s">
        <v>5138</v>
      </c>
      <c r="DO23" s="7" t="s">
        <v>5139</v>
      </c>
      <c r="DP23" s="7" t="s">
        <v>5140</v>
      </c>
      <c r="DQ23" s="7" t="s">
        <v>5141</v>
      </c>
      <c r="DR23" s="7" t="s">
        <v>5142</v>
      </c>
      <c r="DS23" s="7" t="s">
        <v>5776</v>
      </c>
      <c r="DT23" s="15" t="str" cm="1">
        <f t="array" ref="DT23">IF(B23="","",_xlfn.TEXTJOIN("",,HEX2BIN(MID(BQ23,_xlfn.SEQUENCE(40),1),4)))</f>
        <v>0010011101111011011110100101110000010101011010010101011011101010001011101100011111110010010010110100101100111111100101111011101101111110100101011111111000100110</v>
      </c>
    </row>
    <row r="24" spans="1:124" x14ac:dyDescent="0.25">
      <c r="A24" s="9">
        <v>23</v>
      </c>
      <c r="B24" s="15" t="s">
        <v>2617</v>
      </c>
      <c r="C24" s="15" t="s">
        <v>2618</v>
      </c>
      <c r="D24" s="6" t="s">
        <v>2619</v>
      </c>
      <c r="E24" s="6" t="s">
        <v>2620</v>
      </c>
      <c r="F24" s="10">
        <v>0.33485841751098633</v>
      </c>
      <c r="G24" s="9">
        <v>12</v>
      </c>
      <c r="H24" s="9">
        <v>1</v>
      </c>
      <c r="I24" s="15" t="s">
        <v>2621</v>
      </c>
      <c r="J24" s="9">
        <v>12</v>
      </c>
      <c r="K24" s="15" t="s">
        <v>2622</v>
      </c>
      <c r="L24" s="15" t="s">
        <v>2623</v>
      </c>
      <c r="M24" s="15" t="s">
        <v>2624</v>
      </c>
      <c r="N24" s="15" t="s">
        <v>2625</v>
      </c>
      <c r="O24" s="6" t="s">
        <v>2626</v>
      </c>
      <c r="P24" s="15" t="s">
        <v>2627</v>
      </c>
      <c r="Q24" s="15" t="s">
        <v>2628</v>
      </c>
      <c r="R24" s="6" t="s">
        <v>2629</v>
      </c>
      <c r="S24" s="15" t="s">
        <v>2630</v>
      </c>
      <c r="T24" s="11">
        <v>1.8616114431141049</v>
      </c>
      <c r="U24" s="10">
        <v>0.52173913043478259</v>
      </c>
      <c r="V24" s="7" t="s">
        <v>744</v>
      </c>
      <c r="W24" s="7" t="s">
        <v>745</v>
      </c>
      <c r="X24" s="7" t="s">
        <v>746</v>
      </c>
      <c r="Y24" s="15" t="s">
        <v>2631</v>
      </c>
      <c r="Z24" s="9">
        <v>12</v>
      </c>
      <c r="AA24" s="9">
        <v>14</v>
      </c>
      <c r="AB24" s="9">
        <v>80</v>
      </c>
      <c r="AC24" s="13">
        <v>0.20851441405707477</v>
      </c>
      <c r="AD24" s="13">
        <v>1.0425720702853738</v>
      </c>
      <c r="AE24" s="9">
        <v>7</v>
      </c>
      <c r="AF24" s="9">
        <v>37</v>
      </c>
      <c r="AG24" s="9">
        <v>1</v>
      </c>
      <c r="AH24" s="6" t="s">
        <v>2632</v>
      </c>
      <c r="AI24" s="10">
        <v>22.416686729787823</v>
      </c>
      <c r="AJ24" s="10">
        <v>20.421623139397504</v>
      </c>
      <c r="AK24" s="15" t="s">
        <v>2633</v>
      </c>
      <c r="AL24" s="15" t="s">
        <v>2634</v>
      </c>
      <c r="AM24" s="15" t="s">
        <v>2635</v>
      </c>
      <c r="AN24" s="9">
        <v>2</v>
      </c>
      <c r="AO24" s="9">
        <v>3</v>
      </c>
      <c r="AP24" s="9">
        <v>18</v>
      </c>
      <c r="AQ24" s="15" t="s">
        <v>2636</v>
      </c>
      <c r="AR24" s="9">
        <v>4</v>
      </c>
      <c r="AS24" s="6" t="s">
        <v>2104</v>
      </c>
      <c r="AT24" s="15" t="s">
        <v>2637</v>
      </c>
      <c r="AU24" s="9">
        <v>1</v>
      </c>
      <c r="AV24" s="9">
        <v>2</v>
      </c>
      <c r="AW24" s="9">
        <v>6</v>
      </c>
      <c r="AX24" s="9">
        <v>0</v>
      </c>
      <c r="AY24" s="9">
        <v>82</v>
      </c>
      <c r="AZ24" s="9">
        <v>28242</v>
      </c>
      <c r="BA24" s="6" t="s">
        <v>2638</v>
      </c>
      <c r="BB24" s="6" t="s">
        <v>2639</v>
      </c>
      <c r="BC24" s="6" t="s">
        <v>2640</v>
      </c>
      <c r="BD24" s="15" t="s">
        <v>2641</v>
      </c>
      <c r="BE24" s="15" t="s">
        <v>2642</v>
      </c>
      <c r="BF24" s="15" t="s">
        <v>2643</v>
      </c>
      <c r="BG24" s="15" t="s">
        <v>2644</v>
      </c>
      <c r="BH24" s="6" t="s">
        <v>2645</v>
      </c>
      <c r="BI24" s="17">
        <v>25633.800949074073</v>
      </c>
      <c r="BJ24" s="7" t="s">
        <v>1218</v>
      </c>
      <c r="BK24" s="7" t="s">
        <v>1219</v>
      </c>
      <c r="BL24" s="7" t="s">
        <v>1220</v>
      </c>
      <c r="BM24" s="16" t="s">
        <v>1221</v>
      </c>
      <c r="BN24" s="16" t="s">
        <v>1222</v>
      </c>
      <c r="BO24" s="16" t="s">
        <v>1223</v>
      </c>
      <c r="BP24" s="16" t="s">
        <v>1224</v>
      </c>
      <c r="BQ24" s="16" t="s">
        <v>1225</v>
      </c>
      <c r="BR24" s="7" t="s">
        <v>1226</v>
      </c>
      <c r="BS24" s="7" t="s">
        <v>1227</v>
      </c>
      <c r="BT24" s="7" t="s">
        <v>1228</v>
      </c>
      <c r="BU24" s="14">
        <v>4.8352197778599967E-71</v>
      </c>
      <c r="BV24" s="15" t="s">
        <v>2646</v>
      </c>
      <c r="BW24" s="9">
        <v>15</v>
      </c>
      <c r="BX24" s="9">
        <v>14</v>
      </c>
      <c r="BY24" s="13">
        <v>1.4596008983995234</v>
      </c>
      <c r="BZ24" s="13">
        <v>1.0425720702853738</v>
      </c>
      <c r="CA24" s="12">
        <f>IF(B24="","",IF(A24&lt;8,"",_xlfn.LET(_xlpm.n,A24,_xlpm.k,G24,_xlpm.R,AP24,_xlpm.mu,1+2*_xlpm.k*(_xlpm.n-_xlpm.k)/_xlpm.n,_xlpm.v,2*_xlpm.k*(_xlpm.n-_xlpm.k)*(2*_xlpm.k*(_xlpm.n-_xlpm.k)-_xlpm.n)/(_xlpm.n^2*(_xlpm.n-1)),IF(_xlpm.v&lt;=0,"",(_xlpm.R-_xlpm.mu)/SQRT(_xlpm.v)))))</f>
        <v>2.3615904104952858</v>
      </c>
      <c r="CB24" s="37" cm="1">
        <f t="array" ref="CB24">IF(B24="","",IF(A24&lt;8,"",_xlfn.LET(_xlpm.b,--MID(C24,_xlfn.SEQUENCE(A24-1),1),_xlpm.c,--MID(C24,_xlfn.SEQUENCE(A24-1,,2),1),IFERROR(CORREL(_xlpm.b,_xlpm.c),""))))</f>
        <v>-0.54772255750516607</v>
      </c>
      <c r="CC24" s="8">
        <f>IF(B24="","",LOG(A24,2))</f>
        <v>4.5235619560570131</v>
      </c>
      <c r="CD24" s="8">
        <f>IF(B24="","",MAX(AN24,AO24)-CC24)</f>
        <v>-1.5235619560570131</v>
      </c>
      <c r="CE24" s="8" t="str" cm="1">
        <f t="array" ref="CE24">IF(B24="","",IF(LEN(B24)&lt;16,"",_xlfn.LET(_xlpm.d,MID("0123456789abcdef",_xlfn.SEQUENCE(16),1),_xlpm.c,LEN(B24)-LEN(SUBSTITUTE(B24,_xlpm.d,"")),_xlpm.ex,LEN(B24)/16,SUM((_xlpm.c-_xlpm.ex)^2/_xlpm.ex))))</f>
        <v/>
      </c>
      <c r="CF24" s="37" t="str">
        <f>IF(CE24="","",_xlfn.CHISQ.DIST.RT(CE24,15))</f>
        <v/>
      </c>
      <c r="CG24" s="9" cm="1">
        <f t="array" ref="CG24">IF(OR(B24="",B23=""),"",_xlfn.LET(_xlpm.a,C24,_xlpm.b,REPT("0",A24-LEN(C23))&amp;C23,_xlpm.m,MID(_xlpm.a,_xlfn.SEQUENCE(A24),1)=MID(_xlpm.b,_xlfn.SEQUENCE(A24),1),IFERROR(MATCH(FALSE,_xlpm.m,0)-1,A24)))</f>
        <v>0</v>
      </c>
      <c r="CH24" s="9" cm="1">
        <f t="array" ref="CH24">IF(OR(B24="",B23=""),"",_xlfn.LET(_xlpm.a,C24,_xlpm.b,REPT("0",A24-LEN(C23))&amp;C23,_xlpm.n,A24,_xlpm.m,MID(_xlpm.a,_xlfn.SEQUENCE(_xlpm.n,,_xlpm.n,-1),1)=MID(_xlpm.b,_xlfn.SEQUENCE(_xlpm.n,,_xlpm.n,-1),1),IFERROR(MATCH(FALSE,_xlpm.m,0)-1,_xlpm.n)))</f>
        <v>0</v>
      </c>
      <c r="CI24" s="38">
        <f>IF(OR(B24="",B23=""),"",F24-F23)</f>
        <v>-9.9230766296386719E-2</v>
      </c>
      <c r="CJ24" s="5" t="b">
        <f>IF(OR(B24="",B23=""),"",IFERROR(FIND(B23,B24)&gt;0,FALSE))</f>
        <v>0</v>
      </c>
      <c r="CK24" s="5" t="b">
        <f>IF(OR(B24="",B23=""),"",IFERROR(FIND(C23,C24)&gt;0,FALSE))</f>
        <v>0</v>
      </c>
      <c r="CL24" s="9" t="str">
        <f>IF(OR(B24="",B23=""),"",IFERROR(FIND(C23,C24),""))</f>
        <v/>
      </c>
      <c r="CM24" s="6" t="str" cm="1">
        <f t="array" ref="CM24">IF(OR(B24="",B23=""),"",_xlfn.LET(_xlpm.pv,D23,_xlpm.ra,BIGSUB(D24,_xlpm.pv),_xlpm.rb,BIGSUB(_xlpm.ra,_xlpm.pv),_xlpm.rc,BIGSUB(_xlpm.rb,_xlpm.pv),IF(LEFT(_xlpm.rb,1)="-",_xlpm.ra,IF(LEFT(_xlpm.rc,1)="-",_xlpm.rb,_xlpm.rc))))</f>
        <v>2591299</v>
      </c>
      <c r="CN24" s="38">
        <f>IF(B24="","",F24-0.5)</f>
        <v>-0.16514158248901367</v>
      </c>
      <c r="CO24" s="15" t="str" cm="1">
        <f t="array" ref="CO24">IF(B24="","",_xlfn.TEXTJOIN("",,MID(B24,_xlfn.SEQUENCE(LEN(B24),,LEN(B24),-1),1)))</f>
        <v>25e655</v>
      </c>
      <c r="CP24" s="6" t="str" cm="1">
        <f t="array" ref="CP24">IF(B24="","",BASE2DEC(CO24,16))</f>
        <v>2483797</v>
      </c>
      <c r="CQ24" s="5" t="str">
        <f>IF(B24="","",IF(AND(LEN(B24)&lt;16,LEN(B24)=LEN(SUBSTITUTE(SUBSTITUTE(SUBSTITUTE(SUBSTITUTE(SUBSTITUTE(SUBSTITUTE(B24,"a",""),"b",""),"c",""),"d",""),"e",""),"f",""))),--B24,""))</f>
        <v/>
      </c>
      <c r="CR24" s="6" t="str" cm="1">
        <f t="array" ref="CR24">IF(B24="","",IF(LEN(D24)&lt;=15,BASE2DEC(D24,16),""))</f>
        <v>89753602</v>
      </c>
      <c r="CS24" s="15" t="str" cm="1">
        <f t="array" ref="CS24">IF(B24="","",_xlfn.LET(_xlpm.p,REPT("0",MOD(-LEN(B24),4))&amp;B24,_xlfn.TEXTJOIN(" ",,MID(_xlpm.p,_xlfn.SEQUENCE(LEN(_xlpm.p)/4,,1,4),4))))</f>
        <v>0055 6e52</v>
      </c>
      <c r="CT24" s="15" t="str" cm="1">
        <f t="array" ref="CT24">IF(B24="","",UPPER(_xlfn.LET(_xlpm.p,REPT("0",64-LEN(B24))&amp;B24,_xlfn.TEXTJOIN(" ",,MID(_xlpm.p,_xlfn.SEQUENCE(8,,1,8),8)))))</f>
        <v>00000000 00000000 00000000 00000000 00000000 00000000 00000000 00556E52</v>
      </c>
      <c r="CU24" s="6" t="str" cm="1">
        <f t="array" ref="CU24">IF(B24="","",IF(LEN(D24)&lt;=6,_xlfn.LET(_xlpm.n,VALUE(D24)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4" s="39" t="s">
        <v>4444</v>
      </c>
      <c r="CW24" s="39" t="s">
        <v>1895</v>
      </c>
      <c r="CX24" s="39" t="s">
        <v>987</v>
      </c>
      <c r="CY24" s="7" t="s">
        <v>4542</v>
      </c>
      <c r="CZ24" s="39" t="s">
        <v>4444</v>
      </c>
      <c r="DA24" s="39" t="s">
        <v>4444</v>
      </c>
      <c r="DB24" s="39">
        <v>22</v>
      </c>
      <c r="DC24" s="7" t="s">
        <v>4543</v>
      </c>
      <c r="DD24" s="7" t="s">
        <v>4544</v>
      </c>
      <c r="DE24" s="7" t="s">
        <v>4545</v>
      </c>
      <c r="DF24" s="7" t="s">
        <v>4546</v>
      </c>
      <c r="DG24" s="7" t="s">
        <v>4547</v>
      </c>
      <c r="DH24" s="39" t="s">
        <v>4452</v>
      </c>
      <c r="DI24" s="7" t="s">
        <v>5143</v>
      </c>
      <c r="DJ24" s="7" t="s">
        <v>5144</v>
      </c>
      <c r="DK24" s="7" t="s">
        <v>5145</v>
      </c>
      <c r="DL24" s="7" t="s">
        <v>5146</v>
      </c>
      <c r="DM24" s="7" t="s">
        <v>5147</v>
      </c>
      <c r="DN24" s="7" t="s">
        <v>5148</v>
      </c>
      <c r="DO24" s="7" t="s">
        <v>5149</v>
      </c>
      <c r="DP24" s="7" t="s">
        <v>5150</v>
      </c>
      <c r="DQ24" s="7" t="s">
        <v>5151</v>
      </c>
      <c r="DR24" s="7" t="s">
        <v>5152</v>
      </c>
      <c r="DS24" s="7" t="s">
        <v>5777</v>
      </c>
      <c r="DT24" s="15" t="str" cm="1">
        <f t="array" ref="DT24">IF(B24="","",_xlfn.TEXTJOIN("",,HEX2BIN(MID(BQ24,_xlfn.SEQUENCE(40),1),4)))</f>
        <v>1001110001011110011111000000001011101100101011001010111100001101011011100000101001111100100111011100110110110110110010111110001000011100000110000000111010111000</v>
      </c>
    </row>
    <row r="25" spans="1:124" x14ac:dyDescent="0.25">
      <c r="A25" s="9">
        <v>24</v>
      </c>
      <c r="B25" s="15" t="s">
        <v>2647</v>
      </c>
      <c r="C25" s="15" t="s">
        <v>2648</v>
      </c>
      <c r="D25" s="6" t="s">
        <v>2649</v>
      </c>
      <c r="E25" s="6" t="s">
        <v>2650</v>
      </c>
      <c r="F25" s="10">
        <v>0.7200322151184082</v>
      </c>
      <c r="G25" s="9">
        <v>9</v>
      </c>
      <c r="H25" s="9">
        <v>2</v>
      </c>
      <c r="I25" s="15" t="s">
        <v>2651</v>
      </c>
      <c r="J25" s="9">
        <v>9</v>
      </c>
      <c r="K25" s="15" t="s">
        <v>2652</v>
      </c>
      <c r="L25" s="15" t="s">
        <v>2653</v>
      </c>
      <c r="M25" s="15" t="s">
        <v>2654</v>
      </c>
      <c r="N25" s="15" t="s">
        <v>2655</v>
      </c>
      <c r="O25" s="6" t="s">
        <v>2656</v>
      </c>
      <c r="P25" s="15" t="s">
        <v>2657</v>
      </c>
      <c r="Q25" s="15" t="s">
        <v>2658</v>
      </c>
      <c r="R25" s="6" t="s">
        <v>2659</v>
      </c>
      <c r="S25" s="15" t="s">
        <v>2660</v>
      </c>
      <c r="T25" s="11">
        <v>2.5771006011643207</v>
      </c>
      <c r="U25" s="10">
        <v>0.375</v>
      </c>
      <c r="V25" s="7" t="s">
        <v>747</v>
      </c>
      <c r="W25" s="7" t="s">
        <v>748</v>
      </c>
      <c r="X25" s="7" t="s">
        <v>749</v>
      </c>
      <c r="Y25" s="15" t="s">
        <v>2661</v>
      </c>
      <c r="Z25" s="9">
        <v>11</v>
      </c>
      <c r="AA25" s="9">
        <v>15</v>
      </c>
      <c r="AB25" s="9">
        <v>75</v>
      </c>
      <c r="AC25" s="13">
        <v>-0.40824829046386307</v>
      </c>
      <c r="AD25" s="13">
        <v>1.2247448713915892</v>
      </c>
      <c r="AE25" s="9">
        <v>8</v>
      </c>
      <c r="AF25" s="9">
        <v>38</v>
      </c>
      <c r="AG25" s="9">
        <v>2</v>
      </c>
      <c r="AH25" s="6" t="s">
        <v>2662</v>
      </c>
      <c r="AI25" s="10">
        <v>23.782435585948495</v>
      </c>
      <c r="AJ25" s="10">
        <v>22.526133361045147</v>
      </c>
      <c r="AK25" s="15" t="s">
        <v>2663</v>
      </c>
      <c r="AL25" s="15" t="s">
        <v>2664</v>
      </c>
      <c r="AM25" s="15" t="s">
        <v>2665</v>
      </c>
      <c r="AN25" s="9">
        <v>6</v>
      </c>
      <c r="AO25" s="9">
        <v>3</v>
      </c>
      <c r="AP25" s="9">
        <v>12</v>
      </c>
      <c r="AQ25" s="15" t="s">
        <v>2666</v>
      </c>
      <c r="AR25" s="9">
        <v>6</v>
      </c>
      <c r="AS25" s="6" t="s">
        <v>2054</v>
      </c>
      <c r="AT25" s="15" t="s">
        <v>2667</v>
      </c>
      <c r="AU25" s="9">
        <v>2</v>
      </c>
      <c r="AV25" s="9">
        <v>1</v>
      </c>
      <c r="AW25" s="9">
        <v>3</v>
      </c>
      <c r="AX25" s="9">
        <v>9</v>
      </c>
      <c r="AY25" s="9">
        <v>4</v>
      </c>
      <c r="AZ25" s="9">
        <v>10756</v>
      </c>
      <c r="BA25" s="6" t="s">
        <v>2668</v>
      </c>
      <c r="BB25" s="6" t="s">
        <v>2669</v>
      </c>
      <c r="BC25" s="6" t="s">
        <v>2670</v>
      </c>
      <c r="BD25" s="15" t="s">
        <v>2671</v>
      </c>
      <c r="BE25" s="15" t="s">
        <v>2672</v>
      </c>
      <c r="BF25" s="15" t="s">
        <v>2673</v>
      </c>
      <c r="BG25" s="15" t="s">
        <v>2674</v>
      </c>
      <c r="BH25" s="6" t="s">
        <v>2675</v>
      </c>
      <c r="BI25" s="17">
        <v>25735.998564814814</v>
      </c>
      <c r="BJ25" s="7" t="s">
        <v>1229</v>
      </c>
      <c r="BK25" s="7" t="s">
        <v>1230</v>
      </c>
      <c r="BL25" s="7" t="s">
        <v>1231</v>
      </c>
      <c r="BM25" s="16" t="s">
        <v>1232</v>
      </c>
      <c r="BN25" s="16" t="s">
        <v>1233</v>
      </c>
      <c r="BO25" s="16" t="s">
        <v>1234</v>
      </c>
      <c r="BP25" s="16" t="s">
        <v>1235</v>
      </c>
      <c r="BQ25" s="16" t="s">
        <v>1236</v>
      </c>
      <c r="BR25" s="7" t="s">
        <v>1237</v>
      </c>
      <c r="BS25" s="7" t="s">
        <v>1238</v>
      </c>
      <c r="BT25" s="7" t="s">
        <v>1239</v>
      </c>
      <c r="BU25" s="14">
        <v>1.246084779628461E-70</v>
      </c>
      <c r="BV25" s="15" t="s">
        <v>2676</v>
      </c>
      <c r="BW25" s="9">
        <v>10</v>
      </c>
      <c r="BX25" s="9">
        <v>11</v>
      </c>
      <c r="BY25" s="13">
        <v>-0.81649658092772615</v>
      </c>
      <c r="BZ25" s="13">
        <v>-0.40824829046386307</v>
      </c>
      <c r="CA25" s="12">
        <f>IF(B25="","",IF(A25&lt;8,"",_xlfn.LET(_xlpm.n,A25,_xlpm.k,G25,_xlpm.R,AP25,_xlpm.mu,1+2*_xlpm.k*(_xlpm.n-_xlpm.k)/_xlpm.n,_xlpm.v,2*_xlpm.k*(_xlpm.n-_xlpm.k)*(2*_xlpm.k*(_xlpm.n-_xlpm.k)-_xlpm.n)/(_xlpm.n^2*(_xlpm.n-1)),IF(_xlpm.v&lt;=0,"",(_xlpm.R-_xlpm.mu)/SQRT(_xlpm.v)))))</f>
        <v>-0.111651800976279</v>
      </c>
      <c r="CB25" s="37" cm="1">
        <f t="array" ref="CB25">IF(B25="","",IF(A25&lt;8,"",_xlfn.LET(_xlpm.b,--MID(C25,_xlfn.SEQUENCE(A25-1),1),_xlpm.c,--MID(C25,_xlfn.SEQUENCE(A25-1,,2),1),IFERROR(CORREL(_xlpm.b,_xlpm.c),""))))</f>
        <v>-2.4397501823713377E-2</v>
      </c>
      <c r="CC25" s="8">
        <f>IF(B25="","",LOG(A25,2))</f>
        <v>4.584962500721157</v>
      </c>
      <c r="CD25" s="8">
        <f>IF(B25="","",MAX(AN25,AO25)-CC25)</f>
        <v>1.415037499278843</v>
      </c>
      <c r="CE25" s="8" t="str" cm="1">
        <f t="array" ref="CE25">IF(B25="","",IF(LEN(B25)&lt;16,"",_xlfn.LET(_xlpm.d,MID("0123456789abcdef",_xlfn.SEQUENCE(16),1),_xlpm.c,LEN(B25)-LEN(SUBSTITUTE(B25,_xlpm.d,"")),_xlpm.ex,LEN(B25)/16,SUM((_xlpm.c-_xlpm.ex)^2/_xlpm.ex))))</f>
        <v/>
      </c>
      <c r="CF25" s="37" t="str">
        <f>IF(CE25="","",_xlfn.CHISQ.DIST.RT(CE25,15))</f>
        <v/>
      </c>
      <c r="CG25" s="9" cm="1">
        <f t="array" ref="CG25">IF(OR(B25="",B24=""),"",_xlfn.LET(_xlpm.a,C25,_xlpm.b,REPT("0",A25-LEN(C24))&amp;C24,_xlpm.m,MID(_xlpm.a,_xlfn.SEQUENCE(A25),1)=MID(_xlpm.b,_xlfn.SEQUENCE(A25),1),IFERROR(MATCH(FALSE,_xlpm.m,0)-1,A25)))</f>
        <v>0</v>
      </c>
      <c r="CH25" s="9" cm="1">
        <f t="array" ref="CH25">IF(OR(B25="",B24=""),"",_xlfn.LET(_xlpm.a,C25,_xlpm.b,REPT("0",A25-LEN(C24))&amp;C24,_xlpm.n,A25,_xlpm.m,MID(_xlpm.a,_xlfn.SEQUENCE(_xlpm.n,,_xlpm.n,-1),1)=MID(_xlpm.b,_xlfn.SEQUENCE(_xlpm.n,,_xlpm.n,-1),1),IFERROR(MATCH(FALSE,_xlpm.m,0)-1,_xlpm.n)))</f>
        <v>1</v>
      </c>
      <c r="CI25" s="38">
        <f>IF(OR(B25="",B24=""),"",F25-F24)</f>
        <v>0.38517379760742188</v>
      </c>
      <c r="CJ25" s="5" t="b">
        <f>IF(OR(B25="",B24=""),"",IFERROR(FIND(B24,B25)&gt;0,FALSE))</f>
        <v>0</v>
      </c>
      <c r="CK25" s="5" t="b">
        <f>IF(OR(B25="",B24=""),"",IFERROR(FIND(C24,C25)&gt;0,FALSE))</f>
        <v>0</v>
      </c>
      <c r="CL25" s="9" t="str">
        <f>IF(OR(B25="",B24=""),"",IFERROR(FIND(C24,C25),""))</f>
        <v/>
      </c>
      <c r="CM25" s="6" t="str" cm="1">
        <f t="array" ref="CM25">IF(OR(B25="",B24=""),"",_xlfn.LET(_xlpm.pv,D24,_xlpm.ra,BIGSUB(D25,_xlpm.pv),_xlpm.rb,BIGSUB(_xlpm.ra,_xlpm.pv),_xlpm.rc,BIGSUB(_xlpm.rb,_xlpm.pv),IF(LEFT(_xlpm.rb,1)="-",_xlpm.ra,IF(LEFT(_xlpm.rc,1)="-",_xlpm.rb,_xlpm.rc))))</f>
        <v>3231072</v>
      </c>
      <c r="CN25" s="38">
        <f>IF(B25="","",F25-0.5)</f>
        <v>0.2200322151184082</v>
      </c>
      <c r="CO25" s="15" t="str" cm="1">
        <f t="array" ref="CO25">IF(B25="","",_xlfn.TEXTJOIN("",,MID(B25,_xlfn.SEQUENCE(LEN(B25),,LEN(B25),-1),1)))</f>
        <v>40a2cd</v>
      </c>
      <c r="CP25" s="6" t="str" cm="1">
        <f t="array" ref="CP25">IF(B25="","",BASE2DEC(CO25,16))</f>
        <v>4235981</v>
      </c>
      <c r="CQ25" s="5" t="str">
        <f>IF(B25="","",IF(AND(LEN(B25)&lt;16,LEN(B25)=LEN(SUBSTITUTE(SUBSTITUTE(SUBSTITUTE(SUBSTITUTE(SUBSTITUTE(SUBSTITUTE(B25,"a",""),"b",""),"c",""),"d",""),"e",""),"f",""))),--B25,""))</f>
        <v/>
      </c>
      <c r="CR25" s="6" t="str" cm="1">
        <f t="array" ref="CR25">IF(B25="","",IF(LEN(D25)&lt;=15,BASE2DEC(D25,16),""))</f>
        <v>339904118</v>
      </c>
      <c r="CS25" s="15" t="str" cm="1">
        <f t="array" ref="CS25">IF(B25="","",_xlfn.LET(_xlpm.p,REPT("0",MOD(-LEN(B25),4))&amp;B25,_xlfn.TEXTJOIN(" ",,MID(_xlpm.p,_xlfn.SEQUENCE(LEN(_xlpm.p)/4,,1,4),4))))</f>
        <v>00dc 2a04</v>
      </c>
      <c r="CT25" s="15" t="str" cm="1">
        <f t="array" ref="CT25">IF(B25="","",UPPER(_xlfn.LET(_xlpm.p,REPT("0",64-LEN(B25))&amp;B25,_xlfn.TEXTJOIN(" ",,MID(_xlpm.p,_xlfn.SEQUENCE(8,,1,8),8)))))</f>
        <v>00000000 00000000 00000000 00000000 00000000 00000000 00000000 00DC2A04</v>
      </c>
      <c r="CU25" s="6" t="str" cm="1">
        <f t="array" ref="CU25">IF(B25="","",IF(LEN(D25)&lt;=6,_xlfn.LET(_xlpm.n,VALUE(D25)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5" s="39" t="s">
        <v>4444</v>
      </c>
      <c r="CW25" s="39" t="s">
        <v>1895</v>
      </c>
      <c r="CX25" s="39" t="s">
        <v>987</v>
      </c>
      <c r="CY25" s="7" t="s">
        <v>4548</v>
      </c>
      <c r="CZ25" s="39" t="s">
        <v>4444</v>
      </c>
      <c r="DA25" s="39" t="s">
        <v>4444</v>
      </c>
      <c r="DB25" s="39">
        <v>24</v>
      </c>
      <c r="DC25" s="7" t="s">
        <v>4549</v>
      </c>
      <c r="DD25" s="7" t="s">
        <v>4550</v>
      </c>
      <c r="DE25" s="7" t="s">
        <v>4551</v>
      </c>
      <c r="DF25" s="7" t="s">
        <v>4552</v>
      </c>
      <c r="DG25" s="7" t="s">
        <v>4553</v>
      </c>
      <c r="DH25" s="39" t="s">
        <v>4452</v>
      </c>
      <c r="DI25" s="7" t="s">
        <v>5153</v>
      </c>
      <c r="DJ25" s="7" t="s">
        <v>5154</v>
      </c>
      <c r="DK25" s="7" t="s">
        <v>5155</v>
      </c>
      <c r="DL25" s="7" t="s">
        <v>5156</v>
      </c>
      <c r="DM25" s="7" t="s">
        <v>5157</v>
      </c>
      <c r="DN25" s="7" t="s">
        <v>5158</v>
      </c>
      <c r="DO25" s="7" t="s">
        <v>5159</v>
      </c>
      <c r="DP25" s="7" t="s">
        <v>5160</v>
      </c>
      <c r="DQ25" s="7" t="s">
        <v>5161</v>
      </c>
      <c r="DR25" s="7" t="s">
        <v>5162</v>
      </c>
      <c r="DS25" s="7" t="s">
        <v>5778</v>
      </c>
      <c r="DT25" s="15" t="str" cm="1">
        <f t="array" ref="DT25">IF(B25="","",_xlfn.TEXTJOIN("",,HEX2BIN(MID(BQ25,_xlfn.SEQUENCE(40),1),4)))</f>
        <v>1101000101111110110110101011101100001001101010101101101100110011010101100001111000001111111011001001001110001011110111101111010111001010010101000101100100101001</v>
      </c>
    </row>
    <row r="26" spans="1:124" x14ac:dyDescent="0.25">
      <c r="A26" s="9">
        <v>25</v>
      </c>
      <c r="B26" s="15" t="s">
        <v>2677</v>
      </c>
      <c r="C26" s="15" t="s">
        <v>2678</v>
      </c>
      <c r="D26" s="6" t="s">
        <v>2679</v>
      </c>
      <c r="E26" s="6" t="s">
        <v>2680</v>
      </c>
      <c r="F26" s="10">
        <v>0.97801047563552856</v>
      </c>
      <c r="G26" s="9">
        <v>17</v>
      </c>
      <c r="H26" s="9">
        <v>0</v>
      </c>
      <c r="I26" s="15" t="s">
        <v>2681</v>
      </c>
      <c r="J26" s="9">
        <v>12</v>
      </c>
      <c r="K26" s="15" t="s">
        <v>2682</v>
      </c>
      <c r="L26" s="15" t="s">
        <v>2683</v>
      </c>
      <c r="M26" s="15" t="s">
        <v>2684</v>
      </c>
      <c r="N26" s="15" t="s">
        <v>2685</v>
      </c>
      <c r="O26" s="6" t="s">
        <v>2686</v>
      </c>
      <c r="P26" s="15" t="s">
        <v>2687</v>
      </c>
      <c r="Q26" s="15" t="s">
        <v>2688</v>
      </c>
      <c r="R26" s="6" t="s">
        <v>2689</v>
      </c>
      <c r="S26" s="15" t="s">
        <v>2690</v>
      </c>
      <c r="T26" s="11">
        <v>2.2999691031942224</v>
      </c>
      <c r="U26" s="10">
        <v>0.68</v>
      </c>
      <c r="V26" s="7" t="s">
        <v>750</v>
      </c>
      <c r="W26" s="7" t="s">
        <v>751</v>
      </c>
      <c r="X26" s="7" t="s">
        <v>752</v>
      </c>
      <c r="Y26" s="15" t="s">
        <v>2691</v>
      </c>
      <c r="Z26" s="9">
        <v>13</v>
      </c>
      <c r="AA26" s="9">
        <v>11</v>
      </c>
      <c r="AB26" s="9">
        <v>75</v>
      </c>
      <c r="AC26" s="13">
        <v>0.2</v>
      </c>
      <c r="AD26" s="13">
        <v>-0.6</v>
      </c>
      <c r="AE26" s="9">
        <v>8</v>
      </c>
      <c r="AF26" s="9">
        <v>34</v>
      </c>
      <c r="AG26" s="9">
        <v>7</v>
      </c>
      <c r="AH26" s="6" t="s">
        <v>2692</v>
      </c>
      <c r="AI26" s="10">
        <v>24.984050066697332</v>
      </c>
      <c r="AJ26" s="10">
        <v>23.967921823323362</v>
      </c>
      <c r="AK26" s="15" t="s">
        <v>2693</v>
      </c>
      <c r="AL26" s="15" t="s">
        <v>2694</v>
      </c>
      <c r="AM26" s="15" t="s">
        <v>2695</v>
      </c>
      <c r="AN26" s="9">
        <v>2</v>
      </c>
      <c r="AO26" s="9">
        <v>6</v>
      </c>
      <c r="AP26" s="9">
        <v>13</v>
      </c>
      <c r="AQ26" s="15" t="s">
        <v>2696</v>
      </c>
      <c r="AR26" s="9">
        <v>5</v>
      </c>
      <c r="AS26" s="6" t="s">
        <v>2104</v>
      </c>
      <c r="AT26" s="15" t="s">
        <v>2697</v>
      </c>
      <c r="AU26" s="9">
        <v>1</v>
      </c>
      <c r="AV26" s="9">
        <v>4</v>
      </c>
      <c r="AW26" s="9">
        <v>0</v>
      </c>
      <c r="AX26" s="9">
        <v>5</v>
      </c>
      <c r="AY26" s="9">
        <v>229</v>
      </c>
      <c r="AZ26" s="9">
        <v>24293</v>
      </c>
      <c r="BA26" s="6" t="s">
        <v>2698</v>
      </c>
      <c r="BB26" s="6" t="s">
        <v>2699</v>
      </c>
      <c r="BC26" s="6" t="s">
        <v>2700</v>
      </c>
      <c r="BD26" s="15" t="s">
        <v>2701</v>
      </c>
      <c r="BE26" s="15" t="s">
        <v>2702</v>
      </c>
      <c r="BF26" s="15" t="s">
        <v>2703</v>
      </c>
      <c r="BG26" s="15" t="s">
        <v>2704</v>
      </c>
      <c r="BH26" s="6" t="s">
        <v>2705</v>
      </c>
      <c r="BI26" s="17">
        <v>25953.091539351852</v>
      </c>
      <c r="BJ26" s="7" t="s">
        <v>1240</v>
      </c>
      <c r="BK26" s="7" t="s">
        <v>1241</v>
      </c>
      <c r="BL26" s="7" t="s">
        <v>1242</v>
      </c>
      <c r="BM26" s="16" t="s">
        <v>1243</v>
      </c>
      <c r="BN26" s="16" t="s">
        <v>1244</v>
      </c>
      <c r="BO26" s="16" t="s">
        <v>1245</v>
      </c>
      <c r="BP26" s="16" t="s">
        <v>1246</v>
      </c>
      <c r="BQ26" s="16" t="s">
        <v>1247</v>
      </c>
      <c r="BR26" s="7" t="s">
        <v>1248</v>
      </c>
      <c r="BS26" s="7" t="s">
        <v>1249</v>
      </c>
      <c r="BT26" s="7" t="s">
        <v>1250</v>
      </c>
      <c r="BU26" s="14">
        <v>2.8659564931060417E-70</v>
      </c>
      <c r="BV26" s="15" t="s">
        <v>2706</v>
      </c>
      <c r="BW26" s="9">
        <v>15</v>
      </c>
      <c r="BX26" s="9">
        <v>11</v>
      </c>
      <c r="BY26" s="13">
        <v>1</v>
      </c>
      <c r="BZ26" s="13">
        <v>-0.6</v>
      </c>
      <c r="CA26" s="12">
        <f>IF(B26="","",IF(A26&lt;8,"",_xlfn.LET(_xlpm.n,A26,_xlpm.k,G26,_xlpm.R,AP26,_xlpm.mu,1+2*_xlpm.k*(_xlpm.n-_xlpm.k)/_xlpm.n,_xlpm.v,2*_xlpm.k*(_xlpm.n-_xlpm.k)*(2*_xlpm.k*(_xlpm.n-_xlpm.k)-_xlpm.n)/(_xlpm.n^2*(_xlpm.n-1)),IF(_xlpm.v&lt;=0,"",(_xlpm.R-_xlpm.mu)/SQRT(_xlpm.v)))))</f>
        <v>0.52921326754292763</v>
      </c>
      <c r="CB26" s="37" cm="1">
        <f t="array" ref="CB26">IF(B26="","",IF(A26&lt;8,"",_xlfn.LET(_xlpm.b,--MID(C26,_xlfn.SEQUENCE(A26-1),1),_xlpm.c,--MID(C26,_xlfn.SEQUENCE(A26-1,,2),1),IFERROR(CORREL(_xlpm.b,_xlpm.c),""))))</f>
        <v>-0.12499999999999999</v>
      </c>
      <c r="CC26" s="8">
        <f>IF(B26="","",LOG(A26,2))</f>
        <v>4.6438561897747244</v>
      </c>
      <c r="CD26" s="8">
        <f>IF(B26="","",MAX(AN26,AO26)-CC26)</f>
        <v>1.3561438102252756</v>
      </c>
      <c r="CE26" s="8" t="str" cm="1">
        <f t="array" ref="CE26">IF(B26="","",IF(LEN(B26)&lt;16,"",_xlfn.LET(_xlpm.d,MID("0123456789abcdef",_xlfn.SEQUENCE(16),1),_xlpm.c,LEN(B26)-LEN(SUBSTITUTE(B26,_xlpm.d,"")),_xlpm.ex,LEN(B26)/16,SUM((_xlpm.c-_xlpm.ex)^2/_xlpm.ex))))</f>
        <v/>
      </c>
      <c r="CF26" s="37" t="str">
        <f>IF(CE26="","",_xlfn.CHISQ.DIST.RT(CE26,15))</f>
        <v/>
      </c>
      <c r="CG26" s="9" cm="1">
        <f t="array" ref="CG26">IF(OR(B26="",B25=""),"",_xlfn.LET(_xlpm.a,C26,_xlpm.b,REPT("0",A26-LEN(C25))&amp;C25,_xlpm.m,MID(_xlpm.a,_xlfn.SEQUENCE(A26),1)=MID(_xlpm.b,_xlfn.SEQUENCE(A26),1),IFERROR(MATCH(FALSE,_xlpm.m,0)-1,A26)))</f>
        <v>0</v>
      </c>
      <c r="CH26" s="9" cm="1">
        <f t="array" ref="CH26">IF(OR(B26="",B25=""),"",_xlfn.LET(_xlpm.a,C26,_xlpm.b,REPT("0",A26-LEN(C25))&amp;C25,_xlpm.n,A26,_xlpm.m,MID(_xlpm.a,_xlfn.SEQUENCE(_xlpm.n,,_xlpm.n,-1),1)=MID(_xlpm.b,_xlfn.SEQUENCE(_xlpm.n,,_xlpm.n,-1),1),IFERROR(MATCH(FALSE,_xlpm.m,0)-1,_xlpm.n)))</f>
        <v>0</v>
      </c>
      <c r="CI26" s="38">
        <f>IF(OR(B26="",B25=""),"",F26-F25)</f>
        <v>0.25797826051712036</v>
      </c>
      <c r="CJ26" s="5" t="b">
        <f>IF(OR(B26="",B25=""),"",IFERROR(FIND(B25,B26)&gt;0,FALSE))</f>
        <v>0</v>
      </c>
      <c r="CK26" s="5" t="b">
        <f>IF(OR(B26="",B25=""),"",IFERROR(FIND(C25,C26)&gt;0,FALSE))</f>
        <v>0</v>
      </c>
      <c r="CL26" s="9" t="str">
        <f>IF(OR(B26="",B25=""),"",IFERROR(FIND(C25,C26),""))</f>
        <v/>
      </c>
      <c r="CM26" s="6" t="str" cm="1">
        <f t="array" ref="CM26">IF(OR(B26="",B25=""),"",_xlfn.LET(_xlpm.pv,D25,_xlpm.ra,BIGSUB(D26,_xlpm.pv),_xlpm.rb,BIGSUB(_xlpm.ra,_xlpm.pv),_xlpm.rc,BIGSUB(_xlpm.rb,_xlpm.pv),IF(LEFT(_xlpm.rb,1)="-",_xlpm.ra,IF(LEFT(_xlpm.rc,1)="-",_xlpm.rb,_xlpm.rc))))</f>
        <v>4328157</v>
      </c>
      <c r="CN26" s="38">
        <f>IF(B26="","",F26-0.5)</f>
        <v>0.47801047563552856</v>
      </c>
      <c r="CO26" s="15" t="str" cm="1">
        <f t="array" ref="CO26">IF(B26="","",_xlfn.TEXTJOIN("",,MID(B26,_xlfn.SEQUENCE(LEN(B26),,LEN(B26),-1),1)))</f>
        <v>5ee5af1</v>
      </c>
      <c r="CP26" s="6" t="str" cm="1">
        <f t="array" ref="CP26">IF(B26="","",BASE2DEC(CO26,16))</f>
        <v>99506929</v>
      </c>
      <c r="CQ26" s="5" t="str">
        <f>IF(B26="","",IF(AND(LEN(B26)&lt;16,LEN(B26)=LEN(SUBSTITUTE(SUBSTITUTE(SUBSTITUTE(SUBSTITUTE(SUBSTITUTE(SUBSTITUTE(B26,"a",""),"b",""),"c",""),"d",""),"e",""),"f",""))),--B26,""))</f>
        <v/>
      </c>
      <c r="CR26" s="6" t="str" cm="1">
        <f t="array" ref="CR26">IF(B26="","",IF(LEN(D26)&lt;=15,BASE2DEC(D26,16),""))</f>
        <v>857232649</v>
      </c>
      <c r="CS26" s="15" t="str" cm="1">
        <f t="array" ref="CS26">IF(B26="","",_xlfn.LET(_xlpm.p,REPT("0",MOD(-LEN(B26),4))&amp;B26,_xlfn.TEXTJOIN(" ",,MID(_xlpm.p,_xlfn.SEQUENCE(LEN(_xlpm.p)/4,,1,4),4))))</f>
        <v>01fa 5ee5</v>
      </c>
      <c r="CT26" s="15" t="str" cm="1">
        <f t="array" ref="CT26">IF(B26="","",UPPER(_xlfn.LET(_xlpm.p,REPT("0",64-LEN(B26))&amp;B26,_xlfn.TEXTJOIN(" ",,MID(_xlpm.p,_xlfn.SEQUENCE(8,,1,8),8)))))</f>
        <v>00000000 00000000 00000000 00000000 00000000 00000000 00000000 01FA5EE5</v>
      </c>
      <c r="CU26" s="6" t="str" cm="1">
        <f t="array" ref="CU26">IF(B26="","",IF(LEN(D26)&lt;=6,_xlfn.LET(_xlpm.n,VALUE(D26)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6" s="39" t="s">
        <v>4444</v>
      </c>
      <c r="CW26" s="39" t="s">
        <v>998</v>
      </c>
      <c r="CX26" s="39" t="s">
        <v>1895</v>
      </c>
      <c r="CY26" s="7" t="s">
        <v>4554</v>
      </c>
      <c r="CZ26" s="39" t="s">
        <v>4444</v>
      </c>
      <c r="DA26" s="39" t="s">
        <v>4444</v>
      </c>
      <c r="DB26" s="39">
        <v>25</v>
      </c>
      <c r="DC26" s="7" t="s">
        <v>4555</v>
      </c>
      <c r="DD26" s="7" t="s">
        <v>4556</v>
      </c>
      <c r="DE26" s="7" t="s">
        <v>4557</v>
      </c>
      <c r="DF26" s="7" t="s">
        <v>4558</v>
      </c>
      <c r="DG26" s="7" t="s">
        <v>4559</v>
      </c>
      <c r="DH26" s="39" t="s">
        <v>4448</v>
      </c>
      <c r="DI26" s="7" t="s">
        <v>5163</v>
      </c>
      <c r="DJ26" s="7" t="s">
        <v>5164</v>
      </c>
      <c r="DK26" s="7" t="s">
        <v>5165</v>
      </c>
      <c r="DL26" s="7" t="s">
        <v>5166</v>
      </c>
      <c r="DM26" s="7" t="s">
        <v>5167</v>
      </c>
      <c r="DN26" s="7" t="s">
        <v>5168</v>
      </c>
      <c r="DO26" s="7" t="s">
        <v>5169</v>
      </c>
      <c r="DP26" s="7" t="s">
        <v>5170</v>
      </c>
      <c r="DQ26" s="7" t="s">
        <v>5171</v>
      </c>
      <c r="DR26" s="7" t="s">
        <v>5172</v>
      </c>
      <c r="DS26" s="7" t="s">
        <v>5779</v>
      </c>
      <c r="DT26" s="15" t="str" cm="1">
        <f t="array" ref="DT26">IF(B26="","",_xlfn.TEXTJOIN("",,HEX2BIN(MID(BQ26,_xlfn.SEQUENCE(40),1),4)))</f>
        <v>1111100111110101000101000011000000001001000000001110010001011101011011111100110000101011010101101000110011101000010101111101010100000011001111110100101100101101</v>
      </c>
    </row>
    <row r="27" spans="1:124" x14ac:dyDescent="0.25">
      <c r="A27" s="9">
        <v>26</v>
      </c>
      <c r="B27" s="15" t="s">
        <v>2707</v>
      </c>
      <c r="C27" s="15" t="s">
        <v>2708</v>
      </c>
      <c r="D27" s="6" t="s">
        <v>2709</v>
      </c>
      <c r="E27" s="6" t="s">
        <v>2710</v>
      </c>
      <c r="F27" s="10">
        <v>0.62538474798202515</v>
      </c>
      <c r="G27" s="9">
        <v>11</v>
      </c>
      <c r="H27" s="9">
        <v>1</v>
      </c>
      <c r="I27" s="15" t="s">
        <v>2711</v>
      </c>
      <c r="J27" s="9">
        <v>14</v>
      </c>
      <c r="K27" s="15" t="s">
        <v>2712</v>
      </c>
      <c r="L27" s="15" t="s">
        <v>2713</v>
      </c>
      <c r="M27" s="15" t="s">
        <v>2714</v>
      </c>
      <c r="N27" s="15" t="s">
        <v>2715</v>
      </c>
      <c r="O27" s="6" t="s">
        <v>2716</v>
      </c>
      <c r="P27" s="15" t="s">
        <v>2717</v>
      </c>
      <c r="Q27" s="15" t="s">
        <v>2718</v>
      </c>
      <c r="R27" s="6" t="s">
        <v>2719</v>
      </c>
      <c r="S27" s="15" t="s">
        <v>2720</v>
      </c>
      <c r="T27" s="11">
        <v>1.6434541353576948</v>
      </c>
      <c r="U27" s="10">
        <v>0.42307692307692307</v>
      </c>
      <c r="V27" s="7" t="s">
        <v>753</v>
      </c>
      <c r="W27" s="7" t="s">
        <v>754</v>
      </c>
      <c r="X27" s="7" t="s">
        <v>755</v>
      </c>
      <c r="Y27" s="15" t="s">
        <v>2721</v>
      </c>
      <c r="Z27" s="9">
        <v>10</v>
      </c>
      <c r="AA27" s="9">
        <v>16</v>
      </c>
      <c r="AB27" s="9">
        <v>76</v>
      </c>
      <c r="AC27" s="13">
        <v>-1.1766968108291043</v>
      </c>
      <c r="AD27" s="13">
        <v>1.1766968108291043</v>
      </c>
      <c r="AE27" s="9">
        <v>8</v>
      </c>
      <c r="AF27" s="9">
        <v>41</v>
      </c>
      <c r="AG27" s="9">
        <v>5</v>
      </c>
      <c r="AH27" s="6" t="s">
        <v>2722</v>
      </c>
      <c r="AI27" s="10">
        <v>25.70078126171288</v>
      </c>
      <c r="AJ27" s="10">
        <v>24.322815940047143</v>
      </c>
      <c r="AK27" s="15" t="s">
        <v>2723</v>
      </c>
      <c r="AL27" s="15" t="s">
        <v>2724</v>
      </c>
      <c r="AM27" s="15" t="s">
        <v>2725</v>
      </c>
      <c r="AN27" s="9">
        <v>8</v>
      </c>
      <c r="AO27" s="9">
        <v>3</v>
      </c>
      <c r="AP27" s="9">
        <v>12</v>
      </c>
      <c r="AQ27" s="15" t="s">
        <v>2726</v>
      </c>
      <c r="AR27" s="9">
        <v>6</v>
      </c>
      <c r="AS27" s="6" t="s">
        <v>987</v>
      </c>
      <c r="AT27" s="15" t="s">
        <v>2727</v>
      </c>
      <c r="AU27" s="9">
        <v>2</v>
      </c>
      <c r="AV27" s="9">
        <v>2</v>
      </c>
      <c r="AW27" s="9">
        <v>0</v>
      </c>
      <c r="AX27" s="9">
        <v>4</v>
      </c>
      <c r="AY27" s="9">
        <v>110</v>
      </c>
      <c r="AZ27" s="9">
        <v>12910</v>
      </c>
      <c r="BA27" s="6" t="s">
        <v>2728</v>
      </c>
      <c r="BB27" s="6" t="s">
        <v>2729</v>
      </c>
      <c r="BC27" s="6" t="s">
        <v>2730</v>
      </c>
      <c r="BD27" s="15" t="s">
        <v>2731</v>
      </c>
      <c r="BE27" s="15" t="s">
        <v>2732</v>
      </c>
      <c r="BF27" s="15" t="s">
        <v>2733</v>
      </c>
      <c r="BG27" s="15" t="s">
        <v>2734</v>
      </c>
      <c r="BH27" s="6" t="s">
        <v>2735</v>
      </c>
      <c r="BI27" s="17">
        <v>26200.236828703702</v>
      </c>
      <c r="BJ27" s="7" t="s">
        <v>1251</v>
      </c>
      <c r="BK27" s="7" t="s">
        <v>1252</v>
      </c>
      <c r="BL27" s="7" t="s">
        <v>1253</v>
      </c>
      <c r="BM27" s="16" t="s">
        <v>1254</v>
      </c>
      <c r="BN27" s="16" t="s">
        <v>1255</v>
      </c>
      <c r="BO27" s="16" t="s">
        <v>1256</v>
      </c>
      <c r="BP27" s="16" t="s">
        <v>1257</v>
      </c>
      <c r="BQ27" s="16" t="s">
        <v>1258</v>
      </c>
      <c r="BR27" s="7" t="s">
        <v>1259</v>
      </c>
      <c r="BS27" s="7" t="s">
        <v>1260</v>
      </c>
      <c r="BT27" s="7" t="s">
        <v>1261</v>
      </c>
      <c r="BU27" s="14">
        <v>4.7100680503503608E-70</v>
      </c>
      <c r="BV27" s="15" t="s">
        <v>2736</v>
      </c>
      <c r="BW27" s="9">
        <v>15</v>
      </c>
      <c r="BX27" s="9">
        <v>13</v>
      </c>
      <c r="BY27" s="13">
        <v>0.78446454055273618</v>
      </c>
      <c r="BZ27" s="13">
        <v>0</v>
      </c>
      <c r="CA27" s="12">
        <f>IF(B27="","",IF(A27&lt;8,"",_xlfn.LET(_xlpm.n,A27,_xlpm.k,G27,_xlpm.R,AP27,_xlpm.mu,1+2*_xlpm.k*(_xlpm.n-_xlpm.k)/_xlpm.n,_xlpm.v,2*_xlpm.k*(_xlpm.n-_xlpm.k)*(2*_xlpm.k*(_xlpm.n-_xlpm.k)-_xlpm.n)/(_xlpm.n^2*(_xlpm.n-1)),IF(_xlpm.v&lt;=0,"",(_xlpm.R-_xlpm.mu)/SQRT(_xlpm.v)))))</f>
        <v>-0.69459062788874193</v>
      </c>
      <c r="CB27" s="37" cm="1">
        <f t="array" ref="CB27">IF(B27="","",IF(A27&lt;8,"",_xlfn.LET(_xlpm.b,--MID(C27,_xlfn.SEQUENCE(A27-1),1),_xlpm.c,--MID(C27,_xlfn.SEQUENCE(A27-1,,2),1),IFERROR(CORREL(_xlpm.b,_xlpm.c),""))))</f>
        <v>9.8692754243965342E-2</v>
      </c>
      <c r="CC27" s="8">
        <f>IF(B27="","",LOG(A27,2))</f>
        <v>4.7004397181410926</v>
      </c>
      <c r="CD27" s="8">
        <f>IF(B27="","",MAX(AN27,AO27)-CC27)</f>
        <v>3.2995602818589074</v>
      </c>
      <c r="CE27" s="8" t="str" cm="1">
        <f t="array" ref="CE27">IF(B27="","",IF(LEN(B27)&lt;16,"",_xlfn.LET(_xlpm.d,MID("0123456789abcdef",_xlfn.SEQUENCE(16),1),_xlpm.c,LEN(B27)-LEN(SUBSTITUTE(B27,_xlpm.d,"")),_xlpm.ex,LEN(B27)/16,SUM((_xlpm.c-_xlpm.ex)^2/_xlpm.ex))))</f>
        <v/>
      </c>
      <c r="CF27" s="37" t="str">
        <f>IF(CE27="","",_xlfn.CHISQ.DIST.RT(CE27,15))</f>
        <v/>
      </c>
      <c r="CG27" s="9" cm="1">
        <f t="array" ref="CG27">IF(OR(B27="",B26=""),"",_xlfn.LET(_xlpm.a,C27,_xlpm.b,REPT("0",A27-LEN(C26))&amp;C26,_xlpm.m,MID(_xlpm.a,_xlfn.SEQUENCE(A27),1)=MID(_xlpm.b,_xlfn.SEQUENCE(A27),1),IFERROR(MATCH(FALSE,_xlpm.m,0)-1,A27)))</f>
        <v>0</v>
      </c>
      <c r="CH27" s="9" cm="1">
        <f t="array" ref="CH27">IF(OR(B27="",B26=""),"",_xlfn.LET(_xlpm.a,C27,_xlpm.b,REPT("0",A27-LEN(C26))&amp;C26,_xlpm.n,A27,_xlpm.m,MID(_xlpm.a,_xlfn.SEQUENCE(_xlpm.n,,_xlpm.n,-1),1)=MID(_xlpm.b,_xlfn.SEQUENCE(_xlpm.n,,_xlpm.n,-1),1),IFERROR(MATCH(FALSE,_xlpm.m,0)-1,_xlpm.n)))</f>
        <v>0</v>
      </c>
      <c r="CI27" s="38">
        <f>IF(OR(B27="",B26=""),"",F27-F26)</f>
        <v>-0.35262572765350342</v>
      </c>
      <c r="CJ27" s="5" t="b">
        <f>IF(OR(B27="",B26=""),"",IFERROR(FIND(B26,B27)&gt;0,FALSE))</f>
        <v>0</v>
      </c>
      <c r="CK27" s="5" t="b">
        <f>IF(OR(B27="",B26=""),"",IFERROR(FIND(C26,C27)&gt;0,FALSE))</f>
        <v>0</v>
      </c>
      <c r="CL27" s="9" t="str">
        <f>IF(OR(B27="",B26=""),"",IFERROR(FIND(C26,C27),""))</f>
        <v/>
      </c>
      <c r="CM27" s="6" t="str" cm="1">
        <f t="array" ref="CM27">IF(OR(B27="",B26=""),"",_xlfn.LET(_xlpm.pv,D26,_xlpm.ra,BIGSUB(D27,_xlpm.pv),_xlpm.rb,BIGSUB(_xlpm.ra,_xlpm.pv),_xlpm.rc,BIGSUB(_xlpm.rb,_xlpm.pv),IF(LEFT(_xlpm.rb,1)="-",_xlpm.ra,IF(LEFT(_xlpm.rc,1)="-",_xlpm.rb,_xlpm.rc))))</f>
        <v>21353353</v>
      </c>
      <c r="CN27" s="38">
        <f>IF(B27="","",F27-0.5)</f>
        <v>0.12538474798202515</v>
      </c>
      <c r="CO27" s="15" t="str" cm="1">
        <f t="array" ref="CO27">IF(B27="","",_xlfn.TEXTJOIN("",,MID(B27,_xlfn.SEQUENCE(LEN(B27),,LEN(B27),-1),1)))</f>
        <v>e623043</v>
      </c>
      <c r="CP27" s="6" t="str" cm="1">
        <f t="array" ref="CP27">IF(B27="","",BASE2DEC(CO27,16))</f>
        <v>241315907</v>
      </c>
      <c r="CQ27" s="5" t="str">
        <f>IF(B27="","",IF(AND(LEN(B27)&lt;16,LEN(B27)=LEN(SUBSTITUTE(SUBSTITUTE(SUBSTITUTE(SUBSTITUTE(SUBSTITUTE(SUBSTITUTE(B27,"a",""),"b",""),"c",""),"d",""),"e",""),"f",""))),--B27,""))</f>
        <v/>
      </c>
      <c r="CR27" s="6" t="str" cm="1">
        <f t="array" ref="CR27">IF(B27="","",IF(LEN(D27)&lt;=15,BASE2DEC(D27,16),""))</f>
        <v>1414760546</v>
      </c>
      <c r="CS27" s="15" t="str" cm="1">
        <f t="array" ref="CS27">IF(B27="","",_xlfn.LET(_xlpm.p,REPT("0",MOD(-LEN(B27),4))&amp;B27,_xlfn.TEXTJOIN(" ",,MID(_xlpm.p,_xlfn.SEQUENCE(LEN(_xlpm.p)/4,,1,4),4))))</f>
        <v>0340 326e</v>
      </c>
      <c r="CT27" s="15" t="str" cm="1">
        <f t="array" ref="CT27">IF(B27="","",UPPER(_xlfn.LET(_xlpm.p,REPT("0",64-LEN(B27))&amp;B27,_xlfn.TEXTJOIN(" ",,MID(_xlpm.p,_xlfn.SEQUENCE(8,,1,8),8)))))</f>
        <v>00000000 00000000 00000000 00000000 00000000 00000000 00000000 0340326E</v>
      </c>
      <c r="CU27" s="6" t="str" cm="1">
        <f t="array" ref="CU27">IF(B27="","",IF(LEN(D27)&lt;=6,_xlfn.LET(_xlpm.n,VALUE(D27)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7" s="39" t="s">
        <v>4444</v>
      </c>
      <c r="CW27" s="39" t="s">
        <v>1895</v>
      </c>
      <c r="CX27" s="39" t="s">
        <v>987</v>
      </c>
      <c r="CY27" s="7" t="s">
        <v>4560</v>
      </c>
      <c r="CZ27" s="39" t="s">
        <v>4444</v>
      </c>
      <c r="DA27" s="39" t="s">
        <v>4444</v>
      </c>
      <c r="DB27" s="39">
        <v>26</v>
      </c>
      <c r="DC27" s="7" t="s">
        <v>4561</v>
      </c>
      <c r="DD27" s="7" t="s">
        <v>4562</v>
      </c>
      <c r="DE27" s="7" t="s">
        <v>4563</v>
      </c>
      <c r="DF27" s="7" t="s">
        <v>4564</v>
      </c>
      <c r="DG27" s="7" t="s">
        <v>4565</v>
      </c>
      <c r="DH27" s="39" t="s">
        <v>4452</v>
      </c>
      <c r="DI27" s="7" t="s">
        <v>5173</v>
      </c>
      <c r="DJ27" s="7" t="s">
        <v>5174</v>
      </c>
      <c r="DK27" s="7" t="s">
        <v>5175</v>
      </c>
      <c r="DL27" s="7" t="s">
        <v>5176</v>
      </c>
      <c r="DM27" s="7" t="s">
        <v>5177</v>
      </c>
      <c r="DN27" s="7" t="s">
        <v>5178</v>
      </c>
      <c r="DO27" s="7" t="s">
        <v>5179</v>
      </c>
      <c r="DP27" s="7" t="s">
        <v>5180</v>
      </c>
      <c r="DQ27" s="7" t="s">
        <v>5181</v>
      </c>
      <c r="DR27" s="7" t="s">
        <v>5182</v>
      </c>
      <c r="DS27" s="7" t="s">
        <v>5780</v>
      </c>
      <c r="DT27" s="15" t="str" cm="1">
        <f t="array" ref="DT27">IF(B27="","",_xlfn.TEXTJOIN("",,HEX2BIN(MID(BQ27,_xlfn.SEQUENCE(40),1),4)))</f>
        <v>1000111111100111110001110101010101101100010000000111100101000010000101111001001011010001000000101001001111010110100011000101110000110000000001001011000101101011</v>
      </c>
    </row>
    <row r="28" spans="1:124" x14ac:dyDescent="0.25">
      <c r="A28" s="9">
        <v>27</v>
      </c>
      <c r="B28" s="15" t="s">
        <v>2737</v>
      </c>
      <c r="C28" s="15" t="s">
        <v>2738</v>
      </c>
      <c r="D28" s="6" t="s">
        <v>2739</v>
      </c>
      <c r="E28" s="6" t="s">
        <v>2740</v>
      </c>
      <c r="F28" s="10">
        <v>0.66818411648273468</v>
      </c>
      <c r="G28" s="9">
        <v>14</v>
      </c>
      <c r="H28" s="9">
        <v>0</v>
      </c>
      <c r="I28" s="15" t="s">
        <v>2741</v>
      </c>
      <c r="J28" s="9">
        <v>13</v>
      </c>
      <c r="K28" s="15" t="s">
        <v>2742</v>
      </c>
      <c r="L28" s="15" t="s">
        <v>2743</v>
      </c>
      <c r="M28" s="15" t="s">
        <v>2744</v>
      </c>
      <c r="N28" s="15" t="s">
        <v>2745</v>
      </c>
      <c r="O28" s="6" t="s">
        <v>2746</v>
      </c>
      <c r="P28" s="15" t="s">
        <v>2747</v>
      </c>
      <c r="Q28" s="15" t="s">
        <v>2748</v>
      </c>
      <c r="R28" s="6" t="s">
        <v>2749</v>
      </c>
      <c r="S28" s="15" t="s">
        <v>2750</v>
      </c>
      <c r="T28" s="11">
        <v>2.0526636767741873</v>
      </c>
      <c r="U28" s="10">
        <v>0.51851851851851849</v>
      </c>
      <c r="V28" s="7" t="s">
        <v>756</v>
      </c>
      <c r="W28" s="7" t="s">
        <v>757</v>
      </c>
      <c r="X28" s="7" t="s">
        <v>758</v>
      </c>
      <c r="Y28" s="15" t="s">
        <v>2751</v>
      </c>
      <c r="Z28" s="9">
        <v>12</v>
      </c>
      <c r="AA28" s="9">
        <v>17</v>
      </c>
      <c r="AB28" s="9">
        <v>86</v>
      </c>
      <c r="AC28" s="13">
        <v>-0.57735026918962573</v>
      </c>
      <c r="AD28" s="13">
        <v>1.3471506281091268</v>
      </c>
      <c r="AE28" s="9">
        <v>9</v>
      </c>
      <c r="AF28" s="9">
        <v>39</v>
      </c>
      <c r="AG28" s="9">
        <v>3</v>
      </c>
      <c r="AH28" s="6" t="s">
        <v>2752</v>
      </c>
      <c r="AI28" s="10">
        <v>26.738278526958641</v>
      </c>
      <c r="AJ28" s="10">
        <v>25.418317593646119</v>
      </c>
      <c r="AK28" s="15" t="s">
        <v>2753</v>
      </c>
      <c r="AL28" s="15" t="s">
        <v>2754</v>
      </c>
      <c r="AM28" s="15" t="s">
        <v>2755</v>
      </c>
      <c r="AN28" s="9">
        <v>4</v>
      </c>
      <c r="AO28" s="9">
        <v>3</v>
      </c>
      <c r="AP28" s="9">
        <v>15</v>
      </c>
      <c r="AQ28" s="15" t="s">
        <v>2756</v>
      </c>
      <c r="AR28" s="9">
        <v>7</v>
      </c>
      <c r="AS28" s="6" t="s">
        <v>987</v>
      </c>
      <c r="AT28" s="15" t="s">
        <v>2757</v>
      </c>
      <c r="AU28" s="9">
        <v>0</v>
      </c>
      <c r="AV28" s="9">
        <v>1</v>
      </c>
      <c r="AW28" s="9">
        <v>5</v>
      </c>
      <c r="AX28" s="9">
        <v>4</v>
      </c>
      <c r="AY28" s="9">
        <v>117</v>
      </c>
      <c r="AZ28" s="9">
        <v>14453</v>
      </c>
      <c r="BA28" s="6" t="s">
        <v>2758</v>
      </c>
      <c r="BB28" s="6" t="s">
        <v>2759</v>
      </c>
      <c r="BC28" s="6" t="s">
        <v>2760</v>
      </c>
      <c r="BD28" s="15" t="s">
        <v>2761</v>
      </c>
      <c r="BE28" s="15" t="s">
        <v>2762</v>
      </c>
      <c r="BF28" s="15" t="s">
        <v>2763</v>
      </c>
      <c r="BG28" s="15" t="s">
        <v>2764</v>
      </c>
      <c r="BH28" s="6" t="s">
        <v>2765</v>
      </c>
      <c r="BI28" s="17">
        <v>26864.716909722221</v>
      </c>
      <c r="BJ28" s="7" t="s">
        <v>1262</v>
      </c>
      <c r="BK28" s="7" t="s">
        <v>1263</v>
      </c>
      <c r="BL28" s="7" t="s">
        <v>1264</v>
      </c>
      <c r="BM28" s="16" t="s">
        <v>1265</v>
      </c>
      <c r="BN28" s="16" t="s">
        <v>1266</v>
      </c>
      <c r="BO28" s="16" t="s">
        <v>1267</v>
      </c>
      <c r="BP28" s="16" t="s">
        <v>1268</v>
      </c>
      <c r="BQ28" s="16" t="s">
        <v>1269</v>
      </c>
      <c r="BR28" s="7" t="s">
        <v>1270</v>
      </c>
      <c r="BS28" s="7" t="s">
        <v>1271</v>
      </c>
      <c r="BT28" s="7" t="s">
        <v>1272</v>
      </c>
      <c r="BU28" s="14">
        <v>9.6681856020888E-70</v>
      </c>
      <c r="BV28" s="15" t="s">
        <v>2766</v>
      </c>
      <c r="BW28" s="9">
        <v>16</v>
      </c>
      <c r="BX28" s="9">
        <v>10</v>
      </c>
      <c r="BY28" s="13">
        <v>0.96225044864937626</v>
      </c>
      <c r="BZ28" s="13">
        <v>-1.3471506281091268</v>
      </c>
      <c r="CA28" s="12">
        <f>IF(B28="","",IF(A28&lt;8,"",_xlfn.LET(_xlpm.n,A28,_xlpm.k,G28,_xlpm.R,AP28,_xlpm.mu,1+2*_xlpm.k*(_xlpm.n-_xlpm.k)/_xlpm.n,_xlpm.v,2*_xlpm.k*(_xlpm.n-_xlpm.k)*(2*_xlpm.k*(_xlpm.n-_xlpm.k)-_xlpm.n)/(_xlpm.n^2*(_xlpm.n-1)),IF(_xlpm.v&lt;=0,"",(_xlpm.R-_xlpm.mu)/SQRT(_xlpm.v)))))</f>
        <v>0.20382106541334616</v>
      </c>
      <c r="CB28" s="37" cm="1">
        <f t="array" ref="CB28">IF(B28="","",IF(A28&lt;8,"",_xlfn.LET(_xlpm.b,--MID(C28,_xlfn.SEQUENCE(A28-1),1),_xlpm.c,--MID(C28,_xlfn.SEQUENCE(A28-1,,2),1),IFERROR(CORREL(_xlpm.b,_xlpm.c),""))))</f>
        <v>-7.6923076923076927E-2</v>
      </c>
      <c r="CC28" s="8">
        <f>IF(B28="","",LOG(A28,2))</f>
        <v>4.7548875021634691</v>
      </c>
      <c r="CD28" s="8">
        <f>IF(B28="","",MAX(AN28,AO28)-CC28)</f>
        <v>-0.75488750216346912</v>
      </c>
      <c r="CE28" s="8" t="str" cm="1">
        <f t="array" ref="CE28">IF(B28="","",IF(LEN(B28)&lt;16,"",_xlfn.LET(_xlpm.d,MID("0123456789abcdef",_xlfn.SEQUENCE(16),1),_xlpm.c,LEN(B28)-LEN(SUBSTITUTE(B28,_xlpm.d,"")),_xlpm.ex,LEN(B28)/16,SUM((_xlpm.c-_xlpm.ex)^2/_xlpm.ex))))</f>
        <v/>
      </c>
      <c r="CF28" s="37" t="str">
        <f>IF(CE28="","",_xlfn.CHISQ.DIST.RT(CE28,15))</f>
        <v/>
      </c>
      <c r="CG28" s="9" cm="1">
        <f t="array" ref="CG28">IF(OR(B28="",B27=""),"",_xlfn.LET(_xlpm.a,C28,_xlpm.b,REPT("0",A28-LEN(C27))&amp;C27,_xlpm.m,MID(_xlpm.a,_xlfn.SEQUENCE(A28),1)=MID(_xlpm.b,_xlfn.SEQUENCE(A28),1),IFERROR(MATCH(FALSE,_xlpm.m,0)-1,A28)))</f>
        <v>0</v>
      </c>
      <c r="CH28" s="9" cm="1">
        <f t="array" ref="CH28">IF(OR(B28="",B27=""),"",_xlfn.LET(_xlpm.a,C28,_xlpm.b,REPT("0",A28-LEN(C27))&amp;C27,_xlpm.n,A28,_xlpm.m,MID(_xlpm.a,_xlfn.SEQUENCE(_xlpm.n,,_xlpm.n,-1),1)=MID(_xlpm.b,_xlfn.SEQUENCE(_xlpm.n,,_xlpm.n,-1),1),IFERROR(MATCH(FALSE,_xlpm.m,0)-1,_xlpm.n)))</f>
        <v>0</v>
      </c>
      <c r="CI28" s="38">
        <f>IF(OR(B28="",B27=""),"",F28-F27)</f>
        <v>4.2799368500709534E-2</v>
      </c>
      <c r="CJ28" s="5" t="b">
        <f>IF(OR(B28="",B27=""),"",IFERROR(FIND(B27,B28)&gt;0,FALSE))</f>
        <v>0</v>
      </c>
      <c r="CK28" s="5" t="b">
        <f>IF(OR(B28="",B27=""),"",IFERROR(FIND(C27,C28)&gt;0,FALSE))</f>
        <v>0</v>
      </c>
      <c r="CL28" s="9" t="str">
        <f>IF(OR(B28="",B27=""),"",IFERROR(FIND(C27,C28),""))</f>
        <v/>
      </c>
      <c r="CM28" s="6" t="str" cm="1">
        <f t="array" ref="CM28">IF(OR(B28="",B27=""),"",_xlfn.LET(_xlpm.pv,D27,_xlpm.ra,BIGSUB(D28,_xlpm.pv),_xlpm.rb,BIGSUB(_xlpm.ra,_xlpm.pv),_xlpm.rc,BIGSUB(_xlpm.rb,_xlpm.pv),IF(LEFT(_xlpm.rb,1)="-",_xlpm.ra,IF(LEFT(_xlpm.rc,1)="-",_xlpm.rb,_xlpm.rc))))</f>
        <v>2872217</v>
      </c>
      <c r="CN28" s="38">
        <f>IF(B28="","",F28-0.5)</f>
        <v>0.16818411648273468</v>
      </c>
      <c r="CO28" s="15" t="str" cm="1">
        <f t="array" ref="CO28">IF(B28="","",_xlfn.TEXTJOIN("",,MID(B28,_xlfn.SEQUENCE(LEN(B28),,LEN(B28),-1),1)))</f>
        <v>5783ca6</v>
      </c>
      <c r="CP28" s="6" t="str" cm="1">
        <f t="array" ref="CP28">IF(B28="","",BASE2DEC(CO28,16))</f>
        <v>91765926</v>
      </c>
      <c r="CQ28" s="5" t="str">
        <f>IF(B28="","",IF(AND(LEN(B28)&lt;16,LEN(B28)=LEN(SUBSTITUTE(SUBSTITUTE(SUBSTITUTE(SUBSTITUTE(SUBSTITUTE(SUBSTITUTE(B28,"a",""),"b",""),"c",""),"d",""),"e",""),"f",""))),--B28,""))</f>
        <v/>
      </c>
      <c r="CR28" s="6" t="str" cm="1">
        <f t="array" ref="CR28">IF(B28="","",IF(LEN(D28)&lt;=15,BASE2DEC(D28,16),""))</f>
        <v>4589918529</v>
      </c>
      <c r="CS28" s="15" t="str" cm="1">
        <f t="array" ref="CS28">IF(B28="","",_xlfn.LET(_xlpm.p,REPT("0",MOD(-LEN(B28),4))&amp;B28,_xlfn.TEXTJOIN(" ",,MID(_xlpm.p,_xlfn.SEQUENCE(LEN(_xlpm.p)/4,,1,4),4))))</f>
        <v>06ac 3875</v>
      </c>
      <c r="CT28" s="15" t="str" cm="1">
        <f t="array" ref="CT28">IF(B28="","",UPPER(_xlfn.LET(_xlpm.p,REPT("0",64-LEN(B28))&amp;B28,_xlfn.TEXTJOIN(" ",,MID(_xlpm.p,_xlfn.SEQUENCE(8,,1,8),8)))))</f>
        <v>00000000 00000000 00000000 00000000 00000000 00000000 00000000 06AC3875</v>
      </c>
      <c r="CU28" s="6" t="str" cm="1">
        <f t="array" ref="CU28">IF(B28="","",IF(LEN(D28)&lt;=6,_xlfn.LET(_xlpm.n,VALUE(D28)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8" s="39" t="s">
        <v>4444</v>
      </c>
      <c r="CW28" s="39" t="s">
        <v>987</v>
      </c>
      <c r="CX28" s="39" t="s">
        <v>987</v>
      </c>
      <c r="CY28" s="7" t="s">
        <v>4566</v>
      </c>
      <c r="CZ28" s="39" t="s">
        <v>4444</v>
      </c>
      <c r="DA28" s="39" t="s">
        <v>4444</v>
      </c>
      <c r="DB28" s="39">
        <v>27</v>
      </c>
      <c r="DC28" s="7" t="s">
        <v>4567</v>
      </c>
      <c r="DD28" s="7" t="s">
        <v>4568</v>
      </c>
      <c r="DE28" s="7" t="s">
        <v>4569</v>
      </c>
      <c r="DF28" s="7" t="s">
        <v>4570</v>
      </c>
      <c r="DG28" s="7" t="s">
        <v>4571</v>
      </c>
      <c r="DH28" s="39" t="s">
        <v>4448</v>
      </c>
      <c r="DI28" s="7" t="s">
        <v>5183</v>
      </c>
      <c r="DJ28" s="7" t="s">
        <v>5184</v>
      </c>
      <c r="DK28" s="7" t="s">
        <v>5185</v>
      </c>
      <c r="DL28" s="7" t="s">
        <v>5186</v>
      </c>
      <c r="DM28" s="7" t="s">
        <v>5187</v>
      </c>
      <c r="DN28" s="7" t="s">
        <v>5188</v>
      </c>
      <c r="DO28" s="7" t="s">
        <v>5189</v>
      </c>
      <c r="DP28" s="7" t="s">
        <v>5190</v>
      </c>
      <c r="DQ28" s="7" t="s">
        <v>5191</v>
      </c>
      <c r="DR28" s="7" t="s">
        <v>5192</v>
      </c>
      <c r="DS28" s="7" t="s">
        <v>5781</v>
      </c>
      <c r="DT28" s="15" t="str" cm="1">
        <f t="array" ref="DT28">IF(B28="","",_xlfn.TEXTJOIN("",,HEX2BIN(MID(BQ28,_xlfn.SEQUENCE(40),1),4)))</f>
        <v>1011001010111000110111000011011000010010110111111101101101101111011011000100000000010101011000110111010010110000111011001011010101100000111011111100101001001000</v>
      </c>
    </row>
    <row r="29" spans="1:124" x14ac:dyDescent="0.25">
      <c r="A29" s="9">
        <v>28</v>
      </c>
      <c r="B29" s="15" t="s">
        <v>2767</v>
      </c>
      <c r="C29" s="15" t="s">
        <v>2768</v>
      </c>
      <c r="D29" s="6" t="s">
        <v>2769</v>
      </c>
      <c r="E29" s="6" t="s">
        <v>2770</v>
      </c>
      <c r="F29" s="10">
        <v>0.69600850343704224</v>
      </c>
      <c r="G29" s="9">
        <v>14</v>
      </c>
      <c r="H29" s="9">
        <v>3</v>
      </c>
      <c r="I29" s="15" t="s">
        <v>2771</v>
      </c>
      <c r="J29" s="9">
        <v>16</v>
      </c>
      <c r="K29" s="15" t="s">
        <v>2772</v>
      </c>
      <c r="L29" s="15" t="s">
        <v>2773</v>
      </c>
      <c r="M29" s="15" t="s">
        <v>2774</v>
      </c>
      <c r="N29" s="15" t="s">
        <v>2775</v>
      </c>
      <c r="O29" s="6" t="s">
        <v>2776</v>
      </c>
      <c r="P29" s="15" t="s">
        <v>2777</v>
      </c>
      <c r="Q29" s="15" t="s">
        <v>2778</v>
      </c>
      <c r="R29" s="6" t="s">
        <v>2779</v>
      </c>
      <c r="S29" s="15" t="s">
        <v>2780</v>
      </c>
      <c r="T29" s="11">
        <v>2.0333588920783798</v>
      </c>
      <c r="U29" s="10">
        <v>0.5</v>
      </c>
      <c r="V29" s="7" t="s">
        <v>759</v>
      </c>
      <c r="W29" s="7" t="s">
        <v>760</v>
      </c>
      <c r="X29" s="7" t="s">
        <v>761</v>
      </c>
      <c r="Y29" s="15" t="s">
        <v>2781</v>
      </c>
      <c r="Z29" s="9">
        <v>14</v>
      </c>
      <c r="AA29" s="9">
        <v>13</v>
      </c>
      <c r="AB29" s="9">
        <v>80</v>
      </c>
      <c r="AC29" s="13">
        <v>0</v>
      </c>
      <c r="AD29" s="13">
        <v>-0.3779644730092272</v>
      </c>
      <c r="AE29" s="9">
        <v>9</v>
      </c>
      <c r="AF29" s="9">
        <v>36</v>
      </c>
      <c r="AG29" s="9">
        <v>9</v>
      </c>
      <c r="AH29" s="6" t="s">
        <v>2782</v>
      </c>
      <c r="AI29" s="10">
        <v>27.762143403294804</v>
      </c>
      <c r="AJ29" s="10">
        <v>26.477176837323871</v>
      </c>
      <c r="AK29" s="15" t="s">
        <v>2783</v>
      </c>
      <c r="AL29" s="15" t="s">
        <v>2784</v>
      </c>
      <c r="AM29" s="15" t="s">
        <v>2785</v>
      </c>
      <c r="AN29" s="9">
        <v>3</v>
      </c>
      <c r="AO29" s="9">
        <v>3</v>
      </c>
      <c r="AP29" s="9">
        <v>16</v>
      </c>
      <c r="AQ29" s="15" t="s">
        <v>2786</v>
      </c>
      <c r="AR29" s="9">
        <v>7</v>
      </c>
      <c r="AS29" s="6" t="s">
        <v>976</v>
      </c>
      <c r="AT29" s="15" t="s">
        <v>2787</v>
      </c>
      <c r="AU29" s="9">
        <v>0</v>
      </c>
      <c r="AV29" s="9">
        <v>3</v>
      </c>
      <c r="AW29" s="9">
        <v>1</v>
      </c>
      <c r="AX29" s="9">
        <v>1</v>
      </c>
      <c r="AY29" s="9">
        <v>232</v>
      </c>
      <c r="AZ29" s="9">
        <v>27880</v>
      </c>
      <c r="BA29" s="6" t="s">
        <v>2788</v>
      </c>
      <c r="BB29" s="6" t="s">
        <v>2789</v>
      </c>
      <c r="BC29" s="6" t="s">
        <v>2790</v>
      </c>
      <c r="BD29" s="15" t="s">
        <v>2791</v>
      </c>
      <c r="BE29" s="15" t="s">
        <v>2792</v>
      </c>
      <c r="BF29" s="15" t="s">
        <v>2793</v>
      </c>
      <c r="BG29" s="15" t="s">
        <v>2794</v>
      </c>
      <c r="BH29" s="6" t="s">
        <v>2795</v>
      </c>
      <c r="BI29" s="17">
        <v>28203.657500000001</v>
      </c>
      <c r="BJ29" s="7" t="s">
        <v>1273</v>
      </c>
      <c r="BK29" s="7" t="s">
        <v>1274</v>
      </c>
      <c r="BL29" s="7" t="s">
        <v>1275</v>
      </c>
      <c r="BM29" s="16" t="s">
        <v>1276</v>
      </c>
      <c r="BN29" s="16" t="s">
        <v>1277</v>
      </c>
      <c r="BO29" s="16" t="s">
        <v>1278</v>
      </c>
      <c r="BP29" s="16" t="s">
        <v>1279</v>
      </c>
      <c r="BQ29" s="16" t="s">
        <v>1280</v>
      </c>
      <c r="BR29" s="7" t="s">
        <v>1281</v>
      </c>
      <c r="BS29" s="7" t="s">
        <v>1282</v>
      </c>
      <c r="BT29" s="7" t="s">
        <v>1283</v>
      </c>
      <c r="BU29" s="14">
        <v>1.9658891164271426E-69</v>
      </c>
      <c r="BV29" s="15" t="s">
        <v>2796</v>
      </c>
      <c r="BW29" s="9">
        <v>12</v>
      </c>
      <c r="BX29" s="9">
        <v>12</v>
      </c>
      <c r="BY29" s="13">
        <v>-0.7559289460184544</v>
      </c>
      <c r="BZ29" s="13">
        <v>-0.7559289460184544</v>
      </c>
      <c r="CA29" s="12">
        <f>IF(B29="","",IF(A29&lt;8,"",_xlfn.LET(_xlpm.n,A29,_xlpm.k,G29,_xlpm.R,AP29,_xlpm.mu,1+2*_xlpm.k*(_xlpm.n-_xlpm.k)/_xlpm.n,_xlpm.v,2*_xlpm.k*(_xlpm.n-_xlpm.k)*(2*_xlpm.k*(_xlpm.n-_xlpm.k)-_xlpm.n)/(_xlpm.n^2*(_xlpm.n-1)),IF(_xlpm.v&lt;=0,"",(_xlpm.R-_xlpm.mu)/SQRT(_xlpm.v)))))</f>
        <v>0.38516444325982163</v>
      </c>
      <c r="CB29" s="37" cm="1">
        <f t="array" ref="CB29">IF(B29="","",IF(A29&lt;8,"",_xlfn.LET(_xlpm.b,--MID(C29,_xlfn.SEQUENCE(A29-1),1),_xlpm.c,--MID(C29,_xlfn.SEQUENCE(A29-1,,2),1),IFERROR(CORREL(_xlpm.b,_xlpm.c),""))))</f>
        <v>-0.10989010989010979</v>
      </c>
      <c r="CC29" s="8">
        <f>IF(B29="","",LOG(A29,2))</f>
        <v>4.8073549220576037</v>
      </c>
      <c r="CD29" s="8">
        <f>IF(B29="","",MAX(AN29,AO29)-CC29)</f>
        <v>-1.8073549220576037</v>
      </c>
      <c r="CE29" s="8" t="str" cm="1">
        <f t="array" ref="CE29">IF(B29="","",IF(LEN(B29)&lt;16,"",_xlfn.LET(_xlpm.d,MID("0123456789abcdef",_xlfn.SEQUENCE(16),1),_xlpm.c,LEN(B29)-LEN(SUBSTITUTE(B29,_xlpm.d,"")),_xlpm.ex,LEN(B29)/16,SUM((_xlpm.c-_xlpm.ex)^2/_xlpm.ex))))</f>
        <v/>
      </c>
      <c r="CF29" s="37" t="str">
        <f>IF(CE29="","",_xlfn.CHISQ.DIST.RT(CE29,15))</f>
        <v/>
      </c>
      <c r="CG29" s="9" cm="1">
        <f t="array" ref="CG29">IF(OR(B29="",B28=""),"",_xlfn.LET(_xlpm.a,C29,_xlpm.b,REPT("0",A29-LEN(C28))&amp;C28,_xlpm.m,MID(_xlpm.a,_xlfn.SEQUENCE(A29),1)=MID(_xlpm.b,_xlfn.SEQUENCE(A29),1),IFERROR(MATCH(FALSE,_xlpm.m,0)-1,A29)))</f>
        <v>0</v>
      </c>
      <c r="CH29" s="9" cm="1">
        <f t="array" ref="CH29">IF(OR(B29="",B28=""),"",_xlfn.LET(_xlpm.a,C29,_xlpm.b,REPT("0",A29-LEN(C28))&amp;C28,_xlpm.n,A29,_xlpm.m,MID(_xlpm.a,_xlfn.SEQUENCE(_xlpm.n,,_xlpm.n,-1),1)=MID(_xlpm.b,_xlfn.SEQUENCE(_xlpm.n,,_xlpm.n,-1),1),IFERROR(MATCH(FALSE,_xlpm.m,0)-1,_xlpm.n)))</f>
        <v>0</v>
      </c>
      <c r="CI29" s="38">
        <f>IF(OR(B29="",B28=""),"",F29-F28)</f>
        <v>2.7824386954307556E-2</v>
      </c>
      <c r="CJ29" s="5" t="b">
        <f>IF(OR(B29="",B28=""),"",IFERROR(FIND(B28,B29)&gt;0,FALSE))</f>
        <v>0</v>
      </c>
      <c r="CK29" s="5" t="b">
        <f>IF(OR(B29="",B28=""),"",IFERROR(FIND(C28,C29)&gt;0,FALSE))</f>
        <v>0</v>
      </c>
      <c r="CL29" s="9" t="str">
        <f>IF(OR(B29="",B28=""),"",IFERROR(FIND(C28,C29),""))</f>
        <v/>
      </c>
      <c r="CM29" s="6" t="str" cm="1">
        <f t="array" ref="CM29">IF(OR(B29="",B28=""),"",_xlfn.LET(_xlpm.pv,D28,_xlpm.ra,BIGSUB(D29,_xlpm.pv),_xlpm.rb,BIGSUB(_xlpm.ra,_xlpm.pv),_xlpm.rc,BIGSUB(_xlpm.rb,_xlpm.pv),IF(LEFT(_xlpm.rb,1)="-",_xlpm.ra,IF(LEFT(_xlpm.rc,1)="-",_xlpm.rb,_xlpm.rc))))</f>
        <v>3734526</v>
      </c>
      <c r="CN29" s="38">
        <f>IF(B29="","",F29-0.5)</f>
        <v>0.19600850343704224</v>
      </c>
      <c r="CO29" s="15" t="str" cm="1">
        <f t="array" ref="CO29">IF(B29="","",_xlfn.TEXTJOIN("",,MID(B29,_xlfn.SEQUENCE(LEN(B29),,LEN(B29),-1),1)))</f>
        <v>8ec619d</v>
      </c>
      <c r="CP29" s="6" t="str" cm="1">
        <f t="array" ref="CP29">IF(B29="","",BASE2DEC(CO29,16))</f>
        <v>149709213</v>
      </c>
      <c r="CQ29" s="5" t="str">
        <f>IF(B29="","",IF(AND(LEN(B29)&lt;16,LEN(B29)=LEN(SUBSTITUTE(SUBSTITUTE(SUBSTITUTE(SUBSTITUTE(SUBSTITUTE(SUBSTITUTE(B29,"a",""),"b",""),"c",""),"d",""),"e",""),"f",""))),--B29,""))</f>
        <v/>
      </c>
      <c r="CR29" s="6" t="str" cm="1">
        <f t="array" ref="CR29">IF(B29="","",IF(LEN(D29)&lt;=15,BASE2DEC(D29,16),""))</f>
        <v>9250751496</v>
      </c>
      <c r="CS29" s="15" t="str" cm="1">
        <f t="array" ref="CS29">IF(B29="","",_xlfn.LET(_xlpm.p,REPT("0",MOD(-LEN(B29),4))&amp;B29,_xlfn.TEXTJOIN(" ",,MID(_xlpm.p,_xlfn.SEQUENCE(LEN(_xlpm.p)/4,,1,4),4))))</f>
        <v>0d91 6ce8</v>
      </c>
      <c r="CT29" s="15" t="str" cm="1">
        <f t="array" ref="CT29">IF(B29="","",UPPER(_xlfn.LET(_xlpm.p,REPT("0",64-LEN(B29))&amp;B29,_xlfn.TEXTJOIN(" ",,MID(_xlpm.p,_xlfn.SEQUENCE(8,,1,8),8)))))</f>
        <v>00000000 00000000 00000000 00000000 00000000 00000000 00000000 0D916CE8</v>
      </c>
      <c r="CU29" s="6" t="str" cm="1">
        <f t="array" ref="CU29">IF(B29="","",IF(LEN(D29)&lt;=6,_xlfn.LET(_xlpm.n,VALUE(D29)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29" s="39" t="s">
        <v>4444</v>
      </c>
      <c r="CW29" s="39" t="s">
        <v>1895</v>
      </c>
      <c r="CX29" s="39" t="s">
        <v>987</v>
      </c>
      <c r="CY29" s="7" t="s">
        <v>4572</v>
      </c>
      <c r="CZ29" s="39" t="s">
        <v>4444</v>
      </c>
      <c r="DA29" s="39" t="s">
        <v>4444</v>
      </c>
      <c r="DB29" s="39">
        <v>28</v>
      </c>
      <c r="DC29" s="7" t="s">
        <v>4573</v>
      </c>
      <c r="DD29" s="7" t="s">
        <v>4574</v>
      </c>
      <c r="DE29" s="7" t="s">
        <v>4575</v>
      </c>
      <c r="DF29" s="7" t="s">
        <v>4576</v>
      </c>
      <c r="DG29" s="7" t="s">
        <v>4577</v>
      </c>
      <c r="DH29" s="39" t="s">
        <v>4452</v>
      </c>
      <c r="DI29" s="7" t="s">
        <v>5193</v>
      </c>
      <c r="DJ29" s="7" t="s">
        <v>5194</v>
      </c>
      <c r="DK29" s="7" t="s">
        <v>5195</v>
      </c>
      <c r="DL29" s="7" t="s">
        <v>5196</v>
      </c>
      <c r="DM29" s="7" t="s">
        <v>5197</v>
      </c>
      <c r="DN29" s="7" t="s">
        <v>5198</v>
      </c>
      <c r="DO29" s="7" t="s">
        <v>5199</v>
      </c>
      <c r="DP29" s="7" t="s">
        <v>5200</v>
      </c>
      <c r="DQ29" s="7" t="s">
        <v>5201</v>
      </c>
      <c r="DR29" s="7" t="s">
        <v>5202</v>
      </c>
      <c r="DS29" s="7" t="s">
        <v>5782</v>
      </c>
      <c r="DT29" s="15" t="str" cm="1">
        <f t="array" ref="DT29">IF(B29="","",_xlfn.TEXTJOIN("",,HEX2BIN(MID(BQ29,_xlfn.SEQUENCE(40),1),4)))</f>
        <v>1110100100100110101101100000101111101000011011011111011101101010100101010011101100001101100011111110011100101100110101010010011101001001100101110110110111110101</v>
      </c>
    </row>
    <row r="30" spans="1:124" x14ac:dyDescent="0.25">
      <c r="A30" s="9">
        <v>29</v>
      </c>
      <c r="B30" s="15" t="s">
        <v>2797</v>
      </c>
      <c r="C30" s="15" t="s">
        <v>2798</v>
      </c>
      <c r="D30" s="6" t="s">
        <v>2799</v>
      </c>
      <c r="E30" s="6" t="s">
        <v>2800</v>
      </c>
      <c r="F30" s="10">
        <v>0.49275695532560349</v>
      </c>
      <c r="G30" s="9">
        <v>16</v>
      </c>
      <c r="H30" s="9">
        <v>1</v>
      </c>
      <c r="I30" s="15" t="s">
        <v>2801</v>
      </c>
      <c r="J30" s="9">
        <v>18</v>
      </c>
      <c r="K30" s="15" t="s">
        <v>2802</v>
      </c>
      <c r="L30" s="15" t="s">
        <v>2803</v>
      </c>
      <c r="M30" s="15" t="s">
        <v>2804</v>
      </c>
      <c r="N30" s="15" t="s">
        <v>2805</v>
      </c>
      <c r="O30" s="6" t="s">
        <v>2806</v>
      </c>
      <c r="P30" s="15" t="s">
        <v>2807</v>
      </c>
      <c r="Q30" s="15" t="s">
        <v>2808</v>
      </c>
      <c r="R30" s="6" t="s">
        <v>2809</v>
      </c>
      <c r="S30" s="15" t="s">
        <v>2810</v>
      </c>
      <c r="T30" s="11">
        <v>1.7603177723466128</v>
      </c>
      <c r="U30" s="10">
        <v>0.55172413793103448</v>
      </c>
      <c r="V30" s="7" t="s">
        <v>762</v>
      </c>
      <c r="W30" s="7" t="s">
        <v>763</v>
      </c>
      <c r="X30" s="7" t="s">
        <v>764</v>
      </c>
      <c r="Y30" s="15" t="s">
        <v>2811</v>
      </c>
      <c r="Z30" s="9">
        <v>17</v>
      </c>
      <c r="AA30" s="9">
        <v>15</v>
      </c>
      <c r="AB30" s="9">
        <v>82</v>
      </c>
      <c r="AC30" s="13">
        <v>0.92847669088525941</v>
      </c>
      <c r="AD30" s="13">
        <v>0.18569533817705186</v>
      </c>
      <c r="AE30" s="9">
        <v>9</v>
      </c>
      <c r="AF30" s="9">
        <v>40</v>
      </c>
      <c r="AG30" s="9">
        <v>4</v>
      </c>
      <c r="AH30" s="6" t="s">
        <v>2812</v>
      </c>
      <c r="AI30" s="10">
        <v>28.577979290797465</v>
      </c>
      <c r="AJ30" s="10">
        <v>26.978948140344741</v>
      </c>
      <c r="AK30" s="15" t="s">
        <v>2813</v>
      </c>
      <c r="AL30" s="15" t="s">
        <v>2814</v>
      </c>
      <c r="AM30" s="15" t="s">
        <v>2815</v>
      </c>
      <c r="AN30" s="9">
        <v>3</v>
      </c>
      <c r="AO30" s="9">
        <v>6</v>
      </c>
      <c r="AP30" s="9">
        <v>16</v>
      </c>
      <c r="AQ30" s="15" t="s">
        <v>2816</v>
      </c>
      <c r="AR30" s="9">
        <v>5</v>
      </c>
      <c r="AS30" s="6" t="s">
        <v>976</v>
      </c>
      <c r="AT30" s="15" t="s">
        <v>2817</v>
      </c>
      <c r="AU30" s="9">
        <v>1</v>
      </c>
      <c r="AV30" s="9">
        <v>4</v>
      </c>
      <c r="AW30" s="9">
        <v>5</v>
      </c>
      <c r="AX30" s="9">
        <v>3</v>
      </c>
      <c r="AY30" s="9">
        <v>30</v>
      </c>
      <c r="AZ30" s="9">
        <v>21790</v>
      </c>
      <c r="BA30" s="6" t="s">
        <v>2818</v>
      </c>
      <c r="BB30" s="6" t="s">
        <v>2819</v>
      </c>
      <c r="BC30" s="6" t="s">
        <v>2820</v>
      </c>
      <c r="BD30" s="15" t="s">
        <v>2821</v>
      </c>
      <c r="BE30" s="15" t="s">
        <v>2822</v>
      </c>
      <c r="BF30" s="15" t="s">
        <v>2823</v>
      </c>
      <c r="BG30" s="15" t="s">
        <v>2824</v>
      </c>
      <c r="BH30" s="6" t="s">
        <v>2825</v>
      </c>
      <c r="BI30" s="17">
        <v>30206.834421296298</v>
      </c>
      <c r="BJ30" s="7" t="s">
        <v>1284</v>
      </c>
      <c r="BK30" s="7" t="s">
        <v>1285</v>
      </c>
      <c r="BL30" s="7" t="s">
        <v>1286</v>
      </c>
      <c r="BM30" s="16" t="s">
        <v>1287</v>
      </c>
      <c r="BN30" s="16" t="s">
        <v>1288</v>
      </c>
      <c r="BO30" s="16" t="s">
        <v>1289</v>
      </c>
      <c r="BP30" s="16" t="s">
        <v>1290</v>
      </c>
      <c r="BQ30" s="16" t="s">
        <v>1291</v>
      </c>
      <c r="BR30" s="7" t="s">
        <v>1292</v>
      </c>
      <c r="BS30" s="7" t="s">
        <v>1293</v>
      </c>
      <c r="BT30" s="7" t="s">
        <v>1294</v>
      </c>
      <c r="BU30" s="14">
        <v>3.4605895501094786E-69</v>
      </c>
      <c r="BV30" s="15" t="s">
        <v>2826</v>
      </c>
      <c r="BW30" s="9">
        <v>13</v>
      </c>
      <c r="BX30" s="9">
        <v>17</v>
      </c>
      <c r="BY30" s="13">
        <v>-0.55708601453115558</v>
      </c>
      <c r="BZ30" s="13">
        <v>0.92847669088525941</v>
      </c>
      <c r="CA30" s="12">
        <f>IF(B30="","",IF(A30&lt;8,"",_xlfn.LET(_xlpm.n,A30,_xlpm.k,G30,_xlpm.R,AP30,_xlpm.mu,1+2*_xlpm.k*(_xlpm.n-_xlpm.k)/_xlpm.n,_xlpm.v,2*_xlpm.k*(_xlpm.n-_xlpm.k)*(2*_xlpm.k*(_xlpm.n-_xlpm.k)-_xlpm.n)/(_xlpm.n^2*(_xlpm.n-1)),IF(_xlpm.v&lt;=0,"",(_xlpm.R-_xlpm.mu)/SQRT(_xlpm.v)))))</f>
        <v>0.25057080532935766</v>
      </c>
      <c r="CB30" s="37" cm="1">
        <f t="array" ref="CB30">IF(B30="","",IF(A30&lt;8,"",_xlfn.LET(_xlpm.b,--MID(C30,_xlfn.SEQUENCE(A30-1),1),_xlpm.c,--MID(C30,_xlfn.SEQUENCE(A30-1,,2),1),IFERROR(CORREL(_xlpm.b,_xlpm.c),""))))</f>
        <v>-8.2689823059472339E-2</v>
      </c>
      <c r="CC30" s="8">
        <f>IF(B30="","",LOG(A30,2))</f>
        <v>4.8579809951275728</v>
      </c>
      <c r="CD30" s="8">
        <f>IF(B30="","",MAX(AN30,AO30)-CC30)</f>
        <v>1.1420190048724272</v>
      </c>
      <c r="CE30" s="8" t="str" cm="1">
        <f t="array" ref="CE30">IF(B30="","",IF(LEN(B30)&lt;16,"",_xlfn.LET(_xlpm.d,MID("0123456789abcdef",_xlfn.SEQUENCE(16),1),_xlpm.c,LEN(B30)-LEN(SUBSTITUTE(B30,_xlpm.d,"")),_xlpm.ex,LEN(B30)/16,SUM((_xlpm.c-_xlpm.ex)^2/_xlpm.ex))))</f>
        <v/>
      </c>
      <c r="CF30" s="37" t="str">
        <f>IF(CE30="","",_xlfn.CHISQ.DIST.RT(CE30,15))</f>
        <v/>
      </c>
      <c r="CG30" s="9" cm="1">
        <f t="array" ref="CG30">IF(OR(B30="",B29=""),"",_xlfn.LET(_xlpm.a,C30,_xlpm.b,REPT("0",A30-LEN(C29))&amp;C29,_xlpm.m,MID(_xlpm.a,_xlfn.SEQUENCE(A30),1)=MID(_xlpm.b,_xlfn.SEQUENCE(A30),1),IFERROR(MATCH(FALSE,_xlpm.m,0)-1,A30)))</f>
        <v>0</v>
      </c>
      <c r="CH30" s="9" cm="1">
        <f t="array" ref="CH30">IF(OR(B30="",B29=""),"",_xlfn.LET(_xlpm.a,C30,_xlpm.b,REPT("0",A30-LEN(C29))&amp;C29,_xlpm.n,A30,_xlpm.m,MID(_xlpm.a,_xlfn.SEQUENCE(_xlpm.n,,_xlpm.n,-1),1)=MID(_xlpm.b,_xlfn.SEQUENCE(_xlpm.n,,_xlpm.n,-1),1),IFERROR(MATCH(FALSE,_xlpm.m,0)-1,_xlpm.n)))</f>
        <v>1</v>
      </c>
      <c r="CI30" s="38">
        <f>IF(OR(B30="",B29=""),"",F30-F29)</f>
        <v>-0.20325154811143875</v>
      </c>
      <c r="CJ30" s="5" t="b">
        <f>IF(OR(B30="",B29=""),"",IFERROR(FIND(B29,B30)&gt;0,FALSE))</f>
        <v>0</v>
      </c>
      <c r="CK30" s="5" t="b">
        <f>IF(OR(B30="",B29=""),"",IFERROR(FIND(C29,C30)&gt;0,FALSE))</f>
        <v>0</v>
      </c>
      <c r="CL30" s="9" t="str">
        <f>IF(OR(B30="",B29=""),"",IFERROR(FIND(C29,C30),""))</f>
        <v/>
      </c>
      <c r="CM30" s="6" t="str" cm="1">
        <f t="array" ref="CM30">IF(OR(B30="",B29=""),"",_xlfn.LET(_xlpm.pv,D29,_xlpm.ra,BIGSUB(D30,_xlpm.pv),_xlpm.rb,BIGSUB(_xlpm.ra,_xlpm.pv),_xlpm.rc,BIGSUB(_xlpm.rb,_xlpm.pv),IF(LEFT(_xlpm.rb,1)="-",_xlpm.ra,IF(LEFT(_xlpm.rc,1)="-",_xlpm.rb,_xlpm.rc))))</f>
        <v>173074486</v>
      </c>
      <c r="CN30" s="38">
        <f>IF(B30="","",F30-0.5)</f>
        <v>-7.2430446743965149E-3</v>
      </c>
      <c r="CO30" s="15" t="str" cm="1">
        <f t="array" ref="CO30">IF(B30="","",_xlfn.TEXTJOIN("",,MID(B30,_xlfn.SEQUENCE(LEN(B30),,LEN(B30),-1),1)))</f>
        <v>e1552e71</v>
      </c>
      <c r="CP30" s="6" t="str" cm="1">
        <f t="array" ref="CP30">IF(B30="","",BASE2DEC(CO30,16))</f>
        <v>3780456049</v>
      </c>
      <c r="CQ30" s="5" t="str">
        <f>IF(B30="","",IF(AND(LEN(B30)&lt;16,LEN(B30)=LEN(SUBSTITUTE(SUBSTITUTE(SUBSTITUTE(SUBSTITUTE(SUBSTITUTE(SUBSTITUTE(B30,"a",""),"b",""),"c",""),"d",""),"e",""),"f",""))),--B30,""))</f>
        <v/>
      </c>
      <c r="CR30" s="6" t="str" cm="1">
        <f t="array" ref="CR30">IF(B30="","",IF(LEN(D30)&lt;=15,BASE2DEC(D30,16),""))</f>
        <v>17187244180</v>
      </c>
      <c r="CS30" s="15" t="str" cm="1">
        <f t="array" ref="CS30">IF(B30="","",_xlfn.LET(_xlpm.p,REPT("0",MOD(-LEN(B30),4))&amp;B30,_xlfn.TEXTJOIN(" ",,MID(_xlpm.p,_xlfn.SEQUENCE(LEN(_xlpm.p)/4,,1,4),4))))</f>
        <v>17e2 551e</v>
      </c>
      <c r="CT30" s="15" t="str" cm="1">
        <f t="array" ref="CT30">IF(B30="","",UPPER(_xlfn.LET(_xlpm.p,REPT("0",64-LEN(B30))&amp;B30,_xlfn.TEXTJOIN(" ",,MID(_xlpm.p,_xlfn.SEQUENCE(8,,1,8),8)))))</f>
        <v>00000000 00000000 00000000 00000000 00000000 00000000 00000000 17E2551E</v>
      </c>
      <c r="CU30" s="6" t="str" cm="1">
        <f t="array" ref="CU30">IF(B30="","",IF(LEN(D30)&lt;=6,_xlfn.LET(_xlpm.n,VALUE(D30)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0" s="39" t="s">
        <v>4444</v>
      </c>
      <c r="CW30" s="39" t="s">
        <v>1895</v>
      </c>
      <c r="CX30" s="39" t="s">
        <v>987</v>
      </c>
      <c r="CY30" s="7" t="s">
        <v>4578</v>
      </c>
      <c r="CZ30" s="39" t="s">
        <v>4444</v>
      </c>
      <c r="DA30" s="39" t="s">
        <v>4444</v>
      </c>
      <c r="DB30" s="39">
        <v>28</v>
      </c>
      <c r="DC30" s="7" t="s">
        <v>4579</v>
      </c>
      <c r="DD30" s="7" t="s">
        <v>4580</v>
      </c>
      <c r="DE30" s="7" t="s">
        <v>4581</v>
      </c>
      <c r="DF30" s="7" t="s">
        <v>4582</v>
      </c>
      <c r="DG30" s="7" t="s">
        <v>4583</v>
      </c>
      <c r="DH30" s="39" t="s">
        <v>4452</v>
      </c>
      <c r="DI30" s="7" t="s">
        <v>5203</v>
      </c>
      <c r="DJ30" s="7" t="s">
        <v>5204</v>
      </c>
      <c r="DK30" s="7" t="s">
        <v>5205</v>
      </c>
      <c r="DL30" s="7" t="s">
        <v>5206</v>
      </c>
      <c r="DM30" s="7" t="s">
        <v>5207</v>
      </c>
      <c r="DN30" s="7" t="s">
        <v>5208</v>
      </c>
      <c r="DO30" s="7" t="s">
        <v>5209</v>
      </c>
      <c r="DP30" s="7" t="s">
        <v>5210</v>
      </c>
      <c r="DQ30" s="7" t="s">
        <v>5211</v>
      </c>
      <c r="DR30" s="7" t="s">
        <v>5212</v>
      </c>
      <c r="DS30" s="7" t="s">
        <v>5783</v>
      </c>
      <c r="DT30" s="15" t="str" cm="1">
        <f t="array" ref="DT30">IF(B30="","",_xlfn.TEXTJOIN("",,HEX2BIN(MID(BQ30,_xlfn.SEQUENCE(40),1),4)))</f>
        <v>0001100000100111101111011011110110001111111100001101010101100101100111011001100001100011000000101000100100111001001111000000010000101011011110001111001100111011</v>
      </c>
    </row>
    <row r="31" spans="1:124" x14ac:dyDescent="0.25">
      <c r="A31" s="9">
        <v>30</v>
      </c>
      <c r="B31" s="15" t="s">
        <v>2827</v>
      </c>
      <c r="C31" s="15" t="s">
        <v>2828</v>
      </c>
      <c r="D31" s="6" t="s">
        <v>2829</v>
      </c>
      <c r="E31" s="6" t="s">
        <v>2830</v>
      </c>
      <c r="F31" s="10">
        <v>0.92441434413194656</v>
      </c>
      <c r="G31" s="9">
        <v>16</v>
      </c>
      <c r="H31" s="9">
        <v>2</v>
      </c>
      <c r="I31" s="15" t="s">
        <v>2831</v>
      </c>
      <c r="J31" s="9">
        <v>16</v>
      </c>
      <c r="K31" s="15" t="s">
        <v>2832</v>
      </c>
      <c r="L31" s="15" t="s">
        <v>2833</v>
      </c>
      <c r="M31" s="15" t="s">
        <v>2834</v>
      </c>
      <c r="N31" s="15" t="s">
        <v>2835</v>
      </c>
      <c r="O31" s="6" t="s">
        <v>2836</v>
      </c>
      <c r="P31" s="15" t="s">
        <v>2837</v>
      </c>
      <c r="Q31" s="15" t="s">
        <v>2838</v>
      </c>
      <c r="R31" s="6" t="s">
        <v>2839</v>
      </c>
      <c r="S31" s="15" t="s">
        <v>2840</v>
      </c>
      <c r="T31" s="11">
        <v>2.5783357930657762</v>
      </c>
      <c r="U31" s="10">
        <v>0.53333333333333333</v>
      </c>
      <c r="V31" s="7" t="s">
        <v>765</v>
      </c>
      <c r="W31" s="7" t="s">
        <v>766</v>
      </c>
      <c r="X31" s="7" t="s">
        <v>767</v>
      </c>
      <c r="Y31" s="15" t="s">
        <v>2841</v>
      </c>
      <c r="Z31" s="9">
        <v>13</v>
      </c>
      <c r="AA31" s="9">
        <v>16</v>
      </c>
      <c r="AB31" s="9">
        <v>78</v>
      </c>
      <c r="AC31" s="13">
        <v>-0.73029674334022143</v>
      </c>
      <c r="AD31" s="13">
        <v>0.36514837167011072</v>
      </c>
      <c r="AE31" s="9">
        <v>10</v>
      </c>
      <c r="AF31" s="9">
        <v>28</v>
      </c>
      <c r="AG31" s="9">
        <v>1</v>
      </c>
      <c r="AH31" s="6" t="s">
        <v>2842</v>
      </c>
      <c r="AI31" s="10">
        <v>29.944419458082397</v>
      </c>
      <c r="AJ31" s="10">
        <v>28.886611551382337</v>
      </c>
      <c r="AK31" s="15" t="s">
        <v>2843</v>
      </c>
      <c r="AL31" s="15" t="s">
        <v>2844</v>
      </c>
      <c r="AM31" s="15" t="s">
        <v>2845</v>
      </c>
      <c r="AN31" s="9">
        <v>2</v>
      </c>
      <c r="AO31" s="9">
        <v>4</v>
      </c>
      <c r="AP31" s="9">
        <v>18</v>
      </c>
      <c r="AQ31" s="15" t="s">
        <v>2846</v>
      </c>
      <c r="AR31" s="9">
        <v>6</v>
      </c>
      <c r="AS31" s="6" t="s">
        <v>1896</v>
      </c>
      <c r="AT31" s="15" t="s">
        <v>2847</v>
      </c>
      <c r="AU31" s="9">
        <v>1</v>
      </c>
      <c r="AV31" s="9">
        <v>4</v>
      </c>
      <c r="AW31" s="9">
        <v>3</v>
      </c>
      <c r="AX31" s="9">
        <v>9</v>
      </c>
      <c r="AY31" s="9">
        <v>100</v>
      </c>
      <c r="AZ31" s="9">
        <v>52580</v>
      </c>
      <c r="BA31" s="6" t="s">
        <v>2848</v>
      </c>
      <c r="BB31" s="6" t="s">
        <v>2849</v>
      </c>
      <c r="BC31" s="6" t="s">
        <v>2850</v>
      </c>
      <c r="BD31" s="15" t="s">
        <v>2851</v>
      </c>
      <c r="BE31" s="15" t="s">
        <v>2852</v>
      </c>
      <c r="BF31" s="15" t="s">
        <v>2853</v>
      </c>
      <c r="BG31" s="15" t="s">
        <v>2854</v>
      </c>
      <c r="BH31" s="6" t="s">
        <v>2855</v>
      </c>
      <c r="BI31" s="17">
        <v>37526.894490740742</v>
      </c>
      <c r="BJ31" s="7" t="s">
        <v>1295</v>
      </c>
      <c r="BK31" s="7" t="s">
        <v>1296</v>
      </c>
      <c r="BL31" s="7" t="s">
        <v>1297</v>
      </c>
      <c r="BM31" s="16" t="s">
        <v>1298</v>
      </c>
      <c r="BN31" s="16" t="s">
        <v>1299</v>
      </c>
      <c r="BO31" s="16" t="s">
        <v>1300</v>
      </c>
      <c r="BP31" s="16" t="s">
        <v>1301</v>
      </c>
      <c r="BQ31" s="16" t="s">
        <v>1302</v>
      </c>
      <c r="BR31" s="7" t="s">
        <v>1303</v>
      </c>
      <c r="BS31" s="7" t="s">
        <v>1304</v>
      </c>
      <c r="BT31" s="7" t="s">
        <v>1305</v>
      </c>
      <c r="BU31" s="14">
        <v>8.9225619021566596E-69</v>
      </c>
      <c r="BV31" s="15" t="s">
        <v>2856</v>
      </c>
      <c r="BW31" s="9">
        <v>23</v>
      </c>
      <c r="BX31" s="9">
        <v>18</v>
      </c>
      <c r="BY31" s="13">
        <v>2.9211869733608857</v>
      </c>
      <c r="BZ31" s="13">
        <v>1.0954451150103321</v>
      </c>
      <c r="CA31" s="12">
        <f>IF(B31="","",IF(A31&lt;8,"",_xlfn.LET(_xlpm.n,A31,_xlpm.k,G31,_xlpm.R,AP31,_xlpm.mu,1+2*_xlpm.k*(_xlpm.n-_xlpm.k)/_xlpm.n,_xlpm.v,2*_xlpm.k*(_xlpm.n-_xlpm.k)*(2*_xlpm.k*(_xlpm.n-_xlpm.k)-_xlpm.n)/(_xlpm.n^2*(_xlpm.n-1)),IF(_xlpm.v&lt;=0,"",(_xlpm.R-_xlpm.mu)/SQRT(_xlpm.v)))))</f>
        <v>0.77154904947674052</v>
      </c>
      <c r="CB31" s="37" cm="1">
        <f t="array" ref="CB31">IF(B31="","",IF(A31&lt;8,"",_xlfn.LET(_xlpm.b,--MID(C31,_xlfn.SEQUENCE(A31-1),1),_xlpm.c,--MID(C31,_xlfn.SEQUENCE(A31-1,,2),1),IFERROR(CORREL(_xlpm.b,_xlpm.c),""))))</f>
        <v>-0.17703551929365791</v>
      </c>
      <c r="CC31" s="8">
        <f>IF(B31="","",LOG(A31,2))</f>
        <v>4.9068905956085187</v>
      </c>
      <c r="CD31" s="8">
        <f>IF(B31="","",MAX(AN31,AO31)-CC31)</f>
        <v>-0.9068905956085187</v>
      </c>
      <c r="CE31" s="8" t="str" cm="1">
        <f t="array" ref="CE31">IF(B31="","",IF(LEN(B31)&lt;16,"",_xlfn.LET(_xlpm.d,MID("0123456789abcdef",_xlfn.SEQUENCE(16),1),_xlpm.c,LEN(B31)-LEN(SUBSTITUTE(B31,_xlpm.d,"")),_xlpm.ex,LEN(B31)/16,SUM((_xlpm.c-_xlpm.ex)^2/_xlpm.ex))))</f>
        <v/>
      </c>
      <c r="CF31" s="37" t="str">
        <f>IF(CE31="","",_xlfn.CHISQ.DIST.RT(CE31,15))</f>
        <v/>
      </c>
      <c r="CG31" s="9" cm="1">
        <f t="array" ref="CG31">IF(OR(B31="",B30=""),"",_xlfn.LET(_xlpm.a,C31,_xlpm.b,REPT("0",A31-LEN(C30))&amp;C30,_xlpm.m,MID(_xlpm.a,_xlfn.SEQUENCE(A31),1)=MID(_xlpm.b,_xlfn.SEQUENCE(A31),1),IFERROR(MATCH(FALSE,_xlpm.m,0)-1,A31)))</f>
        <v>0</v>
      </c>
      <c r="CH31" s="9" cm="1">
        <f t="array" ref="CH31">IF(OR(B31="",B30=""),"",_xlfn.LET(_xlpm.a,C31,_xlpm.b,REPT("0",A31-LEN(C30))&amp;C30,_xlpm.n,A31,_xlpm.m,MID(_xlpm.a,_xlfn.SEQUENCE(_xlpm.n,,_xlpm.n,-1),1)=MID(_xlpm.b,_xlfn.SEQUENCE(_xlpm.n,,_xlpm.n,-1),1),IFERROR(MATCH(FALSE,_xlpm.m,0)-1,_xlpm.n)))</f>
        <v>1</v>
      </c>
      <c r="CI31" s="38">
        <f>IF(OR(B31="",B30=""),"",F31-F30)</f>
        <v>0.43165738880634308</v>
      </c>
      <c r="CJ31" s="5" t="b">
        <f>IF(OR(B31="",B30=""),"",IFERROR(FIND(B30,B31)&gt;0,FALSE))</f>
        <v>0</v>
      </c>
      <c r="CK31" s="5" t="b">
        <f>IF(OR(B31="",B30=""),"",IFERROR(FIND(C30,C31)&gt;0,FALSE))</f>
        <v>0</v>
      </c>
      <c r="CL31" s="9" t="str">
        <f>IF(OR(B31="",B30=""),"",IFERROR(FIND(C30,C31),""))</f>
        <v/>
      </c>
      <c r="CM31" s="6" t="str" cm="1">
        <f t="array" ref="CM31">IF(OR(B31="",B30=""),"",_xlfn.LET(_xlpm.pv,D30,_xlpm.ra,BIGSUB(D31,_xlpm.pv),_xlpm.rb,BIGSUB(_xlpm.ra,_xlpm.pv),_xlpm.rc,BIGSUB(_xlpm.rb,_xlpm.pv),IF(LEFT(_xlpm.rb,1)="-",_xlpm.ra,IF(LEFT(_xlpm.rc,1)="-",_xlpm.rb,_xlpm.rc))))</f>
        <v>231744296</v>
      </c>
      <c r="CN31" s="38">
        <f>IF(B31="","",F31-0.5)</f>
        <v>0.42441434413194656</v>
      </c>
      <c r="CO31" s="15" t="str" cm="1">
        <f t="array" ref="CO31">IF(B31="","",_xlfn.TEXTJOIN("",,MID(B31,_xlfn.SEQUENCE(LEN(B31),,LEN(B31),-1),1)))</f>
        <v>46dc49d3</v>
      </c>
      <c r="CP31" s="6" t="str" cm="1">
        <f t="array" ref="CP31">IF(B31="","",BASE2DEC(CO31,16))</f>
        <v>1188841939</v>
      </c>
      <c r="CQ31" s="5" t="str">
        <f>IF(B31="","",IF(AND(LEN(B31)&lt;16,LEN(B31)=LEN(SUBSTITUTE(SUBSTITUTE(SUBSTITUTE(SUBSTITUTE(SUBSTITUTE(SUBSTITUTE(B31,"a",""),"b",""),"c",""),"d",""),"e",""),"f",""))),--B31,""))</f>
        <v/>
      </c>
      <c r="CR31" s="6" t="str" cm="1">
        <f t="array" ref="CR31">IF(B31="","",IF(LEN(D31)&lt;=15,BASE2DEC(D31,16),""))</f>
        <v>69576564868</v>
      </c>
      <c r="CS31" s="15" t="str" cm="1">
        <f t="array" ref="CS31">IF(B31="","",_xlfn.LET(_xlpm.p,REPT("0",MOD(-LEN(B31),4))&amp;B31,_xlfn.TEXTJOIN(" ",,MID(_xlpm.p,_xlfn.SEQUENCE(LEN(_xlpm.p)/4,,1,4),4))))</f>
        <v>3d94 cd64</v>
      </c>
      <c r="CT31" s="15" t="str" cm="1">
        <f t="array" ref="CT31">IF(B31="","",UPPER(_xlfn.LET(_xlpm.p,REPT("0",64-LEN(B31))&amp;B31,_xlfn.TEXTJOIN(" ",,MID(_xlpm.p,_xlfn.SEQUENCE(8,,1,8),8)))))</f>
        <v>00000000 00000000 00000000 00000000 00000000 00000000 00000000 3D94CD64</v>
      </c>
      <c r="CU31" s="6" t="str" cm="1">
        <f t="array" ref="CU31">IF(B31="","",IF(LEN(D31)&lt;=6,_xlfn.LET(_xlpm.n,VALUE(D31)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1" s="39" t="s">
        <v>4444</v>
      </c>
      <c r="CW31" s="39" t="s">
        <v>1895</v>
      </c>
      <c r="CX31" s="39" t="s">
        <v>987</v>
      </c>
      <c r="CY31" s="7" t="s">
        <v>4584</v>
      </c>
      <c r="CZ31" s="39" t="s">
        <v>4444</v>
      </c>
      <c r="DA31" s="39" t="s">
        <v>4444</v>
      </c>
      <c r="DB31" s="39">
        <v>30</v>
      </c>
      <c r="DC31" s="7" t="s">
        <v>4585</v>
      </c>
      <c r="DD31" s="7" t="s">
        <v>4586</v>
      </c>
      <c r="DE31" s="7" t="s">
        <v>4587</v>
      </c>
      <c r="DF31" s="7" t="s">
        <v>4588</v>
      </c>
      <c r="DG31" s="7" t="s">
        <v>4589</v>
      </c>
      <c r="DH31" s="39" t="s">
        <v>4452</v>
      </c>
      <c r="DI31" s="7" t="s">
        <v>5213</v>
      </c>
      <c r="DJ31" s="7" t="s">
        <v>5214</v>
      </c>
      <c r="DK31" s="7" t="s">
        <v>5215</v>
      </c>
      <c r="DL31" s="7" t="s">
        <v>5216</v>
      </c>
      <c r="DM31" s="7" t="s">
        <v>5217</v>
      </c>
      <c r="DN31" s="7" t="s">
        <v>5218</v>
      </c>
      <c r="DO31" s="7" t="s">
        <v>5219</v>
      </c>
      <c r="DP31" s="7" t="s">
        <v>5220</v>
      </c>
      <c r="DQ31" s="7" t="s">
        <v>5221</v>
      </c>
      <c r="DR31" s="7" t="s">
        <v>5222</v>
      </c>
      <c r="DS31" s="7" t="s">
        <v>5784</v>
      </c>
      <c r="DT31" s="15" t="str" cm="1">
        <f t="array" ref="DT31">IF(B31="","",_xlfn.TEXTJOIN("",,HEX2BIN(MID(BQ31,_xlfn.SEQUENCE(40),1),4)))</f>
        <v>1001011110110010000111110011101111010111100000111111100111001101001011010001001111010111101000001010100111011011001011011001001000000100010111110101101101111111</v>
      </c>
    </row>
    <row r="32" spans="1:124" x14ac:dyDescent="0.25">
      <c r="A32" s="9">
        <v>31</v>
      </c>
      <c r="B32" s="15" t="s">
        <v>2857</v>
      </c>
      <c r="C32" s="15" t="s">
        <v>2858</v>
      </c>
      <c r="D32" s="6" t="s">
        <v>2859</v>
      </c>
      <c r="E32" s="6" t="s">
        <v>2860</v>
      </c>
      <c r="F32" s="10">
        <v>0.95800191815942526</v>
      </c>
      <c r="G32" s="9">
        <v>21</v>
      </c>
      <c r="H32" s="9">
        <v>0</v>
      </c>
      <c r="I32" s="15" t="s">
        <v>2861</v>
      </c>
      <c r="J32" s="9">
        <v>13</v>
      </c>
      <c r="K32" s="15" t="s">
        <v>2862</v>
      </c>
      <c r="L32" s="15" t="s">
        <v>2863</v>
      </c>
      <c r="M32" s="15" t="s">
        <v>2864</v>
      </c>
      <c r="N32" s="15" t="s">
        <v>2865</v>
      </c>
      <c r="O32" s="6" t="s">
        <v>2866</v>
      </c>
      <c r="P32" s="15" t="s">
        <v>2867</v>
      </c>
      <c r="Q32" s="15" t="s">
        <v>2868</v>
      </c>
      <c r="R32" s="6" t="s">
        <v>2869</v>
      </c>
      <c r="S32" s="15" t="s">
        <v>2870</v>
      </c>
      <c r="T32" s="11">
        <v>2.0349068007416347</v>
      </c>
      <c r="U32" s="10">
        <v>0.67741935483870963</v>
      </c>
      <c r="V32" s="7" t="s">
        <v>768</v>
      </c>
      <c r="W32" s="7" t="s">
        <v>769</v>
      </c>
      <c r="X32" s="7" t="s">
        <v>770</v>
      </c>
      <c r="Y32" s="15" t="s">
        <v>2871</v>
      </c>
      <c r="Z32" s="9">
        <v>15</v>
      </c>
      <c r="AA32" s="9">
        <v>14</v>
      </c>
      <c r="AB32" s="9">
        <v>86</v>
      </c>
      <c r="AC32" s="13">
        <v>-0.17960530202677491</v>
      </c>
      <c r="AD32" s="13">
        <v>-0.5388159060803247</v>
      </c>
      <c r="AE32" s="9">
        <v>10</v>
      </c>
      <c r="AF32" s="9">
        <v>35</v>
      </c>
      <c r="AG32" s="9">
        <v>8</v>
      </c>
      <c r="AH32" s="6" t="s">
        <v>2872</v>
      </c>
      <c r="AI32" s="10">
        <v>30.969382178280597</v>
      </c>
      <c r="AJ32" s="10">
        <v>29.938100449713261</v>
      </c>
      <c r="AK32" s="15" t="s">
        <v>2873</v>
      </c>
      <c r="AL32" s="15" t="s">
        <v>2874</v>
      </c>
      <c r="AM32" s="15" t="s">
        <v>2875</v>
      </c>
      <c r="AN32" s="9">
        <v>3</v>
      </c>
      <c r="AO32" s="9">
        <v>7</v>
      </c>
      <c r="AP32" s="9">
        <v>13</v>
      </c>
      <c r="AQ32" s="15" t="s">
        <v>2876</v>
      </c>
      <c r="AR32" s="9">
        <v>5</v>
      </c>
      <c r="AS32" s="6" t="s">
        <v>998</v>
      </c>
      <c r="AT32" s="15" t="s">
        <v>2877</v>
      </c>
      <c r="AU32" s="9">
        <v>2</v>
      </c>
      <c r="AV32" s="9">
        <v>1</v>
      </c>
      <c r="AW32" s="9">
        <v>4</v>
      </c>
      <c r="AX32" s="9">
        <v>10</v>
      </c>
      <c r="AY32" s="9">
        <v>71</v>
      </c>
      <c r="AZ32" s="9">
        <v>59207</v>
      </c>
      <c r="BA32" s="6" t="s">
        <v>2878</v>
      </c>
      <c r="BB32" s="6" t="s">
        <v>2879</v>
      </c>
      <c r="BC32" s="6" t="s">
        <v>2880</v>
      </c>
      <c r="BD32" s="15" t="s">
        <v>2881</v>
      </c>
      <c r="BE32" s="15" t="s">
        <v>2882</v>
      </c>
      <c r="BF32" s="15" t="s">
        <v>2883</v>
      </c>
      <c r="BG32" s="15" t="s">
        <v>2884</v>
      </c>
      <c r="BH32" s="6" t="s">
        <v>2885</v>
      </c>
      <c r="BI32" s="17">
        <v>49902.200821759259</v>
      </c>
      <c r="BJ32" s="7" t="s">
        <v>1306</v>
      </c>
      <c r="BK32" s="7" t="s">
        <v>1307</v>
      </c>
      <c r="BL32" s="7" t="s">
        <v>1308</v>
      </c>
      <c r="BM32" s="16" t="s">
        <v>1309</v>
      </c>
      <c r="BN32" s="16" t="s">
        <v>1310</v>
      </c>
      <c r="BO32" s="16" t="s">
        <v>1311</v>
      </c>
      <c r="BP32" s="16" t="s">
        <v>1312</v>
      </c>
      <c r="BQ32" s="16" t="s">
        <v>1313</v>
      </c>
      <c r="BR32" s="7" t="s">
        <v>1314</v>
      </c>
      <c r="BS32" s="7" t="s">
        <v>1315</v>
      </c>
      <c r="BT32" s="7" t="s">
        <v>1316</v>
      </c>
      <c r="BU32" s="14">
        <v>1.8156581894736804E-68</v>
      </c>
      <c r="BV32" s="15" t="s">
        <v>2886</v>
      </c>
      <c r="BW32" s="9">
        <v>18</v>
      </c>
      <c r="BX32" s="9">
        <v>18</v>
      </c>
      <c r="BY32" s="13">
        <v>0.89802651013387458</v>
      </c>
      <c r="BZ32" s="13">
        <v>0.89802651013387458</v>
      </c>
      <c r="CA32" s="12">
        <f>IF(B32="","",IF(A32&lt;8,"",_xlfn.LET(_xlpm.n,A32,_xlpm.k,G32,_xlpm.R,AP32,_xlpm.mu,1+2*_xlpm.k*(_xlpm.n-_xlpm.k)/_xlpm.n,_xlpm.v,2*_xlpm.k*(_xlpm.n-_xlpm.k)*(2*_xlpm.k*(_xlpm.n-_xlpm.k)-_xlpm.n)/(_xlpm.n^2*(_xlpm.n-1)),IF(_xlpm.v&lt;=0,"",(_xlpm.R-_xlpm.mu)/SQRT(_xlpm.v)))))</f>
        <v>-0.65043277775965092</v>
      </c>
      <c r="CB32" s="37" cm="1">
        <f t="array" ref="CB32">IF(B32="","",IF(A32&lt;8,"",_xlfn.LET(_xlpm.b,--MID(C32,_xlfn.SEQUENCE(A32-1),1),_xlpm.c,--MID(C32,_xlfn.SEQUENCE(A32-1,,2),1),IFERROR(CORREL(_xlpm.b,_xlpm.c),""))))</f>
        <v>0.10000000000000006</v>
      </c>
      <c r="CC32" s="8">
        <f>IF(B32="","",LOG(A32,2))</f>
        <v>4.9541963103868758</v>
      </c>
      <c r="CD32" s="8">
        <f>IF(B32="","",MAX(AN32,AO32)-CC32)</f>
        <v>2.0458036896131242</v>
      </c>
      <c r="CE32" s="8" t="str" cm="1">
        <f t="array" ref="CE32">IF(B32="","",IF(LEN(B32)&lt;16,"",_xlfn.LET(_xlpm.d,MID("0123456789abcdef",_xlfn.SEQUENCE(16),1),_xlpm.c,LEN(B32)-LEN(SUBSTITUTE(B32,_xlpm.d,"")),_xlpm.ex,LEN(B32)/16,SUM((_xlpm.c-_xlpm.ex)^2/_xlpm.ex))))</f>
        <v/>
      </c>
      <c r="CF32" s="37" t="str">
        <f>IF(CE32="","",_xlfn.CHISQ.DIST.RT(CE32,15))</f>
        <v/>
      </c>
      <c r="CG32" s="9" cm="1">
        <f t="array" ref="CG32">IF(OR(B32="",B31=""),"",_xlfn.LET(_xlpm.a,C32,_xlpm.b,REPT("0",A32-LEN(C31))&amp;C31,_xlpm.m,MID(_xlpm.a,_xlfn.SEQUENCE(A32),1)=MID(_xlpm.b,_xlfn.SEQUENCE(A32),1),IFERROR(MATCH(FALSE,_xlpm.m,0)-1,A32)))</f>
        <v>0</v>
      </c>
      <c r="CH32" s="9" cm="1">
        <f t="array" ref="CH32">IF(OR(B32="",B31=""),"",_xlfn.LET(_xlpm.a,C32,_xlpm.b,REPT("0",A32-LEN(C31))&amp;C31,_xlpm.n,A32,_xlpm.m,MID(_xlpm.a,_xlfn.SEQUENCE(_xlpm.n,,_xlpm.n,-1),1)=MID(_xlpm.b,_xlfn.SEQUENCE(_xlpm.n,,_xlpm.n,-1),1),IFERROR(MATCH(FALSE,_xlpm.m,0)-1,_xlpm.n)))</f>
        <v>0</v>
      </c>
      <c r="CI32" s="38">
        <f>IF(OR(B32="",B31=""),"",F32-F31)</f>
        <v>3.3587574027478695E-2</v>
      </c>
      <c r="CJ32" s="5" t="b">
        <f>IF(OR(B32="",B31=""),"",IFERROR(FIND(B31,B32)&gt;0,FALSE))</f>
        <v>0</v>
      </c>
      <c r="CK32" s="5" t="b">
        <f>IF(OR(B32="",B31=""),"",IFERROR(FIND(C31,C32)&gt;0,FALSE))</f>
        <v>0</v>
      </c>
      <c r="CL32" s="9" t="str">
        <f>IF(OR(B32="",B31=""),"",IFERROR(FIND(C31,C32),""))</f>
        <v/>
      </c>
      <c r="CM32" s="6" t="str" cm="1">
        <f t="array" ref="CM32">IF(OR(B32="",B31=""),"",_xlfn.LET(_xlpm.pv,D31,_xlpm.ra,BIGSUB(D32,_xlpm.pv),_xlpm.rb,BIGSUB(_xlpm.ra,_xlpm.pv),_xlpm.rc,BIGSUB(_xlpm.rb,_xlpm.pv),IF(LEFT(_xlpm.rb,1)="-",_xlpm.ra,IF(LEFT(_xlpm.rc,1)="-",_xlpm.rb,_xlpm.rc))))</f>
        <v>36064383</v>
      </c>
      <c r="CN32" s="38">
        <f>IF(B32="","",F32-0.5)</f>
        <v>0.45800191815942526</v>
      </c>
      <c r="CO32" s="15" t="str" cm="1">
        <f t="array" ref="CO32">IF(B32="","",_xlfn.TEXTJOIN("",,MID(B32,_xlfn.SEQUENCE(LEN(B32),,LEN(B32),-1),1)))</f>
        <v>747ef4d7</v>
      </c>
      <c r="CP32" s="6" t="str" cm="1">
        <f t="array" ref="CP32">IF(B32="","",BASE2DEC(CO32,16))</f>
        <v>1954477271</v>
      </c>
      <c r="CQ32" s="5" t="str">
        <f>IF(B32="","",IF(AND(LEN(B32)&lt;16,LEN(B32)=LEN(SUBSTITUTE(SUBSTITUTE(SUBSTITUTE(SUBSTITUTE(SUBSTITUTE(SUBSTITUTE(B32,"a",""),"b",""),"c",""),"d",""),"e",""),"f",""))),--B32,""))</f>
        <v/>
      </c>
      <c r="CR32" s="6" t="str" cm="1">
        <f t="array" ref="CR32">IF(B32="","",IF(LEN(D32)&lt;=15,BASE2DEC(D32,16),""))</f>
        <v>141771179345</v>
      </c>
      <c r="CS32" s="15" t="str" cm="1">
        <f t="array" ref="CS32">IF(B32="","",_xlfn.LET(_xlpm.p,REPT("0",MOD(-LEN(B32),4))&amp;B32,_xlfn.TEXTJOIN(" ",,MID(_xlpm.p,_xlfn.SEQUENCE(LEN(_xlpm.p)/4,,1,4),4))))</f>
        <v>7d4f e747</v>
      </c>
      <c r="CT32" s="15" t="str" cm="1">
        <f t="array" ref="CT32">IF(B32="","",UPPER(_xlfn.LET(_xlpm.p,REPT("0",64-LEN(B32))&amp;B32,_xlfn.TEXTJOIN(" ",,MID(_xlpm.p,_xlfn.SEQUENCE(8,,1,8),8)))))</f>
        <v>00000000 00000000 00000000 00000000 00000000 00000000 00000000 7D4FE747</v>
      </c>
      <c r="CU32" s="6" t="str" cm="1">
        <f t="array" ref="CU32">IF(B32="","",IF(LEN(D32)&lt;=6,_xlfn.LET(_xlpm.n,VALUE(D32)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2" s="39" t="s">
        <v>4444</v>
      </c>
      <c r="CW32" s="39" t="s">
        <v>2225</v>
      </c>
      <c r="CX32" s="39" t="s">
        <v>1896</v>
      </c>
      <c r="CY32" s="7" t="s">
        <v>4590</v>
      </c>
      <c r="CZ32" s="39" t="s">
        <v>4444</v>
      </c>
      <c r="DA32" s="39" t="s">
        <v>4444</v>
      </c>
      <c r="DB32" s="39">
        <v>31</v>
      </c>
      <c r="DC32" s="7" t="s">
        <v>4591</v>
      </c>
      <c r="DD32" s="7" t="s">
        <v>4592</v>
      </c>
      <c r="DE32" s="7" t="s">
        <v>4593</v>
      </c>
      <c r="DF32" s="7" t="s">
        <v>4594</v>
      </c>
      <c r="DG32" s="7" t="s">
        <v>4595</v>
      </c>
      <c r="DH32" s="39" t="s">
        <v>4448</v>
      </c>
      <c r="DI32" s="7" t="s">
        <v>5223</v>
      </c>
      <c r="DJ32" s="7" t="s">
        <v>5224</v>
      </c>
      <c r="DK32" s="7" t="s">
        <v>5225</v>
      </c>
      <c r="DL32" s="7" t="s">
        <v>5226</v>
      </c>
      <c r="DM32" s="7" t="s">
        <v>5227</v>
      </c>
      <c r="DN32" s="7" t="s">
        <v>5228</v>
      </c>
      <c r="DO32" s="7" t="s">
        <v>5229</v>
      </c>
      <c r="DP32" s="7" t="s">
        <v>5230</v>
      </c>
      <c r="DQ32" s="7" t="s">
        <v>5231</v>
      </c>
      <c r="DR32" s="7" t="s">
        <v>5232</v>
      </c>
      <c r="DS32" s="7" t="s">
        <v>5785</v>
      </c>
      <c r="DT32" s="15" t="str" cm="1">
        <f t="array" ref="DT32">IF(B32="","",_xlfn.TEXTJOIN("",,HEX2BIN(MID(BQ32,_xlfn.SEQUENCE(40),1),4)))</f>
        <v>1110110101111000000011010111001010111111111010100010010111101011100111011100101111011101111000110010100011000100011111000001011001000110010010111100010001010011</v>
      </c>
    </row>
    <row r="33" spans="1:124" x14ac:dyDescent="0.25">
      <c r="A33" s="9">
        <v>32</v>
      </c>
      <c r="B33" s="15" t="s">
        <v>2887</v>
      </c>
      <c r="C33" s="15" t="s">
        <v>2888</v>
      </c>
      <c r="D33" s="6" t="s">
        <v>2889</v>
      </c>
      <c r="E33" s="6" t="s">
        <v>2890</v>
      </c>
      <c r="F33" s="10">
        <v>0.44051053281873465</v>
      </c>
      <c r="G33" s="9">
        <v>15</v>
      </c>
      <c r="H33" s="9">
        <v>1</v>
      </c>
      <c r="I33" s="15" t="s">
        <v>2891</v>
      </c>
      <c r="J33" s="9">
        <v>14</v>
      </c>
      <c r="K33" s="15" t="s">
        <v>2892</v>
      </c>
      <c r="L33" s="15" t="s">
        <v>2893</v>
      </c>
      <c r="M33" s="15" t="s">
        <v>2894</v>
      </c>
      <c r="N33" s="15" t="s">
        <v>2895</v>
      </c>
      <c r="O33" s="6" t="s">
        <v>2896</v>
      </c>
      <c r="P33" s="15" t="s">
        <v>2897</v>
      </c>
      <c r="Q33" s="15" t="s">
        <v>2898</v>
      </c>
      <c r="R33" s="6" t="s">
        <v>2899</v>
      </c>
      <c r="S33" s="15" t="s">
        <v>2900</v>
      </c>
      <c r="T33" s="11">
        <v>1.4714087044131738</v>
      </c>
      <c r="U33" s="10">
        <v>0.46875</v>
      </c>
      <c r="V33" s="7" t="s">
        <v>771</v>
      </c>
      <c r="W33" s="7" t="s">
        <v>772</v>
      </c>
      <c r="X33" s="7" t="s">
        <v>773</v>
      </c>
      <c r="Y33" s="15" t="s">
        <v>2901</v>
      </c>
      <c r="Z33" s="9">
        <v>19</v>
      </c>
      <c r="AA33" s="9">
        <v>10</v>
      </c>
      <c r="AB33" s="9">
        <v>83</v>
      </c>
      <c r="AC33" s="13">
        <v>1.0606601717798212</v>
      </c>
      <c r="AD33" s="13">
        <v>-2.1213203435596424</v>
      </c>
      <c r="AE33" s="9">
        <v>10</v>
      </c>
      <c r="AF33" s="9">
        <v>41</v>
      </c>
      <c r="AG33" s="9">
        <v>5</v>
      </c>
      <c r="AH33" s="6" t="s">
        <v>2902</v>
      </c>
      <c r="AI33" s="10">
        <v>31.526580209327911</v>
      </c>
      <c r="AJ33" s="10">
        <v>29.817248420203132</v>
      </c>
      <c r="AK33" s="15" t="s">
        <v>2903</v>
      </c>
      <c r="AL33" s="15" t="s">
        <v>2904</v>
      </c>
      <c r="AM33" s="15" t="s">
        <v>2905</v>
      </c>
      <c r="AN33" s="9">
        <v>4</v>
      </c>
      <c r="AO33" s="9">
        <v>3</v>
      </c>
      <c r="AP33" s="9">
        <v>18</v>
      </c>
      <c r="AQ33" s="15" t="s">
        <v>2906</v>
      </c>
      <c r="AR33" s="9">
        <v>6</v>
      </c>
      <c r="AS33" s="6" t="s">
        <v>1895</v>
      </c>
      <c r="AT33" s="15" t="s">
        <v>2907</v>
      </c>
      <c r="AU33" s="9">
        <v>2</v>
      </c>
      <c r="AV33" s="9">
        <v>4</v>
      </c>
      <c r="AW33" s="9">
        <v>5</v>
      </c>
      <c r="AX33" s="9">
        <v>3</v>
      </c>
      <c r="AY33" s="9">
        <v>46</v>
      </c>
      <c r="AZ33" s="9">
        <v>42542</v>
      </c>
      <c r="BA33" s="6" t="s">
        <v>2908</v>
      </c>
      <c r="BB33" s="6" t="s">
        <v>2909</v>
      </c>
      <c r="BC33" s="6" t="s">
        <v>2910</v>
      </c>
      <c r="BD33" s="15" t="s">
        <v>2911</v>
      </c>
      <c r="BE33" s="15" t="s">
        <v>2912</v>
      </c>
      <c r="BF33" s="15" t="s">
        <v>2913</v>
      </c>
      <c r="BG33" s="15" t="s">
        <v>2914</v>
      </c>
      <c r="BH33" s="6" t="s">
        <v>2915</v>
      </c>
      <c r="BI33" s="17">
        <v>61373.083495370367</v>
      </c>
      <c r="BJ33" s="7" t="s">
        <v>1317</v>
      </c>
      <c r="BK33" s="7" t="s">
        <v>1318</v>
      </c>
      <c r="BL33" s="7" t="s">
        <v>1319</v>
      </c>
      <c r="BM33" s="16" t="s">
        <v>1320</v>
      </c>
      <c r="BN33" s="16" t="s">
        <v>1321</v>
      </c>
      <c r="BO33" s="16" t="s">
        <v>1322</v>
      </c>
      <c r="BP33" s="16" t="s">
        <v>1323</v>
      </c>
      <c r="BQ33" s="16" t="s">
        <v>1324</v>
      </c>
      <c r="BR33" s="7" t="s">
        <v>1325</v>
      </c>
      <c r="BS33" s="7" t="s">
        <v>1326</v>
      </c>
      <c r="BT33" s="7" t="s">
        <v>1327</v>
      </c>
      <c r="BU33" s="14">
        <v>2.6715752642306371E-68</v>
      </c>
      <c r="BV33" s="15" t="s">
        <v>2916</v>
      </c>
      <c r="BW33" s="9">
        <v>18</v>
      </c>
      <c r="BX33" s="9">
        <v>16</v>
      </c>
      <c r="BY33" s="13">
        <v>0.70710678118654746</v>
      </c>
      <c r="BZ33" s="13">
        <v>0</v>
      </c>
      <c r="CA33" s="12">
        <f>IF(B33="","",IF(A33&lt;8,"",_xlfn.LET(_xlpm.n,A33,_xlpm.k,G33,_xlpm.R,AP33,_xlpm.mu,1+2*_xlpm.k*(_xlpm.n-_xlpm.k)/_xlpm.n,_xlpm.v,2*_xlpm.k*(_xlpm.n-_xlpm.k)*(2*_xlpm.k*(_xlpm.n-_xlpm.k)-_xlpm.n)/(_xlpm.n^2*(_xlpm.n-1)),IF(_xlpm.v&lt;=0,"",(_xlpm.R-_xlpm.mu)/SQRT(_xlpm.v)))))</f>
        <v>0.38340760907960536</v>
      </c>
      <c r="CB33" s="37" cm="1">
        <f t="array" ref="CB33">IF(B33="","",IF(A33&lt;8,"",_xlfn.LET(_xlpm.b,--MID(C33,_xlfn.SEQUENCE(A33-1),1),_xlpm.c,--MID(C33,_xlfn.SEQUENCE(A33-1,,2),1),IFERROR(CORREL(_xlpm.b,_xlpm.c),""))))</f>
        <v>-0.10041928905068673</v>
      </c>
      <c r="CC33" s="8">
        <f>IF(B33="","",LOG(A33,2))</f>
        <v>5</v>
      </c>
      <c r="CD33" s="8">
        <f>IF(B33="","",MAX(AN33,AO33)-CC33)</f>
        <v>-1</v>
      </c>
      <c r="CE33" s="8" t="str" cm="1">
        <f t="array" ref="CE33">IF(B33="","",IF(LEN(B33)&lt;16,"",_xlfn.LET(_xlpm.d,MID("0123456789abcdef",_xlfn.SEQUENCE(16),1),_xlpm.c,LEN(B33)-LEN(SUBSTITUTE(B33,_xlpm.d,"")),_xlpm.ex,LEN(B33)/16,SUM((_xlpm.c-_xlpm.ex)^2/_xlpm.ex))))</f>
        <v/>
      </c>
      <c r="CF33" s="37" t="str">
        <f>IF(CE33="","",_xlfn.CHISQ.DIST.RT(CE33,15))</f>
        <v/>
      </c>
      <c r="CG33" s="9" cm="1">
        <f t="array" ref="CG33">IF(OR(B33="",B32=""),"",_xlfn.LET(_xlpm.a,C33,_xlpm.b,REPT("0",A33-LEN(C32))&amp;C32,_xlpm.m,MID(_xlpm.a,_xlfn.SEQUENCE(A33),1)=MID(_xlpm.b,_xlfn.SEQUENCE(A33),1),IFERROR(MATCH(FALSE,_xlpm.m,0)-1,A33)))</f>
        <v>0</v>
      </c>
      <c r="CH33" s="9" cm="1">
        <f t="array" ref="CH33">IF(OR(B33="",B32=""),"",_xlfn.LET(_xlpm.a,C33,_xlpm.b,REPT("0",A33-LEN(C32))&amp;C32,_xlpm.n,A33,_xlpm.m,MID(_xlpm.a,_xlfn.SEQUENCE(_xlpm.n,,_xlpm.n,-1),1)=MID(_xlpm.b,_xlfn.SEQUENCE(_xlpm.n,,_xlpm.n,-1),1),IFERROR(MATCH(FALSE,_xlpm.m,0)-1,_xlpm.n)))</f>
        <v>0</v>
      </c>
      <c r="CI33" s="38">
        <f>IF(OR(B33="",B32=""),"",F33-F32)</f>
        <v>-0.51749138534069061</v>
      </c>
      <c r="CJ33" s="5" t="b">
        <f>IF(OR(B33="",B32=""),"",IFERROR(FIND(B32,B33)&gt;0,FALSE))</f>
        <v>0</v>
      </c>
      <c r="CK33" s="5" t="b">
        <f>IF(OR(B33="",B32=""),"",IFERROR(FIND(C32,C33)&gt;0,FALSE))</f>
        <v>0</v>
      </c>
      <c r="CL33" s="9" t="str">
        <f>IF(OR(B33="",B32=""),"",IFERROR(FIND(C32,C33),""))</f>
        <v/>
      </c>
      <c r="CM33" s="6" t="str" cm="1">
        <f t="array" ref="CM33">IF(OR(B33="",B32=""),"",_xlfn.LET(_xlpm.pv,D32,_xlpm.ra,BIGSUB(D33,_xlpm.pv),_xlpm.rb,BIGSUB(_xlpm.ra,_xlpm.pv),_xlpm.rc,BIGSUB(_xlpm.rb,_xlpm.pv),IF(LEFT(_xlpm.rb,1)="-",_xlpm.ra,IF(LEFT(_xlpm.rc,1)="-",_xlpm.rb,_xlpm.rc))))</f>
        <v>991084263</v>
      </c>
      <c r="CN33" s="38">
        <f>IF(B33="","",F33-0.5)</f>
        <v>-5.9489467181265354E-2</v>
      </c>
      <c r="CO33" s="15" t="str" cm="1">
        <f t="array" ref="CO33">IF(B33="","",_xlfn.TEXTJOIN("",,MID(B33,_xlfn.SEQUENCE(LEN(B33),,LEN(B33),-1),1)))</f>
        <v>e26a268b</v>
      </c>
      <c r="CP33" s="6" t="str" cm="1">
        <f t="array" ref="CP33">IF(B33="","",BASE2DEC(CO33,16))</f>
        <v>3798607499</v>
      </c>
      <c r="CQ33" s="5" t="str">
        <f>IF(B33="","",IF(AND(LEN(B33)&lt;16,LEN(B33)=LEN(SUBSTITUTE(SUBSTITUTE(SUBSTITUTE(SUBSTITUTE(SUBSTITUTE(SUBSTITUTE(B33,"a",""),"b",""),"c",""),"d",""),"e",""),"f",""))),--B33,""))</f>
        <v/>
      </c>
      <c r="CR33" s="6" t="str" cm="1">
        <f t="array" ref="CR33">IF(B33="","",IF(LEN(D33)&lt;=15,BASE2DEC(D33,16),""))</f>
        <v>208629344276</v>
      </c>
      <c r="CS33" s="15" t="str" cm="1">
        <f t="array" ref="CS33">IF(B33="","",_xlfn.LET(_xlpm.p,REPT("0",MOD(-LEN(B33),4))&amp;B33,_xlfn.TEXTJOIN(" ",,MID(_xlpm.p,_xlfn.SEQUENCE(LEN(_xlpm.p)/4,,1,4),4))))</f>
        <v>b862 a62e</v>
      </c>
      <c r="CT33" s="15" t="str" cm="1">
        <f t="array" ref="CT33">IF(B33="","",UPPER(_xlfn.LET(_xlpm.p,REPT("0",64-LEN(B33))&amp;B33,_xlfn.TEXTJOIN(" ",,MID(_xlpm.p,_xlfn.SEQUENCE(8,,1,8),8)))))</f>
        <v>00000000 00000000 00000000 00000000 00000000 00000000 00000000 B862A62E</v>
      </c>
      <c r="CU33" s="6" t="str" cm="1">
        <f t="array" ref="CU33">IF(B33="","",IF(LEN(D33)&lt;=6,_xlfn.LET(_xlpm.n,VALUE(D33)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3" s="39" t="s">
        <v>4444</v>
      </c>
      <c r="CW33" s="39" t="s">
        <v>1895</v>
      </c>
      <c r="CX33" s="39" t="s">
        <v>1896</v>
      </c>
      <c r="CY33" s="7" t="s">
        <v>4596</v>
      </c>
      <c r="CZ33" s="39" t="s">
        <v>4444</v>
      </c>
      <c r="DA33" s="39" t="s">
        <v>4444</v>
      </c>
      <c r="DB33" s="39">
        <v>31</v>
      </c>
      <c r="DC33" s="7" t="s">
        <v>4597</v>
      </c>
      <c r="DD33" s="7" t="s">
        <v>4598</v>
      </c>
      <c r="DE33" s="7" t="s">
        <v>4599</v>
      </c>
      <c r="DF33" s="7" t="s">
        <v>4600</v>
      </c>
      <c r="DG33" s="7" t="s">
        <v>4601</v>
      </c>
      <c r="DH33" s="39" t="s">
        <v>4452</v>
      </c>
      <c r="DI33" s="7" t="s">
        <v>5233</v>
      </c>
      <c r="DJ33" s="7" t="s">
        <v>5234</v>
      </c>
      <c r="DK33" s="7" t="s">
        <v>5235</v>
      </c>
      <c r="DL33" s="7" t="s">
        <v>5236</v>
      </c>
      <c r="DM33" s="7" t="s">
        <v>5237</v>
      </c>
      <c r="DN33" s="7" t="s">
        <v>5238</v>
      </c>
      <c r="DO33" s="7" t="s">
        <v>5239</v>
      </c>
      <c r="DP33" s="7" t="s">
        <v>5240</v>
      </c>
      <c r="DQ33" s="7" t="s">
        <v>5241</v>
      </c>
      <c r="DR33" s="7" t="s">
        <v>5242</v>
      </c>
      <c r="DS33" s="7" t="s">
        <v>5786</v>
      </c>
      <c r="DT33" s="15" t="str" cm="1">
        <f t="array" ref="DT33">IF(B33="","",_xlfn.TEXTJOIN("",,HEX2BIN(MID(BQ33,_xlfn.SEQUENCE(40),1),4)))</f>
        <v>1111001111011001100000011111100011011010010010001100000101110110001011100011001110101011000010100001001110101100010011000010100101001010101000110010000011111101</v>
      </c>
    </row>
    <row r="34" spans="1:124" x14ac:dyDescent="0.25">
      <c r="A34" s="9">
        <v>33</v>
      </c>
      <c r="B34" s="15" t="s">
        <v>2917</v>
      </c>
      <c r="C34" s="15" t="s">
        <v>2918</v>
      </c>
      <c r="D34" s="6" t="s">
        <v>2919</v>
      </c>
      <c r="E34" s="6" t="s">
        <v>2920</v>
      </c>
      <c r="F34" s="10">
        <v>0.66181426309049129</v>
      </c>
      <c r="G34" s="9">
        <v>16</v>
      </c>
      <c r="H34" s="9">
        <v>3</v>
      </c>
      <c r="I34" s="15" t="s">
        <v>2921</v>
      </c>
      <c r="J34" s="9">
        <v>15</v>
      </c>
      <c r="K34" s="15" t="s">
        <v>2922</v>
      </c>
      <c r="L34" s="15" t="s">
        <v>2923</v>
      </c>
      <c r="M34" s="15" t="s">
        <v>2924</v>
      </c>
      <c r="N34" s="15" t="s">
        <v>2925</v>
      </c>
      <c r="O34" s="6" t="s">
        <v>2926</v>
      </c>
      <c r="P34" s="15" t="s">
        <v>2927</v>
      </c>
      <c r="Q34" s="15" t="s">
        <v>2928</v>
      </c>
      <c r="R34" s="6" t="s">
        <v>2929</v>
      </c>
      <c r="S34" s="15" t="s">
        <v>2930</v>
      </c>
      <c r="T34" s="11">
        <v>2.3072573580405806</v>
      </c>
      <c r="U34" s="10">
        <v>0.48484848484848486</v>
      </c>
      <c r="V34" s="7" t="s">
        <v>774</v>
      </c>
      <c r="W34" s="7" t="s">
        <v>775</v>
      </c>
      <c r="X34" s="7" t="s">
        <v>776</v>
      </c>
      <c r="Y34" s="15" t="s">
        <v>2931</v>
      </c>
      <c r="Z34" s="9">
        <v>15</v>
      </c>
      <c r="AA34" s="9">
        <v>17</v>
      </c>
      <c r="AB34" s="9">
        <v>89</v>
      </c>
      <c r="AC34" s="13">
        <v>-0.5222329678670935</v>
      </c>
      <c r="AD34" s="13">
        <v>0.17407765595569785</v>
      </c>
      <c r="AE34" s="9">
        <v>10</v>
      </c>
      <c r="AF34" s="9">
        <v>44</v>
      </c>
      <c r="AG34" s="9">
        <v>8</v>
      </c>
      <c r="AH34" s="6" t="s">
        <v>2932</v>
      </c>
      <c r="AI34" s="10">
        <v>32.732759144627863</v>
      </c>
      <c r="AJ34" s="10">
        <v>31.404498289341181</v>
      </c>
      <c r="AK34" s="15" t="s">
        <v>2933</v>
      </c>
      <c r="AL34" s="15" t="s">
        <v>2934</v>
      </c>
      <c r="AM34" s="15" t="s">
        <v>2935</v>
      </c>
      <c r="AN34" s="9">
        <v>3</v>
      </c>
      <c r="AO34" s="9">
        <v>2</v>
      </c>
      <c r="AP34" s="9">
        <v>22</v>
      </c>
      <c r="AQ34" s="15" t="s">
        <v>2936</v>
      </c>
      <c r="AR34" s="9">
        <v>7</v>
      </c>
      <c r="AS34" s="6" t="s">
        <v>1009</v>
      </c>
      <c r="AT34" s="15" t="s">
        <v>2937</v>
      </c>
      <c r="AU34" s="9">
        <v>2</v>
      </c>
      <c r="AV34" s="9">
        <v>2</v>
      </c>
      <c r="AW34" s="9">
        <v>3</v>
      </c>
      <c r="AX34" s="9">
        <v>0</v>
      </c>
      <c r="AY34" s="9">
        <v>216</v>
      </c>
      <c r="AZ34" s="9">
        <v>43224</v>
      </c>
      <c r="BA34" s="6" t="s">
        <v>2938</v>
      </c>
      <c r="BB34" s="6" t="s">
        <v>2939</v>
      </c>
      <c r="BC34" s="6" t="s">
        <v>2940</v>
      </c>
      <c r="BD34" s="15" t="s">
        <v>2941</v>
      </c>
      <c r="BE34" s="15" t="s">
        <v>2942</v>
      </c>
      <c r="BF34" s="15" t="s">
        <v>2943</v>
      </c>
      <c r="BG34" s="15" t="s">
        <v>2944</v>
      </c>
      <c r="BH34" s="6" t="s">
        <v>2945</v>
      </c>
      <c r="BI34" s="17" t="s">
        <v>888</v>
      </c>
      <c r="BJ34" s="7" t="s">
        <v>1328</v>
      </c>
      <c r="BK34" s="7" t="s">
        <v>1329</v>
      </c>
      <c r="BL34" s="7" t="s">
        <v>1330</v>
      </c>
      <c r="BM34" s="16" t="s">
        <v>1331</v>
      </c>
      <c r="BN34" s="16" t="s">
        <v>1332</v>
      </c>
      <c r="BO34" s="16" t="s">
        <v>1333</v>
      </c>
      <c r="BP34" s="16" t="s">
        <v>1334</v>
      </c>
      <c r="BQ34" s="16" t="s">
        <v>1335</v>
      </c>
      <c r="BR34" s="7" t="s">
        <v>1336</v>
      </c>
      <c r="BS34" s="7" t="s">
        <v>1337</v>
      </c>
      <c r="BT34" s="7" t="s">
        <v>1338</v>
      </c>
      <c r="BU34" s="14">
        <v>6.1640116859553449E-68</v>
      </c>
      <c r="BV34" s="15" t="s">
        <v>2946</v>
      </c>
      <c r="BW34" s="9">
        <v>13</v>
      </c>
      <c r="BX34" s="9">
        <v>21</v>
      </c>
      <c r="BY34" s="13">
        <v>-1.2185435916898848</v>
      </c>
      <c r="BZ34" s="13">
        <v>1.5666989036012806</v>
      </c>
      <c r="CA34" s="12">
        <f>IF(B34="","",IF(A34&lt;8,"",_xlfn.LET(_xlpm.n,A34,_xlpm.k,G34,_xlpm.R,AP34,_xlpm.mu,1+2*_xlpm.k*(_xlpm.n-_xlpm.k)/_xlpm.n,_xlpm.v,2*_xlpm.k*(_xlpm.n-_xlpm.k)*(2*_xlpm.k*(_xlpm.n-_xlpm.k)-_xlpm.n)/(_xlpm.n^2*(_xlpm.n-1)),IF(_xlpm.v&lt;=0,"",(_xlpm.R-_xlpm.mu)/SQRT(_xlpm.v)))))</f>
        <v>1.5986425115047431</v>
      </c>
      <c r="CB34" s="37" cm="1">
        <f t="array" ref="CB34">IF(B34="","",IF(A34&lt;8,"",_xlfn.LET(_xlpm.b,--MID(C34,_xlfn.SEQUENCE(A34-1),1),_xlpm.c,--MID(C34,_xlfn.SEQUENCE(A34-1,,2),1),IFERROR(CORREL(_xlpm.b,_xlpm.c),""))))</f>
        <v>-0.31311214554257477</v>
      </c>
      <c r="CC34" s="8">
        <f>IF(B34="","",LOG(A34,2))</f>
        <v>5.0443941193584534</v>
      </c>
      <c r="CD34" s="8">
        <f>IF(B34="","",MAX(AN34,AO34)-CC34)</f>
        <v>-2.0443941193584534</v>
      </c>
      <c r="CE34" s="8" t="str" cm="1">
        <f t="array" ref="CE34">IF(B34="","",IF(LEN(B34)&lt;16,"",_xlfn.LET(_xlpm.d,MID("0123456789abcdef",_xlfn.SEQUENCE(16),1),_xlpm.c,LEN(B34)-LEN(SUBSTITUTE(B34,_xlpm.d,"")),_xlpm.ex,LEN(B34)/16,SUM((_xlpm.c-_xlpm.ex)^2/_xlpm.ex))))</f>
        <v/>
      </c>
      <c r="CF34" s="37" t="str">
        <f>IF(CE34="","",_xlfn.CHISQ.DIST.RT(CE34,15))</f>
        <v/>
      </c>
      <c r="CG34" s="9" cm="1">
        <f t="array" ref="CG34">IF(OR(B34="",B33=""),"",_xlfn.LET(_xlpm.a,C34,_xlpm.b,REPT("0",A34-LEN(C33))&amp;C33,_xlpm.m,MID(_xlpm.a,_xlfn.SEQUENCE(A34),1)=MID(_xlpm.b,_xlfn.SEQUENCE(A34),1),IFERROR(MATCH(FALSE,_xlpm.m,0)-1,A34)))</f>
        <v>0</v>
      </c>
      <c r="CH34" s="9" cm="1">
        <f t="array" ref="CH34">IF(OR(B34="",B33=""),"",_xlfn.LET(_xlpm.a,C34,_xlpm.b,REPT("0",A34-LEN(C33))&amp;C33,_xlpm.n,A34,_xlpm.m,MID(_xlpm.a,_xlfn.SEQUENCE(_xlpm.n,,_xlpm.n,-1),1)=MID(_xlpm.b,_xlfn.SEQUENCE(_xlpm.n,,_xlpm.n,-1),1),IFERROR(MATCH(FALSE,_xlpm.m,0)-1,_xlpm.n)))</f>
        <v>1</v>
      </c>
      <c r="CI34" s="38">
        <f>IF(OR(B34="",B33=""),"",F34-F33)</f>
        <v>0.22130373027175665</v>
      </c>
      <c r="CJ34" s="5" t="b">
        <f>IF(OR(B34="",B33=""),"",IFERROR(FIND(B33,B34)&gt;0,FALSE))</f>
        <v>0</v>
      </c>
      <c r="CK34" s="5" t="b">
        <f>IF(OR(B34="",B33=""),"",IFERROR(FIND(C33,C34)&gt;0,FALSE))</f>
        <v>0</v>
      </c>
      <c r="CL34" s="9" t="str">
        <f>IF(OR(B34="",B33=""),"",IFERROR(FIND(C33,C34),""))</f>
        <v/>
      </c>
      <c r="CM34" s="6" t="str" cm="1">
        <f t="array" ref="CM34">IF(OR(B34="",B33=""),"",_xlfn.LET(_xlpm.pv,D33,_xlpm.ra,BIGSUB(D34,_xlpm.pv),_xlpm.rb,BIGSUB(_xlpm.ra,_xlpm.pv),_xlpm.rc,BIGSUB(_xlpm.rb,_xlpm.pv),IF(LEFT(_xlpm.rb,1)="-",_xlpm.ra,IF(LEFT(_xlpm.rc,1)="-",_xlpm.rb,_xlpm.rc))))</f>
        <v>950492284</v>
      </c>
      <c r="CN34" s="38">
        <f>IF(B34="","",F34-0.5)</f>
        <v>0.16181426309049129</v>
      </c>
      <c r="CO34" s="15" t="str" cm="1">
        <f t="array" ref="CO34">IF(B34="","",_xlfn.TEXTJOIN("",,MID(B34,_xlfn.SEQUENCE(LEN(B34),,LEN(B34),-1),1)))</f>
        <v>8d8ac69a1</v>
      </c>
      <c r="CP34" s="6" t="str" cm="1">
        <f t="array" ref="CP34">IF(B34="","",BASE2DEC(CO34,16))</f>
        <v>37994916257</v>
      </c>
      <c r="CQ34" s="5" t="str">
        <f>IF(B34="","",IF(AND(LEN(B34)&lt;16,LEN(B34)=LEN(SUBSTITUTE(SUBSTITUTE(SUBSTITUTE(SUBSTITUTE(SUBSTITUTE(SUBSTITUTE(B34,"a",""),"b",""),"c",""),"d",""),"e",""),"f",""))),--B34,""))</f>
        <v/>
      </c>
      <c r="CR34" s="6" t="str" cm="1">
        <f t="array" ref="CR34">IF(B34="","",IF(LEN(D34)&lt;=15,BASE2DEC(D34,16),""))</f>
        <v>486258473234</v>
      </c>
      <c r="CS34" s="15" t="str" cm="1">
        <f t="array" ref="CS34">IF(B34="","",_xlfn.LET(_xlpm.p,REPT("0",MOD(-LEN(B34),4))&amp;B34,_xlfn.TEXTJOIN(" ",,MID(_xlpm.p,_xlfn.SEQUENCE(LEN(_xlpm.p)/4,,1,4),4))))</f>
        <v>0001 a96c a8d8</v>
      </c>
      <c r="CT34" s="15" t="str" cm="1">
        <f t="array" ref="CT34">IF(B34="","",UPPER(_xlfn.LET(_xlpm.p,REPT("0",64-LEN(B34))&amp;B34,_xlfn.TEXTJOIN(" ",,MID(_xlpm.p,_xlfn.SEQUENCE(8,,1,8),8)))))</f>
        <v>00000000 00000000 00000000 00000000 00000000 00000000 00000001 A96CA8D8</v>
      </c>
      <c r="CU34" s="6" t="str" cm="1">
        <f t="array" ref="CU34">IF(B34="","",IF(LEN(D34)&lt;=6,_xlfn.LET(_xlpm.n,VALUE(D34)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4" s="39" t="s">
        <v>4444</v>
      </c>
      <c r="CW34" s="39" t="s">
        <v>1895</v>
      </c>
      <c r="CX34" s="39" t="s">
        <v>1896</v>
      </c>
      <c r="CY34" s="7" t="s">
        <v>4602</v>
      </c>
      <c r="CZ34" s="39" t="s">
        <v>4444</v>
      </c>
      <c r="DA34" s="39" t="s">
        <v>4444</v>
      </c>
      <c r="DB34" s="39">
        <v>33</v>
      </c>
      <c r="DC34" s="7" t="s">
        <v>4603</v>
      </c>
      <c r="DD34" s="7" t="s">
        <v>4604</v>
      </c>
      <c r="DE34" s="7" t="s">
        <v>4605</v>
      </c>
      <c r="DF34" s="7" t="s">
        <v>4606</v>
      </c>
      <c r="DG34" s="7" t="s">
        <v>4607</v>
      </c>
      <c r="DH34" s="39" t="s">
        <v>4452</v>
      </c>
      <c r="DI34" s="7" t="s">
        <v>5243</v>
      </c>
      <c r="DJ34" s="7" t="s">
        <v>5244</v>
      </c>
      <c r="DK34" s="7" t="s">
        <v>5245</v>
      </c>
      <c r="DL34" s="7" t="s">
        <v>5246</v>
      </c>
      <c r="DM34" s="7" t="s">
        <v>5247</v>
      </c>
      <c r="DN34" s="7" t="s">
        <v>5248</v>
      </c>
      <c r="DO34" s="7" t="s">
        <v>5249</v>
      </c>
      <c r="DP34" s="7" t="s">
        <v>5250</v>
      </c>
      <c r="DQ34" s="7" t="s">
        <v>5251</v>
      </c>
      <c r="DR34" s="7" t="s">
        <v>5252</v>
      </c>
      <c r="DS34" s="7" t="s">
        <v>5787</v>
      </c>
      <c r="DT34" s="15" t="str" cm="1">
        <f t="array" ref="DT34">IF(B34="","",_xlfn.TEXTJOIN("",,HEX2BIN(MID(BQ34,_xlfn.SEQUENCE(40),1),4)))</f>
        <v>1011011111001111101001101011001010111100010100010010110110000001111000011011101011111010101110010000010101001100000110100110111001000001010000111100011011000000</v>
      </c>
    </row>
    <row r="35" spans="1:124" x14ac:dyDescent="0.25">
      <c r="A35" s="9">
        <v>34</v>
      </c>
      <c r="B35" s="15" t="s">
        <v>2947</v>
      </c>
      <c r="C35" s="15" t="s">
        <v>2948</v>
      </c>
      <c r="D35" s="6" t="s">
        <v>2949</v>
      </c>
      <c r="E35" s="6" t="s">
        <v>2950</v>
      </c>
      <c r="F35" s="10">
        <v>0.6453061435604468</v>
      </c>
      <c r="G35" s="9">
        <v>16</v>
      </c>
      <c r="H35" s="9">
        <v>0</v>
      </c>
      <c r="I35" s="15" t="s">
        <v>2951</v>
      </c>
      <c r="J35" s="9">
        <v>16</v>
      </c>
      <c r="K35" s="15" t="s">
        <v>2952</v>
      </c>
      <c r="L35" s="15" t="s">
        <v>2953</v>
      </c>
      <c r="M35" s="15" t="s">
        <v>2954</v>
      </c>
      <c r="N35" s="15" t="s">
        <v>2955</v>
      </c>
      <c r="O35" s="6" t="s">
        <v>2956</v>
      </c>
      <c r="P35" s="15" t="s">
        <v>2957</v>
      </c>
      <c r="Q35" s="15" t="s">
        <v>2958</v>
      </c>
      <c r="R35" s="6" t="s">
        <v>2959</v>
      </c>
      <c r="S35" s="15" t="s">
        <v>2960</v>
      </c>
      <c r="T35" s="11">
        <v>1.9801324132345042</v>
      </c>
      <c r="U35" s="10">
        <v>0.47058823529411764</v>
      </c>
      <c r="V35" s="7" t="s">
        <v>777</v>
      </c>
      <c r="W35" s="7" t="s">
        <v>778</v>
      </c>
      <c r="X35" s="7" t="s">
        <v>779</v>
      </c>
      <c r="Y35" s="15" t="s">
        <v>2961</v>
      </c>
      <c r="Z35" s="9">
        <v>17</v>
      </c>
      <c r="AA35" s="9">
        <v>17</v>
      </c>
      <c r="AB35" s="9">
        <v>84</v>
      </c>
      <c r="AC35" s="13">
        <v>0</v>
      </c>
      <c r="AD35" s="13">
        <v>0</v>
      </c>
      <c r="AE35" s="9">
        <v>11</v>
      </c>
      <c r="AF35" s="9">
        <v>34</v>
      </c>
      <c r="AG35" s="9">
        <v>7</v>
      </c>
      <c r="AH35" s="6" t="s">
        <v>2962</v>
      </c>
      <c r="AI35" s="10">
        <v>33.718356052472849</v>
      </c>
      <c r="AJ35" s="10">
        <v>32.36805566566683</v>
      </c>
      <c r="AK35" s="15" t="s">
        <v>2963</v>
      </c>
      <c r="AL35" s="15" t="s">
        <v>2964</v>
      </c>
      <c r="AM35" s="15" t="s">
        <v>2965</v>
      </c>
      <c r="AN35" s="9">
        <v>3</v>
      </c>
      <c r="AO35" s="9">
        <v>3</v>
      </c>
      <c r="AP35" s="9">
        <v>21</v>
      </c>
      <c r="AQ35" s="15" t="s">
        <v>2966</v>
      </c>
      <c r="AR35" s="9">
        <v>8</v>
      </c>
      <c r="AS35" s="6" t="s">
        <v>976</v>
      </c>
      <c r="AT35" s="15" t="s">
        <v>2967</v>
      </c>
      <c r="AU35" s="9">
        <v>1</v>
      </c>
      <c r="AV35" s="9">
        <v>2</v>
      </c>
      <c r="AW35" s="9">
        <v>1</v>
      </c>
      <c r="AX35" s="9">
        <v>6</v>
      </c>
      <c r="AY35" s="9">
        <v>29</v>
      </c>
      <c r="AZ35" s="9">
        <v>37149</v>
      </c>
      <c r="BA35" s="6" t="s">
        <v>2968</v>
      </c>
      <c r="BB35" s="6" t="s">
        <v>2969</v>
      </c>
      <c r="BC35" s="6" t="s">
        <v>2970</v>
      </c>
      <c r="BD35" s="15" t="s">
        <v>2971</v>
      </c>
      <c r="BE35" s="15" t="s">
        <v>2972</v>
      </c>
      <c r="BF35" s="15" t="s">
        <v>2973</v>
      </c>
      <c r="BG35" s="15" t="s">
        <v>2974</v>
      </c>
      <c r="BH35" s="6" t="s">
        <v>2975</v>
      </c>
      <c r="BI35" s="17" t="s">
        <v>888</v>
      </c>
      <c r="BJ35" s="7" t="s">
        <v>1339</v>
      </c>
      <c r="BK35" s="7" t="s">
        <v>1340</v>
      </c>
      <c r="BL35" s="7" t="s">
        <v>1341</v>
      </c>
      <c r="BM35" s="16" t="s">
        <v>1342</v>
      </c>
      <c r="BN35" s="16" t="s">
        <v>1343</v>
      </c>
      <c r="BO35" s="16" t="s">
        <v>1344</v>
      </c>
      <c r="BP35" s="16" t="s">
        <v>1345</v>
      </c>
      <c r="BQ35" s="16" t="s">
        <v>1346</v>
      </c>
      <c r="BR35" s="7" t="s">
        <v>1347</v>
      </c>
      <c r="BS35" s="7" t="s">
        <v>1348</v>
      </c>
      <c r="BT35" s="7" t="s">
        <v>1349</v>
      </c>
      <c r="BU35" s="14">
        <v>1.2205559334916441E-67</v>
      </c>
      <c r="BV35" s="15" t="s">
        <v>2976</v>
      </c>
      <c r="BW35" s="9">
        <v>20</v>
      </c>
      <c r="BX35" s="9">
        <v>19</v>
      </c>
      <c r="BY35" s="13">
        <v>1.0289915108550529</v>
      </c>
      <c r="BZ35" s="13">
        <v>0.68599434057003528</v>
      </c>
      <c r="CA35" s="12">
        <f>IF(B35="","",IF(A35&lt;8,"",_xlfn.LET(_xlpm.n,A35,_xlpm.k,G35,_xlpm.R,AP35,_xlpm.mu,1+2*_xlpm.k*(_xlpm.n-_xlpm.k)/_xlpm.n,_xlpm.v,2*_xlpm.k*(_xlpm.n-_xlpm.k)*(2*_xlpm.k*(_xlpm.n-_xlpm.k)-_xlpm.n)/(_xlpm.n^2*(_xlpm.n-1)),IF(_xlpm.v&lt;=0,"",(_xlpm.R-_xlpm.mu)/SQRT(_xlpm.v)))))</f>
        <v>1.0692504070442665</v>
      </c>
      <c r="CB35" s="37" cm="1">
        <f t="array" ref="CB35">IF(B35="","",IF(A35&lt;8,"",_xlfn.LET(_xlpm.b,--MID(C35,_xlfn.SEQUENCE(A35-1),1),_xlpm.c,--MID(C35,_xlfn.SEQUENCE(A35-1,,2),1),IFERROR(CORREL(_xlpm.b,_xlpm.c),""))))</f>
        <v>-0.22222222222222238</v>
      </c>
      <c r="CC35" s="8">
        <f>IF(B35="","",LOG(A35,2))</f>
        <v>5.08746284125034</v>
      </c>
      <c r="CD35" s="8">
        <f>IF(B35="","",MAX(AN35,AO35)-CC35)</f>
        <v>-2.08746284125034</v>
      </c>
      <c r="CE35" s="8" t="str" cm="1">
        <f t="array" ref="CE35">IF(B35="","",IF(LEN(B35)&lt;16,"",_xlfn.LET(_xlpm.d,MID("0123456789abcdef",_xlfn.SEQUENCE(16),1),_xlpm.c,LEN(B35)-LEN(SUBSTITUTE(B35,_xlpm.d,"")),_xlpm.ex,LEN(B35)/16,SUM((_xlpm.c-_xlpm.ex)^2/_xlpm.ex))))</f>
        <v/>
      </c>
      <c r="CF35" s="37" t="str">
        <f>IF(CE35="","",_xlfn.CHISQ.DIST.RT(CE35,15))</f>
        <v/>
      </c>
      <c r="CG35" s="9" cm="1">
        <f t="array" ref="CG35">IF(OR(B35="",B34=""),"",_xlfn.LET(_xlpm.a,C35,_xlpm.b,REPT("0",A35-LEN(C34))&amp;C34,_xlpm.m,MID(_xlpm.a,_xlfn.SEQUENCE(A35),1)=MID(_xlpm.b,_xlfn.SEQUENCE(A35),1),IFERROR(MATCH(FALSE,_xlpm.m,0)-1,A35)))</f>
        <v>0</v>
      </c>
      <c r="CH35" s="9" cm="1">
        <f t="array" ref="CH35">IF(OR(B35="",B34=""),"",_xlfn.LET(_xlpm.a,C35,_xlpm.b,REPT("0",A35-LEN(C34))&amp;C34,_xlpm.n,A35,_xlpm.m,MID(_xlpm.a,_xlfn.SEQUENCE(_xlpm.n,,_xlpm.n,-1),1)=MID(_xlpm.b,_xlfn.SEQUENCE(_xlpm.n,,_xlpm.n,-1),1),IFERROR(MATCH(FALSE,_xlpm.m,0)-1,_xlpm.n)))</f>
        <v>0</v>
      </c>
      <c r="CI35" s="38">
        <f>IF(OR(B35="",B34=""),"",F35-F34)</f>
        <v>-1.6508119530044496E-2</v>
      </c>
      <c r="CJ35" s="5" t="b">
        <f>IF(OR(B35="",B34=""),"",IFERROR(FIND(B34,B35)&gt;0,FALSE))</f>
        <v>0</v>
      </c>
      <c r="CK35" s="5" t="b">
        <f>IF(OR(B35="",B34=""),"",IFERROR(FIND(C34,C35)&gt;0,FALSE))</f>
        <v>0</v>
      </c>
      <c r="CL35" s="9" t="str">
        <f>IF(OR(B35="",B34=""),"",IFERROR(FIND(C34,C35),""))</f>
        <v/>
      </c>
      <c r="CM35" s="6" t="str" cm="1">
        <f t="array" ref="CM35">IF(OR(B35="",B34=""),"",_xlfn.LET(_xlpm.pv,D34,_xlpm.ra,BIGSUB(D35,_xlpm.pv),_xlpm.rb,BIGSUB(_xlpm.ra,_xlpm.pv),_xlpm.rc,BIGSUB(_xlpm.rb,_xlpm.pv),IF(LEFT(_xlpm.rb,1)="-",_xlpm.ra,IF(LEFT(_xlpm.rc,1)="-",_xlpm.rb,_xlpm.rc))))</f>
        <v>6995634245</v>
      </c>
      <c r="CN35" s="38">
        <f>IF(B35="","",F35-0.5)</f>
        <v>0.1453061435604468</v>
      </c>
      <c r="CO35" s="15" t="str" cm="1">
        <f t="array" ref="CO35">IF(B35="","",_xlfn.TEXTJOIN("",,MID(B35,_xlfn.SEQUENCE(LEN(B35),,LEN(B35),-1),1)))</f>
        <v>d11956a43</v>
      </c>
      <c r="CP35" s="6" t="str" cm="1">
        <f t="array" ref="CP35">IF(B35="","",BASE2DEC(CO35,16))</f>
        <v>56129579587</v>
      </c>
      <c r="CQ35" s="5" t="str">
        <f>IF(B35="","",IF(AND(LEN(B35)&lt;16,LEN(B35)=LEN(SUBSTITUTE(SUBSTITUTE(SUBSTITUTE(SUBSTITUTE(SUBSTITUTE(SUBSTITUTE(B35,"a",""),"b",""),"c",""),"d",""),"e",""),"f",""))),--B35,""))</f>
        <v/>
      </c>
      <c r="CR35" s="6" t="str" cm="1">
        <f t="array" ref="CR35">IF(B35="","",IF(LEN(D35)&lt;=15,BASE2DEC(D35,16),""))</f>
        <v>1379540607319</v>
      </c>
      <c r="CS35" s="15" t="str" cm="1">
        <f t="array" ref="CS35">IF(B35="","",_xlfn.LET(_xlpm.p,REPT("0",MOD(-LEN(B35),4))&amp;B35,_xlfn.TEXTJOIN(" ",,MID(_xlpm.p,_xlfn.SEQUENCE(LEN(_xlpm.p)/4,,1,4),4))))</f>
        <v>0003 4a65 911d</v>
      </c>
      <c r="CT35" s="15" t="str" cm="1">
        <f t="array" ref="CT35">IF(B35="","",UPPER(_xlfn.LET(_xlpm.p,REPT("0",64-LEN(B35))&amp;B35,_xlfn.TEXTJOIN(" ",,MID(_xlpm.p,_xlfn.SEQUENCE(8,,1,8),8)))))</f>
        <v>00000000 00000000 00000000 00000000 00000000 00000000 00000003 4A65911D</v>
      </c>
      <c r="CU35" s="6" t="str" cm="1">
        <f t="array" ref="CU35">IF(B35="","",IF(LEN(D35)&lt;=6,_xlfn.LET(_xlpm.n,VALUE(D35)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5" s="39" t="s">
        <v>4444</v>
      </c>
      <c r="CW35" s="39" t="s">
        <v>2225</v>
      </c>
      <c r="CX35" s="39" t="s">
        <v>1896</v>
      </c>
      <c r="CY35" s="7" t="s">
        <v>4608</v>
      </c>
      <c r="CZ35" s="39" t="s">
        <v>4444</v>
      </c>
      <c r="DA35" s="39" t="s">
        <v>4444</v>
      </c>
      <c r="DB35" s="39">
        <v>34</v>
      </c>
      <c r="DC35" s="7" t="s">
        <v>4609</v>
      </c>
      <c r="DD35" s="7" t="s">
        <v>4610</v>
      </c>
      <c r="DE35" s="7" t="s">
        <v>4611</v>
      </c>
      <c r="DF35" s="7" t="s">
        <v>4612</v>
      </c>
      <c r="DG35" s="7" t="s">
        <v>4613</v>
      </c>
      <c r="DH35" s="39" t="s">
        <v>4448</v>
      </c>
      <c r="DI35" s="7" t="s">
        <v>5253</v>
      </c>
      <c r="DJ35" s="7" t="s">
        <v>5254</v>
      </c>
      <c r="DK35" s="7" t="s">
        <v>5255</v>
      </c>
      <c r="DL35" s="7" t="s">
        <v>5256</v>
      </c>
      <c r="DM35" s="7" t="s">
        <v>5257</v>
      </c>
      <c r="DN35" s="7" t="s">
        <v>5258</v>
      </c>
      <c r="DO35" s="7" t="s">
        <v>5259</v>
      </c>
      <c r="DP35" s="7" t="s">
        <v>5260</v>
      </c>
      <c r="DQ35" s="7" t="s">
        <v>5261</v>
      </c>
      <c r="DR35" s="7" t="s">
        <v>5262</v>
      </c>
      <c r="DS35" s="7" t="s">
        <v>5788</v>
      </c>
      <c r="DT35" s="15" t="str" cm="1">
        <f t="array" ref="DT35">IF(B35="","",_xlfn.TEXTJOIN("",,HEX2BIN(MID(BQ35,_xlfn.SEQUENCE(40),1),4)))</f>
        <v>1001100110010110110111100101100000000001110110101000110100001111110001101101101111000101101001000101101000001010011001111101100000000001010110000101100011100110</v>
      </c>
    </row>
    <row r="36" spans="1:124" x14ac:dyDescent="0.25">
      <c r="A36" s="9">
        <v>35</v>
      </c>
      <c r="B36" s="15" t="s">
        <v>2977</v>
      </c>
      <c r="C36" s="15" t="s">
        <v>2978</v>
      </c>
      <c r="D36" s="6" t="s">
        <v>2979</v>
      </c>
      <c r="E36" s="6" t="s">
        <v>2980</v>
      </c>
      <c r="F36" s="10">
        <v>0.17072322126477957</v>
      </c>
      <c r="G36" s="9">
        <v>15</v>
      </c>
      <c r="H36" s="9">
        <v>4</v>
      </c>
      <c r="I36" s="15" t="s">
        <v>2981</v>
      </c>
      <c r="J36" s="9">
        <v>19</v>
      </c>
      <c r="K36" s="15" t="s">
        <v>2982</v>
      </c>
      <c r="L36" s="15" t="s">
        <v>2983</v>
      </c>
      <c r="M36" s="15" t="s">
        <v>2984</v>
      </c>
      <c r="N36" s="15" t="s">
        <v>2985</v>
      </c>
      <c r="O36" s="6" t="s">
        <v>2986</v>
      </c>
      <c r="P36" s="15" t="s">
        <v>2987</v>
      </c>
      <c r="Q36" s="15" t="s">
        <v>2988</v>
      </c>
      <c r="R36" s="6" t="s">
        <v>2989</v>
      </c>
      <c r="S36" s="15" t="s">
        <v>2990</v>
      </c>
      <c r="T36" s="11">
        <v>1.4231068495633663</v>
      </c>
      <c r="U36" s="10">
        <v>0.42857142857142855</v>
      </c>
      <c r="V36" s="7" t="s">
        <v>780</v>
      </c>
      <c r="W36" s="7" t="s">
        <v>781</v>
      </c>
      <c r="X36" s="7" t="s">
        <v>782</v>
      </c>
      <c r="Y36" s="15" t="s">
        <v>2991</v>
      </c>
      <c r="Z36" s="9">
        <v>16</v>
      </c>
      <c r="AA36" s="9">
        <v>11</v>
      </c>
      <c r="AB36" s="9">
        <v>85</v>
      </c>
      <c r="AC36" s="13">
        <v>-0.50709255283710997</v>
      </c>
      <c r="AD36" s="13">
        <v>-2.1974010622941429</v>
      </c>
      <c r="AE36" s="9">
        <v>11</v>
      </c>
      <c r="AF36" s="9">
        <v>40</v>
      </c>
      <c r="AG36" s="9">
        <v>4</v>
      </c>
      <c r="AH36" s="6" t="s">
        <v>2992</v>
      </c>
      <c r="AI36" s="10">
        <v>34.227400038685836</v>
      </c>
      <c r="AJ36" s="10">
        <v>31.449731207913384</v>
      </c>
      <c r="AK36" s="15" t="s">
        <v>2993</v>
      </c>
      <c r="AL36" s="15" t="s">
        <v>2994</v>
      </c>
      <c r="AM36" s="15" t="s">
        <v>2995</v>
      </c>
      <c r="AN36" s="9">
        <v>4</v>
      </c>
      <c r="AO36" s="9">
        <v>3</v>
      </c>
      <c r="AP36" s="9">
        <v>20</v>
      </c>
      <c r="AQ36" s="15" t="s">
        <v>2996</v>
      </c>
      <c r="AR36" s="9">
        <v>8</v>
      </c>
      <c r="AS36" s="6" t="s">
        <v>976</v>
      </c>
      <c r="AT36" s="15" t="s">
        <v>2997</v>
      </c>
      <c r="AU36" s="9">
        <v>1</v>
      </c>
      <c r="AV36" s="9">
        <v>2</v>
      </c>
      <c r="AW36" s="9">
        <v>6</v>
      </c>
      <c r="AX36" s="9">
        <v>2</v>
      </c>
      <c r="AY36" s="9">
        <v>112</v>
      </c>
      <c r="AZ36" s="9">
        <v>4464</v>
      </c>
      <c r="BA36" s="6" t="s">
        <v>2998</v>
      </c>
      <c r="BB36" s="6" t="s">
        <v>2999</v>
      </c>
      <c r="BC36" s="6" t="s">
        <v>3000</v>
      </c>
      <c r="BD36" s="15" t="s">
        <v>3001</v>
      </c>
      <c r="BE36" s="15" t="s">
        <v>3002</v>
      </c>
      <c r="BF36" s="15" t="s">
        <v>3003</v>
      </c>
      <c r="BG36" s="15" t="s">
        <v>3004</v>
      </c>
      <c r="BH36" s="6" t="s">
        <v>3005</v>
      </c>
      <c r="BI36" s="17" t="s">
        <v>888</v>
      </c>
      <c r="BJ36" s="7" t="s">
        <v>1350</v>
      </c>
      <c r="BK36" s="7" t="s">
        <v>1351</v>
      </c>
      <c r="BL36" s="7" t="s">
        <v>1352</v>
      </c>
      <c r="BM36" s="16" t="s">
        <v>1353</v>
      </c>
      <c r="BN36" s="16" t="s">
        <v>1354</v>
      </c>
      <c r="BO36" s="16" t="s">
        <v>1355</v>
      </c>
      <c r="BP36" s="16" t="s">
        <v>1356</v>
      </c>
      <c r="BQ36" s="16" t="s">
        <v>1357</v>
      </c>
      <c r="BR36" s="7" t="s">
        <v>1358</v>
      </c>
      <c r="BS36" s="7" t="s">
        <v>1359</v>
      </c>
      <c r="BT36" s="7" t="s">
        <v>1360</v>
      </c>
      <c r="BU36" s="14">
        <v>1.7369815092271675E-67</v>
      </c>
      <c r="BV36" s="15" t="s">
        <v>3006</v>
      </c>
      <c r="BW36" s="9">
        <v>18</v>
      </c>
      <c r="BX36" s="9">
        <v>17</v>
      </c>
      <c r="BY36" s="13">
        <v>0.1690308509457033</v>
      </c>
      <c r="BZ36" s="13">
        <v>-0.1690308509457033</v>
      </c>
      <c r="CA36" s="12">
        <f>IF(B36="","",IF(A36&lt;8,"",_xlfn.LET(_xlpm.n,A36,_xlpm.k,G36,_xlpm.R,AP36,_xlpm.mu,1+2*_xlpm.k*(_xlpm.n-_xlpm.k)/_xlpm.n,_xlpm.v,2*_xlpm.k*(_xlpm.n-_xlpm.k)*(2*_xlpm.k*(_xlpm.n-_xlpm.k)-_xlpm.n)/(_xlpm.n^2*(_xlpm.n-1)),IF(_xlpm.v&lt;=0,"",(_xlpm.R-_xlpm.mu)/SQRT(_xlpm.v)))))</f>
        <v>0.6509579960983396</v>
      </c>
      <c r="CB36" s="37" cm="1">
        <f t="array" ref="CB36">IF(B36="","",IF(A36&lt;8,"",_xlfn.LET(_xlpm.b,--MID(C36,_xlfn.SEQUENCE(A36-1),1),_xlpm.c,--MID(C36,_xlfn.SEQUENCE(A36-1,,2),1),IFERROR(CORREL(_xlpm.b,_xlpm.c),""))))</f>
        <v>-0.14159846508095777</v>
      </c>
      <c r="CC36" s="8">
        <f>IF(B36="","",LOG(A36,2))</f>
        <v>5.1292830169449664</v>
      </c>
      <c r="CD36" s="8">
        <f>IF(B36="","",MAX(AN36,AO36)-CC36)</f>
        <v>-1.1292830169449664</v>
      </c>
      <c r="CE36" s="8" t="str" cm="1">
        <f t="array" ref="CE36">IF(B36="","",IF(LEN(B36)&lt;16,"",_xlfn.LET(_xlpm.d,MID("0123456789abcdef",_xlfn.SEQUENCE(16),1),_xlpm.c,LEN(B36)-LEN(SUBSTITUTE(B36,_xlpm.d,"")),_xlpm.ex,LEN(B36)/16,SUM((_xlpm.c-_xlpm.ex)^2/_xlpm.ex))))</f>
        <v/>
      </c>
      <c r="CF36" s="37" t="str">
        <f>IF(CE36="","",_xlfn.CHISQ.DIST.RT(CE36,15))</f>
        <v/>
      </c>
      <c r="CG36" s="9" cm="1">
        <f t="array" ref="CG36">IF(OR(B36="",B35=""),"",_xlfn.LET(_xlpm.a,C36,_xlpm.b,REPT("0",A36-LEN(C35))&amp;C35,_xlpm.m,MID(_xlpm.a,_xlfn.SEQUENCE(A36),1)=MID(_xlpm.b,_xlfn.SEQUENCE(A36),1),IFERROR(MATCH(FALSE,_xlpm.m,0)-1,A36)))</f>
        <v>0</v>
      </c>
      <c r="CH36" s="9" cm="1">
        <f t="array" ref="CH36">IF(OR(B36="",B35=""),"",_xlfn.LET(_xlpm.a,C36,_xlpm.b,REPT("0",A36-LEN(C35))&amp;C35,_xlpm.n,A36,_xlpm.m,MID(_xlpm.a,_xlfn.SEQUENCE(_xlpm.n,,_xlpm.n,-1),1)=MID(_xlpm.b,_xlfn.SEQUENCE(_xlpm.n,,_xlpm.n,-1),1),IFERROR(MATCH(FALSE,_xlpm.m,0)-1,_xlpm.n)))</f>
        <v>0</v>
      </c>
      <c r="CI36" s="38">
        <f>IF(OR(B36="",B35=""),"",F36-F35)</f>
        <v>-0.47458292229566723</v>
      </c>
      <c r="CJ36" s="5" t="b">
        <f>IF(OR(B36="",B35=""),"",IFERROR(FIND(B35,B36)&gt;0,FALSE))</f>
        <v>0</v>
      </c>
      <c r="CK36" s="5" t="b">
        <f>IF(OR(B36="",B35=""),"",IFERROR(FIND(C35,C36)&gt;0,FALSE))</f>
        <v>0</v>
      </c>
      <c r="CL36" s="9" t="str">
        <f>IF(OR(B36="",B35=""),"",IFERROR(FIND(C35,C36),""))</f>
        <v/>
      </c>
      <c r="CM36" s="6" t="str" cm="1">
        <f t="array" ref="CM36">IF(OR(B36="",B35=""),"",_xlfn.LET(_xlpm.pv,D35,_xlpm.ra,BIGSUB(D36,_xlpm.pv),_xlpm.rb,BIGSUB(_xlpm.ra,_xlpm.pv),_xlpm.rc,BIGSUB(_xlpm.rb,_xlpm.pv),IF(LEFT(_xlpm.rb,1)="-",_xlpm.ra,IF(LEFT(_xlpm.rc,1)="-",_xlpm.rb,_xlpm.rc))))</f>
        <v>5979799635</v>
      </c>
      <c r="CN36" s="38">
        <f>IF(B36="","",F36-0.5)</f>
        <v>-0.32927677873522043</v>
      </c>
      <c r="CO36" s="15" t="str" cm="1">
        <f t="array" ref="CO36">IF(B36="","",_xlfn.TEXTJOIN("",,MID(B36,_xlfn.SEQUENCE(LEN(B36),,LEN(B36),-1),1)))</f>
        <v>07112dea4</v>
      </c>
      <c r="CP36" s="6" t="str" cm="1">
        <f t="array" ref="CP36">IF(B36="","",BASE2DEC(CO36,16))</f>
        <v>1897062052</v>
      </c>
      <c r="CQ36" s="5" t="str">
        <f>IF(B36="","",IF(AND(LEN(B36)&lt;16,LEN(B36)=LEN(SUBSTITUTE(SUBSTITUTE(SUBSTITUTE(SUBSTITUTE(SUBSTITUTE(SUBSTITUTE(B36,"a",""),"b",""),"c",""),"d",""),"e",""),"f",""))),--B36,""))</f>
        <v/>
      </c>
      <c r="CR36" s="6" t="str" cm="1">
        <f t="array" ref="CR36">IF(B36="","",IF(LEN(D36)&lt;=15,BASE2DEC(D36,16),""))</f>
        <v>2203629066130</v>
      </c>
      <c r="CS36" s="15" t="str" cm="1">
        <f t="array" ref="CS36">IF(B36="","",_xlfn.LET(_xlpm.p,REPT("0",MOD(-LEN(B36),4))&amp;B36,_xlfn.TEXTJOIN(" ",,MID(_xlpm.p,_xlfn.SEQUENCE(LEN(_xlpm.p)/4,,1,4),4))))</f>
        <v>0004 aed2 1170</v>
      </c>
      <c r="CT36" s="15" t="str" cm="1">
        <f t="array" ref="CT36">IF(B36="","",UPPER(_xlfn.LET(_xlpm.p,REPT("0",64-LEN(B36))&amp;B36,_xlfn.TEXTJOIN(" ",,MID(_xlpm.p,_xlfn.SEQUENCE(8,,1,8),8)))))</f>
        <v>00000000 00000000 00000000 00000000 00000000 00000000 00000004 AED21170</v>
      </c>
      <c r="CU36" s="6" t="str" cm="1">
        <f t="array" ref="CU36">IF(B36="","",IF(LEN(D36)&lt;=6,_xlfn.LET(_xlpm.n,VALUE(D36)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6" s="39" t="s">
        <v>4444</v>
      </c>
      <c r="CW36" s="39" t="s">
        <v>1895</v>
      </c>
      <c r="CX36" s="39" t="s">
        <v>987</v>
      </c>
      <c r="CY36" s="7" t="s">
        <v>4614</v>
      </c>
      <c r="CZ36" s="39" t="s">
        <v>4444</v>
      </c>
      <c r="DA36" s="39" t="s">
        <v>4444</v>
      </c>
      <c r="DB36" s="39">
        <v>34</v>
      </c>
      <c r="DC36" s="7" t="s">
        <v>4615</v>
      </c>
      <c r="DD36" s="7" t="s">
        <v>4616</v>
      </c>
      <c r="DE36" s="7" t="s">
        <v>4617</v>
      </c>
      <c r="DF36" s="7" t="s">
        <v>4618</v>
      </c>
      <c r="DG36" s="7" t="s">
        <v>4619</v>
      </c>
      <c r="DH36" s="39" t="s">
        <v>4452</v>
      </c>
      <c r="DI36" s="7" t="s">
        <v>5263</v>
      </c>
      <c r="DJ36" s="7" t="s">
        <v>5264</v>
      </c>
      <c r="DK36" s="7" t="s">
        <v>5265</v>
      </c>
      <c r="DL36" s="7" t="s">
        <v>5266</v>
      </c>
      <c r="DM36" s="7" t="s">
        <v>5267</v>
      </c>
      <c r="DN36" s="7" t="s">
        <v>5268</v>
      </c>
      <c r="DO36" s="7" t="s">
        <v>5269</v>
      </c>
      <c r="DP36" s="7" t="s">
        <v>5270</v>
      </c>
      <c r="DQ36" s="7" t="s">
        <v>5271</v>
      </c>
      <c r="DR36" s="7" t="s">
        <v>5272</v>
      </c>
      <c r="DS36" s="7" t="s">
        <v>5789</v>
      </c>
      <c r="DT36" s="15" t="str" cm="1">
        <f t="array" ref="DT36">IF(B36="","",_xlfn.TEXTJOIN("",,HEX2BIN(MID(BQ36,_xlfn.SEQUENCE(40),1),4)))</f>
        <v>1001010110101011110111101101110011011011010111111001100101111111010111111011101010110111101000111110011001100111111001101101100111111001011100110101010000111000</v>
      </c>
    </row>
    <row r="37" spans="1:124" x14ac:dyDescent="0.25">
      <c r="A37" s="9">
        <v>36</v>
      </c>
      <c r="B37" s="15" t="s">
        <v>3007</v>
      </c>
      <c r="C37" s="15" t="s">
        <v>3008</v>
      </c>
      <c r="D37" s="6" t="s">
        <v>3009</v>
      </c>
      <c r="E37" s="6" t="s">
        <v>3010</v>
      </c>
      <c r="F37" s="10">
        <v>0.23364647093694657</v>
      </c>
      <c r="G37" s="9">
        <v>17</v>
      </c>
      <c r="H37" s="9">
        <v>2</v>
      </c>
      <c r="I37" s="15" t="s">
        <v>3011</v>
      </c>
      <c r="J37" s="9">
        <v>14</v>
      </c>
      <c r="K37" s="15" t="s">
        <v>3012</v>
      </c>
      <c r="L37" s="15" t="s">
        <v>3013</v>
      </c>
      <c r="M37" s="15" t="s">
        <v>3014</v>
      </c>
      <c r="N37" s="15" t="s">
        <v>3015</v>
      </c>
      <c r="O37" s="6" t="s">
        <v>3016</v>
      </c>
      <c r="P37" s="15" t="s">
        <v>3017</v>
      </c>
      <c r="Q37" s="15" t="s">
        <v>3018</v>
      </c>
      <c r="R37" s="6" t="s">
        <v>3019</v>
      </c>
      <c r="S37" s="15" t="s">
        <v>3020</v>
      </c>
      <c r="T37" s="11">
        <v>2.1074946640320134</v>
      </c>
      <c r="U37" s="10">
        <v>0.47222222222222221</v>
      </c>
      <c r="V37" s="7" t="s">
        <v>783</v>
      </c>
      <c r="W37" s="7" t="s">
        <v>784</v>
      </c>
      <c r="X37" s="7" t="s">
        <v>785</v>
      </c>
      <c r="Y37" s="15" t="s">
        <v>3021</v>
      </c>
      <c r="Z37" s="9">
        <v>18</v>
      </c>
      <c r="AA37" s="9">
        <v>19</v>
      </c>
      <c r="AB37" s="9">
        <v>81</v>
      </c>
      <c r="AC37" s="13">
        <v>0</v>
      </c>
      <c r="AD37" s="13">
        <v>0.33333333333333331</v>
      </c>
      <c r="AE37" s="9">
        <v>11</v>
      </c>
      <c r="AF37" s="9">
        <v>63</v>
      </c>
      <c r="AG37" s="9">
        <v>9</v>
      </c>
      <c r="AH37" s="6" t="s">
        <v>3022</v>
      </c>
      <c r="AI37" s="10">
        <v>35.302929017096709</v>
      </c>
      <c r="AJ37" s="10">
        <v>32.90239915160182</v>
      </c>
      <c r="AK37" s="15" t="s">
        <v>3023</v>
      </c>
      <c r="AL37" s="15" t="s">
        <v>3024</v>
      </c>
      <c r="AM37" s="15" t="s">
        <v>3025</v>
      </c>
      <c r="AN37" s="9">
        <v>5</v>
      </c>
      <c r="AO37" s="9">
        <v>5</v>
      </c>
      <c r="AP37" s="9">
        <v>16</v>
      </c>
      <c r="AQ37" s="15" t="s">
        <v>3026</v>
      </c>
      <c r="AR37" s="9">
        <v>9</v>
      </c>
      <c r="AS37" s="6" t="s">
        <v>2054</v>
      </c>
      <c r="AT37" s="15" t="s">
        <v>3027</v>
      </c>
      <c r="AU37" s="9">
        <v>0</v>
      </c>
      <c r="AV37" s="9">
        <v>0</v>
      </c>
      <c r="AW37" s="9">
        <v>3</v>
      </c>
      <c r="AX37" s="9">
        <v>6</v>
      </c>
      <c r="AY37" s="9">
        <v>124</v>
      </c>
      <c r="AZ37" s="9">
        <v>2684</v>
      </c>
      <c r="BA37" s="6" t="s">
        <v>3028</v>
      </c>
      <c r="BB37" s="6" t="s">
        <v>3029</v>
      </c>
      <c r="BC37" s="6" t="s">
        <v>3030</v>
      </c>
      <c r="BD37" s="15" t="s">
        <v>3031</v>
      </c>
      <c r="BE37" s="15" t="s">
        <v>3032</v>
      </c>
      <c r="BF37" s="15" t="s">
        <v>3033</v>
      </c>
      <c r="BG37" s="15" t="s">
        <v>3034</v>
      </c>
      <c r="BH37" s="6" t="s">
        <v>3035</v>
      </c>
      <c r="BI37" s="17" t="s">
        <v>888</v>
      </c>
      <c r="BJ37" s="7" t="s">
        <v>1361</v>
      </c>
      <c r="BK37" s="7" t="s">
        <v>1362</v>
      </c>
      <c r="BL37" s="7" t="s">
        <v>1363</v>
      </c>
      <c r="BM37" s="16" t="s">
        <v>1364</v>
      </c>
      <c r="BN37" s="16" t="s">
        <v>1365</v>
      </c>
      <c r="BO37" s="16" t="s">
        <v>1366</v>
      </c>
      <c r="BP37" s="16" t="s">
        <v>1367</v>
      </c>
      <c r="BQ37" s="16" t="s">
        <v>1368</v>
      </c>
      <c r="BR37" s="7" t="s">
        <v>1369</v>
      </c>
      <c r="BS37" s="7" t="s">
        <v>1370</v>
      </c>
      <c r="BT37" s="7" t="s">
        <v>1371</v>
      </c>
      <c r="BU37" s="14">
        <v>3.6606792622185287E-67</v>
      </c>
      <c r="BV37" s="15" t="s">
        <v>3036</v>
      </c>
      <c r="BW37" s="9">
        <v>15</v>
      </c>
      <c r="BX37" s="9">
        <v>16</v>
      </c>
      <c r="BY37" s="13">
        <v>-1</v>
      </c>
      <c r="BZ37" s="13">
        <v>-0.66666666666666663</v>
      </c>
      <c r="CA37" s="12">
        <f>IF(B37="","",IF(A37&lt;8,"",_xlfn.LET(_xlpm.n,A37,_xlpm.k,G37,_xlpm.R,AP37,_xlpm.mu,1+2*_xlpm.k*(_xlpm.n-_xlpm.k)/_xlpm.n,_xlpm.v,2*_xlpm.k*(_xlpm.n-_xlpm.k)*(2*_xlpm.k*(_xlpm.n-_xlpm.k)-_xlpm.n)/(_xlpm.n^2*(_xlpm.n-1)),IF(_xlpm.v&lt;=0,"",(_xlpm.R-_xlpm.mu)/SQRT(_xlpm.v)))))</f>
        <v>-0.99898441044230224</v>
      </c>
      <c r="CB37" s="37" cm="1">
        <f t="array" ref="CB37">IF(B37="","",IF(A37&lt;8,"",_xlfn.LET(_xlpm.b,--MID(C37,_xlfn.SEQUENCE(A37-1),1),_xlpm.c,--MID(C37,_xlfn.SEQUENCE(A37-1,,2),1),IFERROR(CORREL(_xlpm.b,_xlpm.c),""))))</f>
        <v>0.1409843643361636</v>
      </c>
      <c r="CC37" s="8">
        <f>IF(B37="","",LOG(A37,2))</f>
        <v>5.1699250014423122</v>
      </c>
      <c r="CD37" s="8">
        <f>IF(B37="","",MAX(AN37,AO37)-CC37)</f>
        <v>-0.16992500144231215</v>
      </c>
      <c r="CE37" s="8" t="str" cm="1">
        <f t="array" ref="CE37">IF(B37="","",IF(LEN(B37)&lt;16,"",_xlfn.LET(_xlpm.d,MID("0123456789abcdef",_xlfn.SEQUENCE(16),1),_xlpm.c,LEN(B37)-LEN(SUBSTITUTE(B37,_xlpm.d,"")),_xlpm.ex,LEN(B37)/16,SUM((_xlpm.c-_xlpm.ex)^2/_xlpm.ex))))</f>
        <v/>
      </c>
      <c r="CF37" s="37" t="str">
        <f>IF(CE37="","",_xlfn.CHISQ.DIST.RT(CE37,15))</f>
        <v/>
      </c>
      <c r="CG37" s="9" cm="1">
        <f t="array" ref="CG37">IF(OR(B37="",B36=""),"",_xlfn.LET(_xlpm.a,C37,_xlpm.b,REPT("0",A37-LEN(C36))&amp;C36,_xlpm.m,MID(_xlpm.a,_xlfn.SEQUENCE(A37),1)=MID(_xlpm.b,_xlfn.SEQUENCE(A37),1),IFERROR(MATCH(FALSE,_xlpm.m,0)-1,A37)))</f>
        <v>0</v>
      </c>
      <c r="CH37" s="9" cm="1">
        <f t="array" ref="CH37">IF(OR(B37="",B36=""),"",_xlfn.LET(_xlpm.a,C37,_xlpm.b,REPT("0",A37-LEN(C36))&amp;C36,_xlpm.n,A37,_xlpm.m,MID(_xlpm.a,_xlfn.SEQUENCE(_xlpm.n,,_xlpm.n,-1),1)=MID(_xlpm.b,_xlfn.SEQUENCE(_xlpm.n,,_xlpm.n,-1),1),IFERROR(MATCH(FALSE,_xlpm.m,0)-1,_xlpm.n)))</f>
        <v>2</v>
      </c>
      <c r="CI37" s="38">
        <f>IF(OR(B37="",B36=""),"",F37-F36)</f>
        <v>6.2923249672167003E-2</v>
      </c>
      <c r="CJ37" s="5" t="b">
        <f>IF(OR(B37="",B36=""),"",IFERROR(FIND(B36,B37)&gt;0,FALSE))</f>
        <v>0</v>
      </c>
      <c r="CK37" s="5" t="b">
        <f>IF(OR(B37="",B36=""),"",IFERROR(FIND(C36,C37)&gt;0,FALSE))</f>
        <v>0</v>
      </c>
      <c r="CL37" s="9" t="str">
        <f>IF(OR(B37="",B36=""),"",IFERROR(FIND(C36,C37),""))</f>
        <v/>
      </c>
      <c r="CM37" s="6" t="str" cm="1">
        <f t="array" ref="CM37">IF(OR(B37="",B36=""),"",_xlfn.LET(_xlpm.pv,D36,_xlpm.ra,BIGSUB(D37,_xlpm.pv),_xlpm.rb,BIGSUB(_xlpm.ra,_xlpm.pv),_xlpm.rc,BIGSUB(_xlpm.rb,_xlpm.pv),IF(LEFT(_xlpm.rb,1)="-",_xlpm.ra,IF(LEFT(_xlpm.rc,1)="-",_xlpm.rb,_xlpm.rc))))</f>
        <v>2162026396</v>
      </c>
      <c r="CN37" s="38">
        <f>IF(B37="","",F37-0.5)</f>
        <v>-0.26635352906305343</v>
      </c>
      <c r="CO37" s="15" t="str" cm="1">
        <f t="array" ref="CO37">IF(B37="","",_xlfn.TEXTJOIN("",,MID(B37,_xlfn.SEQUENCE(LEN(B37),,LEN(B37),-1),1)))</f>
        <v>c7a028ed9</v>
      </c>
      <c r="CP37" s="6" t="str" cm="1">
        <f t="array" ref="CP37">IF(B37="","",BASE2DEC(CO37,16))</f>
        <v>53586595545</v>
      </c>
      <c r="CQ37" s="5" t="str">
        <f>IF(B37="","",IF(AND(LEN(B37)&lt;16,LEN(B37)=LEN(SUBSTITUTE(SUBSTITUTE(SUBSTITUTE(SUBSTITUTE(SUBSTITUTE(SUBSTITUTE(B37,"a",""),"b",""),"c",""),"d",""),"e",""),"f",""))),--B37,""))</f>
        <v/>
      </c>
      <c r="CR37" s="6" t="str" cm="1">
        <f t="array" ref="CR37">IF(B37="","",IF(LEN(D37)&lt;=15,BASE2DEC(D37,16),""))</f>
        <v>4550643063168</v>
      </c>
      <c r="CS37" s="15" t="str" cm="1">
        <f t="array" ref="CS37">IF(B37="","",_xlfn.LET(_xlpm.p,REPT("0",MOD(-LEN(B37),4))&amp;B37,_xlfn.TEXTJOIN(" ",,MID(_xlpm.p,_xlfn.SEQUENCE(LEN(_xlpm.p)/4,,1,4),4))))</f>
        <v>0009 de82 0a7c</v>
      </c>
      <c r="CT37" s="15" t="str" cm="1">
        <f t="array" ref="CT37">IF(B37="","",UPPER(_xlfn.LET(_xlpm.p,REPT("0",64-LEN(B37))&amp;B37,_xlfn.TEXTJOIN(" ",,MID(_xlpm.p,_xlfn.SEQUENCE(8,,1,8),8)))))</f>
        <v>00000000 00000000 00000000 00000000 00000000 00000000 00000009 DE820A7C</v>
      </c>
      <c r="CU37" s="6" t="str" cm="1">
        <f t="array" ref="CU37">IF(B37="","",IF(LEN(D37)&lt;=6,_xlfn.LET(_xlpm.n,VALUE(D37)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7" s="39" t="s">
        <v>4444</v>
      </c>
      <c r="CW37" s="39" t="s">
        <v>1895</v>
      </c>
      <c r="CX37" s="39" t="s">
        <v>1896</v>
      </c>
      <c r="CY37" s="7" t="s">
        <v>4620</v>
      </c>
      <c r="CZ37" s="39" t="s">
        <v>4444</v>
      </c>
      <c r="DA37" s="39" t="s">
        <v>4444</v>
      </c>
      <c r="DB37" s="39">
        <v>35</v>
      </c>
      <c r="DC37" s="7" t="s">
        <v>4621</v>
      </c>
      <c r="DD37" s="7" t="s">
        <v>4622</v>
      </c>
      <c r="DE37" s="7" t="s">
        <v>4623</v>
      </c>
      <c r="DF37" s="7" t="s">
        <v>4624</v>
      </c>
      <c r="DG37" s="7" t="s">
        <v>4625</v>
      </c>
      <c r="DH37" s="39" t="s">
        <v>4452</v>
      </c>
      <c r="DI37" s="7" t="s">
        <v>5273</v>
      </c>
      <c r="DJ37" s="7" t="s">
        <v>5274</v>
      </c>
      <c r="DK37" s="7" t="s">
        <v>5275</v>
      </c>
      <c r="DL37" s="7" t="s">
        <v>5276</v>
      </c>
      <c r="DM37" s="7" t="s">
        <v>5277</v>
      </c>
      <c r="DN37" s="7" t="s">
        <v>5278</v>
      </c>
      <c r="DO37" s="7" t="s">
        <v>5279</v>
      </c>
      <c r="DP37" s="7" t="s">
        <v>5280</v>
      </c>
      <c r="DQ37" s="7" t="s">
        <v>5281</v>
      </c>
      <c r="DR37" s="7" t="s">
        <v>5282</v>
      </c>
      <c r="DS37" s="7" t="s">
        <v>5790</v>
      </c>
      <c r="DT37" s="15" t="str" cm="1">
        <f t="array" ref="DT37">IF(B37="","",_xlfn.TEXTJOIN("",,HEX2BIN(MID(BQ37,_xlfn.SEQUENCE(40),1),4)))</f>
        <v>0001101100000101111000100100100010110101000011011010000111101101110011110111010011111001000110011101011110101111011000110101101111010011001101100010101011001100</v>
      </c>
    </row>
    <row r="38" spans="1:124" x14ac:dyDescent="0.25">
      <c r="A38" s="9">
        <v>37</v>
      </c>
      <c r="B38" s="15" t="s">
        <v>3037</v>
      </c>
      <c r="C38" s="15" t="s">
        <v>3038</v>
      </c>
      <c r="D38" s="6" t="s">
        <v>3039</v>
      </c>
      <c r="E38" s="6" t="s">
        <v>3040</v>
      </c>
      <c r="F38" s="10">
        <v>0.45885221128992271</v>
      </c>
      <c r="G38" s="9">
        <v>22</v>
      </c>
      <c r="H38" s="9">
        <v>0</v>
      </c>
      <c r="I38" s="15" t="s">
        <v>3041</v>
      </c>
      <c r="J38" s="9">
        <v>23</v>
      </c>
      <c r="K38" s="15" t="s">
        <v>3042</v>
      </c>
      <c r="L38" s="15" t="s">
        <v>3043</v>
      </c>
      <c r="M38" s="15" t="s">
        <v>3044</v>
      </c>
      <c r="N38" s="15" t="s">
        <v>3045</v>
      </c>
      <c r="O38" s="6" t="s">
        <v>3046</v>
      </c>
      <c r="P38" s="15" t="s">
        <v>3047</v>
      </c>
      <c r="Q38" s="15" t="s">
        <v>3048</v>
      </c>
      <c r="R38" s="6" t="s">
        <v>3049</v>
      </c>
      <c r="S38" s="15" t="s">
        <v>3050</v>
      </c>
      <c r="T38" s="11">
        <v>2.3651057992034521</v>
      </c>
      <c r="U38" s="10">
        <v>0.59459459459459463</v>
      </c>
      <c r="V38" s="7" t="s">
        <v>786</v>
      </c>
      <c r="W38" s="7" t="s">
        <v>787</v>
      </c>
      <c r="X38" s="7" t="s">
        <v>788</v>
      </c>
      <c r="Y38" s="15" t="s">
        <v>3051</v>
      </c>
      <c r="Z38" s="9">
        <v>20</v>
      </c>
      <c r="AA38" s="9">
        <v>18</v>
      </c>
      <c r="AB38" s="9">
        <v>78</v>
      </c>
      <c r="AC38" s="13">
        <v>0.49319696191607187</v>
      </c>
      <c r="AD38" s="13">
        <v>-0.16439898730535729</v>
      </c>
      <c r="AE38" s="9">
        <v>12</v>
      </c>
      <c r="AF38" s="9">
        <v>39</v>
      </c>
      <c r="AG38" s="9">
        <v>3</v>
      </c>
      <c r="AH38" s="6" t="s">
        <v>3052</v>
      </c>
      <c r="AI38" s="10">
        <v>36.544833738746853</v>
      </c>
      <c r="AJ38" s="10">
        <v>34.876101465349102</v>
      </c>
      <c r="AK38" s="15" t="s">
        <v>3053</v>
      </c>
      <c r="AL38" s="15" t="s">
        <v>3054</v>
      </c>
      <c r="AM38" s="15" t="s">
        <v>3055</v>
      </c>
      <c r="AN38" s="9">
        <v>2</v>
      </c>
      <c r="AO38" s="9">
        <v>3</v>
      </c>
      <c r="AP38" s="9">
        <v>27</v>
      </c>
      <c r="AQ38" s="15" t="s">
        <v>3056</v>
      </c>
      <c r="AR38" s="9">
        <v>7</v>
      </c>
      <c r="AS38" s="6" t="s">
        <v>998</v>
      </c>
      <c r="AT38" s="15" t="s">
        <v>3057</v>
      </c>
      <c r="AU38" s="9">
        <v>0</v>
      </c>
      <c r="AV38" s="9">
        <v>0</v>
      </c>
      <c r="AW38" s="9">
        <v>4</v>
      </c>
      <c r="AX38" s="9">
        <v>10</v>
      </c>
      <c r="AY38" s="9">
        <v>147</v>
      </c>
      <c r="AZ38" s="9">
        <v>27283</v>
      </c>
      <c r="BA38" s="6" t="s">
        <v>3058</v>
      </c>
      <c r="BB38" s="6" t="s">
        <v>3059</v>
      </c>
      <c r="BC38" s="6" t="s">
        <v>3060</v>
      </c>
      <c r="BD38" s="15" t="s">
        <v>3061</v>
      </c>
      <c r="BE38" s="15" t="s">
        <v>3062</v>
      </c>
      <c r="BF38" s="15" t="s">
        <v>3063</v>
      </c>
      <c r="BG38" s="15" t="s">
        <v>3064</v>
      </c>
      <c r="BH38" s="6" t="s">
        <v>3065</v>
      </c>
      <c r="BI38" s="17" t="s">
        <v>888</v>
      </c>
      <c r="BJ38" s="7" t="s">
        <v>1372</v>
      </c>
      <c r="BK38" s="7" t="s">
        <v>1373</v>
      </c>
      <c r="BL38" s="7" t="s">
        <v>1374</v>
      </c>
      <c r="BM38" s="16" t="s">
        <v>1375</v>
      </c>
      <c r="BN38" s="16" t="s">
        <v>1376</v>
      </c>
      <c r="BO38" s="16" t="s">
        <v>1377</v>
      </c>
      <c r="BP38" s="16" t="s">
        <v>1378</v>
      </c>
      <c r="BQ38" s="16" t="s">
        <v>1379</v>
      </c>
      <c r="BR38" s="7" t="s">
        <v>1380</v>
      </c>
      <c r="BS38" s="7" t="s">
        <v>1381</v>
      </c>
      <c r="BT38" s="7" t="s">
        <v>1382</v>
      </c>
      <c r="BU38" s="14">
        <v>8.6578937520968576E-67</v>
      </c>
      <c r="BV38" s="15" t="s">
        <v>3066</v>
      </c>
      <c r="BW38" s="9">
        <v>24</v>
      </c>
      <c r="BX38" s="9">
        <v>21</v>
      </c>
      <c r="BY38" s="13">
        <v>1.8083888603589302</v>
      </c>
      <c r="BZ38" s="13">
        <v>0.82199493652678646</v>
      </c>
      <c r="CA38" s="12">
        <f>IF(B38="","",IF(A38&lt;8,"",_xlfn.LET(_xlpm.n,A38,_xlpm.k,G38,_xlpm.R,AP38,_xlpm.mu,1+2*_xlpm.k*(_xlpm.n-_xlpm.k)/_xlpm.n,_xlpm.v,2*_xlpm.k*(_xlpm.n-_xlpm.k)*(2*_xlpm.k*(_xlpm.n-_xlpm.k)-_xlpm.n)/(_xlpm.n^2*(_xlpm.n-1)),IF(_xlpm.v&lt;=0,"",(_xlpm.R-_xlpm.mu)/SQRT(_xlpm.v)))))</f>
        <v>2.8258050846060865</v>
      </c>
      <c r="CB38" s="37" cm="1">
        <f t="array" ref="CB38">IF(B38="","",IF(A38&lt;8,"",_xlfn.LET(_xlpm.b,--MID(C38,_xlfn.SEQUENCE(A38-1),1),_xlpm.c,--MID(C38,_xlfn.SEQUENCE(A38-1,,2),1),IFERROR(CORREL(_xlpm.b,_xlpm.c),""))))</f>
        <v>-0.48571428571428577</v>
      </c>
      <c r="CC38" s="8">
        <f>IF(B38="","",LOG(A38,2))</f>
        <v>5.2094533656289501</v>
      </c>
      <c r="CD38" s="8">
        <f>IF(B38="","",MAX(AN38,AO38)-CC38)</f>
        <v>-2.2094533656289501</v>
      </c>
      <c r="CE38" s="8" t="str" cm="1">
        <f t="array" ref="CE38">IF(B38="","",IF(LEN(B38)&lt;16,"",_xlfn.LET(_xlpm.d,MID("0123456789abcdef",_xlfn.SEQUENCE(16),1),_xlpm.c,LEN(B38)-LEN(SUBSTITUTE(B38,_xlpm.d,"")),_xlpm.ex,LEN(B38)/16,SUM((_xlpm.c-_xlpm.ex)^2/_xlpm.ex))))</f>
        <v/>
      </c>
      <c r="CF38" s="37" t="str">
        <f>IF(CE38="","",_xlfn.CHISQ.DIST.RT(CE38,15))</f>
        <v/>
      </c>
      <c r="CG38" s="9" cm="1">
        <f t="array" ref="CG38">IF(OR(B38="",B37=""),"",_xlfn.LET(_xlpm.a,C38,_xlpm.b,REPT("0",A38-LEN(C37))&amp;C37,_xlpm.m,MID(_xlpm.a,_xlfn.SEQUENCE(A38),1)=MID(_xlpm.b,_xlfn.SEQUENCE(A38),1),IFERROR(MATCH(FALSE,_xlpm.m,0)-1,A38)))</f>
        <v>0</v>
      </c>
      <c r="CH38" s="9" cm="1">
        <f t="array" ref="CH38">IF(OR(B38="",B37=""),"",_xlfn.LET(_xlpm.a,C38,_xlpm.b,REPT("0",A38-LEN(C37))&amp;C37,_xlpm.n,A38,_xlpm.m,MID(_xlpm.a,_xlfn.SEQUENCE(_xlpm.n,,_xlpm.n,-1),1)=MID(_xlpm.b,_xlfn.SEQUENCE(_xlpm.n,,_xlpm.n,-1),1),IFERROR(MATCH(FALSE,_xlpm.m,0)-1,_xlpm.n)))</f>
        <v>0</v>
      </c>
      <c r="CI38" s="38">
        <f>IF(OR(B38="",B37=""),"",F38-F37)</f>
        <v>0.22520574035297614</v>
      </c>
      <c r="CJ38" s="5" t="b">
        <f>IF(OR(B38="",B37=""),"",IFERROR(FIND(B37,B38)&gt;0,FALSE))</f>
        <v>0</v>
      </c>
      <c r="CK38" s="5" t="b">
        <f>IF(OR(B38="",B37=""),"",IFERROR(FIND(C37,C38)&gt;0,FALSE))</f>
        <v>0</v>
      </c>
      <c r="CL38" s="9" t="str">
        <f>IF(OR(B38="",B37=""),"",IFERROR(FIND(C37,C38),""))</f>
        <v/>
      </c>
      <c r="CM38" s="6" t="str" cm="1">
        <f t="array" ref="CM38">IF(OR(B38="",B37=""),"",_xlfn.LET(_xlpm.pv,D37,_xlpm.ra,BIGSUB(D38,_xlpm.pv),_xlpm.rb,BIGSUB(_xlpm.ra,_xlpm.pv),_xlpm.rc,BIGSUB(_xlpm.rb,_xlpm.pv),IF(LEFT(_xlpm.rb,1)="-",_xlpm.ra,IF(LEFT(_xlpm.rc,1)="-",_xlpm.rb,_xlpm.rc))))</f>
        <v>15476020635</v>
      </c>
      <c r="CN38" s="38">
        <f>IF(B38="","",F38-0.5)</f>
        <v>-4.1147788710077293E-2</v>
      </c>
      <c r="CO38" s="15" t="str" cm="1">
        <f t="array" ref="CO38">IF(B38="","",_xlfn.TEXTJOIN("",,MID(B38,_xlfn.SEQUENCE(LEN(B38),,LEN(B38),-1),1)))</f>
        <v>39a6577571</v>
      </c>
      <c r="CP38" s="6" t="str" cm="1">
        <f t="array" ref="CP38">IF(B38="","",BASE2DEC(CO38,16))</f>
        <v>247603885425</v>
      </c>
      <c r="CQ38" s="5" t="str">
        <f>IF(B38="","",IF(AND(LEN(B38)&lt;16,LEN(B38)=LEN(SUBSTITUTE(SUBSTITUTE(SUBSTITUTE(SUBSTITUTE(SUBSTITUTE(SUBSTITUTE(B38,"a",""),"b",""),"c",""),"d",""),"e",""),"f",""))),--B38,""))</f>
        <v/>
      </c>
      <c r="CR38" s="6" t="str" cm="1">
        <f t="array" ref="CR38">IF(B38="","",IF(LEN(D38)&lt;=15,BASE2DEC(D38,16),""))</f>
        <v>17602140571029</v>
      </c>
      <c r="CS38" s="15" t="str" cm="1">
        <f t="array" ref="CS38">IF(B38="","",_xlfn.LET(_xlpm.p,REPT("0",MOD(-LEN(B38),4))&amp;B38,_xlfn.TEXTJOIN(" ",,MID(_xlpm.p,_xlfn.SEQUENCE(LEN(_xlpm.p)/4,,1,4),4))))</f>
        <v>0017 5775 6a93</v>
      </c>
      <c r="CT38" s="15" t="str" cm="1">
        <f t="array" ref="CT38">IF(B38="","",UPPER(_xlfn.LET(_xlpm.p,REPT("0",64-LEN(B38))&amp;B38,_xlfn.TEXTJOIN(" ",,MID(_xlpm.p,_xlfn.SEQUENCE(8,,1,8),8)))))</f>
        <v>00000000 00000000 00000000 00000000 00000000 00000000 00000017 57756A93</v>
      </c>
      <c r="CU38" s="6" t="str" cm="1">
        <f t="array" ref="CU38">IF(B38="","",IF(LEN(D38)&lt;=6,_xlfn.LET(_xlpm.n,VALUE(D38)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8" s="39" t="s">
        <v>4444</v>
      </c>
      <c r="CW38" s="39" t="s">
        <v>987</v>
      </c>
      <c r="CX38" s="39" t="s">
        <v>987</v>
      </c>
      <c r="CY38" s="7" t="s">
        <v>4626</v>
      </c>
      <c r="CZ38" s="39" t="s">
        <v>4444</v>
      </c>
      <c r="DA38" s="39" t="s">
        <v>4444</v>
      </c>
      <c r="DB38" s="39">
        <v>36</v>
      </c>
      <c r="DC38" s="7" t="s">
        <v>4627</v>
      </c>
      <c r="DD38" s="7" t="s">
        <v>4628</v>
      </c>
      <c r="DE38" s="7" t="s">
        <v>4629</v>
      </c>
      <c r="DF38" s="7" t="s">
        <v>4630</v>
      </c>
      <c r="DG38" s="7" t="s">
        <v>4631</v>
      </c>
      <c r="DH38" s="39" t="s">
        <v>4448</v>
      </c>
      <c r="DI38" s="7" t="s">
        <v>5283</v>
      </c>
      <c r="DJ38" s="7" t="s">
        <v>5284</v>
      </c>
      <c r="DK38" s="7" t="s">
        <v>5285</v>
      </c>
      <c r="DL38" s="7" t="s">
        <v>5286</v>
      </c>
      <c r="DM38" s="7" t="s">
        <v>5287</v>
      </c>
      <c r="DN38" s="7" t="s">
        <v>5288</v>
      </c>
      <c r="DO38" s="7" t="s">
        <v>5289</v>
      </c>
      <c r="DP38" s="7" t="s">
        <v>5290</v>
      </c>
      <c r="DQ38" s="7" t="s">
        <v>5291</v>
      </c>
      <c r="DR38" s="7" t="s">
        <v>5292</v>
      </c>
      <c r="DS38" s="7" t="s">
        <v>5791</v>
      </c>
      <c r="DT38" s="15" t="str" cm="1">
        <f t="array" ref="DT38">IF(B38="","",_xlfn.TEXTJOIN("",,HEX2BIN(MID(BQ38,_xlfn.SEQUENCE(40),1),4)))</f>
        <v>1101010000010110001001101100101101101110000001011101101101001110010100000101001001010111010101001010010011101001111111000110101100110000010101000111111001111001</v>
      </c>
    </row>
    <row r="39" spans="1:124" x14ac:dyDescent="0.25">
      <c r="A39" s="9">
        <v>38</v>
      </c>
      <c r="B39" s="15" t="s">
        <v>3067</v>
      </c>
      <c r="C39" s="15" t="s">
        <v>3068</v>
      </c>
      <c r="D39" s="6" t="s">
        <v>3069</v>
      </c>
      <c r="E39" s="6" t="s">
        <v>3070</v>
      </c>
      <c r="F39" s="10">
        <v>6.9358670734800398E-2</v>
      </c>
      <c r="G39" s="9">
        <v>17</v>
      </c>
      <c r="H39" s="9">
        <v>4</v>
      </c>
      <c r="I39" s="15" t="s">
        <v>3071</v>
      </c>
      <c r="J39" s="9">
        <v>21</v>
      </c>
      <c r="K39" s="15" t="s">
        <v>3072</v>
      </c>
      <c r="L39" s="15" t="s">
        <v>3073</v>
      </c>
      <c r="M39" s="15" t="s">
        <v>3074</v>
      </c>
      <c r="N39" s="15" t="s">
        <v>3075</v>
      </c>
      <c r="O39" s="6" t="s">
        <v>3076</v>
      </c>
      <c r="P39" s="15" t="s">
        <v>3077</v>
      </c>
      <c r="Q39" s="15" t="s">
        <v>3078</v>
      </c>
      <c r="R39" s="6" t="s">
        <v>3079</v>
      </c>
      <c r="S39" s="15" t="s">
        <v>3080</v>
      </c>
      <c r="T39" s="11">
        <v>1.4660274186228492</v>
      </c>
      <c r="U39" s="10">
        <v>0.44736842105263158</v>
      </c>
      <c r="V39" s="7" t="s">
        <v>789</v>
      </c>
      <c r="W39" s="7" t="s">
        <v>790</v>
      </c>
      <c r="X39" s="7" t="s">
        <v>791</v>
      </c>
      <c r="Y39" s="15" t="s">
        <v>3081</v>
      </c>
      <c r="Z39" s="9">
        <v>20</v>
      </c>
      <c r="AA39" s="9">
        <v>19</v>
      </c>
      <c r="AB39" s="9">
        <v>81</v>
      </c>
      <c r="AC39" s="13">
        <v>0.32444284226152509</v>
      </c>
      <c r="AD39" s="13">
        <v>0</v>
      </c>
      <c r="AE39" s="9">
        <v>12</v>
      </c>
      <c r="AF39" s="9">
        <v>58</v>
      </c>
      <c r="AG39" s="9">
        <v>4</v>
      </c>
      <c r="AH39" s="6" t="s">
        <v>3082</v>
      </c>
      <c r="AI39" s="10">
        <v>37.096745824716052</v>
      </c>
      <c r="AJ39" s="10">
        <v>33.150220059668989</v>
      </c>
      <c r="AK39" s="15" t="s">
        <v>3083</v>
      </c>
      <c r="AL39" s="15" t="s">
        <v>3084</v>
      </c>
      <c r="AM39" s="15" t="s">
        <v>3085</v>
      </c>
      <c r="AN39" s="9">
        <v>5</v>
      </c>
      <c r="AO39" s="9">
        <v>5</v>
      </c>
      <c r="AP39" s="9">
        <v>18</v>
      </c>
      <c r="AQ39" s="15" t="s">
        <v>3086</v>
      </c>
      <c r="AR39" s="9">
        <v>8</v>
      </c>
      <c r="AS39" s="6" t="s">
        <v>1895</v>
      </c>
      <c r="AT39" s="15" t="s">
        <v>3087</v>
      </c>
      <c r="AU39" s="9">
        <v>1</v>
      </c>
      <c r="AV39" s="9">
        <v>2</v>
      </c>
      <c r="AW39" s="9">
        <v>6</v>
      </c>
      <c r="AX39" s="9">
        <v>1</v>
      </c>
      <c r="AY39" s="9">
        <v>208</v>
      </c>
      <c r="AZ39" s="9">
        <v>44240</v>
      </c>
      <c r="BA39" s="6" t="s">
        <v>3088</v>
      </c>
      <c r="BB39" s="6" t="s">
        <v>3089</v>
      </c>
      <c r="BC39" s="6" t="s">
        <v>3090</v>
      </c>
      <c r="BD39" s="15" t="s">
        <v>3091</v>
      </c>
      <c r="BE39" s="15" t="s">
        <v>3092</v>
      </c>
      <c r="BF39" s="15" t="s">
        <v>3093</v>
      </c>
      <c r="BG39" s="15" t="s">
        <v>3094</v>
      </c>
      <c r="BH39" s="6" t="s">
        <v>3095</v>
      </c>
      <c r="BI39" s="17" t="s">
        <v>888</v>
      </c>
      <c r="BJ39" s="7" t="s">
        <v>1383</v>
      </c>
      <c r="BK39" s="7" t="s">
        <v>1384</v>
      </c>
      <c r="BL39" s="7" t="s">
        <v>1385</v>
      </c>
      <c r="BM39" s="16" t="s">
        <v>1386</v>
      </c>
      <c r="BN39" s="16" t="s">
        <v>1387</v>
      </c>
      <c r="BO39" s="16" t="s">
        <v>1388</v>
      </c>
      <c r="BP39" s="16" t="s">
        <v>1389</v>
      </c>
      <c r="BQ39" s="16" t="s">
        <v>1390</v>
      </c>
      <c r="BR39" s="7" t="s">
        <v>1391</v>
      </c>
      <c r="BS39" s="7" t="s">
        <v>1392</v>
      </c>
      <c r="BT39" s="7" t="s">
        <v>1393</v>
      </c>
      <c r="BU39" s="14">
        <v>1.269270962809745E-66</v>
      </c>
      <c r="BV39" s="15" t="s">
        <v>3096</v>
      </c>
      <c r="BW39" s="9">
        <v>20</v>
      </c>
      <c r="BX39" s="9">
        <v>14</v>
      </c>
      <c r="BY39" s="13">
        <v>0.32444284226152509</v>
      </c>
      <c r="BZ39" s="13">
        <v>-1.6222142113076254</v>
      </c>
      <c r="CA39" s="12">
        <f>IF(B39="","",IF(A39&lt;8,"",_xlfn.LET(_xlpm.n,A39,_xlpm.k,G39,_xlpm.R,AP39,_xlpm.mu,1+2*_xlpm.k*(_xlpm.n-_xlpm.k)/_xlpm.n,_xlpm.v,2*_xlpm.k*(_xlpm.n-_xlpm.k)*(2*_xlpm.k*(_xlpm.n-_xlpm.k)-_xlpm.n)/(_xlpm.n^2*(_xlpm.n-1)),IF(_xlpm.v&lt;=0,"",(_xlpm.R-_xlpm.mu)/SQRT(_xlpm.v)))))</f>
        <v>-0.59537051218022174</v>
      </c>
      <c r="CB39" s="37" cm="1">
        <f t="array" ref="CB39">IF(B39="","",IF(A39&lt;8,"",_xlfn.LET(_xlpm.b,--MID(C39,_xlfn.SEQUENCE(A39-1),1),_xlpm.c,--MID(C39,_xlfn.SEQUENCE(A39-1,,2),1),IFERROR(CORREL(_xlpm.b,_xlpm.c),""))))</f>
        <v>7.1007160249672532E-2</v>
      </c>
      <c r="CC39" s="8">
        <f>IF(B39="","",LOG(A39,2))</f>
        <v>5.2479275134435852</v>
      </c>
      <c r="CD39" s="8">
        <f>IF(B39="","",MAX(AN39,AO39)-CC39)</f>
        <v>-0.24792751344358521</v>
      </c>
      <c r="CE39" s="8" t="str" cm="1">
        <f t="array" ref="CE39">IF(B39="","",IF(LEN(B39)&lt;16,"",_xlfn.LET(_xlpm.d,MID("0123456789abcdef",_xlfn.SEQUENCE(16),1),_xlpm.c,LEN(B39)-LEN(SUBSTITUTE(B39,_xlpm.d,"")),_xlpm.ex,LEN(B39)/16,SUM((_xlpm.c-_xlpm.ex)^2/_xlpm.ex))))</f>
        <v/>
      </c>
      <c r="CF39" s="37" t="str">
        <f>IF(CE39="","",_xlfn.CHISQ.DIST.RT(CE39,15))</f>
        <v/>
      </c>
      <c r="CG39" s="9" cm="1">
        <f t="array" ref="CG39">IF(OR(B39="",B38=""),"",_xlfn.LET(_xlpm.a,C39,_xlpm.b,REPT("0",A39-LEN(C38))&amp;C38,_xlpm.m,MID(_xlpm.a,_xlfn.SEQUENCE(A39),1)=MID(_xlpm.b,_xlfn.SEQUENCE(A39),1),IFERROR(MATCH(FALSE,_xlpm.m,0)-1,A39)))</f>
        <v>0</v>
      </c>
      <c r="CH39" s="9" cm="1">
        <f t="array" ref="CH39">IF(OR(B39="",B38=""),"",_xlfn.LET(_xlpm.a,C39,_xlpm.b,REPT("0",A39-LEN(C38))&amp;C38,_xlpm.n,A39,_xlpm.m,MID(_xlpm.a,_xlfn.SEQUENCE(_xlpm.n,,_xlpm.n,-1),1)=MID(_xlpm.b,_xlfn.SEQUENCE(_xlpm.n,,_xlpm.n,-1),1),IFERROR(MATCH(FALSE,_xlpm.m,0)-1,_xlpm.n)))</f>
        <v>0</v>
      </c>
      <c r="CI39" s="38">
        <f>IF(OR(B39="",B38=""),"",F39-F38)</f>
        <v>-0.38949354055512231</v>
      </c>
      <c r="CJ39" s="5" t="b">
        <f>IF(OR(B39="",B38=""),"",IFERROR(FIND(B38,B39)&gt;0,FALSE))</f>
        <v>0</v>
      </c>
      <c r="CK39" s="5" t="b">
        <f>IF(OR(B39="",B38=""),"",IFERROR(FIND(C38,C39)&gt;0,FALSE))</f>
        <v>0</v>
      </c>
      <c r="CL39" s="9" t="str">
        <f>IF(OR(B39="",B38=""),"",IFERROR(FIND(C38,C39),""))</f>
        <v/>
      </c>
      <c r="CM39" s="6" t="str" cm="1">
        <f t="array" ref="CM39">IF(OR(B39="",B38=""),"",_xlfn.LET(_xlpm.pv,D38,_xlpm.ra,BIGSUB(D39,_xlpm.pv),_xlpm.rb,BIGSUB(_xlpm.ra,_xlpm.pv),_xlpm.rc,BIGSUB(_xlpm.rb,_xlpm.pv),IF(LEFT(_xlpm.rb,1)="-",_xlpm.ra,IF(LEFT(_xlpm.rc,1)="-",_xlpm.rb,_xlpm.rc))))</f>
        <v>46719975997</v>
      </c>
      <c r="CN39" s="38">
        <f>IF(B39="","",F39-0.5)</f>
        <v>-0.4306413292651996</v>
      </c>
      <c r="CO39" s="15" t="str" cm="1">
        <f t="array" ref="CO39">IF(B39="","",_xlfn.TEXTJOIN("",,MID(B39,_xlfn.SEQUENCE(LEN(B39),,LEN(B39),-1),1)))</f>
        <v>0dcaf28322</v>
      </c>
      <c r="CP39" s="6" t="str" cm="1">
        <f t="array" ref="CP39">IF(B39="","",BASE2DEC(CO39,16))</f>
        <v>59239465762</v>
      </c>
      <c r="CQ39" s="5" t="str">
        <f>IF(B39="","",IF(AND(LEN(B39)&lt;16,LEN(B39)=LEN(SUBSTITUTE(SUBSTITUTE(SUBSTITUTE(SUBSTITUTE(SUBSTITUTE(SUBSTITUTE(B39,"a",""),"b",""),"c",""),"d",""),"e",""),"f",""))),--B39,""))</f>
        <v/>
      </c>
      <c r="CR39" s="6" t="str" cm="1">
        <f t="array" ref="CR39">IF(B39="","",IF(LEN(D39)&lt;=15,BASE2DEC(D39,16),""))</f>
        <v>22443105412498</v>
      </c>
      <c r="CS39" s="15" t="str" cm="1">
        <f t="array" ref="CS39">IF(B39="","",_xlfn.LET(_xlpm.p,REPT("0",MOD(-LEN(B39),4))&amp;B39,_xlfn.TEXTJOIN(" ",,MID(_xlpm.p,_xlfn.SEQUENCE(LEN(_xlpm.p)/4,,1,4),4))))</f>
        <v>0022 382f acd0</v>
      </c>
      <c r="CT39" s="15" t="str" cm="1">
        <f t="array" ref="CT39">IF(B39="","",UPPER(_xlfn.LET(_xlpm.p,REPT("0",64-LEN(B39))&amp;B39,_xlfn.TEXTJOIN(" ",,MID(_xlpm.p,_xlfn.SEQUENCE(8,,1,8),8)))))</f>
        <v>00000000 00000000 00000000 00000000 00000000 00000000 00000022 382FACD0</v>
      </c>
      <c r="CU39" s="6" t="str" cm="1">
        <f t="array" ref="CU39">IF(B39="","",IF(LEN(D39)&lt;=6,_xlfn.LET(_xlpm.n,VALUE(D39)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39" s="39" t="s">
        <v>4444</v>
      </c>
      <c r="CW39" s="39" t="s">
        <v>1895</v>
      </c>
      <c r="CX39" s="39" t="s">
        <v>987</v>
      </c>
      <c r="CY39" s="7" t="s">
        <v>4632</v>
      </c>
      <c r="CZ39" s="39" t="s">
        <v>4444</v>
      </c>
      <c r="DA39" s="39" t="s">
        <v>4444</v>
      </c>
      <c r="DB39" s="39">
        <v>37</v>
      </c>
      <c r="DC39" s="7" t="s">
        <v>4633</v>
      </c>
      <c r="DD39" s="7" t="s">
        <v>4634</v>
      </c>
      <c r="DE39" s="7" t="s">
        <v>4635</v>
      </c>
      <c r="DF39" s="7" t="s">
        <v>4636</v>
      </c>
      <c r="DG39" s="7" t="s">
        <v>4637</v>
      </c>
      <c r="DH39" s="39" t="s">
        <v>4452</v>
      </c>
      <c r="DI39" s="7" t="s">
        <v>5293</v>
      </c>
      <c r="DJ39" s="7" t="s">
        <v>5294</v>
      </c>
      <c r="DK39" s="7" t="s">
        <v>5295</v>
      </c>
      <c r="DL39" s="7" t="s">
        <v>5296</v>
      </c>
      <c r="DM39" s="7" t="s">
        <v>5297</v>
      </c>
      <c r="DN39" s="7" t="s">
        <v>5298</v>
      </c>
      <c r="DO39" s="7" t="s">
        <v>5299</v>
      </c>
      <c r="DP39" s="7" t="s">
        <v>5300</v>
      </c>
      <c r="DQ39" s="7" t="s">
        <v>5301</v>
      </c>
      <c r="DR39" s="7" t="s">
        <v>5302</v>
      </c>
      <c r="DS39" s="7" t="s">
        <v>5792</v>
      </c>
      <c r="DT39" s="15" t="str" cm="1">
        <f t="array" ref="DT39">IF(B39="","",_xlfn.TEXTJOIN("",,HEX2BIN(MID(BQ39,_xlfn.SEQUENCE(40),1),4)))</f>
        <v>1101101001001111111000011001000111110101100100101010100111101000110010110100101110110001111000001011100101101101010100100000100010010001111010001010000111111011</v>
      </c>
    </row>
    <row r="40" spans="1:124" x14ac:dyDescent="0.25">
      <c r="A40" s="9">
        <v>39</v>
      </c>
      <c r="B40" s="15" t="s">
        <v>3097</v>
      </c>
      <c r="C40" s="15" t="s">
        <v>3098</v>
      </c>
      <c r="D40" s="6" t="s">
        <v>3099</v>
      </c>
      <c r="E40" s="6" t="s">
        <v>3100</v>
      </c>
      <c r="F40" s="10">
        <v>0.17770457631922909</v>
      </c>
      <c r="G40" s="9">
        <v>20</v>
      </c>
      <c r="H40" s="9">
        <v>0</v>
      </c>
      <c r="I40" s="15" t="s">
        <v>3101</v>
      </c>
      <c r="J40" s="9">
        <v>23</v>
      </c>
      <c r="K40" s="15" t="s">
        <v>3102</v>
      </c>
      <c r="L40" s="15" t="s">
        <v>3103</v>
      </c>
      <c r="M40" s="15" t="s">
        <v>3104</v>
      </c>
      <c r="N40" s="15" t="s">
        <v>3105</v>
      </c>
      <c r="O40" s="6" t="s">
        <v>3106</v>
      </c>
      <c r="P40" s="15" t="s">
        <v>3107</v>
      </c>
      <c r="Q40" s="15" t="s">
        <v>3108</v>
      </c>
      <c r="R40" s="6" t="s">
        <v>3109</v>
      </c>
      <c r="S40" s="15" t="s">
        <v>3110</v>
      </c>
      <c r="T40" s="11">
        <v>2.2026371666486413</v>
      </c>
      <c r="U40" s="10">
        <v>0.51282051282051277</v>
      </c>
      <c r="V40" s="7" t="s">
        <v>792</v>
      </c>
      <c r="W40" s="7" t="s">
        <v>793</v>
      </c>
      <c r="X40" s="7" t="s">
        <v>794</v>
      </c>
      <c r="Y40" s="15" t="s">
        <v>3111</v>
      </c>
      <c r="Z40" s="9">
        <v>20</v>
      </c>
      <c r="AA40" s="9">
        <v>21</v>
      </c>
      <c r="AB40" s="9">
        <v>79</v>
      </c>
      <c r="AC40" s="13">
        <v>0.16012815380508713</v>
      </c>
      <c r="AD40" s="13">
        <v>0.48038446141526137</v>
      </c>
      <c r="AE40" s="9">
        <v>12</v>
      </c>
      <c r="AF40" s="9">
        <v>63</v>
      </c>
      <c r="AG40" s="9">
        <v>9</v>
      </c>
      <c r="AH40" s="6" t="s">
        <v>3112</v>
      </c>
      <c r="AI40" s="10">
        <v>38.235977688802478</v>
      </c>
      <c r="AJ40" s="10">
        <v>35.507552739816568</v>
      </c>
      <c r="AK40" s="15" t="s">
        <v>3113</v>
      </c>
      <c r="AL40" s="15" t="s">
        <v>3114</v>
      </c>
      <c r="AM40" s="15" t="s">
        <v>3115</v>
      </c>
      <c r="AN40" s="9">
        <v>6</v>
      </c>
      <c r="AO40" s="9">
        <v>6</v>
      </c>
      <c r="AP40" s="9">
        <v>17</v>
      </c>
      <c r="AQ40" s="15" t="s">
        <v>3116</v>
      </c>
      <c r="AR40" s="9">
        <v>9</v>
      </c>
      <c r="AS40" s="6" t="s">
        <v>987</v>
      </c>
      <c r="AT40" s="15" t="s">
        <v>3117</v>
      </c>
      <c r="AU40" s="9">
        <v>0</v>
      </c>
      <c r="AV40" s="9">
        <v>2</v>
      </c>
      <c r="AW40" s="9">
        <v>6</v>
      </c>
      <c r="AX40" s="9">
        <v>7</v>
      </c>
      <c r="AY40" s="9">
        <v>233</v>
      </c>
      <c r="AZ40" s="9">
        <v>1001</v>
      </c>
      <c r="BA40" s="6" t="s">
        <v>3118</v>
      </c>
      <c r="BB40" s="6" t="s">
        <v>3119</v>
      </c>
      <c r="BC40" s="6" t="s">
        <v>3120</v>
      </c>
      <c r="BD40" s="15" t="s">
        <v>3121</v>
      </c>
      <c r="BE40" s="15" t="s">
        <v>3122</v>
      </c>
      <c r="BF40" s="15" t="s">
        <v>3123</v>
      </c>
      <c r="BG40" s="15" t="s">
        <v>3124</v>
      </c>
      <c r="BH40" s="6" t="s">
        <v>3125</v>
      </c>
      <c r="BI40" s="17" t="s">
        <v>888</v>
      </c>
      <c r="BJ40" s="7" t="s">
        <v>1394</v>
      </c>
      <c r="BK40" s="7" t="s">
        <v>1395</v>
      </c>
      <c r="BL40" s="7" t="s">
        <v>1396</v>
      </c>
      <c r="BM40" s="16" t="s">
        <v>1397</v>
      </c>
      <c r="BN40" s="16" t="s">
        <v>1398</v>
      </c>
      <c r="BO40" s="16" t="s">
        <v>1399</v>
      </c>
      <c r="BP40" s="16" t="s">
        <v>1400</v>
      </c>
      <c r="BQ40" s="16" t="s">
        <v>1401</v>
      </c>
      <c r="BR40" s="7" t="s">
        <v>1402</v>
      </c>
      <c r="BS40" s="7" t="s">
        <v>1403</v>
      </c>
      <c r="BT40" s="7" t="s">
        <v>1404</v>
      </c>
      <c r="BU40" s="14">
        <v>2.79574339723265E-66</v>
      </c>
      <c r="BV40" s="15" t="s">
        <v>3126</v>
      </c>
      <c r="BW40" s="9">
        <v>20</v>
      </c>
      <c r="BX40" s="9">
        <v>21</v>
      </c>
      <c r="BY40" s="13">
        <v>0.16012815380508713</v>
      </c>
      <c r="BZ40" s="13">
        <v>0.48038446141526137</v>
      </c>
      <c r="CA40" s="12">
        <f>IF(B40="","",IF(A40&lt;8,"",_xlfn.LET(_xlpm.n,A40,_xlpm.k,G40,_xlpm.R,AP40,_xlpm.mu,1+2*_xlpm.k*(_xlpm.n-_xlpm.k)/_xlpm.n,_xlpm.v,2*_xlpm.k*(_xlpm.n-_xlpm.k)*(2*_xlpm.k*(_xlpm.n-_xlpm.k)-_xlpm.n)/(_xlpm.n^2*(_xlpm.n-1)),IF(_xlpm.v&lt;=0,"",(_xlpm.R-_xlpm.mu)/SQRT(_xlpm.v)))))</f>
        <v>-1.1325471151788167</v>
      </c>
      <c r="CB40" s="37" cm="1">
        <f t="array" ref="CB40">IF(B40="","",IF(A40&lt;8,"",_xlfn.LET(_xlpm.b,--MID(C40,_xlfn.SEQUENCE(A40-1),1),_xlpm.c,--MID(C40,_xlfn.SEQUENCE(A40-1,,2),1),IFERROR(CORREL(_xlpm.b,_xlpm.c),""))))</f>
        <v>0.15789473684210525</v>
      </c>
      <c r="CC40" s="8">
        <f>IF(B40="","",LOG(A40,2))</f>
        <v>5.2854022188622487</v>
      </c>
      <c r="CD40" s="8">
        <f>IF(B40="","",MAX(AN40,AO40)-CC40)</f>
        <v>0.7145977811377513</v>
      </c>
      <c r="CE40" s="8" t="str" cm="1">
        <f t="array" ref="CE40">IF(B40="","",IF(LEN(B40)&lt;16,"",_xlfn.LET(_xlpm.d,MID("0123456789abcdef",_xlfn.SEQUENCE(16),1),_xlpm.c,LEN(B40)-LEN(SUBSTITUTE(B40,_xlpm.d,"")),_xlpm.ex,LEN(B40)/16,SUM((_xlpm.c-_xlpm.ex)^2/_xlpm.ex))))</f>
        <v/>
      </c>
      <c r="CF40" s="37" t="str">
        <f>IF(CE40="","",_xlfn.CHISQ.DIST.RT(CE40,15))</f>
        <v/>
      </c>
      <c r="CG40" s="9" cm="1">
        <f t="array" ref="CG40">IF(OR(B40="",B39=""),"",_xlfn.LET(_xlpm.a,C40,_xlpm.b,REPT("0",A40-LEN(C39))&amp;C39,_xlpm.m,MID(_xlpm.a,_xlfn.SEQUENCE(A40),1)=MID(_xlpm.b,_xlfn.SEQUENCE(A40),1),IFERROR(MATCH(FALSE,_xlpm.m,0)-1,A40)))</f>
        <v>0</v>
      </c>
      <c r="CH40" s="9" cm="1">
        <f t="array" ref="CH40">IF(OR(B40="",B39=""),"",_xlfn.LET(_xlpm.a,C40,_xlpm.b,REPT("0",A40-LEN(C39))&amp;C39,_xlpm.n,A40,_xlpm.m,MID(_xlpm.a,_xlfn.SEQUENCE(_xlpm.n,,_xlpm.n,-1),1)=MID(_xlpm.b,_xlfn.SEQUENCE(_xlpm.n,,_xlpm.n,-1),1),IFERROR(MATCH(FALSE,_xlpm.m,0)-1,_xlpm.n)))</f>
        <v>0</v>
      </c>
      <c r="CI40" s="38">
        <f>IF(OR(B40="",B39=""),"",F40-F39)</f>
        <v>0.10834590558442869</v>
      </c>
      <c r="CJ40" s="5" t="b">
        <f>IF(OR(B40="",B39=""),"",IFERROR(FIND(B39,B40)&gt;0,FALSE))</f>
        <v>0</v>
      </c>
      <c r="CK40" s="5" t="b">
        <f>IF(OR(B40="",B39=""),"",IFERROR(FIND(C39,C40)&gt;0,FALSE))</f>
        <v>0</v>
      </c>
      <c r="CL40" s="9" t="str">
        <f>IF(OR(B40="",B39=""),"",IFERROR(FIND(C39,C40),""))</f>
        <v/>
      </c>
      <c r="CM40" s="6" t="str" cm="1">
        <f t="array" ref="CM40">IF(OR(B40="",B39=""),"",_xlfn.LET(_xlpm.pv,D39,_xlpm.ra,BIGSUB(D40,_xlpm.pv),_xlpm.rb,BIGSUB(_xlpm.ra,_xlpm.pv),_xlpm.rc,BIGSUB(_xlpm.rb,_xlpm.pv),IF(LEFT(_xlpm.rb,1)="-",_xlpm.ra,IF(LEFT(_xlpm.rc,1)="-",_xlpm.rb,_xlpm.rc))))</f>
        <v>29781895753</v>
      </c>
      <c r="CN40" s="38">
        <f>IF(B40="","",F40-0.5)</f>
        <v>-0.32229542368077091</v>
      </c>
      <c r="CO40" s="15" t="str" cm="1">
        <f t="array" ref="CO40">IF(B40="","",_xlfn.TEXTJOIN("",,MID(B40,_xlfn.SEQUENCE(LEN(B40),,LEN(B40),-1),1)))</f>
        <v>9e3038f5b4</v>
      </c>
      <c r="CP40" s="6" t="str" cm="1">
        <f t="array" ref="CP40">IF(B40="","",BASE2DEC(CO40,16))</f>
        <v>679413872052</v>
      </c>
      <c r="CQ40" s="5" t="str">
        <f>IF(B40="","",IF(AND(LEN(B40)&lt;16,LEN(B40)=LEN(SUBSTITUTE(SUBSTITUTE(SUBSTITUTE(SUBSTITUTE(SUBSTITUTE(SUBSTITUTE(B40,"a",""),"b",""),"c",""),"d",""),"e",""),"f",""))),--B40,""))</f>
        <v/>
      </c>
      <c r="CR40" s="6" t="str" cm="1">
        <f t="array" ref="CR40">IF(B40="","",IF(LEN(D40)&lt;=15,BASE2DEC(D40,16),""))</f>
        <v>55212418435383</v>
      </c>
      <c r="CS40" s="15" t="str" cm="1">
        <f t="array" ref="CS40">IF(B40="","",_xlfn.LET(_xlpm.p,REPT("0",MOD(-LEN(B40),4))&amp;B40,_xlfn.TEXTJOIN(" ",,MID(_xlpm.p,_xlfn.SEQUENCE(LEN(_xlpm.p)/4,,1,4),4))))</f>
        <v>004b 5f83 03e9</v>
      </c>
      <c r="CT40" s="15" t="str" cm="1">
        <f t="array" ref="CT40">IF(B40="","",UPPER(_xlfn.LET(_xlpm.p,REPT("0",64-LEN(B40))&amp;B40,_xlfn.TEXTJOIN(" ",,MID(_xlpm.p,_xlfn.SEQUENCE(8,,1,8),8)))))</f>
        <v>00000000 00000000 00000000 00000000 00000000 00000000 0000004B 5F8303E9</v>
      </c>
      <c r="CU40" s="6" t="str" cm="1">
        <f t="array" ref="CU40">IF(B40="","",IF(LEN(D40)&lt;=6,_xlfn.LET(_xlpm.n,VALUE(D40)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0" s="39" t="s">
        <v>4444</v>
      </c>
      <c r="CW40" s="39" t="s">
        <v>987</v>
      </c>
      <c r="CX40" s="39" t="s">
        <v>987</v>
      </c>
      <c r="CY40" s="7" t="s">
        <v>4638</v>
      </c>
      <c r="CZ40" s="39" t="s">
        <v>4444</v>
      </c>
      <c r="DA40" s="39" t="s">
        <v>4444</v>
      </c>
      <c r="DB40" s="39">
        <v>38</v>
      </c>
      <c r="DC40" s="7" t="s">
        <v>4639</v>
      </c>
      <c r="DD40" s="7" t="s">
        <v>4640</v>
      </c>
      <c r="DE40" s="7" t="s">
        <v>4641</v>
      </c>
      <c r="DF40" s="7" t="s">
        <v>4642</v>
      </c>
      <c r="DG40" s="7" t="s">
        <v>4643</v>
      </c>
      <c r="DH40" s="39" t="s">
        <v>4448</v>
      </c>
      <c r="DI40" s="7" t="s">
        <v>5303</v>
      </c>
      <c r="DJ40" s="7" t="s">
        <v>5304</v>
      </c>
      <c r="DK40" s="7" t="s">
        <v>5305</v>
      </c>
      <c r="DL40" s="7" t="s">
        <v>5306</v>
      </c>
      <c r="DM40" s="7" t="s">
        <v>5307</v>
      </c>
      <c r="DN40" s="7" t="s">
        <v>5308</v>
      </c>
      <c r="DO40" s="7" t="s">
        <v>5309</v>
      </c>
      <c r="DP40" s="7" t="s">
        <v>5310</v>
      </c>
      <c r="DQ40" s="7" t="s">
        <v>5311</v>
      </c>
      <c r="DR40" s="7" t="s">
        <v>5312</v>
      </c>
      <c r="DS40" s="7" t="s">
        <v>5793</v>
      </c>
      <c r="DT40" s="15" t="str" cm="1">
        <f t="array" ref="DT40">IF(B40="","",_xlfn.TEXTJOIN("",,HEX2BIN(MID(BQ40,_xlfn.SEQUENCE(40),1),4)))</f>
        <v>1000000111111110011100110011110100000100101101011010111000111111101010001111111110110101101000001100001101010010101000101110111011101000101110100011111000011011</v>
      </c>
    </row>
    <row r="41" spans="1:124" x14ac:dyDescent="0.25">
      <c r="A41" s="9">
        <v>40</v>
      </c>
      <c r="B41" s="15" t="s">
        <v>3127</v>
      </c>
      <c r="C41" s="15" t="s">
        <v>3128</v>
      </c>
      <c r="D41" s="6" t="s">
        <v>3129</v>
      </c>
      <c r="E41" s="6" t="s">
        <v>3130</v>
      </c>
      <c r="F41" s="10">
        <v>0.82563128500987659</v>
      </c>
      <c r="G41" s="9">
        <v>22</v>
      </c>
      <c r="H41" s="9">
        <v>1</v>
      </c>
      <c r="I41" s="15" t="s">
        <v>3131</v>
      </c>
      <c r="J41" s="9">
        <v>20</v>
      </c>
      <c r="K41" s="15" t="s">
        <v>3132</v>
      </c>
      <c r="L41" s="15" t="s">
        <v>3133</v>
      </c>
      <c r="M41" s="15" t="s">
        <v>3134</v>
      </c>
      <c r="N41" s="15" t="s">
        <v>3135</v>
      </c>
      <c r="O41" s="6" t="s">
        <v>3136</v>
      </c>
      <c r="P41" s="15" t="s">
        <v>3137</v>
      </c>
      <c r="Q41" s="15" t="s">
        <v>3138</v>
      </c>
      <c r="R41" s="6" t="s">
        <v>3139</v>
      </c>
      <c r="S41" s="15" t="s">
        <v>3140</v>
      </c>
      <c r="T41" s="11">
        <v>3.1003212889189289</v>
      </c>
      <c r="U41" s="10">
        <v>0.55000000000000004</v>
      </c>
      <c r="V41" s="7" t="s">
        <v>795</v>
      </c>
      <c r="W41" s="7" t="s">
        <v>796</v>
      </c>
      <c r="X41" s="7" t="s">
        <v>797</v>
      </c>
      <c r="Y41" s="15" t="s">
        <v>3141</v>
      </c>
      <c r="Z41" s="9">
        <v>23</v>
      </c>
      <c r="AA41" s="9">
        <v>28</v>
      </c>
      <c r="AB41" s="9">
        <v>85</v>
      </c>
      <c r="AC41" s="13">
        <v>0.94868329805051377</v>
      </c>
      <c r="AD41" s="13">
        <v>2.5298221281347035</v>
      </c>
      <c r="AE41" s="9">
        <v>13</v>
      </c>
      <c r="AF41" s="9">
        <v>37</v>
      </c>
      <c r="AG41" s="9">
        <v>1</v>
      </c>
      <c r="AH41" s="6" t="s">
        <v>3142</v>
      </c>
      <c r="AI41" s="10">
        <v>39.868395419757348</v>
      </c>
      <c r="AJ41" s="10">
        <v>38.723569543840696</v>
      </c>
      <c r="AK41" s="15" t="s">
        <v>3143</v>
      </c>
      <c r="AL41" s="15" t="s">
        <v>3144</v>
      </c>
      <c r="AM41" s="15" t="s">
        <v>3145</v>
      </c>
      <c r="AN41" s="9">
        <v>2</v>
      </c>
      <c r="AO41" s="9">
        <v>4</v>
      </c>
      <c r="AP41" s="9">
        <v>24</v>
      </c>
      <c r="AQ41" s="15" t="s">
        <v>3146</v>
      </c>
      <c r="AR41" s="9">
        <v>7</v>
      </c>
      <c r="AS41" s="6" t="s">
        <v>987</v>
      </c>
      <c r="AT41" s="15" t="s">
        <v>3147</v>
      </c>
      <c r="AU41" s="9">
        <v>1</v>
      </c>
      <c r="AV41" s="9">
        <v>0</v>
      </c>
      <c r="AW41" s="9">
        <v>4</v>
      </c>
      <c r="AX41" s="9">
        <v>10</v>
      </c>
      <c r="AY41" s="9">
        <v>214</v>
      </c>
      <c r="AZ41" s="9">
        <v>13270</v>
      </c>
      <c r="BA41" s="6" t="s">
        <v>3148</v>
      </c>
      <c r="BB41" s="6" t="s">
        <v>3149</v>
      </c>
      <c r="BC41" s="6" t="s">
        <v>3150</v>
      </c>
      <c r="BD41" s="15" t="s">
        <v>3151</v>
      </c>
      <c r="BE41" s="15" t="s">
        <v>3152</v>
      </c>
      <c r="BF41" s="15" t="s">
        <v>3153</v>
      </c>
      <c r="BG41" s="15" t="s">
        <v>3154</v>
      </c>
      <c r="BH41" s="6" t="s">
        <v>3155</v>
      </c>
      <c r="BI41" s="17" t="s">
        <v>888</v>
      </c>
      <c r="BJ41" s="7" t="s">
        <v>1405</v>
      </c>
      <c r="BK41" s="7" t="s">
        <v>1406</v>
      </c>
      <c r="BL41" s="7" t="s">
        <v>1407</v>
      </c>
      <c r="BM41" s="16" t="s">
        <v>1408</v>
      </c>
      <c r="BN41" s="16" t="s">
        <v>1409</v>
      </c>
      <c r="BO41" s="16" t="s">
        <v>1410</v>
      </c>
      <c r="BP41" s="16" t="s">
        <v>1411</v>
      </c>
      <c r="BQ41" s="16" t="s">
        <v>1412</v>
      </c>
      <c r="BR41" s="7" t="s">
        <v>1413</v>
      </c>
      <c r="BS41" s="7" t="s">
        <v>1414</v>
      </c>
      <c r="BT41" s="7" t="s">
        <v>1415</v>
      </c>
      <c r="BU41" s="14">
        <v>8.667702772794914E-66</v>
      </c>
      <c r="BV41" s="15" t="s">
        <v>3156</v>
      </c>
      <c r="BW41" s="9">
        <v>19</v>
      </c>
      <c r="BX41" s="9">
        <v>19</v>
      </c>
      <c r="BY41" s="13">
        <v>-0.31622776601683794</v>
      </c>
      <c r="BZ41" s="13">
        <v>-0.31622776601683794</v>
      </c>
      <c r="CA41" s="12">
        <f>IF(B41="","",IF(A41&lt;8,"",_xlfn.LET(_xlpm.n,A41,_xlpm.k,G41,_xlpm.R,AP41,_xlpm.mu,1+2*_xlpm.k*(_xlpm.n-_xlpm.k)/_xlpm.n,_xlpm.v,2*_xlpm.k*(_xlpm.n-_xlpm.k)*(2*_xlpm.k*(_xlpm.n-_xlpm.k)-_xlpm.n)/(_xlpm.n^2*(_xlpm.n-1)),IF(_xlpm.v&lt;=0,"",(_xlpm.R-_xlpm.mu)/SQRT(_xlpm.v)))))</f>
        <v>1.0357877300839162</v>
      </c>
      <c r="CB41" s="37" cm="1">
        <f t="array" ref="CB41">IF(B41="","",IF(A41&lt;8,"",_xlfn.LET(_xlpm.b,--MID(C41,_xlfn.SEQUENCE(A41-1),1),_xlpm.c,--MID(C41,_xlfn.SEQUENCE(A41-1,,2),1),IFERROR(CORREL(_xlpm.b,_xlpm.c),""))))</f>
        <v>-0.1914920706969388</v>
      </c>
      <c r="CC41" s="8">
        <f>IF(B41="","",LOG(A41,2))</f>
        <v>5.3219280948873626</v>
      </c>
      <c r="CD41" s="8">
        <f>IF(B41="","",MAX(AN41,AO41)-CC41)</f>
        <v>-1.3219280948873626</v>
      </c>
      <c r="CE41" s="8" t="str" cm="1">
        <f t="array" ref="CE41">IF(B41="","",IF(LEN(B41)&lt;16,"",_xlfn.LET(_xlpm.d,MID("0123456789abcdef",_xlfn.SEQUENCE(16),1),_xlpm.c,LEN(B41)-LEN(SUBSTITUTE(B41,_xlpm.d,"")),_xlpm.ex,LEN(B41)/16,SUM((_xlpm.c-_xlpm.ex)^2/_xlpm.ex))))</f>
        <v/>
      </c>
      <c r="CF41" s="37" t="str">
        <f>IF(CE41="","",_xlfn.CHISQ.DIST.RT(CE41,15))</f>
        <v/>
      </c>
      <c r="CG41" s="9" cm="1">
        <f t="array" ref="CG41">IF(OR(B41="",B40=""),"",_xlfn.LET(_xlpm.a,C41,_xlpm.b,REPT("0",A41-LEN(C40))&amp;C40,_xlpm.m,MID(_xlpm.a,_xlfn.SEQUENCE(A41),1)=MID(_xlpm.b,_xlfn.SEQUENCE(A41),1),IFERROR(MATCH(FALSE,_xlpm.m,0)-1,A41)))</f>
        <v>0</v>
      </c>
      <c r="CH41" s="9" cm="1">
        <f t="array" ref="CH41">IF(OR(B41="",B40=""),"",_xlfn.LET(_xlpm.a,C41,_xlpm.b,REPT("0",A41-LEN(C40))&amp;C40,_xlpm.n,A41,_xlpm.m,MID(_xlpm.a,_xlfn.SEQUENCE(_xlpm.n,,_xlpm.n,-1),1)=MID(_xlpm.b,_xlfn.SEQUENCE(_xlpm.n,,_xlpm.n,-1),1),IFERROR(MATCH(FALSE,_xlpm.m,0)-1,_xlpm.n)))</f>
        <v>0</v>
      </c>
      <c r="CI41" s="38">
        <f>IF(OR(B41="",B40=""),"",F41-F40)</f>
        <v>0.6479267086906475</v>
      </c>
      <c r="CJ41" s="5" t="b">
        <f>IF(OR(B41="",B40=""),"",IFERROR(FIND(B40,B41)&gt;0,FALSE))</f>
        <v>0</v>
      </c>
      <c r="CK41" s="5" t="b">
        <f>IF(OR(B41="",B40=""),"",IFERROR(FIND(C40,C41)&gt;0,FALSE))</f>
        <v>0</v>
      </c>
      <c r="CL41" s="9" t="str">
        <f>IF(OR(B41="",B40=""),"",IFERROR(FIND(C40,C41),""))</f>
        <v/>
      </c>
      <c r="CM41" s="6" t="str" cm="1">
        <f t="array" ref="CM41">IF(OR(B41="",B40=""),"",_xlfn.LET(_xlpm.pv,D40,_xlpm.ra,BIGSUB(D41,_xlpm.pv),_xlpm.rb,BIGSUB(_xlpm.ra,_xlpm.pv),_xlpm.rc,BIGSUB(_xlpm.rb,_xlpm.pv),IF(LEFT(_xlpm.rb,1)="-",_xlpm.ra,IF(LEFT(_xlpm.rc,1)="-",_xlpm.rb,_xlpm.rc))))</f>
        <v>32476506139</v>
      </c>
      <c r="CN41" s="38">
        <f>IF(B41="","",F41-0.5)</f>
        <v>0.32563128500987659</v>
      </c>
      <c r="CO41" s="15" t="str" cm="1">
        <f t="array" ref="CO41">IF(B41="","",_xlfn.TEXTJOIN("",,MID(B41,_xlfn.SEQUENCE(LEN(B41),,LEN(B41),-1),1)))</f>
        <v>6d3394ea9e</v>
      </c>
      <c r="CP41" s="6" t="str" cm="1">
        <f t="array" ref="CP41">IF(B41="","",BASE2DEC(CO41,16))</f>
        <v>469016832670</v>
      </c>
      <c r="CQ41" s="5" t="str">
        <f>IF(B41="","",IF(AND(LEN(B41)&lt;16,LEN(B41)=LEN(SUBSTITUTE(SUBSTITUTE(SUBSTITUTE(SUBSTITUTE(SUBSTITUTE(SUBSTITUTE(B41,"a",""),"b",""),"c",""),"d",""),"e",""),"f",""))),--B41,""))</f>
        <v/>
      </c>
      <c r="CR41" s="6" t="str" cm="1">
        <f t="array" ref="CR41">IF(B41="","",IF(LEN(D41)&lt;=15,BASE2DEC(D41,16),""))</f>
        <v>281708268169552</v>
      </c>
      <c r="CS41" s="15" t="str" cm="1">
        <f t="array" ref="CS41">IF(B41="","",_xlfn.LET(_xlpm.p,REPT("0",MOD(-LEN(B41),4))&amp;B41,_xlfn.TEXTJOIN(" ",,MID(_xlpm.p,_xlfn.SEQUENCE(LEN(_xlpm.p)/4,,1,4),4))))</f>
        <v>00e9 ae49 33d6</v>
      </c>
      <c r="CT41" s="15" t="str" cm="1">
        <f t="array" ref="CT41">IF(B41="","",UPPER(_xlfn.LET(_xlpm.p,REPT("0",64-LEN(B41))&amp;B41,_xlfn.TEXTJOIN(" ",,MID(_xlpm.p,_xlfn.SEQUENCE(8,,1,8),8)))))</f>
        <v>00000000 00000000 00000000 00000000 00000000 00000000 000000E9 AE4933D6</v>
      </c>
      <c r="CU41" s="6" t="str" cm="1">
        <f t="array" ref="CU41">IF(B41="","",IF(LEN(D41)&lt;=6,_xlfn.LET(_xlpm.n,VALUE(D41)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1" s="39" t="s">
        <v>4444</v>
      </c>
      <c r="CW41" s="39" t="s">
        <v>1895</v>
      </c>
      <c r="CX41" s="39" t="s">
        <v>987</v>
      </c>
      <c r="CY41" s="7" t="s">
        <v>4644</v>
      </c>
      <c r="CZ41" s="39" t="s">
        <v>4444</v>
      </c>
      <c r="DA41" s="39" t="s">
        <v>4444</v>
      </c>
      <c r="DB41" s="39">
        <v>40</v>
      </c>
      <c r="DC41" s="7" t="s">
        <v>4645</v>
      </c>
      <c r="DD41" s="7" t="s">
        <v>4646</v>
      </c>
      <c r="DE41" s="7" t="s">
        <v>4647</v>
      </c>
      <c r="DF41" s="7" t="s">
        <v>4648</v>
      </c>
      <c r="DG41" s="7" t="s">
        <v>4649</v>
      </c>
      <c r="DH41" s="39" t="s">
        <v>4452</v>
      </c>
      <c r="DI41" s="7" t="s">
        <v>5313</v>
      </c>
      <c r="DJ41" s="7" t="s">
        <v>5314</v>
      </c>
      <c r="DK41" s="7" t="s">
        <v>5315</v>
      </c>
      <c r="DL41" s="7" t="s">
        <v>5316</v>
      </c>
      <c r="DM41" s="7" t="s">
        <v>5317</v>
      </c>
      <c r="DN41" s="7" t="s">
        <v>5318</v>
      </c>
      <c r="DO41" s="7" t="s">
        <v>5319</v>
      </c>
      <c r="DP41" s="7" t="s">
        <v>5320</v>
      </c>
      <c r="DQ41" s="7" t="s">
        <v>5321</v>
      </c>
      <c r="DR41" s="7" t="s">
        <v>5322</v>
      </c>
      <c r="DS41" s="7" t="s">
        <v>5794</v>
      </c>
      <c r="DT41" s="15" t="str" cm="1">
        <f t="array" ref="DT41">IF(B41="","",_xlfn.TEXTJOIN("",,HEX2BIN(MID(BQ41,_xlfn.SEQUENCE(40),1),4)))</f>
        <v>1001100110100111011110010011100010110100010010001111011101010001100110100001011011111100010011111000101001101110011001000110100010110111111000101011010011111111</v>
      </c>
    </row>
    <row r="42" spans="1:124" x14ac:dyDescent="0.25">
      <c r="A42" s="9">
        <v>41</v>
      </c>
      <c r="B42" s="15" t="s">
        <v>3157</v>
      </c>
      <c r="C42" s="15" t="s">
        <v>3158</v>
      </c>
      <c r="D42" s="6" t="s">
        <v>3159</v>
      </c>
      <c r="E42" s="6" t="s">
        <v>3160</v>
      </c>
      <c r="F42" s="10">
        <v>0.32627265442988573</v>
      </c>
      <c r="G42" s="9">
        <v>21</v>
      </c>
      <c r="H42" s="9">
        <v>0</v>
      </c>
      <c r="I42" s="15" t="s">
        <v>3161</v>
      </c>
      <c r="J42" s="9">
        <v>25</v>
      </c>
      <c r="K42" s="15" t="s">
        <v>3162</v>
      </c>
      <c r="L42" s="15" t="s">
        <v>3163</v>
      </c>
      <c r="M42" s="15" t="s">
        <v>3164</v>
      </c>
      <c r="N42" s="15" t="s">
        <v>3165</v>
      </c>
      <c r="O42" s="6" t="s">
        <v>3166</v>
      </c>
      <c r="P42" s="15" t="s">
        <v>3167</v>
      </c>
      <c r="Q42" s="15" t="s">
        <v>3168</v>
      </c>
      <c r="R42" s="6" t="s">
        <v>3169</v>
      </c>
      <c r="S42" s="15" t="s">
        <v>3170</v>
      </c>
      <c r="T42" s="11">
        <v>1.452946896035155</v>
      </c>
      <c r="U42" s="10">
        <v>0.51219512195121952</v>
      </c>
      <c r="V42" s="7" t="s">
        <v>798</v>
      </c>
      <c r="W42" s="7" t="s">
        <v>799</v>
      </c>
      <c r="X42" s="7" t="s">
        <v>800</v>
      </c>
      <c r="Y42" s="15" t="s">
        <v>3171</v>
      </c>
      <c r="Z42" s="9">
        <v>23</v>
      </c>
      <c r="AA42" s="9">
        <v>23</v>
      </c>
      <c r="AB42" s="9">
        <v>90</v>
      </c>
      <c r="AC42" s="13">
        <v>0.78086880944303039</v>
      </c>
      <c r="AD42" s="13">
        <v>0.78086880944303039</v>
      </c>
      <c r="AE42" s="9">
        <v>13</v>
      </c>
      <c r="AF42" s="9">
        <v>46</v>
      </c>
      <c r="AG42" s="9">
        <v>1</v>
      </c>
      <c r="AH42" s="6" t="s">
        <v>3172</v>
      </c>
      <c r="AI42" s="10">
        <v>40.407377394423371</v>
      </c>
      <c r="AJ42" s="10">
        <v>38.384149982424134</v>
      </c>
      <c r="AK42" s="15" t="s">
        <v>3173</v>
      </c>
      <c r="AL42" s="15" t="s">
        <v>3174</v>
      </c>
      <c r="AM42" s="15" t="s">
        <v>3175</v>
      </c>
      <c r="AN42" s="9">
        <v>4</v>
      </c>
      <c r="AO42" s="9">
        <v>3</v>
      </c>
      <c r="AP42" s="9">
        <v>25</v>
      </c>
      <c r="AQ42" s="15" t="s">
        <v>3176</v>
      </c>
      <c r="AR42" s="9">
        <v>9</v>
      </c>
      <c r="AS42" s="6" t="s">
        <v>2104</v>
      </c>
      <c r="AT42" s="15" t="s">
        <v>3177</v>
      </c>
      <c r="AU42" s="9">
        <v>1</v>
      </c>
      <c r="AV42" s="9">
        <v>2</v>
      </c>
      <c r="AW42" s="9">
        <v>3</v>
      </c>
      <c r="AX42" s="9">
        <v>1</v>
      </c>
      <c r="AY42" s="9">
        <v>91</v>
      </c>
      <c r="AZ42" s="9">
        <v>52315</v>
      </c>
      <c r="BA42" s="6" t="s">
        <v>3178</v>
      </c>
      <c r="BB42" s="6" t="s">
        <v>3179</v>
      </c>
      <c r="BC42" s="6" t="s">
        <v>3180</v>
      </c>
      <c r="BD42" s="15" t="s">
        <v>3181</v>
      </c>
      <c r="BE42" s="15" t="s">
        <v>3182</v>
      </c>
      <c r="BF42" s="15" t="s">
        <v>3183</v>
      </c>
      <c r="BG42" s="15" t="s">
        <v>3184</v>
      </c>
      <c r="BH42" s="6" t="s">
        <v>3185</v>
      </c>
      <c r="BI42" s="17" t="s">
        <v>888</v>
      </c>
      <c r="BJ42" s="7" t="s">
        <v>1416</v>
      </c>
      <c r="BK42" s="7" t="s">
        <v>1417</v>
      </c>
      <c r="BL42" s="7" t="s">
        <v>1418</v>
      </c>
      <c r="BM42" s="16" t="s">
        <v>1419</v>
      </c>
      <c r="BN42" s="16" t="s">
        <v>1420</v>
      </c>
      <c r="BO42" s="16" t="s">
        <v>1421</v>
      </c>
      <c r="BP42" s="16" t="s">
        <v>1422</v>
      </c>
      <c r="BQ42" s="16" t="s">
        <v>1423</v>
      </c>
      <c r="BR42" s="7" t="s">
        <v>1424</v>
      </c>
      <c r="BS42" s="7" t="s">
        <v>1425</v>
      </c>
      <c r="BT42" s="7" t="s">
        <v>1426</v>
      </c>
      <c r="BU42" s="14">
        <v>1.2593711839487676E-65</v>
      </c>
      <c r="BV42" s="15" t="s">
        <v>3186</v>
      </c>
      <c r="BW42" s="9">
        <v>17</v>
      </c>
      <c r="BX42" s="9">
        <v>18</v>
      </c>
      <c r="BY42" s="13">
        <v>-1.0932163332202425</v>
      </c>
      <c r="BZ42" s="13">
        <v>-0.78086880944303039</v>
      </c>
      <c r="CA42" s="12">
        <f>IF(B42="","",IF(A42&lt;8,"",_xlfn.LET(_xlpm.n,A42,_xlpm.k,G42,_xlpm.R,AP42,_xlpm.mu,1+2*_xlpm.k*(_xlpm.n-_xlpm.k)/_xlpm.n,_xlpm.v,2*_xlpm.k*(_xlpm.n-_xlpm.k)*(2*_xlpm.k*(_xlpm.n-_xlpm.k)-_xlpm.n)/(_xlpm.n^2*(_xlpm.n-1)),IF(_xlpm.v&lt;=0,"",(_xlpm.R-_xlpm.mu)/SQRT(_xlpm.v)))))</f>
        <v>1.1116791364479821</v>
      </c>
      <c r="CB42" s="37" cm="1">
        <f t="array" ref="CB42">IF(B42="","",IF(A42&lt;8,"",_xlfn.LET(_xlpm.b,--MID(C42,_xlfn.SEQUENCE(A42-1),1),_xlpm.c,--MID(C42,_xlfn.SEQUENCE(A42-1,,2),1),IFERROR(CORREL(_xlpm.b,_xlpm.c),""))))</f>
        <v>-0.2</v>
      </c>
      <c r="CC42" s="8">
        <f>IF(B42="","",LOG(A42,2))</f>
        <v>5.3575520046180838</v>
      </c>
      <c r="CD42" s="8">
        <f>IF(B42="","",MAX(AN42,AO42)-CC42)</f>
        <v>-1.3575520046180838</v>
      </c>
      <c r="CE42" s="8" t="str" cm="1">
        <f t="array" ref="CE42">IF(B42="","",IF(LEN(B42)&lt;16,"",_xlfn.LET(_xlpm.d,MID("0123456789abcdef",_xlfn.SEQUENCE(16),1),_xlpm.c,LEN(B42)-LEN(SUBSTITUTE(B42,_xlpm.d,"")),_xlpm.ex,LEN(B42)/16,SUM((_xlpm.c-_xlpm.ex)^2/_xlpm.ex))))</f>
        <v/>
      </c>
      <c r="CF42" s="37" t="str">
        <f>IF(CE42="","",_xlfn.CHISQ.DIST.RT(CE42,15))</f>
        <v/>
      </c>
      <c r="CG42" s="9" cm="1">
        <f t="array" ref="CG42">IF(OR(B42="",B41=""),"",_xlfn.LET(_xlpm.a,C42,_xlpm.b,REPT("0",A42-LEN(C41))&amp;C41,_xlpm.m,MID(_xlpm.a,_xlfn.SEQUENCE(A42),1)=MID(_xlpm.b,_xlfn.SEQUENCE(A42),1),IFERROR(MATCH(FALSE,_xlpm.m,0)-1,A42)))</f>
        <v>0</v>
      </c>
      <c r="CH42" s="9" cm="1">
        <f t="array" ref="CH42">IF(OR(B42="",B41=""),"",_xlfn.LET(_xlpm.a,C42,_xlpm.b,REPT("0",A42-LEN(C41))&amp;C41,_xlpm.n,A42,_xlpm.m,MID(_xlpm.a,_xlfn.SEQUENCE(_xlpm.n,,_xlpm.n,-1),1)=MID(_xlpm.b,_xlfn.SEQUENCE(_xlpm.n,,_xlpm.n,-1),1),IFERROR(MATCH(FALSE,_xlpm.m,0)-1,_xlpm.n)))</f>
        <v>0</v>
      </c>
      <c r="CI42" s="38">
        <f>IF(OR(B42="",B41=""),"",F42-F41)</f>
        <v>-0.49935863057999086</v>
      </c>
      <c r="CJ42" s="5" t="b">
        <f>IF(OR(B42="",B41=""),"",IFERROR(FIND(B41,B42)&gt;0,FALSE))</f>
        <v>0</v>
      </c>
      <c r="CK42" s="5" t="b">
        <f>IF(OR(B42="",B41=""),"",IFERROR(FIND(C41,C42)&gt;0,FALSE))</f>
        <v>0</v>
      </c>
      <c r="CL42" s="9" t="str">
        <f>IF(OR(B42="",B41=""),"",IFERROR(FIND(C41,C42),""))</f>
        <v/>
      </c>
      <c r="CM42" s="6" t="str" cm="1">
        <f t="array" ref="CM42">IF(OR(B42="",B41=""),"",_xlfn.LET(_xlpm.pv,D41,_xlpm.ra,BIGSUB(D42,_xlpm.pv),_xlpm.rb,BIGSUB(_xlpm.ra,_xlpm.pv),_xlpm.rc,BIGSUB(_xlpm.rb,_xlpm.pv),IF(LEFT(_xlpm.rb,1)="-",_xlpm.ra,IF(LEFT(_xlpm.rc,1)="-",_xlpm.rb,_xlpm.rc))))</f>
        <v>454600792197</v>
      </c>
      <c r="CN42" s="38">
        <f>IF(B42="","",F42-0.5)</f>
        <v>-0.17372734557011427</v>
      </c>
      <c r="CO42" s="15" t="str" cm="1">
        <f t="array" ref="CO42">IF(B42="","",_xlfn.TEXTJOIN("",,MID(B42,_xlfn.SEQUENCE(LEN(B42),,LEN(B42),-1),1)))</f>
        <v>b5cca968351</v>
      </c>
      <c r="CP42" s="6" t="str" cm="1">
        <f t="array" ref="CP42">IF(B42="","",BASE2DEC(CO42,16))</f>
        <v>12493163758417</v>
      </c>
      <c r="CQ42" s="5" t="str">
        <f>IF(B42="","",IF(AND(LEN(B42)&lt;16,LEN(B42)=LEN(SUBSTITUTE(SUBSTITUTE(SUBSTITUTE(SUBSTITUTE(SUBSTITUTE(SUBSTITUTE(B42,"a",""),"b",""),"c",""),"d",""),"e",""),"f",""))),--B42,""))</f>
        <v/>
      </c>
      <c r="CR42" s="6" t="str" cm="1">
        <f t="array" ref="CR42">IF(B42="","",IF(LEN(D42)&lt;=15,BASE2DEC(D42,16),""))</f>
        <v>357901002625351</v>
      </c>
      <c r="CS42" s="15" t="str" cm="1">
        <f t="array" ref="CS42">IF(B42="","",_xlfn.LET(_xlpm.p,REPT("0",MOD(-LEN(B42),4))&amp;B42,_xlfn.TEXTJOIN(" ",,MID(_xlpm.p,_xlfn.SEQUENCE(LEN(_xlpm.p)/4,,1,4),4))))</f>
        <v>0153 869a cc5b</v>
      </c>
      <c r="CT42" s="15" t="str" cm="1">
        <f t="array" ref="CT42">IF(B42="","",UPPER(_xlfn.LET(_xlpm.p,REPT("0",64-LEN(B42))&amp;B42,_xlfn.TEXTJOIN(" ",,MID(_xlpm.p,_xlfn.SEQUENCE(8,,1,8),8)))))</f>
        <v>00000000 00000000 00000000 00000000 00000000 00000000 00000153 869ACC5B</v>
      </c>
      <c r="CU42" s="6" t="str" cm="1">
        <f t="array" ref="CU42">IF(B42="","",IF(LEN(D42)&lt;=6,_xlfn.LET(_xlpm.n,VALUE(D42)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2" s="39" t="s">
        <v>4444</v>
      </c>
      <c r="CW42" s="39" t="s">
        <v>4650</v>
      </c>
      <c r="CX42" s="39" t="s">
        <v>1895</v>
      </c>
      <c r="CY42" s="7" t="s">
        <v>4651</v>
      </c>
      <c r="CZ42" s="39" t="s">
        <v>4444</v>
      </c>
      <c r="DA42" s="39" t="s">
        <v>4444</v>
      </c>
      <c r="DB42" s="39">
        <v>40</v>
      </c>
      <c r="DC42" s="7" t="s">
        <v>4652</v>
      </c>
      <c r="DD42" s="7" t="s">
        <v>4653</v>
      </c>
      <c r="DE42" s="7" t="s">
        <v>4654</v>
      </c>
      <c r="DF42" s="7" t="s">
        <v>4655</v>
      </c>
      <c r="DG42" s="7" t="s">
        <v>4656</v>
      </c>
      <c r="DH42" s="39" t="s">
        <v>4448</v>
      </c>
      <c r="DI42" s="7" t="s">
        <v>5323</v>
      </c>
      <c r="DJ42" s="7" t="s">
        <v>5324</v>
      </c>
      <c r="DK42" s="7" t="s">
        <v>5325</v>
      </c>
      <c r="DL42" s="7" t="s">
        <v>5326</v>
      </c>
      <c r="DM42" s="7" t="s">
        <v>5327</v>
      </c>
      <c r="DN42" s="7" t="s">
        <v>5328</v>
      </c>
      <c r="DO42" s="7" t="s">
        <v>5329</v>
      </c>
      <c r="DP42" s="7" t="s">
        <v>5330</v>
      </c>
      <c r="DQ42" s="7" t="s">
        <v>5331</v>
      </c>
      <c r="DR42" s="7" t="s">
        <v>5332</v>
      </c>
      <c r="DS42" s="7" t="s">
        <v>5795</v>
      </c>
      <c r="DT42" s="15" t="str" cm="1">
        <f t="array" ref="DT42">IF(B42="","",_xlfn.TEXTJOIN("",,HEX2BIN(MID(BQ42,_xlfn.SEQUENCE(40),1),4)))</f>
        <v>0000111101111101110111111001001011100001001011001110000000100010100100110010101011111110000101000100011011110101000111010011000011101110001111101101000111000101</v>
      </c>
    </row>
    <row r="43" spans="1:124" x14ac:dyDescent="0.25">
      <c r="A43" s="9">
        <v>42</v>
      </c>
      <c r="B43" s="15" t="s">
        <v>3187</v>
      </c>
      <c r="C43" s="15" t="s">
        <v>3188</v>
      </c>
      <c r="D43" s="6" t="s">
        <v>3189</v>
      </c>
      <c r="E43" s="6" t="s">
        <v>3190</v>
      </c>
      <c r="F43" s="10">
        <v>0.31666390755663087</v>
      </c>
      <c r="G43" s="9">
        <v>19</v>
      </c>
      <c r="H43" s="9">
        <v>0</v>
      </c>
      <c r="I43" s="15" t="s">
        <v>3191</v>
      </c>
      <c r="J43" s="9">
        <v>24</v>
      </c>
      <c r="K43" s="15" t="s">
        <v>3192</v>
      </c>
      <c r="L43" s="15" t="s">
        <v>3193</v>
      </c>
      <c r="M43" s="15" t="s">
        <v>3194</v>
      </c>
      <c r="N43" s="15" t="s">
        <v>3195</v>
      </c>
      <c r="O43" s="6" t="s">
        <v>3196</v>
      </c>
      <c r="P43" s="15" t="s">
        <v>3197</v>
      </c>
      <c r="Q43" s="15" t="s">
        <v>3198</v>
      </c>
      <c r="R43" s="6" t="s">
        <v>3199</v>
      </c>
      <c r="S43" s="15" t="s">
        <v>3200</v>
      </c>
      <c r="T43" s="11">
        <v>1.9855101485487758</v>
      </c>
      <c r="U43" s="10">
        <v>0.45238095238095238</v>
      </c>
      <c r="V43" s="7" t="s">
        <v>801</v>
      </c>
      <c r="W43" s="7" t="s">
        <v>802</v>
      </c>
      <c r="X43" s="7" t="s">
        <v>803</v>
      </c>
      <c r="Y43" s="15" t="s">
        <v>3201</v>
      </c>
      <c r="Z43" s="9">
        <v>19</v>
      </c>
      <c r="AA43" s="9">
        <v>22</v>
      </c>
      <c r="AB43" s="9">
        <v>81</v>
      </c>
      <c r="AC43" s="13">
        <v>-0.61721339984836765</v>
      </c>
      <c r="AD43" s="13">
        <v>0.30860669992418382</v>
      </c>
      <c r="AE43" s="9">
        <v>13</v>
      </c>
      <c r="AF43" s="9">
        <v>63</v>
      </c>
      <c r="AG43" s="9">
        <v>9</v>
      </c>
      <c r="AH43" s="6" t="s">
        <v>3202</v>
      </c>
      <c r="AI43" s="10">
        <v>41.39688712935957</v>
      </c>
      <c r="AJ43" s="10">
        <v>39.341024347608624</v>
      </c>
      <c r="AK43" s="15" t="s">
        <v>3203</v>
      </c>
      <c r="AL43" s="15" t="s">
        <v>3204</v>
      </c>
      <c r="AM43" s="15" t="s">
        <v>3205</v>
      </c>
      <c r="AN43" s="9">
        <v>4</v>
      </c>
      <c r="AO43" s="9">
        <v>4</v>
      </c>
      <c r="AP43" s="9">
        <v>21</v>
      </c>
      <c r="AQ43" s="15" t="s">
        <v>3206</v>
      </c>
      <c r="AR43" s="9">
        <v>8</v>
      </c>
      <c r="AS43" s="6" t="s">
        <v>1895</v>
      </c>
      <c r="AT43" s="15" t="s">
        <v>3207</v>
      </c>
      <c r="AU43" s="9">
        <v>0</v>
      </c>
      <c r="AV43" s="9">
        <v>3</v>
      </c>
      <c r="AW43" s="9">
        <v>1</v>
      </c>
      <c r="AX43" s="9">
        <v>8</v>
      </c>
      <c r="AY43" s="9">
        <v>143</v>
      </c>
      <c r="AZ43" s="9">
        <v>36239</v>
      </c>
      <c r="BA43" s="6" t="s">
        <v>3208</v>
      </c>
      <c r="BB43" s="6" t="s">
        <v>3209</v>
      </c>
      <c r="BC43" s="6" t="s">
        <v>3210</v>
      </c>
      <c r="BD43" s="15" t="s">
        <v>3211</v>
      </c>
      <c r="BE43" s="15" t="s">
        <v>3212</v>
      </c>
      <c r="BF43" s="15" t="s">
        <v>3213</v>
      </c>
      <c r="BG43" s="15" t="s">
        <v>3214</v>
      </c>
      <c r="BH43" s="6" t="s">
        <v>3215</v>
      </c>
      <c r="BI43" s="17" t="s">
        <v>888</v>
      </c>
      <c r="BJ43" s="7" t="s">
        <v>1427</v>
      </c>
      <c r="BK43" s="7" t="s">
        <v>1428</v>
      </c>
      <c r="BL43" s="7" t="s">
        <v>1429</v>
      </c>
      <c r="BM43" s="16" t="s">
        <v>1430</v>
      </c>
      <c r="BN43" s="16" t="s">
        <v>1431</v>
      </c>
      <c r="BO43" s="16" t="s">
        <v>1432</v>
      </c>
      <c r="BP43" s="16" t="s">
        <v>1433</v>
      </c>
      <c r="BQ43" s="16" t="s">
        <v>1434</v>
      </c>
      <c r="BR43" s="7" t="s">
        <v>1435</v>
      </c>
      <c r="BS43" s="7" t="s">
        <v>1436</v>
      </c>
      <c r="BT43" s="7" t="s">
        <v>1437</v>
      </c>
      <c r="BU43" s="14">
        <v>2.5004942665201653E-65</v>
      </c>
      <c r="BV43" s="15" t="s">
        <v>3216</v>
      </c>
      <c r="BW43" s="9">
        <v>18</v>
      </c>
      <c r="BX43" s="9">
        <v>21</v>
      </c>
      <c r="BY43" s="13">
        <v>-0.92582009977255142</v>
      </c>
      <c r="BZ43" s="13">
        <v>0</v>
      </c>
      <c r="CA43" s="12">
        <f>IF(B43="","",IF(A43&lt;8,"",_xlfn.LET(_xlpm.n,A43,_xlpm.k,G43,_xlpm.R,AP43,_xlpm.mu,1+2*_xlpm.k*(_xlpm.n-_xlpm.k)/_xlpm.n,_xlpm.v,2*_xlpm.k*(_xlpm.n-_xlpm.k)*(2*_xlpm.k*(_xlpm.n-_xlpm.k)-_xlpm.n)/(_xlpm.n^2*(_xlpm.n-1)),IF(_xlpm.v&lt;=0,"",(_xlpm.R-_xlpm.mu)/SQRT(_xlpm.v)))))</f>
        <v>-0.25530155847458019</v>
      </c>
      <c r="CB43" s="37" cm="1">
        <f t="array" ref="CB43">IF(B43="","",IF(A43&lt;8,"",_xlfn.LET(_xlpm.b,--MID(C43,_xlfn.SEQUENCE(A43-1),1),_xlpm.c,--MID(C43,_xlfn.SEQUENCE(A43-1,,2),1),IFERROR(CORREL(_xlpm.b,_xlpm.c),""))))</f>
        <v>9.6618357487923082E-3</v>
      </c>
      <c r="CC43" s="8">
        <f>IF(B43="","",LOG(A43,2))</f>
        <v>5.3923174227787607</v>
      </c>
      <c r="CD43" s="8">
        <f>IF(B43="","",MAX(AN43,AO43)-CC43)</f>
        <v>-1.3923174227787607</v>
      </c>
      <c r="CE43" s="8" t="str" cm="1">
        <f t="array" ref="CE43">IF(B43="","",IF(LEN(B43)&lt;16,"",_xlfn.LET(_xlpm.d,MID("0123456789abcdef",_xlfn.SEQUENCE(16),1),_xlpm.c,LEN(B43)-LEN(SUBSTITUTE(B43,_xlpm.d,"")),_xlpm.ex,LEN(B43)/16,SUM((_xlpm.c-_xlpm.ex)^2/_xlpm.ex))))</f>
        <v/>
      </c>
      <c r="CF43" s="37" t="str">
        <f>IF(CE43="","",_xlfn.CHISQ.DIST.RT(CE43,15))</f>
        <v/>
      </c>
      <c r="CG43" s="9" cm="1">
        <f t="array" ref="CG43">IF(OR(B43="",B42=""),"",_xlfn.LET(_xlpm.a,C43,_xlpm.b,REPT("0",A43-LEN(C42))&amp;C42,_xlpm.m,MID(_xlpm.a,_xlfn.SEQUENCE(A43),1)=MID(_xlpm.b,_xlfn.SEQUENCE(A43),1),IFERROR(MATCH(FALSE,_xlpm.m,0)-1,A43)))</f>
        <v>0</v>
      </c>
      <c r="CH43" s="9" cm="1">
        <f t="array" ref="CH43">IF(OR(B43="",B42=""),"",_xlfn.LET(_xlpm.a,C43,_xlpm.b,REPT("0",A43-LEN(C42))&amp;C42,_xlpm.n,A43,_xlpm.m,MID(_xlpm.a,_xlfn.SEQUENCE(_xlpm.n,,_xlpm.n,-1),1)=MID(_xlpm.b,_xlfn.SEQUENCE(_xlpm.n,,_xlpm.n,-1),1),IFERROR(MATCH(FALSE,_xlpm.m,0)-1,_xlpm.n)))</f>
        <v>2</v>
      </c>
      <c r="CI43" s="38">
        <f>IF(OR(B43="",B42=""),"",F43-F42)</f>
        <v>-9.6087468732548587E-3</v>
      </c>
      <c r="CJ43" s="5" t="b">
        <f>IF(OR(B43="",B42=""),"",IFERROR(FIND(B42,B43)&gt;0,FALSE))</f>
        <v>0</v>
      </c>
      <c r="CK43" s="5" t="b">
        <f>IF(OR(B43="",B42=""),"",IFERROR(FIND(C42,C43)&gt;0,FALSE))</f>
        <v>0</v>
      </c>
      <c r="CL43" s="9" t="str">
        <f>IF(OR(B43="",B42=""),"",IFERROR(FIND(C42,C43),""))</f>
        <v/>
      </c>
      <c r="CM43" s="6" t="str" cm="1">
        <f t="array" ref="CM43">IF(OR(B43="",B42=""),"",_xlfn.LET(_xlpm.pv,D42,_xlpm.ra,BIGSUB(D43,_xlpm.pv),_xlpm.rb,BIGSUB(_xlpm.ra,_xlpm.pv),_xlpm.rc,BIGSUB(_xlpm.rb,_xlpm.pv),IF(LEFT(_xlpm.rb,1)="-",_xlpm.ra,IF(LEFT(_xlpm.rc,1)="-",_xlpm.rb,_xlpm.rc))))</f>
        <v>1437122347316</v>
      </c>
      <c r="CN43" s="38">
        <f>IF(B43="","",F43-0.5)</f>
        <v>-0.18333609244336913</v>
      </c>
      <c r="CO43" s="15" t="str" cm="1">
        <f t="array" ref="CO43">IF(B43="","",_xlfn.TEXTJOIN("",,MID(B43,_xlfn.SEQUENCE(LEN(B43),,LEN(B43),-1),1)))</f>
        <v>f8d85c122a2</v>
      </c>
      <c r="CP43" s="6" t="str" cm="1">
        <f t="array" ref="CP43">IF(B43="","",BASE2DEC(CO43,16))</f>
        <v>17100508832418</v>
      </c>
      <c r="CQ43" s="5" t="str">
        <f>IF(B43="","",IF(AND(LEN(B43)&lt;16,LEN(B43)=LEN(SUBSTITUTE(SUBSTITUTE(SUBSTITUTE(SUBSTITUTE(SUBSTITUTE(SUBSTITUTE(B43,"a",""),"b",""),"c",""),"d",""),"e",""),"f",""))),--B43,""))</f>
        <v/>
      </c>
      <c r="CR43" s="6" t="str" cm="1">
        <f t="array" ref="CR43">IF(B43="","",IF(LEN(D43)&lt;=15,BASE2DEC(D43,16),""))</f>
        <v>713941480449123</v>
      </c>
      <c r="CS43" s="15" t="str" cm="1">
        <f t="array" ref="CS43">IF(B43="","",_xlfn.LET(_xlpm.p,REPT("0",MOD(-LEN(B43),4))&amp;B43,_xlfn.TEXTJOIN(" ",,MID(_xlpm.p,_xlfn.SEQUENCE(LEN(_xlpm.p)/4,,1,4),4))))</f>
        <v>02a2 21c5 8d8f</v>
      </c>
      <c r="CT43" s="15" t="str" cm="1">
        <f t="array" ref="CT43">IF(B43="","",UPPER(_xlfn.LET(_xlpm.p,REPT("0",64-LEN(B43))&amp;B43,_xlfn.TEXTJOIN(" ",,MID(_xlpm.p,_xlfn.SEQUENCE(8,,1,8),8)))))</f>
        <v>00000000 00000000 00000000 00000000 00000000 00000000 000002A2 21C58D8F</v>
      </c>
      <c r="CU43" s="6" t="str" cm="1">
        <f t="array" ref="CU43">IF(B43="","",IF(LEN(D43)&lt;=6,_xlfn.LET(_xlpm.n,VALUE(D43)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3" s="39" t="s">
        <v>4444</v>
      </c>
      <c r="CW43" s="39" t="s">
        <v>987</v>
      </c>
      <c r="CX43" s="39" t="s">
        <v>987</v>
      </c>
      <c r="CY43" s="7" t="s">
        <v>4657</v>
      </c>
      <c r="CZ43" s="39" t="s">
        <v>4444</v>
      </c>
      <c r="DA43" s="39" t="s">
        <v>4444</v>
      </c>
      <c r="DB43" s="39">
        <v>41</v>
      </c>
      <c r="DC43" s="7" t="s">
        <v>4658</v>
      </c>
      <c r="DD43" s="7" t="s">
        <v>4659</v>
      </c>
      <c r="DE43" s="7" t="s">
        <v>4660</v>
      </c>
      <c r="DF43" s="7" t="s">
        <v>4661</v>
      </c>
      <c r="DG43" s="7" t="s">
        <v>4662</v>
      </c>
      <c r="DH43" s="39" t="s">
        <v>4448</v>
      </c>
      <c r="DI43" s="7" t="s">
        <v>5333</v>
      </c>
      <c r="DJ43" s="7" t="s">
        <v>5334</v>
      </c>
      <c r="DK43" s="7" t="s">
        <v>5335</v>
      </c>
      <c r="DL43" s="7" t="s">
        <v>5336</v>
      </c>
      <c r="DM43" s="7" t="s">
        <v>5337</v>
      </c>
      <c r="DN43" s="7" t="s">
        <v>5338</v>
      </c>
      <c r="DO43" s="7" t="s">
        <v>5339</v>
      </c>
      <c r="DP43" s="7" t="s">
        <v>5340</v>
      </c>
      <c r="DQ43" s="7" t="s">
        <v>5341</v>
      </c>
      <c r="DR43" s="7" t="s">
        <v>5342</v>
      </c>
      <c r="DS43" s="7" t="s">
        <v>5796</v>
      </c>
      <c r="DT43" s="15" t="str" cm="1">
        <f t="array" ref="DT43">IF(B43="","",_xlfn.TEXTJOIN("",,HEX2BIN(MID(BQ43,_xlfn.SEQUENCE(40),1),4)))</f>
        <v>1010000100011010100000111110001011101111100101011101101100010001010100010000101110001001101000011001001101100001100101110100000110111100011011110011000111110011</v>
      </c>
    </row>
    <row r="44" spans="1:124" x14ac:dyDescent="0.25">
      <c r="A44" s="9">
        <v>43</v>
      </c>
      <c r="B44" s="15" t="s">
        <v>3217</v>
      </c>
      <c r="C44" s="15" t="s">
        <v>3218</v>
      </c>
      <c r="D44" s="6" t="s">
        <v>3219</v>
      </c>
      <c r="E44" s="6" t="s">
        <v>3220</v>
      </c>
      <c r="F44" s="10">
        <v>0.68479597228383682</v>
      </c>
      <c r="G44" s="9">
        <v>24</v>
      </c>
      <c r="H44" s="9">
        <v>0</v>
      </c>
      <c r="I44" s="15" t="s">
        <v>3221</v>
      </c>
      <c r="J44" s="9">
        <v>19</v>
      </c>
      <c r="K44" s="15" t="s">
        <v>3222</v>
      </c>
      <c r="L44" s="15" t="s">
        <v>3223</v>
      </c>
      <c r="M44" s="15" t="s">
        <v>3224</v>
      </c>
      <c r="N44" s="15" t="s">
        <v>3225</v>
      </c>
      <c r="O44" s="6" t="s">
        <v>3226</v>
      </c>
      <c r="P44" s="15" t="s">
        <v>3227</v>
      </c>
      <c r="Q44" s="15" t="s">
        <v>3228</v>
      </c>
      <c r="R44" s="6" t="s">
        <v>3229</v>
      </c>
      <c r="S44" s="15" t="s">
        <v>3230</v>
      </c>
      <c r="T44" s="11">
        <v>2.5591891182167492</v>
      </c>
      <c r="U44" s="10">
        <v>0.55813953488372092</v>
      </c>
      <c r="V44" s="7" t="s">
        <v>804</v>
      </c>
      <c r="W44" s="7" t="s">
        <v>805</v>
      </c>
      <c r="X44" s="7" t="s">
        <v>806</v>
      </c>
      <c r="Y44" s="15" t="s">
        <v>3231</v>
      </c>
      <c r="Z44" s="9">
        <v>21</v>
      </c>
      <c r="AA44" s="9">
        <v>18</v>
      </c>
      <c r="AB44" s="9">
        <v>72</v>
      </c>
      <c r="AC44" s="13">
        <v>-0.15249857033260467</v>
      </c>
      <c r="AD44" s="13">
        <v>-1.0674899923282326</v>
      </c>
      <c r="AE44" s="9">
        <v>13</v>
      </c>
      <c r="AF44" s="9">
        <v>56</v>
      </c>
      <c r="AG44" s="9">
        <v>2</v>
      </c>
      <c r="AH44" s="6" t="s">
        <v>3232</v>
      </c>
      <c r="AI44" s="10">
        <v>42.75257389253688</v>
      </c>
      <c r="AJ44" s="10">
        <v>41.453746121479</v>
      </c>
      <c r="AK44" s="15" t="s">
        <v>3233</v>
      </c>
      <c r="AL44" s="15" t="s">
        <v>3234</v>
      </c>
      <c r="AM44" s="15" t="s">
        <v>3235</v>
      </c>
      <c r="AN44" s="9">
        <v>3</v>
      </c>
      <c r="AO44" s="9">
        <v>5</v>
      </c>
      <c r="AP44" s="9">
        <v>23</v>
      </c>
      <c r="AQ44" s="15" t="s">
        <v>3236</v>
      </c>
      <c r="AR44" s="9">
        <v>10</v>
      </c>
      <c r="AS44" s="6" t="s">
        <v>3237</v>
      </c>
      <c r="AT44" s="15" t="s">
        <v>3238</v>
      </c>
      <c r="AU44" s="9">
        <v>2</v>
      </c>
      <c r="AV44" s="9">
        <v>0</v>
      </c>
      <c r="AW44" s="9">
        <v>4</v>
      </c>
      <c r="AX44" s="9">
        <v>10</v>
      </c>
      <c r="AY44" s="9">
        <v>145</v>
      </c>
      <c r="AZ44" s="9">
        <v>50577</v>
      </c>
      <c r="BA44" s="6" t="s">
        <v>3239</v>
      </c>
      <c r="BB44" s="6" t="s">
        <v>3240</v>
      </c>
      <c r="BC44" s="6" t="s">
        <v>3241</v>
      </c>
      <c r="BD44" s="15" t="s">
        <v>3242</v>
      </c>
      <c r="BE44" s="15" t="s">
        <v>3243</v>
      </c>
      <c r="BF44" s="15" t="s">
        <v>3244</v>
      </c>
      <c r="BG44" s="15" t="s">
        <v>3245</v>
      </c>
      <c r="BH44" s="6" t="s">
        <v>3246</v>
      </c>
      <c r="BI44" s="17" t="s">
        <v>888</v>
      </c>
      <c r="BJ44" s="7" t="s">
        <v>1438</v>
      </c>
      <c r="BK44" s="7" t="s">
        <v>1439</v>
      </c>
      <c r="BL44" s="7" t="s">
        <v>1440</v>
      </c>
      <c r="BM44" s="16" t="s">
        <v>1441</v>
      </c>
      <c r="BN44" s="16" t="s">
        <v>1442</v>
      </c>
      <c r="BO44" s="16" t="s">
        <v>1443</v>
      </c>
      <c r="BP44" s="16" t="s">
        <v>1444</v>
      </c>
      <c r="BQ44" s="16" t="s">
        <v>1445</v>
      </c>
      <c r="BR44" s="7" t="s">
        <v>1446</v>
      </c>
      <c r="BS44" s="7" t="s">
        <v>1447</v>
      </c>
      <c r="BT44" s="7" t="s">
        <v>1448</v>
      </c>
      <c r="BU44" s="14">
        <v>6.3992377170417793E-65</v>
      </c>
      <c r="BV44" s="15" t="s">
        <v>3247</v>
      </c>
      <c r="BW44" s="9">
        <v>24</v>
      </c>
      <c r="BX44" s="9">
        <v>21</v>
      </c>
      <c r="BY44" s="13">
        <v>0.76249285166302339</v>
      </c>
      <c r="BZ44" s="13">
        <v>-0.15249857033260467</v>
      </c>
      <c r="CA44" s="12">
        <f>IF(B44="","",IF(A44&lt;8,"",_xlfn.LET(_xlpm.n,A44,_xlpm.k,G44,_xlpm.R,AP44,_xlpm.mu,1+2*_xlpm.k*(_xlpm.n-_xlpm.k)/_xlpm.n,_xlpm.v,2*_xlpm.k*(_xlpm.n-_xlpm.k)*(2*_xlpm.k*(_xlpm.n-_xlpm.k)-_xlpm.n)/(_xlpm.n^2*(_xlpm.n-1)),IF(_xlpm.v&lt;=0,"",(_xlpm.R-_xlpm.mu)/SQRT(_xlpm.v)))))</f>
        <v>0.24751199737346335</v>
      </c>
      <c r="CB44" s="37" cm="1">
        <f t="array" ref="CB44">IF(B44="","",IF(A44&lt;8,"",_xlfn.LET(_xlpm.b,--MID(C44,_xlfn.SEQUENCE(A44-1),1),_xlpm.c,--MID(C44,_xlfn.SEQUENCE(A44-1,,2),1),IFERROR(CORREL(_xlpm.b,_xlpm.c),""))))</f>
        <v>-5.7208237986270012E-2</v>
      </c>
      <c r="CC44" s="8">
        <f>IF(B44="","",LOG(A44,2))</f>
        <v>5.4262647547020979</v>
      </c>
      <c r="CD44" s="8">
        <f>IF(B44="","",MAX(AN44,AO44)-CC44)</f>
        <v>-0.4262647547020979</v>
      </c>
      <c r="CE44" s="8" t="str" cm="1">
        <f t="array" ref="CE44">IF(B44="","",IF(LEN(B44)&lt;16,"",_xlfn.LET(_xlpm.d,MID("0123456789abcdef",_xlfn.SEQUENCE(16),1),_xlpm.c,LEN(B44)-LEN(SUBSTITUTE(B44,_xlpm.d,"")),_xlpm.ex,LEN(B44)/16,SUM((_xlpm.c-_xlpm.ex)^2/_xlpm.ex))))</f>
        <v/>
      </c>
      <c r="CF44" s="37" t="str">
        <f>IF(CE44="","",_xlfn.CHISQ.DIST.RT(CE44,15))</f>
        <v/>
      </c>
      <c r="CG44" s="9" cm="1">
        <f t="array" ref="CG44">IF(OR(B44="",B43=""),"",_xlfn.LET(_xlpm.a,C44,_xlpm.b,REPT("0",A44-LEN(C43))&amp;C43,_xlpm.m,MID(_xlpm.a,_xlfn.SEQUENCE(A44),1)=MID(_xlpm.b,_xlfn.SEQUENCE(A44),1),IFERROR(MATCH(FALSE,_xlpm.m,0)-1,A44)))</f>
        <v>0</v>
      </c>
      <c r="CH44" s="9" cm="1">
        <f t="array" ref="CH44">IF(OR(B44="",B43=""),"",_xlfn.LET(_xlpm.a,C44,_xlpm.b,REPT("0",A44-LEN(C43))&amp;C43,_xlpm.n,A44,_xlpm.m,MID(_xlpm.a,_xlfn.SEQUENCE(_xlpm.n,,_xlpm.n,-1),1)=MID(_xlpm.b,_xlfn.SEQUENCE(_xlpm.n,,_xlpm.n,-1),1),IFERROR(MATCH(FALSE,_xlpm.m,0)-1,_xlpm.n)))</f>
        <v>1</v>
      </c>
      <c r="CI44" s="38">
        <f>IF(OR(B44="",B43=""),"",F44-F43)</f>
        <v>0.36813206472720594</v>
      </c>
      <c r="CJ44" s="5" t="b">
        <f>IF(OR(B44="",B43=""),"",IFERROR(FIND(B43,B44)&gt;0,FALSE))</f>
        <v>0</v>
      </c>
      <c r="CK44" s="5" t="b">
        <f>IF(OR(B44="",B43=""),"",IFERROR(FIND(C43,C44)&gt;0,FALSE))</f>
        <v>0</v>
      </c>
      <c r="CL44" s="9" t="str">
        <f>IF(OR(B44="",B43=""),"",IFERROR(FIND(C43,C44),""))</f>
        <v/>
      </c>
      <c r="CM44" s="6" t="str" cm="1">
        <f t="array" ref="CM44">IF(OR(B44="",B43=""),"",_xlfn.LET(_xlpm.pv,D43,_xlpm.ra,BIGSUB(D44,_xlpm.pv),_xlpm.rb,BIGSUB(_xlpm.ra,_xlpm.pv),_xlpm.rc,BIGSUB(_xlpm.rb,_xlpm.pv),IF(LEFT(_xlpm.rb,1)="-",_xlpm.ra,IF(LEFT(_xlpm.rc,1)="-",_xlpm.rb,_xlpm.rc))))</f>
        <v>1619061942899</v>
      </c>
      <c r="CN44" s="38">
        <f>IF(B44="","",F44-0.5)</f>
        <v>0.18479597228383682</v>
      </c>
      <c r="CO44" s="15" t="str" cm="1">
        <f t="array" ref="CO44">IF(B44="","",_xlfn.TEXTJOIN("",,MID(B44,_xlfn.SEQUENCE(LEN(B44),,LEN(B44),-1),1)))</f>
        <v>195c72b3db6</v>
      </c>
      <c r="CP44" s="6" t="str" cm="1">
        <f t="array" ref="CP44">IF(B44="","",BASE2DEC(CO44,16))</f>
        <v>1742803254710</v>
      </c>
      <c r="CQ44" s="5" t="str">
        <f>IF(B44="","",IF(AND(LEN(B44)&lt;16,LEN(B44)=LEN(SUBSTITUTE(SUBSTITUTE(SUBSTITUTE(SUBSTITUTE(SUBSTITUTE(SUBSTITUTE(B44,"a",""),"b",""),"c",""),"d",""),"e",""),"f",""))),--B44,""))</f>
        <v/>
      </c>
      <c r="CR44" s="6" t="str" cm="1">
        <f t="array" ref="CR44">IF(B44="","",IF(LEN(D44)&lt;=15,BASE2DEC(D44,16),""))</f>
        <v>2041346701686821</v>
      </c>
      <c r="CS44" s="15" t="str" cm="1">
        <f t="array" ref="CS44">IF(B44="","",_xlfn.LET(_xlpm.p,REPT("0",MOD(-LEN(B44),4))&amp;B44,_xlfn.TEXTJOIN(" ",,MID(_xlpm.p,_xlfn.SEQUENCE(LEN(_xlpm.p)/4,,1,4),4))))</f>
        <v>06bd 3b27 c591</v>
      </c>
      <c r="CT44" s="15" t="str" cm="1">
        <f t="array" ref="CT44">IF(B44="","",UPPER(_xlfn.LET(_xlpm.p,REPT("0",64-LEN(B44))&amp;B44,_xlfn.TEXTJOIN(" ",,MID(_xlpm.p,_xlfn.SEQUENCE(8,,1,8),8)))))</f>
        <v>00000000 00000000 00000000 00000000 00000000 00000000 000006BD 3B27C591</v>
      </c>
      <c r="CU44" s="6" t="str" cm="1">
        <f t="array" ref="CU44">IF(B44="","",IF(LEN(D44)&lt;=6,_xlfn.LET(_xlpm.n,VALUE(D44)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4" s="39" t="s">
        <v>4444</v>
      </c>
      <c r="CW44" s="39" t="s">
        <v>2104</v>
      </c>
      <c r="CX44" s="39" t="s">
        <v>1896</v>
      </c>
      <c r="CY44" s="7" t="s">
        <v>4663</v>
      </c>
      <c r="CZ44" s="39" t="s">
        <v>4444</v>
      </c>
      <c r="DA44" s="39" t="s">
        <v>4444</v>
      </c>
      <c r="DB44" s="39">
        <v>43</v>
      </c>
      <c r="DC44" s="7" t="s">
        <v>4664</v>
      </c>
      <c r="DD44" s="7" t="s">
        <v>4665</v>
      </c>
      <c r="DE44" s="7" t="s">
        <v>4666</v>
      </c>
      <c r="DF44" s="7" t="s">
        <v>4667</v>
      </c>
      <c r="DG44" s="7" t="s">
        <v>4668</v>
      </c>
      <c r="DH44" s="39" t="s">
        <v>4448</v>
      </c>
      <c r="DI44" s="7" t="s">
        <v>5343</v>
      </c>
      <c r="DJ44" s="7" t="s">
        <v>5344</v>
      </c>
      <c r="DK44" s="7" t="s">
        <v>5345</v>
      </c>
      <c r="DL44" s="7" t="s">
        <v>5346</v>
      </c>
      <c r="DM44" s="7" t="s">
        <v>5347</v>
      </c>
      <c r="DN44" s="7" t="s">
        <v>5348</v>
      </c>
      <c r="DO44" s="7" t="s">
        <v>5349</v>
      </c>
      <c r="DP44" s="7" t="s">
        <v>5350</v>
      </c>
      <c r="DQ44" s="7" t="s">
        <v>5351</v>
      </c>
      <c r="DR44" s="7" t="s">
        <v>5352</v>
      </c>
      <c r="DS44" s="7" t="s">
        <v>5797</v>
      </c>
      <c r="DT44" s="15" t="str" cm="1">
        <f t="array" ref="DT44">IF(B44="","",_xlfn.TEXTJOIN("",,HEX2BIN(MID(BQ44,_xlfn.SEQUENCE(40),1),4)))</f>
        <v>1001001111111101011100001100000011100001101101101100111100100011100011101110101001010010010100110011100110010111101111001110110100110100101100010011101010011000</v>
      </c>
    </row>
    <row r="45" spans="1:124" x14ac:dyDescent="0.25">
      <c r="A45" s="9">
        <v>44</v>
      </c>
      <c r="B45" s="15" t="s">
        <v>3248</v>
      </c>
      <c r="C45" s="15" t="s">
        <v>3249</v>
      </c>
      <c r="D45" s="6" t="s">
        <v>3250</v>
      </c>
      <c r="E45" s="6" t="s">
        <v>3251</v>
      </c>
      <c r="F45" s="10">
        <v>0.75131865001628739</v>
      </c>
      <c r="G45" s="9">
        <v>22</v>
      </c>
      <c r="H45" s="9">
        <v>0</v>
      </c>
      <c r="I45" s="15" t="s">
        <v>3252</v>
      </c>
      <c r="J45" s="9">
        <v>24</v>
      </c>
      <c r="K45" s="15" t="s">
        <v>3253</v>
      </c>
      <c r="L45" s="15" t="s">
        <v>3254</v>
      </c>
      <c r="M45" s="15" t="s">
        <v>3255</v>
      </c>
      <c r="N45" s="15" t="s">
        <v>3256</v>
      </c>
      <c r="O45" s="6" t="s">
        <v>3257</v>
      </c>
      <c r="P45" s="15" t="s">
        <v>3258</v>
      </c>
      <c r="Q45" s="15" t="s">
        <v>3259</v>
      </c>
      <c r="R45" s="6" t="s">
        <v>3260</v>
      </c>
      <c r="S45" s="15" t="s">
        <v>3261</v>
      </c>
      <c r="T45" s="11">
        <v>2.0789682297759478</v>
      </c>
      <c r="U45" s="10">
        <v>0.5</v>
      </c>
      <c r="V45" s="7" t="s">
        <v>807</v>
      </c>
      <c r="W45" s="7" t="s">
        <v>808</v>
      </c>
      <c r="X45" s="7" t="s">
        <v>809</v>
      </c>
      <c r="Y45" s="15" t="s">
        <v>3262</v>
      </c>
      <c r="Z45" s="9">
        <v>22</v>
      </c>
      <c r="AA45" s="9">
        <v>20</v>
      </c>
      <c r="AB45" s="9">
        <v>80</v>
      </c>
      <c r="AC45" s="13">
        <v>0</v>
      </c>
      <c r="AD45" s="13">
        <v>-0.60302268915552726</v>
      </c>
      <c r="AE45" s="9">
        <v>14</v>
      </c>
      <c r="AF45" s="9">
        <v>55</v>
      </c>
      <c r="AG45" s="9">
        <v>1</v>
      </c>
      <c r="AH45" s="6" t="s">
        <v>3263</v>
      </c>
      <c r="AI45" s="10">
        <v>43.80844160403047</v>
      </c>
      <c r="AJ45" s="10">
        <v>42.587496819905638</v>
      </c>
      <c r="AK45" s="15" t="s">
        <v>3264</v>
      </c>
      <c r="AL45" s="15" t="s">
        <v>3265</v>
      </c>
      <c r="AM45" s="15" t="s">
        <v>3266</v>
      </c>
      <c r="AN45" s="9">
        <v>7</v>
      </c>
      <c r="AO45" s="9">
        <v>4</v>
      </c>
      <c r="AP45" s="9">
        <v>23</v>
      </c>
      <c r="AQ45" s="15" t="s">
        <v>3267</v>
      </c>
      <c r="AR45" s="9">
        <v>9</v>
      </c>
      <c r="AS45" s="6" t="s">
        <v>987</v>
      </c>
      <c r="AT45" s="15" t="s">
        <v>3268</v>
      </c>
      <c r="AU45" s="9">
        <v>1</v>
      </c>
      <c r="AV45" s="9">
        <v>1</v>
      </c>
      <c r="AW45" s="9">
        <v>1</v>
      </c>
      <c r="AX45" s="9">
        <v>5</v>
      </c>
      <c r="AY45" s="9">
        <v>143</v>
      </c>
      <c r="AZ45" s="9">
        <v>13711</v>
      </c>
      <c r="BA45" s="6" t="s">
        <v>3269</v>
      </c>
      <c r="BB45" s="6" t="s">
        <v>3270</v>
      </c>
      <c r="BC45" s="6" t="s">
        <v>3271</v>
      </c>
      <c r="BD45" s="15" t="s">
        <v>3272</v>
      </c>
      <c r="BE45" s="15" t="s">
        <v>3273</v>
      </c>
      <c r="BF45" s="15" t="s">
        <v>3274</v>
      </c>
      <c r="BG45" s="15" t="s">
        <v>3275</v>
      </c>
      <c r="BH45" s="6" t="s">
        <v>3276</v>
      </c>
      <c r="BI45" s="17" t="s">
        <v>888</v>
      </c>
      <c r="BJ45" s="7" t="s">
        <v>1449</v>
      </c>
      <c r="BK45" s="7" t="s">
        <v>1450</v>
      </c>
      <c r="BL45" s="7" t="s">
        <v>1451</v>
      </c>
      <c r="BM45" s="16" t="s">
        <v>1452</v>
      </c>
      <c r="BN45" s="16" t="s">
        <v>1453</v>
      </c>
      <c r="BO45" s="16" t="s">
        <v>1454</v>
      </c>
      <c r="BP45" s="16" t="s">
        <v>1455</v>
      </c>
      <c r="BQ45" s="16" t="s">
        <v>1456</v>
      </c>
      <c r="BR45" s="7" t="s">
        <v>1457</v>
      </c>
      <c r="BS45" s="7" t="s">
        <v>1458</v>
      </c>
      <c r="BT45" s="7" t="s">
        <v>1459</v>
      </c>
      <c r="BU45" s="14">
        <v>1.3303811908513824E-64</v>
      </c>
      <c r="BV45" s="15" t="s">
        <v>3277</v>
      </c>
      <c r="BW45" s="9">
        <v>25</v>
      </c>
      <c r="BX45" s="9">
        <v>28</v>
      </c>
      <c r="BY45" s="13">
        <v>0.90453403373329089</v>
      </c>
      <c r="BZ45" s="13">
        <v>1.8090680674665818</v>
      </c>
      <c r="CA45" s="12">
        <f>IF(B45="","",IF(A45&lt;8,"",_xlfn.LET(_xlpm.n,A45,_xlpm.k,G45,_xlpm.R,AP45,_xlpm.mu,1+2*_xlpm.k*(_xlpm.n-_xlpm.k)/_xlpm.n,_xlpm.v,2*_xlpm.k*(_xlpm.n-_xlpm.k)*(2*_xlpm.k*(_xlpm.n-_xlpm.k)-_xlpm.n)/(_xlpm.n^2*(_xlpm.n-1)),IF(_xlpm.v&lt;=0,"",(_xlpm.R-_xlpm.mu)/SQRT(_xlpm.v)))))</f>
        <v>0</v>
      </c>
      <c r="CB45" s="37" cm="1">
        <f t="array" ref="CB45">IF(B45="","",IF(A45&lt;8,"",_xlfn.LET(_xlpm.b,--MID(C45,_xlfn.SEQUENCE(A45-1),1),_xlpm.c,--MID(C45,_xlfn.SEQUENCE(A45-1,,2),1),IFERROR(CORREL(_xlpm.b,_xlpm.c),""))))</f>
        <v>-2.3809523809523805E-2</v>
      </c>
      <c r="CC45" s="8">
        <f>IF(B45="","",LOG(A45,2))</f>
        <v>5.4594316186372973</v>
      </c>
      <c r="CD45" s="8">
        <f>IF(B45="","",MAX(AN45,AO45)-CC45)</f>
        <v>1.5405683813627027</v>
      </c>
      <c r="CE45" s="8" t="str" cm="1">
        <f t="array" ref="CE45">IF(B45="","",IF(LEN(B45)&lt;16,"",_xlfn.LET(_xlpm.d,MID("0123456789abcdef",_xlfn.SEQUENCE(16),1),_xlpm.c,LEN(B45)-LEN(SUBSTITUTE(B45,_xlpm.d,"")),_xlpm.ex,LEN(B45)/16,SUM((_xlpm.c-_xlpm.ex)^2/_xlpm.ex))))</f>
        <v/>
      </c>
      <c r="CF45" s="37" t="str">
        <f>IF(CE45="","",_xlfn.CHISQ.DIST.RT(CE45,15))</f>
        <v/>
      </c>
      <c r="CG45" s="9" cm="1">
        <f t="array" ref="CG45">IF(OR(B45="",B44=""),"",_xlfn.LET(_xlpm.a,C45,_xlpm.b,REPT("0",A45-LEN(C44))&amp;C44,_xlpm.m,MID(_xlpm.a,_xlfn.SEQUENCE(A45),1)=MID(_xlpm.b,_xlfn.SEQUENCE(A45),1),IFERROR(MATCH(FALSE,_xlpm.m,0)-1,A45)))</f>
        <v>0</v>
      </c>
      <c r="CH45" s="9" cm="1">
        <f t="array" ref="CH45">IF(OR(B45="",B44=""),"",_xlfn.LET(_xlpm.a,C45,_xlpm.b,REPT("0",A45-LEN(C44))&amp;C44,_xlpm.n,A45,_xlpm.m,MID(_xlpm.a,_xlfn.SEQUENCE(_xlpm.n,,_xlpm.n,-1),1)=MID(_xlpm.b,_xlfn.SEQUENCE(_xlpm.n,,_xlpm.n,-1),1),IFERROR(MATCH(FALSE,_xlpm.m,0)-1,_xlpm.n)))</f>
        <v>1</v>
      </c>
      <c r="CI45" s="38">
        <f>IF(OR(B45="",B44=""),"",F45-F44)</f>
        <v>6.6522677732450575E-2</v>
      </c>
      <c r="CJ45" s="5" t="b">
        <f>IF(OR(B45="",B44=""),"",IFERROR(FIND(B44,B45)&gt;0,FALSE))</f>
        <v>0</v>
      </c>
      <c r="CK45" s="5" t="b">
        <f>IF(OR(B45="",B44=""),"",IFERROR(FIND(C44,C45)&gt;0,FALSE))</f>
        <v>0</v>
      </c>
      <c r="CL45" s="9" t="str">
        <f>IF(OR(B45="",B44=""),"",IFERROR(FIND(C44,C45),""))</f>
        <v/>
      </c>
      <c r="CM45" s="6" t="str" cm="1">
        <f t="array" ref="CM45">IF(OR(B45="",B44=""),"",_xlfn.LET(_xlpm.pv,D44,_xlpm.ra,BIGSUB(D45,_xlpm.pv),_xlpm.rb,BIGSUB(_xlpm.ra,_xlpm.pv),_xlpm.rc,BIGSUB(_xlpm.rb,_xlpm.pv),IF(LEFT(_xlpm.rb,1)="-",_xlpm.ra,IF(LEFT(_xlpm.rc,1)="-",_xlpm.rb,_xlpm.rc))))</f>
        <v>585139661421</v>
      </c>
      <c r="CN45" s="38">
        <f>IF(B45="","",F45-0.5)</f>
        <v>0.25131865001628739</v>
      </c>
      <c r="CO45" s="15" t="str" cm="1">
        <f t="array" ref="CO45">IF(B45="","",_xlfn.TEXTJOIN("",,MID(B45,_xlfn.SEQUENCE(LEN(B45),,LEN(B45),-1),1)))</f>
        <v>f853a53b20e</v>
      </c>
      <c r="CP45" s="6" t="str" cm="1">
        <f t="array" ref="CP45">IF(B45="","",BASE2DEC(CO45,16))</f>
        <v>17064883630606</v>
      </c>
      <c r="CQ45" s="5" t="str">
        <f>IF(B45="","",IF(AND(LEN(B45)&lt;16,LEN(B45)=LEN(SUBSTITUTE(SUBSTITUTE(SUBSTITUTE(SUBSTITUTE(SUBSTITUTE(SUBSTITUTE(B45,"a",""),"b",""),"c",""),"d",""),"e",""),"f",""))),--B45,""))</f>
        <v/>
      </c>
      <c r="CR45" s="6" t="str" cm="1">
        <f t="array" ref="CR45">IF(B45="","",IF(LEN(D45)&lt;=15,BASE2DEC(D45,16),""))</f>
        <v>5981649832865905</v>
      </c>
      <c r="CS45" s="15" t="str" cm="1">
        <f t="array" ref="CS45">IF(B45="","",_xlfn.LET(_xlpm.p,REPT("0",MOD(-LEN(B45),4))&amp;B45,_xlfn.TEXTJOIN(" ",,MID(_xlpm.p,_xlfn.SEQUENCE(LEN(_xlpm.p)/4,,1,4),4))))</f>
        <v>0e02 b35a 358f</v>
      </c>
      <c r="CT45" s="15" t="str" cm="1">
        <f t="array" ref="CT45">IF(B45="","",UPPER(_xlfn.LET(_xlpm.p,REPT("0",64-LEN(B45))&amp;B45,_xlfn.TEXTJOIN(" ",,MID(_xlpm.p,_xlfn.SEQUENCE(8,,1,8),8)))))</f>
        <v>00000000 00000000 00000000 00000000 00000000 00000000 00000E02 B35A358F</v>
      </c>
      <c r="CU45" s="6" t="str" cm="1">
        <f t="array" ref="CU45">IF(B45="","",IF(LEN(D45)&lt;=6,_xlfn.LET(_xlpm.n,VALUE(D45)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5" s="39" t="s">
        <v>4444</v>
      </c>
      <c r="CW45" s="39" t="s">
        <v>4445</v>
      </c>
      <c r="CX45" s="39" t="s">
        <v>888</v>
      </c>
      <c r="CY45" s="7" t="s">
        <v>888</v>
      </c>
      <c r="CZ45" s="39" t="s">
        <v>4444</v>
      </c>
      <c r="DA45" s="39" t="s">
        <v>4444</v>
      </c>
      <c r="DB45" s="39">
        <v>44</v>
      </c>
      <c r="DC45" s="7" t="s">
        <v>4669</v>
      </c>
      <c r="DD45" s="7" t="s">
        <v>4670</v>
      </c>
      <c r="DE45" s="7" t="s">
        <v>4671</v>
      </c>
      <c r="DF45" s="7" t="s">
        <v>4672</v>
      </c>
      <c r="DG45" s="7" t="s">
        <v>4673</v>
      </c>
      <c r="DH45" s="39" t="s">
        <v>4448</v>
      </c>
      <c r="DI45" s="7" t="s">
        <v>5353</v>
      </c>
      <c r="DJ45" s="7" t="s">
        <v>5354</v>
      </c>
      <c r="DK45" s="7" t="s">
        <v>5355</v>
      </c>
      <c r="DL45" s="7" t="s">
        <v>5356</v>
      </c>
      <c r="DM45" s="7" t="s">
        <v>5357</v>
      </c>
      <c r="DN45" s="7" t="s">
        <v>5358</v>
      </c>
      <c r="DO45" s="7" t="s">
        <v>5359</v>
      </c>
      <c r="DP45" s="7" t="s">
        <v>5360</v>
      </c>
      <c r="DQ45" s="7" t="s">
        <v>5361</v>
      </c>
      <c r="DR45" s="7" t="s">
        <v>5362</v>
      </c>
      <c r="DS45" s="7" t="s">
        <v>5798</v>
      </c>
      <c r="DT45" s="15" t="str" cm="1">
        <f t="array" ref="DT45">IF(B45="","",_xlfn.TEXTJOIN("",,HEX2BIN(MID(BQ45,_xlfn.SEQUENCE(40),1),4)))</f>
        <v>0000000101100100100110000010000001111110101011011110000111111001011000110011111001010111110010111110001000111010011001100000100000111001101001001010110101001001</v>
      </c>
    </row>
    <row r="46" spans="1:124" x14ac:dyDescent="0.25">
      <c r="A46" s="9">
        <v>45</v>
      </c>
      <c r="B46" s="15" t="s">
        <v>3278</v>
      </c>
      <c r="C46" s="15" t="s">
        <v>3279</v>
      </c>
      <c r="D46" s="6" t="s">
        <v>3280</v>
      </c>
      <c r="E46" s="6" t="s">
        <v>3281</v>
      </c>
      <c r="F46" s="10">
        <v>0.13666732696611916</v>
      </c>
      <c r="G46" s="9">
        <v>19</v>
      </c>
      <c r="H46" s="9">
        <v>0</v>
      </c>
      <c r="I46" s="15" t="s">
        <v>3282</v>
      </c>
      <c r="J46" s="9">
        <v>21</v>
      </c>
      <c r="K46" s="15" t="s">
        <v>3283</v>
      </c>
      <c r="L46" s="15" t="s">
        <v>3284</v>
      </c>
      <c r="M46" s="15" t="s">
        <v>3285</v>
      </c>
      <c r="N46" s="15" t="s">
        <v>3286</v>
      </c>
      <c r="O46" s="6" t="s">
        <v>3287</v>
      </c>
      <c r="P46" s="15" t="s">
        <v>3288</v>
      </c>
      <c r="Q46" s="15" t="s">
        <v>3289</v>
      </c>
      <c r="R46" s="6" t="s">
        <v>3290</v>
      </c>
      <c r="S46" s="15" t="s">
        <v>3291</v>
      </c>
      <c r="T46" s="11">
        <v>1.2980702591793309</v>
      </c>
      <c r="U46" s="10">
        <v>0.42222222222222222</v>
      </c>
      <c r="V46" s="7" t="s">
        <v>810</v>
      </c>
      <c r="W46" s="7" t="s">
        <v>811</v>
      </c>
      <c r="X46" s="7" t="s">
        <v>812</v>
      </c>
      <c r="Y46" s="15" t="s">
        <v>3292</v>
      </c>
      <c r="Z46" s="9">
        <v>21</v>
      </c>
      <c r="AA46" s="9">
        <v>19</v>
      </c>
      <c r="AB46" s="9">
        <v>81</v>
      </c>
      <c r="AC46" s="13">
        <v>-0.44721359549995793</v>
      </c>
      <c r="AD46" s="13">
        <v>-1.0434983894999017</v>
      </c>
      <c r="AE46" s="9">
        <v>14</v>
      </c>
      <c r="AF46" s="9">
        <v>82</v>
      </c>
      <c r="AG46" s="9">
        <v>1</v>
      </c>
      <c r="AH46" s="6" t="s">
        <v>3293</v>
      </c>
      <c r="AI46" s="10">
        <v>44.18481007660202</v>
      </c>
      <c r="AJ46" s="10">
        <v>41.128740284427899</v>
      </c>
      <c r="AK46" s="15" t="s">
        <v>3294</v>
      </c>
      <c r="AL46" s="15" t="s">
        <v>3295</v>
      </c>
      <c r="AM46" s="15" t="s">
        <v>3296</v>
      </c>
      <c r="AN46" s="9">
        <v>7</v>
      </c>
      <c r="AO46" s="9">
        <v>6</v>
      </c>
      <c r="AP46" s="9">
        <v>21</v>
      </c>
      <c r="AQ46" s="15" t="s">
        <v>3297</v>
      </c>
      <c r="AR46" s="9">
        <v>9</v>
      </c>
      <c r="AS46" s="6" t="s">
        <v>976</v>
      </c>
      <c r="AT46" s="15" t="s">
        <v>3298</v>
      </c>
      <c r="AU46" s="9">
        <v>1</v>
      </c>
      <c r="AV46" s="9">
        <v>2</v>
      </c>
      <c r="AW46" s="9">
        <v>4</v>
      </c>
      <c r="AX46" s="9">
        <v>8</v>
      </c>
      <c r="AY46" s="9">
        <v>5</v>
      </c>
      <c r="AZ46" s="9">
        <v>15365</v>
      </c>
      <c r="BA46" s="6" t="s">
        <v>3299</v>
      </c>
      <c r="BB46" s="6" t="s">
        <v>3300</v>
      </c>
      <c r="BC46" s="6" t="s">
        <v>3301</v>
      </c>
      <c r="BD46" s="15" t="s">
        <v>3302</v>
      </c>
      <c r="BE46" s="15" t="s">
        <v>3303</v>
      </c>
      <c r="BF46" s="15" t="s">
        <v>3304</v>
      </c>
      <c r="BG46" s="15" t="s">
        <v>3305</v>
      </c>
      <c r="BH46" s="6" t="s">
        <v>3306</v>
      </c>
      <c r="BI46" s="17" t="s">
        <v>888</v>
      </c>
      <c r="BJ46" s="7" t="s">
        <v>1460</v>
      </c>
      <c r="BK46" s="7" t="s">
        <v>1461</v>
      </c>
      <c r="BL46" s="7" t="s">
        <v>1462</v>
      </c>
      <c r="BM46" s="16" t="s">
        <v>1463</v>
      </c>
      <c r="BN46" s="16" t="s">
        <v>1464</v>
      </c>
      <c r="BO46" s="16" t="s">
        <v>1465</v>
      </c>
      <c r="BP46" s="16" t="s">
        <v>1466</v>
      </c>
      <c r="BQ46" s="16" t="s">
        <v>1467</v>
      </c>
      <c r="BR46" s="7" t="s">
        <v>1468</v>
      </c>
      <c r="BS46" s="7" t="s">
        <v>1469</v>
      </c>
      <c r="BT46" s="7" t="s">
        <v>1470</v>
      </c>
      <c r="BU46" s="14">
        <v>1.7269282572157612E-64</v>
      </c>
      <c r="BV46" s="15" t="s">
        <v>3307</v>
      </c>
      <c r="BW46" s="9">
        <v>25</v>
      </c>
      <c r="BX46" s="9">
        <v>27</v>
      </c>
      <c r="BY46" s="13">
        <v>0.7453559924999299</v>
      </c>
      <c r="BZ46" s="13">
        <v>1.3416407864998738</v>
      </c>
      <c r="CA46" s="12">
        <f>IF(B46="","",IF(A46&lt;8,"",_xlfn.LET(_xlpm.n,A46,_xlpm.k,G46,_xlpm.R,AP46,_xlpm.mu,1+2*_xlpm.k*(_xlpm.n-_xlpm.k)/_xlpm.n,_xlpm.v,2*_xlpm.k*(_xlpm.n-_xlpm.k)*(2*_xlpm.k*(_xlpm.n-_xlpm.k)-_xlpm.n)/(_xlpm.n^2*(_xlpm.n-1)),IF(_xlpm.v&lt;=0,"",(_xlpm.R-_xlpm.mu)/SQRT(_xlpm.v)))))</f>
        <v>-0.60474834948146594</v>
      </c>
      <c r="CB46" s="37" cm="1">
        <f t="array" ref="CB46">IF(B46="","",IF(A46&lt;8,"",_xlfn.LET(_xlpm.b,--MID(C46,_xlfn.SEQUENCE(A46-1),1),_xlpm.c,--MID(C46,_xlfn.SEQUENCE(A46-1,,2),1),IFERROR(CORREL(_xlpm.b,_xlpm.c),""))))</f>
        <v>5.9829059829059804E-2</v>
      </c>
      <c r="CC46" s="8">
        <f>IF(B46="","",LOG(A46,2))</f>
        <v>5.4918530963296748</v>
      </c>
      <c r="CD46" s="8">
        <f>IF(B46="","",MAX(AN46,AO46)-CC46)</f>
        <v>1.5081469036703252</v>
      </c>
      <c r="CE46" s="8" t="str" cm="1">
        <f t="array" ref="CE46">IF(B46="","",IF(LEN(B46)&lt;16,"",_xlfn.LET(_xlpm.d,MID("0123456789abcdef",_xlfn.SEQUENCE(16),1),_xlpm.c,LEN(B46)-LEN(SUBSTITUTE(B46,_xlpm.d,"")),_xlpm.ex,LEN(B46)/16,SUM((_xlpm.c-_xlpm.ex)^2/_xlpm.ex))))</f>
        <v/>
      </c>
      <c r="CF46" s="37" t="str">
        <f>IF(CE46="","",_xlfn.CHISQ.DIST.RT(CE46,15))</f>
        <v/>
      </c>
      <c r="CG46" s="9" cm="1">
        <f t="array" ref="CG46">IF(OR(B46="",B45=""),"",_xlfn.LET(_xlpm.a,C46,_xlpm.b,REPT("0",A46-LEN(C45))&amp;C45,_xlpm.m,MID(_xlpm.a,_xlfn.SEQUENCE(A46),1)=MID(_xlpm.b,_xlfn.SEQUENCE(A46),1),IFERROR(MATCH(FALSE,_xlpm.m,0)-1,A46)))</f>
        <v>0</v>
      </c>
      <c r="CH46" s="9" cm="1">
        <f t="array" ref="CH46">IF(OR(B46="",B45=""),"",_xlfn.LET(_xlpm.a,C46,_xlpm.b,REPT("0",A46-LEN(C45))&amp;C45,_xlpm.n,A46,_xlpm.m,MID(_xlpm.a,_xlfn.SEQUENCE(_xlpm.n,,_xlpm.n,-1),1)=MID(_xlpm.b,_xlfn.SEQUENCE(_xlpm.n,,_xlpm.n,-1),1),IFERROR(MATCH(FALSE,_xlpm.m,0)-1,_xlpm.n)))</f>
        <v>1</v>
      </c>
      <c r="CI46" s="38">
        <f>IF(OR(B46="",B45=""),"",F46-F45)</f>
        <v>-0.61465132305016823</v>
      </c>
      <c r="CJ46" s="5" t="b">
        <f>IF(OR(B46="",B45=""),"",IFERROR(FIND(B45,B46)&gt;0,FALSE))</f>
        <v>0</v>
      </c>
      <c r="CK46" s="5" t="b">
        <f>IF(OR(B46="",B45=""),"",IFERROR(FIND(C45,C46)&gt;0,FALSE))</f>
        <v>0</v>
      </c>
      <c r="CL46" s="9" t="str">
        <f>IF(OR(B46="",B45=""),"",IFERROR(FIND(C45,C46),""))</f>
        <v/>
      </c>
      <c r="CM46" s="6" t="str" cm="1">
        <f t="array" ref="CM46">IF(OR(B46="",B45=""),"",_xlfn.LET(_xlpm.pv,D45,_xlpm.ra,BIGSUB(D46,_xlpm.pv),_xlpm.rb,BIGSUB(_xlpm.ra,_xlpm.pv),_xlpm.rc,BIGSUB(_xlpm.rb,_xlpm.pv),IF(LEFT(_xlpm.rb,1)="-",_xlpm.ra,IF(LEFT(_xlpm.rc,1)="-",_xlpm.rb,_xlpm.rc))))</f>
        <v>4591701329526</v>
      </c>
      <c r="CN46" s="38">
        <f>IF(B46="","",F46-0.5)</f>
        <v>-0.36333267303388084</v>
      </c>
      <c r="CO46" s="15" t="str" cm="1">
        <f t="array" ref="CO46">IF(B46="","",_xlfn.TEXTJOIN("",,MID(B46,_xlfn.SEQUENCE(LEN(B46),,LEN(B46),-1),1)))</f>
        <v>50c341acf221</v>
      </c>
      <c r="CP46" s="6" t="str" cm="1">
        <f t="array" ref="CP46">IF(B46="","",BASE2DEC(CO46,16))</f>
        <v>88799550698017</v>
      </c>
      <c r="CQ46" s="5" t="str">
        <f>IF(B46="","",IF(AND(LEN(B46)&lt;16,LEN(B46)=LEN(SUBSTITUTE(SUBSTITUTE(SUBSTITUTE(SUBSTITUTE(SUBSTITUTE(SUBSTITUTE(B46,"a",""),"b",""),"c",""),"d",""),"e",""),"f",""))),--B46,""))</f>
        <v/>
      </c>
      <c r="CR46" s="6" t="str" cm="1">
        <f t="array" ref="CR46">IF(B46="","",IF(LEN(D46)&lt;=15,BASE2DEC(D46,16),""))</f>
        <v>7205530855040407</v>
      </c>
      <c r="CS46" s="15" t="str" cm="1">
        <f t="array" ref="CS46">IF(B46="","",_xlfn.LET(_xlpm.p,REPT("0",MOD(-LEN(B46),4))&amp;B46,_xlfn.TEXTJOIN(" ",,MID(_xlpm.p,_xlfn.SEQUENCE(LEN(_xlpm.p)/4,,1,4),4))))</f>
        <v>122f ca14 3c05</v>
      </c>
      <c r="CT46" s="15" t="str" cm="1">
        <f t="array" ref="CT46">IF(B46="","",UPPER(_xlfn.LET(_xlpm.p,REPT("0",64-LEN(B46))&amp;B46,_xlfn.TEXTJOIN(" ",,MID(_xlpm.p,_xlfn.SEQUENCE(8,,1,8),8)))))</f>
        <v>00000000 00000000 00000000 00000000 00000000 00000000 0000122F CA143C05</v>
      </c>
      <c r="CU46" s="6" t="str" cm="1">
        <f t="array" ref="CU46">IF(B46="","",IF(LEN(D46)&lt;=6,_xlfn.LET(_xlpm.n,VALUE(D46)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6" s="39" t="s">
        <v>4444</v>
      </c>
      <c r="CW46" s="39" t="s">
        <v>4674</v>
      </c>
      <c r="CX46" s="39" t="s">
        <v>1896</v>
      </c>
      <c r="CY46" s="7" t="s">
        <v>4675</v>
      </c>
      <c r="CZ46" s="39" t="s">
        <v>4444</v>
      </c>
      <c r="DA46" s="39" t="s">
        <v>4444</v>
      </c>
      <c r="DB46" s="39">
        <v>44</v>
      </c>
      <c r="DC46" s="7" t="s">
        <v>4676</v>
      </c>
      <c r="DD46" s="7" t="s">
        <v>4670</v>
      </c>
      <c r="DE46" s="7" t="s">
        <v>4677</v>
      </c>
      <c r="DF46" s="7" t="s">
        <v>4678</v>
      </c>
      <c r="DG46" s="7" t="s">
        <v>4679</v>
      </c>
      <c r="DH46" s="39" t="s">
        <v>4448</v>
      </c>
      <c r="DI46" s="7" t="s">
        <v>5363</v>
      </c>
      <c r="DJ46" s="7" t="s">
        <v>5364</v>
      </c>
      <c r="DK46" s="7" t="s">
        <v>5365</v>
      </c>
      <c r="DL46" s="7" t="s">
        <v>5366</v>
      </c>
      <c r="DM46" s="7" t="s">
        <v>5367</v>
      </c>
      <c r="DN46" s="7" t="s">
        <v>5368</v>
      </c>
      <c r="DO46" s="7" t="s">
        <v>5369</v>
      </c>
      <c r="DP46" s="7" t="s">
        <v>5370</v>
      </c>
      <c r="DQ46" s="7" t="s">
        <v>5371</v>
      </c>
      <c r="DR46" s="7" t="s">
        <v>5372</v>
      </c>
      <c r="DS46" s="7" t="s">
        <v>5799</v>
      </c>
      <c r="DT46" s="15" t="str" cm="1">
        <f t="array" ref="DT46">IF(B46="","",_xlfn.TEXTJOIN("",,HEX2BIN(MID(BQ46,_xlfn.SEQUENCE(40),1),4)))</f>
        <v>1000010001110110010111001101111010010001110010010110100000110110000110011110000011100111010100001111010010000001010010000001000110110001001110101011011101111000</v>
      </c>
    </row>
    <row r="47" spans="1:124" x14ac:dyDescent="0.25">
      <c r="A47" s="9">
        <v>46</v>
      </c>
      <c r="B47" s="15" t="s">
        <v>3308</v>
      </c>
      <c r="C47" s="15" t="s">
        <v>3309</v>
      </c>
      <c r="D47" s="6" t="s">
        <v>3310</v>
      </c>
      <c r="E47" s="6" t="s">
        <v>3311</v>
      </c>
      <c r="F47" s="10">
        <v>0.46112229085167655</v>
      </c>
      <c r="G47" s="9">
        <v>19</v>
      </c>
      <c r="H47" s="9">
        <v>2</v>
      </c>
      <c r="I47" s="15" t="s">
        <v>3312</v>
      </c>
      <c r="J47" s="9">
        <v>24</v>
      </c>
      <c r="K47" s="15" t="s">
        <v>3313</v>
      </c>
      <c r="L47" s="15" t="s">
        <v>3314</v>
      </c>
      <c r="M47" s="15" t="s">
        <v>3315</v>
      </c>
      <c r="N47" s="15" t="s">
        <v>3316</v>
      </c>
      <c r="O47" s="6" t="s">
        <v>3317</v>
      </c>
      <c r="P47" s="15" t="s">
        <v>3318</v>
      </c>
      <c r="Q47" s="15" t="s">
        <v>3319</v>
      </c>
      <c r="R47" s="6" t="s">
        <v>3320</v>
      </c>
      <c r="S47" s="15" t="s">
        <v>3321</v>
      </c>
      <c r="T47" s="11">
        <v>2.5708881678715279</v>
      </c>
      <c r="U47" s="10">
        <v>0.41304347826086957</v>
      </c>
      <c r="V47" s="7" t="s">
        <v>813</v>
      </c>
      <c r="W47" s="7" t="s">
        <v>814</v>
      </c>
      <c r="X47" s="7" t="s">
        <v>815</v>
      </c>
      <c r="Y47" s="15" t="s">
        <v>3322</v>
      </c>
      <c r="Z47" s="9">
        <v>25</v>
      </c>
      <c r="AA47" s="9">
        <v>16</v>
      </c>
      <c r="AB47" s="9">
        <v>70</v>
      </c>
      <c r="AC47" s="13">
        <v>0.58976782461958854</v>
      </c>
      <c r="AD47" s="13">
        <v>-2.0641873861685598</v>
      </c>
      <c r="AE47" s="9">
        <v>14</v>
      </c>
      <c r="AF47" s="9">
        <v>55</v>
      </c>
      <c r="AG47" s="9">
        <v>1</v>
      </c>
      <c r="AH47" s="6" t="s">
        <v>3323</v>
      </c>
      <c r="AI47" s="10">
        <v>45.547076931749785</v>
      </c>
      <c r="AJ47" s="10">
        <v>43.883221313052609</v>
      </c>
      <c r="AK47" s="15" t="s">
        <v>3324</v>
      </c>
      <c r="AL47" s="15" t="s">
        <v>3325</v>
      </c>
      <c r="AM47" s="15" t="s">
        <v>3326</v>
      </c>
      <c r="AN47" s="9">
        <v>5</v>
      </c>
      <c r="AO47" s="9">
        <v>3</v>
      </c>
      <c r="AP47" s="9">
        <v>24</v>
      </c>
      <c r="AQ47" s="15" t="s">
        <v>3327</v>
      </c>
      <c r="AR47" s="9">
        <v>9</v>
      </c>
      <c r="AS47" s="6" t="s">
        <v>1009</v>
      </c>
      <c r="AT47" s="15" t="s">
        <v>3328</v>
      </c>
      <c r="AU47" s="9">
        <v>1</v>
      </c>
      <c r="AV47" s="9">
        <v>2</v>
      </c>
      <c r="AW47" s="9">
        <v>3</v>
      </c>
      <c r="AX47" s="9">
        <v>5</v>
      </c>
      <c r="AY47" s="9">
        <v>68</v>
      </c>
      <c r="AZ47" s="9">
        <v>54596</v>
      </c>
      <c r="BA47" s="6" t="s">
        <v>3329</v>
      </c>
      <c r="BB47" s="6" t="s">
        <v>3330</v>
      </c>
      <c r="BC47" s="6" t="s">
        <v>3331</v>
      </c>
      <c r="BD47" s="15" t="s">
        <v>3332</v>
      </c>
      <c r="BE47" s="15" t="s">
        <v>3333</v>
      </c>
      <c r="BF47" s="15" t="s">
        <v>3334</v>
      </c>
      <c r="BG47" s="15" t="s">
        <v>3335</v>
      </c>
      <c r="BH47" s="6" t="s">
        <v>3336</v>
      </c>
      <c r="BI47" s="17" t="s">
        <v>888</v>
      </c>
      <c r="BJ47" s="7" t="s">
        <v>1471</v>
      </c>
      <c r="BK47" s="7" t="s">
        <v>1472</v>
      </c>
      <c r="BL47" s="7" t="s">
        <v>1473</v>
      </c>
      <c r="BM47" s="16" t="s">
        <v>1474</v>
      </c>
      <c r="BN47" s="16" t="s">
        <v>1475</v>
      </c>
      <c r="BO47" s="16" t="s">
        <v>1476</v>
      </c>
      <c r="BP47" s="16" t="s">
        <v>1477</v>
      </c>
      <c r="BQ47" s="16" t="s">
        <v>1478</v>
      </c>
      <c r="BR47" s="7" t="s">
        <v>1479</v>
      </c>
      <c r="BS47" s="7" t="s">
        <v>1480</v>
      </c>
      <c r="BT47" s="7" t="s">
        <v>1481</v>
      </c>
      <c r="BU47" s="14">
        <v>4.4397394232389986E-64</v>
      </c>
      <c r="BV47" s="15" t="s">
        <v>3337</v>
      </c>
      <c r="BW47" s="9">
        <v>23</v>
      </c>
      <c r="BX47" s="9">
        <v>19</v>
      </c>
      <c r="BY47" s="13">
        <v>0</v>
      </c>
      <c r="BZ47" s="13">
        <v>-1.1795356492391771</v>
      </c>
      <c r="CA47" s="12">
        <f>IF(B47="","",IF(A47&lt;8,"",_xlfn.LET(_xlpm.n,A47,_xlpm.k,G47,_xlpm.R,AP47,_xlpm.mu,1+2*_xlpm.k*(_xlpm.n-_xlpm.k)/_xlpm.n,_xlpm.v,2*_xlpm.k*(_xlpm.n-_xlpm.k)*(2*_xlpm.k*(_xlpm.n-_xlpm.k)-_xlpm.n)/(_xlpm.n^2*(_xlpm.n-1)),IF(_xlpm.v&lt;=0,"",(_xlpm.R-_xlpm.mu)/SQRT(_xlpm.v)))))</f>
        <v>0.21407675693295847</v>
      </c>
      <c r="CB47" s="37" cm="1">
        <f t="array" ref="CB47">IF(B47="","",IF(A47&lt;8,"",_xlfn.LET(_xlpm.b,--MID(C47,_xlfn.SEQUENCE(A47-1),1),_xlpm.c,--MID(C47,_xlfn.SEQUENCE(A47-1,,2),1),IFERROR(CORREL(_xlpm.b,_xlpm.c),""))))</f>
        <v>-5.5103876877798302E-2</v>
      </c>
      <c r="CC47" s="8">
        <f>IF(B47="","",LOG(A47,2))</f>
        <v>5.5235619560570131</v>
      </c>
      <c r="CD47" s="8">
        <f>IF(B47="","",MAX(AN47,AO47)-CC47)</f>
        <v>-0.52356195605701306</v>
      </c>
      <c r="CE47" s="8" t="str" cm="1">
        <f t="array" ref="CE47">IF(B47="","",IF(LEN(B47)&lt;16,"",_xlfn.LET(_xlpm.d,MID("0123456789abcdef",_xlfn.SEQUENCE(16),1),_xlpm.c,LEN(B47)-LEN(SUBSTITUTE(B47,_xlpm.d,"")),_xlpm.ex,LEN(B47)/16,SUM((_xlpm.c-_xlpm.ex)^2/_xlpm.ex))))</f>
        <v/>
      </c>
      <c r="CF47" s="37" t="str">
        <f>IF(CE47="","",_xlfn.CHISQ.DIST.RT(CE47,15))</f>
        <v/>
      </c>
      <c r="CG47" s="9" cm="1">
        <f t="array" ref="CG47">IF(OR(B47="",B46=""),"",_xlfn.LET(_xlpm.a,C47,_xlpm.b,REPT("0",A47-LEN(C46))&amp;C46,_xlpm.m,MID(_xlpm.a,_xlfn.SEQUENCE(A47),1)=MID(_xlpm.b,_xlfn.SEQUENCE(A47),1),IFERROR(MATCH(FALSE,_xlpm.m,0)-1,A47)))</f>
        <v>0</v>
      </c>
      <c r="CH47" s="9" cm="1">
        <f t="array" ref="CH47">IF(OR(B47="",B46=""),"",_xlfn.LET(_xlpm.a,C47,_xlpm.b,REPT("0",A47-LEN(C46))&amp;C46,_xlpm.n,A47,_xlpm.m,MID(_xlpm.a,_xlfn.SEQUENCE(_xlpm.n,,_xlpm.n,-1),1)=MID(_xlpm.b,_xlfn.SEQUENCE(_xlpm.n,,_xlpm.n,-1),1),IFERROR(MATCH(FALSE,_xlpm.m,0)-1,_xlpm.n)))</f>
        <v>0</v>
      </c>
      <c r="CI47" s="38">
        <f>IF(OR(B47="",B46=""),"",F47-F46)</f>
        <v>0.32445496388555739</v>
      </c>
      <c r="CJ47" s="5" t="b">
        <f>IF(OR(B47="",B46=""),"",IFERROR(FIND(B46,B47)&gt;0,FALSE))</f>
        <v>0</v>
      </c>
      <c r="CK47" s="5" t="b">
        <f>IF(OR(B47="",B46=""),"",IFERROR(FIND(C46,C47)&gt;0,FALSE))</f>
        <v>0</v>
      </c>
      <c r="CL47" s="9" t="str">
        <f>IF(OR(B47="",B46=""),"",IFERROR(FIND(C46,C47),""))</f>
        <v/>
      </c>
      <c r="CM47" s="6" t="str" cm="1">
        <f t="array" ref="CM47">IF(OR(B47="",B46=""),"",_xlfn.LET(_xlpm.pv,D46,_xlpm.ra,BIGSUB(D47,_xlpm.pv),_xlpm.rb,BIGSUB(_xlpm.ra,_xlpm.pv),_xlpm.rc,BIGSUB(_xlpm.rb,_xlpm.pv),IF(LEFT(_xlpm.rb,1)="-",_xlpm.ra,IF(LEFT(_xlpm.rc,1)="-",_xlpm.rb,_xlpm.rc))))</f>
        <v>11415744175418</v>
      </c>
      <c r="CN47" s="38">
        <f>IF(B47="","",F47-0.5)</f>
        <v>-3.8877709148323447E-2</v>
      </c>
      <c r="CO47" s="15" t="str" cm="1">
        <f t="array" ref="CO47">IF(B47="","",_xlfn.TEXTJOIN("",,MID(B47,_xlfn.SEQUENCE(LEN(B47),,LEN(B47),-1),1)))</f>
        <v>445d88381ce2</v>
      </c>
      <c r="CP47" s="6" t="str" cm="1">
        <f t="array" ref="CP47">IF(B47="","",BASE2DEC(CO47,16))</f>
        <v>75168508026082</v>
      </c>
      <c r="CQ47" s="5" t="str">
        <f>IF(B47="","",IF(AND(LEN(B47)&lt;16,LEN(B47)=LEN(SUBSTITUTE(SUBSTITUTE(SUBSTITUTE(SUBSTITUTE(SUBSTITUTE(SUBSTITUTE(B47,"a",""),"b",""),"c",""),"d",""),"e",""),"f",""))),--B47,""))</f>
        <v/>
      </c>
      <c r="CR47" s="6" t="str" cm="1">
        <f t="array" ref="CR47">IF(B47="","",IF(LEN(D47)&lt;=15,BASE2DEC(D47,16),""))</f>
        <v>22870419265848850</v>
      </c>
      <c r="CS47" s="15" t="str" cm="1">
        <f t="array" ref="CS47">IF(B47="","",_xlfn.LET(_xlpm.p,REPT("0",MOD(-LEN(B47),4))&amp;B47,_xlfn.TEXTJOIN(" ",,MID(_xlpm.p,_xlfn.SEQUENCE(LEN(_xlpm.p)/4,,1,4),4))))</f>
        <v>2ec1 8388 d544</v>
      </c>
      <c r="CT47" s="15" t="str" cm="1">
        <f t="array" ref="CT47">IF(B47="","",UPPER(_xlfn.LET(_xlpm.p,REPT("0",64-LEN(B47))&amp;B47,_xlfn.TEXTJOIN(" ",,MID(_xlpm.p,_xlfn.SEQUENCE(8,,1,8),8)))))</f>
        <v>00000000 00000000 00000000 00000000 00000000 00000000 00002EC1 8388D544</v>
      </c>
      <c r="CU47" s="6" t="str" cm="1">
        <f t="array" ref="CU47">IF(B47="","",IF(LEN(D47)&lt;=6,_xlfn.LET(_xlpm.n,VALUE(D47)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7" s="39" t="s">
        <v>4444</v>
      </c>
      <c r="CW47" s="39" t="s">
        <v>1895</v>
      </c>
      <c r="CX47" s="39" t="s">
        <v>987</v>
      </c>
      <c r="CY47" s="7" t="s">
        <v>4680</v>
      </c>
      <c r="CZ47" s="39" t="s">
        <v>4444</v>
      </c>
      <c r="DA47" s="39" t="s">
        <v>4444</v>
      </c>
      <c r="DB47" s="39">
        <v>45</v>
      </c>
      <c r="DC47" s="7" t="s">
        <v>4681</v>
      </c>
      <c r="DD47" s="7" t="s">
        <v>4682</v>
      </c>
      <c r="DE47" s="7" t="s">
        <v>4683</v>
      </c>
      <c r="DF47" s="7" t="s">
        <v>4684</v>
      </c>
      <c r="DG47" s="7" t="s">
        <v>4685</v>
      </c>
      <c r="DH47" s="39" t="s">
        <v>4452</v>
      </c>
      <c r="DI47" s="7" t="s">
        <v>5373</v>
      </c>
      <c r="DJ47" s="7" t="s">
        <v>5374</v>
      </c>
      <c r="DK47" s="7" t="s">
        <v>5375</v>
      </c>
      <c r="DL47" s="7" t="s">
        <v>5376</v>
      </c>
      <c r="DM47" s="7" t="s">
        <v>5377</v>
      </c>
      <c r="DN47" s="7" t="s">
        <v>5378</v>
      </c>
      <c r="DO47" s="7" t="s">
        <v>5379</v>
      </c>
      <c r="DP47" s="7" t="s">
        <v>5380</v>
      </c>
      <c r="DQ47" s="7" t="s">
        <v>5381</v>
      </c>
      <c r="DR47" s="7" t="s">
        <v>5382</v>
      </c>
      <c r="DS47" s="7" t="s">
        <v>5800</v>
      </c>
      <c r="DT47" s="15" t="str" cm="1">
        <f t="array" ref="DT47">IF(B47="","",_xlfn.TEXTJOIN("",,HEX2BIN(MID(BQ47,_xlfn.SEQUENCE(40),1),4)))</f>
        <v>0001111111011110000110010010001010100101101011011101111101110001001100101011101000000111101111110010011010001100110000101100010010100111001101100110100100100101</v>
      </c>
    </row>
    <row r="48" spans="1:124" x14ac:dyDescent="0.25">
      <c r="A48" s="9">
        <v>47</v>
      </c>
      <c r="B48" s="15" t="s">
        <v>3338</v>
      </c>
      <c r="C48" s="15" t="s">
        <v>3339</v>
      </c>
      <c r="D48" s="6" t="s">
        <v>3340</v>
      </c>
      <c r="E48" s="6" t="s">
        <v>3341</v>
      </c>
      <c r="F48" s="10">
        <v>0.70056550692507358</v>
      </c>
      <c r="G48" s="9">
        <v>24</v>
      </c>
      <c r="H48" s="9">
        <v>1</v>
      </c>
      <c r="I48" s="15" t="s">
        <v>3342</v>
      </c>
      <c r="J48" s="9">
        <v>27</v>
      </c>
      <c r="K48" s="15" t="s">
        <v>3343</v>
      </c>
      <c r="L48" s="15" t="s">
        <v>3344</v>
      </c>
      <c r="M48" s="15" t="s">
        <v>3345</v>
      </c>
      <c r="N48" s="15" t="s">
        <v>3346</v>
      </c>
      <c r="O48" s="6" t="s">
        <v>3347</v>
      </c>
      <c r="P48" s="15" t="s">
        <v>3348</v>
      </c>
      <c r="Q48" s="15" t="s">
        <v>3349</v>
      </c>
      <c r="R48" s="6" t="s">
        <v>3350</v>
      </c>
      <c r="S48" s="15" t="s">
        <v>3351</v>
      </c>
      <c r="T48" s="11">
        <v>2.3277524647629972</v>
      </c>
      <c r="U48" s="10">
        <v>0.51063829787234039</v>
      </c>
      <c r="V48" s="7" t="s">
        <v>816</v>
      </c>
      <c r="W48" s="7" t="s">
        <v>817</v>
      </c>
      <c r="X48" s="7" t="s">
        <v>818</v>
      </c>
      <c r="Y48" s="15" t="s">
        <v>3352</v>
      </c>
      <c r="Z48" s="9">
        <v>28</v>
      </c>
      <c r="AA48" s="9">
        <v>17</v>
      </c>
      <c r="AB48" s="9">
        <v>78</v>
      </c>
      <c r="AC48" s="13">
        <v>1.3127849234810511</v>
      </c>
      <c r="AD48" s="13">
        <v>-1.8962448894726294</v>
      </c>
      <c r="AE48" s="9">
        <v>15</v>
      </c>
      <c r="AF48" s="9">
        <v>63</v>
      </c>
      <c r="AG48" s="9">
        <v>9</v>
      </c>
      <c r="AH48" s="6" t="s">
        <v>3353</v>
      </c>
      <c r="AI48" s="10">
        <v>46.766014580697735</v>
      </c>
      <c r="AJ48" s="10">
        <v>45.486591862403074</v>
      </c>
      <c r="AK48" s="15" t="s">
        <v>3354</v>
      </c>
      <c r="AL48" s="15" t="s">
        <v>3355</v>
      </c>
      <c r="AM48" s="15" t="s">
        <v>3356</v>
      </c>
      <c r="AN48" s="9">
        <v>4</v>
      </c>
      <c r="AO48" s="9">
        <v>4</v>
      </c>
      <c r="AP48" s="9">
        <v>28</v>
      </c>
      <c r="AQ48" s="15" t="s">
        <v>3357</v>
      </c>
      <c r="AR48" s="9">
        <v>9</v>
      </c>
      <c r="AS48" s="6" t="s">
        <v>2081</v>
      </c>
      <c r="AT48" s="15" t="s">
        <v>3358</v>
      </c>
      <c r="AU48" s="9">
        <v>0</v>
      </c>
      <c r="AV48" s="9">
        <v>0</v>
      </c>
      <c r="AW48" s="9">
        <v>0</v>
      </c>
      <c r="AX48" s="9">
        <v>3</v>
      </c>
      <c r="AY48" s="9">
        <v>186</v>
      </c>
      <c r="AZ48" s="9">
        <v>15546</v>
      </c>
      <c r="BA48" s="6" t="s">
        <v>3359</v>
      </c>
      <c r="BB48" s="6" t="s">
        <v>3360</v>
      </c>
      <c r="BC48" s="6" t="s">
        <v>3361</v>
      </c>
      <c r="BD48" s="15" t="s">
        <v>3362</v>
      </c>
      <c r="BE48" s="15" t="s">
        <v>3363</v>
      </c>
      <c r="BF48" s="15" t="s">
        <v>3364</v>
      </c>
      <c r="BG48" s="15" t="s">
        <v>3365</v>
      </c>
      <c r="BH48" s="6" t="s">
        <v>3366</v>
      </c>
      <c r="BI48" s="17" t="s">
        <v>888</v>
      </c>
      <c r="BJ48" s="7" t="s">
        <v>1482</v>
      </c>
      <c r="BK48" s="7" t="s">
        <v>1483</v>
      </c>
      <c r="BL48" s="7" t="s">
        <v>1484</v>
      </c>
      <c r="BM48" s="16" t="s">
        <v>1485</v>
      </c>
      <c r="BN48" s="16" t="s">
        <v>1486</v>
      </c>
      <c r="BO48" s="16" t="s">
        <v>1487</v>
      </c>
      <c r="BP48" s="16" t="s">
        <v>1488</v>
      </c>
      <c r="BQ48" s="16" t="s">
        <v>1489</v>
      </c>
      <c r="BR48" s="7" t="s">
        <v>1490</v>
      </c>
      <c r="BS48" s="7" t="s">
        <v>1491</v>
      </c>
      <c r="BT48" s="7" t="s">
        <v>1492</v>
      </c>
      <c r="BU48" s="14">
        <v>1.0334614385350027E-63</v>
      </c>
      <c r="BV48" s="15" t="s">
        <v>3367</v>
      </c>
      <c r="BW48" s="9">
        <v>20</v>
      </c>
      <c r="BX48" s="9">
        <v>30</v>
      </c>
      <c r="BY48" s="13">
        <v>-1.021054940485262</v>
      </c>
      <c r="BZ48" s="13">
        <v>1.8962448894726294</v>
      </c>
      <c r="CA48" s="12">
        <f>IF(B48="","",IF(A48&lt;8,"",_xlfn.LET(_xlpm.n,A48,_xlpm.k,G48,_xlpm.R,AP48,_xlpm.mu,1+2*_xlpm.k*(_xlpm.n-_xlpm.k)/_xlpm.n,_xlpm.v,2*_xlpm.k*(_xlpm.n-_xlpm.k)*(2*_xlpm.k*(_xlpm.n-_xlpm.k)-_xlpm.n)/(_xlpm.n^2*(_xlpm.n-1)),IF(_xlpm.v&lt;=0,"",(_xlpm.R-_xlpm.mu)/SQRT(_xlpm.v)))))</f>
        <v>1.0359548541282404</v>
      </c>
      <c r="CB48" s="37" cm="1">
        <f t="array" ref="CB48">IF(B48="","",IF(A48&lt;8,"",_xlfn.LET(_xlpm.b,--MID(C48,_xlfn.SEQUENCE(A48-1),1),_xlpm.c,--MID(C48,_xlfn.SEQUENCE(A48-1,,2),1),IFERROR(CORREL(_xlpm.b,_xlpm.c),""))))</f>
        <v>-0.17407765595569782</v>
      </c>
      <c r="CC48" s="8">
        <f>IF(B48="","",LOG(A48,2))</f>
        <v>5.5545888516776376</v>
      </c>
      <c r="CD48" s="8">
        <f>IF(B48="","",MAX(AN48,AO48)-CC48)</f>
        <v>-1.5545888516776376</v>
      </c>
      <c r="CE48" s="8" t="str" cm="1">
        <f t="array" ref="CE48">IF(B48="","",IF(LEN(B48)&lt;16,"",_xlfn.LET(_xlpm.d,MID("0123456789abcdef",_xlfn.SEQUENCE(16),1),_xlpm.c,LEN(B48)-LEN(SUBSTITUTE(B48,_xlpm.d,"")),_xlpm.ex,LEN(B48)/16,SUM((_xlpm.c-_xlpm.ex)^2/_xlpm.ex))))</f>
        <v/>
      </c>
      <c r="CF48" s="37" t="str">
        <f>IF(CE48="","",_xlfn.CHISQ.DIST.RT(CE48,15))</f>
        <v/>
      </c>
      <c r="CG48" s="9" cm="1">
        <f t="array" ref="CG48">IF(OR(B48="",B47=""),"",_xlfn.LET(_xlpm.a,C48,_xlpm.b,REPT("0",A48-LEN(C47))&amp;C47,_xlpm.m,MID(_xlpm.a,_xlfn.SEQUENCE(A48),1)=MID(_xlpm.b,_xlfn.SEQUENCE(A48),1),IFERROR(MATCH(FALSE,_xlpm.m,0)-1,A48)))</f>
        <v>0</v>
      </c>
      <c r="CH48" s="9" cm="1">
        <f t="array" ref="CH48">IF(OR(B48="",B47=""),"",_xlfn.LET(_xlpm.a,C48,_xlpm.b,REPT("0",A48-LEN(C47))&amp;C47,_xlpm.n,A48,_xlpm.m,MID(_xlpm.a,_xlfn.SEQUENCE(_xlpm.n,,_xlpm.n,-1),1)=MID(_xlpm.b,_xlfn.SEQUENCE(_xlpm.n,,_xlpm.n,-1),1),IFERROR(MATCH(FALSE,_xlpm.m,0)-1,_xlpm.n)))</f>
        <v>1</v>
      </c>
      <c r="CI48" s="38">
        <f>IF(OR(B48="",B47=""),"",F48-F47)</f>
        <v>0.23944321607339702</v>
      </c>
      <c r="CJ48" s="5" t="b">
        <f>IF(OR(B48="",B47=""),"",IFERROR(FIND(B47,B48)&gt;0,FALSE))</f>
        <v>0</v>
      </c>
      <c r="CK48" s="5" t="b">
        <f>IF(OR(B48="",B47=""),"",IFERROR(FIND(C47,C48)&gt;0,FALSE))</f>
        <v>0</v>
      </c>
      <c r="CL48" s="9" t="str">
        <f>IF(OR(B48="",B47=""),"",IFERROR(FIND(C47,C48),""))</f>
        <v/>
      </c>
      <c r="CM48" s="6" t="str" cm="1">
        <f t="array" ref="CM48">IF(OR(B48="",B47=""),"",_xlfn.LET(_xlpm.pv,D47,_xlpm.ra,BIGSUB(D48,_xlpm.pv),_xlpm.rb,BIGSUB(_xlpm.ra,_xlpm.pv),_xlpm.rc,BIGSUB(_xlpm.rb,_xlpm.pv),IF(LEFT(_xlpm.rb,1)="-",_xlpm.ra,IF(LEFT(_xlpm.rc,1)="-",_xlpm.rb,_xlpm.rc))))</f>
        <v>16849318416946</v>
      </c>
      <c r="CN48" s="38">
        <f>IF(B48="","",F48-0.5)</f>
        <v>0.20056550692507358</v>
      </c>
      <c r="CO48" s="15" t="str" cm="1">
        <f t="array" ref="CO48">IF(B48="","",_xlfn.TEXTJOIN("",,MID(B48,_xlfn.SEQUENCE(LEN(B48),,LEN(B48),-1),1)))</f>
        <v>abc35b016dc6</v>
      </c>
      <c r="CP48" s="6" t="str" cm="1">
        <f t="array" ref="CP48">IF(B48="","",BASE2DEC(CO48,16))</f>
        <v>188855533792710</v>
      </c>
      <c r="CQ48" s="5" t="str">
        <f>IF(B48="","",IF(AND(LEN(B48)&lt;16,LEN(B48)=LEN(SUBSTITUTE(SUBSTITUTE(SUBSTITUTE(SUBSTITUTE(SUBSTITUTE(SUBSTITUTE(B48,"a",""),"b",""),"c",""),"d",""),"e",""),"f",""))),--B48,""))</f>
        <v/>
      </c>
      <c r="CR48" s="6" t="str" cm="1">
        <f t="array" ref="CR48">IF(B48="","",IF(LEN(D48)&lt;=15,BASE2DEC(D48,16),""))</f>
        <v>79207058222694768</v>
      </c>
      <c r="CS48" s="15" t="str" cm="1">
        <f t="array" ref="CS48">IF(B48="","",_xlfn.LET(_xlpm.p,REPT("0",MOD(-LEN(B48),4))&amp;B48,_xlfn.TEXTJOIN(" ",,MID(_xlpm.p,_xlfn.SEQUENCE(LEN(_xlpm.p)/4,,1,4),4))))</f>
        <v>6cd6 10b5 3cba</v>
      </c>
      <c r="CT48" s="15" t="str" cm="1">
        <f t="array" ref="CT48">IF(B48="","",UPPER(_xlfn.LET(_xlpm.p,REPT("0",64-LEN(B48))&amp;B48,_xlfn.TEXTJOIN(" ",,MID(_xlpm.p,_xlfn.SEQUENCE(8,,1,8),8)))))</f>
        <v>00000000 00000000 00000000 00000000 00000000 00000000 00006CD6 10B53CBA</v>
      </c>
      <c r="CU48" s="6" t="str" cm="1">
        <f t="array" ref="CU48">IF(B48="","",IF(LEN(D48)&lt;=6,_xlfn.LET(_xlpm.n,VALUE(D48)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8" s="39" t="s">
        <v>4444</v>
      </c>
      <c r="CW48" s="39" t="s">
        <v>1895</v>
      </c>
      <c r="CX48" s="39" t="s">
        <v>998</v>
      </c>
      <c r="CY48" s="7" t="s">
        <v>4686</v>
      </c>
      <c r="CZ48" s="39" t="s">
        <v>4444</v>
      </c>
      <c r="DA48" s="39" t="s">
        <v>4444</v>
      </c>
      <c r="DB48" s="39">
        <v>47</v>
      </c>
      <c r="DC48" s="7" t="s">
        <v>4687</v>
      </c>
      <c r="DD48" s="7" t="s">
        <v>4688</v>
      </c>
      <c r="DE48" s="7" t="s">
        <v>4689</v>
      </c>
      <c r="DF48" s="7" t="s">
        <v>4690</v>
      </c>
      <c r="DG48" s="7" t="s">
        <v>4691</v>
      </c>
      <c r="DH48" s="39" t="s">
        <v>4452</v>
      </c>
      <c r="DI48" s="7" t="s">
        <v>5383</v>
      </c>
      <c r="DJ48" s="7" t="s">
        <v>5384</v>
      </c>
      <c r="DK48" s="7" t="s">
        <v>5385</v>
      </c>
      <c r="DL48" s="7" t="s">
        <v>5386</v>
      </c>
      <c r="DM48" s="7" t="s">
        <v>5387</v>
      </c>
      <c r="DN48" s="7" t="s">
        <v>5388</v>
      </c>
      <c r="DO48" s="7" t="s">
        <v>5389</v>
      </c>
      <c r="DP48" s="7" t="s">
        <v>5390</v>
      </c>
      <c r="DQ48" s="7" t="s">
        <v>5391</v>
      </c>
      <c r="DR48" s="7" t="s">
        <v>5392</v>
      </c>
      <c r="DS48" s="7" t="s">
        <v>5801</v>
      </c>
      <c r="DT48" s="15" t="str" cm="1">
        <f t="array" ref="DT48">IF(B48="","",_xlfn.TEXTJOIN("",,HEX2BIN(MID(BQ48,_xlfn.SEQUENCE(40),1),4)))</f>
        <v>1111101101010100111111011111101001000111010110011011000010100110000110000000010111110011101111000101010001000110011101111100101110110111000101100100010111000000</v>
      </c>
    </row>
    <row r="49" spans="1:124" x14ac:dyDescent="0.25">
      <c r="A49" s="9">
        <v>48</v>
      </c>
      <c r="B49" s="15" t="s">
        <v>3368</v>
      </c>
      <c r="C49" s="15" t="s">
        <v>3369</v>
      </c>
      <c r="D49" s="6" t="s">
        <v>3370</v>
      </c>
      <c r="E49" s="6" t="s">
        <v>3371</v>
      </c>
      <c r="F49" s="10">
        <v>0.35860726900065032</v>
      </c>
      <c r="G49" s="9">
        <v>31</v>
      </c>
      <c r="H49" s="9">
        <v>0</v>
      </c>
      <c r="I49" s="15" t="s">
        <v>3372</v>
      </c>
      <c r="J49" s="9">
        <v>21</v>
      </c>
      <c r="K49" s="15" t="s">
        <v>3373</v>
      </c>
      <c r="L49" s="15" t="s">
        <v>3374</v>
      </c>
      <c r="M49" s="15" t="s">
        <v>3375</v>
      </c>
      <c r="N49" s="15" t="s">
        <v>3376</v>
      </c>
      <c r="O49" s="6" t="s">
        <v>3377</v>
      </c>
      <c r="P49" s="15" t="s">
        <v>3378</v>
      </c>
      <c r="Q49" s="15" t="s">
        <v>3379</v>
      </c>
      <c r="R49" s="6" t="s">
        <v>3380</v>
      </c>
      <c r="S49" s="15" t="s">
        <v>3381</v>
      </c>
      <c r="T49" s="11">
        <v>1.5978299729920491</v>
      </c>
      <c r="U49" s="10">
        <v>0.64583333333333337</v>
      </c>
      <c r="V49" s="7" t="s">
        <v>819</v>
      </c>
      <c r="W49" s="7" t="s">
        <v>820</v>
      </c>
      <c r="X49" s="7" t="s">
        <v>821</v>
      </c>
      <c r="Y49" s="15" t="s">
        <v>3382</v>
      </c>
      <c r="Z49" s="9">
        <v>19</v>
      </c>
      <c r="AA49" s="9">
        <v>20</v>
      </c>
      <c r="AB49" s="9">
        <v>76</v>
      </c>
      <c r="AC49" s="13">
        <v>-1.4433756729740645</v>
      </c>
      <c r="AD49" s="13">
        <v>-1.1547005383792517</v>
      </c>
      <c r="AE49" s="9">
        <v>15</v>
      </c>
      <c r="AF49" s="9">
        <v>57</v>
      </c>
      <c r="AG49" s="9">
        <v>3</v>
      </c>
      <c r="AH49" s="6" t="s">
        <v>3383</v>
      </c>
      <c r="AI49" s="10">
        <v>47.442128478217754</v>
      </c>
      <c r="AJ49" s="10">
        <v>45.520476637169743</v>
      </c>
      <c r="AK49" s="15" t="s">
        <v>3384</v>
      </c>
      <c r="AL49" s="15" t="s">
        <v>3385</v>
      </c>
      <c r="AM49" s="15" t="s">
        <v>3386</v>
      </c>
      <c r="AN49" s="9">
        <v>3</v>
      </c>
      <c r="AO49" s="9">
        <v>5</v>
      </c>
      <c r="AP49" s="9">
        <v>25</v>
      </c>
      <c r="AQ49" s="15" t="s">
        <v>3387</v>
      </c>
      <c r="AR49" s="9">
        <v>9</v>
      </c>
      <c r="AS49" s="6" t="s">
        <v>3237</v>
      </c>
      <c r="AT49" s="15" t="s">
        <v>3388</v>
      </c>
      <c r="AU49" s="9">
        <v>0</v>
      </c>
      <c r="AV49" s="9">
        <v>3</v>
      </c>
      <c r="AW49" s="9">
        <v>2</v>
      </c>
      <c r="AX49" s="9">
        <v>9</v>
      </c>
      <c r="AY49" s="9">
        <v>155</v>
      </c>
      <c r="AZ49" s="9">
        <v>15259</v>
      </c>
      <c r="BA49" s="6" t="s">
        <v>3389</v>
      </c>
      <c r="BB49" s="6" t="s">
        <v>3390</v>
      </c>
      <c r="BC49" s="6" t="s">
        <v>3391</v>
      </c>
      <c r="BD49" s="15" t="s">
        <v>3392</v>
      </c>
      <c r="BE49" s="15" t="s">
        <v>3393</v>
      </c>
      <c r="BF49" s="15" t="s">
        <v>3394</v>
      </c>
      <c r="BG49" s="15" t="s">
        <v>3395</v>
      </c>
      <c r="BH49" s="6" t="s">
        <v>3396</v>
      </c>
      <c r="BI49" s="17" t="s">
        <v>888</v>
      </c>
      <c r="BJ49" s="7" t="s">
        <v>1493</v>
      </c>
      <c r="BK49" s="7" t="s">
        <v>1494</v>
      </c>
      <c r="BL49" s="7" t="s">
        <v>1495</v>
      </c>
      <c r="BM49" s="16" t="s">
        <v>1496</v>
      </c>
      <c r="BN49" s="16" t="s">
        <v>1497</v>
      </c>
      <c r="BO49" s="16" t="s">
        <v>1498</v>
      </c>
      <c r="BP49" s="16" t="s">
        <v>1499</v>
      </c>
      <c r="BQ49" s="16" t="s">
        <v>1500</v>
      </c>
      <c r="BR49" s="7" t="s">
        <v>1501</v>
      </c>
      <c r="BS49" s="7" t="s">
        <v>1502</v>
      </c>
      <c r="BT49" s="7" t="s">
        <v>1503</v>
      </c>
      <c r="BU49" s="14">
        <v>1.6512956624227076E-63</v>
      </c>
      <c r="BV49" s="15" t="s">
        <v>3397</v>
      </c>
      <c r="BW49" s="9">
        <v>23</v>
      </c>
      <c r="BX49" s="9">
        <v>19</v>
      </c>
      <c r="BY49" s="13">
        <v>-0.28867513459481292</v>
      </c>
      <c r="BZ49" s="13">
        <v>-1.4433756729740645</v>
      </c>
      <c r="CA49" s="12">
        <f>IF(B49="","",IF(A49&lt;8,"",_xlfn.LET(_xlpm.n,A49,_xlpm.k,G49,_xlpm.R,AP49,_xlpm.mu,1+2*_xlpm.k*(_xlpm.n-_xlpm.k)/_xlpm.n,_xlpm.v,2*_xlpm.k*(_xlpm.n-_xlpm.k)*(2*_xlpm.k*(_xlpm.n-_xlpm.k)-_xlpm.n)/(_xlpm.n^2*(_xlpm.n-1)),IF(_xlpm.v&lt;=0,"",(_xlpm.R-_xlpm.mu)/SQRT(_xlpm.v)))))</f>
        <v>0.65246272989278731</v>
      </c>
      <c r="CB49" s="37" cm="1">
        <f t="array" ref="CB49">IF(B49="","",IF(A49&lt;8,"",_xlfn.LET(_xlpm.b,--MID(C49,_xlfn.SEQUENCE(A49-1),1),_xlpm.c,--MID(C49,_xlfn.SEQUENCE(A49-1,,2),1),IFERROR(CORREL(_xlpm.b,_xlpm.c),""))))</f>
        <v>-0.1058823529411764</v>
      </c>
      <c r="CC49" s="8">
        <f>IF(B49="","",LOG(A49,2))</f>
        <v>5.584962500721157</v>
      </c>
      <c r="CD49" s="8">
        <f>IF(B49="","",MAX(AN49,AO49)-CC49)</f>
        <v>-0.58496250072115696</v>
      </c>
      <c r="CE49" s="8" t="str" cm="1">
        <f t="array" ref="CE49">IF(B49="","",IF(LEN(B49)&lt;16,"",_xlfn.LET(_xlpm.d,MID("0123456789abcdef",_xlfn.SEQUENCE(16),1),_xlpm.c,LEN(B49)-LEN(SUBSTITUTE(B49,_xlpm.d,"")),_xlpm.ex,LEN(B49)/16,SUM((_xlpm.c-_xlpm.ex)^2/_xlpm.ex))))</f>
        <v/>
      </c>
      <c r="CF49" s="37" t="str">
        <f>IF(CE49="","",_xlfn.CHISQ.DIST.RT(CE49,15))</f>
        <v/>
      </c>
      <c r="CG49" s="9" cm="1">
        <f t="array" ref="CG49">IF(OR(B49="",B48=""),"",_xlfn.LET(_xlpm.a,C49,_xlpm.b,REPT("0",A49-LEN(C48))&amp;C48,_xlpm.m,MID(_xlpm.a,_xlfn.SEQUENCE(A49),1)=MID(_xlpm.b,_xlfn.SEQUENCE(A49),1),IFERROR(MATCH(FALSE,_xlpm.m,0)-1,A49)))</f>
        <v>0</v>
      </c>
      <c r="CH49" s="9" cm="1">
        <f t="array" ref="CH49">IF(OR(B49="",B48=""),"",_xlfn.LET(_xlpm.a,C49,_xlpm.b,REPT("0",A49-LEN(C48))&amp;C48,_xlpm.n,A49,_xlpm.m,MID(_xlpm.a,_xlfn.SEQUENCE(_xlpm.n,,_xlpm.n,-1),1)=MID(_xlpm.b,_xlfn.SEQUENCE(_xlpm.n,,_xlpm.n,-1),1),IFERROR(MATCH(FALSE,_xlpm.m,0)-1,_xlpm.n)))</f>
        <v>0</v>
      </c>
      <c r="CI49" s="38">
        <f>IF(OR(B49="",B48=""),"",F49-F48)</f>
        <v>-0.34195823792442326</v>
      </c>
      <c r="CJ49" s="5" t="b">
        <f>IF(OR(B49="",B48=""),"",IFERROR(FIND(B48,B49)&gt;0,FALSE))</f>
        <v>0</v>
      </c>
      <c r="CK49" s="5" t="b">
        <f>IF(OR(B49="",B48=""),"",IFERROR(FIND(C48,C49)&gt;0,FALSE))</f>
        <v>0</v>
      </c>
      <c r="CL49" s="9" t="str">
        <f>IF(OR(B49="",B48=""),"",IFERROR(FIND(C48,C49),""))</f>
        <v/>
      </c>
      <c r="CM49" s="6" t="str" cm="1">
        <f t="array" ref="CM49">IF(OR(B49="",B48=""),"",_xlfn.LET(_xlpm.pv,D48,_xlpm.ra,BIGSUB(D49,_xlpm.pv),_xlpm.rb,BIGSUB(_xlpm.ra,_xlpm.pv),_xlpm.rc,BIGSUB(_xlpm.rb,_xlpm.pv),IF(LEFT(_xlpm.rb,1)="-",_xlpm.ra,IF(LEFT(_xlpm.rc,1)="-",_xlpm.rb,_xlpm.rc))))</f>
        <v>71540315586273</v>
      </c>
      <c r="CN49" s="38">
        <f>IF(B49="","",F49-0.5)</f>
        <v>-0.14139273099934968</v>
      </c>
      <c r="CO49" s="15" t="str" cm="1">
        <f t="array" ref="CO49">IF(B49="","",_xlfn.TEXTJOIN("",,MID(B49,_xlfn.SEQUENCE(LEN(B49),,LEN(B49),-1),1)))</f>
        <v>b9b3ec7d6eda</v>
      </c>
      <c r="CP49" s="6" t="str" cm="1">
        <f t="array" ref="CP49">IF(B49="","",BASE2DEC(CO49,16))</f>
        <v>204182417927898</v>
      </c>
      <c r="CQ49" s="5" t="str">
        <f>IF(B49="","",IF(AND(LEN(B49)&lt;16,LEN(B49)=LEN(SUBSTITUTE(SUBSTITUTE(SUBSTITUTE(SUBSTITUTE(SUBSTITUTE(SUBSTITUTE(B49,"a",""),"b",""),"c",""),"d",""),"e",""),"f",""))),--B49,""))</f>
        <v/>
      </c>
      <c r="CR49" s="6" t="str" cm="1">
        <f t="array" ref="CR49">IF(B49="","",IF(LEN(D49)&lt;=15,BASE2DEC(D49,16),""))</f>
        <v>112907102958126147</v>
      </c>
      <c r="CS49" s="15" t="str" cm="1">
        <f t="array" ref="CS49">IF(B49="","",_xlfn.LET(_xlpm.p,REPT("0",MOD(-LEN(B49),4))&amp;B49,_xlfn.TEXTJOIN(" ",,MID(_xlpm.p,_xlfn.SEQUENCE(LEN(_xlpm.p)/4,,1,4),4))))</f>
        <v>ade6 d7ce 3b9b</v>
      </c>
      <c r="CT49" s="15" t="str" cm="1">
        <f t="array" ref="CT49">IF(B49="","",UPPER(_xlfn.LET(_xlpm.p,REPT("0",64-LEN(B49))&amp;B49,_xlfn.TEXTJOIN(" ",,MID(_xlpm.p,_xlfn.SEQUENCE(8,,1,8),8)))))</f>
        <v>00000000 00000000 00000000 00000000 00000000 00000000 0000ADE6 D7CE3B9B</v>
      </c>
      <c r="CU49" s="6" t="str" cm="1">
        <f t="array" ref="CU49">IF(B49="","",IF(LEN(D49)&lt;=6,_xlfn.LET(_xlpm.n,VALUE(D49)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49" s="39" t="s">
        <v>4444</v>
      </c>
      <c r="CW49" s="39" t="s">
        <v>987</v>
      </c>
      <c r="CX49" s="39" t="s">
        <v>987</v>
      </c>
      <c r="CY49" s="7" t="s">
        <v>4692</v>
      </c>
      <c r="CZ49" s="39" t="s">
        <v>4444</v>
      </c>
      <c r="DA49" s="39" t="s">
        <v>4444</v>
      </c>
      <c r="DB49" s="39">
        <v>47</v>
      </c>
      <c r="DC49" s="7" t="s">
        <v>4693</v>
      </c>
      <c r="DD49" s="7" t="s">
        <v>4694</v>
      </c>
      <c r="DE49" s="7" t="s">
        <v>4695</v>
      </c>
      <c r="DF49" s="7" t="s">
        <v>4696</v>
      </c>
      <c r="DG49" s="7" t="s">
        <v>4697</v>
      </c>
      <c r="DH49" s="39" t="s">
        <v>4448</v>
      </c>
      <c r="DI49" s="7" t="s">
        <v>5393</v>
      </c>
      <c r="DJ49" s="7" t="s">
        <v>5394</v>
      </c>
      <c r="DK49" s="7" t="s">
        <v>5395</v>
      </c>
      <c r="DL49" s="7" t="s">
        <v>5396</v>
      </c>
      <c r="DM49" s="7" t="s">
        <v>5397</v>
      </c>
      <c r="DN49" s="7" t="s">
        <v>5398</v>
      </c>
      <c r="DO49" s="7" t="s">
        <v>5399</v>
      </c>
      <c r="DP49" s="7" t="s">
        <v>5400</v>
      </c>
      <c r="DQ49" s="7" t="s">
        <v>5401</v>
      </c>
      <c r="DR49" s="7" t="s">
        <v>5402</v>
      </c>
      <c r="DS49" s="7" t="s">
        <v>5802</v>
      </c>
      <c r="DT49" s="15" t="str" cm="1">
        <f t="array" ref="DT49">IF(B49="","",_xlfn.TEXTJOIN("",,HEX2BIN(MID(BQ49,_xlfn.SEQUENCE(40),1),4)))</f>
        <v>0101001000010111000101111000011111110011101000001000011110100101001010010100100111111101111000000001100111110011011011111000101100101100001001111110000111110000</v>
      </c>
    </row>
    <row r="50" spans="1:124" x14ac:dyDescent="0.25">
      <c r="A50" s="9">
        <v>49</v>
      </c>
      <c r="B50" s="15" t="s">
        <v>3398</v>
      </c>
      <c r="C50" s="15" t="s">
        <v>3399</v>
      </c>
      <c r="D50" s="6" t="s">
        <v>3400</v>
      </c>
      <c r="E50" s="6" t="s">
        <v>3401</v>
      </c>
      <c r="F50" s="10">
        <v>0.45348233016493467</v>
      </c>
      <c r="G50" s="9">
        <v>25</v>
      </c>
      <c r="H50" s="9">
        <v>0</v>
      </c>
      <c r="I50" s="15" t="s">
        <v>3402</v>
      </c>
      <c r="J50" s="9">
        <v>30</v>
      </c>
      <c r="K50" s="15" t="s">
        <v>3403</v>
      </c>
      <c r="L50" s="15" t="s">
        <v>3404</v>
      </c>
      <c r="M50" s="15" t="s">
        <v>3405</v>
      </c>
      <c r="N50" s="15" t="s">
        <v>3406</v>
      </c>
      <c r="O50" s="6" t="s">
        <v>3407</v>
      </c>
      <c r="P50" s="15" t="s">
        <v>3408</v>
      </c>
      <c r="Q50" s="15" t="s">
        <v>3409</v>
      </c>
      <c r="R50" s="6" t="s">
        <v>3410</v>
      </c>
      <c r="S50" s="15" t="s">
        <v>3411</v>
      </c>
      <c r="T50" s="11">
        <v>2.1396651752556446</v>
      </c>
      <c r="U50" s="10">
        <v>0.51020408163265307</v>
      </c>
      <c r="V50" s="7" t="s">
        <v>822</v>
      </c>
      <c r="W50" s="7" t="s">
        <v>823</v>
      </c>
      <c r="X50" s="7" t="s">
        <v>824</v>
      </c>
      <c r="Y50" s="15" t="s">
        <v>3412</v>
      </c>
      <c r="Z50" s="9">
        <v>30</v>
      </c>
      <c r="AA50" s="9">
        <v>25</v>
      </c>
      <c r="AB50" s="9">
        <v>82</v>
      </c>
      <c r="AC50" s="13">
        <v>1.5714285714285714</v>
      </c>
      <c r="AD50" s="13">
        <v>0.14285714285714285</v>
      </c>
      <c r="AE50" s="9">
        <v>15</v>
      </c>
      <c r="AF50" s="9">
        <v>54</v>
      </c>
      <c r="AG50" s="9">
        <v>9</v>
      </c>
      <c r="AH50" s="6" t="s">
        <v>3413</v>
      </c>
      <c r="AI50" s="10">
        <v>48.539513532885657</v>
      </c>
      <c r="AJ50" s="10">
        <v>46.859118242679969</v>
      </c>
      <c r="AK50" s="15" t="s">
        <v>3414</v>
      </c>
      <c r="AL50" s="15" t="s">
        <v>3415</v>
      </c>
      <c r="AM50" s="15" t="s">
        <v>3416</v>
      </c>
      <c r="AN50" s="9">
        <v>7</v>
      </c>
      <c r="AO50" s="9">
        <v>5</v>
      </c>
      <c r="AP50" s="9">
        <v>27</v>
      </c>
      <c r="AQ50" s="15" t="s">
        <v>3417</v>
      </c>
      <c r="AR50" s="9">
        <v>9</v>
      </c>
      <c r="AS50" s="6" t="s">
        <v>976</v>
      </c>
      <c r="AT50" s="15" t="s">
        <v>3418</v>
      </c>
      <c r="AU50" s="9">
        <v>0</v>
      </c>
      <c r="AV50" s="9">
        <v>0</v>
      </c>
      <c r="AW50" s="9">
        <v>2</v>
      </c>
      <c r="AX50" s="9">
        <v>6</v>
      </c>
      <c r="AY50" s="9">
        <v>77</v>
      </c>
      <c r="AZ50" s="9">
        <v>24397</v>
      </c>
      <c r="BA50" s="6" t="s">
        <v>3419</v>
      </c>
      <c r="BB50" s="6" t="s">
        <v>3420</v>
      </c>
      <c r="BC50" s="6" t="s">
        <v>3421</v>
      </c>
      <c r="BD50" s="15" t="s">
        <v>3422</v>
      </c>
      <c r="BE50" s="15" t="s">
        <v>3423</v>
      </c>
      <c r="BF50" s="15" t="s">
        <v>3424</v>
      </c>
      <c r="BG50" s="15" t="s">
        <v>3425</v>
      </c>
      <c r="BH50" s="6" t="s">
        <v>3426</v>
      </c>
      <c r="BI50" s="17" t="s">
        <v>888</v>
      </c>
      <c r="BJ50" s="7" t="s">
        <v>1504</v>
      </c>
      <c r="BK50" s="7" t="s">
        <v>1505</v>
      </c>
      <c r="BL50" s="7" t="s">
        <v>1506</v>
      </c>
      <c r="BM50" s="16" t="s">
        <v>1507</v>
      </c>
      <c r="BN50" s="16" t="s">
        <v>1508</v>
      </c>
      <c r="BO50" s="16" t="s">
        <v>1509</v>
      </c>
      <c r="BP50" s="16" t="s">
        <v>1510</v>
      </c>
      <c r="BQ50" s="16" t="s">
        <v>1511</v>
      </c>
      <c r="BR50" s="7" t="s">
        <v>1512</v>
      </c>
      <c r="BS50" s="7" t="s">
        <v>1513</v>
      </c>
      <c r="BT50" s="7" t="s">
        <v>1514</v>
      </c>
      <c r="BU50" s="14">
        <v>3.5332198229365687E-63</v>
      </c>
      <c r="BV50" s="15" t="s">
        <v>3427</v>
      </c>
      <c r="BW50" s="9">
        <v>20</v>
      </c>
      <c r="BX50" s="9">
        <v>22</v>
      </c>
      <c r="BY50" s="13">
        <v>-1.2857142857142858</v>
      </c>
      <c r="BZ50" s="13">
        <v>-0.7142857142857143</v>
      </c>
      <c r="CA50" s="12">
        <f>IF(B50="","",IF(A50&lt;8,"",_xlfn.LET(_xlpm.n,A50,_xlpm.k,G50,_xlpm.R,AP50,_xlpm.mu,1+2*_xlpm.k*(_xlpm.n-_xlpm.k)/_xlpm.n,_xlpm.v,2*_xlpm.k*(_xlpm.n-_xlpm.k)*(2*_xlpm.k*(_xlpm.n-_xlpm.k)-_xlpm.n)/(_xlpm.n^2*(_xlpm.n-1)),IF(_xlpm.v&lt;=0,"",(_xlpm.R-_xlpm.mu)/SQRT(_xlpm.v)))))</f>
        <v>0.43623856249274257</v>
      </c>
      <c r="CB50" s="37" cm="1">
        <f t="array" ref="CB50">IF(B50="","",IF(A50&lt;8,"",_xlfn.LET(_xlpm.b,--MID(C50,_xlfn.SEQUENCE(A50-1),1),_xlpm.c,--MID(C50,_xlfn.SEQUENCE(A50-1,,2),1),IFERROR(CORREL(_xlpm.b,_xlpm.c),""))))</f>
        <v>-8.3333333333333329E-2</v>
      </c>
      <c r="CC50" s="8">
        <f>IF(B50="","",LOG(A50,2))</f>
        <v>5.6147098441152083</v>
      </c>
      <c r="CD50" s="8">
        <f>IF(B50="","",MAX(AN50,AO50)-CC50)</f>
        <v>1.3852901558847917</v>
      </c>
      <c r="CE50" s="8" t="str" cm="1">
        <f t="array" ref="CE50">IF(B50="","",IF(LEN(B50)&lt;16,"",_xlfn.LET(_xlpm.d,MID("0123456789abcdef",_xlfn.SEQUENCE(16),1),_xlpm.c,LEN(B50)-LEN(SUBSTITUTE(B50,_xlpm.d,"")),_xlpm.ex,LEN(B50)/16,SUM((_xlpm.c-_xlpm.ex)^2/_xlpm.ex))))</f>
        <v/>
      </c>
      <c r="CF50" s="37" t="str">
        <f>IF(CE50="","",_xlfn.CHISQ.DIST.RT(CE50,15))</f>
        <v/>
      </c>
      <c r="CG50" s="9" cm="1">
        <f t="array" ref="CG50">IF(OR(B50="",B49=""),"",_xlfn.LET(_xlpm.a,C50,_xlpm.b,REPT("0",A50-LEN(C49))&amp;C49,_xlpm.m,MID(_xlpm.a,_xlfn.SEQUENCE(A50),1)=MID(_xlpm.b,_xlfn.SEQUENCE(A50),1),IFERROR(MATCH(FALSE,_xlpm.m,0)-1,A50)))</f>
        <v>0</v>
      </c>
      <c r="CH50" s="9" cm="1">
        <f t="array" ref="CH50">IF(OR(B50="",B49=""),"",_xlfn.LET(_xlpm.a,C50,_xlpm.b,REPT("0",A50-LEN(C49))&amp;C49,_xlpm.n,A50,_xlpm.m,MID(_xlpm.a,_xlfn.SEQUENCE(_xlpm.n,,_xlpm.n,-1),1)=MID(_xlpm.b,_xlfn.SEQUENCE(_xlpm.n,,_xlpm.n,-1),1),IFERROR(MATCH(FALSE,_xlpm.m,0)-1,_xlpm.n)))</f>
        <v>1</v>
      </c>
      <c r="CI50" s="38">
        <f>IF(OR(B50="",B49=""),"",F50-F49)</f>
        <v>9.4875061164284347E-2</v>
      </c>
      <c r="CJ50" s="5" t="b">
        <f>IF(OR(B50="",B49=""),"",IFERROR(FIND(B49,B50)&gt;0,FALSE))</f>
        <v>0</v>
      </c>
      <c r="CK50" s="5" t="b">
        <f>IF(OR(B50="",B49=""),"",IFERROR(FIND(C49,C50)&gt;0,FALSE))</f>
        <v>0</v>
      </c>
      <c r="CL50" s="9" t="str">
        <f>IF(OR(B50="",B49=""),"",IFERROR(FIND(C49,C50),""))</f>
        <v/>
      </c>
      <c r="CM50" s="6" t="str" cm="1">
        <f t="array" ref="CM50">IF(OR(B50="",B49=""),"",_xlfn.LET(_xlpm.pv,D49,_xlpm.ra,BIGSUB(D50,_xlpm.pv),_xlpm.rb,BIGSUB(_xlpm.ra,_xlpm.pv),_xlpm.rc,BIGSUB(_xlpm.rb,_xlpm.pv),IF(LEFT(_xlpm.rb,1)="-",_xlpm.ra,IF(LEFT(_xlpm.rc,1)="-",_xlpm.rb,_xlpm.rc))))</f>
        <v>26704955631639</v>
      </c>
      <c r="CN50" s="38">
        <f>IF(B50="","",F50-0.5)</f>
        <v>-4.6517669835065334E-2</v>
      </c>
      <c r="CO50" s="15" t="str" cm="1">
        <f t="array" ref="CO50">IF(B50="","",_xlfn.TEXTJOIN("",,MID(B50,_xlfn.SEQUENCE(LEN(B50),,LEN(B50),-1),1)))</f>
        <v>d4f510b671471</v>
      </c>
      <c r="CP50" s="6" t="str" cm="1">
        <f t="array" ref="CP50">IF(B50="","",BASE2DEC(CO50,16))</f>
        <v>3746384199488625</v>
      </c>
      <c r="CQ50" s="5" t="str">
        <f>IF(B50="","",IF(AND(LEN(B50)&lt;16,LEN(B50)=LEN(SUBSTITUTE(SUBSTITUTE(SUBSTITUTE(SUBSTITUTE(SUBSTITUTE(SUBSTITUTE(B50,"a",""),"b",""),"c",""),"d",""),"e",""),"f",""))),--B50,""))</f>
        <v/>
      </c>
      <c r="CR50" s="6" t="str" cm="1">
        <f t="array" ref="CR50">IF(B50="","",IF(LEN(D50)&lt;=15,BASE2DEC(D50,16),""))</f>
        <v>290782931134391589</v>
      </c>
      <c r="CS50" s="15" t="str" cm="1">
        <f t="array" ref="CS50">IF(B50="","",_xlfn.LET(_xlpm.p,REPT("0",MOD(-LEN(B50),4))&amp;B50,_xlfn.TEXTJOIN(" ",,MID(_xlpm.p,_xlfn.SEQUENCE(LEN(_xlpm.p)/4,,1,4),4))))</f>
        <v>0001 7417 6b01 5f4d</v>
      </c>
      <c r="CT50" s="15" t="str" cm="1">
        <f t="array" ref="CT50">IF(B50="","",UPPER(_xlfn.LET(_xlpm.p,REPT("0",64-LEN(B50))&amp;B50,_xlfn.TEXTJOIN(" ",,MID(_xlpm.p,_xlfn.SEQUENCE(8,,1,8),8)))))</f>
        <v>00000000 00000000 00000000 00000000 00000000 00000000 00017417 6B015F4D</v>
      </c>
      <c r="CU50" s="6" t="str" cm="1">
        <f t="array" ref="CU50">IF(B50="","",IF(LEN(D50)&lt;=6,_xlfn.LET(_xlpm.n,VALUE(D50)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0" s="39" t="s">
        <v>4444</v>
      </c>
      <c r="CW50" s="39" t="s">
        <v>987</v>
      </c>
      <c r="CX50" s="39" t="s">
        <v>2081</v>
      </c>
      <c r="CY50" s="7" t="s">
        <v>4698</v>
      </c>
      <c r="CZ50" s="39" t="s">
        <v>4444</v>
      </c>
      <c r="DA50" s="39" t="s">
        <v>4444</v>
      </c>
      <c r="DB50" s="39">
        <v>48</v>
      </c>
      <c r="DC50" s="7" t="s">
        <v>4699</v>
      </c>
      <c r="DD50" s="7" t="s">
        <v>4700</v>
      </c>
      <c r="DE50" s="7" t="s">
        <v>4701</v>
      </c>
      <c r="DF50" s="7" t="s">
        <v>4702</v>
      </c>
      <c r="DG50" s="7" t="s">
        <v>4703</v>
      </c>
      <c r="DH50" s="39" t="s">
        <v>4448</v>
      </c>
      <c r="DI50" s="7" t="s">
        <v>5403</v>
      </c>
      <c r="DJ50" s="7" t="s">
        <v>5404</v>
      </c>
      <c r="DK50" s="7" t="s">
        <v>5405</v>
      </c>
      <c r="DL50" s="7" t="s">
        <v>5406</v>
      </c>
      <c r="DM50" s="7" t="s">
        <v>5407</v>
      </c>
      <c r="DN50" s="7" t="s">
        <v>5408</v>
      </c>
      <c r="DO50" s="7" t="s">
        <v>5409</v>
      </c>
      <c r="DP50" s="7" t="s">
        <v>5410</v>
      </c>
      <c r="DQ50" s="7" t="s">
        <v>5411</v>
      </c>
      <c r="DR50" s="7" t="s">
        <v>5412</v>
      </c>
      <c r="DS50" s="7" t="s">
        <v>5803</v>
      </c>
      <c r="DT50" s="15" t="str" cm="1">
        <f t="array" ref="DT50">IF(B50="","",_xlfn.TEXTJOIN("",,HEX2BIN(MID(BQ50,_xlfn.SEQUENCE(40),1),4)))</f>
        <v>1011010101010101011001100111111010001100100110011111101101111101101000110100001010100101110001000001001001100011100011100001111101101010111001011111000110001101</v>
      </c>
    </row>
    <row r="51" spans="1:124" x14ac:dyDescent="0.25">
      <c r="A51" s="9">
        <v>50</v>
      </c>
      <c r="B51" s="15" t="s">
        <v>3428</v>
      </c>
      <c r="C51" s="15" t="s">
        <v>3429</v>
      </c>
      <c r="D51" s="6" t="s">
        <v>3430</v>
      </c>
      <c r="E51" s="6" t="s">
        <v>3431</v>
      </c>
      <c r="F51" s="10">
        <v>8.560360020207014E-2</v>
      </c>
      <c r="G51" s="9">
        <v>24</v>
      </c>
      <c r="H51" s="9">
        <v>2</v>
      </c>
      <c r="I51" s="15" t="s">
        <v>3432</v>
      </c>
      <c r="J51" s="9">
        <v>29</v>
      </c>
      <c r="K51" s="15" t="s">
        <v>3433</v>
      </c>
      <c r="L51" s="15" t="s">
        <v>3434</v>
      </c>
      <c r="M51" s="15" t="s">
        <v>3435</v>
      </c>
      <c r="N51" s="15" t="s">
        <v>3436</v>
      </c>
      <c r="O51" s="6" t="s">
        <v>3437</v>
      </c>
      <c r="P51" s="15" t="s">
        <v>3438</v>
      </c>
      <c r="Q51" s="15" t="s">
        <v>3439</v>
      </c>
      <c r="R51" s="6" t="s">
        <v>3440</v>
      </c>
      <c r="S51" s="15" t="s">
        <v>3441</v>
      </c>
      <c r="T51" s="11">
        <v>1.4937967633619333</v>
      </c>
      <c r="U51" s="10">
        <v>0.48</v>
      </c>
      <c r="V51" s="7" t="s">
        <v>825</v>
      </c>
      <c r="W51" s="7" t="s">
        <v>826</v>
      </c>
      <c r="X51" s="7" t="s">
        <v>827</v>
      </c>
      <c r="Y51" s="15" t="s">
        <v>3442</v>
      </c>
      <c r="Z51" s="9">
        <v>31</v>
      </c>
      <c r="AA51" s="9">
        <v>28</v>
      </c>
      <c r="AB51" s="9">
        <v>84</v>
      </c>
      <c r="AC51" s="13">
        <v>1.697056274847714</v>
      </c>
      <c r="AD51" s="13">
        <v>0.84852813742385702</v>
      </c>
      <c r="AE51" s="9">
        <v>15</v>
      </c>
      <c r="AF51" s="9">
        <v>63</v>
      </c>
      <c r="AG51" s="9">
        <v>9</v>
      </c>
      <c r="AH51" s="6" t="s">
        <v>3443</v>
      </c>
      <c r="AI51" s="10">
        <v>49.118497410306638</v>
      </c>
      <c r="AJ51" s="10">
        <v>45.453815283071911</v>
      </c>
      <c r="AK51" s="15" t="s">
        <v>3444</v>
      </c>
      <c r="AL51" s="15" t="s">
        <v>3445</v>
      </c>
      <c r="AM51" s="15" t="s">
        <v>3446</v>
      </c>
      <c r="AN51" s="9">
        <v>4</v>
      </c>
      <c r="AO51" s="9">
        <v>4</v>
      </c>
      <c r="AP51" s="9">
        <v>30</v>
      </c>
      <c r="AQ51" s="15" t="s">
        <v>3447</v>
      </c>
      <c r="AR51" s="9">
        <v>9</v>
      </c>
      <c r="AS51" s="6" t="s">
        <v>1895</v>
      </c>
      <c r="AT51" s="15" t="s">
        <v>3448</v>
      </c>
      <c r="AU51" s="9">
        <v>0</v>
      </c>
      <c r="AV51" s="9">
        <v>4</v>
      </c>
      <c r="AW51" s="9">
        <v>3</v>
      </c>
      <c r="AX51" s="9">
        <v>2</v>
      </c>
      <c r="AY51" s="9">
        <v>84</v>
      </c>
      <c r="AZ51" s="9">
        <v>37716</v>
      </c>
      <c r="BA51" s="6" t="s">
        <v>3449</v>
      </c>
      <c r="BB51" s="6" t="s">
        <v>3450</v>
      </c>
      <c r="BC51" s="6" t="s">
        <v>3451</v>
      </c>
      <c r="BD51" s="15" t="s">
        <v>3452</v>
      </c>
      <c r="BE51" s="15" t="s">
        <v>3453</v>
      </c>
      <c r="BF51" s="15" t="s">
        <v>3454</v>
      </c>
      <c r="BG51" s="15" t="s">
        <v>3455</v>
      </c>
      <c r="BH51" s="6" t="s">
        <v>3456</v>
      </c>
      <c r="BI51" s="17" t="s">
        <v>888</v>
      </c>
      <c r="BJ51" s="7" t="s">
        <v>1515</v>
      </c>
      <c r="BK51" s="7" t="s">
        <v>1516</v>
      </c>
      <c r="BL51" s="7" t="s">
        <v>1517</v>
      </c>
      <c r="BM51" s="16" t="s">
        <v>1518</v>
      </c>
      <c r="BN51" s="16" t="s">
        <v>1519</v>
      </c>
      <c r="BO51" s="16" t="s">
        <v>1520</v>
      </c>
      <c r="BP51" s="16" t="s">
        <v>1521</v>
      </c>
      <c r="BQ51" s="16" t="s">
        <v>1522</v>
      </c>
      <c r="BR51" s="7" t="s">
        <v>1523</v>
      </c>
      <c r="BS51" s="7" t="s">
        <v>1524</v>
      </c>
      <c r="BT51" s="7" t="s">
        <v>1525</v>
      </c>
      <c r="BU51" s="14">
        <v>5.277912335748869E-63</v>
      </c>
      <c r="BV51" s="15" t="s">
        <v>3457</v>
      </c>
      <c r="BW51" s="9">
        <v>18</v>
      </c>
      <c r="BX51" s="9">
        <v>28</v>
      </c>
      <c r="BY51" s="13">
        <v>-1.9798989873223329</v>
      </c>
      <c r="BZ51" s="13">
        <v>0.84852813742385702</v>
      </c>
      <c r="CA51" s="12">
        <f>IF(B51="","",IF(A51&lt;8,"",_xlfn.LET(_xlpm.n,A51,_xlpm.k,G51,_xlpm.R,AP51,_xlpm.mu,1+2*_xlpm.k*(_xlpm.n-_xlpm.k)/_xlpm.n,_xlpm.v,2*_xlpm.k*(_xlpm.n-_xlpm.k)*(2*_xlpm.k*(_xlpm.n-_xlpm.k)-_xlpm.n)/(_xlpm.n^2*(_xlpm.n-1)),IF(_xlpm.v&lt;=0,"",(_xlpm.R-_xlpm.mu)/SQRT(_xlpm.v)))))</f>
        <v>1.1564149772047425</v>
      </c>
      <c r="CB51" s="37" cm="1">
        <f t="array" ref="CB51">IF(B51="","",IF(A51&lt;8,"",_xlfn.LET(_xlpm.b,--MID(C51,_xlfn.SEQUENCE(A51-1),1),_xlpm.c,--MID(C51,_xlfn.SEQUENCE(A51-1,,2),1),IFERROR(CORREL(_xlpm.b,_xlpm.c),""))))</f>
        <v>-0.18530910631413428</v>
      </c>
      <c r="CC51" s="8">
        <f>IF(B51="","",LOG(A51,2))</f>
        <v>5.6438561897747244</v>
      </c>
      <c r="CD51" s="8">
        <f>IF(B51="","",MAX(AN51,AO51)-CC51)</f>
        <v>-1.6438561897747244</v>
      </c>
      <c r="CE51" s="8" t="str" cm="1">
        <f t="array" ref="CE51">IF(B51="","",IF(LEN(B51)&lt;16,"",_xlfn.LET(_xlpm.d,MID("0123456789abcdef",_xlfn.SEQUENCE(16),1),_xlpm.c,LEN(B51)-LEN(SUBSTITUTE(B51,_xlpm.d,"")),_xlpm.ex,LEN(B51)/16,SUM((_xlpm.c-_xlpm.ex)^2/_xlpm.ex))))</f>
        <v/>
      </c>
      <c r="CF51" s="37" t="str">
        <f>IF(CE51="","",_xlfn.CHISQ.DIST.RT(CE51,15))</f>
        <v/>
      </c>
      <c r="CG51" s="9" cm="1">
        <f t="array" ref="CG51">IF(OR(B51="",B50=""),"",_xlfn.LET(_xlpm.a,C51,_xlpm.b,REPT("0",A51-LEN(C50))&amp;C50,_xlpm.m,MID(_xlpm.a,_xlfn.SEQUENCE(A51),1)=MID(_xlpm.b,_xlfn.SEQUENCE(A51),1),IFERROR(MATCH(FALSE,_xlpm.m,0)-1,A51)))</f>
        <v>0</v>
      </c>
      <c r="CH51" s="9" cm="1">
        <f t="array" ref="CH51">IF(OR(B51="",B50=""),"",_xlfn.LET(_xlpm.a,C51,_xlpm.b,REPT("0",A51-LEN(C50))&amp;C50,_xlpm.n,A51,_xlpm.m,MID(_xlpm.a,_xlfn.SEQUENCE(_xlpm.n,,_xlpm.n,-1),1)=MID(_xlpm.b,_xlfn.SEQUENCE(_xlpm.n,,_xlpm.n,-1),1),IFERROR(MATCH(FALSE,_xlpm.m,0)-1,_xlpm.n)))</f>
        <v>0</v>
      </c>
      <c r="CI51" s="38">
        <f>IF(OR(B51="",B50=""),"",F51-F50)</f>
        <v>-0.36787872996286453</v>
      </c>
      <c r="CJ51" s="5" t="b">
        <f>IF(OR(B51="",B50=""),"",IFERROR(FIND(B50,B51)&gt;0,FALSE))</f>
        <v>0</v>
      </c>
      <c r="CK51" s="5" t="b">
        <f>IF(OR(B51="",B50=""),"",IFERROR(FIND(C50,C51)&gt;0,FALSE))</f>
        <v>0</v>
      </c>
      <c r="CL51" s="9" t="str">
        <f>IF(OR(B51="",B50=""),"",IFERROR(FIND(C50,C51),""))</f>
        <v/>
      </c>
      <c r="CM51" s="6" t="str" cm="1">
        <f t="array" ref="CM51">IF(OR(B51="",B50=""),"",_xlfn.LET(_xlpm.pv,D50,_xlpm.ra,BIGSUB(D51,_xlpm.pv),_xlpm.rb,BIGSUB(_xlpm.ra,_xlpm.pv),_xlpm.rc,BIGSUB(_xlpm.rb,_xlpm.pv),IF(LEFT(_xlpm.rb,1)="-",_xlpm.ra,IF(LEFT(_xlpm.rc,1)="-",_xlpm.rb,_xlpm.rc))))</f>
        <v>202021591135239</v>
      </c>
      <c r="CN51" s="38">
        <f>IF(B51="","",F51-0.5)</f>
        <v>-0.41439639979792986</v>
      </c>
      <c r="CO51" s="15" t="str" cm="1">
        <f t="array" ref="CO51">IF(B51="","",_xlfn.TEXTJOIN("",,MID(B51,_xlfn.SEQUENCE(LEN(B51),,LEN(B51),-1),1)))</f>
        <v>4539e2c34db22</v>
      </c>
      <c r="CP51" s="6" t="str" cm="1">
        <f t="array" ref="CP51">IF(B51="","",BASE2DEC(CO51,16))</f>
        <v>1217838718442274</v>
      </c>
      <c r="CQ51" s="5" t="str">
        <f>IF(B51="","",IF(AND(LEN(B51)&lt;16,LEN(B51)=LEN(SUBSTITUTE(SUBSTITUTE(SUBSTITUTE(SUBSTITUTE(SUBSTITUTE(SUBSTITUTE(B51,"a",""),"b",""),"c",""),"d",""),"e",""),"f",""))),--B51,""))</f>
        <v/>
      </c>
      <c r="CR51" s="6" t="str" cm="1">
        <f t="array" ref="CR51">IF(B51="","",IF(LEN(D51)&lt;=15,BASE2DEC(D51,16),""))</f>
        <v>437152648762128228</v>
      </c>
      <c r="CS51" s="15" t="str" cm="1">
        <f t="array" ref="CS51">IF(B51="","",_xlfn.LET(_xlpm.p,REPT("0",MOD(-LEN(B51),4))&amp;B51,_xlfn.TEXTJOIN(" ",,MID(_xlpm.p,_xlfn.SEQUENCE(LEN(_xlpm.p)/4,,1,4),4))))</f>
        <v>0002 2bd4 3c2e 9354</v>
      </c>
      <c r="CT51" s="15" t="str" cm="1">
        <f t="array" ref="CT51">IF(B51="","",UPPER(_xlfn.LET(_xlpm.p,REPT("0",64-LEN(B51))&amp;B51,_xlfn.TEXTJOIN(" ",,MID(_xlpm.p,_xlfn.SEQUENCE(8,,1,8),8)))))</f>
        <v>00000000 00000000 00000000 00000000 00000000 00000000 00022BD4 3C2E9354</v>
      </c>
      <c r="CU51" s="6" t="str" cm="1">
        <f t="array" ref="CU51">IF(B51="","",IF(LEN(D51)&lt;=6,_xlfn.LET(_xlpm.n,VALUE(D51)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1" s="39" t="s">
        <v>4444</v>
      </c>
      <c r="CW51" s="39" t="s">
        <v>1895</v>
      </c>
      <c r="CX51" s="39" t="s">
        <v>1896</v>
      </c>
      <c r="CY51" s="7" t="s">
        <v>4704</v>
      </c>
      <c r="CZ51" s="39" t="s">
        <v>4444</v>
      </c>
      <c r="DA51" s="39" t="s">
        <v>4444</v>
      </c>
      <c r="DB51" s="39">
        <v>49</v>
      </c>
      <c r="DC51" s="7" t="s">
        <v>4705</v>
      </c>
      <c r="DD51" s="7" t="s">
        <v>4700</v>
      </c>
      <c r="DE51" s="7" t="s">
        <v>4706</v>
      </c>
      <c r="DF51" s="7" t="s">
        <v>4707</v>
      </c>
      <c r="DG51" s="7" t="s">
        <v>4708</v>
      </c>
      <c r="DH51" s="39" t="s">
        <v>4452</v>
      </c>
      <c r="DI51" s="7" t="s">
        <v>5413</v>
      </c>
      <c r="DJ51" s="7" t="s">
        <v>5414</v>
      </c>
      <c r="DK51" s="7" t="s">
        <v>5415</v>
      </c>
      <c r="DL51" s="7" t="s">
        <v>5416</v>
      </c>
      <c r="DM51" s="7" t="s">
        <v>5417</v>
      </c>
      <c r="DN51" s="7" t="s">
        <v>5418</v>
      </c>
      <c r="DO51" s="7" t="s">
        <v>5419</v>
      </c>
      <c r="DP51" s="7" t="s">
        <v>5420</v>
      </c>
      <c r="DQ51" s="7" t="s">
        <v>5421</v>
      </c>
      <c r="DR51" s="7" t="s">
        <v>5422</v>
      </c>
      <c r="DS51" s="7" t="s">
        <v>5804</v>
      </c>
      <c r="DT51" s="15" t="str" cm="1">
        <f t="array" ref="DT51">IF(B51="","",_xlfn.TEXTJOIN("",,HEX2BIN(MID(BQ51,_xlfn.SEQUENCE(40),1),4)))</f>
        <v>0001111111110000100010100101110001101101101001100001000001011101000101011111010000111101100001001011001111100100000011011111001110001101010100111111010010101010</v>
      </c>
    </row>
    <row r="52" spans="1:124" x14ac:dyDescent="0.25">
      <c r="A52" s="9">
        <v>51</v>
      </c>
      <c r="B52" s="15" t="s">
        <v>3458</v>
      </c>
      <c r="C52" s="15" t="s">
        <v>3459</v>
      </c>
      <c r="D52" s="6" t="s">
        <v>3460</v>
      </c>
      <c r="E52" s="6" t="s">
        <v>3461</v>
      </c>
      <c r="F52" s="10">
        <v>0.82855465449616261</v>
      </c>
      <c r="G52" s="9">
        <v>19</v>
      </c>
      <c r="H52" s="9">
        <v>2</v>
      </c>
      <c r="I52" s="15" t="s">
        <v>3462</v>
      </c>
      <c r="J52" s="9">
        <v>25</v>
      </c>
      <c r="K52" s="15" t="s">
        <v>3463</v>
      </c>
      <c r="L52" s="15" t="s">
        <v>3464</v>
      </c>
      <c r="M52" s="15" t="s">
        <v>3465</v>
      </c>
      <c r="N52" s="15" t="s">
        <v>3466</v>
      </c>
      <c r="O52" s="6" t="s">
        <v>3467</v>
      </c>
      <c r="P52" s="15" t="s">
        <v>3468</v>
      </c>
      <c r="Q52" s="15" t="s">
        <v>3469</v>
      </c>
      <c r="R52" s="6" t="s">
        <v>3470</v>
      </c>
      <c r="S52" s="15" t="s">
        <v>3471</v>
      </c>
      <c r="T52" s="11">
        <v>3.3687335859162535</v>
      </c>
      <c r="U52" s="10">
        <v>0.37254901960784315</v>
      </c>
      <c r="V52" s="7" t="s">
        <v>828</v>
      </c>
      <c r="W52" s="7" t="s">
        <v>829</v>
      </c>
      <c r="X52" s="7" t="s">
        <v>830</v>
      </c>
      <c r="Y52" s="15" t="s">
        <v>3472</v>
      </c>
      <c r="Z52" s="9">
        <v>21</v>
      </c>
      <c r="AA52" s="9">
        <v>26</v>
      </c>
      <c r="AB52" s="9">
        <v>84</v>
      </c>
      <c r="AC52" s="13">
        <v>-1.2602520756252087</v>
      </c>
      <c r="AD52" s="13">
        <v>0.14002800840280097</v>
      </c>
      <c r="AE52" s="9">
        <v>16</v>
      </c>
      <c r="AF52" s="9">
        <v>78</v>
      </c>
      <c r="AG52" s="9">
        <v>6</v>
      </c>
      <c r="AH52" s="6" t="s">
        <v>3473</v>
      </c>
      <c r="AI52" s="10">
        <v>50.870703748687582</v>
      </c>
      <c r="AJ52" s="10">
        <v>49.728668771141031</v>
      </c>
      <c r="AK52" s="15" t="s">
        <v>3474</v>
      </c>
      <c r="AL52" s="15" t="s">
        <v>3475</v>
      </c>
      <c r="AM52" s="15" t="s">
        <v>3476</v>
      </c>
      <c r="AN52" s="9">
        <v>9</v>
      </c>
      <c r="AO52" s="9">
        <v>3</v>
      </c>
      <c r="AP52" s="9">
        <v>24</v>
      </c>
      <c r="AQ52" s="15" t="s">
        <v>3477</v>
      </c>
      <c r="AR52" s="9">
        <v>8</v>
      </c>
      <c r="AS52" s="6" t="s">
        <v>2054</v>
      </c>
      <c r="AT52" s="15" t="s">
        <v>3478</v>
      </c>
      <c r="AU52" s="9">
        <v>0</v>
      </c>
      <c r="AV52" s="9">
        <v>1</v>
      </c>
      <c r="AW52" s="9">
        <v>0</v>
      </c>
      <c r="AX52" s="9">
        <v>8</v>
      </c>
      <c r="AY52" s="9">
        <v>212</v>
      </c>
      <c r="AZ52" s="9">
        <v>2516</v>
      </c>
      <c r="BA52" s="6" t="s">
        <v>3479</v>
      </c>
      <c r="BB52" s="6" t="s">
        <v>3480</v>
      </c>
      <c r="BC52" s="6" t="s">
        <v>3481</v>
      </c>
      <c r="BD52" s="15" t="s">
        <v>3482</v>
      </c>
      <c r="BE52" s="15" t="s">
        <v>3483</v>
      </c>
      <c r="BF52" s="15" t="s">
        <v>3484</v>
      </c>
      <c r="BG52" s="15" t="s">
        <v>3485</v>
      </c>
      <c r="BH52" s="6" t="s">
        <v>3486</v>
      </c>
      <c r="BI52" s="17" t="s">
        <v>888</v>
      </c>
      <c r="BJ52" s="7" t="s">
        <v>1526</v>
      </c>
      <c r="BK52" s="7" t="s">
        <v>1527</v>
      </c>
      <c r="BL52" s="7" t="s">
        <v>1528</v>
      </c>
      <c r="BM52" s="16" t="s">
        <v>1529</v>
      </c>
      <c r="BN52" s="16" t="s">
        <v>1530</v>
      </c>
      <c r="BO52" s="16" t="s">
        <v>1531</v>
      </c>
      <c r="BP52" s="16" t="s">
        <v>1532</v>
      </c>
      <c r="BQ52" s="16" t="s">
        <v>1533</v>
      </c>
      <c r="BR52" s="7" t="s">
        <v>1534</v>
      </c>
      <c r="BS52" s="7" t="s">
        <v>1535</v>
      </c>
      <c r="BT52" s="7" t="s">
        <v>1536</v>
      </c>
      <c r="BU52" s="14">
        <v>1.7779880548958918E-62</v>
      </c>
      <c r="BV52" s="15" t="s">
        <v>3487</v>
      </c>
      <c r="BW52" s="9">
        <v>30</v>
      </c>
      <c r="BX52" s="9">
        <v>27</v>
      </c>
      <c r="BY52" s="13">
        <v>1.2602520756252087</v>
      </c>
      <c r="BZ52" s="13">
        <v>0.42008402520840293</v>
      </c>
      <c r="CA52" s="12">
        <f>IF(B52="","",IF(A52&lt;8,"",_xlfn.LET(_xlpm.n,A52,_xlpm.k,G52,_xlpm.R,AP52,_xlpm.mu,1+2*_xlpm.k*(_xlpm.n-_xlpm.k)/_xlpm.n,_xlpm.v,2*_xlpm.k*(_xlpm.n-_xlpm.k)*(2*_xlpm.k*(_xlpm.n-_xlpm.k)-_xlpm.n)/(_xlpm.n^2*(_xlpm.n-1)),IF(_xlpm.v&lt;=0,"",(_xlpm.R-_xlpm.mu)/SQRT(_xlpm.v)))))</f>
        <v>-0.25546047043313613</v>
      </c>
      <c r="CB52" s="37" cm="1">
        <f t="array" ref="CB52">IF(B52="","",IF(A52&lt;8,"",_xlfn.LET(_xlpm.b,--MID(C52,_xlfn.SEQUENCE(A52-1),1),_xlpm.c,--MID(C52,_xlfn.SEQUENCE(A52-1,,2),1),IFERROR(CORREL(_xlpm.b,_xlpm.c),""))))</f>
        <v>1.3734760723838897E-2</v>
      </c>
      <c r="CC52" s="8">
        <f>IF(B52="","",LOG(A52,2))</f>
        <v>5.6724253419714961</v>
      </c>
      <c r="CD52" s="8">
        <f>IF(B52="","",MAX(AN52,AO52)-CC52)</f>
        <v>3.3275746580285039</v>
      </c>
      <c r="CE52" s="8" t="str" cm="1">
        <f t="array" ref="CE52">IF(B52="","",IF(LEN(B52)&lt;16,"",_xlfn.LET(_xlpm.d,MID("0123456789abcdef",_xlfn.SEQUENCE(16),1),_xlpm.c,LEN(B52)-LEN(SUBSTITUTE(B52,_xlpm.d,"")),_xlpm.ex,LEN(B52)/16,SUM((_xlpm.c-_xlpm.ex)^2/_xlpm.ex))))</f>
        <v/>
      </c>
      <c r="CF52" s="37" t="str">
        <f>IF(CE52="","",_xlfn.CHISQ.DIST.RT(CE52,15))</f>
        <v/>
      </c>
      <c r="CG52" s="9" cm="1">
        <f t="array" ref="CG52">IF(OR(B52="",B51=""),"",_xlfn.LET(_xlpm.a,C52,_xlpm.b,REPT("0",A52-LEN(C51))&amp;C51,_xlpm.m,MID(_xlpm.a,_xlfn.SEQUENCE(A52),1)=MID(_xlpm.b,_xlfn.SEQUENCE(A52),1),IFERROR(MATCH(FALSE,_xlpm.m,0)-1,A52)))</f>
        <v>0</v>
      </c>
      <c r="CH52" s="9" cm="1">
        <f t="array" ref="CH52">IF(OR(B52="",B51=""),"",_xlfn.LET(_xlpm.a,C52,_xlpm.b,REPT("0",A52-LEN(C51))&amp;C51,_xlpm.n,A52,_xlpm.m,MID(_xlpm.a,_xlfn.SEQUENCE(_xlpm.n,,_xlpm.n,-1),1)=MID(_xlpm.b,_xlfn.SEQUENCE(_xlpm.n,,_xlpm.n,-1),1),IFERROR(MATCH(FALSE,_xlpm.m,0)-1,_xlpm.n)))</f>
        <v>7</v>
      </c>
      <c r="CI52" s="38">
        <f>IF(OR(B52="",B51=""),"",F52-F51)</f>
        <v>0.74295105429409247</v>
      </c>
      <c r="CJ52" s="5" t="b">
        <f>IF(OR(B52="",B51=""),"",IFERROR(FIND(B51,B52)&gt;0,FALSE))</f>
        <v>0</v>
      </c>
      <c r="CK52" s="5" t="b">
        <f>IF(OR(B52="",B51=""),"",IFERROR(FIND(C51,C52)&gt;0,FALSE))</f>
        <v>0</v>
      </c>
      <c r="CL52" s="9" t="str">
        <f>IF(OR(B52="",B51=""),"",IFERROR(FIND(C51,C52),""))</f>
        <v/>
      </c>
      <c r="CM52" s="6" t="str" cm="1">
        <f t="array" ref="CM52">IF(OR(B52="",B51=""),"",_xlfn.LET(_xlpm.pv,D51,_xlpm.ra,BIGSUB(D52,_xlpm.pv),_xlpm.rb,BIGSUB(_xlpm.ra,_xlpm.pv),_xlpm.rc,BIGSUB(_xlpm.rb,_xlpm.pv),IF(LEFT(_xlpm.rb,1)="-",_xlpm.ra,IF(LEFT(_xlpm.rc,1)="-",_xlpm.rb,_xlpm.rc))))</f>
        <v>225348026650584</v>
      </c>
      <c r="CN52" s="38">
        <f>IF(B52="","",F52-0.5)</f>
        <v>0.32855465449616261</v>
      </c>
      <c r="CO52" s="15" t="str" cm="1">
        <f t="array" ref="CO52">IF(B52="","",_xlfn.TEXTJOIN("",,MID(B52,_xlfn.SEQUENCE(LEN(B52),,LEN(B52),-1),1)))</f>
        <v>4d900a1a07057</v>
      </c>
      <c r="CP52" s="6" t="str" cm="1">
        <f t="array" ref="CP52">IF(B52="","",BASE2DEC(CO52,16))</f>
        <v>1364496641716311</v>
      </c>
      <c r="CQ52" s="5" t="str">
        <f>IF(B52="","",IF(AND(LEN(B52)&lt;16,LEN(B52)=LEN(SUBSTITUTE(SUBSTITUTE(SUBSTITUTE(SUBSTITUTE(SUBSTITUTE(SUBSTITUTE(B52,"a",""),"b",""),"c",""),"d",""),"e",""),"f",""))),--B52,""))</f>
        <v/>
      </c>
      <c r="CR52" s="6" t="str" cm="1">
        <f t="array" ref="CR52">IF(B52="","",IF(LEN(D52)&lt;=15,BASE2DEC(D52,16),""))</f>
        <v/>
      </c>
      <c r="CS52" s="15" t="str" cm="1">
        <f t="array" ref="CS52">IF(B52="","",_xlfn.LET(_xlpm.p,REPT("0",MOD(-LEN(B52),4))&amp;B52,_xlfn.TEXTJOIN(" ",,MID(_xlpm.p,_xlfn.SEQUENCE(LEN(_xlpm.p)/4,,1,4),4))))</f>
        <v>0007 5070 a1a0 09d4</v>
      </c>
      <c r="CT52" s="15" t="str" cm="1">
        <f t="array" ref="CT52">IF(B52="","",UPPER(_xlfn.LET(_xlpm.p,REPT("0",64-LEN(B52))&amp;B52,_xlfn.TEXTJOIN(" ",,MID(_xlpm.p,_xlfn.SEQUENCE(8,,1,8),8)))))</f>
        <v>00000000 00000000 00000000 00000000 00000000 00000000 00075070 A1A009D4</v>
      </c>
      <c r="CU52" s="6" t="str" cm="1">
        <f t="array" ref="CU52">IF(B52="","",IF(LEN(D52)&lt;=6,_xlfn.LET(_xlpm.n,VALUE(D52)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2" s="39" t="s">
        <v>4444</v>
      </c>
      <c r="CW52" s="39" t="s">
        <v>1895</v>
      </c>
      <c r="CX52" s="39" t="s">
        <v>1009</v>
      </c>
      <c r="CY52" s="7" t="s">
        <v>4709</v>
      </c>
      <c r="CZ52" s="39" t="s">
        <v>4444</v>
      </c>
      <c r="DA52" s="39" t="s">
        <v>4444</v>
      </c>
      <c r="DB52" s="39">
        <v>51</v>
      </c>
      <c r="DC52" s="7" t="s">
        <v>4710</v>
      </c>
      <c r="DD52" s="7" t="s">
        <v>4711</v>
      </c>
      <c r="DE52" s="7" t="s">
        <v>4712</v>
      </c>
      <c r="DF52" s="7" t="s">
        <v>4713</v>
      </c>
      <c r="DG52" s="7" t="s">
        <v>4714</v>
      </c>
      <c r="DH52" s="39" t="s">
        <v>4452</v>
      </c>
      <c r="DI52" s="7" t="s">
        <v>5423</v>
      </c>
      <c r="DJ52" s="7" t="s">
        <v>5424</v>
      </c>
      <c r="DK52" s="7" t="s">
        <v>5425</v>
      </c>
      <c r="DL52" s="7" t="s">
        <v>5426</v>
      </c>
      <c r="DM52" s="7" t="s">
        <v>5427</v>
      </c>
      <c r="DN52" s="7" t="s">
        <v>5428</v>
      </c>
      <c r="DO52" s="7" t="s">
        <v>5429</v>
      </c>
      <c r="DP52" s="7" t="s">
        <v>5430</v>
      </c>
      <c r="DQ52" s="7" t="s">
        <v>5431</v>
      </c>
      <c r="DR52" s="7" t="s">
        <v>5432</v>
      </c>
      <c r="DS52" s="7" t="s">
        <v>5805</v>
      </c>
      <c r="DT52" s="15" t="str" cm="1">
        <f t="array" ref="DT52">IF(B52="","",_xlfn.TEXTJOIN("",,HEX2BIN(MID(BQ52,_xlfn.SEQUENCE(40),1),4)))</f>
        <v>0111000110110001010111010000100111101000101011101011011000100010111111000111000010001110110110100111100101001000101111011101011111011010000101101010111111001011</v>
      </c>
    </row>
    <row r="53" spans="1:124" x14ac:dyDescent="0.25">
      <c r="A53" s="9">
        <v>52</v>
      </c>
      <c r="B53" s="15" t="s">
        <v>3488</v>
      </c>
      <c r="C53" s="15" t="s">
        <v>3489</v>
      </c>
      <c r="D53" s="6" t="s">
        <v>3490</v>
      </c>
      <c r="E53" s="6" t="s">
        <v>3491</v>
      </c>
      <c r="F53" s="10">
        <v>0.87250021692650837</v>
      </c>
      <c r="G53" s="9">
        <v>30</v>
      </c>
      <c r="H53" s="9">
        <v>2</v>
      </c>
      <c r="I53" s="15" t="s">
        <v>3492</v>
      </c>
      <c r="J53" s="9">
        <v>27</v>
      </c>
      <c r="K53" s="15" t="s">
        <v>3493</v>
      </c>
      <c r="L53" s="15" t="s">
        <v>3494</v>
      </c>
      <c r="M53" s="15" t="s">
        <v>3495</v>
      </c>
      <c r="N53" s="15" t="s">
        <v>3496</v>
      </c>
      <c r="O53" s="6" t="s">
        <v>3497</v>
      </c>
      <c r="P53" s="15" t="s">
        <v>3498</v>
      </c>
      <c r="Q53" s="15" t="s">
        <v>3499</v>
      </c>
      <c r="R53" s="6" t="s">
        <v>3500</v>
      </c>
      <c r="S53" s="15" t="s">
        <v>3501</v>
      </c>
      <c r="T53" s="11">
        <v>2.0480658998321939</v>
      </c>
      <c r="U53" s="10">
        <v>0.57692307692307687</v>
      </c>
      <c r="V53" s="7" t="s">
        <v>831</v>
      </c>
      <c r="W53" s="7" t="s">
        <v>832</v>
      </c>
      <c r="X53" s="7" t="s">
        <v>833</v>
      </c>
      <c r="Y53" s="15" t="s">
        <v>3502</v>
      </c>
      <c r="Z53" s="9">
        <v>29</v>
      </c>
      <c r="AA53" s="9">
        <v>21</v>
      </c>
      <c r="AB53" s="9">
        <v>85</v>
      </c>
      <c r="AC53" s="13">
        <v>0.83205029433784372</v>
      </c>
      <c r="AD53" s="13">
        <v>-1.386750490563073</v>
      </c>
      <c r="AE53" s="9">
        <v>16</v>
      </c>
      <c r="AF53" s="9">
        <v>62</v>
      </c>
      <c r="AG53" s="9">
        <v>8</v>
      </c>
      <c r="AH53" s="6" t="s">
        <v>3503</v>
      </c>
      <c r="AI53" s="10">
        <v>51.904965885818221</v>
      </c>
      <c r="AJ53" s="10">
        <v>50.803227395126918</v>
      </c>
      <c r="AK53" s="15" t="s">
        <v>3504</v>
      </c>
      <c r="AL53" s="15" t="s">
        <v>3505</v>
      </c>
      <c r="AM53" s="15" t="s">
        <v>3506</v>
      </c>
      <c r="AN53" s="9">
        <v>4</v>
      </c>
      <c r="AO53" s="9">
        <v>5</v>
      </c>
      <c r="AP53" s="9">
        <v>24</v>
      </c>
      <c r="AQ53" s="15" t="s">
        <v>3507</v>
      </c>
      <c r="AR53" s="9">
        <v>10</v>
      </c>
      <c r="AS53" s="6" t="s">
        <v>3508</v>
      </c>
      <c r="AT53" s="15" t="s">
        <v>3509</v>
      </c>
      <c r="AU53" s="9">
        <v>2</v>
      </c>
      <c r="AV53" s="9">
        <v>0</v>
      </c>
      <c r="AW53" s="9">
        <v>1</v>
      </c>
      <c r="AX53" s="9">
        <v>5</v>
      </c>
      <c r="AY53" s="9">
        <v>60</v>
      </c>
      <c r="AZ53" s="9">
        <v>40508</v>
      </c>
      <c r="BA53" s="6" t="s">
        <v>3510</v>
      </c>
      <c r="BB53" s="6" t="s">
        <v>3511</v>
      </c>
      <c r="BC53" s="6" t="s">
        <v>3512</v>
      </c>
      <c r="BD53" s="15" t="s">
        <v>3513</v>
      </c>
      <c r="BE53" s="15" t="s">
        <v>3514</v>
      </c>
      <c r="BF53" s="15" t="s">
        <v>3515</v>
      </c>
      <c r="BG53" s="15" t="s">
        <v>3516</v>
      </c>
      <c r="BH53" s="6" t="s">
        <v>3517</v>
      </c>
      <c r="BI53" s="17" t="s">
        <v>888</v>
      </c>
      <c r="BJ53" s="7" t="s">
        <v>1537</v>
      </c>
      <c r="BK53" s="7" t="s">
        <v>1538</v>
      </c>
      <c r="BL53" s="7" t="s">
        <v>1539</v>
      </c>
      <c r="BM53" s="16" t="s">
        <v>1540</v>
      </c>
      <c r="BN53" s="16" t="s">
        <v>1541</v>
      </c>
      <c r="BO53" s="16" t="s">
        <v>1542</v>
      </c>
      <c r="BP53" s="16" t="s">
        <v>1543</v>
      </c>
      <c r="BQ53" s="16" t="s">
        <v>1544</v>
      </c>
      <c r="BR53" s="7" t="s">
        <v>1545</v>
      </c>
      <c r="BS53" s="7" t="s">
        <v>1546</v>
      </c>
      <c r="BT53" s="7" t="s">
        <v>1547</v>
      </c>
      <c r="BU53" s="14">
        <v>3.6414367055412464E-62</v>
      </c>
      <c r="BV53" s="15" t="s">
        <v>3518</v>
      </c>
      <c r="BW53" s="9">
        <v>23</v>
      </c>
      <c r="BX53" s="9">
        <v>27</v>
      </c>
      <c r="BY53" s="13">
        <v>-0.83205029433784372</v>
      </c>
      <c r="BZ53" s="13">
        <v>0.27735009811261457</v>
      </c>
      <c r="CA53" s="12">
        <f>IF(B53="","",IF(A53&lt;8,"",_xlfn.LET(_xlpm.n,A53,_xlpm.k,G53,_xlpm.R,AP53,_xlpm.mu,1+2*_xlpm.k*(_xlpm.n-_xlpm.k)/_xlpm.n,_xlpm.v,2*_xlpm.k*(_xlpm.n-_xlpm.k)*(2*_xlpm.k*(_xlpm.n-_xlpm.k)-_xlpm.n)/(_xlpm.n^2*(_xlpm.n-1)),IF(_xlpm.v&lt;=0,"",(_xlpm.R-_xlpm.mu)/SQRT(_xlpm.v)))))</f>
        <v>-0.68447908263758972</v>
      </c>
      <c r="CB53" s="37" cm="1">
        <f t="array" ref="CB53">IF(B53="","",IF(A53&lt;8,"",_xlfn.LET(_xlpm.b,--MID(C53,_xlfn.SEQUENCE(A53-1),1),_xlpm.c,--MID(C53,_xlfn.SEQUENCE(A53-1,,2),1),IFERROR(CORREL(_xlpm.b,_xlpm.c),""))))</f>
        <v>7.5711286051995619E-2</v>
      </c>
      <c r="CC53" s="8">
        <f>IF(B53="","",LOG(A53,2))</f>
        <v>5.7004397181410926</v>
      </c>
      <c r="CD53" s="8">
        <f>IF(B53="","",MAX(AN53,AO53)-CC53)</f>
        <v>-0.70043971814109263</v>
      </c>
      <c r="CE53" s="8" t="str" cm="1">
        <f t="array" ref="CE53">IF(B53="","",IF(LEN(B53)&lt;16,"",_xlfn.LET(_xlpm.d,MID("0123456789abcdef",_xlfn.SEQUENCE(16),1),_xlpm.c,LEN(B53)-LEN(SUBSTITUTE(B53,_xlpm.d,"")),_xlpm.ex,LEN(B53)/16,SUM((_xlpm.c-_xlpm.ex)^2/_xlpm.ex))))</f>
        <v/>
      </c>
      <c r="CF53" s="37" t="str">
        <f>IF(CE53="","",_xlfn.CHISQ.DIST.RT(CE53,15))</f>
        <v/>
      </c>
      <c r="CG53" s="9" cm="1">
        <f t="array" ref="CG53">IF(OR(B53="",B52=""),"",_xlfn.LET(_xlpm.a,C53,_xlpm.b,REPT("0",A53-LEN(C52))&amp;C52,_xlpm.m,MID(_xlpm.a,_xlfn.SEQUENCE(A53),1)=MID(_xlpm.b,_xlfn.SEQUENCE(A53),1),IFERROR(MATCH(FALSE,_xlpm.m,0)-1,A53)))</f>
        <v>0</v>
      </c>
      <c r="CH53" s="9" cm="1">
        <f t="array" ref="CH53">IF(OR(B53="",B52=""),"",_xlfn.LET(_xlpm.a,C53,_xlpm.b,REPT("0",A53-LEN(C52))&amp;C52,_xlpm.n,A53,_xlpm.m,MID(_xlpm.a,_xlfn.SEQUENCE(_xlpm.n,,_xlpm.n,-1),1)=MID(_xlpm.b,_xlfn.SEQUENCE(_xlpm.n,,_xlpm.n,-1),1),IFERROR(MATCH(FALSE,_xlpm.m,0)-1,_xlpm.n)))</f>
        <v>3</v>
      </c>
      <c r="CI53" s="38">
        <f>IF(OR(B53="",B52=""),"",F53-F52)</f>
        <v>4.3945562430345753E-2</v>
      </c>
      <c r="CJ53" s="5" t="b">
        <f>IF(OR(B53="",B52=""),"",IFERROR(FIND(B52,B53)&gt;0,FALSE))</f>
        <v>0</v>
      </c>
      <c r="CK53" s="5" t="b">
        <f>IF(OR(B53="",B52=""),"",IFERROR(FIND(C52,C53)&gt;0,FALSE))</f>
        <v>0</v>
      </c>
      <c r="CL53" s="9" t="str">
        <f>IF(OR(B53="",B52=""),"",IFERROR(FIND(C52,C53),""))</f>
        <v/>
      </c>
      <c r="CM53" s="6" t="str" cm="1">
        <f t="array" ref="CM53">IF(OR(B53="",B52=""),"",_xlfn.LET(_xlpm.pv,D52,_xlpm.ra,BIGSUB(D53,_xlpm.pv),_xlpm.rb,BIGSUB(_xlpm.ra,_xlpm.pv),_xlpm.rc,BIGSUB(_xlpm.rb,_xlpm.pv),IF(LEFT(_xlpm.rb,1)="-",_xlpm.ra,IF(LEFT(_xlpm.rc,1)="-",_xlpm.rb,_xlpm.rc))))</f>
        <v>98956609292948</v>
      </c>
      <c r="CN53" s="38">
        <f>IF(B53="","",F53-0.5)</f>
        <v>0.37250021692650837</v>
      </c>
      <c r="CO53" s="15" t="str" cm="1">
        <f t="array" ref="CO53">IF(B53="","",_xlfn.TEXTJOIN("",,MID(B53,_xlfn.SEQUENCE(LEN(B53),,LEN(B53),-1),1)))</f>
        <v>c3e9bc461eafe</v>
      </c>
      <c r="CP53" s="6" t="str" cm="1">
        <f t="array" ref="CP53">IF(B53="","",BASE2DEC(CO53,16))</f>
        <v>3446538456132350</v>
      </c>
      <c r="CQ53" s="5" t="str">
        <f>IF(B53="","",IF(AND(LEN(B53)&lt;16,LEN(B53)=LEN(SUBSTITUTE(SUBSTITUTE(SUBSTITUTE(SUBSTITUTE(SUBSTITUTE(SUBSTITUTE(B53,"a",""),"b",""),"c",""),"d",""),"e",""),"f",""))),--B53,""))</f>
        <v/>
      </c>
      <c r="CR53" s="6" t="str" cm="1">
        <f t="array" ref="CR53">IF(B53="","",IF(LEN(D53)&lt;=15,BASE2DEC(D53,16),""))</f>
        <v/>
      </c>
      <c r="CS53" s="15" t="str" cm="1">
        <f t="array" ref="CS53">IF(B53="","",_xlfn.LET(_xlpm.p,REPT("0",MOD(-LEN(B53),4))&amp;B53,_xlfn.TEXTJOIN(" ",,MID(_xlpm.p,_xlfn.SEQUENCE(LEN(_xlpm.p)/4,,1,4),4))))</f>
        <v>000e fae1 64cb 9e3c</v>
      </c>
      <c r="CT53" s="15" t="str" cm="1">
        <f t="array" ref="CT53">IF(B53="","",UPPER(_xlfn.LET(_xlpm.p,REPT("0",64-LEN(B53))&amp;B53,_xlfn.TEXTJOIN(" ",,MID(_xlpm.p,_xlfn.SEQUENCE(8,,1,8),8)))))</f>
        <v>00000000 00000000 00000000 00000000 00000000 00000000 000EFAE1 64CB9E3C</v>
      </c>
      <c r="CU53" s="6" t="str" cm="1">
        <f t="array" ref="CU53">IF(B53="","",IF(LEN(D53)&lt;=6,_xlfn.LET(_xlpm.n,VALUE(D53)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3" s="39" t="s">
        <v>4444</v>
      </c>
      <c r="CW53" s="39" t="s">
        <v>1895</v>
      </c>
      <c r="CX53" s="39" t="s">
        <v>1896</v>
      </c>
      <c r="CY53" s="7" t="s">
        <v>4715</v>
      </c>
      <c r="CZ53" s="39" t="s">
        <v>4444</v>
      </c>
      <c r="DA53" s="39" t="s">
        <v>4444</v>
      </c>
      <c r="DB53" s="39">
        <v>52</v>
      </c>
      <c r="DC53" s="7" t="s">
        <v>4716</v>
      </c>
      <c r="DD53" s="7" t="s">
        <v>4717</v>
      </c>
      <c r="DE53" s="7" t="s">
        <v>4718</v>
      </c>
      <c r="DF53" s="7" t="s">
        <v>4719</v>
      </c>
      <c r="DG53" s="7" t="s">
        <v>4720</v>
      </c>
      <c r="DH53" s="39" t="s">
        <v>4452</v>
      </c>
      <c r="DI53" s="7" t="s">
        <v>5433</v>
      </c>
      <c r="DJ53" s="7" t="s">
        <v>5434</v>
      </c>
      <c r="DK53" s="7" t="s">
        <v>5435</v>
      </c>
      <c r="DL53" s="7" t="s">
        <v>5436</v>
      </c>
      <c r="DM53" s="7" t="s">
        <v>5437</v>
      </c>
      <c r="DN53" s="7" t="s">
        <v>5438</v>
      </c>
      <c r="DO53" s="7" t="s">
        <v>5439</v>
      </c>
      <c r="DP53" s="7" t="s">
        <v>5440</v>
      </c>
      <c r="DQ53" s="7" t="s">
        <v>5441</v>
      </c>
      <c r="DR53" s="7" t="s">
        <v>5442</v>
      </c>
      <c r="DS53" s="7" t="s">
        <v>5806</v>
      </c>
      <c r="DT53" s="15" t="str" cm="1">
        <f t="array" ref="DT53">IF(B53="","",_xlfn.TEXTJOIN("",,HEX2BIN(MID(BQ53,_xlfn.SEQUENCE(40),1),4)))</f>
        <v>1110010000100111101011000000011011100001000110100110110110100001001111010000000101010001010000010001101111111101011110000101111001100100010100011101101101111101</v>
      </c>
    </row>
    <row r="54" spans="1:124" x14ac:dyDescent="0.25">
      <c r="A54" s="9">
        <v>53</v>
      </c>
      <c r="B54" s="15" t="s">
        <v>3519</v>
      </c>
      <c r="C54" s="15" t="s">
        <v>3520</v>
      </c>
      <c r="D54" s="6" t="s">
        <v>3521</v>
      </c>
      <c r="E54" s="6" t="s">
        <v>3522</v>
      </c>
      <c r="F54" s="10">
        <v>0.50183953528462499</v>
      </c>
      <c r="G54" s="9">
        <v>24</v>
      </c>
      <c r="H54" s="9">
        <v>2</v>
      </c>
      <c r="I54" s="15" t="s">
        <v>3523</v>
      </c>
      <c r="J54" s="9">
        <v>26</v>
      </c>
      <c r="K54" s="15" t="s">
        <v>3524</v>
      </c>
      <c r="L54" s="15" t="s">
        <v>3525</v>
      </c>
      <c r="M54" s="15" t="s">
        <v>3526</v>
      </c>
      <c r="N54" s="15" t="s">
        <v>3527</v>
      </c>
      <c r="O54" s="6" t="s">
        <v>3528</v>
      </c>
      <c r="P54" s="15" t="s">
        <v>3529</v>
      </c>
      <c r="Q54" s="15" t="s">
        <v>3530</v>
      </c>
      <c r="R54" s="6" t="s">
        <v>3531</v>
      </c>
      <c r="S54" s="15" t="s">
        <v>3532</v>
      </c>
      <c r="T54" s="11">
        <v>1.6041007864337877</v>
      </c>
      <c r="U54" s="10">
        <v>0.45283018867924529</v>
      </c>
      <c r="V54" s="7" t="s">
        <v>834</v>
      </c>
      <c r="W54" s="7" t="s">
        <v>835</v>
      </c>
      <c r="X54" s="7" t="s">
        <v>836</v>
      </c>
      <c r="Y54" s="15" t="s">
        <v>3533</v>
      </c>
      <c r="Z54" s="9">
        <v>31</v>
      </c>
      <c r="AA54" s="9">
        <v>30</v>
      </c>
      <c r="AB54" s="9">
        <v>80</v>
      </c>
      <c r="AC54" s="13">
        <v>1.2362450755382013</v>
      </c>
      <c r="AD54" s="13">
        <v>0.96152394764082316</v>
      </c>
      <c r="AE54" s="9">
        <v>16</v>
      </c>
      <c r="AF54" s="9">
        <v>82</v>
      </c>
      <c r="AG54" s="9">
        <v>1</v>
      </c>
      <c r="AH54" s="6" t="s">
        <v>3534</v>
      </c>
      <c r="AI54" s="10">
        <v>52.586730675690987</v>
      </c>
      <c r="AJ54" s="10">
        <v>51.005298036904541</v>
      </c>
      <c r="AK54" s="15" t="s">
        <v>3535</v>
      </c>
      <c r="AL54" s="15" t="s">
        <v>3536</v>
      </c>
      <c r="AM54" s="15" t="s">
        <v>3537</v>
      </c>
      <c r="AN54" s="9">
        <v>8</v>
      </c>
      <c r="AO54" s="9">
        <v>6</v>
      </c>
      <c r="AP54" s="9">
        <v>20</v>
      </c>
      <c r="AQ54" s="15" t="s">
        <v>3538</v>
      </c>
      <c r="AR54" s="9">
        <v>10</v>
      </c>
      <c r="AS54" s="6" t="s">
        <v>1009</v>
      </c>
      <c r="AT54" s="15" t="s">
        <v>3539</v>
      </c>
      <c r="AU54" s="9">
        <v>1</v>
      </c>
      <c r="AV54" s="9">
        <v>4</v>
      </c>
      <c r="AW54" s="9">
        <v>5</v>
      </c>
      <c r="AX54" s="9">
        <v>9</v>
      </c>
      <c r="AY54" s="9">
        <v>108</v>
      </c>
      <c r="AZ54" s="9">
        <v>12908</v>
      </c>
      <c r="BA54" s="6" t="s">
        <v>3540</v>
      </c>
      <c r="BB54" s="6" t="s">
        <v>3541</v>
      </c>
      <c r="BC54" s="6" t="s">
        <v>3542</v>
      </c>
      <c r="BD54" s="15" t="s">
        <v>3543</v>
      </c>
      <c r="BE54" s="15" t="s">
        <v>3544</v>
      </c>
      <c r="BF54" s="15" t="s">
        <v>3545</v>
      </c>
      <c r="BG54" s="15" t="s">
        <v>3546</v>
      </c>
      <c r="BH54" s="6" t="s">
        <v>3547</v>
      </c>
      <c r="BI54" s="17" t="s">
        <v>888</v>
      </c>
      <c r="BJ54" s="7" t="s">
        <v>1548</v>
      </c>
      <c r="BK54" s="7" t="s">
        <v>1549</v>
      </c>
      <c r="BL54" s="7" t="s">
        <v>1550</v>
      </c>
      <c r="BM54" s="16" t="s">
        <v>1551</v>
      </c>
      <c r="BN54" s="16" t="s">
        <v>1552</v>
      </c>
      <c r="BO54" s="16" t="s">
        <v>1553</v>
      </c>
      <c r="BP54" s="16" t="s">
        <v>1554</v>
      </c>
      <c r="BQ54" s="16" t="s">
        <v>1555</v>
      </c>
      <c r="BR54" s="7" t="s">
        <v>1556</v>
      </c>
      <c r="BS54" s="7" t="s">
        <v>1557</v>
      </c>
      <c r="BT54" s="7" t="s">
        <v>1558</v>
      </c>
      <c r="BU54" s="14">
        <v>5.8412314831075745E-62</v>
      </c>
      <c r="BV54" s="15" t="s">
        <v>3548</v>
      </c>
      <c r="BW54" s="9">
        <v>21</v>
      </c>
      <c r="BX54" s="9">
        <v>30</v>
      </c>
      <c r="BY54" s="13">
        <v>-1.5109662034355793</v>
      </c>
      <c r="BZ54" s="13">
        <v>0.96152394764082316</v>
      </c>
      <c r="CA54" s="12">
        <f>IF(B54="","",IF(A54&lt;8,"",_xlfn.LET(_xlpm.n,A54,_xlpm.k,G54,_xlpm.R,AP54,_xlpm.mu,1+2*_xlpm.k*(_xlpm.n-_xlpm.k)/_xlpm.n,_xlpm.v,2*_xlpm.k*(_xlpm.n-_xlpm.k)*(2*_xlpm.k*(_xlpm.n-_xlpm.k)-_xlpm.n)/(_xlpm.n^2*(_xlpm.n-1)),IF(_xlpm.v&lt;=0,"",(_xlpm.R-_xlpm.mu)/SQRT(_xlpm.v)))))</f>
        <v>-2.0335389498705343</v>
      </c>
      <c r="CB54" s="37" cm="1">
        <f t="array" ref="CB54">IF(B54="","",IF(A54&lt;8,"",_xlfn.LET(_xlpm.b,--MID(C54,_xlfn.SEQUENCE(A54-1),1),_xlpm.c,--MID(C54,_xlfn.SEQUENCE(A54-1,,2),1),IFERROR(CORREL(_xlpm.b,_xlpm.c),""))))</f>
        <v>0.26288458112137608</v>
      </c>
      <c r="CC54" s="8">
        <f>IF(B54="","",LOG(A54,2))</f>
        <v>5.7279204545631996</v>
      </c>
      <c r="CD54" s="8">
        <f>IF(B54="","",MAX(AN54,AO54)-CC54)</f>
        <v>2.2720795454368004</v>
      </c>
      <c r="CE54" s="8" t="str" cm="1">
        <f t="array" ref="CE54">IF(B54="","",IF(LEN(B54)&lt;16,"",_xlfn.LET(_xlpm.d,MID("0123456789abcdef",_xlfn.SEQUENCE(16),1),_xlpm.c,LEN(B54)-LEN(SUBSTITUTE(B54,_xlpm.d,"")),_xlpm.ex,LEN(B54)/16,SUM((_xlpm.c-_xlpm.ex)^2/_xlpm.ex))))</f>
        <v/>
      </c>
      <c r="CF54" s="37" t="str">
        <f>IF(CE54="","",_xlfn.CHISQ.DIST.RT(CE54,15))</f>
        <v/>
      </c>
      <c r="CG54" s="9" cm="1">
        <f t="array" ref="CG54">IF(OR(B54="",B53=""),"",_xlfn.LET(_xlpm.a,C54,_xlpm.b,REPT("0",A54-LEN(C53))&amp;C53,_xlpm.m,MID(_xlpm.a,_xlfn.SEQUENCE(A54),1)=MID(_xlpm.b,_xlfn.SEQUENCE(A54),1),IFERROR(MATCH(FALSE,_xlpm.m,0)-1,A54)))</f>
        <v>0</v>
      </c>
      <c r="CH54" s="9" cm="1">
        <f t="array" ref="CH54">IF(OR(B54="",B53=""),"",_xlfn.LET(_xlpm.a,C54,_xlpm.b,REPT("0",A54-LEN(C53))&amp;C53,_xlpm.n,A54,_xlpm.m,MID(_xlpm.a,_xlfn.SEQUENCE(_xlpm.n,,_xlpm.n,-1),1)=MID(_xlpm.b,_xlfn.SEQUENCE(_xlpm.n,,_xlpm.n,-1),1),IFERROR(MATCH(FALSE,_xlpm.m,0)-1,_xlpm.n)))</f>
        <v>4</v>
      </c>
      <c r="CI54" s="38">
        <f>IF(OR(B54="",B53=""),"",F54-F53)</f>
        <v>-0.37066068164188337</v>
      </c>
      <c r="CJ54" s="5" t="b">
        <f>IF(OR(B54="",B53=""),"",IFERROR(FIND(B53,B54)&gt;0,FALSE))</f>
        <v>0</v>
      </c>
      <c r="CK54" s="5" t="b">
        <f>IF(OR(B54="",B53=""),"",IFERROR(FIND(C53,C54)&gt;0,FALSE))</f>
        <v>0</v>
      </c>
      <c r="CL54" s="9" t="str">
        <f>IF(OR(B54="",B53=""),"",IFERROR(FIND(C53,C54),""))</f>
        <v/>
      </c>
      <c r="CM54" s="6" t="str" cm="1">
        <f t="array" ref="CM54">IF(OR(B54="",B53=""),"",_xlfn.LET(_xlpm.pv,D53,_xlpm.ra,BIGSUB(D54,_xlpm.pv),_xlpm.rb,BIGSUB(_xlpm.ra,_xlpm.pv),_xlpm.rc,BIGSUB(_xlpm.rb,_xlpm.pv),IF(LEFT(_xlpm.rb,1)="-",_xlpm.ra,IF(LEFT(_xlpm.rc,1)="-",_xlpm.rb,_xlpm.rc))))</f>
        <v>2547188331877424</v>
      </c>
      <c r="CN54" s="38">
        <f>IF(B54="","",F54-0.5)</f>
        <v>1.8395352846249935E-3</v>
      </c>
      <c r="CO54" s="15" t="str" cm="1">
        <f t="array" ref="CO54">IF(B54="","",_xlfn.TEXTJOIN("",,MID(B54,_xlfn.SEQUENCE(LEN(B54),,LEN(B54),-1),1)))</f>
        <v>c623e74e887081</v>
      </c>
      <c r="CP54" s="6" t="str" cm="1">
        <f t="array" ref="CP54">IF(B54="","",BASE2DEC(CO54,16))</f>
        <v>55771521750691969</v>
      </c>
      <c r="CQ54" s="5" t="str">
        <f>IF(B54="","",IF(AND(LEN(B54)&lt;16,LEN(B54)=LEN(SUBSTITUTE(SUBSTITUTE(SUBSTITUTE(SUBSTITUTE(SUBSTITUTE(SUBSTITUTE(B54,"a",""),"b",""),"c",""),"d",""),"e",""),"f",""))),--B54,""))</f>
        <v/>
      </c>
      <c r="CR54" s="6" t="str" cm="1">
        <f t="array" ref="CR54">IF(B54="","",IF(LEN(D54)&lt;=15,BASE2DEC(D54,16),""))</f>
        <v/>
      </c>
      <c r="CS54" s="15" t="str" cm="1">
        <f t="array" ref="CS54">IF(B54="","",_xlfn.LET(_xlpm.p,REPT("0",MOD(-LEN(B54),4))&amp;B54,_xlfn.TEXTJOIN(" ",,MID(_xlpm.p,_xlfn.SEQUENCE(LEN(_xlpm.p)/4,,1,4),4))))</f>
        <v>0018 0788 e47e 326c</v>
      </c>
      <c r="CT54" s="15" t="str" cm="1">
        <f t="array" ref="CT54">IF(B54="","",UPPER(_xlfn.LET(_xlpm.p,REPT("0",64-LEN(B54))&amp;B54,_xlfn.TEXTJOIN(" ",,MID(_xlpm.p,_xlfn.SEQUENCE(8,,1,8),8)))))</f>
        <v>00000000 00000000 00000000 00000000 00000000 00000000 00180788 E47E326C</v>
      </c>
      <c r="CU54" s="6" t="str" cm="1">
        <f t="array" ref="CU54">IF(B54="","",IF(LEN(D54)&lt;=6,_xlfn.LET(_xlpm.n,VALUE(D54)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4" s="39" t="s">
        <v>4444</v>
      </c>
      <c r="CW54" s="39" t="s">
        <v>1895</v>
      </c>
      <c r="CX54" s="39" t="s">
        <v>4721</v>
      </c>
      <c r="CY54" s="7" t="s">
        <v>4722</v>
      </c>
      <c r="CZ54" s="39" t="s">
        <v>4444</v>
      </c>
      <c r="DA54" s="39" t="s">
        <v>4444</v>
      </c>
      <c r="DB54" s="39">
        <v>53</v>
      </c>
      <c r="DC54" s="7" t="s">
        <v>4723</v>
      </c>
      <c r="DD54" s="7" t="s">
        <v>4724</v>
      </c>
      <c r="DE54" s="7" t="s">
        <v>4725</v>
      </c>
      <c r="DF54" s="7" t="s">
        <v>4726</v>
      </c>
      <c r="DG54" s="7" t="s">
        <v>4727</v>
      </c>
      <c r="DH54" s="39" t="s">
        <v>4452</v>
      </c>
      <c r="DI54" s="7" t="s">
        <v>5443</v>
      </c>
      <c r="DJ54" s="7" t="s">
        <v>5444</v>
      </c>
      <c r="DK54" s="7" t="s">
        <v>5445</v>
      </c>
      <c r="DL54" s="7" t="s">
        <v>5446</v>
      </c>
      <c r="DM54" s="7" t="s">
        <v>5447</v>
      </c>
      <c r="DN54" s="7" t="s">
        <v>5448</v>
      </c>
      <c r="DO54" s="7" t="s">
        <v>5449</v>
      </c>
      <c r="DP54" s="7" t="s">
        <v>5450</v>
      </c>
      <c r="DQ54" s="7" t="s">
        <v>5451</v>
      </c>
      <c r="DR54" s="7" t="s">
        <v>5452</v>
      </c>
      <c r="DS54" s="7" t="s">
        <v>5807</v>
      </c>
      <c r="DT54" s="15" t="str" cm="1">
        <f t="array" ref="DT54">IF(B54="","",_xlfn.TEXTJOIN("",,HEX2BIN(MID(BQ54,_xlfn.SEQUENCE(40),1),4)))</f>
        <v>0000101101011011010101000010001001111111001000111010110100100011010111100000010011100000101111111110111100111110000110010111000101000000011110011101011011001100</v>
      </c>
    </row>
    <row r="55" spans="1:124" x14ac:dyDescent="0.25">
      <c r="A55" s="9">
        <v>54</v>
      </c>
      <c r="B55" s="15" t="s">
        <v>3549</v>
      </c>
      <c r="C55" s="15" t="s">
        <v>3550</v>
      </c>
      <c r="D55" s="6" t="s">
        <v>3551</v>
      </c>
      <c r="E55" s="6" t="s">
        <v>3552</v>
      </c>
      <c r="F55" s="10">
        <v>0.10738698705333893</v>
      </c>
      <c r="G55" s="9">
        <v>32</v>
      </c>
      <c r="H55" s="9">
        <v>0</v>
      </c>
      <c r="I55" s="15" t="s">
        <v>3553</v>
      </c>
      <c r="J55" s="9">
        <v>30</v>
      </c>
      <c r="K55" s="15" t="s">
        <v>3554</v>
      </c>
      <c r="L55" s="15" t="s">
        <v>3555</v>
      </c>
      <c r="M55" s="15" t="s">
        <v>3556</v>
      </c>
      <c r="N55" s="15" t="s">
        <v>3557</v>
      </c>
      <c r="O55" s="6" t="s">
        <v>3558</v>
      </c>
      <c r="P55" s="15" t="s">
        <v>3559</v>
      </c>
      <c r="Q55" s="15" t="s">
        <v>3560</v>
      </c>
      <c r="R55" s="6" t="s">
        <v>3561</v>
      </c>
      <c r="S55" s="15" t="s">
        <v>3562</v>
      </c>
      <c r="T55" s="11">
        <v>1.4747074651267162</v>
      </c>
      <c r="U55" s="10">
        <v>0.59259259259259256</v>
      </c>
      <c r="V55" s="7" t="s">
        <v>837</v>
      </c>
      <c r="W55" s="7" t="s">
        <v>838</v>
      </c>
      <c r="X55" s="7" t="s">
        <v>839</v>
      </c>
      <c r="Y55" s="15" t="s">
        <v>3563</v>
      </c>
      <c r="Z55" s="9">
        <v>31</v>
      </c>
      <c r="AA55" s="9">
        <v>24</v>
      </c>
      <c r="AB55" s="9">
        <v>93</v>
      </c>
      <c r="AC55" s="13">
        <v>1.0886621079036347</v>
      </c>
      <c r="AD55" s="13">
        <v>-0.81649658092772603</v>
      </c>
      <c r="AE55" s="9">
        <v>16</v>
      </c>
      <c r="AF55" s="9">
        <v>86</v>
      </c>
      <c r="AG55" s="9">
        <v>5</v>
      </c>
      <c r="AH55" s="6" t="s">
        <v>3564</v>
      </c>
      <c r="AI55" s="10">
        <v>53.147159473916176</v>
      </c>
      <c r="AJ55" s="10">
        <v>49.78089108604258</v>
      </c>
      <c r="AK55" s="15" t="s">
        <v>3565</v>
      </c>
      <c r="AL55" s="15" t="s">
        <v>3566</v>
      </c>
      <c r="AM55" s="15" t="s">
        <v>3567</v>
      </c>
      <c r="AN55" s="9">
        <v>4</v>
      </c>
      <c r="AO55" s="9">
        <v>5</v>
      </c>
      <c r="AP55" s="9">
        <v>31</v>
      </c>
      <c r="AQ55" s="15" t="s">
        <v>3568</v>
      </c>
      <c r="AR55" s="9">
        <v>10</v>
      </c>
      <c r="AS55" s="6" t="s">
        <v>987</v>
      </c>
      <c r="AT55" s="15" t="s">
        <v>3569</v>
      </c>
      <c r="AU55" s="9">
        <v>2</v>
      </c>
      <c r="AV55" s="9">
        <v>2</v>
      </c>
      <c r="AW55" s="9">
        <v>6</v>
      </c>
      <c r="AX55" s="9">
        <v>8</v>
      </c>
      <c r="AY55" s="9">
        <v>67</v>
      </c>
      <c r="AZ55" s="9">
        <v>8003</v>
      </c>
      <c r="BA55" s="6" t="s">
        <v>3570</v>
      </c>
      <c r="BB55" s="6" t="s">
        <v>3571</v>
      </c>
      <c r="BC55" s="6" t="s">
        <v>3572</v>
      </c>
      <c r="BD55" s="15" t="s">
        <v>3573</v>
      </c>
      <c r="BE55" s="15" t="s">
        <v>3574</v>
      </c>
      <c r="BF55" s="15" t="s">
        <v>3575</v>
      </c>
      <c r="BG55" s="15" t="s">
        <v>3576</v>
      </c>
      <c r="BH55" s="6" t="s">
        <v>3577</v>
      </c>
      <c r="BI55" s="17" t="s">
        <v>888</v>
      </c>
      <c r="BJ55" s="7" t="s">
        <v>1559</v>
      </c>
      <c r="BK55" s="7" t="s">
        <v>1560</v>
      </c>
      <c r="BL55" s="7" t="s">
        <v>1561</v>
      </c>
      <c r="BM55" s="16" t="s">
        <v>1562</v>
      </c>
      <c r="BN55" s="16" t="s">
        <v>1563</v>
      </c>
      <c r="BO55" s="16" t="s">
        <v>1564</v>
      </c>
      <c r="BP55" s="16" t="s">
        <v>1565</v>
      </c>
      <c r="BQ55" s="16" t="s">
        <v>1566</v>
      </c>
      <c r="BR55" s="7" t="s">
        <v>1567</v>
      </c>
      <c r="BS55" s="7" t="s">
        <v>1568</v>
      </c>
      <c r="BT55" s="7" t="s">
        <v>1569</v>
      </c>
      <c r="BU55" s="14">
        <v>8.6141076736719409E-62</v>
      </c>
      <c r="BV55" s="15" t="s">
        <v>3578</v>
      </c>
      <c r="BW55" s="9">
        <v>28</v>
      </c>
      <c r="BX55" s="9">
        <v>21</v>
      </c>
      <c r="BY55" s="13">
        <v>0.27216552697590868</v>
      </c>
      <c r="BZ55" s="13">
        <v>-1.6329931618554521</v>
      </c>
      <c r="CA55" s="12">
        <f>IF(B55="","",IF(A55&lt;8,"",_xlfn.LET(_xlpm.n,A55,_xlpm.k,G55,_xlpm.R,AP55,_xlpm.mu,1+2*_xlpm.k*(_xlpm.n-_xlpm.k)/_xlpm.n,_xlpm.v,2*_xlpm.k*(_xlpm.n-_xlpm.k)*(2*_xlpm.k*(_xlpm.n-_xlpm.k)-_xlpm.n)/(_xlpm.n^2*(_xlpm.n-1)),IF(_xlpm.v&lt;=0,"",(_xlpm.R-_xlpm.mu)/SQRT(_xlpm.v)))))</f>
        <v>1.1177975056315343</v>
      </c>
      <c r="CB55" s="37" cm="1">
        <f t="array" ref="CB55">IF(B55="","",IF(A55&lt;8,"",_xlfn.LET(_xlpm.b,--MID(C55,_xlfn.SEQUENCE(A55-1),1),_xlpm.c,--MID(C55,_xlfn.SEQUENCE(A55-1,,2),1),IFERROR(CORREL(_xlpm.b,_xlpm.c),""))))</f>
        <v>-0.16568914956011746</v>
      </c>
      <c r="CC55" s="8">
        <f>IF(B55="","",LOG(A55,2))</f>
        <v>5.7548875021634691</v>
      </c>
      <c r="CD55" s="8">
        <f>IF(B55="","",MAX(AN55,AO55)-CC55)</f>
        <v>-0.75488750216346912</v>
      </c>
      <c r="CE55" s="8" t="str" cm="1">
        <f t="array" ref="CE55">IF(B55="","",IF(LEN(B55)&lt;16,"",_xlfn.LET(_xlpm.d,MID("0123456789abcdef",_xlfn.SEQUENCE(16),1),_xlpm.c,LEN(B55)-LEN(SUBSTITUTE(B55,_xlpm.d,"")),_xlpm.ex,LEN(B55)/16,SUM((_xlpm.c-_xlpm.ex)^2/_xlpm.ex))))</f>
        <v/>
      </c>
      <c r="CF55" s="37" t="str">
        <f>IF(CE55="","",_xlfn.CHISQ.DIST.RT(CE55,15))</f>
        <v/>
      </c>
      <c r="CG55" s="9" cm="1">
        <f t="array" ref="CG55">IF(OR(B55="",B54=""),"",_xlfn.LET(_xlpm.a,C55,_xlpm.b,REPT("0",A55-LEN(C54))&amp;C54,_xlpm.m,MID(_xlpm.a,_xlfn.SEQUENCE(A55),1)=MID(_xlpm.b,_xlfn.SEQUENCE(A55),1),IFERROR(MATCH(FALSE,_xlpm.m,0)-1,A55)))</f>
        <v>0</v>
      </c>
      <c r="CH55" s="9" cm="1">
        <f t="array" ref="CH55">IF(OR(B55="",B54=""),"",_xlfn.LET(_xlpm.a,C55,_xlpm.b,REPT("0",A55-LEN(C54))&amp;C54,_xlpm.n,A55,_xlpm.m,MID(_xlpm.a,_xlfn.SEQUENCE(_xlpm.n,,_xlpm.n,-1),1)=MID(_xlpm.b,_xlfn.SEQUENCE(_xlpm.n,,_xlpm.n,-1),1),IFERROR(MATCH(FALSE,_xlpm.m,0)-1,_xlpm.n)))</f>
        <v>0</v>
      </c>
      <c r="CI55" s="38">
        <f>IF(OR(B55="",B54=""),"",F55-F54)</f>
        <v>-0.39445254823128606</v>
      </c>
      <c r="CJ55" s="5" t="b">
        <f>IF(OR(B55="",B54=""),"",IFERROR(FIND(B54,B55)&gt;0,FALSE))</f>
        <v>0</v>
      </c>
      <c r="CK55" s="5" t="b">
        <f>IF(OR(B55="",B54=""),"",IFERROR(FIND(C54,C55)&gt;0,FALSE))</f>
        <v>0</v>
      </c>
      <c r="CL55" s="9" t="str">
        <f>IF(OR(B55="",B54=""),"",IFERROR(FIND(C54,C55),""))</f>
        <v/>
      </c>
      <c r="CM55" s="6" t="str" cm="1">
        <f t="array" ref="CM55">IF(OR(B55="",B54=""),"",_xlfn.LET(_xlpm.pv,D54,_xlpm.ra,BIGSUB(D55,_xlpm.pv),_xlpm.rb,BIGSUB(_xlpm.ra,_xlpm.pv),_xlpm.rc,BIGSUB(_xlpm.rb,_xlpm.pv),IF(LEFT(_xlpm.rb,1)="-",_xlpm.ra,IF(LEFT(_xlpm.rc,1)="-",_xlpm.rb,_xlpm.rc))))</f>
        <v>3210771273018583</v>
      </c>
      <c r="CN55" s="38">
        <f>IF(B55="","",F55-0.5)</f>
        <v>-0.39261301294666107</v>
      </c>
      <c r="CO55" s="15" t="str" cm="1">
        <f t="array" ref="CO55">IF(B55="","",_xlfn.TEXTJOIN("",,MID(B55,_xlfn.SEQUENCE(LEN(B55),,LEN(B55),-1),1)))</f>
        <v>34f1da5d6bf632</v>
      </c>
      <c r="CP55" s="6" t="str" cm="1">
        <f t="array" ref="CP55">IF(B55="","",BASE2DEC(CO55,16))</f>
        <v>14902618961475122</v>
      </c>
      <c r="CQ55" s="5" t="str">
        <f>IF(B55="","",IF(AND(LEN(B55)&lt;16,LEN(B55)=LEN(SUBSTITUTE(SUBSTITUTE(SUBSTITUTE(SUBSTITUTE(SUBSTITUTE(SUBSTITUTE(B55,"a",""),"b",""),"c",""),"d",""),"e",""),"f",""))),--B55,""))</f>
        <v/>
      </c>
      <c r="CR55" s="6" t="str" cm="1">
        <f t="array" ref="CR55">IF(B55="","",IF(LEN(D55)&lt;=15,BASE2DEC(D55,16),""))</f>
        <v/>
      </c>
      <c r="CS55" s="15" t="str" cm="1">
        <f t="array" ref="CS55">IF(B55="","",_xlfn.LET(_xlpm.p,REPT("0",MOD(-LEN(B55),4))&amp;B55,_xlfn.TEXTJOIN(" ",,MID(_xlpm.p,_xlfn.SEQUENCE(LEN(_xlpm.p)/4,,1,4),4))))</f>
        <v>0023 6fb6 d5ad 1f43</v>
      </c>
      <c r="CT55" s="15" t="str" cm="1">
        <f t="array" ref="CT55">IF(B55="","",UPPER(_xlfn.LET(_xlpm.p,REPT("0",64-LEN(B55))&amp;B55,_xlfn.TEXTJOIN(" ",,MID(_xlpm.p,_xlfn.SEQUENCE(8,,1,8),8)))))</f>
        <v>00000000 00000000 00000000 00000000 00000000 00000000 00236FB6 D5AD1F43</v>
      </c>
      <c r="CU55" s="6" t="str" cm="1">
        <f t="array" ref="CU55">IF(B55="","",IF(LEN(D55)&lt;=6,_xlfn.LET(_xlpm.n,VALUE(D55)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5" s="39" t="s">
        <v>4444</v>
      </c>
      <c r="CW55" s="39" t="s">
        <v>4728</v>
      </c>
      <c r="CX55" s="39" t="s">
        <v>987</v>
      </c>
      <c r="CY55" s="7" t="s">
        <v>4729</v>
      </c>
      <c r="CZ55" s="39" t="s">
        <v>4444</v>
      </c>
      <c r="DA55" s="39" t="s">
        <v>4444</v>
      </c>
      <c r="DB55" s="39">
        <v>53</v>
      </c>
      <c r="DC55" s="7" t="s">
        <v>4730</v>
      </c>
      <c r="DD55" s="7" t="s">
        <v>4731</v>
      </c>
      <c r="DE55" s="7" t="s">
        <v>4732</v>
      </c>
      <c r="DF55" s="7" t="s">
        <v>4733</v>
      </c>
      <c r="DG55" s="7" t="s">
        <v>4734</v>
      </c>
      <c r="DH55" s="39" t="s">
        <v>4448</v>
      </c>
      <c r="DI55" s="7" t="s">
        <v>5453</v>
      </c>
      <c r="DJ55" s="7" t="s">
        <v>5454</v>
      </c>
      <c r="DK55" s="7" t="s">
        <v>5455</v>
      </c>
      <c r="DL55" s="7" t="s">
        <v>5456</v>
      </c>
      <c r="DM55" s="7" t="s">
        <v>5457</v>
      </c>
      <c r="DN55" s="7" t="s">
        <v>5458</v>
      </c>
      <c r="DO55" s="7" t="s">
        <v>5459</v>
      </c>
      <c r="DP55" s="7" t="s">
        <v>5460</v>
      </c>
      <c r="DQ55" s="7" t="s">
        <v>5461</v>
      </c>
      <c r="DR55" s="7" t="s">
        <v>5462</v>
      </c>
      <c r="DS55" s="7" t="s">
        <v>5808</v>
      </c>
      <c r="DT55" s="15" t="str" cm="1">
        <f t="array" ref="DT55">IF(B55="","",_xlfn.TEXTJOIN("",,HEX2BIN(MID(BQ55,_xlfn.SEQUENCE(40),1),4)))</f>
        <v>1100011000111100000000101001000110110000101011011111111001000001000110010101000010011011101000100010110110011111001110100000111000100011000001001000010111010010</v>
      </c>
    </row>
    <row r="56" spans="1:124" x14ac:dyDescent="0.25">
      <c r="A56" s="9">
        <v>55</v>
      </c>
      <c r="B56" s="15" t="s">
        <v>3579</v>
      </c>
      <c r="C56" s="15" t="s">
        <v>3580</v>
      </c>
      <c r="D56" s="6" t="s">
        <v>3581</v>
      </c>
      <c r="E56" s="6" t="s">
        <v>3582</v>
      </c>
      <c r="F56" s="10">
        <v>0.66785421539635736</v>
      </c>
      <c r="G56" s="9">
        <v>31</v>
      </c>
      <c r="H56" s="9">
        <v>2</v>
      </c>
      <c r="I56" s="15" t="s">
        <v>3583</v>
      </c>
      <c r="J56" s="9">
        <v>31</v>
      </c>
      <c r="K56" s="15" t="s">
        <v>3584</v>
      </c>
      <c r="L56" s="15" t="s">
        <v>3585</v>
      </c>
      <c r="M56" s="15" t="s">
        <v>3586</v>
      </c>
      <c r="N56" s="15" t="s">
        <v>3587</v>
      </c>
      <c r="O56" s="6" t="s">
        <v>3588</v>
      </c>
      <c r="P56" s="15" t="s">
        <v>3589</v>
      </c>
      <c r="Q56" s="15" t="s">
        <v>3590</v>
      </c>
      <c r="R56" s="6" t="s">
        <v>3591</v>
      </c>
      <c r="S56" s="15" t="s">
        <v>3592</v>
      </c>
      <c r="T56" s="11">
        <v>3.0122337265934021</v>
      </c>
      <c r="U56" s="10">
        <v>0.5636363636363636</v>
      </c>
      <c r="V56" s="7" t="s">
        <v>840</v>
      </c>
      <c r="W56" s="7" t="s">
        <v>841</v>
      </c>
      <c r="X56" s="7" t="s">
        <v>842</v>
      </c>
      <c r="Y56" s="15" t="s">
        <v>3593</v>
      </c>
      <c r="Z56" s="9">
        <v>32</v>
      </c>
      <c r="AA56" s="9">
        <v>25</v>
      </c>
      <c r="AB56" s="9">
        <v>94</v>
      </c>
      <c r="AC56" s="13">
        <v>1.2135597524338357</v>
      </c>
      <c r="AD56" s="13">
        <v>-0.67419986246324204</v>
      </c>
      <c r="AE56" s="9">
        <v>17</v>
      </c>
      <c r="AF56" s="9">
        <v>71</v>
      </c>
      <c r="AG56" s="9">
        <v>8</v>
      </c>
      <c r="AH56" s="6" t="s">
        <v>3594</v>
      </c>
      <c r="AI56" s="10">
        <v>54.737993190511332</v>
      </c>
      <c r="AJ56" s="10">
        <v>53.417605119071681</v>
      </c>
      <c r="AK56" s="15" t="s">
        <v>3595</v>
      </c>
      <c r="AL56" s="15" t="s">
        <v>3596</v>
      </c>
      <c r="AM56" s="15" t="s">
        <v>3597</v>
      </c>
      <c r="AN56" s="9">
        <v>4</v>
      </c>
      <c r="AO56" s="9">
        <v>6</v>
      </c>
      <c r="AP56" s="9">
        <v>26</v>
      </c>
      <c r="AQ56" s="15" t="s">
        <v>3598</v>
      </c>
      <c r="AR56" s="9">
        <v>9</v>
      </c>
      <c r="AS56" s="6" t="s">
        <v>976</v>
      </c>
      <c r="AT56" s="15" t="s">
        <v>3599</v>
      </c>
      <c r="AU56" s="9">
        <v>2</v>
      </c>
      <c r="AV56" s="9">
        <v>0</v>
      </c>
      <c r="AW56" s="9">
        <v>1</v>
      </c>
      <c r="AX56" s="9">
        <v>4</v>
      </c>
      <c r="AY56" s="9">
        <v>20</v>
      </c>
      <c r="AZ56" s="9">
        <v>57620</v>
      </c>
      <c r="BA56" s="6" t="s">
        <v>3600</v>
      </c>
      <c r="BB56" s="6" t="s">
        <v>3601</v>
      </c>
      <c r="BC56" s="6" t="s">
        <v>3602</v>
      </c>
      <c r="BD56" s="15" t="s">
        <v>3603</v>
      </c>
      <c r="BE56" s="15" t="s">
        <v>3604</v>
      </c>
      <c r="BF56" s="15" t="s">
        <v>3605</v>
      </c>
      <c r="BG56" s="15" t="s">
        <v>3606</v>
      </c>
      <c r="BH56" s="6" t="s">
        <v>3607</v>
      </c>
      <c r="BI56" s="17" t="s">
        <v>888</v>
      </c>
      <c r="BJ56" s="7" t="s">
        <v>1570</v>
      </c>
      <c r="BK56" s="7" t="s">
        <v>1571</v>
      </c>
      <c r="BL56" s="7" t="s">
        <v>1572</v>
      </c>
      <c r="BM56" s="16" t="s">
        <v>1573</v>
      </c>
      <c r="BN56" s="16" t="s">
        <v>1574</v>
      </c>
      <c r="BO56" s="16" t="s">
        <v>1575</v>
      </c>
      <c r="BP56" s="16" t="s">
        <v>1576</v>
      </c>
      <c r="BQ56" s="16" t="s">
        <v>1577</v>
      </c>
      <c r="BR56" s="7" t="s">
        <v>1578</v>
      </c>
      <c r="BS56" s="7" t="s">
        <v>1579</v>
      </c>
      <c r="BT56" s="7" t="s">
        <v>1580</v>
      </c>
      <c r="BU56" s="14">
        <v>2.5947705659141657E-61</v>
      </c>
      <c r="BV56" s="15" t="s">
        <v>3608</v>
      </c>
      <c r="BW56" s="9">
        <v>29</v>
      </c>
      <c r="BX56" s="9">
        <v>30</v>
      </c>
      <c r="BY56" s="13">
        <v>0.40451991747794525</v>
      </c>
      <c r="BZ56" s="13">
        <v>0.67419986246324204</v>
      </c>
      <c r="CA56" s="12">
        <f>IF(B56="","",IF(A56&lt;8,"",_xlfn.LET(_xlpm.n,A56,_xlpm.k,G56,_xlpm.R,AP56,_xlpm.mu,1+2*_xlpm.k*(_xlpm.n-_xlpm.k)/_xlpm.n,_xlpm.v,2*_xlpm.k*(_xlpm.n-_xlpm.k)*(2*_xlpm.k*(_xlpm.n-_xlpm.k)-_xlpm.n)/(_xlpm.n^2*(_xlpm.n-1)),IF(_xlpm.v&lt;=0,"",(_xlpm.R-_xlpm.mu)/SQRT(_xlpm.v)))))</f>
        <v>-0.56865748845078101</v>
      </c>
      <c r="CB56" s="37" cm="1">
        <f t="array" ref="CB56">IF(B56="","",IF(A56&lt;8,"",_xlfn.LET(_xlpm.b,--MID(C56,_xlfn.SEQUENCE(A56-1),1),_xlpm.c,--MID(C56,_xlfn.SEQUENCE(A56-1,,2),1),IFERROR(CORREL(_xlpm.b,_xlpm.c),""))))</f>
        <v>5.861898270389742E-2</v>
      </c>
      <c r="CC56" s="8">
        <f>IF(B56="","",LOG(A56,2))</f>
        <v>5.7813597135246599</v>
      </c>
      <c r="CD56" s="8">
        <f>IF(B56="","",MAX(AN56,AO56)-CC56)</f>
        <v>0.21864028647534006</v>
      </c>
      <c r="CE56" s="8" t="str" cm="1">
        <f t="array" ref="CE56">IF(B56="","",IF(LEN(B56)&lt;16,"",_xlfn.LET(_xlpm.d,MID("0123456789abcdef",_xlfn.SEQUENCE(16),1),_xlpm.c,LEN(B56)-LEN(SUBSTITUTE(B56,_xlpm.d,"")),_xlpm.ex,LEN(B56)/16,SUM((_xlpm.c-_xlpm.ex)^2/_xlpm.ex))))</f>
        <v/>
      </c>
      <c r="CF56" s="37" t="str">
        <f>IF(CE56="","",_xlfn.CHISQ.DIST.RT(CE56,15))</f>
        <v/>
      </c>
      <c r="CG56" s="9" cm="1">
        <f t="array" ref="CG56">IF(OR(B56="",B55=""),"",_xlfn.LET(_xlpm.a,C56,_xlpm.b,REPT("0",A56-LEN(C55))&amp;C55,_xlpm.m,MID(_xlpm.a,_xlfn.SEQUENCE(A56),1)=MID(_xlpm.b,_xlfn.SEQUENCE(A56),1),IFERROR(MATCH(FALSE,_xlpm.m,0)-1,A56)))</f>
        <v>0</v>
      </c>
      <c r="CH56" s="9" cm="1">
        <f t="array" ref="CH56">IF(OR(B56="",B55=""),"",_xlfn.LET(_xlpm.a,C56,_xlpm.b,REPT("0",A56-LEN(C55))&amp;C55,_xlpm.n,A56,_xlpm.m,MID(_xlpm.a,_xlfn.SEQUENCE(_xlpm.n,,_xlpm.n,-1),1)=MID(_xlpm.b,_xlfn.SEQUENCE(_xlpm.n,,_xlpm.n,-1),1),IFERROR(MATCH(FALSE,_xlpm.m,0)-1,_xlpm.n)))</f>
        <v>0</v>
      </c>
      <c r="CI56" s="38">
        <f>IF(OR(B56="",B55=""),"",F56-F55)</f>
        <v>0.56046722834301843</v>
      </c>
      <c r="CJ56" s="5" t="b">
        <f>IF(OR(B56="",B55=""),"",IFERROR(FIND(B55,B56)&gt;0,FALSE))</f>
        <v>0</v>
      </c>
      <c r="CK56" s="5" t="b">
        <f>IF(OR(B56="",B55=""),"",IFERROR(FIND(C55,C56)&gt;0,FALSE))</f>
        <v>0</v>
      </c>
      <c r="CL56" s="9" t="str">
        <f>IF(OR(B56="",B55=""),"",IFERROR(FIND(C55,C56),""))</f>
        <v/>
      </c>
      <c r="CM56" s="6" t="str" cm="1">
        <f t="array" ref="CM56">IF(OR(B56="",B55=""),"",_xlfn.LET(_xlpm.pv,D55,_xlpm.ra,BIGSUB(D56,_xlpm.pv),_xlpm.rb,BIGSUB(_xlpm.ra,_xlpm.pv),_xlpm.rc,BIGSUB(_xlpm.rb,_xlpm.pv),IF(LEFT(_xlpm.rb,1)="-",_xlpm.ra,IF(LEFT(_xlpm.rc,1)="-",_xlpm.rb,_xlpm.rc))))</f>
        <v>122024758379339</v>
      </c>
      <c r="CN56" s="38">
        <f>IF(B56="","",F56-0.5)</f>
        <v>0.16785421539635736</v>
      </c>
      <c r="CO56" s="15" t="str" cm="1">
        <f t="array" ref="CO56">IF(B56="","",_xlfn.TEXTJOIN("",,MID(B56,_xlfn.SEQUENCE(LEN(B56),,LEN(B56),-1),1)))</f>
        <v>411e76b9f1eba6</v>
      </c>
      <c r="CP56" s="6" t="str" cm="1">
        <f t="array" ref="CP56">IF(B56="","",BASE2DEC(CO56,16))</f>
        <v>18329368760806310</v>
      </c>
      <c r="CQ56" s="5" t="str">
        <f>IF(B56="","",IF(AND(LEN(B56)&lt;16,LEN(B56)=LEN(SUBSTITUTE(SUBSTITUTE(SUBSTITUTE(SUBSTITUTE(SUBSTITUTE(SUBSTITUTE(B56,"a",""),"b",""),"c",""),"d",""),"e",""),"f",""))),--B56,""))</f>
        <v/>
      </c>
      <c r="CR56" s="6" t="str" cm="1">
        <f t="array" ref="CR56">IF(B56="","",IF(LEN(D56)&lt;=15,BASE2DEC(D56,16),""))</f>
        <v/>
      </c>
      <c r="CS56" s="15" t="str" cm="1">
        <f t="array" ref="CS56">IF(B56="","",_xlfn.LET(_xlpm.p,REPT("0",MOD(-LEN(B56),4))&amp;B56,_xlfn.TEXTJOIN(" ",,MID(_xlpm.p,_xlfn.SEQUENCE(LEN(_xlpm.p)/4,,1,4),4))))</f>
        <v>006a be1f 9b67 e114</v>
      </c>
      <c r="CT56" s="15" t="str" cm="1">
        <f t="array" ref="CT56">IF(B56="","",UPPER(_xlfn.LET(_xlpm.p,REPT("0",64-LEN(B56))&amp;B56,_xlfn.TEXTJOIN(" ",,MID(_xlpm.p,_xlfn.SEQUENCE(8,,1,8),8)))))</f>
        <v>00000000 00000000 00000000 00000000 00000000 00000000 006ABE1F 9B67E114</v>
      </c>
      <c r="CU56" s="6" t="str" cm="1">
        <f t="array" ref="CU56">IF(B56="","",IF(LEN(D56)&lt;=6,_xlfn.LET(_xlpm.n,VALUE(D56)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6" s="39" t="s">
        <v>4444</v>
      </c>
      <c r="CW56" s="39" t="s">
        <v>1895</v>
      </c>
      <c r="CX56" s="39" t="s">
        <v>1896</v>
      </c>
      <c r="CY56" s="7" t="s">
        <v>4735</v>
      </c>
      <c r="CZ56" s="39" t="s">
        <v>4444</v>
      </c>
      <c r="DA56" s="39" t="s">
        <v>4444</v>
      </c>
      <c r="DB56" s="39">
        <v>55</v>
      </c>
      <c r="DC56" s="7" t="s">
        <v>4736</v>
      </c>
      <c r="DD56" s="7" t="s">
        <v>4737</v>
      </c>
      <c r="DE56" s="7" t="s">
        <v>4738</v>
      </c>
      <c r="DF56" s="7" t="s">
        <v>4739</v>
      </c>
      <c r="DG56" s="7" t="s">
        <v>4740</v>
      </c>
      <c r="DH56" s="39" t="s">
        <v>4452</v>
      </c>
      <c r="DI56" s="7" t="s">
        <v>5463</v>
      </c>
      <c r="DJ56" s="7" t="s">
        <v>5464</v>
      </c>
      <c r="DK56" s="7" t="s">
        <v>5465</v>
      </c>
      <c r="DL56" s="7" t="s">
        <v>5466</v>
      </c>
      <c r="DM56" s="7" t="s">
        <v>5467</v>
      </c>
      <c r="DN56" s="7" t="s">
        <v>5468</v>
      </c>
      <c r="DO56" s="7" t="s">
        <v>5469</v>
      </c>
      <c r="DP56" s="7" t="s">
        <v>5470</v>
      </c>
      <c r="DQ56" s="7" t="s">
        <v>5471</v>
      </c>
      <c r="DR56" s="7" t="s">
        <v>5472</v>
      </c>
      <c r="DS56" s="7" t="s">
        <v>5809</v>
      </c>
      <c r="DT56" s="15" t="str" cm="1">
        <f t="array" ref="DT56">IF(B56="","",_xlfn.TEXTJOIN("",,HEX2BIN(MID(BQ56,_xlfn.SEQUENCE(40),1),4)))</f>
        <v>0111000101110011111111110000010001110011101110011010111101101011111001100011010111110001000000110011011010001111100000001100011010111110000111100101011011010111</v>
      </c>
    </row>
    <row r="57" spans="1:124" x14ac:dyDescent="0.25">
      <c r="A57" s="9">
        <v>56</v>
      </c>
      <c r="B57" s="15" t="s">
        <v>3609</v>
      </c>
      <c r="C57" s="15" t="s">
        <v>3610</v>
      </c>
      <c r="D57" s="6" t="s">
        <v>3611</v>
      </c>
      <c r="E57" s="6" t="s">
        <v>3612</v>
      </c>
      <c r="F57" s="10">
        <v>0.22731664533239271</v>
      </c>
      <c r="G57" s="9">
        <v>34</v>
      </c>
      <c r="H57" s="9">
        <v>0</v>
      </c>
      <c r="I57" s="15" t="s">
        <v>3613</v>
      </c>
      <c r="J57" s="9">
        <v>31</v>
      </c>
      <c r="K57" s="15" t="s">
        <v>3614</v>
      </c>
      <c r="L57" s="15" t="s">
        <v>3615</v>
      </c>
      <c r="M57" s="15" t="s">
        <v>3616</v>
      </c>
      <c r="N57" s="15" t="s">
        <v>3617</v>
      </c>
      <c r="O57" s="6" t="s">
        <v>3618</v>
      </c>
      <c r="P57" s="15" t="s">
        <v>3619</v>
      </c>
      <c r="Q57" s="15" t="s">
        <v>3620</v>
      </c>
      <c r="R57" s="6" t="s">
        <v>3621</v>
      </c>
      <c r="S57" s="15" t="s">
        <v>3622</v>
      </c>
      <c r="T57" s="11">
        <v>1.471731322801165</v>
      </c>
      <c r="U57" s="10">
        <v>0.6071428571428571</v>
      </c>
      <c r="V57" s="7" t="s">
        <v>843</v>
      </c>
      <c r="W57" s="7" t="s">
        <v>844</v>
      </c>
      <c r="X57" s="7" t="s">
        <v>845</v>
      </c>
      <c r="Y57" s="15" t="s">
        <v>3623</v>
      </c>
      <c r="Z57" s="9">
        <v>37</v>
      </c>
      <c r="AA57" s="9">
        <v>28</v>
      </c>
      <c r="AB57" s="9">
        <v>86</v>
      </c>
      <c r="AC57" s="13">
        <v>2.4053511772118195</v>
      </c>
      <c r="AD57" s="13">
        <v>0</v>
      </c>
      <c r="AE57" s="9">
        <v>17</v>
      </c>
      <c r="AF57" s="9">
        <v>81</v>
      </c>
      <c r="AG57" s="9">
        <v>9</v>
      </c>
      <c r="AH57" s="6" t="s">
        <v>3624</v>
      </c>
      <c r="AI57" s="10">
        <v>55.295507509568061</v>
      </c>
      <c r="AJ57" s="10">
        <v>52.86277523493164</v>
      </c>
      <c r="AK57" s="15" t="s">
        <v>3625</v>
      </c>
      <c r="AL57" s="15" t="s">
        <v>3626</v>
      </c>
      <c r="AM57" s="15" t="s">
        <v>3627</v>
      </c>
      <c r="AN57" s="9">
        <v>3</v>
      </c>
      <c r="AO57" s="9">
        <v>10</v>
      </c>
      <c r="AP57" s="9">
        <v>25</v>
      </c>
      <c r="AQ57" s="15" t="s">
        <v>3628</v>
      </c>
      <c r="AR57" s="9">
        <v>11</v>
      </c>
      <c r="AS57" s="6" t="s">
        <v>16</v>
      </c>
      <c r="AT57" s="15" t="s">
        <v>3629</v>
      </c>
      <c r="AU57" s="9">
        <v>0</v>
      </c>
      <c r="AV57" s="9">
        <v>0</v>
      </c>
      <c r="AW57" s="9">
        <v>1</v>
      </c>
      <c r="AX57" s="9">
        <v>8</v>
      </c>
      <c r="AY57" s="9">
        <v>223</v>
      </c>
      <c r="AZ57" s="9">
        <v>65503</v>
      </c>
      <c r="BA57" s="6" t="s">
        <v>3630</v>
      </c>
      <c r="BB57" s="6" t="s">
        <v>3631</v>
      </c>
      <c r="BC57" s="6" t="s">
        <v>3632</v>
      </c>
      <c r="BD57" s="15" t="s">
        <v>3633</v>
      </c>
      <c r="BE57" s="15" t="s">
        <v>3634</v>
      </c>
      <c r="BF57" s="15" t="s">
        <v>3635</v>
      </c>
      <c r="BG57" s="15" t="s">
        <v>3636</v>
      </c>
      <c r="BH57" s="6" t="s">
        <v>3637</v>
      </c>
      <c r="BI57" s="17" t="s">
        <v>888</v>
      </c>
      <c r="BJ57" s="7" t="s">
        <v>1581</v>
      </c>
      <c r="BK57" s="7" t="s">
        <v>1582</v>
      </c>
      <c r="BL57" s="7" t="s">
        <v>1583</v>
      </c>
      <c r="BM57" s="16" t="s">
        <v>1584</v>
      </c>
      <c r="BN57" s="16" t="s">
        <v>1585</v>
      </c>
      <c r="BO57" s="16" t="s">
        <v>1586</v>
      </c>
      <c r="BP57" s="16" t="s">
        <v>1587</v>
      </c>
      <c r="BQ57" s="16" t="s">
        <v>1588</v>
      </c>
      <c r="BR57" s="7" t="s">
        <v>1589</v>
      </c>
      <c r="BS57" s="7" t="s">
        <v>1590</v>
      </c>
      <c r="BT57" s="7" t="s">
        <v>1591</v>
      </c>
      <c r="BU57" s="14">
        <v>3.8188051173383821E-61</v>
      </c>
      <c r="BV57" s="15" t="s">
        <v>3638</v>
      </c>
      <c r="BW57" s="9">
        <v>31</v>
      </c>
      <c r="BX57" s="9">
        <v>24</v>
      </c>
      <c r="BY57" s="13">
        <v>0.80178372573727319</v>
      </c>
      <c r="BZ57" s="13">
        <v>-1.0690449676496976</v>
      </c>
      <c r="CA57" s="12">
        <f>IF(B57="","",IF(A57&lt;8,"",_xlfn.LET(_xlpm.n,A57,_xlpm.k,G57,_xlpm.R,AP57,_xlpm.mu,1+2*_xlpm.k*(_xlpm.n-_xlpm.k)/_xlpm.n,_xlpm.v,2*_xlpm.k*(_xlpm.n-_xlpm.k)*(2*_xlpm.k*(_xlpm.n-_xlpm.k)-_xlpm.n)/(_xlpm.n^2*(_xlpm.n-1)),IF(_xlpm.v&lt;=0,"",(_xlpm.R-_xlpm.mu)/SQRT(_xlpm.v)))))</f>
        <v>-0.76802947928172138</v>
      </c>
      <c r="CB57" s="37" cm="1">
        <f t="array" ref="CB57">IF(B57="","",IF(A57&lt;8,"",_xlfn.LET(_xlpm.b,--MID(C57,_xlfn.SEQUENCE(A57-1),1),_xlpm.c,--MID(C57,_xlfn.SEQUENCE(A57-1,,2),1),IFERROR(CORREL(_xlpm.b,_xlpm.c),""))))</f>
        <v>9.0909090909090939E-2</v>
      </c>
      <c r="CC57" s="8">
        <f>IF(B57="","",LOG(A57,2))</f>
        <v>5.8073549220576046</v>
      </c>
      <c r="CD57" s="8">
        <f>IF(B57="","",MAX(AN57,AO57)-CC57)</f>
        <v>4.1926450779423954</v>
      </c>
      <c r="CE57" s="8" t="str" cm="1">
        <f t="array" ref="CE57">IF(B57="","",IF(LEN(B57)&lt;16,"",_xlfn.LET(_xlpm.d,MID("0123456789abcdef",_xlfn.SEQUENCE(16),1),_xlpm.c,LEN(B57)-LEN(SUBSTITUTE(B57,_xlpm.d,"")),_xlpm.ex,LEN(B57)/16,SUM((_xlpm.c-_xlpm.ex)^2/_xlpm.ex))))</f>
        <v/>
      </c>
      <c r="CF57" s="37" t="str">
        <f>IF(CE57="","",_xlfn.CHISQ.DIST.RT(CE57,15))</f>
        <v/>
      </c>
      <c r="CG57" s="9" cm="1">
        <f t="array" ref="CG57">IF(OR(B57="",B56=""),"",_xlfn.LET(_xlpm.a,C57,_xlpm.b,REPT("0",A57-LEN(C56))&amp;C56,_xlpm.m,MID(_xlpm.a,_xlfn.SEQUENCE(A57),1)=MID(_xlpm.b,_xlfn.SEQUENCE(A57),1),IFERROR(MATCH(FALSE,_xlpm.m,0)-1,A57)))</f>
        <v>0</v>
      </c>
      <c r="CH57" s="9" cm="1">
        <f t="array" ref="CH57">IF(OR(B57="",B56=""),"",_xlfn.LET(_xlpm.a,C57,_xlpm.b,REPT("0",A57-LEN(C56))&amp;C56,_xlpm.n,A57,_xlpm.m,MID(_xlpm.a,_xlfn.SEQUENCE(_xlpm.n,,_xlpm.n,-1),1)=MID(_xlpm.b,_xlfn.SEQUENCE(_xlpm.n,,_xlpm.n,-1),1),IFERROR(MATCH(FALSE,_xlpm.m,0)-1,_xlpm.n)))</f>
        <v>0</v>
      </c>
      <c r="CI57" s="38">
        <f>IF(OR(B57="",B56=""),"",F57-F56)</f>
        <v>-0.44053757006396466</v>
      </c>
      <c r="CJ57" s="5" t="b">
        <f>IF(OR(B57="",B56=""),"",IFERROR(FIND(B56,B57)&gt;0,FALSE))</f>
        <v>0</v>
      </c>
      <c r="CK57" s="5" t="b">
        <f>IF(OR(B57="",B56=""),"",IFERROR(FIND(C56,C57)&gt;0,FALSE))</f>
        <v>0</v>
      </c>
      <c r="CL57" s="9" t="str">
        <f>IF(OR(B57="",B56=""),"",IFERROR(FIND(C56,C57),""))</f>
        <v/>
      </c>
      <c r="CM57" s="6" t="str" cm="1">
        <f t="array" ref="CM57">IF(OR(B57="",B56=""),"",_xlfn.LET(_xlpm.pv,D56,_xlpm.ra,BIGSUB(D57,_xlpm.pv),_xlpm.rb,BIGSUB(_xlpm.ra,_xlpm.pv),_xlpm.rc,BIGSUB(_xlpm.rb,_xlpm.pv),IF(LEFT(_xlpm.rb,1)="-",_xlpm.ra,IF(LEFT(_xlpm.rc,1)="-",_xlpm.rb,_xlpm.rc))))</f>
        <v>14173351800807115</v>
      </c>
      <c r="CN57" s="38">
        <f>IF(B57="","",F57-0.5)</f>
        <v>-0.27268335466760729</v>
      </c>
      <c r="CO57" s="15" t="str" cm="1">
        <f t="array" ref="CO57">IF(B57="","",_xlfn.TEXTJOIN("",,MID(B57,_xlfn.SEQUENCE(LEN(B57),,LEN(B57),-1),1)))</f>
        <v>fdff4ca36b81d9</v>
      </c>
      <c r="CP57" s="6" t="str" cm="1">
        <f t="array" ref="CP57">IF(B57="","",BASE2DEC(CO57,16))</f>
        <v>71493873732125145</v>
      </c>
      <c r="CQ57" s="5" t="str">
        <f>IF(B57="","",IF(AND(LEN(B57)&lt;16,LEN(B57)=LEN(SUBSTITUTE(SUBSTITUTE(SUBSTITUTE(SUBSTITUTE(SUBSTITUTE(SUBSTITUTE(B57,"a",""),"b",""),"c",""),"d",""),"e",""),"f",""))),--B57,""))</f>
        <v/>
      </c>
      <c r="CR57" s="6" t="str" cm="1">
        <f t="array" ref="CR57">IF(B57="","",IF(LEN(D57)&lt;=15,BASE2DEC(D57,16),""))</f>
        <v/>
      </c>
      <c r="CS57" s="15" t="str" cm="1">
        <f t="array" ref="CS57">IF(B57="","",_xlfn.LET(_xlpm.p,REPT("0",MOD(-LEN(B57),4))&amp;B57,_xlfn.TEXTJOIN(" ",,MID(_xlpm.p,_xlfn.SEQUENCE(LEN(_xlpm.p)/4,,1,4),4))))</f>
        <v>009d 18b6 3ac4 ffdf</v>
      </c>
      <c r="CT57" s="15" t="str" cm="1">
        <f t="array" ref="CT57">IF(B57="","",UPPER(_xlfn.LET(_xlpm.p,REPT("0",64-LEN(B57))&amp;B57,_xlfn.TEXTJOIN(" ",,MID(_xlpm.p,_xlfn.SEQUENCE(8,,1,8),8)))))</f>
        <v>00000000 00000000 00000000 00000000 00000000 00000000 009D18B6 3AC4FFDF</v>
      </c>
      <c r="CU57" s="6" t="str" cm="1">
        <f t="array" ref="CU57">IF(B57="","",IF(LEN(D57)&lt;=6,_xlfn.LET(_xlpm.n,VALUE(D57)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7" s="39" t="s">
        <v>4444</v>
      </c>
      <c r="CW57" s="39" t="s">
        <v>987</v>
      </c>
      <c r="CX57" s="39" t="s">
        <v>1896</v>
      </c>
      <c r="CY57" s="7" t="s">
        <v>4741</v>
      </c>
      <c r="CZ57" s="39" t="s">
        <v>4444</v>
      </c>
      <c r="DA57" s="39" t="s">
        <v>4444</v>
      </c>
      <c r="DB57" s="39">
        <v>55</v>
      </c>
      <c r="DC57" s="7" t="s">
        <v>4742</v>
      </c>
      <c r="DD57" s="7" t="s">
        <v>4743</v>
      </c>
      <c r="DE57" s="7" t="s">
        <v>4744</v>
      </c>
      <c r="DF57" s="7" t="s">
        <v>4745</v>
      </c>
      <c r="DG57" s="7" t="s">
        <v>4746</v>
      </c>
      <c r="DH57" s="39" t="s">
        <v>4448</v>
      </c>
      <c r="DI57" s="7" t="s">
        <v>5473</v>
      </c>
      <c r="DJ57" s="7" t="s">
        <v>5474</v>
      </c>
      <c r="DK57" s="7" t="s">
        <v>5475</v>
      </c>
      <c r="DL57" s="7" t="s">
        <v>5476</v>
      </c>
      <c r="DM57" s="7" t="s">
        <v>5477</v>
      </c>
      <c r="DN57" s="7" t="s">
        <v>5478</v>
      </c>
      <c r="DO57" s="7" t="s">
        <v>5479</v>
      </c>
      <c r="DP57" s="7" t="s">
        <v>5480</v>
      </c>
      <c r="DQ57" s="7" t="s">
        <v>5481</v>
      </c>
      <c r="DR57" s="7" t="s">
        <v>5482</v>
      </c>
      <c r="DS57" s="7" t="s">
        <v>5810</v>
      </c>
      <c r="DT57" s="15" t="str" cm="1">
        <f t="array" ref="DT57">IF(B57="","",_xlfn.TEXTJOIN("",,HEX2BIN(MID(BQ57,_xlfn.SEQUENCE(40),1),4)))</f>
        <v>0110001010010111100100111000000001000011001111100111100000001001110001110010011110100010010100111001101000111000101110011110101000100110011000011000011000100000</v>
      </c>
    </row>
    <row r="58" spans="1:124" x14ac:dyDescent="0.25">
      <c r="A58" s="9">
        <v>57</v>
      </c>
      <c r="B58" s="15" t="s">
        <v>3639</v>
      </c>
      <c r="C58" s="15" t="s">
        <v>3640</v>
      </c>
      <c r="D58" s="6" t="s">
        <v>3641</v>
      </c>
      <c r="E58" s="6" t="s">
        <v>3642</v>
      </c>
      <c r="F58" s="10">
        <v>0.91854530749500141</v>
      </c>
      <c r="G58" s="9">
        <v>29</v>
      </c>
      <c r="H58" s="9">
        <v>2</v>
      </c>
      <c r="I58" s="15" t="s">
        <v>3643</v>
      </c>
      <c r="J58" s="9">
        <v>33</v>
      </c>
      <c r="K58" s="15" t="s">
        <v>3644</v>
      </c>
      <c r="L58" s="15" t="s">
        <v>3645</v>
      </c>
      <c r="M58" s="15" t="s">
        <v>3646</v>
      </c>
      <c r="N58" s="15" t="s">
        <v>3647</v>
      </c>
      <c r="O58" s="6" t="s">
        <v>3648</v>
      </c>
      <c r="P58" s="15" t="s">
        <v>3649</v>
      </c>
      <c r="Q58" s="15" t="s">
        <v>3650</v>
      </c>
      <c r="R58" s="6" t="s">
        <v>3651</v>
      </c>
      <c r="S58" s="15" t="s">
        <v>3652</v>
      </c>
      <c r="T58" s="11">
        <v>3.1264064001599214</v>
      </c>
      <c r="U58" s="10">
        <v>0.50877192982456143</v>
      </c>
      <c r="V58" s="7" t="s">
        <v>846</v>
      </c>
      <c r="W58" s="7" t="s">
        <v>847</v>
      </c>
      <c r="X58" s="7" t="s">
        <v>848</v>
      </c>
      <c r="Y58" s="15" t="s">
        <v>3653</v>
      </c>
      <c r="Z58" s="9">
        <v>22</v>
      </c>
      <c r="AA58" s="9">
        <v>24</v>
      </c>
      <c r="AB58" s="9">
        <v>75</v>
      </c>
      <c r="AC58" s="13">
        <v>-1.721892064184557</v>
      </c>
      <c r="AD58" s="13">
        <v>-1.1920791213585393</v>
      </c>
      <c r="AE58" s="9">
        <v>18</v>
      </c>
      <c r="AF58" s="9">
        <v>86</v>
      </c>
      <c r="AG58" s="9">
        <v>5</v>
      </c>
      <c r="AH58" s="6" t="s">
        <v>3654</v>
      </c>
      <c r="AI58" s="10">
        <v>56.940012835374141</v>
      </c>
      <c r="AJ58" s="10">
        <v>55.8774227895263</v>
      </c>
      <c r="AK58" s="15" t="s">
        <v>3655</v>
      </c>
      <c r="AL58" s="15" t="s">
        <v>3656</v>
      </c>
      <c r="AM58" s="15" t="s">
        <v>3657</v>
      </c>
      <c r="AN58" s="9">
        <v>5</v>
      </c>
      <c r="AO58" s="9">
        <v>4</v>
      </c>
      <c r="AP58" s="9">
        <v>30</v>
      </c>
      <c r="AQ58" s="15" t="s">
        <v>3658</v>
      </c>
      <c r="AR58" s="9">
        <v>11</v>
      </c>
      <c r="AS58" s="6" t="s">
        <v>976</v>
      </c>
      <c r="AT58" s="15" t="s">
        <v>3659</v>
      </c>
      <c r="AU58" s="9">
        <v>2</v>
      </c>
      <c r="AV58" s="9">
        <v>2</v>
      </c>
      <c r="AW58" s="9">
        <v>3</v>
      </c>
      <c r="AX58" s="9">
        <v>4</v>
      </c>
      <c r="AY58" s="9">
        <v>28</v>
      </c>
      <c r="AZ58" s="9">
        <v>54812</v>
      </c>
      <c r="BA58" s="6" t="s">
        <v>3660</v>
      </c>
      <c r="BB58" s="6" t="s">
        <v>3661</v>
      </c>
      <c r="BC58" s="6" t="s">
        <v>3662</v>
      </c>
      <c r="BD58" s="15" t="s">
        <v>3663</v>
      </c>
      <c r="BE58" s="15" t="s">
        <v>3664</v>
      </c>
      <c r="BF58" s="15" t="s">
        <v>3665</v>
      </c>
      <c r="BG58" s="15" t="s">
        <v>3666</v>
      </c>
      <c r="BH58" s="6" t="s">
        <v>3667</v>
      </c>
      <c r="BI58" s="17" t="s">
        <v>888</v>
      </c>
      <c r="BJ58" s="7" t="s">
        <v>1592</v>
      </c>
      <c r="BK58" s="7" t="s">
        <v>1593</v>
      </c>
      <c r="BL58" s="7" t="s">
        <v>1594</v>
      </c>
      <c r="BM58" s="16" t="s">
        <v>1595</v>
      </c>
      <c r="BN58" s="16" t="s">
        <v>1596</v>
      </c>
      <c r="BO58" s="16" t="s">
        <v>1597</v>
      </c>
      <c r="BP58" s="16" t="s">
        <v>1598</v>
      </c>
      <c r="BQ58" s="16" t="s">
        <v>1599</v>
      </c>
      <c r="BR58" s="7" t="s">
        <v>1600</v>
      </c>
      <c r="BS58" s="7" t="s">
        <v>1601</v>
      </c>
      <c r="BT58" s="7" t="s">
        <v>1602</v>
      </c>
      <c r="BU58" s="14">
        <v>1.1939136759810178E-60</v>
      </c>
      <c r="BV58" s="15" t="s">
        <v>3668</v>
      </c>
      <c r="BW58" s="9">
        <v>26</v>
      </c>
      <c r="BX58" s="9">
        <v>25</v>
      </c>
      <c r="BY58" s="13">
        <v>-0.6622661785325219</v>
      </c>
      <c r="BZ58" s="13">
        <v>-0.92717264994553061</v>
      </c>
      <c r="CA58" s="12">
        <f>IF(B58="","",IF(A58&lt;8,"",_xlfn.LET(_xlpm.n,A58,_xlpm.k,G58,_xlpm.R,AP58,_xlpm.mu,1+2*_xlpm.k*(_xlpm.n-_xlpm.k)/_xlpm.n,_xlpm.v,2*_xlpm.k*(_xlpm.n-_xlpm.k)*(2*_xlpm.k*(_xlpm.n-_xlpm.k)-_xlpm.n)/(_xlpm.n^2*(_xlpm.n-1)),IF(_xlpm.v&lt;=0,"",(_xlpm.R-_xlpm.mu)/SQRT(_xlpm.v)))))</f>
        <v>0.1360393351276693</v>
      </c>
      <c r="CB58" s="37" cm="1">
        <f t="array" ref="CB58">IF(B58="","",IF(A58&lt;8,"",_xlfn.LET(_xlpm.b,--MID(C58,_xlfn.SEQUENCE(A58-1),1),_xlpm.c,--MID(C58,_xlfn.SEQUENCE(A58-1,,2),1),IFERROR(CORREL(_xlpm.b,_xlpm.c),""))))</f>
        <v>-3.5737084494593181E-2</v>
      </c>
      <c r="CC58" s="8">
        <f>IF(B58="","",LOG(A58,2))</f>
        <v>5.8328900141647422</v>
      </c>
      <c r="CD58" s="8">
        <f>IF(B58="","",MAX(AN58,AO58)-CC58)</f>
        <v>-0.83289001416474218</v>
      </c>
      <c r="CE58" s="8" t="str" cm="1">
        <f t="array" ref="CE58">IF(B58="","",IF(LEN(B58)&lt;16,"",_xlfn.LET(_xlpm.d,MID("0123456789abcdef",_xlfn.SEQUENCE(16),1),_xlpm.c,LEN(B58)-LEN(SUBSTITUTE(B58,_xlpm.d,"")),_xlpm.ex,LEN(B58)/16,SUM((_xlpm.c-_xlpm.ex)^2/_xlpm.ex))))</f>
        <v/>
      </c>
      <c r="CF58" s="37" t="str">
        <f>IF(CE58="","",_xlfn.CHISQ.DIST.RT(CE58,15))</f>
        <v/>
      </c>
      <c r="CG58" s="9" cm="1">
        <f t="array" ref="CG58">IF(OR(B58="",B57=""),"",_xlfn.LET(_xlpm.a,C58,_xlpm.b,REPT("0",A58-LEN(C57))&amp;C57,_xlpm.m,MID(_xlpm.a,_xlfn.SEQUENCE(A58),1)=MID(_xlpm.b,_xlfn.SEQUENCE(A58),1),IFERROR(MATCH(FALSE,_xlpm.m,0)-1,A58)))</f>
        <v>0</v>
      </c>
      <c r="CH58" s="9" cm="1">
        <f t="array" ref="CH58">IF(OR(B58="",B57=""),"",_xlfn.LET(_xlpm.a,C58,_xlpm.b,REPT("0",A58-LEN(C57))&amp;C57,_xlpm.n,A58,_xlpm.m,MID(_xlpm.a,_xlfn.SEQUENCE(_xlpm.n,,_xlpm.n,-1),1)=MID(_xlpm.b,_xlfn.SEQUENCE(_xlpm.n,,_xlpm.n,-1),1),IFERROR(MATCH(FALSE,_xlpm.m,0)-1,_xlpm.n)))</f>
        <v>0</v>
      </c>
      <c r="CI58" s="38">
        <f>IF(OR(B58="",B57=""),"",F58-F57)</f>
        <v>0.6912286621626087</v>
      </c>
      <c r="CJ58" s="5" t="b">
        <f>IF(OR(B58="",B57=""),"",IFERROR(FIND(B57,B58)&gt;0,FALSE))</f>
        <v>0</v>
      </c>
      <c r="CK58" s="5" t="b">
        <f>IF(OR(B58="",B57=""),"",IFERROR(FIND(C57,C58)&gt;0,FALSE))</f>
        <v>0</v>
      </c>
      <c r="CL58" s="9" t="str">
        <f>IF(OR(B58="",B57=""),"",IFERROR(FIND(C57,C58),""))</f>
        <v/>
      </c>
      <c r="CM58" s="6" t="str" cm="1">
        <f t="array" ref="CM58">IF(OR(B58="",B57=""),"",_xlfn.LET(_xlpm.pv,D57,_xlpm.ra,BIGSUB(D58,_xlpm.pv),_xlpm.rb,BIGSUB(_xlpm.ra,_xlpm.pv),_xlpm.rc,BIGSUB(_xlpm.rb,_xlpm.pv),IF(LEFT(_xlpm.rb,1)="-",_xlpm.ra,IF(LEFT(_xlpm.rc,1)="-",_xlpm.rb,_xlpm.rc))))</f>
        <v>5589532032816767</v>
      </c>
      <c r="CN58" s="38">
        <f>IF(B58="","",F58-0.5)</f>
        <v>0.41854530749500141</v>
      </c>
      <c r="CO58" s="15" t="str" cm="1">
        <f t="array" ref="CO58">IF(B58="","",_xlfn.TEXTJOIN("",,MID(B58,_xlfn.SEQUENCE(LEN(B58),,LEN(B58),-1),1)))</f>
        <v>c16d59709c52be1</v>
      </c>
      <c r="CP58" s="6" t="str" cm="1">
        <f t="array" ref="CP58">IF(B58="","",BASE2DEC(CO58,16))</f>
        <v>871118422623464417</v>
      </c>
      <c r="CQ58" s="5" t="str">
        <f>IF(B58="","",IF(AND(LEN(B58)&lt;16,LEN(B58)=LEN(SUBSTITUTE(SUBSTITUTE(SUBSTITUTE(SUBSTITUTE(SUBSTITUTE(SUBSTITUTE(B58,"a",""),"b",""),"c",""),"d",""),"e",""),"f",""))),--B58,""))</f>
        <v/>
      </c>
      <c r="CR58" s="6" t="str" cm="1">
        <f t="array" ref="CR58">IF(B58="","",IF(LEN(D58)&lt;=15,BASE2DEC(D58,16),""))</f>
        <v/>
      </c>
      <c r="CS58" s="15" t="str" cm="1">
        <f t="array" ref="CS58">IF(B58="","",_xlfn.LET(_xlpm.p,REPT("0",MOD(-LEN(B58),4))&amp;B58,_xlfn.TEXTJOIN(" ",,MID(_xlpm.p,_xlfn.SEQUENCE(LEN(_xlpm.p)/4,,1,4),4))))</f>
        <v>01eb 25c9 0795 d61c</v>
      </c>
      <c r="CT58" s="15" t="str" cm="1">
        <f t="array" ref="CT58">IF(B58="","",UPPER(_xlfn.LET(_xlpm.p,REPT("0",64-LEN(B58))&amp;B58,_xlfn.TEXTJOIN(" ",,MID(_xlpm.p,_xlfn.SEQUENCE(8,,1,8),8)))))</f>
        <v>00000000 00000000 00000000 00000000 00000000 00000000 01EB25C9 0795D61C</v>
      </c>
      <c r="CU58" s="6" t="str" cm="1">
        <f t="array" ref="CU58">IF(B58="","",IF(LEN(D58)&lt;=6,_xlfn.LET(_xlpm.n,VALUE(D58)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8" s="39" t="s">
        <v>4444</v>
      </c>
      <c r="CW58" s="39" t="s">
        <v>1895</v>
      </c>
      <c r="CX58" s="39" t="s">
        <v>1896</v>
      </c>
      <c r="CY58" s="7" t="s">
        <v>4747</v>
      </c>
      <c r="CZ58" s="39" t="s">
        <v>4444</v>
      </c>
      <c r="DA58" s="39" t="s">
        <v>4444</v>
      </c>
      <c r="DB58" s="39">
        <v>57</v>
      </c>
      <c r="DC58" s="7" t="s">
        <v>4748</v>
      </c>
      <c r="DD58" s="7" t="s">
        <v>4749</v>
      </c>
      <c r="DE58" s="7" t="s">
        <v>4750</v>
      </c>
      <c r="DF58" s="7" t="s">
        <v>4751</v>
      </c>
      <c r="DG58" s="7" t="s">
        <v>4752</v>
      </c>
      <c r="DH58" s="39" t="s">
        <v>4452</v>
      </c>
      <c r="DI58" s="7" t="s">
        <v>5483</v>
      </c>
      <c r="DJ58" s="7" t="s">
        <v>5484</v>
      </c>
      <c r="DK58" s="7" t="s">
        <v>5485</v>
      </c>
      <c r="DL58" s="7" t="s">
        <v>5486</v>
      </c>
      <c r="DM58" s="7" t="s">
        <v>5487</v>
      </c>
      <c r="DN58" s="7" t="s">
        <v>5488</v>
      </c>
      <c r="DO58" s="7" t="s">
        <v>5489</v>
      </c>
      <c r="DP58" s="7" t="s">
        <v>5490</v>
      </c>
      <c r="DQ58" s="7" t="s">
        <v>5491</v>
      </c>
      <c r="DR58" s="7" t="s">
        <v>5492</v>
      </c>
      <c r="DS58" s="7" t="s">
        <v>5811</v>
      </c>
      <c r="DT58" s="15" t="str" cm="1">
        <f t="array" ref="DT58">IF(B58="","",_xlfn.TEXTJOIN("",,HEX2BIN(MID(BQ58,_xlfn.SEQUENCE(40),1),4)))</f>
        <v>1110111010011101101011110011100110110000100111001111110011010101011000100101000000011010101100001110000000001100101000010101000000000100101010100010100110010111</v>
      </c>
    </row>
    <row r="59" spans="1:124" x14ac:dyDescent="0.25">
      <c r="A59" s="9">
        <v>58</v>
      </c>
      <c r="B59" s="15" t="s">
        <v>3669</v>
      </c>
      <c r="C59" s="15" t="s">
        <v>3670</v>
      </c>
      <c r="D59" s="6" t="s">
        <v>3671</v>
      </c>
      <c r="E59" s="6" t="s">
        <v>3672</v>
      </c>
      <c r="F59" s="10">
        <v>0.38761688234471914</v>
      </c>
      <c r="G59" s="9">
        <v>25</v>
      </c>
      <c r="H59" s="9">
        <v>0</v>
      </c>
      <c r="I59" s="15" t="s">
        <v>3673</v>
      </c>
      <c r="J59" s="9">
        <v>28</v>
      </c>
      <c r="K59" s="15" t="s">
        <v>3674</v>
      </c>
      <c r="L59" s="15" t="s">
        <v>3675</v>
      </c>
      <c r="M59" s="15" t="s">
        <v>3676</v>
      </c>
      <c r="N59" s="15" t="s">
        <v>3677</v>
      </c>
      <c r="O59" s="6" t="s">
        <v>3678</v>
      </c>
      <c r="P59" s="15" t="s">
        <v>3679</v>
      </c>
      <c r="Q59" s="15" t="s">
        <v>3680</v>
      </c>
      <c r="R59" s="6" t="s">
        <v>3681</v>
      </c>
      <c r="S59" s="15" t="s">
        <v>3682</v>
      </c>
      <c r="T59" s="11">
        <v>1.4465302194572636</v>
      </c>
      <c r="U59" s="10">
        <v>0.43103448275862066</v>
      </c>
      <c r="V59" s="7" t="s">
        <v>849</v>
      </c>
      <c r="W59" s="7" t="s">
        <v>850</v>
      </c>
      <c r="X59" s="7" t="s">
        <v>851</v>
      </c>
      <c r="Y59" s="15" t="s">
        <v>3683</v>
      </c>
      <c r="Z59" s="9">
        <v>32</v>
      </c>
      <c r="AA59" s="9">
        <v>32</v>
      </c>
      <c r="AB59" s="9">
        <v>80</v>
      </c>
      <c r="AC59" s="13">
        <v>0.78783859715833526</v>
      </c>
      <c r="AD59" s="13">
        <v>0.78783859715833526</v>
      </c>
      <c r="AE59" s="9">
        <v>18</v>
      </c>
      <c r="AF59" s="9">
        <v>104</v>
      </c>
      <c r="AG59" s="9">
        <v>5</v>
      </c>
      <c r="AH59" s="6" t="s">
        <v>3684</v>
      </c>
      <c r="AI59" s="10">
        <v>57.47260929829303</v>
      </c>
      <c r="AJ59" s="10">
        <v>55.632703312667992</v>
      </c>
      <c r="AK59" s="15" t="s">
        <v>3685</v>
      </c>
      <c r="AL59" s="15" t="s">
        <v>3686</v>
      </c>
      <c r="AM59" s="15" t="s">
        <v>3687</v>
      </c>
      <c r="AN59" s="9">
        <v>4</v>
      </c>
      <c r="AO59" s="9">
        <v>3</v>
      </c>
      <c r="AP59" s="9">
        <v>31</v>
      </c>
      <c r="AQ59" s="15" t="s">
        <v>3688</v>
      </c>
      <c r="AR59" s="9">
        <v>10</v>
      </c>
      <c r="AS59" s="6" t="s">
        <v>1895</v>
      </c>
      <c r="AT59" s="15" t="s">
        <v>3689</v>
      </c>
      <c r="AU59" s="9">
        <v>2</v>
      </c>
      <c r="AV59" s="9">
        <v>4</v>
      </c>
      <c r="AW59" s="9">
        <v>2</v>
      </c>
      <c r="AX59" s="9">
        <v>1</v>
      </c>
      <c r="AY59" s="9">
        <v>33</v>
      </c>
      <c r="AZ59" s="9">
        <v>39457</v>
      </c>
      <c r="BA59" s="6" t="s">
        <v>3690</v>
      </c>
      <c r="BB59" s="6" t="s">
        <v>3691</v>
      </c>
      <c r="BC59" s="6" t="s">
        <v>3692</v>
      </c>
      <c r="BD59" s="15" t="s">
        <v>3693</v>
      </c>
      <c r="BE59" s="15" t="s">
        <v>3694</v>
      </c>
      <c r="BF59" s="15" t="s">
        <v>3695</v>
      </c>
      <c r="BG59" s="15" t="s">
        <v>3696</v>
      </c>
      <c r="BH59" s="6" t="s">
        <v>3697</v>
      </c>
      <c r="BI59" s="17" t="s">
        <v>888</v>
      </c>
      <c r="BJ59" s="7" t="s">
        <v>1603</v>
      </c>
      <c r="BK59" s="7" t="s">
        <v>1604</v>
      </c>
      <c r="BL59" s="7" t="s">
        <v>1605</v>
      </c>
      <c r="BM59" s="16" t="s">
        <v>1606</v>
      </c>
      <c r="BN59" s="16" t="s">
        <v>1607</v>
      </c>
      <c r="BO59" s="16" t="s">
        <v>1608</v>
      </c>
      <c r="BP59" s="16" t="s">
        <v>1609</v>
      </c>
      <c r="BQ59" s="16" t="s">
        <v>1610</v>
      </c>
      <c r="BR59" s="7" t="s">
        <v>1611</v>
      </c>
      <c r="BS59" s="7" t="s">
        <v>1612</v>
      </c>
      <c r="BT59" s="7" t="s">
        <v>1613</v>
      </c>
      <c r="BU59" s="14">
        <v>1.7270322117298499E-60</v>
      </c>
      <c r="BV59" s="15" t="s">
        <v>3698</v>
      </c>
      <c r="BW59" s="9">
        <v>30</v>
      </c>
      <c r="BX59" s="9">
        <v>31</v>
      </c>
      <c r="BY59" s="13">
        <v>0.26261286571944509</v>
      </c>
      <c r="BZ59" s="13">
        <v>0.52522573143889018</v>
      </c>
      <c r="CA59" s="12">
        <f>IF(B59="","",IF(A59&lt;8,"",_xlfn.LET(_xlpm.n,A59,_xlpm.k,G59,_xlpm.R,AP59,_xlpm.mu,1+2*_xlpm.k*(_xlpm.n-_xlpm.k)/_xlpm.n,_xlpm.v,2*_xlpm.k*(_xlpm.n-_xlpm.k)*(2*_xlpm.k*(_xlpm.n-_xlpm.k)-_xlpm.n)/(_xlpm.n^2*(_xlpm.n-1)),IF(_xlpm.v&lt;=0,"",(_xlpm.R-_xlpm.mu)/SQRT(_xlpm.v)))))</f>
        <v>0.41924359218035201</v>
      </c>
      <c r="CB59" s="37" cm="1">
        <f t="array" ref="CB59">IF(B59="","",IF(A59&lt;8,"",_xlfn.LET(_xlpm.b,--MID(C59,_xlfn.SEQUENCE(A59-1),1),_xlpm.c,--MID(C59,_xlfn.SEQUENCE(A59-1,,2),1),IFERROR(CORREL(_xlpm.b,_xlpm.c),""))))</f>
        <v>-7.9545454545454572E-2</v>
      </c>
      <c r="CC59" s="8">
        <f>IF(B59="","",LOG(A59,2))</f>
        <v>5.8579809951275719</v>
      </c>
      <c r="CD59" s="8">
        <f>IF(B59="","",MAX(AN59,AO59)-CC59)</f>
        <v>-1.8579809951275719</v>
      </c>
      <c r="CE59" s="8" t="str" cm="1">
        <f t="array" ref="CE59">IF(B59="","",IF(LEN(B59)&lt;16,"",_xlfn.LET(_xlpm.d,MID("0123456789abcdef",_xlfn.SEQUENCE(16),1),_xlpm.c,LEN(B59)-LEN(SUBSTITUTE(B59,_xlpm.d,"")),_xlpm.ex,LEN(B59)/16,SUM((_xlpm.c-_xlpm.ex)^2/_xlpm.ex))))</f>
        <v/>
      </c>
      <c r="CF59" s="37" t="str">
        <f>IF(CE59="","",_xlfn.CHISQ.DIST.RT(CE59,15))</f>
        <v/>
      </c>
      <c r="CG59" s="9" cm="1">
        <f t="array" ref="CG59">IF(OR(B59="",B58=""),"",_xlfn.LET(_xlpm.a,C59,_xlpm.b,REPT("0",A59-LEN(C58))&amp;C58,_xlpm.m,MID(_xlpm.a,_xlfn.SEQUENCE(A59),1)=MID(_xlpm.b,_xlfn.SEQUENCE(A59),1),IFERROR(MATCH(FALSE,_xlpm.m,0)-1,A59)))</f>
        <v>0</v>
      </c>
      <c r="CH59" s="9" cm="1">
        <f t="array" ref="CH59">IF(OR(B59="",B58=""),"",_xlfn.LET(_xlpm.a,C59,_xlpm.b,REPT("0",A59-LEN(C58))&amp;C58,_xlpm.n,A59,_xlpm.m,MID(_xlpm.a,_xlfn.SEQUENCE(_xlpm.n,,_xlpm.n,-1),1)=MID(_xlpm.b,_xlfn.SEQUENCE(_xlpm.n,,_xlpm.n,-1),1),IFERROR(MATCH(FALSE,_xlpm.m,0)-1,_xlpm.n)))</f>
        <v>0</v>
      </c>
      <c r="CI59" s="38">
        <f>IF(OR(B59="",B58=""),"",F59-F58)</f>
        <v>-0.53092842515028227</v>
      </c>
      <c r="CJ59" s="5" t="b">
        <f>IF(OR(B59="",B58=""),"",IFERROR(FIND(B58,B59)&gt;0,FALSE))</f>
        <v>0</v>
      </c>
      <c r="CK59" s="5" t="b">
        <f>IF(OR(B59="",B58=""),"",IFERROR(FIND(C58,C59)&gt;0,FALSE))</f>
        <v>0</v>
      </c>
      <c r="CL59" s="9" t="str">
        <f>IF(OR(B59="",B58=""),"",IFERROR(FIND(C58,C59),""))</f>
        <v/>
      </c>
      <c r="CM59" s="6" t="str" cm="1">
        <f t="array" ref="CM59">IF(OR(B59="",B58=""),"",_xlfn.LET(_xlpm.pv,D58,_xlpm.ra,BIGSUB(D59,_xlpm.pv),_xlpm.rb,BIGSUB(_xlpm.ra,_xlpm.pv),_xlpm.rc,BIGSUB(_xlpm.rb,_xlpm.pv),IF(LEFT(_xlpm.rb,1)="-",_xlpm.ra,IF(LEFT(_xlpm.rc,1)="-",_xlpm.rb,_xlpm.rc))))</f>
        <v>61730909065495557</v>
      </c>
      <c r="CN59" s="38">
        <f>IF(B59="","",F59-0.5)</f>
        <v>-0.11238311765528086</v>
      </c>
      <c r="CO59" s="15" t="str" cm="1">
        <f t="array" ref="CO59">IF(B59="","",_xlfn.TEXTJOIN("",,MID(B59,_xlfn.SEQUENCE(LEN(B59),,LEN(B59),-1),1)))</f>
        <v>12a981258b576c2</v>
      </c>
      <c r="CP59" s="6" t="str" cm="1">
        <f t="array" ref="CP59">IF(B59="","",BASE2DEC(CO59,16))</f>
        <v>84046747624896194</v>
      </c>
      <c r="CQ59" s="5" t="str">
        <f>IF(B59="","",IF(AND(LEN(B59)&lt;16,LEN(B59)=LEN(SUBSTITUTE(SUBSTITUTE(SUBSTITUTE(SUBSTITUTE(SUBSTITUTE(SUBSTITUTE(B59,"a",""),"b",""),"c",""),"d",""),"e",""),"f",""))),--B59,""))</f>
        <v/>
      </c>
      <c r="CR59" s="6" t="str" cm="1">
        <f t="array" ref="CR59">IF(B59="","",IF(LEN(D59)&lt;=15,BASE2DEC(D59,16),""))</f>
        <v/>
      </c>
      <c r="CS59" s="15" t="str" cm="1">
        <f t="array" ref="CS59">IF(B59="","",_xlfn.LET(_xlpm.p,REPT("0",MOD(-LEN(B59),4))&amp;B59,_xlfn.TEXTJOIN(" ",,MID(_xlpm.p,_xlfn.SEQUENCE(LEN(_xlpm.p)/4,,1,4),4))))</f>
        <v>02c6 75b8 5218 9a21</v>
      </c>
      <c r="CT59" s="15" t="str" cm="1">
        <f t="array" ref="CT59">IF(B59="","",UPPER(_xlfn.LET(_xlpm.p,REPT("0",64-LEN(B59))&amp;B59,_xlfn.TEXTJOIN(" ",,MID(_xlpm.p,_xlfn.SEQUENCE(8,,1,8),8)))))</f>
        <v>00000000 00000000 00000000 00000000 00000000 00000000 02C675B8 52189A21</v>
      </c>
      <c r="CU59" s="6" t="str" cm="1">
        <f t="array" ref="CU59">IF(B59="","",IF(LEN(D59)&lt;=6,_xlfn.LET(_xlpm.n,VALUE(D59)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59" s="39" t="s">
        <v>4444</v>
      </c>
      <c r="CW59" s="39" t="s">
        <v>2075</v>
      </c>
      <c r="CX59" s="39" t="s">
        <v>4753</v>
      </c>
      <c r="CY59" s="7" t="s">
        <v>4754</v>
      </c>
      <c r="CZ59" s="39" t="s">
        <v>4444</v>
      </c>
      <c r="DA59" s="39" t="s">
        <v>4444</v>
      </c>
      <c r="DB59" s="39">
        <v>57</v>
      </c>
      <c r="DC59" s="7" t="s">
        <v>4755</v>
      </c>
      <c r="DD59" s="7" t="s">
        <v>4749</v>
      </c>
      <c r="DE59" s="7" t="s">
        <v>4756</v>
      </c>
      <c r="DF59" s="7" t="s">
        <v>4757</v>
      </c>
      <c r="DG59" s="7" t="s">
        <v>4758</v>
      </c>
      <c r="DH59" s="39" t="s">
        <v>4448</v>
      </c>
      <c r="DI59" s="7" t="s">
        <v>5493</v>
      </c>
      <c r="DJ59" s="7" t="s">
        <v>5494</v>
      </c>
      <c r="DK59" s="7" t="s">
        <v>5495</v>
      </c>
      <c r="DL59" s="7" t="s">
        <v>5496</v>
      </c>
      <c r="DM59" s="7" t="s">
        <v>5497</v>
      </c>
      <c r="DN59" s="7" t="s">
        <v>5498</v>
      </c>
      <c r="DO59" s="7" t="s">
        <v>5499</v>
      </c>
      <c r="DP59" s="7" t="s">
        <v>5500</v>
      </c>
      <c r="DQ59" s="7" t="s">
        <v>5501</v>
      </c>
      <c r="DR59" s="7" t="s">
        <v>5502</v>
      </c>
      <c r="DS59" s="7" t="s">
        <v>5812</v>
      </c>
      <c r="DT59" s="15" t="str" cm="1">
        <f t="array" ref="DT59">IF(B59="","",_xlfn.TEXTJOIN("",,HEX2BIN(MID(BQ59,_xlfn.SEQUENCE(40),1),4)))</f>
        <v>1111111010110010110100110010111010111010101001011110110010110011111010010110110001110001001011110110111111101000010111010101110001100001010000101110101001111001</v>
      </c>
    </row>
    <row r="60" spans="1:124" x14ac:dyDescent="0.25">
      <c r="A60" s="9">
        <v>59</v>
      </c>
      <c r="B60" s="15" t="s">
        <v>3699</v>
      </c>
      <c r="C60" s="15" t="s">
        <v>3700</v>
      </c>
      <c r="D60" s="6" t="s">
        <v>3701</v>
      </c>
      <c r="E60" s="6" t="s">
        <v>3702</v>
      </c>
      <c r="F60" s="10">
        <v>0.821703844225953</v>
      </c>
      <c r="G60" s="9">
        <v>33</v>
      </c>
      <c r="H60" s="9">
        <v>0</v>
      </c>
      <c r="I60" s="15" t="s">
        <v>3703</v>
      </c>
      <c r="J60" s="9">
        <v>30</v>
      </c>
      <c r="K60" s="15" t="s">
        <v>3704</v>
      </c>
      <c r="L60" s="15" t="s">
        <v>3705</v>
      </c>
      <c r="M60" s="15" t="s">
        <v>3706</v>
      </c>
      <c r="N60" s="15" t="s">
        <v>3707</v>
      </c>
      <c r="O60" s="6" t="s">
        <v>3708</v>
      </c>
      <c r="P60" s="15" t="s">
        <v>3709</v>
      </c>
      <c r="Q60" s="15" t="s">
        <v>3710</v>
      </c>
      <c r="R60" s="6" t="s">
        <v>3711</v>
      </c>
      <c r="S60" s="15" t="s">
        <v>3712</v>
      </c>
      <c r="T60" s="11">
        <v>2.6256582308911347</v>
      </c>
      <c r="U60" s="10">
        <v>0.55932203389830504</v>
      </c>
      <c r="V60" s="7" t="s">
        <v>852</v>
      </c>
      <c r="W60" s="7" t="s">
        <v>853</v>
      </c>
      <c r="X60" s="7" t="s">
        <v>854</v>
      </c>
      <c r="Y60" s="15" t="s">
        <v>3713</v>
      </c>
      <c r="Z60" s="9">
        <v>39</v>
      </c>
      <c r="AA60" s="9">
        <v>25</v>
      </c>
      <c r="AB60" s="9">
        <v>94</v>
      </c>
      <c r="AC60" s="13">
        <v>2.4735893086356535</v>
      </c>
      <c r="AD60" s="13">
        <v>-1.1717001988274149</v>
      </c>
      <c r="AE60" s="9">
        <v>18</v>
      </c>
      <c r="AF60" s="9">
        <v>74</v>
      </c>
      <c r="AG60" s="9">
        <v>2</v>
      </c>
      <c r="AH60" s="6" t="s">
        <v>3714</v>
      </c>
      <c r="AI60" s="10">
        <v>58.865288438176819</v>
      </c>
      <c r="AJ60" s="10">
        <v>57.716690421338868</v>
      </c>
      <c r="AK60" s="15" t="s">
        <v>3715</v>
      </c>
      <c r="AL60" s="15" t="s">
        <v>3716</v>
      </c>
      <c r="AM60" s="15" t="s">
        <v>3717</v>
      </c>
      <c r="AN60" s="9">
        <v>4</v>
      </c>
      <c r="AO60" s="9">
        <v>5</v>
      </c>
      <c r="AP60" s="9">
        <v>33</v>
      </c>
      <c r="AQ60" s="15" t="s">
        <v>3718</v>
      </c>
      <c r="AR60" s="9">
        <v>9</v>
      </c>
      <c r="AS60" s="6" t="s">
        <v>1896</v>
      </c>
      <c r="AT60" s="15" t="s">
        <v>3719</v>
      </c>
      <c r="AU60" s="9">
        <v>2</v>
      </c>
      <c r="AV60" s="9">
        <v>1</v>
      </c>
      <c r="AW60" s="9">
        <v>2</v>
      </c>
      <c r="AX60" s="9">
        <v>4</v>
      </c>
      <c r="AY60" s="9">
        <v>79</v>
      </c>
      <c r="AZ60" s="9">
        <v>46159</v>
      </c>
      <c r="BA60" s="6" t="s">
        <v>3720</v>
      </c>
      <c r="BB60" s="6" t="s">
        <v>3721</v>
      </c>
      <c r="BC60" s="6" t="s">
        <v>3722</v>
      </c>
      <c r="BD60" s="15" t="s">
        <v>3723</v>
      </c>
      <c r="BE60" s="15" t="s">
        <v>3724</v>
      </c>
      <c r="BF60" s="15" t="s">
        <v>3725</v>
      </c>
      <c r="BG60" s="15" t="s">
        <v>3726</v>
      </c>
      <c r="BH60" s="6" t="s">
        <v>3727</v>
      </c>
      <c r="BI60" s="17" t="s">
        <v>888</v>
      </c>
      <c r="BJ60" s="7" t="s">
        <v>1614</v>
      </c>
      <c r="BK60" s="7" t="s">
        <v>1615</v>
      </c>
      <c r="BL60" s="7" t="s">
        <v>1616</v>
      </c>
      <c r="BM60" s="16" t="s">
        <v>1617</v>
      </c>
      <c r="BN60" s="16" t="s">
        <v>1618</v>
      </c>
      <c r="BO60" s="16" t="s">
        <v>1619</v>
      </c>
      <c r="BP60" s="16" t="s">
        <v>1620</v>
      </c>
      <c r="BQ60" s="16" t="s">
        <v>1621</v>
      </c>
      <c r="BR60" s="7" t="s">
        <v>1622</v>
      </c>
      <c r="BS60" s="7" t="s">
        <v>1623</v>
      </c>
      <c r="BT60" s="7" t="s">
        <v>1624</v>
      </c>
      <c r="BU60" s="14">
        <v>4.5345963417426015E-60</v>
      </c>
      <c r="BV60" s="15" t="s">
        <v>3728</v>
      </c>
      <c r="BW60" s="9">
        <v>29</v>
      </c>
      <c r="BX60" s="9">
        <v>28</v>
      </c>
      <c r="BY60" s="13">
        <v>-0.13018891098082389</v>
      </c>
      <c r="BZ60" s="13">
        <v>-0.39056673294247163</v>
      </c>
      <c r="CA60" s="12">
        <f>IF(B60="","",IF(A60&lt;8,"",_xlfn.LET(_xlpm.n,A60,_xlpm.k,G60,_xlpm.R,AP60,_xlpm.mu,1+2*_xlpm.k*(_xlpm.n-_xlpm.k)/_xlpm.n,_xlpm.v,2*_xlpm.k*(_xlpm.n-_xlpm.k)*(2*_xlpm.k*(_xlpm.n-_xlpm.k)-_xlpm.n)/(_xlpm.n^2*(_xlpm.n-1)),IF(_xlpm.v&lt;=0,"",(_xlpm.R-_xlpm.mu)/SQRT(_xlpm.v)))))</f>
        <v>0.77682384451729214</v>
      </c>
      <c r="CB60" s="37" cm="1">
        <f t="array" ref="CB60">IF(B60="","",IF(A60&lt;8,"",_xlfn.LET(_xlpm.b,--MID(C60,_xlfn.SEQUENCE(A60-1),1),_xlpm.c,--MID(C60,_xlfn.SEQUENCE(A60-1,,2),1),IFERROR(CORREL(_xlpm.b,_xlpm.c),""))))</f>
        <v>-0.11538461538461546</v>
      </c>
      <c r="CC60" s="8">
        <f>IF(B60="","",LOG(A60,2))</f>
        <v>5.8826430493618416</v>
      </c>
      <c r="CD60" s="8">
        <f>IF(B60="","",MAX(AN60,AO60)-CC60)</f>
        <v>-0.88264304936184157</v>
      </c>
      <c r="CE60" s="8" t="str" cm="1">
        <f t="array" ref="CE60">IF(B60="","",IF(LEN(B60)&lt;16,"",_xlfn.LET(_xlpm.d,MID("0123456789abcdef",_xlfn.SEQUENCE(16),1),_xlpm.c,LEN(B60)-LEN(SUBSTITUTE(B60,_xlpm.d,"")),_xlpm.ex,LEN(B60)/16,SUM((_xlpm.c-_xlpm.ex)^2/_xlpm.ex))))</f>
        <v/>
      </c>
      <c r="CF60" s="37" t="str">
        <f>IF(CE60="","",_xlfn.CHISQ.DIST.RT(CE60,15))</f>
        <v/>
      </c>
      <c r="CG60" s="9" cm="1">
        <f t="array" ref="CG60">IF(OR(B60="",B59=""),"",_xlfn.LET(_xlpm.a,C60,_xlpm.b,REPT("0",A60-LEN(C59))&amp;C59,_xlpm.m,MID(_xlpm.a,_xlfn.SEQUENCE(A60),1)=MID(_xlpm.b,_xlfn.SEQUENCE(A60),1),IFERROR(MATCH(FALSE,_xlpm.m,0)-1,A60)))</f>
        <v>0</v>
      </c>
      <c r="CH60" s="9" cm="1">
        <f t="array" ref="CH60">IF(OR(B60="",B59=""),"",_xlfn.LET(_xlpm.a,C60,_xlpm.b,REPT("0",A60-LEN(C59))&amp;C59,_xlpm.n,A60,_xlpm.m,MID(_xlpm.a,_xlfn.SEQUENCE(_xlpm.n,,_xlpm.n,-1),1)=MID(_xlpm.b,_xlfn.SEQUENCE(_xlpm.n,,_xlpm.n,-1),1),IFERROR(MATCH(FALSE,_xlpm.m,0)-1,_xlpm.n)))</f>
        <v>1</v>
      </c>
      <c r="CI60" s="38">
        <f>IF(OR(B60="",B59=""),"",F60-F59)</f>
        <v>0.43408696188123386</v>
      </c>
      <c r="CJ60" s="5" t="b">
        <f>IF(OR(B60="",B59=""),"",IFERROR(FIND(B59,B60)&gt;0,FALSE))</f>
        <v>0</v>
      </c>
      <c r="CK60" s="5" t="b">
        <f>IF(OR(B60="",B59=""),"",IFERROR(FIND(C59,C60)&gt;0,FALSE))</f>
        <v>0</v>
      </c>
      <c r="CL60" s="9" t="str">
        <f>IF(OR(B60="",B59=""),"",IFERROR(FIND(C59,C60),""))</f>
        <v/>
      </c>
      <c r="CM60" s="6" t="str" cm="1">
        <f t="array" ref="CM60">IF(OR(B60="",B59=""),"",_xlfn.LET(_xlpm.pv,D59,_xlpm.ra,BIGSUB(D60,_xlpm.pv),_xlpm.rb,BIGSUB(_xlpm.ra,_xlpm.pv),_xlpm.rc,BIGSUB(_xlpm.rb,_xlpm.pv),IF(LEFT(_xlpm.rb,1)="-",_xlpm.ra,IF(LEFT(_xlpm.rc,1)="-",_xlpm.rb,_xlpm.rc))))</f>
        <v>125117048305582093</v>
      </c>
      <c r="CN60" s="38">
        <f>IF(B60="","",F60-0.5)</f>
        <v>0.321703844225953</v>
      </c>
      <c r="CO60" s="15" t="str" cm="1">
        <f t="array" ref="CO60">IF(B60="","",_xlfn.TEXTJOIN("",,MID(B60,_xlfn.SEQUENCE(LEN(B60),,LEN(B60),-1),1)))</f>
        <v>f44bac78bbc6947</v>
      </c>
      <c r="CP60" s="6" t="str" cm="1">
        <f t="array" ref="CP60">IF(B60="","",BASE2DEC(CO60,16))</f>
        <v>1100209575190882631</v>
      </c>
      <c r="CQ60" s="5" t="str">
        <f>IF(B60="","",IF(AND(LEN(B60)&lt;16,LEN(B60)=LEN(SUBSTITUTE(SUBSTITUTE(SUBSTITUTE(SUBSTITUTE(SUBSTITUTE(SUBSTITUTE(B60,"a",""),"b",""),"c",""),"d",""),"e",""),"f",""))),--B60,""))</f>
        <v/>
      </c>
      <c r="CR60" s="6" t="str" cm="1">
        <f t="array" ref="CR60">IF(B60="","",IF(LEN(D60)&lt;=15,BASE2DEC(D60,16),""))</f>
        <v/>
      </c>
      <c r="CS60" s="15" t="str" cm="1">
        <f t="array" ref="CS60">IF(B60="","",_xlfn.LET(_xlpm.p,REPT("0",MOD(-LEN(B60),4))&amp;B60,_xlfn.TEXTJOIN(" ",,MID(_xlpm.p,_xlfn.SEQUENCE(LEN(_xlpm.p)/4,,1,4),4))))</f>
        <v>0749 6cbb 87ca b44f</v>
      </c>
      <c r="CT60" s="15" t="str" cm="1">
        <f t="array" ref="CT60">IF(B60="","",UPPER(_xlfn.LET(_xlpm.p,REPT("0",64-LEN(B60))&amp;B60,_xlfn.TEXTJOIN(" ",,MID(_xlpm.p,_xlfn.SEQUENCE(8,,1,8),8)))))</f>
        <v>00000000 00000000 00000000 00000000 00000000 00000000 07496CBB 87CAB44F</v>
      </c>
      <c r="CU60" s="6" t="str" cm="1">
        <f t="array" ref="CU60">IF(B60="","",IF(LEN(D60)&lt;=6,_xlfn.LET(_xlpm.n,VALUE(D60)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0" s="39" t="s">
        <v>4444</v>
      </c>
      <c r="CW60" s="39" t="s">
        <v>4759</v>
      </c>
      <c r="CX60" s="39" t="s">
        <v>1895</v>
      </c>
      <c r="CY60" s="7" t="s">
        <v>4760</v>
      </c>
      <c r="CZ60" s="39" t="s">
        <v>4444</v>
      </c>
      <c r="DA60" s="39" t="s">
        <v>4444</v>
      </c>
      <c r="DB60" s="39">
        <v>59</v>
      </c>
      <c r="DC60" s="7" t="s">
        <v>4761</v>
      </c>
      <c r="DD60" s="7" t="s">
        <v>4762</v>
      </c>
      <c r="DE60" s="7" t="s">
        <v>4763</v>
      </c>
      <c r="DF60" s="7" t="s">
        <v>4764</v>
      </c>
      <c r="DG60" s="7" t="s">
        <v>4765</v>
      </c>
      <c r="DH60" s="39" t="s">
        <v>4448</v>
      </c>
      <c r="DI60" s="7" t="s">
        <v>5503</v>
      </c>
      <c r="DJ60" s="7" t="s">
        <v>5504</v>
      </c>
      <c r="DK60" s="7" t="s">
        <v>5505</v>
      </c>
      <c r="DL60" s="7" t="s">
        <v>5506</v>
      </c>
      <c r="DM60" s="7" t="s">
        <v>5507</v>
      </c>
      <c r="DN60" s="7" t="s">
        <v>5508</v>
      </c>
      <c r="DO60" s="7" t="s">
        <v>5509</v>
      </c>
      <c r="DP60" s="7" t="s">
        <v>5510</v>
      </c>
      <c r="DQ60" s="7" t="s">
        <v>5511</v>
      </c>
      <c r="DR60" s="7" t="s">
        <v>5512</v>
      </c>
      <c r="DS60" s="7" t="s">
        <v>5813</v>
      </c>
      <c r="DT60" s="15" t="str" cm="1">
        <f t="array" ref="DT60">IF(B60="","",_xlfn.TEXTJOIN("",,HEX2BIN(MID(BQ60,_xlfn.SEQUENCE(40),1),4)))</f>
        <v>0010010011001110111100011010110011110111101111110111101010011011001010000011010111011011111110111100011001011110110111101100001101111000001110001011101000100011</v>
      </c>
    </row>
    <row r="61" spans="1:124" x14ac:dyDescent="0.25">
      <c r="A61" s="9">
        <v>60</v>
      </c>
      <c r="B61" s="15" t="s">
        <v>3729</v>
      </c>
      <c r="C61" s="15" t="s">
        <v>3730</v>
      </c>
      <c r="D61" s="6" t="s">
        <v>3731</v>
      </c>
      <c r="E61" s="6" t="s">
        <v>3732</v>
      </c>
      <c r="F61" s="10">
        <v>0.96898287643017167</v>
      </c>
      <c r="G61" s="9">
        <v>32</v>
      </c>
      <c r="H61" s="9">
        <v>1</v>
      </c>
      <c r="I61" s="15" t="s">
        <v>3733</v>
      </c>
      <c r="J61" s="9">
        <v>31</v>
      </c>
      <c r="K61" s="15" t="s">
        <v>3734</v>
      </c>
      <c r="L61" s="15" t="s">
        <v>3735</v>
      </c>
      <c r="M61" s="15" t="s">
        <v>3736</v>
      </c>
      <c r="N61" s="15" t="s">
        <v>3737</v>
      </c>
      <c r="O61" s="6" t="s">
        <v>3738</v>
      </c>
      <c r="P61" s="15" t="s">
        <v>3739</v>
      </c>
      <c r="Q61" s="15" t="s">
        <v>3740</v>
      </c>
      <c r="R61" s="6" t="s">
        <v>3741</v>
      </c>
      <c r="S61" s="15" t="s">
        <v>3742</v>
      </c>
      <c r="T61" s="11">
        <v>2.1616937162108121</v>
      </c>
      <c r="U61" s="10">
        <v>0.53333333333333333</v>
      </c>
      <c r="V61" s="7" t="s">
        <v>855</v>
      </c>
      <c r="W61" s="7" t="s">
        <v>856</v>
      </c>
      <c r="X61" s="7" t="s">
        <v>857</v>
      </c>
      <c r="Y61" s="15" t="s">
        <v>3743</v>
      </c>
      <c r="Z61" s="9">
        <v>33</v>
      </c>
      <c r="AA61" s="9">
        <v>28</v>
      </c>
      <c r="AB61" s="9">
        <v>86</v>
      </c>
      <c r="AC61" s="13">
        <v>0.7745966692414834</v>
      </c>
      <c r="AD61" s="13">
        <v>-0.5163977794943222</v>
      </c>
      <c r="AE61" s="9">
        <v>19</v>
      </c>
      <c r="AF61" s="9">
        <v>67</v>
      </c>
      <c r="AG61" s="9">
        <v>4</v>
      </c>
      <c r="AH61" s="6" t="s">
        <v>3744</v>
      </c>
      <c r="AI61" s="10">
        <v>59.977450564669276</v>
      </c>
      <c r="AJ61" s="10">
        <v>58.954543076111563</v>
      </c>
      <c r="AK61" s="15" t="s">
        <v>3745</v>
      </c>
      <c r="AL61" s="15" t="s">
        <v>3746</v>
      </c>
      <c r="AM61" s="15" t="s">
        <v>3747</v>
      </c>
      <c r="AN61" s="9">
        <v>7</v>
      </c>
      <c r="AO61" s="9">
        <v>6</v>
      </c>
      <c r="AP61" s="9">
        <v>24</v>
      </c>
      <c r="AQ61" s="15" t="s">
        <v>3748</v>
      </c>
      <c r="AR61" s="9">
        <v>13</v>
      </c>
      <c r="AS61" s="6" t="s">
        <v>998</v>
      </c>
      <c r="AT61" s="15" t="s">
        <v>3749</v>
      </c>
      <c r="AU61" s="9">
        <v>1</v>
      </c>
      <c r="AV61" s="9">
        <v>2</v>
      </c>
      <c r="AW61" s="9">
        <v>5</v>
      </c>
      <c r="AX61" s="9">
        <v>3</v>
      </c>
      <c r="AY61" s="9">
        <v>190</v>
      </c>
      <c r="AZ61" s="9">
        <v>31678</v>
      </c>
      <c r="BA61" s="6" t="s">
        <v>3750</v>
      </c>
      <c r="BB61" s="6" t="s">
        <v>3751</v>
      </c>
      <c r="BC61" s="6" t="s">
        <v>3752</v>
      </c>
      <c r="BD61" s="15" t="s">
        <v>3753</v>
      </c>
      <c r="BE61" s="15" t="s">
        <v>3754</v>
      </c>
      <c r="BF61" s="15" t="s">
        <v>3755</v>
      </c>
      <c r="BG61" s="15" t="s">
        <v>3756</v>
      </c>
      <c r="BH61" s="6" t="s">
        <v>3757</v>
      </c>
      <c r="BI61" s="17" t="s">
        <v>888</v>
      </c>
      <c r="BJ61" s="7" t="s">
        <v>1625</v>
      </c>
      <c r="BK61" s="7" t="s">
        <v>1626</v>
      </c>
      <c r="BL61" s="7" t="s">
        <v>1627</v>
      </c>
      <c r="BM61" s="16" t="s">
        <v>1628</v>
      </c>
      <c r="BN61" s="16" t="s">
        <v>1629</v>
      </c>
      <c r="BO61" s="16" t="s">
        <v>1630</v>
      </c>
      <c r="BP61" s="16" t="s">
        <v>1631</v>
      </c>
      <c r="BQ61" s="16" t="s">
        <v>1632</v>
      </c>
      <c r="BR61" s="7" t="s">
        <v>1633</v>
      </c>
      <c r="BS61" s="7" t="s">
        <v>1634</v>
      </c>
      <c r="BT61" s="7" t="s">
        <v>1635</v>
      </c>
      <c r="BU61" s="14">
        <v>9.8024084174975174E-60</v>
      </c>
      <c r="BV61" s="15" t="s">
        <v>3758</v>
      </c>
      <c r="BW61" s="9">
        <v>39</v>
      </c>
      <c r="BX61" s="9">
        <v>32</v>
      </c>
      <c r="BY61" s="13">
        <v>2.3237900077244502</v>
      </c>
      <c r="BZ61" s="13">
        <v>0.5163977794943222</v>
      </c>
      <c r="CA61" s="12">
        <f>IF(B61="","",IF(A61&lt;8,"",_xlfn.LET(_xlpm.n,A61,_xlpm.k,G61,_xlpm.R,AP61,_xlpm.mu,1+2*_xlpm.k*(_xlpm.n-_xlpm.k)/_xlpm.n,_xlpm.v,2*_xlpm.k*(_xlpm.n-_xlpm.k)*(2*_xlpm.k*(_xlpm.n-_xlpm.k)-_xlpm.n)/(_xlpm.n^2*(_xlpm.n-1)),IF(_xlpm.v&lt;=0,"",(_xlpm.R-_xlpm.mu)/SQRT(_xlpm.v)))))</f>
        <v>-1.7963058131615253</v>
      </c>
      <c r="CB61" s="37" cm="1">
        <f t="array" ref="CB61">IF(B61="","",IF(A61&lt;8,"",_xlfn.LET(_xlpm.b,--MID(C61,_xlfn.SEQUENCE(A61-1),1),_xlpm.c,--MID(C61,_xlfn.SEQUENCE(A61-1,,2),1),IFERROR(CORREL(_xlpm.b,_xlpm.c),""))))</f>
        <v>0.21709064822719626</v>
      </c>
      <c r="CC61" s="8">
        <f>IF(B61="","",LOG(A61,2))</f>
        <v>5.9068905956085187</v>
      </c>
      <c r="CD61" s="8">
        <f>IF(B61="","",MAX(AN61,AO61)-CC61)</f>
        <v>1.0931094043914813</v>
      </c>
      <c r="CE61" s="8" t="str" cm="1">
        <f t="array" ref="CE61">IF(B61="","",IF(LEN(B61)&lt;16,"",_xlfn.LET(_xlpm.d,MID("0123456789abcdef",_xlfn.SEQUENCE(16),1),_xlpm.c,LEN(B61)-LEN(SUBSTITUTE(B61,_xlpm.d,"")),_xlpm.ex,LEN(B61)/16,SUM((_xlpm.c-_xlpm.ex)^2/_xlpm.ex))))</f>
        <v/>
      </c>
      <c r="CF61" s="37" t="str">
        <f>IF(CE61="","",_xlfn.CHISQ.DIST.RT(CE61,15))</f>
        <v/>
      </c>
      <c r="CG61" s="9" cm="1">
        <f t="array" ref="CG61">IF(OR(B61="",B60=""),"",_xlfn.LET(_xlpm.a,C61,_xlpm.b,REPT("0",A61-LEN(C60))&amp;C60,_xlpm.m,MID(_xlpm.a,_xlfn.SEQUENCE(A61),1)=MID(_xlpm.b,_xlfn.SEQUENCE(A61),1),IFERROR(MATCH(FALSE,_xlpm.m,0)-1,A61)))</f>
        <v>0</v>
      </c>
      <c r="CH61" s="9" cm="1">
        <f t="array" ref="CH61">IF(OR(B61="",B60=""),"",_xlfn.LET(_xlpm.a,C61,_xlpm.b,REPT("0",A61-LEN(C60))&amp;C60,_xlpm.n,A61,_xlpm.m,MID(_xlpm.a,_xlfn.SEQUENCE(_xlpm.n,,_xlpm.n,-1),1)=MID(_xlpm.b,_xlfn.SEQUENCE(_xlpm.n,,_xlpm.n,-1),1),IFERROR(MATCH(FALSE,_xlpm.m,0)-1,_xlpm.n)))</f>
        <v>0</v>
      </c>
      <c r="CI61" s="38">
        <f>IF(OR(B61="",B60=""),"",F61-F60)</f>
        <v>0.14727903220421867</v>
      </c>
      <c r="CJ61" s="5" t="b">
        <f>IF(OR(B61="",B60=""),"",IFERROR(FIND(B60,B61)&gt;0,FALSE))</f>
        <v>0</v>
      </c>
      <c r="CK61" s="5" t="b">
        <f>IF(OR(B61="",B60=""),"",IFERROR(FIND(C60,C61)&gt;0,FALSE))</f>
        <v>0</v>
      </c>
      <c r="CL61" s="9" t="str">
        <f>IF(OR(B61="",B60=""),"",IFERROR(FIND(C60,C61),""))</f>
        <v/>
      </c>
      <c r="CM61" s="6" t="str" cm="1">
        <f t="array" ref="CM61">IF(OR(B61="",B60=""),"",_xlfn.LET(_xlpm.pv,D60,_xlpm.ra,BIGSUB(D61,_xlpm.pv),_xlpm.rb,BIGSUB(_xlpm.ra,_xlpm.pv),_xlpm.rc,BIGSUB(_xlpm.rb,_xlpm.pv),IF(LEFT(_xlpm.rb,1)="-",_xlpm.ra,IF(LEFT(_xlpm.rc,1)="-",_xlpm.rb,_xlpm.rc))))</f>
        <v>84900581702964000</v>
      </c>
      <c r="CN61" s="38">
        <f>IF(B61="","",F61-0.5)</f>
        <v>0.46898287643017167</v>
      </c>
      <c r="CO61" s="15" t="str" cm="1">
        <f t="array" ref="CO61">IF(B61="","",_xlfn.TEXTJOIN("",,MID(B61,_xlfn.SEQUENCE(LEN(B61),,LEN(B61),-1),1)))</f>
        <v>ebb7635281a70cf</v>
      </c>
      <c r="CP61" s="6" t="str" cm="1">
        <f t="array" ref="CP61">IF(B61="","",BASE2DEC(CO61,16))</f>
        <v>1061572107854049487</v>
      </c>
      <c r="CQ61" s="5" t="str">
        <f>IF(B61="","",IF(AND(LEN(B61)&lt;16,LEN(B61)=LEN(SUBSTITUTE(SUBSTITUTE(SUBSTITUTE(SUBSTITUTE(SUBSTITUTE(SUBSTITUTE(B61,"a",""),"b",""),"c",""),"d",""),"e",""),"f",""))),--B61,""))</f>
        <v/>
      </c>
      <c r="CR61" s="6" t="str" cm="1">
        <f t="array" ref="CR61">IF(B61="","",IF(LEN(D61)&lt;=15,BASE2DEC(D61,16),""))</f>
        <v/>
      </c>
      <c r="CS61" s="15" t="str" cm="1">
        <f t="array" ref="CS61">IF(B61="","",_xlfn.LET(_xlpm.p,REPT("0",MOD(-LEN(B61),4))&amp;B61,_xlfn.TEXTJOIN(" ",,MID(_xlpm.p,_xlfn.SEQUENCE(LEN(_xlpm.p)/4,,1,4),4))))</f>
        <v>0fc0 7a18 2536 7bbe</v>
      </c>
      <c r="CT61" s="15" t="str" cm="1">
        <f t="array" ref="CT61">IF(B61="","",UPPER(_xlfn.LET(_xlpm.p,REPT("0",64-LEN(B61))&amp;B61,_xlfn.TEXTJOIN(" ",,MID(_xlpm.p,_xlfn.SEQUENCE(8,,1,8),8)))))</f>
        <v>00000000 00000000 00000000 00000000 00000000 00000000 0FC07A18 25367BBE</v>
      </c>
      <c r="CU61" s="6" t="str" cm="1">
        <f t="array" ref="CU61">IF(B61="","",IF(LEN(D61)&lt;=6,_xlfn.LET(_xlpm.n,VALUE(D61)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1" s="39" t="s">
        <v>4444</v>
      </c>
      <c r="CW61" s="39" t="s">
        <v>1895</v>
      </c>
      <c r="CX61" s="39" t="s">
        <v>1009</v>
      </c>
      <c r="CY61" s="7" t="s">
        <v>4766</v>
      </c>
      <c r="CZ61" s="39" t="s">
        <v>4444</v>
      </c>
      <c r="DA61" s="39" t="s">
        <v>4444</v>
      </c>
      <c r="DB61" s="39">
        <v>60</v>
      </c>
      <c r="DC61" s="7" t="s">
        <v>4767</v>
      </c>
      <c r="DD61" s="7" t="s">
        <v>4768</v>
      </c>
      <c r="DE61" s="7" t="s">
        <v>4769</v>
      </c>
      <c r="DF61" s="7" t="s">
        <v>4770</v>
      </c>
      <c r="DG61" s="7" t="s">
        <v>4771</v>
      </c>
      <c r="DH61" s="39" t="s">
        <v>4452</v>
      </c>
      <c r="DI61" s="7" t="s">
        <v>5513</v>
      </c>
      <c r="DJ61" s="7" t="s">
        <v>5514</v>
      </c>
      <c r="DK61" s="7" t="s">
        <v>5515</v>
      </c>
      <c r="DL61" s="7" t="s">
        <v>5516</v>
      </c>
      <c r="DM61" s="7" t="s">
        <v>5517</v>
      </c>
      <c r="DN61" s="7" t="s">
        <v>5518</v>
      </c>
      <c r="DO61" s="7" t="s">
        <v>5519</v>
      </c>
      <c r="DP61" s="7" t="s">
        <v>5520</v>
      </c>
      <c r="DQ61" s="7" t="s">
        <v>5521</v>
      </c>
      <c r="DR61" s="7" t="s">
        <v>5522</v>
      </c>
      <c r="DS61" s="7" t="s">
        <v>5814</v>
      </c>
      <c r="DT61" s="15" t="str" cm="1">
        <f t="array" ref="DT61">IF(B61="","",_xlfn.TEXTJOIN("",,HEX2BIN(MID(BQ61,_xlfn.SEQUENCE(40),1),4)))</f>
        <v>1011110000101101100010100010011111110111010100110001010110001110001111000101000101011010101111010101000010110000010011101001111110001101110110000010111110111101</v>
      </c>
    </row>
    <row r="62" spans="1:124" x14ac:dyDescent="0.25">
      <c r="A62" s="9">
        <v>61</v>
      </c>
      <c r="B62" s="15" t="s">
        <v>3759</v>
      </c>
      <c r="C62" s="15" t="s">
        <v>3760</v>
      </c>
      <c r="D62" s="6" t="s">
        <v>3761</v>
      </c>
      <c r="E62" s="6" t="s">
        <v>3762</v>
      </c>
      <c r="F62" s="10">
        <v>0.23667356096793157</v>
      </c>
      <c r="G62" s="9">
        <v>29</v>
      </c>
      <c r="H62" s="9">
        <v>1</v>
      </c>
      <c r="I62" s="15" t="s">
        <v>3763</v>
      </c>
      <c r="J62" s="9">
        <v>25</v>
      </c>
      <c r="K62" s="15" t="s">
        <v>3764</v>
      </c>
      <c r="L62" s="15" t="s">
        <v>3765</v>
      </c>
      <c r="M62" s="15" t="s">
        <v>3766</v>
      </c>
      <c r="N62" s="15" t="s">
        <v>3767</v>
      </c>
      <c r="O62" s="6" t="s">
        <v>3768</v>
      </c>
      <c r="P62" s="15" t="s">
        <v>3769</v>
      </c>
      <c r="Q62" s="15" t="s">
        <v>3770</v>
      </c>
      <c r="R62" s="6" t="s">
        <v>3771</v>
      </c>
      <c r="S62" s="15" t="s">
        <v>3772</v>
      </c>
      <c r="T62" s="11">
        <v>1.2561547139608056</v>
      </c>
      <c r="U62" s="10">
        <v>0.47540983606557374</v>
      </c>
      <c r="V62" s="7" t="s">
        <v>858</v>
      </c>
      <c r="W62" s="7" t="s">
        <v>859</v>
      </c>
      <c r="X62" s="7" t="s">
        <v>860</v>
      </c>
      <c r="Y62" s="15" t="s">
        <v>3773</v>
      </c>
      <c r="Z62" s="9">
        <v>34</v>
      </c>
      <c r="AA62" s="9">
        <v>35</v>
      </c>
      <c r="AB62" s="9">
        <v>84</v>
      </c>
      <c r="AC62" s="13">
        <v>0.89625815953027188</v>
      </c>
      <c r="AD62" s="13">
        <v>1.1523319193960637</v>
      </c>
      <c r="AE62" s="9">
        <v>19</v>
      </c>
      <c r="AF62" s="9">
        <v>94</v>
      </c>
      <c r="AG62" s="9">
        <v>4</v>
      </c>
      <c r="AH62" s="6" t="s">
        <v>3774</v>
      </c>
      <c r="AI62" s="10">
        <v>60.306464728992729</v>
      </c>
      <c r="AJ62" s="10">
        <v>57.920970455330107</v>
      </c>
      <c r="AK62" s="15" t="s">
        <v>3775</v>
      </c>
      <c r="AL62" s="15" t="s">
        <v>3776</v>
      </c>
      <c r="AM62" s="15" t="s">
        <v>3777</v>
      </c>
      <c r="AN62" s="9">
        <v>5</v>
      </c>
      <c r="AO62" s="9">
        <v>4</v>
      </c>
      <c r="AP62" s="9">
        <v>34</v>
      </c>
      <c r="AQ62" s="15" t="s">
        <v>3778</v>
      </c>
      <c r="AR62" s="9">
        <v>11</v>
      </c>
      <c r="AS62" s="6" t="s">
        <v>2081</v>
      </c>
      <c r="AT62" s="15" t="s">
        <v>3779</v>
      </c>
      <c r="AU62" s="9">
        <v>1</v>
      </c>
      <c r="AV62" s="9">
        <v>2</v>
      </c>
      <c r="AW62" s="9">
        <v>4</v>
      </c>
      <c r="AX62" s="9">
        <v>8</v>
      </c>
      <c r="AY62" s="9">
        <v>6</v>
      </c>
      <c r="AZ62" s="9">
        <v>18694</v>
      </c>
      <c r="BA62" s="6" t="s">
        <v>3780</v>
      </c>
      <c r="BB62" s="6" t="s">
        <v>3781</v>
      </c>
      <c r="BC62" s="6" t="s">
        <v>3782</v>
      </c>
      <c r="BD62" s="15" t="s">
        <v>3783</v>
      </c>
      <c r="BE62" s="15" t="s">
        <v>3784</v>
      </c>
      <c r="BF62" s="15" t="s">
        <v>3785</v>
      </c>
      <c r="BG62" s="15" t="s">
        <v>3786</v>
      </c>
      <c r="BH62" s="6" t="s">
        <v>3787</v>
      </c>
      <c r="BI62" s="17" t="s">
        <v>888</v>
      </c>
      <c r="BJ62" s="7" t="s">
        <v>1636</v>
      </c>
      <c r="BK62" s="7" t="s">
        <v>1637</v>
      </c>
      <c r="BL62" s="7" t="s">
        <v>1638</v>
      </c>
      <c r="BM62" s="16" t="s">
        <v>1639</v>
      </c>
      <c r="BN62" s="16" t="s">
        <v>1640</v>
      </c>
      <c r="BO62" s="16" t="s">
        <v>1641</v>
      </c>
      <c r="BP62" s="16" t="s">
        <v>1642</v>
      </c>
      <c r="BQ62" s="16" t="s">
        <v>1643</v>
      </c>
      <c r="BR62" s="7" t="s">
        <v>1644</v>
      </c>
      <c r="BS62" s="7" t="s">
        <v>1645</v>
      </c>
      <c r="BT62" s="7" t="s">
        <v>1646</v>
      </c>
      <c r="BU62" s="14">
        <v>1.2313341541808586E-59</v>
      </c>
      <c r="BV62" s="15" t="s">
        <v>3788</v>
      </c>
      <c r="BW62" s="9">
        <v>27</v>
      </c>
      <c r="BX62" s="9">
        <v>36</v>
      </c>
      <c r="BY62" s="13">
        <v>-0.89625815953027188</v>
      </c>
      <c r="BZ62" s="13">
        <v>1.4084056792618558</v>
      </c>
      <c r="CA62" s="12">
        <f>IF(B62="","",IF(A62&lt;8,"",_xlfn.LET(_xlpm.n,A62,_xlpm.k,G62,_xlpm.R,AP62,_xlpm.mu,1+2*_xlpm.k*(_xlpm.n-_xlpm.k)/_xlpm.n,_xlpm.v,2*_xlpm.k*(_xlpm.n-_xlpm.k)*(2*_xlpm.k*(_xlpm.n-_xlpm.k)-_xlpm.n)/(_xlpm.n^2*(_xlpm.n-1)),IF(_xlpm.v&lt;=0,"",(_xlpm.R-_xlpm.mu)/SQRT(_xlpm.v)))))</f>
        <v>0.66627583955967051</v>
      </c>
      <c r="CB62" s="37" cm="1">
        <f t="array" ref="CB62">IF(B62="","",IF(A62&lt;8,"",_xlfn.LET(_xlpm.b,--MID(C62,_xlfn.SEQUENCE(A62-1),1),_xlpm.c,--MID(C62,_xlfn.SEQUENCE(A62-1,,2),1),IFERROR(CORREL(_xlpm.b,_xlpm.c),""))))</f>
        <v>-0.10250710695364043</v>
      </c>
      <c r="CC62" s="8">
        <f>IF(B62="","",LOG(A62,2))</f>
        <v>5.9307373375628867</v>
      </c>
      <c r="CD62" s="8">
        <f>IF(B62="","",MAX(AN62,AO62)-CC62)</f>
        <v>-0.93073733756288668</v>
      </c>
      <c r="CE62" s="8" cm="1">
        <f t="array" ref="CE62">IF(B62="","",IF(LEN(B62)&lt;16,"",_xlfn.LET(_xlpm.d,MID("0123456789abcdef",_xlfn.SEQUENCE(16),1),_xlpm.c,LEN(B62)-LEN(SUBSTITUTE(B62,_xlpm.d,"")),_xlpm.ex,LEN(B62)/16,SUM((_xlpm.c-_xlpm.ex)^2/_xlpm.ex))))</f>
        <v>12</v>
      </c>
      <c r="CF62" s="37">
        <f>IF(CE62="","",_xlfn.CHISQ.DIST.RT(CE62,15))</f>
        <v>0.67902905709041472</v>
      </c>
      <c r="CG62" s="9" cm="1">
        <f t="array" ref="CG62">IF(OR(B62="",B61=""),"",_xlfn.LET(_xlpm.a,C62,_xlpm.b,REPT("0",A62-LEN(C61))&amp;C61,_xlpm.m,MID(_xlpm.a,_xlfn.SEQUENCE(A62),1)=MID(_xlpm.b,_xlfn.SEQUENCE(A62),1),IFERROR(MATCH(FALSE,_xlpm.m,0)-1,A62)))</f>
        <v>0</v>
      </c>
      <c r="CH62" s="9" cm="1">
        <f t="array" ref="CH62">IF(OR(B62="",B61=""),"",_xlfn.LET(_xlpm.a,C62,_xlpm.b,REPT("0",A62-LEN(C61))&amp;C61,_xlpm.n,A62,_xlpm.m,MID(_xlpm.a,_xlfn.SEQUENCE(_xlpm.n,,_xlpm.n,-1),1)=MID(_xlpm.b,_xlfn.SEQUENCE(_xlpm.n,,_xlpm.n,-1),1),IFERROR(MATCH(FALSE,_xlpm.m,0)-1,_xlpm.n)))</f>
        <v>3</v>
      </c>
      <c r="CI62" s="38">
        <f>IF(OR(B62="",B61=""),"",F62-F61)</f>
        <v>-0.7323093154622401</v>
      </c>
      <c r="CJ62" s="5" t="b">
        <f>IF(OR(B62="",B61=""),"",IFERROR(FIND(B61,B62)&gt;0,FALSE))</f>
        <v>0</v>
      </c>
      <c r="CK62" s="5" t="b">
        <f>IF(OR(B62="",B61=""),"",IFERROR(FIND(C61,C62)&gt;0,FALSE))</f>
        <v>0</v>
      </c>
      <c r="CL62" s="9" t="str">
        <f>IF(OR(B62="",B61=""),"",IFERROR(FIND(C61,C62),""))</f>
        <v/>
      </c>
      <c r="CM62" s="6" t="str" cm="1">
        <f t="array" ref="CM62">IF(OR(B62="",B61=""),"",_xlfn.LET(_xlpm.pv,D61,_xlpm.ra,BIGSUB(D62,_xlpm.pv),_xlpm.rb,BIGSUB(_xlpm.ra,_xlpm.pv),_xlpm.rc,BIGSUB(_xlpm.rb,_xlpm.pv),IF(LEFT(_xlpm.rb,1)="-",_xlpm.ra,IF(LEFT(_xlpm.rc,1)="-",_xlpm.rb,_xlpm.rc))))</f>
        <v>290746192399158600</v>
      </c>
      <c r="CN62" s="38">
        <f>IF(B62="","",F62-0.5)</f>
        <v>-0.26332643903206843</v>
      </c>
      <c r="CO62" s="15" t="str" cm="1">
        <f t="array" ref="CO62">IF(B62="","",_xlfn.TEXTJOIN("",,MID(B62,_xlfn.SEQUENCE(LEN(B62),,LEN(B62),-1),1)))</f>
        <v>60946f2473a69c31</v>
      </c>
      <c r="CP62" s="6" t="str" cm="1">
        <f t="array" ref="CP62">IF(B62="","",BASE2DEC(CO62,16))</f>
        <v>6959309526544063537</v>
      </c>
      <c r="CQ62" s="5" t="str">
        <f>IF(B62="","",IF(AND(LEN(B62)&lt;16,LEN(B62)=LEN(SUBSTITUTE(SUBSTITUTE(SUBSTITUTE(SUBSTITUTE(SUBSTITUTE(SUBSTITUTE(B62,"a",""),"b",""),"c",""),"d",""),"e",""),"f",""))),--B62,""))</f>
        <v/>
      </c>
      <c r="CR62" s="6" t="str" cm="1">
        <f t="array" ref="CR62">IF(B62="","",IF(LEN(D62)&lt;=15,BASE2DEC(D62,16),""))</f>
        <v/>
      </c>
      <c r="CS62" s="15" t="str" cm="1">
        <f t="array" ref="CS62">IF(B62="","",_xlfn.LET(_xlpm.p,REPT("0",MOD(-LEN(B62),4))&amp;B62,_xlfn.TEXTJOIN(" ",,MID(_xlpm.p,_xlfn.SEQUENCE(LEN(_xlpm.p)/4,,1,4),4))))</f>
        <v>13c9 6a37 42f6 4906</v>
      </c>
      <c r="CT62" s="15" t="str" cm="1">
        <f t="array" ref="CT62">IF(B62="","",UPPER(_xlfn.LET(_xlpm.p,REPT("0",64-LEN(B62))&amp;B62,_xlfn.TEXTJOIN(" ",,MID(_xlpm.p,_xlfn.SEQUENCE(8,,1,8),8)))))</f>
        <v>00000000 00000000 00000000 00000000 00000000 00000000 13C96A37 42F64906</v>
      </c>
      <c r="CU62" s="6" t="str" cm="1">
        <f t="array" ref="CU62">IF(B62="","",IF(LEN(D62)&lt;=6,_xlfn.LET(_xlpm.n,VALUE(D62)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2" s="39" t="s">
        <v>4444</v>
      </c>
      <c r="CW62" s="39" t="s">
        <v>1895</v>
      </c>
      <c r="CX62" s="39" t="s">
        <v>987</v>
      </c>
      <c r="CY62" s="7" t="s">
        <v>4772</v>
      </c>
      <c r="CZ62" s="39" t="s">
        <v>4444</v>
      </c>
      <c r="DA62" s="39" t="s">
        <v>4444</v>
      </c>
      <c r="DB62" s="39">
        <v>60</v>
      </c>
      <c r="DC62" s="7" t="s">
        <v>4773</v>
      </c>
      <c r="DD62" s="7" t="s">
        <v>4768</v>
      </c>
      <c r="DE62" s="7" t="s">
        <v>4774</v>
      </c>
      <c r="DF62" s="7" t="s">
        <v>4775</v>
      </c>
      <c r="DG62" s="7" t="s">
        <v>4776</v>
      </c>
      <c r="DH62" s="39" t="s">
        <v>4452</v>
      </c>
      <c r="DI62" s="7" t="s">
        <v>5523</v>
      </c>
      <c r="DJ62" s="7" t="s">
        <v>5524</v>
      </c>
      <c r="DK62" s="7" t="s">
        <v>5525</v>
      </c>
      <c r="DL62" s="7" t="s">
        <v>5526</v>
      </c>
      <c r="DM62" s="7" t="s">
        <v>5527</v>
      </c>
      <c r="DN62" s="7" t="s">
        <v>5528</v>
      </c>
      <c r="DO62" s="7" t="s">
        <v>5529</v>
      </c>
      <c r="DP62" s="7" t="s">
        <v>5530</v>
      </c>
      <c r="DQ62" s="7" t="s">
        <v>5531</v>
      </c>
      <c r="DR62" s="7" t="s">
        <v>5532</v>
      </c>
      <c r="DS62" s="7" t="s">
        <v>5815</v>
      </c>
      <c r="DT62" s="15" t="str" cm="1">
        <f t="array" ref="DT62">IF(B62="","",_xlfn.TEXTJOIN("",,HEX2BIN(MID(BQ62,_xlfn.SEQUENCE(40),1),4)))</f>
        <v>0010011010010001101011000101011000111100111100010110001100000010010011101011110010110101011100011000001101110111100101100100111101011000100111100000001100100001</v>
      </c>
    </row>
    <row r="63" spans="1:124" x14ac:dyDescent="0.25">
      <c r="A63" s="9">
        <v>62</v>
      </c>
      <c r="B63" s="15" t="s">
        <v>3789</v>
      </c>
      <c r="C63" s="15" t="s">
        <v>3790</v>
      </c>
      <c r="D63" s="6" t="s">
        <v>3791</v>
      </c>
      <c r="E63" s="6" t="s">
        <v>3792</v>
      </c>
      <c r="F63" s="10">
        <v>0.69498640058786654</v>
      </c>
      <c r="G63" s="9">
        <v>34</v>
      </c>
      <c r="H63" s="9">
        <v>1</v>
      </c>
      <c r="I63" s="15" t="s">
        <v>3793</v>
      </c>
      <c r="J63" s="9">
        <v>35</v>
      </c>
      <c r="K63" s="15" t="s">
        <v>3794</v>
      </c>
      <c r="L63" s="15" t="s">
        <v>3795</v>
      </c>
      <c r="M63" s="15" t="s">
        <v>3796</v>
      </c>
      <c r="N63" s="15" t="s">
        <v>3797</v>
      </c>
      <c r="O63" s="6" t="s">
        <v>3798</v>
      </c>
      <c r="P63" s="15" t="s">
        <v>3799</v>
      </c>
      <c r="Q63" s="15" t="s">
        <v>3800</v>
      </c>
      <c r="R63" s="6" t="s">
        <v>3801</v>
      </c>
      <c r="S63" s="15" t="s">
        <v>3802</v>
      </c>
      <c r="T63" s="11">
        <v>2.7412026165760781</v>
      </c>
      <c r="U63" s="10">
        <v>0.54838709677419351</v>
      </c>
      <c r="V63" s="7" t="s">
        <v>861</v>
      </c>
      <c r="W63" s="7" t="s">
        <v>862</v>
      </c>
      <c r="X63" s="7" t="s">
        <v>863</v>
      </c>
      <c r="Y63" s="15" t="s">
        <v>3803</v>
      </c>
      <c r="Z63" s="9">
        <v>28</v>
      </c>
      <c r="AA63" s="9">
        <v>33</v>
      </c>
      <c r="AB63" s="9">
        <v>74</v>
      </c>
      <c r="AC63" s="13">
        <v>-0.76200076200114297</v>
      </c>
      <c r="AD63" s="13">
        <v>0.50800050800076202</v>
      </c>
      <c r="AE63" s="9">
        <v>19</v>
      </c>
      <c r="AF63" s="9">
        <v>75</v>
      </c>
      <c r="AG63" s="9">
        <v>3</v>
      </c>
      <c r="AH63" s="6" t="s">
        <v>3804</v>
      </c>
      <c r="AI63" s="10">
        <v>61.761273698209315</v>
      </c>
      <c r="AJ63" s="10">
        <v>60.475056652738132</v>
      </c>
      <c r="AK63" s="15" t="s">
        <v>3805</v>
      </c>
      <c r="AL63" s="15" t="s">
        <v>3806</v>
      </c>
      <c r="AM63" s="15" t="s">
        <v>3807</v>
      </c>
      <c r="AN63" s="9">
        <v>5</v>
      </c>
      <c r="AO63" s="9">
        <v>5</v>
      </c>
      <c r="AP63" s="9">
        <v>34</v>
      </c>
      <c r="AQ63" s="15" t="s">
        <v>3808</v>
      </c>
      <c r="AR63" s="9">
        <v>9</v>
      </c>
      <c r="AS63" s="6" t="s">
        <v>976</v>
      </c>
      <c r="AT63" s="15" t="s">
        <v>3809</v>
      </c>
      <c r="AU63" s="9">
        <v>0</v>
      </c>
      <c r="AV63" s="9">
        <v>2</v>
      </c>
      <c r="AW63" s="9">
        <v>2</v>
      </c>
      <c r="AX63" s="9">
        <v>3</v>
      </c>
      <c r="AY63" s="9">
        <v>238</v>
      </c>
      <c r="AZ63" s="9">
        <v>44014</v>
      </c>
      <c r="BA63" s="6" t="s">
        <v>3810</v>
      </c>
      <c r="BB63" s="6" t="s">
        <v>3811</v>
      </c>
      <c r="BC63" s="6" t="s">
        <v>3812</v>
      </c>
      <c r="BD63" s="15" t="s">
        <v>3813</v>
      </c>
      <c r="BE63" s="15" t="s">
        <v>3814</v>
      </c>
      <c r="BF63" s="15" t="s">
        <v>3815</v>
      </c>
      <c r="BG63" s="15" t="s">
        <v>3816</v>
      </c>
      <c r="BH63" s="6" t="s">
        <v>3817</v>
      </c>
      <c r="BI63" s="17" t="s">
        <v>888</v>
      </c>
      <c r="BJ63" s="7" t="s">
        <v>1647</v>
      </c>
      <c r="BK63" s="7" t="s">
        <v>1648</v>
      </c>
      <c r="BL63" s="7" t="s">
        <v>1649</v>
      </c>
      <c r="BM63" s="16" t="s">
        <v>1650</v>
      </c>
      <c r="BN63" s="16" t="s">
        <v>1651</v>
      </c>
      <c r="BO63" s="16" t="s">
        <v>1652</v>
      </c>
      <c r="BP63" s="16" t="s">
        <v>1653</v>
      </c>
      <c r="BQ63" s="16" t="s">
        <v>1654</v>
      </c>
      <c r="BR63" s="7" t="s">
        <v>1655</v>
      </c>
      <c r="BS63" s="7" t="s">
        <v>1656</v>
      </c>
      <c r="BT63" s="7" t="s">
        <v>1657</v>
      </c>
      <c r="BU63" s="14">
        <v>3.3753364053200618E-59</v>
      </c>
      <c r="BV63" s="15" t="s">
        <v>3818</v>
      </c>
      <c r="BW63" s="9">
        <v>28</v>
      </c>
      <c r="BX63" s="9">
        <v>39</v>
      </c>
      <c r="BY63" s="13">
        <v>-0.76200076200114297</v>
      </c>
      <c r="BZ63" s="13">
        <v>2.0320020320030481</v>
      </c>
      <c r="CA63" s="12">
        <f>IF(B63="","",IF(A63&lt;8,"",_xlfn.LET(_xlpm.n,A63,_xlpm.k,G63,_xlpm.R,AP63,_xlpm.mu,1+2*_xlpm.k*(_xlpm.n-_xlpm.k)/_xlpm.n,_xlpm.v,2*_xlpm.k*(_xlpm.n-_xlpm.k)*(2*_xlpm.k*(_xlpm.n-_xlpm.k)-_xlpm.n)/(_xlpm.n^2*(_xlpm.n-1)),IF(_xlpm.v&lt;=0,"",(_xlpm.R-_xlpm.mu)/SQRT(_xlpm.v)))))</f>
        <v>0.59220896415144264</v>
      </c>
      <c r="CB63" s="37" cm="1">
        <f t="array" ref="CB63">IF(B63="","",IF(A63&lt;8,"",_xlfn.LET(_xlpm.b,--MID(C63,_xlfn.SEQUENCE(A63-1),1),_xlpm.c,--MID(C63,_xlfn.SEQUENCE(A63-1,,2),1),IFERROR(CORREL(_xlpm.b,_xlpm.c),""))))</f>
        <v>-9.2291477672915068E-2</v>
      </c>
      <c r="CC63" s="8">
        <f>IF(B63="","",LOG(A63,2))</f>
        <v>5.9541963103868758</v>
      </c>
      <c r="CD63" s="8">
        <f>IF(B63="","",MAX(AN63,AO63)-CC63)</f>
        <v>-0.9541963103868758</v>
      </c>
      <c r="CE63" s="8" cm="1">
        <f t="array" ref="CE63">IF(B63="","",IF(LEN(B63)&lt;16,"",_xlfn.LET(_xlpm.d,MID("0123456789abcdef",_xlfn.SEQUENCE(16),1),_xlpm.c,LEN(B63)-LEN(SUBSTITUTE(B63,_xlpm.d,"")),_xlpm.ex,LEN(B63)/16,SUM((_xlpm.c-_xlpm.ex)^2/_xlpm.ex))))</f>
        <v>18</v>
      </c>
      <c r="CF63" s="37">
        <f>IF(CE63="","",_xlfn.CHISQ.DIST.RT(CE63,15))</f>
        <v>0.26266556067232244</v>
      </c>
      <c r="CG63" s="9" cm="1">
        <f t="array" ref="CG63">IF(OR(B63="",B62=""),"",_xlfn.LET(_xlpm.a,C63,_xlpm.b,REPT("0",A63-LEN(C62))&amp;C62,_xlpm.m,MID(_xlpm.a,_xlfn.SEQUENCE(A63),1)=MID(_xlpm.b,_xlfn.SEQUENCE(A63),1),IFERROR(MATCH(FALSE,_xlpm.m,0)-1,A63)))</f>
        <v>0</v>
      </c>
      <c r="CH63" s="9" cm="1">
        <f t="array" ref="CH63">IF(OR(B63="",B62=""),"",_xlfn.LET(_xlpm.a,C63,_xlpm.b,REPT("0",A63-LEN(C62))&amp;C62,_xlpm.n,A63,_xlpm.m,MID(_xlpm.a,_xlfn.SEQUENCE(_xlpm.n,,_xlpm.n,-1),1)=MID(_xlpm.b,_xlfn.SEQUENCE(_xlpm.n,,_xlpm.n,-1),1),IFERROR(MATCH(FALSE,_xlpm.m,0)-1,_xlpm.n)))</f>
        <v>3</v>
      </c>
      <c r="CI63" s="38">
        <f>IF(OR(B63="",B62=""),"",F63-F62)</f>
        <v>0.45831283961993496</v>
      </c>
      <c r="CJ63" s="5" t="b">
        <f>IF(OR(B63="",B62=""),"",IFERROR(FIND(B62,B63)&gt;0,FALSE))</f>
        <v>0</v>
      </c>
      <c r="CK63" s="5" t="b">
        <f>IF(OR(B63="",B62=""),"",IFERROR(FIND(C62,C63)&gt;0,FALSE))</f>
        <v>0</v>
      </c>
      <c r="CL63" s="9" t="str">
        <f>IF(OR(B63="",B62=""),"",IFERROR(FIND(C62,C63),""))</f>
        <v/>
      </c>
      <c r="CM63" s="6" t="str" cm="1">
        <f t="array" ref="CM63">IF(OR(B63="",B62=""),"",_xlfn.LET(_xlpm.pv,D62,_xlpm.ra,BIGSUB(D63,_xlpm.pv),_xlpm.rb,BIGSUB(_xlpm.ra,_xlpm.pv),_xlpm.rc,BIGSUB(_xlpm.rb,_xlpm.pv),IF(LEFT(_xlpm.rb,1)="-",_xlpm.ra,IF(LEFT(_xlpm.rc,1)="-",_xlpm.rb,_xlpm.rc))))</f>
        <v>1056797457270512098</v>
      </c>
      <c r="CN63" s="38">
        <f>IF(B63="","",F63-0.5)</f>
        <v>0.19498640058786654</v>
      </c>
      <c r="CO63" s="15" t="str" cm="1">
        <f t="array" ref="CO63">IF(B63="","",_xlfn.TEXTJOIN("",,MID(B63,_xlfn.SEQUENCE(LEN(B63),,LEN(B63),-1),1)))</f>
        <v>eeba116be145d363</v>
      </c>
      <c r="CP63" s="6" t="str" cm="1">
        <f t="array" ref="CP63">IF(B63="","",BASE2DEC(CO63,16))</f>
        <v>17202080881733653347</v>
      </c>
      <c r="CQ63" s="5" t="str">
        <f>IF(B63="","",IF(AND(LEN(B63)&lt;16,LEN(B63)=LEN(SUBSTITUTE(SUBSTITUTE(SUBSTITUTE(SUBSTITUTE(SUBSTITUTE(SUBSTITUTE(B63,"a",""),"b",""),"c",""),"d",""),"e",""),"f",""))),--B63,""))</f>
        <v/>
      </c>
      <c r="CR63" s="6" t="str" cm="1">
        <f t="array" ref="CR63">IF(B63="","",IF(LEN(D63)&lt;=15,BASE2DEC(D63,16),""))</f>
        <v/>
      </c>
      <c r="CS63" s="15" t="str" cm="1">
        <f t="array" ref="CS63">IF(B63="","",_xlfn.LET(_xlpm.p,REPT("0",MOD(-LEN(B63),4))&amp;B63,_xlfn.TEXTJOIN(" ",,MID(_xlpm.p,_xlfn.SEQUENCE(LEN(_xlpm.p)/4,,1,4),4))))</f>
        <v>363d 541e b611 abee</v>
      </c>
      <c r="CT63" s="15" t="str" cm="1">
        <f t="array" ref="CT63">IF(B63="","",UPPER(_xlfn.LET(_xlpm.p,REPT("0",64-LEN(B63))&amp;B63,_xlfn.TEXTJOIN(" ",,MID(_xlpm.p,_xlfn.SEQUENCE(8,,1,8),8)))))</f>
        <v>00000000 00000000 00000000 00000000 00000000 00000000 363D541E B611ABEE</v>
      </c>
      <c r="CU63" s="6" t="str" cm="1">
        <f t="array" ref="CU63">IF(B63="","",IF(LEN(D63)&lt;=6,_xlfn.LET(_xlpm.n,VALUE(D63)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3" s="39" t="s">
        <v>4444</v>
      </c>
      <c r="CW63" s="39" t="s">
        <v>1895</v>
      </c>
      <c r="CX63" s="39" t="s">
        <v>4777</v>
      </c>
      <c r="CY63" s="7" t="s">
        <v>4778</v>
      </c>
      <c r="CZ63" s="39" t="s">
        <v>4444</v>
      </c>
      <c r="DA63" s="39" t="s">
        <v>4444</v>
      </c>
      <c r="DB63" s="39">
        <v>62</v>
      </c>
      <c r="DC63" s="7" t="s">
        <v>4779</v>
      </c>
      <c r="DD63" s="7" t="s">
        <v>4780</v>
      </c>
      <c r="DE63" s="7" t="s">
        <v>4781</v>
      </c>
      <c r="DF63" s="7" t="s">
        <v>4782</v>
      </c>
      <c r="DG63" s="7" t="s">
        <v>4783</v>
      </c>
      <c r="DH63" s="39" t="s">
        <v>4452</v>
      </c>
      <c r="DI63" s="7" t="s">
        <v>5533</v>
      </c>
      <c r="DJ63" s="7" t="s">
        <v>5534</v>
      </c>
      <c r="DK63" s="7" t="s">
        <v>5535</v>
      </c>
      <c r="DL63" s="7" t="s">
        <v>5536</v>
      </c>
      <c r="DM63" s="7" t="s">
        <v>5537</v>
      </c>
      <c r="DN63" s="7" t="s">
        <v>5538</v>
      </c>
      <c r="DO63" s="7" t="s">
        <v>5539</v>
      </c>
      <c r="DP63" s="7" t="s">
        <v>5540</v>
      </c>
      <c r="DQ63" s="7" t="s">
        <v>5541</v>
      </c>
      <c r="DR63" s="7" t="s">
        <v>5542</v>
      </c>
      <c r="DS63" s="7" t="s">
        <v>5816</v>
      </c>
      <c r="DT63" s="15" t="str" cm="1">
        <f t="array" ref="DT63">IF(B63="","",_xlfn.TEXTJOIN("",,HEX2BIN(MID(BQ63,_xlfn.SEQUENCE(40),1),4)))</f>
        <v>1001011010111110110111001001101100001100000010000000011000000110000011011001111101011011110101111111000101110001100101111001010110110011001101000110000001110010</v>
      </c>
    </row>
    <row r="64" spans="1:124" x14ac:dyDescent="0.25">
      <c r="A64" s="9">
        <v>63</v>
      </c>
      <c r="B64" s="15" t="s">
        <v>3819</v>
      </c>
      <c r="C64" s="15" t="s">
        <v>3820</v>
      </c>
      <c r="D64" s="6" t="s">
        <v>3821</v>
      </c>
      <c r="E64" s="6" t="s">
        <v>3822</v>
      </c>
      <c r="F64" s="10">
        <v>0.95009588978722626</v>
      </c>
      <c r="G64" s="9">
        <v>36</v>
      </c>
      <c r="H64" s="9">
        <v>3</v>
      </c>
      <c r="I64" s="15" t="s">
        <v>3823</v>
      </c>
      <c r="J64" s="9">
        <v>34</v>
      </c>
      <c r="K64" s="15" t="s">
        <v>3824</v>
      </c>
      <c r="L64" s="15" t="s">
        <v>3825</v>
      </c>
      <c r="M64" s="15" t="s">
        <v>3826</v>
      </c>
      <c r="N64" s="15" t="s">
        <v>3827</v>
      </c>
      <c r="O64" s="6" t="s">
        <v>3828</v>
      </c>
      <c r="P64" s="15" t="s">
        <v>3829</v>
      </c>
      <c r="Q64" s="15" t="s">
        <v>3830</v>
      </c>
      <c r="R64" s="6" t="s">
        <v>3831</v>
      </c>
      <c r="S64" s="15" t="s">
        <v>3832</v>
      </c>
      <c r="T64" s="11">
        <v>2.3010165616796407</v>
      </c>
      <c r="U64" s="10">
        <v>0.5714285714285714</v>
      </c>
      <c r="V64" s="7" t="s">
        <v>864</v>
      </c>
      <c r="W64" s="7" t="s">
        <v>865</v>
      </c>
      <c r="X64" s="7" t="s">
        <v>866</v>
      </c>
      <c r="Y64" s="15" t="s">
        <v>3833</v>
      </c>
      <c r="Z64" s="9">
        <v>29</v>
      </c>
      <c r="AA64" s="9">
        <v>26</v>
      </c>
      <c r="AB64" s="9">
        <v>78</v>
      </c>
      <c r="AC64" s="13">
        <v>-0.62994078834871203</v>
      </c>
      <c r="AD64" s="13">
        <v>-1.3858697343671664</v>
      </c>
      <c r="AE64" s="9">
        <v>19</v>
      </c>
      <c r="AF64" s="9">
        <v>115</v>
      </c>
      <c r="AG64" s="9">
        <v>7</v>
      </c>
      <c r="AH64" s="6" t="s">
        <v>3834</v>
      </c>
      <c r="AI64" s="10">
        <v>62.96354506567706</v>
      </c>
      <c r="AJ64" s="10">
        <v>61.926145031965909</v>
      </c>
      <c r="AK64" s="15" t="s">
        <v>3835</v>
      </c>
      <c r="AL64" s="15" t="s">
        <v>3836</v>
      </c>
      <c r="AM64" s="15" t="s">
        <v>3837</v>
      </c>
      <c r="AN64" s="9">
        <v>7</v>
      </c>
      <c r="AO64" s="9">
        <v>6</v>
      </c>
      <c r="AP64" s="9">
        <v>28</v>
      </c>
      <c r="AQ64" s="15" t="s">
        <v>3838</v>
      </c>
      <c r="AR64" s="9">
        <v>10</v>
      </c>
      <c r="AS64" s="6" t="s">
        <v>3839</v>
      </c>
      <c r="AT64" s="15" t="s">
        <v>3840</v>
      </c>
      <c r="AU64" s="9">
        <v>1</v>
      </c>
      <c r="AV64" s="9">
        <v>3</v>
      </c>
      <c r="AW64" s="9">
        <v>0</v>
      </c>
      <c r="AX64" s="9">
        <v>9</v>
      </c>
      <c r="AY64" s="9">
        <v>8</v>
      </c>
      <c r="AZ64" s="9">
        <v>26632</v>
      </c>
      <c r="BA64" s="6" t="s">
        <v>3841</v>
      </c>
      <c r="BB64" s="6" t="s">
        <v>3842</v>
      </c>
      <c r="BC64" s="6" t="s">
        <v>3843</v>
      </c>
      <c r="BD64" s="15" t="s">
        <v>3844</v>
      </c>
      <c r="BE64" s="15" t="s">
        <v>3845</v>
      </c>
      <c r="BF64" s="15" t="s">
        <v>3846</v>
      </c>
      <c r="BG64" s="15" t="s">
        <v>3847</v>
      </c>
      <c r="BH64" s="6" t="s">
        <v>3848</v>
      </c>
      <c r="BI64" s="17" t="s">
        <v>888</v>
      </c>
      <c r="BJ64" s="7" t="s">
        <v>1658</v>
      </c>
      <c r="BK64" s="7" t="s">
        <v>1659</v>
      </c>
      <c r="BL64" s="7" t="s">
        <v>1660</v>
      </c>
      <c r="BM64" s="16" t="s">
        <v>1661</v>
      </c>
      <c r="BN64" s="16" t="s">
        <v>1662</v>
      </c>
      <c r="BO64" s="16" t="s">
        <v>1663</v>
      </c>
      <c r="BP64" s="16" t="s">
        <v>1664</v>
      </c>
      <c r="BQ64" s="16" t="s">
        <v>1665</v>
      </c>
      <c r="BR64" s="7" t="s">
        <v>1666</v>
      </c>
      <c r="BS64" s="7" t="s">
        <v>1667</v>
      </c>
      <c r="BT64" s="7" t="s">
        <v>1668</v>
      </c>
      <c r="BU64" s="14">
        <v>7.7667049698816869E-59</v>
      </c>
      <c r="BV64" s="15" t="s">
        <v>3849</v>
      </c>
      <c r="BW64" s="9">
        <v>33</v>
      </c>
      <c r="BX64" s="9">
        <v>30</v>
      </c>
      <c r="BY64" s="13">
        <v>0.3779644730092272</v>
      </c>
      <c r="BZ64" s="13">
        <v>-0.3779644730092272</v>
      </c>
      <c r="CA64" s="12">
        <f>IF(B64="","",IF(A64&lt;8,"",_xlfn.LET(_xlpm.n,A64,_xlpm.k,G64,_xlpm.R,AP64,_xlpm.mu,1+2*_xlpm.k*(_xlpm.n-_xlpm.k)/_xlpm.n,_xlpm.v,2*_xlpm.k*(_xlpm.n-_xlpm.k)*(2*_xlpm.k*(_xlpm.n-_xlpm.k)-_xlpm.n)/(_xlpm.n^2*(_xlpm.n-1)),IF(_xlpm.v&lt;=0,"",(_xlpm.R-_xlpm.mu)/SQRT(_xlpm.v)))))</f>
        <v>-1.000597907377786</v>
      </c>
      <c r="CB64" s="37" cm="1">
        <f t="array" ref="CB64">IF(B64="","",IF(A64&lt;8,"",_xlfn.LET(_xlpm.b,--MID(C64,_xlfn.SEQUENCE(A64-1),1),_xlpm.c,--MID(C64,_xlfn.SEQUENCE(A64-1,,2),1),IFERROR(CORREL(_xlpm.b,_xlpm.c),""))))</f>
        <v>0.11058074478402646</v>
      </c>
      <c r="CC64" s="8">
        <f>IF(B64="","",LOG(A64,2))</f>
        <v>5.9772799234999168</v>
      </c>
      <c r="CD64" s="8">
        <f>IF(B64="","",MAX(AN64,AO64)-CC64)</f>
        <v>1.0227200765000832</v>
      </c>
      <c r="CE64" s="8" cm="1">
        <f t="array" ref="CE64">IF(B64="","",IF(LEN(B64)&lt;16,"",_xlfn.LET(_xlpm.d,MID("0123456789abcdef",_xlfn.SEQUENCE(16),1),_xlpm.c,LEN(B64)-LEN(SUBSTITUTE(B64,_xlpm.d,"")),_xlpm.ex,LEN(B64)/16,SUM((_xlpm.c-_xlpm.ex)^2/_xlpm.ex))))</f>
        <v>18</v>
      </c>
      <c r="CF64" s="37">
        <f>IF(CE64="","",_xlfn.CHISQ.DIST.RT(CE64,15))</f>
        <v>0.26266556067232244</v>
      </c>
      <c r="CG64" s="9" cm="1">
        <f t="array" ref="CG64">IF(OR(B64="",B63=""),"",_xlfn.LET(_xlpm.a,C64,_xlpm.b,REPT("0",A64-LEN(C63))&amp;C63,_xlpm.m,MID(_xlpm.a,_xlfn.SEQUENCE(A64),1)=MID(_xlpm.b,_xlfn.SEQUENCE(A64),1),IFERROR(MATCH(FALSE,_xlpm.m,0)-1,A64)))</f>
        <v>0</v>
      </c>
      <c r="CH64" s="9" cm="1">
        <f t="array" ref="CH64">IF(OR(B64="",B63=""),"",_xlfn.LET(_xlpm.a,C64,_xlpm.b,REPT("0",A64-LEN(C63))&amp;C63,_xlpm.n,A64,_xlpm.m,MID(_xlpm.a,_xlfn.SEQUENCE(_xlpm.n,,_xlpm.n,-1),1)=MID(_xlpm.b,_xlfn.SEQUENCE(_xlpm.n,,_xlpm.n,-1),1),IFERROR(MATCH(FALSE,_xlpm.m,0)-1,_xlpm.n)))</f>
        <v>1</v>
      </c>
      <c r="CI64" s="38">
        <f>IF(OR(B64="",B63=""),"",F64-F63)</f>
        <v>0.25510948919935972</v>
      </c>
      <c r="CJ64" s="5" t="b">
        <f>IF(OR(B64="",B63=""),"",IFERROR(FIND(B63,B64)&gt;0,FALSE))</f>
        <v>0</v>
      </c>
      <c r="CK64" s="5" t="b">
        <f>IF(OR(B64="",B63=""),"",IFERROR(FIND(C63,C64)&gt;0,FALSE))</f>
        <v>0</v>
      </c>
      <c r="CL64" s="9" t="str">
        <f>IF(OR(B64="",B63=""),"",IFERROR(FIND(C63,C64),""))</f>
        <v/>
      </c>
      <c r="CM64" s="6" t="str" cm="1">
        <f t="array" ref="CM64">IF(OR(B64="",B63=""),"",_xlfn.LET(_xlpm.pv,D63,_xlpm.ra,BIGSUB(D64,_xlpm.pv),_xlpm.rb,BIGSUB(_xlpm.ra,_xlpm.pv),_xlpm.rc,BIGSUB(_xlpm.rb,_xlpm.pv),IF(LEFT(_xlpm.rb,1)="-",_xlpm.ra,IF(LEFT(_xlpm.rc,1)="-",_xlpm.rb,_xlpm.rc))))</f>
        <v>1176484864508825644</v>
      </c>
      <c r="CN64" s="38">
        <f>IF(B64="","",F64-0.5)</f>
        <v>0.45009588978722626</v>
      </c>
      <c r="CO64" s="15" t="str" cm="1">
        <f t="array" ref="CO64">IF(B64="","",_xlfn.TEXTJOIN("",,MID(B64,_xlfn.SEQUENCE(LEN(B64),,LEN(B64),-1),1)))</f>
        <v>8086fccadfe5ecc7</v>
      </c>
      <c r="CP64" s="6" t="str" cm="1">
        <f t="array" ref="CP64">IF(B64="","",BASE2DEC(CO64,16))</f>
        <v>9261367632003984583</v>
      </c>
      <c r="CQ64" s="5" t="str">
        <f>IF(B64="","",IF(AND(LEN(B64)&lt;16,LEN(B64)=LEN(SUBSTITUTE(SUBSTITUTE(SUBSTITUTE(SUBSTITUTE(SUBSTITUTE(SUBSTITUTE(B64,"a",""),"b",""),"c",""),"d",""),"e",""),"f",""))),--B64,""))</f>
        <v/>
      </c>
      <c r="CR64" s="6" t="str" cm="1">
        <f t="array" ref="CR64">IF(B64="","",IF(LEN(D64)&lt;=15,BASE2DEC(D64,16),""))</f>
        <v/>
      </c>
      <c r="CS64" s="15" t="str" cm="1">
        <f t="array" ref="CS64">IF(B64="","",_xlfn.LET(_xlpm.p,REPT("0",MOD(-LEN(B64),4))&amp;B64,_xlfn.TEXTJOIN(" ",,MID(_xlpm.p,_xlfn.SEQUENCE(LEN(_xlpm.p)/4,,1,4),4))))</f>
        <v>7cce 5efd accf 6808</v>
      </c>
      <c r="CT64" s="15" t="str" cm="1">
        <f t="array" ref="CT64">IF(B64="","",UPPER(_xlfn.LET(_xlpm.p,REPT("0",64-LEN(B64))&amp;B64,_xlfn.TEXTJOIN(" ",,MID(_xlpm.p,_xlfn.SEQUENCE(8,,1,8),8)))))</f>
        <v>00000000 00000000 00000000 00000000 00000000 00000000 7CCE5EFD ACCF6808</v>
      </c>
      <c r="CU64" s="6" t="str" cm="1">
        <f t="array" ref="CU64">IF(B64="","",IF(LEN(D64)&lt;=6,_xlfn.LET(_xlpm.n,VALUE(D64)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4" s="39" t="s">
        <v>4444</v>
      </c>
      <c r="CW64" s="39" t="s">
        <v>1895</v>
      </c>
      <c r="CX64" s="39" t="s">
        <v>2104</v>
      </c>
      <c r="CY64" s="7" t="s">
        <v>4784</v>
      </c>
      <c r="CZ64" s="39" t="s">
        <v>4444</v>
      </c>
      <c r="DA64" s="39" t="s">
        <v>4444</v>
      </c>
      <c r="DB64" s="39">
        <v>63</v>
      </c>
      <c r="DC64" s="7" t="s">
        <v>4785</v>
      </c>
      <c r="DD64" s="7" t="s">
        <v>4786</v>
      </c>
      <c r="DE64" s="7" t="s">
        <v>4787</v>
      </c>
      <c r="DF64" s="7" t="s">
        <v>4788</v>
      </c>
      <c r="DG64" s="7" t="s">
        <v>4789</v>
      </c>
      <c r="DH64" s="39" t="s">
        <v>4452</v>
      </c>
      <c r="DI64" s="7" t="s">
        <v>5543</v>
      </c>
      <c r="DJ64" s="7" t="s">
        <v>5544</v>
      </c>
      <c r="DK64" s="7" t="s">
        <v>5545</v>
      </c>
      <c r="DL64" s="7" t="s">
        <v>5546</v>
      </c>
      <c r="DM64" s="7" t="s">
        <v>5547</v>
      </c>
      <c r="DN64" s="7" t="s">
        <v>5548</v>
      </c>
      <c r="DO64" s="7" t="s">
        <v>5549</v>
      </c>
      <c r="DP64" s="7" t="s">
        <v>5550</v>
      </c>
      <c r="DQ64" s="7" t="s">
        <v>5551</v>
      </c>
      <c r="DR64" s="7" t="s">
        <v>5552</v>
      </c>
      <c r="DS64" s="7" t="s">
        <v>5817</v>
      </c>
      <c r="DT64" s="15" t="str" cm="1">
        <f t="array" ref="DT64">IF(B64="","",_xlfn.TEXTJOIN("",,HEX2BIN(MID(BQ64,_xlfn.SEQUENCE(40),1),4)))</f>
        <v>1011111101111100001001100010111001110001110110101101101000110100100100101001101111001100110111110010011110101001001110100111011110101100111011001101100100111100</v>
      </c>
    </row>
    <row r="65" spans="1:124" x14ac:dyDescent="0.25">
      <c r="A65" s="9">
        <v>64</v>
      </c>
      <c r="B65" s="15" t="s">
        <v>3850</v>
      </c>
      <c r="C65" s="15" t="s">
        <v>3851</v>
      </c>
      <c r="D65" s="6" t="s">
        <v>3852</v>
      </c>
      <c r="E65" s="6" t="s">
        <v>3853</v>
      </c>
      <c r="F65" s="10">
        <v>0.92984380186056415</v>
      </c>
      <c r="G65" s="9">
        <v>30</v>
      </c>
      <c r="H65" s="9">
        <v>2</v>
      </c>
      <c r="I65" s="15" t="s">
        <v>3854</v>
      </c>
      <c r="J65" s="9">
        <v>34</v>
      </c>
      <c r="K65" s="15" t="s">
        <v>3855</v>
      </c>
      <c r="L65" s="15" t="s">
        <v>3856</v>
      </c>
      <c r="M65" s="15" t="s">
        <v>3857</v>
      </c>
      <c r="N65" s="15" t="s">
        <v>3858</v>
      </c>
      <c r="O65" s="6" t="s">
        <v>3859</v>
      </c>
      <c r="P65" s="15" t="s">
        <v>3860</v>
      </c>
      <c r="Q65" s="15" t="s">
        <v>3861</v>
      </c>
      <c r="R65" s="6" t="s">
        <v>3862</v>
      </c>
      <c r="S65" s="15" t="s">
        <v>3863</v>
      </c>
      <c r="T65" s="11">
        <v>1.9792296491339469</v>
      </c>
      <c r="U65" s="10">
        <v>0.46875</v>
      </c>
      <c r="V65" s="7" t="s">
        <v>867</v>
      </c>
      <c r="W65" s="7" t="s">
        <v>868</v>
      </c>
      <c r="X65" s="7" t="s">
        <v>869</v>
      </c>
      <c r="Y65" s="15" t="s">
        <v>3864</v>
      </c>
      <c r="Z65" s="9">
        <v>38</v>
      </c>
      <c r="AA65" s="9">
        <v>24</v>
      </c>
      <c r="AB65" s="9">
        <v>90</v>
      </c>
      <c r="AC65" s="13">
        <v>1.5</v>
      </c>
      <c r="AD65" s="13">
        <v>-2</v>
      </c>
      <c r="AE65" s="9">
        <v>20</v>
      </c>
      <c r="AF65" s="9">
        <v>114</v>
      </c>
      <c r="AG65" s="9">
        <v>6</v>
      </c>
      <c r="AH65" s="6" t="s">
        <v>3865</v>
      </c>
      <c r="AI65" s="10">
        <v>63.948484083037151</v>
      </c>
      <c r="AJ65" s="10">
        <v>62.895060293153421</v>
      </c>
      <c r="AK65" s="15" t="s">
        <v>3866</v>
      </c>
      <c r="AL65" s="15" t="s">
        <v>3867</v>
      </c>
      <c r="AM65" s="15" t="s">
        <v>3868</v>
      </c>
      <c r="AN65" s="9">
        <v>5</v>
      </c>
      <c r="AO65" s="9">
        <v>5</v>
      </c>
      <c r="AP65" s="9">
        <v>32</v>
      </c>
      <c r="AQ65" s="15" t="s">
        <v>3869</v>
      </c>
      <c r="AR65" s="9">
        <v>10</v>
      </c>
      <c r="AS65" s="6" t="s">
        <v>976</v>
      </c>
      <c r="AT65" s="15" t="s">
        <v>3870</v>
      </c>
      <c r="AU65" s="9">
        <v>0</v>
      </c>
      <c r="AV65" s="9">
        <v>3</v>
      </c>
      <c r="AW65" s="9">
        <v>1</v>
      </c>
      <c r="AX65" s="9">
        <v>3</v>
      </c>
      <c r="AY65" s="9">
        <v>212</v>
      </c>
      <c r="AZ65" s="9">
        <v>4820</v>
      </c>
      <c r="BA65" s="6" t="s">
        <v>3871</v>
      </c>
      <c r="BB65" s="6" t="s">
        <v>3872</v>
      </c>
      <c r="BC65" s="6" t="s">
        <v>3873</v>
      </c>
      <c r="BD65" s="15" t="s">
        <v>3874</v>
      </c>
      <c r="BE65" s="15" t="s">
        <v>3875</v>
      </c>
      <c r="BF65" s="15" t="s">
        <v>3876</v>
      </c>
      <c r="BG65" s="15" t="s">
        <v>3877</v>
      </c>
      <c r="BH65" s="6" t="s">
        <v>3878</v>
      </c>
      <c r="BI65" s="17" t="s">
        <v>888</v>
      </c>
      <c r="BJ65" s="7" t="s">
        <v>1669</v>
      </c>
      <c r="BK65" s="7" t="s">
        <v>1670</v>
      </c>
      <c r="BL65" s="7" t="s">
        <v>1671</v>
      </c>
      <c r="BM65" s="16" t="s">
        <v>1672</v>
      </c>
      <c r="BN65" s="16" t="s">
        <v>1673</v>
      </c>
      <c r="BO65" s="16" t="s">
        <v>1674</v>
      </c>
      <c r="BP65" s="16" t="s">
        <v>1675</v>
      </c>
      <c r="BQ65" s="16" t="s">
        <v>1676</v>
      </c>
      <c r="BR65" s="7" t="s">
        <v>1677</v>
      </c>
      <c r="BS65" s="7" t="s">
        <v>1678</v>
      </c>
      <c r="BT65" s="7" t="s">
        <v>1679</v>
      </c>
      <c r="BU65" s="14">
        <v>1.5372092752465811E-58</v>
      </c>
      <c r="BV65" s="15" t="s">
        <v>3879</v>
      </c>
      <c r="BW65" s="9">
        <v>26</v>
      </c>
      <c r="BX65" s="9">
        <v>35</v>
      </c>
      <c r="BY65" s="13">
        <v>-1.5</v>
      </c>
      <c r="BZ65" s="13">
        <v>0.75</v>
      </c>
      <c r="CA65" s="12">
        <f>IF(B65="","",IF(A65&lt;8,"",_xlfn.LET(_xlpm.n,A65,_xlpm.k,G65,_xlpm.R,AP65,_xlpm.mu,1+2*_xlpm.k*(_xlpm.n-_xlpm.k)/_xlpm.n,_xlpm.v,2*_xlpm.k*(_xlpm.n-_xlpm.k)*(2*_xlpm.k*(_xlpm.n-_xlpm.k)-_xlpm.n)/(_xlpm.n^2*(_xlpm.n-1)),IF(_xlpm.v&lt;=0,"",(_xlpm.R-_xlpm.mu)/SQRT(_xlpm.v)))))</f>
        <v>-0.22138579323232549</v>
      </c>
      <c r="CB65" s="37" cm="1">
        <f t="array" ref="CB65">IF(B65="","",IF(A65&lt;8,"",_xlfn.LET(_xlpm.b,--MID(C65,_xlfn.SEQUENCE(A65-1),1),_xlpm.c,--MID(C65,_xlfn.SEQUENCE(A65-1,,2),1),IFERROR(CORREL(_xlpm.b,_xlpm.c),""))))</f>
        <v>1.2145773873089112E-2</v>
      </c>
      <c r="CC65" s="8">
        <f>IF(B65="","",LOG(A65,2))</f>
        <v>6</v>
      </c>
      <c r="CD65" s="8">
        <f>IF(B65="","",MAX(AN65,AO65)-CC65)</f>
        <v>-1</v>
      </c>
      <c r="CE65" s="8" cm="1">
        <f t="array" ref="CE65">IF(B65="","",IF(LEN(B65)&lt;16,"",_xlfn.LET(_xlpm.d,MID("0123456789abcdef",_xlfn.SEQUENCE(16),1),_xlpm.c,LEN(B65)-LEN(SUBSTITUTE(B65,_xlpm.d,"")),_xlpm.ex,LEN(B65)/16,SUM((_xlpm.c-_xlpm.ex)^2/_xlpm.ex))))</f>
        <v>14</v>
      </c>
      <c r="CF65" s="37">
        <f>IF(CE65="","",_xlfn.CHISQ.DIST.RT(CE65,15))</f>
        <v>0.525529129762909</v>
      </c>
      <c r="CG65" s="9" cm="1">
        <f t="array" ref="CG65">IF(OR(B65="",B64=""),"",_xlfn.LET(_xlpm.a,C65,_xlpm.b,REPT("0",A65-LEN(C64))&amp;C64,_xlpm.m,MID(_xlpm.a,_xlfn.SEQUENCE(A65),1)=MID(_xlpm.b,_xlfn.SEQUENCE(A65),1),IFERROR(MATCH(FALSE,_xlpm.m,0)-1,A65)))</f>
        <v>0</v>
      </c>
      <c r="CH65" s="9" cm="1">
        <f t="array" ref="CH65">IF(OR(B65="",B64=""),"",_xlfn.LET(_xlpm.a,C65,_xlpm.b,REPT("0",A65-LEN(C64))&amp;C64,_xlpm.n,A65,_xlpm.m,MID(_xlpm.a,_xlfn.SEQUENCE(_xlpm.n,,_xlpm.n,-1),1)=MID(_xlpm.b,_xlfn.SEQUENCE(_xlpm.n,,_xlpm.n,-1),1),IFERROR(MATCH(FALSE,_xlpm.m,0)-1,_xlpm.n)))</f>
        <v>2</v>
      </c>
      <c r="CI65" s="38">
        <f>IF(OR(B65="",B64=""),"",F65-F64)</f>
        <v>-2.025208792666211E-2</v>
      </c>
      <c r="CJ65" s="5" t="b">
        <f>IF(OR(B65="",B64=""),"",IFERROR(FIND(B64,B65)&gt;0,FALSE))</f>
        <v>0</v>
      </c>
      <c r="CK65" s="5" t="b">
        <f>IF(OR(B65="",B64=""),"",IFERROR(FIND(C64,C65)&gt;0,FALSE))</f>
        <v>0</v>
      </c>
      <c r="CL65" s="9" t="str">
        <f>IF(OR(B65="",B64=""),"",IFERROR(FIND(C64,C65),""))</f>
        <v/>
      </c>
      <c r="CM65" s="6" t="str" cm="1">
        <f t="array" ref="CM65">IF(OR(B65="",B64=""),"",_xlfn.LET(_xlpm.pv,D64,_xlpm.ra,BIGSUB(D65,_xlpm.pv),_xlpm.rb,BIGSUB(_xlpm.ra,_xlpm.pv),_xlpm.rc,BIGSUB(_xlpm.rb,_xlpm.pv),IF(LEFT(_xlpm.rb,1)="-",_xlpm.ra,IF(LEFT(_xlpm.rc,1)="-",_xlpm.rb,_xlpm.rc))))</f>
        <v>8806437408053766860</v>
      </c>
      <c r="CN65" s="38">
        <f>IF(B65="","",F65-0.5)</f>
        <v>0.42984380186056415</v>
      </c>
      <c r="CO65" s="15" t="str" cm="1">
        <f t="array" ref="CO65">IF(B65="","",_xlfn.TEXTJOIN("",,MID(B65,_xlfn.SEQUENCE(LEN(B65),,LEN(B65),-1),1)))</f>
        <v>4d21190b72f1507f</v>
      </c>
      <c r="CP65" s="6" t="str" cm="1">
        <f t="array" ref="CP65">IF(B65="","",BASE2DEC(CO65,16))</f>
        <v>5557750952115654783</v>
      </c>
      <c r="CQ65" s="5" t="str">
        <f>IF(B65="","",IF(AND(LEN(B65)&lt;16,LEN(B65)=LEN(SUBSTITUTE(SUBSTITUTE(SUBSTITUTE(SUBSTITUTE(SUBSTITUTE(SUBSTITUTE(B65,"a",""),"b",""),"c",""),"d",""),"e",""),"f",""))),--B65,""))</f>
        <v/>
      </c>
      <c r="CR65" s="6" t="str" cm="1">
        <f t="array" ref="CR65">IF(B65="","",IF(LEN(D65)&lt;=15,BASE2DEC(D65,16),""))</f>
        <v/>
      </c>
      <c r="CS65" s="15" t="str" cm="1">
        <f t="array" ref="CS65">IF(B65="","",_xlfn.LET(_xlpm.p,REPT("0",MOD(-LEN(B65),4))&amp;B65,_xlfn.TEXTJOIN(" ",,MID(_xlpm.p,_xlfn.SEQUENCE(LEN(_xlpm.p)/4,,1,4),4))))</f>
        <v>f705 1f27 b091 12d4</v>
      </c>
      <c r="CT65" s="15" t="str" cm="1">
        <f t="array" ref="CT65">IF(B65="","",UPPER(_xlfn.LET(_xlpm.p,REPT("0",64-LEN(B65))&amp;B65,_xlfn.TEXTJOIN(" ",,MID(_xlpm.p,_xlfn.SEQUENCE(8,,1,8),8)))))</f>
        <v>00000000 00000000 00000000 00000000 00000000 00000000 F7051F27 B09112D4</v>
      </c>
      <c r="CU65" s="6" t="str" cm="1">
        <f t="array" ref="CU65">IF(B65="","",IF(LEN(D65)&lt;=6,_xlfn.LET(_xlpm.n,VALUE(D65)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5" s="39" t="s">
        <v>4444</v>
      </c>
      <c r="CW65" s="39" t="s">
        <v>1895</v>
      </c>
      <c r="CX65" s="39" t="s">
        <v>2081</v>
      </c>
      <c r="CY65" s="7" t="s">
        <v>4790</v>
      </c>
      <c r="CZ65" s="39" t="s">
        <v>4444</v>
      </c>
      <c r="DA65" s="39" t="s">
        <v>4444</v>
      </c>
      <c r="DB65" s="39">
        <v>64</v>
      </c>
      <c r="DC65" s="7" t="s">
        <v>4791</v>
      </c>
      <c r="DD65" s="7" t="s">
        <v>4792</v>
      </c>
      <c r="DE65" s="7" t="s">
        <v>4793</v>
      </c>
      <c r="DF65" s="7" t="s">
        <v>4794</v>
      </c>
      <c r="DG65" s="7" t="s">
        <v>4795</v>
      </c>
      <c r="DH65" s="39" t="s">
        <v>4452</v>
      </c>
      <c r="DI65" s="7" t="s">
        <v>5553</v>
      </c>
      <c r="DJ65" s="7" t="s">
        <v>5554</v>
      </c>
      <c r="DK65" s="7" t="s">
        <v>5555</v>
      </c>
      <c r="DL65" s="7" t="s">
        <v>5556</v>
      </c>
      <c r="DM65" s="7" t="s">
        <v>5557</v>
      </c>
      <c r="DN65" s="7" t="s">
        <v>5558</v>
      </c>
      <c r="DO65" s="7" t="s">
        <v>5559</v>
      </c>
      <c r="DP65" s="7" t="s">
        <v>5560</v>
      </c>
      <c r="DQ65" s="7" t="s">
        <v>5561</v>
      </c>
      <c r="DR65" s="7" t="s">
        <v>5562</v>
      </c>
      <c r="DS65" s="7" t="s">
        <v>5818</v>
      </c>
      <c r="DT65" s="15" t="str" cm="1">
        <f t="array" ref="DT65">IF(B65="","",_xlfn.TEXTJOIN("",,HEX2BIN(MID(BQ65,_xlfn.SEQUENCE(40),1),4)))</f>
        <v>0010001110011011010101011100101010100101001110000001100101010101111011101100101100001101000010001001101010011110100011010010100010111111111100000111001011011111</v>
      </c>
    </row>
    <row r="66" spans="1:124" x14ac:dyDescent="0.25">
      <c r="A66" s="9">
        <v>65</v>
      </c>
      <c r="B66" s="15" t="s">
        <v>3880</v>
      </c>
      <c r="C66" s="15" t="s">
        <v>3881</v>
      </c>
      <c r="D66" s="6" t="s">
        <v>3882</v>
      </c>
      <c r="E66" s="6" t="s">
        <v>3883</v>
      </c>
      <c r="F66" s="10">
        <v>0.65711505455482788</v>
      </c>
      <c r="G66" s="9">
        <v>29</v>
      </c>
      <c r="H66" s="9">
        <v>0</v>
      </c>
      <c r="I66" s="15" t="s">
        <v>3884</v>
      </c>
      <c r="J66" s="9">
        <v>37</v>
      </c>
      <c r="K66" s="15" t="s">
        <v>3885</v>
      </c>
      <c r="L66" s="15" t="s">
        <v>3886</v>
      </c>
      <c r="M66" s="15" t="s">
        <v>3887</v>
      </c>
      <c r="N66" s="15" t="s">
        <v>3888</v>
      </c>
      <c r="O66" s="6" t="s">
        <v>3889</v>
      </c>
      <c r="P66" s="15" t="s">
        <v>3890</v>
      </c>
      <c r="Q66" s="15" t="s">
        <v>3891</v>
      </c>
      <c r="R66" s="6" t="s">
        <v>3892</v>
      </c>
      <c r="S66" s="15" t="s">
        <v>3893</v>
      </c>
      <c r="T66" s="11">
        <v>1.7173566616709683</v>
      </c>
      <c r="U66" s="10">
        <v>0.44615384615384618</v>
      </c>
      <c r="V66" s="7" t="s">
        <v>870</v>
      </c>
      <c r="W66" s="7" t="s">
        <v>871</v>
      </c>
      <c r="X66" s="7" t="s">
        <v>872</v>
      </c>
      <c r="Y66" s="15" t="s">
        <v>3894</v>
      </c>
      <c r="Z66" s="9">
        <v>32</v>
      </c>
      <c r="AA66" s="9">
        <v>38</v>
      </c>
      <c r="AB66" s="9">
        <v>81</v>
      </c>
      <c r="AC66" s="13">
        <v>-0.12403473458920847</v>
      </c>
      <c r="AD66" s="13">
        <v>1.3643820804812932</v>
      </c>
      <c r="AE66" s="9">
        <v>20</v>
      </c>
      <c r="AF66" s="9">
        <v>77</v>
      </c>
      <c r="AG66" s="9">
        <v>5</v>
      </c>
      <c r="AH66" s="6" t="s">
        <v>3895</v>
      </c>
      <c r="AI66" s="10">
        <v>64.728673773273428</v>
      </c>
      <c r="AJ66" s="10">
        <v>63.394217899866213</v>
      </c>
      <c r="AK66" s="15" t="s">
        <v>3896</v>
      </c>
      <c r="AL66" s="15" t="s">
        <v>3897</v>
      </c>
      <c r="AM66" s="15" t="s">
        <v>3898</v>
      </c>
      <c r="AN66" s="9">
        <v>5</v>
      </c>
      <c r="AO66" s="9">
        <v>3</v>
      </c>
      <c r="AP66" s="9">
        <v>35</v>
      </c>
      <c r="AQ66" s="15" t="s">
        <v>3899</v>
      </c>
      <c r="AR66" s="9">
        <v>10</v>
      </c>
      <c r="AS66" s="6" t="s">
        <v>1009</v>
      </c>
      <c r="AT66" s="15" t="s">
        <v>3900</v>
      </c>
      <c r="AU66" s="9">
        <v>2</v>
      </c>
      <c r="AV66" s="9">
        <v>0</v>
      </c>
      <c r="AW66" s="9">
        <v>6</v>
      </c>
      <c r="AX66" s="9">
        <v>2</v>
      </c>
      <c r="AY66" s="9">
        <v>103</v>
      </c>
      <c r="AZ66" s="9">
        <v>26727</v>
      </c>
      <c r="BA66" s="6" t="s">
        <v>3901</v>
      </c>
      <c r="BB66" s="6" t="s">
        <v>3902</v>
      </c>
      <c r="BC66" s="6" t="s">
        <v>3903</v>
      </c>
      <c r="BD66" s="15" t="s">
        <v>3904</v>
      </c>
      <c r="BE66" s="15" t="s">
        <v>3905</v>
      </c>
      <c r="BF66" s="15" t="s">
        <v>3906</v>
      </c>
      <c r="BG66" s="15" t="s">
        <v>3907</v>
      </c>
      <c r="BH66" s="6" t="s">
        <v>3908</v>
      </c>
      <c r="BI66" s="17" t="s">
        <v>888</v>
      </c>
      <c r="BJ66" s="7" t="s">
        <v>1680</v>
      </c>
      <c r="BK66" s="7" t="s">
        <v>1681</v>
      </c>
      <c r="BL66" s="7" t="s">
        <v>1682</v>
      </c>
      <c r="BM66" s="16" t="s">
        <v>1683</v>
      </c>
      <c r="BN66" s="16" t="s">
        <v>1684</v>
      </c>
      <c r="BO66" s="16" t="s">
        <v>1685</v>
      </c>
      <c r="BP66" s="16" t="s">
        <v>1686</v>
      </c>
      <c r="BQ66" s="16" t="s">
        <v>1687</v>
      </c>
      <c r="BR66" s="7" t="s">
        <v>1688</v>
      </c>
      <c r="BS66" s="7" t="s">
        <v>1689</v>
      </c>
      <c r="BT66" s="7" t="s">
        <v>1690</v>
      </c>
      <c r="BU66" s="14">
        <v>2.6399365892271172E-58</v>
      </c>
      <c r="BV66" s="15" t="s">
        <v>3909</v>
      </c>
      <c r="BW66" s="9">
        <v>34</v>
      </c>
      <c r="BX66" s="9">
        <v>36</v>
      </c>
      <c r="BY66" s="13">
        <v>0.37210420376762537</v>
      </c>
      <c r="BZ66" s="13">
        <v>0.8682431421244593</v>
      </c>
      <c r="CA66" s="12">
        <f>IF(B66="","",IF(A66&lt;8,"",_xlfn.LET(_xlpm.n,A66,_xlpm.k,G66,_xlpm.R,AP66,_xlpm.mu,1+2*_xlpm.k*(_xlpm.n-_xlpm.k)/_xlpm.n,_xlpm.v,2*_xlpm.k*(_xlpm.n-_xlpm.k)*(2*_xlpm.k*(_xlpm.n-_xlpm.k)-_xlpm.n)/(_xlpm.n^2*(_xlpm.n-1)),IF(_xlpm.v&lt;=0,"",(_xlpm.R-_xlpm.mu)/SQRT(_xlpm.v)))))</f>
        <v>0.47488300684099422</v>
      </c>
      <c r="CB66" s="37" cm="1">
        <f t="array" ref="CB66">IF(B66="","",IF(A66&lt;8,"",_xlfn.LET(_xlpm.b,--MID(C66,_xlfn.SEQUENCE(A66-1),1),_xlpm.c,--MID(C66,_xlfn.SEQUENCE(A66-1,,2),1),IFERROR(CORREL(_xlpm.b,_xlpm.c),""))))</f>
        <v>-7.9365079365079361E-2</v>
      </c>
      <c r="CC66" s="8">
        <f>IF(B66="","",LOG(A66,2))</f>
        <v>6.0223678130284544</v>
      </c>
      <c r="CD66" s="8">
        <f>IF(B66="","",MAX(AN66,AO66)-CC66)</f>
        <v>-1.0223678130284544</v>
      </c>
      <c r="CE66" s="8" cm="1">
        <f t="array" ref="CE66">IF(B66="","",IF(LEN(B66)&lt;16,"",_xlfn.LET(_xlpm.d,MID("0123456789abcdef",_xlfn.SEQUENCE(16),1),_xlpm.c,LEN(B66)-LEN(SUBSTITUTE(B66,_xlpm.d,"")),_xlpm.ex,LEN(B66)/16,SUM((_xlpm.c-_xlpm.ex)^2/_xlpm.ex))))</f>
        <v>14.058823529411764</v>
      </c>
      <c r="CF66" s="37">
        <f>IF(CE66="","",_xlfn.CHISQ.DIST.RT(CE66,15))</f>
        <v>0.52107256973098726</v>
      </c>
      <c r="CG66" s="9" cm="1">
        <f t="array" ref="CG66">IF(OR(B66="",B65=""),"",_xlfn.LET(_xlpm.a,C66,_xlpm.b,REPT("0",A66-LEN(C65))&amp;C65,_xlpm.m,MID(_xlpm.a,_xlfn.SEQUENCE(A66),1)=MID(_xlpm.b,_xlfn.SEQUENCE(A66),1),IFERROR(MATCH(FALSE,_xlpm.m,0)-1,A66)))</f>
        <v>0</v>
      </c>
      <c r="CH66" s="9" cm="1">
        <f t="array" ref="CH66">IF(OR(B66="",B65=""),"",_xlfn.LET(_xlpm.a,C66,_xlpm.b,REPT("0",A66-LEN(C65))&amp;C65,_xlpm.n,A66,_xlpm.m,MID(_xlpm.a,_xlfn.SEQUENCE(_xlpm.n,,_xlpm.n,-1),1)=MID(_xlpm.b,_xlfn.SEQUENCE(_xlpm.n,,_xlpm.n,-1),1),IFERROR(MATCH(FALSE,_xlpm.m,0)-1,_xlpm.n)))</f>
        <v>0</v>
      </c>
      <c r="CI66" s="38">
        <f>IF(OR(B66="",B65=""),"",F66-F65)</f>
        <v>-0.27272874730573626</v>
      </c>
      <c r="CJ66" s="5" t="b">
        <f>IF(OR(B66="",B65=""),"",IFERROR(FIND(B65,B66)&gt;0,FALSE))</f>
        <v>0</v>
      </c>
      <c r="CK66" s="5" t="b">
        <f>IF(OR(B66="",B65=""),"",IFERROR(FIND(C65,C66)&gt;0,FALSE))</f>
        <v>0</v>
      </c>
      <c r="CL66" s="9" t="str">
        <f>IF(OR(B66="",B65=""),"",IFERROR(FIND(C65,C66),""))</f>
        <v/>
      </c>
      <c r="CM66" s="6" t="str" cm="1">
        <f t="array" ref="CM66">IF(OR(B66="",B65=""),"",_xlfn.LET(_xlpm.pv,D65,_xlpm.ra,BIGSUB(D66,_xlpm.pv),_xlpm.rb,BIGSUB(_xlpm.ra,_xlpm.pv),_xlpm.rc,BIGSUB(_xlpm.rb,_xlpm.pv),IF(LEFT(_xlpm.rb,1)="-",_xlpm.ra,IF(LEFT(_xlpm.rc,1)="-",_xlpm.rb,_xlpm.rc))))</f>
        <v>12768709954485966227</v>
      </c>
      <c r="CN66" s="38">
        <f>IF(B66="","",F66-0.5)</f>
        <v>0.15711505455482788</v>
      </c>
      <c r="CO66" s="15" t="str" cm="1">
        <f t="array" ref="CO66">IF(B66="","",_xlfn.TEXTJOIN("",,MID(B66,_xlfn.SEQUENCE(LEN(B66),,LEN(B66),-1),1)))</f>
        <v>76862b50531b838a1</v>
      </c>
      <c r="CP66" s="6" t="str" cm="1">
        <f t="array" ref="CP66">IF(B66="","",BASE2DEC(CO66,16))</f>
        <v>136648981877542631585</v>
      </c>
      <c r="CQ66" s="5" t="str">
        <f>IF(B66="","",IF(AND(LEN(B66)&lt;16,LEN(B66)=LEN(SUBSTITUTE(SUBSTITUTE(SUBSTITUTE(SUBSTITUTE(SUBSTITUTE(SUBSTITUTE(B66,"a",""),"b",""),"c",""),"d",""),"e",""),"f",""))),--B66,""))</f>
        <v/>
      </c>
      <c r="CR66" s="6" t="str" cm="1">
        <f t="array" ref="CR66">IF(B66="","",IF(LEN(D66)&lt;=15,BASE2DEC(D66,16),""))</f>
        <v/>
      </c>
      <c r="CS66" s="15" t="str" cm="1">
        <f t="array" ref="CS66">IF(B66="","",_xlfn.LET(_xlpm.p,REPT("0",MOD(-LEN(B66),4))&amp;B66,_xlfn.TEXTJOIN(" ",,MID(_xlpm.p,_xlfn.SEQUENCE(LEN(_xlpm.p)/4,,1,4),4))))</f>
        <v>0001 a838 b135 05b2 6867</v>
      </c>
      <c r="CT66" s="15" t="str" cm="1">
        <f t="array" ref="CT66">IF(B66="","",UPPER(_xlfn.LET(_xlpm.p,REPT("0",64-LEN(B66))&amp;B66,_xlfn.TEXTJOIN(" ",,MID(_xlpm.p,_xlfn.SEQUENCE(8,,1,8),8)))))</f>
        <v>00000000 00000000 00000000 00000000 00000000 00000001 A838B135 05B26867</v>
      </c>
      <c r="CU66" s="6" t="str" cm="1">
        <f t="array" ref="CU66">IF(B66="","",IF(LEN(D66)&lt;=6,_xlfn.LET(_xlpm.n,VALUE(D66)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6" s="39" t="s">
        <v>4444</v>
      </c>
      <c r="CW66" s="39" t="s">
        <v>2104</v>
      </c>
      <c r="CX66" s="39" t="s">
        <v>1896</v>
      </c>
      <c r="CY66" s="7" t="s">
        <v>4796</v>
      </c>
      <c r="CZ66" s="39" t="s">
        <v>4444</v>
      </c>
      <c r="DA66" s="39" t="s">
        <v>4444</v>
      </c>
      <c r="DB66" s="39">
        <v>65</v>
      </c>
      <c r="DC66" s="7" t="s">
        <v>4797</v>
      </c>
      <c r="DD66" s="7" t="s">
        <v>4798</v>
      </c>
      <c r="DE66" s="7" t="s">
        <v>4799</v>
      </c>
      <c r="DF66" s="7" t="s">
        <v>4800</v>
      </c>
      <c r="DG66" s="7" t="s">
        <v>4801</v>
      </c>
      <c r="DH66" s="39" t="s">
        <v>4448</v>
      </c>
      <c r="DI66" s="7" t="s">
        <v>5563</v>
      </c>
      <c r="DJ66" s="7" t="s">
        <v>5564</v>
      </c>
      <c r="DK66" s="7" t="s">
        <v>5565</v>
      </c>
      <c r="DL66" s="7" t="s">
        <v>5566</v>
      </c>
      <c r="DM66" s="7" t="s">
        <v>5567</v>
      </c>
      <c r="DN66" s="7" t="s">
        <v>5568</v>
      </c>
      <c r="DO66" s="7" t="s">
        <v>5569</v>
      </c>
      <c r="DP66" s="7" t="s">
        <v>5570</v>
      </c>
      <c r="DQ66" s="7" t="s">
        <v>5571</v>
      </c>
      <c r="DR66" s="7" t="s">
        <v>5572</v>
      </c>
      <c r="DS66" s="7" t="s">
        <v>5819</v>
      </c>
      <c r="DT66" s="15" t="str" cm="1">
        <f t="array" ref="DT66">IF(B66="","",_xlfn.TEXTJOIN("",,HEX2BIN(MID(BQ66,_xlfn.SEQUENCE(40),1),4)))</f>
        <v>1111101001101011011000000000111011000010010000001100011110001010111011010010001000100010111000101001101001011001111000001101010011001010101100010110000110100001</v>
      </c>
    </row>
    <row r="67" spans="1:124" x14ac:dyDescent="0.25">
      <c r="A67" s="9">
        <v>66</v>
      </c>
      <c r="B67" s="15" t="s">
        <v>3910</v>
      </c>
      <c r="C67" s="15" t="s">
        <v>3911</v>
      </c>
      <c r="D67" s="6" t="s">
        <v>3912</v>
      </c>
      <c r="E67" s="6" t="s">
        <v>3913</v>
      </c>
      <c r="F67" s="10">
        <v>0.25621674386428273</v>
      </c>
      <c r="G67" s="9">
        <v>38</v>
      </c>
      <c r="H67" s="9">
        <v>1</v>
      </c>
      <c r="I67" s="15" t="s">
        <v>3914</v>
      </c>
      <c r="J67" s="9">
        <v>35</v>
      </c>
      <c r="K67" s="15" t="s">
        <v>3915</v>
      </c>
      <c r="L67" s="15" t="s">
        <v>3916</v>
      </c>
      <c r="M67" s="15" t="s">
        <v>3917</v>
      </c>
      <c r="N67" s="15" t="s">
        <v>3918</v>
      </c>
      <c r="O67" s="6" t="s">
        <v>3919</v>
      </c>
      <c r="P67" s="15" t="s">
        <v>3920</v>
      </c>
      <c r="Q67" s="15" t="s">
        <v>3921</v>
      </c>
      <c r="R67" s="6" t="s">
        <v>3922</v>
      </c>
      <c r="S67" s="15" t="s">
        <v>3923</v>
      </c>
      <c r="T67" s="11">
        <v>1.5161490934638251</v>
      </c>
      <c r="U67" s="10">
        <v>0.5757575757575758</v>
      </c>
      <c r="V67" s="7" t="s">
        <v>873</v>
      </c>
      <c r="W67" s="7" t="s">
        <v>874</v>
      </c>
      <c r="X67" s="7" t="s">
        <v>875</v>
      </c>
      <c r="Y67" s="15" t="s">
        <v>3924</v>
      </c>
      <c r="Z67" s="9">
        <v>32</v>
      </c>
      <c r="AA67" s="9">
        <v>36</v>
      </c>
      <c r="AB67" s="9">
        <v>73</v>
      </c>
      <c r="AC67" s="13">
        <v>-0.24618298195866545</v>
      </c>
      <c r="AD67" s="13">
        <v>0.7385489458759964</v>
      </c>
      <c r="AE67" s="9">
        <v>20</v>
      </c>
      <c r="AF67" s="9">
        <v>82</v>
      </c>
      <c r="AG67" s="9">
        <v>1</v>
      </c>
      <c r="AH67" s="6" t="s">
        <v>3925</v>
      </c>
      <c r="AI67" s="10">
        <v>65.329085403975427</v>
      </c>
      <c r="AJ67" s="10">
        <v>63.035436664557373</v>
      </c>
      <c r="AK67" s="15" t="s">
        <v>3926</v>
      </c>
      <c r="AL67" s="15" t="s">
        <v>3927</v>
      </c>
      <c r="AM67" s="15" t="s">
        <v>3928</v>
      </c>
      <c r="AN67" s="9">
        <v>5</v>
      </c>
      <c r="AO67" s="9">
        <v>4</v>
      </c>
      <c r="AP67" s="9">
        <v>38</v>
      </c>
      <c r="AQ67" s="15" t="s">
        <v>3929</v>
      </c>
      <c r="AR67" s="9">
        <v>10</v>
      </c>
      <c r="AS67" s="6" t="s">
        <v>3508</v>
      </c>
      <c r="AT67" s="15" t="s">
        <v>3930</v>
      </c>
      <c r="AU67" s="9">
        <v>1</v>
      </c>
      <c r="AV67" s="9">
        <v>1</v>
      </c>
      <c r="AW67" s="9">
        <v>6</v>
      </c>
      <c r="AX67" s="9">
        <v>5</v>
      </c>
      <c r="AY67" s="9">
        <v>238</v>
      </c>
      <c r="AZ67" s="9">
        <v>13806</v>
      </c>
      <c r="BA67" s="6" t="s">
        <v>3931</v>
      </c>
      <c r="BB67" s="6" t="s">
        <v>3932</v>
      </c>
      <c r="BC67" s="6" t="s">
        <v>3933</v>
      </c>
      <c r="BD67" s="15" t="s">
        <v>3934</v>
      </c>
      <c r="BE67" s="15" t="s">
        <v>3935</v>
      </c>
      <c r="BF67" s="15" t="s">
        <v>3936</v>
      </c>
      <c r="BG67" s="15" t="s">
        <v>3937</v>
      </c>
      <c r="BH67" s="6" t="s">
        <v>3938</v>
      </c>
      <c r="BI67" s="17" t="s">
        <v>888</v>
      </c>
      <c r="BJ67" s="7" t="s">
        <v>1691</v>
      </c>
      <c r="BK67" s="7" t="s">
        <v>1692</v>
      </c>
      <c r="BL67" s="7" t="s">
        <v>1693</v>
      </c>
      <c r="BM67" s="16" t="s">
        <v>1694</v>
      </c>
      <c r="BN67" s="16" t="s">
        <v>1695</v>
      </c>
      <c r="BO67" s="16" t="s">
        <v>1696</v>
      </c>
      <c r="BP67" s="16" t="s">
        <v>1697</v>
      </c>
      <c r="BQ67" s="16" t="s">
        <v>1698</v>
      </c>
      <c r="BR67" s="7" t="s">
        <v>1699</v>
      </c>
      <c r="BS67" s="7" t="s">
        <v>1700</v>
      </c>
      <c r="BT67" s="7" t="s">
        <v>1701</v>
      </c>
      <c r="BU67" s="14">
        <v>4.0025374665586761E-58</v>
      </c>
      <c r="BV67" s="15" t="s">
        <v>3939</v>
      </c>
      <c r="BW67" s="9">
        <v>39</v>
      </c>
      <c r="BX67" s="9">
        <v>33</v>
      </c>
      <c r="BY67" s="13">
        <v>1.4770978917519928</v>
      </c>
      <c r="BZ67" s="13">
        <v>0</v>
      </c>
      <c r="CA67" s="12">
        <f>IF(B67="","",IF(A67&lt;8,"",_xlfn.LET(_xlpm.n,A67,_xlpm.k,G67,_xlpm.R,AP67,_xlpm.mu,1+2*_xlpm.k*(_xlpm.n-_xlpm.k)/_xlpm.n,_xlpm.v,2*_xlpm.k*(_xlpm.n-_xlpm.k)*(2*_xlpm.k*(_xlpm.n-_xlpm.k)-_xlpm.n)/(_xlpm.n^2*(_xlpm.n-1)),IF(_xlpm.v&lt;=0,"",(_xlpm.R-_xlpm.mu)/SQRT(_xlpm.v)))))</f>
        <v>1.2085265174099564</v>
      </c>
      <c r="CB67" s="37" cm="1">
        <f t="array" ref="CB67">IF(B67="","",IF(A67&lt;8,"",_xlfn.LET(_xlpm.b,--MID(C67,_xlfn.SEQUENCE(A67-1),1),_xlpm.c,--MID(C67,_xlfn.SEQUENCE(A67-1,,2),1),IFERROR(CORREL(_xlpm.b,_xlpm.c),""))))</f>
        <v>-0.16586034037603006</v>
      </c>
      <c r="CC67" s="8">
        <f>IF(B67="","",LOG(A67,2))</f>
        <v>6.0443941193584534</v>
      </c>
      <c r="CD67" s="8">
        <f>IF(B67="","",MAX(AN67,AO67)-CC67)</f>
        <v>-1.0443941193584534</v>
      </c>
      <c r="CE67" s="8" cm="1">
        <f t="array" ref="CE67">IF(B67="","",IF(LEN(B67)&lt;16,"",_xlfn.LET(_xlpm.d,MID("0123456789abcdef",_xlfn.SEQUENCE(16),1),_xlpm.c,LEN(B67)-LEN(SUBSTITUTE(B67,_xlpm.d,"")),_xlpm.ex,LEN(B67)/16,SUM((_xlpm.c-_xlpm.ex)^2/_xlpm.ex))))</f>
        <v>19.705882352941178</v>
      </c>
      <c r="CF67" s="37">
        <f>IF(CE67="","",_xlfn.CHISQ.DIST.RT(CE67,15))</f>
        <v>0.18350804315274655</v>
      </c>
      <c r="CG67" s="9" cm="1">
        <f t="array" ref="CG67">IF(OR(B67="",B66=""),"",_xlfn.LET(_xlpm.a,C67,_xlpm.b,REPT("0",A67-LEN(C66))&amp;C66,_xlpm.m,MID(_xlpm.a,_xlfn.SEQUENCE(A67),1)=MID(_xlpm.b,_xlfn.SEQUENCE(A67),1),IFERROR(MATCH(FALSE,_xlpm.m,0)-1,A67)))</f>
        <v>0</v>
      </c>
      <c r="CH67" s="9" cm="1">
        <f t="array" ref="CH67">IF(OR(B67="",B66=""),"",_xlfn.LET(_xlpm.a,C67,_xlpm.b,REPT("0",A67-LEN(C66))&amp;C66,_xlpm.n,A67,_xlpm.m,MID(_xlpm.a,_xlfn.SEQUENCE(_xlpm.n,,_xlpm.n,-1),1)=MID(_xlpm.b,_xlfn.SEQUENCE(_xlpm.n,,_xlpm.n,-1),1),IFERROR(MATCH(FALSE,_xlpm.m,0)-1,_xlpm.n)))</f>
        <v>0</v>
      </c>
      <c r="CI67" s="38">
        <f>IF(OR(B67="",B66=""),"",F67-F66)</f>
        <v>-0.40089831069054516</v>
      </c>
      <c r="CJ67" s="5" t="b">
        <f>IF(OR(B67="",B66=""),"",IFERROR(FIND(B66,B67)&gt;0,FALSE))</f>
        <v>0</v>
      </c>
      <c r="CK67" s="5" t="b">
        <f>IF(OR(B67="",B66=""),"",IFERROR(FIND(C66,C67)&gt;0,FALSE))</f>
        <v>0</v>
      </c>
      <c r="CL67" s="9" t="str">
        <f>IF(OR(B67="",B66=""),"",IFERROR(FIND(C66,C67),""))</f>
        <v/>
      </c>
      <c r="CM67" s="6" t="str" cm="1">
        <f t="array" ref="CM67">IF(OR(B67="",B66=""),"",_xlfn.LET(_xlpm.pv,D66,_xlpm.ra,BIGSUB(D67,_xlpm.pv),_xlpm.rb,BIGSUB(_xlpm.ra,_xlpm.pv),_xlpm.rc,BIGSUB(_xlpm.rb,_xlpm.pv),IF(LEFT(_xlpm.rb,1)="-",_xlpm.ra,IF(LEFT(_xlpm.rc,1)="-",_xlpm.rb,_xlpm.rc))))</f>
        <v>15777840238282132871</v>
      </c>
      <c r="CN67" s="38">
        <f>IF(B67="","",F67-0.5)</f>
        <v>-0.24378325613571727</v>
      </c>
      <c r="CO67" s="15" t="str" cm="1">
        <f t="array" ref="CO67">IF(B67="","",_xlfn.TEXTJOIN("",,MID(B67,_xlfn.SEQUENCE(LEN(B67),,LEN(B67),-1),1)))</f>
        <v>ee53e5b2f47de2382</v>
      </c>
      <c r="CP67" s="6" t="str" cm="1">
        <f t="array" ref="CP67">IF(B67="","",BASE2DEC(CO67,16))</f>
        <v>274773157773802611586</v>
      </c>
      <c r="CQ67" s="5" t="str">
        <f>IF(B67="","",IF(AND(LEN(B67)&lt;16,LEN(B67)=LEN(SUBSTITUTE(SUBSTITUTE(SUBSTITUTE(SUBSTITUTE(SUBSTITUTE(SUBSTITUTE(B67,"a",""),"b",""),"c",""),"d",""),"e",""),"f",""))),--B67,""))</f>
        <v/>
      </c>
      <c r="CR67" s="6" t="str" cm="1">
        <f t="array" ref="CR67">IF(B67="","",IF(LEN(D67)&lt;=15,BASE2DEC(D67,16),""))</f>
        <v/>
      </c>
      <c r="CS67" s="15" t="str" cm="1">
        <f t="array" ref="CS67">IF(B67="","",_xlfn.LET(_xlpm.p,REPT("0",MOD(-LEN(B67),4))&amp;B67,_xlfn.TEXTJOIN(" ",,MID(_xlpm.p,_xlfn.SEQUENCE(LEN(_xlpm.p)/4,,1,4),4))))</f>
        <v>0002 832e d74f 2b5e 35ee</v>
      </c>
      <c r="CT67" s="15" t="str" cm="1">
        <f t="array" ref="CT67">IF(B67="","",UPPER(_xlfn.LET(_xlpm.p,REPT("0",64-LEN(B67))&amp;B67,_xlfn.TEXTJOIN(" ",,MID(_xlpm.p,_xlfn.SEQUENCE(8,,1,8),8)))))</f>
        <v>00000000 00000000 00000000 00000000 00000000 00000002 832ED74F 2B5E35EE</v>
      </c>
      <c r="CU67" s="6" t="str" cm="1">
        <f t="array" ref="CU67">IF(B67="","",IF(LEN(D67)&lt;=6,_xlfn.LET(_xlpm.n,VALUE(D67)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7" s="39" t="s">
        <v>4444</v>
      </c>
      <c r="CW67" s="39" t="s">
        <v>1895</v>
      </c>
      <c r="CX67" s="39" t="s">
        <v>1896</v>
      </c>
      <c r="CY67" s="7" t="s">
        <v>4802</v>
      </c>
      <c r="CZ67" s="39" t="s">
        <v>4444</v>
      </c>
      <c r="DA67" s="39" t="s">
        <v>4444</v>
      </c>
      <c r="DB67" s="39">
        <v>65</v>
      </c>
      <c r="DC67" s="7" t="s">
        <v>4803</v>
      </c>
      <c r="DD67" s="7" t="s">
        <v>4804</v>
      </c>
      <c r="DE67" s="7" t="s">
        <v>4805</v>
      </c>
      <c r="DF67" s="7" t="s">
        <v>4806</v>
      </c>
      <c r="DG67" s="7" t="s">
        <v>4807</v>
      </c>
      <c r="DH67" s="39" t="s">
        <v>4452</v>
      </c>
      <c r="DI67" s="7" t="s">
        <v>5573</v>
      </c>
      <c r="DJ67" s="7" t="s">
        <v>5574</v>
      </c>
      <c r="DK67" s="7" t="s">
        <v>5575</v>
      </c>
      <c r="DL67" s="7" t="s">
        <v>5576</v>
      </c>
      <c r="DM67" s="7" t="s">
        <v>5577</v>
      </c>
      <c r="DN67" s="7" t="s">
        <v>5578</v>
      </c>
      <c r="DO67" s="7" t="s">
        <v>5579</v>
      </c>
      <c r="DP67" s="7" t="s">
        <v>5580</v>
      </c>
      <c r="DQ67" s="7" t="s">
        <v>5581</v>
      </c>
      <c r="DR67" s="7" t="s">
        <v>5582</v>
      </c>
      <c r="DS67" s="7" t="s">
        <v>5820</v>
      </c>
      <c r="DT67" s="15" t="str" cm="1">
        <f t="array" ref="DT67">IF(B67="","",_xlfn.TEXTJOIN("",,HEX2BIN(MID(BQ67,_xlfn.SEQUENCE(40),1),4)))</f>
        <v>0001011101011101000000000111000101000001010000001111011111100101101000111110100001000101100010001110111001001001000010010100011001010011110110100110101001101110</v>
      </c>
    </row>
    <row r="68" spans="1:124" x14ac:dyDescent="0.25">
      <c r="A68" s="9">
        <v>67</v>
      </c>
      <c r="B68" s="15" t="s">
        <v>3940</v>
      </c>
      <c r="C68" s="15" t="s">
        <v>3941</v>
      </c>
      <c r="D68" s="6" t="s">
        <v>3942</v>
      </c>
      <c r="E68" s="6" t="s">
        <v>3943</v>
      </c>
      <c r="F68" s="10">
        <v>0.79783683061242705</v>
      </c>
      <c r="G68" s="9">
        <v>31</v>
      </c>
      <c r="H68" s="9">
        <v>1</v>
      </c>
      <c r="I68" s="15" t="s">
        <v>3944</v>
      </c>
      <c r="J68" s="9">
        <v>31</v>
      </c>
      <c r="K68" s="15" t="s">
        <v>3945</v>
      </c>
      <c r="L68" s="15" t="s">
        <v>3946</v>
      </c>
      <c r="M68" s="15" t="s">
        <v>3947</v>
      </c>
      <c r="N68" s="15" t="s">
        <v>3948</v>
      </c>
      <c r="O68" s="6" t="s">
        <v>3949</v>
      </c>
      <c r="P68" s="15" t="s">
        <v>3950</v>
      </c>
      <c r="Q68" s="15" t="s">
        <v>3951</v>
      </c>
      <c r="R68" s="6" t="s">
        <v>3952</v>
      </c>
      <c r="S68" s="15" t="s">
        <v>3953</v>
      </c>
      <c r="T68" s="11">
        <v>2.8623035624920115</v>
      </c>
      <c r="U68" s="10">
        <v>0.46268656716417911</v>
      </c>
      <c r="V68" s="7" t="s">
        <v>876</v>
      </c>
      <c r="W68" s="7" t="s">
        <v>877</v>
      </c>
      <c r="X68" s="7" t="s">
        <v>878</v>
      </c>
      <c r="Y68" s="15" t="s">
        <v>3954</v>
      </c>
      <c r="Z68" s="9">
        <v>37</v>
      </c>
      <c r="AA68" s="9">
        <v>40</v>
      </c>
      <c r="AB68" s="9">
        <v>88</v>
      </c>
      <c r="AC68" s="13">
        <v>0.85518611049413651</v>
      </c>
      <c r="AD68" s="13">
        <v>1.5882027766319677</v>
      </c>
      <c r="AE68" s="9">
        <v>21</v>
      </c>
      <c r="AF68" s="9">
        <v>82</v>
      </c>
      <c r="AG68" s="9">
        <v>1</v>
      </c>
      <c r="AH68" s="6" t="s">
        <v>3955</v>
      </c>
      <c r="AI68" s="10">
        <v>66.846262089624105</v>
      </c>
      <c r="AJ68" s="10">
        <v>65.674165629334198</v>
      </c>
      <c r="AK68" s="15" t="s">
        <v>3956</v>
      </c>
      <c r="AL68" s="15" t="s">
        <v>3957</v>
      </c>
      <c r="AM68" s="15" t="s">
        <v>3958</v>
      </c>
      <c r="AN68" s="9">
        <v>5</v>
      </c>
      <c r="AO68" s="9">
        <v>6</v>
      </c>
      <c r="AP68" s="9">
        <v>30</v>
      </c>
      <c r="AQ68" s="15" t="s">
        <v>3959</v>
      </c>
      <c r="AR68" s="9">
        <v>12</v>
      </c>
      <c r="AS68" s="6" t="s">
        <v>3839</v>
      </c>
      <c r="AT68" s="15" t="s">
        <v>3960</v>
      </c>
      <c r="AU68" s="9">
        <v>1</v>
      </c>
      <c r="AV68" s="9">
        <v>2</v>
      </c>
      <c r="AW68" s="9">
        <v>4</v>
      </c>
      <c r="AX68" s="9">
        <v>7</v>
      </c>
      <c r="AY68" s="9">
        <v>174</v>
      </c>
      <c r="AZ68" s="9">
        <v>49582</v>
      </c>
      <c r="BA68" s="6" t="s">
        <v>3961</v>
      </c>
      <c r="BB68" s="6" t="s">
        <v>3962</v>
      </c>
      <c r="BC68" s="6" t="s">
        <v>3963</v>
      </c>
      <c r="BD68" s="15" t="s">
        <v>3964</v>
      </c>
      <c r="BE68" s="15" t="s">
        <v>3965</v>
      </c>
      <c r="BF68" s="15" t="s">
        <v>3966</v>
      </c>
      <c r="BG68" s="15" t="s">
        <v>3967</v>
      </c>
      <c r="BH68" s="6" t="s">
        <v>3968</v>
      </c>
      <c r="BI68" s="17" t="s">
        <v>888</v>
      </c>
      <c r="BJ68" s="7" t="s">
        <v>1702</v>
      </c>
      <c r="BK68" s="7" t="s">
        <v>1703</v>
      </c>
      <c r="BL68" s="7" t="s">
        <v>1704</v>
      </c>
      <c r="BM68" s="16" t="s">
        <v>1705</v>
      </c>
      <c r="BN68" s="16" t="s">
        <v>1706</v>
      </c>
      <c r="BO68" s="16" t="s">
        <v>1707</v>
      </c>
      <c r="BP68" s="16" t="s">
        <v>1708</v>
      </c>
      <c r="BQ68" s="16" t="s">
        <v>1709</v>
      </c>
      <c r="BR68" s="7" t="s">
        <v>1710</v>
      </c>
      <c r="BS68" s="7" t="s">
        <v>1711</v>
      </c>
      <c r="BT68" s="7" t="s">
        <v>1712</v>
      </c>
      <c r="BU68" s="14">
        <v>1.1456477249538649E-57</v>
      </c>
      <c r="BV68" s="15" t="s">
        <v>3969</v>
      </c>
      <c r="BW68" s="9">
        <v>41</v>
      </c>
      <c r="BX68" s="9">
        <v>39</v>
      </c>
      <c r="BY68" s="13">
        <v>1.8325416653445783</v>
      </c>
      <c r="BZ68" s="13">
        <v>1.3438638879193574</v>
      </c>
      <c r="CA68" s="12">
        <f>IF(B68="","",IF(A68&lt;8,"",_xlfn.LET(_xlpm.n,A68,_xlpm.k,G68,_xlpm.R,AP68,_xlpm.mu,1+2*_xlpm.k*(_xlpm.n-_xlpm.k)/_xlpm.n,_xlpm.v,2*_xlpm.k*(_xlpm.n-_xlpm.k)*(2*_xlpm.k*(_xlpm.n-_xlpm.k)-_xlpm.n)/(_xlpm.n^2*(_xlpm.n-1)),IF(_xlpm.v&lt;=0,"",(_xlpm.R-_xlpm.mu)/SQRT(_xlpm.v)))))</f>
        <v>-1.0680553629437226</v>
      </c>
      <c r="CB68" s="37" cm="1">
        <f t="array" ref="CB68">IF(B68="","",IF(A68&lt;8,"",_xlfn.LET(_xlpm.b,--MID(C68,_xlfn.SEQUENCE(A68-1),1),_xlpm.c,--MID(C68,_xlfn.SEQUENCE(A68-1,,2),1),IFERROR(CORREL(_xlpm.b,_xlpm.c),""))))</f>
        <v>0.11639753904947565</v>
      </c>
      <c r="CC68" s="8">
        <f>IF(B68="","",LOG(A68,2))</f>
        <v>6.0660891904577721</v>
      </c>
      <c r="CD68" s="8">
        <f>IF(B68="","",MAX(AN68,AO68)-CC68)</f>
        <v>-6.6089190457772062E-2</v>
      </c>
      <c r="CE68" s="8" cm="1">
        <f t="array" ref="CE68">IF(B68="","",IF(LEN(B68)&lt;16,"",_xlfn.LET(_xlpm.d,MID("0123456789abcdef",_xlfn.SEQUENCE(16),1),_xlpm.c,LEN(B68)-LEN(SUBSTITUTE(B68,_xlpm.d,"")),_xlpm.ex,LEN(B68)/16,SUM((_xlpm.c-_xlpm.ex)^2/_xlpm.ex))))</f>
        <v>10.294117647058826</v>
      </c>
      <c r="CF68" s="37">
        <f>IF(CE68="","",_xlfn.CHISQ.DIST.RT(CE68,15))</f>
        <v>0.80084257605447262</v>
      </c>
      <c r="CG68" s="9" cm="1">
        <f t="array" ref="CG68">IF(OR(B68="",B67=""),"",_xlfn.LET(_xlpm.a,C68,_xlpm.b,REPT("0",A68-LEN(C67))&amp;C67,_xlpm.m,MID(_xlpm.a,_xlfn.SEQUENCE(A68),1)=MID(_xlpm.b,_xlfn.SEQUENCE(A68),1),IFERROR(MATCH(FALSE,_xlpm.m,0)-1,A68)))</f>
        <v>0</v>
      </c>
      <c r="CH68" s="9" cm="1">
        <f t="array" ref="CH68">IF(OR(B68="",B67=""),"",_xlfn.LET(_xlpm.a,C68,_xlpm.b,REPT("0",A68-LEN(C67))&amp;C67,_xlpm.n,A68,_xlpm.m,MID(_xlpm.a,_xlfn.SEQUENCE(_xlpm.n,,_xlpm.n,-1),1)=MID(_xlpm.b,_xlfn.SEQUENCE(_xlpm.n,,_xlpm.n,-1),1),IFERROR(MATCH(FALSE,_xlpm.m,0)-1,_xlpm.n)))</f>
        <v>6</v>
      </c>
      <c r="CI68" s="38">
        <f>IF(OR(B68="",B67=""),"",F68-F67)</f>
        <v>0.54162008674814432</v>
      </c>
      <c r="CJ68" s="5" t="b">
        <f>IF(OR(B68="",B67=""),"",IFERROR(FIND(B67,B68)&gt;0,FALSE))</f>
        <v>0</v>
      </c>
      <c r="CK68" s="5" t="b">
        <f>IF(OR(B68="",B67=""),"",IFERROR(FIND(C67,C68)&gt;0,FALSE))</f>
        <v>0</v>
      </c>
      <c r="CL68" s="9" t="str">
        <f>IF(OR(B68="",B67=""),"",IFERROR(FIND(C67,C68),""))</f>
        <v/>
      </c>
      <c r="CM68" s="6" t="str" cm="1">
        <f t="array" ref="CM68">IF(OR(B68="",B67=""),"",_xlfn.LET(_xlpm.pv,D67,_xlpm.ra,BIGSUB(D68,_xlpm.pv),_xlpm.rb,BIGSUB(_xlpm.ra,_xlpm.pv),_xlpm.rc,BIGSUB(_xlpm.rb,_xlpm.pv),IF(LEFT(_xlpm.rb,1)="-",_xlpm.ra,IF(LEFT(_xlpm.rc,1)="-",_xlpm.rb,_xlpm.rc))))</f>
        <v>39964508501693584850</v>
      </c>
      <c r="CN68" s="38">
        <f>IF(B68="","",F68-0.5)</f>
        <v>0.29783683061242705</v>
      </c>
      <c r="CO68" s="15" t="str" cm="1">
        <f t="array" ref="CO68">IF(B68="","",_xlfn.TEXTJOIN("",,MID(B68,_xlfn.SEQUENCE(LEN(B68),,LEN(B68),-1),1)))</f>
        <v>ea1c2491c532cf037</v>
      </c>
      <c r="CP68" s="6" t="str" cm="1">
        <f t="array" ref="CP68">IF(B68="","",BASE2DEC(CO68,16))</f>
        <v>269910376203525353527</v>
      </c>
      <c r="CQ68" s="5" t="str">
        <f>IF(B68="","",IF(AND(LEN(B68)&lt;16,LEN(B68)=LEN(SUBSTITUTE(SUBSTITUTE(SUBSTITUTE(SUBSTITUTE(SUBSTITUTE(SUBSTITUTE(B68,"a",""),"b",""),"c",""),"d",""),"e",""),"f",""))),--B68,""))</f>
        <v/>
      </c>
      <c r="CR68" s="6" t="str" cm="1">
        <f t="array" ref="CR68">IF(B68="","",IF(LEN(D68)&lt;=15,BASE2DEC(D68,16),""))</f>
        <v/>
      </c>
      <c r="CS68" s="15" t="str" cm="1">
        <f t="array" ref="CS68">IF(B68="","",_xlfn.LET(_xlpm.p,REPT("0",MOD(-LEN(B68),4))&amp;B68,_xlfn.TEXTJOIN(" ",,MID(_xlpm.p,_xlfn.SEQUENCE(LEN(_xlpm.p)/4,,1,4),4))))</f>
        <v>0007 30fc 235c 1942 c1ae</v>
      </c>
      <c r="CT68" s="15" t="str" cm="1">
        <f t="array" ref="CT68">IF(B68="","",UPPER(_xlfn.LET(_xlpm.p,REPT("0",64-LEN(B68))&amp;B68,_xlfn.TEXTJOIN(" ",,MID(_xlpm.p,_xlfn.SEQUENCE(8,,1,8),8)))))</f>
        <v>00000000 00000000 00000000 00000000 00000000 00000007 30FC235C 1942C1AE</v>
      </c>
      <c r="CU68" s="6" t="str" cm="1">
        <f t="array" ref="CU68">IF(B68="","",IF(LEN(D68)&lt;=6,_xlfn.LET(_xlpm.n,VALUE(D68)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8" s="39" t="s">
        <v>4444</v>
      </c>
      <c r="CW68" s="39" t="s">
        <v>1895</v>
      </c>
      <c r="CX68" s="39" t="s">
        <v>1896</v>
      </c>
      <c r="CY68" s="7" t="s">
        <v>4808</v>
      </c>
      <c r="CZ68" s="39" t="s">
        <v>4444</v>
      </c>
      <c r="DA68" s="39" t="s">
        <v>4444</v>
      </c>
      <c r="DB68" s="39">
        <v>67</v>
      </c>
      <c r="DC68" s="7" t="s">
        <v>4809</v>
      </c>
      <c r="DD68" s="7" t="s">
        <v>4810</v>
      </c>
      <c r="DE68" s="7" t="s">
        <v>4811</v>
      </c>
      <c r="DF68" s="7" t="s">
        <v>4812</v>
      </c>
      <c r="DG68" s="7" t="s">
        <v>4813</v>
      </c>
      <c r="DH68" s="39" t="s">
        <v>4452</v>
      </c>
      <c r="DI68" s="7" t="s">
        <v>5583</v>
      </c>
      <c r="DJ68" s="7" t="s">
        <v>5584</v>
      </c>
      <c r="DK68" s="7" t="s">
        <v>5585</v>
      </c>
      <c r="DL68" s="7" t="s">
        <v>5586</v>
      </c>
      <c r="DM68" s="7" t="s">
        <v>5587</v>
      </c>
      <c r="DN68" s="7" t="s">
        <v>5588</v>
      </c>
      <c r="DO68" s="7" t="s">
        <v>5589</v>
      </c>
      <c r="DP68" s="7" t="s">
        <v>5590</v>
      </c>
      <c r="DQ68" s="7" t="s">
        <v>5591</v>
      </c>
      <c r="DR68" s="7" t="s">
        <v>5592</v>
      </c>
      <c r="DS68" s="7" t="s">
        <v>5821</v>
      </c>
      <c r="DT68" s="15" t="str" cm="1">
        <f t="array" ref="DT68">IF(B68="","",_xlfn.TEXTJOIN("",,HEX2BIN(MID(BQ68,_xlfn.SEQUENCE(40),1),4)))</f>
        <v>1101000101001101110000111101001010001110001111110100010101110000011000010111111101110110010110001110000010011000111010011001011000000011110000011100100000111000</v>
      </c>
    </row>
    <row r="69" spans="1:124" x14ac:dyDescent="0.25">
      <c r="A69" s="9">
        <v>68</v>
      </c>
      <c r="B69" s="15" t="s">
        <v>3970</v>
      </c>
      <c r="C69" s="15" t="s">
        <v>3971</v>
      </c>
      <c r="D69" s="6" t="s">
        <v>3972</v>
      </c>
      <c r="E69" s="6" t="s">
        <v>3973</v>
      </c>
      <c r="F69" s="10">
        <v>0.49008861221420635</v>
      </c>
      <c r="G69" s="9">
        <v>33</v>
      </c>
      <c r="H69" s="9">
        <v>0</v>
      </c>
      <c r="I69" s="15" t="s">
        <v>3974</v>
      </c>
      <c r="J69" s="9">
        <v>42</v>
      </c>
      <c r="K69" s="15" t="s">
        <v>3975</v>
      </c>
      <c r="L69" s="15" t="s">
        <v>3976</v>
      </c>
      <c r="M69" s="15" t="s">
        <v>3977</v>
      </c>
      <c r="N69" s="15" t="s">
        <v>3978</v>
      </c>
      <c r="O69" s="6" t="s">
        <v>3979</v>
      </c>
      <c r="P69" s="15" t="s">
        <v>3980</v>
      </c>
      <c r="Q69" s="15" t="s">
        <v>3981</v>
      </c>
      <c r="R69" s="6" t="s">
        <v>3982</v>
      </c>
      <c r="S69" s="15" t="s">
        <v>3983</v>
      </c>
      <c r="T69" s="11">
        <v>1.6576461076354911</v>
      </c>
      <c r="U69" s="10">
        <v>0.48529411764705882</v>
      </c>
      <c r="V69" s="7" t="s">
        <v>879</v>
      </c>
      <c r="W69" s="7" t="s">
        <v>880</v>
      </c>
      <c r="X69" s="7" t="s">
        <v>881</v>
      </c>
      <c r="Y69" s="15" t="s">
        <v>3984</v>
      </c>
      <c r="Z69" s="9">
        <v>29</v>
      </c>
      <c r="AA69" s="9">
        <v>35</v>
      </c>
      <c r="AB69" s="9">
        <v>80</v>
      </c>
      <c r="AC69" s="13">
        <v>-1.212678125181665</v>
      </c>
      <c r="AD69" s="13">
        <v>0.24253562503633297</v>
      </c>
      <c r="AE69" s="9">
        <v>21</v>
      </c>
      <c r="AF69" s="9">
        <v>94</v>
      </c>
      <c r="AG69" s="9">
        <v>4</v>
      </c>
      <c r="AH69" s="6" t="s">
        <v>3985</v>
      </c>
      <c r="AI69" s="10">
        <v>67.575398127063764</v>
      </c>
      <c r="AJ69" s="10">
        <v>65.971114529532286</v>
      </c>
      <c r="AK69" s="15" t="s">
        <v>3986</v>
      </c>
      <c r="AL69" s="15" t="s">
        <v>3987</v>
      </c>
      <c r="AM69" s="15" t="s">
        <v>3988</v>
      </c>
      <c r="AN69" s="9">
        <v>6</v>
      </c>
      <c r="AO69" s="9">
        <v>6</v>
      </c>
      <c r="AP69" s="9">
        <v>33</v>
      </c>
      <c r="AQ69" s="15" t="s">
        <v>3989</v>
      </c>
      <c r="AR69" s="9">
        <v>10</v>
      </c>
      <c r="AS69" s="6" t="s">
        <v>3237</v>
      </c>
      <c r="AT69" s="15" t="s">
        <v>3990</v>
      </c>
      <c r="AU69" s="9">
        <v>1</v>
      </c>
      <c r="AV69" s="9">
        <v>0</v>
      </c>
      <c r="AW69" s="9">
        <v>0</v>
      </c>
      <c r="AX69" s="9">
        <v>3</v>
      </c>
      <c r="AY69" s="9">
        <v>145</v>
      </c>
      <c r="AZ69" s="9">
        <v>5265</v>
      </c>
      <c r="BA69" s="6" t="s">
        <v>3991</v>
      </c>
      <c r="BB69" s="6" t="s">
        <v>3992</v>
      </c>
      <c r="BC69" s="6" t="s">
        <v>3993</v>
      </c>
      <c r="BD69" s="15" t="s">
        <v>3994</v>
      </c>
      <c r="BE69" s="15" t="s">
        <v>3995</v>
      </c>
      <c r="BF69" s="15" t="s">
        <v>3996</v>
      </c>
      <c r="BG69" s="15" t="s">
        <v>2061</v>
      </c>
      <c r="BH69" s="6" t="s">
        <v>3997</v>
      </c>
      <c r="BI69" s="17" t="s">
        <v>888</v>
      </c>
      <c r="BJ69" s="7" t="s">
        <v>1713</v>
      </c>
      <c r="BK69" s="7" t="s">
        <v>1714</v>
      </c>
      <c r="BL69" s="7" t="s">
        <v>1715</v>
      </c>
      <c r="BM69" s="16" t="s">
        <v>1716</v>
      </c>
      <c r="BN69" s="16" t="s">
        <v>1717</v>
      </c>
      <c r="BO69" s="16" t="s">
        <v>1718</v>
      </c>
      <c r="BP69" s="16" t="s">
        <v>1719</v>
      </c>
      <c r="BQ69" s="16" t="s">
        <v>1720</v>
      </c>
      <c r="BR69" s="7" t="s">
        <v>1721</v>
      </c>
      <c r="BS69" s="7" t="s">
        <v>1722</v>
      </c>
      <c r="BT69" s="7" t="s">
        <v>1723</v>
      </c>
      <c r="BU69" s="14">
        <v>1.8990784919912299E-57</v>
      </c>
      <c r="BV69" s="15" t="s">
        <v>3998</v>
      </c>
      <c r="BW69" s="9">
        <v>33</v>
      </c>
      <c r="BX69" s="9">
        <v>35</v>
      </c>
      <c r="BY69" s="13">
        <v>-0.24253562503633297</v>
      </c>
      <c r="BZ69" s="13">
        <v>0.24253562503633297</v>
      </c>
      <c r="CA69" s="12">
        <f>IF(B69="","",IF(A69&lt;8,"",_xlfn.LET(_xlpm.n,A69,_xlpm.k,G69,_xlpm.R,AP69,_xlpm.mu,1+2*_xlpm.k*(_xlpm.n-_xlpm.k)/_xlpm.n,_xlpm.v,2*_xlpm.k*(_xlpm.n-_xlpm.k)*(2*_xlpm.k*(_xlpm.n-_xlpm.k)-_xlpm.n)/(_xlpm.n^2*(_xlpm.n-1)),IF(_xlpm.v&lt;=0,"",(_xlpm.R-_xlpm.mu)/SQRT(_xlpm.v)))))</f>
        <v>-0.48196822327142314</v>
      </c>
      <c r="CB69" s="37" cm="1">
        <f t="array" ref="CB69">IF(B69="","",IF(A69&lt;8,"",_xlfn.LET(_xlpm.b,--MID(C69,_xlfn.SEQUENCE(A69-1),1),_xlpm.c,--MID(C69,_xlfn.SEQUENCE(A69-1,,2),1),IFERROR(CORREL(_xlpm.b,_xlpm.c),""))))</f>
        <v>4.2857142857142906E-2</v>
      </c>
      <c r="CC69" s="8">
        <f>IF(B69="","",LOG(A69,2))</f>
        <v>6.08746284125034</v>
      </c>
      <c r="CD69" s="8">
        <f>IF(B69="","",MAX(AN69,AO69)-CC69)</f>
        <v>-8.7462841250339984E-2</v>
      </c>
      <c r="CE69" s="8" cm="1">
        <f t="array" ref="CE69">IF(B69="","",IF(LEN(B69)&lt;16,"",_xlfn.LET(_xlpm.d,MID("0123456789abcdef",_xlfn.SEQUENCE(16),1),_xlpm.c,LEN(B69)-LEN(SUBSTITUTE(B69,_xlpm.d,"")),_xlpm.ex,LEN(B69)/16,SUM((_xlpm.c-_xlpm.ex)^2/_xlpm.ex))))</f>
        <v>14.058823529411764</v>
      </c>
      <c r="CF69" s="37">
        <f>IF(CE69="","",_xlfn.CHISQ.DIST.RT(CE69,15))</f>
        <v>0.52107256973098726</v>
      </c>
      <c r="CG69" s="9" cm="1">
        <f t="array" ref="CG69">IF(OR(B69="",B68=""),"",_xlfn.LET(_xlpm.a,C69,_xlpm.b,REPT("0",A69-LEN(C68))&amp;C68,_xlpm.m,MID(_xlpm.a,_xlfn.SEQUENCE(A69),1)=MID(_xlpm.b,_xlfn.SEQUENCE(A69),1),IFERROR(MATCH(FALSE,_xlpm.m,0)-1,A69)))</f>
        <v>0</v>
      </c>
      <c r="CH69" s="9" cm="1">
        <f t="array" ref="CH69">IF(OR(B69="",B68=""),"",_xlfn.LET(_xlpm.a,C69,_xlpm.b,REPT("0",A69-LEN(C68))&amp;C68,_xlpm.n,A69,_xlpm.m,MID(_xlpm.a,_xlfn.SEQUENCE(_xlpm.n,,_xlpm.n,-1),1)=MID(_xlpm.b,_xlfn.SEQUENCE(_xlpm.n,,_xlpm.n,-1),1),IFERROR(MATCH(FALSE,_xlpm.m,0)-1,_xlpm.n)))</f>
        <v>0</v>
      </c>
      <c r="CI69" s="38">
        <f>IF(OR(B69="",B68=""),"",F69-F68)</f>
        <v>-0.3077482183982207</v>
      </c>
      <c r="CJ69" s="5" t="b">
        <f>IF(OR(B69="",B68=""),"",IFERROR(FIND(B68,B69)&gt;0,FALSE))</f>
        <v>0</v>
      </c>
      <c r="CK69" s="5" t="b">
        <f>IF(OR(B69="",B68=""),"",IFERROR(FIND(C68,C69)&gt;0,FALSE))</f>
        <v>0</v>
      </c>
      <c r="CL69" s="9" t="str">
        <f>IF(OR(B69="",B68=""),"",IFERROR(FIND(C68,C69),""))</f>
        <v/>
      </c>
      <c r="CM69" s="6" t="str" cm="1">
        <f t="array" ref="CM69">IF(OR(B69="",B68=""),"",_xlfn.LET(_xlpm.pv,D68,_xlpm.ra,BIGSUB(D69,_xlpm.pv),_xlpm.rb,BIGSUB(_xlpm.ra,_xlpm.pv),_xlpm.rc,BIGSUB(_xlpm.rb,_xlpm.pv),IF(LEFT(_xlpm.rb,1)="-",_xlpm.ra,IF(LEFT(_xlpm.rc,1)="-",_xlpm.rb,_xlpm.rc))))</f>
        <v>87241322610929783523</v>
      </c>
      <c r="CN69" s="38">
        <f>IF(B69="","",F69-0.5)</f>
        <v>-9.9113877857936461E-3</v>
      </c>
      <c r="CO69" s="15" t="str" cm="1">
        <f t="array" ref="CO69">IF(B69="","",_xlfn.TEXTJOIN("",,MID(B69,_xlfn.SEQUENCE(LEN(B69),,LEN(B69),-1),1)))</f>
        <v>1941cf0dc0493bbeb</v>
      </c>
      <c r="CP69" s="6" t="str" cm="1">
        <f t="array" ref="CP69">IF(B69="","",BASE2DEC(CO69,16))</f>
        <v>29119414118431046635</v>
      </c>
      <c r="CQ69" s="5" t="str">
        <f>IF(B69="","",IF(AND(LEN(B69)&lt;16,LEN(B69)=LEN(SUBSTITUTE(SUBSTITUTE(SUBSTITUTE(SUBSTITUTE(SUBSTITUTE(SUBSTITUTE(B69,"a",""),"b",""),"c",""),"d",""),"e",""),"f",""))),--B69,""))</f>
        <v/>
      </c>
      <c r="CR69" s="6" t="str" cm="1">
        <f t="array" ref="CR69">IF(B69="","",IF(LEN(D69)&lt;=15,BASE2DEC(D69,16),""))</f>
        <v/>
      </c>
      <c r="CS69" s="15" t="str" cm="1">
        <f t="array" ref="CS69">IF(B69="","",_xlfn.LET(_xlpm.p,REPT("0",MOD(-LEN(B69),4))&amp;B69,_xlfn.TEXTJOIN(" ",,MID(_xlpm.p,_xlfn.SEQUENCE(LEN(_xlpm.p)/4,,1,4),4))))</f>
        <v>000b ebb3 940c d0fc 1491</v>
      </c>
      <c r="CT69" s="15" t="str" cm="1">
        <f t="array" ref="CT69">IF(B69="","",UPPER(_xlfn.LET(_xlpm.p,REPT("0",64-LEN(B69))&amp;B69,_xlfn.TEXTJOIN(" ",,MID(_xlpm.p,_xlfn.SEQUENCE(8,,1,8),8)))))</f>
        <v>00000000 00000000 00000000 00000000 00000000 0000000B EBB3940C D0FC1491</v>
      </c>
      <c r="CU69" s="6" t="str" cm="1">
        <f t="array" ref="CU69">IF(B69="","",IF(LEN(D69)&lt;=6,_xlfn.LET(_xlpm.n,VALUE(D69)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69" s="39" t="s">
        <v>4444</v>
      </c>
      <c r="CW69" s="39" t="s">
        <v>2104</v>
      </c>
      <c r="CX69" s="39" t="s">
        <v>4777</v>
      </c>
      <c r="CY69" s="7" t="s">
        <v>4814</v>
      </c>
      <c r="CZ69" s="39" t="s">
        <v>4444</v>
      </c>
      <c r="DA69" s="39" t="s">
        <v>4444</v>
      </c>
      <c r="DB69" s="39">
        <v>67</v>
      </c>
      <c r="DC69" s="7" t="s">
        <v>4815</v>
      </c>
      <c r="DD69" s="7" t="s">
        <v>4816</v>
      </c>
      <c r="DE69" s="7" t="s">
        <v>4817</v>
      </c>
      <c r="DF69" s="7" t="s">
        <v>4818</v>
      </c>
      <c r="DG69" s="7" t="s">
        <v>4819</v>
      </c>
      <c r="DH69" s="39" t="s">
        <v>4448</v>
      </c>
      <c r="DI69" s="7" t="s">
        <v>5593</v>
      </c>
      <c r="DJ69" s="7" t="s">
        <v>5594</v>
      </c>
      <c r="DK69" s="7" t="s">
        <v>5595</v>
      </c>
      <c r="DL69" s="7" t="s">
        <v>5596</v>
      </c>
      <c r="DM69" s="7" t="s">
        <v>5597</v>
      </c>
      <c r="DN69" s="7" t="s">
        <v>5598</v>
      </c>
      <c r="DO69" s="7" t="s">
        <v>5599</v>
      </c>
      <c r="DP69" s="7" t="s">
        <v>5600</v>
      </c>
      <c r="DQ69" s="7" t="s">
        <v>5601</v>
      </c>
      <c r="DR69" s="7" t="s">
        <v>5602</v>
      </c>
      <c r="DS69" s="7" t="s">
        <v>5822</v>
      </c>
      <c r="DT69" s="15" t="str" cm="1">
        <f t="array" ref="DT69">IF(B69="","",_xlfn.TEXTJOIN("",,HEX2BIN(MID(BQ69,_xlfn.SEQUENCE(40),1),4)))</f>
        <v>1010010010011100111111000011100010001010100001001101100110001000011111011001000111000000111001001010110010101001111110100110100000101111101011001101110011010110</v>
      </c>
    </row>
    <row r="70" spans="1:124" x14ac:dyDescent="0.25">
      <c r="A70" s="9">
        <v>69</v>
      </c>
      <c r="B70" s="15" t="s">
        <v>3999</v>
      </c>
      <c r="C70" s="15" t="s">
        <v>4000</v>
      </c>
      <c r="D70" s="6" t="s">
        <v>4001</v>
      </c>
      <c r="E70" s="6" t="s">
        <v>4002</v>
      </c>
      <c r="F70" s="10">
        <v>7.2051561393627539E-3</v>
      </c>
      <c r="G70" s="9">
        <v>35</v>
      </c>
      <c r="H70" s="9">
        <v>2</v>
      </c>
      <c r="I70" s="15" t="s">
        <v>4003</v>
      </c>
      <c r="J70" s="9">
        <v>34</v>
      </c>
      <c r="K70" s="15" t="s">
        <v>4004</v>
      </c>
      <c r="L70" s="15" t="s">
        <v>4005</v>
      </c>
      <c r="M70" s="15" t="s">
        <v>4006</v>
      </c>
      <c r="N70" s="15" t="s">
        <v>4007</v>
      </c>
      <c r="O70" s="6" t="s">
        <v>4008</v>
      </c>
      <c r="P70" s="15" t="s">
        <v>4009</v>
      </c>
      <c r="Q70" s="15" t="s">
        <v>4010</v>
      </c>
      <c r="R70" s="6" t="s">
        <v>4011</v>
      </c>
      <c r="S70" s="15" t="s">
        <v>4012</v>
      </c>
      <c r="T70" s="11">
        <v>1.3518728321031823</v>
      </c>
      <c r="U70" s="10">
        <v>0.50724637681159424</v>
      </c>
      <c r="V70" s="7" t="s">
        <v>882</v>
      </c>
      <c r="W70" s="7" t="s">
        <v>883</v>
      </c>
      <c r="X70" s="7" t="s">
        <v>884</v>
      </c>
      <c r="Y70" s="15" t="s">
        <v>4013</v>
      </c>
      <c r="Z70" s="9">
        <v>37</v>
      </c>
      <c r="AA70" s="9">
        <v>39</v>
      </c>
      <c r="AB70" s="9">
        <v>81</v>
      </c>
      <c r="AC70" s="13">
        <v>0.60192926542884595</v>
      </c>
      <c r="AD70" s="13">
        <v>1.0834726777719228</v>
      </c>
      <c r="AE70" s="9">
        <v>21</v>
      </c>
      <c r="AF70" s="9">
        <v>97</v>
      </c>
      <c r="AG70" s="9">
        <v>7</v>
      </c>
      <c r="AH70" s="6" t="s">
        <v>4014</v>
      </c>
      <c r="AI70" s="10">
        <v>68.010357573711303</v>
      </c>
      <c r="AJ70" s="10">
        <v>60.883245410004918</v>
      </c>
      <c r="AK70" s="15" t="s">
        <v>4015</v>
      </c>
      <c r="AL70" s="15" t="s">
        <v>4016</v>
      </c>
      <c r="AM70" s="15" t="s">
        <v>4017</v>
      </c>
      <c r="AN70" s="9">
        <v>7</v>
      </c>
      <c r="AO70" s="9">
        <v>6</v>
      </c>
      <c r="AP70" s="9">
        <v>28</v>
      </c>
      <c r="AQ70" s="15" t="s">
        <v>4018</v>
      </c>
      <c r="AR70" s="9">
        <v>12</v>
      </c>
      <c r="AS70" s="6" t="s">
        <v>2054</v>
      </c>
      <c r="AT70" s="15" t="s">
        <v>4019</v>
      </c>
      <c r="AU70" s="9">
        <v>1</v>
      </c>
      <c r="AV70" s="9">
        <v>4</v>
      </c>
      <c r="AW70" s="9">
        <v>1</v>
      </c>
      <c r="AX70" s="9">
        <v>0</v>
      </c>
      <c r="AY70" s="9">
        <v>12</v>
      </c>
      <c r="AZ70" s="9">
        <v>32268</v>
      </c>
      <c r="BA70" s="6" t="s">
        <v>4020</v>
      </c>
      <c r="BB70" s="6" t="s">
        <v>4021</v>
      </c>
      <c r="BC70" s="6" t="s">
        <v>4022</v>
      </c>
      <c r="BD70" s="15" t="s">
        <v>4023</v>
      </c>
      <c r="BE70" s="15" t="s">
        <v>4024</v>
      </c>
      <c r="BF70" s="15" t="s">
        <v>4025</v>
      </c>
      <c r="BG70" s="15" t="s">
        <v>4026</v>
      </c>
      <c r="BH70" s="6" t="s">
        <v>4027</v>
      </c>
      <c r="BI70" s="17" t="s">
        <v>888</v>
      </c>
      <c r="BJ70" s="7" t="s">
        <v>1724</v>
      </c>
      <c r="BK70" s="7" t="s">
        <v>1725</v>
      </c>
      <c r="BL70" s="7" t="s">
        <v>1726</v>
      </c>
      <c r="BM70" s="16" t="s">
        <v>1727</v>
      </c>
      <c r="BN70" s="16" t="s">
        <v>1728</v>
      </c>
      <c r="BO70" s="16" t="s">
        <v>1729</v>
      </c>
      <c r="BP70" s="16" t="s">
        <v>1730</v>
      </c>
      <c r="BQ70" s="16" t="s">
        <v>1731</v>
      </c>
      <c r="BR70" s="7" t="s">
        <v>1732</v>
      </c>
      <c r="BS70" s="7" t="s">
        <v>1733</v>
      </c>
      <c r="BT70" s="7" t="s">
        <v>1734</v>
      </c>
      <c r="BU70" s="14">
        <v>2.5673126193544248E-57</v>
      </c>
      <c r="BV70" s="15" t="s">
        <v>4028</v>
      </c>
      <c r="BW70" s="9">
        <v>33</v>
      </c>
      <c r="BX70" s="9">
        <v>33</v>
      </c>
      <c r="BY70" s="13">
        <v>-0.36115755925730758</v>
      </c>
      <c r="BZ70" s="13">
        <v>-0.36115755925730758</v>
      </c>
      <c r="CA70" s="12">
        <f>IF(B70="","",IF(A70&lt;8,"",_xlfn.LET(_xlpm.n,A70,_xlpm.k,G70,_xlpm.R,AP70,_xlpm.mu,1+2*_xlpm.k*(_xlpm.n-_xlpm.k)/_xlpm.n,_xlpm.v,2*_xlpm.k*(_xlpm.n-_xlpm.k)*(2*_xlpm.k*(_xlpm.n-_xlpm.k)-_xlpm.n)/(_xlpm.n^2*(_xlpm.n-1)),IF(_xlpm.v&lt;=0,"",(_xlpm.R-_xlpm.mu)/SQRT(_xlpm.v)))))</f>
        <v>-1.8178437366559936</v>
      </c>
      <c r="CB70" s="37" cm="1">
        <f t="array" ref="CB70">IF(B70="","",IF(A70&lt;8,"",_xlfn.LET(_xlpm.b,--MID(C70,_xlfn.SEQUENCE(A70-1),1),_xlpm.c,--MID(C70,_xlfn.SEQUENCE(A70-1,,2),1),IFERROR(CORREL(_xlpm.b,_xlpm.c),""))))</f>
        <v>0.20597146021777477</v>
      </c>
      <c r="CC70" s="8">
        <f>IF(B70="","",LOG(A70,2))</f>
        <v>6.10852445677817</v>
      </c>
      <c r="CD70" s="8">
        <f>IF(B70="","",MAX(AN70,AO70)-CC70)</f>
        <v>0.89147554322182998</v>
      </c>
      <c r="CE70" s="8" cm="1">
        <f t="array" ref="CE70">IF(B70="","",IF(LEN(B70)&lt;16,"",_xlfn.LET(_xlpm.d,MID("0123456789abcdef",_xlfn.SEQUENCE(16),1),_xlpm.c,LEN(B70)-LEN(SUBSTITUTE(B70,_xlpm.d,"")),_xlpm.ex,LEN(B70)/16,SUM((_xlpm.c-_xlpm.ex)^2/_xlpm.ex))))</f>
        <v>8.6666666666666679</v>
      </c>
      <c r="CF70" s="37">
        <f>IF(CE70="","",_xlfn.CHISQ.DIST.RT(CE70,15))</f>
        <v>0.89429163526450084</v>
      </c>
      <c r="CG70" s="9" cm="1">
        <f t="array" ref="CG70">IF(OR(B70="",B69=""),"",_xlfn.LET(_xlpm.a,C70,_xlpm.b,REPT("0",A70-LEN(C69))&amp;C69,_xlpm.m,MID(_xlpm.a,_xlfn.SEQUENCE(A70),1)=MID(_xlpm.b,_xlfn.SEQUENCE(A70),1),IFERROR(MATCH(FALSE,_xlpm.m,0)-1,A70)))</f>
        <v>0</v>
      </c>
      <c r="CH70" s="9" cm="1">
        <f t="array" ref="CH70">IF(OR(B70="",B69=""),"",_xlfn.LET(_xlpm.a,C70,_xlpm.b,REPT("0",A70-LEN(C69))&amp;C69,_xlpm.n,A70,_xlpm.m,MID(_xlpm.a,_xlfn.SEQUENCE(_xlpm.n,,_xlpm.n,-1),1)=MID(_xlpm.b,_xlfn.SEQUENCE(_xlpm.n,,_xlpm.n,-1),1),IFERROR(MATCH(FALSE,_xlpm.m,0)-1,_xlpm.n)))</f>
        <v>0</v>
      </c>
      <c r="CI70" s="38">
        <f>IF(OR(B70="",B69=""),"",F70-F69)</f>
        <v>-0.48288345607484362</v>
      </c>
      <c r="CJ70" s="5" t="b">
        <f>IF(OR(B70="",B69=""),"",IFERROR(FIND(B69,B70)&gt;0,FALSE))</f>
        <v>0</v>
      </c>
      <c r="CK70" s="5" t="b">
        <f>IF(OR(B70="",B69=""),"",IFERROR(FIND(C69,C70)&gt;0,FALSE))</f>
        <v>0</v>
      </c>
      <c r="CL70" s="9" t="str">
        <f>IF(OR(B70="",B69=""),"",IFERROR(FIND(C69,C70),""))</f>
        <v/>
      </c>
      <c r="CM70" s="6" t="str" cm="1">
        <f t="array" ref="CM70">IF(OR(B70="",B69=""),"",_xlfn.LET(_xlpm.pv,D69,_xlpm.ra,BIGSUB(D70,_xlpm.pv),_xlpm.rb,BIGSUB(_xlpm.ra,_xlpm.pv),_xlpm.rc,BIGSUB(_xlpm.rb,_xlpm.pv),IF(LEFT(_xlpm.rb,1)="-",_xlpm.ra,IF(LEFT(_xlpm.rc,1)="-",_xlpm.rb,_xlpm.rc))))</f>
        <v>77376225707059865979</v>
      </c>
      <c r="CN70" s="38">
        <f>IF(B70="","",F70-0.5)</f>
        <v>-0.49279484386063727</v>
      </c>
      <c r="CO70" s="15" t="str" cm="1">
        <f t="array" ref="CO70">IF(B70="","",_xlfn.TEXTJOIN("",,MID(B70,_xlfn.SEQUENCE(LEN(B70),,LEN(B70),-1),1)))</f>
        <v>c0e7cb2bf57238d101</v>
      </c>
      <c r="CP70" s="6" t="str" cm="1">
        <f t="array" ref="CP70">IF(B70="","",BASE2DEC(CO70,16))</f>
        <v>3558477354128450834689</v>
      </c>
      <c r="CQ70" s="5" t="str">
        <f>IF(B70="","",IF(AND(LEN(B70)&lt;16,LEN(B70)=LEN(SUBSTITUTE(SUBSTITUTE(SUBSTITUTE(SUBSTITUTE(SUBSTITUTE(SUBSTITUTE(B70,"a",""),"b",""),"c",""),"d",""),"e",""),"f",""))),--B70,""))</f>
        <v/>
      </c>
      <c r="CR70" s="6" t="str" cm="1">
        <f t="array" ref="CR70">IF(B70="","",IF(LEN(D70)&lt;=15,BASE2DEC(D70,16),""))</f>
        <v/>
      </c>
      <c r="CS70" s="15" t="str" cm="1">
        <f t="array" ref="CS70">IF(B70="","",_xlfn.LET(_xlpm.p,REPT("0",MOD(-LEN(B70),4))&amp;B70,_xlfn.TEXTJOIN(" ",,MID(_xlpm.p,_xlfn.SEQUENCE(LEN(_xlpm.p)/4,,1,4),4))))</f>
        <v>0010 1d83 275f b2bc 7e0c</v>
      </c>
      <c r="CT70" s="15" t="str" cm="1">
        <f t="array" ref="CT70">IF(B70="","",UPPER(_xlfn.LET(_xlpm.p,REPT("0",64-LEN(B70))&amp;B70,_xlfn.TEXTJOIN(" ",,MID(_xlpm.p,_xlfn.SEQUENCE(8,,1,8),8)))))</f>
        <v>00000000 00000000 00000000 00000000 00000000 00000010 1D83275F B2BC7E0C</v>
      </c>
      <c r="CU70" s="6" t="str" cm="1">
        <f t="array" ref="CU70">IF(B70="","",IF(LEN(D70)&lt;=6,_xlfn.LET(_xlpm.n,VALUE(D70)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0" s="39" t="s">
        <v>4444</v>
      </c>
      <c r="CW70" s="39" t="s">
        <v>1895</v>
      </c>
      <c r="CX70" s="39" t="s">
        <v>1896</v>
      </c>
      <c r="CY70" s="7" t="s">
        <v>4820</v>
      </c>
      <c r="CZ70" s="39" t="s">
        <v>4444</v>
      </c>
      <c r="DA70" s="39" t="s">
        <v>4444</v>
      </c>
      <c r="DB70" s="39">
        <v>68</v>
      </c>
      <c r="DC70" s="7" t="s">
        <v>4821</v>
      </c>
      <c r="DD70" s="7" t="s">
        <v>4822</v>
      </c>
      <c r="DE70" s="7" t="s">
        <v>4823</v>
      </c>
      <c r="DF70" s="7" t="s">
        <v>4824</v>
      </c>
      <c r="DG70" s="7" t="s">
        <v>4825</v>
      </c>
      <c r="DH70" s="39" t="s">
        <v>4452</v>
      </c>
      <c r="DI70" s="7" t="s">
        <v>5603</v>
      </c>
      <c r="DJ70" s="7" t="s">
        <v>5604</v>
      </c>
      <c r="DK70" s="7" t="s">
        <v>5605</v>
      </c>
      <c r="DL70" s="7" t="s">
        <v>5606</v>
      </c>
      <c r="DM70" s="7" t="s">
        <v>5607</v>
      </c>
      <c r="DN70" s="7" t="s">
        <v>5608</v>
      </c>
      <c r="DO70" s="7" t="s">
        <v>5609</v>
      </c>
      <c r="DP70" s="7" t="s">
        <v>5610</v>
      </c>
      <c r="DQ70" s="7" t="s">
        <v>5611</v>
      </c>
      <c r="DR70" s="7" t="s">
        <v>5612</v>
      </c>
      <c r="DS70" s="7" t="s">
        <v>5823</v>
      </c>
      <c r="DT70" s="15" t="str" cm="1">
        <f t="array" ref="DT70">IF(B70="","",_xlfn.TEXTJOIN("",,HEX2BIN(MID(BQ70,_xlfn.SEQUENCE(40),1),4)))</f>
        <v>0100000110000110101001101101011010100111111000010101110000111111110110100110010101101011111111100111000110100101100011101110111010000110110100000110010111001101</v>
      </c>
    </row>
    <row r="71" spans="1:124" x14ac:dyDescent="0.25">
      <c r="A71" s="9">
        <v>70</v>
      </c>
      <c r="B71" s="15" t="s">
        <v>4029</v>
      </c>
      <c r="C71" s="15" t="s">
        <v>4030</v>
      </c>
      <c r="D71" s="6" t="s">
        <v>4031</v>
      </c>
      <c r="E71" s="6" t="s">
        <v>4032</v>
      </c>
      <c r="F71" s="10">
        <v>0.64398418043204009</v>
      </c>
      <c r="G71" s="9">
        <v>34</v>
      </c>
      <c r="H71" s="9">
        <v>0</v>
      </c>
      <c r="I71" s="15" t="s">
        <v>4033</v>
      </c>
      <c r="J71" s="9">
        <v>29</v>
      </c>
      <c r="K71" s="15" t="s">
        <v>4034</v>
      </c>
      <c r="L71" s="15" t="s">
        <v>4035</v>
      </c>
      <c r="M71" s="15" t="s">
        <v>4036</v>
      </c>
      <c r="N71" s="15" t="s">
        <v>4037</v>
      </c>
      <c r="O71" s="6" t="s">
        <v>4038</v>
      </c>
      <c r="P71" s="15" t="s">
        <v>4039</v>
      </c>
      <c r="Q71" s="15" t="s">
        <v>4040</v>
      </c>
      <c r="R71" s="6" t="s">
        <v>4041</v>
      </c>
      <c r="S71" s="15" t="s">
        <v>4042</v>
      </c>
      <c r="T71" s="11">
        <v>3.2644475068683478</v>
      </c>
      <c r="U71" s="10">
        <v>0.48571428571428571</v>
      </c>
      <c r="V71" s="7" t="s">
        <v>885</v>
      </c>
      <c r="W71" s="7" t="s">
        <v>886</v>
      </c>
      <c r="X71" s="7" t="s">
        <v>887</v>
      </c>
      <c r="Y71" s="15" t="s">
        <v>4043</v>
      </c>
      <c r="Z71" s="9">
        <v>37</v>
      </c>
      <c r="AA71" s="9">
        <v>39</v>
      </c>
      <c r="AB71" s="9">
        <v>78</v>
      </c>
      <c r="AC71" s="13">
        <v>0.47809144373375745</v>
      </c>
      <c r="AD71" s="13">
        <v>0.9561828874675149</v>
      </c>
      <c r="AE71" s="9">
        <v>21</v>
      </c>
      <c r="AF71" s="9">
        <v>87</v>
      </c>
      <c r="AG71" s="9">
        <v>6</v>
      </c>
      <c r="AH71" s="6" t="s">
        <v>4044</v>
      </c>
      <c r="AI71" s="10">
        <v>69.717196416463608</v>
      </c>
      <c r="AJ71" s="10">
        <v>68.365097153867808</v>
      </c>
      <c r="AK71" s="15" t="s">
        <v>4045</v>
      </c>
      <c r="AL71" s="15" t="s">
        <v>4046</v>
      </c>
      <c r="AM71" s="15" t="s">
        <v>4047</v>
      </c>
      <c r="AN71" s="9">
        <v>4</v>
      </c>
      <c r="AO71" s="9">
        <v>4</v>
      </c>
      <c r="AP71" s="9">
        <v>37</v>
      </c>
      <c r="AQ71" s="15" t="s">
        <v>4048</v>
      </c>
      <c r="AR71" s="9">
        <v>11</v>
      </c>
      <c r="AS71" s="6" t="s">
        <v>1896</v>
      </c>
      <c r="AT71" s="15" t="s">
        <v>4049</v>
      </c>
      <c r="AU71" s="9">
        <v>0</v>
      </c>
      <c r="AV71" s="9">
        <v>1</v>
      </c>
      <c r="AW71" s="9">
        <v>1</v>
      </c>
      <c r="AX71" s="9">
        <v>8</v>
      </c>
      <c r="AY71" s="9">
        <v>241</v>
      </c>
      <c r="AZ71" s="9">
        <v>20209</v>
      </c>
      <c r="BA71" s="6" t="s">
        <v>4050</v>
      </c>
      <c r="BB71" s="6" t="s">
        <v>4051</v>
      </c>
      <c r="BC71" s="6" t="s">
        <v>4052</v>
      </c>
      <c r="BD71" s="15" t="s">
        <v>4053</v>
      </c>
      <c r="BE71" s="15" t="s">
        <v>4054</v>
      </c>
      <c r="BF71" s="15" t="s">
        <v>4055</v>
      </c>
      <c r="BG71" s="15" t="s">
        <v>4056</v>
      </c>
      <c r="BH71" s="6" t="s">
        <v>4057</v>
      </c>
      <c r="BI71" s="17" t="s">
        <v>888</v>
      </c>
      <c r="BJ71" s="7" t="s">
        <v>1735</v>
      </c>
      <c r="BK71" s="7" t="s">
        <v>1736</v>
      </c>
      <c r="BL71" s="7" t="s">
        <v>1737</v>
      </c>
      <c r="BM71" s="16" t="s">
        <v>1738</v>
      </c>
      <c r="BN71" s="16" t="s">
        <v>1739</v>
      </c>
      <c r="BO71" s="16" t="s">
        <v>1740</v>
      </c>
      <c r="BP71" s="16" t="s">
        <v>1741</v>
      </c>
      <c r="BQ71" s="16" t="s">
        <v>1742</v>
      </c>
      <c r="BR71" s="7" t="s">
        <v>1743</v>
      </c>
      <c r="BS71" s="7" t="s">
        <v>1744</v>
      </c>
      <c r="BT71" s="7" t="s">
        <v>1745</v>
      </c>
      <c r="BU71" s="14">
        <v>8.3808572796031983E-57</v>
      </c>
      <c r="BV71" s="15" t="s">
        <v>4058</v>
      </c>
      <c r="BW71" s="9">
        <v>29</v>
      </c>
      <c r="BX71" s="9">
        <v>28</v>
      </c>
      <c r="BY71" s="13">
        <v>-1.4342743312012722</v>
      </c>
      <c r="BZ71" s="13">
        <v>-1.6733200530681511</v>
      </c>
      <c r="CA71" s="12">
        <f>IF(B71="","",IF(A71&lt;8,"",_xlfn.LET(_xlpm.n,A71,_xlpm.k,G71,_xlpm.R,AP71,_xlpm.mu,1+2*_xlpm.k*(_xlpm.n-_xlpm.k)/_xlpm.n,_xlpm.v,2*_xlpm.k*(_xlpm.n-_xlpm.k)*(2*_xlpm.k*(_xlpm.n-_xlpm.k)-_xlpm.n)/(_xlpm.n^2*(_xlpm.n-1)),IF(_xlpm.v&lt;=0,"",(_xlpm.R-_xlpm.mu)/SQRT(_xlpm.v)))))</f>
        <v>0.24788223880313756</v>
      </c>
      <c r="CB71" s="37" cm="1">
        <f t="array" ref="CB71">IF(B71="","",IF(A71&lt;8,"",_xlfn.LET(_xlpm.b,--MID(C71,_xlfn.SEQUENCE(A71-1),1),_xlpm.c,--MID(C71,_xlfn.SEQUENCE(A71-1,,2),1),IFERROR(CORREL(_xlpm.b,_xlpm.c),""))))</f>
        <v>-4.5454545454545407E-2</v>
      </c>
      <c r="CC71" s="8">
        <f>IF(B71="","",LOG(A71,2))</f>
        <v>6.1292830169449672</v>
      </c>
      <c r="CD71" s="8">
        <f>IF(B71="","",MAX(AN71,AO71)-CC71)</f>
        <v>-2.1292830169449672</v>
      </c>
      <c r="CE71" s="8" cm="1">
        <f t="array" ref="CE71">IF(B71="","",IF(LEN(B71)&lt;16,"",_xlfn.LET(_xlpm.d,MID("0123456789abcdef",_xlfn.SEQUENCE(16),1),_xlpm.c,LEN(B71)-LEN(SUBSTITUTE(B71,_xlpm.d,"")),_xlpm.ex,LEN(B71)/16,SUM((_xlpm.c-_xlpm.ex)^2/_xlpm.ex))))</f>
        <v>15.777777777777779</v>
      </c>
      <c r="CF71" s="37">
        <f>IF(CE71="","",_xlfn.CHISQ.DIST.RT(CE71,15))</f>
        <v>0.396972513785109</v>
      </c>
      <c r="CG71" s="9" cm="1">
        <f t="array" ref="CG71">IF(OR(B71="",B70=""),"",_xlfn.LET(_xlpm.a,C71,_xlpm.b,REPT("0",A71-LEN(C70))&amp;C70,_xlpm.m,MID(_xlpm.a,_xlfn.SEQUENCE(A71),1)=MID(_xlpm.b,_xlfn.SEQUENCE(A71),1),IFERROR(MATCH(FALSE,_xlpm.m,0)-1,A71)))</f>
        <v>0</v>
      </c>
      <c r="CH71" s="9" cm="1">
        <f t="array" ref="CH71">IF(OR(B71="",B70=""),"",_xlfn.LET(_xlpm.a,C71,_xlpm.b,REPT("0",A71-LEN(C70))&amp;C70,_xlpm.n,A71,_xlpm.m,MID(_xlpm.a,_xlfn.SEQUENCE(_xlpm.n,,_xlpm.n,-1),1)=MID(_xlpm.b,_xlfn.SEQUENCE(_xlpm.n,,_xlpm.n,-1),1),IFERROR(MATCH(FALSE,_xlpm.m,0)-1,_xlpm.n)))</f>
        <v>0</v>
      </c>
      <c r="CI71" s="38">
        <f>IF(OR(B71="",B70=""),"",F71-F70)</f>
        <v>0.6367790242926773</v>
      </c>
      <c r="CJ71" s="5" t="b">
        <f>IF(OR(B71="",B70=""),"",IFERROR(FIND(B70,B71)&gt;0,FALSE))</f>
        <v>0</v>
      </c>
      <c r="CK71" s="5" t="b">
        <f>IF(OR(B71="",B70=""),"",IFERROR(FIND(C70,C71)&gt;0,FALSE))</f>
        <v>0</v>
      </c>
      <c r="CL71" s="9" t="str">
        <f>IF(OR(B71="",B70=""),"",IFERROR(FIND(C70,C71),""))</f>
        <v/>
      </c>
      <c r="CM71" s="6" t="str" cm="1">
        <f t="array" ref="CM71">IF(OR(B71="",B70=""),"",_xlfn.LET(_xlpm.pv,D70,_xlpm.ra,BIGSUB(D71,_xlpm.pv),_xlpm.rb,BIGSUB(_xlpm.ra,_xlpm.pv),_xlpm.rc,BIGSUB(_xlpm.rb,_xlpm.pv),IF(LEFT(_xlpm.rb,1)="-",_xlpm.ra,IF(LEFT(_xlpm.rc,1)="-",_xlpm.rb,_xlpm.rc))))</f>
        <v>78613498243895973069</v>
      </c>
      <c r="CN71" s="38">
        <f>IF(B71="","",F71-0.5)</f>
        <v>0.14398418043204009</v>
      </c>
      <c r="CO71" s="15" t="str" cm="1">
        <f t="array" ref="CO71">IF(B71="","",_xlfn.TEXTJOIN("",,MID(B71,_xlfn.SEQUENCE(LEN(B71),,LEN(B71),-1),1)))</f>
        <v>1fe4c6a1346b48b943</v>
      </c>
      <c r="CP71" s="6" t="str" cm="1">
        <f t="array" ref="CP71">IF(B71="","",BASE2DEC(CO71,16))</f>
        <v>588334107017542678851</v>
      </c>
      <c r="CQ71" s="5" t="str">
        <f>IF(B71="","",IF(AND(LEN(B71)&lt;16,LEN(B71)=LEN(SUBSTITUTE(SUBSTITUTE(SUBSTITUTE(SUBSTITUTE(SUBSTITUTE(SUBSTITUTE(B71,"a",""),"b",""),"c",""),"d",""),"e",""),"f",""))),--B71,""))</f>
        <v/>
      </c>
      <c r="CR71" s="6" t="str" cm="1">
        <f t="array" ref="CR71">IF(B71="","",IF(LEN(D71)&lt;=15,BASE2DEC(D71,16),""))</f>
        <v/>
      </c>
      <c r="CS71" s="15" t="str" cm="1">
        <f t="array" ref="CS71">IF(B71="","",_xlfn.LET(_xlpm.p,REPT("0",MOD(-LEN(B71),4))&amp;B71,_xlfn.TEXTJOIN(" ",,MID(_xlpm.p,_xlfn.SEQUENCE(LEN(_xlpm.p)/4,,1,4),4))))</f>
        <v>0034 9b84 b643 1a6c 4ef1</v>
      </c>
      <c r="CT71" s="15" t="str" cm="1">
        <f t="array" ref="CT71">IF(B71="","",UPPER(_xlfn.LET(_xlpm.p,REPT("0",64-LEN(B71))&amp;B71,_xlfn.TEXTJOIN(" ",,MID(_xlpm.p,_xlfn.SEQUENCE(8,,1,8),8)))))</f>
        <v>00000000 00000000 00000000 00000000 00000000 00000034 9B84B643 1A6C4EF1</v>
      </c>
      <c r="CU71" s="6" t="str" cm="1">
        <f t="array" ref="CU71">IF(B71="","",IF(LEN(D71)&lt;=6,_xlfn.LET(_xlpm.n,VALUE(D71)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1" s="39" t="s">
        <v>4444</v>
      </c>
      <c r="CW71" s="39" t="s">
        <v>987</v>
      </c>
      <c r="CX71" s="39" t="s">
        <v>2104</v>
      </c>
      <c r="CY71" s="7" t="s">
        <v>4826</v>
      </c>
      <c r="CZ71" s="39" t="s">
        <v>4444</v>
      </c>
      <c r="DA71" s="39" t="s">
        <v>4444</v>
      </c>
      <c r="DB71" s="39">
        <v>70</v>
      </c>
      <c r="DC71" s="7" t="s">
        <v>4827</v>
      </c>
      <c r="DD71" s="7" t="s">
        <v>4828</v>
      </c>
      <c r="DE71" s="7" t="s">
        <v>4829</v>
      </c>
      <c r="DF71" s="7" t="s">
        <v>4830</v>
      </c>
      <c r="DG71" s="7" t="s">
        <v>4831</v>
      </c>
      <c r="DH71" s="39" t="s">
        <v>4448</v>
      </c>
      <c r="DI71" s="7" t="s">
        <v>5613</v>
      </c>
      <c r="DJ71" s="7" t="s">
        <v>5614</v>
      </c>
      <c r="DK71" s="7" t="s">
        <v>5615</v>
      </c>
      <c r="DL71" s="7" t="s">
        <v>5616</v>
      </c>
      <c r="DM71" s="7" t="s">
        <v>5617</v>
      </c>
      <c r="DN71" s="7" t="s">
        <v>5618</v>
      </c>
      <c r="DO71" s="7" t="s">
        <v>5619</v>
      </c>
      <c r="DP71" s="7" t="s">
        <v>5620</v>
      </c>
      <c r="DQ71" s="7" t="s">
        <v>5621</v>
      </c>
      <c r="DR71" s="7" t="s">
        <v>5622</v>
      </c>
      <c r="DS71" s="7" t="s">
        <v>5824</v>
      </c>
      <c r="DT71" s="15" t="str" cm="1">
        <f t="array" ref="DT71">IF(B71="","",_xlfn.TEXTJOIN("",,HEX2BIN(MID(BQ71,_xlfn.SEQUENCE(40),1),4)))</f>
        <v>0111010000001011111111100000010011011000101100100110001010000110001100111101011101000001010100001111010001101011011010010001100100100101001101000101111011100111</v>
      </c>
    </row>
    <row r="72" spans="1:124" x14ac:dyDescent="0.25">
      <c r="A72" s="9">
        <v>71</v>
      </c>
      <c r="B72" s="15" t="s">
        <v>888</v>
      </c>
      <c r="C72" s="15" t="s">
        <v>888</v>
      </c>
      <c r="D72" s="6" t="s">
        <v>888</v>
      </c>
      <c r="E72" s="6" t="s">
        <v>888</v>
      </c>
      <c r="F72" s="10" t="s">
        <v>888</v>
      </c>
      <c r="G72" s="9" t="s">
        <v>888</v>
      </c>
      <c r="H72" s="9" t="s">
        <v>888</v>
      </c>
      <c r="I72" s="15" t="s">
        <v>888</v>
      </c>
      <c r="J72" s="9" t="s">
        <v>888</v>
      </c>
      <c r="K72" s="15" t="s">
        <v>888</v>
      </c>
      <c r="L72" s="15" t="s">
        <v>888</v>
      </c>
      <c r="M72" s="15" t="s">
        <v>888</v>
      </c>
      <c r="N72" s="15" t="s">
        <v>888</v>
      </c>
      <c r="O72" s="6" t="s">
        <v>888</v>
      </c>
      <c r="P72" s="15" t="s">
        <v>888</v>
      </c>
      <c r="Q72" s="15" t="s">
        <v>888</v>
      </c>
      <c r="R72" s="6" t="s">
        <v>888</v>
      </c>
      <c r="S72" s="15" t="s">
        <v>888</v>
      </c>
      <c r="T72" s="11" t="s">
        <v>888</v>
      </c>
      <c r="U72" s="10" t="s">
        <v>888</v>
      </c>
      <c r="V72" s="7" t="s">
        <v>888</v>
      </c>
      <c r="W72" s="7" t="s">
        <v>888</v>
      </c>
      <c r="X72" s="7" t="s">
        <v>888</v>
      </c>
      <c r="Y72" s="15" t="s">
        <v>888</v>
      </c>
      <c r="Z72" s="9" t="s">
        <v>888</v>
      </c>
      <c r="AA72" s="9" t="s">
        <v>888</v>
      </c>
      <c r="AB72" s="9" t="s">
        <v>888</v>
      </c>
      <c r="AC72" s="13" t="s">
        <v>888</v>
      </c>
      <c r="AD72" s="13" t="s">
        <v>888</v>
      </c>
      <c r="AE72" s="9" t="s">
        <v>888</v>
      </c>
      <c r="AF72" s="9" t="s">
        <v>888</v>
      </c>
      <c r="AG72" s="9" t="s">
        <v>888</v>
      </c>
      <c r="AH72" s="6" t="s">
        <v>888</v>
      </c>
      <c r="AI72" s="10" t="s">
        <v>888</v>
      </c>
      <c r="AJ72" s="10" t="s">
        <v>888</v>
      </c>
      <c r="AK72" s="15" t="s">
        <v>888</v>
      </c>
      <c r="AL72" s="15" t="s">
        <v>888</v>
      </c>
      <c r="AM72" s="15" t="s">
        <v>888</v>
      </c>
      <c r="AN72" s="9" t="s">
        <v>888</v>
      </c>
      <c r="AO72" s="9" t="s">
        <v>888</v>
      </c>
      <c r="AP72" s="9" t="s">
        <v>888</v>
      </c>
      <c r="AQ72" s="15" t="s">
        <v>888</v>
      </c>
      <c r="AR72" s="9" t="s">
        <v>888</v>
      </c>
      <c r="AS72" s="6" t="s">
        <v>888</v>
      </c>
      <c r="AT72" s="15" t="s">
        <v>888</v>
      </c>
      <c r="AU72" s="9" t="s">
        <v>888</v>
      </c>
      <c r="AV72" s="9" t="s">
        <v>888</v>
      </c>
      <c r="AW72" s="9" t="s">
        <v>888</v>
      </c>
      <c r="AX72" s="9" t="s">
        <v>888</v>
      </c>
      <c r="AY72" s="9" t="s">
        <v>888</v>
      </c>
      <c r="AZ72" s="9" t="s">
        <v>888</v>
      </c>
      <c r="BA72" s="6" t="s">
        <v>888</v>
      </c>
      <c r="BB72" s="6" t="s">
        <v>888</v>
      </c>
      <c r="BC72" s="6" t="s">
        <v>888</v>
      </c>
      <c r="BD72" s="15" t="s">
        <v>888</v>
      </c>
      <c r="BE72" s="15" t="s">
        <v>888</v>
      </c>
      <c r="BF72" s="15" t="s">
        <v>888</v>
      </c>
      <c r="BG72" s="15" t="s">
        <v>888</v>
      </c>
      <c r="BH72" s="6" t="s">
        <v>888</v>
      </c>
      <c r="BI72" s="17" t="s">
        <v>888</v>
      </c>
      <c r="BJ72" s="7" t="s">
        <v>888</v>
      </c>
      <c r="BK72" s="7" t="s">
        <v>888</v>
      </c>
      <c r="BL72" s="7" t="s">
        <v>888</v>
      </c>
      <c r="BM72" s="16" t="s">
        <v>888</v>
      </c>
      <c r="BN72" s="16" t="s">
        <v>888</v>
      </c>
      <c r="BO72" s="16" t="s">
        <v>888</v>
      </c>
      <c r="BP72" s="16" t="s">
        <v>888</v>
      </c>
      <c r="BQ72" s="16" t="s">
        <v>888</v>
      </c>
      <c r="BR72" s="7" t="s">
        <v>888</v>
      </c>
      <c r="BS72" s="7" t="s">
        <v>888</v>
      </c>
      <c r="BT72" s="7" t="s">
        <v>888</v>
      </c>
      <c r="BU72" s="14" t="s">
        <v>888</v>
      </c>
      <c r="BV72" s="15" t="s">
        <v>888</v>
      </c>
      <c r="BW72" s="9" t="s">
        <v>888</v>
      </c>
      <c r="BX72" s="9" t="s">
        <v>888</v>
      </c>
      <c r="BY72" s="13" t="s">
        <v>888</v>
      </c>
      <c r="BZ72" s="13" t="s">
        <v>888</v>
      </c>
      <c r="CA72" s="12" t="str">
        <f>IF(B72="","",IF(A72&lt;8,"",_xlfn.LET(_xlpm.n,A72,_xlpm.k,G72,_xlpm.R,AP72,_xlpm.mu,1+2*_xlpm.k*(_xlpm.n-_xlpm.k)/_xlpm.n,_xlpm.v,2*_xlpm.k*(_xlpm.n-_xlpm.k)*(2*_xlpm.k*(_xlpm.n-_xlpm.k)-_xlpm.n)/(_xlpm.n^2*(_xlpm.n-1)),IF(_xlpm.v&lt;=0,"",(_xlpm.R-_xlpm.mu)/SQRT(_xlpm.v)))))</f>
        <v/>
      </c>
      <c r="CB72" s="37" t="str" cm="1">
        <f t="array" ref="CB72">IF(B72="","",IF(A72&lt;8,"",_xlfn.LET(_xlpm.b,--MID(C72,_xlfn.SEQUENCE(A72-1),1),_xlpm.c,--MID(C72,_xlfn.SEQUENCE(A72-1,,2),1),IFERROR(CORREL(_xlpm.b,_xlpm.c),""))))</f>
        <v/>
      </c>
      <c r="CC72" s="8" t="str">
        <f>IF(B72="","",LOG(A72,2))</f>
        <v/>
      </c>
      <c r="CD72" s="8" t="str">
        <f>IF(B72="","",MAX(AN72,AO72)-CC72)</f>
        <v/>
      </c>
      <c r="CE72" s="8" t="str" cm="1">
        <f t="array" ref="CE72">IF(B72="","",IF(LEN(B72)&lt;16,"",_xlfn.LET(_xlpm.d,MID("0123456789abcdef",_xlfn.SEQUENCE(16),1),_xlpm.c,LEN(B72)-LEN(SUBSTITUTE(B72,_xlpm.d,"")),_xlpm.ex,LEN(B72)/16,SUM((_xlpm.c-_xlpm.ex)^2/_xlpm.ex))))</f>
        <v/>
      </c>
      <c r="CF72" s="37" t="str">
        <f>IF(CE72="","",_xlfn.CHISQ.DIST.RT(CE72,15))</f>
        <v/>
      </c>
      <c r="CG72" s="9" t="str" cm="1">
        <f t="array" ref="CG72">IF(OR(B72="",B71=""),"",_xlfn.LET(_xlpm.a,C72,_xlpm.b,REPT("0",A72-LEN(C71))&amp;C71,_xlpm.m,MID(_xlpm.a,_xlfn.SEQUENCE(A72),1)=MID(_xlpm.b,_xlfn.SEQUENCE(A72),1),IFERROR(MATCH(FALSE,_xlpm.m,0)-1,A72)))</f>
        <v/>
      </c>
      <c r="CH72" s="9" t="str" cm="1">
        <f t="array" ref="CH72">IF(OR(B72="",B71=""),"",_xlfn.LET(_xlpm.a,C72,_xlpm.b,REPT("0",A72-LEN(C71))&amp;C71,_xlpm.n,A72,_xlpm.m,MID(_xlpm.a,_xlfn.SEQUENCE(_xlpm.n,,_xlpm.n,-1),1)=MID(_xlpm.b,_xlfn.SEQUENCE(_xlpm.n,,_xlpm.n,-1),1),IFERROR(MATCH(FALSE,_xlpm.m,0)-1,_xlpm.n)))</f>
        <v/>
      </c>
      <c r="CI72" s="38" t="str">
        <f>IF(OR(B72="",B71=""),"",F72-F71)</f>
        <v/>
      </c>
      <c r="CJ72" s="5" t="str">
        <f>IF(OR(B72="",B71=""),"",IFERROR(FIND(B71,B72)&gt;0,FALSE))</f>
        <v/>
      </c>
      <c r="CK72" s="5" t="str">
        <f>IF(OR(B72="",B71=""),"",IFERROR(FIND(C71,C72)&gt;0,FALSE))</f>
        <v/>
      </c>
      <c r="CL72" s="9" t="str">
        <f>IF(OR(B72="",B71=""),"",IFERROR(FIND(C71,C72),""))</f>
        <v/>
      </c>
      <c r="CM72" s="6" t="str" cm="1">
        <f t="array" ref="CM72">IF(OR(B72="",B71=""),"",_xlfn.LET(_xlpm.pv,D71,_xlpm.ra,BIGSUB(D72,_xlpm.pv),_xlpm.rb,BIGSUB(_xlpm.ra,_xlpm.pv),_xlpm.rc,BIGSUB(_xlpm.rb,_xlpm.pv),IF(LEFT(_xlpm.rb,1)="-",_xlpm.ra,IF(LEFT(_xlpm.rc,1)="-",_xlpm.rb,_xlpm.rc))))</f>
        <v/>
      </c>
      <c r="CN72" s="38" t="str">
        <f>IF(B72="","",F72-0.5)</f>
        <v/>
      </c>
      <c r="CO72" s="15" t="str" cm="1">
        <f t="array" ref="CO72">IF(B72="","",_xlfn.TEXTJOIN("",,MID(B72,_xlfn.SEQUENCE(LEN(B72),,LEN(B72),-1),1)))</f>
        <v/>
      </c>
      <c r="CP72" s="6" t="str" cm="1">
        <f t="array" ref="CP72">IF(B72="","",BASE2DEC(CO72,16))</f>
        <v/>
      </c>
      <c r="CQ72" s="5" t="str">
        <f>IF(B72="","",IF(AND(LEN(B72)&lt;16,LEN(B72)=LEN(SUBSTITUTE(SUBSTITUTE(SUBSTITUTE(SUBSTITUTE(SUBSTITUTE(SUBSTITUTE(B72,"a",""),"b",""),"c",""),"d",""),"e",""),"f",""))),--B72,""))</f>
        <v/>
      </c>
      <c r="CR72" s="6" t="str" cm="1">
        <f t="array" ref="CR72">IF(B72="","",IF(LEN(D72)&lt;=15,BASE2DEC(D72,16),""))</f>
        <v/>
      </c>
      <c r="CS72" s="15" t="str" cm="1">
        <f t="array" ref="CS72">IF(B72="","",_xlfn.LET(_xlpm.p,REPT("0",MOD(-LEN(B72),4))&amp;B72,_xlfn.TEXTJOIN(" ",,MID(_xlpm.p,_xlfn.SEQUENCE(LEN(_xlpm.p)/4,,1,4),4))))</f>
        <v/>
      </c>
      <c r="CT72" s="15" t="str" cm="1">
        <f t="array" ref="CT72">IF(B72="","",UPPER(_xlfn.LET(_xlpm.p,REPT("0",64-LEN(B72))&amp;B72,_xlfn.TEXTJOIN(" ",,MID(_xlpm.p,_xlfn.SEQUENCE(8,,1,8),8)))))</f>
        <v/>
      </c>
      <c r="CU72" s="6" t="str" cm="1">
        <f t="array" ref="CU72">IF(B72="","",IF(LEN(D72)&lt;=6,_xlfn.LET(_xlpm.n,VALUE(D72)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2" s="39" t="s">
        <v>888</v>
      </c>
      <c r="CW72" s="39" t="s">
        <v>888</v>
      </c>
      <c r="CX72" s="39" t="s">
        <v>888</v>
      </c>
      <c r="CY72" s="7" t="s">
        <v>888</v>
      </c>
      <c r="CZ72" s="39" t="s">
        <v>888</v>
      </c>
      <c r="DA72" s="39" t="s">
        <v>888</v>
      </c>
      <c r="DB72" s="39" t="s">
        <v>888</v>
      </c>
      <c r="DC72" s="7" t="s">
        <v>888</v>
      </c>
      <c r="DD72" s="7" t="s">
        <v>888</v>
      </c>
      <c r="DE72" s="7" t="s">
        <v>888</v>
      </c>
      <c r="DF72" s="7" t="s">
        <v>888</v>
      </c>
      <c r="DG72" s="7" t="s">
        <v>888</v>
      </c>
      <c r="DH72" s="39" t="s">
        <v>888</v>
      </c>
      <c r="DI72" s="7" t="s">
        <v>888</v>
      </c>
      <c r="DJ72" s="7" t="s">
        <v>888</v>
      </c>
      <c r="DK72" s="7" t="s">
        <v>888</v>
      </c>
      <c r="DL72" s="7" t="s">
        <v>888</v>
      </c>
      <c r="DM72" s="7" t="s">
        <v>888</v>
      </c>
      <c r="DN72" s="7" t="s">
        <v>888</v>
      </c>
      <c r="DO72" s="7" t="s">
        <v>888</v>
      </c>
      <c r="DP72" s="7" t="s">
        <v>888</v>
      </c>
      <c r="DQ72" s="7" t="s">
        <v>888</v>
      </c>
      <c r="DR72" s="7" t="s">
        <v>888</v>
      </c>
      <c r="DS72" s="7" t="s">
        <v>888</v>
      </c>
      <c r="DT72" s="15" t="str" cm="1">
        <f t="array" ref="DT72">IF(B72="","",_xlfn.TEXTJOIN("",,HEX2BIN(MID(BQ72,_xlfn.SEQUENCE(40),1),4)))</f>
        <v/>
      </c>
    </row>
    <row r="73" spans="1:124" x14ac:dyDescent="0.25">
      <c r="A73" s="9">
        <v>72</v>
      </c>
      <c r="B73" s="15" t="s">
        <v>888</v>
      </c>
      <c r="C73" s="15" t="s">
        <v>888</v>
      </c>
      <c r="D73" s="6" t="s">
        <v>888</v>
      </c>
      <c r="E73" s="6" t="s">
        <v>888</v>
      </c>
      <c r="F73" s="10" t="s">
        <v>888</v>
      </c>
      <c r="G73" s="9" t="s">
        <v>888</v>
      </c>
      <c r="H73" s="9" t="s">
        <v>888</v>
      </c>
      <c r="I73" s="15" t="s">
        <v>888</v>
      </c>
      <c r="J73" s="9" t="s">
        <v>888</v>
      </c>
      <c r="K73" s="15" t="s">
        <v>888</v>
      </c>
      <c r="L73" s="15" t="s">
        <v>888</v>
      </c>
      <c r="M73" s="15" t="s">
        <v>888</v>
      </c>
      <c r="N73" s="15" t="s">
        <v>888</v>
      </c>
      <c r="O73" s="6" t="s">
        <v>888</v>
      </c>
      <c r="P73" s="15" t="s">
        <v>888</v>
      </c>
      <c r="Q73" s="15" t="s">
        <v>888</v>
      </c>
      <c r="R73" s="6" t="s">
        <v>888</v>
      </c>
      <c r="S73" s="15" t="s">
        <v>888</v>
      </c>
      <c r="T73" s="11" t="s">
        <v>888</v>
      </c>
      <c r="U73" s="10" t="s">
        <v>888</v>
      </c>
      <c r="V73" s="7" t="s">
        <v>888</v>
      </c>
      <c r="W73" s="7" t="s">
        <v>888</v>
      </c>
      <c r="X73" s="7" t="s">
        <v>888</v>
      </c>
      <c r="Y73" s="15" t="s">
        <v>888</v>
      </c>
      <c r="Z73" s="9" t="s">
        <v>888</v>
      </c>
      <c r="AA73" s="9" t="s">
        <v>888</v>
      </c>
      <c r="AB73" s="9" t="s">
        <v>888</v>
      </c>
      <c r="AC73" s="13" t="s">
        <v>888</v>
      </c>
      <c r="AD73" s="13" t="s">
        <v>888</v>
      </c>
      <c r="AE73" s="9" t="s">
        <v>888</v>
      </c>
      <c r="AF73" s="9" t="s">
        <v>888</v>
      </c>
      <c r="AG73" s="9" t="s">
        <v>888</v>
      </c>
      <c r="AH73" s="6" t="s">
        <v>888</v>
      </c>
      <c r="AI73" s="10" t="s">
        <v>888</v>
      </c>
      <c r="AJ73" s="10" t="s">
        <v>888</v>
      </c>
      <c r="AK73" s="15" t="s">
        <v>888</v>
      </c>
      <c r="AL73" s="15" t="s">
        <v>888</v>
      </c>
      <c r="AM73" s="15" t="s">
        <v>888</v>
      </c>
      <c r="AN73" s="9" t="s">
        <v>888</v>
      </c>
      <c r="AO73" s="9" t="s">
        <v>888</v>
      </c>
      <c r="AP73" s="9" t="s">
        <v>888</v>
      </c>
      <c r="AQ73" s="15" t="s">
        <v>888</v>
      </c>
      <c r="AR73" s="9" t="s">
        <v>888</v>
      </c>
      <c r="AS73" s="6" t="s">
        <v>888</v>
      </c>
      <c r="AT73" s="15" t="s">
        <v>888</v>
      </c>
      <c r="AU73" s="9" t="s">
        <v>888</v>
      </c>
      <c r="AV73" s="9" t="s">
        <v>888</v>
      </c>
      <c r="AW73" s="9" t="s">
        <v>888</v>
      </c>
      <c r="AX73" s="9" t="s">
        <v>888</v>
      </c>
      <c r="AY73" s="9" t="s">
        <v>888</v>
      </c>
      <c r="AZ73" s="9" t="s">
        <v>888</v>
      </c>
      <c r="BA73" s="6" t="s">
        <v>888</v>
      </c>
      <c r="BB73" s="6" t="s">
        <v>888</v>
      </c>
      <c r="BC73" s="6" t="s">
        <v>888</v>
      </c>
      <c r="BD73" s="15" t="s">
        <v>888</v>
      </c>
      <c r="BE73" s="15" t="s">
        <v>888</v>
      </c>
      <c r="BF73" s="15" t="s">
        <v>888</v>
      </c>
      <c r="BG73" s="15" t="s">
        <v>888</v>
      </c>
      <c r="BH73" s="6" t="s">
        <v>888</v>
      </c>
      <c r="BI73" s="17" t="s">
        <v>888</v>
      </c>
      <c r="BJ73" s="7" t="s">
        <v>888</v>
      </c>
      <c r="BK73" s="7" t="s">
        <v>888</v>
      </c>
      <c r="BL73" s="7" t="s">
        <v>888</v>
      </c>
      <c r="BM73" s="16" t="s">
        <v>888</v>
      </c>
      <c r="BN73" s="16" t="s">
        <v>888</v>
      </c>
      <c r="BO73" s="16" t="s">
        <v>888</v>
      </c>
      <c r="BP73" s="16" t="s">
        <v>888</v>
      </c>
      <c r="BQ73" s="16" t="s">
        <v>888</v>
      </c>
      <c r="BR73" s="7" t="s">
        <v>888</v>
      </c>
      <c r="BS73" s="7" t="s">
        <v>888</v>
      </c>
      <c r="BT73" s="7" t="s">
        <v>888</v>
      </c>
      <c r="BU73" s="14" t="s">
        <v>888</v>
      </c>
      <c r="BV73" s="15" t="s">
        <v>888</v>
      </c>
      <c r="BW73" s="9" t="s">
        <v>888</v>
      </c>
      <c r="BX73" s="9" t="s">
        <v>888</v>
      </c>
      <c r="BY73" s="13" t="s">
        <v>888</v>
      </c>
      <c r="BZ73" s="13" t="s">
        <v>888</v>
      </c>
      <c r="CA73" s="12" t="str">
        <f>IF(B73="","",IF(A73&lt;8,"",_xlfn.LET(_xlpm.n,A73,_xlpm.k,G73,_xlpm.R,AP73,_xlpm.mu,1+2*_xlpm.k*(_xlpm.n-_xlpm.k)/_xlpm.n,_xlpm.v,2*_xlpm.k*(_xlpm.n-_xlpm.k)*(2*_xlpm.k*(_xlpm.n-_xlpm.k)-_xlpm.n)/(_xlpm.n^2*(_xlpm.n-1)),IF(_xlpm.v&lt;=0,"",(_xlpm.R-_xlpm.mu)/SQRT(_xlpm.v)))))</f>
        <v/>
      </c>
      <c r="CB73" s="37" t="str" cm="1">
        <f t="array" ref="CB73">IF(B73="","",IF(A73&lt;8,"",_xlfn.LET(_xlpm.b,--MID(C73,_xlfn.SEQUENCE(A73-1),1),_xlpm.c,--MID(C73,_xlfn.SEQUENCE(A73-1,,2),1),IFERROR(CORREL(_xlpm.b,_xlpm.c),""))))</f>
        <v/>
      </c>
      <c r="CC73" s="8" t="str">
        <f>IF(B73="","",LOG(A73,2))</f>
        <v/>
      </c>
      <c r="CD73" s="8" t="str">
        <f>IF(B73="","",MAX(AN73,AO73)-CC73)</f>
        <v/>
      </c>
      <c r="CE73" s="8" t="str" cm="1">
        <f t="array" ref="CE73">IF(B73="","",IF(LEN(B73)&lt;16,"",_xlfn.LET(_xlpm.d,MID("0123456789abcdef",_xlfn.SEQUENCE(16),1),_xlpm.c,LEN(B73)-LEN(SUBSTITUTE(B73,_xlpm.d,"")),_xlpm.ex,LEN(B73)/16,SUM((_xlpm.c-_xlpm.ex)^2/_xlpm.ex))))</f>
        <v/>
      </c>
      <c r="CF73" s="37" t="str">
        <f>IF(CE73="","",_xlfn.CHISQ.DIST.RT(CE73,15))</f>
        <v/>
      </c>
      <c r="CG73" s="9" t="str" cm="1">
        <f t="array" ref="CG73">IF(OR(B73="",B72=""),"",_xlfn.LET(_xlpm.a,C73,_xlpm.b,REPT("0",A73-LEN(C72))&amp;C72,_xlpm.m,MID(_xlpm.a,_xlfn.SEQUENCE(A73),1)=MID(_xlpm.b,_xlfn.SEQUENCE(A73),1),IFERROR(MATCH(FALSE,_xlpm.m,0)-1,A73)))</f>
        <v/>
      </c>
      <c r="CH73" s="9" t="str" cm="1">
        <f t="array" ref="CH73">IF(OR(B73="",B72=""),"",_xlfn.LET(_xlpm.a,C73,_xlpm.b,REPT("0",A73-LEN(C72))&amp;C72,_xlpm.n,A73,_xlpm.m,MID(_xlpm.a,_xlfn.SEQUENCE(_xlpm.n,,_xlpm.n,-1),1)=MID(_xlpm.b,_xlfn.SEQUENCE(_xlpm.n,,_xlpm.n,-1),1),IFERROR(MATCH(FALSE,_xlpm.m,0)-1,_xlpm.n)))</f>
        <v/>
      </c>
      <c r="CI73" s="38" t="str">
        <f>IF(OR(B73="",B72=""),"",F73-F72)</f>
        <v/>
      </c>
      <c r="CJ73" s="5" t="str">
        <f>IF(OR(B73="",B72=""),"",IFERROR(FIND(B72,B73)&gt;0,FALSE))</f>
        <v/>
      </c>
      <c r="CK73" s="5" t="str">
        <f>IF(OR(B73="",B72=""),"",IFERROR(FIND(C72,C73)&gt;0,FALSE))</f>
        <v/>
      </c>
      <c r="CL73" s="9" t="str">
        <f>IF(OR(B73="",B72=""),"",IFERROR(FIND(C72,C73),""))</f>
        <v/>
      </c>
      <c r="CM73" s="6" t="str" cm="1">
        <f t="array" ref="CM73">IF(OR(B73="",B72=""),"",_xlfn.LET(_xlpm.pv,D72,_xlpm.ra,BIGSUB(D73,_xlpm.pv),_xlpm.rb,BIGSUB(_xlpm.ra,_xlpm.pv),_xlpm.rc,BIGSUB(_xlpm.rb,_xlpm.pv),IF(LEFT(_xlpm.rb,1)="-",_xlpm.ra,IF(LEFT(_xlpm.rc,1)="-",_xlpm.rb,_xlpm.rc))))</f>
        <v/>
      </c>
      <c r="CN73" s="38" t="str">
        <f>IF(B73="","",F73-0.5)</f>
        <v/>
      </c>
      <c r="CO73" s="15" t="str" cm="1">
        <f t="array" ref="CO73">IF(B73="","",_xlfn.TEXTJOIN("",,MID(B73,_xlfn.SEQUENCE(LEN(B73),,LEN(B73),-1),1)))</f>
        <v/>
      </c>
      <c r="CP73" s="6" t="str" cm="1">
        <f t="array" ref="CP73">IF(B73="","",BASE2DEC(CO73,16))</f>
        <v/>
      </c>
      <c r="CQ73" s="5" t="str">
        <f>IF(B73="","",IF(AND(LEN(B73)&lt;16,LEN(B73)=LEN(SUBSTITUTE(SUBSTITUTE(SUBSTITUTE(SUBSTITUTE(SUBSTITUTE(SUBSTITUTE(B73,"a",""),"b",""),"c",""),"d",""),"e",""),"f",""))),--B73,""))</f>
        <v/>
      </c>
      <c r="CR73" s="6" t="str" cm="1">
        <f t="array" ref="CR73">IF(B73="","",IF(LEN(D73)&lt;=15,BASE2DEC(D73,16),""))</f>
        <v/>
      </c>
      <c r="CS73" s="15" t="str" cm="1">
        <f t="array" ref="CS73">IF(B73="","",_xlfn.LET(_xlpm.p,REPT("0",MOD(-LEN(B73),4))&amp;B73,_xlfn.TEXTJOIN(" ",,MID(_xlpm.p,_xlfn.SEQUENCE(LEN(_xlpm.p)/4,,1,4),4))))</f>
        <v/>
      </c>
      <c r="CT73" s="15" t="str" cm="1">
        <f t="array" ref="CT73">IF(B73="","",UPPER(_xlfn.LET(_xlpm.p,REPT("0",64-LEN(B73))&amp;B73,_xlfn.TEXTJOIN(" ",,MID(_xlpm.p,_xlfn.SEQUENCE(8,,1,8),8)))))</f>
        <v/>
      </c>
      <c r="CU73" s="6" t="str" cm="1">
        <f t="array" ref="CU73">IF(B73="","",IF(LEN(D73)&lt;=6,_xlfn.LET(_xlpm.n,VALUE(D73)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3" s="39" t="s">
        <v>888</v>
      </c>
      <c r="CW73" s="39" t="s">
        <v>888</v>
      </c>
      <c r="CX73" s="39" t="s">
        <v>888</v>
      </c>
      <c r="CY73" s="7" t="s">
        <v>888</v>
      </c>
      <c r="CZ73" s="39" t="s">
        <v>888</v>
      </c>
      <c r="DA73" s="39" t="s">
        <v>888</v>
      </c>
      <c r="DB73" s="39" t="s">
        <v>888</v>
      </c>
      <c r="DC73" s="7" t="s">
        <v>888</v>
      </c>
      <c r="DD73" s="7" t="s">
        <v>888</v>
      </c>
      <c r="DE73" s="7" t="s">
        <v>888</v>
      </c>
      <c r="DF73" s="7" t="s">
        <v>888</v>
      </c>
      <c r="DG73" s="7" t="s">
        <v>888</v>
      </c>
      <c r="DH73" s="39" t="s">
        <v>888</v>
      </c>
      <c r="DI73" s="7" t="s">
        <v>888</v>
      </c>
      <c r="DJ73" s="7" t="s">
        <v>888</v>
      </c>
      <c r="DK73" s="7" t="s">
        <v>888</v>
      </c>
      <c r="DL73" s="7" t="s">
        <v>888</v>
      </c>
      <c r="DM73" s="7" t="s">
        <v>888</v>
      </c>
      <c r="DN73" s="7" t="s">
        <v>888</v>
      </c>
      <c r="DO73" s="7" t="s">
        <v>888</v>
      </c>
      <c r="DP73" s="7" t="s">
        <v>888</v>
      </c>
      <c r="DQ73" s="7" t="s">
        <v>888</v>
      </c>
      <c r="DR73" s="7" t="s">
        <v>888</v>
      </c>
      <c r="DS73" s="7" t="s">
        <v>888</v>
      </c>
      <c r="DT73" s="15" t="str" cm="1">
        <f t="array" ref="DT73">IF(B73="","",_xlfn.TEXTJOIN("",,HEX2BIN(MID(BQ73,_xlfn.SEQUENCE(40),1),4)))</f>
        <v/>
      </c>
    </row>
    <row r="74" spans="1:124" x14ac:dyDescent="0.25">
      <c r="A74" s="9">
        <v>73</v>
      </c>
      <c r="B74" s="15" t="s">
        <v>888</v>
      </c>
      <c r="C74" s="15" t="s">
        <v>888</v>
      </c>
      <c r="D74" s="6" t="s">
        <v>888</v>
      </c>
      <c r="E74" s="6" t="s">
        <v>888</v>
      </c>
      <c r="F74" s="10" t="s">
        <v>888</v>
      </c>
      <c r="G74" s="9" t="s">
        <v>888</v>
      </c>
      <c r="H74" s="9" t="s">
        <v>888</v>
      </c>
      <c r="I74" s="15" t="s">
        <v>888</v>
      </c>
      <c r="J74" s="9" t="s">
        <v>888</v>
      </c>
      <c r="K74" s="15" t="s">
        <v>888</v>
      </c>
      <c r="L74" s="15" t="s">
        <v>888</v>
      </c>
      <c r="M74" s="15" t="s">
        <v>888</v>
      </c>
      <c r="N74" s="15" t="s">
        <v>888</v>
      </c>
      <c r="O74" s="6" t="s">
        <v>888</v>
      </c>
      <c r="P74" s="15" t="s">
        <v>888</v>
      </c>
      <c r="Q74" s="15" t="s">
        <v>888</v>
      </c>
      <c r="R74" s="6" t="s">
        <v>888</v>
      </c>
      <c r="S74" s="15" t="s">
        <v>888</v>
      </c>
      <c r="T74" s="11" t="s">
        <v>888</v>
      </c>
      <c r="U74" s="10" t="s">
        <v>888</v>
      </c>
      <c r="V74" s="7" t="s">
        <v>888</v>
      </c>
      <c r="W74" s="7" t="s">
        <v>888</v>
      </c>
      <c r="X74" s="7" t="s">
        <v>888</v>
      </c>
      <c r="Y74" s="15" t="s">
        <v>888</v>
      </c>
      <c r="Z74" s="9" t="s">
        <v>888</v>
      </c>
      <c r="AA74" s="9" t="s">
        <v>888</v>
      </c>
      <c r="AB74" s="9" t="s">
        <v>888</v>
      </c>
      <c r="AC74" s="13" t="s">
        <v>888</v>
      </c>
      <c r="AD74" s="13" t="s">
        <v>888</v>
      </c>
      <c r="AE74" s="9" t="s">
        <v>888</v>
      </c>
      <c r="AF74" s="9" t="s">
        <v>888</v>
      </c>
      <c r="AG74" s="9" t="s">
        <v>888</v>
      </c>
      <c r="AH74" s="6" t="s">
        <v>888</v>
      </c>
      <c r="AI74" s="10" t="s">
        <v>888</v>
      </c>
      <c r="AJ74" s="10" t="s">
        <v>888</v>
      </c>
      <c r="AK74" s="15" t="s">
        <v>888</v>
      </c>
      <c r="AL74" s="15" t="s">
        <v>888</v>
      </c>
      <c r="AM74" s="15" t="s">
        <v>888</v>
      </c>
      <c r="AN74" s="9" t="s">
        <v>888</v>
      </c>
      <c r="AO74" s="9" t="s">
        <v>888</v>
      </c>
      <c r="AP74" s="9" t="s">
        <v>888</v>
      </c>
      <c r="AQ74" s="15" t="s">
        <v>888</v>
      </c>
      <c r="AR74" s="9" t="s">
        <v>888</v>
      </c>
      <c r="AS74" s="6" t="s">
        <v>888</v>
      </c>
      <c r="AT74" s="15" t="s">
        <v>888</v>
      </c>
      <c r="AU74" s="9" t="s">
        <v>888</v>
      </c>
      <c r="AV74" s="9" t="s">
        <v>888</v>
      </c>
      <c r="AW74" s="9" t="s">
        <v>888</v>
      </c>
      <c r="AX74" s="9" t="s">
        <v>888</v>
      </c>
      <c r="AY74" s="9" t="s">
        <v>888</v>
      </c>
      <c r="AZ74" s="9" t="s">
        <v>888</v>
      </c>
      <c r="BA74" s="6" t="s">
        <v>888</v>
      </c>
      <c r="BB74" s="6" t="s">
        <v>888</v>
      </c>
      <c r="BC74" s="6" t="s">
        <v>888</v>
      </c>
      <c r="BD74" s="15" t="s">
        <v>888</v>
      </c>
      <c r="BE74" s="15" t="s">
        <v>888</v>
      </c>
      <c r="BF74" s="15" t="s">
        <v>888</v>
      </c>
      <c r="BG74" s="15" t="s">
        <v>888</v>
      </c>
      <c r="BH74" s="6" t="s">
        <v>888</v>
      </c>
      <c r="BI74" s="17" t="s">
        <v>888</v>
      </c>
      <c r="BJ74" s="7" t="s">
        <v>888</v>
      </c>
      <c r="BK74" s="7" t="s">
        <v>888</v>
      </c>
      <c r="BL74" s="7" t="s">
        <v>888</v>
      </c>
      <c r="BM74" s="16" t="s">
        <v>888</v>
      </c>
      <c r="BN74" s="16" t="s">
        <v>888</v>
      </c>
      <c r="BO74" s="16" t="s">
        <v>888</v>
      </c>
      <c r="BP74" s="16" t="s">
        <v>888</v>
      </c>
      <c r="BQ74" s="16" t="s">
        <v>888</v>
      </c>
      <c r="BR74" s="7" t="s">
        <v>888</v>
      </c>
      <c r="BS74" s="7" t="s">
        <v>888</v>
      </c>
      <c r="BT74" s="7" t="s">
        <v>888</v>
      </c>
      <c r="BU74" s="14" t="s">
        <v>888</v>
      </c>
      <c r="BV74" s="15" t="s">
        <v>888</v>
      </c>
      <c r="BW74" s="9" t="s">
        <v>888</v>
      </c>
      <c r="BX74" s="9" t="s">
        <v>888</v>
      </c>
      <c r="BY74" s="13" t="s">
        <v>888</v>
      </c>
      <c r="BZ74" s="13" t="s">
        <v>888</v>
      </c>
      <c r="CA74" s="12" t="str">
        <f>IF(B74="","",IF(A74&lt;8,"",_xlfn.LET(_xlpm.n,A74,_xlpm.k,G74,_xlpm.R,AP74,_xlpm.mu,1+2*_xlpm.k*(_xlpm.n-_xlpm.k)/_xlpm.n,_xlpm.v,2*_xlpm.k*(_xlpm.n-_xlpm.k)*(2*_xlpm.k*(_xlpm.n-_xlpm.k)-_xlpm.n)/(_xlpm.n^2*(_xlpm.n-1)),IF(_xlpm.v&lt;=0,"",(_xlpm.R-_xlpm.mu)/SQRT(_xlpm.v)))))</f>
        <v/>
      </c>
      <c r="CB74" s="37" t="str" cm="1">
        <f t="array" ref="CB74">IF(B74="","",IF(A74&lt;8,"",_xlfn.LET(_xlpm.b,--MID(C74,_xlfn.SEQUENCE(A74-1),1),_xlpm.c,--MID(C74,_xlfn.SEQUENCE(A74-1,,2),1),IFERROR(CORREL(_xlpm.b,_xlpm.c),""))))</f>
        <v/>
      </c>
      <c r="CC74" s="8" t="str">
        <f>IF(B74="","",LOG(A74,2))</f>
        <v/>
      </c>
      <c r="CD74" s="8" t="str">
        <f>IF(B74="","",MAX(AN74,AO74)-CC74)</f>
        <v/>
      </c>
      <c r="CE74" s="8" t="str" cm="1">
        <f t="array" ref="CE74">IF(B74="","",IF(LEN(B74)&lt;16,"",_xlfn.LET(_xlpm.d,MID("0123456789abcdef",_xlfn.SEQUENCE(16),1),_xlpm.c,LEN(B74)-LEN(SUBSTITUTE(B74,_xlpm.d,"")),_xlpm.ex,LEN(B74)/16,SUM((_xlpm.c-_xlpm.ex)^2/_xlpm.ex))))</f>
        <v/>
      </c>
      <c r="CF74" s="37" t="str">
        <f>IF(CE74="","",_xlfn.CHISQ.DIST.RT(CE74,15))</f>
        <v/>
      </c>
      <c r="CG74" s="9" t="str" cm="1">
        <f t="array" ref="CG74">IF(OR(B74="",B73=""),"",_xlfn.LET(_xlpm.a,C74,_xlpm.b,REPT("0",A74-LEN(C73))&amp;C73,_xlpm.m,MID(_xlpm.a,_xlfn.SEQUENCE(A74),1)=MID(_xlpm.b,_xlfn.SEQUENCE(A74),1),IFERROR(MATCH(FALSE,_xlpm.m,0)-1,A74)))</f>
        <v/>
      </c>
      <c r="CH74" s="9" t="str" cm="1">
        <f t="array" ref="CH74">IF(OR(B74="",B73=""),"",_xlfn.LET(_xlpm.a,C74,_xlpm.b,REPT("0",A74-LEN(C73))&amp;C73,_xlpm.n,A74,_xlpm.m,MID(_xlpm.a,_xlfn.SEQUENCE(_xlpm.n,,_xlpm.n,-1),1)=MID(_xlpm.b,_xlfn.SEQUENCE(_xlpm.n,,_xlpm.n,-1),1),IFERROR(MATCH(FALSE,_xlpm.m,0)-1,_xlpm.n)))</f>
        <v/>
      </c>
      <c r="CI74" s="38" t="str">
        <f>IF(OR(B74="",B73=""),"",F74-F73)</f>
        <v/>
      </c>
      <c r="CJ74" s="5" t="str">
        <f>IF(OR(B74="",B73=""),"",IFERROR(FIND(B73,B74)&gt;0,FALSE))</f>
        <v/>
      </c>
      <c r="CK74" s="5" t="str">
        <f>IF(OR(B74="",B73=""),"",IFERROR(FIND(C73,C74)&gt;0,FALSE))</f>
        <v/>
      </c>
      <c r="CL74" s="9" t="str">
        <f>IF(OR(B74="",B73=""),"",IFERROR(FIND(C73,C74),""))</f>
        <v/>
      </c>
      <c r="CM74" s="6" t="str" cm="1">
        <f t="array" ref="CM74">IF(OR(B74="",B73=""),"",_xlfn.LET(_xlpm.pv,D73,_xlpm.ra,BIGSUB(D74,_xlpm.pv),_xlpm.rb,BIGSUB(_xlpm.ra,_xlpm.pv),_xlpm.rc,BIGSUB(_xlpm.rb,_xlpm.pv),IF(LEFT(_xlpm.rb,1)="-",_xlpm.ra,IF(LEFT(_xlpm.rc,1)="-",_xlpm.rb,_xlpm.rc))))</f>
        <v/>
      </c>
      <c r="CN74" s="38" t="str">
        <f>IF(B74="","",F74-0.5)</f>
        <v/>
      </c>
      <c r="CO74" s="15" t="str" cm="1">
        <f t="array" ref="CO74">IF(B74="","",_xlfn.TEXTJOIN("",,MID(B74,_xlfn.SEQUENCE(LEN(B74),,LEN(B74),-1),1)))</f>
        <v/>
      </c>
      <c r="CP74" s="6" t="str" cm="1">
        <f t="array" ref="CP74">IF(B74="","",BASE2DEC(CO74,16))</f>
        <v/>
      </c>
      <c r="CQ74" s="5" t="str">
        <f>IF(B74="","",IF(AND(LEN(B74)&lt;16,LEN(B74)=LEN(SUBSTITUTE(SUBSTITUTE(SUBSTITUTE(SUBSTITUTE(SUBSTITUTE(SUBSTITUTE(B74,"a",""),"b",""),"c",""),"d",""),"e",""),"f",""))),--B74,""))</f>
        <v/>
      </c>
      <c r="CR74" s="6" t="str" cm="1">
        <f t="array" ref="CR74">IF(B74="","",IF(LEN(D74)&lt;=15,BASE2DEC(D74,16),""))</f>
        <v/>
      </c>
      <c r="CS74" s="15" t="str" cm="1">
        <f t="array" ref="CS74">IF(B74="","",_xlfn.LET(_xlpm.p,REPT("0",MOD(-LEN(B74),4))&amp;B74,_xlfn.TEXTJOIN(" ",,MID(_xlpm.p,_xlfn.SEQUENCE(LEN(_xlpm.p)/4,,1,4),4))))</f>
        <v/>
      </c>
      <c r="CT74" s="15" t="str" cm="1">
        <f t="array" ref="CT74">IF(B74="","",UPPER(_xlfn.LET(_xlpm.p,REPT("0",64-LEN(B74))&amp;B74,_xlfn.TEXTJOIN(" ",,MID(_xlpm.p,_xlfn.SEQUENCE(8,,1,8),8)))))</f>
        <v/>
      </c>
      <c r="CU74" s="6" t="str" cm="1">
        <f t="array" ref="CU74">IF(B74="","",IF(LEN(D74)&lt;=6,_xlfn.LET(_xlpm.n,VALUE(D74)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4" s="39" t="s">
        <v>888</v>
      </c>
      <c r="CW74" s="39" t="s">
        <v>888</v>
      </c>
      <c r="CX74" s="39" t="s">
        <v>888</v>
      </c>
      <c r="CY74" s="7" t="s">
        <v>888</v>
      </c>
      <c r="CZ74" s="39" t="s">
        <v>888</v>
      </c>
      <c r="DA74" s="39" t="s">
        <v>888</v>
      </c>
      <c r="DB74" s="39" t="s">
        <v>888</v>
      </c>
      <c r="DC74" s="7" t="s">
        <v>888</v>
      </c>
      <c r="DD74" s="7" t="s">
        <v>888</v>
      </c>
      <c r="DE74" s="7" t="s">
        <v>888</v>
      </c>
      <c r="DF74" s="7" t="s">
        <v>888</v>
      </c>
      <c r="DG74" s="7" t="s">
        <v>888</v>
      </c>
      <c r="DH74" s="39" t="s">
        <v>888</v>
      </c>
      <c r="DI74" s="7" t="s">
        <v>888</v>
      </c>
      <c r="DJ74" s="7" t="s">
        <v>888</v>
      </c>
      <c r="DK74" s="7" t="s">
        <v>888</v>
      </c>
      <c r="DL74" s="7" t="s">
        <v>888</v>
      </c>
      <c r="DM74" s="7" t="s">
        <v>888</v>
      </c>
      <c r="DN74" s="7" t="s">
        <v>888</v>
      </c>
      <c r="DO74" s="7" t="s">
        <v>888</v>
      </c>
      <c r="DP74" s="7" t="s">
        <v>888</v>
      </c>
      <c r="DQ74" s="7" t="s">
        <v>888</v>
      </c>
      <c r="DR74" s="7" t="s">
        <v>888</v>
      </c>
      <c r="DS74" s="7" t="s">
        <v>888</v>
      </c>
      <c r="DT74" s="15" t="str" cm="1">
        <f t="array" ref="DT74">IF(B74="","",_xlfn.TEXTJOIN("",,HEX2BIN(MID(BQ74,_xlfn.SEQUENCE(40),1),4)))</f>
        <v/>
      </c>
    </row>
    <row r="75" spans="1:124" x14ac:dyDescent="0.25">
      <c r="A75" s="9">
        <v>74</v>
      </c>
      <c r="B75" s="15" t="s">
        <v>888</v>
      </c>
      <c r="C75" s="15" t="s">
        <v>888</v>
      </c>
      <c r="D75" s="6" t="s">
        <v>888</v>
      </c>
      <c r="E75" s="6" t="s">
        <v>888</v>
      </c>
      <c r="F75" s="10" t="s">
        <v>888</v>
      </c>
      <c r="G75" s="9" t="s">
        <v>888</v>
      </c>
      <c r="H75" s="9" t="s">
        <v>888</v>
      </c>
      <c r="I75" s="15" t="s">
        <v>888</v>
      </c>
      <c r="J75" s="9" t="s">
        <v>888</v>
      </c>
      <c r="K75" s="15" t="s">
        <v>888</v>
      </c>
      <c r="L75" s="15" t="s">
        <v>888</v>
      </c>
      <c r="M75" s="15" t="s">
        <v>888</v>
      </c>
      <c r="N75" s="15" t="s">
        <v>888</v>
      </c>
      <c r="O75" s="6" t="s">
        <v>888</v>
      </c>
      <c r="P75" s="15" t="s">
        <v>888</v>
      </c>
      <c r="Q75" s="15" t="s">
        <v>888</v>
      </c>
      <c r="R75" s="6" t="s">
        <v>888</v>
      </c>
      <c r="S75" s="15" t="s">
        <v>888</v>
      </c>
      <c r="T75" s="11" t="s">
        <v>888</v>
      </c>
      <c r="U75" s="10" t="s">
        <v>888</v>
      </c>
      <c r="V75" s="7" t="s">
        <v>888</v>
      </c>
      <c r="W75" s="7" t="s">
        <v>888</v>
      </c>
      <c r="X75" s="7" t="s">
        <v>888</v>
      </c>
      <c r="Y75" s="15" t="s">
        <v>888</v>
      </c>
      <c r="Z75" s="9" t="s">
        <v>888</v>
      </c>
      <c r="AA75" s="9" t="s">
        <v>888</v>
      </c>
      <c r="AB75" s="9" t="s">
        <v>888</v>
      </c>
      <c r="AC75" s="13" t="s">
        <v>888</v>
      </c>
      <c r="AD75" s="13" t="s">
        <v>888</v>
      </c>
      <c r="AE75" s="9" t="s">
        <v>888</v>
      </c>
      <c r="AF75" s="9" t="s">
        <v>888</v>
      </c>
      <c r="AG75" s="9" t="s">
        <v>888</v>
      </c>
      <c r="AH75" s="6" t="s">
        <v>888</v>
      </c>
      <c r="AI75" s="10" t="s">
        <v>888</v>
      </c>
      <c r="AJ75" s="10" t="s">
        <v>888</v>
      </c>
      <c r="AK75" s="15" t="s">
        <v>888</v>
      </c>
      <c r="AL75" s="15" t="s">
        <v>888</v>
      </c>
      <c r="AM75" s="15" t="s">
        <v>888</v>
      </c>
      <c r="AN75" s="9" t="s">
        <v>888</v>
      </c>
      <c r="AO75" s="9" t="s">
        <v>888</v>
      </c>
      <c r="AP75" s="9" t="s">
        <v>888</v>
      </c>
      <c r="AQ75" s="15" t="s">
        <v>888</v>
      </c>
      <c r="AR75" s="9" t="s">
        <v>888</v>
      </c>
      <c r="AS75" s="6" t="s">
        <v>888</v>
      </c>
      <c r="AT75" s="15" t="s">
        <v>888</v>
      </c>
      <c r="AU75" s="9" t="s">
        <v>888</v>
      </c>
      <c r="AV75" s="9" t="s">
        <v>888</v>
      </c>
      <c r="AW75" s="9" t="s">
        <v>888</v>
      </c>
      <c r="AX75" s="9" t="s">
        <v>888</v>
      </c>
      <c r="AY75" s="9" t="s">
        <v>888</v>
      </c>
      <c r="AZ75" s="9" t="s">
        <v>888</v>
      </c>
      <c r="BA75" s="6" t="s">
        <v>888</v>
      </c>
      <c r="BB75" s="6" t="s">
        <v>888</v>
      </c>
      <c r="BC75" s="6" t="s">
        <v>888</v>
      </c>
      <c r="BD75" s="15" t="s">
        <v>888</v>
      </c>
      <c r="BE75" s="15" t="s">
        <v>888</v>
      </c>
      <c r="BF75" s="15" t="s">
        <v>888</v>
      </c>
      <c r="BG75" s="15" t="s">
        <v>888</v>
      </c>
      <c r="BH75" s="6" t="s">
        <v>888</v>
      </c>
      <c r="BI75" s="17" t="s">
        <v>888</v>
      </c>
      <c r="BJ75" s="7" t="s">
        <v>888</v>
      </c>
      <c r="BK75" s="7" t="s">
        <v>888</v>
      </c>
      <c r="BL75" s="7" t="s">
        <v>888</v>
      </c>
      <c r="BM75" s="16" t="s">
        <v>888</v>
      </c>
      <c r="BN75" s="16" t="s">
        <v>888</v>
      </c>
      <c r="BO75" s="16" t="s">
        <v>888</v>
      </c>
      <c r="BP75" s="16" t="s">
        <v>888</v>
      </c>
      <c r="BQ75" s="16" t="s">
        <v>888</v>
      </c>
      <c r="BR75" s="7" t="s">
        <v>888</v>
      </c>
      <c r="BS75" s="7" t="s">
        <v>888</v>
      </c>
      <c r="BT75" s="7" t="s">
        <v>888</v>
      </c>
      <c r="BU75" s="14" t="s">
        <v>888</v>
      </c>
      <c r="BV75" s="15" t="s">
        <v>888</v>
      </c>
      <c r="BW75" s="9" t="s">
        <v>888</v>
      </c>
      <c r="BX75" s="9" t="s">
        <v>888</v>
      </c>
      <c r="BY75" s="13" t="s">
        <v>888</v>
      </c>
      <c r="BZ75" s="13" t="s">
        <v>888</v>
      </c>
      <c r="CA75" s="12" t="str">
        <f>IF(B75="","",IF(A75&lt;8,"",_xlfn.LET(_xlpm.n,A75,_xlpm.k,G75,_xlpm.R,AP75,_xlpm.mu,1+2*_xlpm.k*(_xlpm.n-_xlpm.k)/_xlpm.n,_xlpm.v,2*_xlpm.k*(_xlpm.n-_xlpm.k)*(2*_xlpm.k*(_xlpm.n-_xlpm.k)-_xlpm.n)/(_xlpm.n^2*(_xlpm.n-1)),IF(_xlpm.v&lt;=0,"",(_xlpm.R-_xlpm.mu)/SQRT(_xlpm.v)))))</f>
        <v/>
      </c>
      <c r="CB75" s="37" t="str" cm="1">
        <f t="array" ref="CB75">IF(B75="","",IF(A75&lt;8,"",_xlfn.LET(_xlpm.b,--MID(C75,_xlfn.SEQUENCE(A75-1),1),_xlpm.c,--MID(C75,_xlfn.SEQUENCE(A75-1,,2),1),IFERROR(CORREL(_xlpm.b,_xlpm.c),""))))</f>
        <v/>
      </c>
      <c r="CC75" s="8" t="str">
        <f>IF(B75="","",LOG(A75,2))</f>
        <v/>
      </c>
      <c r="CD75" s="8" t="str">
        <f>IF(B75="","",MAX(AN75,AO75)-CC75)</f>
        <v/>
      </c>
      <c r="CE75" s="8" t="str" cm="1">
        <f t="array" ref="CE75">IF(B75="","",IF(LEN(B75)&lt;16,"",_xlfn.LET(_xlpm.d,MID("0123456789abcdef",_xlfn.SEQUENCE(16),1),_xlpm.c,LEN(B75)-LEN(SUBSTITUTE(B75,_xlpm.d,"")),_xlpm.ex,LEN(B75)/16,SUM((_xlpm.c-_xlpm.ex)^2/_xlpm.ex))))</f>
        <v/>
      </c>
      <c r="CF75" s="37" t="str">
        <f>IF(CE75="","",_xlfn.CHISQ.DIST.RT(CE75,15))</f>
        <v/>
      </c>
      <c r="CG75" s="9" t="str" cm="1">
        <f t="array" ref="CG75">IF(OR(B75="",B74=""),"",_xlfn.LET(_xlpm.a,C75,_xlpm.b,REPT("0",A75-LEN(C74))&amp;C74,_xlpm.m,MID(_xlpm.a,_xlfn.SEQUENCE(A75),1)=MID(_xlpm.b,_xlfn.SEQUENCE(A75),1),IFERROR(MATCH(FALSE,_xlpm.m,0)-1,A75)))</f>
        <v/>
      </c>
      <c r="CH75" s="9" t="str" cm="1">
        <f t="array" ref="CH75">IF(OR(B75="",B74=""),"",_xlfn.LET(_xlpm.a,C75,_xlpm.b,REPT("0",A75-LEN(C74))&amp;C74,_xlpm.n,A75,_xlpm.m,MID(_xlpm.a,_xlfn.SEQUENCE(_xlpm.n,,_xlpm.n,-1),1)=MID(_xlpm.b,_xlfn.SEQUENCE(_xlpm.n,,_xlpm.n,-1),1),IFERROR(MATCH(FALSE,_xlpm.m,0)-1,_xlpm.n)))</f>
        <v/>
      </c>
      <c r="CI75" s="38" t="str">
        <f>IF(OR(B75="",B74=""),"",F75-F74)</f>
        <v/>
      </c>
      <c r="CJ75" s="5" t="str">
        <f>IF(OR(B75="",B74=""),"",IFERROR(FIND(B74,B75)&gt;0,FALSE))</f>
        <v/>
      </c>
      <c r="CK75" s="5" t="str">
        <f>IF(OR(B75="",B74=""),"",IFERROR(FIND(C74,C75)&gt;0,FALSE))</f>
        <v/>
      </c>
      <c r="CL75" s="9" t="str">
        <f>IF(OR(B75="",B74=""),"",IFERROR(FIND(C74,C75),""))</f>
        <v/>
      </c>
      <c r="CM75" s="6" t="str" cm="1">
        <f t="array" ref="CM75">IF(OR(B75="",B74=""),"",_xlfn.LET(_xlpm.pv,D74,_xlpm.ra,BIGSUB(D75,_xlpm.pv),_xlpm.rb,BIGSUB(_xlpm.ra,_xlpm.pv),_xlpm.rc,BIGSUB(_xlpm.rb,_xlpm.pv),IF(LEFT(_xlpm.rb,1)="-",_xlpm.ra,IF(LEFT(_xlpm.rc,1)="-",_xlpm.rb,_xlpm.rc))))</f>
        <v/>
      </c>
      <c r="CN75" s="38" t="str">
        <f>IF(B75="","",F75-0.5)</f>
        <v/>
      </c>
      <c r="CO75" s="15" t="str" cm="1">
        <f t="array" ref="CO75">IF(B75="","",_xlfn.TEXTJOIN("",,MID(B75,_xlfn.SEQUENCE(LEN(B75),,LEN(B75),-1),1)))</f>
        <v/>
      </c>
      <c r="CP75" s="6" t="str" cm="1">
        <f t="array" ref="CP75">IF(B75="","",BASE2DEC(CO75,16))</f>
        <v/>
      </c>
      <c r="CQ75" s="5" t="str">
        <f>IF(B75="","",IF(AND(LEN(B75)&lt;16,LEN(B75)=LEN(SUBSTITUTE(SUBSTITUTE(SUBSTITUTE(SUBSTITUTE(SUBSTITUTE(SUBSTITUTE(B75,"a",""),"b",""),"c",""),"d",""),"e",""),"f",""))),--B75,""))</f>
        <v/>
      </c>
      <c r="CR75" s="6" t="str" cm="1">
        <f t="array" ref="CR75">IF(B75="","",IF(LEN(D75)&lt;=15,BASE2DEC(D75,16),""))</f>
        <v/>
      </c>
      <c r="CS75" s="15" t="str" cm="1">
        <f t="array" ref="CS75">IF(B75="","",_xlfn.LET(_xlpm.p,REPT("0",MOD(-LEN(B75),4))&amp;B75,_xlfn.TEXTJOIN(" ",,MID(_xlpm.p,_xlfn.SEQUENCE(LEN(_xlpm.p)/4,,1,4),4))))</f>
        <v/>
      </c>
      <c r="CT75" s="15" t="str" cm="1">
        <f t="array" ref="CT75">IF(B75="","",UPPER(_xlfn.LET(_xlpm.p,REPT("0",64-LEN(B75))&amp;B75,_xlfn.TEXTJOIN(" ",,MID(_xlpm.p,_xlfn.SEQUENCE(8,,1,8),8)))))</f>
        <v/>
      </c>
      <c r="CU75" s="6" t="str" cm="1">
        <f t="array" ref="CU75">IF(B75="","",IF(LEN(D75)&lt;=6,_xlfn.LET(_xlpm.n,VALUE(D75)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5" s="39" t="s">
        <v>888</v>
      </c>
      <c r="CW75" s="39" t="s">
        <v>888</v>
      </c>
      <c r="CX75" s="39" t="s">
        <v>888</v>
      </c>
      <c r="CY75" s="7" t="s">
        <v>888</v>
      </c>
      <c r="CZ75" s="39" t="s">
        <v>888</v>
      </c>
      <c r="DA75" s="39" t="s">
        <v>888</v>
      </c>
      <c r="DB75" s="39" t="s">
        <v>888</v>
      </c>
      <c r="DC75" s="7" t="s">
        <v>888</v>
      </c>
      <c r="DD75" s="7" t="s">
        <v>888</v>
      </c>
      <c r="DE75" s="7" t="s">
        <v>888</v>
      </c>
      <c r="DF75" s="7" t="s">
        <v>888</v>
      </c>
      <c r="DG75" s="7" t="s">
        <v>888</v>
      </c>
      <c r="DH75" s="39" t="s">
        <v>888</v>
      </c>
      <c r="DI75" s="7" t="s">
        <v>888</v>
      </c>
      <c r="DJ75" s="7" t="s">
        <v>888</v>
      </c>
      <c r="DK75" s="7" t="s">
        <v>888</v>
      </c>
      <c r="DL75" s="7" t="s">
        <v>888</v>
      </c>
      <c r="DM75" s="7" t="s">
        <v>888</v>
      </c>
      <c r="DN75" s="7" t="s">
        <v>888</v>
      </c>
      <c r="DO75" s="7" t="s">
        <v>888</v>
      </c>
      <c r="DP75" s="7" t="s">
        <v>888</v>
      </c>
      <c r="DQ75" s="7" t="s">
        <v>888</v>
      </c>
      <c r="DR75" s="7" t="s">
        <v>888</v>
      </c>
      <c r="DS75" s="7" t="s">
        <v>888</v>
      </c>
      <c r="DT75" s="15" t="str" cm="1">
        <f t="array" ref="DT75">IF(B75="","",_xlfn.TEXTJOIN("",,HEX2BIN(MID(BQ75,_xlfn.SEQUENCE(40),1),4)))</f>
        <v/>
      </c>
    </row>
    <row r="76" spans="1:124" x14ac:dyDescent="0.25">
      <c r="A76" s="9">
        <v>75</v>
      </c>
      <c r="B76" s="15" t="s">
        <v>4059</v>
      </c>
      <c r="C76" s="15" t="s">
        <v>4060</v>
      </c>
      <c r="D76" s="6" t="s">
        <v>4061</v>
      </c>
      <c r="E76" s="6" t="s">
        <v>4062</v>
      </c>
      <c r="F76" s="10">
        <v>0.19316889756160641</v>
      </c>
      <c r="G76" s="9">
        <v>33</v>
      </c>
      <c r="H76" s="9">
        <v>0</v>
      </c>
      <c r="I76" s="15" t="s">
        <v>888</v>
      </c>
      <c r="J76" s="9" t="s">
        <v>888</v>
      </c>
      <c r="K76" s="15" t="s">
        <v>4063</v>
      </c>
      <c r="L76" s="15" t="s">
        <v>4064</v>
      </c>
      <c r="M76" s="15" t="s">
        <v>4065</v>
      </c>
      <c r="N76" s="15" t="s">
        <v>4066</v>
      </c>
      <c r="O76" s="6" t="s">
        <v>4067</v>
      </c>
      <c r="P76" s="15" t="s">
        <v>4068</v>
      </c>
      <c r="Q76" s="15" t="s">
        <v>4069</v>
      </c>
      <c r="R76" s="6" t="s">
        <v>4070</v>
      </c>
      <c r="S76" s="15" t="s">
        <v>4071</v>
      </c>
      <c r="T76" s="11" t="s">
        <v>888</v>
      </c>
      <c r="U76" s="10">
        <v>0.44</v>
      </c>
      <c r="V76" s="7" t="s">
        <v>889</v>
      </c>
      <c r="W76" s="7" t="s">
        <v>890</v>
      </c>
      <c r="X76" s="7" t="s">
        <v>891</v>
      </c>
      <c r="Y76" s="15" t="s">
        <v>4072</v>
      </c>
      <c r="Z76" s="9">
        <v>36</v>
      </c>
      <c r="AA76" s="9">
        <v>34</v>
      </c>
      <c r="AB76" s="9">
        <v>82</v>
      </c>
      <c r="AC76" s="13">
        <v>-0.34641016151377541</v>
      </c>
      <c r="AD76" s="13">
        <v>-0.808290376865476</v>
      </c>
      <c r="AE76" s="9">
        <v>23</v>
      </c>
      <c r="AF76" s="9">
        <v>102</v>
      </c>
      <c r="AG76" s="9">
        <v>3</v>
      </c>
      <c r="AH76" s="6" t="s">
        <v>4073</v>
      </c>
      <c r="AI76" s="10">
        <v>74.254798276417631</v>
      </c>
      <c r="AJ76" s="10">
        <v>71.627934727309935</v>
      </c>
      <c r="AK76" s="15" t="s">
        <v>4074</v>
      </c>
      <c r="AL76" s="15" t="s">
        <v>4075</v>
      </c>
      <c r="AM76" s="15" t="s">
        <v>4076</v>
      </c>
      <c r="AN76" s="9">
        <v>6</v>
      </c>
      <c r="AO76" s="9">
        <v>3</v>
      </c>
      <c r="AP76" s="9">
        <v>37</v>
      </c>
      <c r="AQ76" s="15" t="s">
        <v>4077</v>
      </c>
      <c r="AR76" s="9">
        <v>11</v>
      </c>
      <c r="AS76" s="6" t="s">
        <v>976</v>
      </c>
      <c r="AT76" s="15" t="s">
        <v>4078</v>
      </c>
      <c r="AU76" s="9">
        <v>0</v>
      </c>
      <c r="AV76" s="9">
        <v>2</v>
      </c>
      <c r="AW76" s="9">
        <v>0</v>
      </c>
      <c r="AX76" s="9">
        <v>9</v>
      </c>
      <c r="AY76" s="9">
        <v>7</v>
      </c>
      <c r="AZ76" s="9">
        <v>28167</v>
      </c>
      <c r="BA76" s="6" t="s">
        <v>888</v>
      </c>
      <c r="BB76" s="6" t="s">
        <v>888</v>
      </c>
      <c r="BC76" s="6" t="s">
        <v>4079</v>
      </c>
      <c r="BD76" s="15" t="s">
        <v>4080</v>
      </c>
      <c r="BE76" s="15" t="s">
        <v>4081</v>
      </c>
      <c r="BF76" s="15" t="s">
        <v>4082</v>
      </c>
      <c r="BG76" s="15" t="s">
        <v>4083</v>
      </c>
      <c r="BH76" s="6" t="s">
        <v>4084</v>
      </c>
      <c r="BI76" s="17" t="s">
        <v>888</v>
      </c>
      <c r="BJ76" s="7" t="s">
        <v>1746</v>
      </c>
      <c r="BK76" s="7" t="s">
        <v>1747</v>
      </c>
      <c r="BL76" s="7" t="s">
        <v>1748</v>
      </c>
      <c r="BM76" s="16" t="s">
        <v>1749</v>
      </c>
      <c r="BN76" s="16" t="s">
        <v>1750</v>
      </c>
      <c r="BO76" s="16" t="s">
        <v>1751</v>
      </c>
      <c r="BP76" s="16" t="s">
        <v>1752</v>
      </c>
      <c r="BQ76" s="16" t="s">
        <v>1753</v>
      </c>
      <c r="BR76" s="7" t="s">
        <v>1754</v>
      </c>
      <c r="BS76" s="7" t="s">
        <v>1755</v>
      </c>
      <c r="BT76" s="7" t="s">
        <v>1756</v>
      </c>
      <c r="BU76" s="14">
        <v>1.9464475845839074E-55</v>
      </c>
      <c r="BV76" s="15" t="s">
        <v>4085</v>
      </c>
      <c r="BW76" s="9">
        <v>36</v>
      </c>
      <c r="BX76" s="9">
        <v>37</v>
      </c>
      <c r="BY76" s="13">
        <v>-0.34641016151377541</v>
      </c>
      <c r="BZ76" s="13">
        <v>-0.11547005383792514</v>
      </c>
      <c r="CA76" s="12">
        <f>IF(B76="","",IF(A76&lt;8,"",_xlfn.LET(_xlpm.n,A76,_xlpm.k,G76,_xlpm.R,AP76,_xlpm.mu,1+2*_xlpm.k*(_xlpm.n-_xlpm.k)/_xlpm.n,_xlpm.v,2*_xlpm.k*(_xlpm.n-_xlpm.k)*(2*_xlpm.k*(_xlpm.n-_xlpm.k)-_xlpm.n)/(_xlpm.n^2*(_xlpm.n-1)),IF(_xlpm.v&lt;=0,"",(_xlpm.R-_xlpm.mu)/SQRT(_xlpm.v)))))</f>
        <v>-0.22652246038976956</v>
      </c>
      <c r="CB76" s="37" cm="1">
        <f t="array" ref="CB76">IF(B76="","",IF(A76&lt;8,"",_xlfn.LET(_xlpm.b,--MID(C76,_xlfn.SEQUENCE(A76-1),1),_xlpm.c,--MID(C76,_xlfn.SEQUENCE(A76-1,,2),1),IFERROR(CORREL(_xlpm.b,_xlpm.c),""))))</f>
        <v>8.9285714285715131E-3</v>
      </c>
      <c r="CC76" s="8">
        <f>IF(B76="","",LOG(A76,2))</f>
        <v>6.2288186904958804</v>
      </c>
      <c r="CD76" s="8">
        <f>IF(B76="","",MAX(AN76,AO76)-CC76)</f>
        <v>-0.22881869049588044</v>
      </c>
      <c r="CE76" s="8" cm="1">
        <f t="array" ref="CE76">IF(B76="","",IF(LEN(B76)&lt;16,"",_xlfn.LET(_xlpm.d,MID("0123456789abcdef",_xlfn.SEQUENCE(16),1),_xlpm.c,LEN(B76)-LEN(SUBSTITUTE(B76,_xlpm.d,"")),_xlpm.ex,LEN(B76)/16,SUM((_xlpm.c-_xlpm.ex)^2/_xlpm.ex))))</f>
        <v>13.842105263157896</v>
      </c>
      <c r="CF76" s="37">
        <f>IF(CE76="","",_xlfn.CHISQ.DIST.RT(CE76,15))</f>
        <v>0.5375364351414833</v>
      </c>
      <c r="CG76" s="9" t="str" cm="1">
        <f t="array" ref="CG76">IF(OR(B76="",B75=""),"",_xlfn.LET(_xlpm.a,C76,_xlpm.b,REPT("0",A76-LEN(C75))&amp;C75,_xlpm.m,MID(_xlpm.a,_xlfn.SEQUENCE(A76),1)=MID(_xlpm.b,_xlfn.SEQUENCE(A76),1),IFERROR(MATCH(FALSE,_xlpm.m,0)-1,A76)))</f>
        <v/>
      </c>
      <c r="CH76" s="9" t="str" cm="1">
        <f t="array" ref="CH76">IF(OR(B76="",B75=""),"",_xlfn.LET(_xlpm.a,C76,_xlpm.b,REPT("0",A76-LEN(C75))&amp;C75,_xlpm.n,A76,_xlpm.m,MID(_xlpm.a,_xlfn.SEQUENCE(_xlpm.n,,_xlpm.n,-1),1)=MID(_xlpm.b,_xlfn.SEQUENCE(_xlpm.n,,_xlpm.n,-1),1),IFERROR(MATCH(FALSE,_xlpm.m,0)-1,_xlpm.n)))</f>
        <v/>
      </c>
      <c r="CI76" s="38" t="str">
        <f>IF(OR(B76="",B75=""),"",F76-F75)</f>
        <v/>
      </c>
      <c r="CJ76" s="5" t="str">
        <f>IF(OR(B76="",B75=""),"",IFERROR(FIND(B75,B76)&gt;0,FALSE))</f>
        <v/>
      </c>
      <c r="CK76" s="5" t="str">
        <f>IF(OR(B76="",B75=""),"",IFERROR(FIND(C75,C76)&gt;0,FALSE))</f>
        <v/>
      </c>
      <c r="CL76" s="9" t="str">
        <f>IF(OR(B76="",B75=""),"",IFERROR(FIND(C75,C76),""))</f>
        <v/>
      </c>
      <c r="CM76" s="6" t="str" cm="1">
        <f t="array" ref="CM76">IF(OR(B76="",B75=""),"",_xlfn.LET(_xlpm.pv,D75,_xlpm.ra,BIGSUB(D76,_xlpm.pv),_xlpm.rb,BIGSUB(_xlpm.ra,_xlpm.pv),_xlpm.rc,BIGSUB(_xlpm.rb,_xlpm.pv),IF(LEFT(_xlpm.rb,1)="-",_xlpm.ra,IF(LEFT(_xlpm.rc,1)="-",_xlpm.rb,_xlpm.rc))))</f>
        <v/>
      </c>
      <c r="CN76" s="38">
        <f>IF(B76="","",F76-0.5)</f>
        <v>-0.30683110243839362</v>
      </c>
      <c r="CO76" s="15" t="str" cm="1">
        <f t="array" ref="CO76">IF(B76="","",_xlfn.TEXTJOIN("",,MID(B76,_xlfn.SEQUENCE(LEN(B76),,LEN(B76),-1),1)))</f>
        <v>70e6331a686411ec5c4</v>
      </c>
      <c r="CP76" s="6" t="str" cm="1">
        <f t="array" ref="CP76">IF(B76="","",BASE2DEC(CO76,16))</f>
        <v>33321967474298612270532</v>
      </c>
      <c r="CQ76" s="5" t="str">
        <f>IF(B76="","",IF(AND(LEN(B76)&lt;16,LEN(B76)=LEN(SUBSTITUTE(SUBSTITUTE(SUBSTITUTE(SUBSTITUTE(SUBSTITUTE(SUBSTITUTE(B76,"a",""),"b",""),"c",""),"d",""),"e",""),"f",""))),--B76,""))</f>
        <v/>
      </c>
      <c r="CR76" s="6" t="str" cm="1">
        <f t="array" ref="CR76">IF(B76="","",IF(LEN(D76)&lt;=15,BASE2DEC(D76,16),""))</f>
        <v/>
      </c>
      <c r="CS76" s="15" t="str" cm="1">
        <f t="array" ref="CS76">IF(B76="","",_xlfn.LET(_xlpm.p,REPT("0",MOD(-LEN(B76),4))&amp;B76,_xlfn.TEXTJOIN(" ",,MID(_xlpm.p,_xlfn.SEQUENCE(LEN(_xlpm.p)/4,,1,4),4))))</f>
        <v>04c5 ce11 4686 a133 6e07</v>
      </c>
      <c r="CT76" s="15" t="str" cm="1">
        <f t="array" ref="CT76">IF(B76="","",UPPER(_xlfn.LET(_xlpm.p,REPT("0",64-LEN(B76))&amp;B76,_xlfn.TEXTJOIN(" ",,MID(_xlpm.p,_xlfn.SEQUENCE(8,,1,8),8)))))</f>
        <v>00000000 00000000 00000000 00000000 00000000 000004C5 CE114686 A1336E07</v>
      </c>
      <c r="CU76" s="6" t="str" cm="1">
        <f t="array" ref="CU76">IF(B76="","",IF(LEN(D76)&lt;=6,_xlfn.LET(_xlpm.n,VALUE(D76)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6" s="39" t="s">
        <v>4444</v>
      </c>
      <c r="CW76" s="39" t="s">
        <v>987</v>
      </c>
      <c r="CX76" s="39" t="s">
        <v>2104</v>
      </c>
      <c r="CY76" s="7" t="s">
        <v>4832</v>
      </c>
      <c r="CZ76" s="39" t="s">
        <v>4444</v>
      </c>
      <c r="DA76" s="39" t="s">
        <v>4444</v>
      </c>
      <c r="DB76" s="39">
        <v>74</v>
      </c>
      <c r="DC76" s="7" t="s">
        <v>4833</v>
      </c>
      <c r="DD76" s="7" t="s">
        <v>4834</v>
      </c>
      <c r="DE76" s="7" t="s">
        <v>4835</v>
      </c>
      <c r="DF76" s="7" t="s">
        <v>4836</v>
      </c>
      <c r="DG76" s="7" t="s">
        <v>4837</v>
      </c>
      <c r="DH76" s="39" t="s">
        <v>4448</v>
      </c>
      <c r="DI76" s="7" t="s">
        <v>5623</v>
      </c>
      <c r="DJ76" s="7" t="s">
        <v>5624</v>
      </c>
      <c r="DK76" s="7" t="s">
        <v>5625</v>
      </c>
      <c r="DL76" s="7" t="s">
        <v>5626</v>
      </c>
      <c r="DM76" s="7" t="s">
        <v>5627</v>
      </c>
      <c r="DN76" s="7" t="s">
        <v>5628</v>
      </c>
      <c r="DO76" s="7" t="s">
        <v>5629</v>
      </c>
      <c r="DP76" s="7" t="s">
        <v>5630</v>
      </c>
      <c r="DQ76" s="7" t="s">
        <v>5631</v>
      </c>
      <c r="DR76" s="7" t="s">
        <v>5632</v>
      </c>
      <c r="DS76" s="7" t="s">
        <v>5825</v>
      </c>
      <c r="DT76" s="15" t="str" cm="1">
        <f t="array" ref="DT76">IF(B76="","",_xlfn.TEXTJOIN("",,HEX2BIN(MID(BQ76,_xlfn.SEQUENCE(40),1),4)))</f>
        <v>0111110010101010000010001101010000011001100001111111011001000101100111011100111111100101111001101011101110100010011111001011101101001111100011000000101001100110</v>
      </c>
    </row>
    <row r="77" spans="1:124" x14ac:dyDescent="0.25">
      <c r="A77" s="9">
        <v>76</v>
      </c>
      <c r="B77" s="15" t="s">
        <v>888</v>
      </c>
      <c r="C77" s="15" t="s">
        <v>888</v>
      </c>
      <c r="D77" s="6" t="s">
        <v>888</v>
      </c>
      <c r="E77" s="6" t="s">
        <v>888</v>
      </c>
      <c r="F77" s="10" t="s">
        <v>888</v>
      </c>
      <c r="G77" s="9" t="s">
        <v>888</v>
      </c>
      <c r="H77" s="9" t="s">
        <v>888</v>
      </c>
      <c r="I77" s="15" t="s">
        <v>888</v>
      </c>
      <c r="J77" s="9" t="s">
        <v>888</v>
      </c>
      <c r="K77" s="15" t="s">
        <v>888</v>
      </c>
      <c r="L77" s="15" t="s">
        <v>888</v>
      </c>
      <c r="M77" s="15" t="s">
        <v>888</v>
      </c>
      <c r="N77" s="15" t="s">
        <v>888</v>
      </c>
      <c r="O77" s="6" t="s">
        <v>888</v>
      </c>
      <c r="P77" s="15" t="s">
        <v>888</v>
      </c>
      <c r="Q77" s="15" t="s">
        <v>888</v>
      </c>
      <c r="R77" s="6" t="s">
        <v>888</v>
      </c>
      <c r="S77" s="15" t="s">
        <v>888</v>
      </c>
      <c r="T77" s="11" t="s">
        <v>888</v>
      </c>
      <c r="U77" s="10" t="s">
        <v>888</v>
      </c>
      <c r="V77" s="7" t="s">
        <v>888</v>
      </c>
      <c r="W77" s="7" t="s">
        <v>888</v>
      </c>
      <c r="X77" s="7" t="s">
        <v>888</v>
      </c>
      <c r="Y77" s="15" t="s">
        <v>888</v>
      </c>
      <c r="Z77" s="9" t="s">
        <v>888</v>
      </c>
      <c r="AA77" s="9" t="s">
        <v>888</v>
      </c>
      <c r="AB77" s="9" t="s">
        <v>888</v>
      </c>
      <c r="AC77" s="13" t="s">
        <v>888</v>
      </c>
      <c r="AD77" s="13" t="s">
        <v>888</v>
      </c>
      <c r="AE77" s="9" t="s">
        <v>888</v>
      </c>
      <c r="AF77" s="9" t="s">
        <v>888</v>
      </c>
      <c r="AG77" s="9" t="s">
        <v>888</v>
      </c>
      <c r="AH77" s="6" t="s">
        <v>888</v>
      </c>
      <c r="AI77" s="10" t="s">
        <v>888</v>
      </c>
      <c r="AJ77" s="10" t="s">
        <v>888</v>
      </c>
      <c r="AK77" s="15" t="s">
        <v>888</v>
      </c>
      <c r="AL77" s="15" t="s">
        <v>888</v>
      </c>
      <c r="AM77" s="15" t="s">
        <v>888</v>
      </c>
      <c r="AN77" s="9" t="s">
        <v>888</v>
      </c>
      <c r="AO77" s="9" t="s">
        <v>888</v>
      </c>
      <c r="AP77" s="9" t="s">
        <v>888</v>
      </c>
      <c r="AQ77" s="15" t="s">
        <v>888</v>
      </c>
      <c r="AR77" s="9" t="s">
        <v>888</v>
      </c>
      <c r="AS77" s="6" t="s">
        <v>888</v>
      </c>
      <c r="AT77" s="15" t="s">
        <v>888</v>
      </c>
      <c r="AU77" s="9" t="s">
        <v>888</v>
      </c>
      <c r="AV77" s="9" t="s">
        <v>888</v>
      </c>
      <c r="AW77" s="9" t="s">
        <v>888</v>
      </c>
      <c r="AX77" s="9" t="s">
        <v>888</v>
      </c>
      <c r="AY77" s="9" t="s">
        <v>888</v>
      </c>
      <c r="AZ77" s="9" t="s">
        <v>888</v>
      </c>
      <c r="BA77" s="6" t="s">
        <v>888</v>
      </c>
      <c r="BB77" s="6" t="s">
        <v>888</v>
      </c>
      <c r="BC77" s="6" t="s">
        <v>888</v>
      </c>
      <c r="BD77" s="15" t="s">
        <v>888</v>
      </c>
      <c r="BE77" s="15" t="s">
        <v>888</v>
      </c>
      <c r="BF77" s="15" t="s">
        <v>888</v>
      </c>
      <c r="BG77" s="15" t="s">
        <v>888</v>
      </c>
      <c r="BH77" s="6" t="s">
        <v>888</v>
      </c>
      <c r="BI77" s="17" t="s">
        <v>888</v>
      </c>
      <c r="BJ77" s="7" t="s">
        <v>888</v>
      </c>
      <c r="BK77" s="7" t="s">
        <v>888</v>
      </c>
      <c r="BL77" s="7" t="s">
        <v>888</v>
      </c>
      <c r="BM77" s="16" t="s">
        <v>888</v>
      </c>
      <c r="BN77" s="16" t="s">
        <v>888</v>
      </c>
      <c r="BO77" s="16" t="s">
        <v>888</v>
      </c>
      <c r="BP77" s="16" t="s">
        <v>888</v>
      </c>
      <c r="BQ77" s="16" t="s">
        <v>888</v>
      </c>
      <c r="BR77" s="7" t="s">
        <v>888</v>
      </c>
      <c r="BS77" s="7" t="s">
        <v>888</v>
      </c>
      <c r="BT77" s="7" t="s">
        <v>888</v>
      </c>
      <c r="BU77" s="14" t="s">
        <v>888</v>
      </c>
      <c r="BV77" s="15" t="s">
        <v>888</v>
      </c>
      <c r="BW77" s="9" t="s">
        <v>888</v>
      </c>
      <c r="BX77" s="9" t="s">
        <v>888</v>
      </c>
      <c r="BY77" s="13" t="s">
        <v>888</v>
      </c>
      <c r="BZ77" s="13" t="s">
        <v>888</v>
      </c>
      <c r="CA77" s="12" t="str">
        <f>IF(B77="","",IF(A77&lt;8,"",_xlfn.LET(_xlpm.n,A77,_xlpm.k,G77,_xlpm.R,AP77,_xlpm.mu,1+2*_xlpm.k*(_xlpm.n-_xlpm.k)/_xlpm.n,_xlpm.v,2*_xlpm.k*(_xlpm.n-_xlpm.k)*(2*_xlpm.k*(_xlpm.n-_xlpm.k)-_xlpm.n)/(_xlpm.n^2*(_xlpm.n-1)),IF(_xlpm.v&lt;=0,"",(_xlpm.R-_xlpm.mu)/SQRT(_xlpm.v)))))</f>
        <v/>
      </c>
      <c r="CB77" s="37" t="str" cm="1">
        <f t="array" ref="CB77">IF(B77="","",IF(A77&lt;8,"",_xlfn.LET(_xlpm.b,--MID(C77,_xlfn.SEQUENCE(A77-1),1),_xlpm.c,--MID(C77,_xlfn.SEQUENCE(A77-1,,2),1),IFERROR(CORREL(_xlpm.b,_xlpm.c),""))))</f>
        <v/>
      </c>
      <c r="CC77" s="8" t="str">
        <f>IF(B77="","",LOG(A77,2))</f>
        <v/>
      </c>
      <c r="CD77" s="8" t="str">
        <f>IF(B77="","",MAX(AN77,AO77)-CC77)</f>
        <v/>
      </c>
      <c r="CE77" s="8" t="str" cm="1">
        <f t="array" ref="CE77">IF(B77="","",IF(LEN(B77)&lt;16,"",_xlfn.LET(_xlpm.d,MID("0123456789abcdef",_xlfn.SEQUENCE(16),1),_xlpm.c,LEN(B77)-LEN(SUBSTITUTE(B77,_xlpm.d,"")),_xlpm.ex,LEN(B77)/16,SUM((_xlpm.c-_xlpm.ex)^2/_xlpm.ex))))</f>
        <v/>
      </c>
      <c r="CF77" s="37" t="str">
        <f>IF(CE77="","",_xlfn.CHISQ.DIST.RT(CE77,15))</f>
        <v/>
      </c>
      <c r="CG77" s="9" t="str" cm="1">
        <f t="array" ref="CG77">IF(OR(B77="",B76=""),"",_xlfn.LET(_xlpm.a,C77,_xlpm.b,REPT("0",A77-LEN(C76))&amp;C76,_xlpm.m,MID(_xlpm.a,_xlfn.SEQUENCE(A77),1)=MID(_xlpm.b,_xlfn.SEQUENCE(A77),1),IFERROR(MATCH(FALSE,_xlpm.m,0)-1,A77)))</f>
        <v/>
      </c>
      <c r="CH77" s="9" t="str" cm="1">
        <f t="array" ref="CH77">IF(OR(B77="",B76=""),"",_xlfn.LET(_xlpm.a,C77,_xlpm.b,REPT("0",A77-LEN(C76))&amp;C76,_xlpm.n,A77,_xlpm.m,MID(_xlpm.a,_xlfn.SEQUENCE(_xlpm.n,,_xlpm.n,-1),1)=MID(_xlpm.b,_xlfn.SEQUENCE(_xlpm.n,,_xlpm.n,-1),1),IFERROR(MATCH(FALSE,_xlpm.m,0)-1,_xlpm.n)))</f>
        <v/>
      </c>
      <c r="CI77" s="38" t="str">
        <f>IF(OR(B77="",B76=""),"",F77-F76)</f>
        <v/>
      </c>
      <c r="CJ77" s="5" t="str">
        <f>IF(OR(B77="",B76=""),"",IFERROR(FIND(B76,B77)&gt;0,FALSE))</f>
        <v/>
      </c>
      <c r="CK77" s="5" t="str">
        <f>IF(OR(B77="",B76=""),"",IFERROR(FIND(C76,C77)&gt;0,FALSE))</f>
        <v/>
      </c>
      <c r="CL77" s="9" t="str">
        <f>IF(OR(B77="",B76=""),"",IFERROR(FIND(C76,C77),""))</f>
        <v/>
      </c>
      <c r="CM77" s="6" t="str" cm="1">
        <f t="array" ref="CM77">IF(OR(B77="",B76=""),"",_xlfn.LET(_xlpm.pv,D76,_xlpm.ra,BIGSUB(D77,_xlpm.pv),_xlpm.rb,BIGSUB(_xlpm.ra,_xlpm.pv),_xlpm.rc,BIGSUB(_xlpm.rb,_xlpm.pv),IF(LEFT(_xlpm.rb,1)="-",_xlpm.ra,IF(LEFT(_xlpm.rc,1)="-",_xlpm.rb,_xlpm.rc))))</f>
        <v/>
      </c>
      <c r="CN77" s="38" t="str">
        <f>IF(B77="","",F77-0.5)</f>
        <v/>
      </c>
      <c r="CO77" s="15" t="str" cm="1">
        <f t="array" ref="CO77">IF(B77="","",_xlfn.TEXTJOIN("",,MID(B77,_xlfn.SEQUENCE(LEN(B77),,LEN(B77),-1),1)))</f>
        <v/>
      </c>
      <c r="CP77" s="6" t="str" cm="1">
        <f t="array" ref="CP77">IF(B77="","",BASE2DEC(CO77,16))</f>
        <v/>
      </c>
      <c r="CQ77" s="5" t="str">
        <f>IF(B77="","",IF(AND(LEN(B77)&lt;16,LEN(B77)=LEN(SUBSTITUTE(SUBSTITUTE(SUBSTITUTE(SUBSTITUTE(SUBSTITUTE(SUBSTITUTE(B77,"a",""),"b",""),"c",""),"d",""),"e",""),"f",""))),--B77,""))</f>
        <v/>
      </c>
      <c r="CR77" s="6" t="str" cm="1">
        <f t="array" ref="CR77">IF(B77="","",IF(LEN(D77)&lt;=15,BASE2DEC(D77,16),""))</f>
        <v/>
      </c>
      <c r="CS77" s="15" t="str" cm="1">
        <f t="array" ref="CS77">IF(B77="","",_xlfn.LET(_xlpm.p,REPT("0",MOD(-LEN(B77),4))&amp;B77,_xlfn.TEXTJOIN(" ",,MID(_xlpm.p,_xlfn.SEQUENCE(LEN(_xlpm.p)/4,,1,4),4))))</f>
        <v/>
      </c>
      <c r="CT77" s="15" t="str" cm="1">
        <f t="array" ref="CT77">IF(B77="","",UPPER(_xlfn.LET(_xlpm.p,REPT("0",64-LEN(B77))&amp;B77,_xlfn.TEXTJOIN(" ",,MID(_xlpm.p,_xlfn.SEQUENCE(8,,1,8),8)))))</f>
        <v/>
      </c>
      <c r="CU77" s="6" t="str" cm="1">
        <f t="array" ref="CU77">IF(B77="","",IF(LEN(D77)&lt;=6,_xlfn.LET(_xlpm.n,VALUE(D77)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7" s="39" t="s">
        <v>888</v>
      </c>
      <c r="CW77" s="39" t="s">
        <v>888</v>
      </c>
      <c r="CX77" s="39" t="s">
        <v>888</v>
      </c>
      <c r="CY77" s="7" t="s">
        <v>888</v>
      </c>
      <c r="CZ77" s="39" t="s">
        <v>888</v>
      </c>
      <c r="DA77" s="39" t="s">
        <v>888</v>
      </c>
      <c r="DB77" s="39" t="s">
        <v>888</v>
      </c>
      <c r="DC77" s="7" t="s">
        <v>888</v>
      </c>
      <c r="DD77" s="7" t="s">
        <v>888</v>
      </c>
      <c r="DE77" s="7" t="s">
        <v>888</v>
      </c>
      <c r="DF77" s="7" t="s">
        <v>888</v>
      </c>
      <c r="DG77" s="7" t="s">
        <v>888</v>
      </c>
      <c r="DH77" s="39" t="s">
        <v>888</v>
      </c>
      <c r="DI77" s="7" t="s">
        <v>888</v>
      </c>
      <c r="DJ77" s="7" t="s">
        <v>888</v>
      </c>
      <c r="DK77" s="7" t="s">
        <v>888</v>
      </c>
      <c r="DL77" s="7" t="s">
        <v>888</v>
      </c>
      <c r="DM77" s="7" t="s">
        <v>888</v>
      </c>
      <c r="DN77" s="7" t="s">
        <v>888</v>
      </c>
      <c r="DO77" s="7" t="s">
        <v>888</v>
      </c>
      <c r="DP77" s="7" t="s">
        <v>888</v>
      </c>
      <c r="DQ77" s="7" t="s">
        <v>888</v>
      </c>
      <c r="DR77" s="7" t="s">
        <v>888</v>
      </c>
      <c r="DS77" s="7" t="s">
        <v>888</v>
      </c>
      <c r="DT77" s="15" t="str" cm="1">
        <f t="array" ref="DT77">IF(B77="","",_xlfn.TEXTJOIN("",,HEX2BIN(MID(BQ77,_xlfn.SEQUENCE(40),1),4)))</f>
        <v/>
      </c>
    </row>
    <row r="78" spans="1:124" x14ac:dyDescent="0.25">
      <c r="A78" s="9">
        <v>77</v>
      </c>
      <c r="B78" s="15" t="s">
        <v>888</v>
      </c>
      <c r="C78" s="15" t="s">
        <v>888</v>
      </c>
      <c r="D78" s="6" t="s">
        <v>888</v>
      </c>
      <c r="E78" s="6" t="s">
        <v>888</v>
      </c>
      <c r="F78" s="10" t="s">
        <v>888</v>
      </c>
      <c r="G78" s="9" t="s">
        <v>888</v>
      </c>
      <c r="H78" s="9" t="s">
        <v>888</v>
      </c>
      <c r="I78" s="15" t="s">
        <v>888</v>
      </c>
      <c r="J78" s="9" t="s">
        <v>888</v>
      </c>
      <c r="K78" s="15" t="s">
        <v>888</v>
      </c>
      <c r="L78" s="15" t="s">
        <v>888</v>
      </c>
      <c r="M78" s="15" t="s">
        <v>888</v>
      </c>
      <c r="N78" s="15" t="s">
        <v>888</v>
      </c>
      <c r="O78" s="6" t="s">
        <v>888</v>
      </c>
      <c r="P78" s="15" t="s">
        <v>888</v>
      </c>
      <c r="Q78" s="15" t="s">
        <v>888</v>
      </c>
      <c r="R78" s="6" t="s">
        <v>888</v>
      </c>
      <c r="S78" s="15" t="s">
        <v>888</v>
      </c>
      <c r="T78" s="11" t="s">
        <v>888</v>
      </c>
      <c r="U78" s="10" t="s">
        <v>888</v>
      </c>
      <c r="V78" s="7" t="s">
        <v>888</v>
      </c>
      <c r="W78" s="7" t="s">
        <v>888</v>
      </c>
      <c r="X78" s="7" t="s">
        <v>888</v>
      </c>
      <c r="Y78" s="15" t="s">
        <v>888</v>
      </c>
      <c r="Z78" s="9" t="s">
        <v>888</v>
      </c>
      <c r="AA78" s="9" t="s">
        <v>888</v>
      </c>
      <c r="AB78" s="9" t="s">
        <v>888</v>
      </c>
      <c r="AC78" s="13" t="s">
        <v>888</v>
      </c>
      <c r="AD78" s="13" t="s">
        <v>888</v>
      </c>
      <c r="AE78" s="9" t="s">
        <v>888</v>
      </c>
      <c r="AF78" s="9" t="s">
        <v>888</v>
      </c>
      <c r="AG78" s="9" t="s">
        <v>888</v>
      </c>
      <c r="AH78" s="6" t="s">
        <v>888</v>
      </c>
      <c r="AI78" s="10" t="s">
        <v>888</v>
      </c>
      <c r="AJ78" s="10" t="s">
        <v>888</v>
      </c>
      <c r="AK78" s="15" t="s">
        <v>888</v>
      </c>
      <c r="AL78" s="15" t="s">
        <v>888</v>
      </c>
      <c r="AM78" s="15" t="s">
        <v>888</v>
      </c>
      <c r="AN78" s="9" t="s">
        <v>888</v>
      </c>
      <c r="AO78" s="9" t="s">
        <v>888</v>
      </c>
      <c r="AP78" s="9" t="s">
        <v>888</v>
      </c>
      <c r="AQ78" s="15" t="s">
        <v>888</v>
      </c>
      <c r="AR78" s="9" t="s">
        <v>888</v>
      </c>
      <c r="AS78" s="6" t="s">
        <v>888</v>
      </c>
      <c r="AT78" s="15" t="s">
        <v>888</v>
      </c>
      <c r="AU78" s="9" t="s">
        <v>888</v>
      </c>
      <c r="AV78" s="9" t="s">
        <v>888</v>
      </c>
      <c r="AW78" s="9" t="s">
        <v>888</v>
      </c>
      <c r="AX78" s="9" t="s">
        <v>888</v>
      </c>
      <c r="AY78" s="9" t="s">
        <v>888</v>
      </c>
      <c r="AZ78" s="9" t="s">
        <v>888</v>
      </c>
      <c r="BA78" s="6" t="s">
        <v>888</v>
      </c>
      <c r="BB78" s="6" t="s">
        <v>888</v>
      </c>
      <c r="BC78" s="6" t="s">
        <v>888</v>
      </c>
      <c r="BD78" s="15" t="s">
        <v>888</v>
      </c>
      <c r="BE78" s="15" t="s">
        <v>888</v>
      </c>
      <c r="BF78" s="15" t="s">
        <v>888</v>
      </c>
      <c r="BG78" s="15" t="s">
        <v>888</v>
      </c>
      <c r="BH78" s="6" t="s">
        <v>888</v>
      </c>
      <c r="BI78" s="17" t="s">
        <v>888</v>
      </c>
      <c r="BJ78" s="7" t="s">
        <v>888</v>
      </c>
      <c r="BK78" s="7" t="s">
        <v>888</v>
      </c>
      <c r="BL78" s="7" t="s">
        <v>888</v>
      </c>
      <c r="BM78" s="16" t="s">
        <v>888</v>
      </c>
      <c r="BN78" s="16" t="s">
        <v>888</v>
      </c>
      <c r="BO78" s="16" t="s">
        <v>888</v>
      </c>
      <c r="BP78" s="16" t="s">
        <v>888</v>
      </c>
      <c r="BQ78" s="16" t="s">
        <v>888</v>
      </c>
      <c r="BR78" s="7" t="s">
        <v>888</v>
      </c>
      <c r="BS78" s="7" t="s">
        <v>888</v>
      </c>
      <c r="BT78" s="7" t="s">
        <v>888</v>
      </c>
      <c r="BU78" s="14" t="s">
        <v>888</v>
      </c>
      <c r="BV78" s="15" t="s">
        <v>888</v>
      </c>
      <c r="BW78" s="9" t="s">
        <v>888</v>
      </c>
      <c r="BX78" s="9" t="s">
        <v>888</v>
      </c>
      <c r="BY78" s="13" t="s">
        <v>888</v>
      </c>
      <c r="BZ78" s="13" t="s">
        <v>888</v>
      </c>
      <c r="CA78" s="12" t="str">
        <f>IF(B78="","",IF(A78&lt;8,"",_xlfn.LET(_xlpm.n,A78,_xlpm.k,G78,_xlpm.R,AP78,_xlpm.mu,1+2*_xlpm.k*(_xlpm.n-_xlpm.k)/_xlpm.n,_xlpm.v,2*_xlpm.k*(_xlpm.n-_xlpm.k)*(2*_xlpm.k*(_xlpm.n-_xlpm.k)-_xlpm.n)/(_xlpm.n^2*(_xlpm.n-1)),IF(_xlpm.v&lt;=0,"",(_xlpm.R-_xlpm.mu)/SQRT(_xlpm.v)))))</f>
        <v/>
      </c>
      <c r="CB78" s="37" t="str" cm="1">
        <f t="array" ref="CB78">IF(B78="","",IF(A78&lt;8,"",_xlfn.LET(_xlpm.b,--MID(C78,_xlfn.SEQUENCE(A78-1),1),_xlpm.c,--MID(C78,_xlfn.SEQUENCE(A78-1,,2),1),IFERROR(CORREL(_xlpm.b,_xlpm.c),""))))</f>
        <v/>
      </c>
      <c r="CC78" s="8" t="str">
        <f>IF(B78="","",LOG(A78,2))</f>
        <v/>
      </c>
      <c r="CD78" s="8" t="str">
        <f>IF(B78="","",MAX(AN78,AO78)-CC78)</f>
        <v/>
      </c>
      <c r="CE78" s="8" t="str" cm="1">
        <f t="array" ref="CE78">IF(B78="","",IF(LEN(B78)&lt;16,"",_xlfn.LET(_xlpm.d,MID("0123456789abcdef",_xlfn.SEQUENCE(16),1),_xlpm.c,LEN(B78)-LEN(SUBSTITUTE(B78,_xlpm.d,"")),_xlpm.ex,LEN(B78)/16,SUM((_xlpm.c-_xlpm.ex)^2/_xlpm.ex))))</f>
        <v/>
      </c>
      <c r="CF78" s="37" t="str">
        <f>IF(CE78="","",_xlfn.CHISQ.DIST.RT(CE78,15))</f>
        <v/>
      </c>
      <c r="CG78" s="9" t="str" cm="1">
        <f t="array" ref="CG78">IF(OR(B78="",B77=""),"",_xlfn.LET(_xlpm.a,C78,_xlpm.b,REPT("0",A78-LEN(C77))&amp;C77,_xlpm.m,MID(_xlpm.a,_xlfn.SEQUENCE(A78),1)=MID(_xlpm.b,_xlfn.SEQUENCE(A78),1),IFERROR(MATCH(FALSE,_xlpm.m,0)-1,A78)))</f>
        <v/>
      </c>
      <c r="CH78" s="9" t="str" cm="1">
        <f t="array" ref="CH78">IF(OR(B78="",B77=""),"",_xlfn.LET(_xlpm.a,C78,_xlpm.b,REPT("0",A78-LEN(C77))&amp;C77,_xlpm.n,A78,_xlpm.m,MID(_xlpm.a,_xlfn.SEQUENCE(_xlpm.n,,_xlpm.n,-1),1)=MID(_xlpm.b,_xlfn.SEQUENCE(_xlpm.n,,_xlpm.n,-1),1),IFERROR(MATCH(FALSE,_xlpm.m,0)-1,_xlpm.n)))</f>
        <v/>
      </c>
      <c r="CI78" s="38" t="str">
        <f>IF(OR(B78="",B77=""),"",F78-F77)</f>
        <v/>
      </c>
      <c r="CJ78" s="5" t="str">
        <f>IF(OR(B78="",B77=""),"",IFERROR(FIND(B77,B78)&gt;0,FALSE))</f>
        <v/>
      </c>
      <c r="CK78" s="5" t="str">
        <f>IF(OR(B78="",B77=""),"",IFERROR(FIND(C77,C78)&gt;0,FALSE))</f>
        <v/>
      </c>
      <c r="CL78" s="9" t="str">
        <f>IF(OR(B78="",B77=""),"",IFERROR(FIND(C77,C78),""))</f>
        <v/>
      </c>
      <c r="CM78" s="6" t="str" cm="1">
        <f t="array" ref="CM78">IF(OR(B78="",B77=""),"",_xlfn.LET(_xlpm.pv,D77,_xlpm.ra,BIGSUB(D78,_xlpm.pv),_xlpm.rb,BIGSUB(_xlpm.ra,_xlpm.pv),_xlpm.rc,BIGSUB(_xlpm.rb,_xlpm.pv),IF(LEFT(_xlpm.rb,1)="-",_xlpm.ra,IF(LEFT(_xlpm.rc,1)="-",_xlpm.rb,_xlpm.rc))))</f>
        <v/>
      </c>
      <c r="CN78" s="38" t="str">
        <f>IF(B78="","",F78-0.5)</f>
        <v/>
      </c>
      <c r="CO78" s="15" t="str" cm="1">
        <f t="array" ref="CO78">IF(B78="","",_xlfn.TEXTJOIN("",,MID(B78,_xlfn.SEQUENCE(LEN(B78),,LEN(B78),-1),1)))</f>
        <v/>
      </c>
      <c r="CP78" s="6" t="str" cm="1">
        <f t="array" ref="CP78">IF(B78="","",BASE2DEC(CO78,16))</f>
        <v/>
      </c>
      <c r="CQ78" s="5" t="str">
        <f>IF(B78="","",IF(AND(LEN(B78)&lt;16,LEN(B78)=LEN(SUBSTITUTE(SUBSTITUTE(SUBSTITUTE(SUBSTITUTE(SUBSTITUTE(SUBSTITUTE(B78,"a",""),"b",""),"c",""),"d",""),"e",""),"f",""))),--B78,""))</f>
        <v/>
      </c>
      <c r="CR78" s="6" t="str" cm="1">
        <f t="array" ref="CR78">IF(B78="","",IF(LEN(D78)&lt;=15,BASE2DEC(D78,16),""))</f>
        <v/>
      </c>
      <c r="CS78" s="15" t="str" cm="1">
        <f t="array" ref="CS78">IF(B78="","",_xlfn.LET(_xlpm.p,REPT("0",MOD(-LEN(B78),4))&amp;B78,_xlfn.TEXTJOIN(" ",,MID(_xlpm.p,_xlfn.SEQUENCE(LEN(_xlpm.p)/4,,1,4),4))))</f>
        <v/>
      </c>
      <c r="CT78" s="15" t="str" cm="1">
        <f t="array" ref="CT78">IF(B78="","",UPPER(_xlfn.LET(_xlpm.p,REPT("0",64-LEN(B78))&amp;B78,_xlfn.TEXTJOIN(" ",,MID(_xlpm.p,_xlfn.SEQUENCE(8,,1,8),8)))))</f>
        <v/>
      </c>
      <c r="CU78" s="6" t="str" cm="1">
        <f t="array" ref="CU78">IF(B78="","",IF(LEN(D78)&lt;=6,_xlfn.LET(_xlpm.n,VALUE(D78)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8" s="39" t="s">
        <v>888</v>
      </c>
      <c r="CW78" s="39" t="s">
        <v>888</v>
      </c>
      <c r="CX78" s="39" t="s">
        <v>888</v>
      </c>
      <c r="CY78" s="7" t="s">
        <v>888</v>
      </c>
      <c r="CZ78" s="39" t="s">
        <v>888</v>
      </c>
      <c r="DA78" s="39" t="s">
        <v>888</v>
      </c>
      <c r="DB78" s="39" t="s">
        <v>888</v>
      </c>
      <c r="DC78" s="7" t="s">
        <v>888</v>
      </c>
      <c r="DD78" s="7" t="s">
        <v>888</v>
      </c>
      <c r="DE78" s="7" t="s">
        <v>888</v>
      </c>
      <c r="DF78" s="7" t="s">
        <v>888</v>
      </c>
      <c r="DG78" s="7" t="s">
        <v>888</v>
      </c>
      <c r="DH78" s="39" t="s">
        <v>888</v>
      </c>
      <c r="DI78" s="7" t="s">
        <v>888</v>
      </c>
      <c r="DJ78" s="7" t="s">
        <v>888</v>
      </c>
      <c r="DK78" s="7" t="s">
        <v>888</v>
      </c>
      <c r="DL78" s="7" t="s">
        <v>888</v>
      </c>
      <c r="DM78" s="7" t="s">
        <v>888</v>
      </c>
      <c r="DN78" s="7" t="s">
        <v>888</v>
      </c>
      <c r="DO78" s="7" t="s">
        <v>888</v>
      </c>
      <c r="DP78" s="7" t="s">
        <v>888</v>
      </c>
      <c r="DQ78" s="7" t="s">
        <v>888</v>
      </c>
      <c r="DR78" s="7" t="s">
        <v>888</v>
      </c>
      <c r="DS78" s="7" t="s">
        <v>888</v>
      </c>
      <c r="DT78" s="15" t="str" cm="1">
        <f t="array" ref="DT78">IF(B78="","",_xlfn.TEXTJOIN("",,HEX2BIN(MID(BQ78,_xlfn.SEQUENCE(40),1),4)))</f>
        <v/>
      </c>
    </row>
    <row r="79" spans="1:124" x14ac:dyDescent="0.25">
      <c r="A79" s="9">
        <v>78</v>
      </c>
      <c r="B79" s="15" t="s">
        <v>888</v>
      </c>
      <c r="C79" s="15" t="s">
        <v>888</v>
      </c>
      <c r="D79" s="6" t="s">
        <v>888</v>
      </c>
      <c r="E79" s="6" t="s">
        <v>888</v>
      </c>
      <c r="F79" s="10" t="s">
        <v>888</v>
      </c>
      <c r="G79" s="9" t="s">
        <v>888</v>
      </c>
      <c r="H79" s="9" t="s">
        <v>888</v>
      </c>
      <c r="I79" s="15" t="s">
        <v>888</v>
      </c>
      <c r="J79" s="9" t="s">
        <v>888</v>
      </c>
      <c r="K79" s="15" t="s">
        <v>888</v>
      </c>
      <c r="L79" s="15" t="s">
        <v>888</v>
      </c>
      <c r="M79" s="15" t="s">
        <v>888</v>
      </c>
      <c r="N79" s="15" t="s">
        <v>888</v>
      </c>
      <c r="O79" s="6" t="s">
        <v>888</v>
      </c>
      <c r="P79" s="15" t="s">
        <v>888</v>
      </c>
      <c r="Q79" s="15" t="s">
        <v>888</v>
      </c>
      <c r="R79" s="6" t="s">
        <v>888</v>
      </c>
      <c r="S79" s="15" t="s">
        <v>888</v>
      </c>
      <c r="T79" s="11" t="s">
        <v>888</v>
      </c>
      <c r="U79" s="10" t="s">
        <v>888</v>
      </c>
      <c r="V79" s="7" t="s">
        <v>888</v>
      </c>
      <c r="W79" s="7" t="s">
        <v>888</v>
      </c>
      <c r="X79" s="7" t="s">
        <v>888</v>
      </c>
      <c r="Y79" s="15" t="s">
        <v>888</v>
      </c>
      <c r="Z79" s="9" t="s">
        <v>888</v>
      </c>
      <c r="AA79" s="9" t="s">
        <v>888</v>
      </c>
      <c r="AB79" s="9" t="s">
        <v>888</v>
      </c>
      <c r="AC79" s="13" t="s">
        <v>888</v>
      </c>
      <c r="AD79" s="13" t="s">
        <v>888</v>
      </c>
      <c r="AE79" s="9" t="s">
        <v>888</v>
      </c>
      <c r="AF79" s="9" t="s">
        <v>888</v>
      </c>
      <c r="AG79" s="9" t="s">
        <v>888</v>
      </c>
      <c r="AH79" s="6" t="s">
        <v>888</v>
      </c>
      <c r="AI79" s="10" t="s">
        <v>888</v>
      </c>
      <c r="AJ79" s="10" t="s">
        <v>888</v>
      </c>
      <c r="AK79" s="15" t="s">
        <v>888</v>
      </c>
      <c r="AL79" s="15" t="s">
        <v>888</v>
      </c>
      <c r="AM79" s="15" t="s">
        <v>888</v>
      </c>
      <c r="AN79" s="9" t="s">
        <v>888</v>
      </c>
      <c r="AO79" s="9" t="s">
        <v>888</v>
      </c>
      <c r="AP79" s="9" t="s">
        <v>888</v>
      </c>
      <c r="AQ79" s="15" t="s">
        <v>888</v>
      </c>
      <c r="AR79" s="9" t="s">
        <v>888</v>
      </c>
      <c r="AS79" s="6" t="s">
        <v>888</v>
      </c>
      <c r="AT79" s="15" t="s">
        <v>888</v>
      </c>
      <c r="AU79" s="9" t="s">
        <v>888</v>
      </c>
      <c r="AV79" s="9" t="s">
        <v>888</v>
      </c>
      <c r="AW79" s="9" t="s">
        <v>888</v>
      </c>
      <c r="AX79" s="9" t="s">
        <v>888</v>
      </c>
      <c r="AY79" s="9" t="s">
        <v>888</v>
      </c>
      <c r="AZ79" s="9" t="s">
        <v>888</v>
      </c>
      <c r="BA79" s="6" t="s">
        <v>888</v>
      </c>
      <c r="BB79" s="6" t="s">
        <v>888</v>
      </c>
      <c r="BC79" s="6" t="s">
        <v>888</v>
      </c>
      <c r="BD79" s="15" t="s">
        <v>888</v>
      </c>
      <c r="BE79" s="15" t="s">
        <v>888</v>
      </c>
      <c r="BF79" s="15" t="s">
        <v>888</v>
      </c>
      <c r="BG79" s="15" t="s">
        <v>888</v>
      </c>
      <c r="BH79" s="6" t="s">
        <v>888</v>
      </c>
      <c r="BI79" s="17" t="s">
        <v>888</v>
      </c>
      <c r="BJ79" s="7" t="s">
        <v>888</v>
      </c>
      <c r="BK79" s="7" t="s">
        <v>888</v>
      </c>
      <c r="BL79" s="7" t="s">
        <v>888</v>
      </c>
      <c r="BM79" s="16" t="s">
        <v>888</v>
      </c>
      <c r="BN79" s="16" t="s">
        <v>888</v>
      </c>
      <c r="BO79" s="16" t="s">
        <v>888</v>
      </c>
      <c r="BP79" s="16" t="s">
        <v>888</v>
      </c>
      <c r="BQ79" s="16" t="s">
        <v>888</v>
      </c>
      <c r="BR79" s="7" t="s">
        <v>888</v>
      </c>
      <c r="BS79" s="7" t="s">
        <v>888</v>
      </c>
      <c r="BT79" s="7" t="s">
        <v>888</v>
      </c>
      <c r="BU79" s="14" t="s">
        <v>888</v>
      </c>
      <c r="BV79" s="15" t="s">
        <v>888</v>
      </c>
      <c r="BW79" s="9" t="s">
        <v>888</v>
      </c>
      <c r="BX79" s="9" t="s">
        <v>888</v>
      </c>
      <c r="BY79" s="13" t="s">
        <v>888</v>
      </c>
      <c r="BZ79" s="13" t="s">
        <v>888</v>
      </c>
      <c r="CA79" s="12" t="str">
        <f>IF(B79="","",IF(A79&lt;8,"",_xlfn.LET(_xlpm.n,A79,_xlpm.k,G79,_xlpm.R,AP79,_xlpm.mu,1+2*_xlpm.k*(_xlpm.n-_xlpm.k)/_xlpm.n,_xlpm.v,2*_xlpm.k*(_xlpm.n-_xlpm.k)*(2*_xlpm.k*(_xlpm.n-_xlpm.k)-_xlpm.n)/(_xlpm.n^2*(_xlpm.n-1)),IF(_xlpm.v&lt;=0,"",(_xlpm.R-_xlpm.mu)/SQRT(_xlpm.v)))))</f>
        <v/>
      </c>
      <c r="CB79" s="37" t="str" cm="1">
        <f t="array" ref="CB79">IF(B79="","",IF(A79&lt;8,"",_xlfn.LET(_xlpm.b,--MID(C79,_xlfn.SEQUENCE(A79-1),1),_xlpm.c,--MID(C79,_xlfn.SEQUENCE(A79-1,,2),1),IFERROR(CORREL(_xlpm.b,_xlpm.c),""))))</f>
        <v/>
      </c>
      <c r="CC79" s="8" t="str">
        <f>IF(B79="","",LOG(A79,2))</f>
        <v/>
      </c>
      <c r="CD79" s="8" t="str">
        <f>IF(B79="","",MAX(AN79,AO79)-CC79)</f>
        <v/>
      </c>
      <c r="CE79" s="8" t="str" cm="1">
        <f t="array" ref="CE79">IF(B79="","",IF(LEN(B79)&lt;16,"",_xlfn.LET(_xlpm.d,MID("0123456789abcdef",_xlfn.SEQUENCE(16),1),_xlpm.c,LEN(B79)-LEN(SUBSTITUTE(B79,_xlpm.d,"")),_xlpm.ex,LEN(B79)/16,SUM((_xlpm.c-_xlpm.ex)^2/_xlpm.ex))))</f>
        <v/>
      </c>
      <c r="CF79" s="37" t="str">
        <f>IF(CE79="","",_xlfn.CHISQ.DIST.RT(CE79,15))</f>
        <v/>
      </c>
      <c r="CG79" s="9" t="str" cm="1">
        <f t="array" ref="CG79">IF(OR(B79="",B78=""),"",_xlfn.LET(_xlpm.a,C79,_xlpm.b,REPT("0",A79-LEN(C78))&amp;C78,_xlpm.m,MID(_xlpm.a,_xlfn.SEQUENCE(A79),1)=MID(_xlpm.b,_xlfn.SEQUENCE(A79),1),IFERROR(MATCH(FALSE,_xlpm.m,0)-1,A79)))</f>
        <v/>
      </c>
      <c r="CH79" s="9" t="str" cm="1">
        <f t="array" ref="CH79">IF(OR(B79="",B78=""),"",_xlfn.LET(_xlpm.a,C79,_xlpm.b,REPT("0",A79-LEN(C78))&amp;C78,_xlpm.n,A79,_xlpm.m,MID(_xlpm.a,_xlfn.SEQUENCE(_xlpm.n,,_xlpm.n,-1),1)=MID(_xlpm.b,_xlfn.SEQUENCE(_xlpm.n,,_xlpm.n,-1),1),IFERROR(MATCH(FALSE,_xlpm.m,0)-1,_xlpm.n)))</f>
        <v/>
      </c>
      <c r="CI79" s="38" t="str">
        <f>IF(OR(B79="",B78=""),"",F79-F78)</f>
        <v/>
      </c>
      <c r="CJ79" s="5" t="str">
        <f>IF(OR(B79="",B78=""),"",IFERROR(FIND(B78,B79)&gt;0,FALSE))</f>
        <v/>
      </c>
      <c r="CK79" s="5" t="str">
        <f>IF(OR(B79="",B78=""),"",IFERROR(FIND(C78,C79)&gt;0,FALSE))</f>
        <v/>
      </c>
      <c r="CL79" s="9" t="str">
        <f>IF(OR(B79="",B78=""),"",IFERROR(FIND(C78,C79),""))</f>
        <v/>
      </c>
      <c r="CM79" s="6" t="str" cm="1">
        <f t="array" ref="CM79">IF(OR(B79="",B78=""),"",_xlfn.LET(_xlpm.pv,D78,_xlpm.ra,BIGSUB(D79,_xlpm.pv),_xlpm.rb,BIGSUB(_xlpm.ra,_xlpm.pv),_xlpm.rc,BIGSUB(_xlpm.rb,_xlpm.pv),IF(LEFT(_xlpm.rb,1)="-",_xlpm.ra,IF(LEFT(_xlpm.rc,1)="-",_xlpm.rb,_xlpm.rc))))</f>
        <v/>
      </c>
      <c r="CN79" s="38" t="str">
        <f>IF(B79="","",F79-0.5)</f>
        <v/>
      </c>
      <c r="CO79" s="15" t="str" cm="1">
        <f t="array" ref="CO79">IF(B79="","",_xlfn.TEXTJOIN("",,MID(B79,_xlfn.SEQUENCE(LEN(B79),,LEN(B79),-1),1)))</f>
        <v/>
      </c>
      <c r="CP79" s="6" t="str" cm="1">
        <f t="array" ref="CP79">IF(B79="","",BASE2DEC(CO79,16))</f>
        <v/>
      </c>
      <c r="CQ79" s="5" t="str">
        <f>IF(B79="","",IF(AND(LEN(B79)&lt;16,LEN(B79)=LEN(SUBSTITUTE(SUBSTITUTE(SUBSTITUTE(SUBSTITUTE(SUBSTITUTE(SUBSTITUTE(B79,"a",""),"b",""),"c",""),"d",""),"e",""),"f",""))),--B79,""))</f>
        <v/>
      </c>
      <c r="CR79" s="6" t="str" cm="1">
        <f t="array" ref="CR79">IF(B79="","",IF(LEN(D79)&lt;=15,BASE2DEC(D79,16),""))</f>
        <v/>
      </c>
      <c r="CS79" s="15" t="str" cm="1">
        <f t="array" ref="CS79">IF(B79="","",_xlfn.LET(_xlpm.p,REPT("0",MOD(-LEN(B79),4))&amp;B79,_xlfn.TEXTJOIN(" ",,MID(_xlpm.p,_xlfn.SEQUENCE(LEN(_xlpm.p)/4,,1,4),4))))</f>
        <v/>
      </c>
      <c r="CT79" s="15" t="str" cm="1">
        <f t="array" ref="CT79">IF(B79="","",UPPER(_xlfn.LET(_xlpm.p,REPT("0",64-LEN(B79))&amp;B79,_xlfn.TEXTJOIN(" ",,MID(_xlpm.p,_xlfn.SEQUENCE(8,,1,8),8)))))</f>
        <v/>
      </c>
      <c r="CU79" s="6" t="str" cm="1">
        <f t="array" ref="CU79">IF(B79="","",IF(LEN(D79)&lt;=6,_xlfn.LET(_xlpm.n,VALUE(D79)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79" s="39" t="s">
        <v>888</v>
      </c>
      <c r="CW79" s="39" t="s">
        <v>888</v>
      </c>
      <c r="CX79" s="39" t="s">
        <v>888</v>
      </c>
      <c r="CY79" s="7" t="s">
        <v>888</v>
      </c>
      <c r="CZ79" s="39" t="s">
        <v>888</v>
      </c>
      <c r="DA79" s="39" t="s">
        <v>888</v>
      </c>
      <c r="DB79" s="39" t="s">
        <v>888</v>
      </c>
      <c r="DC79" s="7" t="s">
        <v>888</v>
      </c>
      <c r="DD79" s="7" t="s">
        <v>888</v>
      </c>
      <c r="DE79" s="7" t="s">
        <v>888</v>
      </c>
      <c r="DF79" s="7" t="s">
        <v>888</v>
      </c>
      <c r="DG79" s="7" t="s">
        <v>888</v>
      </c>
      <c r="DH79" s="39" t="s">
        <v>888</v>
      </c>
      <c r="DI79" s="7" t="s">
        <v>888</v>
      </c>
      <c r="DJ79" s="7" t="s">
        <v>888</v>
      </c>
      <c r="DK79" s="7" t="s">
        <v>888</v>
      </c>
      <c r="DL79" s="7" t="s">
        <v>888</v>
      </c>
      <c r="DM79" s="7" t="s">
        <v>888</v>
      </c>
      <c r="DN79" s="7" t="s">
        <v>888</v>
      </c>
      <c r="DO79" s="7" t="s">
        <v>888</v>
      </c>
      <c r="DP79" s="7" t="s">
        <v>888</v>
      </c>
      <c r="DQ79" s="7" t="s">
        <v>888</v>
      </c>
      <c r="DR79" s="7" t="s">
        <v>888</v>
      </c>
      <c r="DS79" s="7" t="s">
        <v>888</v>
      </c>
      <c r="DT79" s="15" t="str" cm="1">
        <f t="array" ref="DT79">IF(B79="","",_xlfn.TEXTJOIN("",,HEX2BIN(MID(BQ79,_xlfn.SEQUENCE(40),1),4)))</f>
        <v/>
      </c>
    </row>
    <row r="80" spans="1:124" x14ac:dyDescent="0.25">
      <c r="A80" s="9">
        <v>79</v>
      </c>
      <c r="B80" s="15" t="s">
        <v>888</v>
      </c>
      <c r="C80" s="15" t="s">
        <v>888</v>
      </c>
      <c r="D80" s="6" t="s">
        <v>888</v>
      </c>
      <c r="E80" s="6" t="s">
        <v>888</v>
      </c>
      <c r="F80" s="10" t="s">
        <v>888</v>
      </c>
      <c r="G80" s="9" t="s">
        <v>888</v>
      </c>
      <c r="H80" s="9" t="s">
        <v>888</v>
      </c>
      <c r="I80" s="15" t="s">
        <v>888</v>
      </c>
      <c r="J80" s="9" t="s">
        <v>888</v>
      </c>
      <c r="K80" s="15" t="s">
        <v>888</v>
      </c>
      <c r="L80" s="15" t="s">
        <v>888</v>
      </c>
      <c r="M80" s="15" t="s">
        <v>888</v>
      </c>
      <c r="N80" s="15" t="s">
        <v>888</v>
      </c>
      <c r="O80" s="6" t="s">
        <v>888</v>
      </c>
      <c r="P80" s="15" t="s">
        <v>888</v>
      </c>
      <c r="Q80" s="15" t="s">
        <v>888</v>
      </c>
      <c r="R80" s="6" t="s">
        <v>888</v>
      </c>
      <c r="S80" s="15" t="s">
        <v>888</v>
      </c>
      <c r="T80" s="11" t="s">
        <v>888</v>
      </c>
      <c r="U80" s="10" t="s">
        <v>888</v>
      </c>
      <c r="V80" s="7" t="s">
        <v>888</v>
      </c>
      <c r="W80" s="7" t="s">
        <v>888</v>
      </c>
      <c r="X80" s="7" t="s">
        <v>888</v>
      </c>
      <c r="Y80" s="15" t="s">
        <v>888</v>
      </c>
      <c r="Z80" s="9" t="s">
        <v>888</v>
      </c>
      <c r="AA80" s="9" t="s">
        <v>888</v>
      </c>
      <c r="AB80" s="9" t="s">
        <v>888</v>
      </c>
      <c r="AC80" s="13" t="s">
        <v>888</v>
      </c>
      <c r="AD80" s="13" t="s">
        <v>888</v>
      </c>
      <c r="AE80" s="9" t="s">
        <v>888</v>
      </c>
      <c r="AF80" s="9" t="s">
        <v>888</v>
      </c>
      <c r="AG80" s="9" t="s">
        <v>888</v>
      </c>
      <c r="AH80" s="6" t="s">
        <v>888</v>
      </c>
      <c r="AI80" s="10" t="s">
        <v>888</v>
      </c>
      <c r="AJ80" s="10" t="s">
        <v>888</v>
      </c>
      <c r="AK80" s="15" t="s">
        <v>888</v>
      </c>
      <c r="AL80" s="15" t="s">
        <v>888</v>
      </c>
      <c r="AM80" s="15" t="s">
        <v>888</v>
      </c>
      <c r="AN80" s="9" t="s">
        <v>888</v>
      </c>
      <c r="AO80" s="9" t="s">
        <v>888</v>
      </c>
      <c r="AP80" s="9" t="s">
        <v>888</v>
      </c>
      <c r="AQ80" s="15" t="s">
        <v>888</v>
      </c>
      <c r="AR80" s="9" t="s">
        <v>888</v>
      </c>
      <c r="AS80" s="6" t="s">
        <v>888</v>
      </c>
      <c r="AT80" s="15" t="s">
        <v>888</v>
      </c>
      <c r="AU80" s="9" t="s">
        <v>888</v>
      </c>
      <c r="AV80" s="9" t="s">
        <v>888</v>
      </c>
      <c r="AW80" s="9" t="s">
        <v>888</v>
      </c>
      <c r="AX80" s="9" t="s">
        <v>888</v>
      </c>
      <c r="AY80" s="9" t="s">
        <v>888</v>
      </c>
      <c r="AZ80" s="9" t="s">
        <v>888</v>
      </c>
      <c r="BA80" s="6" t="s">
        <v>888</v>
      </c>
      <c r="BB80" s="6" t="s">
        <v>888</v>
      </c>
      <c r="BC80" s="6" t="s">
        <v>888</v>
      </c>
      <c r="BD80" s="15" t="s">
        <v>888</v>
      </c>
      <c r="BE80" s="15" t="s">
        <v>888</v>
      </c>
      <c r="BF80" s="15" t="s">
        <v>888</v>
      </c>
      <c r="BG80" s="15" t="s">
        <v>888</v>
      </c>
      <c r="BH80" s="6" t="s">
        <v>888</v>
      </c>
      <c r="BI80" s="17" t="s">
        <v>888</v>
      </c>
      <c r="BJ80" s="7" t="s">
        <v>888</v>
      </c>
      <c r="BK80" s="7" t="s">
        <v>888</v>
      </c>
      <c r="BL80" s="7" t="s">
        <v>888</v>
      </c>
      <c r="BM80" s="16" t="s">
        <v>888</v>
      </c>
      <c r="BN80" s="16" t="s">
        <v>888</v>
      </c>
      <c r="BO80" s="16" t="s">
        <v>888</v>
      </c>
      <c r="BP80" s="16" t="s">
        <v>888</v>
      </c>
      <c r="BQ80" s="16" t="s">
        <v>888</v>
      </c>
      <c r="BR80" s="7" t="s">
        <v>888</v>
      </c>
      <c r="BS80" s="7" t="s">
        <v>888</v>
      </c>
      <c r="BT80" s="7" t="s">
        <v>888</v>
      </c>
      <c r="BU80" s="14" t="s">
        <v>888</v>
      </c>
      <c r="BV80" s="15" t="s">
        <v>888</v>
      </c>
      <c r="BW80" s="9" t="s">
        <v>888</v>
      </c>
      <c r="BX80" s="9" t="s">
        <v>888</v>
      </c>
      <c r="BY80" s="13" t="s">
        <v>888</v>
      </c>
      <c r="BZ80" s="13" t="s">
        <v>888</v>
      </c>
      <c r="CA80" s="12" t="str">
        <f>IF(B80="","",IF(A80&lt;8,"",_xlfn.LET(_xlpm.n,A80,_xlpm.k,G80,_xlpm.R,AP80,_xlpm.mu,1+2*_xlpm.k*(_xlpm.n-_xlpm.k)/_xlpm.n,_xlpm.v,2*_xlpm.k*(_xlpm.n-_xlpm.k)*(2*_xlpm.k*(_xlpm.n-_xlpm.k)-_xlpm.n)/(_xlpm.n^2*(_xlpm.n-1)),IF(_xlpm.v&lt;=0,"",(_xlpm.R-_xlpm.mu)/SQRT(_xlpm.v)))))</f>
        <v/>
      </c>
      <c r="CB80" s="37" t="str" cm="1">
        <f t="array" ref="CB80">IF(B80="","",IF(A80&lt;8,"",_xlfn.LET(_xlpm.b,--MID(C80,_xlfn.SEQUENCE(A80-1),1),_xlpm.c,--MID(C80,_xlfn.SEQUENCE(A80-1,,2),1),IFERROR(CORREL(_xlpm.b,_xlpm.c),""))))</f>
        <v/>
      </c>
      <c r="CC80" s="8" t="str">
        <f>IF(B80="","",LOG(A80,2))</f>
        <v/>
      </c>
      <c r="CD80" s="8" t="str">
        <f>IF(B80="","",MAX(AN80,AO80)-CC80)</f>
        <v/>
      </c>
      <c r="CE80" s="8" t="str" cm="1">
        <f t="array" ref="CE80">IF(B80="","",IF(LEN(B80)&lt;16,"",_xlfn.LET(_xlpm.d,MID("0123456789abcdef",_xlfn.SEQUENCE(16),1),_xlpm.c,LEN(B80)-LEN(SUBSTITUTE(B80,_xlpm.d,"")),_xlpm.ex,LEN(B80)/16,SUM((_xlpm.c-_xlpm.ex)^2/_xlpm.ex))))</f>
        <v/>
      </c>
      <c r="CF80" s="37" t="str">
        <f>IF(CE80="","",_xlfn.CHISQ.DIST.RT(CE80,15))</f>
        <v/>
      </c>
      <c r="CG80" s="9" t="str" cm="1">
        <f t="array" ref="CG80">IF(OR(B80="",B79=""),"",_xlfn.LET(_xlpm.a,C80,_xlpm.b,REPT("0",A80-LEN(C79))&amp;C79,_xlpm.m,MID(_xlpm.a,_xlfn.SEQUENCE(A80),1)=MID(_xlpm.b,_xlfn.SEQUENCE(A80),1),IFERROR(MATCH(FALSE,_xlpm.m,0)-1,A80)))</f>
        <v/>
      </c>
      <c r="CH80" s="9" t="str" cm="1">
        <f t="array" ref="CH80">IF(OR(B80="",B79=""),"",_xlfn.LET(_xlpm.a,C80,_xlpm.b,REPT("0",A80-LEN(C79))&amp;C79,_xlpm.n,A80,_xlpm.m,MID(_xlpm.a,_xlfn.SEQUENCE(_xlpm.n,,_xlpm.n,-1),1)=MID(_xlpm.b,_xlfn.SEQUENCE(_xlpm.n,,_xlpm.n,-1),1),IFERROR(MATCH(FALSE,_xlpm.m,0)-1,_xlpm.n)))</f>
        <v/>
      </c>
      <c r="CI80" s="38" t="str">
        <f>IF(OR(B80="",B79=""),"",F80-F79)</f>
        <v/>
      </c>
      <c r="CJ80" s="5" t="str">
        <f>IF(OR(B80="",B79=""),"",IFERROR(FIND(B79,B80)&gt;0,FALSE))</f>
        <v/>
      </c>
      <c r="CK80" s="5" t="str">
        <f>IF(OR(B80="",B79=""),"",IFERROR(FIND(C79,C80)&gt;0,FALSE))</f>
        <v/>
      </c>
      <c r="CL80" s="9" t="str">
        <f>IF(OR(B80="",B79=""),"",IFERROR(FIND(C79,C80),""))</f>
        <v/>
      </c>
      <c r="CM80" s="6" t="str" cm="1">
        <f t="array" ref="CM80">IF(OR(B80="",B79=""),"",_xlfn.LET(_xlpm.pv,D79,_xlpm.ra,BIGSUB(D80,_xlpm.pv),_xlpm.rb,BIGSUB(_xlpm.ra,_xlpm.pv),_xlpm.rc,BIGSUB(_xlpm.rb,_xlpm.pv),IF(LEFT(_xlpm.rb,1)="-",_xlpm.ra,IF(LEFT(_xlpm.rc,1)="-",_xlpm.rb,_xlpm.rc))))</f>
        <v/>
      </c>
      <c r="CN80" s="38" t="str">
        <f>IF(B80="","",F80-0.5)</f>
        <v/>
      </c>
      <c r="CO80" s="15" t="str" cm="1">
        <f t="array" ref="CO80">IF(B80="","",_xlfn.TEXTJOIN("",,MID(B80,_xlfn.SEQUENCE(LEN(B80),,LEN(B80),-1),1)))</f>
        <v/>
      </c>
      <c r="CP80" s="6" t="str" cm="1">
        <f t="array" ref="CP80">IF(B80="","",BASE2DEC(CO80,16))</f>
        <v/>
      </c>
      <c r="CQ80" s="5" t="str">
        <f>IF(B80="","",IF(AND(LEN(B80)&lt;16,LEN(B80)=LEN(SUBSTITUTE(SUBSTITUTE(SUBSTITUTE(SUBSTITUTE(SUBSTITUTE(SUBSTITUTE(B80,"a",""),"b",""),"c",""),"d",""),"e",""),"f",""))),--B80,""))</f>
        <v/>
      </c>
      <c r="CR80" s="6" t="str" cm="1">
        <f t="array" ref="CR80">IF(B80="","",IF(LEN(D80)&lt;=15,BASE2DEC(D80,16),""))</f>
        <v/>
      </c>
      <c r="CS80" s="15" t="str" cm="1">
        <f t="array" ref="CS80">IF(B80="","",_xlfn.LET(_xlpm.p,REPT("0",MOD(-LEN(B80),4))&amp;B80,_xlfn.TEXTJOIN(" ",,MID(_xlpm.p,_xlfn.SEQUENCE(LEN(_xlpm.p)/4,,1,4),4))))</f>
        <v/>
      </c>
      <c r="CT80" s="15" t="str" cm="1">
        <f t="array" ref="CT80">IF(B80="","",UPPER(_xlfn.LET(_xlpm.p,REPT("0",64-LEN(B80))&amp;B80,_xlfn.TEXTJOIN(" ",,MID(_xlpm.p,_xlfn.SEQUENCE(8,,1,8),8)))))</f>
        <v/>
      </c>
      <c r="CU80" s="6" t="str" cm="1">
        <f t="array" ref="CU80">IF(B80="","",IF(LEN(D80)&lt;=6,_xlfn.LET(_xlpm.n,VALUE(D80)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0" s="39" t="s">
        <v>888</v>
      </c>
      <c r="CW80" s="39" t="s">
        <v>888</v>
      </c>
      <c r="CX80" s="39" t="s">
        <v>888</v>
      </c>
      <c r="CY80" s="7" t="s">
        <v>888</v>
      </c>
      <c r="CZ80" s="39" t="s">
        <v>888</v>
      </c>
      <c r="DA80" s="39" t="s">
        <v>888</v>
      </c>
      <c r="DB80" s="39" t="s">
        <v>888</v>
      </c>
      <c r="DC80" s="7" t="s">
        <v>888</v>
      </c>
      <c r="DD80" s="7" t="s">
        <v>888</v>
      </c>
      <c r="DE80" s="7" t="s">
        <v>888</v>
      </c>
      <c r="DF80" s="7" t="s">
        <v>888</v>
      </c>
      <c r="DG80" s="7" t="s">
        <v>888</v>
      </c>
      <c r="DH80" s="39" t="s">
        <v>888</v>
      </c>
      <c r="DI80" s="7" t="s">
        <v>888</v>
      </c>
      <c r="DJ80" s="7" t="s">
        <v>888</v>
      </c>
      <c r="DK80" s="7" t="s">
        <v>888</v>
      </c>
      <c r="DL80" s="7" t="s">
        <v>888</v>
      </c>
      <c r="DM80" s="7" t="s">
        <v>888</v>
      </c>
      <c r="DN80" s="7" t="s">
        <v>888</v>
      </c>
      <c r="DO80" s="7" t="s">
        <v>888</v>
      </c>
      <c r="DP80" s="7" t="s">
        <v>888</v>
      </c>
      <c r="DQ80" s="7" t="s">
        <v>888</v>
      </c>
      <c r="DR80" s="7" t="s">
        <v>888</v>
      </c>
      <c r="DS80" s="7" t="s">
        <v>888</v>
      </c>
      <c r="DT80" s="15" t="str" cm="1">
        <f t="array" ref="DT80">IF(B80="","",_xlfn.TEXTJOIN("",,HEX2BIN(MID(BQ80,_xlfn.SEQUENCE(40),1),4)))</f>
        <v/>
      </c>
    </row>
    <row r="81" spans="1:124" x14ac:dyDescent="0.25">
      <c r="A81" s="9">
        <v>80</v>
      </c>
      <c r="B81" s="15" t="s">
        <v>4086</v>
      </c>
      <c r="C81" s="15" t="s">
        <v>4087</v>
      </c>
      <c r="D81" s="6" t="s">
        <v>4088</v>
      </c>
      <c r="E81" s="6" t="s">
        <v>4089</v>
      </c>
      <c r="F81" s="10">
        <v>0.82892947218488822</v>
      </c>
      <c r="G81" s="9">
        <v>37</v>
      </c>
      <c r="H81" s="9">
        <v>7</v>
      </c>
      <c r="I81" s="15" t="s">
        <v>888</v>
      </c>
      <c r="J81" s="9" t="s">
        <v>888</v>
      </c>
      <c r="K81" s="15" t="s">
        <v>4090</v>
      </c>
      <c r="L81" s="15" t="s">
        <v>4091</v>
      </c>
      <c r="M81" s="15" t="s">
        <v>4092</v>
      </c>
      <c r="N81" s="15" t="s">
        <v>4093</v>
      </c>
      <c r="O81" s="6" t="s">
        <v>4094</v>
      </c>
      <c r="P81" s="15" t="s">
        <v>4095</v>
      </c>
      <c r="Q81" s="15" t="s">
        <v>4096</v>
      </c>
      <c r="R81" s="6" t="s">
        <v>4097</v>
      </c>
      <c r="S81" s="15" t="s">
        <v>4098</v>
      </c>
      <c r="T81" s="11" t="s">
        <v>888</v>
      </c>
      <c r="U81" s="10">
        <v>0.46250000000000002</v>
      </c>
      <c r="V81" s="7" t="s">
        <v>892</v>
      </c>
      <c r="W81" s="7" t="s">
        <v>893</v>
      </c>
      <c r="X81" s="7" t="s">
        <v>894</v>
      </c>
      <c r="Y81" s="15" t="s">
        <v>4099</v>
      </c>
      <c r="Z81" s="9">
        <v>44</v>
      </c>
      <c r="AA81" s="9">
        <v>48</v>
      </c>
      <c r="AB81" s="9">
        <v>87</v>
      </c>
      <c r="AC81" s="13">
        <v>0.89442719099991586</v>
      </c>
      <c r="AD81" s="13">
        <v>1.7888543819998317</v>
      </c>
      <c r="AE81" s="9">
        <v>25</v>
      </c>
      <c r="AF81" s="9">
        <v>103</v>
      </c>
      <c r="AG81" s="9">
        <v>4</v>
      </c>
      <c r="AH81" s="6" t="s">
        <v>4100</v>
      </c>
      <c r="AI81" s="10">
        <v>79.870999442450781</v>
      </c>
      <c r="AJ81" s="10">
        <v>78.729321263217756</v>
      </c>
      <c r="AK81" s="15" t="s">
        <v>4101</v>
      </c>
      <c r="AL81" s="15" t="s">
        <v>4102</v>
      </c>
      <c r="AM81" s="15" t="s">
        <v>4103</v>
      </c>
      <c r="AN81" s="9">
        <v>7</v>
      </c>
      <c r="AO81" s="9">
        <v>3</v>
      </c>
      <c r="AP81" s="9">
        <v>42</v>
      </c>
      <c r="AQ81" s="15" t="s">
        <v>4104</v>
      </c>
      <c r="AR81" s="9">
        <v>10</v>
      </c>
      <c r="AS81" s="6" t="s">
        <v>976</v>
      </c>
      <c r="AT81" s="15" t="s">
        <v>4105</v>
      </c>
      <c r="AU81" s="9">
        <v>1</v>
      </c>
      <c r="AV81" s="9">
        <v>1</v>
      </c>
      <c r="AW81" s="9">
        <v>3</v>
      </c>
      <c r="AX81" s="9">
        <v>8</v>
      </c>
      <c r="AY81" s="9">
        <v>128</v>
      </c>
      <c r="AZ81" s="9">
        <v>53632</v>
      </c>
      <c r="BA81" s="6" t="s">
        <v>888</v>
      </c>
      <c r="BB81" s="6" t="s">
        <v>888</v>
      </c>
      <c r="BC81" s="6" t="s">
        <v>4106</v>
      </c>
      <c r="BD81" s="15" t="s">
        <v>4107</v>
      </c>
      <c r="BE81" s="15" t="s">
        <v>4108</v>
      </c>
      <c r="BF81" s="15" t="s">
        <v>4109</v>
      </c>
      <c r="BG81" s="15" t="s">
        <v>4110</v>
      </c>
      <c r="BH81" s="6" t="s">
        <v>4111</v>
      </c>
      <c r="BI81" s="17" t="s">
        <v>888</v>
      </c>
      <c r="BJ81" s="7" t="s">
        <v>1757</v>
      </c>
      <c r="BK81" s="7" t="s">
        <v>1758</v>
      </c>
      <c r="BL81" s="7" t="s">
        <v>1759</v>
      </c>
      <c r="BM81" s="16" t="s">
        <v>1760</v>
      </c>
      <c r="BN81" s="16" t="s">
        <v>1761</v>
      </c>
      <c r="BO81" s="16" t="s">
        <v>1762</v>
      </c>
      <c r="BP81" s="16" t="s">
        <v>1763</v>
      </c>
      <c r="BQ81" s="16" t="s">
        <v>1764</v>
      </c>
      <c r="BR81" s="7" t="s">
        <v>1765</v>
      </c>
      <c r="BS81" s="7" t="s">
        <v>1766</v>
      </c>
      <c r="BT81" s="7" t="s">
        <v>1767</v>
      </c>
      <c r="BU81" s="14">
        <v>9.5474573252017729E-54</v>
      </c>
      <c r="BV81" s="15" t="s">
        <v>4112</v>
      </c>
      <c r="BW81" s="9">
        <v>30</v>
      </c>
      <c r="BX81" s="9">
        <v>36</v>
      </c>
      <c r="BY81" s="13">
        <v>-2.2360679774997898</v>
      </c>
      <c r="BZ81" s="13">
        <v>-0.89442719099991586</v>
      </c>
      <c r="CA81" s="12">
        <f>IF(B81="","",IF(A81&lt;8,"",_xlfn.LET(_xlpm.n,A81,_xlpm.k,G81,_xlpm.R,AP81,_xlpm.mu,1+2*_xlpm.k*(_xlpm.n-_xlpm.k)/_xlpm.n,_xlpm.v,2*_xlpm.k*(_xlpm.n-_xlpm.k)*(2*_xlpm.k*(_xlpm.n-_xlpm.k)-_xlpm.n)/(_xlpm.n^2*(_xlpm.n-1)),IF(_xlpm.v&lt;=0,"",(_xlpm.R-_xlpm.mu)/SQRT(_xlpm.v)))))</f>
        <v>0.2772481372573945</v>
      </c>
      <c r="CB81" s="37" cm="1">
        <f t="array" ref="CB81">IF(B81="","",IF(A81&lt;8,"",_xlfn.LET(_xlpm.b,--MID(C81,_xlfn.SEQUENCE(A81-1),1),_xlpm.c,--MID(C81,_xlfn.SEQUENCE(A81-1,,2),1),IFERROR(CORREL(_xlpm.b,_xlpm.c),""))))</f>
        <v>-4.3842764154414349E-2</v>
      </c>
      <c r="CC81" s="8">
        <f>IF(B81="","",LOG(A81,2))</f>
        <v>6.3219280948873617</v>
      </c>
      <c r="CD81" s="8">
        <f>IF(B81="","",MAX(AN81,AO81)-CC81)</f>
        <v>0.67807190511263826</v>
      </c>
      <c r="CE81" s="8" cm="1">
        <f t="array" ref="CE81">IF(B81="","",IF(LEN(B81)&lt;16,"",_xlfn.LET(_xlpm.d,MID("0123456789abcdef",_xlfn.SEQUENCE(16),1),_xlpm.c,LEN(B81)-LEN(SUBSTITUTE(B81,_xlpm.d,"")),_xlpm.ex,LEN(B81)/16,SUM((_xlpm.c-_xlpm.ex)^2/_xlpm.ex))))</f>
        <v>20</v>
      </c>
      <c r="CF81" s="37">
        <f>IF(CE81="","",_xlfn.CHISQ.DIST.RT(CE81,15))</f>
        <v>0.17193268937660089</v>
      </c>
      <c r="CG81" s="9" t="str" cm="1">
        <f t="array" ref="CG81">IF(OR(B81="",B80=""),"",_xlfn.LET(_xlpm.a,C81,_xlpm.b,REPT("0",A81-LEN(C80))&amp;C80,_xlpm.m,MID(_xlpm.a,_xlfn.SEQUENCE(A81),1)=MID(_xlpm.b,_xlfn.SEQUENCE(A81),1),IFERROR(MATCH(FALSE,_xlpm.m,0)-1,A81)))</f>
        <v/>
      </c>
      <c r="CH81" s="9" t="str" cm="1">
        <f t="array" ref="CH81">IF(OR(B81="",B80=""),"",_xlfn.LET(_xlpm.a,C81,_xlpm.b,REPT("0",A81-LEN(C80))&amp;C80,_xlpm.n,A81,_xlpm.m,MID(_xlpm.a,_xlfn.SEQUENCE(_xlpm.n,,_xlpm.n,-1),1)=MID(_xlpm.b,_xlfn.SEQUENCE(_xlpm.n,,_xlpm.n,-1),1),IFERROR(MATCH(FALSE,_xlpm.m,0)-1,_xlpm.n)))</f>
        <v/>
      </c>
      <c r="CI81" s="38" t="str">
        <f>IF(OR(B81="",B80=""),"",F81-F80)</f>
        <v/>
      </c>
      <c r="CJ81" s="5" t="str">
        <f>IF(OR(B81="",B80=""),"",IFERROR(FIND(B80,B81)&gt;0,FALSE))</f>
        <v/>
      </c>
      <c r="CK81" s="5" t="str">
        <f>IF(OR(B81="",B80=""),"",IFERROR(FIND(C80,C81)&gt;0,FALSE))</f>
        <v/>
      </c>
      <c r="CL81" s="9" t="str">
        <f>IF(OR(B81="",B80=""),"",IFERROR(FIND(C80,C81),""))</f>
        <v/>
      </c>
      <c r="CM81" s="6" t="str" cm="1">
        <f t="array" ref="CM81">IF(OR(B81="",B80=""),"",_xlfn.LET(_xlpm.pv,D80,_xlpm.ra,BIGSUB(D81,_xlpm.pv),_xlpm.rb,BIGSUB(_xlpm.ra,_xlpm.pv),_xlpm.rc,BIGSUB(_xlpm.rb,_xlpm.pv),IF(LEFT(_xlpm.rb,1)="-",_xlpm.ra,IF(LEFT(_xlpm.rc,1)="-",_xlpm.rb,_xlpm.rc))))</f>
        <v/>
      </c>
      <c r="CN81" s="38">
        <f>IF(B81="","",F81-0.5)</f>
        <v>0.32892947218488822</v>
      </c>
      <c r="CO81" s="15" t="str" cm="1">
        <f t="array" ref="CO81">IF(B81="","",_xlfn.TEXTJOIN("",,MID(B81,_xlfn.SEQUENCE(LEN(B81),,LEN(B81),-1),1)))</f>
        <v>081da5b11ccd66c5a1ae</v>
      </c>
      <c r="CP81" s="6" t="str" cm="1">
        <f t="array" ref="CP81">IF(B81="","",BASE2DEC(CO81,16))</f>
        <v>38325826796850392703406</v>
      </c>
      <c r="CQ81" s="5" t="str">
        <f>IF(B81="","",IF(AND(LEN(B81)&lt;16,LEN(B81)=LEN(SUBSTITUTE(SUBSTITUTE(SUBSTITUTE(SUBSTITUTE(SUBSTITUTE(SUBSTITUTE(B81,"a",""),"b",""),"c",""),"d",""),"e",""),"f",""))),--B81,""))</f>
        <v/>
      </c>
      <c r="CR81" s="6" t="str" cm="1">
        <f t="array" ref="CR81">IF(B81="","",IF(LEN(D81)&lt;=15,BASE2DEC(D81,16),""))</f>
        <v/>
      </c>
      <c r="CS81" s="15" t="str" cm="1">
        <f t="array" ref="CS81">IF(B81="","",_xlfn.LET(_xlpm.p,REPT("0",MOD(-LEN(B81),4))&amp;B81,_xlfn.TEXTJOIN(" ",,MID(_xlpm.p,_xlfn.SEQUENCE(LEN(_xlpm.p)/4,,1,4),4))))</f>
        <v>ea1a 5c66 dcc1 1b5a d180</v>
      </c>
      <c r="CT81" s="15" t="str" cm="1">
        <f t="array" ref="CT81">IF(B81="","",UPPER(_xlfn.LET(_xlpm.p,REPT("0",64-LEN(B81))&amp;B81,_xlfn.TEXTJOIN(" ",,MID(_xlpm.p,_xlfn.SEQUENCE(8,,1,8),8)))))</f>
        <v>00000000 00000000 00000000 00000000 00000000 0000EA1A 5C66DCC1 1B5AD180</v>
      </c>
      <c r="CU81" s="6" t="str" cm="1">
        <f t="array" ref="CU81">IF(B81="","",IF(LEN(D81)&lt;=6,_xlfn.LET(_xlpm.n,VALUE(D81)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1" s="39" t="s">
        <v>4444</v>
      </c>
      <c r="CW81" s="39" t="s">
        <v>1895</v>
      </c>
      <c r="CX81" s="39" t="s">
        <v>2081</v>
      </c>
      <c r="CY81" s="7" t="s">
        <v>4838</v>
      </c>
      <c r="CZ81" s="39" t="s">
        <v>4444</v>
      </c>
      <c r="DA81" s="39" t="s">
        <v>4444</v>
      </c>
      <c r="DB81" s="39">
        <v>80</v>
      </c>
      <c r="DC81" s="7" t="s">
        <v>4839</v>
      </c>
      <c r="DD81" s="7" t="s">
        <v>4840</v>
      </c>
      <c r="DE81" s="7" t="s">
        <v>4841</v>
      </c>
      <c r="DF81" s="7" t="s">
        <v>4842</v>
      </c>
      <c r="DG81" s="7" t="s">
        <v>4843</v>
      </c>
      <c r="DH81" s="39" t="s">
        <v>4452</v>
      </c>
      <c r="DI81" s="7" t="s">
        <v>5633</v>
      </c>
      <c r="DJ81" s="7" t="s">
        <v>5634</v>
      </c>
      <c r="DK81" s="7" t="s">
        <v>5635</v>
      </c>
      <c r="DL81" s="7" t="s">
        <v>5636</v>
      </c>
      <c r="DM81" s="7" t="s">
        <v>5637</v>
      </c>
      <c r="DN81" s="7" t="s">
        <v>5638</v>
      </c>
      <c r="DO81" s="7" t="s">
        <v>5639</v>
      </c>
      <c r="DP81" s="7" t="s">
        <v>5640</v>
      </c>
      <c r="DQ81" s="7" t="s">
        <v>5641</v>
      </c>
      <c r="DR81" s="7" t="s">
        <v>5642</v>
      </c>
      <c r="DS81" s="7" t="s">
        <v>5826</v>
      </c>
      <c r="DT81" s="15" t="str" cm="1">
        <f t="array" ref="DT81">IF(B81="","",_xlfn.TEXTJOIN("",,HEX2BIN(MID(BQ81,_xlfn.SEQUENCE(40),1),4)))</f>
        <v>0000011111011110101110011001110001110000011000110101010001111010000011111010110010001111111010000011010011000110001001100110110111001101001111100010011100001111</v>
      </c>
    </row>
    <row r="82" spans="1:124" x14ac:dyDescent="0.25">
      <c r="A82" s="9">
        <v>81</v>
      </c>
      <c r="B82" s="15" t="s">
        <v>888</v>
      </c>
      <c r="C82" s="15" t="s">
        <v>888</v>
      </c>
      <c r="D82" s="6" t="s">
        <v>888</v>
      </c>
      <c r="E82" s="6" t="s">
        <v>888</v>
      </c>
      <c r="F82" s="10" t="s">
        <v>888</v>
      </c>
      <c r="G82" s="9" t="s">
        <v>888</v>
      </c>
      <c r="H82" s="9" t="s">
        <v>888</v>
      </c>
      <c r="I82" s="15" t="s">
        <v>888</v>
      </c>
      <c r="J82" s="9" t="s">
        <v>888</v>
      </c>
      <c r="K82" s="15" t="s">
        <v>888</v>
      </c>
      <c r="L82" s="15" t="s">
        <v>888</v>
      </c>
      <c r="M82" s="15" t="s">
        <v>888</v>
      </c>
      <c r="N82" s="15" t="s">
        <v>888</v>
      </c>
      <c r="O82" s="6" t="s">
        <v>888</v>
      </c>
      <c r="P82" s="15" t="s">
        <v>888</v>
      </c>
      <c r="Q82" s="15" t="s">
        <v>888</v>
      </c>
      <c r="R82" s="6" t="s">
        <v>888</v>
      </c>
      <c r="S82" s="15" t="s">
        <v>888</v>
      </c>
      <c r="T82" s="11" t="s">
        <v>888</v>
      </c>
      <c r="U82" s="10" t="s">
        <v>888</v>
      </c>
      <c r="V82" s="7" t="s">
        <v>888</v>
      </c>
      <c r="W82" s="7" t="s">
        <v>888</v>
      </c>
      <c r="X82" s="7" t="s">
        <v>888</v>
      </c>
      <c r="Y82" s="15" t="s">
        <v>888</v>
      </c>
      <c r="Z82" s="9" t="s">
        <v>888</v>
      </c>
      <c r="AA82" s="9" t="s">
        <v>888</v>
      </c>
      <c r="AB82" s="9" t="s">
        <v>888</v>
      </c>
      <c r="AC82" s="13" t="s">
        <v>888</v>
      </c>
      <c r="AD82" s="13" t="s">
        <v>888</v>
      </c>
      <c r="AE82" s="9" t="s">
        <v>888</v>
      </c>
      <c r="AF82" s="9" t="s">
        <v>888</v>
      </c>
      <c r="AG82" s="9" t="s">
        <v>888</v>
      </c>
      <c r="AH82" s="6" t="s">
        <v>888</v>
      </c>
      <c r="AI82" s="10" t="s">
        <v>888</v>
      </c>
      <c r="AJ82" s="10" t="s">
        <v>888</v>
      </c>
      <c r="AK82" s="15" t="s">
        <v>888</v>
      </c>
      <c r="AL82" s="15" t="s">
        <v>888</v>
      </c>
      <c r="AM82" s="15" t="s">
        <v>888</v>
      </c>
      <c r="AN82" s="9" t="s">
        <v>888</v>
      </c>
      <c r="AO82" s="9" t="s">
        <v>888</v>
      </c>
      <c r="AP82" s="9" t="s">
        <v>888</v>
      </c>
      <c r="AQ82" s="15" t="s">
        <v>888</v>
      </c>
      <c r="AR82" s="9" t="s">
        <v>888</v>
      </c>
      <c r="AS82" s="6" t="s">
        <v>888</v>
      </c>
      <c r="AT82" s="15" t="s">
        <v>888</v>
      </c>
      <c r="AU82" s="9" t="s">
        <v>888</v>
      </c>
      <c r="AV82" s="9" t="s">
        <v>888</v>
      </c>
      <c r="AW82" s="9" t="s">
        <v>888</v>
      </c>
      <c r="AX82" s="9" t="s">
        <v>888</v>
      </c>
      <c r="AY82" s="9" t="s">
        <v>888</v>
      </c>
      <c r="AZ82" s="9" t="s">
        <v>888</v>
      </c>
      <c r="BA82" s="6" t="s">
        <v>888</v>
      </c>
      <c r="BB82" s="6" t="s">
        <v>888</v>
      </c>
      <c r="BC82" s="6" t="s">
        <v>888</v>
      </c>
      <c r="BD82" s="15" t="s">
        <v>888</v>
      </c>
      <c r="BE82" s="15" t="s">
        <v>888</v>
      </c>
      <c r="BF82" s="15" t="s">
        <v>888</v>
      </c>
      <c r="BG82" s="15" t="s">
        <v>888</v>
      </c>
      <c r="BH82" s="6" t="s">
        <v>888</v>
      </c>
      <c r="BI82" s="17" t="s">
        <v>888</v>
      </c>
      <c r="BJ82" s="7" t="s">
        <v>888</v>
      </c>
      <c r="BK82" s="7" t="s">
        <v>888</v>
      </c>
      <c r="BL82" s="7" t="s">
        <v>888</v>
      </c>
      <c r="BM82" s="16" t="s">
        <v>888</v>
      </c>
      <c r="BN82" s="16" t="s">
        <v>888</v>
      </c>
      <c r="BO82" s="16" t="s">
        <v>888</v>
      </c>
      <c r="BP82" s="16" t="s">
        <v>888</v>
      </c>
      <c r="BQ82" s="16" t="s">
        <v>888</v>
      </c>
      <c r="BR82" s="7" t="s">
        <v>888</v>
      </c>
      <c r="BS82" s="7" t="s">
        <v>888</v>
      </c>
      <c r="BT82" s="7" t="s">
        <v>888</v>
      </c>
      <c r="BU82" s="14" t="s">
        <v>888</v>
      </c>
      <c r="BV82" s="15" t="s">
        <v>888</v>
      </c>
      <c r="BW82" s="9" t="s">
        <v>888</v>
      </c>
      <c r="BX82" s="9" t="s">
        <v>888</v>
      </c>
      <c r="BY82" s="13" t="s">
        <v>888</v>
      </c>
      <c r="BZ82" s="13" t="s">
        <v>888</v>
      </c>
      <c r="CA82" s="12" t="str">
        <f>IF(B82="","",IF(A82&lt;8,"",_xlfn.LET(_xlpm.n,A82,_xlpm.k,G82,_xlpm.R,AP82,_xlpm.mu,1+2*_xlpm.k*(_xlpm.n-_xlpm.k)/_xlpm.n,_xlpm.v,2*_xlpm.k*(_xlpm.n-_xlpm.k)*(2*_xlpm.k*(_xlpm.n-_xlpm.k)-_xlpm.n)/(_xlpm.n^2*(_xlpm.n-1)),IF(_xlpm.v&lt;=0,"",(_xlpm.R-_xlpm.mu)/SQRT(_xlpm.v)))))</f>
        <v/>
      </c>
      <c r="CB82" s="37" t="str" cm="1">
        <f t="array" ref="CB82">IF(B82="","",IF(A82&lt;8,"",_xlfn.LET(_xlpm.b,--MID(C82,_xlfn.SEQUENCE(A82-1),1),_xlpm.c,--MID(C82,_xlfn.SEQUENCE(A82-1,,2),1),IFERROR(CORREL(_xlpm.b,_xlpm.c),""))))</f>
        <v/>
      </c>
      <c r="CC82" s="8" t="str">
        <f>IF(B82="","",LOG(A82,2))</f>
        <v/>
      </c>
      <c r="CD82" s="8" t="str">
        <f>IF(B82="","",MAX(AN82,AO82)-CC82)</f>
        <v/>
      </c>
      <c r="CE82" s="8" t="str" cm="1">
        <f t="array" ref="CE82">IF(B82="","",IF(LEN(B82)&lt;16,"",_xlfn.LET(_xlpm.d,MID("0123456789abcdef",_xlfn.SEQUENCE(16),1),_xlpm.c,LEN(B82)-LEN(SUBSTITUTE(B82,_xlpm.d,"")),_xlpm.ex,LEN(B82)/16,SUM((_xlpm.c-_xlpm.ex)^2/_xlpm.ex))))</f>
        <v/>
      </c>
      <c r="CF82" s="37" t="str">
        <f>IF(CE82="","",_xlfn.CHISQ.DIST.RT(CE82,15))</f>
        <v/>
      </c>
      <c r="CG82" s="9" t="str" cm="1">
        <f t="array" ref="CG82">IF(OR(B82="",B81=""),"",_xlfn.LET(_xlpm.a,C82,_xlpm.b,REPT("0",A82-LEN(C81))&amp;C81,_xlpm.m,MID(_xlpm.a,_xlfn.SEQUENCE(A82),1)=MID(_xlpm.b,_xlfn.SEQUENCE(A82),1),IFERROR(MATCH(FALSE,_xlpm.m,0)-1,A82)))</f>
        <v/>
      </c>
      <c r="CH82" s="9" t="str" cm="1">
        <f t="array" ref="CH82">IF(OR(B82="",B81=""),"",_xlfn.LET(_xlpm.a,C82,_xlpm.b,REPT("0",A82-LEN(C81))&amp;C81,_xlpm.n,A82,_xlpm.m,MID(_xlpm.a,_xlfn.SEQUENCE(_xlpm.n,,_xlpm.n,-1),1)=MID(_xlpm.b,_xlfn.SEQUENCE(_xlpm.n,,_xlpm.n,-1),1),IFERROR(MATCH(FALSE,_xlpm.m,0)-1,_xlpm.n)))</f>
        <v/>
      </c>
      <c r="CI82" s="38" t="str">
        <f>IF(OR(B82="",B81=""),"",F82-F81)</f>
        <v/>
      </c>
      <c r="CJ82" s="5" t="str">
        <f>IF(OR(B82="",B81=""),"",IFERROR(FIND(B81,B82)&gt;0,FALSE))</f>
        <v/>
      </c>
      <c r="CK82" s="5" t="str">
        <f>IF(OR(B82="",B81=""),"",IFERROR(FIND(C81,C82)&gt;0,FALSE))</f>
        <v/>
      </c>
      <c r="CL82" s="9" t="str">
        <f>IF(OR(B82="",B81=""),"",IFERROR(FIND(C81,C82),""))</f>
        <v/>
      </c>
      <c r="CM82" s="6" t="str" cm="1">
        <f t="array" ref="CM82">IF(OR(B82="",B81=""),"",_xlfn.LET(_xlpm.pv,D81,_xlpm.ra,BIGSUB(D82,_xlpm.pv),_xlpm.rb,BIGSUB(_xlpm.ra,_xlpm.pv),_xlpm.rc,BIGSUB(_xlpm.rb,_xlpm.pv),IF(LEFT(_xlpm.rb,1)="-",_xlpm.ra,IF(LEFT(_xlpm.rc,1)="-",_xlpm.rb,_xlpm.rc))))</f>
        <v/>
      </c>
      <c r="CN82" s="38" t="str">
        <f>IF(B82="","",F82-0.5)</f>
        <v/>
      </c>
      <c r="CO82" s="15" t="str" cm="1">
        <f t="array" ref="CO82">IF(B82="","",_xlfn.TEXTJOIN("",,MID(B82,_xlfn.SEQUENCE(LEN(B82),,LEN(B82),-1),1)))</f>
        <v/>
      </c>
      <c r="CP82" s="6" t="str" cm="1">
        <f t="array" ref="CP82">IF(B82="","",BASE2DEC(CO82,16))</f>
        <v/>
      </c>
      <c r="CQ82" s="5" t="str">
        <f>IF(B82="","",IF(AND(LEN(B82)&lt;16,LEN(B82)=LEN(SUBSTITUTE(SUBSTITUTE(SUBSTITUTE(SUBSTITUTE(SUBSTITUTE(SUBSTITUTE(B82,"a",""),"b",""),"c",""),"d",""),"e",""),"f",""))),--B82,""))</f>
        <v/>
      </c>
      <c r="CR82" s="6" t="str" cm="1">
        <f t="array" ref="CR82">IF(B82="","",IF(LEN(D82)&lt;=15,BASE2DEC(D82,16),""))</f>
        <v/>
      </c>
      <c r="CS82" s="15" t="str" cm="1">
        <f t="array" ref="CS82">IF(B82="","",_xlfn.LET(_xlpm.p,REPT("0",MOD(-LEN(B82),4))&amp;B82,_xlfn.TEXTJOIN(" ",,MID(_xlpm.p,_xlfn.SEQUENCE(LEN(_xlpm.p)/4,,1,4),4))))</f>
        <v/>
      </c>
      <c r="CT82" s="15" t="str" cm="1">
        <f t="array" ref="CT82">IF(B82="","",UPPER(_xlfn.LET(_xlpm.p,REPT("0",64-LEN(B82))&amp;B82,_xlfn.TEXTJOIN(" ",,MID(_xlpm.p,_xlfn.SEQUENCE(8,,1,8),8)))))</f>
        <v/>
      </c>
      <c r="CU82" s="6" t="str" cm="1">
        <f t="array" ref="CU82">IF(B82="","",IF(LEN(D82)&lt;=6,_xlfn.LET(_xlpm.n,VALUE(D82)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2" s="39" t="s">
        <v>888</v>
      </c>
      <c r="CW82" s="39" t="s">
        <v>888</v>
      </c>
      <c r="CX82" s="39" t="s">
        <v>888</v>
      </c>
      <c r="CY82" s="7" t="s">
        <v>888</v>
      </c>
      <c r="CZ82" s="39" t="s">
        <v>888</v>
      </c>
      <c r="DA82" s="39" t="s">
        <v>888</v>
      </c>
      <c r="DB82" s="39" t="s">
        <v>888</v>
      </c>
      <c r="DC82" s="7" t="s">
        <v>888</v>
      </c>
      <c r="DD82" s="7" t="s">
        <v>888</v>
      </c>
      <c r="DE82" s="7" t="s">
        <v>888</v>
      </c>
      <c r="DF82" s="7" t="s">
        <v>888</v>
      </c>
      <c r="DG82" s="7" t="s">
        <v>888</v>
      </c>
      <c r="DH82" s="39" t="s">
        <v>888</v>
      </c>
      <c r="DI82" s="7" t="s">
        <v>888</v>
      </c>
      <c r="DJ82" s="7" t="s">
        <v>888</v>
      </c>
      <c r="DK82" s="7" t="s">
        <v>888</v>
      </c>
      <c r="DL82" s="7" t="s">
        <v>888</v>
      </c>
      <c r="DM82" s="7" t="s">
        <v>888</v>
      </c>
      <c r="DN82" s="7" t="s">
        <v>888</v>
      </c>
      <c r="DO82" s="7" t="s">
        <v>888</v>
      </c>
      <c r="DP82" s="7" t="s">
        <v>888</v>
      </c>
      <c r="DQ82" s="7" t="s">
        <v>888</v>
      </c>
      <c r="DR82" s="7" t="s">
        <v>888</v>
      </c>
      <c r="DS82" s="7" t="s">
        <v>888</v>
      </c>
      <c r="DT82" s="15" t="str" cm="1">
        <f t="array" ref="DT82">IF(B82="","",_xlfn.TEXTJOIN("",,HEX2BIN(MID(BQ82,_xlfn.SEQUENCE(40),1),4)))</f>
        <v/>
      </c>
    </row>
    <row r="83" spans="1:124" x14ac:dyDescent="0.25">
      <c r="A83" s="9">
        <v>82</v>
      </c>
      <c r="B83" s="15" t="s">
        <v>888</v>
      </c>
      <c r="C83" s="15" t="s">
        <v>888</v>
      </c>
      <c r="D83" s="6" t="s">
        <v>888</v>
      </c>
      <c r="E83" s="6" t="s">
        <v>888</v>
      </c>
      <c r="F83" s="10" t="s">
        <v>888</v>
      </c>
      <c r="G83" s="9" t="s">
        <v>888</v>
      </c>
      <c r="H83" s="9" t="s">
        <v>888</v>
      </c>
      <c r="I83" s="15" t="s">
        <v>888</v>
      </c>
      <c r="J83" s="9" t="s">
        <v>888</v>
      </c>
      <c r="K83" s="15" t="s">
        <v>888</v>
      </c>
      <c r="L83" s="15" t="s">
        <v>888</v>
      </c>
      <c r="M83" s="15" t="s">
        <v>888</v>
      </c>
      <c r="N83" s="15" t="s">
        <v>888</v>
      </c>
      <c r="O83" s="6" t="s">
        <v>888</v>
      </c>
      <c r="P83" s="15" t="s">
        <v>888</v>
      </c>
      <c r="Q83" s="15" t="s">
        <v>888</v>
      </c>
      <c r="R83" s="6" t="s">
        <v>888</v>
      </c>
      <c r="S83" s="15" t="s">
        <v>888</v>
      </c>
      <c r="T83" s="11" t="s">
        <v>888</v>
      </c>
      <c r="U83" s="10" t="s">
        <v>888</v>
      </c>
      <c r="V83" s="7" t="s">
        <v>888</v>
      </c>
      <c r="W83" s="7" t="s">
        <v>888</v>
      </c>
      <c r="X83" s="7" t="s">
        <v>888</v>
      </c>
      <c r="Y83" s="15" t="s">
        <v>888</v>
      </c>
      <c r="Z83" s="9" t="s">
        <v>888</v>
      </c>
      <c r="AA83" s="9" t="s">
        <v>888</v>
      </c>
      <c r="AB83" s="9" t="s">
        <v>888</v>
      </c>
      <c r="AC83" s="13" t="s">
        <v>888</v>
      </c>
      <c r="AD83" s="13" t="s">
        <v>888</v>
      </c>
      <c r="AE83" s="9" t="s">
        <v>888</v>
      </c>
      <c r="AF83" s="9" t="s">
        <v>888</v>
      </c>
      <c r="AG83" s="9" t="s">
        <v>888</v>
      </c>
      <c r="AH83" s="6" t="s">
        <v>888</v>
      </c>
      <c r="AI83" s="10" t="s">
        <v>888</v>
      </c>
      <c r="AJ83" s="10" t="s">
        <v>888</v>
      </c>
      <c r="AK83" s="15" t="s">
        <v>888</v>
      </c>
      <c r="AL83" s="15" t="s">
        <v>888</v>
      </c>
      <c r="AM83" s="15" t="s">
        <v>888</v>
      </c>
      <c r="AN83" s="9" t="s">
        <v>888</v>
      </c>
      <c r="AO83" s="9" t="s">
        <v>888</v>
      </c>
      <c r="AP83" s="9" t="s">
        <v>888</v>
      </c>
      <c r="AQ83" s="15" t="s">
        <v>888</v>
      </c>
      <c r="AR83" s="9" t="s">
        <v>888</v>
      </c>
      <c r="AS83" s="6" t="s">
        <v>888</v>
      </c>
      <c r="AT83" s="15" t="s">
        <v>888</v>
      </c>
      <c r="AU83" s="9" t="s">
        <v>888</v>
      </c>
      <c r="AV83" s="9" t="s">
        <v>888</v>
      </c>
      <c r="AW83" s="9" t="s">
        <v>888</v>
      </c>
      <c r="AX83" s="9" t="s">
        <v>888</v>
      </c>
      <c r="AY83" s="9" t="s">
        <v>888</v>
      </c>
      <c r="AZ83" s="9" t="s">
        <v>888</v>
      </c>
      <c r="BA83" s="6" t="s">
        <v>888</v>
      </c>
      <c r="BB83" s="6" t="s">
        <v>888</v>
      </c>
      <c r="BC83" s="6" t="s">
        <v>888</v>
      </c>
      <c r="BD83" s="15" t="s">
        <v>888</v>
      </c>
      <c r="BE83" s="15" t="s">
        <v>888</v>
      </c>
      <c r="BF83" s="15" t="s">
        <v>888</v>
      </c>
      <c r="BG83" s="15" t="s">
        <v>888</v>
      </c>
      <c r="BH83" s="6" t="s">
        <v>888</v>
      </c>
      <c r="BI83" s="17" t="s">
        <v>888</v>
      </c>
      <c r="BJ83" s="7" t="s">
        <v>888</v>
      </c>
      <c r="BK83" s="7" t="s">
        <v>888</v>
      </c>
      <c r="BL83" s="7" t="s">
        <v>888</v>
      </c>
      <c r="BM83" s="16" t="s">
        <v>888</v>
      </c>
      <c r="BN83" s="16" t="s">
        <v>888</v>
      </c>
      <c r="BO83" s="16" t="s">
        <v>888</v>
      </c>
      <c r="BP83" s="16" t="s">
        <v>888</v>
      </c>
      <c r="BQ83" s="16" t="s">
        <v>888</v>
      </c>
      <c r="BR83" s="7" t="s">
        <v>888</v>
      </c>
      <c r="BS83" s="7" t="s">
        <v>888</v>
      </c>
      <c r="BT83" s="7" t="s">
        <v>888</v>
      </c>
      <c r="BU83" s="14" t="s">
        <v>888</v>
      </c>
      <c r="BV83" s="15" t="s">
        <v>888</v>
      </c>
      <c r="BW83" s="9" t="s">
        <v>888</v>
      </c>
      <c r="BX83" s="9" t="s">
        <v>888</v>
      </c>
      <c r="BY83" s="13" t="s">
        <v>888</v>
      </c>
      <c r="BZ83" s="13" t="s">
        <v>888</v>
      </c>
      <c r="CA83" s="12" t="str">
        <f>IF(B83="","",IF(A83&lt;8,"",_xlfn.LET(_xlpm.n,A83,_xlpm.k,G83,_xlpm.R,AP83,_xlpm.mu,1+2*_xlpm.k*(_xlpm.n-_xlpm.k)/_xlpm.n,_xlpm.v,2*_xlpm.k*(_xlpm.n-_xlpm.k)*(2*_xlpm.k*(_xlpm.n-_xlpm.k)-_xlpm.n)/(_xlpm.n^2*(_xlpm.n-1)),IF(_xlpm.v&lt;=0,"",(_xlpm.R-_xlpm.mu)/SQRT(_xlpm.v)))))</f>
        <v/>
      </c>
      <c r="CB83" s="37" t="str" cm="1">
        <f t="array" ref="CB83">IF(B83="","",IF(A83&lt;8,"",_xlfn.LET(_xlpm.b,--MID(C83,_xlfn.SEQUENCE(A83-1),1),_xlpm.c,--MID(C83,_xlfn.SEQUENCE(A83-1,,2),1),IFERROR(CORREL(_xlpm.b,_xlpm.c),""))))</f>
        <v/>
      </c>
      <c r="CC83" s="8" t="str">
        <f>IF(B83="","",LOG(A83,2))</f>
        <v/>
      </c>
      <c r="CD83" s="8" t="str">
        <f>IF(B83="","",MAX(AN83,AO83)-CC83)</f>
        <v/>
      </c>
      <c r="CE83" s="8" t="str" cm="1">
        <f t="array" ref="CE83">IF(B83="","",IF(LEN(B83)&lt;16,"",_xlfn.LET(_xlpm.d,MID("0123456789abcdef",_xlfn.SEQUENCE(16),1),_xlpm.c,LEN(B83)-LEN(SUBSTITUTE(B83,_xlpm.d,"")),_xlpm.ex,LEN(B83)/16,SUM((_xlpm.c-_xlpm.ex)^2/_xlpm.ex))))</f>
        <v/>
      </c>
      <c r="CF83" s="37" t="str">
        <f>IF(CE83="","",_xlfn.CHISQ.DIST.RT(CE83,15))</f>
        <v/>
      </c>
      <c r="CG83" s="9" t="str" cm="1">
        <f t="array" ref="CG83">IF(OR(B83="",B82=""),"",_xlfn.LET(_xlpm.a,C83,_xlpm.b,REPT("0",A83-LEN(C82))&amp;C82,_xlpm.m,MID(_xlpm.a,_xlfn.SEQUENCE(A83),1)=MID(_xlpm.b,_xlfn.SEQUENCE(A83),1),IFERROR(MATCH(FALSE,_xlpm.m,0)-1,A83)))</f>
        <v/>
      </c>
      <c r="CH83" s="9" t="str" cm="1">
        <f t="array" ref="CH83">IF(OR(B83="",B82=""),"",_xlfn.LET(_xlpm.a,C83,_xlpm.b,REPT("0",A83-LEN(C82))&amp;C82,_xlpm.n,A83,_xlpm.m,MID(_xlpm.a,_xlfn.SEQUENCE(_xlpm.n,,_xlpm.n,-1),1)=MID(_xlpm.b,_xlfn.SEQUENCE(_xlpm.n,,_xlpm.n,-1),1),IFERROR(MATCH(FALSE,_xlpm.m,0)-1,_xlpm.n)))</f>
        <v/>
      </c>
      <c r="CI83" s="38" t="str">
        <f>IF(OR(B83="",B82=""),"",F83-F82)</f>
        <v/>
      </c>
      <c r="CJ83" s="5" t="str">
        <f>IF(OR(B83="",B82=""),"",IFERROR(FIND(B82,B83)&gt;0,FALSE))</f>
        <v/>
      </c>
      <c r="CK83" s="5" t="str">
        <f>IF(OR(B83="",B82=""),"",IFERROR(FIND(C82,C83)&gt;0,FALSE))</f>
        <v/>
      </c>
      <c r="CL83" s="9" t="str">
        <f>IF(OR(B83="",B82=""),"",IFERROR(FIND(C82,C83),""))</f>
        <v/>
      </c>
      <c r="CM83" s="6" t="str" cm="1">
        <f t="array" ref="CM83">IF(OR(B83="",B82=""),"",_xlfn.LET(_xlpm.pv,D82,_xlpm.ra,BIGSUB(D83,_xlpm.pv),_xlpm.rb,BIGSUB(_xlpm.ra,_xlpm.pv),_xlpm.rc,BIGSUB(_xlpm.rb,_xlpm.pv),IF(LEFT(_xlpm.rb,1)="-",_xlpm.ra,IF(LEFT(_xlpm.rc,1)="-",_xlpm.rb,_xlpm.rc))))</f>
        <v/>
      </c>
      <c r="CN83" s="38" t="str">
        <f>IF(B83="","",F83-0.5)</f>
        <v/>
      </c>
      <c r="CO83" s="15" t="str" cm="1">
        <f t="array" ref="CO83">IF(B83="","",_xlfn.TEXTJOIN("",,MID(B83,_xlfn.SEQUENCE(LEN(B83),,LEN(B83),-1),1)))</f>
        <v/>
      </c>
      <c r="CP83" s="6" t="str" cm="1">
        <f t="array" ref="CP83">IF(B83="","",BASE2DEC(CO83,16))</f>
        <v/>
      </c>
      <c r="CQ83" s="5" t="str">
        <f>IF(B83="","",IF(AND(LEN(B83)&lt;16,LEN(B83)=LEN(SUBSTITUTE(SUBSTITUTE(SUBSTITUTE(SUBSTITUTE(SUBSTITUTE(SUBSTITUTE(B83,"a",""),"b",""),"c",""),"d",""),"e",""),"f",""))),--B83,""))</f>
        <v/>
      </c>
      <c r="CR83" s="6" t="str" cm="1">
        <f t="array" ref="CR83">IF(B83="","",IF(LEN(D83)&lt;=15,BASE2DEC(D83,16),""))</f>
        <v/>
      </c>
      <c r="CS83" s="15" t="str" cm="1">
        <f t="array" ref="CS83">IF(B83="","",_xlfn.LET(_xlpm.p,REPT("0",MOD(-LEN(B83),4))&amp;B83,_xlfn.TEXTJOIN(" ",,MID(_xlpm.p,_xlfn.SEQUENCE(LEN(_xlpm.p)/4,,1,4),4))))</f>
        <v/>
      </c>
      <c r="CT83" s="15" t="str" cm="1">
        <f t="array" ref="CT83">IF(B83="","",UPPER(_xlfn.LET(_xlpm.p,REPT("0",64-LEN(B83))&amp;B83,_xlfn.TEXTJOIN(" ",,MID(_xlpm.p,_xlfn.SEQUENCE(8,,1,8),8)))))</f>
        <v/>
      </c>
      <c r="CU83" s="6" t="str" cm="1">
        <f t="array" ref="CU83">IF(B83="","",IF(LEN(D83)&lt;=6,_xlfn.LET(_xlpm.n,VALUE(D83)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3" s="39" t="s">
        <v>888</v>
      </c>
      <c r="CW83" s="39" t="s">
        <v>888</v>
      </c>
      <c r="CX83" s="39" t="s">
        <v>888</v>
      </c>
      <c r="CY83" s="7" t="s">
        <v>888</v>
      </c>
      <c r="CZ83" s="39" t="s">
        <v>888</v>
      </c>
      <c r="DA83" s="39" t="s">
        <v>888</v>
      </c>
      <c r="DB83" s="39" t="s">
        <v>888</v>
      </c>
      <c r="DC83" s="7" t="s">
        <v>888</v>
      </c>
      <c r="DD83" s="7" t="s">
        <v>888</v>
      </c>
      <c r="DE83" s="7" t="s">
        <v>888</v>
      </c>
      <c r="DF83" s="7" t="s">
        <v>888</v>
      </c>
      <c r="DG83" s="7" t="s">
        <v>888</v>
      </c>
      <c r="DH83" s="39" t="s">
        <v>888</v>
      </c>
      <c r="DI83" s="7" t="s">
        <v>888</v>
      </c>
      <c r="DJ83" s="7" t="s">
        <v>888</v>
      </c>
      <c r="DK83" s="7" t="s">
        <v>888</v>
      </c>
      <c r="DL83" s="7" t="s">
        <v>888</v>
      </c>
      <c r="DM83" s="7" t="s">
        <v>888</v>
      </c>
      <c r="DN83" s="7" t="s">
        <v>888</v>
      </c>
      <c r="DO83" s="7" t="s">
        <v>888</v>
      </c>
      <c r="DP83" s="7" t="s">
        <v>888</v>
      </c>
      <c r="DQ83" s="7" t="s">
        <v>888</v>
      </c>
      <c r="DR83" s="7" t="s">
        <v>888</v>
      </c>
      <c r="DS83" s="7" t="s">
        <v>888</v>
      </c>
      <c r="DT83" s="15" t="str" cm="1">
        <f t="array" ref="DT83">IF(B83="","",_xlfn.TEXTJOIN("",,HEX2BIN(MID(BQ83,_xlfn.SEQUENCE(40),1),4)))</f>
        <v/>
      </c>
    </row>
    <row r="84" spans="1:124" x14ac:dyDescent="0.25">
      <c r="A84" s="9">
        <v>83</v>
      </c>
      <c r="B84" s="15" t="s">
        <v>888</v>
      </c>
      <c r="C84" s="15" t="s">
        <v>888</v>
      </c>
      <c r="D84" s="6" t="s">
        <v>888</v>
      </c>
      <c r="E84" s="6" t="s">
        <v>888</v>
      </c>
      <c r="F84" s="10" t="s">
        <v>888</v>
      </c>
      <c r="G84" s="9" t="s">
        <v>888</v>
      </c>
      <c r="H84" s="9" t="s">
        <v>888</v>
      </c>
      <c r="I84" s="15" t="s">
        <v>888</v>
      </c>
      <c r="J84" s="9" t="s">
        <v>888</v>
      </c>
      <c r="K84" s="15" t="s">
        <v>888</v>
      </c>
      <c r="L84" s="15" t="s">
        <v>888</v>
      </c>
      <c r="M84" s="15" t="s">
        <v>888</v>
      </c>
      <c r="N84" s="15" t="s">
        <v>888</v>
      </c>
      <c r="O84" s="6" t="s">
        <v>888</v>
      </c>
      <c r="P84" s="15" t="s">
        <v>888</v>
      </c>
      <c r="Q84" s="15" t="s">
        <v>888</v>
      </c>
      <c r="R84" s="6" t="s">
        <v>888</v>
      </c>
      <c r="S84" s="15" t="s">
        <v>888</v>
      </c>
      <c r="T84" s="11" t="s">
        <v>888</v>
      </c>
      <c r="U84" s="10" t="s">
        <v>888</v>
      </c>
      <c r="V84" s="7" t="s">
        <v>888</v>
      </c>
      <c r="W84" s="7" t="s">
        <v>888</v>
      </c>
      <c r="X84" s="7" t="s">
        <v>888</v>
      </c>
      <c r="Y84" s="15" t="s">
        <v>888</v>
      </c>
      <c r="Z84" s="9" t="s">
        <v>888</v>
      </c>
      <c r="AA84" s="9" t="s">
        <v>888</v>
      </c>
      <c r="AB84" s="9" t="s">
        <v>888</v>
      </c>
      <c r="AC84" s="13" t="s">
        <v>888</v>
      </c>
      <c r="AD84" s="13" t="s">
        <v>888</v>
      </c>
      <c r="AE84" s="9" t="s">
        <v>888</v>
      </c>
      <c r="AF84" s="9" t="s">
        <v>888</v>
      </c>
      <c r="AG84" s="9" t="s">
        <v>888</v>
      </c>
      <c r="AH84" s="6" t="s">
        <v>888</v>
      </c>
      <c r="AI84" s="10" t="s">
        <v>888</v>
      </c>
      <c r="AJ84" s="10" t="s">
        <v>888</v>
      </c>
      <c r="AK84" s="15" t="s">
        <v>888</v>
      </c>
      <c r="AL84" s="15" t="s">
        <v>888</v>
      </c>
      <c r="AM84" s="15" t="s">
        <v>888</v>
      </c>
      <c r="AN84" s="9" t="s">
        <v>888</v>
      </c>
      <c r="AO84" s="9" t="s">
        <v>888</v>
      </c>
      <c r="AP84" s="9" t="s">
        <v>888</v>
      </c>
      <c r="AQ84" s="15" t="s">
        <v>888</v>
      </c>
      <c r="AR84" s="9" t="s">
        <v>888</v>
      </c>
      <c r="AS84" s="6" t="s">
        <v>888</v>
      </c>
      <c r="AT84" s="15" t="s">
        <v>888</v>
      </c>
      <c r="AU84" s="9" t="s">
        <v>888</v>
      </c>
      <c r="AV84" s="9" t="s">
        <v>888</v>
      </c>
      <c r="AW84" s="9" t="s">
        <v>888</v>
      </c>
      <c r="AX84" s="9" t="s">
        <v>888</v>
      </c>
      <c r="AY84" s="9" t="s">
        <v>888</v>
      </c>
      <c r="AZ84" s="9" t="s">
        <v>888</v>
      </c>
      <c r="BA84" s="6" t="s">
        <v>888</v>
      </c>
      <c r="BB84" s="6" t="s">
        <v>888</v>
      </c>
      <c r="BC84" s="6" t="s">
        <v>888</v>
      </c>
      <c r="BD84" s="15" t="s">
        <v>888</v>
      </c>
      <c r="BE84" s="15" t="s">
        <v>888</v>
      </c>
      <c r="BF84" s="15" t="s">
        <v>888</v>
      </c>
      <c r="BG84" s="15" t="s">
        <v>888</v>
      </c>
      <c r="BH84" s="6" t="s">
        <v>888</v>
      </c>
      <c r="BI84" s="17" t="s">
        <v>888</v>
      </c>
      <c r="BJ84" s="7" t="s">
        <v>888</v>
      </c>
      <c r="BK84" s="7" t="s">
        <v>888</v>
      </c>
      <c r="BL84" s="7" t="s">
        <v>888</v>
      </c>
      <c r="BM84" s="16" t="s">
        <v>888</v>
      </c>
      <c r="BN84" s="16" t="s">
        <v>888</v>
      </c>
      <c r="BO84" s="16" t="s">
        <v>888</v>
      </c>
      <c r="BP84" s="16" t="s">
        <v>888</v>
      </c>
      <c r="BQ84" s="16" t="s">
        <v>888</v>
      </c>
      <c r="BR84" s="7" t="s">
        <v>888</v>
      </c>
      <c r="BS84" s="7" t="s">
        <v>888</v>
      </c>
      <c r="BT84" s="7" t="s">
        <v>888</v>
      </c>
      <c r="BU84" s="14" t="s">
        <v>888</v>
      </c>
      <c r="BV84" s="15" t="s">
        <v>888</v>
      </c>
      <c r="BW84" s="9" t="s">
        <v>888</v>
      </c>
      <c r="BX84" s="9" t="s">
        <v>888</v>
      </c>
      <c r="BY84" s="13" t="s">
        <v>888</v>
      </c>
      <c r="BZ84" s="13" t="s">
        <v>888</v>
      </c>
      <c r="CA84" s="12" t="str">
        <f>IF(B84="","",IF(A84&lt;8,"",_xlfn.LET(_xlpm.n,A84,_xlpm.k,G84,_xlpm.R,AP84,_xlpm.mu,1+2*_xlpm.k*(_xlpm.n-_xlpm.k)/_xlpm.n,_xlpm.v,2*_xlpm.k*(_xlpm.n-_xlpm.k)*(2*_xlpm.k*(_xlpm.n-_xlpm.k)-_xlpm.n)/(_xlpm.n^2*(_xlpm.n-1)),IF(_xlpm.v&lt;=0,"",(_xlpm.R-_xlpm.mu)/SQRT(_xlpm.v)))))</f>
        <v/>
      </c>
      <c r="CB84" s="37" t="str" cm="1">
        <f t="array" ref="CB84">IF(B84="","",IF(A84&lt;8,"",_xlfn.LET(_xlpm.b,--MID(C84,_xlfn.SEQUENCE(A84-1),1),_xlpm.c,--MID(C84,_xlfn.SEQUENCE(A84-1,,2),1),IFERROR(CORREL(_xlpm.b,_xlpm.c),""))))</f>
        <v/>
      </c>
      <c r="CC84" s="8" t="str">
        <f>IF(B84="","",LOG(A84,2))</f>
        <v/>
      </c>
      <c r="CD84" s="8" t="str">
        <f>IF(B84="","",MAX(AN84,AO84)-CC84)</f>
        <v/>
      </c>
      <c r="CE84" s="8" t="str" cm="1">
        <f t="array" ref="CE84">IF(B84="","",IF(LEN(B84)&lt;16,"",_xlfn.LET(_xlpm.d,MID("0123456789abcdef",_xlfn.SEQUENCE(16),1),_xlpm.c,LEN(B84)-LEN(SUBSTITUTE(B84,_xlpm.d,"")),_xlpm.ex,LEN(B84)/16,SUM((_xlpm.c-_xlpm.ex)^2/_xlpm.ex))))</f>
        <v/>
      </c>
      <c r="CF84" s="37" t="str">
        <f>IF(CE84="","",_xlfn.CHISQ.DIST.RT(CE84,15))</f>
        <v/>
      </c>
      <c r="CG84" s="9" t="str" cm="1">
        <f t="array" ref="CG84">IF(OR(B84="",B83=""),"",_xlfn.LET(_xlpm.a,C84,_xlpm.b,REPT("0",A84-LEN(C83))&amp;C83,_xlpm.m,MID(_xlpm.a,_xlfn.SEQUENCE(A84),1)=MID(_xlpm.b,_xlfn.SEQUENCE(A84),1),IFERROR(MATCH(FALSE,_xlpm.m,0)-1,A84)))</f>
        <v/>
      </c>
      <c r="CH84" s="9" t="str" cm="1">
        <f t="array" ref="CH84">IF(OR(B84="",B83=""),"",_xlfn.LET(_xlpm.a,C84,_xlpm.b,REPT("0",A84-LEN(C83))&amp;C83,_xlpm.n,A84,_xlpm.m,MID(_xlpm.a,_xlfn.SEQUENCE(_xlpm.n,,_xlpm.n,-1),1)=MID(_xlpm.b,_xlfn.SEQUENCE(_xlpm.n,,_xlpm.n,-1),1),IFERROR(MATCH(FALSE,_xlpm.m,0)-1,_xlpm.n)))</f>
        <v/>
      </c>
      <c r="CI84" s="38" t="str">
        <f>IF(OR(B84="",B83=""),"",F84-F83)</f>
        <v/>
      </c>
      <c r="CJ84" s="5" t="str">
        <f>IF(OR(B84="",B83=""),"",IFERROR(FIND(B83,B84)&gt;0,FALSE))</f>
        <v/>
      </c>
      <c r="CK84" s="5" t="str">
        <f>IF(OR(B84="",B83=""),"",IFERROR(FIND(C83,C84)&gt;0,FALSE))</f>
        <v/>
      </c>
      <c r="CL84" s="9" t="str">
        <f>IF(OR(B84="",B83=""),"",IFERROR(FIND(C83,C84),""))</f>
        <v/>
      </c>
      <c r="CM84" s="6" t="str" cm="1">
        <f t="array" ref="CM84">IF(OR(B84="",B83=""),"",_xlfn.LET(_xlpm.pv,D83,_xlpm.ra,BIGSUB(D84,_xlpm.pv),_xlpm.rb,BIGSUB(_xlpm.ra,_xlpm.pv),_xlpm.rc,BIGSUB(_xlpm.rb,_xlpm.pv),IF(LEFT(_xlpm.rb,1)="-",_xlpm.ra,IF(LEFT(_xlpm.rc,1)="-",_xlpm.rb,_xlpm.rc))))</f>
        <v/>
      </c>
      <c r="CN84" s="38" t="str">
        <f>IF(B84="","",F84-0.5)</f>
        <v/>
      </c>
      <c r="CO84" s="15" t="str" cm="1">
        <f t="array" ref="CO84">IF(B84="","",_xlfn.TEXTJOIN("",,MID(B84,_xlfn.SEQUENCE(LEN(B84),,LEN(B84),-1),1)))</f>
        <v/>
      </c>
      <c r="CP84" s="6" t="str" cm="1">
        <f t="array" ref="CP84">IF(B84="","",BASE2DEC(CO84,16))</f>
        <v/>
      </c>
      <c r="CQ84" s="5" t="str">
        <f>IF(B84="","",IF(AND(LEN(B84)&lt;16,LEN(B84)=LEN(SUBSTITUTE(SUBSTITUTE(SUBSTITUTE(SUBSTITUTE(SUBSTITUTE(SUBSTITUTE(B84,"a",""),"b",""),"c",""),"d",""),"e",""),"f",""))),--B84,""))</f>
        <v/>
      </c>
      <c r="CR84" s="6" t="str" cm="1">
        <f t="array" ref="CR84">IF(B84="","",IF(LEN(D84)&lt;=15,BASE2DEC(D84,16),""))</f>
        <v/>
      </c>
      <c r="CS84" s="15" t="str" cm="1">
        <f t="array" ref="CS84">IF(B84="","",_xlfn.LET(_xlpm.p,REPT("0",MOD(-LEN(B84),4))&amp;B84,_xlfn.TEXTJOIN(" ",,MID(_xlpm.p,_xlfn.SEQUENCE(LEN(_xlpm.p)/4,,1,4),4))))</f>
        <v/>
      </c>
      <c r="CT84" s="15" t="str" cm="1">
        <f t="array" ref="CT84">IF(B84="","",UPPER(_xlfn.LET(_xlpm.p,REPT("0",64-LEN(B84))&amp;B84,_xlfn.TEXTJOIN(" ",,MID(_xlpm.p,_xlfn.SEQUENCE(8,,1,8),8)))))</f>
        <v/>
      </c>
      <c r="CU84" s="6" t="str" cm="1">
        <f t="array" ref="CU84">IF(B84="","",IF(LEN(D84)&lt;=6,_xlfn.LET(_xlpm.n,VALUE(D84)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4" s="39" t="s">
        <v>888</v>
      </c>
      <c r="CW84" s="39" t="s">
        <v>888</v>
      </c>
      <c r="CX84" s="39" t="s">
        <v>888</v>
      </c>
      <c r="CY84" s="7" t="s">
        <v>888</v>
      </c>
      <c r="CZ84" s="39" t="s">
        <v>888</v>
      </c>
      <c r="DA84" s="39" t="s">
        <v>888</v>
      </c>
      <c r="DB84" s="39" t="s">
        <v>888</v>
      </c>
      <c r="DC84" s="7" t="s">
        <v>888</v>
      </c>
      <c r="DD84" s="7" t="s">
        <v>888</v>
      </c>
      <c r="DE84" s="7" t="s">
        <v>888</v>
      </c>
      <c r="DF84" s="7" t="s">
        <v>888</v>
      </c>
      <c r="DG84" s="7" t="s">
        <v>888</v>
      </c>
      <c r="DH84" s="39" t="s">
        <v>888</v>
      </c>
      <c r="DI84" s="7" t="s">
        <v>888</v>
      </c>
      <c r="DJ84" s="7" t="s">
        <v>888</v>
      </c>
      <c r="DK84" s="7" t="s">
        <v>888</v>
      </c>
      <c r="DL84" s="7" t="s">
        <v>888</v>
      </c>
      <c r="DM84" s="7" t="s">
        <v>888</v>
      </c>
      <c r="DN84" s="7" t="s">
        <v>888</v>
      </c>
      <c r="DO84" s="7" t="s">
        <v>888</v>
      </c>
      <c r="DP84" s="7" t="s">
        <v>888</v>
      </c>
      <c r="DQ84" s="7" t="s">
        <v>888</v>
      </c>
      <c r="DR84" s="7" t="s">
        <v>888</v>
      </c>
      <c r="DS84" s="7" t="s">
        <v>888</v>
      </c>
      <c r="DT84" s="15" t="str" cm="1">
        <f t="array" ref="DT84">IF(B84="","",_xlfn.TEXTJOIN("",,HEX2BIN(MID(BQ84,_xlfn.SEQUENCE(40),1),4)))</f>
        <v/>
      </c>
    </row>
    <row r="85" spans="1:124" x14ac:dyDescent="0.25">
      <c r="A85" s="9">
        <v>84</v>
      </c>
      <c r="B85" s="15" t="s">
        <v>888</v>
      </c>
      <c r="C85" s="15" t="s">
        <v>888</v>
      </c>
      <c r="D85" s="6" t="s">
        <v>888</v>
      </c>
      <c r="E85" s="6" t="s">
        <v>888</v>
      </c>
      <c r="F85" s="10" t="s">
        <v>888</v>
      </c>
      <c r="G85" s="9" t="s">
        <v>888</v>
      </c>
      <c r="H85" s="9" t="s">
        <v>888</v>
      </c>
      <c r="I85" s="15" t="s">
        <v>888</v>
      </c>
      <c r="J85" s="9" t="s">
        <v>888</v>
      </c>
      <c r="K85" s="15" t="s">
        <v>888</v>
      </c>
      <c r="L85" s="15" t="s">
        <v>888</v>
      </c>
      <c r="M85" s="15" t="s">
        <v>888</v>
      </c>
      <c r="N85" s="15" t="s">
        <v>888</v>
      </c>
      <c r="O85" s="6" t="s">
        <v>888</v>
      </c>
      <c r="P85" s="15" t="s">
        <v>888</v>
      </c>
      <c r="Q85" s="15" t="s">
        <v>888</v>
      </c>
      <c r="R85" s="6" t="s">
        <v>888</v>
      </c>
      <c r="S85" s="15" t="s">
        <v>888</v>
      </c>
      <c r="T85" s="11" t="s">
        <v>888</v>
      </c>
      <c r="U85" s="10" t="s">
        <v>888</v>
      </c>
      <c r="V85" s="7" t="s">
        <v>888</v>
      </c>
      <c r="W85" s="7" t="s">
        <v>888</v>
      </c>
      <c r="X85" s="7" t="s">
        <v>888</v>
      </c>
      <c r="Y85" s="15" t="s">
        <v>888</v>
      </c>
      <c r="Z85" s="9" t="s">
        <v>888</v>
      </c>
      <c r="AA85" s="9" t="s">
        <v>888</v>
      </c>
      <c r="AB85" s="9" t="s">
        <v>888</v>
      </c>
      <c r="AC85" s="13" t="s">
        <v>888</v>
      </c>
      <c r="AD85" s="13" t="s">
        <v>888</v>
      </c>
      <c r="AE85" s="9" t="s">
        <v>888</v>
      </c>
      <c r="AF85" s="9" t="s">
        <v>888</v>
      </c>
      <c r="AG85" s="9" t="s">
        <v>888</v>
      </c>
      <c r="AH85" s="6" t="s">
        <v>888</v>
      </c>
      <c r="AI85" s="10" t="s">
        <v>888</v>
      </c>
      <c r="AJ85" s="10" t="s">
        <v>888</v>
      </c>
      <c r="AK85" s="15" t="s">
        <v>888</v>
      </c>
      <c r="AL85" s="15" t="s">
        <v>888</v>
      </c>
      <c r="AM85" s="15" t="s">
        <v>888</v>
      </c>
      <c r="AN85" s="9" t="s">
        <v>888</v>
      </c>
      <c r="AO85" s="9" t="s">
        <v>888</v>
      </c>
      <c r="AP85" s="9" t="s">
        <v>888</v>
      </c>
      <c r="AQ85" s="15" t="s">
        <v>888</v>
      </c>
      <c r="AR85" s="9" t="s">
        <v>888</v>
      </c>
      <c r="AS85" s="6" t="s">
        <v>888</v>
      </c>
      <c r="AT85" s="15" t="s">
        <v>888</v>
      </c>
      <c r="AU85" s="9" t="s">
        <v>888</v>
      </c>
      <c r="AV85" s="9" t="s">
        <v>888</v>
      </c>
      <c r="AW85" s="9" t="s">
        <v>888</v>
      </c>
      <c r="AX85" s="9" t="s">
        <v>888</v>
      </c>
      <c r="AY85" s="9" t="s">
        <v>888</v>
      </c>
      <c r="AZ85" s="9" t="s">
        <v>888</v>
      </c>
      <c r="BA85" s="6" t="s">
        <v>888</v>
      </c>
      <c r="BB85" s="6" t="s">
        <v>888</v>
      </c>
      <c r="BC85" s="6" t="s">
        <v>888</v>
      </c>
      <c r="BD85" s="15" t="s">
        <v>888</v>
      </c>
      <c r="BE85" s="15" t="s">
        <v>888</v>
      </c>
      <c r="BF85" s="15" t="s">
        <v>888</v>
      </c>
      <c r="BG85" s="15" t="s">
        <v>888</v>
      </c>
      <c r="BH85" s="6" t="s">
        <v>888</v>
      </c>
      <c r="BI85" s="17" t="s">
        <v>888</v>
      </c>
      <c r="BJ85" s="7" t="s">
        <v>888</v>
      </c>
      <c r="BK85" s="7" t="s">
        <v>888</v>
      </c>
      <c r="BL85" s="7" t="s">
        <v>888</v>
      </c>
      <c r="BM85" s="16" t="s">
        <v>888</v>
      </c>
      <c r="BN85" s="16" t="s">
        <v>888</v>
      </c>
      <c r="BO85" s="16" t="s">
        <v>888</v>
      </c>
      <c r="BP85" s="16" t="s">
        <v>888</v>
      </c>
      <c r="BQ85" s="16" t="s">
        <v>888</v>
      </c>
      <c r="BR85" s="7" t="s">
        <v>888</v>
      </c>
      <c r="BS85" s="7" t="s">
        <v>888</v>
      </c>
      <c r="BT85" s="7" t="s">
        <v>888</v>
      </c>
      <c r="BU85" s="14" t="s">
        <v>888</v>
      </c>
      <c r="BV85" s="15" t="s">
        <v>888</v>
      </c>
      <c r="BW85" s="9" t="s">
        <v>888</v>
      </c>
      <c r="BX85" s="9" t="s">
        <v>888</v>
      </c>
      <c r="BY85" s="13" t="s">
        <v>888</v>
      </c>
      <c r="BZ85" s="13" t="s">
        <v>888</v>
      </c>
      <c r="CA85" s="12" t="str">
        <f>IF(B85="","",IF(A85&lt;8,"",_xlfn.LET(_xlpm.n,A85,_xlpm.k,G85,_xlpm.R,AP85,_xlpm.mu,1+2*_xlpm.k*(_xlpm.n-_xlpm.k)/_xlpm.n,_xlpm.v,2*_xlpm.k*(_xlpm.n-_xlpm.k)*(2*_xlpm.k*(_xlpm.n-_xlpm.k)-_xlpm.n)/(_xlpm.n^2*(_xlpm.n-1)),IF(_xlpm.v&lt;=0,"",(_xlpm.R-_xlpm.mu)/SQRT(_xlpm.v)))))</f>
        <v/>
      </c>
      <c r="CB85" s="37" t="str" cm="1">
        <f t="array" ref="CB85">IF(B85="","",IF(A85&lt;8,"",_xlfn.LET(_xlpm.b,--MID(C85,_xlfn.SEQUENCE(A85-1),1),_xlpm.c,--MID(C85,_xlfn.SEQUENCE(A85-1,,2),1),IFERROR(CORREL(_xlpm.b,_xlpm.c),""))))</f>
        <v/>
      </c>
      <c r="CC85" s="8" t="str">
        <f>IF(B85="","",LOG(A85,2))</f>
        <v/>
      </c>
      <c r="CD85" s="8" t="str">
        <f>IF(B85="","",MAX(AN85,AO85)-CC85)</f>
        <v/>
      </c>
      <c r="CE85" s="8" t="str" cm="1">
        <f t="array" ref="CE85">IF(B85="","",IF(LEN(B85)&lt;16,"",_xlfn.LET(_xlpm.d,MID("0123456789abcdef",_xlfn.SEQUENCE(16),1),_xlpm.c,LEN(B85)-LEN(SUBSTITUTE(B85,_xlpm.d,"")),_xlpm.ex,LEN(B85)/16,SUM((_xlpm.c-_xlpm.ex)^2/_xlpm.ex))))</f>
        <v/>
      </c>
      <c r="CF85" s="37" t="str">
        <f>IF(CE85="","",_xlfn.CHISQ.DIST.RT(CE85,15))</f>
        <v/>
      </c>
      <c r="CG85" s="9" t="str" cm="1">
        <f t="array" ref="CG85">IF(OR(B85="",B84=""),"",_xlfn.LET(_xlpm.a,C85,_xlpm.b,REPT("0",A85-LEN(C84))&amp;C84,_xlpm.m,MID(_xlpm.a,_xlfn.SEQUENCE(A85),1)=MID(_xlpm.b,_xlfn.SEQUENCE(A85),1),IFERROR(MATCH(FALSE,_xlpm.m,0)-1,A85)))</f>
        <v/>
      </c>
      <c r="CH85" s="9" t="str" cm="1">
        <f t="array" ref="CH85">IF(OR(B85="",B84=""),"",_xlfn.LET(_xlpm.a,C85,_xlpm.b,REPT("0",A85-LEN(C84))&amp;C84,_xlpm.n,A85,_xlpm.m,MID(_xlpm.a,_xlfn.SEQUENCE(_xlpm.n,,_xlpm.n,-1),1)=MID(_xlpm.b,_xlfn.SEQUENCE(_xlpm.n,,_xlpm.n,-1),1),IFERROR(MATCH(FALSE,_xlpm.m,0)-1,_xlpm.n)))</f>
        <v/>
      </c>
      <c r="CI85" s="38" t="str">
        <f>IF(OR(B85="",B84=""),"",F85-F84)</f>
        <v/>
      </c>
      <c r="CJ85" s="5" t="str">
        <f>IF(OR(B85="",B84=""),"",IFERROR(FIND(B84,B85)&gt;0,FALSE))</f>
        <v/>
      </c>
      <c r="CK85" s="5" t="str">
        <f>IF(OR(B85="",B84=""),"",IFERROR(FIND(C84,C85)&gt;0,FALSE))</f>
        <v/>
      </c>
      <c r="CL85" s="9" t="str">
        <f>IF(OR(B85="",B84=""),"",IFERROR(FIND(C84,C85),""))</f>
        <v/>
      </c>
      <c r="CM85" s="6" t="str" cm="1">
        <f t="array" ref="CM85">IF(OR(B85="",B84=""),"",_xlfn.LET(_xlpm.pv,D84,_xlpm.ra,BIGSUB(D85,_xlpm.pv),_xlpm.rb,BIGSUB(_xlpm.ra,_xlpm.pv),_xlpm.rc,BIGSUB(_xlpm.rb,_xlpm.pv),IF(LEFT(_xlpm.rb,1)="-",_xlpm.ra,IF(LEFT(_xlpm.rc,1)="-",_xlpm.rb,_xlpm.rc))))</f>
        <v/>
      </c>
      <c r="CN85" s="38" t="str">
        <f>IF(B85="","",F85-0.5)</f>
        <v/>
      </c>
      <c r="CO85" s="15" t="str" cm="1">
        <f t="array" ref="CO85">IF(B85="","",_xlfn.TEXTJOIN("",,MID(B85,_xlfn.SEQUENCE(LEN(B85),,LEN(B85),-1),1)))</f>
        <v/>
      </c>
      <c r="CP85" s="6" t="str" cm="1">
        <f t="array" ref="CP85">IF(B85="","",BASE2DEC(CO85,16))</f>
        <v/>
      </c>
      <c r="CQ85" s="5" t="str">
        <f>IF(B85="","",IF(AND(LEN(B85)&lt;16,LEN(B85)=LEN(SUBSTITUTE(SUBSTITUTE(SUBSTITUTE(SUBSTITUTE(SUBSTITUTE(SUBSTITUTE(B85,"a",""),"b",""),"c",""),"d",""),"e",""),"f",""))),--B85,""))</f>
        <v/>
      </c>
      <c r="CR85" s="6" t="str" cm="1">
        <f t="array" ref="CR85">IF(B85="","",IF(LEN(D85)&lt;=15,BASE2DEC(D85,16),""))</f>
        <v/>
      </c>
      <c r="CS85" s="15" t="str" cm="1">
        <f t="array" ref="CS85">IF(B85="","",_xlfn.LET(_xlpm.p,REPT("0",MOD(-LEN(B85),4))&amp;B85,_xlfn.TEXTJOIN(" ",,MID(_xlpm.p,_xlfn.SEQUENCE(LEN(_xlpm.p)/4,,1,4),4))))</f>
        <v/>
      </c>
      <c r="CT85" s="15" t="str" cm="1">
        <f t="array" ref="CT85">IF(B85="","",UPPER(_xlfn.LET(_xlpm.p,REPT("0",64-LEN(B85))&amp;B85,_xlfn.TEXTJOIN(" ",,MID(_xlpm.p,_xlfn.SEQUENCE(8,,1,8),8)))))</f>
        <v/>
      </c>
      <c r="CU85" s="6" t="str" cm="1">
        <f t="array" ref="CU85">IF(B85="","",IF(LEN(D85)&lt;=6,_xlfn.LET(_xlpm.n,VALUE(D85)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5" s="39" t="s">
        <v>888</v>
      </c>
      <c r="CW85" s="39" t="s">
        <v>888</v>
      </c>
      <c r="CX85" s="39" t="s">
        <v>888</v>
      </c>
      <c r="CY85" s="7" t="s">
        <v>888</v>
      </c>
      <c r="CZ85" s="39" t="s">
        <v>888</v>
      </c>
      <c r="DA85" s="39" t="s">
        <v>888</v>
      </c>
      <c r="DB85" s="39" t="s">
        <v>888</v>
      </c>
      <c r="DC85" s="7" t="s">
        <v>888</v>
      </c>
      <c r="DD85" s="7" t="s">
        <v>888</v>
      </c>
      <c r="DE85" s="7" t="s">
        <v>888</v>
      </c>
      <c r="DF85" s="7" t="s">
        <v>888</v>
      </c>
      <c r="DG85" s="7" t="s">
        <v>888</v>
      </c>
      <c r="DH85" s="39" t="s">
        <v>888</v>
      </c>
      <c r="DI85" s="7" t="s">
        <v>888</v>
      </c>
      <c r="DJ85" s="7" t="s">
        <v>888</v>
      </c>
      <c r="DK85" s="7" t="s">
        <v>888</v>
      </c>
      <c r="DL85" s="7" t="s">
        <v>888</v>
      </c>
      <c r="DM85" s="7" t="s">
        <v>888</v>
      </c>
      <c r="DN85" s="7" t="s">
        <v>888</v>
      </c>
      <c r="DO85" s="7" t="s">
        <v>888</v>
      </c>
      <c r="DP85" s="7" t="s">
        <v>888</v>
      </c>
      <c r="DQ85" s="7" t="s">
        <v>888</v>
      </c>
      <c r="DR85" s="7" t="s">
        <v>888</v>
      </c>
      <c r="DS85" s="7" t="s">
        <v>888</v>
      </c>
      <c r="DT85" s="15" t="str" cm="1">
        <f t="array" ref="DT85">IF(B85="","",_xlfn.TEXTJOIN("",,HEX2BIN(MID(BQ85,_xlfn.SEQUENCE(40),1),4)))</f>
        <v/>
      </c>
    </row>
    <row r="86" spans="1:124" x14ac:dyDescent="0.25">
      <c r="A86" s="9">
        <v>85</v>
      </c>
      <c r="B86" s="15" t="s">
        <v>4113</v>
      </c>
      <c r="C86" s="15" t="s">
        <v>4114</v>
      </c>
      <c r="D86" s="6" t="s">
        <v>4115</v>
      </c>
      <c r="E86" s="6" t="s">
        <v>4116</v>
      </c>
      <c r="F86" s="10">
        <v>9.0343769662314957E-2</v>
      </c>
      <c r="G86" s="9">
        <v>39</v>
      </c>
      <c r="H86" s="9">
        <v>3</v>
      </c>
      <c r="I86" s="15" t="s">
        <v>888</v>
      </c>
      <c r="J86" s="9" t="s">
        <v>888</v>
      </c>
      <c r="K86" s="15" t="s">
        <v>4117</v>
      </c>
      <c r="L86" s="15" t="s">
        <v>4118</v>
      </c>
      <c r="M86" s="15" t="s">
        <v>4119</v>
      </c>
      <c r="N86" s="15" t="s">
        <v>4120</v>
      </c>
      <c r="O86" s="6" t="s">
        <v>4121</v>
      </c>
      <c r="P86" s="15" t="s">
        <v>4122</v>
      </c>
      <c r="Q86" s="15" t="s">
        <v>4123</v>
      </c>
      <c r="R86" s="6" t="s">
        <v>4124</v>
      </c>
      <c r="S86" s="15" t="s">
        <v>4125</v>
      </c>
      <c r="T86" s="11" t="s">
        <v>888</v>
      </c>
      <c r="U86" s="10">
        <v>0.45882352941176469</v>
      </c>
      <c r="V86" s="7" t="s">
        <v>895</v>
      </c>
      <c r="W86" s="7" t="s">
        <v>896</v>
      </c>
      <c r="X86" s="7" t="s">
        <v>897</v>
      </c>
      <c r="Y86" s="15" t="s">
        <v>4126</v>
      </c>
      <c r="Z86" s="9">
        <v>44</v>
      </c>
      <c r="AA86" s="9">
        <v>47</v>
      </c>
      <c r="AB86" s="9">
        <v>80</v>
      </c>
      <c r="AC86" s="13">
        <v>0.32539568672798425</v>
      </c>
      <c r="AD86" s="13">
        <v>0.97618706018395285</v>
      </c>
      <c r="AE86" s="9">
        <v>26</v>
      </c>
      <c r="AF86" s="9">
        <v>89</v>
      </c>
      <c r="AG86" s="9">
        <v>8</v>
      </c>
      <c r="AH86" s="6" t="s">
        <v>4127</v>
      </c>
      <c r="AI86" s="10">
        <v>84.124783067658271</v>
      </c>
      <c r="AJ86" s="10">
        <v>80.531568922801512</v>
      </c>
      <c r="AK86" s="15" t="s">
        <v>4128</v>
      </c>
      <c r="AL86" s="15" t="s">
        <v>4129</v>
      </c>
      <c r="AM86" s="15" t="s">
        <v>4130</v>
      </c>
      <c r="AN86" s="9">
        <v>7</v>
      </c>
      <c r="AO86" s="9">
        <v>4</v>
      </c>
      <c r="AP86" s="9">
        <v>42</v>
      </c>
      <c r="AQ86" s="15" t="s">
        <v>4131</v>
      </c>
      <c r="AR86" s="9">
        <v>13</v>
      </c>
      <c r="AS86" s="6" t="s">
        <v>976</v>
      </c>
      <c r="AT86" s="15" t="s">
        <v>4132</v>
      </c>
      <c r="AU86" s="9">
        <v>2</v>
      </c>
      <c r="AV86" s="9">
        <v>0</v>
      </c>
      <c r="AW86" s="9">
        <v>2</v>
      </c>
      <c r="AX86" s="9">
        <v>1</v>
      </c>
      <c r="AY86" s="9">
        <v>168</v>
      </c>
      <c r="AZ86" s="9">
        <v>48040</v>
      </c>
      <c r="BA86" s="6" t="s">
        <v>888</v>
      </c>
      <c r="BB86" s="6" t="s">
        <v>888</v>
      </c>
      <c r="BC86" s="6" t="s">
        <v>4133</v>
      </c>
      <c r="BD86" s="15" t="s">
        <v>4134</v>
      </c>
      <c r="BE86" s="15" t="s">
        <v>4135</v>
      </c>
      <c r="BF86" s="15" t="s">
        <v>4136</v>
      </c>
      <c r="BG86" s="15" t="s">
        <v>4137</v>
      </c>
      <c r="BH86" s="6" t="s">
        <v>4138</v>
      </c>
      <c r="BI86" s="17" t="s">
        <v>888</v>
      </c>
      <c r="BJ86" s="7" t="s">
        <v>1768</v>
      </c>
      <c r="BK86" s="7" t="s">
        <v>1769</v>
      </c>
      <c r="BL86" s="7" t="s">
        <v>1770</v>
      </c>
      <c r="BM86" s="16" t="s">
        <v>1771</v>
      </c>
      <c r="BN86" s="16" t="s">
        <v>1772</v>
      </c>
      <c r="BO86" s="16" t="s">
        <v>1773</v>
      </c>
      <c r="BP86" s="16" t="s">
        <v>1774</v>
      </c>
      <c r="BQ86" s="16" t="s">
        <v>1775</v>
      </c>
      <c r="BR86" s="7" t="s">
        <v>1776</v>
      </c>
      <c r="BS86" s="7" t="s">
        <v>1777</v>
      </c>
      <c r="BT86" s="7" t="s">
        <v>1778</v>
      </c>
      <c r="BU86" s="14">
        <v>1.8213952183889587E-52</v>
      </c>
      <c r="BV86" s="15" t="s">
        <v>4139</v>
      </c>
      <c r="BW86" s="9">
        <v>42</v>
      </c>
      <c r="BX86" s="9">
        <v>38</v>
      </c>
      <c r="BY86" s="13">
        <v>-0.10846522890932808</v>
      </c>
      <c r="BZ86" s="13">
        <v>-0.97618706018395285</v>
      </c>
      <c r="CA86" s="12">
        <f>IF(B86="","",IF(A86&lt;8,"",_xlfn.LET(_xlpm.n,A86,_xlpm.k,G86,_xlpm.R,AP86,_xlpm.mu,1+2*_xlpm.k*(_xlpm.n-_xlpm.k)/_xlpm.n,_xlpm.v,2*_xlpm.k*(_xlpm.n-_xlpm.k)*(2*_xlpm.k*(_xlpm.n-_xlpm.k)-_xlpm.n)/(_xlpm.n^2*(_xlpm.n-1)),IF(_xlpm.v&lt;=0,"",(_xlpm.R-_xlpm.mu)/SQRT(_xlpm.v)))))</f>
        <v>-0.26627511559429307</v>
      </c>
      <c r="CB86" s="37" cm="1">
        <f t="array" ref="CB86">IF(B86="","",IF(A86&lt;8,"",_xlfn.LET(_xlpm.b,--MID(C86,_xlfn.SEQUENCE(A86-1),1),_xlpm.c,--MID(C86,_xlfn.SEQUENCE(A86-1,,2),1),IFERROR(CORREL(_xlpm.b,_xlpm.c),""))))</f>
        <v>1.7128210047076434E-2</v>
      </c>
      <c r="CC86" s="8">
        <f>IF(B86="","",LOG(A86,2))</f>
        <v>6.4093909361377026</v>
      </c>
      <c r="CD86" s="8">
        <f>IF(B86="","",MAX(AN86,AO86)-CC86)</f>
        <v>0.59060906386229739</v>
      </c>
      <c r="CE86" s="8" cm="1">
        <f t="array" ref="CE86">IF(B86="","",IF(LEN(B86)&lt;16,"",_xlfn.LET(_xlpm.d,MID("0123456789abcdef",_xlfn.SEQUENCE(16),1),_xlpm.c,LEN(B86)-LEN(SUBSTITUTE(B86,_xlpm.d,"")),_xlpm.ex,LEN(B86)/16,SUM((_xlpm.c-_xlpm.ex)^2/_xlpm.ex))))</f>
        <v>14.36363636363636</v>
      </c>
      <c r="CF86" s="37">
        <f>IF(CE86="","",_xlfn.CHISQ.DIST.RT(CE86,15))</f>
        <v>0.49814801707767342</v>
      </c>
      <c r="CG86" s="9" t="str" cm="1">
        <f t="array" ref="CG86">IF(OR(B86="",B85=""),"",_xlfn.LET(_xlpm.a,C86,_xlpm.b,REPT("0",A86-LEN(C85))&amp;C85,_xlpm.m,MID(_xlpm.a,_xlfn.SEQUENCE(A86),1)=MID(_xlpm.b,_xlfn.SEQUENCE(A86),1),IFERROR(MATCH(FALSE,_xlpm.m,0)-1,A86)))</f>
        <v/>
      </c>
      <c r="CH86" s="9" t="str" cm="1">
        <f t="array" ref="CH86">IF(OR(B86="",B85=""),"",_xlfn.LET(_xlpm.a,C86,_xlpm.b,REPT("0",A86-LEN(C85))&amp;C85,_xlpm.n,A86,_xlpm.m,MID(_xlpm.a,_xlfn.SEQUENCE(_xlpm.n,,_xlpm.n,-1),1)=MID(_xlpm.b,_xlfn.SEQUENCE(_xlpm.n,,_xlpm.n,-1),1),IFERROR(MATCH(FALSE,_xlpm.m,0)-1,_xlpm.n)))</f>
        <v/>
      </c>
      <c r="CI86" s="38" t="str">
        <f>IF(OR(B86="",B85=""),"",F86-F85)</f>
        <v/>
      </c>
      <c r="CJ86" s="5" t="str">
        <f>IF(OR(B86="",B85=""),"",IFERROR(FIND(B85,B86)&gt;0,FALSE))</f>
        <v/>
      </c>
      <c r="CK86" s="5" t="str">
        <f>IF(OR(B86="",B85=""),"",IFERROR(FIND(C85,C86)&gt;0,FALSE))</f>
        <v/>
      </c>
      <c r="CL86" s="9" t="str">
        <f>IF(OR(B86="",B85=""),"",IFERROR(FIND(C85,C86),""))</f>
        <v/>
      </c>
      <c r="CM86" s="6" t="str" cm="1">
        <f t="array" ref="CM86">IF(OR(B86="",B85=""),"",_xlfn.LET(_xlpm.pv,D85,_xlpm.ra,BIGSUB(D86,_xlpm.pv),_xlpm.rb,BIGSUB(_xlpm.ra,_xlpm.pv),_xlpm.rc,BIGSUB(_xlpm.rb,_xlpm.pv),IF(LEFT(_xlpm.rb,1)="-",_xlpm.ra,IF(LEFT(_xlpm.rc,1)="-",_xlpm.rb,_xlpm.rc))))</f>
        <v/>
      </c>
      <c r="CN86" s="38">
        <f>IF(B86="","",F86-0.5)</f>
        <v>-0.40965623033768506</v>
      </c>
      <c r="CO86" s="15" t="str" cm="1">
        <f t="array" ref="CO86">IF(B86="","",_xlfn.TEXTJOIN("",,MID(B86,_xlfn.SEQUENCE(LEN(B86),,LEN(B86),-1),1)))</f>
        <v>8abbec8b15d810f4c02711</v>
      </c>
      <c r="CP86" s="6" t="str" cm="1">
        <f t="array" ref="CP86">IF(B86="","",BASE2DEC(CO86,16))</f>
        <v>167719209092870958338811665</v>
      </c>
      <c r="CQ86" s="5" t="str">
        <f>IF(B86="","",IF(AND(LEN(B86)&lt;16,LEN(B86)=LEN(SUBSTITUTE(SUBSTITUTE(SUBSTITUTE(SUBSTITUTE(SUBSTITUTE(SUBSTITUTE(B86,"a",""),"b",""),"c",""),"d",""),"e",""),"f",""))),--B86,""))</f>
        <v/>
      </c>
      <c r="CR86" s="6" t="str" cm="1">
        <f t="array" ref="CR86">IF(B86="","",IF(LEN(D86)&lt;=15,BASE2DEC(D86,16),""))</f>
        <v/>
      </c>
      <c r="CS86" s="15" t="str" cm="1">
        <f t="array" ref="CS86">IF(B86="","",_xlfn.LET(_xlpm.p,REPT("0",MOD(-LEN(B86),4))&amp;B86,_xlfn.TEXTJOIN(" ",,MID(_xlpm.p,_xlfn.SEQUENCE(LEN(_xlpm.p)/4,,1,4),4))))</f>
        <v>0011 720c 4f01 8d51 b8ce bba8</v>
      </c>
      <c r="CT86" s="15" t="str" cm="1">
        <f t="array" ref="CT86">IF(B86="","",UPPER(_xlfn.LET(_xlpm.p,REPT("0",64-LEN(B86))&amp;B86,_xlfn.TEXTJOIN(" ",,MID(_xlpm.p,_xlfn.SEQUENCE(8,,1,8),8)))))</f>
        <v>00000000 00000000 00000000 00000000 00000000 0011720C 4F018D51 B8CEBBA8</v>
      </c>
      <c r="CU86" s="6" t="str" cm="1">
        <f t="array" ref="CU86">IF(B86="","",IF(LEN(D86)&lt;=6,_xlfn.LET(_xlpm.n,VALUE(D86)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6" s="39" t="s">
        <v>4444</v>
      </c>
      <c r="CW86" s="39" t="s">
        <v>1895</v>
      </c>
      <c r="CX86" s="39" t="s">
        <v>1009</v>
      </c>
      <c r="CY86" s="7" t="s">
        <v>4844</v>
      </c>
      <c r="CZ86" s="39" t="s">
        <v>4444</v>
      </c>
      <c r="DA86" s="39" t="s">
        <v>4444</v>
      </c>
      <c r="DB86" s="39">
        <v>84</v>
      </c>
      <c r="DC86" s="7" t="s">
        <v>4845</v>
      </c>
      <c r="DD86" s="7" t="s">
        <v>4846</v>
      </c>
      <c r="DE86" s="7" t="s">
        <v>4847</v>
      </c>
      <c r="DF86" s="7" t="s">
        <v>4848</v>
      </c>
      <c r="DG86" s="7" t="s">
        <v>4849</v>
      </c>
      <c r="DH86" s="39" t="s">
        <v>4452</v>
      </c>
      <c r="DI86" s="7" t="s">
        <v>5643</v>
      </c>
      <c r="DJ86" s="7" t="s">
        <v>5644</v>
      </c>
      <c r="DK86" s="7" t="s">
        <v>5645</v>
      </c>
      <c r="DL86" s="7" t="s">
        <v>5646</v>
      </c>
      <c r="DM86" s="7" t="s">
        <v>5647</v>
      </c>
      <c r="DN86" s="7" t="s">
        <v>5648</v>
      </c>
      <c r="DO86" s="7" t="s">
        <v>5649</v>
      </c>
      <c r="DP86" s="7" t="s">
        <v>5650</v>
      </c>
      <c r="DQ86" s="7" t="s">
        <v>5651</v>
      </c>
      <c r="DR86" s="7" t="s">
        <v>5652</v>
      </c>
      <c r="DS86" s="7" t="s">
        <v>5827</v>
      </c>
      <c r="DT86" s="15" t="str" cm="1">
        <f t="array" ref="DT86">IF(B86="","",_xlfn.TEXTJOIN("",,HEX2BIN(MID(BQ86,_xlfn.SEQUENCE(40),1),4)))</f>
        <v>0001110101110100101011001001111111001101011111110011100111111010010000101010101000110100101001100000001100001100101111101001100011001111001101101101010001100011</v>
      </c>
    </row>
    <row r="87" spans="1:124" x14ac:dyDescent="0.25">
      <c r="A87" s="9">
        <v>86</v>
      </c>
      <c r="B87" s="15" t="s">
        <v>888</v>
      </c>
      <c r="C87" s="15" t="s">
        <v>888</v>
      </c>
      <c r="D87" s="6" t="s">
        <v>888</v>
      </c>
      <c r="E87" s="6" t="s">
        <v>888</v>
      </c>
      <c r="F87" s="10" t="s">
        <v>888</v>
      </c>
      <c r="G87" s="9" t="s">
        <v>888</v>
      </c>
      <c r="H87" s="9" t="s">
        <v>888</v>
      </c>
      <c r="I87" s="15" t="s">
        <v>888</v>
      </c>
      <c r="J87" s="9" t="s">
        <v>888</v>
      </c>
      <c r="K87" s="15" t="s">
        <v>888</v>
      </c>
      <c r="L87" s="15" t="s">
        <v>888</v>
      </c>
      <c r="M87" s="15" t="s">
        <v>888</v>
      </c>
      <c r="N87" s="15" t="s">
        <v>888</v>
      </c>
      <c r="O87" s="6" t="s">
        <v>888</v>
      </c>
      <c r="P87" s="15" t="s">
        <v>888</v>
      </c>
      <c r="Q87" s="15" t="s">
        <v>888</v>
      </c>
      <c r="R87" s="6" t="s">
        <v>888</v>
      </c>
      <c r="S87" s="15" t="s">
        <v>888</v>
      </c>
      <c r="T87" s="11" t="s">
        <v>888</v>
      </c>
      <c r="U87" s="10" t="s">
        <v>888</v>
      </c>
      <c r="V87" s="7" t="s">
        <v>888</v>
      </c>
      <c r="W87" s="7" t="s">
        <v>888</v>
      </c>
      <c r="X87" s="7" t="s">
        <v>888</v>
      </c>
      <c r="Y87" s="15" t="s">
        <v>888</v>
      </c>
      <c r="Z87" s="9" t="s">
        <v>888</v>
      </c>
      <c r="AA87" s="9" t="s">
        <v>888</v>
      </c>
      <c r="AB87" s="9" t="s">
        <v>888</v>
      </c>
      <c r="AC87" s="13" t="s">
        <v>888</v>
      </c>
      <c r="AD87" s="13" t="s">
        <v>888</v>
      </c>
      <c r="AE87" s="9" t="s">
        <v>888</v>
      </c>
      <c r="AF87" s="9" t="s">
        <v>888</v>
      </c>
      <c r="AG87" s="9" t="s">
        <v>888</v>
      </c>
      <c r="AH87" s="6" t="s">
        <v>888</v>
      </c>
      <c r="AI87" s="10" t="s">
        <v>888</v>
      </c>
      <c r="AJ87" s="10" t="s">
        <v>888</v>
      </c>
      <c r="AK87" s="15" t="s">
        <v>888</v>
      </c>
      <c r="AL87" s="15" t="s">
        <v>888</v>
      </c>
      <c r="AM87" s="15" t="s">
        <v>888</v>
      </c>
      <c r="AN87" s="9" t="s">
        <v>888</v>
      </c>
      <c r="AO87" s="9" t="s">
        <v>888</v>
      </c>
      <c r="AP87" s="9" t="s">
        <v>888</v>
      </c>
      <c r="AQ87" s="15" t="s">
        <v>888</v>
      </c>
      <c r="AR87" s="9" t="s">
        <v>888</v>
      </c>
      <c r="AS87" s="6" t="s">
        <v>888</v>
      </c>
      <c r="AT87" s="15" t="s">
        <v>888</v>
      </c>
      <c r="AU87" s="9" t="s">
        <v>888</v>
      </c>
      <c r="AV87" s="9" t="s">
        <v>888</v>
      </c>
      <c r="AW87" s="9" t="s">
        <v>888</v>
      </c>
      <c r="AX87" s="9" t="s">
        <v>888</v>
      </c>
      <c r="AY87" s="9" t="s">
        <v>888</v>
      </c>
      <c r="AZ87" s="9" t="s">
        <v>888</v>
      </c>
      <c r="BA87" s="6" t="s">
        <v>888</v>
      </c>
      <c r="BB87" s="6" t="s">
        <v>888</v>
      </c>
      <c r="BC87" s="6" t="s">
        <v>888</v>
      </c>
      <c r="BD87" s="15" t="s">
        <v>888</v>
      </c>
      <c r="BE87" s="15" t="s">
        <v>888</v>
      </c>
      <c r="BF87" s="15" t="s">
        <v>888</v>
      </c>
      <c r="BG87" s="15" t="s">
        <v>888</v>
      </c>
      <c r="BH87" s="6" t="s">
        <v>888</v>
      </c>
      <c r="BI87" s="17" t="s">
        <v>888</v>
      </c>
      <c r="BJ87" s="7" t="s">
        <v>888</v>
      </c>
      <c r="BK87" s="7" t="s">
        <v>888</v>
      </c>
      <c r="BL87" s="7" t="s">
        <v>888</v>
      </c>
      <c r="BM87" s="16" t="s">
        <v>888</v>
      </c>
      <c r="BN87" s="16" t="s">
        <v>888</v>
      </c>
      <c r="BO87" s="16" t="s">
        <v>888</v>
      </c>
      <c r="BP87" s="16" t="s">
        <v>888</v>
      </c>
      <c r="BQ87" s="16" t="s">
        <v>888</v>
      </c>
      <c r="BR87" s="7" t="s">
        <v>888</v>
      </c>
      <c r="BS87" s="7" t="s">
        <v>888</v>
      </c>
      <c r="BT87" s="7" t="s">
        <v>888</v>
      </c>
      <c r="BU87" s="14" t="s">
        <v>888</v>
      </c>
      <c r="BV87" s="15" t="s">
        <v>888</v>
      </c>
      <c r="BW87" s="9" t="s">
        <v>888</v>
      </c>
      <c r="BX87" s="9" t="s">
        <v>888</v>
      </c>
      <c r="BY87" s="13" t="s">
        <v>888</v>
      </c>
      <c r="BZ87" s="13" t="s">
        <v>888</v>
      </c>
      <c r="CA87" s="12" t="str">
        <f>IF(B87="","",IF(A87&lt;8,"",_xlfn.LET(_xlpm.n,A87,_xlpm.k,G87,_xlpm.R,AP87,_xlpm.mu,1+2*_xlpm.k*(_xlpm.n-_xlpm.k)/_xlpm.n,_xlpm.v,2*_xlpm.k*(_xlpm.n-_xlpm.k)*(2*_xlpm.k*(_xlpm.n-_xlpm.k)-_xlpm.n)/(_xlpm.n^2*(_xlpm.n-1)),IF(_xlpm.v&lt;=0,"",(_xlpm.R-_xlpm.mu)/SQRT(_xlpm.v)))))</f>
        <v/>
      </c>
      <c r="CB87" s="37" t="str" cm="1">
        <f t="array" ref="CB87">IF(B87="","",IF(A87&lt;8,"",_xlfn.LET(_xlpm.b,--MID(C87,_xlfn.SEQUENCE(A87-1),1),_xlpm.c,--MID(C87,_xlfn.SEQUENCE(A87-1,,2),1),IFERROR(CORREL(_xlpm.b,_xlpm.c),""))))</f>
        <v/>
      </c>
      <c r="CC87" s="8" t="str">
        <f>IF(B87="","",LOG(A87,2))</f>
        <v/>
      </c>
      <c r="CD87" s="8" t="str">
        <f>IF(B87="","",MAX(AN87,AO87)-CC87)</f>
        <v/>
      </c>
      <c r="CE87" s="8" t="str" cm="1">
        <f t="array" ref="CE87">IF(B87="","",IF(LEN(B87)&lt;16,"",_xlfn.LET(_xlpm.d,MID("0123456789abcdef",_xlfn.SEQUENCE(16),1),_xlpm.c,LEN(B87)-LEN(SUBSTITUTE(B87,_xlpm.d,"")),_xlpm.ex,LEN(B87)/16,SUM((_xlpm.c-_xlpm.ex)^2/_xlpm.ex))))</f>
        <v/>
      </c>
      <c r="CF87" s="37" t="str">
        <f>IF(CE87="","",_xlfn.CHISQ.DIST.RT(CE87,15))</f>
        <v/>
      </c>
      <c r="CG87" s="9" t="str" cm="1">
        <f t="array" ref="CG87">IF(OR(B87="",B86=""),"",_xlfn.LET(_xlpm.a,C87,_xlpm.b,REPT("0",A87-LEN(C86))&amp;C86,_xlpm.m,MID(_xlpm.a,_xlfn.SEQUENCE(A87),1)=MID(_xlpm.b,_xlfn.SEQUENCE(A87),1),IFERROR(MATCH(FALSE,_xlpm.m,0)-1,A87)))</f>
        <v/>
      </c>
      <c r="CH87" s="9" t="str" cm="1">
        <f t="array" ref="CH87">IF(OR(B87="",B86=""),"",_xlfn.LET(_xlpm.a,C87,_xlpm.b,REPT("0",A87-LEN(C86))&amp;C86,_xlpm.n,A87,_xlpm.m,MID(_xlpm.a,_xlfn.SEQUENCE(_xlpm.n,,_xlpm.n,-1),1)=MID(_xlpm.b,_xlfn.SEQUENCE(_xlpm.n,,_xlpm.n,-1),1),IFERROR(MATCH(FALSE,_xlpm.m,0)-1,_xlpm.n)))</f>
        <v/>
      </c>
      <c r="CI87" s="38" t="str">
        <f>IF(OR(B87="",B86=""),"",F87-F86)</f>
        <v/>
      </c>
      <c r="CJ87" s="5" t="str">
        <f>IF(OR(B87="",B86=""),"",IFERROR(FIND(B86,B87)&gt;0,FALSE))</f>
        <v/>
      </c>
      <c r="CK87" s="5" t="str">
        <f>IF(OR(B87="",B86=""),"",IFERROR(FIND(C86,C87)&gt;0,FALSE))</f>
        <v/>
      </c>
      <c r="CL87" s="9" t="str">
        <f>IF(OR(B87="",B86=""),"",IFERROR(FIND(C86,C87),""))</f>
        <v/>
      </c>
      <c r="CM87" s="6" t="str" cm="1">
        <f t="array" ref="CM87">IF(OR(B87="",B86=""),"",_xlfn.LET(_xlpm.pv,D86,_xlpm.ra,BIGSUB(D87,_xlpm.pv),_xlpm.rb,BIGSUB(_xlpm.ra,_xlpm.pv),_xlpm.rc,BIGSUB(_xlpm.rb,_xlpm.pv),IF(LEFT(_xlpm.rb,1)="-",_xlpm.ra,IF(LEFT(_xlpm.rc,1)="-",_xlpm.rb,_xlpm.rc))))</f>
        <v/>
      </c>
      <c r="CN87" s="38" t="str">
        <f>IF(B87="","",F87-0.5)</f>
        <v/>
      </c>
      <c r="CO87" s="15" t="str" cm="1">
        <f t="array" ref="CO87">IF(B87="","",_xlfn.TEXTJOIN("",,MID(B87,_xlfn.SEQUENCE(LEN(B87),,LEN(B87),-1),1)))</f>
        <v/>
      </c>
      <c r="CP87" s="6" t="str" cm="1">
        <f t="array" ref="CP87">IF(B87="","",BASE2DEC(CO87,16))</f>
        <v/>
      </c>
      <c r="CQ87" s="5" t="str">
        <f>IF(B87="","",IF(AND(LEN(B87)&lt;16,LEN(B87)=LEN(SUBSTITUTE(SUBSTITUTE(SUBSTITUTE(SUBSTITUTE(SUBSTITUTE(SUBSTITUTE(B87,"a",""),"b",""),"c",""),"d",""),"e",""),"f",""))),--B87,""))</f>
        <v/>
      </c>
      <c r="CR87" s="6" t="str" cm="1">
        <f t="array" ref="CR87">IF(B87="","",IF(LEN(D87)&lt;=15,BASE2DEC(D87,16),""))</f>
        <v/>
      </c>
      <c r="CS87" s="15" t="str" cm="1">
        <f t="array" ref="CS87">IF(B87="","",_xlfn.LET(_xlpm.p,REPT("0",MOD(-LEN(B87),4))&amp;B87,_xlfn.TEXTJOIN(" ",,MID(_xlpm.p,_xlfn.SEQUENCE(LEN(_xlpm.p)/4,,1,4),4))))</f>
        <v/>
      </c>
      <c r="CT87" s="15" t="str" cm="1">
        <f t="array" ref="CT87">IF(B87="","",UPPER(_xlfn.LET(_xlpm.p,REPT("0",64-LEN(B87))&amp;B87,_xlfn.TEXTJOIN(" ",,MID(_xlpm.p,_xlfn.SEQUENCE(8,,1,8),8)))))</f>
        <v/>
      </c>
      <c r="CU87" s="6" t="str" cm="1">
        <f t="array" ref="CU87">IF(B87="","",IF(LEN(D87)&lt;=6,_xlfn.LET(_xlpm.n,VALUE(D87)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7" s="39" t="s">
        <v>888</v>
      </c>
      <c r="CW87" s="39" t="s">
        <v>888</v>
      </c>
      <c r="CX87" s="39" t="s">
        <v>888</v>
      </c>
      <c r="CY87" s="7" t="s">
        <v>888</v>
      </c>
      <c r="CZ87" s="39" t="s">
        <v>888</v>
      </c>
      <c r="DA87" s="39" t="s">
        <v>888</v>
      </c>
      <c r="DB87" s="39" t="s">
        <v>888</v>
      </c>
      <c r="DC87" s="7" t="s">
        <v>888</v>
      </c>
      <c r="DD87" s="7" t="s">
        <v>888</v>
      </c>
      <c r="DE87" s="7" t="s">
        <v>888</v>
      </c>
      <c r="DF87" s="7" t="s">
        <v>888</v>
      </c>
      <c r="DG87" s="7" t="s">
        <v>888</v>
      </c>
      <c r="DH87" s="39" t="s">
        <v>888</v>
      </c>
      <c r="DI87" s="7" t="s">
        <v>888</v>
      </c>
      <c r="DJ87" s="7" t="s">
        <v>888</v>
      </c>
      <c r="DK87" s="7" t="s">
        <v>888</v>
      </c>
      <c r="DL87" s="7" t="s">
        <v>888</v>
      </c>
      <c r="DM87" s="7" t="s">
        <v>888</v>
      </c>
      <c r="DN87" s="7" t="s">
        <v>888</v>
      </c>
      <c r="DO87" s="7" t="s">
        <v>888</v>
      </c>
      <c r="DP87" s="7" t="s">
        <v>888</v>
      </c>
      <c r="DQ87" s="7" t="s">
        <v>888</v>
      </c>
      <c r="DR87" s="7" t="s">
        <v>888</v>
      </c>
      <c r="DS87" s="7" t="s">
        <v>888</v>
      </c>
      <c r="DT87" s="15" t="str" cm="1">
        <f t="array" ref="DT87">IF(B87="","",_xlfn.TEXTJOIN("",,HEX2BIN(MID(BQ87,_xlfn.SEQUENCE(40),1),4)))</f>
        <v/>
      </c>
    </row>
    <row r="88" spans="1:124" x14ac:dyDescent="0.25">
      <c r="A88" s="9">
        <v>87</v>
      </c>
      <c r="B88" s="15" t="s">
        <v>888</v>
      </c>
      <c r="C88" s="15" t="s">
        <v>888</v>
      </c>
      <c r="D88" s="6" t="s">
        <v>888</v>
      </c>
      <c r="E88" s="6" t="s">
        <v>888</v>
      </c>
      <c r="F88" s="10" t="s">
        <v>888</v>
      </c>
      <c r="G88" s="9" t="s">
        <v>888</v>
      </c>
      <c r="H88" s="9" t="s">
        <v>888</v>
      </c>
      <c r="I88" s="15" t="s">
        <v>888</v>
      </c>
      <c r="J88" s="9" t="s">
        <v>888</v>
      </c>
      <c r="K88" s="15" t="s">
        <v>888</v>
      </c>
      <c r="L88" s="15" t="s">
        <v>888</v>
      </c>
      <c r="M88" s="15" t="s">
        <v>888</v>
      </c>
      <c r="N88" s="15" t="s">
        <v>888</v>
      </c>
      <c r="O88" s="6" t="s">
        <v>888</v>
      </c>
      <c r="P88" s="15" t="s">
        <v>888</v>
      </c>
      <c r="Q88" s="15" t="s">
        <v>888</v>
      </c>
      <c r="R88" s="6" t="s">
        <v>888</v>
      </c>
      <c r="S88" s="15" t="s">
        <v>888</v>
      </c>
      <c r="T88" s="11" t="s">
        <v>888</v>
      </c>
      <c r="U88" s="10" t="s">
        <v>888</v>
      </c>
      <c r="V88" s="7" t="s">
        <v>888</v>
      </c>
      <c r="W88" s="7" t="s">
        <v>888</v>
      </c>
      <c r="X88" s="7" t="s">
        <v>888</v>
      </c>
      <c r="Y88" s="15" t="s">
        <v>888</v>
      </c>
      <c r="Z88" s="9" t="s">
        <v>888</v>
      </c>
      <c r="AA88" s="9" t="s">
        <v>888</v>
      </c>
      <c r="AB88" s="9" t="s">
        <v>888</v>
      </c>
      <c r="AC88" s="13" t="s">
        <v>888</v>
      </c>
      <c r="AD88" s="13" t="s">
        <v>888</v>
      </c>
      <c r="AE88" s="9" t="s">
        <v>888</v>
      </c>
      <c r="AF88" s="9" t="s">
        <v>888</v>
      </c>
      <c r="AG88" s="9" t="s">
        <v>888</v>
      </c>
      <c r="AH88" s="6" t="s">
        <v>888</v>
      </c>
      <c r="AI88" s="10" t="s">
        <v>888</v>
      </c>
      <c r="AJ88" s="10" t="s">
        <v>888</v>
      </c>
      <c r="AK88" s="15" t="s">
        <v>888</v>
      </c>
      <c r="AL88" s="15" t="s">
        <v>888</v>
      </c>
      <c r="AM88" s="15" t="s">
        <v>888</v>
      </c>
      <c r="AN88" s="9" t="s">
        <v>888</v>
      </c>
      <c r="AO88" s="9" t="s">
        <v>888</v>
      </c>
      <c r="AP88" s="9" t="s">
        <v>888</v>
      </c>
      <c r="AQ88" s="15" t="s">
        <v>888</v>
      </c>
      <c r="AR88" s="9" t="s">
        <v>888</v>
      </c>
      <c r="AS88" s="6" t="s">
        <v>888</v>
      </c>
      <c r="AT88" s="15" t="s">
        <v>888</v>
      </c>
      <c r="AU88" s="9" t="s">
        <v>888</v>
      </c>
      <c r="AV88" s="9" t="s">
        <v>888</v>
      </c>
      <c r="AW88" s="9" t="s">
        <v>888</v>
      </c>
      <c r="AX88" s="9" t="s">
        <v>888</v>
      </c>
      <c r="AY88" s="9" t="s">
        <v>888</v>
      </c>
      <c r="AZ88" s="9" t="s">
        <v>888</v>
      </c>
      <c r="BA88" s="6" t="s">
        <v>888</v>
      </c>
      <c r="BB88" s="6" t="s">
        <v>888</v>
      </c>
      <c r="BC88" s="6" t="s">
        <v>888</v>
      </c>
      <c r="BD88" s="15" t="s">
        <v>888</v>
      </c>
      <c r="BE88" s="15" t="s">
        <v>888</v>
      </c>
      <c r="BF88" s="15" t="s">
        <v>888</v>
      </c>
      <c r="BG88" s="15" t="s">
        <v>888</v>
      </c>
      <c r="BH88" s="6" t="s">
        <v>888</v>
      </c>
      <c r="BI88" s="17" t="s">
        <v>888</v>
      </c>
      <c r="BJ88" s="7" t="s">
        <v>888</v>
      </c>
      <c r="BK88" s="7" t="s">
        <v>888</v>
      </c>
      <c r="BL88" s="7" t="s">
        <v>888</v>
      </c>
      <c r="BM88" s="16" t="s">
        <v>888</v>
      </c>
      <c r="BN88" s="16" t="s">
        <v>888</v>
      </c>
      <c r="BO88" s="16" t="s">
        <v>888</v>
      </c>
      <c r="BP88" s="16" t="s">
        <v>888</v>
      </c>
      <c r="BQ88" s="16" t="s">
        <v>888</v>
      </c>
      <c r="BR88" s="7" t="s">
        <v>888</v>
      </c>
      <c r="BS88" s="7" t="s">
        <v>888</v>
      </c>
      <c r="BT88" s="7" t="s">
        <v>888</v>
      </c>
      <c r="BU88" s="14" t="s">
        <v>888</v>
      </c>
      <c r="BV88" s="15" t="s">
        <v>888</v>
      </c>
      <c r="BW88" s="9" t="s">
        <v>888</v>
      </c>
      <c r="BX88" s="9" t="s">
        <v>888</v>
      </c>
      <c r="BY88" s="13" t="s">
        <v>888</v>
      </c>
      <c r="BZ88" s="13" t="s">
        <v>888</v>
      </c>
      <c r="CA88" s="12" t="str">
        <f>IF(B88="","",IF(A88&lt;8,"",_xlfn.LET(_xlpm.n,A88,_xlpm.k,G88,_xlpm.R,AP88,_xlpm.mu,1+2*_xlpm.k*(_xlpm.n-_xlpm.k)/_xlpm.n,_xlpm.v,2*_xlpm.k*(_xlpm.n-_xlpm.k)*(2*_xlpm.k*(_xlpm.n-_xlpm.k)-_xlpm.n)/(_xlpm.n^2*(_xlpm.n-1)),IF(_xlpm.v&lt;=0,"",(_xlpm.R-_xlpm.mu)/SQRT(_xlpm.v)))))</f>
        <v/>
      </c>
      <c r="CB88" s="37" t="str" cm="1">
        <f t="array" ref="CB88">IF(B88="","",IF(A88&lt;8,"",_xlfn.LET(_xlpm.b,--MID(C88,_xlfn.SEQUENCE(A88-1),1),_xlpm.c,--MID(C88,_xlfn.SEQUENCE(A88-1,,2),1),IFERROR(CORREL(_xlpm.b,_xlpm.c),""))))</f>
        <v/>
      </c>
      <c r="CC88" s="8" t="str">
        <f>IF(B88="","",LOG(A88,2))</f>
        <v/>
      </c>
      <c r="CD88" s="8" t="str">
        <f>IF(B88="","",MAX(AN88,AO88)-CC88)</f>
        <v/>
      </c>
      <c r="CE88" s="8" t="str" cm="1">
        <f t="array" ref="CE88">IF(B88="","",IF(LEN(B88)&lt;16,"",_xlfn.LET(_xlpm.d,MID("0123456789abcdef",_xlfn.SEQUENCE(16),1),_xlpm.c,LEN(B88)-LEN(SUBSTITUTE(B88,_xlpm.d,"")),_xlpm.ex,LEN(B88)/16,SUM((_xlpm.c-_xlpm.ex)^2/_xlpm.ex))))</f>
        <v/>
      </c>
      <c r="CF88" s="37" t="str">
        <f>IF(CE88="","",_xlfn.CHISQ.DIST.RT(CE88,15))</f>
        <v/>
      </c>
      <c r="CG88" s="9" t="str" cm="1">
        <f t="array" ref="CG88">IF(OR(B88="",B87=""),"",_xlfn.LET(_xlpm.a,C88,_xlpm.b,REPT("0",A88-LEN(C87))&amp;C87,_xlpm.m,MID(_xlpm.a,_xlfn.SEQUENCE(A88),1)=MID(_xlpm.b,_xlfn.SEQUENCE(A88),1),IFERROR(MATCH(FALSE,_xlpm.m,0)-1,A88)))</f>
        <v/>
      </c>
      <c r="CH88" s="9" t="str" cm="1">
        <f t="array" ref="CH88">IF(OR(B88="",B87=""),"",_xlfn.LET(_xlpm.a,C88,_xlpm.b,REPT("0",A88-LEN(C87))&amp;C87,_xlpm.n,A88,_xlpm.m,MID(_xlpm.a,_xlfn.SEQUENCE(_xlpm.n,,_xlpm.n,-1),1)=MID(_xlpm.b,_xlfn.SEQUENCE(_xlpm.n,,_xlpm.n,-1),1),IFERROR(MATCH(FALSE,_xlpm.m,0)-1,_xlpm.n)))</f>
        <v/>
      </c>
      <c r="CI88" s="38" t="str">
        <f>IF(OR(B88="",B87=""),"",F88-F87)</f>
        <v/>
      </c>
      <c r="CJ88" s="5" t="str">
        <f>IF(OR(B88="",B87=""),"",IFERROR(FIND(B87,B88)&gt;0,FALSE))</f>
        <v/>
      </c>
      <c r="CK88" s="5" t="str">
        <f>IF(OR(B88="",B87=""),"",IFERROR(FIND(C87,C88)&gt;0,FALSE))</f>
        <v/>
      </c>
      <c r="CL88" s="9" t="str">
        <f>IF(OR(B88="",B87=""),"",IFERROR(FIND(C87,C88),""))</f>
        <v/>
      </c>
      <c r="CM88" s="6" t="str" cm="1">
        <f t="array" ref="CM88">IF(OR(B88="",B87=""),"",_xlfn.LET(_xlpm.pv,D87,_xlpm.ra,BIGSUB(D88,_xlpm.pv),_xlpm.rb,BIGSUB(_xlpm.ra,_xlpm.pv),_xlpm.rc,BIGSUB(_xlpm.rb,_xlpm.pv),IF(LEFT(_xlpm.rb,1)="-",_xlpm.ra,IF(LEFT(_xlpm.rc,1)="-",_xlpm.rb,_xlpm.rc))))</f>
        <v/>
      </c>
      <c r="CN88" s="38" t="str">
        <f>IF(B88="","",F88-0.5)</f>
        <v/>
      </c>
      <c r="CO88" s="15" t="str" cm="1">
        <f t="array" ref="CO88">IF(B88="","",_xlfn.TEXTJOIN("",,MID(B88,_xlfn.SEQUENCE(LEN(B88),,LEN(B88),-1),1)))</f>
        <v/>
      </c>
      <c r="CP88" s="6" t="str" cm="1">
        <f t="array" ref="CP88">IF(B88="","",BASE2DEC(CO88,16))</f>
        <v/>
      </c>
      <c r="CQ88" s="5" t="str">
        <f>IF(B88="","",IF(AND(LEN(B88)&lt;16,LEN(B88)=LEN(SUBSTITUTE(SUBSTITUTE(SUBSTITUTE(SUBSTITUTE(SUBSTITUTE(SUBSTITUTE(B88,"a",""),"b",""),"c",""),"d",""),"e",""),"f",""))),--B88,""))</f>
        <v/>
      </c>
      <c r="CR88" s="6" t="str" cm="1">
        <f t="array" ref="CR88">IF(B88="","",IF(LEN(D88)&lt;=15,BASE2DEC(D88,16),""))</f>
        <v/>
      </c>
      <c r="CS88" s="15" t="str" cm="1">
        <f t="array" ref="CS88">IF(B88="","",_xlfn.LET(_xlpm.p,REPT("0",MOD(-LEN(B88),4))&amp;B88,_xlfn.TEXTJOIN(" ",,MID(_xlpm.p,_xlfn.SEQUENCE(LEN(_xlpm.p)/4,,1,4),4))))</f>
        <v/>
      </c>
      <c r="CT88" s="15" t="str" cm="1">
        <f t="array" ref="CT88">IF(B88="","",UPPER(_xlfn.LET(_xlpm.p,REPT("0",64-LEN(B88))&amp;B88,_xlfn.TEXTJOIN(" ",,MID(_xlpm.p,_xlfn.SEQUENCE(8,,1,8),8)))))</f>
        <v/>
      </c>
      <c r="CU88" s="6" t="str" cm="1">
        <f t="array" ref="CU88">IF(B88="","",IF(LEN(D88)&lt;=6,_xlfn.LET(_xlpm.n,VALUE(D88)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8" s="39" t="s">
        <v>888</v>
      </c>
      <c r="CW88" s="39" t="s">
        <v>888</v>
      </c>
      <c r="CX88" s="39" t="s">
        <v>888</v>
      </c>
      <c r="CY88" s="7" t="s">
        <v>888</v>
      </c>
      <c r="CZ88" s="39" t="s">
        <v>888</v>
      </c>
      <c r="DA88" s="39" t="s">
        <v>888</v>
      </c>
      <c r="DB88" s="39" t="s">
        <v>888</v>
      </c>
      <c r="DC88" s="7" t="s">
        <v>888</v>
      </c>
      <c r="DD88" s="7" t="s">
        <v>888</v>
      </c>
      <c r="DE88" s="7" t="s">
        <v>888</v>
      </c>
      <c r="DF88" s="7" t="s">
        <v>888</v>
      </c>
      <c r="DG88" s="7" t="s">
        <v>888</v>
      </c>
      <c r="DH88" s="39" t="s">
        <v>888</v>
      </c>
      <c r="DI88" s="7" t="s">
        <v>888</v>
      </c>
      <c r="DJ88" s="7" t="s">
        <v>888</v>
      </c>
      <c r="DK88" s="7" t="s">
        <v>888</v>
      </c>
      <c r="DL88" s="7" t="s">
        <v>888</v>
      </c>
      <c r="DM88" s="7" t="s">
        <v>888</v>
      </c>
      <c r="DN88" s="7" t="s">
        <v>888</v>
      </c>
      <c r="DO88" s="7" t="s">
        <v>888</v>
      </c>
      <c r="DP88" s="7" t="s">
        <v>888</v>
      </c>
      <c r="DQ88" s="7" t="s">
        <v>888</v>
      </c>
      <c r="DR88" s="7" t="s">
        <v>888</v>
      </c>
      <c r="DS88" s="7" t="s">
        <v>888</v>
      </c>
      <c r="DT88" s="15" t="str" cm="1">
        <f t="array" ref="DT88">IF(B88="","",_xlfn.TEXTJOIN("",,HEX2BIN(MID(BQ88,_xlfn.SEQUENCE(40),1),4)))</f>
        <v/>
      </c>
    </row>
    <row r="89" spans="1:124" x14ac:dyDescent="0.25">
      <c r="A89" s="9">
        <v>88</v>
      </c>
      <c r="B89" s="15" t="s">
        <v>888</v>
      </c>
      <c r="C89" s="15" t="s">
        <v>888</v>
      </c>
      <c r="D89" s="6" t="s">
        <v>888</v>
      </c>
      <c r="E89" s="6" t="s">
        <v>888</v>
      </c>
      <c r="F89" s="10" t="s">
        <v>888</v>
      </c>
      <c r="G89" s="9" t="s">
        <v>888</v>
      </c>
      <c r="H89" s="9" t="s">
        <v>888</v>
      </c>
      <c r="I89" s="15" t="s">
        <v>888</v>
      </c>
      <c r="J89" s="9" t="s">
        <v>888</v>
      </c>
      <c r="K89" s="15" t="s">
        <v>888</v>
      </c>
      <c r="L89" s="15" t="s">
        <v>888</v>
      </c>
      <c r="M89" s="15" t="s">
        <v>888</v>
      </c>
      <c r="N89" s="15" t="s">
        <v>888</v>
      </c>
      <c r="O89" s="6" t="s">
        <v>888</v>
      </c>
      <c r="P89" s="15" t="s">
        <v>888</v>
      </c>
      <c r="Q89" s="15" t="s">
        <v>888</v>
      </c>
      <c r="R89" s="6" t="s">
        <v>888</v>
      </c>
      <c r="S89" s="15" t="s">
        <v>888</v>
      </c>
      <c r="T89" s="11" t="s">
        <v>888</v>
      </c>
      <c r="U89" s="10" t="s">
        <v>888</v>
      </c>
      <c r="V89" s="7" t="s">
        <v>888</v>
      </c>
      <c r="W89" s="7" t="s">
        <v>888</v>
      </c>
      <c r="X89" s="7" t="s">
        <v>888</v>
      </c>
      <c r="Y89" s="15" t="s">
        <v>888</v>
      </c>
      <c r="Z89" s="9" t="s">
        <v>888</v>
      </c>
      <c r="AA89" s="9" t="s">
        <v>888</v>
      </c>
      <c r="AB89" s="9" t="s">
        <v>888</v>
      </c>
      <c r="AC89" s="13" t="s">
        <v>888</v>
      </c>
      <c r="AD89" s="13" t="s">
        <v>888</v>
      </c>
      <c r="AE89" s="9" t="s">
        <v>888</v>
      </c>
      <c r="AF89" s="9" t="s">
        <v>888</v>
      </c>
      <c r="AG89" s="9" t="s">
        <v>888</v>
      </c>
      <c r="AH89" s="6" t="s">
        <v>888</v>
      </c>
      <c r="AI89" s="10" t="s">
        <v>888</v>
      </c>
      <c r="AJ89" s="10" t="s">
        <v>888</v>
      </c>
      <c r="AK89" s="15" t="s">
        <v>888</v>
      </c>
      <c r="AL89" s="15" t="s">
        <v>888</v>
      </c>
      <c r="AM89" s="15" t="s">
        <v>888</v>
      </c>
      <c r="AN89" s="9" t="s">
        <v>888</v>
      </c>
      <c r="AO89" s="9" t="s">
        <v>888</v>
      </c>
      <c r="AP89" s="9" t="s">
        <v>888</v>
      </c>
      <c r="AQ89" s="15" t="s">
        <v>888</v>
      </c>
      <c r="AR89" s="9" t="s">
        <v>888</v>
      </c>
      <c r="AS89" s="6" t="s">
        <v>888</v>
      </c>
      <c r="AT89" s="15" t="s">
        <v>888</v>
      </c>
      <c r="AU89" s="9" t="s">
        <v>888</v>
      </c>
      <c r="AV89" s="9" t="s">
        <v>888</v>
      </c>
      <c r="AW89" s="9" t="s">
        <v>888</v>
      </c>
      <c r="AX89" s="9" t="s">
        <v>888</v>
      </c>
      <c r="AY89" s="9" t="s">
        <v>888</v>
      </c>
      <c r="AZ89" s="9" t="s">
        <v>888</v>
      </c>
      <c r="BA89" s="6" t="s">
        <v>888</v>
      </c>
      <c r="BB89" s="6" t="s">
        <v>888</v>
      </c>
      <c r="BC89" s="6" t="s">
        <v>888</v>
      </c>
      <c r="BD89" s="15" t="s">
        <v>888</v>
      </c>
      <c r="BE89" s="15" t="s">
        <v>888</v>
      </c>
      <c r="BF89" s="15" t="s">
        <v>888</v>
      </c>
      <c r="BG89" s="15" t="s">
        <v>888</v>
      </c>
      <c r="BH89" s="6" t="s">
        <v>888</v>
      </c>
      <c r="BI89" s="17" t="s">
        <v>888</v>
      </c>
      <c r="BJ89" s="7" t="s">
        <v>888</v>
      </c>
      <c r="BK89" s="7" t="s">
        <v>888</v>
      </c>
      <c r="BL89" s="7" t="s">
        <v>888</v>
      </c>
      <c r="BM89" s="16" t="s">
        <v>888</v>
      </c>
      <c r="BN89" s="16" t="s">
        <v>888</v>
      </c>
      <c r="BO89" s="16" t="s">
        <v>888</v>
      </c>
      <c r="BP89" s="16" t="s">
        <v>888</v>
      </c>
      <c r="BQ89" s="16" t="s">
        <v>888</v>
      </c>
      <c r="BR89" s="7" t="s">
        <v>888</v>
      </c>
      <c r="BS89" s="7" t="s">
        <v>888</v>
      </c>
      <c r="BT89" s="7" t="s">
        <v>888</v>
      </c>
      <c r="BU89" s="14" t="s">
        <v>888</v>
      </c>
      <c r="BV89" s="15" t="s">
        <v>888</v>
      </c>
      <c r="BW89" s="9" t="s">
        <v>888</v>
      </c>
      <c r="BX89" s="9" t="s">
        <v>888</v>
      </c>
      <c r="BY89" s="13" t="s">
        <v>888</v>
      </c>
      <c r="BZ89" s="13" t="s">
        <v>888</v>
      </c>
      <c r="CA89" s="12" t="str">
        <f>IF(B89="","",IF(A89&lt;8,"",_xlfn.LET(_xlpm.n,A89,_xlpm.k,G89,_xlpm.R,AP89,_xlpm.mu,1+2*_xlpm.k*(_xlpm.n-_xlpm.k)/_xlpm.n,_xlpm.v,2*_xlpm.k*(_xlpm.n-_xlpm.k)*(2*_xlpm.k*(_xlpm.n-_xlpm.k)-_xlpm.n)/(_xlpm.n^2*(_xlpm.n-1)),IF(_xlpm.v&lt;=0,"",(_xlpm.R-_xlpm.mu)/SQRT(_xlpm.v)))))</f>
        <v/>
      </c>
      <c r="CB89" s="37" t="str" cm="1">
        <f t="array" ref="CB89">IF(B89="","",IF(A89&lt;8,"",_xlfn.LET(_xlpm.b,--MID(C89,_xlfn.SEQUENCE(A89-1),1),_xlpm.c,--MID(C89,_xlfn.SEQUENCE(A89-1,,2),1),IFERROR(CORREL(_xlpm.b,_xlpm.c),""))))</f>
        <v/>
      </c>
      <c r="CC89" s="8" t="str">
        <f>IF(B89="","",LOG(A89,2))</f>
        <v/>
      </c>
      <c r="CD89" s="8" t="str">
        <f>IF(B89="","",MAX(AN89,AO89)-CC89)</f>
        <v/>
      </c>
      <c r="CE89" s="8" t="str" cm="1">
        <f t="array" ref="CE89">IF(B89="","",IF(LEN(B89)&lt;16,"",_xlfn.LET(_xlpm.d,MID("0123456789abcdef",_xlfn.SEQUENCE(16),1),_xlpm.c,LEN(B89)-LEN(SUBSTITUTE(B89,_xlpm.d,"")),_xlpm.ex,LEN(B89)/16,SUM((_xlpm.c-_xlpm.ex)^2/_xlpm.ex))))</f>
        <v/>
      </c>
      <c r="CF89" s="37" t="str">
        <f>IF(CE89="","",_xlfn.CHISQ.DIST.RT(CE89,15))</f>
        <v/>
      </c>
      <c r="CG89" s="9" t="str" cm="1">
        <f t="array" ref="CG89">IF(OR(B89="",B88=""),"",_xlfn.LET(_xlpm.a,C89,_xlpm.b,REPT("0",A89-LEN(C88))&amp;C88,_xlpm.m,MID(_xlpm.a,_xlfn.SEQUENCE(A89),1)=MID(_xlpm.b,_xlfn.SEQUENCE(A89),1),IFERROR(MATCH(FALSE,_xlpm.m,0)-1,A89)))</f>
        <v/>
      </c>
      <c r="CH89" s="9" t="str" cm="1">
        <f t="array" ref="CH89">IF(OR(B89="",B88=""),"",_xlfn.LET(_xlpm.a,C89,_xlpm.b,REPT("0",A89-LEN(C88))&amp;C88,_xlpm.n,A89,_xlpm.m,MID(_xlpm.a,_xlfn.SEQUENCE(_xlpm.n,,_xlpm.n,-1),1)=MID(_xlpm.b,_xlfn.SEQUENCE(_xlpm.n,,_xlpm.n,-1),1),IFERROR(MATCH(FALSE,_xlpm.m,0)-1,_xlpm.n)))</f>
        <v/>
      </c>
      <c r="CI89" s="38" t="str">
        <f>IF(OR(B89="",B88=""),"",F89-F88)</f>
        <v/>
      </c>
      <c r="CJ89" s="5" t="str">
        <f>IF(OR(B89="",B88=""),"",IFERROR(FIND(B88,B89)&gt;0,FALSE))</f>
        <v/>
      </c>
      <c r="CK89" s="5" t="str">
        <f>IF(OR(B89="",B88=""),"",IFERROR(FIND(C88,C89)&gt;0,FALSE))</f>
        <v/>
      </c>
      <c r="CL89" s="9" t="str">
        <f>IF(OR(B89="",B88=""),"",IFERROR(FIND(C88,C89),""))</f>
        <v/>
      </c>
      <c r="CM89" s="6" t="str" cm="1">
        <f t="array" ref="CM89">IF(OR(B89="",B88=""),"",_xlfn.LET(_xlpm.pv,D88,_xlpm.ra,BIGSUB(D89,_xlpm.pv),_xlpm.rb,BIGSUB(_xlpm.ra,_xlpm.pv),_xlpm.rc,BIGSUB(_xlpm.rb,_xlpm.pv),IF(LEFT(_xlpm.rb,1)="-",_xlpm.ra,IF(LEFT(_xlpm.rc,1)="-",_xlpm.rb,_xlpm.rc))))</f>
        <v/>
      </c>
      <c r="CN89" s="38" t="str">
        <f>IF(B89="","",F89-0.5)</f>
        <v/>
      </c>
      <c r="CO89" s="15" t="str" cm="1">
        <f t="array" ref="CO89">IF(B89="","",_xlfn.TEXTJOIN("",,MID(B89,_xlfn.SEQUENCE(LEN(B89),,LEN(B89),-1),1)))</f>
        <v/>
      </c>
      <c r="CP89" s="6" t="str" cm="1">
        <f t="array" ref="CP89">IF(B89="","",BASE2DEC(CO89,16))</f>
        <v/>
      </c>
      <c r="CQ89" s="5" t="str">
        <f>IF(B89="","",IF(AND(LEN(B89)&lt;16,LEN(B89)=LEN(SUBSTITUTE(SUBSTITUTE(SUBSTITUTE(SUBSTITUTE(SUBSTITUTE(SUBSTITUTE(B89,"a",""),"b",""),"c",""),"d",""),"e",""),"f",""))),--B89,""))</f>
        <v/>
      </c>
      <c r="CR89" s="6" t="str" cm="1">
        <f t="array" ref="CR89">IF(B89="","",IF(LEN(D89)&lt;=15,BASE2DEC(D89,16),""))</f>
        <v/>
      </c>
      <c r="CS89" s="15" t="str" cm="1">
        <f t="array" ref="CS89">IF(B89="","",_xlfn.LET(_xlpm.p,REPT("0",MOD(-LEN(B89),4))&amp;B89,_xlfn.TEXTJOIN(" ",,MID(_xlpm.p,_xlfn.SEQUENCE(LEN(_xlpm.p)/4,,1,4),4))))</f>
        <v/>
      </c>
      <c r="CT89" s="15" t="str" cm="1">
        <f t="array" ref="CT89">IF(B89="","",UPPER(_xlfn.LET(_xlpm.p,REPT("0",64-LEN(B89))&amp;B89,_xlfn.TEXTJOIN(" ",,MID(_xlpm.p,_xlfn.SEQUENCE(8,,1,8),8)))))</f>
        <v/>
      </c>
      <c r="CU89" s="6" t="str" cm="1">
        <f t="array" ref="CU89">IF(B89="","",IF(LEN(D89)&lt;=6,_xlfn.LET(_xlpm.n,VALUE(D89)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89" s="39" t="s">
        <v>888</v>
      </c>
      <c r="CW89" s="39" t="s">
        <v>888</v>
      </c>
      <c r="CX89" s="39" t="s">
        <v>888</v>
      </c>
      <c r="CY89" s="7" t="s">
        <v>888</v>
      </c>
      <c r="CZ89" s="39" t="s">
        <v>888</v>
      </c>
      <c r="DA89" s="39" t="s">
        <v>888</v>
      </c>
      <c r="DB89" s="39" t="s">
        <v>888</v>
      </c>
      <c r="DC89" s="7" t="s">
        <v>888</v>
      </c>
      <c r="DD89" s="7" t="s">
        <v>888</v>
      </c>
      <c r="DE89" s="7" t="s">
        <v>888</v>
      </c>
      <c r="DF89" s="7" t="s">
        <v>888</v>
      </c>
      <c r="DG89" s="7" t="s">
        <v>888</v>
      </c>
      <c r="DH89" s="39" t="s">
        <v>888</v>
      </c>
      <c r="DI89" s="7" t="s">
        <v>888</v>
      </c>
      <c r="DJ89" s="7" t="s">
        <v>888</v>
      </c>
      <c r="DK89" s="7" t="s">
        <v>888</v>
      </c>
      <c r="DL89" s="7" t="s">
        <v>888</v>
      </c>
      <c r="DM89" s="7" t="s">
        <v>888</v>
      </c>
      <c r="DN89" s="7" t="s">
        <v>888</v>
      </c>
      <c r="DO89" s="7" t="s">
        <v>888</v>
      </c>
      <c r="DP89" s="7" t="s">
        <v>888</v>
      </c>
      <c r="DQ89" s="7" t="s">
        <v>888</v>
      </c>
      <c r="DR89" s="7" t="s">
        <v>888</v>
      </c>
      <c r="DS89" s="7" t="s">
        <v>888</v>
      </c>
      <c r="DT89" s="15" t="str" cm="1">
        <f t="array" ref="DT89">IF(B89="","",_xlfn.TEXTJOIN("",,HEX2BIN(MID(BQ89,_xlfn.SEQUENCE(40),1),4)))</f>
        <v/>
      </c>
    </row>
    <row r="90" spans="1:124" x14ac:dyDescent="0.25">
      <c r="A90" s="9">
        <v>89</v>
      </c>
      <c r="B90" s="15" t="s">
        <v>888</v>
      </c>
      <c r="C90" s="15" t="s">
        <v>888</v>
      </c>
      <c r="D90" s="6" t="s">
        <v>888</v>
      </c>
      <c r="E90" s="6" t="s">
        <v>888</v>
      </c>
      <c r="F90" s="10" t="s">
        <v>888</v>
      </c>
      <c r="G90" s="9" t="s">
        <v>888</v>
      </c>
      <c r="H90" s="9" t="s">
        <v>888</v>
      </c>
      <c r="I90" s="15" t="s">
        <v>888</v>
      </c>
      <c r="J90" s="9" t="s">
        <v>888</v>
      </c>
      <c r="K90" s="15" t="s">
        <v>888</v>
      </c>
      <c r="L90" s="15" t="s">
        <v>888</v>
      </c>
      <c r="M90" s="15" t="s">
        <v>888</v>
      </c>
      <c r="N90" s="15" t="s">
        <v>888</v>
      </c>
      <c r="O90" s="6" t="s">
        <v>888</v>
      </c>
      <c r="P90" s="15" t="s">
        <v>888</v>
      </c>
      <c r="Q90" s="15" t="s">
        <v>888</v>
      </c>
      <c r="R90" s="6" t="s">
        <v>888</v>
      </c>
      <c r="S90" s="15" t="s">
        <v>888</v>
      </c>
      <c r="T90" s="11" t="s">
        <v>888</v>
      </c>
      <c r="U90" s="10" t="s">
        <v>888</v>
      </c>
      <c r="V90" s="7" t="s">
        <v>888</v>
      </c>
      <c r="W90" s="7" t="s">
        <v>888</v>
      </c>
      <c r="X90" s="7" t="s">
        <v>888</v>
      </c>
      <c r="Y90" s="15" t="s">
        <v>888</v>
      </c>
      <c r="Z90" s="9" t="s">
        <v>888</v>
      </c>
      <c r="AA90" s="9" t="s">
        <v>888</v>
      </c>
      <c r="AB90" s="9" t="s">
        <v>888</v>
      </c>
      <c r="AC90" s="13" t="s">
        <v>888</v>
      </c>
      <c r="AD90" s="13" t="s">
        <v>888</v>
      </c>
      <c r="AE90" s="9" t="s">
        <v>888</v>
      </c>
      <c r="AF90" s="9" t="s">
        <v>888</v>
      </c>
      <c r="AG90" s="9" t="s">
        <v>888</v>
      </c>
      <c r="AH90" s="6" t="s">
        <v>888</v>
      </c>
      <c r="AI90" s="10" t="s">
        <v>888</v>
      </c>
      <c r="AJ90" s="10" t="s">
        <v>888</v>
      </c>
      <c r="AK90" s="15" t="s">
        <v>888</v>
      </c>
      <c r="AL90" s="15" t="s">
        <v>888</v>
      </c>
      <c r="AM90" s="15" t="s">
        <v>888</v>
      </c>
      <c r="AN90" s="9" t="s">
        <v>888</v>
      </c>
      <c r="AO90" s="9" t="s">
        <v>888</v>
      </c>
      <c r="AP90" s="9" t="s">
        <v>888</v>
      </c>
      <c r="AQ90" s="15" t="s">
        <v>888</v>
      </c>
      <c r="AR90" s="9" t="s">
        <v>888</v>
      </c>
      <c r="AS90" s="6" t="s">
        <v>888</v>
      </c>
      <c r="AT90" s="15" t="s">
        <v>888</v>
      </c>
      <c r="AU90" s="9" t="s">
        <v>888</v>
      </c>
      <c r="AV90" s="9" t="s">
        <v>888</v>
      </c>
      <c r="AW90" s="9" t="s">
        <v>888</v>
      </c>
      <c r="AX90" s="9" t="s">
        <v>888</v>
      </c>
      <c r="AY90" s="9" t="s">
        <v>888</v>
      </c>
      <c r="AZ90" s="9" t="s">
        <v>888</v>
      </c>
      <c r="BA90" s="6" t="s">
        <v>888</v>
      </c>
      <c r="BB90" s="6" t="s">
        <v>888</v>
      </c>
      <c r="BC90" s="6" t="s">
        <v>888</v>
      </c>
      <c r="BD90" s="15" t="s">
        <v>888</v>
      </c>
      <c r="BE90" s="15" t="s">
        <v>888</v>
      </c>
      <c r="BF90" s="15" t="s">
        <v>888</v>
      </c>
      <c r="BG90" s="15" t="s">
        <v>888</v>
      </c>
      <c r="BH90" s="6" t="s">
        <v>888</v>
      </c>
      <c r="BI90" s="17" t="s">
        <v>888</v>
      </c>
      <c r="BJ90" s="7" t="s">
        <v>888</v>
      </c>
      <c r="BK90" s="7" t="s">
        <v>888</v>
      </c>
      <c r="BL90" s="7" t="s">
        <v>888</v>
      </c>
      <c r="BM90" s="16" t="s">
        <v>888</v>
      </c>
      <c r="BN90" s="16" t="s">
        <v>888</v>
      </c>
      <c r="BO90" s="16" t="s">
        <v>888</v>
      </c>
      <c r="BP90" s="16" t="s">
        <v>888</v>
      </c>
      <c r="BQ90" s="16" t="s">
        <v>888</v>
      </c>
      <c r="BR90" s="7" t="s">
        <v>888</v>
      </c>
      <c r="BS90" s="7" t="s">
        <v>888</v>
      </c>
      <c r="BT90" s="7" t="s">
        <v>888</v>
      </c>
      <c r="BU90" s="14" t="s">
        <v>888</v>
      </c>
      <c r="BV90" s="15" t="s">
        <v>888</v>
      </c>
      <c r="BW90" s="9" t="s">
        <v>888</v>
      </c>
      <c r="BX90" s="9" t="s">
        <v>888</v>
      </c>
      <c r="BY90" s="13" t="s">
        <v>888</v>
      </c>
      <c r="BZ90" s="13" t="s">
        <v>888</v>
      </c>
      <c r="CA90" s="12" t="str">
        <f>IF(B90="","",IF(A90&lt;8,"",_xlfn.LET(_xlpm.n,A90,_xlpm.k,G90,_xlpm.R,AP90,_xlpm.mu,1+2*_xlpm.k*(_xlpm.n-_xlpm.k)/_xlpm.n,_xlpm.v,2*_xlpm.k*(_xlpm.n-_xlpm.k)*(2*_xlpm.k*(_xlpm.n-_xlpm.k)-_xlpm.n)/(_xlpm.n^2*(_xlpm.n-1)),IF(_xlpm.v&lt;=0,"",(_xlpm.R-_xlpm.mu)/SQRT(_xlpm.v)))))</f>
        <v/>
      </c>
      <c r="CB90" s="37" t="str" cm="1">
        <f t="array" ref="CB90">IF(B90="","",IF(A90&lt;8,"",_xlfn.LET(_xlpm.b,--MID(C90,_xlfn.SEQUENCE(A90-1),1),_xlpm.c,--MID(C90,_xlfn.SEQUENCE(A90-1,,2),1),IFERROR(CORREL(_xlpm.b,_xlpm.c),""))))</f>
        <v/>
      </c>
      <c r="CC90" s="8" t="str">
        <f>IF(B90="","",LOG(A90,2))</f>
        <v/>
      </c>
      <c r="CD90" s="8" t="str">
        <f>IF(B90="","",MAX(AN90,AO90)-CC90)</f>
        <v/>
      </c>
      <c r="CE90" s="8" t="str" cm="1">
        <f t="array" ref="CE90">IF(B90="","",IF(LEN(B90)&lt;16,"",_xlfn.LET(_xlpm.d,MID("0123456789abcdef",_xlfn.SEQUENCE(16),1),_xlpm.c,LEN(B90)-LEN(SUBSTITUTE(B90,_xlpm.d,"")),_xlpm.ex,LEN(B90)/16,SUM((_xlpm.c-_xlpm.ex)^2/_xlpm.ex))))</f>
        <v/>
      </c>
      <c r="CF90" s="37" t="str">
        <f>IF(CE90="","",_xlfn.CHISQ.DIST.RT(CE90,15))</f>
        <v/>
      </c>
      <c r="CG90" s="9" t="str" cm="1">
        <f t="array" ref="CG90">IF(OR(B90="",B89=""),"",_xlfn.LET(_xlpm.a,C90,_xlpm.b,REPT("0",A90-LEN(C89))&amp;C89,_xlpm.m,MID(_xlpm.a,_xlfn.SEQUENCE(A90),1)=MID(_xlpm.b,_xlfn.SEQUENCE(A90),1),IFERROR(MATCH(FALSE,_xlpm.m,0)-1,A90)))</f>
        <v/>
      </c>
      <c r="CH90" s="9" t="str" cm="1">
        <f t="array" ref="CH90">IF(OR(B90="",B89=""),"",_xlfn.LET(_xlpm.a,C90,_xlpm.b,REPT("0",A90-LEN(C89))&amp;C89,_xlpm.n,A90,_xlpm.m,MID(_xlpm.a,_xlfn.SEQUENCE(_xlpm.n,,_xlpm.n,-1),1)=MID(_xlpm.b,_xlfn.SEQUENCE(_xlpm.n,,_xlpm.n,-1),1),IFERROR(MATCH(FALSE,_xlpm.m,0)-1,_xlpm.n)))</f>
        <v/>
      </c>
      <c r="CI90" s="38" t="str">
        <f>IF(OR(B90="",B89=""),"",F90-F89)</f>
        <v/>
      </c>
      <c r="CJ90" s="5" t="str">
        <f>IF(OR(B90="",B89=""),"",IFERROR(FIND(B89,B90)&gt;0,FALSE))</f>
        <v/>
      </c>
      <c r="CK90" s="5" t="str">
        <f>IF(OR(B90="",B89=""),"",IFERROR(FIND(C89,C90)&gt;0,FALSE))</f>
        <v/>
      </c>
      <c r="CL90" s="9" t="str">
        <f>IF(OR(B90="",B89=""),"",IFERROR(FIND(C89,C90),""))</f>
        <v/>
      </c>
      <c r="CM90" s="6" t="str" cm="1">
        <f t="array" ref="CM90">IF(OR(B90="",B89=""),"",_xlfn.LET(_xlpm.pv,D89,_xlpm.ra,BIGSUB(D90,_xlpm.pv),_xlpm.rb,BIGSUB(_xlpm.ra,_xlpm.pv),_xlpm.rc,BIGSUB(_xlpm.rb,_xlpm.pv),IF(LEFT(_xlpm.rb,1)="-",_xlpm.ra,IF(LEFT(_xlpm.rc,1)="-",_xlpm.rb,_xlpm.rc))))</f>
        <v/>
      </c>
      <c r="CN90" s="38" t="str">
        <f>IF(B90="","",F90-0.5)</f>
        <v/>
      </c>
      <c r="CO90" s="15" t="str" cm="1">
        <f t="array" ref="CO90">IF(B90="","",_xlfn.TEXTJOIN("",,MID(B90,_xlfn.SEQUENCE(LEN(B90),,LEN(B90),-1),1)))</f>
        <v/>
      </c>
      <c r="CP90" s="6" t="str" cm="1">
        <f t="array" ref="CP90">IF(B90="","",BASE2DEC(CO90,16))</f>
        <v/>
      </c>
      <c r="CQ90" s="5" t="str">
        <f>IF(B90="","",IF(AND(LEN(B90)&lt;16,LEN(B90)=LEN(SUBSTITUTE(SUBSTITUTE(SUBSTITUTE(SUBSTITUTE(SUBSTITUTE(SUBSTITUTE(B90,"a",""),"b",""),"c",""),"d",""),"e",""),"f",""))),--B90,""))</f>
        <v/>
      </c>
      <c r="CR90" s="6" t="str" cm="1">
        <f t="array" ref="CR90">IF(B90="","",IF(LEN(D90)&lt;=15,BASE2DEC(D90,16),""))</f>
        <v/>
      </c>
      <c r="CS90" s="15" t="str" cm="1">
        <f t="array" ref="CS90">IF(B90="","",_xlfn.LET(_xlpm.p,REPT("0",MOD(-LEN(B90),4))&amp;B90,_xlfn.TEXTJOIN(" ",,MID(_xlpm.p,_xlfn.SEQUENCE(LEN(_xlpm.p)/4,,1,4),4))))</f>
        <v/>
      </c>
      <c r="CT90" s="15" t="str" cm="1">
        <f t="array" ref="CT90">IF(B90="","",UPPER(_xlfn.LET(_xlpm.p,REPT("0",64-LEN(B90))&amp;B90,_xlfn.TEXTJOIN(" ",,MID(_xlpm.p,_xlfn.SEQUENCE(8,,1,8),8)))))</f>
        <v/>
      </c>
      <c r="CU90" s="6" t="str" cm="1">
        <f t="array" ref="CU90">IF(B90="","",IF(LEN(D90)&lt;=6,_xlfn.LET(_xlpm.n,VALUE(D90)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0" s="39" t="s">
        <v>888</v>
      </c>
      <c r="CW90" s="39" t="s">
        <v>888</v>
      </c>
      <c r="CX90" s="39" t="s">
        <v>888</v>
      </c>
      <c r="CY90" s="7" t="s">
        <v>888</v>
      </c>
      <c r="CZ90" s="39" t="s">
        <v>888</v>
      </c>
      <c r="DA90" s="39" t="s">
        <v>888</v>
      </c>
      <c r="DB90" s="39" t="s">
        <v>888</v>
      </c>
      <c r="DC90" s="7" t="s">
        <v>888</v>
      </c>
      <c r="DD90" s="7" t="s">
        <v>888</v>
      </c>
      <c r="DE90" s="7" t="s">
        <v>888</v>
      </c>
      <c r="DF90" s="7" t="s">
        <v>888</v>
      </c>
      <c r="DG90" s="7" t="s">
        <v>888</v>
      </c>
      <c r="DH90" s="39" t="s">
        <v>888</v>
      </c>
      <c r="DI90" s="7" t="s">
        <v>888</v>
      </c>
      <c r="DJ90" s="7" t="s">
        <v>888</v>
      </c>
      <c r="DK90" s="7" t="s">
        <v>888</v>
      </c>
      <c r="DL90" s="7" t="s">
        <v>888</v>
      </c>
      <c r="DM90" s="7" t="s">
        <v>888</v>
      </c>
      <c r="DN90" s="7" t="s">
        <v>888</v>
      </c>
      <c r="DO90" s="7" t="s">
        <v>888</v>
      </c>
      <c r="DP90" s="7" t="s">
        <v>888</v>
      </c>
      <c r="DQ90" s="7" t="s">
        <v>888</v>
      </c>
      <c r="DR90" s="7" t="s">
        <v>888</v>
      </c>
      <c r="DS90" s="7" t="s">
        <v>888</v>
      </c>
      <c r="DT90" s="15" t="str" cm="1">
        <f t="array" ref="DT90">IF(B90="","",_xlfn.TEXTJOIN("",,HEX2BIN(MID(BQ90,_xlfn.SEQUENCE(40),1),4)))</f>
        <v/>
      </c>
    </row>
    <row r="91" spans="1:124" x14ac:dyDescent="0.25">
      <c r="A91" s="9">
        <v>90</v>
      </c>
      <c r="B91" s="15" t="s">
        <v>4140</v>
      </c>
      <c r="C91" s="15" t="s">
        <v>4141</v>
      </c>
      <c r="D91" s="6" t="s">
        <v>4142</v>
      </c>
      <c r="E91" s="6" t="s">
        <v>4143</v>
      </c>
      <c r="F91" s="10">
        <v>0.40234932690083985</v>
      </c>
      <c r="G91" s="9">
        <v>43</v>
      </c>
      <c r="H91" s="9">
        <v>0</v>
      </c>
      <c r="I91" s="15" t="s">
        <v>888</v>
      </c>
      <c r="J91" s="9" t="s">
        <v>888</v>
      </c>
      <c r="K91" s="15" t="s">
        <v>4144</v>
      </c>
      <c r="L91" s="15" t="s">
        <v>4145</v>
      </c>
      <c r="M91" s="15" t="s">
        <v>4146</v>
      </c>
      <c r="N91" s="15" t="s">
        <v>4147</v>
      </c>
      <c r="O91" s="6" t="s">
        <v>4148</v>
      </c>
      <c r="P91" s="15" t="s">
        <v>4149</v>
      </c>
      <c r="Q91" s="15" t="s">
        <v>4150</v>
      </c>
      <c r="R91" s="6" t="s">
        <v>4151</v>
      </c>
      <c r="S91" s="15" t="s">
        <v>4152</v>
      </c>
      <c r="T91" s="11" t="s">
        <v>888</v>
      </c>
      <c r="U91" s="10">
        <v>0.4777777777777778</v>
      </c>
      <c r="V91" s="7" t="s">
        <v>898</v>
      </c>
      <c r="W91" s="7" t="s">
        <v>899</v>
      </c>
      <c r="X91" s="7" t="s">
        <v>900</v>
      </c>
      <c r="Y91" s="15" t="s">
        <v>4153</v>
      </c>
      <c r="Z91" s="9">
        <v>48</v>
      </c>
      <c r="AA91" s="9">
        <v>41</v>
      </c>
      <c r="AB91" s="9">
        <v>79</v>
      </c>
      <c r="AC91" s="13">
        <v>0.63245553203367588</v>
      </c>
      <c r="AD91" s="13">
        <v>-0.84327404271156781</v>
      </c>
      <c r="AE91" s="9">
        <v>27</v>
      </c>
      <c r="AF91" s="9">
        <v>119</v>
      </c>
      <c r="AG91" s="9">
        <v>2</v>
      </c>
      <c r="AH91" s="6" t="s">
        <v>4154</v>
      </c>
      <c r="AI91" s="10">
        <v>89.487845771183231</v>
      </c>
      <c r="AJ91" s="10">
        <v>87.686520524291225</v>
      </c>
      <c r="AK91" s="15" t="s">
        <v>4155</v>
      </c>
      <c r="AL91" s="15" t="s">
        <v>4156</v>
      </c>
      <c r="AM91" s="15" t="s">
        <v>4157</v>
      </c>
      <c r="AN91" s="9">
        <v>9</v>
      </c>
      <c r="AO91" s="9">
        <v>6</v>
      </c>
      <c r="AP91" s="9">
        <v>43</v>
      </c>
      <c r="AQ91" s="15" t="s">
        <v>4158</v>
      </c>
      <c r="AR91" s="9">
        <v>14</v>
      </c>
      <c r="AS91" s="6" t="s">
        <v>3237</v>
      </c>
      <c r="AT91" s="15" t="s">
        <v>4159</v>
      </c>
      <c r="AU91" s="9">
        <v>2</v>
      </c>
      <c r="AV91" s="9">
        <v>3</v>
      </c>
      <c r="AW91" s="9">
        <v>6</v>
      </c>
      <c r="AX91" s="9">
        <v>7</v>
      </c>
      <c r="AY91" s="9">
        <v>191</v>
      </c>
      <c r="AZ91" s="9">
        <v>34239</v>
      </c>
      <c r="BA91" s="6" t="s">
        <v>888</v>
      </c>
      <c r="BB91" s="6" t="s">
        <v>888</v>
      </c>
      <c r="BC91" s="6" t="s">
        <v>4160</v>
      </c>
      <c r="BD91" s="15" t="s">
        <v>4161</v>
      </c>
      <c r="BE91" s="15" t="s">
        <v>4162</v>
      </c>
      <c r="BF91" s="15" t="s">
        <v>4163</v>
      </c>
      <c r="BG91" s="15" t="s">
        <v>4164</v>
      </c>
      <c r="BH91" s="6" t="s">
        <v>4165</v>
      </c>
      <c r="BI91" s="17" t="s">
        <v>888</v>
      </c>
      <c r="BJ91" s="7" t="s">
        <v>1779</v>
      </c>
      <c r="BK91" s="7" t="s">
        <v>1780</v>
      </c>
      <c r="BL91" s="7" t="s">
        <v>1781</v>
      </c>
      <c r="BM91" s="16" t="s">
        <v>1782</v>
      </c>
      <c r="BN91" s="16" t="s">
        <v>1783</v>
      </c>
      <c r="BO91" s="16" t="s">
        <v>1784</v>
      </c>
      <c r="BP91" s="16" t="s">
        <v>1785</v>
      </c>
      <c r="BQ91" s="16" t="s">
        <v>1786</v>
      </c>
      <c r="BR91" s="7" t="s">
        <v>1787</v>
      </c>
      <c r="BS91" s="7" t="s">
        <v>1788</v>
      </c>
      <c r="BT91" s="7" t="s">
        <v>1789</v>
      </c>
      <c r="BU91" s="14">
        <v>7.4962995843242294E-51</v>
      </c>
      <c r="BV91" s="15" t="s">
        <v>4166</v>
      </c>
      <c r="BW91" s="9">
        <v>38</v>
      </c>
      <c r="BX91" s="9">
        <v>49</v>
      </c>
      <c r="BY91" s="13">
        <v>-1.4757295747452437</v>
      </c>
      <c r="BZ91" s="13">
        <v>0.84327404271156781</v>
      </c>
      <c r="CA91" s="12">
        <f>IF(B91="","",IF(A91&lt;8,"",_xlfn.LET(_xlpm.n,A91,_xlpm.k,G91,_xlpm.R,AP91,_xlpm.mu,1+2*_xlpm.k*(_xlpm.n-_xlpm.k)/_xlpm.n,_xlpm.v,2*_xlpm.k*(_xlpm.n-_xlpm.k)*(2*_xlpm.k*(_xlpm.n-_xlpm.k)-_xlpm.n)/(_xlpm.n^2*(_xlpm.n-1)),IF(_xlpm.v&lt;=0,"",(_xlpm.R-_xlpm.mu)/SQRT(_xlpm.v)))))</f>
        <v>-0.6184287512719393</v>
      </c>
      <c r="CB91" s="37" cm="1">
        <f t="array" ref="CB91">IF(B91="","",IF(A91&lt;8,"",_xlfn.LET(_xlpm.b,--MID(C91,_xlfn.SEQUENCE(A91-1),1),_xlpm.c,--MID(C91,_xlfn.SEQUENCE(A91-1,,2),1),IFERROR(CORREL(_xlpm.b,_xlpm.c),""))))</f>
        <v>5.3191489361702003E-2</v>
      </c>
      <c r="CC91" s="8">
        <f>IF(B91="","",LOG(A91,2))</f>
        <v>6.4918530963296748</v>
      </c>
      <c r="CD91" s="8">
        <f>IF(B91="","",MAX(AN91,AO91)-CC91)</f>
        <v>2.5081469036703252</v>
      </c>
      <c r="CE91" s="8" cm="1">
        <f t="array" ref="CE91">IF(B91="","",IF(LEN(B91)&lt;16,"",_xlfn.LET(_xlpm.d,MID("0123456789abcdef",_xlfn.SEQUENCE(16),1),_xlpm.c,LEN(B91)-LEN(SUBSTITUTE(B91,_xlpm.d,"")),_xlpm.ex,LEN(B91)/16,SUM((_xlpm.c-_xlpm.ex)^2/_xlpm.ex))))</f>
        <v>6.9130434782608692</v>
      </c>
      <c r="CF91" s="37">
        <f>IF(CE91="","",_xlfn.CHISQ.DIST.RT(CE91,15))</f>
        <v>0.96001790857362224</v>
      </c>
      <c r="CG91" s="9" t="str" cm="1">
        <f t="array" ref="CG91">IF(OR(B91="",B90=""),"",_xlfn.LET(_xlpm.a,C91,_xlpm.b,REPT("0",A91-LEN(C90))&amp;C90,_xlpm.m,MID(_xlpm.a,_xlfn.SEQUENCE(A91),1)=MID(_xlpm.b,_xlfn.SEQUENCE(A91),1),IFERROR(MATCH(FALSE,_xlpm.m,0)-1,A91)))</f>
        <v/>
      </c>
      <c r="CH91" s="9" t="str" cm="1">
        <f t="array" ref="CH91">IF(OR(B91="",B90=""),"",_xlfn.LET(_xlpm.a,C91,_xlpm.b,REPT("0",A91-LEN(C90))&amp;C90,_xlpm.n,A91,_xlpm.m,MID(_xlpm.a,_xlfn.SEQUENCE(_xlpm.n,,_xlpm.n,-1),1)=MID(_xlpm.b,_xlfn.SEQUENCE(_xlpm.n,,_xlpm.n,-1),1),IFERROR(MATCH(FALSE,_xlpm.m,0)-1,_xlpm.n)))</f>
        <v/>
      </c>
      <c r="CI91" s="38" t="str">
        <f>IF(OR(B91="",B90=""),"",F91-F90)</f>
        <v/>
      </c>
      <c r="CJ91" s="5" t="str">
        <f>IF(OR(B91="",B90=""),"",IFERROR(FIND(B90,B91)&gt;0,FALSE))</f>
        <v/>
      </c>
      <c r="CK91" s="5" t="str">
        <f>IF(OR(B91="",B90=""),"",IFERROR(FIND(C90,C91)&gt;0,FALSE))</f>
        <v/>
      </c>
      <c r="CL91" s="9" t="str">
        <f>IF(OR(B91="",B90=""),"",IFERROR(FIND(C90,C91),""))</f>
        <v/>
      </c>
      <c r="CM91" s="6" t="str" cm="1">
        <f t="array" ref="CM91">IF(OR(B91="",B90=""),"",_xlfn.LET(_xlpm.pv,D90,_xlpm.ra,BIGSUB(D91,_xlpm.pv),_xlpm.rb,BIGSUB(_xlpm.ra,_xlpm.pv),_xlpm.rc,BIGSUB(_xlpm.rb,_xlpm.pv),IF(LEFT(_xlpm.rb,1)="-",_xlpm.ra,IF(LEFT(_xlpm.rc,1)="-",_xlpm.rb,_xlpm.rc))))</f>
        <v/>
      </c>
      <c r="CN91" s="38">
        <f>IF(B91="","",F91-0.5)</f>
        <v>-9.7650673099160146E-2</v>
      </c>
      <c r="CO91" s="15" t="str" cm="1">
        <f t="array" ref="CO91">IF(B91="","",_xlfn.TEXTJOIN("",,MID(B91,_xlfn.SEQUENCE(LEN(B91),,LEN(B91),-1),1)))</f>
        <v>fb58e17c544a6312bb00ec2</v>
      </c>
      <c r="CP91" s="6" t="str" cm="1">
        <f t="array" ref="CP91">IF(B91="","",BASE2DEC(CO91,16))</f>
        <v>4861761735200774150438260418</v>
      </c>
      <c r="CQ91" s="5" t="str">
        <f>IF(B91="","",IF(AND(LEN(B91)&lt;16,LEN(B91)=LEN(SUBSTITUTE(SUBSTITUTE(SUBSTITUTE(SUBSTITUTE(SUBSTITUTE(SUBSTITUTE(B91,"a",""),"b",""),"c",""),"d",""),"e",""),"f",""))),--B91,""))</f>
        <v/>
      </c>
      <c r="CR91" s="6" t="str" cm="1">
        <f t="array" ref="CR91">IF(B91="","",IF(LEN(D91)&lt;=15,BASE2DEC(D91,16),""))</f>
        <v/>
      </c>
      <c r="CS91" s="15" t="str" cm="1">
        <f t="array" ref="CS91">IF(B91="","",_xlfn.LET(_xlpm.p,REPT("0",MOD(-LEN(B91),4))&amp;B91,_xlfn.TEXTJOIN(" ",,MID(_xlpm.p,_xlfn.SEQUENCE(LEN(_xlpm.p)/4,,1,4),4))))</f>
        <v>02ce 00bb 2136 a445 c71e 85bf</v>
      </c>
      <c r="CT91" s="15" t="str" cm="1">
        <f t="array" ref="CT91">IF(B91="","",UPPER(_xlfn.LET(_xlpm.p,REPT("0",64-LEN(B91))&amp;B91,_xlfn.TEXTJOIN(" ",,MID(_xlpm.p,_xlfn.SEQUENCE(8,,1,8),8)))))</f>
        <v>00000000 00000000 00000000 00000000 00000000 02CE00BB 2136A445 C71E85BF</v>
      </c>
      <c r="CU91" s="6" t="str" cm="1">
        <f t="array" ref="CU91">IF(B91="","",IF(LEN(D91)&lt;=6,_xlfn.LET(_xlpm.n,VALUE(D91)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1" s="39" t="s">
        <v>4444</v>
      </c>
      <c r="CW91" s="39" t="s">
        <v>4850</v>
      </c>
      <c r="CX91" s="39" t="s">
        <v>987</v>
      </c>
      <c r="CY91" s="7" t="s">
        <v>4851</v>
      </c>
      <c r="CZ91" s="39" t="s">
        <v>4444</v>
      </c>
      <c r="DA91" s="39" t="s">
        <v>4444</v>
      </c>
      <c r="DB91" s="39">
        <v>89</v>
      </c>
      <c r="DC91" s="7" t="s">
        <v>4852</v>
      </c>
      <c r="DD91" s="7" t="s">
        <v>4853</v>
      </c>
      <c r="DE91" s="7" t="s">
        <v>4854</v>
      </c>
      <c r="DF91" s="7" t="s">
        <v>4855</v>
      </c>
      <c r="DG91" s="7" t="s">
        <v>4856</v>
      </c>
      <c r="DH91" s="39" t="s">
        <v>4448</v>
      </c>
      <c r="DI91" s="7" t="s">
        <v>5653</v>
      </c>
      <c r="DJ91" s="7" t="s">
        <v>5654</v>
      </c>
      <c r="DK91" s="7" t="s">
        <v>5655</v>
      </c>
      <c r="DL91" s="7" t="s">
        <v>5656</v>
      </c>
      <c r="DM91" s="7" t="s">
        <v>5657</v>
      </c>
      <c r="DN91" s="7" t="s">
        <v>5658</v>
      </c>
      <c r="DO91" s="7" t="s">
        <v>5659</v>
      </c>
      <c r="DP91" s="7" t="s">
        <v>5660</v>
      </c>
      <c r="DQ91" s="7" t="s">
        <v>5661</v>
      </c>
      <c r="DR91" s="7" t="s">
        <v>5662</v>
      </c>
      <c r="DS91" s="7" t="s">
        <v>5828</v>
      </c>
      <c r="DT91" s="15" t="str" cm="1">
        <f t="array" ref="DT91">IF(B91="","",_xlfn.TEXTJOIN("",,HEX2BIN(MID(BQ91,_xlfn.SEQUENCE(40),1),4)))</f>
        <v>1111011101011111100100001001011011000000011100111100110110101101111011110110011000010100101110111000111011100001111010101111110001111000010110111010010001101001</v>
      </c>
    </row>
    <row r="92" spans="1:124" x14ac:dyDescent="0.25">
      <c r="A92" s="9">
        <v>91</v>
      </c>
      <c r="B92" s="15" t="s">
        <v>888</v>
      </c>
      <c r="C92" s="15" t="s">
        <v>888</v>
      </c>
      <c r="D92" s="6" t="s">
        <v>888</v>
      </c>
      <c r="E92" s="6" t="s">
        <v>888</v>
      </c>
      <c r="F92" s="10" t="s">
        <v>888</v>
      </c>
      <c r="G92" s="9" t="s">
        <v>888</v>
      </c>
      <c r="H92" s="9" t="s">
        <v>888</v>
      </c>
      <c r="I92" s="15" t="s">
        <v>888</v>
      </c>
      <c r="J92" s="9" t="s">
        <v>888</v>
      </c>
      <c r="K92" s="15" t="s">
        <v>888</v>
      </c>
      <c r="L92" s="15" t="s">
        <v>888</v>
      </c>
      <c r="M92" s="15" t="s">
        <v>888</v>
      </c>
      <c r="N92" s="15" t="s">
        <v>888</v>
      </c>
      <c r="O92" s="6" t="s">
        <v>888</v>
      </c>
      <c r="P92" s="15" t="s">
        <v>888</v>
      </c>
      <c r="Q92" s="15" t="s">
        <v>888</v>
      </c>
      <c r="R92" s="6" t="s">
        <v>888</v>
      </c>
      <c r="S92" s="15" t="s">
        <v>888</v>
      </c>
      <c r="T92" s="11" t="s">
        <v>888</v>
      </c>
      <c r="U92" s="10" t="s">
        <v>888</v>
      </c>
      <c r="V92" s="7" t="s">
        <v>888</v>
      </c>
      <c r="W92" s="7" t="s">
        <v>888</v>
      </c>
      <c r="X92" s="7" t="s">
        <v>888</v>
      </c>
      <c r="Y92" s="15" t="s">
        <v>888</v>
      </c>
      <c r="Z92" s="9" t="s">
        <v>888</v>
      </c>
      <c r="AA92" s="9" t="s">
        <v>888</v>
      </c>
      <c r="AB92" s="9" t="s">
        <v>888</v>
      </c>
      <c r="AC92" s="13" t="s">
        <v>888</v>
      </c>
      <c r="AD92" s="13" t="s">
        <v>888</v>
      </c>
      <c r="AE92" s="9" t="s">
        <v>888</v>
      </c>
      <c r="AF92" s="9" t="s">
        <v>888</v>
      </c>
      <c r="AG92" s="9" t="s">
        <v>888</v>
      </c>
      <c r="AH92" s="6" t="s">
        <v>888</v>
      </c>
      <c r="AI92" s="10" t="s">
        <v>888</v>
      </c>
      <c r="AJ92" s="10" t="s">
        <v>888</v>
      </c>
      <c r="AK92" s="15" t="s">
        <v>888</v>
      </c>
      <c r="AL92" s="15" t="s">
        <v>888</v>
      </c>
      <c r="AM92" s="15" t="s">
        <v>888</v>
      </c>
      <c r="AN92" s="9" t="s">
        <v>888</v>
      </c>
      <c r="AO92" s="9" t="s">
        <v>888</v>
      </c>
      <c r="AP92" s="9" t="s">
        <v>888</v>
      </c>
      <c r="AQ92" s="15" t="s">
        <v>888</v>
      </c>
      <c r="AR92" s="9" t="s">
        <v>888</v>
      </c>
      <c r="AS92" s="6" t="s">
        <v>888</v>
      </c>
      <c r="AT92" s="15" t="s">
        <v>888</v>
      </c>
      <c r="AU92" s="9" t="s">
        <v>888</v>
      </c>
      <c r="AV92" s="9" t="s">
        <v>888</v>
      </c>
      <c r="AW92" s="9" t="s">
        <v>888</v>
      </c>
      <c r="AX92" s="9" t="s">
        <v>888</v>
      </c>
      <c r="AY92" s="9" t="s">
        <v>888</v>
      </c>
      <c r="AZ92" s="9" t="s">
        <v>888</v>
      </c>
      <c r="BA92" s="6" t="s">
        <v>888</v>
      </c>
      <c r="BB92" s="6" t="s">
        <v>888</v>
      </c>
      <c r="BC92" s="6" t="s">
        <v>888</v>
      </c>
      <c r="BD92" s="15" t="s">
        <v>888</v>
      </c>
      <c r="BE92" s="15" t="s">
        <v>888</v>
      </c>
      <c r="BF92" s="15" t="s">
        <v>888</v>
      </c>
      <c r="BG92" s="15" t="s">
        <v>888</v>
      </c>
      <c r="BH92" s="6" t="s">
        <v>888</v>
      </c>
      <c r="BI92" s="17" t="s">
        <v>888</v>
      </c>
      <c r="BJ92" s="7" t="s">
        <v>888</v>
      </c>
      <c r="BK92" s="7" t="s">
        <v>888</v>
      </c>
      <c r="BL92" s="7" t="s">
        <v>888</v>
      </c>
      <c r="BM92" s="16" t="s">
        <v>888</v>
      </c>
      <c r="BN92" s="16" t="s">
        <v>888</v>
      </c>
      <c r="BO92" s="16" t="s">
        <v>888</v>
      </c>
      <c r="BP92" s="16" t="s">
        <v>888</v>
      </c>
      <c r="BQ92" s="16" t="s">
        <v>888</v>
      </c>
      <c r="BR92" s="7" t="s">
        <v>888</v>
      </c>
      <c r="BS92" s="7" t="s">
        <v>888</v>
      </c>
      <c r="BT92" s="7" t="s">
        <v>888</v>
      </c>
      <c r="BU92" s="14" t="s">
        <v>888</v>
      </c>
      <c r="BV92" s="15" t="s">
        <v>888</v>
      </c>
      <c r="BW92" s="9" t="s">
        <v>888</v>
      </c>
      <c r="BX92" s="9" t="s">
        <v>888</v>
      </c>
      <c r="BY92" s="13" t="s">
        <v>888</v>
      </c>
      <c r="BZ92" s="13" t="s">
        <v>888</v>
      </c>
      <c r="CA92" s="12" t="str">
        <f>IF(B92="","",IF(A92&lt;8,"",_xlfn.LET(_xlpm.n,A92,_xlpm.k,G92,_xlpm.R,AP92,_xlpm.mu,1+2*_xlpm.k*(_xlpm.n-_xlpm.k)/_xlpm.n,_xlpm.v,2*_xlpm.k*(_xlpm.n-_xlpm.k)*(2*_xlpm.k*(_xlpm.n-_xlpm.k)-_xlpm.n)/(_xlpm.n^2*(_xlpm.n-1)),IF(_xlpm.v&lt;=0,"",(_xlpm.R-_xlpm.mu)/SQRT(_xlpm.v)))))</f>
        <v/>
      </c>
      <c r="CB92" s="37" t="str" cm="1">
        <f t="array" ref="CB92">IF(B92="","",IF(A92&lt;8,"",_xlfn.LET(_xlpm.b,--MID(C92,_xlfn.SEQUENCE(A92-1),1),_xlpm.c,--MID(C92,_xlfn.SEQUENCE(A92-1,,2),1),IFERROR(CORREL(_xlpm.b,_xlpm.c),""))))</f>
        <v/>
      </c>
      <c r="CC92" s="8" t="str">
        <f>IF(B92="","",LOG(A92,2))</f>
        <v/>
      </c>
      <c r="CD92" s="8" t="str">
        <f>IF(B92="","",MAX(AN92,AO92)-CC92)</f>
        <v/>
      </c>
      <c r="CE92" s="8" t="str" cm="1">
        <f t="array" ref="CE92">IF(B92="","",IF(LEN(B92)&lt;16,"",_xlfn.LET(_xlpm.d,MID("0123456789abcdef",_xlfn.SEQUENCE(16),1),_xlpm.c,LEN(B92)-LEN(SUBSTITUTE(B92,_xlpm.d,"")),_xlpm.ex,LEN(B92)/16,SUM((_xlpm.c-_xlpm.ex)^2/_xlpm.ex))))</f>
        <v/>
      </c>
      <c r="CF92" s="37" t="str">
        <f>IF(CE92="","",_xlfn.CHISQ.DIST.RT(CE92,15))</f>
        <v/>
      </c>
      <c r="CG92" s="9" t="str" cm="1">
        <f t="array" ref="CG92">IF(OR(B92="",B91=""),"",_xlfn.LET(_xlpm.a,C92,_xlpm.b,REPT("0",A92-LEN(C91))&amp;C91,_xlpm.m,MID(_xlpm.a,_xlfn.SEQUENCE(A92),1)=MID(_xlpm.b,_xlfn.SEQUENCE(A92),1),IFERROR(MATCH(FALSE,_xlpm.m,0)-1,A92)))</f>
        <v/>
      </c>
      <c r="CH92" s="9" t="str" cm="1">
        <f t="array" ref="CH92">IF(OR(B92="",B91=""),"",_xlfn.LET(_xlpm.a,C92,_xlpm.b,REPT("0",A92-LEN(C91))&amp;C91,_xlpm.n,A92,_xlpm.m,MID(_xlpm.a,_xlfn.SEQUENCE(_xlpm.n,,_xlpm.n,-1),1)=MID(_xlpm.b,_xlfn.SEQUENCE(_xlpm.n,,_xlpm.n,-1),1),IFERROR(MATCH(FALSE,_xlpm.m,0)-1,_xlpm.n)))</f>
        <v/>
      </c>
      <c r="CI92" s="38" t="str">
        <f>IF(OR(B92="",B91=""),"",F92-F91)</f>
        <v/>
      </c>
      <c r="CJ92" s="5" t="str">
        <f>IF(OR(B92="",B91=""),"",IFERROR(FIND(B91,B92)&gt;0,FALSE))</f>
        <v/>
      </c>
      <c r="CK92" s="5" t="str">
        <f>IF(OR(B92="",B91=""),"",IFERROR(FIND(C91,C92)&gt;0,FALSE))</f>
        <v/>
      </c>
      <c r="CL92" s="9" t="str">
        <f>IF(OR(B92="",B91=""),"",IFERROR(FIND(C91,C92),""))</f>
        <v/>
      </c>
      <c r="CM92" s="6" t="str" cm="1">
        <f t="array" ref="CM92">IF(OR(B92="",B91=""),"",_xlfn.LET(_xlpm.pv,D91,_xlpm.ra,BIGSUB(D92,_xlpm.pv),_xlpm.rb,BIGSUB(_xlpm.ra,_xlpm.pv),_xlpm.rc,BIGSUB(_xlpm.rb,_xlpm.pv),IF(LEFT(_xlpm.rb,1)="-",_xlpm.ra,IF(LEFT(_xlpm.rc,1)="-",_xlpm.rb,_xlpm.rc))))</f>
        <v/>
      </c>
      <c r="CN92" s="38" t="str">
        <f>IF(B92="","",F92-0.5)</f>
        <v/>
      </c>
      <c r="CO92" s="15" t="str" cm="1">
        <f t="array" ref="CO92">IF(B92="","",_xlfn.TEXTJOIN("",,MID(B92,_xlfn.SEQUENCE(LEN(B92),,LEN(B92),-1),1)))</f>
        <v/>
      </c>
      <c r="CP92" s="6" t="str" cm="1">
        <f t="array" ref="CP92">IF(B92="","",BASE2DEC(CO92,16))</f>
        <v/>
      </c>
      <c r="CQ92" s="5" t="str">
        <f>IF(B92="","",IF(AND(LEN(B92)&lt;16,LEN(B92)=LEN(SUBSTITUTE(SUBSTITUTE(SUBSTITUTE(SUBSTITUTE(SUBSTITUTE(SUBSTITUTE(B92,"a",""),"b",""),"c",""),"d",""),"e",""),"f",""))),--B92,""))</f>
        <v/>
      </c>
      <c r="CR92" s="6" t="str" cm="1">
        <f t="array" ref="CR92">IF(B92="","",IF(LEN(D92)&lt;=15,BASE2DEC(D92,16),""))</f>
        <v/>
      </c>
      <c r="CS92" s="15" t="str" cm="1">
        <f t="array" ref="CS92">IF(B92="","",_xlfn.LET(_xlpm.p,REPT("0",MOD(-LEN(B92),4))&amp;B92,_xlfn.TEXTJOIN(" ",,MID(_xlpm.p,_xlfn.SEQUENCE(LEN(_xlpm.p)/4,,1,4),4))))</f>
        <v/>
      </c>
      <c r="CT92" s="15" t="str" cm="1">
        <f t="array" ref="CT92">IF(B92="","",UPPER(_xlfn.LET(_xlpm.p,REPT("0",64-LEN(B92))&amp;B92,_xlfn.TEXTJOIN(" ",,MID(_xlpm.p,_xlfn.SEQUENCE(8,,1,8),8)))))</f>
        <v/>
      </c>
      <c r="CU92" s="6" t="str" cm="1">
        <f t="array" ref="CU92">IF(B92="","",IF(LEN(D92)&lt;=6,_xlfn.LET(_xlpm.n,VALUE(D92)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2" s="39" t="s">
        <v>888</v>
      </c>
      <c r="CW92" s="39" t="s">
        <v>888</v>
      </c>
      <c r="CX92" s="39" t="s">
        <v>888</v>
      </c>
      <c r="CY92" s="7" t="s">
        <v>888</v>
      </c>
      <c r="CZ92" s="39" t="s">
        <v>888</v>
      </c>
      <c r="DA92" s="39" t="s">
        <v>888</v>
      </c>
      <c r="DB92" s="39" t="s">
        <v>888</v>
      </c>
      <c r="DC92" s="7" t="s">
        <v>888</v>
      </c>
      <c r="DD92" s="7" t="s">
        <v>888</v>
      </c>
      <c r="DE92" s="7" t="s">
        <v>888</v>
      </c>
      <c r="DF92" s="7" t="s">
        <v>888</v>
      </c>
      <c r="DG92" s="7" t="s">
        <v>888</v>
      </c>
      <c r="DH92" s="39" t="s">
        <v>888</v>
      </c>
      <c r="DI92" s="7" t="s">
        <v>888</v>
      </c>
      <c r="DJ92" s="7" t="s">
        <v>888</v>
      </c>
      <c r="DK92" s="7" t="s">
        <v>888</v>
      </c>
      <c r="DL92" s="7" t="s">
        <v>888</v>
      </c>
      <c r="DM92" s="7" t="s">
        <v>888</v>
      </c>
      <c r="DN92" s="7" t="s">
        <v>888</v>
      </c>
      <c r="DO92" s="7" t="s">
        <v>888</v>
      </c>
      <c r="DP92" s="7" t="s">
        <v>888</v>
      </c>
      <c r="DQ92" s="7" t="s">
        <v>888</v>
      </c>
      <c r="DR92" s="7" t="s">
        <v>888</v>
      </c>
      <c r="DS92" s="7" t="s">
        <v>888</v>
      </c>
      <c r="DT92" s="15" t="str" cm="1">
        <f t="array" ref="DT92">IF(B92="","",_xlfn.TEXTJOIN("",,HEX2BIN(MID(BQ92,_xlfn.SEQUENCE(40),1),4)))</f>
        <v/>
      </c>
    </row>
    <row r="93" spans="1:124" x14ac:dyDescent="0.25">
      <c r="A93" s="9">
        <v>92</v>
      </c>
      <c r="B93" s="15" t="s">
        <v>888</v>
      </c>
      <c r="C93" s="15" t="s">
        <v>888</v>
      </c>
      <c r="D93" s="6" t="s">
        <v>888</v>
      </c>
      <c r="E93" s="6" t="s">
        <v>888</v>
      </c>
      <c r="F93" s="10" t="s">
        <v>888</v>
      </c>
      <c r="G93" s="9" t="s">
        <v>888</v>
      </c>
      <c r="H93" s="9" t="s">
        <v>888</v>
      </c>
      <c r="I93" s="15" t="s">
        <v>888</v>
      </c>
      <c r="J93" s="9" t="s">
        <v>888</v>
      </c>
      <c r="K93" s="15" t="s">
        <v>888</v>
      </c>
      <c r="L93" s="15" t="s">
        <v>888</v>
      </c>
      <c r="M93" s="15" t="s">
        <v>888</v>
      </c>
      <c r="N93" s="15" t="s">
        <v>888</v>
      </c>
      <c r="O93" s="6" t="s">
        <v>888</v>
      </c>
      <c r="P93" s="15" t="s">
        <v>888</v>
      </c>
      <c r="Q93" s="15" t="s">
        <v>888</v>
      </c>
      <c r="R93" s="6" t="s">
        <v>888</v>
      </c>
      <c r="S93" s="15" t="s">
        <v>888</v>
      </c>
      <c r="T93" s="11" t="s">
        <v>888</v>
      </c>
      <c r="U93" s="10" t="s">
        <v>888</v>
      </c>
      <c r="V93" s="7" t="s">
        <v>888</v>
      </c>
      <c r="W93" s="7" t="s">
        <v>888</v>
      </c>
      <c r="X93" s="7" t="s">
        <v>888</v>
      </c>
      <c r="Y93" s="15" t="s">
        <v>888</v>
      </c>
      <c r="Z93" s="9" t="s">
        <v>888</v>
      </c>
      <c r="AA93" s="9" t="s">
        <v>888</v>
      </c>
      <c r="AB93" s="9" t="s">
        <v>888</v>
      </c>
      <c r="AC93" s="13" t="s">
        <v>888</v>
      </c>
      <c r="AD93" s="13" t="s">
        <v>888</v>
      </c>
      <c r="AE93" s="9" t="s">
        <v>888</v>
      </c>
      <c r="AF93" s="9" t="s">
        <v>888</v>
      </c>
      <c r="AG93" s="9" t="s">
        <v>888</v>
      </c>
      <c r="AH93" s="6" t="s">
        <v>888</v>
      </c>
      <c r="AI93" s="10" t="s">
        <v>888</v>
      </c>
      <c r="AJ93" s="10" t="s">
        <v>888</v>
      </c>
      <c r="AK93" s="15" t="s">
        <v>888</v>
      </c>
      <c r="AL93" s="15" t="s">
        <v>888</v>
      </c>
      <c r="AM93" s="15" t="s">
        <v>888</v>
      </c>
      <c r="AN93" s="9" t="s">
        <v>888</v>
      </c>
      <c r="AO93" s="9" t="s">
        <v>888</v>
      </c>
      <c r="AP93" s="9" t="s">
        <v>888</v>
      </c>
      <c r="AQ93" s="15" t="s">
        <v>888</v>
      </c>
      <c r="AR93" s="9" t="s">
        <v>888</v>
      </c>
      <c r="AS93" s="6" t="s">
        <v>888</v>
      </c>
      <c r="AT93" s="15" t="s">
        <v>888</v>
      </c>
      <c r="AU93" s="9" t="s">
        <v>888</v>
      </c>
      <c r="AV93" s="9" t="s">
        <v>888</v>
      </c>
      <c r="AW93" s="9" t="s">
        <v>888</v>
      </c>
      <c r="AX93" s="9" t="s">
        <v>888</v>
      </c>
      <c r="AY93" s="9" t="s">
        <v>888</v>
      </c>
      <c r="AZ93" s="9" t="s">
        <v>888</v>
      </c>
      <c r="BA93" s="6" t="s">
        <v>888</v>
      </c>
      <c r="BB93" s="6" t="s">
        <v>888</v>
      </c>
      <c r="BC93" s="6" t="s">
        <v>888</v>
      </c>
      <c r="BD93" s="15" t="s">
        <v>888</v>
      </c>
      <c r="BE93" s="15" t="s">
        <v>888</v>
      </c>
      <c r="BF93" s="15" t="s">
        <v>888</v>
      </c>
      <c r="BG93" s="15" t="s">
        <v>888</v>
      </c>
      <c r="BH93" s="6" t="s">
        <v>888</v>
      </c>
      <c r="BI93" s="17" t="s">
        <v>888</v>
      </c>
      <c r="BJ93" s="7" t="s">
        <v>888</v>
      </c>
      <c r="BK93" s="7" t="s">
        <v>888</v>
      </c>
      <c r="BL93" s="7" t="s">
        <v>888</v>
      </c>
      <c r="BM93" s="16" t="s">
        <v>888</v>
      </c>
      <c r="BN93" s="16" t="s">
        <v>888</v>
      </c>
      <c r="BO93" s="16" t="s">
        <v>888</v>
      </c>
      <c r="BP93" s="16" t="s">
        <v>888</v>
      </c>
      <c r="BQ93" s="16" t="s">
        <v>888</v>
      </c>
      <c r="BR93" s="7" t="s">
        <v>888</v>
      </c>
      <c r="BS93" s="7" t="s">
        <v>888</v>
      </c>
      <c r="BT93" s="7" t="s">
        <v>888</v>
      </c>
      <c r="BU93" s="14" t="s">
        <v>888</v>
      </c>
      <c r="BV93" s="15" t="s">
        <v>888</v>
      </c>
      <c r="BW93" s="9" t="s">
        <v>888</v>
      </c>
      <c r="BX93" s="9" t="s">
        <v>888</v>
      </c>
      <c r="BY93" s="13" t="s">
        <v>888</v>
      </c>
      <c r="BZ93" s="13" t="s">
        <v>888</v>
      </c>
      <c r="CA93" s="12" t="str">
        <f>IF(B93="","",IF(A93&lt;8,"",_xlfn.LET(_xlpm.n,A93,_xlpm.k,G93,_xlpm.R,AP93,_xlpm.mu,1+2*_xlpm.k*(_xlpm.n-_xlpm.k)/_xlpm.n,_xlpm.v,2*_xlpm.k*(_xlpm.n-_xlpm.k)*(2*_xlpm.k*(_xlpm.n-_xlpm.k)-_xlpm.n)/(_xlpm.n^2*(_xlpm.n-1)),IF(_xlpm.v&lt;=0,"",(_xlpm.R-_xlpm.mu)/SQRT(_xlpm.v)))))</f>
        <v/>
      </c>
      <c r="CB93" s="37" t="str" cm="1">
        <f t="array" ref="CB93">IF(B93="","",IF(A93&lt;8,"",_xlfn.LET(_xlpm.b,--MID(C93,_xlfn.SEQUENCE(A93-1),1),_xlpm.c,--MID(C93,_xlfn.SEQUENCE(A93-1,,2),1),IFERROR(CORREL(_xlpm.b,_xlpm.c),""))))</f>
        <v/>
      </c>
      <c r="CC93" s="8" t="str">
        <f>IF(B93="","",LOG(A93,2))</f>
        <v/>
      </c>
      <c r="CD93" s="8" t="str">
        <f>IF(B93="","",MAX(AN93,AO93)-CC93)</f>
        <v/>
      </c>
      <c r="CE93" s="8" t="str" cm="1">
        <f t="array" ref="CE93">IF(B93="","",IF(LEN(B93)&lt;16,"",_xlfn.LET(_xlpm.d,MID("0123456789abcdef",_xlfn.SEQUENCE(16),1),_xlpm.c,LEN(B93)-LEN(SUBSTITUTE(B93,_xlpm.d,"")),_xlpm.ex,LEN(B93)/16,SUM((_xlpm.c-_xlpm.ex)^2/_xlpm.ex))))</f>
        <v/>
      </c>
      <c r="CF93" s="37" t="str">
        <f>IF(CE93="","",_xlfn.CHISQ.DIST.RT(CE93,15))</f>
        <v/>
      </c>
      <c r="CG93" s="9" t="str" cm="1">
        <f t="array" ref="CG93">IF(OR(B93="",B92=""),"",_xlfn.LET(_xlpm.a,C93,_xlpm.b,REPT("0",A93-LEN(C92))&amp;C92,_xlpm.m,MID(_xlpm.a,_xlfn.SEQUENCE(A93),1)=MID(_xlpm.b,_xlfn.SEQUENCE(A93),1),IFERROR(MATCH(FALSE,_xlpm.m,0)-1,A93)))</f>
        <v/>
      </c>
      <c r="CH93" s="9" t="str" cm="1">
        <f t="array" ref="CH93">IF(OR(B93="",B92=""),"",_xlfn.LET(_xlpm.a,C93,_xlpm.b,REPT("0",A93-LEN(C92))&amp;C92,_xlpm.n,A93,_xlpm.m,MID(_xlpm.a,_xlfn.SEQUENCE(_xlpm.n,,_xlpm.n,-1),1)=MID(_xlpm.b,_xlfn.SEQUENCE(_xlpm.n,,_xlpm.n,-1),1),IFERROR(MATCH(FALSE,_xlpm.m,0)-1,_xlpm.n)))</f>
        <v/>
      </c>
      <c r="CI93" s="38" t="str">
        <f>IF(OR(B93="",B92=""),"",F93-F92)</f>
        <v/>
      </c>
      <c r="CJ93" s="5" t="str">
        <f>IF(OR(B93="",B92=""),"",IFERROR(FIND(B92,B93)&gt;0,FALSE))</f>
        <v/>
      </c>
      <c r="CK93" s="5" t="str">
        <f>IF(OR(B93="",B92=""),"",IFERROR(FIND(C92,C93)&gt;0,FALSE))</f>
        <v/>
      </c>
      <c r="CL93" s="9" t="str">
        <f>IF(OR(B93="",B92=""),"",IFERROR(FIND(C92,C93),""))</f>
        <v/>
      </c>
      <c r="CM93" s="6" t="str" cm="1">
        <f t="array" ref="CM93">IF(OR(B93="",B92=""),"",_xlfn.LET(_xlpm.pv,D92,_xlpm.ra,BIGSUB(D93,_xlpm.pv),_xlpm.rb,BIGSUB(_xlpm.ra,_xlpm.pv),_xlpm.rc,BIGSUB(_xlpm.rb,_xlpm.pv),IF(LEFT(_xlpm.rb,1)="-",_xlpm.ra,IF(LEFT(_xlpm.rc,1)="-",_xlpm.rb,_xlpm.rc))))</f>
        <v/>
      </c>
      <c r="CN93" s="38" t="str">
        <f>IF(B93="","",F93-0.5)</f>
        <v/>
      </c>
      <c r="CO93" s="15" t="str" cm="1">
        <f t="array" ref="CO93">IF(B93="","",_xlfn.TEXTJOIN("",,MID(B93,_xlfn.SEQUENCE(LEN(B93),,LEN(B93),-1),1)))</f>
        <v/>
      </c>
      <c r="CP93" s="6" t="str" cm="1">
        <f t="array" ref="CP93">IF(B93="","",BASE2DEC(CO93,16))</f>
        <v/>
      </c>
      <c r="CQ93" s="5" t="str">
        <f>IF(B93="","",IF(AND(LEN(B93)&lt;16,LEN(B93)=LEN(SUBSTITUTE(SUBSTITUTE(SUBSTITUTE(SUBSTITUTE(SUBSTITUTE(SUBSTITUTE(B93,"a",""),"b",""),"c",""),"d",""),"e",""),"f",""))),--B93,""))</f>
        <v/>
      </c>
      <c r="CR93" s="6" t="str" cm="1">
        <f t="array" ref="CR93">IF(B93="","",IF(LEN(D93)&lt;=15,BASE2DEC(D93,16),""))</f>
        <v/>
      </c>
      <c r="CS93" s="15" t="str" cm="1">
        <f t="array" ref="CS93">IF(B93="","",_xlfn.LET(_xlpm.p,REPT("0",MOD(-LEN(B93),4))&amp;B93,_xlfn.TEXTJOIN(" ",,MID(_xlpm.p,_xlfn.SEQUENCE(LEN(_xlpm.p)/4,,1,4),4))))</f>
        <v/>
      </c>
      <c r="CT93" s="15" t="str" cm="1">
        <f t="array" ref="CT93">IF(B93="","",UPPER(_xlfn.LET(_xlpm.p,REPT("0",64-LEN(B93))&amp;B93,_xlfn.TEXTJOIN(" ",,MID(_xlpm.p,_xlfn.SEQUENCE(8,,1,8),8)))))</f>
        <v/>
      </c>
      <c r="CU93" s="6" t="str" cm="1">
        <f t="array" ref="CU93">IF(B93="","",IF(LEN(D93)&lt;=6,_xlfn.LET(_xlpm.n,VALUE(D93)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3" s="39" t="s">
        <v>888</v>
      </c>
      <c r="CW93" s="39" t="s">
        <v>888</v>
      </c>
      <c r="CX93" s="39" t="s">
        <v>888</v>
      </c>
      <c r="CY93" s="7" t="s">
        <v>888</v>
      </c>
      <c r="CZ93" s="39" t="s">
        <v>888</v>
      </c>
      <c r="DA93" s="39" t="s">
        <v>888</v>
      </c>
      <c r="DB93" s="39" t="s">
        <v>888</v>
      </c>
      <c r="DC93" s="7" t="s">
        <v>888</v>
      </c>
      <c r="DD93" s="7" t="s">
        <v>888</v>
      </c>
      <c r="DE93" s="7" t="s">
        <v>888</v>
      </c>
      <c r="DF93" s="7" t="s">
        <v>888</v>
      </c>
      <c r="DG93" s="7" t="s">
        <v>888</v>
      </c>
      <c r="DH93" s="39" t="s">
        <v>888</v>
      </c>
      <c r="DI93" s="7" t="s">
        <v>888</v>
      </c>
      <c r="DJ93" s="7" t="s">
        <v>888</v>
      </c>
      <c r="DK93" s="7" t="s">
        <v>888</v>
      </c>
      <c r="DL93" s="7" t="s">
        <v>888</v>
      </c>
      <c r="DM93" s="7" t="s">
        <v>888</v>
      </c>
      <c r="DN93" s="7" t="s">
        <v>888</v>
      </c>
      <c r="DO93" s="7" t="s">
        <v>888</v>
      </c>
      <c r="DP93" s="7" t="s">
        <v>888</v>
      </c>
      <c r="DQ93" s="7" t="s">
        <v>888</v>
      </c>
      <c r="DR93" s="7" t="s">
        <v>888</v>
      </c>
      <c r="DS93" s="7" t="s">
        <v>888</v>
      </c>
      <c r="DT93" s="15" t="str" cm="1">
        <f t="array" ref="DT93">IF(B93="","",_xlfn.TEXTJOIN("",,HEX2BIN(MID(BQ93,_xlfn.SEQUENCE(40),1),4)))</f>
        <v/>
      </c>
    </row>
    <row r="94" spans="1:124" x14ac:dyDescent="0.25">
      <c r="A94" s="9">
        <v>93</v>
      </c>
      <c r="B94" s="15" t="s">
        <v>888</v>
      </c>
      <c r="C94" s="15" t="s">
        <v>888</v>
      </c>
      <c r="D94" s="6" t="s">
        <v>888</v>
      </c>
      <c r="E94" s="6" t="s">
        <v>888</v>
      </c>
      <c r="F94" s="10" t="s">
        <v>888</v>
      </c>
      <c r="G94" s="9" t="s">
        <v>888</v>
      </c>
      <c r="H94" s="9" t="s">
        <v>888</v>
      </c>
      <c r="I94" s="15" t="s">
        <v>888</v>
      </c>
      <c r="J94" s="9" t="s">
        <v>888</v>
      </c>
      <c r="K94" s="15" t="s">
        <v>888</v>
      </c>
      <c r="L94" s="15" t="s">
        <v>888</v>
      </c>
      <c r="M94" s="15" t="s">
        <v>888</v>
      </c>
      <c r="N94" s="15" t="s">
        <v>888</v>
      </c>
      <c r="O94" s="6" t="s">
        <v>888</v>
      </c>
      <c r="P94" s="15" t="s">
        <v>888</v>
      </c>
      <c r="Q94" s="15" t="s">
        <v>888</v>
      </c>
      <c r="R94" s="6" t="s">
        <v>888</v>
      </c>
      <c r="S94" s="15" t="s">
        <v>888</v>
      </c>
      <c r="T94" s="11" t="s">
        <v>888</v>
      </c>
      <c r="U94" s="10" t="s">
        <v>888</v>
      </c>
      <c r="V94" s="7" t="s">
        <v>888</v>
      </c>
      <c r="W94" s="7" t="s">
        <v>888</v>
      </c>
      <c r="X94" s="7" t="s">
        <v>888</v>
      </c>
      <c r="Y94" s="15" t="s">
        <v>888</v>
      </c>
      <c r="Z94" s="9" t="s">
        <v>888</v>
      </c>
      <c r="AA94" s="9" t="s">
        <v>888</v>
      </c>
      <c r="AB94" s="9" t="s">
        <v>888</v>
      </c>
      <c r="AC94" s="13" t="s">
        <v>888</v>
      </c>
      <c r="AD94" s="13" t="s">
        <v>888</v>
      </c>
      <c r="AE94" s="9" t="s">
        <v>888</v>
      </c>
      <c r="AF94" s="9" t="s">
        <v>888</v>
      </c>
      <c r="AG94" s="9" t="s">
        <v>888</v>
      </c>
      <c r="AH94" s="6" t="s">
        <v>888</v>
      </c>
      <c r="AI94" s="10" t="s">
        <v>888</v>
      </c>
      <c r="AJ94" s="10" t="s">
        <v>888</v>
      </c>
      <c r="AK94" s="15" t="s">
        <v>888</v>
      </c>
      <c r="AL94" s="15" t="s">
        <v>888</v>
      </c>
      <c r="AM94" s="15" t="s">
        <v>888</v>
      </c>
      <c r="AN94" s="9" t="s">
        <v>888</v>
      </c>
      <c r="AO94" s="9" t="s">
        <v>888</v>
      </c>
      <c r="AP94" s="9" t="s">
        <v>888</v>
      </c>
      <c r="AQ94" s="15" t="s">
        <v>888</v>
      </c>
      <c r="AR94" s="9" t="s">
        <v>888</v>
      </c>
      <c r="AS94" s="6" t="s">
        <v>888</v>
      </c>
      <c r="AT94" s="15" t="s">
        <v>888</v>
      </c>
      <c r="AU94" s="9" t="s">
        <v>888</v>
      </c>
      <c r="AV94" s="9" t="s">
        <v>888</v>
      </c>
      <c r="AW94" s="9" t="s">
        <v>888</v>
      </c>
      <c r="AX94" s="9" t="s">
        <v>888</v>
      </c>
      <c r="AY94" s="9" t="s">
        <v>888</v>
      </c>
      <c r="AZ94" s="9" t="s">
        <v>888</v>
      </c>
      <c r="BA94" s="6" t="s">
        <v>888</v>
      </c>
      <c r="BB94" s="6" t="s">
        <v>888</v>
      </c>
      <c r="BC94" s="6" t="s">
        <v>888</v>
      </c>
      <c r="BD94" s="15" t="s">
        <v>888</v>
      </c>
      <c r="BE94" s="15" t="s">
        <v>888</v>
      </c>
      <c r="BF94" s="15" t="s">
        <v>888</v>
      </c>
      <c r="BG94" s="15" t="s">
        <v>888</v>
      </c>
      <c r="BH94" s="6" t="s">
        <v>888</v>
      </c>
      <c r="BI94" s="17" t="s">
        <v>888</v>
      </c>
      <c r="BJ94" s="7" t="s">
        <v>888</v>
      </c>
      <c r="BK94" s="7" t="s">
        <v>888</v>
      </c>
      <c r="BL94" s="7" t="s">
        <v>888</v>
      </c>
      <c r="BM94" s="16" t="s">
        <v>888</v>
      </c>
      <c r="BN94" s="16" t="s">
        <v>888</v>
      </c>
      <c r="BO94" s="16" t="s">
        <v>888</v>
      </c>
      <c r="BP94" s="16" t="s">
        <v>888</v>
      </c>
      <c r="BQ94" s="16" t="s">
        <v>888</v>
      </c>
      <c r="BR94" s="7" t="s">
        <v>888</v>
      </c>
      <c r="BS94" s="7" t="s">
        <v>888</v>
      </c>
      <c r="BT94" s="7" t="s">
        <v>888</v>
      </c>
      <c r="BU94" s="14" t="s">
        <v>888</v>
      </c>
      <c r="BV94" s="15" t="s">
        <v>888</v>
      </c>
      <c r="BW94" s="9" t="s">
        <v>888</v>
      </c>
      <c r="BX94" s="9" t="s">
        <v>888</v>
      </c>
      <c r="BY94" s="13" t="s">
        <v>888</v>
      </c>
      <c r="BZ94" s="13" t="s">
        <v>888</v>
      </c>
      <c r="CA94" s="12" t="str">
        <f>IF(B94="","",IF(A94&lt;8,"",_xlfn.LET(_xlpm.n,A94,_xlpm.k,G94,_xlpm.R,AP94,_xlpm.mu,1+2*_xlpm.k*(_xlpm.n-_xlpm.k)/_xlpm.n,_xlpm.v,2*_xlpm.k*(_xlpm.n-_xlpm.k)*(2*_xlpm.k*(_xlpm.n-_xlpm.k)-_xlpm.n)/(_xlpm.n^2*(_xlpm.n-1)),IF(_xlpm.v&lt;=0,"",(_xlpm.R-_xlpm.mu)/SQRT(_xlpm.v)))))</f>
        <v/>
      </c>
      <c r="CB94" s="37" t="str" cm="1">
        <f t="array" ref="CB94">IF(B94="","",IF(A94&lt;8,"",_xlfn.LET(_xlpm.b,--MID(C94,_xlfn.SEQUENCE(A94-1),1),_xlpm.c,--MID(C94,_xlfn.SEQUENCE(A94-1,,2),1),IFERROR(CORREL(_xlpm.b,_xlpm.c),""))))</f>
        <v/>
      </c>
      <c r="CC94" s="8" t="str">
        <f>IF(B94="","",LOG(A94,2))</f>
        <v/>
      </c>
      <c r="CD94" s="8" t="str">
        <f>IF(B94="","",MAX(AN94,AO94)-CC94)</f>
        <v/>
      </c>
      <c r="CE94" s="8" t="str" cm="1">
        <f t="array" ref="CE94">IF(B94="","",IF(LEN(B94)&lt;16,"",_xlfn.LET(_xlpm.d,MID("0123456789abcdef",_xlfn.SEQUENCE(16),1),_xlpm.c,LEN(B94)-LEN(SUBSTITUTE(B94,_xlpm.d,"")),_xlpm.ex,LEN(B94)/16,SUM((_xlpm.c-_xlpm.ex)^2/_xlpm.ex))))</f>
        <v/>
      </c>
      <c r="CF94" s="37" t="str">
        <f>IF(CE94="","",_xlfn.CHISQ.DIST.RT(CE94,15))</f>
        <v/>
      </c>
      <c r="CG94" s="9" t="str" cm="1">
        <f t="array" ref="CG94">IF(OR(B94="",B93=""),"",_xlfn.LET(_xlpm.a,C94,_xlpm.b,REPT("0",A94-LEN(C93))&amp;C93,_xlpm.m,MID(_xlpm.a,_xlfn.SEQUENCE(A94),1)=MID(_xlpm.b,_xlfn.SEQUENCE(A94),1),IFERROR(MATCH(FALSE,_xlpm.m,0)-1,A94)))</f>
        <v/>
      </c>
      <c r="CH94" s="9" t="str" cm="1">
        <f t="array" ref="CH94">IF(OR(B94="",B93=""),"",_xlfn.LET(_xlpm.a,C94,_xlpm.b,REPT("0",A94-LEN(C93))&amp;C93,_xlpm.n,A94,_xlpm.m,MID(_xlpm.a,_xlfn.SEQUENCE(_xlpm.n,,_xlpm.n,-1),1)=MID(_xlpm.b,_xlfn.SEQUENCE(_xlpm.n,,_xlpm.n,-1),1),IFERROR(MATCH(FALSE,_xlpm.m,0)-1,_xlpm.n)))</f>
        <v/>
      </c>
      <c r="CI94" s="38" t="str">
        <f>IF(OR(B94="",B93=""),"",F94-F93)</f>
        <v/>
      </c>
      <c r="CJ94" s="5" t="str">
        <f>IF(OR(B94="",B93=""),"",IFERROR(FIND(B93,B94)&gt;0,FALSE))</f>
        <v/>
      </c>
      <c r="CK94" s="5" t="str">
        <f>IF(OR(B94="",B93=""),"",IFERROR(FIND(C93,C94)&gt;0,FALSE))</f>
        <v/>
      </c>
      <c r="CL94" s="9" t="str">
        <f>IF(OR(B94="",B93=""),"",IFERROR(FIND(C93,C94),""))</f>
        <v/>
      </c>
      <c r="CM94" s="6" t="str" cm="1">
        <f t="array" ref="CM94">IF(OR(B94="",B93=""),"",_xlfn.LET(_xlpm.pv,D93,_xlpm.ra,BIGSUB(D94,_xlpm.pv),_xlpm.rb,BIGSUB(_xlpm.ra,_xlpm.pv),_xlpm.rc,BIGSUB(_xlpm.rb,_xlpm.pv),IF(LEFT(_xlpm.rb,1)="-",_xlpm.ra,IF(LEFT(_xlpm.rc,1)="-",_xlpm.rb,_xlpm.rc))))</f>
        <v/>
      </c>
      <c r="CN94" s="38" t="str">
        <f>IF(B94="","",F94-0.5)</f>
        <v/>
      </c>
      <c r="CO94" s="15" t="str" cm="1">
        <f t="array" ref="CO94">IF(B94="","",_xlfn.TEXTJOIN("",,MID(B94,_xlfn.SEQUENCE(LEN(B94),,LEN(B94),-1),1)))</f>
        <v/>
      </c>
      <c r="CP94" s="6" t="str" cm="1">
        <f t="array" ref="CP94">IF(B94="","",BASE2DEC(CO94,16))</f>
        <v/>
      </c>
      <c r="CQ94" s="5" t="str">
        <f>IF(B94="","",IF(AND(LEN(B94)&lt;16,LEN(B94)=LEN(SUBSTITUTE(SUBSTITUTE(SUBSTITUTE(SUBSTITUTE(SUBSTITUTE(SUBSTITUTE(B94,"a",""),"b",""),"c",""),"d",""),"e",""),"f",""))),--B94,""))</f>
        <v/>
      </c>
      <c r="CR94" s="6" t="str" cm="1">
        <f t="array" ref="CR94">IF(B94="","",IF(LEN(D94)&lt;=15,BASE2DEC(D94,16),""))</f>
        <v/>
      </c>
      <c r="CS94" s="15" t="str" cm="1">
        <f t="array" ref="CS94">IF(B94="","",_xlfn.LET(_xlpm.p,REPT("0",MOD(-LEN(B94),4))&amp;B94,_xlfn.TEXTJOIN(" ",,MID(_xlpm.p,_xlfn.SEQUENCE(LEN(_xlpm.p)/4,,1,4),4))))</f>
        <v/>
      </c>
      <c r="CT94" s="15" t="str" cm="1">
        <f t="array" ref="CT94">IF(B94="","",UPPER(_xlfn.LET(_xlpm.p,REPT("0",64-LEN(B94))&amp;B94,_xlfn.TEXTJOIN(" ",,MID(_xlpm.p,_xlfn.SEQUENCE(8,,1,8),8)))))</f>
        <v/>
      </c>
      <c r="CU94" s="6" t="str" cm="1">
        <f t="array" ref="CU94">IF(B94="","",IF(LEN(D94)&lt;=6,_xlfn.LET(_xlpm.n,VALUE(D94)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4" s="39" t="s">
        <v>888</v>
      </c>
      <c r="CW94" s="39" t="s">
        <v>888</v>
      </c>
      <c r="CX94" s="39" t="s">
        <v>888</v>
      </c>
      <c r="CY94" s="7" t="s">
        <v>888</v>
      </c>
      <c r="CZ94" s="39" t="s">
        <v>888</v>
      </c>
      <c r="DA94" s="39" t="s">
        <v>888</v>
      </c>
      <c r="DB94" s="39" t="s">
        <v>888</v>
      </c>
      <c r="DC94" s="7" t="s">
        <v>888</v>
      </c>
      <c r="DD94" s="7" t="s">
        <v>888</v>
      </c>
      <c r="DE94" s="7" t="s">
        <v>888</v>
      </c>
      <c r="DF94" s="7" t="s">
        <v>888</v>
      </c>
      <c r="DG94" s="7" t="s">
        <v>888</v>
      </c>
      <c r="DH94" s="39" t="s">
        <v>888</v>
      </c>
      <c r="DI94" s="7" t="s">
        <v>888</v>
      </c>
      <c r="DJ94" s="7" t="s">
        <v>888</v>
      </c>
      <c r="DK94" s="7" t="s">
        <v>888</v>
      </c>
      <c r="DL94" s="7" t="s">
        <v>888</v>
      </c>
      <c r="DM94" s="7" t="s">
        <v>888</v>
      </c>
      <c r="DN94" s="7" t="s">
        <v>888</v>
      </c>
      <c r="DO94" s="7" t="s">
        <v>888</v>
      </c>
      <c r="DP94" s="7" t="s">
        <v>888</v>
      </c>
      <c r="DQ94" s="7" t="s">
        <v>888</v>
      </c>
      <c r="DR94" s="7" t="s">
        <v>888</v>
      </c>
      <c r="DS94" s="7" t="s">
        <v>888</v>
      </c>
      <c r="DT94" s="15" t="str" cm="1">
        <f t="array" ref="DT94">IF(B94="","",_xlfn.TEXTJOIN("",,HEX2BIN(MID(BQ94,_xlfn.SEQUENCE(40),1),4)))</f>
        <v/>
      </c>
    </row>
    <row r="95" spans="1:124" x14ac:dyDescent="0.25">
      <c r="A95" s="9">
        <v>94</v>
      </c>
      <c r="B95" s="15" t="s">
        <v>888</v>
      </c>
      <c r="C95" s="15" t="s">
        <v>888</v>
      </c>
      <c r="D95" s="6" t="s">
        <v>888</v>
      </c>
      <c r="E95" s="6" t="s">
        <v>888</v>
      </c>
      <c r="F95" s="10" t="s">
        <v>888</v>
      </c>
      <c r="G95" s="9" t="s">
        <v>888</v>
      </c>
      <c r="H95" s="9" t="s">
        <v>888</v>
      </c>
      <c r="I95" s="15" t="s">
        <v>888</v>
      </c>
      <c r="J95" s="9" t="s">
        <v>888</v>
      </c>
      <c r="K95" s="15" t="s">
        <v>888</v>
      </c>
      <c r="L95" s="15" t="s">
        <v>888</v>
      </c>
      <c r="M95" s="15" t="s">
        <v>888</v>
      </c>
      <c r="N95" s="15" t="s">
        <v>888</v>
      </c>
      <c r="O95" s="6" t="s">
        <v>888</v>
      </c>
      <c r="P95" s="15" t="s">
        <v>888</v>
      </c>
      <c r="Q95" s="15" t="s">
        <v>888</v>
      </c>
      <c r="R95" s="6" t="s">
        <v>888</v>
      </c>
      <c r="S95" s="15" t="s">
        <v>888</v>
      </c>
      <c r="T95" s="11" t="s">
        <v>888</v>
      </c>
      <c r="U95" s="10" t="s">
        <v>888</v>
      </c>
      <c r="V95" s="7" t="s">
        <v>888</v>
      </c>
      <c r="W95" s="7" t="s">
        <v>888</v>
      </c>
      <c r="X95" s="7" t="s">
        <v>888</v>
      </c>
      <c r="Y95" s="15" t="s">
        <v>888</v>
      </c>
      <c r="Z95" s="9" t="s">
        <v>888</v>
      </c>
      <c r="AA95" s="9" t="s">
        <v>888</v>
      </c>
      <c r="AB95" s="9" t="s">
        <v>888</v>
      </c>
      <c r="AC95" s="13" t="s">
        <v>888</v>
      </c>
      <c r="AD95" s="13" t="s">
        <v>888</v>
      </c>
      <c r="AE95" s="9" t="s">
        <v>888</v>
      </c>
      <c r="AF95" s="9" t="s">
        <v>888</v>
      </c>
      <c r="AG95" s="9" t="s">
        <v>888</v>
      </c>
      <c r="AH95" s="6" t="s">
        <v>888</v>
      </c>
      <c r="AI95" s="10" t="s">
        <v>888</v>
      </c>
      <c r="AJ95" s="10" t="s">
        <v>888</v>
      </c>
      <c r="AK95" s="15" t="s">
        <v>888</v>
      </c>
      <c r="AL95" s="15" t="s">
        <v>888</v>
      </c>
      <c r="AM95" s="15" t="s">
        <v>888</v>
      </c>
      <c r="AN95" s="9" t="s">
        <v>888</v>
      </c>
      <c r="AO95" s="9" t="s">
        <v>888</v>
      </c>
      <c r="AP95" s="9" t="s">
        <v>888</v>
      </c>
      <c r="AQ95" s="15" t="s">
        <v>888</v>
      </c>
      <c r="AR95" s="9" t="s">
        <v>888</v>
      </c>
      <c r="AS95" s="6" t="s">
        <v>888</v>
      </c>
      <c r="AT95" s="15" t="s">
        <v>888</v>
      </c>
      <c r="AU95" s="9" t="s">
        <v>888</v>
      </c>
      <c r="AV95" s="9" t="s">
        <v>888</v>
      </c>
      <c r="AW95" s="9" t="s">
        <v>888</v>
      </c>
      <c r="AX95" s="9" t="s">
        <v>888</v>
      </c>
      <c r="AY95" s="9" t="s">
        <v>888</v>
      </c>
      <c r="AZ95" s="9" t="s">
        <v>888</v>
      </c>
      <c r="BA95" s="6" t="s">
        <v>888</v>
      </c>
      <c r="BB95" s="6" t="s">
        <v>888</v>
      </c>
      <c r="BC95" s="6" t="s">
        <v>888</v>
      </c>
      <c r="BD95" s="15" t="s">
        <v>888</v>
      </c>
      <c r="BE95" s="15" t="s">
        <v>888</v>
      </c>
      <c r="BF95" s="15" t="s">
        <v>888</v>
      </c>
      <c r="BG95" s="15" t="s">
        <v>888</v>
      </c>
      <c r="BH95" s="6" t="s">
        <v>888</v>
      </c>
      <c r="BI95" s="17" t="s">
        <v>888</v>
      </c>
      <c r="BJ95" s="7" t="s">
        <v>888</v>
      </c>
      <c r="BK95" s="7" t="s">
        <v>888</v>
      </c>
      <c r="BL95" s="7" t="s">
        <v>888</v>
      </c>
      <c r="BM95" s="16" t="s">
        <v>888</v>
      </c>
      <c r="BN95" s="16" t="s">
        <v>888</v>
      </c>
      <c r="BO95" s="16" t="s">
        <v>888</v>
      </c>
      <c r="BP95" s="16" t="s">
        <v>888</v>
      </c>
      <c r="BQ95" s="16" t="s">
        <v>888</v>
      </c>
      <c r="BR95" s="7" t="s">
        <v>888</v>
      </c>
      <c r="BS95" s="7" t="s">
        <v>888</v>
      </c>
      <c r="BT95" s="7" t="s">
        <v>888</v>
      </c>
      <c r="BU95" s="14" t="s">
        <v>888</v>
      </c>
      <c r="BV95" s="15" t="s">
        <v>888</v>
      </c>
      <c r="BW95" s="9" t="s">
        <v>888</v>
      </c>
      <c r="BX95" s="9" t="s">
        <v>888</v>
      </c>
      <c r="BY95" s="13" t="s">
        <v>888</v>
      </c>
      <c r="BZ95" s="13" t="s">
        <v>888</v>
      </c>
      <c r="CA95" s="12" t="str">
        <f>IF(B95="","",IF(A95&lt;8,"",_xlfn.LET(_xlpm.n,A95,_xlpm.k,G95,_xlpm.R,AP95,_xlpm.mu,1+2*_xlpm.k*(_xlpm.n-_xlpm.k)/_xlpm.n,_xlpm.v,2*_xlpm.k*(_xlpm.n-_xlpm.k)*(2*_xlpm.k*(_xlpm.n-_xlpm.k)-_xlpm.n)/(_xlpm.n^2*(_xlpm.n-1)),IF(_xlpm.v&lt;=0,"",(_xlpm.R-_xlpm.mu)/SQRT(_xlpm.v)))))</f>
        <v/>
      </c>
      <c r="CB95" s="37" t="str" cm="1">
        <f t="array" ref="CB95">IF(B95="","",IF(A95&lt;8,"",_xlfn.LET(_xlpm.b,--MID(C95,_xlfn.SEQUENCE(A95-1),1),_xlpm.c,--MID(C95,_xlfn.SEQUENCE(A95-1,,2),1),IFERROR(CORREL(_xlpm.b,_xlpm.c),""))))</f>
        <v/>
      </c>
      <c r="CC95" s="8" t="str">
        <f>IF(B95="","",LOG(A95,2))</f>
        <v/>
      </c>
      <c r="CD95" s="8" t="str">
        <f>IF(B95="","",MAX(AN95,AO95)-CC95)</f>
        <v/>
      </c>
      <c r="CE95" s="8" t="str" cm="1">
        <f t="array" ref="CE95">IF(B95="","",IF(LEN(B95)&lt;16,"",_xlfn.LET(_xlpm.d,MID("0123456789abcdef",_xlfn.SEQUENCE(16),1),_xlpm.c,LEN(B95)-LEN(SUBSTITUTE(B95,_xlpm.d,"")),_xlpm.ex,LEN(B95)/16,SUM((_xlpm.c-_xlpm.ex)^2/_xlpm.ex))))</f>
        <v/>
      </c>
      <c r="CF95" s="37" t="str">
        <f>IF(CE95="","",_xlfn.CHISQ.DIST.RT(CE95,15))</f>
        <v/>
      </c>
      <c r="CG95" s="9" t="str" cm="1">
        <f t="array" ref="CG95">IF(OR(B95="",B94=""),"",_xlfn.LET(_xlpm.a,C95,_xlpm.b,REPT("0",A95-LEN(C94))&amp;C94,_xlpm.m,MID(_xlpm.a,_xlfn.SEQUENCE(A95),1)=MID(_xlpm.b,_xlfn.SEQUENCE(A95),1),IFERROR(MATCH(FALSE,_xlpm.m,0)-1,A95)))</f>
        <v/>
      </c>
      <c r="CH95" s="9" t="str" cm="1">
        <f t="array" ref="CH95">IF(OR(B95="",B94=""),"",_xlfn.LET(_xlpm.a,C95,_xlpm.b,REPT("0",A95-LEN(C94))&amp;C94,_xlpm.n,A95,_xlpm.m,MID(_xlpm.a,_xlfn.SEQUENCE(_xlpm.n,,_xlpm.n,-1),1)=MID(_xlpm.b,_xlfn.SEQUENCE(_xlpm.n,,_xlpm.n,-1),1),IFERROR(MATCH(FALSE,_xlpm.m,0)-1,_xlpm.n)))</f>
        <v/>
      </c>
      <c r="CI95" s="38" t="str">
        <f>IF(OR(B95="",B94=""),"",F95-F94)</f>
        <v/>
      </c>
      <c r="CJ95" s="5" t="str">
        <f>IF(OR(B95="",B94=""),"",IFERROR(FIND(B94,B95)&gt;0,FALSE))</f>
        <v/>
      </c>
      <c r="CK95" s="5" t="str">
        <f>IF(OR(B95="",B94=""),"",IFERROR(FIND(C94,C95)&gt;0,FALSE))</f>
        <v/>
      </c>
      <c r="CL95" s="9" t="str">
        <f>IF(OR(B95="",B94=""),"",IFERROR(FIND(C94,C95),""))</f>
        <v/>
      </c>
      <c r="CM95" s="6" t="str" cm="1">
        <f t="array" ref="CM95">IF(OR(B95="",B94=""),"",_xlfn.LET(_xlpm.pv,D94,_xlpm.ra,BIGSUB(D95,_xlpm.pv),_xlpm.rb,BIGSUB(_xlpm.ra,_xlpm.pv),_xlpm.rc,BIGSUB(_xlpm.rb,_xlpm.pv),IF(LEFT(_xlpm.rb,1)="-",_xlpm.ra,IF(LEFT(_xlpm.rc,1)="-",_xlpm.rb,_xlpm.rc))))</f>
        <v/>
      </c>
      <c r="CN95" s="38" t="str">
        <f>IF(B95="","",F95-0.5)</f>
        <v/>
      </c>
      <c r="CO95" s="15" t="str" cm="1">
        <f t="array" ref="CO95">IF(B95="","",_xlfn.TEXTJOIN("",,MID(B95,_xlfn.SEQUENCE(LEN(B95),,LEN(B95),-1),1)))</f>
        <v/>
      </c>
      <c r="CP95" s="6" t="str" cm="1">
        <f t="array" ref="CP95">IF(B95="","",BASE2DEC(CO95,16))</f>
        <v/>
      </c>
      <c r="CQ95" s="5" t="str">
        <f>IF(B95="","",IF(AND(LEN(B95)&lt;16,LEN(B95)=LEN(SUBSTITUTE(SUBSTITUTE(SUBSTITUTE(SUBSTITUTE(SUBSTITUTE(SUBSTITUTE(B95,"a",""),"b",""),"c",""),"d",""),"e",""),"f",""))),--B95,""))</f>
        <v/>
      </c>
      <c r="CR95" s="6" t="str" cm="1">
        <f t="array" ref="CR95">IF(B95="","",IF(LEN(D95)&lt;=15,BASE2DEC(D95,16),""))</f>
        <v/>
      </c>
      <c r="CS95" s="15" t="str" cm="1">
        <f t="array" ref="CS95">IF(B95="","",_xlfn.LET(_xlpm.p,REPT("0",MOD(-LEN(B95),4))&amp;B95,_xlfn.TEXTJOIN(" ",,MID(_xlpm.p,_xlfn.SEQUENCE(LEN(_xlpm.p)/4,,1,4),4))))</f>
        <v/>
      </c>
      <c r="CT95" s="15" t="str" cm="1">
        <f t="array" ref="CT95">IF(B95="","",UPPER(_xlfn.LET(_xlpm.p,REPT("0",64-LEN(B95))&amp;B95,_xlfn.TEXTJOIN(" ",,MID(_xlpm.p,_xlfn.SEQUENCE(8,,1,8),8)))))</f>
        <v/>
      </c>
      <c r="CU95" s="6" t="str" cm="1">
        <f t="array" ref="CU95">IF(B95="","",IF(LEN(D95)&lt;=6,_xlfn.LET(_xlpm.n,VALUE(D95)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5" s="39" t="s">
        <v>888</v>
      </c>
      <c r="CW95" s="39" t="s">
        <v>888</v>
      </c>
      <c r="CX95" s="39" t="s">
        <v>888</v>
      </c>
      <c r="CY95" s="7" t="s">
        <v>888</v>
      </c>
      <c r="CZ95" s="39" t="s">
        <v>888</v>
      </c>
      <c r="DA95" s="39" t="s">
        <v>888</v>
      </c>
      <c r="DB95" s="39" t="s">
        <v>888</v>
      </c>
      <c r="DC95" s="7" t="s">
        <v>888</v>
      </c>
      <c r="DD95" s="7" t="s">
        <v>888</v>
      </c>
      <c r="DE95" s="7" t="s">
        <v>888</v>
      </c>
      <c r="DF95" s="7" t="s">
        <v>888</v>
      </c>
      <c r="DG95" s="7" t="s">
        <v>888</v>
      </c>
      <c r="DH95" s="39" t="s">
        <v>888</v>
      </c>
      <c r="DI95" s="7" t="s">
        <v>888</v>
      </c>
      <c r="DJ95" s="7" t="s">
        <v>888</v>
      </c>
      <c r="DK95" s="7" t="s">
        <v>888</v>
      </c>
      <c r="DL95" s="7" t="s">
        <v>888</v>
      </c>
      <c r="DM95" s="7" t="s">
        <v>888</v>
      </c>
      <c r="DN95" s="7" t="s">
        <v>888</v>
      </c>
      <c r="DO95" s="7" t="s">
        <v>888</v>
      </c>
      <c r="DP95" s="7" t="s">
        <v>888</v>
      </c>
      <c r="DQ95" s="7" t="s">
        <v>888</v>
      </c>
      <c r="DR95" s="7" t="s">
        <v>888</v>
      </c>
      <c r="DS95" s="7" t="s">
        <v>888</v>
      </c>
      <c r="DT95" s="15" t="str" cm="1">
        <f t="array" ref="DT95">IF(B95="","",_xlfn.TEXTJOIN("",,HEX2BIN(MID(BQ95,_xlfn.SEQUENCE(40),1),4)))</f>
        <v/>
      </c>
    </row>
    <row r="96" spans="1:124" x14ac:dyDescent="0.25">
      <c r="A96" s="9">
        <v>95</v>
      </c>
      <c r="B96" s="15" t="s">
        <v>4167</v>
      </c>
      <c r="C96" s="15" t="s">
        <v>4168</v>
      </c>
      <c r="D96" s="6" t="s">
        <v>4169</v>
      </c>
      <c r="E96" s="6" t="s">
        <v>4170</v>
      </c>
      <c r="F96" s="10">
        <v>0.28872517784561275</v>
      </c>
      <c r="G96" s="9">
        <v>48</v>
      </c>
      <c r="H96" s="9">
        <v>2</v>
      </c>
      <c r="I96" s="15" t="s">
        <v>888</v>
      </c>
      <c r="J96" s="9" t="s">
        <v>888</v>
      </c>
      <c r="K96" s="15" t="s">
        <v>4171</v>
      </c>
      <c r="L96" s="15" t="s">
        <v>4172</v>
      </c>
      <c r="M96" s="15" t="s">
        <v>4173</v>
      </c>
      <c r="N96" s="15" t="s">
        <v>4174</v>
      </c>
      <c r="O96" s="6" t="s">
        <v>4175</v>
      </c>
      <c r="P96" s="15" t="s">
        <v>4176</v>
      </c>
      <c r="Q96" s="15" t="s">
        <v>4177</v>
      </c>
      <c r="R96" s="6" t="s">
        <v>4178</v>
      </c>
      <c r="S96" s="15" t="s">
        <v>4179</v>
      </c>
      <c r="T96" s="11" t="s">
        <v>888</v>
      </c>
      <c r="U96" s="10">
        <v>0.50526315789473686</v>
      </c>
      <c r="V96" s="7" t="s">
        <v>901</v>
      </c>
      <c r="W96" s="7" t="s">
        <v>902</v>
      </c>
      <c r="X96" s="7" t="s">
        <v>903</v>
      </c>
      <c r="Y96" s="15" t="s">
        <v>4180</v>
      </c>
      <c r="Z96" s="9">
        <v>48</v>
      </c>
      <c r="AA96" s="9">
        <v>46</v>
      </c>
      <c r="AB96" s="9">
        <v>75</v>
      </c>
      <c r="AC96" s="13">
        <v>0.10259783520851541</v>
      </c>
      <c r="AD96" s="13">
        <v>-0.30779350562554625</v>
      </c>
      <c r="AE96" s="9">
        <v>29</v>
      </c>
      <c r="AF96" s="9">
        <v>112</v>
      </c>
      <c r="AG96" s="9">
        <v>4</v>
      </c>
      <c r="AH96" s="6" t="s">
        <v>4181</v>
      </c>
      <c r="AI96" s="10">
        <v>94.365944640090845</v>
      </c>
      <c r="AJ96" s="10">
        <v>92.207768826227138</v>
      </c>
      <c r="AK96" s="15" t="s">
        <v>4182</v>
      </c>
      <c r="AL96" s="15" t="s">
        <v>4183</v>
      </c>
      <c r="AM96" s="15" t="s">
        <v>4184</v>
      </c>
      <c r="AN96" s="9">
        <v>5</v>
      </c>
      <c r="AO96" s="9">
        <v>7</v>
      </c>
      <c r="AP96" s="9">
        <v>46</v>
      </c>
      <c r="AQ96" s="15" t="s">
        <v>4185</v>
      </c>
      <c r="AR96" s="9">
        <v>15</v>
      </c>
      <c r="AS96" s="6" t="s">
        <v>998</v>
      </c>
      <c r="AT96" s="15" t="s">
        <v>4186</v>
      </c>
      <c r="AU96" s="9">
        <v>1</v>
      </c>
      <c r="AV96" s="9">
        <v>2</v>
      </c>
      <c r="AW96" s="9">
        <v>4</v>
      </c>
      <c r="AX96" s="9">
        <v>10</v>
      </c>
      <c r="AY96" s="9">
        <v>244</v>
      </c>
      <c r="AZ96" s="9">
        <v>45556</v>
      </c>
      <c r="BA96" s="6" t="s">
        <v>888</v>
      </c>
      <c r="BB96" s="6" t="s">
        <v>888</v>
      </c>
      <c r="BC96" s="6" t="s">
        <v>4187</v>
      </c>
      <c r="BD96" s="15" t="s">
        <v>4188</v>
      </c>
      <c r="BE96" s="15" t="s">
        <v>4189</v>
      </c>
      <c r="BF96" s="15" t="s">
        <v>4190</v>
      </c>
      <c r="BG96" s="15" t="s">
        <v>4191</v>
      </c>
      <c r="BH96" s="6" t="s">
        <v>4192</v>
      </c>
      <c r="BI96" s="17" t="s">
        <v>888</v>
      </c>
      <c r="BJ96" s="7" t="s">
        <v>1790</v>
      </c>
      <c r="BK96" s="7" t="s">
        <v>1791</v>
      </c>
      <c r="BL96" s="7" t="s">
        <v>1792</v>
      </c>
      <c r="BM96" s="16" t="s">
        <v>1793</v>
      </c>
      <c r="BN96" s="16" t="s">
        <v>1794</v>
      </c>
      <c r="BO96" s="16" t="s">
        <v>1795</v>
      </c>
      <c r="BP96" s="16" t="s">
        <v>1796</v>
      </c>
      <c r="BQ96" s="16" t="s">
        <v>1797</v>
      </c>
      <c r="BR96" s="7" t="s">
        <v>1798</v>
      </c>
      <c r="BS96" s="7" t="s">
        <v>1799</v>
      </c>
      <c r="BT96" s="7" t="s">
        <v>1800</v>
      </c>
      <c r="BU96" s="14">
        <v>2.2044538728659507E-49</v>
      </c>
      <c r="BV96" s="15" t="s">
        <v>4193</v>
      </c>
      <c r="BW96" s="9">
        <v>35</v>
      </c>
      <c r="BX96" s="9">
        <v>46</v>
      </c>
      <c r="BY96" s="13">
        <v>-2.5649458802128855</v>
      </c>
      <c r="BZ96" s="13">
        <v>-0.30779350562554625</v>
      </c>
      <c r="CA96" s="12">
        <f>IF(B96="","",IF(A96&lt;8,"",_xlfn.LET(_xlpm.n,A96,_xlpm.k,G96,_xlpm.R,AP96,_xlpm.mu,1+2*_xlpm.k*(_xlpm.n-_xlpm.k)/_xlpm.n,_xlpm.v,2*_xlpm.k*(_xlpm.n-_xlpm.k)*(2*_xlpm.k*(_xlpm.n-_xlpm.k)-_xlpm.n)/(_xlpm.n^2*(_xlpm.n-1)),IF(_xlpm.v&lt;=0,"",(_xlpm.R-_xlpm.mu)/SQRT(_xlpm.v)))))</f>
        <v>-0.51471168495824504</v>
      </c>
      <c r="CB96" s="37" cm="1">
        <f t="array" ref="CB96">IF(B96="","",IF(A96&lt;8,"",_xlfn.LET(_xlpm.b,--MID(C96,_xlfn.SEQUENCE(A96-1),1),_xlpm.c,--MID(C96,_xlfn.SEQUENCE(A96-1,,2),1),IFERROR(CORREL(_xlpm.b,_xlpm.c),""))))</f>
        <v>4.2562826537937415E-2</v>
      </c>
      <c r="CC96" s="8">
        <f>IF(B96="","",LOG(A96,2))</f>
        <v>6.5698556083309478</v>
      </c>
      <c r="CD96" s="8">
        <f>IF(B96="","",MAX(AN96,AO96)-CC96)</f>
        <v>0.43014439166905216</v>
      </c>
      <c r="CE96" s="8" cm="1">
        <f t="array" ref="CE96">IF(B96="","",IF(LEN(B96)&lt;16,"",_xlfn.LET(_xlpm.d,MID("0123456789abcdef",_xlfn.SEQUENCE(16),1),_xlpm.c,LEN(B96)-LEN(SUBSTITUTE(B96,_xlpm.d,"")),_xlpm.ex,LEN(B96)/16,SUM((_xlpm.c-_xlpm.ex)^2/_xlpm.ex))))</f>
        <v>5.333333333333333</v>
      </c>
      <c r="CF96" s="37">
        <f>IF(CE96="","",_xlfn.CHISQ.DIST.RT(CE96,15))</f>
        <v>0.98890811156857183</v>
      </c>
      <c r="CG96" s="9" t="str" cm="1">
        <f t="array" ref="CG96">IF(OR(B96="",B95=""),"",_xlfn.LET(_xlpm.a,C96,_xlpm.b,REPT("0",A96-LEN(C95))&amp;C95,_xlpm.m,MID(_xlpm.a,_xlfn.SEQUENCE(A96),1)=MID(_xlpm.b,_xlfn.SEQUENCE(A96),1),IFERROR(MATCH(FALSE,_xlpm.m,0)-1,A96)))</f>
        <v/>
      </c>
      <c r="CH96" s="9" t="str" cm="1">
        <f t="array" ref="CH96">IF(OR(B96="",B95=""),"",_xlfn.LET(_xlpm.a,C96,_xlpm.b,REPT("0",A96-LEN(C95))&amp;C95,_xlpm.n,A96,_xlpm.m,MID(_xlpm.a,_xlfn.SEQUENCE(_xlpm.n,,_xlpm.n,-1),1)=MID(_xlpm.b,_xlfn.SEQUENCE(_xlpm.n,,_xlpm.n,-1),1),IFERROR(MATCH(FALSE,_xlpm.m,0)-1,_xlpm.n)))</f>
        <v/>
      </c>
      <c r="CI96" s="38" t="str">
        <f>IF(OR(B96="",B95=""),"",F96-F95)</f>
        <v/>
      </c>
      <c r="CJ96" s="5" t="str">
        <f>IF(OR(B96="",B95=""),"",IFERROR(FIND(B95,B96)&gt;0,FALSE))</f>
        <v/>
      </c>
      <c r="CK96" s="5" t="str">
        <f>IF(OR(B96="",B95=""),"",IFERROR(FIND(C95,C96)&gt;0,FALSE))</f>
        <v/>
      </c>
      <c r="CL96" s="9" t="str">
        <f>IF(OR(B96="",B95=""),"",IFERROR(FIND(C95,C96),""))</f>
        <v/>
      </c>
      <c r="CM96" s="6" t="str" cm="1">
        <f t="array" ref="CM96">IF(OR(B96="",B95=""),"",_xlfn.LET(_xlpm.pv,D95,_xlpm.ra,BIGSUB(D96,_xlpm.pv),_xlpm.rb,BIGSUB(_xlpm.ra,_xlpm.pv),_xlpm.rc,BIGSUB(_xlpm.rb,_xlpm.pv),IF(LEFT(_xlpm.rb,1)="-",_xlpm.ra,IF(LEFT(_xlpm.rc,1)="-",_xlpm.rb,_xlpm.rc))))</f>
        <v/>
      </c>
      <c r="CN96" s="38">
        <f>IF(B96="","",F96-0.5)</f>
        <v>-0.21127482215438725</v>
      </c>
      <c r="CO96" s="15" t="str" cm="1">
        <f t="array" ref="CO96">IF(B96="","",_xlfn.TEXTJOIN("",,MID(B96,_xlfn.SEQUENCE(LEN(B96),,LEN(B96),-1),1)))</f>
        <v>4f1b8e0a46f7c381b297a725</v>
      </c>
      <c r="CP96" s="6" t="str" cm="1">
        <f t="array" ref="CP96">IF(B96="","",BASE2DEC(CO96,16))</f>
        <v>24482627538637634507407599397</v>
      </c>
      <c r="CQ96" s="5" t="str">
        <f>IF(B96="","",IF(AND(LEN(B96)&lt;16,LEN(B96)=LEN(SUBSTITUTE(SUBSTITUTE(SUBSTITUTE(SUBSTITUTE(SUBSTITUTE(SUBSTITUTE(B96,"a",""),"b",""),"c",""),"d",""),"e",""),"f",""))),--B96,""))</f>
        <v/>
      </c>
      <c r="CR96" s="6" t="str" cm="1">
        <f t="array" ref="CR96">IF(B96="","",IF(LEN(D96)&lt;=15,BASE2DEC(D96,16),""))</f>
        <v/>
      </c>
      <c r="CS96" s="15" t="str" cm="1">
        <f t="array" ref="CS96">IF(B96="","",_xlfn.LET(_xlpm.p,REPT("0",MOD(-LEN(B96),4))&amp;B96,_xlfn.TEXTJOIN(" ",,MID(_xlpm.p,_xlfn.SEQUENCE(LEN(_xlpm.p)/4,,1,4),4))))</f>
        <v>527a 792b 183c 7f64 a0e8 b1f4</v>
      </c>
      <c r="CT96" s="15" t="str" cm="1">
        <f t="array" ref="CT96">IF(B96="","",UPPER(_xlfn.LET(_xlpm.p,REPT("0",64-LEN(B96))&amp;B96,_xlfn.TEXTJOIN(" ",,MID(_xlpm.p,_xlfn.SEQUENCE(8,,1,8),8)))))</f>
        <v>00000000 00000000 00000000 00000000 00000000 527A792B 183C7F64 A0E8B1F4</v>
      </c>
      <c r="CU96" s="6" t="str" cm="1">
        <f t="array" ref="CU96">IF(B96="","",IF(LEN(D96)&lt;=6,_xlfn.LET(_xlpm.n,VALUE(D96)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6" s="39" t="s">
        <v>4444</v>
      </c>
      <c r="CW96" s="39" t="s">
        <v>1895</v>
      </c>
      <c r="CX96" s="39" t="s">
        <v>987</v>
      </c>
      <c r="CY96" s="7" t="s">
        <v>4857</v>
      </c>
      <c r="CZ96" s="39" t="s">
        <v>4444</v>
      </c>
      <c r="DA96" s="39" t="s">
        <v>4444</v>
      </c>
      <c r="DB96" s="39">
        <v>94</v>
      </c>
      <c r="DC96" s="7" t="s">
        <v>4858</v>
      </c>
      <c r="DD96" s="7" t="s">
        <v>4859</v>
      </c>
      <c r="DE96" s="7" t="s">
        <v>4860</v>
      </c>
      <c r="DF96" s="7" t="s">
        <v>4861</v>
      </c>
      <c r="DG96" s="7" t="s">
        <v>4862</v>
      </c>
      <c r="DH96" s="39" t="s">
        <v>4452</v>
      </c>
      <c r="DI96" s="7" t="s">
        <v>5663</v>
      </c>
      <c r="DJ96" s="7" t="s">
        <v>5664</v>
      </c>
      <c r="DK96" s="7" t="s">
        <v>5665</v>
      </c>
      <c r="DL96" s="7" t="s">
        <v>5666</v>
      </c>
      <c r="DM96" s="7" t="s">
        <v>5667</v>
      </c>
      <c r="DN96" s="7" t="s">
        <v>5668</v>
      </c>
      <c r="DO96" s="7" t="s">
        <v>5669</v>
      </c>
      <c r="DP96" s="7" t="s">
        <v>5670</v>
      </c>
      <c r="DQ96" s="7" t="s">
        <v>5671</v>
      </c>
      <c r="DR96" s="7" t="s">
        <v>5672</v>
      </c>
      <c r="DS96" s="7" t="s">
        <v>5829</v>
      </c>
      <c r="DT96" s="15" t="str" cm="1">
        <f t="array" ref="DT96">IF(B96="","",_xlfn.TEXTJOIN("",,HEX2BIN(MID(BQ96,_xlfn.SEQUENCE(40),1),4)))</f>
        <v>0111000001010100101111011110110100011101101000111001011100011100000010110010110000100010011001010001100001000110001001100100000110011011010110010110010101101000</v>
      </c>
    </row>
    <row r="97" spans="1:124" x14ac:dyDescent="0.25">
      <c r="A97" s="9">
        <v>96</v>
      </c>
      <c r="B97" s="15" t="s">
        <v>888</v>
      </c>
      <c r="C97" s="15" t="s">
        <v>888</v>
      </c>
      <c r="D97" s="6" t="s">
        <v>888</v>
      </c>
      <c r="E97" s="6" t="s">
        <v>888</v>
      </c>
      <c r="F97" s="10" t="s">
        <v>888</v>
      </c>
      <c r="G97" s="9" t="s">
        <v>888</v>
      </c>
      <c r="H97" s="9" t="s">
        <v>888</v>
      </c>
      <c r="I97" s="15" t="s">
        <v>888</v>
      </c>
      <c r="J97" s="9" t="s">
        <v>888</v>
      </c>
      <c r="K97" s="15" t="s">
        <v>888</v>
      </c>
      <c r="L97" s="15" t="s">
        <v>888</v>
      </c>
      <c r="M97" s="15" t="s">
        <v>888</v>
      </c>
      <c r="N97" s="15" t="s">
        <v>888</v>
      </c>
      <c r="O97" s="6" t="s">
        <v>888</v>
      </c>
      <c r="P97" s="15" t="s">
        <v>888</v>
      </c>
      <c r="Q97" s="15" t="s">
        <v>888</v>
      </c>
      <c r="R97" s="6" t="s">
        <v>888</v>
      </c>
      <c r="S97" s="15" t="s">
        <v>888</v>
      </c>
      <c r="T97" s="11" t="s">
        <v>888</v>
      </c>
      <c r="U97" s="10" t="s">
        <v>888</v>
      </c>
      <c r="V97" s="7" t="s">
        <v>888</v>
      </c>
      <c r="W97" s="7" t="s">
        <v>888</v>
      </c>
      <c r="X97" s="7" t="s">
        <v>888</v>
      </c>
      <c r="Y97" s="15" t="s">
        <v>888</v>
      </c>
      <c r="Z97" s="9" t="s">
        <v>888</v>
      </c>
      <c r="AA97" s="9" t="s">
        <v>888</v>
      </c>
      <c r="AB97" s="9" t="s">
        <v>888</v>
      </c>
      <c r="AC97" s="13" t="s">
        <v>888</v>
      </c>
      <c r="AD97" s="13" t="s">
        <v>888</v>
      </c>
      <c r="AE97" s="9" t="s">
        <v>888</v>
      </c>
      <c r="AF97" s="9" t="s">
        <v>888</v>
      </c>
      <c r="AG97" s="9" t="s">
        <v>888</v>
      </c>
      <c r="AH97" s="6" t="s">
        <v>888</v>
      </c>
      <c r="AI97" s="10" t="s">
        <v>888</v>
      </c>
      <c r="AJ97" s="10" t="s">
        <v>888</v>
      </c>
      <c r="AK97" s="15" t="s">
        <v>888</v>
      </c>
      <c r="AL97" s="15" t="s">
        <v>888</v>
      </c>
      <c r="AM97" s="15" t="s">
        <v>888</v>
      </c>
      <c r="AN97" s="9" t="s">
        <v>888</v>
      </c>
      <c r="AO97" s="9" t="s">
        <v>888</v>
      </c>
      <c r="AP97" s="9" t="s">
        <v>888</v>
      </c>
      <c r="AQ97" s="15" t="s">
        <v>888</v>
      </c>
      <c r="AR97" s="9" t="s">
        <v>888</v>
      </c>
      <c r="AS97" s="6" t="s">
        <v>888</v>
      </c>
      <c r="AT97" s="15" t="s">
        <v>888</v>
      </c>
      <c r="AU97" s="9" t="s">
        <v>888</v>
      </c>
      <c r="AV97" s="9" t="s">
        <v>888</v>
      </c>
      <c r="AW97" s="9" t="s">
        <v>888</v>
      </c>
      <c r="AX97" s="9" t="s">
        <v>888</v>
      </c>
      <c r="AY97" s="9" t="s">
        <v>888</v>
      </c>
      <c r="AZ97" s="9" t="s">
        <v>888</v>
      </c>
      <c r="BA97" s="6" t="s">
        <v>888</v>
      </c>
      <c r="BB97" s="6" t="s">
        <v>888</v>
      </c>
      <c r="BC97" s="6" t="s">
        <v>888</v>
      </c>
      <c r="BD97" s="15" t="s">
        <v>888</v>
      </c>
      <c r="BE97" s="15" t="s">
        <v>888</v>
      </c>
      <c r="BF97" s="15" t="s">
        <v>888</v>
      </c>
      <c r="BG97" s="15" t="s">
        <v>888</v>
      </c>
      <c r="BH97" s="6" t="s">
        <v>888</v>
      </c>
      <c r="BI97" s="17" t="s">
        <v>888</v>
      </c>
      <c r="BJ97" s="7" t="s">
        <v>888</v>
      </c>
      <c r="BK97" s="7" t="s">
        <v>888</v>
      </c>
      <c r="BL97" s="7" t="s">
        <v>888</v>
      </c>
      <c r="BM97" s="16" t="s">
        <v>888</v>
      </c>
      <c r="BN97" s="16" t="s">
        <v>888</v>
      </c>
      <c r="BO97" s="16" t="s">
        <v>888</v>
      </c>
      <c r="BP97" s="16" t="s">
        <v>888</v>
      </c>
      <c r="BQ97" s="16" t="s">
        <v>888</v>
      </c>
      <c r="BR97" s="7" t="s">
        <v>888</v>
      </c>
      <c r="BS97" s="7" t="s">
        <v>888</v>
      </c>
      <c r="BT97" s="7" t="s">
        <v>888</v>
      </c>
      <c r="BU97" s="14" t="s">
        <v>888</v>
      </c>
      <c r="BV97" s="15" t="s">
        <v>888</v>
      </c>
      <c r="BW97" s="9" t="s">
        <v>888</v>
      </c>
      <c r="BX97" s="9" t="s">
        <v>888</v>
      </c>
      <c r="BY97" s="13" t="s">
        <v>888</v>
      </c>
      <c r="BZ97" s="13" t="s">
        <v>888</v>
      </c>
      <c r="CA97" s="12" t="str">
        <f>IF(B97="","",IF(A97&lt;8,"",_xlfn.LET(_xlpm.n,A97,_xlpm.k,G97,_xlpm.R,AP97,_xlpm.mu,1+2*_xlpm.k*(_xlpm.n-_xlpm.k)/_xlpm.n,_xlpm.v,2*_xlpm.k*(_xlpm.n-_xlpm.k)*(2*_xlpm.k*(_xlpm.n-_xlpm.k)-_xlpm.n)/(_xlpm.n^2*(_xlpm.n-1)),IF(_xlpm.v&lt;=0,"",(_xlpm.R-_xlpm.mu)/SQRT(_xlpm.v)))))</f>
        <v/>
      </c>
      <c r="CB97" s="37" t="str" cm="1">
        <f t="array" ref="CB97">IF(B97="","",IF(A97&lt;8,"",_xlfn.LET(_xlpm.b,--MID(C97,_xlfn.SEQUENCE(A97-1),1),_xlpm.c,--MID(C97,_xlfn.SEQUENCE(A97-1,,2),1),IFERROR(CORREL(_xlpm.b,_xlpm.c),""))))</f>
        <v/>
      </c>
      <c r="CC97" s="8" t="str">
        <f>IF(B97="","",LOG(A97,2))</f>
        <v/>
      </c>
      <c r="CD97" s="8" t="str">
        <f>IF(B97="","",MAX(AN97,AO97)-CC97)</f>
        <v/>
      </c>
      <c r="CE97" s="8" t="str" cm="1">
        <f t="array" ref="CE97">IF(B97="","",IF(LEN(B97)&lt;16,"",_xlfn.LET(_xlpm.d,MID("0123456789abcdef",_xlfn.SEQUENCE(16),1),_xlpm.c,LEN(B97)-LEN(SUBSTITUTE(B97,_xlpm.d,"")),_xlpm.ex,LEN(B97)/16,SUM((_xlpm.c-_xlpm.ex)^2/_xlpm.ex))))</f>
        <v/>
      </c>
      <c r="CF97" s="37" t="str">
        <f>IF(CE97="","",_xlfn.CHISQ.DIST.RT(CE97,15))</f>
        <v/>
      </c>
      <c r="CG97" s="9" t="str" cm="1">
        <f t="array" ref="CG97">IF(OR(B97="",B96=""),"",_xlfn.LET(_xlpm.a,C97,_xlpm.b,REPT("0",A97-LEN(C96))&amp;C96,_xlpm.m,MID(_xlpm.a,_xlfn.SEQUENCE(A97),1)=MID(_xlpm.b,_xlfn.SEQUENCE(A97),1),IFERROR(MATCH(FALSE,_xlpm.m,0)-1,A97)))</f>
        <v/>
      </c>
      <c r="CH97" s="9" t="str" cm="1">
        <f t="array" ref="CH97">IF(OR(B97="",B96=""),"",_xlfn.LET(_xlpm.a,C97,_xlpm.b,REPT("0",A97-LEN(C96))&amp;C96,_xlpm.n,A97,_xlpm.m,MID(_xlpm.a,_xlfn.SEQUENCE(_xlpm.n,,_xlpm.n,-1),1)=MID(_xlpm.b,_xlfn.SEQUENCE(_xlpm.n,,_xlpm.n,-1),1),IFERROR(MATCH(FALSE,_xlpm.m,0)-1,_xlpm.n)))</f>
        <v/>
      </c>
      <c r="CI97" s="38" t="str">
        <f>IF(OR(B97="",B96=""),"",F97-F96)</f>
        <v/>
      </c>
      <c r="CJ97" s="5" t="str">
        <f>IF(OR(B97="",B96=""),"",IFERROR(FIND(B96,B97)&gt;0,FALSE))</f>
        <v/>
      </c>
      <c r="CK97" s="5" t="str">
        <f>IF(OR(B97="",B96=""),"",IFERROR(FIND(C96,C97)&gt;0,FALSE))</f>
        <v/>
      </c>
      <c r="CL97" s="9" t="str">
        <f>IF(OR(B97="",B96=""),"",IFERROR(FIND(C96,C97),""))</f>
        <v/>
      </c>
      <c r="CM97" s="6" t="str" cm="1">
        <f t="array" ref="CM97">IF(OR(B97="",B96=""),"",_xlfn.LET(_xlpm.pv,D96,_xlpm.ra,BIGSUB(D97,_xlpm.pv),_xlpm.rb,BIGSUB(_xlpm.ra,_xlpm.pv),_xlpm.rc,BIGSUB(_xlpm.rb,_xlpm.pv),IF(LEFT(_xlpm.rb,1)="-",_xlpm.ra,IF(LEFT(_xlpm.rc,1)="-",_xlpm.rb,_xlpm.rc))))</f>
        <v/>
      </c>
      <c r="CN97" s="38" t="str">
        <f>IF(B97="","",F97-0.5)</f>
        <v/>
      </c>
      <c r="CO97" s="15" t="str" cm="1">
        <f t="array" ref="CO97">IF(B97="","",_xlfn.TEXTJOIN("",,MID(B97,_xlfn.SEQUENCE(LEN(B97),,LEN(B97),-1),1)))</f>
        <v/>
      </c>
      <c r="CP97" s="6" t="str" cm="1">
        <f t="array" ref="CP97">IF(B97="","",BASE2DEC(CO97,16))</f>
        <v/>
      </c>
      <c r="CQ97" s="5" t="str">
        <f>IF(B97="","",IF(AND(LEN(B97)&lt;16,LEN(B97)=LEN(SUBSTITUTE(SUBSTITUTE(SUBSTITUTE(SUBSTITUTE(SUBSTITUTE(SUBSTITUTE(B97,"a",""),"b",""),"c",""),"d",""),"e",""),"f",""))),--B97,""))</f>
        <v/>
      </c>
      <c r="CR97" s="6" t="str" cm="1">
        <f t="array" ref="CR97">IF(B97="","",IF(LEN(D97)&lt;=15,BASE2DEC(D97,16),""))</f>
        <v/>
      </c>
      <c r="CS97" s="15" t="str" cm="1">
        <f t="array" ref="CS97">IF(B97="","",_xlfn.LET(_xlpm.p,REPT("0",MOD(-LEN(B97),4))&amp;B97,_xlfn.TEXTJOIN(" ",,MID(_xlpm.p,_xlfn.SEQUENCE(LEN(_xlpm.p)/4,,1,4),4))))</f>
        <v/>
      </c>
      <c r="CT97" s="15" t="str" cm="1">
        <f t="array" ref="CT97">IF(B97="","",UPPER(_xlfn.LET(_xlpm.p,REPT("0",64-LEN(B97))&amp;B97,_xlfn.TEXTJOIN(" ",,MID(_xlpm.p,_xlfn.SEQUENCE(8,,1,8),8)))))</f>
        <v/>
      </c>
      <c r="CU97" s="6" t="str" cm="1">
        <f t="array" ref="CU97">IF(B97="","",IF(LEN(D97)&lt;=6,_xlfn.LET(_xlpm.n,VALUE(D97)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7" s="39" t="s">
        <v>888</v>
      </c>
      <c r="CW97" s="39" t="s">
        <v>888</v>
      </c>
      <c r="CX97" s="39" t="s">
        <v>888</v>
      </c>
      <c r="CY97" s="7" t="s">
        <v>888</v>
      </c>
      <c r="CZ97" s="39" t="s">
        <v>888</v>
      </c>
      <c r="DA97" s="39" t="s">
        <v>888</v>
      </c>
      <c r="DB97" s="39" t="s">
        <v>888</v>
      </c>
      <c r="DC97" s="7" t="s">
        <v>888</v>
      </c>
      <c r="DD97" s="7" t="s">
        <v>888</v>
      </c>
      <c r="DE97" s="7" t="s">
        <v>888</v>
      </c>
      <c r="DF97" s="7" t="s">
        <v>888</v>
      </c>
      <c r="DG97" s="7" t="s">
        <v>888</v>
      </c>
      <c r="DH97" s="39" t="s">
        <v>888</v>
      </c>
      <c r="DI97" s="7" t="s">
        <v>888</v>
      </c>
      <c r="DJ97" s="7" t="s">
        <v>888</v>
      </c>
      <c r="DK97" s="7" t="s">
        <v>888</v>
      </c>
      <c r="DL97" s="7" t="s">
        <v>888</v>
      </c>
      <c r="DM97" s="7" t="s">
        <v>888</v>
      </c>
      <c r="DN97" s="7" t="s">
        <v>888</v>
      </c>
      <c r="DO97" s="7" t="s">
        <v>888</v>
      </c>
      <c r="DP97" s="7" t="s">
        <v>888</v>
      </c>
      <c r="DQ97" s="7" t="s">
        <v>888</v>
      </c>
      <c r="DR97" s="7" t="s">
        <v>888</v>
      </c>
      <c r="DS97" s="7" t="s">
        <v>888</v>
      </c>
      <c r="DT97" s="15" t="str" cm="1">
        <f t="array" ref="DT97">IF(B97="","",_xlfn.TEXTJOIN("",,HEX2BIN(MID(BQ97,_xlfn.SEQUENCE(40),1),4)))</f>
        <v/>
      </c>
    </row>
    <row r="98" spans="1:124" x14ac:dyDescent="0.25">
      <c r="A98" s="9">
        <v>97</v>
      </c>
      <c r="B98" s="15" t="s">
        <v>888</v>
      </c>
      <c r="C98" s="15" t="s">
        <v>888</v>
      </c>
      <c r="D98" s="6" t="s">
        <v>888</v>
      </c>
      <c r="E98" s="6" t="s">
        <v>888</v>
      </c>
      <c r="F98" s="10" t="s">
        <v>888</v>
      </c>
      <c r="G98" s="9" t="s">
        <v>888</v>
      </c>
      <c r="H98" s="9" t="s">
        <v>888</v>
      </c>
      <c r="I98" s="15" t="s">
        <v>888</v>
      </c>
      <c r="J98" s="9" t="s">
        <v>888</v>
      </c>
      <c r="K98" s="15" t="s">
        <v>888</v>
      </c>
      <c r="L98" s="15" t="s">
        <v>888</v>
      </c>
      <c r="M98" s="15" t="s">
        <v>888</v>
      </c>
      <c r="N98" s="15" t="s">
        <v>888</v>
      </c>
      <c r="O98" s="6" t="s">
        <v>888</v>
      </c>
      <c r="P98" s="15" t="s">
        <v>888</v>
      </c>
      <c r="Q98" s="15" t="s">
        <v>888</v>
      </c>
      <c r="R98" s="6" t="s">
        <v>888</v>
      </c>
      <c r="S98" s="15" t="s">
        <v>888</v>
      </c>
      <c r="T98" s="11" t="s">
        <v>888</v>
      </c>
      <c r="U98" s="10" t="s">
        <v>888</v>
      </c>
      <c r="V98" s="7" t="s">
        <v>888</v>
      </c>
      <c r="W98" s="7" t="s">
        <v>888</v>
      </c>
      <c r="X98" s="7" t="s">
        <v>888</v>
      </c>
      <c r="Y98" s="15" t="s">
        <v>888</v>
      </c>
      <c r="Z98" s="9" t="s">
        <v>888</v>
      </c>
      <c r="AA98" s="9" t="s">
        <v>888</v>
      </c>
      <c r="AB98" s="9" t="s">
        <v>888</v>
      </c>
      <c r="AC98" s="13" t="s">
        <v>888</v>
      </c>
      <c r="AD98" s="13" t="s">
        <v>888</v>
      </c>
      <c r="AE98" s="9" t="s">
        <v>888</v>
      </c>
      <c r="AF98" s="9" t="s">
        <v>888</v>
      </c>
      <c r="AG98" s="9" t="s">
        <v>888</v>
      </c>
      <c r="AH98" s="6" t="s">
        <v>888</v>
      </c>
      <c r="AI98" s="10" t="s">
        <v>888</v>
      </c>
      <c r="AJ98" s="10" t="s">
        <v>888</v>
      </c>
      <c r="AK98" s="15" t="s">
        <v>888</v>
      </c>
      <c r="AL98" s="15" t="s">
        <v>888</v>
      </c>
      <c r="AM98" s="15" t="s">
        <v>888</v>
      </c>
      <c r="AN98" s="9" t="s">
        <v>888</v>
      </c>
      <c r="AO98" s="9" t="s">
        <v>888</v>
      </c>
      <c r="AP98" s="9" t="s">
        <v>888</v>
      </c>
      <c r="AQ98" s="15" t="s">
        <v>888</v>
      </c>
      <c r="AR98" s="9" t="s">
        <v>888</v>
      </c>
      <c r="AS98" s="6" t="s">
        <v>888</v>
      </c>
      <c r="AT98" s="15" t="s">
        <v>888</v>
      </c>
      <c r="AU98" s="9" t="s">
        <v>888</v>
      </c>
      <c r="AV98" s="9" t="s">
        <v>888</v>
      </c>
      <c r="AW98" s="9" t="s">
        <v>888</v>
      </c>
      <c r="AX98" s="9" t="s">
        <v>888</v>
      </c>
      <c r="AY98" s="9" t="s">
        <v>888</v>
      </c>
      <c r="AZ98" s="9" t="s">
        <v>888</v>
      </c>
      <c r="BA98" s="6" t="s">
        <v>888</v>
      </c>
      <c r="BB98" s="6" t="s">
        <v>888</v>
      </c>
      <c r="BC98" s="6" t="s">
        <v>888</v>
      </c>
      <c r="BD98" s="15" t="s">
        <v>888</v>
      </c>
      <c r="BE98" s="15" t="s">
        <v>888</v>
      </c>
      <c r="BF98" s="15" t="s">
        <v>888</v>
      </c>
      <c r="BG98" s="15" t="s">
        <v>888</v>
      </c>
      <c r="BH98" s="6" t="s">
        <v>888</v>
      </c>
      <c r="BI98" s="17" t="s">
        <v>888</v>
      </c>
      <c r="BJ98" s="7" t="s">
        <v>888</v>
      </c>
      <c r="BK98" s="7" t="s">
        <v>888</v>
      </c>
      <c r="BL98" s="7" t="s">
        <v>888</v>
      </c>
      <c r="BM98" s="16" t="s">
        <v>888</v>
      </c>
      <c r="BN98" s="16" t="s">
        <v>888</v>
      </c>
      <c r="BO98" s="16" t="s">
        <v>888</v>
      </c>
      <c r="BP98" s="16" t="s">
        <v>888</v>
      </c>
      <c r="BQ98" s="16" t="s">
        <v>888</v>
      </c>
      <c r="BR98" s="7" t="s">
        <v>888</v>
      </c>
      <c r="BS98" s="7" t="s">
        <v>888</v>
      </c>
      <c r="BT98" s="7" t="s">
        <v>888</v>
      </c>
      <c r="BU98" s="14" t="s">
        <v>888</v>
      </c>
      <c r="BV98" s="15" t="s">
        <v>888</v>
      </c>
      <c r="BW98" s="9" t="s">
        <v>888</v>
      </c>
      <c r="BX98" s="9" t="s">
        <v>888</v>
      </c>
      <c r="BY98" s="13" t="s">
        <v>888</v>
      </c>
      <c r="BZ98" s="13" t="s">
        <v>888</v>
      </c>
      <c r="CA98" s="12" t="str">
        <f>IF(B98="","",IF(A98&lt;8,"",_xlfn.LET(_xlpm.n,A98,_xlpm.k,G98,_xlpm.R,AP98,_xlpm.mu,1+2*_xlpm.k*(_xlpm.n-_xlpm.k)/_xlpm.n,_xlpm.v,2*_xlpm.k*(_xlpm.n-_xlpm.k)*(2*_xlpm.k*(_xlpm.n-_xlpm.k)-_xlpm.n)/(_xlpm.n^2*(_xlpm.n-1)),IF(_xlpm.v&lt;=0,"",(_xlpm.R-_xlpm.mu)/SQRT(_xlpm.v)))))</f>
        <v/>
      </c>
      <c r="CB98" s="37" t="str" cm="1">
        <f t="array" ref="CB98">IF(B98="","",IF(A98&lt;8,"",_xlfn.LET(_xlpm.b,--MID(C98,_xlfn.SEQUENCE(A98-1),1),_xlpm.c,--MID(C98,_xlfn.SEQUENCE(A98-1,,2),1),IFERROR(CORREL(_xlpm.b,_xlpm.c),""))))</f>
        <v/>
      </c>
      <c r="CC98" s="8" t="str">
        <f>IF(B98="","",LOG(A98,2))</f>
        <v/>
      </c>
      <c r="CD98" s="8" t="str">
        <f>IF(B98="","",MAX(AN98,AO98)-CC98)</f>
        <v/>
      </c>
      <c r="CE98" s="8" t="str" cm="1">
        <f t="array" ref="CE98">IF(B98="","",IF(LEN(B98)&lt;16,"",_xlfn.LET(_xlpm.d,MID("0123456789abcdef",_xlfn.SEQUENCE(16),1),_xlpm.c,LEN(B98)-LEN(SUBSTITUTE(B98,_xlpm.d,"")),_xlpm.ex,LEN(B98)/16,SUM((_xlpm.c-_xlpm.ex)^2/_xlpm.ex))))</f>
        <v/>
      </c>
      <c r="CF98" s="37" t="str">
        <f>IF(CE98="","",_xlfn.CHISQ.DIST.RT(CE98,15))</f>
        <v/>
      </c>
      <c r="CG98" s="9" t="str" cm="1">
        <f t="array" ref="CG98">IF(OR(B98="",B97=""),"",_xlfn.LET(_xlpm.a,C98,_xlpm.b,REPT("0",A98-LEN(C97))&amp;C97,_xlpm.m,MID(_xlpm.a,_xlfn.SEQUENCE(A98),1)=MID(_xlpm.b,_xlfn.SEQUENCE(A98),1),IFERROR(MATCH(FALSE,_xlpm.m,0)-1,A98)))</f>
        <v/>
      </c>
      <c r="CH98" s="9" t="str" cm="1">
        <f t="array" ref="CH98">IF(OR(B98="",B97=""),"",_xlfn.LET(_xlpm.a,C98,_xlpm.b,REPT("0",A98-LEN(C97))&amp;C97,_xlpm.n,A98,_xlpm.m,MID(_xlpm.a,_xlfn.SEQUENCE(_xlpm.n,,_xlpm.n,-1),1)=MID(_xlpm.b,_xlfn.SEQUENCE(_xlpm.n,,_xlpm.n,-1),1),IFERROR(MATCH(FALSE,_xlpm.m,0)-1,_xlpm.n)))</f>
        <v/>
      </c>
      <c r="CI98" s="38" t="str">
        <f>IF(OR(B98="",B97=""),"",F98-F97)</f>
        <v/>
      </c>
      <c r="CJ98" s="5" t="str">
        <f>IF(OR(B98="",B97=""),"",IFERROR(FIND(B97,B98)&gt;0,FALSE))</f>
        <v/>
      </c>
      <c r="CK98" s="5" t="str">
        <f>IF(OR(B98="",B97=""),"",IFERROR(FIND(C97,C98)&gt;0,FALSE))</f>
        <v/>
      </c>
      <c r="CL98" s="9" t="str">
        <f>IF(OR(B98="",B97=""),"",IFERROR(FIND(C97,C98),""))</f>
        <v/>
      </c>
      <c r="CM98" s="6" t="str" cm="1">
        <f t="array" ref="CM98">IF(OR(B98="",B97=""),"",_xlfn.LET(_xlpm.pv,D97,_xlpm.ra,BIGSUB(D98,_xlpm.pv),_xlpm.rb,BIGSUB(_xlpm.ra,_xlpm.pv),_xlpm.rc,BIGSUB(_xlpm.rb,_xlpm.pv),IF(LEFT(_xlpm.rb,1)="-",_xlpm.ra,IF(LEFT(_xlpm.rc,1)="-",_xlpm.rb,_xlpm.rc))))</f>
        <v/>
      </c>
      <c r="CN98" s="38" t="str">
        <f>IF(B98="","",F98-0.5)</f>
        <v/>
      </c>
      <c r="CO98" s="15" t="str" cm="1">
        <f t="array" ref="CO98">IF(B98="","",_xlfn.TEXTJOIN("",,MID(B98,_xlfn.SEQUENCE(LEN(B98),,LEN(B98),-1),1)))</f>
        <v/>
      </c>
      <c r="CP98" s="6" t="str" cm="1">
        <f t="array" ref="CP98">IF(B98="","",BASE2DEC(CO98,16))</f>
        <v/>
      </c>
      <c r="CQ98" s="5" t="str">
        <f>IF(B98="","",IF(AND(LEN(B98)&lt;16,LEN(B98)=LEN(SUBSTITUTE(SUBSTITUTE(SUBSTITUTE(SUBSTITUTE(SUBSTITUTE(SUBSTITUTE(B98,"a",""),"b",""),"c",""),"d",""),"e",""),"f",""))),--B98,""))</f>
        <v/>
      </c>
      <c r="CR98" s="6" t="str" cm="1">
        <f t="array" ref="CR98">IF(B98="","",IF(LEN(D98)&lt;=15,BASE2DEC(D98,16),""))</f>
        <v/>
      </c>
      <c r="CS98" s="15" t="str" cm="1">
        <f t="array" ref="CS98">IF(B98="","",_xlfn.LET(_xlpm.p,REPT("0",MOD(-LEN(B98),4))&amp;B98,_xlfn.TEXTJOIN(" ",,MID(_xlpm.p,_xlfn.SEQUENCE(LEN(_xlpm.p)/4,,1,4),4))))</f>
        <v/>
      </c>
      <c r="CT98" s="15" t="str" cm="1">
        <f t="array" ref="CT98">IF(B98="","",UPPER(_xlfn.LET(_xlpm.p,REPT("0",64-LEN(B98))&amp;B98,_xlfn.TEXTJOIN(" ",,MID(_xlpm.p,_xlfn.SEQUENCE(8,,1,8),8)))))</f>
        <v/>
      </c>
      <c r="CU98" s="6" t="str" cm="1">
        <f t="array" ref="CU98">IF(B98="","",IF(LEN(D98)&lt;=6,_xlfn.LET(_xlpm.n,VALUE(D98)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8" s="39" t="s">
        <v>888</v>
      </c>
      <c r="CW98" s="39" t="s">
        <v>888</v>
      </c>
      <c r="CX98" s="39" t="s">
        <v>888</v>
      </c>
      <c r="CY98" s="7" t="s">
        <v>888</v>
      </c>
      <c r="CZ98" s="39" t="s">
        <v>888</v>
      </c>
      <c r="DA98" s="39" t="s">
        <v>888</v>
      </c>
      <c r="DB98" s="39" t="s">
        <v>888</v>
      </c>
      <c r="DC98" s="7" t="s">
        <v>888</v>
      </c>
      <c r="DD98" s="7" t="s">
        <v>888</v>
      </c>
      <c r="DE98" s="7" t="s">
        <v>888</v>
      </c>
      <c r="DF98" s="7" t="s">
        <v>888</v>
      </c>
      <c r="DG98" s="7" t="s">
        <v>888</v>
      </c>
      <c r="DH98" s="39" t="s">
        <v>888</v>
      </c>
      <c r="DI98" s="7" t="s">
        <v>888</v>
      </c>
      <c r="DJ98" s="7" t="s">
        <v>888</v>
      </c>
      <c r="DK98" s="7" t="s">
        <v>888</v>
      </c>
      <c r="DL98" s="7" t="s">
        <v>888</v>
      </c>
      <c r="DM98" s="7" t="s">
        <v>888</v>
      </c>
      <c r="DN98" s="7" t="s">
        <v>888</v>
      </c>
      <c r="DO98" s="7" t="s">
        <v>888</v>
      </c>
      <c r="DP98" s="7" t="s">
        <v>888</v>
      </c>
      <c r="DQ98" s="7" t="s">
        <v>888</v>
      </c>
      <c r="DR98" s="7" t="s">
        <v>888</v>
      </c>
      <c r="DS98" s="7" t="s">
        <v>888</v>
      </c>
      <c r="DT98" s="15" t="str" cm="1">
        <f t="array" ref="DT98">IF(B98="","",_xlfn.TEXTJOIN("",,HEX2BIN(MID(BQ98,_xlfn.SEQUENCE(40),1),4)))</f>
        <v/>
      </c>
    </row>
    <row r="99" spans="1:124" x14ac:dyDescent="0.25">
      <c r="A99" s="9">
        <v>98</v>
      </c>
      <c r="B99" s="15" t="s">
        <v>888</v>
      </c>
      <c r="C99" s="15" t="s">
        <v>888</v>
      </c>
      <c r="D99" s="6" t="s">
        <v>888</v>
      </c>
      <c r="E99" s="6" t="s">
        <v>888</v>
      </c>
      <c r="F99" s="10" t="s">
        <v>888</v>
      </c>
      <c r="G99" s="9" t="s">
        <v>888</v>
      </c>
      <c r="H99" s="9" t="s">
        <v>888</v>
      </c>
      <c r="I99" s="15" t="s">
        <v>888</v>
      </c>
      <c r="J99" s="9" t="s">
        <v>888</v>
      </c>
      <c r="K99" s="15" t="s">
        <v>888</v>
      </c>
      <c r="L99" s="15" t="s">
        <v>888</v>
      </c>
      <c r="M99" s="15" t="s">
        <v>888</v>
      </c>
      <c r="N99" s="15" t="s">
        <v>888</v>
      </c>
      <c r="O99" s="6" t="s">
        <v>888</v>
      </c>
      <c r="P99" s="15" t="s">
        <v>888</v>
      </c>
      <c r="Q99" s="15" t="s">
        <v>888</v>
      </c>
      <c r="R99" s="6" t="s">
        <v>888</v>
      </c>
      <c r="S99" s="15" t="s">
        <v>888</v>
      </c>
      <c r="T99" s="11" t="s">
        <v>888</v>
      </c>
      <c r="U99" s="10" t="s">
        <v>888</v>
      </c>
      <c r="V99" s="7" t="s">
        <v>888</v>
      </c>
      <c r="W99" s="7" t="s">
        <v>888</v>
      </c>
      <c r="X99" s="7" t="s">
        <v>888</v>
      </c>
      <c r="Y99" s="15" t="s">
        <v>888</v>
      </c>
      <c r="Z99" s="9" t="s">
        <v>888</v>
      </c>
      <c r="AA99" s="9" t="s">
        <v>888</v>
      </c>
      <c r="AB99" s="9" t="s">
        <v>888</v>
      </c>
      <c r="AC99" s="13" t="s">
        <v>888</v>
      </c>
      <c r="AD99" s="13" t="s">
        <v>888</v>
      </c>
      <c r="AE99" s="9" t="s">
        <v>888</v>
      </c>
      <c r="AF99" s="9" t="s">
        <v>888</v>
      </c>
      <c r="AG99" s="9" t="s">
        <v>888</v>
      </c>
      <c r="AH99" s="6" t="s">
        <v>888</v>
      </c>
      <c r="AI99" s="10" t="s">
        <v>888</v>
      </c>
      <c r="AJ99" s="10" t="s">
        <v>888</v>
      </c>
      <c r="AK99" s="15" t="s">
        <v>888</v>
      </c>
      <c r="AL99" s="15" t="s">
        <v>888</v>
      </c>
      <c r="AM99" s="15" t="s">
        <v>888</v>
      </c>
      <c r="AN99" s="9" t="s">
        <v>888</v>
      </c>
      <c r="AO99" s="9" t="s">
        <v>888</v>
      </c>
      <c r="AP99" s="9" t="s">
        <v>888</v>
      </c>
      <c r="AQ99" s="15" t="s">
        <v>888</v>
      </c>
      <c r="AR99" s="9" t="s">
        <v>888</v>
      </c>
      <c r="AS99" s="6" t="s">
        <v>888</v>
      </c>
      <c r="AT99" s="15" t="s">
        <v>888</v>
      </c>
      <c r="AU99" s="9" t="s">
        <v>888</v>
      </c>
      <c r="AV99" s="9" t="s">
        <v>888</v>
      </c>
      <c r="AW99" s="9" t="s">
        <v>888</v>
      </c>
      <c r="AX99" s="9" t="s">
        <v>888</v>
      </c>
      <c r="AY99" s="9" t="s">
        <v>888</v>
      </c>
      <c r="AZ99" s="9" t="s">
        <v>888</v>
      </c>
      <c r="BA99" s="6" t="s">
        <v>888</v>
      </c>
      <c r="BB99" s="6" t="s">
        <v>888</v>
      </c>
      <c r="BC99" s="6" t="s">
        <v>888</v>
      </c>
      <c r="BD99" s="15" t="s">
        <v>888</v>
      </c>
      <c r="BE99" s="15" t="s">
        <v>888</v>
      </c>
      <c r="BF99" s="15" t="s">
        <v>888</v>
      </c>
      <c r="BG99" s="15" t="s">
        <v>888</v>
      </c>
      <c r="BH99" s="6" t="s">
        <v>888</v>
      </c>
      <c r="BI99" s="17" t="s">
        <v>888</v>
      </c>
      <c r="BJ99" s="7" t="s">
        <v>888</v>
      </c>
      <c r="BK99" s="7" t="s">
        <v>888</v>
      </c>
      <c r="BL99" s="7" t="s">
        <v>888</v>
      </c>
      <c r="BM99" s="16" t="s">
        <v>888</v>
      </c>
      <c r="BN99" s="16" t="s">
        <v>888</v>
      </c>
      <c r="BO99" s="16" t="s">
        <v>888</v>
      </c>
      <c r="BP99" s="16" t="s">
        <v>888</v>
      </c>
      <c r="BQ99" s="16" t="s">
        <v>888</v>
      </c>
      <c r="BR99" s="7" t="s">
        <v>888</v>
      </c>
      <c r="BS99" s="7" t="s">
        <v>888</v>
      </c>
      <c r="BT99" s="7" t="s">
        <v>888</v>
      </c>
      <c r="BU99" s="14" t="s">
        <v>888</v>
      </c>
      <c r="BV99" s="15" t="s">
        <v>888</v>
      </c>
      <c r="BW99" s="9" t="s">
        <v>888</v>
      </c>
      <c r="BX99" s="9" t="s">
        <v>888</v>
      </c>
      <c r="BY99" s="13" t="s">
        <v>888</v>
      </c>
      <c r="BZ99" s="13" t="s">
        <v>888</v>
      </c>
      <c r="CA99" s="12" t="str">
        <f>IF(B99="","",IF(A99&lt;8,"",_xlfn.LET(_xlpm.n,A99,_xlpm.k,G99,_xlpm.R,AP99,_xlpm.mu,1+2*_xlpm.k*(_xlpm.n-_xlpm.k)/_xlpm.n,_xlpm.v,2*_xlpm.k*(_xlpm.n-_xlpm.k)*(2*_xlpm.k*(_xlpm.n-_xlpm.k)-_xlpm.n)/(_xlpm.n^2*(_xlpm.n-1)),IF(_xlpm.v&lt;=0,"",(_xlpm.R-_xlpm.mu)/SQRT(_xlpm.v)))))</f>
        <v/>
      </c>
      <c r="CB99" s="37" t="str" cm="1">
        <f t="array" ref="CB99">IF(B99="","",IF(A99&lt;8,"",_xlfn.LET(_xlpm.b,--MID(C99,_xlfn.SEQUENCE(A99-1),1),_xlpm.c,--MID(C99,_xlfn.SEQUENCE(A99-1,,2),1),IFERROR(CORREL(_xlpm.b,_xlpm.c),""))))</f>
        <v/>
      </c>
      <c r="CC99" s="8" t="str">
        <f>IF(B99="","",LOG(A99,2))</f>
        <v/>
      </c>
      <c r="CD99" s="8" t="str">
        <f>IF(B99="","",MAX(AN99,AO99)-CC99)</f>
        <v/>
      </c>
      <c r="CE99" s="8" t="str" cm="1">
        <f t="array" ref="CE99">IF(B99="","",IF(LEN(B99)&lt;16,"",_xlfn.LET(_xlpm.d,MID("0123456789abcdef",_xlfn.SEQUENCE(16),1),_xlpm.c,LEN(B99)-LEN(SUBSTITUTE(B99,_xlpm.d,"")),_xlpm.ex,LEN(B99)/16,SUM((_xlpm.c-_xlpm.ex)^2/_xlpm.ex))))</f>
        <v/>
      </c>
      <c r="CF99" s="37" t="str">
        <f>IF(CE99="","",_xlfn.CHISQ.DIST.RT(CE99,15))</f>
        <v/>
      </c>
      <c r="CG99" s="9" t="str" cm="1">
        <f t="array" ref="CG99">IF(OR(B99="",B98=""),"",_xlfn.LET(_xlpm.a,C99,_xlpm.b,REPT("0",A99-LEN(C98))&amp;C98,_xlpm.m,MID(_xlpm.a,_xlfn.SEQUENCE(A99),1)=MID(_xlpm.b,_xlfn.SEQUENCE(A99),1),IFERROR(MATCH(FALSE,_xlpm.m,0)-1,A99)))</f>
        <v/>
      </c>
      <c r="CH99" s="9" t="str" cm="1">
        <f t="array" ref="CH99">IF(OR(B99="",B98=""),"",_xlfn.LET(_xlpm.a,C99,_xlpm.b,REPT("0",A99-LEN(C98))&amp;C98,_xlpm.n,A99,_xlpm.m,MID(_xlpm.a,_xlfn.SEQUENCE(_xlpm.n,,_xlpm.n,-1),1)=MID(_xlpm.b,_xlfn.SEQUENCE(_xlpm.n,,_xlpm.n,-1),1),IFERROR(MATCH(FALSE,_xlpm.m,0)-1,_xlpm.n)))</f>
        <v/>
      </c>
      <c r="CI99" s="38" t="str">
        <f>IF(OR(B99="",B98=""),"",F99-F98)</f>
        <v/>
      </c>
      <c r="CJ99" s="5" t="str">
        <f>IF(OR(B99="",B98=""),"",IFERROR(FIND(B98,B99)&gt;0,FALSE))</f>
        <v/>
      </c>
      <c r="CK99" s="5" t="str">
        <f>IF(OR(B99="",B98=""),"",IFERROR(FIND(C98,C99)&gt;0,FALSE))</f>
        <v/>
      </c>
      <c r="CL99" s="9" t="str">
        <f>IF(OR(B99="",B98=""),"",IFERROR(FIND(C98,C99),""))</f>
        <v/>
      </c>
      <c r="CM99" s="6" t="str" cm="1">
        <f t="array" ref="CM99">IF(OR(B99="",B98=""),"",_xlfn.LET(_xlpm.pv,D98,_xlpm.ra,BIGSUB(D99,_xlpm.pv),_xlpm.rb,BIGSUB(_xlpm.ra,_xlpm.pv),_xlpm.rc,BIGSUB(_xlpm.rb,_xlpm.pv),IF(LEFT(_xlpm.rb,1)="-",_xlpm.ra,IF(LEFT(_xlpm.rc,1)="-",_xlpm.rb,_xlpm.rc))))</f>
        <v/>
      </c>
      <c r="CN99" s="38" t="str">
        <f>IF(B99="","",F99-0.5)</f>
        <v/>
      </c>
      <c r="CO99" s="15" t="str" cm="1">
        <f t="array" ref="CO99">IF(B99="","",_xlfn.TEXTJOIN("",,MID(B99,_xlfn.SEQUENCE(LEN(B99),,LEN(B99),-1),1)))</f>
        <v/>
      </c>
      <c r="CP99" s="6" t="str" cm="1">
        <f t="array" ref="CP99">IF(B99="","",BASE2DEC(CO99,16))</f>
        <v/>
      </c>
      <c r="CQ99" s="5" t="str">
        <f>IF(B99="","",IF(AND(LEN(B99)&lt;16,LEN(B99)=LEN(SUBSTITUTE(SUBSTITUTE(SUBSTITUTE(SUBSTITUTE(SUBSTITUTE(SUBSTITUTE(B99,"a",""),"b",""),"c",""),"d",""),"e",""),"f",""))),--B99,""))</f>
        <v/>
      </c>
      <c r="CR99" s="6" t="str" cm="1">
        <f t="array" ref="CR99">IF(B99="","",IF(LEN(D99)&lt;=15,BASE2DEC(D99,16),""))</f>
        <v/>
      </c>
      <c r="CS99" s="15" t="str" cm="1">
        <f t="array" ref="CS99">IF(B99="","",_xlfn.LET(_xlpm.p,REPT("0",MOD(-LEN(B99),4))&amp;B99,_xlfn.TEXTJOIN(" ",,MID(_xlpm.p,_xlfn.SEQUENCE(LEN(_xlpm.p)/4,,1,4),4))))</f>
        <v/>
      </c>
      <c r="CT99" s="15" t="str" cm="1">
        <f t="array" ref="CT99">IF(B99="","",UPPER(_xlfn.LET(_xlpm.p,REPT("0",64-LEN(B99))&amp;B99,_xlfn.TEXTJOIN(" ",,MID(_xlpm.p,_xlfn.SEQUENCE(8,,1,8),8)))))</f>
        <v/>
      </c>
      <c r="CU99" s="6" t="str" cm="1">
        <f t="array" ref="CU99">IF(B99="","",IF(LEN(D99)&lt;=6,_xlfn.LET(_xlpm.n,VALUE(D99)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99" s="39" t="s">
        <v>888</v>
      </c>
      <c r="CW99" s="39" t="s">
        <v>888</v>
      </c>
      <c r="CX99" s="39" t="s">
        <v>888</v>
      </c>
      <c r="CY99" s="7" t="s">
        <v>888</v>
      </c>
      <c r="CZ99" s="39" t="s">
        <v>888</v>
      </c>
      <c r="DA99" s="39" t="s">
        <v>888</v>
      </c>
      <c r="DB99" s="39" t="s">
        <v>888</v>
      </c>
      <c r="DC99" s="7" t="s">
        <v>888</v>
      </c>
      <c r="DD99" s="7" t="s">
        <v>888</v>
      </c>
      <c r="DE99" s="7" t="s">
        <v>888</v>
      </c>
      <c r="DF99" s="7" t="s">
        <v>888</v>
      </c>
      <c r="DG99" s="7" t="s">
        <v>888</v>
      </c>
      <c r="DH99" s="39" t="s">
        <v>888</v>
      </c>
      <c r="DI99" s="7" t="s">
        <v>888</v>
      </c>
      <c r="DJ99" s="7" t="s">
        <v>888</v>
      </c>
      <c r="DK99" s="7" t="s">
        <v>888</v>
      </c>
      <c r="DL99" s="7" t="s">
        <v>888</v>
      </c>
      <c r="DM99" s="7" t="s">
        <v>888</v>
      </c>
      <c r="DN99" s="7" t="s">
        <v>888</v>
      </c>
      <c r="DO99" s="7" t="s">
        <v>888</v>
      </c>
      <c r="DP99" s="7" t="s">
        <v>888</v>
      </c>
      <c r="DQ99" s="7" t="s">
        <v>888</v>
      </c>
      <c r="DR99" s="7" t="s">
        <v>888</v>
      </c>
      <c r="DS99" s="7" t="s">
        <v>888</v>
      </c>
      <c r="DT99" s="15" t="str" cm="1">
        <f t="array" ref="DT99">IF(B99="","",_xlfn.TEXTJOIN("",,HEX2BIN(MID(BQ99,_xlfn.SEQUENCE(40),1),4)))</f>
        <v/>
      </c>
    </row>
    <row r="100" spans="1:124" x14ac:dyDescent="0.25">
      <c r="A100" s="9">
        <v>99</v>
      </c>
      <c r="B100" s="15" t="s">
        <v>888</v>
      </c>
      <c r="C100" s="15" t="s">
        <v>888</v>
      </c>
      <c r="D100" s="6" t="s">
        <v>888</v>
      </c>
      <c r="E100" s="6" t="s">
        <v>888</v>
      </c>
      <c r="F100" s="10" t="s">
        <v>888</v>
      </c>
      <c r="G100" s="9" t="s">
        <v>888</v>
      </c>
      <c r="H100" s="9" t="s">
        <v>888</v>
      </c>
      <c r="I100" s="15" t="s">
        <v>888</v>
      </c>
      <c r="J100" s="9" t="s">
        <v>888</v>
      </c>
      <c r="K100" s="15" t="s">
        <v>888</v>
      </c>
      <c r="L100" s="15" t="s">
        <v>888</v>
      </c>
      <c r="M100" s="15" t="s">
        <v>888</v>
      </c>
      <c r="N100" s="15" t="s">
        <v>888</v>
      </c>
      <c r="O100" s="6" t="s">
        <v>888</v>
      </c>
      <c r="P100" s="15" t="s">
        <v>888</v>
      </c>
      <c r="Q100" s="15" t="s">
        <v>888</v>
      </c>
      <c r="R100" s="6" t="s">
        <v>888</v>
      </c>
      <c r="S100" s="15" t="s">
        <v>888</v>
      </c>
      <c r="T100" s="11" t="s">
        <v>888</v>
      </c>
      <c r="U100" s="10" t="s">
        <v>888</v>
      </c>
      <c r="V100" s="7" t="s">
        <v>888</v>
      </c>
      <c r="W100" s="7" t="s">
        <v>888</v>
      </c>
      <c r="X100" s="7" t="s">
        <v>888</v>
      </c>
      <c r="Y100" s="15" t="s">
        <v>888</v>
      </c>
      <c r="Z100" s="9" t="s">
        <v>888</v>
      </c>
      <c r="AA100" s="9" t="s">
        <v>888</v>
      </c>
      <c r="AB100" s="9" t="s">
        <v>888</v>
      </c>
      <c r="AC100" s="13" t="s">
        <v>888</v>
      </c>
      <c r="AD100" s="13" t="s">
        <v>888</v>
      </c>
      <c r="AE100" s="9" t="s">
        <v>888</v>
      </c>
      <c r="AF100" s="9" t="s">
        <v>888</v>
      </c>
      <c r="AG100" s="9" t="s">
        <v>888</v>
      </c>
      <c r="AH100" s="6" t="s">
        <v>888</v>
      </c>
      <c r="AI100" s="10" t="s">
        <v>888</v>
      </c>
      <c r="AJ100" s="10" t="s">
        <v>888</v>
      </c>
      <c r="AK100" s="15" t="s">
        <v>888</v>
      </c>
      <c r="AL100" s="15" t="s">
        <v>888</v>
      </c>
      <c r="AM100" s="15" t="s">
        <v>888</v>
      </c>
      <c r="AN100" s="9" t="s">
        <v>888</v>
      </c>
      <c r="AO100" s="9" t="s">
        <v>888</v>
      </c>
      <c r="AP100" s="9" t="s">
        <v>888</v>
      </c>
      <c r="AQ100" s="15" t="s">
        <v>888</v>
      </c>
      <c r="AR100" s="9" t="s">
        <v>888</v>
      </c>
      <c r="AS100" s="6" t="s">
        <v>888</v>
      </c>
      <c r="AT100" s="15" t="s">
        <v>888</v>
      </c>
      <c r="AU100" s="9" t="s">
        <v>888</v>
      </c>
      <c r="AV100" s="9" t="s">
        <v>888</v>
      </c>
      <c r="AW100" s="9" t="s">
        <v>888</v>
      </c>
      <c r="AX100" s="9" t="s">
        <v>888</v>
      </c>
      <c r="AY100" s="9" t="s">
        <v>888</v>
      </c>
      <c r="AZ100" s="9" t="s">
        <v>888</v>
      </c>
      <c r="BA100" s="6" t="s">
        <v>888</v>
      </c>
      <c r="BB100" s="6" t="s">
        <v>888</v>
      </c>
      <c r="BC100" s="6" t="s">
        <v>888</v>
      </c>
      <c r="BD100" s="15" t="s">
        <v>888</v>
      </c>
      <c r="BE100" s="15" t="s">
        <v>888</v>
      </c>
      <c r="BF100" s="15" t="s">
        <v>888</v>
      </c>
      <c r="BG100" s="15" t="s">
        <v>888</v>
      </c>
      <c r="BH100" s="6" t="s">
        <v>888</v>
      </c>
      <c r="BI100" s="17" t="s">
        <v>888</v>
      </c>
      <c r="BJ100" s="7" t="s">
        <v>888</v>
      </c>
      <c r="BK100" s="7" t="s">
        <v>888</v>
      </c>
      <c r="BL100" s="7" t="s">
        <v>888</v>
      </c>
      <c r="BM100" s="16" t="s">
        <v>888</v>
      </c>
      <c r="BN100" s="16" t="s">
        <v>888</v>
      </c>
      <c r="BO100" s="16" t="s">
        <v>888</v>
      </c>
      <c r="BP100" s="16" t="s">
        <v>888</v>
      </c>
      <c r="BQ100" s="16" t="s">
        <v>888</v>
      </c>
      <c r="BR100" s="7" t="s">
        <v>888</v>
      </c>
      <c r="BS100" s="7" t="s">
        <v>888</v>
      </c>
      <c r="BT100" s="7" t="s">
        <v>888</v>
      </c>
      <c r="BU100" s="14" t="s">
        <v>888</v>
      </c>
      <c r="BV100" s="15" t="s">
        <v>888</v>
      </c>
      <c r="BW100" s="9" t="s">
        <v>888</v>
      </c>
      <c r="BX100" s="9" t="s">
        <v>888</v>
      </c>
      <c r="BY100" s="13" t="s">
        <v>888</v>
      </c>
      <c r="BZ100" s="13" t="s">
        <v>888</v>
      </c>
      <c r="CA100" s="12" t="str">
        <f>IF(B100="","",IF(A100&lt;8,"",_xlfn.LET(_xlpm.n,A100,_xlpm.k,G100,_xlpm.R,AP100,_xlpm.mu,1+2*_xlpm.k*(_xlpm.n-_xlpm.k)/_xlpm.n,_xlpm.v,2*_xlpm.k*(_xlpm.n-_xlpm.k)*(2*_xlpm.k*(_xlpm.n-_xlpm.k)-_xlpm.n)/(_xlpm.n^2*(_xlpm.n-1)),IF(_xlpm.v&lt;=0,"",(_xlpm.R-_xlpm.mu)/SQRT(_xlpm.v)))))</f>
        <v/>
      </c>
      <c r="CB100" s="37" t="str" cm="1">
        <f t="array" ref="CB100">IF(B100="","",IF(A100&lt;8,"",_xlfn.LET(_xlpm.b,--MID(C100,_xlfn.SEQUENCE(A100-1),1),_xlpm.c,--MID(C100,_xlfn.SEQUENCE(A100-1,,2),1),IFERROR(CORREL(_xlpm.b,_xlpm.c),""))))</f>
        <v/>
      </c>
      <c r="CC100" s="8" t="str">
        <f>IF(B100="","",LOG(A100,2))</f>
        <v/>
      </c>
      <c r="CD100" s="8" t="str">
        <f>IF(B100="","",MAX(AN100,AO100)-CC100)</f>
        <v/>
      </c>
      <c r="CE100" s="8" t="str" cm="1">
        <f t="array" ref="CE100">IF(B100="","",IF(LEN(B100)&lt;16,"",_xlfn.LET(_xlpm.d,MID("0123456789abcdef",_xlfn.SEQUENCE(16),1),_xlpm.c,LEN(B100)-LEN(SUBSTITUTE(B100,_xlpm.d,"")),_xlpm.ex,LEN(B100)/16,SUM((_xlpm.c-_xlpm.ex)^2/_xlpm.ex))))</f>
        <v/>
      </c>
      <c r="CF100" s="37" t="str">
        <f>IF(CE100="","",_xlfn.CHISQ.DIST.RT(CE100,15))</f>
        <v/>
      </c>
      <c r="CG100" s="9" t="str" cm="1">
        <f t="array" ref="CG100">IF(OR(B100="",B99=""),"",_xlfn.LET(_xlpm.a,C100,_xlpm.b,REPT("0",A100-LEN(C99))&amp;C99,_xlpm.m,MID(_xlpm.a,_xlfn.SEQUENCE(A100),1)=MID(_xlpm.b,_xlfn.SEQUENCE(A100),1),IFERROR(MATCH(FALSE,_xlpm.m,0)-1,A100)))</f>
        <v/>
      </c>
      <c r="CH100" s="9" t="str" cm="1">
        <f t="array" ref="CH100">IF(OR(B100="",B99=""),"",_xlfn.LET(_xlpm.a,C100,_xlpm.b,REPT("0",A100-LEN(C99))&amp;C99,_xlpm.n,A100,_xlpm.m,MID(_xlpm.a,_xlfn.SEQUENCE(_xlpm.n,,_xlpm.n,-1),1)=MID(_xlpm.b,_xlfn.SEQUENCE(_xlpm.n,,_xlpm.n,-1),1),IFERROR(MATCH(FALSE,_xlpm.m,0)-1,_xlpm.n)))</f>
        <v/>
      </c>
      <c r="CI100" s="38" t="str">
        <f>IF(OR(B100="",B99=""),"",F100-F99)</f>
        <v/>
      </c>
      <c r="CJ100" s="5" t="str">
        <f>IF(OR(B100="",B99=""),"",IFERROR(FIND(B99,B100)&gt;0,FALSE))</f>
        <v/>
      </c>
      <c r="CK100" s="5" t="str">
        <f>IF(OR(B100="",B99=""),"",IFERROR(FIND(C99,C100)&gt;0,FALSE))</f>
        <v/>
      </c>
      <c r="CL100" s="9" t="str">
        <f>IF(OR(B100="",B99=""),"",IFERROR(FIND(C99,C100),""))</f>
        <v/>
      </c>
      <c r="CM100" s="6" t="str" cm="1">
        <f t="array" ref="CM100">IF(OR(B100="",B99=""),"",_xlfn.LET(_xlpm.pv,D99,_xlpm.ra,BIGSUB(D100,_xlpm.pv),_xlpm.rb,BIGSUB(_xlpm.ra,_xlpm.pv),_xlpm.rc,BIGSUB(_xlpm.rb,_xlpm.pv),IF(LEFT(_xlpm.rb,1)="-",_xlpm.ra,IF(LEFT(_xlpm.rc,1)="-",_xlpm.rb,_xlpm.rc))))</f>
        <v/>
      </c>
      <c r="CN100" s="38" t="str">
        <f>IF(B100="","",F100-0.5)</f>
        <v/>
      </c>
      <c r="CO100" s="15" t="str" cm="1">
        <f t="array" ref="CO100">IF(B100="","",_xlfn.TEXTJOIN("",,MID(B100,_xlfn.SEQUENCE(LEN(B100),,LEN(B100),-1),1)))</f>
        <v/>
      </c>
      <c r="CP100" s="6" t="str" cm="1">
        <f t="array" ref="CP100">IF(B100="","",BASE2DEC(CO100,16))</f>
        <v/>
      </c>
      <c r="CQ100" s="5" t="str">
        <f>IF(B100="","",IF(AND(LEN(B100)&lt;16,LEN(B100)=LEN(SUBSTITUTE(SUBSTITUTE(SUBSTITUTE(SUBSTITUTE(SUBSTITUTE(SUBSTITUTE(B100,"a",""),"b",""),"c",""),"d",""),"e",""),"f",""))),--B100,""))</f>
        <v/>
      </c>
      <c r="CR100" s="6" t="str" cm="1">
        <f t="array" ref="CR100">IF(B100="","",IF(LEN(D100)&lt;=15,BASE2DEC(D100,16),""))</f>
        <v/>
      </c>
      <c r="CS100" s="15" t="str" cm="1">
        <f t="array" ref="CS100">IF(B100="","",_xlfn.LET(_xlpm.p,REPT("0",MOD(-LEN(B100),4))&amp;B100,_xlfn.TEXTJOIN(" ",,MID(_xlpm.p,_xlfn.SEQUENCE(LEN(_xlpm.p)/4,,1,4),4))))</f>
        <v/>
      </c>
      <c r="CT100" s="15" t="str" cm="1">
        <f t="array" ref="CT100">IF(B100="","",UPPER(_xlfn.LET(_xlpm.p,REPT("0",64-LEN(B100))&amp;B100,_xlfn.TEXTJOIN(" ",,MID(_xlpm.p,_xlfn.SEQUENCE(8,,1,8),8)))))</f>
        <v/>
      </c>
      <c r="CU100" s="6" t="str" cm="1">
        <f t="array" ref="CU100">IF(B100="","",IF(LEN(D100)&lt;=6,_xlfn.LET(_xlpm.n,VALUE(D100)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0" s="39" t="s">
        <v>888</v>
      </c>
      <c r="CW100" s="39" t="s">
        <v>888</v>
      </c>
      <c r="CX100" s="39" t="s">
        <v>888</v>
      </c>
      <c r="CY100" s="7" t="s">
        <v>888</v>
      </c>
      <c r="CZ100" s="39" t="s">
        <v>888</v>
      </c>
      <c r="DA100" s="39" t="s">
        <v>888</v>
      </c>
      <c r="DB100" s="39" t="s">
        <v>888</v>
      </c>
      <c r="DC100" s="7" t="s">
        <v>888</v>
      </c>
      <c r="DD100" s="7" t="s">
        <v>888</v>
      </c>
      <c r="DE100" s="7" t="s">
        <v>888</v>
      </c>
      <c r="DF100" s="7" t="s">
        <v>888</v>
      </c>
      <c r="DG100" s="7" t="s">
        <v>888</v>
      </c>
      <c r="DH100" s="39" t="s">
        <v>888</v>
      </c>
      <c r="DI100" s="7" t="s">
        <v>888</v>
      </c>
      <c r="DJ100" s="7" t="s">
        <v>888</v>
      </c>
      <c r="DK100" s="7" t="s">
        <v>888</v>
      </c>
      <c r="DL100" s="7" t="s">
        <v>888</v>
      </c>
      <c r="DM100" s="7" t="s">
        <v>888</v>
      </c>
      <c r="DN100" s="7" t="s">
        <v>888</v>
      </c>
      <c r="DO100" s="7" t="s">
        <v>888</v>
      </c>
      <c r="DP100" s="7" t="s">
        <v>888</v>
      </c>
      <c r="DQ100" s="7" t="s">
        <v>888</v>
      </c>
      <c r="DR100" s="7" t="s">
        <v>888</v>
      </c>
      <c r="DS100" s="7" t="s">
        <v>888</v>
      </c>
      <c r="DT100" s="15" t="str" cm="1">
        <f t="array" ref="DT100">IF(B100="","",_xlfn.TEXTJOIN("",,HEX2BIN(MID(BQ100,_xlfn.SEQUENCE(40),1),4)))</f>
        <v/>
      </c>
    </row>
    <row r="101" spans="1:124" x14ac:dyDescent="0.25">
      <c r="A101" s="9">
        <v>100</v>
      </c>
      <c r="B101" s="15" t="s">
        <v>4194</v>
      </c>
      <c r="C101" s="15" t="s">
        <v>4195</v>
      </c>
      <c r="D101" s="6" t="s">
        <v>4196</v>
      </c>
      <c r="E101" s="6" t="s">
        <v>4197</v>
      </c>
      <c r="F101" s="10">
        <v>0.36981157668053022</v>
      </c>
      <c r="G101" s="9">
        <v>53</v>
      </c>
      <c r="H101" s="9">
        <v>1</v>
      </c>
      <c r="I101" s="15" t="s">
        <v>888</v>
      </c>
      <c r="J101" s="9" t="s">
        <v>888</v>
      </c>
      <c r="K101" s="15" t="s">
        <v>4198</v>
      </c>
      <c r="L101" s="15" t="s">
        <v>4199</v>
      </c>
      <c r="M101" s="15" t="s">
        <v>4200</v>
      </c>
      <c r="N101" s="15" t="s">
        <v>4201</v>
      </c>
      <c r="O101" s="6" t="s">
        <v>4202</v>
      </c>
      <c r="P101" s="15" t="s">
        <v>4203</v>
      </c>
      <c r="Q101" s="15" t="s">
        <v>4204</v>
      </c>
      <c r="R101" s="6" t="s">
        <v>4205</v>
      </c>
      <c r="S101" s="15" t="s">
        <v>4206</v>
      </c>
      <c r="T101" s="11" t="s">
        <v>888</v>
      </c>
      <c r="U101" s="10">
        <v>0.53</v>
      </c>
      <c r="V101" s="7" t="s">
        <v>904</v>
      </c>
      <c r="W101" s="7" t="s">
        <v>905</v>
      </c>
      <c r="X101" s="7" t="s">
        <v>906</v>
      </c>
      <c r="Y101" s="15" t="s">
        <v>4207</v>
      </c>
      <c r="Z101" s="9">
        <v>44</v>
      </c>
      <c r="AA101" s="9">
        <v>52</v>
      </c>
      <c r="AB101" s="9">
        <v>79</v>
      </c>
      <c r="AC101" s="13">
        <v>-1.2</v>
      </c>
      <c r="AD101" s="13">
        <v>0.4</v>
      </c>
      <c r="AE101" s="9">
        <v>30</v>
      </c>
      <c r="AF101" s="9">
        <v>135</v>
      </c>
      <c r="AG101" s="9">
        <v>9</v>
      </c>
      <c r="AH101" s="6" t="s">
        <v>4208</v>
      </c>
      <c r="AI101" s="10">
        <v>99.453977458088062</v>
      </c>
      <c r="AJ101" s="10">
        <v>97.564862293073162</v>
      </c>
      <c r="AK101" s="15" t="s">
        <v>4209</v>
      </c>
      <c r="AL101" s="15" t="s">
        <v>4210</v>
      </c>
      <c r="AM101" s="15" t="s">
        <v>4211</v>
      </c>
      <c r="AN101" s="9">
        <v>5</v>
      </c>
      <c r="AO101" s="9">
        <v>7</v>
      </c>
      <c r="AP101" s="9">
        <v>52</v>
      </c>
      <c r="AQ101" s="15" t="s">
        <v>4212</v>
      </c>
      <c r="AR101" s="9">
        <v>13</v>
      </c>
      <c r="AS101" s="6" t="s">
        <v>2104</v>
      </c>
      <c r="AT101" s="15" t="s">
        <v>4213</v>
      </c>
      <c r="AU101" s="9">
        <v>0</v>
      </c>
      <c r="AV101" s="9">
        <v>2</v>
      </c>
      <c r="AW101" s="9">
        <v>0</v>
      </c>
      <c r="AX101" s="9">
        <v>1</v>
      </c>
      <c r="AY101" s="9">
        <v>38</v>
      </c>
      <c r="AZ101" s="9">
        <v>18470</v>
      </c>
      <c r="BA101" s="6" t="s">
        <v>888</v>
      </c>
      <c r="BB101" s="6" t="s">
        <v>888</v>
      </c>
      <c r="BC101" s="6" t="s">
        <v>4214</v>
      </c>
      <c r="BD101" s="15" t="s">
        <v>4215</v>
      </c>
      <c r="BE101" s="15" t="s">
        <v>4216</v>
      </c>
      <c r="BF101" s="15" t="s">
        <v>4217</v>
      </c>
      <c r="BG101" s="15" t="s">
        <v>4218</v>
      </c>
      <c r="BH101" s="6" t="s">
        <v>4219</v>
      </c>
      <c r="BI101" s="17" t="s">
        <v>888</v>
      </c>
      <c r="BJ101" s="7" t="s">
        <v>1801</v>
      </c>
      <c r="BK101" s="7" t="s">
        <v>1802</v>
      </c>
      <c r="BL101" s="7" t="s">
        <v>1803</v>
      </c>
      <c r="BM101" s="16" t="s">
        <v>1804</v>
      </c>
      <c r="BN101" s="16" t="s">
        <v>1805</v>
      </c>
      <c r="BO101" s="16" t="s">
        <v>1806</v>
      </c>
      <c r="BP101" s="16" t="s">
        <v>1807</v>
      </c>
      <c r="BQ101" s="16" t="s">
        <v>1808</v>
      </c>
      <c r="BR101" s="7" t="s">
        <v>1809</v>
      </c>
      <c r="BS101" s="7" t="s">
        <v>1810</v>
      </c>
      <c r="BT101" s="7" t="s">
        <v>1811</v>
      </c>
      <c r="BU101" s="14">
        <v>7.4981049172530753E-48</v>
      </c>
      <c r="BV101" s="15" t="s">
        <v>4220</v>
      </c>
      <c r="BW101" s="9">
        <v>43</v>
      </c>
      <c r="BX101" s="9">
        <v>49</v>
      </c>
      <c r="BY101" s="13">
        <v>-1.4</v>
      </c>
      <c r="BZ101" s="13">
        <v>-0.2</v>
      </c>
      <c r="CA101" s="12">
        <f>IF(B101="","",IF(A101&lt;8,"",_xlfn.LET(_xlpm.n,A101,_xlpm.k,G101,_xlpm.R,AP101,_xlpm.mu,1+2*_xlpm.k*(_xlpm.n-_xlpm.k)/_xlpm.n,_xlpm.v,2*_xlpm.k*(_xlpm.n-_xlpm.k)*(2*_xlpm.k*(_xlpm.n-_xlpm.k)-_xlpm.n)/(_xlpm.n^2*(_xlpm.n-1)),IF(_xlpm.v&lt;=0,"",(_xlpm.R-_xlpm.mu)/SQRT(_xlpm.v)))))</f>
        <v>0.23806681156249798</v>
      </c>
      <c r="CB101" s="37" cm="1">
        <f t="array" ref="CB101">IF(B101="","",IF(A101&lt;8,"",_xlfn.LET(_xlpm.b,--MID(C101,_xlfn.SEQUENCE(A101-1),1),_xlpm.c,--MID(C101,_xlfn.SEQUENCE(A101-1,,2),1),IFERROR(CORREL(_xlpm.b,_xlpm.c),""))))</f>
        <v>-3.400248368858344E-2</v>
      </c>
      <c r="CC101" s="8">
        <f>IF(B101="","",LOG(A101,2))</f>
        <v>6.6438561897747253</v>
      </c>
      <c r="CD101" s="8">
        <f>IF(B101="","",MAX(AN101,AO101)-CC101)</f>
        <v>0.35614381022527475</v>
      </c>
      <c r="CE101" s="8" cm="1">
        <f t="array" ref="CE101">IF(B101="","",IF(LEN(B101)&lt;16,"",_xlfn.LET(_xlpm.d,MID("0123456789abcdef",_xlfn.SEQUENCE(16),1),_xlpm.c,LEN(B101)-LEN(SUBSTITUTE(B101,_xlpm.d,"")),_xlpm.ex,LEN(B101)/16,SUM((_xlpm.c-_xlpm.ex)^2/_xlpm.ex))))</f>
        <v>14.040000000000001</v>
      </c>
      <c r="CF101" s="37">
        <f>IF(CE101="","",_xlfn.CHISQ.DIST.RT(CE101,15))</f>
        <v>0.52249761936271333</v>
      </c>
      <c r="CG101" s="9" t="str" cm="1">
        <f t="array" ref="CG101">IF(OR(B101="",B100=""),"",_xlfn.LET(_xlpm.a,C101,_xlpm.b,REPT("0",A101-LEN(C100))&amp;C100,_xlpm.m,MID(_xlpm.a,_xlfn.SEQUENCE(A101),1)=MID(_xlpm.b,_xlfn.SEQUENCE(A101),1),IFERROR(MATCH(FALSE,_xlpm.m,0)-1,A101)))</f>
        <v/>
      </c>
      <c r="CH101" s="9" t="str" cm="1">
        <f t="array" ref="CH101">IF(OR(B101="",B100=""),"",_xlfn.LET(_xlpm.a,C101,_xlpm.b,REPT("0",A101-LEN(C100))&amp;C100,_xlpm.n,A101,_xlpm.m,MID(_xlpm.a,_xlfn.SEQUENCE(_xlpm.n,,_xlpm.n,-1),1)=MID(_xlpm.b,_xlfn.SEQUENCE(_xlpm.n,,_xlpm.n,-1),1),IFERROR(MATCH(FALSE,_xlpm.m,0)-1,_xlpm.n)))</f>
        <v/>
      </c>
      <c r="CI101" s="38" t="str">
        <f>IF(OR(B101="",B100=""),"",F101-F100)</f>
        <v/>
      </c>
      <c r="CJ101" s="5" t="str">
        <f>IF(OR(B101="",B100=""),"",IFERROR(FIND(B100,B101)&gt;0,FALSE))</f>
        <v/>
      </c>
      <c r="CK101" s="5" t="str">
        <f>IF(OR(B101="",B100=""),"",IFERROR(FIND(C100,C101)&gt;0,FALSE))</f>
        <v/>
      </c>
      <c r="CL101" s="9" t="str">
        <f>IF(OR(B101="",B100=""),"",IFERROR(FIND(C100,C101),""))</f>
        <v/>
      </c>
      <c r="CM101" s="6" t="str" cm="1">
        <f t="array" ref="CM101">IF(OR(B101="",B100=""),"",_xlfn.LET(_xlpm.pv,D100,_xlpm.ra,BIGSUB(D101,_xlpm.pv),_xlpm.rb,BIGSUB(_xlpm.ra,_xlpm.pv),_xlpm.rc,BIGSUB(_xlpm.rb,_xlpm.pv),IF(LEFT(_xlpm.rb,1)="-",_xlpm.ra,IF(LEFT(_xlpm.rc,1)="-",_xlpm.rb,_xlpm.rc))))</f>
        <v/>
      </c>
      <c r="CN101" s="38">
        <f>IF(B101="","",F101-0.5)</f>
        <v>-0.13018842331946978</v>
      </c>
      <c r="CO101" s="15" t="str" cm="1">
        <f t="array" ref="CO101">IF(B101="","",_xlfn.TEXTJOIN("",,MID(B101,_xlfn.SEQUENCE(LEN(B101),,LEN(B101),-1),1)))</f>
        <v>62842de76ce8c533c95cf55fa</v>
      </c>
      <c r="CP101" s="6" t="str" cm="1">
        <f t="array" ref="CP101">IF(B101="","",BASE2DEC(CO101,16))</f>
        <v>487829215139492753982979266042</v>
      </c>
      <c r="CQ101" s="5" t="str">
        <f>IF(B101="","",IF(AND(LEN(B101)&lt;16,LEN(B101)=LEN(SUBSTITUTE(SUBSTITUTE(SUBSTITUTE(SUBSTITUTE(SUBSTITUTE(SUBSTITUTE(B101,"a",""),"b",""),"c",""),"d",""),"e",""),"f",""))),--B101,""))</f>
        <v/>
      </c>
      <c r="CR101" s="6" t="str" cm="1">
        <f t="array" ref="CR101">IF(B101="","",IF(LEN(D101)&lt;=15,BASE2DEC(D101,16),""))</f>
        <v/>
      </c>
      <c r="CS101" s="15" t="str" cm="1">
        <f t="array" ref="CS101">IF(B101="","",_xlfn.LET(_xlpm.p,REPT("0",MOD(-LEN(B101),4))&amp;B101,_xlfn.TEXTJOIN(" ",,MID(_xlpm.p,_xlfn.SEQUENCE(LEN(_xlpm.p)/4,,1,4),4))))</f>
        <v>000a f55f c59c 335c 8ec6 7ed2 4826</v>
      </c>
      <c r="CT101" s="15" t="str" cm="1">
        <f t="array" ref="CT101">IF(B101="","",UPPER(_xlfn.LET(_xlpm.p,REPT("0",64-LEN(B101))&amp;B101,_xlfn.TEXTJOIN(" ",,MID(_xlpm.p,_xlfn.SEQUENCE(8,,1,8),8)))))</f>
        <v>00000000 00000000 00000000 00000000 0000000A F55FC59C 335C8EC6 7ED24826</v>
      </c>
      <c r="CU101" s="6" t="str" cm="1">
        <f t="array" ref="CU101">IF(B101="","",IF(LEN(D101)&lt;=6,_xlfn.LET(_xlpm.n,VALUE(D101)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1" s="39" t="s">
        <v>4444</v>
      </c>
      <c r="CW101" s="39" t="s">
        <v>1895</v>
      </c>
      <c r="CX101" s="39" t="s">
        <v>2096</v>
      </c>
      <c r="CY101" s="7" t="s">
        <v>4863</v>
      </c>
      <c r="CZ101" s="39" t="s">
        <v>4444</v>
      </c>
      <c r="DA101" s="39" t="s">
        <v>4444</v>
      </c>
      <c r="DB101" s="39">
        <v>99</v>
      </c>
      <c r="DC101" s="7" t="s">
        <v>4864</v>
      </c>
      <c r="DD101" s="7" t="s">
        <v>4865</v>
      </c>
      <c r="DE101" s="7" t="s">
        <v>4866</v>
      </c>
      <c r="DF101" s="7" t="s">
        <v>4867</v>
      </c>
      <c r="DG101" s="7" t="s">
        <v>4868</v>
      </c>
      <c r="DH101" s="39" t="s">
        <v>4452</v>
      </c>
      <c r="DI101" s="7" t="s">
        <v>5673</v>
      </c>
      <c r="DJ101" s="7" t="s">
        <v>5674</v>
      </c>
      <c r="DK101" s="7" t="s">
        <v>5675</v>
      </c>
      <c r="DL101" s="7" t="s">
        <v>5676</v>
      </c>
      <c r="DM101" s="7" t="s">
        <v>5677</v>
      </c>
      <c r="DN101" s="7" t="s">
        <v>5678</v>
      </c>
      <c r="DO101" s="7" t="s">
        <v>5679</v>
      </c>
      <c r="DP101" s="7" t="s">
        <v>5680</v>
      </c>
      <c r="DQ101" s="7" t="s">
        <v>5681</v>
      </c>
      <c r="DR101" s="7" t="s">
        <v>5682</v>
      </c>
      <c r="DS101" s="7" t="s">
        <v>5830</v>
      </c>
      <c r="DT101" s="15" t="str" cm="1">
        <f t="array" ref="DT101">IF(B101="","",_xlfn.TEXTJOIN("",,HEX2BIN(MID(BQ101,_xlfn.SEQUENCE(40),1),4)))</f>
        <v>0111011110111101101100100111000011110101100100100000111000001111101100000111100001000111010101011011101111111101101110111100000001101101000000001100010111111100</v>
      </c>
    </row>
    <row r="102" spans="1:124" x14ac:dyDescent="0.25">
      <c r="A102" s="9">
        <v>101</v>
      </c>
      <c r="B102" s="15" t="s">
        <v>888</v>
      </c>
      <c r="C102" s="15" t="s">
        <v>888</v>
      </c>
      <c r="D102" s="6" t="s">
        <v>888</v>
      </c>
      <c r="E102" s="6" t="s">
        <v>888</v>
      </c>
      <c r="F102" s="10" t="s">
        <v>888</v>
      </c>
      <c r="G102" s="9" t="s">
        <v>888</v>
      </c>
      <c r="H102" s="9" t="s">
        <v>888</v>
      </c>
      <c r="I102" s="15" t="s">
        <v>888</v>
      </c>
      <c r="J102" s="9" t="s">
        <v>888</v>
      </c>
      <c r="K102" s="15" t="s">
        <v>888</v>
      </c>
      <c r="L102" s="15" t="s">
        <v>888</v>
      </c>
      <c r="M102" s="15" t="s">
        <v>888</v>
      </c>
      <c r="N102" s="15" t="s">
        <v>888</v>
      </c>
      <c r="O102" s="6" t="s">
        <v>888</v>
      </c>
      <c r="P102" s="15" t="s">
        <v>888</v>
      </c>
      <c r="Q102" s="15" t="s">
        <v>888</v>
      </c>
      <c r="R102" s="6" t="s">
        <v>888</v>
      </c>
      <c r="S102" s="15" t="s">
        <v>888</v>
      </c>
      <c r="T102" s="11" t="s">
        <v>888</v>
      </c>
      <c r="U102" s="10" t="s">
        <v>888</v>
      </c>
      <c r="V102" s="7" t="s">
        <v>888</v>
      </c>
      <c r="W102" s="7" t="s">
        <v>888</v>
      </c>
      <c r="X102" s="7" t="s">
        <v>888</v>
      </c>
      <c r="Y102" s="15" t="s">
        <v>888</v>
      </c>
      <c r="Z102" s="9" t="s">
        <v>888</v>
      </c>
      <c r="AA102" s="9" t="s">
        <v>888</v>
      </c>
      <c r="AB102" s="9" t="s">
        <v>888</v>
      </c>
      <c r="AC102" s="13" t="s">
        <v>888</v>
      </c>
      <c r="AD102" s="13" t="s">
        <v>888</v>
      </c>
      <c r="AE102" s="9" t="s">
        <v>888</v>
      </c>
      <c r="AF102" s="9" t="s">
        <v>888</v>
      </c>
      <c r="AG102" s="9" t="s">
        <v>888</v>
      </c>
      <c r="AH102" s="6" t="s">
        <v>888</v>
      </c>
      <c r="AI102" s="10" t="s">
        <v>888</v>
      </c>
      <c r="AJ102" s="10" t="s">
        <v>888</v>
      </c>
      <c r="AK102" s="15" t="s">
        <v>888</v>
      </c>
      <c r="AL102" s="15" t="s">
        <v>888</v>
      </c>
      <c r="AM102" s="15" t="s">
        <v>888</v>
      </c>
      <c r="AN102" s="9" t="s">
        <v>888</v>
      </c>
      <c r="AO102" s="9" t="s">
        <v>888</v>
      </c>
      <c r="AP102" s="9" t="s">
        <v>888</v>
      </c>
      <c r="AQ102" s="15" t="s">
        <v>888</v>
      </c>
      <c r="AR102" s="9" t="s">
        <v>888</v>
      </c>
      <c r="AS102" s="6" t="s">
        <v>888</v>
      </c>
      <c r="AT102" s="15" t="s">
        <v>888</v>
      </c>
      <c r="AU102" s="9" t="s">
        <v>888</v>
      </c>
      <c r="AV102" s="9" t="s">
        <v>888</v>
      </c>
      <c r="AW102" s="9" t="s">
        <v>888</v>
      </c>
      <c r="AX102" s="9" t="s">
        <v>888</v>
      </c>
      <c r="AY102" s="9" t="s">
        <v>888</v>
      </c>
      <c r="AZ102" s="9" t="s">
        <v>888</v>
      </c>
      <c r="BA102" s="6" t="s">
        <v>888</v>
      </c>
      <c r="BB102" s="6" t="s">
        <v>888</v>
      </c>
      <c r="BC102" s="6" t="s">
        <v>888</v>
      </c>
      <c r="BD102" s="15" t="s">
        <v>888</v>
      </c>
      <c r="BE102" s="15" t="s">
        <v>888</v>
      </c>
      <c r="BF102" s="15" t="s">
        <v>888</v>
      </c>
      <c r="BG102" s="15" t="s">
        <v>888</v>
      </c>
      <c r="BH102" s="6" t="s">
        <v>888</v>
      </c>
      <c r="BI102" s="17" t="s">
        <v>888</v>
      </c>
      <c r="BJ102" s="7" t="s">
        <v>888</v>
      </c>
      <c r="BK102" s="7" t="s">
        <v>888</v>
      </c>
      <c r="BL102" s="7" t="s">
        <v>888</v>
      </c>
      <c r="BM102" s="16" t="s">
        <v>888</v>
      </c>
      <c r="BN102" s="16" t="s">
        <v>888</v>
      </c>
      <c r="BO102" s="16" t="s">
        <v>888</v>
      </c>
      <c r="BP102" s="16" t="s">
        <v>888</v>
      </c>
      <c r="BQ102" s="16" t="s">
        <v>888</v>
      </c>
      <c r="BR102" s="7" t="s">
        <v>888</v>
      </c>
      <c r="BS102" s="7" t="s">
        <v>888</v>
      </c>
      <c r="BT102" s="7" t="s">
        <v>888</v>
      </c>
      <c r="BU102" s="14" t="s">
        <v>888</v>
      </c>
      <c r="BV102" s="15" t="s">
        <v>888</v>
      </c>
      <c r="BW102" s="9" t="s">
        <v>888</v>
      </c>
      <c r="BX102" s="9" t="s">
        <v>888</v>
      </c>
      <c r="BY102" s="13" t="s">
        <v>888</v>
      </c>
      <c r="BZ102" s="13" t="s">
        <v>888</v>
      </c>
      <c r="CA102" s="12" t="str">
        <f>IF(B102="","",IF(A102&lt;8,"",_xlfn.LET(_xlpm.n,A102,_xlpm.k,G102,_xlpm.R,AP102,_xlpm.mu,1+2*_xlpm.k*(_xlpm.n-_xlpm.k)/_xlpm.n,_xlpm.v,2*_xlpm.k*(_xlpm.n-_xlpm.k)*(2*_xlpm.k*(_xlpm.n-_xlpm.k)-_xlpm.n)/(_xlpm.n^2*(_xlpm.n-1)),IF(_xlpm.v&lt;=0,"",(_xlpm.R-_xlpm.mu)/SQRT(_xlpm.v)))))</f>
        <v/>
      </c>
      <c r="CB102" s="37" t="str" cm="1">
        <f t="array" ref="CB102">IF(B102="","",IF(A102&lt;8,"",_xlfn.LET(_xlpm.b,--MID(C102,_xlfn.SEQUENCE(A102-1),1),_xlpm.c,--MID(C102,_xlfn.SEQUENCE(A102-1,,2),1),IFERROR(CORREL(_xlpm.b,_xlpm.c),""))))</f>
        <v/>
      </c>
      <c r="CC102" s="8" t="str">
        <f>IF(B102="","",LOG(A102,2))</f>
        <v/>
      </c>
      <c r="CD102" s="8" t="str">
        <f>IF(B102="","",MAX(AN102,AO102)-CC102)</f>
        <v/>
      </c>
      <c r="CE102" s="8" t="str" cm="1">
        <f t="array" ref="CE102">IF(B102="","",IF(LEN(B102)&lt;16,"",_xlfn.LET(_xlpm.d,MID("0123456789abcdef",_xlfn.SEQUENCE(16),1),_xlpm.c,LEN(B102)-LEN(SUBSTITUTE(B102,_xlpm.d,"")),_xlpm.ex,LEN(B102)/16,SUM((_xlpm.c-_xlpm.ex)^2/_xlpm.ex))))</f>
        <v/>
      </c>
      <c r="CF102" s="37" t="str">
        <f>IF(CE102="","",_xlfn.CHISQ.DIST.RT(CE102,15))</f>
        <v/>
      </c>
      <c r="CG102" s="9" t="str" cm="1">
        <f t="array" ref="CG102">IF(OR(B102="",B101=""),"",_xlfn.LET(_xlpm.a,C102,_xlpm.b,REPT("0",A102-LEN(C101))&amp;C101,_xlpm.m,MID(_xlpm.a,_xlfn.SEQUENCE(A102),1)=MID(_xlpm.b,_xlfn.SEQUENCE(A102),1),IFERROR(MATCH(FALSE,_xlpm.m,0)-1,A102)))</f>
        <v/>
      </c>
      <c r="CH102" s="9" t="str" cm="1">
        <f t="array" ref="CH102">IF(OR(B102="",B101=""),"",_xlfn.LET(_xlpm.a,C102,_xlpm.b,REPT("0",A102-LEN(C101))&amp;C101,_xlpm.n,A102,_xlpm.m,MID(_xlpm.a,_xlfn.SEQUENCE(_xlpm.n,,_xlpm.n,-1),1)=MID(_xlpm.b,_xlfn.SEQUENCE(_xlpm.n,,_xlpm.n,-1),1),IFERROR(MATCH(FALSE,_xlpm.m,0)-1,_xlpm.n)))</f>
        <v/>
      </c>
      <c r="CI102" s="38" t="str">
        <f>IF(OR(B102="",B101=""),"",F102-F101)</f>
        <v/>
      </c>
      <c r="CJ102" s="5" t="str">
        <f>IF(OR(B102="",B101=""),"",IFERROR(FIND(B101,B102)&gt;0,FALSE))</f>
        <v/>
      </c>
      <c r="CK102" s="5" t="str">
        <f>IF(OR(B102="",B101=""),"",IFERROR(FIND(C101,C102)&gt;0,FALSE))</f>
        <v/>
      </c>
      <c r="CL102" s="9" t="str">
        <f>IF(OR(B102="",B101=""),"",IFERROR(FIND(C101,C102),""))</f>
        <v/>
      </c>
      <c r="CM102" s="6" t="str" cm="1">
        <f t="array" ref="CM102">IF(OR(B102="",B101=""),"",_xlfn.LET(_xlpm.pv,D101,_xlpm.ra,BIGSUB(D102,_xlpm.pv),_xlpm.rb,BIGSUB(_xlpm.ra,_xlpm.pv),_xlpm.rc,BIGSUB(_xlpm.rb,_xlpm.pv),IF(LEFT(_xlpm.rb,1)="-",_xlpm.ra,IF(LEFT(_xlpm.rc,1)="-",_xlpm.rb,_xlpm.rc))))</f>
        <v/>
      </c>
      <c r="CN102" s="38" t="str">
        <f>IF(B102="","",F102-0.5)</f>
        <v/>
      </c>
      <c r="CO102" s="15" t="str" cm="1">
        <f t="array" ref="CO102">IF(B102="","",_xlfn.TEXTJOIN("",,MID(B102,_xlfn.SEQUENCE(LEN(B102),,LEN(B102),-1),1)))</f>
        <v/>
      </c>
      <c r="CP102" s="6" t="str" cm="1">
        <f t="array" ref="CP102">IF(B102="","",BASE2DEC(CO102,16))</f>
        <v/>
      </c>
      <c r="CQ102" s="5" t="str">
        <f>IF(B102="","",IF(AND(LEN(B102)&lt;16,LEN(B102)=LEN(SUBSTITUTE(SUBSTITUTE(SUBSTITUTE(SUBSTITUTE(SUBSTITUTE(SUBSTITUTE(B102,"a",""),"b",""),"c",""),"d",""),"e",""),"f",""))),--B102,""))</f>
        <v/>
      </c>
      <c r="CR102" s="6" t="str" cm="1">
        <f t="array" ref="CR102">IF(B102="","",IF(LEN(D102)&lt;=15,BASE2DEC(D102,16),""))</f>
        <v/>
      </c>
      <c r="CS102" s="15" t="str" cm="1">
        <f t="array" ref="CS102">IF(B102="","",_xlfn.LET(_xlpm.p,REPT("0",MOD(-LEN(B102),4))&amp;B102,_xlfn.TEXTJOIN(" ",,MID(_xlpm.p,_xlfn.SEQUENCE(LEN(_xlpm.p)/4,,1,4),4))))</f>
        <v/>
      </c>
      <c r="CT102" s="15" t="str" cm="1">
        <f t="array" ref="CT102">IF(B102="","",UPPER(_xlfn.LET(_xlpm.p,REPT("0",64-LEN(B102))&amp;B102,_xlfn.TEXTJOIN(" ",,MID(_xlpm.p,_xlfn.SEQUENCE(8,,1,8),8)))))</f>
        <v/>
      </c>
      <c r="CU102" s="6" t="str" cm="1">
        <f t="array" ref="CU102">IF(B102="","",IF(LEN(D102)&lt;=6,_xlfn.LET(_xlpm.n,VALUE(D102)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2" s="39" t="s">
        <v>888</v>
      </c>
      <c r="CW102" s="39" t="s">
        <v>888</v>
      </c>
      <c r="CX102" s="39" t="s">
        <v>888</v>
      </c>
      <c r="CY102" s="7" t="s">
        <v>888</v>
      </c>
      <c r="CZ102" s="39" t="s">
        <v>888</v>
      </c>
      <c r="DA102" s="39" t="s">
        <v>888</v>
      </c>
      <c r="DB102" s="39" t="s">
        <v>888</v>
      </c>
      <c r="DC102" s="7" t="s">
        <v>888</v>
      </c>
      <c r="DD102" s="7" t="s">
        <v>888</v>
      </c>
      <c r="DE102" s="7" t="s">
        <v>888</v>
      </c>
      <c r="DF102" s="7" t="s">
        <v>888</v>
      </c>
      <c r="DG102" s="7" t="s">
        <v>888</v>
      </c>
      <c r="DH102" s="39" t="s">
        <v>888</v>
      </c>
      <c r="DI102" s="7" t="s">
        <v>888</v>
      </c>
      <c r="DJ102" s="7" t="s">
        <v>888</v>
      </c>
      <c r="DK102" s="7" t="s">
        <v>888</v>
      </c>
      <c r="DL102" s="7" t="s">
        <v>888</v>
      </c>
      <c r="DM102" s="7" t="s">
        <v>888</v>
      </c>
      <c r="DN102" s="7" t="s">
        <v>888</v>
      </c>
      <c r="DO102" s="7" t="s">
        <v>888</v>
      </c>
      <c r="DP102" s="7" t="s">
        <v>888</v>
      </c>
      <c r="DQ102" s="7" t="s">
        <v>888</v>
      </c>
      <c r="DR102" s="7" t="s">
        <v>888</v>
      </c>
      <c r="DS102" s="7" t="s">
        <v>888</v>
      </c>
      <c r="DT102" s="15" t="str" cm="1">
        <f t="array" ref="DT102">IF(B102="","",_xlfn.TEXTJOIN("",,HEX2BIN(MID(BQ102,_xlfn.SEQUENCE(40),1),4)))</f>
        <v/>
      </c>
    </row>
    <row r="103" spans="1:124" x14ac:dyDescent="0.25">
      <c r="A103" s="9">
        <v>102</v>
      </c>
      <c r="B103" s="15" t="s">
        <v>888</v>
      </c>
      <c r="C103" s="15" t="s">
        <v>888</v>
      </c>
      <c r="D103" s="6" t="s">
        <v>888</v>
      </c>
      <c r="E103" s="6" t="s">
        <v>888</v>
      </c>
      <c r="F103" s="10" t="s">
        <v>888</v>
      </c>
      <c r="G103" s="9" t="s">
        <v>888</v>
      </c>
      <c r="H103" s="9" t="s">
        <v>888</v>
      </c>
      <c r="I103" s="15" t="s">
        <v>888</v>
      </c>
      <c r="J103" s="9" t="s">
        <v>888</v>
      </c>
      <c r="K103" s="15" t="s">
        <v>888</v>
      </c>
      <c r="L103" s="15" t="s">
        <v>888</v>
      </c>
      <c r="M103" s="15" t="s">
        <v>888</v>
      </c>
      <c r="N103" s="15" t="s">
        <v>888</v>
      </c>
      <c r="O103" s="6" t="s">
        <v>888</v>
      </c>
      <c r="P103" s="15" t="s">
        <v>888</v>
      </c>
      <c r="Q103" s="15" t="s">
        <v>888</v>
      </c>
      <c r="R103" s="6" t="s">
        <v>888</v>
      </c>
      <c r="S103" s="15" t="s">
        <v>888</v>
      </c>
      <c r="T103" s="11" t="s">
        <v>888</v>
      </c>
      <c r="U103" s="10" t="s">
        <v>888</v>
      </c>
      <c r="V103" s="7" t="s">
        <v>888</v>
      </c>
      <c r="W103" s="7" t="s">
        <v>888</v>
      </c>
      <c r="X103" s="7" t="s">
        <v>888</v>
      </c>
      <c r="Y103" s="15" t="s">
        <v>888</v>
      </c>
      <c r="Z103" s="9" t="s">
        <v>888</v>
      </c>
      <c r="AA103" s="9" t="s">
        <v>888</v>
      </c>
      <c r="AB103" s="9" t="s">
        <v>888</v>
      </c>
      <c r="AC103" s="13" t="s">
        <v>888</v>
      </c>
      <c r="AD103" s="13" t="s">
        <v>888</v>
      </c>
      <c r="AE103" s="9" t="s">
        <v>888</v>
      </c>
      <c r="AF103" s="9" t="s">
        <v>888</v>
      </c>
      <c r="AG103" s="9" t="s">
        <v>888</v>
      </c>
      <c r="AH103" s="6" t="s">
        <v>888</v>
      </c>
      <c r="AI103" s="10" t="s">
        <v>888</v>
      </c>
      <c r="AJ103" s="10" t="s">
        <v>888</v>
      </c>
      <c r="AK103" s="15" t="s">
        <v>888</v>
      </c>
      <c r="AL103" s="15" t="s">
        <v>888</v>
      </c>
      <c r="AM103" s="15" t="s">
        <v>888</v>
      </c>
      <c r="AN103" s="9" t="s">
        <v>888</v>
      </c>
      <c r="AO103" s="9" t="s">
        <v>888</v>
      </c>
      <c r="AP103" s="9" t="s">
        <v>888</v>
      </c>
      <c r="AQ103" s="15" t="s">
        <v>888</v>
      </c>
      <c r="AR103" s="9" t="s">
        <v>888</v>
      </c>
      <c r="AS103" s="6" t="s">
        <v>888</v>
      </c>
      <c r="AT103" s="15" t="s">
        <v>888</v>
      </c>
      <c r="AU103" s="9" t="s">
        <v>888</v>
      </c>
      <c r="AV103" s="9" t="s">
        <v>888</v>
      </c>
      <c r="AW103" s="9" t="s">
        <v>888</v>
      </c>
      <c r="AX103" s="9" t="s">
        <v>888</v>
      </c>
      <c r="AY103" s="9" t="s">
        <v>888</v>
      </c>
      <c r="AZ103" s="9" t="s">
        <v>888</v>
      </c>
      <c r="BA103" s="6" t="s">
        <v>888</v>
      </c>
      <c r="BB103" s="6" t="s">
        <v>888</v>
      </c>
      <c r="BC103" s="6" t="s">
        <v>888</v>
      </c>
      <c r="BD103" s="15" t="s">
        <v>888</v>
      </c>
      <c r="BE103" s="15" t="s">
        <v>888</v>
      </c>
      <c r="BF103" s="15" t="s">
        <v>888</v>
      </c>
      <c r="BG103" s="15" t="s">
        <v>888</v>
      </c>
      <c r="BH103" s="6" t="s">
        <v>888</v>
      </c>
      <c r="BI103" s="17" t="s">
        <v>888</v>
      </c>
      <c r="BJ103" s="7" t="s">
        <v>888</v>
      </c>
      <c r="BK103" s="7" t="s">
        <v>888</v>
      </c>
      <c r="BL103" s="7" t="s">
        <v>888</v>
      </c>
      <c r="BM103" s="16" t="s">
        <v>888</v>
      </c>
      <c r="BN103" s="16" t="s">
        <v>888</v>
      </c>
      <c r="BO103" s="16" t="s">
        <v>888</v>
      </c>
      <c r="BP103" s="16" t="s">
        <v>888</v>
      </c>
      <c r="BQ103" s="16" t="s">
        <v>888</v>
      </c>
      <c r="BR103" s="7" t="s">
        <v>888</v>
      </c>
      <c r="BS103" s="7" t="s">
        <v>888</v>
      </c>
      <c r="BT103" s="7" t="s">
        <v>888</v>
      </c>
      <c r="BU103" s="14" t="s">
        <v>888</v>
      </c>
      <c r="BV103" s="15" t="s">
        <v>888</v>
      </c>
      <c r="BW103" s="9" t="s">
        <v>888</v>
      </c>
      <c r="BX103" s="9" t="s">
        <v>888</v>
      </c>
      <c r="BY103" s="13" t="s">
        <v>888</v>
      </c>
      <c r="BZ103" s="13" t="s">
        <v>888</v>
      </c>
      <c r="CA103" s="12" t="str">
        <f>IF(B103="","",IF(A103&lt;8,"",_xlfn.LET(_xlpm.n,A103,_xlpm.k,G103,_xlpm.R,AP103,_xlpm.mu,1+2*_xlpm.k*(_xlpm.n-_xlpm.k)/_xlpm.n,_xlpm.v,2*_xlpm.k*(_xlpm.n-_xlpm.k)*(2*_xlpm.k*(_xlpm.n-_xlpm.k)-_xlpm.n)/(_xlpm.n^2*(_xlpm.n-1)),IF(_xlpm.v&lt;=0,"",(_xlpm.R-_xlpm.mu)/SQRT(_xlpm.v)))))</f>
        <v/>
      </c>
      <c r="CB103" s="37" t="str" cm="1">
        <f t="array" ref="CB103">IF(B103="","",IF(A103&lt;8,"",_xlfn.LET(_xlpm.b,--MID(C103,_xlfn.SEQUENCE(A103-1),1),_xlpm.c,--MID(C103,_xlfn.SEQUENCE(A103-1,,2),1),IFERROR(CORREL(_xlpm.b,_xlpm.c),""))))</f>
        <v/>
      </c>
      <c r="CC103" s="8" t="str">
        <f>IF(B103="","",LOG(A103,2))</f>
        <v/>
      </c>
      <c r="CD103" s="8" t="str">
        <f>IF(B103="","",MAX(AN103,AO103)-CC103)</f>
        <v/>
      </c>
      <c r="CE103" s="8" t="str" cm="1">
        <f t="array" ref="CE103">IF(B103="","",IF(LEN(B103)&lt;16,"",_xlfn.LET(_xlpm.d,MID("0123456789abcdef",_xlfn.SEQUENCE(16),1),_xlpm.c,LEN(B103)-LEN(SUBSTITUTE(B103,_xlpm.d,"")),_xlpm.ex,LEN(B103)/16,SUM((_xlpm.c-_xlpm.ex)^2/_xlpm.ex))))</f>
        <v/>
      </c>
      <c r="CF103" s="37" t="str">
        <f>IF(CE103="","",_xlfn.CHISQ.DIST.RT(CE103,15))</f>
        <v/>
      </c>
      <c r="CG103" s="9" t="str" cm="1">
        <f t="array" ref="CG103">IF(OR(B103="",B102=""),"",_xlfn.LET(_xlpm.a,C103,_xlpm.b,REPT("0",A103-LEN(C102))&amp;C102,_xlpm.m,MID(_xlpm.a,_xlfn.SEQUENCE(A103),1)=MID(_xlpm.b,_xlfn.SEQUENCE(A103),1),IFERROR(MATCH(FALSE,_xlpm.m,0)-1,A103)))</f>
        <v/>
      </c>
      <c r="CH103" s="9" t="str" cm="1">
        <f t="array" ref="CH103">IF(OR(B103="",B102=""),"",_xlfn.LET(_xlpm.a,C103,_xlpm.b,REPT("0",A103-LEN(C102))&amp;C102,_xlpm.n,A103,_xlpm.m,MID(_xlpm.a,_xlfn.SEQUENCE(_xlpm.n,,_xlpm.n,-1),1)=MID(_xlpm.b,_xlfn.SEQUENCE(_xlpm.n,,_xlpm.n,-1),1),IFERROR(MATCH(FALSE,_xlpm.m,0)-1,_xlpm.n)))</f>
        <v/>
      </c>
      <c r="CI103" s="38" t="str">
        <f>IF(OR(B103="",B102=""),"",F103-F102)</f>
        <v/>
      </c>
      <c r="CJ103" s="5" t="str">
        <f>IF(OR(B103="",B102=""),"",IFERROR(FIND(B102,B103)&gt;0,FALSE))</f>
        <v/>
      </c>
      <c r="CK103" s="5" t="str">
        <f>IF(OR(B103="",B102=""),"",IFERROR(FIND(C102,C103)&gt;0,FALSE))</f>
        <v/>
      </c>
      <c r="CL103" s="9" t="str">
        <f>IF(OR(B103="",B102=""),"",IFERROR(FIND(C102,C103),""))</f>
        <v/>
      </c>
      <c r="CM103" s="6" t="str" cm="1">
        <f t="array" ref="CM103">IF(OR(B103="",B102=""),"",_xlfn.LET(_xlpm.pv,D102,_xlpm.ra,BIGSUB(D103,_xlpm.pv),_xlpm.rb,BIGSUB(_xlpm.ra,_xlpm.pv),_xlpm.rc,BIGSUB(_xlpm.rb,_xlpm.pv),IF(LEFT(_xlpm.rb,1)="-",_xlpm.ra,IF(LEFT(_xlpm.rc,1)="-",_xlpm.rb,_xlpm.rc))))</f>
        <v/>
      </c>
      <c r="CN103" s="38" t="str">
        <f>IF(B103="","",F103-0.5)</f>
        <v/>
      </c>
      <c r="CO103" s="15" t="str" cm="1">
        <f t="array" ref="CO103">IF(B103="","",_xlfn.TEXTJOIN("",,MID(B103,_xlfn.SEQUENCE(LEN(B103),,LEN(B103),-1),1)))</f>
        <v/>
      </c>
      <c r="CP103" s="6" t="str" cm="1">
        <f t="array" ref="CP103">IF(B103="","",BASE2DEC(CO103,16))</f>
        <v/>
      </c>
      <c r="CQ103" s="5" t="str">
        <f>IF(B103="","",IF(AND(LEN(B103)&lt;16,LEN(B103)=LEN(SUBSTITUTE(SUBSTITUTE(SUBSTITUTE(SUBSTITUTE(SUBSTITUTE(SUBSTITUTE(B103,"a",""),"b",""),"c",""),"d",""),"e",""),"f",""))),--B103,""))</f>
        <v/>
      </c>
      <c r="CR103" s="6" t="str" cm="1">
        <f t="array" ref="CR103">IF(B103="","",IF(LEN(D103)&lt;=15,BASE2DEC(D103,16),""))</f>
        <v/>
      </c>
      <c r="CS103" s="15" t="str" cm="1">
        <f t="array" ref="CS103">IF(B103="","",_xlfn.LET(_xlpm.p,REPT("0",MOD(-LEN(B103),4))&amp;B103,_xlfn.TEXTJOIN(" ",,MID(_xlpm.p,_xlfn.SEQUENCE(LEN(_xlpm.p)/4,,1,4),4))))</f>
        <v/>
      </c>
      <c r="CT103" s="15" t="str" cm="1">
        <f t="array" ref="CT103">IF(B103="","",UPPER(_xlfn.LET(_xlpm.p,REPT("0",64-LEN(B103))&amp;B103,_xlfn.TEXTJOIN(" ",,MID(_xlpm.p,_xlfn.SEQUENCE(8,,1,8),8)))))</f>
        <v/>
      </c>
      <c r="CU103" s="6" t="str" cm="1">
        <f t="array" ref="CU103">IF(B103="","",IF(LEN(D103)&lt;=6,_xlfn.LET(_xlpm.n,VALUE(D103)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3" s="39" t="s">
        <v>888</v>
      </c>
      <c r="CW103" s="39" t="s">
        <v>888</v>
      </c>
      <c r="CX103" s="39" t="s">
        <v>888</v>
      </c>
      <c r="CY103" s="7" t="s">
        <v>888</v>
      </c>
      <c r="CZ103" s="39" t="s">
        <v>888</v>
      </c>
      <c r="DA103" s="39" t="s">
        <v>888</v>
      </c>
      <c r="DB103" s="39" t="s">
        <v>888</v>
      </c>
      <c r="DC103" s="7" t="s">
        <v>888</v>
      </c>
      <c r="DD103" s="7" t="s">
        <v>888</v>
      </c>
      <c r="DE103" s="7" t="s">
        <v>888</v>
      </c>
      <c r="DF103" s="7" t="s">
        <v>888</v>
      </c>
      <c r="DG103" s="7" t="s">
        <v>888</v>
      </c>
      <c r="DH103" s="39" t="s">
        <v>888</v>
      </c>
      <c r="DI103" s="7" t="s">
        <v>888</v>
      </c>
      <c r="DJ103" s="7" t="s">
        <v>888</v>
      </c>
      <c r="DK103" s="7" t="s">
        <v>888</v>
      </c>
      <c r="DL103" s="7" t="s">
        <v>888</v>
      </c>
      <c r="DM103" s="7" t="s">
        <v>888</v>
      </c>
      <c r="DN103" s="7" t="s">
        <v>888</v>
      </c>
      <c r="DO103" s="7" t="s">
        <v>888</v>
      </c>
      <c r="DP103" s="7" t="s">
        <v>888</v>
      </c>
      <c r="DQ103" s="7" t="s">
        <v>888</v>
      </c>
      <c r="DR103" s="7" t="s">
        <v>888</v>
      </c>
      <c r="DS103" s="7" t="s">
        <v>888</v>
      </c>
      <c r="DT103" s="15" t="str" cm="1">
        <f t="array" ref="DT103">IF(B103="","",_xlfn.TEXTJOIN("",,HEX2BIN(MID(BQ103,_xlfn.SEQUENCE(40),1),4)))</f>
        <v/>
      </c>
    </row>
    <row r="104" spans="1:124" x14ac:dyDescent="0.25">
      <c r="A104" s="9">
        <v>103</v>
      </c>
      <c r="B104" s="15" t="s">
        <v>888</v>
      </c>
      <c r="C104" s="15" t="s">
        <v>888</v>
      </c>
      <c r="D104" s="6" t="s">
        <v>888</v>
      </c>
      <c r="E104" s="6" t="s">
        <v>888</v>
      </c>
      <c r="F104" s="10" t="s">
        <v>888</v>
      </c>
      <c r="G104" s="9" t="s">
        <v>888</v>
      </c>
      <c r="H104" s="9" t="s">
        <v>888</v>
      </c>
      <c r="I104" s="15" t="s">
        <v>888</v>
      </c>
      <c r="J104" s="9" t="s">
        <v>888</v>
      </c>
      <c r="K104" s="15" t="s">
        <v>888</v>
      </c>
      <c r="L104" s="15" t="s">
        <v>888</v>
      </c>
      <c r="M104" s="15" t="s">
        <v>888</v>
      </c>
      <c r="N104" s="15" t="s">
        <v>888</v>
      </c>
      <c r="O104" s="6" t="s">
        <v>888</v>
      </c>
      <c r="P104" s="15" t="s">
        <v>888</v>
      </c>
      <c r="Q104" s="15" t="s">
        <v>888</v>
      </c>
      <c r="R104" s="6" t="s">
        <v>888</v>
      </c>
      <c r="S104" s="15" t="s">
        <v>888</v>
      </c>
      <c r="T104" s="11" t="s">
        <v>888</v>
      </c>
      <c r="U104" s="10" t="s">
        <v>888</v>
      </c>
      <c r="V104" s="7" t="s">
        <v>888</v>
      </c>
      <c r="W104" s="7" t="s">
        <v>888</v>
      </c>
      <c r="X104" s="7" t="s">
        <v>888</v>
      </c>
      <c r="Y104" s="15" t="s">
        <v>888</v>
      </c>
      <c r="Z104" s="9" t="s">
        <v>888</v>
      </c>
      <c r="AA104" s="9" t="s">
        <v>888</v>
      </c>
      <c r="AB104" s="9" t="s">
        <v>888</v>
      </c>
      <c r="AC104" s="13" t="s">
        <v>888</v>
      </c>
      <c r="AD104" s="13" t="s">
        <v>888</v>
      </c>
      <c r="AE104" s="9" t="s">
        <v>888</v>
      </c>
      <c r="AF104" s="9" t="s">
        <v>888</v>
      </c>
      <c r="AG104" s="9" t="s">
        <v>888</v>
      </c>
      <c r="AH104" s="6" t="s">
        <v>888</v>
      </c>
      <c r="AI104" s="10" t="s">
        <v>888</v>
      </c>
      <c r="AJ104" s="10" t="s">
        <v>888</v>
      </c>
      <c r="AK104" s="15" t="s">
        <v>888</v>
      </c>
      <c r="AL104" s="15" t="s">
        <v>888</v>
      </c>
      <c r="AM104" s="15" t="s">
        <v>888</v>
      </c>
      <c r="AN104" s="9" t="s">
        <v>888</v>
      </c>
      <c r="AO104" s="9" t="s">
        <v>888</v>
      </c>
      <c r="AP104" s="9" t="s">
        <v>888</v>
      </c>
      <c r="AQ104" s="15" t="s">
        <v>888</v>
      </c>
      <c r="AR104" s="9" t="s">
        <v>888</v>
      </c>
      <c r="AS104" s="6" t="s">
        <v>888</v>
      </c>
      <c r="AT104" s="15" t="s">
        <v>888</v>
      </c>
      <c r="AU104" s="9" t="s">
        <v>888</v>
      </c>
      <c r="AV104" s="9" t="s">
        <v>888</v>
      </c>
      <c r="AW104" s="9" t="s">
        <v>888</v>
      </c>
      <c r="AX104" s="9" t="s">
        <v>888</v>
      </c>
      <c r="AY104" s="9" t="s">
        <v>888</v>
      </c>
      <c r="AZ104" s="9" t="s">
        <v>888</v>
      </c>
      <c r="BA104" s="6" t="s">
        <v>888</v>
      </c>
      <c r="BB104" s="6" t="s">
        <v>888</v>
      </c>
      <c r="BC104" s="6" t="s">
        <v>888</v>
      </c>
      <c r="BD104" s="15" t="s">
        <v>888</v>
      </c>
      <c r="BE104" s="15" t="s">
        <v>888</v>
      </c>
      <c r="BF104" s="15" t="s">
        <v>888</v>
      </c>
      <c r="BG104" s="15" t="s">
        <v>888</v>
      </c>
      <c r="BH104" s="6" t="s">
        <v>888</v>
      </c>
      <c r="BI104" s="17" t="s">
        <v>888</v>
      </c>
      <c r="BJ104" s="7" t="s">
        <v>888</v>
      </c>
      <c r="BK104" s="7" t="s">
        <v>888</v>
      </c>
      <c r="BL104" s="7" t="s">
        <v>888</v>
      </c>
      <c r="BM104" s="16" t="s">
        <v>888</v>
      </c>
      <c r="BN104" s="16" t="s">
        <v>888</v>
      </c>
      <c r="BO104" s="16" t="s">
        <v>888</v>
      </c>
      <c r="BP104" s="16" t="s">
        <v>888</v>
      </c>
      <c r="BQ104" s="16" t="s">
        <v>888</v>
      </c>
      <c r="BR104" s="7" t="s">
        <v>888</v>
      </c>
      <c r="BS104" s="7" t="s">
        <v>888</v>
      </c>
      <c r="BT104" s="7" t="s">
        <v>888</v>
      </c>
      <c r="BU104" s="14" t="s">
        <v>888</v>
      </c>
      <c r="BV104" s="15" t="s">
        <v>888</v>
      </c>
      <c r="BW104" s="9" t="s">
        <v>888</v>
      </c>
      <c r="BX104" s="9" t="s">
        <v>888</v>
      </c>
      <c r="BY104" s="13" t="s">
        <v>888</v>
      </c>
      <c r="BZ104" s="13" t="s">
        <v>888</v>
      </c>
      <c r="CA104" s="12" t="str">
        <f>IF(B104="","",IF(A104&lt;8,"",_xlfn.LET(_xlpm.n,A104,_xlpm.k,G104,_xlpm.R,AP104,_xlpm.mu,1+2*_xlpm.k*(_xlpm.n-_xlpm.k)/_xlpm.n,_xlpm.v,2*_xlpm.k*(_xlpm.n-_xlpm.k)*(2*_xlpm.k*(_xlpm.n-_xlpm.k)-_xlpm.n)/(_xlpm.n^2*(_xlpm.n-1)),IF(_xlpm.v&lt;=0,"",(_xlpm.R-_xlpm.mu)/SQRT(_xlpm.v)))))</f>
        <v/>
      </c>
      <c r="CB104" s="37" t="str" cm="1">
        <f t="array" ref="CB104">IF(B104="","",IF(A104&lt;8,"",_xlfn.LET(_xlpm.b,--MID(C104,_xlfn.SEQUENCE(A104-1),1),_xlpm.c,--MID(C104,_xlfn.SEQUENCE(A104-1,,2),1),IFERROR(CORREL(_xlpm.b,_xlpm.c),""))))</f>
        <v/>
      </c>
      <c r="CC104" s="8" t="str">
        <f>IF(B104="","",LOG(A104,2))</f>
        <v/>
      </c>
      <c r="CD104" s="8" t="str">
        <f>IF(B104="","",MAX(AN104,AO104)-CC104)</f>
        <v/>
      </c>
      <c r="CE104" s="8" t="str" cm="1">
        <f t="array" ref="CE104">IF(B104="","",IF(LEN(B104)&lt;16,"",_xlfn.LET(_xlpm.d,MID("0123456789abcdef",_xlfn.SEQUENCE(16),1),_xlpm.c,LEN(B104)-LEN(SUBSTITUTE(B104,_xlpm.d,"")),_xlpm.ex,LEN(B104)/16,SUM((_xlpm.c-_xlpm.ex)^2/_xlpm.ex))))</f>
        <v/>
      </c>
      <c r="CF104" s="37" t="str">
        <f>IF(CE104="","",_xlfn.CHISQ.DIST.RT(CE104,15))</f>
        <v/>
      </c>
      <c r="CG104" s="9" t="str" cm="1">
        <f t="array" ref="CG104">IF(OR(B104="",B103=""),"",_xlfn.LET(_xlpm.a,C104,_xlpm.b,REPT("0",A104-LEN(C103))&amp;C103,_xlpm.m,MID(_xlpm.a,_xlfn.SEQUENCE(A104),1)=MID(_xlpm.b,_xlfn.SEQUENCE(A104),1),IFERROR(MATCH(FALSE,_xlpm.m,0)-1,A104)))</f>
        <v/>
      </c>
      <c r="CH104" s="9" t="str" cm="1">
        <f t="array" ref="CH104">IF(OR(B104="",B103=""),"",_xlfn.LET(_xlpm.a,C104,_xlpm.b,REPT("0",A104-LEN(C103))&amp;C103,_xlpm.n,A104,_xlpm.m,MID(_xlpm.a,_xlfn.SEQUENCE(_xlpm.n,,_xlpm.n,-1),1)=MID(_xlpm.b,_xlfn.SEQUENCE(_xlpm.n,,_xlpm.n,-1),1),IFERROR(MATCH(FALSE,_xlpm.m,0)-1,_xlpm.n)))</f>
        <v/>
      </c>
      <c r="CI104" s="38" t="str">
        <f>IF(OR(B104="",B103=""),"",F104-F103)</f>
        <v/>
      </c>
      <c r="CJ104" s="5" t="str">
        <f>IF(OR(B104="",B103=""),"",IFERROR(FIND(B103,B104)&gt;0,FALSE))</f>
        <v/>
      </c>
      <c r="CK104" s="5" t="str">
        <f>IF(OR(B104="",B103=""),"",IFERROR(FIND(C103,C104)&gt;0,FALSE))</f>
        <v/>
      </c>
      <c r="CL104" s="9" t="str">
        <f>IF(OR(B104="",B103=""),"",IFERROR(FIND(C103,C104),""))</f>
        <v/>
      </c>
      <c r="CM104" s="6" t="str" cm="1">
        <f t="array" ref="CM104">IF(OR(B104="",B103=""),"",_xlfn.LET(_xlpm.pv,D103,_xlpm.ra,BIGSUB(D104,_xlpm.pv),_xlpm.rb,BIGSUB(_xlpm.ra,_xlpm.pv),_xlpm.rc,BIGSUB(_xlpm.rb,_xlpm.pv),IF(LEFT(_xlpm.rb,1)="-",_xlpm.ra,IF(LEFT(_xlpm.rc,1)="-",_xlpm.rb,_xlpm.rc))))</f>
        <v/>
      </c>
      <c r="CN104" s="38" t="str">
        <f>IF(B104="","",F104-0.5)</f>
        <v/>
      </c>
      <c r="CO104" s="15" t="str" cm="1">
        <f t="array" ref="CO104">IF(B104="","",_xlfn.TEXTJOIN("",,MID(B104,_xlfn.SEQUENCE(LEN(B104),,LEN(B104),-1),1)))</f>
        <v/>
      </c>
      <c r="CP104" s="6" t="str" cm="1">
        <f t="array" ref="CP104">IF(B104="","",BASE2DEC(CO104,16))</f>
        <v/>
      </c>
      <c r="CQ104" s="5" t="str">
        <f>IF(B104="","",IF(AND(LEN(B104)&lt;16,LEN(B104)=LEN(SUBSTITUTE(SUBSTITUTE(SUBSTITUTE(SUBSTITUTE(SUBSTITUTE(SUBSTITUTE(B104,"a",""),"b",""),"c",""),"d",""),"e",""),"f",""))),--B104,""))</f>
        <v/>
      </c>
      <c r="CR104" s="6" t="str" cm="1">
        <f t="array" ref="CR104">IF(B104="","",IF(LEN(D104)&lt;=15,BASE2DEC(D104,16),""))</f>
        <v/>
      </c>
      <c r="CS104" s="15" t="str" cm="1">
        <f t="array" ref="CS104">IF(B104="","",_xlfn.LET(_xlpm.p,REPT("0",MOD(-LEN(B104),4))&amp;B104,_xlfn.TEXTJOIN(" ",,MID(_xlpm.p,_xlfn.SEQUENCE(LEN(_xlpm.p)/4,,1,4),4))))</f>
        <v/>
      </c>
      <c r="CT104" s="15" t="str" cm="1">
        <f t="array" ref="CT104">IF(B104="","",UPPER(_xlfn.LET(_xlpm.p,REPT("0",64-LEN(B104))&amp;B104,_xlfn.TEXTJOIN(" ",,MID(_xlpm.p,_xlfn.SEQUENCE(8,,1,8),8)))))</f>
        <v/>
      </c>
      <c r="CU104" s="6" t="str" cm="1">
        <f t="array" ref="CU104">IF(B104="","",IF(LEN(D104)&lt;=6,_xlfn.LET(_xlpm.n,VALUE(D104)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4" s="39" t="s">
        <v>888</v>
      </c>
      <c r="CW104" s="39" t="s">
        <v>888</v>
      </c>
      <c r="CX104" s="39" t="s">
        <v>888</v>
      </c>
      <c r="CY104" s="7" t="s">
        <v>888</v>
      </c>
      <c r="CZ104" s="39" t="s">
        <v>888</v>
      </c>
      <c r="DA104" s="39" t="s">
        <v>888</v>
      </c>
      <c r="DB104" s="39" t="s">
        <v>888</v>
      </c>
      <c r="DC104" s="7" t="s">
        <v>888</v>
      </c>
      <c r="DD104" s="7" t="s">
        <v>888</v>
      </c>
      <c r="DE104" s="7" t="s">
        <v>888</v>
      </c>
      <c r="DF104" s="7" t="s">
        <v>888</v>
      </c>
      <c r="DG104" s="7" t="s">
        <v>888</v>
      </c>
      <c r="DH104" s="39" t="s">
        <v>888</v>
      </c>
      <c r="DI104" s="7" t="s">
        <v>888</v>
      </c>
      <c r="DJ104" s="7" t="s">
        <v>888</v>
      </c>
      <c r="DK104" s="7" t="s">
        <v>888</v>
      </c>
      <c r="DL104" s="7" t="s">
        <v>888</v>
      </c>
      <c r="DM104" s="7" t="s">
        <v>888</v>
      </c>
      <c r="DN104" s="7" t="s">
        <v>888</v>
      </c>
      <c r="DO104" s="7" t="s">
        <v>888</v>
      </c>
      <c r="DP104" s="7" t="s">
        <v>888</v>
      </c>
      <c r="DQ104" s="7" t="s">
        <v>888</v>
      </c>
      <c r="DR104" s="7" t="s">
        <v>888</v>
      </c>
      <c r="DS104" s="7" t="s">
        <v>888</v>
      </c>
      <c r="DT104" s="15" t="str" cm="1">
        <f t="array" ref="DT104">IF(B104="","",_xlfn.TEXTJOIN("",,HEX2BIN(MID(BQ104,_xlfn.SEQUENCE(40),1),4)))</f>
        <v/>
      </c>
    </row>
    <row r="105" spans="1:124" x14ac:dyDescent="0.25">
      <c r="A105" s="9">
        <v>104</v>
      </c>
      <c r="B105" s="15" t="s">
        <v>888</v>
      </c>
      <c r="C105" s="15" t="s">
        <v>888</v>
      </c>
      <c r="D105" s="6" t="s">
        <v>888</v>
      </c>
      <c r="E105" s="6" t="s">
        <v>888</v>
      </c>
      <c r="F105" s="10" t="s">
        <v>888</v>
      </c>
      <c r="G105" s="9" t="s">
        <v>888</v>
      </c>
      <c r="H105" s="9" t="s">
        <v>888</v>
      </c>
      <c r="I105" s="15" t="s">
        <v>888</v>
      </c>
      <c r="J105" s="9" t="s">
        <v>888</v>
      </c>
      <c r="K105" s="15" t="s">
        <v>888</v>
      </c>
      <c r="L105" s="15" t="s">
        <v>888</v>
      </c>
      <c r="M105" s="15" t="s">
        <v>888</v>
      </c>
      <c r="N105" s="15" t="s">
        <v>888</v>
      </c>
      <c r="O105" s="6" t="s">
        <v>888</v>
      </c>
      <c r="P105" s="15" t="s">
        <v>888</v>
      </c>
      <c r="Q105" s="15" t="s">
        <v>888</v>
      </c>
      <c r="R105" s="6" t="s">
        <v>888</v>
      </c>
      <c r="S105" s="15" t="s">
        <v>888</v>
      </c>
      <c r="T105" s="11" t="s">
        <v>888</v>
      </c>
      <c r="U105" s="10" t="s">
        <v>888</v>
      </c>
      <c r="V105" s="7" t="s">
        <v>888</v>
      </c>
      <c r="W105" s="7" t="s">
        <v>888</v>
      </c>
      <c r="X105" s="7" t="s">
        <v>888</v>
      </c>
      <c r="Y105" s="15" t="s">
        <v>888</v>
      </c>
      <c r="Z105" s="9" t="s">
        <v>888</v>
      </c>
      <c r="AA105" s="9" t="s">
        <v>888</v>
      </c>
      <c r="AB105" s="9" t="s">
        <v>888</v>
      </c>
      <c r="AC105" s="13" t="s">
        <v>888</v>
      </c>
      <c r="AD105" s="13" t="s">
        <v>888</v>
      </c>
      <c r="AE105" s="9" t="s">
        <v>888</v>
      </c>
      <c r="AF105" s="9" t="s">
        <v>888</v>
      </c>
      <c r="AG105" s="9" t="s">
        <v>888</v>
      </c>
      <c r="AH105" s="6" t="s">
        <v>888</v>
      </c>
      <c r="AI105" s="10" t="s">
        <v>888</v>
      </c>
      <c r="AJ105" s="10" t="s">
        <v>888</v>
      </c>
      <c r="AK105" s="15" t="s">
        <v>888</v>
      </c>
      <c r="AL105" s="15" t="s">
        <v>888</v>
      </c>
      <c r="AM105" s="15" t="s">
        <v>888</v>
      </c>
      <c r="AN105" s="9" t="s">
        <v>888</v>
      </c>
      <c r="AO105" s="9" t="s">
        <v>888</v>
      </c>
      <c r="AP105" s="9" t="s">
        <v>888</v>
      </c>
      <c r="AQ105" s="15" t="s">
        <v>888</v>
      </c>
      <c r="AR105" s="9" t="s">
        <v>888</v>
      </c>
      <c r="AS105" s="6" t="s">
        <v>888</v>
      </c>
      <c r="AT105" s="15" t="s">
        <v>888</v>
      </c>
      <c r="AU105" s="9" t="s">
        <v>888</v>
      </c>
      <c r="AV105" s="9" t="s">
        <v>888</v>
      </c>
      <c r="AW105" s="9" t="s">
        <v>888</v>
      </c>
      <c r="AX105" s="9" t="s">
        <v>888</v>
      </c>
      <c r="AY105" s="9" t="s">
        <v>888</v>
      </c>
      <c r="AZ105" s="9" t="s">
        <v>888</v>
      </c>
      <c r="BA105" s="6" t="s">
        <v>888</v>
      </c>
      <c r="BB105" s="6" t="s">
        <v>888</v>
      </c>
      <c r="BC105" s="6" t="s">
        <v>888</v>
      </c>
      <c r="BD105" s="15" t="s">
        <v>888</v>
      </c>
      <c r="BE105" s="15" t="s">
        <v>888</v>
      </c>
      <c r="BF105" s="15" t="s">
        <v>888</v>
      </c>
      <c r="BG105" s="15" t="s">
        <v>888</v>
      </c>
      <c r="BH105" s="6" t="s">
        <v>888</v>
      </c>
      <c r="BI105" s="17" t="s">
        <v>888</v>
      </c>
      <c r="BJ105" s="7" t="s">
        <v>888</v>
      </c>
      <c r="BK105" s="7" t="s">
        <v>888</v>
      </c>
      <c r="BL105" s="7" t="s">
        <v>888</v>
      </c>
      <c r="BM105" s="16" t="s">
        <v>888</v>
      </c>
      <c r="BN105" s="16" t="s">
        <v>888</v>
      </c>
      <c r="BO105" s="16" t="s">
        <v>888</v>
      </c>
      <c r="BP105" s="16" t="s">
        <v>888</v>
      </c>
      <c r="BQ105" s="16" t="s">
        <v>888</v>
      </c>
      <c r="BR105" s="7" t="s">
        <v>888</v>
      </c>
      <c r="BS105" s="7" t="s">
        <v>888</v>
      </c>
      <c r="BT105" s="7" t="s">
        <v>888</v>
      </c>
      <c r="BU105" s="14" t="s">
        <v>888</v>
      </c>
      <c r="BV105" s="15" t="s">
        <v>888</v>
      </c>
      <c r="BW105" s="9" t="s">
        <v>888</v>
      </c>
      <c r="BX105" s="9" t="s">
        <v>888</v>
      </c>
      <c r="BY105" s="13" t="s">
        <v>888</v>
      </c>
      <c r="BZ105" s="13" t="s">
        <v>888</v>
      </c>
      <c r="CA105" s="12" t="str">
        <f>IF(B105="","",IF(A105&lt;8,"",_xlfn.LET(_xlpm.n,A105,_xlpm.k,G105,_xlpm.R,AP105,_xlpm.mu,1+2*_xlpm.k*(_xlpm.n-_xlpm.k)/_xlpm.n,_xlpm.v,2*_xlpm.k*(_xlpm.n-_xlpm.k)*(2*_xlpm.k*(_xlpm.n-_xlpm.k)-_xlpm.n)/(_xlpm.n^2*(_xlpm.n-1)),IF(_xlpm.v&lt;=0,"",(_xlpm.R-_xlpm.mu)/SQRT(_xlpm.v)))))</f>
        <v/>
      </c>
      <c r="CB105" s="37" t="str" cm="1">
        <f t="array" ref="CB105">IF(B105="","",IF(A105&lt;8,"",_xlfn.LET(_xlpm.b,--MID(C105,_xlfn.SEQUENCE(A105-1),1),_xlpm.c,--MID(C105,_xlfn.SEQUENCE(A105-1,,2),1),IFERROR(CORREL(_xlpm.b,_xlpm.c),""))))</f>
        <v/>
      </c>
      <c r="CC105" s="8" t="str">
        <f>IF(B105="","",LOG(A105,2))</f>
        <v/>
      </c>
      <c r="CD105" s="8" t="str">
        <f>IF(B105="","",MAX(AN105,AO105)-CC105)</f>
        <v/>
      </c>
      <c r="CE105" s="8" t="str" cm="1">
        <f t="array" ref="CE105">IF(B105="","",IF(LEN(B105)&lt;16,"",_xlfn.LET(_xlpm.d,MID("0123456789abcdef",_xlfn.SEQUENCE(16),1),_xlpm.c,LEN(B105)-LEN(SUBSTITUTE(B105,_xlpm.d,"")),_xlpm.ex,LEN(B105)/16,SUM((_xlpm.c-_xlpm.ex)^2/_xlpm.ex))))</f>
        <v/>
      </c>
      <c r="CF105" s="37" t="str">
        <f>IF(CE105="","",_xlfn.CHISQ.DIST.RT(CE105,15))</f>
        <v/>
      </c>
      <c r="CG105" s="9" t="str" cm="1">
        <f t="array" ref="CG105">IF(OR(B105="",B104=""),"",_xlfn.LET(_xlpm.a,C105,_xlpm.b,REPT("0",A105-LEN(C104))&amp;C104,_xlpm.m,MID(_xlpm.a,_xlfn.SEQUENCE(A105),1)=MID(_xlpm.b,_xlfn.SEQUENCE(A105),1),IFERROR(MATCH(FALSE,_xlpm.m,0)-1,A105)))</f>
        <v/>
      </c>
      <c r="CH105" s="9" t="str" cm="1">
        <f t="array" ref="CH105">IF(OR(B105="",B104=""),"",_xlfn.LET(_xlpm.a,C105,_xlpm.b,REPT("0",A105-LEN(C104))&amp;C104,_xlpm.n,A105,_xlpm.m,MID(_xlpm.a,_xlfn.SEQUENCE(_xlpm.n,,_xlpm.n,-1),1)=MID(_xlpm.b,_xlfn.SEQUENCE(_xlpm.n,,_xlpm.n,-1),1),IFERROR(MATCH(FALSE,_xlpm.m,0)-1,_xlpm.n)))</f>
        <v/>
      </c>
      <c r="CI105" s="38" t="str">
        <f>IF(OR(B105="",B104=""),"",F105-F104)</f>
        <v/>
      </c>
      <c r="CJ105" s="5" t="str">
        <f>IF(OR(B105="",B104=""),"",IFERROR(FIND(B104,B105)&gt;0,FALSE))</f>
        <v/>
      </c>
      <c r="CK105" s="5" t="str">
        <f>IF(OR(B105="",B104=""),"",IFERROR(FIND(C104,C105)&gt;0,FALSE))</f>
        <v/>
      </c>
      <c r="CL105" s="9" t="str">
        <f>IF(OR(B105="",B104=""),"",IFERROR(FIND(C104,C105),""))</f>
        <v/>
      </c>
      <c r="CM105" s="6" t="str" cm="1">
        <f t="array" ref="CM105">IF(OR(B105="",B104=""),"",_xlfn.LET(_xlpm.pv,D104,_xlpm.ra,BIGSUB(D105,_xlpm.pv),_xlpm.rb,BIGSUB(_xlpm.ra,_xlpm.pv),_xlpm.rc,BIGSUB(_xlpm.rb,_xlpm.pv),IF(LEFT(_xlpm.rb,1)="-",_xlpm.ra,IF(LEFT(_xlpm.rc,1)="-",_xlpm.rb,_xlpm.rc))))</f>
        <v/>
      </c>
      <c r="CN105" s="38" t="str">
        <f>IF(B105="","",F105-0.5)</f>
        <v/>
      </c>
      <c r="CO105" s="15" t="str" cm="1">
        <f t="array" ref="CO105">IF(B105="","",_xlfn.TEXTJOIN("",,MID(B105,_xlfn.SEQUENCE(LEN(B105),,LEN(B105),-1),1)))</f>
        <v/>
      </c>
      <c r="CP105" s="6" t="str" cm="1">
        <f t="array" ref="CP105">IF(B105="","",BASE2DEC(CO105,16))</f>
        <v/>
      </c>
      <c r="CQ105" s="5" t="str">
        <f>IF(B105="","",IF(AND(LEN(B105)&lt;16,LEN(B105)=LEN(SUBSTITUTE(SUBSTITUTE(SUBSTITUTE(SUBSTITUTE(SUBSTITUTE(SUBSTITUTE(B105,"a",""),"b",""),"c",""),"d",""),"e",""),"f",""))),--B105,""))</f>
        <v/>
      </c>
      <c r="CR105" s="6" t="str" cm="1">
        <f t="array" ref="CR105">IF(B105="","",IF(LEN(D105)&lt;=15,BASE2DEC(D105,16),""))</f>
        <v/>
      </c>
      <c r="CS105" s="15" t="str" cm="1">
        <f t="array" ref="CS105">IF(B105="","",_xlfn.LET(_xlpm.p,REPT("0",MOD(-LEN(B105),4))&amp;B105,_xlfn.TEXTJOIN(" ",,MID(_xlpm.p,_xlfn.SEQUENCE(LEN(_xlpm.p)/4,,1,4),4))))</f>
        <v/>
      </c>
      <c r="CT105" s="15" t="str" cm="1">
        <f t="array" ref="CT105">IF(B105="","",UPPER(_xlfn.LET(_xlpm.p,REPT("0",64-LEN(B105))&amp;B105,_xlfn.TEXTJOIN(" ",,MID(_xlpm.p,_xlfn.SEQUENCE(8,,1,8),8)))))</f>
        <v/>
      </c>
      <c r="CU105" s="6" t="str" cm="1">
        <f t="array" ref="CU105">IF(B105="","",IF(LEN(D105)&lt;=6,_xlfn.LET(_xlpm.n,VALUE(D105)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5" s="39" t="s">
        <v>888</v>
      </c>
      <c r="CW105" s="39" t="s">
        <v>888</v>
      </c>
      <c r="CX105" s="39" t="s">
        <v>888</v>
      </c>
      <c r="CY105" s="7" t="s">
        <v>888</v>
      </c>
      <c r="CZ105" s="39" t="s">
        <v>888</v>
      </c>
      <c r="DA105" s="39" t="s">
        <v>888</v>
      </c>
      <c r="DB105" s="39" t="s">
        <v>888</v>
      </c>
      <c r="DC105" s="7" t="s">
        <v>888</v>
      </c>
      <c r="DD105" s="7" t="s">
        <v>888</v>
      </c>
      <c r="DE105" s="7" t="s">
        <v>888</v>
      </c>
      <c r="DF105" s="7" t="s">
        <v>888</v>
      </c>
      <c r="DG105" s="7" t="s">
        <v>888</v>
      </c>
      <c r="DH105" s="39" t="s">
        <v>888</v>
      </c>
      <c r="DI105" s="7" t="s">
        <v>888</v>
      </c>
      <c r="DJ105" s="7" t="s">
        <v>888</v>
      </c>
      <c r="DK105" s="7" t="s">
        <v>888</v>
      </c>
      <c r="DL105" s="7" t="s">
        <v>888</v>
      </c>
      <c r="DM105" s="7" t="s">
        <v>888</v>
      </c>
      <c r="DN105" s="7" t="s">
        <v>888</v>
      </c>
      <c r="DO105" s="7" t="s">
        <v>888</v>
      </c>
      <c r="DP105" s="7" t="s">
        <v>888</v>
      </c>
      <c r="DQ105" s="7" t="s">
        <v>888</v>
      </c>
      <c r="DR105" s="7" t="s">
        <v>888</v>
      </c>
      <c r="DS105" s="7" t="s">
        <v>888</v>
      </c>
      <c r="DT105" s="15" t="str" cm="1">
        <f t="array" ref="DT105">IF(B105="","",_xlfn.TEXTJOIN("",,HEX2BIN(MID(BQ105,_xlfn.SEQUENCE(40),1),4)))</f>
        <v/>
      </c>
    </row>
    <row r="106" spans="1:124" x14ac:dyDescent="0.25">
      <c r="A106" s="9">
        <v>105</v>
      </c>
      <c r="B106" s="15" t="s">
        <v>4221</v>
      </c>
      <c r="C106" s="15" t="s">
        <v>4222</v>
      </c>
      <c r="D106" s="6" t="s">
        <v>4223</v>
      </c>
      <c r="E106" s="6" t="s">
        <v>4224</v>
      </c>
      <c r="F106" s="10">
        <v>0.43391395367944147</v>
      </c>
      <c r="G106" s="9">
        <v>58</v>
      </c>
      <c r="H106" s="9">
        <v>0</v>
      </c>
      <c r="I106" s="15" t="s">
        <v>888</v>
      </c>
      <c r="J106" s="9" t="s">
        <v>888</v>
      </c>
      <c r="K106" s="15" t="s">
        <v>4225</v>
      </c>
      <c r="L106" s="15" t="s">
        <v>4226</v>
      </c>
      <c r="M106" s="15" t="s">
        <v>4227</v>
      </c>
      <c r="N106" s="15" t="s">
        <v>4228</v>
      </c>
      <c r="O106" s="6" t="s">
        <v>4229</v>
      </c>
      <c r="P106" s="15" t="s">
        <v>4230</v>
      </c>
      <c r="Q106" s="15" t="s">
        <v>4231</v>
      </c>
      <c r="R106" s="6" t="s">
        <v>4232</v>
      </c>
      <c r="S106" s="15" t="s">
        <v>4233</v>
      </c>
      <c r="T106" s="11" t="s">
        <v>888</v>
      </c>
      <c r="U106" s="10">
        <v>0.55238095238095242</v>
      </c>
      <c r="V106" s="7" t="s">
        <v>907</v>
      </c>
      <c r="W106" s="7" t="s">
        <v>908</v>
      </c>
      <c r="X106" s="7" t="s">
        <v>909</v>
      </c>
      <c r="Y106" s="15" t="s">
        <v>4234</v>
      </c>
      <c r="Z106" s="9">
        <v>50</v>
      </c>
      <c r="AA106" s="9">
        <v>54</v>
      </c>
      <c r="AB106" s="9">
        <v>84</v>
      </c>
      <c r="AC106" s="13">
        <v>-0.4879500364742666</v>
      </c>
      <c r="AD106" s="13">
        <v>0.29277002188455997</v>
      </c>
      <c r="AE106" s="9">
        <v>32</v>
      </c>
      <c r="AF106" s="9">
        <v>139</v>
      </c>
      <c r="AG106" s="9">
        <v>4</v>
      </c>
      <c r="AH106" s="6" t="s">
        <v>4235</v>
      </c>
      <c r="AI106" s="10">
        <v>104.51995845338115</v>
      </c>
      <c r="AJ106" s="10">
        <v>102.79548088578321</v>
      </c>
      <c r="AK106" s="15" t="s">
        <v>4236</v>
      </c>
      <c r="AL106" s="15" t="s">
        <v>4237</v>
      </c>
      <c r="AM106" s="15" t="s">
        <v>4238</v>
      </c>
      <c r="AN106" s="9">
        <v>6</v>
      </c>
      <c r="AO106" s="9">
        <v>6</v>
      </c>
      <c r="AP106" s="9">
        <v>49</v>
      </c>
      <c r="AQ106" s="15" t="s">
        <v>4239</v>
      </c>
      <c r="AR106" s="9">
        <v>15</v>
      </c>
      <c r="AS106" s="6" t="s">
        <v>987</v>
      </c>
      <c r="AT106" s="15" t="s">
        <v>4240</v>
      </c>
      <c r="AU106" s="9">
        <v>1</v>
      </c>
      <c r="AV106" s="9">
        <v>0</v>
      </c>
      <c r="AW106" s="9">
        <v>6</v>
      </c>
      <c r="AX106" s="9">
        <v>0</v>
      </c>
      <c r="AY106" s="9">
        <v>243</v>
      </c>
      <c r="AZ106" s="9">
        <v>15859</v>
      </c>
      <c r="BA106" s="6" t="s">
        <v>888</v>
      </c>
      <c r="BB106" s="6" t="s">
        <v>888</v>
      </c>
      <c r="BC106" s="6" t="s">
        <v>4241</v>
      </c>
      <c r="BD106" s="15" t="s">
        <v>4242</v>
      </c>
      <c r="BE106" s="15" t="s">
        <v>4243</v>
      </c>
      <c r="BF106" s="15" t="s">
        <v>4244</v>
      </c>
      <c r="BG106" s="15" t="s">
        <v>4245</v>
      </c>
      <c r="BH106" s="6" t="s">
        <v>4246</v>
      </c>
      <c r="BI106" s="17" t="s">
        <v>888</v>
      </c>
      <c r="BJ106" s="7" t="s">
        <v>1812</v>
      </c>
      <c r="BK106" s="7" t="s">
        <v>1813</v>
      </c>
      <c r="BL106" s="7" t="s">
        <v>1814</v>
      </c>
      <c r="BM106" s="16" t="s">
        <v>1815</v>
      </c>
      <c r="BN106" s="16" t="s">
        <v>1816</v>
      </c>
      <c r="BO106" s="16" t="s">
        <v>1817</v>
      </c>
      <c r="BP106" s="16" t="s">
        <v>1818</v>
      </c>
      <c r="BQ106" s="16" t="s">
        <v>1819</v>
      </c>
      <c r="BR106" s="7" t="s">
        <v>1820</v>
      </c>
      <c r="BS106" s="7" t="s">
        <v>1821</v>
      </c>
      <c r="BT106" s="7" t="s">
        <v>1822</v>
      </c>
      <c r="BU106" s="14">
        <v>2.5116767765811609E-46</v>
      </c>
      <c r="BV106" s="15" t="s">
        <v>4247</v>
      </c>
      <c r="BW106" s="9">
        <v>41</v>
      </c>
      <c r="BX106" s="9">
        <v>50</v>
      </c>
      <c r="BY106" s="13">
        <v>-2.2445701677816263</v>
      </c>
      <c r="BZ106" s="13">
        <v>-0.4879500364742666</v>
      </c>
      <c r="CA106" s="12">
        <f>IF(B106="","",IF(A106&lt;8,"",_xlfn.LET(_xlpm.n,A106,_xlpm.k,G106,_xlpm.R,AP106,_xlpm.mu,1+2*_xlpm.k*(_xlpm.n-_xlpm.k)/_xlpm.n,_xlpm.v,2*_xlpm.k*(_xlpm.n-_xlpm.k)*(2*_xlpm.k*(_xlpm.n-_xlpm.k)-_xlpm.n)/(_xlpm.n^2*(_xlpm.n-1)),IF(_xlpm.v&lt;=0,"",(_xlpm.R-_xlpm.mu)/SQRT(_xlpm.v)))))</f>
        <v>-0.77818144285108692</v>
      </c>
      <c r="CB106" s="37" cm="1">
        <f t="array" ref="CB106">IF(B106="","",IF(A106&lt;8,"",_xlfn.LET(_xlpm.b,--MID(C106,_xlfn.SEQUENCE(A106-1),1),_xlpm.c,--MID(C106,_xlfn.SEQUENCE(A106-1,,2),1),IFERROR(CORREL(_xlpm.b,_xlpm.c),""))))</f>
        <v>6.8309070548712436E-2</v>
      </c>
      <c r="CC106" s="8">
        <f>IF(B106="","",LOG(A106,2))</f>
        <v>6.7142455176661224</v>
      </c>
      <c r="CD106" s="8">
        <f>IF(B106="","",MAX(AN106,AO106)-CC106)</f>
        <v>-0.71424551766612243</v>
      </c>
      <c r="CE106" s="8" cm="1">
        <f t="array" ref="CE106">IF(B106="","",IF(LEN(B106)&lt;16,"",_xlfn.LET(_xlpm.d,MID("0123456789abcdef",_xlfn.SEQUENCE(16),1),_xlpm.c,LEN(B106)-LEN(SUBSTITUTE(B106,_xlpm.d,"")),_xlpm.ex,LEN(B106)/16,SUM((_xlpm.c-_xlpm.ex)^2/_xlpm.ex))))</f>
        <v>9.1481481481481488</v>
      </c>
      <c r="CF106" s="37">
        <f>IF(CE106="","",_xlfn.CHISQ.DIST.RT(CE106,15))</f>
        <v>0.8696446263278621</v>
      </c>
      <c r="CG106" s="9" t="str" cm="1">
        <f t="array" ref="CG106">IF(OR(B106="",B105=""),"",_xlfn.LET(_xlpm.a,C106,_xlpm.b,REPT("0",A106-LEN(C105))&amp;C105,_xlpm.m,MID(_xlpm.a,_xlfn.SEQUENCE(A106),1)=MID(_xlpm.b,_xlfn.SEQUENCE(A106),1),IFERROR(MATCH(FALSE,_xlpm.m,0)-1,A106)))</f>
        <v/>
      </c>
      <c r="CH106" s="9" t="str" cm="1">
        <f t="array" ref="CH106">IF(OR(B106="",B105=""),"",_xlfn.LET(_xlpm.a,C106,_xlpm.b,REPT("0",A106-LEN(C105))&amp;C105,_xlpm.n,A106,_xlpm.m,MID(_xlpm.a,_xlfn.SEQUENCE(_xlpm.n,,_xlpm.n,-1),1)=MID(_xlpm.b,_xlfn.SEQUENCE(_xlpm.n,,_xlpm.n,-1),1),IFERROR(MATCH(FALSE,_xlpm.m,0)-1,_xlpm.n)))</f>
        <v/>
      </c>
      <c r="CI106" s="38" t="str">
        <f>IF(OR(B106="",B105=""),"",F106-F105)</f>
        <v/>
      </c>
      <c r="CJ106" s="5" t="str">
        <f>IF(OR(B106="",B105=""),"",IFERROR(FIND(B105,B106)&gt;0,FALSE))</f>
        <v/>
      </c>
      <c r="CK106" s="5" t="str">
        <f>IF(OR(B106="",B105=""),"",IFERROR(FIND(C105,C106)&gt;0,FALSE))</f>
        <v/>
      </c>
      <c r="CL106" s="9" t="str">
        <f>IF(OR(B106="",B105=""),"",IFERROR(FIND(C105,C106),""))</f>
        <v/>
      </c>
      <c r="CM106" s="6" t="str" cm="1">
        <f t="array" ref="CM106">IF(OR(B106="",B105=""),"",_xlfn.LET(_xlpm.pv,D105,_xlpm.ra,BIGSUB(D106,_xlpm.pv),_xlpm.rb,BIGSUB(_xlpm.ra,_xlpm.pv),_xlpm.rc,BIGSUB(_xlpm.rb,_xlpm.pv),IF(LEFT(_xlpm.rb,1)="-",_xlpm.ra,IF(LEFT(_xlpm.rc,1)="-",_xlpm.rb,_xlpm.rc))))</f>
        <v/>
      </c>
      <c r="CN106" s="38">
        <f>IF(B106="","",F106-0.5)</f>
        <v>-6.6086046320558534E-2</v>
      </c>
      <c r="CO106" s="15" t="str" cm="1">
        <f t="array" ref="CO106">IF(B106="","",_xlfn.TEXTJOIN("",,MID(B106,_xlfn.SEQUENCE(LEN(B106),,LEN(B106),-1),1)))</f>
        <v>3fd33b6936ee78dc4502cf41f61</v>
      </c>
      <c r="CP106" s="6" t="str" cm="1">
        <f t="array" ref="CP106">IF(B106="","",BASE2DEC(CO106,16))</f>
        <v>80907958383297647182012138921825</v>
      </c>
      <c r="CQ106" s="5" t="str">
        <f>IF(B106="","",IF(AND(LEN(B106)&lt;16,LEN(B106)=LEN(SUBSTITUTE(SUBSTITUTE(SUBSTITUTE(SUBSTITUTE(SUBSTITUTE(SUBSTITUTE(B106,"a",""),"b",""),"c",""),"d",""),"e",""),"f",""))),--B106,""))</f>
        <v/>
      </c>
      <c r="CR106" s="6" t="str" cm="1">
        <f t="array" ref="CR106">IF(B106="","",IF(LEN(D106)&lt;=15,BASE2DEC(D106,16),""))</f>
        <v/>
      </c>
      <c r="CS106" s="15" t="str" cm="1">
        <f t="array" ref="CS106">IF(B106="","",_xlfn.LET(_xlpm.p,REPT("0",MOD(-LEN(B106),4))&amp;B106,_xlfn.TEXTJOIN(" ",,MID(_xlpm.p,_xlfn.SEQUENCE(LEN(_xlpm.p)/4,,1,4),4))))</f>
        <v>016f 14fc 2054 cd87 ee63 96b3 3df3</v>
      </c>
      <c r="CT106" s="15" t="str" cm="1">
        <f t="array" ref="CT106">IF(B106="","",UPPER(_xlfn.LET(_xlpm.p,REPT("0",64-LEN(B106))&amp;B106,_xlfn.TEXTJOIN(" ",,MID(_xlpm.p,_xlfn.SEQUENCE(8,,1,8),8)))))</f>
        <v>00000000 00000000 00000000 00000000 0000016F 14FC2054 CD87EE63 96B33DF3</v>
      </c>
      <c r="CU106" s="6" t="str" cm="1">
        <f t="array" ref="CU106">IF(B106="","",IF(LEN(D106)&lt;=6,_xlfn.LET(_xlpm.n,VALUE(D106)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6" s="39" t="s">
        <v>4444</v>
      </c>
      <c r="CW106" s="39" t="s">
        <v>2104</v>
      </c>
      <c r="CX106" s="39" t="s">
        <v>4777</v>
      </c>
      <c r="CY106" s="7" t="s">
        <v>4869</v>
      </c>
      <c r="CZ106" s="39" t="s">
        <v>4444</v>
      </c>
      <c r="DA106" s="39" t="s">
        <v>4444</v>
      </c>
      <c r="DB106" s="39">
        <v>104</v>
      </c>
      <c r="DC106" s="7" t="s">
        <v>4870</v>
      </c>
      <c r="DD106" s="7" t="s">
        <v>4871</v>
      </c>
      <c r="DE106" s="7" t="s">
        <v>4872</v>
      </c>
      <c r="DF106" s="7" t="s">
        <v>4873</v>
      </c>
      <c r="DG106" s="7" t="s">
        <v>4874</v>
      </c>
      <c r="DH106" s="39" t="s">
        <v>4448</v>
      </c>
      <c r="DI106" s="7" t="s">
        <v>5683</v>
      </c>
      <c r="DJ106" s="7" t="s">
        <v>5684</v>
      </c>
      <c r="DK106" s="7" t="s">
        <v>5685</v>
      </c>
      <c r="DL106" s="7" t="s">
        <v>5686</v>
      </c>
      <c r="DM106" s="7" t="s">
        <v>5687</v>
      </c>
      <c r="DN106" s="7" t="s">
        <v>5688</v>
      </c>
      <c r="DO106" s="7" t="s">
        <v>5689</v>
      </c>
      <c r="DP106" s="7" t="s">
        <v>5690</v>
      </c>
      <c r="DQ106" s="7" t="s">
        <v>5691</v>
      </c>
      <c r="DR106" s="7" t="s">
        <v>5692</v>
      </c>
      <c r="DS106" s="7" t="s">
        <v>5831</v>
      </c>
      <c r="DT106" s="15" t="str" cm="1">
        <f t="array" ref="DT106">IF(B106="","",_xlfn.TEXTJOIN("",,HEX2BIN(MID(BQ106,_xlfn.SEQUENCE(40),1),4)))</f>
        <v>1011110001000100001100011011110010100111110101111000110111111110011101000110100010010111111101110011100010111000000101010000010110110011001010000000110111000100</v>
      </c>
    </row>
    <row r="107" spans="1:124" x14ac:dyDescent="0.25">
      <c r="A107" s="9">
        <v>106</v>
      </c>
      <c r="B107" s="15" t="s">
        <v>888</v>
      </c>
      <c r="C107" s="15" t="s">
        <v>888</v>
      </c>
      <c r="D107" s="6" t="s">
        <v>888</v>
      </c>
      <c r="E107" s="6" t="s">
        <v>888</v>
      </c>
      <c r="F107" s="10" t="s">
        <v>888</v>
      </c>
      <c r="G107" s="9" t="s">
        <v>888</v>
      </c>
      <c r="H107" s="9" t="s">
        <v>888</v>
      </c>
      <c r="I107" s="15" t="s">
        <v>888</v>
      </c>
      <c r="J107" s="9" t="s">
        <v>888</v>
      </c>
      <c r="K107" s="15" t="s">
        <v>888</v>
      </c>
      <c r="L107" s="15" t="s">
        <v>888</v>
      </c>
      <c r="M107" s="15" t="s">
        <v>888</v>
      </c>
      <c r="N107" s="15" t="s">
        <v>888</v>
      </c>
      <c r="O107" s="6" t="s">
        <v>888</v>
      </c>
      <c r="P107" s="15" t="s">
        <v>888</v>
      </c>
      <c r="Q107" s="15" t="s">
        <v>888</v>
      </c>
      <c r="R107" s="6" t="s">
        <v>888</v>
      </c>
      <c r="S107" s="15" t="s">
        <v>888</v>
      </c>
      <c r="T107" s="11" t="s">
        <v>888</v>
      </c>
      <c r="U107" s="10" t="s">
        <v>888</v>
      </c>
      <c r="V107" s="7" t="s">
        <v>888</v>
      </c>
      <c r="W107" s="7" t="s">
        <v>888</v>
      </c>
      <c r="X107" s="7" t="s">
        <v>888</v>
      </c>
      <c r="Y107" s="15" t="s">
        <v>888</v>
      </c>
      <c r="Z107" s="9" t="s">
        <v>888</v>
      </c>
      <c r="AA107" s="9" t="s">
        <v>888</v>
      </c>
      <c r="AB107" s="9" t="s">
        <v>888</v>
      </c>
      <c r="AC107" s="13" t="s">
        <v>888</v>
      </c>
      <c r="AD107" s="13" t="s">
        <v>888</v>
      </c>
      <c r="AE107" s="9" t="s">
        <v>888</v>
      </c>
      <c r="AF107" s="9" t="s">
        <v>888</v>
      </c>
      <c r="AG107" s="9" t="s">
        <v>888</v>
      </c>
      <c r="AH107" s="6" t="s">
        <v>888</v>
      </c>
      <c r="AI107" s="10" t="s">
        <v>888</v>
      </c>
      <c r="AJ107" s="10" t="s">
        <v>888</v>
      </c>
      <c r="AK107" s="15" t="s">
        <v>888</v>
      </c>
      <c r="AL107" s="15" t="s">
        <v>888</v>
      </c>
      <c r="AM107" s="15" t="s">
        <v>888</v>
      </c>
      <c r="AN107" s="9" t="s">
        <v>888</v>
      </c>
      <c r="AO107" s="9" t="s">
        <v>888</v>
      </c>
      <c r="AP107" s="9" t="s">
        <v>888</v>
      </c>
      <c r="AQ107" s="15" t="s">
        <v>888</v>
      </c>
      <c r="AR107" s="9" t="s">
        <v>888</v>
      </c>
      <c r="AS107" s="6" t="s">
        <v>888</v>
      </c>
      <c r="AT107" s="15" t="s">
        <v>888</v>
      </c>
      <c r="AU107" s="9" t="s">
        <v>888</v>
      </c>
      <c r="AV107" s="9" t="s">
        <v>888</v>
      </c>
      <c r="AW107" s="9" t="s">
        <v>888</v>
      </c>
      <c r="AX107" s="9" t="s">
        <v>888</v>
      </c>
      <c r="AY107" s="9" t="s">
        <v>888</v>
      </c>
      <c r="AZ107" s="9" t="s">
        <v>888</v>
      </c>
      <c r="BA107" s="6" t="s">
        <v>888</v>
      </c>
      <c r="BB107" s="6" t="s">
        <v>888</v>
      </c>
      <c r="BC107" s="6" t="s">
        <v>888</v>
      </c>
      <c r="BD107" s="15" t="s">
        <v>888</v>
      </c>
      <c r="BE107" s="15" t="s">
        <v>888</v>
      </c>
      <c r="BF107" s="15" t="s">
        <v>888</v>
      </c>
      <c r="BG107" s="15" t="s">
        <v>888</v>
      </c>
      <c r="BH107" s="6" t="s">
        <v>888</v>
      </c>
      <c r="BI107" s="17" t="s">
        <v>888</v>
      </c>
      <c r="BJ107" s="7" t="s">
        <v>888</v>
      </c>
      <c r="BK107" s="7" t="s">
        <v>888</v>
      </c>
      <c r="BL107" s="7" t="s">
        <v>888</v>
      </c>
      <c r="BM107" s="16" t="s">
        <v>888</v>
      </c>
      <c r="BN107" s="16" t="s">
        <v>888</v>
      </c>
      <c r="BO107" s="16" t="s">
        <v>888</v>
      </c>
      <c r="BP107" s="16" t="s">
        <v>888</v>
      </c>
      <c r="BQ107" s="16" t="s">
        <v>888</v>
      </c>
      <c r="BR107" s="7" t="s">
        <v>888</v>
      </c>
      <c r="BS107" s="7" t="s">
        <v>888</v>
      </c>
      <c r="BT107" s="7" t="s">
        <v>888</v>
      </c>
      <c r="BU107" s="14" t="s">
        <v>888</v>
      </c>
      <c r="BV107" s="15" t="s">
        <v>888</v>
      </c>
      <c r="BW107" s="9" t="s">
        <v>888</v>
      </c>
      <c r="BX107" s="9" t="s">
        <v>888</v>
      </c>
      <c r="BY107" s="13" t="s">
        <v>888</v>
      </c>
      <c r="BZ107" s="13" t="s">
        <v>888</v>
      </c>
      <c r="CA107" s="12" t="str">
        <f>IF(B107="","",IF(A107&lt;8,"",_xlfn.LET(_xlpm.n,A107,_xlpm.k,G107,_xlpm.R,AP107,_xlpm.mu,1+2*_xlpm.k*(_xlpm.n-_xlpm.k)/_xlpm.n,_xlpm.v,2*_xlpm.k*(_xlpm.n-_xlpm.k)*(2*_xlpm.k*(_xlpm.n-_xlpm.k)-_xlpm.n)/(_xlpm.n^2*(_xlpm.n-1)),IF(_xlpm.v&lt;=0,"",(_xlpm.R-_xlpm.mu)/SQRT(_xlpm.v)))))</f>
        <v/>
      </c>
      <c r="CB107" s="37" t="str" cm="1">
        <f t="array" ref="CB107">IF(B107="","",IF(A107&lt;8,"",_xlfn.LET(_xlpm.b,--MID(C107,_xlfn.SEQUENCE(A107-1),1),_xlpm.c,--MID(C107,_xlfn.SEQUENCE(A107-1,,2),1),IFERROR(CORREL(_xlpm.b,_xlpm.c),""))))</f>
        <v/>
      </c>
      <c r="CC107" s="8" t="str">
        <f>IF(B107="","",LOG(A107,2))</f>
        <v/>
      </c>
      <c r="CD107" s="8" t="str">
        <f>IF(B107="","",MAX(AN107,AO107)-CC107)</f>
        <v/>
      </c>
      <c r="CE107" s="8" t="str" cm="1">
        <f t="array" ref="CE107">IF(B107="","",IF(LEN(B107)&lt;16,"",_xlfn.LET(_xlpm.d,MID("0123456789abcdef",_xlfn.SEQUENCE(16),1),_xlpm.c,LEN(B107)-LEN(SUBSTITUTE(B107,_xlpm.d,"")),_xlpm.ex,LEN(B107)/16,SUM((_xlpm.c-_xlpm.ex)^2/_xlpm.ex))))</f>
        <v/>
      </c>
      <c r="CF107" s="37" t="str">
        <f>IF(CE107="","",_xlfn.CHISQ.DIST.RT(CE107,15))</f>
        <v/>
      </c>
      <c r="CG107" s="9" t="str" cm="1">
        <f t="array" ref="CG107">IF(OR(B107="",B106=""),"",_xlfn.LET(_xlpm.a,C107,_xlpm.b,REPT("0",A107-LEN(C106))&amp;C106,_xlpm.m,MID(_xlpm.a,_xlfn.SEQUENCE(A107),1)=MID(_xlpm.b,_xlfn.SEQUENCE(A107),1),IFERROR(MATCH(FALSE,_xlpm.m,0)-1,A107)))</f>
        <v/>
      </c>
      <c r="CH107" s="9" t="str" cm="1">
        <f t="array" ref="CH107">IF(OR(B107="",B106=""),"",_xlfn.LET(_xlpm.a,C107,_xlpm.b,REPT("0",A107-LEN(C106))&amp;C106,_xlpm.n,A107,_xlpm.m,MID(_xlpm.a,_xlfn.SEQUENCE(_xlpm.n,,_xlpm.n,-1),1)=MID(_xlpm.b,_xlfn.SEQUENCE(_xlpm.n,,_xlpm.n,-1),1),IFERROR(MATCH(FALSE,_xlpm.m,0)-1,_xlpm.n)))</f>
        <v/>
      </c>
      <c r="CI107" s="38" t="str">
        <f>IF(OR(B107="",B106=""),"",F107-F106)</f>
        <v/>
      </c>
      <c r="CJ107" s="5" t="str">
        <f>IF(OR(B107="",B106=""),"",IFERROR(FIND(B106,B107)&gt;0,FALSE))</f>
        <v/>
      </c>
      <c r="CK107" s="5" t="str">
        <f>IF(OR(B107="",B106=""),"",IFERROR(FIND(C106,C107)&gt;0,FALSE))</f>
        <v/>
      </c>
      <c r="CL107" s="9" t="str">
        <f>IF(OR(B107="",B106=""),"",IFERROR(FIND(C106,C107),""))</f>
        <v/>
      </c>
      <c r="CM107" s="6" t="str" cm="1">
        <f t="array" ref="CM107">IF(OR(B107="",B106=""),"",_xlfn.LET(_xlpm.pv,D106,_xlpm.ra,BIGSUB(D107,_xlpm.pv),_xlpm.rb,BIGSUB(_xlpm.ra,_xlpm.pv),_xlpm.rc,BIGSUB(_xlpm.rb,_xlpm.pv),IF(LEFT(_xlpm.rb,1)="-",_xlpm.ra,IF(LEFT(_xlpm.rc,1)="-",_xlpm.rb,_xlpm.rc))))</f>
        <v/>
      </c>
      <c r="CN107" s="38" t="str">
        <f>IF(B107="","",F107-0.5)</f>
        <v/>
      </c>
      <c r="CO107" s="15" t="str" cm="1">
        <f t="array" ref="CO107">IF(B107="","",_xlfn.TEXTJOIN("",,MID(B107,_xlfn.SEQUENCE(LEN(B107),,LEN(B107),-1),1)))</f>
        <v/>
      </c>
      <c r="CP107" s="6" t="str" cm="1">
        <f t="array" ref="CP107">IF(B107="","",BASE2DEC(CO107,16))</f>
        <v/>
      </c>
      <c r="CQ107" s="5" t="str">
        <f>IF(B107="","",IF(AND(LEN(B107)&lt;16,LEN(B107)=LEN(SUBSTITUTE(SUBSTITUTE(SUBSTITUTE(SUBSTITUTE(SUBSTITUTE(SUBSTITUTE(B107,"a",""),"b",""),"c",""),"d",""),"e",""),"f",""))),--B107,""))</f>
        <v/>
      </c>
      <c r="CR107" s="6" t="str" cm="1">
        <f t="array" ref="CR107">IF(B107="","",IF(LEN(D107)&lt;=15,BASE2DEC(D107,16),""))</f>
        <v/>
      </c>
      <c r="CS107" s="15" t="str" cm="1">
        <f t="array" ref="CS107">IF(B107="","",_xlfn.LET(_xlpm.p,REPT("0",MOD(-LEN(B107),4))&amp;B107,_xlfn.TEXTJOIN(" ",,MID(_xlpm.p,_xlfn.SEQUENCE(LEN(_xlpm.p)/4,,1,4),4))))</f>
        <v/>
      </c>
      <c r="CT107" s="15" t="str" cm="1">
        <f t="array" ref="CT107">IF(B107="","",UPPER(_xlfn.LET(_xlpm.p,REPT("0",64-LEN(B107))&amp;B107,_xlfn.TEXTJOIN(" ",,MID(_xlpm.p,_xlfn.SEQUENCE(8,,1,8),8)))))</f>
        <v/>
      </c>
      <c r="CU107" s="6" t="str" cm="1">
        <f t="array" ref="CU107">IF(B107="","",IF(LEN(D107)&lt;=6,_xlfn.LET(_xlpm.n,VALUE(D107)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7" s="39" t="s">
        <v>888</v>
      </c>
      <c r="CW107" s="39" t="s">
        <v>888</v>
      </c>
      <c r="CX107" s="39" t="s">
        <v>888</v>
      </c>
      <c r="CY107" s="7" t="s">
        <v>888</v>
      </c>
      <c r="CZ107" s="39" t="s">
        <v>888</v>
      </c>
      <c r="DA107" s="39" t="s">
        <v>888</v>
      </c>
      <c r="DB107" s="39" t="s">
        <v>888</v>
      </c>
      <c r="DC107" s="7" t="s">
        <v>888</v>
      </c>
      <c r="DD107" s="7" t="s">
        <v>888</v>
      </c>
      <c r="DE107" s="7" t="s">
        <v>888</v>
      </c>
      <c r="DF107" s="7" t="s">
        <v>888</v>
      </c>
      <c r="DG107" s="7" t="s">
        <v>888</v>
      </c>
      <c r="DH107" s="39" t="s">
        <v>888</v>
      </c>
      <c r="DI107" s="7" t="s">
        <v>888</v>
      </c>
      <c r="DJ107" s="7" t="s">
        <v>888</v>
      </c>
      <c r="DK107" s="7" t="s">
        <v>888</v>
      </c>
      <c r="DL107" s="7" t="s">
        <v>888</v>
      </c>
      <c r="DM107" s="7" t="s">
        <v>888</v>
      </c>
      <c r="DN107" s="7" t="s">
        <v>888</v>
      </c>
      <c r="DO107" s="7" t="s">
        <v>888</v>
      </c>
      <c r="DP107" s="7" t="s">
        <v>888</v>
      </c>
      <c r="DQ107" s="7" t="s">
        <v>888</v>
      </c>
      <c r="DR107" s="7" t="s">
        <v>888</v>
      </c>
      <c r="DS107" s="7" t="s">
        <v>888</v>
      </c>
      <c r="DT107" s="15" t="str" cm="1">
        <f t="array" ref="DT107">IF(B107="","",_xlfn.TEXTJOIN("",,HEX2BIN(MID(BQ107,_xlfn.SEQUENCE(40),1),4)))</f>
        <v/>
      </c>
    </row>
    <row r="108" spans="1:124" x14ac:dyDescent="0.25">
      <c r="A108" s="9">
        <v>107</v>
      </c>
      <c r="B108" s="15" t="s">
        <v>888</v>
      </c>
      <c r="C108" s="15" t="s">
        <v>888</v>
      </c>
      <c r="D108" s="6" t="s">
        <v>888</v>
      </c>
      <c r="E108" s="6" t="s">
        <v>888</v>
      </c>
      <c r="F108" s="10" t="s">
        <v>888</v>
      </c>
      <c r="G108" s="9" t="s">
        <v>888</v>
      </c>
      <c r="H108" s="9" t="s">
        <v>888</v>
      </c>
      <c r="I108" s="15" t="s">
        <v>888</v>
      </c>
      <c r="J108" s="9" t="s">
        <v>888</v>
      </c>
      <c r="K108" s="15" t="s">
        <v>888</v>
      </c>
      <c r="L108" s="15" t="s">
        <v>888</v>
      </c>
      <c r="M108" s="15" t="s">
        <v>888</v>
      </c>
      <c r="N108" s="15" t="s">
        <v>888</v>
      </c>
      <c r="O108" s="6" t="s">
        <v>888</v>
      </c>
      <c r="P108" s="15" t="s">
        <v>888</v>
      </c>
      <c r="Q108" s="15" t="s">
        <v>888</v>
      </c>
      <c r="R108" s="6" t="s">
        <v>888</v>
      </c>
      <c r="S108" s="15" t="s">
        <v>888</v>
      </c>
      <c r="T108" s="11" t="s">
        <v>888</v>
      </c>
      <c r="U108" s="10" t="s">
        <v>888</v>
      </c>
      <c r="V108" s="7" t="s">
        <v>888</v>
      </c>
      <c r="W108" s="7" t="s">
        <v>888</v>
      </c>
      <c r="X108" s="7" t="s">
        <v>888</v>
      </c>
      <c r="Y108" s="15" t="s">
        <v>888</v>
      </c>
      <c r="Z108" s="9" t="s">
        <v>888</v>
      </c>
      <c r="AA108" s="9" t="s">
        <v>888</v>
      </c>
      <c r="AB108" s="9" t="s">
        <v>888</v>
      </c>
      <c r="AC108" s="13" t="s">
        <v>888</v>
      </c>
      <c r="AD108" s="13" t="s">
        <v>888</v>
      </c>
      <c r="AE108" s="9" t="s">
        <v>888</v>
      </c>
      <c r="AF108" s="9" t="s">
        <v>888</v>
      </c>
      <c r="AG108" s="9" t="s">
        <v>888</v>
      </c>
      <c r="AH108" s="6" t="s">
        <v>888</v>
      </c>
      <c r="AI108" s="10" t="s">
        <v>888</v>
      </c>
      <c r="AJ108" s="10" t="s">
        <v>888</v>
      </c>
      <c r="AK108" s="15" t="s">
        <v>888</v>
      </c>
      <c r="AL108" s="15" t="s">
        <v>888</v>
      </c>
      <c r="AM108" s="15" t="s">
        <v>888</v>
      </c>
      <c r="AN108" s="9" t="s">
        <v>888</v>
      </c>
      <c r="AO108" s="9" t="s">
        <v>888</v>
      </c>
      <c r="AP108" s="9" t="s">
        <v>888</v>
      </c>
      <c r="AQ108" s="15" t="s">
        <v>888</v>
      </c>
      <c r="AR108" s="9" t="s">
        <v>888</v>
      </c>
      <c r="AS108" s="6" t="s">
        <v>888</v>
      </c>
      <c r="AT108" s="15" t="s">
        <v>888</v>
      </c>
      <c r="AU108" s="9" t="s">
        <v>888</v>
      </c>
      <c r="AV108" s="9" t="s">
        <v>888</v>
      </c>
      <c r="AW108" s="9" t="s">
        <v>888</v>
      </c>
      <c r="AX108" s="9" t="s">
        <v>888</v>
      </c>
      <c r="AY108" s="9" t="s">
        <v>888</v>
      </c>
      <c r="AZ108" s="9" t="s">
        <v>888</v>
      </c>
      <c r="BA108" s="6" t="s">
        <v>888</v>
      </c>
      <c r="BB108" s="6" t="s">
        <v>888</v>
      </c>
      <c r="BC108" s="6" t="s">
        <v>888</v>
      </c>
      <c r="BD108" s="15" t="s">
        <v>888</v>
      </c>
      <c r="BE108" s="15" t="s">
        <v>888</v>
      </c>
      <c r="BF108" s="15" t="s">
        <v>888</v>
      </c>
      <c r="BG108" s="15" t="s">
        <v>888</v>
      </c>
      <c r="BH108" s="6" t="s">
        <v>888</v>
      </c>
      <c r="BI108" s="17" t="s">
        <v>888</v>
      </c>
      <c r="BJ108" s="7" t="s">
        <v>888</v>
      </c>
      <c r="BK108" s="7" t="s">
        <v>888</v>
      </c>
      <c r="BL108" s="7" t="s">
        <v>888</v>
      </c>
      <c r="BM108" s="16" t="s">
        <v>888</v>
      </c>
      <c r="BN108" s="16" t="s">
        <v>888</v>
      </c>
      <c r="BO108" s="16" t="s">
        <v>888</v>
      </c>
      <c r="BP108" s="16" t="s">
        <v>888</v>
      </c>
      <c r="BQ108" s="16" t="s">
        <v>888</v>
      </c>
      <c r="BR108" s="7" t="s">
        <v>888</v>
      </c>
      <c r="BS108" s="7" t="s">
        <v>888</v>
      </c>
      <c r="BT108" s="7" t="s">
        <v>888</v>
      </c>
      <c r="BU108" s="14" t="s">
        <v>888</v>
      </c>
      <c r="BV108" s="15" t="s">
        <v>888</v>
      </c>
      <c r="BW108" s="9" t="s">
        <v>888</v>
      </c>
      <c r="BX108" s="9" t="s">
        <v>888</v>
      </c>
      <c r="BY108" s="13" t="s">
        <v>888</v>
      </c>
      <c r="BZ108" s="13" t="s">
        <v>888</v>
      </c>
      <c r="CA108" s="12" t="str">
        <f>IF(B108="","",IF(A108&lt;8,"",_xlfn.LET(_xlpm.n,A108,_xlpm.k,G108,_xlpm.R,AP108,_xlpm.mu,1+2*_xlpm.k*(_xlpm.n-_xlpm.k)/_xlpm.n,_xlpm.v,2*_xlpm.k*(_xlpm.n-_xlpm.k)*(2*_xlpm.k*(_xlpm.n-_xlpm.k)-_xlpm.n)/(_xlpm.n^2*(_xlpm.n-1)),IF(_xlpm.v&lt;=0,"",(_xlpm.R-_xlpm.mu)/SQRT(_xlpm.v)))))</f>
        <v/>
      </c>
      <c r="CB108" s="37" t="str" cm="1">
        <f t="array" ref="CB108">IF(B108="","",IF(A108&lt;8,"",_xlfn.LET(_xlpm.b,--MID(C108,_xlfn.SEQUENCE(A108-1),1),_xlpm.c,--MID(C108,_xlfn.SEQUENCE(A108-1,,2),1),IFERROR(CORREL(_xlpm.b,_xlpm.c),""))))</f>
        <v/>
      </c>
      <c r="CC108" s="8" t="str">
        <f>IF(B108="","",LOG(A108,2))</f>
        <v/>
      </c>
      <c r="CD108" s="8" t="str">
        <f>IF(B108="","",MAX(AN108,AO108)-CC108)</f>
        <v/>
      </c>
      <c r="CE108" s="8" t="str" cm="1">
        <f t="array" ref="CE108">IF(B108="","",IF(LEN(B108)&lt;16,"",_xlfn.LET(_xlpm.d,MID("0123456789abcdef",_xlfn.SEQUENCE(16),1),_xlpm.c,LEN(B108)-LEN(SUBSTITUTE(B108,_xlpm.d,"")),_xlpm.ex,LEN(B108)/16,SUM((_xlpm.c-_xlpm.ex)^2/_xlpm.ex))))</f>
        <v/>
      </c>
      <c r="CF108" s="37" t="str">
        <f>IF(CE108="","",_xlfn.CHISQ.DIST.RT(CE108,15))</f>
        <v/>
      </c>
      <c r="CG108" s="9" t="str" cm="1">
        <f t="array" ref="CG108">IF(OR(B108="",B107=""),"",_xlfn.LET(_xlpm.a,C108,_xlpm.b,REPT("0",A108-LEN(C107))&amp;C107,_xlpm.m,MID(_xlpm.a,_xlfn.SEQUENCE(A108),1)=MID(_xlpm.b,_xlfn.SEQUENCE(A108),1),IFERROR(MATCH(FALSE,_xlpm.m,0)-1,A108)))</f>
        <v/>
      </c>
      <c r="CH108" s="9" t="str" cm="1">
        <f t="array" ref="CH108">IF(OR(B108="",B107=""),"",_xlfn.LET(_xlpm.a,C108,_xlpm.b,REPT("0",A108-LEN(C107))&amp;C107,_xlpm.n,A108,_xlpm.m,MID(_xlpm.a,_xlfn.SEQUENCE(_xlpm.n,,_xlpm.n,-1),1)=MID(_xlpm.b,_xlfn.SEQUENCE(_xlpm.n,,_xlpm.n,-1),1),IFERROR(MATCH(FALSE,_xlpm.m,0)-1,_xlpm.n)))</f>
        <v/>
      </c>
      <c r="CI108" s="38" t="str">
        <f>IF(OR(B108="",B107=""),"",F108-F107)</f>
        <v/>
      </c>
      <c r="CJ108" s="5" t="str">
        <f>IF(OR(B108="",B107=""),"",IFERROR(FIND(B107,B108)&gt;0,FALSE))</f>
        <v/>
      </c>
      <c r="CK108" s="5" t="str">
        <f>IF(OR(B108="",B107=""),"",IFERROR(FIND(C107,C108)&gt;0,FALSE))</f>
        <v/>
      </c>
      <c r="CL108" s="9" t="str">
        <f>IF(OR(B108="",B107=""),"",IFERROR(FIND(C107,C108),""))</f>
        <v/>
      </c>
      <c r="CM108" s="6" t="str" cm="1">
        <f t="array" ref="CM108">IF(OR(B108="",B107=""),"",_xlfn.LET(_xlpm.pv,D107,_xlpm.ra,BIGSUB(D108,_xlpm.pv),_xlpm.rb,BIGSUB(_xlpm.ra,_xlpm.pv),_xlpm.rc,BIGSUB(_xlpm.rb,_xlpm.pv),IF(LEFT(_xlpm.rb,1)="-",_xlpm.ra,IF(LEFT(_xlpm.rc,1)="-",_xlpm.rb,_xlpm.rc))))</f>
        <v/>
      </c>
      <c r="CN108" s="38" t="str">
        <f>IF(B108="","",F108-0.5)</f>
        <v/>
      </c>
      <c r="CO108" s="15" t="str" cm="1">
        <f t="array" ref="CO108">IF(B108="","",_xlfn.TEXTJOIN("",,MID(B108,_xlfn.SEQUENCE(LEN(B108),,LEN(B108),-1),1)))</f>
        <v/>
      </c>
      <c r="CP108" s="6" t="str" cm="1">
        <f t="array" ref="CP108">IF(B108="","",BASE2DEC(CO108,16))</f>
        <v/>
      </c>
      <c r="CQ108" s="5" t="str">
        <f>IF(B108="","",IF(AND(LEN(B108)&lt;16,LEN(B108)=LEN(SUBSTITUTE(SUBSTITUTE(SUBSTITUTE(SUBSTITUTE(SUBSTITUTE(SUBSTITUTE(B108,"a",""),"b",""),"c",""),"d",""),"e",""),"f",""))),--B108,""))</f>
        <v/>
      </c>
      <c r="CR108" s="6" t="str" cm="1">
        <f t="array" ref="CR108">IF(B108="","",IF(LEN(D108)&lt;=15,BASE2DEC(D108,16),""))</f>
        <v/>
      </c>
      <c r="CS108" s="15" t="str" cm="1">
        <f t="array" ref="CS108">IF(B108="","",_xlfn.LET(_xlpm.p,REPT("0",MOD(-LEN(B108),4))&amp;B108,_xlfn.TEXTJOIN(" ",,MID(_xlpm.p,_xlfn.SEQUENCE(LEN(_xlpm.p)/4,,1,4),4))))</f>
        <v/>
      </c>
      <c r="CT108" s="15" t="str" cm="1">
        <f t="array" ref="CT108">IF(B108="","",UPPER(_xlfn.LET(_xlpm.p,REPT("0",64-LEN(B108))&amp;B108,_xlfn.TEXTJOIN(" ",,MID(_xlpm.p,_xlfn.SEQUENCE(8,,1,8),8)))))</f>
        <v/>
      </c>
      <c r="CU108" s="6" t="str" cm="1">
        <f t="array" ref="CU108">IF(B108="","",IF(LEN(D108)&lt;=6,_xlfn.LET(_xlpm.n,VALUE(D108)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8" s="39" t="s">
        <v>888</v>
      </c>
      <c r="CW108" s="39" t="s">
        <v>888</v>
      </c>
      <c r="CX108" s="39" t="s">
        <v>888</v>
      </c>
      <c r="CY108" s="7" t="s">
        <v>888</v>
      </c>
      <c r="CZ108" s="39" t="s">
        <v>888</v>
      </c>
      <c r="DA108" s="39" t="s">
        <v>888</v>
      </c>
      <c r="DB108" s="39" t="s">
        <v>888</v>
      </c>
      <c r="DC108" s="7" t="s">
        <v>888</v>
      </c>
      <c r="DD108" s="7" t="s">
        <v>888</v>
      </c>
      <c r="DE108" s="7" t="s">
        <v>888</v>
      </c>
      <c r="DF108" s="7" t="s">
        <v>888</v>
      </c>
      <c r="DG108" s="7" t="s">
        <v>888</v>
      </c>
      <c r="DH108" s="39" t="s">
        <v>888</v>
      </c>
      <c r="DI108" s="7" t="s">
        <v>888</v>
      </c>
      <c r="DJ108" s="7" t="s">
        <v>888</v>
      </c>
      <c r="DK108" s="7" t="s">
        <v>888</v>
      </c>
      <c r="DL108" s="7" t="s">
        <v>888</v>
      </c>
      <c r="DM108" s="7" t="s">
        <v>888</v>
      </c>
      <c r="DN108" s="7" t="s">
        <v>888</v>
      </c>
      <c r="DO108" s="7" t="s">
        <v>888</v>
      </c>
      <c r="DP108" s="7" t="s">
        <v>888</v>
      </c>
      <c r="DQ108" s="7" t="s">
        <v>888</v>
      </c>
      <c r="DR108" s="7" t="s">
        <v>888</v>
      </c>
      <c r="DS108" s="7" t="s">
        <v>888</v>
      </c>
      <c r="DT108" s="15" t="str" cm="1">
        <f t="array" ref="DT108">IF(B108="","",_xlfn.TEXTJOIN("",,HEX2BIN(MID(BQ108,_xlfn.SEQUENCE(40),1),4)))</f>
        <v/>
      </c>
    </row>
    <row r="109" spans="1:124" x14ac:dyDescent="0.25">
      <c r="A109" s="9">
        <v>108</v>
      </c>
      <c r="B109" s="15" t="s">
        <v>888</v>
      </c>
      <c r="C109" s="15" t="s">
        <v>888</v>
      </c>
      <c r="D109" s="6" t="s">
        <v>888</v>
      </c>
      <c r="E109" s="6" t="s">
        <v>888</v>
      </c>
      <c r="F109" s="10" t="s">
        <v>888</v>
      </c>
      <c r="G109" s="9" t="s">
        <v>888</v>
      </c>
      <c r="H109" s="9" t="s">
        <v>888</v>
      </c>
      <c r="I109" s="15" t="s">
        <v>888</v>
      </c>
      <c r="J109" s="9" t="s">
        <v>888</v>
      </c>
      <c r="K109" s="15" t="s">
        <v>888</v>
      </c>
      <c r="L109" s="15" t="s">
        <v>888</v>
      </c>
      <c r="M109" s="15" t="s">
        <v>888</v>
      </c>
      <c r="N109" s="15" t="s">
        <v>888</v>
      </c>
      <c r="O109" s="6" t="s">
        <v>888</v>
      </c>
      <c r="P109" s="15" t="s">
        <v>888</v>
      </c>
      <c r="Q109" s="15" t="s">
        <v>888</v>
      </c>
      <c r="R109" s="6" t="s">
        <v>888</v>
      </c>
      <c r="S109" s="15" t="s">
        <v>888</v>
      </c>
      <c r="T109" s="11" t="s">
        <v>888</v>
      </c>
      <c r="U109" s="10" t="s">
        <v>888</v>
      </c>
      <c r="V109" s="7" t="s">
        <v>888</v>
      </c>
      <c r="W109" s="7" t="s">
        <v>888</v>
      </c>
      <c r="X109" s="7" t="s">
        <v>888</v>
      </c>
      <c r="Y109" s="15" t="s">
        <v>888</v>
      </c>
      <c r="Z109" s="9" t="s">
        <v>888</v>
      </c>
      <c r="AA109" s="9" t="s">
        <v>888</v>
      </c>
      <c r="AB109" s="9" t="s">
        <v>888</v>
      </c>
      <c r="AC109" s="13" t="s">
        <v>888</v>
      </c>
      <c r="AD109" s="13" t="s">
        <v>888</v>
      </c>
      <c r="AE109" s="9" t="s">
        <v>888</v>
      </c>
      <c r="AF109" s="9" t="s">
        <v>888</v>
      </c>
      <c r="AG109" s="9" t="s">
        <v>888</v>
      </c>
      <c r="AH109" s="6" t="s">
        <v>888</v>
      </c>
      <c r="AI109" s="10" t="s">
        <v>888</v>
      </c>
      <c r="AJ109" s="10" t="s">
        <v>888</v>
      </c>
      <c r="AK109" s="15" t="s">
        <v>888</v>
      </c>
      <c r="AL109" s="15" t="s">
        <v>888</v>
      </c>
      <c r="AM109" s="15" t="s">
        <v>888</v>
      </c>
      <c r="AN109" s="9" t="s">
        <v>888</v>
      </c>
      <c r="AO109" s="9" t="s">
        <v>888</v>
      </c>
      <c r="AP109" s="9" t="s">
        <v>888</v>
      </c>
      <c r="AQ109" s="15" t="s">
        <v>888</v>
      </c>
      <c r="AR109" s="9" t="s">
        <v>888</v>
      </c>
      <c r="AS109" s="6" t="s">
        <v>888</v>
      </c>
      <c r="AT109" s="15" t="s">
        <v>888</v>
      </c>
      <c r="AU109" s="9" t="s">
        <v>888</v>
      </c>
      <c r="AV109" s="9" t="s">
        <v>888</v>
      </c>
      <c r="AW109" s="9" t="s">
        <v>888</v>
      </c>
      <c r="AX109" s="9" t="s">
        <v>888</v>
      </c>
      <c r="AY109" s="9" t="s">
        <v>888</v>
      </c>
      <c r="AZ109" s="9" t="s">
        <v>888</v>
      </c>
      <c r="BA109" s="6" t="s">
        <v>888</v>
      </c>
      <c r="BB109" s="6" t="s">
        <v>888</v>
      </c>
      <c r="BC109" s="6" t="s">
        <v>888</v>
      </c>
      <c r="BD109" s="15" t="s">
        <v>888</v>
      </c>
      <c r="BE109" s="15" t="s">
        <v>888</v>
      </c>
      <c r="BF109" s="15" t="s">
        <v>888</v>
      </c>
      <c r="BG109" s="15" t="s">
        <v>888</v>
      </c>
      <c r="BH109" s="6" t="s">
        <v>888</v>
      </c>
      <c r="BI109" s="17" t="s">
        <v>888</v>
      </c>
      <c r="BJ109" s="7" t="s">
        <v>888</v>
      </c>
      <c r="BK109" s="7" t="s">
        <v>888</v>
      </c>
      <c r="BL109" s="7" t="s">
        <v>888</v>
      </c>
      <c r="BM109" s="16" t="s">
        <v>888</v>
      </c>
      <c r="BN109" s="16" t="s">
        <v>888</v>
      </c>
      <c r="BO109" s="16" t="s">
        <v>888</v>
      </c>
      <c r="BP109" s="16" t="s">
        <v>888</v>
      </c>
      <c r="BQ109" s="16" t="s">
        <v>888</v>
      </c>
      <c r="BR109" s="7" t="s">
        <v>888</v>
      </c>
      <c r="BS109" s="7" t="s">
        <v>888</v>
      </c>
      <c r="BT109" s="7" t="s">
        <v>888</v>
      </c>
      <c r="BU109" s="14" t="s">
        <v>888</v>
      </c>
      <c r="BV109" s="15" t="s">
        <v>888</v>
      </c>
      <c r="BW109" s="9" t="s">
        <v>888</v>
      </c>
      <c r="BX109" s="9" t="s">
        <v>888</v>
      </c>
      <c r="BY109" s="13" t="s">
        <v>888</v>
      </c>
      <c r="BZ109" s="13" t="s">
        <v>888</v>
      </c>
      <c r="CA109" s="12" t="str">
        <f>IF(B109="","",IF(A109&lt;8,"",_xlfn.LET(_xlpm.n,A109,_xlpm.k,G109,_xlpm.R,AP109,_xlpm.mu,1+2*_xlpm.k*(_xlpm.n-_xlpm.k)/_xlpm.n,_xlpm.v,2*_xlpm.k*(_xlpm.n-_xlpm.k)*(2*_xlpm.k*(_xlpm.n-_xlpm.k)-_xlpm.n)/(_xlpm.n^2*(_xlpm.n-1)),IF(_xlpm.v&lt;=0,"",(_xlpm.R-_xlpm.mu)/SQRT(_xlpm.v)))))</f>
        <v/>
      </c>
      <c r="CB109" s="37" t="str" cm="1">
        <f t="array" ref="CB109">IF(B109="","",IF(A109&lt;8,"",_xlfn.LET(_xlpm.b,--MID(C109,_xlfn.SEQUENCE(A109-1),1),_xlpm.c,--MID(C109,_xlfn.SEQUENCE(A109-1,,2),1),IFERROR(CORREL(_xlpm.b,_xlpm.c),""))))</f>
        <v/>
      </c>
      <c r="CC109" s="8" t="str">
        <f>IF(B109="","",LOG(A109,2))</f>
        <v/>
      </c>
      <c r="CD109" s="8" t="str">
        <f>IF(B109="","",MAX(AN109,AO109)-CC109)</f>
        <v/>
      </c>
      <c r="CE109" s="8" t="str" cm="1">
        <f t="array" ref="CE109">IF(B109="","",IF(LEN(B109)&lt;16,"",_xlfn.LET(_xlpm.d,MID("0123456789abcdef",_xlfn.SEQUENCE(16),1),_xlpm.c,LEN(B109)-LEN(SUBSTITUTE(B109,_xlpm.d,"")),_xlpm.ex,LEN(B109)/16,SUM((_xlpm.c-_xlpm.ex)^2/_xlpm.ex))))</f>
        <v/>
      </c>
      <c r="CF109" s="37" t="str">
        <f>IF(CE109="","",_xlfn.CHISQ.DIST.RT(CE109,15))</f>
        <v/>
      </c>
      <c r="CG109" s="9" t="str" cm="1">
        <f t="array" ref="CG109">IF(OR(B109="",B108=""),"",_xlfn.LET(_xlpm.a,C109,_xlpm.b,REPT("0",A109-LEN(C108))&amp;C108,_xlpm.m,MID(_xlpm.a,_xlfn.SEQUENCE(A109),1)=MID(_xlpm.b,_xlfn.SEQUENCE(A109),1),IFERROR(MATCH(FALSE,_xlpm.m,0)-1,A109)))</f>
        <v/>
      </c>
      <c r="CH109" s="9" t="str" cm="1">
        <f t="array" ref="CH109">IF(OR(B109="",B108=""),"",_xlfn.LET(_xlpm.a,C109,_xlpm.b,REPT("0",A109-LEN(C108))&amp;C108,_xlpm.n,A109,_xlpm.m,MID(_xlpm.a,_xlfn.SEQUENCE(_xlpm.n,,_xlpm.n,-1),1)=MID(_xlpm.b,_xlfn.SEQUENCE(_xlpm.n,,_xlpm.n,-1),1),IFERROR(MATCH(FALSE,_xlpm.m,0)-1,_xlpm.n)))</f>
        <v/>
      </c>
      <c r="CI109" s="38" t="str">
        <f>IF(OR(B109="",B108=""),"",F109-F108)</f>
        <v/>
      </c>
      <c r="CJ109" s="5" t="str">
        <f>IF(OR(B109="",B108=""),"",IFERROR(FIND(B108,B109)&gt;0,FALSE))</f>
        <v/>
      </c>
      <c r="CK109" s="5" t="str">
        <f>IF(OR(B109="",B108=""),"",IFERROR(FIND(C108,C109)&gt;0,FALSE))</f>
        <v/>
      </c>
      <c r="CL109" s="9" t="str">
        <f>IF(OR(B109="",B108=""),"",IFERROR(FIND(C108,C109),""))</f>
        <v/>
      </c>
      <c r="CM109" s="6" t="str" cm="1">
        <f t="array" ref="CM109">IF(OR(B109="",B108=""),"",_xlfn.LET(_xlpm.pv,D108,_xlpm.ra,BIGSUB(D109,_xlpm.pv),_xlpm.rb,BIGSUB(_xlpm.ra,_xlpm.pv),_xlpm.rc,BIGSUB(_xlpm.rb,_xlpm.pv),IF(LEFT(_xlpm.rb,1)="-",_xlpm.ra,IF(LEFT(_xlpm.rc,1)="-",_xlpm.rb,_xlpm.rc))))</f>
        <v/>
      </c>
      <c r="CN109" s="38" t="str">
        <f>IF(B109="","",F109-0.5)</f>
        <v/>
      </c>
      <c r="CO109" s="15" t="str" cm="1">
        <f t="array" ref="CO109">IF(B109="","",_xlfn.TEXTJOIN("",,MID(B109,_xlfn.SEQUENCE(LEN(B109),,LEN(B109),-1),1)))</f>
        <v/>
      </c>
      <c r="CP109" s="6" t="str" cm="1">
        <f t="array" ref="CP109">IF(B109="","",BASE2DEC(CO109,16))</f>
        <v/>
      </c>
      <c r="CQ109" s="5" t="str">
        <f>IF(B109="","",IF(AND(LEN(B109)&lt;16,LEN(B109)=LEN(SUBSTITUTE(SUBSTITUTE(SUBSTITUTE(SUBSTITUTE(SUBSTITUTE(SUBSTITUTE(B109,"a",""),"b",""),"c",""),"d",""),"e",""),"f",""))),--B109,""))</f>
        <v/>
      </c>
      <c r="CR109" s="6" t="str" cm="1">
        <f t="array" ref="CR109">IF(B109="","",IF(LEN(D109)&lt;=15,BASE2DEC(D109,16),""))</f>
        <v/>
      </c>
      <c r="CS109" s="15" t="str" cm="1">
        <f t="array" ref="CS109">IF(B109="","",_xlfn.LET(_xlpm.p,REPT("0",MOD(-LEN(B109),4))&amp;B109,_xlfn.TEXTJOIN(" ",,MID(_xlpm.p,_xlfn.SEQUENCE(LEN(_xlpm.p)/4,,1,4),4))))</f>
        <v/>
      </c>
      <c r="CT109" s="15" t="str" cm="1">
        <f t="array" ref="CT109">IF(B109="","",UPPER(_xlfn.LET(_xlpm.p,REPT("0",64-LEN(B109))&amp;B109,_xlfn.TEXTJOIN(" ",,MID(_xlpm.p,_xlfn.SEQUENCE(8,,1,8),8)))))</f>
        <v/>
      </c>
      <c r="CU109" s="6" t="str" cm="1">
        <f t="array" ref="CU109">IF(B109="","",IF(LEN(D109)&lt;=6,_xlfn.LET(_xlpm.n,VALUE(D109)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09" s="39" t="s">
        <v>888</v>
      </c>
      <c r="CW109" s="39" t="s">
        <v>888</v>
      </c>
      <c r="CX109" s="39" t="s">
        <v>888</v>
      </c>
      <c r="CY109" s="7" t="s">
        <v>888</v>
      </c>
      <c r="CZ109" s="39" t="s">
        <v>888</v>
      </c>
      <c r="DA109" s="39" t="s">
        <v>888</v>
      </c>
      <c r="DB109" s="39" t="s">
        <v>888</v>
      </c>
      <c r="DC109" s="7" t="s">
        <v>888</v>
      </c>
      <c r="DD109" s="7" t="s">
        <v>888</v>
      </c>
      <c r="DE109" s="7" t="s">
        <v>888</v>
      </c>
      <c r="DF109" s="7" t="s">
        <v>888</v>
      </c>
      <c r="DG109" s="7" t="s">
        <v>888</v>
      </c>
      <c r="DH109" s="39" t="s">
        <v>888</v>
      </c>
      <c r="DI109" s="7" t="s">
        <v>888</v>
      </c>
      <c r="DJ109" s="7" t="s">
        <v>888</v>
      </c>
      <c r="DK109" s="7" t="s">
        <v>888</v>
      </c>
      <c r="DL109" s="7" t="s">
        <v>888</v>
      </c>
      <c r="DM109" s="7" t="s">
        <v>888</v>
      </c>
      <c r="DN109" s="7" t="s">
        <v>888</v>
      </c>
      <c r="DO109" s="7" t="s">
        <v>888</v>
      </c>
      <c r="DP109" s="7" t="s">
        <v>888</v>
      </c>
      <c r="DQ109" s="7" t="s">
        <v>888</v>
      </c>
      <c r="DR109" s="7" t="s">
        <v>888</v>
      </c>
      <c r="DS109" s="7" t="s">
        <v>888</v>
      </c>
      <c r="DT109" s="15" t="str" cm="1">
        <f t="array" ref="DT109">IF(B109="","",_xlfn.TEXTJOIN("",,HEX2BIN(MID(BQ109,_xlfn.SEQUENCE(40),1),4)))</f>
        <v/>
      </c>
    </row>
    <row r="110" spans="1:124" x14ac:dyDescent="0.25">
      <c r="A110" s="9">
        <v>109</v>
      </c>
      <c r="B110" s="15" t="s">
        <v>888</v>
      </c>
      <c r="C110" s="15" t="s">
        <v>888</v>
      </c>
      <c r="D110" s="6" t="s">
        <v>888</v>
      </c>
      <c r="E110" s="6" t="s">
        <v>888</v>
      </c>
      <c r="F110" s="10" t="s">
        <v>888</v>
      </c>
      <c r="G110" s="9" t="s">
        <v>888</v>
      </c>
      <c r="H110" s="9" t="s">
        <v>888</v>
      </c>
      <c r="I110" s="15" t="s">
        <v>888</v>
      </c>
      <c r="J110" s="9" t="s">
        <v>888</v>
      </c>
      <c r="K110" s="15" t="s">
        <v>888</v>
      </c>
      <c r="L110" s="15" t="s">
        <v>888</v>
      </c>
      <c r="M110" s="15" t="s">
        <v>888</v>
      </c>
      <c r="N110" s="15" t="s">
        <v>888</v>
      </c>
      <c r="O110" s="6" t="s">
        <v>888</v>
      </c>
      <c r="P110" s="15" t="s">
        <v>888</v>
      </c>
      <c r="Q110" s="15" t="s">
        <v>888</v>
      </c>
      <c r="R110" s="6" t="s">
        <v>888</v>
      </c>
      <c r="S110" s="15" t="s">
        <v>888</v>
      </c>
      <c r="T110" s="11" t="s">
        <v>888</v>
      </c>
      <c r="U110" s="10" t="s">
        <v>888</v>
      </c>
      <c r="V110" s="7" t="s">
        <v>888</v>
      </c>
      <c r="W110" s="7" t="s">
        <v>888</v>
      </c>
      <c r="X110" s="7" t="s">
        <v>888</v>
      </c>
      <c r="Y110" s="15" t="s">
        <v>888</v>
      </c>
      <c r="Z110" s="9" t="s">
        <v>888</v>
      </c>
      <c r="AA110" s="9" t="s">
        <v>888</v>
      </c>
      <c r="AB110" s="9" t="s">
        <v>888</v>
      </c>
      <c r="AC110" s="13" t="s">
        <v>888</v>
      </c>
      <c r="AD110" s="13" t="s">
        <v>888</v>
      </c>
      <c r="AE110" s="9" t="s">
        <v>888</v>
      </c>
      <c r="AF110" s="9" t="s">
        <v>888</v>
      </c>
      <c r="AG110" s="9" t="s">
        <v>888</v>
      </c>
      <c r="AH110" s="6" t="s">
        <v>888</v>
      </c>
      <c r="AI110" s="10" t="s">
        <v>888</v>
      </c>
      <c r="AJ110" s="10" t="s">
        <v>888</v>
      </c>
      <c r="AK110" s="15" t="s">
        <v>888</v>
      </c>
      <c r="AL110" s="15" t="s">
        <v>888</v>
      </c>
      <c r="AM110" s="15" t="s">
        <v>888</v>
      </c>
      <c r="AN110" s="9" t="s">
        <v>888</v>
      </c>
      <c r="AO110" s="9" t="s">
        <v>888</v>
      </c>
      <c r="AP110" s="9" t="s">
        <v>888</v>
      </c>
      <c r="AQ110" s="15" t="s">
        <v>888</v>
      </c>
      <c r="AR110" s="9" t="s">
        <v>888</v>
      </c>
      <c r="AS110" s="6" t="s">
        <v>888</v>
      </c>
      <c r="AT110" s="15" t="s">
        <v>888</v>
      </c>
      <c r="AU110" s="9" t="s">
        <v>888</v>
      </c>
      <c r="AV110" s="9" t="s">
        <v>888</v>
      </c>
      <c r="AW110" s="9" t="s">
        <v>888</v>
      </c>
      <c r="AX110" s="9" t="s">
        <v>888</v>
      </c>
      <c r="AY110" s="9" t="s">
        <v>888</v>
      </c>
      <c r="AZ110" s="9" t="s">
        <v>888</v>
      </c>
      <c r="BA110" s="6" t="s">
        <v>888</v>
      </c>
      <c r="BB110" s="6" t="s">
        <v>888</v>
      </c>
      <c r="BC110" s="6" t="s">
        <v>888</v>
      </c>
      <c r="BD110" s="15" t="s">
        <v>888</v>
      </c>
      <c r="BE110" s="15" t="s">
        <v>888</v>
      </c>
      <c r="BF110" s="15" t="s">
        <v>888</v>
      </c>
      <c r="BG110" s="15" t="s">
        <v>888</v>
      </c>
      <c r="BH110" s="6" t="s">
        <v>888</v>
      </c>
      <c r="BI110" s="17" t="s">
        <v>888</v>
      </c>
      <c r="BJ110" s="7" t="s">
        <v>888</v>
      </c>
      <c r="BK110" s="7" t="s">
        <v>888</v>
      </c>
      <c r="BL110" s="7" t="s">
        <v>888</v>
      </c>
      <c r="BM110" s="16" t="s">
        <v>888</v>
      </c>
      <c r="BN110" s="16" t="s">
        <v>888</v>
      </c>
      <c r="BO110" s="16" t="s">
        <v>888</v>
      </c>
      <c r="BP110" s="16" t="s">
        <v>888</v>
      </c>
      <c r="BQ110" s="16" t="s">
        <v>888</v>
      </c>
      <c r="BR110" s="7" t="s">
        <v>888</v>
      </c>
      <c r="BS110" s="7" t="s">
        <v>888</v>
      </c>
      <c r="BT110" s="7" t="s">
        <v>888</v>
      </c>
      <c r="BU110" s="14" t="s">
        <v>888</v>
      </c>
      <c r="BV110" s="15" t="s">
        <v>888</v>
      </c>
      <c r="BW110" s="9" t="s">
        <v>888</v>
      </c>
      <c r="BX110" s="9" t="s">
        <v>888</v>
      </c>
      <c r="BY110" s="13" t="s">
        <v>888</v>
      </c>
      <c r="BZ110" s="13" t="s">
        <v>888</v>
      </c>
      <c r="CA110" s="12" t="str">
        <f>IF(B110="","",IF(A110&lt;8,"",_xlfn.LET(_xlpm.n,A110,_xlpm.k,G110,_xlpm.R,AP110,_xlpm.mu,1+2*_xlpm.k*(_xlpm.n-_xlpm.k)/_xlpm.n,_xlpm.v,2*_xlpm.k*(_xlpm.n-_xlpm.k)*(2*_xlpm.k*(_xlpm.n-_xlpm.k)-_xlpm.n)/(_xlpm.n^2*(_xlpm.n-1)),IF(_xlpm.v&lt;=0,"",(_xlpm.R-_xlpm.mu)/SQRT(_xlpm.v)))))</f>
        <v/>
      </c>
      <c r="CB110" s="37" t="str" cm="1">
        <f t="array" ref="CB110">IF(B110="","",IF(A110&lt;8,"",_xlfn.LET(_xlpm.b,--MID(C110,_xlfn.SEQUENCE(A110-1),1),_xlpm.c,--MID(C110,_xlfn.SEQUENCE(A110-1,,2),1),IFERROR(CORREL(_xlpm.b,_xlpm.c),""))))</f>
        <v/>
      </c>
      <c r="CC110" s="8" t="str">
        <f>IF(B110="","",LOG(A110,2))</f>
        <v/>
      </c>
      <c r="CD110" s="8" t="str">
        <f>IF(B110="","",MAX(AN110,AO110)-CC110)</f>
        <v/>
      </c>
      <c r="CE110" s="8" t="str" cm="1">
        <f t="array" ref="CE110">IF(B110="","",IF(LEN(B110)&lt;16,"",_xlfn.LET(_xlpm.d,MID("0123456789abcdef",_xlfn.SEQUENCE(16),1),_xlpm.c,LEN(B110)-LEN(SUBSTITUTE(B110,_xlpm.d,"")),_xlpm.ex,LEN(B110)/16,SUM((_xlpm.c-_xlpm.ex)^2/_xlpm.ex))))</f>
        <v/>
      </c>
      <c r="CF110" s="37" t="str">
        <f>IF(CE110="","",_xlfn.CHISQ.DIST.RT(CE110,15))</f>
        <v/>
      </c>
      <c r="CG110" s="9" t="str" cm="1">
        <f t="array" ref="CG110">IF(OR(B110="",B109=""),"",_xlfn.LET(_xlpm.a,C110,_xlpm.b,REPT("0",A110-LEN(C109))&amp;C109,_xlpm.m,MID(_xlpm.a,_xlfn.SEQUENCE(A110),1)=MID(_xlpm.b,_xlfn.SEQUENCE(A110),1),IFERROR(MATCH(FALSE,_xlpm.m,0)-1,A110)))</f>
        <v/>
      </c>
      <c r="CH110" s="9" t="str" cm="1">
        <f t="array" ref="CH110">IF(OR(B110="",B109=""),"",_xlfn.LET(_xlpm.a,C110,_xlpm.b,REPT("0",A110-LEN(C109))&amp;C109,_xlpm.n,A110,_xlpm.m,MID(_xlpm.a,_xlfn.SEQUENCE(_xlpm.n,,_xlpm.n,-1),1)=MID(_xlpm.b,_xlfn.SEQUENCE(_xlpm.n,,_xlpm.n,-1),1),IFERROR(MATCH(FALSE,_xlpm.m,0)-1,_xlpm.n)))</f>
        <v/>
      </c>
      <c r="CI110" s="38" t="str">
        <f>IF(OR(B110="",B109=""),"",F110-F109)</f>
        <v/>
      </c>
      <c r="CJ110" s="5" t="str">
        <f>IF(OR(B110="",B109=""),"",IFERROR(FIND(B109,B110)&gt;0,FALSE))</f>
        <v/>
      </c>
      <c r="CK110" s="5" t="str">
        <f>IF(OR(B110="",B109=""),"",IFERROR(FIND(C109,C110)&gt;0,FALSE))</f>
        <v/>
      </c>
      <c r="CL110" s="9" t="str">
        <f>IF(OR(B110="",B109=""),"",IFERROR(FIND(C109,C110),""))</f>
        <v/>
      </c>
      <c r="CM110" s="6" t="str" cm="1">
        <f t="array" ref="CM110">IF(OR(B110="",B109=""),"",_xlfn.LET(_xlpm.pv,D109,_xlpm.ra,BIGSUB(D110,_xlpm.pv),_xlpm.rb,BIGSUB(_xlpm.ra,_xlpm.pv),_xlpm.rc,BIGSUB(_xlpm.rb,_xlpm.pv),IF(LEFT(_xlpm.rb,1)="-",_xlpm.ra,IF(LEFT(_xlpm.rc,1)="-",_xlpm.rb,_xlpm.rc))))</f>
        <v/>
      </c>
      <c r="CN110" s="38" t="str">
        <f>IF(B110="","",F110-0.5)</f>
        <v/>
      </c>
      <c r="CO110" s="15" t="str" cm="1">
        <f t="array" ref="CO110">IF(B110="","",_xlfn.TEXTJOIN("",,MID(B110,_xlfn.SEQUENCE(LEN(B110),,LEN(B110),-1),1)))</f>
        <v/>
      </c>
      <c r="CP110" s="6" t="str" cm="1">
        <f t="array" ref="CP110">IF(B110="","",BASE2DEC(CO110,16))</f>
        <v/>
      </c>
      <c r="CQ110" s="5" t="str">
        <f>IF(B110="","",IF(AND(LEN(B110)&lt;16,LEN(B110)=LEN(SUBSTITUTE(SUBSTITUTE(SUBSTITUTE(SUBSTITUTE(SUBSTITUTE(SUBSTITUTE(B110,"a",""),"b",""),"c",""),"d",""),"e",""),"f",""))),--B110,""))</f>
        <v/>
      </c>
      <c r="CR110" s="6" t="str" cm="1">
        <f t="array" ref="CR110">IF(B110="","",IF(LEN(D110)&lt;=15,BASE2DEC(D110,16),""))</f>
        <v/>
      </c>
      <c r="CS110" s="15" t="str" cm="1">
        <f t="array" ref="CS110">IF(B110="","",_xlfn.LET(_xlpm.p,REPT("0",MOD(-LEN(B110),4))&amp;B110,_xlfn.TEXTJOIN(" ",,MID(_xlpm.p,_xlfn.SEQUENCE(LEN(_xlpm.p)/4,,1,4),4))))</f>
        <v/>
      </c>
      <c r="CT110" s="15" t="str" cm="1">
        <f t="array" ref="CT110">IF(B110="","",UPPER(_xlfn.LET(_xlpm.p,REPT("0",64-LEN(B110))&amp;B110,_xlfn.TEXTJOIN(" ",,MID(_xlpm.p,_xlfn.SEQUENCE(8,,1,8),8)))))</f>
        <v/>
      </c>
      <c r="CU110" s="6" t="str" cm="1">
        <f t="array" ref="CU110">IF(B110="","",IF(LEN(D110)&lt;=6,_xlfn.LET(_xlpm.n,VALUE(D110)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0" s="39" t="s">
        <v>888</v>
      </c>
      <c r="CW110" s="39" t="s">
        <v>888</v>
      </c>
      <c r="CX110" s="39" t="s">
        <v>888</v>
      </c>
      <c r="CY110" s="7" t="s">
        <v>888</v>
      </c>
      <c r="CZ110" s="39" t="s">
        <v>888</v>
      </c>
      <c r="DA110" s="39" t="s">
        <v>888</v>
      </c>
      <c r="DB110" s="39" t="s">
        <v>888</v>
      </c>
      <c r="DC110" s="7" t="s">
        <v>888</v>
      </c>
      <c r="DD110" s="7" t="s">
        <v>888</v>
      </c>
      <c r="DE110" s="7" t="s">
        <v>888</v>
      </c>
      <c r="DF110" s="7" t="s">
        <v>888</v>
      </c>
      <c r="DG110" s="7" t="s">
        <v>888</v>
      </c>
      <c r="DH110" s="39" t="s">
        <v>888</v>
      </c>
      <c r="DI110" s="7" t="s">
        <v>888</v>
      </c>
      <c r="DJ110" s="7" t="s">
        <v>888</v>
      </c>
      <c r="DK110" s="7" t="s">
        <v>888</v>
      </c>
      <c r="DL110" s="7" t="s">
        <v>888</v>
      </c>
      <c r="DM110" s="7" t="s">
        <v>888</v>
      </c>
      <c r="DN110" s="7" t="s">
        <v>888</v>
      </c>
      <c r="DO110" s="7" t="s">
        <v>888</v>
      </c>
      <c r="DP110" s="7" t="s">
        <v>888</v>
      </c>
      <c r="DQ110" s="7" t="s">
        <v>888</v>
      </c>
      <c r="DR110" s="7" t="s">
        <v>888</v>
      </c>
      <c r="DS110" s="7" t="s">
        <v>888</v>
      </c>
      <c r="DT110" s="15" t="str" cm="1">
        <f t="array" ref="DT110">IF(B110="","",_xlfn.TEXTJOIN("",,HEX2BIN(MID(BQ110,_xlfn.SEQUENCE(40),1),4)))</f>
        <v/>
      </c>
    </row>
    <row r="111" spans="1:124" x14ac:dyDescent="0.25">
      <c r="A111" s="9">
        <v>110</v>
      </c>
      <c r="B111" s="15" t="s">
        <v>4248</v>
      </c>
      <c r="C111" s="15" t="s">
        <v>4249</v>
      </c>
      <c r="D111" s="6" t="s">
        <v>4250</v>
      </c>
      <c r="E111" s="6" t="s">
        <v>4251</v>
      </c>
      <c r="F111" s="10">
        <v>0.67979008574888644</v>
      </c>
      <c r="G111" s="9">
        <v>55</v>
      </c>
      <c r="H111" s="9">
        <v>2</v>
      </c>
      <c r="I111" s="15" t="s">
        <v>888</v>
      </c>
      <c r="J111" s="9" t="s">
        <v>888</v>
      </c>
      <c r="K111" s="15" t="s">
        <v>4252</v>
      </c>
      <c r="L111" s="15" t="s">
        <v>4253</v>
      </c>
      <c r="M111" s="15" t="s">
        <v>4254</v>
      </c>
      <c r="N111" s="15" t="s">
        <v>4255</v>
      </c>
      <c r="O111" s="6" t="s">
        <v>4256</v>
      </c>
      <c r="P111" s="15" t="s">
        <v>4257</v>
      </c>
      <c r="Q111" s="15" t="s">
        <v>4258</v>
      </c>
      <c r="R111" s="6" t="s">
        <v>4259</v>
      </c>
      <c r="S111" s="15" t="s">
        <v>4260</v>
      </c>
      <c r="T111" s="11" t="s">
        <v>888</v>
      </c>
      <c r="U111" s="10">
        <v>0.5</v>
      </c>
      <c r="V111" s="7" t="s">
        <v>910</v>
      </c>
      <c r="W111" s="7" t="s">
        <v>911</v>
      </c>
      <c r="X111" s="7" t="s">
        <v>912</v>
      </c>
      <c r="Y111" s="15" t="s">
        <v>4261</v>
      </c>
      <c r="Z111" s="9">
        <v>42</v>
      </c>
      <c r="AA111" s="9">
        <v>51</v>
      </c>
      <c r="AB111" s="9">
        <v>66</v>
      </c>
      <c r="AC111" s="13">
        <v>-2.4790027320385399</v>
      </c>
      <c r="AD111" s="13">
        <v>-0.7627700713964739</v>
      </c>
      <c r="AE111" s="9">
        <v>34</v>
      </c>
      <c r="AF111" s="9">
        <v>160</v>
      </c>
      <c r="AG111" s="9">
        <v>7</v>
      </c>
      <c r="AH111" s="6" t="s">
        <v>4262</v>
      </c>
      <c r="AI111" s="10">
        <v>109.74828095849774</v>
      </c>
      <c r="AJ111" s="10">
        <v>108.44316122647264</v>
      </c>
      <c r="AK111" s="15" t="s">
        <v>4263</v>
      </c>
      <c r="AL111" s="15" t="s">
        <v>4264</v>
      </c>
      <c r="AM111" s="15" t="s">
        <v>4265</v>
      </c>
      <c r="AN111" s="9">
        <v>6</v>
      </c>
      <c r="AO111" s="9">
        <v>5</v>
      </c>
      <c r="AP111" s="9">
        <v>50</v>
      </c>
      <c r="AQ111" s="15" t="s">
        <v>4266</v>
      </c>
      <c r="AR111" s="9">
        <v>12</v>
      </c>
      <c r="AS111" s="6" t="s">
        <v>2054</v>
      </c>
      <c r="AT111" s="15" t="s">
        <v>4267</v>
      </c>
      <c r="AU111" s="9">
        <v>1</v>
      </c>
      <c r="AV111" s="9">
        <v>3</v>
      </c>
      <c r="AW111" s="9">
        <v>0</v>
      </c>
      <c r="AX111" s="9">
        <v>5</v>
      </c>
      <c r="AY111" s="9">
        <v>68</v>
      </c>
      <c r="AZ111" s="9">
        <v>9284</v>
      </c>
      <c r="BA111" s="6" t="s">
        <v>888</v>
      </c>
      <c r="BB111" s="6" t="s">
        <v>888</v>
      </c>
      <c r="BC111" s="6" t="s">
        <v>4268</v>
      </c>
      <c r="BD111" s="15" t="s">
        <v>4269</v>
      </c>
      <c r="BE111" s="15" t="s">
        <v>4270</v>
      </c>
      <c r="BF111" s="15" t="s">
        <v>4271</v>
      </c>
      <c r="BG111" s="15" t="s">
        <v>4272</v>
      </c>
      <c r="BH111" s="6" t="s">
        <v>4273</v>
      </c>
      <c r="BI111" s="17" t="s">
        <v>888</v>
      </c>
      <c r="BJ111" s="7" t="s">
        <v>1823</v>
      </c>
      <c r="BK111" s="7" t="s">
        <v>1824</v>
      </c>
      <c r="BL111" s="7" t="s">
        <v>1825</v>
      </c>
      <c r="BM111" s="16" t="s">
        <v>1826</v>
      </c>
      <c r="BN111" s="16" t="s">
        <v>1827</v>
      </c>
      <c r="BO111" s="16" t="s">
        <v>1828</v>
      </c>
      <c r="BP111" s="16" t="s">
        <v>1829</v>
      </c>
      <c r="BQ111" s="16" t="s">
        <v>1830</v>
      </c>
      <c r="BR111" s="7" t="s">
        <v>1831</v>
      </c>
      <c r="BS111" s="7" t="s">
        <v>1832</v>
      </c>
      <c r="BT111" s="7" t="s">
        <v>1833</v>
      </c>
      <c r="BU111" s="14">
        <v>9.4155490701918302E-45</v>
      </c>
      <c r="BV111" s="15" t="s">
        <v>4274</v>
      </c>
      <c r="BW111" s="9">
        <v>51</v>
      </c>
      <c r="BX111" s="9">
        <v>52</v>
      </c>
      <c r="BY111" s="13">
        <v>-0.7627700713964739</v>
      </c>
      <c r="BZ111" s="13">
        <v>-0.57207755354735534</v>
      </c>
      <c r="CA111" s="12">
        <f>IF(B111="","",IF(A111&lt;8,"",_xlfn.LET(_xlpm.n,A111,_xlpm.k,G111,_xlpm.R,AP111,_xlpm.mu,1+2*_xlpm.k*(_xlpm.n-_xlpm.k)/_xlpm.n,_xlpm.v,2*_xlpm.k*(_xlpm.n-_xlpm.k)*(2*_xlpm.k*(_xlpm.n-_xlpm.k)-_xlpm.n)/(_xlpm.n^2*(_xlpm.n-1)),IF(_xlpm.v&lt;=0,"",(_xlpm.R-_xlpm.mu)/SQRT(_xlpm.v)))))</f>
        <v>-1.149439916312341</v>
      </c>
      <c r="CB111" s="37" cm="1">
        <f t="array" ref="CB111">IF(B111="","",IF(A111&lt;8,"",_xlfn.LET(_xlpm.b,--MID(C111,_xlfn.SEQUENCE(A111-1),1),_xlpm.c,--MID(C111,_xlfn.SEQUENCE(A111-1,,2),1),IFERROR(CORREL(_xlpm.b,_xlpm.c),""))))</f>
        <v>0.10101010101010104</v>
      </c>
      <c r="CC111" s="8">
        <f>IF(B111="","",LOG(A111,2))</f>
        <v>6.7813597135246599</v>
      </c>
      <c r="CD111" s="8">
        <f>IF(B111="","",MAX(AN111,AO111)-CC111)</f>
        <v>-0.78135971352465994</v>
      </c>
      <c r="CE111" s="8" cm="1">
        <f t="array" ref="CE111">IF(B111="","",IF(LEN(B111)&lt;16,"",_xlfn.LET(_xlpm.d,MID("0123456789abcdef",_xlfn.SEQUENCE(16),1),_xlpm.c,LEN(B111)-LEN(SUBSTITUTE(B111,_xlpm.d,"")),_xlpm.ex,LEN(B111)/16,SUM((_xlpm.c-_xlpm.ex)^2/_xlpm.ex))))</f>
        <v>17.714285714285715</v>
      </c>
      <c r="CF111" s="37">
        <f>IF(CE111="","",_xlfn.CHISQ.DIST.RT(CE111,15))</f>
        <v>0.27798418990743295</v>
      </c>
      <c r="CG111" s="9" t="str" cm="1">
        <f t="array" ref="CG111">IF(OR(B111="",B110=""),"",_xlfn.LET(_xlpm.a,C111,_xlpm.b,REPT("0",A111-LEN(C110))&amp;C110,_xlpm.m,MID(_xlpm.a,_xlfn.SEQUENCE(A111),1)=MID(_xlpm.b,_xlfn.SEQUENCE(A111),1),IFERROR(MATCH(FALSE,_xlpm.m,0)-1,A111)))</f>
        <v/>
      </c>
      <c r="CH111" s="9" t="str" cm="1">
        <f t="array" ref="CH111">IF(OR(B111="",B110=""),"",_xlfn.LET(_xlpm.a,C111,_xlpm.b,REPT("0",A111-LEN(C110))&amp;C110,_xlpm.n,A111,_xlpm.m,MID(_xlpm.a,_xlfn.SEQUENCE(_xlpm.n,,_xlpm.n,-1),1)=MID(_xlpm.b,_xlfn.SEQUENCE(_xlpm.n,,_xlpm.n,-1),1),IFERROR(MATCH(FALSE,_xlpm.m,0)-1,_xlpm.n)))</f>
        <v/>
      </c>
      <c r="CI111" s="38" t="str">
        <f>IF(OR(B111="",B110=""),"",F111-F110)</f>
        <v/>
      </c>
      <c r="CJ111" s="5" t="str">
        <f>IF(OR(B111="",B110=""),"",IFERROR(FIND(B110,B111)&gt;0,FALSE))</f>
        <v/>
      </c>
      <c r="CK111" s="5" t="str">
        <f>IF(OR(B111="",B110=""),"",IFERROR(FIND(C110,C111)&gt;0,FALSE))</f>
        <v/>
      </c>
      <c r="CL111" s="9" t="str">
        <f>IF(OR(B111="",B110=""),"",IFERROR(FIND(C110,C111),""))</f>
        <v/>
      </c>
      <c r="CM111" s="6" t="str" cm="1">
        <f t="array" ref="CM111">IF(OR(B111="",B110=""),"",_xlfn.LET(_xlpm.pv,D110,_xlpm.ra,BIGSUB(D111,_xlpm.pv),_xlpm.rb,BIGSUB(_xlpm.ra,_xlpm.pv),_xlpm.rc,BIGSUB(_xlpm.rb,_xlpm.pv),IF(LEFT(_xlpm.rb,1)="-",_xlpm.ra,IF(LEFT(_xlpm.rc,1)="-",_xlpm.rb,_xlpm.rc))))</f>
        <v/>
      </c>
      <c r="CN111" s="38">
        <f>IF(B111="","",F111-0.5)</f>
        <v>0.17979008574888644</v>
      </c>
      <c r="CO111" s="15" t="str" cm="1">
        <f t="array" ref="CO111">IF(B111="","",_xlfn.TEXTJOIN("",,MID(B111,_xlfn.SEQUENCE(LEN(B111),,LEN(B111),-1),1)))</f>
        <v>4442607fc02f0bed7fd4327d0c53</v>
      </c>
      <c r="CP111" s="6" t="str" cm="1">
        <f t="array" ref="CP111">IF(B111="","",BASE2DEC(CO111,16))</f>
        <v>1384462776776339196460179239275603</v>
      </c>
      <c r="CQ111" s="5" t="str">
        <f>IF(B111="","",IF(AND(LEN(B111)&lt;16,LEN(B111)=LEN(SUBSTITUTE(SUBSTITUTE(SUBSTITUTE(SUBSTITUTE(SUBSTITUTE(SUBSTITUTE(B111,"a",""),"b",""),"c",""),"d",""),"e",""),"f",""))),--B111,""))</f>
        <v/>
      </c>
      <c r="CR111" s="6" t="str" cm="1">
        <f t="array" ref="CR111">IF(B111="","",IF(LEN(D111)&lt;=15,BASE2DEC(D111,16),""))</f>
        <v/>
      </c>
      <c r="CS111" s="15" t="str" cm="1">
        <f t="array" ref="CS111">IF(B111="","",_xlfn.LET(_xlpm.p,REPT("0",MOD(-LEN(B111),4))&amp;B111,_xlfn.TEXTJOIN(" ",,MID(_xlpm.p,_xlfn.SEQUENCE(LEN(_xlpm.p)/4,,1,4),4))))</f>
        <v>35c0 d723 4df7 deb0 f20c f706 2444</v>
      </c>
      <c r="CT111" s="15" t="str" cm="1">
        <f t="array" ref="CT111">IF(B111="","",UPPER(_xlfn.LET(_xlpm.p,REPT("0",64-LEN(B111))&amp;B111,_xlfn.TEXTJOIN(" ",,MID(_xlpm.p,_xlfn.SEQUENCE(8,,1,8),8)))))</f>
        <v>00000000 00000000 00000000 00000000 000035C0 D7234DF7 DEB0F20C F7062444</v>
      </c>
      <c r="CU111" s="6" t="str" cm="1">
        <f t="array" ref="CU111">IF(B111="","",IF(LEN(D111)&lt;=6,_xlfn.LET(_xlpm.n,VALUE(D111)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1" s="39" t="s">
        <v>4444</v>
      </c>
      <c r="CW111" s="39" t="s">
        <v>1895</v>
      </c>
      <c r="CX111" s="39" t="s">
        <v>4875</v>
      </c>
      <c r="CY111" s="7" t="s">
        <v>4876</v>
      </c>
      <c r="CZ111" s="39" t="s">
        <v>4444</v>
      </c>
      <c r="DA111" s="39" t="s">
        <v>4444</v>
      </c>
      <c r="DB111" s="39">
        <v>110</v>
      </c>
      <c r="DC111" s="7" t="s">
        <v>4877</v>
      </c>
      <c r="DD111" s="7" t="s">
        <v>4878</v>
      </c>
      <c r="DE111" s="7" t="s">
        <v>4879</v>
      </c>
      <c r="DF111" s="7" t="s">
        <v>4880</v>
      </c>
      <c r="DG111" s="7" t="s">
        <v>4881</v>
      </c>
      <c r="DH111" s="39" t="s">
        <v>4452</v>
      </c>
      <c r="DI111" s="7" t="s">
        <v>5693</v>
      </c>
      <c r="DJ111" s="7" t="s">
        <v>5694</v>
      </c>
      <c r="DK111" s="7" t="s">
        <v>5695</v>
      </c>
      <c r="DL111" s="7" t="s">
        <v>5696</v>
      </c>
      <c r="DM111" s="7" t="s">
        <v>5697</v>
      </c>
      <c r="DN111" s="7" t="s">
        <v>5698</v>
      </c>
      <c r="DO111" s="7" t="s">
        <v>5699</v>
      </c>
      <c r="DP111" s="7" t="s">
        <v>5700</v>
      </c>
      <c r="DQ111" s="7" t="s">
        <v>5701</v>
      </c>
      <c r="DR111" s="7" t="s">
        <v>5702</v>
      </c>
      <c r="DS111" s="7" t="s">
        <v>5832</v>
      </c>
      <c r="DT111" s="15" t="str" cm="1">
        <f t="array" ref="DT111">IF(B111="","",_xlfn.TEXTJOIN("",,HEX2BIN(MID(BQ111,_xlfn.SEQUENCE(40),1),4)))</f>
        <v>0010010011010110111010001101001011110110111011000101000100011000100011101010011001110110001111010111111010011001011101001001000010001000100111100000111001010010</v>
      </c>
    </row>
    <row r="112" spans="1:124" x14ac:dyDescent="0.25">
      <c r="A112" s="9">
        <v>111</v>
      </c>
      <c r="B112" s="15" t="s">
        <v>888</v>
      </c>
      <c r="C112" s="15" t="s">
        <v>888</v>
      </c>
      <c r="D112" s="6" t="s">
        <v>888</v>
      </c>
      <c r="E112" s="6" t="s">
        <v>888</v>
      </c>
      <c r="F112" s="10" t="s">
        <v>888</v>
      </c>
      <c r="G112" s="9" t="s">
        <v>888</v>
      </c>
      <c r="H112" s="9" t="s">
        <v>888</v>
      </c>
      <c r="I112" s="15" t="s">
        <v>888</v>
      </c>
      <c r="J112" s="9" t="s">
        <v>888</v>
      </c>
      <c r="K112" s="15" t="s">
        <v>888</v>
      </c>
      <c r="L112" s="15" t="s">
        <v>888</v>
      </c>
      <c r="M112" s="15" t="s">
        <v>888</v>
      </c>
      <c r="N112" s="15" t="s">
        <v>888</v>
      </c>
      <c r="O112" s="6" t="s">
        <v>888</v>
      </c>
      <c r="P112" s="15" t="s">
        <v>888</v>
      </c>
      <c r="Q112" s="15" t="s">
        <v>888</v>
      </c>
      <c r="R112" s="6" t="s">
        <v>888</v>
      </c>
      <c r="S112" s="15" t="s">
        <v>888</v>
      </c>
      <c r="T112" s="11" t="s">
        <v>888</v>
      </c>
      <c r="U112" s="10" t="s">
        <v>888</v>
      </c>
      <c r="V112" s="7" t="s">
        <v>888</v>
      </c>
      <c r="W112" s="7" t="s">
        <v>888</v>
      </c>
      <c r="X112" s="7" t="s">
        <v>888</v>
      </c>
      <c r="Y112" s="15" t="s">
        <v>888</v>
      </c>
      <c r="Z112" s="9" t="s">
        <v>888</v>
      </c>
      <c r="AA112" s="9" t="s">
        <v>888</v>
      </c>
      <c r="AB112" s="9" t="s">
        <v>888</v>
      </c>
      <c r="AC112" s="13" t="s">
        <v>888</v>
      </c>
      <c r="AD112" s="13" t="s">
        <v>888</v>
      </c>
      <c r="AE112" s="9" t="s">
        <v>888</v>
      </c>
      <c r="AF112" s="9" t="s">
        <v>888</v>
      </c>
      <c r="AG112" s="9" t="s">
        <v>888</v>
      </c>
      <c r="AH112" s="6" t="s">
        <v>888</v>
      </c>
      <c r="AI112" s="10" t="s">
        <v>888</v>
      </c>
      <c r="AJ112" s="10" t="s">
        <v>888</v>
      </c>
      <c r="AK112" s="15" t="s">
        <v>888</v>
      </c>
      <c r="AL112" s="15" t="s">
        <v>888</v>
      </c>
      <c r="AM112" s="15" t="s">
        <v>888</v>
      </c>
      <c r="AN112" s="9" t="s">
        <v>888</v>
      </c>
      <c r="AO112" s="9" t="s">
        <v>888</v>
      </c>
      <c r="AP112" s="9" t="s">
        <v>888</v>
      </c>
      <c r="AQ112" s="15" t="s">
        <v>888</v>
      </c>
      <c r="AR112" s="9" t="s">
        <v>888</v>
      </c>
      <c r="AS112" s="6" t="s">
        <v>888</v>
      </c>
      <c r="AT112" s="15" t="s">
        <v>888</v>
      </c>
      <c r="AU112" s="9" t="s">
        <v>888</v>
      </c>
      <c r="AV112" s="9" t="s">
        <v>888</v>
      </c>
      <c r="AW112" s="9" t="s">
        <v>888</v>
      </c>
      <c r="AX112" s="9" t="s">
        <v>888</v>
      </c>
      <c r="AY112" s="9" t="s">
        <v>888</v>
      </c>
      <c r="AZ112" s="9" t="s">
        <v>888</v>
      </c>
      <c r="BA112" s="6" t="s">
        <v>888</v>
      </c>
      <c r="BB112" s="6" t="s">
        <v>888</v>
      </c>
      <c r="BC112" s="6" t="s">
        <v>888</v>
      </c>
      <c r="BD112" s="15" t="s">
        <v>888</v>
      </c>
      <c r="BE112" s="15" t="s">
        <v>888</v>
      </c>
      <c r="BF112" s="15" t="s">
        <v>888</v>
      </c>
      <c r="BG112" s="15" t="s">
        <v>888</v>
      </c>
      <c r="BH112" s="6" t="s">
        <v>888</v>
      </c>
      <c r="BI112" s="17" t="s">
        <v>888</v>
      </c>
      <c r="BJ112" s="7" t="s">
        <v>888</v>
      </c>
      <c r="BK112" s="7" t="s">
        <v>888</v>
      </c>
      <c r="BL112" s="7" t="s">
        <v>888</v>
      </c>
      <c r="BM112" s="16" t="s">
        <v>888</v>
      </c>
      <c r="BN112" s="16" t="s">
        <v>888</v>
      </c>
      <c r="BO112" s="16" t="s">
        <v>888</v>
      </c>
      <c r="BP112" s="16" t="s">
        <v>888</v>
      </c>
      <c r="BQ112" s="16" t="s">
        <v>888</v>
      </c>
      <c r="BR112" s="7" t="s">
        <v>888</v>
      </c>
      <c r="BS112" s="7" t="s">
        <v>888</v>
      </c>
      <c r="BT112" s="7" t="s">
        <v>888</v>
      </c>
      <c r="BU112" s="14" t="s">
        <v>888</v>
      </c>
      <c r="BV112" s="15" t="s">
        <v>888</v>
      </c>
      <c r="BW112" s="9" t="s">
        <v>888</v>
      </c>
      <c r="BX112" s="9" t="s">
        <v>888</v>
      </c>
      <c r="BY112" s="13" t="s">
        <v>888</v>
      </c>
      <c r="BZ112" s="13" t="s">
        <v>888</v>
      </c>
      <c r="CA112" s="12" t="str">
        <f>IF(B112="","",IF(A112&lt;8,"",_xlfn.LET(_xlpm.n,A112,_xlpm.k,G112,_xlpm.R,AP112,_xlpm.mu,1+2*_xlpm.k*(_xlpm.n-_xlpm.k)/_xlpm.n,_xlpm.v,2*_xlpm.k*(_xlpm.n-_xlpm.k)*(2*_xlpm.k*(_xlpm.n-_xlpm.k)-_xlpm.n)/(_xlpm.n^2*(_xlpm.n-1)),IF(_xlpm.v&lt;=0,"",(_xlpm.R-_xlpm.mu)/SQRT(_xlpm.v)))))</f>
        <v/>
      </c>
      <c r="CB112" s="37" t="str" cm="1">
        <f t="array" ref="CB112">IF(B112="","",IF(A112&lt;8,"",_xlfn.LET(_xlpm.b,--MID(C112,_xlfn.SEQUENCE(A112-1),1),_xlpm.c,--MID(C112,_xlfn.SEQUENCE(A112-1,,2),1),IFERROR(CORREL(_xlpm.b,_xlpm.c),""))))</f>
        <v/>
      </c>
      <c r="CC112" s="8" t="str">
        <f>IF(B112="","",LOG(A112,2))</f>
        <v/>
      </c>
      <c r="CD112" s="8" t="str">
        <f>IF(B112="","",MAX(AN112,AO112)-CC112)</f>
        <v/>
      </c>
      <c r="CE112" s="8" t="str" cm="1">
        <f t="array" ref="CE112">IF(B112="","",IF(LEN(B112)&lt;16,"",_xlfn.LET(_xlpm.d,MID("0123456789abcdef",_xlfn.SEQUENCE(16),1),_xlpm.c,LEN(B112)-LEN(SUBSTITUTE(B112,_xlpm.d,"")),_xlpm.ex,LEN(B112)/16,SUM((_xlpm.c-_xlpm.ex)^2/_xlpm.ex))))</f>
        <v/>
      </c>
      <c r="CF112" s="37" t="str">
        <f>IF(CE112="","",_xlfn.CHISQ.DIST.RT(CE112,15))</f>
        <v/>
      </c>
      <c r="CG112" s="9" t="str" cm="1">
        <f t="array" ref="CG112">IF(OR(B112="",B111=""),"",_xlfn.LET(_xlpm.a,C112,_xlpm.b,REPT("0",A112-LEN(C111))&amp;C111,_xlpm.m,MID(_xlpm.a,_xlfn.SEQUENCE(A112),1)=MID(_xlpm.b,_xlfn.SEQUENCE(A112),1),IFERROR(MATCH(FALSE,_xlpm.m,0)-1,A112)))</f>
        <v/>
      </c>
      <c r="CH112" s="9" t="str" cm="1">
        <f t="array" ref="CH112">IF(OR(B112="",B111=""),"",_xlfn.LET(_xlpm.a,C112,_xlpm.b,REPT("0",A112-LEN(C111))&amp;C111,_xlpm.n,A112,_xlpm.m,MID(_xlpm.a,_xlfn.SEQUENCE(_xlpm.n,,_xlpm.n,-1),1)=MID(_xlpm.b,_xlfn.SEQUENCE(_xlpm.n,,_xlpm.n,-1),1),IFERROR(MATCH(FALSE,_xlpm.m,0)-1,_xlpm.n)))</f>
        <v/>
      </c>
      <c r="CI112" s="38" t="str">
        <f>IF(OR(B112="",B111=""),"",F112-F111)</f>
        <v/>
      </c>
      <c r="CJ112" s="5" t="str">
        <f>IF(OR(B112="",B111=""),"",IFERROR(FIND(B111,B112)&gt;0,FALSE))</f>
        <v/>
      </c>
      <c r="CK112" s="5" t="str">
        <f>IF(OR(B112="",B111=""),"",IFERROR(FIND(C111,C112)&gt;0,FALSE))</f>
        <v/>
      </c>
      <c r="CL112" s="9" t="str">
        <f>IF(OR(B112="",B111=""),"",IFERROR(FIND(C111,C112),""))</f>
        <v/>
      </c>
      <c r="CM112" s="6" t="str" cm="1">
        <f t="array" ref="CM112">IF(OR(B112="",B111=""),"",_xlfn.LET(_xlpm.pv,D111,_xlpm.ra,BIGSUB(D112,_xlpm.pv),_xlpm.rb,BIGSUB(_xlpm.ra,_xlpm.pv),_xlpm.rc,BIGSUB(_xlpm.rb,_xlpm.pv),IF(LEFT(_xlpm.rb,1)="-",_xlpm.ra,IF(LEFT(_xlpm.rc,1)="-",_xlpm.rb,_xlpm.rc))))</f>
        <v/>
      </c>
      <c r="CN112" s="38" t="str">
        <f>IF(B112="","",F112-0.5)</f>
        <v/>
      </c>
      <c r="CO112" s="15" t="str" cm="1">
        <f t="array" ref="CO112">IF(B112="","",_xlfn.TEXTJOIN("",,MID(B112,_xlfn.SEQUENCE(LEN(B112),,LEN(B112),-1),1)))</f>
        <v/>
      </c>
      <c r="CP112" s="6" t="str" cm="1">
        <f t="array" ref="CP112">IF(B112="","",BASE2DEC(CO112,16))</f>
        <v/>
      </c>
      <c r="CQ112" s="5" t="str">
        <f>IF(B112="","",IF(AND(LEN(B112)&lt;16,LEN(B112)=LEN(SUBSTITUTE(SUBSTITUTE(SUBSTITUTE(SUBSTITUTE(SUBSTITUTE(SUBSTITUTE(B112,"a",""),"b",""),"c",""),"d",""),"e",""),"f",""))),--B112,""))</f>
        <v/>
      </c>
      <c r="CR112" s="6" t="str" cm="1">
        <f t="array" ref="CR112">IF(B112="","",IF(LEN(D112)&lt;=15,BASE2DEC(D112,16),""))</f>
        <v/>
      </c>
      <c r="CS112" s="15" t="str" cm="1">
        <f t="array" ref="CS112">IF(B112="","",_xlfn.LET(_xlpm.p,REPT("0",MOD(-LEN(B112),4))&amp;B112,_xlfn.TEXTJOIN(" ",,MID(_xlpm.p,_xlfn.SEQUENCE(LEN(_xlpm.p)/4,,1,4),4))))</f>
        <v/>
      </c>
      <c r="CT112" s="15" t="str" cm="1">
        <f t="array" ref="CT112">IF(B112="","",UPPER(_xlfn.LET(_xlpm.p,REPT("0",64-LEN(B112))&amp;B112,_xlfn.TEXTJOIN(" ",,MID(_xlpm.p,_xlfn.SEQUENCE(8,,1,8),8)))))</f>
        <v/>
      </c>
      <c r="CU112" s="6" t="str" cm="1">
        <f t="array" ref="CU112">IF(B112="","",IF(LEN(D112)&lt;=6,_xlfn.LET(_xlpm.n,VALUE(D112)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2" s="39" t="s">
        <v>888</v>
      </c>
      <c r="CW112" s="39" t="s">
        <v>888</v>
      </c>
      <c r="CX112" s="39" t="s">
        <v>888</v>
      </c>
      <c r="CY112" s="7" t="s">
        <v>888</v>
      </c>
      <c r="CZ112" s="39" t="s">
        <v>888</v>
      </c>
      <c r="DA112" s="39" t="s">
        <v>888</v>
      </c>
      <c r="DB112" s="39" t="s">
        <v>888</v>
      </c>
      <c r="DC112" s="7" t="s">
        <v>888</v>
      </c>
      <c r="DD112" s="7" t="s">
        <v>888</v>
      </c>
      <c r="DE112" s="7" t="s">
        <v>888</v>
      </c>
      <c r="DF112" s="7" t="s">
        <v>888</v>
      </c>
      <c r="DG112" s="7" t="s">
        <v>888</v>
      </c>
      <c r="DH112" s="39" t="s">
        <v>888</v>
      </c>
      <c r="DI112" s="7" t="s">
        <v>888</v>
      </c>
      <c r="DJ112" s="7" t="s">
        <v>888</v>
      </c>
      <c r="DK112" s="7" t="s">
        <v>888</v>
      </c>
      <c r="DL112" s="7" t="s">
        <v>888</v>
      </c>
      <c r="DM112" s="7" t="s">
        <v>888</v>
      </c>
      <c r="DN112" s="7" t="s">
        <v>888</v>
      </c>
      <c r="DO112" s="7" t="s">
        <v>888</v>
      </c>
      <c r="DP112" s="7" t="s">
        <v>888</v>
      </c>
      <c r="DQ112" s="7" t="s">
        <v>888</v>
      </c>
      <c r="DR112" s="7" t="s">
        <v>888</v>
      </c>
      <c r="DS112" s="7" t="s">
        <v>888</v>
      </c>
      <c r="DT112" s="15" t="str" cm="1">
        <f t="array" ref="DT112">IF(B112="","",_xlfn.TEXTJOIN("",,HEX2BIN(MID(BQ112,_xlfn.SEQUENCE(40),1),4)))</f>
        <v/>
      </c>
    </row>
    <row r="113" spans="1:124" x14ac:dyDescent="0.25">
      <c r="A113" s="9">
        <v>112</v>
      </c>
      <c r="B113" s="15" t="s">
        <v>888</v>
      </c>
      <c r="C113" s="15" t="s">
        <v>888</v>
      </c>
      <c r="D113" s="6" t="s">
        <v>888</v>
      </c>
      <c r="E113" s="6" t="s">
        <v>888</v>
      </c>
      <c r="F113" s="10" t="s">
        <v>888</v>
      </c>
      <c r="G113" s="9" t="s">
        <v>888</v>
      </c>
      <c r="H113" s="9" t="s">
        <v>888</v>
      </c>
      <c r="I113" s="15" t="s">
        <v>888</v>
      </c>
      <c r="J113" s="9" t="s">
        <v>888</v>
      </c>
      <c r="K113" s="15" t="s">
        <v>888</v>
      </c>
      <c r="L113" s="15" t="s">
        <v>888</v>
      </c>
      <c r="M113" s="15" t="s">
        <v>888</v>
      </c>
      <c r="N113" s="15" t="s">
        <v>888</v>
      </c>
      <c r="O113" s="6" t="s">
        <v>888</v>
      </c>
      <c r="P113" s="15" t="s">
        <v>888</v>
      </c>
      <c r="Q113" s="15" t="s">
        <v>888</v>
      </c>
      <c r="R113" s="6" t="s">
        <v>888</v>
      </c>
      <c r="S113" s="15" t="s">
        <v>888</v>
      </c>
      <c r="T113" s="11" t="s">
        <v>888</v>
      </c>
      <c r="U113" s="10" t="s">
        <v>888</v>
      </c>
      <c r="V113" s="7" t="s">
        <v>888</v>
      </c>
      <c r="W113" s="7" t="s">
        <v>888</v>
      </c>
      <c r="X113" s="7" t="s">
        <v>888</v>
      </c>
      <c r="Y113" s="15" t="s">
        <v>888</v>
      </c>
      <c r="Z113" s="9" t="s">
        <v>888</v>
      </c>
      <c r="AA113" s="9" t="s">
        <v>888</v>
      </c>
      <c r="AB113" s="9" t="s">
        <v>888</v>
      </c>
      <c r="AC113" s="13" t="s">
        <v>888</v>
      </c>
      <c r="AD113" s="13" t="s">
        <v>888</v>
      </c>
      <c r="AE113" s="9" t="s">
        <v>888</v>
      </c>
      <c r="AF113" s="9" t="s">
        <v>888</v>
      </c>
      <c r="AG113" s="9" t="s">
        <v>888</v>
      </c>
      <c r="AH113" s="6" t="s">
        <v>888</v>
      </c>
      <c r="AI113" s="10" t="s">
        <v>888</v>
      </c>
      <c r="AJ113" s="10" t="s">
        <v>888</v>
      </c>
      <c r="AK113" s="15" t="s">
        <v>888</v>
      </c>
      <c r="AL113" s="15" t="s">
        <v>888</v>
      </c>
      <c r="AM113" s="15" t="s">
        <v>888</v>
      </c>
      <c r="AN113" s="9" t="s">
        <v>888</v>
      </c>
      <c r="AO113" s="9" t="s">
        <v>888</v>
      </c>
      <c r="AP113" s="9" t="s">
        <v>888</v>
      </c>
      <c r="AQ113" s="15" t="s">
        <v>888</v>
      </c>
      <c r="AR113" s="9" t="s">
        <v>888</v>
      </c>
      <c r="AS113" s="6" t="s">
        <v>888</v>
      </c>
      <c r="AT113" s="15" t="s">
        <v>888</v>
      </c>
      <c r="AU113" s="9" t="s">
        <v>888</v>
      </c>
      <c r="AV113" s="9" t="s">
        <v>888</v>
      </c>
      <c r="AW113" s="9" t="s">
        <v>888</v>
      </c>
      <c r="AX113" s="9" t="s">
        <v>888</v>
      </c>
      <c r="AY113" s="9" t="s">
        <v>888</v>
      </c>
      <c r="AZ113" s="9" t="s">
        <v>888</v>
      </c>
      <c r="BA113" s="6" t="s">
        <v>888</v>
      </c>
      <c r="BB113" s="6" t="s">
        <v>888</v>
      </c>
      <c r="BC113" s="6" t="s">
        <v>888</v>
      </c>
      <c r="BD113" s="15" t="s">
        <v>888</v>
      </c>
      <c r="BE113" s="15" t="s">
        <v>888</v>
      </c>
      <c r="BF113" s="15" t="s">
        <v>888</v>
      </c>
      <c r="BG113" s="15" t="s">
        <v>888</v>
      </c>
      <c r="BH113" s="6" t="s">
        <v>888</v>
      </c>
      <c r="BI113" s="17" t="s">
        <v>888</v>
      </c>
      <c r="BJ113" s="7" t="s">
        <v>888</v>
      </c>
      <c r="BK113" s="7" t="s">
        <v>888</v>
      </c>
      <c r="BL113" s="7" t="s">
        <v>888</v>
      </c>
      <c r="BM113" s="16" t="s">
        <v>888</v>
      </c>
      <c r="BN113" s="16" t="s">
        <v>888</v>
      </c>
      <c r="BO113" s="16" t="s">
        <v>888</v>
      </c>
      <c r="BP113" s="16" t="s">
        <v>888</v>
      </c>
      <c r="BQ113" s="16" t="s">
        <v>888</v>
      </c>
      <c r="BR113" s="7" t="s">
        <v>888</v>
      </c>
      <c r="BS113" s="7" t="s">
        <v>888</v>
      </c>
      <c r="BT113" s="7" t="s">
        <v>888</v>
      </c>
      <c r="BU113" s="14" t="s">
        <v>888</v>
      </c>
      <c r="BV113" s="15" t="s">
        <v>888</v>
      </c>
      <c r="BW113" s="9" t="s">
        <v>888</v>
      </c>
      <c r="BX113" s="9" t="s">
        <v>888</v>
      </c>
      <c r="BY113" s="13" t="s">
        <v>888</v>
      </c>
      <c r="BZ113" s="13" t="s">
        <v>888</v>
      </c>
      <c r="CA113" s="12" t="str">
        <f>IF(B113="","",IF(A113&lt;8,"",_xlfn.LET(_xlpm.n,A113,_xlpm.k,G113,_xlpm.R,AP113,_xlpm.mu,1+2*_xlpm.k*(_xlpm.n-_xlpm.k)/_xlpm.n,_xlpm.v,2*_xlpm.k*(_xlpm.n-_xlpm.k)*(2*_xlpm.k*(_xlpm.n-_xlpm.k)-_xlpm.n)/(_xlpm.n^2*(_xlpm.n-1)),IF(_xlpm.v&lt;=0,"",(_xlpm.R-_xlpm.mu)/SQRT(_xlpm.v)))))</f>
        <v/>
      </c>
      <c r="CB113" s="37" t="str" cm="1">
        <f t="array" ref="CB113">IF(B113="","",IF(A113&lt;8,"",_xlfn.LET(_xlpm.b,--MID(C113,_xlfn.SEQUENCE(A113-1),1),_xlpm.c,--MID(C113,_xlfn.SEQUENCE(A113-1,,2),1),IFERROR(CORREL(_xlpm.b,_xlpm.c),""))))</f>
        <v/>
      </c>
      <c r="CC113" s="8" t="str">
        <f>IF(B113="","",LOG(A113,2))</f>
        <v/>
      </c>
      <c r="CD113" s="8" t="str">
        <f>IF(B113="","",MAX(AN113,AO113)-CC113)</f>
        <v/>
      </c>
      <c r="CE113" s="8" t="str" cm="1">
        <f t="array" ref="CE113">IF(B113="","",IF(LEN(B113)&lt;16,"",_xlfn.LET(_xlpm.d,MID("0123456789abcdef",_xlfn.SEQUENCE(16),1),_xlpm.c,LEN(B113)-LEN(SUBSTITUTE(B113,_xlpm.d,"")),_xlpm.ex,LEN(B113)/16,SUM((_xlpm.c-_xlpm.ex)^2/_xlpm.ex))))</f>
        <v/>
      </c>
      <c r="CF113" s="37" t="str">
        <f>IF(CE113="","",_xlfn.CHISQ.DIST.RT(CE113,15))</f>
        <v/>
      </c>
      <c r="CG113" s="9" t="str" cm="1">
        <f t="array" ref="CG113">IF(OR(B113="",B112=""),"",_xlfn.LET(_xlpm.a,C113,_xlpm.b,REPT("0",A113-LEN(C112))&amp;C112,_xlpm.m,MID(_xlpm.a,_xlfn.SEQUENCE(A113),1)=MID(_xlpm.b,_xlfn.SEQUENCE(A113),1),IFERROR(MATCH(FALSE,_xlpm.m,0)-1,A113)))</f>
        <v/>
      </c>
      <c r="CH113" s="9" t="str" cm="1">
        <f t="array" ref="CH113">IF(OR(B113="",B112=""),"",_xlfn.LET(_xlpm.a,C113,_xlpm.b,REPT("0",A113-LEN(C112))&amp;C112,_xlpm.n,A113,_xlpm.m,MID(_xlpm.a,_xlfn.SEQUENCE(_xlpm.n,,_xlpm.n,-1),1)=MID(_xlpm.b,_xlfn.SEQUENCE(_xlpm.n,,_xlpm.n,-1),1),IFERROR(MATCH(FALSE,_xlpm.m,0)-1,_xlpm.n)))</f>
        <v/>
      </c>
      <c r="CI113" s="38" t="str">
        <f>IF(OR(B113="",B112=""),"",F113-F112)</f>
        <v/>
      </c>
      <c r="CJ113" s="5" t="str">
        <f>IF(OR(B113="",B112=""),"",IFERROR(FIND(B112,B113)&gt;0,FALSE))</f>
        <v/>
      </c>
      <c r="CK113" s="5" t="str">
        <f>IF(OR(B113="",B112=""),"",IFERROR(FIND(C112,C113)&gt;0,FALSE))</f>
        <v/>
      </c>
      <c r="CL113" s="9" t="str">
        <f>IF(OR(B113="",B112=""),"",IFERROR(FIND(C112,C113),""))</f>
        <v/>
      </c>
      <c r="CM113" s="6" t="str" cm="1">
        <f t="array" ref="CM113">IF(OR(B113="",B112=""),"",_xlfn.LET(_xlpm.pv,D112,_xlpm.ra,BIGSUB(D113,_xlpm.pv),_xlpm.rb,BIGSUB(_xlpm.ra,_xlpm.pv),_xlpm.rc,BIGSUB(_xlpm.rb,_xlpm.pv),IF(LEFT(_xlpm.rb,1)="-",_xlpm.ra,IF(LEFT(_xlpm.rc,1)="-",_xlpm.rb,_xlpm.rc))))</f>
        <v/>
      </c>
      <c r="CN113" s="38" t="str">
        <f>IF(B113="","",F113-0.5)</f>
        <v/>
      </c>
      <c r="CO113" s="15" t="str" cm="1">
        <f t="array" ref="CO113">IF(B113="","",_xlfn.TEXTJOIN("",,MID(B113,_xlfn.SEQUENCE(LEN(B113),,LEN(B113),-1),1)))</f>
        <v/>
      </c>
      <c r="CP113" s="6" t="str" cm="1">
        <f t="array" ref="CP113">IF(B113="","",BASE2DEC(CO113,16))</f>
        <v/>
      </c>
      <c r="CQ113" s="5" t="str">
        <f>IF(B113="","",IF(AND(LEN(B113)&lt;16,LEN(B113)=LEN(SUBSTITUTE(SUBSTITUTE(SUBSTITUTE(SUBSTITUTE(SUBSTITUTE(SUBSTITUTE(B113,"a",""),"b",""),"c",""),"d",""),"e",""),"f",""))),--B113,""))</f>
        <v/>
      </c>
      <c r="CR113" s="6" t="str" cm="1">
        <f t="array" ref="CR113">IF(B113="","",IF(LEN(D113)&lt;=15,BASE2DEC(D113,16),""))</f>
        <v/>
      </c>
      <c r="CS113" s="15" t="str" cm="1">
        <f t="array" ref="CS113">IF(B113="","",_xlfn.LET(_xlpm.p,REPT("0",MOD(-LEN(B113),4))&amp;B113,_xlfn.TEXTJOIN(" ",,MID(_xlpm.p,_xlfn.SEQUENCE(LEN(_xlpm.p)/4,,1,4),4))))</f>
        <v/>
      </c>
      <c r="CT113" s="15" t="str" cm="1">
        <f t="array" ref="CT113">IF(B113="","",UPPER(_xlfn.LET(_xlpm.p,REPT("0",64-LEN(B113))&amp;B113,_xlfn.TEXTJOIN(" ",,MID(_xlpm.p,_xlfn.SEQUENCE(8,,1,8),8)))))</f>
        <v/>
      </c>
      <c r="CU113" s="6" t="str" cm="1">
        <f t="array" ref="CU113">IF(B113="","",IF(LEN(D113)&lt;=6,_xlfn.LET(_xlpm.n,VALUE(D113)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3" s="39" t="s">
        <v>888</v>
      </c>
      <c r="CW113" s="39" t="s">
        <v>888</v>
      </c>
      <c r="CX113" s="39" t="s">
        <v>888</v>
      </c>
      <c r="CY113" s="7" t="s">
        <v>888</v>
      </c>
      <c r="CZ113" s="39" t="s">
        <v>888</v>
      </c>
      <c r="DA113" s="39" t="s">
        <v>888</v>
      </c>
      <c r="DB113" s="39" t="s">
        <v>888</v>
      </c>
      <c r="DC113" s="7" t="s">
        <v>888</v>
      </c>
      <c r="DD113" s="7" t="s">
        <v>888</v>
      </c>
      <c r="DE113" s="7" t="s">
        <v>888</v>
      </c>
      <c r="DF113" s="7" t="s">
        <v>888</v>
      </c>
      <c r="DG113" s="7" t="s">
        <v>888</v>
      </c>
      <c r="DH113" s="39" t="s">
        <v>888</v>
      </c>
      <c r="DI113" s="7" t="s">
        <v>888</v>
      </c>
      <c r="DJ113" s="7" t="s">
        <v>888</v>
      </c>
      <c r="DK113" s="7" t="s">
        <v>888</v>
      </c>
      <c r="DL113" s="7" t="s">
        <v>888</v>
      </c>
      <c r="DM113" s="7" t="s">
        <v>888</v>
      </c>
      <c r="DN113" s="7" t="s">
        <v>888</v>
      </c>
      <c r="DO113" s="7" t="s">
        <v>888</v>
      </c>
      <c r="DP113" s="7" t="s">
        <v>888</v>
      </c>
      <c r="DQ113" s="7" t="s">
        <v>888</v>
      </c>
      <c r="DR113" s="7" t="s">
        <v>888</v>
      </c>
      <c r="DS113" s="7" t="s">
        <v>888</v>
      </c>
      <c r="DT113" s="15" t="str" cm="1">
        <f t="array" ref="DT113">IF(B113="","",_xlfn.TEXTJOIN("",,HEX2BIN(MID(BQ113,_xlfn.SEQUENCE(40),1),4)))</f>
        <v/>
      </c>
    </row>
    <row r="114" spans="1:124" x14ac:dyDescent="0.25">
      <c r="A114" s="9">
        <v>113</v>
      </c>
      <c r="B114" s="15" t="s">
        <v>888</v>
      </c>
      <c r="C114" s="15" t="s">
        <v>888</v>
      </c>
      <c r="D114" s="6" t="s">
        <v>888</v>
      </c>
      <c r="E114" s="6" t="s">
        <v>888</v>
      </c>
      <c r="F114" s="10" t="s">
        <v>888</v>
      </c>
      <c r="G114" s="9" t="s">
        <v>888</v>
      </c>
      <c r="H114" s="9" t="s">
        <v>888</v>
      </c>
      <c r="I114" s="15" t="s">
        <v>888</v>
      </c>
      <c r="J114" s="9" t="s">
        <v>888</v>
      </c>
      <c r="K114" s="15" t="s">
        <v>888</v>
      </c>
      <c r="L114" s="15" t="s">
        <v>888</v>
      </c>
      <c r="M114" s="15" t="s">
        <v>888</v>
      </c>
      <c r="N114" s="15" t="s">
        <v>888</v>
      </c>
      <c r="O114" s="6" t="s">
        <v>888</v>
      </c>
      <c r="P114" s="15" t="s">
        <v>888</v>
      </c>
      <c r="Q114" s="15" t="s">
        <v>888</v>
      </c>
      <c r="R114" s="6" t="s">
        <v>888</v>
      </c>
      <c r="S114" s="15" t="s">
        <v>888</v>
      </c>
      <c r="T114" s="11" t="s">
        <v>888</v>
      </c>
      <c r="U114" s="10" t="s">
        <v>888</v>
      </c>
      <c r="V114" s="7" t="s">
        <v>888</v>
      </c>
      <c r="W114" s="7" t="s">
        <v>888</v>
      </c>
      <c r="X114" s="7" t="s">
        <v>888</v>
      </c>
      <c r="Y114" s="15" t="s">
        <v>888</v>
      </c>
      <c r="Z114" s="9" t="s">
        <v>888</v>
      </c>
      <c r="AA114" s="9" t="s">
        <v>888</v>
      </c>
      <c r="AB114" s="9" t="s">
        <v>888</v>
      </c>
      <c r="AC114" s="13" t="s">
        <v>888</v>
      </c>
      <c r="AD114" s="13" t="s">
        <v>888</v>
      </c>
      <c r="AE114" s="9" t="s">
        <v>888</v>
      </c>
      <c r="AF114" s="9" t="s">
        <v>888</v>
      </c>
      <c r="AG114" s="9" t="s">
        <v>888</v>
      </c>
      <c r="AH114" s="6" t="s">
        <v>888</v>
      </c>
      <c r="AI114" s="10" t="s">
        <v>888</v>
      </c>
      <c r="AJ114" s="10" t="s">
        <v>888</v>
      </c>
      <c r="AK114" s="15" t="s">
        <v>888</v>
      </c>
      <c r="AL114" s="15" t="s">
        <v>888</v>
      </c>
      <c r="AM114" s="15" t="s">
        <v>888</v>
      </c>
      <c r="AN114" s="9" t="s">
        <v>888</v>
      </c>
      <c r="AO114" s="9" t="s">
        <v>888</v>
      </c>
      <c r="AP114" s="9" t="s">
        <v>888</v>
      </c>
      <c r="AQ114" s="15" t="s">
        <v>888</v>
      </c>
      <c r="AR114" s="9" t="s">
        <v>888</v>
      </c>
      <c r="AS114" s="6" t="s">
        <v>888</v>
      </c>
      <c r="AT114" s="15" t="s">
        <v>888</v>
      </c>
      <c r="AU114" s="9" t="s">
        <v>888</v>
      </c>
      <c r="AV114" s="9" t="s">
        <v>888</v>
      </c>
      <c r="AW114" s="9" t="s">
        <v>888</v>
      </c>
      <c r="AX114" s="9" t="s">
        <v>888</v>
      </c>
      <c r="AY114" s="9" t="s">
        <v>888</v>
      </c>
      <c r="AZ114" s="9" t="s">
        <v>888</v>
      </c>
      <c r="BA114" s="6" t="s">
        <v>888</v>
      </c>
      <c r="BB114" s="6" t="s">
        <v>888</v>
      </c>
      <c r="BC114" s="6" t="s">
        <v>888</v>
      </c>
      <c r="BD114" s="15" t="s">
        <v>888</v>
      </c>
      <c r="BE114" s="15" t="s">
        <v>888</v>
      </c>
      <c r="BF114" s="15" t="s">
        <v>888</v>
      </c>
      <c r="BG114" s="15" t="s">
        <v>888</v>
      </c>
      <c r="BH114" s="6" t="s">
        <v>888</v>
      </c>
      <c r="BI114" s="17" t="s">
        <v>888</v>
      </c>
      <c r="BJ114" s="7" t="s">
        <v>888</v>
      </c>
      <c r="BK114" s="7" t="s">
        <v>888</v>
      </c>
      <c r="BL114" s="7" t="s">
        <v>888</v>
      </c>
      <c r="BM114" s="16" t="s">
        <v>888</v>
      </c>
      <c r="BN114" s="16" t="s">
        <v>888</v>
      </c>
      <c r="BO114" s="16" t="s">
        <v>888</v>
      </c>
      <c r="BP114" s="16" t="s">
        <v>888</v>
      </c>
      <c r="BQ114" s="16" t="s">
        <v>888</v>
      </c>
      <c r="BR114" s="7" t="s">
        <v>888</v>
      </c>
      <c r="BS114" s="7" t="s">
        <v>888</v>
      </c>
      <c r="BT114" s="7" t="s">
        <v>888</v>
      </c>
      <c r="BU114" s="14" t="s">
        <v>888</v>
      </c>
      <c r="BV114" s="15" t="s">
        <v>888</v>
      </c>
      <c r="BW114" s="9" t="s">
        <v>888</v>
      </c>
      <c r="BX114" s="9" t="s">
        <v>888</v>
      </c>
      <c r="BY114" s="13" t="s">
        <v>888</v>
      </c>
      <c r="BZ114" s="13" t="s">
        <v>888</v>
      </c>
      <c r="CA114" s="12" t="str">
        <f>IF(B114="","",IF(A114&lt;8,"",_xlfn.LET(_xlpm.n,A114,_xlpm.k,G114,_xlpm.R,AP114,_xlpm.mu,1+2*_xlpm.k*(_xlpm.n-_xlpm.k)/_xlpm.n,_xlpm.v,2*_xlpm.k*(_xlpm.n-_xlpm.k)*(2*_xlpm.k*(_xlpm.n-_xlpm.k)-_xlpm.n)/(_xlpm.n^2*(_xlpm.n-1)),IF(_xlpm.v&lt;=0,"",(_xlpm.R-_xlpm.mu)/SQRT(_xlpm.v)))))</f>
        <v/>
      </c>
      <c r="CB114" s="37" t="str" cm="1">
        <f t="array" ref="CB114">IF(B114="","",IF(A114&lt;8,"",_xlfn.LET(_xlpm.b,--MID(C114,_xlfn.SEQUENCE(A114-1),1),_xlpm.c,--MID(C114,_xlfn.SEQUENCE(A114-1,,2),1),IFERROR(CORREL(_xlpm.b,_xlpm.c),""))))</f>
        <v/>
      </c>
      <c r="CC114" s="8" t="str">
        <f>IF(B114="","",LOG(A114,2))</f>
        <v/>
      </c>
      <c r="CD114" s="8" t="str">
        <f>IF(B114="","",MAX(AN114,AO114)-CC114)</f>
        <v/>
      </c>
      <c r="CE114" s="8" t="str" cm="1">
        <f t="array" ref="CE114">IF(B114="","",IF(LEN(B114)&lt;16,"",_xlfn.LET(_xlpm.d,MID("0123456789abcdef",_xlfn.SEQUENCE(16),1),_xlpm.c,LEN(B114)-LEN(SUBSTITUTE(B114,_xlpm.d,"")),_xlpm.ex,LEN(B114)/16,SUM((_xlpm.c-_xlpm.ex)^2/_xlpm.ex))))</f>
        <v/>
      </c>
      <c r="CF114" s="37" t="str">
        <f>IF(CE114="","",_xlfn.CHISQ.DIST.RT(CE114,15))</f>
        <v/>
      </c>
      <c r="CG114" s="9" t="str" cm="1">
        <f t="array" ref="CG114">IF(OR(B114="",B113=""),"",_xlfn.LET(_xlpm.a,C114,_xlpm.b,REPT("0",A114-LEN(C113))&amp;C113,_xlpm.m,MID(_xlpm.a,_xlfn.SEQUENCE(A114),1)=MID(_xlpm.b,_xlfn.SEQUENCE(A114),1),IFERROR(MATCH(FALSE,_xlpm.m,0)-1,A114)))</f>
        <v/>
      </c>
      <c r="CH114" s="9" t="str" cm="1">
        <f t="array" ref="CH114">IF(OR(B114="",B113=""),"",_xlfn.LET(_xlpm.a,C114,_xlpm.b,REPT("0",A114-LEN(C113))&amp;C113,_xlpm.n,A114,_xlpm.m,MID(_xlpm.a,_xlfn.SEQUENCE(_xlpm.n,,_xlpm.n,-1),1)=MID(_xlpm.b,_xlfn.SEQUENCE(_xlpm.n,,_xlpm.n,-1),1),IFERROR(MATCH(FALSE,_xlpm.m,0)-1,_xlpm.n)))</f>
        <v/>
      </c>
      <c r="CI114" s="38" t="str">
        <f>IF(OR(B114="",B113=""),"",F114-F113)</f>
        <v/>
      </c>
      <c r="CJ114" s="5" t="str">
        <f>IF(OR(B114="",B113=""),"",IFERROR(FIND(B113,B114)&gt;0,FALSE))</f>
        <v/>
      </c>
      <c r="CK114" s="5" t="str">
        <f>IF(OR(B114="",B113=""),"",IFERROR(FIND(C113,C114)&gt;0,FALSE))</f>
        <v/>
      </c>
      <c r="CL114" s="9" t="str">
        <f>IF(OR(B114="",B113=""),"",IFERROR(FIND(C113,C114),""))</f>
        <v/>
      </c>
      <c r="CM114" s="6" t="str" cm="1">
        <f t="array" ref="CM114">IF(OR(B114="",B113=""),"",_xlfn.LET(_xlpm.pv,D113,_xlpm.ra,BIGSUB(D114,_xlpm.pv),_xlpm.rb,BIGSUB(_xlpm.ra,_xlpm.pv),_xlpm.rc,BIGSUB(_xlpm.rb,_xlpm.pv),IF(LEFT(_xlpm.rb,1)="-",_xlpm.ra,IF(LEFT(_xlpm.rc,1)="-",_xlpm.rb,_xlpm.rc))))</f>
        <v/>
      </c>
      <c r="CN114" s="38" t="str">
        <f>IF(B114="","",F114-0.5)</f>
        <v/>
      </c>
      <c r="CO114" s="15" t="str" cm="1">
        <f t="array" ref="CO114">IF(B114="","",_xlfn.TEXTJOIN("",,MID(B114,_xlfn.SEQUENCE(LEN(B114),,LEN(B114),-1),1)))</f>
        <v/>
      </c>
      <c r="CP114" s="6" t="str" cm="1">
        <f t="array" ref="CP114">IF(B114="","",BASE2DEC(CO114,16))</f>
        <v/>
      </c>
      <c r="CQ114" s="5" t="str">
        <f>IF(B114="","",IF(AND(LEN(B114)&lt;16,LEN(B114)=LEN(SUBSTITUTE(SUBSTITUTE(SUBSTITUTE(SUBSTITUTE(SUBSTITUTE(SUBSTITUTE(B114,"a",""),"b",""),"c",""),"d",""),"e",""),"f",""))),--B114,""))</f>
        <v/>
      </c>
      <c r="CR114" s="6" t="str" cm="1">
        <f t="array" ref="CR114">IF(B114="","",IF(LEN(D114)&lt;=15,BASE2DEC(D114,16),""))</f>
        <v/>
      </c>
      <c r="CS114" s="15" t="str" cm="1">
        <f t="array" ref="CS114">IF(B114="","",_xlfn.LET(_xlpm.p,REPT("0",MOD(-LEN(B114),4))&amp;B114,_xlfn.TEXTJOIN(" ",,MID(_xlpm.p,_xlfn.SEQUENCE(LEN(_xlpm.p)/4,,1,4),4))))</f>
        <v/>
      </c>
      <c r="CT114" s="15" t="str" cm="1">
        <f t="array" ref="CT114">IF(B114="","",UPPER(_xlfn.LET(_xlpm.p,REPT("0",64-LEN(B114))&amp;B114,_xlfn.TEXTJOIN(" ",,MID(_xlpm.p,_xlfn.SEQUENCE(8,,1,8),8)))))</f>
        <v/>
      </c>
      <c r="CU114" s="6" t="str" cm="1">
        <f t="array" ref="CU114">IF(B114="","",IF(LEN(D114)&lt;=6,_xlfn.LET(_xlpm.n,VALUE(D114)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4" s="39" t="s">
        <v>888</v>
      </c>
      <c r="CW114" s="39" t="s">
        <v>888</v>
      </c>
      <c r="CX114" s="39" t="s">
        <v>888</v>
      </c>
      <c r="CY114" s="7" t="s">
        <v>888</v>
      </c>
      <c r="CZ114" s="39" t="s">
        <v>888</v>
      </c>
      <c r="DA114" s="39" t="s">
        <v>888</v>
      </c>
      <c r="DB114" s="39" t="s">
        <v>888</v>
      </c>
      <c r="DC114" s="7" t="s">
        <v>888</v>
      </c>
      <c r="DD114" s="7" t="s">
        <v>888</v>
      </c>
      <c r="DE114" s="7" t="s">
        <v>888</v>
      </c>
      <c r="DF114" s="7" t="s">
        <v>888</v>
      </c>
      <c r="DG114" s="7" t="s">
        <v>888</v>
      </c>
      <c r="DH114" s="39" t="s">
        <v>888</v>
      </c>
      <c r="DI114" s="7" t="s">
        <v>888</v>
      </c>
      <c r="DJ114" s="7" t="s">
        <v>888</v>
      </c>
      <c r="DK114" s="7" t="s">
        <v>888</v>
      </c>
      <c r="DL114" s="7" t="s">
        <v>888</v>
      </c>
      <c r="DM114" s="7" t="s">
        <v>888</v>
      </c>
      <c r="DN114" s="7" t="s">
        <v>888</v>
      </c>
      <c r="DO114" s="7" t="s">
        <v>888</v>
      </c>
      <c r="DP114" s="7" t="s">
        <v>888</v>
      </c>
      <c r="DQ114" s="7" t="s">
        <v>888</v>
      </c>
      <c r="DR114" s="7" t="s">
        <v>888</v>
      </c>
      <c r="DS114" s="7" t="s">
        <v>888</v>
      </c>
      <c r="DT114" s="15" t="str" cm="1">
        <f t="array" ref="DT114">IF(B114="","",_xlfn.TEXTJOIN("",,HEX2BIN(MID(BQ114,_xlfn.SEQUENCE(40),1),4)))</f>
        <v/>
      </c>
    </row>
    <row r="115" spans="1:124" x14ac:dyDescent="0.25">
      <c r="A115" s="9">
        <v>114</v>
      </c>
      <c r="B115" s="15" t="s">
        <v>888</v>
      </c>
      <c r="C115" s="15" t="s">
        <v>888</v>
      </c>
      <c r="D115" s="6" t="s">
        <v>888</v>
      </c>
      <c r="E115" s="6" t="s">
        <v>888</v>
      </c>
      <c r="F115" s="10" t="s">
        <v>888</v>
      </c>
      <c r="G115" s="9" t="s">
        <v>888</v>
      </c>
      <c r="H115" s="9" t="s">
        <v>888</v>
      </c>
      <c r="I115" s="15" t="s">
        <v>888</v>
      </c>
      <c r="J115" s="9" t="s">
        <v>888</v>
      </c>
      <c r="K115" s="15" t="s">
        <v>888</v>
      </c>
      <c r="L115" s="15" t="s">
        <v>888</v>
      </c>
      <c r="M115" s="15" t="s">
        <v>888</v>
      </c>
      <c r="N115" s="15" t="s">
        <v>888</v>
      </c>
      <c r="O115" s="6" t="s">
        <v>888</v>
      </c>
      <c r="P115" s="15" t="s">
        <v>888</v>
      </c>
      <c r="Q115" s="15" t="s">
        <v>888</v>
      </c>
      <c r="R115" s="6" t="s">
        <v>888</v>
      </c>
      <c r="S115" s="15" t="s">
        <v>888</v>
      </c>
      <c r="T115" s="11" t="s">
        <v>888</v>
      </c>
      <c r="U115" s="10" t="s">
        <v>888</v>
      </c>
      <c r="V115" s="7" t="s">
        <v>888</v>
      </c>
      <c r="W115" s="7" t="s">
        <v>888</v>
      </c>
      <c r="X115" s="7" t="s">
        <v>888</v>
      </c>
      <c r="Y115" s="15" t="s">
        <v>888</v>
      </c>
      <c r="Z115" s="9" t="s">
        <v>888</v>
      </c>
      <c r="AA115" s="9" t="s">
        <v>888</v>
      </c>
      <c r="AB115" s="9" t="s">
        <v>888</v>
      </c>
      <c r="AC115" s="13" t="s">
        <v>888</v>
      </c>
      <c r="AD115" s="13" t="s">
        <v>888</v>
      </c>
      <c r="AE115" s="9" t="s">
        <v>888</v>
      </c>
      <c r="AF115" s="9" t="s">
        <v>888</v>
      </c>
      <c r="AG115" s="9" t="s">
        <v>888</v>
      </c>
      <c r="AH115" s="6" t="s">
        <v>888</v>
      </c>
      <c r="AI115" s="10" t="s">
        <v>888</v>
      </c>
      <c r="AJ115" s="10" t="s">
        <v>888</v>
      </c>
      <c r="AK115" s="15" t="s">
        <v>888</v>
      </c>
      <c r="AL115" s="15" t="s">
        <v>888</v>
      </c>
      <c r="AM115" s="15" t="s">
        <v>888</v>
      </c>
      <c r="AN115" s="9" t="s">
        <v>888</v>
      </c>
      <c r="AO115" s="9" t="s">
        <v>888</v>
      </c>
      <c r="AP115" s="9" t="s">
        <v>888</v>
      </c>
      <c r="AQ115" s="15" t="s">
        <v>888</v>
      </c>
      <c r="AR115" s="9" t="s">
        <v>888</v>
      </c>
      <c r="AS115" s="6" t="s">
        <v>888</v>
      </c>
      <c r="AT115" s="15" t="s">
        <v>888</v>
      </c>
      <c r="AU115" s="9" t="s">
        <v>888</v>
      </c>
      <c r="AV115" s="9" t="s">
        <v>888</v>
      </c>
      <c r="AW115" s="9" t="s">
        <v>888</v>
      </c>
      <c r="AX115" s="9" t="s">
        <v>888</v>
      </c>
      <c r="AY115" s="9" t="s">
        <v>888</v>
      </c>
      <c r="AZ115" s="9" t="s">
        <v>888</v>
      </c>
      <c r="BA115" s="6" t="s">
        <v>888</v>
      </c>
      <c r="BB115" s="6" t="s">
        <v>888</v>
      </c>
      <c r="BC115" s="6" t="s">
        <v>888</v>
      </c>
      <c r="BD115" s="15" t="s">
        <v>888</v>
      </c>
      <c r="BE115" s="15" t="s">
        <v>888</v>
      </c>
      <c r="BF115" s="15" t="s">
        <v>888</v>
      </c>
      <c r="BG115" s="15" t="s">
        <v>888</v>
      </c>
      <c r="BH115" s="6" t="s">
        <v>888</v>
      </c>
      <c r="BI115" s="17" t="s">
        <v>888</v>
      </c>
      <c r="BJ115" s="7" t="s">
        <v>888</v>
      </c>
      <c r="BK115" s="7" t="s">
        <v>888</v>
      </c>
      <c r="BL115" s="7" t="s">
        <v>888</v>
      </c>
      <c r="BM115" s="16" t="s">
        <v>888</v>
      </c>
      <c r="BN115" s="16" t="s">
        <v>888</v>
      </c>
      <c r="BO115" s="16" t="s">
        <v>888</v>
      </c>
      <c r="BP115" s="16" t="s">
        <v>888</v>
      </c>
      <c r="BQ115" s="16" t="s">
        <v>888</v>
      </c>
      <c r="BR115" s="7" t="s">
        <v>888</v>
      </c>
      <c r="BS115" s="7" t="s">
        <v>888</v>
      </c>
      <c r="BT115" s="7" t="s">
        <v>888</v>
      </c>
      <c r="BU115" s="14" t="s">
        <v>888</v>
      </c>
      <c r="BV115" s="15" t="s">
        <v>888</v>
      </c>
      <c r="BW115" s="9" t="s">
        <v>888</v>
      </c>
      <c r="BX115" s="9" t="s">
        <v>888</v>
      </c>
      <c r="BY115" s="13" t="s">
        <v>888</v>
      </c>
      <c r="BZ115" s="13" t="s">
        <v>888</v>
      </c>
      <c r="CA115" s="12" t="str">
        <f>IF(B115="","",IF(A115&lt;8,"",_xlfn.LET(_xlpm.n,A115,_xlpm.k,G115,_xlpm.R,AP115,_xlpm.mu,1+2*_xlpm.k*(_xlpm.n-_xlpm.k)/_xlpm.n,_xlpm.v,2*_xlpm.k*(_xlpm.n-_xlpm.k)*(2*_xlpm.k*(_xlpm.n-_xlpm.k)-_xlpm.n)/(_xlpm.n^2*(_xlpm.n-1)),IF(_xlpm.v&lt;=0,"",(_xlpm.R-_xlpm.mu)/SQRT(_xlpm.v)))))</f>
        <v/>
      </c>
      <c r="CB115" s="37" t="str" cm="1">
        <f t="array" ref="CB115">IF(B115="","",IF(A115&lt;8,"",_xlfn.LET(_xlpm.b,--MID(C115,_xlfn.SEQUENCE(A115-1),1),_xlpm.c,--MID(C115,_xlfn.SEQUENCE(A115-1,,2),1),IFERROR(CORREL(_xlpm.b,_xlpm.c),""))))</f>
        <v/>
      </c>
      <c r="CC115" s="8" t="str">
        <f>IF(B115="","",LOG(A115,2))</f>
        <v/>
      </c>
      <c r="CD115" s="8" t="str">
        <f>IF(B115="","",MAX(AN115,AO115)-CC115)</f>
        <v/>
      </c>
      <c r="CE115" s="8" t="str" cm="1">
        <f t="array" ref="CE115">IF(B115="","",IF(LEN(B115)&lt;16,"",_xlfn.LET(_xlpm.d,MID("0123456789abcdef",_xlfn.SEQUENCE(16),1),_xlpm.c,LEN(B115)-LEN(SUBSTITUTE(B115,_xlpm.d,"")),_xlpm.ex,LEN(B115)/16,SUM((_xlpm.c-_xlpm.ex)^2/_xlpm.ex))))</f>
        <v/>
      </c>
      <c r="CF115" s="37" t="str">
        <f>IF(CE115="","",_xlfn.CHISQ.DIST.RT(CE115,15))</f>
        <v/>
      </c>
      <c r="CG115" s="9" t="str" cm="1">
        <f t="array" ref="CG115">IF(OR(B115="",B114=""),"",_xlfn.LET(_xlpm.a,C115,_xlpm.b,REPT("0",A115-LEN(C114))&amp;C114,_xlpm.m,MID(_xlpm.a,_xlfn.SEQUENCE(A115),1)=MID(_xlpm.b,_xlfn.SEQUENCE(A115),1),IFERROR(MATCH(FALSE,_xlpm.m,0)-1,A115)))</f>
        <v/>
      </c>
      <c r="CH115" s="9" t="str" cm="1">
        <f t="array" ref="CH115">IF(OR(B115="",B114=""),"",_xlfn.LET(_xlpm.a,C115,_xlpm.b,REPT("0",A115-LEN(C114))&amp;C114,_xlpm.n,A115,_xlpm.m,MID(_xlpm.a,_xlfn.SEQUENCE(_xlpm.n,,_xlpm.n,-1),1)=MID(_xlpm.b,_xlfn.SEQUENCE(_xlpm.n,,_xlpm.n,-1),1),IFERROR(MATCH(FALSE,_xlpm.m,0)-1,_xlpm.n)))</f>
        <v/>
      </c>
      <c r="CI115" s="38" t="str">
        <f>IF(OR(B115="",B114=""),"",F115-F114)</f>
        <v/>
      </c>
      <c r="CJ115" s="5" t="str">
        <f>IF(OR(B115="",B114=""),"",IFERROR(FIND(B114,B115)&gt;0,FALSE))</f>
        <v/>
      </c>
      <c r="CK115" s="5" t="str">
        <f>IF(OR(B115="",B114=""),"",IFERROR(FIND(C114,C115)&gt;0,FALSE))</f>
        <v/>
      </c>
      <c r="CL115" s="9" t="str">
        <f>IF(OR(B115="",B114=""),"",IFERROR(FIND(C114,C115),""))</f>
        <v/>
      </c>
      <c r="CM115" s="6" t="str" cm="1">
        <f t="array" ref="CM115">IF(OR(B115="",B114=""),"",_xlfn.LET(_xlpm.pv,D114,_xlpm.ra,BIGSUB(D115,_xlpm.pv),_xlpm.rb,BIGSUB(_xlpm.ra,_xlpm.pv),_xlpm.rc,BIGSUB(_xlpm.rb,_xlpm.pv),IF(LEFT(_xlpm.rb,1)="-",_xlpm.ra,IF(LEFT(_xlpm.rc,1)="-",_xlpm.rb,_xlpm.rc))))</f>
        <v/>
      </c>
      <c r="CN115" s="38" t="str">
        <f>IF(B115="","",F115-0.5)</f>
        <v/>
      </c>
      <c r="CO115" s="15" t="str" cm="1">
        <f t="array" ref="CO115">IF(B115="","",_xlfn.TEXTJOIN("",,MID(B115,_xlfn.SEQUENCE(LEN(B115),,LEN(B115),-1),1)))</f>
        <v/>
      </c>
      <c r="CP115" s="6" t="str" cm="1">
        <f t="array" ref="CP115">IF(B115="","",BASE2DEC(CO115,16))</f>
        <v/>
      </c>
      <c r="CQ115" s="5" t="str">
        <f>IF(B115="","",IF(AND(LEN(B115)&lt;16,LEN(B115)=LEN(SUBSTITUTE(SUBSTITUTE(SUBSTITUTE(SUBSTITUTE(SUBSTITUTE(SUBSTITUTE(B115,"a",""),"b",""),"c",""),"d",""),"e",""),"f",""))),--B115,""))</f>
        <v/>
      </c>
      <c r="CR115" s="6" t="str" cm="1">
        <f t="array" ref="CR115">IF(B115="","",IF(LEN(D115)&lt;=15,BASE2DEC(D115,16),""))</f>
        <v/>
      </c>
      <c r="CS115" s="15" t="str" cm="1">
        <f t="array" ref="CS115">IF(B115="","",_xlfn.LET(_xlpm.p,REPT("0",MOD(-LEN(B115),4))&amp;B115,_xlfn.TEXTJOIN(" ",,MID(_xlpm.p,_xlfn.SEQUENCE(LEN(_xlpm.p)/4,,1,4),4))))</f>
        <v/>
      </c>
      <c r="CT115" s="15" t="str" cm="1">
        <f t="array" ref="CT115">IF(B115="","",UPPER(_xlfn.LET(_xlpm.p,REPT("0",64-LEN(B115))&amp;B115,_xlfn.TEXTJOIN(" ",,MID(_xlpm.p,_xlfn.SEQUENCE(8,,1,8),8)))))</f>
        <v/>
      </c>
      <c r="CU115" s="6" t="str" cm="1">
        <f t="array" ref="CU115">IF(B115="","",IF(LEN(D115)&lt;=6,_xlfn.LET(_xlpm.n,VALUE(D115)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5" s="39" t="s">
        <v>888</v>
      </c>
      <c r="CW115" s="39" t="s">
        <v>888</v>
      </c>
      <c r="CX115" s="39" t="s">
        <v>888</v>
      </c>
      <c r="CY115" s="7" t="s">
        <v>888</v>
      </c>
      <c r="CZ115" s="39" t="s">
        <v>888</v>
      </c>
      <c r="DA115" s="39" t="s">
        <v>888</v>
      </c>
      <c r="DB115" s="39" t="s">
        <v>888</v>
      </c>
      <c r="DC115" s="7" t="s">
        <v>888</v>
      </c>
      <c r="DD115" s="7" t="s">
        <v>888</v>
      </c>
      <c r="DE115" s="7" t="s">
        <v>888</v>
      </c>
      <c r="DF115" s="7" t="s">
        <v>888</v>
      </c>
      <c r="DG115" s="7" t="s">
        <v>888</v>
      </c>
      <c r="DH115" s="39" t="s">
        <v>888</v>
      </c>
      <c r="DI115" s="7" t="s">
        <v>888</v>
      </c>
      <c r="DJ115" s="7" t="s">
        <v>888</v>
      </c>
      <c r="DK115" s="7" t="s">
        <v>888</v>
      </c>
      <c r="DL115" s="7" t="s">
        <v>888</v>
      </c>
      <c r="DM115" s="7" t="s">
        <v>888</v>
      </c>
      <c r="DN115" s="7" t="s">
        <v>888</v>
      </c>
      <c r="DO115" s="7" t="s">
        <v>888</v>
      </c>
      <c r="DP115" s="7" t="s">
        <v>888</v>
      </c>
      <c r="DQ115" s="7" t="s">
        <v>888</v>
      </c>
      <c r="DR115" s="7" t="s">
        <v>888</v>
      </c>
      <c r="DS115" s="7" t="s">
        <v>888</v>
      </c>
      <c r="DT115" s="15" t="str" cm="1">
        <f t="array" ref="DT115">IF(B115="","",_xlfn.TEXTJOIN("",,HEX2BIN(MID(BQ115,_xlfn.SEQUENCE(40),1),4)))</f>
        <v/>
      </c>
    </row>
    <row r="116" spans="1:124" x14ac:dyDescent="0.25">
      <c r="A116" s="9">
        <v>115</v>
      </c>
      <c r="B116" s="15" t="s">
        <v>4275</v>
      </c>
      <c r="C116" s="15" t="s">
        <v>4276</v>
      </c>
      <c r="D116" s="6" t="s">
        <v>4277</v>
      </c>
      <c r="E116" s="6" t="s">
        <v>4278</v>
      </c>
      <c r="F116" s="10">
        <v>0.51494242759130382</v>
      </c>
      <c r="G116" s="9">
        <v>59</v>
      </c>
      <c r="H116" s="9">
        <v>1</v>
      </c>
      <c r="I116" s="15" t="s">
        <v>888</v>
      </c>
      <c r="J116" s="9" t="s">
        <v>888</v>
      </c>
      <c r="K116" s="15" t="s">
        <v>4279</v>
      </c>
      <c r="L116" s="15" t="s">
        <v>4280</v>
      </c>
      <c r="M116" s="15" t="s">
        <v>4281</v>
      </c>
      <c r="N116" s="15" t="s">
        <v>4282</v>
      </c>
      <c r="O116" s="6" t="s">
        <v>4283</v>
      </c>
      <c r="P116" s="15" t="s">
        <v>4284</v>
      </c>
      <c r="Q116" s="15" t="s">
        <v>4285</v>
      </c>
      <c r="R116" s="6" t="s">
        <v>4286</v>
      </c>
      <c r="S116" s="15" t="s">
        <v>4287</v>
      </c>
      <c r="T116" s="11" t="s">
        <v>888</v>
      </c>
      <c r="U116" s="10">
        <v>0.5130434782608696</v>
      </c>
      <c r="V116" s="7" t="s">
        <v>913</v>
      </c>
      <c r="W116" s="7" t="s">
        <v>914</v>
      </c>
      <c r="X116" s="7" t="s">
        <v>915</v>
      </c>
      <c r="Y116" s="15" t="s">
        <v>4288</v>
      </c>
      <c r="Z116" s="9">
        <v>47</v>
      </c>
      <c r="AA116" s="9">
        <v>64</v>
      </c>
      <c r="AB116" s="9">
        <v>74</v>
      </c>
      <c r="AC116" s="13">
        <v>-1.9582600973046591</v>
      </c>
      <c r="AD116" s="13">
        <v>1.2122562507124079</v>
      </c>
      <c r="AE116" s="9">
        <v>35</v>
      </c>
      <c r="AF116" s="9">
        <v>138</v>
      </c>
      <c r="AG116" s="9">
        <v>3</v>
      </c>
      <c r="AH116" s="6" t="s">
        <v>4289</v>
      </c>
      <c r="AI116" s="10">
        <v>114.59926296795119</v>
      </c>
      <c r="AJ116" s="10">
        <v>113.04248304794925</v>
      </c>
      <c r="AK116" s="15" t="s">
        <v>4290</v>
      </c>
      <c r="AL116" s="15" t="s">
        <v>4291</v>
      </c>
      <c r="AM116" s="15" t="s">
        <v>4292</v>
      </c>
      <c r="AN116" s="9">
        <v>5</v>
      </c>
      <c r="AO116" s="9">
        <v>4</v>
      </c>
      <c r="AP116" s="9">
        <v>62</v>
      </c>
      <c r="AQ116" s="15" t="s">
        <v>4293</v>
      </c>
      <c r="AR116" s="9">
        <v>12</v>
      </c>
      <c r="AS116" s="6" t="s">
        <v>2081</v>
      </c>
      <c r="AT116" s="15" t="s">
        <v>4294</v>
      </c>
      <c r="AU116" s="9">
        <v>0</v>
      </c>
      <c r="AV116" s="9">
        <v>0</v>
      </c>
      <c r="AW116" s="9">
        <v>1</v>
      </c>
      <c r="AX116" s="9">
        <v>9</v>
      </c>
      <c r="AY116" s="9">
        <v>198</v>
      </c>
      <c r="AZ116" s="9">
        <v>39622</v>
      </c>
      <c r="BA116" s="6" t="s">
        <v>888</v>
      </c>
      <c r="BB116" s="6" t="s">
        <v>888</v>
      </c>
      <c r="BC116" s="6" t="s">
        <v>4295</v>
      </c>
      <c r="BD116" s="15" t="s">
        <v>4296</v>
      </c>
      <c r="BE116" s="15" t="s">
        <v>4297</v>
      </c>
      <c r="BF116" s="15" t="s">
        <v>4298</v>
      </c>
      <c r="BG116" s="15" t="s">
        <v>4299</v>
      </c>
      <c r="BH116" s="6" t="s">
        <v>4300</v>
      </c>
      <c r="BI116" s="17" t="s">
        <v>888</v>
      </c>
      <c r="BJ116" s="7" t="s">
        <v>1834</v>
      </c>
      <c r="BK116" s="7" t="s">
        <v>1835</v>
      </c>
      <c r="BL116" s="7" t="s">
        <v>1836</v>
      </c>
      <c r="BM116" s="16" t="s">
        <v>1837</v>
      </c>
      <c r="BN116" s="16" t="s">
        <v>1838</v>
      </c>
      <c r="BO116" s="16" t="s">
        <v>1839</v>
      </c>
      <c r="BP116" s="16" t="s">
        <v>1840</v>
      </c>
      <c r="BQ116" s="16" t="s">
        <v>1841</v>
      </c>
      <c r="BR116" s="7" t="s">
        <v>1842</v>
      </c>
      <c r="BS116" s="7" t="s">
        <v>1843</v>
      </c>
      <c r="BT116" s="7" t="s">
        <v>1844</v>
      </c>
      <c r="BU116" s="14">
        <v>2.717294716574985E-43</v>
      </c>
      <c r="BV116" s="15" t="s">
        <v>4301</v>
      </c>
      <c r="BW116" s="9">
        <v>56</v>
      </c>
      <c r="BX116" s="9">
        <v>63</v>
      </c>
      <c r="BY116" s="13">
        <v>-0.27975144247209416</v>
      </c>
      <c r="BZ116" s="13">
        <v>1.0257552890643451</v>
      </c>
      <c r="CA116" s="12">
        <f>IF(B116="","",IF(A116&lt;8,"",_xlfn.LET(_xlpm.n,A116,_xlpm.k,G116,_xlpm.R,AP116,_xlpm.mu,1+2*_xlpm.k*(_xlpm.n-_xlpm.k)/_xlpm.n,_xlpm.v,2*_xlpm.k*(_xlpm.n-_xlpm.k)*(2*_xlpm.k*(_xlpm.n-_xlpm.k)-_xlpm.n)/(_xlpm.n^2*(_xlpm.n-1)),IF(_xlpm.v&lt;=0,"",(_xlpm.R-_xlpm.mu)/SQRT(_xlpm.v)))))</f>
        <v>0.66342084983158867</v>
      </c>
      <c r="CB116" s="37" cm="1">
        <f t="array" ref="CB116">IF(B116="","",IF(A116&lt;8,"",_xlfn.LET(_xlpm.b,--MID(C116,_xlfn.SEQUENCE(A116-1),1),_xlpm.c,--MID(C116,_xlfn.SEQUENCE(A116-1,,2),1),IFERROR(CORREL(_xlpm.b,_xlpm.c),""))))</f>
        <v>-7.0845533512981215E-2</v>
      </c>
      <c r="CC116" s="8">
        <f>IF(B116="","",LOG(A116,2))</f>
        <v>6.8454900509443757</v>
      </c>
      <c r="CD116" s="8">
        <f>IF(B116="","",MAX(AN116,AO116)-CC116)</f>
        <v>-1.8454900509443757</v>
      </c>
      <c r="CE116" s="8" cm="1">
        <f t="array" ref="CE116">IF(B116="","",IF(LEN(B116)&lt;16,"",_xlfn.LET(_xlpm.d,MID("0123456789abcdef",_xlfn.SEQUENCE(16),1),_xlpm.c,LEN(B116)-LEN(SUBSTITUTE(B116,_xlpm.d,"")),_xlpm.ex,LEN(B116)/16,SUM((_xlpm.c-_xlpm.ex)^2/_xlpm.ex))))</f>
        <v>16.793103448275861</v>
      </c>
      <c r="CF116" s="37">
        <f>IF(CE116="","",_xlfn.CHISQ.DIST.RT(CE116,15))</f>
        <v>0.33138243809621154</v>
      </c>
      <c r="CG116" s="9" t="str" cm="1">
        <f t="array" ref="CG116">IF(OR(B116="",B115=""),"",_xlfn.LET(_xlpm.a,C116,_xlpm.b,REPT("0",A116-LEN(C115))&amp;C115,_xlpm.m,MID(_xlpm.a,_xlfn.SEQUENCE(A116),1)=MID(_xlpm.b,_xlfn.SEQUENCE(A116),1),IFERROR(MATCH(FALSE,_xlpm.m,0)-1,A116)))</f>
        <v/>
      </c>
      <c r="CH116" s="9" t="str" cm="1">
        <f t="array" ref="CH116">IF(OR(B116="",B115=""),"",_xlfn.LET(_xlpm.a,C116,_xlpm.b,REPT("0",A116-LEN(C115))&amp;C115,_xlpm.n,A116,_xlpm.m,MID(_xlpm.a,_xlfn.SEQUENCE(_xlpm.n,,_xlpm.n,-1),1)=MID(_xlpm.b,_xlfn.SEQUENCE(_xlpm.n,,_xlpm.n,-1),1),IFERROR(MATCH(FALSE,_xlpm.m,0)-1,_xlpm.n)))</f>
        <v/>
      </c>
      <c r="CI116" s="38" t="str">
        <f>IF(OR(B116="",B115=""),"",F116-F115)</f>
        <v/>
      </c>
      <c r="CJ116" s="5" t="str">
        <f>IF(OR(B116="",B115=""),"",IFERROR(FIND(B115,B116)&gt;0,FALSE))</f>
        <v/>
      </c>
      <c r="CK116" s="5" t="str">
        <f>IF(OR(B116="",B115=""),"",IFERROR(FIND(C115,C116)&gt;0,FALSE))</f>
        <v/>
      </c>
      <c r="CL116" s="9" t="str">
        <f>IF(OR(B116="",B115=""),"",IFERROR(FIND(C115,C116),""))</f>
        <v/>
      </c>
      <c r="CM116" s="6" t="str" cm="1">
        <f t="array" ref="CM116">IF(OR(B116="",B115=""),"",_xlfn.LET(_xlpm.pv,D115,_xlpm.ra,BIGSUB(D116,_xlpm.pv),_xlpm.rb,BIGSUB(_xlpm.ra,_xlpm.pv),_xlpm.rc,BIGSUB(_xlpm.rb,_xlpm.pv),IF(LEFT(_xlpm.rb,1)="-",_xlpm.ra,IF(LEFT(_xlpm.rc,1)="-",_xlpm.rb,_xlpm.rc))))</f>
        <v/>
      </c>
      <c r="CN116" s="38">
        <f>IF(B116="","",F116-0.5)</f>
        <v>1.494242759130382E-2</v>
      </c>
      <c r="CO116" s="15" t="str" cm="1">
        <f t="array" ref="CO116">IF(B116="","",_xlfn.TEXTJOIN("",,MID(B116,_xlfn.SEQUENCE(LEN(B116),,LEN(B116),-1),1)))</f>
        <v>6ca9069d16994eeed5f47511d4f06</v>
      </c>
      <c r="CP116" s="6" t="str" cm="1">
        <f t="array" ref="CP116">IF(B116="","",BASE2DEC(CO116,16))</f>
        <v>35262269495638780617469438856089350</v>
      </c>
      <c r="CQ116" s="5" t="str">
        <f>IF(B116="","",IF(AND(LEN(B116)&lt;16,LEN(B116)=LEN(SUBSTITUTE(SUBSTITUTE(SUBSTITUTE(SUBSTITUTE(SUBSTITUTE(SUBSTITUTE(B116,"a",""),"b",""),"c",""),"d",""),"e",""),"f",""))),--B116,""))</f>
        <v/>
      </c>
      <c r="CR116" s="6" t="str" cm="1">
        <f t="array" ref="CR116">IF(B116="","",IF(LEN(D116)&lt;=15,BASE2DEC(D116,16),""))</f>
        <v/>
      </c>
      <c r="CS116" s="15" t="str" cm="1">
        <f t="array" ref="CS116">IF(B116="","",_xlfn.LET(_xlpm.p,REPT("0",MOD(-LEN(B116),4))&amp;B116,_xlfn.TEXTJOIN(" ",,MID(_xlpm.p,_xlfn.SEQUENCE(LEN(_xlpm.p)/4,,1,4),4))))</f>
        <v>0006 0f4d 1157 4f5d eee4 9961 d960 9ac6</v>
      </c>
      <c r="CT116" s="15" t="str" cm="1">
        <f t="array" ref="CT116">IF(B116="","",UPPER(_xlfn.LET(_xlpm.p,REPT("0",64-LEN(B116))&amp;B116,_xlfn.TEXTJOIN(" ",,MID(_xlpm.p,_xlfn.SEQUENCE(8,,1,8),8)))))</f>
        <v>00000000 00000000 00000000 00000000 00060F4D 11574F5D EEE49961 D9609AC6</v>
      </c>
      <c r="CU116" s="6" t="str" cm="1">
        <f t="array" ref="CU116">IF(B116="","",IF(LEN(D116)&lt;=6,_xlfn.LET(_xlpm.n,VALUE(D116)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6" s="39" t="s">
        <v>4444</v>
      </c>
      <c r="CW116" s="39" t="s">
        <v>1895</v>
      </c>
      <c r="CX116" s="39" t="s">
        <v>2104</v>
      </c>
      <c r="CY116" s="7" t="s">
        <v>4882</v>
      </c>
      <c r="CZ116" s="39" t="s">
        <v>4444</v>
      </c>
      <c r="DA116" s="39" t="s">
        <v>4444</v>
      </c>
      <c r="DB116" s="39">
        <v>115</v>
      </c>
      <c r="DC116" s="7" t="s">
        <v>4883</v>
      </c>
      <c r="DD116" s="7" t="s">
        <v>4884</v>
      </c>
      <c r="DE116" s="7" t="s">
        <v>4885</v>
      </c>
      <c r="DF116" s="7" t="s">
        <v>4886</v>
      </c>
      <c r="DG116" s="7" t="s">
        <v>4887</v>
      </c>
      <c r="DH116" s="39" t="s">
        <v>4452</v>
      </c>
      <c r="DI116" s="7" t="s">
        <v>5703</v>
      </c>
      <c r="DJ116" s="7" t="s">
        <v>5704</v>
      </c>
      <c r="DK116" s="7" t="s">
        <v>5705</v>
      </c>
      <c r="DL116" s="7" t="s">
        <v>5706</v>
      </c>
      <c r="DM116" s="7" t="s">
        <v>5707</v>
      </c>
      <c r="DN116" s="7" t="s">
        <v>5708</v>
      </c>
      <c r="DO116" s="7" t="s">
        <v>5709</v>
      </c>
      <c r="DP116" s="7" t="s">
        <v>5710</v>
      </c>
      <c r="DQ116" s="7" t="s">
        <v>5711</v>
      </c>
      <c r="DR116" s="7" t="s">
        <v>5712</v>
      </c>
      <c r="DS116" s="7" t="s">
        <v>5833</v>
      </c>
      <c r="DT116" s="15" t="str" cm="1">
        <f t="array" ref="DT116">IF(B116="","",_xlfn.TEXTJOIN("",,HEX2BIN(MID(BQ116,_xlfn.SEQUENCE(40),1),4)))</f>
        <v>1000110011111100011100110000001001001010001101010000110100100101100111101111000000110101101000000111101000011110011001010001001000100011100011001100010001000101</v>
      </c>
    </row>
    <row r="117" spans="1:124" x14ac:dyDescent="0.25">
      <c r="A117" s="9">
        <v>116</v>
      </c>
      <c r="B117" s="15" t="s">
        <v>888</v>
      </c>
      <c r="C117" s="15" t="s">
        <v>888</v>
      </c>
      <c r="D117" s="6" t="s">
        <v>888</v>
      </c>
      <c r="E117" s="6" t="s">
        <v>888</v>
      </c>
      <c r="F117" s="10" t="s">
        <v>888</v>
      </c>
      <c r="G117" s="9" t="s">
        <v>888</v>
      </c>
      <c r="H117" s="9" t="s">
        <v>888</v>
      </c>
      <c r="I117" s="15" t="s">
        <v>888</v>
      </c>
      <c r="J117" s="9" t="s">
        <v>888</v>
      </c>
      <c r="K117" s="15" t="s">
        <v>888</v>
      </c>
      <c r="L117" s="15" t="s">
        <v>888</v>
      </c>
      <c r="M117" s="15" t="s">
        <v>888</v>
      </c>
      <c r="N117" s="15" t="s">
        <v>888</v>
      </c>
      <c r="O117" s="6" t="s">
        <v>888</v>
      </c>
      <c r="P117" s="15" t="s">
        <v>888</v>
      </c>
      <c r="Q117" s="15" t="s">
        <v>888</v>
      </c>
      <c r="R117" s="6" t="s">
        <v>888</v>
      </c>
      <c r="S117" s="15" t="s">
        <v>888</v>
      </c>
      <c r="T117" s="11" t="s">
        <v>888</v>
      </c>
      <c r="U117" s="10" t="s">
        <v>888</v>
      </c>
      <c r="V117" s="7" t="s">
        <v>888</v>
      </c>
      <c r="W117" s="7" t="s">
        <v>888</v>
      </c>
      <c r="X117" s="7" t="s">
        <v>888</v>
      </c>
      <c r="Y117" s="15" t="s">
        <v>888</v>
      </c>
      <c r="Z117" s="9" t="s">
        <v>888</v>
      </c>
      <c r="AA117" s="9" t="s">
        <v>888</v>
      </c>
      <c r="AB117" s="9" t="s">
        <v>888</v>
      </c>
      <c r="AC117" s="13" t="s">
        <v>888</v>
      </c>
      <c r="AD117" s="13" t="s">
        <v>888</v>
      </c>
      <c r="AE117" s="9" t="s">
        <v>888</v>
      </c>
      <c r="AF117" s="9" t="s">
        <v>888</v>
      </c>
      <c r="AG117" s="9" t="s">
        <v>888</v>
      </c>
      <c r="AH117" s="6" t="s">
        <v>888</v>
      </c>
      <c r="AI117" s="10" t="s">
        <v>888</v>
      </c>
      <c r="AJ117" s="10" t="s">
        <v>888</v>
      </c>
      <c r="AK117" s="15" t="s">
        <v>888</v>
      </c>
      <c r="AL117" s="15" t="s">
        <v>888</v>
      </c>
      <c r="AM117" s="15" t="s">
        <v>888</v>
      </c>
      <c r="AN117" s="9" t="s">
        <v>888</v>
      </c>
      <c r="AO117" s="9" t="s">
        <v>888</v>
      </c>
      <c r="AP117" s="9" t="s">
        <v>888</v>
      </c>
      <c r="AQ117" s="15" t="s">
        <v>888</v>
      </c>
      <c r="AR117" s="9" t="s">
        <v>888</v>
      </c>
      <c r="AS117" s="6" t="s">
        <v>888</v>
      </c>
      <c r="AT117" s="15" t="s">
        <v>888</v>
      </c>
      <c r="AU117" s="9" t="s">
        <v>888</v>
      </c>
      <c r="AV117" s="9" t="s">
        <v>888</v>
      </c>
      <c r="AW117" s="9" t="s">
        <v>888</v>
      </c>
      <c r="AX117" s="9" t="s">
        <v>888</v>
      </c>
      <c r="AY117" s="9" t="s">
        <v>888</v>
      </c>
      <c r="AZ117" s="9" t="s">
        <v>888</v>
      </c>
      <c r="BA117" s="6" t="s">
        <v>888</v>
      </c>
      <c r="BB117" s="6" t="s">
        <v>888</v>
      </c>
      <c r="BC117" s="6" t="s">
        <v>888</v>
      </c>
      <c r="BD117" s="15" t="s">
        <v>888</v>
      </c>
      <c r="BE117" s="15" t="s">
        <v>888</v>
      </c>
      <c r="BF117" s="15" t="s">
        <v>888</v>
      </c>
      <c r="BG117" s="15" t="s">
        <v>888</v>
      </c>
      <c r="BH117" s="6" t="s">
        <v>888</v>
      </c>
      <c r="BI117" s="17" t="s">
        <v>888</v>
      </c>
      <c r="BJ117" s="7" t="s">
        <v>888</v>
      </c>
      <c r="BK117" s="7" t="s">
        <v>888</v>
      </c>
      <c r="BL117" s="7" t="s">
        <v>888</v>
      </c>
      <c r="BM117" s="16" t="s">
        <v>888</v>
      </c>
      <c r="BN117" s="16" t="s">
        <v>888</v>
      </c>
      <c r="BO117" s="16" t="s">
        <v>888</v>
      </c>
      <c r="BP117" s="16" t="s">
        <v>888</v>
      </c>
      <c r="BQ117" s="16" t="s">
        <v>888</v>
      </c>
      <c r="BR117" s="7" t="s">
        <v>888</v>
      </c>
      <c r="BS117" s="7" t="s">
        <v>888</v>
      </c>
      <c r="BT117" s="7" t="s">
        <v>888</v>
      </c>
      <c r="BU117" s="14" t="s">
        <v>888</v>
      </c>
      <c r="BV117" s="15" t="s">
        <v>888</v>
      </c>
      <c r="BW117" s="9" t="s">
        <v>888</v>
      </c>
      <c r="BX117" s="9" t="s">
        <v>888</v>
      </c>
      <c r="BY117" s="13" t="s">
        <v>888</v>
      </c>
      <c r="BZ117" s="13" t="s">
        <v>888</v>
      </c>
      <c r="CA117" s="12" t="str">
        <f>IF(B117="","",IF(A117&lt;8,"",_xlfn.LET(_xlpm.n,A117,_xlpm.k,G117,_xlpm.R,AP117,_xlpm.mu,1+2*_xlpm.k*(_xlpm.n-_xlpm.k)/_xlpm.n,_xlpm.v,2*_xlpm.k*(_xlpm.n-_xlpm.k)*(2*_xlpm.k*(_xlpm.n-_xlpm.k)-_xlpm.n)/(_xlpm.n^2*(_xlpm.n-1)),IF(_xlpm.v&lt;=0,"",(_xlpm.R-_xlpm.mu)/SQRT(_xlpm.v)))))</f>
        <v/>
      </c>
      <c r="CB117" s="37" t="str" cm="1">
        <f t="array" ref="CB117">IF(B117="","",IF(A117&lt;8,"",_xlfn.LET(_xlpm.b,--MID(C117,_xlfn.SEQUENCE(A117-1),1),_xlpm.c,--MID(C117,_xlfn.SEQUENCE(A117-1,,2),1),IFERROR(CORREL(_xlpm.b,_xlpm.c),""))))</f>
        <v/>
      </c>
      <c r="CC117" s="8" t="str">
        <f>IF(B117="","",LOG(A117,2))</f>
        <v/>
      </c>
      <c r="CD117" s="8" t="str">
        <f>IF(B117="","",MAX(AN117,AO117)-CC117)</f>
        <v/>
      </c>
      <c r="CE117" s="8" t="str" cm="1">
        <f t="array" ref="CE117">IF(B117="","",IF(LEN(B117)&lt;16,"",_xlfn.LET(_xlpm.d,MID("0123456789abcdef",_xlfn.SEQUENCE(16),1),_xlpm.c,LEN(B117)-LEN(SUBSTITUTE(B117,_xlpm.d,"")),_xlpm.ex,LEN(B117)/16,SUM((_xlpm.c-_xlpm.ex)^2/_xlpm.ex))))</f>
        <v/>
      </c>
      <c r="CF117" s="37" t="str">
        <f>IF(CE117="","",_xlfn.CHISQ.DIST.RT(CE117,15))</f>
        <v/>
      </c>
      <c r="CG117" s="9" t="str" cm="1">
        <f t="array" ref="CG117">IF(OR(B117="",B116=""),"",_xlfn.LET(_xlpm.a,C117,_xlpm.b,REPT("0",A117-LEN(C116))&amp;C116,_xlpm.m,MID(_xlpm.a,_xlfn.SEQUENCE(A117),1)=MID(_xlpm.b,_xlfn.SEQUENCE(A117),1),IFERROR(MATCH(FALSE,_xlpm.m,0)-1,A117)))</f>
        <v/>
      </c>
      <c r="CH117" s="9" t="str" cm="1">
        <f t="array" ref="CH117">IF(OR(B117="",B116=""),"",_xlfn.LET(_xlpm.a,C117,_xlpm.b,REPT("0",A117-LEN(C116))&amp;C116,_xlpm.n,A117,_xlpm.m,MID(_xlpm.a,_xlfn.SEQUENCE(_xlpm.n,,_xlpm.n,-1),1)=MID(_xlpm.b,_xlfn.SEQUENCE(_xlpm.n,,_xlpm.n,-1),1),IFERROR(MATCH(FALSE,_xlpm.m,0)-1,_xlpm.n)))</f>
        <v/>
      </c>
      <c r="CI117" s="38" t="str">
        <f>IF(OR(B117="",B116=""),"",F117-F116)</f>
        <v/>
      </c>
      <c r="CJ117" s="5" t="str">
        <f>IF(OR(B117="",B116=""),"",IFERROR(FIND(B116,B117)&gt;0,FALSE))</f>
        <v/>
      </c>
      <c r="CK117" s="5" t="str">
        <f>IF(OR(B117="",B116=""),"",IFERROR(FIND(C116,C117)&gt;0,FALSE))</f>
        <v/>
      </c>
      <c r="CL117" s="9" t="str">
        <f>IF(OR(B117="",B116=""),"",IFERROR(FIND(C116,C117),""))</f>
        <v/>
      </c>
      <c r="CM117" s="6" t="str" cm="1">
        <f t="array" ref="CM117">IF(OR(B117="",B116=""),"",_xlfn.LET(_xlpm.pv,D116,_xlpm.ra,BIGSUB(D117,_xlpm.pv),_xlpm.rb,BIGSUB(_xlpm.ra,_xlpm.pv),_xlpm.rc,BIGSUB(_xlpm.rb,_xlpm.pv),IF(LEFT(_xlpm.rb,1)="-",_xlpm.ra,IF(LEFT(_xlpm.rc,1)="-",_xlpm.rb,_xlpm.rc))))</f>
        <v/>
      </c>
      <c r="CN117" s="38" t="str">
        <f>IF(B117="","",F117-0.5)</f>
        <v/>
      </c>
      <c r="CO117" s="15" t="str" cm="1">
        <f t="array" ref="CO117">IF(B117="","",_xlfn.TEXTJOIN("",,MID(B117,_xlfn.SEQUENCE(LEN(B117),,LEN(B117),-1),1)))</f>
        <v/>
      </c>
      <c r="CP117" s="6" t="str" cm="1">
        <f t="array" ref="CP117">IF(B117="","",BASE2DEC(CO117,16))</f>
        <v/>
      </c>
      <c r="CQ117" s="5" t="str">
        <f>IF(B117="","",IF(AND(LEN(B117)&lt;16,LEN(B117)=LEN(SUBSTITUTE(SUBSTITUTE(SUBSTITUTE(SUBSTITUTE(SUBSTITUTE(SUBSTITUTE(B117,"a",""),"b",""),"c",""),"d",""),"e",""),"f",""))),--B117,""))</f>
        <v/>
      </c>
      <c r="CR117" s="6" t="str" cm="1">
        <f t="array" ref="CR117">IF(B117="","",IF(LEN(D117)&lt;=15,BASE2DEC(D117,16),""))</f>
        <v/>
      </c>
      <c r="CS117" s="15" t="str" cm="1">
        <f t="array" ref="CS117">IF(B117="","",_xlfn.LET(_xlpm.p,REPT("0",MOD(-LEN(B117),4))&amp;B117,_xlfn.TEXTJOIN(" ",,MID(_xlpm.p,_xlfn.SEQUENCE(LEN(_xlpm.p)/4,,1,4),4))))</f>
        <v/>
      </c>
      <c r="CT117" s="15" t="str" cm="1">
        <f t="array" ref="CT117">IF(B117="","",UPPER(_xlfn.LET(_xlpm.p,REPT("0",64-LEN(B117))&amp;B117,_xlfn.TEXTJOIN(" ",,MID(_xlpm.p,_xlfn.SEQUENCE(8,,1,8),8)))))</f>
        <v/>
      </c>
      <c r="CU117" s="6" t="str" cm="1">
        <f t="array" ref="CU117">IF(B117="","",IF(LEN(D117)&lt;=6,_xlfn.LET(_xlpm.n,VALUE(D117)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7" s="39" t="s">
        <v>888</v>
      </c>
      <c r="CW117" s="39" t="s">
        <v>888</v>
      </c>
      <c r="CX117" s="39" t="s">
        <v>888</v>
      </c>
      <c r="CY117" s="7" t="s">
        <v>888</v>
      </c>
      <c r="CZ117" s="39" t="s">
        <v>888</v>
      </c>
      <c r="DA117" s="39" t="s">
        <v>888</v>
      </c>
      <c r="DB117" s="39" t="s">
        <v>888</v>
      </c>
      <c r="DC117" s="7" t="s">
        <v>888</v>
      </c>
      <c r="DD117" s="7" t="s">
        <v>888</v>
      </c>
      <c r="DE117" s="7" t="s">
        <v>888</v>
      </c>
      <c r="DF117" s="7" t="s">
        <v>888</v>
      </c>
      <c r="DG117" s="7" t="s">
        <v>888</v>
      </c>
      <c r="DH117" s="39" t="s">
        <v>888</v>
      </c>
      <c r="DI117" s="7" t="s">
        <v>888</v>
      </c>
      <c r="DJ117" s="7" t="s">
        <v>888</v>
      </c>
      <c r="DK117" s="7" t="s">
        <v>888</v>
      </c>
      <c r="DL117" s="7" t="s">
        <v>888</v>
      </c>
      <c r="DM117" s="7" t="s">
        <v>888</v>
      </c>
      <c r="DN117" s="7" t="s">
        <v>888</v>
      </c>
      <c r="DO117" s="7" t="s">
        <v>888</v>
      </c>
      <c r="DP117" s="7" t="s">
        <v>888</v>
      </c>
      <c r="DQ117" s="7" t="s">
        <v>888</v>
      </c>
      <c r="DR117" s="7" t="s">
        <v>888</v>
      </c>
      <c r="DS117" s="7" t="s">
        <v>888</v>
      </c>
      <c r="DT117" s="15" t="str" cm="1">
        <f t="array" ref="DT117">IF(B117="","",_xlfn.TEXTJOIN("",,HEX2BIN(MID(BQ117,_xlfn.SEQUENCE(40),1),4)))</f>
        <v/>
      </c>
    </row>
    <row r="118" spans="1:124" x14ac:dyDescent="0.25">
      <c r="A118" s="9">
        <v>117</v>
      </c>
      <c r="B118" s="15" t="s">
        <v>888</v>
      </c>
      <c r="C118" s="15" t="s">
        <v>888</v>
      </c>
      <c r="D118" s="6" t="s">
        <v>888</v>
      </c>
      <c r="E118" s="6" t="s">
        <v>888</v>
      </c>
      <c r="F118" s="10" t="s">
        <v>888</v>
      </c>
      <c r="G118" s="9" t="s">
        <v>888</v>
      </c>
      <c r="H118" s="9" t="s">
        <v>888</v>
      </c>
      <c r="I118" s="15" t="s">
        <v>888</v>
      </c>
      <c r="J118" s="9" t="s">
        <v>888</v>
      </c>
      <c r="K118" s="15" t="s">
        <v>888</v>
      </c>
      <c r="L118" s="15" t="s">
        <v>888</v>
      </c>
      <c r="M118" s="15" t="s">
        <v>888</v>
      </c>
      <c r="N118" s="15" t="s">
        <v>888</v>
      </c>
      <c r="O118" s="6" t="s">
        <v>888</v>
      </c>
      <c r="P118" s="15" t="s">
        <v>888</v>
      </c>
      <c r="Q118" s="15" t="s">
        <v>888</v>
      </c>
      <c r="R118" s="6" t="s">
        <v>888</v>
      </c>
      <c r="S118" s="15" t="s">
        <v>888</v>
      </c>
      <c r="T118" s="11" t="s">
        <v>888</v>
      </c>
      <c r="U118" s="10" t="s">
        <v>888</v>
      </c>
      <c r="V118" s="7" t="s">
        <v>888</v>
      </c>
      <c r="W118" s="7" t="s">
        <v>888</v>
      </c>
      <c r="X118" s="7" t="s">
        <v>888</v>
      </c>
      <c r="Y118" s="15" t="s">
        <v>888</v>
      </c>
      <c r="Z118" s="9" t="s">
        <v>888</v>
      </c>
      <c r="AA118" s="9" t="s">
        <v>888</v>
      </c>
      <c r="AB118" s="9" t="s">
        <v>888</v>
      </c>
      <c r="AC118" s="13" t="s">
        <v>888</v>
      </c>
      <c r="AD118" s="13" t="s">
        <v>888</v>
      </c>
      <c r="AE118" s="9" t="s">
        <v>888</v>
      </c>
      <c r="AF118" s="9" t="s">
        <v>888</v>
      </c>
      <c r="AG118" s="9" t="s">
        <v>888</v>
      </c>
      <c r="AH118" s="6" t="s">
        <v>888</v>
      </c>
      <c r="AI118" s="10" t="s">
        <v>888</v>
      </c>
      <c r="AJ118" s="10" t="s">
        <v>888</v>
      </c>
      <c r="AK118" s="15" t="s">
        <v>888</v>
      </c>
      <c r="AL118" s="15" t="s">
        <v>888</v>
      </c>
      <c r="AM118" s="15" t="s">
        <v>888</v>
      </c>
      <c r="AN118" s="9" t="s">
        <v>888</v>
      </c>
      <c r="AO118" s="9" t="s">
        <v>888</v>
      </c>
      <c r="AP118" s="9" t="s">
        <v>888</v>
      </c>
      <c r="AQ118" s="15" t="s">
        <v>888</v>
      </c>
      <c r="AR118" s="9" t="s">
        <v>888</v>
      </c>
      <c r="AS118" s="6" t="s">
        <v>888</v>
      </c>
      <c r="AT118" s="15" t="s">
        <v>888</v>
      </c>
      <c r="AU118" s="9" t="s">
        <v>888</v>
      </c>
      <c r="AV118" s="9" t="s">
        <v>888</v>
      </c>
      <c r="AW118" s="9" t="s">
        <v>888</v>
      </c>
      <c r="AX118" s="9" t="s">
        <v>888</v>
      </c>
      <c r="AY118" s="9" t="s">
        <v>888</v>
      </c>
      <c r="AZ118" s="9" t="s">
        <v>888</v>
      </c>
      <c r="BA118" s="6" t="s">
        <v>888</v>
      </c>
      <c r="BB118" s="6" t="s">
        <v>888</v>
      </c>
      <c r="BC118" s="6" t="s">
        <v>888</v>
      </c>
      <c r="BD118" s="15" t="s">
        <v>888</v>
      </c>
      <c r="BE118" s="15" t="s">
        <v>888</v>
      </c>
      <c r="BF118" s="15" t="s">
        <v>888</v>
      </c>
      <c r="BG118" s="15" t="s">
        <v>888</v>
      </c>
      <c r="BH118" s="6" t="s">
        <v>888</v>
      </c>
      <c r="BI118" s="17" t="s">
        <v>888</v>
      </c>
      <c r="BJ118" s="7" t="s">
        <v>888</v>
      </c>
      <c r="BK118" s="7" t="s">
        <v>888</v>
      </c>
      <c r="BL118" s="7" t="s">
        <v>888</v>
      </c>
      <c r="BM118" s="16" t="s">
        <v>888</v>
      </c>
      <c r="BN118" s="16" t="s">
        <v>888</v>
      </c>
      <c r="BO118" s="16" t="s">
        <v>888</v>
      </c>
      <c r="BP118" s="16" t="s">
        <v>888</v>
      </c>
      <c r="BQ118" s="16" t="s">
        <v>888</v>
      </c>
      <c r="BR118" s="7" t="s">
        <v>888</v>
      </c>
      <c r="BS118" s="7" t="s">
        <v>888</v>
      </c>
      <c r="BT118" s="7" t="s">
        <v>888</v>
      </c>
      <c r="BU118" s="14" t="s">
        <v>888</v>
      </c>
      <c r="BV118" s="15" t="s">
        <v>888</v>
      </c>
      <c r="BW118" s="9" t="s">
        <v>888</v>
      </c>
      <c r="BX118" s="9" t="s">
        <v>888</v>
      </c>
      <c r="BY118" s="13" t="s">
        <v>888</v>
      </c>
      <c r="BZ118" s="13" t="s">
        <v>888</v>
      </c>
      <c r="CA118" s="12" t="str">
        <f>IF(B118="","",IF(A118&lt;8,"",_xlfn.LET(_xlpm.n,A118,_xlpm.k,G118,_xlpm.R,AP118,_xlpm.mu,1+2*_xlpm.k*(_xlpm.n-_xlpm.k)/_xlpm.n,_xlpm.v,2*_xlpm.k*(_xlpm.n-_xlpm.k)*(2*_xlpm.k*(_xlpm.n-_xlpm.k)-_xlpm.n)/(_xlpm.n^2*(_xlpm.n-1)),IF(_xlpm.v&lt;=0,"",(_xlpm.R-_xlpm.mu)/SQRT(_xlpm.v)))))</f>
        <v/>
      </c>
      <c r="CB118" s="37" t="str" cm="1">
        <f t="array" ref="CB118">IF(B118="","",IF(A118&lt;8,"",_xlfn.LET(_xlpm.b,--MID(C118,_xlfn.SEQUENCE(A118-1),1),_xlpm.c,--MID(C118,_xlfn.SEQUENCE(A118-1,,2),1),IFERROR(CORREL(_xlpm.b,_xlpm.c),""))))</f>
        <v/>
      </c>
      <c r="CC118" s="8" t="str">
        <f>IF(B118="","",LOG(A118,2))</f>
        <v/>
      </c>
      <c r="CD118" s="8" t="str">
        <f>IF(B118="","",MAX(AN118,AO118)-CC118)</f>
        <v/>
      </c>
      <c r="CE118" s="8" t="str" cm="1">
        <f t="array" ref="CE118">IF(B118="","",IF(LEN(B118)&lt;16,"",_xlfn.LET(_xlpm.d,MID("0123456789abcdef",_xlfn.SEQUENCE(16),1),_xlpm.c,LEN(B118)-LEN(SUBSTITUTE(B118,_xlpm.d,"")),_xlpm.ex,LEN(B118)/16,SUM((_xlpm.c-_xlpm.ex)^2/_xlpm.ex))))</f>
        <v/>
      </c>
      <c r="CF118" s="37" t="str">
        <f>IF(CE118="","",_xlfn.CHISQ.DIST.RT(CE118,15))</f>
        <v/>
      </c>
      <c r="CG118" s="9" t="str" cm="1">
        <f t="array" ref="CG118">IF(OR(B118="",B117=""),"",_xlfn.LET(_xlpm.a,C118,_xlpm.b,REPT("0",A118-LEN(C117))&amp;C117,_xlpm.m,MID(_xlpm.a,_xlfn.SEQUENCE(A118),1)=MID(_xlpm.b,_xlfn.SEQUENCE(A118),1),IFERROR(MATCH(FALSE,_xlpm.m,0)-1,A118)))</f>
        <v/>
      </c>
      <c r="CH118" s="9" t="str" cm="1">
        <f t="array" ref="CH118">IF(OR(B118="",B117=""),"",_xlfn.LET(_xlpm.a,C118,_xlpm.b,REPT("0",A118-LEN(C117))&amp;C117,_xlpm.n,A118,_xlpm.m,MID(_xlpm.a,_xlfn.SEQUENCE(_xlpm.n,,_xlpm.n,-1),1)=MID(_xlpm.b,_xlfn.SEQUENCE(_xlpm.n,,_xlpm.n,-1),1),IFERROR(MATCH(FALSE,_xlpm.m,0)-1,_xlpm.n)))</f>
        <v/>
      </c>
      <c r="CI118" s="38" t="str">
        <f>IF(OR(B118="",B117=""),"",F118-F117)</f>
        <v/>
      </c>
      <c r="CJ118" s="5" t="str">
        <f>IF(OR(B118="",B117=""),"",IFERROR(FIND(B117,B118)&gt;0,FALSE))</f>
        <v/>
      </c>
      <c r="CK118" s="5" t="str">
        <f>IF(OR(B118="",B117=""),"",IFERROR(FIND(C117,C118)&gt;0,FALSE))</f>
        <v/>
      </c>
      <c r="CL118" s="9" t="str">
        <f>IF(OR(B118="",B117=""),"",IFERROR(FIND(C117,C118),""))</f>
        <v/>
      </c>
      <c r="CM118" s="6" t="str" cm="1">
        <f t="array" ref="CM118">IF(OR(B118="",B117=""),"",_xlfn.LET(_xlpm.pv,D117,_xlpm.ra,BIGSUB(D118,_xlpm.pv),_xlpm.rb,BIGSUB(_xlpm.ra,_xlpm.pv),_xlpm.rc,BIGSUB(_xlpm.rb,_xlpm.pv),IF(LEFT(_xlpm.rb,1)="-",_xlpm.ra,IF(LEFT(_xlpm.rc,1)="-",_xlpm.rb,_xlpm.rc))))</f>
        <v/>
      </c>
      <c r="CN118" s="38" t="str">
        <f>IF(B118="","",F118-0.5)</f>
        <v/>
      </c>
      <c r="CO118" s="15" t="str" cm="1">
        <f t="array" ref="CO118">IF(B118="","",_xlfn.TEXTJOIN("",,MID(B118,_xlfn.SEQUENCE(LEN(B118),,LEN(B118),-1),1)))</f>
        <v/>
      </c>
      <c r="CP118" s="6" t="str" cm="1">
        <f t="array" ref="CP118">IF(B118="","",BASE2DEC(CO118,16))</f>
        <v/>
      </c>
      <c r="CQ118" s="5" t="str">
        <f>IF(B118="","",IF(AND(LEN(B118)&lt;16,LEN(B118)=LEN(SUBSTITUTE(SUBSTITUTE(SUBSTITUTE(SUBSTITUTE(SUBSTITUTE(SUBSTITUTE(B118,"a",""),"b",""),"c",""),"d",""),"e",""),"f",""))),--B118,""))</f>
        <v/>
      </c>
      <c r="CR118" s="6" t="str" cm="1">
        <f t="array" ref="CR118">IF(B118="","",IF(LEN(D118)&lt;=15,BASE2DEC(D118,16),""))</f>
        <v/>
      </c>
      <c r="CS118" s="15" t="str" cm="1">
        <f t="array" ref="CS118">IF(B118="","",_xlfn.LET(_xlpm.p,REPT("0",MOD(-LEN(B118),4))&amp;B118,_xlfn.TEXTJOIN(" ",,MID(_xlpm.p,_xlfn.SEQUENCE(LEN(_xlpm.p)/4,,1,4),4))))</f>
        <v/>
      </c>
      <c r="CT118" s="15" t="str" cm="1">
        <f t="array" ref="CT118">IF(B118="","",UPPER(_xlfn.LET(_xlpm.p,REPT("0",64-LEN(B118))&amp;B118,_xlfn.TEXTJOIN(" ",,MID(_xlpm.p,_xlfn.SEQUENCE(8,,1,8),8)))))</f>
        <v/>
      </c>
      <c r="CU118" s="6" t="str" cm="1">
        <f t="array" ref="CU118">IF(B118="","",IF(LEN(D118)&lt;=6,_xlfn.LET(_xlpm.n,VALUE(D118)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8" s="39" t="s">
        <v>888</v>
      </c>
      <c r="CW118" s="39" t="s">
        <v>888</v>
      </c>
      <c r="CX118" s="39" t="s">
        <v>888</v>
      </c>
      <c r="CY118" s="7" t="s">
        <v>888</v>
      </c>
      <c r="CZ118" s="39" t="s">
        <v>888</v>
      </c>
      <c r="DA118" s="39" t="s">
        <v>888</v>
      </c>
      <c r="DB118" s="39" t="s">
        <v>888</v>
      </c>
      <c r="DC118" s="7" t="s">
        <v>888</v>
      </c>
      <c r="DD118" s="7" t="s">
        <v>888</v>
      </c>
      <c r="DE118" s="7" t="s">
        <v>888</v>
      </c>
      <c r="DF118" s="7" t="s">
        <v>888</v>
      </c>
      <c r="DG118" s="7" t="s">
        <v>888</v>
      </c>
      <c r="DH118" s="39" t="s">
        <v>888</v>
      </c>
      <c r="DI118" s="7" t="s">
        <v>888</v>
      </c>
      <c r="DJ118" s="7" t="s">
        <v>888</v>
      </c>
      <c r="DK118" s="7" t="s">
        <v>888</v>
      </c>
      <c r="DL118" s="7" t="s">
        <v>888</v>
      </c>
      <c r="DM118" s="7" t="s">
        <v>888</v>
      </c>
      <c r="DN118" s="7" t="s">
        <v>888</v>
      </c>
      <c r="DO118" s="7" t="s">
        <v>888</v>
      </c>
      <c r="DP118" s="7" t="s">
        <v>888</v>
      </c>
      <c r="DQ118" s="7" t="s">
        <v>888</v>
      </c>
      <c r="DR118" s="7" t="s">
        <v>888</v>
      </c>
      <c r="DS118" s="7" t="s">
        <v>888</v>
      </c>
      <c r="DT118" s="15" t="str" cm="1">
        <f t="array" ref="DT118">IF(B118="","",_xlfn.TEXTJOIN("",,HEX2BIN(MID(BQ118,_xlfn.SEQUENCE(40),1),4)))</f>
        <v/>
      </c>
    </row>
    <row r="119" spans="1:124" x14ac:dyDescent="0.25">
      <c r="A119" s="9">
        <v>118</v>
      </c>
      <c r="B119" s="15" t="s">
        <v>888</v>
      </c>
      <c r="C119" s="15" t="s">
        <v>888</v>
      </c>
      <c r="D119" s="6" t="s">
        <v>888</v>
      </c>
      <c r="E119" s="6" t="s">
        <v>888</v>
      </c>
      <c r="F119" s="10" t="s">
        <v>888</v>
      </c>
      <c r="G119" s="9" t="s">
        <v>888</v>
      </c>
      <c r="H119" s="9" t="s">
        <v>888</v>
      </c>
      <c r="I119" s="15" t="s">
        <v>888</v>
      </c>
      <c r="J119" s="9" t="s">
        <v>888</v>
      </c>
      <c r="K119" s="15" t="s">
        <v>888</v>
      </c>
      <c r="L119" s="15" t="s">
        <v>888</v>
      </c>
      <c r="M119" s="15" t="s">
        <v>888</v>
      </c>
      <c r="N119" s="15" t="s">
        <v>888</v>
      </c>
      <c r="O119" s="6" t="s">
        <v>888</v>
      </c>
      <c r="P119" s="15" t="s">
        <v>888</v>
      </c>
      <c r="Q119" s="15" t="s">
        <v>888</v>
      </c>
      <c r="R119" s="6" t="s">
        <v>888</v>
      </c>
      <c r="S119" s="15" t="s">
        <v>888</v>
      </c>
      <c r="T119" s="11" t="s">
        <v>888</v>
      </c>
      <c r="U119" s="10" t="s">
        <v>888</v>
      </c>
      <c r="V119" s="7" t="s">
        <v>888</v>
      </c>
      <c r="W119" s="7" t="s">
        <v>888</v>
      </c>
      <c r="X119" s="7" t="s">
        <v>888</v>
      </c>
      <c r="Y119" s="15" t="s">
        <v>888</v>
      </c>
      <c r="Z119" s="9" t="s">
        <v>888</v>
      </c>
      <c r="AA119" s="9" t="s">
        <v>888</v>
      </c>
      <c r="AB119" s="9" t="s">
        <v>888</v>
      </c>
      <c r="AC119" s="13" t="s">
        <v>888</v>
      </c>
      <c r="AD119" s="13" t="s">
        <v>888</v>
      </c>
      <c r="AE119" s="9" t="s">
        <v>888</v>
      </c>
      <c r="AF119" s="9" t="s">
        <v>888</v>
      </c>
      <c r="AG119" s="9" t="s">
        <v>888</v>
      </c>
      <c r="AH119" s="6" t="s">
        <v>888</v>
      </c>
      <c r="AI119" s="10" t="s">
        <v>888</v>
      </c>
      <c r="AJ119" s="10" t="s">
        <v>888</v>
      </c>
      <c r="AK119" s="15" t="s">
        <v>888</v>
      </c>
      <c r="AL119" s="15" t="s">
        <v>888</v>
      </c>
      <c r="AM119" s="15" t="s">
        <v>888</v>
      </c>
      <c r="AN119" s="9" t="s">
        <v>888</v>
      </c>
      <c r="AO119" s="9" t="s">
        <v>888</v>
      </c>
      <c r="AP119" s="9" t="s">
        <v>888</v>
      </c>
      <c r="AQ119" s="15" t="s">
        <v>888</v>
      </c>
      <c r="AR119" s="9" t="s">
        <v>888</v>
      </c>
      <c r="AS119" s="6" t="s">
        <v>888</v>
      </c>
      <c r="AT119" s="15" t="s">
        <v>888</v>
      </c>
      <c r="AU119" s="9" t="s">
        <v>888</v>
      </c>
      <c r="AV119" s="9" t="s">
        <v>888</v>
      </c>
      <c r="AW119" s="9" t="s">
        <v>888</v>
      </c>
      <c r="AX119" s="9" t="s">
        <v>888</v>
      </c>
      <c r="AY119" s="9" t="s">
        <v>888</v>
      </c>
      <c r="AZ119" s="9" t="s">
        <v>888</v>
      </c>
      <c r="BA119" s="6" t="s">
        <v>888</v>
      </c>
      <c r="BB119" s="6" t="s">
        <v>888</v>
      </c>
      <c r="BC119" s="6" t="s">
        <v>888</v>
      </c>
      <c r="BD119" s="15" t="s">
        <v>888</v>
      </c>
      <c r="BE119" s="15" t="s">
        <v>888</v>
      </c>
      <c r="BF119" s="15" t="s">
        <v>888</v>
      </c>
      <c r="BG119" s="15" t="s">
        <v>888</v>
      </c>
      <c r="BH119" s="6" t="s">
        <v>888</v>
      </c>
      <c r="BI119" s="17" t="s">
        <v>888</v>
      </c>
      <c r="BJ119" s="7" t="s">
        <v>888</v>
      </c>
      <c r="BK119" s="7" t="s">
        <v>888</v>
      </c>
      <c r="BL119" s="7" t="s">
        <v>888</v>
      </c>
      <c r="BM119" s="16" t="s">
        <v>888</v>
      </c>
      <c r="BN119" s="16" t="s">
        <v>888</v>
      </c>
      <c r="BO119" s="16" t="s">
        <v>888</v>
      </c>
      <c r="BP119" s="16" t="s">
        <v>888</v>
      </c>
      <c r="BQ119" s="16" t="s">
        <v>888</v>
      </c>
      <c r="BR119" s="7" t="s">
        <v>888</v>
      </c>
      <c r="BS119" s="7" t="s">
        <v>888</v>
      </c>
      <c r="BT119" s="7" t="s">
        <v>888</v>
      </c>
      <c r="BU119" s="14" t="s">
        <v>888</v>
      </c>
      <c r="BV119" s="15" t="s">
        <v>888</v>
      </c>
      <c r="BW119" s="9" t="s">
        <v>888</v>
      </c>
      <c r="BX119" s="9" t="s">
        <v>888</v>
      </c>
      <c r="BY119" s="13" t="s">
        <v>888</v>
      </c>
      <c r="BZ119" s="13" t="s">
        <v>888</v>
      </c>
      <c r="CA119" s="12" t="str">
        <f>IF(B119="","",IF(A119&lt;8,"",_xlfn.LET(_xlpm.n,A119,_xlpm.k,G119,_xlpm.R,AP119,_xlpm.mu,1+2*_xlpm.k*(_xlpm.n-_xlpm.k)/_xlpm.n,_xlpm.v,2*_xlpm.k*(_xlpm.n-_xlpm.k)*(2*_xlpm.k*(_xlpm.n-_xlpm.k)-_xlpm.n)/(_xlpm.n^2*(_xlpm.n-1)),IF(_xlpm.v&lt;=0,"",(_xlpm.R-_xlpm.mu)/SQRT(_xlpm.v)))))</f>
        <v/>
      </c>
      <c r="CB119" s="37" t="str" cm="1">
        <f t="array" ref="CB119">IF(B119="","",IF(A119&lt;8,"",_xlfn.LET(_xlpm.b,--MID(C119,_xlfn.SEQUENCE(A119-1),1),_xlpm.c,--MID(C119,_xlfn.SEQUENCE(A119-1,,2),1),IFERROR(CORREL(_xlpm.b,_xlpm.c),""))))</f>
        <v/>
      </c>
      <c r="CC119" s="8" t="str">
        <f>IF(B119="","",LOG(A119,2))</f>
        <v/>
      </c>
      <c r="CD119" s="8" t="str">
        <f>IF(B119="","",MAX(AN119,AO119)-CC119)</f>
        <v/>
      </c>
      <c r="CE119" s="8" t="str" cm="1">
        <f t="array" ref="CE119">IF(B119="","",IF(LEN(B119)&lt;16,"",_xlfn.LET(_xlpm.d,MID("0123456789abcdef",_xlfn.SEQUENCE(16),1),_xlpm.c,LEN(B119)-LEN(SUBSTITUTE(B119,_xlpm.d,"")),_xlpm.ex,LEN(B119)/16,SUM((_xlpm.c-_xlpm.ex)^2/_xlpm.ex))))</f>
        <v/>
      </c>
      <c r="CF119" s="37" t="str">
        <f>IF(CE119="","",_xlfn.CHISQ.DIST.RT(CE119,15))</f>
        <v/>
      </c>
      <c r="CG119" s="9" t="str" cm="1">
        <f t="array" ref="CG119">IF(OR(B119="",B118=""),"",_xlfn.LET(_xlpm.a,C119,_xlpm.b,REPT("0",A119-LEN(C118))&amp;C118,_xlpm.m,MID(_xlpm.a,_xlfn.SEQUENCE(A119),1)=MID(_xlpm.b,_xlfn.SEQUENCE(A119),1),IFERROR(MATCH(FALSE,_xlpm.m,0)-1,A119)))</f>
        <v/>
      </c>
      <c r="CH119" s="9" t="str" cm="1">
        <f t="array" ref="CH119">IF(OR(B119="",B118=""),"",_xlfn.LET(_xlpm.a,C119,_xlpm.b,REPT("0",A119-LEN(C118))&amp;C118,_xlpm.n,A119,_xlpm.m,MID(_xlpm.a,_xlfn.SEQUENCE(_xlpm.n,,_xlpm.n,-1),1)=MID(_xlpm.b,_xlfn.SEQUENCE(_xlpm.n,,_xlpm.n,-1),1),IFERROR(MATCH(FALSE,_xlpm.m,0)-1,_xlpm.n)))</f>
        <v/>
      </c>
      <c r="CI119" s="38" t="str">
        <f>IF(OR(B119="",B118=""),"",F119-F118)</f>
        <v/>
      </c>
      <c r="CJ119" s="5" t="str">
        <f>IF(OR(B119="",B118=""),"",IFERROR(FIND(B118,B119)&gt;0,FALSE))</f>
        <v/>
      </c>
      <c r="CK119" s="5" t="str">
        <f>IF(OR(B119="",B118=""),"",IFERROR(FIND(C118,C119)&gt;0,FALSE))</f>
        <v/>
      </c>
      <c r="CL119" s="9" t="str">
        <f>IF(OR(B119="",B118=""),"",IFERROR(FIND(C118,C119),""))</f>
        <v/>
      </c>
      <c r="CM119" s="6" t="str" cm="1">
        <f t="array" ref="CM119">IF(OR(B119="",B118=""),"",_xlfn.LET(_xlpm.pv,D118,_xlpm.ra,BIGSUB(D119,_xlpm.pv),_xlpm.rb,BIGSUB(_xlpm.ra,_xlpm.pv),_xlpm.rc,BIGSUB(_xlpm.rb,_xlpm.pv),IF(LEFT(_xlpm.rb,1)="-",_xlpm.ra,IF(LEFT(_xlpm.rc,1)="-",_xlpm.rb,_xlpm.rc))))</f>
        <v/>
      </c>
      <c r="CN119" s="38" t="str">
        <f>IF(B119="","",F119-0.5)</f>
        <v/>
      </c>
      <c r="CO119" s="15" t="str" cm="1">
        <f t="array" ref="CO119">IF(B119="","",_xlfn.TEXTJOIN("",,MID(B119,_xlfn.SEQUENCE(LEN(B119),,LEN(B119),-1),1)))</f>
        <v/>
      </c>
      <c r="CP119" s="6" t="str" cm="1">
        <f t="array" ref="CP119">IF(B119="","",BASE2DEC(CO119,16))</f>
        <v/>
      </c>
      <c r="CQ119" s="5" t="str">
        <f>IF(B119="","",IF(AND(LEN(B119)&lt;16,LEN(B119)=LEN(SUBSTITUTE(SUBSTITUTE(SUBSTITUTE(SUBSTITUTE(SUBSTITUTE(SUBSTITUTE(B119,"a",""),"b",""),"c",""),"d",""),"e",""),"f",""))),--B119,""))</f>
        <v/>
      </c>
      <c r="CR119" s="6" t="str" cm="1">
        <f t="array" ref="CR119">IF(B119="","",IF(LEN(D119)&lt;=15,BASE2DEC(D119,16),""))</f>
        <v/>
      </c>
      <c r="CS119" s="15" t="str" cm="1">
        <f t="array" ref="CS119">IF(B119="","",_xlfn.LET(_xlpm.p,REPT("0",MOD(-LEN(B119),4))&amp;B119,_xlfn.TEXTJOIN(" ",,MID(_xlpm.p,_xlfn.SEQUENCE(LEN(_xlpm.p)/4,,1,4),4))))</f>
        <v/>
      </c>
      <c r="CT119" s="15" t="str" cm="1">
        <f t="array" ref="CT119">IF(B119="","",UPPER(_xlfn.LET(_xlpm.p,REPT("0",64-LEN(B119))&amp;B119,_xlfn.TEXTJOIN(" ",,MID(_xlpm.p,_xlfn.SEQUENCE(8,,1,8),8)))))</f>
        <v/>
      </c>
      <c r="CU119" s="6" t="str" cm="1">
        <f t="array" ref="CU119">IF(B119="","",IF(LEN(D119)&lt;=6,_xlfn.LET(_xlpm.n,VALUE(D119)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19" s="39" t="s">
        <v>888</v>
      </c>
      <c r="CW119" s="39" t="s">
        <v>888</v>
      </c>
      <c r="CX119" s="39" t="s">
        <v>888</v>
      </c>
      <c r="CY119" s="7" t="s">
        <v>888</v>
      </c>
      <c r="CZ119" s="39" t="s">
        <v>888</v>
      </c>
      <c r="DA119" s="39" t="s">
        <v>888</v>
      </c>
      <c r="DB119" s="39" t="s">
        <v>888</v>
      </c>
      <c r="DC119" s="7" t="s">
        <v>888</v>
      </c>
      <c r="DD119" s="7" t="s">
        <v>888</v>
      </c>
      <c r="DE119" s="7" t="s">
        <v>888</v>
      </c>
      <c r="DF119" s="7" t="s">
        <v>888</v>
      </c>
      <c r="DG119" s="7" t="s">
        <v>888</v>
      </c>
      <c r="DH119" s="39" t="s">
        <v>888</v>
      </c>
      <c r="DI119" s="7" t="s">
        <v>888</v>
      </c>
      <c r="DJ119" s="7" t="s">
        <v>888</v>
      </c>
      <c r="DK119" s="7" t="s">
        <v>888</v>
      </c>
      <c r="DL119" s="7" t="s">
        <v>888</v>
      </c>
      <c r="DM119" s="7" t="s">
        <v>888</v>
      </c>
      <c r="DN119" s="7" t="s">
        <v>888</v>
      </c>
      <c r="DO119" s="7" t="s">
        <v>888</v>
      </c>
      <c r="DP119" s="7" t="s">
        <v>888</v>
      </c>
      <c r="DQ119" s="7" t="s">
        <v>888</v>
      </c>
      <c r="DR119" s="7" t="s">
        <v>888</v>
      </c>
      <c r="DS119" s="7" t="s">
        <v>888</v>
      </c>
      <c r="DT119" s="15" t="str" cm="1">
        <f t="array" ref="DT119">IF(B119="","",_xlfn.TEXTJOIN("",,HEX2BIN(MID(BQ119,_xlfn.SEQUENCE(40),1),4)))</f>
        <v/>
      </c>
    </row>
    <row r="120" spans="1:124" x14ac:dyDescent="0.25">
      <c r="A120" s="9">
        <v>119</v>
      </c>
      <c r="B120" s="15" t="s">
        <v>888</v>
      </c>
      <c r="C120" s="15" t="s">
        <v>888</v>
      </c>
      <c r="D120" s="6" t="s">
        <v>888</v>
      </c>
      <c r="E120" s="6" t="s">
        <v>888</v>
      </c>
      <c r="F120" s="10" t="s">
        <v>888</v>
      </c>
      <c r="G120" s="9" t="s">
        <v>888</v>
      </c>
      <c r="H120" s="9" t="s">
        <v>888</v>
      </c>
      <c r="I120" s="15" t="s">
        <v>888</v>
      </c>
      <c r="J120" s="9" t="s">
        <v>888</v>
      </c>
      <c r="K120" s="15" t="s">
        <v>888</v>
      </c>
      <c r="L120" s="15" t="s">
        <v>888</v>
      </c>
      <c r="M120" s="15" t="s">
        <v>888</v>
      </c>
      <c r="N120" s="15" t="s">
        <v>888</v>
      </c>
      <c r="O120" s="6" t="s">
        <v>888</v>
      </c>
      <c r="P120" s="15" t="s">
        <v>888</v>
      </c>
      <c r="Q120" s="15" t="s">
        <v>888</v>
      </c>
      <c r="R120" s="6" t="s">
        <v>888</v>
      </c>
      <c r="S120" s="15" t="s">
        <v>888</v>
      </c>
      <c r="T120" s="11" t="s">
        <v>888</v>
      </c>
      <c r="U120" s="10" t="s">
        <v>888</v>
      </c>
      <c r="V120" s="7" t="s">
        <v>888</v>
      </c>
      <c r="W120" s="7" t="s">
        <v>888</v>
      </c>
      <c r="X120" s="7" t="s">
        <v>888</v>
      </c>
      <c r="Y120" s="15" t="s">
        <v>888</v>
      </c>
      <c r="Z120" s="9" t="s">
        <v>888</v>
      </c>
      <c r="AA120" s="9" t="s">
        <v>888</v>
      </c>
      <c r="AB120" s="9" t="s">
        <v>888</v>
      </c>
      <c r="AC120" s="13" t="s">
        <v>888</v>
      </c>
      <c r="AD120" s="13" t="s">
        <v>888</v>
      </c>
      <c r="AE120" s="9" t="s">
        <v>888</v>
      </c>
      <c r="AF120" s="9" t="s">
        <v>888</v>
      </c>
      <c r="AG120" s="9" t="s">
        <v>888</v>
      </c>
      <c r="AH120" s="6" t="s">
        <v>888</v>
      </c>
      <c r="AI120" s="10" t="s">
        <v>888</v>
      </c>
      <c r="AJ120" s="10" t="s">
        <v>888</v>
      </c>
      <c r="AK120" s="15" t="s">
        <v>888</v>
      </c>
      <c r="AL120" s="15" t="s">
        <v>888</v>
      </c>
      <c r="AM120" s="15" t="s">
        <v>888</v>
      </c>
      <c r="AN120" s="9" t="s">
        <v>888</v>
      </c>
      <c r="AO120" s="9" t="s">
        <v>888</v>
      </c>
      <c r="AP120" s="9" t="s">
        <v>888</v>
      </c>
      <c r="AQ120" s="15" t="s">
        <v>888</v>
      </c>
      <c r="AR120" s="9" t="s">
        <v>888</v>
      </c>
      <c r="AS120" s="6" t="s">
        <v>888</v>
      </c>
      <c r="AT120" s="15" t="s">
        <v>888</v>
      </c>
      <c r="AU120" s="9" t="s">
        <v>888</v>
      </c>
      <c r="AV120" s="9" t="s">
        <v>888</v>
      </c>
      <c r="AW120" s="9" t="s">
        <v>888</v>
      </c>
      <c r="AX120" s="9" t="s">
        <v>888</v>
      </c>
      <c r="AY120" s="9" t="s">
        <v>888</v>
      </c>
      <c r="AZ120" s="9" t="s">
        <v>888</v>
      </c>
      <c r="BA120" s="6" t="s">
        <v>888</v>
      </c>
      <c r="BB120" s="6" t="s">
        <v>888</v>
      </c>
      <c r="BC120" s="6" t="s">
        <v>888</v>
      </c>
      <c r="BD120" s="15" t="s">
        <v>888</v>
      </c>
      <c r="BE120" s="15" t="s">
        <v>888</v>
      </c>
      <c r="BF120" s="15" t="s">
        <v>888</v>
      </c>
      <c r="BG120" s="15" t="s">
        <v>888</v>
      </c>
      <c r="BH120" s="6" t="s">
        <v>888</v>
      </c>
      <c r="BI120" s="17" t="s">
        <v>888</v>
      </c>
      <c r="BJ120" s="7" t="s">
        <v>888</v>
      </c>
      <c r="BK120" s="7" t="s">
        <v>888</v>
      </c>
      <c r="BL120" s="7" t="s">
        <v>888</v>
      </c>
      <c r="BM120" s="16" t="s">
        <v>888</v>
      </c>
      <c r="BN120" s="16" t="s">
        <v>888</v>
      </c>
      <c r="BO120" s="16" t="s">
        <v>888</v>
      </c>
      <c r="BP120" s="16" t="s">
        <v>888</v>
      </c>
      <c r="BQ120" s="16" t="s">
        <v>888</v>
      </c>
      <c r="BR120" s="7" t="s">
        <v>888</v>
      </c>
      <c r="BS120" s="7" t="s">
        <v>888</v>
      </c>
      <c r="BT120" s="7" t="s">
        <v>888</v>
      </c>
      <c r="BU120" s="14" t="s">
        <v>888</v>
      </c>
      <c r="BV120" s="15" t="s">
        <v>888</v>
      </c>
      <c r="BW120" s="9" t="s">
        <v>888</v>
      </c>
      <c r="BX120" s="9" t="s">
        <v>888</v>
      </c>
      <c r="BY120" s="13" t="s">
        <v>888</v>
      </c>
      <c r="BZ120" s="13" t="s">
        <v>888</v>
      </c>
      <c r="CA120" s="12" t="str">
        <f>IF(B120="","",IF(A120&lt;8,"",_xlfn.LET(_xlpm.n,A120,_xlpm.k,G120,_xlpm.R,AP120,_xlpm.mu,1+2*_xlpm.k*(_xlpm.n-_xlpm.k)/_xlpm.n,_xlpm.v,2*_xlpm.k*(_xlpm.n-_xlpm.k)*(2*_xlpm.k*(_xlpm.n-_xlpm.k)-_xlpm.n)/(_xlpm.n^2*(_xlpm.n-1)),IF(_xlpm.v&lt;=0,"",(_xlpm.R-_xlpm.mu)/SQRT(_xlpm.v)))))</f>
        <v/>
      </c>
      <c r="CB120" s="37" t="str" cm="1">
        <f t="array" ref="CB120">IF(B120="","",IF(A120&lt;8,"",_xlfn.LET(_xlpm.b,--MID(C120,_xlfn.SEQUENCE(A120-1),1),_xlpm.c,--MID(C120,_xlfn.SEQUENCE(A120-1,,2),1),IFERROR(CORREL(_xlpm.b,_xlpm.c),""))))</f>
        <v/>
      </c>
      <c r="CC120" s="8" t="str">
        <f>IF(B120="","",LOG(A120,2))</f>
        <v/>
      </c>
      <c r="CD120" s="8" t="str">
        <f>IF(B120="","",MAX(AN120,AO120)-CC120)</f>
        <v/>
      </c>
      <c r="CE120" s="8" t="str" cm="1">
        <f t="array" ref="CE120">IF(B120="","",IF(LEN(B120)&lt;16,"",_xlfn.LET(_xlpm.d,MID("0123456789abcdef",_xlfn.SEQUENCE(16),1),_xlpm.c,LEN(B120)-LEN(SUBSTITUTE(B120,_xlpm.d,"")),_xlpm.ex,LEN(B120)/16,SUM((_xlpm.c-_xlpm.ex)^2/_xlpm.ex))))</f>
        <v/>
      </c>
      <c r="CF120" s="37" t="str">
        <f>IF(CE120="","",_xlfn.CHISQ.DIST.RT(CE120,15))</f>
        <v/>
      </c>
      <c r="CG120" s="9" t="str" cm="1">
        <f t="array" ref="CG120">IF(OR(B120="",B119=""),"",_xlfn.LET(_xlpm.a,C120,_xlpm.b,REPT("0",A120-LEN(C119))&amp;C119,_xlpm.m,MID(_xlpm.a,_xlfn.SEQUENCE(A120),1)=MID(_xlpm.b,_xlfn.SEQUENCE(A120),1),IFERROR(MATCH(FALSE,_xlpm.m,0)-1,A120)))</f>
        <v/>
      </c>
      <c r="CH120" s="9" t="str" cm="1">
        <f t="array" ref="CH120">IF(OR(B120="",B119=""),"",_xlfn.LET(_xlpm.a,C120,_xlpm.b,REPT("0",A120-LEN(C119))&amp;C119,_xlpm.n,A120,_xlpm.m,MID(_xlpm.a,_xlfn.SEQUENCE(_xlpm.n,,_xlpm.n,-1),1)=MID(_xlpm.b,_xlfn.SEQUENCE(_xlpm.n,,_xlpm.n,-1),1),IFERROR(MATCH(FALSE,_xlpm.m,0)-1,_xlpm.n)))</f>
        <v/>
      </c>
      <c r="CI120" s="38" t="str">
        <f>IF(OR(B120="",B119=""),"",F120-F119)</f>
        <v/>
      </c>
      <c r="CJ120" s="5" t="str">
        <f>IF(OR(B120="",B119=""),"",IFERROR(FIND(B119,B120)&gt;0,FALSE))</f>
        <v/>
      </c>
      <c r="CK120" s="5" t="str">
        <f>IF(OR(B120="",B119=""),"",IFERROR(FIND(C119,C120)&gt;0,FALSE))</f>
        <v/>
      </c>
      <c r="CL120" s="9" t="str">
        <f>IF(OR(B120="",B119=""),"",IFERROR(FIND(C119,C120),""))</f>
        <v/>
      </c>
      <c r="CM120" s="6" t="str" cm="1">
        <f t="array" ref="CM120">IF(OR(B120="",B119=""),"",_xlfn.LET(_xlpm.pv,D119,_xlpm.ra,BIGSUB(D120,_xlpm.pv),_xlpm.rb,BIGSUB(_xlpm.ra,_xlpm.pv),_xlpm.rc,BIGSUB(_xlpm.rb,_xlpm.pv),IF(LEFT(_xlpm.rb,1)="-",_xlpm.ra,IF(LEFT(_xlpm.rc,1)="-",_xlpm.rb,_xlpm.rc))))</f>
        <v/>
      </c>
      <c r="CN120" s="38" t="str">
        <f>IF(B120="","",F120-0.5)</f>
        <v/>
      </c>
      <c r="CO120" s="15" t="str" cm="1">
        <f t="array" ref="CO120">IF(B120="","",_xlfn.TEXTJOIN("",,MID(B120,_xlfn.SEQUENCE(LEN(B120),,LEN(B120),-1),1)))</f>
        <v/>
      </c>
      <c r="CP120" s="6" t="str" cm="1">
        <f t="array" ref="CP120">IF(B120="","",BASE2DEC(CO120,16))</f>
        <v/>
      </c>
      <c r="CQ120" s="5" t="str">
        <f>IF(B120="","",IF(AND(LEN(B120)&lt;16,LEN(B120)=LEN(SUBSTITUTE(SUBSTITUTE(SUBSTITUTE(SUBSTITUTE(SUBSTITUTE(SUBSTITUTE(B120,"a",""),"b",""),"c",""),"d",""),"e",""),"f",""))),--B120,""))</f>
        <v/>
      </c>
      <c r="CR120" s="6" t="str" cm="1">
        <f t="array" ref="CR120">IF(B120="","",IF(LEN(D120)&lt;=15,BASE2DEC(D120,16),""))</f>
        <v/>
      </c>
      <c r="CS120" s="15" t="str" cm="1">
        <f t="array" ref="CS120">IF(B120="","",_xlfn.LET(_xlpm.p,REPT("0",MOD(-LEN(B120),4))&amp;B120,_xlfn.TEXTJOIN(" ",,MID(_xlpm.p,_xlfn.SEQUENCE(LEN(_xlpm.p)/4,,1,4),4))))</f>
        <v/>
      </c>
      <c r="CT120" s="15" t="str" cm="1">
        <f t="array" ref="CT120">IF(B120="","",UPPER(_xlfn.LET(_xlpm.p,REPT("0",64-LEN(B120))&amp;B120,_xlfn.TEXTJOIN(" ",,MID(_xlpm.p,_xlfn.SEQUENCE(8,,1,8),8)))))</f>
        <v/>
      </c>
      <c r="CU120" s="6" t="str" cm="1">
        <f t="array" ref="CU120">IF(B120="","",IF(LEN(D120)&lt;=6,_xlfn.LET(_xlpm.n,VALUE(D120)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0" s="39" t="s">
        <v>888</v>
      </c>
      <c r="CW120" s="39" t="s">
        <v>888</v>
      </c>
      <c r="CX120" s="39" t="s">
        <v>888</v>
      </c>
      <c r="CY120" s="7" t="s">
        <v>888</v>
      </c>
      <c r="CZ120" s="39" t="s">
        <v>888</v>
      </c>
      <c r="DA120" s="39" t="s">
        <v>888</v>
      </c>
      <c r="DB120" s="39" t="s">
        <v>888</v>
      </c>
      <c r="DC120" s="7" t="s">
        <v>888</v>
      </c>
      <c r="DD120" s="7" t="s">
        <v>888</v>
      </c>
      <c r="DE120" s="7" t="s">
        <v>888</v>
      </c>
      <c r="DF120" s="7" t="s">
        <v>888</v>
      </c>
      <c r="DG120" s="7" t="s">
        <v>888</v>
      </c>
      <c r="DH120" s="39" t="s">
        <v>888</v>
      </c>
      <c r="DI120" s="7" t="s">
        <v>888</v>
      </c>
      <c r="DJ120" s="7" t="s">
        <v>888</v>
      </c>
      <c r="DK120" s="7" t="s">
        <v>888</v>
      </c>
      <c r="DL120" s="7" t="s">
        <v>888</v>
      </c>
      <c r="DM120" s="7" t="s">
        <v>888</v>
      </c>
      <c r="DN120" s="7" t="s">
        <v>888</v>
      </c>
      <c r="DO120" s="7" t="s">
        <v>888</v>
      </c>
      <c r="DP120" s="7" t="s">
        <v>888</v>
      </c>
      <c r="DQ120" s="7" t="s">
        <v>888</v>
      </c>
      <c r="DR120" s="7" t="s">
        <v>888</v>
      </c>
      <c r="DS120" s="7" t="s">
        <v>888</v>
      </c>
      <c r="DT120" s="15" t="str" cm="1">
        <f t="array" ref="DT120">IF(B120="","",_xlfn.TEXTJOIN("",,HEX2BIN(MID(BQ120,_xlfn.SEQUENCE(40),1),4)))</f>
        <v/>
      </c>
    </row>
    <row r="121" spans="1:124" x14ac:dyDescent="0.25">
      <c r="A121" s="9">
        <v>120</v>
      </c>
      <c r="B121" s="15" t="s">
        <v>4302</v>
      </c>
      <c r="C121" s="15" t="s">
        <v>4303</v>
      </c>
      <c r="D121" s="6" t="s">
        <v>4304</v>
      </c>
      <c r="E121" s="6" t="s">
        <v>4305</v>
      </c>
      <c r="F121" s="10">
        <v>0.38327435738080873</v>
      </c>
      <c r="G121" s="9">
        <v>59</v>
      </c>
      <c r="H121" s="9">
        <v>0</v>
      </c>
      <c r="I121" s="15" t="s">
        <v>888</v>
      </c>
      <c r="J121" s="9" t="s">
        <v>888</v>
      </c>
      <c r="K121" s="15" t="s">
        <v>4306</v>
      </c>
      <c r="L121" s="15" t="s">
        <v>4307</v>
      </c>
      <c r="M121" s="15" t="s">
        <v>4308</v>
      </c>
      <c r="N121" s="15" t="s">
        <v>4309</v>
      </c>
      <c r="O121" s="6" t="s">
        <v>4310</v>
      </c>
      <c r="P121" s="15" t="s">
        <v>4311</v>
      </c>
      <c r="Q121" s="15" t="s">
        <v>4312</v>
      </c>
      <c r="R121" s="6" t="s">
        <v>4313</v>
      </c>
      <c r="S121" s="15" t="s">
        <v>4314</v>
      </c>
      <c r="T121" s="11" t="s">
        <v>888</v>
      </c>
      <c r="U121" s="10">
        <v>0.49166666666666664</v>
      </c>
      <c r="V121" s="7" t="s">
        <v>916</v>
      </c>
      <c r="W121" s="7" t="s">
        <v>917</v>
      </c>
      <c r="X121" s="7" t="s">
        <v>918</v>
      </c>
      <c r="Y121" s="15" t="s">
        <v>4315</v>
      </c>
      <c r="Z121" s="9">
        <v>57</v>
      </c>
      <c r="AA121" s="9">
        <v>60</v>
      </c>
      <c r="AB121" s="9">
        <v>73</v>
      </c>
      <c r="AC121" s="13">
        <v>-0.54772255750516607</v>
      </c>
      <c r="AD121" s="13">
        <v>0</v>
      </c>
      <c r="AE121" s="9">
        <v>36</v>
      </c>
      <c r="AF121" s="9">
        <v>133</v>
      </c>
      <c r="AG121" s="9">
        <v>7</v>
      </c>
      <c r="AH121" s="6" t="s">
        <v>4316</v>
      </c>
      <c r="AI121" s="10">
        <v>119.46808732769408</v>
      </c>
      <c r="AJ121" s="10">
        <v>117.6164493842919</v>
      </c>
      <c r="AK121" s="15" t="s">
        <v>4317</v>
      </c>
      <c r="AL121" s="15" t="s">
        <v>4318</v>
      </c>
      <c r="AM121" s="15" t="s">
        <v>4319</v>
      </c>
      <c r="AN121" s="9">
        <v>5</v>
      </c>
      <c r="AO121" s="9">
        <v>7</v>
      </c>
      <c r="AP121" s="9">
        <v>57</v>
      </c>
      <c r="AQ121" s="15" t="s">
        <v>4320</v>
      </c>
      <c r="AR121" s="9">
        <v>15</v>
      </c>
      <c r="AS121" s="6" t="s">
        <v>1895</v>
      </c>
      <c r="AT121" s="15" t="s">
        <v>4321</v>
      </c>
      <c r="AU121" s="9">
        <v>1</v>
      </c>
      <c r="AV121" s="9">
        <v>3</v>
      </c>
      <c r="AW121" s="9">
        <v>6</v>
      </c>
      <c r="AX121" s="9">
        <v>7</v>
      </c>
      <c r="AY121" s="9">
        <v>35</v>
      </c>
      <c r="AZ121" s="9">
        <v>64547</v>
      </c>
      <c r="BA121" s="6" t="s">
        <v>888</v>
      </c>
      <c r="BB121" s="6" t="s">
        <v>888</v>
      </c>
      <c r="BC121" s="6" t="s">
        <v>4322</v>
      </c>
      <c r="BD121" s="15" t="s">
        <v>4323</v>
      </c>
      <c r="BE121" s="15" t="s">
        <v>4324</v>
      </c>
      <c r="BF121" s="15" t="s">
        <v>4325</v>
      </c>
      <c r="BG121" s="15" t="s">
        <v>4326</v>
      </c>
      <c r="BH121" s="6" t="s">
        <v>4327</v>
      </c>
      <c r="BI121" s="17" t="s">
        <v>888</v>
      </c>
      <c r="BJ121" s="7" t="s">
        <v>1845</v>
      </c>
      <c r="BK121" s="7" t="s">
        <v>1846</v>
      </c>
      <c r="BL121" s="7" t="s">
        <v>1847</v>
      </c>
      <c r="BM121" s="16" t="s">
        <v>1848</v>
      </c>
      <c r="BN121" s="16" t="s">
        <v>1849</v>
      </c>
      <c r="BO121" s="16" t="s">
        <v>1850</v>
      </c>
      <c r="BP121" s="16" t="s">
        <v>1851</v>
      </c>
      <c r="BQ121" s="16" t="s">
        <v>1852</v>
      </c>
      <c r="BR121" s="7" t="s">
        <v>1853</v>
      </c>
      <c r="BS121" s="7" t="s">
        <v>1854</v>
      </c>
      <c r="BT121" s="7" t="s">
        <v>1855</v>
      </c>
      <c r="BU121" s="14">
        <v>7.9396054332933273E-42</v>
      </c>
      <c r="BV121" s="15" t="s">
        <v>4328</v>
      </c>
      <c r="BW121" s="9">
        <v>65</v>
      </c>
      <c r="BX121" s="9">
        <v>71</v>
      </c>
      <c r="BY121" s="13">
        <v>0.9128709291752769</v>
      </c>
      <c r="BZ121" s="13">
        <v>2.0083160441856092</v>
      </c>
      <c r="CA121" s="12">
        <f>IF(B121="","",IF(A121&lt;8,"",_xlfn.LET(_xlpm.n,A121,_xlpm.k,G121,_xlpm.R,AP121,_xlpm.mu,1+2*_xlpm.k*(_xlpm.n-_xlpm.k)/_xlpm.n,_xlpm.v,2*_xlpm.k*(_xlpm.n-_xlpm.k)*(2*_xlpm.k*(_xlpm.n-_xlpm.k)-_xlpm.n)/(_xlpm.n^2*(_xlpm.n-1)),IF(_xlpm.v&lt;=0,"",(_xlpm.R-_xlpm.mu)/SQRT(_xlpm.v)))))</f>
        <v>-0.73053356875578446</v>
      </c>
      <c r="CB121" s="37" cm="1">
        <f t="array" ref="CB121">IF(B121="","",IF(A121&lt;8,"",_xlfn.LET(_xlpm.b,--MID(C121,_xlfn.SEQUENCE(A121-1),1),_xlpm.c,--MID(C121,_xlfn.SEQUENCE(A121-1,,2),1),IFERROR(CORREL(_xlpm.b,_xlpm.c),""))))</f>
        <v>5.8224985867722005E-2</v>
      </c>
      <c r="CC121" s="8">
        <f>IF(B121="","",LOG(A121,2))</f>
        <v>6.9068905956085187</v>
      </c>
      <c r="CD121" s="8">
        <f>IF(B121="","",MAX(AN121,AO121)-CC121)</f>
        <v>9.3109404391481299E-2</v>
      </c>
      <c r="CE121" s="8" cm="1">
        <f t="array" ref="CE121">IF(B121="","",IF(LEN(B121)&lt;16,"",_xlfn.LET(_xlpm.d,MID("0123456789abcdef",_xlfn.SEQUENCE(16),1),_xlpm.c,LEN(B121)-LEN(SUBSTITUTE(B121,_xlpm.d,"")),_xlpm.ex,LEN(B121)/16,SUM((_xlpm.c-_xlpm.ex)^2/_xlpm.ex))))</f>
        <v>11.599999999999998</v>
      </c>
      <c r="CF121" s="37">
        <f>IF(CE121="","",_xlfn.CHISQ.DIST.RT(CE121,15))</f>
        <v>0.70901862134369376</v>
      </c>
      <c r="CG121" s="9" t="str" cm="1">
        <f t="array" ref="CG121">IF(OR(B121="",B120=""),"",_xlfn.LET(_xlpm.a,C121,_xlpm.b,REPT("0",A121-LEN(C120))&amp;C120,_xlpm.m,MID(_xlpm.a,_xlfn.SEQUENCE(A121),1)=MID(_xlpm.b,_xlfn.SEQUENCE(A121),1),IFERROR(MATCH(FALSE,_xlpm.m,0)-1,A121)))</f>
        <v/>
      </c>
      <c r="CH121" s="9" t="str" cm="1">
        <f t="array" ref="CH121">IF(OR(B121="",B120=""),"",_xlfn.LET(_xlpm.a,C121,_xlpm.b,REPT("0",A121-LEN(C120))&amp;C120,_xlpm.n,A121,_xlpm.m,MID(_xlpm.a,_xlfn.SEQUENCE(_xlpm.n,,_xlpm.n,-1),1)=MID(_xlpm.b,_xlfn.SEQUENCE(_xlpm.n,,_xlpm.n,-1),1),IFERROR(MATCH(FALSE,_xlpm.m,0)-1,_xlpm.n)))</f>
        <v/>
      </c>
      <c r="CI121" s="38" t="str">
        <f>IF(OR(B121="",B120=""),"",F121-F120)</f>
        <v/>
      </c>
      <c r="CJ121" s="5" t="str">
        <f>IF(OR(B121="",B120=""),"",IFERROR(FIND(B120,B121)&gt;0,FALSE))</f>
        <v/>
      </c>
      <c r="CK121" s="5" t="str">
        <f>IF(OR(B121="",B120=""),"",IFERROR(FIND(C120,C121)&gt;0,FALSE))</f>
        <v/>
      </c>
      <c r="CL121" s="9" t="str">
        <f>IF(OR(B121="",B120=""),"",IFERROR(FIND(C120,C121),""))</f>
        <v/>
      </c>
      <c r="CM121" s="6" t="str" cm="1">
        <f t="array" ref="CM121">IF(OR(B121="",B120=""),"",_xlfn.LET(_xlpm.pv,D120,_xlpm.ra,BIGSUB(D121,_xlpm.pv),_xlpm.rb,BIGSUB(_xlpm.ra,_xlpm.pv),_xlpm.rc,BIGSUB(_xlpm.rb,_xlpm.pv),IF(LEFT(_xlpm.rb,1)="-",_xlpm.ra,IF(LEFT(_xlpm.rc,1)="-",_xlpm.rb,_xlpm.rc))))</f>
        <v/>
      </c>
      <c r="CN121" s="38">
        <f>IF(B121="","",F121-0.5)</f>
        <v>-0.11672564261919127</v>
      </c>
      <c r="CO121" s="15" t="str" cm="1">
        <f t="array" ref="CO121">IF(B121="","",_xlfn.TEXTJOIN("",,MID(B121,_xlfn.SEQUENCE(LEN(B121),,LEN(B121),-1),1)))</f>
        <v>32cf1e2f781ae638a794c27522f01b</v>
      </c>
      <c r="CP121" s="6" t="str" cm="1">
        <f t="array" ref="CP121">IF(B121="","",BASE2DEC(CO121,16))</f>
        <v>263815693250566293453470148942032923</v>
      </c>
      <c r="CQ121" s="5" t="str">
        <f>IF(B121="","",IF(AND(LEN(B121)&lt;16,LEN(B121)=LEN(SUBSTITUTE(SUBSTITUTE(SUBSTITUTE(SUBSTITUTE(SUBSTITUTE(SUBSTITUTE(B121,"a",""),"b",""),"c",""),"d",""),"e",""),"f",""))),--B121,""))</f>
        <v/>
      </c>
      <c r="CR121" s="6" t="str" cm="1">
        <f t="array" ref="CR121">IF(B121="","",IF(LEN(D121)&lt;=15,BASE2DEC(D121,16),""))</f>
        <v/>
      </c>
      <c r="CS121" s="15" t="str" cm="1">
        <f t="array" ref="CS121">IF(B121="","",_xlfn.LET(_xlpm.p,REPT("0",MOD(-LEN(B121),4))&amp;B121,_xlfn.TEXTJOIN(" ",,MID(_xlpm.p,_xlfn.SEQUENCE(LEN(_xlpm.p)/4,,1,4),4))))</f>
        <v>00b1 0f22 572c 497a 836e a187 f2e1 fc23</v>
      </c>
      <c r="CT121" s="15" t="str" cm="1">
        <f t="array" ref="CT121">IF(B121="","",UPPER(_xlfn.LET(_xlpm.p,REPT("0",64-LEN(B121))&amp;B121,_xlfn.TEXTJOIN(" ",,MID(_xlpm.p,_xlfn.SEQUENCE(8,,1,8),8)))))</f>
        <v>00000000 00000000 00000000 00000000 00B10F22 572C497A 836EA187 F2E1FC23</v>
      </c>
      <c r="CU121" s="6" t="str" cm="1">
        <f t="array" ref="CU121">IF(B121="","",IF(LEN(D121)&lt;=6,_xlfn.LET(_xlpm.n,VALUE(D121)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1" s="39" t="s">
        <v>4444</v>
      </c>
      <c r="CW121" s="39" t="s">
        <v>4650</v>
      </c>
      <c r="CX121" s="39" t="s">
        <v>1896</v>
      </c>
      <c r="CY121" s="7" t="s">
        <v>4888</v>
      </c>
      <c r="CZ121" s="39" t="s">
        <v>4444</v>
      </c>
      <c r="DA121" s="39" t="s">
        <v>4444</v>
      </c>
      <c r="DB121" s="39">
        <v>119</v>
      </c>
      <c r="DC121" s="7" t="s">
        <v>4889</v>
      </c>
      <c r="DD121" s="7" t="s">
        <v>4890</v>
      </c>
      <c r="DE121" s="7" t="s">
        <v>4891</v>
      </c>
      <c r="DF121" s="7" t="s">
        <v>4892</v>
      </c>
      <c r="DG121" s="7" t="s">
        <v>4893</v>
      </c>
      <c r="DH121" s="39" t="s">
        <v>4448</v>
      </c>
      <c r="DI121" s="7" t="s">
        <v>5713</v>
      </c>
      <c r="DJ121" s="7" t="s">
        <v>5714</v>
      </c>
      <c r="DK121" s="7" t="s">
        <v>5715</v>
      </c>
      <c r="DL121" s="7" t="s">
        <v>5716</v>
      </c>
      <c r="DM121" s="7" t="s">
        <v>5717</v>
      </c>
      <c r="DN121" s="7" t="s">
        <v>5718</v>
      </c>
      <c r="DO121" s="7" t="s">
        <v>5719</v>
      </c>
      <c r="DP121" s="7" t="s">
        <v>5720</v>
      </c>
      <c r="DQ121" s="7" t="s">
        <v>5721</v>
      </c>
      <c r="DR121" s="7" t="s">
        <v>5722</v>
      </c>
      <c r="DS121" s="7" t="s">
        <v>5834</v>
      </c>
      <c r="DT121" s="15" t="str" cm="1">
        <f t="array" ref="DT121">IF(B121="","",_xlfn.TEXTJOIN("",,HEX2BIN(MID(BQ121,_xlfn.SEQUENCE(40),1),4)))</f>
        <v>0010011110011101110001010011010001101011100001010111010001010000101111111100110001011111111100000101011111110100011001000110110001011111110010111000011000011110</v>
      </c>
    </row>
    <row r="122" spans="1:124" x14ac:dyDescent="0.25">
      <c r="A122" s="9">
        <v>121</v>
      </c>
      <c r="B122" s="15" t="s">
        <v>888</v>
      </c>
      <c r="C122" s="15" t="s">
        <v>888</v>
      </c>
      <c r="D122" s="6" t="s">
        <v>888</v>
      </c>
      <c r="E122" s="6" t="s">
        <v>888</v>
      </c>
      <c r="F122" s="10" t="s">
        <v>888</v>
      </c>
      <c r="G122" s="9" t="s">
        <v>888</v>
      </c>
      <c r="H122" s="9" t="s">
        <v>888</v>
      </c>
      <c r="I122" s="15" t="s">
        <v>888</v>
      </c>
      <c r="J122" s="9" t="s">
        <v>888</v>
      </c>
      <c r="K122" s="15" t="s">
        <v>888</v>
      </c>
      <c r="L122" s="15" t="s">
        <v>888</v>
      </c>
      <c r="M122" s="15" t="s">
        <v>888</v>
      </c>
      <c r="N122" s="15" t="s">
        <v>888</v>
      </c>
      <c r="O122" s="6" t="s">
        <v>888</v>
      </c>
      <c r="P122" s="15" t="s">
        <v>888</v>
      </c>
      <c r="Q122" s="15" t="s">
        <v>888</v>
      </c>
      <c r="R122" s="6" t="s">
        <v>888</v>
      </c>
      <c r="S122" s="15" t="s">
        <v>888</v>
      </c>
      <c r="T122" s="11" t="s">
        <v>888</v>
      </c>
      <c r="U122" s="10" t="s">
        <v>888</v>
      </c>
      <c r="V122" s="7" t="s">
        <v>888</v>
      </c>
      <c r="W122" s="7" t="s">
        <v>888</v>
      </c>
      <c r="X122" s="7" t="s">
        <v>888</v>
      </c>
      <c r="Y122" s="15" t="s">
        <v>888</v>
      </c>
      <c r="Z122" s="9" t="s">
        <v>888</v>
      </c>
      <c r="AA122" s="9" t="s">
        <v>888</v>
      </c>
      <c r="AB122" s="9" t="s">
        <v>888</v>
      </c>
      <c r="AC122" s="13" t="s">
        <v>888</v>
      </c>
      <c r="AD122" s="13" t="s">
        <v>888</v>
      </c>
      <c r="AE122" s="9" t="s">
        <v>888</v>
      </c>
      <c r="AF122" s="9" t="s">
        <v>888</v>
      </c>
      <c r="AG122" s="9" t="s">
        <v>888</v>
      </c>
      <c r="AH122" s="6" t="s">
        <v>888</v>
      </c>
      <c r="AI122" s="10" t="s">
        <v>888</v>
      </c>
      <c r="AJ122" s="10" t="s">
        <v>888</v>
      </c>
      <c r="AK122" s="15" t="s">
        <v>888</v>
      </c>
      <c r="AL122" s="15" t="s">
        <v>888</v>
      </c>
      <c r="AM122" s="15" t="s">
        <v>888</v>
      </c>
      <c r="AN122" s="9" t="s">
        <v>888</v>
      </c>
      <c r="AO122" s="9" t="s">
        <v>888</v>
      </c>
      <c r="AP122" s="9" t="s">
        <v>888</v>
      </c>
      <c r="AQ122" s="15" t="s">
        <v>888</v>
      </c>
      <c r="AR122" s="9" t="s">
        <v>888</v>
      </c>
      <c r="AS122" s="6" t="s">
        <v>888</v>
      </c>
      <c r="AT122" s="15" t="s">
        <v>888</v>
      </c>
      <c r="AU122" s="9" t="s">
        <v>888</v>
      </c>
      <c r="AV122" s="9" t="s">
        <v>888</v>
      </c>
      <c r="AW122" s="9" t="s">
        <v>888</v>
      </c>
      <c r="AX122" s="9" t="s">
        <v>888</v>
      </c>
      <c r="AY122" s="9" t="s">
        <v>888</v>
      </c>
      <c r="AZ122" s="9" t="s">
        <v>888</v>
      </c>
      <c r="BA122" s="6" t="s">
        <v>888</v>
      </c>
      <c r="BB122" s="6" t="s">
        <v>888</v>
      </c>
      <c r="BC122" s="6" t="s">
        <v>888</v>
      </c>
      <c r="BD122" s="15" t="s">
        <v>888</v>
      </c>
      <c r="BE122" s="15" t="s">
        <v>888</v>
      </c>
      <c r="BF122" s="15" t="s">
        <v>888</v>
      </c>
      <c r="BG122" s="15" t="s">
        <v>888</v>
      </c>
      <c r="BH122" s="6" t="s">
        <v>888</v>
      </c>
      <c r="BI122" s="17" t="s">
        <v>888</v>
      </c>
      <c r="BJ122" s="7" t="s">
        <v>888</v>
      </c>
      <c r="BK122" s="7" t="s">
        <v>888</v>
      </c>
      <c r="BL122" s="7" t="s">
        <v>888</v>
      </c>
      <c r="BM122" s="16" t="s">
        <v>888</v>
      </c>
      <c r="BN122" s="16" t="s">
        <v>888</v>
      </c>
      <c r="BO122" s="16" t="s">
        <v>888</v>
      </c>
      <c r="BP122" s="16" t="s">
        <v>888</v>
      </c>
      <c r="BQ122" s="16" t="s">
        <v>888</v>
      </c>
      <c r="BR122" s="7" t="s">
        <v>888</v>
      </c>
      <c r="BS122" s="7" t="s">
        <v>888</v>
      </c>
      <c r="BT122" s="7" t="s">
        <v>888</v>
      </c>
      <c r="BU122" s="14" t="s">
        <v>888</v>
      </c>
      <c r="BV122" s="15" t="s">
        <v>888</v>
      </c>
      <c r="BW122" s="9" t="s">
        <v>888</v>
      </c>
      <c r="BX122" s="9" t="s">
        <v>888</v>
      </c>
      <c r="BY122" s="13" t="s">
        <v>888</v>
      </c>
      <c r="BZ122" s="13" t="s">
        <v>888</v>
      </c>
      <c r="CA122" s="12" t="str">
        <f>IF(B122="","",IF(A122&lt;8,"",_xlfn.LET(_xlpm.n,A122,_xlpm.k,G122,_xlpm.R,AP122,_xlpm.mu,1+2*_xlpm.k*(_xlpm.n-_xlpm.k)/_xlpm.n,_xlpm.v,2*_xlpm.k*(_xlpm.n-_xlpm.k)*(2*_xlpm.k*(_xlpm.n-_xlpm.k)-_xlpm.n)/(_xlpm.n^2*(_xlpm.n-1)),IF(_xlpm.v&lt;=0,"",(_xlpm.R-_xlpm.mu)/SQRT(_xlpm.v)))))</f>
        <v/>
      </c>
      <c r="CB122" s="37" t="str" cm="1">
        <f t="array" ref="CB122">IF(B122="","",IF(A122&lt;8,"",_xlfn.LET(_xlpm.b,--MID(C122,_xlfn.SEQUENCE(A122-1),1),_xlpm.c,--MID(C122,_xlfn.SEQUENCE(A122-1,,2),1),IFERROR(CORREL(_xlpm.b,_xlpm.c),""))))</f>
        <v/>
      </c>
      <c r="CC122" s="8" t="str">
        <f>IF(B122="","",LOG(A122,2))</f>
        <v/>
      </c>
      <c r="CD122" s="8" t="str">
        <f>IF(B122="","",MAX(AN122,AO122)-CC122)</f>
        <v/>
      </c>
      <c r="CE122" s="8" t="str" cm="1">
        <f t="array" ref="CE122">IF(B122="","",IF(LEN(B122)&lt;16,"",_xlfn.LET(_xlpm.d,MID("0123456789abcdef",_xlfn.SEQUENCE(16),1),_xlpm.c,LEN(B122)-LEN(SUBSTITUTE(B122,_xlpm.d,"")),_xlpm.ex,LEN(B122)/16,SUM((_xlpm.c-_xlpm.ex)^2/_xlpm.ex))))</f>
        <v/>
      </c>
      <c r="CF122" s="37" t="str">
        <f>IF(CE122="","",_xlfn.CHISQ.DIST.RT(CE122,15))</f>
        <v/>
      </c>
      <c r="CG122" s="9" t="str" cm="1">
        <f t="array" ref="CG122">IF(OR(B122="",B121=""),"",_xlfn.LET(_xlpm.a,C122,_xlpm.b,REPT("0",A122-LEN(C121))&amp;C121,_xlpm.m,MID(_xlpm.a,_xlfn.SEQUENCE(A122),1)=MID(_xlpm.b,_xlfn.SEQUENCE(A122),1),IFERROR(MATCH(FALSE,_xlpm.m,0)-1,A122)))</f>
        <v/>
      </c>
      <c r="CH122" s="9" t="str" cm="1">
        <f t="array" ref="CH122">IF(OR(B122="",B121=""),"",_xlfn.LET(_xlpm.a,C122,_xlpm.b,REPT("0",A122-LEN(C121))&amp;C121,_xlpm.n,A122,_xlpm.m,MID(_xlpm.a,_xlfn.SEQUENCE(_xlpm.n,,_xlpm.n,-1),1)=MID(_xlpm.b,_xlfn.SEQUENCE(_xlpm.n,,_xlpm.n,-1),1),IFERROR(MATCH(FALSE,_xlpm.m,0)-1,_xlpm.n)))</f>
        <v/>
      </c>
      <c r="CI122" s="38" t="str">
        <f>IF(OR(B122="",B121=""),"",F122-F121)</f>
        <v/>
      </c>
      <c r="CJ122" s="5" t="str">
        <f>IF(OR(B122="",B121=""),"",IFERROR(FIND(B121,B122)&gt;0,FALSE))</f>
        <v/>
      </c>
      <c r="CK122" s="5" t="str">
        <f>IF(OR(B122="",B121=""),"",IFERROR(FIND(C121,C122)&gt;0,FALSE))</f>
        <v/>
      </c>
      <c r="CL122" s="9" t="str">
        <f>IF(OR(B122="",B121=""),"",IFERROR(FIND(C121,C122),""))</f>
        <v/>
      </c>
      <c r="CM122" s="6" t="str" cm="1">
        <f t="array" ref="CM122">IF(OR(B122="",B121=""),"",_xlfn.LET(_xlpm.pv,D121,_xlpm.ra,BIGSUB(D122,_xlpm.pv),_xlpm.rb,BIGSUB(_xlpm.ra,_xlpm.pv),_xlpm.rc,BIGSUB(_xlpm.rb,_xlpm.pv),IF(LEFT(_xlpm.rb,1)="-",_xlpm.ra,IF(LEFT(_xlpm.rc,1)="-",_xlpm.rb,_xlpm.rc))))</f>
        <v/>
      </c>
      <c r="CN122" s="38" t="str">
        <f>IF(B122="","",F122-0.5)</f>
        <v/>
      </c>
      <c r="CO122" s="15" t="str" cm="1">
        <f t="array" ref="CO122">IF(B122="","",_xlfn.TEXTJOIN("",,MID(B122,_xlfn.SEQUENCE(LEN(B122),,LEN(B122),-1),1)))</f>
        <v/>
      </c>
      <c r="CP122" s="6" t="str" cm="1">
        <f t="array" ref="CP122">IF(B122="","",BASE2DEC(CO122,16))</f>
        <v/>
      </c>
      <c r="CQ122" s="5" t="str">
        <f>IF(B122="","",IF(AND(LEN(B122)&lt;16,LEN(B122)=LEN(SUBSTITUTE(SUBSTITUTE(SUBSTITUTE(SUBSTITUTE(SUBSTITUTE(SUBSTITUTE(B122,"a",""),"b",""),"c",""),"d",""),"e",""),"f",""))),--B122,""))</f>
        <v/>
      </c>
      <c r="CR122" s="6" t="str" cm="1">
        <f t="array" ref="CR122">IF(B122="","",IF(LEN(D122)&lt;=15,BASE2DEC(D122,16),""))</f>
        <v/>
      </c>
      <c r="CS122" s="15" t="str" cm="1">
        <f t="array" ref="CS122">IF(B122="","",_xlfn.LET(_xlpm.p,REPT("0",MOD(-LEN(B122),4))&amp;B122,_xlfn.TEXTJOIN(" ",,MID(_xlpm.p,_xlfn.SEQUENCE(LEN(_xlpm.p)/4,,1,4),4))))</f>
        <v/>
      </c>
      <c r="CT122" s="15" t="str" cm="1">
        <f t="array" ref="CT122">IF(B122="","",UPPER(_xlfn.LET(_xlpm.p,REPT("0",64-LEN(B122))&amp;B122,_xlfn.TEXTJOIN(" ",,MID(_xlpm.p,_xlfn.SEQUENCE(8,,1,8),8)))))</f>
        <v/>
      </c>
      <c r="CU122" s="6" t="str" cm="1">
        <f t="array" ref="CU122">IF(B122="","",IF(LEN(D122)&lt;=6,_xlfn.LET(_xlpm.n,VALUE(D122)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2" s="39" t="s">
        <v>888</v>
      </c>
      <c r="CW122" s="39" t="s">
        <v>888</v>
      </c>
      <c r="CX122" s="39" t="s">
        <v>888</v>
      </c>
      <c r="CY122" s="7" t="s">
        <v>888</v>
      </c>
      <c r="CZ122" s="39" t="s">
        <v>888</v>
      </c>
      <c r="DA122" s="39" t="s">
        <v>888</v>
      </c>
      <c r="DB122" s="39" t="s">
        <v>888</v>
      </c>
      <c r="DC122" s="7" t="s">
        <v>888</v>
      </c>
      <c r="DD122" s="7" t="s">
        <v>888</v>
      </c>
      <c r="DE122" s="7" t="s">
        <v>888</v>
      </c>
      <c r="DF122" s="7" t="s">
        <v>888</v>
      </c>
      <c r="DG122" s="7" t="s">
        <v>888</v>
      </c>
      <c r="DH122" s="39" t="s">
        <v>888</v>
      </c>
      <c r="DI122" s="7" t="s">
        <v>888</v>
      </c>
      <c r="DJ122" s="7" t="s">
        <v>888</v>
      </c>
      <c r="DK122" s="7" t="s">
        <v>888</v>
      </c>
      <c r="DL122" s="7" t="s">
        <v>888</v>
      </c>
      <c r="DM122" s="7" t="s">
        <v>888</v>
      </c>
      <c r="DN122" s="7" t="s">
        <v>888</v>
      </c>
      <c r="DO122" s="7" t="s">
        <v>888</v>
      </c>
      <c r="DP122" s="7" t="s">
        <v>888</v>
      </c>
      <c r="DQ122" s="7" t="s">
        <v>888</v>
      </c>
      <c r="DR122" s="7" t="s">
        <v>888</v>
      </c>
      <c r="DS122" s="7" t="s">
        <v>888</v>
      </c>
      <c r="DT122" s="15" t="str" cm="1">
        <f t="array" ref="DT122">IF(B122="","",_xlfn.TEXTJOIN("",,HEX2BIN(MID(BQ122,_xlfn.SEQUENCE(40),1),4)))</f>
        <v/>
      </c>
    </row>
    <row r="123" spans="1:124" x14ac:dyDescent="0.25">
      <c r="A123" s="9">
        <v>122</v>
      </c>
      <c r="B123" s="15" t="s">
        <v>888</v>
      </c>
      <c r="C123" s="15" t="s">
        <v>888</v>
      </c>
      <c r="D123" s="6" t="s">
        <v>888</v>
      </c>
      <c r="E123" s="6" t="s">
        <v>888</v>
      </c>
      <c r="F123" s="10" t="s">
        <v>888</v>
      </c>
      <c r="G123" s="9" t="s">
        <v>888</v>
      </c>
      <c r="H123" s="9" t="s">
        <v>888</v>
      </c>
      <c r="I123" s="15" t="s">
        <v>888</v>
      </c>
      <c r="J123" s="9" t="s">
        <v>888</v>
      </c>
      <c r="K123" s="15" t="s">
        <v>888</v>
      </c>
      <c r="L123" s="15" t="s">
        <v>888</v>
      </c>
      <c r="M123" s="15" t="s">
        <v>888</v>
      </c>
      <c r="N123" s="15" t="s">
        <v>888</v>
      </c>
      <c r="O123" s="6" t="s">
        <v>888</v>
      </c>
      <c r="P123" s="15" t="s">
        <v>888</v>
      </c>
      <c r="Q123" s="15" t="s">
        <v>888</v>
      </c>
      <c r="R123" s="6" t="s">
        <v>888</v>
      </c>
      <c r="S123" s="15" t="s">
        <v>888</v>
      </c>
      <c r="T123" s="11" t="s">
        <v>888</v>
      </c>
      <c r="U123" s="10" t="s">
        <v>888</v>
      </c>
      <c r="V123" s="7" t="s">
        <v>888</v>
      </c>
      <c r="W123" s="7" t="s">
        <v>888</v>
      </c>
      <c r="X123" s="7" t="s">
        <v>888</v>
      </c>
      <c r="Y123" s="15" t="s">
        <v>888</v>
      </c>
      <c r="Z123" s="9" t="s">
        <v>888</v>
      </c>
      <c r="AA123" s="9" t="s">
        <v>888</v>
      </c>
      <c r="AB123" s="9" t="s">
        <v>888</v>
      </c>
      <c r="AC123" s="13" t="s">
        <v>888</v>
      </c>
      <c r="AD123" s="13" t="s">
        <v>888</v>
      </c>
      <c r="AE123" s="9" t="s">
        <v>888</v>
      </c>
      <c r="AF123" s="9" t="s">
        <v>888</v>
      </c>
      <c r="AG123" s="9" t="s">
        <v>888</v>
      </c>
      <c r="AH123" s="6" t="s">
        <v>888</v>
      </c>
      <c r="AI123" s="10" t="s">
        <v>888</v>
      </c>
      <c r="AJ123" s="10" t="s">
        <v>888</v>
      </c>
      <c r="AK123" s="15" t="s">
        <v>888</v>
      </c>
      <c r="AL123" s="15" t="s">
        <v>888</v>
      </c>
      <c r="AM123" s="15" t="s">
        <v>888</v>
      </c>
      <c r="AN123" s="9" t="s">
        <v>888</v>
      </c>
      <c r="AO123" s="9" t="s">
        <v>888</v>
      </c>
      <c r="AP123" s="9" t="s">
        <v>888</v>
      </c>
      <c r="AQ123" s="15" t="s">
        <v>888</v>
      </c>
      <c r="AR123" s="9" t="s">
        <v>888</v>
      </c>
      <c r="AS123" s="6" t="s">
        <v>888</v>
      </c>
      <c r="AT123" s="15" t="s">
        <v>888</v>
      </c>
      <c r="AU123" s="9" t="s">
        <v>888</v>
      </c>
      <c r="AV123" s="9" t="s">
        <v>888</v>
      </c>
      <c r="AW123" s="9" t="s">
        <v>888</v>
      </c>
      <c r="AX123" s="9" t="s">
        <v>888</v>
      </c>
      <c r="AY123" s="9" t="s">
        <v>888</v>
      </c>
      <c r="AZ123" s="9" t="s">
        <v>888</v>
      </c>
      <c r="BA123" s="6" t="s">
        <v>888</v>
      </c>
      <c r="BB123" s="6" t="s">
        <v>888</v>
      </c>
      <c r="BC123" s="6" t="s">
        <v>888</v>
      </c>
      <c r="BD123" s="15" t="s">
        <v>888</v>
      </c>
      <c r="BE123" s="15" t="s">
        <v>888</v>
      </c>
      <c r="BF123" s="15" t="s">
        <v>888</v>
      </c>
      <c r="BG123" s="15" t="s">
        <v>888</v>
      </c>
      <c r="BH123" s="6" t="s">
        <v>888</v>
      </c>
      <c r="BI123" s="17" t="s">
        <v>888</v>
      </c>
      <c r="BJ123" s="7" t="s">
        <v>888</v>
      </c>
      <c r="BK123" s="7" t="s">
        <v>888</v>
      </c>
      <c r="BL123" s="7" t="s">
        <v>888</v>
      </c>
      <c r="BM123" s="16" t="s">
        <v>888</v>
      </c>
      <c r="BN123" s="16" t="s">
        <v>888</v>
      </c>
      <c r="BO123" s="16" t="s">
        <v>888</v>
      </c>
      <c r="BP123" s="16" t="s">
        <v>888</v>
      </c>
      <c r="BQ123" s="16" t="s">
        <v>888</v>
      </c>
      <c r="BR123" s="7" t="s">
        <v>888</v>
      </c>
      <c r="BS123" s="7" t="s">
        <v>888</v>
      </c>
      <c r="BT123" s="7" t="s">
        <v>888</v>
      </c>
      <c r="BU123" s="14" t="s">
        <v>888</v>
      </c>
      <c r="BV123" s="15" t="s">
        <v>888</v>
      </c>
      <c r="BW123" s="9" t="s">
        <v>888</v>
      </c>
      <c r="BX123" s="9" t="s">
        <v>888</v>
      </c>
      <c r="BY123" s="13" t="s">
        <v>888</v>
      </c>
      <c r="BZ123" s="13" t="s">
        <v>888</v>
      </c>
      <c r="CA123" s="12" t="str">
        <f>IF(B123="","",IF(A123&lt;8,"",_xlfn.LET(_xlpm.n,A123,_xlpm.k,G123,_xlpm.R,AP123,_xlpm.mu,1+2*_xlpm.k*(_xlpm.n-_xlpm.k)/_xlpm.n,_xlpm.v,2*_xlpm.k*(_xlpm.n-_xlpm.k)*(2*_xlpm.k*(_xlpm.n-_xlpm.k)-_xlpm.n)/(_xlpm.n^2*(_xlpm.n-1)),IF(_xlpm.v&lt;=0,"",(_xlpm.R-_xlpm.mu)/SQRT(_xlpm.v)))))</f>
        <v/>
      </c>
      <c r="CB123" s="37" t="str" cm="1">
        <f t="array" ref="CB123">IF(B123="","",IF(A123&lt;8,"",_xlfn.LET(_xlpm.b,--MID(C123,_xlfn.SEQUENCE(A123-1),1),_xlpm.c,--MID(C123,_xlfn.SEQUENCE(A123-1,,2),1),IFERROR(CORREL(_xlpm.b,_xlpm.c),""))))</f>
        <v/>
      </c>
      <c r="CC123" s="8" t="str">
        <f>IF(B123="","",LOG(A123,2))</f>
        <v/>
      </c>
      <c r="CD123" s="8" t="str">
        <f>IF(B123="","",MAX(AN123,AO123)-CC123)</f>
        <v/>
      </c>
      <c r="CE123" s="8" t="str" cm="1">
        <f t="array" ref="CE123">IF(B123="","",IF(LEN(B123)&lt;16,"",_xlfn.LET(_xlpm.d,MID("0123456789abcdef",_xlfn.SEQUENCE(16),1),_xlpm.c,LEN(B123)-LEN(SUBSTITUTE(B123,_xlpm.d,"")),_xlpm.ex,LEN(B123)/16,SUM((_xlpm.c-_xlpm.ex)^2/_xlpm.ex))))</f>
        <v/>
      </c>
      <c r="CF123" s="37" t="str">
        <f>IF(CE123="","",_xlfn.CHISQ.DIST.RT(CE123,15))</f>
        <v/>
      </c>
      <c r="CG123" s="9" t="str" cm="1">
        <f t="array" ref="CG123">IF(OR(B123="",B122=""),"",_xlfn.LET(_xlpm.a,C123,_xlpm.b,REPT("0",A123-LEN(C122))&amp;C122,_xlpm.m,MID(_xlpm.a,_xlfn.SEQUENCE(A123),1)=MID(_xlpm.b,_xlfn.SEQUENCE(A123),1),IFERROR(MATCH(FALSE,_xlpm.m,0)-1,A123)))</f>
        <v/>
      </c>
      <c r="CH123" s="9" t="str" cm="1">
        <f t="array" ref="CH123">IF(OR(B123="",B122=""),"",_xlfn.LET(_xlpm.a,C123,_xlpm.b,REPT("0",A123-LEN(C122))&amp;C122,_xlpm.n,A123,_xlpm.m,MID(_xlpm.a,_xlfn.SEQUENCE(_xlpm.n,,_xlpm.n,-1),1)=MID(_xlpm.b,_xlfn.SEQUENCE(_xlpm.n,,_xlpm.n,-1),1),IFERROR(MATCH(FALSE,_xlpm.m,0)-1,_xlpm.n)))</f>
        <v/>
      </c>
      <c r="CI123" s="38" t="str">
        <f>IF(OR(B123="",B122=""),"",F123-F122)</f>
        <v/>
      </c>
      <c r="CJ123" s="5" t="str">
        <f>IF(OR(B123="",B122=""),"",IFERROR(FIND(B122,B123)&gt;0,FALSE))</f>
        <v/>
      </c>
      <c r="CK123" s="5" t="str">
        <f>IF(OR(B123="",B122=""),"",IFERROR(FIND(C122,C123)&gt;0,FALSE))</f>
        <v/>
      </c>
      <c r="CL123" s="9" t="str">
        <f>IF(OR(B123="",B122=""),"",IFERROR(FIND(C122,C123),""))</f>
        <v/>
      </c>
      <c r="CM123" s="6" t="str" cm="1">
        <f t="array" ref="CM123">IF(OR(B123="",B122=""),"",_xlfn.LET(_xlpm.pv,D122,_xlpm.ra,BIGSUB(D123,_xlpm.pv),_xlpm.rb,BIGSUB(_xlpm.ra,_xlpm.pv),_xlpm.rc,BIGSUB(_xlpm.rb,_xlpm.pv),IF(LEFT(_xlpm.rb,1)="-",_xlpm.ra,IF(LEFT(_xlpm.rc,1)="-",_xlpm.rb,_xlpm.rc))))</f>
        <v/>
      </c>
      <c r="CN123" s="38" t="str">
        <f>IF(B123="","",F123-0.5)</f>
        <v/>
      </c>
      <c r="CO123" s="15" t="str" cm="1">
        <f t="array" ref="CO123">IF(B123="","",_xlfn.TEXTJOIN("",,MID(B123,_xlfn.SEQUENCE(LEN(B123),,LEN(B123),-1),1)))</f>
        <v/>
      </c>
      <c r="CP123" s="6" t="str" cm="1">
        <f t="array" ref="CP123">IF(B123="","",BASE2DEC(CO123,16))</f>
        <v/>
      </c>
      <c r="CQ123" s="5" t="str">
        <f>IF(B123="","",IF(AND(LEN(B123)&lt;16,LEN(B123)=LEN(SUBSTITUTE(SUBSTITUTE(SUBSTITUTE(SUBSTITUTE(SUBSTITUTE(SUBSTITUTE(B123,"a",""),"b",""),"c",""),"d",""),"e",""),"f",""))),--B123,""))</f>
        <v/>
      </c>
      <c r="CR123" s="6" t="str" cm="1">
        <f t="array" ref="CR123">IF(B123="","",IF(LEN(D123)&lt;=15,BASE2DEC(D123,16),""))</f>
        <v/>
      </c>
      <c r="CS123" s="15" t="str" cm="1">
        <f t="array" ref="CS123">IF(B123="","",_xlfn.LET(_xlpm.p,REPT("0",MOD(-LEN(B123),4))&amp;B123,_xlfn.TEXTJOIN(" ",,MID(_xlpm.p,_xlfn.SEQUENCE(LEN(_xlpm.p)/4,,1,4),4))))</f>
        <v/>
      </c>
      <c r="CT123" s="15" t="str" cm="1">
        <f t="array" ref="CT123">IF(B123="","",UPPER(_xlfn.LET(_xlpm.p,REPT("0",64-LEN(B123))&amp;B123,_xlfn.TEXTJOIN(" ",,MID(_xlpm.p,_xlfn.SEQUENCE(8,,1,8),8)))))</f>
        <v/>
      </c>
      <c r="CU123" s="6" t="str" cm="1">
        <f t="array" ref="CU123">IF(B123="","",IF(LEN(D123)&lt;=6,_xlfn.LET(_xlpm.n,VALUE(D123)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3" s="39" t="s">
        <v>888</v>
      </c>
      <c r="CW123" s="39" t="s">
        <v>888</v>
      </c>
      <c r="CX123" s="39" t="s">
        <v>888</v>
      </c>
      <c r="CY123" s="7" t="s">
        <v>888</v>
      </c>
      <c r="CZ123" s="39" t="s">
        <v>888</v>
      </c>
      <c r="DA123" s="39" t="s">
        <v>888</v>
      </c>
      <c r="DB123" s="39" t="s">
        <v>888</v>
      </c>
      <c r="DC123" s="7" t="s">
        <v>888</v>
      </c>
      <c r="DD123" s="7" t="s">
        <v>888</v>
      </c>
      <c r="DE123" s="7" t="s">
        <v>888</v>
      </c>
      <c r="DF123" s="7" t="s">
        <v>888</v>
      </c>
      <c r="DG123" s="7" t="s">
        <v>888</v>
      </c>
      <c r="DH123" s="39" t="s">
        <v>888</v>
      </c>
      <c r="DI123" s="7" t="s">
        <v>888</v>
      </c>
      <c r="DJ123" s="7" t="s">
        <v>888</v>
      </c>
      <c r="DK123" s="7" t="s">
        <v>888</v>
      </c>
      <c r="DL123" s="7" t="s">
        <v>888</v>
      </c>
      <c r="DM123" s="7" t="s">
        <v>888</v>
      </c>
      <c r="DN123" s="7" t="s">
        <v>888</v>
      </c>
      <c r="DO123" s="7" t="s">
        <v>888</v>
      </c>
      <c r="DP123" s="7" t="s">
        <v>888</v>
      </c>
      <c r="DQ123" s="7" t="s">
        <v>888</v>
      </c>
      <c r="DR123" s="7" t="s">
        <v>888</v>
      </c>
      <c r="DS123" s="7" t="s">
        <v>888</v>
      </c>
      <c r="DT123" s="15" t="str" cm="1">
        <f t="array" ref="DT123">IF(B123="","",_xlfn.TEXTJOIN("",,HEX2BIN(MID(BQ123,_xlfn.SEQUENCE(40),1),4)))</f>
        <v/>
      </c>
    </row>
    <row r="124" spans="1:124" x14ac:dyDescent="0.25">
      <c r="A124" s="9">
        <v>123</v>
      </c>
      <c r="B124" s="15" t="s">
        <v>888</v>
      </c>
      <c r="C124" s="15" t="s">
        <v>888</v>
      </c>
      <c r="D124" s="6" t="s">
        <v>888</v>
      </c>
      <c r="E124" s="6" t="s">
        <v>888</v>
      </c>
      <c r="F124" s="10" t="s">
        <v>888</v>
      </c>
      <c r="G124" s="9" t="s">
        <v>888</v>
      </c>
      <c r="H124" s="9" t="s">
        <v>888</v>
      </c>
      <c r="I124" s="15" t="s">
        <v>888</v>
      </c>
      <c r="J124" s="9" t="s">
        <v>888</v>
      </c>
      <c r="K124" s="15" t="s">
        <v>888</v>
      </c>
      <c r="L124" s="15" t="s">
        <v>888</v>
      </c>
      <c r="M124" s="15" t="s">
        <v>888</v>
      </c>
      <c r="N124" s="15" t="s">
        <v>888</v>
      </c>
      <c r="O124" s="6" t="s">
        <v>888</v>
      </c>
      <c r="P124" s="15" t="s">
        <v>888</v>
      </c>
      <c r="Q124" s="15" t="s">
        <v>888</v>
      </c>
      <c r="R124" s="6" t="s">
        <v>888</v>
      </c>
      <c r="S124" s="15" t="s">
        <v>888</v>
      </c>
      <c r="T124" s="11" t="s">
        <v>888</v>
      </c>
      <c r="U124" s="10" t="s">
        <v>888</v>
      </c>
      <c r="V124" s="7" t="s">
        <v>888</v>
      </c>
      <c r="W124" s="7" t="s">
        <v>888</v>
      </c>
      <c r="X124" s="7" t="s">
        <v>888</v>
      </c>
      <c r="Y124" s="15" t="s">
        <v>888</v>
      </c>
      <c r="Z124" s="9" t="s">
        <v>888</v>
      </c>
      <c r="AA124" s="9" t="s">
        <v>888</v>
      </c>
      <c r="AB124" s="9" t="s">
        <v>888</v>
      </c>
      <c r="AC124" s="13" t="s">
        <v>888</v>
      </c>
      <c r="AD124" s="13" t="s">
        <v>888</v>
      </c>
      <c r="AE124" s="9" t="s">
        <v>888</v>
      </c>
      <c r="AF124" s="9" t="s">
        <v>888</v>
      </c>
      <c r="AG124" s="9" t="s">
        <v>888</v>
      </c>
      <c r="AH124" s="6" t="s">
        <v>888</v>
      </c>
      <c r="AI124" s="10" t="s">
        <v>888</v>
      </c>
      <c r="AJ124" s="10" t="s">
        <v>888</v>
      </c>
      <c r="AK124" s="15" t="s">
        <v>888</v>
      </c>
      <c r="AL124" s="15" t="s">
        <v>888</v>
      </c>
      <c r="AM124" s="15" t="s">
        <v>888</v>
      </c>
      <c r="AN124" s="9" t="s">
        <v>888</v>
      </c>
      <c r="AO124" s="9" t="s">
        <v>888</v>
      </c>
      <c r="AP124" s="9" t="s">
        <v>888</v>
      </c>
      <c r="AQ124" s="15" t="s">
        <v>888</v>
      </c>
      <c r="AR124" s="9" t="s">
        <v>888</v>
      </c>
      <c r="AS124" s="6" t="s">
        <v>888</v>
      </c>
      <c r="AT124" s="15" t="s">
        <v>888</v>
      </c>
      <c r="AU124" s="9" t="s">
        <v>888</v>
      </c>
      <c r="AV124" s="9" t="s">
        <v>888</v>
      </c>
      <c r="AW124" s="9" t="s">
        <v>888</v>
      </c>
      <c r="AX124" s="9" t="s">
        <v>888</v>
      </c>
      <c r="AY124" s="9" t="s">
        <v>888</v>
      </c>
      <c r="AZ124" s="9" t="s">
        <v>888</v>
      </c>
      <c r="BA124" s="6" t="s">
        <v>888</v>
      </c>
      <c r="BB124" s="6" t="s">
        <v>888</v>
      </c>
      <c r="BC124" s="6" t="s">
        <v>888</v>
      </c>
      <c r="BD124" s="15" t="s">
        <v>888</v>
      </c>
      <c r="BE124" s="15" t="s">
        <v>888</v>
      </c>
      <c r="BF124" s="15" t="s">
        <v>888</v>
      </c>
      <c r="BG124" s="15" t="s">
        <v>888</v>
      </c>
      <c r="BH124" s="6" t="s">
        <v>888</v>
      </c>
      <c r="BI124" s="17" t="s">
        <v>888</v>
      </c>
      <c r="BJ124" s="7" t="s">
        <v>888</v>
      </c>
      <c r="BK124" s="7" t="s">
        <v>888</v>
      </c>
      <c r="BL124" s="7" t="s">
        <v>888</v>
      </c>
      <c r="BM124" s="16" t="s">
        <v>888</v>
      </c>
      <c r="BN124" s="16" t="s">
        <v>888</v>
      </c>
      <c r="BO124" s="16" t="s">
        <v>888</v>
      </c>
      <c r="BP124" s="16" t="s">
        <v>888</v>
      </c>
      <c r="BQ124" s="16" t="s">
        <v>888</v>
      </c>
      <c r="BR124" s="7" t="s">
        <v>888</v>
      </c>
      <c r="BS124" s="7" t="s">
        <v>888</v>
      </c>
      <c r="BT124" s="7" t="s">
        <v>888</v>
      </c>
      <c r="BU124" s="14" t="s">
        <v>888</v>
      </c>
      <c r="BV124" s="15" t="s">
        <v>888</v>
      </c>
      <c r="BW124" s="9" t="s">
        <v>888</v>
      </c>
      <c r="BX124" s="9" t="s">
        <v>888</v>
      </c>
      <c r="BY124" s="13" t="s">
        <v>888</v>
      </c>
      <c r="BZ124" s="13" t="s">
        <v>888</v>
      </c>
      <c r="CA124" s="12" t="str">
        <f>IF(B124="","",IF(A124&lt;8,"",_xlfn.LET(_xlpm.n,A124,_xlpm.k,G124,_xlpm.R,AP124,_xlpm.mu,1+2*_xlpm.k*(_xlpm.n-_xlpm.k)/_xlpm.n,_xlpm.v,2*_xlpm.k*(_xlpm.n-_xlpm.k)*(2*_xlpm.k*(_xlpm.n-_xlpm.k)-_xlpm.n)/(_xlpm.n^2*(_xlpm.n-1)),IF(_xlpm.v&lt;=0,"",(_xlpm.R-_xlpm.mu)/SQRT(_xlpm.v)))))</f>
        <v/>
      </c>
      <c r="CB124" s="37" t="str" cm="1">
        <f t="array" ref="CB124">IF(B124="","",IF(A124&lt;8,"",_xlfn.LET(_xlpm.b,--MID(C124,_xlfn.SEQUENCE(A124-1),1),_xlpm.c,--MID(C124,_xlfn.SEQUENCE(A124-1,,2),1),IFERROR(CORREL(_xlpm.b,_xlpm.c),""))))</f>
        <v/>
      </c>
      <c r="CC124" s="8" t="str">
        <f>IF(B124="","",LOG(A124,2))</f>
        <v/>
      </c>
      <c r="CD124" s="8" t="str">
        <f>IF(B124="","",MAX(AN124,AO124)-CC124)</f>
        <v/>
      </c>
      <c r="CE124" s="8" t="str" cm="1">
        <f t="array" ref="CE124">IF(B124="","",IF(LEN(B124)&lt;16,"",_xlfn.LET(_xlpm.d,MID("0123456789abcdef",_xlfn.SEQUENCE(16),1),_xlpm.c,LEN(B124)-LEN(SUBSTITUTE(B124,_xlpm.d,"")),_xlpm.ex,LEN(B124)/16,SUM((_xlpm.c-_xlpm.ex)^2/_xlpm.ex))))</f>
        <v/>
      </c>
      <c r="CF124" s="37" t="str">
        <f>IF(CE124="","",_xlfn.CHISQ.DIST.RT(CE124,15))</f>
        <v/>
      </c>
      <c r="CG124" s="9" t="str" cm="1">
        <f t="array" ref="CG124">IF(OR(B124="",B123=""),"",_xlfn.LET(_xlpm.a,C124,_xlpm.b,REPT("0",A124-LEN(C123))&amp;C123,_xlpm.m,MID(_xlpm.a,_xlfn.SEQUENCE(A124),1)=MID(_xlpm.b,_xlfn.SEQUENCE(A124),1),IFERROR(MATCH(FALSE,_xlpm.m,0)-1,A124)))</f>
        <v/>
      </c>
      <c r="CH124" s="9" t="str" cm="1">
        <f t="array" ref="CH124">IF(OR(B124="",B123=""),"",_xlfn.LET(_xlpm.a,C124,_xlpm.b,REPT("0",A124-LEN(C123))&amp;C123,_xlpm.n,A124,_xlpm.m,MID(_xlpm.a,_xlfn.SEQUENCE(_xlpm.n,,_xlpm.n,-1),1)=MID(_xlpm.b,_xlfn.SEQUENCE(_xlpm.n,,_xlpm.n,-1),1),IFERROR(MATCH(FALSE,_xlpm.m,0)-1,_xlpm.n)))</f>
        <v/>
      </c>
      <c r="CI124" s="38" t="str">
        <f>IF(OR(B124="",B123=""),"",F124-F123)</f>
        <v/>
      </c>
      <c r="CJ124" s="5" t="str">
        <f>IF(OR(B124="",B123=""),"",IFERROR(FIND(B123,B124)&gt;0,FALSE))</f>
        <v/>
      </c>
      <c r="CK124" s="5" t="str">
        <f>IF(OR(B124="",B123=""),"",IFERROR(FIND(C123,C124)&gt;0,FALSE))</f>
        <v/>
      </c>
      <c r="CL124" s="9" t="str">
        <f>IF(OR(B124="",B123=""),"",IFERROR(FIND(C123,C124),""))</f>
        <v/>
      </c>
      <c r="CM124" s="6" t="str" cm="1">
        <f t="array" ref="CM124">IF(OR(B124="",B123=""),"",_xlfn.LET(_xlpm.pv,D123,_xlpm.ra,BIGSUB(D124,_xlpm.pv),_xlpm.rb,BIGSUB(_xlpm.ra,_xlpm.pv),_xlpm.rc,BIGSUB(_xlpm.rb,_xlpm.pv),IF(LEFT(_xlpm.rb,1)="-",_xlpm.ra,IF(LEFT(_xlpm.rc,1)="-",_xlpm.rb,_xlpm.rc))))</f>
        <v/>
      </c>
      <c r="CN124" s="38" t="str">
        <f>IF(B124="","",F124-0.5)</f>
        <v/>
      </c>
      <c r="CO124" s="15" t="str" cm="1">
        <f t="array" ref="CO124">IF(B124="","",_xlfn.TEXTJOIN("",,MID(B124,_xlfn.SEQUENCE(LEN(B124),,LEN(B124),-1),1)))</f>
        <v/>
      </c>
      <c r="CP124" s="6" t="str" cm="1">
        <f t="array" ref="CP124">IF(B124="","",BASE2DEC(CO124,16))</f>
        <v/>
      </c>
      <c r="CQ124" s="5" t="str">
        <f>IF(B124="","",IF(AND(LEN(B124)&lt;16,LEN(B124)=LEN(SUBSTITUTE(SUBSTITUTE(SUBSTITUTE(SUBSTITUTE(SUBSTITUTE(SUBSTITUTE(B124,"a",""),"b",""),"c",""),"d",""),"e",""),"f",""))),--B124,""))</f>
        <v/>
      </c>
      <c r="CR124" s="6" t="str" cm="1">
        <f t="array" ref="CR124">IF(B124="","",IF(LEN(D124)&lt;=15,BASE2DEC(D124,16),""))</f>
        <v/>
      </c>
      <c r="CS124" s="15" t="str" cm="1">
        <f t="array" ref="CS124">IF(B124="","",_xlfn.LET(_xlpm.p,REPT("0",MOD(-LEN(B124),4))&amp;B124,_xlfn.TEXTJOIN(" ",,MID(_xlpm.p,_xlfn.SEQUENCE(LEN(_xlpm.p)/4,,1,4),4))))</f>
        <v/>
      </c>
      <c r="CT124" s="15" t="str" cm="1">
        <f t="array" ref="CT124">IF(B124="","",UPPER(_xlfn.LET(_xlpm.p,REPT("0",64-LEN(B124))&amp;B124,_xlfn.TEXTJOIN(" ",,MID(_xlpm.p,_xlfn.SEQUENCE(8,,1,8),8)))))</f>
        <v/>
      </c>
      <c r="CU124" s="6" t="str" cm="1">
        <f t="array" ref="CU124">IF(B124="","",IF(LEN(D124)&lt;=6,_xlfn.LET(_xlpm.n,VALUE(D124)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4" s="39" t="s">
        <v>888</v>
      </c>
      <c r="CW124" s="39" t="s">
        <v>888</v>
      </c>
      <c r="CX124" s="39" t="s">
        <v>888</v>
      </c>
      <c r="CY124" s="7" t="s">
        <v>888</v>
      </c>
      <c r="CZ124" s="39" t="s">
        <v>888</v>
      </c>
      <c r="DA124" s="39" t="s">
        <v>888</v>
      </c>
      <c r="DB124" s="39" t="s">
        <v>888</v>
      </c>
      <c r="DC124" s="7" t="s">
        <v>888</v>
      </c>
      <c r="DD124" s="7" t="s">
        <v>888</v>
      </c>
      <c r="DE124" s="7" t="s">
        <v>888</v>
      </c>
      <c r="DF124" s="7" t="s">
        <v>888</v>
      </c>
      <c r="DG124" s="7" t="s">
        <v>888</v>
      </c>
      <c r="DH124" s="39" t="s">
        <v>888</v>
      </c>
      <c r="DI124" s="7" t="s">
        <v>888</v>
      </c>
      <c r="DJ124" s="7" t="s">
        <v>888</v>
      </c>
      <c r="DK124" s="7" t="s">
        <v>888</v>
      </c>
      <c r="DL124" s="7" t="s">
        <v>888</v>
      </c>
      <c r="DM124" s="7" t="s">
        <v>888</v>
      </c>
      <c r="DN124" s="7" t="s">
        <v>888</v>
      </c>
      <c r="DO124" s="7" t="s">
        <v>888</v>
      </c>
      <c r="DP124" s="7" t="s">
        <v>888</v>
      </c>
      <c r="DQ124" s="7" t="s">
        <v>888</v>
      </c>
      <c r="DR124" s="7" t="s">
        <v>888</v>
      </c>
      <c r="DS124" s="7" t="s">
        <v>888</v>
      </c>
      <c r="DT124" s="15" t="str" cm="1">
        <f t="array" ref="DT124">IF(B124="","",_xlfn.TEXTJOIN("",,HEX2BIN(MID(BQ124,_xlfn.SEQUENCE(40),1),4)))</f>
        <v/>
      </c>
    </row>
    <row r="125" spans="1:124" x14ac:dyDescent="0.25">
      <c r="A125" s="9">
        <v>124</v>
      </c>
      <c r="B125" s="15" t="s">
        <v>888</v>
      </c>
      <c r="C125" s="15" t="s">
        <v>888</v>
      </c>
      <c r="D125" s="6" t="s">
        <v>888</v>
      </c>
      <c r="E125" s="6" t="s">
        <v>888</v>
      </c>
      <c r="F125" s="10" t="s">
        <v>888</v>
      </c>
      <c r="G125" s="9" t="s">
        <v>888</v>
      </c>
      <c r="H125" s="9" t="s">
        <v>888</v>
      </c>
      <c r="I125" s="15" t="s">
        <v>888</v>
      </c>
      <c r="J125" s="9" t="s">
        <v>888</v>
      </c>
      <c r="K125" s="15" t="s">
        <v>888</v>
      </c>
      <c r="L125" s="15" t="s">
        <v>888</v>
      </c>
      <c r="M125" s="15" t="s">
        <v>888</v>
      </c>
      <c r="N125" s="15" t="s">
        <v>888</v>
      </c>
      <c r="O125" s="6" t="s">
        <v>888</v>
      </c>
      <c r="P125" s="15" t="s">
        <v>888</v>
      </c>
      <c r="Q125" s="15" t="s">
        <v>888</v>
      </c>
      <c r="R125" s="6" t="s">
        <v>888</v>
      </c>
      <c r="S125" s="15" t="s">
        <v>888</v>
      </c>
      <c r="T125" s="11" t="s">
        <v>888</v>
      </c>
      <c r="U125" s="10" t="s">
        <v>888</v>
      </c>
      <c r="V125" s="7" t="s">
        <v>888</v>
      </c>
      <c r="W125" s="7" t="s">
        <v>888</v>
      </c>
      <c r="X125" s="7" t="s">
        <v>888</v>
      </c>
      <c r="Y125" s="15" t="s">
        <v>888</v>
      </c>
      <c r="Z125" s="9" t="s">
        <v>888</v>
      </c>
      <c r="AA125" s="9" t="s">
        <v>888</v>
      </c>
      <c r="AB125" s="9" t="s">
        <v>888</v>
      </c>
      <c r="AC125" s="13" t="s">
        <v>888</v>
      </c>
      <c r="AD125" s="13" t="s">
        <v>888</v>
      </c>
      <c r="AE125" s="9" t="s">
        <v>888</v>
      </c>
      <c r="AF125" s="9" t="s">
        <v>888</v>
      </c>
      <c r="AG125" s="9" t="s">
        <v>888</v>
      </c>
      <c r="AH125" s="6" t="s">
        <v>888</v>
      </c>
      <c r="AI125" s="10" t="s">
        <v>888</v>
      </c>
      <c r="AJ125" s="10" t="s">
        <v>888</v>
      </c>
      <c r="AK125" s="15" t="s">
        <v>888</v>
      </c>
      <c r="AL125" s="15" t="s">
        <v>888</v>
      </c>
      <c r="AM125" s="15" t="s">
        <v>888</v>
      </c>
      <c r="AN125" s="9" t="s">
        <v>888</v>
      </c>
      <c r="AO125" s="9" t="s">
        <v>888</v>
      </c>
      <c r="AP125" s="9" t="s">
        <v>888</v>
      </c>
      <c r="AQ125" s="15" t="s">
        <v>888</v>
      </c>
      <c r="AR125" s="9" t="s">
        <v>888</v>
      </c>
      <c r="AS125" s="6" t="s">
        <v>888</v>
      </c>
      <c r="AT125" s="15" t="s">
        <v>888</v>
      </c>
      <c r="AU125" s="9" t="s">
        <v>888</v>
      </c>
      <c r="AV125" s="9" t="s">
        <v>888</v>
      </c>
      <c r="AW125" s="9" t="s">
        <v>888</v>
      </c>
      <c r="AX125" s="9" t="s">
        <v>888</v>
      </c>
      <c r="AY125" s="9" t="s">
        <v>888</v>
      </c>
      <c r="AZ125" s="9" t="s">
        <v>888</v>
      </c>
      <c r="BA125" s="6" t="s">
        <v>888</v>
      </c>
      <c r="BB125" s="6" t="s">
        <v>888</v>
      </c>
      <c r="BC125" s="6" t="s">
        <v>888</v>
      </c>
      <c r="BD125" s="15" t="s">
        <v>888</v>
      </c>
      <c r="BE125" s="15" t="s">
        <v>888</v>
      </c>
      <c r="BF125" s="15" t="s">
        <v>888</v>
      </c>
      <c r="BG125" s="15" t="s">
        <v>888</v>
      </c>
      <c r="BH125" s="6" t="s">
        <v>888</v>
      </c>
      <c r="BI125" s="17" t="s">
        <v>888</v>
      </c>
      <c r="BJ125" s="7" t="s">
        <v>888</v>
      </c>
      <c r="BK125" s="7" t="s">
        <v>888</v>
      </c>
      <c r="BL125" s="7" t="s">
        <v>888</v>
      </c>
      <c r="BM125" s="16" t="s">
        <v>888</v>
      </c>
      <c r="BN125" s="16" t="s">
        <v>888</v>
      </c>
      <c r="BO125" s="16" t="s">
        <v>888</v>
      </c>
      <c r="BP125" s="16" t="s">
        <v>888</v>
      </c>
      <c r="BQ125" s="16" t="s">
        <v>888</v>
      </c>
      <c r="BR125" s="7" t="s">
        <v>888</v>
      </c>
      <c r="BS125" s="7" t="s">
        <v>888</v>
      </c>
      <c r="BT125" s="7" t="s">
        <v>888</v>
      </c>
      <c r="BU125" s="14" t="s">
        <v>888</v>
      </c>
      <c r="BV125" s="15" t="s">
        <v>888</v>
      </c>
      <c r="BW125" s="9" t="s">
        <v>888</v>
      </c>
      <c r="BX125" s="9" t="s">
        <v>888</v>
      </c>
      <c r="BY125" s="13" t="s">
        <v>888</v>
      </c>
      <c r="BZ125" s="13" t="s">
        <v>888</v>
      </c>
      <c r="CA125" s="12" t="str">
        <f>IF(B125="","",IF(A125&lt;8,"",_xlfn.LET(_xlpm.n,A125,_xlpm.k,G125,_xlpm.R,AP125,_xlpm.mu,1+2*_xlpm.k*(_xlpm.n-_xlpm.k)/_xlpm.n,_xlpm.v,2*_xlpm.k*(_xlpm.n-_xlpm.k)*(2*_xlpm.k*(_xlpm.n-_xlpm.k)-_xlpm.n)/(_xlpm.n^2*(_xlpm.n-1)),IF(_xlpm.v&lt;=0,"",(_xlpm.R-_xlpm.mu)/SQRT(_xlpm.v)))))</f>
        <v/>
      </c>
      <c r="CB125" s="37" t="str" cm="1">
        <f t="array" ref="CB125">IF(B125="","",IF(A125&lt;8,"",_xlfn.LET(_xlpm.b,--MID(C125,_xlfn.SEQUENCE(A125-1),1),_xlpm.c,--MID(C125,_xlfn.SEQUENCE(A125-1,,2),1),IFERROR(CORREL(_xlpm.b,_xlpm.c),""))))</f>
        <v/>
      </c>
      <c r="CC125" s="8" t="str">
        <f>IF(B125="","",LOG(A125,2))</f>
        <v/>
      </c>
      <c r="CD125" s="8" t="str">
        <f>IF(B125="","",MAX(AN125,AO125)-CC125)</f>
        <v/>
      </c>
      <c r="CE125" s="8" t="str" cm="1">
        <f t="array" ref="CE125">IF(B125="","",IF(LEN(B125)&lt;16,"",_xlfn.LET(_xlpm.d,MID("0123456789abcdef",_xlfn.SEQUENCE(16),1),_xlpm.c,LEN(B125)-LEN(SUBSTITUTE(B125,_xlpm.d,"")),_xlpm.ex,LEN(B125)/16,SUM((_xlpm.c-_xlpm.ex)^2/_xlpm.ex))))</f>
        <v/>
      </c>
      <c r="CF125" s="37" t="str">
        <f>IF(CE125="","",_xlfn.CHISQ.DIST.RT(CE125,15))</f>
        <v/>
      </c>
      <c r="CG125" s="9" t="str" cm="1">
        <f t="array" ref="CG125">IF(OR(B125="",B124=""),"",_xlfn.LET(_xlpm.a,C125,_xlpm.b,REPT("0",A125-LEN(C124))&amp;C124,_xlpm.m,MID(_xlpm.a,_xlfn.SEQUENCE(A125),1)=MID(_xlpm.b,_xlfn.SEQUENCE(A125),1),IFERROR(MATCH(FALSE,_xlpm.m,0)-1,A125)))</f>
        <v/>
      </c>
      <c r="CH125" s="9" t="str" cm="1">
        <f t="array" ref="CH125">IF(OR(B125="",B124=""),"",_xlfn.LET(_xlpm.a,C125,_xlpm.b,REPT("0",A125-LEN(C124))&amp;C124,_xlpm.n,A125,_xlpm.m,MID(_xlpm.a,_xlfn.SEQUENCE(_xlpm.n,,_xlpm.n,-1),1)=MID(_xlpm.b,_xlfn.SEQUENCE(_xlpm.n,,_xlpm.n,-1),1),IFERROR(MATCH(FALSE,_xlpm.m,0)-1,_xlpm.n)))</f>
        <v/>
      </c>
      <c r="CI125" s="38" t="str">
        <f>IF(OR(B125="",B124=""),"",F125-F124)</f>
        <v/>
      </c>
      <c r="CJ125" s="5" t="str">
        <f>IF(OR(B125="",B124=""),"",IFERROR(FIND(B124,B125)&gt;0,FALSE))</f>
        <v/>
      </c>
      <c r="CK125" s="5" t="str">
        <f>IF(OR(B125="",B124=""),"",IFERROR(FIND(C124,C125)&gt;0,FALSE))</f>
        <v/>
      </c>
      <c r="CL125" s="9" t="str">
        <f>IF(OR(B125="",B124=""),"",IFERROR(FIND(C124,C125),""))</f>
        <v/>
      </c>
      <c r="CM125" s="6" t="str" cm="1">
        <f t="array" ref="CM125">IF(OR(B125="",B124=""),"",_xlfn.LET(_xlpm.pv,D124,_xlpm.ra,BIGSUB(D125,_xlpm.pv),_xlpm.rb,BIGSUB(_xlpm.ra,_xlpm.pv),_xlpm.rc,BIGSUB(_xlpm.rb,_xlpm.pv),IF(LEFT(_xlpm.rb,1)="-",_xlpm.ra,IF(LEFT(_xlpm.rc,1)="-",_xlpm.rb,_xlpm.rc))))</f>
        <v/>
      </c>
      <c r="CN125" s="38" t="str">
        <f>IF(B125="","",F125-0.5)</f>
        <v/>
      </c>
      <c r="CO125" s="15" t="str" cm="1">
        <f t="array" ref="CO125">IF(B125="","",_xlfn.TEXTJOIN("",,MID(B125,_xlfn.SEQUENCE(LEN(B125),,LEN(B125),-1),1)))</f>
        <v/>
      </c>
      <c r="CP125" s="6" t="str" cm="1">
        <f t="array" ref="CP125">IF(B125="","",BASE2DEC(CO125,16))</f>
        <v/>
      </c>
      <c r="CQ125" s="5" t="str">
        <f>IF(B125="","",IF(AND(LEN(B125)&lt;16,LEN(B125)=LEN(SUBSTITUTE(SUBSTITUTE(SUBSTITUTE(SUBSTITUTE(SUBSTITUTE(SUBSTITUTE(B125,"a",""),"b",""),"c",""),"d",""),"e",""),"f",""))),--B125,""))</f>
        <v/>
      </c>
      <c r="CR125" s="6" t="str" cm="1">
        <f t="array" ref="CR125">IF(B125="","",IF(LEN(D125)&lt;=15,BASE2DEC(D125,16),""))</f>
        <v/>
      </c>
      <c r="CS125" s="15" t="str" cm="1">
        <f t="array" ref="CS125">IF(B125="","",_xlfn.LET(_xlpm.p,REPT("0",MOD(-LEN(B125),4))&amp;B125,_xlfn.TEXTJOIN(" ",,MID(_xlpm.p,_xlfn.SEQUENCE(LEN(_xlpm.p)/4,,1,4),4))))</f>
        <v/>
      </c>
      <c r="CT125" s="15" t="str" cm="1">
        <f t="array" ref="CT125">IF(B125="","",UPPER(_xlfn.LET(_xlpm.p,REPT("0",64-LEN(B125))&amp;B125,_xlfn.TEXTJOIN(" ",,MID(_xlpm.p,_xlfn.SEQUENCE(8,,1,8),8)))))</f>
        <v/>
      </c>
      <c r="CU125" s="6" t="str" cm="1">
        <f t="array" ref="CU125">IF(B125="","",IF(LEN(D125)&lt;=6,_xlfn.LET(_xlpm.n,VALUE(D125)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5" s="39" t="s">
        <v>888</v>
      </c>
      <c r="CW125" s="39" t="s">
        <v>888</v>
      </c>
      <c r="CX125" s="39" t="s">
        <v>888</v>
      </c>
      <c r="CY125" s="7" t="s">
        <v>888</v>
      </c>
      <c r="CZ125" s="39" t="s">
        <v>888</v>
      </c>
      <c r="DA125" s="39" t="s">
        <v>888</v>
      </c>
      <c r="DB125" s="39" t="s">
        <v>888</v>
      </c>
      <c r="DC125" s="7" t="s">
        <v>888</v>
      </c>
      <c r="DD125" s="7" t="s">
        <v>888</v>
      </c>
      <c r="DE125" s="7" t="s">
        <v>888</v>
      </c>
      <c r="DF125" s="7" t="s">
        <v>888</v>
      </c>
      <c r="DG125" s="7" t="s">
        <v>888</v>
      </c>
      <c r="DH125" s="39" t="s">
        <v>888</v>
      </c>
      <c r="DI125" s="7" t="s">
        <v>888</v>
      </c>
      <c r="DJ125" s="7" t="s">
        <v>888</v>
      </c>
      <c r="DK125" s="7" t="s">
        <v>888</v>
      </c>
      <c r="DL125" s="7" t="s">
        <v>888</v>
      </c>
      <c r="DM125" s="7" t="s">
        <v>888</v>
      </c>
      <c r="DN125" s="7" t="s">
        <v>888</v>
      </c>
      <c r="DO125" s="7" t="s">
        <v>888</v>
      </c>
      <c r="DP125" s="7" t="s">
        <v>888</v>
      </c>
      <c r="DQ125" s="7" t="s">
        <v>888</v>
      </c>
      <c r="DR125" s="7" t="s">
        <v>888</v>
      </c>
      <c r="DS125" s="7" t="s">
        <v>888</v>
      </c>
      <c r="DT125" s="15" t="str" cm="1">
        <f t="array" ref="DT125">IF(B125="","",_xlfn.TEXTJOIN("",,HEX2BIN(MID(BQ125,_xlfn.SEQUENCE(40),1),4)))</f>
        <v/>
      </c>
    </row>
    <row r="126" spans="1:124" x14ac:dyDescent="0.25">
      <c r="A126" s="9">
        <v>125</v>
      </c>
      <c r="B126" s="15" t="s">
        <v>4329</v>
      </c>
      <c r="C126" s="15" t="s">
        <v>4330</v>
      </c>
      <c r="D126" s="6" t="s">
        <v>4331</v>
      </c>
      <c r="E126" s="6" t="s">
        <v>4332</v>
      </c>
      <c r="F126" s="10">
        <v>0.77032033994239701</v>
      </c>
      <c r="G126" s="9">
        <v>58</v>
      </c>
      <c r="H126" s="9">
        <v>2</v>
      </c>
      <c r="I126" s="15" t="s">
        <v>888</v>
      </c>
      <c r="J126" s="9" t="s">
        <v>888</v>
      </c>
      <c r="K126" s="15" t="s">
        <v>4333</v>
      </c>
      <c r="L126" s="15" t="s">
        <v>4334</v>
      </c>
      <c r="M126" s="15" t="s">
        <v>4335</v>
      </c>
      <c r="N126" s="15" t="s">
        <v>4336</v>
      </c>
      <c r="O126" s="6" t="s">
        <v>4337</v>
      </c>
      <c r="P126" s="15" t="s">
        <v>4338</v>
      </c>
      <c r="Q126" s="15" t="s">
        <v>4339</v>
      </c>
      <c r="R126" s="6" t="s">
        <v>4340</v>
      </c>
      <c r="S126" s="15" t="s">
        <v>4341</v>
      </c>
      <c r="T126" s="11" t="s">
        <v>888</v>
      </c>
      <c r="U126" s="10">
        <v>0.46400000000000002</v>
      </c>
      <c r="V126" s="7" t="s">
        <v>919</v>
      </c>
      <c r="W126" s="7" t="s">
        <v>920</v>
      </c>
      <c r="X126" s="7" t="s">
        <v>921</v>
      </c>
      <c r="Y126" s="15" t="s">
        <v>4342</v>
      </c>
      <c r="Z126" s="9">
        <v>57</v>
      </c>
      <c r="AA126" s="9">
        <v>65</v>
      </c>
      <c r="AB126" s="9">
        <v>76</v>
      </c>
      <c r="AC126" s="13">
        <v>-0.98386991009990743</v>
      </c>
      <c r="AD126" s="13">
        <v>0.44721359549995793</v>
      </c>
      <c r="AE126" s="9">
        <v>38</v>
      </c>
      <c r="AF126" s="9">
        <v>159</v>
      </c>
      <c r="AG126" s="9">
        <v>6</v>
      </c>
      <c r="AH126" s="6" t="s">
        <v>4343</v>
      </c>
      <c r="AI126" s="10">
        <v>124.82401043998649</v>
      </c>
      <c r="AJ126" s="10">
        <v>123.62353042460742</v>
      </c>
      <c r="AK126" s="15" t="s">
        <v>4344</v>
      </c>
      <c r="AL126" s="15" t="s">
        <v>4345</v>
      </c>
      <c r="AM126" s="15" t="s">
        <v>4346</v>
      </c>
      <c r="AN126" s="9">
        <v>8</v>
      </c>
      <c r="AO126" s="9">
        <v>7</v>
      </c>
      <c r="AP126" s="9">
        <v>58</v>
      </c>
      <c r="AQ126" s="15" t="s">
        <v>4347</v>
      </c>
      <c r="AR126" s="9">
        <v>15</v>
      </c>
      <c r="AS126" s="6" t="s">
        <v>2054</v>
      </c>
      <c r="AT126" s="15" t="s">
        <v>4348</v>
      </c>
      <c r="AU126" s="9">
        <v>0</v>
      </c>
      <c r="AV126" s="9">
        <v>0</v>
      </c>
      <c r="AW126" s="9">
        <v>5</v>
      </c>
      <c r="AX126" s="9">
        <v>4</v>
      </c>
      <c r="AY126" s="9">
        <v>172</v>
      </c>
      <c r="AZ126" s="9">
        <v>30636</v>
      </c>
      <c r="BA126" s="6" t="s">
        <v>888</v>
      </c>
      <c r="BB126" s="6" t="s">
        <v>888</v>
      </c>
      <c r="BC126" s="6" t="s">
        <v>4349</v>
      </c>
      <c r="BD126" s="15" t="s">
        <v>4350</v>
      </c>
      <c r="BE126" s="15" t="s">
        <v>4351</v>
      </c>
      <c r="BF126" s="15" t="s">
        <v>4352</v>
      </c>
      <c r="BG126" s="15" t="s">
        <v>4353</v>
      </c>
      <c r="BH126" s="6" t="s">
        <v>4354</v>
      </c>
      <c r="BI126" s="17" t="s">
        <v>888</v>
      </c>
      <c r="BJ126" s="7" t="s">
        <v>1856</v>
      </c>
      <c r="BK126" s="7" t="s">
        <v>1857</v>
      </c>
      <c r="BL126" s="7" t="s">
        <v>1858</v>
      </c>
      <c r="BM126" s="16" t="s">
        <v>1859</v>
      </c>
      <c r="BN126" s="16" t="s">
        <v>1860</v>
      </c>
      <c r="BO126" s="16" t="s">
        <v>1861</v>
      </c>
      <c r="BP126" s="16" t="s">
        <v>1862</v>
      </c>
      <c r="BQ126" s="16" t="s">
        <v>1863</v>
      </c>
      <c r="BR126" s="7" t="s">
        <v>1864</v>
      </c>
      <c r="BS126" s="7" t="s">
        <v>1865</v>
      </c>
      <c r="BT126" s="7" t="s">
        <v>1866</v>
      </c>
      <c r="BU126" s="14">
        <v>3.2515649355438833E-40</v>
      </c>
      <c r="BV126" s="15" t="s">
        <v>4355</v>
      </c>
      <c r="BW126" s="9">
        <v>63</v>
      </c>
      <c r="BX126" s="9">
        <v>57</v>
      </c>
      <c r="BY126" s="13">
        <v>8.9442719099991588E-2</v>
      </c>
      <c r="BZ126" s="13">
        <v>-0.98386991009990743</v>
      </c>
      <c r="CA126" s="12">
        <f>IF(B126="","",IF(A126&lt;8,"",_xlfn.LET(_xlpm.n,A126,_xlpm.k,G126,_xlpm.R,AP126,_xlpm.mu,1+2*_xlpm.k*(_xlpm.n-_xlpm.k)/_xlpm.n,_xlpm.v,2*_xlpm.k*(_xlpm.n-_xlpm.k)*(2*_xlpm.k*(_xlpm.n-_xlpm.k)-_xlpm.n)/(_xlpm.n^2*(_xlpm.n-1)),IF(_xlpm.v&lt;=0,"",(_xlpm.R-_xlpm.mu)/SQRT(_xlpm.v)))))</f>
        <v>-0.93455137799741306</v>
      </c>
      <c r="CB126" s="37" cm="1">
        <f t="array" ref="CB126">IF(B126="","",IF(A126&lt;8,"",_xlfn.LET(_xlpm.b,--MID(C126,_xlfn.SEQUENCE(A126-1),1),_xlpm.c,--MID(C126,_xlfn.SEQUENCE(A126-1,,2),1),IFERROR(CORREL(_xlpm.b,_xlpm.c),""))))</f>
        <v>7.5846789812932802E-2</v>
      </c>
      <c r="CC126" s="8">
        <f>IF(B126="","",LOG(A126,2))</f>
        <v>6.9657842846620879</v>
      </c>
      <c r="CD126" s="8">
        <f>IF(B126="","",MAX(AN126,AO126)-CC126)</f>
        <v>1.0342157153379121</v>
      </c>
      <c r="CE126" s="8" cm="1">
        <f t="array" ref="CE126">IF(B126="","",IF(LEN(B126)&lt;16,"",_xlfn.LET(_xlpm.d,MID("0123456789abcdef",_xlfn.SEQUENCE(16),1),_xlpm.c,LEN(B126)-LEN(SUBSTITUTE(B126,_xlpm.d,"")),_xlpm.ex,LEN(B126)/16,SUM((_xlpm.c-_xlpm.ex)^2/_xlpm.ex))))</f>
        <v>7</v>
      </c>
      <c r="CF126" s="37">
        <f>IF(CE126="","",_xlfn.CHISQ.DIST.RT(CE126,15))</f>
        <v>0.95764974733255115</v>
      </c>
      <c r="CG126" s="9" t="str" cm="1">
        <f t="array" ref="CG126">IF(OR(B126="",B125=""),"",_xlfn.LET(_xlpm.a,C126,_xlpm.b,REPT("0",A126-LEN(C125))&amp;C125,_xlpm.m,MID(_xlpm.a,_xlfn.SEQUENCE(A126),1)=MID(_xlpm.b,_xlfn.SEQUENCE(A126),1),IFERROR(MATCH(FALSE,_xlpm.m,0)-1,A126)))</f>
        <v/>
      </c>
      <c r="CH126" s="9" t="str" cm="1">
        <f t="array" ref="CH126">IF(OR(B126="",B125=""),"",_xlfn.LET(_xlpm.a,C126,_xlpm.b,REPT("0",A126-LEN(C125))&amp;C125,_xlpm.n,A126,_xlpm.m,MID(_xlpm.a,_xlfn.SEQUENCE(_xlpm.n,,_xlpm.n,-1),1)=MID(_xlpm.b,_xlfn.SEQUENCE(_xlpm.n,,_xlpm.n,-1),1),IFERROR(MATCH(FALSE,_xlpm.m,0)-1,_xlpm.n)))</f>
        <v/>
      </c>
      <c r="CI126" s="38" t="str">
        <f>IF(OR(B126="",B125=""),"",F126-F125)</f>
        <v/>
      </c>
      <c r="CJ126" s="5" t="str">
        <f>IF(OR(B126="",B125=""),"",IFERROR(FIND(B125,B126)&gt;0,FALSE))</f>
        <v/>
      </c>
      <c r="CK126" s="5" t="str">
        <f>IF(OR(B126="",B125=""),"",IFERROR(FIND(C125,C126)&gt;0,FALSE))</f>
        <v/>
      </c>
      <c r="CL126" s="9" t="str">
        <f>IF(OR(B126="",B125=""),"",IFERROR(FIND(C125,C126),""))</f>
        <v/>
      </c>
      <c r="CM126" s="6" t="str" cm="1">
        <f t="array" ref="CM126">IF(OR(B126="",B125=""),"",_xlfn.LET(_xlpm.pv,D125,_xlpm.ra,BIGSUB(D126,_xlpm.pv),_xlpm.rb,BIGSUB(_xlpm.ra,_xlpm.pv),_xlpm.rc,BIGSUB(_xlpm.rb,_xlpm.pv),IF(LEFT(_xlpm.rb,1)="-",_xlpm.ra,IF(LEFT(_xlpm.rc,1)="-",_xlpm.rb,_xlpm.rc))))</f>
        <v/>
      </c>
      <c r="CN126" s="38">
        <f>IF(B126="","",F126-0.5)</f>
        <v>0.27032033994239701</v>
      </c>
      <c r="CO126" s="15" t="str" cm="1">
        <f t="array" ref="CO126">IF(B126="","",_xlfn.TEXTJOIN("",,MID(B126,_xlfn.SEQUENCE(LEN(B126),,LEN(B126),-1),1)))</f>
        <v>ca77844e52206990e4080f7bb6b335c1</v>
      </c>
      <c r="CP126" s="6" t="str" cm="1">
        <f t="array" ref="CP126">IF(B126="","",BASE2DEC(CO126,16))</f>
        <v>269124621957999963900299660533832037825</v>
      </c>
      <c r="CQ126" s="5" t="str">
        <f>IF(B126="","",IF(AND(LEN(B126)&lt;16,LEN(B126)=LEN(SUBSTITUTE(SUBSTITUTE(SUBSTITUTE(SUBSTITUTE(SUBSTITUTE(SUBSTITUTE(B126,"a",""),"b",""),"c",""),"d",""),"e",""),"f",""))),--B126,""))</f>
        <v/>
      </c>
      <c r="CR126" s="6" t="str" cm="1">
        <f t="array" ref="CR126">IF(B126="","",IF(LEN(D126)&lt;=15,BASE2DEC(D126,16),""))</f>
        <v/>
      </c>
      <c r="CS126" s="15" t="str" cm="1">
        <f t="array" ref="CS126">IF(B126="","",_xlfn.LET(_xlpm.p,REPT("0",MOD(-LEN(B126),4))&amp;B126,_xlfn.TEXTJOIN(" ",,MID(_xlpm.p,_xlfn.SEQUENCE(LEN(_xlpm.p)/4,,1,4),4))))</f>
        <v>1c53 3b6b b7f0 804e 0996 0225 e448 77ac</v>
      </c>
      <c r="CT126" s="15" t="str" cm="1">
        <f t="array" ref="CT126">IF(B126="","",UPPER(_xlfn.LET(_xlpm.p,REPT("0",64-LEN(B126))&amp;B126,_xlfn.TEXTJOIN(" ",,MID(_xlpm.p,_xlfn.SEQUENCE(8,,1,8),8)))))</f>
        <v>00000000 00000000 00000000 00000000 1C533B6B B7F0804E 09960225 E44877AC</v>
      </c>
      <c r="CU126" s="6" t="str" cm="1">
        <f t="array" ref="CU126">IF(B126="","",IF(LEN(D126)&lt;=6,_xlfn.LET(_xlpm.n,VALUE(D126)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6" s="39" t="s">
        <v>4444</v>
      </c>
      <c r="CW126" s="39" t="s">
        <v>1895</v>
      </c>
      <c r="CX126" s="39" t="s">
        <v>4894</v>
      </c>
      <c r="CY126" s="7" t="s">
        <v>4895</v>
      </c>
      <c r="CZ126" s="39" t="s">
        <v>4444</v>
      </c>
      <c r="DA126" s="39" t="s">
        <v>4444</v>
      </c>
      <c r="DB126" s="39">
        <v>125</v>
      </c>
      <c r="DC126" s="7" t="s">
        <v>4896</v>
      </c>
      <c r="DD126" s="7" t="s">
        <v>4897</v>
      </c>
      <c r="DE126" s="7" t="s">
        <v>4898</v>
      </c>
      <c r="DF126" s="7" t="s">
        <v>4899</v>
      </c>
      <c r="DG126" s="7" t="s">
        <v>4900</v>
      </c>
      <c r="DH126" s="39" t="s">
        <v>4452</v>
      </c>
      <c r="DI126" s="7" t="s">
        <v>5723</v>
      </c>
      <c r="DJ126" s="7" t="s">
        <v>5724</v>
      </c>
      <c r="DK126" s="7" t="s">
        <v>5725</v>
      </c>
      <c r="DL126" s="7" t="s">
        <v>5726</v>
      </c>
      <c r="DM126" s="7" t="s">
        <v>5727</v>
      </c>
      <c r="DN126" s="7" t="s">
        <v>5728</v>
      </c>
      <c r="DO126" s="7" t="s">
        <v>5729</v>
      </c>
      <c r="DP126" s="7" t="s">
        <v>5730</v>
      </c>
      <c r="DQ126" s="7" t="s">
        <v>5731</v>
      </c>
      <c r="DR126" s="7" t="s">
        <v>5732</v>
      </c>
      <c r="DS126" s="7" t="s">
        <v>5835</v>
      </c>
      <c r="DT126" s="15" t="str" cm="1">
        <f t="array" ref="DT126">IF(B126="","",_xlfn.TEXTJOIN("",,HEX2BIN(MID(BQ126,_xlfn.SEQUENCE(40),1),4)))</f>
        <v>1011100111111110111101000010010011100101011101111100100001100001100001100110000010001110010001011110101001010001001111001001000000011100111011011001001100010100</v>
      </c>
    </row>
    <row r="127" spans="1:124" x14ac:dyDescent="0.25">
      <c r="A127" s="9">
        <v>126</v>
      </c>
      <c r="B127" s="15" t="s">
        <v>888</v>
      </c>
      <c r="C127" s="15" t="s">
        <v>888</v>
      </c>
      <c r="D127" s="6" t="s">
        <v>888</v>
      </c>
      <c r="E127" s="6" t="s">
        <v>888</v>
      </c>
      <c r="F127" s="10" t="s">
        <v>888</v>
      </c>
      <c r="G127" s="9" t="s">
        <v>888</v>
      </c>
      <c r="H127" s="9" t="s">
        <v>888</v>
      </c>
      <c r="I127" s="15" t="s">
        <v>888</v>
      </c>
      <c r="J127" s="9" t="s">
        <v>888</v>
      </c>
      <c r="K127" s="15" t="s">
        <v>888</v>
      </c>
      <c r="L127" s="15" t="s">
        <v>888</v>
      </c>
      <c r="M127" s="15" t="s">
        <v>888</v>
      </c>
      <c r="N127" s="15" t="s">
        <v>888</v>
      </c>
      <c r="O127" s="6" t="s">
        <v>888</v>
      </c>
      <c r="P127" s="15" t="s">
        <v>888</v>
      </c>
      <c r="Q127" s="15" t="s">
        <v>888</v>
      </c>
      <c r="R127" s="6" t="s">
        <v>888</v>
      </c>
      <c r="S127" s="15" t="s">
        <v>888</v>
      </c>
      <c r="T127" s="11" t="s">
        <v>888</v>
      </c>
      <c r="U127" s="10" t="s">
        <v>888</v>
      </c>
      <c r="V127" s="7" t="s">
        <v>888</v>
      </c>
      <c r="W127" s="7" t="s">
        <v>888</v>
      </c>
      <c r="X127" s="7" t="s">
        <v>888</v>
      </c>
      <c r="Y127" s="15" t="s">
        <v>888</v>
      </c>
      <c r="Z127" s="9" t="s">
        <v>888</v>
      </c>
      <c r="AA127" s="9" t="s">
        <v>888</v>
      </c>
      <c r="AB127" s="9" t="s">
        <v>888</v>
      </c>
      <c r="AC127" s="13" t="s">
        <v>888</v>
      </c>
      <c r="AD127" s="13" t="s">
        <v>888</v>
      </c>
      <c r="AE127" s="9" t="s">
        <v>888</v>
      </c>
      <c r="AF127" s="9" t="s">
        <v>888</v>
      </c>
      <c r="AG127" s="9" t="s">
        <v>888</v>
      </c>
      <c r="AH127" s="6" t="s">
        <v>888</v>
      </c>
      <c r="AI127" s="10" t="s">
        <v>888</v>
      </c>
      <c r="AJ127" s="10" t="s">
        <v>888</v>
      </c>
      <c r="AK127" s="15" t="s">
        <v>888</v>
      </c>
      <c r="AL127" s="15" t="s">
        <v>888</v>
      </c>
      <c r="AM127" s="15" t="s">
        <v>888</v>
      </c>
      <c r="AN127" s="9" t="s">
        <v>888</v>
      </c>
      <c r="AO127" s="9" t="s">
        <v>888</v>
      </c>
      <c r="AP127" s="9" t="s">
        <v>888</v>
      </c>
      <c r="AQ127" s="15" t="s">
        <v>888</v>
      </c>
      <c r="AR127" s="9" t="s">
        <v>888</v>
      </c>
      <c r="AS127" s="6" t="s">
        <v>888</v>
      </c>
      <c r="AT127" s="15" t="s">
        <v>888</v>
      </c>
      <c r="AU127" s="9" t="s">
        <v>888</v>
      </c>
      <c r="AV127" s="9" t="s">
        <v>888</v>
      </c>
      <c r="AW127" s="9" t="s">
        <v>888</v>
      </c>
      <c r="AX127" s="9" t="s">
        <v>888</v>
      </c>
      <c r="AY127" s="9" t="s">
        <v>888</v>
      </c>
      <c r="AZ127" s="9" t="s">
        <v>888</v>
      </c>
      <c r="BA127" s="6" t="s">
        <v>888</v>
      </c>
      <c r="BB127" s="6" t="s">
        <v>888</v>
      </c>
      <c r="BC127" s="6" t="s">
        <v>888</v>
      </c>
      <c r="BD127" s="15" t="s">
        <v>888</v>
      </c>
      <c r="BE127" s="15" t="s">
        <v>888</v>
      </c>
      <c r="BF127" s="15" t="s">
        <v>888</v>
      </c>
      <c r="BG127" s="15" t="s">
        <v>888</v>
      </c>
      <c r="BH127" s="6" t="s">
        <v>888</v>
      </c>
      <c r="BI127" s="17" t="s">
        <v>888</v>
      </c>
      <c r="BJ127" s="7" t="s">
        <v>888</v>
      </c>
      <c r="BK127" s="7" t="s">
        <v>888</v>
      </c>
      <c r="BL127" s="7" t="s">
        <v>888</v>
      </c>
      <c r="BM127" s="16" t="s">
        <v>888</v>
      </c>
      <c r="BN127" s="16" t="s">
        <v>888</v>
      </c>
      <c r="BO127" s="16" t="s">
        <v>888</v>
      </c>
      <c r="BP127" s="16" t="s">
        <v>888</v>
      </c>
      <c r="BQ127" s="16" t="s">
        <v>888</v>
      </c>
      <c r="BR127" s="7" t="s">
        <v>888</v>
      </c>
      <c r="BS127" s="7" t="s">
        <v>888</v>
      </c>
      <c r="BT127" s="7" t="s">
        <v>888</v>
      </c>
      <c r="BU127" s="14" t="s">
        <v>888</v>
      </c>
      <c r="BV127" s="15" t="s">
        <v>888</v>
      </c>
      <c r="BW127" s="9" t="s">
        <v>888</v>
      </c>
      <c r="BX127" s="9" t="s">
        <v>888</v>
      </c>
      <c r="BY127" s="13" t="s">
        <v>888</v>
      </c>
      <c r="BZ127" s="13" t="s">
        <v>888</v>
      </c>
      <c r="CA127" s="12" t="str">
        <f>IF(B127="","",IF(A127&lt;8,"",_xlfn.LET(_xlpm.n,A127,_xlpm.k,G127,_xlpm.R,AP127,_xlpm.mu,1+2*_xlpm.k*(_xlpm.n-_xlpm.k)/_xlpm.n,_xlpm.v,2*_xlpm.k*(_xlpm.n-_xlpm.k)*(2*_xlpm.k*(_xlpm.n-_xlpm.k)-_xlpm.n)/(_xlpm.n^2*(_xlpm.n-1)),IF(_xlpm.v&lt;=0,"",(_xlpm.R-_xlpm.mu)/SQRT(_xlpm.v)))))</f>
        <v/>
      </c>
      <c r="CB127" s="37" t="str" cm="1">
        <f t="array" ref="CB127">IF(B127="","",IF(A127&lt;8,"",_xlfn.LET(_xlpm.b,--MID(C127,_xlfn.SEQUENCE(A127-1),1),_xlpm.c,--MID(C127,_xlfn.SEQUENCE(A127-1,,2),1),IFERROR(CORREL(_xlpm.b,_xlpm.c),""))))</f>
        <v/>
      </c>
      <c r="CC127" s="8" t="str">
        <f>IF(B127="","",LOG(A127,2))</f>
        <v/>
      </c>
      <c r="CD127" s="8" t="str">
        <f>IF(B127="","",MAX(AN127,AO127)-CC127)</f>
        <v/>
      </c>
      <c r="CE127" s="8" t="str" cm="1">
        <f t="array" ref="CE127">IF(B127="","",IF(LEN(B127)&lt;16,"",_xlfn.LET(_xlpm.d,MID("0123456789abcdef",_xlfn.SEQUENCE(16),1),_xlpm.c,LEN(B127)-LEN(SUBSTITUTE(B127,_xlpm.d,"")),_xlpm.ex,LEN(B127)/16,SUM((_xlpm.c-_xlpm.ex)^2/_xlpm.ex))))</f>
        <v/>
      </c>
      <c r="CF127" s="37" t="str">
        <f>IF(CE127="","",_xlfn.CHISQ.DIST.RT(CE127,15))</f>
        <v/>
      </c>
      <c r="CG127" s="9" t="str" cm="1">
        <f t="array" ref="CG127">IF(OR(B127="",B126=""),"",_xlfn.LET(_xlpm.a,C127,_xlpm.b,REPT("0",A127-LEN(C126))&amp;C126,_xlpm.m,MID(_xlpm.a,_xlfn.SEQUENCE(A127),1)=MID(_xlpm.b,_xlfn.SEQUENCE(A127),1),IFERROR(MATCH(FALSE,_xlpm.m,0)-1,A127)))</f>
        <v/>
      </c>
      <c r="CH127" s="9" t="str" cm="1">
        <f t="array" ref="CH127">IF(OR(B127="",B126=""),"",_xlfn.LET(_xlpm.a,C127,_xlpm.b,REPT("0",A127-LEN(C126))&amp;C126,_xlpm.n,A127,_xlpm.m,MID(_xlpm.a,_xlfn.SEQUENCE(_xlpm.n,,_xlpm.n,-1),1)=MID(_xlpm.b,_xlfn.SEQUENCE(_xlpm.n,,_xlpm.n,-1),1),IFERROR(MATCH(FALSE,_xlpm.m,0)-1,_xlpm.n)))</f>
        <v/>
      </c>
      <c r="CI127" s="38" t="str">
        <f>IF(OR(B127="",B126=""),"",F127-F126)</f>
        <v/>
      </c>
      <c r="CJ127" s="5" t="str">
        <f>IF(OR(B127="",B126=""),"",IFERROR(FIND(B126,B127)&gt;0,FALSE))</f>
        <v/>
      </c>
      <c r="CK127" s="5" t="str">
        <f>IF(OR(B127="",B126=""),"",IFERROR(FIND(C126,C127)&gt;0,FALSE))</f>
        <v/>
      </c>
      <c r="CL127" s="9" t="str">
        <f>IF(OR(B127="",B126=""),"",IFERROR(FIND(C126,C127),""))</f>
        <v/>
      </c>
      <c r="CM127" s="6" t="str" cm="1">
        <f t="array" ref="CM127">IF(OR(B127="",B126=""),"",_xlfn.LET(_xlpm.pv,D126,_xlpm.ra,BIGSUB(D127,_xlpm.pv),_xlpm.rb,BIGSUB(_xlpm.ra,_xlpm.pv),_xlpm.rc,BIGSUB(_xlpm.rb,_xlpm.pv),IF(LEFT(_xlpm.rb,1)="-",_xlpm.ra,IF(LEFT(_xlpm.rc,1)="-",_xlpm.rb,_xlpm.rc))))</f>
        <v/>
      </c>
      <c r="CN127" s="38" t="str">
        <f>IF(B127="","",F127-0.5)</f>
        <v/>
      </c>
      <c r="CO127" s="15" t="str" cm="1">
        <f t="array" ref="CO127">IF(B127="","",_xlfn.TEXTJOIN("",,MID(B127,_xlfn.SEQUENCE(LEN(B127),,LEN(B127),-1),1)))</f>
        <v/>
      </c>
      <c r="CP127" s="6" t="str" cm="1">
        <f t="array" ref="CP127">IF(B127="","",BASE2DEC(CO127,16))</f>
        <v/>
      </c>
      <c r="CQ127" s="5" t="str">
        <f>IF(B127="","",IF(AND(LEN(B127)&lt;16,LEN(B127)=LEN(SUBSTITUTE(SUBSTITUTE(SUBSTITUTE(SUBSTITUTE(SUBSTITUTE(SUBSTITUTE(B127,"a",""),"b",""),"c",""),"d",""),"e",""),"f",""))),--B127,""))</f>
        <v/>
      </c>
      <c r="CR127" s="6" t="str" cm="1">
        <f t="array" ref="CR127">IF(B127="","",IF(LEN(D127)&lt;=15,BASE2DEC(D127,16),""))</f>
        <v/>
      </c>
      <c r="CS127" s="15" t="str" cm="1">
        <f t="array" ref="CS127">IF(B127="","",_xlfn.LET(_xlpm.p,REPT("0",MOD(-LEN(B127),4))&amp;B127,_xlfn.TEXTJOIN(" ",,MID(_xlpm.p,_xlfn.SEQUENCE(LEN(_xlpm.p)/4,,1,4),4))))</f>
        <v/>
      </c>
      <c r="CT127" s="15" t="str" cm="1">
        <f t="array" ref="CT127">IF(B127="","",UPPER(_xlfn.LET(_xlpm.p,REPT("0",64-LEN(B127))&amp;B127,_xlfn.TEXTJOIN(" ",,MID(_xlpm.p,_xlfn.SEQUENCE(8,,1,8),8)))))</f>
        <v/>
      </c>
      <c r="CU127" s="6" t="str" cm="1">
        <f t="array" ref="CU127">IF(B127="","",IF(LEN(D127)&lt;=6,_xlfn.LET(_xlpm.n,VALUE(D127)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7" s="39" t="s">
        <v>888</v>
      </c>
      <c r="CW127" s="39" t="s">
        <v>888</v>
      </c>
      <c r="CX127" s="39" t="s">
        <v>888</v>
      </c>
      <c r="CY127" s="7" t="s">
        <v>888</v>
      </c>
      <c r="CZ127" s="39" t="s">
        <v>888</v>
      </c>
      <c r="DA127" s="39" t="s">
        <v>888</v>
      </c>
      <c r="DB127" s="39" t="s">
        <v>888</v>
      </c>
      <c r="DC127" s="7" t="s">
        <v>888</v>
      </c>
      <c r="DD127" s="7" t="s">
        <v>888</v>
      </c>
      <c r="DE127" s="7" t="s">
        <v>888</v>
      </c>
      <c r="DF127" s="7" t="s">
        <v>888</v>
      </c>
      <c r="DG127" s="7" t="s">
        <v>888</v>
      </c>
      <c r="DH127" s="39" t="s">
        <v>888</v>
      </c>
      <c r="DI127" s="7" t="s">
        <v>888</v>
      </c>
      <c r="DJ127" s="7" t="s">
        <v>888</v>
      </c>
      <c r="DK127" s="7" t="s">
        <v>888</v>
      </c>
      <c r="DL127" s="7" t="s">
        <v>888</v>
      </c>
      <c r="DM127" s="7" t="s">
        <v>888</v>
      </c>
      <c r="DN127" s="7" t="s">
        <v>888</v>
      </c>
      <c r="DO127" s="7" t="s">
        <v>888</v>
      </c>
      <c r="DP127" s="7" t="s">
        <v>888</v>
      </c>
      <c r="DQ127" s="7" t="s">
        <v>888</v>
      </c>
      <c r="DR127" s="7" t="s">
        <v>888</v>
      </c>
      <c r="DS127" s="7" t="s">
        <v>888</v>
      </c>
      <c r="DT127" s="15" t="str" cm="1">
        <f t="array" ref="DT127">IF(B127="","",_xlfn.TEXTJOIN("",,HEX2BIN(MID(BQ127,_xlfn.SEQUENCE(40),1),4)))</f>
        <v/>
      </c>
    </row>
    <row r="128" spans="1:124" x14ac:dyDescent="0.25">
      <c r="A128" s="9">
        <v>127</v>
      </c>
      <c r="B128" s="15" t="s">
        <v>888</v>
      </c>
      <c r="C128" s="15" t="s">
        <v>888</v>
      </c>
      <c r="D128" s="6" t="s">
        <v>888</v>
      </c>
      <c r="E128" s="6" t="s">
        <v>888</v>
      </c>
      <c r="F128" s="10" t="s">
        <v>888</v>
      </c>
      <c r="G128" s="9" t="s">
        <v>888</v>
      </c>
      <c r="H128" s="9" t="s">
        <v>888</v>
      </c>
      <c r="I128" s="15" t="s">
        <v>888</v>
      </c>
      <c r="J128" s="9" t="s">
        <v>888</v>
      </c>
      <c r="K128" s="15" t="s">
        <v>888</v>
      </c>
      <c r="L128" s="15" t="s">
        <v>888</v>
      </c>
      <c r="M128" s="15" t="s">
        <v>888</v>
      </c>
      <c r="N128" s="15" t="s">
        <v>888</v>
      </c>
      <c r="O128" s="6" t="s">
        <v>888</v>
      </c>
      <c r="P128" s="15" t="s">
        <v>888</v>
      </c>
      <c r="Q128" s="15" t="s">
        <v>888</v>
      </c>
      <c r="R128" s="6" t="s">
        <v>888</v>
      </c>
      <c r="S128" s="15" t="s">
        <v>888</v>
      </c>
      <c r="T128" s="11" t="s">
        <v>888</v>
      </c>
      <c r="U128" s="10" t="s">
        <v>888</v>
      </c>
      <c r="V128" s="7" t="s">
        <v>888</v>
      </c>
      <c r="W128" s="7" t="s">
        <v>888</v>
      </c>
      <c r="X128" s="7" t="s">
        <v>888</v>
      </c>
      <c r="Y128" s="15" t="s">
        <v>888</v>
      </c>
      <c r="Z128" s="9" t="s">
        <v>888</v>
      </c>
      <c r="AA128" s="9" t="s">
        <v>888</v>
      </c>
      <c r="AB128" s="9" t="s">
        <v>888</v>
      </c>
      <c r="AC128" s="13" t="s">
        <v>888</v>
      </c>
      <c r="AD128" s="13" t="s">
        <v>888</v>
      </c>
      <c r="AE128" s="9" t="s">
        <v>888</v>
      </c>
      <c r="AF128" s="9" t="s">
        <v>888</v>
      </c>
      <c r="AG128" s="9" t="s">
        <v>888</v>
      </c>
      <c r="AH128" s="6" t="s">
        <v>888</v>
      </c>
      <c r="AI128" s="10" t="s">
        <v>888</v>
      </c>
      <c r="AJ128" s="10" t="s">
        <v>888</v>
      </c>
      <c r="AK128" s="15" t="s">
        <v>888</v>
      </c>
      <c r="AL128" s="15" t="s">
        <v>888</v>
      </c>
      <c r="AM128" s="15" t="s">
        <v>888</v>
      </c>
      <c r="AN128" s="9" t="s">
        <v>888</v>
      </c>
      <c r="AO128" s="9" t="s">
        <v>888</v>
      </c>
      <c r="AP128" s="9" t="s">
        <v>888</v>
      </c>
      <c r="AQ128" s="15" t="s">
        <v>888</v>
      </c>
      <c r="AR128" s="9" t="s">
        <v>888</v>
      </c>
      <c r="AS128" s="6" t="s">
        <v>888</v>
      </c>
      <c r="AT128" s="15" t="s">
        <v>888</v>
      </c>
      <c r="AU128" s="9" t="s">
        <v>888</v>
      </c>
      <c r="AV128" s="9" t="s">
        <v>888</v>
      </c>
      <c r="AW128" s="9" t="s">
        <v>888</v>
      </c>
      <c r="AX128" s="9" t="s">
        <v>888</v>
      </c>
      <c r="AY128" s="9" t="s">
        <v>888</v>
      </c>
      <c r="AZ128" s="9" t="s">
        <v>888</v>
      </c>
      <c r="BA128" s="6" t="s">
        <v>888</v>
      </c>
      <c r="BB128" s="6" t="s">
        <v>888</v>
      </c>
      <c r="BC128" s="6" t="s">
        <v>888</v>
      </c>
      <c r="BD128" s="15" t="s">
        <v>888</v>
      </c>
      <c r="BE128" s="15" t="s">
        <v>888</v>
      </c>
      <c r="BF128" s="15" t="s">
        <v>888</v>
      </c>
      <c r="BG128" s="15" t="s">
        <v>888</v>
      </c>
      <c r="BH128" s="6" t="s">
        <v>888</v>
      </c>
      <c r="BI128" s="17" t="s">
        <v>888</v>
      </c>
      <c r="BJ128" s="7" t="s">
        <v>888</v>
      </c>
      <c r="BK128" s="7" t="s">
        <v>888</v>
      </c>
      <c r="BL128" s="7" t="s">
        <v>888</v>
      </c>
      <c r="BM128" s="16" t="s">
        <v>888</v>
      </c>
      <c r="BN128" s="16" t="s">
        <v>888</v>
      </c>
      <c r="BO128" s="16" t="s">
        <v>888</v>
      </c>
      <c r="BP128" s="16" t="s">
        <v>888</v>
      </c>
      <c r="BQ128" s="16" t="s">
        <v>888</v>
      </c>
      <c r="BR128" s="7" t="s">
        <v>888</v>
      </c>
      <c r="BS128" s="7" t="s">
        <v>888</v>
      </c>
      <c r="BT128" s="7" t="s">
        <v>888</v>
      </c>
      <c r="BU128" s="14" t="s">
        <v>888</v>
      </c>
      <c r="BV128" s="15" t="s">
        <v>888</v>
      </c>
      <c r="BW128" s="9" t="s">
        <v>888</v>
      </c>
      <c r="BX128" s="9" t="s">
        <v>888</v>
      </c>
      <c r="BY128" s="13" t="s">
        <v>888</v>
      </c>
      <c r="BZ128" s="13" t="s">
        <v>888</v>
      </c>
      <c r="CA128" s="12" t="str">
        <f>IF(B128="","",IF(A128&lt;8,"",_xlfn.LET(_xlpm.n,A128,_xlpm.k,G128,_xlpm.R,AP128,_xlpm.mu,1+2*_xlpm.k*(_xlpm.n-_xlpm.k)/_xlpm.n,_xlpm.v,2*_xlpm.k*(_xlpm.n-_xlpm.k)*(2*_xlpm.k*(_xlpm.n-_xlpm.k)-_xlpm.n)/(_xlpm.n^2*(_xlpm.n-1)),IF(_xlpm.v&lt;=0,"",(_xlpm.R-_xlpm.mu)/SQRT(_xlpm.v)))))</f>
        <v/>
      </c>
      <c r="CB128" s="37" t="str" cm="1">
        <f t="array" ref="CB128">IF(B128="","",IF(A128&lt;8,"",_xlfn.LET(_xlpm.b,--MID(C128,_xlfn.SEQUENCE(A128-1),1),_xlpm.c,--MID(C128,_xlfn.SEQUENCE(A128-1,,2),1),IFERROR(CORREL(_xlpm.b,_xlpm.c),""))))</f>
        <v/>
      </c>
      <c r="CC128" s="8" t="str">
        <f>IF(B128="","",LOG(A128,2))</f>
        <v/>
      </c>
      <c r="CD128" s="8" t="str">
        <f>IF(B128="","",MAX(AN128,AO128)-CC128)</f>
        <v/>
      </c>
      <c r="CE128" s="8" t="str" cm="1">
        <f t="array" ref="CE128">IF(B128="","",IF(LEN(B128)&lt;16,"",_xlfn.LET(_xlpm.d,MID("0123456789abcdef",_xlfn.SEQUENCE(16),1),_xlpm.c,LEN(B128)-LEN(SUBSTITUTE(B128,_xlpm.d,"")),_xlpm.ex,LEN(B128)/16,SUM((_xlpm.c-_xlpm.ex)^2/_xlpm.ex))))</f>
        <v/>
      </c>
      <c r="CF128" s="37" t="str">
        <f>IF(CE128="","",_xlfn.CHISQ.DIST.RT(CE128,15))</f>
        <v/>
      </c>
      <c r="CG128" s="9" t="str" cm="1">
        <f t="array" ref="CG128">IF(OR(B128="",B127=""),"",_xlfn.LET(_xlpm.a,C128,_xlpm.b,REPT("0",A128-LEN(C127))&amp;C127,_xlpm.m,MID(_xlpm.a,_xlfn.SEQUENCE(A128),1)=MID(_xlpm.b,_xlfn.SEQUENCE(A128),1),IFERROR(MATCH(FALSE,_xlpm.m,0)-1,A128)))</f>
        <v/>
      </c>
      <c r="CH128" s="9" t="str" cm="1">
        <f t="array" ref="CH128">IF(OR(B128="",B127=""),"",_xlfn.LET(_xlpm.a,C128,_xlpm.b,REPT("0",A128-LEN(C127))&amp;C127,_xlpm.n,A128,_xlpm.m,MID(_xlpm.a,_xlfn.SEQUENCE(_xlpm.n,,_xlpm.n,-1),1)=MID(_xlpm.b,_xlfn.SEQUENCE(_xlpm.n,,_xlpm.n,-1),1),IFERROR(MATCH(FALSE,_xlpm.m,0)-1,_xlpm.n)))</f>
        <v/>
      </c>
      <c r="CI128" s="38" t="str">
        <f>IF(OR(B128="",B127=""),"",F128-F127)</f>
        <v/>
      </c>
      <c r="CJ128" s="5" t="str">
        <f>IF(OR(B128="",B127=""),"",IFERROR(FIND(B127,B128)&gt;0,FALSE))</f>
        <v/>
      </c>
      <c r="CK128" s="5" t="str">
        <f>IF(OR(B128="",B127=""),"",IFERROR(FIND(C127,C128)&gt;0,FALSE))</f>
        <v/>
      </c>
      <c r="CL128" s="9" t="str">
        <f>IF(OR(B128="",B127=""),"",IFERROR(FIND(C127,C128),""))</f>
        <v/>
      </c>
      <c r="CM128" s="6" t="str" cm="1">
        <f t="array" ref="CM128">IF(OR(B128="",B127=""),"",_xlfn.LET(_xlpm.pv,D127,_xlpm.ra,BIGSUB(D128,_xlpm.pv),_xlpm.rb,BIGSUB(_xlpm.ra,_xlpm.pv),_xlpm.rc,BIGSUB(_xlpm.rb,_xlpm.pv),IF(LEFT(_xlpm.rb,1)="-",_xlpm.ra,IF(LEFT(_xlpm.rc,1)="-",_xlpm.rb,_xlpm.rc))))</f>
        <v/>
      </c>
      <c r="CN128" s="38" t="str">
        <f>IF(B128="","",F128-0.5)</f>
        <v/>
      </c>
      <c r="CO128" s="15" t="str" cm="1">
        <f t="array" ref="CO128">IF(B128="","",_xlfn.TEXTJOIN("",,MID(B128,_xlfn.SEQUENCE(LEN(B128),,LEN(B128),-1),1)))</f>
        <v/>
      </c>
      <c r="CP128" s="6" t="str" cm="1">
        <f t="array" ref="CP128">IF(B128="","",BASE2DEC(CO128,16))</f>
        <v/>
      </c>
      <c r="CQ128" s="5" t="str">
        <f>IF(B128="","",IF(AND(LEN(B128)&lt;16,LEN(B128)=LEN(SUBSTITUTE(SUBSTITUTE(SUBSTITUTE(SUBSTITUTE(SUBSTITUTE(SUBSTITUTE(B128,"a",""),"b",""),"c",""),"d",""),"e",""),"f",""))),--B128,""))</f>
        <v/>
      </c>
      <c r="CR128" s="6" t="str" cm="1">
        <f t="array" ref="CR128">IF(B128="","",IF(LEN(D128)&lt;=15,BASE2DEC(D128,16),""))</f>
        <v/>
      </c>
      <c r="CS128" s="15" t="str" cm="1">
        <f t="array" ref="CS128">IF(B128="","",_xlfn.LET(_xlpm.p,REPT("0",MOD(-LEN(B128),4))&amp;B128,_xlfn.TEXTJOIN(" ",,MID(_xlpm.p,_xlfn.SEQUENCE(LEN(_xlpm.p)/4,,1,4),4))))</f>
        <v/>
      </c>
      <c r="CT128" s="15" t="str" cm="1">
        <f t="array" ref="CT128">IF(B128="","",UPPER(_xlfn.LET(_xlpm.p,REPT("0",64-LEN(B128))&amp;B128,_xlfn.TEXTJOIN(" ",,MID(_xlpm.p,_xlfn.SEQUENCE(8,,1,8),8)))))</f>
        <v/>
      </c>
      <c r="CU128" s="6" t="str" cm="1">
        <f t="array" ref="CU128">IF(B128="","",IF(LEN(D128)&lt;=6,_xlfn.LET(_xlpm.n,VALUE(D128)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8" s="39" t="s">
        <v>888</v>
      </c>
      <c r="CW128" s="39" t="s">
        <v>888</v>
      </c>
      <c r="CX128" s="39" t="s">
        <v>888</v>
      </c>
      <c r="CY128" s="7" t="s">
        <v>888</v>
      </c>
      <c r="CZ128" s="39" t="s">
        <v>888</v>
      </c>
      <c r="DA128" s="39" t="s">
        <v>888</v>
      </c>
      <c r="DB128" s="39" t="s">
        <v>888</v>
      </c>
      <c r="DC128" s="7" t="s">
        <v>888</v>
      </c>
      <c r="DD128" s="7" t="s">
        <v>888</v>
      </c>
      <c r="DE128" s="7" t="s">
        <v>888</v>
      </c>
      <c r="DF128" s="7" t="s">
        <v>888</v>
      </c>
      <c r="DG128" s="7" t="s">
        <v>888</v>
      </c>
      <c r="DH128" s="39" t="s">
        <v>888</v>
      </c>
      <c r="DI128" s="7" t="s">
        <v>888</v>
      </c>
      <c r="DJ128" s="7" t="s">
        <v>888</v>
      </c>
      <c r="DK128" s="7" t="s">
        <v>888</v>
      </c>
      <c r="DL128" s="7" t="s">
        <v>888</v>
      </c>
      <c r="DM128" s="7" t="s">
        <v>888</v>
      </c>
      <c r="DN128" s="7" t="s">
        <v>888</v>
      </c>
      <c r="DO128" s="7" t="s">
        <v>888</v>
      </c>
      <c r="DP128" s="7" t="s">
        <v>888</v>
      </c>
      <c r="DQ128" s="7" t="s">
        <v>888</v>
      </c>
      <c r="DR128" s="7" t="s">
        <v>888</v>
      </c>
      <c r="DS128" s="7" t="s">
        <v>888</v>
      </c>
      <c r="DT128" s="15" t="str" cm="1">
        <f t="array" ref="DT128">IF(B128="","",_xlfn.TEXTJOIN("",,HEX2BIN(MID(BQ128,_xlfn.SEQUENCE(40),1),4)))</f>
        <v/>
      </c>
    </row>
    <row r="129" spans="1:124" x14ac:dyDescent="0.25">
      <c r="A129" s="9">
        <v>128</v>
      </c>
      <c r="B129" s="15" t="s">
        <v>888</v>
      </c>
      <c r="C129" s="15" t="s">
        <v>888</v>
      </c>
      <c r="D129" s="6" t="s">
        <v>888</v>
      </c>
      <c r="E129" s="6" t="s">
        <v>888</v>
      </c>
      <c r="F129" s="10" t="s">
        <v>888</v>
      </c>
      <c r="G129" s="9" t="s">
        <v>888</v>
      </c>
      <c r="H129" s="9" t="s">
        <v>888</v>
      </c>
      <c r="I129" s="15" t="s">
        <v>888</v>
      </c>
      <c r="J129" s="9" t="s">
        <v>888</v>
      </c>
      <c r="K129" s="15" t="s">
        <v>888</v>
      </c>
      <c r="L129" s="15" t="s">
        <v>888</v>
      </c>
      <c r="M129" s="15" t="s">
        <v>888</v>
      </c>
      <c r="N129" s="15" t="s">
        <v>888</v>
      </c>
      <c r="O129" s="6" t="s">
        <v>888</v>
      </c>
      <c r="P129" s="15" t="s">
        <v>888</v>
      </c>
      <c r="Q129" s="15" t="s">
        <v>888</v>
      </c>
      <c r="R129" s="6" t="s">
        <v>888</v>
      </c>
      <c r="S129" s="15" t="s">
        <v>888</v>
      </c>
      <c r="T129" s="11" t="s">
        <v>888</v>
      </c>
      <c r="U129" s="10" t="s">
        <v>888</v>
      </c>
      <c r="V129" s="7" t="s">
        <v>888</v>
      </c>
      <c r="W129" s="7" t="s">
        <v>888</v>
      </c>
      <c r="X129" s="7" t="s">
        <v>888</v>
      </c>
      <c r="Y129" s="15" t="s">
        <v>888</v>
      </c>
      <c r="Z129" s="9" t="s">
        <v>888</v>
      </c>
      <c r="AA129" s="9" t="s">
        <v>888</v>
      </c>
      <c r="AB129" s="9" t="s">
        <v>888</v>
      </c>
      <c r="AC129" s="13" t="s">
        <v>888</v>
      </c>
      <c r="AD129" s="13" t="s">
        <v>888</v>
      </c>
      <c r="AE129" s="9" t="s">
        <v>888</v>
      </c>
      <c r="AF129" s="9" t="s">
        <v>888</v>
      </c>
      <c r="AG129" s="9" t="s">
        <v>888</v>
      </c>
      <c r="AH129" s="6" t="s">
        <v>888</v>
      </c>
      <c r="AI129" s="10" t="s">
        <v>888</v>
      </c>
      <c r="AJ129" s="10" t="s">
        <v>888</v>
      </c>
      <c r="AK129" s="15" t="s">
        <v>888</v>
      </c>
      <c r="AL129" s="15" t="s">
        <v>888</v>
      </c>
      <c r="AM129" s="15" t="s">
        <v>888</v>
      </c>
      <c r="AN129" s="9" t="s">
        <v>888</v>
      </c>
      <c r="AO129" s="9" t="s">
        <v>888</v>
      </c>
      <c r="AP129" s="9" t="s">
        <v>888</v>
      </c>
      <c r="AQ129" s="15" t="s">
        <v>888</v>
      </c>
      <c r="AR129" s="9" t="s">
        <v>888</v>
      </c>
      <c r="AS129" s="6" t="s">
        <v>888</v>
      </c>
      <c r="AT129" s="15" t="s">
        <v>888</v>
      </c>
      <c r="AU129" s="9" t="s">
        <v>888</v>
      </c>
      <c r="AV129" s="9" t="s">
        <v>888</v>
      </c>
      <c r="AW129" s="9" t="s">
        <v>888</v>
      </c>
      <c r="AX129" s="9" t="s">
        <v>888</v>
      </c>
      <c r="AY129" s="9" t="s">
        <v>888</v>
      </c>
      <c r="AZ129" s="9" t="s">
        <v>888</v>
      </c>
      <c r="BA129" s="6" t="s">
        <v>888</v>
      </c>
      <c r="BB129" s="6" t="s">
        <v>888</v>
      </c>
      <c r="BC129" s="6" t="s">
        <v>888</v>
      </c>
      <c r="BD129" s="15" t="s">
        <v>888</v>
      </c>
      <c r="BE129" s="15" t="s">
        <v>888</v>
      </c>
      <c r="BF129" s="15" t="s">
        <v>888</v>
      </c>
      <c r="BG129" s="15" t="s">
        <v>888</v>
      </c>
      <c r="BH129" s="6" t="s">
        <v>888</v>
      </c>
      <c r="BI129" s="17" t="s">
        <v>888</v>
      </c>
      <c r="BJ129" s="7" t="s">
        <v>888</v>
      </c>
      <c r="BK129" s="7" t="s">
        <v>888</v>
      </c>
      <c r="BL129" s="7" t="s">
        <v>888</v>
      </c>
      <c r="BM129" s="16" t="s">
        <v>888</v>
      </c>
      <c r="BN129" s="16" t="s">
        <v>888</v>
      </c>
      <c r="BO129" s="16" t="s">
        <v>888</v>
      </c>
      <c r="BP129" s="16" t="s">
        <v>888</v>
      </c>
      <c r="BQ129" s="16" t="s">
        <v>888</v>
      </c>
      <c r="BR129" s="7" t="s">
        <v>888</v>
      </c>
      <c r="BS129" s="7" t="s">
        <v>888</v>
      </c>
      <c r="BT129" s="7" t="s">
        <v>888</v>
      </c>
      <c r="BU129" s="14" t="s">
        <v>888</v>
      </c>
      <c r="BV129" s="15" t="s">
        <v>888</v>
      </c>
      <c r="BW129" s="9" t="s">
        <v>888</v>
      </c>
      <c r="BX129" s="9" t="s">
        <v>888</v>
      </c>
      <c r="BY129" s="13" t="s">
        <v>888</v>
      </c>
      <c r="BZ129" s="13" t="s">
        <v>888</v>
      </c>
      <c r="CA129" s="12" t="str">
        <f>IF(B129="","",IF(A129&lt;8,"",_xlfn.LET(_xlpm.n,A129,_xlpm.k,G129,_xlpm.R,AP129,_xlpm.mu,1+2*_xlpm.k*(_xlpm.n-_xlpm.k)/_xlpm.n,_xlpm.v,2*_xlpm.k*(_xlpm.n-_xlpm.k)*(2*_xlpm.k*(_xlpm.n-_xlpm.k)-_xlpm.n)/(_xlpm.n^2*(_xlpm.n-1)),IF(_xlpm.v&lt;=0,"",(_xlpm.R-_xlpm.mu)/SQRT(_xlpm.v)))))</f>
        <v/>
      </c>
      <c r="CB129" s="37" t="str" cm="1">
        <f t="array" ref="CB129">IF(B129="","",IF(A129&lt;8,"",_xlfn.LET(_xlpm.b,--MID(C129,_xlfn.SEQUENCE(A129-1),1),_xlpm.c,--MID(C129,_xlfn.SEQUENCE(A129-1,,2),1),IFERROR(CORREL(_xlpm.b,_xlpm.c),""))))</f>
        <v/>
      </c>
      <c r="CC129" s="8" t="str">
        <f>IF(B129="","",LOG(A129,2))</f>
        <v/>
      </c>
      <c r="CD129" s="8" t="str">
        <f>IF(B129="","",MAX(AN129,AO129)-CC129)</f>
        <v/>
      </c>
      <c r="CE129" s="8" t="str" cm="1">
        <f t="array" ref="CE129">IF(B129="","",IF(LEN(B129)&lt;16,"",_xlfn.LET(_xlpm.d,MID("0123456789abcdef",_xlfn.SEQUENCE(16),1),_xlpm.c,LEN(B129)-LEN(SUBSTITUTE(B129,_xlpm.d,"")),_xlpm.ex,LEN(B129)/16,SUM((_xlpm.c-_xlpm.ex)^2/_xlpm.ex))))</f>
        <v/>
      </c>
      <c r="CF129" s="37" t="str">
        <f>IF(CE129="","",_xlfn.CHISQ.DIST.RT(CE129,15))</f>
        <v/>
      </c>
      <c r="CG129" s="9" t="str" cm="1">
        <f t="array" ref="CG129">IF(OR(B129="",B128=""),"",_xlfn.LET(_xlpm.a,C129,_xlpm.b,REPT("0",A129-LEN(C128))&amp;C128,_xlpm.m,MID(_xlpm.a,_xlfn.SEQUENCE(A129),1)=MID(_xlpm.b,_xlfn.SEQUENCE(A129),1),IFERROR(MATCH(FALSE,_xlpm.m,0)-1,A129)))</f>
        <v/>
      </c>
      <c r="CH129" s="9" t="str" cm="1">
        <f t="array" ref="CH129">IF(OR(B129="",B128=""),"",_xlfn.LET(_xlpm.a,C129,_xlpm.b,REPT("0",A129-LEN(C128))&amp;C128,_xlpm.n,A129,_xlpm.m,MID(_xlpm.a,_xlfn.SEQUENCE(_xlpm.n,,_xlpm.n,-1),1)=MID(_xlpm.b,_xlfn.SEQUENCE(_xlpm.n,,_xlpm.n,-1),1),IFERROR(MATCH(FALSE,_xlpm.m,0)-1,_xlpm.n)))</f>
        <v/>
      </c>
      <c r="CI129" s="38" t="str">
        <f>IF(OR(B129="",B128=""),"",F129-F128)</f>
        <v/>
      </c>
      <c r="CJ129" s="5" t="str">
        <f>IF(OR(B129="",B128=""),"",IFERROR(FIND(B128,B129)&gt;0,FALSE))</f>
        <v/>
      </c>
      <c r="CK129" s="5" t="str">
        <f>IF(OR(B129="",B128=""),"",IFERROR(FIND(C128,C129)&gt;0,FALSE))</f>
        <v/>
      </c>
      <c r="CL129" s="9" t="str">
        <f>IF(OR(B129="",B128=""),"",IFERROR(FIND(C128,C129),""))</f>
        <v/>
      </c>
      <c r="CM129" s="6" t="str" cm="1">
        <f t="array" ref="CM129">IF(OR(B129="",B128=""),"",_xlfn.LET(_xlpm.pv,D128,_xlpm.ra,BIGSUB(D129,_xlpm.pv),_xlpm.rb,BIGSUB(_xlpm.ra,_xlpm.pv),_xlpm.rc,BIGSUB(_xlpm.rb,_xlpm.pv),IF(LEFT(_xlpm.rb,1)="-",_xlpm.ra,IF(LEFT(_xlpm.rc,1)="-",_xlpm.rb,_xlpm.rc))))</f>
        <v/>
      </c>
      <c r="CN129" s="38" t="str">
        <f>IF(B129="","",F129-0.5)</f>
        <v/>
      </c>
      <c r="CO129" s="15" t="str" cm="1">
        <f t="array" ref="CO129">IF(B129="","",_xlfn.TEXTJOIN("",,MID(B129,_xlfn.SEQUENCE(LEN(B129),,LEN(B129),-1),1)))</f>
        <v/>
      </c>
      <c r="CP129" s="6" t="str" cm="1">
        <f t="array" ref="CP129">IF(B129="","",BASE2DEC(CO129,16))</f>
        <v/>
      </c>
      <c r="CQ129" s="5" t="str">
        <f>IF(B129="","",IF(AND(LEN(B129)&lt;16,LEN(B129)=LEN(SUBSTITUTE(SUBSTITUTE(SUBSTITUTE(SUBSTITUTE(SUBSTITUTE(SUBSTITUTE(B129,"a",""),"b",""),"c",""),"d",""),"e",""),"f",""))),--B129,""))</f>
        <v/>
      </c>
      <c r="CR129" s="6" t="str" cm="1">
        <f t="array" ref="CR129">IF(B129="","",IF(LEN(D129)&lt;=15,BASE2DEC(D129,16),""))</f>
        <v/>
      </c>
      <c r="CS129" s="15" t="str" cm="1">
        <f t="array" ref="CS129">IF(B129="","",_xlfn.LET(_xlpm.p,REPT("0",MOD(-LEN(B129),4))&amp;B129,_xlfn.TEXTJOIN(" ",,MID(_xlpm.p,_xlfn.SEQUENCE(LEN(_xlpm.p)/4,,1,4),4))))</f>
        <v/>
      </c>
      <c r="CT129" s="15" t="str" cm="1">
        <f t="array" ref="CT129">IF(B129="","",UPPER(_xlfn.LET(_xlpm.p,REPT("0",64-LEN(B129))&amp;B129,_xlfn.TEXTJOIN(" ",,MID(_xlpm.p,_xlfn.SEQUENCE(8,,1,8),8)))))</f>
        <v/>
      </c>
      <c r="CU129" s="6" t="str" cm="1">
        <f t="array" ref="CU129">IF(B129="","",IF(LEN(D129)&lt;=6,_xlfn.LET(_xlpm.n,VALUE(D129)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29" s="39" t="s">
        <v>888</v>
      </c>
      <c r="CW129" s="39" t="s">
        <v>888</v>
      </c>
      <c r="CX129" s="39" t="s">
        <v>888</v>
      </c>
      <c r="CY129" s="7" t="s">
        <v>888</v>
      </c>
      <c r="CZ129" s="39" t="s">
        <v>888</v>
      </c>
      <c r="DA129" s="39" t="s">
        <v>888</v>
      </c>
      <c r="DB129" s="39" t="s">
        <v>888</v>
      </c>
      <c r="DC129" s="7" t="s">
        <v>888</v>
      </c>
      <c r="DD129" s="7" t="s">
        <v>888</v>
      </c>
      <c r="DE129" s="7" t="s">
        <v>888</v>
      </c>
      <c r="DF129" s="7" t="s">
        <v>888</v>
      </c>
      <c r="DG129" s="7" t="s">
        <v>888</v>
      </c>
      <c r="DH129" s="39" t="s">
        <v>888</v>
      </c>
      <c r="DI129" s="7" t="s">
        <v>888</v>
      </c>
      <c r="DJ129" s="7" t="s">
        <v>888</v>
      </c>
      <c r="DK129" s="7" t="s">
        <v>888</v>
      </c>
      <c r="DL129" s="7" t="s">
        <v>888</v>
      </c>
      <c r="DM129" s="7" t="s">
        <v>888</v>
      </c>
      <c r="DN129" s="7" t="s">
        <v>888</v>
      </c>
      <c r="DO129" s="7" t="s">
        <v>888</v>
      </c>
      <c r="DP129" s="7" t="s">
        <v>888</v>
      </c>
      <c r="DQ129" s="7" t="s">
        <v>888</v>
      </c>
      <c r="DR129" s="7" t="s">
        <v>888</v>
      </c>
      <c r="DS129" s="7" t="s">
        <v>888</v>
      </c>
      <c r="DT129" s="15" t="str" cm="1">
        <f t="array" ref="DT129">IF(B129="","",_xlfn.TEXTJOIN("",,HEX2BIN(MID(BQ129,_xlfn.SEQUENCE(40),1),4)))</f>
        <v/>
      </c>
    </row>
    <row r="130" spans="1:124" x14ac:dyDescent="0.25">
      <c r="A130" s="9">
        <v>129</v>
      </c>
      <c r="B130" s="15" t="s">
        <v>888</v>
      </c>
      <c r="C130" s="15" t="s">
        <v>888</v>
      </c>
      <c r="D130" s="6" t="s">
        <v>888</v>
      </c>
      <c r="E130" s="6" t="s">
        <v>888</v>
      </c>
      <c r="F130" s="10" t="s">
        <v>888</v>
      </c>
      <c r="G130" s="9" t="s">
        <v>888</v>
      </c>
      <c r="H130" s="9" t="s">
        <v>888</v>
      </c>
      <c r="I130" s="15" t="s">
        <v>888</v>
      </c>
      <c r="J130" s="9" t="s">
        <v>888</v>
      </c>
      <c r="K130" s="15" t="s">
        <v>888</v>
      </c>
      <c r="L130" s="15" t="s">
        <v>888</v>
      </c>
      <c r="M130" s="15" t="s">
        <v>888</v>
      </c>
      <c r="N130" s="15" t="s">
        <v>888</v>
      </c>
      <c r="O130" s="6" t="s">
        <v>888</v>
      </c>
      <c r="P130" s="15" t="s">
        <v>888</v>
      </c>
      <c r="Q130" s="15" t="s">
        <v>888</v>
      </c>
      <c r="R130" s="6" t="s">
        <v>888</v>
      </c>
      <c r="S130" s="15" t="s">
        <v>888</v>
      </c>
      <c r="T130" s="11" t="s">
        <v>888</v>
      </c>
      <c r="U130" s="10" t="s">
        <v>888</v>
      </c>
      <c r="V130" s="7" t="s">
        <v>888</v>
      </c>
      <c r="W130" s="7" t="s">
        <v>888</v>
      </c>
      <c r="X130" s="7" t="s">
        <v>888</v>
      </c>
      <c r="Y130" s="15" t="s">
        <v>888</v>
      </c>
      <c r="Z130" s="9" t="s">
        <v>888</v>
      </c>
      <c r="AA130" s="9" t="s">
        <v>888</v>
      </c>
      <c r="AB130" s="9" t="s">
        <v>888</v>
      </c>
      <c r="AC130" s="13" t="s">
        <v>888</v>
      </c>
      <c r="AD130" s="13" t="s">
        <v>888</v>
      </c>
      <c r="AE130" s="9" t="s">
        <v>888</v>
      </c>
      <c r="AF130" s="9" t="s">
        <v>888</v>
      </c>
      <c r="AG130" s="9" t="s">
        <v>888</v>
      </c>
      <c r="AH130" s="6" t="s">
        <v>888</v>
      </c>
      <c r="AI130" s="10" t="s">
        <v>888</v>
      </c>
      <c r="AJ130" s="10" t="s">
        <v>888</v>
      </c>
      <c r="AK130" s="15" t="s">
        <v>888</v>
      </c>
      <c r="AL130" s="15" t="s">
        <v>888</v>
      </c>
      <c r="AM130" s="15" t="s">
        <v>888</v>
      </c>
      <c r="AN130" s="9" t="s">
        <v>888</v>
      </c>
      <c r="AO130" s="9" t="s">
        <v>888</v>
      </c>
      <c r="AP130" s="9" t="s">
        <v>888</v>
      </c>
      <c r="AQ130" s="15" t="s">
        <v>888</v>
      </c>
      <c r="AR130" s="9" t="s">
        <v>888</v>
      </c>
      <c r="AS130" s="6" t="s">
        <v>888</v>
      </c>
      <c r="AT130" s="15" t="s">
        <v>888</v>
      </c>
      <c r="AU130" s="9" t="s">
        <v>888</v>
      </c>
      <c r="AV130" s="9" t="s">
        <v>888</v>
      </c>
      <c r="AW130" s="9" t="s">
        <v>888</v>
      </c>
      <c r="AX130" s="9" t="s">
        <v>888</v>
      </c>
      <c r="AY130" s="9" t="s">
        <v>888</v>
      </c>
      <c r="AZ130" s="9" t="s">
        <v>888</v>
      </c>
      <c r="BA130" s="6" t="s">
        <v>888</v>
      </c>
      <c r="BB130" s="6" t="s">
        <v>888</v>
      </c>
      <c r="BC130" s="6" t="s">
        <v>888</v>
      </c>
      <c r="BD130" s="15" t="s">
        <v>888</v>
      </c>
      <c r="BE130" s="15" t="s">
        <v>888</v>
      </c>
      <c r="BF130" s="15" t="s">
        <v>888</v>
      </c>
      <c r="BG130" s="15" t="s">
        <v>888</v>
      </c>
      <c r="BH130" s="6" t="s">
        <v>888</v>
      </c>
      <c r="BI130" s="17" t="s">
        <v>888</v>
      </c>
      <c r="BJ130" s="7" t="s">
        <v>888</v>
      </c>
      <c r="BK130" s="7" t="s">
        <v>888</v>
      </c>
      <c r="BL130" s="7" t="s">
        <v>888</v>
      </c>
      <c r="BM130" s="16" t="s">
        <v>888</v>
      </c>
      <c r="BN130" s="16" t="s">
        <v>888</v>
      </c>
      <c r="BO130" s="16" t="s">
        <v>888</v>
      </c>
      <c r="BP130" s="16" t="s">
        <v>888</v>
      </c>
      <c r="BQ130" s="16" t="s">
        <v>888</v>
      </c>
      <c r="BR130" s="7" t="s">
        <v>888</v>
      </c>
      <c r="BS130" s="7" t="s">
        <v>888</v>
      </c>
      <c r="BT130" s="7" t="s">
        <v>888</v>
      </c>
      <c r="BU130" s="14" t="s">
        <v>888</v>
      </c>
      <c r="BV130" s="15" t="s">
        <v>888</v>
      </c>
      <c r="BW130" s="9" t="s">
        <v>888</v>
      </c>
      <c r="BX130" s="9" t="s">
        <v>888</v>
      </c>
      <c r="BY130" s="13" t="s">
        <v>888</v>
      </c>
      <c r="BZ130" s="13" t="s">
        <v>888</v>
      </c>
      <c r="CA130" s="12" t="str">
        <f>IF(B130="","",IF(A130&lt;8,"",_xlfn.LET(_xlpm.n,A130,_xlpm.k,G130,_xlpm.R,AP130,_xlpm.mu,1+2*_xlpm.k*(_xlpm.n-_xlpm.k)/_xlpm.n,_xlpm.v,2*_xlpm.k*(_xlpm.n-_xlpm.k)*(2*_xlpm.k*(_xlpm.n-_xlpm.k)-_xlpm.n)/(_xlpm.n^2*(_xlpm.n-1)),IF(_xlpm.v&lt;=0,"",(_xlpm.R-_xlpm.mu)/SQRT(_xlpm.v)))))</f>
        <v/>
      </c>
      <c r="CB130" s="37" t="str" cm="1">
        <f t="array" ref="CB130">IF(B130="","",IF(A130&lt;8,"",_xlfn.LET(_xlpm.b,--MID(C130,_xlfn.SEQUENCE(A130-1),1),_xlpm.c,--MID(C130,_xlfn.SEQUENCE(A130-1,,2),1),IFERROR(CORREL(_xlpm.b,_xlpm.c),""))))</f>
        <v/>
      </c>
      <c r="CC130" s="8" t="str">
        <f>IF(B130="","",LOG(A130,2))</f>
        <v/>
      </c>
      <c r="CD130" s="8" t="str">
        <f>IF(B130="","",MAX(AN130,AO130)-CC130)</f>
        <v/>
      </c>
      <c r="CE130" s="8" t="str" cm="1">
        <f t="array" ref="CE130">IF(B130="","",IF(LEN(B130)&lt;16,"",_xlfn.LET(_xlpm.d,MID("0123456789abcdef",_xlfn.SEQUENCE(16),1),_xlpm.c,LEN(B130)-LEN(SUBSTITUTE(B130,_xlpm.d,"")),_xlpm.ex,LEN(B130)/16,SUM((_xlpm.c-_xlpm.ex)^2/_xlpm.ex))))</f>
        <v/>
      </c>
      <c r="CF130" s="37" t="str">
        <f>IF(CE130="","",_xlfn.CHISQ.DIST.RT(CE130,15))</f>
        <v/>
      </c>
      <c r="CG130" s="9" t="str" cm="1">
        <f t="array" ref="CG130">IF(OR(B130="",B129=""),"",_xlfn.LET(_xlpm.a,C130,_xlpm.b,REPT("0",A130-LEN(C129))&amp;C129,_xlpm.m,MID(_xlpm.a,_xlfn.SEQUENCE(A130),1)=MID(_xlpm.b,_xlfn.SEQUENCE(A130),1),IFERROR(MATCH(FALSE,_xlpm.m,0)-1,A130)))</f>
        <v/>
      </c>
      <c r="CH130" s="9" t="str" cm="1">
        <f t="array" ref="CH130">IF(OR(B130="",B129=""),"",_xlfn.LET(_xlpm.a,C130,_xlpm.b,REPT("0",A130-LEN(C129))&amp;C129,_xlpm.n,A130,_xlpm.m,MID(_xlpm.a,_xlfn.SEQUENCE(_xlpm.n,,_xlpm.n,-1),1)=MID(_xlpm.b,_xlfn.SEQUENCE(_xlpm.n,,_xlpm.n,-1),1),IFERROR(MATCH(FALSE,_xlpm.m,0)-1,_xlpm.n)))</f>
        <v/>
      </c>
      <c r="CI130" s="38" t="str">
        <f>IF(OR(B130="",B129=""),"",F130-F129)</f>
        <v/>
      </c>
      <c r="CJ130" s="5" t="str">
        <f>IF(OR(B130="",B129=""),"",IFERROR(FIND(B129,B130)&gt;0,FALSE))</f>
        <v/>
      </c>
      <c r="CK130" s="5" t="str">
        <f>IF(OR(B130="",B129=""),"",IFERROR(FIND(C129,C130)&gt;0,FALSE))</f>
        <v/>
      </c>
      <c r="CL130" s="9" t="str">
        <f>IF(OR(B130="",B129=""),"",IFERROR(FIND(C129,C130),""))</f>
        <v/>
      </c>
      <c r="CM130" s="6" t="str" cm="1">
        <f t="array" ref="CM130">IF(OR(B130="",B129=""),"",_xlfn.LET(_xlpm.pv,D129,_xlpm.ra,BIGSUB(D130,_xlpm.pv),_xlpm.rb,BIGSUB(_xlpm.ra,_xlpm.pv),_xlpm.rc,BIGSUB(_xlpm.rb,_xlpm.pv),IF(LEFT(_xlpm.rb,1)="-",_xlpm.ra,IF(LEFT(_xlpm.rc,1)="-",_xlpm.rb,_xlpm.rc))))</f>
        <v/>
      </c>
      <c r="CN130" s="38" t="str">
        <f>IF(B130="","",F130-0.5)</f>
        <v/>
      </c>
      <c r="CO130" s="15" t="str" cm="1">
        <f t="array" ref="CO130">IF(B130="","",_xlfn.TEXTJOIN("",,MID(B130,_xlfn.SEQUENCE(LEN(B130),,LEN(B130),-1),1)))</f>
        <v/>
      </c>
      <c r="CP130" s="6" t="str" cm="1">
        <f t="array" ref="CP130">IF(B130="","",BASE2DEC(CO130,16))</f>
        <v/>
      </c>
      <c r="CQ130" s="5" t="str">
        <f>IF(B130="","",IF(AND(LEN(B130)&lt;16,LEN(B130)=LEN(SUBSTITUTE(SUBSTITUTE(SUBSTITUTE(SUBSTITUTE(SUBSTITUTE(SUBSTITUTE(B130,"a",""),"b",""),"c",""),"d",""),"e",""),"f",""))),--B130,""))</f>
        <v/>
      </c>
      <c r="CR130" s="6" t="str" cm="1">
        <f t="array" ref="CR130">IF(B130="","",IF(LEN(D130)&lt;=15,BASE2DEC(D130,16),""))</f>
        <v/>
      </c>
      <c r="CS130" s="15" t="str" cm="1">
        <f t="array" ref="CS130">IF(B130="","",_xlfn.LET(_xlpm.p,REPT("0",MOD(-LEN(B130),4))&amp;B130,_xlfn.TEXTJOIN(" ",,MID(_xlpm.p,_xlfn.SEQUENCE(LEN(_xlpm.p)/4,,1,4),4))))</f>
        <v/>
      </c>
      <c r="CT130" s="15" t="str" cm="1">
        <f t="array" ref="CT130">IF(B130="","",UPPER(_xlfn.LET(_xlpm.p,REPT("0",64-LEN(B130))&amp;B130,_xlfn.TEXTJOIN(" ",,MID(_xlpm.p,_xlfn.SEQUENCE(8,,1,8),8)))))</f>
        <v/>
      </c>
      <c r="CU130" s="6" t="str" cm="1">
        <f t="array" ref="CU130">IF(B130="","",IF(LEN(D130)&lt;=6,_xlfn.LET(_xlpm.n,VALUE(D130)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0" s="39" t="s">
        <v>888</v>
      </c>
      <c r="CW130" s="39" t="s">
        <v>888</v>
      </c>
      <c r="CX130" s="39" t="s">
        <v>888</v>
      </c>
      <c r="CY130" s="7" t="s">
        <v>888</v>
      </c>
      <c r="CZ130" s="39" t="s">
        <v>888</v>
      </c>
      <c r="DA130" s="39" t="s">
        <v>888</v>
      </c>
      <c r="DB130" s="39" t="s">
        <v>888</v>
      </c>
      <c r="DC130" s="7" t="s">
        <v>888</v>
      </c>
      <c r="DD130" s="7" t="s">
        <v>888</v>
      </c>
      <c r="DE130" s="7" t="s">
        <v>888</v>
      </c>
      <c r="DF130" s="7" t="s">
        <v>888</v>
      </c>
      <c r="DG130" s="7" t="s">
        <v>888</v>
      </c>
      <c r="DH130" s="39" t="s">
        <v>888</v>
      </c>
      <c r="DI130" s="7" t="s">
        <v>888</v>
      </c>
      <c r="DJ130" s="7" t="s">
        <v>888</v>
      </c>
      <c r="DK130" s="7" t="s">
        <v>888</v>
      </c>
      <c r="DL130" s="7" t="s">
        <v>888</v>
      </c>
      <c r="DM130" s="7" t="s">
        <v>888</v>
      </c>
      <c r="DN130" s="7" t="s">
        <v>888</v>
      </c>
      <c r="DO130" s="7" t="s">
        <v>888</v>
      </c>
      <c r="DP130" s="7" t="s">
        <v>888</v>
      </c>
      <c r="DQ130" s="7" t="s">
        <v>888</v>
      </c>
      <c r="DR130" s="7" t="s">
        <v>888</v>
      </c>
      <c r="DS130" s="7" t="s">
        <v>888</v>
      </c>
      <c r="DT130" s="15" t="str" cm="1">
        <f t="array" ref="DT130">IF(B130="","",_xlfn.TEXTJOIN("",,HEX2BIN(MID(BQ130,_xlfn.SEQUENCE(40),1),4)))</f>
        <v/>
      </c>
    </row>
    <row r="131" spans="1:124" x14ac:dyDescent="0.25">
      <c r="A131" s="9">
        <v>130</v>
      </c>
      <c r="B131" s="15" t="s">
        <v>4356</v>
      </c>
      <c r="C131" s="15" t="s">
        <v>4357</v>
      </c>
      <c r="D131" s="6" t="s">
        <v>4358</v>
      </c>
      <c r="E131" s="6" t="s">
        <v>4359</v>
      </c>
      <c r="F131" s="10">
        <v>0.62199704166566772</v>
      </c>
      <c r="G131" s="9">
        <v>65</v>
      </c>
      <c r="H131" s="9">
        <v>0</v>
      </c>
      <c r="I131" s="15" t="s">
        <v>888</v>
      </c>
      <c r="J131" s="9" t="s">
        <v>888</v>
      </c>
      <c r="K131" s="15" t="s">
        <v>4360</v>
      </c>
      <c r="L131" s="15" t="s">
        <v>4361</v>
      </c>
      <c r="M131" s="15" t="s">
        <v>4362</v>
      </c>
      <c r="N131" s="15" t="s">
        <v>4363</v>
      </c>
      <c r="O131" s="6" t="s">
        <v>4364</v>
      </c>
      <c r="P131" s="15" t="s">
        <v>4365</v>
      </c>
      <c r="Q131" s="15" t="s">
        <v>4366</v>
      </c>
      <c r="R131" s="6" t="s">
        <v>4367</v>
      </c>
      <c r="S131" s="15" t="s">
        <v>4368</v>
      </c>
      <c r="T131" s="11" t="s">
        <v>888</v>
      </c>
      <c r="U131" s="10">
        <v>0.5</v>
      </c>
      <c r="V131" s="7" t="s">
        <v>922</v>
      </c>
      <c r="W131" s="7" t="s">
        <v>923</v>
      </c>
      <c r="X131" s="7" t="s">
        <v>924</v>
      </c>
      <c r="Y131" s="15" t="s">
        <v>4369</v>
      </c>
      <c r="Z131" s="9">
        <v>68</v>
      </c>
      <c r="AA131" s="9">
        <v>67</v>
      </c>
      <c r="AB131" s="9">
        <v>78</v>
      </c>
      <c r="AC131" s="13">
        <v>0.52623481158421759</v>
      </c>
      <c r="AD131" s="13">
        <v>0.35082320772281173</v>
      </c>
      <c r="AE131" s="9">
        <v>40</v>
      </c>
      <c r="AF131" s="9">
        <v>183</v>
      </c>
      <c r="AG131" s="9">
        <v>3</v>
      </c>
      <c r="AH131" s="6" t="s">
        <v>4370</v>
      </c>
      <c r="AI131" s="10">
        <v>129.69777118824928</v>
      </c>
      <c r="AJ131" s="10">
        <v>128.31497962375724</v>
      </c>
      <c r="AK131" s="15" t="s">
        <v>4371</v>
      </c>
      <c r="AL131" s="15" t="s">
        <v>4372</v>
      </c>
      <c r="AM131" s="15" t="s">
        <v>4373</v>
      </c>
      <c r="AN131" s="9">
        <v>7</v>
      </c>
      <c r="AO131" s="9">
        <v>5</v>
      </c>
      <c r="AP131" s="9">
        <v>59</v>
      </c>
      <c r="AQ131" s="15" t="s">
        <v>4374</v>
      </c>
      <c r="AR131" s="9">
        <v>13</v>
      </c>
      <c r="AS131" s="6" t="s">
        <v>987</v>
      </c>
      <c r="AT131" s="15" t="s">
        <v>4375</v>
      </c>
      <c r="AU131" s="9">
        <v>0</v>
      </c>
      <c r="AV131" s="9">
        <v>2</v>
      </c>
      <c r="AW131" s="9">
        <v>6</v>
      </c>
      <c r="AX131" s="9">
        <v>4</v>
      </c>
      <c r="AY131" s="9">
        <v>201</v>
      </c>
      <c r="AZ131" s="9">
        <v>969</v>
      </c>
      <c r="BA131" s="6" t="s">
        <v>888</v>
      </c>
      <c r="BB131" s="6" t="s">
        <v>888</v>
      </c>
      <c r="BC131" s="6" t="s">
        <v>4376</v>
      </c>
      <c r="BD131" s="15" t="s">
        <v>4377</v>
      </c>
      <c r="BE131" s="15" t="s">
        <v>4378</v>
      </c>
      <c r="BF131" s="15" t="s">
        <v>4379</v>
      </c>
      <c r="BG131" s="15" t="s">
        <v>4380</v>
      </c>
      <c r="BH131" s="6" t="s">
        <v>4381</v>
      </c>
      <c r="BI131" s="17" t="s">
        <v>888</v>
      </c>
      <c r="BJ131" s="7" t="s">
        <v>1867</v>
      </c>
      <c r="BK131" s="7" t="s">
        <v>1868</v>
      </c>
      <c r="BL131" s="7" t="s">
        <v>1869</v>
      </c>
      <c r="BM131" s="16" t="s">
        <v>1870</v>
      </c>
      <c r="BN131" s="16" t="s">
        <v>1871</v>
      </c>
      <c r="BO131" s="16" t="s">
        <v>1872</v>
      </c>
      <c r="BP131" s="16" t="s">
        <v>1873</v>
      </c>
      <c r="BQ131" s="16" t="s">
        <v>1874</v>
      </c>
      <c r="BR131" s="7" t="s">
        <v>1875</v>
      </c>
      <c r="BS131" s="7" t="s">
        <v>1876</v>
      </c>
      <c r="BT131" s="7" t="s">
        <v>1877</v>
      </c>
      <c r="BU131" s="14">
        <v>9.5332417976422301E-39</v>
      </c>
      <c r="BV131" s="15" t="s">
        <v>4382</v>
      </c>
      <c r="BW131" s="9">
        <v>72</v>
      </c>
      <c r="BX131" s="9">
        <v>63</v>
      </c>
      <c r="BY131" s="13">
        <v>1.2278812270298409</v>
      </c>
      <c r="BZ131" s="13">
        <v>-0.35082320772281173</v>
      </c>
      <c r="CA131" s="12">
        <f>IF(B131="","",IF(A131&lt;8,"",_xlfn.LET(_xlpm.n,A131,_xlpm.k,G131,_xlpm.R,AP131,_xlpm.mu,1+2*_xlpm.k*(_xlpm.n-_xlpm.k)/_xlpm.n,_xlpm.v,2*_xlpm.k*(_xlpm.n-_xlpm.k)*(2*_xlpm.k*(_xlpm.n-_xlpm.k)-_xlpm.n)/(_xlpm.n^2*(_xlpm.n-1)),IF(_xlpm.v&lt;=0,"",(_xlpm.R-_xlpm.mu)/SQRT(_xlpm.v)))))</f>
        <v>-1.2326683064986113</v>
      </c>
      <c r="CB131" s="37" cm="1">
        <f t="array" ref="CB131">IF(B131="","",IF(A131&lt;8,"",_xlfn.LET(_xlpm.b,--MID(C131,_xlfn.SEQUENCE(A131-1),1),_xlpm.c,--MID(C131,_xlfn.SEQUENCE(A131-1,,2),1),IFERROR(CORREL(_xlpm.b,_xlpm.c),""))))</f>
        <v>0.10072115384615372</v>
      </c>
      <c r="CC131" s="8">
        <f>IF(B131="","",LOG(A131,2))</f>
        <v>7.0223678130284544</v>
      </c>
      <c r="CD131" s="8">
        <f>IF(B131="","",MAX(AN131,AO131)-CC131)</f>
        <v>-2.2367813028454364E-2</v>
      </c>
      <c r="CE131" s="8" cm="1">
        <f t="array" ref="CE131">IF(B131="","",IF(LEN(B131)&lt;16,"",_xlfn.LET(_xlpm.d,MID("0123456789abcdef",_xlfn.SEQUENCE(16),1),_xlpm.c,LEN(B131)-LEN(SUBSTITUTE(B131,_xlpm.d,"")),_xlpm.ex,LEN(B131)/16,SUM((_xlpm.c-_xlpm.ex)^2/_xlpm.ex))))</f>
        <v>14.999999999999998</v>
      </c>
      <c r="CF131" s="37">
        <f>IF(CE131="","",_xlfn.CHISQ.DIST.RT(CE131,15))</f>
        <v>0.45141721122572531</v>
      </c>
      <c r="CG131" s="9" t="str" cm="1">
        <f t="array" ref="CG131">IF(OR(B131="",B130=""),"",_xlfn.LET(_xlpm.a,C131,_xlpm.b,REPT("0",A131-LEN(C130))&amp;C130,_xlpm.m,MID(_xlpm.a,_xlfn.SEQUENCE(A131),1)=MID(_xlpm.b,_xlfn.SEQUENCE(A131),1),IFERROR(MATCH(FALSE,_xlpm.m,0)-1,A131)))</f>
        <v/>
      </c>
      <c r="CH131" s="9" t="str" cm="1">
        <f t="array" ref="CH131">IF(OR(B131="",B130=""),"",_xlfn.LET(_xlpm.a,C131,_xlpm.b,REPT("0",A131-LEN(C130))&amp;C130,_xlpm.n,A131,_xlpm.m,MID(_xlpm.a,_xlfn.SEQUENCE(_xlpm.n,,_xlpm.n,-1),1)=MID(_xlpm.b,_xlfn.SEQUENCE(_xlpm.n,,_xlpm.n,-1),1),IFERROR(MATCH(FALSE,_xlpm.m,0)-1,_xlpm.n)))</f>
        <v/>
      </c>
      <c r="CI131" s="38" t="str">
        <f>IF(OR(B131="",B130=""),"",F131-F130)</f>
        <v/>
      </c>
      <c r="CJ131" s="5" t="str">
        <f>IF(OR(B131="",B130=""),"",IFERROR(FIND(B130,B131)&gt;0,FALSE))</f>
        <v/>
      </c>
      <c r="CK131" s="5" t="str">
        <f>IF(OR(B131="",B130=""),"",IFERROR(FIND(C130,C131)&gt;0,FALSE))</f>
        <v/>
      </c>
      <c r="CL131" s="9" t="str">
        <f>IF(OR(B131="",B130=""),"",IFERROR(FIND(C130,C131),""))</f>
        <v/>
      </c>
      <c r="CM131" s="6" t="str" cm="1">
        <f t="array" ref="CM131">IF(OR(B131="",B130=""),"",_xlfn.LET(_xlpm.pv,D130,_xlpm.ra,BIGSUB(D131,_xlpm.pv),_xlpm.rb,BIGSUB(_xlpm.ra,_xlpm.pv),_xlpm.rc,BIGSUB(_xlpm.rb,_xlpm.pv),IF(LEFT(_xlpm.rb,1)="-",_xlpm.ra,IF(LEFT(_xlpm.rc,1)="-",_xlpm.rb,_xlpm.rc))))</f>
        <v/>
      </c>
      <c r="CN131" s="38">
        <f>IF(B131="","",F131-0.5)</f>
        <v>0.12199704166566772</v>
      </c>
      <c r="CO131" s="15" t="str" cm="1">
        <f t="array" ref="CO131">IF(B131="","",_xlfn.TEXTJOIN("",,MID(B131,_xlfn.SEQUENCE(LEN(B131),,LEN(B131),-1),1)))</f>
        <v>9c306c798fc88b82f40f9535075667e33</v>
      </c>
      <c r="CP131" s="6" t="str" cm="1">
        <f t="array" ref="CP131">IF(B131="","",BASE2DEC(CO131,16))</f>
        <v>3321775963568003310376536937598376377907</v>
      </c>
      <c r="CQ131" s="5" t="str">
        <f>IF(B131="","",IF(AND(LEN(B131)&lt;16,LEN(B131)=LEN(SUBSTITUTE(SUBSTITUTE(SUBSTITUTE(SUBSTITUTE(SUBSTITUTE(SUBSTITUTE(B131,"a",""),"b",""),"c",""),"d",""),"e",""),"f",""))),--B131,""))</f>
        <v/>
      </c>
      <c r="CR131" s="6" t="str" cm="1">
        <f t="array" ref="CR131">IF(B131="","",IF(LEN(D131)&lt;=15,BASE2DEC(D131,16),""))</f>
        <v/>
      </c>
      <c r="CS131" s="15" t="str" cm="1">
        <f t="array" ref="CS131">IF(B131="","",_xlfn.LET(_xlpm.p,REPT("0",MOD(-LEN(B131),4))&amp;B131,_xlfn.TEXTJOIN(" ",,MID(_xlpm.p,_xlfn.SEQUENCE(LEN(_xlpm.p)/4,,1,4),4))))</f>
        <v>0003 3e76 6570 5359 f04f 28b8 8cf8 97c6 03c9</v>
      </c>
      <c r="CT131" s="15" t="str" cm="1">
        <f t="array" ref="CT131">IF(B131="","",UPPER(_xlfn.LET(_xlpm.p,REPT("0",64-LEN(B131))&amp;B131,_xlfn.TEXTJOIN(" ",,MID(_xlpm.p,_xlfn.SEQUENCE(8,,1,8),8)))))</f>
        <v>00000000 00000000 00000000 00000003 3E766570 5359F04F 28B88CF8 97C603C9</v>
      </c>
      <c r="CU131" s="6" t="str" cm="1">
        <f t="array" ref="CU131">IF(B131="","",IF(LEN(D131)&lt;=6,_xlfn.LET(_xlpm.n,VALUE(D131)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1" s="39" t="s">
        <v>4444</v>
      </c>
      <c r="CW131" s="39" t="s">
        <v>987</v>
      </c>
      <c r="CX131" s="39" t="s">
        <v>4721</v>
      </c>
      <c r="CY131" s="7" t="s">
        <v>4901</v>
      </c>
      <c r="CZ131" s="39" t="s">
        <v>4444</v>
      </c>
      <c r="DA131" s="39" t="s">
        <v>4444</v>
      </c>
      <c r="DB131" s="39">
        <v>130</v>
      </c>
      <c r="DC131" s="7" t="s">
        <v>4902</v>
      </c>
      <c r="DD131" s="7" t="s">
        <v>4903</v>
      </c>
      <c r="DE131" s="7" t="s">
        <v>4904</v>
      </c>
      <c r="DF131" s="7" t="s">
        <v>4905</v>
      </c>
      <c r="DG131" s="7" t="s">
        <v>4906</v>
      </c>
      <c r="DH131" s="39" t="s">
        <v>4448</v>
      </c>
      <c r="DI131" s="7" t="s">
        <v>5733</v>
      </c>
      <c r="DJ131" s="7" t="s">
        <v>5734</v>
      </c>
      <c r="DK131" s="7" t="s">
        <v>5735</v>
      </c>
      <c r="DL131" s="7" t="s">
        <v>5736</v>
      </c>
      <c r="DM131" s="7" t="s">
        <v>5737</v>
      </c>
      <c r="DN131" s="7" t="s">
        <v>5738</v>
      </c>
      <c r="DO131" s="7" t="s">
        <v>5739</v>
      </c>
      <c r="DP131" s="7" t="s">
        <v>5740</v>
      </c>
      <c r="DQ131" s="7" t="s">
        <v>5741</v>
      </c>
      <c r="DR131" s="7" t="s">
        <v>5742</v>
      </c>
      <c r="DS131" s="7" t="s">
        <v>5836</v>
      </c>
      <c r="DT131" s="15" t="str" cm="1">
        <f t="array" ref="DT131">IF(B131="","",_xlfn.TEXTJOIN("",,HEX2BIN(MID(BQ131,_xlfn.SEQUENCE(40),1),4)))</f>
        <v>0011001100000000101011010011111011000110110101100100101110011001101011100100100100010110101011111111010100001001011010100010110001011100100111011111100010111101</v>
      </c>
    </row>
    <row r="132" spans="1:124" x14ac:dyDescent="0.25">
      <c r="A132" s="9">
        <v>131</v>
      </c>
      <c r="B132" s="15" t="s">
        <v>888</v>
      </c>
      <c r="C132" s="15" t="s">
        <v>888</v>
      </c>
      <c r="D132" s="6" t="s">
        <v>888</v>
      </c>
      <c r="E132" s="6" t="s">
        <v>888</v>
      </c>
      <c r="F132" s="10" t="s">
        <v>888</v>
      </c>
      <c r="G132" s="9" t="s">
        <v>888</v>
      </c>
      <c r="H132" s="9" t="s">
        <v>888</v>
      </c>
      <c r="I132" s="15" t="s">
        <v>888</v>
      </c>
      <c r="J132" s="9" t="s">
        <v>888</v>
      </c>
      <c r="K132" s="15" t="s">
        <v>888</v>
      </c>
      <c r="L132" s="15" t="s">
        <v>888</v>
      </c>
      <c r="M132" s="15" t="s">
        <v>888</v>
      </c>
      <c r="N132" s="15" t="s">
        <v>888</v>
      </c>
      <c r="O132" s="6" t="s">
        <v>888</v>
      </c>
      <c r="P132" s="15" t="s">
        <v>888</v>
      </c>
      <c r="Q132" s="15" t="s">
        <v>888</v>
      </c>
      <c r="R132" s="6" t="s">
        <v>888</v>
      </c>
      <c r="S132" s="15" t="s">
        <v>888</v>
      </c>
      <c r="T132" s="11" t="s">
        <v>888</v>
      </c>
      <c r="U132" s="10" t="s">
        <v>888</v>
      </c>
      <c r="V132" s="7" t="s">
        <v>888</v>
      </c>
      <c r="W132" s="7" t="s">
        <v>888</v>
      </c>
      <c r="X132" s="7" t="s">
        <v>888</v>
      </c>
      <c r="Y132" s="15" t="s">
        <v>888</v>
      </c>
      <c r="Z132" s="9" t="s">
        <v>888</v>
      </c>
      <c r="AA132" s="9" t="s">
        <v>888</v>
      </c>
      <c r="AB132" s="9" t="s">
        <v>888</v>
      </c>
      <c r="AC132" s="13" t="s">
        <v>888</v>
      </c>
      <c r="AD132" s="13" t="s">
        <v>888</v>
      </c>
      <c r="AE132" s="9" t="s">
        <v>888</v>
      </c>
      <c r="AF132" s="9" t="s">
        <v>888</v>
      </c>
      <c r="AG132" s="9" t="s">
        <v>888</v>
      </c>
      <c r="AH132" s="6" t="s">
        <v>888</v>
      </c>
      <c r="AI132" s="10" t="s">
        <v>888</v>
      </c>
      <c r="AJ132" s="10" t="s">
        <v>888</v>
      </c>
      <c r="AK132" s="15" t="s">
        <v>888</v>
      </c>
      <c r="AL132" s="15" t="s">
        <v>888</v>
      </c>
      <c r="AM132" s="15" t="s">
        <v>888</v>
      </c>
      <c r="AN132" s="9" t="s">
        <v>888</v>
      </c>
      <c r="AO132" s="9" t="s">
        <v>888</v>
      </c>
      <c r="AP132" s="9" t="s">
        <v>888</v>
      </c>
      <c r="AQ132" s="15" t="s">
        <v>888</v>
      </c>
      <c r="AR132" s="9" t="s">
        <v>888</v>
      </c>
      <c r="AS132" s="6" t="s">
        <v>888</v>
      </c>
      <c r="AT132" s="15" t="s">
        <v>888</v>
      </c>
      <c r="AU132" s="9" t="s">
        <v>888</v>
      </c>
      <c r="AV132" s="9" t="s">
        <v>888</v>
      </c>
      <c r="AW132" s="9" t="s">
        <v>888</v>
      </c>
      <c r="AX132" s="9" t="s">
        <v>888</v>
      </c>
      <c r="AY132" s="9" t="s">
        <v>888</v>
      </c>
      <c r="AZ132" s="9" t="s">
        <v>888</v>
      </c>
      <c r="BA132" s="6" t="s">
        <v>888</v>
      </c>
      <c r="BB132" s="6" t="s">
        <v>888</v>
      </c>
      <c r="BC132" s="6" t="s">
        <v>888</v>
      </c>
      <c r="BD132" s="15" t="s">
        <v>888</v>
      </c>
      <c r="BE132" s="15" t="s">
        <v>888</v>
      </c>
      <c r="BF132" s="15" t="s">
        <v>888</v>
      </c>
      <c r="BG132" s="15" t="s">
        <v>888</v>
      </c>
      <c r="BH132" s="6" t="s">
        <v>888</v>
      </c>
      <c r="BI132" s="17" t="s">
        <v>888</v>
      </c>
      <c r="BJ132" s="7" t="s">
        <v>888</v>
      </c>
      <c r="BK132" s="7" t="s">
        <v>888</v>
      </c>
      <c r="BL132" s="7" t="s">
        <v>888</v>
      </c>
      <c r="BM132" s="16" t="s">
        <v>888</v>
      </c>
      <c r="BN132" s="16" t="s">
        <v>888</v>
      </c>
      <c r="BO132" s="16" t="s">
        <v>888</v>
      </c>
      <c r="BP132" s="16" t="s">
        <v>888</v>
      </c>
      <c r="BQ132" s="16" t="s">
        <v>888</v>
      </c>
      <c r="BR132" s="7" t="s">
        <v>888</v>
      </c>
      <c r="BS132" s="7" t="s">
        <v>888</v>
      </c>
      <c r="BT132" s="7" t="s">
        <v>888</v>
      </c>
      <c r="BU132" s="14" t="s">
        <v>888</v>
      </c>
      <c r="BV132" s="15" t="s">
        <v>888</v>
      </c>
      <c r="BW132" s="9" t="s">
        <v>888</v>
      </c>
      <c r="BX132" s="9" t="s">
        <v>888</v>
      </c>
      <c r="BY132" s="13" t="s">
        <v>888</v>
      </c>
      <c r="BZ132" s="13" t="s">
        <v>888</v>
      </c>
      <c r="CA132" s="12" t="str">
        <f>IF(B132="","",IF(A132&lt;8,"",_xlfn.LET(_xlpm.n,A132,_xlpm.k,G132,_xlpm.R,AP132,_xlpm.mu,1+2*_xlpm.k*(_xlpm.n-_xlpm.k)/_xlpm.n,_xlpm.v,2*_xlpm.k*(_xlpm.n-_xlpm.k)*(2*_xlpm.k*(_xlpm.n-_xlpm.k)-_xlpm.n)/(_xlpm.n^2*(_xlpm.n-1)),IF(_xlpm.v&lt;=0,"",(_xlpm.R-_xlpm.mu)/SQRT(_xlpm.v)))))</f>
        <v/>
      </c>
      <c r="CB132" s="37" t="str" cm="1">
        <f t="array" ref="CB132">IF(B132="","",IF(A132&lt;8,"",_xlfn.LET(_xlpm.b,--MID(C132,_xlfn.SEQUENCE(A132-1),1),_xlpm.c,--MID(C132,_xlfn.SEQUENCE(A132-1,,2),1),IFERROR(CORREL(_xlpm.b,_xlpm.c),""))))</f>
        <v/>
      </c>
      <c r="CC132" s="8" t="str">
        <f>IF(B132="","",LOG(A132,2))</f>
        <v/>
      </c>
      <c r="CD132" s="8" t="str">
        <f>IF(B132="","",MAX(AN132,AO132)-CC132)</f>
        <v/>
      </c>
      <c r="CE132" s="8" t="str" cm="1">
        <f t="array" ref="CE132">IF(B132="","",IF(LEN(B132)&lt;16,"",_xlfn.LET(_xlpm.d,MID("0123456789abcdef",_xlfn.SEQUENCE(16),1),_xlpm.c,LEN(B132)-LEN(SUBSTITUTE(B132,_xlpm.d,"")),_xlpm.ex,LEN(B132)/16,SUM((_xlpm.c-_xlpm.ex)^2/_xlpm.ex))))</f>
        <v/>
      </c>
      <c r="CF132" s="37" t="str">
        <f>IF(CE132="","",_xlfn.CHISQ.DIST.RT(CE132,15))</f>
        <v/>
      </c>
      <c r="CG132" s="9" t="str" cm="1">
        <f t="array" ref="CG132">IF(OR(B132="",B131=""),"",_xlfn.LET(_xlpm.a,C132,_xlpm.b,REPT("0",A132-LEN(C131))&amp;C131,_xlpm.m,MID(_xlpm.a,_xlfn.SEQUENCE(A132),1)=MID(_xlpm.b,_xlfn.SEQUENCE(A132),1),IFERROR(MATCH(FALSE,_xlpm.m,0)-1,A132)))</f>
        <v/>
      </c>
      <c r="CH132" s="9" t="str" cm="1">
        <f t="array" ref="CH132">IF(OR(B132="",B131=""),"",_xlfn.LET(_xlpm.a,C132,_xlpm.b,REPT("0",A132-LEN(C131))&amp;C131,_xlpm.n,A132,_xlpm.m,MID(_xlpm.a,_xlfn.SEQUENCE(_xlpm.n,,_xlpm.n,-1),1)=MID(_xlpm.b,_xlfn.SEQUENCE(_xlpm.n,,_xlpm.n,-1),1),IFERROR(MATCH(FALSE,_xlpm.m,0)-1,_xlpm.n)))</f>
        <v/>
      </c>
      <c r="CI132" s="38" t="str">
        <f>IF(OR(B132="",B131=""),"",F132-F131)</f>
        <v/>
      </c>
      <c r="CJ132" s="5" t="str">
        <f>IF(OR(B132="",B131=""),"",IFERROR(FIND(B131,B132)&gt;0,FALSE))</f>
        <v/>
      </c>
      <c r="CK132" s="5" t="str">
        <f>IF(OR(B132="",B131=""),"",IFERROR(FIND(C131,C132)&gt;0,FALSE))</f>
        <v/>
      </c>
      <c r="CL132" s="9" t="str">
        <f>IF(OR(B132="",B131=""),"",IFERROR(FIND(C131,C132),""))</f>
        <v/>
      </c>
      <c r="CM132" s="6" t="str" cm="1">
        <f t="array" ref="CM132">IF(OR(B132="",B131=""),"",_xlfn.LET(_xlpm.pv,D131,_xlpm.ra,BIGSUB(D132,_xlpm.pv),_xlpm.rb,BIGSUB(_xlpm.ra,_xlpm.pv),_xlpm.rc,BIGSUB(_xlpm.rb,_xlpm.pv),IF(LEFT(_xlpm.rb,1)="-",_xlpm.ra,IF(LEFT(_xlpm.rc,1)="-",_xlpm.rb,_xlpm.rc))))</f>
        <v/>
      </c>
      <c r="CN132" s="38" t="str">
        <f>IF(B132="","",F132-0.5)</f>
        <v/>
      </c>
      <c r="CO132" s="15" t="str" cm="1">
        <f t="array" ref="CO132">IF(B132="","",_xlfn.TEXTJOIN("",,MID(B132,_xlfn.SEQUENCE(LEN(B132),,LEN(B132),-1),1)))</f>
        <v/>
      </c>
      <c r="CP132" s="6" t="str" cm="1">
        <f t="array" ref="CP132">IF(B132="","",BASE2DEC(CO132,16))</f>
        <v/>
      </c>
      <c r="CQ132" s="5" t="str">
        <f>IF(B132="","",IF(AND(LEN(B132)&lt;16,LEN(B132)=LEN(SUBSTITUTE(SUBSTITUTE(SUBSTITUTE(SUBSTITUTE(SUBSTITUTE(SUBSTITUTE(B132,"a",""),"b",""),"c",""),"d",""),"e",""),"f",""))),--B132,""))</f>
        <v/>
      </c>
      <c r="CR132" s="6" t="str" cm="1">
        <f t="array" ref="CR132">IF(B132="","",IF(LEN(D132)&lt;=15,BASE2DEC(D132,16),""))</f>
        <v/>
      </c>
      <c r="CS132" s="15" t="str" cm="1">
        <f t="array" ref="CS132">IF(B132="","",_xlfn.LET(_xlpm.p,REPT("0",MOD(-LEN(B132),4))&amp;B132,_xlfn.TEXTJOIN(" ",,MID(_xlpm.p,_xlfn.SEQUENCE(LEN(_xlpm.p)/4,,1,4),4))))</f>
        <v/>
      </c>
      <c r="CT132" s="15" t="str" cm="1">
        <f t="array" ref="CT132">IF(B132="","",UPPER(_xlfn.LET(_xlpm.p,REPT("0",64-LEN(B132))&amp;B132,_xlfn.TEXTJOIN(" ",,MID(_xlpm.p,_xlfn.SEQUENCE(8,,1,8),8)))))</f>
        <v/>
      </c>
      <c r="CU132" s="6" t="str" cm="1">
        <f t="array" ref="CU132">IF(B132="","",IF(LEN(D132)&lt;=6,_xlfn.LET(_xlpm.n,VALUE(D132)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2" s="39" t="s">
        <v>888</v>
      </c>
      <c r="CW132" s="39" t="s">
        <v>888</v>
      </c>
      <c r="CX132" s="39" t="s">
        <v>888</v>
      </c>
      <c r="CY132" s="7" t="s">
        <v>888</v>
      </c>
      <c r="CZ132" s="39" t="s">
        <v>888</v>
      </c>
      <c r="DA132" s="39" t="s">
        <v>888</v>
      </c>
      <c r="DB132" s="39" t="s">
        <v>888</v>
      </c>
      <c r="DC132" s="7" t="s">
        <v>888</v>
      </c>
      <c r="DD132" s="7" t="s">
        <v>888</v>
      </c>
      <c r="DE132" s="7" t="s">
        <v>888</v>
      </c>
      <c r="DF132" s="7" t="s">
        <v>888</v>
      </c>
      <c r="DG132" s="7" t="s">
        <v>888</v>
      </c>
      <c r="DH132" s="39" t="s">
        <v>888</v>
      </c>
      <c r="DI132" s="7" t="s">
        <v>888</v>
      </c>
      <c r="DJ132" s="7" t="s">
        <v>888</v>
      </c>
      <c r="DK132" s="7" t="s">
        <v>888</v>
      </c>
      <c r="DL132" s="7" t="s">
        <v>888</v>
      </c>
      <c r="DM132" s="7" t="s">
        <v>888</v>
      </c>
      <c r="DN132" s="7" t="s">
        <v>888</v>
      </c>
      <c r="DO132" s="7" t="s">
        <v>888</v>
      </c>
      <c r="DP132" s="7" t="s">
        <v>888</v>
      </c>
      <c r="DQ132" s="7" t="s">
        <v>888</v>
      </c>
      <c r="DR132" s="7" t="s">
        <v>888</v>
      </c>
      <c r="DS132" s="7" t="s">
        <v>888</v>
      </c>
      <c r="DT132" s="15" t="str" cm="1">
        <f t="array" ref="DT132">IF(B132="","",_xlfn.TEXTJOIN("",,HEX2BIN(MID(BQ132,_xlfn.SEQUENCE(40),1),4)))</f>
        <v/>
      </c>
    </row>
    <row r="133" spans="1:124" x14ac:dyDescent="0.25">
      <c r="A133" s="9">
        <v>132</v>
      </c>
      <c r="B133" s="15" t="s">
        <v>888</v>
      </c>
      <c r="C133" s="15" t="s">
        <v>888</v>
      </c>
      <c r="D133" s="6" t="s">
        <v>888</v>
      </c>
      <c r="E133" s="6" t="s">
        <v>888</v>
      </c>
      <c r="F133" s="10" t="s">
        <v>888</v>
      </c>
      <c r="G133" s="9" t="s">
        <v>888</v>
      </c>
      <c r="H133" s="9" t="s">
        <v>888</v>
      </c>
      <c r="I133" s="15" t="s">
        <v>888</v>
      </c>
      <c r="J133" s="9" t="s">
        <v>888</v>
      </c>
      <c r="K133" s="15" t="s">
        <v>888</v>
      </c>
      <c r="L133" s="15" t="s">
        <v>888</v>
      </c>
      <c r="M133" s="15" t="s">
        <v>888</v>
      </c>
      <c r="N133" s="15" t="s">
        <v>888</v>
      </c>
      <c r="O133" s="6" t="s">
        <v>888</v>
      </c>
      <c r="P133" s="15" t="s">
        <v>888</v>
      </c>
      <c r="Q133" s="15" t="s">
        <v>888</v>
      </c>
      <c r="R133" s="6" t="s">
        <v>888</v>
      </c>
      <c r="S133" s="15" t="s">
        <v>888</v>
      </c>
      <c r="T133" s="11" t="s">
        <v>888</v>
      </c>
      <c r="U133" s="10" t="s">
        <v>888</v>
      </c>
      <c r="V133" s="7" t="s">
        <v>888</v>
      </c>
      <c r="W133" s="7" t="s">
        <v>888</v>
      </c>
      <c r="X133" s="7" t="s">
        <v>888</v>
      </c>
      <c r="Y133" s="15" t="s">
        <v>888</v>
      </c>
      <c r="Z133" s="9" t="s">
        <v>888</v>
      </c>
      <c r="AA133" s="9" t="s">
        <v>888</v>
      </c>
      <c r="AB133" s="9" t="s">
        <v>888</v>
      </c>
      <c r="AC133" s="13" t="s">
        <v>888</v>
      </c>
      <c r="AD133" s="13" t="s">
        <v>888</v>
      </c>
      <c r="AE133" s="9" t="s">
        <v>888</v>
      </c>
      <c r="AF133" s="9" t="s">
        <v>888</v>
      </c>
      <c r="AG133" s="9" t="s">
        <v>888</v>
      </c>
      <c r="AH133" s="6" t="s">
        <v>888</v>
      </c>
      <c r="AI133" s="10" t="s">
        <v>888</v>
      </c>
      <c r="AJ133" s="10" t="s">
        <v>888</v>
      </c>
      <c r="AK133" s="15" t="s">
        <v>888</v>
      </c>
      <c r="AL133" s="15" t="s">
        <v>888</v>
      </c>
      <c r="AM133" s="15" t="s">
        <v>888</v>
      </c>
      <c r="AN133" s="9" t="s">
        <v>888</v>
      </c>
      <c r="AO133" s="9" t="s">
        <v>888</v>
      </c>
      <c r="AP133" s="9" t="s">
        <v>888</v>
      </c>
      <c r="AQ133" s="15" t="s">
        <v>888</v>
      </c>
      <c r="AR133" s="9" t="s">
        <v>888</v>
      </c>
      <c r="AS133" s="6" t="s">
        <v>888</v>
      </c>
      <c r="AT133" s="15" t="s">
        <v>888</v>
      </c>
      <c r="AU133" s="9" t="s">
        <v>888</v>
      </c>
      <c r="AV133" s="9" t="s">
        <v>888</v>
      </c>
      <c r="AW133" s="9" t="s">
        <v>888</v>
      </c>
      <c r="AX133" s="9" t="s">
        <v>888</v>
      </c>
      <c r="AY133" s="9" t="s">
        <v>888</v>
      </c>
      <c r="AZ133" s="9" t="s">
        <v>888</v>
      </c>
      <c r="BA133" s="6" t="s">
        <v>888</v>
      </c>
      <c r="BB133" s="6" t="s">
        <v>888</v>
      </c>
      <c r="BC133" s="6" t="s">
        <v>888</v>
      </c>
      <c r="BD133" s="15" t="s">
        <v>888</v>
      </c>
      <c r="BE133" s="15" t="s">
        <v>888</v>
      </c>
      <c r="BF133" s="15" t="s">
        <v>888</v>
      </c>
      <c r="BG133" s="15" t="s">
        <v>888</v>
      </c>
      <c r="BH133" s="6" t="s">
        <v>888</v>
      </c>
      <c r="BI133" s="17" t="s">
        <v>888</v>
      </c>
      <c r="BJ133" s="7" t="s">
        <v>888</v>
      </c>
      <c r="BK133" s="7" t="s">
        <v>888</v>
      </c>
      <c r="BL133" s="7" t="s">
        <v>888</v>
      </c>
      <c r="BM133" s="16" t="s">
        <v>888</v>
      </c>
      <c r="BN133" s="16" t="s">
        <v>888</v>
      </c>
      <c r="BO133" s="16" t="s">
        <v>888</v>
      </c>
      <c r="BP133" s="16" t="s">
        <v>888</v>
      </c>
      <c r="BQ133" s="16" t="s">
        <v>888</v>
      </c>
      <c r="BR133" s="7" t="s">
        <v>888</v>
      </c>
      <c r="BS133" s="7" t="s">
        <v>888</v>
      </c>
      <c r="BT133" s="7" t="s">
        <v>888</v>
      </c>
      <c r="BU133" s="14" t="s">
        <v>888</v>
      </c>
      <c r="BV133" s="15" t="s">
        <v>888</v>
      </c>
      <c r="BW133" s="9" t="s">
        <v>888</v>
      </c>
      <c r="BX133" s="9" t="s">
        <v>888</v>
      </c>
      <c r="BY133" s="13" t="s">
        <v>888</v>
      </c>
      <c r="BZ133" s="13" t="s">
        <v>888</v>
      </c>
      <c r="CA133" s="12" t="str">
        <f>IF(B133="","",IF(A133&lt;8,"",_xlfn.LET(_xlpm.n,A133,_xlpm.k,G133,_xlpm.R,AP133,_xlpm.mu,1+2*_xlpm.k*(_xlpm.n-_xlpm.k)/_xlpm.n,_xlpm.v,2*_xlpm.k*(_xlpm.n-_xlpm.k)*(2*_xlpm.k*(_xlpm.n-_xlpm.k)-_xlpm.n)/(_xlpm.n^2*(_xlpm.n-1)),IF(_xlpm.v&lt;=0,"",(_xlpm.R-_xlpm.mu)/SQRT(_xlpm.v)))))</f>
        <v/>
      </c>
      <c r="CB133" s="37" t="str" cm="1">
        <f t="array" ref="CB133">IF(B133="","",IF(A133&lt;8,"",_xlfn.LET(_xlpm.b,--MID(C133,_xlfn.SEQUENCE(A133-1),1),_xlpm.c,--MID(C133,_xlfn.SEQUENCE(A133-1,,2),1),IFERROR(CORREL(_xlpm.b,_xlpm.c),""))))</f>
        <v/>
      </c>
      <c r="CC133" s="8" t="str">
        <f>IF(B133="","",LOG(A133,2))</f>
        <v/>
      </c>
      <c r="CD133" s="8" t="str">
        <f>IF(B133="","",MAX(AN133,AO133)-CC133)</f>
        <v/>
      </c>
      <c r="CE133" s="8" t="str" cm="1">
        <f t="array" ref="CE133">IF(B133="","",IF(LEN(B133)&lt;16,"",_xlfn.LET(_xlpm.d,MID("0123456789abcdef",_xlfn.SEQUENCE(16),1),_xlpm.c,LEN(B133)-LEN(SUBSTITUTE(B133,_xlpm.d,"")),_xlpm.ex,LEN(B133)/16,SUM((_xlpm.c-_xlpm.ex)^2/_xlpm.ex))))</f>
        <v/>
      </c>
      <c r="CF133" s="37" t="str">
        <f>IF(CE133="","",_xlfn.CHISQ.DIST.RT(CE133,15))</f>
        <v/>
      </c>
      <c r="CG133" s="9" t="str" cm="1">
        <f t="array" ref="CG133">IF(OR(B133="",B132=""),"",_xlfn.LET(_xlpm.a,C133,_xlpm.b,REPT("0",A133-LEN(C132))&amp;C132,_xlpm.m,MID(_xlpm.a,_xlfn.SEQUENCE(A133),1)=MID(_xlpm.b,_xlfn.SEQUENCE(A133),1),IFERROR(MATCH(FALSE,_xlpm.m,0)-1,A133)))</f>
        <v/>
      </c>
      <c r="CH133" s="9" t="str" cm="1">
        <f t="array" ref="CH133">IF(OR(B133="",B132=""),"",_xlfn.LET(_xlpm.a,C133,_xlpm.b,REPT("0",A133-LEN(C132))&amp;C132,_xlpm.n,A133,_xlpm.m,MID(_xlpm.a,_xlfn.SEQUENCE(_xlpm.n,,_xlpm.n,-1),1)=MID(_xlpm.b,_xlfn.SEQUENCE(_xlpm.n,,_xlpm.n,-1),1),IFERROR(MATCH(FALSE,_xlpm.m,0)-1,_xlpm.n)))</f>
        <v/>
      </c>
      <c r="CI133" s="38" t="str">
        <f>IF(OR(B133="",B132=""),"",F133-F132)</f>
        <v/>
      </c>
      <c r="CJ133" s="5" t="str">
        <f>IF(OR(B133="",B132=""),"",IFERROR(FIND(B132,B133)&gt;0,FALSE))</f>
        <v/>
      </c>
      <c r="CK133" s="5" t="str">
        <f>IF(OR(B133="",B132=""),"",IFERROR(FIND(C132,C133)&gt;0,FALSE))</f>
        <v/>
      </c>
      <c r="CL133" s="9" t="str">
        <f>IF(OR(B133="",B132=""),"",IFERROR(FIND(C132,C133),""))</f>
        <v/>
      </c>
      <c r="CM133" s="6" t="str" cm="1">
        <f t="array" ref="CM133">IF(OR(B133="",B132=""),"",_xlfn.LET(_xlpm.pv,D132,_xlpm.ra,BIGSUB(D133,_xlpm.pv),_xlpm.rb,BIGSUB(_xlpm.ra,_xlpm.pv),_xlpm.rc,BIGSUB(_xlpm.rb,_xlpm.pv),IF(LEFT(_xlpm.rb,1)="-",_xlpm.ra,IF(LEFT(_xlpm.rc,1)="-",_xlpm.rb,_xlpm.rc))))</f>
        <v/>
      </c>
      <c r="CN133" s="38" t="str">
        <f>IF(B133="","",F133-0.5)</f>
        <v/>
      </c>
      <c r="CO133" s="15" t="str" cm="1">
        <f t="array" ref="CO133">IF(B133="","",_xlfn.TEXTJOIN("",,MID(B133,_xlfn.SEQUENCE(LEN(B133),,LEN(B133),-1),1)))</f>
        <v/>
      </c>
      <c r="CP133" s="6" t="str" cm="1">
        <f t="array" ref="CP133">IF(B133="","",BASE2DEC(CO133,16))</f>
        <v/>
      </c>
      <c r="CQ133" s="5" t="str">
        <f>IF(B133="","",IF(AND(LEN(B133)&lt;16,LEN(B133)=LEN(SUBSTITUTE(SUBSTITUTE(SUBSTITUTE(SUBSTITUTE(SUBSTITUTE(SUBSTITUTE(B133,"a",""),"b",""),"c",""),"d",""),"e",""),"f",""))),--B133,""))</f>
        <v/>
      </c>
      <c r="CR133" s="6" t="str" cm="1">
        <f t="array" ref="CR133">IF(B133="","",IF(LEN(D133)&lt;=15,BASE2DEC(D133,16),""))</f>
        <v/>
      </c>
      <c r="CS133" s="15" t="str" cm="1">
        <f t="array" ref="CS133">IF(B133="","",_xlfn.LET(_xlpm.p,REPT("0",MOD(-LEN(B133),4))&amp;B133,_xlfn.TEXTJOIN(" ",,MID(_xlpm.p,_xlfn.SEQUENCE(LEN(_xlpm.p)/4,,1,4),4))))</f>
        <v/>
      </c>
      <c r="CT133" s="15" t="str" cm="1">
        <f t="array" ref="CT133">IF(B133="","",UPPER(_xlfn.LET(_xlpm.p,REPT("0",64-LEN(B133))&amp;B133,_xlfn.TEXTJOIN(" ",,MID(_xlpm.p,_xlfn.SEQUENCE(8,,1,8),8)))))</f>
        <v/>
      </c>
      <c r="CU133" s="6" t="str" cm="1">
        <f t="array" ref="CU133">IF(B133="","",IF(LEN(D133)&lt;=6,_xlfn.LET(_xlpm.n,VALUE(D133)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3" s="39" t="s">
        <v>888</v>
      </c>
      <c r="CW133" s="39" t="s">
        <v>888</v>
      </c>
      <c r="CX133" s="39" t="s">
        <v>888</v>
      </c>
      <c r="CY133" s="7" t="s">
        <v>888</v>
      </c>
      <c r="CZ133" s="39" t="s">
        <v>888</v>
      </c>
      <c r="DA133" s="39" t="s">
        <v>888</v>
      </c>
      <c r="DB133" s="39" t="s">
        <v>888</v>
      </c>
      <c r="DC133" s="7" t="s">
        <v>888</v>
      </c>
      <c r="DD133" s="7" t="s">
        <v>888</v>
      </c>
      <c r="DE133" s="7" t="s">
        <v>888</v>
      </c>
      <c r="DF133" s="7" t="s">
        <v>888</v>
      </c>
      <c r="DG133" s="7" t="s">
        <v>888</v>
      </c>
      <c r="DH133" s="39" t="s">
        <v>888</v>
      </c>
      <c r="DI133" s="7" t="s">
        <v>888</v>
      </c>
      <c r="DJ133" s="7" t="s">
        <v>888</v>
      </c>
      <c r="DK133" s="7" t="s">
        <v>888</v>
      </c>
      <c r="DL133" s="7" t="s">
        <v>888</v>
      </c>
      <c r="DM133" s="7" t="s">
        <v>888</v>
      </c>
      <c r="DN133" s="7" t="s">
        <v>888</v>
      </c>
      <c r="DO133" s="7" t="s">
        <v>888</v>
      </c>
      <c r="DP133" s="7" t="s">
        <v>888</v>
      </c>
      <c r="DQ133" s="7" t="s">
        <v>888</v>
      </c>
      <c r="DR133" s="7" t="s">
        <v>888</v>
      </c>
      <c r="DS133" s="7" t="s">
        <v>888</v>
      </c>
      <c r="DT133" s="15" t="str" cm="1">
        <f t="array" ref="DT133">IF(B133="","",_xlfn.TEXTJOIN("",,HEX2BIN(MID(BQ133,_xlfn.SEQUENCE(40),1),4)))</f>
        <v/>
      </c>
    </row>
    <row r="134" spans="1:124" x14ac:dyDescent="0.25">
      <c r="A134" s="9">
        <v>133</v>
      </c>
      <c r="B134" s="15" t="s">
        <v>888</v>
      </c>
      <c r="C134" s="15" t="s">
        <v>888</v>
      </c>
      <c r="D134" s="6" t="s">
        <v>888</v>
      </c>
      <c r="E134" s="6" t="s">
        <v>888</v>
      </c>
      <c r="F134" s="10" t="s">
        <v>888</v>
      </c>
      <c r="G134" s="9" t="s">
        <v>888</v>
      </c>
      <c r="H134" s="9" t="s">
        <v>888</v>
      </c>
      <c r="I134" s="15" t="s">
        <v>888</v>
      </c>
      <c r="J134" s="9" t="s">
        <v>888</v>
      </c>
      <c r="K134" s="15" t="s">
        <v>888</v>
      </c>
      <c r="L134" s="15" t="s">
        <v>888</v>
      </c>
      <c r="M134" s="15" t="s">
        <v>888</v>
      </c>
      <c r="N134" s="15" t="s">
        <v>888</v>
      </c>
      <c r="O134" s="6" t="s">
        <v>888</v>
      </c>
      <c r="P134" s="15" t="s">
        <v>888</v>
      </c>
      <c r="Q134" s="15" t="s">
        <v>888</v>
      </c>
      <c r="R134" s="6" t="s">
        <v>888</v>
      </c>
      <c r="S134" s="15" t="s">
        <v>888</v>
      </c>
      <c r="T134" s="11" t="s">
        <v>888</v>
      </c>
      <c r="U134" s="10" t="s">
        <v>888</v>
      </c>
      <c r="V134" s="7" t="s">
        <v>888</v>
      </c>
      <c r="W134" s="7" t="s">
        <v>888</v>
      </c>
      <c r="X134" s="7" t="s">
        <v>888</v>
      </c>
      <c r="Y134" s="15" t="s">
        <v>888</v>
      </c>
      <c r="Z134" s="9" t="s">
        <v>888</v>
      </c>
      <c r="AA134" s="9" t="s">
        <v>888</v>
      </c>
      <c r="AB134" s="9" t="s">
        <v>888</v>
      </c>
      <c r="AC134" s="13" t="s">
        <v>888</v>
      </c>
      <c r="AD134" s="13" t="s">
        <v>888</v>
      </c>
      <c r="AE134" s="9" t="s">
        <v>888</v>
      </c>
      <c r="AF134" s="9" t="s">
        <v>888</v>
      </c>
      <c r="AG134" s="9" t="s">
        <v>888</v>
      </c>
      <c r="AH134" s="6" t="s">
        <v>888</v>
      </c>
      <c r="AI134" s="10" t="s">
        <v>888</v>
      </c>
      <c r="AJ134" s="10" t="s">
        <v>888</v>
      </c>
      <c r="AK134" s="15" t="s">
        <v>888</v>
      </c>
      <c r="AL134" s="15" t="s">
        <v>888</v>
      </c>
      <c r="AM134" s="15" t="s">
        <v>888</v>
      </c>
      <c r="AN134" s="9" t="s">
        <v>888</v>
      </c>
      <c r="AO134" s="9" t="s">
        <v>888</v>
      </c>
      <c r="AP134" s="9" t="s">
        <v>888</v>
      </c>
      <c r="AQ134" s="15" t="s">
        <v>888</v>
      </c>
      <c r="AR134" s="9" t="s">
        <v>888</v>
      </c>
      <c r="AS134" s="6" t="s">
        <v>888</v>
      </c>
      <c r="AT134" s="15" t="s">
        <v>888</v>
      </c>
      <c r="AU134" s="9" t="s">
        <v>888</v>
      </c>
      <c r="AV134" s="9" t="s">
        <v>888</v>
      </c>
      <c r="AW134" s="9" t="s">
        <v>888</v>
      </c>
      <c r="AX134" s="9" t="s">
        <v>888</v>
      </c>
      <c r="AY134" s="9" t="s">
        <v>888</v>
      </c>
      <c r="AZ134" s="9" t="s">
        <v>888</v>
      </c>
      <c r="BA134" s="6" t="s">
        <v>888</v>
      </c>
      <c r="BB134" s="6" t="s">
        <v>888</v>
      </c>
      <c r="BC134" s="6" t="s">
        <v>888</v>
      </c>
      <c r="BD134" s="15" t="s">
        <v>888</v>
      </c>
      <c r="BE134" s="15" t="s">
        <v>888</v>
      </c>
      <c r="BF134" s="15" t="s">
        <v>888</v>
      </c>
      <c r="BG134" s="15" t="s">
        <v>888</v>
      </c>
      <c r="BH134" s="6" t="s">
        <v>888</v>
      </c>
      <c r="BI134" s="17" t="s">
        <v>888</v>
      </c>
      <c r="BJ134" s="7" t="s">
        <v>888</v>
      </c>
      <c r="BK134" s="7" t="s">
        <v>888</v>
      </c>
      <c r="BL134" s="7" t="s">
        <v>888</v>
      </c>
      <c r="BM134" s="16" t="s">
        <v>888</v>
      </c>
      <c r="BN134" s="16" t="s">
        <v>888</v>
      </c>
      <c r="BO134" s="16" t="s">
        <v>888</v>
      </c>
      <c r="BP134" s="16" t="s">
        <v>888</v>
      </c>
      <c r="BQ134" s="16" t="s">
        <v>888</v>
      </c>
      <c r="BR134" s="7" t="s">
        <v>888</v>
      </c>
      <c r="BS134" s="7" t="s">
        <v>888</v>
      </c>
      <c r="BT134" s="7" t="s">
        <v>888</v>
      </c>
      <c r="BU134" s="14" t="s">
        <v>888</v>
      </c>
      <c r="BV134" s="15" t="s">
        <v>888</v>
      </c>
      <c r="BW134" s="9" t="s">
        <v>888</v>
      </c>
      <c r="BX134" s="9" t="s">
        <v>888</v>
      </c>
      <c r="BY134" s="13" t="s">
        <v>888</v>
      </c>
      <c r="BZ134" s="13" t="s">
        <v>888</v>
      </c>
      <c r="CA134" s="12" t="str">
        <f>IF(B134="","",IF(A134&lt;8,"",_xlfn.LET(_xlpm.n,A134,_xlpm.k,G134,_xlpm.R,AP134,_xlpm.mu,1+2*_xlpm.k*(_xlpm.n-_xlpm.k)/_xlpm.n,_xlpm.v,2*_xlpm.k*(_xlpm.n-_xlpm.k)*(2*_xlpm.k*(_xlpm.n-_xlpm.k)-_xlpm.n)/(_xlpm.n^2*(_xlpm.n-1)),IF(_xlpm.v&lt;=0,"",(_xlpm.R-_xlpm.mu)/SQRT(_xlpm.v)))))</f>
        <v/>
      </c>
      <c r="CB134" s="37" t="str" cm="1">
        <f t="array" ref="CB134">IF(B134="","",IF(A134&lt;8,"",_xlfn.LET(_xlpm.b,--MID(C134,_xlfn.SEQUENCE(A134-1),1),_xlpm.c,--MID(C134,_xlfn.SEQUENCE(A134-1,,2),1),IFERROR(CORREL(_xlpm.b,_xlpm.c),""))))</f>
        <v/>
      </c>
      <c r="CC134" s="8" t="str">
        <f>IF(B134="","",LOG(A134,2))</f>
        <v/>
      </c>
      <c r="CD134" s="8" t="str">
        <f>IF(B134="","",MAX(AN134,AO134)-CC134)</f>
        <v/>
      </c>
      <c r="CE134" s="8" t="str" cm="1">
        <f t="array" ref="CE134">IF(B134="","",IF(LEN(B134)&lt;16,"",_xlfn.LET(_xlpm.d,MID("0123456789abcdef",_xlfn.SEQUENCE(16),1),_xlpm.c,LEN(B134)-LEN(SUBSTITUTE(B134,_xlpm.d,"")),_xlpm.ex,LEN(B134)/16,SUM((_xlpm.c-_xlpm.ex)^2/_xlpm.ex))))</f>
        <v/>
      </c>
      <c r="CF134" s="37" t="str">
        <f>IF(CE134="","",_xlfn.CHISQ.DIST.RT(CE134,15))</f>
        <v/>
      </c>
      <c r="CG134" s="9" t="str" cm="1">
        <f t="array" ref="CG134">IF(OR(B134="",B133=""),"",_xlfn.LET(_xlpm.a,C134,_xlpm.b,REPT("0",A134-LEN(C133))&amp;C133,_xlpm.m,MID(_xlpm.a,_xlfn.SEQUENCE(A134),1)=MID(_xlpm.b,_xlfn.SEQUENCE(A134),1),IFERROR(MATCH(FALSE,_xlpm.m,0)-1,A134)))</f>
        <v/>
      </c>
      <c r="CH134" s="9" t="str" cm="1">
        <f t="array" ref="CH134">IF(OR(B134="",B133=""),"",_xlfn.LET(_xlpm.a,C134,_xlpm.b,REPT("0",A134-LEN(C133))&amp;C133,_xlpm.n,A134,_xlpm.m,MID(_xlpm.a,_xlfn.SEQUENCE(_xlpm.n,,_xlpm.n,-1),1)=MID(_xlpm.b,_xlfn.SEQUENCE(_xlpm.n,,_xlpm.n,-1),1),IFERROR(MATCH(FALSE,_xlpm.m,0)-1,_xlpm.n)))</f>
        <v/>
      </c>
      <c r="CI134" s="38" t="str">
        <f>IF(OR(B134="",B133=""),"",F134-F133)</f>
        <v/>
      </c>
      <c r="CJ134" s="5" t="str">
        <f>IF(OR(B134="",B133=""),"",IFERROR(FIND(B133,B134)&gt;0,FALSE))</f>
        <v/>
      </c>
      <c r="CK134" s="5" t="str">
        <f>IF(OR(B134="",B133=""),"",IFERROR(FIND(C133,C134)&gt;0,FALSE))</f>
        <v/>
      </c>
      <c r="CL134" s="9" t="str">
        <f>IF(OR(B134="",B133=""),"",IFERROR(FIND(C133,C134),""))</f>
        <v/>
      </c>
      <c r="CM134" s="6" t="str" cm="1">
        <f t="array" ref="CM134">IF(OR(B134="",B133=""),"",_xlfn.LET(_xlpm.pv,D133,_xlpm.ra,BIGSUB(D134,_xlpm.pv),_xlpm.rb,BIGSUB(_xlpm.ra,_xlpm.pv),_xlpm.rc,BIGSUB(_xlpm.rb,_xlpm.pv),IF(LEFT(_xlpm.rb,1)="-",_xlpm.ra,IF(LEFT(_xlpm.rc,1)="-",_xlpm.rb,_xlpm.rc))))</f>
        <v/>
      </c>
      <c r="CN134" s="38" t="str">
        <f>IF(B134="","",F134-0.5)</f>
        <v/>
      </c>
      <c r="CO134" s="15" t="str" cm="1">
        <f t="array" ref="CO134">IF(B134="","",_xlfn.TEXTJOIN("",,MID(B134,_xlfn.SEQUENCE(LEN(B134),,LEN(B134),-1),1)))</f>
        <v/>
      </c>
      <c r="CP134" s="6" t="str" cm="1">
        <f t="array" ref="CP134">IF(B134="","",BASE2DEC(CO134,16))</f>
        <v/>
      </c>
      <c r="CQ134" s="5" t="str">
        <f>IF(B134="","",IF(AND(LEN(B134)&lt;16,LEN(B134)=LEN(SUBSTITUTE(SUBSTITUTE(SUBSTITUTE(SUBSTITUTE(SUBSTITUTE(SUBSTITUTE(B134,"a",""),"b",""),"c",""),"d",""),"e",""),"f",""))),--B134,""))</f>
        <v/>
      </c>
      <c r="CR134" s="6" t="str" cm="1">
        <f t="array" ref="CR134">IF(B134="","",IF(LEN(D134)&lt;=15,BASE2DEC(D134,16),""))</f>
        <v/>
      </c>
      <c r="CS134" s="15" t="str" cm="1">
        <f t="array" ref="CS134">IF(B134="","",_xlfn.LET(_xlpm.p,REPT("0",MOD(-LEN(B134),4))&amp;B134,_xlfn.TEXTJOIN(" ",,MID(_xlpm.p,_xlfn.SEQUENCE(LEN(_xlpm.p)/4,,1,4),4))))</f>
        <v/>
      </c>
      <c r="CT134" s="15" t="str" cm="1">
        <f t="array" ref="CT134">IF(B134="","",UPPER(_xlfn.LET(_xlpm.p,REPT("0",64-LEN(B134))&amp;B134,_xlfn.TEXTJOIN(" ",,MID(_xlpm.p,_xlfn.SEQUENCE(8,,1,8),8)))))</f>
        <v/>
      </c>
      <c r="CU134" s="6" t="str" cm="1">
        <f t="array" ref="CU134">IF(B134="","",IF(LEN(D134)&lt;=6,_xlfn.LET(_xlpm.n,VALUE(D134)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4" s="39" t="s">
        <v>888</v>
      </c>
      <c r="CW134" s="39" t="s">
        <v>888</v>
      </c>
      <c r="CX134" s="39" t="s">
        <v>888</v>
      </c>
      <c r="CY134" s="7" t="s">
        <v>888</v>
      </c>
      <c r="CZ134" s="39" t="s">
        <v>888</v>
      </c>
      <c r="DA134" s="39" t="s">
        <v>888</v>
      </c>
      <c r="DB134" s="39" t="s">
        <v>888</v>
      </c>
      <c r="DC134" s="7" t="s">
        <v>888</v>
      </c>
      <c r="DD134" s="7" t="s">
        <v>888</v>
      </c>
      <c r="DE134" s="7" t="s">
        <v>888</v>
      </c>
      <c r="DF134" s="7" t="s">
        <v>888</v>
      </c>
      <c r="DG134" s="7" t="s">
        <v>888</v>
      </c>
      <c r="DH134" s="39" t="s">
        <v>888</v>
      </c>
      <c r="DI134" s="7" t="s">
        <v>888</v>
      </c>
      <c r="DJ134" s="7" t="s">
        <v>888</v>
      </c>
      <c r="DK134" s="7" t="s">
        <v>888</v>
      </c>
      <c r="DL134" s="7" t="s">
        <v>888</v>
      </c>
      <c r="DM134" s="7" t="s">
        <v>888</v>
      </c>
      <c r="DN134" s="7" t="s">
        <v>888</v>
      </c>
      <c r="DO134" s="7" t="s">
        <v>888</v>
      </c>
      <c r="DP134" s="7" t="s">
        <v>888</v>
      </c>
      <c r="DQ134" s="7" t="s">
        <v>888</v>
      </c>
      <c r="DR134" s="7" t="s">
        <v>888</v>
      </c>
      <c r="DS134" s="7" t="s">
        <v>888</v>
      </c>
      <c r="DT134" s="15" t="str" cm="1">
        <f t="array" ref="DT134">IF(B134="","",_xlfn.TEXTJOIN("",,HEX2BIN(MID(BQ134,_xlfn.SEQUENCE(40),1),4)))</f>
        <v/>
      </c>
    </row>
    <row r="135" spans="1:124" x14ac:dyDescent="0.25">
      <c r="A135" s="9">
        <v>134</v>
      </c>
      <c r="B135" s="15" t="s">
        <v>888</v>
      </c>
      <c r="C135" s="15" t="s">
        <v>888</v>
      </c>
      <c r="D135" s="6" t="s">
        <v>888</v>
      </c>
      <c r="E135" s="6" t="s">
        <v>888</v>
      </c>
      <c r="F135" s="10" t="s">
        <v>888</v>
      </c>
      <c r="G135" s="9" t="s">
        <v>888</v>
      </c>
      <c r="H135" s="9" t="s">
        <v>888</v>
      </c>
      <c r="I135" s="15" t="s">
        <v>888</v>
      </c>
      <c r="J135" s="9" t="s">
        <v>888</v>
      </c>
      <c r="K135" s="15" t="s">
        <v>888</v>
      </c>
      <c r="L135" s="15" t="s">
        <v>888</v>
      </c>
      <c r="M135" s="15" t="s">
        <v>888</v>
      </c>
      <c r="N135" s="15" t="s">
        <v>888</v>
      </c>
      <c r="O135" s="6" t="s">
        <v>888</v>
      </c>
      <c r="P135" s="15" t="s">
        <v>888</v>
      </c>
      <c r="Q135" s="15" t="s">
        <v>888</v>
      </c>
      <c r="R135" s="6" t="s">
        <v>888</v>
      </c>
      <c r="S135" s="15" t="s">
        <v>888</v>
      </c>
      <c r="T135" s="11" t="s">
        <v>888</v>
      </c>
      <c r="U135" s="10" t="s">
        <v>888</v>
      </c>
      <c r="V135" s="7" t="s">
        <v>888</v>
      </c>
      <c r="W135" s="7" t="s">
        <v>888</v>
      </c>
      <c r="X135" s="7" t="s">
        <v>888</v>
      </c>
      <c r="Y135" s="15" t="s">
        <v>888</v>
      </c>
      <c r="Z135" s="9" t="s">
        <v>888</v>
      </c>
      <c r="AA135" s="9" t="s">
        <v>888</v>
      </c>
      <c r="AB135" s="9" t="s">
        <v>888</v>
      </c>
      <c r="AC135" s="13" t="s">
        <v>888</v>
      </c>
      <c r="AD135" s="13" t="s">
        <v>888</v>
      </c>
      <c r="AE135" s="9" t="s">
        <v>888</v>
      </c>
      <c r="AF135" s="9" t="s">
        <v>888</v>
      </c>
      <c r="AG135" s="9" t="s">
        <v>888</v>
      </c>
      <c r="AH135" s="6" t="s">
        <v>888</v>
      </c>
      <c r="AI135" s="10" t="s">
        <v>888</v>
      </c>
      <c r="AJ135" s="10" t="s">
        <v>888</v>
      </c>
      <c r="AK135" s="15" t="s">
        <v>888</v>
      </c>
      <c r="AL135" s="15" t="s">
        <v>888</v>
      </c>
      <c r="AM135" s="15" t="s">
        <v>888</v>
      </c>
      <c r="AN135" s="9" t="s">
        <v>888</v>
      </c>
      <c r="AO135" s="9" t="s">
        <v>888</v>
      </c>
      <c r="AP135" s="9" t="s">
        <v>888</v>
      </c>
      <c r="AQ135" s="15" t="s">
        <v>888</v>
      </c>
      <c r="AR135" s="9" t="s">
        <v>888</v>
      </c>
      <c r="AS135" s="6" t="s">
        <v>888</v>
      </c>
      <c r="AT135" s="15" t="s">
        <v>888</v>
      </c>
      <c r="AU135" s="9" t="s">
        <v>888</v>
      </c>
      <c r="AV135" s="9" t="s">
        <v>888</v>
      </c>
      <c r="AW135" s="9" t="s">
        <v>888</v>
      </c>
      <c r="AX135" s="9" t="s">
        <v>888</v>
      </c>
      <c r="AY135" s="9" t="s">
        <v>888</v>
      </c>
      <c r="AZ135" s="9" t="s">
        <v>888</v>
      </c>
      <c r="BA135" s="6" t="s">
        <v>888</v>
      </c>
      <c r="BB135" s="6" t="s">
        <v>888</v>
      </c>
      <c r="BC135" s="6" t="s">
        <v>888</v>
      </c>
      <c r="BD135" s="15" t="s">
        <v>888</v>
      </c>
      <c r="BE135" s="15" t="s">
        <v>888</v>
      </c>
      <c r="BF135" s="15" t="s">
        <v>888</v>
      </c>
      <c r="BG135" s="15" t="s">
        <v>888</v>
      </c>
      <c r="BH135" s="6" t="s">
        <v>888</v>
      </c>
      <c r="BI135" s="17" t="s">
        <v>888</v>
      </c>
      <c r="BJ135" s="7" t="s">
        <v>888</v>
      </c>
      <c r="BK135" s="7" t="s">
        <v>888</v>
      </c>
      <c r="BL135" s="7" t="s">
        <v>888</v>
      </c>
      <c r="BM135" s="16" t="s">
        <v>888</v>
      </c>
      <c r="BN135" s="16" t="s">
        <v>888</v>
      </c>
      <c r="BO135" s="16" t="s">
        <v>888</v>
      </c>
      <c r="BP135" s="16" t="s">
        <v>888</v>
      </c>
      <c r="BQ135" s="16" t="s">
        <v>888</v>
      </c>
      <c r="BR135" s="7" t="s">
        <v>888</v>
      </c>
      <c r="BS135" s="7" t="s">
        <v>888</v>
      </c>
      <c r="BT135" s="7" t="s">
        <v>888</v>
      </c>
      <c r="BU135" s="14" t="s">
        <v>888</v>
      </c>
      <c r="BV135" s="15" t="s">
        <v>888</v>
      </c>
      <c r="BW135" s="9" t="s">
        <v>888</v>
      </c>
      <c r="BX135" s="9" t="s">
        <v>888</v>
      </c>
      <c r="BY135" s="13" t="s">
        <v>888</v>
      </c>
      <c r="BZ135" s="13" t="s">
        <v>888</v>
      </c>
      <c r="CA135" s="12" t="str">
        <f>IF(B135="","",IF(A135&lt;8,"",_xlfn.LET(_xlpm.n,A135,_xlpm.k,G135,_xlpm.R,AP135,_xlpm.mu,1+2*_xlpm.k*(_xlpm.n-_xlpm.k)/_xlpm.n,_xlpm.v,2*_xlpm.k*(_xlpm.n-_xlpm.k)*(2*_xlpm.k*(_xlpm.n-_xlpm.k)-_xlpm.n)/(_xlpm.n^2*(_xlpm.n-1)),IF(_xlpm.v&lt;=0,"",(_xlpm.R-_xlpm.mu)/SQRT(_xlpm.v)))))</f>
        <v/>
      </c>
      <c r="CB135" s="37" t="str" cm="1">
        <f t="array" ref="CB135">IF(B135="","",IF(A135&lt;8,"",_xlfn.LET(_xlpm.b,--MID(C135,_xlfn.SEQUENCE(A135-1),1),_xlpm.c,--MID(C135,_xlfn.SEQUENCE(A135-1,,2),1),IFERROR(CORREL(_xlpm.b,_xlpm.c),""))))</f>
        <v/>
      </c>
      <c r="CC135" s="8" t="str">
        <f>IF(B135="","",LOG(A135,2))</f>
        <v/>
      </c>
      <c r="CD135" s="8" t="str">
        <f>IF(B135="","",MAX(AN135,AO135)-CC135)</f>
        <v/>
      </c>
      <c r="CE135" s="8" t="str" cm="1">
        <f t="array" ref="CE135">IF(B135="","",IF(LEN(B135)&lt;16,"",_xlfn.LET(_xlpm.d,MID("0123456789abcdef",_xlfn.SEQUENCE(16),1),_xlpm.c,LEN(B135)-LEN(SUBSTITUTE(B135,_xlpm.d,"")),_xlpm.ex,LEN(B135)/16,SUM((_xlpm.c-_xlpm.ex)^2/_xlpm.ex))))</f>
        <v/>
      </c>
      <c r="CF135" s="37" t="str">
        <f>IF(CE135="","",_xlfn.CHISQ.DIST.RT(CE135,15))</f>
        <v/>
      </c>
      <c r="CG135" s="9" t="str" cm="1">
        <f t="array" ref="CG135">IF(OR(B135="",B134=""),"",_xlfn.LET(_xlpm.a,C135,_xlpm.b,REPT("0",A135-LEN(C134))&amp;C134,_xlpm.m,MID(_xlpm.a,_xlfn.SEQUENCE(A135),1)=MID(_xlpm.b,_xlfn.SEQUENCE(A135),1),IFERROR(MATCH(FALSE,_xlpm.m,0)-1,A135)))</f>
        <v/>
      </c>
      <c r="CH135" s="9" t="str" cm="1">
        <f t="array" ref="CH135">IF(OR(B135="",B134=""),"",_xlfn.LET(_xlpm.a,C135,_xlpm.b,REPT("0",A135-LEN(C134))&amp;C134,_xlpm.n,A135,_xlpm.m,MID(_xlpm.a,_xlfn.SEQUENCE(_xlpm.n,,_xlpm.n,-1),1)=MID(_xlpm.b,_xlfn.SEQUENCE(_xlpm.n,,_xlpm.n,-1),1),IFERROR(MATCH(FALSE,_xlpm.m,0)-1,_xlpm.n)))</f>
        <v/>
      </c>
      <c r="CI135" s="38" t="str">
        <f>IF(OR(B135="",B134=""),"",F135-F134)</f>
        <v/>
      </c>
      <c r="CJ135" s="5" t="str">
        <f>IF(OR(B135="",B134=""),"",IFERROR(FIND(B134,B135)&gt;0,FALSE))</f>
        <v/>
      </c>
      <c r="CK135" s="5" t="str">
        <f>IF(OR(B135="",B134=""),"",IFERROR(FIND(C134,C135)&gt;0,FALSE))</f>
        <v/>
      </c>
      <c r="CL135" s="9" t="str">
        <f>IF(OR(B135="",B134=""),"",IFERROR(FIND(C134,C135),""))</f>
        <v/>
      </c>
      <c r="CM135" s="6" t="str" cm="1">
        <f t="array" ref="CM135">IF(OR(B135="",B134=""),"",_xlfn.LET(_xlpm.pv,D134,_xlpm.ra,BIGSUB(D135,_xlpm.pv),_xlpm.rb,BIGSUB(_xlpm.ra,_xlpm.pv),_xlpm.rc,BIGSUB(_xlpm.rb,_xlpm.pv),IF(LEFT(_xlpm.rb,1)="-",_xlpm.ra,IF(LEFT(_xlpm.rc,1)="-",_xlpm.rb,_xlpm.rc))))</f>
        <v/>
      </c>
      <c r="CN135" s="38" t="str">
        <f>IF(B135="","",F135-0.5)</f>
        <v/>
      </c>
      <c r="CO135" s="15" t="str" cm="1">
        <f t="array" ref="CO135">IF(B135="","",_xlfn.TEXTJOIN("",,MID(B135,_xlfn.SEQUENCE(LEN(B135),,LEN(B135),-1),1)))</f>
        <v/>
      </c>
      <c r="CP135" s="6" t="str" cm="1">
        <f t="array" ref="CP135">IF(B135="","",BASE2DEC(CO135,16))</f>
        <v/>
      </c>
      <c r="CQ135" s="5" t="str">
        <f>IF(B135="","",IF(AND(LEN(B135)&lt;16,LEN(B135)=LEN(SUBSTITUTE(SUBSTITUTE(SUBSTITUTE(SUBSTITUTE(SUBSTITUTE(SUBSTITUTE(B135,"a",""),"b",""),"c",""),"d",""),"e",""),"f",""))),--B135,""))</f>
        <v/>
      </c>
      <c r="CR135" s="6" t="str" cm="1">
        <f t="array" ref="CR135">IF(B135="","",IF(LEN(D135)&lt;=15,BASE2DEC(D135,16),""))</f>
        <v/>
      </c>
      <c r="CS135" s="15" t="str" cm="1">
        <f t="array" ref="CS135">IF(B135="","",_xlfn.LET(_xlpm.p,REPT("0",MOD(-LEN(B135),4))&amp;B135,_xlfn.TEXTJOIN(" ",,MID(_xlpm.p,_xlfn.SEQUENCE(LEN(_xlpm.p)/4,,1,4),4))))</f>
        <v/>
      </c>
      <c r="CT135" s="15" t="str" cm="1">
        <f t="array" ref="CT135">IF(B135="","",UPPER(_xlfn.LET(_xlpm.p,REPT("0",64-LEN(B135))&amp;B135,_xlfn.TEXTJOIN(" ",,MID(_xlpm.p,_xlfn.SEQUENCE(8,,1,8),8)))))</f>
        <v/>
      </c>
      <c r="CU135" s="6" t="str" cm="1">
        <f t="array" ref="CU135">IF(B135="","",IF(LEN(D135)&lt;=6,_xlfn.LET(_xlpm.n,VALUE(D135)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5" s="39" t="s">
        <v>888</v>
      </c>
      <c r="CW135" s="39" t="s">
        <v>888</v>
      </c>
      <c r="CX135" s="39" t="s">
        <v>888</v>
      </c>
      <c r="CY135" s="7" t="s">
        <v>888</v>
      </c>
      <c r="CZ135" s="39" t="s">
        <v>888</v>
      </c>
      <c r="DA135" s="39" t="s">
        <v>888</v>
      </c>
      <c r="DB135" s="39" t="s">
        <v>888</v>
      </c>
      <c r="DC135" s="7" t="s">
        <v>888</v>
      </c>
      <c r="DD135" s="7" t="s">
        <v>888</v>
      </c>
      <c r="DE135" s="7" t="s">
        <v>888</v>
      </c>
      <c r="DF135" s="7" t="s">
        <v>888</v>
      </c>
      <c r="DG135" s="7" t="s">
        <v>888</v>
      </c>
      <c r="DH135" s="39" t="s">
        <v>888</v>
      </c>
      <c r="DI135" s="7" t="s">
        <v>888</v>
      </c>
      <c r="DJ135" s="7" t="s">
        <v>888</v>
      </c>
      <c r="DK135" s="7" t="s">
        <v>888</v>
      </c>
      <c r="DL135" s="7" t="s">
        <v>888</v>
      </c>
      <c r="DM135" s="7" t="s">
        <v>888</v>
      </c>
      <c r="DN135" s="7" t="s">
        <v>888</v>
      </c>
      <c r="DO135" s="7" t="s">
        <v>888</v>
      </c>
      <c r="DP135" s="7" t="s">
        <v>888</v>
      </c>
      <c r="DQ135" s="7" t="s">
        <v>888</v>
      </c>
      <c r="DR135" s="7" t="s">
        <v>888</v>
      </c>
      <c r="DS135" s="7" t="s">
        <v>888</v>
      </c>
      <c r="DT135" s="15" t="str" cm="1">
        <f t="array" ref="DT135">IF(B135="","",_xlfn.TEXTJOIN("",,HEX2BIN(MID(BQ135,_xlfn.SEQUENCE(40),1),4)))</f>
        <v/>
      </c>
    </row>
    <row r="136" spans="1:124" x14ac:dyDescent="0.25">
      <c r="A136" s="9">
        <v>135</v>
      </c>
      <c r="B136" s="15" t="s">
        <v>4383</v>
      </c>
      <c r="C136" s="15" t="s">
        <v>4384</v>
      </c>
      <c r="D136" s="6" t="s">
        <v>4385</v>
      </c>
      <c r="E136" s="6" t="s">
        <v>4386</v>
      </c>
      <c r="F136" s="10">
        <v>0.71213212740445497</v>
      </c>
      <c r="G136" s="9">
        <v>70</v>
      </c>
      <c r="H136" s="9">
        <v>1</v>
      </c>
      <c r="I136" s="15" t="s">
        <v>888</v>
      </c>
      <c r="J136" s="9" t="s">
        <v>888</v>
      </c>
      <c r="K136" s="15" t="s">
        <v>4387</v>
      </c>
      <c r="L136" s="15" t="s">
        <v>4388</v>
      </c>
      <c r="M136" s="15" t="s">
        <v>4389</v>
      </c>
      <c r="N136" s="15" t="s">
        <v>4390</v>
      </c>
      <c r="O136" s="6" t="s">
        <v>4391</v>
      </c>
      <c r="P136" s="15" t="s">
        <v>4392</v>
      </c>
      <c r="Q136" s="15" t="s">
        <v>4393</v>
      </c>
      <c r="R136" s="6" t="s">
        <v>4394</v>
      </c>
      <c r="S136" s="15" t="s">
        <v>4395</v>
      </c>
      <c r="T136" s="11" t="s">
        <v>888</v>
      </c>
      <c r="U136" s="10">
        <v>0.51851851851851849</v>
      </c>
      <c r="V136" s="7" t="s">
        <v>925</v>
      </c>
      <c r="W136" s="7" t="s">
        <v>926</v>
      </c>
      <c r="X136" s="7" t="s">
        <v>927</v>
      </c>
      <c r="Y136" s="15" t="s">
        <v>4396</v>
      </c>
      <c r="Z136" s="9">
        <v>67</v>
      </c>
      <c r="AA136" s="9">
        <v>70</v>
      </c>
      <c r="AB136" s="9">
        <v>82</v>
      </c>
      <c r="AC136" s="13">
        <v>-8.6066296582387042E-2</v>
      </c>
      <c r="AD136" s="13">
        <v>0.43033148291193524</v>
      </c>
      <c r="AE136" s="9">
        <v>41</v>
      </c>
      <c r="AF136" s="9">
        <v>202</v>
      </c>
      <c r="AG136" s="9">
        <v>4</v>
      </c>
      <c r="AH136" s="6" t="s">
        <v>4397</v>
      </c>
      <c r="AI136" s="10">
        <v>134.77579404063849</v>
      </c>
      <c r="AJ136" s="10">
        <v>133.51021684555505</v>
      </c>
      <c r="AK136" s="15" t="s">
        <v>4398</v>
      </c>
      <c r="AL136" s="15" t="s">
        <v>4399</v>
      </c>
      <c r="AM136" s="15" t="s">
        <v>4400</v>
      </c>
      <c r="AN136" s="9">
        <v>6</v>
      </c>
      <c r="AO136" s="9">
        <v>7</v>
      </c>
      <c r="AP136" s="9">
        <v>68</v>
      </c>
      <c r="AQ136" s="15" t="s">
        <v>4401</v>
      </c>
      <c r="AR136" s="9">
        <v>14</v>
      </c>
      <c r="AS136" s="6" t="s">
        <v>2096</v>
      </c>
      <c r="AT136" s="15" t="s">
        <v>4402</v>
      </c>
      <c r="AU136" s="9">
        <v>1</v>
      </c>
      <c r="AV136" s="9">
        <v>1</v>
      </c>
      <c r="AW136" s="9">
        <v>5</v>
      </c>
      <c r="AX136" s="9">
        <v>3</v>
      </c>
      <c r="AY136" s="9">
        <v>178</v>
      </c>
      <c r="AZ136" s="9">
        <v>32434</v>
      </c>
      <c r="BA136" s="6" t="s">
        <v>888</v>
      </c>
      <c r="BB136" s="6" t="s">
        <v>888</v>
      </c>
      <c r="BC136" s="6" t="s">
        <v>4403</v>
      </c>
      <c r="BD136" s="15" t="s">
        <v>4404</v>
      </c>
      <c r="BE136" s="15" t="s">
        <v>4405</v>
      </c>
      <c r="BF136" s="15" t="s">
        <v>4406</v>
      </c>
      <c r="BG136" s="15" t="s">
        <v>4407</v>
      </c>
      <c r="BH136" s="6" t="s">
        <v>4408</v>
      </c>
      <c r="BI136" s="17" t="s">
        <v>888</v>
      </c>
      <c r="BJ136" s="7" t="s">
        <v>1878</v>
      </c>
      <c r="BK136" s="7" t="s">
        <v>1879</v>
      </c>
      <c r="BL136" s="7" t="s">
        <v>1880</v>
      </c>
      <c r="BM136" s="16" t="s">
        <v>1881</v>
      </c>
      <c r="BN136" s="16" t="s">
        <v>1882</v>
      </c>
      <c r="BO136" s="16" t="s">
        <v>1883</v>
      </c>
      <c r="BP136" s="16" t="s">
        <v>1884</v>
      </c>
      <c r="BQ136" s="16" t="s">
        <v>1885</v>
      </c>
      <c r="BR136" s="7" t="s">
        <v>1886</v>
      </c>
      <c r="BS136" s="7" t="s">
        <v>1887</v>
      </c>
      <c r="BT136" s="7" t="s">
        <v>1888</v>
      </c>
      <c r="BU136" s="14">
        <v>3.2201626298004597E-37</v>
      </c>
      <c r="BV136" s="15" t="s">
        <v>4409</v>
      </c>
      <c r="BW136" s="9">
        <v>65</v>
      </c>
      <c r="BX136" s="9">
        <v>68</v>
      </c>
      <c r="BY136" s="13">
        <v>-0.43033148291193524</v>
      </c>
      <c r="BZ136" s="13">
        <v>8.6066296582387042E-2</v>
      </c>
      <c r="CA136" s="12">
        <f>IF(B136="","",IF(A136&lt;8,"",_xlfn.LET(_xlpm.n,A136,_xlpm.k,G136,_xlpm.R,AP136,_xlpm.mu,1+2*_xlpm.k*(_xlpm.n-_xlpm.k)/_xlpm.n,_xlpm.v,2*_xlpm.k*(_xlpm.n-_xlpm.k)*(2*_xlpm.k*(_xlpm.n-_xlpm.k)-_xlpm.n)/(_xlpm.n^2*(_xlpm.n-1)),IF(_xlpm.v&lt;=0,"",(_xlpm.R-_xlpm.mu)/SQRT(_xlpm.v)))))</f>
        <v>-7.0488658526892511E-2</v>
      </c>
      <c r="CB136" s="37" cm="1">
        <f t="array" ref="CB136">IF(B136="","",IF(A136&lt;8,"",_xlfn.LET(_xlpm.b,--MID(C136,_xlfn.SEQUENCE(A136-1),1),_xlpm.c,--MID(C136,_xlfn.SEQUENCE(A136-1,,2),1),IFERROR(CORREL(_xlpm.b,_xlpm.c),""))))</f>
        <v>-1.3385389700323893E-3</v>
      </c>
      <c r="CC136" s="8">
        <f>IF(B136="","",LOG(A136,2))</f>
        <v>7.0768155970508317</v>
      </c>
      <c r="CD136" s="8">
        <f>IF(B136="","",MAX(AN136,AO136)-CC136)</f>
        <v>-7.6815597050831741E-2</v>
      </c>
      <c r="CE136" s="8" cm="1">
        <f t="array" ref="CE136">IF(B136="","",IF(LEN(B136)&lt;16,"",_xlfn.LET(_xlpm.d,MID("0123456789abcdef",_xlfn.SEQUENCE(16),1),_xlpm.c,LEN(B136)-LEN(SUBSTITUTE(B136,_xlpm.d,"")),_xlpm.ex,LEN(B136)/16,SUM((_xlpm.c-_xlpm.ex)^2/_xlpm.ex))))</f>
        <v>10.235294117647056</v>
      </c>
      <c r="CF136" s="37">
        <f>IF(CE136="","",_xlfn.CHISQ.DIST.RT(CE136,15))</f>
        <v>0.80468398284914744</v>
      </c>
      <c r="CG136" s="9" t="str" cm="1">
        <f t="array" ref="CG136">IF(OR(B136="",B135=""),"",_xlfn.LET(_xlpm.a,C136,_xlpm.b,REPT("0",A136-LEN(C135))&amp;C135,_xlpm.m,MID(_xlpm.a,_xlfn.SEQUENCE(A136),1)=MID(_xlpm.b,_xlfn.SEQUENCE(A136),1),IFERROR(MATCH(FALSE,_xlpm.m,0)-1,A136)))</f>
        <v/>
      </c>
      <c r="CH136" s="9" t="str" cm="1">
        <f t="array" ref="CH136">IF(OR(B136="",B135=""),"",_xlfn.LET(_xlpm.a,C136,_xlpm.b,REPT("0",A136-LEN(C135))&amp;C135,_xlpm.n,A136,_xlpm.m,MID(_xlpm.a,_xlfn.SEQUENCE(_xlpm.n,,_xlpm.n,-1),1)=MID(_xlpm.b,_xlfn.SEQUENCE(_xlpm.n,,_xlpm.n,-1),1),IFERROR(MATCH(FALSE,_xlpm.m,0)-1,_xlpm.n)))</f>
        <v/>
      </c>
      <c r="CI136" s="38" t="str">
        <f>IF(OR(B136="",B135=""),"",F136-F135)</f>
        <v/>
      </c>
      <c r="CJ136" s="5" t="str">
        <f>IF(OR(B136="",B135=""),"",IFERROR(FIND(B135,B136)&gt;0,FALSE))</f>
        <v/>
      </c>
      <c r="CK136" s="5" t="str">
        <f>IF(OR(B136="",B135=""),"",IFERROR(FIND(C135,C136)&gt;0,FALSE))</f>
        <v/>
      </c>
      <c r="CL136" s="9" t="str">
        <f>IF(OR(B136="",B135=""),"",IFERROR(FIND(C135,C136),""))</f>
        <v/>
      </c>
      <c r="CM136" s="6" t="str" cm="1">
        <f t="array" ref="CM136">IF(OR(B136="",B135=""),"",_xlfn.LET(_xlpm.pv,D135,_xlpm.ra,BIGSUB(D136,_xlpm.pv),_xlpm.rb,BIGSUB(_xlpm.ra,_xlpm.pv),_xlpm.rc,BIGSUB(_xlpm.rb,_xlpm.pv),IF(LEFT(_xlpm.rb,1)="-",_xlpm.ra,IF(LEFT(_xlpm.rc,1)="-",_xlpm.rb,_xlpm.rc))))</f>
        <v/>
      </c>
      <c r="CN136" s="38">
        <f>IF(B136="","",F136-0.5)</f>
        <v>0.21213212740445497</v>
      </c>
      <c r="CO136" s="15" t="str" cm="1">
        <f t="array" ref="CO136">IF(B136="","",_xlfn.TEXTJOIN("",,MID(B136,_xlfn.SEQUENCE(LEN(B136),,LEN(B136),-1),1)))</f>
        <v>2be70fa75ad87f5d30909f38861a2939d6</v>
      </c>
      <c r="CP136" s="6" t="str" cm="1">
        <f t="array" ref="CP136">IF(B136="","",BASE2DEC(CO136,16))</f>
        <v>14939274723439488689869516015921829329366</v>
      </c>
      <c r="CQ136" s="5" t="str">
        <f>IF(B136="","",IF(AND(LEN(B136)&lt;16,LEN(B136)=LEN(SUBSTITUTE(SUBSTITUTE(SUBSTITUTE(SUBSTITUTE(SUBSTITUTE(SUBSTITUTE(B136,"a",""),"b",""),"c",""),"d",""),"e",""),"f",""))),--B136,""))</f>
        <v/>
      </c>
      <c r="CR136" s="6" t="str" cm="1">
        <f t="array" ref="CR136">IF(B136="","",IF(LEN(D136)&lt;=15,BASE2DEC(D136,16),""))</f>
        <v/>
      </c>
      <c r="CS136" s="15" t="str" cm="1">
        <f t="array" ref="CS136">IF(B136="","",_xlfn.LET(_xlpm.p,REPT("0",MOD(-LEN(B136),4))&amp;B136,_xlfn.TEXTJOIN(" ",,MID(_xlpm.p,_xlfn.SEQUENCE(LEN(_xlpm.p)/4,,1,4),4))))</f>
        <v>006d 9392 a168 83f9 0903 d5f7 8da5 7af0 7eb2</v>
      </c>
      <c r="CT136" s="15" t="str" cm="1">
        <f t="array" ref="CT136">IF(B136="","",UPPER(_xlfn.LET(_xlpm.p,REPT("0",64-LEN(B136))&amp;B136,_xlfn.TEXTJOIN(" ",,MID(_xlpm.p,_xlfn.SEQUENCE(8,,1,8),8)))))</f>
        <v>00000000 00000000 00000000 0000006D 9392A168 83F90903 D5F78DA5 7AF07EB2</v>
      </c>
      <c r="CU136" s="6" t="str" cm="1">
        <f t="array" ref="CU136">IF(B136="","",IF(LEN(D136)&lt;=6,_xlfn.LET(_xlpm.n,VALUE(D136)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6" s="39" t="s">
        <v>4444</v>
      </c>
      <c r="CW136" s="39" t="s">
        <v>1895</v>
      </c>
      <c r="CX136" s="39" t="s">
        <v>2081</v>
      </c>
      <c r="CY136" s="7" t="s">
        <v>4907</v>
      </c>
      <c r="CZ136" s="39" t="s">
        <v>4444</v>
      </c>
      <c r="DA136" s="39" t="s">
        <v>4444</v>
      </c>
      <c r="DB136" s="39">
        <v>135</v>
      </c>
      <c r="DC136" s="7" t="s">
        <v>4908</v>
      </c>
      <c r="DD136" s="7" t="s">
        <v>4909</v>
      </c>
      <c r="DE136" s="7" t="s">
        <v>4910</v>
      </c>
      <c r="DF136" s="7" t="s">
        <v>4911</v>
      </c>
      <c r="DG136" s="7" t="s">
        <v>4912</v>
      </c>
      <c r="DH136" s="39" t="s">
        <v>4452</v>
      </c>
      <c r="DI136" s="7" t="s">
        <v>5743</v>
      </c>
      <c r="DJ136" s="7" t="s">
        <v>5744</v>
      </c>
      <c r="DK136" s="7" t="s">
        <v>5745</v>
      </c>
      <c r="DL136" s="7" t="s">
        <v>5746</v>
      </c>
      <c r="DM136" s="7" t="s">
        <v>5747</v>
      </c>
      <c r="DN136" s="7" t="s">
        <v>5748</v>
      </c>
      <c r="DO136" s="7" t="s">
        <v>5749</v>
      </c>
      <c r="DP136" s="7" t="s">
        <v>5750</v>
      </c>
      <c r="DQ136" s="7" t="s">
        <v>5751</v>
      </c>
      <c r="DR136" s="7" t="s">
        <v>5752</v>
      </c>
      <c r="DS136" s="7" t="s">
        <v>5837</v>
      </c>
      <c r="DT136" s="15" t="str" cm="1">
        <f t="array" ref="DT136">IF(B136="","",_xlfn.TEXTJOIN("",,HEX2BIN(MID(BQ136,_xlfn.SEQUENCE(40),1),4)))</f>
        <v>0011000000001011100000011011100011110011100111101011000000001111000011000001111101101110011110111101110110111000111111101111110010000001111000110010100001110111</v>
      </c>
    </row>
    <row r="137" spans="1:124" x14ac:dyDescent="0.25">
      <c r="A137" s="9">
        <v>136</v>
      </c>
      <c r="B137" s="15" t="s">
        <v>888</v>
      </c>
      <c r="C137" s="15" t="s">
        <v>888</v>
      </c>
      <c r="D137" s="6" t="s">
        <v>888</v>
      </c>
      <c r="E137" s="6" t="s">
        <v>888</v>
      </c>
      <c r="F137" s="10" t="s">
        <v>888</v>
      </c>
      <c r="G137" s="9" t="s">
        <v>888</v>
      </c>
      <c r="H137" s="9" t="s">
        <v>888</v>
      </c>
      <c r="I137" s="15" t="s">
        <v>888</v>
      </c>
      <c r="J137" s="9" t="s">
        <v>888</v>
      </c>
      <c r="K137" s="15" t="s">
        <v>888</v>
      </c>
      <c r="L137" s="15" t="s">
        <v>888</v>
      </c>
      <c r="M137" s="15" t="s">
        <v>888</v>
      </c>
      <c r="N137" s="15" t="s">
        <v>888</v>
      </c>
      <c r="O137" s="6" t="s">
        <v>888</v>
      </c>
      <c r="P137" s="15" t="s">
        <v>888</v>
      </c>
      <c r="Q137" s="15" t="s">
        <v>888</v>
      </c>
      <c r="R137" s="6" t="s">
        <v>888</v>
      </c>
      <c r="S137" s="15" t="s">
        <v>888</v>
      </c>
      <c r="T137" s="11" t="s">
        <v>888</v>
      </c>
      <c r="U137" s="10" t="s">
        <v>888</v>
      </c>
      <c r="V137" s="7" t="s">
        <v>888</v>
      </c>
      <c r="W137" s="7" t="s">
        <v>888</v>
      </c>
      <c r="X137" s="7" t="s">
        <v>888</v>
      </c>
      <c r="Y137" s="15" t="s">
        <v>888</v>
      </c>
      <c r="Z137" s="9" t="s">
        <v>888</v>
      </c>
      <c r="AA137" s="9" t="s">
        <v>888</v>
      </c>
      <c r="AB137" s="9" t="s">
        <v>888</v>
      </c>
      <c r="AC137" s="13" t="s">
        <v>888</v>
      </c>
      <c r="AD137" s="13" t="s">
        <v>888</v>
      </c>
      <c r="AE137" s="9" t="s">
        <v>888</v>
      </c>
      <c r="AF137" s="9" t="s">
        <v>888</v>
      </c>
      <c r="AG137" s="9" t="s">
        <v>888</v>
      </c>
      <c r="AH137" s="6" t="s">
        <v>888</v>
      </c>
      <c r="AI137" s="10" t="s">
        <v>888</v>
      </c>
      <c r="AJ137" s="10" t="s">
        <v>888</v>
      </c>
      <c r="AK137" s="15" t="s">
        <v>888</v>
      </c>
      <c r="AL137" s="15" t="s">
        <v>888</v>
      </c>
      <c r="AM137" s="15" t="s">
        <v>888</v>
      </c>
      <c r="AN137" s="9" t="s">
        <v>888</v>
      </c>
      <c r="AO137" s="9" t="s">
        <v>888</v>
      </c>
      <c r="AP137" s="9" t="s">
        <v>888</v>
      </c>
      <c r="AQ137" s="15" t="s">
        <v>888</v>
      </c>
      <c r="AR137" s="9" t="s">
        <v>888</v>
      </c>
      <c r="AS137" s="6" t="s">
        <v>888</v>
      </c>
      <c r="AT137" s="15" t="s">
        <v>888</v>
      </c>
      <c r="AU137" s="9" t="s">
        <v>888</v>
      </c>
      <c r="AV137" s="9" t="s">
        <v>888</v>
      </c>
      <c r="AW137" s="9" t="s">
        <v>888</v>
      </c>
      <c r="AX137" s="9" t="s">
        <v>888</v>
      </c>
      <c r="AY137" s="9" t="s">
        <v>888</v>
      </c>
      <c r="AZ137" s="9" t="s">
        <v>888</v>
      </c>
      <c r="BA137" s="6" t="s">
        <v>888</v>
      </c>
      <c r="BB137" s="6" t="s">
        <v>888</v>
      </c>
      <c r="BC137" s="6" t="s">
        <v>888</v>
      </c>
      <c r="BD137" s="15" t="s">
        <v>888</v>
      </c>
      <c r="BE137" s="15" t="s">
        <v>888</v>
      </c>
      <c r="BF137" s="15" t="s">
        <v>888</v>
      </c>
      <c r="BG137" s="15" t="s">
        <v>888</v>
      </c>
      <c r="BH137" s="6" t="s">
        <v>888</v>
      </c>
      <c r="BI137" s="17" t="s">
        <v>888</v>
      </c>
      <c r="BJ137" s="7" t="s">
        <v>888</v>
      </c>
      <c r="BK137" s="7" t="s">
        <v>888</v>
      </c>
      <c r="BL137" s="7" t="s">
        <v>888</v>
      </c>
      <c r="BM137" s="16" t="s">
        <v>888</v>
      </c>
      <c r="BN137" s="16" t="s">
        <v>888</v>
      </c>
      <c r="BO137" s="16" t="s">
        <v>888</v>
      </c>
      <c r="BP137" s="16" t="s">
        <v>888</v>
      </c>
      <c r="BQ137" s="16" t="s">
        <v>888</v>
      </c>
      <c r="BR137" s="7" t="s">
        <v>888</v>
      </c>
      <c r="BS137" s="7" t="s">
        <v>888</v>
      </c>
      <c r="BT137" s="7" t="s">
        <v>888</v>
      </c>
      <c r="BU137" s="14" t="s">
        <v>888</v>
      </c>
      <c r="BV137" s="15" t="s">
        <v>888</v>
      </c>
      <c r="BW137" s="9" t="s">
        <v>888</v>
      </c>
      <c r="BX137" s="9" t="s">
        <v>888</v>
      </c>
      <c r="BY137" s="13" t="s">
        <v>888</v>
      </c>
      <c r="BZ137" s="13" t="s">
        <v>888</v>
      </c>
      <c r="CA137" s="12" t="str">
        <f>IF(B137="","",IF(A137&lt;8,"",_xlfn.LET(_xlpm.n,A137,_xlpm.k,G137,_xlpm.R,AP137,_xlpm.mu,1+2*_xlpm.k*(_xlpm.n-_xlpm.k)/_xlpm.n,_xlpm.v,2*_xlpm.k*(_xlpm.n-_xlpm.k)*(2*_xlpm.k*(_xlpm.n-_xlpm.k)-_xlpm.n)/(_xlpm.n^2*(_xlpm.n-1)),IF(_xlpm.v&lt;=0,"",(_xlpm.R-_xlpm.mu)/SQRT(_xlpm.v)))))</f>
        <v/>
      </c>
      <c r="CB137" s="37" t="str" cm="1">
        <f t="array" ref="CB137">IF(B137="","",IF(A137&lt;8,"",_xlfn.LET(_xlpm.b,--MID(C137,_xlfn.SEQUENCE(A137-1),1),_xlpm.c,--MID(C137,_xlfn.SEQUENCE(A137-1,,2),1),IFERROR(CORREL(_xlpm.b,_xlpm.c),""))))</f>
        <v/>
      </c>
      <c r="CC137" s="8" t="str">
        <f>IF(B137="","",LOG(A137,2))</f>
        <v/>
      </c>
      <c r="CD137" s="8" t="str">
        <f>IF(B137="","",MAX(AN137,AO137)-CC137)</f>
        <v/>
      </c>
      <c r="CE137" s="8" t="str" cm="1">
        <f t="array" ref="CE137">IF(B137="","",IF(LEN(B137)&lt;16,"",_xlfn.LET(_xlpm.d,MID("0123456789abcdef",_xlfn.SEQUENCE(16),1),_xlpm.c,LEN(B137)-LEN(SUBSTITUTE(B137,_xlpm.d,"")),_xlpm.ex,LEN(B137)/16,SUM((_xlpm.c-_xlpm.ex)^2/_xlpm.ex))))</f>
        <v/>
      </c>
      <c r="CF137" s="37" t="str">
        <f>IF(CE137="","",_xlfn.CHISQ.DIST.RT(CE137,15))</f>
        <v/>
      </c>
      <c r="CG137" s="9" t="str" cm="1">
        <f t="array" ref="CG137">IF(OR(B137="",B136=""),"",_xlfn.LET(_xlpm.a,C137,_xlpm.b,REPT("0",A137-LEN(C136))&amp;C136,_xlpm.m,MID(_xlpm.a,_xlfn.SEQUENCE(A137),1)=MID(_xlpm.b,_xlfn.SEQUENCE(A137),1),IFERROR(MATCH(FALSE,_xlpm.m,0)-1,A137)))</f>
        <v/>
      </c>
      <c r="CH137" s="9" t="str" cm="1">
        <f t="array" ref="CH137">IF(OR(B137="",B136=""),"",_xlfn.LET(_xlpm.a,C137,_xlpm.b,REPT("0",A137-LEN(C136))&amp;C136,_xlpm.n,A137,_xlpm.m,MID(_xlpm.a,_xlfn.SEQUENCE(_xlpm.n,,_xlpm.n,-1),1)=MID(_xlpm.b,_xlfn.SEQUENCE(_xlpm.n,,_xlpm.n,-1),1),IFERROR(MATCH(FALSE,_xlpm.m,0)-1,_xlpm.n)))</f>
        <v/>
      </c>
      <c r="CI137" s="38" t="str">
        <f>IF(OR(B137="",B136=""),"",F137-F136)</f>
        <v/>
      </c>
      <c r="CJ137" s="5" t="str">
        <f>IF(OR(B137="",B136=""),"",IFERROR(FIND(B136,B137)&gt;0,FALSE))</f>
        <v/>
      </c>
      <c r="CK137" s="5" t="str">
        <f>IF(OR(B137="",B136=""),"",IFERROR(FIND(C136,C137)&gt;0,FALSE))</f>
        <v/>
      </c>
      <c r="CL137" s="9" t="str">
        <f>IF(OR(B137="",B136=""),"",IFERROR(FIND(C136,C137),""))</f>
        <v/>
      </c>
      <c r="CM137" s="6" t="str" cm="1">
        <f t="array" ref="CM137">IF(OR(B137="",B136=""),"",_xlfn.LET(_xlpm.pv,D136,_xlpm.ra,BIGSUB(D137,_xlpm.pv),_xlpm.rb,BIGSUB(_xlpm.ra,_xlpm.pv),_xlpm.rc,BIGSUB(_xlpm.rb,_xlpm.pv),IF(LEFT(_xlpm.rb,1)="-",_xlpm.ra,IF(LEFT(_xlpm.rc,1)="-",_xlpm.rb,_xlpm.rc))))</f>
        <v/>
      </c>
      <c r="CN137" s="38" t="str">
        <f>IF(B137="","",F137-0.5)</f>
        <v/>
      </c>
      <c r="CO137" s="15" t="str" cm="1">
        <f t="array" ref="CO137">IF(B137="","",_xlfn.TEXTJOIN("",,MID(B137,_xlfn.SEQUENCE(LEN(B137),,LEN(B137),-1),1)))</f>
        <v/>
      </c>
      <c r="CP137" s="6" t="str" cm="1">
        <f t="array" ref="CP137">IF(B137="","",BASE2DEC(CO137,16))</f>
        <v/>
      </c>
      <c r="CQ137" s="5" t="str">
        <f>IF(B137="","",IF(AND(LEN(B137)&lt;16,LEN(B137)=LEN(SUBSTITUTE(SUBSTITUTE(SUBSTITUTE(SUBSTITUTE(SUBSTITUTE(SUBSTITUTE(B137,"a",""),"b",""),"c",""),"d",""),"e",""),"f",""))),--B137,""))</f>
        <v/>
      </c>
      <c r="CR137" s="6" t="str" cm="1">
        <f t="array" ref="CR137">IF(B137="","",IF(LEN(D137)&lt;=15,BASE2DEC(D137,16),""))</f>
        <v/>
      </c>
      <c r="CS137" s="15" t="str" cm="1">
        <f t="array" ref="CS137">IF(B137="","",_xlfn.LET(_xlpm.p,REPT("0",MOD(-LEN(B137),4))&amp;B137,_xlfn.TEXTJOIN(" ",,MID(_xlpm.p,_xlfn.SEQUENCE(LEN(_xlpm.p)/4,,1,4),4))))</f>
        <v/>
      </c>
      <c r="CT137" s="15" t="str" cm="1">
        <f t="array" ref="CT137">IF(B137="","",UPPER(_xlfn.LET(_xlpm.p,REPT("0",64-LEN(B137))&amp;B137,_xlfn.TEXTJOIN(" ",,MID(_xlpm.p,_xlfn.SEQUENCE(8,,1,8),8)))))</f>
        <v/>
      </c>
      <c r="CU137" s="6" t="str" cm="1">
        <f t="array" ref="CU137">IF(B137="","",IF(LEN(D137)&lt;=6,_xlfn.LET(_xlpm.n,VALUE(D137)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7" s="39" t="s">
        <v>888</v>
      </c>
      <c r="CW137" s="39" t="s">
        <v>888</v>
      </c>
      <c r="CX137" s="39" t="s">
        <v>888</v>
      </c>
      <c r="CY137" s="7" t="s">
        <v>888</v>
      </c>
      <c r="CZ137" s="39" t="s">
        <v>888</v>
      </c>
      <c r="DA137" s="39" t="s">
        <v>888</v>
      </c>
      <c r="DB137" s="39" t="s">
        <v>888</v>
      </c>
      <c r="DC137" s="7" t="s">
        <v>888</v>
      </c>
      <c r="DD137" s="7" t="s">
        <v>888</v>
      </c>
      <c r="DE137" s="7" t="s">
        <v>888</v>
      </c>
      <c r="DF137" s="7" t="s">
        <v>888</v>
      </c>
      <c r="DG137" s="7" t="s">
        <v>888</v>
      </c>
      <c r="DH137" s="39" t="s">
        <v>888</v>
      </c>
      <c r="DI137" s="7" t="s">
        <v>888</v>
      </c>
      <c r="DJ137" s="7" t="s">
        <v>888</v>
      </c>
      <c r="DK137" s="7" t="s">
        <v>888</v>
      </c>
      <c r="DL137" s="7" t="s">
        <v>888</v>
      </c>
      <c r="DM137" s="7" t="s">
        <v>888</v>
      </c>
      <c r="DN137" s="7" t="s">
        <v>888</v>
      </c>
      <c r="DO137" s="7" t="s">
        <v>888</v>
      </c>
      <c r="DP137" s="7" t="s">
        <v>888</v>
      </c>
      <c r="DQ137" s="7" t="s">
        <v>888</v>
      </c>
      <c r="DR137" s="7" t="s">
        <v>888</v>
      </c>
      <c r="DS137" s="7" t="s">
        <v>888</v>
      </c>
      <c r="DT137" s="15" t="str" cm="1">
        <f t="array" ref="DT137">IF(B137="","",_xlfn.TEXTJOIN("",,HEX2BIN(MID(BQ137,_xlfn.SEQUENCE(40),1),4)))</f>
        <v/>
      </c>
    </row>
    <row r="138" spans="1:124" x14ac:dyDescent="0.25">
      <c r="A138" s="9">
        <v>137</v>
      </c>
      <c r="B138" s="15" t="s">
        <v>888</v>
      </c>
      <c r="C138" s="15" t="s">
        <v>888</v>
      </c>
      <c r="D138" s="6" t="s">
        <v>888</v>
      </c>
      <c r="E138" s="6" t="s">
        <v>888</v>
      </c>
      <c r="F138" s="10" t="s">
        <v>888</v>
      </c>
      <c r="G138" s="9" t="s">
        <v>888</v>
      </c>
      <c r="H138" s="9" t="s">
        <v>888</v>
      </c>
      <c r="I138" s="15" t="s">
        <v>888</v>
      </c>
      <c r="J138" s="9" t="s">
        <v>888</v>
      </c>
      <c r="K138" s="15" t="s">
        <v>888</v>
      </c>
      <c r="L138" s="15" t="s">
        <v>888</v>
      </c>
      <c r="M138" s="15" t="s">
        <v>888</v>
      </c>
      <c r="N138" s="15" t="s">
        <v>888</v>
      </c>
      <c r="O138" s="6" t="s">
        <v>888</v>
      </c>
      <c r="P138" s="15" t="s">
        <v>888</v>
      </c>
      <c r="Q138" s="15" t="s">
        <v>888</v>
      </c>
      <c r="R138" s="6" t="s">
        <v>888</v>
      </c>
      <c r="S138" s="15" t="s">
        <v>888</v>
      </c>
      <c r="T138" s="11" t="s">
        <v>888</v>
      </c>
      <c r="U138" s="10" t="s">
        <v>888</v>
      </c>
      <c r="V138" s="7" t="s">
        <v>888</v>
      </c>
      <c r="W138" s="7" t="s">
        <v>888</v>
      </c>
      <c r="X138" s="7" t="s">
        <v>888</v>
      </c>
      <c r="Y138" s="15" t="s">
        <v>888</v>
      </c>
      <c r="Z138" s="9" t="s">
        <v>888</v>
      </c>
      <c r="AA138" s="9" t="s">
        <v>888</v>
      </c>
      <c r="AB138" s="9" t="s">
        <v>888</v>
      </c>
      <c r="AC138" s="13" t="s">
        <v>888</v>
      </c>
      <c r="AD138" s="13" t="s">
        <v>888</v>
      </c>
      <c r="AE138" s="9" t="s">
        <v>888</v>
      </c>
      <c r="AF138" s="9" t="s">
        <v>888</v>
      </c>
      <c r="AG138" s="9" t="s">
        <v>888</v>
      </c>
      <c r="AH138" s="6" t="s">
        <v>888</v>
      </c>
      <c r="AI138" s="10" t="s">
        <v>888</v>
      </c>
      <c r="AJ138" s="10" t="s">
        <v>888</v>
      </c>
      <c r="AK138" s="15" t="s">
        <v>888</v>
      </c>
      <c r="AL138" s="15" t="s">
        <v>888</v>
      </c>
      <c r="AM138" s="15" t="s">
        <v>888</v>
      </c>
      <c r="AN138" s="9" t="s">
        <v>888</v>
      </c>
      <c r="AO138" s="9" t="s">
        <v>888</v>
      </c>
      <c r="AP138" s="9" t="s">
        <v>888</v>
      </c>
      <c r="AQ138" s="15" t="s">
        <v>888</v>
      </c>
      <c r="AR138" s="9" t="s">
        <v>888</v>
      </c>
      <c r="AS138" s="6" t="s">
        <v>888</v>
      </c>
      <c r="AT138" s="15" t="s">
        <v>888</v>
      </c>
      <c r="AU138" s="9" t="s">
        <v>888</v>
      </c>
      <c r="AV138" s="9" t="s">
        <v>888</v>
      </c>
      <c r="AW138" s="9" t="s">
        <v>888</v>
      </c>
      <c r="AX138" s="9" t="s">
        <v>888</v>
      </c>
      <c r="AY138" s="9" t="s">
        <v>888</v>
      </c>
      <c r="AZ138" s="9" t="s">
        <v>888</v>
      </c>
      <c r="BA138" s="6" t="s">
        <v>888</v>
      </c>
      <c r="BB138" s="6" t="s">
        <v>888</v>
      </c>
      <c r="BC138" s="6" t="s">
        <v>888</v>
      </c>
      <c r="BD138" s="15" t="s">
        <v>888</v>
      </c>
      <c r="BE138" s="15" t="s">
        <v>888</v>
      </c>
      <c r="BF138" s="15" t="s">
        <v>888</v>
      </c>
      <c r="BG138" s="15" t="s">
        <v>888</v>
      </c>
      <c r="BH138" s="6" t="s">
        <v>888</v>
      </c>
      <c r="BI138" s="17" t="s">
        <v>888</v>
      </c>
      <c r="BJ138" s="7" t="s">
        <v>888</v>
      </c>
      <c r="BK138" s="7" t="s">
        <v>888</v>
      </c>
      <c r="BL138" s="7" t="s">
        <v>888</v>
      </c>
      <c r="BM138" s="16" t="s">
        <v>888</v>
      </c>
      <c r="BN138" s="16" t="s">
        <v>888</v>
      </c>
      <c r="BO138" s="16" t="s">
        <v>888</v>
      </c>
      <c r="BP138" s="16" t="s">
        <v>888</v>
      </c>
      <c r="BQ138" s="16" t="s">
        <v>888</v>
      </c>
      <c r="BR138" s="7" t="s">
        <v>888</v>
      </c>
      <c r="BS138" s="7" t="s">
        <v>888</v>
      </c>
      <c r="BT138" s="7" t="s">
        <v>888</v>
      </c>
      <c r="BU138" s="14" t="s">
        <v>888</v>
      </c>
      <c r="BV138" s="15" t="s">
        <v>888</v>
      </c>
      <c r="BW138" s="9" t="s">
        <v>888</v>
      </c>
      <c r="BX138" s="9" t="s">
        <v>888</v>
      </c>
      <c r="BY138" s="13" t="s">
        <v>888</v>
      </c>
      <c r="BZ138" s="13" t="s">
        <v>888</v>
      </c>
      <c r="CA138" s="12" t="str">
        <f>IF(B138="","",IF(A138&lt;8,"",_xlfn.LET(_xlpm.n,A138,_xlpm.k,G138,_xlpm.R,AP138,_xlpm.mu,1+2*_xlpm.k*(_xlpm.n-_xlpm.k)/_xlpm.n,_xlpm.v,2*_xlpm.k*(_xlpm.n-_xlpm.k)*(2*_xlpm.k*(_xlpm.n-_xlpm.k)-_xlpm.n)/(_xlpm.n^2*(_xlpm.n-1)),IF(_xlpm.v&lt;=0,"",(_xlpm.R-_xlpm.mu)/SQRT(_xlpm.v)))))</f>
        <v/>
      </c>
      <c r="CB138" s="37" t="str" cm="1">
        <f t="array" ref="CB138">IF(B138="","",IF(A138&lt;8,"",_xlfn.LET(_xlpm.b,--MID(C138,_xlfn.SEQUENCE(A138-1),1),_xlpm.c,--MID(C138,_xlfn.SEQUENCE(A138-1,,2),1),IFERROR(CORREL(_xlpm.b,_xlpm.c),""))))</f>
        <v/>
      </c>
      <c r="CC138" s="8" t="str">
        <f>IF(B138="","",LOG(A138,2))</f>
        <v/>
      </c>
      <c r="CD138" s="8" t="str">
        <f>IF(B138="","",MAX(AN138,AO138)-CC138)</f>
        <v/>
      </c>
      <c r="CE138" s="8" t="str" cm="1">
        <f t="array" ref="CE138">IF(B138="","",IF(LEN(B138)&lt;16,"",_xlfn.LET(_xlpm.d,MID("0123456789abcdef",_xlfn.SEQUENCE(16),1),_xlpm.c,LEN(B138)-LEN(SUBSTITUTE(B138,_xlpm.d,"")),_xlpm.ex,LEN(B138)/16,SUM((_xlpm.c-_xlpm.ex)^2/_xlpm.ex))))</f>
        <v/>
      </c>
      <c r="CF138" s="37" t="str">
        <f>IF(CE138="","",_xlfn.CHISQ.DIST.RT(CE138,15))</f>
        <v/>
      </c>
      <c r="CG138" s="9" t="str" cm="1">
        <f t="array" ref="CG138">IF(OR(B138="",B137=""),"",_xlfn.LET(_xlpm.a,C138,_xlpm.b,REPT("0",A138-LEN(C137))&amp;C137,_xlpm.m,MID(_xlpm.a,_xlfn.SEQUENCE(A138),1)=MID(_xlpm.b,_xlfn.SEQUENCE(A138),1),IFERROR(MATCH(FALSE,_xlpm.m,0)-1,A138)))</f>
        <v/>
      </c>
      <c r="CH138" s="9" t="str" cm="1">
        <f t="array" ref="CH138">IF(OR(B138="",B137=""),"",_xlfn.LET(_xlpm.a,C138,_xlpm.b,REPT("0",A138-LEN(C137))&amp;C137,_xlpm.n,A138,_xlpm.m,MID(_xlpm.a,_xlfn.SEQUENCE(_xlpm.n,,_xlpm.n,-1),1)=MID(_xlpm.b,_xlfn.SEQUENCE(_xlpm.n,,_xlpm.n,-1),1),IFERROR(MATCH(FALSE,_xlpm.m,0)-1,_xlpm.n)))</f>
        <v/>
      </c>
      <c r="CI138" s="38" t="str">
        <f>IF(OR(B138="",B137=""),"",F138-F137)</f>
        <v/>
      </c>
      <c r="CJ138" s="5" t="str">
        <f>IF(OR(B138="",B137=""),"",IFERROR(FIND(B137,B138)&gt;0,FALSE))</f>
        <v/>
      </c>
      <c r="CK138" s="5" t="str">
        <f>IF(OR(B138="",B137=""),"",IFERROR(FIND(C137,C138)&gt;0,FALSE))</f>
        <v/>
      </c>
      <c r="CL138" s="9" t="str">
        <f>IF(OR(B138="",B137=""),"",IFERROR(FIND(C137,C138),""))</f>
        <v/>
      </c>
      <c r="CM138" s="6" t="str" cm="1">
        <f t="array" ref="CM138">IF(OR(B138="",B137=""),"",_xlfn.LET(_xlpm.pv,D137,_xlpm.ra,BIGSUB(D138,_xlpm.pv),_xlpm.rb,BIGSUB(_xlpm.ra,_xlpm.pv),_xlpm.rc,BIGSUB(_xlpm.rb,_xlpm.pv),IF(LEFT(_xlpm.rb,1)="-",_xlpm.ra,IF(LEFT(_xlpm.rc,1)="-",_xlpm.rb,_xlpm.rc))))</f>
        <v/>
      </c>
      <c r="CN138" s="38" t="str">
        <f>IF(B138="","",F138-0.5)</f>
        <v/>
      </c>
      <c r="CO138" s="15" t="str" cm="1">
        <f t="array" ref="CO138">IF(B138="","",_xlfn.TEXTJOIN("",,MID(B138,_xlfn.SEQUENCE(LEN(B138),,LEN(B138),-1),1)))</f>
        <v/>
      </c>
      <c r="CP138" s="6" t="str" cm="1">
        <f t="array" ref="CP138">IF(B138="","",BASE2DEC(CO138,16))</f>
        <v/>
      </c>
      <c r="CQ138" s="5" t="str">
        <f>IF(B138="","",IF(AND(LEN(B138)&lt;16,LEN(B138)=LEN(SUBSTITUTE(SUBSTITUTE(SUBSTITUTE(SUBSTITUTE(SUBSTITUTE(SUBSTITUTE(B138,"a",""),"b",""),"c",""),"d",""),"e",""),"f",""))),--B138,""))</f>
        <v/>
      </c>
      <c r="CR138" s="6" t="str" cm="1">
        <f t="array" ref="CR138">IF(B138="","",IF(LEN(D138)&lt;=15,BASE2DEC(D138,16),""))</f>
        <v/>
      </c>
      <c r="CS138" s="15" t="str" cm="1">
        <f t="array" ref="CS138">IF(B138="","",_xlfn.LET(_xlpm.p,REPT("0",MOD(-LEN(B138),4))&amp;B138,_xlfn.TEXTJOIN(" ",,MID(_xlpm.p,_xlfn.SEQUENCE(LEN(_xlpm.p)/4,,1,4),4))))</f>
        <v/>
      </c>
      <c r="CT138" s="15" t="str" cm="1">
        <f t="array" ref="CT138">IF(B138="","",UPPER(_xlfn.LET(_xlpm.p,REPT("0",64-LEN(B138))&amp;B138,_xlfn.TEXTJOIN(" ",,MID(_xlpm.p,_xlfn.SEQUENCE(8,,1,8),8)))))</f>
        <v/>
      </c>
      <c r="CU138" s="6" t="str" cm="1">
        <f t="array" ref="CU138">IF(B138="","",IF(LEN(D138)&lt;=6,_xlfn.LET(_xlpm.n,VALUE(D138)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8" s="39" t="s">
        <v>888</v>
      </c>
      <c r="CW138" s="39" t="s">
        <v>888</v>
      </c>
      <c r="CX138" s="39" t="s">
        <v>888</v>
      </c>
      <c r="CY138" s="7" t="s">
        <v>888</v>
      </c>
      <c r="CZ138" s="39" t="s">
        <v>888</v>
      </c>
      <c r="DA138" s="39" t="s">
        <v>888</v>
      </c>
      <c r="DB138" s="39" t="s">
        <v>888</v>
      </c>
      <c r="DC138" s="7" t="s">
        <v>888</v>
      </c>
      <c r="DD138" s="7" t="s">
        <v>888</v>
      </c>
      <c r="DE138" s="7" t="s">
        <v>888</v>
      </c>
      <c r="DF138" s="7" t="s">
        <v>888</v>
      </c>
      <c r="DG138" s="7" t="s">
        <v>888</v>
      </c>
      <c r="DH138" s="39" t="s">
        <v>888</v>
      </c>
      <c r="DI138" s="7" t="s">
        <v>888</v>
      </c>
      <c r="DJ138" s="7" t="s">
        <v>888</v>
      </c>
      <c r="DK138" s="7" t="s">
        <v>888</v>
      </c>
      <c r="DL138" s="7" t="s">
        <v>888</v>
      </c>
      <c r="DM138" s="7" t="s">
        <v>888</v>
      </c>
      <c r="DN138" s="7" t="s">
        <v>888</v>
      </c>
      <c r="DO138" s="7" t="s">
        <v>888</v>
      </c>
      <c r="DP138" s="7" t="s">
        <v>888</v>
      </c>
      <c r="DQ138" s="7" t="s">
        <v>888</v>
      </c>
      <c r="DR138" s="7" t="s">
        <v>888</v>
      </c>
      <c r="DS138" s="7" t="s">
        <v>888</v>
      </c>
      <c r="DT138" s="15" t="str" cm="1">
        <f t="array" ref="DT138">IF(B138="","",_xlfn.TEXTJOIN("",,HEX2BIN(MID(BQ138,_xlfn.SEQUENCE(40),1),4)))</f>
        <v/>
      </c>
    </row>
    <row r="139" spans="1:124" x14ac:dyDescent="0.25">
      <c r="A139" s="9">
        <v>138</v>
      </c>
      <c r="B139" s="15" t="s">
        <v>888</v>
      </c>
      <c r="C139" s="15" t="s">
        <v>888</v>
      </c>
      <c r="D139" s="6" t="s">
        <v>888</v>
      </c>
      <c r="E139" s="6" t="s">
        <v>888</v>
      </c>
      <c r="F139" s="10" t="s">
        <v>888</v>
      </c>
      <c r="G139" s="9" t="s">
        <v>888</v>
      </c>
      <c r="H139" s="9" t="s">
        <v>888</v>
      </c>
      <c r="I139" s="15" t="s">
        <v>888</v>
      </c>
      <c r="J139" s="9" t="s">
        <v>888</v>
      </c>
      <c r="K139" s="15" t="s">
        <v>888</v>
      </c>
      <c r="L139" s="15" t="s">
        <v>888</v>
      </c>
      <c r="M139" s="15" t="s">
        <v>888</v>
      </c>
      <c r="N139" s="15" t="s">
        <v>888</v>
      </c>
      <c r="O139" s="6" t="s">
        <v>888</v>
      </c>
      <c r="P139" s="15" t="s">
        <v>888</v>
      </c>
      <c r="Q139" s="15" t="s">
        <v>888</v>
      </c>
      <c r="R139" s="6" t="s">
        <v>888</v>
      </c>
      <c r="S139" s="15" t="s">
        <v>888</v>
      </c>
      <c r="T139" s="11" t="s">
        <v>888</v>
      </c>
      <c r="U139" s="10" t="s">
        <v>888</v>
      </c>
      <c r="V139" s="7" t="s">
        <v>888</v>
      </c>
      <c r="W139" s="7" t="s">
        <v>888</v>
      </c>
      <c r="X139" s="7" t="s">
        <v>888</v>
      </c>
      <c r="Y139" s="15" t="s">
        <v>888</v>
      </c>
      <c r="Z139" s="9" t="s">
        <v>888</v>
      </c>
      <c r="AA139" s="9" t="s">
        <v>888</v>
      </c>
      <c r="AB139" s="9" t="s">
        <v>888</v>
      </c>
      <c r="AC139" s="13" t="s">
        <v>888</v>
      </c>
      <c r="AD139" s="13" t="s">
        <v>888</v>
      </c>
      <c r="AE139" s="9" t="s">
        <v>888</v>
      </c>
      <c r="AF139" s="9" t="s">
        <v>888</v>
      </c>
      <c r="AG139" s="9" t="s">
        <v>888</v>
      </c>
      <c r="AH139" s="6" t="s">
        <v>888</v>
      </c>
      <c r="AI139" s="10" t="s">
        <v>888</v>
      </c>
      <c r="AJ139" s="10" t="s">
        <v>888</v>
      </c>
      <c r="AK139" s="15" t="s">
        <v>888</v>
      </c>
      <c r="AL139" s="15" t="s">
        <v>888</v>
      </c>
      <c r="AM139" s="15" t="s">
        <v>888</v>
      </c>
      <c r="AN139" s="9" t="s">
        <v>888</v>
      </c>
      <c r="AO139" s="9" t="s">
        <v>888</v>
      </c>
      <c r="AP139" s="9" t="s">
        <v>888</v>
      </c>
      <c r="AQ139" s="15" t="s">
        <v>888</v>
      </c>
      <c r="AR139" s="9" t="s">
        <v>888</v>
      </c>
      <c r="AS139" s="6" t="s">
        <v>888</v>
      </c>
      <c r="AT139" s="15" t="s">
        <v>888</v>
      </c>
      <c r="AU139" s="9" t="s">
        <v>888</v>
      </c>
      <c r="AV139" s="9" t="s">
        <v>888</v>
      </c>
      <c r="AW139" s="9" t="s">
        <v>888</v>
      </c>
      <c r="AX139" s="9" t="s">
        <v>888</v>
      </c>
      <c r="AY139" s="9" t="s">
        <v>888</v>
      </c>
      <c r="AZ139" s="9" t="s">
        <v>888</v>
      </c>
      <c r="BA139" s="6" t="s">
        <v>888</v>
      </c>
      <c r="BB139" s="6" t="s">
        <v>888</v>
      </c>
      <c r="BC139" s="6" t="s">
        <v>888</v>
      </c>
      <c r="BD139" s="15" t="s">
        <v>888</v>
      </c>
      <c r="BE139" s="15" t="s">
        <v>888</v>
      </c>
      <c r="BF139" s="15" t="s">
        <v>888</v>
      </c>
      <c r="BG139" s="15" t="s">
        <v>888</v>
      </c>
      <c r="BH139" s="6" t="s">
        <v>888</v>
      </c>
      <c r="BI139" s="17" t="s">
        <v>888</v>
      </c>
      <c r="BJ139" s="7" t="s">
        <v>888</v>
      </c>
      <c r="BK139" s="7" t="s">
        <v>888</v>
      </c>
      <c r="BL139" s="7" t="s">
        <v>888</v>
      </c>
      <c r="BM139" s="16" t="s">
        <v>888</v>
      </c>
      <c r="BN139" s="16" t="s">
        <v>888</v>
      </c>
      <c r="BO139" s="16" t="s">
        <v>888</v>
      </c>
      <c r="BP139" s="16" t="s">
        <v>888</v>
      </c>
      <c r="BQ139" s="16" t="s">
        <v>888</v>
      </c>
      <c r="BR139" s="7" t="s">
        <v>888</v>
      </c>
      <c r="BS139" s="7" t="s">
        <v>888</v>
      </c>
      <c r="BT139" s="7" t="s">
        <v>888</v>
      </c>
      <c r="BU139" s="14" t="s">
        <v>888</v>
      </c>
      <c r="BV139" s="15" t="s">
        <v>888</v>
      </c>
      <c r="BW139" s="9" t="s">
        <v>888</v>
      </c>
      <c r="BX139" s="9" t="s">
        <v>888</v>
      </c>
      <c r="BY139" s="13" t="s">
        <v>888</v>
      </c>
      <c r="BZ139" s="13" t="s">
        <v>888</v>
      </c>
      <c r="CA139" s="12" t="str">
        <f>IF(B139="","",IF(A139&lt;8,"",_xlfn.LET(_xlpm.n,A139,_xlpm.k,G139,_xlpm.R,AP139,_xlpm.mu,1+2*_xlpm.k*(_xlpm.n-_xlpm.k)/_xlpm.n,_xlpm.v,2*_xlpm.k*(_xlpm.n-_xlpm.k)*(2*_xlpm.k*(_xlpm.n-_xlpm.k)-_xlpm.n)/(_xlpm.n^2*(_xlpm.n-1)),IF(_xlpm.v&lt;=0,"",(_xlpm.R-_xlpm.mu)/SQRT(_xlpm.v)))))</f>
        <v/>
      </c>
      <c r="CB139" s="37" t="str" cm="1">
        <f t="array" ref="CB139">IF(B139="","",IF(A139&lt;8,"",_xlfn.LET(_xlpm.b,--MID(C139,_xlfn.SEQUENCE(A139-1),1),_xlpm.c,--MID(C139,_xlfn.SEQUENCE(A139-1,,2),1),IFERROR(CORREL(_xlpm.b,_xlpm.c),""))))</f>
        <v/>
      </c>
      <c r="CC139" s="8" t="str">
        <f>IF(B139="","",LOG(A139,2))</f>
        <v/>
      </c>
      <c r="CD139" s="8" t="str">
        <f>IF(B139="","",MAX(AN139,AO139)-CC139)</f>
        <v/>
      </c>
      <c r="CE139" s="8" t="str" cm="1">
        <f t="array" ref="CE139">IF(B139="","",IF(LEN(B139)&lt;16,"",_xlfn.LET(_xlpm.d,MID("0123456789abcdef",_xlfn.SEQUENCE(16),1),_xlpm.c,LEN(B139)-LEN(SUBSTITUTE(B139,_xlpm.d,"")),_xlpm.ex,LEN(B139)/16,SUM((_xlpm.c-_xlpm.ex)^2/_xlpm.ex))))</f>
        <v/>
      </c>
      <c r="CF139" s="37" t="str">
        <f>IF(CE139="","",_xlfn.CHISQ.DIST.RT(CE139,15))</f>
        <v/>
      </c>
      <c r="CG139" s="9" t="str" cm="1">
        <f t="array" ref="CG139">IF(OR(B139="",B138=""),"",_xlfn.LET(_xlpm.a,C139,_xlpm.b,REPT("0",A139-LEN(C138))&amp;C138,_xlpm.m,MID(_xlpm.a,_xlfn.SEQUENCE(A139),1)=MID(_xlpm.b,_xlfn.SEQUENCE(A139),1),IFERROR(MATCH(FALSE,_xlpm.m,0)-1,A139)))</f>
        <v/>
      </c>
      <c r="CH139" s="9" t="str" cm="1">
        <f t="array" ref="CH139">IF(OR(B139="",B138=""),"",_xlfn.LET(_xlpm.a,C139,_xlpm.b,REPT("0",A139-LEN(C138))&amp;C138,_xlpm.n,A139,_xlpm.m,MID(_xlpm.a,_xlfn.SEQUENCE(_xlpm.n,,_xlpm.n,-1),1)=MID(_xlpm.b,_xlfn.SEQUENCE(_xlpm.n,,_xlpm.n,-1),1),IFERROR(MATCH(FALSE,_xlpm.m,0)-1,_xlpm.n)))</f>
        <v/>
      </c>
      <c r="CI139" s="38" t="str">
        <f>IF(OR(B139="",B138=""),"",F139-F138)</f>
        <v/>
      </c>
      <c r="CJ139" s="5" t="str">
        <f>IF(OR(B139="",B138=""),"",IFERROR(FIND(B138,B139)&gt;0,FALSE))</f>
        <v/>
      </c>
      <c r="CK139" s="5" t="str">
        <f>IF(OR(B139="",B138=""),"",IFERROR(FIND(C138,C139)&gt;0,FALSE))</f>
        <v/>
      </c>
      <c r="CL139" s="9" t="str">
        <f>IF(OR(B139="",B138=""),"",IFERROR(FIND(C138,C139),""))</f>
        <v/>
      </c>
      <c r="CM139" s="6" t="str" cm="1">
        <f t="array" ref="CM139">IF(OR(B139="",B138=""),"",_xlfn.LET(_xlpm.pv,D138,_xlpm.ra,BIGSUB(D139,_xlpm.pv),_xlpm.rb,BIGSUB(_xlpm.ra,_xlpm.pv),_xlpm.rc,BIGSUB(_xlpm.rb,_xlpm.pv),IF(LEFT(_xlpm.rb,1)="-",_xlpm.ra,IF(LEFT(_xlpm.rc,1)="-",_xlpm.rb,_xlpm.rc))))</f>
        <v/>
      </c>
      <c r="CN139" s="38" t="str">
        <f>IF(B139="","",F139-0.5)</f>
        <v/>
      </c>
      <c r="CO139" s="15" t="str" cm="1">
        <f t="array" ref="CO139">IF(B139="","",_xlfn.TEXTJOIN("",,MID(B139,_xlfn.SEQUENCE(LEN(B139),,LEN(B139),-1),1)))</f>
        <v/>
      </c>
      <c r="CP139" s="6" t="str" cm="1">
        <f t="array" ref="CP139">IF(B139="","",BASE2DEC(CO139,16))</f>
        <v/>
      </c>
      <c r="CQ139" s="5" t="str">
        <f>IF(B139="","",IF(AND(LEN(B139)&lt;16,LEN(B139)=LEN(SUBSTITUTE(SUBSTITUTE(SUBSTITUTE(SUBSTITUTE(SUBSTITUTE(SUBSTITUTE(B139,"a",""),"b",""),"c",""),"d",""),"e",""),"f",""))),--B139,""))</f>
        <v/>
      </c>
      <c r="CR139" s="6" t="str" cm="1">
        <f t="array" ref="CR139">IF(B139="","",IF(LEN(D139)&lt;=15,BASE2DEC(D139,16),""))</f>
        <v/>
      </c>
      <c r="CS139" s="15" t="str" cm="1">
        <f t="array" ref="CS139">IF(B139="","",_xlfn.LET(_xlpm.p,REPT("0",MOD(-LEN(B139),4))&amp;B139,_xlfn.TEXTJOIN(" ",,MID(_xlpm.p,_xlfn.SEQUENCE(LEN(_xlpm.p)/4,,1,4),4))))</f>
        <v/>
      </c>
      <c r="CT139" s="15" t="str" cm="1">
        <f t="array" ref="CT139">IF(B139="","",UPPER(_xlfn.LET(_xlpm.p,REPT("0",64-LEN(B139))&amp;B139,_xlfn.TEXTJOIN(" ",,MID(_xlpm.p,_xlfn.SEQUENCE(8,,1,8),8)))))</f>
        <v/>
      </c>
      <c r="CU139" s="6" t="str" cm="1">
        <f t="array" ref="CU139">IF(B139="","",IF(LEN(D139)&lt;=6,_xlfn.LET(_xlpm.n,VALUE(D139)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39" s="39" t="s">
        <v>888</v>
      </c>
      <c r="CW139" s="39" t="s">
        <v>888</v>
      </c>
      <c r="CX139" s="39" t="s">
        <v>888</v>
      </c>
      <c r="CY139" s="7" t="s">
        <v>888</v>
      </c>
      <c r="CZ139" s="39" t="s">
        <v>888</v>
      </c>
      <c r="DA139" s="39" t="s">
        <v>888</v>
      </c>
      <c r="DB139" s="39" t="s">
        <v>888</v>
      </c>
      <c r="DC139" s="7" t="s">
        <v>888</v>
      </c>
      <c r="DD139" s="7" t="s">
        <v>888</v>
      </c>
      <c r="DE139" s="7" t="s">
        <v>888</v>
      </c>
      <c r="DF139" s="7" t="s">
        <v>888</v>
      </c>
      <c r="DG139" s="7" t="s">
        <v>888</v>
      </c>
      <c r="DH139" s="39" t="s">
        <v>888</v>
      </c>
      <c r="DI139" s="7" t="s">
        <v>888</v>
      </c>
      <c r="DJ139" s="7" t="s">
        <v>888</v>
      </c>
      <c r="DK139" s="7" t="s">
        <v>888</v>
      </c>
      <c r="DL139" s="7" t="s">
        <v>888</v>
      </c>
      <c r="DM139" s="7" t="s">
        <v>888</v>
      </c>
      <c r="DN139" s="7" t="s">
        <v>888</v>
      </c>
      <c r="DO139" s="7" t="s">
        <v>888</v>
      </c>
      <c r="DP139" s="7" t="s">
        <v>888</v>
      </c>
      <c r="DQ139" s="7" t="s">
        <v>888</v>
      </c>
      <c r="DR139" s="7" t="s">
        <v>888</v>
      </c>
      <c r="DS139" s="7" t="s">
        <v>888</v>
      </c>
      <c r="DT139" s="15" t="str" cm="1">
        <f t="array" ref="DT139">IF(B139="","",_xlfn.TEXTJOIN("",,HEX2BIN(MID(BQ139,_xlfn.SEQUENCE(40),1),4)))</f>
        <v/>
      </c>
    </row>
    <row r="140" spans="1:124" x14ac:dyDescent="0.25">
      <c r="A140" s="9">
        <v>139</v>
      </c>
      <c r="B140" s="15" t="s">
        <v>888</v>
      </c>
      <c r="C140" s="15" t="s">
        <v>888</v>
      </c>
      <c r="D140" s="6" t="s">
        <v>888</v>
      </c>
      <c r="E140" s="6" t="s">
        <v>888</v>
      </c>
      <c r="F140" s="10" t="s">
        <v>888</v>
      </c>
      <c r="G140" s="9" t="s">
        <v>888</v>
      </c>
      <c r="H140" s="9" t="s">
        <v>888</v>
      </c>
      <c r="I140" s="15" t="s">
        <v>888</v>
      </c>
      <c r="J140" s="9" t="s">
        <v>888</v>
      </c>
      <c r="K140" s="15" t="s">
        <v>888</v>
      </c>
      <c r="L140" s="15" t="s">
        <v>888</v>
      </c>
      <c r="M140" s="15" t="s">
        <v>888</v>
      </c>
      <c r="N140" s="15" t="s">
        <v>888</v>
      </c>
      <c r="O140" s="6" t="s">
        <v>888</v>
      </c>
      <c r="P140" s="15" t="s">
        <v>888</v>
      </c>
      <c r="Q140" s="15" t="s">
        <v>888</v>
      </c>
      <c r="R140" s="6" t="s">
        <v>888</v>
      </c>
      <c r="S140" s="15" t="s">
        <v>888</v>
      </c>
      <c r="T140" s="11" t="s">
        <v>888</v>
      </c>
      <c r="U140" s="10" t="s">
        <v>888</v>
      </c>
      <c r="V140" s="7" t="s">
        <v>888</v>
      </c>
      <c r="W140" s="7" t="s">
        <v>888</v>
      </c>
      <c r="X140" s="7" t="s">
        <v>888</v>
      </c>
      <c r="Y140" s="15" t="s">
        <v>888</v>
      </c>
      <c r="Z140" s="9" t="s">
        <v>888</v>
      </c>
      <c r="AA140" s="9" t="s">
        <v>888</v>
      </c>
      <c r="AB140" s="9" t="s">
        <v>888</v>
      </c>
      <c r="AC140" s="13" t="s">
        <v>888</v>
      </c>
      <c r="AD140" s="13" t="s">
        <v>888</v>
      </c>
      <c r="AE140" s="9" t="s">
        <v>888</v>
      </c>
      <c r="AF140" s="9" t="s">
        <v>888</v>
      </c>
      <c r="AG140" s="9" t="s">
        <v>888</v>
      </c>
      <c r="AH140" s="6" t="s">
        <v>888</v>
      </c>
      <c r="AI140" s="10" t="s">
        <v>888</v>
      </c>
      <c r="AJ140" s="10" t="s">
        <v>888</v>
      </c>
      <c r="AK140" s="15" t="s">
        <v>888</v>
      </c>
      <c r="AL140" s="15" t="s">
        <v>888</v>
      </c>
      <c r="AM140" s="15" t="s">
        <v>888</v>
      </c>
      <c r="AN140" s="9" t="s">
        <v>888</v>
      </c>
      <c r="AO140" s="9" t="s">
        <v>888</v>
      </c>
      <c r="AP140" s="9" t="s">
        <v>888</v>
      </c>
      <c r="AQ140" s="15" t="s">
        <v>888</v>
      </c>
      <c r="AR140" s="9" t="s">
        <v>888</v>
      </c>
      <c r="AS140" s="6" t="s">
        <v>888</v>
      </c>
      <c r="AT140" s="15" t="s">
        <v>888</v>
      </c>
      <c r="AU140" s="9" t="s">
        <v>888</v>
      </c>
      <c r="AV140" s="9" t="s">
        <v>888</v>
      </c>
      <c r="AW140" s="9" t="s">
        <v>888</v>
      </c>
      <c r="AX140" s="9" t="s">
        <v>888</v>
      </c>
      <c r="AY140" s="9" t="s">
        <v>888</v>
      </c>
      <c r="AZ140" s="9" t="s">
        <v>888</v>
      </c>
      <c r="BA140" s="6" t="s">
        <v>888</v>
      </c>
      <c r="BB140" s="6" t="s">
        <v>888</v>
      </c>
      <c r="BC140" s="6" t="s">
        <v>888</v>
      </c>
      <c r="BD140" s="15" t="s">
        <v>888</v>
      </c>
      <c r="BE140" s="15" t="s">
        <v>888</v>
      </c>
      <c r="BF140" s="15" t="s">
        <v>888</v>
      </c>
      <c r="BG140" s="15" t="s">
        <v>888</v>
      </c>
      <c r="BH140" s="6" t="s">
        <v>888</v>
      </c>
      <c r="BI140" s="17" t="s">
        <v>888</v>
      </c>
      <c r="BJ140" s="7" t="s">
        <v>888</v>
      </c>
      <c r="BK140" s="7" t="s">
        <v>888</v>
      </c>
      <c r="BL140" s="7" t="s">
        <v>888</v>
      </c>
      <c r="BM140" s="16" t="s">
        <v>888</v>
      </c>
      <c r="BN140" s="16" t="s">
        <v>888</v>
      </c>
      <c r="BO140" s="16" t="s">
        <v>888</v>
      </c>
      <c r="BP140" s="16" t="s">
        <v>888</v>
      </c>
      <c r="BQ140" s="16" t="s">
        <v>888</v>
      </c>
      <c r="BR140" s="7" t="s">
        <v>888</v>
      </c>
      <c r="BS140" s="7" t="s">
        <v>888</v>
      </c>
      <c r="BT140" s="7" t="s">
        <v>888</v>
      </c>
      <c r="BU140" s="14" t="s">
        <v>888</v>
      </c>
      <c r="BV140" s="15" t="s">
        <v>888</v>
      </c>
      <c r="BW140" s="9" t="s">
        <v>888</v>
      </c>
      <c r="BX140" s="9" t="s">
        <v>888</v>
      </c>
      <c r="BY140" s="13" t="s">
        <v>888</v>
      </c>
      <c r="BZ140" s="13" t="s">
        <v>888</v>
      </c>
      <c r="CA140" s="12" t="str">
        <f>IF(B140="","",IF(A140&lt;8,"",_xlfn.LET(_xlpm.n,A140,_xlpm.k,G140,_xlpm.R,AP140,_xlpm.mu,1+2*_xlpm.k*(_xlpm.n-_xlpm.k)/_xlpm.n,_xlpm.v,2*_xlpm.k*(_xlpm.n-_xlpm.k)*(2*_xlpm.k*(_xlpm.n-_xlpm.k)-_xlpm.n)/(_xlpm.n^2*(_xlpm.n-1)),IF(_xlpm.v&lt;=0,"",(_xlpm.R-_xlpm.mu)/SQRT(_xlpm.v)))))</f>
        <v/>
      </c>
      <c r="CB140" s="37" t="str" cm="1">
        <f t="array" ref="CB140">IF(B140="","",IF(A140&lt;8,"",_xlfn.LET(_xlpm.b,--MID(C140,_xlfn.SEQUENCE(A140-1),1),_xlpm.c,--MID(C140,_xlfn.SEQUENCE(A140-1,,2),1),IFERROR(CORREL(_xlpm.b,_xlpm.c),""))))</f>
        <v/>
      </c>
      <c r="CC140" s="8" t="str">
        <f>IF(B140="","",LOG(A140,2))</f>
        <v/>
      </c>
      <c r="CD140" s="8" t="str">
        <f>IF(B140="","",MAX(AN140,AO140)-CC140)</f>
        <v/>
      </c>
      <c r="CE140" s="8" t="str" cm="1">
        <f t="array" ref="CE140">IF(B140="","",IF(LEN(B140)&lt;16,"",_xlfn.LET(_xlpm.d,MID("0123456789abcdef",_xlfn.SEQUENCE(16),1),_xlpm.c,LEN(B140)-LEN(SUBSTITUTE(B140,_xlpm.d,"")),_xlpm.ex,LEN(B140)/16,SUM((_xlpm.c-_xlpm.ex)^2/_xlpm.ex))))</f>
        <v/>
      </c>
      <c r="CF140" s="37" t="str">
        <f>IF(CE140="","",_xlfn.CHISQ.DIST.RT(CE140,15))</f>
        <v/>
      </c>
      <c r="CG140" s="9" t="str" cm="1">
        <f t="array" ref="CG140">IF(OR(B140="",B139=""),"",_xlfn.LET(_xlpm.a,C140,_xlpm.b,REPT("0",A140-LEN(C139))&amp;C139,_xlpm.m,MID(_xlpm.a,_xlfn.SEQUENCE(A140),1)=MID(_xlpm.b,_xlfn.SEQUENCE(A140),1),IFERROR(MATCH(FALSE,_xlpm.m,0)-1,A140)))</f>
        <v/>
      </c>
      <c r="CH140" s="9" t="str" cm="1">
        <f t="array" ref="CH140">IF(OR(B140="",B139=""),"",_xlfn.LET(_xlpm.a,C140,_xlpm.b,REPT("0",A140-LEN(C139))&amp;C139,_xlpm.n,A140,_xlpm.m,MID(_xlpm.a,_xlfn.SEQUENCE(_xlpm.n,,_xlpm.n,-1),1)=MID(_xlpm.b,_xlfn.SEQUENCE(_xlpm.n,,_xlpm.n,-1),1),IFERROR(MATCH(FALSE,_xlpm.m,0)-1,_xlpm.n)))</f>
        <v/>
      </c>
      <c r="CI140" s="38" t="str">
        <f>IF(OR(B140="",B139=""),"",F140-F139)</f>
        <v/>
      </c>
      <c r="CJ140" s="5" t="str">
        <f>IF(OR(B140="",B139=""),"",IFERROR(FIND(B139,B140)&gt;0,FALSE))</f>
        <v/>
      </c>
      <c r="CK140" s="5" t="str">
        <f>IF(OR(B140="",B139=""),"",IFERROR(FIND(C139,C140)&gt;0,FALSE))</f>
        <v/>
      </c>
      <c r="CL140" s="9" t="str">
        <f>IF(OR(B140="",B139=""),"",IFERROR(FIND(C139,C140),""))</f>
        <v/>
      </c>
      <c r="CM140" s="6" t="str" cm="1">
        <f t="array" ref="CM140">IF(OR(B140="",B139=""),"",_xlfn.LET(_xlpm.pv,D139,_xlpm.ra,BIGSUB(D140,_xlpm.pv),_xlpm.rb,BIGSUB(_xlpm.ra,_xlpm.pv),_xlpm.rc,BIGSUB(_xlpm.rb,_xlpm.pv),IF(LEFT(_xlpm.rb,1)="-",_xlpm.ra,IF(LEFT(_xlpm.rc,1)="-",_xlpm.rb,_xlpm.rc))))</f>
        <v/>
      </c>
      <c r="CN140" s="38" t="str">
        <f>IF(B140="","",F140-0.5)</f>
        <v/>
      </c>
      <c r="CO140" s="15" t="str" cm="1">
        <f t="array" ref="CO140">IF(B140="","",_xlfn.TEXTJOIN("",,MID(B140,_xlfn.SEQUENCE(LEN(B140),,LEN(B140),-1),1)))</f>
        <v/>
      </c>
      <c r="CP140" s="6" t="str" cm="1">
        <f t="array" ref="CP140">IF(B140="","",BASE2DEC(CO140,16))</f>
        <v/>
      </c>
      <c r="CQ140" s="5" t="str">
        <f>IF(B140="","",IF(AND(LEN(B140)&lt;16,LEN(B140)=LEN(SUBSTITUTE(SUBSTITUTE(SUBSTITUTE(SUBSTITUTE(SUBSTITUTE(SUBSTITUTE(B140,"a",""),"b",""),"c",""),"d",""),"e",""),"f",""))),--B140,""))</f>
        <v/>
      </c>
      <c r="CR140" s="6" t="str" cm="1">
        <f t="array" ref="CR140">IF(B140="","",IF(LEN(D140)&lt;=15,BASE2DEC(D140,16),""))</f>
        <v/>
      </c>
      <c r="CS140" s="15" t="str" cm="1">
        <f t="array" ref="CS140">IF(B140="","",_xlfn.LET(_xlpm.p,REPT("0",MOD(-LEN(B140),4))&amp;B140,_xlfn.TEXTJOIN(" ",,MID(_xlpm.p,_xlfn.SEQUENCE(LEN(_xlpm.p)/4,,1,4),4))))</f>
        <v/>
      </c>
      <c r="CT140" s="15" t="str" cm="1">
        <f t="array" ref="CT140">IF(B140="","",UPPER(_xlfn.LET(_xlpm.p,REPT("0",64-LEN(B140))&amp;B140,_xlfn.TEXTJOIN(" ",,MID(_xlpm.p,_xlfn.SEQUENCE(8,,1,8),8)))))</f>
        <v/>
      </c>
      <c r="CU140" s="6" t="str" cm="1">
        <f t="array" ref="CU140">IF(B140="","",IF(LEN(D140)&lt;=6,_xlfn.LET(_xlpm.n,VALUE(D140)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0" s="39" t="s">
        <v>888</v>
      </c>
      <c r="CW140" s="39" t="s">
        <v>888</v>
      </c>
      <c r="CX140" s="39" t="s">
        <v>888</v>
      </c>
      <c r="CY140" s="7" t="s">
        <v>888</v>
      </c>
      <c r="CZ140" s="39" t="s">
        <v>888</v>
      </c>
      <c r="DA140" s="39" t="s">
        <v>888</v>
      </c>
      <c r="DB140" s="39" t="s">
        <v>888</v>
      </c>
      <c r="DC140" s="7" t="s">
        <v>888</v>
      </c>
      <c r="DD140" s="7" t="s">
        <v>888</v>
      </c>
      <c r="DE140" s="7" t="s">
        <v>888</v>
      </c>
      <c r="DF140" s="7" t="s">
        <v>888</v>
      </c>
      <c r="DG140" s="7" t="s">
        <v>888</v>
      </c>
      <c r="DH140" s="39" t="s">
        <v>888</v>
      </c>
      <c r="DI140" s="7" t="s">
        <v>888</v>
      </c>
      <c r="DJ140" s="7" t="s">
        <v>888</v>
      </c>
      <c r="DK140" s="7" t="s">
        <v>888</v>
      </c>
      <c r="DL140" s="7" t="s">
        <v>888</v>
      </c>
      <c r="DM140" s="7" t="s">
        <v>888</v>
      </c>
      <c r="DN140" s="7" t="s">
        <v>888</v>
      </c>
      <c r="DO140" s="7" t="s">
        <v>888</v>
      </c>
      <c r="DP140" s="7" t="s">
        <v>888</v>
      </c>
      <c r="DQ140" s="7" t="s">
        <v>888</v>
      </c>
      <c r="DR140" s="7" t="s">
        <v>888</v>
      </c>
      <c r="DS140" s="7" t="s">
        <v>888</v>
      </c>
      <c r="DT140" s="15" t="str" cm="1">
        <f t="array" ref="DT140">IF(B140="","",_xlfn.TEXTJOIN("",,HEX2BIN(MID(BQ140,_xlfn.SEQUENCE(40),1),4)))</f>
        <v/>
      </c>
    </row>
    <row r="141" spans="1:124" x14ac:dyDescent="0.25">
      <c r="A141" s="9">
        <v>140</v>
      </c>
      <c r="B141" s="15" t="s">
        <v>888</v>
      </c>
      <c r="C141" s="15" t="s">
        <v>888</v>
      </c>
      <c r="D141" s="6" t="s">
        <v>888</v>
      </c>
      <c r="E141" s="6" t="s">
        <v>888</v>
      </c>
      <c r="F141" s="10" t="s">
        <v>888</v>
      </c>
      <c r="G141" s="9" t="s">
        <v>888</v>
      </c>
      <c r="H141" s="9" t="s">
        <v>888</v>
      </c>
      <c r="I141" s="15" t="s">
        <v>888</v>
      </c>
      <c r="J141" s="9" t="s">
        <v>888</v>
      </c>
      <c r="K141" s="15" t="s">
        <v>888</v>
      </c>
      <c r="L141" s="15" t="s">
        <v>888</v>
      </c>
      <c r="M141" s="15" t="s">
        <v>888</v>
      </c>
      <c r="N141" s="15" t="s">
        <v>888</v>
      </c>
      <c r="O141" s="6" t="s">
        <v>888</v>
      </c>
      <c r="P141" s="15" t="s">
        <v>888</v>
      </c>
      <c r="Q141" s="15" t="s">
        <v>888</v>
      </c>
      <c r="R141" s="6" t="s">
        <v>888</v>
      </c>
      <c r="S141" s="15" t="s">
        <v>888</v>
      </c>
      <c r="T141" s="11" t="s">
        <v>888</v>
      </c>
      <c r="U141" s="10" t="s">
        <v>888</v>
      </c>
      <c r="V141" s="7" t="s">
        <v>888</v>
      </c>
      <c r="W141" s="7" t="s">
        <v>888</v>
      </c>
      <c r="X141" s="7" t="s">
        <v>888</v>
      </c>
      <c r="Y141" s="15" t="s">
        <v>888</v>
      </c>
      <c r="Z141" s="9" t="s">
        <v>888</v>
      </c>
      <c r="AA141" s="9" t="s">
        <v>888</v>
      </c>
      <c r="AB141" s="9" t="s">
        <v>888</v>
      </c>
      <c r="AC141" s="13" t="s">
        <v>888</v>
      </c>
      <c r="AD141" s="13" t="s">
        <v>888</v>
      </c>
      <c r="AE141" s="9" t="s">
        <v>888</v>
      </c>
      <c r="AF141" s="9" t="s">
        <v>888</v>
      </c>
      <c r="AG141" s="9" t="s">
        <v>888</v>
      </c>
      <c r="AH141" s="6" t="s">
        <v>888</v>
      </c>
      <c r="AI141" s="10" t="s">
        <v>888</v>
      </c>
      <c r="AJ141" s="10" t="s">
        <v>888</v>
      </c>
      <c r="AK141" s="15" t="s">
        <v>888</v>
      </c>
      <c r="AL141" s="15" t="s">
        <v>888</v>
      </c>
      <c r="AM141" s="15" t="s">
        <v>888</v>
      </c>
      <c r="AN141" s="9" t="s">
        <v>888</v>
      </c>
      <c r="AO141" s="9" t="s">
        <v>888</v>
      </c>
      <c r="AP141" s="9" t="s">
        <v>888</v>
      </c>
      <c r="AQ141" s="15" t="s">
        <v>888</v>
      </c>
      <c r="AR141" s="9" t="s">
        <v>888</v>
      </c>
      <c r="AS141" s="6" t="s">
        <v>888</v>
      </c>
      <c r="AT141" s="15" t="s">
        <v>888</v>
      </c>
      <c r="AU141" s="9" t="s">
        <v>888</v>
      </c>
      <c r="AV141" s="9" t="s">
        <v>888</v>
      </c>
      <c r="AW141" s="9" t="s">
        <v>888</v>
      </c>
      <c r="AX141" s="9" t="s">
        <v>888</v>
      </c>
      <c r="AY141" s="9" t="s">
        <v>888</v>
      </c>
      <c r="AZ141" s="9" t="s">
        <v>888</v>
      </c>
      <c r="BA141" s="6" t="s">
        <v>888</v>
      </c>
      <c r="BB141" s="6" t="s">
        <v>888</v>
      </c>
      <c r="BC141" s="6" t="s">
        <v>888</v>
      </c>
      <c r="BD141" s="15" t="s">
        <v>888</v>
      </c>
      <c r="BE141" s="15" t="s">
        <v>888</v>
      </c>
      <c r="BF141" s="15" t="s">
        <v>888</v>
      </c>
      <c r="BG141" s="15" t="s">
        <v>888</v>
      </c>
      <c r="BH141" s="6" t="s">
        <v>888</v>
      </c>
      <c r="BI141" s="17" t="s">
        <v>888</v>
      </c>
      <c r="BJ141" s="7" t="s">
        <v>888</v>
      </c>
      <c r="BK141" s="7" t="s">
        <v>888</v>
      </c>
      <c r="BL141" s="7" t="s">
        <v>888</v>
      </c>
      <c r="BM141" s="16" t="s">
        <v>888</v>
      </c>
      <c r="BN141" s="16" t="s">
        <v>888</v>
      </c>
      <c r="BO141" s="16" t="s">
        <v>888</v>
      </c>
      <c r="BP141" s="16" t="s">
        <v>888</v>
      </c>
      <c r="BQ141" s="16" t="s">
        <v>888</v>
      </c>
      <c r="BR141" s="7" t="s">
        <v>888</v>
      </c>
      <c r="BS141" s="7" t="s">
        <v>888</v>
      </c>
      <c r="BT141" s="7" t="s">
        <v>888</v>
      </c>
      <c r="BU141" s="14" t="s">
        <v>888</v>
      </c>
      <c r="BV141" s="15" t="s">
        <v>888</v>
      </c>
      <c r="BW141" s="9" t="s">
        <v>888</v>
      </c>
      <c r="BX141" s="9" t="s">
        <v>888</v>
      </c>
      <c r="BY141" s="13" t="s">
        <v>888</v>
      </c>
      <c r="BZ141" s="13" t="s">
        <v>888</v>
      </c>
      <c r="CA141" s="12" t="str">
        <f>IF(B141="","",IF(A141&lt;8,"",_xlfn.LET(_xlpm.n,A141,_xlpm.k,G141,_xlpm.R,AP141,_xlpm.mu,1+2*_xlpm.k*(_xlpm.n-_xlpm.k)/_xlpm.n,_xlpm.v,2*_xlpm.k*(_xlpm.n-_xlpm.k)*(2*_xlpm.k*(_xlpm.n-_xlpm.k)-_xlpm.n)/(_xlpm.n^2*(_xlpm.n-1)),IF(_xlpm.v&lt;=0,"",(_xlpm.R-_xlpm.mu)/SQRT(_xlpm.v)))))</f>
        <v/>
      </c>
      <c r="CB141" s="37" t="str" cm="1">
        <f t="array" ref="CB141">IF(B141="","",IF(A141&lt;8,"",_xlfn.LET(_xlpm.b,--MID(C141,_xlfn.SEQUENCE(A141-1),1),_xlpm.c,--MID(C141,_xlfn.SEQUENCE(A141-1,,2),1),IFERROR(CORREL(_xlpm.b,_xlpm.c),""))))</f>
        <v/>
      </c>
      <c r="CC141" s="8" t="str">
        <f>IF(B141="","",LOG(A141,2))</f>
        <v/>
      </c>
      <c r="CD141" s="8" t="str">
        <f>IF(B141="","",MAX(AN141,AO141)-CC141)</f>
        <v/>
      </c>
      <c r="CE141" s="8" t="str" cm="1">
        <f t="array" ref="CE141">IF(B141="","",IF(LEN(B141)&lt;16,"",_xlfn.LET(_xlpm.d,MID("0123456789abcdef",_xlfn.SEQUENCE(16),1),_xlpm.c,LEN(B141)-LEN(SUBSTITUTE(B141,_xlpm.d,"")),_xlpm.ex,LEN(B141)/16,SUM((_xlpm.c-_xlpm.ex)^2/_xlpm.ex))))</f>
        <v/>
      </c>
      <c r="CF141" s="37" t="str">
        <f>IF(CE141="","",_xlfn.CHISQ.DIST.RT(CE141,15))</f>
        <v/>
      </c>
      <c r="CG141" s="9" t="str" cm="1">
        <f t="array" ref="CG141">IF(OR(B141="",B140=""),"",_xlfn.LET(_xlpm.a,C141,_xlpm.b,REPT("0",A141-LEN(C140))&amp;C140,_xlpm.m,MID(_xlpm.a,_xlfn.SEQUENCE(A141),1)=MID(_xlpm.b,_xlfn.SEQUENCE(A141),1),IFERROR(MATCH(FALSE,_xlpm.m,0)-1,A141)))</f>
        <v/>
      </c>
      <c r="CH141" s="9" t="str" cm="1">
        <f t="array" ref="CH141">IF(OR(B141="",B140=""),"",_xlfn.LET(_xlpm.a,C141,_xlpm.b,REPT("0",A141-LEN(C140))&amp;C140,_xlpm.n,A141,_xlpm.m,MID(_xlpm.a,_xlfn.SEQUENCE(_xlpm.n,,_xlpm.n,-1),1)=MID(_xlpm.b,_xlfn.SEQUENCE(_xlpm.n,,_xlpm.n,-1),1),IFERROR(MATCH(FALSE,_xlpm.m,0)-1,_xlpm.n)))</f>
        <v/>
      </c>
      <c r="CI141" s="38" t="str">
        <f>IF(OR(B141="",B140=""),"",F141-F140)</f>
        <v/>
      </c>
      <c r="CJ141" s="5" t="str">
        <f>IF(OR(B141="",B140=""),"",IFERROR(FIND(B140,B141)&gt;0,FALSE))</f>
        <v/>
      </c>
      <c r="CK141" s="5" t="str">
        <f>IF(OR(B141="",B140=""),"",IFERROR(FIND(C140,C141)&gt;0,FALSE))</f>
        <v/>
      </c>
      <c r="CL141" s="9" t="str">
        <f>IF(OR(B141="",B140=""),"",IFERROR(FIND(C140,C141),""))</f>
        <v/>
      </c>
      <c r="CM141" s="6" t="str" cm="1">
        <f t="array" ref="CM141">IF(OR(B141="",B140=""),"",_xlfn.LET(_xlpm.pv,D140,_xlpm.ra,BIGSUB(D141,_xlpm.pv),_xlpm.rb,BIGSUB(_xlpm.ra,_xlpm.pv),_xlpm.rc,BIGSUB(_xlpm.rb,_xlpm.pv),IF(LEFT(_xlpm.rb,1)="-",_xlpm.ra,IF(LEFT(_xlpm.rc,1)="-",_xlpm.rb,_xlpm.rc))))</f>
        <v/>
      </c>
      <c r="CN141" s="38" t="str">
        <f>IF(B141="","",F141-0.5)</f>
        <v/>
      </c>
      <c r="CO141" s="15" t="str" cm="1">
        <f t="array" ref="CO141">IF(B141="","",_xlfn.TEXTJOIN("",,MID(B141,_xlfn.SEQUENCE(LEN(B141),,LEN(B141),-1),1)))</f>
        <v/>
      </c>
      <c r="CP141" s="6" t="str" cm="1">
        <f t="array" ref="CP141">IF(B141="","",BASE2DEC(CO141,16))</f>
        <v/>
      </c>
      <c r="CQ141" s="5" t="str">
        <f>IF(B141="","",IF(AND(LEN(B141)&lt;16,LEN(B141)=LEN(SUBSTITUTE(SUBSTITUTE(SUBSTITUTE(SUBSTITUTE(SUBSTITUTE(SUBSTITUTE(B141,"a",""),"b",""),"c",""),"d",""),"e",""),"f",""))),--B141,""))</f>
        <v/>
      </c>
      <c r="CR141" s="6" t="str" cm="1">
        <f t="array" ref="CR141">IF(B141="","",IF(LEN(D141)&lt;=15,BASE2DEC(D141,16),""))</f>
        <v/>
      </c>
      <c r="CS141" s="15" t="str" cm="1">
        <f t="array" ref="CS141">IF(B141="","",_xlfn.LET(_xlpm.p,REPT("0",MOD(-LEN(B141),4))&amp;B141,_xlfn.TEXTJOIN(" ",,MID(_xlpm.p,_xlfn.SEQUENCE(LEN(_xlpm.p)/4,,1,4),4))))</f>
        <v/>
      </c>
      <c r="CT141" s="15" t="str" cm="1">
        <f t="array" ref="CT141">IF(B141="","",UPPER(_xlfn.LET(_xlpm.p,REPT("0",64-LEN(B141))&amp;B141,_xlfn.TEXTJOIN(" ",,MID(_xlpm.p,_xlfn.SEQUENCE(8,,1,8),8)))))</f>
        <v/>
      </c>
      <c r="CU141" s="6" t="str" cm="1">
        <f t="array" ref="CU141">IF(B141="","",IF(LEN(D141)&lt;=6,_xlfn.LET(_xlpm.n,VALUE(D141)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1" s="39" t="s">
        <v>888</v>
      </c>
      <c r="CW141" s="39" t="s">
        <v>888</v>
      </c>
      <c r="CX141" s="39" t="s">
        <v>888</v>
      </c>
      <c r="CY141" s="7" t="s">
        <v>888</v>
      </c>
      <c r="CZ141" s="39" t="s">
        <v>888</v>
      </c>
      <c r="DA141" s="39" t="s">
        <v>888</v>
      </c>
      <c r="DB141" s="39" t="s">
        <v>888</v>
      </c>
      <c r="DC141" s="7" t="s">
        <v>888</v>
      </c>
      <c r="DD141" s="7" t="s">
        <v>888</v>
      </c>
      <c r="DE141" s="7" t="s">
        <v>888</v>
      </c>
      <c r="DF141" s="7" t="s">
        <v>888</v>
      </c>
      <c r="DG141" s="7" t="s">
        <v>888</v>
      </c>
      <c r="DH141" s="39" t="s">
        <v>888</v>
      </c>
      <c r="DI141" s="7" t="s">
        <v>888</v>
      </c>
      <c r="DJ141" s="7" t="s">
        <v>888</v>
      </c>
      <c r="DK141" s="7" t="s">
        <v>888</v>
      </c>
      <c r="DL141" s="7" t="s">
        <v>888</v>
      </c>
      <c r="DM141" s="7" t="s">
        <v>888</v>
      </c>
      <c r="DN141" s="7" t="s">
        <v>888</v>
      </c>
      <c r="DO141" s="7" t="s">
        <v>888</v>
      </c>
      <c r="DP141" s="7" t="s">
        <v>888</v>
      </c>
      <c r="DQ141" s="7" t="s">
        <v>888</v>
      </c>
      <c r="DR141" s="7" t="s">
        <v>888</v>
      </c>
      <c r="DS141" s="7" t="s">
        <v>5838</v>
      </c>
      <c r="DT141" s="15" t="str" cm="1">
        <f t="array" ref="DT141">IF(B141="","",_xlfn.TEXTJOIN("",,HEX2BIN(MID(BQ141,_xlfn.SEQUENCE(40),1),4)))</f>
        <v/>
      </c>
    </row>
    <row r="142" spans="1:124" x14ac:dyDescent="0.25">
      <c r="A142" s="9">
        <v>141</v>
      </c>
      <c r="B142" s="15" t="s">
        <v>888</v>
      </c>
      <c r="C142" s="15" t="s">
        <v>888</v>
      </c>
      <c r="D142" s="6" t="s">
        <v>888</v>
      </c>
      <c r="E142" s="6" t="s">
        <v>888</v>
      </c>
      <c r="F142" s="10" t="s">
        <v>888</v>
      </c>
      <c r="G142" s="9" t="s">
        <v>888</v>
      </c>
      <c r="H142" s="9" t="s">
        <v>888</v>
      </c>
      <c r="I142" s="15" t="s">
        <v>888</v>
      </c>
      <c r="J142" s="9" t="s">
        <v>888</v>
      </c>
      <c r="K142" s="15" t="s">
        <v>888</v>
      </c>
      <c r="L142" s="15" t="s">
        <v>888</v>
      </c>
      <c r="M142" s="15" t="s">
        <v>888</v>
      </c>
      <c r="N142" s="15" t="s">
        <v>888</v>
      </c>
      <c r="O142" s="6" t="s">
        <v>888</v>
      </c>
      <c r="P142" s="15" t="s">
        <v>888</v>
      </c>
      <c r="Q142" s="15" t="s">
        <v>888</v>
      </c>
      <c r="R142" s="6" t="s">
        <v>888</v>
      </c>
      <c r="S142" s="15" t="s">
        <v>888</v>
      </c>
      <c r="T142" s="11" t="s">
        <v>888</v>
      </c>
      <c r="U142" s="10" t="s">
        <v>888</v>
      </c>
      <c r="V142" s="7" t="s">
        <v>888</v>
      </c>
      <c r="W142" s="7" t="s">
        <v>888</v>
      </c>
      <c r="X142" s="7" t="s">
        <v>888</v>
      </c>
      <c r="Y142" s="15" t="s">
        <v>888</v>
      </c>
      <c r="Z142" s="9" t="s">
        <v>888</v>
      </c>
      <c r="AA142" s="9" t="s">
        <v>888</v>
      </c>
      <c r="AB142" s="9" t="s">
        <v>888</v>
      </c>
      <c r="AC142" s="13" t="s">
        <v>888</v>
      </c>
      <c r="AD142" s="13" t="s">
        <v>888</v>
      </c>
      <c r="AE142" s="9" t="s">
        <v>888</v>
      </c>
      <c r="AF142" s="9" t="s">
        <v>888</v>
      </c>
      <c r="AG142" s="9" t="s">
        <v>888</v>
      </c>
      <c r="AH142" s="6" t="s">
        <v>888</v>
      </c>
      <c r="AI142" s="10" t="s">
        <v>888</v>
      </c>
      <c r="AJ142" s="10" t="s">
        <v>888</v>
      </c>
      <c r="AK142" s="15" t="s">
        <v>888</v>
      </c>
      <c r="AL142" s="15" t="s">
        <v>888</v>
      </c>
      <c r="AM142" s="15" t="s">
        <v>888</v>
      </c>
      <c r="AN142" s="9" t="s">
        <v>888</v>
      </c>
      <c r="AO142" s="9" t="s">
        <v>888</v>
      </c>
      <c r="AP142" s="9" t="s">
        <v>888</v>
      </c>
      <c r="AQ142" s="15" t="s">
        <v>888</v>
      </c>
      <c r="AR142" s="9" t="s">
        <v>888</v>
      </c>
      <c r="AS142" s="6" t="s">
        <v>888</v>
      </c>
      <c r="AT142" s="15" t="s">
        <v>888</v>
      </c>
      <c r="AU142" s="9" t="s">
        <v>888</v>
      </c>
      <c r="AV142" s="9" t="s">
        <v>888</v>
      </c>
      <c r="AW142" s="9" t="s">
        <v>888</v>
      </c>
      <c r="AX142" s="9" t="s">
        <v>888</v>
      </c>
      <c r="AY142" s="9" t="s">
        <v>888</v>
      </c>
      <c r="AZ142" s="9" t="s">
        <v>888</v>
      </c>
      <c r="BA142" s="6" t="s">
        <v>888</v>
      </c>
      <c r="BB142" s="6" t="s">
        <v>888</v>
      </c>
      <c r="BC142" s="6" t="s">
        <v>888</v>
      </c>
      <c r="BD142" s="15" t="s">
        <v>888</v>
      </c>
      <c r="BE142" s="15" t="s">
        <v>888</v>
      </c>
      <c r="BF142" s="15" t="s">
        <v>888</v>
      </c>
      <c r="BG142" s="15" t="s">
        <v>888</v>
      </c>
      <c r="BH142" s="6" t="s">
        <v>888</v>
      </c>
      <c r="BI142" s="17" t="s">
        <v>888</v>
      </c>
      <c r="BJ142" s="7" t="s">
        <v>888</v>
      </c>
      <c r="BK142" s="7" t="s">
        <v>888</v>
      </c>
      <c r="BL142" s="7" t="s">
        <v>888</v>
      </c>
      <c r="BM142" s="16" t="s">
        <v>888</v>
      </c>
      <c r="BN142" s="16" t="s">
        <v>888</v>
      </c>
      <c r="BO142" s="16" t="s">
        <v>888</v>
      </c>
      <c r="BP142" s="16" t="s">
        <v>888</v>
      </c>
      <c r="BQ142" s="16" t="s">
        <v>888</v>
      </c>
      <c r="BR142" s="7" t="s">
        <v>888</v>
      </c>
      <c r="BS142" s="7" t="s">
        <v>888</v>
      </c>
      <c r="BT142" s="7" t="s">
        <v>888</v>
      </c>
      <c r="BU142" s="14" t="s">
        <v>888</v>
      </c>
      <c r="BV142" s="15" t="s">
        <v>888</v>
      </c>
      <c r="BW142" s="9" t="s">
        <v>888</v>
      </c>
      <c r="BX142" s="9" t="s">
        <v>888</v>
      </c>
      <c r="BY142" s="13" t="s">
        <v>888</v>
      </c>
      <c r="BZ142" s="13" t="s">
        <v>888</v>
      </c>
      <c r="CA142" s="12" t="str">
        <f>IF(B142="","",IF(A142&lt;8,"",_xlfn.LET(_xlpm.n,A142,_xlpm.k,G142,_xlpm.R,AP142,_xlpm.mu,1+2*_xlpm.k*(_xlpm.n-_xlpm.k)/_xlpm.n,_xlpm.v,2*_xlpm.k*(_xlpm.n-_xlpm.k)*(2*_xlpm.k*(_xlpm.n-_xlpm.k)-_xlpm.n)/(_xlpm.n^2*(_xlpm.n-1)),IF(_xlpm.v&lt;=0,"",(_xlpm.R-_xlpm.mu)/SQRT(_xlpm.v)))))</f>
        <v/>
      </c>
      <c r="CB142" s="37" t="str" cm="1">
        <f t="array" ref="CB142">IF(B142="","",IF(A142&lt;8,"",_xlfn.LET(_xlpm.b,--MID(C142,_xlfn.SEQUENCE(A142-1),1),_xlpm.c,--MID(C142,_xlfn.SEQUENCE(A142-1,,2),1),IFERROR(CORREL(_xlpm.b,_xlpm.c),""))))</f>
        <v/>
      </c>
      <c r="CC142" s="8" t="str">
        <f>IF(B142="","",LOG(A142,2))</f>
        <v/>
      </c>
      <c r="CD142" s="8" t="str">
        <f>IF(B142="","",MAX(AN142,AO142)-CC142)</f>
        <v/>
      </c>
      <c r="CE142" s="8" t="str" cm="1">
        <f t="array" ref="CE142">IF(B142="","",IF(LEN(B142)&lt;16,"",_xlfn.LET(_xlpm.d,MID("0123456789abcdef",_xlfn.SEQUENCE(16),1),_xlpm.c,LEN(B142)-LEN(SUBSTITUTE(B142,_xlpm.d,"")),_xlpm.ex,LEN(B142)/16,SUM((_xlpm.c-_xlpm.ex)^2/_xlpm.ex))))</f>
        <v/>
      </c>
      <c r="CF142" s="37" t="str">
        <f>IF(CE142="","",_xlfn.CHISQ.DIST.RT(CE142,15))</f>
        <v/>
      </c>
      <c r="CG142" s="9" t="str" cm="1">
        <f t="array" ref="CG142">IF(OR(B142="",B141=""),"",_xlfn.LET(_xlpm.a,C142,_xlpm.b,REPT("0",A142-LEN(C141))&amp;C141,_xlpm.m,MID(_xlpm.a,_xlfn.SEQUENCE(A142),1)=MID(_xlpm.b,_xlfn.SEQUENCE(A142),1),IFERROR(MATCH(FALSE,_xlpm.m,0)-1,A142)))</f>
        <v/>
      </c>
      <c r="CH142" s="9" t="str" cm="1">
        <f t="array" ref="CH142">IF(OR(B142="",B141=""),"",_xlfn.LET(_xlpm.a,C142,_xlpm.b,REPT("0",A142-LEN(C141))&amp;C141,_xlpm.n,A142,_xlpm.m,MID(_xlpm.a,_xlfn.SEQUENCE(_xlpm.n,,_xlpm.n,-1),1)=MID(_xlpm.b,_xlfn.SEQUENCE(_xlpm.n,,_xlpm.n,-1),1),IFERROR(MATCH(FALSE,_xlpm.m,0)-1,_xlpm.n)))</f>
        <v/>
      </c>
      <c r="CI142" s="38" t="str">
        <f>IF(OR(B142="",B141=""),"",F142-F141)</f>
        <v/>
      </c>
      <c r="CJ142" s="5" t="str">
        <f>IF(OR(B142="",B141=""),"",IFERROR(FIND(B141,B142)&gt;0,FALSE))</f>
        <v/>
      </c>
      <c r="CK142" s="5" t="str">
        <f>IF(OR(B142="",B141=""),"",IFERROR(FIND(C141,C142)&gt;0,FALSE))</f>
        <v/>
      </c>
      <c r="CL142" s="9" t="str">
        <f>IF(OR(B142="",B141=""),"",IFERROR(FIND(C141,C142),""))</f>
        <v/>
      </c>
      <c r="CM142" s="6" t="str" cm="1">
        <f t="array" ref="CM142">IF(OR(B142="",B141=""),"",_xlfn.LET(_xlpm.pv,D141,_xlpm.ra,BIGSUB(D142,_xlpm.pv),_xlpm.rb,BIGSUB(_xlpm.ra,_xlpm.pv),_xlpm.rc,BIGSUB(_xlpm.rb,_xlpm.pv),IF(LEFT(_xlpm.rb,1)="-",_xlpm.ra,IF(LEFT(_xlpm.rc,1)="-",_xlpm.rb,_xlpm.rc))))</f>
        <v/>
      </c>
      <c r="CN142" s="38" t="str">
        <f>IF(B142="","",F142-0.5)</f>
        <v/>
      </c>
      <c r="CO142" s="15" t="str" cm="1">
        <f t="array" ref="CO142">IF(B142="","",_xlfn.TEXTJOIN("",,MID(B142,_xlfn.SEQUENCE(LEN(B142),,LEN(B142),-1),1)))</f>
        <v/>
      </c>
      <c r="CP142" s="6" t="str" cm="1">
        <f t="array" ref="CP142">IF(B142="","",BASE2DEC(CO142,16))</f>
        <v/>
      </c>
      <c r="CQ142" s="5" t="str">
        <f>IF(B142="","",IF(AND(LEN(B142)&lt;16,LEN(B142)=LEN(SUBSTITUTE(SUBSTITUTE(SUBSTITUTE(SUBSTITUTE(SUBSTITUTE(SUBSTITUTE(B142,"a",""),"b",""),"c",""),"d",""),"e",""),"f",""))),--B142,""))</f>
        <v/>
      </c>
      <c r="CR142" s="6" t="str" cm="1">
        <f t="array" ref="CR142">IF(B142="","",IF(LEN(D142)&lt;=15,BASE2DEC(D142,16),""))</f>
        <v/>
      </c>
      <c r="CS142" s="15" t="str" cm="1">
        <f t="array" ref="CS142">IF(B142="","",_xlfn.LET(_xlpm.p,REPT("0",MOD(-LEN(B142),4))&amp;B142,_xlfn.TEXTJOIN(" ",,MID(_xlpm.p,_xlfn.SEQUENCE(LEN(_xlpm.p)/4,,1,4),4))))</f>
        <v/>
      </c>
      <c r="CT142" s="15" t="str" cm="1">
        <f t="array" ref="CT142">IF(B142="","",UPPER(_xlfn.LET(_xlpm.p,REPT("0",64-LEN(B142))&amp;B142,_xlfn.TEXTJOIN(" ",,MID(_xlpm.p,_xlfn.SEQUENCE(8,,1,8),8)))))</f>
        <v/>
      </c>
      <c r="CU142" s="6" t="str" cm="1">
        <f t="array" ref="CU142">IF(B142="","",IF(LEN(D142)&lt;=6,_xlfn.LET(_xlpm.n,VALUE(D142)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2" s="39" t="s">
        <v>888</v>
      </c>
      <c r="CW142" s="39" t="s">
        <v>888</v>
      </c>
      <c r="CX142" s="39" t="s">
        <v>888</v>
      </c>
      <c r="CY142" s="7" t="s">
        <v>888</v>
      </c>
      <c r="CZ142" s="39" t="s">
        <v>888</v>
      </c>
      <c r="DA142" s="39" t="s">
        <v>888</v>
      </c>
      <c r="DB142" s="39" t="s">
        <v>888</v>
      </c>
      <c r="DC142" s="7" t="s">
        <v>888</v>
      </c>
      <c r="DD142" s="7" t="s">
        <v>888</v>
      </c>
      <c r="DE142" s="7" t="s">
        <v>888</v>
      </c>
      <c r="DF142" s="7" t="s">
        <v>888</v>
      </c>
      <c r="DG142" s="7" t="s">
        <v>888</v>
      </c>
      <c r="DH142" s="39" t="s">
        <v>888</v>
      </c>
      <c r="DI142" s="7" t="s">
        <v>888</v>
      </c>
      <c r="DJ142" s="7" t="s">
        <v>888</v>
      </c>
      <c r="DK142" s="7" t="s">
        <v>888</v>
      </c>
      <c r="DL142" s="7" t="s">
        <v>888</v>
      </c>
      <c r="DM142" s="7" t="s">
        <v>888</v>
      </c>
      <c r="DN142" s="7" t="s">
        <v>888</v>
      </c>
      <c r="DO142" s="7" t="s">
        <v>888</v>
      </c>
      <c r="DP142" s="7" t="s">
        <v>888</v>
      </c>
      <c r="DQ142" s="7" t="s">
        <v>888</v>
      </c>
      <c r="DR142" s="7" t="s">
        <v>888</v>
      </c>
      <c r="DS142" s="7" t="s">
        <v>888</v>
      </c>
      <c r="DT142" s="15" t="str" cm="1">
        <f t="array" ref="DT142">IF(B142="","",_xlfn.TEXTJOIN("",,HEX2BIN(MID(BQ142,_xlfn.SEQUENCE(40),1),4)))</f>
        <v/>
      </c>
    </row>
    <row r="143" spans="1:124" x14ac:dyDescent="0.25">
      <c r="A143" s="9">
        <v>142</v>
      </c>
      <c r="B143" s="15" t="s">
        <v>888</v>
      </c>
      <c r="C143" s="15" t="s">
        <v>888</v>
      </c>
      <c r="D143" s="6" t="s">
        <v>888</v>
      </c>
      <c r="E143" s="6" t="s">
        <v>888</v>
      </c>
      <c r="F143" s="10" t="s">
        <v>888</v>
      </c>
      <c r="G143" s="9" t="s">
        <v>888</v>
      </c>
      <c r="H143" s="9" t="s">
        <v>888</v>
      </c>
      <c r="I143" s="15" t="s">
        <v>888</v>
      </c>
      <c r="J143" s="9" t="s">
        <v>888</v>
      </c>
      <c r="K143" s="15" t="s">
        <v>888</v>
      </c>
      <c r="L143" s="15" t="s">
        <v>888</v>
      </c>
      <c r="M143" s="15" t="s">
        <v>888</v>
      </c>
      <c r="N143" s="15" t="s">
        <v>888</v>
      </c>
      <c r="O143" s="6" t="s">
        <v>888</v>
      </c>
      <c r="P143" s="15" t="s">
        <v>888</v>
      </c>
      <c r="Q143" s="15" t="s">
        <v>888</v>
      </c>
      <c r="R143" s="6" t="s">
        <v>888</v>
      </c>
      <c r="S143" s="15" t="s">
        <v>888</v>
      </c>
      <c r="T143" s="11" t="s">
        <v>888</v>
      </c>
      <c r="U143" s="10" t="s">
        <v>888</v>
      </c>
      <c r="V143" s="7" t="s">
        <v>888</v>
      </c>
      <c r="W143" s="7" t="s">
        <v>888</v>
      </c>
      <c r="X143" s="7" t="s">
        <v>888</v>
      </c>
      <c r="Y143" s="15" t="s">
        <v>888</v>
      </c>
      <c r="Z143" s="9" t="s">
        <v>888</v>
      </c>
      <c r="AA143" s="9" t="s">
        <v>888</v>
      </c>
      <c r="AB143" s="9" t="s">
        <v>888</v>
      </c>
      <c r="AC143" s="13" t="s">
        <v>888</v>
      </c>
      <c r="AD143" s="13" t="s">
        <v>888</v>
      </c>
      <c r="AE143" s="9" t="s">
        <v>888</v>
      </c>
      <c r="AF143" s="9" t="s">
        <v>888</v>
      </c>
      <c r="AG143" s="9" t="s">
        <v>888</v>
      </c>
      <c r="AH143" s="6" t="s">
        <v>888</v>
      </c>
      <c r="AI143" s="10" t="s">
        <v>888</v>
      </c>
      <c r="AJ143" s="10" t="s">
        <v>888</v>
      </c>
      <c r="AK143" s="15" t="s">
        <v>888</v>
      </c>
      <c r="AL143" s="15" t="s">
        <v>888</v>
      </c>
      <c r="AM143" s="15" t="s">
        <v>888</v>
      </c>
      <c r="AN143" s="9" t="s">
        <v>888</v>
      </c>
      <c r="AO143" s="9" t="s">
        <v>888</v>
      </c>
      <c r="AP143" s="9" t="s">
        <v>888</v>
      </c>
      <c r="AQ143" s="15" t="s">
        <v>888</v>
      </c>
      <c r="AR143" s="9" t="s">
        <v>888</v>
      </c>
      <c r="AS143" s="6" t="s">
        <v>888</v>
      </c>
      <c r="AT143" s="15" t="s">
        <v>888</v>
      </c>
      <c r="AU143" s="9" t="s">
        <v>888</v>
      </c>
      <c r="AV143" s="9" t="s">
        <v>888</v>
      </c>
      <c r="AW143" s="9" t="s">
        <v>888</v>
      </c>
      <c r="AX143" s="9" t="s">
        <v>888</v>
      </c>
      <c r="AY143" s="9" t="s">
        <v>888</v>
      </c>
      <c r="AZ143" s="9" t="s">
        <v>888</v>
      </c>
      <c r="BA143" s="6" t="s">
        <v>888</v>
      </c>
      <c r="BB143" s="6" t="s">
        <v>888</v>
      </c>
      <c r="BC143" s="6" t="s">
        <v>888</v>
      </c>
      <c r="BD143" s="15" t="s">
        <v>888</v>
      </c>
      <c r="BE143" s="15" t="s">
        <v>888</v>
      </c>
      <c r="BF143" s="15" t="s">
        <v>888</v>
      </c>
      <c r="BG143" s="15" t="s">
        <v>888</v>
      </c>
      <c r="BH143" s="6" t="s">
        <v>888</v>
      </c>
      <c r="BI143" s="17" t="s">
        <v>888</v>
      </c>
      <c r="BJ143" s="7" t="s">
        <v>888</v>
      </c>
      <c r="BK143" s="7" t="s">
        <v>888</v>
      </c>
      <c r="BL143" s="7" t="s">
        <v>888</v>
      </c>
      <c r="BM143" s="16" t="s">
        <v>888</v>
      </c>
      <c r="BN143" s="16" t="s">
        <v>888</v>
      </c>
      <c r="BO143" s="16" t="s">
        <v>888</v>
      </c>
      <c r="BP143" s="16" t="s">
        <v>888</v>
      </c>
      <c r="BQ143" s="16" t="s">
        <v>888</v>
      </c>
      <c r="BR143" s="7" t="s">
        <v>888</v>
      </c>
      <c r="BS143" s="7" t="s">
        <v>888</v>
      </c>
      <c r="BT143" s="7" t="s">
        <v>888</v>
      </c>
      <c r="BU143" s="14" t="s">
        <v>888</v>
      </c>
      <c r="BV143" s="15" t="s">
        <v>888</v>
      </c>
      <c r="BW143" s="9" t="s">
        <v>888</v>
      </c>
      <c r="BX143" s="9" t="s">
        <v>888</v>
      </c>
      <c r="BY143" s="13" t="s">
        <v>888</v>
      </c>
      <c r="BZ143" s="13" t="s">
        <v>888</v>
      </c>
      <c r="CA143" s="12" t="str">
        <f>IF(B143="","",IF(A143&lt;8,"",_xlfn.LET(_xlpm.n,A143,_xlpm.k,G143,_xlpm.R,AP143,_xlpm.mu,1+2*_xlpm.k*(_xlpm.n-_xlpm.k)/_xlpm.n,_xlpm.v,2*_xlpm.k*(_xlpm.n-_xlpm.k)*(2*_xlpm.k*(_xlpm.n-_xlpm.k)-_xlpm.n)/(_xlpm.n^2*(_xlpm.n-1)),IF(_xlpm.v&lt;=0,"",(_xlpm.R-_xlpm.mu)/SQRT(_xlpm.v)))))</f>
        <v/>
      </c>
      <c r="CB143" s="37" t="str" cm="1">
        <f t="array" ref="CB143">IF(B143="","",IF(A143&lt;8,"",_xlfn.LET(_xlpm.b,--MID(C143,_xlfn.SEQUENCE(A143-1),1),_xlpm.c,--MID(C143,_xlfn.SEQUENCE(A143-1,,2),1),IFERROR(CORREL(_xlpm.b,_xlpm.c),""))))</f>
        <v/>
      </c>
      <c r="CC143" s="8" t="str">
        <f>IF(B143="","",LOG(A143,2))</f>
        <v/>
      </c>
      <c r="CD143" s="8" t="str">
        <f>IF(B143="","",MAX(AN143,AO143)-CC143)</f>
        <v/>
      </c>
      <c r="CE143" s="8" t="str" cm="1">
        <f t="array" ref="CE143">IF(B143="","",IF(LEN(B143)&lt;16,"",_xlfn.LET(_xlpm.d,MID("0123456789abcdef",_xlfn.SEQUENCE(16),1),_xlpm.c,LEN(B143)-LEN(SUBSTITUTE(B143,_xlpm.d,"")),_xlpm.ex,LEN(B143)/16,SUM((_xlpm.c-_xlpm.ex)^2/_xlpm.ex))))</f>
        <v/>
      </c>
      <c r="CF143" s="37" t="str">
        <f>IF(CE143="","",_xlfn.CHISQ.DIST.RT(CE143,15))</f>
        <v/>
      </c>
      <c r="CG143" s="9" t="str" cm="1">
        <f t="array" ref="CG143">IF(OR(B143="",B142=""),"",_xlfn.LET(_xlpm.a,C143,_xlpm.b,REPT("0",A143-LEN(C142))&amp;C142,_xlpm.m,MID(_xlpm.a,_xlfn.SEQUENCE(A143),1)=MID(_xlpm.b,_xlfn.SEQUENCE(A143),1),IFERROR(MATCH(FALSE,_xlpm.m,0)-1,A143)))</f>
        <v/>
      </c>
      <c r="CH143" s="9" t="str" cm="1">
        <f t="array" ref="CH143">IF(OR(B143="",B142=""),"",_xlfn.LET(_xlpm.a,C143,_xlpm.b,REPT("0",A143-LEN(C142))&amp;C142,_xlpm.n,A143,_xlpm.m,MID(_xlpm.a,_xlfn.SEQUENCE(_xlpm.n,,_xlpm.n,-1),1)=MID(_xlpm.b,_xlfn.SEQUENCE(_xlpm.n,,_xlpm.n,-1),1),IFERROR(MATCH(FALSE,_xlpm.m,0)-1,_xlpm.n)))</f>
        <v/>
      </c>
      <c r="CI143" s="38" t="str">
        <f>IF(OR(B143="",B142=""),"",F143-F142)</f>
        <v/>
      </c>
      <c r="CJ143" s="5" t="str">
        <f>IF(OR(B143="",B142=""),"",IFERROR(FIND(B142,B143)&gt;0,FALSE))</f>
        <v/>
      </c>
      <c r="CK143" s="5" t="str">
        <f>IF(OR(B143="",B142=""),"",IFERROR(FIND(C142,C143)&gt;0,FALSE))</f>
        <v/>
      </c>
      <c r="CL143" s="9" t="str">
        <f>IF(OR(B143="",B142=""),"",IFERROR(FIND(C142,C143),""))</f>
        <v/>
      </c>
      <c r="CM143" s="6" t="str" cm="1">
        <f t="array" ref="CM143">IF(OR(B143="",B142=""),"",_xlfn.LET(_xlpm.pv,D142,_xlpm.ra,BIGSUB(D143,_xlpm.pv),_xlpm.rb,BIGSUB(_xlpm.ra,_xlpm.pv),_xlpm.rc,BIGSUB(_xlpm.rb,_xlpm.pv),IF(LEFT(_xlpm.rb,1)="-",_xlpm.ra,IF(LEFT(_xlpm.rc,1)="-",_xlpm.rb,_xlpm.rc))))</f>
        <v/>
      </c>
      <c r="CN143" s="38" t="str">
        <f>IF(B143="","",F143-0.5)</f>
        <v/>
      </c>
      <c r="CO143" s="15" t="str" cm="1">
        <f t="array" ref="CO143">IF(B143="","",_xlfn.TEXTJOIN("",,MID(B143,_xlfn.SEQUENCE(LEN(B143),,LEN(B143),-1),1)))</f>
        <v/>
      </c>
      <c r="CP143" s="6" t="str" cm="1">
        <f t="array" ref="CP143">IF(B143="","",BASE2DEC(CO143,16))</f>
        <v/>
      </c>
      <c r="CQ143" s="5" t="str">
        <f>IF(B143="","",IF(AND(LEN(B143)&lt;16,LEN(B143)=LEN(SUBSTITUTE(SUBSTITUTE(SUBSTITUTE(SUBSTITUTE(SUBSTITUTE(SUBSTITUTE(B143,"a",""),"b",""),"c",""),"d",""),"e",""),"f",""))),--B143,""))</f>
        <v/>
      </c>
      <c r="CR143" s="6" t="str" cm="1">
        <f t="array" ref="CR143">IF(B143="","",IF(LEN(D143)&lt;=15,BASE2DEC(D143,16),""))</f>
        <v/>
      </c>
      <c r="CS143" s="15" t="str" cm="1">
        <f t="array" ref="CS143">IF(B143="","",_xlfn.LET(_xlpm.p,REPT("0",MOD(-LEN(B143),4))&amp;B143,_xlfn.TEXTJOIN(" ",,MID(_xlpm.p,_xlfn.SEQUENCE(LEN(_xlpm.p)/4,,1,4),4))))</f>
        <v/>
      </c>
      <c r="CT143" s="15" t="str" cm="1">
        <f t="array" ref="CT143">IF(B143="","",UPPER(_xlfn.LET(_xlpm.p,REPT("0",64-LEN(B143))&amp;B143,_xlfn.TEXTJOIN(" ",,MID(_xlpm.p,_xlfn.SEQUENCE(8,,1,8),8)))))</f>
        <v/>
      </c>
      <c r="CU143" s="6" t="str" cm="1">
        <f t="array" ref="CU143">IF(B143="","",IF(LEN(D143)&lt;=6,_xlfn.LET(_xlpm.n,VALUE(D143)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3" s="39" t="s">
        <v>888</v>
      </c>
      <c r="CW143" s="39" t="s">
        <v>888</v>
      </c>
      <c r="CX143" s="39" t="s">
        <v>888</v>
      </c>
      <c r="CY143" s="7" t="s">
        <v>888</v>
      </c>
      <c r="CZ143" s="39" t="s">
        <v>888</v>
      </c>
      <c r="DA143" s="39" t="s">
        <v>888</v>
      </c>
      <c r="DB143" s="39" t="s">
        <v>888</v>
      </c>
      <c r="DC143" s="7" t="s">
        <v>888</v>
      </c>
      <c r="DD143" s="7" t="s">
        <v>888</v>
      </c>
      <c r="DE143" s="7" t="s">
        <v>888</v>
      </c>
      <c r="DF143" s="7" t="s">
        <v>888</v>
      </c>
      <c r="DG143" s="7" t="s">
        <v>888</v>
      </c>
      <c r="DH143" s="39" t="s">
        <v>888</v>
      </c>
      <c r="DI143" s="7" t="s">
        <v>888</v>
      </c>
      <c r="DJ143" s="7" t="s">
        <v>888</v>
      </c>
      <c r="DK143" s="7" t="s">
        <v>888</v>
      </c>
      <c r="DL143" s="7" t="s">
        <v>888</v>
      </c>
      <c r="DM143" s="7" t="s">
        <v>888</v>
      </c>
      <c r="DN143" s="7" t="s">
        <v>888</v>
      </c>
      <c r="DO143" s="7" t="s">
        <v>888</v>
      </c>
      <c r="DP143" s="7" t="s">
        <v>888</v>
      </c>
      <c r="DQ143" s="7" t="s">
        <v>888</v>
      </c>
      <c r="DR143" s="7" t="s">
        <v>888</v>
      </c>
      <c r="DS143" s="7" t="s">
        <v>888</v>
      </c>
      <c r="DT143" s="15" t="str" cm="1">
        <f t="array" ref="DT143">IF(B143="","",_xlfn.TEXTJOIN("",,HEX2BIN(MID(BQ143,_xlfn.SEQUENCE(40),1),4)))</f>
        <v/>
      </c>
    </row>
    <row r="144" spans="1:124" x14ac:dyDescent="0.25">
      <c r="A144" s="9">
        <v>143</v>
      </c>
      <c r="B144" s="15" t="s">
        <v>888</v>
      </c>
      <c r="C144" s="15" t="s">
        <v>888</v>
      </c>
      <c r="D144" s="6" t="s">
        <v>888</v>
      </c>
      <c r="E144" s="6" t="s">
        <v>888</v>
      </c>
      <c r="F144" s="10" t="s">
        <v>888</v>
      </c>
      <c r="G144" s="9" t="s">
        <v>888</v>
      </c>
      <c r="H144" s="9" t="s">
        <v>888</v>
      </c>
      <c r="I144" s="15" t="s">
        <v>888</v>
      </c>
      <c r="J144" s="9" t="s">
        <v>888</v>
      </c>
      <c r="K144" s="15" t="s">
        <v>888</v>
      </c>
      <c r="L144" s="15" t="s">
        <v>888</v>
      </c>
      <c r="M144" s="15" t="s">
        <v>888</v>
      </c>
      <c r="N144" s="15" t="s">
        <v>888</v>
      </c>
      <c r="O144" s="6" t="s">
        <v>888</v>
      </c>
      <c r="P144" s="15" t="s">
        <v>888</v>
      </c>
      <c r="Q144" s="15" t="s">
        <v>888</v>
      </c>
      <c r="R144" s="6" t="s">
        <v>888</v>
      </c>
      <c r="S144" s="15" t="s">
        <v>888</v>
      </c>
      <c r="T144" s="11" t="s">
        <v>888</v>
      </c>
      <c r="U144" s="10" t="s">
        <v>888</v>
      </c>
      <c r="V144" s="7" t="s">
        <v>888</v>
      </c>
      <c r="W144" s="7" t="s">
        <v>888</v>
      </c>
      <c r="X144" s="7" t="s">
        <v>888</v>
      </c>
      <c r="Y144" s="15" t="s">
        <v>888</v>
      </c>
      <c r="Z144" s="9" t="s">
        <v>888</v>
      </c>
      <c r="AA144" s="9" t="s">
        <v>888</v>
      </c>
      <c r="AB144" s="9" t="s">
        <v>888</v>
      </c>
      <c r="AC144" s="13" t="s">
        <v>888</v>
      </c>
      <c r="AD144" s="13" t="s">
        <v>888</v>
      </c>
      <c r="AE144" s="9" t="s">
        <v>888</v>
      </c>
      <c r="AF144" s="9" t="s">
        <v>888</v>
      </c>
      <c r="AG144" s="9" t="s">
        <v>888</v>
      </c>
      <c r="AH144" s="6" t="s">
        <v>888</v>
      </c>
      <c r="AI144" s="10" t="s">
        <v>888</v>
      </c>
      <c r="AJ144" s="10" t="s">
        <v>888</v>
      </c>
      <c r="AK144" s="15" t="s">
        <v>888</v>
      </c>
      <c r="AL144" s="15" t="s">
        <v>888</v>
      </c>
      <c r="AM144" s="15" t="s">
        <v>888</v>
      </c>
      <c r="AN144" s="9" t="s">
        <v>888</v>
      </c>
      <c r="AO144" s="9" t="s">
        <v>888</v>
      </c>
      <c r="AP144" s="9" t="s">
        <v>888</v>
      </c>
      <c r="AQ144" s="15" t="s">
        <v>888</v>
      </c>
      <c r="AR144" s="9" t="s">
        <v>888</v>
      </c>
      <c r="AS144" s="6" t="s">
        <v>888</v>
      </c>
      <c r="AT144" s="15" t="s">
        <v>888</v>
      </c>
      <c r="AU144" s="9" t="s">
        <v>888</v>
      </c>
      <c r="AV144" s="9" t="s">
        <v>888</v>
      </c>
      <c r="AW144" s="9" t="s">
        <v>888</v>
      </c>
      <c r="AX144" s="9" t="s">
        <v>888</v>
      </c>
      <c r="AY144" s="9" t="s">
        <v>888</v>
      </c>
      <c r="AZ144" s="9" t="s">
        <v>888</v>
      </c>
      <c r="BA144" s="6" t="s">
        <v>888</v>
      </c>
      <c r="BB144" s="6" t="s">
        <v>888</v>
      </c>
      <c r="BC144" s="6" t="s">
        <v>888</v>
      </c>
      <c r="BD144" s="15" t="s">
        <v>888</v>
      </c>
      <c r="BE144" s="15" t="s">
        <v>888</v>
      </c>
      <c r="BF144" s="15" t="s">
        <v>888</v>
      </c>
      <c r="BG144" s="15" t="s">
        <v>888</v>
      </c>
      <c r="BH144" s="6" t="s">
        <v>888</v>
      </c>
      <c r="BI144" s="17" t="s">
        <v>888</v>
      </c>
      <c r="BJ144" s="7" t="s">
        <v>888</v>
      </c>
      <c r="BK144" s="7" t="s">
        <v>888</v>
      </c>
      <c r="BL144" s="7" t="s">
        <v>888</v>
      </c>
      <c r="BM144" s="16" t="s">
        <v>888</v>
      </c>
      <c r="BN144" s="16" t="s">
        <v>888</v>
      </c>
      <c r="BO144" s="16" t="s">
        <v>888</v>
      </c>
      <c r="BP144" s="16" t="s">
        <v>888</v>
      </c>
      <c r="BQ144" s="16" t="s">
        <v>888</v>
      </c>
      <c r="BR144" s="7" t="s">
        <v>888</v>
      </c>
      <c r="BS144" s="7" t="s">
        <v>888</v>
      </c>
      <c r="BT144" s="7" t="s">
        <v>888</v>
      </c>
      <c r="BU144" s="14" t="s">
        <v>888</v>
      </c>
      <c r="BV144" s="15" t="s">
        <v>888</v>
      </c>
      <c r="BW144" s="9" t="s">
        <v>888</v>
      </c>
      <c r="BX144" s="9" t="s">
        <v>888</v>
      </c>
      <c r="BY144" s="13" t="s">
        <v>888</v>
      </c>
      <c r="BZ144" s="13" t="s">
        <v>888</v>
      </c>
      <c r="CA144" s="12" t="str">
        <f>IF(B144="","",IF(A144&lt;8,"",_xlfn.LET(_xlpm.n,A144,_xlpm.k,G144,_xlpm.R,AP144,_xlpm.mu,1+2*_xlpm.k*(_xlpm.n-_xlpm.k)/_xlpm.n,_xlpm.v,2*_xlpm.k*(_xlpm.n-_xlpm.k)*(2*_xlpm.k*(_xlpm.n-_xlpm.k)-_xlpm.n)/(_xlpm.n^2*(_xlpm.n-1)),IF(_xlpm.v&lt;=0,"",(_xlpm.R-_xlpm.mu)/SQRT(_xlpm.v)))))</f>
        <v/>
      </c>
      <c r="CB144" s="37" t="str" cm="1">
        <f t="array" ref="CB144">IF(B144="","",IF(A144&lt;8,"",_xlfn.LET(_xlpm.b,--MID(C144,_xlfn.SEQUENCE(A144-1),1),_xlpm.c,--MID(C144,_xlfn.SEQUENCE(A144-1,,2),1),IFERROR(CORREL(_xlpm.b,_xlpm.c),""))))</f>
        <v/>
      </c>
      <c r="CC144" s="8" t="str">
        <f>IF(B144="","",LOG(A144,2))</f>
        <v/>
      </c>
      <c r="CD144" s="8" t="str">
        <f>IF(B144="","",MAX(AN144,AO144)-CC144)</f>
        <v/>
      </c>
      <c r="CE144" s="8" t="str" cm="1">
        <f t="array" ref="CE144">IF(B144="","",IF(LEN(B144)&lt;16,"",_xlfn.LET(_xlpm.d,MID("0123456789abcdef",_xlfn.SEQUENCE(16),1),_xlpm.c,LEN(B144)-LEN(SUBSTITUTE(B144,_xlpm.d,"")),_xlpm.ex,LEN(B144)/16,SUM((_xlpm.c-_xlpm.ex)^2/_xlpm.ex))))</f>
        <v/>
      </c>
      <c r="CF144" s="37" t="str">
        <f>IF(CE144="","",_xlfn.CHISQ.DIST.RT(CE144,15))</f>
        <v/>
      </c>
      <c r="CG144" s="9" t="str" cm="1">
        <f t="array" ref="CG144">IF(OR(B144="",B143=""),"",_xlfn.LET(_xlpm.a,C144,_xlpm.b,REPT("0",A144-LEN(C143))&amp;C143,_xlpm.m,MID(_xlpm.a,_xlfn.SEQUENCE(A144),1)=MID(_xlpm.b,_xlfn.SEQUENCE(A144),1),IFERROR(MATCH(FALSE,_xlpm.m,0)-1,A144)))</f>
        <v/>
      </c>
      <c r="CH144" s="9" t="str" cm="1">
        <f t="array" ref="CH144">IF(OR(B144="",B143=""),"",_xlfn.LET(_xlpm.a,C144,_xlpm.b,REPT("0",A144-LEN(C143))&amp;C143,_xlpm.n,A144,_xlpm.m,MID(_xlpm.a,_xlfn.SEQUENCE(_xlpm.n,,_xlpm.n,-1),1)=MID(_xlpm.b,_xlfn.SEQUENCE(_xlpm.n,,_xlpm.n,-1),1),IFERROR(MATCH(FALSE,_xlpm.m,0)-1,_xlpm.n)))</f>
        <v/>
      </c>
      <c r="CI144" s="38" t="str">
        <f>IF(OR(B144="",B143=""),"",F144-F143)</f>
        <v/>
      </c>
      <c r="CJ144" s="5" t="str">
        <f>IF(OR(B144="",B143=""),"",IFERROR(FIND(B143,B144)&gt;0,FALSE))</f>
        <v/>
      </c>
      <c r="CK144" s="5" t="str">
        <f>IF(OR(B144="",B143=""),"",IFERROR(FIND(C143,C144)&gt;0,FALSE))</f>
        <v/>
      </c>
      <c r="CL144" s="9" t="str">
        <f>IF(OR(B144="",B143=""),"",IFERROR(FIND(C143,C144),""))</f>
        <v/>
      </c>
      <c r="CM144" s="6" t="str" cm="1">
        <f t="array" ref="CM144">IF(OR(B144="",B143=""),"",_xlfn.LET(_xlpm.pv,D143,_xlpm.ra,BIGSUB(D144,_xlpm.pv),_xlpm.rb,BIGSUB(_xlpm.ra,_xlpm.pv),_xlpm.rc,BIGSUB(_xlpm.rb,_xlpm.pv),IF(LEFT(_xlpm.rb,1)="-",_xlpm.ra,IF(LEFT(_xlpm.rc,1)="-",_xlpm.rb,_xlpm.rc))))</f>
        <v/>
      </c>
      <c r="CN144" s="38" t="str">
        <f>IF(B144="","",F144-0.5)</f>
        <v/>
      </c>
      <c r="CO144" s="15" t="str" cm="1">
        <f t="array" ref="CO144">IF(B144="","",_xlfn.TEXTJOIN("",,MID(B144,_xlfn.SEQUENCE(LEN(B144),,LEN(B144),-1),1)))</f>
        <v/>
      </c>
      <c r="CP144" s="6" t="str" cm="1">
        <f t="array" ref="CP144">IF(B144="","",BASE2DEC(CO144,16))</f>
        <v/>
      </c>
      <c r="CQ144" s="5" t="str">
        <f>IF(B144="","",IF(AND(LEN(B144)&lt;16,LEN(B144)=LEN(SUBSTITUTE(SUBSTITUTE(SUBSTITUTE(SUBSTITUTE(SUBSTITUTE(SUBSTITUTE(B144,"a",""),"b",""),"c",""),"d",""),"e",""),"f",""))),--B144,""))</f>
        <v/>
      </c>
      <c r="CR144" s="6" t="str" cm="1">
        <f t="array" ref="CR144">IF(B144="","",IF(LEN(D144)&lt;=15,BASE2DEC(D144,16),""))</f>
        <v/>
      </c>
      <c r="CS144" s="15" t="str" cm="1">
        <f t="array" ref="CS144">IF(B144="","",_xlfn.LET(_xlpm.p,REPT("0",MOD(-LEN(B144),4))&amp;B144,_xlfn.TEXTJOIN(" ",,MID(_xlpm.p,_xlfn.SEQUENCE(LEN(_xlpm.p)/4,,1,4),4))))</f>
        <v/>
      </c>
      <c r="CT144" s="15" t="str" cm="1">
        <f t="array" ref="CT144">IF(B144="","",UPPER(_xlfn.LET(_xlpm.p,REPT("0",64-LEN(B144))&amp;B144,_xlfn.TEXTJOIN(" ",,MID(_xlpm.p,_xlfn.SEQUENCE(8,,1,8),8)))))</f>
        <v/>
      </c>
      <c r="CU144" s="6" t="str" cm="1">
        <f t="array" ref="CU144">IF(B144="","",IF(LEN(D144)&lt;=6,_xlfn.LET(_xlpm.n,VALUE(D144)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4" s="39" t="s">
        <v>888</v>
      </c>
      <c r="CW144" s="39" t="s">
        <v>888</v>
      </c>
      <c r="CX144" s="39" t="s">
        <v>888</v>
      </c>
      <c r="CY144" s="7" t="s">
        <v>888</v>
      </c>
      <c r="CZ144" s="39" t="s">
        <v>888</v>
      </c>
      <c r="DA144" s="39" t="s">
        <v>888</v>
      </c>
      <c r="DB144" s="39" t="s">
        <v>888</v>
      </c>
      <c r="DC144" s="7" t="s">
        <v>888</v>
      </c>
      <c r="DD144" s="7" t="s">
        <v>888</v>
      </c>
      <c r="DE144" s="7" t="s">
        <v>888</v>
      </c>
      <c r="DF144" s="7" t="s">
        <v>888</v>
      </c>
      <c r="DG144" s="7" t="s">
        <v>888</v>
      </c>
      <c r="DH144" s="39" t="s">
        <v>888</v>
      </c>
      <c r="DI144" s="7" t="s">
        <v>888</v>
      </c>
      <c r="DJ144" s="7" t="s">
        <v>888</v>
      </c>
      <c r="DK144" s="7" t="s">
        <v>888</v>
      </c>
      <c r="DL144" s="7" t="s">
        <v>888</v>
      </c>
      <c r="DM144" s="7" t="s">
        <v>888</v>
      </c>
      <c r="DN144" s="7" t="s">
        <v>888</v>
      </c>
      <c r="DO144" s="7" t="s">
        <v>888</v>
      </c>
      <c r="DP144" s="7" t="s">
        <v>888</v>
      </c>
      <c r="DQ144" s="7" t="s">
        <v>888</v>
      </c>
      <c r="DR144" s="7" t="s">
        <v>888</v>
      </c>
      <c r="DS144" s="7" t="s">
        <v>888</v>
      </c>
      <c r="DT144" s="15" t="str" cm="1">
        <f t="array" ref="DT144">IF(B144="","",_xlfn.TEXTJOIN("",,HEX2BIN(MID(BQ144,_xlfn.SEQUENCE(40),1),4)))</f>
        <v/>
      </c>
    </row>
    <row r="145" spans="1:124" x14ac:dyDescent="0.25">
      <c r="A145" s="9">
        <v>144</v>
      </c>
      <c r="B145" s="15" t="s">
        <v>888</v>
      </c>
      <c r="C145" s="15" t="s">
        <v>888</v>
      </c>
      <c r="D145" s="6" t="s">
        <v>888</v>
      </c>
      <c r="E145" s="6" t="s">
        <v>888</v>
      </c>
      <c r="F145" s="10" t="s">
        <v>888</v>
      </c>
      <c r="G145" s="9" t="s">
        <v>888</v>
      </c>
      <c r="H145" s="9" t="s">
        <v>888</v>
      </c>
      <c r="I145" s="15" t="s">
        <v>888</v>
      </c>
      <c r="J145" s="9" t="s">
        <v>888</v>
      </c>
      <c r="K145" s="15" t="s">
        <v>888</v>
      </c>
      <c r="L145" s="15" t="s">
        <v>888</v>
      </c>
      <c r="M145" s="15" t="s">
        <v>888</v>
      </c>
      <c r="N145" s="15" t="s">
        <v>888</v>
      </c>
      <c r="O145" s="6" t="s">
        <v>888</v>
      </c>
      <c r="P145" s="15" t="s">
        <v>888</v>
      </c>
      <c r="Q145" s="15" t="s">
        <v>888</v>
      </c>
      <c r="R145" s="6" t="s">
        <v>888</v>
      </c>
      <c r="S145" s="15" t="s">
        <v>888</v>
      </c>
      <c r="T145" s="11" t="s">
        <v>888</v>
      </c>
      <c r="U145" s="10" t="s">
        <v>888</v>
      </c>
      <c r="V145" s="7" t="s">
        <v>888</v>
      </c>
      <c r="W145" s="7" t="s">
        <v>888</v>
      </c>
      <c r="X145" s="7" t="s">
        <v>888</v>
      </c>
      <c r="Y145" s="15" t="s">
        <v>888</v>
      </c>
      <c r="Z145" s="9" t="s">
        <v>888</v>
      </c>
      <c r="AA145" s="9" t="s">
        <v>888</v>
      </c>
      <c r="AB145" s="9" t="s">
        <v>888</v>
      </c>
      <c r="AC145" s="13" t="s">
        <v>888</v>
      </c>
      <c r="AD145" s="13" t="s">
        <v>888</v>
      </c>
      <c r="AE145" s="9" t="s">
        <v>888</v>
      </c>
      <c r="AF145" s="9" t="s">
        <v>888</v>
      </c>
      <c r="AG145" s="9" t="s">
        <v>888</v>
      </c>
      <c r="AH145" s="6" t="s">
        <v>888</v>
      </c>
      <c r="AI145" s="10" t="s">
        <v>888</v>
      </c>
      <c r="AJ145" s="10" t="s">
        <v>888</v>
      </c>
      <c r="AK145" s="15" t="s">
        <v>888</v>
      </c>
      <c r="AL145" s="15" t="s">
        <v>888</v>
      </c>
      <c r="AM145" s="15" t="s">
        <v>888</v>
      </c>
      <c r="AN145" s="9" t="s">
        <v>888</v>
      </c>
      <c r="AO145" s="9" t="s">
        <v>888</v>
      </c>
      <c r="AP145" s="9" t="s">
        <v>888</v>
      </c>
      <c r="AQ145" s="15" t="s">
        <v>888</v>
      </c>
      <c r="AR145" s="9" t="s">
        <v>888</v>
      </c>
      <c r="AS145" s="6" t="s">
        <v>888</v>
      </c>
      <c r="AT145" s="15" t="s">
        <v>888</v>
      </c>
      <c r="AU145" s="9" t="s">
        <v>888</v>
      </c>
      <c r="AV145" s="9" t="s">
        <v>888</v>
      </c>
      <c r="AW145" s="9" t="s">
        <v>888</v>
      </c>
      <c r="AX145" s="9" t="s">
        <v>888</v>
      </c>
      <c r="AY145" s="9" t="s">
        <v>888</v>
      </c>
      <c r="AZ145" s="9" t="s">
        <v>888</v>
      </c>
      <c r="BA145" s="6" t="s">
        <v>888</v>
      </c>
      <c r="BB145" s="6" t="s">
        <v>888</v>
      </c>
      <c r="BC145" s="6" t="s">
        <v>888</v>
      </c>
      <c r="BD145" s="15" t="s">
        <v>888</v>
      </c>
      <c r="BE145" s="15" t="s">
        <v>888</v>
      </c>
      <c r="BF145" s="15" t="s">
        <v>888</v>
      </c>
      <c r="BG145" s="15" t="s">
        <v>888</v>
      </c>
      <c r="BH145" s="6" t="s">
        <v>888</v>
      </c>
      <c r="BI145" s="17" t="s">
        <v>888</v>
      </c>
      <c r="BJ145" s="7" t="s">
        <v>888</v>
      </c>
      <c r="BK145" s="7" t="s">
        <v>888</v>
      </c>
      <c r="BL145" s="7" t="s">
        <v>888</v>
      </c>
      <c r="BM145" s="16" t="s">
        <v>888</v>
      </c>
      <c r="BN145" s="16" t="s">
        <v>888</v>
      </c>
      <c r="BO145" s="16" t="s">
        <v>888</v>
      </c>
      <c r="BP145" s="16" t="s">
        <v>888</v>
      </c>
      <c r="BQ145" s="16" t="s">
        <v>888</v>
      </c>
      <c r="BR145" s="7" t="s">
        <v>888</v>
      </c>
      <c r="BS145" s="7" t="s">
        <v>888</v>
      </c>
      <c r="BT145" s="7" t="s">
        <v>888</v>
      </c>
      <c r="BU145" s="14" t="s">
        <v>888</v>
      </c>
      <c r="BV145" s="15" t="s">
        <v>888</v>
      </c>
      <c r="BW145" s="9" t="s">
        <v>888</v>
      </c>
      <c r="BX145" s="9" t="s">
        <v>888</v>
      </c>
      <c r="BY145" s="13" t="s">
        <v>888</v>
      </c>
      <c r="BZ145" s="13" t="s">
        <v>888</v>
      </c>
      <c r="CA145" s="12" t="str">
        <f>IF(B145="","",IF(A145&lt;8,"",_xlfn.LET(_xlpm.n,A145,_xlpm.k,G145,_xlpm.R,AP145,_xlpm.mu,1+2*_xlpm.k*(_xlpm.n-_xlpm.k)/_xlpm.n,_xlpm.v,2*_xlpm.k*(_xlpm.n-_xlpm.k)*(2*_xlpm.k*(_xlpm.n-_xlpm.k)-_xlpm.n)/(_xlpm.n^2*(_xlpm.n-1)),IF(_xlpm.v&lt;=0,"",(_xlpm.R-_xlpm.mu)/SQRT(_xlpm.v)))))</f>
        <v/>
      </c>
      <c r="CB145" s="37" t="str" cm="1">
        <f t="array" ref="CB145">IF(B145="","",IF(A145&lt;8,"",_xlfn.LET(_xlpm.b,--MID(C145,_xlfn.SEQUENCE(A145-1),1),_xlpm.c,--MID(C145,_xlfn.SEQUENCE(A145-1,,2),1),IFERROR(CORREL(_xlpm.b,_xlpm.c),""))))</f>
        <v/>
      </c>
      <c r="CC145" s="8" t="str">
        <f>IF(B145="","",LOG(A145,2))</f>
        <v/>
      </c>
      <c r="CD145" s="8" t="str">
        <f>IF(B145="","",MAX(AN145,AO145)-CC145)</f>
        <v/>
      </c>
      <c r="CE145" s="8" t="str" cm="1">
        <f t="array" ref="CE145">IF(B145="","",IF(LEN(B145)&lt;16,"",_xlfn.LET(_xlpm.d,MID("0123456789abcdef",_xlfn.SEQUENCE(16),1),_xlpm.c,LEN(B145)-LEN(SUBSTITUTE(B145,_xlpm.d,"")),_xlpm.ex,LEN(B145)/16,SUM((_xlpm.c-_xlpm.ex)^2/_xlpm.ex))))</f>
        <v/>
      </c>
      <c r="CF145" s="37" t="str">
        <f>IF(CE145="","",_xlfn.CHISQ.DIST.RT(CE145,15))</f>
        <v/>
      </c>
      <c r="CG145" s="9" t="str" cm="1">
        <f t="array" ref="CG145">IF(OR(B145="",B144=""),"",_xlfn.LET(_xlpm.a,C145,_xlpm.b,REPT("0",A145-LEN(C144))&amp;C144,_xlpm.m,MID(_xlpm.a,_xlfn.SEQUENCE(A145),1)=MID(_xlpm.b,_xlfn.SEQUENCE(A145),1),IFERROR(MATCH(FALSE,_xlpm.m,0)-1,A145)))</f>
        <v/>
      </c>
      <c r="CH145" s="9" t="str" cm="1">
        <f t="array" ref="CH145">IF(OR(B145="",B144=""),"",_xlfn.LET(_xlpm.a,C145,_xlpm.b,REPT("0",A145-LEN(C144))&amp;C144,_xlpm.n,A145,_xlpm.m,MID(_xlpm.a,_xlfn.SEQUENCE(_xlpm.n,,_xlpm.n,-1),1)=MID(_xlpm.b,_xlfn.SEQUENCE(_xlpm.n,,_xlpm.n,-1),1),IFERROR(MATCH(FALSE,_xlpm.m,0)-1,_xlpm.n)))</f>
        <v/>
      </c>
      <c r="CI145" s="38" t="str">
        <f>IF(OR(B145="",B144=""),"",F145-F144)</f>
        <v/>
      </c>
      <c r="CJ145" s="5" t="str">
        <f>IF(OR(B145="",B144=""),"",IFERROR(FIND(B144,B145)&gt;0,FALSE))</f>
        <v/>
      </c>
      <c r="CK145" s="5" t="str">
        <f>IF(OR(B145="",B144=""),"",IFERROR(FIND(C144,C145)&gt;0,FALSE))</f>
        <v/>
      </c>
      <c r="CL145" s="9" t="str">
        <f>IF(OR(B145="",B144=""),"",IFERROR(FIND(C144,C145),""))</f>
        <v/>
      </c>
      <c r="CM145" s="6" t="str" cm="1">
        <f t="array" ref="CM145">IF(OR(B145="",B144=""),"",_xlfn.LET(_xlpm.pv,D144,_xlpm.ra,BIGSUB(D145,_xlpm.pv),_xlpm.rb,BIGSUB(_xlpm.ra,_xlpm.pv),_xlpm.rc,BIGSUB(_xlpm.rb,_xlpm.pv),IF(LEFT(_xlpm.rb,1)="-",_xlpm.ra,IF(LEFT(_xlpm.rc,1)="-",_xlpm.rb,_xlpm.rc))))</f>
        <v/>
      </c>
      <c r="CN145" s="38" t="str">
        <f>IF(B145="","",F145-0.5)</f>
        <v/>
      </c>
      <c r="CO145" s="15" t="str" cm="1">
        <f t="array" ref="CO145">IF(B145="","",_xlfn.TEXTJOIN("",,MID(B145,_xlfn.SEQUENCE(LEN(B145),,LEN(B145),-1),1)))</f>
        <v/>
      </c>
      <c r="CP145" s="6" t="str" cm="1">
        <f t="array" ref="CP145">IF(B145="","",BASE2DEC(CO145,16))</f>
        <v/>
      </c>
      <c r="CQ145" s="5" t="str">
        <f>IF(B145="","",IF(AND(LEN(B145)&lt;16,LEN(B145)=LEN(SUBSTITUTE(SUBSTITUTE(SUBSTITUTE(SUBSTITUTE(SUBSTITUTE(SUBSTITUTE(B145,"a",""),"b",""),"c",""),"d",""),"e",""),"f",""))),--B145,""))</f>
        <v/>
      </c>
      <c r="CR145" s="6" t="str" cm="1">
        <f t="array" ref="CR145">IF(B145="","",IF(LEN(D145)&lt;=15,BASE2DEC(D145,16),""))</f>
        <v/>
      </c>
      <c r="CS145" s="15" t="str" cm="1">
        <f t="array" ref="CS145">IF(B145="","",_xlfn.LET(_xlpm.p,REPT("0",MOD(-LEN(B145),4))&amp;B145,_xlfn.TEXTJOIN(" ",,MID(_xlpm.p,_xlfn.SEQUENCE(LEN(_xlpm.p)/4,,1,4),4))))</f>
        <v/>
      </c>
      <c r="CT145" s="15" t="str" cm="1">
        <f t="array" ref="CT145">IF(B145="","",UPPER(_xlfn.LET(_xlpm.p,REPT("0",64-LEN(B145))&amp;B145,_xlfn.TEXTJOIN(" ",,MID(_xlpm.p,_xlfn.SEQUENCE(8,,1,8),8)))))</f>
        <v/>
      </c>
      <c r="CU145" s="6" t="str" cm="1">
        <f t="array" ref="CU145">IF(B145="","",IF(LEN(D145)&lt;=6,_xlfn.LET(_xlpm.n,VALUE(D145)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5" s="39" t="s">
        <v>888</v>
      </c>
      <c r="CW145" s="39" t="s">
        <v>888</v>
      </c>
      <c r="CX145" s="39" t="s">
        <v>888</v>
      </c>
      <c r="CY145" s="7" t="s">
        <v>888</v>
      </c>
      <c r="CZ145" s="39" t="s">
        <v>888</v>
      </c>
      <c r="DA145" s="39" t="s">
        <v>888</v>
      </c>
      <c r="DB145" s="39" t="s">
        <v>888</v>
      </c>
      <c r="DC145" s="7" t="s">
        <v>888</v>
      </c>
      <c r="DD145" s="7" t="s">
        <v>888</v>
      </c>
      <c r="DE145" s="7" t="s">
        <v>888</v>
      </c>
      <c r="DF145" s="7" t="s">
        <v>888</v>
      </c>
      <c r="DG145" s="7" t="s">
        <v>888</v>
      </c>
      <c r="DH145" s="39" t="s">
        <v>888</v>
      </c>
      <c r="DI145" s="7" t="s">
        <v>888</v>
      </c>
      <c r="DJ145" s="7" t="s">
        <v>888</v>
      </c>
      <c r="DK145" s="7" t="s">
        <v>888</v>
      </c>
      <c r="DL145" s="7" t="s">
        <v>888</v>
      </c>
      <c r="DM145" s="7" t="s">
        <v>888</v>
      </c>
      <c r="DN145" s="7" t="s">
        <v>888</v>
      </c>
      <c r="DO145" s="7" t="s">
        <v>888</v>
      </c>
      <c r="DP145" s="7" t="s">
        <v>888</v>
      </c>
      <c r="DQ145" s="7" t="s">
        <v>888</v>
      </c>
      <c r="DR145" s="7" t="s">
        <v>888</v>
      </c>
      <c r="DS145" s="7" t="s">
        <v>888</v>
      </c>
      <c r="DT145" s="15" t="str" cm="1">
        <f t="array" ref="DT145">IF(B145="","",_xlfn.TEXTJOIN("",,HEX2BIN(MID(BQ145,_xlfn.SEQUENCE(40),1),4)))</f>
        <v/>
      </c>
    </row>
    <row r="146" spans="1:124" x14ac:dyDescent="0.25">
      <c r="A146" s="9">
        <v>145</v>
      </c>
      <c r="B146" s="15" t="s">
        <v>888</v>
      </c>
      <c r="C146" s="15" t="s">
        <v>888</v>
      </c>
      <c r="D146" s="6" t="s">
        <v>888</v>
      </c>
      <c r="E146" s="6" t="s">
        <v>888</v>
      </c>
      <c r="F146" s="10" t="s">
        <v>888</v>
      </c>
      <c r="G146" s="9" t="s">
        <v>888</v>
      </c>
      <c r="H146" s="9" t="s">
        <v>888</v>
      </c>
      <c r="I146" s="15" t="s">
        <v>888</v>
      </c>
      <c r="J146" s="9" t="s">
        <v>888</v>
      </c>
      <c r="K146" s="15" t="s">
        <v>888</v>
      </c>
      <c r="L146" s="15" t="s">
        <v>888</v>
      </c>
      <c r="M146" s="15" t="s">
        <v>888</v>
      </c>
      <c r="N146" s="15" t="s">
        <v>888</v>
      </c>
      <c r="O146" s="6" t="s">
        <v>888</v>
      </c>
      <c r="P146" s="15" t="s">
        <v>888</v>
      </c>
      <c r="Q146" s="15" t="s">
        <v>888</v>
      </c>
      <c r="R146" s="6" t="s">
        <v>888</v>
      </c>
      <c r="S146" s="15" t="s">
        <v>888</v>
      </c>
      <c r="T146" s="11" t="s">
        <v>888</v>
      </c>
      <c r="U146" s="10" t="s">
        <v>888</v>
      </c>
      <c r="V146" s="7" t="s">
        <v>888</v>
      </c>
      <c r="W146" s="7" t="s">
        <v>888</v>
      </c>
      <c r="X146" s="7" t="s">
        <v>888</v>
      </c>
      <c r="Y146" s="15" t="s">
        <v>888</v>
      </c>
      <c r="Z146" s="9" t="s">
        <v>888</v>
      </c>
      <c r="AA146" s="9" t="s">
        <v>888</v>
      </c>
      <c r="AB146" s="9" t="s">
        <v>888</v>
      </c>
      <c r="AC146" s="13" t="s">
        <v>888</v>
      </c>
      <c r="AD146" s="13" t="s">
        <v>888</v>
      </c>
      <c r="AE146" s="9" t="s">
        <v>888</v>
      </c>
      <c r="AF146" s="9" t="s">
        <v>888</v>
      </c>
      <c r="AG146" s="9" t="s">
        <v>888</v>
      </c>
      <c r="AH146" s="6" t="s">
        <v>888</v>
      </c>
      <c r="AI146" s="10" t="s">
        <v>888</v>
      </c>
      <c r="AJ146" s="10" t="s">
        <v>888</v>
      </c>
      <c r="AK146" s="15" t="s">
        <v>888</v>
      </c>
      <c r="AL146" s="15" t="s">
        <v>888</v>
      </c>
      <c r="AM146" s="15" t="s">
        <v>888</v>
      </c>
      <c r="AN146" s="9" t="s">
        <v>888</v>
      </c>
      <c r="AO146" s="9" t="s">
        <v>888</v>
      </c>
      <c r="AP146" s="9" t="s">
        <v>888</v>
      </c>
      <c r="AQ146" s="15" t="s">
        <v>888</v>
      </c>
      <c r="AR146" s="9" t="s">
        <v>888</v>
      </c>
      <c r="AS146" s="6" t="s">
        <v>888</v>
      </c>
      <c r="AT146" s="15" t="s">
        <v>888</v>
      </c>
      <c r="AU146" s="9" t="s">
        <v>888</v>
      </c>
      <c r="AV146" s="9" t="s">
        <v>888</v>
      </c>
      <c r="AW146" s="9" t="s">
        <v>888</v>
      </c>
      <c r="AX146" s="9" t="s">
        <v>888</v>
      </c>
      <c r="AY146" s="9" t="s">
        <v>888</v>
      </c>
      <c r="AZ146" s="9" t="s">
        <v>888</v>
      </c>
      <c r="BA146" s="6" t="s">
        <v>888</v>
      </c>
      <c r="BB146" s="6" t="s">
        <v>888</v>
      </c>
      <c r="BC146" s="6" t="s">
        <v>888</v>
      </c>
      <c r="BD146" s="15" t="s">
        <v>888</v>
      </c>
      <c r="BE146" s="15" t="s">
        <v>888</v>
      </c>
      <c r="BF146" s="15" t="s">
        <v>888</v>
      </c>
      <c r="BG146" s="15" t="s">
        <v>888</v>
      </c>
      <c r="BH146" s="6" t="s">
        <v>888</v>
      </c>
      <c r="BI146" s="17" t="s">
        <v>888</v>
      </c>
      <c r="BJ146" s="7" t="s">
        <v>888</v>
      </c>
      <c r="BK146" s="7" t="s">
        <v>888</v>
      </c>
      <c r="BL146" s="7" t="s">
        <v>888</v>
      </c>
      <c r="BM146" s="16" t="s">
        <v>888</v>
      </c>
      <c r="BN146" s="16" t="s">
        <v>888</v>
      </c>
      <c r="BO146" s="16" t="s">
        <v>888</v>
      </c>
      <c r="BP146" s="16" t="s">
        <v>888</v>
      </c>
      <c r="BQ146" s="16" t="s">
        <v>888</v>
      </c>
      <c r="BR146" s="7" t="s">
        <v>888</v>
      </c>
      <c r="BS146" s="7" t="s">
        <v>888</v>
      </c>
      <c r="BT146" s="7" t="s">
        <v>888</v>
      </c>
      <c r="BU146" s="14" t="s">
        <v>888</v>
      </c>
      <c r="BV146" s="15" t="s">
        <v>888</v>
      </c>
      <c r="BW146" s="9" t="s">
        <v>888</v>
      </c>
      <c r="BX146" s="9" t="s">
        <v>888</v>
      </c>
      <c r="BY146" s="13" t="s">
        <v>888</v>
      </c>
      <c r="BZ146" s="13" t="s">
        <v>888</v>
      </c>
      <c r="CA146" s="12" t="str">
        <f>IF(B146="","",IF(A146&lt;8,"",_xlfn.LET(_xlpm.n,A146,_xlpm.k,G146,_xlpm.R,AP146,_xlpm.mu,1+2*_xlpm.k*(_xlpm.n-_xlpm.k)/_xlpm.n,_xlpm.v,2*_xlpm.k*(_xlpm.n-_xlpm.k)*(2*_xlpm.k*(_xlpm.n-_xlpm.k)-_xlpm.n)/(_xlpm.n^2*(_xlpm.n-1)),IF(_xlpm.v&lt;=0,"",(_xlpm.R-_xlpm.mu)/SQRT(_xlpm.v)))))</f>
        <v/>
      </c>
      <c r="CB146" s="37" t="str" cm="1">
        <f t="array" ref="CB146">IF(B146="","",IF(A146&lt;8,"",_xlfn.LET(_xlpm.b,--MID(C146,_xlfn.SEQUENCE(A146-1),1),_xlpm.c,--MID(C146,_xlfn.SEQUENCE(A146-1,,2),1),IFERROR(CORREL(_xlpm.b,_xlpm.c),""))))</f>
        <v/>
      </c>
      <c r="CC146" s="8" t="str">
        <f>IF(B146="","",LOG(A146,2))</f>
        <v/>
      </c>
      <c r="CD146" s="8" t="str">
        <f>IF(B146="","",MAX(AN146,AO146)-CC146)</f>
        <v/>
      </c>
      <c r="CE146" s="8" t="str" cm="1">
        <f t="array" ref="CE146">IF(B146="","",IF(LEN(B146)&lt;16,"",_xlfn.LET(_xlpm.d,MID("0123456789abcdef",_xlfn.SEQUENCE(16),1),_xlpm.c,LEN(B146)-LEN(SUBSTITUTE(B146,_xlpm.d,"")),_xlpm.ex,LEN(B146)/16,SUM((_xlpm.c-_xlpm.ex)^2/_xlpm.ex))))</f>
        <v/>
      </c>
      <c r="CF146" s="37" t="str">
        <f>IF(CE146="","",_xlfn.CHISQ.DIST.RT(CE146,15))</f>
        <v/>
      </c>
      <c r="CG146" s="9" t="str" cm="1">
        <f t="array" ref="CG146">IF(OR(B146="",B145=""),"",_xlfn.LET(_xlpm.a,C146,_xlpm.b,REPT("0",A146-LEN(C145))&amp;C145,_xlpm.m,MID(_xlpm.a,_xlfn.SEQUENCE(A146),1)=MID(_xlpm.b,_xlfn.SEQUENCE(A146),1),IFERROR(MATCH(FALSE,_xlpm.m,0)-1,A146)))</f>
        <v/>
      </c>
      <c r="CH146" s="9" t="str" cm="1">
        <f t="array" ref="CH146">IF(OR(B146="",B145=""),"",_xlfn.LET(_xlpm.a,C146,_xlpm.b,REPT("0",A146-LEN(C145))&amp;C145,_xlpm.n,A146,_xlpm.m,MID(_xlpm.a,_xlfn.SEQUENCE(_xlpm.n,,_xlpm.n,-1),1)=MID(_xlpm.b,_xlfn.SEQUENCE(_xlpm.n,,_xlpm.n,-1),1),IFERROR(MATCH(FALSE,_xlpm.m,0)-1,_xlpm.n)))</f>
        <v/>
      </c>
      <c r="CI146" s="38" t="str">
        <f>IF(OR(B146="",B145=""),"",F146-F145)</f>
        <v/>
      </c>
      <c r="CJ146" s="5" t="str">
        <f>IF(OR(B146="",B145=""),"",IFERROR(FIND(B145,B146)&gt;0,FALSE))</f>
        <v/>
      </c>
      <c r="CK146" s="5" t="str">
        <f>IF(OR(B146="",B145=""),"",IFERROR(FIND(C145,C146)&gt;0,FALSE))</f>
        <v/>
      </c>
      <c r="CL146" s="9" t="str">
        <f>IF(OR(B146="",B145=""),"",IFERROR(FIND(C145,C146),""))</f>
        <v/>
      </c>
      <c r="CM146" s="6" t="str" cm="1">
        <f t="array" ref="CM146">IF(OR(B146="",B145=""),"",_xlfn.LET(_xlpm.pv,D145,_xlpm.ra,BIGSUB(D146,_xlpm.pv),_xlpm.rb,BIGSUB(_xlpm.ra,_xlpm.pv),_xlpm.rc,BIGSUB(_xlpm.rb,_xlpm.pv),IF(LEFT(_xlpm.rb,1)="-",_xlpm.ra,IF(LEFT(_xlpm.rc,1)="-",_xlpm.rb,_xlpm.rc))))</f>
        <v/>
      </c>
      <c r="CN146" s="38" t="str">
        <f>IF(B146="","",F146-0.5)</f>
        <v/>
      </c>
      <c r="CO146" s="15" t="str" cm="1">
        <f t="array" ref="CO146">IF(B146="","",_xlfn.TEXTJOIN("",,MID(B146,_xlfn.SEQUENCE(LEN(B146),,LEN(B146),-1),1)))</f>
        <v/>
      </c>
      <c r="CP146" s="6" t="str" cm="1">
        <f t="array" ref="CP146">IF(B146="","",BASE2DEC(CO146,16))</f>
        <v/>
      </c>
      <c r="CQ146" s="5" t="str">
        <f>IF(B146="","",IF(AND(LEN(B146)&lt;16,LEN(B146)=LEN(SUBSTITUTE(SUBSTITUTE(SUBSTITUTE(SUBSTITUTE(SUBSTITUTE(SUBSTITUTE(B146,"a",""),"b",""),"c",""),"d",""),"e",""),"f",""))),--B146,""))</f>
        <v/>
      </c>
      <c r="CR146" s="6" t="str" cm="1">
        <f t="array" ref="CR146">IF(B146="","",IF(LEN(D146)&lt;=15,BASE2DEC(D146,16),""))</f>
        <v/>
      </c>
      <c r="CS146" s="15" t="str" cm="1">
        <f t="array" ref="CS146">IF(B146="","",_xlfn.LET(_xlpm.p,REPT("0",MOD(-LEN(B146),4))&amp;B146,_xlfn.TEXTJOIN(" ",,MID(_xlpm.p,_xlfn.SEQUENCE(LEN(_xlpm.p)/4,,1,4),4))))</f>
        <v/>
      </c>
      <c r="CT146" s="15" t="str" cm="1">
        <f t="array" ref="CT146">IF(B146="","",UPPER(_xlfn.LET(_xlpm.p,REPT("0",64-LEN(B146))&amp;B146,_xlfn.TEXTJOIN(" ",,MID(_xlpm.p,_xlfn.SEQUENCE(8,,1,8),8)))))</f>
        <v/>
      </c>
      <c r="CU146" s="6" t="str" cm="1">
        <f t="array" ref="CU146">IF(B146="","",IF(LEN(D146)&lt;=6,_xlfn.LET(_xlpm.n,VALUE(D146)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6" s="39" t="s">
        <v>888</v>
      </c>
      <c r="CW146" s="39" t="s">
        <v>888</v>
      </c>
      <c r="CX146" s="39" t="s">
        <v>888</v>
      </c>
      <c r="CY146" s="7" t="s">
        <v>888</v>
      </c>
      <c r="CZ146" s="39" t="s">
        <v>888</v>
      </c>
      <c r="DA146" s="39" t="s">
        <v>888</v>
      </c>
      <c r="DB146" s="39" t="s">
        <v>888</v>
      </c>
      <c r="DC146" s="7" t="s">
        <v>888</v>
      </c>
      <c r="DD146" s="7" t="s">
        <v>888</v>
      </c>
      <c r="DE146" s="7" t="s">
        <v>888</v>
      </c>
      <c r="DF146" s="7" t="s">
        <v>888</v>
      </c>
      <c r="DG146" s="7" t="s">
        <v>888</v>
      </c>
      <c r="DH146" s="39" t="s">
        <v>888</v>
      </c>
      <c r="DI146" s="7" t="s">
        <v>888</v>
      </c>
      <c r="DJ146" s="7" t="s">
        <v>888</v>
      </c>
      <c r="DK146" s="7" t="s">
        <v>888</v>
      </c>
      <c r="DL146" s="7" t="s">
        <v>888</v>
      </c>
      <c r="DM146" s="7" t="s">
        <v>888</v>
      </c>
      <c r="DN146" s="7" t="s">
        <v>888</v>
      </c>
      <c r="DO146" s="7" t="s">
        <v>888</v>
      </c>
      <c r="DP146" s="7" t="s">
        <v>888</v>
      </c>
      <c r="DQ146" s="7" t="s">
        <v>888</v>
      </c>
      <c r="DR146" s="7" t="s">
        <v>888</v>
      </c>
      <c r="DS146" s="7" t="s">
        <v>5839</v>
      </c>
      <c r="DT146" s="15" t="str" cm="1">
        <f t="array" ref="DT146">IF(B146="","",_xlfn.TEXTJOIN("",,HEX2BIN(MID(BQ146,_xlfn.SEQUENCE(40),1),4)))</f>
        <v/>
      </c>
    </row>
    <row r="147" spans="1:124" x14ac:dyDescent="0.25">
      <c r="A147" s="9">
        <v>146</v>
      </c>
      <c r="B147" s="15" t="s">
        <v>888</v>
      </c>
      <c r="C147" s="15" t="s">
        <v>888</v>
      </c>
      <c r="D147" s="6" t="s">
        <v>888</v>
      </c>
      <c r="E147" s="6" t="s">
        <v>888</v>
      </c>
      <c r="F147" s="10" t="s">
        <v>888</v>
      </c>
      <c r="G147" s="9" t="s">
        <v>888</v>
      </c>
      <c r="H147" s="9" t="s">
        <v>888</v>
      </c>
      <c r="I147" s="15" t="s">
        <v>888</v>
      </c>
      <c r="J147" s="9" t="s">
        <v>888</v>
      </c>
      <c r="K147" s="15" t="s">
        <v>888</v>
      </c>
      <c r="L147" s="15" t="s">
        <v>888</v>
      </c>
      <c r="M147" s="15" t="s">
        <v>888</v>
      </c>
      <c r="N147" s="15" t="s">
        <v>888</v>
      </c>
      <c r="O147" s="6" t="s">
        <v>888</v>
      </c>
      <c r="P147" s="15" t="s">
        <v>888</v>
      </c>
      <c r="Q147" s="15" t="s">
        <v>888</v>
      </c>
      <c r="R147" s="6" t="s">
        <v>888</v>
      </c>
      <c r="S147" s="15" t="s">
        <v>888</v>
      </c>
      <c r="T147" s="11" t="s">
        <v>888</v>
      </c>
      <c r="U147" s="10" t="s">
        <v>888</v>
      </c>
      <c r="V147" s="7" t="s">
        <v>888</v>
      </c>
      <c r="W147" s="7" t="s">
        <v>888</v>
      </c>
      <c r="X147" s="7" t="s">
        <v>888</v>
      </c>
      <c r="Y147" s="15" t="s">
        <v>888</v>
      </c>
      <c r="Z147" s="9" t="s">
        <v>888</v>
      </c>
      <c r="AA147" s="9" t="s">
        <v>888</v>
      </c>
      <c r="AB147" s="9" t="s">
        <v>888</v>
      </c>
      <c r="AC147" s="13" t="s">
        <v>888</v>
      </c>
      <c r="AD147" s="13" t="s">
        <v>888</v>
      </c>
      <c r="AE147" s="9" t="s">
        <v>888</v>
      </c>
      <c r="AF147" s="9" t="s">
        <v>888</v>
      </c>
      <c r="AG147" s="9" t="s">
        <v>888</v>
      </c>
      <c r="AH147" s="6" t="s">
        <v>888</v>
      </c>
      <c r="AI147" s="10" t="s">
        <v>888</v>
      </c>
      <c r="AJ147" s="10" t="s">
        <v>888</v>
      </c>
      <c r="AK147" s="15" t="s">
        <v>888</v>
      </c>
      <c r="AL147" s="15" t="s">
        <v>888</v>
      </c>
      <c r="AM147" s="15" t="s">
        <v>888</v>
      </c>
      <c r="AN147" s="9" t="s">
        <v>888</v>
      </c>
      <c r="AO147" s="9" t="s">
        <v>888</v>
      </c>
      <c r="AP147" s="9" t="s">
        <v>888</v>
      </c>
      <c r="AQ147" s="15" t="s">
        <v>888</v>
      </c>
      <c r="AR147" s="9" t="s">
        <v>888</v>
      </c>
      <c r="AS147" s="6" t="s">
        <v>888</v>
      </c>
      <c r="AT147" s="15" t="s">
        <v>888</v>
      </c>
      <c r="AU147" s="9" t="s">
        <v>888</v>
      </c>
      <c r="AV147" s="9" t="s">
        <v>888</v>
      </c>
      <c r="AW147" s="9" t="s">
        <v>888</v>
      </c>
      <c r="AX147" s="9" t="s">
        <v>888</v>
      </c>
      <c r="AY147" s="9" t="s">
        <v>888</v>
      </c>
      <c r="AZ147" s="9" t="s">
        <v>888</v>
      </c>
      <c r="BA147" s="6" t="s">
        <v>888</v>
      </c>
      <c r="BB147" s="6" t="s">
        <v>888</v>
      </c>
      <c r="BC147" s="6" t="s">
        <v>888</v>
      </c>
      <c r="BD147" s="15" t="s">
        <v>888</v>
      </c>
      <c r="BE147" s="15" t="s">
        <v>888</v>
      </c>
      <c r="BF147" s="15" t="s">
        <v>888</v>
      </c>
      <c r="BG147" s="15" t="s">
        <v>888</v>
      </c>
      <c r="BH147" s="6" t="s">
        <v>888</v>
      </c>
      <c r="BI147" s="17" t="s">
        <v>888</v>
      </c>
      <c r="BJ147" s="7" t="s">
        <v>888</v>
      </c>
      <c r="BK147" s="7" t="s">
        <v>888</v>
      </c>
      <c r="BL147" s="7" t="s">
        <v>888</v>
      </c>
      <c r="BM147" s="16" t="s">
        <v>888</v>
      </c>
      <c r="BN147" s="16" t="s">
        <v>888</v>
      </c>
      <c r="BO147" s="16" t="s">
        <v>888</v>
      </c>
      <c r="BP147" s="16" t="s">
        <v>888</v>
      </c>
      <c r="BQ147" s="16" t="s">
        <v>888</v>
      </c>
      <c r="BR147" s="7" t="s">
        <v>888</v>
      </c>
      <c r="BS147" s="7" t="s">
        <v>888</v>
      </c>
      <c r="BT147" s="7" t="s">
        <v>888</v>
      </c>
      <c r="BU147" s="14" t="s">
        <v>888</v>
      </c>
      <c r="BV147" s="15" t="s">
        <v>888</v>
      </c>
      <c r="BW147" s="9" t="s">
        <v>888</v>
      </c>
      <c r="BX147" s="9" t="s">
        <v>888</v>
      </c>
      <c r="BY147" s="13" t="s">
        <v>888</v>
      </c>
      <c r="BZ147" s="13" t="s">
        <v>888</v>
      </c>
      <c r="CA147" s="12" t="str">
        <f>IF(B147="","",IF(A147&lt;8,"",_xlfn.LET(_xlpm.n,A147,_xlpm.k,G147,_xlpm.R,AP147,_xlpm.mu,1+2*_xlpm.k*(_xlpm.n-_xlpm.k)/_xlpm.n,_xlpm.v,2*_xlpm.k*(_xlpm.n-_xlpm.k)*(2*_xlpm.k*(_xlpm.n-_xlpm.k)-_xlpm.n)/(_xlpm.n^2*(_xlpm.n-1)),IF(_xlpm.v&lt;=0,"",(_xlpm.R-_xlpm.mu)/SQRT(_xlpm.v)))))</f>
        <v/>
      </c>
      <c r="CB147" s="37" t="str" cm="1">
        <f t="array" ref="CB147">IF(B147="","",IF(A147&lt;8,"",_xlfn.LET(_xlpm.b,--MID(C147,_xlfn.SEQUENCE(A147-1),1),_xlpm.c,--MID(C147,_xlfn.SEQUENCE(A147-1,,2),1),IFERROR(CORREL(_xlpm.b,_xlpm.c),""))))</f>
        <v/>
      </c>
      <c r="CC147" s="8" t="str">
        <f>IF(B147="","",LOG(A147,2))</f>
        <v/>
      </c>
      <c r="CD147" s="8" t="str">
        <f>IF(B147="","",MAX(AN147,AO147)-CC147)</f>
        <v/>
      </c>
      <c r="CE147" s="8" t="str" cm="1">
        <f t="array" ref="CE147">IF(B147="","",IF(LEN(B147)&lt;16,"",_xlfn.LET(_xlpm.d,MID("0123456789abcdef",_xlfn.SEQUENCE(16),1),_xlpm.c,LEN(B147)-LEN(SUBSTITUTE(B147,_xlpm.d,"")),_xlpm.ex,LEN(B147)/16,SUM((_xlpm.c-_xlpm.ex)^2/_xlpm.ex))))</f>
        <v/>
      </c>
      <c r="CF147" s="37" t="str">
        <f>IF(CE147="","",_xlfn.CHISQ.DIST.RT(CE147,15))</f>
        <v/>
      </c>
      <c r="CG147" s="9" t="str" cm="1">
        <f t="array" ref="CG147">IF(OR(B147="",B146=""),"",_xlfn.LET(_xlpm.a,C147,_xlpm.b,REPT("0",A147-LEN(C146))&amp;C146,_xlpm.m,MID(_xlpm.a,_xlfn.SEQUENCE(A147),1)=MID(_xlpm.b,_xlfn.SEQUENCE(A147),1),IFERROR(MATCH(FALSE,_xlpm.m,0)-1,A147)))</f>
        <v/>
      </c>
      <c r="CH147" s="9" t="str" cm="1">
        <f t="array" ref="CH147">IF(OR(B147="",B146=""),"",_xlfn.LET(_xlpm.a,C147,_xlpm.b,REPT("0",A147-LEN(C146))&amp;C146,_xlpm.n,A147,_xlpm.m,MID(_xlpm.a,_xlfn.SEQUENCE(_xlpm.n,,_xlpm.n,-1),1)=MID(_xlpm.b,_xlfn.SEQUENCE(_xlpm.n,,_xlpm.n,-1),1),IFERROR(MATCH(FALSE,_xlpm.m,0)-1,_xlpm.n)))</f>
        <v/>
      </c>
      <c r="CI147" s="38" t="str">
        <f>IF(OR(B147="",B146=""),"",F147-F146)</f>
        <v/>
      </c>
      <c r="CJ147" s="5" t="str">
        <f>IF(OR(B147="",B146=""),"",IFERROR(FIND(B146,B147)&gt;0,FALSE))</f>
        <v/>
      </c>
      <c r="CK147" s="5" t="str">
        <f>IF(OR(B147="",B146=""),"",IFERROR(FIND(C146,C147)&gt;0,FALSE))</f>
        <v/>
      </c>
      <c r="CL147" s="9" t="str">
        <f>IF(OR(B147="",B146=""),"",IFERROR(FIND(C146,C147),""))</f>
        <v/>
      </c>
      <c r="CM147" s="6" t="str" cm="1">
        <f t="array" ref="CM147">IF(OR(B147="",B146=""),"",_xlfn.LET(_xlpm.pv,D146,_xlpm.ra,BIGSUB(D147,_xlpm.pv),_xlpm.rb,BIGSUB(_xlpm.ra,_xlpm.pv),_xlpm.rc,BIGSUB(_xlpm.rb,_xlpm.pv),IF(LEFT(_xlpm.rb,1)="-",_xlpm.ra,IF(LEFT(_xlpm.rc,1)="-",_xlpm.rb,_xlpm.rc))))</f>
        <v/>
      </c>
      <c r="CN147" s="38" t="str">
        <f>IF(B147="","",F147-0.5)</f>
        <v/>
      </c>
      <c r="CO147" s="15" t="str" cm="1">
        <f t="array" ref="CO147">IF(B147="","",_xlfn.TEXTJOIN("",,MID(B147,_xlfn.SEQUENCE(LEN(B147),,LEN(B147),-1),1)))</f>
        <v/>
      </c>
      <c r="CP147" s="6" t="str" cm="1">
        <f t="array" ref="CP147">IF(B147="","",BASE2DEC(CO147,16))</f>
        <v/>
      </c>
      <c r="CQ147" s="5" t="str">
        <f>IF(B147="","",IF(AND(LEN(B147)&lt;16,LEN(B147)=LEN(SUBSTITUTE(SUBSTITUTE(SUBSTITUTE(SUBSTITUTE(SUBSTITUTE(SUBSTITUTE(B147,"a",""),"b",""),"c",""),"d",""),"e",""),"f",""))),--B147,""))</f>
        <v/>
      </c>
      <c r="CR147" s="6" t="str" cm="1">
        <f t="array" ref="CR147">IF(B147="","",IF(LEN(D147)&lt;=15,BASE2DEC(D147,16),""))</f>
        <v/>
      </c>
      <c r="CS147" s="15" t="str" cm="1">
        <f t="array" ref="CS147">IF(B147="","",_xlfn.LET(_xlpm.p,REPT("0",MOD(-LEN(B147),4))&amp;B147,_xlfn.TEXTJOIN(" ",,MID(_xlpm.p,_xlfn.SEQUENCE(LEN(_xlpm.p)/4,,1,4),4))))</f>
        <v/>
      </c>
      <c r="CT147" s="15" t="str" cm="1">
        <f t="array" ref="CT147">IF(B147="","",UPPER(_xlfn.LET(_xlpm.p,REPT("0",64-LEN(B147))&amp;B147,_xlfn.TEXTJOIN(" ",,MID(_xlpm.p,_xlfn.SEQUENCE(8,,1,8),8)))))</f>
        <v/>
      </c>
      <c r="CU147" s="6" t="str" cm="1">
        <f t="array" ref="CU147">IF(B147="","",IF(LEN(D147)&lt;=6,_xlfn.LET(_xlpm.n,VALUE(D147)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7" s="39" t="s">
        <v>888</v>
      </c>
      <c r="CW147" s="39" t="s">
        <v>888</v>
      </c>
      <c r="CX147" s="39" t="s">
        <v>888</v>
      </c>
      <c r="CY147" s="7" t="s">
        <v>888</v>
      </c>
      <c r="CZ147" s="39" t="s">
        <v>888</v>
      </c>
      <c r="DA147" s="39" t="s">
        <v>888</v>
      </c>
      <c r="DB147" s="39" t="s">
        <v>888</v>
      </c>
      <c r="DC147" s="7" t="s">
        <v>888</v>
      </c>
      <c r="DD147" s="7" t="s">
        <v>888</v>
      </c>
      <c r="DE147" s="7" t="s">
        <v>888</v>
      </c>
      <c r="DF147" s="7" t="s">
        <v>888</v>
      </c>
      <c r="DG147" s="7" t="s">
        <v>888</v>
      </c>
      <c r="DH147" s="39" t="s">
        <v>888</v>
      </c>
      <c r="DI147" s="7" t="s">
        <v>888</v>
      </c>
      <c r="DJ147" s="7" t="s">
        <v>888</v>
      </c>
      <c r="DK147" s="7" t="s">
        <v>888</v>
      </c>
      <c r="DL147" s="7" t="s">
        <v>888</v>
      </c>
      <c r="DM147" s="7" t="s">
        <v>888</v>
      </c>
      <c r="DN147" s="7" t="s">
        <v>888</v>
      </c>
      <c r="DO147" s="7" t="s">
        <v>888</v>
      </c>
      <c r="DP147" s="7" t="s">
        <v>888</v>
      </c>
      <c r="DQ147" s="7" t="s">
        <v>888</v>
      </c>
      <c r="DR147" s="7" t="s">
        <v>888</v>
      </c>
      <c r="DS147" s="7" t="s">
        <v>888</v>
      </c>
      <c r="DT147" s="15" t="str" cm="1">
        <f t="array" ref="DT147">IF(B147="","",_xlfn.TEXTJOIN("",,HEX2BIN(MID(BQ147,_xlfn.SEQUENCE(40),1),4)))</f>
        <v/>
      </c>
    </row>
    <row r="148" spans="1:124" x14ac:dyDescent="0.25">
      <c r="A148" s="9">
        <v>147</v>
      </c>
      <c r="B148" s="15" t="s">
        <v>888</v>
      </c>
      <c r="C148" s="15" t="s">
        <v>888</v>
      </c>
      <c r="D148" s="6" t="s">
        <v>888</v>
      </c>
      <c r="E148" s="6" t="s">
        <v>888</v>
      </c>
      <c r="F148" s="10" t="s">
        <v>888</v>
      </c>
      <c r="G148" s="9" t="s">
        <v>888</v>
      </c>
      <c r="H148" s="9" t="s">
        <v>888</v>
      </c>
      <c r="I148" s="15" t="s">
        <v>888</v>
      </c>
      <c r="J148" s="9" t="s">
        <v>888</v>
      </c>
      <c r="K148" s="15" t="s">
        <v>888</v>
      </c>
      <c r="L148" s="15" t="s">
        <v>888</v>
      </c>
      <c r="M148" s="15" t="s">
        <v>888</v>
      </c>
      <c r="N148" s="15" t="s">
        <v>888</v>
      </c>
      <c r="O148" s="6" t="s">
        <v>888</v>
      </c>
      <c r="P148" s="15" t="s">
        <v>888</v>
      </c>
      <c r="Q148" s="15" t="s">
        <v>888</v>
      </c>
      <c r="R148" s="6" t="s">
        <v>888</v>
      </c>
      <c r="S148" s="15" t="s">
        <v>888</v>
      </c>
      <c r="T148" s="11" t="s">
        <v>888</v>
      </c>
      <c r="U148" s="10" t="s">
        <v>888</v>
      </c>
      <c r="V148" s="7" t="s">
        <v>888</v>
      </c>
      <c r="W148" s="7" t="s">
        <v>888</v>
      </c>
      <c r="X148" s="7" t="s">
        <v>888</v>
      </c>
      <c r="Y148" s="15" t="s">
        <v>888</v>
      </c>
      <c r="Z148" s="9" t="s">
        <v>888</v>
      </c>
      <c r="AA148" s="9" t="s">
        <v>888</v>
      </c>
      <c r="AB148" s="9" t="s">
        <v>888</v>
      </c>
      <c r="AC148" s="13" t="s">
        <v>888</v>
      </c>
      <c r="AD148" s="13" t="s">
        <v>888</v>
      </c>
      <c r="AE148" s="9" t="s">
        <v>888</v>
      </c>
      <c r="AF148" s="9" t="s">
        <v>888</v>
      </c>
      <c r="AG148" s="9" t="s">
        <v>888</v>
      </c>
      <c r="AH148" s="6" t="s">
        <v>888</v>
      </c>
      <c r="AI148" s="10" t="s">
        <v>888</v>
      </c>
      <c r="AJ148" s="10" t="s">
        <v>888</v>
      </c>
      <c r="AK148" s="15" t="s">
        <v>888</v>
      </c>
      <c r="AL148" s="15" t="s">
        <v>888</v>
      </c>
      <c r="AM148" s="15" t="s">
        <v>888</v>
      </c>
      <c r="AN148" s="9" t="s">
        <v>888</v>
      </c>
      <c r="AO148" s="9" t="s">
        <v>888</v>
      </c>
      <c r="AP148" s="9" t="s">
        <v>888</v>
      </c>
      <c r="AQ148" s="15" t="s">
        <v>888</v>
      </c>
      <c r="AR148" s="9" t="s">
        <v>888</v>
      </c>
      <c r="AS148" s="6" t="s">
        <v>888</v>
      </c>
      <c r="AT148" s="15" t="s">
        <v>888</v>
      </c>
      <c r="AU148" s="9" t="s">
        <v>888</v>
      </c>
      <c r="AV148" s="9" t="s">
        <v>888</v>
      </c>
      <c r="AW148" s="9" t="s">
        <v>888</v>
      </c>
      <c r="AX148" s="9" t="s">
        <v>888</v>
      </c>
      <c r="AY148" s="9" t="s">
        <v>888</v>
      </c>
      <c r="AZ148" s="9" t="s">
        <v>888</v>
      </c>
      <c r="BA148" s="6" t="s">
        <v>888</v>
      </c>
      <c r="BB148" s="6" t="s">
        <v>888</v>
      </c>
      <c r="BC148" s="6" t="s">
        <v>888</v>
      </c>
      <c r="BD148" s="15" t="s">
        <v>888</v>
      </c>
      <c r="BE148" s="15" t="s">
        <v>888</v>
      </c>
      <c r="BF148" s="15" t="s">
        <v>888</v>
      </c>
      <c r="BG148" s="15" t="s">
        <v>888</v>
      </c>
      <c r="BH148" s="6" t="s">
        <v>888</v>
      </c>
      <c r="BI148" s="17" t="s">
        <v>888</v>
      </c>
      <c r="BJ148" s="7" t="s">
        <v>888</v>
      </c>
      <c r="BK148" s="7" t="s">
        <v>888</v>
      </c>
      <c r="BL148" s="7" t="s">
        <v>888</v>
      </c>
      <c r="BM148" s="16" t="s">
        <v>888</v>
      </c>
      <c r="BN148" s="16" t="s">
        <v>888</v>
      </c>
      <c r="BO148" s="16" t="s">
        <v>888</v>
      </c>
      <c r="BP148" s="16" t="s">
        <v>888</v>
      </c>
      <c r="BQ148" s="16" t="s">
        <v>888</v>
      </c>
      <c r="BR148" s="7" t="s">
        <v>888</v>
      </c>
      <c r="BS148" s="7" t="s">
        <v>888</v>
      </c>
      <c r="BT148" s="7" t="s">
        <v>888</v>
      </c>
      <c r="BU148" s="14" t="s">
        <v>888</v>
      </c>
      <c r="BV148" s="15" t="s">
        <v>888</v>
      </c>
      <c r="BW148" s="9" t="s">
        <v>888</v>
      </c>
      <c r="BX148" s="9" t="s">
        <v>888</v>
      </c>
      <c r="BY148" s="13" t="s">
        <v>888</v>
      </c>
      <c r="BZ148" s="13" t="s">
        <v>888</v>
      </c>
      <c r="CA148" s="12" t="str">
        <f>IF(B148="","",IF(A148&lt;8,"",_xlfn.LET(_xlpm.n,A148,_xlpm.k,G148,_xlpm.R,AP148,_xlpm.mu,1+2*_xlpm.k*(_xlpm.n-_xlpm.k)/_xlpm.n,_xlpm.v,2*_xlpm.k*(_xlpm.n-_xlpm.k)*(2*_xlpm.k*(_xlpm.n-_xlpm.k)-_xlpm.n)/(_xlpm.n^2*(_xlpm.n-1)),IF(_xlpm.v&lt;=0,"",(_xlpm.R-_xlpm.mu)/SQRT(_xlpm.v)))))</f>
        <v/>
      </c>
      <c r="CB148" s="37" t="str" cm="1">
        <f t="array" ref="CB148">IF(B148="","",IF(A148&lt;8,"",_xlfn.LET(_xlpm.b,--MID(C148,_xlfn.SEQUENCE(A148-1),1),_xlpm.c,--MID(C148,_xlfn.SEQUENCE(A148-1,,2),1),IFERROR(CORREL(_xlpm.b,_xlpm.c),""))))</f>
        <v/>
      </c>
      <c r="CC148" s="8" t="str">
        <f>IF(B148="","",LOG(A148,2))</f>
        <v/>
      </c>
      <c r="CD148" s="8" t="str">
        <f>IF(B148="","",MAX(AN148,AO148)-CC148)</f>
        <v/>
      </c>
      <c r="CE148" s="8" t="str" cm="1">
        <f t="array" ref="CE148">IF(B148="","",IF(LEN(B148)&lt;16,"",_xlfn.LET(_xlpm.d,MID("0123456789abcdef",_xlfn.SEQUENCE(16),1),_xlpm.c,LEN(B148)-LEN(SUBSTITUTE(B148,_xlpm.d,"")),_xlpm.ex,LEN(B148)/16,SUM((_xlpm.c-_xlpm.ex)^2/_xlpm.ex))))</f>
        <v/>
      </c>
      <c r="CF148" s="37" t="str">
        <f>IF(CE148="","",_xlfn.CHISQ.DIST.RT(CE148,15))</f>
        <v/>
      </c>
      <c r="CG148" s="9" t="str" cm="1">
        <f t="array" ref="CG148">IF(OR(B148="",B147=""),"",_xlfn.LET(_xlpm.a,C148,_xlpm.b,REPT("0",A148-LEN(C147))&amp;C147,_xlpm.m,MID(_xlpm.a,_xlfn.SEQUENCE(A148),1)=MID(_xlpm.b,_xlfn.SEQUENCE(A148),1),IFERROR(MATCH(FALSE,_xlpm.m,0)-1,A148)))</f>
        <v/>
      </c>
      <c r="CH148" s="9" t="str" cm="1">
        <f t="array" ref="CH148">IF(OR(B148="",B147=""),"",_xlfn.LET(_xlpm.a,C148,_xlpm.b,REPT("0",A148-LEN(C147))&amp;C147,_xlpm.n,A148,_xlpm.m,MID(_xlpm.a,_xlfn.SEQUENCE(_xlpm.n,,_xlpm.n,-1),1)=MID(_xlpm.b,_xlfn.SEQUENCE(_xlpm.n,,_xlpm.n,-1),1),IFERROR(MATCH(FALSE,_xlpm.m,0)-1,_xlpm.n)))</f>
        <v/>
      </c>
      <c r="CI148" s="38" t="str">
        <f>IF(OR(B148="",B147=""),"",F148-F147)</f>
        <v/>
      </c>
      <c r="CJ148" s="5" t="str">
        <f>IF(OR(B148="",B147=""),"",IFERROR(FIND(B147,B148)&gt;0,FALSE))</f>
        <v/>
      </c>
      <c r="CK148" s="5" t="str">
        <f>IF(OR(B148="",B147=""),"",IFERROR(FIND(C147,C148)&gt;0,FALSE))</f>
        <v/>
      </c>
      <c r="CL148" s="9" t="str">
        <f>IF(OR(B148="",B147=""),"",IFERROR(FIND(C147,C148),""))</f>
        <v/>
      </c>
      <c r="CM148" s="6" t="str" cm="1">
        <f t="array" ref="CM148">IF(OR(B148="",B147=""),"",_xlfn.LET(_xlpm.pv,D147,_xlpm.ra,BIGSUB(D148,_xlpm.pv),_xlpm.rb,BIGSUB(_xlpm.ra,_xlpm.pv),_xlpm.rc,BIGSUB(_xlpm.rb,_xlpm.pv),IF(LEFT(_xlpm.rb,1)="-",_xlpm.ra,IF(LEFT(_xlpm.rc,1)="-",_xlpm.rb,_xlpm.rc))))</f>
        <v/>
      </c>
      <c r="CN148" s="38" t="str">
        <f>IF(B148="","",F148-0.5)</f>
        <v/>
      </c>
      <c r="CO148" s="15" t="str" cm="1">
        <f t="array" ref="CO148">IF(B148="","",_xlfn.TEXTJOIN("",,MID(B148,_xlfn.SEQUENCE(LEN(B148),,LEN(B148),-1),1)))</f>
        <v/>
      </c>
      <c r="CP148" s="6" t="str" cm="1">
        <f t="array" ref="CP148">IF(B148="","",BASE2DEC(CO148,16))</f>
        <v/>
      </c>
      <c r="CQ148" s="5" t="str">
        <f>IF(B148="","",IF(AND(LEN(B148)&lt;16,LEN(B148)=LEN(SUBSTITUTE(SUBSTITUTE(SUBSTITUTE(SUBSTITUTE(SUBSTITUTE(SUBSTITUTE(B148,"a",""),"b",""),"c",""),"d",""),"e",""),"f",""))),--B148,""))</f>
        <v/>
      </c>
      <c r="CR148" s="6" t="str" cm="1">
        <f t="array" ref="CR148">IF(B148="","",IF(LEN(D148)&lt;=15,BASE2DEC(D148,16),""))</f>
        <v/>
      </c>
      <c r="CS148" s="15" t="str" cm="1">
        <f t="array" ref="CS148">IF(B148="","",_xlfn.LET(_xlpm.p,REPT("0",MOD(-LEN(B148),4))&amp;B148,_xlfn.TEXTJOIN(" ",,MID(_xlpm.p,_xlfn.SEQUENCE(LEN(_xlpm.p)/4,,1,4),4))))</f>
        <v/>
      </c>
      <c r="CT148" s="15" t="str" cm="1">
        <f t="array" ref="CT148">IF(B148="","",UPPER(_xlfn.LET(_xlpm.p,REPT("0",64-LEN(B148))&amp;B148,_xlfn.TEXTJOIN(" ",,MID(_xlpm.p,_xlfn.SEQUENCE(8,,1,8),8)))))</f>
        <v/>
      </c>
      <c r="CU148" s="6" t="str" cm="1">
        <f t="array" ref="CU148">IF(B148="","",IF(LEN(D148)&lt;=6,_xlfn.LET(_xlpm.n,VALUE(D148)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8" s="39" t="s">
        <v>888</v>
      </c>
      <c r="CW148" s="39" t="s">
        <v>888</v>
      </c>
      <c r="CX148" s="39" t="s">
        <v>888</v>
      </c>
      <c r="CY148" s="7" t="s">
        <v>888</v>
      </c>
      <c r="CZ148" s="39" t="s">
        <v>888</v>
      </c>
      <c r="DA148" s="39" t="s">
        <v>888</v>
      </c>
      <c r="DB148" s="39" t="s">
        <v>888</v>
      </c>
      <c r="DC148" s="7" t="s">
        <v>888</v>
      </c>
      <c r="DD148" s="7" t="s">
        <v>888</v>
      </c>
      <c r="DE148" s="7" t="s">
        <v>888</v>
      </c>
      <c r="DF148" s="7" t="s">
        <v>888</v>
      </c>
      <c r="DG148" s="7" t="s">
        <v>888</v>
      </c>
      <c r="DH148" s="39" t="s">
        <v>888</v>
      </c>
      <c r="DI148" s="7" t="s">
        <v>888</v>
      </c>
      <c r="DJ148" s="7" t="s">
        <v>888</v>
      </c>
      <c r="DK148" s="7" t="s">
        <v>888</v>
      </c>
      <c r="DL148" s="7" t="s">
        <v>888</v>
      </c>
      <c r="DM148" s="7" t="s">
        <v>888</v>
      </c>
      <c r="DN148" s="7" t="s">
        <v>888</v>
      </c>
      <c r="DO148" s="7" t="s">
        <v>888</v>
      </c>
      <c r="DP148" s="7" t="s">
        <v>888</v>
      </c>
      <c r="DQ148" s="7" t="s">
        <v>888</v>
      </c>
      <c r="DR148" s="7" t="s">
        <v>888</v>
      </c>
      <c r="DS148" s="7" t="s">
        <v>888</v>
      </c>
      <c r="DT148" s="15" t="str" cm="1">
        <f t="array" ref="DT148">IF(B148="","",_xlfn.TEXTJOIN("",,HEX2BIN(MID(BQ148,_xlfn.SEQUENCE(40),1),4)))</f>
        <v/>
      </c>
    </row>
    <row r="149" spans="1:124" x14ac:dyDescent="0.25">
      <c r="A149" s="9">
        <v>148</v>
      </c>
      <c r="B149" s="15" t="s">
        <v>888</v>
      </c>
      <c r="C149" s="15" t="s">
        <v>888</v>
      </c>
      <c r="D149" s="6" t="s">
        <v>888</v>
      </c>
      <c r="E149" s="6" t="s">
        <v>888</v>
      </c>
      <c r="F149" s="10" t="s">
        <v>888</v>
      </c>
      <c r="G149" s="9" t="s">
        <v>888</v>
      </c>
      <c r="H149" s="9" t="s">
        <v>888</v>
      </c>
      <c r="I149" s="15" t="s">
        <v>888</v>
      </c>
      <c r="J149" s="9" t="s">
        <v>888</v>
      </c>
      <c r="K149" s="15" t="s">
        <v>888</v>
      </c>
      <c r="L149" s="15" t="s">
        <v>888</v>
      </c>
      <c r="M149" s="15" t="s">
        <v>888</v>
      </c>
      <c r="N149" s="15" t="s">
        <v>888</v>
      </c>
      <c r="O149" s="6" t="s">
        <v>888</v>
      </c>
      <c r="P149" s="15" t="s">
        <v>888</v>
      </c>
      <c r="Q149" s="15" t="s">
        <v>888</v>
      </c>
      <c r="R149" s="6" t="s">
        <v>888</v>
      </c>
      <c r="S149" s="15" t="s">
        <v>888</v>
      </c>
      <c r="T149" s="11" t="s">
        <v>888</v>
      </c>
      <c r="U149" s="10" t="s">
        <v>888</v>
      </c>
      <c r="V149" s="7" t="s">
        <v>888</v>
      </c>
      <c r="W149" s="7" t="s">
        <v>888</v>
      </c>
      <c r="X149" s="7" t="s">
        <v>888</v>
      </c>
      <c r="Y149" s="15" t="s">
        <v>888</v>
      </c>
      <c r="Z149" s="9" t="s">
        <v>888</v>
      </c>
      <c r="AA149" s="9" t="s">
        <v>888</v>
      </c>
      <c r="AB149" s="9" t="s">
        <v>888</v>
      </c>
      <c r="AC149" s="13" t="s">
        <v>888</v>
      </c>
      <c r="AD149" s="13" t="s">
        <v>888</v>
      </c>
      <c r="AE149" s="9" t="s">
        <v>888</v>
      </c>
      <c r="AF149" s="9" t="s">
        <v>888</v>
      </c>
      <c r="AG149" s="9" t="s">
        <v>888</v>
      </c>
      <c r="AH149" s="6" t="s">
        <v>888</v>
      </c>
      <c r="AI149" s="10" t="s">
        <v>888</v>
      </c>
      <c r="AJ149" s="10" t="s">
        <v>888</v>
      </c>
      <c r="AK149" s="15" t="s">
        <v>888</v>
      </c>
      <c r="AL149" s="15" t="s">
        <v>888</v>
      </c>
      <c r="AM149" s="15" t="s">
        <v>888</v>
      </c>
      <c r="AN149" s="9" t="s">
        <v>888</v>
      </c>
      <c r="AO149" s="9" t="s">
        <v>888</v>
      </c>
      <c r="AP149" s="9" t="s">
        <v>888</v>
      </c>
      <c r="AQ149" s="15" t="s">
        <v>888</v>
      </c>
      <c r="AR149" s="9" t="s">
        <v>888</v>
      </c>
      <c r="AS149" s="6" t="s">
        <v>888</v>
      </c>
      <c r="AT149" s="15" t="s">
        <v>888</v>
      </c>
      <c r="AU149" s="9" t="s">
        <v>888</v>
      </c>
      <c r="AV149" s="9" t="s">
        <v>888</v>
      </c>
      <c r="AW149" s="9" t="s">
        <v>888</v>
      </c>
      <c r="AX149" s="9" t="s">
        <v>888</v>
      </c>
      <c r="AY149" s="9" t="s">
        <v>888</v>
      </c>
      <c r="AZ149" s="9" t="s">
        <v>888</v>
      </c>
      <c r="BA149" s="6" t="s">
        <v>888</v>
      </c>
      <c r="BB149" s="6" t="s">
        <v>888</v>
      </c>
      <c r="BC149" s="6" t="s">
        <v>888</v>
      </c>
      <c r="BD149" s="15" t="s">
        <v>888</v>
      </c>
      <c r="BE149" s="15" t="s">
        <v>888</v>
      </c>
      <c r="BF149" s="15" t="s">
        <v>888</v>
      </c>
      <c r="BG149" s="15" t="s">
        <v>888</v>
      </c>
      <c r="BH149" s="6" t="s">
        <v>888</v>
      </c>
      <c r="BI149" s="17" t="s">
        <v>888</v>
      </c>
      <c r="BJ149" s="7" t="s">
        <v>888</v>
      </c>
      <c r="BK149" s="7" t="s">
        <v>888</v>
      </c>
      <c r="BL149" s="7" t="s">
        <v>888</v>
      </c>
      <c r="BM149" s="16" t="s">
        <v>888</v>
      </c>
      <c r="BN149" s="16" t="s">
        <v>888</v>
      </c>
      <c r="BO149" s="16" t="s">
        <v>888</v>
      </c>
      <c r="BP149" s="16" t="s">
        <v>888</v>
      </c>
      <c r="BQ149" s="16" t="s">
        <v>888</v>
      </c>
      <c r="BR149" s="7" t="s">
        <v>888</v>
      </c>
      <c r="BS149" s="7" t="s">
        <v>888</v>
      </c>
      <c r="BT149" s="7" t="s">
        <v>888</v>
      </c>
      <c r="BU149" s="14" t="s">
        <v>888</v>
      </c>
      <c r="BV149" s="15" t="s">
        <v>888</v>
      </c>
      <c r="BW149" s="9" t="s">
        <v>888</v>
      </c>
      <c r="BX149" s="9" t="s">
        <v>888</v>
      </c>
      <c r="BY149" s="13" t="s">
        <v>888</v>
      </c>
      <c r="BZ149" s="13" t="s">
        <v>888</v>
      </c>
      <c r="CA149" s="12" t="str">
        <f>IF(B149="","",IF(A149&lt;8,"",_xlfn.LET(_xlpm.n,A149,_xlpm.k,G149,_xlpm.R,AP149,_xlpm.mu,1+2*_xlpm.k*(_xlpm.n-_xlpm.k)/_xlpm.n,_xlpm.v,2*_xlpm.k*(_xlpm.n-_xlpm.k)*(2*_xlpm.k*(_xlpm.n-_xlpm.k)-_xlpm.n)/(_xlpm.n^2*(_xlpm.n-1)),IF(_xlpm.v&lt;=0,"",(_xlpm.R-_xlpm.mu)/SQRT(_xlpm.v)))))</f>
        <v/>
      </c>
      <c r="CB149" s="37" t="str" cm="1">
        <f t="array" ref="CB149">IF(B149="","",IF(A149&lt;8,"",_xlfn.LET(_xlpm.b,--MID(C149,_xlfn.SEQUENCE(A149-1),1),_xlpm.c,--MID(C149,_xlfn.SEQUENCE(A149-1,,2),1),IFERROR(CORREL(_xlpm.b,_xlpm.c),""))))</f>
        <v/>
      </c>
      <c r="CC149" s="8" t="str">
        <f>IF(B149="","",LOG(A149,2))</f>
        <v/>
      </c>
      <c r="CD149" s="8" t="str">
        <f>IF(B149="","",MAX(AN149,AO149)-CC149)</f>
        <v/>
      </c>
      <c r="CE149" s="8" t="str" cm="1">
        <f t="array" ref="CE149">IF(B149="","",IF(LEN(B149)&lt;16,"",_xlfn.LET(_xlpm.d,MID("0123456789abcdef",_xlfn.SEQUENCE(16),1),_xlpm.c,LEN(B149)-LEN(SUBSTITUTE(B149,_xlpm.d,"")),_xlpm.ex,LEN(B149)/16,SUM((_xlpm.c-_xlpm.ex)^2/_xlpm.ex))))</f>
        <v/>
      </c>
      <c r="CF149" s="37" t="str">
        <f>IF(CE149="","",_xlfn.CHISQ.DIST.RT(CE149,15))</f>
        <v/>
      </c>
      <c r="CG149" s="9" t="str" cm="1">
        <f t="array" ref="CG149">IF(OR(B149="",B148=""),"",_xlfn.LET(_xlpm.a,C149,_xlpm.b,REPT("0",A149-LEN(C148))&amp;C148,_xlpm.m,MID(_xlpm.a,_xlfn.SEQUENCE(A149),1)=MID(_xlpm.b,_xlfn.SEQUENCE(A149),1),IFERROR(MATCH(FALSE,_xlpm.m,0)-1,A149)))</f>
        <v/>
      </c>
      <c r="CH149" s="9" t="str" cm="1">
        <f t="array" ref="CH149">IF(OR(B149="",B148=""),"",_xlfn.LET(_xlpm.a,C149,_xlpm.b,REPT("0",A149-LEN(C148))&amp;C148,_xlpm.n,A149,_xlpm.m,MID(_xlpm.a,_xlfn.SEQUENCE(_xlpm.n,,_xlpm.n,-1),1)=MID(_xlpm.b,_xlfn.SEQUENCE(_xlpm.n,,_xlpm.n,-1),1),IFERROR(MATCH(FALSE,_xlpm.m,0)-1,_xlpm.n)))</f>
        <v/>
      </c>
      <c r="CI149" s="38" t="str">
        <f>IF(OR(B149="",B148=""),"",F149-F148)</f>
        <v/>
      </c>
      <c r="CJ149" s="5" t="str">
        <f>IF(OR(B149="",B148=""),"",IFERROR(FIND(B148,B149)&gt;0,FALSE))</f>
        <v/>
      </c>
      <c r="CK149" s="5" t="str">
        <f>IF(OR(B149="",B148=""),"",IFERROR(FIND(C148,C149)&gt;0,FALSE))</f>
        <v/>
      </c>
      <c r="CL149" s="9" t="str">
        <f>IF(OR(B149="",B148=""),"",IFERROR(FIND(C148,C149),""))</f>
        <v/>
      </c>
      <c r="CM149" s="6" t="str" cm="1">
        <f t="array" ref="CM149">IF(OR(B149="",B148=""),"",_xlfn.LET(_xlpm.pv,D148,_xlpm.ra,BIGSUB(D149,_xlpm.pv),_xlpm.rb,BIGSUB(_xlpm.ra,_xlpm.pv),_xlpm.rc,BIGSUB(_xlpm.rb,_xlpm.pv),IF(LEFT(_xlpm.rb,1)="-",_xlpm.ra,IF(LEFT(_xlpm.rc,1)="-",_xlpm.rb,_xlpm.rc))))</f>
        <v/>
      </c>
      <c r="CN149" s="38" t="str">
        <f>IF(B149="","",F149-0.5)</f>
        <v/>
      </c>
      <c r="CO149" s="15" t="str" cm="1">
        <f t="array" ref="CO149">IF(B149="","",_xlfn.TEXTJOIN("",,MID(B149,_xlfn.SEQUENCE(LEN(B149),,LEN(B149),-1),1)))</f>
        <v/>
      </c>
      <c r="CP149" s="6" t="str" cm="1">
        <f t="array" ref="CP149">IF(B149="","",BASE2DEC(CO149,16))</f>
        <v/>
      </c>
      <c r="CQ149" s="5" t="str">
        <f>IF(B149="","",IF(AND(LEN(B149)&lt;16,LEN(B149)=LEN(SUBSTITUTE(SUBSTITUTE(SUBSTITUTE(SUBSTITUTE(SUBSTITUTE(SUBSTITUTE(B149,"a",""),"b",""),"c",""),"d",""),"e",""),"f",""))),--B149,""))</f>
        <v/>
      </c>
      <c r="CR149" s="6" t="str" cm="1">
        <f t="array" ref="CR149">IF(B149="","",IF(LEN(D149)&lt;=15,BASE2DEC(D149,16),""))</f>
        <v/>
      </c>
      <c r="CS149" s="15" t="str" cm="1">
        <f t="array" ref="CS149">IF(B149="","",_xlfn.LET(_xlpm.p,REPT("0",MOD(-LEN(B149),4))&amp;B149,_xlfn.TEXTJOIN(" ",,MID(_xlpm.p,_xlfn.SEQUENCE(LEN(_xlpm.p)/4,,1,4),4))))</f>
        <v/>
      </c>
      <c r="CT149" s="15" t="str" cm="1">
        <f t="array" ref="CT149">IF(B149="","",UPPER(_xlfn.LET(_xlpm.p,REPT("0",64-LEN(B149))&amp;B149,_xlfn.TEXTJOIN(" ",,MID(_xlpm.p,_xlfn.SEQUENCE(8,,1,8),8)))))</f>
        <v/>
      </c>
      <c r="CU149" s="6" t="str" cm="1">
        <f t="array" ref="CU149">IF(B149="","",IF(LEN(D149)&lt;=6,_xlfn.LET(_xlpm.n,VALUE(D149)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49" s="39" t="s">
        <v>888</v>
      </c>
      <c r="CW149" s="39" t="s">
        <v>888</v>
      </c>
      <c r="CX149" s="39" t="s">
        <v>888</v>
      </c>
      <c r="CY149" s="7" t="s">
        <v>888</v>
      </c>
      <c r="CZ149" s="39" t="s">
        <v>888</v>
      </c>
      <c r="DA149" s="39" t="s">
        <v>888</v>
      </c>
      <c r="DB149" s="39" t="s">
        <v>888</v>
      </c>
      <c r="DC149" s="7" t="s">
        <v>888</v>
      </c>
      <c r="DD149" s="7" t="s">
        <v>888</v>
      </c>
      <c r="DE149" s="7" t="s">
        <v>888</v>
      </c>
      <c r="DF149" s="7" t="s">
        <v>888</v>
      </c>
      <c r="DG149" s="7" t="s">
        <v>888</v>
      </c>
      <c r="DH149" s="39" t="s">
        <v>888</v>
      </c>
      <c r="DI149" s="7" t="s">
        <v>888</v>
      </c>
      <c r="DJ149" s="7" t="s">
        <v>888</v>
      </c>
      <c r="DK149" s="7" t="s">
        <v>888</v>
      </c>
      <c r="DL149" s="7" t="s">
        <v>888</v>
      </c>
      <c r="DM149" s="7" t="s">
        <v>888</v>
      </c>
      <c r="DN149" s="7" t="s">
        <v>888</v>
      </c>
      <c r="DO149" s="7" t="s">
        <v>888</v>
      </c>
      <c r="DP149" s="7" t="s">
        <v>888</v>
      </c>
      <c r="DQ149" s="7" t="s">
        <v>888</v>
      </c>
      <c r="DR149" s="7" t="s">
        <v>888</v>
      </c>
      <c r="DS149" s="7" t="s">
        <v>888</v>
      </c>
      <c r="DT149" s="15" t="str" cm="1">
        <f t="array" ref="DT149">IF(B149="","",_xlfn.TEXTJOIN("",,HEX2BIN(MID(BQ149,_xlfn.SEQUENCE(40),1),4)))</f>
        <v/>
      </c>
    </row>
    <row r="150" spans="1:124" x14ac:dyDescent="0.25">
      <c r="A150" s="9">
        <v>149</v>
      </c>
      <c r="B150" s="15" t="s">
        <v>888</v>
      </c>
      <c r="C150" s="15" t="s">
        <v>888</v>
      </c>
      <c r="D150" s="6" t="s">
        <v>888</v>
      </c>
      <c r="E150" s="6" t="s">
        <v>888</v>
      </c>
      <c r="F150" s="10" t="s">
        <v>888</v>
      </c>
      <c r="G150" s="9" t="s">
        <v>888</v>
      </c>
      <c r="H150" s="9" t="s">
        <v>888</v>
      </c>
      <c r="I150" s="15" t="s">
        <v>888</v>
      </c>
      <c r="J150" s="9" t="s">
        <v>888</v>
      </c>
      <c r="K150" s="15" t="s">
        <v>888</v>
      </c>
      <c r="L150" s="15" t="s">
        <v>888</v>
      </c>
      <c r="M150" s="15" t="s">
        <v>888</v>
      </c>
      <c r="N150" s="15" t="s">
        <v>888</v>
      </c>
      <c r="O150" s="6" t="s">
        <v>888</v>
      </c>
      <c r="P150" s="15" t="s">
        <v>888</v>
      </c>
      <c r="Q150" s="15" t="s">
        <v>888</v>
      </c>
      <c r="R150" s="6" t="s">
        <v>888</v>
      </c>
      <c r="S150" s="15" t="s">
        <v>888</v>
      </c>
      <c r="T150" s="11" t="s">
        <v>888</v>
      </c>
      <c r="U150" s="10" t="s">
        <v>888</v>
      </c>
      <c r="V150" s="7" t="s">
        <v>888</v>
      </c>
      <c r="W150" s="7" t="s">
        <v>888</v>
      </c>
      <c r="X150" s="7" t="s">
        <v>888</v>
      </c>
      <c r="Y150" s="15" t="s">
        <v>888</v>
      </c>
      <c r="Z150" s="9" t="s">
        <v>888</v>
      </c>
      <c r="AA150" s="9" t="s">
        <v>888</v>
      </c>
      <c r="AB150" s="9" t="s">
        <v>888</v>
      </c>
      <c r="AC150" s="13" t="s">
        <v>888</v>
      </c>
      <c r="AD150" s="13" t="s">
        <v>888</v>
      </c>
      <c r="AE150" s="9" t="s">
        <v>888</v>
      </c>
      <c r="AF150" s="9" t="s">
        <v>888</v>
      </c>
      <c r="AG150" s="9" t="s">
        <v>888</v>
      </c>
      <c r="AH150" s="6" t="s">
        <v>888</v>
      </c>
      <c r="AI150" s="10" t="s">
        <v>888</v>
      </c>
      <c r="AJ150" s="10" t="s">
        <v>888</v>
      </c>
      <c r="AK150" s="15" t="s">
        <v>888</v>
      </c>
      <c r="AL150" s="15" t="s">
        <v>888</v>
      </c>
      <c r="AM150" s="15" t="s">
        <v>888</v>
      </c>
      <c r="AN150" s="9" t="s">
        <v>888</v>
      </c>
      <c r="AO150" s="9" t="s">
        <v>888</v>
      </c>
      <c r="AP150" s="9" t="s">
        <v>888</v>
      </c>
      <c r="AQ150" s="15" t="s">
        <v>888</v>
      </c>
      <c r="AR150" s="9" t="s">
        <v>888</v>
      </c>
      <c r="AS150" s="6" t="s">
        <v>888</v>
      </c>
      <c r="AT150" s="15" t="s">
        <v>888</v>
      </c>
      <c r="AU150" s="9" t="s">
        <v>888</v>
      </c>
      <c r="AV150" s="9" t="s">
        <v>888</v>
      </c>
      <c r="AW150" s="9" t="s">
        <v>888</v>
      </c>
      <c r="AX150" s="9" t="s">
        <v>888</v>
      </c>
      <c r="AY150" s="9" t="s">
        <v>888</v>
      </c>
      <c r="AZ150" s="9" t="s">
        <v>888</v>
      </c>
      <c r="BA150" s="6" t="s">
        <v>888</v>
      </c>
      <c r="BB150" s="6" t="s">
        <v>888</v>
      </c>
      <c r="BC150" s="6" t="s">
        <v>888</v>
      </c>
      <c r="BD150" s="15" t="s">
        <v>888</v>
      </c>
      <c r="BE150" s="15" t="s">
        <v>888</v>
      </c>
      <c r="BF150" s="15" t="s">
        <v>888</v>
      </c>
      <c r="BG150" s="15" t="s">
        <v>888</v>
      </c>
      <c r="BH150" s="6" t="s">
        <v>888</v>
      </c>
      <c r="BI150" s="17" t="s">
        <v>888</v>
      </c>
      <c r="BJ150" s="7" t="s">
        <v>888</v>
      </c>
      <c r="BK150" s="7" t="s">
        <v>888</v>
      </c>
      <c r="BL150" s="7" t="s">
        <v>888</v>
      </c>
      <c r="BM150" s="16" t="s">
        <v>888</v>
      </c>
      <c r="BN150" s="16" t="s">
        <v>888</v>
      </c>
      <c r="BO150" s="16" t="s">
        <v>888</v>
      </c>
      <c r="BP150" s="16" t="s">
        <v>888</v>
      </c>
      <c r="BQ150" s="16" t="s">
        <v>888</v>
      </c>
      <c r="BR150" s="7" t="s">
        <v>888</v>
      </c>
      <c r="BS150" s="7" t="s">
        <v>888</v>
      </c>
      <c r="BT150" s="7" t="s">
        <v>888</v>
      </c>
      <c r="BU150" s="14" t="s">
        <v>888</v>
      </c>
      <c r="BV150" s="15" t="s">
        <v>888</v>
      </c>
      <c r="BW150" s="9" t="s">
        <v>888</v>
      </c>
      <c r="BX150" s="9" t="s">
        <v>888</v>
      </c>
      <c r="BY150" s="13" t="s">
        <v>888</v>
      </c>
      <c r="BZ150" s="13" t="s">
        <v>888</v>
      </c>
      <c r="CA150" s="12" t="str">
        <f>IF(B150="","",IF(A150&lt;8,"",_xlfn.LET(_xlpm.n,A150,_xlpm.k,G150,_xlpm.R,AP150,_xlpm.mu,1+2*_xlpm.k*(_xlpm.n-_xlpm.k)/_xlpm.n,_xlpm.v,2*_xlpm.k*(_xlpm.n-_xlpm.k)*(2*_xlpm.k*(_xlpm.n-_xlpm.k)-_xlpm.n)/(_xlpm.n^2*(_xlpm.n-1)),IF(_xlpm.v&lt;=0,"",(_xlpm.R-_xlpm.mu)/SQRT(_xlpm.v)))))</f>
        <v/>
      </c>
      <c r="CB150" s="37" t="str" cm="1">
        <f t="array" ref="CB150">IF(B150="","",IF(A150&lt;8,"",_xlfn.LET(_xlpm.b,--MID(C150,_xlfn.SEQUENCE(A150-1),1),_xlpm.c,--MID(C150,_xlfn.SEQUENCE(A150-1,,2),1),IFERROR(CORREL(_xlpm.b,_xlpm.c),""))))</f>
        <v/>
      </c>
      <c r="CC150" s="8" t="str">
        <f>IF(B150="","",LOG(A150,2))</f>
        <v/>
      </c>
      <c r="CD150" s="8" t="str">
        <f>IF(B150="","",MAX(AN150,AO150)-CC150)</f>
        <v/>
      </c>
      <c r="CE150" s="8" t="str" cm="1">
        <f t="array" ref="CE150">IF(B150="","",IF(LEN(B150)&lt;16,"",_xlfn.LET(_xlpm.d,MID("0123456789abcdef",_xlfn.SEQUENCE(16),1),_xlpm.c,LEN(B150)-LEN(SUBSTITUTE(B150,_xlpm.d,"")),_xlpm.ex,LEN(B150)/16,SUM((_xlpm.c-_xlpm.ex)^2/_xlpm.ex))))</f>
        <v/>
      </c>
      <c r="CF150" s="37" t="str">
        <f>IF(CE150="","",_xlfn.CHISQ.DIST.RT(CE150,15))</f>
        <v/>
      </c>
      <c r="CG150" s="9" t="str" cm="1">
        <f t="array" ref="CG150">IF(OR(B150="",B149=""),"",_xlfn.LET(_xlpm.a,C150,_xlpm.b,REPT("0",A150-LEN(C149))&amp;C149,_xlpm.m,MID(_xlpm.a,_xlfn.SEQUENCE(A150),1)=MID(_xlpm.b,_xlfn.SEQUENCE(A150),1),IFERROR(MATCH(FALSE,_xlpm.m,0)-1,A150)))</f>
        <v/>
      </c>
      <c r="CH150" s="9" t="str" cm="1">
        <f t="array" ref="CH150">IF(OR(B150="",B149=""),"",_xlfn.LET(_xlpm.a,C150,_xlpm.b,REPT("0",A150-LEN(C149))&amp;C149,_xlpm.n,A150,_xlpm.m,MID(_xlpm.a,_xlfn.SEQUENCE(_xlpm.n,,_xlpm.n,-1),1)=MID(_xlpm.b,_xlfn.SEQUENCE(_xlpm.n,,_xlpm.n,-1),1),IFERROR(MATCH(FALSE,_xlpm.m,0)-1,_xlpm.n)))</f>
        <v/>
      </c>
      <c r="CI150" s="38" t="str">
        <f>IF(OR(B150="",B149=""),"",F150-F149)</f>
        <v/>
      </c>
      <c r="CJ150" s="5" t="str">
        <f>IF(OR(B150="",B149=""),"",IFERROR(FIND(B149,B150)&gt;0,FALSE))</f>
        <v/>
      </c>
      <c r="CK150" s="5" t="str">
        <f>IF(OR(B150="",B149=""),"",IFERROR(FIND(C149,C150)&gt;0,FALSE))</f>
        <v/>
      </c>
      <c r="CL150" s="9" t="str">
        <f>IF(OR(B150="",B149=""),"",IFERROR(FIND(C149,C150),""))</f>
        <v/>
      </c>
      <c r="CM150" s="6" t="str" cm="1">
        <f t="array" ref="CM150">IF(OR(B150="",B149=""),"",_xlfn.LET(_xlpm.pv,D149,_xlpm.ra,BIGSUB(D150,_xlpm.pv),_xlpm.rb,BIGSUB(_xlpm.ra,_xlpm.pv),_xlpm.rc,BIGSUB(_xlpm.rb,_xlpm.pv),IF(LEFT(_xlpm.rb,1)="-",_xlpm.ra,IF(LEFT(_xlpm.rc,1)="-",_xlpm.rb,_xlpm.rc))))</f>
        <v/>
      </c>
      <c r="CN150" s="38" t="str">
        <f>IF(B150="","",F150-0.5)</f>
        <v/>
      </c>
      <c r="CO150" s="15" t="str" cm="1">
        <f t="array" ref="CO150">IF(B150="","",_xlfn.TEXTJOIN("",,MID(B150,_xlfn.SEQUENCE(LEN(B150),,LEN(B150),-1),1)))</f>
        <v/>
      </c>
      <c r="CP150" s="6" t="str" cm="1">
        <f t="array" ref="CP150">IF(B150="","",BASE2DEC(CO150,16))</f>
        <v/>
      </c>
      <c r="CQ150" s="5" t="str">
        <f>IF(B150="","",IF(AND(LEN(B150)&lt;16,LEN(B150)=LEN(SUBSTITUTE(SUBSTITUTE(SUBSTITUTE(SUBSTITUTE(SUBSTITUTE(SUBSTITUTE(B150,"a",""),"b",""),"c",""),"d",""),"e",""),"f",""))),--B150,""))</f>
        <v/>
      </c>
      <c r="CR150" s="6" t="str" cm="1">
        <f t="array" ref="CR150">IF(B150="","",IF(LEN(D150)&lt;=15,BASE2DEC(D150,16),""))</f>
        <v/>
      </c>
      <c r="CS150" s="15" t="str" cm="1">
        <f t="array" ref="CS150">IF(B150="","",_xlfn.LET(_xlpm.p,REPT("0",MOD(-LEN(B150),4))&amp;B150,_xlfn.TEXTJOIN(" ",,MID(_xlpm.p,_xlfn.SEQUENCE(LEN(_xlpm.p)/4,,1,4),4))))</f>
        <v/>
      </c>
      <c r="CT150" s="15" t="str" cm="1">
        <f t="array" ref="CT150">IF(B150="","",UPPER(_xlfn.LET(_xlpm.p,REPT("0",64-LEN(B150))&amp;B150,_xlfn.TEXTJOIN(" ",,MID(_xlpm.p,_xlfn.SEQUENCE(8,,1,8),8)))))</f>
        <v/>
      </c>
      <c r="CU150" s="6" t="str" cm="1">
        <f t="array" ref="CU150">IF(B150="","",IF(LEN(D150)&lt;=6,_xlfn.LET(_xlpm.n,VALUE(D150)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0" s="39" t="s">
        <v>888</v>
      </c>
      <c r="CW150" s="39" t="s">
        <v>888</v>
      </c>
      <c r="CX150" s="39" t="s">
        <v>888</v>
      </c>
      <c r="CY150" s="7" t="s">
        <v>888</v>
      </c>
      <c r="CZ150" s="39" t="s">
        <v>888</v>
      </c>
      <c r="DA150" s="39" t="s">
        <v>888</v>
      </c>
      <c r="DB150" s="39" t="s">
        <v>888</v>
      </c>
      <c r="DC150" s="7" t="s">
        <v>888</v>
      </c>
      <c r="DD150" s="7" t="s">
        <v>888</v>
      </c>
      <c r="DE150" s="7" t="s">
        <v>888</v>
      </c>
      <c r="DF150" s="7" t="s">
        <v>888</v>
      </c>
      <c r="DG150" s="7" t="s">
        <v>888</v>
      </c>
      <c r="DH150" s="39" t="s">
        <v>888</v>
      </c>
      <c r="DI150" s="7" t="s">
        <v>888</v>
      </c>
      <c r="DJ150" s="7" t="s">
        <v>888</v>
      </c>
      <c r="DK150" s="7" t="s">
        <v>888</v>
      </c>
      <c r="DL150" s="7" t="s">
        <v>888</v>
      </c>
      <c r="DM150" s="7" t="s">
        <v>888</v>
      </c>
      <c r="DN150" s="7" t="s">
        <v>888</v>
      </c>
      <c r="DO150" s="7" t="s">
        <v>888</v>
      </c>
      <c r="DP150" s="7" t="s">
        <v>888</v>
      </c>
      <c r="DQ150" s="7" t="s">
        <v>888</v>
      </c>
      <c r="DR150" s="7" t="s">
        <v>888</v>
      </c>
      <c r="DS150" s="7" t="s">
        <v>888</v>
      </c>
      <c r="DT150" s="15" t="str" cm="1">
        <f t="array" ref="DT150">IF(B150="","",_xlfn.TEXTJOIN("",,HEX2BIN(MID(BQ150,_xlfn.SEQUENCE(40),1),4)))</f>
        <v/>
      </c>
    </row>
    <row r="151" spans="1:124" x14ac:dyDescent="0.25">
      <c r="A151" s="9">
        <v>150</v>
      </c>
      <c r="B151" s="15" t="s">
        <v>888</v>
      </c>
      <c r="C151" s="15" t="s">
        <v>888</v>
      </c>
      <c r="D151" s="6" t="s">
        <v>888</v>
      </c>
      <c r="E151" s="6" t="s">
        <v>888</v>
      </c>
      <c r="F151" s="10" t="s">
        <v>888</v>
      </c>
      <c r="G151" s="9" t="s">
        <v>888</v>
      </c>
      <c r="H151" s="9" t="s">
        <v>888</v>
      </c>
      <c r="I151" s="15" t="s">
        <v>888</v>
      </c>
      <c r="J151" s="9" t="s">
        <v>888</v>
      </c>
      <c r="K151" s="15" t="s">
        <v>888</v>
      </c>
      <c r="L151" s="15" t="s">
        <v>888</v>
      </c>
      <c r="M151" s="15" t="s">
        <v>888</v>
      </c>
      <c r="N151" s="15" t="s">
        <v>888</v>
      </c>
      <c r="O151" s="6" t="s">
        <v>888</v>
      </c>
      <c r="P151" s="15" t="s">
        <v>888</v>
      </c>
      <c r="Q151" s="15" t="s">
        <v>888</v>
      </c>
      <c r="R151" s="6" t="s">
        <v>888</v>
      </c>
      <c r="S151" s="15" t="s">
        <v>888</v>
      </c>
      <c r="T151" s="11" t="s">
        <v>888</v>
      </c>
      <c r="U151" s="10" t="s">
        <v>888</v>
      </c>
      <c r="V151" s="7" t="s">
        <v>888</v>
      </c>
      <c r="W151" s="7" t="s">
        <v>888</v>
      </c>
      <c r="X151" s="7" t="s">
        <v>888</v>
      </c>
      <c r="Y151" s="15" t="s">
        <v>888</v>
      </c>
      <c r="Z151" s="9" t="s">
        <v>888</v>
      </c>
      <c r="AA151" s="9" t="s">
        <v>888</v>
      </c>
      <c r="AB151" s="9" t="s">
        <v>888</v>
      </c>
      <c r="AC151" s="13" t="s">
        <v>888</v>
      </c>
      <c r="AD151" s="13" t="s">
        <v>888</v>
      </c>
      <c r="AE151" s="9" t="s">
        <v>888</v>
      </c>
      <c r="AF151" s="9" t="s">
        <v>888</v>
      </c>
      <c r="AG151" s="9" t="s">
        <v>888</v>
      </c>
      <c r="AH151" s="6" t="s">
        <v>888</v>
      </c>
      <c r="AI151" s="10" t="s">
        <v>888</v>
      </c>
      <c r="AJ151" s="10" t="s">
        <v>888</v>
      </c>
      <c r="AK151" s="15" t="s">
        <v>888</v>
      </c>
      <c r="AL151" s="15" t="s">
        <v>888</v>
      </c>
      <c r="AM151" s="15" t="s">
        <v>888</v>
      </c>
      <c r="AN151" s="9" t="s">
        <v>888</v>
      </c>
      <c r="AO151" s="9" t="s">
        <v>888</v>
      </c>
      <c r="AP151" s="9" t="s">
        <v>888</v>
      </c>
      <c r="AQ151" s="15" t="s">
        <v>888</v>
      </c>
      <c r="AR151" s="9" t="s">
        <v>888</v>
      </c>
      <c r="AS151" s="6" t="s">
        <v>888</v>
      </c>
      <c r="AT151" s="15" t="s">
        <v>888</v>
      </c>
      <c r="AU151" s="9" t="s">
        <v>888</v>
      </c>
      <c r="AV151" s="9" t="s">
        <v>888</v>
      </c>
      <c r="AW151" s="9" t="s">
        <v>888</v>
      </c>
      <c r="AX151" s="9" t="s">
        <v>888</v>
      </c>
      <c r="AY151" s="9" t="s">
        <v>888</v>
      </c>
      <c r="AZ151" s="9" t="s">
        <v>888</v>
      </c>
      <c r="BA151" s="6" t="s">
        <v>888</v>
      </c>
      <c r="BB151" s="6" t="s">
        <v>888</v>
      </c>
      <c r="BC151" s="6" t="s">
        <v>888</v>
      </c>
      <c r="BD151" s="15" t="s">
        <v>888</v>
      </c>
      <c r="BE151" s="15" t="s">
        <v>888</v>
      </c>
      <c r="BF151" s="15" t="s">
        <v>888</v>
      </c>
      <c r="BG151" s="15" t="s">
        <v>888</v>
      </c>
      <c r="BH151" s="6" t="s">
        <v>888</v>
      </c>
      <c r="BI151" s="17" t="s">
        <v>888</v>
      </c>
      <c r="BJ151" s="7" t="s">
        <v>888</v>
      </c>
      <c r="BK151" s="7" t="s">
        <v>888</v>
      </c>
      <c r="BL151" s="7" t="s">
        <v>888</v>
      </c>
      <c r="BM151" s="16" t="s">
        <v>888</v>
      </c>
      <c r="BN151" s="16" t="s">
        <v>888</v>
      </c>
      <c r="BO151" s="16" t="s">
        <v>888</v>
      </c>
      <c r="BP151" s="16" t="s">
        <v>888</v>
      </c>
      <c r="BQ151" s="16" t="s">
        <v>888</v>
      </c>
      <c r="BR151" s="7" t="s">
        <v>888</v>
      </c>
      <c r="BS151" s="7" t="s">
        <v>888</v>
      </c>
      <c r="BT151" s="7" t="s">
        <v>888</v>
      </c>
      <c r="BU151" s="14" t="s">
        <v>888</v>
      </c>
      <c r="BV151" s="15" t="s">
        <v>888</v>
      </c>
      <c r="BW151" s="9" t="s">
        <v>888</v>
      </c>
      <c r="BX151" s="9" t="s">
        <v>888</v>
      </c>
      <c r="BY151" s="13" t="s">
        <v>888</v>
      </c>
      <c r="BZ151" s="13" t="s">
        <v>888</v>
      </c>
      <c r="CA151" s="12" t="str">
        <f>IF(B151="","",IF(A151&lt;8,"",_xlfn.LET(_xlpm.n,A151,_xlpm.k,G151,_xlpm.R,AP151,_xlpm.mu,1+2*_xlpm.k*(_xlpm.n-_xlpm.k)/_xlpm.n,_xlpm.v,2*_xlpm.k*(_xlpm.n-_xlpm.k)*(2*_xlpm.k*(_xlpm.n-_xlpm.k)-_xlpm.n)/(_xlpm.n^2*(_xlpm.n-1)),IF(_xlpm.v&lt;=0,"",(_xlpm.R-_xlpm.mu)/SQRT(_xlpm.v)))))</f>
        <v/>
      </c>
      <c r="CB151" s="37" t="str" cm="1">
        <f t="array" ref="CB151">IF(B151="","",IF(A151&lt;8,"",_xlfn.LET(_xlpm.b,--MID(C151,_xlfn.SEQUENCE(A151-1),1),_xlpm.c,--MID(C151,_xlfn.SEQUENCE(A151-1,,2),1),IFERROR(CORREL(_xlpm.b,_xlpm.c),""))))</f>
        <v/>
      </c>
      <c r="CC151" s="8" t="str">
        <f>IF(B151="","",LOG(A151,2))</f>
        <v/>
      </c>
      <c r="CD151" s="8" t="str">
        <f>IF(B151="","",MAX(AN151,AO151)-CC151)</f>
        <v/>
      </c>
      <c r="CE151" s="8" t="str" cm="1">
        <f t="array" ref="CE151">IF(B151="","",IF(LEN(B151)&lt;16,"",_xlfn.LET(_xlpm.d,MID("0123456789abcdef",_xlfn.SEQUENCE(16),1),_xlpm.c,LEN(B151)-LEN(SUBSTITUTE(B151,_xlpm.d,"")),_xlpm.ex,LEN(B151)/16,SUM((_xlpm.c-_xlpm.ex)^2/_xlpm.ex))))</f>
        <v/>
      </c>
      <c r="CF151" s="37" t="str">
        <f>IF(CE151="","",_xlfn.CHISQ.DIST.RT(CE151,15))</f>
        <v/>
      </c>
      <c r="CG151" s="9" t="str" cm="1">
        <f t="array" ref="CG151">IF(OR(B151="",B150=""),"",_xlfn.LET(_xlpm.a,C151,_xlpm.b,REPT("0",A151-LEN(C150))&amp;C150,_xlpm.m,MID(_xlpm.a,_xlfn.SEQUENCE(A151),1)=MID(_xlpm.b,_xlfn.SEQUENCE(A151),1),IFERROR(MATCH(FALSE,_xlpm.m,0)-1,A151)))</f>
        <v/>
      </c>
      <c r="CH151" s="9" t="str" cm="1">
        <f t="array" ref="CH151">IF(OR(B151="",B150=""),"",_xlfn.LET(_xlpm.a,C151,_xlpm.b,REPT("0",A151-LEN(C150))&amp;C150,_xlpm.n,A151,_xlpm.m,MID(_xlpm.a,_xlfn.SEQUENCE(_xlpm.n,,_xlpm.n,-1),1)=MID(_xlpm.b,_xlfn.SEQUENCE(_xlpm.n,,_xlpm.n,-1),1),IFERROR(MATCH(FALSE,_xlpm.m,0)-1,_xlpm.n)))</f>
        <v/>
      </c>
      <c r="CI151" s="38" t="str">
        <f>IF(OR(B151="",B150=""),"",F151-F150)</f>
        <v/>
      </c>
      <c r="CJ151" s="5" t="str">
        <f>IF(OR(B151="",B150=""),"",IFERROR(FIND(B150,B151)&gt;0,FALSE))</f>
        <v/>
      </c>
      <c r="CK151" s="5" t="str">
        <f>IF(OR(B151="",B150=""),"",IFERROR(FIND(C150,C151)&gt;0,FALSE))</f>
        <v/>
      </c>
      <c r="CL151" s="9" t="str">
        <f>IF(OR(B151="",B150=""),"",IFERROR(FIND(C150,C151),""))</f>
        <v/>
      </c>
      <c r="CM151" s="6" t="str" cm="1">
        <f t="array" ref="CM151">IF(OR(B151="",B150=""),"",_xlfn.LET(_xlpm.pv,D150,_xlpm.ra,BIGSUB(D151,_xlpm.pv),_xlpm.rb,BIGSUB(_xlpm.ra,_xlpm.pv),_xlpm.rc,BIGSUB(_xlpm.rb,_xlpm.pv),IF(LEFT(_xlpm.rb,1)="-",_xlpm.ra,IF(LEFT(_xlpm.rc,1)="-",_xlpm.rb,_xlpm.rc))))</f>
        <v/>
      </c>
      <c r="CN151" s="38" t="str">
        <f>IF(B151="","",F151-0.5)</f>
        <v/>
      </c>
      <c r="CO151" s="15" t="str" cm="1">
        <f t="array" ref="CO151">IF(B151="","",_xlfn.TEXTJOIN("",,MID(B151,_xlfn.SEQUENCE(LEN(B151),,LEN(B151),-1),1)))</f>
        <v/>
      </c>
      <c r="CP151" s="6" t="str" cm="1">
        <f t="array" ref="CP151">IF(B151="","",BASE2DEC(CO151,16))</f>
        <v/>
      </c>
      <c r="CQ151" s="5" t="str">
        <f>IF(B151="","",IF(AND(LEN(B151)&lt;16,LEN(B151)=LEN(SUBSTITUTE(SUBSTITUTE(SUBSTITUTE(SUBSTITUTE(SUBSTITUTE(SUBSTITUTE(B151,"a",""),"b",""),"c",""),"d",""),"e",""),"f",""))),--B151,""))</f>
        <v/>
      </c>
      <c r="CR151" s="6" t="str" cm="1">
        <f t="array" ref="CR151">IF(B151="","",IF(LEN(D151)&lt;=15,BASE2DEC(D151,16),""))</f>
        <v/>
      </c>
      <c r="CS151" s="15" t="str" cm="1">
        <f t="array" ref="CS151">IF(B151="","",_xlfn.LET(_xlpm.p,REPT("0",MOD(-LEN(B151),4))&amp;B151,_xlfn.TEXTJOIN(" ",,MID(_xlpm.p,_xlfn.SEQUENCE(LEN(_xlpm.p)/4,,1,4),4))))</f>
        <v/>
      </c>
      <c r="CT151" s="15" t="str" cm="1">
        <f t="array" ref="CT151">IF(B151="","",UPPER(_xlfn.LET(_xlpm.p,REPT("0",64-LEN(B151))&amp;B151,_xlfn.TEXTJOIN(" ",,MID(_xlpm.p,_xlfn.SEQUENCE(8,,1,8),8)))))</f>
        <v/>
      </c>
      <c r="CU151" s="6" t="str" cm="1">
        <f t="array" ref="CU151">IF(B151="","",IF(LEN(D151)&lt;=6,_xlfn.LET(_xlpm.n,VALUE(D151)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1" s="39" t="s">
        <v>888</v>
      </c>
      <c r="CW151" s="39" t="s">
        <v>888</v>
      </c>
      <c r="CX151" s="39" t="s">
        <v>888</v>
      </c>
      <c r="CY151" s="7" t="s">
        <v>888</v>
      </c>
      <c r="CZ151" s="39" t="s">
        <v>888</v>
      </c>
      <c r="DA151" s="39" t="s">
        <v>888</v>
      </c>
      <c r="DB151" s="39" t="s">
        <v>888</v>
      </c>
      <c r="DC151" s="7" t="s">
        <v>888</v>
      </c>
      <c r="DD151" s="7" t="s">
        <v>888</v>
      </c>
      <c r="DE151" s="7" t="s">
        <v>888</v>
      </c>
      <c r="DF151" s="7" t="s">
        <v>888</v>
      </c>
      <c r="DG151" s="7" t="s">
        <v>888</v>
      </c>
      <c r="DH151" s="39" t="s">
        <v>888</v>
      </c>
      <c r="DI151" s="7" t="s">
        <v>888</v>
      </c>
      <c r="DJ151" s="7" t="s">
        <v>888</v>
      </c>
      <c r="DK151" s="7" t="s">
        <v>888</v>
      </c>
      <c r="DL151" s="7" t="s">
        <v>888</v>
      </c>
      <c r="DM151" s="7" t="s">
        <v>888</v>
      </c>
      <c r="DN151" s="7" t="s">
        <v>888</v>
      </c>
      <c r="DO151" s="7" t="s">
        <v>888</v>
      </c>
      <c r="DP151" s="7" t="s">
        <v>888</v>
      </c>
      <c r="DQ151" s="7" t="s">
        <v>888</v>
      </c>
      <c r="DR151" s="7" t="s">
        <v>888</v>
      </c>
      <c r="DS151" s="7" t="s">
        <v>5840</v>
      </c>
      <c r="DT151" s="15" t="str" cm="1">
        <f t="array" ref="DT151">IF(B151="","",_xlfn.TEXTJOIN("",,HEX2BIN(MID(BQ151,_xlfn.SEQUENCE(40),1),4)))</f>
        <v/>
      </c>
    </row>
    <row r="152" spans="1:124" x14ac:dyDescent="0.25">
      <c r="A152" s="9">
        <v>151</v>
      </c>
      <c r="B152" s="15" t="s">
        <v>888</v>
      </c>
      <c r="C152" s="15" t="s">
        <v>888</v>
      </c>
      <c r="D152" s="6" t="s">
        <v>888</v>
      </c>
      <c r="E152" s="6" t="s">
        <v>888</v>
      </c>
      <c r="F152" s="10" t="s">
        <v>888</v>
      </c>
      <c r="G152" s="9" t="s">
        <v>888</v>
      </c>
      <c r="H152" s="9" t="s">
        <v>888</v>
      </c>
      <c r="I152" s="15" t="s">
        <v>888</v>
      </c>
      <c r="J152" s="9" t="s">
        <v>888</v>
      </c>
      <c r="K152" s="15" t="s">
        <v>888</v>
      </c>
      <c r="L152" s="15" t="s">
        <v>888</v>
      </c>
      <c r="M152" s="15" t="s">
        <v>888</v>
      </c>
      <c r="N152" s="15" t="s">
        <v>888</v>
      </c>
      <c r="O152" s="6" t="s">
        <v>888</v>
      </c>
      <c r="P152" s="15" t="s">
        <v>888</v>
      </c>
      <c r="Q152" s="15" t="s">
        <v>888</v>
      </c>
      <c r="R152" s="6" t="s">
        <v>888</v>
      </c>
      <c r="S152" s="15" t="s">
        <v>888</v>
      </c>
      <c r="T152" s="11" t="s">
        <v>888</v>
      </c>
      <c r="U152" s="10" t="s">
        <v>888</v>
      </c>
      <c r="V152" s="7" t="s">
        <v>888</v>
      </c>
      <c r="W152" s="7" t="s">
        <v>888</v>
      </c>
      <c r="X152" s="7" t="s">
        <v>888</v>
      </c>
      <c r="Y152" s="15" t="s">
        <v>888</v>
      </c>
      <c r="Z152" s="9" t="s">
        <v>888</v>
      </c>
      <c r="AA152" s="9" t="s">
        <v>888</v>
      </c>
      <c r="AB152" s="9" t="s">
        <v>888</v>
      </c>
      <c r="AC152" s="13" t="s">
        <v>888</v>
      </c>
      <c r="AD152" s="13" t="s">
        <v>888</v>
      </c>
      <c r="AE152" s="9" t="s">
        <v>888</v>
      </c>
      <c r="AF152" s="9" t="s">
        <v>888</v>
      </c>
      <c r="AG152" s="9" t="s">
        <v>888</v>
      </c>
      <c r="AH152" s="6" t="s">
        <v>888</v>
      </c>
      <c r="AI152" s="10" t="s">
        <v>888</v>
      </c>
      <c r="AJ152" s="10" t="s">
        <v>888</v>
      </c>
      <c r="AK152" s="15" t="s">
        <v>888</v>
      </c>
      <c r="AL152" s="15" t="s">
        <v>888</v>
      </c>
      <c r="AM152" s="15" t="s">
        <v>888</v>
      </c>
      <c r="AN152" s="9" t="s">
        <v>888</v>
      </c>
      <c r="AO152" s="9" t="s">
        <v>888</v>
      </c>
      <c r="AP152" s="9" t="s">
        <v>888</v>
      </c>
      <c r="AQ152" s="15" t="s">
        <v>888</v>
      </c>
      <c r="AR152" s="9" t="s">
        <v>888</v>
      </c>
      <c r="AS152" s="6" t="s">
        <v>888</v>
      </c>
      <c r="AT152" s="15" t="s">
        <v>888</v>
      </c>
      <c r="AU152" s="9" t="s">
        <v>888</v>
      </c>
      <c r="AV152" s="9" t="s">
        <v>888</v>
      </c>
      <c r="AW152" s="9" t="s">
        <v>888</v>
      </c>
      <c r="AX152" s="9" t="s">
        <v>888</v>
      </c>
      <c r="AY152" s="9" t="s">
        <v>888</v>
      </c>
      <c r="AZ152" s="9" t="s">
        <v>888</v>
      </c>
      <c r="BA152" s="6" t="s">
        <v>888</v>
      </c>
      <c r="BB152" s="6" t="s">
        <v>888</v>
      </c>
      <c r="BC152" s="6" t="s">
        <v>888</v>
      </c>
      <c r="BD152" s="15" t="s">
        <v>888</v>
      </c>
      <c r="BE152" s="15" t="s">
        <v>888</v>
      </c>
      <c r="BF152" s="15" t="s">
        <v>888</v>
      </c>
      <c r="BG152" s="15" t="s">
        <v>888</v>
      </c>
      <c r="BH152" s="6" t="s">
        <v>888</v>
      </c>
      <c r="BI152" s="17" t="s">
        <v>888</v>
      </c>
      <c r="BJ152" s="7" t="s">
        <v>888</v>
      </c>
      <c r="BK152" s="7" t="s">
        <v>888</v>
      </c>
      <c r="BL152" s="7" t="s">
        <v>888</v>
      </c>
      <c r="BM152" s="16" t="s">
        <v>888</v>
      </c>
      <c r="BN152" s="16" t="s">
        <v>888</v>
      </c>
      <c r="BO152" s="16" t="s">
        <v>888</v>
      </c>
      <c r="BP152" s="16" t="s">
        <v>888</v>
      </c>
      <c r="BQ152" s="16" t="s">
        <v>888</v>
      </c>
      <c r="BR152" s="7" t="s">
        <v>888</v>
      </c>
      <c r="BS152" s="7" t="s">
        <v>888</v>
      </c>
      <c r="BT152" s="7" t="s">
        <v>888</v>
      </c>
      <c r="BU152" s="14" t="s">
        <v>888</v>
      </c>
      <c r="BV152" s="15" t="s">
        <v>888</v>
      </c>
      <c r="BW152" s="9" t="s">
        <v>888</v>
      </c>
      <c r="BX152" s="9" t="s">
        <v>888</v>
      </c>
      <c r="BY152" s="13" t="s">
        <v>888</v>
      </c>
      <c r="BZ152" s="13" t="s">
        <v>888</v>
      </c>
      <c r="CA152" s="12" t="str">
        <f>IF(B152="","",IF(A152&lt;8,"",_xlfn.LET(_xlpm.n,A152,_xlpm.k,G152,_xlpm.R,AP152,_xlpm.mu,1+2*_xlpm.k*(_xlpm.n-_xlpm.k)/_xlpm.n,_xlpm.v,2*_xlpm.k*(_xlpm.n-_xlpm.k)*(2*_xlpm.k*(_xlpm.n-_xlpm.k)-_xlpm.n)/(_xlpm.n^2*(_xlpm.n-1)),IF(_xlpm.v&lt;=0,"",(_xlpm.R-_xlpm.mu)/SQRT(_xlpm.v)))))</f>
        <v/>
      </c>
      <c r="CB152" s="37" t="str" cm="1">
        <f t="array" ref="CB152">IF(B152="","",IF(A152&lt;8,"",_xlfn.LET(_xlpm.b,--MID(C152,_xlfn.SEQUENCE(A152-1),1),_xlpm.c,--MID(C152,_xlfn.SEQUENCE(A152-1,,2),1),IFERROR(CORREL(_xlpm.b,_xlpm.c),""))))</f>
        <v/>
      </c>
      <c r="CC152" s="8" t="str">
        <f>IF(B152="","",LOG(A152,2))</f>
        <v/>
      </c>
      <c r="CD152" s="8" t="str">
        <f>IF(B152="","",MAX(AN152,AO152)-CC152)</f>
        <v/>
      </c>
      <c r="CE152" s="8" t="str" cm="1">
        <f t="array" ref="CE152">IF(B152="","",IF(LEN(B152)&lt;16,"",_xlfn.LET(_xlpm.d,MID("0123456789abcdef",_xlfn.SEQUENCE(16),1),_xlpm.c,LEN(B152)-LEN(SUBSTITUTE(B152,_xlpm.d,"")),_xlpm.ex,LEN(B152)/16,SUM((_xlpm.c-_xlpm.ex)^2/_xlpm.ex))))</f>
        <v/>
      </c>
      <c r="CF152" s="37" t="str">
        <f>IF(CE152="","",_xlfn.CHISQ.DIST.RT(CE152,15))</f>
        <v/>
      </c>
      <c r="CG152" s="9" t="str" cm="1">
        <f t="array" ref="CG152">IF(OR(B152="",B151=""),"",_xlfn.LET(_xlpm.a,C152,_xlpm.b,REPT("0",A152-LEN(C151))&amp;C151,_xlpm.m,MID(_xlpm.a,_xlfn.SEQUENCE(A152),1)=MID(_xlpm.b,_xlfn.SEQUENCE(A152),1),IFERROR(MATCH(FALSE,_xlpm.m,0)-1,A152)))</f>
        <v/>
      </c>
      <c r="CH152" s="9" t="str" cm="1">
        <f t="array" ref="CH152">IF(OR(B152="",B151=""),"",_xlfn.LET(_xlpm.a,C152,_xlpm.b,REPT("0",A152-LEN(C151))&amp;C151,_xlpm.n,A152,_xlpm.m,MID(_xlpm.a,_xlfn.SEQUENCE(_xlpm.n,,_xlpm.n,-1),1)=MID(_xlpm.b,_xlfn.SEQUENCE(_xlpm.n,,_xlpm.n,-1),1),IFERROR(MATCH(FALSE,_xlpm.m,0)-1,_xlpm.n)))</f>
        <v/>
      </c>
      <c r="CI152" s="38" t="str">
        <f>IF(OR(B152="",B151=""),"",F152-F151)</f>
        <v/>
      </c>
      <c r="CJ152" s="5" t="str">
        <f>IF(OR(B152="",B151=""),"",IFERROR(FIND(B151,B152)&gt;0,FALSE))</f>
        <v/>
      </c>
      <c r="CK152" s="5" t="str">
        <f>IF(OR(B152="",B151=""),"",IFERROR(FIND(C151,C152)&gt;0,FALSE))</f>
        <v/>
      </c>
      <c r="CL152" s="9" t="str">
        <f>IF(OR(B152="",B151=""),"",IFERROR(FIND(C151,C152),""))</f>
        <v/>
      </c>
      <c r="CM152" s="6" t="str" cm="1">
        <f t="array" ref="CM152">IF(OR(B152="",B151=""),"",_xlfn.LET(_xlpm.pv,D151,_xlpm.ra,BIGSUB(D152,_xlpm.pv),_xlpm.rb,BIGSUB(_xlpm.ra,_xlpm.pv),_xlpm.rc,BIGSUB(_xlpm.rb,_xlpm.pv),IF(LEFT(_xlpm.rb,1)="-",_xlpm.ra,IF(LEFT(_xlpm.rc,1)="-",_xlpm.rb,_xlpm.rc))))</f>
        <v/>
      </c>
      <c r="CN152" s="38" t="str">
        <f>IF(B152="","",F152-0.5)</f>
        <v/>
      </c>
      <c r="CO152" s="15" t="str" cm="1">
        <f t="array" ref="CO152">IF(B152="","",_xlfn.TEXTJOIN("",,MID(B152,_xlfn.SEQUENCE(LEN(B152),,LEN(B152),-1),1)))</f>
        <v/>
      </c>
      <c r="CP152" s="6" t="str" cm="1">
        <f t="array" ref="CP152">IF(B152="","",BASE2DEC(CO152,16))</f>
        <v/>
      </c>
      <c r="CQ152" s="5" t="str">
        <f>IF(B152="","",IF(AND(LEN(B152)&lt;16,LEN(B152)=LEN(SUBSTITUTE(SUBSTITUTE(SUBSTITUTE(SUBSTITUTE(SUBSTITUTE(SUBSTITUTE(B152,"a",""),"b",""),"c",""),"d",""),"e",""),"f",""))),--B152,""))</f>
        <v/>
      </c>
      <c r="CR152" s="6" t="str" cm="1">
        <f t="array" ref="CR152">IF(B152="","",IF(LEN(D152)&lt;=15,BASE2DEC(D152,16),""))</f>
        <v/>
      </c>
      <c r="CS152" s="15" t="str" cm="1">
        <f t="array" ref="CS152">IF(B152="","",_xlfn.LET(_xlpm.p,REPT("0",MOD(-LEN(B152),4))&amp;B152,_xlfn.TEXTJOIN(" ",,MID(_xlpm.p,_xlfn.SEQUENCE(LEN(_xlpm.p)/4,,1,4),4))))</f>
        <v/>
      </c>
      <c r="CT152" s="15" t="str" cm="1">
        <f t="array" ref="CT152">IF(B152="","",UPPER(_xlfn.LET(_xlpm.p,REPT("0",64-LEN(B152))&amp;B152,_xlfn.TEXTJOIN(" ",,MID(_xlpm.p,_xlfn.SEQUENCE(8,,1,8),8)))))</f>
        <v/>
      </c>
      <c r="CU152" s="6" t="str" cm="1">
        <f t="array" ref="CU152">IF(B152="","",IF(LEN(D152)&lt;=6,_xlfn.LET(_xlpm.n,VALUE(D152),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2" s="39" t="s">
        <v>888</v>
      </c>
      <c r="CW152" s="39" t="s">
        <v>888</v>
      </c>
      <c r="CX152" s="39" t="s">
        <v>888</v>
      </c>
      <c r="CY152" s="7" t="s">
        <v>888</v>
      </c>
      <c r="CZ152" s="39" t="s">
        <v>888</v>
      </c>
      <c r="DA152" s="39" t="s">
        <v>888</v>
      </c>
      <c r="DB152" s="39" t="s">
        <v>888</v>
      </c>
      <c r="DC152" s="7" t="s">
        <v>888</v>
      </c>
      <c r="DD152" s="7" t="s">
        <v>888</v>
      </c>
      <c r="DE152" s="7" t="s">
        <v>888</v>
      </c>
      <c r="DF152" s="7" t="s">
        <v>888</v>
      </c>
      <c r="DG152" s="7" t="s">
        <v>888</v>
      </c>
      <c r="DH152" s="39" t="s">
        <v>888</v>
      </c>
      <c r="DI152" s="7" t="s">
        <v>888</v>
      </c>
      <c r="DJ152" s="7" t="s">
        <v>888</v>
      </c>
      <c r="DK152" s="7" t="s">
        <v>888</v>
      </c>
      <c r="DL152" s="7" t="s">
        <v>888</v>
      </c>
      <c r="DM152" s="7" t="s">
        <v>888</v>
      </c>
      <c r="DN152" s="7" t="s">
        <v>888</v>
      </c>
      <c r="DO152" s="7" t="s">
        <v>888</v>
      </c>
      <c r="DP152" s="7" t="s">
        <v>888</v>
      </c>
      <c r="DQ152" s="7" t="s">
        <v>888</v>
      </c>
      <c r="DR152" s="7" t="s">
        <v>888</v>
      </c>
      <c r="DS152" s="7" t="s">
        <v>888</v>
      </c>
      <c r="DT152" s="15" t="str" cm="1">
        <f t="array" ref="DT152">IF(B152="","",_xlfn.TEXTJOIN("",,HEX2BIN(MID(BQ152,_xlfn.SEQUENCE(40),1),4)))</f>
        <v/>
      </c>
    </row>
    <row r="153" spans="1:124" x14ac:dyDescent="0.25">
      <c r="A153" s="9">
        <v>152</v>
      </c>
      <c r="B153" s="15" t="s">
        <v>888</v>
      </c>
      <c r="C153" s="15" t="s">
        <v>888</v>
      </c>
      <c r="D153" s="6" t="s">
        <v>888</v>
      </c>
      <c r="E153" s="6" t="s">
        <v>888</v>
      </c>
      <c r="F153" s="10" t="s">
        <v>888</v>
      </c>
      <c r="G153" s="9" t="s">
        <v>888</v>
      </c>
      <c r="H153" s="9" t="s">
        <v>888</v>
      </c>
      <c r="I153" s="15" t="s">
        <v>888</v>
      </c>
      <c r="J153" s="9" t="s">
        <v>888</v>
      </c>
      <c r="K153" s="15" t="s">
        <v>888</v>
      </c>
      <c r="L153" s="15" t="s">
        <v>888</v>
      </c>
      <c r="M153" s="15" t="s">
        <v>888</v>
      </c>
      <c r="N153" s="15" t="s">
        <v>888</v>
      </c>
      <c r="O153" s="6" t="s">
        <v>888</v>
      </c>
      <c r="P153" s="15" t="s">
        <v>888</v>
      </c>
      <c r="Q153" s="15" t="s">
        <v>888</v>
      </c>
      <c r="R153" s="6" t="s">
        <v>888</v>
      </c>
      <c r="S153" s="15" t="s">
        <v>888</v>
      </c>
      <c r="T153" s="11" t="s">
        <v>888</v>
      </c>
      <c r="U153" s="10" t="s">
        <v>888</v>
      </c>
      <c r="V153" s="7" t="s">
        <v>888</v>
      </c>
      <c r="W153" s="7" t="s">
        <v>888</v>
      </c>
      <c r="X153" s="7" t="s">
        <v>888</v>
      </c>
      <c r="Y153" s="15" t="s">
        <v>888</v>
      </c>
      <c r="Z153" s="9" t="s">
        <v>888</v>
      </c>
      <c r="AA153" s="9" t="s">
        <v>888</v>
      </c>
      <c r="AB153" s="9" t="s">
        <v>888</v>
      </c>
      <c r="AC153" s="13" t="s">
        <v>888</v>
      </c>
      <c r="AD153" s="13" t="s">
        <v>888</v>
      </c>
      <c r="AE153" s="9" t="s">
        <v>888</v>
      </c>
      <c r="AF153" s="9" t="s">
        <v>888</v>
      </c>
      <c r="AG153" s="9" t="s">
        <v>888</v>
      </c>
      <c r="AH153" s="6" t="s">
        <v>888</v>
      </c>
      <c r="AI153" s="10" t="s">
        <v>888</v>
      </c>
      <c r="AJ153" s="10" t="s">
        <v>888</v>
      </c>
      <c r="AK153" s="15" t="s">
        <v>888</v>
      </c>
      <c r="AL153" s="15" t="s">
        <v>888</v>
      </c>
      <c r="AM153" s="15" t="s">
        <v>888</v>
      </c>
      <c r="AN153" s="9" t="s">
        <v>888</v>
      </c>
      <c r="AO153" s="9" t="s">
        <v>888</v>
      </c>
      <c r="AP153" s="9" t="s">
        <v>888</v>
      </c>
      <c r="AQ153" s="15" t="s">
        <v>888</v>
      </c>
      <c r="AR153" s="9" t="s">
        <v>888</v>
      </c>
      <c r="AS153" s="6" t="s">
        <v>888</v>
      </c>
      <c r="AT153" s="15" t="s">
        <v>888</v>
      </c>
      <c r="AU153" s="9" t="s">
        <v>888</v>
      </c>
      <c r="AV153" s="9" t="s">
        <v>888</v>
      </c>
      <c r="AW153" s="9" t="s">
        <v>888</v>
      </c>
      <c r="AX153" s="9" t="s">
        <v>888</v>
      </c>
      <c r="AY153" s="9" t="s">
        <v>888</v>
      </c>
      <c r="AZ153" s="9" t="s">
        <v>888</v>
      </c>
      <c r="BA153" s="6" t="s">
        <v>888</v>
      </c>
      <c r="BB153" s="6" t="s">
        <v>888</v>
      </c>
      <c r="BC153" s="6" t="s">
        <v>888</v>
      </c>
      <c r="BD153" s="15" t="s">
        <v>888</v>
      </c>
      <c r="BE153" s="15" t="s">
        <v>888</v>
      </c>
      <c r="BF153" s="15" t="s">
        <v>888</v>
      </c>
      <c r="BG153" s="15" t="s">
        <v>888</v>
      </c>
      <c r="BH153" s="6" t="s">
        <v>888</v>
      </c>
      <c r="BI153" s="17" t="s">
        <v>888</v>
      </c>
      <c r="BJ153" s="7" t="s">
        <v>888</v>
      </c>
      <c r="BK153" s="7" t="s">
        <v>888</v>
      </c>
      <c r="BL153" s="7" t="s">
        <v>888</v>
      </c>
      <c r="BM153" s="16" t="s">
        <v>888</v>
      </c>
      <c r="BN153" s="16" t="s">
        <v>888</v>
      </c>
      <c r="BO153" s="16" t="s">
        <v>888</v>
      </c>
      <c r="BP153" s="16" t="s">
        <v>888</v>
      </c>
      <c r="BQ153" s="16" t="s">
        <v>888</v>
      </c>
      <c r="BR153" s="7" t="s">
        <v>888</v>
      </c>
      <c r="BS153" s="7" t="s">
        <v>888</v>
      </c>
      <c r="BT153" s="7" t="s">
        <v>888</v>
      </c>
      <c r="BU153" s="14" t="s">
        <v>888</v>
      </c>
      <c r="BV153" s="15" t="s">
        <v>888</v>
      </c>
      <c r="BW153" s="9" t="s">
        <v>888</v>
      </c>
      <c r="BX153" s="9" t="s">
        <v>888</v>
      </c>
      <c r="BY153" s="13" t="s">
        <v>888</v>
      </c>
      <c r="BZ153" s="13" t="s">
        <v>888</v>
      </c>
      <c r="CA153" s="12" t="str">
        <f>IF(B153="","",IF(A153&lt;8,"",_xlfn.LET(_xlpm.n,A153,_xlpm.k,G153,_xlpm.R,AP153,_xlpm.mu,1+2*_xlpm.k*(_xlpm.n-_xlpm.k)/_xlpm.n,_xlpm.v,2*_xlpm.k*(_xlpm.n-_xlpm.k)*(2*_xlpm.k*(_xlpm.n-_xlpm.k)-_xlpm.n)/(_xlpm.n^2*(_xlpm.n-1)),IF(_xlpm.v&lt;=0,"",(_xlpm.R-_xlpm.mu)/SQRT(_xlpm.v)))))</f>
        <v/>
      </c>
      <c r="CB153" s="37" t="str" cm="1">
        <f t="array" ref="CB153">IF(B153="","",IF(A153&lt;8,"",_xlfn.LET(_xlpm.b,--MID(C153,_xlfn.SEQUENCE(A153-1),1),_xlpm.c,--MID(C153,_xlfn.SEQUENCE(A153-1,,2),1),IFERROR(CORREL(_xlpm.b,_xlpm.c),""))))</f>
        <v/>
      </c>
      <c r="CC153" s="8" t="str">
        <f>IF(B153="","",LOG(A153,2))</f>
        <v/>
      </c>
      <c r="CD153" s="8" t="str">
        <f>IF(B153="","",MAX(AN153,AO153)-CC153)</f>
        <v/>
      </c>
      <c r="CE153" s="8" t="str" cm="1">
        <f t="array" ref="CE153">IF(B153="","",IF(LEN(B153)&lt;16,"",_xlfn.LET(_xlpm.d,MID("0123456789abcdef",_xlfn.SEQUENCE(16),1),_xlpm.c,LEN(B153)-LEN(SUBSTITUTE(B153,_xlpm.d,"")),_xlpm.ex,LEN(B153)/16,SUM((_xlpm.c-_xlpm.ex)^2/_xlpm.ex))))</f>
        <v/>
      </c>
      <c r="CF153" s="37" t="str">
        <f>IF(CE153="","",_xlfn.CHISQ.DIST.RT(CE153,15))</f>
        <v/>
      </c>
      <c r="CG153" s="9" t="str" cm="1">
        <f t="array" ref="CG153">IF(OR(B153="",B152=""),"",_xlfn.LET(_xlpm.a,C153,_xlpm.b,REPT("0",A153-LEN(C152))&amp;C152,_xlpm.m,MID(_xlpm.a,_xlfn.SEQUENCE(A153),1)=MID(_xlpm.b,_xlfn.SEQUENCE(A153),1),IFERROR(MATCH(FALSE,_xlpm.m,0)-1,A153)))</f>
        <v/>
      </c>
      <c r="CH153" s="9" t="str" cm="1">
        <f t="array" ref="CH153">IF(OR(B153="",B152=""),"",_xlfn.LET(_xlpm.a,C153,_xlpm.b,REPT("0",A153-LEN(C152))&amp;C152,_xlpm.n,A153,_xlpm.m,MID(_xlpm.a,_xlfn.SEQUENCE(_xlpm.n,,_xlpm.n,-1),1)=MID(_xlpm.b,_xlfn.SEQUENCE(_xlpm.n,,_xlpm.n,-1),1),IFERROR(MATCH(FALSE,_xlpm.m,0)-1,_xlpm.n)))</f>
        <v/>
      </c>
      <c r="CI153" s="38" t="str">
        <f>IF(OR(B153="",B152=""),"",F153-F152)</f>
        <v/>
      </c>
      <c r="CJ153" s="5" t="str">
        <f>IF(OR(B153="",B152=""),"",IFERROR(FIND(B152,B153)&gt;0,FALSE))</f>
        <v/>
      </c>
      <c r="CK153" s="5" t="str">
        <f>IF(OR(B153="",B152=""),"",IFERROR(FIND(C152,C153)&gt;0,FALSE))</f>
        <v/>
      </c>
      <c r="CL153" s="9" t="str">
        <f>IF(OR(B153="",B152=""),"",IFERROR(FIND(C152,C153),""))</f>
        <v/>
      </c>
      <c r="CM153" s="6" t="str" cm="1">
        <f t="array" ref="CM153">IF(OR(B153="",B152=""),"",_xlfn.LET(_xlpm.pv,D152,_xlpm.ra,BIGSUB(D153,_xlpm.pv),_xlpm.rb,BIGSUB(_xlpm.ra,_xlpm.pv),_xlpm.rc,BIGSUB(_xlpm.rb,_xlpm.pv),IF(LEFT(_xlpm.rb,1)="-",_xlpm.ra,IF(LEFT(_xlpm.rc,1)="-",_xlpm.rb,_xlpm.rc))))</f>
        <v/>
      </c>
      <c r="CN153" s="38" t="str">
        <f>IF(B153="","",F153-0.5)</f>
        <v/>
      </c>
      <c r="CO153" s="15" t="str" cm="1">
        <f t="array" ref="CO153">IF(B153="","",_xlfn.TEXTJOIN("",,MID(B153,_xlfn.SEQUENCE(LEN(B153),,LEN(B153),-1),1)))</f>
        <v/>
      </c>
      <c r="CP153" s="6" t="str" cm="1">
        <f t="array" ref="CP153">IF(B153="","",BASE2DEC(CO153,16))</f>
        <v/>
      </c>
      <c r="CQ153" s="5" t="str">
        <f>IF(B153="","",IF(AND(LEN(B153)&lt;16,LEN(B153)=LEN(SUBSTITUTE(SUBSTITUTE(SUBSTITUTE(SUBSTITUTE(SUBSTITUTE(SUBSTITUTE(B153,"a",""),"b",""),"c",""),"d",""),"e",""),"f",""))),--B153,""))</f>
        <v/>
      </c>
      <c r="CR153" s="6" t="str" cm="1">
        <f t="array" ref="CR153">IF(B153="","",IF(LEN(D153)&lt;=15,BASE2DEC(D153,16),""))</f>
        <v/>
      </c>
      <c r="CS153" s="15" t="str" cm="1">
        <f t="array" ref="CS153">IF(B153="","",_xlfn.LET(_xlpm.p,REPT("0",MOD(-LEN(B153),4))&amp;B153,_xlfn.TEXTJOIN(" ",,MID(_xlpm.p,_xlfn.SEQUENCE(LEN(_xlpm.p)/4,,1,4),4))))</f>
        <v/>
      </c>
      <c r="CT153" s="15" t="str" cm="1">
        <f t="array" ref="CT153">IF(B153="","",UPPER(_xlfn.LET(_xlpm.p,REPT("0",64-LEN(B153))&amp;B153,_xlfn.TEXTJOIN(" ",,MID(_xlpm.p,_xlfn.SEQUENCE(8,,1,8),8)))))</f>
        <v/>
      </c>
      <c r="CU153" s="6" t="str" cm="1">
        <f t="array" ref="CU153">IF(B153="","",IF(LEN(D153)&lt;=6,_xlfn.LET(_xlpm.n,VALUE(D153),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3" s="39" t="s">
        <v>888</v>
      </c>
      <c r="CW153" s="39" t="s">
        <v>888</v>
      </c>
      <c r="CX153" s="39" t="s">
        <v>888</v>
      </c>
      <c r="CY153" s="7" t="s">
        <v>888</v>
      </c>
      <c r="CZ153" s="39" t="s">
        <v>888</v>
      </c>
      <c r="DA153" s="39" t="s">
        <v>888</v>
      </c>
      <c r="DB153" s="39" t="s">
        <v>888</v>
      </c>
      <c r="DC153" s="7" t="s">
        <v>888</v>
      </c>
      <c r="DD153" s="7" t="s">
        <v>888</v>
      </c>
      <c r="DE153" s="7" t="s">
        <v>888</v>
      </c>
      <c r="DF153" s="7" t="s">
        <v>888</v>
      </c>
      <c r="DG153" s="7" t="s">
        <v>888</v>
      </c>
      <c r="DH153" s="39" t="s">
        <v>888</v>
      </c>
      <c r="DI153" s="7" t="s">
        <v>888</v>
      </c>
      <c r="DJ153" s="7" t="s">
        <v>888</v>
      </c>
      <c r="DK153" s="7" t="s">
        <v>888</v>
      </c>
      <c r="DL153" s="7" t="s">
        <v>888</v>
      </c>
      <c r="DM153" s="7" t="s">
        <v>888</v>
      </c>
      <c r="DN153" s="7" t="s">
        <v>888</v>
      </c>
      <c r="DO153" s="7" t="s">
        <v>888</v>
      </c>
      <c r="DP153" s="7" t="s">
        <v>888</v>
      </c>
      <c r="DQ153" s="7" t="s">
        <v>888</v>
      </c>
      <c r="DR153" s="7" t="s">
        <v>888</v>
      </c>
      <c r="DS153" s="7" t="s">
        <v>888</v>
      </c>
      <c r="DT153" s="15" t="str" cm="1">
        <f t="array" ref="DT153">IF(B153="","",_xlfn.TEXTJOIN("",,HEX2BIN(MID(BQ153,_xlfn.SEQUENCE(40),1),4)))</f>
        <v/>
      </c>
    </row>
    <row r="154" spans="1:124" x14ac:dyDescent="0.25">
      <c r="A154" s="9">
        <v>153</v>
      </c>
      <c r="B154" s="15" t="s">
        <v>888</v>
      </c>
      <c r="C154" s="15" t="s">
        <v>888</v>
      </c>
      <c r="D154" s="6" t="s">
        <v>888</v>
      </c>
      <c r="E154" s="6" t="s">
        <v>888</v>
      </c>
      <c r="F154" s="10" t="s">
        <v>888</v>
      </c>
      <c r="G154" s="9" t="s">
        <v>888</v>
      </c>
      <c r="H154" s="9" t="s">
        <v>888</v>
      </c>
      <c r="I154" s="15" t="s">
        <v>888</v>
      </c>
      <c r="J154" s="9" t="s">
        <v>888</v>
      </c>
      <c r="K154" s="15" t="s">
        <v>888</v>
      </c>
      <c r="L154" s="15" t="s">
        <v>888</v>
      </c>
      <c r="M154" s="15" t="s">
        <v>888</v>
      </c>
      <c r="N154" s="15" t="s">
        <v>888</v>
      </c>
      <c r="O154" s="6" t="s">
        <v>888</v>
      </c>
      <c r="P154" s="15" t="s">
        <v>888</v>
      </c>
      <c r="Q154" s="15" t="s">
        <v>888</v>
      </c>
      <c r="R154" s="6" t="s">
        <v>888</v>
      </c>
      <c r="S154" s="15" t="s">
        <v>888</v>
      </c>
      <c r="T154" s="11" t="s">
        <v>888</v>
      </c>
      <c r="U154" s="10" t="s">
        <v>888</v>
      </c>
      <c r="V154" s="7" t="s">
        <v>888</v>
      </c>
      <c r="W154" s="7" t="s">
        <v>888</v>
      </c>
      <c r="X154" s="7" t="s">
        <v>888</v>
      </c>
      <c r="Y154" s="15" t="s">
        <v>888</v>
      </c>
      <c r="Z154" s="9" t="s">
        <v>888</v>
      </c>
      <c r="AA154" s="9" t="s">
        <v>888</v>
      </c>
      <c r="AB154" s="9" t="s">
        <v>888</v>
      </c>
      <c r="AC154" s="13" t="s">
        <v>888</v>
      </c>
      <c r="AD154" s="13" t="s">
        <v>888</v>
      </c>
      <c r="AE154" s="9" t="s">
        <v>888</v>
      </c>
      <c r="AF154" s="9" t="s">
        <v>888</v>
      </c>
      <c r="AG154" s="9" t="s">
        <v>888</v>
      </c>
      <c r="AH154" s="6" t="s">
        <v>888</v>
      </c>
      <c r="AI154" s="10" t="s">
        <v>888</v>
      </c>
      <c r="AJ154" s="10" t="s">
        <v>888</v>
      </c>
      <c r="AK154" s="15" t="s">
        <v>888</v>
      </c>
      <c r="AL154" s="15" t="s">
        <v>888</v>
      </c>
      <c r="AM154" s="15" t="s">
        <v>888</v>
      </c>
      <c r="AN154" s="9" t="s">
        <v>888</v>
      </c>
      <c r="AO154" s="9" t="s">
        <v>888</v>
      </c>
      <c r="AP154" s="9" t="s">
        <v>888</v>
      </c>
      <c r="AQ154" s="15" t="s">
        <v>888</v>
      </c>
      <c r="AR154" s="9" t="s">
        <v>888</v>
      </c>
      <c r="AS154" s="6" t="s">
        <v>888</v>
      </c>
      <c r="AT154" s="15" t="s">
        <v>888</v>
      </c>
      <c r="AU154" s="9" t="s">
        <v>888</v>
      </c>
      <c r="AV154" s="9" t="s">
        <v>888</v>
      </c>
      <c r="AW154" s="9" t="s">
        <v>888</v>
      </c>
      <c r="AX154" s="9" t="s">
        <v>888</v>
      </c>
      <c r="AY154" s="9" t="s">
        <v>888</v>
      </c>
      <c r="AZ154" s="9" t="s">
        <v>888</v>
      </c>
      <c r="BA154" s="6" t="s">
        <v>888</v>
      </c>
      <c r="BB154" s="6" t="s">
        <v>888</v>
      </c>
      <c r="BC154" s="6" t="s">
        <v>888</v>
      </c>
      <c r="BD154" s="15" t="s">
        <v>888</v>
      </c>
      <c r="BE154" s="15" t="s">
        <v>888</v>
      </c>
      <c r="BF154" s="15" t="s">
        <v>888</v>
      </c>
      <c r="BG154" s="15" t="s">
        <v>888</v>
      </c>
      <c r="BH154" s="6" t="s">
        <v>888</v>
      </c>
      <c r="BI154" s="17" t="s">
        <v>888</v>
      </c>
      <c r="BJ154" s="7" t="s">
        <v>888</v>
      </c>
      <c r="BK154" s="7" t="s">
        <v>888</v>
      </c>
      <c r="BL154" s="7" t="s">
        <v>888</v>
      </c>
      <c r="BM154" s="16" t="s">
        <v>888</v>
      </c>
      <c r="BN154" s="16" t="s">
        <v>888</v>
      </c>
      <c r="BO154" s="16" t="s">
        <v>888</v>
      </c>
      <c r="BP154" s="16" t="s">
        <v>888</v>
      </c>
      <c r="BQ154" s="16" t="s">
        <v>888</v>
      </c>
      <c r="BR154" s="7" t="s">
        <v>888</v>
      </c>
      <c r="BS154" s="7" t="s">
        <v>888</v>
      </c>
      <c r="BT154" s="7" t="s">
        <v>888</v>
      </c>
      <c r="BU154" s="14" t="s">
        <v>888</v>
      </c>
      <c r="BV154" s="15" t="s">
        <v>888</v>
      </c>
      <c r="BW154" s="9" t="s">
        <v>888</v>
      </c>
      <c r="BX154" s="9" t="s">
        <v>888</v>
      </c>
      <c r="BY154" s="13" t="s">
        <v>888</v>
      </c>
      <c r="BZ154" s="13" t="s">
        <v>888</v>
      </c>
      <c r="CA154" s="12" t="str">
        <f>IF(B154="","",IF(A154&lt;8,"",_xlfn.LET(_xlpm.n,A154,_xlpm.k,G154,_xlpm.R,AP154,_xlpm.mu,1+2*_xlpm.k*(_xlpm.n-_xlpm.k)/_xlpm.n,_xlpm.v,2*_xlpm.k*(_xlpm.n-_xlpm.k)*(2*_xlpm.k*(_xlpm.n-_xlpm.k)-_xlpm.n)/(_xlpm.n^2*(_xlpm.n-1)),IF(_xlpm.v&lt;=0,"",(_xlpm.R-_xlpm.mu)/SQRT(_xlpm.v)))))</f>
        <v/>
      </c>
      <c r="CB154" s="37" t="str" cm="1">
        <f t="array" ref="CB154">IF(B154="","",IF(A154&lt;8,"",_xlfn.LET(_xlpm.b,--MID(C154,_xlfn.SEQUENCE(A154-1),1),_xlpm.c,--MID(C154,_xlfn.SEQUENCE(A154-1,,2),1),IFERROR(CORREL(_xlpm.b,_xlpm.c),""))))</f>
        <v/>
      </c>
      <c r="CC154" s="8" t="str">
        <f>IF(B154="","",LOG(A154,2))</f>
        <v/>
      </c>
      <c r="CD154" s="8" t="str">
        <f>IF(B154="","",MAX(AN154,AO154)-CC154)</f>
        <v/>
      </c>
      <c r="CE154" s="8" t="str" cm="1">
        <f t="array" ref="CE154">IF(B154="","",IF(LEN(B154)&lt;16,"",_xlfn.LET(_xlpm.d,MID("0123456789abcdef",_xlfn.SEQUENCE(16),1),_xlpm.c,LEN(B154)-LEN(SUBSTITUTE(B154,_xlpm.d,"")),_xlpm.ex,LEN(B154)/16,SUM((_xlpm.c-_xlpm.ex)^2/_xlpm.ex))))</f>
        <v/>
      </c>
      <c r="CF154" s="37" t="str">
        <f>IF(CE154="","",_xlfn.CHISQ.DIST.RT(CE154,15))</f>
        <v/>
      </c>
      <c r="CG154" s="9" t="str" cm="1">
        <f t="array" ref="CG154">IF(OR(B154="",B153=""),"",_xlfn.LET(_xlpm.a,C154,_xlpm.b,REPT("0",A154-LEN(C153))&amp;C153,_xlpm.m,MID(_xlpm.a,_xlfn.SEQUENCE(A154),1)=MID(_xlpm.b,_xlfn.SEQUENCE(A154),1),IFERROR(MATCH(FALSE,_xlpm.m,0)-1,A154)))</f>
        <v/>
      </c>
      <c r="CH154" s="9" t="str" cm="1">
        <f t="array" ref="CH154">IF(OR(B154="",B153=""),"",_xlfn.LET(_xlpm.a,C154,_xlpm.b,REPT("0",A154-LEN(C153))&amp;C153,_xlpm.n,A154,_xlpm.m,MID(_xlpm.a,_xlfn.SEQUENCE(_xlpm.n,,_xlpm.n,-1),1)=MID(_xlpm.b,_xlfn.SEQUENCE(_xlpm.n,,_xlpm.n,-1),1),IFERROR(MATCH(FALSE,_xlpm.m,0)-1,_xlpm.n)))</f>
        <v/>
      </c>
      <c r="CI154" s="38" t="str">
        <f>IF(OR(B154="",B153=""),"",F154-F153)</f>
        <v/>
      </c>
      <c r="CJ154" s="5" t="str">
        <f>IF(OR(B154="",B153=""),"",IFERROR(FIND(B153,B154)&gt;0,FALSE))</f>
        <v/>
      </c>
      <c r="CK154" s="5" t="str">
        <f>IF(OR(B154="",B153=""),"",IFERROR(FIND(C153,C154)&gt;0,FALSE))</f>
        <v/>
      </c>
      <c r="CL154" s="9" t="str">
        <f>IF(OR(B154="",B153=""),"",IFERROR(FIND(C153,C154),""))</f>
        <v/>
      </c>
      <c r="CM154" s="6" t="str" cm="1">
        <f t="array" ref="CM154">IF(OR(B154="",B153=""),"",_xlfn.LET(_xlpm.pv,D153,_xlpm.ra,BIGSUB(D154,_xlpm.pv),_xlpm.rb,BIGSUB(_xlpm.ra,_xlpm.pv),_xlpm.rc,BIGSUB(_xlpm.rb,_xlpm.pv),IF(LEFT(_xlpm.rb,1)="-",_xlpm.ra,IF(LEFT(_xlpm.rc,1)="-",_xlpm.rb,_xlpm.rc))))</f>
        <v/>
      </c>
      <c r="CN154" s="38" t="str">
        <f>IF(B154="","",F154-0.5)</f>
        <v/>
      </c>
      <c r="CO154" s="15" t="str" cm="1">
        <f t="array" ref="CO154">IF(B154="","",_xlfn.TEXTJOIN("",,MID(B154,_xlfn.SEQUENCE(LEN(B154),,LEN(B154),-1),1)))</f>
        <v/>
      </c>
      <c r="CP154" s="6" t="str" cm="1">
        <f t="array" ref="CP154">IF(B154="","",BASE2DEC(CO154,16))</f>
        <v/>
      </c>
      <c r="CQ154" s="5" t="str">
        <f>IF(B154="","",IF(AND(LEN(B154)&lt;16,LEN(B154)=LEN(SUBSTITUTE(SUBSTITUTE(SUBSTITUTE(SUBSTITUTE(SUBSTITUTE(SUBSTITUTE(B154,"a",""),"b",""),"c",""),"d",""),"e",""),"f",""))),--B154,""))</f>
        <v/>
      </c>
      <c r="CR154" s="6" t="str" cm="1">
        <f t="array" ref="CR154">IF(B154="","",IF(LEN(D154)&lt;=15,BASE2DEC(D154,16),""))</f>
        <v/>
      </c>
      <c r="CS154" s="15" t="str" cm="1">
        <f t="array" ref="CS154">IF(B154="","",_xlfn.LET(_xlpm.p,REPT("0",MOD(-LEN(B154),4))&amp;B154,_xlfn.TEXTJOIN(" ",,MID(_xlpm.p,_xlfn.SEQUENCE(LEN(_xlpm.p)/4,,1,4),4))))</f>
        <v/>
      </c>
      <c r="CT154" s="15" t="str" cm="1">
        <f t="array" ref="CT154">IF(B154="","",UPPER(_xlfn.LET(_xlpm.p,REPT("0",64-LEN(B154))&amp;B154,_xlfn.TEXTJOIN(" ",,MID(_xlpm.p,_xlfn.SEQUENCE(8,,1,8),8)))))</f>
        <v/>
      </c>
      <c r="CU154" s="6" t="str" cm="1">
        <f t="array" ref="CU154">IF(B154="","",IF(LEN(D154)&lt;=6,_xlfn.LET(_xlpm.n,VALUE(D154),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4" s="39" t="s">
        <v>888</v>
      </c>
      <c r="CW154" s="39" t="s">
        <v>888</v>
      </c>
      <c r="CX154" s="39" t="s">
        <v>888</v>
      </c>
      <c r="CY154" s="7" t="s">
        <v>888</v>
      </c>
      <c r="CZ154" s="39" t="s">
        <v>888</v>
      </c>
      <c r="DA154" s="39" t="s">
        <v>888</v>
      </c>
      <c r="DB154" s="39" t="s">
        <v>888</v>
      </c>
      <c r="DC154" s="7" t="s">
        <v>888</v>
      </c>
      <c r="DD154" s="7" t="s">
        <v>888</v>
      </c>
      <c r="DE154" s="7" t="s">
        <v>888</v>
      </c>
      <c r="DF154" s="7" t="s">
        <v>888</v>
      </c>
      <c r="DG154" s="7" t="s">
        <v>888</v>
      </c>
      <c r="DH154" s="39" t="s">
        <v>888</v>
      </c>
      <c r="DI154" s="7" t="s">
        <v>888</v>
      </c>
      <c r="DJ154" s="7" t="s">
        <v>888</v>
      </c>
      <c r="DK154" s="7" t="s">
        <v>888</v>
      </c>
      <c r="DL154" s="7" t="s">
        <v>888</v>
      </c>
      <c r="DM154" s="7" t="s">
        <v>888</v>
      </c>
      <c r="DN154" s="7" t="s">
        <v>888</v>
      </c>
      <c r="DO154" s="7" t="s">
        <v>888</v>
      </c>
      <c r="DP154" s="7" t="s">
        <v>888</v>
      </c>
      <c r="DQ154" s="7" t="s">
        <v>888</v>
      </c>
      <c r="DR154" s="7" t="s">
        <v>888</v>
      </c>
      <c r="DS154" s="7" t="s">
        <v>888</v>
      </c>
      <c r="DT154" s="15" t="str" cm="1">
        <f t="array" ref="DT154">IF(B154="","",_xlfn.TEXTJOIN("",,HEX2BIN(MID(BQ154,_xlfn.SEQUENCE(40),1),4)))</f>
        <v/>
      </c>
    </row>
    <row r="155" spans="1:124" x14ac:dyDescent="0.25">
      <c r="A155" s="9">
        <v>154</v>
      </c>
      <c r="B155" s="15" t="s">
        <v>888</v>
      </c>
      <c r="C155" s="15" t="s">
        <v>888</v>
      </c>
      <c r="D155" s="6" t="s">
        <v>888</v>
      </c>
      <c r="E155" s="6" t="s">
        <v>888</v>
      </c>
      <c r="F155" s="10" t="s">
        <v>888</v>
      </c>
      <c r="G155" s="9" t="s">
        <v>888</v>
      </c>
      <c r="H155" s="9" t="s">
        <v>888</v>
      </c>
      <c r="I155" s="15" t="s">
        <v>888</v>
      </c>
      <c r="J155" s="9" t="s">
        <v>888</v>
      </c>
      <c r="K155" s="15" t="s">
        <v>888</v>
      </c>
      <c r="L155" s="15" t="s">
        <v>888</v>
      </c>
      <c r="M155" s="15" t="s">
        <v>888</v>
      </c>
      <c r="N155" s="15" t="s">
        <v>888</v>
      </c>
      <c r="O155" s="6" t="s">
        <v>888</v>
      </c>
      <c r="P155" s="15" t="s">
        <v>888</v>
      </c>
      <c r="Q155" s="15" t="s">
        <v>888</v>
      </c>
      <c r="R155" s="6" t="s">
        <v>888</v>
      </c>
      <c r="S155" s="15" t="s">
        <v>888</v>
      </c>
      <c r="T155" s="11" t="s">
        <v>888</v>
      </c>
      <c r="U155" s="10" t="s">
        <v>888</v>
      </c>
      <c r="V155" s="7" t="s">
        <v>888</v>
      </c>
      <c r="W155" s="7" t="s">
        <v>888</v>
      </c>
      <c r="X155" s="7" t="s">
        <v>888</v>
      </c>
      <c r="Y155" s="15" t="s">
        <v>888</v>
      </c>
      <c r="Z155" s="9" t="s">
        <v>888</v>
      </c>
      <c r="AA155" s="9" t="s">
        <v>888</v>
      </c>
      <c r="AB155" s="9" t="s">
        <v>888</v>
      </c>
      <c r="AC155" s="13" t="s">
        <v>888</v>
      </c>
      <c r="AD155" s="13" t="s">
        <v>888</v>
      </c>
      <c r="AE155" s="9" t="s">
        <v>888</v>
      </c>
      <c r="AF155" s="9" t="s">
        <v>888</v>
      </c>
      <c r="AG155" s="9" t="s">
        <v>888</v>
      </c>
      <c r="AH155" s="6" t="s">
        <v>888</v>
      </c>
      <c r="AI155" s="10" t="s">
        <v>888</v>
      </c>
      <c r="AJ155" s="10" t="s">
        <v>888</v>
      </c>
      <c r="AK155" s="15" t="s">
        <v>888</v>
      </c>
      <c r="AL155" s="15" t="s">
        <v>888</v>
      </c>
      <c r="AM155" s="15" t="s">
        <v>888</v>
      </c>
      <c r="AN155" s="9" t="s">
        <v>888</v>
      </c>
      <c r="AO155" s="9" t="s">
        <v>888</v>
      </c>
      <c r="AP155" s="9" t="s">
        <v>888</v>
      </c>
      <c r="AQ155" s="15" t="s">
        <v>888</v>
      </c>
      <c r="AR155" s="9" t="s">
        <v>888</v>
      </c>
      <c r="AS155" s="6" t="s">
        <v>888</v>
      </c>
      <c r="AT155" s="15" t="s">
        <v>888</v>
      </c>
      <c r="AU155" s="9" t="s">
        <v>888</v>
      </c>
      <c r="AV155" s="9" t="s">
        <v>888</v>
      </c>
      <c r="AW155" s="9" t="s">
        <v>888</v>
      </c>
      <c r="AX155" s="9" t="s">
        <v>888</v>
      </c>
      <c r="AY155" s="9" t="s">
        <v>888</v>
      </c>
      <c r="AZ155" s="9" t="s">
        <v>888</v>
      </c>
      <c r="BA155" s="6" t="s">
        <v>888</v>
      </c>
      <c r="BB155" s="6" t="s">
        <v>888</v>
      </c>
      <c r="BC155" s="6" t="s">
        <v>888</v>
      </c>
      <c r="BD155" s="15" t="s">
        <v>888</v>
      </c>
      <c r="BE155" s="15" t="s">
        <v>888</v>
      </c>
      <c r="BF155" s="15" t="s">
        <v>888</v>
      </c>
      <c r="BG155" s="15" t="s">
        <v>888</v>
      </c>
      <c r="BH155" s="6" t="s">
        <v>888</v>
      </c>
      <c r="BI155" s="17" t="s">
        <v>888</v>
      </c>
      <c r="BJ155" s="7" t="s">
        <v>888</v>
      </c>
      <c r="BK155" s="7" t="s">
        <v>888</v>
      </c>
      <c r="BL155" s="7" t="s">
        <v>888</v>
      </c>
      <c r="BM155" s="16" t="s">
        <v>888</v>
      </c>
      <c r="BN155" s="16" t="s">
        <v>888</v>
      </c>
      <c r="BO155" s="16" t="s">
        <v>888</v>
      </c>
      <c r="BP155" s="16" t="s">
        <v>888</v>
      </c>
      <c r="BQ155" s="16" t="s">
        <v>888</v>
      </c>
      <c r="BR155" s="7" t="s">
        <v>888</v>
      </c>
      <c r="BS155" s="7" t="s">
        <v>888</v>
      </c>
      <c r="BT155" s="7" t="s">
        <v>888</v>
      </c>
      <c r="BU155" s="14" t="s">
        <v>888</v>
      </c>
      <c r="BV155" s="15" t="s">
        <v>888</v>
      </c>
      <c r="BW155" s="9" t="s">
        <v>888</v>
      </c>
      <c r="BX155" s="9" t="s">
        <v>888</v>
      </c>
      <c r="BY155" s="13" t="s">
        <v>888</v>
      </c>
      <c r="BZ155" s="13" t="s">
        <v>888</v>
      </c>
      <c r="CA155" s="12" t="str">
        <f>IF(B155="","",IF(A155&lt;8,"",_xlfn.LET(_xlpm.n,A155,_xlpm.k,G155,_xlpm.R,AP155,_xlpm.mu,1+2*_xlpm.k*(_xlpm.n-_xlpm.k)/_xlpm.n,_xlpm.v,2*_xlpm.k*(_xlpm.n-_xlpm.k)*(2*_xlpm.k*(_xlpm.n-_xlpm.k)-_xlpm.n)/(_xlpm.n^2*(_xlpm.n-1)),IF(_xlpm.v&lt;=0,"",(_xlpm.R-_xlpm.mu)/SQRT(_xlpm.v)))))</f>
        <v/>
      </c>
      <c r="CB155" s="37" t="str" cm="1">
        <f t="array" ref="CB155">IF(B155="","",IF(A155&lt;8,"",_xlfn.LET(_xlpm.b,--MID(C155,_xlfn.SEQUENCE(A155-1),1),_xlpm.c,--MID(C155,_xlfn.SEQUENCE(A155-1,,2),1),IFERROR(CORREL(_xlpm.b,_xlpm.c),""))))</f>
        <v/>
      </c>
      <c r="CC155" s="8" t="str">
        <f>IF(B155="","",LOG(A155,2))</f>
        <v/>
      </c>
      <c r="CD155" s="8" t="str">
        <f>IF(B155="","",MAX(AN155,AO155)-CC155)</f>
        <v/>
      </c>
      <c r="CE155" s="8" t="str" cm="1">
        <f t="array" ref="CE155">IF(B155="","",IF(LEN(B155)&lt;16,"",_xlfn.LET(_xlpm.d,MID("0123456789abcdef",_xlfn.SEQUENCE(16),1),_xlpm.c,LEN(B155)-LEN(SUBSTITUTE(B155,_xlpm.d,"")),_xlpm.ex,LEN(B155)/16,SUM((_xlpm.c-_xlpm.ex)^2/_xlpm.ex))))</f>
        <v/>
      </c>
      <c r="CF155" s="37" t="str">
        <f>IF(CE155="","",_xlfn.CHISQ.DIST.RT(CE155,15))</f>
        <v/>
      </c>
      <c r="CG155" s="9" t="str" cm="1">
        <f t="array" ref="CG155">IF(OR(B155="",B154=""),"",_xlfn.LET(_xlpm.a,C155,_xlpm.b,REPT("0",A155-LEN(C154))&amp;C154,_xlpm.m,MID(_xlpm.a,_xlfn.SEQUENCE(A155),1)=MID(_xlpm.b,_xlfn.SEQUENCE(A155),1),IFERROR(MATCH(FALSE,_xlpm.m,0)-1,A155)))</f>
        <v/>
      </c>
      <c r="CH155" s="9" t="str" cm="1">
        <f t="array" ref="CH155">IF(OR(B155="",B154=""),"",_xlfn.LET(_xlpm.a,C155,_xlpm.b,REPT("0",A155-LEN(C154))&amp;C154,_xlpm.n,A155,_xlpm.m,MID(_xlpm.a,_xlfn.SEQUENCE(_xlpm.n,,_xlpm.n,-1),1)=MID(_xlpm.b,_xlfn.SEQUENCE(_xlpm.n,,_xlpm.n,-1),1),IFERROR(MATCH(FALSE,_xlpm.m,0)-1,_xlpm.n)))</f>
        <v/>
      </c>
      <c r="CI155" s="38" t="str">
        <f>IF(OR(B155="",B154=""),"",F155-F154)</f>
        <v/>
      </c>
      <c r="CJ155" s="5" t="str">
        <f>IF(OR(B155="",B154=""),"",IFERROR(FIND(B154,B155)&gt;0,FALSE))</f>
        <v/>
      </c>
      <c r="CK155" s="5" t="str">
        <f>IF(OR(B155="",B154=""),"",IFERROR(FIND(C154,C155)&gt;0,FALSE))</f>
        <v/>
      </c>
      <c r="CL155" s="9" t="str">
        <f>IF(OR(B155="",B154=""),"",IFERROR(FIND(C154,C155),""))</f>
        <v/>
      </c>
      <c r="CM155" s="6" t="str" cm="1">
        <f t="array" ref="CM155">IF(OR(B155="",B154=""),"",_xlfn.LET(_xlpm.pv,D154,_xlpm.ra,BIGSUB(D155,_xlpm.pv),_xlpm.rb,BIGSUB(_xlpm.ra,_xlpm.pv),_xlpm.rc,BIGSUB(_xlpm.rb,_xlpm.pv),IF(LEFT(_xlpm.rb,1)="-",_xlpm.ra,IF(LEFT(_xlpm.rc,1)="-",_xlpm.rb,_xlpm.rc))))</f>
        <v/>
      </c>
      <c r="CN155" s="38" t="str">
        <f>IF(B155="","",F155-0.5)</f>
        <v/>
      </c>
      <c r="CO155" s="15" t="str" cm="1">
        <f t="array" ref="CO155">IF(B155="","",_xlfn.TEXTJOIN("",,MID(B155,_xlfn.SEQUENCE(LEN(B155),,LEN(B155),-1),1)))</f>
        <v/>
      </c>
      <c r="CP155" s="6" t="str" cm="1">
        <f t="array" ref="CP155">IF(B155="","",BASE2DEC(CO155,16))</f>
        <v/>
      </c>
      <c r="CQ155" s="5" t="str">
        <f>IF(B155="","",IF(AND(LEN(B155)&lt;16,LEN(B155)=LEN(SUBSTITUTE(SUBSTITUTE(SUBSTITUTE(SUBSTITUTE(SUBSTITUTE(SUBSTITUTE(B155,"a",""),"b",""),"c",""),"d",""),"e",""),"f",""))),--B155,""))</f>
        <v/>
      </c>
      <c r="CR155" s="6" t="str" cm="1">
        <f t="array" ref="CR155">IF(B155="","",IF(LEN(D155)&lt;=15,BASE2DEC(D155,16),""))</f>
        <v/>
      </c>
      <c r="CS155" s="15" t="str" cm="1">
        <f t="array" ref="CS155">IF(B155="","",_xlfn.LET(_xlpm.p,REPT("0",MOD(-LEN(B155),4))&amp;B155,_xlfn.TEXTJOIN(" ",,MID(_xlpm.p,_xlfn.SEQUENCE(LEN(_xlpm.p)/4,,1,4),4))))</f>
        <v/>
      </c>
      <c r="CT155" s="15" t="str" cm="1">
        <f t="array" ref="CT155">IF(B155="","",UPPER(_xlfn.LET(_xlpm.p,REPT("0",64-LEN(B155))&amp;B155,_xlfn.TEXTJOIN(" ",,MID(_xlpm.p,_xlfn.SEQUENCE(8,,1,8),8)))))</f>
        <v/>
      </c>
      <c r="CU155" s="6" t="str" cm="1">
        <f t="array" ref="CU155">IF(B155="","",IF(LEN(D155)&lt;=6,_xlfn.LET(_xlpm.n,VALUE(D155),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5" s="39" t="s">
        <v>888</v>
      </c>
      <c r="CW155" s="39" t="s">
        <v>888</v>
      </c>
      <c r="CX155" s="39" t="s">
        <v>888</v>
      </c>
      <c r="CY155" s="7" t="s">
        <v>888</v>
      </c>
      <c r="CZ155" s="39" t="s">
        <v>888</v>
      </c>
      <c r="DA155" s="39" t="s">
        <v>888</v>
      </c>
      <c r="DB155" s="39" t="s">
        <v>888</v>
      </c>
      <c r="DC155" s="7" t="s">
        <v>888</v>
      </c>
      <c r="DD155" s="7" t="s">
        <v>888</v>
      </c>
      <c r="DE155" s="7" t="s">
        <v>888</v>
      </c>
      <c r="DF155" s="7" t="s">
        <v>888</v>
      </c>
      <c r="DG155" s="7" t="s">
        <v>888</v>
      </c>
      <c r="DH155" s="39" t="s">
        <v>888</v>
      </c>
      <c r="DI155" s="7" t="s">
        <v>888</v>
      </c>
      <c r="DJ155" s="7" t="s">
        <v>888</v>
      </c>
      <c r="DK155" s="7" t="s">
        <v>888</v>
      </c>
      <c r="DL155" s="7" t="s">
        <v>888</v>
      </c>
      <c r="DM155" s="7" t="s">
        <v>888</v>
      </c>
      <c r="DN155" s="7" t="s">
        <v>888</v>
      </c>
      <c r="DO155" s="7" t="s">
        <v>888</v>
      </c>
      <c r="DP155" s="7" t="s">
        <v>888</v>
      </c>
      <c r="DQ155" s="7" t="s">
        <v>888</v>
      </c>
      <c r="DR155" s="7" t="s">
        <v>888</v>
      </c>
      <c r="DS155" s="7" t="s">
        <v>888</v>
      </c>
      <c r="DT155" s="15" t="str" cm="1">
        <f t="array" ref="DT155">IF(B155="","",_xlfn.TEXTJOIN("",,HEX2BIN(MID(BQ155,_xlfn.SEQUENCE(40),1),4)))</f>
        <v/>
      </c>
    </row>
    <row r="156" spans="1:124" x14ac:dyDescent="0.25">
      <c r="A156" s="9">
        <v>155</v>
      </c>
      <c r="B156" s="15" t="s">
        <v>888</v>
      </c>
      <c r="C156" s="15" t="s">
        <v>888</v>
      </c>
      <c r="D156" s="6" t="s">
        <v>888</v>
      </c>
      <c r="E156" s="6" t="s">
        <v>888</v>
      </c>
      <c r="F156" s="10" t="s">
        <v>888</v>
      </c>
      <c r="G156" s="9" t="s">
        <v>888</v>
      </c>
      <c r="H156" s="9" t="s">
        <v>888</v>
      </c>
      <c r="I156" s="15" t="s">
        <v>888</v>
      </c>
      <c r="J156" s="9" t="s">
        <v>888</v>
      </c>
      <c r="K156" s="15" t="s">
        <v>888</v>
      </c>
      <c r="L156" s="15" t="s">
        <v>888</v>
      </c>
      <c r="M156" s="15" t="s">
        <v>888</v>
      </c>
      <c r="N156" s="15" t="s">
        <v>888</v>
      </c>
      <c r="O156" s="6" t="s">
        <v>888</v>
      </c>
      <c r="P156" s="15" t="s">
        <v>888</v>
      </c>
      <c r="Q156" s="15" t="s">
        <v>888</v>
      </c>
      <c r="R156" s="6" t="s">
        <v>888</v>
      </c>
      <c r="S156" s="15" t="s">
        <v>888</v>
      </c>
      <c r="T156" s="11" t="s">
        <v>888</v>
      </c>
      <c r="U156" s="10" t="s">
        <v>888</v>
      </c>
      <c r="V156" s="7" t="s">
        <v>888</v>
      </c>
      <c r="W156" s="7" t="s">
        <v>888</v>
      </c>
      <c r="X156" s="7" t="s">
        <v>888</v>
      </c>
      <c r="Y156" s="15" t="s">
        <v>888</v>
      </c>
      <c r="Z156" s="9" t="s">
        <v>888</v>
      </c>
      <c r="AA156" s="9" t="s">
        <v>888</v>
      </c>
      <c r="AB156" s="9" t="s">
        <v>888</v>
      </c>
      <c r="AC156" s="13" t="s">
        <v>888</v>
      </c>
      <c r="AD156" s="13" t="s">
        <v>888</v>
      </c>
      <c r="AE156" s="9" t="s">
        <v>888</v>
      </c>
      <c r="AF156" s="9" t="s">
        <v>888</v>
      </c>
      <c r="AG156" s="9" t="s">
        <v>888</v>
      </c>
      <c r="AH156" s="6" t="s">
        <v>888</v>
      </c>
      <c r="AI156" s="10" t="s">
        <v>888</v>
      </c>
      <c r="AJ156" s="10" t="s">
        <v>888</v>
      </c>
      <c r="AK156" s="15" t="s">
        <v>888</v>
      </c>
      <c r="AL156" s="15" t="s">
        <v>888</v>
      </c>
      <c r="AM156" s="15" t="s">
        <v>888</v>
      </c>
      <c r="AN156" s="9" t="s">
        <v>888</v>
      </c>
      <c r="AO156" s="9" t="s">
        <v>888</v>
      </c>
      <c r="AP156" s="9" t="s">
        <v>888</v>
      </c>
      <c r="AQ156" s="15" t="s">
        <v>888</v>
      </c>
      <c r="AR156" s="9" t="s">
        <v>888</v>
      </c>
      <c r="AS156" s="6" t="s">
        <v>888</v>
      </c>
      <c r="AT156" s="15" t="s">
        <v>888</v>
      </c>
      <c r="AU156" s="9" t="s">
        <v>888</v>
      </c>
      <c r="AV156" s="9" t="s">
        <v>888</v>
      </c>
      <c r="AW156" s="9" t="s">
        <v>888</v>
      </c>
      <c r="AX156" s="9" t="s">
        <v>888</v>
      </c>
      <c r="AY156" s="9" t="s">
        <v>888</v>
      </c>
      <c r="AZ156" s="9" t="s">
        <v>888</v>
      </c>
      <c r="BA156" s="6" t="s">
        <v>888</v>
      </c>
      <c r="BB156" s="6" t="s">
        <v>888</v>
      </c>
      <c r="BC156" s="6" t="s">
        <v>888</v>
      </c>
      <c r="BD156" s="15" t="s">
        <v>888</v>
      </c>
      <c r="BE156" s="15" t="s">
        <v>888</v>
      </c>
      <c r="BF156" s="15" t="s">
        <v>888</v>
      </c>
      <c r="BG156" s="15" t="s">
        <v>888</v>
      </c>
      <c r="BH156" s="6" t="s">
        <v>888</v>
      </c>
      <c r="BI156" s="17" t="s">
        <v>888</v>
      </c>
      <c r="BJ156" s="7" t="s">
        <v>888</v>
      </c>
      <c r="BK156" s="7" t="s">
        <v>888</v>
      </c>
      <c r="BL156" s="7" t="s">
        <v>888</v>
      </c>
      <c r="BM156" s="16" t="s">
        <v>888</v>
      </c>
      <c r="BN156" s="16" t="s">
        <v>888</v>
      </c>
      <c r="BO156" s="16" t="s">
        <v>888</v>
      </c>
      <c r="BP156" s="16" t="s">
        <v>888</v>
      </c>
      <c r="BQ156" s="16" t="s">
        <v>888</v>
      </c>
      <c r="BR156" s="7" t="s">
        <v>888</v>
      </c>
      <c r="BS156" s="7" t="s">
        <v>888</v>
      </c>
      <c r="BT156" s="7" t="s">
        <v>888</v>
      </c>
      <c r="BU156" s="14" t="s">
        <v>888</v>
      </c>
      <c r="BV156" s="15" t="s">
        <v>888</v>
      </c>
      <c r="BW156" s="9" t="s">
        <v>888</v>
      </c>
      <c r="BX156" s="9" t="s">
        <v>888</v>
      </c>
      <c r="BY156" s="13" t="s">
        <v>888</v>
      </c>
      <c r="BZ156" s="13" t="s">
        <v>888</v>
      </c>
      <c r="CA156" s="12" t="str">
        <f>IF(B156="","",IF(A156&lt;8,"",_xlfn.LET(_xlpm.n,A156,_xlpm.k,G156,_xlpm.R,AP156,_xlpm.mu,1+2*_xlpm.k*(_xlpm.n-_xlpm.k)/_xlpm.n,_xlpm.v,2*_xlpm.k*(_xlpm.n-_xlpm.k)*(2*_xlpm.k*(_xlpm.n-_xlpm.k)-_xlpm.n)/(_xlpm.n^2*(_xlpm.n-1)),IF(_xlpm.v&lt;=0,"",(_xlpm.R-_xlpm.mu)/SQRT(_xlpm.v)))))</f>
        <v/>
      </c>
      <c r="CB156" s="37" t="str" cm="1">
        <f t="array" ref="CB156">IF(B156="","",IF(A156&lt;8,"",_xlfn.LET(_xlpm.b,--MID(C156,_xlfn.SEQUENCE(A156-1),1),_xlpm.c,--MID(C156,_xlfn.SEQUENCE(A156-1,,2),1),IFERROR(CORREL(_xlpm.b,_xlpm.c),""))))</f>
        <v/>
      </c>
      <c r="CC156" s="8" t="str">
        <f>IF(B156="","",LOG(A156,2))</f>
        <v/>
      </c>
      <c r="CD156" s="8" t="str">
        <f>IF(B156="","",MAX(AN156,AO156)-CC156)</f>
        <v/>
      </c>
      <c r="CE156" s="8" t="str" cm="1">
        <f t="array" ref="CE156">IF(B156="","",IF(LEN(B156)&lt;16,"",_xlfn.LET(_xlpm.d,MID("0123456789abcdef",_xlfn.SEQUENCE(16),1),_xlpm.c,LEN(B156)-LEN(SUBSTITUTE(B156,_xlpm.d,"")),_xlpm.ex,LEN(B156)/16,SUM((_xlpm.c-_xlpm.ex)^2/_xlpm.ex))))</f>
        <v/>
      </c>
      <c r="CF156" s="37" t="str">
        <f>IF(CE156="","",_xlfn.CHISQ.DIST.RT(CE156,15))</f>
        <v/>
      </c>
      <c r="CG156" s="9" t="str" cm="1">
        <f t="array" ref="CG156">IF(OR(B156="",B155=""),"",_xlfn.LET(_xlpm.a,C156,_xlpm.b,REPT("0",A156-LEN(C155))&amp;C155,_xlpm.m,MID(_xlpm.a,_xlfn.SEQUENCE(A156),1)=MID(_xlpm.b,_xlfn.SEQUENCE(A156),1),IFERROR(MATCH(FALSE,_xlpm.m,0)-1,A156)))</f>
        <v/>
      </c>
      <c r="CH156" s="9" t="str" cm="1">
        <f t="array" ref="CH156">IF(OR(B156="",B155=""),"",_xlfn.LET(_xlpm.a,C156,_xlpm.b,REPT("0",A156-LEN(C155))&amp;C155,_xlpm.n,A156,_xlpm.m,MID(_xlpm.a,_xlfn.SEQUENCE(_xlpm.n,,_xlpm.n,-1),1)=MID(_xlpm.b,_xlfn.SEQUENCE(_xlpm.n,,_xlpm.n,-1),1),IFERROR(MATCH(FALSE,_xlpm.m,0)-1,_xlpm.n)))</f>
        <v/>
      </c>
      <c r="CI156" s="38" t="str">
        <f>IF(OR(B156="",B155=""),"",F156-F155)</f>
        <v/>
      </c>
      <c r="CJ156" s="5" t="str">
        <f>IF(OR(B156="",B155=""),"",IFERROR(FIND(B155,B156)&gt;0,FALSE))</f>
        <v/>
      </c>
      <c r="CK156" s="5" t="str">
        <f>IF(OR(B156="",B155=""),"",IFERROR(FIND(C155,C156)&gt;0,FALSE))</f>
        <v/>
      </c>
      <c r="CL156" s="9" t="str">
        <f>IF(OR(B156="",B155=""),"",IFERROR(FIND(C155,C156),""))</f>
        <v/>
      </c>
      <c r="CM156" s="6" t="str" cm="1">
        <f t="array" ref="CM156">IF(OR(B156="",B155=""),"",_xlfn.LET(_xlpm.pv,D155,_xlpm.ra,BIGSUB(D156,_xlpm.pv),_xlpm.rb,BIGSUB(_xlpm.ra,_xlpm.pv),_xlpm.rc,BIGSUB(_xlpm.rb,_xlpm.pv),IF(LEFT(_xlpm.rb,1)="-",_xlpm.ra,IF(LEFT(_xlpm.rc,1)="-",_xlpm.rb,_xlpm.rc))))</f>
        <v/>
      </c>
      <c r="CN156" s="38" t="str">
        <f>IF(B156="","",F156-0.5)</f>
        <v/>
      </c>
      <c r="CO156" s="15" t="str" cm="1">
        <f t="array" ref="CO156">IF(B156="","",_xlfn.TEXTJOIN("",,MID(B156,_xlfn.SEQUENCE(LEN(B156),,LEN(B156),-1),1)))</f>
        <v/>
      </c>
      <c r="CP156" s="6" t="str" cm="1">
        <f t="array" ref="CP156">IF(B156="","",BASE2DEC(CO156,16))</f>
        <v/>
      </c>
      <c r="CQ156" s="5" t="str">
        <f>IF(B156="","",IF(AND(LEN(B156)&lt;16,LEN(B156)=LEN(SUBSTITUTE(SUBSTITUTE(SUBSTITUTE(SUBSTITUTE(SUBSTITUTE(SUBSTITUTE(B156,"a",""),"b",""),"c",""),"d",""),"e",""),"f",""))),--B156,""))</f>
        <v/>
      </c>
      <c r="CR156" s="6" t="str" cm="1">
        <f t="array" ref="CR156">IF(B156="","",IF(LEN(D156)&lt;=15,BASE2DEC(D156,16),""))</f>
        <v/>
      </c>
      <c r="CS156" s="15" t="str" cm="1">
        <f t="array" ref="CS156">IF(B156="","",_xlfn.LET(_xlpm.p,REPT("0",MOD(-LEN(B156),4))&amp;B156,_xlfn.TEXTJOIN(" ",,MID(_xlpm.p,_xlfn.SEQUENCE(LEN(_xlpm.p)/4,,1,4),4))))</f>
        <v/>
      </c>
      <c r="CT156" s="15" t="str" cm="1">
        <f t="array" ref="CT156">IF(B156="","",UPPER(_xlfn.LET(_xlpm.p,REPT("0",64-LEN(B156))&amp;B156,_xlfn.TEXTJOIN(" ",,MID(_xlpm.p,_xlfn.SEQUENCE(8,,1,8),8)))))</f>
        <v/>
      </c>
      <c r="CU156" s="6" t="str" cm="1">
        <f t="array" ref="CU156">IF(B156="","",IF(LEN(D156)&lt;=6,_xlfn.LET(_xlpm.n,VALUE(D156),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6" s="39" t="s">
        <v>888</v>
      </c>
      <c r="CW156" s="39" t="s">
        <v>888</v>
      </c>
      <c r="CX156" s="39" t="s">
        <v>888</v>
      </c>
      <c r="CY156" s="7" t="s">
        <v>888</v>
      </c>
      <c r="CZ156" s="39" t="s">
        <v>888</v>
      </c>
      <c r="DA156" s="39" t="s">
        <v>888</v>
      </c>
      <c r="DB156" s="39" t="s">
        <v>888</v>
      </c>
      <c r="DC156" s="7" t="s">
        <v>888</v>
      </c>
      <c r="DD156" s="7" t="s">
        <v>888</v>
      </c>
      <c r="DE156" s="7" t="s">
        <v>888</v>
      </c>
      <c r="DF156" s="7" t="s">
        <v>888</v>
      </c>
      <c r="DG156" s="7" t="s">
        <v>888</v>
      </c>
      <c r="DH156" s="39" t="s">
        <v>888</v>
      </c>
      <c r="DI156" s="7" t="s">
        <v>888</v>
      </c>
      <c r="DJ156" s="7" t="s">
        <v>888</v>
      </c>
      <c r="DK156" s="7" t="s">
        <v>888</v>
      </c>
      <c r="DL156" s="7" t="s">
        <v>888</v>
      </c>
      <c r="DM156" s="7" t="s">
        <v>888</v>
      </c>
      <c r="DN156" s="7" t="s">
        <v>888</v>
      </c>
      <c r="DO156" s="7" t="s">
        <v>888</v>
      </c>
      <c r="DP156" s="7" t="s">
        <v>888</v>
      </c>
      <c r="DQ156" s="7" t="s">
        <v>888</v>
      </c>
      <c r="DR156" s="7" t="s">
        <v>888</v>
      </c>
      <c r="DS156" s="7" t="s">
        <v>5841</v>
      </c>
      <c r="DT156" s="15" t="str" cm="1">
        <f t="array" ref="DT156">IF(B156="","",_xlfn.TEXTJOIN("",,HEX2BIN(MID(BQ156,_xlfn.SEQUENCE(40),1),4)))</f>
        <v/>
      </c>
    </row>
    <row r="157" spans="1:124" x14ac:dyDescent="0.25">
      <c r="A157" s="9">
        <v>156</v>
      </c>
      <c r="B157" s="15" t="s">
        <v>888</v>
      </c>
      <c r="C157" s="15" t="s">
        <v>888</v>
      </c>
      <c r="D157" s="6" t="s">
        <v>888</v>
      </c>
      <c r="E157" s="6" t="s">
        <v>888</v>
      </c>
      <c r="F157" s="10" t="s">
        <v>888</v>
      </c>
      <c r="G157" s="9" t="s">
        <v>888</v>
      </c>
      <c r="H157" s="9" t="s">
        <v>888</v>
      </c>
      <c r="I157" s="15" t="s">
        <v>888</v>
      </c>
      <c r="J157" s="9" t="s">
        <v>888</v>
      </c>
      <c r="K157" s="15" t="s">
        <v>888</v>
      </c>
      <c r="L157" s="15" t="s">
        <v>888</v>
      </c>
      <c r="M157" s="15" t="s">
        <v>888</v>
      </c>
      <c r="N157" s="15" t="s">
        <v>888</v>
      </c>
      <c r="O157" s="6" t="s">
        <v>888</v>
      </c>
      <c r="P157" s="15" t="s">
        <v>888</v>
      </c>
      <c r="Q157" s="15" t="s">
        <v>888</v>
      </c>
      <c r="R157" s="6" t="s">
        <v>888</v>
      </c>
      <c r="S157" s="15" t="s">
        <v>888</v>
      </c>
      <c r="T157" s="11" t="s">
        <v>888</v>
      </c>
      <c r="U157" s="10" t="s">
        <v>888</v>
      </c>
      <c r="V157" s="7" t="s">
        <v>888</v>
      </c>
      <c r="W157" s="7" t="s">
        <v>888</v>
      </c>
      <c r="X157" s="7" t="s">
        <v>888</v>
      </c>
      <c r="Y157" s="15" t="s">
        <v>888</v>
      </c>
      <c r="Z157" s="9" t="s">
        <v>888</v>
      </c>
      <c r="AA157" s="9" t="s">
        <v>888</v>
      </c>
      <c r="AB157" s="9" t="s">
        <v>888</v>
      </c>
      <c r="AC157" s="13" t="s">
        <v>888</v>
      </c>
      <c r="AD157" s="13" t="s">
        <v>888</v>
      </c>
      <c r="AE157" s="9" t="s">
        <v>888</v>
      </c>
      <c r="AF157" s="9" t="s">
        <v>888</v>
      </c>
      <c r="AG157" s="9" t="s">
        <v>888</v>
      </c>
      <c r="AH157" s="6" t="s">
        <v>888</v>
      </c>
      <c r="AI157" s="10" t="s">
        <v>888</v>
      </c>
      <c r="AJ157" s="10" t="s">
        <v>888</v>
      </c>
      <c r="AK157" s="15" t="s">
        <v>888</v>
      </c>
      <c r="AL157" s="15" t="s">
        <v>888</v>
      </c>
      <c r="AM157" s="15" t="s">
        <v>888</v>
      </c>
      <c r="AN157" s="9" t="s">
        <v>888</v>
      </c>
      <c r="AO157" s="9" t="s">
        <v>888</v>
      </c>
      <c r="AP157" s="9" t="s">
        <v>888</v>
      </c>
      <c r="AQ157" s="15" t="s">
        <v>888</v>
      </c>
      <c r="AR157" s="9" t="s">
        <v>888</v>
      </c>
      <c r="AS157" s="6" t="s">
        <v>888</v>
      </c>
      <c r="AT157" s="15" t="s">
        <v>888</v>
      </c>
      <c r="AU157" s="9" t="s">
        <v>888</v>
      </c>
      <c r="AV157" s="9" t="s">
        <v>888</v>
      </c>
      <c r="AW157" s="9" t="s">
        <v>888</v>
      </c>
      <c r="AX157" s="9" t="s">
        <v>888</v>
      </c>
      <c r="AY157" s="9" t="s">
        <v>888</v>
      </c>
      <c r="AZ157" s="9" t="s">
        <v>888</v>
      </c>
      <c r="BA157" s="6" t="s">
        <v>888</v>
      </c>
      <c r="BB157" s="6" t="s">
        <v>888</v>
      </c>
      <c r="BC157" s="6" t="s">
        <v>888</v>
      </c>
      <c r="BD157" s="15" t="s">
        <v>888</v>
      </c>
      <c r="BE157" s="15" t="s">
        <v>888</v>
      </c>
      <c r="BF157" s="15" t="s">
        <v>888</v>
      </c>
      <c r="BG157" s="15" t="s">
        <v>888</v>
      </c>
      <c r="BH157" s="6" t="s">
        <v>888</v>
      </c>
      <c r="BI157" s="17" t="s">
        <v>888</v>
      </c>
      <c r="BJ157" s="7" t="s">
        <v>888</v>
      </c>
      <c r="BK157" s="7" t="s">
        <v>888</v>
      </c>
      <c r="BL157" s="7" t="s">
        <v>888</v>
      </c>
      <c r="BM157" s="16" t="s">
        <v>888</v>
      </c>
      <c r="BN157" s="16" t="s">
        <v>888</v>
      </c>
      <c r="BO157" s="16" t="s">
        <v>888</v>
      </c>
      <c r="BP157" s="16" t="s">
        <v>888</v>
      </c>
      <c r="BQ157" s="16" t="s">
        <v>888</v>
      </c>
      <c r="BR157" s="7" t="s">
        <v>888</v>
      </c>
      <c r="BS157" s="7" t="s">
        <v>888</v>
      </c>
      <c r="BT157" s="7" t="s">
        <v>888</v>
      </c>
      <c r="BU157" s="14" t="s">
        <v>888</v>
      </c>
      <c r="BV157" s="15" t="s">
        <v>888</v>
      </c>
      <c r="BW157" s="9" t="s">
        <v>888</v>
      </c>
      <c r="BX157" s="9" t="s">
        <v>888</v>
      </c>
      <c r="BY157" s="13" t="s">
        <v>888</v>
      </c>
      <c r="BZ157" s="13" t="s">
        <v>888</v>
      </c>
      <c r="CA157" s="12" t="str">
        <f>IF(B157="","",IF(A157&lt;8,"",_xlfn.LET(_xlpm.n,A157,_xlpm.k,G157,_xlpm.R,AP157,_xlpm.mu,1+2*_xlpm.k*(_xlpm.n-_xlpm.k)/_xlpm.n,_xlpm.v,2*_xlpm.k*(_xlpm.n-_xlpm.k)*(2*_xlpm.k*(_xlpm.n-_xlpm.k)-_xlpm.n)/(_xlpm.n^2*(_xlpm.n-1)),IF(_xlpm.v&lt;=0,"",(_xlpm.R-_xlpm.mu)/SQRT(_xlpm.v)))))</f>
        <v/>
      </c>
      <c r="CB157" s="37" t="str" cm="1">
        <f t="array" ref="CB157">IF(B157="","",IF(A157&lt;8,"",_xlfn.LET(_xlpm.b,--MID(C157,_xlfn.SEQUENCE(A157-1),1),_xlpm.c,--MID(C157,_xlfn.SEQUENCE(A157-1,,2),1),IFERROR(CORREL(_xlpm.b,_xlpm.c),""))))</f>
        <v/>
      </c>
      <c r="CC157" s="8" t="str">
        <f>IF(B157="","",LOG(A157,2))</f>
        <v/>
      </c>
      <c r="CD157" s="8" t="str">
        <f>IF(B157="","",MAX(AN157,AO157)-CC157)</f>
        <v/>
      </c>
      <c r="CE157" s="8" t="str" cm="1">
        <f t="array" ref="CE157">IF(B157="","",IF(LEN(B157)&lt;16,"",_xlfn.LET(_xlpm.d,MID("0123456789abcdef",_xlfn.SEQUENCE(16),1),_xlpm.c,LEN(B157)-LEN(SUBSTITUTE(B157,_xlpm.d,"")),_xlpm.ex,LEN(B157)/16,SUM((_xlpm.c-_xlpm.ex)^2/_xlpm.ex))))</f>
        <v/>
      </c>
      <c r="CF157" s="37" t="str">
        <f>IF(CE157="","",_xlfn.CHISQ.DIST.RT(CE157,15))</f>
        <v/>
      </c>
      <c r="CG157" s="9" t="str" cm="1">
        <f t="array" ref="CG157">IF(OR(B157="",B156=""),"",_xlfn.LET(_xlpm.a,C157,_xlpm.b,REPT("0",A157-LEN(C156))&amp;C156,_xlpm.m,MID(_xlpm.a,_xlfn.SEQUENCE(A157),1)=MID(_xlpm.b,_xlfn.SEQUENCE(A157),1),IFERROR(MATCH(FALSE,_xlpm.m,0)-1,A157)))</f>
        <v/>
      </c>
      <c r="CH157" s="9" t="str" cm="1">
        <f t="array" ref="CH157">IF(OR(B157="",B156=""),"",_xlfn.LET(_xlpm.a,C157,_xlpm.b,REPT("0",A157-LEN(C156))&amp;C156,_xlpm.n,A157,_xlpm.m,MID(_xlpm.a,_xlfn.SEQUENCE(_xlpm.n,,_xlpm.n,-1),1)=MID(_xlpm.b,_xlfn.SEQUENCE(_xlpm.n,,_xlpm.n,-1),1),IFERROR(MATCH(FALSE,_xlpm.m,0)-1,_xlpm.n)))</f>
        <v/>
      </c>
      <c r="CI157" s="38" t="str">
        <f>IF(OR(B157="",B156=""),"",F157-F156)</f>
        <v/>
      </c>
      <c r="CJ157" s="5" t="str">
        <f>IF(OR(B157="",B156=""),"",IFERROR(FIND(B156,B157)&gt;0,FALSE))</f>
        <v/>
      </c>
      <c r="CK157" s="5" t="str">
        <f>IF(OR(B157="",B156=""),"",IFERROR(FIND(C156,C157)&gt;0,FALSE))</f>
        <v/>
      </c>
      <c r="CL157" s="9" t="str">
        <f>IF(OR(B157="",B156=""),"",IFERROR(FIND(C156,C157),""))</f>
        <v/>
      </c>
      <c r="CM157" s="6" t="str" cm="1">
        <f t="array" ref="CM157">IF(OR(B157="",B156=""),"",_xlfn.LET(_xlpm.pv,D156,_xlpm.ra,BIGSUB(D157,_xlpm.pv),_xlpm.rb,BIGSUB(_xlpm.ra,_xlpm.pv),_xlpm.rc,BIGSUB(_xlpm.rb,_xlpm.pv),IF(LEFT(_xlpm.rb,1)="-",_xlpm.ra,IF(LEFT(_xlpm.rc,1)="-",_xlpm.rb,_xlpm.rc))))</f>
        <v/>
      </c>
      <c r="CN157" s="38" t="str">
        <f>IF(B157="","",F157-0.5)</f>
        <v/>
      </c>
      <c r="CO157" s="15" t="str" cm="1">
        <f t="array" ref="CO157">IF(B157="","",_xlfn.TEXTJOIN("",,MID(B157,_xlfn.SEQUENCE(LEN(B157),,LEN(B157),-1),1)))</f>
        <v/>
      </c>
      <c r="CP157" s="6" t="str" cm="1">
        <f t="array" ref="CP157">IF(B157="","",BASE2DEC(CO157,16))</f>
        <v/>
      </c>
      <c r="CQ157" s="5" t="str">
        <f>IF(B157="","",IF(AND(LEN(B157)&lt;16,LEN(B157)=LEN(SUBSTITUTE(SUBSTITUTE(SUBSTITUTE(SUBSTITUTE(SUBSTITUTE(SUBSTITUTE(B157,"a",""),"b",""),"c",""),"d",""),"e",""),"f",""))),--B157,""))</f>
        <v/>
      </c>
      <c r="CR157" s="6" t="str" cm="1">
        <f t="array" ref="CR157">IF(B157="","",IF(LEN(D157)&lt;=15,BASE2DEC(D157,16),""))</f>
        <v/>
      </c>
      <c r="CS157" s="15" t="str" cm="1">
        <f t="array" ref="CS157">IF(B157="","",_xlfn.LET(_xlpm.p,REPT("0",MOD(-LEN(B157),4))&amp;B157,_xlfn.TEXTJOIN(" ",,MID(_xlpm.p,_xlfn.SEQUENCE(LEN(_xlpm.p)/4,,1,4),4))))</f>
        <v/>
      </c>
      <c r="CT157" s="15" t="str" cm="1">
        <f t="array" ref="CT157">IF(B157="","",UPPER(_xlfn.LET(_xlpm.p,REPT("0",64-LEN(B157))&amp;B157,_xlfn.TEXTJOIN(" ",,MID(_xlpm.p,_xlfn.SEQUENCE(8,,1,8),8)))))</f>
        <v/>
      </c>
      <c r="CU157" s="6" t="str" cm="1">
        <f t="array" ref="CU157">IF(B157="","",IF(LEN(D157)&lt;=6,_xlfn.LET(_xlpm.n,VALUE(D157),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7" s="39" t="s">
        <v>888</v>
      </c>
      <c r="CW157" s="39" t="s">
        <v>888</v>
      </c>
      <c r="CX157" s="39" t="s">
        <v>888</v>
      </c>
      <c r="CY157" s="7" t="s">
        <v>888</v>
      </c>
      <c r="CZ157" s="39" t="s">
        <v>888</v>
      </c>
      <c r="DA157" s="39" t="s">
        <v>888</v>
      </c>
      <c r="DB157" s="39" t="s">
        <v>888</v>
      </c>
      <c r="DC157" s="7" t="s">
        <v>888</v>
      </c>
      <c r="DD157" s="7" t="s">
        <v>888</v>
      </c>
      <c r="DE157" s="7" t="s">
        <v>888</v>
      </c>
      <c r="DF157" s="7" t="s">
        <v>888</v>
      </c>
      <c r="DG157" s="7" t="s">
        <v>888</v>
      </c>
      <c r="DH157" s="39" t="s">
        <v>888</v>
      </c>
      <c r="DI157" s="7" t="s">
        <v>888</v>
      </c>
      <c r="DJ157" s="7" t="s">
        <v>888</v>
      </c>
      <c r="DK157" s="7" t="s">
        <v>888</v>
      </c>
      <c r="DL157" s="7" t="s">
        <v>888</v>
      </c>
      <c r="DM157" s="7" t="s">
        <v>888</v>
      </c>
      <c r="DN157" s="7" t="s">
        <v>888</v>
      </c>
      <c r="DO157" s="7" t="s">
        <v>888</v>
      </c>
      <c r="DP157" s="7" t="s">
        <v>888</v>
      </c>
      <c r="DQ157" s="7" t="s">
        <v>888</v>
      </c>
      <c r="DR157" s="7" t="s">
        <v>888</v>
      </c>
      <c r="DS157" s="7" t="s">
        <v>888</v>
      </c>
      <c r="DT157" s="15" t="str" cm="1">
        <f t="array" ref="DT157">IF(B157="","",_xlfn.TEXTJOIN("",,HEX2BIN(MID(BQ157,_xlfn.SEQUENCE(40),1),4)))</f>
        <v/>
      </c>
    </row>
    <row r="158" spans="1:124" x14ac:dyDescent="0.25">
      <c r="A158" s="9">
        <v>157</v>
      </c>
      <c r="B158" s="15" t="s">
        <v>888</v>
      </c>
      <c r="C158" s="15" t="s">
        <v>888</v>
      </c>
      <c r="D158" s="6" t="s">
        <v>888</v>
      </c>
      <c r="E158" s="6" t="s">
        <v>888</v>
      </c>
      <c r="F158" s="10" t="s">
        <v>888</v>
      </c>
      <c r="G158" s="9" t="s">
        <v>888</v>
      </c>
      <c r="H158" s="9" t="s">
        <v>888</v>
      </c>
      <c r="I158" s="15" t="s">
        <v>888</v>
      </c>
      <c r="J158" s="9" t="s">
        <v>888</v>
      </c>
      <c r="K158" s="15" t="s">
        <v>888</v>
      </c>
      <c r="L158" s="15" t="s">
        <v>888</v>
      </c>
      <c r="M158" s="15" t="s">
        <v>888</v>
      </c>
      <c r="N158" s="15" t="s">
        <v>888</v>
      </c>
      <c r="O158" s="6" t="s">
        <v>888</v>
      </c>
      <c r="P158" s="15" t="s">
        <v>888</v>
      </c>
      <c r="Q158" s="15" t="s">
        <v>888</v>
      </c>
      <c r="R158" s="6" t="s">
        <v>888</v>
      </c>
      <c r="S158" s="15" t="s">
        <v>888</v>
      </c>
      <c r="T158" s="11" t="s">
        <v>888</v>
      </c>
      <c r="U158" s="10" t="s">
        <v>888</v>
      </c>
      <c r="V158" s="7" t="s">
        <v>888</v>
      </c>
      <c r="W158" s="7" t="s">
        <v>888</v>
      </c>
      <c r="X158" s="7" t="s">
        <v>888</v>
      </c>
      <c r="Y158" s="15" t="s">
        <v>888</v>
      </c>
      <c r="Z158" s="9" t="s">
        <v>888</v>
      </c>
      <c r="AA158" s="9" t="s">
        <v>888</v>
      </c>
      <c r="AB158" s="9" t="s">
        <v>888</v>
      </c>
      <c r="AC158" s="13" t="s">
        <v>888</v>
      </c>
      <c r="AD158" s="13" t="s">
        <v>888</v>
      </c>
      <c r="AE158" s="9" t="s">
        <v>888</v>
      </c>
      <c r="AF158" s="9" t="s">
        <v>888</v>
      </c>
      <c r="AG158" s="9" t="s">
        <v>888</v>
      </c>
      <c r="AH158" s="6" t="s">
        <v>888</v>
      </c>
      <c r="AI158" s="10" t="s">
        <v>888</v>
      </c>
      <c r="AJ158" s="10" t="s">
        <v>888</v>
      </c>
      <c r="AK158" s="15" t="s">
        <v>888</v>
      </c>
      <c r="AL158" s="15" t="s">
        <v>888</v>
      </c>
      <c r="AM158" s="15" t="s">
        <v>888</v>
      </c>
      <c r="AN158" s="9" t="s">
        <v>888</v>
      </c>
      <c r="AO158" s="9" t="s">
        <v>888</v>
      </c>
      <c r="AP158" s="9" t="s">
        <v>888</v>
      </c>
      <c r="AQ158" s="15" t="s">
        <v>888</v>
      </c>
      <c r="AR158" s="9" t="s">
        <v>888</v>
      </c>
      <c r="AS158" s="6" t="s">
        <v>888</v>
      </c>
      <c r="AT158" s="15" t="s">
        <v>888</v>
      </c>
      <c r="AU158" s="9" t="s">
        <v>888</v>
      </c>
      <c r="AV158" s="9" t="s">
        <v>888</v>
      </c>
      <c r="AW158" s="9" t="s">
        <v>888</v>
      </c>
      <c r="AX158" s="9" t="s">
        <v>888</v>
      </c>
      <c r="AY158" s="9" t="s">
        <v>888</v>
      </c>
      <c r="AZ158" s="9" t="s">
        <v>888</v>
      </c>
      <c r="BA158" s="6" t="s">
        <v>888</v>
      </c>
      <c r="BB158" s="6" t="s">
        <v>888</v>
      </c>
      <c r="BC158" s="6" t="s">
        <v>888</v>
      </c>
      <c r="BD158" s="15" t="s">
        <v>888</v>
      </c>
      <c r="BE158" s="15" t="s">
        <v>888</v>
      </c>
      <c r="BF158" s="15" t="s">
        <v>888</v>
      </c>
      <c r="BG158" s="15" t="s">
        <v>888</v>
      </c>
      <c r="BH158" s="6" t="s">
        <v>888</v>
      </c>
      <c r="BI158" s="17" t="s">
        <v>888</v>
      </c>
      <c r="BJ158" s="7" t="s">
        <v>888</v>
      </c>
      <c r="BK158" s="7" t="s">
        <v>888</v>
      </c>
      <c r="BL158" s="7" t="s">
        <v>888</v>
      </c>
      <c r="BM158" s="16" t="s">
        <v>888</v>
      </c>
      <c r="BN158" s="16" t="s">
        <v>888</v>
      </c>
      <c r="BO158" s="16" t="s">
        <v>888</v>
      </c>
      <c r="BP158" s="16" t="s">
        <v>888</v>
      </c>
      <c r="BQ158" s="16" t="s">
        <v>888</v>
      </c>
      <c r="BR158" s="7" t="s">
        <v>888</v>
      </c>
      <c r="BS158" s="7" t="s">
        <v>888</v>
      </c>
      <c r="BT158" s="7" t="s">
        <v>888</v>
      </c>
      <c r="BU158" s="14" t="s">
        <v>888</v>
      </c>
      <c r="BV158" s="15" t="s">
        <v>888</v>
      </c>
      <c r="BW158" s="9" t="s">
        <v>888</v>
      </c>
      <c r="BX158" s="9" t="s">
        <v>888</v>
      </c>
      <c r="BY158" s="13" t="s">
        <v>888</v>
      </c>
      <c r="BZ158" s="13" t="s">
        <v>888</v>
      </c>
      <c r="CA158" s="12" t="str">
        <f>IF(B158="","",IF(A158&lt;8,"",_xlfn.LET(_xlpm.n,A158,_xlpm.k,G158,_xlpm.R,AP158,_xlpm.mu,1+2*_xlpm.k*(_xlpm.n-_xlpm.k)/_xlpm.n,_xlpm.v,2*_xlpm.k*(_xlpm.n-_xlpm.k)*(2*_xlpm.k*(_xlpm.n-_xlpm.k)-_xlpm.n)/(_xlpm.n^2*(_xlpm.n-1)),IF(_xlpm.v&lt;=0,"",(_xlpm.R-_xlpm.mu)/SQRT(_xlpm.v)))))</f>
        <v/>
      </c>
      <c r="CB158" s="37" t="str" cm="1">
        <f t="array" ref="CB158">IF(B158="","",IF(A158&lt;8,"",_xlfn.LET(_xlpm.b,--MID(C158,_xlfn.SEQUENCE(A158-1),1),_xlpm.c,--MID(C158,_xlfn.SEQUENCE(A158-1,,2),1),IFERROR(CORREL(_xlpm.b,_xlpm.c),""))))</f>
        <v/>
      </c>
      <c r="CC158" s="8" t="str">
        <f>IF(B158="","",LOG(A158,2))</f>
        <v/>
      </c>
      <c r="CD158" s="8" t="str">
        <f>IF(B158="","",MAX(AN158,AO158)-CC158)</f>
        <v/>
      </c>
      <c r="CE158" s="8" t="str" cm="1">
        <f t="array" ref="CE158">IF(B158="","",IF(LEN(B158)&lt;16,"",_xlfn.LET(_xlpm.d,MID("0123456789abcdef",_xlfn.SEQUENCE(16),1),_xlpm.c,LEN(B158)-LEN(SUBSTITUTE(B158,_xlpm.d,"")),_xlpm.ex,LEN(B158)/16,SUM((_xlpm.c-_xlpm.ex)^2/_xlpm.ex))))</f>
        <v/>
      </c>
      <c r="CF158" s="37" t="str">
        <f>IF(CE158="","",_xlfn.CHISQ.DIST.RT(CE158,15))</f>
        <v/>
      </c>
      <c r="CG158" s="9" t="str" cm="1">
        <f t="array" ref="CG158">IF(OR(B158="",B157=""),"",_xlfn.LET(_xlpm.a,C158,_xlpm.b,REPT("0",A158-LEN(C157))&amp;C157,_xlpm.m,MID(_xlpm.a,_xlfn.SEQUENCE(A158),1)=MID(_xlpm.b,_xlfn.SEQUENCE(A158),1),IFERROR(MATCH(FALSE,_xlpm.m,0)-1,A158)))</f>
        <v/>
      </c>
      <c r="CH158" s="9" t="str" cm="1">
        <f t="array" ref="CH158">IF(OR(B158="",B157=""),"",_xlfn.LET(_xlpm.a,C158,_xlpm.b,REPT("0",A158-LEN(C157))&amp;C157,_xlpm.n,A158,_xlpm.m,MID(_xlpm.a,_xlfn.SEQUENCE(_xlpm.n,,_xlpm.n,-1),1)=MID(_xlpm.b,_xlfn.SEQUENCE(_xlpm.n,,_xlpm.n,-1),1),IFERROR(MATCH(FALSE,_xlpm.m,0)-1,_xlpm.n)))</f>
        <v/>
      </c>
      <c r="CI158" s="38" t="str">
        <f>IF(OR(B158="",B157=""),"",F158-F157)</f>
        <v/>
      </c>
      <c r="CJ158" s="5" t="str">
        <f>IF(OR(B158="",B157=""),"",IFERROR(FIND(B157,B158)&gt;0,FALSE))</f>
        <v/>
      </c>
      <c r="CK158" s="5" t="str">
        <f>IF(OR(B158="",B157=""),"",IFERROR(FIND(C157,C158)&gt;0,FALSE))</f>
        <v/>
      </c>
      <c r="CL158" s="9" t="str">
        <f>IF(OR(B158="",B157=""),"",IFERROR(FIND(C157,C158),""))</f>
        <v/>
      </c>
      <c r="CM158" s="6" t="str" cm="1">
        <f t="array" ref="CM158">IF(OR(B158="",B157=""),"",_xlfn.LET(_xlpm.pv,D157,_xlpm.ra,BIGSUB(D158,_xlpm.pv),_xlpm.rb,BIGSUB(_xlpm.ra,_xlpm.pv),_xlpm.rc,BIGSUB(_xlpm.rb,_xlpm.pv),IF(LEFT(_xlpm.rb,1)="-",_xlpm.ra,IF(LEFT(_xlpm.rc,1)="-",_xlpm.rb,_xlpm.rc))))</f>
        <v/>
      </c>
      <c r="CN158" s="38" t="str">
        <f>IF(B158="","",F158-0.5)</f>
        <v/>
      </c>
      <c r="CO158" s="15" t="str" cm="1">
        <f t="array" ref="CO158">IF(B158="","",_xlfn.TEXTJOIN("",,MID(B158,_xlfn.SEQUENCE(LEN(B158),,LEN(B158),-1),1)))</f>
        <v/>
      </c>
      <c r="CP158" s="6" t="str" cm="1">
        <f t="array" ref="CP158">IF(B158="","",BASE2DEC(CO158,16))</f>
        <v/>
      </c>
      <c r="CQ158" s="5" t="str">
        <f>IF(B158="","",IF(AND(LEN(B158)&lt;16,LEN(B158)=LEN(SUBSTITUTE(SUBSTITUTE(SUBSTITUTE(SUBSTITUTE(SUBSTITUTE(SUBSTITUTE(B158,"a",""),"b",""),"c",""),"d",""),"e",""),"f",""))),--B158,""))</f>
        <v/>
      </c>
      <c r="CR158" s="6" t="str" cm="1">
        <f t="array" ref="CR158">IF(B158="","",IF(LEN(D158)&lt;=15,BASE2DEC(D158,16),""))</f>
        <v/>
      </c>
      <c r="CS158" s="15" t="str" cm="1">
        <f t="array" ref="CS158">IF(B158="","",_xlfn.LET(_xlpm.p,REPT("0",MOD(-LEN(B158),4))&amp;B158,_xlfn.TEXTJOIN(" ",,MID(_xlpm.p,_xlfn.SEQUENCE(LEN(_xlpm.p)/4,,1,4),4))))</f>
        <v/>
      </c>
      <c r="CT158" s="15" t="str" cm="1">
        <f t="array" ref="CT158">IF(B158="","",UPPER(_xlfn.LET(_xlpm.p,REPT("0",64-LEN(B158))&amp;B158,_xlfn.TEXTJOIN(" ",,MID(_xlpm.p,_xlfn.SEQUENCE(8,,1,8),8)))))</f>
        <v/>
      </c>
      <c r="CU158" s="6" t="str" cm="1">
        <f t="array" ref="CU158">IF(B158="","",IF(LEN(D158)&lt;=6,_xlfn.LET(_xlpm.n,VALUE(D158),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8" s="39" t="s">
        <v>888</v>
      </c>
      <c r="CW158" s="39" t="s">
        <v>888</v>
      </c>
      <c r="CX158" s="39" t="s">
        <v>888</v>
      </c>
      <c r="CY158" s="7" t="s">
        <v>888</v>
      </c>
      <c r="CZ158" s="39" t="s">
        <v>888</v>
      </c>
      <c r="DA158" s="39" t="s">
        <v>888</v>
      </c>
      <c r="DB158" s="39" t="s">
        <v>888</v>
      </c>
      <c r="DC158" s="7" t="s">
        <v>888</v>
      </c>
      <c r="DD158" s="7" t="s">
        <v>888</v>
      </c>
      <c r="DE158" s="7" t="s">
        <v>888</v>
      </c>
      <c r="DF158" s="7" t="s">
        <v>888</v>
      </c>
      <c r="DG158" s="7" t="s">
        <v>888</v>
      </c>
      <c r="DH158" s="39" t="s">
        <v>888</v>
      </c>
      <c r="DI158" s="7" t="s">
        <v>888</v>
      </c>
      <c r="DJ158" s="7" t="s">
        <v>888</v>
      </c>
      <c r="DK158" s="7" t="s">
        <v>888</v>
      </c>
      <c r="DL158" s="7" t="s">
        <v>888</v>
      </c>
      <c r="DM158" s="7" t="s">
        <v>888</v>
      </c>
      <c r="DN158" s="7" t="s">
        <v>888</v>
      </c>
      <c r="DO158" s="7" t="s">
        <v>888</v>
      </c>
      <c r="DP158" s="7" t="s">
        <v>888</v>
      </c>
      <c r="DQ158" s="7" t="s">
        <v>888</v>
      </c>
      <c r="DR158" s="7" t="s">
        <v>888</v>
      </c>
      <c r="DS158" s="7" t="s">
        <v>888</v>
      </c>
      <c r="DT158" s="15" t="str" cm="1">
        <f t="array" ref="DT158">IF(B158="","",_xlfn.TEXTJOIN("",,HEX2BIN(MID(BQ158,_xlfn.SEQUENCE(40),1),4)))</f>
        <v/>
      </c>
    </row>
    <row r="159" spans="1:124" x14ac:dyDescent="0.25">
      <c r="A159" s="9">
        <v>158</v>
      </c>
      <c r="B159" s="15" t="s">
        <v>888</v>
      </c>
      <c r="C159" s="15" t="s">
        <v>888</v>
      </c>
      <c r="D159" s="6" t="s">
        <v>888</v>
      </c>
      <c r="E159" s="6" t="s">
        <v>888</v>
      </c>
      <c r="F159" s="10" t="s">
        <v>888</v>
      </c>
      <c r="G159" s="9" t="s">
        <v>888</v>
      </c>
      <c r="H159" s="9" t="s">
        <v>888</v>
      </c>
      <c r="I159" s="15" t="s">
        <v>888</v>
      </c>
      <c r="J159" s="9" t="s">
        <v>888</v>
      </c>
      <c r="K159" s="15" t="s">
        <v>888</v>
      </c>
      <c r="L159" s="15" t="s">
        <v>888</v>
      </c>
      <c r="M159" s="15" t="s">
        <v>888</v>
      </c>
      <c r="N159" s="15" t="s">
        <v>888</v>
      </c>
      <c r="O159" s="6" t="s">
        <v>888</v>
      </c>
      <c r="P159" s="15" t="s">
        <v>888</v>
      </c>
      <c r="Q159" s="15" t="s">
        <v>888</v>
      </c>
      <c r="R159" s="6" t="s">
        <v>888</v>
      </c>
      <c r="S159" s="15" t="s">
        <v>888</v>
      </c>
      <c r="T159" s="11" t="s">
        <v>888</v>
      </c>
      <c r="U159" s="10" t="s">
        <v>888</v>
      </c>
      <c r="V159" s="7" t="s">
        <v>888</v>
      </c>
      <c r="W159" s="7" t="s">
        <v>888</v>
      </c>
      <c r="X159" s="7" t="s">
        <v>888</v>
      </c>
      <c r="Y159" s="15" t="s">
        <v>888</v>
      </c>
      <c r="Z159" s="9" t="s">
        <v>888</v>
      </c>
      <c r="AA159" s="9" t="s">
        <v>888</v>
      </c>
      <c r="AB159" s="9" t="s">
        <v>888</v>
      </c>
      <c r="AC159" s="13" t="s">
        <v>888</v>
      </c>
      <c r="AD159" s="13" t="s">
        <v>888</v>
      </c>
      <c r="AE159" s="9" t="s">
        <v>888</v>
      </c>
      <c r="AF159" s="9" t="s">
        <v>888</v>
      </c>
      <c r="AG159" s="9" t="s">
        <v>888</v>
      </c>
      <c r="AH159" s="6" t="s">
        <v>888</v>
      </c>
      <c r="AI159" s="10" t="s">
        <v>888</v>
      </c>
      <c r="AJ159" s="10" t="s">
        <v>888</v>
      </c>
      <c r="AK159" s="15" t="s">
        <v>888</v>
      </c>
      <c r="AL159" s="15" t="s">
        <v>888</v>
      </c>
      <c r="AM159" s="15" t="s">
        <v>888</v>
      </c>
      <c r="AN159" s="9" t="s">
        <v>888</v>
      </c>
      <c r="AO159" s="9" t="s">
        <v>888</v>
      </c>
      <c r="AP159" s="9" t="s">
        <v>888</v>
      </c>
      <c r="AQ159" s="15" t="s">
        <v>888</v>
      </c>
      <c r="AR159" s="9" t="s">
        <v>888</v>
      </c>
      <c r="AS159" s="6" t="s">
        <v>888</v>
      </c>
      <c r="AT159" s="15" t="s">
        <v>888</v>
      </c>
      <c r="AU159" s="9" t="s">
        <v>888</v>
      </c>
      <c r="AV159" s="9" t="s">
        <v>888</v>
      </c>
      <c r="AW159" s="9" t="s">
        <v>888</v>
      </c>
      <c r="AX159" s="9" t="s">
        <v>888</v>
      </c>
      <c r="AY159" s="9" t="s">
        <v>888</v>
      </c>
      <c r="AZ159" s="9" t="s">
        <v>888</v>
      </c>
      <c r="BA159" s="6" t="s">
        <v>888</v>
      </c>
      <c r="BB159" s="6" t="s">
        <v>888</v>
      </c>
      <c r="BC159" s="6" t="s">
        <v>888</v>
      </c>
      <c r="BD159" s="15" t="s">
        <v>888</v>
      </c>
      <c r="BE159" s="15" t="s">
        <v>888</v>
      </c>
      <c r="BF159" s="15" t="s">
        <v>888</v>
      </c>
      <c r="BG159" s="15" t="s">
        <v>888</v>
      </c>
      <c r="BH159" s="6" t="s">
        <v>888</v>
      </c>
      <c r="BI159" s="17" t="s">
        <v>888</v>
      </c>
      <c r="BJ159" s="7" t="s">
        <v>888</v>
      </c>
      <c r="BK159" s="7" t="s">
        <v>888</v>
      </c>
      <c r="BL159" s="7" t="s">
        <v>888</v>
      </c>
      <c r="BM159" s="16" t="s">
        <v>888</v>
      </c>
      <c r="BN159" s="16" t="s">
        <v>888</v>
      </c>
      <c r="BO159" s="16" t="s">
        <v>888</v>
      </c>
      <c r="BP159" s="16" t="s">
        <v>888</v>
      </c>
      <c r="BQ159" s="16" t="s">
        <v>888</v>
      </c>
      <c r="BR159" s="7" t="s">
        <v>888</v>
      </c>
      <c r="BS159" s="7" t="s">
        <v>888</v>
      </c>
      <c r="BT159" s="7" t="s">
        <v>888</v>
      </c>
      <c r="BU159" s="14" t="s">
        <v>888</v>
      </c>
      <c r="BV159" s="15" t="s">
        <v>888</v>
      </c>
      <c r="BW159" s="9" t="s">
        <v>888</v>
      </c>
      <c r="BX159" s="9" t="s">
        <v>888</v>
      </c>
      <c r="BY159" s="13" t="s">
        <v>888</v>
      </c>
      <c r="BZ159" s="13" t="s">
        <v>888</v>
      </c>
      <c r="CA159" s="12" t="str">
        <f>IF(B159="","",IF(A159&lt;8,"",_xlfn.LET(_xlpm.n,A159,_xlpm.k,G159,_xlpm.R,AP159,_xlpm.mu,1+2*_xlpm.k*(_xlpm.n-_xlpm.k)/_xlpm.n,_xlpm.v,2*_xlpm.k*(_xlpm.n-_xlpm.k)*(2*_xlpm.k*(_xlpm.n-_xlpm.k)-_xlpm.n)/(_xlpm.n^2*(_xlpm.n-1)),IF(_xlpm.v&lt;=0,"",(_xlpm.R-_xlpm.mu)/SQRT(_xlpm.v)))))</f>
        <v/>
      </c>
      <c r="CB159" s="37" t="str" cm="1">
        <f t="array" ref="CB159">IF(B159="","",IF(A159&lt;8,"",_xlfn.LET(_xlpm.b,--MID(C159,_xlfn.SEQUENCE(A159-1),1),_xlpm.c,--MID(C159,_xlfn.SEQUENCE(A159-1,,2),1),IFERROR(CORREL(_xlpm.b,_xlpm.c),""))))</f>
        <v/>
      </c>
      <c r="CC159" s="8" t="str">
        <f>IF(B159="","",LOG(A159,2))</f>
        <v/>
      </c>
      <c r="CD159" s="8" t="str">
        <f>IF(B159="","",MAX(AN159,AO159)-CC159)</f>
        <v/>
      </c>
      <c r="CE159" s="8" t="str" cm="1">
        <f t="array" ref="CE159">IF(B159="","",IF(LEN(B159)&lt;16,"",_xlfn.LET(_xlpm.d,MID("0123456789abcdef",_xlfn.SEQUENCE(16),1),_xlpm.c,LEN(B159)-LEN(SUBSTITUTE(B159,_xlpm.d,"")),_xlpm.ex,LEN(B159)/16,SUM((_xlpm.c-_xlpm.ex)^2/_xlpm.ex))))</f>
        <v/>
      </c>
      <c r="CF159" s="37" t="str">
        <f>IF(CE159="","",_xlfn.CHISQ.DIST.RT(CE159,15))</f>
        <v/>
      </c>
      <c r="CG159" s="9" t="str" cm="1">
        <f t="array" ref="CG159">IF(OR(B159="",B158=""),"",_xlfn.LET(_xlpm.a,C159,_xlpm.b,REPT("0",A159-LEN(C158))&amp;C158,_xlpm.m,MID(_xlpm.a,_xlfn.SEQUENCE(A159),1)=MID(_xlpm.b,_xlfn.SEQUENCE(A159),1),IFERROR(MATCH(FALSE,_xlpm.m,0)-1,A159)))</f>
        <v/>
      </c>
      <c r="CH159" s="9" t="str" cm="1">
        <f t="array" ref="CH159">IF(OR(B159="",B158=""),"",_xlfn.LET(_xlpm.a,C159,_xlpm.b,REPT("0",A159-LEN(C158))&amp;C158,_xlpm.n,A159,_xlpm.m,MID(_xlpm.a,_xlfn.SEQUENCE(_xlpm.n,,_xlpm.n,-1),1)=MID(_xlpm.b,_xlfn.SEQUENCE(_xlpm.n,,_xlpm.n,-1),1),IFERROR(MATCH(FALSE,_xlpm.m,0)-1,_xlpm.n)))</f>
        <v/>
      </c>
      <c r="CI159" s="38" t="str">
        <f>IF(OR(B159="",B158=""),"",F159-F158)</f>
        <v/>
      </c>
      <c r="CJ159" s="5" t="str">
        <f>IF(OR(B159="",B158=""),"",IFERROR(FIND(B158,B159)&gt;0,FALSE))</f>
        <v/>
      </c>
      <c r="CK159" s="5" t="str">
        <f>IF(OR(B159="",B158=""),"",IFERROR(FIND(C158,C159)&gt;0,FALSE))</f>
        <v/>
      </c>
      <c r="CL159" s="9" t="str">
        <f>IF(OR(B159="",B158=""),"",IFERROR(FIND(C158,C159),""))</f>
        <v/>
      </c>
      <c r="CM159" s="6" t="str" cm="1">
        <f t="array" ref="CM159">IF(OR(B159="",B158=""),"",_xlfn.LET(_xlpm.pv,D158,_xlpm.ra,BIGSUB(D159,_xlpm.pv),_xlpm.rb,BIGSUB(_xlpm.ra,_xlpm.pv),_xlpm.rc,BIGSUB(_xlpm.rb,_xlpm.pv),IF(LEFT(_xlpm.rb,1)="-",_xlpm.ra,IF(LEFT(_xlpm.rc,1)="-",_xlpm.rb,_xlpm.rc))))</f>
        <v/>
      </c>
      <c r="CN159" s="38" t="str">
        <f>IF(B159="","",F159-0.5)</f>
        <v/>
      </c>
      <c r="CO159" s="15" t="str" cm="1">
        <f t="array" ref="CO159">IF(B159="","",_xlfn.TEXTJOIN("",,MID(B159,_xlfn.SEQUENCE(LEN(B159),,LEN(B159),-1),1)))</f>
        <v/>
      </c>
      <c r="CP159" s="6" t="str" cm="1">
        <f t="array" ref="CP159">IF(B159="","",BASE2DEC(CO159,16))</f>
        <v/>
      </c>
      <c r="CQ159" s="5" t="str">
        <f>IF(B159="","",IF(AND(LEN(B159)&lt;16,LEN(B159)=LEN(SUBSTITUTE(SUBSTITUTE(SUBSTITUTE(SUBSTITUTE(SUBSTITUTE(SUBSTITUTE(B159,"a",""),"b",""),"c",""),"d",""),"e",""),"f",""))),--B159,""))</f>
        <v/>
      </c>
      <c r="CR159" s="6" t="str" cm="1">
        <f t="array" ref="CR159">IF(B159="","",IF(LEN(D159)&lt;=15,BASE2DEC(D159,16),""))</f>
        <v/>
      </c>
      <c r="CS159" s="15" t="str" cm="1">
        <f t="array" ref="CS159">IF(B159="","",_xlfn.LET(_xlpm.p,REPT("0",MOD(-LEN(B159),4))&amp;B159,_xlfn.TEXTJOIN(" ",,MID(_xlpm.p,_xlfn.SEQUENCE(LEN(_xlpm.p)/4,,1,4),4))))</f>
        <v/>
      </c>
      <c r="CT159" s="15" t="str" cm="1">
        <f t="array" ref="CT159">IF(B159="","",UPPER(_xlfn.LET(_xlpm.p,REPT("0",64-LEN(B159))&amp;B159,_xlfn.TEXTJOIN(" ",,MID(_xlpm.p,_xlfn.SEQUENCE(8,,1,8),8)))))</f>
        <v/>
      </c>
      <c r="CU159" s="6" t="str" cm="1">
        <f t="array" ref="CU159">IF(B159="","",IF(LEN(D159)&lt;=6,_xlfn.LET(_xlpm.n,VALUE(D159),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59" s="39" t="s">
        <v>888</v>
      </c>
      <c r="CW159" s="39" t="s">
        <v>888</v>
      </c>
      <c r="CX159" s="39" t="s">
        <v>888</v>
      </c>
      <c r="CY159" s="7" t="s">
        <v>888</v>
      </c>
      <c r="CZ159" s="39" t="s">
        <v>888</v>
      </c>
      <c r="DA159" s="39" t="s">
        <v>888</v>
      </c>
      <c r="DB159" s="39" t="s">
        <v>888</v>
      </c>
      <c r="DC159" s="7" t="s">
        <v>888</v>
      </c>
      <c r="DD159" s="7" t="s">
        <v>888</v>
      </c>
      <c r="DE159" s="7" t="s">
        <v>888</v>
      </c>
      <c r="DF159" s="7" t="s">
        <v>888</v>
      </c>
      <c r="DG159" s="7" t="s">
        <v>888</v>
      </c>
      <c r="DH159" s="39" t="s">
        <v>888</v>
      </c>
      <c r="DI159" s="7" t="s">
        <v>888</v>
      </c>
      <c r="DJ159" s="7" t="s">
        <v>888</v>
      </c>
      <c r="DK159" s="7" t="s">
        <v>888</v>
      </c>
      <c r="DL159" s="7" t="s">
        <v>888</v>
      </c>
      <c r="DM159" s="7" t="s">
        <v>888</v>
      </c>
      <c r="DN159" s="7" t="s">
        <v>888</v>
      </c>
      <c r="DO159" s="7" t="s">
        <v>888</v>
      </c>
      <c r="DP159" s="7" t="s">
        <v>888</v>
      </c>
      <c r="DQ159" s="7" t="s">
        <v>888</v>
      </c>
      <c r="DR159" s="7" t="s">
        <v>888</v>
      </c>
      <c r="DS159" s="7" t="s">
        <v>888</v>
      </c>
      <c r="DT159" s="15" t="str" cm="1">
        <f t="array" ref="DT159">IF(B159="","",_xlfn.TEXTJOIN("",,HEX2BIN(MID(BQ159,_xlfn.SEQUENCE(40),1),4)))</f>
        <v/>
      </c>
    </row>
    <row r="160" spans="1:124" x14ac:dyDescent="0.25">
      <c r="A160" s="9">
        <v>159</v>
      </c>
      <c r="B160" s="15" t="s">
        <v>888</v>
      </c>
      <c r="C160" s="15" t="s">
        <v>888</v>
      </c>
      <c r="D160" s="6" t="s">
        <v>888</v>
      </c>
      <c r="E160" s="6" t="s">
        <v>888</v>
      </c>
      <c r="F160" s="10" t="s">
        <v>888</v>
      </c>
      <c r="G160" s="9" t="s">
        <v>888</v>
      </c>
      <c r="H160" s="9" t="s">
        <v>888</v>
      </c>
      <c r="I160" s="15" t="s">
        <v>888</v>
      </c>
      <c r="J160" s="9" t="s">
        <v>888</v>
      </c>
      <c r="K160" s="15" t="s">
        <v>888</v>
      </c>
      <c r="L160" s="15" t="s">
        <v>888</v>
      </c>
      <c r="M160" s="15" t="s">
        <v>888</v>
      </c>
      <c r="N160" s="15" t="s">
        <v>888</v>
      </c>
      <c r="O160" s="6" t="s">
        <v>888</v>
      </c>
      <c r="P160" s="15" t="s">
        <v>888</v>
      </c>
      <c r="Q160" s="15" t="s">
        <v>888</v>
      </c>
      <c r="R160" s="6" t="s">
        <v>888</v>
      </c>
      <c r="S160" s="15" t="s">
        <v>888</v>
      </c>
      <c r="T160" s="11" t="s">
        <v>888</v>
      </c>
      <c r="U160" s="10" t="s">
        <v>888</v>
      </c>
      <c r="V160" s="7" t="s">
        <v>888</v>
      </c>
      <c r="W160" s="7" t="s">
        <v>888</v>
      </c>
      <c r="X160" s="7" t="s">
        <v>888</v>
      </c>
      <c r="Y160" s="15" t="s">
        <v>888</v>
      </c>
      <c r="Z160" s="9" t="s">
        <v>888</v>
      </c>
      <c r="AA160" s="9" t="s">
        <v>888</v>
      </c>
      <c r="AB160" s="9" t="s">
        <v>888</v>
      </c>
      <c r="AC160" s="13" t="s">
        <v>888</v>
      </c>
      <c r="AD160" s="13" t="s">
        <v>888</v>
      </c>
      <c r="AE160" s="9" t="s">
        <v>888</v>
      </c>
      <c r="AF160" s="9" t="s">
        <v>888</v>
      </c>
      <c r="AG160" s="9" t="s">
        <v>888</v>
      </c>
      <c r="AH160" s="6" t="s">
        <v>888</v>
      </c>
      <c r="AI160" s="10" t="s">
        <v>888</v>
      </c>
      <c r="AJ160" s="10" t="s">
        <v>888</v>
      </c>
      <c r="AK160" s="15" t="s">
        <v>888</v>
      </c>
      <c r="AL160" s="15" t="s">
        <v>888</v>
      </c>
      <c r="AM160" s="15" t="s">
        <v>888</v>
      </c>
      <c r="AN160" s="9" t="s">
        <v>888</v>
      </c>
      <c r="AO160" s="9" t="s">
        <v>888</v>
      </c>
      <c r="AP160" s="9" t="s">
        <v>888</v>
      </c>
      <c r="AQ160" s="15" t="s">
        <v>888</v>
      </c>
      <c r="AR160" s="9" t="s">
        <v>888</v>
      </c>
      <c r="AS160" s="6" t="s">
        <v>888</v>
      </c>
      <c r="AT160" s="15" t="s">
        <v>888</v>
      </c>
      <c r="AU160" s="9" t="s">
        <v>888</v>
      </c>
      <c r="AV160" s="9" t="s">
        <v>888</v>
      </c>
      <c r="AW160" s="9" t="s">
        <v>888</v>
      </c>
      <c r="AX160" s="9" t="s">
        <v>888</v>
      </c>
      <c r="AY160" s="9" t="s">
        <v>888</v>
      </c>
      <c r="AZ160" s="9" t="s">
        <v>888</v>
      </c>
      <c r="BA160" s="6" t="s">
        <v>888</v>
      </c>
      <c r="BB160" s="6" t="s">
        <v>888</v>
      </c>
      <c r="BC160" s="6" t="s">
        <v>888</v>
      </c>
      <c r="BD160" s="15" t="s">
        <v>888</v>
      </c>
      <c r="BE160" s="15" t="s">
        <v>888</v>
      </c>
      <c r="BF160" s="15" t="s">
        <v>888</v>
      </c>
      <c r="BG160" s="15" t="s">
        <v>888</v>
      </c>
      <c r="BH160" s="6" t="s">
        <v>888</v>
      </c>
      <c r="BI160" s="17" t="s">
        <v>888</v>
      </c>
      <c r="BJ160" s="7" t="s">
        <v>888</v>
      </c>
      <c r="BK160" s="7" t="s">
        <v>888</v>
      </c>
      <c r="BL160" s="7" t="s">
        <v>888</v>
      </c>
      <c r="BM160" s="16" t="s">
        <v>888</v>
      </c>
      <c r="BN160" s="16" t="s">
        <v>888</v>
      </c>
      <c r="BO160" s="16" t="s">
        <v>888</v>
      </c>
      <c r="BP160" s="16" t="s">
        <v>888</v>
      </c>
      <c r="BQ160" s="16" t="s">
        <v>888</v>
      </c>
      <c r="BR160" s="7" t="s">
        <v>888</v>
      </c>
      <c r="BS160" s="7" t="s">
        <v>888</v>
      </c>
      <c r="BT160" s="7" t="s">
        <v>888</v>
      </c>
      <c r="BU160" s="14" t="s">
        <v>888</v>
      </c>
      <c r="BV160" s="15" t="s">
        <v>888</v>
      </c>
      <c r="BW160" s="9" t="s">
        <v>888</v>
      </c>
      <c r="BX160" s="9" t="s">
        <v>888</v>
      </c>
      <c r="BY160" s="13" t="s">
        <v>888</v>
      </c>
      <c r="BZ160" s="13" t="s">
        <v>888</v>
      </c>
      <c r="CA160" s="12" t="str">
        <f>IF(B160="","",IF(A160&lt;8,"",_xlfn.LET(_xlpm.n,A160,_xlpm.k,G160,_xlpm.R,AP160,_xlpm.mu,1+2*_xlpm.k*(_xlpm.n-_xlpm.k)/_xlpm.n,_xlpm.v,2*_xlpm.k*(_xlpm.n-_xlpm.k)*(2*_xlpm.k*(_xlpm.n-_xlpm.k)-_xlpm.n)/(_xlpm.n^2*(_xlpm.n-1)),IF(_xlpm.v&lt;=0,"",(_xlpm.R-_xlpm.mu)/SQRT(_xlpm.v)))))</f>
        <v/>
      </c>
      <c r="CB160" s="37" t="str" cm="1">
        <f t="array" ref="CB160">IF(B160="","",IF(A160&lt;8,"",_xlfn.LET(_xlpm.b,--MID(C160,_xlfn.SEQUENCE(A160-1),1),_xlpm.c,--MID(C160,_xlfn.SEQUENCE(A160-1,,2),1),IFERROR(CORREL(_xlpm.b,_xlpm.c),""))))</f>
        <v/>
      </c>
      <c r="CC160" s="8" t="str">
        <f>IF(B160="","",LOG(A160,2))</f>
        <v/>
      </c>
      <c r="CD160" s="8" t="str">
        <f>IF(B160="","",MAX(AN160,AO160)-CC160)</f>
        <v/>
      </c>
      <c r="CE160" s="8" t="str" cm="1">
        <f t="array" ref="CE160">IF(B160="","",IF(LEN(B160)&lt;16,"",_xlfn.LET(_xlpm.d,MID("0123456789abcdef",_xlfn.SEQUENCE(16),1),_xlpm.c,LEN(B160)-LEN(SUBSTITUTE(B160,_xlpm.d,"")),_xlpm.ex,LEN(B160)/16,SUM((_xlpm.c-_xlpm.ex)^2/_xlpm.ex))))</f>
        <v/>
      </c>
      <c r="CF160" s="37" t="str">
        <f>IF(CE160="","",_xlfn.CHISQ.DIST.RT(CE160,15))</f>
        <v/>
      </c>
      <c r="CG160" s="9" t="str" cm="1">
        <f t="array" ref="CG160">IF(OR(B160="",B159=""),"",_xlfn.LET(_xlpm.a,C160,_xlpm.b,REPT("0",A160-LEN(C159))&amp;C159,_xlpm.m,MID(_xlpm.a,_xlfn.SEQUENCE(A160),1)=MID(_xlpm.b,_xlfn.SEQUENCE(A160),1),IFERROR(MATCH(FALSE,_xlpm.m,0)-1,A160)))</f>
        <v/>
      </c>
      <c r="CH160" s="9" t="str" cm="1">
        <f t="array" ref="CH160">IF(OR(B160="",B159=""),"",_xlfn.LET(_xlpm.a,C160,_xlpm.b,REPT("0",A160-LEN(C159))&amp;C159,_xlpm.n,A160,_xlpm.m,MID(_xlpm.a,_xlfn.SEQUENCE(_xlpm.n,,_xlpm.n,-1),1)=MID(_xlpm.b,_xlfn.SEQUENCE(_xlpm.n,,_xlpm.n,-1),1),IFERROR(MATCH(FALSE,_xlpm.m,0)-1,_xlpm.n)))</f>
        <v/>
      </c>
      <c r="CI160" s="38" t="str">
        <f>IF(OR(B160="",B159=""),"",F160-F159)</f>
        <v/>
      </c>
      <c r="CJ160" s="5" t="str">
        <f>IF(OR(B160="",B159=""),"",IFERROR(FIND(B159,B160)&gt;0,FALSE))</f>
        <v/>
      </c>
      <c r="CK160" s="5" t="str">
        <f>IF(OR(B160="",B159=""),"",IFERROR(FIND(C159,C160)&gt;0,FALSE))</f>
        <v/>
      </c>
      <c r="CL160" s="9" t="str">
        <f>IF(OR(B160="",B159=""),"",IFERROR(FIND(C159,C160),""))</f>
        <v/>
      </c>
      <c r="CM160" s="6" t="str" cm="1">
        <f t="array" ref="CM160">IF(OR(B160="",B159=""),"",_xlfn.LET(_xlpm.pv,D159,_xlpm.ra,BIGSUB(D160,_xlpm.pv),_xlpm.rb,BIGSUB(_xlpm.ra,_xlpm.pv),_xlpm.rc,BIGSUB(_xlpm.rb,_xlpm.pv),IF(LEFT(_xlpm.rb,1)="-",_xlpm.ra,IF(LEFT(_xlpm.rc,1)="-",_xlpm.rb,_xlpm.rc))))</f>
        <v/>
      </c>
      <c r="CN160" s="38" t="str">
        <f>IF(B160="","",F160-0.5)</f>
        <v/>
      </c>
      <c r="CO160" s="15" t="str" cm="1">
        <f t="array" ref="CO160">IF(B160="","",_xlfn.TEXTJOIN("",,MID(B160,_xlfn.SEQUENCE(LEN(B160),,LEN(B160),-1),1)))</f>
        <v/>
      </c>
      <c r="CP160" s="6" t="str" cm="1">
        <f t="array" ref="CP160">IF(B160="","",BASE2DEC(CO160,16))</f>
        <v/>
      </c>
      <c r="CQ160" s="5" t="str">
        <f>IF(B160="","",IF(AND(LEN(B160)&lt;16,LEN(B160)=LEN(SUBSTITUTE(SUBSTITUTE(SUBSTITUTE(SUBSTITUTE(SUBSTITUTE(SUBSTITUTE(B160,"a",""),"b",""),"c",""),"d",""),"e",""),"f",""))),--B160,""))</f>
        <v/>
      </c>
      <c r="CR160" s="6" t="str" cm="1">
        <f t="array" ref="CR160">IF(B160="","",IF(LEN(D160)&lt;=15,BASE2DEC(D160,16),""))</f>
        <v/>
      </c>
      <c r="CS160" s="15" t="str" cm="1">
        <f t="array" ref="CS160">IF(B160="","",_xlfn.LET(_xlpm.p,REPT("0",MOD(-LEN(B160),4))&amp;B160,_xlfn.TEXTJOIN(" ",,MID(_xlpm.p,_xlfn.SEQUENCE(LEN(_xlpm.p)/4,,1,4),4))))</f>
        <v/>
      </c>
      <c r="CT160" s="15" t="str" cm="1">
        <f t="array" ref="CT160">IF(B160="","",UPPER(_xlfn.LET(_xlpm.p,REPT("0",64-LEN(B160))&amp;B160,_xlfn.TEXTJOIN(" ",,MID(_xlpm.p,_xlfn.SEQUENCE(8,,1,8),8)))))</f>
        <v/>
      </c>
      <c r="CU160" s="6" t="str" cm="1">
        <f t="array" ref="CU160">IF(B160="","",IF(LEN(D160)&lt;=6,_xlfn.LET(_xlpm.n,VALUE(D160),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60" s="39" t="s">
        <v>888</v>
      </c>
      <c r="CW160" s="39" t="s">
        <v>888</v>
      </c>
      <c r="CX160" s="39" t="s">
        <v>888</v>
      </c>
      <c r="CY160" s="7" t="s">
        <v>888</v>
      </c>
      <c r="CZ160" s="39" t="s">
        <v>888</v>
      </c>
      <c r="DA160" s="39" t="s">
        <v>888</v>
      </c>
      <c r="DB160" s="39" t="s">
        <v>888</v>
      </c>
      <c r="DC160" s="7" t="s">
        <v>888</v>
      </c>
      <c r="DD160" s="7" t="s">
        <v>888</v>
      </c>
      <c r="DE160" s="7" t="s">
        <v>888</v>
      </c>
      <c r="DF160" s="7" t="s">
        <v>888</v>
      </c>
      <c r="DG160" s="7" t="s">
        <v>888</v>
      </c>
      <c r="DH160" s="39" t="s">
        <v>888</v>
      </c>
      <c r="DI160" s="7" t="s">
        <v>888</v>
      </c>
      <c r="DJ160" s="7" t="s">
        <v>888</v>
      </c>
      <c r="DK160" s="7" t="s">
        <v>888</v>
      </c>
      <c r="DL160" s="7" t="s">
        <v>888</v>
      </c>
      <c r="DM160" s="7" t="s">
        <v>888</v>
      </c>
      <c r="DN160" s="7" t="s">
        <v>888</v>
      </c>
      <c r="DO160" s="7" t="s">
        <v>888</v>
      </c>
      <c r="DP160" s="7" t="s">
        <v>888</v>
      </c>
      <c r="DQ160" s="7" t="s">
        <v>888</v>
      </c>
      <c r="DR160" s="7" t="s">
        <v>888</v>
      </c>
      <c r="DS160" s="7" t="s">
        <v>888</v>
      </c>
      <c r="DT160" s="15" t="str" cm="1">
        <f t="array" ref="DT160">IF(B160="","",_xlfn.TEXTJOIN("",,HEX2BIN(MID(BQ160,_xlfn.SEQUENCE(40),1),4)))</f>
        <v/>
      </c>
    </row>
    <row r="161" spans="1:124" x14ac:dyDescent="0.25">
      <c r="A161" s="9">
        <v>160</v>
      </c>
      <c r="B161" s="15" t="s">
        <v>888</v>
      </c>
      <c r="C161" s="15" t="s">
        <v>888</v>
      </c>
      <c r="D161" s="6" t="s">
        <v>888</v>
      </c>
      <c r="E161" s="6" t="s">
        <v>888</v>
      </c>
      <c r="F161" s="10" t="s">
        <v>888</v>
      </c>
      <c r="G161" s="9" t="s">
        <v>888</v>
      </c>
      <c r="H161" s="9" t="s">
        <v>888</v>
      </c>
      <c r="I161" s="15" t="s">
        <v>888</v>
      </c>
      <c r="J161" s="9" t="s">
        <v>888</v>
      </c>
      <c r="K161" s="15" t="s">
        <v>888</v>
      </c>
      <c r="L161" s="15" t="s">
        <v>888</v>
      </c>
      <c r="M161" s="15" t="s">
        <v>888</v>
      </c>
      <c r="N161" s="15" t="s">
        <v>888</v>
      </c>
      <c r="O161" s="6" t="s">
        <v>888</v>
      </c>
      <c r="P161" s="15" t="s">
        <v>888</v>
      </c>
      <c r="Q161" s="15" t="s">
        <v>888</v>
      </c>
      <c r="R161" s="6" t="s">
        <v>888</v>
      </c>
      <c r="S161" s="15" t="s">
        <v>888</v>
      </c>
      <c r="T161" s="11" t="s">
        <v>888</v>
      </c>
      <c r="U161" s="10" t="s">
        <v>888</v>
      </c>
      <c r="V161" s="7" t="s">
        <v>888</v>
      </c>
      <c r="W161" s="7" t="s">
        <v>888</v>
      </c>
      <c r="X161" s="7" t="s">
        <v>888</v>
      </c>
      <c r="Y161" s="15" t="s">
        <v>888</v>
      </c>
      <c r="Z161" s="9" t="s">
        <v>888</v>
      </c>
      <c r="AA161" s="9" t="s">
        <v>888</v>
      </c>
      <c r="AB161" s="9" t="s">
        <v>888</v>
      </c>
      <c r="AC161" s="13" t="s">
        <v>888</v>
      </c>
      <c r="AD161" s="13" t="s">
        <v>888</v>
      </c>
      <c r="AE161" s="9" t="s">
        <v>888</v>
      </c>
      <c r="AF161" s="9" t="s">
        <v>888</v>
      </c>
      <c r="AG161" s="9" t="s">
        <v>888</v>
      </c>
      <c r="AH161" s="6" t="s">
        <v>888</v>
      </c>
      <c r="AI161" s="10" t="s">
        <v>888</v>
      </c>
      <c r="AJ161" s="10" t="s">
        <v>888</v>
      </c>
      <c r="AK161" s="15" t="s">
        <v>888</v>
      </c>
      <c r="AL161" s="15" t="s">
        <v>888</v>
      </c>
      <c r="AM161" s="15" t="s">
        <v>888</v>
      </c>
      <c r="AN161" s="9" t="s">
        <v>888</v>
      </c>
      <c r="AO161" s="9" t="s">
        <v>888</v>
      </c>
      <c r="AP161" s="9" t="s">
        <v>888</v>
      </c>
      <c r="AQ161" s="15" t="s">
        <v>888</v>
      </c>
      <c r="AR161" s="9" t="s">
        <v>888</v>
      </c>
      <c r="AS161" s="6" t="s">
        <v>888</v>
      </c>
      <c r="AT161" s="15" t="s">
        <v>888</v>
      </c>
      <c r="AU161" s="9" t="s">
        <v>888</v>
      </c>
      <c r="AV161" s="9" t="s">
        <v>888</v>
      </c>
      <c r="AW161" s="9" t="s">
        <v>888</v>
      </c>
      <c r="AX161" s="9" t="s">
        <v>888</v>
      </c>
      <c r="AY161" s="9" t="s">
        <v>888</v>
      </c>
      <c r="AZ161" s="9" t="s">
        <v>888</v>
      </c>
      <c r="BA161" s="6" t="s">
        <v>888</v>
      </c>
      <c r="BB161" s="6" t="s">
        <v>888</v>
      </c>
      <c r="BC161" s="6" t="s">
        <v>888</v>
      </c>
      <c r="BD161" s="15" t="s">
        <v>888</v>
      </c>
      <c r="BE161" s="15" t="s">
        <v>888</v>
      </c>
      <c r="BF161" s="15" t="s">
        <v>888</v>
      </c>
      <c r="BG161" s="15" t="s">
        <v>888</v>
      </c>
      <c r="BH161" s="6" t="s">
        <v>888</v>
      </c>
      <c r="BI161" s="17" t="s">
        <v>888</v>
      </c>
      <c r="BJ161" s="7" t="s">
        <v>888</v>
      </c>
      <c r="BK161" s="7" t="s">
        <v>888</v>
      </c>
      <c r="BL161" s="7" t="s">
        <v>888</v>
      </c>
      <c r="BM161" s="16" t="s">
        <v>888</v>
      </c>
      <c r="BN161" s="16" t="s">
        <v>888</v>
      </c>
      <c r="BO161" s="16" t="s">
        <v>888</v>
      </c>
      <c r="BP161" s="16" t="s">
        <v>888</v>
      </c>
      <c r="BQ161" s="16" t="s">
        <v>888</v>
      </c>
      <c r="BR161" s="7" t="s">
        <v>888</v>
      </c>
      <c r="BS161" s="7" t="s">
        <v>888</v>
      </c>
      <c r="BT161" s="7" t="s">
        <v>888</v>
      </c>
      <c r="BU161" s="14" t="s">
        <v>888</v>
      </c>
      <c r="BV161" s="15" t="s">
        <v>888</v>
      </c>
      <c r="BW161" s="9" t="s">
        <v>888</v>
      </c>
      <c r="BX161" s="9" t="s">
        <v>888</v>
      </c>
      <c r="BY161" s="13" t="s">
        <v>888</v>
      </c>
      <c r="BZ161" s="13" t="s">
        <v>888</v>
      </c>
      <c r="CA161" s="12" t="str">
        <f>IF(B161="","",IF(A161&lt;8,"",_xlfn.LET(_xlpm.n,A161,_xlpm.k,G161,_xlpm.R,AP161,_xlpm.mu,1+2*_xlpm.k*(_xlpm.n-_xlpm.k)/_xlpm.n,_xlpm.v,2*_xlpm.k*(_xlpm.n-_xlpm.k)*(2*_xlpm.k*(_xlpm.n-_xlpm.k)-_xlpm.n)/(_xlpm.n^2*(_xlpm.n-1)),IF(_xlpm.v&lt;=0,"",(_xlpm.R-_xlpm.mu)/SQRT(_xlpm.v)))))</f>
        <v/>
      </c>
      <c r="CB161" s="37" t="str" cm="1">
        <f t="array" ref="CB161">IF(B161="","",IF(A161&lt;8,"",_xlfn.LET(_xlpm.b,--MID(C161,_xlfn.SEQUENCE(A161-1),1),_xlpm.c,--MID(C161,_xlfn.SEQUENCE(A161-1,,2),1),IFERROR(CORREL(_xlpm.b,_xlpm.c),""))))</f>
        <v/>
      </c>
      <c r="CC161" s="8" t="str">
        <f>IF(B161="","",LOG(A161,2))</f>
        <v/>
      </c>
      <c r="CD161" s="8" t="str">
        <f>IF(B161="","",MAX(AN161,AO161)-CC161)</f>
        <v/>
      </c>
      <c r="CE161" s="8" t="str" cm="1">
        <f t="array" ref="CE161">IF(B161="","",IF(LEN(B161)&lt;16,"",_xlfn.LET(_xlpm.d,MID("0123456789abcdef",_xlfn.SEQUENCE(16),1),_xlpm.c,LEN(B161)-LEN(SUBSTITUTE(B161,_xlpm.d,"")),_xlpm.ex,LEN(B161)/16,SUM((_xlpm.c-_xlpm.ex)^2/_xlpm.ex))))</f>
        <v/>
      </c>
      <c r="CF161" s="37" t="str">
        <f>IF(CE161="","",_xlfn.CHISQ.DIST.RT(CE161,15))</f>
        <v/>
      </c>
      <c r="CG161" s="9" t="str" cm="1">
        <f t="array" ref="CG161">IF(OR(B161="",B160=""),"",_xlfn.LET(_xlpm.a,C161,_xlpm.b,REPT("0",A161-LEN(C160))&amp;C160,_xlpm.m,MID(_xlpm.a,_xlfn.SEQUENCE(A161),1)=MID(_xlpm.b,_xlfn.SEQUENCE(A161),1),IFERROR(MATCH(FALSE,_xlpm.m,0)-1,A161)))</f>
        <v/>
      </c>
      <c r="CH161" s="9" t="str" cm="1">
        <f t="array" ref="CH161">IF(OR(B161="",B160=""),"",_xlfn.LET(_xlpm.a,C161,_xlpm.b,REPT("0",A161-LEN(C160))&amp;C160,_xlpm.n,A161,_xlpm.m,MID(_xlpm.a,_xlfn.SEQUENCE(_xlpm.n,,_xlpm.n,-1),1)=MID(_xlpm.b,_xlfn.SEQUENCE(_xlpm.n,,_xlpm.n,-1),1),IFERROR(MATCH(FALSE,_xlpm.m,0)-1,_xlpm.n)))</f>
        <v/>
      </c>
      <c r="CI161" s="38" t="str">
        <f>IF(OR(B161="",B160=""),"",F161-F160)</f>
        <v/>
      </c>
      <c r="CJ161" s="5" t="str">
        <f>IF(OR(B161="",B160=""),"",IFERROR(FIND(B160,B161)&gt;0,FALSE))</f>
        <v/>
      </c>
      <c r="CK161" s="5" t="str">
        <f>IF(OR(B161="",B160=""),"",IFERROR(FIND(C160,C161)&gt;0,FALSE))</f>
        <v/>
      </c>
      <c r="CL161" s="9" t="str">
        <f>IF(OR(B161="",B160=""),"",IFERROR(FIND(C160,C161),""))</f>
        <v/>
      </c>
      <c r="CM161" s="6" t="str" cm="1">
        <f t="array" ref="CM161">IF(OR(B161="",B160=""),"",_xlfn.LET(_xlpm.pv,D160,_xlpm.ra,BIGSUB(D161,_xlpm.pv),_xlpm.rb,BIGSUB(_xlpm.ra,_xlpm.pv),_xlpm.rc,BIGSUB(_xlpm.rb,_xlpm.pv),IF(LEFT(_xlpm.rb,1)="-",_xlpm.ra,IF(LEFT(_xlpm.rc,1)="-",_xlpm.rb,_xlpm.rc))))</f>
        <v/>
      </c>
      <c r="CN161" s="38" t="str">
        <f>IF(B161="","",F161-0.5)</f>
        <v/>
      </c>
      <c r="CO161" s="15" t="str" cm="1">
        <f t="array" ref="CO161">IF(B161="","",_xlfn.TEXTJOIN("",,MID(B161,_xlfn.SEQUENCE(LEN(B161),,LEN(B161),-1),1)))</f>
        <v/>
      </c>
      <c r="CP161" s="6" t="str" cm="1">
        <f t="array" ref="CP161">IF(B161="","",BASE2DEC(CO161,16))</f>
        <v/>
      </c>
      <c r="CQ161" s="5" t="str">
        <f>IF(B161="","",IF(AND(LEN(B161)&lt;16,LEN(B161)=LEN(SUBSTITUTE(SUBSTITUTE(SUBSTITUTE(SUBSTITUTE(SUBSTITUTE(SUBSTITUTE(B161,"a",""),"b",""),"c",""),"d",""),"e",""),"f",""))),--B161,""))</f>
        <v/>
      </c>
      <c r="CR161" s="6" t="str" cm="1">
        <f t="array" ref="CR161">IF(B161="","",IF(LEN(D161)&lt;=15,BASE2DEC(D161,16),""))</f>
        <v/>
      </c>
      <c r="CS161" s="15" t="str" cm="1">
        <f t="array" ref="CS161">IF(B161="","",_xlfn.LET(_xlpm.p,REPT("0",MOD(-LEN(B161),4))&amp;B161,_xlfn.TEXTJOIN(" ",,MID(_xlpm.p,_xlfn.SEQUENCE(LEN(_xlpm.p)/4,,1,4),4))))</f>
        <v/>
      </c>
      <c r="CT161" s="15" t="str" cm="1">
        <f t="array" ref="CT161">IF(B161="","",UPPER(_xlfn.LET(_xlpm.p,REPT("0",64-LEN(B161))&amp;B161,_xlfn.TEXTJOIN(" ",,MID(_xlpm.p,_xlfn.SEQUENCE(8,,1,8),8)))))</f>
        <v/>
      </c>
      <c r="CU161" s="6" t="str" cm="1">
        <f t="array" ref="CU161">IF(B161="","",IF(LEN(D161)&lt;=6,_xlfn.LET(_xlpm.n,VALUE(D161),_xlpm.ones,{"","one","two","three","four","five","six","seven","eight","nine","ten","eleven","twelve","thirteen","fourteen","fifteen","sixteen","seventeen","eighteen","nineteen"},_xlpm.tens,{"","","twenty","thirty","forty","fifty","sixty","seventy","eighty","ninety"},_xlpm.f,_xlfn.LAMBDA(_xlpm.x,TRIM(IF(_xlpm.x&gt;=100,INDEX(_xlpm.ones,INT(_xlpm.x/100)+1)&amp;" hundred ","")&amp;IF(MOD(_xlpm.x,100)&lt;20,INDEX(_xlpm.ones,MOD(_xlpm.x,100)+1),INDEX(_xlpm.tens,INT(MOD(_xlpm.x,100)/10)+1)&amp;IF(MOD(_xlpm.x,10)&gt;0,"-"&amp;INDEX(_xlpm.ones,MOD(_xlpm.x,10)+1),"")))),TRIM(IF(_xlpm.n&gt;=1000,_xlpm.f(INT(_xlpm.n/1000))&amp;" thousand ","")&amp;IF(MOD(_xlpm.n,1000)&gt;0,_xlpm.f(MOD(_xlpm.n,1000)),""))),""))</f>
        <v/>
      </c>
      <c r="CV161" s="39" t="s">
        <v>888</v>
      </c>
      <c r="CW161" s="39" t="s">
        <v>888</v>
      </c>
      <c r="CX161" s="39" t="s">
        <v>888</v>
      </c>
      <c r="CY161" s="7" t="s">
        <v>888</v>
      </c>
      <c r="CZ161" s="39" t="s">
        <v>888</v>
      </c>
      <c r="DA161" s="39" t="s">
        <v>888</v>
      </c>
      <c r="DB161" s="39" t="s">
        <v>888</v>
      </c>
      <c r="DC161" s="7" t="s">
        <v>888</v>
      </c>
      <c r="DD161" s="7" t="s">
        <v>888</v>
      </c>
      <c r="DE161" s="7" t="s">
        <v>888</v>
      </c>
      <c r="DF161" s="7" t="s">
        <v>888</v>
      </c>
      <c r="DG161" s="7" t="s">
        <v>888</v>
      </c>
      <c r="DH161" s="39" t="s">
        <v>888</v>
      </c>
      <c r="DI161" s="7" t="s">
        <v>888</v>
      </c>
      <c r="DJ161" s="7" t="s">
        <v>888</v>
      </c>
      <c r="DK161" s="7" t="s">
        <v>888</v>
      </c>
      <c r="DL161" s="7" t="s">
        <v>888</v>
      </c>
      <c r="DM161" s="7" t="s">
        <v>888</v>
      </c>
      <c r="DN161" s="7" t="s">
        <v>888</v>
      </c>
      <c r="DO161" s="7" t="s">
        <v>888</v>
      </c>
      <c r="DP161" s="7" t="s">
        <v>888</v>
      </c>
      <c r="DQ161" s="7" t="s">
        <v>888</v>
      </c>
      <c r="DR161" s="7" t="s">
        <v>888</v>
      </c>
      <c r="DS161" s="7" t="s">
        <v>5842</v>
      </c>
      <c r="DT161" s="15" t="str" cm="1">
        <f t="array" ref="DT161">IF(B161="","",_xlfn.TEXTJOIN("",,HEX2BIN(MID(BQ161,_xlfn.SEQUENCE(40),1),4)))</f>
        <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1223-E00F-40EF-8BEB-DCC4B4B68D08}">
  <dimension ref="A1:JM165"/>
  <sheetViews>
    <sheetView workbookViewId="0">
      <pane xSplit="2" ySplit="5" topLeftCell="C154" activePane="bottomRight" state="frozen"/>
      <selection pane="topRight" activeCell="C1" sqref="C1"/>
      <selection pane="bottomLeft" activeCell="A6" sqref="A6"/>
      <selection pane="bottomRight"/>
    </sheetView>
  </sheetViews>
  <sheetFormatPr defaultRowHeight="15" x14ac:dyDescent="0.25"/>
  <cols>
    <col min="2" max="2" width="38.140625" customWidth="1"/>
    <col min="3" max="273" width="2.7109375" customWidth="1"/>
  </cols>
  <sheetData>
    <row r="1" spans="1:273" x14ac:dyDescent="0.25">
      <c r="A1" s="26" t="s">
        <v>5843</v>
      </c>
      <c r="C1" t="s">
        <v>6114</v>
      </c>
      <c r="EI1" t="s">
        <v>6115</v>
      </c>
    </row>
    <row r="2" spans="1:273" x14ac:dyDescent="0.25">
      <c r="A2" s="4" t="s">
        <v>0</v>
      </c>
      <c r="B2" s="4" t="s">
        <v>655</v>
      </c>
      <c r="C2" s="27" t="s">
        <v>5844</v>
      </c>
      <c r="D2" s="27" t="s">
        <v>5845</v>
      </c>
      <c r="E2" s="27" t="s">
        <v>5846</v>
      </c>
      <c r="F2" s="27" t="s">
        <v>5847</v>
      </c>
      <c r="G2" s="27" t="s">
        <v>5848</v>
      </c>
      <c r="H2" s="27" t="s">
        <v>5849</v>
      </c>
      <c r="I2" s="27" t="s">
        <v>5850</v>
      </c>
      <c r="J2" s="27" t="s">
        <v>5851</v>
      </c>
      <c r="K2" s="27" t="s">
        <v>5852</v>
      </c>
      <c r="L2" s="27" t="s">
        <v>5853</v>
      </c>
      <c r="M2" s="27" t="s">
        <v>5854</v>
      </c>
      <c r="N2" s="27" t="s">
        <v>5855</v>
      </c>
      <c r="O2" s="27" t="s">
        <v>5856</v>
      </c>
      <c r="P2" s="27" t="s">
        <v>5857</v>
      </c>
      <c r="Q2" s="27" t="s">
        <v>5858</v>
      </c>
      <c r="R2" s="27" t="s">
        <v>5859</v>
      </c>
      <c r="S2" s="27" t="s">
        <v>5860</v>
      </c>
      <c r="T2" s="27" t="s">
        <v>5861</v>
      </c>
      <c r="U2" s="27" t="s">
        <v>5862</v>
      </c>
      <c r="V2" s="27" t="s">
        <v>5863</v>
      </c>
      <c r="W2" s="27" t="s">
        <v>5864</v>
      </c>
      <c r="X2" s="27" t="s">
        <v>5865</v>
      </c>
      <c r="Y2" s="27" t="s">
        <v>5866</v>
      </c>
      <c r="Z2" s="27" t="s">
        <v>5867</v>
      </c>
      <c r="AA2" s="27" t="s">
        <v>5868</v>
      </c>
      <c r="AB2" s="27" t="s">
        <v>5869</v>
      </c>
      <c r="AC2" s="27" t="s">
        <v>5870</v>
      </c>
      <c r="AD2" s="27" t="s">
        <v>5871</v>
      </c>
      <c r="AE2" s="27" t="s">
        <v>5872</v>
      </c>
      <c r="AF2" s="27" t="s">
        <v>5873</v>
      </c>
      <c r="AG2" s="27" t="s">
        <v>5874</v>
      </c>
      <c r="AH2" s="27" t="s">
        <v>5875</v>
      </c>
      <c r="AI2" s="27" t="s">
        <v>5876</v>
      </c>
      <c r="AJ2" s="27" t="s">
        <v>5877</v>
      </c>
      <c r="AK2" s="27" t="s">
        <v>5878</v>
      </c>
      <c r="AL2" s="27" t="s">
        <v>5879</v>
      </c>
      <c r="AM2" s="27" t="s">
        <v>5880</v>
      </c>
      <c r="AN2" s="27" t="s">
        <v>5881</v>
      </c>
      <c r="AO2" s="27" t="s">
        <v>5882</v>
      </c>
      <c r="AP2" s="27" t="s">
        <v>5883</v>
      </c>
      <c r="AQ2" s="27" t="s">
        <v>5884</v>
      </c>
      <c r="AR2" s="27" t="s">
        <v>5885</v>
      </c>
      <c r="AS2" s="27" t="s">
        <v>5886</v>
      </c>
      <c r="AT2" s="27" t="s">
        <v>5887</v>
      </c>
      <c r="AU2" s="27" t="s">
        <v>5888</v>
      </c>
      <c r="AV2" s="27" t="s">
        <v>5889</v>
      </c>
      <c r="AW2" s="27" t="s">
        <v>5890</v>
      </c>
      <c r="AX2" s="27" t="s">
        <v>5891</v>
      </c>
      <c r="AY2" s="27" t="s">
        <v>5892</v>
      </c>
      <c r="AZ2" s="27" t="s">
        <v>5893</v>
      </c>
      <c r="BA2" s="27" t="s">
        <v>5894</v>
      </c>
      <c r="BB2" s="27" t="s">
        <v>5895</v>
      </c>
      <c r="BC2" s="27" t="s">
        <v>5896</v>
      </c>
      <c r="BD2" s="27" t="s">
        <v>5897</v>
      </c>
      <c r="BE2" s="27" t="s">
        <v>5898</v>
      </c>
      <c r="BF2" s="27" t="s">
        <v>5899</v>
      </c>
      <c r="BG2" s="27" t="s">
        <v>5900</v>
      </c>
      <c r="BH2" s="27" t="s">
        <v>5901</v>
      </c>
      <c r="BI2" s="27" t="s">
        <v>5902</v>
      </c>
      <c r="BJ2" s="27" t="s">
        <v>5903</v>
      </c>
      <c r="BK2" s="27" t="s">
        <v>5904</v>
      </c>
      <c r="BL2" s="27" t="s">
        <v>5905</v>
      </c>
      <c r="BM2" s="27" t="s">
        <v>5906</v>
      </c>
      <c r="BN2" s="27" t="s">
        <v>5907</v>
      </c>
      <c r="BO2" s="27" t="s">
        <v>5908</v>
      </c>
      <c r="BP2" s="27" t="s">
        <v>5909</v>
      </c>
      <c r="BQ2" s="27" t="s">
        <v>5910</v>
      </c>
      <c r="BR2" s="27" t="s">
        <v>5911</v>
      </c>
      <c r="BS2" s="27" t="s">
        <v>5912</v>
      </c>
      <c r="BT2" s="27" t="s">
        <v>5913</v>
      </c>
      <c r="BU2" s="27" t="s">
        <v>5914</v>
      </c>
      <c r="BV2" s="27" t="s">
        <v>5915</v>
      </c>
      <c r="BW2" s="27" t="s">
        <v>5916</v>
      </c>
      <c r="BX2" s="27" t="s">
        <v>5917</v>
      </c>
      <c r="BY2" s="27" t="s">
        <v>5918</v>
      </c>
      <c r="BZ2" s="27" t="s">
        <v>5919</v>
      </c>
      <c r="CA2" s="27" t="s">
        <v>5920</v>
      </c>
      <c r="CB2" s="27" t="s">
        <v>5921</v>
      </c>
      <c r="CC2" s="27" t="s">
        <v>5922</v>
      </c>
      <c r="CD2" s="27" t="s">
        <v>5923</v>
      </c>
      <c r="CE2" s="27" t="s">
        <v>5924</v>
      </c>
      <c r="CF2" s="27" t="s">
        <v>5925</v>
      </c>
      <c r="CG2" s="27" t="s">
        <v>5926</v>
      </c>
      <c r="CH2" s="27" t="s">
        <v>5927</v>
      </c>
      <c r="CI2" s="27" t="s">
        <v>5928</v>
      </c>
      <c r="CJ2" s="27" t="s">
        <v>5929</v>
      </c>
      <c r="CK2" s="27" t="s">
        <v>5930</v>
      </c>
      <c r="CL2" s="27" t="s">
        <v>5931</v>
      </c>
      <c r="CM2" s="27" t="s">
        <v>5932</v>
      </c>
      <c r="CN2" s="27" t="s">
        <v>5933</v>
      </c>
      <c r="CO2" s="27" t="s">
        <v>5934</v>
      </c>
      <c r="CP2" s="27" t="s">
        <v>5935</v>
      </c>
      <c r="CQ2" s="27" t="s">
        <v>5936</v>
      </c>
      <c r="CR2" s="27" t="s">
        <v>5937</v>
      </c>
      <c r="CS2" s="27" t="s">
        <v>5938</v>
      </c>
      <c r="CT2" s="27" t="s">
        <v>5939</v>
      </c>
      <c r="CU2" s="27" t="s">
        <v>5940</v>
      </c>
      <c r="CV2" s="27" t="s">
        <v>5941</v>
      </c>
      <c r="CW2" s="27" t="s">
        <v>5942</v>
      </c>
      <c r="CX2" s="27" t="s">
        <v>5943</v>
      </c>
      <c r="CY2" s="27" t="s">
        <v>5944</v>
      </c>
      <c r="CZ2" s="27" t="s">
        <v>5945</v>
      </c>
      <c r="DA2" s="27" t="s">
        <v>5946</v>
      </c>
      <c r="DB2" s="27" t="s">
        <v>5947</v>
      </c>
      <c r="DC2" s="27" t="s">
        <v>5948</v>
      </c>
      <c r="DD2" s="27" t="s">
        <v>5949</v>
      </c>
      <c r="DE2" s="27" t="s">
        <v>5950</v>
      </c>
      <c r="DF2" s="27" t="s">
        <v>5951</v>
      </c>
      <c r="DG2" s="27" t="s">
        <v>5952</v>
      </c>
      <c r="DH2" s="27" t="s">
        <v>5953</v>
      </c>
      <c r="DI2" s="27" t="s">
        <v>5954</v>
      </c>
      <c r="DJ2" s="27" t="s">
        <v>5955</v>
      </c>
      <c r="DK2" s="27" t="s">
        <v>5956</v>
      </c>
      <c r="DL2" s="27" t="s">
        <v>5957</v>
      </c>
      <c r="DM2" s="27" t="s">
        <v>5958</v>
      </c>
      <c r="DN2" s="27" t="s">
        <v>5959</v>
      </c>
      <c r="DO2" s="27" t="s">
        <v>5960</v>
      </c>
      <c r="DP2" s="27" t="s">
        <v>5961</v>
      </c>
      <c r="DQ2" s="27" t="s">
        <v>5962</v>
      </c>
      <c r="DR2" s="27" t="s">
        <v>5963</v>
      </c>
      <c r="DS2" s="27" t="s">
        <v>5964</v>
      </c>
      <c r="DT2" s="27" t="s">
        <v>5965</v>
      </c>
      <c r="DU2" s="27" t="s">
        <v>5966</v>
      </c>
      <c r="DV2" s="27" t="s">
        <v>5967</v>
      </c>
      <c r="DW2" s="27" t="s">
        <v>5968</v>
      </c>
      <c r="DX2" s="27" t="s">
        <v>5969</v>
      </c>
      <c r="DY2" s="27" t="s">
        <v>5970</v>
      </c>
      <c r="DZ2" s="27" t="s">
        <v>5971</v>
      </c>
      <c r="EA2" s="27" t="s">
        <v>5972</v>
      </c>
      <c r="EB2" s="27" t="s">
        <v>5973</v>
      </c>
      <c r="EC2" s="27" t="s">
        <v>5974</v>
      </c>
      <c r="ED2" s="27" t="s">
        <v>5975</v>
      </c>
      <c r="EE2" s="27" t="s">
        <v>5976</v>
      </c>
      <c r="EF2" s="27" t="s">
        <v>5977</v>
      </c>
      <c r="EG2" s="27" t="s">
        <v>5978</v>
      </c>
      <c r="EH2" s="27"/>
      <c r="EI2" s="27" t="s">
        <v>5979</v>
      </c>
      <c r="EJ2" s="27" t="s">
        <v>5980</v>
      </c>
      <c r="EK2" s="27" t="s">
        <v>5981</v>
      </c>
      <c r="EL2" s="27" t="s">
        <v>5982</v>
      </c>
      <c r="EM2" s="27" t="s">
        <v>5983</v>
      </c>
      <c r="EN2" s="27" t="s">
        <v>5984</v>
      </c>
      <c r="EO2" s="27" t="s">
        <v>5985</v>
      </c>
      <c r="EP2" s="27" t="s">
        <v>5986</v>
      </c>
      <c r="EQ2" s="27" t="s">
        <v>5987</v>
      </c>
      <c r="ER2" s="27" t="s">
        <v>5988</v>
      </c>
      <c r="ES2" s="27" t="s">
        <v>5989</v>
      </c>
      <c r="ET2" s="27" t="s">
        <v>5990</v>
      </c>
      <c r="EU2" s="27" t="s">
        <v>5991</v>
      </c>
      <c r="EV2" s="27" t="s">
        <v>5992</v>
      </c>
      <c r="EW2" s="27" t="s">
        <v>5993</v>
      </c>
      <c r="EX2" s="27" t="s">
        <v>5994</v>
      </c>
      <c r="EY2" s="27" t="s">
        <v>5995</v>
      </c>
      <c r="EZ2" s="27" t="s">
        <v>5996</v>
      </c>
      <c r="FA2" s="27" t="s">
        <v>5997</v>
      </c>
      <c r="FB2" s="27" t="s">
        <v>5998</v>
      </c>
      <c r="FC2" s="27" t="s">
        <v>5999</v>
      </c>
      <c r="FD2" s="27" t="s">
        <v>6000</v>
      </c>
      <c r="FE2" s="27" t="s">
        <v>6001</v>
      </c>
      <c r="FF2" s="27" t="s">
        <v>6002</v>
      </c>
      <c r="FG2" s="27" t="s">
        <v>6003</v>
      </c>
      <c r="FH2" s="27" t="s">
        <v>6004</v>
      </c>
      <c r="FI2" s="27" t="s">
        <v>6005</v>
      </c>
      <c r="FJ2" s="27" t="s">
        <v>6006</v>
      </c>
      <c r="FK2" s="27" t="s">
        <v>6007</v>
      </c>
      <c r="FL2" s="27" t="s">
        <v>6008</v>
      </c>
      <c r="FM2" s="27" t="s">
        <v>6009</v>
      </c>
      <c r="FN2" s="27" t="s">
        <v>6010</v>
      </c>
      <c r="FO2" s="27" t="s">
        <v>6011</v>
      </c>
      <c r="FP2" s="27" t="s">
        <v>6012</v>
      </c>
      <c r="FQ2" s="27" t="s">
        <v>6013</v>
      </c>
      <c r="FR2" s="27" t="s">
        <v>6014</v>
      </c>
      <c r="FS2" s="27" t="s">
        <v>6015</v>
      </c>
      <c r="FT2" s="27" t="s">
        <v>6016</v>
      </c>
      <c r="FU2" s="27" t="s">
        <v>6017</v>
      </c>
      <c r="FV2" s="27" t="s">
        <v>6018</v>
      </c>
      <c r="FW2" s="27" t="s">
        <v>6019</v>
      </c>
      <c r="FX2" s="27" t="s">
        <v>6020</v>
      </c>
      <c r="FY2" s="27" t="s">
        <v>6021</v>
      </c>
      <c r="FZ2" s="27" t="s">
        <v>6022</v>
      </c>
      <c r="GA2" s="27" t="s">
        <v>6023</v>
      </c>
      <c r="GB2" s="27" t="s">
        <v>6024</v>
      </c>
      <c r="GC2" s="27" t="s">
        <v>6025</v>
      </c>
      <c r="GD2" s="27" t="s">
        <v>6026</v>
      </c>
      <c r="GE2" s="27" t="s">
        <v>6027</v>
      </c>
      <c r="GF2" s="27" t="s">
        <v>6028</v>
      </c>
      <c r="GG2" s="27" t="s">
        <v>6029</v>
      </c>
      <c r="GH2" s="27" t="s">
        <v>6030</v>
      </c>
      <c r="GI2" s="27" t="s">
        <v>6031</v>
      </c>
      <c r="GJ2" s="27" t="s">
        <v>6032</v>
      </c>
      <c r="GK2" s="27" t="s">
        <v>6033</v>
      </c>
      <c r="GL2" s="27" t="s">
        <v>6034</v>
      </c>
      <c r="GM2" s="27" t="s">
        <v>6035</v>
      </c>
      <c r="GN2" s="27" t="s">
        <v>6036</v>
      </c>
      <c r="GO2" s="27" t="s">
        <v>6037</v>
      </c>
      <c r="GP2" s="27" t="s">
        <v>6038</v>
      </c>
      <c r="GQ2" s="27" t="s">
        <v>6039</v>
      </c>
      <c r="GR2" s="27" t="s">
        <v>6040</v>
      </c>
      <c r="GS2" s="27" t="s">
        <v>6041</v>
      </c>
      <c r="GT2" s="27" t="s">
        <v>6042</v>
      </c>
      <c r="GU2" s="27" t="s">
        <v>6043</v>
      </c>
      <c r="GV2" s="27" t="s">
        <v>6044</v>
      </c>
      <c r="GW2" s="27" t="s">
        <v>6045</v>
      </c>
      <c r="GX2" s="27" t="s">
        <v>6046</v>
      </c>
      <c r="GY2" s="27" t="s">
        <v>6047</v>
      </c>
      <c r="GZ2" s="27" t="s">
        <v>6048</v>
      </c>
      <c r="HA2" s="27" t="s">
        <v>6049</v>
      </c>
      <c r="HB2" s="27" t="s">
        <v>6050</v>
      </c>
      <c r="HC2" s="27" t="s">
        <v>6051</v>
      </c>
      <c r="HD2" s="27" t="s">
        <v>6052</v>
      </c>
      <c r="HE2" s="27" t="s">
        <v>6053</v>
      </c>
      <c r="HF2" s="27" t="s">
        <v>6054</v>
      </c>
      <c r="HG2" s="27" t="s">
        <v>6055</v>
      </c>
      <c r="HH2" s="27" t="s">
        <v>6056</v>
      </c>
      <c r="HI2" s="27" t="s">
        <v>6057</v>
      </c>
      <c r="HJ2" s="27" t="s">
        <v>6058</v>
      </c>
      <c r="HK2" s="27" t="s">
        <v>6059</v>
      </c>
      <c r="HL2" s="27" t="s">
        <v>6060</v>
      </c>
      <c r="HM2" s="27" t="s">
        <v>6061</v>
      </c>
      <c r="HN2" s="27" t="s">
        <v>6062</v>
      </c>
      <c r="HO2" s="27" t="s">
        <v>6063</v>
      </c>
      <c r="HP2" s="27" t="s">
        <v>6064</v>
      </c>
      <c r="HQ2" s="27" t="s">
        <v>6065</v>
      </c>
      <c r="HR2" s="27" t="s">
        <v>6066</v>
      </c>
      <c r="HS2" s="27" t="s">
        <v>6067</v>
      </c>
      <c r="HT2" s="27" t="s">
        <v>6068</v>
      </c>
      <c r="HU2" s="27" t="s">
        <v>6069</v>
      </c>
      <c r="HV2" s="27" t="s">
        <v>6070</v>
      </c>
      <c r="HW2" s="27" t="s">
        <v>6071</v>
      </c>
      <c r="HX2" s="27" t="s">
        <v>6072</v>
      </c>
      <c r="HY2" s="27" t="s">
        <v>6073</v>
      </c>
      <c r="HZ2" s="27" t="s">
        <v>6074</v>
      </c>
      <c r="IA2" s="27" t="s">
        <v>6075</v>
      </c>
      <c r="IB2" s="27" t="s">
        <v>6076</v>
      </c>
      <c r="IC2" s="27" t="s">
        <v>6077</v>
      </c>
      <c r="ID2" s="27" t="s">
        <v>6078</v>
      </c>
      <c r="IE2" s="27" t="s">
        <v>6079</v>
      </c>
      <c r="IF2" s="27" t="s">
        <v>6080</v>
      </c>
      <c r="IG2" s="27" t="s">
        <v>6081</v>
      </c>
      <c r="IH2" s="27" t="s">
        <v>6082</v>
      </c>
      <c r="II2" s="27" t="s">
        <v>6083</v>
      </c>
      <c r="IJ2" s="27" t="s">
        <v>6084</v>
      </c>
      <c r="IK2" s="27" t="s">
        <v>6085</v>
      </c>
      <c r="IL2" s="27" t="s">
        <v>6086</v>
      </c>
      <c r="IM2" s="27" t="s">
        <v>6087</v>
      </c>
      <c r="IN2" s="27" t="s">
        <v>6088</v>
      </c>
      <c r="IO2" s="27" t="s">
        <v>6089</v>
      </c>
      <c r="IP2" s="27" t="s">
        <v>6090</v>
      </c>
      <c r="IQ2" s="27" t="s">
        <v>6091</v>
      </c>
      <c r="IR2" s="27" t="s">
        <v>6092</v>
      </c>
      <c r="IS2" s="27" t="s">
        <v>6093</v>
      </c>
      <c r="IT2" s="27" t="s">
        <v>6094</v>
      </c>
      <c r="IU2" s="27" t="s">
        <v>6095</v>
      </c>
      <c r="IV2" s="27" t="s">
        <v>6096</v>
      </c>
      <c r="IW2" s="27" t="s">
        <v>6097</v>
      </c>
      <c r="IX2" s="27" t="s">
        <v>6098</v>
      </c>
      <c r="IY2" s="27" t="s">
        <v>6099</v>
      </c>
      <c r="IZ2" s="27" t="s">
        <v>6100</v>
      </c>
      <c r="JA2" s="27" t="s">
        <v>6101</v>
      </c>
      <c r="JB2" s="27" t="s">
        <v>6102</v>
      </c>
      <c r="JC2" s="27" t="s">
        <v>6103</v>
      </c>
      <c r="JD2" s="27" t="s">
        <v>6104</v>
      </c>
      <c r="JE2" s="27" t="s">
        <v>6105</v>
      </c>
      <c r="JF2" s="27" t="s">
        <v>6106</v>
      </c>
      <c r="JG2" s="27" t="s">
        <v>6107</v>
      </c>
      <c r="JH2" s="27" t="s">
        <v>6108</v>
      </c>
      <c r="JI2" s="27" t="s">
        <v>6109</v>
      </c>
      <c r="JJ2" s="27" t="s">
        <v>6110</v>
      </c>
      <c r="JK2" s="27" t="s">
        <v>6111</v>
      </c>
      <c r="JL2" s="27" t="s">
        <v>6112</v>
      </c>
      <c r="JM2" s="27" t="s">
        <v>6113</v>
      </c>
    </row>
    <row r="3" spans="1:273" x14ac:dyDescent="0.25">
      <c r="A3" s="3" t="s">
        <v>6116</v>
      </c>
      <c r="B3" s="3"/>
      <c r="C3" s="28">
        <f>SUM(C6:C165)</f>
        <v>39</v>
      </c>
      <c r="D3" s="28">
        <f>SUM(D6:D165)</f>
        <v>39</v>
      </c>
      <c r="E3" s="28">
        <f>SUM(E6:E165)</f>
        <v>49</v>
      </c>
      <c r="F3" s="28">
        <f>SUM(F6:F165)</f>
        <v>36</v>
      </c>
      <c r="G3" s="28">
        <f>SUM(G6:G165)</f>
        <v>38</v>
      </c>
      <c r="H3" s="28">
        <f>SUM(H6:H165)</f>
        <v>35</v>
      </c>
      <c r="I3" s="28">
        <f>SUM(I6:I165)</f>
        <v>40</v>
      </c>
      <c r="J3" s="28">
        <f>SUM(J6:J165)</f>
        <v>35</v>
      </c>
      <c r="K3" s="28">
        <f>SUM(K6:K165)</f>
        <v>34</v>
      </c>
      <c r="L3" s="28">
        <f>SUM(L6:L165)</f>
        <v>33</v>
      </c>
      <c r="M3" s="28">
        <f>SUM(M6:M165)</f>
        <v>39</v>
      </c>
      <c r="N3" s="28">
        <f>SUM(N6:N165)</f>
        <v>41</v>
      </c>
      <c r="O3" s="28">
        <f>SUM(O6:O165)</f>
        <v>37</v>
      </c>
      <c r="P3" s="28">
        <f>SUM(P6:P165)</f>
        <v>40</v>
      </c>
      <c r="Q3" s="28">
        <f>SUM(Q6:Q165)</f>
        <v>32</v>
      </c>
      <c r="R3" s="28">
        <f>SUM(R6:R165)</f>
        <v>28</v>
      </c>
      <c r="S3" s="28">
        <f>SUM(S6:S165)</f>
        <v>28</v>
      </c>
      <c r="T3" s="28">
        <f>SUM(T6:T165)</f>
        <v>33</v>
      </c>
      <c r="U3" s="28">
        <f>SUM(U6:U165)</f>
        <v>34</v>
      </c>
      <c r="V3" s="28">
        <f>SUM(V6:V165)</f>
        <v>30</v>
      </c>
      <c r="W3" s="28">
        <f>SUM(W6:W165)</f>
        <v>29</v>
      </c>
      <c r="X3" s="28">
        <f>SUM(X6:X165)</f>
        <v>28</v>
      </c>
      <c r="Y3" s="28">
        <f>SUM(Y6:Y165)</f>
        <v>35</v>
      </c>
      <c r="Z3" s="28">
        <f>SUM(Z6:Z165)</f>
        <v>33</v>
      </c>
      <c r="AA3" s="28">
        <f>SUM(AA6:AA165)</f>
        <v>30</v>
      </c>
      <c r="AB3" s="28">
        <f>SUM(AB6:AB165)</f>
        <v>34</v>
      </c>
      <c r="AC3" s="28">
        <f>SUM(AC6:AC165)</f>
        <v>28</v>
      </c>
      <c r="AD3" s="28">
        <f>SUM(AD6:AD165)</f>
        <v>26</v>
      </c>
      <c r="AE3" s="28">
        <f>SUM(AE6:AE165)</f>
        <v>32</v>
      </c>
      <c r="AF3" s="28">
        <f>SUM(AF6:AF165)</f>
        <v>30</v>
      </c>
      <c r="AG3" s="28">
        <f>SUM(AG6:AG165)</f>
        <v>21</v>
      </c>
      <c r="AH3" s="28">
        <f>SUM(AH6:AH165)</f>
        <v>30</v>
      </c>
      <c r="AI3" s="28">
        <f>SUM(AI6:AI165)</f>
        <v>30</v>
      </c>
      <c r="AJ3" s="28">
        <f>SUM(AJ6:AJ165)</f>
        <v>25</v>
      </c>
      <c r="AK3" s="28">
        <f>SUM(AK6:AK165)</f>
        <v>28</v>
      </c>
      <c r="AL3" s="28">
        <f>SUM(AL6:AL165)</f>
        <v>19</v>
      </c>
      <c r="AM3" s="28">
        <f>SUM(AM6:AM165)</f>
        <v>21</v>
      </c>
      <c r="AN3" s="28">
        <f>SUM(AN6:AN165)</f>
        <v>22</v>
      </c>
      <c r="AO3" s="28">
        <f>SUM(AO6:AO165)</f>
        <v>23</v>
      </c>
      <c r="AP3" s="28">
        <f>SUM(AP6:AP165)</f>
        <v>21</v>
      </c>
      <c r="AQ3" s="28">
        <f>SUM(AQ6:AQ165)</f>
        <v>17</v>
      </c>
      <c r="AR3" s="28">
        <f>SUM(AR6:AR165)</f>
        <v>24</v>
      </c>
      <c r="AS3" s="28">
        <f>SUM(AS6:AS165)</f>
        <v>28</v>
      </c>
      <c r="AT3" s="28">
        <f>SUM(AT6:AT165)</f>
        <v>22</v>
      </c>
      <c r="AU3" s="28">
        <f>SUM(AU6:AU165)</f>
        <v>19</v>
      </c>
      <c r="AV3" s="28">
        <f>SUM(AV6:AV165)</f>
        <v>22</v>
      </c>
      <c r="AW3" s="28">
        <f>SUM(AW6:AW165)</f>
        <v>17</v>
      </c>
      <c r="AX3" s="28">
        <f>SUM(AX6:AX165)</f>
        <v>17</v>
      </c>
      <c r="AY3" s="28">
        <f>SUM(AY6:AY165)</f>
        <v>15</v>
      </c>
      <c r="AZ3" s="28">
        <f>SUM(AZ6:AZ165)</f>
        <v>17</v>
      </c>
      <c r="BA3" s="28">
        <f>SUM(BA6:BA165)</f>
        <v>19</v>
      </c>
      <c r="BB3" s="28">
        <f>SUM(BB6:BB165)</f>
        <v>16</v>
      </c>
      <c r="BC3" s="28">
        <f>SUM(BC6:BC165)</f>
        <v>14</v>
      </c>
      <c r="BD3" s="28">
        <f>SUM(BD6:BD165)</f>
        <v>16</v>
      </c>
      <c r="BE3" s="28">
        <f>SUM(BE6:BE165)</f>
        <v>13</v>
      </c>
      <c r="BF3" s="28">
        <f>SUM(BF6:BF165)</f>
        <v>16</v>
      </c>
      <c r="BG3" s="28">
        <f>SUM(BG6:BG165)</f>
        <v>16</v>
      </c>
      <c r="BH3" s="28">
        <f>SUM(BH6:BH165)</f>
        <v>15</v>
      </c>
      <c r="BI3" s="28">
        <f>SUM(BI6:BI165)</f>
        <v>13</v>
      </c>
      <c r="BJ3" s="28">
        <f>SUM(BJ6:BJ165)</f>
        <v>15</v>
      </c>
      <c r="BK3" s="28">
        <f>SUM(BK6:BK165)</f>
        <v>12</v>
      </c>
      <c r="BL3" s="28">
        <f>SUM(BL6:BL165)</f>
        <v>10</v>
      </c>
      <c r="BM3" s="28">
        <f>SUM(BM6:BM165)</f>
        <v>10</v>
      </c>
      <c r="BN3" s="28">
        <f>SUM(BN6:BN165)</f>
        <v>11</v>
      </c>
      <c r="BO3" s="28">
        <f>SUM(BO6:BO165)</f>
        <v>10</v>
      </c>
      <c r="BP3" s="28">
        <f>SUM(BP6:BP165)</f>
        <v>11</v>
      </c>
      <c r="BQ3" s="28">
        <f>SUM(BQ6:BQ165)</f>
        <v>10</v>
      </c>
      <c r="BR3" s="28">
        <f>SUM(BR6:BR165)</f>
        <v>10</v>
      </c>
      <c r="BS3" s="28">
        <f>SUM(BS6:BS165)</f>
        <v>9</v>
      </c>
      <c r="BT3" s="28">
        <f>SUM(BT6:BT165)</f>
        <v>5</v>
      </c>
      <c r="BU3" s="28">
        <f>SUM(BU6:BU165)</f>
        <v>7</v>
      </c>
      <c r="BV3" s="28">
        <f>SUM(BV6:BV165)</f>
        <v>4</v>
      </c>
      <c r="BW3" s="28">
        <f>SUM(BW6:BW165)</f>
        <v>6</v>
      </c>
      <c r="BX3" s="28">
        <f>SUM(BX6:BX165)</f>
        <v>3</v>
      </c>
      <c r="BY3" s="28">
        <f>SUM(BY6:BY165)</f>
        <v>4</v>
      </c>
      <c r="BZ3" s="28">
        <f>SUM(BZ6:BZ165)</f>
        <v>6</v>
      </c>
      <c r="CA3" s="28">
        <f>SUM(CA6:CA165)</f>
        <v>3</v>
      </c>
      <c r="CB3" s="28">
        <f>SUM(CB6:CB165)</f>
        <v>5</v>
      </c>
      <c r="CC3" s="28">
        <f>SUM(CC6:CC165)</f>
        <v>8</v>
      </c>
      <c r="CD3" s="28">
        <f>SUM(CD6:CD165)</f>
        <v>4</v>
      </c>
      <c r="CE3" s="28">
        <f>SUM(CE6:CE165)</f>
        <v>6</v>
      </c>
      <c r="CF3" s="28">
        <f>SUM(CF6:CF165)</f>
        <v>5</v>
      </c>
      <c r="CG3" s="28">
        <f>SUM(CG6:CG165)</f>
        <v>5</v>
      </c>
      <c r="CH3" s="28">
        <f>SUM(CH6:CH165)</f>
        <v>7</v>
      </c>
      <c r="CI3" s="28">
        <f>SUM(CI6:CI165)</f>
        <v>8</v>
      </c>
      <c r="CJ3" s="28">
        <f>SUM(CJ6:CJ165)</f>
        <v>6</v>
      </c>
      <c r="CK3" s="28">
        <f>SUM(CK6:CK165)</f>
        <v>8</v>
      </c>
      <c r="CL3" s="28">
        <f>SUM(CL6:CL165)</f>
        <v>4</v>
      </c>
      <c r="CM3" s="28">
        <f>SUM(CM6:CM165)</f>
        <v>7</v>
      </c>
      <c r="CN3" s="28">
        <f>SUM(CN6:CN165)</f>
        <v>7</v>
      </c>
      <c r="CO3" s="28">
        <f>SUM(CO6:CO165)</f>
        <v>5</v>
      </c>
      <c r="CP3" s="28">
        <f>SUM(CP6:CP165)</f>
        <v>0</v>
      </c>
      <c r="CQ3" s="28">
        <f>SUM(CQ6:CQ165)</f>
        <v>8</v>
      </c>
      <c r="CR3" s="28">
        <f>SUM(CR6:CR165)</f>
        <v>2</v>
      </c>
      <c r="CS3" s="28">
        <f>SUM(CS6:CS165)</f>
        <v>5</v>
      </c>
      <c r="CT3" s="28">
        <f>SUM(CT6:CT165)</f>
        <v>4</v>
      </c>
      <c r="CU3" s="28">
        <f>SUM(CU6:CU165)</f>
        <v>3</v>
      </c>
      <c r="CV3" s="28">
        <f>SUM(CV6:CV165)</f>
        <v>4</v>
      </c>
      <c r="CW3" s="28">
        <f>SUM(CW6:CW165)</f>
        <v>2</v>
      </c>
      <c r="CX3" s="28">
        <f>SUM(CX6:CX165)</f>
        <v>5</v>
      </c>
      <c r="CY3" s="28">
        <f>SUM(CY6:CY165)</f>
        <v>1</v>
      </c>
      <c r="CZ3" s="28">
        <f>SUM(CZ6:CZ165)</f>
        <v>5</v>
      </c>
      <c r="DA3" s="28">
        <f>SUM(DA6:DA165)</f>
        <v>6</v>
      </c>
      <c r="DB3" s="28">
        <f>SUM(DB6:DB165)</f>
        <v>1</v>
      </c>
      <c r="DC3" s="28">
        <f>SUM(DC6:DC165)</f>
        <v>7</v>
      </c>
      <c r="DD3" s="28">
        <f>SUM(DD6:DD165)</f>
        <v>3</v>
      </c>
      <c r="DE3" s="28">
        <f>SUM(DE6:DE165)</f>
        <v>4</v>
      </c>
      <c r="DF3" s="28">
        <f>SUM(DF6:DF165)</f>
        <v>3</v>
      </c>
      <c r="DG3" s="28">
        <f>SUM(DG6:DG165)</f>
        <v>2</v>
      </c>
      <c r="DH3" s="28">
        <f>SUM(DH6:DH165)</f>
        <v>4</v>
      </c>
      <c r="DI3" s="28">
        <f>SUM(DI6:DI165)</f>
        <v>1</v>
      </c>
      <c r="DJ3" s="28">
        <f>SUM(DJ6:DJ165)</f>
        <v>1</v>
      </c>
      <c r="DK3" s="28">
        <f>SUM(DK6:DK165)</f>
        <v>2</v>
      </c>
      <c r="DL3" s="28">
        <f>SUM(DL6:DL165)</f>
        <v>4</v>
      </c>
      <c r="DM3" s="28">
        <f>SUM(DM6:DM165)</f>
        <v>2</v>
      </c>
      <c r="DN3" s="28">
        <f>SUM(DN6:DN165)</f>
        <v>0</v>
      </c>
      <c r="DO3" s="28">
        <f>SUM(DO6:DO165)</f>
        <v>4</v>
      </c>
      <c r="DP3" s="28">
        <f>SUM(DP6:DP165)</f>
        <v>2</v>
      </c>
      <c r="DQ3" s="28">
        <f>SUM(DQ6:DQ165)</f>
        <v>2</v>
      </c>
      <c r="DR3" s="28">
        <f>SUM(DR6:DR165)</f>
        <v>2</v>
      </c>
      <c r="DS3" s="28">
        <f>SUM(DS6:DS165)</f>
        <v>1</v>
      </c>
      <c r="DT3" s="28">
        <f>SUM(DT6:DT165)</f>
        <v>2</v>
      </c>
      <c r="DU3" s="28">
        <f>SUM(DU6:DU165)</f>
        <v>2</v>
      </c>
      <c r="DV3" s="28">
        <f>SUM(DV6:DV165)</f>
        <v>2</v>
      </c>
      <c r="DW3" s="28">
        <f>SUM(DW6:DW165)</f>
        <v>3</v>
      </c>
      <c r="DX3" s="28">
        <f>SUM(DX6:DX165)</f>
        <v>1</v>
      </c>
      <c r="DY3" s="28">
        <f>SUM(DY6:DY165)</f>
        <v>0</v>
      </c>
      <c r="DZ3" s="28">
        <f>SUM(DZ6:DZ165)</f>
        <v>1</v>
      </c>
      <c r="EA3" s="28">
        <f>SUM(EA6:EA165)</f>
        <v>2</v>
      </c>
      <c r="EB3" s="28">
        <f>SUM(EB6:EB165)</f>
        <v>1</v>
      </c>
      <c r="EC3" s="28">
        <f>SUM(EC6:EC165)</f>
        <v>1</v>
      </c>
      <c r="ED3" s="28">
        <f>SUM(ED6:ED165)</f>
        <v>1</v>
      </c>
      <c r="EE3" s="28">
        <f>SUM(EE6:EE165)</f>
        <v>0</v>
      </c>
      <c r="EF3" s="28">
        <f>SUM(EF6:EF165)</f>
        <v>1</v>
      </c>
      <c r="EG3" s="28">
        <f>SUM(EG6:EG165)</f>
        <v>1</v>
      </c>
      <c r="EH3" s="28"/>
      <c r="EI3" s="28">
        <f>SUM(EI6:EI165)</f>
        <v>83</v>
      </c>
      <c r="EJ3" s="28">
        <f>SUM(EJ6:EJ165)</f>
        <v>42</v>
      </c>
      <c r="EK3" s="28">
        <f>SUM(EK6:EK165)</f>
        <v>42</v>
      </c>
      <c r="EL3" s="28">
        <f>SUM(EL6:EL165)</f>
        <v>45</v>
      </c>
      <c r="EM3" s="28">
        <f>SUM(EM6:EM165)</f>
        <v>41</v>
      </c>
      <c r="EN3" s="28">
        <f>SUM(EN6:EN165)</f>
        <v>33</v>
      </c>
      <c r="EO3" s="28">
        <f>SUM(EO6:EO165)</f>
        <v>34</v>
      </c>
      <c r="EP3" s="28">
        <f>SUM(EP6:EP165)</f>
        <v>39</v>
      </c>
      <c r="EQ3" s="28">
        <f>SUM(EQ6:EQ165)</f>
        <v>42</v>
      </c>
      <c r="ER3" s="28">
        <f>SUM(ER6:ER165)</f>
        <v>23</v>
      </c>
      <c r="ES3" s="28">
        <f>SUM(ES6:ES165)</f>
        <v>34</v>
      </c>
      <c r="ET3" s="28">
        <f>SUM(ET6:ET165)</f>
        <v>34</v>
      </c>
      <c r="EU3" s="28">
        <f>SUM(EU6:EU165)</f>
        <v>40</v>
      </c>
      <c r="EV3" s="28">
        <f>SUM(EV6:EV165)</f>
        <v>39</v>
      </c>
      <c r="EW3" s="28">
        <f>SUM(EW6:EW165)</f>
        <v>40</v>
      </c>
      <c r="EX3" s="28">
        <f>SUM(EX6:EX165)</f>
        <v>34</v>
      </c>
      <c r="EY3" s="28">
        <f>SUM(EY6:EY165)</f>
        <v>27</v>
      </c>
      <c r="EZ3" s="28">
        <f>SUM(EZ6:EZ165)</f>
        <v>30</v>
      </c>
      <c r="FA3" s="28">
        <f>SUM(FA6:FA165)</f>
        <v>33</v>
      </c>
      <c r="FB3" s="28">
        <f>SUM(FB6:FB165)</f>
        <v>34</v>
      </c>
      <c r="FC3" s="28">
        <f>SUM(FC6:FC165)</f>
        <v>27</v>
      </c>
      <c r="FD3" s="28">
        <f>SUM(FD6:FD165)</f>
        <v>37</v>
      </c>
      <c r="FE3" s="28">
        <f>SUM(FE6:FE165)</f>
        <v>30</v>
      </c>
      <c r="FF3" s="28">
        <f>SUM(FF6:FF165)</f>
        <v>25</v>
      </c>
      <c r="FG3" s="28">
        <f>SUM(FG6:FG165)</f>
        <v>23</v>
      </c>
      <c r="FH3" s="28">
        <f>SUM(FH6:FH165)</f>
        <v>27</v>
      </c>
      <c r="FI3" s="28">
        <f>SUM(FI6:FI165)</f>
        <v>30</v>
      </c>
      <c r="FJ3" s="28">
        <f>SUM(FJ6:FJ165)</f>
        <v>26</v>
      </c>
      <c r="FK3" s="28">
        <f>SUM(FK6:FK165)</f>
        <v>25</v>
      </c>
      <c r="FL3" s="28">
        <f>SUM(FL6:FL165)</f>
        <v>22</v>
      </c>
      <c r="FM3" s="28">
        <f>SUM(FM6:FM165)</f>
        <v>34</v>
      </c>
      <c r="FN3" s="28">
        <f>SUM(FN6:FN165)</f>
        <v>21</v>
      </c>
      <c r="FO3" s="28">
        <f>SUM(FO6:FO165)</f>
        <v>29</v>
      </c>
      <c r="FP3" s="28">
        <f>SUM(FP6:FP165)</f>
        <v>27</v>
      </c>
      <c r="FQ3" s="28">
        <f>SUM(FQ6:FQ165)</f>
        <v>20</v>
      </c>
      <c r="FR3" s="28">
        <f>SUM(FR6:FR165)</f>
        <v>25</v>
      </c>
      <c r="FS3" s="28">
        <f>SUM(FS6:FS165)</f>
        <v>23</v>
      </c>
      <c r="FT3" s="28">
        <f>SUM(FT6:FT165)</f>
        <v>20</v>
      </c>
      <c r="FU3" s="28">
        <f>SUM(FU6:FU165)</f>
        <v>18</v>
      </c>
      <c r="FV3" s="28">
        <f>SUM(FV6:FV165)</f>
        <v>23</v>
      </c>
      <c r="FW3" s="28">
        <f>SUM(FW6:FW165)</f>
        <v>24</v>
      </c>
      <c r="FX3" s="28">
        <f>SUM(FX6:FX165)</f>
        <v>24</v>
      </c>
      <c r="FY3" s="28">
        <f>SUM(FY6:FY165)</f>
        <v>21</v>
      </c>
      <c r="FZ3" s="28">
        <f>SUM(FZ6:FZ165)</f>
        <v>21</v>
      </c>
      <c r="GA3" s="28">
        <f>SUM(GA6:GA165)</f>
        <v>17</v>
      </c>
      <c r="GB3" s="28">
        <f>SUM(GB6:GB165)</f>
        <v>20</v>
      </c>
      <c r="GC3" s="28">
        <f>SUM(GC6:GC165)</f>
        <v>22</v>
      </c>
      <c r="GD3" s="28">
        <f>SUM(GD6:GD165)</f>
        <v>21</v>
      </c>
      <c r="GE3" s="28">
        <f>SUM(GE6:GE165)</f>
        <v>19</v>
      </c>
      <c r="GF3" s="28">
        <f>SUM(GF6:GF165)</f>
        <v>15</v>
      </c>
      <c r="GG3" s="28">
        <f>SUM(GG6:GG165)</f>
        <v>14</v>
      </c>
      <c r="GH3" s="28">
        <f>SUM(GH6:GH165)</f>
        <v>15</v>
      </c>
      <c r="GI3" s="28">
        <f>SUM(GI6:GI165)</f>
        <v>19</v>
      </c>
      <c r="GJ3" s="28">
        <f>SUM(GJ6:GJ165)</f>
        <v>11</v>
      </c>
      <c r="GK3" s="28">
        <f>SUM(GK6:GK165)</f>
        <v>14</v>
      </c>
      <c r="GL3" s="28">
        <f>SUM(GL6:GL165)</f>
        <v>13</v>
      </c>
      <c r="GM3" s="28">
        <f>SUM(GM6:GM165)</f>
        <v>12</v>
      </c>
      <c r="GN3" s="28">
        <f>SUM(GN6:GN165)</f>
        <v>17</v>
      </c>
      <c r="GO3" s="28">
        <f>SUM(GO6:GO165)</f>
        <v>14</v>
      </c>
      <c r="GP3" s="28">
        <f>SUM(GP6:GP165)</f>
        <v>16</v>
      </c>
      <c r="GQ3" s="28">
        <f>SUM(GQ6:GQ165)</f>
        <v>9</v>
      </c>
      <c r="GR3" s="28">
        <f>SUM(GR6:GR165)</f>
        <v>7</v>
      </c>
      <c r="GS3" s="28">
        <f>SUM(GS6:GS165)</f>
        <v>10</v>
      </c>
      <c r="GT3" s="28">
        <f>SUM(GT6:GT165)</f>
        <v>12</v>
      </c>
      <c r="GU3" s="28">
        <f>SUM(GU6:GU165)</f>
        <v>10</v>
      </c>
      <c r="GV3" s="28">
        <f>SUM(GV6:GV165)</f>
        <v>13</v>
      </c>
      <c r="GW3" s="28">
        <f>SUM(GW6:GW165)</f>
        <v>5</v>
      </c>
      <c r="GX3" s="28">
        <f>SUM(GX6:GX165)</f>
        <v>5</v>
      </c>
      <c r="GY3" s="28">
        <f>SUM(GY6:GY165)</f>
        <v>4</v>
      </c>
      <c r="GZ3" s="28">
        <f>SUM(GZ6:GZ165)</f>
        <v>7</v>
      </c>
      <c r="HA3" s="28">
        <f>SUM(HA6:HA165)</f>
        <v>6</v>
      </c>
      <c r="HB3" s="28">
        <f>SUM(HB6:HB165)</f>
        <v>8</v>
      </c>
      <c r="HC3" s="28">
        <f>SUM(HC6:HC165)</f>
        <v>10</v>
      </c>
      <c r="HD3" s="28">
        <f>SUM(HD6:HD165)</f>
        <v>5</v>
      </c>
      <c r="HE3" s="28">
        <f>SUM(HE6:HE165)</f>
        <v>9</v>
      </c>
      <c r="HF3" s="28">
        <f>SUM(HF6:HF165)</f>
        <v>4</v>
      </c>
      <c r="HG3" s="28">
        <f>SUM(HG6:HG165)</f>
        <v>6</v>
      </c>
      <c r="HH3" s="28">
        <f>SUM(HH6:HH165)</f>
        <v>4</v>
      </c>
      <c r="HI3" s="28">
        <f>SUM(HI6:HI165)</f>
        <v>4</v>
      </c>
      <c r="HJ3" s="28">
        <f>SUM(HJ6:HJ165)</f>
        <v>8</v>
      </c>
      <c r="HK3" s="28">
        <f>SUM(HK6:HK165)</f>
        <v>3</v>
      </c>
      <c r="HL3" s="28">
        <f>SUM(HL6:HL165)</f>
        <v>6</v>
      </c>
      <c r="HM3" s="28">
        <f>SUM(HM6:HM165)</f>
        <v>6</v>
      </c>
      <c r="HN3" s="28">
        <f>SUM(HN6:HN165)</f>
        <v>4</v>
      </c>
      <c r="HO3" s="28">
        <f>SUM(HO6:HO165)</f>
        <v>5</v>
      </c>
      <c r="HP3" s="28">
        <f>SUM(HP6:HP165)</f>
        <v>5</v>
      </c>
      <c r="HQ3" s="28">
        <f>SUM(HQ6:HQ165)</f>
        <v>6</v>
      </c>
      <c r="HR3" s="28">
        <f>SUM(HR6:HR165)</f>
        <v>8</v>
      </c>
      <c r="HS3" s="28">
        <f>SUM(HS6:HS165)</f>
        <v>5</v>
      </c>
      <c r="HT3" s="28">
        <f>SUM(HT6:HT165)</f>
        <v>3</v>
      </c>
      <c r="HU3" s="28">
        <f>SUM(HU6:HU165)</f>
        <v>5</v>
      </c>
      <c r="HV3" s="28">
        <f>SUM(HV6:HV165)</f>
        <v>5</v>
      </c>
      <c r="HW3" s="28">
        <f>SUM(HW6:HW165)</f>
        <v>7</v>
      </c>
      <c r="HX3" s="28">
        <f>SUM(HX6:HX165)</f>
        <v>4</v>
      </c>
      <c r="HY3" s="28">
        <f>SUM(HY6:HY165)</f>
        <v>6</v>
      </c>
      <c r="HZ3" s="28">
        <f>SUM(HZ6:HZ165)</f>
        <v>2</v>
      </c>
      <c r="IA3" s="28">
        <f>SUM(IA6:IA165)</f>
        <v>3</v>
      </c>
      <c r="IB3" s="28">
        <f>SUM(IB6:IB165)</f>
        <v>4</v>
      </c>
      <c r="IC3" s="28">
        <f>SUM(IC6:IC165)</f>
        <v>5</v>
      </c>
      <c r="ID3" s="28">
        <f>SUM(ID6:ID165)</f>
        <v>3</v>
      </c>
      <c r="IE3" s="28">
        <f>SUM(IE6:IE165)</f>
        <v>2</v>
      </c>
      <c r="IF3" s="28">
        <f>SUM(IF6:IF165)</f>
        <v>1</v>
      </c>
      <c r="IG3" s="28">
        <f>SUM(IG6:IG165)</f>
        <v>3</v>
      </c>
      <c r="IH3" s="28">
        <f>SUM(IH6:IH165)</f>
        <v>5</v>
      </c>
      <c r="II3" s="28">
        <f>SUM(II6:II165)</f>
        <v>4</v>
      </c>
      <c r="IJ3" s="28">
        <f>SUM(IJ6:IJ165)</f>
        <v>5</v>
      </c>
      <c r="IK3" s="28">
        <f>SUM(IK6:IK165)</f>
        <v>3</v>
      </c>
      <c r="IL3" s="28">
        <f>SUM(IL6:IL165)</f>
        <v>5</v>
      </c>
      <c r="IM3" s="28">
        <f>SUM(IM6:IM165)</f>
        <v>2</v>
      </c>
      <c r="IN3" s="28">
        <f>SUM(IN6:IN165)</f>
        <v>2</v>
      </c>
      <c r="IO3" s="28">
        <f>SUM(IO6:IO165)</f>
        <v>1</v>
      </c>
      <c r="IP3" s="28">
        <f>SUM(IP6:IP165)</f>
        <v>3</v>
      </c>
      <c r="IQ3" s="28">
        <f>SUM(IQ6:IQ165)</f>
        <v>4</v>
      </c>
      <c r="IR3" s="28">
        <f>SUM(IR6:IR165)</f>
        <v>2</v>
      </c>
      <c r="IS3" s="28">
        <f>SUM(IS6:IS165)</f>
        <v>3</v>
      </c>
      <c r="IT3" s="28">
        <f>SUM(IT6:IT165)</f>
        <v>1</v>
      </c>
      <c r="IU3" s="28">
        <f>SUM(IU6:IU165)</f>
        <v>1</v>
      </c>
      <c r="IV3" s="28">
        <f>SUM(IV6:IV165)</f>
        <v>1</v>
      </c>
      <c r="IW3" s="28">
        <f>SUM(IW6:IW165)</f>
        <v>1</v>
      </c>
      <c r="IX3" s="28">
        <f>SUM(IX6:IX165)</f>
        <v>2</v>
      </c>
      <c r="IY3" s="28">
        <f>SUM(IY6:IY165)</f>
        <v>2</v>
      </c>
      <c r="IZ3" s="28">
        <f>SUM(IZ6:IZ165)</f>
        <v>3</v>
      </c>
      <c r="JA3" s="28">
        <f>SUM(JA6:JA165)</f>
        <v>3</v>
      </c>
      <c r="JB3" s="28">
        <f>SUM(JB6:JB165)</f>
        <v>2</v>
      </c>
      <c r="JC3" s="28">
        <f>SUM(JC6:JC165)</f>
        <v>1</v>
      </c>
      <c r="JD3" s="28">
        <f>SUM(JD6:JD165)</f>
        <v>1</v>
      </c>
      <c r="JE3" s="28">
        <f>SUM(JE6:JE165)</f>
        <v>1</v>
      </c>
      <c r="JF3" s="28">
        <f>SUM(JF6:JF165)</f>
        <v>1</v>
      </c>
      <c r="JG3" s="28">
        <f>SUM(JG6:JG165)</f>
        <v>0</v>
      </c>
      <c r="JH3" s="28">
        <f>SUM(JH6:JH165)</f>
        <v>2</v>
      </c>
      <c r="JI3" s="28">
        <f>SUM(JI6:JI165)</f>
        <v>1</v>
      </c>
      <c r="JJ3" s="28">
        <f>SUM(JJ6:JJ165)</f>
        <v>0</v>
      </c>
      <c r="JK3" s="28">
        <f>SUM(JK6:JK165)</f>
        <v>0</v>
      </c>
      <c r="JL3" s="28">
        <f>SUM(JL6:JL165)</f>
        <v>1</v>
      </c>
      <c r="JM3" s="28">
        <f>SUM(JM6:JM165)</f>
        <v>0</v>
      </c>
    </row>
    <row r="4" spans="1:273" x14ac:dyDescent="0.25">
      <c r="A4" s="3" t="s">
        <v>6117</v>
      </c>
      <c r="B4" s="3"/>
      <c r="C4" s="28">
        <f>COUNT(C6:C165)</f>
        <v>83</v>
      </c>
      <c r="D4" s="28">
        <f>COUNT(D6:D165)</f>
        <v>82</v>
      </c>
      <c r="E4" s="28">
        <f>COUNT(E6:E165)</f>
        <v>81</v>
      </c>
      <c r="F4" s="28">
        <f>COUNT(F6:F165)</f>
        <v>80</v>
      </c>
      <c r="G4" s="28">
        <f>COUNT(G6:G165)</f>
        <v>79</v>
      </c>
      <c r="H4" s="28">
        <f>COUNT(H6:H165)</f>
        <v>78</v>
      </c>
      <c r="I4" s="28">
        <f>COUNT(I6:I165)</f>
        <v>77</v>
      </c>
      <c r="J4" s="28">
        <f>COUNT(J6:J165)</f>
        <v>76</v>
      </c>
      <c r="K4" s="28">
        <f>COUNT(K6:K165)</f>
        <v>75</v>
      </c>
      <c r="L4" s="28">
        <f>COUNT(L6:L165)</f>
        <v>74</v>
      </c>
      <c r="M4" s="28">
        <f>COUNT(M6:M165)</f>
        <v>73</v>
      </c>
      <c r="N4" s="28">
        <f>COUNT(N6:N165)</f>
        <v>72</v>
      </c>
      <c r="O4" s="28">
        <f>COUNT(O6:O165)</f>
        <v>71</v>
      </c>
      <c r="P4" s="28">
        <f>COUNT(P6:P165)</f>
        <v>70</v>
      </c>
      <c r="Q4" s="28">
        <f>COUNT(Q6:Q165)</f>
        <v>69</v>
      </c>
      <c r="R4" s="28">
        <f>COUNT(R6:R165)</f>
        <v>68</v>
      </c>
      <c r="S4" s="28">
        <f>COUNT(S6:S165)</f>
        <v>67</v>
      </c>
      <c r="T4" s="28">
        <f>COUNT(T6:T165)</f>
        <v>66</v>
      </c>
      <c r="U4" s="28">
        <f>COUNT(U6:U165)</f>
        <v>65</v>
      </c>
      <c r="V4" s="28">
        <f>COUNT(V6:V165)</f>
        <v>64</v>
      </c>
      <c r="W4" s="28">
        <f>COUNT(W6:W165)</f>
        <v>63</v>
      </c>
      <c r="X4" s="28">
        <f>COUNT(X6:X165)</f>
        <v>62</v>
      </c>
      <c r="Y4" s="28">
        <f>COUNT(Y6:Y165)</f>
        <v>61</v>
      </c>
      <c r="Z4" s="28">
        <f>COUNT(Z6:Z165)</f>
        <v>60</v>
      </c>
      <c r="AA4" s="28">
        <f>COUNT(AA6:AA165)</f>
        <v>59</v>
      </c>
      <c r="AB4" s="28">
        <f>COUNT(AB6:AB165)</f>
        <v>58</v>
      </c>
      <c r="AC4" s="28">
        <f>COUNT(AC6:AC165)</f>
        <v>57</v>
      </c>
      <c r="AD4" s="28">
        <f>COUNT(AD6:AD165)</f>
        <v>56</v>
      </c>
      <c r="AE4" s="28">
        <f>COUNT(AE6:AE165)</f>
        <v>55</v>
      </c>
      <c r="AF4" s="28">
        <f>COUNT(AF6:AF165)</f>
        <v>54</v>
      </c>
      <c r="AG4" s="28">
        <f>COUNT(AG6:AG165)</f>
        <v>53</v>
      </c>
      <c r="AH4" s="28">
        <f>COUNT(AH6:AH165)</f>
        <v>52</v>
      </c>
      <c r="AI4" s="28">
        <f>COUNT(AI6:AI165)</f>
        <v>51</v>
      </c>
      <c r="AJ4" s="28">
        <f>COUNT(AJ6:AJ165)</f>
        <v>50</v>
      </c>
      <c r="AK4" s="28">
        <f>COUNT(AK6:AK165)</f>
        <v>49</v>
      </c>
      <c r="AL4" s="28">
        <f>COUNT(AL6:AL165)</f>
        <v>48</v>
      </c>
      <c r="AM4" s="28">
        <f>COUNT(AM6:AM165)</f>
        <v>47</v>
      </c>
      <c r="AN4" s="28">
        <f>COUNT(AN6:AN165)</f>
        <v>46</v>
      </c>
      <c r="AO4" s="28">
        <f>COUNT(AO6:AO165)</f>
        <v>45</v>
      </c>
      <c r="AP4" s="28">
        <f>COUNT(AP6:AP165)</f>
        <v>44</v>
      </c>
      <c r="AQ4" s="28">
        <f>COUNT(AQ6:AQ165)</f>
        <v>43</v>
      </c>
      <c r="AR4" s="28">
        <f>COUNT(AR6:AR165)</f>
        <v>42</v>
      </c>
      <c r="AS4" s="28">
        <f>COUNT(AS6:AS165)</f>
        <v>41</v>
      </c>
      <c r="AT4" s="28">
        <f>COUNT(AT6:AT165)</f>
        <v>40</v>
      </c>
      <c r="AU4" s="28">
        <f>COUNT(AU6:AU165)</f>
        <v>39</v>
      </c>
      <c r="AV4" s="28">
        <f>COUNT(AV6:AV165)</f>
        <v>38</v>
      </c>
      <c r="AW4" s="28">
        <f>COUNT(AW6:AW165)</f>
        <v>37</v>
      </c>
      <c r="AX4" s="28">
        <f>COUNT(AX6:AX165)</f>
        <v>36</v>
      </c>
      <c r="AY4" s="28">
        <f>COUNT(AY6:AY165)</f>
        <v>35</v>
      </c>
      <c r="AZ4" s="28">
        <f>COUNT(AZ6:AZ165)</f>
        <v>34</v>
      </c>
      <c r="BA4" s="28">
        <f>COUNT(BA6:BA165)</f>
        <v>33</v>
      </c>
      <c r="BB4" s="28">
        <f>COUNT(BB6:BB165)</f>
        <v>32</v>
      </c>
      <c r="BC4" s="28">
        <f>COUNT(BC6:BC165)</f>
        <v>31</v>
      </c>
      <c r="BD4" s="28">
        <f>COUNT(BD6:BD165)</f>
        <v>30</v>
      </c>
      <c r="BE4" s="28">
        <f>COUNT(BE6:BE165)</f>
        <v>29</v>
      </c>
      <c r="BF4" s="28">
        <f>COUNT(BF6:BF165)</f>
        <v>28</v>
      </c>
      <c r="BG4" s="28">
        <f>COUNT(BG6:BG165)</f>
        <v>27</v>
      </c>
      <c r="BH4" s="28">
        <f>COUNT(BH6:BH165)</f>
        <v>26</v>
      </c>
      <c r="BI4" s="28">
        <f>COUNT(BI6:BI165)</f>
        <v>25</v>
      </c>
      <c r="BJ4" s="28">
        <f>COUNT(BJ6:BJ165)</f>
        <v>24</v>
      </c>
      <c r="BK4" s="28">
        <f>COUNT(BK6:BK165)</f>
        <v>23</v>
      </c>
      <c r="BL4" s="28">
        <f>COUNT(BL6:BL165)</f>
        <v>22</v>
      </c>
      <c r="BM4" s="28">
        <f>COUNT(BM6:BM165)</f>
        <v>21</v>
      </c>
      <c r="BN4" s="28">
        <f>COUNT(BN6:BN165)</f>
        <v>20</v>
      </c>
      <c r="BO4" s="28">
        <f>COUNT(BO6:BO165)</f>
        <v>19</v>
      </c>
      <c r="BP4" s="28">
        <f>COUNT(BP6:BP165)</f>
        <v>18</v>
      </c>
      <c r="BQ4" s="28">
        <f>COUNT(BQ6:BQ165)</f>
        <v>17</v>
      </c>
      <c r="BR4" s="28">
        <f>COUNT(BR6:BR165)</f>
        <v>16</v>
      </c>
      <c r="BS4" s="28">
        <f>COUNT(BS6:BS165)</f>
        <v>15</v>
      </c>
      <c r="BT4" s="28">
        <f>COUNT(BT6:BT165)</f>
        <v>14</v>
      </c>
      <c r="BU4" s="28">
        <f>COUNT(BU6:BU165)</f>
        <v>13</v>
      </c>
      <c r="BV4" s="28">
        <f>COUNT(BV6:BV165)</f>
        <v>13</v>
      </c>
      <c r="BW4" s="28">
        <f>COUNT(BW6:BW165)</f>
        <v>13</v>
      </c>
      <c r="BX4" s="28">
        <f>COUNT(BX6:BX165)</f>
        <v>13</v>
      </c>
      <c r="BY4" s="28">
        <f>COUNT(BY6:BY165)</f>
        <v>13</v>
      </c>
      <c r="BZ4" s="28">
        <f>COUNT(BZ6:BZ165)</f>
        <v>12</v>
      </c>
      <c r="CA4" s="28">
        <f>COUNT(CA6:CA165)</f>
        <v>12</v>
      </c>
      <c r="CB4" s="28">
        <f>COUNT(CB6:CB165)</f>
        <v>12</v>
      </c>
      <c r="CC4" s="28">
        <f>COUNT(CC6:CC165)</f>
        <v>12</v>
      </c>
      <c r="CD4" s="28">
        <f>COUNT(CD6:CD165)</f>
        <v>12</v>
      </c>
      <c r="CE4" s="28">
        <f>COUNT(CE6:CE165)</f>
        <v>11</v>
      </c>
      <c r="CF4" s="28">
        <f>COUNT(CF6:CF165)</f>
        <v>11</v>
      </c>
      <c r="CG4" s="28">
        <f>COUNT(CG6:CG165)</f>
        <v>11</v>
      </c>
      <c r="CH4" s="28">
        <f>COUNT(CH6:CH165)</f>
        <v>11</v>
      </c>
      <c r="CI4" s="28">
        <f>COUNT(CI6:CI165)</f>
        <v>11</v>
      </c>
      <c r="CJ4" s="28">
        <f>COUNT(CJ6:CJ165)</f>
        <v>10</v>
      </c>
      <c r="CK4" s="28">
        <f>COUNT(CK6:CK165)</f>
        <v>10</v>
      </c>
      <c r="CL4" s="28">
        <f>COUNT(CL6:CL165)</f>
        <v>10</v>
      </c>
      <c r="CM4" s="28">
        <f>COUNT(CM6:CM165)</f>
        <v>10</v>
      </c>
      <c r="CN4" s="28">
        <f>COUNT(CN6:CN165)</f>
        <v>10</v>
      </c>
      <c r="CO4" s="28">
        <f>COUNT(CO6:CO165)</f>
        <v>9</v>
      </c>
      <c r="CP4" s="28">
        <f>COUNT(CP6:CP165)</f>
        <v>9</v>
      </c>
      <c r="CQ4" s="28">
        <f>COUNT(CQ6:CQ165)</f>
        <v>9</v>
      </c>
      <c r="CR4" s="28">
        <f>COUNT(CR6:CR165)</f>
        <v>9</v>
      </c>
      <c r="CS4" s="28">
        <f>COUNT(CS6:CS165)</f>
        <v>9</v>
      </c>
      <c r="CT4" s="28">
        <f>COUNT(CT6:CT165)</f>
        <v>8</v>
      </c>
      <c r="CU4" s="28">
        <f>COUNT(CU6:CU165)</f>
        <v>8</v>
      </c>
      <c r="CV4" s="28">
        <f>COUNT(CV6:CV165)</f>
        <v>8</v>
      </c>
      <c r="CW4" s="28">
        <f>COUNT(CW6:CW165)</f>
        <v>8</v>
      </c>
      <c r="CX4" s="28">
        <f>COUNT(CX6:CX165)</f>
        <v>8</v>
      </c>
      <c r="CY4" s="28">
        <f>COUNT(CY6:CY165)</f>
        <v>7</v>
      </c>
      <c r="CZ4" s="28">
        <f>COUNT(CZ6:CZ165)</f>
        <v>7</v>
      </c>
      <c r="DA4" s="28">
        <f>COUNT(DA6:DA165)</f>
        <v>7</v>
      </c>
      <c r="DB4" s="28">
        <f>COUNT(DB6:DB165)</f>
        <v>7</v>
      </c>
      <c r="DC4" s="28">
        <f>COUNT(DC6:DC165)</f>
        <v>7</v>
      </c>
      <c r="DD4" s="28">
        <f>COUNT(DD6:DD165)</f>
        <v>6</v>
      </c>
      <c r="DE4" s="28">
        <f>COUNT(DE6:DE165)</f>
        <v>6</v>
      </c>
      <c r="DF4" s="28">
        <f>COUNT(DF6:DF165)</f>
        <v>6</v>
      </c>
      <c r="DG4" s="28">
        <f>COUNT(DG6:DG165)</f>
        <v>6</v>
      </c>
      <c r="DH4" s="28">
        <f>COUNT(DH6:DH165)</f>
        <v>6</v>
      </c>
      <c r="DI4" s="28">
        <f>COUNT(DI6:DI165)</f>
        <v>5</v>
      </c>
      <c r="DJ4" s="28">
        <f>COUNT(DJ6:DJ165)</f>
        <v>5</v>
      </c>
      <c r="DK4" s="28">
        <f>COUNT(DK6:DK165)</f>
        <v>5</v>
      </c>
      <c r="DL4" s="28">
        <f>COUNT(DL6:DL165)</f>
        <v>5</v>
      </c>
      <c r="DM4" s="28">
        <f>COUNT(DM6:DM165)</f>
        <v>5</v>
      </c>
      <c r="DN4" s="28">
        <f>COUNT(DN6:DN165)</f>
        <v>4</v>
      </c>
      <c r="DO4" s="28">
        <f>COUNT(DO6:DO165)</f>
        <v>4</v>
      </c>
      <c r="DP4" s="28">
        <f>COUNT(DP6:DP165)</f>
        <v>4</v>
      </c>
      <c r="DQ4" s="28">
        <f>COUNT(DQ6:DQ165)</f>
        <v>4</v>
      </c>
      <c r="DR4" s="28">
        <f>COUNT(DR6:DR165)</f>
        <v>4</v>
      </c>
      <c r="DS4" s="28">
        <f>COUNT(DS6:DS165)</f>
        <v>3</v>
      </c>
      <c r="DT4" s="28">
        <f>COUNT(DT6:DT165)</f>
        <v>3</v>
      </c>
      <c r="DU4" s="28">
        <f>COUNT(DU6:DU165)</f>
        <v>3</v>
      </c>
      <c r="DV4" s="28">
        <f>COUNT(DV6:DV165)</f>
        <v>3</v>
      </c>
      <c r="DW4" s="28">
        <f>COUNT(DW6:DW165)</f>
        <v>3</v>
      </c>
      <c r="DX4" s="28">
        <f>COUNT(DX6:DX165)</f>
        <v>2</v>
      </c>
      <c r="DY4" s="28">
        <f>COUNT(DY6:DY165)</f>
        <v>2</v>
      </c>
      <c r="DZ4" s="28">
        <f>COUNT(DZ6:DZ165)</f>
        <v>2</v>
      </c>
      <c r="EA4" s="28">
        <f>COUNT(EA6:EA165)</f>
        <v>2</v>
      </c>
      <c r="EB4" s="28">
        <f>COUNT(EB6:EB165)</f>
        <v>2</v>
      </c>
      <c r="EC4" s="28">
        <f>COUNT(EC6:EC165)</f>
        <v>1</v>
      </c>
      <c r="ED4" s="28">
        <f>COUNT(ED6:ED165)</f>
        <v>1</v>
      </c>
      <c r="EE4" s="28">
        <f>COUNT(EE6:EE165)</f>
        <v>1</v>
      </c>
      <c r="EF4" s="28">
        <f>COUNT(EF6:EF165)</f>
        <v>1</v>
      </c>
      <c r="EG4" s="28">
        <f>COUNT(EG6:EG165)</f>
        <v>1</v>
      </c>
      <c r="EH4" s="28"/>
      <c r="EI4" s="28">
        <f>COUNT(EI6:EI165)</f>
        <v>83</v>
      </c>
      <c r="EJ4" s="28">
        <f>COUNT(EJ6:EJ165)</f>
        <v>82</v>
      </c>
      <c r="EK4" s="28">
        <f>COUNT(EK6:EK165)</f>
        <v>81</v>
      </c>
      <c r="EL4" s="28">
        <f>COUNT(EL6:EL165)</f>
        <v>80</v>
      </c>
      <c r="EM4" s="28">
        <f>COUNT(EM6:EM165)</f>
        <v>79</v>
      </c>
      <c r="EN4" s="28">
        <f>COUNT(EN6:EN165)</f>
        <v>78</v>
      </c>
      <c r="EO4" s="28">
        <f>COUNT(EO6:EO165)</f>
        <v>77</v>
      </c>
      <c r="EP4" s="28">
        <f>COUNT(EP6:EP165)</f>
        <v>76</v>
      </c>
      <c r="EQ4" s="28">
        <f>COUNT(EQ6:EQ165)</f>
        <v>75</v>
      </c>
      <c r="ER4" s="28">
        <f>COUNT(ER6:ER165)</f>
        <v>74</v>
      </c>
      <c r="ES4" s="28">
        <f>COUNT(ES6:ES165)</f>
        <v>73</v>
      </c>
      <c r="ET4" s="28">
        <f>COUNT(ET6:ET165)</f>
        <v>72</v>
      </c>
      <c r="EU4" s="28">
        <f>COUNT(EU6:EU165)</f>
        <v>71</v>
      </c>
      <c r="EV4" s="28">
        <f>COUNT(EV6:EV165)</f>
        <v>70</v>
      </c>
      <c r="EW4" s="28">
        <f>COUNT(EW6:EW165)</f>
        <v>69</v>
      </c>
      <c r="EX4" s="28">
        <f>COUNT(EX6:EX165)</f>
        <v>68</v>
      </c>
      <c r="EY4" s="28">
        <f>COUNT(EY6:EY165)</f>
        <v>67</v>
      </c>
      <c r="EZ4" s="28">
        <f>COUNT(EZ6:EZ165)</f>
        <v>66</v>
      </c>
      <c r="FA4" s="28">
        <f>COUNT(FA6:FA165)</f>
        <v>65</v>
      </c>
      <c r="FB4" s="28">
        <f>COUNT(FB6:FB165)</f>
        <v>64</v>
      </c>
      <c r="FC4" s="28">
        <f>COUNT(FC6:FC165)</f>
        <v>63</v>
      </c>
      <c r="FD4" s="28">
        <f>COUNT(FD6:FD165)</f>
        <v>62</v>
      </c>
      <c r="FE4" s="28">
        <f>COUNT(FE6:FE165)</f>
        <v>61</v>
      </c>
      <c r="FF4" s="28">
        <f>COUNT(FF6:FF165)</f>
        <v>60</v>
      </c>
      <c r="FG4" s="28">
        <f>COUNT(FG6:FG165)</f>
        <v>59</v>
      </c>
      <c r="FH4" s="28">
        <f>COUNT(FH6:FH165)</f>
        <v>58</v>
      </c>
      <c r="FI4" s="28">
        <f>COUNT(FI6:FI165)</f>
        <v>57</v>
      </c>
      <c r="FJ4" s="28">
        <f>COUNT(FJ6:FJ165)</f>
        <v>56</v>
      </c>
      <c r="FK4" s="28">
        <f>COUNT(FK6:FK165)</f>
        <v>55</v>
      </c>
      <c r="FL4" s="28">
        <f>COUNT(FL6:FL165)</f>
        <v>54</v>
      </c>
      <c r="FM4" s="28">
        <f>COUNT(FM6:FM165)</f>
        <v>53</v>
      </c>
      <c r="FN4" s="28">
        <f>COUNT(FN6:FN165)</f>
        <v>52</v>
      </c>
      <c r="FO4" s="28">
        <f>COUNT(FO6:FO165)</f>
        <v>51</v>
      </c>
      <c r="FP4" s="28">
        <f>COUNT(FP6:FP165)</f>
        <v>50</v>
      </c>
      <c r="FQ4" s="28">
        <f>COUNT(FQ6:FQ165)</f>
        <v>49</v>
      </c>
      <c r="FR4" s="28">
        <f>COUNT(FR6:FR165)</f>
        <v>48</v>
      </c>
      <c r="FS4" s="28">
        <f>COUNT(FS6:FS165)</f>
        <v>47</v>
      </c>
      <c r="FT4" s="28">
        <f>COUNT(FT6:FT165)</f>
        <v>46</v>
      </c>
      <c r="FU4" s="28">
        <f>COUNT(FU6:FU165)</f>
        <v>45</v>
      </c>
      <c r="FV4" s="28">
        <f>COUNT(FV6:FV165)</f>
        <v>44</v>
      </c>
      <c r="FW4" s="28">
        <f>COUNT(FW6:FW165)</f>
        <v>43</v>
      </c>
      <c r="FX4" s="28">
        <f>COUNT(FX6:FX165)</f>
        <v>42</v>
      </c>
      <c r="FY4" s="28">
        <f>COUNT(FY6:FY165)</f>
        <v>41</v>
      </c>
      <c r="FZ4" s="28">
        <f>COUNT(FZ6:FZ165)</f>
        <v>40</v>
      </c>
      <c r="GA4" s="28">
        <f>COUNT(GA6:GA165)</f>
        <v>39</v>
      </c>
      <c r="GB4" s="28">
        <f>COUNT(GB6:GB165)</f>
        <v>38</v>
      </c>
      <c r="GC4" s="28">
        <f>COUNT(GC6:GC165)</f>
        <v>37</v>
      </c>
      <c r="GD4" s="28">
        <f>COUNT(GD6:GD165)</f>
        <v>36</v>
      </c>
      <c r="GE4" s="28">
        <f>COUNT(GE6:GE165)</f>
        <v>35</v>
      </c>
      <c r="GF4" s="28">
        <f>COUNT(GF6:GF165)</f>
        <v>34</v>
      </c>
      <c r="GG4" s="28">
        <f>COUNT(GG6:GG165)</f>
        <v>33</v>
      </c>
      <c r="GH4" s="28">
        <f>COUNT(GH6:GH165)</f>
        <v>32</v>
      </c>
      <c r="GI4" s="28">
        <f>COUNT(GI6:GI165)</f>
        <v>31</v>
      </c>
      <c r="GJ4" s="28">
        <f>COUNT(GJ6:GJ165)</f>
        <v>30</v>
      </c>
      <c r="GK4" s="28">
        <f>COUNT(GK6:GK165)</f>
        <v>29</v>
      </c>
      <c r="GL4" s="28">
        <f>COUNT(GL6:GL165)</f>
        <v>28</v>
      </c>
      <c r="GM4" s="28">
        <f>COUNT(GM6:GM165)</f>
        <v>27</v>
      </c>
      <c r="GN4" s="28">
        <f>COUNT(GN6:GN165)</f>
        <v>26</v>
      </c>
      <c r="GO4" s="28">
        <f>COUNT(GO6:GO165)</f>
        <v>25</v>
      </c>
      <c r="GP4" s="28">
        <f>COUNT(GP6:GP165)</f>
        <v>24</v>
      </c>
      <c r="GQ4" s="28">
        <f>COUNT(GQ6:GQ165)</f>
        <v>23</v>
      </c>
      <c r="GR4" s="28">
        <f>COUNT(GR6:GR165)</f>
        <v>22</v>
      </c>
      <c r="GS4" s="28">
        <f>COUNT(GS6:GS165)</f>
        <v>21</v>
      </c>
      <c r="GT4" s="28">
        <f>COUNT(GT6:GT165)</f>
        <v>20</v>
      </c>
      <c r="GU4" s="28">
        <f>COUNT(GU6:GU165)</f>
        <v>19</v>
      </c>
      <c r="GV4" s="28">
        <f>COUNT(GV6:GV165)</f>
        <v>18</v>
      </c>
      <c r="GW4" s="28">
        <f>COUNT(GW6:GW165)</f>
        <v>17</v>
      </c>
      <c r="GX4" s="28">
        <f>COUNT(GX6:GX165)</f>
        <v>16</v>
      </c>
      <c r="GY4" s="28">
        <f>COUNT(GY6:GY165)</f>
        <v>15</v>
      </c>
      <c r="GZ4" s="28">
        <f>COUNT(GZ6:GZ165)</f>
        <v>14</v>
      </c>
      <c r="HA4" s="28">
        <f>COUNT(HA6:HA165)</f>
        <v>13</v>
      </c>
      <c r="HB4" s="28">
        <f>COUNT(HB6:HB165)</f>
        <v>13</v>
      </c>
      <c r="HC4" s="28">
        <f>COUNT(HC6:HC165)</f>
        <v>13</v>
      </c>
      <c r="HD4" s="28">
        <f>COUNT(HD6:HD165)</f>
        <v>13</v>
      </c>
      <c r="HE4" s="28">
        <f>COUNT(HE6:HE165)</f>
        <v>13</v>
      </c>
      <c r="HF4" s="28">
        <f>COUNT(HF6:HF165)</f>
        <v>12</v>
      </c>
      <c r="HG4" s="28">
        <f>COUNT(HG6:HG165)</f>
        <v>12</v>
      </c>
      <c r="HH4" s="28">
        <f>COUNT(HH6:HH165)</f>
        <v>12</v>
      </c>
      <c r="HI4" s="28">
        <f>COUNT(HI6:HI165)</f>
        <v>12</v>
      </c>
      <c r="HJ4" s="28">
        <f>COUNT(HJ6:HJ165)</f>
        <v>12</v>
      </c>
      <c r="HK4" s="28">
        <f>COUNT(HK6:HK165)</f>
        <v>11</v>
      </c>
      <c r="HL4" s="28">
        <f>COUNT(HL6:HL165)</f>
        <v>11</v>
      </c>
      <c r="HM4" s="28">
        <f>COUNT(HM6:HM165)</f>
        <v>11</v>
      </c>
      <c r="HN4" s="28">
        <f>COUNT(HN6:HN165)</f>
        <v>11</v>
      </c>
      <c r="HO4" s="28">
        <f>COUNT(HO6:HO165)</f>
        <v>11</v>
      </c>
      <c r="HP4" s="28">
        <f>COUNT(HP6:HP165)</f>
        <v>10</v>
      </c>
      <c r="HQ4" s="28">
        <f>COUNT(HQ6:HQ165)</f>
        <v>10</v>
      </c>
      <c r="HR4" s="28">
        <f>COUNT(HR6:HR165)</f>
        <v>10</v>
      </c>
      <c r="HS4" s="28">
        <f>COUNT(HS6:HS165)</f>
        <v>10</v>
      </c>
      <c r="HT4" s="28">
        <f>COUNT(HT6:HT165)</f>
        <v>10</v>
      </c>
      <c r="HU4" s="28">
        <f>COUNT(HU6:HU165)</f>
        <v>9</v>
      </c>
      <c r="HV4" s="28">
        <f>COUNT(HV6:HV165)</f>
        <v>9</v>
      </c>
      <c r="HW4" s="28">
        <f>COUNT(HW6:HW165)</f>
        <v>9</v>
      </c>
      <c r="HX4" s="28">
        <f>COUNT(HX6:HX165)</f>
        <v>9</v>
      </c>
      <c r="HY4" s="28">
        <f>COUNT(HY6:HY165)</f>
        <v>9</v>
      </c>
      <c r="HZ4" s="28">
        <f>COUNT(HZ6:HZ165)</f>
        <v>8</v>
      </c>
      <c r="IA4" s="28">
        <f>COUNT(IA6:IA165)</f>
        <v>8</v>
      </c>
      <c r="IB4" s="28">
        <f>COUNT(IB6:IB165)</f>
        <v>8</v>
      </c>
      <c r="IC4" s="28">
        <f>COUNT(IC6:IC165)</f>
        <v>8</v>
      </c>
      <c r="ID4" s="28">
        <f>COUNT(ID6:ID165)</f>
        <v>8</v>
      </c>
      <c r="IE4" s="28">
        <f>COUNT(IE6:IE165)</f>
        <v>7</v>
      </c>
      <c r="IF4" s="28">
        <f>COUNT(IF6:IF165)</f>
        <v>7</v>
      </c>
      <c r="IG4" s="28">
        <f>COUNT(IG6:IG165)</f>
        <v>7</v>
      </c>
      <c r="IH4" s="28">
        <f>COUNT(IH6:IH165)</f>
        <v>7</v>
      </c>
      <c r="II4" s="28">
        <f>COUNT(II6:II165)</f>
        <v>7</v>
      </c>
      <c r="IJ4" s="28">
        <f>COUNT(IJ6:IJ165)</f>
        <v>6</v>
      </c>
      <c r="IK4" s="28">
        <f>COUNT(IK6:IK165)</f>
        <v>6</v>
      </c>
      <c r="IL4" s="28">
        <f>COUNT(IL6:IL165)</f>
        <v>6</v>
      </c>
      <c r="IM4" s="28">
        <f>COUNT(IM6:IM165)</f>
        <v>6</v>
      </c>
      <c r="IN4" s="28">
        <f>COUNT(IN6:IN165)</f>
        <v>6</v>
      </c>
      <c r="IO4" s="28">
        <f>COUNT(IO6:IO165)</f>
        <v>5</v>
      </c>
      <c r="IP4" s="28">
        <f>COUNT(IP6:IP165)</f>
        <v>5</v>
      </c>
      <c r="IQ4" s="28">
        <f>COUNT(IQ6:IQ165)</f>
        <v>5</v>
      </c>
      <c r="IR4" s="28">
        <f>COUNT(IR6:IR165)</f>
        <v>5</v>
      </c>
      <c r="IS4" s="28">
        <f>COUNT(IS6:IS165)</f>
        <v>5</v>
      </c>
      <c r="IT4" s="28">
        <f>COUNT(IT6:IT165)</f>
        <v>4</v>
      </c>
      <c r="IU4" s="28">
        <f>COUNT(IU6:IU165)</f>
        <v>4</v>
      </c>
      <c r="IV4" s="28">
        <f>COUNT(IV6:IV165)</f>
        <v>4</v>
      </c>
      <c r="IW4" s="28">
        <f>COUNT(IW6:IW165)</f>
        <v>4</v>
      </c>
      <c r="IX4" s="28">
        <f>COUNT(IX6:IX165)</f>
        <v>4</v>
      </c>
      <c r="IY4" s="28">
        <f>COUNT(IY6:IY165)</f>
        <v>3</v>
      </c>
      <c r="IZ4" s="28">
        <f>COUNT(IZ6:IZ165)</f>
        <v>3</v>
      </c>
      <c r="JA4" s="28">
        <f>COUNT(JA6:JA165)</f>
        <v>3</v>
      </c>
      <c r="JB4" s="28">
        <f>COUNT(JB6:JB165)</f>
        <v>3</v>
      </c>
      <c r="JC4" s="28">
        <f>COUNT(JC6:JC165)</f>
        <v>3</v>
      </c>
      <c r="JD4" s="28">
        <f>COUNT(JD6:JD165)</f>
        <v>2</v>
      </c>
      <c r="JE4" s="28">
        <f>COUNT(JE6:JE165)</f>
        <v>2</v>
      </c>
      <c r="JF4" s="28">
        <f>COUNT(JF6:JF165)</f>
        <v>2</v>
      </c>
      <c r="JG4" s="28">
        <f>COUNT(JG6:JG165)</f>
        <v>2</v>
      </c>
      <c r="JH4" s="28">
        <f>COUNT(JH6:JH165)</f>
        <v>2</v>
      </c>
      <c r="JI4" s="28">
        <f>COUNT(JI6:JI165)</f>
        <v>1</v>
      </c>
      <c r="JJ4" s="28">
        <f>COUNT(JJ6:JJ165)</f>
        <v>1</v>
      </c>
      <c r="JK4" s="28">
        <f>COUNT(JK6:JK165)</f>
        <v>1</v>
      </c>
      <c r="JL4" s="28">
        <f>COUNT(JL6:JL165)</f>
        <v>1</v>
      </c>
      <c r="JM4" s="28">
        <f>COUNT(JM6:JM165)</f>
        <v>1</v>
      </c>
    </row>
    <row r="5" spans="1:273" x14ac:dyDescent="0.25">
      <c r="A5" s="3" t="s">
        <v>6118</v>
      </c>
      <c r="B5" s="3"/>
      <c r="C5" s="31">
        <f>IF(C4&lt;8,"",(C3-C4/2)/SQRT(C4/4))</f>
        <v>-0.54882129994845175</v>
      </c>
      <c r="D5" s="31">
        <f>IF(D4&lt;8,"",(D3-D4/2)/SQRT(D4/4))</f>
        <v>-0.44172610429938614</v>
      </c>
      <c r="E5" s="31">
        <f>IF(E4&lt;8,"",(E3-E4/2)/SQRT(E4/4))</f>
        <v>1.8888888888888888</v>
      </c>
      <c r="F5" s="31">
        <f>IF(F4&lt;8,"",(F3-F4/2)/SQRT(F4/4))</f>
        <v>-0.89442719099991586</v>
      </c>
      <c r="G5" s="31">
        <f>IF(G4&lt;8,"",(G3-G4/2)/SQRT(G4/4))</f>
        <v>-0.33752637027780719</v>
      </c>
      <c r="H5" s="31">
        <f>IF(H4&lt;8,"",(H3-H4/2)/SQRT(H4/4))</f>
        <v>-0.9058216273156765</v>
      </c>
      <c r="I5" s="31">
        <f>IF(I4&lt;8,"",(I3-I4/2)/SQRT(I4/4))</f>
        <v>0.34188172937891381</v>
      </c>
      <c r="J5" s="31">
        <f>IF(J4&lt;8,"",(J3-J4/2)/SQRT(J4/4))</f>
        <v>-0.68824720161168518</v>
      </c>
      <c r="K5" s="31">
        <f>IF(K4&lt;8,"",(K3-K4/2)/SQRT(K4/4))</f>
        <v>-0.808290376865476</v>
      </c>
      <c r="L5" s="31">
        <f>IF(L4&lt;8,"",(L3-L4/2)/SQRT(L4/4))</f>
        <v>-0.92998110995055427</v>
      </c>
      <c r="M5" s="31">
        <f>IF(M4&lt;8,"",(M3-M4/2)/SQRT(M4/4))</f>
        <v>0.58520573598065284</v>
      </c>
      <c r="N5" s="31">
        <f>IF(N4&lt;8,"",(N3-N4/2)/SQRT(N4/4))</f>
        <v>1.1785113019775793</v>
      </c>
      <c r="O5" s="31">
        <f>IF(O4&lt;8,"",(O3-O4/2)/SQRT(O4/4))</f>
        <v>0.35603449745815596</v>
      </c>
      <c r="P5" s="31">
        <f>IF(P4&lt;8,"",(P3-P4/2)/SQRT(P4/4))</f>
        <v>1.1952286093343936</v>
      </c>
      <c r="Q5" s="31">
        <f>IF(Q4&lt;8,"",(Q3-Q4/2)/SQRT(Q4/4))</f>
        <v>-0.60192926542884595</v>
      </c>
      <c r="R5" s="31">
        <f>IF(R4&lt;8,"",(R3-R4/2)/SQRT(R4/4))</f>
        <v>-1.4552137502179978</v>
      </c>
      <c r="S5" s="31">
        <f>IF(S4&lt;8,"",(S3-S4/2)/SQRT(S4/4))</f>
        <v>-1.3438638879193574</v>
      </c>
      <c r="T5" s="31">
        <f>IF(T4&lt;8,"",(T3-T4/2)/SQRT(T4/4))</f>
        <v>0</v>
      </c>
      <c r="U5" s="31">
        <f>IF(U4&lt;8,"",(U3-U4/2)/SQRT(U4/4))</f>
        <v>0.37210420376762537</v>
      </c>
      <c r="V5" s="31">
        <f>IF(V4&lt;8,"",(V3-V4/2)/SQRT(V4/4))</f>
        <v>-0.5</v>
      </c>
      <c r="W5" s="31">
        <f>IF(W4&lt;8,"",(W3-W4/2)/SQRT(W4/4))</f>
        <v>-0.62994078834871203</v>
      </c>
      <c r="X5" s="31">
        <f>IF(X4&lt;8,"",(X3-X4/2)/SQRT(X4/4))</f>
        <v>-0.76200076200114297</v>
      </c>
      <c r="Y5" s="31">
        <f>IF(Y4&lt;8,"",(Y3-Y4/2)/SQRT(Y4/4))</f>
        <v>1.1523319193960637</v>
      </c>
      <c r="Z5" s="31">
        <f>IF(Z4&lt;8,"",(Z3-Z4/2)/SQRT(Z4/4))</f>
        <v>0.7745966692414834</v>
      </c>
      <c r="AA5" s="31">
        <f>IF(AA4&lt;8,"",(AA3-AA4/2)/SQRT(AA4/4))</f>
        <v>0.13018891098082389</v>
      </c>
      <c r="AB5" s="31">
        <f>IF(AB4&lt;8,"",(AB3-AB4/2)/SQRT(AB4/4))</f>
        <v>1.3130643285972254</v>
      </c>
      <c r="AC5" s="31">
        <f>IF(AC4&lt;8,"",(AC3-AC4/2)/SQRT(AC4/4))</f>
        <v>-0.13245323570650439</v>
      </c>
      <c r="AD5" s="31">
        <f>IF(AD4&lt;8,"",(AD3-AD4/2)/SQRT(AD4/4))</f>
        <v>-0.53452248382484879</v>
      </c>
      <c r="AE5" s="31">
        <f>IF(AE4&lt;8,"",(AE3-AE4/2)/SQRT(AE4/4))</f>
        <v>1.2135597524338357</v>
      </c>
      <c r="AF5" s="31">
        <f>IF(AF4&lt;8,"",(AF3-AF4/2)/SQRT(AF4/4))</f>
        <v>0.81649658092772603</v>
      </c>
      <c r="AG5" s="31">
        <f>IF(AG4&lt;8,"",(AG3-AG4/2)/SQRT(AG4/4))</f>
        <v>-1.5109662034355793</v>
      </c>
      <c r="AH5" s="31">
        <f>IF(AH4&lt;8,"",(AH3-AH4/2)/SQRT(AH4/4))</f>
        <v>1.1094003924504583</v>
      </c>
      <c r="AI5" s="31">
        <f>IF(AI4&lt;8,"",(AI3-AI4/2)/SQRT(AI4/4))</f>
        <v>1.2602520756252087</v>
      </c>
      <c r="AJ5" s="31">
        <f>IF(AJ4&lt;8,"",(AJ3-AJ4/2)/SQRT(AJ4/4))</f>
        <v>0</v>
      </c>
      <c r="AK5" s="31">
        <f>IF(AK4&lt;8,"",(AK3-AK4/2)/SQRT(AK4/4))</f>
        <v>1</v>
      </c>
      <c r="AL5" s="31">
        <f>IF(AL4&lt;8,"",(AL3-AL4/2)/SQRT(AL4/4))</f>
        <v>-1.4433756729740645</v>
      </c>
      <c r="AM5" s="31">
        <f>IF(AM4&lt;8,"",(AM3-AM4/2)/SQRT(AM4/4))</f>
        <v>-0.72932495748947279</v>
      </c>
      <c r="AN5" s="31">
        <f>IF(AN4&lt;8,"",(AN3-AN4/2)/SQRT(AN4/4))</f>
        <v>-0.29488391230979427</v>
      </c>
      <c r="AO5" s="31">
        <f>IF(AO4&lt;8,"",(AO3-AO4/2)/SQRT(AO4/4))</f>
        <v>0.14907119849998599</v>
      </c>
      <c r="AP5" s="31">
        <f>IF(AP4&lt;8,"",(AP3-AP4/2)/SQRT(AP4/4))</f>
        <v>-0.30151134457776363</v>
      </c>
      <c r="AQ5" s="31">
        <f>IF(AQ4&lt;8,"",(AQ3-AQ4/2)/SQRT(AQ4/4))</f>
        <v>-1.372487132993442</v>
      </c>
      <c r="AR5" s="31">
        <f>IF(AR4&lt;8,"",(AR3-AR4/2)/SQRT(AR4/4))</f>
        <v>0.92582009977255142</v>
      </c>
      <c r="AS5" s="31">
        <f>IF(AS4&lt;8,"",(AS3-AS4/2)/SQRT(AS4/4))</f>
        <v>2.3426064283290908</v>
      </c>
      <c r="AT5" s="31">
        <f>IF(AT4&lt;8,"",(AT3-AT4/2)/SQRT(AT4/4))</f>
        <v>0.63245553203367588</v>
      </c>
      <c r="AU5" s="31">
        <f>IF(AU4&lt;8,"",(AU3-AU4/2)/SQRT(AU4/4))</f>
        <v>-0.16012815380508713</v>
      </c>
      <c r="AV5" s="31">
        <f>IF(AV4&lt;8,"",(AV3-AV4/2)/SQRT(AV4/4))</f>
        <v>0.97332852678457527</v>
      </c>
      <c r="AW5" s="31">
        <f>IF(AW4&lt;8,"",(AW3-AW4/2)/SQRT(AW4/4))</f>
        <v>-0.49319696191607187</v>
      </c>
      <c r="AX5" s="31">
        <f>IF(AX4&lt;8,"",(AX3-AX4/2)/SQRT(AX4/4))</f>
        <v>-0.33333333333333331</v>
      </c>
      <c r="AY5" s="31">
        <f>IF(AY4&lt;8,"",(AY3-AY4/2)/SQRT(AY4/4))</f>
        <v>-0.84515425472851657</v>
      </c>
      <c r="AZ5" s="31">
        <f>IF(AZ4&lt;8,"",(AZ3-AZ4/2)/SQRT(AZ4/4))</f>
        <v>0</v>
      </c>
      <c r="BA5" s="31">
        <f>IF(BA4&lt;8,"",(BA3-BA4/2)/SQRT(BA4/4))</f>
        <v>0.8703882797784892</v>
      </c>
      <c r="BB5" s="31">
        <f>IF(BB4&lt;8,"",(BB3-BB4/2)/SQRT(BB4/4))</f>
        <v>0</v>
      </c>
      <c r="BC5" s="31">
        <f>IF(BC4&lt;8,"",(BC3-BC4/2)/SQRT(BC4/4))</f>
        <v>-0.5388159060803247</v>
      </c>
      <c r="BD5" s="31">
        <f>IF(BD4&lt;8,"",(BD3-BD4/2)/SQRT(BD4/4))</f>
        <v>0.36514837167011072</v>
      </c>
      <c r="BE5" s="31">
        <f>IF(BE4&lt;8,"",(BE3-BE4/2)/SQRT(BE4/4))</f>
        <v>-0.55708601453115558</v>
      </c>
      <c r="BF5" s="31">
        <f>IF(BF4&lt;8,"",(BF3-BF4/2)/SQRT(BF4/4))</f>
        <v>0.7559289460184544</v>
      </c>
      <c r="BG5" s="31">
        <f>IF(BG4&lt;8,"",(BG3-BG4/2)/SQRT(BG4/4))</f>
        <v>0.96225044864937626</v>
      </c>
      <c r="BH5" s="31">
        <f>IF(BH4&lt;8,"",(BH3-BH4/2)/SQRT(BH4/4))</f>
        <v>0.78446454055273618</v>
      </c>
      <c r="BI5" s="31">
        <f>IF(BI4&lt;8,"",(BI3-BI4/2)/SQRT(BI4/4))</f>
        <v>0.2</v>
      </c>
      <c r="BJ5" s="31">
        <f>IF(BJ4&lt;8,"",(BJ3-BJ4/2)/SQRT(BJ4/4))</f>
        <v>1.2247448713915892</v>
      </c>
      <c r="BK5" s="31">
        <f>IF(BK4&lt;8,"",(BK3-BK4/2)/SQRT(BK4/4))</f>
        <v>0.20851441405707477</v>
      </c>
      <c r="BL5" s="31">
        <f>IF(BL4&lt;8,"",(BL3-BL4/2)/SQRT(BL4/4))</f>
        <v>-0.42640143271122083</v>
      </c>
      <c r="BM5" s="31">
        <f>IF(BM4&lt;8,"",(BM3-BM4/2)/SQRT(BM4/4))</f>
        <v>-0.21821789023599239</v>
      </c>
      <c r="BN5" s="31">
        <f>IF(BN4&lt;8,"",(BN3-BN4/2)/SQRT(BN4/4))</f>
        <v>0.44721359549995793</v>
      </c>
      <c r="BO5" s="31">
        <f>IF(BO4&lt;8,"",(BO3-BO4/2)/SQRT(BO4/4))</f>
        <v>0.22941573387056174</v>
      </c>
      <c r="BP5" s="31">
        <f>IF(BP4&lt;8,"",(BP3-BP4/2)/SQRT(BP4/4))</f>
        <v>0.94280904158206347</v>
      </c>
      <c r="BQ5" s="31">
        <f>IF(BQ4&lt;8,"",(BQ3-BQ4/2)/SQRT(BQ4/4))</f>
        <v>0.72760687510899891</v>
      </c>
      <c r="BR5" s="31">
        <f>IF(BR4&lt;8,"",(BR3-BR4/2)/SQRT(BR4/4))</f>
        <v>1</v>
      </c>
      <c r="BS5" s="31">
        <f>IF(BS4&lt;8,"",(BS3-BS4/2)/SQRT(BS4/4))</f>
        <v>0.7745966692414834</v>
      </c>
      <c r="BT5" s="31">
        <f>IF(BT4&lt;8,"",(BT3-BT4/2)/SQRT(BT4/4))</f>
        <v>-1.0690449676496976</v>
      </c>
      <c r="BU5" s="31">
        <f>IF(BU4&lt;8,"",(BU3-BU4/2)/SQRT(BU4/4))</f>
        <v>0.27735009811261457</v>
      </c>
      <c r="BV5" s="31">
        <f>IF(BV4&lt;8,"",(BV3-BV4/2)/SQRT(BV4/4))</f>
        <v>-1.386750490563073</v>
      </c>
      <c r="BW5" s="31">
        <f>IF(BW4&lt;8,"",(BW3-BW4/2)/SQRT(BW4/4))</f>
        <v>-0.27735009811261457</v>
      </c>
      <c r="BX5" s="31">
        <f>IF(BX4&lt;8,"",(BX3-BX4/2)/SQRT(BX4/4))</f>
        <v>-1.9414506867883021</v>
      </c>
      <c r="BY5" s="31">
        <f>IF(BY4&lt;8,"",(BY3-BY4/2)/SQRT(BY4/4))</f>
        <v>-1.386750490563073</v>
      </c>
      <c r="BZ5" s="31">
        <f>IF(BZ4&lt;8,"",(BZ3-BZ4/2)/SQRT(BZ4/4))</f>
        <v>0</v>
      </c>
      <c r="CA5" s="31">
        <f>IF(CA4&lt;8,"",(CA3-CA4/2)/SQRT(CA4/4))</f>
        <v>-1.7320508075688774</v>
      </c>
      <c r="CB5" s="31">
        <f>IF(CB4&lt;8,"",(CB3-CB4/2)/SQRT(CB4/4))</f>
        <v>-0.57735026918962584</v>
      </c>
      <c r="CC5" s="31">
        <f>IF(CC4&lt;8,"",(CC3-CC4/2)/SQRT(CC4/4))</f>
        <v>1.1547005383792517</v>
      </c>
      <c r="CD5" s="31">
        <f>IF(CD4&lt;8,"",(CD3-CD4/2)/SQRT(CD4/4))</f>
        <v>-1.1547005383792517</v>
      </c>
      <c r="CE5" s="31">
        <f>IF(CE4&lt;8,"",(CE3-CE4/2)/SQRT(CE4/4))</f>
        <v>0.30151134457776363</v>
      </c>
      <c r="CF5" s="31">
        <f>IF(CF4&lt;8,"",(CF3-CF4/2)/SQRT(CF4/4))</f>
        <v>-0.30151134457776363</v>
      </c>
      <c r="CG5" s="31">
        <f>IF(CG4&lt;8,"",(CG3-CG4/2)/SQRT(CG4/4))</f>
        <v>-0.30151134457776363</v>
      </c>
      <c r="CH5" s="31">
        <f>IF(CH4&lt;8,"",(CH3-CH4/2)/SQRT(CH4/4))</f>
        <v>0.90453403373329089</v>
      </c>
      <c r="CI5" s="31">
        <f>IF(CI4&lt;8,"",(CI3-CI4/2)/SQRT(CI4/4))</f>
        <v>1.507556722888818</v>
      </c>
      <c r="CJ5" s="31">
        <f>IF(CJ4&lt;8,"",(CJ3-CJ4/2)/SQRT(CJ4/4))</f>
        <v>0.63245553203367588</v>
      </c>
      <c r="CK5" s="31">
        <f>IF(CK4&lt;8,"",(CK3-CK4/2)/SQRT(CK4/4))</f>
        <v>1.8973665961010275</v>
      </c>
      <c r="CL5" s="31">
        <f>IF(CL4&lt;8,"",(CL3-CL4/2)/SQRT(CL4/4))</f>
        <v>-0.63245553203367588</v>
      </c>
      <c r="CM5" s="31">
        <f>IF(CM4&lt;8,"",(CM3-CM4/2)/SQRT(CM4/4))</f>
        <v>1.2649110640673518</v>
      </c>
      <c r="CN5" s="31">
        <f>IF(CN4&lt;8,"",(CN3-CN4/2)/SQRT(CN4/4))</f>
        <v>1.2649110640673518</v>
      </c>
      <c r="CO5" s="31">
        <f>IF(CO4&lt;8,"",(CO3-CO4/2)/SQRT(CO4/4))</f>
        <v>0.33333333333333331</v>
      </c>
      <c r="CP5" s="31">
        <f>IF(CP4&lt;8,"",(CP3-CP4/2)/SQRT(CP4/4))</f>
        <v>-3</v>
      </c>
      <c r="CQ5" s="31">
        <f>IF(CQ4&lt;8,"",(CQ3-CQ4/2)/SQRT(CQ4/4))</f>
        <v>2.3333333333333335</v>
      </c>
      <c r="CR5" s="31">
        <f>IF(CR4&lt;8,"",(CR3-CR4/2)/SQRT(CR4/4))</f>
        <v>-1.6666666666666667</v>
      </c>
      <c r="CS5" s="31">
        <f>IF(CS4&lt;8,"",(CS3-CS4/2)/SQRT(CS4/4))</f>
        <v>0.33333333333333331</v>
      </c>
      <c r="CT5" s="31">
        <f>IF(CT4&lt;8,"",(CT3-CT4/2)/SQRT(CT4/4))</f>
        <v>0</v>
      </c>
      <c r="CU5" s="31">
        <f>IF(CU4&lt;8,"",(CU3-CU4/2)/SQRT(CU4/4))</f>
        <v>-0.70710678118654746</v>
      </c>
      <c r="CV5" s="31">
        <f>IF(CV4&lt;8,"",(CV3-CV4/2)/SQRT(CV4/4))</f>
        <v>0</v>
      </c>
      <c r="CW5" s="31">
        <f>IF(CW4&lt;8,"",(CW3-CW4/2)/SQRT(CW4/4))</f>
        <v>-1.4142135623730949</v>
      </c>
      <c r="CX5" s="31">
        <f>IF(CX4&lt;8,"",(CX3-CX4/2)/SQRT(CX4/4))</f>
        <v>0.70710678118654746</v>
      </c>
      <c r="CY5" s="31" t="str">
        <f>IF(CY4&lt;8,"",(CY3-CY4/2)/SQRT(CY4/4))</f>
        <v/>
      </c>
      <c r="CZ5" s="31" t="str">
        <f>IF(CZ4&lt;8,"",(CZ3-CZ4/2)/SQRT(CZ4/4))</f>
        <v/>
      </c>
      <c r="DA5" s="31" t="str">
        <f>IF(DA4&lt;8,"",(DA3-DA4/2)/SQRT(DA4/4))</f>
        <v/>
      </c>
      <c r="DB5" s="31" t="str">
        <f>IF(DB4&lt;8,"",(DB3-DB4/2)/SQRT(DB4/4))</f>
        <v/>
      </c>
      <c r="DC5" s="31" t="str">
        <f>IF(DC4&lt;8,"",(DC3-DC4/2)/SQRT(DC4/4))</f>
        <v/>
      </c>
      <c r="DD5" s="31" t="str">
        <f>IF(DD4&lt;8,"",(DD3-DD4/2)/SQRT(DD4/4))</f>
        <v/>
      </c>
      <c r="DE5" s="31" t="str">
        <f>IF(DE4&lt;8,"",(DE3-DE4/2)/SQRT(DE4/4))</f>
        <v/>
      </c>
      <c r="DF5" s="31" t="str">
        <f>IF(DF4&lt;8,"",(DF3-DF4/2)/SQRT(DF4/4))</f>
        <v/>
      </c>
      <c r="DG5" s="31" t="str">
        <f>IF(DG4&lt;8,"",(DG3-DG4/2)/SQRT(DG4/4))</f>
        <v/>
      </c>
      <c r="DH5" s="31" t="str">
        <f>IF(DH4&lt;8,"",(DH3-DH4/2)/SQRT(DH4/4))</f>
        <v/>
      </c>
      <c r="DI5" s="31" t="str">
        <f>IF(DI4&lt;8,"",(DI3-DI4/2)/SQRT(DI4/4))</f>
        <v/>
      </c>
      <c r="DJ5" s="31" t="str">
        <f>IF(DJ4&lt;8,"",(DJ3-DJ4/2)/SQRT(DJ4/4))</f>
        <v/>
      </c>
      <c r="DK5" s="31" t="str">
        <f>IF(DK4&lt;8,"",(DK3-DK4/2)/SQRT(DK4/4))</f>
        <v/>
      </c>
      <c r="DL5" s="31" t="str">
        <f>IF(DL4&lt;8,"",(DL3-DL4/2)/SQRT(DL4/4))</f>
        <v/>
      </c>
      <c r="DM5" s="31" t="str">
        <f>IF(DM4&lt;8,"",(DM3-DM4/2)/SQRT(DM4/4))</f>
        <v/>
      </c>
      <c r="DN5" s="31" t="str">
        <f>IF(DN4&lt;8,"",(DN3-DN4/2)/SQRT(DN4/4))</f>
        <v/>
      </c>
      <c r="DO5" s="31" t="str">
        <f>IF(DO4&lt;8,"",(DO3-DO4/2)/SQRT(DO4/4))</f>
        <v/>
      </c>
      <c r="DP5" s="31" t="str">
        <f>IF(DP4&lt;8,"",(DP3-DP4/2)/SQRT(DP4/4))</f>
        <v/>
      </c>
      <c r="DQ5" s="31" t="str">
        <f>IF(DQ4&lt;8,"",(DQ3-DQ4/2)/SQRT(DQ4/4))</f>
        <v/>
      </c>
      <c r="DR5" s="31" t="str">
        <f>IF(DR4&lt;8,"",(DR3-DR4/2)/SQRT(DR4/4))</f>
        <v/>
      </c>
      <c r="DS5" s="31" t="str">
        <f>IF(DS4&lt;8,"",(DS3-DS4/2)/SQRT(DS4/4))</f>
        <v/>
      </c>
      <c r="DT5" s="31" t="str">
        <f>IF(DT4&lt;8,"",(DT3-DT4/2)/SQRT(DT4/4))</f>
        <v/>
      </c>
      <c r="DU5" s="31" t="str">
        <f>IF(DU4&lt;8,"",(DU3-DU4/2)/SQRT(DU4/4))</f>
        <v/>
      </c>
      <c r="DV5" s="31" t="str">
        <f>IF(DV4&lt;8,"",(DV3-DV4/2)/SQRT(DV4/4))</f>
        <v/>
      </c>
      <c r="DW5" s="31" t="str">
        <f>IF(DW4&lt;8,"",(DW3-DW4/2)/SQRT(DW4/4))</f>
        <v/>
      </c>
      <c r="DX5" s="31" t="str">
        <f>IF(DX4&lt;8,"",(DX3-DX4/2)/SQRT(DX4/4))</f>
        <v/>
      </c>
      <c r="DY5" s="31" t="str">
        <f>IF(DY4&lt;8,"",(DY3-DY4/2)/SQRT(DY4/4))</f>
        <v/>
      </c>
      <c r="DZ5" s="31" t="str">
        <f>IF(DZ4&lt;8,"",(DZ3-DZ4/2)/SQRT(DZ4/4))</f>
        <v/>
      </c>
      <c r="EA5" s="31" t="str">
        <f>IF(EA4&lt;8,"",(EA3-EA4/2)/SQRT(EA4/4))</f>
        <v/>
      </c>
      <c r="EB5" s="31" t="str">
        <f>IF(EB4&lt;8,"",(EB3-EB4/2)/SQRT(EB4/4))</f>
        <v/>
      </c>
      <c r="EC5" s="31" t="str">
        <f>IF(EC4&lt;8,"",(EC3-EC4/2)/SQRT(EC4/4))</f>
        <v/>
      </c>
      <c r="ED5" s="31" t="str">
        <f>IF(ED4&lt;8,"",(ED3-ED4/2)/SQRT(ED4/4))</f>
        <v/>
      </c>
      <c r="EE5" s="31" t="str">
        <f>IF(EE4&lt;8,"",(EE3-EE4/2)/SQRT(EE4/4))</f>
        <v/>
      </c>
      <c r="EF5" s="31" t="str">
        <f>IF(EF4&lt;8,"",(EF3-EF4/2)/SQRT(EF4/4))</f>
        <v/>
      </c>
      <c r="EG5" s="31" t="str">
        <f>IF(EG4&lt;8,"",(EG3-EG4/2)/SQRT(EG4/4))</f>
        <v/>
      </c>
      <c r="EH5" s="31"/>
      <c r="EI5" s="31">
        <f>IF(EI4&lt;8,"",(EI3-EI4/2)/SQRT(EI4/4))</f>
        <v>9.1104335791442992</v>
      </c>
      <c r="EJ5" s="31">
        <f>IF(EJ4&lt;8,"",(EJ3-EJ4/2)/SQRT(EJ4/4))</f>
        <v>0.22086305214969307</v>
      </c>
      <c r="EK5" s="31">
        <f>IF(EK4&lt;8,"",(EK3-EK4/2)/SQRT(EK4/4))</f>
        <v>0.33333333333333331</v>
      </c>
      <c r="EL5" s="31">
        <f>IF(EL4&lt;8,"",(EL3-EL4/2)/SQRT(EL4/4))</f>
        <v>1.1180339887498949</v>
      </c>
      <c r="EM5" s="31">
        <f>IF(EM4&lt;8,"",(EM3-EM4/2)/SQRT(EM4/4))</f>
        <v>0.33752637027780719</v>
      </c>
      <c r="EN5" s="31">
        <f>IF(EN4&lt;8,"",(EN3-EN4/2)/SQRT(EN4/4))</f>
        <v>-1.3587324409735149</v>
      </c>
      <c r="EO5" s="31">
        <f>IF(EO4&lt;8,"",(EO3-EO4/2)/SQRT(EO4/4))</f>
        <v>-1.0256451881367414</v>
      </c>
      <c r="EP5" s="31">
        <f>IF(EP4&lt;8,"",(EP3-EP4/2)/SQRT(EP4/4))</f>
        <v>0.22941573387056174</v>
      </c>
      <c r="EQ5" s="31">
        <f>IF(EQ4&lt;8,"",(EQ3-EQ4/2)/SQRT(EQ4/4))</f>
        <v>1.0392304845413263</v>
      </c>
      <c r="ER5" s="31">
        <f>IF(ER4&lt;8,"",(ER3-ER4/2)/SQRT(ER4/4))</f>
        <v>-3.25493388482694</v>
      </c>
      <c r="ES5" s="31">
        <f>IF(ES4&lt;8,"",(ES3-ES4/2)/SQRT(ES4/4))</f>
        <v>-0.58520573598065284</v>
      </c>
      <c r="ET5" s="31">
        <f>IF(ET4&lt;8,"",(ET3-ET4/2)/SQRT(ET4/4))</f>
        <v>-0.47140452079103173</v>
      </c>
      <c r="EU5" s="31">
        <f>IF(EU4&lt;8,"",(EU3-EU4/2)/SQRT(EU4/4))</f>
        <v>1.0681034923744679</v>
      </c>
      <c r="EV5" s="31">
        <f>IF(EV4&lt;8,"",(EV3-EV4/2)/SQRT(EV4/4))</f>
        <v>0.9561828874675149</v>
      </c>
      <c r="EW5" s="31">
        <f>IF(EW4&lt;8,"",(EW3-EW4/2)/SQRT(EW4/4))</f>
        <v>1.3242443839434612</v>
      </c>
      <c r="EX5" s="31">
        <f>IF(EX4&lt;8,"",(EX3-EX4/2)/SQRT(EX4/4))</f>
        <v>0</v>
      </c>
      <c r="EY5" s="31">
        <f>IF(EY4&lt;8,"",(EY3-EY4/2)/SQRT(EY4/4))</f>
        <v>-1.5882027766319677</v>
      </c>
      <c r="EZ5" s="31">
        <f>IF(EZ4&lt;8,"",(EZ3-EZ4/2)/SQRT(EZ4/4))</f>
        <v>-0.7385489458759964</v>
      </c>
      <c r="FA5" s="31">
        <f>IF(FA4&lt;8,"",(FA3-FA4/2)/SQRT(FA4/4))</f>
        <v>0.12403473458920847</v>
      </c>
      <c r="FB5" s="31">
        <f>IF(FB4&lt;8,"",(FB3-FB4/2)/SQRT(FB4/4))</f>
        <v>0.5</v>
      </c>
      <c r="FC5" s="31">
        <f>IF(FC4&lt;8,"",(FC3-FC4/2)/SQRT(FC4/4))</f>
        <v>-1.1338934190276817</v>
      </c>
      <c r="FD5" s="31">
        <f>IF(FD4&lt;8,"",(FD3-FD4/2)/SQRT(FD4/4))</f>
        <v>1.5240015240022859</v>
      </c>
      <c r="FE5" s="31">
        <f>IF(FE4&lt;8,"",(FE3-FE4/2)/SQRT(FE4/4))</f>
        <v>-0.12803687993289598</v>
      </c>
      <c r="FF5" s="31">
        <f>IF(FF4&lt;8,"",(FF3-FF4/2)/SQRT(FF4/4))</f>
        <v>-1.2909944487358056</v>
      </c>
      <c r="FG5" s="31">
        <f>IF(FG4&lt;8,"",(FG3-FG4/2)/SQRT(FG4/4))</f>
        <v>-1.6924558427507104</v>
      </c>
      <c r="FH5" s="31">
        <f>IF(FH4&lt;8,"",(FH3-FH4/2)/SQRT(FH4/4))</f>
        <v>-0.52522573143889018</v>
      </c>
      <c r="FI5" s="31">
        <f>IF(FI4&lt;8,"",(FI3-FI4/2)/SQRT(FI4/4))</f>
        <v>0.39735970711951313</v>
      </c>
      <c r="FJ5" s="31">
        <f>IF(FJ4&lt;8,"",(FJ3-FJ4/2)/SQRT(FJ4/4))</f>
        <v>-0.53452248382484879</v>
      </c>
      <c r="FK5" s="31">
        <f>IF(FK4&lt;8,"",(FK3-FK4/2)/SQRT(FK4/4))</f>
        <v>-0.67419986246324204</v>
      </c>
      <c r="FL5" s="31">
        <f>IF(FL4&lt;8,"",(FL3-FL4/2)/SQRT(FL4/4))</f>
        <v>-1.3608276348795434</v>
      </c>
      <c r="FM5" s="31">
        <f>IF(FM4&lt;8,"",(FM3-FM4/2)/SQRT(FM4/4))</f>
        <v>2.0604084592303353</v>
      </c>
      <c r="FN5" s="31">
        <f>IF(FN4&lt;8,"",(FN3-FN4/2)/SQRT(FN4/4))</f>
        <v>-1.386750490563073</v>
      </c>
      <c r="FO5" s="31">
        <f>IF(FO4&lt;8,"",(FO3-FO4/2)/SQRT(FO4/4))</f>
        <v>0.98019605881960681</v>
      </c>
      <c r="FP5" s="31">
        <f>IF(FP4&lt;8,"",(FP3-FP4/2)/SQRT(FP4/4))</f>
        <v>0.56568542494923801</v>
      </c>
      <c r="FQ5" s="31">
        <f>IF(FQ4&lt;8,"",(FQ3-FQ4/2)/SQRT(FQ4/4))</f>
        <v>-1.2857142857142858</v>
      </c>
      <c r="FR5" s="31">
        <f>IF(FR4&lt;8,"",(FR3-FR4/2)/SQRT(FR4/4))</f>
        <v>0.28867513459481292</v>
      </c>
      <c r="FS5" s="31">
        <f>IF(FS4&lt;8,"",(FS3-FS4/2)/SQRT(FS4/4))</f>
        <v>-0.14586499149789456</v>
      </c>
      <c r="FT5" s="31">
        <f>IF(FT4&lt;8,"",(FT3-FT4/2)/SQRT(FT4/4))</f>
        <v>-0.88465173692938281</v>
      </c>
      <c r="FU5" s="31">
        <f>IF(FU4&lt;8,"",(FU3-FU4/2)/SQRT(FU4/4))</f>
        <v>-1.3416407864998738</v>
      </c>
      <c r="FV5" s="31">
        <f>IF(FV4&lt;8,"",(FV3-FV4/2)/SQRT(FV4/4))</f>
        <v>0.30151134457776363</v>
      </c>
      <c r="FW5" s="31">
        <f>IF(FW4&lt;8,"",(FW3-FW4/2)/SQRT(FW4/4))</f>
        <v>0.76249285166302339</v>
      </c>
      <c r="FX5" s="31">
        <f>IF(FX4&lt;8,"",(FX3-FX4/2)/SQRT(FX4/4))</f>
        <v>0.92582009977255142</v>
      </c>
      <c r="FY5" s="31">
        <f>IF(FY4&lt;8,"",(FY3-FY4/2)/SQRT(FY4/4))</f>
        <v>0.15617376188860607</v>
      </c>
      <c r="FZ5" s="31">
        <f>IF(FZ4&lt;8,"",(FZ3-FZ4/2)/SQRT(FZ4/4))</f>
        <v>0.31622776601683794</v>
      </c>
      <c r="GA5" s="31">
        <f>IF(GA4&lt;8,"",(GA3-GA4/2)/SQRT(GA4/4))</f>
        <v>-0.80064076902543568</v>
      </c>
      <c r="GB5" s="31">
        <f>IF(GB4&lt;8,"",(GB3-GB4/2)/SQRT(GB4/4))</f>
        <v>0.32444284226152509</v>
      </c>
      <c r="GC5" s="31">
        <f>IF(GC4&lt;8,"",(GC3-GC4/2)/SQRT(GC4/4))</f>
        <v>1.150792911137501</v>
      </c>
      <c r="GD5" s="31">
        <f>IF(GD4&lt;8,"",(GD3-GD4/2)/SQRT(GD4/4))</f>
        <v>1</v>
      </c>
      <c r="GE5" s="31">
        <f>IF(GE4&lt;8,"",(GE3-GE4/2)/SQRT(GE4/4))</f>
        <v>0.50709255283710997</v>
      </c>
      <c r="GF5" s="31">
        <f>IF(GF4&lt;8,"",(GF3-GF4/2)/SQRT(GF4/4))</f>
        <v>-0.68599434057003528</v>
      </c>
      <c r="GG5" s="31">
        <f>IF(GG4&lt;8,"",(GG3-GG4/2)/SQRT(GG4/4))</f>
        <v>-0.8703882797784892</v>
      </c>
      <c r="GH5" s="31">
        <f>IF(GH4&lt;8,"",(GH3-GH4/2)/SQRT(GH4/4))</f>
        <v>-0.35355339059327373</v>
      </c>
      <c r="GI5" s="31">
        <f>IF(GI4&lt;8,"",(GI3-GI4/2)/SQRT(GI4/4))</f>
        <v>1.2572371141874243</v>
      </c>
      <c r="GJ5" s="31">
        <f>IF(GJ4&lt;8,"",(GJ3-GJ4/2)/SQRT(GJ4/4))</f>
        <v>-1.4605934866804429</v>
      </c>
      <c r="GK5" s="31">
        <f>IF(GK4&lt;8,"",(GK3-GK4/2)/SQRT(GK4/4))</f>
        <v>-0.18569533817705186</v>
      </c>
      <c r="GL5" s="31">
        <f>IF(GL4&lt;8,"",(GL3-GL4/2)/SQRT(GL4/4))</f>
        <v>-0.3779644730092272</v>
      </c>
      <c r="GM5" s="31">
        <f>IF(GM4&lt;8,"",(GM3-GM4/2)/SQRT(GM4/4))</f>
        <v>-0.57735026918962573</v>
      </c>
      <c r="GN5" s="31">
        <f>IF(GN4&lt;8,"",(GN3-GN4/2)/SQRT(GN4/4))</f>
        <v>1.5689290811054724</v>
      </c>
      <c r="GO5" s="31">
        <f>IF(GO4&lt;8,"",(GO3-GO4/2)/SQRT(GO4/4))</f>
        <v>0.6</v>
      </c>
      <c r="GP5" s="31">
        <f>IF(GP4&lt;8,"",(GP3-GP4/2)/SQRT(GP4/4))</f>
        <v>1.6329931618554523</v>
      </c>
      <c r="GQ5" s="31">
        <f>IF(GQ4&lt;8,"",(GQ3-GQ4/2)/SQRT(GQ4/4))</f>
        <v>-1.0425720702853738</v>
      </c>
      <c r="GR5" s="31">
        <f>IF(GR4&lt;8,"",(GR3-GR4/2)/SQRT(GR4/4))</f>
        <v>-1.7056057308448833</v>
      </c>
      <c r="GS5" s="31">
        <f>IF(GS4&lt;8,"",(GS3-GS4/2)/SQRT(GS4/4))</f>
        <v>-0.21821789023599239</v>
      </c>
      <c r="GT5" s="31">
        <f>IF(GT4&lt;8,"",(GT3-GT4/2)/SQRT(GT4/4))</f>
        <v>0.89442719099991586</v>
      </c>
      <c r="GU5" s="31">
        <f>IF(GU4&lt;8,"",(GU3-GU4/2)/SQRT(GU4/4))</f>
        <v>0.22941573387056174</v>
      </c>
      <c r="GV5" s="31">
        <f>IF(GV4&lt;8,"",(GV3-GV4/2)/SQRT(GV4/4))</f>
        <v>1.8856180831641269</v>
      </c>
      <c r="GW5" s="31">
        <f>IF(GW4&lt;8,"",(GW3-GW4/2)/SQRT(GW4/4))</f>
        <v>-1.6977493752543309</v>
      </c>
      <c r="GX5" s="31">
        <f>IF(GX4&lt;8,"",(GX3-GX4/2)/SQRT(GX4/4))</f>
        <v>-1.5</v>
      </c>
      <c r="GY5" s="31">
        <f>IF(GY4&lt;8,"",(GY3-GY4/2)/SQRT(GY4/4))</f>
        <v>-1.8073922282301278</v>
      </c>
      <c r="GZ5" s="31">
        <f>IF(GZ4&lt;8,"",(GZ3-GZ4/2)/SQRT(GZ4/4))</f>
        <v>0</v>
      </c>
      <c r="HA5" s="31">
        <f>IF(HA4&lt;8,"",(HA3-HA4/2)/SQRT(HA4/4))</f>
        <v>-0.27735009811261457</v>
      </c>
      <c r="HB5" s="31">
        <f>IF(HB4&lt;8,"",(HB3-HB4/2)/SQRT(HB4/4))</f>
        <v>0.83205029433784372</v>
      </c>
      <c r="HC5" s="31">
        <f>IF(HC4&lt;8,"",(HC3-HC4/2)/SQRT(HC4/4))</f>
        <v>1.9414506867883021</v>
      </c>
      <c r="HD5" s="31">
        <f>IF(HD4&lt;8,"",(HD3-HD4/2)/SQRT(HD4/4))</f>
        <v>-0.83205029433784372</v>
      </c>
      <c r="HE5" s="31">
        <f>IF(HE4&lt;8,"",(HE3-HE4/2)/SQRT(HE4/4))</f>
        <v>1.386750490563073</v>
      </c>
      <c r="HF5" s="31">
        <f>IF(HF4&lt;8,"",(HF3-HF4/2)/SQRT(HF4/4))</f>
        <v>-1.1547005383792517</v>
      </c>
      <c r="HG5" s="31">
        <f>IF(HG4&lt;8,"",(HG3-HG4/2)/SQRT(HG4/4))</f>
        <v>0</v>
      </c>
      <c r="HH5" s="31">
        <f>IF(HH4&lt;8,"",(HH3-HH4/2)/SQRT(HH4/4))</f>
        <v>-1.1547005383792517</v>
      </c>
      <c r="HI5" s="31">
        <f>IF(HI4&lt;8,"",(HI3-HI4/2)/SQRT(HI4/4))</f>
        <v>-1.1547005383792517</v>
      </c>
      <c r="HJ5" s="31">
        <f>IF(HJ4&lt;8,"",(HJ3-HJ4/2)/SQRT(HJ4/4))</f>
        <v>1.1547005383792517</v>
      </c>
      <c r="HK5" s="31">
        <f>IF(HK4&lt;8,"",(HK3-HK4/2)/SQRT(HK4/4))</f>
        <v>-1.507556722888818</v>
      </c>
      <c r="HL5" s="31">
        <f>IF(HL4&lt;8,"",(HL3-HL4/2)/SQRT(HL4/4))</f>
        <v>0.30151134457776363</v>
      </c>
      <c r="HM5" s="31">
        <f>IF(HM4&lt;8,"",(HM3-HM4/2)/SQRT(HM4/4))</f>
        <v>0.30151134457776363</v>
      </c>
      <c r="HN5" s="31">
        <f>IF(HN4&lt;8,"",(HN3-HN4/2)/SQRT(HN4/4))</f>
        <v>-0.90453403373329089</v>
      </c>
      <c r="HO5" s="31">
        <f>IF(HO4&lt;8,"",(HO3-HO4/2)/SQRT(HO4/4))</f>
        <v>-0.30151134457776363</v>
      </c>
      <c r="HP5" s="31">
        <f>IF(HP4&lt;8,"",(HP3-HP4/2)/SQRT(HP4/4))</f>
        <v>0</v>
      </c>
      <c r="HQ5" s="31">
        <f>IF(HQ4&lt;8,"",(HQ3-HQ4/2)/SQRT(HQ4/4))</f>
        <v>0.63245553203367588</v>
      </c>
      <c r="HR5" s="31">
        <f>IF(HR4&lt;8,"",(HR3-HR4/2)/SQRT(HR4/4))</f>
        <v>1.8973665961010275</v>
      </c>
      <c r="HS5" s="31">
        <f>IF(HS4&lt;8,"",(HS3-HS4/2)/SQRT(HS4/4))</f>
        <v>0</v>
      </c>
      <c r="HT5" s="31">
        <f>IF(HT4&lt;8,"",(HT3-HT4/2)/SQRT(HT4/4))</f>
        <v>-1.2649110640673518</v>
      </c>
      <c r="HU5" s="31">
        <f>IF(HU4&lt;8,"",(HU3-HU4/2)/SQRT(HU4/4))</f>
        <v>0.33333333333333331</v>
      </c>
      <c r="HV5" s="31">
        <f>IF(HV4&lt;8,"",(HV3-HV4/2)/SQRT(HV4/4))</f>
        <v>0.33333333333333331</v>
      </c>
      <c r="HW5" s="31">
        <f>IF(HW4&lt;8,"",(HW3-HW4/2)/SQRT(HW4/4))</f>
        <v>1.6666666666666667</v>
      </c>
      <c r="HX5" s="31">
        <f>IF(HX4&lt;8,"",(HX3-HX4/2)/SQRT(HX4/4))</f>
        <v>-0.33333333333333331</v>
      </c>
      <c r="HY5" s="31">
        <f>IF(HY4&lt;8,"",(HY3-HY4/2)/SQRT(HY4/4))</f>
        <v>1</v>
      </c>
      <c r="HZ5" s="31">
        <f>IF(HZ4&lt;8,"",(HZ3-HZ4/2)/SQRT(HZ4/4))</f>
        <v>-1.4142135623730949</v>
      </c>
      <c r="IA5" s="31">
        <f>IF(IA4&lt;8,"",(IA3-IA4/2)/SQRT(IA4/4))</f>
        <v>-0.70710678118654746</v>
      </c>
      <c r="IB5" s="31">
        <f>IF(IB4&lt;8,"",(IB3-IB4/2)/SQRT(IB4/4))</f>
        <v>0</v>
      </c>
      <c r="IC5" s="31">
        <f>IF(IC4&lt;8,"",(IC3-IC4/2)/SQRT(IC4/4))</f>
        <v>0.70710678118654746</v>
      </c>
      <c r="ID5" s="31">
        <f>IF(ID4&lt;8,"",(ID3-ID4/2)/SQRT(ID4/4))</f>
        <v>-0.70710678118654746</v>
      </c>
      <c r="IE5" s="31" t="str">
        <f>IF(IE4&lt;8,"",(IE3-IE4/2)/SQRT(IE4/4))</f>
        <v/>
      </c>
      <c r="IF5" s="31" t="str">
        <f>IF(IF4&lt;8,"",(IF3-IF4/2)/SQRT(IF4/4))</f>
        <v/>
      </c>
      <c r="IG5" s="31" t="str">
        <f>IF(IG4&lt;8,"",(IG3-IG4/2)/SQRT(IG4/4))</f>
        <v/>
      </c>
      <c r="IH5" s="31" t="str">
        <f>IF(IH4&lt;8,"",(IH3-IH4/2)/SQRT(IH4/4))</f>
        <v/>
      </c>
      <c r="II5" s="31" t="str">
        <f>IF(II4&lt;8,"",(II3-II4/2)/SQRT(II4/4))</f>
        <v/>
      </c>
      <c r="IJ5" s="31" t="str">
        <f>IF(IJ4&lt;8,"",(IJ3-IJ4/2)/SQRT(IJ4/4))</f>
        <v/>
      </c>
      <c r="IK5" s="31" t="str">
        <f>IF(IK4&lt;8,"",(IK3-IK4/2)/SQRT(IK4/4))</f>
        <v/>
      </c>
      <c r="IL5" s="31" t="str">
        <f>IF(IL4&lt;8,"",(IL3-IL4/2)/SQRT(IL4/4))</f>
        <v/>
      </c>
      <c r="IM5" s="31" t="str">
        <f>IF(IM4&lt;8,"",(IM3-IM4/2)/SQRT(IM4/4))</f>
        <v/>
      </c>
      <c r="IN5" s="31" t="str">
        <f>IF(IN4&lt;8,"",(IN3-IN4/2)/SQRT(IN4/4))</f>
        <v/>
      </c>
      <c r="IO5" s="31" t="str">
        <f>IF(IO4&lt;8,"",(IO3-IO4/2)/SQRT(IO4/4))</f>
        <v/>
      </c>
      <c r="IP5" s="31" t="str">
        <f>IF(IP4&lt;8,"",(IP3-IP4/2)/SQRT(IP4/4))</f>
        <v/>
      </c>
      <c r="IQ5" s="31" t="str">
        <f>IF(IQ4&lt;8,"",(IQ3-IQ4/2)/SQRT(IQ4/4))</f>
        <v/>
      </c>
      <c r="IR5" s="31" t="str">
        <f>IF(IR4&lt;8,"",(IR3-IR4/2)/SQRT(IR4/4))</f>
        <v/>
      </c>
      <c r="IS5" s="31" t="str">
        <f>IF(IS4&lt;8,"",(IS3-IS4/2)/SQRT(IS4/4))</f>
        <v/>
      </c>
      <c r="IT5" s="31" t="str">
        <f>IF(IT4&lt;8,"",(IT3-IT4/2)/SQRT(IT4/4))</f>
        <v/>
      </c>
      <c r="IU5" s="31" t="str">
        <f>IF(IU4&lt;8,"",(IU3-IU4/2)/SQRT(IU4/4))</f>
        <v/>
      </c>
      <c r="IV5" s="31" t="str">
        <f>IF(IV4&lt;8,"",(IV3-IV4/2)/SQRT(IV4/4))</f>
        <v/>
      </c>
      <c r="IW5" s="31" t="str">
        <f>IF(IW4&lt;8,"",(IW3-IW4/2)/SQRT(IW4/4))</f>
        <v/>
      </c>
      <c r="IX5" s="31" t="str">
        <f>IF(IX4&lt;8,"",(IX3-IX4/2)/SQRT(IX4/4))</f>
        <v/>
      </c>
      <c r="IY5" s="31" t="str">
        <f>IF(IY4&lt;8,"",(IY3-IY4/2)/SQRT(IY4/4))</f>
        <v/>
      </c>
      <c r="IZ5" s="31" t="str">
        <f>IF(IZ4&lt;8,"",(IZ3-IZ4/2)/SQRT(IZ4/4))</f>
        <v/>
      </c>
      <c r="JA5" s="31" t="str">
        <f>IF(JA4&lt;8,"",(JA3-JA4/2)/SQRT(JA4/4))</f>
        <v/>
      </c>
      <c r="JB5" s="31" t="str">
        <f>IF(JB4&lt;8,"",(JB3-JB4/2)/SQRT(JB4/4))</f>
        <v/>
      </c>
      <c r="JC5" s="31" t="str">
        <f>IF(JC4&lt;8,"",(JC3-JC4/2)/SQRT(JC4/4))</f>
        <v/>
      </c>
      <c r="JD5" s="31" t="str">
        <f>IF(JD4&lt;8,"",(JD3-JD4/2)/SQRT(JD4/4))</f>
        <v/>
      </c>
      <c r="JE5" s="31" t="str">
        <f>IF(JE4&lt;8,"",(JE3-JE4/2)/SQRT(JE4/4))</f>
        <v/>
      </c>
      <c r="JF5" s="31" t="str">
        <f>IF(JF4&lt;8,"",(JF3-JF4/2)/SQRT(JF4/4))</f>
        <v/>
      </c>
      <c r="JG5" s="31" t="str">
        <f>IF(JG4&lt;8,"",(JG3-JG4/2)/SQRT(JG4/4))</f>
        <v/>
      </c>
      <c r="JH5" s="31" t="str">
        <f>IF(JH4&lt;8,"",(JH3-JH4/2)/SQRT(JH4/4))</f>
        <v/>
      </c>
      <c r="JI5" s="31" t="str">
        <f>IF(JI4&lt;8,"",(JI3-JI4/2)/SQRT(JI4/4))</f>
        <v/>
      </c>
      <c r="JJ5" s="31" t="str">
        <f>IF(JJ4&lt;8,"",(JJ3-JJ4/2)/SQRT(JJ4/4))</f>
        <v/>
      </c>
      <c r="JK5" s="31" t="str">
        <f>IF(JK4&lt;8,"",(JK3-JK4/2)/SQRT(JK4/4))</f>
        <v/>
      </c>
      <c r="JL5" s="31" t="str">
        <f>IF(JL4&lt;8,"",(JL3-JL4/2)/SQRT(JL4/4))</f>
        <v/>
      </c>
      <c r="JM5" s="31" t="str">
        <f>IF(JM4&lt;8,"",(JM3-JM4/2)/SQRT(JM4/4))</f>
        <v/>
      </c>
    </row>
    <row r="6" spans="1:273" x14ac:dyDescent="0.25">
      <c r="A6" s="21">
        <f>'Key Analysis'!A2</f>
        <v>1</v>
      </c>
      <c r="B6" s="30" t="str">
        <f>'Key Analysis'!B2</f>
        <v>1</v>
      </c>
      <c r="C6" s="29">
        <f>IF(OR($B6="",$A6&lt;=0),"",--MID('Key Analysis'!$C2,$A6-0,1))</f>
        <v>1</v>
      </c>
      <c r="D6" s="29" t="str">
        <f>IF(OR($B6="",$A6&lt;=1),"",--MID('Key Analysis'!$C2,$A6-1,1))</f>
        <v/>
      </c>
      <c r="E6" s="29" t="str">
        <f>IF(OR($B6="",$A6&lt;=2),"",--MID('Key Analysis'!$C2,$A6-2,1))</f>
        <v/>
      </c>
      <c r="F6" s="29" t="str">
        <f>IF(OR($B6="",$A6&lt;=3),"",--MID('Key Analysis'!$C2,$A6-3,1))</f>
        <v/>
      </c>
      <c r="G6" s="29" t="str">
        <f>IF(OR($B6="",$A6&lt;=4),"",--MID('Key Analysis'!$C2,$A6-4,1))</f>
        <v/>
      </c>
      <c r="H6" s="29" t="str">
        <f>IF(OR($B6="",$A6&lt;=5),"",--MID('Key Analysis'!$C2,$A6-5,1))</f>
        <v/>
      </c>
      <c r="I6" s="29" t="str">
        <f>IF(OR($B6="",$A6&lt;=6),"",--MID('Key Analysis'!$C2,$A6-6,1))</f>
        <v/>
      </c>
      <c r="J6" s="29" t="str">
        <f>IF(OR($B6="",$A6&lt;=7),"",--MID('Key Analysis'!$C2,$A6-7,1))</f>
        <v/>
      </c>
      <c r="K6" s="29" t="str">
        <f>IF(OR($B6="",$A6&lt;=8),"",--MID('Key Analysis'!$C2,$A6-8,1))</f>
        <v/>
      </c>
      <c r="L6" s="29" t="str">
        <f>IF(OR($B6="",$A6&lt;=9),"",--MID('Key Analysis'!$C2,$A6-9,1))</f>
        <v/>
      </c>
      <c r="M6" s="29" t="str">
        <f>IF(OR($B6="",$A6&lt;=10),"",--MID('Key Analysis'!$C2,$A6-10,1))</f>
        <v/>
      </c>
      <c r="N6" s="29" t="str">
        <f>IF(OR($B6="",$A6&lt;=11),"",--MID('Key Analysis'!$C2,$A6-11,1))</f>
        <v/>
      </c>
      <c r="O6" s="29" t="str">
        <f>IF(OR($B6="",$A6&lt;=12),"",--MID('Key Analysis'!$C2,$A6-12,1))</f>
        <v/>
      </c>
      <c r="P6" s="29" t="str">
        <f>IF(OR($B6="",$A6&lt;=13),"",--MID('Key Analysis'!$C2,$A6-13,1))</f>
        <v/>
      </c>
      <c r="Q6" s="29" t="str">
        <f>IF(OR($B6="",$A6&lt;=14),"",--MID('Key Analysis'!$C2,$A6-14,1))</f>
        <v/>
      </c>
      <c r="R6" s="29" t="str">
        <f>IF(OR($B6="",$A6&lt;=15),"",--MID('Key Analysis'!$C2,$A6-15,1))</f>
        <v/>
      </c>
      <c r="S6" s="29" t="str">
        <f>IF(OR($B6="",$A6&lt;=16),"",--MID('Key Analysis'!$C2,$A6-16,1))</f>
        <v/>
      </c>
      <c r="T6" s="29" t="str">
        <f>IF(OR($B6="",$A6&lt;=17),"",--MID('Key Analysis'!$C2,$A6-17,1))</f>
        <v/>
      </c>
      <c r="U6" s="29" t="str">
        <f>IF(OR($B6="",$A6&lt;=18),"",--MID('Key Analysis'!$C2,$A6-18,1))</f>
        <v/>
      </c>
      <c r="V6" s="29" t="str">
        <f>IF(OR($B6="",$A6&lt;=19),"",--MID('Key Analysis'!$C2,$A6-19,1))</f>
        <v/>
      </c>
      <c r="W6" s="29" t="str">
        <f>IF(OR($B6="",$A6&lt;=20),"",--MID('Key Analysis'!$C2,$A6-20,1))</f>
        <v/>
      </c>
      <c r="X6" s="29" t="str">
        <f>IF(OR($B6="",$A6&lt;=21),"",--MID('Key Analysis'!$C2,$A6-21,1))</f>
        <v/>
      </c>
      <c r="Y6" s="29" t="str">
        <f>IF(OR($B6="",$A6&lt;=22),"",--MID('Key Analysis'!$C2,$A6-22,1))</f>
        <v/>
      </c>
      <c r="Z6" s="29" t="str">
        <f>IF(OR($B6="",$A6&lt;=23),"",--MID('Key Analysis'!$C2,$A6-23,1))</f>
        <v/>
      </c>
      <c r="AA6" s="29" t="str">
        <f>IF(OR($B6="",$A6&lt;=24),"",--MID('Key Analysis'!$C2,$A6-24,1))</f>
        <v/>
      </c>
      <c r="AB6" s="29" t="str">
        <f>IF(OR($B6="",$A6&lt;=25),"",--MID('Key Analysis'!$C2,$A6-25,1))</f>
        <v/>
      </c>
      <c r="AC6" s="29" t="str">
        <f>IF(OR($B6="",$A6&lt;=26),"",--MID('Key Analysis'!$C2,$A6-26,1))</f>
        <v/>
      </c>
      <c r="AD6" s="29" t="str">
        <f>IF(OR($B6="",$A6&lt;=27),"",--MID('Key Analysis'!$C2,$A6-27,1))</f>
        <v/>
      </c>
      <c r="AE6" s="29" t="str">
        <f>IF(OR($B6="",$A6&lt;=28),"",--MID('Key Analysis'!$C2,$A6-28,1))</f>
        <v/>
      </c>
      <c r="AF6" s="29" t="str">
        <f>IF(OR($B6="",$A6&lt;=29),"",--MID('Key Analysis'!$C2,$A6-29,1))</f>
        <v/>
      </c>
      <c r="AG6" s="29" t="str">
        <f>IF(OR($B6="",$A6&lt;=30),"",--MID('Key Analysis'!$C2,$A6-30,1))</f>
        <v/>
      </c>
      <c r="AH6" s="29" t="str">
        <f>IF(OR($B6="",$A6&lt;=31),"",--MID('Key Analysis'!$C2,$A6-31,1))</f>
        <v/>
      </c>
      <c r="AI6" s="29" t="str">
        <f>IF(OR($B6="",$A6&lt;=32),"",--MID('Key Analysis'!$C2,$A6-32,1))</f>
        <v/>
      </c>
      <c r="AJ6" s="29" t="str">
        <f>IF(OR($B6="",$A6&lt;=33),"",--MID('Key Analysis'!$C2,$A6-33,1))</f>
        <v/>
      </c>
      <c r="AK6" s="29" t="str">
        <f>IF(OR($B6="",$A6&lt;=34),"",--MID('Key Analysis'!$C2,$A6-34,1))</f>
        <v/>
      </c>
      <c r="AL6" s="29" t="str">
        <f>IF(OR($B6="",$A6&lt;=35),"",--MID('Key Analysis'!$C2,$A6-35,1))</f>
        <v/>
      </c>
      <c r="AM6" s="29" t="str">
        <f>IF(OR($B6="",$A6&lt;=36),"",--MID('Key Analysis'!$C2,$A6-36,1))</f>
        <v/>
      </c>
      <c r="AN6" s="29" t="str">
        <f>IF(OR($B6="",$A6&lt;=37),"",--MID('Key Analysis'!$C2,$A6-37,1))</f>
        <v/>
      </c>
      <c r="AO6" s="29" t="str">
        <f>IF(OR($B6="",$A6&lt;=38),"",--MID('Key Analysis'!$C2,$A6-38,1))</f>
        <v/>
      </c>
      <c r="AP6" s="29" t="str">
        <f>IF(OR($B6="",$A6&lt;=39),"",--MID('Key Analysis'!$C2,$A6-39,1))</f>
        <v/>
      </c>
      <c r="AQ6" s="29" t="str">
        <f>IF(OR($B6="",$A6&lt;=40),"",--MID('Key Analysis'!$C2,$A6-40,1))</f>
        <v/>
      </c>
      <c r="AR6" s="29" t="str">
        <f>IF(OR($B6="",$A6&lt;=41),"",--MID('Key Analysis'!$C2,$A6-41,1))</f>
        <v/>
      </c>
      <c r="AS6" s="29" t="str">
        <f>IF(OR($B6="",$A6&lt;=42),"",--MID('Key Analysis'!$C2,$A6-42,1))</f>
        <v/>
      </c>
      <c r="AT6" s="29" t="str">
        <f>IF(OR($B6="",$A6&lt;=43),"",--MID('Key Analysis'!$C2,$A6-43,1))</f>
        <v/>
      </c>
      <c r="AU6" s="29" t="str">
        <f>IF(OR($B6="",$A6&lt;=44),"",--MID('Key Analysis'!$C2,$A6-44,1))</f>
        <v/>
      </c>
      <c r="AV6" s="29" t="str">
        <f>IF(OR($B6="",$A6&lt;=45),"",--MID('Key Analysis'!$C2,$A6-45,1))</f>
        <v/>
      </c>
      <c r="AW6" s="29" t="str">
        <f>IF(OR($B6="",$A6&lt;=46),"",--MID('Key Analysis'!$C2,$A6-46,1))</f>
        <v/>
      </c>
      <c r="AX6" s="29" t="str">
        <f>IF(OR($B6="",$A6&lt;=47),"",--MID('Key Analysis'!$C2,$A6-47,1))</f>
        <v/>
      </c>
      <c r="AY6" s="29" t="str">
        <f>IF(OR($B6="",$A6&lt;=48),"",--MID('Key Analysis'!$C2,$A6-48,1))</f>
        <v/>
      </c>
      <c r="AZ6" s="29" t="str">
        <f>IF(OR($B6="",$A6&lt;=49),"",--MID('Key Analysis'!$C2,$A6-49,1))</f>
        <v/>
      </c>
      <c r="BA6" s="29" t="str">
        <f>IF(OR($B6="",$A6&lt;=50),"",--MID('Key Analysis'!$C2,$A6-50,1))</f>
        <v/>
      </c>
      <c r="BB6" s="29" t="str">
        <f>IF(OR($B6="",$A6&lt;=51),"",--MID('Key Analysis'!$C2,$A6-51,1))</f>
        <v/>
      </c>
      <c r="BC6" s="29" t="str">
        <f>IF(OR($B6="",$A6&lt;=52),"",--MID('Key Analysis'!$C2,$A6-52,1))</f>
        <v/>
      </c>
      <c r="BD6" s="29" t="str">
        <f>IF(OR($B6="",$A6&lt;=53),"",--MID('Key Analysis'!$C2,$A6-53,1))</f>
        <v/>
      </c>
      <c r="BE6" s="29" t="str">
        <f>IF(OR($B6="",$A6&lt;=54),"",--MID('Key Analysis'!$C2,$A6-54,1))</f>
        <v/>
      </c>
      <c r="BF6" s="29" t="str">
        <f>IF(OR($B6="",$A6&lt;=55),"",--MID('Key Analysis'!$C2,$A6-55,1))</f>
        <v/>
      </c>
      <c r="BG6" s="29" t="str">
        <f>IF(OR($B6="",$A6&lt;=56),"",--MID('Key Analysis'!$C2,$A6-56,1))</f>
        <v/>
      </c>
      <c r="BH6" s="29" t="str">
        <f>IF(OR($B6="",$A6&lt;=57),"",--MID('Key Analysis'!$C2,$A6-57,1))</f>
        <v/>
      </c>
      <c r="BI6" s="29" t="str">
        <f>IF(OR($B6="",$A6&lt;=58),"",--MID('Key Analysis'!$C2,$A6-58,1))</f>
        <v/>
      </c>
      <c r="BJ6" s="29" t="str">
        <f>IF(OR($B6="",$A6&lt;=59),"",--MID('Key Analysis'!$C2,$A6-59,1))</f>
        <v/>
      </c>
      <c r="BK6" s="29" t="str">
        <f>IF(OR($B6="",$A6&lt;=60),"",--MID('Key Analysis'!$C2,$A6-60,1))</f>
        <v/>
      </c>
      <c r="BL6" s="29" t="str">
        <f>IF(OR($B6="",$A6&lt;=61),"",--MID('Key Analysis'!$C2,$A6-61,1))</f>
        <v/>
      </c>
      <c r="BM6" s="29" t="str">
        <f>IF(OR($B6="",$A6&lt;=62),"",--MID('Key Analysis'!$C2,$A6-62,1))</f>
        <v/>
      </c>
      <c r="BN6" s="29" t="str">
        <f>IF(OR($B6="",$A6&lt;=63),"",--MID('Key Analysis'!$C2,$A6-63,1))</f>
        <v/>
      </c>
      <c r="BO6" s="29" t="str">
        <f>IF(OR($B6="",$A6&lt;=64),"",--MID('Key Analysis'!$C2,$A6-64,1))</f>
        <v/>
      </c>
      <c r="BP6" s="29" t="str">
        <f>IF(OR($B6="",$A6&lt;=65),"",--MID('Key Analysis'!$C2,$A6-65,1))</f>
        <v/>
      </c>
      <c r="BQ6" s="29" t="str">
        <f>IF(OR($B6="",$A6&lt;=66),"",--MID('Key Analysis'!$C2,$A6-66,1))</f>
        <v/>
      </c>
      <c r="BR6" s="29" t="str">
        <f>IF(OR($B6="",$A6&lt;=67),"",--MID('Key Analysis'!$C2,$A6-67,1))</f>
        <v/>
      </c>
      <c r="BS6" s="29" t="str">
        <f>IF(OR($B6="",$A6&lt;=68),"",--MID('Key Analysis'!$C2,$A6-68,1))</f>
        <v/>
      </c>
      <c r="BT6" s="29" t="str">
        <f>IF(OR($B6="",$A6&lt;=69),"",--MID('Key Analysis'!$C2,$A6-69,1))</f>
        <v/>
      </c>
      <c r="BU6" s="29" t="str">
        <f>IF(OR($B6="",$A6&lt;=70),"",--MID('Key Analysis'!$C2,$A6-70,1))</f>
        <v/>
      </c>
      <c r="BV6" s="29" t="str">
        <f>IF(OR($B6="",$A6&lt;=71),"",--MID('Key Analysis'!$C2,$A6-71,1))</f>
        <v/>
      </c>
      <c r="BW6" s="29" t="str">
        <f>IF(OR($B6="",$A6&lt;=72),"",--MID('Key Analysis'!$C2,$A6-72,1))</f>
        <v/>
      </c>
      <c r="BX6" s="29" t="str">
        <f>IF(OR($B6="",$A6&lt;=73),"",--MID('Key Analysis'!$C2,$A6-73,1))</f>
        <v/>
      </c>
      <c r="BY6" s="29" t="str">
        <f>IF(OR($B6="",$A6&lt;=74),"",--MID('Key Analysis'!$C2,$A6-74,1))</f>
        <v/>
      </c>
      <c r="BZ6" s="29" t="str">
        <f>IF(OR($B6="",$A6&lt;=75),"",--MID('Key Analysis'!$C2,$A6-75,1))</f>
        <v/>
      </c>
      <c r="CA6" s="29" t="str">
        <f>IF(OR($B6="",$A6&lt;=76),"",--MID('Key Analysis'!$C2,$A6-76,1))</f>
        <v/>
      </c>
      <c r="CB6" s="29" t="str">
        <f>IF(OR($B6="",$A6&lt;=77),"",--MID('Key Analysis'!$C2,$A6-77,1))</f>
        <v/>
      </c>
      <c r="CC6" s="29" t="str">
        <f>IF(OR($B6="",$A6&lt;=78),"",--MID('Key Analysis'!$C2,$A6-78,1))</f>
        <v/>
      </c>
      <c r="CD6" s="29" t="str">
        <f>IF(OR($B6="",$A6&lt;=79),"",--MID('Key Analysis'!$C2,$A6-79,1))</f>
        <v/>
      </c>
      <c r="CE6" s="29" t="str">
        <f>IF(OR($B6="",$A6&lt;=80),"",--MID('Key Analysis'!$C2,$A6-80,1))</f>
        <v/>
      </c>
      <c r="CF6" s="29" t="str">
        <f>IF(OR($B6="",$A6&lt;=81),"",--MID('Key Analysis'!$C2,$A6-81,1))</f>
        <v/>
      </c>
      <c r="CG6" s="29" t="str">
        <f>IF(OR($B6="",$A6&lt;=82),"",--MID('Key Analysis'!$C2,$A6-82,1))</f>
        <v/>
      </c>
      <c r="CH6" s="29" t="str">
        <f>IF(OR($B6="",$A6&lt;=83),"",--MID('Key Analysis'!$C2,$A6-83,1))</f>
        <v/>
      </c>
      <c r="CI6" s="29" t="str">
        <f>IF(OR($B6="",$A6&lt;=84),"",--MID('Key Analysis'!$C2,$A6-84,1))</f>
        <v/>
      </c>
      <c r="CJ6" s="29" t="str">
        <f>IF(OR($B6="",$A6&lt;=85),"",--MID('Key Analysis'!$C2,$A6-85,1))</f>
        <v/>
      </c>
      <c r="CK6" s="29" t="str">
        <f>IF(OR($B6="",$A6&lt;=86),"",--MID('Key Analysis'!$C2,$A6-86,1))</f>
        <v/>
      </c>
      <c r="CL6" s="29" t="str">
        <f>IF(OR($B6="",$A6&lt;=87),"",--MID('Key Analysis'!$C2,$A6-87,1))</f>
        <v/>
      </c>
      <c r="CM6" s="29" t="str">
        <f>IF(OR($B6="",$A6&lt;=88),"",--MID('Key Analysis'!$C2,$A6-88,1))</f>
        <v/>
      </c>
      <c r="CN6" s="29" t="str">
        <f>IF(OR($B6="",$A6&lt;=89),"",--MID('Key Analysis'!$C2,$A6-89,1))</f>
        <v/>
      </c>
      <c r="CO6" s="29" t="str">
        <f>IF(OR($B6="",$A6&lt;=90),"",--MID('Key Analysis'!$C2,$A6-90,1))</f>
        <v/>
      </c>
      <c r="CP6" s="29" t="str">
        <f>IF(OR($B6="",$A6&lt;=91),"",--MID('Key Analysis'!$C2,$A6-91,1))</f>
        <v/>
      </c>
      <c r="CQ6" s="29" t="str">
        <f>IF(OR($B6="",$A6&lt;=92),"",--MID('Key Analysis'!$C2,$A6-92,1))</f>
        <v/>
      </c>
      <c r="CR6" s="29" t="str">
        <f>IF(OR($B6="",$A6&lt;=93),"",--MID('Key Analysis'!$C2,$A6-93,1))</f>
        <v/>
      </c>
      <c r="CS6" s="29" t="str">
        <f>IF(OR($B6="",$A6&lt;=94),"",--MID('Key Analysis'!$C2,$A6-94,1))</f>
        <v/>
      </c>
      <c r="CT6" s="29" t="str">
        <f>IF(OR($B6="",$A6&lt;=95),"",--MID('Key Analysis'!$C2,$A6-95,1))</f>
        <v/>
      </c>
      <c r="CU6" s="29" t="str">
        <f>IF(OR($B6="",$A6&lt;=96),"",--MID('Key Analysis'!$C2,$A6-96,1))</f>
        <v/>
      </c>
      <c r="CV6" s="29" t="str">
        <f>IF(OR($B6="",$A6&lt;=97),"",--MID('Key Analysis'!$C2,$A6-97,1))</f>
        <v/>
      </c>
      <c r="CW6" s="29" t="str">
        <f>IF(OR($B6="",$A6&lt;=98),"",--MID('Key Analysis'!$C2,$A6-98,1))</f>
        <v/>
      </c>
      <c r="CX6" s="29" t="str">
        <f>IF(OR($B6="",$A6&lt;=99),"",--MID('Key Analysis'!$C2,$A6-99,1))</f>
        <v/>
      </c>
      <c r="CY6" s="29" t="str">
        <f>IF(OR($B6="",$A6&lt;=100),"",--MID('Key Analysis'!$C2,$A6-100,1))</f>
        <v/>
      </c>
      <c r="CZ6" s="29" t="str">
        <f>IF(OR($B6="",$A6&lt;=101),"",--MID('Key Analysis'!$C2,$A6-101,1))</f>
        <v/>
      </c>
      <c r="DA6" s="29" t="str">
        <f>IF(OR($B6="",$A6&lt;=102),"",--MID('Key Analysis'!$C2,$A6-102,1))</f>
        <v/>
      </c>
      <c r="DB6" s="29" t="str">
        <f>IF(OR($B6="",$A6&lt;=103),"",--MID('Key Analysis'!$C2,$A6-103,1))</f>
        <v/>
      </c>
      <c r="DC6" s="29" t="str">
        <f>IF(OR($B6="",$A6&lt;=104),"",--MID('Key Analysis'!$C2,$A6-104,1))</f>
        <v/>
      </c>
      <c r="DD6" s="29" t="str">
        <f>IF(OR($B6="",$A6&lt;=105),"",--MID('Key Analysis'!$C2,$A6-105,1))</f>
        <v/>
      </c>
      <c r="DE6" s="29" t="str">
        <f>IF(OR($B6="",$A6&lt;=106),"",--MID('Key Analysis'!$C2,$A6-106,1))</f>
        <v/>
      </c>
      <c r="DF6" s="29" t="str">
        <f>IF(OR($B6="",$A6&lt;=107),"",--MID('Key Analysis'!$C2,$A6-107,1))</f>
        <v/>
      </c>
      <c r="DG6" s="29" t="str">
        <f>IF(OR($B6="",$A6&lt;=108),"",--MID('Key Analysis'!$C2,$A6-108,1))</f>
        <v/>
      </c>
      <c r="DH6" s="29" t="str">
        <f>IF(OR($B6="",$A6&lt;=109),"",--MID('Key Analysis'!$C2,$A6-109,1))</f>
        <v/>
      </c>
      <c r="DI6" s="29" t="str">
        <f>IF(OR($B6="",$A6&lt;=110),"",--MID('Key Analysis'!$C2,$A6-110,1))</f>
        <v/>
      </c>
      <c r="DJ6" s="29" t="str">
        <f>IF(OR($B6="",$A6&lt;=111),"",--MID('Key Analysis'!$C2,$A6-111,1))</f>
        <v/>
      </c>
      <c r="DK6" s="29" t="str">
        <f>IF(OR($B6="",$A6&lt;=112),"",--MID('Key Analysis'!$C2,$A6-112,1))</f>
        <v/>
      </c>
      <c r="DL6" s="29" t="str">
        <f>IF(OR($B6="",$A6&lt;=113),"",--MID('Key Analysis'!$C2,$A6-113,1))</f>
        <v/>
      </c>
      <c r="DM6" s="29" t="str">
        <f>IF(OR($B6="",$A6&lt;=114),"",--MID('Key Analysis'!$C2,$A6-114,1))</f>
        <v/>
      </c>
      <c r="DN6" s="29" t="str">
        <f>IF(OR($B6="",$A6&lt;=115),"",--MID('Key Analysis'!$C2,$A6-115,1))</f>
        <v/>
      </c>
      <c r="DO6" s="29" t="str">
        <f>IF(OR($B6="",$A6&lt;=116),"",--MID('Key Analysis'!$C2,$A6-116,1))</f>
        <v/>
      </c>
      <c r="DP6" s="29" t="str">
        <f>IF(OR($B6="",$A6&lt;=117),"",--MID('Key Analysis'!$C2,$A6-117,1))</f>
        <v/>
      </c>
      <c r="DQ6" s="29" t="str">
        <f>IF(OR($B6="",$A6&lt;=118),"",--MID('Key Analysis'!$C2,$A6-118,1))</f>
        <v/>
      </c>
      <c r="DR6" s="29" t="str">
        <f>IF(OR($B6="",$A6&lt;=119),"",--MID('Key Analysis'!$C2,$A6-119,1))</f>
        <v/>
      </c>
      <c r="DS6" s="29" t="str">
        <f>IF(OR($B6="",$A6&lt;=120),"",--MID('Key Analysis'!$C2,$A6-120,1))</f>
        <v/>
      </c>
      <c r="DT6" s="29" t="str">
        <f>IF(OR($B6="",$A6&lt;=121),"",--MID('Key Analysis'!$C2,$A6-121,1))</f>
        <v/>
      </c>
      <c r="DU6" s="29" t="str">
        <f>IF(OR($B6="",$A6&lt;=122),"",--MID('Key Analysis'!$C2,$A6-122,1))</f>
        <v/>
      </c>
      <c r="DV6" s="29" t="str">
        <f>IF(OR($B6="",$A6&lt;=123),"",--MID('Key Analysis'!$C2,$A6-123,1))</f>
        <v/>
      </c>
      <c r="DW6" s="29" t="str">
        <f>IF(OR($B6="",$A6&lt;=124),"",--MID('Key Analysis'!$C2,$A6-124,1))</f>
        <v/>
      </c>
      <c r="DX6" s="29" t="str">
        <f>IF(OR($B6="",$A6&lt;=125),"",--MID('Key Analysis'!$C2,$A6-125,1))</f>
        <v/>
      </c>
      <c r="DY6" s="29" t="str">
        <f>IF(OR($B6="",$A6&lt;=126),"",--MID('Key Analysis'!$C2,$A6-126,1))</f>
        <v/>
      </c>
      <c r="DZ6" s="29" t="str">
        <f>IF(OR($B6="",$A6&lt;=127),"",--MID('Key Analysis'!$C2,$A6-127,1))</f>
        <v/>
      </c>
      <c r="EA6" s="29" t="str">
        <f>IF(OR($B6="",$A6&lt;=128),"",--MID('Key Analysis'!$C2,$A6-128,1))</f>
        <v/>
      </c>
      <c r="EB6" s="29" t="str">
        <f>IF(OR($B6="",$A6&lt;=129),"",--MID('Key Analysis'!$C2,$A6-129,1))</f>
        <v/>
      </c>
      <c r="EC6" s="29" t="str">
        <f>IF(OR($B6="",$A6&lt;=130),"",--MID('Key Analysis'!$C2,$A6-130,1))</f>
        <v/>
      </c>
      <c r="ED6" s="29" t="str">
        <f>IF(OR($B6="",$A6&lt;=131),"",--MID('Key Analysis'!$C2,$A6-131,1))</f>
        <v/>
      </c>
      <c r="EE6" s="29" t="str">
        <f>IF(OR($B6="",$A6&lt;=132),"",--MID('Key Analysis'!$C2,$A6-132,1))</f>
        <v/>
      </c>
      <c r="EF6" s="29" t="str">
        <f>IF(OR($B6="",$A6&lt;=133),"",--MID('Key Analysis'!$C2,$A6-133,1))</f>
        <v/>
      </c>
      <c r="EG6" s="29" t="str">
        <f>IF(OR($B6="",$A6&lt;=134),"",--MID('Key Analysis'!$C2,$A6-134,1))</f>
        <v/>
      </c>
      <c r="EH6" s="29"/>
      <c r="EI6" s="29">
        <f>IF(OR($B6="",$A6&lt;1),"",--MID('Key Analysis'!$C2,1,1))</f>
        <v>1</v>
      </c>
      <c r="EJ6" s="29" t="str">
        <f>IF(OR($B6="",$A6&lt;2),"",--MID('Key Analysis'!$C2,2,1))</f>
        <v/>
      </c>
      <c r="EK6" s="29" t="str">
        <f>IF(OR($B6="",$A6&lt;3),"",--MID('Key Analysis'!$C2,3,1))</f>
        <v/>
      </c>
      <c r="EL6" s="29" t="str">
        <f>IF(OR($B6="",$A6&lt;4),"",--MID('Key Analysis'!$C2,4,1))</f>
        <v/>
      </c>
      <c r="EM6" s="29" t="str">
        <f>IF(OR($B6="",$A6&lt;5),"",--MID('Key Analysis'!$C2,5,1))</f>
        <v/>
      </c>
      <c r="EN6" s="29" t="str">
        <f>IF(OR($B6="",$A6&lt;6),"",--MID('Key Analysis'!$C2,6,1))</f>
        <v/>
      </c>
      <c r="EO6" s="29" t="str">
        <f>IF(OR($B6="",$A6&lt;7),"",--MID('Key Analysis'!$C2,7,1))</f>
        <v/>
      </c>
      <c r="EP6" s="29" t="str">
        <f>IF(OR($B6="",$A6&lt;8),"",--MID('Key Analysis'!$C2,8,1))</f>
        <v/>
      </c>
      <c r="EQ6" s="29" t="str">
        <f>IF(OR($B6="",$A6&lt;9),"",--MID('Key Analysis'!$C2,9,1))</f>
        <v/>
      </c>
      <c r="ER6" s="29" t="str">
        <f>IF(OR($B6="",$A6&lt;10),"",--MID('Key Analysis'!$C2,10,1))</f>
        <v/>
      </c>
      <c r="ES6" s="29" t="str">
        <f>IF(OR($B6="",$A6&lt;11),"",--MID('Key Analysis'!$C2,11,1))</f>
        <v/>
      </c>
      <c r="ET6" s="29" t="str">
        <f>IF(OR($B6="",$A6&lt;12),"",--MID('Key Analysis'!$C2,12,1))</f>
        <v/>
      </c>
      <c r="EU6" s="29" t="str">
        <f>IF(OR($B6="",$A6&lt;13),"",--MID('Key Analysis'!$C2,13,1))</f>
        <v/>
      </c>
      <c r="EV6" s="29" t="str">
        <f>IF(OR($B6="",$A6&lt;14),"",--MID('Key Analysis'!$C2,14,1))</f>
        <v/>
      </c>
      <c r="EW6" s="29" t="str">
        <f>IF(OR($B6="",$A6&lt;15),"",--MID('Key Analysis'!$C2,15,1))</f>
        <v/>
      </c>
      <c r="EX6" s="29" t="str">
        <f>IF(OR($B6="",$A6&lt;16),"",--MID('Key Analysis'!$C2,16,1))</f>
        <v/>
      </c>
      <c r="EY6" s="29" t="str">
        <f>IF(OR($B6="",$A6&lt;17),"",--MID('Key Analysis'!$C2,17,1))</f>
        <v/>
      </c>
      <c r="EZ6" s="29" t="str">
        <f>IF(OR($B6="",$A6&lt;18),"",--MID('Key Analysis'!$C2,18,1))</f>
        <v/>
      </c>
      <c r="FA6" s="29" t="str">
        <f>IF(OR($B6="",$A6&lt;19),"",--MID('Key Analysis'!$C2,19,1))</f>
        <v/>
      </c>
      <c r="FB6" s="29" t="str">
        <f>IF(OR($B6="",$A6&lt;20),"",--MID('Key Analysis'!$C2,20,1))</f>
        <v/>
      </c>
      <c r="FC6" s="29" t="str">
        <f>IF(OR($B6="",$A6&lt;21),"",--MID('Key Analysis'!$C2,21,1))</f>
        <v/>
      </c>
      <c r="FD6" s="29" t="str">
        <f>IF(OR($B6="",$A6&lt;22),"",--MID('Key Analysis'!$C2,22,1))</f>
        <v/>
      </c>
      <c r="FE6" s="29" t="str">
        <f>IF(OR($B6="",$A6&lt;23),"",--MID('Key Analysis'!$C2,23,1))</f>
        <v/>
      </c>
      <c r="FF6" s="29" t="str">
        <f>IF(OR($B6="",$A6&lt;24),"",--MID('Key Analysis'!$C2,24,1))</f>
        <v/>
      </c>
      <c r="FG6" s="29" t="str">
        <f>IF(OR($B6="",$A6&lt;25),"",--MID('Key Analysis'!$C2,25,1))</f>
        <v/>
      </c>
      <c r="FH6" s="29" t="str">
        <f>IF(OR($B6="",$A6&lt;26),"",--MID('Key Analysis'!$C2,26,1))</f>
        <v/>
      </c>
      <c r="FI6" s="29" t="str">
        <f>IF(OR($B6="",$A6&lt;27),"",--MID('Key Analysis'!$C2,27,1))</f>
        <v/>
      </c>
      <c r="FJ6" s="29" t="str">
        <f>IF(OR($B6="",$A6&lt;28),"",--MID('Key Analysis'!$C2,28,1))</f>
        <v/>
      </c>
      <c r="FK6" s="29" t="str">
        <f>IF(OR($B6="",$A6&lt;29),"",--MID('Key Analysis'!$C2,29,1))</f>
        <v/>
      </c>
      <c r="FL6" s="29" t="str">
        <f>IF(OR($B6="",$A6&lt;30),"",--MID('Key Analysis'!$C2,30,1))</f>
        <v/>
      </c>
      <c r="FM6" s="29" t="str">
        <f>IF(OR($B6="",$A6&lt;31),"",--MID('Key Analysis'!$C2,31,1))</f>
        <v/>
      </c>
      <c r="FN6" s="29" t="str">
        <f>IF(OR($B6="",$A6&lt;32),"",--MID('Key Analysis'!$C2,32,1))</f>
        <v/>
      </c>
      <c r="FO6" s="29" t="str">
        <f>IF(OR($B6="",$A6&lt;33),"",--MID('Key Analysis'!$C2,33,1))</f>
        <v/>
      </c>
      <c r="FP6" s="29" t="str">
        <f>IF(OR($B6="",$A6&lt;34),"",--MID('Key Analysis'!$C2,34,1))</f>
        <v/>
      </c>
      <c r="FQ6" s="29" t="str">
        <f>IF(OR($B6="",$A6&lt;35),"",--MID('Key Analysis'!$C2,35,1))</f>
        <v/>
      </c>
      <c r="FR6" s="29" t="str">
        <f>IF(OR($B6="",$A6&lt;36),"",--MID('Key Analysis'!$C2,36,1))</f>
        <v/>
      </c>
      <c r="FS6" s="29" t="str">
        <f>IF(OR($B6="",$A6&lt;37),"",--MID('Key Analysis'!$C2,37,1))</f>
        <v/>
      </c>
      <c r="FT6" s="29" t="str">
        <f>IF(OR($B6="",$A6&lt;38),"",--MID('Key Analysis'!$C2,38,1))</f>
        <v/>
      </c>
      <c r="FU6" s="29" t="str">
        <f>IF(OR($B6="",$A6&lt;39),"",--MID('Key Analysis'!$C2,39,1))</f>
        <v/>
      </c>
      <c r="FV6" s="29" t="str">
        <f>IF(OR($B6="",$A6&lt;40),"",--MID('Key Analysis'!$C2,40,1))</f>
        <v/>
      </c>
      <c r="FW6" s="29" t="str">
        <f>IF(OR($B6="",$A6&lt;41),"",--MID('Key Analysis'!$C2,41,1))</f>
        <v/>
      </c>
      <c r="FX6" s="29" t="str">
        <f>IF(OR($B6="",$A6&lt;42),"",--MID('Key Analysis'!$C2,42,1))</f>
        <v/>
      </c>
      <c r="FY6" s="29" t="str">
        <f>IF(OR($B6="",$A6&lt;43),"",--MID('Key Analysis'!$C2,43,1))</f>
        <v/>
      </c>
      <c r="FZ6" s="29" t="str">
        <f>IF(OR($B6="",$A6&lt;44),"",--MID('Key Analysis'!$C2,44,1))</f>
        <v/>
      </c>
      <c r="GA6" s="29" t="str">
        <f>IF(OR($B6="",$A6&lt;45),"",--MID('Key Analysis'!$C2,45,1))</f>
        <v/>
      </c>
      <c r="GB6" s="29" t="str">
        <f>IF(OR($B6="",$A6&lt;46),"",--MID('Key Analysis'!$C2,46,1))</f>
        <v/>
      </c>
      <c r="GC6" s="29" t="str">
        <f>IF(OR($B6="",$A6&lt;47),"",--MID('Key Analysis'!$C2,47,1))</f>
        <v/>
      </c>
      <c r="GD6" s="29" t="str">
        <f>IF(OR($B6="",$A6&lt;48),"",--MID('Key Analysis'!$C2,48,1))</f>
        <v/>
      </c>
      <c r="GE6" s="29" t="str">
        <f>IF(OR($B6="",$A6&lt;49),"",--MID('Key Analysis'!$C2,49,1))</f>
        <v/>
      </c>
      <c r="GF6" s="29" t="str">
        <f>IF(OR($B6="",$A6&lt;50),"",--MID('Key Analysis'!$C2,50,1))</f>
        <v/>
      </c>
      <c r="GG6" s="29" t="str">
        <f>IF(OR($B6="",$A6&lt;51),"",--MID('Key Analysis'!$C2,51,1))</f>
        <v/>
      </c>
      <c r="GH6" s="29" t="str">
        <f>IF(OR($B6="",$A6&lt;52),"",--MID('Key Analysis'!$C2,52,1))</f>
        <v/>
      </c>
      <c r="GI6" s="29" t="str">
        <f>IF(OR($B6="",$A6&lt;53),"",--MID('Key Analysis'!$C2,53,1))</f>
        <v/>
      </c>
      <c r="GJ6" s="29" t="str">
        <f>IF(OR($B6="",$A6&lt;54),"",--MID('Key Analysis'!$C2,54,1))</f>
        <v/>
      </c>
      <c r="GK6" s="29" t="str">
        <f>IF(OR($B6="",$A6&lt;55),"",--MID('Key Analysis'!$C2,55,1))</f>
        <v/>
      </c>
      <c r="GL6" s="29" t="str">
        <f>IF(OR($B6="",$A6&lt;56),"",--MID('Key Analysis'!$C2,56,1))</f>
        <v/>
      </c>
      <c r="GM6" s="29" t="str">
        <f>IF(OR($B6="",$A6&lt;57),"",--MID('Key Analysis'!$C2,57,1))</f>
        <v/>
      </c>
      <c r="GN6" s="29" t="str">
        <f>IF(OR($B6="",$A6&lt;58),"",--MID('Key Analysis'!$C2,58,1))</f>
        <v/>
      </c>
      <c r="GO6" s="29" t="str">
        <f>IF(OR($B6="",$A6&lt;59),"",--MID('Key Analysis'!$C2,59,1))</f>
        <v/>
      </c>
      <c r="GP6" s="29" t="str">
        <f>IF(OR($B6="",$A6&lt;60),"",--MID('Key Analysis'!$C2,60,1))</f>
        <v/>
      </c>
      <c r="GQ6" s="29" t="str">
        <f>IF(OR($B6="",$A6&lt;61),"",--MID('Key Analysis'!$C2,61,1))</f>
        <v/>
      </c>
      <c r="GR6" s="29" t="str">
        <f>IF(OR($B6="",$A6&lt;62),"",--MID('Key Analysis'!$C2,62,1))</f>
        <v/>
      </c>
      <c r="GS6" s="29" t="str">
        <f>IF(OR($B6="",$A6&lt;63),"",--MID('Key Analysis'!$C2,63,1))</f>
        <v/>
      </c>
      <c r="GT6" s="29" t="str">
        <f>IF(OR($B6="",$A6&lt;64),"",--MID('Key Analysis'!$C2,64,1))</f>
        <v/>
      </c>
      <c r="GU6" s="29" t="str">
        <f>IF(OR($B6="",$A6&lt;65),"",--MID('Key Analysis'!$C2,65,1))</f>
        <v/>
      </c>
      <c r="GV6" s="29" t="str">
        <f>IF(OR($B6="",$A6&lt;66),"",--MID('Key Analysis'!$C2,66,1))</f>
        <v/>
      </c>
      <c r="GW6" s="29" t="str">
        <f>IF(OR($B6="",$A6&lt;67),"",--MID('Key Analysis'!$C2,67,1))</f>
        <v/>
      </c>
      <c r="GX6" s="29" t="str">
        <f>IF(OR($B6="",$A6&lt;68),"",--MID('Key Analysis'!$C2,68,1))</f>
        <v/>
      </c>
      <c r="GY6" s="29" t="str">
        <f>IF(OR($B6="",$A6&lt;69),"",--MID('Key Analysis'!$C2,69,1))</f>
        <v/>
      </c>
      <c r="GZ6" s="29" t="str">
        <f>IF(OR($B6="",$A6&lt;70),"",--MID('Key Analysis'!$C2,70,1))</f>
        <v/>
      </c>
      <c r="HA6" s="29" t="str">
        <f>IF(OR($B6="",$A6&lt;71),"",--MID('Key Analysis'!$C2,71,1))</f>
        <v/>
      </c>
      <c r="HB6" s="29" t="str">
        <f>IF(OR($B6="",$A6&lt;72),"",--MID('Key Analysis'!$C2,72,1))</f>
        <v/>
      </c>
      <c r="HC6" s="29" t="str">
        <f>IF(OR($B6="",$A6&lt;73),"",--MID('Key Analysis'!$C2,73,1))</f>
        <v/>
      </c>
      <c r="HD6" s="29" t="str">
        <f>IF(OR($B6="",$A6&lt;74),"",--MID('Key Analysis'!$C2,74,1))</f>
        <v/>
      </c>
      <c r="HE6" s="29" t="str">
        <f>IF(OR($B6="",$A6&lt;75),"",--MID('Key Analysis'!$C2,75,1))</f>
        <v/>
      </c>
      <c r="HF6" s="29" t="str">
        <f>IF(OR($B6="",$A6&lt;76),"",--MID('Key Analysis'!$C2,76,1))</f>
        <v/>
      </c>
      <c r="HG6" s="29" t="str">
        <f>IF(OR($B6="",$A6&lt;77),"",--MID('Key Analysis'!$C2,77,1))</f>
        <v/>
      </c>
      <c r="HH6" s="29" t="str">
        <f>IF(OR($B6="",$A6&lt;78),"",--MID('Key Analysis'!$C2,78,1))</f>
        <v/>
      </c>
      <c r="HI6" s="29" t="str">
        <f>IF(OR($B6="",$A6&lt;79),"",--MID('Key Analysis'!$C2,79,1))</f>
        <v/>
      </c>
      <c r="HJ6" s="29" t="str">
        <f>IF(OR($B6="",$A6&lt;80),"",--MID('Key Analysis'!$C2,80,1))</f>
        <v/>
      </c>
      <c r="HK6" s="29" t="str">
        <f>IF(OR($B6="",$A6&lt;81),"",--MID('Key Analysis'!$C2,81,1))</f>
        <v/>
      </c>
      <c r="HL6" s="29" t="str">
        <f>IF(OR($B6="",$A6&lt;82),"",--MID('Key Analysis'!$C2,82,1))</f>
        <v/>
      </c>
      <c r="HM6" s="29" t="str">
        <f>IF(OR($B6="",$A6&lt;83),"",--MID('Key Analysis'!$C2,83,1))</f>
        <v/>
      </c>
      <c r="HN6" s="29" t="str">
        <f>IF(OR($B6="",$A6&lt;84),"",--MID('Key Analysis'!$C2,84,1))</f>
        <v/>
      </c>
      <c r="HO6" s="29" t="str">
        <f>IF(OR($B6="",$A6&lt;85),"",--MID('Key Analysis'!$C2,85,1))</f>
        <v/>
      </c>
      <c r="HP6" s="29" t="str">
        <f>IF(OR($B6="",$A6&lt;86),"",--MID('Key Analysis'!$C2,86,1))</f>
        <v/>
      </c>
      <c r="HQ6" s="29" t="str">
        <f>IF(OR($B6="",$A6&lt;87),"",--MID('Key Analysis'!$C2,87,1))</f>
        <v/>
      </c>
      <c r="HR6" s="29" t="str">
        <f>IF(OR($B6="",$A6&lt;88),"",--MID('Key Analysis'!$C2,88,1))</f>
        <v/>
      </c>
      <c r="HS6" s="29" t="str">
        <f>IF(OR($B6="",$A6&lt;89),"",--MID('Key Analysis'!$C2,89,1))</f>
        <v/>
      </c>
      <c r="HT6" s="29" t="str">
        <f>IF(OR($B6="",$A6&lt;90),"",--MID('Key Analysis'!$C2,90,1))</f>
        <v/>
      </c>
      <c r="HU6" s="29" t="str">
        <f>IF(OR($B6="",$A6&lt;91),"",--MID('Key Analysis'!$C2,91,1))</f>
        <v/>
      </c>
      <c r="HV6" s="29" t="str">
        <f>IF(OR($B6="",$A6&lt;92),"",--MID('Key Analysis'!$C2,92,1))</f>
        <v/>
      </c>
      <c r="HW6" s="29" t="str">
        <f>IF(OR($B6="",$A6&lt;93),"",--MID('Key Analysis'!$C2,93,1))</f>
        <v/>
      </c>
      <c r="HX6" s="29" t="str">
        <f>IF(OR($B6="",$A6&lt;94),"",--MID('Key Analysis'!$C2,94,1))</f>
        <v/>
      </c>
      <c r="HY6" s="29" t="str">
        <f>IF(OR($B6="",$A6&lt;95),"",--MID('Key Analysis'!$C2,95,1))</f>
        <v/>
      </c>
      <c r="HZ6" s="29" t="str">
        <f>IF(OR($B6="",$A6&lt;96),"",--MID('Key Analysis'!$C2,96,1))</f>
        <v/>
      </c>
      <c r="IA6" s="29" t="str">
        <f>IF(OR($B6="",$A6&lt;97),"",--MID('Key Analysis'!$C2,97,1))</f>
        <v/>
      </c>
      <c r="IB6" s="29" t="str">
        <f>IF(OR($B6="",$A6&lt;98),"",--MID('Key Analysis'!$C2,98,1))</f>
        <v/>
      </c>
      <c r="IC6" s="29" t="str">
        <f>IF(OR($B6="",$A6&lt;99),"",--MID('Key Analysis'!$C2,99,1))</f>
        <v/>
      </c>
      <c r="ID6" s="29" t="str">
        <f>IF(OR($B6="",$A6&lt;100),"",--MID('Key Analysis'!$C2,100,1))</f>
        <v/>
      </c>
      <c r="IE6" s="29" t="str">
        <f>IF(OR($B6="",$A6&lt;101),"",--MID('Key Analysis'!$C2,101,1))</f>
        <v/>
      </c>
      <c r="IF6" s="29" t="str">
        <f>IF(OR($B6="",$A6&lt;102),"",--MID('Key Analysis'!$C2,102,1))</f>
        <v/>
      </c>
      <c r="IG6" s="29" t="str">
        <f>IF(OR($B6="",$A6&lt;103),"",--MID('Key Analysis'!$C2,103,1))</f>
        <v/>
      </c>
      <c r="IH6" s="29" t="str">
        <f>IF(OR($B6="",$A6&lt;104),"",--MID('Key Analysis'!$C2,104,1))</f>
        <v/>
      </c>
      <c r="II6" s="29" t="str">
        <f>IF(OR($B6="",$A6&lt;105),"",--MID('Key Analysis'!$C2,105,1))</f>
        <v/>
      </c>
      <c r="IJ6" s="29" t="str">
        <f>IF(OR($B6="",$A6&lt;106),"",--MID('Key Analysis'!$C2,106,1))</f>
        <v/>
      </c>
      <c r="IK6" s="29" t="str">
        <f>IF(OR($B6="",$A6&lt;107),"",--MID('Key Analysis'!$C2,107,1))</f>
        <v/>
      </c>
      <c r="IL6" s="29" t="str">
        <f>IF(OR($B6="",$A6&lt;108),"",--MID('Key Analysis'!$C2,108,1))</f>
        <v/>
      </c>
      <c r="IM6" s="29" t="str">
        <f>IF(OR($B6="",$A6&lt;109),"",--MID('Key Analysis'!$C2,109,1))</f>
        <v/>
      </c>
      <c r="IN6" s="29" t="str">
        <f>IF(OR($B6="",$A6&lt;110),"",--MID('Key Analysis'!$C2,110,1))</f>
        <v/>
      </c>
      <c r="IO6" s="29" t="str">
        <f>IF(OR($B6="",$A6&lt;111),"",--MID('Key Analysis'!$C2,111,1))</f>
        <v/>
      </c>
      <c r="IP6" s="29" t="str">
        <f>IF(OR($B6="",$A6&lt;112),"",--MID('Key Analysis'!$C2,112,1))</f>
        <v/>
      </c>
      <c r="IQ6" s="29" t="str">
        <f>IF(OR($B6="",$A6&lt;113),"",--MID('Key Analysis'!$C2,113,1))</f>
        <v/>
      </c>
      <c r="IR6" s="29" t="str">
        <f>IF(OR($B6="",$A6&lt;114),"",--MID('Key Analysis'!$C2,114,1))</f>
        <v/>
      </c>
      <c r="IS6" s="29" t="str">
        <f>IF(OR($B6="",$A6&lt;115),"",--MID('Key Analysis'!$C2,115,1))</f>
        <v/>
      </c>
      <c r="IT6" s="29" t="str">
        <f>IF(OR($B6="",$A6&lt;116),"",--MID('Key Analysis'!$C2,116,1))</f>
        <v/>
      </c>
      <c r="IU6" s="29" t="str">
        <f>IF(OR($B6="",$A6&lt;117),"",--MID('Key Analysis'!$C2,117,1))</f>
        <v/>
      </c>
      <c r="IV6" s="29" t="str">
        <f>IF(OR($B6="",$A6&lt;118),"",--MID('Key Analysis'!$C2,118,1))</f>
        <v/>
      </c>
      <c r="IW6" s="29" t="str">
        <f>IF(OR($B6="",$A6&lt;119),"",--MID('Key Analysis'!$C2,119,1))</f>
        <v/>
      </c>
      <c r="IX6" s="29" t="str">
        <f>IF(OR($B6="",$A6&lt;120),"",--MID('Key Analysis'!$C2,120,1))</f>
        <v/>
      </c>
      <c r="IY6" s="29" t="str">
        <f>IF(OR($B6="",$A6&lt;121),"",--MID('Key Analysis'!$C2,121,1))</f>
        <v/>
      </c>
      <c r="IZ6" s="29" t="str">
        <f>IF(OR($B6="",$A6&lt;122),"",--MID('Key Analysis'!$C2,122,1))</f>
        <v/>
      </c>
      <c r="JA6" s="29" t="str">
        <f>IF(OR($B6="",$A6&lt;123),"",--MID('Key Analysis'!$C2,123,1))</f>
        <v/>
      </c>
      <c r="JB6" s="29" t="str">
        <f>IF(OR($B6="",$A6&lt;124),"",--MID('Key Analysis'!$C2,124,1))</f>
        <v/>
      </c>
      <c r="JC6" s="29" t="str">
        <f>IF(OR($B6="",$A6&lt;125),"",--MID('Key Analysis'!$C2,125,1))</f>
        <v/>
      </c>
      <c r="JD6" s="29" t="str">
        <f>IF(OR($B6="",$A6&lt;126),"",--MID('Key Analysis'!$C2,126,1))</f>
        <v/>
      </c>
      <c r="JE6" s="29" t="str">
        <f>IF(OR($B6="",$A6&lt;127),"",--MID('Key Analysis'!$C2,127,1))</f>
        <v/>
      </c>
      <c r="JF6" s="29" t="str">
        <f>IF(OR($B6="",$A6&lt;128),"",--MID('Key Analysis'!$C2,128,1))</f>
        <v/>
      </c>
      <c r="JG6" s="29" t="str">
        <f>IF(OR($B6="",$A6&lt;129),"",--MID('Key Analysis'!$C2,129,1))</f>
        <v/>
      </c>
      <c r="JH6" s="29" t="str">
        <f>IF(OR($B6="",$A6&lt;130),"",--MID('Key Analysis'!$C2,130,1))</f>
        <v/>
      </c>
      <c r="JI6" s="29" t="str">
        <f>IF(OR($B6="",$A6&lt;131),"",--MID('Key Analysis'!$C2,131,1))</f>
        <v/>
      </c>
      <c r="JJ6" s="29" t="str">
        <f>IF(OR($B6="",$A6&lt;132),"",--MID('Key Analysis'!$C2,132,1))</f>
        <v/>
      </c>
      <c r="JK6" s="29" t="str">
        <f>IF(OR($B6="",$A6&lt;133),"",--MID('Key Analysis'!$C2,133,1))</f>
        <v/>
      </c>
      <c r="JL6" s="29" t="str">
        <f>IF(OR($B6="",$A6&lt;134),"",--MID('Key Analysis'!$C2,134,1))</f>
        <v/>
      </c>
      <c r="JM6" s="29" t="str">
        <f>IF(OR($B6="",$A6&lt;135),"",--MID('Key Analysis'!$C2,135,1))</f>
        <v/>
      </c>
    </row>
    <row r="7" spans="1:273" x14ac:dyDescent="0.25">
      <c r="A7" s="21">
        <f>'Key Analysis'!A3</f>
        <v>2</v>
      </c>
      <c r="B7" s="30" t="str">
        <f>'Key Analysis'!B3</f>
        <v>3</v>
      </c>
      <c r="C7" s="29">
        <f>IF(OR($B7="",$A7&lt;=0),"",--MID('Key Analysis'!$C3,$A7-0,1))</f>
        <v>1</v>
      </c>
      <c r="D7" s="29">
        <f>IF(OR($B7="",$A7&lt;=1),"",--MID('Key Analysis'!$C3,$A7-1,1))</f>
        <v>1</v>
      </c>
      <c r="E7" s="29" t="str">
        <f>IF(OR($B7="",$A7&lt;=2),"",--MID('Key Analysis'!$C3,$A7-2,1))</f>
        <v/>
      </c>
      <c r="F7" s="29" t="str">
        <f>IF(OR($B7="",$A7&lt;=3),"",--MID('Key Analysis'!$C3,$A7-3,1))</f>
        <v/>
      </c>
      <c r="G7" s="29" t="str">
        <f>IF(OR($B7="",$A7&lt;=4),"",--MID('Key Analysis'!$C3,$A7-4,1))</f>
        <v/>
      </c>
      <c r="H7" s="29" t="str">
        <f>IF(OR($B7="",$A7&lt;=5),"",--MID('Key Analysis'!$C3,$A7-5,1))</f>
        <v/>
      </c>
      <c r="I7" s="29" t="str">
        <f>IF(OR($B7="",$A7&lt;=6),"",--MID('Key Analysis'!$C3,$A7-6,1))</f>
        <v/>
      </c>
      <c r="J7" s="29" t="str">
        <f>IF(OR($B7="",$A7&lt;=7),"",--MID('Key Analysis'!$C3,$A7-7,1))</f>
        <v/>
      </c>
      <c r="K7" s="29" t="str">
        <f>IF(OR($B7="",$A7&lt;=8),"",--MID('Key Analysis'!$C3,$A7-8,1))</f>
        <v/>
      </c>
      <c r="L7" s="29" t="str">
        <f>IF(OR($B7="",$A7&lt;=9),"",--MID('Key Analysis'!$C3,$A7-9,1))</f>
        <v/>
      </c>
      <c r="M7" s="29" t="str">
        <f>IF(OR($B7="",$A7&lt;=10),"",--MID('Key Analysis'!$C3,$A7-10,1))</f>
        <v/>
      </c>
      <c r="N7" s="29" t="str">
        <f>IF(OR($B7="",$A7&lt;=11),"",--MID('Key Analysis'!$C3,$A7-11,1))</f>
        <v/>
      </c>
      <c r="O7" s="29" t="str">
        <f>IF(OR($B7="",$A7&lt;=12),"",--MID('Key Analysis'!$C3,$A7-12,1))</f>
        <v/>
      </c>
      <c r="P7" s="29" t="str">
        <f>IF(OR($B7="",$A7&lt;=13),"",--MID('Key Analysis'!$C3,$A7-13,1))</f>
        <v/>
      </c>
      <c r="Q7" s="29" t="str">
        <f>IF(OR($B7="",$A7&lt;=14),"",--MID('Key Analysis'!$C3,$A7-14,1))</f>
        <v/>
      </c>
      <c r="R7" s="29" t="str">
        <f>IF(OR($B7="",$A7&lt;=15),"",--MID('Key Analysis'!$C3,$A7-15,1))</f>
        <v/>
      </c>
      <c r="S7" s="29" t="str">
        <f>IF(OR($B7="",$A7&lt;=16),"",--MID('Key Analysis'!$C3,$A7-16,1))</f>
        <v/>
      </c>
      <c r="T7" s="29" t="str">
        <f>IF(OR($B7="",$A7&lt;=17),"",--MID('Key Analysis'!$C3,$A7-17,1))</f>
        <v/>
      </c>
      <c r="U7" s="29" t="str">
        <f>IF(OR($B7="",$A7&lt;=18),"",--MID('Key Analysis'!$C3,$A7-18,1))</f>
        <v/>
      </c>
      <c r="V7" s="29" t="str">
        <f>IF(OR($B7="",$A7&lt;=19),"",--MID('Key Analysis'!$C3,$A7-19,1))</f>
        <v/>
      </c>
      <c r="W7" s="29" t="str">
        <f>IF(OR($B7="",$A7&lt;=20),"",--MID('Key Analysis'!$C3,$A7-20,1))</f>
        <v/>
      </c>
      <c r="X7" s="29" t="str">
        <f>IF(OR($B7="",$A7&lt;=21),"",--MID('Key Analysis'!$C3,$A7-21,1))</f>
        <v/>
      </c>
      <c r="Y7" s="29" t="str">
        <f>IF(OR($B7="",$A7&lt;=22),"",--MID('Key Analysis'!$C3,$A7-22,1))</f>
        <v/>
      </c>
      <c r="Z7" s="29" t="str">
        <f>IF(OR($B7="",$A7&lt;=23),"",--MID('Key Analysis'!$C3,$A7-23,1))</f>
        <v/>
      </c>
      <c r="AA7" s="29" t="str">
        <f>IF(OR($B7="",$A7&lt;=24),"",--MID('Key Analysis'!$C3,$A7-24,1))</f>
        <v/>
      </c>
      <c r="AB7" s="29" t="str">
        <f>IF(OR($B7="",$A7&lt;=25),"",--MID('Key Analysis'!$C3,$A7-25,1))</f>
        <v/>
      </c>
      <c r="AC7" s="29" t="str">
        <f>IF(OR($B7="",$A7&lt;=26),"",--MID('Key Analysis'!$C3,$A7-26,1))</f>
        <v/>
      </c>
      <c r="AD7" s="29" t="str">
        <f>IF(OR($B7="",$A7&lt;=27),"",--MID('Key Analysis'!$C3,$A7-27,1))</f>
        <v/>
      </c>
      <c r="AE7" s="29" t="str">
        <f>IF(OR($B7="",$A7&lt;=28),"",--MID('Key Analysis'!$C3,$A7-28,1))</f>
        <v/>
      </c>
      <c r="AF7" s="29" t="str">
        <f>IF(OR($B7="",$A7&lt;=29),"",--MID('Key Analysis'!$C3,$A7-29,1))</f>
        <v/>
      </c>
      <c r="AG7" s="29" t="str">
        <f>IF(OR($B7="",$A7&lt;=30),"",--MID('Key Analysis'!$C3,$A7-30,1))</f>
        <v/>
      </c>
      <c r="AH7" s="29" t="str">
        <f>IF(OR($B7="",$A7&lt;=31),"",--MID('Key Analysis'!$C3,$A7-31,1))</f>
        <v/>
      </c>
      <c r="AI7" s="29" t="str">
        <f>IF(OR($B7="",$A7&lt;=32),"",--MID('Key Analysis'!$C3,$A7-32,1))</f>
        <v/>
      </c>
      <c r="AJ7" s="29" t="str">
        <f>IF(OR($B7="",$A7&lt;=33),"",--MID('Key Analysis'!$C3,$A7-33,1))</f>
        <v/>
      </c>
      <c r="AK7" s="29" t="str">
        <f>IF(OR($B7="",$A7&lt;=34),"",--MID('Key Analysis'!$C3,$A7-34,1))</f>
        <v/>
      </c>
      <c r="AL7" s="29" t="str">
        <f>IF(OR($B7="",$A7&lt;=35),"",--MID('Key Analysis'!$C3,$A7-35,1))</f>
        <v/>
      </c>
      <c r="AM7" s="29" t="str">
        <f>IF(OR($B7="",$A7&lt;=36),"",--MID('Key Analysis'!$C3,$A7-36,1))</f>
        <v/>
      </c>
      <c r="AN7" s="29" t="str">
        <f>IF(OR($B7="",$A7&lt;=37),"",--MID('Key Analysis'!$C3,$A7-37,1))</f>
        <v/>
      </c>
      <c r="AO7" s="29" t="str">
        <f>IF(OR($B7="",$A7&lt;=38),"",--MID('Key Analysis'!$C3,$A7-38,1))</f>
        <v/>
      </c>
      <c r="AP7" s="29" t="str">
        <f>IF(OR($B7="",$A7&lt;=39),"",--MID('Key Analysis'!$C3,$A7-39,1))</f>
        <v/>
      </c>
      <c r="AQ7" s="29" t="str">
        <f>IF(OR($B7="",$A7&lt;=40),"",--MID('Key Analysis'!$C3,$A7-40,1))</f>
        <v/>
      </c>
      <c r="AR7" s="29" t="str">
        <f>IF(OR($B7="",$A7&lt;=41),"",--MID('Key Analysis'!$C3,$A7-41,1))</f>
        <v/>
      </c>
      <c r="AS7" s="29" t="str">
        <f>IF(OR($B7="",$A7&lt;=42),"",--MID('Key Analysis'!$C3,$A7-42,1))</f>
        <v/>
      </c>
      <c r="AT7" s="29" t="str">
        <f>IF(OR($B7="",$A7&lt;=43),"",--MID('Key Analysis'!$C3,$A7-43,1))</f>
        <v/>
      </c>
      <c r="AU7" s="29" t="str">
        <f>IF(OR($B7="",$A7&lt;=44),"",--MID('Key Analysis'!$C3,$A7-44,1))</f>
        <v/>
      </c>
      <c r="AV7" s="29" t="str">
        <f>IF(OR($B7="",$A7&lt;=45),"",--MID('Key Analysis'!$C3,$A7-45,1))</f>
        <v/>
      </c>
      <c r="AW7" s="29" t="str">
        <f>IF(OR($B7="",$A7&lt;=46),"",--MID('Key Analysis'!$C3,$A7-46,1))</f>
        <v/>
      </c>
      <c r="AX7" s="29" t="str">
        <f>IF(OR($B7="",$A7&lt;=47),"",--MID('Key Analysis'!$C3,$A7-47,1))</f>
        <v/>
      </c>
      <c r="AY7" s="29" t="str">
        <f>IF(OR($B7="",$A7&lt;=48),"",--MID('Key Analysis'!$C3,$A7-48,1))</f>
        <v/>
      </c>
      <c r="AZ7" s="29" t="str">
        <f>IF(OR($B7="",$A7&lt;=49),"",--MID('Key Analysis'!$C3,$A7-49,1))</f>
        <v/>
      </c>
      <c r="BA7" s="29" t="str">
        <f>IF(OR($B7="",$A7&lt;=50),"",--MID('Key Analysis'!$C3,$A7-50,1))</f>
        <v/>
      </c>
      <c r="BB7" s="29" t="str">
        <f>IF(OR($B7="",$A7&lt;=51),"",--MID('Key Analysis'!$C3,$A7-51,1))</f>
        <v/>
      </c>
      <c r="BC7" s="29" t="str">
        <f>IF(OR($B7="",$A7&lt;=52),"",--MID('Key Analysis'!$C3,$A7-52,1))</f>
        <v/>
      </c>
      <c r="BD7" s="29" t="str">
        <f>IF(OR($B7="",$A7&lt;=53),"",--MID('Key Analysis'!$C3,$A7-53,1))</f>
        <v/>
      </c>
      <c r="BE7" s="29" t="str">
        <f>IF(OR($B7="",$A7&lt;=54),"",--MID('Key Analysis'!$C3,$A7-54,1))</f>
        <v/>
      </c>
      <c r="BF7" s="29" t="str">
        <f>IF(OR($B7="",$A7&lt;=55),"",--MID('Key Analysis'!$C3,$A7-55,1))</f>
        <v/>
      </c>
      <c r="BG7" s="29" t="str">
        <f>IF(OR($B7="",$A7&lt;=56),"",--MID('Key Analysis'!$C3,$A7-56,1))</f>
        <v/>
      </c>
      <c r="BH7" s="29" t="str">
        <f>IF(OR($B7="",$A7&lt;=57),"",--MID('Key Analysis'!$C3,$A7-57,1))</f>
        <v/>
      </c>
      <c r="BI7" s="29" t="str">
        <f>IF(OR($B7="",$A7&lt;=58),"",--MID('Key Analysis'!$C3,$A7-58,1))</f>
        <v/>
      </c>
      <c r="BJ7" s="29" t="str">
        <f>IF(OR($B7="",$A7&lt;=59),"",--MID('Key Analysis'!$C3,$A7-59,1))</f>
        <v/>
      </c>
      <c r="BK7" s="29" t="str">
        <f>IF(OR($B7="",$A7&lt;=60),"",--MID('Key Analysis'!$C3,$A7-60,1))</f>
        <v/>
      </c>
      <c r="BL7" s="29" t="str">
        <f>IF(OR($B7="",$A7&lt;=61),"",--MID('Key Analysis'!$C3,$A7-61,1))</f>
        <v/>
      </c>
      <c r="BM7" s="29" t="str">
        <f>IF(OR($B7="",$A7&lt;=62),"",--MID('Key Analysis'!$C3,$A7-62,1))</f>
        <v/>
      </c>
      <c r="BN7" s="29" t="str">
        <f>IF(OR($B7="",$A7&lt;=63),"",--MID('Key Analysis'!$C3,$A7-63,1))</f>
        <v/>
      </c>
      <c r="BO7" s="29" t="str">
        <f>IF(OR($B7="",$A7&lt;=64),"",--MID('Key Analysis'!$C3,$A7-64,1))</f>
        <v/>
      </c>
      <c r="BP7" s="29" t="str">
        <f>IF(OR($B7="",$A7&lt;=65),"",--MID('Key Analysis'!$C3,$A7-65,1))</f>
        <v/>
      </c>
      <c r="BQ7" s="29" t="str">
        <f>IF(OR($B7="",$A7&lt;=66),"",--MID('Key Analysis'!$C3,$A7-66,1))</f>
        <v/>
      </c>
      <c r="BR7" s="29" t="str">
        <f>IF(OR($B7="",$A7&lt;=67),"",--MID('Key Analysis'!$C3,$A7-67,1))</f>
        <v/>
      </c>
      <c r="BS7" s="29" t="str">
        <f>IF(OR($B7="",$A7&lt;=68),"",--MID('Key Analysis'!$C3,$A7-68,1))</f>
        <v/>
      </c>
      <c r="BT7" s="29" t="str">
        <f>IF(OR($B7="",$A7&lt;=69),"",--MID('Key Analysis'!$C3,$A7-69,1))</f>
        <v/>
      </c>
      <c r="BU7" s="29" t="str">
        <f>IF(OR($B7="",$A7&lt;=70),"",--MID('Key Analysis'!$C3,$A7-70,1))</f>
        <v/>
      </c>
      <c r="BV7" s="29" t="str">
        <f>IF(OR($B7="",$A7&lt;=71),"",--MID('Key Analysis'!$C3,$A7-71,1))</f>
        <v/>
      </c>
      <c r="BW7" s="29" t="str">
        <f>IF(OR($B7="",$A7&lt;=72),"",--MID('Key Analysis'!$C3,$A7-72,1))</f>
        <v/>
      </c>
      <c r="BX7" s="29" t="str">
        <f>IF(OR($B7="",$A7&lt;=73),"",--MID('Key Analysis'!$C3,$A7-73,1))</f>
        <v/>
      </c>
      <c r="BY7" s="29" t="str">
        <f>IF(OR($B7="",$A7&lt;=74),"",--MID('Key Analysis'!$C3,$A7-74,1))</f>
        <v/>
      </c>
      <c r="BZ7" s="29" t="str">
        <f>IF(OR($B7="",$A7&lt;=75),"",--MID('Key Analysis'!$C3,$A7-75,1))</f>
        <v/>
      </c>
      <c r="CA7" s="29" t="str">
        <f>IF(OR($B7="",$A7&lt;=76),"",--MID('Key Analysis'!$C3,$A7-76,1))</f>
        <v/>
      </c>
      <c r="CB7" s="29" t="str">
        <f>IF(OR($B7="",$A7&lt;=77),"",--MID('Key Analysis'!$C3,$A7-77,1))</f>
        <v/>
      </c>
      <c r="CC7" s="29" t="str">
        <f>IF(OR($B7="",$A7&lt;=78),"",--MID('Key Analysis'!$C3,$A7-78,1))</f>
        <v/>
      </c>
      <c r="CD7" s="29" t="str">
        <f>IF(OR($B7="",$A7&lt;=79),"",--MID('Key Analysis'!$C3,$A7-79,1))</f>
        <v/>
      </c>
      <c r="CE7" s="29" t="str">
        <f>IF(OR($B7="",$A7&lt;=80),"",--MID('Key Analysis'!$C3,$A7-80,1))</f>
        <v/>
      </c>
      <c r="CF7" s="29" t="str">
        <f>IF(OR($B7="",$A7&lt;=81),"",--MID('Key Analysis'!$C3,$A7-81,1))</f>
        <v/>
      </c>
      <c r="CG7" s="29" t="str">
        <f>IF(OR($B7="",$A7&lt;=82),"",--MID('Key Analysis'!$C3,$A7-82,1))</f>
        <v/>
      </c>
      <c r="CH7" s="29" t="str">
        <f>IF(OR($B7="",$A7&lt;=83),"",--MID('Key Analysis'!$C3,$A7-83,1))</f>
        <v/>
      </c>
      <c r="CI7" s="29" t="str">
        <f>IF(OR($B7="",$A7&lt;=84),"",--MID('Key Analysis'!$C3,$A7-84,1))</f>
        <v/>
      </c>
      <c r="CJ7" s="29" t="str">
        <f>IF(OR($B7="",$A7&lt;=85),"",--MID('Key Analysis'!$C3,$A7-85,1))</f>
        <v/>
      </c>
      <c r="CK7" s="29" t="str">
        <f>IF(OR($B7="",$A7&lt;=86),"",--MID('Key Analysis'!$C3,$A7-86,1))</f>
        <v/>
      </c>
      <c r="CL7" s="29" t="str">
        <f>IF(OR($B7="",$A7&lt;=87),"",--MID('Key Analysis'!$C3,$A7-87,1))</f>
        <v/>
      </c>
      <c r="CM7" s="29" t="str">
        <f>IF(OR($B7="",$A7&lt;=88),"",--MID('Key Analysis'!$C3,$A7-88,1))</f>
        <v/>
      </c>
      <c r="CN7" s="29" t="str">
        <f>IF(OR($B7="",$A7&lt;=89),"",--MID('Key Analysis'!$C3,$A7-89,1))</f>
        <v/>
      </c>
      <c r="CO7" s="29" t="str">
        <f>IF(OR($B7="",$A7&lt;=90),"",--MID('Key Analysis'!$C3,$A7-90,1))</f>
        <v/>
      </c>
      <c r="CP7" s="29" t="str">
        <f>IF(OR($B7="",$A7&lt;=91),"",--MID('Key Analysis'!$C3,$A7-91,1))</f>
        <v/>
      </c>
      <c r="CQ7" s="29" t="str">
        <f>IF(OR($B7="",$A7&lt;=92),"",--MID('Key Analysis'!$C3,$A7-92,1))</f>
        <v/>
      </c>
      <c r="CR7" s="29" t="str">
        <f>IF(OR($B7="",$A7&lt;=93),"",--MID('Key Analysis'!$C3,$A7-93,1))</f>
        <v/>
      </c>
      <c r="CS7" s="29" t="str">
        <f>IF(OR($B7="",$A7&lt;=94),"",--MID('Key Analysis'!$C3,$A7-94,1))</f>
        <v/>
      </c>
      <c r="CT7" s="29" t="str">
        <f>IF(OR($B7="",$A7&lt;=95),"",--MID('Key Analysis'!$C3,$A7-95,1))</f>
        <v/>
      </c>
      <c r="CU7" s="29" t="str">
        <f>IF(OR($B7="",$A7&lt;=96),"",--MID('Key Analysis'!$C3,$A7-96,1))</f>
        <v/>
      </c>
      <c r="CV7" s="29" t="str">
        <f>IF(OR($B7="",$A7&lt;=97),"",--MID('Key Analysis'!$C3,$A7-97,1))</f>
        <v/>
      </c>
      <c r="CW7" s="29" t="str">
        <f>IF(OR($B7="",$A7&lt;=98),"",--MID('Key Analysis'!$C3,$A7-98,1))</f>
        <v/>
      </c>
      <c r="CX7" s="29" t="str">
        <f>IF(OR($B7="",$A7&lt;=99),"",--MID('Key Analysis'!$C3,$A7-99,1))</f>
        <v/>
      </c>
      <c r="CY7" s="29" t="str">
        <f>IF(OR($B7="",$A7&lt;=100),"",--MID('Key Analysis'!$C3,$A7-100,1))</f>
        <v/>
      </c>
      <c r="CZ7" s="29" t="str">
        <f>IF(OR($B7="",$A7&lt;=101),"",--MID('Key Analysis'!$C3,$A7-101,1))</f>
        <v/>
      </c>
      <c r="DA7" s="29" t="str">
        <f>IF(OR($B7="",$A7&lt;=102),"",--MID('Key Analysis'!$C3,$A7-102,1))</f>
        <v/>
      </c>
      <c r="DB7" s="29" t="str">
        <f>IF(OR($B7="",$A7&lt;=103),"",--MID('Key Analysis'!$C3,$A7-103,1))</f>
        <v/>
      </c>
      <c r="DC7" s="29" t="str">
        <f>IF(OR($B7="",$A7&lt;=104),"",--MID('Key Analysis'!$C3,$A7-104,1))</f>
        <v/>
      </c>
      <c r="DD7" s="29" t="str">
        <f>IF(OR($B7="",$A7&lt;=105),"",--MID('Key Analysis'!$C3,$A7-105,1))</f>
        <v/>
      </c>
      <c r="DE7" s="29" t="str">
        <f>IF(OR($B7="",$A7&lt;=106),"",--MID('Key Analysis'!$C3,$A7-106,1))</f>
        <v/>
      </c>
      <c r="DF7" s="29" t="str">
        <f>IF(OR($B7="",$A7&lt;=107),"",--MID('Key Analysis'!$C3,$A7-107,1))</f>
        <v/>
      </c>
      <c r="DG7" s="29" t="str">
        <f>IF(OR($B7="",$A7&lt;=108),"",--MID('Key Analysis'!$C3,$A7-108,1))</f>
        <v/>
      </c>
      <c r="DH7" s="29" t="str">
        <f>IF(OR($B7="",$A7&lt;=109),"",--MID('Key Analysis'!$C3,$A7-109,1))</f>
        <v/>
      </c>
      <c r="DI7" s="29" t="str">
        <f>IF(OR($B7="",$A7&lt;=110),"",--MID('Key Analysis'!$C3,$A7-110,1))</f>
        <v/>
      </c>
      <c r="DJ7" s="29" t="str">
        <f>IF(OR($B7="",$A7&lt;=111),"",--MID('Key Analysis'!$C3,$A7-111,1))</f>
        <v/>
      </c>
      <c r="DK7" s="29" t="str">
        <f>IF(OR($B7="",$A7&lt;=112),"",--MID('Key Analysis'!$C3,$A7-112,1))</f>
        <v/>
      </c>
      <c r="DL7" s="29" t="str">
        <f>IF(OR($B7="",$A7&lt;=113),"",--MID('Key Analysis'!$C3,$A7-113,1))</f>
        <v/>
      </c>
      <c r="DM7" s="29" t="str">
        <f>IF(OR($B7="",$A7&lt;=114),"",--MID('Key Analysis'!$C3,$A7-114,1))</f>
        <v/>
      </c>
      <c r="DN7" s="29" t="str">
        <f>IF(OR($B7="",$A7&lt;=115),"",--MID('Key Analysis'!$C3,$A7-115,1))</f>
        <v/>
      </c>
      <c r="DO7" s="29" t="str">
        <f>IF(OR($B7="",$A7&lt;=116),"",--MID('Key Analysis'!$C3,$A7-116,1))</f>
        <v/>
      </c>
      <c r="DP7" s="29" t="str">
        <f>IF(OR($B7="",$A7&lt;=117),"",--MID('Key Analysis'!$C3,$A7-117,1))</f>
        <v/>
      </c>
      <c r="DQ7" s="29" t="str">
        <f>IF(OR($B7="",$A7&lt;=118),"",--MID('Key Analysis'!$C3,$A7-118,1))</f>
        <v/>
      </c>
      <c r="DR7" s="29" t="str">
        <f>IF(OR($B7="",$A7&lt;=119),"",--MID('Key Analysis'!$C3,$A7-119,1))</f>
        <v/>
      </c>
      <c r="DS7" s="29" t="str">
        <f>IF(OR($B7="",$A7&lt;=120),"",--MID('Key Analysis'!$C3,$A7-120,1))</f>
        <v/>
      </c>
      <c r="DT7" s="29" t="str">
        <f>IF(OR($B7="",$A7&lt;=121),"",--MID('Key Analysis'!$C3,$A7-121,1))</f>
        <v/>
      </c>
      <c r="DU7" s="29" t="str">
        <f>IF(OR($B7="",$A7&lt;=122),"",--MID('Key Analysis'!$C3,$A7-122,1))</f>
        <v/>
      </c>
      <c r="DV7" s="29" t="str">
        <f>IF(OR($B7="",$A7&lt;=123),"",--MID('Key Analysis'!$C3,$A7-123,1))</f>
        <v/>
      </c>
      <c r="DW7" s="29" t="str">
        <f>IF(OR($B7="",$A7&lt;=124),"",--MID('Key Analysis'!$C3,$A7-124,1))</f>
        <v/>
      </c>
      <c r="DX7" s="29" t="str">
        <f>IF(OR($B7="",$A7&lt;=125),"",--MID('Key Analysis'!$C3,$A7-125,1))</f>
        <v/>
      </c>
      <c r="DY7" s="29" t="str">
        <f>IF(OR($B7="",$A7&lt;=126),"",--MID('Key Analysis'!$C3,$A7-126,1))</f>
        <v/>
      </c>
      <c r="DZ7" s="29" t="str">
        <f>IF(OR($B7="",$A7&lt;=127),"",--MID('Key Analysis'!$C3,$A7-127,1))</f>
        <v/>
      </c>
      <c r="EA7" s="29" t="str">
        <f>IF(OR($B7="",$A7&lt;=128),"",--MID('Key Analysis'!$C3,$A7-128,1))</f>
        <v/>
      </c>
      <c r="EB7" s="29" t="str">
        <f>IF(OR($B7="",$A7&lt;=129),"",--MID('Key Analysis'!$C3,$A7-129,1))</f>
        <v/>
      </c>
      <c r="EC7" s="29" t="str">
        <f>IF(OR($B7="",$A7&lt;=130),"",--MID('Key Analysis'!$C3,$A7-130,1))</f>
        <v/>
      </c>
      <c r="ED7" s="29" t="str">
        <f>IF(OR($B7="",$A7&lt;=131),"",--MID('Key Analysis'!$C3,$A7-131,1))</f>
        <v/>
      </c>
      <c r="EE7" s="29" t="str">
        <f>IF(OR($B7="",$A7&lt;=132),"",--MID('Key Analysis'!$C3,$A7-132,1))</f>
        <v/>
      </c>
      <c r="EF7" s="29" t="str">
        <f>IF(OR($B7="",$A7&lt;=133),"",--MID('Key Analysis'!$C3,$A7-133,1))</f>
        <v/>
      </c>
      <c r="EG7" s="29" t="str">
        <f>IF(OR($B7="",$A7&lt;=134),"",--MID('Key Analysis'!$C3,$A7-134,1))</f>
        <v/>
      </c>
      <c r="EH7" s="29"/>
      <c r="EI7" s="29">
        <f>IF(OR($B7="",$A7&lt;1),"",--MID('Key Analysis'!$C3,1,1))</f>
        <v>1</v>
      </c>
      <c r="EJ7" s="29">
        <f>IF(OR($B7="",$A7&lt;2),"",--MID('Key Analysis'!$C3,2,1))</f>
        <v>1</v>
      </c>
      <c r="EK7" s="29" t="str">
        <f>IF(OR($B7="",$A7&lt;3),"",--MID('Key Analysis'!$C3,3,1))</f>
        <v/>
      </c>
      <c r="EL7" s="29" t="str">
        <f>IF(OR($B7="",$A7&lt;4),"",--MID('Key Analysis'!$C3,4,1))</f>
        <v/>
      </c>
      <c r="EM7" s="29" t="str">
        <f>IF(OR($B7="",$A7&lt;5),"",--MID('Key Analysis'!$C3,5,1))</f>
        <v/>
      </c>
      <c r="EN7" s="29" t="str">
        <f>IF(OR($B7="",$A7&lt;6),"",--MID('Key Analysis'!$C3,6,1))</f>
        <v/>
      </c>
      <c r="EO7" s="29" t="str">
        <f>IF(OR($B7="",$A7&lt;7),"",--MID('Key Analysis'!$C3,7,1))</f>
        <v/>
      </c>
      <c r="EP7" s="29" t="str">
        <f>IF(OR($B7="",$A7&lt;8),"",--MID('Key Analysis'!$C3,8,1))</f>
        <v/>
      </c>
      <c r="EQ7" s="29" t="str">
        <f>IF(OR($B7="",$A7&lt;9),"",--MID('Key Analysis'!$C3,9,1))</f>
        <v/>
      </c>
      <c r="ER7" s="29" t="str">
        <f>IF(OR($B7="",$A7&lt;10),"",--MID('Key Analysis'!$C3,10,1))</f>
        <v/>
      </c>
      <c r="ES7" s="29" t="str">
        <f>IF(OR($B7="",$A7&lt;11),"",--MID('Key Analysis'!$C3,11,1))</f>
        <v/>
      </c>
      <c r="ET7" s="29" t="str">
        <f>IF(OR($B7="",$A7&lt;12),"",--MID('Key Analysis'!$C3,12,1))</f>
        <v/>
      </c>
      <c r="EU7" s="29" t="str">
        <f>IF(OR($B7="",$A7&lt;13),"",--MID('Key Analysis'!$C3,13,1))</f>
        <v/>
      </c>
      <c r="EV7" s="29" t="str">
        <f>IF(OR($B7="",$A7&lt;14),"",--MID('Key Analysis'!$C3,14,1))</f>
        <v/>
      </c>
      <c r="EW7" s="29" t="str">
        <f>IF(OR($B7="",$A7&lt;15),"",--MID('Key Analysis'!$C3,15,1))</f>
        <v/>
      </c>
      <c r="EX7" s="29" t="str">
        <f>IF(OR($B7="",$A7&lt;16),"",--MID('Key Analysis'!$C3,16,1))</f>
        <v/>
      </c>
      <c r="EY7" s="29" t="str">
        <f>IF(OR($B7="",$A7&lt;17),"",--MID('Key Analysis'!$C3,17,1))</f>
        <v/>
      </c>
      <c r="EZ7" s="29" t="str">
        <f>IF(OR($B7="",$A7&lt;18),"",--MID('Key Analysis'!$C3,18,1))</f>
        <v/>
      </c>
      <c r="FA7" s="29" t="str">
        <f>IF(OR($B7="",$A7&lt;19),"",--MID('Key Analysis'!$C3,19,1))</f>
        <v/>
      </c>
      <c r="FB7" s="29" t="str">
        <f>IF(OR($B7="",$A7&lt;20),"",--MID('Key Analysis'!$C3,20,1))</f>
        <v/>
      </c>
      <c r="FC7" s="29" t="str">
        <f>IF(OR($B7="",$A7&lt;21),"",--MID('Key Analysis'!$C3,21,1))</f>
        <v/>
      </c>
      <c r="FD7" s="29" t="str">
        <f>IF(OR($B7="",$A7&lt;22),"",--MID('Key Analysis'!$C3,22,1))</f>
        <v/>
      </c>
      <c r="FE7" s="29" t="str">
        <f>IF(OR($B7="",$A7&lt;23),"",--MID('Key Analysis'!$C3,23,1))</f>
        <v/>
      </c>
      <c r="FF7" s="29" t="str">
        <f>IF(OR($B7="",$A7&lt;24),"",--MID('Key Analysis'!$C3,24,1))</f>
        <v/>
      </c>
      <c r="FG7" s="29" t="str">
        <f>IF(OR($B7="",$A7&lt;25),"",--MID('Key Analysis'!$C3,25,1))</f>
        <v/>
      </c>
      <c r="FH7" s="29" t="str">
        <f>IF(OR($B7="",$A7&lt;26),"",--MID('Key Analysis'!$C3,26,1))</f>
        <v/>
      </c>
      <c r="FI7" s="29" t="str">
        <f>IF(OR($B7="",$A7&lt;27),"",--MID('Key Analysis'!$C3,27,1))</f>
        <v/>
      </c>
      <c r="FJ7" s="29" t="str">
        <f>IF(OR($B7="",$A7&lt;28),"",--MID('Key Analysis'!$C3,28,1))</f>
        <v/>
      </c>
      <c r="FK7" s="29" t="str">
        <f>IF(OR($B7="",$A7&lt;29),"",--MID('Key Analysis'!$C3,29,1))</f>
        <v/>
      </c>
      <c r="FL7" s="29" t="str">
        <f>IF(OR($B7="",$A7&lt;30),"",--MID('Key Analysis'!$C3,30,1))</f>
        <v/>
      </c>
      <c r="FM7" s="29" t="str">
        <f>IF(OR($B7="",$A7&lt;31),"",--MID('Key Analysis'!$C3,31,1))</f>
        <v/>
      </c>
      <c r="FN7" s="29" t="str">
        <f>IF(OR($B7="",$A7&lt;32),"",--MID('Key Analysis'!$C3,32,1))</f>
        <v/>
      </c>
      <c r="FO7" s="29" t="str">
        <f>IF(OR($B7="",$A7&lt;33),"",--MID('Key Analysis'!$C3,33,1))</f>
        <v/>
      </c>
      <c r="FP7" s="29" t="str">
        <f>IF(OR($B7="",$A7&lt;34),"",--MID('Key Analysis'!$C3,34,1))</f>
        <v/>
      </c>
      <c r="FQ7" s="29" t="str">
        <f>IF(OR($B7="",$A7&lt;35),"",--MID('Key Analysis'!$C3,35,1))</f>
        <v/>
      </c>
      <c r="FR7" s="29" t="str">
        <f>IF(OR($B7="",$A7&lt;36),"",--MID('Key Analysis'!$C3,36,1))</f>
        <v/>
      </c>
      <c r="FS7" s="29" t="str">
        <f>IF(OR($B7="",$A7&lt;37),"",--MID('Key Analysis'!$C3,37,1))</f>
        <v/>
      </c>
      <c r="FT7" s="29" t="str">
        <f>IF(OR($B7="",$A7&lt;38),"",--MID('Key Analysis'!$C3,38,1))</f>
        <v/>
      </c>
      <c r="FU7" s="29" t="str">
        <f>IF(OR($B7="",$A7&lt;39),"",--MID('Key Analysis'!$C3,39,1))</f>
        <v/>
      </c>
      <c r="FV7" s="29" t="str">
        <f>IF(OR($B7="",$A7&lt;40),"",--MID('Key Analysis'!$C3,40,1))</f>
        <v/>
      </c>
      <c r="FW7" s="29" t="str">
        <f>IF(OR($B7="",$A7&lt;41),"",--MID('Key Analysis'!$C3,41,1))</f>
        <v/>
      </c>
      <c r="FX7" s="29" t="str">
        <f>IF(OR($B7="",$A7&lt;42),"",--MID('Key Analysis'!$C3,42,1))</f>
        <v/>
      </c>
      <c r="FY7" s="29" t="str">
        <f>IF(OR($B7="",$A7&lt;43),"",--MID('Key Analysis'!$C3,43,1))</f>
        <v/>
      </c>
      <c r="FZ7" s="29" t="str">
        <f>IF(OR($B7="",$A7&lt;44),"",--MID('Key Analysis'!$C3,44,1))</f>
        <v/>
      </c>
      <c r="GA7" s="29" t="str">
        <f>IF(OR($B7="",$A7&lt;45),"",--MID('Key Analysis'!$C3,45,1))</f>
        <v/>
      </c>
      <c r="GB7" s="29" t="str">
        <f>IF(OR($B7="",$A7&lt;46),"",--MID('Key Analysis'!$C3,46,1))</f>
        <v/>
      </c>
      <c r="GC7" s="29" t="str">
        <f>IF(OR($B7="",$A7&lt;47),"",--MID('Key Analysis'!$C3,47,1))</f>
        <v/>
      </c>
      <c r="GD7" s="29" t="str">
        <f>IF(OR($B7="",$A7&lt;48),"",--MID('Key Analysis'!$C3,48,1))</f>
        <v/>
      </c>
      <c r="GE7" s="29" t="str">
        <f>IF(OR($B7="",$A7&lt;49),"",--MID('Key Analysis'!$C3,49,1))</f>
        <v/>
      </c>
      <c r="GF7" s="29" t="str">
        <f>IF(OR($B7="",$A7&lt;50),"",--MID('Key Analysis'!$C3,50,1))</f>
        <v/>
      </c>
      <c r="GG7" s="29" t="str">
        <f>IF(OR($B7="",$A7&lt;51),"",--MID('Key Analysis'!$C3,51,1))</f>
        <v/>
      </c>
      <c r="GH7" s="29" t="str">
        <f>IF(OR($B7="",$A7&lt;52),"",--MID('Key Analysis'!$C3,52,1))</f>
        <v/>
      </c>
      <c r="GI7" s="29" t="str">
        <f>IF(OR($B7="",$A7&lt;53),"",--MID('Key Analysis'!$C3,53,1))</f>
        <v/>
      </c>
      <c r="GJ7" s="29" t="str">
        <f>IF(OR($B7="",$A7&lt;54),"",--MID('Key Analysis'!$C3,54,1))</f>
        <v/>
      </c>
      <c r="GK7" s="29" t="str">
        <f>IF(OR($B7="",$A7&lt;55),"",--MID('Key Analysis'!$C3,55,1))</f>
        <v/>
      </c>
      <c r="GL7" s="29" t="str">
        <f>IF(OR($B7="",$A7&lt;56),"",--MID('Key Analysis'!$C3,56,1))</f>
        <v/>
      </c>
      <c r="GM7" s="29" t="str">
        <f>IF(OR($B7="",$A7&lt;57),"",--MID('Key Analysis'!$C3,57,1))</f>
        <v/>
      </c>
      <c r="GN7" s="29" t="str">
        <f>IF(OR($B7="",$A7&lt;58),"",--MID('Key Analysis'!$C3,58,1))</f>
        <v/>
      </c>
      <c r="GO7" s="29" t="str">
        <f>IF(OR($B7="",$A7&lt;59),"",--MID('Key Analysis'!$C3,59,1))</f>
        <v/>
      </c>
      <c r="GP7" s="29" t="str">
        <f>IF(OR($B7="",$A7&lt;60),"",--MID('Key Analysis'!$C3,60,1))</f>
        <v/>
      </c>
      <c r="GQ7" s="29" t="str">
        <f>IF(OR($B7="",$A7&lt;61),"",--MID('Key Analysis'!$C3,61,1))</f>
        <v/>
      </c>
      <c r="GR7" s="29" t="str">
        <f>IF(OR($B7="",$A7&lt;62),"",--MID('Key Analysis'!$C3,62,1))</f>
        <v/>
      </c>
      <c r="GS7" s="29" t="str">
        <f>IF(OR($B7="",$A7&lt;63),"",--MID('Key Analysis'!$C3,63,1))</f>
        <v/>
      </c>
      <c r="GT7" s="29" t="str">
        <f>IF(OR($B7="",$A7&lt;64),"",--MID('Key Analysis'!$C3,64,1))</f>
        <v/>
      </c>
      <c r="GU7" s="29" t="str">
        <f>IF(OR($B7="",$A7&lt;65),"",--MID('Key Analysis'!$C3,65,1))</f>
        <v/>
      </c>
      <c r="GV7" s="29" t="str">
        <f>IF(OR($B7="",$A7&lt;66),"",--MID('Key Analysis'!$C3,66,1))</f>
        <v/>
      </c>
      <c r="GW7" s="29" t="str">
        <f>IF(OR($B7="",$A7&lt;67),"",--MID('Key Analysis'!$C3,67,1))</f>
        <v/>
      </c>
      <c r="GX7" s="29" t="str">
        <f>IF(OR($B7="",$A7&lt;68),"",--MID('Key Analysis'!$C3,68,1))</f>
        <v/>
      </c>
      <c r="GY7" s="29" t="str">
        <f>IF(OR($B7="",$A7&lt;69),"",--MID('Key Analysis'!$C3,69,1))</f>
        <v/>
      </c>
      <c r="GZ7" s="29" t="str">
        <f>IF(OR($B7="",$A7&lt;70),"",--MID('Key Analysis'!$C3,70,1))</f>
        <v/>
      </c>
      <c r="HA7" s="29" t="str">
        <f>IF(OR($B7="",$A7&lt;71),"",--MID('Key Analysis'!$C3,71,1))</f>
        <v/>
      </c>
      <c r="HB7" s="29" t="str">
        <f>IF(OR($B7="",$A7&lt;72),"",--MID('Key Analysis'!$C3,72,1))</f>
        <v/>
      </c>
      <c r="HC7" s="29" t="str">
        <f>IF(OR($B7="",$A7&lt;73),"",--MID('Key Analysis'!$C3,73,1))</f>
        <v/>
      </c>
      <c r="HD7" s="29" t="str">
        <f>IF(OR($B7="",$A7&lt;74),"",--MID('Key Analysis'!$C3,74,1))</f>
        <v/>
      </c>
      <c r="HE7" s="29" t="str">
        <f>IF(OR($B7="",$A7&lt;75),"",--MID('Key Analysis'!$C3,75,1))</f>
        <v/>
      </c>
      <c r="HF7" s="29" t="str">
        <f>IF(OR($B7="",$A7&lt;76),"",--MID('Key Analysis'!$C3,76,1))</f>
        <v/>
      </c>
      <c r="HG7" s="29" t="str">
        <f>IF(OR($B7="",$A7&lt;77),"",--MID('Key Analysis'!$C3,77,1))</f>
        <v/>
      </c>
      <c r="HH7" s="29" t="str">
        <f>IF(OR($B7="",$A7&lt;78),"",--MID('Key Analysis'!$C3,78,1))</f>
        <v/>
      </c>
      <c r="HI7" s="29" t="str">
        <f>IF(OR($B7="",$A7&lt;79),"",--MID('Key Analysis'!$C3,79,1))</f>
        <v/>
      </c>
      <c r="HJ7" s="29" t="str">
        <f>IF(OR($B7="",$A7&lt;80),"",--MID('Key Analysis'!$C3,80,1))</f>
        <v/>
      </c>
      <c r="HK7" s="29" t="str">
        <f>IF(OR($B7="",$A7&lt;81),"",--MID('Key Analysis'!$C3,81,1))</f>
        <v/>
      </c>
      <c r="HL7" s="29" t="str">
        <f>IF(OR($B7="",$A7&lt;82),"",--MID('Key Analysis'!$C3,82,1))</f>
        <v/>
      </c>
      <c r="HM7" s="29" t="str">
        <f>IF(OR($B7="",$A7&lt;83),"",--MID('Key Analysis'!$C3,83,1))</f>
        <v/>
      </c>
      <c r="HN7" s="29" t="str">
        <f>IF(OR($B7="",$A7&lt;84),"",--MID('Key Analysis'!$C3,84,1))</f>
        <v/>
      </c>
      <c r="HO7" s="29" t="str">
        <f>IF(OR($B7="",$A7&lt;85),"",--MID('Key Analysis'!$C3,85,1))</f>
        <v/>
      </c>
      <c r="HP7" s="29" t="str">
        <f>IF(OR($B7="",$A7&lt;86),"",--MID('Key Analysis'!$C3,86,1))</f>
        <v/>
      </c>
      <c r="HQ7" s="29" t="str">
        <f>IF(OR($B7="",$A7&lt;87),"",--MID('Key Analysis'!$C3,87,1))</f>
        <v/>
      </c>
      <c r="HR7" s="29" t="str">
        <f>IF(OR($B7="",$A7&lt;88),"",--MID('Key Analysis'!$C3,88,1))</f>
        <v/>
      </c>
      <c r="HS7" s="29" t="str">
        <f>IF(OR($B7="",$A7&lt;89),"",--MID('Key Analysis'!$C3,89,1))</f>
        <v/>
      </c>
      <c r="HT7" s="29" t="str">
        <f>IF(OR($B7="",$A7&lt;90),"",--MID('Key Analysis'!$C3,90,1))</f>
        <v/>
      </c>
      <c r="HU7" s="29" t="str">
        <f>IF(OR($B7="",$A7&lt;91),"",--MID('Key Analysis'!$C3,91,1))</f>
        <v/>
      </c>
      <c r="HV7" s="29" t="str">
        <f>IF(OR($B7="",$A7&lt;92),"",--MID('Key Analysis'!$C3,92,1))</f>
        <v/>
      </c>
      <c r="HW7" s="29" t="str">
        <f>IF(OR($B7="",$A7&lt;93),"",--MID('Key Analysis'!$C3,93,1))</f>
        <v/>
      </c>
      <c r="HX7" s="29" t="str">
        <f>IF(OR($B7="",$A7&lt;94),"",--MID('Key Analysis'!$C3,94,1))</f>
        <v/>
      </c>
      <c r="HY7" s="29" t="str">
        <f>IF(OR($B7="",$A7&lt;95),"",--MID('Key Analysis'!$C3,95,1))</f>
        <v/>
      </c>
      <c r="HZ7" s="29" t="str">
        <f>IF(OR($B7="",$A7&lt;96),"",--MID('Key Analysis'!$C3,96,1))</f>
        <v/>
      </c>
      <c r="IA7" s="29" t="str">
        <f>IF(OR($B7="",$A7&lt;97),"",--MID('Key Analysis'!$C3,97,1))</f>
        <v/>
      </c>
      <c r="IB7" s="29" t="str">
        <f>IF(OR($B7="",$A7&lt;98),"",--MID('Key Analysis'!$C3,98,1))</f>
        <v/>
      </c>
      <c r="IC7" s="29" t="str">
        <f>IF(OR($B7="",$A7&lt;99),"",--MID('Key Analysis'!$C3,99,1))</f>
        <v/>
      </c>
      <c r="ID7" s="29" t="str">
        <f>IF(OR($B7="",$A7&lt;100),"",--MID('Key Analysis'!$C3,100,1))</f>
        <v/>
      </c>
      <c r="IE7" s="29" t="str">
        <f>IF(OR($B7="",$A7&lt;101),"",--MID('Key Analysis'!$C3,101,1))</f>
        <v/>
      </c>
      <c r="IF7" s="29" t="str">
        <f>IF(OR($B7="",$A7&lt;102),"",--MID('Key Analysis'!$C3,102,1))</f>
        <v/>
      </c>
      <c r="IG7" s="29" t="str">
        <f>IF(OR($B7="",$A7&lt;103),"",--MID('Key Analysis'!$C3,103,1))</f>
        <v/>
      </c>
      <c r="IH7" s="29" t="str">
        <f>IF(OR($B7="",$A7&lt;104),"",--MID('Key Analysis'!$C3,104,1))</f>
        <v/>
      </c>
      <c r="II7" s="29" t="str">
        <f>IF(OR($B7="",$A7&lt;105),"",--MID('Key Analysis'!$C3,105,1))</f>
        <v/>
      </c>
      <c r="IJ7" s="29" t="str">
        <f>IF(OR($B7="",$A7&lt;106),"",--MID('Key Analysis'!$C3,106,1))</f>
        <v/>
      </c>
      <c r="IK7" s="29" t="str">
        <f>IF(OR($B7="",$A7&lt;107),"",--MID('Key Analysis'!$C3,107,1))</f>
        <v/>
      </c>
      <c r="IL7" s="29" t="str">
        <f>IF(OR($B7="",$A7&lt;108),"",--MID('Key Analysis'!$C3,108,1))</f>
        <v/>
      </c>
      <c r="IM7" s="29" t="str">
        <f>IF(OR($B7="",$A7&lt;109),"",--MID('Key Analysis'!$C3,109,1))</f>
        <v/>
      </c>
      <c r="IN7" s="29" t="str">
        <f>IF(OR($B7="",$A7&lt;110),"",--MID('Key Analysis'!$C3,110,1))</f>
        <v/>
      </c>
      <c r="IO7" s="29" t="str">
        <f>IF(OR($B7="",$A7&lt;111),"",--MID('Key Analysis'!$C3,111,1))</f>
        <v/>
      </c>
      <c r="IP7" s="29" t="str">
        <f>IF(OR($B7="",$A7&lt;112),"",--MID('Key Analysis'!$C3,112,1))</f>
        <v/>
      </c>
      <c r="IQ7" s="29" t="str">
        <f>IF(OR($B7="",$A7&lt;113),"",--MID('Key Analysis'!$C3,113,1))</f>
        <v/>
      </c>
      <c r="IR7" s="29" t="str">
        <f>IF(OR($B7="",$A7&lt;114),"",--MID('Key Analysis'!$C3,114,1))</f>
        <v/>
      </c>
      <c r="IS7" s="29" t="str">
        <f>IF(OR($B7="",$A7&lt;115),"",--MID('Key Analysis'!$C3,115,1))</f>
        <v/>
      </c>
      <c r="IT7" s="29" t="str">
        <f>IF(OR($B7="",$A7&lt;116),"",--MID('Key Analysis'!$C3,116,1))</f>
        <v/>
      </c>
      <c r="IU7" s="29" t="str">
        <f>IF(OR($B7="",$A7&lt;117),"",--MID('Key Analysis'!$C3,117,1))</f>
        <v/>
      </c>
      <c r="IV7" s="29" t="str">
        <f>IF(OR($B7="",$A7&lt;118),"",--MID('Key Analysis'!$C3,118,1))</f>
        <v/>
      </c>
      <c r="IW7" s="29" t="str">
        <f>IF(OR($B7="",$A7&lt;119),"",--MID('Key Analysis'!$C3,119,1))</f>
        <v/>
      </c>
      <c r="IX7" s="29" t="str">
        <f>IF(OR($B7="",$A7&lt;120),"",--MID('Key Analysis'!$C3,120,1))</f>
        <v/>
      </c>
      <c r="IY7" s="29" t="str">
        <f>IF(OR($B7="",$A7&lt;121),"",--MID('Key Analysis'!$C3,121,1))</f>
        <v/>
      </c>
      <c r="IZ7" s="29" t="str">
        <f>IF(OR($B7="",$A7&lt;122),"",--MID('Key Analysis'!$C3,122,1))</f>
        <v/>
      </c>
      <c r="JA7" s="29" t="str">
        <f>IF(OR($B7="",$A7&lt;123),"",--MID('Key Analysis'!$C3,123,1))</f>
        <v/>
      </c>
      <c r="JB7" s="29" t="str">
        <f>IF(OR($B7="",$A7&lt;124),"",--MID('Key Analysis'!$C3,124,1))</f>
        <v/>
      </c>
      <c r="JC7" s="29" t="str">
        <f>IF(OR($B7="",$A7&lt;125),"",--MID('Key Analysis'!$C3,125,1))</f>
        <v/>
      </c>
      <c r="JD7" s="29" t="str">
        <f>IF(OR($B7="",$A7&lt;126),"",--MID('Key Analysis'!$C3,126,1))</f>
        <v/>
      </c>
      <c r="JE7" s="29" t="str">
        <f>IF(OR($B7="",$A7&lt;127),"",--MID('Key Analysis'!$C3,127,1))</f>
        <v/>
      </c>
      <c r="JF7" s="29" t="str">
        <f>IF(OR($B7="",$A7&lt;128),"",--MID('Key Analysis'!$C3,128,1))</f>
        <v/>
      </c>
      <c r="JG7" s="29" t="str">
        <f>IF(OR($B7="",$A7&lt;129),"",--MID('Key Analysis'!$C3,129,1))</f>
        <v/>
      </c>
      <c r="JH7" s="29" t="str">
        <f>IF(OR($B7="",$A7&lt;130),"",--MID('Key Analysis'!$C3,130,1))</f>
        <v/>
      </c>
      <c r="JI7" s="29" t="str">
        <f>IF(OR($B7="",$A7&lt;131),"",--MID('Key Analysis'!$C3,131,1))</f>
        <v/>
      </c>
      <c r="JJ7" s="29" t="str">
        <f>IF(OR($B7="",$A7&lt;132),"",--MID('Key Analysis'!$C3,132,1))</f>
        <v/>
      </c>
      <c r="JK7" s="29" t="str">
        <f>IF(OR($B7="",$A7&lt;133),"",--MID('Key Analysis'!$C3,133,1))</f>
        <v/>
      </c>
      <c r="JL7" s="29" t="str">
        <f>IF(OR($B7="",$A7&lt;134),"",--MID('Key Analysis'!$C3,134,1))</f>
        <v/>
      </c>
      <c r="JM7" s="29" t="str">
        <f>IF(OR($B7="",$A7&lt;135),"",--MID('Key Analysis'!$C3,135,1))</f>
        <v/>
      </c>
    </row>
    <row r="8" spans="1:273" x14ac:dyDescent="0.25">
      <c r="A8" s="21">
        <f>'Key Analysis'!A4</f>
        <v>3</v>
      </c>
      <c r="B8" s="30" t="str">
        <f>'Key Analysis'!B4</f>
        <v>7</v>
      </c>
      <c r="C8" s="29">
        <f>IF(OR($B8="",$A8&lt;=0),"",--MID('Key Analysis'!$C4,$A8-0,1))</f>
        <v>1</v>
      </c>
      <c r="D8" s="29">
        <f>IF(OR($B8="",$A8&lt;=1),"",--MID('Key Analysis'!$C4,$A8-1,1))</f>
        <v>1</v>
      </c>
      <c r="E8" s="29">
        <f>IF(OR($B8="",$A8&lt;=2),"",--MID('Key Analysis'!$C4,$A8-2,1))</f>
        <v>1</v>
      </c>
      <c r="F8" s="29" t="str">
        <f>IF(OR($B8="",$A8&lt;=3),"",--MID('Key Analysis'!$C4,$A8-3,1))</f>
        <v/>
      </c>
      <c r="G8" s="29" t="str">
        <f>IF(OR($B8="",$A8&lt;=4),"",--MID('Key Analysis'!$C4,$A8-4,1))</f>
        <v/>
      </c>
      <c r="H8" s="29" t="str">
        <f>IF(OR($B8="",$A8&lt;=5),"",--MID('Key Analysis'!$C4,$A8-5,1))</f>
        <v/>
      </c>
      <c r="I8" s="29" t="str">
        <f>IF(OR($B8="",$A8&lt;=6),"",--MID('Key Analysis'!$C4,$A8-6,1))</f>
        <v/>
      </c>
      <c r="J8" s="29" t="str">
        <f>IF(OR($B8="",$A8&lt;=7),"",--MID('Key Analysis'!$C4,$A8-7,1))</f>
        <v/>
      </c>
      <c r="K8" s="29" t="str">
        <f>IF(OR($B8="",$A8&lt;=8),"",--MID('Key Analysis'!$C4,$A8-8,1))</f>
        <v/>
      </c>
      <c r="L8" s="29" t="str">
        <f>IF(OR($B8="",$A8&lt;=9),"",--MID('Key Analysis'!$C4,$A8-9,1))</f>
        <v/>
      </c>
      <c r="M8" s="29" t="str">
        <f>IF(OR($B8="",$A8&lt;=10),"",--MID('Key Analysis'!$C4,$A8-10,1))</f>
        <v/>
      </c>
      <c r="N8" s="29" t="str">
        <f>IF(OR($B8="",$A8&lt;=11),"",--MID('Key Analysis'!$C4,$A8-11,1))</f>
        <v/>
      </c>
      <c r="O8" s="29" t="str">
        <f>IF(OR($B8="",$A8&lt;=12),"",--MID('Key Analysis'!$C4,$A8-12,1))</f>
        <v/>
      </c>
      <c r="P8" s="29" t="str">
        <f>IF(OR($B8="",$A8&lt;=13),"",--MID('Key Analysis'!$C4,$A8-13,1))</f>
        <v/>
      </c>
      <c r="Q8" s="29" t="str">
        <f>IF(OR($B8="",$A8&lt;=14),"",--MID('Key Analysis'!$C4,$A8-14,1))</f>
        <v/>
      </c>
      <c r="R8" s="29" t="str">
        <f>IF(OR($B8="",$A8&lt;=15),"",--MID('Key Analysis'!$C4,$A8-15,1))</f>
        <v/>
      </c>
      <c r="S8" s="29" t="str">
        <f>IF(OR($B8="",$A8&lt;=16),"",--MID('Key Analysis'!$C4,$A8-16,1))</f>
        <v/>
      </c>
      <c r="T8" s="29" t="str">
        <f>IF(OR($B8="",$A8&lt;=17),"",--MID('Key Analysis'!$C4,$A8-17,1))</f>
        <v/>
      </c>
      <c r="U8" s="29" t="str">
        <f>IF(OR($B8="",$A8&lt;=18),"",--MID('Key Analysis'!$C4,$A8-18,1))</f>
        <v/>
      </c>
      <c r="V8" s="29" t="str">
        <f>IF(OR($B8="",$A8&lt;=19),"",--MID('Key Analysis'!$C4,$A8-19,1))</f>
        <v/>
      </c>
      <c r="W8" s="29" t="str">
        <f>IF(OR($B8="",$A8&lt;=20),"",--MID('Key Analysis'!$C4,$A8-20,1))</f>
        <v/>
      </c>
      <c r="X8" s="29" t="str">
        <f>IF(OR($B8="",$A8&lt;=21),"",--MID('Key Analysis'!$C4,$A8-21,1))</f>
        <v/>
      </c>
      <c r="Y8" s="29" t="str">
        <f>IF(OR($B8="",$A8&lt;=22),"",--MID('Key Analysis'!$C4,$A8-22,1))</f>
        <v/>
      </c>
      <c r="Z8" s="29" t="str">
        <f>IF(OR($B8="",$A8&lt;=23),"",--MID('Key Analysis'!$C4,$A8-23,1))</f>
        <v/>
      </c>
      <c r="AA8" s="29" t="str">
        <f>IF(OR($B8="",$A8&lt;=24),"",--MID('Key Analysis'!$C4,$A8-24,1))</f>
        <v/>
      </c>
      <c r="AB8" s="29" t="str">
        <f>IF(OR($B8="",$A8&lt;=25),"",--MID('Key Analysis'!$C4,$A8-25,1))</f>
        <v/>
      </c>
      <c r="AC8" s="29" t="str">
        <f>IF(OR($B8="",$A8&lt;=26),"",--MID('Key Analysis'!$C4,$A8-26,1))</f>
        <v/>
      </c>
      <c r="AD8" s="29" t="str">
        <f>IF(OR($B8="",$A8&lt;=27),"",--MID('Key Analysis'!$C4,$A8-27,1))</f>
        <v/>
      </c>
      <c r="AE8" s="29" t="str">
        <f>IF(OR($B8="",$A8&lt;=28),"",--MID('Key Analysis'!$C4,$A8-28,1))</f>
        <v/>
      </c>
      <c r="AF8" s="29" t="str">
        <f>IF(OR($B8="",$A8&lt;=29),"",--MID('Key Analysis'!$C4,$A8-29,1))</f>
        <v/>
      </c>
      <c r="AG8" s="29" t="str">
        <f>IF(OR($B8="",$A8&lt;=30),"",--MID('Key Analysis'!$C4,$A8-30,1))</f>
        <v/>
      </c>
      <c r="AH8" s="29" t="str">
        <f>IF(OR($B8="",$A8&lt;=31),"",--MID('Key Analysis'!$C4,$A8-31,1))</f>
        <v/>
      </c>
      <c r="AI8" s="29" t="str">
        <f>IF(OR($B8="",$A8&lt;=32),"",--MID('Key Analysis'!$C4,$A8-32,1))</f>
        <v/>
      </c>
      <c r="AJ8" s="29" t="str">
        <f>IF(OR($B8="",$A8&lt;=33),"",--MID('Key Analysis'!$C4,$A8-33,1))</f>
        <v/>
      </c>
      <c r="AK8" s="29" t="str">
        <f>IF(OR($B8="",$A8&lt;=34),"",--MID('Key Analysis'!$C4,$A8-34,1))</f>
        <v/>
      </c>
      <c r="AL8" s="29" t="str">
        <f>IF(OR($B8="",$A8&lt;=35),"",--MID('Key Analysis'!$C4,$A8-35,1))</f>
        <v/>
      </c>
      <c r="AM8" s="29" t="str">
        <f>IF(OR($B8="",$A8&lt;=36),"",--MID('Key Analysis'!$C4,$A8-36,1))</f>
        <v/>
      </c>
      <c r="AN8" s="29" t="str">
        <f>IF(OR($B8="",$A8&lt;=37),"",--MID('Key Analysis'!$C4,$A8-37,1))</f>
        <v/>
      </c>
      <c r="AO8" s="29" t="str">
        <f>IF(OR($B8="",$A8&lt;=38),"",--MID('Key Analysis'!$C4,$A8-38,1))</f>
        <v/>
      </c>
      <c r="AP8" s="29" t="str">
        <f>IF(OR($B8="",$A8&lt;=39),"",--MID('Key Analysis'!$C4,$A8-39,1))</f>
        <v/>
      </c>
      <c r="AQ8" s="29" t="str">
        <f>IF(OR($B8="",$A8&lt;=40),"",--MID('Key Analysis'!$C4,$A8-40,1))</f>
        <v/>
      </c>
      <c r="AR8" s="29" t="str">
        <f>IF(OR($B8="",$A8&lt;=41),"",--MID('Key Analysis'!$C4,$A8-41,1))</f>
        <v/>
      </c>
      <c r="AS8" s="29" t="str">
        <f>IF(OR($B8="",$A8&lt;=42),"",--MID('Key Analysis'!$C4,$A8-42,1))</f>
        <v/>
      </c>
      <c r="AT8" s="29" t="str">
        <f>IF(OR($B8="",$A8&lt;=43),"",--MID('Key Analysis'!$C4,$A8-43,1))</f>
        <v/>
      </c>
      <c r="AU8" s="29" t="str">
        <f>IF(OR($B8="",$A8&lt;=44),"",--MID('Key Analysis'!$C4,$A8-44,1))</f>
        <v/>
      </c>
      <c r="AV8" s="29" t="str">
        <f>IF(OR($B8="",$A8&lt;=45),"",--MID('Key Analysis'!$C4,$A8-45,1))</f>
        <v/>
      </c>
      <c r="AW8" s="29" t="str">
        <f>IF(OR($B8="",$A8&lt;=46),"",--MID('Key Analysis'!$C4,$A8-46,1))</f>
        <v/>
      </c>
      <c r="AX8" s="29" t="str">
        <f>IF(OR($B8="",$A8&lt;=47),"",--MID('Key Analysis'!$C4,$A8-47,1))</f>
        <v/>
      </c>
      <c r="AY8" s="29" t="str">
        <f>IF(OR($B8="",$A8&lt;=48),"",--MID('Key Analysis'!$C4,$A8-48,1))</f>
        <v/>
      </c>
      <c r="AZ8" s="29" t="str">
        <f>IF(OR($B8="",$A8&lt;=49),"",--MID('Key Analysis'!$C4,$A8-49,1))</f>
        <v/>
      </c>
      <c r="BA8" s="29" t="str">
        <f>IF(OR($B8="",$A8&lt;=50),"",--MID('Key Analysis'!$C4,$A8-50,1))</f>
        <v/>
      </c>
      <c r="BB8" s="29" t="str">
        <f>IF(OR($B8="",$A8&lt;=51),"",--MID('Key Analysis'!$C4,$A8-51,1))</f>
        <v/>
      </c>
      <c r="BC8" s="29" t="str">
        <f>IF(OR($B8="",$A8&lt;=52),"",--MID('Key Analysis'!$C4,$A8-52,1))</f>
        <v/>
      </c>
      <c r="BD8" s="29" t="str">
        <f>IF(OR($B8="",$A8&lt;=53),"",--MID('Key Analysis'!$C4,$A8-53,1))</f>
        <v/>
      </c>
      <c r="BE8" s="29" t="str">
        <f>IF(OR($B8="",$A8&lt;=54),"",--MID('Key Analysis'!$C4,$A8-54,1))</f>
        <v/>
      </c>
      <c r="BF8" s="29" t="str">
        <f>IF(OR($B8="",$A8&lt;=55),"",--MID('Key Analysis'!$C4,$A8-55,1))</f>
        <v/>
      </c>
      <c r="BG8" s="29" t="str">
        <f>IF(OR($B8="",$A8&lt;=56),"",--MID('Key Analysis'!$C4,$A8-56,1))</f>
        <v/>
      </c>
      <c r="BH8" s="29" t="str">
        <f>IF(OR($B8="",$A8&lt;=57),"",--MID('Key Analysis'!$C4,$A8-57,1))</f>
        <v/>
      </c>
      <c r="BI8" s="29" t="str">
        <f>IF(OR($B8="",$A8&lt;=58),"",--MID('Key Analysis'!$C4,$A8-58,1))</f>
        <v/>
      </c>
      <c r="BJ8" s="29" t="str">
        <f>IF(OR($B8="",$A8&lt;=59),"",--MID('Key Analysis'!$C4,$A8-59,1))</f>
        <v/>
      </c>
      <c r="BK8" s="29" t="str">
        <f>IF(OR($B8="",$A8&lt;=60),"",--MID('Key Analysis'!$C4,$A8-60,1))</f>
        <v/>
      </c>
      <c r="BL8" s="29" t="str">
        <f>IF(OR($B8="",$A8&lt;=61),"",--MID('Key Analysis'!$C4,$A8-61,1))</f>
        <v/>
      </c>
      <c r="BM8" s="29" t="str">
        <f>IF(OR($B8="",$A8&lt;=62),"",--MID('Key Analysis'!$C4,$A8-62,1))</f>
        <v/>
      </c>
      <c r="BN8" s="29" t="str">
        <f>IF(OR($B8="",$A8&lt;=63),"",--MID('Key Analysis'!$C4,$A8-63,1))</f>
        <v/>
      </c>
      <c r="BO8" s="29" t="str">
        <f>IF(OR($B8="",$A8&lt;=64),"",--MID('Key Analysis'!$C4,$A8-64,1))</f>
        <v/>
      </c>
      <c r="BP8" s="29" t="str">
        <f>IF(OR($B8="",$A8&lt;=65),"",--MID('Key Analysis'!$C4,$A8-65,1))</f>
        <v/>
      </c>
      <c r="BQ8" s="29" t="str">
        <f>IF(OR($B8="",$A8&lt;=66),"",--MID('Key Analysis'!$C4,$A8-66,1))</f>
        <v/>
      </c>
      <c r="BR8" s="29" t="str">
        <f>IF(OR($B8="",$A8&lt;=67),"",--MID('Key Analysis'!$C4,$A8-67,1))</f>
        <v/>
      </c>
      <c r="BS8" s="29" t="str">
        <f>IF(OR($B8="",$A8&lt;=68),"",--MID('Key Analysis'!$C4,$A8-68,1))</f>
        <v/>
      </c>
      <c r="BT8" s="29" t="str">
        <f>IF(OR($B8="",$A8&lt;=69),"",--MID('Key Analysis'!$C4,$A8-69,1))</f>
        <v/>
      </c>
      <c r="BU8" s="29" t="str">
        <f>IF(OR($B8="",$A8&lt;=70),"",--MID('Key Analysis'!$C4,$A8-70,1))</f>
        <v/>
      </c>
      <c r="BV8" s="29" t="str">
        <f>IF(OR($B8="",$A8&lt;=71),"",--MID('Key Analysis'!$C4,$A8-71,1))</f>
        <v/>
      </c>
      <c r="BW8" s="29" t="str">
        <f>IF(OR($B8="",$A8&lt;=72),"",--MID('Key Analysis'!$C4,$A8-72,1))</f>
        <v/>
      </c>
      <c r="BX8" s="29" t="str">
        <f>IF(OR($B8="",$A8&lt;=73),"",--MID('Key Analysis'!$C4,$A8-73,1))</f>
        <v/>
      </c>
      <c r="BY8" s="29" t="str">
        <f>IF(OR($B8="",$A8&lt;=74),"",--MID('Key Analysis'!$C4,$A8-74,1))</f>
        <v/>
      </c>
      <c r="BZ8" s="29" t="str">
        <f>IF(OR($B8="",$A8&lt;=75),"",--MID('Key Analysis'!$C4,$A8-75,1))</f>
        <v/>
      </c>
      <c r="CA8" s="29" t="str">
        <f>IF(OR($B8="",$A8&lt;=76),"",--MID('Key Analysis'!$C4,$A8-76,1))</f>
        <v/>
      </c>
      <c r="CB8" s="29" t="str">
        <f>IF(OR($B8="",$A8&lt;=77),"",--MID('Key Analysis'!$C4,$A8-77,1))</f>
        <v/>
      </c>
      <c r="CC8" s="29" t="str">
        <f>IF(OR($B8="",$A8&lt;=78),"",--MID('Key Analysis'!$C4,$A8-78,1))</f>
        <v/>
      </c>
      <c r="CD8" s="29" t="str">
        <f>IF(OR($B8="",$A8&lt;=79),"",--MID('Key Analysis'!$C4,$A8-79,1))</f>
        <v/>
      </c>
      <c r="CE8" s="29" t="str">
        <f>IF(OR($B8="",$A8&lt;=80),"",--MID('Key Analysis'!$C4,$A8-80,1))</f>
        <v/>
      </c>
      <c r="CF8" s="29" t="str">
        <f>IF(OR($B8="",$A8&lt;=81),"",--MID('Key Analysis'!$C4,$A8-81,1))</f>
        <v/>
      </c>
      <c r="CG8" s="29" t="str">
        <f>IF(OR($B8="",$A8&lt;=82),"",--MID('Key Analysis'!$C4,$A8-82,1))</f>
        <v/>
      </c>
      <c r="CH8" s="29" t="str">
        <f>IF(OR($B8="",$A8&lt;=83),"",--MID('Key Analysis'!$C4,$A8-83,1))</f>
        <v/>
      </c>
      <c r="CI8" s="29" t="str">
        <f>IF(OR($B8="",$A8&lt;=84),"",--MID('Key Analysis'!$C4,$A8-84,1))</f>
        <v/>
      </c>
      <c r="CJ8" s="29" t="str">
        <f>IF(OR($B8="",$A8&lt;=85),"",--MID('Key Analysis'!$C4,$A8-85,1))</f>
        <v/>
      </c>
      <c r="CK8" s="29" t="str">
        <f>IF(OR($B8="",$A8&lt;=86),"",--MID('Key Analysis'!$C4,$A8-86,1))</f>
        <v/>
      </c>
      <c r="CL8" s="29" t="str">
        <f>IF(OR($B8="",$A8&lt;=87),"",--MID('Key Analysis'!$C4,$A8-87,1))</f>
        <v/>
      </c>
      <c r="CM8" s="29" t="str">
        <f>IF(OR($B8="",$A8&lt;=88),"",--MID('Key Analysis'!$C4,$A8-88,1))</f>
        <v/>
      </c>
      <c r="CN8" s="29" t="str">
        <f>IF(OR($B8="",$A8&lt;=89),"",--MID('Key Analysis'!$C4,$A8-89,1))</f>
        <v/>
      </c>
      <c r="CO8" s="29" t="str">
        <f>IF(OR($B8="",$A8&lt;=90),"",--MID('Key Analysis'!$C4,$A8-90,1))</f>
        <v/>
      </c>
      <c r="CP8" s="29" t="str">
        <f>IF(OR($B8="",$A8&lt;=91),"",--MID('Key Analysis'!$C4,$A8-91,1))</f>
        <v/>
      </c>
      <c r="CQ8" s="29" t="str">
        <f>IF(OR($B8="",$A8&lt;=92),"",--MID('Key Analysis'!$C4,$A8-92,1))</f>
        <v/>
      </c>
      <c r="CR8" s="29" t="str">
        <f>IF(OR($B8="",$A8&lt;=93),"",--MID('Key Analysis'!$C4,$A8-93,1))</f>
        <v/>
      </c>
      <c r="CS8" s="29" t="str">
        <f>IF(OR($B8="",$A8&lt;=94),"",--MID('Key Analysis'!$C4,$A8-94,1))</f>
        <v/>
      </c>
      <c r="CT8" s="29" t="str">
        <f>IF(OR($B8="",$A8&lt;=95),"",--MID('Key Analysis'!$C4,$A8-95,1))</f>
        <v/>
      </c>
      <c r="CU8" s="29" t="str">
        <f>IF(OR($B8="",$A8&lt;=96),"",--MID('Key Analysis'!$C4,$A8-96,1))</f>
        <v/>
      </c>
      <c r="CV8" s="29" t="str">
        <f>IF(OR($B8="",$A8&lt;=97),"",--MID('Key Analysis'!$C4,$A8-97,1))</f>
        <v/>
      </c>
      <c r="CW8" s="29" t="str">
        <f>IF(OR($B8="",$A8&lt;=98),"",--MID('Key Analysis'!$C4,$A8-98,1))</f>
        <v/>
      </c>
      <c r="CX8" s="29" t="str">
        <f>IF(OR($B8="",$A8&lt;=99),"",--MID('Key Analysis'!$C4,$A8-99,1))</f>
        <v/>
      </c>
      <c r="CY8" s="29" t="str">
        <f>IF(OR($B8="",$A8&lt;=100),"",--MID('Key Analysis'!$C4,$A8-100,1))</f>
        <v/>
      </c>
      <c r="CZ8" s="29" t="str">
        <f>IF(OR($B8="",$A8&lt;=101),"",--MID('Key Analysis'!$C4,$A8-101,1))</f>
        <v/>
      </c>
      <c r="DA8" s="29" t="str">
        <f>IF(OR($B8="",$A8&lt;=102),"",--MID('Key Analysis'!$C4,$A8-102,1))</f>
        <v/>
      </c>
      <c r="DB8" s="29" t="str">
        <f>IF(OR($B8="",$A8&lt;=103),"",--MID('Key Analysis'!$C4,$A8-103,1))</f>
        <v/>
      </c>
      <c r="DC8" s="29" t="str">
        <f>IF(OR($B8="",$A8&lt;=104),"",--MID('Key Analysis'!$C4,$A8-104,1))</f>
        <v/>
      </c>
      <c r="DD8" s="29" t="str">
        <f>IF(OR($B8="",$A8&lt;=105),"",--MID('Key Analysis'!$C4,$A8-105,1))</f>
        <v/>
      </c>
      <c r="DE8" s="29" t="str">
        <f>IF(OR($B8="",$A8&lt;=106),"",--MID('Key Analysis'!$C4,$A8-106,1))</f>
        <v/>
      </c>
      <c r="DF8" s="29" t="str">
        <f>IF(OR($B8="",$A8&lt;=107),"",--MID('Key Analysis'!$C4,$A8-107,1))</f>
        <v/>
      </c>
      <c r="DG8" s="29" t="str">
        <f>IF(OR($B8="",$A8&lt;=108),"",--MID('Key Analysis'!$C4,$A8-108,1))</f>
        <v/>
      </c>
      <c r="DH8" s="29" t="str">
        <f>IF(OR($B8="",$A8&lt;=109),"",--MID('Key Analysis'!$C4,$A8-109,1))</f>
        <v/>
      </c>
      <c r="DI8" s="29" t="str">
        <f>IF(OR($B8="",$A8&lt;=110),"",--MID('Key Analysis'!$C4,$A8-110,1))</f>
        <v/>
      </c>
      <c r="DJ8" s="29" t="str">
        <f>IF(OR($B8="",$A8&lt;=111),"",--MID('Key Analysis'!$C4,$A8-111,1))</f>
        <v/>
      </c>
      <c r="DK8" s="29" t="str">
        <f>IF(OR($B8="",$A8&lt;=112),"",--MID('Key Analysis'!$C4,$A8-112,1))</f>
        <v/>
      </c>
      <c r="DL8" s="29" t="str">
        <f>IF(OR($B8="",$A8&lt;=113),"",--MID('Key Analysis'!$C4,$A8-113,1))</f>
        <v/>
      </c>
      <c r="DM8" s="29" t="str">
        <f>IF(OR($B8="",$A8&lt;=114),"",--MID('Key Analysis'!$C4,$A8-114,1))</f>
        <v/>
      </c>
      <c r="DN8" s="29" t="str">
        <f>IF(OR($B8="",$A8&lt;=115),"",--MID('Key Analysis'!$C4,$A8-115,1))</f>
        <v/>
      </c>
      <c r="DO8" s="29" t="str">
        <f>IF(OR($B8="",$A8&lt;=116),"",--MID('Key Analysis'!$C4,$A8-116,1))</f>
        <v/>
      </c>
      <c r="DP8" s="29" t="str">
        <f>IF(OR($B8="",$A8&lt;=117),"",--MID('Key Analysis'!$C4,$A8-117,1))</f>
        <v/>
      </c>
      <c r="DQ8" s="29" t="str">
        <f>IF(OR($B8="",$A8&lt;=118),"",--MID('Key Analysis'!$C4,$A8-118,1))</f>
        <v/>
      </c>
      <c r="DR8" s="29" t="str">
        <f>IF(OR($B8="",$A8&lt;=119),"",--MID('Key Analysis'!$C4,$A8-119,1))</f>
        <v/>
      </c>
      <c r="DS8" s="29" t="str">
        <f>IF(OR($B8="",$A8&lt;=120),"",--MID('Key Analysis'!$C4,$A8-120,1))</f>
        <v/>
      </c>
      <c r="DT8" s="29" t="str">
        <f>IF(OR($B8="",$A8&lt;=121),"",--MID('Key Analysis'!$C4,$A8-121,1))</f>
        <v/>
      </c>
      <c r="DU8" s="29" t="str">
        <f>IF(OR($B8="",$A8&lt;=122),"",--MID('Key Analysis'!$C4,$A8-122,1))</f>
        <v/>
      </c>
      <c r="DV8" s="29" t="str">
        <f>IF(OR($B8="",$A8&lt;=123),"",--MID('Key Analysis'!$C4,$A8-123,1))</f>
        <v/>
      </c>
      <c r="DW8" s="29" t="str">
        <f>IF(OR($B8="",$A8&lt;=124),"",--MID('Key Analysis'!$C4,$A8-124,1))</f>
        <v/>
      </c>
      <c r="DX8" s="29" t="str">
        <f>IF(OR($B8="",$A8&lt;=125),"",--MID('Key Analysis'!$C4,$A8-125,1))</f>
        <v/>
      </c>
      <c r="DY8" s="29" t="str">
        <f>IF(OR($B8="",$A8&lt;=126),"",--MID('Key Analysis'!$C4,$A8-126,1))</f>
        <v/>
      </c>
      <c r="DZ8" s="29" t="str">
        <f>IF(OR($B8="",$A8&lt;=127),"",--MID('Key Analysis'!$C4,$A8-127,1))</f>
        <v/>
      </c>
      <c r="EA8" s="29" t="str">
        <f>IF(OR($B8="",$A8&lt;=128),"",--MID('Key Analysis'!$C4,$A8-128,1))</f>
        <v/>
      </c>
      <c r="EB8" s="29" t="str">
        <f>IF(OR($B8="",$A8&lt;=129),"",--MID('Key Analysis'!$C4,$A8-129,1))</f>
        <v/>
      </c>
      <c r="EC8" s="29" t="str">
        <f>IF(OR($B8="",$A8&lt;=130),"",--MID('Key Analysis'!$C4,$A8-130,1))</f>
        <v/>
      </c>
      <c r="ED8" s="29" t="str">
        <f>IF(OR($B8="",$A8&lt;=131),"",--MID('Key Analysis'!$C4,$A8-131,1))</f>
        <v/>
      </c>
      <c r="EE8" s="29" t="str">
        <f>IF(OR($B8="",$A8&lt;=132),"",--MID('Key Analysis'!$C4,$A8-132,1))</f>
        <v/>
      </c>
      <c r="EF8" s="29" t="str">
        <f>IF(OR($B8="",$A8&lt;=133),"",--MID('Key Analysis'!$C4,$A8-133,1))</f>
        <v/>
      </c>
      <c r="EG8" s="29" t="str">
        <f>IF(OR($B8="",$A8&lt;=134),"",--MID('Key Analysis'!$C4,$A8-134,1))</f>
        <v/>
      </c>
      <c r="EH8" s="29"/>
      <c r="EI8" s="29">
        <f>IF(OR($B8="",$A8&lt;1),"",--MID('Key Analysis'!$C4,1,1))</f>
        <v>1</v>
      </c>
      <c r="EJ8" s="29">
        <f>IF(OR($B8="",$A8&lt;2),"",--MID('Key Analysis'!$C4,2,1))</f>
        <v>1</v>
      </c>
      <c r="EK8" s="29">
        <f>IF(OR($B8="",$A8&lt;3),"",--MID('Key Analysis'!$C4,3,1))</f>
        <v>1</v>
      </c>
      <c r="EL8" s="29" t="str">
        <f>IF(OR($B8="",$A8&lt;4),"",--MID('Key Analysis'!$C4,4,1))</f>
        <v/>
      </c>
      <c r="EM8" s="29" t="str">
        <f>IF(OR($B8="",$A8&lt;5),"",--MID('Key Analysis'!$C4,5,1))</f>
        <v/>
      </c>
      <c r="EN8" s="29" t="str">
        <f>IF(OR($B8="",$A8&lt;6),"",--MID('Key Analysis'!$C4,6,1))</f>
        <v/>
      </c>
      <c r="EO8" s="29" t="str">
        <f>IF(OR($B8="",$A8&lt;7),"",--MID('Key Analysis'!$C4,7,1))</f>
        <v/>
      </c>
      <c r="EP8" s="29" t="str">
        <f>IF(OR($B8="",$A8&lt;8),"",--MID('Key Analysis'!$C4,8,1))</f>
        <v/>
      </c>
      <c r="EQ8" s="29" t="str">
        <f>IF(OR($B8="",$A8&lt;9),"",--MID('Key Analysis'!$C4,9,1))</f>
        <v/>
      </c>
      <c r="ER8" s="29" t="str">
        <f>IF(OR($B8="",$A8&lt;10),"",--MID('Key Analysis'!$C4,10,1))</f>
        <v/>
      </c>
      <c r="ES8" s="29" t="str">
        <f>IF(OR($B8="",$A8&lt;11),"",--MID('Key Analysis'!$C4,11,1))</f>
        <v/>
      </c>
      <c r="ET8" s="29" t="str">
        <f>IF(OR($B8="",$A8&lt;12),"",--MID('Key Analysis'!$C4,12,1))</f>
        <v/>
      </c>
      <c r="EU8" s="29" t="str">
        <f>IF(OR($B8="",$A8&lt;13),"",--MID('Key Analysis'!$C4,13,1))</f>
        <v/>
      </c>
      <c r="EV8" s="29" t="str">
        <f>IF(OR($B8="",$A8&lt;14),"",--MID('Key Analysis'!$C4,14,1))</f>
        <v/>
      </c>
      <c r="EW8" s="29" t="str">
        <f>IF(OR($B8="",$A8&lt;15),"",--MID('Key Analysis'!$C4,15,1))</f>
        <v/>
      </c>
      <c r="EX8" s="29" t="str">
        <f>IF(OR($B8="",$A8&lt;16),"",--MID('Key Analysis'!$C4,16,1))</f>
        <v/>
      </c>
      <c r="EY8" s="29" t="str">
        <f>IF(OR($B8="",$A8&lt;17),"",--MID('Key Analysis'!$C4,17,1))</f>
        <v/>
      </c>
      <c r="EZ8" s="29" t="str">
        <f>IF(OR($B8="",$A8&lt;18),"",--MID('Key Analysis'!$C4,18,1))</f>
        <v/>
      </c>
      <c r="FA8" s="29" t="str">
        <f>IF(OR($B8="",$A8&lt;19),"",--MID('Key Analysis'!$C4,19,1))</f>
        <v/>
      </c>
      <c r="FB8" s="29" t="str">
        <f>IF(OR($B8="",$A8&lt;20),"",--MID('Key Analysis'!$C4,20,1))</f>
        <v/>
      </c>
      <c r="FC8" s="29" t="str">
        <f>IF(OR($B8="",$A8&lt;21),"",--MID('Key Analysis'!$C4,21,1))</f>
        <v/>
      </c>
      <c r="FD8" s="29" t="str">
        <f>IF(OR($B8="",$A8&lt;22),"",--MID('Key Analysis'!$C4,22,1))</f>
        <v/>
      </c>
      <c r="FE8" s="29" t="str">
        <f>IF(OR($B8="",$A8&lt;23),"",--MID('Key Analysis'!$C4,23,1))</f>
        <v/>
      </c>
      <c r="FF8" s="29" t="str">
        <f>IF(OR($B8="",$A8&lt;24),"",--MID('Key Analysis'!$C4,24,1))</f>
        <v/>
      </c>
      <c r="FG8" s="29" t="str">
        <f>IF(OR($B8="",$A8&lt;25),"",--MID('Key Analysis'!$C4,25,1))</f>
        <v/>
      </c>
      <c r="FH8" s="29" t="str">
        <f>IF(OR($B8="",$A8&lt;26),"",--MID('Key Analysis'!$C4,26,1))</f>
        <v/>
      </c>
      <c r="FI8" s="29" t="str">
        <f>IF(OR($B8="",$A8&lt;27),"",--MID('Key Analysis'!$C4,27,1))</f>
        <v/>
      </c>
      <c r="FJ8" s="29" t="str">
        <f>IF(OR($B8="",$A8&lt;28),"",--MID('Key Analysis'!$C4,28,1))</f>
        <v/>
      </c>
      <c r="FK8" s="29" t="str">
        <f>IF(OR($B8="",$A8&lt;29),"",--MID('Key Analysis'!$C4,29,1))</f>
        <v/>
      </c>
      <c r="FL8" s="29" t="str">
        <f>IF(OR($B8="",$A8&lt;30),"",--MID('Key Analysis'!$C4,30,1))</f>
        <v/>
      </c>
      <c r="FM8" s="29" t="str">
        <f>IF(OR($B8="",$A8&lt;31),"",--MID('Key Analysis'!$C4,31,1))</f>
        <v/>
      </c>
      <c r="FN8" s="29" t="str">
        <f>IF(OR($B8="",$A8&lt;32),"",--MID('Key Analysis'!$C4,32,1))</f>
        <v/>
      </c>
      <c r="FO8" s="29" t="str">
        <f>IF(OR($B8="",$A8&lt;33),"",--MID('Key Analysis'!$C4,33,1))</f>
        <v/>
      </c>
      <c r="FP8" s="29" t="str">
        <f>IF(OR($B8="",$A8&lt;34),"",--MID('Key Analysis'!$C4,34,1))</f>
        <v/>
      </c>
      <c r="FQ8" s="29" t="str">
        <f>IF(OR($B8="",$A8&lt;35),"",--MID('Key Analysis'!$C4,35,1))</f>
        <v/>
      </c>
      <c r="FR8" s="29" t="str">
        <f>IF(OR($B8="",$A8&lt;36),"",--MID('Key Analysis'!$C4,36,1))</f>
        <v/>
      </c>
      <c r="FS8" s="29" t="str">
        <f>IF(OR($B8="",$A8&lt;37),"",--MID('Key Analysis'!$C4,37,1))</f>
        <v/>
      </c>
      <c r="FT8" s="29" t="str">
        <f>IF(OR($B8="",$A8&lt;38),"",--MID('Key Analysis'!$C4,38,1))</f>
        <v/>
      </c>
      <c r="FU8" s="29" t="str">
        <f>IF(OR($B8="",$A8&lt;39),"",--MID('Key Analysis'!$C4,39,1))</f>
        <v/>
      </c>
      <c r="FV8" s="29" t="str">
        <f>IF(OR($B8="",$A8&lt;40),"",--MID('Key Analysis'!$C4,40,1))</f>
        <v/>
      </c>
      <c r="FW8" s="29" t="str">
        <f>IF(OR($B8="",$A8&lt;41),"",--MID('Key Analysis'!$C4,41,1))</f>
        <v/>
      </c>
      <c r="FX8" s="29" t="str">
        <f>IF(OR($B8="",$A8&lt;42),"",--MID('Key Analysis'!$C4,42,1))</f>
        <v/>
      </c>
      <c r="FY8" s="29" t="str">
        <f>IF(OR($B8="",$A8&lt;43),"",--MID('Key Analysis'!$C4,43,1))</f>
        <v/>
      </c>
      <c r="FZ8" s="29" t="str">
        <f>IF(OR($B8="",$A8&lt;44),"",--MID('Key Analysis'!$C4,44,1))</f>
        <v/>
      </c>
      <c r="GA8" s="29" t="str">
        <f>IF(OR($B8="",$A8&lt;45),"",--MID('Key Analysis'!$C4,45,1))</f>
        <v/>
      </c>
      <c r="GB8" s="29" t="str">
        <f>IF(OR($B8="",$A8&lt;46),"",--MID('Key Analysis'!$C4,46,1))</f>
        <v/>
      </c>
      <c r="GC8" s="29" t="str">
        <f>IF(OR($B8="",$A8&lt;47),"",--MID('Key Analysis'!$C4,47,1))</f>
        <v/>
      </c>
      <c r="GD8" s="29" t="str">
        <f>IF(OR($B8="",$A8&lt;48),"",--MID('Key Analysis'!$C4,48,1))</f>
        <v/>
      </c>
      <c r="GE8" s="29" t="str">
        <f>IF(OR($B8="",$A8&lt;49),"",--MID('Key Analysis'!$C4,49,1))</f>
        <v/>
      </c>
      <c r="GF8" s="29" t="str">
        <f>IF(OR($B8="",$A8&lt;50),"",--MID('Key Analysis'!$C4,50,1))</f>
        <v/>
      </c>
      <c r="GG8" s="29" t="str">
        <f>IF(OR($B8="",$A8&lt;51),"",--MID('Key Analysis'!$C4,51,1))</f>
        <v/>
      </c>
      <c r="GH8" s="29" t="str">
        <f>IF(OR($B8="",$A8&lt;52),"",--MID('Key Analysis'!$C4,52,1))</f>
        <v/>
      </c>
      <c r="GI8" s="29" t="str">
        <f>IF(OR($B8="",$A8&lt;53),"",--MID('Key Analysis'!$C4,53,1))</f>
        <v/>
      </c>
      <c r="GJ8" s="29" t="str">
        <f>IF(OR($B8="",$A8&lt;54),"",--MID('Key Analysis'!$C4,54,1))</f>
        <v/>
      </c>
      <c r="GK8" s="29" t="str">
        <f>IF(OR($B8="",$A8&lt;55),"",--MID('Key Analysis'!$C4,55,1))</f>
        <v/>
      </c>
      <c r="GL8" s="29" t="str">
        <f>IF(OR($B8="",$A8&lt;56),"",--MID('Key Analysis'!$C4,56,1))</f>
        <v/>
      </c>
      <c r="GM8" s="29" t="str">
        <f>IF(OR($B8="",$A8&lt;57),"",--MID('Key Analysis'!$C4,57,1))</f>
        <v/>
      </c>
      <c r="GN8" s="29" t="str">
        <f>IF(OR($B8="",$A8&lt;58),"",--MID('Key Analysis'!$C4,58,1))</f>
        <v/>
      </c>
      <c r="GO8" s="29" t="str">
        <f>IF(OR($B8="",$A8&lt;59),"",--MID('Key Analysis'!$C4,59,1))</f>
        <v/>
      </c>
      <c r="GP8" s="29" t="str">
        <f>IF(OR($B8="",$A8&lt;60),"",--MID('Key Analysis'!$C4,60,1))</f>
        <v/>
      </c>
      <c r="GQ8" s="29" t="str">
        <f>IF(OR($B8="",$A8&lt;61),"",--MID('Key Analysis'!$C4,61,1))</f>
        <v/>
      </c>
      <c r="GR8" s="29" t="str">
        <f>IF(OR($B8="",$A8&lt;62),"",--MID('Key Analysis'!$C4,62,1))</f>
        <v/>
      </c>
      <c r="GS8" s="29" t="str">
        <f>IF(OR($B8="",$A8&lt;63),"",--MID('Key Analysis'!$C4,63,1))</f>
        <v/>
      </c>
      <c r="GT8" s="29" t="str">
        <f>IF(OR($B8="",$A8&lt;64),"",--MID('Key Analysis'!$C4,64,1))</f>
        <v/>
      </c>
      <c r="GU8" s="29" t="str">
        <f>IF(OR($B8="",$A8&lt;65),"",--MID('Key Analysis'!$C4,65,1))</f>
        <v/>
      </c>
      <c r="GV8" s="29" t="str">
        <f>IF(OR($B8="",$A8&lt;66),"",--MID('Key Analysis'!$C4,66,1))</f>
        <v/>
      </c>
      <c r="GW8" s="29" t="str">
        <f>IF(OR($B8="",$A8&lt;67),"",--MID('Key Analysis'!$C4,67,1))</f>
        <v/>
      </c>
      <c r="GX8" s="29" t="str">
        <f>IF(OR($B8="",$A8&lt;68),"",--MID('Key Analysis'!$C4,68,1))</f>
        <v/>
      </c>
      <c r="GY8" s="29" t="str">
        <f>IF(OR($B8="",$A8&lt;69),"",--MID('Key Analysis'!$C4,69,1))</f>
        <v/>
      </c>
      <c r="GZ8" s="29" t="str">
        <f>IF(OR($B8="",$A8&lt;70),"",--MID('Key Analysis'!$C4,70,1))</f>
        <v/>
      </c>
      <c r="HA8" s="29" t="str">
        <f>IF(OR($B8="",$A8&lt;71),"",--MID('Key Analysis'!$C4,71,1))</f>
        <v/>
      </c>
      <c r="HB8" s="29" t="str">
        <f>IF(OR($B8="",$A8&lt;72),"",--MID('Key Analysis'!$C4,72,1))</f>
        <v/>
      </c>
      <c r="HC8" s="29" t="str">
        <f>IF(OR($B8="",$A8&lt;73),"",--MID('Key Analysis'!$C4,73,1))</f>
        <v/>
      </c>
      <c r="HD8" s="29" t="str">
        <f>IF(OR($B8="",$A8&lt;74),"",--MID('Key Analysis'!$C4,74,1))</f>
        <v/>
      </c>
      <c r="HE8" s="29" t="str">
        <f>IF(OR($B8="",$A8&lt;75),"",--MID('Key Analysis'!$C4,75,1))</f>
        <v/>
      </c>
      <c r="HF8" s="29" t="str">
        <f>IF(OR($B8="",$A8&lt;76),"",--MID('Key Analysis'!$C4,76,1))</f>
        <v/>
      </c>
      <c r="HG8" s="29" t="str">
        <f>IF(OR($B8="",$A8&lt;77),"",--MID('Key Analysis'!$C4,77,1))</f>
        <v/>
      </c>
      <c r="HH8" s="29" t="str">
        <f>IF(OR($B8="",$A8&lt;78),"",--MID('Key Analysis'!$C4,78,1))</f>
        <v/>
      </c>
      <c r="HI8" s="29" t="str">
        <f>IF(OR($B8="",$A8&lt;79),"",--MID('Key Analysis'!$C4,79,1))</f>
        <v/>
      </c>
      <c r="HJ8" s="29" t="str">
        <f>IF(OR($B8="",$A8&lt;80),"",--MID('Key Analysis'!$C4,80,1))</f>
        <v/>
      </c>
      <c r="HK8" s="29" t="str">
        <f>IF(OR($B8="",$A8&lt;81),"",--MID('Key Analysis'!$C4,81,1))</f>
        <v/>
      </c>
      <c r="HL8" s="29" t="str">
        <f>IF(OR($B8="",$A8&lt;82),"",--MID('Key Analysis'!$C4,82,1))</f>
        <v/>
      </c>
      <c r="HM8" s="29" t="str">
        <f>IF(OR($B8="",$A8&lt;83),"",--MID('Key Analysis'!$C4,83,1))</f>
        <v/>
      </c>
      <c r="HN8" s="29" t="str">
        <f>IF(OR($B8="",$A8&lt;84),"",--MID('Key Analysis'!$C4,84,1))</f>
        <v/>
      </c>
      <c r="HO8" s="29" t="str">
        <f>IF(OR($B8="",$A8&lt;85),"",--MID('Key Analysis'!$C4,85,1))</f>
        <v/>
      </c>
      <c r="HP8" s="29" t="str">
        <f>IF(OR($B8="",$A8&lt;86),"",--MID('Key Analysis'!$C4,86,1))</f>
        <v/>
      </c>
      <c r="HQ8" s="29" t="str">
        <f>IF(OR($B8="",$A8&lt;87),"",--MID('Key Analysis'!$C4,87,1))</f>
        <v/>
      </c>
      <c r="HR8" s="29" t="str">
        <f>IF(OR($B8="",$A8&lt;88),"",--MID('Key Analysis'!$C4,88,1))</f>
        <v/>
      </c>
      <c r="HS8" s="29" t="str">
        <f>IF(OR($B8="",$A8&lt;89),"",--MID('Key Analysis'!$C4,89,1))</f>
        <v/>
      </c>
      <c r="HT8" s="29" t="str">
        <f>IF(OR($B8="",$A8&lt;90),"",--MID('Key Analysis'!$C4,90,1))</f>
        <v/>
      </c>
      <c r="HU8" s="29" t="str">
        <f>IF(OR($B8="",$A8&lt;91),"",--MID('Key Analysis'!$C4,91,1))</f>
        <v/>
      </c>
      <c r="HV8" s="29" t="str">
        <f>IF(OR($B8="",$A8&lt;92),"",--MID('Key Analysis'!$C4,92,1))</f>
        <v/>
      </c>
      <c r="HW8" s="29" t="str">
        <f>IF(OR($B8="",$A8&lt;93),"",--MID('Key Analysis'!$C4,93,1))</f>
        <v/>
      </c>
      <c r="HX8" s="29" t="str">
        <f>IF(OR($B8="",$A8&lt;94),"",--MID('Key Analysis'!$C4,94,1))</f>
        <v/>
      </c>
      <c r="HY8" s="29" t="str">
        <f>IF(OR($B8="",$A8&lt;95),"",--MID('Key Analysis'!$C4,95,1))</f>
        <v/>
      </c>
      <c r="HZ8" s="29" t="str">
        <f>IF(OR($B8="",$A8&lt;96),"",--MID('Key Analysis'!$C4,96,1))</f>
        <v/>
      </c>
      <c r="IA8" s="29" t="str">
        <f>IF(OR($B8="",$A8&lt;97),"",--MID('Key Analysis'!$C4,97,1))</f>
        <v/>
      </c>
      <c r="IB8" s="29" t="str">
        <f>IF(OR($B8="",$A8&lt;98),"",--MID('Key Analysis'!$C4,98,1))</f>
        <v/>
      </c>
      <c r="IC8" s="29" t="str">
        <f>IF(OR($B8="",$A8&lt;99),"",--MID('Key Analysis'!$C4,99,1))</f>
        <v/>
      </c>
      <c r="ID8" s="29" t="str">
        <f>IF(OR($B8="",$A8&lt;100),"",--MID('Key Analysis'!$C4,100,1))</f>
        <v/>
      </c>
      <c r="IE8" s="29" t="str">
        <f>IF(OR($B8="",$A8&lt;101),"",--MID('Key Analysis'!$C4,101,1))</f>
        <v/>
      </c>
      <c r="IF8" s="29" t="str">
        <f>IF(OR($B8="",$A8&lt;102),"",--MID('Key Analysis'!$C4,102,1))</f>
        <v/>
      </c>
      <c r="IG8" s="29" t="str">
        <f>IF(OR($B8="",$A8&lt;103),"",--MID('Key Analysis'!$C4,103,1))</f>
        <v/>
      </c>
      <c r="IH8" s="29" t="str">
        <f>IF(OR($B8="",$A8&lt;104),"",--MID('Key Analysis'!$C4,104,1))</f>
        <v/>
      </c>
      <c r="II8" s="29" t="str">
        <f>IF(OR($B8="",$A8&lt;105),"",--MID('Key Analysis'!$C4,105,1))</f>
        <v/>
      </c>
      <c r="IJ8" s="29" t="str">
        <f>IF(OR($B8="",$A8&lt;106),"",--MID('Key Analysis'!$C4,106,1))</f>
        <v/>
      </c>
      <c r="IK8" s="29" t="str">
        <f>IF(OR($B8="",$A8&lt;107),"",--MID('Key Analysis'!$C4,107,1))</f>
        <v/>
      </c>
      <c r="IL8" s="29" t="str">
        <f>IF(OR($B8="",$A8&lt;108),"",--MID('Key Analysis'!$C4,108,1))</f>
        <v/>
      </c>
      <c r="IM8" s="29" t="str">
        <f>IF(OR($B8="",$A8&lt;109),"",--MID('Key Analysis'!$C4,109,1))</f>
        <v/>
      </c>
      <c r="IN8" s="29" t="str">
        <f>IF(OR($B8="",$A8&lt;110),"",--MID('Key Analysis'!$C4,110,1))</f>
        <v/>
      </c>
      <c r="IO8" s="29" t="str">
        <f>IF(OR($B8="",$A8&lt;111),"",--MID('Key Analysis'!$C4,111,1))</f>
        <v/>
      </c>
      <c r="IP8" s="29" t="str">
        <f>IF(OR($B8="",$A8&lt;112),"",--MID('Key Analysis'!$C4,112,1))</f>
        <v/>
      </c>
      <c r="IQ8" s="29" t="str">
        <f>IF(OR($B8="",$A8&lt;113),"",--MID('Key Analysis'!$C4,113,1))</f>
        <v/>
      </c>
      <c r="IR8" s="29" t="str">
        <f>IF(OR($B8="",$A8&lt;114),"",--MID('Key Analysis'!$C4,114,1))</f>
        <v/>
      </c>
      <c r="IS8" s="29" t="str">
        <f>IF(OR($B8="",$A8&lt;115),"",--MID('Key Analysis'!$C4,115,1))</f>
        <v/>
      </c>
      <c r="IT8" s="29" t="str">
        <f>IF(OR($B8="",$A8&lt;116),"",--MID('Key Analysis'!$C4,116,1))</f>
        <v/>
      </c>
      <c r="IU8" s="29" t="str">
        <f>IF(OR($B8="",$A8&lt;117),"",--MID('Key Analysis'!$C4,117,1))</f>
        <v/>
      </c>
      <c r="IV8" s="29" t="str">
        <f>IF(OR($B8="",$A8&lt;118),"",--MID('Key Analysis'!$C4,118,1))</f>
        <v/>
      </c>
      <c r="IW8" s="29" t="str">
        <f>IF(OR($B8="",$A8&lt;119),"",--MID('Key Analysis'!$C4,119,1))</f>
        <v/>
      </c>
      <c r="IX8" s="29" t="str">
        <f>IF(OR($B8="",$A8&lt;120),"",--MID('Key Analysis'!$C4,120,1))</f>
        <v/>
      </c>
      <c r="IY8" s="29" t="str">
        <f>IF(OR($B8="",$A8&lt;121),"",--MID('Key Analysis'!$C4,121,1))</f>
        <v/>
      </c>
      <c r="IZ8" s="29" t="str">
        <f>IF(OR($B8="",$A8&lt;122),"",--MID('Key Analysis'!$C4,122,1))</f>
        <v/>
      </c>
      <c r="JA8" s="29" t="str">
        <f>IF(OR($B8="",$A8&lt;123),"",--MID('Key Analysis'!$C4,123,1))</f>
        <v/>
      </c>
      <c r="JB8" s="29" t="str">
        <f>IF(OR($B8="",$A8&lt;124),"",--MID('Key Analysis'!$C4,124,1))</f>
        <v/>
      </c>
      <c r="JC8" s="29" t="str">
        <f>IF(OR($B8="",$A8&lt;125),"",--MID('Key Analysis'!$C4,125,1))</f>
        <v/>
      </c>
      <c r="JD8" s="29" t="str">
        <f>IF(OR($B8="",$A8&lt;126),"",--MID('Key Analysis'!$C4,126,1))</f>
        <v/>
      </c>
      <c r="JE8" s="29" t="str">
        <f>IF(OR($B8="",$A8&lt;127),"",--MID('Key Analysis'!$C4,127,1))</f>
        <v/>
      </c>
      <c r="JF8" s="29" t="str">
        <f>IF(OR($B8="",$A8&lt;128),"",--MID('Key Analysis'!$C4,128,1))</f>
        <v/>
      </c>
      <c r="JG8" s="29" t="str">
        <f>IF(OR($B8="",$A8&lt;129),"",--MID('Key Analysis'!$C4,129,1))</f>
        <v/>
      </c>
      <c r="JH8" s="29" t="str">
        <f>IF(OR($B8="",$A8&lt;130),"",--MID('Key Analysis'!$C4,130,1))</f>
        <v/>
      </c>
      <c r="JI8" s="29" t="str">
        <f>IF(OR($B8="",$A8&lt;131),"",--MID('Key Analysis'!$C4,131,1))</f>
        <v/>
      </c>
      <c r="JJ8" s="29" t="str">
        <f>IF(OR($B8="",$A8&lt;132),"",--MID('Key Analysis'!$C4,132,1))</f>
        <v/>
      </c>
      <c r="JK8" s="29" t="str">
        <f>IF(OR($B8="",$A8&lt;133),"",--MID('Key Analysis'!$C4,133,1))</f>
        <v/>
      </c>
      <c r="JL8" s="29" t="str">
        <f>IF(OR($B8="",$A8&lt;134),"",--MID('Key Analysis'!$C4,134,1))</f>
        <v/>
      </c>
      <c r="JM8" s="29" t="str">
        <f>IF(OR($B8="",$A8&lt;135),"",--MID('Key Analysis'!$C4,135,1))</f>
        <v/>
      </c>
    </row>
    <row r="9" spans="1:273" x14ac:dyDescent="0.25">
      <c r="A9" s="21">
        <f>'Key Analysis'!A5</f>
        <v>4</v>
      </c>
      <c r="B9" s="30" t="str">
        <f>'Key Analysis'!B5</f>
        <v>8</v>
      </c>
      <c r="C9" s="29">
        <f>IF(OR($B9="",$A9&lt;=0),"",--MID('Key Analysis'!$C5,$A9-0,1))</f>
        <v>0</v>
      </c>
      <c r="D9" s="29">
        <f>IF(OR($B9="",$A9&lt;=1),"",--MID('Key Analysis'!$C5,$A9-1,1))</f>
        <v>0</v>
      </c>
      <c r="E9" s="29">
        <f>IF(OR($B9="",$A9&lt;=2),"",--MID('Key Analysis'!$C5,$A9-2,1))</f>
        <v>0</v>
      </c>
      <c r="F9" s="29">
        <f>IF(OR($B9="",$A9&lt;=3),"",--MID('Key Analysis'!$C5,$A9-3,1))</f>
        <v>1</v>
      </c>
      <c r="G9" s="29" t="str">
        <f>IF(OR($B9="",$A9&lt;=4),"",--MID('Key Analysis'!$C5,$A9-4,1))</f>
        <v/>
      </c>
      <c r="H9" s="29" t="str">
        <f>IF(OR($B9="",$A9&lt;=5),"",--MID('Key Analysis'!$C5,$A9-5,1))</f>
        <v/>
      </c>
      <c r="I9" s="29" t="str">
        <f>IF(OR($B9="",$A9&lt;=6),"",--MID('Key Analysis'!$C5,$A9-6,1))</f>
        <v/>
      </c>
      <c r="J9" s="29" t="str">
        <f>IF(OR($B9="",$A9&lt;=7),"",--MID('Key Analysis'!$C5,$A9-7,1))</f>
        <v/>
      </c>
      <c r="K9" s="29" t="str">
        <f>IF(OR($B9="",$A9&lt;=8),"",--MID('Key Analysis'!$C5,$A9-8,1))</f>
        <v/>
      </c>
      <c r="L9" s="29" t="str">
        <f>IF(OR($B9="",$A9&lt;=9),"",--MID('Key Analysis'!$C5,$A9-9,1))</f>
        <v/>
      </c>
      <c r="M9" s="29" t="str">
        <f>IF(OR($B9="",$A9&lt;=10),"",--MID('Key Analysis'!$C5,$A9-10,1))</f>
        <v/>
      </c>
      <c r="N9" s="29" t="str">
        <f>IF(OR($B9="",$A9&lt;=11),"",--MID('Key Analysis'!$C5,$A9-11,1))</f>
        <v/>
      </c>
      <c r="O9" s="29" t="str">
        <f>IF(OR($B9="",$A9&lt;=12),"",--MID('Key Analysis'!$C5,$A9-12,1))</f>
        <v/>
      </c>
      <c r="P9" s="29" t="str">
        <f>IF(OR($B9="",$A9&lt;=13),"",--MID('Key Analysis'!$C5,$A9-13,1))</f>
        <v/>
      </c>
      <c r="Q9" s="29" t="str">
        <f>IF(OR($B9="",$A9&lt;=14),"",--MID('Key Analysis'!$C5,$A9-14,1))</f>
        <v/>
      </c>
      <c r="R9" s="29" t="str">
        <f>IF(OR($B9="",$A9&lt;=15),"",--MID('Key Analysis'!$C5,$A9-15,1))</f>
        <v/>
      </c>
      <c r="S9" s="29" t="str">
        <f>IF(OR($B9="",$A9&lt;=16),"",--MID('Key Analysis'!$C5,$A9-16,1))</f>
        <v/>
      </c>
      <c r="T9" s="29" t="str">
        <f>IF(OR($B9="",$A9&lt;=17),"",--MID('Key Analysis'!$C5,$A9-17,1))</f>
        <v/>
      </c>
      <c r="U9" s="29" t="str">
        <f>IF(OR($B9="",$A9&lt;=18),"",--MID('Key Analysis'!$C5,$A9-18,1))</f>
        <v/>
      </c>
      <c r="V9" s="29" t="str">
        <f>IF(OR($B9="",$A9&lt;=19),"",--MID('Key Analysis'!$C5,$A9-19,1))</f>
        <v/>
      </c>
      <c r="W9" s="29" t="str">
        <f>IF(OR($B9="",$A9&lt;=20),"",--MID('Key Analysis'!$C5,$A9-20,1))</f>
        <v/>
      </c>
      <c r="X9" s="29" t="str">
        <f>IF(OR($B9="",$A9&lt;=21),"",--MID('Key Analysis'!$C5,$A9-21,1))</f>
        <v/>
      </c>
      <c r="Y9" s="29" t="str">
        <f>IF(OR($B9="",$A9&lt;=22),"",--MID('Key Analysis'!$C5,$A9-22,1))</f>
        <v/>
      </c>
      <c r="Z9" s="29" t="str">
        <f>IF(OR($B9="",$A9&lt;=23),"",--MID('Key Analysis'!$C5,$A9-23,1))</f>
        <v/>
      </c>
      <c r="AA9" s="29" t="str">
        <f>IF(OR($B9="",$A9&lt;=24),"",--MID('Key Analysis'!$C5,$A9-24,1))</f>
        <v/>
      </c>
      <c r="AB9" s="29" t="str">
        <f>IF(OR($B9="",$A9&lt;=25),"",--MID('Key Analysis'!$C5,$A9-25,1))</f>
        <v/>
      </c>
      <c r="AC9" s="29" t="str">
        <f>IF(OR($B9="",$A9&lt;=26),"",--MID('Key Analysis'!$C5,$A9-26,1))</f>
        <v/>
      </c>
      <c r="AD9" s="29" t="str">
        <f>IF(OR($B9="",$A9&lt;=27),"",--MID('Key Analysis'!$C5,$A9-27,1))</f>
        <v/>
      </c>
      <c r="AE9" s="29" t="str">
        <f>IF(OR($B9="",$A9&lt;=28),"",--MID('Key Analysis'!$C5,$A9-28,1))</f>
        <v/>
      </c>
      <c r="AF9" s="29" t="str">
        <f>IF(OR($B9="",$A9&lt;=29),"",--MID('Key Analysis'!$C5,$A9-29,1))</f>
        <v/>
      </c>
      <c r="AG9" s="29" t="str">
        <f>IF(OR($B9="",$A9&lt;=30),"",--MID('Key Analysis'!$C5,$A9-30,1))</f>
        <v/>
      </c>
      <c r="AH9" s="29" t="str">
        <f>IF(OR($B9="",$A9&lt;=31),"",--MID('Key Analysis'!$C5,$A9-31,1))</f>
        <v/>
      </c>
      <c r="AI9" s="29" t="str">
        <f>IF(OR($B9="",$A9&lt;=32),"",--MID('Key Analysis'!$C5,$A9-32,1))</f>
        <v/>
      </c>
      <c r="AJ9" s="29" t="str">
        <f>IF(OR($B9="",$A9&lt;=33),"",--MID('Key Analysis'!$C5,$A9-33,1))</f>
        <v/>
      </c>
      <c r="AK9" s="29" t="str">
        <f>IF(OR($B9="",$A9&lt;=34),"",--MID('Key Analysis'!$C5,$A9-34,1))</f>
        <v/>
      </c>
      <c r="AL9" s="29" t="str">
        <f>IF(OR($B9="",$A9&lt;=35),"",--MID('Key Analysis'!$C5,$A9-35,1))</f>
        <v/>
      </c>
      <c r="AM9" s="29" t="str">
        <f>IF(OR($B9="",$A9&lt;=36),"",--MID('Key Analysis'!$C5,$A9-36,1))</f>
        <v/>
      </c>
      <c r="AN9" s="29" t="str">
        <f>IF(OR($B9="",$A9&lt;=37),"",--MID('Key Analysis'!$C5,$A9-37,1))</f>
        <v/>
      </c>
      <c r="AO9" s="29" t="str">
        <f>IF(OR($B9="",$A9&lt;=38),"",--MID('Key Analysis'!$C5,$A9-38,1))</f>
        <v/>
      </c>
      <c r="AP9" s="29" t="str">
        <f>IF(OR($B9="",$A9&lt;=39),"",--MID('Key Analysis'!$C5,$A9-39,1))</f>
        <v/>
      </c>
      <c r="AQ9" s="29" t="str">
        <f>IF(OR($B9="",$A9&lt;=40),"",--MID('Key Analysis'!$C5,$A9-40,1))</f>
        <v/>
      </c>
      <c r="AR9" s="29" t="str">
        <f>IF(OR($B9="",$A9&lt;=41),"",--MID('Key Analysis'!$C5,$A9-41,1))</f>
        <v/>
      </c>
      <c r="AS9" s="29" t="str">
        <f>IF(OR($B9="",$A9&lt;=42),"",--MID('Key Analysis'!$C5,$A9-42,1))</f>
        <v/>
      </c>
      <c r="AT9" s="29" t="str">
        <f>IF(OR($B9="",$A9&lt;=43),"",--MID('Key Analysis'!$C5,$A9-43,1))</f>
        <v/>
      </c>
      <c r="AU9" s="29" t="str">
        <f>IF(OR($B9="",$A9&lt;=44),"",--MID('Key Analysis'!$C5,$A9-44,1))</f>
        <v/>
      </c>
      <c r="AV9" s="29" t="str">
        <f>IF(OR($B9="",$A9&lt;=45),"",--MID('Key Analysis'!$C5,$A9-45,1))</f>
        <v/>
      </c>
      <c r="AW9" s="29" t="str">
        <f>IF(OR($B9="",$A9&lt;=46),"",--MID('Key Analysis'!$C5,$A9-46,1))</f>
        <v/>
      </c>
      <c r="AX9" s="29" t="str">
        <f>IF(OR($B9="",$A9&lt;=47),"",--MID('Key Analysis'!$C5,$A9-47,1))</f>
        <v/>
      </c>
      <c r="AY9" s="29" t="str">
        <f>IF(OR($B9="",$A9&lt;=48),"",--MID('Key Analysis'!$C5,$A9-48,1))</f>
        <v/>
      </c>
      <c r="AZ9" s="29" t="str">
        <f>IF(OR($B9="",$A9&lt;=49),"",--MID('Key Analysis'!$C5,$A9-49,1))</f>
        <v/>
      </c>
      <c r="BA9" s="29" t="str">
        <f>IF(OR($B9="",$A9&lt;=50),"",--MID('Key Analysis'!$C5,$A9-50,1))</f>
        <v/>
      </c>
      <c r="BB9" s="29" t="str">
        <f>IF(OR($B9="",$A9&lt;=51),"",--MID('Key Analysis'!$C5,$A9-51,1))</f>
        <v/>
      </c>
      <c r="BC9" s="29" t="str">
        <f>IF(OR($B9="",$A9&lt;=52),"",--MID('Key Analysis'!$C5,$A9-52,1))</f>
        <v/>
      </c>
      <c r="BD9" s="29" t="str">
        <f>IF(OR($B9="",$A9&lt;=53),"",--MID('Key Analysis'!$C5,$A9-53,1))</f>
        <v/>
      </c>
      <c r="BE9" s="29" t="str">
        <f>IF(OR($B9="",$A9&lt;=54),"",--MID('Key Analysis'!$C5,$A9-54,1))</f>
        <v/>
      </c>
      <c r="BF9" s="29" t="str">
        <f>IF(OR($B9="",$A9&lt;=55),"",--MID('Key Analysis'!$C5,$A9-55,1))</f>
        <v/>
      </c>
      <c r="BG9" s="29" t="str">
        <f>IF(OR($B9="",$A9&lt;=56),"",--MID('Key Analysis'!$C5,$A9-56,1))</f>
        <v/>
      </c>
      <c r="BH9" s="29" t="str">
        <f>IF(OR($B9="",$A9&lt;=57),"",--MID('Key Analysis'!$C5,$A9-57,1))</f>
        <v/>
      </c>
      <c r="BI9" s="29" t="str">
        <f>IF(OR($B9="",$A9&lt;=58),"",--MID('Key Analysis'!$C5,$A9-58,1))</f>
        <v/>
      </c>
      <c r="BJ9" s="29" t="str">
        <f>IF(OR($B9="",$A9&lt;=59),"",--MID('Key Analysis'!$C5,$A9-59,1))</f>
        <v/>
      </c>
      <c r="BK9" s="29" t="str">
        <f>IF(OR($B9="",$A9&lt;=60),"",--MID('Key Analysis'!$C5,$A9-60,1))</f>
        <v/>
      </c>
      <c r="BL9" s="29" t="str">
        <f>IF(OR($B9="",$A9&lt;=61),"",--MID('Key Analysis'!$C5,$A9-61,1))</f>
        <v/>
      </c>
      <c r="BM9" s="29" t="str">
        <f>IF(OR($B9="",$A9&lt;=62),"",--MID('Key Analysis'!$C5,$A9-62,1))</f>
        <v/>
      </c>
      <c r="BN9" s="29" t="str">
        <f>IF(OR($B9="",$A9&lt;=63),"",--MID('Key Analysis'!$C5,$A9-63,1))</f>
        <v/>
      </c>
      <c r="BO9" s="29" t="str">
        <f>IF(OR($B9="",$A9&lt;=64),"",--MID('Key Analysis'!$C5,$A9-64,1))</f>
        <v/>
      </c>
      <c r="BP9" s="29" t="str">
        <f>IF(OR($B9="",$A9&lt;=65),"",--MID('Key Analysis'!$C5,$A9-65,1))</f>
        <v/>
      </c>
      <c r="BQ9" s="29" t="str">
        <f>IF(OR($B9="",$A9&lt;=66),"",--MID('Key Analysis'!$C5,$A9-66,1))</f>
        <v/>
      </c>
      <c r="BR9" s="29" t="str">
        <f>IF(OR($B9="",$A9&lt;=67),"",--MID('Key Analysis'!$C5,$A9-67,1))</f>
        <v/>
      </c>
      <c r="BS9" s="29" t="str">
        <f>IF(OR($B9="",$A9&lt;=68),"",--MID('Key Analysis'!$C5,$A9-68,1))</f>
        <v/>
      </c>
      <c r="BT9" s="29" t="str">
        <f>IF(OR($B9="",$A9&lt;=69),"",--MID('Key Analysis'!$C5,$A9-69,1))</f>
        <v/>
      </c>
      <c r="BU9" s="29" t="str">
        <f>IF(OR($B9="",$A9&lt;=70),"",--MID('Key Analysis'!$C5,$A9-70,1))</f>
        <v/>
      </c>
      <c r="BV9" s="29" t="str">
        <f>IF(OR($B9="",$A9&lt;=71),"",--MID('Key Analysis'!$C5,$A9-71,1))</f>
        <v/>
      </c>
      <c r="BW9" s="29" t="str">
        <f>IF(OR($B9="",$A9&lt;=72),"",--MID('Key Analysis'!$C5,$A9-72,1))</f>
        <v/>
      </c>
      <c r="BX9" s="29" t="str">
        <f>IF(OR($B9="",$A9&lt;=73),"",--MID('Key Analysis'!$C5,$A9-73,1))</f>
        <v/>
      </c>
      <c r="BY9" s="29" t="str">
        <f>IF(OR($B9="",$A9&lt;=74),"",--MID('Key Analysis'!$C5,$A9-74,1))</f>
        <v/>
      </c>
      <c r="BZ9" s="29" t="str">
        <f>IF(OR($B9="",$A9&lt;=75),"",--MID('Key Analysis'!$C5,$A9-75,1))</f>
        <v/>
      </c>
      <c r="CA9" s="29" t="str">
        <f>IF(OR($B9="",$A9&lt;=76),"",--MID('Key Analysis'!$C5,$A9-76,1))</f>
        <v/>
      </c>
      <c r="CB9" s="29" t="str">
        <f>IF(OR($B9="",$A9&lt;=77),"",--MID('Key Analysis'!$C5,$A9-77,1))</f>
        <v/>
      </c>
      <c r="CC9" s="29" t="str">
        <f>IF(OR($B9="",$A9&lt;=78),"",--MID('Key Analysis'!$C5,$A9-78,1))</f>
        <v/>
      </c>
      <c r="CD9" s="29" t="str">
        <f>IF(OR($B9="",$A9&lt;=79),"",--MID('Key Analysis'!$C5,$A9-79,1))</f>
        <v/>
      </c>
      <c r="CE9" s="29" t="str">
        <f>IF(OR($B9="",$A9&lt;=80),"",--MID('Key Analysis'!$C5,$A9-80,1))</f>
        <v/>
      </c>
      <c r="CF9" s="29" t="str">
        <f>IF(OR($B9="",$A9&lt;=81),"",--MID('Key Analysis'!$C5,$A9-81,1))</f>
        <v/>
      </c>
      <c r="CG9" s="29" t="str">
        <f>IF(OR($B9="",$A9&lt;=82),"",--MID('Key Analysis'!$C5,$A9-82,1))</f>
        <v/>
      </c>
      <c r="CH9" s="29" t="str">
        <f>IF(OR($B9="",$A9&lt;=83),"",--MID('Key Analysis'!$C5,$A9-83,1))</f>
        <v/>
      </c>
      <c r="CI9" s="29" t="str">
        <f>IF(OR($B9="",$A9&lt;=84),"",--MID('Key Analysis'!$C5,$A9-84,1))</f>
        <v/>
      </c>
      <c r="CJ9" s="29" t="str">
        <f>IF(OR($B9="",$A9&lt;=85),"",--MID('Key Analysis'!$C5,$A9-85,1))</f>
        <v/>
      </c>
      <c r="CK9" s="29" t="str">
        <f>IF(OR($B9="",$A9&lt;=86),"",--MID('Key Analysis'!$C5,$A9-86,1))</f>
        <v/>
      </c>
      <c r="CL9" s="29" t="str">
        <f>IF(OR($B9="",$A9&lt;=87),"",--MID('Key Analysis'!$C5,$A9-87,1))</f>
        <v/>
      </c>
      <c r="CM9" s="29" t="str">
        <f>IF(OR($B9="",$A9&lt;=88),"",--MID('Key Analysis'!$C5,$A9-88,1))</f>
        <v/>
      </c>
      <c r="CN9" s="29" t="str">
        <f>IF(OR($B9="",$A9&lt;=89),"",--MID('Key Analysis'!$C5,$A9-89,1))</f>
        <v/>
      </c>
      <c r="CO9" s="29" t="str">
        <f>IF(OR($B9="",$A9&lt;=90),"",--MID('Key Analysis'!$C5,$A9-90,1))</f>
        <v/>
      </c>
      <c r="CP9" s="29" t="str">
        <f>IF(OR($B9="",$A9&lt;=91),"",--MID('Key Analysis'!$C5,$A9-91,1))</f>
        <v/>
      </c>
      <c r="CQ9" s="29" t="str">
        <f>IF(OR($B9="",$A9&lt;=92),"",--MID('Key Analysis'!$C5,$A9-92,1))</f>
        <v/>
      </c>
      <c r="CR9" s="29" t="str">
        <f>IF(OR($B9="",$A9&lt;=93),"",--MID('Key Analysis'!$C5,$A9-93,1))</f>
        <v/>
      </c>
      <c r="CS9" s="29" t="str">
        <f>IF(OR($B9="",$A9&lt;=94),"",--MID('Key Analysis'!$C5,$A9-94,1))</f>
        <v/>
      </c>
      <c r="CT9" s="29" t="str">
        <f>IF(OR($B9="",$A9&lt;=95),"",--MID('Key Analysis'!$C5,$A9-95,1))</f>
        <v/>
      </c>
      <c r="CU9" s="29" t="str">
        <f>IF(OR($B9="",$A9&lt;=96),"",--MID('Key Analysis'!$C5,$A9-96,1))</f>
        <v/>
      </c>
      <c r="CV9" s="29" t="str">
        <f>IF(OR($B9="",$A9&lt;=97),"",--MID('Key Analysis'!$C5,$A9-97,1))</f>
        <v/>
      </c>
      <c r="CW9" s="29" t="str">
        <f>IF(OR($B9="",$A9&lt;=98),"",--MID('Key Analysis'!$C5,$A9-98,1))</f>
        <v/>
      </c>
      <c r="CX9" s="29" t="str">
        <f>IF(OR($B9="",$A9&lt;=99),"",--MID('Key Analysis'!$C5,$A9-99,1))</f>
        <v/>
      </c>
      <c r="CY9" s="29" t="str">
        <f>IF(OR($B9="",$A9&lt;=100),"",--MID('Key Analysis'!$C5,$A9-100,1))</f>
        <v/>
      </c>
      <c r="CZ9" s="29" t="str">
        <f>IF(OR($B9="",$A9&lt;=101),"",--MID('Key Analysis'!$C5,$A9-101,1))</f>
        <v/>
      </c>
      <c r="DA9" s="29" t="str">
        <f>IF(OR($B9="",$A9&lt;=102),"",--MID('Key Analysis'!$C5,$A9-102,1))</f>
        <v/>
      </c>
      <c r="DB9" s="29" t="str">
        <f>IF(OR($B9="",$A9&lt;=103),"",--MID('Key Analysis'!$C5,$A9-103,1))</f>
        <v/>
      </c>
      <c r="DC9" s="29" t="str">
        <f>IF(OR($B9="",$A9&lt;=104),"",--MID('Key Analysis'!$C5,$A9-104,1))</f>
        <v/>
      </c>
      <c r="DD9" s="29" t="str">
        <f>IF(OR($B9="",$A9&lt;=105),"",--MID('Key Analysis'!$C5,$A9-105,1))</f>
        <v/>
      </c>
      <c r="DE9" s="29" t="str">
        <f>IF(OR($B9="",$A9&lt;=106),"",--MID('Key Analysis'!$C5,$A9-106,1))</f>
        <v/>
      </c>
      <c r="DF9" s="29" t="str">
        <f>IF(OR($B9="",$A9&lt;=107),"",--MID('Key Analysis'!$C5,$A9-107,1))</f>
        <v/>
      </c>
      <c r="DG9" s="29" t="str">
        <f>IF(OR($B9="",$A9&lt;=108),"",--MID('Key Analysis'!$C5,$A9-108,1))</f>
        <v/>
      </c>
      <c r="DH9" s="29" t="str">
        <f>IF(OR($B9="",$A9&lt;=109),"",--MID('Key Analysis'!$C5,$A9-109,1))</f>
        <v/>
      </c>
      <c r="DI9" s="29" t="str">
        <f>IF(OR($B9="",$A9&lt;=110),"",--MID('Key Analysis'!$C5,$A9-110,1))</f>
        <v/>
      </c>
      <c r="DJ9" s="29" t="str">
        <f>IF(OR($B9="",$A9&lt;=111),"",--MID('Key Analysis'!$C5,$A9-111,1))</f>
        <v/>
      </c>
      <c r="DK9" s="29" t="str">
        <f>IF(OR($B9="",$A9&lt;=112),"",--MID('Key Analysis'!$C5,$A9-112,1))</f>
        <v/>
      </c>
      <c r="DL9" s="29" t="str">
        <f>IF(OR($B9="",$A9&lt;=113),"",--MID('Key Analysis'!$C5,$A9-113,1))</f>
        <v/>
      </c>
      <c r="DM9" s="29" t="str">
        <f>IF(OR($B9="",$A9&lt;=114),"",--MID('Key Analysis'!$C5,$A9-114,1))</f>
        <v/>
      </c>
      <c r="DN9" s="29" t="str">
        <f>IF(OR($B9="",$A9&lt;=115),"",--MID('Key Analysis'!$C5,$A9-115,1))</f>
        <v/>
      </c>
      <c r="DO9" s="29" t="str">
        <f>IF(OR($B9="",$A9&lt;=116),"",--MID('Key Analysis'!$C5,$A9-116,1))</f>
        <v/>
      </c>
      <c r="DP9" s="29" t="str">
        <f>IF(OR($B9="",$A9&lt;=117),"",--MID('Key Analysis'!$C5,$A9-117,1))</f>
        <v/>
      </c>
      <c r="DQ9" s="29" t="str">
        <f>IF(OR($B9="",$A9&lt;=118),"",--MID('Key Analysis'!$C5,$A9-118,1))</f>
        <v/>
      </c>
      <c r="DR9" s="29" t="str">
        <f>IF(OR($B9="",$A9&lt;=119),"",--MID('Key Analysis'!$C5,$A9-119,1))</f>
        <v/>
      </c>
      <c r="DS9" s="29" t="str">
        <f>IF(OR($B9="",$A9&lt;=120),"",--MID('Key Analysis'!$C5,$A9-120,1))</f>
        <v/>
      </c>
      <c r="DT9" s="29" t="str">
        <f>IF(OR($B9="",$A9&lt;=121),"",--MID('Key Analysis'!$C5,$A9-121,1))</f>
        <v/>
      </c>
      <c r="DU9" s="29" t="str">
        <f>IF(OR($B9="",$A9&lt;=122),"",--MID('Key Analysis'!$C5,$A9-122,1))</f>
        <v/>
      </c>
      <c r="DV9" s="29" t="str">
        <f>IF(OR($B9="",$A9&lt;=123),"",--MID('Key Analysis'!$C5,$A9-123,1))</f>
        <v/>
      </c>
      <c r="DW9" s="29" t="str">
        <f>IF(OR($B9="",$A9&lt;=124),"",--MID('Key Analysis'!$C5,$A9-124,1))</f>
        <v/>
      </c>
      <c r="DX9" s="29" t="str">
        <f>IF(OR($B9="",$A9&lt;=125),"",--MID('Key Analysis'!$C5,$A9-125,1))</f>
        <v/>
      </c>
      <c r="DY9" s="29" t="str">
        <f>IF(OR($B9="",$A9&lt;=126),"",--MID('Key Analysis'!$C5,$A9-126,1))</f>
        <v/>
      </c>
      <c r="DZ9" s="29" t="str">
        <f>IF(OR($B9="",$A9&lt;=127),"",--MID('Key Analysis'!$C5,$A9-127,1))</f>
        <v/>
      </c>
      <c r="EA9" s="29" t="str">
        <f>IF(OR($B9="",$A9&lt;=128),"",--MID('Key Analysis'!$C5,$A9-128,1))</f>
        <v/>
      </c>
      <c r="EB9" s="29" t="str">
        <f>IF(OR($B9="",$A9&lt;=129),"",--MID('Key Analysis'!$C5,$A9-129,1))</f>
        <v/>
      </c>
      <c r="EC9" s="29" t="str">
        <f>IF(OR($B9="",$A9&lt;=130),"",--MID('Key Analysis'!$C5,$A9-130,1))</f>
        <v/>
      </c>
      <c r="ED9" s="29" t="str">
        <f>IF(OR($B9="",$A9&lt;=131),"",--MID('Key Analysis'!$C5,$A9-131,1))</f>
        <v/>
      </c>
      <c r="EE9" s="29" t="str">
        <f>IF(OR($B9="",$A9&lt;=132),"",--MID('Key Analysis'!$C5,$A9-132,1))</f>
        <v/>
      </c>
      <c r="EF9" s="29" t="str">
        <f>IF(OR($B9="",$A9&lt;=133),"",--MID('Key Analysis'!$C5,$A9-133,1))</f>
        <v/>
      </c>
      <c r="EG9" s="29" t="str">
        <f>IF(OR($B9="",$A9&lt;=134),"",--MID('Key Analysis'!$C5,$A9-134,1))</f>
        <v/>
      </c>
      <c r="EH9" s="29"/>
      <c r="EI9" s="29">
        <f>IF(OR($B9="",$A9&lt;1),"",--MID('Key Analysis'!$C5,1,1))</f>
        <v>1</v>
      </c>
      <c r="EJ9" s="29">
        <f>IF(OR($B9="",$A9&lt;2),"",--MID('Key Analysis'!$C5,2,1))</f>
        <v>0</v>
      </c>
      <c r="EK9" s="29">
        <f>IF(OR($B9="",$A9&lt;3),"",--MID('Key Analysis'!$C5,3,1))</f>
        <v>0</v>
      </c>
      <c r="EL9" s="29">
        <f>IF(OR($B9="",$A9&lt;4),"",--MID('Key Analysis'!$C5,4,1))</f>
        <v>0</v>
      </c>
      <c r="EM9" s="29" t="str">
        <f>IF(OR($B9="",$A9&lt;5),"",--MID('Key Analysis'!$C5,5,1))</f>
        <v/>
      </c>
      <c r="EN9" s="29" t="str">
        <f>IF(OR($B9="",$A9&lt;6),"",--MID('Key Analysis'!$C5,6,1))</f>
        <v/>
      </c>
      <c r="EO9" s="29" t="str">
        <f>IF(OR($B9="",$A9&lt;7),"",--MID('Key Analysis'!$C5,7,1))</f>
        <v/>
      </c>
      <c r="EP9" s="29" t="str">
        <f>IF(OR($B9="",$A9&lt;8),"",--MID('Key Analysis'!$C5,8,1))</f>
        <v/>
      </c>
      <c r="EQ9" s="29" t="str">
        <f>IF(OR($B9="",$A9&lt;9),"",--MID('Key Analysis'!$C5,9,1))</f>
        <v/>
      </c>
      <c r="ER9" s="29" t="str">
        <f>IF(OR($B9="",$A9&lt;10),"",--MID('Key Analysis'!$C5,10,1))</f>
        <v/>
      </c>
      <c r="ES9" s="29" t="str">
        <f>IF(OR($B9="",$A9&lt;11),"",--MID('Key Analysis'!$C5,11,1))</f>
        <v/>
      </c>
      <c r="ET9" s="29" t="str">
        <f>IF(OR($B9="",$A9&lt;12),"",--MID('Key Analysis'!$C5,12,1))</f>
        <v/>
      </c>
      <c r="EU9" s="29" t="str">
        <f>IF(OR($B9="",$A9&lt;13),"",--MID('Key Analysis'!$C5,13,1))</f>
        <v/>
      </c>
      <c r="EV9" s="29" t="str">
        <f>IF(OR($B9="",$A9&lt;14),"",--MID('Key Analysis'!$C5,14,1))</f>
        <v/>
      </c>
      <c r="EW9" s="29" t="str">
        <f>IF(OR($B9="",$A9&lt;15),"",--MID('Key Analysis'!$C5,15,1))</f>
        <v/>
      </c>
      <c r="EX9" s="29" t="str">
        <f>IF(OR($B9="",$A9&lt;16),"",--MID('Key Analysis'!$C5,16,1))</f>
        <v/>
      </c>
      <c r="EY9" s="29" t="str">
        <f>IF(OR($B9="",$A9&lt;17),"",--MID('Key Analysis'!$C5,17,1))</f>
        <v/>
      </c>
      <c r="EZ9" s="29" t="str">
        <f>IF(OR($B9="",$A9&lt;18),"",--MID('Key Analysis'!$C5,18,1))</f>
        <v/>
      </c>
      <c r="FA9" s="29" t="str">
        <f>IF(OR($B9="",$A9&lt;19),"",--MID('Key Analysis'!$C5,19,1))</f>
        <v/>
      </c>
      <c r="FB9" s="29" t="str">
        <f>IF(OR($B9="",$A9&lt;20),"",--MID('Key Analysis'!$C5,20,1))</f>
        <v/>
      </c>
      <c r="FC9" s="29" t="str">
        <f>IF(OR($B9="",$A9&lt;21),"",--MID('Key Analysis'!$C5,21,1))</f>
        <v/>
      </c>
      <c r="FD9" s="29" t="str">
        <f>IF(OR($B9="",$A9&lt;22),"",--MID('Key Analysis'!$C5,22,1))</f>
        <v/>
      </c>
      <c r="FE9" s="29" t="str">
        <f>IF(OR($B9="",$A9&lt;23),"",--MID('Key Analysis'!$C5,23,1))</f>
        <v/>
      </c>
      <c r="FF9" s="29" t="str">
        <f>IF(OR($B9="",$A9&lt;24),"",--MID('Key Analysis'!$C5,24,1))</f>
        <v/>
      </c>
      <c r="FG9" s="29" t="str">
        <f>IF(OR($B9="",$A9&lt;25),"",--MID('Key Analysis'!$C5,25,1))</f>
        <v/>
      </c>
      <c r="FH9" s="29" t="str">
        <f>IF(OR($B9="",$A9&lt;26),"",--MID('Key Analysis'!$C5,26,1))</f>
        <v/>
      </c>
      <c r="FI9" s="29" t="str">
        <f>IF(OR($B9="",$A9&lt;27),"",--MID('Key Analysis'!$C5,27,1))</f>
        <v/>
      </c>
      <c r="FJ9" s="29" t="str">
        <f>IF(OR($B9="",$A9&lt;28),"",--MID('Key Analysis'!$C5,28,1))</f>
        <v/>
      </c>
      <c r="FK9" s="29" t="str">
        <f>IF(OR($B9="",$A9&lt;29),"",--MID('Key Analysis'!$C5,29,1))</f>
        <v/>
      </c>
      <c r="FL9" s="29" t="str">
        <f>IF(OR($B9="",$A9&lt;30),"",--MID('Key Analysis'!$C5,30,1))</f>
        <v/>
      </c>
      <c r="FM9" s="29" t="str">
        <f>IF(OR($B9="",$A9&lt;31),"",--MID('Key Analysis'!$C5,31,1))</f>
        <v/>
      </c>
      <c r="FN9" s="29" t="str">
        <f>IF(OR($B9="",$A9&lt;32),"",--MID('Key Analysis'!$C5,32,1))</f>
        <v/>
      </c>
      <c r="FO9" s="29" t="str">
        <f>IF(OR($B9="",$A9&lt;33),"",--MID('Key Analysis'!$C5,33,1))</f>
        <v/>
      </c>
      <c r="FP9" s="29" t="str">
        <f>IF(OR($B9="",$A9&lt;34),"",--MID('Key Analysis'!$C5,34,1))</f>
        <v/>
      </c>
      <c r="FQ9" s="29" t="str">
        <f>IF(OR($B9="",$A9&lt;35),"",--MID('Key Analysis'!$C5,35,1))</f>
        <v/>
      </c>
      <c r="FR9" s="29" t="str">
        <f>IF(OR($B9="",$A9&lt;36),"",--MID('Key Analysis'!$C5,36,1))</f>
        <v/>
      </c>
      <c r="FS9" s="29" t="str">
        <f>IF(OR($B9="",$A9&lt;37),"",--MID('Key Analysis'!$C5,37,1))</f>
        <v/>
      </c>
      <c r="FT9" s="29" t="str">
        <f>IF(OR($B9="",$A9&lt;38),"",--MID('Key Analysis'!$C5,38,1))</f>
        <v/>
      </c>
      <c r="FU9" s="29" t="str">
        <f>IF(OR($B9="",$A9&lt;39),"",--MID('Key Analysis'!$C5,39,1))</f>
        <v/>
      </c>
      <c r="FV9" s="29" t="str">
        <f>IF(OR($B9="",$A9&lt;40),"",--MID('Key Analysis'!$C5,40,1))</f>
        <v/>
      </c>
      <c r="FW9" s="29" t="str">
        <f>IF(OR($B9="",$A9&lt;41),"",--MID('Key Analysis'!$C5,41,1))</f>
        <v/>
      </c>
      <c r="FX9" s="29" t="str">
        <f>IF(OR($B9="",$A9&lt;42),"",--MID('Key Analysis'!$C5,42,1))</f>
        <v/>
      </c>
      <c r="FY9" s="29" t="str">
        <f>IF(OR($B9="",$A9&lt;43),"",--MID('Key Analysis'!$C5,43,1))</f>
        <v/>
      </c>
      <c r="FZ9" s="29" t="str">
        <f>IF(OR($B9="",$A9&lt;44),"",--MID('Key Analysis'!$C5,44,1))</f>
        <v/>
      </c>
      <c r="GA9" s="29" t="str">
        <f>IF(OR($B9="",$A9&lt;45),"",--MID('Key Analysis'!$C5,45,1))</f>
        <v/>
      </c>
      <c r="GB9" s="29" t="str">
        <f>IF(OR($B9="",$A9&lt;46),"",--MID('Key Analysis'!$C5,46,1))</f>
        <v/>
      </c>
      <c r="GC9" s="29" t="str">
        <f>IF(OR($B9="",$A9&lt;47),"",--MID('Key Analysis'!$C5,47,1))</f>
        <v/>
      </c>
      <c r="GD9" s="29" t="str">
        <f>IF(OR($B9="",$A9&lt;48),"",--MID('Key Analysis'!$C5,48,1))</f>
        <v/>
      </c>
      <c r="GE9" s="29" t="str">
        <f>IF(OR($B9="",$A9&lt;49),"",--MID('Key Analysis'!$C5,49,1))</f>
        <v/>
      </c>
      <c r="GF9" s="29" t="str">
        <f>IF(OR($B9="",$A9&lt;50),"",--MID('Key Analysis'!$C5,50,1))</f>
        <v/>
      </c>
      <c r="GG9" s="29" t="str">
        <f>IF(OR($B9="",$A9&lt;51),"",--MID('Key Analysis'!$C5,51,1))</f>
        <v/>
      </c>
      <c r="GH9" s="29" t="str">
        <f>IF(OR($B9="",$A9&lt;52),"",--MID('Key Analysis'!$C5,52,1))</f>
        <v/>
      </c>
      <c r="GI9" s="29" t="str">
        <f>IF(OR($B9="",$A9&lt;53),"",--MID('Key Analysis'!$C5,53,1))</f>
        <v/>
      </c>
      <c r="GJ9" s="29" t="str">
        <f>IF(OR($B9="",$A9&lt;54),"",--MID('Key Analysis'!$C5,54,1))</f>
        <v/>
      </c>
      <c r="GK9" s="29" t="str">
        <f>IF(OR($B9="",$A9&lt;55),"",--MID('Key Analysis'!$C5,55,1))</f>
        <v/>
      </c>
      <c r="GL9" s="29" t="str">
        <f>IF(OR($B9="",$A9&lt;56),"",--MID('Key Analysis'!$C5,56,1))</f>
        <v/>
      </c>
      <c r="GM9" s="29" t="str">
        <f>IF(OR($B9="",$A9&lt;57),"",--MID('Key Analysis'!$C5,57,1))</f>
        <v/>
      </c>
      <c r="GN9" s="29" t="str">
        <f>IF(OR($B9="",$A9&lt;58),"",--MID('Key Analysis'!$C5,58,1))</f>
        <v/>
      </c>
      <c r="GO9" s="29" t="str">
        <f>IF(OR($B9="",$A9&lt;59),"",--MID('Key Analysis'!$C5,59,1))</f>
        <v/>
      </c>
      <c r="GP9" s="29" t="str">
        <f>IF(OR($B9="",$A9&lt;60),"",--MID('Key Analysis'!$C5,60,1))</f>
        <v/>
      </c>
      <c r="GQ9" s="29" t="str">
        <f>IF(OR($B9="",$A9&lt;61),"",--MID('Key Analysis'!$C5,61,1))</f>
        <v/>
      </c>
      <c r="GR9" s="29" t="str">
        <f>IF(OR($B9="",$A9&lt;62),"",--MID('Key Analysis'!$C5,62,1))</f>
        <v/>
      </c>
      <c r="GS9" s="29" t="str">
        <f>IF(OR($B9="",$A9&lt;63),"",--MID('Key Analysis'!$C5,63,1))</f>
        <v/>
      </c>
      <c r="GT9" s="29" t="str">
        <f>IF(OR($B9="",$A9&lt;64),"",--MID('Key Analysis'!$C5,64,1))</f>
        <v/>
      </c>
      <c r="GU9" s="29" t="str">
        <f>IF(OR($B9="",$A9&lt;65),"",--MID('Key Analysis'!$C5,65,1))</f>
        <v/>
      </c>
      <c r="GV9" s="29" t="str">
        <f>IF(OR($B9="",$A9&lt;66),"",--MID('Key Analysis'!$C5,66,1))</f>
        <v/>
      </c>
      <c r="GW9" s="29" t="str">
        <f>IF(OR($B9="",$A9&lt;67),"",--MID('Key Analysis'!$C5,67,1))</f>
        <v/>
      </c>
      <c r="GX9" s="29" t="str">
        <f>IF(OR($B9="",$A9&lt;68),"",--MID('Key Analysis'!$C5,68,1))</f>
        <v/>
      </c>
      <c r="GY9" s="29" t="str">
        <f>IF(OR($B9="",$A9&lt;69),"",--MID('Key Analysis'!$C5,69,1))</f>
        <v/>
      </c>
      <c r="GZ9" s="29" t="str">
        <f>IF(OR($B9="",$A9&lt;70),"",--MID('Key Analysis'!$C5,70,1))</f>
        <v/>
      </c>
      <c r="HA9" s="29" t="str">
        <f>IF(OR($B9="",$A9&lt;71),"",--MID('Key Analysis'!$C5,71,1))</f>
        <v/>
      </c>
      <c r="HB9" s="29" t="str">
        <f>IF(OR($B9="",$A9&lt;72),"",--MID('Key Analysis'!$C5,72,1))</f>
        <v/>
      </c>
      <c r="HC9" s="29" t="str">
        <f>IF(OR($B9="",$A9&lt;73),"",--MID('Key Analysis'!$C5,73,1))</f>
        <v/>
      </c>
      <c r="HD9" s="29" t="str">
        <f>IF(OR($B9="",$A9&lt;74),"",--MID('Key Analysis'!$C5,74,1))</f>
        <v/>
      </c>
      <c r="HE9" s="29" t="str">
        <f>IF(OR($B9="",$A9&lt;75),"",--MID('Key Analysis'!$C5,75,1))</f>
        <v/>
      </c>
      <c r="HF9" s="29" t="str">
        <f>IF(OR($B9="",$A9&lt;76),"",--MID('Key Analysis'!$C5,76,1))</f>
        <v/>
      </c>
      <c r="HG9" s="29" t="str">
        <f>IF(OR($B9="",$A9&lt;77),"",--MID('Key Analysis'!$C5,77,1))</f>
        <v/>
      </c>
      <c r="HH9" s="29" t="str">
        <f>IF(OR($B9="",$A9&lt;78),"",--MID('Key Analysis'!$C5,78,1))</f>
        <v/>
      </c>
      <c r="HI9" s="29" t="str">
        <f>IF(OR($B9="",$A9&lt;79),"",--MID('Key Analysis'!$C5,79,1))</f>
        <v/>
      </c>
      <c r="HJ9" s="29" t="str">
        <f>IF(OR($B9="",$A9&lt;80),"",--MID('Key Analysis'!$C5,80,1))</f>
        <v/>
      </c>
      <c r="HK9" s="29" t="str">
        <f>IF(OR($B9="",$A9&lt;81),"",--MID('Key Analysis'!$C5,81,1))</f>
        <v/>
      </c>
      <c r="HL9" s="29" t="str">
        <f>IF(OR($B9="",$A9&lt;82),"",--MID('Key Analysis'!$C5,82,1))</f>
        <v/>
      </c>
      <c r="HM9" s="29" t="str">
        <f>IF(OR($B9="",$A9&lt;83),"",--MID('Key Analysis'!$C5,83,1))</f>
        <v/>
      </c>
      <c r="HN9" s="29" t="str">
        <f>IF(OR($B9="",$A9&lt;84),"",--MID('Key Analysis'!$C5,84,1))</f>
        <v/>
      </c>
      <c r="HO9" s="29" t="str">
        <f>IF(OR($B9="",$A9&lt;85),"",--MID('Key Analysis'!$C5,85,1))</f>
        <v/>
      </c>
      <c r="HP9" s="29" t="str">
        <f>IF(OR($B9="",$A9&lt;86),"",--MID('Key Analysis'!$C5,86,1))</f>
        <v/>
      </c>
      <c r="HQ9" s="29" t="str">
        <f>IF(OR($B9="",$A9&lt;87),"",--MID('Key Analysis'!$C5,87,1))</f>
        <v/>
      </c>
      <c r="HR9" s="29" t="str">
        <f>IF(OR($B9="",$A9&lt;88),"",--MID('Key Analysis'!$C5,88,1))</f>
        <v/>
      </c>
      <c r="HS9" s="29" t="str">
        <f>IF(OR($B9="",$A9&lt;89),"",--MID('Key Analysis'!$C5,89,1))</f>
        <v/>
      </c>
      <c r="HT9" s="29" t="str">
        <f>IF(OR($B9="",$A9&lt;90),"",--MID('Key Analysis'!$C5,90,1))</f>
        <v/>
      </c>
      <c r="HU9" s="29" t="str">
        <f>IF(OR($B9="",$A9&lt;91),"",--MID('Key Analysis'!$C5,91,1))</f>
        <v/>
      </c>
      <c r="HV9" s="29" t="str">
        <f>IF(OR($B9="",$A9&lt;92),"",--MID('Key Analysis'!$C5,92,1))</f>
        <v/>
      </c>
      <c r="HW9" s="29" t="str">
        <f>IF(OR($B9="",$A9&lt;93),"",--MID('Key Analysis'!$C5,93,1))</f>
        <v/>
      </c>
      <c r="HX9" s="29" t="str">
        <f>IF(OR($B9="",$A9&lt;94),"",--MID('Key Analysis'!$C5,94,1))</f>
        <v/>
      </c>
      <c r="HY9" s="29" t="str">
        <f>IF(OR($B9="",$A9&lt;95),"",--MID('Key Analysis'!$C5,95,1))</f>
        <v/>
      </c>
      <c r="HZ9" s="29" t="str">
        <f>IF(OR($B9="",$A9&lt;96),"",--MID('Key Analysis'!$C5,96,1))</f>
        <v/>
      </c>
      <c r="IA9" s="29" t="str">
        <f>IF(OR($B9="",$A9&lt;97),"",--MID('Key Analysis'!$C5,97,1))</f>
        <v/>
      </c>
      <c r="IB9" s="29" t="str">
        <f>IF(OR($B9="",$A9&lt;98),"",--MID('Key Analysis'!$C5,98,1))</f>
        <v/>
      </c>
      <c r="IC9" s="29" t="str">
        <f>IF(OR($B9="",$A9&lt;99),"",--MID('Key Analysis'!$C5,99,1))</f>
        <v/>
      </c>
      <c r="ID9" s="29" t="str">
        <f>IF(OR($B9="",$A9&lt;100),"",--MID('Key Analysis'!$C5,100,1))</f>
        <v/>
      </c>
      <c r="IE9" s="29" t="str">
        <f>IF(OR($B9="",$A9&lt;101),"",--MID('Key Analysis'!$C5,101,1))</f>
        <v/>
      </c>
      <c r="IF9" s="29" t="str">
        <f>IF(OR($B9="",$A9&lt;102),"",--MID('Key Analysis'!$C5,102,1))</f>
        <v/>
      </c>
      <c r="IG9" s="29" t="str">
        <f>IF(OR($B9="",$A9&lt;103),"",--MID('Key Analysis'!$C5,103,1))</f>
        <v/>
      </c>
      <c r="IH9" s="29" t="str">
        <f>IF(OR($B9="",$A9&lt;104),"",--MID('Key Analysis'!$C5,104,1))</f>
        <v/>
      </c>
      <c r="II9" s="29" t="str">
        <f>IF(OR($B9="",$A9&lt;105),"",--MID('Key Analysis'!$C5,105,1))</f>
        <v/>
      </c>
      <c r="IJ9" s="29" t="str">
        <f>IF(OR($B9="",$A9&lt;106),"",--MID('Key Analysis'!$C5,106,1))</f>
        <v/>
      </c>
      <c r="IK9" s="29" t="str">
        <f>IF(OR($B9="",$A9&lt;107),"",--MID('Key Analysis'!$C5,107,1))</f>
        <v/>
      </c>
      <c r="IL9" s="29" t="str">
        <f>IF(OR($B9="",$A9&lt;108),"",--MID('Key Analysis'!$C5,108,1))</f>
        <v/>
      </c>
      <c r="IM9" s="29" t="str">
        <f>IF(OR($B9="",$A9&lt;109),"",--MID('Key Analysis'!$C5,109,1))</f>
        <v/>
      </c>
      <c r="IN9" s="29" t="str">
        <f>IF(OR($B9="",$A9&lt;110),"",--MID('Key Analysis'!$C5,110,1))</f>
        <v/>
      </c>
      <c r="IO9" s="29" t="str">
        <f>IF(OR($B9="",$A9&lt;111),"",--MID('Key Analysis'!$C5,111,1))</f>
        <v/>
      </c>
      <c r="IP9" s="29" t="str">
        <f>IF(OR($B9="",$A9&lt;112),"",--MID('Key Analysis'!$C5,112,1))</f>
        <v/>
      </c>
      <c r="IQ9" s="29" t="str">
        <f>IF(OR($B9="",$A9&lt;113),"",--MID('Key Analysis'!$C5,113,1))</f>
        <v/>
      </c>
      <c r="IR9" s="29" t="str">
        <f>IF(OR($B9="",$A9&lt;114),"",--MID('Key Analysis'!$C5,114,1))</f>
        <v/>
      </c>
      <c r="IS9" s="29" t="str">
        <f>IF(OR($B9="",$A9&lt;115),"",--MID('Key Analysis'!$C5,115,1))</f>
        <v/>
      </c>
      <c r="IT9" s="29" t="str">
        <f>IF(OR($B9="",$A9&lt;116),"",--MID('Key Analysis'!$C5,116,1))</f>
        <v/>
      </c>
      <c r="IU9" s="29" t="str">
        <f>IF(OR($B9="",$A9&lt;117),"",--MID('Key Analysis'!$C5,117,1))</f>
        <v/>
      </c>
      <c r="IV9" s="29" t="str">
        <f>IF(OR($B9="",$A9&lt;118),"",--MID('Key Analysis'!$C5,118,1))</f>
        <v/>
      </c>
      <c r="IW9" s="29" t="str">
        <f>IF(OR($B9="",$A9&lt;119),"",--MID('Key Analysis'!$C5,119,1))</f>
        <v/>
      </c>
      <c r="IX9" s="29" t="str">
        <f>IF(OR($B9="",$A9&lt;120),"",--MID('Key Analysis'!$C5,120,1))</f>
        <v/>
      </c>
      <c r="IY9" s="29" t="str">
        <f>IF(OR($B9="",$A9&lt;121),"",--MID('Key Analysis'!$C5,121,1))</f>
        <v/>
      </c>
      <c r="IZ9" s="29" t="str">
        <f>IF(OR($B9="",$A9&lt;122),"",--MID('Key Analysis'!$C5,122,1))</f>
        <v/>
      </c>
      <c r="JA9" s="29" t="str">
        <f>IF(OR($B9="",$A9&lt;123),"",--MID('Key Analysis'!$C5,123,1))</f>
        <v/>
      </c>
      <c r="JB9" s="29" t="str">
        <f>IF(OR($B9="",$A9&lt;124),"",--MID('Key Analysis'!$C5,124,1))</f>
        <v/>
      </c>
      <c r="JC9" s="29" t="str">
        <f>IF(OR($B9="",$A9&lt;125),"",--MID('Key Analysis'!$C5,125,1))</f>
        <v/>
      </c>
      <c r="JD9" s="29" t="str">
        <f>IF(OR($B9="",$A9&lt;126),"",--MID('Key Analysis'!$C5,126,1))</f>
        <v/>
      </c>
      <c r="JE9" s="29" t="str">
        <f>IF(OR($B9="",$A9&lt;127),"",--MID('Key Analysis'!$C5,127,1))</f>
        <v/>
      </c>
      <c r="JF9" s="29" t="str">
        <f>IF(OR($B9="",$A9&lt;128),"",--MID('Key Analysis'!$C5,128,1))</f>
        <v/>
      </c>
      <c r="JG9" s="29" t="str">
        <f>IF(OR($B9="",$A9&lt;129),"",--MID('Key Analysis'!$C5,129,1))</f>
        <v/>
      </c>
      <c r="JH9" s="29" t="str">
        <f>IF(OR($B9="",$A9&lt;130),"",--MID('Key Analysis'!$C5,130,1))</f>
        <v/>
      </c>
      <c r="JI9" s="29" t="str">
        <f>IF(OR($B9="",$A9&lt;131),"",--MID('Key Analysis'!$C5,131,1))</f>
        <v/>
      </c>
      <c r="JJ9" s="29" t="str">
        <f>IF(OR($B9="",$A9&lt;132),"",--MID('Key Analysis'!$C5,132,1))</f>
        <v/>
      </c>
      <c r="JK9" s="29" t="str">
        <f>IF(OR($B9="",$A9&lt;133),"",--MID('Key Analysis'!$C5,133,1))</f>
        <v/>
      </c>
      <c r="JL9" s="29" t="str">
        <f>IF(OR($B9="",$A9&lt;134),"",--MID('Key Analysis'!$C5,134,1))</f>
        <v/>
      </c>
      <c r="JM9" s="29" t="str">
        <f>IF(OR($B9="",$A9&lt;135),"",--MID('Key Analysis'!$C5,135,1))</f>
        <v/>
      </c>
    </row>
    <row r="10" spans="1:273" x14ac:dyDescent="0.25">
      <c r="A10" s="21">
        <f>'Key Analysis'!A6</f>
        <v>5</v>
      </c>
      <c r="B10" s="30" t="str">
        <f>'Key Analysis'!B6</f>
        <v>15</v>
      </c>
      <c r="C10" s="29">
        <f>IF(OR($B10="",$A10&lt;=0),"",--MID('Key Analysis'!$C6,$A10-0,1))</f>
        <v>1</v>
      </c>
      <c r="D10" s="29">
        <f>IF(OR($B10="",$A10&lt;=1),"",--MID('Key Analysis'!$C6,$A10-1,1))</f>
        <v>0</v>
      </c>
      <c r="E10" s="29">
        <f>IF(OR($B10="",$A10&lt;=2),"",--MID('Key Analysis'!$C6,$A10-2,1))</f>
        <v>1</v>
      </c>
      <c r="F10" s="29">
        <f>IF(OR($B10="",$A10&lt;=3),"",--MID('Key Analysis'!$C6,$A10-3,1))</f>
        <v>0</v>
      </c>
      <c r="G10" s="29">
        <f>IF(OR($B10="",$A10&lt;=4),"",--MID('Key Analysis'!$C6,$A10-4,1))</f>
        <v>1</v>
      </c>
      <c r="H10" s="29" t="str">
        <f>IF(OR($B10="",$A10&lt;=5),"",--MID('Key Analysis'!$C6,$A10-5,1))</f>
        <v/>
      </c>
      <c r="I10" s="29" t="str">
        <f>IF(OR($B10="",$A10&lt;=6),"",--MID('Key Analysis'!$C6,$A10-6,1))</f>
        <v/>
      </c>
      <c r="J10" s="29" t="str">
        <f>IF(OR($B10="",$A10&lt;=7),"",--MID('Key Analysis'!$C6,$A10-7,1))</f>
        <v/>
      </c>
      <c r="K10" s="29" t="str">
        <f>IF(OR($B10="",$A10&lt;=8),"",--MID('Key Analysis'!$C6,$A10-8,1))</f>
        <v/>
      </c>
      <c r="L10" s="29" t="str">
        <f>IF(OR($B10="",$A10&lt;=9),"",--MID('Key Analysis'!$C6,$A10-9,1))</f>
        <v/>
      </c>
      <c r="M10" s="29" t="str">
        <f>IF(OR($B10="",$A10&lt;=10),"",--MID('Key Analysis'!$C6,$A10-10,1))</f>
        <v/>
      </c>
      <c r="N10" s="29" t="str">
        <f>IF(OR($B10="",$A10&lt;=11),"",--MID('Key Analysis'!$C6,$A10-11,1))</f>
        <v/>
      </c>
      <c r="O10" s="29" t="str">
        <f>IF(OR($B10="",$A10&lt;=12),"",--MID('Key Analysis'!$C6,$A10-12,1))</f>
        <v/>
      </c>
      <c r="P10" s="29" t="str">
        <f>IF(OR($B10="",$A10&lt;=13),"",--MID('Key Analysis'!$C6,$A10-13,1))</f>
        <v/>
      </c>
      <c r="Q10" s="29" t="str">
        <f>IF(OR($B10="",$A10&lt;=14),"",--MID('Key Analysis'!$C6,$A10-14,1))</f>
        <v/>
      </c>
      <c r="R10" s="29" t="str">
        <f>IF(OR($B10="",$A10&lt;=15),"",--MID('Key Analysis'!$C6,$A10-15,1))</f>
        <v/>
      </c>
      <c r="S10" s="29" t="str">
        <f>IF(OR($B10="",$A10&lt;=16),"",--MID('Key Analysis'!$C6,$A10-16,1))</f>
        <v/>
      </c>
      <c r="T10" s="29" t="str">
        <f>IF(OR($B10="",$A10&lt;=17),"",--MID('Key Analysis'!$C6,$A10-17,1))</f>
        <v/>
      </c>
      <c r="U10" s="29" t="str">
        <f>IF(OR($B10="",$A10&lt;=18),"",--MID('Key Analysis'!$C6,$A10-18,1))</f>
        <v/>
      </c>
      <c r="V10" s="29" t="str">
        <f>IF(OR($B10="",$A10&lt;=19),"",--MID('Key Analysis'!$C6,$A10-19,1))</f>
        <v/>
      </c>
      <c r="W10" s="29" t="str">
        <f>IF(OR($B10="",$A10&lt;=20),"",--MID('Key Analysis'!$C6,$A10-20,1))</f>
        <v/>
      </c>
      <c r="X10" s="29" t="str">
        <f>IF(OR($B10="",$A10&lt;=21),"",--MID('Key Analysis'!$C6,$A10-21,1))</f>
        <v/>
      </c>
      <c r="Y10" s="29" t="str">
        <f>IF(OR($B10="",$A10&lt;=22),"",--MID('Key Analysis'!$C6,$A10-22,1))</f>
        <v/>
      </c>
      <c r="Z10" s="29" t="str">
        <f>IF(OR($B10="",$A10&lt;=23),"",--MID('Key Analysis'!$C6,$A10-23,1))</f>
        <v/>
      </c>
      <c r="AA10" s="29" t="str">
        <f>IF(OR($B10="",$A10&lt;=24),"",--MID('Key Analysis'!$C6,$A10-24,1))</f>
        <v/>
      </c>
      <c r="AB10" s="29" t="str">
        <f>IF(OR($B10="",$A10&lt;=25),"",--MID('Key Analysis'!$C6,$A10-25,1))</f>
        <v/>
      </c>
      <c r="AC10" s="29" t="str">
        <f>IF(OR($B10="",$A10&lt;=26),"",--MID('Key Analysis'!$C6,$A10-26,1))</f>
        <v/>
      </c>
      <c r="AD10" s="29" t="str">
        <f>IF(OR($B10="",$A10&lt;=27),"",--MID('Key Analysis'!$C6,$A10-27,1))</f>
        <v/>
      </c>
      <c r="AE10" s="29" t="str">
        <f>IF(OR($B10="",$A10&lt;=28),"",--MID('Key Analysis'!$C6,$A10-28,1))</f>
        <v/>
      </c>
      <c r="AF10" s="29" t="str">
        <f>IF(OR($B10="",$A10&lt;=29),"",--MID('Key Analysis'!$C6,$A10-29,1))</f>
        <v/>
      </c>
      <c r="AG10" s="29" t="str">
        <f>IF(OR($B10="",$A10&lt;=30),"",--MID('Key Analysis'!$C6,$A10-30,1))</f>
        <v/>
      </c>
      <c r="AH10" s="29" t="str">
        <f>IF(OR($B10="",$A10&lt;=31),"",--MID('Key Analysis'!$C6,$A10-31,1))</f>
        <v/>
      </c>
      <c r="AI10" s="29" t="str">
        <f>IF(OR($B10="",$A10&lt;=32),"",--MID('Key Analysis'!$C6,$A10-32,1))</f>
        <v/>
      </c>
      <c r="AJ10" s="29" t="str">
        <f>IF(OR($B10="",$A10&lt;=33),"",--MID('Key Analysis'!$C6,$A10-33,1))</f>
        <v/>
      </c>
      <c r="AK10" s="29" t="str">
        <f>IF(OR($B10="",$A10&lt;=34),"",--MID('Key Analysis'!$C6,$A10-34,1))</f>
        <v/>
      </c>
      <c r="AL10" s="29" t="str">
        <f>IF(OR($B10="",$A10&lt;=35),"",--MID('Key Analysis'!$C6,$A10-35,1))</f>
        <v/>
      </c>
      <c r="AM10" s="29" t="str">
        <f>IF(OR($B10="",$A10&lt;=36),"",--MID('Key Analysis'!$C6,$A10-36,1))</f>
        <v/>
      </c>
      <c r="AN10" s="29" t="str">
        <f>IF(OR($B10="",$A10&lt;=37),"",--MID('Key Analysis'!$C6,$A10-37,1))</f>
        <v/>
      </c>
      <c r="AO10" s="29" t="str">
        <f>IF(OR($B10="",$A10&lt;=38),"",--MID('Key Analysis'!$C6,$A10-38,1))</f>
        <v/>
      </c>
      <c r="AP10" s="29" t="str">
        <f>IF(OR($B10="",$A10&lt;=39),"",--MID('Key Analysis'!$C6,$A10-39,1))</f>
        <v/>
      </c>
      <c r="AQ10" s="29" t="str">
        <f>IF(OR($B10="",$A10&lt;=40),"",--MID('Key Analysis'!$C6,$A10-40,1))</f>
        <v/>
      </c>
      <c r="AR10" s="29" t="str">
        <f>IF(OR($B10="",$A10&lt;=41),"",--MID('Key Analysis'!$C6,$A10-41,1))</f>
        <v/>
      </c>
      <c r="AS10" s="29" t="str">
        <f>IF(OR($B10="",$A10&lt;=42),"",--MID('Key Analysis'!$C6,$A10-42,1))</f>
        <v/>
      </c>
      <c r="AT10" s="29" t="str">
        <f>IF(OR($B10="",$A10&lt;=43),"",--MID('Key Analysis'!$C6,$A10-43,1))</f>
        <v/>
      </c>
      <c r="AU10" s="29" t="str">
        <f>IF(OR($B10="",$A10&lt;=44),"",--MID('Key Analysis'!$C6,$A10-44,1))</f>
        <v/>
      </c>
      <c r="AV10" s="29" t="str">
        <f>IF(OR($B10="",$A10&lt;=45),"",--MID('Key Analysis'!$C6,$A10-45,1))</f>
        <v/>
      </c>
      <c r="AW10" s="29" t="str">
        <f>IF(OR($B10="",$A10&lt;=46),"",--MID('Key Analysis'!$C6,$A10-46,1))</f>
        <v/>
      </c>
      <c r="AX10" s="29" t="str">
        <f>IF(OR($B10="",$A10&lt;=47),"",--MID('Key Analysis'!$C6,$A10-47,1))</f>
        <v/>
      </c>
      <c r="AY10" s="29" t="str">
        <f>IF(OR($B10="",$A10&lt;=48),"",--MID('Key Analysis'!$C6,$A10-48,1))</f>
        <v/>
      </c>
      <c r="AZ10" s="29" t="str">
        <f>IF(OR($B10="",$A10&lt;=49),"",--MID('Key Analysis'!$C6,$A10-49,1))</f>
        <v/>
      </c>
      <c r="BA10" s="29" t="str">
        <f>IF(OR($B10="",$A10&lt;=50),"",--MID('Key Analysis'!$C6,$A10-50,1))</f>
        <v/>
      </c>
      <c r="BB10" s="29" t="str">
        <f>IF(OR($B10="",$A10&lt;=51),"",--MID('Key Analysis'!$C6,$A10-51,1))</f>
        <v/>
      </c>
      <c r="BC10" s="29" t="str">
        <f>IF(OR($B10="",$A10&lt;=52),"",--MID('Key Analysis'!$C6,$A10-52,1))</f>
        <v/>
      </c>
      <c r="BD10" s="29" t="str">
        <f>IF(OR($B10="",$A10&lt;=53),"",--MID('Key Analysis'!$C6,$A10-53,1))</f>
        <v/>
      </c>
      <c r="BE10" s="29" t="str">
        <f>IF(OR($B10="",$A10&lt;=54),"",--MID('Key Analysis'!$C6,$A10-54,1))</f>
        <v/>
      </c>
      <c r="BF10" s="29" t="str">
        <f>IF(OR($B10="",$A10&lt;=55),"",--MID('Key Analysis'!$C6,$A10-55,1))</f>
        <v/>
      </c>
      <c r="BG10" s="29" t="str">
        <f>IF(OR($B10="",$A10&lt;=56),"",--MID('Key Analysis'!$C6,$A10-56,1))</f>
        <v/>
      </c>
      <c r="BH10" s="29" t="str">
        <f>IF(OR($B10="",$A10&lt;=57),"",--MID('Key Analysis'!$C6,$A10-57,1))</f>
        <v/>
      </c>
      <c r="BI10" s="29" t="str">
        <f>IF(OR($B10="",$A10&lt;=58),"",--MID('Key Analysis'!$C6,$A10-58,1))</f>
        <v/>
      </c>
      <c r="BJ10" s="29" t="str">
        <f>IF(OR($B10="",$A10&lt;=59),"",--MID('Key Analysis'!$C6,$A10-59,1))</f>
        <v/>
      </c>
      <c r="BK10" s="29" t="str">
        <f>IF(OR($B10="",$A10&lt;=60),"",--MID('Key Analysis'!$C6,$A10-60,1))</f>
        <v/>
      </c>
      <c r="BL10" s="29" t="str">
        <f>IF(OR($B10="",$A10&lt;=61),"",--MID('Key Analysis'!$C6,$A10-61,1))</f>
        <v/>
      </c>
      <c r="BM10" s="29" t="str">
        <f>IF(OR($B10="",$A10&lt;=62),"",--MID('Key Analysis'!$C6,$A10-62,1))</f>
        <v/>
      </c>
      <c r="BN10" s="29" t="str">
        <f>IF(OR($B10="",$A10&lt;=63),"",--MID('Key Analysis'!$C6,$A10-63,1))</f>
        <v/>
      </c>
      <c r="BO10" s="29" t="str">
        <f>IF(OR($B10="",$A10&lt;=64),"",--MID('Key Analysis'!$C6,$A10-64,1))</f>
        <v/>
      </c>
      <c r="BP10" s="29" t="str">
        <f>IF(OR($B10="",$A10&lt;=65),"",--MID('Key Analysis'!$C6,$A10-65,1))</f>
        <v/>
      </c>
      <c r="BQ10" s="29" t="str">
        <f>IF(OR($B10="",$A10&lt;=66),"",--MID('Key Analysis'!$C6,$A10-66,1))</f>
        <v/>
      </c>
      <c r="BR10" s="29" t="str">
        <f>IF(OR($B10="",$A10&lt;=67),"",--MID('Key Analysis'!$C6,$A10-67,1))</f>
        <v/>
      </c>
      <c r="BS10" s="29" t="str">
        <f>IF(OR($B10="",$A10&lt;=68),"",--MID('Key Analysis'!$C6,$A10-68,1))</f>
        <v/>
      </c>
      <c r="BT10" s="29" t="str">
        <f>IF(OR($B10="",$A10&lt;=69),"",--MID('Key Analysis'!$C6,$A10-69,1))</f>
        <v/>
      </c>
      <c r="BU10" s="29" t="str">
        <f>IF(OR($B10="",$A10&lt;=70),"",--MID('Key Analysis'!$C6,$A10-70,1))</f>
        <v/>
      </c>
      <c r="BV10" s="29" t="str">
        <f>IF(OR($B10="",$A10&lt;=71),"",--MID('Key Analysis'!$C6,$A10-71,1))</f>
        <v/>
      </c>
      <c r="BW10" s="29" t="str">
        <f>IF(OR($B10="",$A10&lt;=72),"",--MID('Key Analysis'!$C6,$A10-72,1))</f>
        <v/>
      </c>
      <c r="BX10" s="29" t="str">
        <f>IF(OR($B10="",$A10&lt;=73),"",--MID('Key Analysis'!$C6,$A10-73,1))</f>
        <v/>
      </c>
      <c r="BY10" s="29" t="str">
        <f>IF(OR($B10="",$A10&lt;=74),"",--MID('Key Analysis'!$C6,$A10-74,1))</f>
        <v/>
      </c>
      <c r="BZ10" s="29" t="str">
        <f>IF(OR($B10="",$A10&lt;=75),"",--MID('Key Analysis'!$C6,$A10-75,1))</f>
        <v/>
      </c>
      <c r="CA10" s="29" t="str">
        <f>IF(OR($B10="",$A10&lt;=76),"",--MID('Key Analysis'!$C6,$A10-76,1))</f>
        <v/>
      </c>
      <c r="CB10" s="29" t="str">
        <f>IF(OR($B10="",$A10&lt;=77),"",--MID('Key Analysis'!$C6,$A10-77,1))</f>
        <v/>
      </c>
      <c r="CC10" s="29" t="str">
        <f>IF(OR($B10="",$A10&lt;=78),"",--MID('Key Analysis'!$C6,$A10-78,1))</f>
        <v/>
      </c>
      <c r="CD10" s="29" t="str">
        <f>IF(OR($B10="",$A10&lt;=79),"",--MID('Key Analysis'!$C6,$A10-79,1))</f>
        <v/>
      </c>
      <c r="CE10" s="29" t="str">
        <f>IF(OR($B10="",$A10&lt;=80),"",--MID('Key Analysis'!$C6,$A10-80,1))</f>
        <v/>
      </c>
      <c r="CF10" s="29" t="str">
        <f>IF(OR($B10="",$A10&lt;=81),"",--MID('Key Analysis'!$C6,$A10-81,1))</f>
        <v/>
      </c>
      <c r="CG10" s="29" t="str">
        <f>IF(OR($B10="",$A10&lt;=82),"",--MID('Key Analysis'!$C6,$A10-82,1))</f>
        <v/>
      </c>
      <c r="CH10" s="29" t="str">
        <f>IF(OR($B10="",$A10&lt;=83),"",--MID('Key Analysis'!$C6,$A10-83,1))</f>
        <v/>
      </c>
      <c r="CI10" s="29" t="str">
        <f>IF(OR($B10="",$A10&lt;=84),"",--MID('Key Analysis'!$C6,$A10-84,1))</f>
        <v/>
      </c>
      <c r="CJ10" s="29" t="str">
        <f>IF(OR($B10="",$A10&lt;=85),"",--MID('Key Analysis'!$C6,$A10-85,1))</f>
        <v/>
      </c>
      <c r="CK10" s="29" t="str">
        <f>IF(OR($B10="",$A10&lt;=86),"",--MID('Key Analysis'!$C6,$A10-86,1))</f>
        <v/>
      </c>
      <c r="CL10" s="29" t="str">
        <f>IF(OR($B10="",$A10&lt;=87),"",--MID('Key Analysis'!$C6,$A10-87,1))</f>
        <v/>
      </c>
      <c r="CM10" s="29" t="str">
        <f>IF(OR($B10="",$A10&lt;=88),"",--MID('Key Analysis'!$C6,$A10-88,1))</f>
        <v/>
      </c>
      <c r="CN10" s="29" t="str">
        <f>IF(OR($B10="",$A10&lt;=89),"",--MID('Key Analysis'!$C6,$A10-89,1))</f>
        <v/>
      </c>
      <c r="CO10" s="29" t="str">
        <f>IF(OR($B10="",$A10&lt;=90),"",--MID('Key Analysis'!$C6,$A10-90,1))</f>
        <v/>
      </c>
      <c r="CP10" s="29" t="str">
        <f>IF(OR($B10="",$A10&lt;=91),"",--MID('Key Analysis'!$C6,$A10-91,1))</f>
        <v/>
      </c>
      <c r="CQ10" s="29" t="str">
        <f>IF(OR($B10="",$A10&lt;=92),"",--MID('Key Analysis'!$C6,$A10-92,1))</f>
        <v/>
      </c>
      <c r="CR10" s="29" t="str">
        <f>IF(OR($B10="",$A10&lt;=93),"",--MID('Key Analysis'!$C6,$A10-93,1))</f>
        <v/>
      </c>
      <c r="CS10" s="29" t="str">
        <f>IF(OR($B10="",$A10&lt;=94),"",--MID('Key Analysis'!$C6,$A10-94,1))</f>
        <v/>
      </c>
      <c r="CT10" s="29" t="str">
        <f>IF(OR($B10="",$A10&lt;=95),"",--MID('Key Analysis'!$C6,$A10-95,1))</f>
        <v/>
      </c>
      <c r="CU10" s="29" t="str">
        <f>IF(OR($B10="",$A10&lt;=96),"",--MID('Key Analysis'!$C6,$A10-96,1))</f>
        <v/>
      </c>
      <c r="CV10" s="29" t="str">
        <f>IF(OR($B10="",$A10&lt;=97),"",--MID('Key Analysis'!$C6,$A10-97,1))</f>
        <v/>
      </c>
      <c r="CW10" s="29" t="str">
        <f>IF(OR($B10="",$A10&lt;=98),"",--MID('Key Analysis'!$C6,$A10-98,1))</f>
        <v/>
      </c>
      <c r="CX10" s="29" t="str">
        <f>IF(OR($B10="",$A10&lt;=99),"",--MID('Key Analysis'!$C6,$A10-99,1))</f>
        <v/>
      </c>
      <c r="CY10" s="29" t="str">
        <f>IF(OR($B10="",$A10&lt;=100),"",--MID('Key Analysis'!$C6,$A10-100,1))</f>
        <v/>
      </c>
      <c r="CZ10" s="29" t="str">
        <f>IF(OR($B10="",$A10&lt;=101),"",--MID('Key Analysis'!$C6,$A10-101,1))</f>
        <v/>
      </c>
      <c r="DA10" s="29" t="str">
        <f>IF(OR($B10="",$A10&lt;=102),"",--MID('Key Analysis'!$C6,$A10-102,1))</f>
        <v/>
      </c>
      <c r="DB10" s="29" t="str">
        <f>IF(OR($B10="",$A10&lt;=103),"",--MID('Key Analysis'!$C6,$A10-103,1))</f>
        <v/>
      </c>
      <c r="DC10" s="29" t="str">
        <f>IF(OR($B10="",$A10&lt;=104),"",--MID('Key Analysis'!$C6,$A10-104,1))</f>
        <v/>
      </c>
      <c r="DD10" s="29" t="str">
        <f>IF(OR($B10="",$A10&lt;=105),"",--MID('Key Analysis'!$C6,$A10-105,1))</f>
        <v/>
      </c>
      <c r="DE10" s="29" t="str">
        <f>IF(OR($B10="",$A10&lt;=106),"",--MID('Key Analysis'!$C6,$A10-106,1))</f>
        <v/>
      </c>
      <c r="DF10" s="29" t="str">
        <f>IF(OR($B10="",$A10&lt;=107),"",--MID('Key Analysis'!$C6,$A10-107,1))</f>
        <v/>
      </c>
      <c r="DG10" s="29" t="str">
        <f>IF(OR($B10="",$A10&lt;=108),"",--MID('Key Analysis'!$C6,$A10-108,1))</f>
        <v/>
      </c>
      <c r="DH10" s="29" t="str">
        <f>IF(OR($B10="",$A10&lt;=109),"",--MID('Key Analysis'!$C6,$A10-109,1))</f>
        <v/>
      </c>
      <c r="DI10" s="29" t="str">
        <f>IF(OR($B10="",$A10&lt;=110),"",--MID('Key Analysis'!$C6,$A10-110,1))</f>
        <v/>
      </c>
      <c r="DJ10" s="29" t="str">
        <f>IF(OR($B10="",$A10&lt;=111),"",--MID('Key Analysis'!$C6,$A10-111,1))</f>
        <v/>
      </c>
      <c r="DK10" s="29" t="str">
        <f>IF(OR($B10="",$A10&lt;=112),"",--MID('Key Analysis'!$C6,$A10-112,1))</f>
        <v/>
      </c>
      <c r="DL10" s="29" t="str">
        <f>IF(OR($B10="",$A10&lt;=113),"",--MID('Key Analysis'!$C6,$A10-113,1))</f>
        <v/>
      </c>
      <c r="DM10" s="29" t="str">
        <f>IF(OR($B10="",$A10&lt;=114),"",--MID('Key Analysis'!$C6,$A10-114,1))</f>
        <v/>
      </c>
      <c r="DN10" s="29" t="str">
        <f>IF(OR($B10="",$A10&lt;=115),"",--MID('Key Analysis'!$C6,$A10-115,1))</f>
        <v/>
      </c>
      <c r="DO10" s="29" t="str">
        <f>IF(OR($B10="",$A10&lt;=116),"",--MID('Key Analysis'!$C6,$A10-116,1))</f>
        <v/>
      </c>
      <c r="DP10" s="29" t="str">
        <f>IF(OR($B10="",$A10&lt;=117),"",--MID('Key Analysis'!$C6,$A10-117,1))</f>
        <v/>
      </c>
      <c r="DQ10" s="29" t="str">
        <f>IF(OR($B10="",$A10&lt;=118),"",--MID('Key Analysis'!$C6,$A10-118,1))</f>
        <v/>
      </c>
      <c r="DR10" s="29" t="str">
        <f>IF(OR($B10="",$A10&lt;=119),"",--MID('Key Analysis'!$C6,$A10-119,1))</f>
        <v/>
      </c>
      <c r="DS10" s="29" t="str">
        <f>IF(OR($B10="",$A10&lt;=120),"",--MID('Key Analysis'!$C6,$A10-120,1))</f>
        <v/>
      </c>
      <c r="DT10" s="29" t="str">
        <f>IF(OR($B10="",$A10&lt;=121),"",--MID('Key Analysis'!$C6,$A10-121,1))</f>
        <v/>
      </c>
      <c r="DU10" s="29" t="str">
        <f>IF(OR($B10="",$A10&lt;=122),"",--MID('Key Analysis'!$C6,$A10-122,1))</f>
        <v/>
      </c>
      <c r="DV10" s="29" t="str">
        <f>IF(OR($B10="",$A10&lt;=123),"",--MID('Key Analysis'!$C6,$A10-123,1))</f>
        <v/>
      </c>
      <c r="DW10" s="29" t="str">
        <f>IF(OR($B10="",$A10&lt;=124),"",--MID('Key Analysis'!$C6,$A10-124,1))</f>
        <v/>
      </c>
      <c r="DX10" s="29" t="str">
        <f>IF(OR($B10="",$A10&lt;=125),"",--MID('Key Analysis'!$C6,$A10-125,1))</f>
        <v/>
      </c>
      <c r="DY10" s="29" t="str">
        <f>IF(OR($B10="",$A10&lt;=126),"",--MID('Key Analysis'!$C6,$A10-126,1))</f>
        <v/>
      </c>
      <c r="DZ10" s="29" t="str">
        <f>IF(OR($B10="",$A10&lt;=127),"",--MID('Key Analysis'!$C6,$A10-127,1))</f>
        <v/>
      </c>
      <c r="EA10" s="29" t="str">
        <f>IF(OR($B10="",$A10&lt;=128),"",--MID('Key Analysis'!$C6,$A10-128,1))</f>
        <v/>
      </c>
      <c r="EB10" s="29" t="str">
        <f>IF(OR($B10="",$A10&lt;=129),"",--MID('Key Analysis'!$C6,$A10-129,1))</f>
        <v/>
      </c>
      <c r="EC10" s="29" t="str">
        <f>IF(OR($B10="",$A10&lt;=130),"",--MID('Key Analysis'!$C6,$A10-130,1))</f>
        <v/>
      </c>
      <c r="ED10" s="29" t="str">
        <f>IF(OR($B10="",$A10&lt;=131),"",--MID('Key Analysis'!$C6,$A10-131,1))</f>
        <v/>
      </c>
      <c r="EE10" s="29" t="str">
        <f>IF(OR($B10="",$A10&lt;=132),"",--MID('Key Analysis'!$C6,$A10-132,1))</f>
        <v/>
      </c>
      <c r="EF10" s="29" t="str">
        <f>IF(OR($B10="",$A10&lt;=133),"",--MID('Key Analysis'!$C6,$A10-133,1))</f>
        <v/>
      </c>
      <c r="EG10" s="29" t="str">
        <f>IF(OR($B10="",$A10&lt;=134),"",--MID('Key Analysis'!$C6,$A10-134,1))</f>
        <v/>
      </c>
      <c r="EH10" s="29"/>
      <c r="EI10" s="29">
        <f>IF(OR($B10="",$A10&lt;1),"",--MID('Key Analysis'!$C6,1,1))</f>
        <v>1</v>
      </c>
      <c r="EJ10" s="29">
        <f>IF(OR($B10="",$A10&lt;2),"",--MID('Key Analysis'!$C6,2,1))</f>
        <v>0</v>
      </c>
      <c r="EK10" s="29">
        <f>IF(OR($B10="",$A10&lt;3),"",--MID('Key Analysis'!$C6,3,1))</f>
        <v>1</v>
      </c>
      <c r="EL10" s="29">
        <f>IF(OR($B10="",$A10&lt;4),"",--MID('Key Analysis'!$C6,4,1))</f>
        <v>0</v>
      </c>
      <c r="EM10" s="29">
        <f>IF(OR($B10="",$A10&lt;5),"",--MID('Key Analysis'!$C6,5,1))</f>
        <v>1</v>
      </c>
      <c r="EN10" s="29" t="str">
        <f>IF(OR($B10="",$A10&lt;6),"",--MID('Key Analysis'!$C6,6,1))</f>
        <v/>
      </c>
      <c r="EO10" s="29" t="str">
        <f>IF(OR($B10="",$A10&lt;7),"",--MID('Key Analysis'!$C6,7,1))</f>
        <v/>
      </c>
      <c r="EP10" s="29" t="str">
        <f>IF(OR($B10="",$A10&lt;8),"",--MID('Key Analysis'!$C6,8,1))</f>
        <v/>
      </c>
      <c r="EQ10" s="29" t="str">
        <f>IF(OR($B10="",$A10&lt;9),"",--MID('Key Analysis'!$C6,9,1))</f>
        <v/>
      </c>
      <c r="ER10" s="29" t="str">
        <f>IF(OR($B10="",$A10&lt;10),"",--MID('Key Analysis'!$C6,10,1))</f>
        <v/>
      </c>
      <c r="ES10" s="29" t="str">
        <f>IF(OR($B10="",$A10&lt;11),"",--MID('Key Analysis'!$C6,11,1))</f>
        <v/>
      </c>
      <c r="ET10" s="29" t="str">
        <f>IF(OR($B10="",$A10&lt;12),"",--MID('Key Analysis'!$C6,12,1))</f>
        <v/>
      </c>
      <c r="EU10" s="29" t="str">
        <f>IF(OR($B10="",$A10&lt;13),"",--MID('Key Analysis'!$C6,13,1))</f>
        <v/>
      </c>
      <c r="EV10" s="29" t="str">
        <f>IF(OR($B10="",$A10&lt;14),"",--MID('Key Analysis'!$C6,14,1))</f>
        <v/>
      </c>
      <c r="EW10" s="29" t="str">
        <f>IF(OR($B10="",$A10&lt;15),"",--MID('Key Analysis'!$C6,15,1))</f>
        <v/>
      </c>
      <c r="EX10" s="29" t="str">
        <f>IF(OR($B10="",$A10&lt;16),"",--MID('Key Analysis'!$C6,16,1))</f>
        <v/>
      </c>
      <c r="EY10" s="29" t="str">
        <f>IF(OR($B10="",$A10&lt;17),"",--MID('Key Analysis'!$C6,17,1))</f>
        <v/>
      </c>
      <c r="EZ10" s="29" t="str">
        <f>IF(OR($B10="",$A10&lt;18),"",--MID('Key Analysis'!$C6,18,1))</f>
        <v/>
      </c>
      <c r="FA10" s="29" t="str">
        <f>IF(OR($B10="",$A10&lt;19),"",--MID('Key Analysis'!$C6,19,1))</f>
        <v/>
      </c>
      <c r="FB10" s="29" t="str">
        <f>IF(OR($B10="",$A10&lt;20),"",--MID('Key Analysis'!$C6,20,1))</f>
        <v/>
      </c>
      <c r="FC10" s="29" t="str">
        <f>IF(OR($B10="",$A10&lt;21),"",--MID('Key Analysis'!$C6,21,1))</f>
        <v/>
      </c>
      <c r="FD10" s="29" t="str">
        <f>IF(OR($B10="",$A10&lt;22),"",--MID('Key Analysis'!$C6,22,1))</f>
        <v/>
      </c>
      <c r="FE10" s="29" t="str">
        <f>IF(OR($B10="",$A10&lt;23),"",--MID('Key Analysis'!$C6,23,1))</f>
        <v/>
      </c>
      <c r="FF10" s="29" t="str">
        <f>IF(OR($B10="",$A10&lt;24),"",--MID('Key Analysis'!$C6,24,1))</f>
        <v/>
      </c>
      <c r="FG10" s="29" t="str">
        <f>IF(OR($B10="",$A10&lt;25),"",--MID('Key Analysis'!$C6,25,1))</f>
        <v/>
      </c>
      <c r="FH10" s="29" t="str">
        <f>IF(OR($B10="",$A10&lt;26),"",--MID('Key Analysis'!$C6,26,1))</f>
        <v/>
      </c>
      <c r="FI10" s="29" t="str">
        <f>IF(OR($B10="",$A10&lt;27),"",--MID('Key Analysis'!$C6,27,1))</f>
        <v/>
      </c>
      <c r="FJ10" s="29" t="str">
        <f>IF(OR($B10="",$A10&lt;28),"",--MID('Key Analysis'!$C6,28,1))</f>
        <v/>
      </c>
      <c r="FK10" s="29" t="str">
        <f>IF(OR($B10="",$A10&lt;29),"",--MID('Key Analysis'!$C6,29,1))</f>
        <v/>
      </c>
      <c r="FL10" s="29" t="str">
        <f>IF(OR($B10="",$A10&lt;30),"",--MID('Key Analysis'!$C6,30,1))</f>
        <v/>
      </c>
      <c r="FM10" s="29" t="str">
        <f>IF(OR($B10="",$A10&lt;31),"",--MID('Key Analysis'!$C6,31,1))</f>
        <v/>
      </c>
      <c r="FN10" s="29" t="str">
        <f>IF(OR($B10="",$A10&lt;32),"",--MID('Key Analysis'!$C6,32,1))</f>
        <v/>
      </c>
      <c r="FO10" s="29" t="str">
        <f>IF(OR($B10="",$A10&lt;33),"",--MID('Key Analysis'!$C6,33,1))</f>
        <v/>
      </c>
      <c r="FP10" s="29" t="str">
        <f>IF(OR($B10="",$A10&lt;34),"",--MID('Key Analysis'!$C6,34,1))</f>
        <v/>
      </c>
      <c r="FQ10" s="29" t="str">
        <f>IF(OR($B10="",$A10&lt;35),"",--MID('Key Analysis'!$C6,35,1))</f>
        <v/>
      </c>
      <c r="FR10" s="29" t="str">
        <f>IF(OR($B10="",$A10&lt;36),"",--MID('Key Analysis'!$C6,36,1))</f>
        <v/>
      </c>
      <c r="FS10" s="29" t="str">
        <f>IF(OR($B10="",$A10&lt;37),"",--MID('Key Analysis'!$C6,37,1))</f>
        <v/>
      </c>
      <c r="FT10" s="29" t="str">
        <f>IF(OR($B10="",$A10&lt;38),"",--MID('Key Analysis'!$C6,38,1))</f>
        <v/>
      </c>
      <c r="FU10" s="29" t="str">
        <f>IF(OR($B10="",$A10&lt;39),"",--MID('Key Analysis'!$C6,39,1))</f>
        <v/>
      </c>
      <c r="FV10" s="29" t="str">
        <f>IF(OR($B10="",$A10&lt;40),"",--MID('Key Analysis'!$C6,40,1))</f>
        <v/>
      </c>
      <c r="FW10" s="29" t="str">
        <f>IF(OR($B10="",$A10&lt;41),"",--MID('Key Analysis'!$C6,41,1))</f>
        <v/>
      </c>
      <c r="FX10" s="29" t="str">
        <f>IF(OR($B10="",$A10&lt;42),"",--MID('Key Analysis'!$C6,42,1))</f>
        <v/>
      </c>
      <c r="FY10" s="29" t="str">
        <f>IF(OR($B10="",$A10&lt;43),"",--MID('Key Analysis'!$C6,43,1))</f>
        <v/>
      </c>
      <c r="FZ10" s="29" t="str">
        <f>IF(OR($B10="",$A10&lt;44),"",--MID('Key Analysis'!$C6,44,1))</f>
        <v/>
      </c>
      <c r="GA10" s="29" t="str">
        <f>IF(OR($B10="",$A10&lt;45),"",--MID('Key Analysis'!$C6,45,1))</f>
        <v/>
      </c>
      <c r="GB10" s="29" t="str">
        <f>IF(OR($B10="",$A10&lt;46),"",--MID('Key Analysis'!$C6,46,1))</f>
        <v/>
      </c>
      <c r="GC10" s="29" t="str">
        <f>IF(OR($B10="",$A10&lt;47),"",--MID('Key Analysis'!$C6,47,1))</f>
        <v/>
      </c>
      <c r="GD10" s="29" t="str">
        <f>IF(OR($B10="",$A10&lt;48),"",--MID('Key Analysis'!$C6,48,1))</f>
        <v/>
      </c>
      <c r="GE10" s="29" t="str">
        <f>IF(OR($B10="",$A10&lt;49),"",--MID('Key Analysis'!$C6,49,1))</f>
        <v/>
      </c>
      <c r="GF10" s="29" t="str">
        <f>IF(OR($B10="",$A10&lt;50),"",--MID('Key Analysis'!$C6,50,1))</f>
        <v/>
      </c>
      <c r="GG10" s="29" t="str">
        <f>IF(OR($B10="",$A10&lt;51),"",--MID('Key Analysis'!$C6,51,1))</f>
        <v/>
      </c>
      <c r="GH10" s="29" t="str">
        <f>IF(OR($B10="",$A10&lt;52),"",--MID('Key Analysis'!$C6,52,1))</f>
        <v/>
      </c>
      <c r="GI10" s="29" t="str">
        <f>IF(OR($B10="",$A10&lt;53),"",--MID('Key Analysis'!$C6,53,1))</f>
        <v/>
      </c>
      <c r="GJ10" s="29" t="str">
        <f>IF(OR($B10="",$A10&lt;54),"",--MID('Key Analysis'!$C6,54,1))</f>
        <v/>
      </c>
      <c r="GK10" s="29" t="str">
        <f>IF(OR($B10="",$A10&lt;55),"",--MID('Key Analysis'!$C6,55,1))</f>
        <v/>
      </c>
      <c r="GL10" s="29" t="str">
        <f>IF(OR($B10="",$A10&lt;56),"",--MID('Key Analysis'!$C6,56,1))</f>
        <v/>
      </c>
      <c r="GM10" s="29" t="str">
        <f>IF(OR($B10="",$A10&lt;57),"",--MID('Key Analysis'!$C6,57,1))</f>
        <v/>
      </c>
      <c r="GN10" s="29" t="str">
        <f>IF(OR($B10="",$A10&lt;58),"",--MID('Key Analysis'!$C6,58,1))</f>
        <v/>
      </c>
      <c r="GO10" s="29" t="str">
        <f>IF(OR($B10="",$A10&lt;59),"",--MID('Key Analysis'!$C6,59,1))</f>
        <v/>
      </c>
      <c r="GP10" s="29" t="str">
        <f>IF(OR($B10="",$A10&lt;60),"",--MID('Key Analysis'!$C6,60,1))</f>
        <v/>
      </c>
      <c r="GQ10" s="29" t="str">
        <f>IF(OR($B10="",$A10&lt;61),"",--MID('Key Analysis'!$C6,61,1))</f>
        <v/>
      </c>
      <c r="GR10" s="29" t="str">
        <f>IF(OR($B10="",$A10&lt;62),"",--MID('Key Analysis'!$C6,62,1))</f>
        <v/>
      </c>
      <c r="GS10" s="29" t="str">
        <f>IF(OR($B10="",$A10&lt;63),"",--MID('Key Analysis'!$C6,63,1))</f>
        <v/>
      </c>
      <c r="GT10" s="29" t="str">
        <f>IF(OR($B10="",$A10&lt;64),"",--MID('Key Analysis'!$C6,64,1))</f>
        <v/>
      </c>
      <c r="GU10" s="29" t="str">
        <f>IF(OR($B10="",$A10&lt;65),"",--MID('Key Analysis'!$C6,65,1))</f>
        <v/>
      </c>
      <c r="GV10" s="29" t="str">
        <f>IF(OR($B10="",$A10&lt;66),"",--MID('Key Analysis'!$C6,66,1))</f>
        <v/>
      </c>
      <c r="GW10" s="29" t="str">
        <f>IF(OR($B10="",$A10&lt;67),"",--MID('Key Analysis'!$C6,67,1))</f>
        <v/>
      </c>
      <c r="GX10" s="29" t="str">
        <f>IF(OR($B10="",$A10&lt;68),"",--MID('Key Analysis'!$C6,68,1))</f>
        <v/>
      </c>
      <c r="GY10" s="29" t="str">
        <f>IF(OR($B10="",$A10&lt;69),"",--MID('Key Analysis'!$C6,69,1))</f>
        <v/>
      </c>
      <c r="GZ10" s="29" t="str">
        <f>IF(OR($B10="",$A10&lt;70),"",--MID('Key Analysis'!$C6,70,1))</f>
        <v/>
      </c>
      <c r="HA10" s="29" t="str">
        <f>IF(OR($B10="",$A10&lt;71),"",--MID('Key Analysis'!$C6,71,1))</f>
        <v/>
      </c>
      <c r="HB10" s="29" t="str">
        <f>IF(OR($B10="",$A10&lt;72),"",--MID('Key Analysis'!$C6,72,1))</f>
        <v/>
      </c>
      <c r="HC10" s="29" t="str">
        <f>IF(OR($B10="",$A10&lt;73),"",--MID('Key Analysis'!$C6,73,1))</f>
        <v/>
      </c>
      <c r="HD10" s="29" t="str">
        <f>IF(OR($B10="",$A10&lt;74),"",--MID('Key Analysis'!$C6,74,1))</f>
        <v/>
      </c>
      <c r="HE10" s="29" t="str">
        <f>IF(OR($B10="",$A10&lt;75),"",--MID('Key Analysis'!$C6,75,1))</f>
        <v/>
      </c>
      <c r="HF10" s="29" t="str">
        <f>IF(OR($B10="",$A10&lt;76),"",--MID('Key Analysis'!$C6,76,1))</f>
        <v/>
      </c>
      <c r="HG10" s="29" t="str">
        <f>IF(OR($B10="",$A10&lt;77),"",--MID('Key Analysis'!$C6,77,1))</f>
        <v/>
      </c>
      <c r="HH10" s="29" t="str">
        <f>IF(OR($B10="",$A10&lt;78),"",--MID('Key Analysis'!$C6,78,1))</f>
        <v/>
      </c>
      <c r="HI10" s="29" t="str">
        <f>IF(OR($B10="",$A10&lt;79),"",--MID('Key Analysis'!$C6,79,1))</f>
        <v/>
      </c>
      <c r="HJ10" s="29" t="str">
        <f>IF(OR($B10="",$A10&lt;80),"",--MID('Key Analysis'!$C6,80,1))</f>
        <v/>
      </c>
      <c r="HK10" s="29" t="str">
        <f>IF(OR($B10="",$A10&lt;81),"",--MID('Key Analysis'!$C6,81,1))</f>
        <v/>
      </c>
      <c r="HL10" s="29" t="str">
        <f>IF(OR($B10="",$A10&lt;82),"",--MID('Key Analysis'!$C6,82,1))</f>
        <v/>
      </c>
      <c r="HM10" s="29" t="str">
        <f>IF(OR($B10="",$A10&lt;83),"",--MID('Key Analysis'!$C6,83,1))</f>
        <v/>
      </c>
      <c r="HN10" s="29" t="str">
        <f>IF(OR($B10="",$A10&lt;84),"",--MID('Key Analysis'!$C6,84,1))</f>
        <v/>
      </c>
      <c r="HO10" s="29" t="str">
        <f>IF(OR($B10="",$A10&lt;85),"",--MID('Key Analysis'!$C6,85,1))</f>
        <v/>
      </c>
      <c r="HP10" s="29" t="str">
        <f>IF(OR($B10="",$A10&lt;86),"",--MID('Key Analysis'!$C6,86,1))</f>
        <v/>
      </c>
      <c r="HQ10" s="29" t="str">
        <f>IF(OR($B10="",$A10&lt;87),"",--MID('Key Analysis'!$C6,87,1))</f>
        <v/>
      </c>
      <c r="HR10" s="29" t="str">
        <f>IF(OR($B10="",$A10&lt;88),"",--MID('Key Analysis'!$C6,88,1))</f>
        <v/>
      </c>
      <c r="HS10" s="29" t="str">
        <f>IF(OR($B10="",$A10&lt;89),"",--MID('Key Analysis'!$C6,89,1))</f>
        <v/>
      </c>
      <c r="HT10" s="29" t="str">
        <f>IF(OR($B10="",$A10&lt;90),"",--MID('Key Analysis'!$C6,90,1))</f>
        <v/>
      </c>
      <c r="HU10" s="29" t="str">
        <f>IF(OR($B10="",$A10&lt;91),"",--MID('Key Analysis'!$C6,91,1))</f>
        <v/>
      </c>
      <c r="HV10" s="29" t="str">
        <f>IF(OR($B10="",$A10&lt;92),"",--MID('Key Analysis'!$C6,92,1))</f>
        <v/>
      </c>
      <c r="HW10" s="29" t="str">
        <f>IF(OR($B10="",$A10&lt;93),"",--MID('Key Analysis'!$C6,93,1))</f>
        <v/>
      </c>
      <c r="HX10" s="29" t="str">
        <f>IF(OR($B10="",$A10&lt;94),"",--MID('Key Analysis'!$C6,94,1))</f>
        <v/>
      </c>
      <c r="HY10" s="29" t="str">
        <f>IF(OR($B10="",$A10&lt;95),"",--MID('Key Analysis'!$C6,95,1))</f>
        <v/>
      </c>
      <c r="HZ10" s="29" t="str">
        <f>IF(OR($B10="",$A10&lt;96),"",--MID('Key Analysis'!$C6,96,1))</f>
        <v/>
      </c>
      <c r="IA10" s="29" t="str">
        <f>IF(OR($B10="",$A10&lt;97),"",--MID('Key Analysis'!$C6,97,1))</f>
        <v/>
      </c>
      <c r="IB10" s="29" t="str">
        <f>IF(OR($B10="",$A10&lt;98),"",--MID('Key Analysis'!$C6,98,1))</f>
        <v/>
      </c>
      <c r="IC10" s="29" t="str">
        <f>IF(OR($B10="",$A10&lt;99),"",--MID('Key Analysis'!$C6,99,1))</f>
        <v/>
      </c>
      <c r="ID10" s="29" t="str">
        <f>IF(OR($B10="",$A10&lt;100),"",--MID('Key Analysis'!$C6,100,1))</f>
        <v/>
      </c>
      <c r="IE10" s="29" t="str">
        <f>IF(OR($B10="",$A10&lt;101),"",--MID('Key Analysis'!$C6,101,1))</f>
        <v/>
      </c>
      <c r="IF10" s="29" t="str">
        <f>IF(OR($B10="",$A10&lt;102),"",--MID('Key Analysis'!$C6,102,1))</f>
        <v/>
      </c>
      <c r="IG10" s="29" t="str">
        <f>IF(OR($B10="",$A10&lt;103),"",--MID('Key Analysis'!$C6,103,1))</f>
        <v/>
      </c>
      <c r="IH10" s="29" t="str">
        <f>IF(OR($B10="",$A10&lt;104),"",--MID('Key Analysis'!$C6,104,1))</f>
        <v/>
      </c>
      <c r="II10" s="29" t="str">
        <f>IF(OR($B10="",$A10&lt;105),"",--MID('Key Analysis'!$C6,105,1))</f>
        <v/>
      </c>
      <c r="IJ10" s="29" t="str">
        <f>IF(OR($B10="",$A10&lt;106),"",--MID('Key Analysis'!$C6,106,1))</f>
        <v/>
      </c>
      <c r="IK10" s="29" t="str">
        <f>IF(OR($B10="",$A10&lt;107),"",--MID('Key Analysis'!$C6,107,1))</f>
        <v/>
      </c>
      <c r="IL10" s="29" t="str">
        <f>IF(OR($B10="",$A10&lt;108),"",--MID('Key Analysis'!$C6,108,1))</f>
        <v/>
      </c>
      <c r="IM10" s="29" t="str">
        <f>IF(OR($B10="",$A10&lt;109),"",--MID('Key Analysis'!$C6,109,1))</f>
        <v/>
      </c>
      <c r="IN10" s="29" t="str">
        <f>IF(OR($B10="",$A10&lt;110),"",--MID('Key Analysis'!$C6,110,1))</f>
        <v/>
      </c>
      <c r="IO10" s="29" t="str">
        <f>IF(OR($B10="",$A10&lt;111),"",--MID('Key Analysis'!$C6,111,1))</f>
        <v/>
      </c>
      <c r="IP10" s="29" t="str">
        <f>IF(OR($B10="",$A10&lt;112),"",--MID('Key Analysis'!$C6,112,1))</f>
        <v/>
      </c>
      <c r="IQ10" s="29" t="str">
        <f>IF(OR($B10="",$A10&lt;113),"",--MID('Key Analysis'!$C6,113,1))</f>
        <v/>
      </c>
      <c r="IR10" s="29" t="str">
        <f>IF(OR($B10="",$A10&lt;114),"",--MID('Key Analysis'!$C6,114,1))</f>
        <v/>
      </c>
      <c r="IS10" s="29" t="str">
        <f>IF(OR($B10="",$A10&lt;115),"",--MID('Key Analysis'!$C6,115,1))</f>
        <v/>
      </c>
      <c r="IT10" s="29" t="str">
        <f>IF(OR($B10="",$A10&lt;116),"",--MID('Key Analysis'!$C6,116,1))</f>
        <v/>
      </c>
      <c r="IU10" s="29" t="str">
        <f>IF(OR($B10="",$A10&lt;117),"",--MID('Key Analysis'!$C6,117,1))</f>
        <v/>
      </c>
      <c r="IV10" s="29" t="str">
        <f>IF(OR($B10="",$A10&lt;118),"",--MID('Key Analysis'!$C6,118,1))</f>
        <v/>
      </c>
      <c r="IW10" s="29" t="str">
        <f>IF(OR($B10="",$A10&lt;119),"",--MID('Key Analysis'!$C6,119,1))</f>
        <v/>
      </c>
      <c r="IX10" s="29" t="str">
        <f>IF(OR($B10="",$A10&lt;120),"",--MID('Key Analysis'!$C6,120,1))</f>
        <v/>
      </c>
      <c r="IY10" s="29" t="str">
        <f>IF(OR($B10="",$A10&lt;121),"",--MID('Key Analysis'!$C6,121,1))</f>
        <v/>
      </c>
      <c r="IZ10" s="29" t="str">
        <f>IF(OR($B10="",$A10&lt;122),"",--MID('Key Analysis'!$C6,122,1))</f>
        <v/>
      </c>
      <c r="JA10" s="29" t="str">
        <f>IF(OR($B10="",$A10&lt;123),"",--MID('Key Analysis'!$C6,123,1))</f>
        <v/>
      </c>
      <c r="JB10" s="29" t="str">
        <f>IF(OR($B10="",$A10&lt;124),"",--MID('Key Analysis'!$C6,124,1))</f>
        <v/>
      </c>
      <c r="JC10" s="29" t="str">
        <f>IF(OR($B10="",$A10&lt;125),"",--MID('Key Analysis'!$C6,125,1))</f>
        <v/>
      </c>
      <c r="JD10" s="29" t="str">
        <f>IF(OR($B10="",$A10&lt;126),"",--MID('Key Analysis'!$C6,126,1))</f>
        <v/>
      </c>
      <c r="JE10" s="29" t="str">
        <f>IF(OR($B10="",$A10&lt;127),"",--MID('Key Analysis'!$C6,127,1))</f>
        <v/>
      </c>
      <c r="JF10" s="29" t="str">
        <f>IF(OR($B10="",$A10&lt;128),"",--MID('Key Analysis'!$C6,128,1))</f>
        <v/>
      </c>
      <c r="JG10" s="29" t="str">
        <f>IF(OR($B10="",$A10&lt;129),"",--MID('Key Analysis'!$C6,129,1))</f>
        <v/>
      </c>
      <c r="JH10" s="29" t="str">
        <f>IF(OR($B10="",$A10&lt;130),"",--MID('Key Analysis'!$C6,130,1))</f>
        <v/>
      </c>
      <c r="JI10" s="29" t="str">
        <f>IF(OR($B10="",$A10&lt;131),"",--MID('Key Analysis'!$C6,131,1))</f>
        <v/>
      </c>
      <c r="JJ10" s="29" t="str">
        <f>IF(OR($B10="",$A10&lt;132),"",--MID('Key Analysis'!$C6,132,1))</f>
        <v/>
      </c>
      <c r="JK10" s="29" t="str">
        <f>IF(OR($B10="",$A10&lt;133),"",--MID('Key Analysis'!$C6,133,1))</f>
        <v/>
      </c>
      <c r="JL10" s="29" t="str">
        <f>IF(OR($B10="",$A10&lt;134),"",--MID('Key Analysis'!$C6,134,1))</f>
        <v/>
      </c>
      <c r="JM10" s="29" t="str">
        <f>IF(OR($B10="",$A10&lt;135),"",--MID('Key Analysis'!$C6,135,1))</f>
        <v/>
      </c>
    </row>
    <row r="11" spans="1:273" x14ac:dyDescent="0.25">
      <c r="A11" s="21">
        <f>'Key Analysis'!A7</f>
        <v>6</v>
      </c>
      <c r="B11" s="30" t="str">
        <f>'Key Analysis'!B7</f>
        <v>31</v>
      </c>
      <c r="C11" s="29">
        <f>IF(OR($B11="",$A11&lt;=0),"",--MID('Key Analysis'!$C7,$A11-0,1))</f>
        <v>1</v>
      </c>
      <c r="D11" s="29">
        <f>IF(OR($B11="",$A11&lt;=1),"",--MID('Key Analysis'!$C7,$A11-1,1))</f>
        <v>0</v>
      </c>
      <c r="E11" s="29">
        <f>IF(OR($B11="",$A11&lt;=2),"",--MID('Key Analysis'!$C7,$A11-2,1))</f>
        <v>0</v>
      </c>
      <c r="F11" s="29">
        <f>IF(OR($B11="",$A11&lt;=3),"",--MID('Key Analysis'!$C7,$A11-3,1))</f>
        <v>0</v>
      </c>
      <c r="G11" s="29">
        <f>IF(OR($B11="",$A11&lt;=4),"",--MID('Key Analysis'!$C7,$A11-4,1))</f>
        <v>1</v>
      </c>
      <c r="H11" s="29">
        <f>IF(OR($B11="",$A11&lt;=5),"",--MID('Key Analysis'!$C7,$A11-5,1))</f>
        <v>1</v>
      </c>
      <c r="I11" s="29" t="str">
        <f>IF(OR($B11="",$A11&lt;=6),"",--MID('Key Analysis'!$C7,$A11-6,1))</f>
        <v/>
      </c>
      <c r="J11" s="29" t="str">
        <f>IF(OR($B11="",$A11&lt;=7),"",--MID('Key Analysis'!$C7,$A11-7,1))</f>
        <v/>
      </c>
      <c r="K11" s="29" t="str">
        <f>IF(OR($B11="",$A11&lt;=8),"",--MID('Key Analysis'!$C7,$A11-8,1))</f>
        <v/>
      </c>
      <c r="L11" s="29" t="str">
        <f>IF(OR($B11="",$A11&lt;=9),"",--MID('Key Analysis'!$C7,$A11-9,1))</f>
        <v/>
      </c>
      <c r="M11" s="29" t="str">
        <f>IF(OR($B11="",$A11&lt;=10),"",--MID('Key Analysis'!$C7,$A11-10,1))</f>
        <v/>
      </c>
      <c r="N11" s="29" t="str">
        <f>IF(OR($B11="",$A11&lt;=11),"",--MID('Key Analysis'!$C7,$A11-11,1))</f>
        <v/>
      </c>
      <c r="O11" s="29" t="str">
        <f>IF(OR($B11="",$A11&lt;=12),"",--MID('Key Analysis'!$C7,$A11-12,1))</f>
        <v/>
      </c>
      <c r="P11" s="29" t="str">
        <f>IF(OR($B11="",$A11&lt;=13),"",--MID('Key Analysis'!$C7,$A11-13,1))</f>
        <v/>
      </c>
      <c r="Q11" s="29" t="str">
        <f>IF(OR($B11="",$A11&lt;=14),"",--MID('Key Analysis'!$C7,$A11-14,1))</f>
        <v/>
      </c>
      <c r="R11" s="29" t="str">
        <f>IF(OR($B11="",$A11&lt;=15),"",--MID('Key Analysis'!$C7,$A11-15,1))</f>
        <v/>
      </c>
      <c r="S11" s="29" t="str">
        <f>IF(OR($B11="",$A11&lt;=16),"",--MID('Key Analysis'!$C7,$A11-16,1))</f>
        <v/>
      </c>
      <c r="T11" s="29" t="str">
        <f>IF(OR($B11="",$A11&lt;=17),"",--MID('Key Analysis'!$C7,$A11-17,1))</f>
        <v/>
      </c>
      <c r="U11" s="29" t="str">
        <f>IF(OR($B11="",$A11&lt;=18),"",--MID('Key Analysis'!$C7,$A11-18,1))</f>
        <v/>
      </c>
      <c r="V11" s="29" t="str">
        <f>IF(OR($B11="",$A11&lt;=19),"",--MID('Key Analysis'!$C7,$A11-19,1))</f>
        <v/>
      </c>
      <c r="W11" s="29" t="str">
        <f>IF(OR($B11="",$A11&lt;=20),"",--MID('Key Analysis'!$C7,$A11-20,1))</f>
        <v/>
      </c>
      <c r="X11" s="29" t="str">
        <f>IF(OR($B11="",$A11&lt;=21),"",--MID('Key Analysis'!$C7,$A11-21,1))</f>
        <v/>
      </c>
      <c r="Y11" s="29" t="str">
        <f>IF(OR($B11="",$A11&lt;=22),"",--MID('Key Analysis'!$C7,$A11-22,1))</f>
        <v/>
      </c>
      <c r="Z11" s="29" t="str">
        <f>IF(OR($B11="",$A11&lt;=23),"",--MID('Key Analysis'!$C7,$A11-23,1))</f>
        <v/>
      </c>
      <c r="AA11" s="29" t="str">
        <f>IF(OR($B11="",$A11&lt;=24),"",--MID('Key Analysis'!$C7,$A11-24,1))</f>
        <v/>
      </c>
      <c r="AB11" s="29" t="str">
        <f>IF(OR($B11="",$A11&lt;=25),"",--MID('Key Analysis'!$C7,$A11-25,1))</f>
        <v/>
      </c>
      <c r="AC11" s="29" t="str">
        <f>IF(OR($B11="",$A11&lt;=26),"",--MID('Key Analysis'!$C7,$A11-26,1))</f>
        <v/>
      </c>
      <c r="AD11" s="29" t="str">
        <f>IF(OR($B11="",$A11&lt;=27),"",--MID('Key Analysis'!$C7,$A11-27,1))</f>
        <v/>
      </c>
      <c r="AE11" s="29" t="str">
        <f>IF(OR($B11="",$A11&lt;=28),"",--MID('Key Analysis'!$C7,$A11-28,1))</f>
        <v/>
      </c>
      <c r="AF11" s="29" t="str">
        <f>IF(OR($B11="",$A11&lt;=29),"",--MID('Key Analysis'!$C7,$A11-29,1))</f>
        <v/>
      </c>
      <c r="AG11" s="29" t="str">
        <f>IF(OR($B11="",$A11&lt;=30),"",--MID('Key Analysis'!$C7,$A11-30,1))</f>
        <v/>
      </c>
      <c r="AH11" s="29" t="str">
        <f>IF(OR($B11="",$A11&lt;=31),"",--MID('Key Analysis'!$C7,$A11-31,1))</f>
        <v/>
      </c>
      <c r="AI11" s="29" t="str">
        <f>IF(OR($B11="",$A11&lt;=32),"",--MID('Key Analysis'!$C7,$A11-32,1))</f>
        <v/>
      </c>
      <c r="AJ11" s="29" t="str">
        <f>IF(OR($B11="",$A11&lt;=33),"",--MID('Key Analysis'!$C7,$A11-33,1))</f>
        <v/>
      </c>
      <c r="AK11" s="29" t="str">
        <f>IF(OR($B11="",$A11&lt;=34),"",--MID('Key Analysis'!$C7,$A11-34,1))</f>
        <v/>
      </c>
      <c r="AL11" s="29" t="str">
        <f>IF(OR($B11="",$A11&lt;=35),"",--MID('Key Analysis'!$C7,$A11-35,1))</f>
        <v/>
      </c>
      <c r="AM11" s="29" t="str">
        <f>IF(OR($B11="",$A11&lt;=36),"",--MID('Key Analysis'!$C7,$A11-36,1))</f>
        <v/>
      </c>
      <c r="AN11" s="29" t="str">
        <f>IF(OR($B11="",$A11&lt;=37),"",--MID('Key Analysis'!$C7,$A11-37,1))</f>
        <v/>
      </c>
      <c r="AO11" s="29" t="str">
        <f>IF(OR($B11="",$A11&lt;=38),"",--MID('Key Analysis'!$C7,$A11-38,1))</f>
        <v/>
      </c>
      <c r="AP11" s="29" t="str">
        <f>IF(OR($B11="",$A11&lt;=39),"",--MID('Key Analysis'!$C7,$A11-39,1))</f>
        <v/>
      </c>
      <c r="AQ11" s="29" t="str">
        <f>IF(OR($B11="",$A11&lt;=40),"",--MID('Key Analysis'!$C7,$A11-40,1))</f>
        <v/>
      </c>
      <c r="AR11" s="29" t="str">
        <f>IF(OR($B11="",$A11&lt;=41),"",--MID('Key Analysis'!$C7,$A11-41,1))</f>
        <v/>
      </c>
      <c r="AS11" s="29" t="str">
        <f>IF(OR($B11="",$A11&lt;=42),"",--MID('Key Analysis'!$C7,$A11-42,1))</f>
        <v/>
      </c>
      <c r="AT11" s="29" t="str">
        <f>IF(OR($B11="",$A11&lt;=43),"",--MID('Key Analysis'!$C7,$A11-43,1))</f>
        <v/>
      </c>
      <c r="AU11" s="29" t="str">
        <f>IF(OR($B11="",$A11&lt;=44),"",--MID('Key Analysis'!$C7,$A11-44,1))</f>
        <v/>
      </c>
      <c r="AV11" s="29" t="str">
        <f>IF(OR($B11="",$A11&lt;=45),"",--MID('Key Analysis'!$C7,$A11-45,1))</f>
        <v/>
      </c>
      <c r="AW11" s="29" t="str">
        <f>IF(OR($B11="",$A11&lt;=46),"",--MID('Key Analysis'!$C7,$A11-46,1))</f>
        <v/>
      </c>
      <c r="AX11" s="29" t="str">
        <f>IF(OR($B11="",$A11&lt;=47),"",--MID('Key Analysis'!$C7,$A11-47,1))</f>
        <v/>
      </c>
      <c r="AY11" s="29" t="str">
        <f>IF(OR($B11="",$A11&lt;=48),"",--MID('Key Analysis'!$C7,$A11-48,1))</f>
        <v/>
      </c>
      <c r="AZ11" s="29" t="str">
        <f>IF(OR($B11="",$A11&lt;=49),"",--MID('Key Analysis'!$C7,$A11-49,1))</f>
        <v/>
      </c>
      <c r="BA11" s="29" t="str">
        <f>IF(OR($B11="",$A11&lt;=50),"",--MID('Key Analysis'!$C7,$A11-50,1))</f>
        <v/>
      </c>
      <c r="BB11" s="29" t="str">
        <f>IF(OR($B11="",$A11&lt;=51),"",--MID('Key Analysis'!$C7,$A11-51,1))</f>
        <v/>
      </c>
      <c r="BC11" s="29" t="str">
        <f>IF(OR($B11="",$A11&lt;=52),"",--MID('Key Analysis'!$C7,$A11-52,1))</f>
        <v/>
      </c>
      <c r="BD11" s="29" t="str">
        <f>IF(OR($B11="",$A11&lt;=53),"",--MID('Key Analysis'!$C7,$A11-53,1))</f>
        <v/>
      </c>
      <c r="BE11" s="29" t="str">
        <f>IF(OR($B11="",$A11&lt;=54),"",--MID('Key Analysis'!$C7,$A11-54,1))</f>
        <v/>
      </c>
      <c r="BF11" s="29" t="str">
        <f>IF(OR($B11="",$A11&lt;=55),"",--MID('Key Analysis'!$C7,$A11-55,1))</f>
        <v/>
      </c>
      <c r="BG11" s="29" t="str">
        <f>IF(OR($B11="",$A11&lt;=56),"",--MID('Key Analysis'!$C7,$A11-56,1))</f>
        <v/>
      </c>
      <c r="BH11" s="29" t="str">
        <f>IF(OR($B11="",$A11&lt;=57),"",--MID('Key Analysis'!$C7,$A11-57,1))</f>
        <v/>
      </c>
      <c r="BI11" s="29" t="str">
        <f>IF(OR($B11="",$A11&lt;=58),"",--MID('Key Analysis'!$C7,$A11-58,1))</f>
        <v/>
      </c>
      <c r="BJ11" s="29" t="str">
        <f>IF(OR($B11="",$A11&lt;=59),"",--MID('Key Analysis'!$C7,$A11-59,1))</f>
        <v/>
      </c>
      <c r="BK11" s="29" t="str">
        <f>IF(OR($B11="",$A11&lt;=60),"",--MID('Key Analysis'!$C7,$A11-60,1))</f>
        <v/>
      </c>
      <c r="BL11" s="29" t="str">
        <f>IF(OR($B11="",$A11&lt;=61),"",--MID('Key Analysis'!$C7,$A11-61,1))</f>
        <v/>
      </c>
      <c r="BM11" s="29" t="str">
        <f>IF(OR($B11="",$A11&lt;=62),"",--MID('Key Analysis'!$C7,$A11-62,1))</f>
        <v/>
      </c>
      <c r="BN11" s="29" t="str">
        <f>IF(OR($B11="",$A11&lt;=63),"",--MID('Key Analysis'!$C7,$A11-63,1))</f>
        <v/>
      </c>
      <c r="BO11" s="29" t="str">
        <f>IF(OR($B11="",$A11&lt;=64),"",--MID('Key Analysis'!$C7,$A11-64,1))</f>
        <v/>
      </c>
      <c r="BP11" s="29" t="str">
        <f>IF(OR($B11="",$A11&lt;=65),"",--MID('Key Analysis'!$C7,$A11-65,1))</f>
        <v/>
      </c>
      <c r="BQ11" s="29" t="str">
        <f>IF(OR($B11="",$A11&lt;=66),"",--MID('Key Analysis'!$C7,$A11-66,1))</f>
        <v/>
      </c>
      <c r="BR11" s="29" t="str">
        <f>IF(OR($B11="",$A11&lt;=67),"",--MID('Key Analysis'!$C7,$A11-67,1))</f>
        <v/>
      </c>
      <c r="BS11" s="29" t="str">
        <f>IF(OR($B11="",$A11&lt;=68),"",--MID('Key Analysis'!$C7,$A11-68,1))</f>
        <v/>
      </c>
      <c r="BT11" s="29" t="str">
        <f>IF(OR($B11="",$A11&lt;=69),"",--MID('Key Analysis'!$C7,$A11-69,1))</f>
        <v/>
      </c>
      <c r="BU11" s="29" t="str">
        <f>IF(OR($B11="",$A11&lt;=70),"",--MID('Key Analysis'!$C7,$A11-70,1))</f>
        <v/>
      </c>
      <c r="BV11" s="29" t="str">
        <f>IF(OR($B11="",$A11&lt;=71),"",--MID('Key Analysis'!$C7,$A11-71,1))</f>
        <v/>
      </c>
      <c r="BW11" s="29" t="str">
        <f>IF(OR($B11="",$A11&lt;=72),"",--MID('Key Analysis'!$C7,$A11-72,1))</f>
        <v/>
      </c>
      <c r="BX11" s="29" t="str">
        <f>IF(OR($B11="",$A11&lt;=73),"",--MID('Key Analysis'!$C7,$A11-73,1))</f>
        <v/>
      </c>
      <c r="BY11" s="29" t="str">
        <f>IF(OR($B11="",$A11&lt;=74),"",--MID('Key Analysis'!$C7,$A11-74,1))</f>
        <v/>
      </c>
      <c r="BZ11" s="29" t="str">
        <f>IF(OR($B11="",$A11&lt;=75),"",--MID('Key Analysis'!$C7,$A11-75,1))</f>
        <v/>
      </c>
      <c r="CA11" s="29" t="str">
        <f>IF(OR($B11="",$A11&lt;=76),"",--MID('Key Analysis'!$C7,$A11-76,1))</f>
        <v/>
      </c>
      <c r="CB11" s="29" t="str">
        <f>IF(OR($B11="",$A11&lt;=77),"",--MID('Key Analysis'!$C7,$A11-77,1))</f>
        <v/>
      </c>
      <c r="CC11" s="29" t="str">
        <f>IF(OR($B11="",$A11&lt;=78),"",--MID('Key Analysis'!$C7,$A11-78,1))</f>
        <v/>
      </c>
      <c r="CD11" s="29" t="str">
        <f>IF(OR($B11="",$A11&lt;=79),"",--MID('Key Analysis'!$C7,$A11-79,1))</f>
        <v/>
      </c>
      <c r="CE11" s="29" t="str">
        <f>IF(OR($B11="",$A11&lt;=80),"",--MID('Key Analysis'!$C7,$A11-80,1))</f>
        <v/>
      </c>
      <c r="CF11" s="29" t="str">
        <f>IF(OR($B11="",$A11&lt;=81),"",--MID('Key Analysis'!$C7,$A11-81,1))</f>
        <v/>
      </c>
      <c r="CG11" s="29" t="str">
        <f>IF(OR($B11="",$A11&lt;=82),"",--MID('Key Analysis'!$C7,$A11-82,1))</f>
        <v/>
      </c>
      <c r="CH11" s="29" t="str">
        <f>IF(OR($B11="",$A11&lt;=83),"",--MID('Key Analysis'!$C7,$A11-83,1))</f>
        <v/>
      </c>
      <c r="CI11" s="29" t="str">
        <f>IF(OR($B11="",$A11&lt;=84),"",--MID('Key Analysis'!$C7,$A11-84,1))</f>
        <v/>
      </c>
      <c r="CJ11" s="29" t="str">
        <f>IF(OR($B11="",$A11&lt;=85),"",--MID('Key Analysis'!$C7,$A11-85,1))</f>
        <v/>
      </c>
      <c r="CK11" s="29" t="str">
        <f>IF(OR($B11="",$A11&lt;=86),"",--MID('Key Analysis'!$C7,$A11-86,1))</f>
        <v/>
      </c>
      <c r="CL11" s="29" t="str">
        <f>IF(OR($B11="",$A11&lt;=87),"",--MID('Key Analysis'!$C7,$A11-87,1))</f>
        <v/>
      </c>
      <c r="CM11" s="29" t="str">
        <f>IF(OR($B11="",$A11&lt;=88),"",--MID('Key Analysis'!$C7,$A11-88,1))</f>
        <v/>
      </c>
      <c r="CN11" s="29" t="str">
        <f>IF(OR($B11="",$A11&lt;=89),"",--MID('Key Analysis'!$C7,$A11-89,1))</f>
        <v/>
      </c>
      <c r="CO11" s="29" t="str">
        <f>IF(OR($B11="",$A11&lt;=90),"",--MID('Key Analysis'!$C7,$A11-90,1))</f>
        <v/>
      </c>
      <c r="CP11" s="29" t="str">
        <f>IF(OR($B11="",$A11&lt;=91),"",--MID('Key Analysis'!$C7,$A11-91,1))</f>
        <v/>
      </c>
      <c r="CQ11" s="29" t="str">
        <f>IF(OR($B11="",$A11&lt;=92),"",--MID('Key Analysis'!$C7,$A11-92,1))</f>
        <v/>
      </c>
      <c r="CR11" s="29" t="str">
        <f>IF(OR($B11="",$A11&lt;=93),"",--MID('Key Analysis'!$C7,$A11-93,1))</f>
        <v/>
      </c>
      <c r="CS11" s="29" t="str">
        <f>IF(OR($B11="",$A11&lt;=94),"",--MID('Key Analysis'!$C7,$A11-94,1))</f>
        <v/>
      </c>
      <c r="CT11" s="29" t="str">
        <f>IF(OR($B11="",$A11&lt;=95),"",--MID('Key Analysis'!$C7,$A11-95,1))</f>
        <v/>
      </c>
      <c r="CU11" s="29" t="str">
        <f>IF(OR($B11="",$A11&lt;=96),"",--MID('Key Analysis'!$C7,$A11-96,1))</f>
        <v/>
      </c>
      <c r="CV11" s="29" t="str">
        <f>IF(OR($B11="",$A11&lt;=97),"",--MID('Key Analysis'!$C7,$A11-97,1))</f>
        <v/>
      </c>
      <c r="CW11" s="29" t="str">
        <f>IF(OR($B11="",$A11&lt;=98),"",--MID('Key Analysis'!$C7,$A11-98,1))</f>
        <v/>
      </c>
      <c r="CX11" s="29" t="str">
        <f>IF(OR($B11="",$A11&lt;=99),"",--MID('Key Analysis'!$C7,$A11-99,1))</f>
        <v/>
      </c>
      <c r="CY11" s="29" t="str">
        <f>IF(OR($B11="",$A11&lt;=100),"",--MID('Key Analysis'!$C7,$A11-100,1))</f>
        <v/>
      </c>
      <c r="CZ11" s="29" t="str">
        <f>IF(OR($B11="",$A11&lt;=101),"",--MID('Key Analysis'!$C7,$A11-101,1))</f>
        <v/>
      </c>
      <c r="DA11" s="29" t="str">
        <f>IF(OR($B11="",$A11&lt;=102),"",--MID('Key Analysis'!$C7,$A11-102,1))</f>
        <v/>
      </c>
      <c r="DB11" s="29" t="str">
        <f>IF(OR($B11="",$A11&lt;=103),"",--MID('Key Analysis'!$C7,$A11-103,1))</f>
        <v/>
      </c>
      <c r="DC11" s="29" t="str">
        <f>IF(OR($B11="",$A11&lt;=104),"",--MID('Key Analysis'!$C7,$A11-104,1))</f>
        <v/>
      </c>
      <c r="DD11" s="29" t="str">
        <f>IF(OR($B11="",$A11&lt;=105),"",--MID('Key Analysis'!$C7,$A11-105,1))</f>
        <v/>
      </c>
      <c r="DE11" s="29" t="str">
        <f>IF(OR($B11="",$A11&lt;=106),"",--MID('Key Analysis'!$C7,$A11-106,1))</f>
        <v/>
      </c>
      <c r="DF11" s="29" t="str">
        <f>IF(OR($B11="",$A11&lt;=107),"",--MID('Key Analysis'!$C7,$A11-107,1))</f>
        <v/>
      </c>
      <c r="DG11" s="29" t="str">
        <f>IF(OR($B11="",$A11&lt;=108),"",--MID('Key Analysis'!$C7,$A11-108,1))</f>
        <v/>
      </c>
      <c r="DH11" s="29" t="str">
        <f>IF(OR($B11="",$A11&lt;=109),"",--MID('Key Analysis'!$C7,$A11-109,1))</f>
        <v/>
      </c>
      <c r="DI11" s="29" t="str">
        <f>IF(OR($B11="",$A11&lt;=110),"",--MID('Key Analysis'!$C7,$A11-110,1))</f>
        <v/>
      </c>
      <c r="DJ11" s="29" t="str">
        <f>IF(OR($B11="",$A11&lt;=111),"",--MID('Key Analysis'!$C7,$A11-111,1))</f>
        <v/>
      </c>
      <c r="DK11" s="29" t="str">
        <f>IF(OR($B11="",$A11&lt;=112),"",--MID('Key Analysis'!$C7,$A11-112,1))</f>
        <v/>
      </c>
      <c r="DL11" s="29" t="str">
        <f>IF(OR($B11="",$A11&lt;=113),"",--MID('Key Analysis'!$C7,$A11-113,1))</f>
        <v/>
      </c>
      <c r="DM11" s="29" t="str">
        <f>IF(OR($B11="",$A11&lt;=114),"",--MID('Key Analysis'!$C7,$A11-114,1))</f>
        <v/>
      </c>
      <c r="DN11" s="29" t="str">
        <f>IF(OR($B11="",$A11&lt;=115),"",--MID('Key Analysis'!$C7,$A11-115,1))</f>
        <v/>
      </c>
      <c r="DO11" s="29" t="str">
        <f>IF(OR($B11="",$A11&lt;=116),"",--MID('Key Analysis'!$C7,$A11-116,1))</f>
        <v/>
      </c>
      <c r="DP11" s="29" t="str">
        <f>IF(OR($B11="",$A11&lt;=117),"",--MID('Key Analysis'!$C7,$A11-117,1))</f>
        <v/>
      </c>
      <c r="DQ11" s="29" t="str">
        <f>IF(OR($B11="",$A11&lt;=118),"",--MID('Key Analysis'!$C7,$A11-118,1))</f>
        <v/>
      </c>
      <c r="DR11" s="29" t="str">
        <f>IF(OR($B11="",$A11&lt;=119),"",--MID('Key Analysis'!$C7,$A11-119,1))</f>
        <v/>
      </c>
      <c r="DS11" s="29" t="str">
        <f>IF(OR($B11="",$A11&lt;=120),"",--MID('Key Analysis'!$C7,$A11-120,1))</f>
        <v/>
      </c>
      <c r="DT11" s="29" t="str">
        <f>IF(OR($B11="",$A11&lt;=121),"",--MID('Key Analysis'!$C7,$A11-121,1))</f>
        <v/>
      </c>
      <c r="DU11" s="29" t="str">
        <f>IF(OR($B11="",$A11&lt;=122),"",--MID('Key Analysis'!$C7,$A11-122,1))</f>
        <v/>
      </c>
      <c r="DV11" s="29" t="str">
        <f>IF(OR($B11="",$A11&lt;=123),"",--MID('Key Analysis'!$C7,$A11-123,1))</f>
        <v/>
      </c>
      <c r="DW11" s="29" t="str">
        <f>IF(OR($B11="",$A11&lt;=124),"",--MID('Key Analysis'!$C7,$A11-124,1))</f>
        <v/>
      </c>
      <c r="DX11" s="29" t="str">
        <f>IF(OR($B11="",$A11&lt;=125),"",--MID('Key Analysis'!$C7,$A11-125,1))</f>
        <v/>
      </c>
      <c r="DY11" s="29" t="str">
        <f>IF(OR($B11="",$A11&lt;=126),"",--MID('Key Analysis'!$C7,$A11-126,1))</f>
        <v/>
      </c>
      <c r="DZ11" s="29" t="str">
        <f>IF(OR($B11="",$A11&lt;=127),"",--MID('Key Analysis'!$C7,$A11-127,1))</f>
        <v/>
      </c>
      <c r="EA11" s="29" t="str">
        <f>IF(OR($B11="",$A11&lt;=128),"",--MID('Key Analysis'!$C7,$A11-128,1))</f>
        <v/>
      </c>
      <c r="EB11" s="29" t="str">
        <f>IF(OR($B11="",$A11&lt;=129),"",--MID('Key Analysis'!$C7,$A11-129,1))</f>
        <v/>
      </c>
      <c r="EC11" s="29" t="str">
        <f>IF(OR($B11="",$A11&lt;=130),"",--MID('Key Analysis'!$C7,$A11-130,1))</f>
        <v/>
      </c>
      <c r="ED11" s="29" t="str">
        <f>IF(OR($B11="",$A11&lt;=131),"",--MID('Key Analysis'!$C7,$A11-131,1))</f>
        <v/>
      </c>
      <c r="EE11" s="29" t="str">
        <f>IF(OR($B11="",$A11&lt;=132),"",--MID('Key Analysis'!$C7,$A11-132,1))</f>
        <v/>
      </c>
      <c r="EF11" s="29" t="str">
        <f>IF(OR($B11="",$A11&lt;=133),"",--MID('Key Analysis'!$C7,$A11-133,1))</f>
        <v/>
      </c>
      <c r="EG11" s="29" t="str">
        <f>IF(OR($B11="",$A11&lt;=134),"",--MID('Key Analysis'!$C7,$A11-134,1))</f>
        <v/>
      </c>
      <c r="EH11" s="29"/>
      <c r="EI11" s="29">
        <f>IF(OR($B11="",$A11&lt;1),"",--MID('Key Analysis'!$C7,1,1))</f>
        <v>1</v>
      </c>
      <c r="EJ11" s="29">
        <f>IF(OR($B11="",$A11&lt;2),"",--MID('Key Analysis'!$C7,2,1))</f>
        <v>1</v>
      </c>
      <c r="EK11" s="29">
        <f>IF(OR($B11="",$A11&lt;3),"",--MID('Key Analysis'!$C7,3,1))</f>
        <v>0</v>
      </c>
      <c r="EL11" s="29">
        <f>IF(OR($B11="",$A11&lt;4),"",--MID('Key Analysis'!$C7,4,1))</f>
        <v>0</v>
      </c>
      <c r="EM11" s="29">
        <f>IF(OR($B11="",$A11&lt;5),"",--MID('Key Analysis'!$C7,5,1))</f>
        <v>0</v>
      </c>
      <c r="EN11" s="29">
        <f>IF(OR($B11="",$A11&lt;6),"",--MID('Key Analysis'!$C7,6,1))</f>
        <v>1</v>
      </c>
      <c r="EO11" s="29" t="str">
        <f>IF(OR($B11="",$A11&lt;7),"",--MID('Key Analysis'!$C7,7,1))</f>
        <v/>
      </c>
      <c r="EP11" s="29" t="str">
        <f>IF(OR($B11="",$A11&lt;8),"",--MID('Key Analysis'!$C7,8,1))</f>
        <v/>
      </c>
      <c r="EQ11" s="29" t="str">
        <f>IF(OR($B11="",$A11&lt;9),"",--MID('Key Analysis'!$C7,9,1))</f>
        <v/>
      </c>
      <c r="ER11" s="29" t="str">
        <f>IF(OR($B11="",$A11&lt;10),"",--MID('Key Analysis'!$C7,10,1))</f>
        <v/>
      </c>
      <c r="ES11" s="29" t="str">
        <f>IF(OR($B11="",$A11&lt;11),"",--MID('Key Analysis'!$C7,11,1))</f>
        <v/>
      </c>
      <c r="ET11" s="29" t="str">
        <f>IF(OR($B11="",$A11&lt;12),"",--MID('Key Analysis'!$C7,12,1))</f>
        <v/>
      </c>
      <c r="EU11" s="29" t="str">
        <f>IF(OR($B11="",$A11&lt;13),"",--MID('Key Analysis'!$C7,13,1))</f>
        <v/>
      </c>
      <c r="EV11" s="29" t="str">
        <f>IF(OR($B11="",$A11&lt;14),"",--MID('Key Analysis'!$C7,14,1))</f>
        <v/>
      </c>
      <c r="EW11" s="29" t="str">
        <f>IF(OR($B11="",$A11&lt;15),"",--MID('Key Analysis'!$C7,15,1))</f>
        <v/>
      </c>
      <c r="EX11" s="29" t="str">
        <f>IF(OR($B11="",$A11&lt;16),"",--MID('Key Analysis'!$C7,16,1))</f>
        <v/>
      </c>
      <c r="EY11" s="29" t="str">
        <f>IF(OR($B11="",$A11&lt;17),"",--MID('Key Analysis'!$C7,17,1))</f>
        <v/>
      </c>
      <c r="EZ11" s="29" t="str">
        <f>IF(OR($B11="",$A11&lt;18),"",--MID('Key Analysis'!$C7,18,1))</f>
        <v/>
      </c>
      <c r="FA11" s="29" t="str">
        <f>IF(OR($B11="",$A11&lt;19),"",--MID('Key Analysis'!$C7,19,1))</f>
        <v/>
      </c>
      <c r="FB11" s="29" t="str">
        <f>IF(OR($B11="",$A11&lt;20),"",--MID('Key Analysis'!$C7,20,1))</f>
        <v/>
      </c>
      <c r="FC11" s="29" t="str">
        <f>IF(OR($B11="",$A11&lt;21),"",--MID('Key Analysis'!$C7,21,1))</f>
        <v/>
      </c>
      <c r="FD11" s="29" t="str">
        <f>IF(OR($B11="",$A11&lt;22),"",--MID('Key Analysis'!$C7,22,1))</f>
        <v/>
      </c>
      <c r="FE11" s="29" t="str">
        <f>IF(OR($B11="",$A11&lt;23),"",--MID('Key Analysis'!$C7,23,1))</f>
        <v/>
      </c>
      <c r="FF11" s="29" t="str">
        <f>IF(OR($B11="",$A11&lt;24),"",--MID('Key Analysis'!$C7,24,1))</f>
        <v/>
      </c>
      <c r="FG11" s="29" t="str">
        <f>IF(OR($B11="",$A11&lt;25),"",--MID('Key Analysis'!$C7,25,1))</f>
        <v/>
      </c>
      <c r="FH11" s="29" t="str">
        <f>IF(OR($B11="",$A11&lt;26),"",--MID('Key Analysis'!$C7,26,1))</f>
        <v/>
      </c>
      <c r="FI11" s="29" t="str">
        <f>IF(OR($B11="",$A11&lt;27),"",--MID('Key Analysis'!$C7,27,1))</f>
        <v/>
      </c>
      <c r="FJ11" s="29" t="str">
        <f>IF(OR($B11="",$A11&lt;28),"",--MID('Key Analysis'!$C7,28,1))</f>
        <v/>
      </c>
      <c r="FK11" s="29" t="str">
        <f>IF(OR($B11="",$A11&lt;29),"",--MID('Key Analysis'!$C7,29,1))</f>
        <v/>
      </c>
      <c r="FL11" s="29" t="str">
        <f>IF(OR($B11="",$A11&lt;30),"",--MID('Key Analysis'!$C7,30,1))</f>
        <v/>
      </c>
      <c r="FM11" s="29" t="str">
        <f>IF(OR($B11="",$A11&lt;31),"",--MID('Key Analysis'!$C7,31,1))</f>
        <v/>
      </c>
      <c r="FN11" s="29" t="str">
        <f>IF(OR($B11="",$A11&lt;32),"",--MID('Key Analysis'!$C7,32,1))</f>
        <v/>
      </c>
      <c r="FO11" s="29" t="str">
        <f>IF(OR($B11="",$A11&lt;33),"",--MID('Key Analysis'!$C7,33,1))</f>
        <v/>
      </c>
      <c r="FP11" s="29" t="str">
        <f>IF(OR($B11="",$A11&lt;34),"",--MID('Key Analysis'!$C7,34,1))</f>
        <v/>
      </c>
      <c r="FQ11" s="29" t="str">
        <f>IF(OR($B11="",$A11&lt;35),"",--MID('Key Analysis'!$C7,35,1))</f>
        <v/>
      </c>
      <c r="FR11" s="29" t="str">
        <f>IF(OR($B11="",$A11&lt;36),"",--MID('Key Analysis'!$C7,36,1))</f>
        <v/>
      </c>
      <c r="FS11" s="29" t="str">
        <f>IF(OR($B11="",$A11&lt;37),"",--MID('Key Analysis'!$C7,37,1))</f>
        <v/>
      </c>
      <c r="FT11" s="29" t="str">
        <f>IF(OR($B11="",$A11&lt;38),"",--MID('Key Analysis'!$C7,38,1))</f>
        <v/>
      </c>
      <c r="FU11" s="29" t="str">
        <f>IF(OR($B11="",$A11&lt;39),"",--MID('Key Analysis'!$C7,39,1))</f>
        <v/>
      </c>
      <c r="FV11" s="29" t="str">
        <f>IF(OR($B11="",$A11&lt;40),"",--MID('Key Analysis'!$C7,40,1))</f>
        <v/>
      </c>
      <c r="FW11" s="29" t="str">
        <f>IF(OR($B11="",$A11&lt;41),"",--MID('Key Analysis'!$C7,41,1))</f>
        <v/>
      </c>
      <c r="FX11" s="29" t="str">
        <f>IF(OR($B11="",$A11&lt;42),"",--MID('Key Analysis'!$C7,42,1))</f>
        <v/>
      </c>
      <c r="FY11" s="29" t="str">
        <f>IF(OR($B11="",$A11&lt;43),"",--MID('Key Analysis'!$C7,43,1))</f>
        <v/>
      </c>
      <c r="FZ11" s="29" t="str">
        <f>IF(OR($B11="",$A11&lt;44),"",--MID('Key Analysis'!$C7,44,1))</f>
        <v/>
      </c>
      <c r="GA11" s="29" t="str">
        <f>IF(OR($B11="",$A11&lt;45),"",--MID('Key Analysis'!$C7,45,1))</f>
        <v/>
      </c>
      <c r="GB11" s="29" t="str">
        <f>IF(OR($B11="",$A11&lt;46),"",--MID('Key Analysis'!$C7,46,1))</f>
        <v/>
      </c>
      <c r="GC11" s="29" t="str">
        <f>IF(OR($B11="",$A11&lt;47),"",--MID('Key Analysis'!$C7,47,1))</f>
        <v/>
      </c>
      <c r="GD11" s="29" t="str">
        <f>IF(OR($B11="",$A11&lt;48),"",--MID('Key Analysis'!$C7,48,1))</f>
        <v/>
      </c>
      <c r="GE11" s="29" t="str">
        <f>IF(OR($B11="",$A11&lt;49),"",--MID('Key Analysis'!$C7,49,1))</f>
        <v/>
      </c>
      <c r="GF11" s="29" t="str">
        <f>IF(OR($B11="",$A11&lt;50),"",--MID('Key Analysis'!$C7,50,1))</f>
        <v/>
      </c>
      <c r="GG11" s="29" t="str">
        <f>IF(OR($B11="",$A11&lt;51),"",--MID('Key Analysis'!$C7,51,1))</f>
        <v/>
      </c>
      <c r="GH11" s="29" t="str">
        <f>IF(OR($B11="",$A11&lt;52),"",--MID('Key Analysis'!$C7,52,1))</f>
        <v/>
      </c>
      <c r="GI11" s="29" t="str">
        <f>IF(OR($B11="",$A11&lt;53),"",--MID('Key Analysis'!$C7,53,1))</f>
        <v/>
      </c>
      <c r="GJ11" s="29" t="str">
        <f>IF(OR($B11="",$A11&lt;54),"",--MID('Key Analysis'!$C7,54,1))</f>
        <v/>
      </c>
      <c r="GK11" s="29" t="str">
        <f>IF(OR($B11="",$A11&lt;55),"",--MID('Key Analysis'!$C7,55,1))</f>
        <v/>
      </c>
      <c r="GL11" s="29" t="str">
        <f>IF(OR($B11="",$A11&lt;56),"",--MID('Key Analysis'!$C7,56,1))</f>
        <v/>
      </c>
      <c r="GM11" s="29" t="str">
        <f>IF(OR($B11="",$A11&lt;57),"",--MID('Key Analysis'!$C7,57,1))</f>
        <v/>
      </c>
      <c r="GN11" s="29" t="str">
        <f>IF(OR($B11="",$A11&lt;58),"",--MID('Key Analysis'!$C7,58,1))</f>
        <v/>
      </c>
      <c r="GO11" s="29" t="str">
        <f>IF(OR($B11="",$A11&lt;59),"",--MID('Key Analysis'!$C7,59,1))</f>
        <v/>
      </c>
      <c r="GP11" s="29" t="str">
        <f>IF(OR($B11="",$A11&lt;60),"",--MID('Key Analysis'!$C7,60,1))</f>
        <v/>
      </c>
      <c r="GQ11" s="29" t="str">
        <f>IF(OR($B11="",$A11&lt;61),"",--MID('Key Analysis'!$C7,61,1))</f>
        <v/>
      </c>
      <c r="GR11" s="29" t="str">
        <f>IF(OR($B11="",$A11&lt;62),"",--MID('Key Analysis'!$C7,62,1))</f>
        <v/>
      </c>
      <c r="GS11" s="29" t="str">
        <f>IF(OR($B11="",$A11&lt;63),"",--MID('Key Analysis'!$C7,63,1))</f>
        <v/>
      </c>
      <c r="GT11" s="29" t="str">
        <f>IF(OR($B11="",$A11&lt;64),"",--MID('Key Analysis'!$C7,64,1))</f>
        <v/>
      </c>
      <c r="GU11" s="29" t="str">
        <f>IF(OR($B11="",$A11&lt;65),"",--MID('Key Analysis'!$C7,65,1))</f>
        <v/>
      </c>
      <c r="GV11" s="29" t="str">
        <f>IF(OR($B11="",$A11&lt;66),"",--MID('Key Analysis'!$C7,66,1))</f>
        <v/>
      </c>
      <c r="GW11" s="29" t="str">
        <f>IF(OR($B11="",$A11&lt;67),"",--MID('Key Analysis'!$C7,67,1))</f>
        <v/>
      </c>
      <c r="GX11" s="29" t="str">
        <f>IF(OR($B11="",$A11&lt;68),"",--MID('Key Analysis'!$C7,68,1))</f>
        <v/>
      </c>
      <c r="GY11" s="29" t="str">
        <f>IF(OR($B11="",$A11&lt;69),"",--MID('Key Analysis'!$C7,69,1))</f>
        <v/>
      </c>
      <c r="GZ11" s="29" t="str">
        <f>IF(OR($B11="",$A11&lt;70),"",--MID('Key Analysis'!$C7,70,1))</f>
        <v/>
      </c>
      <c r="HA11" s="29" t="str">
        <f>IF(OR($B11="",$A11&lt;71),"",--MID('Key Analysis'!$C7,71,1))</f>
        <v/>
      </c>
      <c r="HB11" s="29" t="str">
        <f>IF(OR($B11="",$A11&lt;72),"",--MID('Key Analysis'!$C7,72,1))</f>
        <v/>
      </c>
      <c r="HC11" s="29" t="str">
        <f>IF(OR($B11="",$A11&lt;73),"",--MID('Key Analysis'!$C7,73,1))</f>
        <v/>
      </c>
      <c r="HD11" s="29" t="str">
        <f>IF(OR($B11="",$A11&lt;74),"",--MID('Key Analysis'!$C7,74,1))</f>
        <v/>
      </c>
      <c r="HE11" s="29" t="str">
        <f>IF(OR($B11="",$A11&lt;75),"",--MID('Key Analysis'!$C7,75,1))</f>
        <v/>
      </c>
      <c r="HF11" s="29" t="str">
        <f>IF(OR($B11="",$A11&lt;76),"",--MID('Key Analysis'!$C7,76,1))</f>
        <v/>
      </c>
      <c r="HG11" s="29" t="str">
        <f>IF(OR($B11="",$A11&lt;77),"",--MID('Key Analysis'!$C7,77,1))</f>
        <v/>
      </c>
      <c r="HH11" s="29" t="str">
        <f>IF(OR($B11="",$A11&lt;78),"",--MID('Key Analysis'!$C7,78,1))</f>
        <v/>
      </c>
      <c r="HI11" s="29" t="str">
        <f>IF(OR($B11="",$A11&lt;79),"",--MID('Key Analysis'!$C7,79,1))</f>
        <v/>
      </c>
      <c r="HJ11" s="29" t="str">
        <f>IF(OR($B11="",$A11&lt;80),"",--MID('Key Analysis'!$C7,80,1))</f>
        <v/>
      </c>
      <c r="HK11" s="29" t="str">
        <f>IF(OR($B11="",$A11&lt;81),"",--MID('Key Analysis'!$C7,81,1))</f>
        <v/>
      </c>
      <c r="HL11" s="29" t="str">
        <f>IF(OR($B11="",$A11&lt;82),"",--MID('Key Analysis'!$C7,82,1))</f>
        <v/>
      </c>
      <c r="HM11" s="29" t="str">
        <f>IF(OR($B11="",$A11&lt;83),"",--MID('Key Analysis'!$C7,83,1))</f>
        <v/>
      </c>
      <c r="HN11" s="29" t="str">
        <f>IF(OR($B11="",$A11&lt;84),"",--MID('Key Analysis'!$C7,84,1))</f>
        <v/>
      </c>
      <c r="HO11" s="29" t="str">
        <f>IF(OR($B11="",$A11&lt;85),"",--MID('Key Analysis'!$C7,85,1))</f>
        <v/>
      </c>
      <c r="HP11" s="29" t="str">
        <f>IF(OR($B11="",$A11&lt;86),"",--MID('Key Analysis'!$C7,86,1))</f>
        <v/>
      </c>
      <c r="HQ11" s="29" t="str">
        <f>IF(OR($B11="",$A11&lt;87),"",--MID('Key Analysis'!$C7,87,1))</f>
        <v/>
      </c>
      <c r="HR11" s="29" t="str">
        <f>IF(OR($B11="",$A11&lt;88),"",--MID('Key Analysis'!$C7,88,1))</f>
        <v/>
      </c>
      <c r="HS11" s="29" t="str">
        <f>IF(OR($B11="",$A11&lt;89),"",--MID('Key Analysis'!$C7,89,1))</f>
        <v/>
      </c>
      <c r="HT11" s="29" t="str">
        <f>IF(OR($B11="",$A11&lt;90),"",--MID('Key Analysis'!$C7,90,1))</f>
        <v/>
      </c>
      <c r="HU11" s="29" t="str">
        <f>IF(OR($B11="",$A11&lt;91),"",--MID('Key Analysis'!$C7,91,1))</f>
        <v/>
      </c>
      <c r="HV11" s="29" t="str">
        <f>IF(OR($B11="",$A11&lt;92),"",--MID('Key Analysis'!$C7,92,1))</f>
        <v/>
      </c>
      <c r="HW11" s="29" t="str">
        <f>IF(OR($B11="",$A11&lt;93),"",--MID('Key Analysis'!$C7,93,1))</f>
        <v/>
      </c>
      <c r="HX11" s="29" t="str">
        <f>IF(OR($B11="",$A11&lt;94),"",--MID('Key Analysis'!$C7,94,1))</f>
        <v/>
      </c>
      <c r="HY11" s="29" t="str">
        <f>IF(OR($B11="",$A11&lt;95),"",--MID('Key Analysis'!$C7,95,1))</f>
        <v/>
      </c>
      <c r="HZ11" s="29" t="str">
        <f>IF(OR($B11="",$A11&lt;96),"",--MID('Key Analysis'!$C7,96,1))</f>
        <v/>
      </c>
      <c r="IA11" s="29" t="str">
        <f>IF(OR($B11="",$A11&lt;97),"",--MID('Key Analysis'!$C7,97,1))</f>
        <v/>
      </c>
      <c r="IB11" s="29" t="str">
        <f>IF(OR($B11="",$A11&lt;98),"",--MID('Key Analysis'!$C7,98,1))</f>
        <v/>
      </c>
      <c r="IC11" s="29" t="str">
        <f>IF(OR($B11="",$A11&lt;99),"",--MID('Key Analysis'!$C7,99,1))</f>
        <v/>
      </c>
      <c r="ID11" s="29" t="str">
        <f>IF(OR($B11="",$A11&lt;100),"",--MID('Key Analysis'!$C7,100,1))</f>
        <v/>
      </c>
      <c r="IE11" s="29" t="str">
        <f>IF(OR($B11="",$A11&lt;101),"",--MID('Key Analysis'!$C7,101,1))</f>
        <v/>
      </c>
      <c r="IF11" s="29" t="str">
        <f>IF(OR($B11="",$A11&lt;102),"",--MID('Key Analysis'!$C7,102,1))</f>
        <v/>
      </c>
      <c r="IG11" s="29" t="str">
        <f>IF(OR($B11="",$A11&lt;103),"",--MID('Key Analysis'!$C7,103,1))</f>
        <v/>
      </c>
      <c r="IH11" s="29" t="str">
        <f>IF(OR($B11="",$A11&lt;104),"",--MID('Key Analysis'!$C7,104,1))</f>
        <v/>
      </c>
      <c r="II11" s="29" t="str">
        <f>IF(OR($B11="",$A11&lt;105),"",--MID('Key Analysis'!$C7,105,1))</f>
        <v/>
      </c>
      <c r="IJ11" s="29" t="str">
        <f>IF(OR($B11="",$A11&lt;106),"",--MID('Key Analysis'!$C7,106,1))</f>
        <v/>
      </c>
      <c r="IK11" s="29" t="str">
        <f>IF(OR($B11="",$A11&lt;107),"",--MID('Key Analysis'!$C7,107,1))</f>
        <v/>
      </c>
      <c r="IL11" s="29" t="str">
        <f>IF(OR($B11="",$A11&lt;108),"",--MID('Key Analysis'!$C7,108,1))</f>
        <v/>
      </c>
      <c r="IM11" s="29" t="str">
        <f>IF(OR($B11="",$A11&lt;109),"",--MID('Key Analysis'!$C7,109,1))</f>
        <v/>
      </c>
      <c r="IN11" s="29" t="str">
        <f>IF(OR($B11="",$A11&lt;110),"",--MID('Key Analysis'!$C7,110,1))</f>
        <v/>
      </c>
      <c r="IO11" s="29" t="str">
        <f>IF(OR($B11="",$A11&lt;111),"",--MID('Key Analysis'!$C7,111,1))</f>
        <v/>
      </c>
      <c r="IP11" s="29" t="str">
        <f>IF(OR($B11="",$A11&lt;112),"",--MID('Key Analysis'!$C7,112,1))</f>
        <v/>
      </c>
      <c r="IQ11" s="29" t="str">
        <f>IF(OR($B11="",$A11&lt;113),"",--MID('Key Analysis'!$C7,113,1))</f>
        <v/>
      </c>
      <c r="IR11" s="29" t="str">
        <f>IF(OR($B11="",$A11&lt;114),"",--MID('Key Analysis'!$C7,114,1))</f>
        <v/>
      </c>
      <c r="IS11" s="29" t="str">
        <f>IF(OR($B11="",$A11&lt;115),"",--MID('Key Analysis'!$C7,115,1))</f>
        <v/>
      </c>
      <c r="IT11" s="29" t="str">
        <f>IF(OR($B11="",$A11&lt;116),"",--MID('Key Analysis'!$C7,116,1))</f>
        <v/>
      </c>
      <c r="IU11" s="29" t="str">
        <f>IF(OR($B11="",$A11&lt;117),"",--MID('Key Analysis'!$C7,117,1))</f>
        <v/>
      </c>
      <c r="IV11" s="29" t="str">
        <f>IF(OR($B11="",$A11&lt;118),"",--MID('Key Analysis'!$C7,118,1))</f>
        <v/>
      </c>
      <c r="IW11" s="29" t="str">
        <f>IF(OR($B11="",$A11&lt;119),"",--MID('Key Analysis'!$C7,119,1))</f>
        <v/>
      </c>
      <c r="IX11" s="29" t="str">
        <f>IF(OR($B11="",$A11&lt;120),"",--MID('Key Analysis'!$C7,120,1))</f>
        <v/>
      </c>
      <c r="IY11" s="29" t="str">
        <f>IF(OR($B11="",$A11&lt;121),"",--MID('Key Analysis'!$C7,121,1))</f>
        <v/>
      </c>
      <c r="IZ11" s="29" t="str">
        <f>IF(OR($B11="",$A11&lt;122),"",--MID('Key Analysis'!$C7,122,1))</f>
        <v/>
      </c>
      <c r="JA11" s="29" t="str">
        <f>IF(OR($B11="",$A11&lt;123),"",--MID('Key Analysis'!$C7,123,1))</f>
        <v/>
      </c>
      <c r="JB11" s="29" t="str">
        <f>IF(OR($B11="",$A11&lt;124),"",--MID('Key Analysis'!$C7,124,1))</f>
        <v/>
      </c>
      <c r="JC11" s="29" t="str">
        <f>IF(OR($B11="",$A11&lt;125),"",--MID('Key Analysis'!$C7,125,1))</f>
        <v/>
      </c>
      <c r="JD11" s="29" t="str">
        <f>IF(OR($B11="",$A11&lt;126),"",--MID('Key Analysis'!$C7,126,1))</f>
        <v/>
      </c>
      <c r="JE11" s="29" t="str">
        <f>IF(OR($B11="",$A11&lt;127),"",--MID('Key Analysis'!$C7,127,1))</f>
        <v/>
      </c>
      <c r="JF11" s="29" t="str">
        <f>IF(OR($B11="",$A11&lt;128),"",--MID('Key Analysis'!$C7,128,1))</f>
        <v/>
      </c>
      <c r="JG11" s="29" t="str">
        <f>IF(OR($B11="",$A11&lt;129),"",--MID('Key Analysis'!$C7,129,1))</f>
        <v/>
      </c>
      <c r="JH11" s="29" t="str">
        <f>IF(OR($B11="",$A11&lt;130),"",--MID('Key Analysis'!$C7,130,1))</f>
        <v/>
      </c>
      <c r="JI11" s="29" t="str">
        <f>IF(OR($B11="",$A11&lt;131),"",--MID('Key Analysis'!$C7,131,1))</f>
        <v/>
      </c>
      <c r="JJ11" s="29" t="str">
        <f>IF(OR($B11="",$A11&lt;132),"",--MID('Key Analysis'!$C7,132,1))</f>
        <v/>
      </c>
      <c r="JK11" s="29" t="str">
        <f>IF(OR($B11="",$A11&lt;133),"",--MID('Key Analysis'!$C7,133,1))</f>
        <v/>
      </c>
      <c r="JL11" s="29" t="str">
        <f>IF(OR($B11="",$A11&lt;134),"",--MID('Key Analysis'!$C7,134,1))</f>
        <v/>
      </c>
      <c r="JM11" s="29" t="str">
        <f>IF(OR($B11="",$A11&lt;135),"",--MID('Key Analysis'!$C7,135,1))</f>
        <v/>
      </c>
    </row>
    <row r="12" spans="1:273" x14ac:dyDescent="0.25">
      <c r="A12" s="21">
        <f>'Key Analysis'!A8</f>
        <v>7</v>
      </c>
      <c r="B12" s="30" t="str">
        <f>'Key Analysis'!B8</f>
        <v>4c</v>
      </c>
      <c r="C12" s="29">
        <f>IF(OR($B12="",$A12&lt;=0),"",--MID('Key Analysis'!$C8,$A12-0,1))</f>
        <v>0</v>
      </c>
      <c r="D12" s="29">
        <f>IF(OR($B12="",$A12&lt;=1),"",--MID('Key Analysis'!$C8,$A12-1,1))</f>
        <v>0</v>
      </c>
      <c r="E12" s="29">
        <f>IF(OR($B12="",$A12&lt;=2),"",--MID('Key Analysis'!$C8,$A12-2,1))</f>
        <v>1</v>
      </c>
      <c r="F12" s="29">
        <f>IF(OR($B12="",$A12&lt;=3),"",--MID('Key Analysis'!$C8,$A12-3,1))</f>
        <v>1</v>
      </c>
      <c r="G12" s="29">
        <f>IF(OR($B12="",$A12&lt;=4),"",--MID('Key Analysis'!$C8,$A12-4,1))</f>
        <v>0</v>
      </c>
      <c r="H12" s="29">
        <f>IF(OR($B12="",$A12&lt;=5),"",--MID('Key Analysis'!$C8,$A12-5,1))</f>
        <v>0</v>
      </c>
      <c r="I12" s="29">
        <f>IF(OR($B12="",$A12&lt;=6),"",--MID('Key Analysis'!$C8,$A12-6,1))</f>
        <v>1</v>
      </c>
      <c r="J12" s="29" t="str">
        <f>IF(OR($B12="",$A12&lt;=7),"",--MID('Key Analysis'!$C8,$A12-7,1))</f>
        <v/>
      </c>
      <c r="K12" s="29" t="str">
        <f>IF(OR($B12="",$A12&lt;=8),"",--MID('Key Analysis'!$C8,$A12-8,1))</f>
        <v/>
      </c>
      <c r="L12" s="29" t="str">
        <f>IF(OR($B12="",$A12&lt;=9),"",--MID('Key Analysis'!$C8,$A12-9,1))</f>
        <v/>
      </c>
      <c r="M12" s="29" t="str">
        <f>IF(OR($B12="",$A12&lt;=10),"",--MID('Key Analysis'!$C8,$A12-10,1))</f>
        <v/>
      </c>
      <c r="N12" s="29" t="str">
        <f>IF(OR($B12="",$A12&lt;=11),"",--MID('Key Analysis'!$C8,$A12-11,1))</f>
        <v/>
      </c>
      <c r="O12" s="29" t="str">
        <f>IF(OR($B12="",$A12&lt;=12),"",--MID('Key Analysis'!$C8,$A12-12,1))</f>
        <v/>
      </c>
      <c r="P12" s="29" t="str">
        <f>IF(OR($B12="",$A12&lt;=13),"",--MID('Key Analysis'!$C8,$A12-13,1))</f>
        <v/>
      </c>
      <c r="Q12" s="29" t="str">
        <f>IF(OR($B12="",$A12&lt;=14),"",--MID('Key Analysis'!$C8,$A12-14,1))</f>
        <v/>
      </c>
      <c r="R12" s="29" t="str">
        <f>IF(OR($B12="",$A12&lt;=15),"",--MID('Key Analysis'!$C8,$A12-15,1))</f>
        <v/>
      </c>
      <c r="S12" s="29" t="str">
        <f>IF(OR($B12="",$A12&lt;=16),"",--MID('Key Analysis'!$C8,$A12-16,1))</f>
        <v/>
      </c>
      <c r="T12" s="29" t="str">
        <f>IF(OR($B12="",$A12&lt;=17),"",--MID('Key Analysis'!$C8,$A12-17,1))</f>
        <v/>
      </c>
      <c r="U12" s="29" t="str">
        <f>IF(OR($B12="",$A12&lt;=18),"",--MID('Key Analysis'!$C8,$A12-18,1))</f>
        <v/>
      </c>
      <c r="V12" s="29" t="str">
        <f>IF(OR($B12="",$A12&lt;=19),"",--MID('Key Analysis'!$C8,$A12-19,1))</f>
        <v/>
      </c>
      <c r="W12" s="29" t="str">
        <f>IF(OR($B12="",$A12&lt;=20),"",--MID('Key Analysis'!$C8,$A12-20,1))</f>
        <v/>
      </c>
      <c r="X12" s="29" t="str">
        <f>IF(OR($B12="",$A12&lt;=21),"",--MID('Key Analysis'!$C8,$A12-21,1))</f>
        <v/>
      </c>
      <c r="Y12" s="29" t="str">
        <f>IF(OR($B12="",$A12&lt;=22),"",--MID('Key Analysis'!$C8,$A12-22,1))</f>
        <v/>
      </c>
      <c r="Z12" s="29" t="str">
        <f>IF(OR($B12="",$A12&lt;=23),"",--MID('Key Analysis'!$C8,$A12-23,1))</f>
        <v/>
      </c>
      <c r="AA12" s="29" t="str">
        <f>IF(OR($B12="",$A12&lt;=24),"",--MID('Key Analysis'!$C8,$A12-24,1))</f>
        <v/>
      </c>
      <c r="AB12" s="29" t="str">
        <f>IF(OR($B12="",$A12&lt;=25),"",--MID('Key Analysis'!$C8,$A12-25,1))</f>
        <v/>
      </c>
      <c r="AC12" s="29" t="str">
        <f>IF(OR($B12="",$A12&lt;=26),"",--MID('Key Analysis'!$C8,$A12-26,1))</f>
        <v/>
      </c>
      <c r="AD12" s="29" t="str">
        <f>IF(OR($B12="",$A12&lt;=27),"",--MID('Key Analysis'!$C8,$A12-27,1))</f>
        <v/>
      </c>
      <c r="AE12" s="29" t="str">
        <f>IF(OR($B12="",$A12&lt;=28),"",--MID('Key Analysis'!$C8,$A12-28,1))</f>
        <v/>
      </c>
      <c r="AF12" s="29" t="str">
        <f>IF(OR($B12="",$A12&lt;=29),"",--MID('Key Analysis'!$C8,$A12-29,1))</f>
        <v/>
      </c>
      <c r="AG12" s="29" t="str">
        <f>IF(OR($B12="",$A12&lt;=30),"",--MID('Key Analysis'!$C8,$A12-30,1))</f>
        <v/>
      </c>
      <c r="AH12" s="29" t="str">
        <f>IF(OR($B12="",$A12&lt;=31),"",--MID('Key Analysis'!$C8,$A12-31,1))</f>
        <v/>
      </c>
      <c r="AI12" s="29" t="str">
        <f>IF(OR($B12="",$A12&lt;=32),"",--MID('Key Analysis'!$C8,$A12-32,1))</f>
        <v/>
      </c>
      <c r="AJ12" s="29" t="str">
        <f>IF(OR($B12="",$A12&lt;=33),"",--MID('Key Analysis'!$C8,$A12-33,1))</f>
        <v/>
      </c>
      <c r="AK12" s="29" t="str">
        <f>IF(OR($B12="",$A12&lt;=34),"",--MID('Key Analysis'!$C8,$A12-34,1))</f>
        <v/>
      </c>
      <c r="AL12" s="29" t="str">
        <f>IF(OR($B12="",$A12&lt;=35),"",--MID('Key Analysis'!$C8,$A12-35,1))</f>
        <v/>
      </c>
      <c r="AM12" s="29" t="str">
        <f>IF(OR($B12="",$A12&lt;=36),"",--MID('Key Analysis'!$C8,$A12-36,1))</f>
        <v/>
      </c>
      <c r="AN12" s="29" t="str">
        <f>IF(OR($B12="",$A12&lt;=37),"",--MID('Key Analysis'!$C8,$A12-37,1))</f>
        <v/>
      </c>
      <c r="AO12" s="29" t="str">
        <f>IF(OR($B12="",$A12&lt;=38),"",--MID('Key Analysis'!$C8,$A12-38,1))</f>
        <v/>
      </c>
      <c r="AP12" s="29" t="str">
        <f>IF(OR($B12="",$A12&lt;=39),"",--MID('Key Analysis'!$C8,$A12-39,1))</f>
        <v/>
      </c>
      <c r="AQ12" s="29" t="str">
        <f>IF(OR($B12="",$A12&lt;=40),"",--MID('Key Analysis'!$C8,$A12-40,1))</f>
        <v/>
      </c>
      <c r="AR12" s="29" t="str">
        <f>IF(OR($B12="",$A12&lt;=41),"",--MID('Key Analysis'!$C8,$A12-41,1))</f>
        <v/>
      </c>
      <c r="AS12" s="29" t="str">
        <f>IF(OR($B12="",$A12&lt;=42),"",--MID('Key Analysis'!$C8,$A12-42,1))</f>
        <v/>
      </c>
      <c r="AT12" s="29" t="str">
        <f>IF(OR($B12="",$A12&lt;=43),"",--MID('Key Analysis'!$C8,$A12-43,1))</f>
        <v/>
      </c>
      <c r="AU12" s="29" t="str">
        <f>IF(OR($B12="",$A12&lt;=44),"",--MID('Key Analysis'!$C8,$A12-44,1))</f>
        <v/>
      </c>
      <c r="AV12" s="29" t="str">
        <f>IF(OR($B12="",$A12&lt;=45),"",--MID('Key Analysis'!$C8,$A12-45,1))</f>
        <v/>
      </c>
      <c r="AW12" s="29" t="str">
        <f>IF(OR($B12="",$A12&lt;=46),"",--MID('Key Analysis'!$C8,$A12-46,1))</f>
        <v/>
      </c>
      <c r="AX12" s="29" t="str">
        <f>IF(OR($B12="",$A12&lt;=47),"",--MID('Key Analysis'!$C8,$A12-47,1))</f>
        <v/>
      </c>
      <c r="AY12" s="29" t="str">
        <f>IF(OR($B12="",$A12&lt;=48),"",--MID('Key Analysis'!$C8,$A12-48,1))</f>
        <v/>
      </c>
      <c r="AZ12" s="29" t="str">
        <f>IF(OR($B12="",$A12&lt;=49),"",--MID('Key Analysis'!$C8,$A12-49,1))</f>
        <v/>
      </c>
      <c r="BA12" s="29" t="str">
        <f>IF(OR($B12="",$A12&lt;=50),"",--MID('Key Analysis'!$C8,$A12-50,1))</f>
        <v/>
      </c>
      <c r="BB12" s="29" t="str">
        <f>IF(OR($B12="",$A12&lt;=51),"",--MID('Key Analysis'!$C8,$A12-51,1))</f>
        <v/>
      </c>
      <c r="BC12" s="29" t="str">
        <f>IF(OR($B12="",$A12&lt;=52),"",--MID('Key Analysis'!$C8,$A12-52,1))</f>
        <v/>
      </c>
      <c r="BD12" s="29" t="str">
        <f>IF(OR($B12="",$A12&lt;=53),"",--MID('Key Analysis'!$C8,$A12-53,1))</f>
        <v/>
      </c>
      <c r="BE12" s="29" t="str">
        <f>IF(OR($B12="",$A12&lt;=54),"",--MID('Key Analysis'!$C8,$A12-54,1))</f>
        <v/>
      </c>
      <c r="BF12" s="29" t="str">
        <f>IF(OR($B12="",$A12&lt;=55),"",--MID('Key Analysis'!$C8,$A12-55,1))</f>
        <v/>
      </c>
      <c r="BG12" s="29" t="str">
        <f>IF(OR($B12="",$A12&lt;=56),"",--MID('Key Analysis'!$C8,$A12-56,1))</f>
        <v/>
      </c>
      <c r="BH12" s="29" t="str">
        <f>IF(OR($B12="",$A12&lt;=57),"",--MID('Key Analysis'!$C8,$A12-57,1))</f>
        <v/>
      </c>
      <c r="BI12" s="29" t="str">
        <f>IF(OR($B12="",$A12&lt;=58),"",--MID('Key Analysis'!$C8,$A12-58,1))</f>
        <v/>
      </c>
      <c r="BJ12" s="29" t="str">
        <f>IF(OR($B12="",$A12&lt;=59),"",--MID('Key Analysis'!$C8,$A12-59,1))</f>
        <v/>
      </c>
      <c r="BK12" s="29" t="str">
        <f>IF(OR($B12="",$A12&lt;=60),"",--MID('Key Analysis'!$C8,$A12-60,1))</f>
        <v/>
      </c>
      <c r="BL12" s="29" t="str">
        <f>IF(OR($B12="",$A12&lt;=61),"",--MID('Key Analysis'!$C8,$A12-61,1))</f>
        <v/>
      </c>
      <c r="BM12" s="29" t="str">
        <f>IF(OR($B12="",$A12&lt;=62),"",--MID('Key Analysis'!$C8,$A12-62,1))</f>
        <v/>
      </c>
      <c r="BN12" s="29" t="str">
        <f>IF(OR($B12="",$A12&lt;=63),"",--MID('Key Analysis'!$C8,$A12-63,1))</f>
        <v/>
      </c>
      <c r="BO12" s="29" t="str">
        <f>IF(OR($B12="",$A12&lt;=64),"",--MID('Key Analysis'!$C8,$A12-64,1))</f>
        <v/>
      </c>
      <c r="BP12" s="29" t="str">
        <f>IF(OR($B12="",$A12&lt;=65),"",--MID('Key Analysis'!$C8,$A12-65,1))</f>
        <v/>
      </c>
      <c r="BQ12" s="29" t="str">
        <f>IF(OR($B12="",$A12&lt;=66),"",--MID('Key Analysis'!$C8,$A12-66,1))</f>
        <v/>
      </c>
      <c r="BR12" s="29" t="str">
        <f>IF(OR($B12="",$A12&lt;=67),"",--MID('Key Analysis'!$C8,$A12-67,1))</f>
        <v/>
      </c>
      <c r="BS12" s="29" t="str">
        <f>IF(OR($B12="",$A12&lt;=68),"",--MID('Key Analysis'!$C8,$A12-68,1))</f>
        <v/>
      </c>
      <c r="BT12" s="29" t="str">
        <f>IF(OR($B12="",$A12&lt;=69),"",--MID('Key Analysis'!$C8,$A12-69,1))</f>
        <v/>
      </c>
      <c r="BU12" s="29" t="str">
        <f>IF(OR($B12="",$A12&lt;=70),"",--MID('Key Analysis'!$C8,$A12-70,1))</f>
        <v/>
      </c>
      <c r="BV12" s="29" t="str">
        <f>IF(OR($B12="",$A12&lt;=71),"",--MID('Key Analysis'!$C8,$A12-71,1))</f>
        <v/>
      </c>
      <c r="BW12" s="29" t="str">
        <f>IF(OR($B12="",$A12&lt;=72),"",--MID('Key Analysis'!$C8,$A12-72,1))</f>
        <v/>
      </c>
      <c r="BX12" s="29" t="str">
        <f>IF(OR($B12="",$A12&lt;=73),"",--MID('Key Analysis'!$C8,$A12-73,1))</f>
        <v/>
      </c>
      <c r="BY12" s="29" t="str">
        <f>IF(OR($B12="",$A12&lt;=74),"",--MID('Key Analysis'!$C8,$A12-74,1))</f>
        <v/>
      </c>
      <c r="BZ12" s="29" t="str">
        <f>IF(OR($B12="",$A12&lt;=75),"",--MID('Key Analysis'!$C8,$A12-75,1))</f>
        <v/>
      </c>
      <c r="CA12" s="29" t="str">
        <f>IF(OR($B12="",$A12&lt;=76),"",--MID('Key Analysis'!$C8,$A12-76,1))</f>
        <v/>
      </c>
      <c r="CB12" s="29" t="str">
        <f>IF(OR($B12="",$A12&lt;=77),"",--MID('Key Analysis'!$C8,$A12-77,1))</f>
        <v/>
      </c>
      <c r="CC12" s="29" t="str">
        <f>IF(OR($B12="",$A12&lt;=78),"",--MID('Key Analysis'!$C8,$A12-78,1))</f>
        <v/>
      </c>
      <c r="CD12" s="29" t="str">
        <f>IF(OR($B12="",$A12&lt;=79),"",--MID('Key Analysis'!$C8,$A12-79,1))</f>
        <v/>
      </c>
      <c r="CE12" s="29" t="str">
        <f>IF(OR($B12="",$A12&lt;=80),"",--MID('Key Analysis'!$C8,$A12-80,1))</f>
        <v/>
      </c>
      <c r="CF12" s="29" t="str">
        <f>IF(OR($B12="",$A12&lt;=81),"",--MID('Key Analysis'!$C8,$A12-81,1))</f>
        <v/>
      </c>
      <c r="CG12" s="29" t="str">
        <f>IF(OR($B12="",$A12&lt;=82),"",--MID('Key Analysis'!$C8,$A12-82,1))</f>
        <v/>
      </c>
      <c r="CH12" s="29" t="str">
        <f>IF(OR($B12="",$A12&lt;=83),"",--MID('Key Analysis'!$C8,$A12-83,1))</f>
        <v/>
      </c>
      <c r="CI12" s="29" t="str">
        <f>IF(OR($B12="",$A12&lt;=84),"",--MID('Key Analysis'!$C8,$A12-84,1))</f>
        <v/>
      </c>
      <c r="CJ12" s="29" t="str">
        <f>IF(OR($B12="",$A12&lt;=85),"",--MID('Key Analysis'!$C8,$A12-85,1))</f>
        <v/>
      </c>
      <c r="CK12" s="29" t="str">
        <f>IF(OR($B12="",$A12&lt;=86),"",--MID('Key Analysis'!$C8,$A12-86,1))</f>
        <v/>
      </c>
      <c r="CL12" s="29" t="str">
        <f>IF(OR($B12="",$A12&lt;=87),"",--MID('Key Analysis'!$C8,$A12-87,1))</f>
        <v/>
      </c>
      <c r="CM12" s="29" t="str">
        <f>IF(OR($B12="",$A12&lt;=88),"",--MID('Key Analysis'!$C8,$A12-88,1))</f>
        <v/>
      </c>
      <c r="CN12" s="29" t="str">
        <f>IF(OR($B12="",$A12&lt;=89),"",--MID('Key Analysis'!$C8,$A12-89,1))</f>
        <v/>
      </c>
      <c r="CO12" s="29" t="str">
        <f>IF(OR($B12="",$A12&lt;=90),"",--MID('Key Analysis'!$C8,$A12-90,1))</f>
        <v/>
      </c>
      <c r="CP12" s="29" t="str">
        <f>IF(OR($B12="",$A12&lt;=91),"",--MID('Key Analysis'!$C8,$A12-91,1))</f>
        <v/>
      </c>
      <c r="CQ12" s="29" t="str">
        <f>IF(OR($B12="",$A12&lt;=92),"",--MID('Key Analysis'!$C8,$A12-92,1))</f>
        <v/>
      </c>
      <c r="CR12" s="29" t="str">
        <f>IF(OR($B12="",$A12&lt;=93),"",--MID('Key Analysis'!$C8,$A12-93,1))</f>
        <v/>
      </c>
      <c r="CS12" s="29" t="str">
        <f>IF(OR($B12="",$A12&lt;=94),"",--MID('Key Analysis'!$C8,$A12-94,1))</f>
        <v/>
      </c>
      <c r="CT12" s="29" t="str">
        <f>IF(OR($B12="",$A12&lt;=95),"",--MID('Key Analysis'!$C8,$A12-95,1))</f>
        <v/>
      </c>
      <c r="CU12" s="29" t="str">
        <f>IF(OR($B12="",$A12&lt;=96),"",--MID('Key Analysis'!$C8,$A12-96,1))</f>
        <v/>
      </c>
      <c r="CV12" s="29" t="str">
        <f>IF(OR($B12="",$A12&lt;=97),"",--MID('Key Analysis'!$C8,$A12-97,1))</f>
        <v/>
      </c>
      <c r="CW12" s="29" t="str">
        <f>IF(OR($B12="",$A12&lt;=98),"",--MID('Key Analysis'!$C8,$A12-98,1))</f>
        <v/>
      </c>
      <c r="CX12" s="29" t="str">
        <f>IF(OR($B12="",$A12&lt;=99),"",--MID('Key Analysis'!$C8,$A12-99,1))</f>
        <v/>
      </c>
      <c r="CY12" s="29" t="str">
        <f>IF(OR($B12="",$A12&lt;=100),"",--MID('Key Analysis'!$C8,$A12-100,1))</f>
        <v/>
      </c>
      <c r="CZ12" s="29" t="str">
        <f>IF(OR($B12="",$A12&lt;=101),"",--MID('Key Analysis'!$C8,$A12-101,1))</f>
        <v/>
      </c>
      <c r="DA12" s="29" t="str">
        <f>IF(OR($B12="",$A12&lt;=102),"",--MID('Key Analysis'!$C8,$A12-102,1))</f>
        <v/>
      </c>
      <c r="DB12" s="29" t="str">
        <f>IF(OR($B12="",$A12&lt;=103),"",--MID('Key Analysis'!$C8,$A12-103,1))</f>
        <v/>
      </c>
      <c r="DC12" s="29" t="str">
        <f>IF(OR($B12="",$A12&lt;=104),"",--MID('Key Analysis'!$C8,$A12-104,1))</f>
        <v/>
      </c>
      <c r="DD12" s="29" t="str">
        <f>IF(OR($B12="",$A12&lt;=105),"",--MID('Key Analysis'!$C8,$A12-105,1))</f>
        <v/>
      </c>
      <c r="DE12" s="29" t="str">
        <f>IF(OR($B12="",$A12&lt;=106),"",--MID('Key Analysis'!$C8,$A12-106,1))</f>
        <v/>
      </c>
      <c r="DF12" s="29" t="str">
        <f>IF(OR($B12="",$A12&lt;=107),"",--MID('Key Analysis'!$C8,$A12-107,1))</f>
        <v/>
      </c>
      <c r="DG12" s="29" t="str">
        <f>IF(OR($B12="",$A12&lt;=108),"",--MID('Key Analysis'!$C8,$A12-108,1))</f>
        <v/>
      </c>
      <c r="DH12" s="29" t="str">
        <f>IF(OR($B12="",$A12&lt;=109),"",--MID('Key Analysis'!$C8,$A12-109,1))</f>
        <v/>
      </c>
      <c r="DI12" s="29" t="str">
        <f>IF(OR($B12="",$A12&lt;=110),"",--MID('Key Analysis'!$C8,$A12-110,1))</f>
        <v/>
      </c>
      <c r="DJ12" s="29" t="str">
        <f>IF(OR($B12="",$A12&lt;=111),"",--MID('Key Analysis'!$C8,$A12-111,1))</f>
        <v/>
      </c>
      <c r="DK12" s="29" t="str">
        <f>IF(OR($B12="",$A12&lt;=112),"",--MID('Key Analysis'!$C8,$A12-112,1))</f>
        <v/>
      </c>
      <c r="DL12" s="29" t="str">
        <f>IF(OR($B12="",$A12&lt;=113),"",--MID('Key Analysis'!$C8,$A12-113,1))</f>
        <v/>
      </c>
      <c r="DM12" s="29" t="str">
        <f>IF(OR($B12="",$A12&lt;=114),"",--MID('Key Analysis'!$C8,$A12-114,1))</f>
        <v/>
      </c>
      <c r="DN12" s="29" t="str">
        <f>IF(OR($B12="",$A12&lt;=115),"",--MID('Key Analysis'!$C8,$A12-115,1))</f>
        <v/>
      </c>
      <c r="DO12" s="29" t="str">
        <f>IF(OR($B12="",$A12&lt;=116),"",--MID('Key Analysis'!$C8,$A12-116,1))</f>
        <v/>
      </c>
      <c r="DP12" s="29" t="str">
        <f>IF(OR($B12="",$A12&lt;=117),"",--MID('Key Analysis'!$C8,$A12-117,1))</f>
        <v/>
      </c>
      <c r="DQ12" s="29" t="str">
        <f>IF(OR($B12="",$A12&lt;=118),"",--MID('Key Analysis'!$C8,$A12-118,1))</f>
        <v/>
      </c>
      <c r="DR12" s="29" t="str">
        <f>IF(OR($B12="",$A12&lt;=119),"",--MID('Key Analysis'!$C8,$A12-119,1))</f>
        <v/>
      </c>
      <c r="DS12" s="29" t="str">
        <f>IF(OR($B12="",$A12&lt;=120),"",--MID('Key Analysis'!$C8,$A12-120,1))</f>
        <v/>
      </c>
      <c r="DT12" s="29" t="str">
        <f>IF(OR($B12="",$A12&lt;=121),"",--MID('Key Analysis'!$C8,$A12-121,1))</f>
        <v/>
      </c>
      <c r="DU12" s="29" t="str">
        <f>IF(OR($B12="",$A12&lt;=122),"",--MID('Key Analysis'!$C8,$A12-122,1))</f>
        <v/>
      </c>
      <c r="DV12" s="29" t="str">
        <f>IF(OR($B12="",$A12&lt;=123),"",--MID('Key Analysis'!$C8,$A12-123,1))</f>
        <v/>
      </c>
      <c r="DW12" s="29" t="str">
        <f>IF(OR($B12="",$A12&lt;=124),"",--MID('Key Analysis'!$C8,$A12-124,1))</f>
        <v/>
      </c>
      <c r="DX12" s="29" t="str">
        <f>IF(OR($B12="",$A12&lt;=125),"",--MID('Key Analysis'!$C8,$A12-125,1))</f>
        <v/>
      </c>
      <c r="DY12" s="29" t="str">
        <f>IF(OR($B12="",$A12&lt;=126),"",--MID('Key Analysis'!$C8,$A12-126,1))</f>
        <v/>
      </c>
      <c r="DZ12" s="29" t="str">
        <f>IF(OR($B12="",$A12&lt;=127),"",--MID('Key Analysis'!$C8,$A12-127,1))</f>
        <v/>
      </c>
      <c r="EA12" s="29" t="str">
        <f>IF(OR($B12="",$A12&lt;=128),"",--MID('Key Analysis'!$C8,$A12-128,1))</f>
        <v/>
      </c>
      <c r="EB12" s="29" t="str">
        <f>IF(OR($B12="",$A12&lt;=129),"",--MID('Key Analysis'!$C8,$A12-129,1))</f>
        <v/>
      </c>
      <c r="EC12" s="29" t="str">
        <f>IF(OR($B12="",$A12&lt;=130),"",--MID('Key Analysis'!$C8,$A12-130,1))</f>
        <v/>
      </c>
      <c r="ED12" s="29" t="str">
        <f>IF(OR($B12="",$A12&lt;=131),"",--MID('Key Analysis'!$C8,$A12-131,1))</f>
        <v/>
      </c>
      <c r="EE12" s="29" t="str">
        <f>IF(OR($B12="",$A12&lt;=132),"",--MID('Key Analysis'!$C8,$A12-132,1))</f>
        <v/>
      </c>
      <c r="EF12" s="29" t="str">
        <f>IF(OR($B12="",$A12&lt;=133),"",--MID('Key Analysis'!$C8,$A12-133,1))</f>
        <v/>
      </c>
      <c r="EG12" s="29" t="str">
        <f>IF(OR($B12="",$A12&lt;=134),"",--MID('Key Analysis'!$C8,$A12-134,1))</f>
        <v/>
      </c>
      <c r="EH12" s="29"/>
      <c r="EI12" s="29">
        <f>IF(OR($B12="",$A12&lt;1),"",--MID('Key Analysis'!$C8,1,1))</f>
        <v>1</v>
      </c>
      <c r="EJ12" s="29">
        <f>IF(OR($B12="",$A12&lt;2),"",--MID('Key Analysis'!$C8,2,1))</f>
        <v>0</v>
      </c>
      <c r="EK12" s="29">
        <f>IF(OR($B12="",$A12&lt;3),"",--MID('Key Analysis'!$C8,3,1))</f>
        <v>0</v>
      </c>
      <c r="EL12" s="29">
        <f>IF(OR($B12="",$A12&lt;4),"",--MID('Key Analysis'!$C8,4,1))</f>
        <v>1</v>
      </c>
      <c r="EM12" s="29">
        <f>IF(OR($B12="",$A12&lt;5),"",--MID('Key Analysis'!$C8,5,1))</f>
        <v>1</v>
      </c>
      <c r="EN12" s="29">
        <f>IF(OR($B12="",$A12&lt;6),"",--MID('Key Analysis'!$C8,6,1))</f>
        <v>0</v>
      </c>
      <c r="EO12" s="29">
        <f>IF(OR($B12="",$A12&lt;7),"",--MID('Key Analysis'!$C8,7,1))</f>
        <v>0</v>
      </c>
      <c r="EP12" s="29" t="str">
        <f>IF(OR($B12="",$A12&lt;8),"",--MID('Key Analysis'!$C8,8,1))</f>
        <v/>
      </c>
      <c r="EQ12" s="29" t="str">
        <f>IF(OR($B12="",$A12&lt;9),"",--MID('Key Analysis'!$C8,9,1))</f>
        <v/>
      </c>
      <c r="ER12" s="29" t="str">
        <f>IF(OR($B12="",$A12&lt;10),"",--MID('Key Analysis'!$C8,10,1))</f>
        <v/>
      </c>
      <c r="ES12" s="29" t="str">
        <f>IF(OR($B12="",$A12&lt;11),"",--MID('Key Analysis'!$C8,11,1))</f>
        <v/>
      </c>
      <c r="ET12" s="29" t="str">
        <f>IF(OR($B12="",$A12&lt;12),"",--MID('Key Analysis'!$C8,12,1))</f>
        <v/>
      </c>
      <c r="EU12" s="29" t="str">
        <f>IF(OR($B12="",$A12&lt;13),"",--MID('Key Analysis'!$C8,13,1))</f>
        <v/>
      </c>
      <c r="EV12" s="29" t="str">
        <f>IF(OR($B12="",$A12&lt;14),"",--MID('Key Analysis'!$C8,14,1))</f>
        <v/>
      </c>
      <c r="EW12" s="29" t="str">
        <f>IF(OR($B12="",$A12&lt;15),"",--MID('Key Analysis'!$C8,15,1))</f>
        <v/>
      </c>
      <c r="EX12" s="29" t="str">
        <f>IF(OR($B12="",$A12&lt;16),"",--MID('Key Analysis'!$C8,16,1))</f>
        <v/>
      </c>
      <c r="EY12" s="29" t="str">
        <f>IF(OR($B12="",$A12&lt;17),"",--MID('Key Analysis'!$C8,17,1))</f>
        <v/>
      </c>
      <c r="EZ12" s="29" t="str">
        <f>IF(OR($B12="",$A12&lt;18),"",--MID('Key Analysis'!$C8,18,1))</f>
        <v/>
      </c>
      <c r="FA12" s="29" t="str">
        <f>IF(OR($B12="",$A12&lt;19),"",--MID('Key Analysis'!$C8,19,1))</f>
        <v/>
      </c>
      <c r="FB12" s="29" t="str">
        <f>IF(OR($B12="",$A12&lt;20),"",--MID('Key Analysis'!$C8,20,1))</f>
        <v/>
      </c>
      <c r="FC12" s="29" t="str">
        <f>IF(OR($B12="",$A12&lt;21),"",--MID('Key Analysis'!$C8,21,1))</f>
        <v/>
      </c>
      <c r="FD12" s="29" t="str">
        <f>IF(OR($B12="",$A12&lt;22),"",--MID('Key Analysis'!$C8,22,1))</f>
        <v/>
      </c>
      <c r="FE12" s="29" t="str">
        <f>IF(OR($B12="",$A12&lt;23),"",--MID('Key Analysis'!$C8,23,1))</f>
        <v/>
      </c>
      <c r="FF12" s="29" t="str">
        <f>IF(OR($B12="",$A12&lt;24),"",--MID('Key Analysis'!$C8,24,1))</f>
        <v/>
      </c>
      <c r="FG12" s="29" t="str">
        <f>IF(OR($B12="",$A12&lt;25),"",--MID('Key Analysis'!$C8,25,1))</f>
        <v/>
      </c>
      <c r="FH12" s="29" t="str">
        <f>IF(OR($B12="",$A12&lt;26),"",--MID('Key Analysis'!$C8,26,1))</f>
        <v/>
      </c>
      <c r="FI12" s="29" t="str">
        <f>IF(OR($B12="",$A12&lt;27),"",--MID('Key Analysis'!$C8,27,1))</f>
        <v/>
      </c>
      <c r="FJ12" s="29" t="str">
        <f>IF(OR($B12="",$A12&lt;28),"",--MID('Key Analysis'!$C8,28,1))</f>
        <v/>
      </c>
      <c r="FK12" s="29" t="str">
        <f>IF(OR($B12="",$A12&lt;29),"",--MID('Key Analysis'!$C8,29,1))</f>
        <v/>
      </c>
      <c r="FL12" s="29" t="str">
        <f>IF(OR($B12="",$A12&lt;30),"",--MID('Key Analysis'!$C8,30,1))</f>
        <v/>
      </c>
      <c r="FM12" s="29" t="str">
        <f>IF(OR($B12="",$A12&lt;31),"",--MID('Key Analysis'!$C8,31,1))</f>
        <v/>
      </c>
      <c r="FN12" s="29" t="str">
        <f>IF(OR($B12="",$A12&lt;32),"",--MID('Key Analysis'!$C8,32,1))</f>
        <v/>
      </c>
      <c r="FO12" s="29" t="str">
        <f>IF(OR($B12="",$A12&lt;33),"",--MID('Key Analysis'!$C8,33,1))</f>
        <v/>
      </c>
      <c r="FP12" s="29" t="str">
        <f>IF(OR($B12="",$A12&lt;34),"",--MID('Key Analysis'!$C8,34,1))</f>
        <v/>
      </c>
      <c r="FQ12" s="29" t="str">
        <f>IF(OR($B12="",$A12&lt;35),"",--MID('Key Analysis'!$C8,35,1))</f>
        <v/>
      </c>
      <c r="FR12" s="29" t="str">
        <f>IF(OR($B12="",$A12&lt;36),"",--MID('Key Analysis'!$C8,36,1))</f>
        <v/>
      </c>
      <c r="FS12" s="29" t="str">
        <f>IF(OR($B12="",$A12&lt;37),"",--MID('Key Analysis'!$C8,37,1))</f>
        <v/>
      </c>
      <c r="FT12" s="29" t="str">
        <f>IF(OR($B12="",$A12&lt;38),"",--MID('Key Analysis'!$C8,38,1))</f>
        <v/>
      </c>
      <c r="FU12" s="29" t="str">
        <f>IF(OR($B12="",$A12&lt;39),"",--MID('Key Analysis'!$C8,39,1))</f>
        <v/>
      </c>
      <c r="FV12" s="29" t="str">
        <f>IF(OR($B12="",$A12&lt;40),"",--MID('Key Analysis'!$C8,40,1))</f>
        <v/>
      </c>
      <c r="FW12" s="29" t="str">
        <f>IF(OR($B12="",$A12&lt;41),"",--MID('Key Analysis'!$C8,41,1))</f>
        <v/>
      </c>
      <c r="FX12" s="29" t="str">
        <f>IF(OR($B12="",$A12&lt;42),"",--MID('Key Analysis'!$C8,42,1))</f>
        <v/>
      </c>
      <c r="FY12" s="29" t="str">
        <f>IF(OR($B12="",$A12&lt;43),"",--MID('Key Analysis'!$C8,43,1))</f>
        <v/>
      </c>
      <c r="FZ12" s="29" t="str">
        <f>IF(OR($B12="",$A12&lt;44),"",--MID('Key Analysis'!$C8,44,1))</f>
        <v/>
      </c>
      <c r="GA12" s="29" t="str">
        <f>IF(OR($B12="",$A12&lt;45),"",--MID('Key Analysis'!$C8,45,1))</f>
        <v/>
      </c>
      <c r="GB12" s="29" t="str">
        <f>IF(OR($B12="",$A12&lt;46),"",--MID('Key Analysis'!$C8,46,1))</f>
        <v/>
      </c>
      <c r="GC12" s="29" t="str">
        <f>IF(OR($B12="",$A12&lt;47),"",--MID('Key Analysis'!$C8,47,1))</f>
        <v/>
      </c>
      <c r="GD12" s="29" t="str">
        <f>IF(OR($B12="",$A12&lt;48),"",--MID('Key Analysis'!$C8,48,1))</f>
        <v/>
      </c>
      <c r="GE12" s="29" t="str">
        <f>IF(OR($B12="",$A12&lt;49),"",--MID('Key Analysis'!$C8,49,1))</f>
        <v/>
      </c>
      <c r="GF12" s="29" t="str">
        <f>IF(OR($B12="",$A12&lt;50),"",--MID('Key Analysis'!$C8,50,1))</f>
        <v/>
      </c>
      <c r="GG12" s="29" t="str">
        <f>IF(OR($B12="",$A12&lt;51),"",--MID('Key Analysis'!$C8,51,1))</f>
        <v/>
      </c>
      <c r="GH12" s="29" t="str">
        <f>IF(OR($B12="",$A12&lt;52),"",--MID('Key Analysis'!$C8,52,1))</f>
        <v/>
      </c>
      <c r="GI12" s="29" t="str">
        <f>IF(OR($B12="",$A12&lt;53),"",--MID('Key Analysis'!$C8,53,1))</f>
        <v/>
      </c>
      <c r="GJ12" s="29" t="str">
        <f>IF(OR($B12="",$A12&lt;54),"",--MID('Key Analysis'!$C8,54,1))</f>
        <v/>
      </c>
      <c r="GK12" s="29" t="str">
        <f>IF(OR($B12="",$A12&lt;55),"",--MID('Key Analysis'!$C8,55,1))</f>
        <v/>
      </c>
      <c r="GL12" s="29" t="str">
        <f>IF(OR($B12="",$A12&lt;56),"",--MID('Key Analysis'!$C8,56,1))</f>
        <v/>
      </c>
      <c r="GM12" s="29" t="str">
        <f>IF(OR($B12="",$A12&lt;57),"",--MID('Key Analysis'!$C8,57,1))</f>
        <v/>
      </c>
      <c r="GN12" s="29" t="str">
        <f>IF(OR($B12="",$A12&lt;58),"",--MID('Key Analysis'!$C8,58,1))</f>
        <v/>
      </c>
      <c r="GO12" s="29" t="str">
        <f>IF(OR($B12="",$A12&lt;59),"",--MID('Key Analysis'!$C8,59,1))</f>
        <v/>
      </c>
      <c r="GP12" s="29" t="str">
        <f>IF(OR($B12="",$A12&lt;60),"",--MID('Key Analysis'!$C8,60,1))</f>
        <v/>
      </c>
      <c r="GQ12" s="29" t="str">
        <f>IF(OR($B12="",$A12&lt;61),"",--MID('Key Analysis'!$C8,61,1))</f>
        <v/>
      </c>
      <c r="GR12" s="29" t="str">
        <f>IF(OR($B12="",$A12&lt;62),"",--MID('Key Analysis'!$C8,62,1))</f>
        <v/>
      </c>
      <c r="GS12" s="29" t="str">
        <f>IF(OR($B12="",$A12&lt;63),"",--MID('Key Analysis'!$C8,63,1))</f>
        <v/>
      </c>
      <c r="GT12" s="29" t="str">
        <f>IF(OR($B12="",$A12&lt;64),"",--MID('Key Analysis'!$C8,64,1))</f>
        <v/>
      </c>
      <c r="GU12" s="29" t="str">
        <f>IF(OR($B12="",$A12&lt;65),"",--MID('Key Analysis'!$C8,65,1))</f>
        <v/>
      </c>
      <c r="GV12" s="29" t="str">
        <f>IF(OR($B12="",$A12&lt;66),"",--MID('Key Analysis'!$C8,66,1))</f>
        <v/>
      </c>
      <c r="GW12" s="29" t="str">
        <f>IF(OR($B12="",$A12&lt;67),"",--MID('Key Analysis'!$C8,67,1))</f>
        <v/>
      </c>
      <c r="GX12" s="29" t="str">
        <f>IF(OR($B12="",$A12&lt;68),"",--MID('Key Analysis'!$C8,68,1))</f>
        <v/>
      </c>
      <c r="GY12" s="29" t="str">
        <f>IF(OR($B12="",$A12&lt;69),"",--MID('Key Analysis'!$C8,69,1))</f>
        <v/>
      </c>
      <c r="GZ12" s="29" t="str">
        <f>IF(OR($B12="",$A12&lt;70),"",--MID('Key Analysis'!$C8,70,1))</f>
        <v/>
      </c>
      <c r="HA12" s="29" t="str">
        <f>IF(OR($B12="",$A12&lt;71),"",--MID('Key Analysis'!$C8,71,1))</f>
        <v/>
      </c>
      <c r="HB12" s="29" t="str">
        <f>IF(OR($B12="",$A12&lt;72),"",--MID('Key Analysis'!$C8,72,1))</f>
        <v/>
      </c>
      <c r="HC12" s="29" t="str">
        <f>IF(OR($B12="",$A12&lt;73),"",--MID('Key Analysis'!$C8,73,1))</f>
        <v/>
      </c>
      <c r="HD12" s="29" t="str">
        <f>IF(OR($B12="",$A12&lt;74),"",--MID('Key Analysis'!$C8,74,1))</f>
        <v/>
      </c>
      <c r="HE12" s="29" t="str">
        <f>IF(OR($B12="",$A12&lt;75),"",--MID('Key Analysis'!$C8,75,1))</f>
        <v/>
      </c>
      <c r="HF12" s="29" t="str">
        <f>IF(OR($B12="",$A12&lt;76),"",--MID('Key Analysis'!$C8,76,1))</f>
        <v/>
      </c>
      <c r="HG12" s="29" t="str">
        <f>IF(OR($B12="",$A12&lt;77),"",--MID('Key Analysis'!$C8,77,1))</f>
        <v/>
      </c>
      <c r="HH12" s="29" t="str">
        <f>IF(OR($B12="",$A12&lt;78),"",--MID('Key Analysis'!$C8,78,1))</f>
        <v/>
      </c>
      <c r="HI12" s="29" t="str">
        <f>IF(OR($B12="",$A12&lt;79),"",--MID('Key Analysis'!$C8,79,1))</f>
        <v/>
      </c>
      <c r="HJ12" s="29" t="str">
        <f>IF(OR($B12="",$A12&lt;80),"",--MID('Key Analysis'!$C8,80,1))</f>
        <v/>
      </c>
      <c r="HK12" s="29" t="str">
        <f>IF(OR($B12="",$A12&lt;81),"",--MID('Key Analysis'!$C8,81,1))</f>
        <v/>
      </c>
      <c r="HL12" s="29" t="str">
        <f>IF(OR($B12="",$A12&lt;82),"",--MID('Key Analysis'!$C8,82,1))</f>
        <v/>
      </c>
      <c r="HM12" s="29" t="str">
        <f>IF(OR($B12="",$A12&lt;83),"",--MID('Key Analysis'!$C8,83,1))</f>
        <v/>
      </c>
      <c r="HN12" s="29" t="str">
        <f>IF(OR($B12="",$A12&lt;84),"",--MID('Key Analysis'!$C8,84,1))</f>
        <v/>
      </c>
      <c r="HO12" s="29" t="str">
        <f>IF(OR($B12="",$A12&lt;85),"",--MID('Key Analysis'!$C8,85,1))</f>
        <v/>
      </c>
      <c r="HP12" s="29" t="str">
        <f>IF(OR($B12="",$A12&lt;86),"",--MID('Key Analysis'!$C8,86,1))</f>
        <v/>
      </c>
      <c r="HQ12" s="29" t="str">
        <f>IF(OR($B12="",$A12&lt;87),"",--MID('Key Analysis'!$C8,87,1))</f>
        <v/>
      </c>
      <c r="HR12" s="29" t="str">
        <f>IF(OR($B12="",$A12&lt;88),"",--MID('Key Analysis'!$C8,88,1))</f>
        <v/>
      </c>
      <c r="HS12" s="29" t="str">
        <f>IF(OR($B12="",$A12&lt;89),"",--MID('Key Analysis'!$C8,89,1))</f>
        <v/>
      </c>
      <c r="HT12" s="29" t="str">
        <f>IF(OR($B12="",$A12&lt;90),"",--MID('Key Analysis'!$C8,90,1))</f>
        <v/>
      </c>
      <c r="HU12" s="29" t="str">
        <f>IF(OR($B12="",$A12&lt;91),"",--MID('Key Analysis'!$C8,91,1))</f>
        <v/>
      </c>
      <c r="HV12" s="29" t="str">
        <f>IF(OR($B12="",$A12&lt;92),"",--MID('Key Analysis'!$C8,92,1))</f>
        <v/>
      </c>
      <c r="HW12" s="29" t="str">
        <f>IF(OR($B12="",$A12&lt;93),"",--MID('Key Analysis'!$C8,93,1))</f>
        <v/>
      </c>
      <c r="HX12" s="29" t="str">
        <f>IF(OR($B12="",$A12&lt;94),"",--MID('Key Analysis'!$C8,94,1))</f>
        <v/>
      </c>
      <c r="HY12" s="29" t="str">
        <f>IF(OR($B12="",$A12&lt;95),"",--MID('Key Analysis'!$C8,95,1))</f>
        <v/>
      </c>
      <c r="HZ12" s="29" t="str">
        <f>IF(OR($B12="",$A12&lt;96),"",--MID('Key Analysis'!$C8,96,1))</f>
        <v/>
      </c>
      <c r="IA12" s="29" t="str">
        <f>IF(OR($B12="",$A12&lt;97),"",--MID('Key Analysis'!$C8,97,1))</f>
        <v/>
      </c>
      <c r="IB12" s="29" t="str">
        <f>IF(OR($B12="",$A12&lt;98),"",--MID('Key Analysis'!$C8,98,1))</f>
        <v/>
      </c>
      <c r="IC12" s="29" t="str">
        <f>IF(OR($B12="",$A12&lt;99),"",--MID('Key Analysis'!$C8,99,1))</f>
        <v/>
      </c>
      <c r="ID12" s="29" t="str">
        <f>IF(OR($B12="",$A12&lt;100),"",--MID('Key Analysis'!$C8,100,1))</f>
        <v/>
      </c>
      <c r="IE12" s="29" t="str">
        <f>IF(OR($B12="",$A12&lt;101),"",--MID('Key Analysis'!$C8,101,1))</f>
        <v/>
      </c>
      <c r="IF12" s="29" t="str">
        <f>IF(OR($B12="",$A12&lt;102),"",--MID('Key Analysis'!$C8,102,1))</f>
        <v/>
      </c>
      <c r="IG12" s="29" t="str">
        <f>IF(OR($B12="",$A12&lt;103),"",--MID('Key Analysis'!$C8,103,1))</f>
        <v/>
      </c>
      <c r="IH12" s="29" t="str">
        <f>IF(OR($B12="",$A12&lt;104),"",--MID('Key Analysis'!$C8,104,1))</f>
        <v/>
      </c>
      <c r="II12" s="29" t="str">
        <f>IF(OR($B12="",$A12&lt;105),"",--MID('Key Analysis'!$C8,105,1))</f>
        <v/>
      </c>
      <c r="IJ12" s="29" t="str">
        <f>IF(OR($B12="",$A12&lt;106),"",--MID('Key Analysis'!$C8,106,1))</f>
        <v/>
      </c>
      <c r="IK12" s="29" t="str">
        <f>IF(OR($B12="",$A12&lt;107),"",--MID('Key Analysis'!$C8,107,1))</f>
        <v/>
      </c>
      <c r="IL12" s="29" t="str">
        <f>IF(OR($B12="",$A12&lt;108),"",--MID('Key Analysis'!$C8,108,1))</f>
        <v/>
      </c>
      <c r="IM12" s="29" t="str">
        <f>IF(OR($B12="",$A12&lt;109),"",--MID('Key Analysis'!$C8,109,1))</f>
        <v/>
      </c>
      <c r="IN12" s="29" t="str">
        <f>IF(OR($B12="",$A12&lt;110),"",--MID('Key Analysis'!$C8,110,1))</f>
        <v/>
      </c>
      <c r="IO12" s="29" t="str">
        <f>IF(OR($B12="",$A12&lt;111),"",--MID('Key Analysis'!$C8,111,1))</f>
        <v/>
      </c>
      <c r="IP12" s="29" t="str">
        <f>IF(OR($B12="",$A12&lt;112),"",--MID('Key Analysis'!$C8,112,1))</f>
        <v/>
      </c>
      <c r="IQ12" s="29" t="str">
        <f>IF(OR($B12="",$A12&lt;113),"",--MID('Key Analysis'!$C8,113,1))</f>
        <v/>
      </c>
      <c r="IR12" s="29" t="str">
        <f>IF(OR($B12="",$A12&lt;114),"",--MID('Key Analysis'!$C8,114,1))</f>
        <v/>
      </c>
      <c r="IS12" s="29" t="str">
        <f>IF(OR($B12="",$A12&lt;115),"",--MID('Key Analysis'!$C8,115,1))</f>
        <v/>
      </c>
      <c r="IT12" s="29" t="str">
        <f>IF(OR($B12="",$A12&lt;116),"",--MID('Key Analysis'!$C8,116,1))</f>
        <v/>
      </c>
      <c r="IU12" s="29" t="str">
        <f>IF(OR($B12="",$A12&lt;117),"",--MID('Key Analysis'!$C8,117,1))</f>
        <v/>
      </c>
      <c r="IV12" s="29" t="str">
        <f>IF(OR($B12="",$A12&lt;118),"",--MID('Key Analysis'!$C8,118,1))</f>
        <v/>
      </c>
      <c r="IW12" s="29" t="str">
        <f>IF(OR($B12="",$A12&lt;119),"",--MID('Key Analysis'!$C8,119,1))</f>
        <v/>
      </c>
      <c r="IX12" s="29" t="str">
        <f>IF(OR($B12="",$A12&lt;120),"",--MID('Key Analysis'!$C8,120,1))</f>
        <v/>
      </c>
      <c r="IY12" s="29" t="str">
        <f>IF(OR($B12="",$A12&lt;121),"",--MID('Key Analysis'!$C8,121,1))</f>
        <v/>
      </c>
      <c r="IZ12" s="29" t="str">
        <f>IF(OR($B12="",$A12&lt;122),"",--MID('Key Analysis'!$C8,122,1))</f>
        <v/>
      </c>
      <c r="JA12" s="29" t="str">
        <f>IF(OR($B12="",$A12&lt;123),"",--MID('Key Analysis'!$C8,123,1))</f>
        <v/>
      </c>
      <c r="JB12" s="29" t="str">
        <f>IF(OR($B12="",$A12&lt;124),"",--MID('Key Analysis'!$C8,124,1))</f>
        <v/>
      </c>
      <c r="JC12" s="29" t="str">
        <f>IF(OR($B12="",$A12&lt;125),"",--MID('Key Analysis'!$C8,125,1))</f>
        <v/>
      </c>
      <c r="JD12" s="29" t="str">
        <f>IF(OR($B12="",$A12&lt;126),"",--MID('Key Analysis'!$C8,126,1))</f>
        <v/>
      </c>
      <c r="JE12" s="29" t="str">
        <f>IF(OR($B12="",$A12&lt;127),"",--MID('Key Analysis'!$C8,127,1))</f>
        <v/>
      </c>
      <c r="JF12" s="29" t="str">
        <f>IF(OR($B12="",$A12&lt;128),"",--MID('Key Analysis'!$C8,128,1))</f>
        <v/>
      </c>
      <c r="JG12" s="29" t="str">
        <f>IF(OR($B12="",$A12&lt;129),"",--MID('Key Analysis'!$C8,129,1))</f>
        <v/>
      </c>
      <c r="JH12" s="29" t="str">
        <f>IF(OR($B12="",$A12&lt;130),"",--MID('Key Analysis'!$C8,130,1))</f>
        <v/>
      </c>
      <c r="JI12" s="29" t="str">
        <f>IF(OR($B12="",$A12&lt;131),"",--MID('Key Analysis'!$C8,131,1))</f>
        <v/>
      </c>
      <c r="JJ12" s="29" t="str">
        <f>IF(OR($B12="",$A12&lt;132),"",--MID('Key Analysis'!$C8,132,1))</f>
        <v/>
      </c>
      <c r="JK12" s="29" t="str">
        <f>IF(OR($B12="",$A12&lt;133),"",--MID('Key Analysis'!$C8,133,1))</f>
        <v/>
      </c>
      <c r="JL12" s="29" t="str">
        <f>IF(OR($B12="",$A12&lt;134),"",--MID('Key Analysis'!$C8,134,1))</f>
        <v/>
      </c>
      <c r="JM12" s="29" t="str">
        <f>IF(OR($B12="",$A12&lt;135),"",--MID('Key Analysis'!$C8,135,1))</f>
        <v/>
      </c>
    </row>
    <row r="13" spans="1:273" x14ac:dyDescent="0.25">
      <c r="A13" s="21">
        <f>'Key Analysis'!A9</f>
        <v>8</v>
      </c>
      <c r="B13" s="30" t="str">
        <f>'Key Analysis'!B9</f>
        <v>e0</v>
      </c>
      <c r="C13" s="29">
        <f>IF(OR($B13="",$A13&lt;=0),"",--MID('Key Analysis'!$C9,$A13-0,1))</f>
        <v>0</v>
      </c>
      <c r="D13" s="29">
        <f>IF(OR($B13="",$A13&lt;=1),"",--MID('Key Analysis'!$C9,$A13-1,1))</f>
        <v>0</v>
      </c>
      <c r="E13" s="29">
        <f>IF(OR($B13="",$A13&lt;=2),"",--MID('Key Analysis'!$C9,$A13-2,1))</f>
        <v>0</v>
      </c>
      <c r="F13" s="29">
        <f>IF(OR($B13="",$A13&lt;=3),"",--MID('Key Analysis'!$C9,$A13-3,1))</f>
        <v>0</v>
      </c>
      <c r="G13" s="29">
        <f>IF(OR($B13="",$A13&lt;=4),"",--MID('Key Analysis'!$C9,$A13-4,1))</f>
        <v>0</v>
      </c>
      <c r="H13" s="29">
        <f>IF(OR($B13="",$A13&lt;=5),"",--MID('Key Analysis'!$C9,$A13-5,1))</f>
        <v>1</v>
      </c>
      <c r="I13" s="29">
        <f>IF(OR($B13="",$A13&lt;=6),"",--MID('Key Analysis'!$C9,$A13-6,1))</f>
        <v>1</v>
      </c>
      <c r="J13" s="29">
        <f>IF(OR($B13="",$A13&lt;=7),"",--MID('Key Analysis'!$C9,$A13-7,1))</f>
        <v>1</v>
      </c>
      <c r="K13" s="29" t="str">
        <f>IF(OR($B13="",$A13&lt;=8),"",--MID('Key Analysis'!$C9,$A13-8,1))</f>
        <v/>
      </c>
      <c r="L13" s="29" t="str">
        <f>IF(OR($B13="",$A13&lt;=9),"",--MID('Key Analysis'!$C9,$A13-9,1))</f>
        <v/>
      </c>
      <c r="M13" s="29" t="str">
        <f>IF(OR($B13="",$A13&lt;=10),"",--MID('Key Analysis'!$C9,$A13-10,1))</f>
        <v/>
      </c>
      <c r="N13" s="29" t="str">
        <f>IF(OR($B13="",$A13&lt;=11),"",--MID('Key Analysis'!$C9,$A13-11,1))</f>
        <v/>
      </c>
      <c r="O13" s="29" t="str">
        <f>IF(OR($B13="",$A13&lt;=12),"",--MID('Key Analysis'!$C9,$A13-12,1))</f>
        <v/>
      </c>
      <c r="P13" s="29" t="str">
        <f>IF(OR($B13="",$A13&lt;=13),"",--MID('Key Analysis'!$C9,$A13-13,1))</f>
        <v/>
      </c>
      <c r="Q13" s="29" t="str">
        <f>IF(OR($B13="",$A13&lt;=14),"",--MID('Key Analysis'!$C9,$A13-14,1))</f>
        <v/>
      </c>
      <c r="R13" s="29" t="str">
        <f>IF(OR($B13="",$A13&lt;=15),"",--MID('Key Analysis'!$C9,$A13-15,1))</f>
        <v/>
      </c>
      <c r="S13" s="29" t="str">
        <f>IF(OR($B13="",$A13&lt;=16),"",--MID('Key Analysis'!$C9,$A13-16,1))</f>
        <v/>
      </c>
      <c r="T13" s="29" t="str">
        <f>IF(OR($B13="",$A13&lt;=17),"",--MID('Key Analysis'!$C9,$A13-17,1))</f>
        <v/>
      </c>
      <c r="U13" s="29" t="str">
        <f>IF(OR($B13="",$A13&lt;=18),"",--MID('Key Analysis'!$C9,$A13-18,1))</f>
        <v/>
      </c>
      <c r="V13" s="29" t="str">
        <f>IF(OR($B13="",$A13&lt;=19),"",--MID('Key Analysis'!$C9,$A13-19,1))</f>
        <v/>
      </c>
      <c r="W13" s="29" t="str">
        <f>IF(OR($B13="",$A13&lt;=20),"",--MID('Key Analysis'!$C9,$A13-20,1))</f>
        <v/>
      </c>
      <c r="X13" s="29" t="str">
        <f>IF(OR($B13="",$A13&lt;=21),"",--MID('Key Analysis'!$C9,$A13-21,1))</f>
        <v/>
      </c>
      <c r="Y13" s="29" t="str">
        <f>IF(OR($B13="",$A13&lt;=22),"",--MID('Key Analysis'!$C9,$A13-22,1))</f>
        <v/>
      </c>
      <c r="Z13" s="29" t="str">
        <f>IF(OR($B13="",$A13&lt;=23),"",--MID('Key Analysis'!$C9,$A13-23,1))</f>
        <v/>
      </c>
      <c r="AA13" s="29" t="str">
        <f>IF(OR($B13="",$A13&lt;=24),"",--MID('Key Analysis'!$C9,$A13-24,1))</f>
        <v/>
      </c>
      <c r="AB13" s="29" t="str">
        <f>IF(OR($B13="",$A13&lt;=25),"",--MID('Key Analysis'!$C9,$A13-25,1))</f>
        <v/>
      </c>
      <c r="AC13" s="29" t="str">
        <f>IF(OR($B13="",$A13&lt;=26),"",--MID('Key Analysis'!$C9,$A13-26,1))</f>
        <v/>
      </c>
      <c r="AD13" s="29" t="str">
        <f>IF(OR($B13="",$A13&lt;=27),"",--MID('Key Analysis'!$C9,$A13-27,1))</f>
        <v/>
      </c>
      <c r="AE13" s="29" t="str">
        <f>IF(OR($B13="",$A13&lt;=28),"",--MID('Key Analysis'!$C9,$A13-28,1))</f>
        <v/>
      </c>
      <c r="AF13" s="29" t="str">
        <f>IF(OR($B13="",$A13&lt;=29),"",--MID('Key Analysis'!$C9,$A13-29,1))</f>
        <v/>
      </c>
      <c r="AG13" s="29" t="str">
        <f>IF(OR($B13="",$A13&lt;=30),"",--MID('Key Analysis'!$C9,$A13-30,1))</f>
        <v/>
      </c>
      <c r="AH13" s="29" t="str">
        <f>IF(OR($B13="",$A13&lt;=31),"",--MID('Key Analysis'!$C9,$A13-31,1))</f>
        <v/>
      </c>
      <c r="AI13" s="29" t="str">
        <f>IF(OR($B13="",$A13&lt;=32),"",--MID('Key Analysis'!$C9,$A13-32,1))</f>
        <v/>
      </c>
      <c r="AJ13" s="29" t="str">
        <f>IF(OR($B13="",$A13&lt;=33),"",--MID('Key Analysis'!$C9,$A13-33,1))</f>
        <v/>
      </c>
      <c r="AK13" s="29" t="str">
        <f>IF(OR($B13="",$A13&lt;=34),"",--MID('Key Analysis'!$C9,$A13-34,1))</f>
        <v/>
      </c>
      <c r="AL13" s="29" t="str">
        <f>IF(OR($B13="",$A13&lt;=35),"",--MID('Key Analysis'!$C9,$A13-35,1))</f>
        <v/>
      </c>
      <c r="AM13" s="29" t="str">
        <f>IF(OR($B13="",$A13&lt;=36),"",--MID('Key Analysis'!$C9,$A13-36,1))</f>
        <v/>
      </c>
      <c r="AN13" s="29" t="str">
        <f>IF(OR($B13="",$A13&lt;=37),"",--MID('Key Analysis'!$C9,$A13-37,1))</f>
        <v/>
      </c>
      <c r="AO13" s="29" t="str">
        <f>IF(OR($B13="",$A13&lt;=38),"",--MID('Key Analysis'!$C9,$A13-38,1))</f>
        <v/>
      </c>
      <c r="AP13" s="29" t="str">
        <f>IF(OR($B13="",$A13&lt;=39),"",--MID('Key Analysis'!$C9,$A13-39,1))</f>
        <v/>
      </c>
      <c r="AQ13" s="29" t="str">
        <f>IF(OR($B13="",$A13&lt;=40),"",--MID('Key Analysis'!$C9,$A13-40,1))</f>
        <v/>
      </c>
      <c r="AR13" s="29" t="str">
        <f>IF(OR($B13="",$A13&lt;=41),"",--MID('Key Analysis'!$C9,$A13-41,1))</f>
        <v/>
      </c>
      <c r="AS13" s="29" t="str">
        <f>IF(OR($B13="",$A13&lt;=42),"",--MID('Key Analysis'!$C9,$A13-42,1))</f>
        <v/>
      </c>
      <c r="AT13" s="29" t="str">
        <f>IF(OR($B13="",$A13&lt;=43),"",--MID('Key Analysis'!$C9,$A13-43,1))</f>
        <v/>
      </c>
      <c r="AU13" s="29" t="str">
        <f>IF(OR($B13="",$A13&lt;=44),"",--MID('Key Analysis'!$C9,$A13-44,1))</f>
        <v/>
      </c>
      <c r="AV13" s="29" t="str">
        <f>IF(OR($B13="",$A13&lt;=45),"",--MID('Key Analysis'!$C9,$A13-45,1))</f>
        <v/>
      </c>
      <c r="AW13" s="29" t="str">
        <f>IF(OR($B13="",$A13&lt;=46),"",--MID('Key Analysis'!$C9,$A13-46,1))</f>
        <v/>
      </c>
      <c r="AX13" s="29" t="str">
        <f>IF(OR($B13="",$A13&lt;=47),"",--MID('Key Analysis'!$C9,$A13-47,1))</f>
        <v/>
      </c>
      <c r="AY13" s="29" t="str">
        <f>IF(OR($B13="",$A13&lt;=48),"",--MID('Key Analysis'!$C9,$A13-48,1))</f>
        <v/>
      </c>
      <c r="AZ13" s="29" t="str">
        <f>IF(OR($B13="",$A13&lt;=49),"",--MID('Key Analysis'!$C9,$A13-49,1))</f>
        <v/>
      </c>
      <c r="BA13" s="29" t="str">
        <f>IF(OR($B13="",$A13&lt;=50),"",--MID('Key Analysis'!$C9,$A13-50,1))</f>
        <v/>
      </c>
      <c r="BB13" s="29" t="str">
        <f>IF(OR($B13="",$A13&lt;=51),"",--MID('Key Analysis'!$C9,$A13-51,1))</f>
        <v/>
      </c>
      <c r="BC13" s="29" t="str">
        <f>IF(OR($B13="",$A13&lt;=52),"",--MID('Key Analysis'!$C9,$A13-52,1))</f>
        <v/>
      </c>
      <c r="BD13" s="29" t="str">
        <f>IF(OR($B13="",$A13&lt;=53),"",--MID('Key Analysis'!$C9,$A13-53,1))</f>
        <v/>
      </c>
      <c r="BE13" s="29" t="str">
        <f>IF(OR($B13="",$A13&lt;=54),"",--MID('Key Analysis'!$C9,$A13-54,1))</f>
        <v/>
      </c>
      <c r="BF13" s="29" t="str">
        <f>IF(OR($B13="",$A13&lt;=55),"",--MID('Key Analysis'!$C9,$A13-55,1))</f>
        <v/>
      </c>
      <c r="BG13" s="29" t="str">
        <f>IF(OR($B13="",$A13&lt;=56),"",--MID('Key Analysis'!$C9,$A13-56,1))</f>
        <v/>
      </c>
      <c r="BH13" s="29" t="str">
        <f>IF(OR($B13="",$A13&lt;=57),"",--MID('Key Analysis'!$C9,$A13-57,1))</f>
        <v/>
      </c>
      <c r="BI13" s="29" t="str">
        <f>IF(OR($B13="",$A13&lt;=58),"",--MID('Key Analysis'!$C9,$A13-58,1))</f>
        <v/>
      </c>
      <c r="BJ13" s="29" t="str">
        <f>IF(OR($B13="",$A13&lt;=59),"",--MID('Key Analysis'!$C9,$A13-59,1))</f>
        <v/>
      </c>
      <c r="BK13" s="29" t="str">
        <f>IF(OR($B13="",$A13&lt;=60),"",--MID('Key Analysis'!$C9,$A13-60,1))</f>
        <v/>
      </c>
      <c r="BL13" s="29" t="str">
        <f>IF(OR($B13="",$A13&lt;=61),"",--MID('Key Analysis'!$C9,$A13-61,1))</f>
        <v/>
      </c>
      <c r="BM13" s="29" t="str">
        <f>IF(OR($B13="",$A13&lt;=62),"",--MID('Key Analysis'!$C9,$A13-62,1))</f>
        <v/>
      </c>
      <c r="BN13" s="29" t="str">
        <f>IF(OR($B13="",$A13&lt;=63),"",--MID('Key Analysis'!$C9,$A13-63,1))</f>
        <v/>
      </c>
      <c r="BO13" s="29" t="str">
        <f>IF(OR($B13="",$A13&lt;=64),"",--MID('Key Analysis'!$C9,$A13-64,1))</f>
        <v/>
      </c>
      <c r="BP13" s="29" t="str">
        <f>IF(OR($B13="",$A13&lt;=65),"",--MID('Key Analysis'!$C9,$A13-65,1))</f>
        <v/>
      </c>
      <c r="BQ13" s="29" t="str">
        <f>IF(OR($B13="",$A13&lt;=66),"",--MID('Key Analysis'!$C9,$A13-66,1))</f>
        <v/>
      </c>
      <c r="BR13" s="29" t="str">
        <f>IF(OR($B13="",$A13&lt;=67),"",--MID('Key Analysis'!$C9,$A13-67,1))</f>
        <v/>
      </c>
      <c r="BS13" s="29" t="str">
        <f>IF(OR($B13="",$A13&lt;=68),"",--MID('Key Analysis'!$C9,$A13-68,1))</f>
        <v/>
      </c>
      <c r="BT13" s="29" t="str">
        <f>IF(OR($B13="",$A13&lt;=69),"",--MID('Key Analysis'!$C9,$A13-69,1))</f>
        <v/>
      </c>
      <c r="BU13" s="29" t="str">
        <f>IF(OR($B13="",$A13&lt;=70),"",--MID('Key Analysis'!$C9,$A13-70,1))</f>
        <v/>
      </c>
      <c r="BV13" s="29" t="str">
        <f>IF(OR($B13="",$A13&lt;=71),"",--MID('Key Analysis'!$C9,$A13-71,1))</f>
        <v/>
      </c>
      <c r="BW13" s="29" t="str">
        <f>IF(OR($B13="",$A13&lt;=72),"",--MID('Key Analysis'!$C9,$A13-72,1))</f>
        <v/>
      </c>
      <c r="BX13" s="29" t="str">
        <f>IF(OR($B13="",$A13&lt;=73),"",--MID('Key Analysis'!$C9,$A13-73,1))</f>
        <v/>
      </c>
      <c r="BY13" s="29" t="str">
        <f>IF(OR($B13="",$A13&lt;=74),"",--MID('Key Analysis'!$C9,$A13-74,1))</f>
        <v/>
      </c>
      <c r="BZ13" s="29" t="str">
        <f>IF(OR($B13="",$A13&lt;=75),"",--MID('Key Analysis'!$C9,$A13-75,1))</f>
        <v/>
      </c>
      <c r="CA13" s="29" t="str">
        <f>IF(OR($B13="",$A13&lt;=76),"",--MID('Key Analysis'!$C9,$A13-76,1))</f>
        <v/>
      </c>
      <c r="CB13" s="29" t="str">
        <f>IF(OR($B13="",$A13&lt;=77),"",--MID('Key Analysis'!$C9,$A13-77,1))</f>
        <v/>
      </c>
      <c r="CC13" s="29" t="str">
        <f>IF(OR($B13="",$A13&lt;=78),"",--MID('Key Analysis'!$C9,$A13-78,1))</f>
        <v/>
      </c>
      <c r="CD13" s="29" t="str">
        <f>IF(OR($B13="",$A13&lt;=79),"",--MID('Key Analysis'!$C9,$A13-79,1))</f>
        <v/>
      </c>
      <c r="CE13" s="29" t="str">
        <f>IF(OR($B13="",$A13&lt;=80),"",--MID('Key Analysis'!$C9,$A13-80,1))</f>
        <v/>
      </c>
      <c r="CF13" s="29" t="str">
        <f>IF(OR($B13="",$A13&lt;=81),"",--MID('Key Analysis'!$C9,$A13-81,1))</f>
        <v/>
      </c>
      <c r="CG13" s="29" t="str">
        <f>IF(OR($B13="",$A13&lt;=82),"",--MID('Key Analysis'!$C9,$A13-82,1))</f>
        <v/>
      </c>
      <c r="CH13" s="29" t="str">
        <f>IF(OR($B13="",$A13&lt;=83),"",--MID('Key Analysis'!$C9,$A13-83,1))</f>
        <v/>
      </c>
      <c r="CI13" s="29" t="str">
        <f>IF(OR($B13="",$A13&lt;=84),"",--MID('Key Analysis'!$C9,$A13-84,1))</f>
        <v/>
      </c>
      <c r="CJ13" s="29" t="str">
        <f>IF(OR($B13="",$A13&lt;=85),"",--MID('Key Analysis'!$C9,$A13-85,1))</f>
        <v/>
      </c>
      <c r="CK13" s="29" t="str">
        <f>IF(OR($B13="",$A13&lt;=86),"",--MID('Key Analysis'!$C9,$A13-86,1))</f>
        <v/>
      </c>
      <c r="CL13" s="29" t="str">
        <f>IF(OR($B13="",$A13&lt;=87),"",--MID('Key Analysis'!$C9,$A13-87,1))</f>
        <v/>
      </c>
      <c r="CM13" s="29" t="str">
        <f>IF(OR($B13="",$A13&lt;=88),"",--MID('Key Analysis'!$C9,$A13-88,1))</f>
        <v/>
      </c>
      <c r="CN13" s="29" t="str">
        <f>IF(OR($B13="",$A13&lt;=89),"",--MID('Key Analysis'!$C9,$A13-89,1))</f>
        <v/>
      </c>
      <c r="CO13" s="29" t="str">
        <f>IF(OR($B13="",$A13&lt;=90),"",--MID('Key Analysis'!$C9,$A13-90,1))</f>
        <v/>
      </c>
      <c r="CP13" s="29" t="str">
        <f>IF(OR($B13="",$A13&lt;=91),"",--MID('Key Analysis'!$C9,$A13-91,1))</f>
        <v/>
      </c>
      <c r="CQ13" s="29" t="str">
        <f>IF(OR($B13="",$A13&lt;=92),"",--MID('Key Analysis'!$C9,$A13-92,1))</f>
        <v/>
      </c>
      <c r="CR13" s="29" t="str">
        <f>IF(OR($B13="",$A13&lt;=93),"",--MID('Key Analysis'!$C9,$A13-93,1))</f>
        <v/>
      </c>
      <c r="CS13" s="29" t="str">
        <f>IF(OR($B13="",$A13&lt;=94),"",--MID('Key Analysis'!$C9,$A13-94,1))</f>
        <v/>
      </c>
      <c r="CT13" s="29" t="str">
        <f>IF(OR($B13="",$A13&lt;=95),"",--MID('Key Analysis'!$C9,$A13-95,1))</f>
        <v/>
      </c>
      <c r="CU13" s="29" t="str">
        <f>IF(OR($B13="",$A13&lt;=96),"",--MID('Key Analysis'!$C9,$A13-96,1))</f>
        <v/>
      </c>
      <c r="CV13" s="29" t="str">
        <f>IF(OR($B13="",$A13&lt;=97),"",--MID('Key Analysis'!$C9,$A13-97,1))</f>
        <v/>
      </c>
      <c r="CW13" s="29" t="str">
        <f>IF(OR($B13="",$A13&lt;=98),"",--MID('Key Analysis'!$C9,$A13-98,1))</f>
        <v/>
      </c>
      <c r="CX13" s="29" t="str">
        <f>IF(OR($B13="",$A13&lt;=99),"",--MID('Key Analysis'!$C9,$A13-99,1))</f>
        <v/>
      </c>
      <c r="CY13" s="29" t="str">
        <f>IF(OR($B13="",$A13&lt;=100),"",--MID('Key Analysis'!$C9,$A13-100,1))</f>
        <v/>
      </c>
      <c r="CZ13" s="29" t="str">
        <f>IF(OR($B13="",$A13&lt;=101),"",--MID('Key Analysis'!$C9,$A13-101,1))</f>
        <v/>
      </c>
      <c r="DA13" s="29" t="str">
        <f>IF(OR($B13="",$A13&lt;=102),"",--MID('Key Analysis'!$C9,$A13-102,1))</f>
        <v/>
      </c>
      <c r="DB13" s="29" t="str">
        <f>IF(OR($B13="",$A13&lt;=103),"",--MID('Key Analysis'!$C9,$A13-103,1))</f>
        <v/>
      </c>
      <c r="DC13" s="29" t="str">
        <f>IF(OR($B13="",$A13&lt;=104),"",--MID('Key Analysis'!$C9,$A13-104,1))</f>
        <v/>
      </c>
      <c r="DD13" s="29" t="str">
        <f>IF(OR($B13="",$A13&lt;=105),"",--MID('Key Analysis'!$C9,$A13-105,1))</f>
        <v/>
      </c>
      <c r="DE13" s="29" t="str">
        <f>IF(OR($B13="",$A13&lt;=106),"",--MID('Key Analysis'!$C9,$A13-106,1))</f>
        <v/>
      </c>
      <c r="DF13" s="29" t="str">
        <f>IF(OR($B13="",$A13&lt;=107),"",--MID('Key Analysis'!$C9,$A13-107,1))</f>
        <v/>
      </c>
      <c r="DG13" s="29" t="str">
        <f>IF(OR($B13="",$A13&lt;=108),"",--MID('Key Analysis'!$C9,$A13-108,1))</f>
        <v/>
      </c>
      <c r="DH13" s="29" t="str">
        <f>IF(OR($B13="",$A13&lt;=109),"",--MID('Key Analysis'!$C9,$A13-109,1))</f>
        <v/>
      </c>
      <c r="DI13" s="29" t="str">
        <f>IF(OR($B13="",$A13&lt;=110),"",--MID('Key Analysis'!$C9,$A13-110,1))</f>
        <v/>
      </c>
      <c r="DJ13" s="29" t="str">
        <f>IF(OR($B13="",$A13&lt;=111),"",--MID('Key Analysis'!$C9,$A13-111,1))</f>
        <v/>
      </c>
      <c r="DK13" s="29" t="str">
        <f>IF(OR($B13="",$A13&lt;=112),"",--MID('Key Analysis'!$C9,$A13-112,1))</f>
        <v/>
      </c>
      <c r="DL13" s="29" t="str">
        <f>IF(OR($B13="",$A13&lt;=113),"",--MID('Key Analysis'!$C9,$A13-113,1))</f>
        <v/>
      </c>
      <c r="DM13" s="29" t="str">
        <f>IF(OR($B13="",$A13&lt;=114),"",--MID('Key Analysis'!$C9,$A13-114,1))</f>
        <v/>
      </c>
      <c r="DN13" s="29" t="str">
        <f>IF(OR($B13="",$A13&lt;=115),"",--MID('Key Analysis'!$C9,$A13-115,1))</f>
        <v/>
      </c>
      <c r="DO13" s="29" t="str">
        <f>IF(OR($B13="",$A13&lt;=116),"",--MID('Key Analysis'!$C9,$A13-116,1))</f>
        <v/>
      </c>
      <c r="DP13" s="29" t="str">
        <f>IF(OR($B13="",$A13&lt;=117),"",--MID('Key Analysis'!$C9,$A13-117,1))</f>
        <v/>
      </c>
      <c r="DQ13" s="29" t="str">
        <f>IF(OR($B13="",$A13&lt;=118),"",--MID('Key Analysis'!$C9,$A13-118,1))</f>
        <v/>
      </c>
      <c r="DR13" s="29" t="str">
        <f>IF(OR($B13="",$A13&lt;=119),"",--MID('Key Analysis'!$C9,$A13-119,1))</f>
        <v/>
      </c>
      <c r="DS13" s="29" t="str">
        <f>IF(OR($B13="",$A13&lt;=120),"",--MID('Key Analysis'!$C9,$A13-120,1))</f>
        <v/>
      </c>
      <c r="DT13" s="29" t="str">
        <f>IF(OR($B13="",$A13&lt;=121),"",--MID('Key Analysis'!$C9,$A13-121,1))</f>
        <v/>
      </c>
      <c r="DU13" s="29" t="str">
        <f>IF(OR($B13="",$A13&lt;=122),"",--MID('Key Analysis'!$C9,$A13-122,1))</f>
        <v/>
      </c>
      <c r="DV13" s="29" t="str">
        <f>IF(OR($B13="",$A13&lt;=123),"",--MID('Key Analysis'!$C9,$A13-123,1))</f>
        <v/>
      </c>
      <c r="DW13" s="29" t="str">
        <f>IF(OR($B13="",$A13&lt;=124),"",--MID('Key Analysis'!$C9,$A13-124,1))</f>
        <v/>
      </c>
      <c r="DX13" s="29" t="str">
        <f>IF(OR($B13="",$A13&lt;=125),"",--MID('Key Analysis'!$C9,$A13-125,1))</f>
        <v/>
      </c>
      <c r="DY13" s="29" t="str">
        <f>IF(OR($B13="",$A13&lt;=126),"",--MID('Key Analysis'!$C9,$A13-126,1))</f>
        <v/>
      </c>
      <c r="DZ13" s="29" t="str">
        <f>IF(OR($B13="",$A13&lt;=127),"",--MID('Key Analysis'!$C9,$A13-127,1))</f>
        <v/>
      </c>
      <c r="EA13" s="29" t="str">
        <f>IF(OR($B13="",$A13&lt;=128),"",--MID('Key Analysis'!$C9,$A13-128,1))</f>
        <v/>
      </c>
      <c r="EB13" s="29" t="str">
        <f>IF(OR($B13="",$A13&lt;=129),"",--MID('Key Analysis'!$C9,$A13-129,1))</f>
        <v/>
      </c>
      <c r="EC13" s="29" t="str">
        <f>IF(OR($B13="",$A13&lt;=130),"",--MID('Key Analysis'!$C9,$A13-130,1))</f>
        <v/>
      </c>
      <c r="ED13" s="29" t="str">
        <f>IF(OR($B13="",$A13&lt;=131),"",--MID('Key Analysis'!$C9,$A13-131,1))</f>
        <v/>
      </c>
      <c r="EE13" s="29" t="str">
        <f>IF(OR($B13="",$A13&lt;=132),"",--MID('Key Analysis'!$C9,$A13-132,1))</f>
        <v/>
      </c>
      <c r="EF13" s="29" t="str">
        <f>IF(OR($B13="",$A13&lt;=133),"",--MID('Key Analysis'!$C9,$A13-133,1))</f>
        <v/>
      </c>
      <c r="EG13" s="29" t="str">
        <f>IF(OR($B13="",$A13&lt;=134),"",--MID('Key Analysis'!$C9,$A13-134,1))</f>
        <v/>
      </c>
      <c r="EH13" s="29"/>
      <c r="EI13" s="29">
        <f>IF(OR($B13="",$A13&lt;1),"",--MID('Key Analysis'!$C9,1,1))</f>
        <v>1</v>
      </c>
      <c r="EJ13" s="29">
        <f>IF(OR($B13="",$A13&lt;2),"",--MID('Key Analysis'!$C9,2,1))</f>
        <v>1</v>
      </c>
      <c r="EK13" s="29">
        <f>IF(OR($B13="",$A13&lt;3),"",--MID('Key Analysis'!$C9,3,1))</f>
        <v>1</v>
      </c>
      <c r="EL13" s="29">
        <f>IF(OR($B13="",$A13&lt;4),"",--MID('Key Analysis'!$C9,4,1))</f>
        <v>0</v>
      </c>
      <c r="EM13" s="29">
        <f>IF(OR($B13="",$A13&lt;5),"",--MID('Key Analysis'!$C9,5,1))</f>
        <v>0</v>
      </c>
      <c r="EN13" s="29">
        <f>IF(OR($B13="",$A13&lt;6),"",--MID('Key Analysis'!$C9,6,1))</f>
        <v>0</v>
      </c>
      <c r="EO13" s="29">
        <f>IF(OR($B13="",$A13&lt;7),"",--MID('Key Analysis'!$C9,7,1))</f>
        <v>0</v>
      </c>
      <c r="EP13" s="29">
        <f>IF(OR($B13="",$A13&lt;8),"",--MID('Key Analysis'!$C9,8,1))</f>
        <v>0</v>
      </c>
      <c r="EQ13" s="29" t="str">
        <f>IF(OR($B13="",$A13&lt;9),"",--MID('Key Analysis'!$C9,9,1))</f>
        <v/>
      </c>
      <c r="ER13" s="29" t="str">
        <f>IF(OR($B13="",$A13&lt;10),"",--MID('Key Analysis'!$C9,10,1))</f>
        <v/>
      </c>
      <c r="ES13" s="29" t="str">
        <f>IF(OR($B13="",$A13&lt;11),"",--MID('Key Analysis'!$C9,11,1))</f>
        <v/>
      </c>
      <c r="ET13" s="29" t="str">
        <f>IF(OR($B13="",$A13&lt;12),"",--MID('Key Analysis'!$C9,12,1))</f>
        <v/>
      </c>
      <c r="EU13" s="29" t="str">
        <f>IF(OR($B13="",$A13&lt;13),"",--MID('Key Analysis'!$C9,13,1))</f>
        <v/>
      </c>
      <c r="EV13" s="29" t="str">
        <f>IF(OR($B13="",$A13&lt;14),"",--MID('Key Analysis'!$C9,14,1))</f>
        <v/>
      </c>
      <c r="EW13" s="29" t="str">
        <f>IF(OR($B13="",$A13&lt;15),"",--MID('Key Analysis'!$C9,15,1))</f>
        <v/>
      </c>
      <c r="EX13" s="29" t="str">
        <f>IF(OR($B13="",$A13&lt;16),"",--MID('Key Analysis'!$C9,16,1))</f>
        <v/>
      </c>
      <c r="EY13" s="29" t="str">
        <f>IF(OR($B13="",$A13&lt;17),"",--MID('Key Analysis'!$C9,17,1))</f>
        <v/>
      </c>
      <c r="EZ13" s="29" t="str">
        <f>IF(OR($B13="",$A13&lt;18),"",--MID('Key Analysis'!$C9,18,1))</f>
        <v/>
      </c>
      <c r="FA13" s="29" t="str">
        <f>IF(OR($B13="",$A13&lt;19),"",--MID('Key Analysis'!$C9,19,1))</f>
        <v/>
      </c>
      <c r="FB13" s="29" t="str">
        <f>IF(OR($B13="",$A13&lt;20),"",--MID('Key Analysis'!$C9,20,1))</f>
        <v/>
      </c>
      <c r="FC13" s="29" t="str">
        <f>IF(OR($B13="",$A13&lt;21),"",--MID('Key Analysis'!$C9,21,1))</f>
        <v/>
      </c>
      <c r="FD13" s="29" t="str">
        <f>IF(OR($B13="",$A13&lt;22),"",--MID('Key Analysis'!$C9,22,1))</f>
        <v/>
      </c>
      <c r="FE13" s="29" t="str">
        <f>IF(OR($B13="",$A13&lt;23),"",--MID('Key Analysis'!$C9,23,1))</f>
        <v/>
      </c>
      <c r="FF13" s="29" t="str">
        <f>IF(OR($B13="",$A13&lt;24),"",--MID('Key Analysis'!$C9,24,1))</f>
        <v/>
      </c>
      <c r="FG13" s="29" t="str">
        <f>IF(OR($B13="",$A13&lt;25),"",--MID('Key Analysis'!$C9,25,1))</f>
        <v/>
      </c>
      <c r="FH13" s="29" t="str">
        <f>IF(OR($B13="",$A13&lt;26),"",--MID('Key Analysis'!$C9,26,1))</f>
        <v/>
      </c>
      <c r="FI13" s="29" t="str">
        <f>IF(OR($B13="",$A13&lt;27),"",--MID('Key Analysis'!$C9,27,1))</f>
        <v/>
      </c>
      <c r="FJ13" s="29" t="str">
        <f>IF(OR($B13="",$A13&lt;28),"",--MID('Key Analysis'!$C9,28,1))</f>
        <v/>
      </c>
      <c r="FK13" s="29" t="str">
        <f>IF(OR($B13="",$A13&lt;29),"",--MID('Key Analysis'!$C9,29,1))</f>
        <v/>
      </c>
      <c r="FL13" s="29" t="str">
        <f>IF(OR($B13="",$A13&lt;30),"",--MID('Key Analysis'!$C9,30,1))</f>
        <v/>
      </c>
      <c r="FM13" s="29" t="str">
        <f>IF(OR($B13="",$A13&lt;31),"",--MID('Key Analysis'!$C9,31,1))</f>
        <v/>
      </c>
      <c r="FN13" s="29" t="str">
        <f>IF(OR($B13="",$A13&lt;32),"",--MID('Key Analysis'!$C9,32,1))</f>
        <v/>
      </c>
      <c r="FO13" s="29" t="str">
        <f>IF(OR($B13="",$A13&lt;33),"",--MID('Key Analysis'!$C9,33,1))</f>
        <v/>
      </c>
      <c r="FP13" s="29" t="str">
        <f>IF(OR($B13="",$A13&lt;34),"",--MID('Key Analysis'!$C9,34,1))</f>
        <v/>
      </c>
      <c r="FQ13" s="29" t="str">
        <f>IF(OR($B13="",$A13&lt;35),"",--MID('Key Analysis'!$C9,35,1))</f>
        <v/>
      </c>
      <c r="FR13" s="29" t="str">
        <f>IF(OR($B13="",$A13&lt;36),"",--MID('Key Analysis'!$C9,36,1))</f>
        <v/>
      </c>
      <c r="FS13" s="29" t="str">
        <f>IF(OR($B13="",$A13&lt;37),"",--MID('Key Analysis'!$C9,37,1))</f>
        <v/>
      </c>
      <c r="FT13" s="29" t="str">
        <f>IF(OR($B13="",$A13&lt;38),"",--MID('Key Analysis'!$C9,38,1))</f>
        <v/>
      </c>
      <c r="FU13" s="29" t="str">
        <f>IF(OR($B13="",$A13&lt;39),"",--MID('Key Analysis'!$C9,39,1))</f>
        <v/>
      </c>
      <c r="FV13" s="29" t="str">
        <f>IF(OR($B13="",$A13&lt;40),"",--MID('Key Analysis'!$C9,40,1))</f>
        <v/>
      </c>
      <c r="FW13" s="29" t="str">
        <f>IF(OR($B13="",$A13&lt;41),"",--MID('Key Analysis'!$C9,41,1))</f>
        <v/>
      </c>
      <c r="FX13" s="29" t="str">
        <f>IF(OR($B13="",$A13&lt;42),"",--MID('Key Analysis'!$C9,42,1))</f>
        <v/>
      </c>
      <c r="FY13" s="29" t="str">
        <f>IF(OR($B13="",$A13&lt;43),"",--MID('Key Analysis'!$C9,43,1))</f>
        <v/>
      </c>
      <c r="FZ13" s="29" t="str">
        <f>IF(OR($B13="",$A13&lt;44),"",--MID('Key Analysis'!$C9,44,1))</f>
        <v/>
      </c>
      <c r="GA13" s="29" t="str">
        <f>IF(OR($B13="",$A13&lt;45),"",--MID('Key Analysis'!$C9,45,1))</f>
        <v/>
      </c>
      <c r="GB13" s="29" t="str">
        <f>IF(OR($B13="",$A13&lt;46),"",--MID('Key Analysis'!$C9,46,1))</f>
        <v/>
      </c>
      <c r="GC13" s="29" t="str">
        <f>IF(OR($B13="",$A13&lt;47),"",--MID('Key Analysis'!$C9,47,1))</f>
        <v/>
      </c>
      <c r="GD13" s="29" t="str">
        <f>IF(OR($B13="",$A13&lt;48),"",--MID('Key Analysis'!$C9,48,1))</f>
        <v/>
      </c>
      <c r="GE13" s="29" t="str">
        <f>IF(OR($B13="",$A13&lt;49),"",--MID('Key Analysis'!$C9,49,1))</f>
        <v/>
      </c>
      <c r="GF13" s="29" t="str">
        <f>IF(OR($B13="",$A13&lt;50),"",--MID('Key Analysis'!$C9,50,1))</f>
        <v/>
      </c>
      <c r="GG13" s="29" t="str">
        <f>IF(OR($B13="",$A13&lt;51),"",--MID('Key Analysis'!$C9,51,1))</f>
        <v/>
      </c>
      <c r="GH13" s="29" t="str">
        <f>IF(OR($B13="",$A13&lt;52),"",--MID('Key Analysis'!$C9,52,1))</f>
        <v/>
      </c>
      <c r="GI13" s="29" t="str">
        <f>IF(OR($B13="",$A13&lt;53),"",--MID('Key Analysis'!$C9,53,1))</f>
        <v/>
      </c>
      <c r="GJ13" s="29" t="str">
        <f>IF(OR($B13="",$A13&lt;54),"",--MID('Key Analysis'!$C9,54,1))</f>
        <v/>
      </c>
      <c r="GK13" s="29" t="str">
        <f>IF(OR($B13="",$A13&lt;55),"",--MID('Key Analysis'!$C9,55,1))</f>
        <v/>
      </c>
      <c r="GL13" s="29" t="str">
        <f>IF(OR($B13="",$A13&lt;56),"",--MID('Key Analysis'!$C9,56,1))</f>
        <v/>
      </c>
      <c r="GM13" s="29" t="str">
        <f>IF(OR($B13="",$A13&lt;57),"",--MID('Key Analysis'!$C9,57,1))</f>
        <v/>
      </c>
      <c r="GN13" s="29" t="str">
        <f>IF(OR($B13="",$A13&lt;58),"",--MID('Key Analysis'!$C9,58,1))</f>
        <v/>
      </c>
      <c r="GO13" s="29" t="str">
        <f>IF(OR($B13="",$A13&lt;59),"",--MID('Key Analysis'!$C9,59,1))</f>
        <v/>
      </c>
      <c r="GP13" s="29" t="str">
        <f>IF(OR($B13="",$A13&lt;60),"",--MID('Key Analysis'!$C9,60,1))</f>
        <v/>
      </c>
      <c r="GQ13" s="29" t="str">
        <f>IF(OR($B13="",$A13&lt;61),"",--MID('Key Analysis'!$C9,61,1))</f>
        <v/>
      </c>
      <c r="GR13" s="29" t="str">
        <f>IF(OR($B13="",$A13&lt;62),"",--MID('Key Analysis'!$C9,62,1))</f>
        <v/>
      </c>
      <c r="GS13" s="29" t="str">
        <f>IF(OR($B13="",$A13&lt;63),"",--MID('Key Analysis'!$C9,63,1))</f>
        <v/>
      </c>
      <c r="GT13" s="29" t="str">
        <f>IF(OR($B13="",$A13&lt;64),"",--MID('Key Analysis'!$C9,64,1))</f>
        <v/>
      </c>
      <c r="GU13" s="29" t="str">
        <f>IF(OR($B13="",$A13&lt;65),"",--MID('Key Analysis'!$C9,65,1))</f>
        <v/>
      </c>
      <c r="GV13" s="29" t="str">
        <f>IF(OR($B13="",$A13&lt;66),"",--MID('Key Analysis'!$C9,66,1))</f>
        <v/>
      </c>
      <c r="GW13" s="29" t="str">
        <f>IF(OR($B13="",$A13&lt;67),"",--MID('Key Analysis'!$C9,67,1))</f>
        <v/>
      </c>
      <c r="GX13" s="29" t="str">
        <f>IF(OR($B13="",$A13&lt;68),"",--MID('Key Analysis'!$C9,68,1))</f>
        <v/>
      </c>
      <c r="GY13" s="29" t="str">
        <f>IF(OR($B13="",$A13&lt;69),"",--MID('Key Analysis'!$C9,69,1))</f>
        <v/>
      </c>
      <c r="GZ13" s="29" t="str">
        <f>IF(OR($B13="",$A13&lt;70),"",--MID('Key Analysis'!$C9,70,1))</f>
        <v/>
      </c>
      <c r="HA13" s="29" t="str">
        <f>IF(OR($B13="",$A13&lt;71),"",--MID('Key Analysis'!$C9,71,1))</f>
        <v/>
      </c>
      <c r="HB13" s="29" t="str">
        <f>IF(OR($B13="",$A13&lt;72),"",--MID('Key Analysis'!$C9,72,1))</f>
        <v/>
      </c>
      <c r="HC13" s="29" t="str">
        <f>IF(OR($B13="",$A13&lt;73),"",--MID('Key Analysis'!$C9,73,1))</f>
        <v/>
      </c>
      <c r="HD13" s="29" t="str">
        <f>IF(OR($B13="",$A13&lt;74),"",--MID('Key Analysis'!$C9,74,1))</f>
        <v/>
      </c>
      <c r="HE13" s="29" t="str">
        <f>IF(OR($B13="",$A13&lt;75),"",--MID('Key Analysis'!$C9,75,1))</f>
        <v/>
      </c>
      <c r="HF13" s="29" t="str">
        <f>IF(OR($B13="",$A13&lt;76),"",--MID('Key Analysis'!$C9,76,1))</f>
        <v/>
      </c>
      <c r="HG13" s="29" t="str">
        <f>IF(OR($B13="",$A13&lt;77),"",--MID('Key Analysis'!$C9,77,1))</f>
        <v/>
      </c>
      <c r="HH13" s="29" t="str">
        <f>IF(OR($B13="",$A13&lt;78),"",--MID('Key Analysis'!$C9,78,1))</f>
        <v/>
      </c>
      <c r="HI13" s="29" t="str">
        <f>IF(OR($B13="",$A13&lt;79),"",--MID('Key Analysis'!$C9,79,1))</f>
        <v/>
      </c>
      <c r="HJ13" s="29" t="str">
        <f>IF(OR($B13="",$A13&lt;80),"",--MID('Key Analysis'!$C9,80,1))</f>
        <v/>
      </c>
      <c r="HK13" s="29" t="str">
        <f>IF(OR($B13="",$A13&lt;81),"",--MID('Key Analysis'!$C9,81,1))</f>
        <v/>
      </c>
      <c r="HL13" s="29" t="str">
        <f>IF(OR($B13="",$A13&lt;82),"",--MID('Key Analysis'!$C9,82,1))</f>
        <v/>
      </c>
      <c r="HM13" s="29" t="str">
        <f>IF(OR($B13="",$A13&lt;83),"",--MID('Key Analysis'!$C9,83,1))</f>
        <v/>
      </c>
      <c r="HN13" s="29" t="str">
        <f>IF(OR($B13="",$A13&lt;84),"",--MID('Key Analysis'!$C9,84,1))</f>
        <v/>
      </c>
      <c r="HO13" s="29" t="str">
        <f>IF(OR($B13="",$A13&lt;85),"",--MID('Key Analysis'!$C9,85,1))</f>
        <v/>
      </c>
      <c r="HP13" s="29" t="str">
        <f>IF(OR($B13="",$A13&lt;86),"",--MID('Key Analysis'!$C9,86,1))</f>
        <v/>
      </c>
      <c r="HQ13" s="29" t="str">
        <f>IF(OR($B13="",$A13&lt;87),"",--MID('Key Analysis'!$C9,87,1))</f>
        <v/>
      </c>
      <c r="HR13" s="29" t="str">
        <f>IF(OR($B13="",$A13&lt;88),"",--MID('Key Analysis'!$C9,88,1))</f>
        <v/>
      </c>
      <c r="HS13" s="29" t="str">
        <f>IF(OR($B13="",$A13&lt;89),"",--MID('Key Analysis'!$C9,89,1))</f>
        <v/>
      </c>
      <c r="HT13" s="29" t="str">
        <f>IF(OR($B13="",$A13&lt;90),"",--MID('Key Analysis'!$C9,90,1))</f>
        <v/>
      </c>
      <c r="HU13" s="29" t="str">
        <f>IF(OR($B13="",$A13&lt;91),"",--MID('Key Analysis'!$C9,91,1))</f>
        <v/>
      </c>
      <c r="HV13" s="29" t="str">
        <f>IF(OR($B13="",$A13&lt;92),"",--MID('Key Analysis'!$C9,92,1))</f>
        <v/>
      </c>
      <c r="HW13" s="29" t="str">
        <f>IF(OR($B13="",$A13&lt;93),"",--MID('Key Analysis'!$C9,93,1))</f>
        <v/>
      </c>
      <c r="HX13" s="29" t="str">
        <f>IF(OR($B13="",$A13&lt;94),"",--MID('Key Analysis'!$C9,94,1))</f>
        <v/>
      </c>
      <c r="HY13" s="29" t="str">
        <f>IF(OR($B13="",$A13&lt;95),"",--MID('Key Analysis'!$C9,95,1))</f>
        <v/>
      </c>
      <c r="HZ13" s="29" t="str">
        <f>IF(OR($B13="",$A13&lt;96),"",--MID('Key Analysis'!$C9,96,1))</f>
        <v/>
      </c>
      <c r="IA13" s="29" t="str">
        <f>IF(OR($B13="",$A13&lt;97),"",--MID('Key Analysis'!$C9,97,1))</f>
        <v/>
      </c>
      <c r="IB13" s="29" t="str">
        <f>IF(OR($B13="",$A13&lt;98),"",--MID('Key Analysis'!$C9,98,1))</f>
        <v/>
      </c>
      <c r="IC13" s="29" t="str">
        <f>IF(OR($B13="",$A13&lt;99),"",--MID('Key Analysis'!$C9,99,1))</f>
        <v/>
      </c>
      <c r="ID13" s="29" t="str">
        <f>IF(OR($B13="",$A13&lt;100),"",--MID('Key Analysis'!$C9,100,1))</f>
        <v/>
      </c>
      <c r="IE13" s="29" t="str">
        <f>IF(OR($B13="",$A13&lt;101),"",--MID('Key Analysis'!$C9,101,1))</f>
        <v/>
      </c>
      <c r="IF13" s="29" t="str">
        <f>IF(OR($B13="",$A13&lt;102),"",--MID('Key Analysis'!$C9,102,1))</f>
        <v/>
      </c>
      <c r="IG13" s="29" t="str">
        <f>IF(OR($B13="",$A13&lt;103),"",--MID('Key Analysis'!$C9,103,1))</f>
        <v/>
      </c>
      <c r="IH13" s="29" t="str">
        <f>IF(OR($B13="",$A13&lt;104),"",--MID('Key Analysis'!$C9,104,1))</f>
        <v/>
      </c>
      <c r="II13" s="29" t="str">
        <f>IF(OR($B13="",$A13&lt;105),"",--MID('Key Analysis'!$C9,105,1))</f>
        <v/>
      </c>
      <c r="IJ13" s="29" t="str">
        <f>IF(OR($B13="",$A13&lt;106),"",--MID('Key Analysis'!$C9,106,1))</f>
        <v/>
      </c>
      <c r="IK13" s="29" t="str">
        <f>IF(OR($B13="",$A13&lt;107),"",--MID('Key Analysis'!$C9,107,1))</f>
        <v/>
      </c>
      <c r="IL13" s="29" t="str">
        <f>IF(OR($B13="",$A13&lt;108),"",--MID('Key Analysis'!$C9,108,1))</f>
        <v/>
      </c>
      <c r="IM13" s="29" t="str">
        <f>IF(OR($B13="",$A13&lt;109),"",--MID('Key Analysis'!$C9,109,1))</f>
        <v/>
      </c>
      <c r="IN13" s="29" t="str">
        <f>IF(OR($B13="",$A13&lt;110),"",--MID('Key Analysis'!$C9,110,1))</f>
        <v/>
      </c>
      <c r="IO13" s="29" t="str">
        <f>IF(OR($B13="",$A13&lt;111),"",--MID('Key Analysis'!$C9,111,1))</f>
        <v/>
      </c>
      <c r="IP13" s="29" t="str">
        <f>IF(OR($B13="",$A13&lt;112),"",--MID('Key Analysis'!$C9,112,1))</f>
        <v/>
      </c>
      <c r="IQ13" s="29" t="str">
        <f>IF(OR($B13="",$A13&lt;113),"",--MID('Key Analysis'!$C9,113,1))</f>
        <v/>
      </c>
      <c r="IR13" s="29" t="str">
        <f>IF(OR($B13="",$A13&lt;114),"",--MID('Key Analysis'!$C9,114,1))</f>
        <v/>
      </c>
      <c r="IS13" s="29" t="str">
        <f>IF(OR($B13="",$A13&lt;115),"",--MID('Key Analysis'!$C9,115,1))</f>
        <v/>
      </c>
      <c r="IT13" s="29" t="str">
        <f>IF(OR($B13="",$A13&lt;116),"",--MID('Key Analysis'!$C9,116,1))</f>
        <v/>
      </c>
      <c r="IU13" s="29" t="str">
        <f>IF(OR($B13="",$A13&lt;117),"",--MID('Key Analysis'!$C9,117,1))</f>
        <v/>
      </c>
      <c r="IV13" s="29" t="str">
        <f>IF(OR($B13="",$A13&lt;118),"",--MID('Key Analysis'!$C9,118,1))</f>
        <v/>
      </c>
      <c r="IW13" s="29" t="str">
        <f>IF(OR($B13="",$A13&lt;119),"",--MID('Key Analysis'!$C9,119,1))</f>
        <v/>
      </c>
      <c r="IX13" s="29" t="str">
        <f>IF(OR($B13="",$A13&lt;120),"",--MID('Key Analysis'!$C9,120,1))</f>
        <v/>
      </c>
      <c r="IY13" s="29" t="str">
        <f>IF(OR($B13="",$A13&lt;121),"",--MID('Key Analysis'!$C9,121,1))</f>
        <v/>
      </c>
      <c r="IZ13" s="29" t="str">
        <f>IF(OR($B13="",$A13&lt;122),"",--MID('Key Analysis'!$C9,122,1))</f>
        <v/>
      </c>
      <c r="JA13" s="29" t="str">
        <f>IF(OR($B13="",$A13&lt;123),"",--MID('Key Analysis'!$C9,123,1))</f>
        <v/>
      </c>
      <c r="JB13" s="29" t="str">
        <f>IF(OR($B13="",$A13&lt;124),"",--MID('Key Analysis'!$C9,124,1))</f>
        <v/>
      </c>
      <c r="JC13" s="29" t="str">
        <f>IF(OR($B13="",$A13&lt;125),"",--MID('Key Analysis'!$C9,125,1))</f>
        <v/>
      </c>
      <c r="JD13" s="29" t="str">
        <f>IF(OR($B13="",$A13&lt;126),"",--MID('Key Analysis'!$C9,126,1))</f>
        <v/>
      </c>
      <c r="JE13" s="29" t="str">
        <f>IF(OR($B13="",$A13&lt;127),"",--MID('Key Analysis'!$C9,127,1))</f>
        <v/>
      </c>
      <c r="JF13" s="29" t="str">
        <f>IF(OR($B13="",$A13&lt;128),"",--MID('Key Analysis'!$C9,128,1))</f>
        <v/>
      </c>
      <c r="JG13" s="29" t="str">
        <f>IF(OR($B13="",$A13&lt;129),"",--MID('Key Analysis'!$C9,129,1))</f>
        <v/>
      </c>
      <c r="JH13" s="29" t="str">
        <f>IF(OR($B13="",$A13&lt;130),"",--MID('Key Analysis'!$C9,130,1))</f>
        <v/>
      </c>
      <c r="JI13" s="29" t="str">
        <f>IF(OR($B13="",$A13&lt;131),"",--MID('Key Analysis'!$C9,131,1))</f>
        <v/>
      </c>
      <c r="JJ13" s="29" t="str">
        <f>IF(OR($B13="",$A13&lt;132),"",--MID('Key Analysis'!$C9,132,1))</f>
        <v/>
      </c>
      <c r="JK13" s="29" t="str">
        <f>IF(OR($B13="",$A13&lt;133),"",--MID('Key Analysis'!$C9,133,1))</f>
        <v/>
      </c>
      <c r="JL13" s="29" t="str">
        <f>IF(OR($B13="",$A13&lt;134),"",--MID('Key Analysis'!$C9,134,1))</f>
        <v/>
      </c>
      <c r="JM13" s="29" t="str">
        <f>IF(OR($B13="",$A13&lt;135),"",--MID('Key Analysis'!$C9,135,1))</f>
        <v/>
      </c>
    </row>
    <row r="14" spans="1:273" x14ac:dyDescent="0.25">
      <c r="A14" s="21">
        <f>'Key Analysis'!A10</f>
        <v>9</v>
      </c>
      <c r="B14" s="30" t="str">
        <f>'Key Analysis'!B10</f>
        <v>1d3</v>
      </c>
      <c r="C14" s="29">
        <f>IF(OR($B14="",$A14&lt;=0),"",--MID('Key Analysis'!$C10,$A14-0,1))</f>
        <v>1</v>
      </c>
      <c r="D14" s="29">
        <f>IF(OR($B14="",$A14&lt;=1),"",--MID('Key Analysis'!$C10,$A14-1,1))</f>
        <v>1</v>
      </c>
      <c r="E14" s="29">
        <f>IF(OR($B14="",$A14&lt;=2),"",--MID('Key Analysis'!$C10,$A14-2,1))</f>
        <v>0</v>
      </c>
      <c r="F14" s="29">
        <f>IF(OR($B14="",$A14&lt;=3),"",--MID('Key Analysis'!$C10,$A14-3,1))</f>
        <v>0</v>
      </c>
      <c r="G14" s="29">
        <f>IF(OR($B14="",$A14&lt;=4),"",--MID('Key Analysis'!$C10,$A14-4,1))</f>
        <v>1</v>
      </c>
      <c r="H14" s="29">
        <f>IF(OR($B14="",$A14&lt;=5),"",--MID('Key Analysis'!$C10,$A14-5,1))</f>
        <v>0</v>
      </c>
      <c r="I14" s="29">
        <f>IF(OR($B14="",$A14&lt;=6),"",--MID('Key Analysis'!$C10,$A14-6,1))</f>
        <v>1</v>
      </c>
      <c r="J14" s="29">
        <f>IF(OR($B14="",$A14&lt;=7),"",--MID('Key Analysis'!$C10,$A14-7,1))</f>
        <v>1</v>
      </c>
      <c r="K14" s="29">
        <f>IF(OR($B14="",$A14&lt;=8),"",--MID('Key Analysis'!$C10,$A14-8,1))</f>
        <v>1</v>
      </c>
      <c r="L14" s="29" t="str">
        <f>IF(OR($B14="",$A14&lt;=9),"",--MID('Key Analysis'!$C10,$A14-9,1))</f>
        <v/>
      </c>
      <c r="M14" s="29" t="str">
        <f>IF(OR($B14="",$A14&lt;=10),"",--MID('Key Analysis'!$C10,$A14-10,1))</f>
        <v/>
      </c>
      <c r="N14" s="29" t="str">
        <f>IF(OR($B14="",$A14&lt;=11),"",--MID('Key Analysis'!$C10,$A14-11,1))</f>
        <v/>
      </c>
      <c r="O14" s="29" t="str">
        <f>IF(OR($B14="",$A14&lt;=12),"",--MID('Key Analysis'!$C10,$A14-12,1))</f>
        <v/>
      </c>
      <c r="P14" s="29" t="str">
        <f>IF(OR($B14="",$A14&lt;=13),"",--MID('Key Analysis'!$C10,$A14-13,1))</f>
        <v/>
      </c>
      <c r="Q14" s="29" t="str">
        <f>IF(OR($B14="",$A14&lt;=14),"",--MID('Key Analysis'!$C10,$A14-14,1))</f>
        <v/>
      </c>
      <c r="R14" s="29" t="str">
        <f>IF(OR($B14="",$A14&lt;=15),"",--MID('Key Analysis'!$C10,$A14-15,1))</f>
        <v/>
      </c>
      <c r="S14" s="29" t="str">
        <f>IF(OR($B14="",$A14&lt;=16),"",--MID('Key Analysis'!$C10,$A14-16,1))</f>
        <v/>
      </c>
      <c r="T14" s="29" t="str">
        <f>IF(OR($B14="",$A14&lt;=17),"",--MID('Key Analysis'!$C10,$A14-17,1))</f>
        <v/>
      </c>
      <c r="U14" s="29" t="str">
        <f>IF(OR($B14="",$A14&lt;=18),"",--MID('Key Analysis'!$C10,$A14-18,1))</f>
        <v/>
      </c>
      <c r="V14" s="29" t="str">
        <f>IF(OR($B14="",$A14&lt;=19),"",--MID('Key Analysis'!$C10,$A14-19,1))</f>
        <v/>
      </c>
      <c r="W14" s="29" t="str">
        <f>IF(OR($B14="",$A14&lt;=20),"",--MID('Key Analysis'!$C10,$A14-20,1))</f>
        <v/>
      </c>
      <c r="X14" s="29" t="str">
        <f>IF(OR($B14="",$A14&lt;=21),"",--MID('Key Analysis'!$C10,$A14-21,1))</f>
        <v/>
      </c>
      <c r="Y14" s="29" t="str">
        <f>IF(OR($B14="",$A14&lt;=22),"",--MID('Key Analysis'!$C10,$A14-22,1))</f>
        <v/>
      </c>
      <c r="Z14" s="29" t="str">
        <f>IF(OR($B14="",$A14&lt;=23),"",--MID('Key Analysis'!$C10,$A14-23,1))</f>
        <v/>
      </c>
      <c r="AA14" s="29" t="str">
        <f>IF(OR($B14="",$A14&lt;=24),"",--MID('Key Analysis'!$C10,$A14-24,1))</f>
        <v/>
      </c>
      <c r="AB14" s="29" t="str">
        <f>IF(OR($B14="",$A14&lt;=25),"",--MID('Key Analysis'!$C10,$A14-25,1))</f>
        <v/>
      </c>
      <c r="AC14" s="29" t="str">
        <f>IF(OR($B14="",$A14&lt;=26),"",--MID('Key Analysis'!$C10,$A14-26,1))</f>
        <v/>
      </c>
      <c r="AD14" s="29" t="str">
        <f>IF(OR($B14="",$A14&lt;=27),"",--MID('Key Analysis'!$C10,$A14-27,1))</f>
        <v/>
      </c>
      <c r="AE14" s="29" t="str">
        <f>IF(OR($B14="",$A14&lt;=28),"",--MID('Key Analysis'!$C10,$A14-28,1))</f>
        <v/>
      </c>
      <c r="AF14" s="29" t="str">
        <f>IF(OR($B14="",$A14&lt;=29),"",--MID('Key Analysis'!$C10,$A14-29,1))</f>
        <v/>
      </c>
      <c r="AG14" s="29" t="str">
        <f>IF(OR($B14="",$A14&lt;=30),"",--MID('Key Analysis'!$C10,$A14-30,1))</f>
        <v/>
      </c>
      <c r="AH14" s="29" t="str">
        <f>IF(OR($B14="",$A14&lt;=31),"",--MID('Key Analysis'!$C10,$A14-31,1))</f>
        <v/>
      </c>
      <c r="AI14" s="29" t="str">
        <f>IF(OR($B14="",$A14&lt;=32),"",--MID('Key Analysis'!$C10,$A14-32,1))</f>
        <v/>
      </c>
      <c r="AJ14" s="29" t="str">
        <f>IF(OR($B14="",$A14&lt;=33),"",--MID('Key Analysis'!$C10,$A14-33,1))</f>
        <v/>
      </c>
      <c r="AK14" s="29" t="str">
        <f>IF(OR($B14="",$A14&lt;=34),"",--MID('Key Analysis'!$C10,$A14-34,1))</f>
        <v/>
      </c>
      <c r="AL14" s="29" t="str">
        <f>IF(OR($B14="",$A14&lt;=35),"",--MID('Key Analysis'!$C10,$A14-35,1))</f>
        <v/>
      </c>
      <c r="AM14" s="29" t="str">
        <f>IF(OR($B14="",$A14&lt;=36),"",--MID('Key Analysis'!$C10,$A14-36,1))</f>
        <v/>
      </c>
      <c r="AN14" s="29" t="str">
        <f>IF(OR($B14="",$A14&lt;=37),"",--MID('Key Analysis'!$C10,$A14-37,1))</f>
        <v/>
      </c>
      <c r="AO14" s="29" t="str">
        <f>IF(OR($B14="",$A14&lt;=38),"",--MID('Key Analysis'!$C10,$A14-38,1))</f>
        <v/>
      </c>
      <c r="AP14" s="29" t="str">
        <f>IF(OR($B14="",$A14&lt;=39),"",--MID('Key Analysis'!$C10,$A14-39,1))</f>
        <v/>
      </c>
      <c r="AQ14" s="29" t="str">
        <f>IF(OR($B14="",$A14&lt;=40),"",--MID('Key Analysis'!$C10,$A14-40,1))</f>
        <v/>
      </c>
      <c r="AR14" s="29" t="str">
        <f>IF(OR($B14="",$A14&lt;=41),"",--MID('Key Analysis'!$C10,$A14-41,1))</f>
        <v/>
      </c>
      <c r="AS14" s="29" t="str">
        <f>IF(OR($B14="",$A14&lt;=42),"",--MID('Key Analysis'!$C10,$A14-42,1))</f>
        <v/>
      </c>
      <c r="AT14" s="29" t="str">
        <f>IF(OR($B14="",$A14&lt;=43),"",--MID('Key Analysis'!$C10,$A14-43,1))</f>
        <v/>
      </c>
      <c r="AU14" s="29" t="str">
        <f>IF(OR($B14="",$A14&lt;=44),"",--MID('Key Analysis'!$C10,$A14-44,1))</f>
        <v/>
      </c>
      <c r="AV14" s="29" t="str">
        <f>IF(OR($B14="",$A14&lt;=45),"",--MID('Key Analysis'!$C10,$A14-45,1))</f>
        <v/>
      </c>
      <c r="AW14" s="29" t="str">
        <f>IF(OR($B14="",$A14&lt;=46),"",--MID('Key Analysis'!$C10,$A14-46,1))</f>
        <v/>
      </c>
      <c r="AX14" s="29" t="str">
        <f>IF(OR($B14="",$A14&lt;=47),"",--MID('Key Analysis'!$C10,$A14-47,1))</f>
        <v/>
      </c>
      <c r="AY14" s="29" t="str">
        <f>IF(OR($B14="",$A14&lt;=48),"",--MID('Key Analysis'!$C10,$A14-48,1))</f>
        <v/>
      </c>
      <c r="AZ14" s="29" t="str">
        <f>IF(OR($B14="",$A14&lt;=49),"",--MID('Key Analysis'!$C10,$A14-49,1))</f>
        <v/>
      </c>
      <c r="BA14" s="29" t="str">
        <f>IF(OR($B14="",$A14&lt;=50),"",--MID('Key Analysis'!$C10,$A14-50,1))</f>
        <v/>
      </c>
      <c r="BB14" s="29" t="str">
        <f>IF(OR($B14="",$A14&lt;=51),"",--MID('Key Analysis'!$C10,$A14-51,1))</f>
        <v/>
      </c>
      <c r="BC14" s="29" t="str">
        <f>IF(OR($B14="",$A14&lt;=52),"",--MID('Key Analysis'!$C10,$A14-52,1))</f>
        <v/>
      </c>
      <c r="BD14" s="29" t="str">
        <f>IF(OR($B14="",$A14&lt;=53),"",--MID('Key Analysis'!$C10,$A14-53,1))</f>
        <v/>
      </c>
      <c r="BE14" s="29" t="str">
        <f>IF(OR($B14="",$A14&lt;=54),"",--MID('Key Analysis'!$C10,$A14-54,1))</f>
        <v/>
      </c>
      <c r="BF14" s="29" t="str">
        <f>IF(OR($B14="",$A14&lt;=55),"",--MID('Key Analysis'!$C10,$A14-55,1))</f>
        <v/>
      </c>
      <c r="BG14" s="29" t="str">
        <f>IF(OR($B14="",$A14&lt;=56),"",--MID('Key Analysis'!$C10,$A14-56,1))</f>
        <v/>
      </c>
      <c r="BH14" s="29" t="str">
        <f>IF(OR($B14="",$A14&lt;=57),"",--MID('Key Analysis'!$C10,$A14-57,1))</f>
        <v/>
      </c>
      <c r="BI14" s="29" t="str">
        <f>IF(OR($B14="",$A14&lt;=58),"",--MID('Key Analysis'!$C10,$A14-58,1))</f>
        <v/>
      </c>
      <c r="BJ14" s="29" t="str">
        <f>IF(OR($B14="",$A14&lt;=59),"",--MID('Key Analysis'!$C10,$A14-59,1))</f>
        <v/>
      </c>
      <c r="BK14" s="29" t="str">
        <f>IF(OR($B14="",$A14&lt;=60),"",--MID('Key Analysis'!$C10,$A14-60,1))</f>
        <v/>
      </c>
      <c r="BL14" s="29" t="str">
        <f>IF(OR($B14="",$A14&lt;=61),"",--MID('Key Analysis'!$C10,$A14-61,1))</f>
        <v/>
      </c>
      <c r="BM14" s="29" t="str">
        <f>IF(OR($B14="",$A14&lt;=62),"",--MID('Key Analysis'!$C10,$A14-62,1))</f>
        <v/>
      </c>
      <c r="BN14" s="29" t="str">
        <f>IF(OR($B14="",$A14&lt;=63),"",--MID('Key Analysis'!$C10,$A14-63,1))</f>
        <v/>
      </c>
      <c r="BO14" s="29" t="str">
        <f>IF(OR($B14="",$A14&lt;=64),"",--MID('Key Analysis'!$C10,$A14-64,1))</f>
        <v/>
      </c>
      <c r="BP14" s="29" t="str">
        <f>IF(OR($B14="",$A14&lt;=65),"",--MID('Key Analysis'!$C10,$A14-65,1))</f>
        <v/>
      </c>
      <c r="BQ14" s="29" t="str">
        <f>IF(OR($B14="",$A14&lt;=66),"",--MID('Key Analysis'!$C10,$A14-66,1))</f>
        <v/>
      </c>
      <c r="BR14" s="29" t="str">
        <f>IF(OR($B14="",$A14&lt;=67),"",--MID('Key Analysis'!$C10,$A14-67,1))</f>
        <v/>
      </c>
      <c r="BS14" s="29" t="str">
        <f>IF(OR($B14="",$A14&lt;=68),"",--MID('Key Analysis'!$C10,$A14-68,1))</f>
        <v/>
      </c>
      <c r="BT14" s="29" t="str">
        <f>IF(OR($B14="",$A14&lt;=69),"",--MID('Key Analysis'!$C10,$A14-69,1))</f>
        <v/>
      </c>
      <c r="BU14" s="29" t="str">
        <f>IF(OR($B14="",$A14&lt;=70),"",--MID('Key Analysis'!$C10,$A14-70,1))</f>
        <v/>
      </c>
      <c r="BV14" s="29" t="str">
        <f>IF(OR($B14="",$A14&lt;=71),"",--MID('Key Analysis'!$C10,$A14-71,1))</f>
        <v/>
      </c>
      <c r="BW14" s="29" t="str">
        <f>IF(OR($B14="",$A14&lt;=72),"",--MID('Key Analysis'!$C10,$A14-72,1))</f>
        <v/>
      </c>
      <c r="BX14" s="29" t="str">
        <f>IF(OR($B14="",$A14&lt;=73),"",--MID('Key Analysis'!$C10,$A14-73,1))</f>
        <v/>
      </c>
      <c r="BY14" s="29" t="str">
        <f>IF(OR($B14="",$A14&lt;=74),"",--MID('Key Analysis'!$C10,$A14-74,1))</f>
        <v/>
      </c>
      <c r="BZ14" s="29" t="str">
        <f>IF(OR($B14="",$A14&lt;=75),"",--MID('Key Analysis'!$C10,$A14-75,1))</f>
        <v/>
      </c>
      <c r="CA14" s="29" t="str">
        <f>IF(OR($B14="",$A14&lt;=76),"",--MID('Key Analysis'!$C10,$A14-76,1))</f>
        <v/>
      </c>
      <c r="CB14" s="29" t="str">
        <f>IF(OR($B14="",$A14&lt;=77),"",--MID('Key Analysis'!$C10,$A14-77,1))</f>
        <v/>
      </c>
      <c r="CC14" s="29" t="str">
        <f>IF(OR($B14="",$A14&lt;=78),"",--MID('Key Analysis'!$C10,$A14-78,1))</f>
        <v/>
      </c>
      <c r="CD14" s="29" t="str">
        <f>IF(OR($B14="",$A14&lt;=79),"",--MID('Key Analysis'!$C10,$A14-79,1))</f>
        <v/>
      </c>
      <c r="CE14" s="29" t="str">
        <f>IF(OR($B14="",$A14&lt;=80),"",--MID('Key Analysis'!$C10,$A14-80,1))</f>
        <v/>
      </c>
      <c r="CF14" s="29" t="str">
        <f>IF(OR($B14="",$A14&lt;=81),"",--MID('Key Analysis'!$C10,$A14-81,1))</f>
        <v/>
      </c>
      <c r="CG14" s="29" t="str">
        <f>IF(OR($B14="",$A14&lt;=82),"",--MID('Key Analysis'!$C10,$A14-82,1))</f>
        <v/>
      </c>
      <c r="CH14" s="29" t="str">
        <f>IF(OR($B14="",$A14&lt;=83),"",--MID('Key Analysis'!$C10,$A14-83,1))</f>
        <v/>
      </c>
      <c r="CI14" s="29" t="str">
        <f>IF(OR($B14="",$A14&lt;=84),"",--MID('Key Analysis'!$C10,$A14-84,1))</f>
        <v/>
      </c>
      <c r="CJ14" s="29" t="str">
        <f>IF(OR($B14="",$A14&lt;=85),"",--MID('Key Analysis'!$C10,$A14-85,1))</f>
        <v/>
      </c>
      <c r="CK14" s="29" t="str">
        <f>IF(OR($B14="",$A14&lt;=86),"",--MID('Key Analysis'!$C10,$A14-86,1))</f>
        <v/>
      </c>
      <c r="CL14" s="29" t="str">
        <f>IF(OR($B14="",$A14&lt;=87),"",--MID('Key Analysis'!$C10,$A14-87,1))</f>
        <v/>
      </c>
      <c r="CM14" s="29" t="str">
        <f>IF(OR($B14="",$A14&lt;=88),"",--MID('Key Analysis'!$C10,$A14-88,1))</f>
        <v/>
      </c>
      <c r="CN14" s="29" t="str">
        <f>IF(OR($B14="",$A14&lt;=89),"",--MID('Key Analysis'!$C10,$A14-89,1))</f>
        <v/>
      </c>
      <c r="CO14" s="29" t="str">
        <f>IF(OR($B14="",$A14&lt;=90),"",--MID('Key Analysis'!$C10,$A14-90,1))</f>
        <v/>
      </c>
      <c r="CP14" s="29" t="str">
        <f>IF(OR($B14="",$A14&lt;=91),"",--MID('Key Analysis'!$C10,$A14-91,1))</f>
        <v/>
      </c>
      <c r="CQ14" s="29" t="str">
        <f>IF(OR($B14="",$A14&lt;=92),"",--MID('Key Analysis'!$C10,$A14-92,1))</f>
        <v/>
      </c>
      <c r="CR14" s="29" t="str">
        <f>IF(OR($B14="",$A14&lt;=93),"",--MID('Key Analysis'!$C10,$A14-93,1))</f>
        <v/>
      </c>
      <c r="CS14" s="29" t="str">
        <f>IF(OR($B14="",$A14&lt;=94),"",--MID('Key Analysis'!$C10,$A14-94,1))</f>
        <v/>
      </c>
      <c r="CT14" s="29" t="str">
        <f>IF(OR($B14="",$A14&lt;=95),"",--MID('Key Analysis'!$C10,$A14-95,1))</f>
        <v/>
      </c>
      <c r="CU14" s="29" t="str">
        <f>IF(OR($B14="",$A14&lt;=96),"",--MID('Key Analysis'!$C10,$A14-96,1))</f>
        <v/>
      </c>
      <c r="CV14" s="29" t="str">
        <f>IF(OR($B14="",$A14&lt;=97),"",--MID('Key Analysis'!$C10,$A14-97,1))</f>
        <v/>
      </c>
      <c r="CW14" s="29" t="str">
        <f>IF(OR($B14="",$A14&lt;=98),"",--MID('Key Analysis'!$C10,$A14-98,1))</f>
        <v/>
      </c>
      <c r="CX14" s="29" t="str">
        <f>IF(OR($B14="",$A14&lt;=99),"",--MID('Key Analysis'!$C10,$A14-99,1))</f>
        <v/>
      </c>
      <c r="CY14" s="29" t="str">
        <f>IF(OR($B14="",$A14&lt;=100),"",--MID('Key Analysis'!$C10,$A14-100,1))</f>
        <v/>
      </c>
      <c r="CZ14" s="29" t="str">
        <f>IF(OR($B14="",$A14&lt;=101),"",--MID('Key Analysis'!$C10,$A14-101,1))</f>
        <v/>
      </c>
      <c r="DA14" s="29" t="str">
        <f>IF(OR($B14="",$A14&lt;=102),"",--MID('Key Analysis'!$C10,$A14-102,1))</f>
        <v/>
      </c>
      <c r="DB14" s="29" t="str">
        <f>IF(OR($B14="",$A14&lt;=103),"",--MID('Key Analysis'!$C10,$A14-103,1))</f>
        <v/>
      </c>
      <c r="DC14" s="29" t="str">
        <f>IF(OR($B14="",$A14&lt;=104),"",--MID('Key Analysis'!$C10,$A14-104,1))</f>
        <v/>
      </c>
      <c r="DD14" s="29" t="str">
        <f>IF(OR($B14="",$A14&lt;=105),"",--MID('Key Analysis'!$C10,$A14-105,1))</f>
        <v/>
      </c>
      <c r="DE14" s="29" t="str">
        <f>IF(OR($B14="",$A14&lt;=106),"",--MID('Key Analysis'!$C10,$A14-106,1))</f>
        <v/>
      </c>
      <c r="DF14" s="29" t="str">
        <f>IF(OR($B14="",$A14&lt;=107),"",--MID('Key Analysis'!$C10,$A14-107,1))</f>
        <v/>
      </c>
      <c r="DG14" s="29" t="str">
        <f>IF(OR($B14="",$A14&lt;=108),"",--MID('Key Analysis'!$C10,$A14-108,1))</f>
        <v/>
      </c>
      <c r="DH14" s="29" t="str">
        <f>IF(OR($B14="",$A14&lt;=109),"",--MID('Key Analysis'!$C10,$A14-109,1))</f>
        <v/>
      </c>
      <c r="DI14" s="29" t="str">
        <f>IF(OR($B14="",$A14&lt;=110),"",--MID('Key Analysis'!$C10,$A14-110,1))</f>
        <v/>
      </c>
      <c r="DJ14" s="29" t="str">
        <f>IF(OR($B14="",$A14&lt;=111),"",--MID('Key Analysis'!$C10,$A14-111,1))</f>
        <v/>
      </c>
      <c r="DK14" s="29" t="str">
        <f>IF(OR($B14="",$A14&lt;=112),"",--MID('Key Analysis'!$C10,$A14-112,1))</f>
        <v/>
      </c>
      <c r="DL14" s="29" t="str">
        <f>IF(OR($B14="",$A14&lt;=113),"",--MID('Key Analysis'!$C10,$A14-113,1))</f>
        <v/>
      </c>
      <c r="DM14" s="29" t="str">
        <f>IF(OR($B14="",$A14&lt;=114),"",--MID('Key Analysis'!$C10,$A14-114,1))</f>
        <v/>
      </c>
      <c r="DN14" s="29" t="str">
        <f>IF(OR($B14="",$A14&lt;=115),"",--MID('Key Analysis'!$C10,$A14-115,1))</f>
        <v/>
      </c>
      <c r="DO14" s="29" t="str">
        <f>IF(OR($B14="",$A14&lt;=116),"",--MID('Key Analysis'!$C10,$A14-116,1))</f>
        <v/>
      </c>
      <c r="DP14" s="29" t="str">
        <f>IF(OR($B14="",$A14&lt;=117),"",--MID('Key Analysis'!$C10,$A14-117,1))</f>
        <v/>
      </c>
      <c r="DQ14" s="29" t="str">
        <f>IF(OR($B14="",$A14&lt;=118),"",--MID('Key Analysis'!$C10,$A14-118,1))</f>
        <v/>
      </c>
      <c r="DR14" s="29" t="str">
        <f>IF(OR($B14="",$A14&lt;=119),"",--MID('Key Analysis'!$C10,$A14-119,1))</f>
        <v/>
      </c>
      <c r="DS14" s="29" t="str">
        <f>IF(OR($B14="",$A14&lt;=120),"",--MID('Key Analysis'!$C10,$A14-120,1))</f>
        <v/>
      </c>
      <c r="DT14" s="29" t="str">
        <f>IF(OR($B14="",$A14&lt;=121),"",--MID('Key Analysis'!$C10,$A14-121,1))</f>
        <v/>
      </c>
      <c r="DU14" s="29" t="str">
        <f>IF(OR($B14="",$A14&lt;=122),"",--MID('Key Analysis'!$C10,$A14-122,1))</f>
        <v/>
      </c>
      <c r="DV14" s="29" t="str">
        <f>IF(OR($B14="",$A14&lt;=123),"",--MID('Key Analysis'!$C10,$A14-123,1))</f>
        <v/>
      </c>
      <c r="DW14" s="29" t="str">
        <f>IF(OR($B14="",$A14&lt;=124),"",--MID('Key Analysis'!$C10,$A14-124,1))</f>
        <v/>
      </c>
      <c r="DX14" s="29" t="str">
        <f>IF(OR($B14="",$A14&lt;=125),"",--MID('Key Analysis'!$C10,$A14-125,1))</f>
        <v/>
      </c>
      <c r="DY14" s="29" t="str">
        <f>IF(OR($B14="",$A14&lt;=126),"",--MID('Key Analysis'!$C10,$A14-126,1))</f>
        <v/>
      </c>
      <c r="DZ14" s="29" t="str">
        <f>IF(OR($B14="",$A14&lt;=127),"",--MID('Key Analysis'!$C10,$A14-127,1))</f>
        <v/>
      </c>
      <c r="EA14" s="29" t="str">
        <f>IF(OR($B14="",$A14&lt;=128),"",--MID('Key Analysis'!$C10,$A14-128,1))</f>
        <v/>
      </c>
      <c r="EB14" s="29" t="str">
        <f>IF(OR($B14="",$A14&lt;=129),"",--MID('Key Analysis'!$C10,$A14-129,1))</f>
        <v/>
      </c>
      <c r="EC14" s="29" t="str">
        <f>IF(OR($B14="",$A14&lt;=130),"",--MID('Key Analysis'!$C10,$A14-130,1))</f>
        <v/>
      </c>
      <c r="ED14" s="29" t="str">
        <f>IF(OR($B14="",$A14&lt;=131),"",--MID('Key Analysis'!$C10,$A14-131,1))</f>
        <v/>
      </c>
      <c r="EE14" s="29" t="str">
        <f>IF(OR($B14="",$A14&lt;=132),"",--MID('Key Analysis'!$C10,$A14-132,1))</f>
        <v/>
      </c>
      <c r="EF14" s="29" t="str">
        <f>IF(OR($B14="",$A14&lt;=133),"",--MID('Key Analysis'!$C10,$A14-133,1))</f>
        <v/>
      </c>
      <c r="EG14" s="29" t="str">
        <f>IF(OR($B14="",$A14&lt;=134),"",--MID('Key Analysis'!$C10,$A14-134,1))</f>
        <v/>
      </c>
      <c r="EH14" s="29"/>
      <c r="EI14" s="29">
        <f>IF(OR($B14="",$A14&lt;1),"",--MID('Key Analysis'!$C10,1,1))</f>
        <v>1</v>
      </c>
      <c r="EJ14" s="29">
        <f>IF(OR($B14="",$A14&lt;2),"",--MID('Key Analysis'!$C10,2,1))</f>
        <v>1</v>
      </c>
      <c r="EK14" s="29">
        <f>IF(OR($B14="",$A14&lt;3),"",--MID('Key Analysis'!$C10,3,1))</f>
        <v>1</v>
      </c>
      <c r="EL14" s="29">
        <f>IF(OR($B14="",$A14&lt;4),"",--MID('Key Analysis'!$C10,4,1))</f>
        <v>0</v>
      </c>
      <c r="EM14" s="29">
        <f>IF(OR($B14="",$A14&lt;5),"",--MID('Key Analysis'!$C10,5,1))</f>
        <v>1</v>
      </c>
      <c r="EN14" s="29">
        <f>IF(OR($B14="",$A14&lt;6),"",--MID('Key Analysis'!$C10,6,1))</f>
        <v>0</v>
      </c>
      <c r="EO14" s="29">
        <f>IF(OR($B14="",$A14&lt;7),"",--MID('Key Analysis'!$C10,7,1))</f>
        <v>0</v>
      </c>
      <c r="EP14" s="29">
        <f>IF(OR($B14="",$A14&lt;8),"",--MID('Key Analysis'!$C10,8,1))</f>
        <v>1</v>
      </c>
      <c r="EQ14" s="29">
        <f>IF(OR($B14="",$A14&lt;9),"",--MID('Key Analysis'!$C10,9,1))</f>
        <v>1</v>
      </c>
      <c r="ER14" s="29" t="str">
        <f>IF(OR($B14="",$A14&lt;10),"",--MID('Key Analysis'!$C10,10,1))</f>
        <v/>
      </c>
      <c r="ES14" s="29" t="str">
        <f>IF(OR($B14="",$A14&lt;11),"",--MID('Key Analysis'!$C10,11,1))</f>
        <v/>
      </c>
      <c r="ET14" s="29" t="str">
        <f>IF(OR($B14="",$A14&lt;12),"",--MID('Key Analysis'!$C10,12,1))</f>
        <v/>
      </c>
      <c r="EU14" s="29" t="str">
        <f>IF(OR($B14="",$A14&lt;13),"",--MID('Key Analysis'!$C10,13,1))</f>
        <v/>
      </c>
      <c r="EV14" s="29" t="str">
        <f>IF(OR($B14="",$A14&lt;14),"",--MID('Key Analysis'!$C10,14,1))</f>
        <v/>
      </c>
      <c r="EW14" s="29" t="str">
        <f>IF(OR($B14="",$A14&lt;15),"",--MID('Key Analysis'!$C10,15,1))</f>
        <v/>
      </c>
      <c r="EX14" s="29" t="str">
        <f>IF(OR($B14="",$A14&lt;16),"",--MID('Key Analysis'!$C10,16,1))</f>
        <v/>
      </c>
      <c r="EY14" s="29" t="str">
        <f>IF(OR($B14="",$A14&lt;17),"",--MID('Key Analysis'!$C10,17,1))</f>
        <v/>
      </c>
      <c r="EZ14" s="29" t="str">
        <f>IF(OR($B14="",$A14&lt;18),"",--MID('Key Analysis'!$C10,18,1))</f>
        <v/>
      </c>
      <c r="FA14" s="29" t="str">
        <f>IF(OR($B14="",$A14&lt;19),"",--MID('Key Analysis'!$C10,19,1))</f>
        <v/>
      </c>
      <c r="FB14" s="29" t="str">
        <f>IF(OR($B14="",$A14&lt;20),"",--MID('Key Analysis'!$C10,20,1))</f>
        <v/>
      </c>
      <c r="FC14" s="29" t="str">
        <f>IF(OR($B14="",$A14&lt;21),"",--MID('Key Analysis'!$C10,21,1))</f>
        <v/>
      </c>
      <c r="FD14" s="29" t="str">
        <f>IF(OR($B14="",$A14&lt;22),"",--MID('Key Analysis'!$C10,22,1))</f>
        <v/>
      </c>
      <c r="FE14" s="29" t="str">
        <f>IF(OR($B14="",$A14&lt;23),"",--MID('Key Analysis'!$C10,23,1))</f>
        <v/>
      </c>
      <c r="FF14" s="29" t="str">
        <f>IF(OR($B14="",$A14&lt;24),"",--MID('Key Analysis'!$C10,24,1))</f>
        <v/>
      </c>
      <c r="FG14" s="29" t="str">
        <f>IF(OR($B14="",$A14&lt;25),"",--MID('Key Analysis'!$C10,25,1))</f>
        <v/>
      </c>
      <c r="FH14" s="29" t="str">
        <f>IF(OR($B14="",$A14&lt;26),"",--MID('Key Analysis'!$C10,26,1))</f>
        <v/>
      </c>
      <c r="FI14" s="29" t="str">
        <f>IF(OR($B14="",$A14&lt;27),"",--MID('Key Analysis'!$C10,27,1))</f>
        <v/>
      </c>
      <c r="FJ14" s="29" t="str">
        <f>IF(OR($B14="",$A14&lt;28),"",--MID('Key Analysis'!$C10,28,1))</f>
        <v/>
      </c>
      <c r="FK14" s="29" t="str">
        <f>IF(OR($B14="",$A14&lt;29),"",--MID('Key Analysis'!$C10,29,1))</f>
        <v/>
      </c>
      <c r="FL14" s="29" t="str">
        <f>IF(OR($B14="",$A14&lt;30),"",--MID('Key Analysis'!$C10,30,1))</f>
        <v/>
      </c>
      <c r="FM14" s="29" t="str">
        <f>IF(OR($B14="",$A14&lt;31),"",--MID('Key Analysis'!$C10,31,1))</f>
        <v/>
      </c>
      <c r="FN14" s="29" t="str">
        <f>IF(OR($B14="",$A14&lt;32),"",--MID('Key Analysis'!$C10,32,1))</f>
        <v/>
      </c>
      <c r="FO14" s="29" t="str">
        <f>IF(OR($B14="",$A14&lt;33),"",--MID('Key Analysis'!$C10,33,1))</f>
        <v/>
      </c>
      <c r="FP14" s="29" t="str">
        <f>IF(OR($B14="",$A14&lt;34),"",--MID('Key Analysis'!$C10,34,1))</f>
        <v/>
      </c>
      <c r="FQ14" s="29" t="str">
        <f>IF(OR($B14="",$A14&lt;35),"",--MID('Key Analysis'!$C10,35,1))</f>
        <v/>
      </c>
      <c r="FR14" s="29" t="str">
        <f>IF(OR($B14="",$A14&lt;36),"",--MID('Key Analysis'!$C10,36,1))</f>
        <v/>
      </c>
      <c r="FS14" s="29" t="str">
        <f>IF(OR($B14="",$A14&lt;37),"",--MID('Key Analysis'!$C10,37,1))</f>
        <v/>
      </c>
      <c r="FT14" s="29" t="str">
        <f>IF(OR($B14="",$A14&lt;38),"",--MID('Key Analysis'!$C10,38,1))</f>
        <v/>
      </c>
      <c r="FU14" s="29" t="str">
        <f>IF(OR($B14="",$A14&lt;39),"",--MID('Key Analysis'!$C10,39,1))</f>
        <v/>
      </c>
      <c r="FV14" s="29" t="str">
        <f>IF(OR($B14="",$A14&lt;40),"",--MID('Key Analysis'!$C10,40,1))</f>
        <v/>
      </c>
      <c r="FW14" s="29" t="str">
        <f>IF(OR($B14="",$A14&lt;41),"",--MID('Key Analysis'!$C10,41,1))</f>
        <v/>
      </c>
      <c r="FX14" s="29" t="str">
        <f>IF(OR($B14="",$A14&lt;42),"",--MID('Key Analysis'!$C10,42,1))</f>
        <v/>
      </c>
      <c r="FY14" s="29" t="str">
        <f>IF(OR($B14="",$A14&lt;43),"",--MID('Key Analysis'!$C10,43,1))</f>
        <v/>
      </c>
      <c r="FZ14" s="29" t="str">
        <f>IF(OR($B14="",$A14&lt;44),"",--MID('Key Analysis'!$C10,44,1))</f>
        <v/>
      </c>
      <c r="GA14" s="29" t="str">
        <f>IF(OR($B14="",$A14&lt;45),"",--MID('Key Analysis'!$C10,45,1))</f>
        <v/>
      </c>
      <c r="GB14" s="29" t="str">
        <f>IF(OR($B14="",$A14&lt;46),"",--MID('Key Analysis'!$C10,46,1))</f>
        <v/>
      </c>
      <c r="GC14" s="29" t="str">
        <f>IF(OR($B14="",$A14&lt;47),"",--MID('Key Analysis'!$C10,47,1))</f>
        <v/>
      </c>
      <c r="GD14" s="29" t="str">
        <f>IF(OR($B14="",$A14&lt;48),"",--MID('Key Analysis'!$C10,48,1))</f>
        <v/>
      </c>
      <c r="GE14" s="29" t="str">
        <f>IF(OR($B14="",$A14&lt;49),"",--MID('Key Analysis'!$C10,49,1))</f>
        <v/>
      </c>
      <c r="GF14" s="29" t="str">
        <f>IF(OR($B14="",$A14&lt;50),"",--MID('Key Analysis'!$C10,50,1))</f>
        <v/>
      </c>
      <c r="GG14" s="29" t="str">
        <f>IF(OR($B14="",$A14&lt;51),"",--MID('Key Analysis'!$C10,51,1))</f>
        <v/>
      </c>
      <c r="GH14" s="29" t="str">
        <f>IF(OR($B14="",$A14&lt;52),"",--MID('Key Analysis'!$C10,52,1))</f>
        <v/>
      </c>
      <c r="GI14" s="29" t="str">
        <f>IF(OR($B14="",$A14&lt;53),"",--MID('Key Analysis'!$C10,53,1))</f>
        <v/>
      </c>
      <c r="GJ14" s="29" t="str">
        <f>IF(OR($B14="",$A14&lt;54),"",--MID('Key Analysis'!$C10,54,1))</f>
        <v/>
      </c>
      <c r="GK14" s="29" t="str">
        <f>IF(OR($B14="",$A14&lt;55),"",--MID('Key Analysis'!$C10,55,1))</f>
        <v/>
      </c>
      <c r="GL14" s="29" t="str">
        <f>IF(OR($B14="",$A14&lt;56),"",--MID('Key Analysis'!$C10,56,1))</f>
        <v/>
      </c>
      <c r="GM14" s="29" t="str">
        <f>IF(OR($B14="",$A14&lt;57),"",--MID('Key Analysis'!$C10,57,1))</f>
        <v/>
      </c>
      <c r="GN14" s="29" t="str">
        <f>IF(OR($B14="",$A14&lt;58),"",--MID('Key Analysis'!$C10,58,1))</f>
        <v/>
      </c>
      <c r="GO14" s="29" t="str">
        <f>IF(OR($B14="",$A14&lt;59),"",--MID('Key Analysis'!$C10,59,1))</f>
        <v/>
      </c>
      <c r="GP14" s="29" t="str">
        <f>IF(OR($B14="",$A14&lt;60),"",--MID('Key Analysis'!$C10,60,1))</f>
        <v/>
      </c>
      <c r="GQ14" s="29" t="str">
        <f>IF(OR($B14="",$A14&lt;61),"",--MID('Key Analysis'!$C10,61,1))</f>
        <v/>
      </c>
      <c r="GR14" s="29" t="str">
        <f>IF(OR($B14="",$A14&lt;62),"",--MID('Key Analysis'!$C10,62,1))</f>
        <v/>
      </c>
      <c r="GS14" s="29" t="str">
        <f>IF(OR($B14="",$A14&lt;63),"",--MID('Key Analysis'!$C10,63,1))</f>
        <v/>
      </c>
      <c r="GT14" s="29" t="str">
        <f>IF(OR($B14="",$A14&lt;64),"",--MID('Key Analysis'!$C10,64,1))</f>
        <v/>
      </c>
      <c r="GU14" s="29" t="str">
        <f>IF(OR($B14="",$A14&lt;65),"",--MID('Key Analysis'!$C10,65,1))</f>
        <v/>
      </c>
      <c r="GV14" s="29" t="str">
        <f>IF(OR($B14="",$A14&lt;66),"",--MID('Key Analysis'!$C10,66,1))</f>
        <v/>
      </c>
      <c r="GW14" s="29" t="str">
        <f>IF(OR($B14="",$A14&lt;67),"",--MID('Key Analysis'!$C10,67,1))</f>
        <v/>
      </c>
      <c r="GX14" s="29" t="str">
        <f>IF(OR($B14="",$A14&lt;68),"",--MID('Key Analysis'!$C10,68,1))</f>
        <v/>
      </c>
      <c r="GY14" s="29" t="str">
        <f>IF(OR($B14="",$A14&lt;69),"",--MID('Key Analysis'!$C10,69,1))</f>
        <v/>
      </c>
      <c r="GZ14" s="29" t="str">
        <f>IF(OR($B14="",$A14&lt;70),"",--MID('Key Analysis'!$C10,70,1))</f>
        <v/>
      </c>
      <c r="HA14" s="29" t="str">
        <f>IF(OR($B14="",$A14&lt;71),"",--MID('Key Analysis'!$C10,71,1))</f>
        <v/>
      </c>
      <c r="HB14" s="29" t="str">
        <f>IF(OR($B14="",$A14&lt;72),"",--MID('Key Analysis'!$C10,72,1))</f>
        <v/>
      </c>
      <c r="HC14" s="29" t="str">
        <f>IF(OR($B14="",$A14&lt;73),"",--MID('Key Analysis'!$C10,73,1))</f>
        <v/>
      </c>
      <c r="HD14" s="29" t="str">
        <f>IF(OR($B14="",$A14&lt;74),"",--MID('Key Analysis'!$C10,74,1))</f>
        <v/>
      </c>
      <c r="HE14" s="29" t="str">
        <f>IF(OR($B14="",$A14&lt;75),"",--MID('Key Analysis'!$C10,75,1))</f>
        <v/>
      </c>
      <c r="HF14" s="29" t="str">
        <f>IF(OR($B14="",$A14&lt;76),"",--MID('Key Analysis'!$C10,76,1))</f>
        <v/>
      </c>
      <c r="HG14" s="29" t="str">
        <f>IF(OR($B14="",$A14&lt;77),"",--MID('Key Analysis'!$C10,77,1))</f>
        <v/>
      </c>
      <c r="HH14" s="29" t="str">
        <f>IF(OR($B14="",$A14&lt;78),"",--MID('Key Analysis'!$C10,78,1))</f>
        <v/>
      </c>
      <c r="HI14" s="29" t="str">
        <f>IF(OR($B14="",$A14&lt;79),"",--MID('Key Analysis'!$C10,79,1))</f>
        <v/>
      </c>
      <c r="HJ14" s="29" t="str">
        <f>IF(OR($B14="",$A14&lt;80),"",--MID('Key Analysis'!$C10,80,1))</f>
        <v/>
      </c>
      <c r="HK14" s="29" t="str">
        <f>IF(OR($B14="",$A14&lt;81),"",--MID('Key Analysis'!$C10,81,1))</f>
        <v/>
      </c>
      <c r="HL14" s="29" t="str">
        <f>IF(OR($B14="",$A14&lt;82),"",--MID('Key Analysis'!$C10,82,1))</f>
        <v/>
      </c>
      <c r="HM14" s="29" t="str">
        <f>IF(OR($B14="",$A14&lt;83),"",--MID('Key Analysis'!$C10,83,1))</f>
        <v/>
      </c>
      <c r="HN14" s="29" t="str">
        <f>IF(OR($B14="",$A14&lt;84),"",--MID('Key Analysis'!$C10,84,1))</f>
        <v/>
      </c>
      <c r="HO14" s="29" t="str">
        <f>IF(OR($B14="",$A14&lt;85),"",--MID('Key Analysis'!$C10,85,1))</f>
        <v/>
      </c>
      <c r="HP14" s="29" t="str">
        <f>IF(OR($B14="",$A14&lt;86),"",--MID('Key Analysis'!$C10,86,1))</f>
        <v/>
      </c>
      <c r="HQ14" s="29" t="str">
        <f>IF(OR($B14="",$A14&lt;87),"",--MID('Key Analysis'!$C10,87,1))</f>
        <v/>
      </c>
      <c r="HR14" s="29" t="str">
        <f>IF(OR($B14="",$A14&lt;88),"",--MID('Key Analysis'!$C10,88,1))</f>
        <v/>
      </c>
      <c r="HS14" s="29" t="str">
        <f>IF(OR($B14="",$A14&lt;89),"",--MID('Key Analysis'!$C10,89,1))</f>
        <v/>
      </c>
      <c r="HT14" s="29" t="str">
        <f>IF(OR($B14="",$A14&lt;90),"",--MID('Key Analysis'!$C10,90,1))</f>
        <v/>
      </c>
      <c r="HU14" s="29" t="str">
        <f>IF(OR($B14="",$A14&lt;91),"",--MID('Key Analysis'!$C10,91,1))</f>
        <v/>
      </c>
      <c r="HV14" s="29" t="str">
        <f>IF(OR($B14="",$A14&lt;92),"",--MID('Key Analysis'!$C10,92,1))</f>
        <v/>
      </c>
      <c r="HW14" s="29" t="str">
        <f>IF(OR($B14="",$A14&lt;93),"",--MID('Key Analysis'!$C10,93,1))</f>
        <v/>
      </c>
      <c r="HX14" s="29" t="str">
        <f>IF(OR($B14="",$A14&lt;94),"",--MID('Key Analysis'!$C10,94,1))</f>
        <v/>
      </c>
      <c r="HY14" s="29" t="str">
        <f>IF(OR($B14="",$A14&lt;95),"",--MID('Key Analysis'!$C10,95,1))</f>
        <v/>
      </c>
      <c r="HZ14" s="29" t="str">
        <f>IF(OR($B14="",$A14&lt;96),"",--MID('Key Analysis'!$C10,96,1))</f>
        <v/>
      </c>
      <c r="IA14" s="29" t="str">
        <f>IF(OR($B14="",$A14&lt;97),"",--MID('Key Analysis'!$C10,97,1))</f>
        <v/>
      </c>
      <c r="IB14" s="29" t="str">
        <f>IF(OR($B14="",$A14&lt;98),"",--MID('Key Analysis'!$C10,98,1))</f>
        <v/>
      </c>
      <c r="IC14" s="29" t="str">
        <f>IF(OR($B14="",$A14&lt;99),"",--MID('Key Analysis'!$C10,99,1))</f>
        <v/>
      </c>
      <c r="ID14" s="29" t="str">
        <f>IF(OR($B14="",$A14&lt;100),"",--MID('Key Analysis'!$C10,100,1))</f>
        <v/>
      </c>
      <c r="IE14" s="29" t="str">
        <f>IF(OR($B14="",$A14&lt;101),"",--MID('Key Analysis'!$C10,101,1))</f>
        <v/>
      </c>
      <c r="IF14" s="29" t="str">
        <f>IF(OR($B14="",$A14&lt;102),"",--MID('Key Analysis'!$C10,102,1))</f>
        <v/>
      </c>
      <c r="IG14" s="29" t="str">
        <f>IF(OR($B14="",$A14&lt;103),"",--MID('Key Analysis'!$C10,103,1))</f>
        <v/>
      </c>
      <c r="IH14" s="29" t="str">
        <f>IF(OR($B14="",$A14&lt;104),"",--MID('Key Analysis'!$C10,104,1))</f>
        <v/>
      </c>
      <c r="II14" s="29" t="str">
        <f>IF(OR($B14="",$A14&lt;105),"",--MID('Key Analysis'!$C10,105,1))</f>
        <v/>
      </c>
      <c r="IJ14" s="29" t="str">
        <f>IF(OR($B14="",$A14&lt;106),"",--MID('Key Analysis'!$C10,106,1))</f>
        <v/>
      </c>
      <c r="IK14" s="29" t="str">
        <f>IF(OR($B14="",$A14&lt;107),"",--MID('Key Analysis'!$C10,107,1))</f>
        <v/>
      </c>
      <c r="IL14" s="29" t="str">
        <f>IF(OR($B14="",$A14&lt;108),"",--MID('Key Analysis'!$C10,108,1))</f>
        <v/>
      </c>
      <c r="IM14" s="29" t="str">
        <f>IF(OR($B14="",$A14&lt;109),"",--MID('Key Analysis'!$C10,109,1))</f>
        <v/>
      </c>
      <c r="IN14" s="29" t="str">
        <f>IF(OR($B14="",$A14&lt;110),"",--MID('Key Analysis'!$C10,110,1))</f>
        <v/>
      </c>
      <c r="IO14" s="29" t="str">
        <f>IF(OR($B14="",$A14&lt;111),"",--MID('Key Analysis'!$C10,111,1))</f>
        <v/>
      </c>
      <c r="IP14" s="29" t="str">
        <f>IF(OR($B14="",$A14&lt;112),"",--MID('Key Analysis'!$C10,112,1))</f>
        <v/>
      </c>
      <c r="IQ14" s="29" t="str">
        <f>IF(OR($B14="",$A14&lt;113),"",--MID('Key Analysis'!$C10,113,1))</f>
        <v/>
      </c>
      <c r="IR14" s="29" t="str">
        <f>IF(OR($B14="",$A14&lt;114),"",--MID('Key Analysis'!$C10,114,1))</f>
        <v/>
      </c>
      <c r="IS14" s="29" t="str">
        <f>IF(OR($B14="",$A14&lt;115),"",--MID('Key Analysis'!$C10,115,1))</f>
        <v/>
      </c>
      <c r="IT14" s="29" t="str">
        <f>IF(OR($B14="",$A14&lt;116),"",--MID('Key Analysis'!$C10,116,1))</f>
        <v/>
      </c>
      <c r="IU14" s="29" t="str">
        <f>IF(OR($B14="",$A14&lt;117),"",--MID('Key Analysis'!$C10,117,1))</f>
        <v/>
      </c>
      <c r="IV14" s="29" t="str">
        <f>IF(OR($B14="",$A14&lt;118),"",--MID('Key Analysis'!$C10,118,1))</f>
        <v/>
      </c>
      <c r="IW14" s="29" t="str">
        <f>IF(OR($B14="",$A14&lt;119),"",--MID('Key Analysis'!$C10,119,1))</f>
        <v/>
      </c>
      <c r="IX14" s="29" t="str">
        <f>IF(OR($B14="",$A14&lt;120),"",--MID('Key Analysis'!$C10,120,1))</f>
        <v/>
      </c>
      <c r="IY14" s="29" t="str">
        <f>IF(OR($B14="",$A14&lt;121),"",--MID('Key Analysis'!$C10,121,1))</f>
        <v/>
      </c>
      <c r="IZ14" s="29" t="str">
        <f>IF(OR($B14="",$A14&lt;122),"",--MID('Key Analysis'!$C10,122,1))</f>
        <v/>
      </c>
      <c r="JA14" s="29" t="str">
        <f>IF(OR($B14="",$A14&lt;123),"",--MID('Key Analysis'!$C10,123,1))</f>
        <v/>
      </c>
      <c r="JB14" s="29" t="str">
        <f>IF(OR($B14="",$A14&lt;124),"",--MID('Key Analysis'!$C10,124,1))</f>
        <v/>
      </c>
      <c r="JC14" s="29" t="str">
        <f>IF(OR($B14="",$A14&lt;125),"",--MID('Key Analysis'!$C10,125,1))</f>
        <v/>
      </c>
      <c r="JD14" s="29" t="str">
        <f>IF(OR($B14="",$A14&lt;126),"",--MID('Key Analysis'!$C10,126,1))</f>
        <v/>
      </c>
      <c r="JE14" s="29" t="str">
        <f>IF(OR($B14="",$A14&lt;127),"",--MID('Key Analysis'!$C10,127,1))</f>
        <v/>
      </c>
      <c r="JF14" s="29" t="str">
        <f>IF(OR($B14="",$A14&lt;128),"",--MID('Key Analysis'!$C10,128,1))</f>
        <v/>
      </c>
      <c r="JG14" s="29" t="str">
        <f>IF(OR($B14="",$A14&lt;129),"",--MID('Key Analysis'!$C10,129,1))</f>
        <v/>
      </c>
      <c r="JH14" s="29" t="str">
        <f>IF(OR($B14="",$A14&lt;130),"",--MID('Key Analysis'!$C10,130,1))</f>
        <v/>
      </c>
      <c r="JI14" s="29" t="str">
        <f>IF(OR($B14="",$A14&lt;131),"",--MID('Key Analysis'!$C10,131,1))</f>
        <v/>
      </c>
      <c r="JJ14" s="29" t="str">
        <f>IF(OR($B14="",$A14&lt;132),"",--MID('Key Analysis'!$C10,132,1))</f>
        <v/>
      </c>
      <c r="JK14" s="29" t="str">
        <f>IF(OR($B14="",$A14&lt;133),"",--MID('Key Analysis'!$C10,133,1))</f>
        <v/>
      </c>
      <c r="JL14" s="29" t="str">
        <f>IF(OR($B14="",$A14&lt;134),"",--MID('Key Analysis'!$C10,134,1))</f>
        <v/>
      </c>
      <c r="JM14" s="29" t="str">
        <f>IF(OR($B14="",$A14&lt;135),"",--MID('Key Analysis'!$C10,135,1))</f>
        <v/>
      </c>
    </row>
    <row r="15" spans="1:273" x14ac:dyDescent="0.25">
      <c r="A15" s="21">
        <f>'Key Analysis'!A11</f>
        <v>10</v>
      </c>
      <c r="B15" s="30" t="str">
        <f>'Key Analysis'!B11</f>
        <v>202</v>
      </c>
      <c r="C15" s="29">
        <f>IF(OR($B15="",$A15&lt;=0),"",--MID('Key Analysis'!$C11,$A15-0,1))</f>
        <v>0</v>
      </c>
      <c r="D15" s="29">
        <f>IF(OR($B15="",$A15&lt;=1),"",--MID('Key Analysis'!$C11,$A15-1,1))</f>
        <v>1</v>
      </c>
      <c r="E15" s="29">
        <f>IF(OR($B15="",$A15&lt;=2),"",--MID('Key Analysis'!$C11,$A15-2,1))</f>
        <v>0</v>
      </c>
      <c r="F15" s="29">
        <f>IF(OR($B15="",$A15&lt;=3),"",--MID('Key Analysis'!$C11,$A15-3,1))</f>
        <v>0</v>
      </c>
      <c r="G15" s="29">
        <f>IF(OR($B15="",$A15&lt;=4),"",--MID('Key Analysis'!$C11,$A15-4,1))</f>
        <v>0</v>
      </c>
      <c r="H15" s="29">
        <f>IF(OR($B15="",$A15&lt;=5),"",--MID('Key Analysis'!$C11,$A15-5,1))</f>
        <v>0</v>
      </c>
      <c r="I15" s="29">
        <f>IF(OR($B15="",$A15&lt;=6),"",--MID('Key Analysis'!$C11,$A15-6,1))</f>
        <v>0</v>
      </c>
      <c r="J15" s="29">
        <f>IF(OR($B15="",$A15&lt;=7),"",--MID('Key Analysis'!$C11,$A15-7,1))</f>
        <v>0</v>
      </c>
      <c r="K15" s="29">
        <f>IF(OR($B15="",$A15&lt;=8),"",--MID('Key Analysis'!$C11,$A15-8,1))</f>
        <v>0</v>
      </c>
      <c r="L15" s="29">
        <f>IF(OR($B15="",$A15&lt;=9),"",--MID('Key Analysis'!$C11,$A15-9,1))</f>
        <v>1</v>
      </c>
      <c r="M15" s="29" t="str">
        <f>IF(OR($B15="",$A15&lt;=10),"",--MID('Key Analysis'!$C11,$A15-10,1))</f>
        <v/>
      </c>
      <c r="N15" s="29" t="str">
        <f>IF(OR($B15="",$A15&lt;=11),"",--MID('Key Analysis'!$C11,$A15-11,1))</f>
        <v/>
      </c>
      <c r="O15" s="29" t="str">
        <f>IF(OR($B15="",$A15&lt;=12),"",--MID('Key Analysis'!$C11,$A15-12,1))</f>
        <v/>
      </c>
      <c r="P15" s="29" t="str">
        <f>IF(OR($B15="",$A15&lt;=13),"",--MID('Key Analysis'!$C11,$A15-13,1))</f>
        <v/>
      </c>
      <c r="Q15" s="29" t="str">
        <f>IF(OR($B15="",$A15&lt;=14),"",--MID('Key Analysis'!$C11,$A15-14,1))</f>
        <v/>
      </c>
      <c r="R15" s="29" t="str">
        <f>IF(OR($B15="",$A15&lt;=15),"",--MID('Key Analysis'!$C11,$A15-15,1))</f>
        <v/>
      </c>
      <c r="S15" s="29" t="str">
        <f>IF(OR($B15="",$A15&lt;=16),"",--MID('Key Analysis'!$C11,$A15-16,1))</f>
        <v/>
      </c>
      <c r="T15" s="29" t="str">
        <f>IF(OR($B15="",$A15&lt;=17),"",--MID('Key Analysis'!$C11,$A15-17,1))</f>
        <v/>
      </c>
      <c r="U15" s="29" t="str">
        <f>IF(OR($B15="",$A15&lt;=18),"",--MID('Key Analysis'!$C11,$A15-18,1))</f>
        <v/>
      </c>
      <c r="V15" s="29" t="str">
        <f>IF(OR($B15="",$A15&lt;=19),"",--MID('Key Analysis'!$C11,$A15-19,1))</f>
        <v/>
      </c>
      <c r="W15" s="29" t="str">
        <f>IF(OR($B15="",$A15&lt;=20),"",--MID('Key Analysis'!$C11,$A15-20,1))</f>
        <v/>
      </c>
      <c r="X15" s="29" t="str">
        <f>IF(OR($B15="",$A15&lt;=21),"",--MID('Key Analysis'!$C11,$A15-21,1))</f>
        <v/>
      </c>
      <c r="Y15" s="29" t="str">
        <f>IF(OR($B15="",$A15&lt;=22),"",--MID('Key Analysis'!$C11,$A15-22,1))</f>
        <v/>
      </c>
      <c r="Z15" s="29" t="str">
        <f>IF(OR($B15="",$A15&lt;=23),"",--MID('Key Analysis'!$C11,$A15-23,1))</f>
        <v/>
      </c>
      <c r="AA15" s="29" t="str">
        <f>IF(OR($B15="",$A15&lt;=24),"",--MID('Key Analysis'!$C11,$A15-24,1))</f>
        <v/>
      </c>
      <c r="AB15" s="29" t="str">
        <f>IF(OR($B15="",$A15&lt;=25),"",--MID('Key Analysis'!$C11,$A15-25,1))</f>
        <v/>
      </c>
      <c r="AC15" s="29" t="str">
        <f>IF(OR($B15="",$A15&lt;=26),"",--MID('Key Analysis'!$C11,$A15-26,1))</f>
        <v/>
      </c>
      <c r="AD15" s="29" t="str">
        <f>IF(OR($B15="",$A15&lt;=27),"",--MID('Key Analysis'!$C11,$A15-27,1))</f>
        <v/>
      </c>
      <c r="AE15" s="29" t="str">
        <f>IF(OR($B15="",$A15&lt;=28),"",--MID('Key Analysis'!$C11,$A15-28,1))</f>
        <v/>
      </c>
      <c r="AF15" s="29" t="str">
        <f>IF(OR($B15="",$A15&lt;=29),"",--MID('Key Analysis'!$C11,$A15-29,1))</f>
        <v/>
      </c>
      <c r="AG15" s="29" t="str">
        <f>IF(OR($B15="",$A15&lt;=30),"",--MID('Key Analysis'!$C11,$A15-30,1))</f>
        <v/>
      </c>
      <c r="AH15" s="29" t="str">
        <f>IF(OR($B15="",$A15&lt;=31),"",--MID('Key Analysis'!$C11,$A15-31,1))</f>
        <v/>
      </c>
      <c r="AI15" s="29" t="str">
        <f>IF(OR($B15="",$A15&lt;=32),"",--MID('Key Analysis'!$C11,$A15-32,1))</f>
        <v/>
      </c>
      <c r="AJ15" s="29" t="str">
        <f>IF(OR($B15="",$A15&lt;=33),"",--MID('Key Analysis'!$C11,$A15-33,1))</f>
        <v/>
      </c>
      <c r="AK15" s="29" t="str">
        <f>IF(OR($B15="",$A15&lt;=34),"",--MID('Key Analysis'!$C11,$A15-34,1))</f>
        <v/>
      </c>
      <c r="AL15" s="29" t="str">
        <f>IF(OR($B15="",$A15&lt;=35),"",--MID('Key Analysis'!$C11,$A15-35,1))</f>
        <v/>
      </c>
      <c r="AM15" s="29" t="str">
        <f>IF(OR($B15="",$A15&lt;=36),"",--MID('Key Analysis'!$C11,$A15-36,1))</f>
        <v/>
      </c>
      <c r="AN15" s="29" t="str">
        <f>IF(OR($B15="",$A15&lt;=37),"",--MID('Key Analysis'!$C11,$A15-37,1))</f>
        <v/>
      </c>
      <c r="AO15" s="29" t="str">
        <f>IF(OR($B15="",$A15&lt;=38),"",--MID('Key Analysis'!$C11,$A15-38,1))</f>
        <v/>
      </c>
      <c r="AP15" s="29" t="str">
        <f>IF(OR($B15="",$A15&lt;=39),"",--MID('Key Analysis'!$C11,$A15-39,1))</f>
        <v/>
      </c>
      <c r="AQ15" s="29" t="str">
        <f>IF(OR($B15="",$A15&lt;=40),"",--MID('Key Analysis'!$C11,$A15-40,1))</f>
        <v/>
      </c>
      <c r="AR15" s="29" t="str">
        <f>IF(OR($B15="",$A15&lt;=41),"",--MID('Key Analysis'!$C11,$A15-41,1))</f>
        <v/>
      </c>
      <c r="AS15" s="29" t="str">
        <f>IF(OR($B15="",$A15&lt;=42),"",--MID('Key Analysis'!$C11,$A15-42,1))</f>
        <v/>
      </c>
      <c r="AT15" s="29" t="str">
        <f>IF(OR($B15="",$A15&lt;=43),"",--MID('Key Analysis'!$C11,$A15-43,1))</f>
        <v/>
      </c>
      <c r="AU15" s="29" t="str">
        <f>IF(OR($B15="",$A15&lt;=44),"",--MID('Key Analysis'!$C11,$A15-44,1))</f>
        <v/>
      </c>
      <c r="AV15" s="29" t="str">
        <f>IF(OR($B15="",$A15&lt;=45),"",--MID('Key Analysis'!$C11,$A15-45,1))</f>
        <v/>
      </c>
      <c r="AW15" s="29" t="str">
        <f>IF(OR($B15="",$A15&lt;=46),"",--MID('Key Analysis'!$C11,$A15-46,1))</f>
        <v/>
      </c>
      <c r="AX15" s="29" t="str">
        <f>IF(OR($B15="",$A15&lt;=47),"",--MID('Key Analysis'!$C11,$A15-47,1))</f>
        <v/>
      </c>
      <c r="AY15" s="29" t="str">
        <f>IF(OR($B15="",$A15&lt;=48),"",--MID('Key Analysis'!$C11,$A15-48,1))</f>
        <v/>
      </c>
      <c r="AZ15" s="29" t="str">
        <f>IF(OR($B15="",$A15&lt;=49),"",--MID('Key Analysis'!$C11,$A15-49,1))</f>
        <v/>
      </c>
      <c r="BA15" s="29" t="str">
        <f>IF(OR($B15="",$A15&lt;=50),"",--MID('Key Analysis'!$C11,$A15-50,1))</f>
        <v/>
      </c>
      <c r="BB15" s="29" t="str">
        <f>IF(OR($B15="",$A15&lt;=51),"",--MID('Key Analysis'!$C11,$A15-51,1))</f>
        <v/>
      </c>
      <c r="BC15" s="29" t="str">
        <f>IF(OR($B15="",$A15&lt;=52),"",--MID('Key Analysis'!$C11,$A15-52,1))</f>
        <v/>
      </c>
      <c r="BD15" s="29" t="str">
        <f>IF(OR($B15="",$A15&lt;=53),"",--MID('Key Analysis'!$C11,$A15-53,1))</f>
        <v/>
      </c>
      <c r="BE15" s="29" t="str">
        <f>IF(OR($B15="",$A15&lt;=54),"",--MID('Key Analysis'!$C11,$A15-54,1))</f>
        <v/>
      </c>
      <c r="BF15" s="29" t="str">
        <f>IF(OR($B15="",$A15&lt;=55),"",--MID('Key Analysis'!$C11,$A15-55,1))</f>
        <v/>
      </c>
      <c r="BG15" s="29" t="str">
        <f>IF(OR($B15="",$A15&lt;=56),"",--MID('Key Analysis'!$C11,$A15-56,1))</f>
        <v/>
      </c>
      <c r="BH15" s="29" t="str">
        <f>IF(OR($B15="",$A15&lt;=57),"",--MID('Key Analysis'!$C11,$A15-57,1))</f>
        <v/>
      </c>
      <c r="BI15" s="29" t="str">
        <f>IF(OR($B15="",$A15&lt;=58),"",--MID('Key Analysis'!$C11,$A15-58,1))</f>
        <v/>
      </c>
      <c r="BJ15" s="29" t="str">
        <f>IF(OR($B15="",$A15&lt;=59),"",--MID('Key Analysis'!$C11,$A15-59,1))</f>
        <v/>
      </c>
      <c r="BK15" s="29" t="str">
        <f>IF(OR($B15="",$A15&lt;=60),"",--MID('Key Analysis'!$C11,$A15-60,1))</f>
        <v/>
      </c>
      <c r="BL15" s="29" t="str">
        <f>IF(OR($B15="",$A15&lt;=61),"",--MID('Key Analysis'!$C11,$A15-61,1))</f>
        <v/>
      </c>
      <c r="BM15" s="29" t="str">
        <f>IF(OR($B15="",$A15&lt;=62),"",--MID('Key Analysis'!$C11,$A15-62,1))</f>
        <v/>
      </c>
      <c r="BN15" s="29" t="str">
        <f>IF(OR($B15="",$A15&lt;=63),"",--MID('Key Analysis'!$C11,$A15-63,1))</f>
        <v/>
      </c>
      <c r="BO15" s="29" t="str">
        <f>IF(OR($B15="",$A15&lt;=64),"",--MID('Key Analysis'!$C11,$A15-64,1))</f>
        <v/>
      </c>
      <c r="BP15" s="29" t="str">
        <f>IF(OR($B15="",$A15&lt;=65),"",--MID('Key Analysis'!$C11,$A15-65,1))</f>
        <v/>
      </c>
      <c r="BQ15" s="29" t="str">
        <f>IF(OR($B15="",$A15&lt;=66),"",--MID('Key Analysis'!$C11,$A15-66,1))</f>
        <v/>
      </c>
      <c r="BR15" s="29" t="str">
        <f>IF(OR($B15="",$A15&lt;=67),"",--MID('Key Analysis'!$C11,$A15-67,1))</f>
        <v/>
      </c>
      <c r="BS15" s="29" t="str">
        <f>IF(OR($B15="",$A15&lt;=68),"",--MID('Key Analysis'!$C11,$A15-68,1))</f>
        <v/>
      </c>
      <c r="BT15" s="29" t="str">
        <f>IF(OR($B15="",$A15&lt;=69),"",--MID('Key Analysis'!$C11,$A15-69,1))</f>
        <v/>
      </c>
      <c r="BU15" s="29" t="str">
        <f>IF(OR($B15="",$A15&lt;=70),"",--MID('Key Analysis'!$C11,$A15-70,1))</f>
        <v/>
      </c>
      <c r="BV15" s="29" t="str">
        <f>IF(OR($B15="",$A15&lt;=71),"",--MID('Key Analysis'!$C11,$A15-71,1))</f>
        <v/>
      </c>
      <c r="BW15" s="29" t="str">
        <f>IF(OR($B15="",$A15&lt;=72),"",--MID('Key Analysis'!$C11,$A15-72,1))</f>
        <v/>
      </c>
      <c r="BX15" s="29" t="str">
        <f>IF(OR($B15="",$A15&lt;=73),"",--MID('Key Analysis'!$C11,$A15-73,1))</f>
        <v/>
      </c>
      <c r="BY15" s="29" t="str">
        <f>IF(OR($B15="",$A15&lt;=74),"",--MID('Key Analysis'!$C11,$A15-74,1))</f>
        <v/>
      </c>
      <c r="BZ15" s="29" t="str">
        <f>IF(OR($B15="",$A15&lt;=75),"",--MID('Key Analysis'!$C11,$A15-75,1))</f>
        <v/>
      </c>
      <c r="CA15" s="29" t="str">
        <f>IF(OR($B15="",$A15&lt;=76),"",--MID('Key Analysis'!$C11,$A15-76,1))</f>
        <v/>
      </c>
      <c r="CB15" s="29" t="str">
        <f>IF(OR($B15="",$A15&lt;=77),"",--MID('Key Analysis'!$C11,$A15-77,1))</f>
        <v/>
      </c>
      <c r="CC15" s="29" t="str">
        <f>IF(OR($B15="",$A15&lt;=78),"",--MID('Key Analysis'!$C11,$A15-78,1))</f>
        <v/>
      </c>
      <c r="CD15" s="29" t="str">
        <f>IF(OR($B15="",$A15&lt;=79),"",--MID('Key Analysis'!$C11,$A15-79,1))</f>
        <v/>
      </c>
      <c r="CE15" s="29" t="str">
        <f>IF(OR($B15="",$A15&lt;=80),"",--MID('Key Analysis'!$C11,$A15-80,1))</f>
        <v/>
      </c>
      <c r="CF15" s="29" t="str">
        <f>IF(OR($B15="",$A15&lt;=81),"",--MID('Key Analysis'!$C11,$A15-81,1))</f>
        <v/>
      </c>
      <c r="CG15" s="29" t="str">
        <f>IF(OR($B15="",$A15&lt;=82),"",--MID('Key Analysis'!$C11,$A15-82,1))</f>
        <v/>
      </c>
      <c r="CH15" s="29" t="str">
        <f>IF(OR($B15="",$A15&lt;=83),"",--MID('Key Analysis'!$C11,$A15-83,1))</f>
        <v/>
      </c>
      <c r="CI15" s="29" t="str">
        <f>IF(OR($B15="",$A15&lt;=84),"",--MID('Key Analysis'!$C11,$A15-84,1))</f>
        <v/>
      </c>
      <c r="CJ15" s="29" t="str">
        <f>IF(OR($B15="",$A15&lt;=85),"",--MID('Key Analysis'!$C11,$A15-85,1))</f>
        <v/>
      </c>
      <c r="CK15" s="29" t="str">
        <f>IF(OR($B15="",$A15&lt;=86),"",--MID('Key Analysis'!$C11,$A15-86,1))</f>
        <v/>
      </c>
      <c r="CL15" s="29" t="str">
        <f>IF(OR($B15="",$A15&lt;=87),"",--MID('Key Analysis'!$C11,$A15-87,1))</f>
        <v/>
      </c>
      <c r="CM15" s="29" t="str">
        <f>IF(OR($B15="",$A15&lt;=88),"",--MID('Key Analysis'!$C11,$A15-88,1))</f>
        <v/>
      </c>
      <c r="CN15" s="29" t="str">
        <f>IF(OR($B15="",$A15&lt;=89),"",--MID('Key Analysis'!$C11,$A15-89,1))</f>
        <v/>
      </c>
      <c r="CO15" s="29" t="str">
        <f>IF(OR($B15="",$A15&lt;=90),"",--MID('Key Analysis'!$C11,$A15-90,1))</f>
        <v/>
      </c>
      <c r="CP15" s="29" t="str">
        <f>IF(OR($B15="",$A15&lt;=91),"",--MID('Key Analysis'!$C11,$A15-91,1))</f>
        <v/>
      </c>
      <c r="CQ15" s="29" t="str">
        <f>IF(OR($B15="",$A15&lt;=92),"",--MID('Key Analysis'!$C11,$A15-92,1))</f>
        <v/>
      </c>
      <c r="CR15" s="29" t="str">
        <f>IF(OR($B15="",$A15&lt;=93),"",--MID('Key Analysis'!$C11,$A15-93,1))</f>
        <v/>
      </c>
      <c r="CS15" s="29" t="str">
        <f>IF(OR($B15="",$A15&lt;=94),"",--MID('Key Analysis'!$C11,$A15-94,1))</f>
        <v/>
      </c>
      <c r="CT15" s="29" t="str">
        <f>IF(OR($B15="",$A15&lt;=95),"",--MID('Key Analysis'!$C11,$A15-95,1))</f>
        <v/>
      </c>
      <c r="CU15" s="29" t="str">
        <f>IF(OR($B15="",$A15&lt;=96),"",--MID('Key Analysis'!$C11,$A15-96,1))</f>
        <v/>
      </c>
      <c r="CV15" s="29" t="str">
        <f>IF(OR($B15="",$A15&lt;=97),"",--MID('Key Analysis'!$C11,$A15-97,1))</f>
        <v/>
      </c>
      <c r="CW15" s="29" t="str">
        <f>IF(OR($B15="",$A15&lt;=98),"",--MID('Key Analysis'!$C11,$A15-98,1))</f>
        <v/>
      </c>
      <c r="CX15" s="29" t="str">
        <f>IF(OR($B15="",$A15&lt;=99),"",--MID('Key Analysis'!$C11,$A15-99,1))</f>
        <v/>
      </c>
      <c r="CY15" s="29" t="str">
        <f>IF(OR($B15="",$A15&lt;=100),"",--MID('Key Analysis'!$C11,$A15-100,1))</f>
        <v/>
      </c>
      <c r="CZ15" s="29" t="str">
        <f>IF(OR($B15="",$A15&lt;=101),"",--MID('Key Analysis'!$C11,$A15-101,1))</f>
        <v/>
      </c>
      <c r="DA15" s="29" t="str">
        <f>IF(OR($B15="",$A15&lt;=102),"",--MID('Key Analysis'!$C11,$A15-102,1))</f>
        <v/>
      </c>
      <c r="DB15" s="29" t="str">
        <f>IF(OR($B15="",$A15&lt;=103),"",--MID('Key Analysis'!$C11,$A15-103,1))</f>
        <v/>
      </c>
      <c r="DC15" s="29" t="str">
        <f>IF(OR($B15="",$A15&lt;=104),"",--MID('Key Analysis'!$C11,$A15-104,1))</f>
        <v/>
      </c>
      <c r="DD15" s="29" t="str">
        <f>IF(OR($B15="",$A15&lt;=105),"",--MID('Key Analysis'!$C11,$A15-105,1))</f>
        <v/>
      </c>
      <c r="DE15" s="29" t="str">
        <f>IF(OR($B15="",$A15&lt;=106),"",--MID('Key Analysis'!$C11,$A15-106,1))</f>
        <v/>
      </c>
      <c r="DF15" s="29" t="str">
        <f>IF(OR($B15="",$A15&lt;=107),"",--MID('Key Analysis'!$C11,$A15-107,1))</f>
        <v/>
      </c>
      <c r="DG15" s="29" t="str">
        <f>IF(OR($B15="",$A15&lt;=108),"",--MID('Key Analysis'!$C11,$A15-108,1))</f>
        <v/>
      </c>
      <c r="DH15" s="29" t="str">
        <f>IF(OR($B15="",$A15&lt;=109),"",--MID('Key Analysis'!$C11,$A15-109,1))</f>
        <v/>
      </c>
      <c r="DI15" s="29" t="str">
        <f>IF(OR($B15="",$A15&lt;=110),"",--MID('Key Analysis'!$C11,$A15-110,1))</f>
        <v/>
      </c>
      <c r="DJ15" s="29" t="str">
        <f>IF(OR($B15="",$A15&lt;=111),"",--MID('Key Analysis'!$C11,$A15-111,1))</f>
        <v/>
      </c>
      <c r="DK15" s="29" t="str">
        <f>IF(OR($B15="",$A15&lt;=112),"",--MID('Key Analysis'!$C11,$A15-112,1))</f>
        <v/>
      </c>
      <c r="DL15" s="29" t="str">
        <f>IF(OR($B15="",$A15&lt;=113),"",--MID('Key Analysis'!$C11,$A15-113,1))</f>
        <v/>
      </c>
      <c r="DM15" s="29" t="str">
        <f>IF(OR($B15="",$A15&lt;=114),"",--MID('Key Analysis'!$C11,$A15-114,1))</f>
        <v/>
      </c>
      <c r="DN15" s="29" t="str">
        <f>IF(OR($B15="",$A15&lt;=115),"",--MID('Key Analysis'!$C11,$A15-115,1))</f>
        <v/>
      </c>
      <c r="DO15" s="29" t="str">
        <f>IF(OR($B15="",$A15&lt;=116),"",--MID('Key Analysis'!$C11,$A15-116,1))</f>
        <v/>
      </c>
      <c r="DP15" s="29" t="str">
        <f>IF(OR($B15="",$A15&lt;=117),"",--MID('Key Analysis'!$C11,$A15-117,1))</f>
        <v/>
      </c>
      <c r="DQ15" s="29" t="str">
        <f>IF(OR($B15="",$A15&lt;=118),"",--MID('Key Analysis'!$C11,$A15-118,1))</f>
        <v/>
      </c>
      <c r="DR15" s="29" t="str">
        <f>IF(OR($B15="",$A15&lt;=119),"",--MID('Key Analysis'!$C11,$A15-119,1))</f>
        <v/>
      </c>
      <c r="DS15" s="29" t="str">
        <f>IF(OR($B15="",$A15&lt;=120),"",--MID('Key Analysis'!$C11,$A15-120,1))</f>
        <v/>
      </c>
      <c r="DT15" s="29" t="str">
        <f>IF(OR($B15="",$A15&lt;=121),"",--MID('Key Analysis'!$C11,$A15-121,1))</f>
        <v/>
      </c>
      <c r="DU15" s="29" t="str">
        <f>IF(OR($B15="",$A15&lt;=122),"",--MID('Key Analysis'!$C11,$A15-122,1))</f>
        <v/>
      </c>
      <c r="DV15" s="29" t="str">
        <f>IF(OR($B15="",$A15&lt;=123),"",--MID('Key Analysis'!$C11,$A15-123,1))</f>
        <v/>
      </c>
      <c r="DW15" s="29" t="str">
        <f>IF(OR($B15="",$A15&lt;=124),"",--MID('Key Analysis'!$C11,$A15-124,1))</f>
        <v/>
      </c>
      <c r="DX15" s="29" t="str">
        <f>IF(OR($B15="",$A15&lt;=125),"",--MID('Key Analysis'!$C11,$A15-125,1))</f>
        <v/>
      </c>
      <c r="DY15" s="29" t="str">
        <f>IF(OR($B15="",$A15&lt;=126),"",--MID('Key Analysis'!$C11,$A15-126,1))</f>
        <v/>
      </c>
      <c r="DZ15" s="29" t="str">
        <f>IF(OR($B15="",$A15&lt;=127),"",--MID('Key Analysis'!$C11,$A15-127,1))</f>
        <v/>
      </c>
      <c r="EA15" s="29" t="str">
        <f>IF(OR($B15="",$A15&lt;=128),"",--MID('Key Analysis'!$C11,$A15-128,1))</f>
        <v/>
      </c>
      <c r="EB15" s="29" t="str">
        <f>IF(OR($B15="",$A15&lt;=129),"",--MID('Key Analysis'!$C11,$A15-129,1))</f>
        <v/>
      </c>
      <c r="EC15" s="29" t="str">
        <f>IF(OR($B15="",$A15&lt;=130),"",--MID('Key Analysis'!$C11,$A15-130,1))</f>
        <v/>
      </c>
      <c r="ED15" s="29" t="str">
        <f>IF(OR($B15="",$A15&lt;=131),"",--MID('Key Analysis'!$C11,$A15-131,1))</f>
        <v/>
      </c>
      <c r="EE15" s="29" t="str">
        <f>IF(OR($B15="",$A15&lt;=132),"",--MID('Key Analysis'!$C11,$A15-132,1))</f>
        <v/>
      </c>
      <c r="EF15" s="29" t="str">
        <f>IF(OR($B15="",$A15&lt;=133),"",--MID('Key Analysis'!$C11,$A15-133,1))</f>
        <v/>
      </c>
      <c r="EG15" s="29" t="str">
        <f>IF(OR($B15="",$A15&lt;=134),"",--MID('Key Analysis'!$C11,$A15-134,1))</f>
        <v/>
      </c>
      <c r="EH15" s="29"/>
      <c r="EI15" s="29">
        <f>IF(OR($B15="",$A15&lt;1),"",--MID('Key Analysis'!$C11,1,1))</f>
        <v>1</v>
      </c>
      <c r="EJ15" s="29">
        <f>IF(OR($B15="",$A15&lt;2),"",--MID('Key Analysis'!$C11,2,1))</f>
        <v>0</v>
      </c>
      <c r="EK15" s="29">
        <f>IF(OR($B15="",$A15&lt;3),"",--MID('Key Analysis'!$C11,3,1))</f>
        <v>0</v>
      </c>
      <c r="EL15" s="29">
        <f>IF(OR($B15="",$A15&lt;4),"",--MID('Key Analysis'!$C11,4,1))</f>
        <v>0</v>
      </c>
      <c r="EM15" s="29">
        <f>IF(OR($B15="",$A15&lt;5),"",--MID('Key Analysis'!$C11,5,1))</f>
        <v>0</v>
      </c>
      <c r="EN15" s="29">
        <f>IF(OR($B15="",$A15&lt;6),"",--MID('Key Analysis'!$C11,6,1))</f>
        <v>0</v>
      </c>
      <c r="EO15" s="29">
        <f>IF(OR($B15="",$A15&lt;7),"",--MID('Key Analysis'!$C11,7,1))</f>
        <v>0</v>
      </c>
      <c r="EP15" s="29">
        <f>IF(OR($B15="",$A15&lt;8),"",--MID('Key Analysis'!$C11,8,1))</f>
        <v>0</v>
      </c>
      <c r="EQ15" s="29">
        <f>IF(OR($B15="",$A15&lt;9),"",--MID('Key Analysis'!$C11,9,1))</f>
        <v>1</v>
      </c>
      <c r="ER15" s="29">
        <f>IF(OR($B15="",$A15&lt;10),"",--MID('Key Analysis'!$C11,10,1))</f>
        <v>0</v>
      </c>
      <c r="ES15" s="29" t="str">
        <f>IF(OR($B15="",$A15&lt;11),"",--MID('Key Analysis'!$C11,11,1))</f>
        <v/>
      </c>
      <c r="ET15" s="29" t="str">
        <f>IF(OR($B15="",$A15&lt;12),"",--MID('Key Analysis'!$C11,12,1))</f>
        <v/>
      </c>
      <c r="EU15" s="29" t="str">
        <f>IF(OR($B15="",$A15&lt;13),"",--MID('Key Analysis'!$C11,13,1))</f>
        <v/>
      </c>
      <c r="EV15" s="29" t="str">
        <f>IF(OR($B15="",$A15&lt;14),"",--MID('Key Analysis'!$C11,14,1))</f>
        <v/>
      </c>
      <c r="EW15" s="29" t="str">
        <f>IF(OR($B15="",$A15&lt;15),"",--MID('Key Analysis'!$C11,15,1))</f>
        <v/>
      </c>
      <c r="EX15" s="29" t="str">
        <f>IF(OR($B15="",$A15&lt;16),"",--MID('Key Analysis'!$C11,16,1))</f>
        <v/>
      </c>
      <c r="EY15" s="29" t="str">
        <f>IF(OR($B15="",$A15&lt;17),"",--MID('Key Analysis'!$C11,17,1))</f>
        <v/>
      </c>
      <c r="EZ15" s="29" t="str">
        <f>IF(OR($B15="",$A15&lt;18),"",--MID('Key Analysis'!$C11,18,1))</f>
        <v/>
      </c>
      <c r="FA15" s="29" t="str">
        <f>IF(OR($B15="",$A15&lt;19),"",--MID('Key Analysis'!$C11,19,1))</f>
        <v/>
      </c>
      <c r="FB15" s="29" t="str">
        <f>IF(OR($B15="",$A15&lt;20),"",--MID('Key Analysis'!$C11,20,1))</f>
        <v/>
      </c>
      <c r="FC15" s="29" t="str">
        <f>IF(OR($B15="",$A15&lt;21),"",--MID('Key Analysis'!$C11,21,1))</f>
        <v/>
      </c>
      <c r="FD15" s="29" t="str">
        <f>IF(OR($B15="",$A15&lt;22),"",--MID('Key Analysis'!$C11,22,1))</f>
        <v/>
      </c>
      <c r="FE15" s="29" t="str">
        <f>IF(OR($B15="",$A15&lt;23),"",--MID('Key Analysis'!$C11,23,1))</f>
        <v/>
      </c>
      <c r="FF15" s="29" t="str">
        <f>IF(OR($B15="",$A15&lt;24),"",--MID('Key Analysis'!$C11,24,1))</f>
        <v/>
      </c>
      <c r="FG15" s="29" t="str">
        <f>IF(OR($B15="",$A15&lt;25),"",--MID('Key Analysis'!$C11,25,1))</f>
        <v/>
      </c>
      <c r="FH15" s="29" t="str">
        <f>IF(OR($B15="",$A15&lt;26),"",--MID('Key Analysis'!$C11,26,1))</f>
        <v/>
      </c>
      <c r="FI15" s="29" t="str">
        <f>IF(OR($B15="",$A15&lt;27),"",--MID('Key Analysis'!$C11,27,1))</f>
        <v/>
      </c>
      <c r="FJ15" s="29" t="str">
        <f>IF(OR($B15="",$A15&lt;28),"",--MID('Key Analysis'!$C11,28,1))</f>
        <v/>
      </c>
      <c r="FK15" s="29" t="str">
        <f>IF(OR($B15="",$A15&lt;29),"",--MID('Key Analysis'!$C11,29,1))</f>
        <v/>
      </c>
      <c r="FL15" s="29" t="str">
        <f>IF(OR($B15="",$A15&lt;30),"",--MID('Key Analysis'!$C11,30,1))</f>
        <v/>
      </c>
      <c r="FM15" s="29" t="str">
        <f>IF(OR($B15="",$A15&lt;31),"",--MID('Key Analysis'!$C11,31,1))</f>
        <v/>
      </c>
      <c r="FN15" s="29" t="str">
        <f>IF(OR($B15="",$A15&lt;32),"",--MID('Key Analysis'!$C11,32,1))</f>
        <v/>
      </c>
      <c r="FO15" s="29" t="str">
        <f>IF(OR($B15="",$A15&lt;33),"",--MID('Key Analysis'!$C11,33,1))</f>
        <v/>
      </c>
      <c r="FP15" s="29" t="str">
        <f>IF(OR($B15="",$A15&lt;34),"",--MID('Key Analysis'!$C11,34,1))</f>
        <v/>
      </c>
      <c r="FQ15" s="29" t="str">
        <f>IF(OR($B15="",$A15&lt;35),"",--MID('Key Analysis'!$C11,35,1))</f>
        <v/>
      </c>
      <c r="FR15" s="29" t="str">
        <f>IF(OR($B15="",$A15&lt;36),"",--MID('Key Analysis'!$C11,36,1))</f>
        <v/>
      </c>
      <c r="FS15" s="29" t="str">
        <f>IF(OR($B15="",$A15&lt;37),"",--MID('Key Analysis'!$C11,37,1))</f>
        <v/>
      </c>
      <c r="FT15" s="29" t="str">
        <f>IF(OR($B15="",$A15&lt;38),"",--MID('Key Analysis'!$C11,38,1))</f>
        <v/>
      </c>
      <c r="FU15" s="29" t="str">
        <f>IF(OR($B15="",$A15&lt;39),"",--MID('Key Analysis'!$C11,39,1))</f>
        <v/>
      </c>
      <c r="FV15" s="29" t="str">
        <f>IF(OR($B15="",$A15&lt;40),"",--MID('Key Analysis'!$C11,40,1))</f>
        <v/>
      </c>
      <c r="FW15" s="29" t="str">
        <f>IF(OR($B15="",$A15&lt;41),"",--MID('Key Analysis'!$C11,41,1))</f>
        <v/>
      </c>
      <c r="FX15" s="29" t="str">
        <f>IF(OR($B15="",$A15&lt;42),"",--MID('Key Analysis'!$C11,42,1))</f>
        <v/>
      </c>
      <c r="FY15" s="29" t="str">
        <f>IF(OR($B15="",$A15&lt;43),"",--MID('Key Analysis'!$C11,43,1))</f>
        <v/>
      </c>
      <c r="FZ15" s="29" t="str">
        <f>IF(OR($B15="",$A15&lt;44),"",--MID('Key Analysis'!$C11,44,1))</f>
        <v/>
      </c>
      <c r="GA15" s="29" t="str">
        <f>IF(OR($B15="",$A15&lt;45),"",--MID('Key Analysis'!$C11,45,1))</f>
        <v/>
      </c>
      <c r="GB15" s="29" t="str">
        <f>IF(OR($B15="",$A15&lt;46),"",--MID('Key Analysis'!$C11,46,1))</f>
        <v/>
      </c>
      <c r="GC15" s="29" t="str">
        <f>IF(OR($B15="",$A15&lt;47),"",--MID('Key Analysis'!$C11,47,1))</f>
        <v/>
      </c>
      <c r="GD15" s="29" t="str">
        <f>IF(OR($B15="",$A15&lt;48),"",--MID('Key Analysis'!$C11,48,1))</f>
        <v/>
      </c>
      <c r="GE15" s="29" t="str">
        <f>IF(OR($B15="",$A15&lt;49),"",--MID('Key Analysis'!$C11,49,1))</f>
        <v/>
      </c>
      <c r="GF15" s="29" t="str">
        <f>IF(OR($B15="",$A15&lt;50),"",--MID('Key Analysis'!$C11,50,1))</f>
        <v/>
      </c>
      <c r="GG15" s="29" t="str">
        <f>IF(OR($B15="",$A15&lt;51),"",--MID('Key Analysis'!$C11,51,1))</f>
        <v/>
      </c>
      <c r="GH15" s="29" t="str">
        <f>IF(OR($B15="",$A15&lt;52),"",--MID('Key Analysis'!$C11,52,1))</f>
        <v/>
      </c>
      <c r="GI15" s="29" t="str">
        <f>IF(OR($B15="",$A15&lt;53),"",--MID('Key Analysis'!$C11,53,1))</f>
        <v/>
      </c>
      <c r="GJ15" s="29" t="str">
        <f>IF(OR($B15="",$A15&lt;54),"",--MID('Key Analysis'!$C11,54,1))</f>
        <v/>
      </c>
      <c r="GK15" s="29" t="str">
        <f>IF(OR($B15="",$A15&lt;55),"",--MID('Key Analysis'!$C11,55,1))</f>
        <v/>
      </c>
      <c r="GL15" s="29" t="str">
        <f>IF(OR($B15="",$A15&lt;56),"",--MID('Key Analysis'!$C11,56,1))</f>
        <v/>
      </c>
      <c r="GM15" s="29" t="str">
        <f>IF(OR($B15="",$A15&lt;57),"",--MID('Key Analysis'!$C11,57,1))</f>
        <v/>
      </c>
      <c r="GN15" s="29" t="str">
        <f>IF(OR($B15="",$A15&lt;58),"",--MID('Key Analysis'!$C11,58,1))</f>
        <v/>
      </c>
      <c r="GO15" s="29" t="str">
        <f>IF(OR($B15="",$A15&lt;59),"",--MID('Key Analysis'!$C11,59,1))</f>
        <v/>
      </c>
      <c r="GP15" s="29" t="str">
        <f>IF(OR($B15="",$A15&lt;60),"",--MID('Key Analysis'!$C11,60,1))</f>
        <v/>
      </c>
      <c r="GQ15" s="29" t="str">
        <f>IF(OR($B15="",$A15&lt;61),"",--MID('Key Analysis'!$C11,61,1))</f>
        <v/>
      </c>
      <c r="GR15" s="29" t="str">
        <f>IF(OR($B15="",$A15&lt;62),"",--MID('Key Analysis'!$C11,62,1))</f>
        <v/>
      </c>
      <c r="GS15" s="29" t="str">
        <f>IF(OR($B15="",$A15&lt;63),"",--MID('Key Analysis'!$C11,63,1))</f>
        <v/>
      </c>
      <c r="GT15" s="29" t="str">
        <f>IF(OR($B15="",$A15&lt;64),"",--MID('Key Analysis'!$C11,64,1))</f>
        <v/>
      </c>
      <c r="GU15" s="29" t="str">
        <f>IF(OR($B15="",$A15&lt;65),"",--MID('Key Analysis'!$C11,65,1))</f>
        <v/>
      </c>
      <c r="GV15" s="29" t="str">
        <f>IF(OR($B15="",$A15&lt;66),"",--MID('Key Analysis'!$C11,66,1))</f>
        <v/>
      </c>
      <c r="GW15" s="29" t="str">
        <f>IF(OR($B15="",$A15&lt;67),"",--MID('Key Analysis'!$C11,67,1))</f>
        <v/>
      </c>
      <c r="GX15" s="29" t="str">
        <f>IF(OR($B15="",$A15&lt;68),"",--MID('Key Analysis'!$C11,68,1))</f>
        <v/>
      </c>
      <c r="GY15" s="29" t="str">
        <f>IF(OR($B15="",$A15&lt;69),"",--MID('Key Analysis'!$C11,69,1))</f>
        <v/>
      </c>
      <c r="GZ15" s="29" t="str">
        <f>IF(OR($B15="",$A15&lt;70),"",--MID('Key Analysis'!$C11,70,1))</f>
        <v/>
      </c>
      <c r="HA15" s="29" t="str">
        <f>IF(OR($B15="",$A15&lt;71),"",--MID('Key Analysis'!$C11,71,1))</f>
        <v/>
      </c>
      <c r="HB15" s="29" t="str">
        <f>IF(OR($B15="",$A15&lt;72),"",--MID('Key Analysis'!$C11,72,1))</f>
        <v/>
      </c>
      <c r="HC15" s="29" t="str">
        <f>IF(OR($B15="",$A15&lt;73),"",--MID('Key Analysis'!$C11,73,1))</f>
        <v/>
      </c>
      <c r="HD15" s="29" t="str">
        <f>IF(OR($B15="",$A15&lt;74),"",--MID('Key Analysis'!$C11,74,1))</f>
        <v/>
      </c>
      <c r="HE15" s="29" t="str">
        <f>IF(OR($B15="",$A15&lt;75),"",--MID('Key Analysis'!$C11,75,1))</f>
        <v/>
      </c>
      <c r="HF15" s="29" t="str">
        <f>IF(OR($B15="",$A15&lt;76),"",--MID('Key Analysis'!$C11,76,1))</f>
        <v/>
      </c>
      <c r="HG15" s="29" t="str">
        <f>IF(OR($B15="",$A15&lt;77),"",--MID('Key Analysis'!$C11,77,1))</f>
        <v/>
      </c>
      <c r="HH15" s="29" t="str">
        <f>IF(OR($B15="",$A15&lt;78),"",--MID('Key Analysis'!$C11,78,1))</f>
        <v/>
      </c>
      <c r="HI15" s="29" t="str">
        <f>IF(OR($B15="",$A15&lt;79),"",--MID('Key Analysis'!$C11,79,1))</f>
        <v/>
      </c>
      <c r="HJ15" s="29" t="str">
        <f>IF(OR($B15="",$A15&lt;80),"",--MID('Key Analysis'!$C11,80,1))</f>
        <v/>
      </c>
      <c r="HK15" s="29" t="str">
        <f>IF(OR($B15="",$A15&lt;81),"",--MID('Key Analysis'!$C11,81,1))</f>
        <v/>
      </c>
      <c r="HL15" s="29" t="str">
        <f>IF(OR($B15="",$A15&lt;82),"",--MID('Key Analysis'!$C11,82,1))</f>
        <v/>
      </c>
      <c r="HM15" s="29" t="str">
        <f>IF(OR($B15="",$A15&lt;83),"",--MID('Key Analysis'!$C11,83,1))</f>
        <v/>
      </c>
      <c r="HN15" s="29" t="str">
        <f>IF(OR($B15="",$A15&lt;84),"",--MID('Key Analysis'!$C11,84,1))</f>
        <v/>
      </c>
      <c r="HO15" s="29" t="str">
        <f>IF(OR($B15="",$A15&lt;85),"",--MID('Key Analysis'!$C11,85,1))</f>
        <v/>
      </c>
      <c r="HP15" s="29" t="str">
        <f>IF(OR($B15="",$A15&lt;86),"",--MID('Key Analysis'!$C11,86,1))</f>
        <v/>
      </c>
      <c r="HQ15" s="29" t="str">
        <f>IF(OR($B15="",$A15&lt;87),"",--MID('Key Analysis'!$C11,87,1))</f>
        <v/>
      </c>
      <c r="HR15" s="29" t="str">
        <f>IF(OR($B15="",$A15&lt;88),"",--MID('Key Analysis'!$C11,88,1))</f>
        <v/>
      </c>
      <c r="HS15" s="29" t="str">
        <f>IF(OR($B15="",$A15&lt;89),"",--MID('Key Analysis'!$C11,89,1))</f>
        <v/>
      </c>
      <c r="HT15" s="29" t="str">
        <f>IF(OR($B15="",$A15&lt;90),"",--MID('Key Analysis'!$C11,90,1))</f>
        <v/>
      </c>
      <c r="HU15" s="29" t="str">
        <f>IF(OR($B15="",$A15&lt;91),"",--MID('Key Analysis'!$C11,91,1))</f>
        <v/>
      </c>
      <c r="HV15" s="29" t="str">
        <f>IF(OR($B15="",$A15&lt;92),"",--MID('Key Analysis'!$C11,92,1))</f>
        <v/>
      </c>
      <c r="HW15" s="29" t="str">
        <f>IF(OR($B15="",$A15&lt;93),"",--MID('Key Analysis'!$C11,93,1))</f>
        <v/>
      </c>
      <c r="HX15" s="29" t="str">
        <f>IF(OR($B15="",$A15&lt;94),"",--MID('Key Analysis'!$C11,94,1))</f>
        <v/>
      </c>
      <c r="HY15" s="29" t="str">
        <f>IF(OR($B15="",$A15&lt;95),"",--MID('Key Analysis'!$C11,95,1))</f>
        <v/>
      </c>
      <c r="HZ15" s="29" t="str">
        <f>IF(OR($B15="",$A15&lt;96),"",--MID('Key Analysis'!$C11,96,1))</f>
        <v/>
      </c>
      <c r="IA15" s="29" t="str">
        <f>IF(OR($B15="",$A15&lt;97),"",--MID('Key Analysis'!$C11,97,1))</f>
        <v/>
      </c>
      <c r="IB15" s="29" t="str">
        <f>IF(OR($B15="",$A15&lt;98),"",--MID('Key Analysis'!$C11,98,1))</f>
        <v/>
      </c>
      <c r="IC15" s="29" t="str">
        <f>IF(OR($B15="",$A15&lt;99),"",--MID('Key Analysis'!$C11,99,1))</f>
        <v/>
      </c>
      <c r="ID15" s="29" t="str">
        <f>IF(OR($B15="",$A15&lt;100),"",--MID('Key Analysis'!$C11,100,1))</f>
        <v/>
      </c>
      <c r="IE15" s="29" t="str">
        <f>IF(OR($B15="",$A15&lt;101),"",--MID('Key Analysis'!$C11,101,1))</f>
        <v/>
      </c>
      <c r="IF15" s="29" t="str">
        <f>IF(OR($B15="",$A15&lt;102),"",--MID('Key Analysis'!$C11,102,1))</f>
        <v/>
      </c>
      <c r="IG15" s="29" t="str">
        <f>IF(OR($B15="",$A15&lt;103),"",--MID('Key Analysis'!$C11,103,1))</f>
        <v/>
      </c>
      <c r="IH15" s="29" t="str">
        <f>IF(OR($B15="",$A15&lt;104),"",--MID('Key Analysis'!$C11,104,1))</f>
        <v/>
      </c>
      <c r="II15" s="29" t="str">
        <f>IF(OR($B15="",$A15&lt;105),"",--MID('Key Analysis'!$C11,105,1))</f>
        <v/>
      </c>
      <c r="IJ15" s="29" t="str">
        <f>IF(OR($B15="",$A15&lt;106),"",--MID('Key Analysis'!$C11,106,1))</f>
        <v/>
      </c>
      <c r="IK15" s="29" t="str">
        <f>IF(OR($B15="",$A15&lt;107),"",--MID('Key Analysis'!$C11,107,1))</f>
        <v/>
      </c>
      <c r="IL15" s="29" t="str">
        <f>IF(OR($B15="",$A15&lt;108),"",--MID('Key Analysis'!$C11,108,1))</f>
        <v/>
      </c>
      <c r="IM15" s="29" t="str">
        <f>IF(OR($B15="",$A15&lt;109),"",--MID('Key Analysis'!$C11,109,1))</f>
        <v/>
      </c>
      <c r="IN15" s="29" t="str">
        <f>IF(OR($B15="",$A15&lt;110),"",--MID('Key Analysis'!$C11,110,1))</f>
        <v/>
      </c>
      <c r="IO15" s="29" t="str">
        <f>IF(OR($B15="",$A15&lt;111),"",--MID('Key Analysis'!$C11,111,1))</f>
        <v/>
      </c>
      <c r="IP15" s="29" t="str">
        <f>IF(OR($B15="",$A15&lt;112),"",--MID('Key Analysis'!$C11,112,1))</f>
        <v/>
      </c>
      <c r="IQ15" s="29" t="str">
        <f>IF(OR($B15="",$A15&lt;113),"",--MID('Key Analysis'!$C11,113,1))</f>
        <v/>
      </c>
      <c r="IR15" s="29" t="str">
        <f>IF(OR($B15="",$A15&lt;114),"",--MID('Key Analysis'!$C11,114,1))</f>
        <v/>
      </c>
      <c r="IS15" s="29" t="str">
        <f>IF(OR($B15="",$A15&lt;115),"",--MID('Key Analysis'!$C11,115,1))</f>
        <v/>
      </c>
      <c r="IT15" s="29" t="str">
        <f>IF(OR($B15="",$A15&lt;116),"",--MID('Key Analysis'!$C11,116,1))</f>
        <v/>
      </c>
      <c r="IU15" s="29" t="str">
        <f>IF(OR($B15="",$A15&lt;117),"",--MID('Key Analysis'!$C11,117,1))</f>
        <v/>
      </c>
      <c r="IV15" s="29" t="str">
        <f>IF(OR($B15="",$A15&lt;118),"",--MID('Key Analysis'!$C11,118,1))</f>
        <v/>
      </c>
      <c r="IW15" s="29" t="str">
        <f>IF(OR($B15="",$A15&lt;119),"",--MID('Key Analysis'!$C11,119,1))</f>
        <v/>
      </c>
      <c r="IX15" s="29" t="str">
        <f>IF(OR($B15="",$A15&lt;120),"",--MID('Key Analysis'!$C11,120,1))</f>
        <v/>
      </c>
      <c r="IY15" s="29" t="str">
        <f>IF(OR($B15="",$A15&lt;121),"",--MID('Key Analysis'!$C11,121,1))</f>
        <v/>
      </c>
      <c r="IZ15" s="29" t="str">
        <f>IF(OR($B15="",$A15&lt;122),"",--MID('Key Analysis'!$C11,122,1))</f>
        <v/>
      </c>
      <c r="JA15" s="29" t="str">
        <f>IF(OR($B15="",$A15&lt;123),"",--MID('Key Analysis'!$C11,123,1))</f>
        <v/>
      </c>
      <c r="JB15" s="29" t="str">
        <f>IF(OR($B15="",$A15&lt;124),"",--MID('Key Analysis'!$C11,124,1))</f>
        <v/>
      </c>
      <c r="JC15" s="29" t="str">
        <f>IF(OR($B15="",$A15&lt;125),"",--MID('Key Analysis'!$C11,125,1))</f>
        <v/>
      </c>
      <c r="JD15" s="29" t="str">
        <f>IF(OR($B15="",$A15&lt;126),"",--MID('Key Analysis'!$C11,126,1))</f>
        <v/>
      </c>
      <c r="JE15" s="29" t="str">
        <f>IF(OR($B15="",$A15&lt;127),"",--MID('Key Analysis'!$C11,127,1))</f>
        <v/>
      </c>
      <c r="JF15" s="29" t="str">
        <f>IF(OR($B15="",$A15&lt;128),"",--MID('Key Analysis'!$C11,128,1))</f>
        <v/>
      </c>
      <c r="JG15" s="29" t="str">
        <f>IF(OR($B15="",$A15&lt;129),"",--MID('Key Analysis'!$C11,129,1))</f>
        <v/>
      </c>
      <c r="JH15" s="29" t="str">
        <f>IF(OR($B15="",$A15&lt;130),"",--MID('Key Analysis'!$C11,130,1))</f>
        <v/>
      </c>
      <c r="JI15" s="29" t="str">
        <f>IF(OR($B15="",$A15&lt;131),"",--MID('Key Analysis'!$C11,131,1))</f>
        <v/>
      </c>
      <c r="JJ15" s="29" t="str">
        <f>IF(OR($B15="",$A15&lt;132),"",--MID('Key Analysis'!$C11,132,1))</f>
        <v/>
      </c>
      <c r="JK15" s="29" t="str">
        <f>IF(OR($B15="",$A15&lt;133),"",--MID('Key Analysis'!$C11,133,1))</f>
        <v/>
      </c>
      <c r="JL15" s="29" t="str">
        <f>IF(OR($B15="",$A15&lt;134),"",--MID('Key Analysis'!$C11,134,1))</f>
        <v/>
      </c>
      <c r="JM15" s="29" t="str">
        <f>IF(OR($B15="",$A15&lt;135),"",--MID('Key Analysis'!$C11,135,1))</f>
        <v/>
      </c>
    </row>
    <row r="16" spans="1:273" x14ac:dyDescent="0.25">
      <c r="A16" s="21">
        <f>'Key Analysis'!A12</f>
        <v>11</v>
      </c>
      <c r="B16" s="30" t="str">
        <f>'Key Analysis'!B12</f>
        <v>483</v>
      </c>
      <c r="C16" s="29">
        <f>IF(OR($B16="",$A16&lt;=0),"",--MID('Key Analysis'!$C12,$A16-0,1))</f>
        <v>1</v>
      </c>
      <c r="D16" s="29">
        <f>IF(OR($B16="",$A16&lt;=1),"",--MID('Key Analysis'!$C12,$A16-1,1))</f>
        <v>1</v>
      </c>
      <c r="E16" s="29">
        <f>IF(OR($B16="",$A16&lt;=2),"",--MID('Key Analysis'!$C12,$A16-2,1))</f>
        <v>0</v>
      </c>
      <c r="F16" s="29">
        <f>IF(OR($B16="",$A16&lt;=3),"",--MID('Key Analysis'!$C12,$A16-3,1))</f>
        <v>0</v>
      </c>
      <c r="G16" s="29">
        <f>IF(OR($B16="",$A16&lt;=4),"",--MID('Key Analysis'!$C12,$A16-4,1))</f>
        <v>0</v>
      </c>
      <c r="H16" s="29">
        <f>IF(OR($B16="",$A16&lt;=5),"",--MID('Key Analysis'!$C12,$A16-5,1))</f>
        <v>0</v>
      </c>
      <c r="I16" s="29">
        <f>IF(OR($B16="",$A16&lt;=6),"",--MID('Key Analysis'!$C12,$A16-6,1))</f>
        <v>0</v>
      </c>
      <c r="J16" s="29">
        <f>IF(OR($B16="",$A16&lt;=7),"",--MID('Key Analysis'!$C12,$A16-7,1))</f>
        <v>1</v>
      </c>
      <c r="K16" s="29">
        <f>IF(OR($B16="",$A16&lt;=8),"",--MID('Key Analysis'!$C12,$A16-8,1))</f>
        <v>0</v>
      </c>
      <c r="L16" s="29">
        <f>IF(OR($B16="",$A16&lt;=9),"",--MID('Key Analysis'!$C12,$A16-9,1))</f>
        <v>0</v>
      </c>
      <c r="M16" s="29">
        <f>IF(OR($B16="",$A16&lt;=10),"",--MID('Key Analysis'!$C12,$A16-10,1))</f>
        <v>1</v>
      </c>
      <c r="N16" s="29" t="str">
        <f>IF(OR($B16="",$A16&lt;=11),"",--MID('Key Analysis'!$C12,$A16-11,1))</f>
        <v/>
      </c>
      <c r="O16" s="29" t="str">
        <f>IF(OR($B16="",$A16&lt;=12),"",--MID('Key Analysis'!$C12,$A16-12,1))</f>
        <v/>
      </c>
      <c r="P16" s="29" t="str">
        <f>IF(OR($B16="",$A16&lt;=13),"",--MID('Key Analysis'!$C12,$A16-13,1))</f>
        <v/>
      </c>
      <c r="Q16" s="29" t="str">
        <f>IF(OR($B16="",$A16&lt;=14),"",--MID('Key Analysis'!$C12,$A16-14,1))</f>
        <v/>
      </c>
      <c r="R16" s="29" t="str">
        <f>IF(OR($B16="",$A16&lt;=15),"",--MID('Key Analysis'!$C12,$A16-15,1))</f>
        <v/>
      </c>
      <c r="S16" s="29" t="str">
        <f>IF(OR($B16="",$A16&lt;=16),"",--MID('Key Analysis'!$C12,$A16-16,1))</f>
        <v/>
      </c>
      <c r="T16" s="29" t="str">
        <f>IF(OR($B16="",$A16&lt;=17),"",--MID('Key Analysis'!$C12,$A16-17,1))</f>
        <v/>
      </c>
      <c r="U16" s="29" t="str">
        <f>IF(OR($B16="",$A16&lt;=18),"",--MID('Key Analysis'!$C12,$A16-18,1))</f>
        <v/>
      </c>
      <c r="V16" s="29" t="str">
        <f>IF(OR($B16="",$A16&lt;=19),"",--MID('Key Analysis'!$C12,$A16-19,1))</f>
        <v/>
      </c>
      <c r="W16" s="29" t="str">
        <f>IF(OR($B16="",$A16&lt;=20),"",--MID('Key Analysis'!$C12,$A16-20,1))</f>
        <v/>
      </c>
      <c r="X16" s="29" t="str">
        <f>IF(OR($B16="",$A16&lt;=21),"",--MID('Key Analysis'!$C12,$A16-21,1))</f>
        <v/>
      </c>
      <c r="Y16" s="29" t="str">
        <f>IF(OR($B16="",$A16&lt;=22),"",--MID('Key Analysis'!$C12,$A16-22,1))</f>
        <v/>
      </c>
      <c r="Z16" s="29" t="str">
        <f>IF(OR($B16="",$A16&lt;=23),"",--MID('Key Analysis'!$C12,$A16-23,1))</f>
        <v/>
      </c>
      <c r="AA16" s="29" t="str">
        <f>IF(OR($B16="",$A16&lt;=24),"",--MID('Key Analysis'!$C12,$A16-24,1))</f>
        <v/>
      </c>
      <c r="AB16" s="29" t="str">
        <f>IF(OR($B16="",$A16&lt;=25),"",--MID('Key Analysis'!$C12,$A16-25,1))</f>
        <v/>
      </c>
      <c r="AC16" s="29" t="str">
        <f>IF(OR($B16="",$A16&lt;=26),"",--MID('Key Analysis'!$C12,$A16-26,1))</f>
        <v/>
      </c>
      <c r="AD16" s="29" t="str">
        <f>IF(OR($B16="",$A16&lt;=27),"",--MID('Key Analysis'!$C12,$A16-27,1))</f>
        <v/>
      </c>
      <c r="AE16" s="29" t="str">
        <f>IF(OR($B16="",$A16&lt;=28),"",--MID('Key Analysis'!$C12,$A16-28,1))</f>
        <v/>
      </c>
      <c r="AF16" s="29" t="str">
        <f>IF(OR($B16="",$A16&lt;=29),"",--MID('Key Analysis'!$C12,$A16-29,1))</f>
        <v/>
      </c>
      <c r="AG16" s="29" t="str">
        <f>IF(OR($B16="",$A16&lt;=30),"",--MID('Key Analysis'!$C12,$A16-30,1))</f>
        <v/>
      </c>
      <c r="AH16" s="29" t="str">
        <f>IF(OR($B16="",$A16&lt;=31),"",--MID('Key Analysis'!$C12,$A16-31,1))</f>
        <v/>
      </c>
      <c r="AI16" s="29" t="str">
        <f>IF(OR($B16="",$A16&lt;=32),"",--MID('Key Analysis'!$C12,$A16-32,1))</f>
        <v/>
      </c>
      <c r="AJ16" s="29" t="str">
        <f>IF(OR($B16="",$A16&lt;=33),"",--MID('Key Analysis'!$C12,$A16-33,1))</f>
        <v/>
      </c>
      <c r="AK16" s="29" t="str">
        <f>IF(OR($B16="",$A16&lt;=34),"",--MID('Key Analysis'!$C12,$A16-34,1))</f>
        <v/>
      </c>
      <c r="AL16" s="29" t="str">
        <f>IF(OR($B16="",$A16&lt;=35),"",--MID('Key Analysis'!$C12,$A16-35,1))</f>
        <v/>
      </c>
      <c r="AM16" s="29" t="str">
        <f>IF(OR($B16="",$A16&lt;=36),"",--MID('Key Analysis'!$C12,$A16-36,1))</f>
        <v/>
      </c>
      <c r="AN16" s="29" t="str">
        <f>IF(OR($B16="",$A16&lt;=37),"",--MID('Key Analysis'!$C12,$A16-37,1))</f>
        <v/>
      </c>
      <c r="AO16" s="29" t="str">
        <f>IF(OR($B16="",$A16&lt;=38),"",--MID('Key Analysis'!$C12,$A16-38,1))</f>
        <v/>
      </c>
      <c r="AP16" s="29" t="str">
        <f>IF(OR($B16="",$A16&lt;=39),"",--MID('Key Analysis'!$C12,$A16-39,1))</f>
        <v/>
      </c>
      <c r="AQ16" s="29" t="str">
        <f>IF(OR($B16="",$A16&lt;=40),"",--MID('Key Analysis'!$C12,$A16-40,1))</f>
        <v/>
      </c>
      <c r="AR16" s="29" t="str">
        <f>IF(OR($B16="",$A16&lt;=41),"",--MID('Key Analysis'!$C12,$A16-41,1))</f>
        <v/>
      </c>
      <c r="AS16" s="29" t="str">
        <f>IF(OR($B16="",$A16&lt;=42),"",--MID('Key Analysis'!$C12,$A16-42,1))</f>
        <v/>
      </c>
      <c r="AT16" s="29" t="str">
        <f>IF(OR($B16="",$A16&lt;=43),"",--MID('Key Analysis'!$C12,$A16-43,1))</f>
        <v/>
      </c>
      <c r="AU16" s="29" t="str">
        <f>IF(OR($B16="",$A16&lt;=44),"",--MID('Key Analysis'!$C12,$A16-44,1))</f>
        <v/>
      </c>
      <c r="AV16" s="29" t="str">
        <f>IF(OR($B16="",$A16&lt;=45),"",--MID('Key Analysis'!$C12,$A16-45,1))</f>
        <v/>
      </c>
      <c r="AW16" s="29" t="str">
        <f>IF(OR($B16="",$A16&lt;=46),"",--MID('Key Analysis'!$C12,$A16-46,1))</f>
        <v/>
      </c>
      <c r="AX16" s="29" t="str">
        <f>IF(OR($B16="",$A16&lt;=47),"",--MID('Key Analysis'!$C12,$A16-47,1))</f>
        <v/>
      </c>
      <c r="AY16" s="29" t="str">
        <f>IF(OR($B16="",$A16&lt;=48),"",--MID('Key Analysis'!$C12,$A16-48,1))</f>
        <v/>
      </c>
      <c r="AZ16" s="29" t="str">
        <f>IF(OR($B16="",$A16&lt;=49),"",--MID('Key Analysis'!$C12,$A16-49,1))</f>
        <v/>
      </c>
      <c r="BA16" s="29" t="str">
        <f>IF(OR($B16="",$A16&lt;=50),"",--MID('Key Analysis'!$C12,$A16-50,1))</f>
        <v/>
      </c>
      <c r="BB16" s="29" t="str">
        <f>IF(OR($B16="",$A16&lt;=51),"",--MID('Key Analysis'!$C12,$A16-51,1))</f>
        <v/>
      </c>
      <c r="BC16" s="29" t="str">
        <f>IF(OR($B16="",$A16&lt;=52),"",--MID('Key Analysis'!$C12,$A16-52,1))</f>
        <v/>
      </c>
      <c r="BD16" s="29" t="str">
        <f>IF(OR($B16="",$A16&lt;=53),"",--MID('Key Analysis'!$C12,$A16-53,1))</f>
        <v/>
      </c>
      <c r="BE16" s="29" t="str">
        <f>IF(OR($B16="",$A16&lt;=54),"",--MID('Key Analysis'!$C12,$A16-54,1))</f>
        <v/>
      </c>
      <c r="BF16" s="29" t="str">
        <f>IF(OR($B16="",$A16&lt;=55),"",--MID('Key Analysis'!$C12,$A16-55,1))</f>
        <v/>
      </c>
      <c r="BG16" s="29" t="str">
        <f>IF(OR($B16="",$A16&lt;=56),"",--MID('Key Analysis'!$C12,$A16-56,1))</f>
        <v/>
      </c>
      <c r="BH16" s="29" t="str">
        <f>IF(OR($B16="",$A16&lt;=57),"",--MID('Key Analysis'!$C12,$A16-57,1))</f>
        <v/>
      </c>
      <c r="BI16" s="29" t="str">
        <f>IF(OR($B16="",$A16&lt;=58),"",--MID('Key Analysis'!$C12,$A16-58,1))</f>
        <v/>
      </c>
      <c r="BJ16" s="29" t="str">
        <f>IF(OR($B16="",$A16&lt;=59),"",--MID('Key Analysis'!$C12,$A16-59,1))</f>
        <v/>
      </c>
      <c r="BK16" s="29" t="str">
        <f>IF(OR($B16="",$A16&lt;=60),"",--MID('Key Analysis'!$C12,$A16-60,1))</f>
        <v/>
      </c>
      <c r="BL16" s="29" t="str">
        <f>IF(OR($B16="",$A16&lt;=61),"",--MID('Key Analysis'!$C12,$A16-61,1))</f>
        <v/>
      </c>
      <c r="BM16" s="29" t="str">
        <f>IF(OR($B16="",$A16&lt;=62),"",--MID('Key Analysis'!$C12,$A16-62,1))</f>
        <v/>
      </c>
      <c r="BN16" s="29" t="str">
        <f>IF(OR($B16="",$A16&lt;=63),"",--MID('Key Analysis'!$C12,$A16-63,1))</f>
        <v/>
      </c>
      <c r="BO16" s="29" t="str">
        <f>IF(OR($B16="",$A16&lt;=64),"",--MID('Key Analysis'!$C12,$A16-64,1))</f>
        <v/>
      </c>
      <c r="BP16" s="29" t="str">
        <f>IF(OR($B16="",$A16&lt;=65),"",--MID('Key Analysis'!$C12,$A16-65,1))</f>
        <v/>
      </c>
      <c r="BQ16" s="29" t="str">
        <f>IF(OR($B16="",$A16&lt;=66),"",--MID('Key Analysis'!$C12,$A16-66,1))</f>
        <v/>
      </c>
      <c r="BR16" s="29" t="str">
        <f>IF(OR($B16="",$A16&lt;=67),"",--MID('Key Analysis'!$C12,$A16-67,1))</f>
        <v/>
      </c>
      <c r="BS16" s="29" t="str">
        <f>IF(OR($B16="",$A16&lt;=68),"",--MID('Key Analysis'!$C12,$A16-68,1))</f>
        <v/>
      </c>
      <c r="BT16" s="29" t="str">
        <f>IF(OR($B16="",$A16&lt;=69),"",--MID('Key Analysis'!$C12,$A16-69,1))</f>
        <v/>
      </c>
      <c r="BU16" s="29" t="str">
        <f>IF(OR($B16="",$A16&lt;=70),"",--MID('Key Analysis'!$C12,$A16-70,1))</f>
        <v/>
      </c>
      <c r="BV16" s="29" t="str">
        <f>IF(OR($B16="",$A16&lt;=71),"",--MID('Key Analysis'!$C12,$A16-71,1))</f>
        <v/>
      </c>
      <c r="BW16" s="29" t="str">
        <f>IF(OR($B16="",$A16&lt;=72),"",--MID('Key Analysis'!$C12,$A16-72,1))</f>
        <v/>
      </c>
      <c r="BX16" s="29" t="str">
        <f>IF(OR($B16="",$A16&lt;=73),"",--MID('Key Analysis'!$C12,$A16-73,1))</f>
        <v/>
      </c>
      <c r="BY16" s="29" t="str">
        <f>IF(OR($B16="",$A16&lt;=74),"",--MID('Key Analysis'!$C12,$A16-74,1))</f>
        <v/>
      </c>
      <c r="BZ16" s="29" t="str">
        <f>IF(OR($B16="",$A16&lt;=75),"",--MID('Key Analysis'!$C12,$A16-75,1))</f>
        <v/>
      </c>
      <c r="CA16" s="29" t="str">
        <f>IF(OR($B16="",$A16&lt;=76),"",--MID('Key Analysis'!$C12,$A16-76,1))</f>
        <v/>
      </c>
      <c r="CB16" s="29" t="str">
        <f>IF(OR($B16="",$A16&lt;=77),"",--MID('Key Analysis'!$C12,$A16-77,1))</f>
        <v/>
      </c>
      <c r="CC16" s="29" t="str">
        <f>IF(OR($B16="",$A16&lt;=78),"",--MID('Key Analysis'!$C12,$A16-78,1))</f>
        <v/>
      </c>
      <c r="CD16" s="29" t="str">
        <f>IF(OR($B16="",$A16&lt;=79),"",--MID('Key Analysis'!$C12,$A16-79,1))</f>
        <v/>
      </c>
      <c r="CE16" s="29" t="str">
        <f>IF(OR($B16="",$A16&lt;=80),"",--MID('Key Analysis'!$C12,$A16-80,1))</f>
        <v/>
      </c>
      <c r="CF16" s="29" t="str">
        <f>IF(OR($B16="",$A16&lt;=81),"",--MID('Key Analysis'!$C12,$A16-81,1))</f>
        <v/>
      </c>
      <c r="CG16" s="29" t="str">
        <f>IF(OR($B16="",$A16&lt;=82),"",--MID('Key Analysis'!$C12,$A16-82,1))</f>
        <v/>
      </c>
      <c r="CH16" s="29" t="str">
        <f>IF(OR($B16="",$A16&lt;=83),"",--MID('Key Analysis'!$C12,$A16-83,1))</f>
        <v/>
      </c>
      <c r="CI16" s="29" t="str">
        <f>IF(OR($B16="",$A16&lt;=84),"",--MID('Key Analysis'!$C12,$A16-84,1))</f>
        <v/>
      </c>
      <c r="CJ16" s="29" t="str">
        <f>IF(OR($B16="",$A16&lt;=85),"",--MID('Key Analysis'!$C12,$A16-85,1))</f>
        <v/>
      </c>
      <c r="CK16" s="29" t="str">
        <f>IF(OR($B16="",$A16&lt;=86),"",--MID('Key Analysis'!$C12,$A16-86,1))</f>
        <v/>
      </c>
      <c r="CL16" s="29" t="str">
        <f>IF(OR($B16="",$A16&lt;=87),"",--MID('Key Analysis'!$C12,$A16-87,1))</f>
        <v/>
      </c>
      <c r="CM16" s="29" t="str">
        <f>IF(OR($B16="",$A16&lt;=88),"",--MID('Key Analysis'!$C12,$A16-88,1))</f>
        <v/>
      </c>
      <c r="CN16" s="29" t="str">
        <f>IF(OR($B16="",$A16&lt;=89),"",--MID('Key Analysis'!$C12,$A16-89,1))</f>
        <v/>
      </c>
      <c r="CO16" s="29" t="str">
        <f>IF(OR($B16="",$A16&lt;=90),"",--MID('Key Analysis'!$C12,$A16-90,1))</f>
        <v/>
      </c>
      <c r="CP16" s="29" t="str">
        <f>IF(OR($B16="",$A16&lt;=91),"",--MID('Key Analysis'!$C12,$A16-91,1))</f>
        <v/>
      </c>
      <c r="CQ16" s="29" t="str">
        <f>IF(OR($B16="",$A16&lt;=92),"",--MID('Key Analysis'!$C12,$A16-92,1))</f>
        <v/>
      </c>
      <c r="CR16" s="29" t="str">
        <f>IF(OR($B16="",$A16&lt;=93),"",--MID('Key Analysis'!$C12,$A16-93,1))</f>
        <v/>
      </c>
      <c r="CS16" s="29" t="str">
        <f>IF(OR($B16="",$A16&lt;=94),"",--MID('Key Analysis'!$C12,$A16-94,1))</f>
        <v/>
      </c>
      <c r="CT16" s="29" t="str">
        <f>IF(OR($B16="",$A16&lt;=95),"",--MID('Key Analysis'!$C12,$A16-95,1))</f>
        <v/>
      </c>
      <c r="CU16" s="29" t="str">
        <f>IF(OR($B16="",$A16&lt;=96),"",--MID('Key Analysis'!$C12,$A16-96,1))</f>
        <v/>
      </c>
      <c r="CV16" s="29" t="str">
        <f>IF(OR($B16="",$A16&lt;=97),"",--MID('Key Analysis'!$C12,$A16-97,1))</f>
        <v/>
      </c>
      <c r="CW16" s="29" t="str">
        <f>IF(OR($B16="",$A16&lt;=98),"",--MID('Key Analysis'!$C12,$A16-98,1))</f>
        <v/>
      </c>
      <c r="CX16" s="29" t="str">
        <f>IF(OR($B16="",$A16&lt;=99),"",--MID('Key Analysis'!$C12,$A16-99,1))</f>
        <v/>
      </c>
      <c r="CY16" s="29" t="str">
        <f>IF(OR($B16="",$A16&lt;=100),"",--MID('Key Analysis'!$C12,$A16-100,1))</f>
        <v/>
      </c>
      <c r="CZ16" s="29" t="str">
        <f>IF(OR($B16="",$A16&lt;=101),"",--MID('Key Analysis'!$C12,$A16-101,1))</f>
        <v/>
      </c>
      <c r="DA16" s="29" t="str">
        <f>IF(OR($B16="",$A16&lt;=102),"",--MID('Key Analysis'!$C12,$A16-102,1))</f>
        <v/>
      </c>
      <c r="DB16" s="29" t="str">
        <f>IF(OR($B16="",$A16&lt;=103),"",--MID('Key Analysis'!$C12,$A16-103,1))</f>
        <v/>
      </c>
      <c r="DC16" s="29" t="str">
        <f>IF(OR($B16="",$A16&lt;=104),"",--MID('Key Analysis'!$C12,$A16-104,1))</f>
        <v/>
      </c>
      <c r="DD16" s="29" t="str">
        <f>IF(OR($B16="",$A16&lt;=105),"",--MID('Key Analysis'!$C12,$A16-105,1))</f>
        <v/>
      </c>
      <c r="DE16" s="29" t="str">
        <f>IF(OR($B16="",$A16&lt;=106),"",--MID('Key Analysis'!$C12,$A16-106,1))</f>
        <v/>
      </c>
      <c r="DF16" s="29" t="str">
        <f>IF(OR($B16="",$A16&lt;=107),"",--MID('Key Analysis'!$C12,$A16-107,1))</f>
        <v/>
      </c>
      <c r="DG16" s="29" t="str">
        <f>IF(OR($B16="",$A16&lt;=108),"",--MID('Key Analysis'!$C12,$A16-108,1))</f>
        <v/>
      </c>
      <c r="DH16" s="29" t="str">
        <f>IF(OR($B16="",$A16&lt;=109),"",--MID('Key Analysis'!$C12,$A16-109,1))</f>
        <v/>
      </c>
      <c r="DI16" s="29" t="str">
        <f>IF(OR($B16="",$A16&lt;=110),"",--MID('Key Analysis'!$C12,$A16-110,1))</f>
        <v/>
      </c>
      <c r="DJ16" s="29" t="str">
        <f>IF(OR($B16="",$A16&lt;=111),"",--MID('Key Analysis'!$C12,$A16-111,1))</f>
        <v/>
      </c>
      <c r="DK16" s="29" t="str">
        <f>IF(OR($B16="",$A16&lt;=112),"",--MID('Key Analysis'!$C12,$A16-112,1))</f>
        <v/>
      </c>
      <c r="DL16" s="29" t="str">
        <f>IF(OR($B16="",$A16&lt;=113),"",--MID('Key Analysis'!$C12,$A16-113,1))</f>
        <v/>
      </c>
      <c r="DM16" s="29" t="str">
        <f>IF(OR($B16="",$A16&lt;=114),"",--MID('Key Analysis'!$C12,$A16-114,1))</f>
        <v/>
      </c>
      <c r="DN16" s="29" t="str">
        <f>IF(OR($B16="",$A16&lt;=115),"",--MID('Key Analysis'!$C12,$A16-115,1))</f>
        <v/>
      </c>
      <c r="DO16" s="29" t="str">
        <f>IF(OR($B16="",$A16&lt;=116),"",--MID('Key Analysis'!$C12,$A16-116,1))</f>
        <v/>
      </c>
      <c r="DP16" s="29" t="str">
        <f>IF(OR($B16="",$A16&lt;=117),"",--MID('Key Analysis'!$C12,$A16-117,1))</f>
        <v/>
      </c>
      <c r="DQ16" s="29" t="str">
        <f>IF(OR($B16="",$A16&lt;=118),"",--MID('Key Analysis'!$C12,$A16-118,1))</f>
        <v/>
      </c>
      <c r="DR16" s="29" t="str">
        <f>IF(OR($B16="",$A16&lt;=119),"",--MID('Key Analysis'!$C12,$A16-119,1))</f>
        <v/>
      </c>
      <c r="DS16" s="29" t="str">
        <f>IF(OR($B16="",$A16&lt;=120),"",--MID('Key Analysis'!$C12,$A16-120,1))</f>
        <v/>
      </c>
      <c r="DT16" s="29" t="str">
        <f>IF(OR($B16="",$A16&lt;=121),"",--MID('Key Analysis'!$C12,$A16-121,1))</f>
        <v/>
      </c>
      <c r="DU16" s="29" t="str">
        <f>IF(OR($B16="",$A16&lt;=122),"",--MID('Key Analysis'!$C12,$A16-122,1))</f>
        <v/>
      </c>
      <c r="DV16" s="29" t="str">
        <f>IF(OR($B16="",$A16&lt;=123),"",--MID('Key Analysis'!$C12,$A16-123,1))</f>
        <v/>
      </c>
      <c r="DW16" s="29" t="str">
        <f>IF(OR($B16="",$A16&lt;=124),"",--MID('Key Analysis'!$C12,$A16-124,1))</f>
        <v/>
      </c>
      <c r="DX16" s="29" t="str">
        <f>IF(OR($B16="",$A16&lt;=125),"",--MID('Key Analysis'!$C12,$A16-125,1))</f>
        <v/>
      </c>
      <c r="DY16" s="29" t="str">
        <f>IF(OR($B16="",$A16&lt;=126),"",--MID('Key Analysis'!$C12,$A16-126,1))</f>
        <v/>
      </c>
      <c r="DZ16" s="29" t="str">
        <f>IF(OR($B16="",$A16&lt;=127),"",--MID('Key Analysis'!$C12,$A16-127,1))</f>
        <v/>
      </c>
      <c r="EA16" s="29" t="str">
        <f>IF(OR($B16="",$A16&lt;=128),"",--MID('Key Analysis'!$C12,$A16-128,1))</f>
        <v/>
      </c>
      <c r="EB16" s="29" t="str">
        <f>IF(OR($B16="",$A16&lt;=129),"",--MID('Key Analysis'!$C12,$A16-129,1))</f>
        <v/>
      </c>
      <c r="EC16" s="29" t="str">
        <f>IF(OR($B16="",$A16&lt;=130),"",--MID('Key Analysis'!$C12,$A16-130,1))</f>
        <v/>
      </c>
      <c r="ED16" s="29" t="str">
        <f>IF(OR($B16="",$A16&lt;=131),"",--MID('Key Analysis'!$C12,$A16-131,1))</f>
        <v/>
      </c>
      <c r="EE16" s="29" t="str">
        <f>IF(OR($B16="",$A16&lt;=132),"",--MID('Key Analysis'!$C12,$A16-132,1))</f>
        <v/>
      </c>
      <c r="EF16" s="29" t="str">
        <f>IF(OR($B16="",$A16&lt;=133),"",--MID('Key Analysis'!$C12,$A16-133,1))</f>
        <v/>
      </c>
      <c r="EG16" s="29" t="str">
        <f>IF(OR($B16="",$A16&lt;=134),"",--MID('Key Analysis'!$C12,$A16-134,1))</f>
        <v/>
      </c>
      <c r="EH16" s="29"/>
      <c r="EI16" s="29">
        <f>IF(OR($B16="",$A16&lt;1),"",--MID('Key Analysis'!$C12,1,1))</f>
        <v>1</v>
      </c>
      <c r="EJ16" s="29">
        <f>IF(OR($B16="",$A16&lt;2),"",--MID('Key Analysis'!$C12,2,1))</f>
        <v>0</v>
      </c>
      <c r="EK16" s="29">
        <f>IF(OR($B16="",$A16&lt;3),"",--MID('Key Analysis'!$C12,3,1))</f>
        <v>0</v>
      </c>
      <c r="EL16" s="29">
        <f>IF(OR($B16="",$A16&lt;4),"",--MID('Key Analysis'!$C12,4,1))</f>
        <v>1</v>
      </c>
      <c r="EM16" s="29">
        <f>IF(OR($B16="",$A16&lt;5),"",--MID('Key Analysis'!$C12,5,1))</f>
        <v>0</v>
      </c>
      <c r="EN16" s="29">
        <f>IF(OR($B16="",$A16&lt;6),"",--MID('Key Analysis'!$C12,6,1))</f>
        <v>0</v>
      </c>
      <c r="EO16" s="29">
        <f>IF(OR($B16="",$A16&lt;7),"",--MID('Key Analysis'!$C12,7,1))</f>
        <v>0</v>
      </c>
      <c r="EP16" s="29">
        <f>IF(OR($B16="",$A16&lt;8),"",--MID('Key Analysis'!$C12,8,1))</f>
        <v>0</v>
      </c>
      <c r="EQ16" s="29">
        <f>IF(OR($B16="",$A16&lt;9),"",--MID('Key Analysis'!$C12,9,1))</f>
        <v>0</v>
      </c>
      <c r="ER16" s="29">
        <f>IF(OR($B16="",$A16&lt;10),"",--MID('Key Analysis'!$C12,10,1))</f>
        <v>1</v>
      </c>
      <c r="ES16" s="29">
        <f>IF(OR($B16="",$A16&lt;11),"",--MID('Key Analysis'!$C12,11,1))</f>
        <v>1</v>
      </c>
      <c r="ET16" s="29" t="str">
        <f>IF(OR($B16="",$A16&lt;12),"",--MID('Key Analysis'!$C12,12,1))</f>
        <v/>
      </c>
      <c r="EU16" s="29" t="str">
        <f>IF(OR($B16="",$A16&lt;13),"",--MID('Key Analysis'!$C12,13,1))</f>
        <v/>
      </c>
      <c r="EV16" s="29" t="str">
        <f>IF(OR($B16="",$A16&lt;14),"",--MID('Key Analysis'!$C12,14,1))</f>
        <v/>
      </c>
      <c r="EW16" s="29" t="str">
        <f>IF(OR($B16="",$A16&lt;15),"",--MID('Key Analysis'!$C12,15,1))</f>
        <v/>
      </c>
      <c r="EX16" s="29" t="str">
        <f>IF(OR($B16="",$A16&lt;16),"",--MID('Key Analysis'!$C12,16,1))</f>
        <v/>
      </c>
      <c r="EY16" s="29" t="str">
        <f>IF(OR($B16="",$A16&lt;17),"",--MID('Key Analysis'!$C12,17,1))</f>
        <v/>
      </c>
      <c r="EZ16" s="29" t="str">
        <f>IF(OR($B16="",$A16&lt;18),"",--MID('Key Analysis'!$C12,18,1))</f>
        <v/>
      </c>
      <c r="FA16" s="29" t="str">
        <f>IF(OR($B16="",$A16&lt;19),"",--MID('Key Analysis'!$C12,19,1))</f>
        <v/>
      </c>
      <c r="FB16" s="29" t="str">
        <f>IF(OR($B16="",$A16&lt;20),"",--MID('Key Analysis'!$C12,20,1))</f>
        <v/>
      </c>
      <c r="FC16" s="29" t="str">
        <f>IF(OR($B16="",$A16&lt;21),"",--MID('Key Analysis'!$C12,21,1))</f>
        <v/>
      </c>
      <c r="FD16" s="29" t="str">
        <f>IF(OR($B16="",$A16&lt;22),"",--MID('Key Analysis'!$C12,22,1))</f>
        <v/>
      </c>
      <c r="FE16" s="29" t="str">
        <f>IF(OR($B16="",$A16&lt;23),"",--MID('Key Analysis'!$C12,23,1))</f>
        <v/>
      </c>
      <c r="FF16" s="29" t="str">
        <f>IF(OR($B16="",$A16&lt;24),"",--MID('Key Analysis'!$C12,24,1))</f>
        <v/>
      </c>
      <c r="FG16" s="29" t="str">
        <f>IF(OR($B16="",$A16&lt;25),"",--MID('Key Analysis'!$C12,25,1))</f>
        <v/>
      </c>
      <c r="FH16" s="29" t="str">
        <f>IF(OR($B16="",$A16&lt;26),"",--MID('Key Analysis'!$C12,26,1))</f>
        <v/>
      </c>
      <c r="FI16" s="29" t="str">
        <f>IF(OR($B16="",$A16&lt;27),"",--MID('Key Analysis'!$C12,27,1))</f>
        <v/>
      </c>
      <c r="FJ16" s="29" t="str">
        <f>IF(OR($B16="",$A16&lt;28),"",--MID('Key Analysis'!$C12,28,1))</f>
        <v/>
      </c>
      <c r="FK16" s="29" t="str">
        <f>IF(OR($B16="",$A16&lt;29),"",--MID('Key Analysis'!$C12,29,1))</f>
        <v/>
      </c>
      <c r="FL16" s="29" t="str">
        <f>IF(OR($B16="",$A16&lt;30),"",--MID('Key Analysis'!$C12,30,1))</f>
        <v/>
      </c>
      <c r="FM16" s="29" t="str">
        <f>IF(OR($B16="",$A16&lt;31),"",--MID('Key Analysis'!$C12,31,1))</f>
        <v/>
      </c>
      <c r="FN16" s="29" t="str">
        <f>IF(OR($B16="",$A16&lt;32),"",--MID('Key Analysis'!$C12,32,1))</f>
        <v/>
      </c>
      <c r="FO16" s="29" t="str">
        <f>IF(OR($B16="",$A16&lt;33),"",--MID('Key Analysis'!$C12,33,1))</f>
        <v/>
      </c>
      <c r="FP16" s="29" t="str">
        <f>IF(OR($B16="",$A16&lt;34),"",--MID('Key Analysis'!$C12,34,1))</f>
        <v/>
      </c>
      <c r="FQ16" s="29" t="str">
        <f>IF(OR($B16="",$A16&lt;35),"",--MID('Key Analysis'!$C12,35,1))</f>
        <v/>
      </c>
      <c r="FR16" s="29" t="str">
        <f>IF(OR($B16="",$A16&lt;36),"",--MID('Key Analysis'!$C12,36,1))</f>
        <v/>
      </c>
      <c r="FS16" s="29" t="str">
        <f>IF(OR($B16="",$A16&lt;37),"",--MID('Key Analysis'!$C12,37,1))</f>
        <v/>
      </c>
      <c r="FT16" s="29" t="str">
        <f>IF(OR($B16="",$A16&lt;38),"",--MID('Key Analysis'!$C12,38,1))</f>
        <v/>
      </c>
      <c r="FU16" s="29" t="str">
        <f>IF(OR($B16="",$A16&lt;39),"",--MID('Key Analysis'!$C12,39,1))</f>
        <v/>
      </c>
      <c r="FV16" s="29" t="str">
        <f>IF(OR($B16="",$A16&lt;40),"",--MID('Key Analysis'!$C12,40,1))</f>
        <v/>
      </c>
      <c r="FW16" s="29" t="str">
        <f>IF(OR($B16="",$A16&lt;41),"",--MID('Key Analysis'!$C12,41,1))</f>
        <v/>
      </c>
      <c r="FX16" s="29" t="str">
        <f>IF(OR($B16="",$A16&lt;42),"",--MID('Key Analysis'!$C12,42,1))</f>
        <v/>
      </c>
      <c r="FY16" s="29" t="str">
        <f>IF(OR($B16="",$A16&lt;43),"",--MID('Key Analysis'!$C12,43,1))</f>
        <v/>
      </c>
      <c r="FZ16" s="29" t="str">
        <f>IF(OR($B16="",$A16&lt;44),"",--MID('Key Analysis'!$C12,44,1))</f>
        <v/>
      </c>
      <c r="GA16" s="29" t="str">
        <f>IF(OR($B16="",$A16&lt;45),"",--MID('Key Analysis'!$C12,45,1))</f>
        <v/>
      </c>
      <c r="GB16" s="29" t="str">
        <f>IF(OR($B16="",$A16&lt;46),"",--MID('Key Analysis'!$C12,46,1))</f>
        <v/>
      </c>
      <c r="GC16" s="29" t="str">
        <f>IF(OR($B16="",$A16&lt;47),"",--MID('Key Analysis'!$C12,47,1))</f>
        <v/>
      </c>
      <c r="GD16" s="29" t="str">
        <f>IF(OR($B16="",$A16&lt;48),"",--MID('Key Analysis'!$C12,48,1))</f>
        <v/>
      </c>
      <c r="GE16" s="29" t="str">
        <f>IF(OR($B16="",$A16&lt;49),"",--MID('Key Analysis'!$C12,49,1))</f>
        <v/>
      </c>
      <c r="GF16" s="29" t="str">
        <f>IF(OR($B16="",$A16&lt;50),"",--MID('Key Analysis'!$C12,50,1))</f>
        <v/>
      </c>
      <c r="GG16" s="29" t="str">
        <f>IF(OR($B16="",$A16&lt;51),"",--MID('Key Analysis'!$C12,51,1))</f>
        <v/>
      </c>
      <c r="GH16" s="29" t="str">
        <f>IF(OR($B16="",$A16&lt;52),"",--MID('Key Analysis'!$C12,52,1))</f>
        <v/>
      </c>
      <c r="GI16" s="29" t="str">
        <f>IF(OR($B16="",$A16&lt;53),"",--MID('Key Analysis'!$C12,53,1))</f>
        <v/>
      </c>
      <c r="GJ16" s="29" t="str">
        <f>IF(OR($B16="",$A16&lt;54),"",--MID('Key Analysis'!$C12,54,1))</f>
        <v/>
      </c>
      <c r="GK16" s="29" t="str">
        <f>IF(OR($B16="",$A16&lt;55),"",--MID('Key Analysis'!$C12,55,1))</f>
        <v/>
      </c>
      <c r="GL16" s="29" t="str">
        <f>IF(OR($B16="",$A16&lt;56),"",--MID('Key Analysis'!$C12,56,1))</f>
        <v/>
      </c>
      <c r="GM16" s="29" t="str">
        <f>IF(OR($B16="",$A16&lt;57),"",--MID('Key Analysis'!$C12,57,1))</f>
        <v/>
      </c>
      <c r="GN16" s="29" t="str">
        <f>IF(OR($B16="",$A16&lt;58),"",--MID('Key Analysis'!$C12,58,1))</f>
        <v/>
      </c>
      <c r="GO16" s="29" t="str">
        <f>IF(OR($B16="",$A16&lt;59),"",--MID('Key Analysis'!$C12,59,1))</f>
        <v/>
      </c>
      <c r="GP16" s="29" t="str">
        <f>IF(OR($B16="",$A16&lt;60),"",--MID('Key Analysis'!$C12,60,1))</f>
        <v/>
      </c>
      <c r="GQ16" s="29" t="str">
        <f>IF(OR($B16="",$A16&lt;61),"",--MID('Key Analysis'!$C12,61,1))</f>
        <v/>
      </c>
      <c r="GR16" s="29" t="str">
        <f>IF(OR($B16="",$A16&lt;62),"",--MID('Key Analysis'!$C12,62,1))</f>
        <v/>
      </c>
      <c r="GS16" s="29" t="str">
        <f>IF(OR($B16="",$A16&lt;63),"",--MID('Key Analysis'!$C12,63,1))</f>
        <v/>
      </c>
      <c r="GT16" s="29" t="str">
        <f>IF(OR($B16="",$A16&lt;64),"",--MID('Key Analysis'!$C12,64,1))</f>
        <v/>
      </c>
      <c r="GU16" s="29" t="str">
        <f>IF(OR($B16="",$A16&lt;65),"",--MID('Key Analysis'!$C12,65,1))</f>
        <v/>
      </c>
      <c r="GV16" s="29" t="str">
        <f>IF(OR($B16="",$A16&lt;66),"",--MID('Key Analysis'!$C12,66,1))</f>
        <v/>
      </c>
      <c r="GW16" s="29" t="str">
        <f>IF(OR($B16="",$A16&lt;67),"",--MID('Key Analysis'!$C12,67,1))</f>
        <v/>
      </c>
      <c r="GX16" s="29" t="str">
        <f>IF(OR($B16="",$A16&lt;68),"",--MID('Key Analysis'!$C12,68,1))</f>
        <v/>
      </c>
      <c r="GY16" s="29" t="str">
        <f>IF(OR($B16="",$A16&lt;69),"",--MID('Key Analysis'!$C12,69,1))</f>
        <v/>
      </c>
      <c r="GZ16" s="29" t="str">
        <f>IF(OR($B16="",$A16&lt;70),"",--MID('Key Analysis'!$C12,70,1))</f>
        <v/>
      </c>
      <c r="HA16" s="29" t="str">
        <f>IF(OR($B16="",$A16&lt;71),"",--MID('Key Analysis'!$C12,71,1))</f>
        <v/>
      </c>
      <c r="HB16" s="29" t="str">
        <f>IF(OR($B16="",$A16&lt;72),"",--MID('Key Analysis'!$C12,72,1))</f>
        <v/>
      </c>
      <c r="HC16" s="29" t="str">
        <f>IF(OR($B16="",$A16&lt;73),"",--MID('Key Analysis'!$C12,73,1))</f>
        <v/>
      </c>
      <c r="HD16" s="29" t="str">
        <f>IF(OR($B16="",$A16&lt;74),"",--MID('Key Analysis'!$C12,74,1))</f>
        <v/>
      </c>
      <c r="HE16" s="29" t="str">
        <f>IF(OR($B16="",$A16&lt;75),"",--MID('Key Analysis'!$C12,75,1))</f>
        <v/>
      </c>
      <c r="HF16" s="29" t="str">
        <f>IF(OR($B16="",$A16&lt;76),"",--MID('Key Analysis'!$C12,76,1))</f>
        <v/>
      </c>
      <c r="HG16" s="29" t="str">
        <f>IF(OR($B16="",$A16&lt;77),"",--MID('Key Analysis'!$C12,77,1))</f>
        <v/>
      </c>
      <c r="HH16" s="29" t="str">
        <f>IF(OR($B16="",$A16&lt;78),"",--MID('Key Analysis'!$C12,78,1))</f>
        <v/>
      </c>
      <c r="HI16" s="29" t="str">
        <f>IF(OR($B16="",$A16&lt;79),"",--MID('Key Analysis'!$C12,79,1))</f>
        <v/>
      </c>
      <c r="HJ16" s="29" t="str">
        <f>IF(OR($B16="",$A16&lt;80),"",--MID('Key Analysis'!$C12,80,1))</f>
        <v/>
      </c>
      <c r="HK16" s="29" t="str">
        <f>IF(OR($B16="",$A16&lt;81),"",--MID('Key Analysis'!$C12,81,1))</f>
        <v/>
      </c>
      <c r="HL16" s="29" t="str">
        <f>IF(OR($B16="",$A16&lt;82),"",--MID('Key Analysis'!$C12,82,1))</f>
        <v/>
      </c>
      <c r="HM16" s="29" t="str">
        <f>IF(OR($B16="",$A16&lt;83),"",--MID('Key Analysis'!$C12,83,1))</f>
        <v/>
      </c>
      <c r="HN16" s="29" t="str">
        <f>IF(OR($B16="",$A16&lt;84),"",--MID('Key Analysis'!$C12,84,1))</f>
        <v/>
      </c>
      <c r="HO16" s="29" t="str">
        <f>IF(OR($B16="",$A16&lt;85),"",--MID('Key Analysis'!$C12,85,1))</f>
        <v/>
      </c>
      <c r="HP16" s="29" t="str">
        <f>IF(OR($B16="",$A16&lt;86),"",--MID('Key Analysis'!$C12,86,1))</f>
        <v/>
      </c>
      <c r="HQ16" s="29" t="str">
        <f>IF(OR($B16="",$A16&lt;87),"",--MID('Key Analysis'!$C12,87,1))</f>
        <v/>
      </c>
      <c r="HR16" s="29" t="str">
        <f>IF(OR($B16="",$A16&lt;88),"",--MID('Key Analysis'!$C12,88,1))</f>
        <v/>
      </c>
      <c r="HS16" s="29" t="str">
        <f>IF(OR($B16="",$A16&lt;89),"",--MID('Key Analysis'!$C12,89,1))</f>
        <v/>
      </c>
      <c r="HT16" s="29" t="str">
        <f>IF(OR($B16="",$A16&lt;90),"",--MID('Key Analysis'!$C12,90,1))</f>
        <v/>
      </c>
      <c r="HU16" s="29" t="str">
        <f>IF(OR($B16="",$A16&lt;91),"",--MID('Key Analysis'!$C12,91,1))</f>
        <v/>
      </c>
      <c r="HV16" s="29" t="str">
        <f>IF(OR($B16="",$A16&lt;92),"",--MID('Key Analysis'!$C12,92,1))</f>
        <v/>
      </c>
      <c r="HW16" s="29" t="str">
        <f>IF(OR($B16="",$A16&lt;93),"",--MID('Key Analysis'!$C12,93,1))</f>
        <v/>
      </c>
      <c r="HX16" s="29" t="str">
        <f>IF(OR($B16="",$A16&lt;94),"",--MID('Key Analysis'!$C12,94,1))</f>
        <v/>
      </c>
      <c r="HY16" s="29" t="str">
        <f>IF(OR($B16="",$A16&lt;95),"",--MID('Key Analysis'!$C12,95,1))</f>
        <v/>
      </c>
      <c r="HZ16" s="29" t="str">
        <f>IF(OR($B16="",$A16&lt;96),"",--MID('Key Analysis'!$C12,96,1))</f>
        <v/>
      </c>
      <c r="IA16" s="29" t="str">
        <f>IF(OR($B16="",$A16&lt;97),"",--MID('Key Analysis'!$C12,97,1))</f>
        <v/>
      </c>
      <c r="IB16" s="29" t="str">
        <f>IF(OR($B16="",$A16&lt;98),"",--MID('Key Analysis'!$C12,98,1))</f>
        <v/>
      </c>
      <c r="IC16" s="29" t="str">
        <f>IF(OR($B16="",$A16&lt;99),"",--MID('Key Analysis'!$C12,99,1))</f>
        <v/>
      </c>
      <c r="ID16" s="29" t="str">
        <f>IF(OR($B16="",$A16&lt;100),"",--MID('Key Analysis'!$C12,100,1))</f>
        <v/>
      </c>
      <c r="IE16" s="29" t="str">
        <f>IF(OR($B16="",$A16&lt;101),"",--MID('Key Analysis'!$C12,101,1))</f>
        <v/>
      </c>
      <c r="IF16" s="29" t="str">
        <f>IF(OR($B16="",$A16&lt;102),"",--MID('Key Analysis'!$C12,102,1))</f>
        <v/>
      </c>
      <c r="IG16" s="29" t="str">
        <f>IF(OR($B16="",$A16&lt;103),"",--MID('Key Analysis'!$C12,103,1))</f>
        <v/>
      </c>
      <c r="IH16" s="29" t="str">
        <f>IF(OR($B16="",$A16&lt;104),"",--MID('Key Analysis'!$C12,104,1))</f>
        <v/>
      </c>
      <c r="II16" s="29" t="str">
        <f>IF(OR($B16="",$A16&lt;105),"",--MID('Key Analysis'!$C12,105,1))</f>
        <v/>
      </c>
      <c r="IJ16" s="29" t="str">
        <f>IF(OR($B16="",$A16&lt;106),"",--MID('Key Analysis'!$C12,106,1))</f>
        <v/>
      </c>
      <c r="IK16" s="29" t="str">
        <f>IF(OR($B16="",$A16&lt;107),"",--MID('Key Analysis'!$C12,107,1))</f>
        <v/>
      </c>
      <c r="IL16" s="29" t="str">
        <f>IF(OR($B16="",$A16&lt;108),"",--MID('Key Analysis'!$C12,108,1))</f>
        <v/>
      </c>
      <c r="IM16" s="29" t="str">
        <f>IF(OR($B16="",$A16&lt;109),"",--MID('Key Analysis'!$C12,109,1))</f>
        <v/>
      </c>
      <c r="IN16" s="29" t="str">
        <f>IF(OR($B16="",$A16&lt;110),"",--MID('Key Analysis'!$C12,110,1))</f>
        <v/>
      </c>
      <c r="IO16" s="29" t="str">
        <f>IF(OR($B16="",$A16&lt;111),"",--MID('Key Analysis'!$C12,111,1))</f>
        <v/>
      </c>
      <c r="IP16" s="29" t="str">
        <f>IF(OR($B16="",$A16&lt;112),"",--MID('Key Analysis'!$C12,112,1))</f>
        <v/>
      </c>
      <c r="IQ16" s="29" t="str">
        <f>IF(OR($B16="",$A16&lt;113),"",--MID('Key Analysis'!$C12,113,1))</f>
        <v/>
      </c>
      <c r="IR16" s="29" t="str">
        <f>IF(OR($B16="",$A16&lt;114),"",--MID('Key Analysis'!$C12,114,1))</f>
        <v/>
      </c>
      <c r="IS16" s="29" t="str">
        <f>IF(OR($B16="",$A16&lt;115),"",--MID('Key Analysis'!$C12,115,1))</f>
        <v/>
      </c>
      <c r="IT16" s="29" t="str">
        <f>IF(OR($B16="",$A16&lt;116),"",--MID('Key Analysis'!$C12,116,1))</f>
        <v/>
      </c>
      <c r="IU16" s="29" t="str">
        <f>IF(OR($B16="",$A16&lt;117),"",--MID('Key Analysis'!$C12,117,1))</f>
        <v/>
      </c>
      <c r="IV16" s="29" t="str">
        <f>IF(OR($B16="",$A16&lt;118),"",--MID('Key Analysis'!$C12,118,1))</f>
        <v/>
      </c>
      <c r="IW16" s="29" t="str">
        <f>IF(OR($B16="",$A16&lt;119),"",--MID('Key Analysis'!$C12,119,1))</f>
        <v/>
      </c>
      <c r="IX16" s="29" t="str">
        <f>IF(OR($B16="",$A16&lt;120),"",--MID('Key Analysis'!$C12,120,1))</f>
        <v/>
      </c>
      <c r="IY16" s="29" t="str">
        <f>IF(OR($B16="",$A16&lt;121),"",--MID('Key Analysis'!$C12,121,1))</f>
        <v/>
      </c>
      <c r="IZ16" s="29" t="str">
        <f>IF(OR($B16="",$A16&lt;122),"",--MID('Key Analysis'!$C12,122,1))</f>
        <v/>
      </c>
      <c r="JA16" s="29" t="str">
        <f>IF(OR($B16="",$A16&lt;123),"",--MID('Key Analysis'!$C12,123,1))</f>
        <v/>
      </c>
      <c r="JB16" s="29" t="str">
        <f>IF(OR($B16="",$A16&lt;124),"",--MID('Key Analysis'!$C12,124,1))</f>
        <v/>
      </c>
      <c r="JC16" s="29" t="str">
        <f>IF(OR($B16="",$A16&lt;125),"",--MID('Key Analysis'!$C12,125,1))</f>
        <v/>
      </c>
      <c r="JD16" s="29" t="str">
        <f>IF(OR($B16="",$A16&lt;126),"",--MID('Key Analysis'!$C12,126,1))</f>
        <v/>
      </c>
      <c r="JE16" s="29" t="str">
        <f>IF(OR($B16="",$A16&lt;127),"",--MID('Key Analysis'!$C12,127,1))</f>
        <v/>
      </c>
      <c r="JF16" s="29" t="str">
        <f>IF(OR($B16="",$A16&lt;128),"",--MID('Key Analysis'!$C12,128,1))</f>
        <v/>
      </c>
      <c r="JG16" s="29" t="str">
        <f>IF(OR($B16="",$A16&lt;129),"",--MID('Key Analysis'!$C12,129,1))</f>
        <v/>
      </c>
      <c r="JH16" s="29" t="str">
        <f>IF(OR($B16="",$A16&lt;130),"",--MID('Key Analysis'!$C12,130,1))</f>
        <v/>
      </c>
      <c r="JI16" s="29" t="str">
        <f>IF(OR($B16="",$A16&lt;131),"",--MID('Key Analysis'!$C12,131,1))</f>
        <v/>
      </c>
      <c r="JJ16" s="29" t="str">
        <f>IF(OR($B16="",$A16&lt;132),"",--MID('Key Analysis'!$C12,132,1))</f>
        <v/>
      </c>
      <c r="JK16" s="29" t="str">
        <f>IF(OR($B16="",$A16&lt;133),"",--MID('Key Analysis'!$C12,133,1))</f>
        <v/>
      </c>
      <c r="JL16" s="29" t="str">
        <f>IF(OR($B16="",$A16&lt;134),"",--MID('Key Analysis'!$C12,134,1))</f>
        <v/>
      </c>
      <c r="JM16" s="29" t="str">
        <f>IF(OR($B16="",$A16&lt;135),"",--MID('Key Analysis'!$C12,135,1))</f>
        <v/>
      </c>
    </row>
    <row r="17" spans="1:273" x14ac:dyDescent="0.25">
      <c r="A17" s="21">
        <f>'Key Analysis'!A13</f>
        <v>12</v>
      </c>
      <c r="B17" s="30" t="str">
        <f>'Key Analysis'!B13</f>
        <v>a7b</v>
      </c>
      <c r="C17" s="29">
        <f>IF(OR($B17="",$A17&lt;=0),"",--MID('Key Analysis'!$C13,$A17-0,1))</f>
        <v>1</v>
      </c>
      <c r="D17" s="29">
        <f>IF(OR($B17="",$A17&lt;=1),"",--MID('Key Analysis'!$C13,$A17-1,1))</f>
        <v>1</v>
      </c>
      <c r="E17" s="29">
        <f>IF(OR($B17="",$A17&lt;=2),"",--MID('Key Analysis'!$C13,$A17-2,1))</f>
        <v>0</v>
      </c>
      <c r="F17" s="29">
        <f>IF(OR($B17="",$A17&lt;=3),"",--MID('Key Analysis'!$C13,$A17-3,1))</f>
        <v>1</v>
      </c>
      <c r="G17" s="29">
        <f>IF(OR($B17="",$A17&lt;=4),"",--MID('Key Analysis'!$C13,$A17-4,1))</f>
        <v>1</v>
      </c>
      <c r="H17" s="29">
        <f>IF(OR($B17="",$A17&lt;=5),"",--MID('Key Analysis'!$C13,$A17-5,1))</f>
        <v>1</v>
      </c>
      <c r="I17" s="29">
        <f>IF(OR($B17="",$A17&lt;=6),"",--MID('Key Analysis'!$C13,$A17-6,1))</f>
        <v>1</v>
      </c>
      <c r="J17" s="29">
        <f>IF(OR($B17="",$A17&lt;=7),"",--MID('Key Analysis'!$C13,$A17-7,1))</f>
        <v>0</v>
      </c>
      <c r="K17" s="29">
        <f>IF(OR($B17="",$A17&lt;=8),"",--MID('Key Analysis'!$C13,$A17-8,1))</f>
        <v>0</v>
      </c>
      <c r="L17" s="29">
        <f>IF(OR($B17="",$A17&lt;=9),"",--MID('Key Analysis'!$C13,$A17-9,1))</f>
        <v>1</v>
      </c>
      <c r="M17" s="29">
        <f>IF(OR($B17="",$A17&lt;=10),"",--MID('Key Analysis'!$C13,$A17-10,1))</f>
        <v>0</v>
      </c>
      <c r="N17" s="29">
        <f>IF(OR($B17="",$A17&lt;=11),"",--MID('Key Analysis'!$C13,$A17-11,1))</f>
        <v>1</v>
      </c>
      <c r="O17" s="29" t="str">
        <f>IF(OR($B17="",$A17&lt;=12),"",--MID('Key Analysis'!$C13,$A17-12,1))</f>
        <v/>
      </c>
      <c r="P17" s="29" t="str">
        <f>IF(OR($B17="",$A17&lt;=13),"",--MID('Key Analysis'!$C13,$A17-13,1))</f>
        <v/>
      </c>
      <c r="Q17" s="29" t="str">
        <f>IF(OR($B17="",$A17&lt;=14),"",--MID('Key Analysis'!$C13,$A17-14,1))</f>
        <v/>
      </c>
      <c r="R17" s="29" t="str">
        <f>IF(OR($B17="",$A17&lt;=15),"",--MID('Key Analysis'!$C13,$A17-15,1))</f>
        <v/>
      </c>
      <c r="S17" s="29" t="str">
        <f>IF(OR($B17="",$A17&lt;=16),"",--MID('Key Analysis'!$C13,$A17-16,1))</f>
        <v/>
      </c>
      <c r="T17" s="29" t="str">
        <f>IF(OR($B17="",$A17&lt;=17),"",--MID('Key Analysis'!$C13,$A17-17,1))</f>
        <v/>
      </c>
      <c r="U17" s="29" t="str">
        <f>IF(OR($B17="",$A17&lt;=18),"",--MID('Key Analysis'!$C13,$A17-18,1))</f>
        <v/>
      </c>
      <c r="V17" s="29" t="str">
        <f>IF(OR($B17="",$A17&lt;=19),"",--MID('Key Analysis'!$C13,$A17-19,1))</f>
        <v/>
      </c>
      <c r="W17" s="29" t="str">
        <f>IF(OR($B17="",$A17&lt;=20),"",--MID('Key Analysis'!$C13,$A17-20,1))</f>
        <v/>
      </c>
      <c r="X17" s="29" t="str">
        <f>IF(OR($B17="",$A17&lt;=21),"",--MID('Key Analysis'!$C13,$A17-21,1))</f>
        <v/>
      </c>
      <c r="Y17" s="29" t="str">
        <f>IF(OR($B17="",$A17&lt;=22),"",--MID('Key Analysis'!$C13,$A17-22,1))</f>
        <v/>
      </c>
      <c r="Z17" s="29" t="str">
        <f>IF(OR($B17="",$A17&lt;=23),"",--MID('Key Analysis'!$C13,$A17-23,1))</f>
        <v/>
      </c>
      <c r="AA17" s="29" t="str">
        <f>IF(OR($B17="",$A17&lt;=24),"",--MID('Key Analysis'!$C13,$A17-24,1))</f>
        <v/>
      </c>
      <c r="AB17" s="29" t="str">
        <f>IF(OR($B17="",$A17&lt;=25),"",--MID('Key Analysis'!$C13,$A17-25,1))</f>
        <v/>
      </c>
      <c r="AC17" s="29" t="str">
        <f>IF(OR($B17="",$A17&lt;=26),"",--MID('Key Analysis'!$C13,$A17-26,1))</f>
        <v/>
      </c>
      <c r="AD17" s="29" t="str">
        <f>IF(OR($B17="",$A17&lt;=27),"",--MID('Key Analysis'!$C13,$A17-27,1))</f>
        <v/>
      </c>
      <c r="AE17" s="29" t="str">
        <f>IF(OR($B17="",$A17&lt;=28),"",--MID('Key Analysis'!$C13,$A17-28,1))</f>
        <v/>
      </c>
      <c r="AF17" s="29" t="str">
        <f>IF(OR($B17="",$A17&lt;=29),"",--MID('Key Analysis'!$C13,$A17-29,1))</f>
        <v/>
      </c>
      <c r="AG17" s="29" t="str">
        <f>IF(OR($B17="",$A17&lt;=30),"",--MID('Key Analysis'!$C13,$A17-30,1))</f>
        <v/>
      </c>
      <c r="AH17" s="29" t="str">
        <f>IF(OR($B17="",$A17&lt;=31),"",--MID('Key Analysis'!$C13,$A17-31,1))</f>
        <v/>
      </c>
      <c r="AI17" s="29" t="str">
        <f>IF(OR($B17="",$A17&lt;=32),"",--MID('Key Analysis'!$C13,$A17-32,1))</f>
        <v/>
      </c>
      <c r="AJ17" s="29" t="str">
        <f>IF(OR($B17="",$A17&lt;=33),"",--MID('Key Analysis'!$C13,$A17-33,1))</f>
        <v/>
      </c>
      <c r="AK17" s="29" t="str">
        <f>IF(OR($B17="",$A17&lt;=34),"",--MID('Key Analysis'!$C13,$A17-34,1))</f>
        <v/>
      </c>
      <c r="AL17" s="29" t="str">
        <f>IF(OR($B17="",$A17&lt;=35),"",--MID('Key Analysis'!$C13,$A17-35,1))</f>
        <v/>
      </c>
      <c r="AM17" s="29" t="str">
        <f>IF(OR($B17="",$A17&lt;=36),"",--MID('Key Analysis'!$C13,$A17-36,1))</f>
        <v/>
      </c>
      <c r="AN17" s="29" t="str">
        <f>IF(OR($B17="",$A17&lt;=37),"",--MID('Key Analysis'!$C13,$A17-37,1))</f>
        <v/>
      </c>
      <c r="AO17" s="29" t="str">
        <f>IF(OR($B17="",$A17&lt;=38),"",--MID('Key Analysis'!$C13,$A17-38,1))</f>
        <v/>
      </c>
      <c r="AP17" s="29" t="str">
        <f>IF(OR($B17="",$A17&lt;=39),"",--MID('Key Analysis'!$C13,$A17-39,1))</f>
        <v/>
      </c>
      <c r="AQ17" s="29" t="str">
        <f>IF(OR($B17="",$A17&lt;=40),"",--MID('Key Analysis'!$C13,$A17-40,1))</f>
        <v/>
      </c>
      <c r="AR17" s="29" t="str">
        <f>IF(OR($B17="",$A17&lt;=41),"",--MID('Key Analysis'!$C13,$A17-41,1))</f>
        <v/>
      </c>
      <c r="AS17" s="29" t="str">
        <f>IF(OR($B17="",$A17&lt;=42),"",--MID('Key Analysis'!$C13,$A17-42,1))</f>
        <v/>
      </c>
      <c r="AT17" s="29" t="str">
        <f>IF(OR($B17="",$A17&lt;=43),"",--MID('Key Analysis'!$C13,$A17-43,1))</f>
        <v/>
      </c>
      <c r="AU17" s="29" t="str">
        <f>IF(OR($B17="",$A17&lt;=44),"",--MID('Key Analysis'!$C13,$A17-44,1))</f>
        <v/>
      </c>
      <c r="AV17" s="29" t="str">
        <f>IF(OR($B17="",$A17&lt;=45),"",--MID('Key Analysis'!$C13,$A17-45,1))</f>
        <v/>
      </c>
      <c r="AW17" s="29" t="str">
        <f>IF(OR($B17="",$A17&lt;=46),"",--MID('Key Analysis'!$C13,$A17-46,1))</f>
        <v/>
      </c>
      <c r="AX17" s="29" t="str">
        <f>IF(OR($B17="",$A17&lt;=47),"",--MID('Key Analysis'!$C13,$A17-47,1))</f>
        <v/>
      </c>
      <c r="AY17" s="29" t="str">
        <f>IF(OR($B17="",$A17&lt;=48),"",--MID('Key Analysis'!$C13,$A17-48,1))</f>
        <v/>
      </c>
      <c r="AZ17" s="29" t="str">
        <f>IF(OR($B17="",$A17&lt;=49),"",--MID('Key Analysis'!$C13,$A17-49,1))</f>
        <v/>
      </c>
      <c r="BA17" s="29" t="str">
        <f>IF(OR($B17="",$A17&lt;=50),"",--MID('Key Analysis'!$C13,$A17-50,1))</f>
        <v/>
      </c>
      <c r="BB17" s="29" t="str">
        <f>IF(OR($B17="",$A17&lt;=51),"",--MID('Key Analysis'!$C13,$A17-51,1))</f>
        <v/>
      </c>
      <c r="BC17" s="29" t="str">
        <f>IF(OR($B17="",$A17&lt;=52),"",--MID('Key Analysis'!$C13,$A17-52,1))</f>
        <v/>
      </c>
      <c r="BD17" s="29" t="str">
        <f>IF(OR($B17="",$A17&lt;=53),"",--MID('Key Analysis'!$C13,$A17-53,1))</f>
        <v/>
      </c>
      <c r="BE17" s="29" t="str">
        <f>IF(OR($B17="",$A17&lt;=54),"",--MID('Key Analysis'!$C13,$A17-54,1))</f>
        <v/>
      </c>
      <c r="BF17" s="29" t="str">
        <f>IF(OR($B17="",$A17&lt;=55),"",--MID('Key Analysis'!$C13,$A17-55,1))</f>
        <v/>
      </c>
      <c r="BG17" s="29" t="str">
        <f>IF(OR($B17="",$A17&lt;=56),"",--MID('Key Analysis'!$C13,$A17-56,1))</f>
        <v/>
      </c>
      <c r="BH17" s="29" t="str">
        <f>IF(OR($B17="",$A17&lt;=57),"",--MID('Key Analysis'!$C13,$A17-57,1))</f>
        <v/>
      </c>
      <c r="BI17" s="29" t="str">
        <f>IF(OR($B17="",$A17&lt;=58),"",--MID('Key Analysis'!$C13,$A17-58,1))</f>
        <v/>
      </c>
      <c r="BJ17" s="29" t="str">
        <f>IF(OR($B17="",$A17&lt;=59),"",--MID('Key Analysis'!$C13,$A17-59,1))</f>
        <v/>
      </c>
      <c r="BK17" s="29" t="str">
        <f>IF(OR($B17="",$A17&lt;=60),"",--MID('Key Analysis'!$C13,$A17-60,1))</f>
        <v/>
      </c>
      <c r="BL17" s="29" t="str">
        <f>IF(OR($B17="",$A17&lt;=61),"",--MID('Key Analysis'!$C13,$A17-61,1))</f>
        <v/>
      </c>
      <c r="BM17" s="29" t="str">
        <f>IF(OR($B17="",$A17&lt;=62),"",--MID('Key Analysis'!$C13,$A17-62,1))</f>
        <v/>
      </c>
      <c r="BN17" s="29" t="str">
        <f>IF(OR($B17="",$A17&lt;=63),"",--MID('Key Analysis'!$C13,$A17-63,1))</f>
        <v/>
      </c>
      <c r="BO17" s="29" t="str">
        <f>IF(OR($B17="",$A17&lt;=64),"",--MID('Key Analysis'!$C13,$A17-64,1))</f>
        <v/>
      </c>
      <c r="BP17" s="29" t="str">
        <f>IF(OR($B17="",$A17&lt;=65),"",--MID('Key Analysis'!$C13,$A17-65,1))</f>
        <v/>
      </c>
      <c r="BQ17" s="29" t="str">
        <f>IF(OR($B17="",$A17&lt;=66),"",--MID('Key Analysis'!$C13,$A17-66,1))</f>
        <v/>
      </c>
      <c r="BR17" s="29" t="str">
        <f>IF(OR($B17="",$A17&lt;=67),"",--MID('Key Analysis'!$C13,$A17-67,1))</f>
        <v/>
      </c>
      <c r="BS17" s="29" t="str">
        <f>IF(OR($B17="",$A17&lt;=68),"",--MID('Key Analysis'!$C13,$A17-68,1))</f>
        <v/>
      </c>
      <c r="BT17" s="29" t="str">
        <f>IF(OR($B17="",$A17&lt;=69),"",--MID('Key Analysis'!$C13,$A17-69,1))</f>
        <v/>
      </c>
      <c r="BU17" s="29" t="str">
        <f>IF(OR($B17="",$A17&lt;=70),"",--MID('Key Analysis'!$C13,$A17-70,1))</f>
        <v/>
      </c>
      <c r="BV17" s="29" t="str">
        <f>IF(OR($B17="",$A17&lt;=71),"",--MID('Key Analysis'!$C13,$A17-71,1))</f>
        <v/>
      </c>
      <c r="BW17" s="29" t="str">
        <f>IF(OR($B17="",$A17&lt;=72),"",--MID('Key Analysis'!$C13,$A17-72,1))</f>
        <v/>
      </c>
      <c r="BX17" s="29" t="str">
        <f>IF(OR($B17="",$A17&lt;=73),"",--MID('Key Analysis'!$C13,$A17-73,1))</f>
        <v/>
      </c>
      <c r="BY17" s="29" t="str">
        <f>IF(OR($B17="",$A17&lt;=74),"",--MID('Key Analysis'!$C13,$A17-74,1))</f>
        <v/>
      </c>
      <c r="BZ17" s="29" t="str">
        <f>IF(OR($B17="",$A17&lt;=75),"",--MID('Key Analysis'!$C13,$A17-75,1))</f>
        <v/>
      </c>
      <c r="CA17" s="29" t="str">
        <f>IF(OR($B17="",$A17&lt;=76),"",--MID('Key Analysis'!$C13,$A17-76,1))</f>
        <v/>
      </c>
      <c r="CB17" s="29" t="str">
        <f>IF(OR($B17="",$A17&lt;=77),"",--MID('Key Analysis'!$C13,$A17-77,1))</f>
        <v/>
      </c>
      <c r="CC17" s="29" t="str">
        <f>IF(OR($B17="",$A17&lt;=78),"",--MID('Key Analysis'!$C13,$A17-78,1))</f>
        <v/>
      </c>
      <c r="CD17" s="29" t="str">
        <f>IF(OR($B17="",$A17&lt;=79),"",--MID('Key Analysis'!$C13,$A17-79,1))</f>
        <v/>
      </c>
      <c r="CE17" s="29" t="str">
        <f>IF(OR($B17="",$A17&lt;=80),"",--MID('Key Analysis'!$C13,$A17-80,1))</f>
        <v/>
      </c>
      <c r="CF17" s="29" t="str">
        <f>IF(OR($B17="",$A17&lt;=81),"",--MID('Key Analysis'!$C13,$A17-81,1))</f>
        <v/>
      </c>
      <c r="CG17" s="29" t="str">
        <f>IF(OR($B17="",$A17&lt;=82),"",--MID('Key Analysis'!$C13,$A17-82,1))</f>
        <v/>
      </c>
      <c r="CH17" s="29" t="str">
        <f>IF(OR($B17="",$A17&lt;=83),"",--MID('Key Analysis'!$C13,$A17-83,1))</f>
        <v/>
      </c>
      <c r="CI17" s="29" t="str">
        <f>IF(OR($B17="",$A17&lt;=84),"",--MID('Key Analysis'!$C13,$A17-84,1))</f>
        <v/>
      </c>
      <c r="CJ17" s="29" t="str">
        <f>IF(OR($B17="",$A17&lt;=85),"",--MID('Key Analysis'!$C13,$A17-85,1))</f>
        <v/>
      </c>
      <c r="CK17" s="29" t="str">
        <f>IF(OR($B17="",$A17&lt;=86),"",--MID('Key Analysis'!$C13,$A17-86,1))</f>
        <v/>
      </c>
      <c r="CL17" s="29" t="str">
        <f>IF(OR($B17="",$A17&lt;=87),"",--MID('Key Analysis'!$C13,$A17-87,1))</f>
        <v/>
      </c>
      <c r="CM17" s="29" t="str">
        <f>IF(OR($B17="",$A17&lt;=88),"",--MID('Key Analysis'!$C13,$A17-88,1))</f>
        <v/>
      </c>
      <c r="CN17" s="29" t="str">
        <f>IF(OR($B17="",$A17&lt;=89),"",--MID('Key Analysis'!$C13,$A17-89,1))</f>
        <v/>
      </c>
      <c r="CO17" s="29" t="str">
        <f>IF(OR($B17="",$A17&lt;=90),"",--MID('Key Analysis'!$C13,$A17-90,1))</f>
        <v/>
      </c>
      <c r="CP17" s="29" t="str">
        <f>IF(OR($B17="",$A17&lt;=91),"",--MID('Key Analysis'!$C13,$A17-91,1))</f>
        <v/>
      </c>
      <c r="CQ17" s="29" t="str">
        <f>IF(OR($B17="",$A17&lt;=92),"",--MID('Key Analysis'!$C13,$A17-92,1))</f>
        <v/>
      </c>
      <c r="CR17" s="29" t="str">
        <f>IF(OR($B17="",$A17&lt;=93),"",--MID('Key Analysis'!$C13,$A17-93,1))</f>
        <v/>
      </c>
      <c r="CS17" s="29" t="str">
        <f>IF(OR($B17="",$A17&lt;=94),"",--MID('Key Analysis'!$C13,$A17-94,1))</f>
        <v/>
      </c>
      <c r="CT17" s="29" t="str">
        <f>IF(OR($B17="",$A17&lt;=95),"",--MID('Key Analysis'!$C13,$A17-95,1))</f>
        <v/>
      </c>
      <c r="CU17" s="29" t="str">
        <f>IF(OR($B17="",$A17&lt;=96),"",--MID('Key Analysis'!$C13,$A17-96,1))</f>
        <v/>
      </c>
      <c r="CV17" s="29" t="str">
        <f>IF(OR($B17="",$A17&lt;=97),"",--MID('Key Analysis'!$C13,$A17-97,1))</f>
        <v/>
      </c>
      <c r="CW17" s="29" t="str">
        <f>IF(OR($B17="",$A17&lt;=98),"",--MID('Key Analysis'!$C13,$A17-98,1))</f>
        <v/>
      </c>
      <c r="CX17" s="29" t="str">
        <f>IF(OR($B17="",$A17&lt;=99),"",--MID('Key Analysis'!$C13,$A17-99,1))</f>
        <v/>
      </c>
      <c r="CY17" s="29" t="str">
        <f>IF(OR($B17="",$A17&lt;=100),"",--MID('Key Analysis'!$C13,$A17-100,1))</f>
        <v/>
      </c>
      <c r="CZ17" s="29" t="str">
        <f>IF(OR($B17="",$A17&lt;=101),"",--MID('Key Analysis'!$C13,$A17-101,1))</f>
        <v/>
      </c>
      <c r="DA17" s="29" t="str">
        <f>IF(OR($B17="",$A17&lt;=102),"",--MID('Key Analysis'!$C13,$A17-102,1))</f>
        <v/>
      </c>
      <c r="DB17" s="29" t="str">
        <f>IF(OR($B17="",$A17&lt;=103),"",--MID('Key Analysis'!$C13,$A17-103,1))</f>
        <v/>
      </c>
      <c r="DC17" s="29" t="str">
        <f>IF(OR($B17="",$A17&lt;=104),"",--MID('Key Analysis'!$C13,$A17-104,1))</f>
        <v/>
      </c>
      <c r="DD17" s="29" t="str">
        <f>IF(OR($B17="",$A17&lt;=105),"",--MID('Key Analysis'!$C13,$A17-105,1))</f>
        <v/>
      </c>
      <c r="DE17" s="29" t="str">
        <f>IF(OR($B17="",$A17&lt;=106),"",--MID('Key Analysis'!$C13,$A17-106,1))</f>
        <v/>
      </c>
      <c r="DF17" s="29" t="str">
        <f>IF(OR($B17="",$A17&lt;=107),"",--MID('Key Analysis'!$C13,$A17-107,1))</f>
        <v/>
      </c>
      <c r="DG17" s="29" t="str">
        <f>IF(OR($B17="",$A17&lt;=108),"",--MID('Key Analysis'!$C13,$A17-108,1))</f>
        <v/>
      </c>
      <c r="DH17" s="29" t="str">
        <f>IF(OR($B17="",$A17&lt;=109),"",--MID('Key Analysis'!$C13,$A17-109,1))</f>
        <v/>
      </c>
      <c r="DI17" s="29" t="str">
        <f>IF(OR($B17="",$A17&lt;=110),"",--MID('Key Analysis'!$C13,$A17-110,1))</f>
        <v/>
      </c>
      <c r="DJ17" s="29" t="str">
        <f>IF(OR($B17="",$A17&lt;=111),"",--MID('Key Analysis'!$C13,$A17-111,1))</f>
        <v/>
      </c>
      <c r="DK17" s="29" t="str">
        <f>IF(OR($B17="",$A17&lt;=112),"",--MID('Key Analysis'!$C13,$A17-112,1))</f>
        <v/>
      </c>
      <c r="DL17" s="29" t="str">
        <f>IF(OR($B17="",$A17&lt;=113),"",--MID('Key Analysis'!$C13,$A17-113,1))</f>
        <v/>
      </c>
      <c r="DM17" s="29" t="str">
        <f>IF(OR($B17="",$A17&lt;=114),"",--MID('Key Analysis'!$C13,$A17-114,1))</f>
        <v/>
      </c>
      <c r="DN17" s="29" t="str">
        <f>IF(OR($B17="",$A17&lt;=115),"",--MID('Key Analysis'!$C13,$A17-115,1))</f>
        <v/>
      </c>
      <c r="DO17" s="29" t="str">
        <f>IF(OR($B17="",$A17&lt;=116),"",--MID('Key Analysis'!$C13,$A17-116,1))</f>
        <v/>
      </c>
      <c r="DP17" s="29" t="str">
        <f>IF(OR($B17="",$A17&lt;=117),"",--MID('Key Analysis'!$C13,$A17-117,1))</f>
        <v/>
      </c>
      <c r="DQ17" s="29" t="str">
        <f>IF(OR($B17="",$A17&lt;=118),"",--MID('Key Analysis'!$C13,$A17-118,1))</f>
        <v/>
      </c>
      <c r="DR17" s="29" t="str">
        <f>IF(OR($B17="",$A17&lt;=119),"",--MID('Key Analysis'!$C13,$A17-119,1))</f>
        <v/>
      </c>
      <c r="DS17" s="29" t="str">
        <f>IF(OR($B17="",$A17&lt;=120),"",--MID('Key Analysis'!$C13,$A17-120,1))</f>
        <v/>
      </c>
      <c r="DT17" s="29" t="str">
        <f>IF(OR($B17="",$A17&lt;=121),"",--MID('Key Analysis'!$C13,$A17-121,1))</f>
        <v/>
      </c>
      <c r="DU17" s="29" t="str">
        <f>IF(OR($B17="",$A17&lt;=122),"",--MID('Key Analysis'!$C13,$A17-122,1))</f>
        <v/>
      </c>
      <c r="DV17" s="29" t="str">
        <f>IF(OR($B17="",$A17&lt;=123),"",--MID('Key Analysis'!$C13,$A17-123,1))</f>
        <v/>
      </c>
      <c r="DW17" s="29" t="str">
        <f>IF(OR($B17="",$A17&lt;=124),"",--MID('Key Analysis'!$C13,$A17-124,1))</f>
        <v/>
      </c>
      <c r="DX17" s="29" t="str">
        <f>IF(OR($B17="",$A17&lt;=125),"",--MID('Key Analysis'!$C13,$A17-125,1))</f>
        <v/>
      </c>
      <c r="DY17" s="29" t="str">
        <f>IF(OR($B17="",$A17&lt;=126),"",--MID('Key Analysis'!$C13,$A17-126,1))</f>
        <v/>
      </c>
      <c r="DZ17" s="29" t="str">
        <f>IF(OR($B17="",$A17&lt;=127),"",--MID('Key Analysis'!$C13,$A17-127,1))</f>
        <v/>
      </c>
      <c r="EA17" s="29" t="str">
        <f>IF(OR($B17="",$A17&lt;=128),"",--MID('Key Analysis'!$C13,$A17-128,1))</f>
        <v/>
      </c>
      <c r="EB17" s="29" t="str">
        <f>IF(OR($B17="",$A17&lt;=129),"",--MID('Key Analysis'!$C13,$A17-129,1))</f>
        <v/>
      </c>
      <c r="EC17" s="29" t="str">
        <f>IF(OR($B17="",$A17&lt;=130),"",--MID('Key Analysis'!$C13,$A17-130,1))</f>
        <v/>
      </c>
      <c r="ED17" s="29" t="str">
        <f>IF(OR($B17="",$A17&lt;=131),"",--MID('Key Analysis'!$C13,$A17-131,1))</f>
        <v/>
      </c>
      <c r="EE17" s="29" t="str">
        <f>IF(OR($B17="",$A17&lt;=132),"",--MID('Key Analysis'!$C13,$A17-132,1))</f>
        <v/>
      </c>
      <c r="EF17" s="29" t="str">
        <f>IF(OR($B17="",$A17&lt;=133),"",--MID('Key Analysis'!$C13,$A17-133,1))</f>
        <v/>
      </c>
      <c r="EG17" s="29" t="str">
        <f>IF(OR($B17="",$A17&lt;=134),"",--MID('Key Analysis'!$C13,$A17-134,1))</f>
        <v/>
      </c>
      <c r="EH17" s="29"/>
      <c r="EI17" s="29">
        <f>IF(OR($B17="",$A17&lt;1),"",--MID('Key Analysis'!$C13,1,1))</f>
        <v>1</v>
      </c>
      <c r="EJ17" s="29">
        <f>IF(OR($B17="",$A17&lt;2),"",--MID('Key Analysis'!$C13,2,1))</f>
        <v>0</v>
      </c>
      <c r="EK17" s="29">
        <f>IF(OR($B17="",$A17&lt;3),"",--MID('Key Analysis'!$C13,3,1))</f>
        <v>1</v>
      </c>
      <c r="EL17" s="29">
        <f>IF(OR($B17="",$A17&lt;4),"",--MID('Key Analysis'!$C13,4,1))</f>
        <v>0</v>
      </c>
      <c r="EM17" s="29">
        <f>IF(OR($B17="",$A17&lt;5),"",--MID('Key Analysis'!$C13,5,1))</f>
        <v>0</v>
      </c>
      <c r="EN17" s="29">
        <f>IF(OR($B17="",$A17&lt;6),"",--MID('Key Analysis'!$C13,6,1))</f>
        <v>1</v>
      </c>
      <c r="EO17" s="29">
        <f>IF(OR($B17="",$A17&lt;7),"",--MID('Key Analysis'!$C13,7,1))</f>
        <v>1</v>
      </c>
      <c r="EP17" s="29">
        <f>IF(OR($B17="",$A17&lt;8),"",--MID('Key Analysis'!$C13,8,1))</f>
        <v>1</v>
      </c>
      <c r="EQ17" s="29">
        <f>IF(OR($B17="",$A17&lt;9),"",--MID('Key Analysis'!$C13,9,1))</f>
        <v>1</v>
      </c>
      <c r="ER17" s="29">
        <f>IF(OR($B17="",$A17&lt;10),"",--MID('Key Analysis'!$C13,10,1))</f>
        <v>0</v>
      </c>
      <c r="ES17" s="29">
        <f>IF(OR($B17="",$A17&lt;11),"",--MID('Key Analysis'!$C13,11,1))</f>
        <v>1</v>
      </c>
      <c r="ET17" s="29">
        <f>IF(OR($B17="",$A17&lt;12),"",--MID('Key Analysis'!$C13,12,1))</f>
        <v>1</v>
      </c>
      <c r="EU17" s="29" t="str">
        <f>IF(OR($B17="",$A17&lt;13),"",--MID('Key Analysis'!$C13,13,1))</f>
        <v/>
      </c>
      <c r="EV17" s="29" t="str">
        <f>IF(OR($B17="",$A17&lt;14),"",--MID('Key Analysis'!$C13,14,1))</f>
        <v/>
      </c>
      <c r="EW17" s="29" t="str">
        <f>IF(OR($B17="",$A17&lt;15),"",--MID('Key Analysis'!$C13,15,1))</f>
        <v/>
      </c>
      <c r="EX17" s="29" t="str">
        <f>IF(OR($B17="",$A17&lt;16),"",--MID('Key Analysis'!$C13,16,1))</f>
        <v/>
      </c>
      <c r="EY17" s="29" t="str">
        <f>IF(OR($B17="",$A17&lt;17),"",--MID('Key Analysis'!$C13,17,1))</f>
        <v/>
      </c>
      <c r="EZ17" s="29" t="str">
        <f>IF(OR($B17="",$A17&lt;18),"",--MID('Key Analysis'!$C13,18,1))</f>
        <v/>
      </c>
      <c r="FA17" s="29" t="str">
        <f>IF(OR($B17="",$A17&lt;19),"",--MID('Key Analysis'!$C13,19,1))</f>
        <v/>
      </c>
      <c r="FB17" s="29" t="str">
        <f>IF(OR($B17="",$A17&lt;20),"",--MID('Key Analysis'!$C13,20,1))</f>
        <v/>
      </c>
      <c r="FC17" s="29" t="str">
        <f>IF(OR($B17="",$A17&lt;21),"",--MID('Key Analysis'!$C13,21,1))</f>
        <v/>
      </c>
      <c r="FD17" s="29" t="str">
        <f>IF(OR($B17="",$A17&lt;22),"",--MID('Key Analysis'!$C13,22,1))</f>
        <v/>
      </c>
      <c r="FE17" s="29" t="str">
        <f>IF(OR($B17="",$A17&lt;23),"",--MID('Key Analysis'!$C13,23,1))</f>
        <v/>
      </c>
      <c r="FF17" s="29" t="str">
        <f>IF(OR($B17="",$A17&lt;24),"",--MID('Key Analysis'!$C13,24,1))</f>
        <v/>
      </c>
      <c r="FG17" s="29" t="str">
        <f>IF(OR($B17="",$A17&lt;25),"",--MID('Key Analysis'!$C13,25,1))</f>
        <v/>
      </c>
      <c r="FH17" s="29" t="str">
        <f>IF(OR($B17="",$A17&lt;26),"",--MID('Key Analysis'!$C13,26,1))</f>
        <v/>
      </c>
      <c r="FI17" s="29" t="str">
        <f>IF(OR($B17="",$A17&lt;27),"",--MID('Key Analysis'!$C13,27,1))</f>
        <v/>
      </c>
      <c r="FJ17" s="29" t="str">
        <f>IF(OR($B17="",$A17&lt;28),"",--MID('Key Analysis'!$C13,28,1))</f>
        <v/>
      </c>
      <c r="FK17" s="29" t="str">
        <f>IF(OR($B17="",$A17&lt;29),"",--MID('Key Analysis'!$C13,29,1))</f>
        <v/>
      </c>
      <c r="FL17" s="29" t="str">
        <f>IF(OR($B17="",$A17&lt;30),"",--MID('Key Analysis'!$C13,30,1))</f>
        <v/>
      </c>
      <c r="FM17" s="29" t="str">
        <f>IF(OR($B17="",$A17&lt;31),"",--MID('Key Analysis'!$C13,31,1))</f>
        <v/>
      </c>
      <c r="FN17" s="29" t="str">
        <f>IF(OR($B17="",$A17&lt;32),"",--MID('Key Analysis'!$C13,32,1))</f>
        <v/>
      </c>
      <c r="FO17" s="29" t="str">
        <f>IF(OR($B17="",$A17&lt;33),"",--MID('Key Analysis'!$C13,33,1))</f>
        <v/>
      </c>
      <c r="FP17" s="29" t="str">
        <f>IF(OR($B17="",$A17&lt;34),"",--MID('Key Analysis'!$C13,34,1))</f>
        <v/>
      </c>
      <c r="FQ17" s="29" t="str">
        <f>IF(OR($B17="",$A17&lt;35),"",--MID('Key Analysis'!$C13,35,1))</f>
        <v/>
      </c>
      <c r="FR17" s="29" t="str">
        <f>IF(OR($B17="",$A17&lt;36),"",--MID('Key Analysis'!$C13,36,1))</f>
        <v/>
      </c>
      <c r="FS17" s="29" t="str">
        <f>IF(OR($B17="",$A17&lt;37),"",--MID('Key Analysis'!$C13,37,1))</f>
        <v/>
      </c>
      <c r="FT17" s="29" t="str">
        <f>IF(OR($B17="",$A17&lt;38),"",--MID('Key Analysis'!$C13,38,1))</f>
        <v/>
      </c>
      <c r="FU17" s="29" t="str">
        <f>IF(OR($B17="",$A17&lt;39),"",--MID('Key Analysis'!$C13,39,1))</f>
        <v/>
      </c>
      <c r="FV17" s="29" t="str">
        <f>IF(OR($B17="",$A17&lt;40),"",--MID('Key Analysis'!$C13,40,1))</f>
        <v/>
      </c>
      <c r="FW17" s="29" t="str">
        <f>IF(OR($B17="",$A17&lt;41),"",--MID('Key Analysis'!$C13,41,1))</f>
        <v/>
      </c>
      <c r="FX17" s="29" t="str">
        <f>IF(OR($B17="",$A17&lt;42),"",--MID('Key Analysis'!$C13,42,1))</f>
        <v/>
      </c>
      <c r="FY17" s="29" t="str">
        <f>IF(OR($B17="",$A17&lt;43),"",--MID('Key Analysis'!$C13,43,1))</f>
        <v/>
      </c>
      <c r="FZ17" s="29" t="str">
        <f>IF(OR($B17="",$A17&lt;44),"",--MID('Key Analysis'!$C13,44,1))</f>
        <v/>
      </c>
      <c r="GA17" s="29" t="str">
        <f>IF(OR($B17="",$A17&lt;45),"",--MID('Key Analysis'!$C13,45,1))</f>
        <v/>
      </c>
      <c r="GB17" s="29" t="str">
        <f>IF(OR($B17="",$A17&lt;46),"",--MID('Key Analysis'!$C13,46,1))</f>
        <v/>
      </c>
      <c r="GC17" s="29" t="str">
        <f>IF(OR($B17="",$A17&lt;47),"",--MID('Key Analysis'!$C13,47,1))</f>
        <v/>
      </c>
      <c r="GD17" s="29" t="str">
        <f>IF(OR($B17="",$A17&lt;48),"",--MID('Key Analysis'!$C13,48,1))</f>
        <v/>
      </c>
      <c r="GE17" s="29" t="str">
        <f>IF(OR($B17="",$A17&lt;49),"",--MID('Key Analysis'!$C13,49,1))</f>
        <v/>
      </c>
      <c r="GF17" s="29" t="str">
        <f>IF(OR($B17="",$A17&lt;50),"",--MID('Key Analysis'!$C13,50,1))</f>
        <v/>
      </c>
      <c r="GG17" s="29" t="str">
        <f>IF(OR($B17="",$A17&lt;51),"",--MID('Key Analysis'!$C13,51,1))</f>
        <v/>
      </c>
      <c r="GH17" s="29" t="str">
        <f>IF(OR($B17="",$A17&lt;52),"",--MID('Key Analysis'!$C13,52,1))</f>
        <v/>
      </c>
      <c r="GI17" s="29" t="str">
        <f>IF(OR($B17="",$A17&lt;53),"",--MID('Key Analysis'!$C13,53,1))</f>
        <v/>
      </c>
      <c r="GJ17" s="29" t="str">
        <f>IF(OR($B17="",$A17&lt;54),"",--MID('Key Analysis'!$C13,54,1))</f>
        <v/>
      </c>
      <c r="GK17" s="29" t="str">
        <f>IF(OR($B17="",$A17&lt;55),"",--MID('Key Analysis'!$C13,55,1))</f>
        <v/>
      </c>
      <c r="GL17" s="29" t="str">
        <f>IF(OR($B17="",$A17&lt;56),"",--MID('Key Analysis'!$C13,56,1))</f>
        <v/>
      </c>
      <c r="GM17" s="29" t="str">
        <f>IF(OR($B17="",$A17&lt;57),"",--MID('Key Analysis'!$C13,57,1))</f>
        <v/>
      </c>
      <c r="GN17" s="29" t="str">
        <f>IF(OR($B17="",$A17&lt;58),"",--MID('Key Analysis'!$C13,58,1))</f>
        <v/>
      </c>
      <c r="GO17" s="29" t="str">
        <f>IF(OR($B17="",$A17&lt;59),"",--MID('Key Analysis'!$C13,59,1))</f>
        <v/>
      </c>
      <c r="GP17" s="29" t="str">
        <f>IF(OR($B17="",$A17&lt;60),"",--MID('Key Analysis'!$C13,60,1))</f>
        <v/>
      </c>
      <c r="GQ17" s="29" t="str">
        <f>IF(OR($B17="",$A17&lt;61),"",--MID('Key Analysis'!$C13,61,1))</f>
        <v/>
      </c>
      <c r="GR17" s="29" t="str">
        <f>IF(OR($B17="",$A17&lt;62),"",--MID('Key Analysis'!$C13,62,1))</f>
        <v/>
      </c>
      <c r="GS17" s="29" t="str">
        <f>IF(OR($B17="",$A17&lt;63),"",--MID('Key Analysis'!$C13,63,1))</f>
        <v/>
      </c>
      <c r="GT17" s="29" t="str">
        <f>IF(OR($B17="",$A17&lt;64),"",--MID('Key Analysis'!$C13,64,1))</f>
        <v/>
      </c>
      <c r="GU17" s="29" t="str">
        <f>IF(OR($B17="",$A17&lt;65),"",--MID('Key Analysis'!$C13,65,1))</f>
        <v/>
      </c>
      <c r="GV17" s="29" t="str">
        <f>IF(OR($B17="",$A17&lt;66),"",--MID('Key Analysis'!$C13,66,1))</f>
        <v/>
      </c>
      <c r="GW17" s="29" t="str">
        <f>IF(OR($B17="",$A17&lt;67),"",--MID('Key Analysis'!$C13,67,1))</f>
        <v/>
      </c>
      <c r="GX17" s="29" t="str">
        <f>IF(OR($B17="",$A17&lt;68),"",--MID('Key Analysis'!$C13,68,1))</f>
        <v/>
      </c>
      <c r="GY17" s="29" t="str">
        <f>IF(OR($B17="",$A17&lt;69),"",--MID('Key Analysis'!$C13,69,1))</f>
        <v/>
      </c>
      <c r="GZ17" s="29" t="str">
        <f>IF(OR($B17="",$A17&lt;70),"",--MID('Key Analysis'!$C13,70,1))</f>
        <v/>
      </c>
      <c r="HA17" s="29" t="str">
        <f>IF(OR($B17="",$A17&lt;71),"",--MID('Key Analysis'!$C13,71,1))</f>
        <v/>
      </c>
      <c r="HB17" s="29" t="str">
        <f>IF(OR($B17="",$A17&lt;72),"",--MID('Key Analysis'!$C13,72,1))</f>
        <v/>
      </c>
      <c r="HC17" s="29" t="str">
        <f>IF(OR($B17="",$A17&lt;73),"",--MID('Key Analysis'!$C13,73,1))</f>
        <v/>
      </c>
      <c r="HD17" s="29" t="str">
        <f>IF(OR($B17="",$A17&lt;74),"",--MID('Key Analysis'!$C13,74,1))</f>
        <v/>
      </c>
      <c r="HE17" s="29" t="str">
        <f>IF(OR($B17="",$A17&lt;75),"",--MID('Key Analysis'!$C13,75,1))</f>
        <v/>
      </c>
      <c r="HF17" s="29" t="str">
        <f>IF(OR($B17="",$A17&lt;76),"",--MID('Key Analysis'!$C13,76,1))</f>
        <v/>
      </c>
      <c r="HG17" s="29" t="str">
        <f>IF(OR($B17="",$A17&lt;77),"",--MID('Key Analysis'!$C13,77,1))</f>
        <v/>
      </c>
      <c r="HH17" s="29" t="str">
        <f>IF(OR($B17="",$A17&lt;78),"",--MID('Key Analysis'!$C13,78,1))</f>
        <v/>
      </c>
      <c r="HI17" s="29" t="str">
        <f>IF(OR($B17="",$A17&lt;79),"",--MID('Key Analysis'!$C13,79,1))</f>
        <v/>
      </c>
      <c r="HJ17" s="29" t="str">
        <f>IF(OR($B17="",$A17&lt;80),"",--MID('Key Analysis'!$C13,80,1))</f>
        <v/>
      </c>
      <c r="HK17" s="29" t="str">
        <f>IF(OR($B17="",$A17&lt;81),"",--MID('Key Analysis'!$C13,81,1))</f>
        <v/>
      </c>
      <c r="HL17" s="29" t="str">
        <f>IF(OR($B17="",$A17&lt;82),"",--MID('Key Analysis'!$C13,82,1))</f>
        <v/>
      </c>
      <c r="HM17" s="29" t="str">
        <f>IF(OR($B17="",$A17&lt;83),"",--MID('Key Analysis'!$C13,83,1))</f>
        <v/>
      </c>
      <c r="HN17" s="29" t="str">
        <f>IF(OR($B17="",$A17&lt;84),"",--MID('Key Analysis'!$C13,84,1))</f>
        <v/>
      </c>
      <c r="HO17" s="29" t="str">
        <f>IF(OR($B17="",$A17&lt;85),"",--MID('Key Analysis'!$C13,85,1))</f>
        <v/>
      </c>
      <c r="HP17" s="29" t="str">
        <f>IF(OR($B17="",$A17&lt;86),"",--MID('Key Analysis'!$C13,86,1))</f>
        <v/>
      </c>
      <c r="HQ17" s="29" t="str">
        <f>IF(OR($B17="",$A17&lt;87),"",--MID('Key Analysis'!$C13,87,1))</f>
        <v/>
      </c>
      <c r="HR17" s="29" t="str">
        <f>IF(OR($B17="",$A17&lt;88),"",--MID('Key Analysis'!$C13,88,1))</f>
        <v/>
      </c>
      <c r="HS17" s="29" t="str">
        <f>IF(OR($B17="",$A17&lt;89),"",--MID('Key Analysis'!$C13,89,1))</f>
        <v/>
      </c>
      <c r="HT17" s="29" t="str">
        <f>IF(OR($B17="",$A17&lt;90),"",--MID('Key Analysis'!$C13,90,1))</f>
        <v/>
      </c>
      <c r="HU17" s="29" t="str">
        <f>IF(OR($B17="",$A17&lt;91),"",--MID('Key Analysis'!$C13,91,1))</f>
        <v/>
      </c>
      <c r="HV17" s="29" t="str">
        <f>IF(OR($B17="",$A17&lt;92),"",--MID('Key Analysis'!$C13,92,1))</f>
        <v/>
      </c>
      <c r="HW17" s="29" t="str">
        <f>IF(OR($B17="",$A17&lt;93),"",--MID('Key Analysis'!$C13,93,1))</f>
        <v/>
      </c>
      <c r="HX17" s="29" t="str">
        <f>IF(OR($B17="",$A17&lt;94),"",--MID('Key Analysis'!$C13,94,1))</f>
        <v/>
      </c>
      <c r="HY17" s="29" t="str">
        <f>IF(OR($B17="",$A17&lt;95),"",--MID('Key Analysis'!$C13,95,1))</f>
        <v/>
      </c>
      <c r="HZ17" s="29" t="str">
        <f>IF(OR($B17="",$A17&lt;96),"",--MID('Key Analysis'!$C13,96,1))</f>
        <v/>
      </c>
      <c r="IA17" s="29" t="str">
        <f>IF(OR($B17="",$A17&lt;97),"",--MID('Key Analysis'!$C13,97,1))</f>
        <v/>
      </c>
      <c r="IB17" s="29" t="str">
        <f>IF(OR($B17="",$A17&lt;98),"",--MID('Key Analysis'!$C13,98,1))</f>
        <v/>
      </c>
      <c r="IC17" s="29" t="str">
        <f>IF(OR($B17="",$A17&lt;99),"",--MID('Key Analysis'!$C13,99,1))</f>
        <v/>
      </c>
      <c r="ID17" s="29" t="str">
        <f>IF(OR($B17="",$A17&lt;100),"",--MID('Key Analysis'!$C13,100,1))</f>
        <v/>
      </c>
      <c r="IE17" s="29" t="str">
        <f>IF(OR($B17="",$A17&lt;101),"",--MID('Key Analysis'!$C13,101,1))</f>
        <v/>
      </c>
      <c r="IF17" s="29" t="str">
        <f>IF(OR($B17="",$A17&lt;102),"",--MID('Key Analysis'!$C13,102,1))</f>
        <v/>
      </c>
      <c r="IG17" s="29" t="str">
        <f>IF(OR($B17="",$A17&lt;103),"",--MID('Key Analysis'!$C13,103,1))</f>
        <v/>
      </c>
      <c r="IH17" s="29" t="str">
        <f>IF(OR($B17="",$A17&lt;104),"",--MID('Key Analysis'!$C13,104,1))</f>
        <v/>
      </c>
      <c r="II17" s="29" t="str">
        <f>IF(OR($B17="",$A17&lt;105),"",--MID('Key Analysis'!$C13,105,1))</f>
        <v/>
      </c>
      <c r="IJ17" s="29" t="str">
        <f>IF(OR($B17="",$A17&lt;106),"",--MID('Key Analysis'!$C13,106,1))</f>
        <v/>
      </c>
      <c r="IK17" s="29" t="str">
        <f>IF(OR($B17="",$A17&lt;107),"",--MID('Key Analysis'!$C13,107,1))</f>
        <v/>
      </c>
      <c r="IL17" s="29" t="str">
        <f>IF(OR($B17="",$A17&lt;108),"",--MID('Key Analysis'!$C13,108,1))</f>
        <v/>
      </c>
      <c r="IM17" s="29" t="str">
        <f>IF(OR($B17="",$A17&lt;109),"",--MID('Key Analysis'!$C13,109,1))</f>
        <v/>
      </c>
      <c r="IN17" s="29" t="str">
        <f>IF(OR($B17="",$A17&lt;110),"",--MID('Key Analysis'!$C13,110,1))</f>
        <v/>
      </c>
      <c r="IO17" s="29" t="str">
        <f>IF(OR($B17="",$A17&lt;111),"",--MID('Key Analysis'!$C13,111,1))</f>
        <v/>
      </c>
      <c r="IP17" s="29" t="str">
        <f>IF(OR($B17="",$A17&lt;112),"",--MID('Key Analysis'!$C13,112,1))</f>
        <v/>
      </c>
      <c r="IQ17" s="29" t="str">
        <f>IF(OR($B17="",$A17&lt;113),"",--MID('Key Analysis'!$C13,113,1))</f>
        <v/>
      </c>
      <c r="IR17" s="29" t="str">
        <f>IF(OR($B17="",$A17&lt;114),"",--MID('Key Analysis'!$C13,114,1))</f>
        <v/>
      </c>
      <c r="IS17" s="29" t="str">
        <f>IF(OR($B17="",$A17&lt;115),"",--MID('Key Analysis'!$C13,115,1))</f>
        <v/>
      </c>
      <c r="IT17" s="29" t="str">
        <f>IF(OR($B17="",$A17&lt;116),"",--MID('Key Analysis'!$C13,116,1))</f>
        <v/>
      </c>
      <c r="IU17" s="29" t="str">
        <f>IF(OR($B17="",$A17&lt;117),"",--MID('Key Analysis'!$C13,117,1))</f>
        <v/>
      </c>
      <c r="IV17" s="29" t="str">
        <f>IF(OR($B17="",$A17&lt;118),"",--MID('Key Analysis'!$C13,118,1))</f>
        <v/>
      </c>
      <c r="IW17" s="29" t="str">
        <f>IF(OR($B17="",$A17&lt;119),"",--MID('Key Analysis'!$C13,119,1))</f>
        <v/>
      </c>
      <c r="IX17" s="29" t="str">
        <f>IF(OR($B17="",$A17&lt;120),"",--MID('Key Analysis'!$C13,120,1))</f>
        <v/>
      </c>
      <c r="IY17" s="29" t="str">
        <f>IF(OR($B17="",$A17&lt;121),"",--MID('Key Analysis'!$C13,121,1))</f>
        <v/>
      </c>
      <c r="IZ17" s="29" t="str">
        <f>IF(OR($B17="",$A17&lt;122),"",--MID('Key Analysis'!$C13,122,1))</f>
        <v/>
      </c>
      <c r="JA17" s="29" t="str">
        <f>IF(OR($B17="",$A17&lt;123),"",--MID('Key Analysis'!$C13,123,1))</f>
        <v/>
      </c>
      <c r="JB17" s="29" t="str">
        <f>IF(OR($B17="",$A17&lt;124),"",--MID('Key Analysis'!$C13,124,1))</f>
        <v/>
      </c>
      <c r="JC17" s="29" t="str">
        <f>IF(OR($B17="",$A17&lt;125),"",--MID('Key Analysis'!$C13,125,1))</f>
        <v/>
      </c>
      <c r="JD17" s="29" t="str">
        <f>IF(OR($B17="",$A17&lt;126),"",--MID('Key Analysis'!$C13,126,1))</f>
        <v/>
      </c>
      <c r="JE17" s="29" t="str">
        <f>IF(OR($B17="",$A17&lt;127),"",--MID('Key Analysis'!$C13,127,1))</f>
        <v/>
      </c>
      <c r="JF17" s="29" t="str">
        <f>IF(OR($B17="",$A17&lt;128),"",--MID('Key Analysis'!$C13,128,1))</f>
        <v/>
      </c>
      <c r="JG17" s="29" t="str">
        <f>IF(OR($B17="",$A17&lt;129),"",--MID('Key Analysis'!$C13,129,1))</f>
        <v/>
      </c>
      <c r="JH17" s="29" t="str">
        <f>IF(OR($B17="",$A17&lt;130),"",--MID('Key Analysis'!$C13,130,1))</f>
        <v/>
      </c>
      <c r="JI17" s="29" t="str">
        <f>IF(OR($B17="",$A17&lt;131),"",--MID('Key Analysis'!$C13,131,1))</f>
        <v/>
      </c>
      <c r="JJ17" s="29" t="str">
        <f>IF(OR($B17="",$A17&lt;132),"",--MID('Key Analysis'!$C13,132,1))</f>
        <v/>
      </c>
      <c r="JK17" s="29" t="str">
        <f>IF(OR($B17="",$A17&lt;133),"",--MID('Key Analysis'!$C13,133,1))</f>
        <v/>
      </c>
      <c r="JL17" s="29" t="str">
        <f>IF(OR($B17="",$A17&lt;134),"",--MID('Key Analysis'!$C13,134,1))</f>
        <v/>
      </c>
      <c r="JM17" s="29" t="str">
        <f>IF(OR($B17="",$A17&lt;135),"",--MID('Key Analysis'!$C13,135,1))</f>
        <v/>
      </c>
    </row>
    <row r="18" spans="1:273" x14ac:dyDescent="0.25">
      <c r="A18" s="21">
        <f>'Key Analysis'!A14</f>
        <v>13</v>
      </c>
      <c r="B18" s="30" t="str">
        <f>'Key Analysis'!B14</f>
        <v>1460</v>
      </c>
      <c r="C18" s="29">
        <f>IF(OR($B18="",$A18&lt;=0),"",--MID('Key Analysis'!$C14,$A18-0,1))</f>
        <v>0</v>
      </c>
      <c r="D18" s="29">
        <f>IF(OR($B18="",$A18&lt;=1),"",--MID('Key Analysis'!$C14,$A18-1,1))</f>
        <v>0</v>
      </c>
      <c r="E18" s="29">
        <f>IF(OR($B18="",$A18&lt;=2),"",--MID('Key Analysis'!$C14,$A18-2,1))</f>
        <v>0</v>
      </c>
      <c r="F18" s="29">
        <f>IF(OR($B18="",$A18&lt;=3),"",--MID('Key Analysis'!$C14,$A18-3,1))</f>
        <v>0</v>
      </c>
      <c r="G18" s="29">
        <f>IF(OR($B18="",$A18&lt;=4),"",--MID('Key Analysis'!$C14,$A18-4,1))</f>
        <v>0</v>
      </c>
      <c r="H18" s="29">
        <f>IF(OR($B18="",$A18&lt;=5),"",--MID('Key Analysis'!$C14,$A18-5,1))</f>
        <v>1</v>
      </c>
      <c r="I18" s="29">
        <f>IF(OR($B18="",$A18&lt;=6),"",--MID('Key Analysis'!$C14,$A18-6,1))</f>
        <v>1</v>
      </c>
      <c r="J18" s="29">
        <f>IF(OR($B18="",$A18&lt;=7),"",--MID('Key Analysis'!$C14,$A18-7,1))</f>
        <v>0</v>
      </c>
      <c r="K18" s="29">
        <f>IF(OR($B18="",$A18&lt;=8),"",--MID('Key Analysis'!$C14,$A18-8,1))</f>
        <v>0</v>
      </c>
      <c r="L18" s="29">
        <f>IF(OR($B18="",$A18&lt;=9),"",--MID('Key Analysis'!$C14,$A18-9,1))</f>
        <v>0</v>
      </c>
      <c r="M18" s="29">
        <f>IF(OR($B18="",$A18&lt;=10),"",--MID('Key Analysis'!$C14,$A18-10,1))</f>
        <v>1</v>
      </c>
      <c r="N18" s="29">
        <f>IF(OR($B18="",$A18&lt;=11),"",--MID('Key Analysis'!$C14,$A18-11,1))</f>
        <v>0</v>
      </c>
      <c r="O18" s="29">
        <f>IF(OR($B18="",$A18&lt;=12),"",--MID('Key Analysis'!$C14,$A18-12,1))</f>
        <v>1</v>
      </c>
      <c r="P18" s="29" t="str">
        <f>IF(OR($B18="",$A18&lt;=13),"",--MID('Key Analysis'!$C14,$A18-13,1))</f>
        <v/>
      </c>
      <c r="Q18" s="29" t="str">
        <f>IF(OR($B18="",$A18&lt;=14),"",--MID('Key Analysis'!$C14,$A18-14,1))</f>
        <v/>
      </c>
      <c r="R18" s="29" t="str">
        <f>IF(OR($B18="",$A18&lt;=15),"",--MID('Key Analysis'!$C14,$A18-15,1))</f>
        <v/>
      </c>
      <c r="S18" s="29" t="str">
        <f>IF(OR($B18="",$A18&lt;=16),"",--MID('Key Analysis'!$C14,$A18-16,1))</f>
        <v/>
      </c>
      <c r="T18" s="29" t="str">
        <f>IF(OR($B18="",$A18&lt;=17),"",--MID('Key Analysis'!$C14,$A18-17,1))</f>
        <v/>
      </c>
      <c r="U18" s="29" t="str">
        <f>IF(OR($B18="",$A18&lt;=18),"",--MID('Key Analysis'!$C14,$A18-18,1))</f>
        <v/>
      </c>
      <c r="V18" s="29" t="str">
        <f>IF(OR($B18="",$A18&lt;=19),"",--MID('Key Analysis'!$C14,$A18-19,1))</f>
        <v/>
      </c>
      <c r="W18" s="29" t="str">
        <f>IF(OR($B18="",$A18&lt;=20),"",--MID('Key Analysis'!$C14,$A18-20,1))</f>
        <v/>
      </c>
      <c r="X18" s="29" t="str">
        <f>IF(OR($B18="",$A18&lt;=21),"",--MID('Key Analysis'!$C14,$A18-21,1))</f>
        <v/>
      </c>
      <c r="Y18" s="29" t="str">
        <f>IF(OR($B18="",$A18&lt;=22),"",--MID('Key Analysis'!$C14,$A18-22,1))</f>
        <v/>
      </c>
      <c r="Z18" s="29" t="str">
        <f>IF(OR($B18="",$A18&lt;=23),"",--MID('Key Analysis'!$C14,$A18-23,1))</f>
        <v/>
      </c>
      <c r="AA18" s="29" t="str">
        <f>IF(OR($B18="",$A18&lt;=24),"",--MID('Key Analysis'!$C14,$A18-24,1))</f>
        <v/>
      </c>
      <c r="AB18" s="29" t="str">
        <f>IF(OR($B18="",$A18&lt;=25),"",--MID('Key Analysis'!$C14,$A18-25,1))</f>
        <v/>
      </c>
      <c r="AC18" s="29" t="str">
        <f>IF(OR($B18="",$A18&lt;=26),"",--MID('Key Analysis'!$C14,$A18-26,1))</f>
        <v/>
      </c>
      <c r="AD18" s="29" t="str">
        <f>IF(OR($B18="",$A18&lt;=27),"",--MID('Key Analysis'!$C14,$A18-27,1))</f>
        <v/>
      </c>
      <c r="AE18" s="29" t="str">
        <f>IF(OR($B18="",$A18&lt;=28),"",--MID('Key Analysis'!$C14,$A18-28,1))</f>
        <v/>
      </c>
      <c r="AF18" s="29" t="str">
        <f>IF(OR($B18="",$A18&lt;=29),"",--MID('Key Analysis'!$C14,$A18-29,1))</f>
        <v/>
      </c>
      <c r="AG18" s="29" t="str">
        <f>IF(OR($B18="",$A18&lt;=30),"",--MID('Key Analysis'!$C14,$A18-30,1))</f>
        <v/>
      </c>
      <c r="AH18" s="29" t="str">
        <f>IF(OR($B18="",$A18&lt;=31),"",--MID('Key Analysis'!$C14,$A18-31,1))</f>
        <v/>
      </c>
      <c r="AI18" s="29" t="str">
        <f>IF(OR($B18="",$A18&lt;=32),"",--MID('Key Analysis'!$C14,$A18-32,1))</f>
        <v/>
      </c>
      <c r="AJ18" s="29" t="str">
        <f>IF(OR($B18="",$A18&lt;=33),"",--MID('Key Analysis'!$C14,$A18-33,1))</f>
        <v/>
      </c>
      <c r="AK18" s="29" t="str">
        <f>IF(OR($B18="",$A18&lt;=34),"",--MID('Key Analysis'!$C14,$A18-34,1))</f>
        <v/>
      </c>
      <c r="AL18" s="29" t="str">
        <f>IF(OR($B18="",$A18&lt;=35),"",--MID('Key Analysis'!$C14,$A18-35,1))</f>
        <v/>
      </c>
      <c r="AM18" s="29" t="str">
        <f>IF(OR($B18="",$A18&lt;=36),"",--MID('Key Analysis'!$C14,$A18-36,1))</f>
        <v/>
      </c>
      <c r="AN18" s="29" t="str">
        <f>IF(OR($B18="",$A18&lt;=37),"",--MID('Key Analysis'!$C14,$A18-37,1))</f>
        <v/>
      </c>
      <c r="AO18" s="29" t="str">
        <f>IF(OR($B18="",$A18&lt;=38),"",--MID('Key Analysis'!$C14,$A18-38,1))</f>
        <v/>
      </c>
      <c r="AP18" s="29" t="str">
        <f>IF(OR($B18="",$A18&lt;=39),"",--MID('Key Analysis'!$C14,$A18-39,1))</f>
        <v/>
      </c>
      <c r="AQ18" s="29" t="str">
        <f>IF(OR($B18="",$A18&lt;=40),"",--MID('Key Analysis'!$C14,$A18-40,1))</f>
        <v/>
      </c>
      <c r="AR18" s="29" t="str">
        <f>IF(OR($B18="",$A18&lt;=41),"",--MID('Key Analysis'!$C14,$A18-41,1))</f>
        <v/>
      </c>
      <c r="AS18" s="29" t="str">
        <f>IF(OR($B18="",$A18&lt;=42),"",--MID('Key Analysis'!$C14,$A18-42,1))</f>
        <v/>
      </c>
      <c r="AT18" s="29" t="str">
        <f>IF(OR($B18="",$A18&lt;=43),"",--MID('Key Analysis'!$C14,$A18-43,1))</f>
        <v/>
      </c>
      <c r="AU18" s="29" t="str">
        <f>IF(OR($B18="",$A18&lt;=44),"",--MID('Key Analysis'!$C14,$A18-44,1))</f>
        <v/>
      </c>
      <c r="AV18" s="29" t="str">
        <f>IF(OR($B18="",$A18&lt;=45),"",--MID('Key Analysis'!$C14,$A18-45,1))</f>
        <v/>
      </c>
      <c r="AW18" s="29" t="str">
        <f>IF(OR($B18="",$A18&lt;=46),"",--MID('Key Analysis'!$C14,$A18-46,1))</f>
        <v/>
      </c>
      <c r="AX18" s="29" t="str">
        <f>IF(OR($B18="",$A18&lt;=47),"",--MID('Key Analysis'!$C14,$A18-47,1))</f>
        <v/>
      </c>
      <c r="AY18" s="29" t="str">
        <f>IF(OR($B18="",$A18&lt;=48),"",--MID('Key Analysis'!$C14,$A18-48,1))</f>
        <v/>
      </c>
      <c r="AZ18" s="29" t="str">
        <f>IF(OR($B18="",$A18&lt;=49),"",--MID('Key Analysis'!$C14,$A18-49,1))</f>
        <v/>
      </c>
      <c r="BA18" s="29" t="str">
        <f>IF(OR($B18="",$A18&lt;=50),"",--MID('Key Analysis'!$C14,$A18-50,1))</f>
        <v/>
      </c>
      <c r="BB18" s="29" t="str">
        <f>IF(OR($B18="",$A18&lt;=51),"",--MID('Key Analysis'!$C14,$A18-51,1))</f>
        <v/>
      </c>
      <c r="BC18" s="29" t="str">
        <f>IF(OR($B18="",$A18&lt;=52),"",--MID('Key Analysis'!$C14,$A18-52,1))</f>
        <v/>
      </c>
      <c r="BD18" s="29" t="str">
        <f>IF(OR($B18="",$A18&lt;=53),"",--MID('Key Analysis'!$C14,$A18-53,1))</f>
        <v/>
      </c>
      <c r="BE18" s="29" t="str">
        <f>IF(OR($B18="",$A18&lt;=54),"",--MID('Key Analysis'!$C14,$A18-54,1))</f>
        <v/>
      </c>
      <c r="BF18" s="29" t="str">
        <f>IF(OR($B18="",$A18&lt;=55),"",--MID('Key Analysis'!$C14,$A18-55,1))</f>
        <v/>
      </c>
      <c r="BG18" s="29" t="str">
        <f>IF(OR($B18="",$A18&lt;=56),"",--MID('Key Analysis'!$C14,$A18-56,1))</f>
        <v/>
      </c>
      <c r="BH18" s="29" t="str">
        <f>IF(OR($B18="",$A18&lt;=57),"",--MID('Key Analysis'!$C14,$A18-57,1))</f>
        <v/>
      </c>
      <c r="BI18" s="29" t="str">
        <f>IF(OR($B18="",$A18&lt;=58),"",--MID('Key Analysis'!$C14,$A18-58,1))</f>
        <v/>
      </c>
      <c r="BJ18" s="29" t="str">
        <f>IF(OR($B18="",$A18&lt;=59),"",--MID('Key Analysis'!$C14,$A18-59,1))</f>
        <v/>
      </c>
      <c r="BK18" s="29" t="str">
        <f>IF(OR($B18="",$A18&lt;=60),"",--MID('Key Analysis'!$C14,$A18-60,1))</f>
        <v/>
      </c>
      <c r="BL18" s="29" t="str">
        <f>IF(OR($B18="",$A18&lt;=61),"",--MID('Key Analysis'!$C14,$A18-61,1))</f>
        <v/>
      </c>
      <c r="BM18" s="29" t="str">
        <f>IF(OR($B18="",$A18&lt;=62),"",--MID('Key Analysis'!$C14,$A18-62,1))</f>
        <v/>
      </c>
      <c r="BN18" s="29" t="str">
        <f>IF(OR($B18="",$A18&lt;=63),"",--MID('Key Analysis'!$C14,$A18-63,1))</f>
        <v/>
      </c>
      <c r="BO18" s="29" t="str">
        <f>IF(OR($B18="",$A18&lt;=64),"",--MID('Key Analysis'!$C14,$A18-64,1))</f>
        <v/>
      </c>
      <c r="BP18" s="29" t="str">
        <f>IF(OR($B18="",$A18&lt;=65),"",--MID('Key Analysis'!$C14,$A18-65,1))</f>
        <v/>
      </c>
      <c r="BQ18" s="29" t="str">
        <f>IF(OR($B18="",$A18&lt;=66),"",--MID('Key Analysis'!$C14,$A18-66,1))</f>
        <v/>
      </c>
      <c r="BR18" s="29" t="str">
        <f>IF(OR($B18="",$A18&lt;=67),"",--MID('Key Analysis'!$C14,$A18-67,1))</f>
        <v/>
      </c>
      <c r="BS18" s="29" t="str">
        <f>IF(OR($B18="",$A18&lt;=68),"",--MID('Key Analysis'!$C14,$A18-68,1))</f>
        <v/>
      </c>
      <c r="BT18" s="29" t="str">
        <f>IF(OR($B18="",$A18&lt;=69),"",--MID('Key Analysis'!$C14,$A18-69,1))</f>
        <v/>
      </c>
      <c r="BU18" s="29" t="str">
        <f>IF(OR($B18="",$A18&lt;=70),"",--MID('Key Analysis'!$C14,$A18-70,1))</f>
        <v/>
      </c>
      <c r="BV18" s="29" t="str">
        <f>IF(OR($B18="",$A18&lt;=71),"",--MID('Key Analysis'!$C14,$A18-71,1))</f>
        <v/>
      </c>
      <c r="BW18" s="29" t="str">
        <f>IF(OR($B18="",$A18&lt;=72),"",--MID('Key Analysis'!$C14,$A18-72,1))</f>
        <v/>
      </c>
      <c r="BX18" s="29" t="str">
        <f>IF(OR($B18="",$A18&lt;=73),"",--MID('Key Analysis'!$C14,$A18-73,1))</f>
        <v/>
      </c>
      <c r="BY18" s="29" t="str">
        <f>IF(OR($B18="",$A18&lt;=74),"",--MID('Key Analysis'!$C14,$A18-74,1))</f>
        <v/>
      </c>
      <c r="BZ18" s="29" t="str">
        <f>IF(OR($B18="",$A18&lt;=75),"",--MID('Key Analysis'!$C14,$A18-75,1))</f>
        <v/>
      </c>
      <c r="CA18" s="29" t="str">
        <f>IF(OR($B18="",$A18&lt;=76),"",--MID('Key Analysis'!$C14,$A18-76,1))</f>
        <v/>
      </c>
      <c r="CB18" s="29" t="str">
        <f>IF(OR($B18="",$A18&lt;=77),"",--MID('Key Analysis'!$C14,$A18-77,1))</f>
        <v/>
      </c>
      <c r="CC18" s="29" t="str">
        <f>IF(OR($B18="",$A18&lt;=78),"",--MID('Key Analysis'!$C14,$A18-78,1))</f>
        <v/>
      </c>
      <c r="CD18" s="29" t="str">
        <f>IF(OR($B18="",$A18&lt;=79),"",--MID('Key Analysis'!$C14,$A18-79,1))</f>
        <v/>
      </c>
      <c r="CE18" s="29" t="str">
        <f>IF(OR($B18="",$A18&lt;=80),"",--MID('Key Analysis'!$C14,$A18-80,1))</f>
        <v/>
      </c>
      <c r="CF18" s="29" t="str">
        <f>IF(OR($B18="",$A18&lt;=81),"",--MID('Key Analysis'!$C14,$A18-81,1))</f>
        <v/>
      </c>
      <c r="CG18" s="29" t="str">
        <f>IF(OR($B18="",$A18&lt;=82),"",--MID('Key Analysis'!$C14,$A18-82,1))</f>
        <v/>
      </c>
      <c r="CH18" s="29" t="str">
        <f>IF(OR($B18="",$A18&lt;=83),"",--MID('Key Analysis'!$C14,$A18-83,1))</f>
        <v/>
      </c>
      <c r="CI18" s="29" t="str">
        <f>IF(OR($B18="",$A18&lt;=84),"",--MID('Key Analysis'!$C14,$A18-84,1))</f>
        <v/>
      </c>
      <c r="CJ18" s="29" t="str">
        <f>IF(OR($B18="",$A18&lt;=85),"",--MID('Key Analysis'!$C14,$A18-85,1))</f>
        <v/>
      </c>
      <c r="CK18" s="29" t="str">
        <f>IF(OR($B18="",$A18&lt;=86),"",--MID('Key Analysis'!$C14,$A18-86,1))</f>
        <v/>
      </c>
      <c r="CL18" s="29" t="str">
        <f>IF(OR($B18="",$A18&lt;=87),"",--MID('Key Analysis'!$C14,$A18-87,1))</f>
        <v/>
      </c>
      <c r="CM18" s="29" t="str">
        <f>IF(OR($B18="",$A18&lt;=88),"",--MID('Key Analysis'!$C14,$A18-88,1))</f>
        <v/>
      </c>
      <c r="CN18" s="29" t="str">
        <f>IF(OR($B18="",$A18&lt;=89),"",--MID('Key Analysis'!$C14,$A18-89,1))</f>
        <v/>
      </c>
      <c r="CO18" s="29" t="str">
        <f>IF(OR($B18="",$A18&lt;=90),"",--MID('Key Analysis'!$C14,$A18-90,1))</f>
        <v/>
      </c>
      <c r="CP18" s="29" t="str">
        <f>IF(OR($B18="",$A18&lt;=91),"",--MID('Key Analysis'!$C14,$A18-91,1))</f>
        <v/>
      </c>
      <c r="CQ18" s="29" t="str">
        <f>IF(OR($B18="",$A18&lt;=92),"",--MID('Key Analysis'!$C14,$A18-92,1))</f>
        <v/>
      </c>
      <c r="CR18" s="29" t="str">
        <f>IF(OR($B18="",$A18&lt;=93),"",--MID('Key Analysis'!$C14,$A18-93,1))</f>
        <v/>
      </c>
      <c r="CS18" s="29" t="str">
        <f>IF(OR($B18="",$A18&lt;=94),"",--MID('Key Analysis'!$C14,$A18-94,1))</f>
        <v/>
      </c>
      <c r="CT18" s="29" t="str">
        <f>IF(OR($B18="",$A18&lt;=95),"",--MID('Key Analysis'!$C14,$A18-95,1))</f>
        <v/>
      </c>
      <c r="CU18" s="29" t="str">
        <f>IF(OR($B18="",$A18&lt;=96),"",--MID('Key Analysis'!$C14,$A18-96,1))</f>
        <v/>
      </c>
      <c r="CV18" s="29" t="str">
        <f>IF(OR($B18="",$A18&lt;=97),"",--MID('Key Analysis'!$C14,$A18-97,1))</f>
        <v/>
      </c>
      <c r="CW18" s="29" t="str">
        <f>IF(OR($B18="",$A18&lt;=98),"",--MID('Key Analysis'!$C14,$A18-98,1))</f>
        <v/>
      </c>
      <c r="CX18" s="29" t="str">
        <f>IF(OR($B18="",$A18&lt;=99),"",--MID('Key Analysis'!$C14,$A18-99,1))</f>
        <v/>
      </c>
      <c r="CY18" s="29" t="str">
        <f>IF(OR($B18="",$A18&lt;=100),"",--MID('Key Analysis'!$C14,$A18-100,1))</f>
        <v/>
      </c>
      <c r="CZ18" s="29" t="str">
        <f>IF(OR($B18="",$A18&lt;=101),"",--MID('Key Analysis'!$C14,$A18-101,1))</f>
        <v/>
      </c>
      <c r="DA18" s="29" t="str">
        <f>IF(OR($B18="",$A18&lt;=102),"",--MID('Key Analysis'!$C14,$A18-102,1))</f>
        <v/>
      </c>
      <c r="DB18" s="29" t="str">
        <f>IF(OR($B18="",$A18&lt;=103),"",--MID('Key Analysis'!$C14,$A18-103,1))</f>
        <v/>
      </c>
      <c r="DC18" s="29" t="str">
        <f>IF(OR($B18="",$A18&lt;=104),"",--MID('Key Analysis'!$C14,$A18-104,1))</f>
        <v/>
      </c>
      <c r="DD18" s="29" t="str">
        <f>IF(OR($B18="",$A18&lt;=105),"",--MID('Key Analysis'!$C14,$A18-105,1))</f>
        <v/>
      </c>
      <c r="DE18" s="29" t="str">
        <f>IF(OR($B18="",$A18&lt;=106),"",--MID('Key Analysis'!$C14,$A18-106,1))</f>
        <v/>
      </c>
      <c r="DF18" s="29" t="str">
        <f>IF(OR($B18="",$A18&lt;=107),"",--MID('Key Analysis'!$C14,$A18-107,1))</f>
        <v/>
      </c>
      <c r="DG18" s="29" t="str">
        <f>IF(OR($B18="",$A18&lt;=108),"",--MID('Key Analysis'!$C14,$A18-108,1))</f>
        <v/>
      </c>
      <c r="DH18" s="29" t="str">
        <f>IF(OR($B18="",$A18&lt;=109),"",--MID('Key Analysis'!$C14,$A18-109,1))</f>
        <v/>
      </c>
      <c r="DI18" s="29" t="str">
        <f>IF(OR($B18="",$A18&lt;=110),"",--MID('Key Analysis'!$C14,$A18-110,1))</f>
        <v/>
      </c>
      <c r="DJ18" s="29" t="str">
        <f>IF(OR($B18="",$A18&lt;=111),"",--MID('Key Analysis'!$C14,$A18-111,1))</f>
        <v/>
      </c>
      <c r="DK18" s="29" t="str">
        <f>IF(OR($B18="",$A18&lt;=112),"",--MID('Key Analysis'!$C14,$A18-112,1))</f>
        <v/>
      </c>
      <c r="DL18" s="29" t="str">
        <f>IF(OR($B18="",$A18&lt;=113),"",--MID('Key Analysis'!$C14,$A18-113,1))</f>
        <v/>
      </c>
      <c r="DM18" s="29" t="str">
        <f>IF(OR($B18="",$A18&lt;=114),"",--MID('Key Analysis'!$C14,$A18-114,1))</f>
        <v/>
      </c>
      <c r="DN18" s="29" t="str">
        <f>IF(OR($B18="",$A18&lt;=115),"",--MID('Key Analysis'!$C14,$A18-115,1))</f>
        <v/>
      </c>
      <c r="DO18" s="29" t="str">
        <f>IF(OR($B18="",$A18&lt;=116),"",--MID('Key Analysis'!$C14,$A18-116,1))</f>
        <v/>
      </c>
      <c r="DP18" s="29" t="str">
        <f>IF(OR($B18="",$A18&lt;=117),"",--MID('Key Analysis'!$C14,$A18-117,1))</f>
        <v/>
      </c>
      <c r="DQ18" s="29" t="str">
        <f>IF(OR($B18="",$A18&lt;=118),"",--MID('Key Analysis'!$C14,$A18-118,1))</f>
        <v/>
      </c>
      <c r="DR18" s="29" t="str">
        <f>IF(OR($B18="",$A18&lt;=119),"",--MID('Key Analysis'!$C14,$A18-119,1))</f>
        <v/>
      </c>
      <c r="DS18" s="29" t="str">
        <f>IF(OR($B18="",$A18&lt;=120),"",--MID('Key Analysis'!$C14,$A18-120,1))</f>
        <v/>
      </c>
      <c r="DT18" s="29" t="str">
        <f>IF(OR($B18="",$A18&lt;=121),"",--MID('Key Analysis'!$C14,$A18-121,1))</f>
        <v/>
      </c>
      <c r="DU18" s="29" t="str">
        <f>IF(OR($B18="",$A18&lt;=122),"",--MID('Key Analysis'!$C14,$A18-122,1))</f>
        <v/>
      </c>
      <c r="DV18" s="29" t="str">
        <f>IF(OR($B18="",$A18&lt;=123),"",--MID('Key Analysis'!$C14,$A18-123,1))</f>
        <v/>
      </c>
      <c r="DW18" s="29" t="str">
        <f>IF(OR($B18="",$A18&lt;=124),"",--MID('Key Analysis'!$C14,$A18-124,1))</f>
        <v/>
      </c>
      <c r="DX18" s="29" t="str">
        <f>IF(OR($B18="",$A18&lt;=125),"",--MID('Key Analysis'!$C14,$A18-125,1))</f>
        <v/>
      </c>
      <c r="DY18" s="29" t="str">
        <f>IF(OR($B18="",$A18&lt;=126),"",--MID('Key Analysis'!$C14,$A18-126,1))</f>
        <v/>
      </c>
      <c r="DZ18" s="29" t="str">
        <f>IF(OR($B18="",$A18&lt;=127),"",--MID('Key Analysis'!$C14,$A18-127,1))</f>
        <v/>
      </c>
      <c r="EA18" s="29" t="str">
        <f>IF(OR($B18="",$A18&lt;=128),"",--MID('Key Analysis'!$C14,$A18-128,1))</f>
        <v/>
      </c>
      <c r="EB18" s="29" t="str">
        <f>IF(OR($B18="",$A18&lt;=129),"",--MID('Key Analysis'!$C14,$A18-129,1))</f>
        <v/>
      </c>
      <c r="EC18" s="29" t="str">
        <f>IF(OR($B18="",$A18&lt;=130),"",--MID('Key Analysis'!$C14,$A18-130,1))</f>
        <v/>
      </c>
      <c r="ED18" s="29" t="str">
        <f>IF(OR($B18="",$A18&lt;=131),"",--MID('Key Analysis'!$C14,$A18-131,1))</f>
        <v/>
      </c>
      <c r="EE18" s="29" t="str">
        <f>IF(OR($B18="",$A18&lt;=132),"",--MID('Key Analysis'!$C14,$A18-132,1))</f>
        <v/>
      </c>
      <c r="EF18" s="29" t="str">
        <f>IF(OR($B18="",$A18&lt;=133),"",--MID('Key Analysis'!$C14,$A18-133,1))</f>
        <v/>
      </c>
      <c r="EG18" s="29" t="str">
        <f>IF(OR($B18="",$A18&lt;=134),"",--MID('Key Analysis'!$C14,$A18-134,1))</f>
        <v/>
      </c>
      <c r="EH18" s="29"/>
      <c r="EI18" s="29">
        <f>IF(OR($B18="",$A18&lt;1),"",--MID('Key Analysis'!$C14,1,1))</f>
        <v>1</v>
      </c>
      <c r="EJ18" s="29">
        <f>IF(OR($B18="",$A18&lt;2),"",--MID('Key Analysis'!$C14,2,1))</f>
        <v>0</v>
      </c>
      <c r="EK18" s="29">
        <f>IF(OR($B18="",$A18&lt;3),"",--MID('Key Analysis'!$C14,3,1))</f>
        <v>1</v>
      </c>
      <c r="EL18" s="29">
        <f>IF(OR($B18="",$A18&lt;4),"",--MID('Key Analysis'!$C14,4,1))</f>
        <v>0</v>
      </c>
      <c r="EM18" s="29">
        <f>IF(OR($B18="",$A18&lt;5),"",--MID('Key Analysis'!$C14,5,1))</f>
        <v>0</v>
      </c>
      <c r="EN18" s="29">
        <f>IF(OR($B18="",$A18&lt;6),"",--MID('Key Analysis'!$C14,6,1))</f>
        <v>0</v>
      </c>
      <c r="EO18" s="29">
        <f>IF(OR($B18="",$A18&lt;7),"",--MID('Key Analysis'!$C14,7,1))</f>
        <v>1</v>
      </c>
      <c r="EP18" s="29">
        <f>IF(OR($B18="",$A18&lt;8),"",--MID('Key Analysis'!$C14,8,1))</f>
        <v>1</v>
      </c>
      <c r="EQ18" s="29">
        <f>IF(OR($B18="",$A18&lt;9),"",--MID('Key Analysis'!$C14,9,1))</f>
        <v>0</v>
      </c>
      <c r="ER18" s="29">
        <f>IF(OR($B18="",$A18&lt;10),"",--MID('Key Analysis'!$C14,10,1))</f>
        <v>0</v>
      </c>
      <c r="ES18" s="29">
        <f>IF(OR($B18="",$A18&lt;11),"",--MID('Key Analysis'!$C14,11,1))</f>
        <v>0</v>
      </c>
      <c r="ET18" s="29">
        <f>IF(OR($B18="",$A18&lt;12),"",--MID('Key Analysis'!$C14,12,1))</f>
        <v>0</v>
      </c>
      <c r="EU18" s="29">
        <f>IF(OR($B18="",$A18&lt;13),"",--MID('Key Analysis'!$C14,13,1))</f>
        <v>0</v>
      </c>
      <c r="EV18" s="29" t="str">
        <f>IF(OR($B18="",$A18&lt;14),"",--MID('Key Analysis'!$C14,14,1))</f>
        <v/>
      </c>
      <c r="EW18" s="29" t="str">
        <f>IF(OR($B18="",$A18&lt;15),"",--MID('Key Analysis'!$C14,15,1))</f>
        <v/>
      </c>
      <c r="EX18" s="29" t="str">
        <f>IF(OR($B18="",$A18&lt;16),"",--MID('Key Analysis'!$C14,16,1))</f>
        <v/>
      </c>
      <c r="EY18" s="29" t="str">
        <f>IF(OR($B18="",$A18&lt;17),"",--MID('Key Analysis'!$C14,17,1))</f>
        <v/>
      </c>
      <c r="EZ18" s="29" t="str">
        <f>IF(OR($B18="",$A18&lt;18),"",--MID('Key Analysis'!$C14,18,1))</f>
        <v/>
      </c>
      <c r="FA18" s="29" t="str">
        <f>IF(OR($B18="",$A18&lt;19),"",--MID('Key Analysis'!$C14,19,1))</f>
        <v/>
      </c>
      <c r="FB18" s="29" t="str">
        <f>IF(OR($B18="",$A18&lt;20),"",--MID('Key Analysis'!$C14,20,1))</f>
        <v/>
      </c>
      <c r="FC18" s="29" t="str">
        <f>IF(OR($B18="",$A18&lt;21),"",--MID('Key Analysis'!$C14,21,1))</f>
        <v/>
      </c>
      <c r="FD18" s="29" t="str">
        <f>IF(OR($B18="",$A18&lt;22),"",--MID('Key Analysis'!$C14,22,1))</f>
        <v/>
      </c>
      <c r="FE18" s="29" t="str">
        <f>IF(OR($B18="",$A18&lt;23),"",--MID('Key Analysis'!$C14,23,1))</f>
        <v/>
      </c>
      <c r="FF18" s="29" t="str">
        <f>IF(OR($B18="",$A18&lt;24),"",--MID('Key Analysis'!$C14,24,1))</f>
        <v/>
      </c>
      <c r="FG18" s="29" t="str">
        <f>IF(OR($B18="",$A18&lt;25),"",--MID('Key Analysis'!$C14,25,1))</f>
        <v/>
      </c>
      <c r="FH18" s="29" t="str">
        <f>IF(OR($B18="",$A18&lt;26),"",--MID('Key Analysis'!$C14,26,1))</f>
        <v/>
      </c>
      <c r="FI18" s="29" t="str">
        <f>IF(OR($B18="",$A18&lt;27),"",--MID('Key Analysis'!$C14,27,1))</f>
        <v/>
      </c>
      <c r="FJ18" s="29" t="str">
        <f>IF(OR($B18="",$A18&lt;28),"",--MID('Key Analysis'!$C14,28,1))</f>
        <v/>
      </c>
      <c r="FK18" s="29" t="str">
        <f>IF(OR($B18="",$A18&lt;29),"",--MID('Key Analysis'!$C14,29,1))</f>
        <v/>
      </c>
      <c r="FL18" s="29" t="str">
        <f>IF(OR($B18="",$A18&lt;30),"",--MID('Key Analysis'!$C14,30,1))</f>
        <v/>
      </c>
      <c r="FM18" s="29" t="str">
        <f>IF(OR($B18="",$A18&lt;31),"",--MID('Key Analysis'!$C14,31,1))</f>
        <v/>
      </c>
      <c r="FN18" s="29" t="str">
        <f>IF(OR($B18="",$A18&lt;32),"",--MID('Key Analysis'!$C14,32,1))</f>
        <v/>
      </c>
      <c r="FO18" s="29" t="str">
        <f>IF(OR($B18="",$A18&lt;33),"",--MID('Key Analysis'!$C14,33,1))</f>
        <v/>
      </c>
      <c r="FP18" s="29" t="str">
        <f>IF(OR($B18="",$A18&lt;34),"",--MID('Key Analysis'!$C14,34,1))</f>
        <v/>
      </c>
      <c r="FQ18" s="29" t="str">
        <f>IF(OR($B18="",$A18&lt;35),"",--MID('Key Analysis'!$C14,35,1))</f>
        <v/>
      </c>
      <c r="FR18" s="29" t="str">
        <f>IF(OR($B18="",$A18&lt;36),"",--MID('Key Analysis'!$C14,36,1))</f>
        <v/>
      </c>
      <c r="FS18" s="29" t="str">
        <f>IF(OR($B18="",$A18&lt;37),"",--MID('Key Analysis'!$C14,37,1))</f>
        <v/>
      </c>
      <c r="FT18" s="29" t="str">
        <f>IF(OR($B18="",$A18&lt;38),"",--MID('Key Analysis'!$C14,38,1))</f>
        <v/>
      </c>
      <c r="FU18" s="29" t="str">
        <f>IF(OR($B18="",$A18&lt;39),"",--MID('Key Analysis'!$C14,39,1))</f>
        <v/>
      </c>
      <c r="FV18" s="29" t="str">
        <f>IF(OR($B18="",$A18&lt;40),"",--MID('Key Analysis'!$C14,40,1))</f>
        <v/>
      </c>
      <c r="FW18" s="29" t="str">
        <f>IF(OR($B18="",$A18&lt;41),"",--MID('Key Analysis'!$C14,41,1))</f>
        <v/>
      </c>
      <c r="FX18" s="29" t="str">
        <f>IF(OR($B18="",$A18&lt;42),"",--MID('Key Analysis'!$C14,42,1))</f>
        <v/>
      </c>
      <c r="FY18" s="29" t="str">
        <f>IF(OR($B18="",$A18&lt;43),"",--MID('Key Analysis'!$C14,43,1))</f>
        <v/>
      </c>
      <c r="FZ18" s="29" t="str">
        <f>IF(OR($B18="",$A18&lt;44),"",--MID('Key Analysis'!$C14,44,1))</f>
        <v/>
      </c>
      <c r="GA18" s="29" t="str">
        <f>IF(OR($B18="",$A18&lt;45),"",--MID('Key Analysis'!$C14,45,1))</f>
        <v/>
      </c>
      <c r="GB18" s="29" t="str">
        <f>IF(OR($B18="",$A18&lt;46),"",--MID('Key Analysis'!$C14,46,1))</f>
        <v/>
      </c>
      <c r="GC18" s="29" t="str">
        <f>IF(OR($B18="",$A18&lt;47),"",--MID('Key Analysis'!$C14,47,1))</f>
        <v/>
      </c>
      <c r="GD18" s="29" t="str">
        <f>IF(OR($B18="",$A18&lt;48),"",--MID('Key Analysis'!$C14,48,1))</f>
        <v/>
      </c>
      <c r="GE18" s="29" t="str">
        <f>IF(OR($B18="",$A18&lt;49),"",--MID('Key Analysis'!$C14,49,1))</f>
        <v/>
      </c>
      <c r="GF18" s="29" t="str">
        <f>IF(OR($B18="",$A18&lt;50),"",--MID('Key Analysis'!$C14,50,1))</f>
        <v/>
      </c>
      <c r="GG18" s="29" t="str">
        <f>IF(OR($B18="",$A18&lt;51),"",--MID('Key Analysis'!$C14,51,1))</f>
        <v/>
      </c>
      <c r="GH18" s="29" t="str">
        <f>IF(OR($B18="",$A18&lt;52),"",--MID('Key Analysis'!$C14,52,1))</f>
        <v/>
      </c>
      <c r="GI18" s="29" t="str">
        <f>IF(OR($B18="",$A18&lt;53),"",--MID('Key Analysis'!$C14,53,1))</f>
        <v/>
      </c>
      <c r="GJ18" s="29" t="str">
        <f>IF(OR($B18="",$A18&lt;54),"",--MID('Key Analysis'!$C14,54,1))</f>
        <v/>
      </c>
      <c r="GK18" s="29" t="str">
        <f>IF(OR($B18="",$A18&lt;55),"",--MID('Key Analysis'!$C14,55,1))</f>
        <v/>
      </c>
      <c r="GL18" s="29" t="str">
        <f>IF(OR($B18="",$A18&lt;56),"",--MID('Key Analysis'!$C14,56,1))</f>
        <v/>
      </c>
      <c r="GM18" s="29" t="str">
        <f>IF(OR($B18="",$A18&lt;57),"",--MID('Key Analysis'!$C14,57,1))</f>
        <v/>
      </c>
      <c r="GN18" s="29" t="str">
        <f>IF(OR($B18="",$A18&lt;58),"",--MID('Key Analysis'!$C14,58,1))</f>
        <v/>
      </c>
      <c r="GO18" s="29" t="str">
        <f>IF(OR($B18="",$A18&lt;59),"",--MID('Key Analysis'!$C14,59,1))</f>
        <v/>
      </c>
      <c r="GP18" s="29" t="str">
        <f>IF(OR($B18="",$A18&lt;60),"",--MID('Key Analysis'!$C14,60,1))</f>
        <v/>
      </c>
      <c r="GQ18" s="29" t="str">
        <f>IF(OR($B18="",$A18&lt;61),"",--MID('Key Analysis'!$C14,61,1))</f>
        <v/>
      </c>
      <c r="GR18" s="29" t="str">
        <f>IF(OR($B18="",$A18&lt;62),"",--MID('Key Analysis'!$C14,62,1))</f>
        <v/>
      </c>
      <c r="GS18" s="29" t="str">
        <f>IF(OR($B18="",$A18&lt;63),"",--MID('Key Analysis'!$C14,63,1))</f>
        <v/>
      </c>
      <c r="GT18" s="29" t="str">
        <f>IF(OR($B18="",$A18&lt;64),"",--MID('Key Analysis'!$C14,64,1))</f>
        <v/>
      </c>
      <c r="GU18" s="29" t="str">
        <f>IF(OR($B18="",$A18&lt;65),"",--MID('Key Analysis'!$C14,65,1))</f>
        <v/>
      </c>
      <c r="GV18" s="29" t="str">
        <f>IF(OR($B18="",$A18&lt;66),"",--MID('Key Analysis'!$C14,66,1))</f>
        <v/>
      </c>
      <c r="GW18" s="29" t="str">
        <f>IF(OR($B18="",$A18&lt;67),"",--MID('Key Analysis'!$C14,67,1))</f>
        <v/>
      </c>
      <c r="GX18" s="29" t="str">
        <f>IF(OR($B18="",$A18&lt;68),"",--MID('Key Analysis'!$C14,68,1))</f>
        <v/>
      </c>
      <c r="GY18" s="29" t="str">
        <f>IF(OR($B18="",$A18&lt;69),"",--MID('Key Analysis'!$C14,69,1))</f>
        <v/>
      </c>
      <c r="GZ18" s="29" t="str">
        <f>IF(OR($B18="",$A18&lt;70),"",--MID('Key Analysis'!$C14,70,1))</f>
        <v/>
      </c>
      <c r="HA18" s="29" t="str">
        <f>IF(OR($B18="",$A18&lt;71),"",--MID('Key Analysis'!$C14,71,1))</f>
        <v/>
      </c>
      <c r="HB18" s="29" t="str">
        <f>IF(OR($B18="",$A18&lt;72),"",--MID('Key Analysis'!$C14,72,1))</f>
        <v/>
      </c>
      <c r="HC18" s="29" t="str">
        <f>IF(OR($B18="",$A18&lt;73),"",--MID('Key Analysis'!$C14,73,1))</f>
        <v/>
      </c>
      <c r="HD18" s="29" t="str">
        <f>IF(OR($B18="",$A18&lt;74),"",--MID('Key Analysis'!$C14,74,1))</f>
        <v/>
      </c>
      <c r="HE18" s="29" t="str">
        <f>IF(OR($B18="",$A18&lt;75),"",--MID('Key Analysis'!$C14,75,1))</f>
        <v/>
      </c>
      <c r="HF18" s="29" t="str">
        <f>IF(OR($B18="",$A18&lt;76),"",--MID('Key Analysis'!$C14,76,1))</f>
        <v/>
      </c>
      <c r="HG18" s="29" t="str">
        <f>IF(OR($B18="",$A18&lt;77),"",--MID('Key Analysis'!$C14,77,1))</f>
        <v/>
      </c>
      <c r="HH18" s="29" t="str">
        <f>IF(OR($B18="",$A18&lt;78),"",--MID('Key Analysis'!$C14,78,1))</f>
        <v/>
      </c>
      <c r="HI18" s="29" t="str">
        <f>IF(OR($B18="",$A18&lt;79),"",--MID('Key Analysis'!$C14,79,1))</f>
        <v/>
      </c>
      <c r="HJ18" s="29" t="str">
        <f>IF(OR($B18="",$A18&lt;80),"",--MID('Key Analysis'!$C14,80,1))</f>
        <v/>
      </c>
      <c r="HK18" s="29" t="str">
        <f>IF(OR($B18="",$A18&lt;81),"",--MID('Key Analysis'!$C14,81,1))</f>
        <v/>
      </c>
      <c r="HL18" s="29" t="str">
        <f>IF(OR($B18="",$A18&lt;82),"",--MID('Key Analysis'!$C14,82,1))</f>
        <v/>
      </c>
      <c r="HM18" s="29" t="str">
        <f>IF(OR($B18="",$A18&lt;83),"",--MID('Key Analysis'!$C14,83,1))</f>
        <v/>
      </c>
      <c r="HN18" s="29" t="str">
        <f>IF(OR($B18="",$A18&lt;84),"",--MID('Key Analysis'!$C14,84,1))</f>
        <v/>
      </c>
      <c r="HO18" s="29" t="str">
        <f>IF(OR($B18="",$A18&lt;85),"",--MID('Key Analysis'!$C14,85,1))</f>
        <v/>
      </c>
      <c r="HP18" s="29" t="str">
        <f>IF(OR($B18="",$A18&lt;86),"",--MID('Key Analysis'!$C14,86,1))</f>
        <v/>
      </c>
      <c r="HQ18" s="29" t="str">
        <f>IF(OR($B18="",$A18&lt;87),"",--MID('Key Analysis'!$C14,87,1))</f>
        <v/>
      </c>
      <c r="HR18" s="29" t="str">
        <f>IF(OR($B18="",$A18&lt;88),"",--MID('Key Analysis'!$C14,88,1))</f>
        <v/>
      </c>
      <c r="HS18" s="29" t="str">
        <f>IF(OR($B18="",$A18&lt;89),"",--MID('Key Analysis'!$C14,89,1))</f>
        <v/>
      </c>
      <c r="HT18" s="29" t="str">
        <f>IF(OR($B18="",$A18&lt;90),"",--MID('Key Analysis'!$C14,90,1))</f>
        <v/>
      </c>
      <c r="HU18" s="29" t="str">
        <f>IF(OR($B18="",$A18&lt;91),"",--MID('Key Analysis'!$C14,91,1))</f>
        <v/>
      </c>
      <c r="HV18" s="29" t="str">
        <f>IF(OR($B18="",$A18&lt;92),"",--MID('Key Analysis'!$C14,92,1))</f>
        <v/>
      </c>
      <c r="HW18" s="29" t="str">
        <f>IF(OR($B18="",$A18&lt;93),"",--MID('Key Analysis'!$C14,93,1))</f>
        <v/>
      </c>
      <c r="HX18" s="29" t="str">
        <f>IF(OR($B18="",$A18&lt;94),"",--MID('Key Analysis'!$C14,94,1))</f>
        <v/>
      </c>
      <c r="HY18" s="29" t="str">
        <f>IF(OR($B18="",$A18&lt;95),"",--MID('Key Analysis'!$C14,95,1))</f>
        <v/>
      </c>
      <c r="HZ18" s="29" t="str">
        <f>IF(OR($B18="",$A18&lt;96),"",--MID('Key Analysis'!$C14,96,1))</f>
        <v/>
      </c>
      <c r="IA18" s="29" t="str">
        <f>IF(OR($B18="",$A18&lt;97),"",--MID('Key Analysis'!$C14,97,1))</f>
        <v/>
      </c>
      <c r="IB18" s="29" t="str">
        <f>IF(OR($B18="",$A18&lt;98),"",--MID('Key Analysis'!$C14,98,1))</f>
        <v/>
      </c>
      <c r="IC18" s="29" t="str">
        <f>IF(OR($B18="",$A18&lt;99),"",--MID('Key Analysis'!$C14,99,1))</f>
        <v/>
      </c>
      <c r="ID18" s="29" t="str">
        <f>IF(OR($B18="",$A18&lt;100),"",--MID('Key Analysis'!$C14,100,1))</f>
        <v/>
      </c>
      <c r="IE18" s="29" t="str">
        <f>IF(OR($B18="",$A18&lt;101),"",--MID('Key Analysis'!$C14,101,1))</f>
        <v/>
      </c>
      <c r="IF18" s="29" t="str">
        <f>IF(OR($B18="",$A18&lt;102),"",--MID('Key Analysis'!$C14,102,1))</f>
        <v/>
      </c>
      <c r="IG18" s="29" t="str">
        <f>IF(OR($B18="",$A18&lt;103),"",--MID('Key Analysis'!$C14,103,1))</f>
        <v/>
      </c>
      <c r="IH18" s="29" t="str">
        <f>IF(OR($B18="",$A18&lt;104),"",--MID('Key Analysis'!$C14,104,1))</f>
        <v/>
      </c>
      <c r="II18" s="29" t="str">
        <f>IF(OR($B18="",$A18&lt;105),"",--MID('Key Analysis'!$C14,105,1))</f>
        <v/>
      </c>
      <c r="IJ18" s="29" t="str">
        <f>IF(OR($B18="",$A18&lt;106),"",--MID('Key Analysis'!$C14,106,1))</f>
        <v/>
      </c>
      <c r="IK18" s="29" t="str">
        <f>IF(OR($B18="",$A18&lt;107),"",--MID('Key Analysis'!$C14,107,1))</f>
        <v/>
      </c>
      <c r="IL18" s="29" t="str">
        <f>IF(OR($B18="",$A18&lt;108),"",--MID('Key Analysis'!$C14,108,1))</f>
        <v/>
      </c>
      <c r="IM18" s="29" t="str">
        <f>IF(OR($B18="",$A18&lt;109),"",--MID('Key Analysis'!$C14,109,1))</f>
        <v/>
      </c>
      <c r="IN18" s="29" t="str">
        <f>IF(OR($B18="",$A18&lt;110),"",--MID('Key Analysis'!$C14,110,1))</f>
        <v/>
      </c>
      <c r="IO18" s="29" t="str">
        <f>IF(OR($B18="",$A18&lt;111),"",--MID('Key Analysis'!$C14,111,1))</f>
        <v/>
      </c>
      <c r="IP18" s="29" t="str">
        <f>IF(OR($B18="",$A18&lt;112),"",--MID('Key Analysis'!$C14,112,1))</f>
        <v/>
      </c>
      <c r="IQ18" s="29" t="str">
        <f>IF(OR($B18="",$A18&lt;113),"",--MID('Key Analysis'!$C14,113,1))</f>
        <v/>
      </c>
      <c r="IR18" s="29" t="str">
        <f>IF(OR($B18="",$A18&lt;114),"",--MID('Key Analysis'!$C14,114,1))</f>
        <v/>
      </c>
      <c r="IS18" s="29" t="str">
        <f>IF(OR($B18="",$A18&lt;115),"",--MID('Key Analysis'!$C14,115,1))</f>
        <v/>
      </c>
      <c r="IT18" s="29" t="str">
        <f>IF(OR($B18="",$A18&lt;116),"",--MID('Key Analysis'!$C14,116,1))</f>
        <v/>
      </c>
      <c r="IU18" s="29" t="str">
        <f>IF(OR($B18="",$A18&lt;117),"",--MID('Key Analysis'!$C14,117,1))</f>
        <v/>
      </c>
      <c r="IV18" s="29" t="str">
        <f>IF(OR($B18="",$A18&lt;118),"",--MID('Key Analysis'!$C14,118,1))</f>
        <v/>
      </c>
      <c r="IW18" s="29" t="str">
        <f>IF(OR($B18="",$A18&lt;119),"",--MID('Key Analysis'!$C14,119,1))</f>
        <v/>
      </c>
      <c r="IX18" s="29" t="str">
        <f>IF(OR($B18="",$A18&lt;120),"",--MID('Key Analysis'!$C14,120,1))</f>
        <v/>
      </c>
      <c r="IY18" s="29" t="str">
        <f>IF(OR($B18="",$A18&lt;121),"",--MID('Key Analysis'!$C14,121,1))</f>
        <v/>
      </c>
      <c r="IZ18" s="29" t="str">
        <f>IF(OR($B18="",$A18&lt;122),"",--MID('Key Analysis'!$C14,122,1))</f>
        <v/>
      </c>
      <c r="JA18" s="29" t="str">
        <f>IF(OR($B18="",$A18&lt;123),"",--MID('Key Analysis'!$C14,123,1))</f>
        <v/>
      </c>
      <c r="JB18" s="29" t="str">
        <f>IF(OR($B18="",$A18&lt;124),"",--MID('Key Analysis'!$C14,124,1))</f>
        <v/>
      </c>
      <c r="JC18" s="29" t="str">
        <f>IF(OR($B18="",$A18&lt;125),"",--MID('Key Analysis'!$C14,125,1))</f>
        <v/>
      </c>
      <c r="JD18" s="29" t="str">
        <f>IF(OR($B18="",$A18&lt;126),"",--MID('Key Analysis'!$C14,126,1))</f>
        <v/>
      </c>
      <c r="JE18" s="29" t="str">
        <f>IF(OR($B18="",$A18&lt;127),"",--MID('Key Analysis'!$C14,127,1))</f>
        <v/>
      </c>
      <c r="JF18" s="29" t="str">
        <f>IF(OR($B18="",$A18&lt;128),"",--MID('Key Analysis'!$C14,128,1))</f>
        <v/>
      </c>
      <c r="JG18" s="29" t="str">
        <f>IF(OR($B18="",$A18&lt;129),"",--MID('Key Analysis'!$C14,129,1))</f>
        <v/>
      </c>
      <c r="JH18" s="29" t="str">
        <f>IF(OR($B18="",$A18&lt;130),"",--MID('Key Analysis'!$C14,130,1))</f>
        <v/>
      </c>
      <c r="JI18" s="29" t="str">
        <f>IF(OR($B18="",$A18&lt;131),"",--MID('Key Analysis'!$C14,131,1))</f>
        <v/>
      </c>
      <c r="JJ18" s="29" t="str">
        <f>IF(OR($B18="",$A18&lt;132),"",--MID('Key Analysis'!$C14,132,1))</f>
        <v/>
      </c>
      <c r="JK18" s="29" t="str">
        <f>IF(OR($B18="",$A18&lt;133),"",--MID('Key Analysis'!$C14,133,1))</f>
        <v/>
      </c>
      <c r="JL18" s="29" t="str">
        <f>IF(OR($B18="",$A18&lt;134),"",--MID('Key Analysis'!$C14,134,1))</f>
        <v/>
      </c>
      <c r="JM18" s="29" t="str">
        <f>IF(OR($B18="",$A18&lt;135),"",--MID('Key Analysis'!$C14,135,1))</f>
        <v/>
      </c>
    </row>
    <row r="19" spans="1:273" x14ac:dyDescent="0.25">
      <c r="A19" s="21">
        <f>'Key Analysis'!A15</f>
        <v>14</v>
      </c>
      <c r="B19" s="30" t="str">
        <f>'Key Analysis'!B15</f>
        <v>2930</v>
      </c>
      <c r="C19" s="29">
        <f>IF(OR($B19="",$A19&lt;=0),"",--MID('Key Analysis'!$C15,$A19-0,1))</f>
        <v>0</v>
      </c>
      <c r="D19" s="29">
        <f>IF(OR($B19="",$A19&lt;=1),"",--MID('Key Analysis'!$C15,$A19-1,1))</f>
        <v>0</v>
      </c>
      <c r="E19" s="29">
        <f>IF(OR($B19="",$A19&lt;=2),"",--MID('Key Analysis'!$C15,$A19-2,1))</f>
        <v>0</v>
      </c>
      <c r="F19" s="29">
        <f>IF(OR($B19="",$A19&lt;=3),"",--MID('Key Analysis'!$C15,$A19-3,1))</f>
        <v>0</v>
      </c>
      <c r="G19" s="29">
        <f>IF(OR($B19="",$A19&lt;=4),"",--MID('Key Analysis'!$C15,$A19-4,1))</f>
        <v>1</v>
      </c>
      <c r="H19" s="29">
        <f>IF(OR($B19="",$A19&lt;=5),"",--MID('Key Analysis'!$C15,$A19-5,1))</f>
        <v>1</v>
      </c>
      <c r="I19" s="29">
        <f>IF(OR($B19="",$A19&lt;=6),"",--MID('Key Analysis'!$C15,$A19-6,1))</f>
        <v>0</v>
      </c>
      <c r="J19" s="29">
        <f>IF(OR($B19="",$A19&lt;=7),"",--MID('Key Analysis'!$C15,$A19-7,1))</f>
        <v>0</v>
      </c>
      <c r="K19" s="29">
        <f>IF(OR($B19="",$A19&lt;=8),"",--MID('Key Analysis'!$C15,$A19-8,1))</f>
        <v>1</v>
      </c>
      <c r="L19" s="29">
        <f>IF(OR($B19="",$A19&lt;=9),"",--MID('Key Analysis'!$C15,$A19-9,1))</f>
        <v>0</v>
      </c>
      <c r="M19" s="29">
        <f>IF(OR($B19="",$A19&lt;=10),"",--MID('Key Analysis'!$C15,$A19-10,1))</f>
        <v>0</v>
      </c>
      <c r="N19" s="29">
        <f>IF(OR($B19="",$A19&lt;=11),"",--MID('Key Analysis'!$C15,$A19-11,1))</f>
        <v>1</v>
      </c>
      <c r="O19" s="29">
        <f>IF(OR($B19="",$A19&lt;=12),"",--MID('Key Analysis'!$C15,$A19-12,1))</f>
        <v>0</v>
      </c>
      <c r="P19" s="29">
        <f>IF(OR($B19="",$A19&lt;=13),"",--MID('Key Analysis'!$C15,$A19-13,1))</f>
        <v>1</v>
      </c>
      <c r="Q19" s="29" t="str">
        <f>IF(OR($B19="",$A19&lt;=14),"",--MID('Key Analysis'!$C15,$A19-14,1))</f>
        <v/>
      </c>
      <c r="R19" s="29" t="str">
        <f>IF(OR($B19="",$A19&lt;=15),"",--MID('Key Analysis'!$C15,$A19-15,1))</f>
        <v/>
      </c>
      <c r="S19" s="29" t="str">
        <f>IF(OR($B19="",$A19&lt;=16),"",--MID('Key Analysis'!$C15,$A19-16,1))</f>
        <v/>
      </c>
      <c r="T19" s="29" t="str">
        <f>IF(OR($B19="",$A19&lt;=17),"",--MID('Key Analysis'!$C15,$A19-17,1))</f>
        <v/>
      </c>
      <c r="U19" s="29" t="str">
        <f>IF(OR($B19="",$A19&lt;=18),"",--MID('Key Analysis'!$C15,$A19-18,1))</f>
        <v/>
      </c>
      <c r="V19" s="29" t="str">
        <f>IF(OR($B19="",$A19&lt;=19),"",--MID('Key Analysis'!$C15,$A19-19,1))</f>
        <v/>
      </c>
      <c r="W19" s="29" t="str">
        <f>IF(OR($B19="",$A19&lt;=20),"",--MID('Key Analysis'!$C15,$A19-20,1))</f>
        <v/>
      </c>
      <c r="X19" s="29" t="str">
        <f>IF(OR($B19="",$A19&lt;=21),"",--MID('Key Analysis'!$C15,$A19-21,1))</f>
        <v/>
      </c>
      <c r="Y19" s="29" t="str">
        <f>IF(OR($B19="",$A19&lt;=22),"",--MID('Key Analysis'!$C15,$A19-22,1))</f>
        <v/>
      </c>
      <c r="Z19" s="29" t="str">
        <f>IF(OR($B19="",$A19&lt;=23),"",--MID('Key Analysis'!$C15,$A19-23,1))</f>
        <v/>
      </c>
      <c r="AA19" s="29" t="str">
        <f>IF(OR($B19="",$A19&lt;=24),"",--MID('Key Analysis'!$C15,$A19-24,1))</f>
        <v/>
      </c>
      <c r="AB19" s="29" t="str">
        <f>IF(OR($B19="",$A19&lt;=25),"",--MID('Key Analysis'!$C15,$A19-25,1))</f>
        <v/>
      </c>
      <c r="AC19" s="29" t="str">
        <f>IF(OR($B19="",$A19&lt;=26),"",--MID('Key Analysis'!$C15,$A19-26,1))</f>
        <v/>
      </c>
      <c r="AD19" s="29" t="str">
        <f>IF(OR($B19="",$A19&lt;=27),"",--MID('Key Analysis'!$C15,$A19-27,1))</f>
        <v/>
      </c>
      <c r="AE19" s="29" t="str">
        <f>IF(OR($B19="",$A19&lt;=28),"",--MID('Key Analysis'!$C15,$A19-28,1))</f>
        <v/>
      </c>
      <c r="AF19" s="29" t="str">
        <f>IF(OR($B19="",$A19&lt;=29),"",--MID('Key Analysis'!$C15,$A19-29,1))</f>
        <v/>
      </c>
      <c r="AG19" s="29" t="str">
        <f>IF(OR($B19="",$A19&lt;=30),"",--MID('Key Analysis'!$C15,$A19-30,1))</f>
        <v/>
      </c>
      <c r="AH19" s="29" t="str">
        <f>IF(OR($B19="",$A19&lt;=31),"",--MID('Key Analysis'!$C15,$A19-31,1))</f>
        <v/>
      </c>
      <c r="AI19" s="29" t="str">
        <f>IF(OR($B19="",$A19&lt;=32),"",--MID('Key Analysis'!$C15,$A19-32,1))</f>
        <v/>
      </c>
      <c r="AJ19" s="29" t="str">
        <f>IF(OR($B19="",$A19&lt;=33),"",--MID('Key Analysis'!$C15,$A19-33,1))</f>
        <v/>
      </c>
      <c r="AK19" s="29" t="str">
        <f>IF(OR($B19="",$A19&lt;=34),"",--MID('Key Analysis'!$C15,$A19-34,1))</f>
        <v/>
      </c>
      <c r="AL19" s="29" t="str">
        <f>IF(OR($B19="",$A19&lt;=35),"",--MID('Key Analysis'!$C15,$A19-35,1))</f>
        <v/>
      </c>
      <c r="AM19" s="29" t="str">
        <f>IF(OR($B19="",$A19&lt;=36),"",--MID('Key Analysis'!$C15,$A19-36,1))</f>
        <v/>
      </c>
      <c r="AN19" s="29" t="str">
        <f>IF(OR($B19="",$A19&lt;=37),"",--MID('Key Analysis'!$C15,$A19-37,1))</f>
        <v/>
      </c>
      <c r="AO19" s="29" t="str">
        <f>IF(OR($B19="",$A19&lt;=38),"",--MID('Key Analysis'!$C15,$A19-38,1))</f>
        <v/>
      </c>
      <c r="AP19" s="29" t="str">
        <f>IF(OR($B19="",$A19&lt;=39),"",--MID('Key Analysis'!$C15,$A19-39,1))</f>
        <v/>
      </c>
      <c r="AQ19" s="29" t="str">
        <f>IF(OR($B19="",$A19&lt;=40),"",--MID('Key Analysis'!$C15,$A19-40,1))</f>
        <v/>
      </c>
      <c r="AR19" s="29" t="str">
        <f>IF(OR($B19="",$A19&lt;=41),"",--MID('Key Analysis'!$C15,$A19-41,1))</f>
        <v/>
      </c>
      <c r="AS19" s="29" t="str">
        <f>IF(OR($B19="",$A19&lt;=42),"",--MID('Key Analysis'!$C15,$A19-42,1))</f>
        <v/>
      </c>
      <c r="AT19" s="29" t="str">
        <f>IF(OR($B19="",$A19&lt;=43),"",--MID('Key Analysis'!$C15,$A19-43,1))</f>
        <v/>
      </c>
      <c r="AU19" s="29" t="str">
        <f>IF(OR($B19="",$A19&lt;=44),"",--MID('Key Analysis'!$C15,$A19-44,1))</f>
        <v/>
      </c>
      <c r="AV19" s="29" t="str">
        <f>IF(OR($B19="",$A19&lt;=45),"",--MID('Key Analysis'!$C15,$A19-45,1))</f>
        <v/>
      </c>
      <c r="AW19" s="29" t="str">
        <f>IF(OR($B19="",$A19&lt;=46),"",--MID('Key Analysis'!$C15,$A19-46,1))</f>
        <v/>
      </c>
      <c r="AX19" s="29" t="str">
        <f>IF(OR($B19="",$A19&lt;=47),"",--MID('Key Analysis'!$C15,$A19-47,1))</f>
        <v/>
      </c>
      <c r="AY19" s="29" t="str">
        <f>IF(OR($B19="",$A19&lt;=48),"",--MID('Key Analysis'!$C15,$A19-48,1))</f>
        <v/>
      </c>
      <c r="AZ19" s="29" t="str">
        <f>IF(OR($B19="",$A19&lt;=49),"",--MID('Key Analysis'!$C15,$A19-49,1))</f>
        <v/>
      </c>
      <c r="BA19" s="29" t="str">
        <f>IF(OR($B19="",$A19&lt;=50),"",--MID('Key Analysis'!$C15,$A19-50,1))</f>
        <v/>
      </c>
      <c r="BB19" s="29" t="str">
        <f>IF(OR($B19="",$A19&lt;=51),"",--MID('Key Analysis'!$C15,$A19-51,1))</f>
        <v/>
      </c>
      <c r="BC19" s="29" t="str">
        <f>IF(OR($B19="",$A19&lt;=52),"",--MID('Key Analysis'!$C15,$A19-52,1))</f>
        <v/>
      </c>
      <c r="BD19" s="29" t="str">
        <f>IF(OR($B19="",$A19&lt;=53),"",--MID('Key Analysis'!$C15,$A19-53,1))</f>
        <v/>
      </c>
      <c r="BE19" s="29" t="str">
        <f>IF(OR($B19="",$A19&lt;=54),"",--MID('Key Analysis'!$C15,$A19-54,1))</f>
        <v/>
      </c>
      <c r="BF19" s="29" t="str">
        <f>IF(OR($B19="",$A19&lt;=55),"",--MID('Key Analysis'!$C15,$A19-55,1))</f>
        <v/>
      </c>
      <c r="BG19" s="29" t="str">
        <f>IF(OR($B19="",$A19&lt;=56),"",--MID('Key Analysis'!$C15,$A19-56,1))</f>
        <v/>
      </c>
      <c r="BH19" s="29" t="str">
        <f>IF(OR($B19="",$A19&lt;=57),"",--MID('Key Analysis'!$C15,$A19-57,1))</f>
        <v/>
      </c>
      <c r="BI19" s="29" t="str">
        <f>IF(OR($B19="",$A19&lt;=58),"",--MID('Key Analysis'!$C15,$A19-58,1))</f>
        <v/>
      </c>
      <c r="BJ19" s="29" t="str">
        <f>IF(OR($B19="",$A19&lt;=59),"",--MID('Key Analysis'!$C15,$A19-59,1))</f>
        <v/>
      </c>
      <c r="BK19" s="29" t="str">
        <f>IF(OR($B19="",$A19&lt;=60),"",--MID('Key Analysis'!$C15,$A19-60,1))</f>
        <v/>
      </c>
      <c r="BL19" s="29" t="str">
        <f>IF(OR($B19="",$A19&lt;=61),"",--MID('Key Analysis'!$C15,$A19-61,1))</f>
        <v/>
      </c>
      <c r="BM19" s="29" t="str">
        <f>IF(OR($B19="",$A19&lt;=62),"",--MID('Key Analysis'!$C15,$A19-62,1))</f>
        <v/>
      </c>
      <c r="BN19" s="29" t="str">
        <f>IF(OR($B19="",$A19&lt;=63),"",--MID('Key Analysis'!$C15,$A19-63,1))</f>
        <v/>
      </c>
      <c r="BO19" s="29" t="str">
        <f>IF(OR($B19="",$A19&lt;=64),"",--MID('Key Analysis'!$C15,$A19-64,1))</f>
        <v/>
      </c>
      <c r="BP19" s="29" t="str">
        <f>IF(OR($B19="",$A19&lt;=65),"",--MID('Key Analysis'!$C15,$A19-65,1))</f>
        <v/>
      </c>
      <c r="BQ19" s="29" t="str">
        <f>IF(OR($B19="",$A19&lt;=66),"",--MID('Key Analysis'!$C15,$A19-66,1))</f>
        <v/>
      </c>
      <c r="BR19" s="29" t="str">
        <f>IF(OR($B19="",$A19&lt;=67),"",--MID('Key Analysis'!$C15,$A19-67,1))</f>
        <v/>
      </c>
      <c r="BS19" s="29" t="str">
        <f>IF(OR($B19="",$A19&lt;=68),"",--MID('Key Analysis'!$C15,$A19-68,1))</f>
        <v/>
      </c>
      <c r="BT19" s="29" t="str">
        <f>IF(OR($B19="",$A19&lt;=69),"",--MID('Key Analysis'!$C15,$A19-69,1))</f>
        <v/>
      </c>
      <c r="BU19" s="29" t="str">
        <f>IF(OR($B19="",$A19&lt;=70),"",--MID('Key Analysis'!$C15,$A19-70,1))</f>
        <v/>
      </c>
      <c r="BV19" s="29" t="str">
        <f>IF(OR($B19="",$A19&lt;=71),"",--MID('Key Analysis'!$C15,$A19-71,1))</f>
        <v/>
      </c>
      <c r="BW19" s="29" t="str">
        <f>IF(OR($B19="",$A19&lt;=72),"",--MID('Key Analysis'!$C15,$A19-72,1))</f>
        <v/>
      </c>
      <c r="BX19" s="29" t="str">
        <f>IF(OR($B19="",$A19&lt;=73),"",--MID('Key Analysis'!$C15,$A19-73,1))</f>
        <v/>
      </c>
      <c r="BY19" s="29" t="str">
        <f>IF(OR($B19="",$A19&lt;=74),"",--MID('Key Analysis'!$C15,$A19-74,1))</f>
        <v/>
      </c>
      <c r="BZ19" s="29" t="str">
        <f>IF(OR($B19="",$A19&lt;=75),"",--MID('Key Analysis'!$C15,$A19-75,1))</f>
        <v/>
      </c>
      <c r="CA19" s="29" t="str">
        <f>IF(OR($B19="",$A19&lt;=76),"",--MID('Key Analysis'!$C15,$A19-76,1))</f>
        <v/>
      </c>
      <c r="CB19" s="29" t="str">
        <f>IF(OR($B19="",$A19&lt;=77),"",--MID('Key Analysis'!$C15,$A19-77,1))</f>
        <v/>
      </c>
      <c r="CC19" s="29" t="str">
        <f>IF(OR($B19="",$A19&lt;=78),"",--MID('Key Analysis'!$C15,$A19-78,1))</f>
        <v/>
      </c>
      <c r="CD19" s="29" t="str">
        <f>IF(OR($B19="",$A19&lt;=79),"",--MID('Key Analysis'!$C15,$A19-79,1))</f>
        <v/>
      </c>
      <c r="CE19" s="29" t="str">
        <f>IF(OR($B19="",$A19&lt;=80),"",--MID('Key Analysis'!$C15,$A19-80,1))</f>
        <v/>
      </c>
      <c r="CF19" s="29" t="str">
        <f>IF(OR($B19="",$A19&lt;=81),"",--MID('Key Analysis'!$C15,$A19-81,1))</f>
        <v/>
      </c>
      <c r="CG19" s="29" t="str">
        <f>IF(OR($B19="",$A19&lt;=82),"",--MID('Key Analysis'!$C15,$A19-82,1))</f>
        <v/>
      </c>
      <c r="CH19" s="29" t="str">
        <f>IF(OR($B19="",$A19&lt;=83),"",--MID('Key Analysis'!$C15,$A19-83,1))</f>
        <v/>
      </c>
      <c r="CI19" s="29" t="str">
        <f>IF(OR($B19="",$A19&lt;=84),"",--MID('Key Analysis'!$C15,$A19-84,1))</f>
        <v/>
      </c>
      <c r="CJ19" s="29" t="str">
        <f>IF(OR($B19="",$A19&lt;=85),"",--MID('Key Analysis'!$C15,$A19-85,1))</f>
        <v/>
      </c>
      <c r="CK19" s="29" t="str">
        <f>IF(OR($B19="",$A19&lt;=86),"",--MID('Key Analysis'!$C15,$A19-86,1))</f>
        <v/>
      </c>
      <c r="CL19" s="29" t="str">
        <f>IF(OR($B19="",$A19&lt;=87),"",--MID('Key Analysis'!$C15,$A19-87,1))</f>
        <v/>
      </c>
      <c r="CM19" s="29" t="str">
        <f>IF(OR($B19="",$A19&lt;=88),"",--MID('Key Analysis'!$C15,$A19-88,1))</f>
        <v/>
      </c>
      <c r="CN19" s="29" t="str">
        <f>IF(OR($B19="",$A19&lt;=89),"",--MID('Key Analysis'!$C15,$A19-89,1))</f>
        <v/>
      </c>
      <c r="CO19" s="29" t="str">
        <f>IF(OR($B19="",$A19&lt;=90),"",--MID('Key Analysis'!$C15,$A19-90,1))</f>
        <v/>
      </c>
      <c r="CP19" s="29" t="str">
        <f>IF(OR($B19="",$A19&lt;=91),"",--MID('Key Analysis'!$C15,$A19-91,1))</f>
        <v/>
      </c>
      <c r="CQ19" s="29" t="str">
        <f>IF(OR($B19="",$A19&lt;=92),"",--MID('Key Analysis'!$C15,$A19-92,1))</f>
        <v/>
      </c>
      <c r="CR19" s="29" t="str">
        <f>IF(OR($B19="",$A19&lt;=93),"",--MID('Key Analysis'!$C15,$A19-93,1))</f>
        <v/>
      </c>
      <c r="CS19" s="29" t="str">
        <f>IF(OR($B19="",$A19&lt;=94),"",--MID('Key Analysis'!$C15,$A19-94,1))</f>
        <v/>
      </c>
      <c r="CT19" s="29" t="str">
        <f>IF(OR($B19="",$A19&lt;=95),"",--MID('Key Analysis'!$C15,$A19-95,1))</f>
        <v/>
      </c>
      <c r="CU19" s="29" t="str">
        <f>IF(OR($B19="",$A19&lt;=96),"",--MID('Key Analysis'!$C15,$A19-96,1))</f>
        <v/>
      </c>
      <c r="CV19" s="29" t="str">
        <f>IF(OR($B19="",$A19&lt;=97),"",--MID('Key Analysis'!$C15,$A19-97,1))</f>
        <v/>
      </c>
      <c r="CW19" s="29" t="str">
        <f>IF(OR($B19="",$A19&lt;=98),"",--MID('Key Analysis'!$C15,$A19-98,1))</f>
        <v/>
      </c>
      <c r="CX19" s="29" t="str">
        <f>IF(OR($B19="",$A19&lt;=99),"",--MID('Key Analysis'!$C15,$A19-99,1))</f>
        <v/>
      </c>
      <c r="CY19" s="29" t="str">
        <f>IF(OR($B19="",$A19&lt;=100),"",--MID('Key Analysis'!$C15,$A19-100,1))</f>
        <v/>
      </c>
      <c r="CZ19" s="29" t="str">
        <f>IF(OR($B19="",$A19&lt;=101),"",--MID('Key Analysis'!$C15,$A19-101,1))</f>
        <v/>
      </c>
      <c r="DA19" s="29" t="str">
        <f>IF(OR($B19="",$A19&lt;=102),"",--MID('Key Analysis'!$C15,$A19-102,1))</f>
        <v/>
      </c>
      <c r="DB19" s="29" t="str">
        <f>IF(OR($B19="",$A19&lt;=103),"",--MID('Key Analysis'!$C15,$A19-103,1))</f>
        <v/>
      </c>
      <c r="DC19" s="29" t="str">
        <f>IF(OR($B19="",$A19&lt;=104),"",--MID('Key Analysis'!$C15,$A19-104,1))</f>
        <v/>
      </c>
      <c r="DD19" s="29" t="str">
        <f>IF(OR($B19="",$A19&lt;=105),"",--MID('Key Analysis'!$C15,$A19-105,1))</f>
        <v/>
      </c>
      <c r="DE19" s="29" t="str">
        <f>IF(OR($B19="",$A19&lt;=106),"",--MID('Key Analysis'!$C15,$A19-106,1))</f>
        <v/>
      </c>
      <c r="DF19" s="29" t="str">
        <f>IF(OR($B19="",$A19&lt;=107),"",--MID('Key Analysis'!$C15,$A19-107,1))</f>
        <v/>
      </c>
      <c r="DG19" s="29" t="str">
        <f>IF(OR($B19="",$A19&lt;=108),"",--MID('Key Analysis'!$C15,$A19-108,1))</f>
        <v/>
      </c>
      <c r="DH19" s="29" t="str">
        <f>IF(OR($B19="",$A19&lt;=109),"",--MID('Key Analysis'!$C15,$A19-109,1))</f>
        <v/>
      </c>
      <c r="DI19" s="29" t="str">
        <f>IF(OR($B19="",$A19&lt;=110),"",--MID('Key Analysis'!$C15,$A19-110,1))</f>
        <v/>
      </c>
      <c r="DJ19" s="29" t="str">
        <f>IF(OR($B19="",$A19&lt;=111),"",--MID('Key Analysis'!$C15,$A19-111,1))</f>
        <v/>
      </c>
      <c r="DK19" s="29" t="str">
        <f>IF(OR($B19="",$A19&lt;=112),"",--MID('Key Analysis'!$C15,$A19-112,1))</f>
        <v/>
      </c>
      <c r="DL19" s="29" t="str">
        <f>IF(OR($B19="",$A19&lt;=113),"",--MID('Key Analysis'!$C15,$A19-113,1))</f>
        <v/>
      </c>
      <c r="DM19" s="29" t="str">
        <f>IF(OR($B19="",$A19&lt;=114),"",--MID('Key Analysis'!$C15,$A19-114,1))</f>
        <v/>
      </c>
      <c r="DN19" s="29" t="str">
        <f>IF(OR($B19="",$A19&lt;=115),"",--MID('Key Analysis'!$C15,$A19-115,1))</f>
        <v/>
      </c>
      <c r="DO19" s="29" t="str">
        <f>IF(OR($B19="",$A19&lt;=116),"",--MID('Key Analysis'!$C15,$A19-116,1))</f>
        <v/>
      </c>
      <c r="DP19" s="29" t="str">
        <f>IF(OR($B19="",$A19&lt;=117),"",--MID('Key Analysis'!$C15,$A19-117,1))</f>
        <v/>
      </c>
      <c r="DQ19" s="29" t="str">
        <f>IF(OR($B19="",$A19&lt;=118),"",--MID('Key Analysis'!$C15,$A19-118,1))</f>
        <v/>
      </c>
      <c r="DR19" s="29" t="str">
        <f>IF(OR($B19="",$A19&lt;=119),"",--MID('Key Analysis'!$C15,$A19-119,1))</f>
        <v/>
      </c>
      <c r="DS19" s="29" t="str">
        <f>IF(OR($B19="",$A19&lt;=120),"",--MID('Key Analysis'!$C15,$A19-120,1))</f>
        <v/>
      </c>
      <c r="DT19" s="29" t="str">
        <f>IF(OR($B19="",$A19&lt;=121),"",--MID('Key Analysis'!$C15,$A19-121,1))</f>
        <v/>
      </c>
      <c r="DU19" s="29" t="str">
        <f>IF(OR($B19="",$A19&lt;=122),"",--MID('Key Analysis'!$C15,$A19-122,1))</f>
        <v/>
      </c>
      <c r="DV19" s="29" t="str">
        <f>IF(OR($B19="",$A19&lt;=123),"",--MID('Key Analysis'!$C15,$A19-123,1))</f>
        <v/>
      </c>
      <c r="DW19" s="29" t="str">
        <f>IF(OR($B19="",$A19&lt;=124),"",--MID('Key Analysis'!$C15,$A19-124,1))</f>
        <v/>
      </c>
      <c r="DX19" s="29" t="str">
        <f>IF(OR($B19="",$A19&lt;=125),"",--MID('Key Analysis'!$C15,$A19-125,1))</f>
        <v/>
      </c>
      <c r="DY19" s="29" t="str">
        <f>IF(OR($B19="",$A19&lt;=126),"",--MID('Key Analysis'!$C15,$A19-126,1))</f>
        <v/>
      </c>
      <c r="DZ19" s="29" t="str">
        <f>IF(OR($B19="",$A19&lt;=127),"",--MID('Key Analysis'!$C15,$A19-127,1))</f>
        <v/>
      </c>
      <c r="EA19" s="29" t="str">
        <f>IF(OR($B19="",$A19&lt;=128),"",--MID('Key Analysis'!$C15,$A19-128,1))</f>
        <v/>
      </c>
      <c r="EB19" s="29" t="str">
        <f>IF(OR($B19="",$A19&lt;=129),"",--MID('Key Analysis'!$C15,$A19-129,1))</f>
        <v/>
      </c>
      <c r="EC19" s="29" t="str">
        <f>IF(OR($B19="",$A19&lt;=130),"",--MID('Key Analysis'!$C15,$A19-130,1))</f>
        <v/>
      </c>
      <c r="ED19" s="29" t="str">
        <f>IF(OR($B19="",$A19&lt;=131),"",--MID('Key Analysis'!$C15,$A19-131,1))</f>
        <v/>
      </c>
      <c r="EE19" s="29" t="str">
        <f>IF(OR($B19="",$A19&lt;=132),"",--MID('Key Analysis'!$C15,$A19-132,1))</f>
        <v/>
      </c>
      <c r="EF19" s="29" t="str">
        <f>IF(OR($B19="",$A19&lt;=133),"",--MID('Key Analysis'!$C15,$A19-133,1))</f>
        <v/>
      </c>
      <c r="EG19" s="29" t="str">
        <f>IF(OR($B19="",$A19&lt;=134),"",--MID('Key Analysis'!$C15,$A19-134,1))</f>
        <v/>
      </c>
      <c r="EH19" s="29"/>
      <c r="EI19" s="29">
        <f>IF(OR($B19="",$A19&lt;1),"",--MID('Key Analysis'!$C15,1,1))</f>
        <v>1</v>
      </c>
      <c r="EJ19" s="29">
        <f>IF(OR($B19="",$A19&lt;2),"",--MID('Key Analysis'!$C15,2,1))</f>
        <v>0</v>
      </c>
      <c r="EK19" s="29">
        <f>IF(OR($B19="",$A19&lt;3),"",--MID('Key Analysis'!$C15,3,1))</f>
        <v>1</v>
      </c>
      <c r="EL19" s="29">
        <f>IF(OR($B19="",$A19&lt;4),"",--MID('Key Analysis'!$C15,4,1))</f>
        <v>0</v>
      </c>
      <c r="EM19" s="29">
        <f>IF(OR($B19="",$A19&lt;5),"",--MID('Key Analysis'!$C15,5,1))</f>
        <v>0</v>
      </c>
      <c r="EN19" s="29">
        <f>IF(OR($B19="",$A19&lt;6),"",--MID('Key Analysis'!$C15,6,1))</f>
        <v>1</v>
      </c>
      <c r="EO19" s="29">
        <f>IF(OR($B19="",$A19&lt;7),"",--MID('Key Analysis'!$C15,7,1))</f>
        <v>0</v>
      </c>
      <c r="EP19" s="29">
        <f>IF(OR($B19="",$A19&lt;8),"",--MID('Key Analysis'!$C15,8,1))</f>
        <v>0</v>
      </c>
      <c r="EQ19" s="29">
        <f>IF(OR($B19="",$A19&lt;9),"",--MID('Key Analysis'!$C15,9,1))</f>
        <v>1</v>
      </c>
      <c r="ER19" s="29">
        <f>IF(OR($B19="",$A19&lt;10),"",--MID('Key Analysis'!$C15,10,1))</f>
        <v>1</v>
      </c>
      <c r="ES19" s="29">
        <f>IF(OR($B19="",$A19&lt;11),"",--MID('Key Analysis'!$C15,11,1))</f>
        <v>0</v>
      </c>
      <c r="ET19" s="29">
        <f>IF(OR($B19="",$A19&lt;12),"",--MID('Key Analysis'!$C15,12,1))</f>
        <v>0</v>
      </c>
      <c r="EU19" s="29">
        <f>IF(OR($B19="",$A19&lt;13),"",--MID('Key Analysis'!$C15,13,1))</f>
        <v>0</v>
      </c>
      <c r="EV19" s="29">
        <f>IF(OR($B19="",$A19&lt;14),"",--MID('Key Analysis'!$C15,14,1))</f>
        <v>0</v>
      </c>
      <c r="EW19" s="29" t="str">
        <f>IF(OR($B19="",$A19&lt;15),"",--MID('Key Analysis'!$C15,15,1))</f>
        <v/>
      </c>
      <c r="EX19" s="29" t="str">
        <f>IF(OR($B19="",$A19&lt;16),"",--MID('Key Analysis'!$C15,16,1))</f>
        <v/>
      </c>
      <c r="EY19" s="29" t="str">
        <f>IF(OR($B19="",$A19&lt;17),"",--MID('Key Analysis'!$C15,17,1))</f>
        <v/>
      </c>
      <c r="EZ19" s="29" t="str">
        <f>IF(OR($B19="",$A19&lt;18),"",--MID('Key Analysis'!$C15,18,1))</f>
        <v/>
      </c>
      <c r="FA19" s="29" t="str">
        <f>IF(OR($B19="",$A19&lt;19),"",--MID('Key Analysis'!$C15,19,1))</f>
        <v/>
      </c>
      <c r="FB19" s="29" t="str">
        <f>IF(OR($B19="",$A19&lt;20),"",--MID('Key Analysis'!$C15,20,1))</f>
        <v/>
      </c>
      <c r="FC19" s="29" t="str">
        <f>IF(OR($B19="",$A19&lt;21),"",--MID('Key Analysis'!$C15,21,1))</f>
        <v/>
      </c>
      <c r="FD19" s="29" t="str">
        <f>IF(OR($B19="",$A19&lt;22),"",--MID('Key Analysis'!$C15,22,1))</f>
        <v/>
      </c>
      <c r="FE19" s="29" t="str">
        <f>IF(OR($B19="",$A19&lt;23),"",--MID('Key Analysis'!$C15,23,1))</f>
        <v/>
      </c>
      <c r="FF19" s="29" t="str">
        <f>IF(OR($B19="",$A19&lt;24),"",--MID('Key Analysis'!$C15,24,1))</f>
        <v/>
      </c>
      <c r="FG19" s="29" t="str">
        <f>IF(OR($B19="",$A19&lt;25),"",--MID('Key Analysis'!$C15,25,1))</f>
        <v/>
      </c>
      <c r="FH19" s="29" t="str">
        <f>IF(OR($B19="",$A19&lt;26),"",--MID('Key Analysis'!$C15,26,1))</f>
        <v/>
      </c>
      <c r="FI19" s="29" t="str">
        <f>IF(OR($B19="",$A19&lt;27),"",--MID('Key Analysis'!$C15,27,1))</f>
        <v/>
      </c>
      <c r="FJ19" s="29" t="str">
        <f>IF(OR($B19="",$A19&lt;28),"",--MID('Key Analysis'!$C15,28,1))</f>
        <v/>
      </c>
      <c r="FK19" s="29" t="str">
        <f>IF(OR($B19="",$A19&lt;29),"",--MID('Key Analysis'!$C15,29,1))</f>
        <v/>
      </c>
      <c r="FL19" s="29" t="str">
        <f>IF(OR($B19="",$A19&lt;30),"",--MID('Key Analysis'!$C15,30,1))</f>
        <v/>
      </c>
      <c r="FM19" s="29" t="str">
        <f>IF(OR($B19="",$A19&lt;31),"",--MID('Key Analysis'!$C15,31,1))</f>
        <v/>
      </c>
      <c r="FN19" s="29" t="str">
        <f>IF(OR($B19="",$A19&lt;32),"",--MID('Key Analysis'!$C15,32,1))</f>
        <v/>
      </c>
      <c r="FO19" s="29" t="str">
        <f>IF(OR($B19="",$A19&lt;33),"",--MID('Key Analysis'!$C15,33,1))</f>
        <v/>
      </c>
      <c r="FP19" s="29" t="str">
        <f>IF(OR($B19="",$A19&lt;34),"",--MID('Key Analysis'!$C15,34,1))</f>
        <v/>
      </c>
      <c r="FQ19" s="29" t="str">
        <f>IF(OR($B19="",$A19&lt;35),"",--MID('Key Analysis'!$C15,35,1))</f>
        <v/>
      </c>
      <c r="FR19" s="29" t="str">
        <f>IF(OR($B19="",$A19&lt;36),"",--MID('Key Analysis'!$C15,36,1))</f>
        <v/>
      </c>
      <c r="FS19" s="29" t="str">
        <f>IF(OR($B19="",$A19&lt;37),"",--MID('Key Analysis'!$C15,37,1))</f>
        <v/>
      </c>
      <c r="FT19" s="29" t="str">
        <f>IF(OR($B19="",$A19&lt;38),"",--MID('Key Analysis'!$C15,38,1))</f>
        <v/>
      </c>
      <c r="FU19" s="29" t="str">
        <f>IF(OR($B19="",$A19&lt;39),"",--MID('Key Analysis'!$C15,39,1))</f>
        <v/>
      </c>
      <c r="FV19" s="29" t="str">
        <f>IF(OR($B19="",$A19&lt;40),"",--MID('Key Analysis'!$C15,40,1))</f>
        <v/>
      </c>
      <c r="FW19" s="29" t="str">
        <f>IF(OR($B19="",$A19&lt;41),"",--MID('Key Analysis'!$C15,41,1))</f>
        <v/>
      </c>
      <c r="FX19" s="29" t="str">
        <f>IF(OR($B19="",$A19&lt;42),"",--MID('Key Analysis'!$C15,42,1))</f>
        <v/>
      </c>
      <c r="FY19" s="29" t="str">
        <f>IF(OR($B19="",$A19&lt;43),"",--MID('Key Analysis'!$C15,43,1))</f>
        <v/>
      </c>
      <c r="FZ19" s="29" t="str">
        <f>IF(OR($B19="",$A19&lt;44),"",--MID('Key Analysis'!$C15,44,1))</f>
        <v/>
      </c>
      <c r="GA19" s="29" t="str">
        <f>IF(OR($B19="",$A19&lt;45),"",--MID('Key Analysis'!$C15,45,1))</f>
        <v/>
      </c>
      <c r="GB19" s="29" t="str">
        <f>IF(OR($B19="",$A19&lt;46),"",--MID('Key Analysis'!$C15,46,1))</f>
        <v/>
      </c>
      <c r="GC19" s="29" t="str">
        <f>IF(OR($B19="",$A19&lt;47),"",--MID('Key Analysis'!$C15,47,1))</f>
        <v/>
      </c>
      <c r="GD19" s="29" t="str">
        <f>IF(OR($B19="",$A19&lt;48),"",--MID('Key Analysis'!$C15,48,1))</f>
        <v/>
      </c>
      <c r="GE19" s="29" t="str">
        <f>IF(OR($B19="",$A19&lt;49),"",--MID('Key Analysis'!$C15,49,1))</f>
        <v/>
      </c>
      <c r="GF19" s="29" t="str">
        <f>IF(OR($B19="",$A19&lt;50),"",--MID('Key Analysis'!$C15,50,1))</f>
        <v/>
      </c>
      <c r="GG19" s="29" t="str">
        <f>IF(OR($B19="",$A19&lt;51),"",--MID('Key Analysis'!$C15,51,1))</f>
        <v/>
      </c>
      <c r="GH19" s="29" t="str">
        <f>IF(OR($B19="",$A19&lt;52),"",--MID('Key Analysis'!$C15,52,1))</f>
        <v/>
      </c>
      <c r="GI19" s="29" t="str">
        <f>IF(OR($B19="",$A19&lt;53),"",--MID('Key Analysis'!$C15,53,1))</f>
        <v/>
      </c>
      <c r="GJ19" s="29" t="str">
        <f>IF(OR($B19="",$A19&lt;54),"",--MID('Key Analysis'!$C15,54,1))</f>
        <v/>
      </c>
      <c r="GK19" s="29" t="str">
        <f>IF(OR($B19="",$A19&lt;55),"",--MID('Key Analysis'!$C15,55,1))</f>
        <v/>
      </c>
      <c r="GL19" s="29" t="str">
        <f>IF(OR($B19="",$A19&lt;56),"",--MID('Key Analysis'!$C15,56,1))</f>
        <v/>
      </c>
      <c r="GM19" s="29" t="str">
        <f>IF(OR($B19="",$A19&lt;57),"",--MID('Key Analysis'!$C15,57,1))</f>
        <v/>
      </c>
      <c r="GN19" s="29" t="str">
        <f>IF(OR($B19="",$A19&lt;58),"",--MID('Key Analysis'!$C15,58,1))</f>
        <v/>
      </c>
      <c r="GO19" s="29" t="str">
        <f>IF(OR($B19="",$A19&lt;59),"",--MID('Key Analysis'!$C15,59,1))</f>
        <v/>
      </c>
      <c r="GP19" s="29" t="str">
        <f>IF(OR($B19="",$A19&lt;60),"",--MID('Key Analysis'!$C15,60,1))</f>
        <v/>
      </c>
      <c r="GQ19" s="29" t="str">
        <f>IF(OR($B19="",$A19&lt;61),"",--MID('Key Analysis'!$C15,61,1))</f>
        <v/>
      </c>
      <c r="GR19" s="29" t="str">
        <f>IF(OR($B19="",$A19&lt;62),"",--MID('Key Analysis'!$C15,62,1))</f>
        <v/>
      </c>
      <c r="GS19" s="29" t="str">
        <f>IF(OR($B19="",$A19&lt;63),"",--MID('Key Analysis'!$C15,63,1))</f>
        <v/>
      </c>
      <c r="GT19" s="29" t="str">
        <f>IF(OR($B19="",$A19&lt;64),"",--MID('Key Analysis'!$C15,64,1))</f>
        <v/>
      </c>
      <c r="GU19" s="29" t="str">
        <f>IF(OR($B19="",$A19&lt;65),"",--MID('Key Analysis'!$C15,65,1))</f>
        <v/>
      </c>
      <c r="GV19" s="29" t="str">
        <f>IF(OR($B19="",$A19&lt;66),"",--MID('Key Analysis'!$C15,66,1))</f>
        <v/>
      </c>
      <c r="GW19" s="29" t="str">
        <f>IF(OR($B19="",$A19&lt;67),"",--MID('Key Analysis'!$C15,67,1))</f>
        <v/>
      </c>
      <c r="GX19" s="29" t="str">
        <f>IF(OR($B19="",$A19&lt;68),"",--MID('Key Analysis'!$C15,68,1))</f>
        <v/>
      </c>
      <c r="GY19" s="29" t="str">
        <f>IF(OR($B19="",$A19&lt;69),"",--MID('Key Analysis'!$C15,69,1))</f>
        <v/>
      </c>
      <c r="GZ19" s="29" t="str">
        <f>IF(OR($B19="",$A19&lt;70),"",--MID('Key Analysis'!$C15,70,1))</f>
        <v/>
      </c>
      <c r="HA19" s="29" t="str">
        <f>IF(OR($B19="",$A19&lt;71),"",--MID('Key Analysis'!$C15,71,1))</f>
        <v/>
      </c>
      <c r="HB19" s="29" t="str">
        <f>IF(OR($B19="",$A19&lt;72),"",--MID('Key Analysis'!$C15,72,1))</f>
        <v/>
      </c>
      <c r="HC19" s="29" t="str">
        <f>IF(OR($B19="",$A19&lt;73),"",--MID('Key Analysis'!$C15,73,1))</f>
        <v/>
      </c>
      <c r="HD19" s="29" t="str">
        <f>IF(OR($B19="",$A19&lt;74),"",--MID('Key Analysis'!$C15,74,1))</f>
        <v/>
      </c>
      <c r="HE19" s="29" t="str">
        <f>IF(OR($B19="",$A19&lt;75),"",--MID('Key Analysis'!$C15,75,1))</f>
        <v/>
      </c>
      <c r="HF19" s="29" t="str">
        <f>IF(OR($B19="",$A19&lt;76),"",--MID('Key Analysis'!$C15,76,1))</f>
        <v/>
      </c>
      <c r="HG19" s="29" t="str">
        <f>IF(OR($B19="",$A19&lt;77),"",--MID('Key Analysis'!$C15,77,1))</f>
        <v/>
      </c>
      <c r="HH19" s="29" t="str">
        <f>IF(OR($B19="",$A19&lt;78),"",--MID('Key Analysis'!$C15,78,1))</f>
        <v/>
      </c>
      <c r="HI19" s="29" t="str">
        <f>IF(OR($B19="",$A19&lt;79),"",--MID('Key Analysis'!$C15,79,1))</f>
        <v/>
      </c>
      <c r="HJ19" s="29" t="str">
        <f>IF(OR($B19="",$A19&lt;80),"",--MID('Key Analysis'!$C15,80,1))</f>
        <v/>
      </c>
      <c r="HK19" s="29" t="str">
        <f>IF(OR($B19="",$A19&lt;81),"",--MID('Key Analysis'!$C15,81,1))</f>
        <v/>
      </c>
      <c r="HL19" s="29" t="str">
        <f>IF(OR($B19="",$A19&lt;82),"",--MID('Key Analysis'!$C15,82,1))</f>
        <v/>
      </c>
      <c r="HM19" s="29" t="str">
        <f>IF(OR($B19="",$A19&lt;83),"",--MID('Key Analysis'!$C15,83,1))</f>
        <v/>
      </c>
      <c r="HN19" s="29" t="str">
        <f>IF(OR($B19="",$A19&lt;84),"",--MID('Key Analysis'!$C15,84,1))</f>
        <v/>
      </c>
      <c r="HO19" s="29" t="str">
        <f>IF(OR($B19="",$A19&lt;85),"",--MID('Key Analysis'!$C15,85,1))</f>
        <v/>
      </c>
      <c r="HP19" s="29" t="str">
        <f>IF(OR($B19="",$A19&lt;86),"",--MID('Key Analysis'!$C15,86,1))</f>
        <v/>
      </c>
      <c r="HQ19" s="29" t="str">
        <f>IF(OR($B19="",$A19&lt;87),"",--MID('Key Analysis'!$C15,87,1))</f>
        <v/>
      </c>
      <c r="HR19" s="29" t="str">
        <f>IF(OR($B19="",$A19&lt;88),"",--MID('Key Analysis'!$C15,88,1))</f>
        <v/>
      </c>
      <c r="HS19" s="29" t="str">
        <f>IF(OR($B19="",$A19&lt;89),"",--MID('Key Analysis'!$C15,89,1))</f>
        <v/>
      </c>
      <c r="HT19" s="29" t="str">
        <f>IF(OR($B19="",$A19&lt;90),"",--MID('Key Analysis'!$C15,90,1))</f>
        <v/>
      </c>
      <c r="HU19" s="29" t="str">
        <f>IF(OR($B19="",$A19&lt;91),"",--MID('Key Analysis'!$C15,91,1))</f>
        <v/>
      </c>
      <c r="HV19" s="29" t="str">
        <f>IF(OR($B19="",$A19&lt;92),"",--MID('Key Analysis'!$C15,92,1))</f>
        <v/>
      </c>
      <c r="HW19" s="29" t="str">
        <f>IF(OR($B19="",$A19&lt;93),"",--MID('Key Analysis'!$C15,93,1))</f>
        <v/>
      </c>
      <c r="HX19" s="29" t="str">
        <f>IF(OR($B19="",$A19&lt;94),"",--MID('Key Analysis'!$C15,94,1))</f>
        <v/>
      </c>
      <c r="HY19" s="29" t="str">
        <f>IF(OR($B19="",$A19&lt;95),"",--MID('Key Analysis'!$C15,95,1))</f>
        <v/>
      </c>
      <c r="HZ19" s="29" t="str">
        <f>IF(OR($B19="",$A19&lt;96),"",--MID('Key Analysis'!$C15,96,1))</f>
        <v/>
      </c>
      <c r="IA19" s="29" t="str">
        <f>IF(OR($B19="",$A19&lt;97),"",--MID('Key Analysis'!$C15,97,1))</f>
        <v/>
      </c>
      <c r="IB19" s="29" t="str">
        <f>IF(OR($B19="",$A19&lt;98),"",--MID('Key Analysis'!$C15,98,1))</f>
        <v/>
      </c>
      <c r="IC19" s="29" t="str">
        <f>IF(OR($B19="",$A19&lt;99),"",--MID('Key Analysis'!$C15,99,1))</f>
        <v/>
      </c>
      <c r="ID19" s="29" t="str">
        <f>IF(OR($B19="",$A19&lt;100),"",--MID('Key Analysis'!$C15,100,1))</f>
        <v/>
      </c>
      <c r="IE19" s="29" t="str">
        <f>IF(OR($B19="",$A19&lt;101),"",--MID('Key Analysis'!$C15,101,1))</f>
        <v/>
      </c>
      <c r="IF19" s="29" t="str">
        <f>IF(OR($B19="",$A19&lt;102),"",--MID('Key Analysis'!$C15,102,1))</f>
        <v/>
      </c>
      <c r="IG19" s="29" t="str">
        <f>IF(OR($B19="",$A19&lt;103),"",--MID('Key Analysis'!$C15,103,1))</f>
        <v/>
      </c>
      <c r="IH19" s="29" t="str">
        <f>IF(OR($B19="",$A19&lt;104),"",--MID('Key Analysis'!$C15,104,1))</f>
        <v/>
      </c>
      <c r="II19" s="29" t="str">
        <f>IF(OR($B19="",$A19&lt;105),"",--MID('Key Analysis'!$C15,105,1))</f>
        <v/>
      </c>
      <c r="IJ19" s="29" t="str">
        <f>IF(OR($B19="",$A19&lt;106),"",--MID('Key Analysis'!$C15,106,1))</f>
        <v/>
      </c>
      <c r="IK19" s="29" t="str">
        <f>IF(OR($B19="",$A19&lt;107),"",--MID('Key Analysis'!$C15,107,1))</f>
        <v/>
      </c>
      <c r="IL19" s="29" t="str">
        <f>IF(OR($B19="",$A19&lt;108),"",--MID('Key Analysis'!$C15,108,1))</f>
        <v/>
      </c>
      <c r="IM19" s="29" t="str">
        <f>IF(OR($B19="",$A19&lt;109),"",--MID('Key Analysis'!$C15,109,1))</f>
        <v/>
      </c>
      <c r="IN19" s="29" t="str">
        <f>IF(OR($B19="",$A19&lt;110),"",--MID('Key Analysis'!$C15,110,1))</f>
        <v/>
      </c>
      <c r="IO19" s="29" t="str">
        <f>IF(OR($B19="",$A19&lt;111),"",--MID('Key Analysis'!$C15,111,1))</f>
        <v/>
      </c>
      <c r="IP19" s="29" t="str">
        <f>IF(OR($B19="",$A19&lt;112),"",--MID('Key Analysis'!$C15,112,1))</f>
        <v/>
      </c>
      <c r="IQ19" s="29" t="str">
        <f>IF(OR($B19="",$A19&lt;113),"",--MID('Key Analysis'!$C15,113,1))</f>
        <v/>
      </c>
      <c r="IR19" s="29" t="str">
        <f>IF(OR($B19="",$A19&lt;114),"",--MID('Key Analysis'!$C15,114,1))</f>
        <v/>
      </c>
      <c r="IS19" s="29" t="str">
        <f>IF(OR($B19="",$A19&lt;115),"",--MID('Key Analysis'!$C15,115,1))</f>
        <v/>
      </c>
      <c r="IT19" s="29" t="str">
        <f>IF(OR($B19="",$A19&lt;116),"",--MID('Key Analysis'!$C15,116,1))</f>
        <v/>
      </c>
      <c r="IU19" s="29" t="str">
        <f>IF(OR($B19="",$A19&lt;117),"",--MID('Key Analysis'!$C15,117,1))</f>
        <v/>
      </c>
      <c r="IV19" s="29" t="str">
        <f>IF(OR($B19="",$A19&lt;118),"",--MID('Key Analysis'!$C15,118,1))</f>
        <v/>
      </c>
      <c r="IW19" s="29" t="str">
        <f>IF(OR($B19="",$A19&lt;119),"",--MID('Key Analysis'!$C15,119,1))</f>
        <v/>
      </c>
      <c r="IX19" s="29" t="str">
        <f>IF(OR($B19="",$A19&lt;120),"",--MID('Key Analysis'!$C15,120,1))</f>
        <v/>
      </c>
      <c r="IY19" s="29" t="str">
        <f>IF(OR($B19="",$A19&lt;121),"",--MID('Key Analysis'!$C15,121,1))</f>
        <v/>
      </c>
      <c r="IZ19" s="29" t="str">
        <f>IF(OR($B19="",$A19&lt;122),"",--MID('Key Analysis'!$C15,122,1))</f>
        <v/>
      </c>
      <c r="JA19" s="29" t="str">
        <f>IF(OR($B19="",$A19&lt;123),"",--MID('Key Analysis'!$C15,123,1))</f>
        <v/>
      </c>
      <c r="JB19" s="29" t="str">
        <f>IF(OR($B19="",$A19&lt;124),"",--MID('Key Analysis'!$C15,124,1))</f>
        <v/>
      </c>
      <c r="JC19" s="29" t="str">
        <f>IF(OR($B19="",$A19&lt;125),"",--MID('Key Analysis'!$C15,125,1))</f>
        <v/>
      </c>
      <c r="JD19" s="29" t="str">
        <f>IF(OR($B19="",$A19&lt;126),"",--MID('Key Analysis'!$C15,126,1))</f>
        <v/>
      </c>
      <c r="JE19" s="29" t="str">
        <f>IF(OR($B19="",$A19&lt;127),"",--MID('Key Analysis'!$C15,127,1))</f>
        <v/>
      </c>
      <c r="JF19" s="29" t="str">
        <f>IF(OR($B19="",$A19&lt;128),"",--MID('Key Analysis'!$C15,128,1))</f>
        <v/>
      </c>
      <c r="JG19" s="29" t="str">
        <f>IF(OR($B19="",$A19&lt;129),"",--MID('Key Analysis'!$C15,129,1))</f>
        <v/>
      </c>
      <c r="JH19" s="29" t="str">
        <f>IF(OR($B19="",$A19&lt;130),"",--MID('Key Analysis'!$C15,130,1))</f>
        <v/>
      </c>
      <c r="JI19" s="29" t="str">
        <f>IF(OR($B19="",$A19&lt;131),"",--MID('Key Analysis'!$C15,131,1))</f>
        <v/>
      </c>
      <c r="JJ19" s="29" t="str">
        <f>IF(OR($B19="",$A19&lt;132),"",--MID('Key Analysis'!$C15,132,1))</f>
        <v/>
      </c>
      <c r="JK19" s="29" t="str">
        <f>IF(OR($B19="",$A19&lt;133),"",--MID('Key Analysis'!$C15,133,1))</f>
        <v/>
      </c>
      <c r="JL19" s="29" t="str">
        <f>IF(OR($B19="",$A19&lt;134),"",--MID('Key Analysis'!$C15,134,1))</f>
        <v/>
      </c>
      <c r="JM19" s="29" t="str">
        <f>IF(OR($B19="",$A19&lt;135),"",--MID('Key Analysis'!$C15,135,1))</f>
        <v/>
      </c>
    </row>
    <row r="20" spans="1:273" x14ac:dyDescent="0.25">
      <c r="A20" s="21">
        <f>'Key Analysis'!A16</f>
        <v>15</v>
      </c>
      <c r="B20" s="30" t="str">
        <f>'Key Analysis'!B16</f>
        <v>68f3</v>
      </c>
      <c r="C20" s="29">
        <f>IF(OR($B20="",$A20&lt;=0),"",--MID('Key Analysis'!$C16,$A20-0,1))</f>
        <v>1</v>
      </c>
      <c r="D20" s="29">
        <f>IF(OR($B20="",$A20&lt;=1),"",--MID('Key Analysis'!$C16,$A20-1,1))</f>
        <v>1</v>
      </c>
      <c r="E20" s="29">
        <f>IF(OR($B20="",$A20&lt;=2),"",--MID('Key Analysis'!$C16,$A20-2,1))</f>
        <v>0</v>
      </c>
      <c r="F20" s="29">
        <f>IF(OR($B20="",$A20&lt;=3),"",--MID('Key Analysis'!$C16,$A20-3,1))</f>
        <v>0</v>
      </c>
      <c r="G20" s="29">
        <f>IF(OR($B20="",$A20&lt;=4),"",--MID('Key Analysis'!$C16,$A20-4,1))</f>
        <v>1</v>
      </c>
      <c r="H20" s="29">
        <f>IF(OR($B20="",$A20&lt;=5),"",--MID('Key Analysis'!$C16,$A20-5,1))</f>
        <v>1</v>
      </c>
      <c r="I20" s="29">
        <f>IF(OR($B20="",$A20&lt;=6),"",--MID('Key Analysis'!$C16,$A20-6,1))</f>
        <v>1</v>
      </c>
      <c r="J20" s="29">
        <f>IF(OR($B20="",$A20&lt;=7),"",--MID('Key Analysis'!$C16,$A20-7,1))</f>
        <v>1</v>
      </c>
      <c r="K20" s="29">
        <f>IF(OR($B20="",$A20&lt;=8),"",--MID('Key Analysis'!$C16,$A20-8,1))</f>
        <v>0</v>
      </c>
      <c r="L20" s="29">
        <f>IF(OR($B20="",$A20&lt;=9),"",--MID('Key Analysis'!$C16,$A20-9,1))</f>
        <v>0</v>
      </c>
      <c r="M20" s="29">
        <f>IF(OR($B20="",$A20&lt;=10),"",--MID('Key Analysis'!$C16,$A20-10,1))</f>
        <v>0</v>
      </c>
      <c r="N20" s="29">
        <f>IF(OR($B20="",$A20&lt;=11),"",--MID('Key Analysis'!$C16,$A20-11,1))</f>
        <v>1</v>
      </c>
      <c r="O20" s="29">
        <f>IF(OR($B20="",$A20&lt;=12),"",--MID('Key Analysis'!$C16,$A20-12,1))</f>
        <v>0</v>
      </c>
      <c r="P20" s="29">
        <f>IF(OR($B20="",$A20&lt;=13),"",--MID('Key Analysis'!$C16,$A20-13,1))</f>
        <v>1</v>
      </c>
      <c r="Q20" s="29">
        <f>IF(OR($B20="",$A20&lt;=14),"",--MID('Key Analysis'!$C16,$A20-14,1))</f>
        <v>1</v>
      </c>
      <c r="R20" s="29" t="str">
        <f>IF(OR($B20="",$A20&lt;=15),"",--MID('Key Analysis'!$C16,$A20-15,1))</f>
        <v/>
      </c>
      <c r="S20" s="29" t="str">
        <f>IF(OR($B20="",$A20&lt;=16),"",--MID('Key Analysis'!$C16,$A20-16,1))</f>
        <v/>
      </c>
      <c r="T20" s="29" t="str">
        <f>IF(OR($B20="",$A20&lt;=17),"",--MID('Key Analysis'!$C16,$A20-17,1))</f>
        <v/>
      </c>
      <c r="U20" s="29" t="str">
        <f>IF(OR($B20="",$A20&lt;=18),"",--MID('Key Analysis'!$C16,$A20-18,1))</f>
        <v/>
      </c>
      <c r="V20" s="29" t="str">
        <f>IF(OR($B20="",$A20&lt;=19),"",--MID('Key Analysis'!$C16,$A20-19,1))</f>
        <v/>
      </c>
      <c r="W20" s="29" t="str">
        <f>IF(OR($B20="",$A20&lt;=20),"",--MID('Key Analysis'!$C16,$A20-20,1))</f>
        <v/>
      </c>
      <c r="X20" s="29" t="str">
        <f>IF(OR($B20="",$A20&lt;=21),"",--MID('Key Analysis'!$C16,$A20-21,1))</f>
        <v/>
      </c>
      <c r="Y20" s="29" t="str">
        <f>IF(OR($B20="",$A20&lt;=22),"",--MID('Key Analysis'!$C16,$A20-22,1))</f>
        <v/>
      </c>
      <c r="Z20" s="29" t="str">
        <f>IF(OR($B20="",$A20&lt;=23),"",--MID('Key Analysis'!$C16,$A20-23,1))</f>
        <v/>
      </c>
      <c r="AA20" s="29" t="str">
        <f>IF(OR($B20="",$A20&lt;=24),"",--MID('Key Analysis'!$C16,$A20-24,1))</f>
        <v/>
      </c>
      <c r="AB20" s="29" t="str">
        <f>IF(OR($B20="",$A20&lt;=25),"",--MID('Key Analysis'!$C16,$A20-25,1))</f>
        <v/>
      </c>
      <c r="AC20" s="29" t="str">
        <f>IF(OR($B20="",$A20&lt;=26),"",--MID('Key Analysis'!$C16,$A20-26,1))</f>
        <v/>
      </c>
      <c r="AD20" s="29" t="str">
        <f>IF(OR($B20="",$A20&lt;=27),"",--MID('Key Analysis'!$C16,$A20-27,1))</f>
        <v/>
      </c>
      <c r="AE20" s="29" t="str">
        <f>IF(OR($B20="",$A20&lt;=28),"",--MID('Key Analysis'!$C16,$A20-28,1))</f>
        <v/>
      </c>
      <c r="AF20" s="29" t="str">
        <f>IF(OR($B20="",$A20&lt;=29),"",--MID('Key Analysis'!$C16,$A20-29,1))</f>
        <v/>
      </c>
      <c r="AG20" s="29" t="str">
        <f>IF(OR($B20="",$A20&lt;=30),"",--MID('Key Analysis'!$C16,$A20-30,1))</f>
        <v/>
      </c>
      <c r="AH20" s="29" t="str">
        <f>IF(OR($B20="",$A20&lt;=31),"",--MID('Key Analysis'!$C16,$A20-31,1))</f>
        <v/>
      </c>
      <c r="AI20" s="29" t="str">
        <f>IF(OR($B20="",$A20&lt;=32),"",--MID('Key Analysis'!$C16,$A20-32,1))</f>
        <v/>
      </c>
      <c r="AJ20" s="29" t="str">
        <f>IF(OR($B20="",$A20&lt;=33),"",--MID('Key Analysis'!$C16,$A20-33,1))</f>
        <v/>
      </c>
      <c r="AK20" s="29" t="str">
        <f>IF(OR($B20="",$A20&lt;=34),"",--MID('Key Analysis'!$C16,$A20-34,1))</f>
        <v/>
      </c>
      <c r="AL20" s="29" t="str">
        <f>IF(OR($B20="",$A20&lt;=35),"",--MID('Key Analysis'!$C16,$A20-35,1))</f>
        <v/>
      </c>
      <c r="AM20" s="29" t="str">
        <f>IF(OR($B20="",$A20&lt;=36),"",--MID('Key Analysis'!$C16,$A20-36,1))</f>
        <v/>
      </c>
      <c r="AN20" s="29" t="str">
        <f>IF(OR($B20="",$A20&lt;=37),"",--MID('Key Analysis'!$C16,$A20-37,1))</f>
        <v/>
      </c>
      <c r="AO20" s="29" t="str">
        <f>IF(OR($B20="",$A20&lt;=38),"",--MID('Key Analysis'!$C16,$A20-38,1))</f>
        <v/>
      </c>
      <c r="AP20" s="29" t="str">
        <f>IF(OR($B20="",$A20&lt;=39),"",--MID('Key Analysis'!$C16,$A20-39,1))</f>
        <v/>
      </c>
      <c r="AQ20" s="29" t="str">
        <f>IF(OR($B20="",$A20&lt;=40),"",--MID('Key Analysis'!$C16,$A20-40,1))</f>
        <v/>
      </c>
      <c r="AR20" s="29" t="str">
        <f>IF(OR($B20="",$A20&lt;=41),"",--MID('Key Analysis'!$C16,$A20-41,1))</f>
        <v/>
      </c>
      <c r="AS20" s="29" t="str">
        <f>IF(OR($B20="",$A20&lt;=42),"",--MID('Key Analysis'!$C16,$A20-42,1))</f>
        <v/>
      </c>
      <c r="AT20" s="29" t="str">
        <f>IF(OR($B20="",$A20&lt;=43),"",--MID('Key Analysis'!$C16,$A20-43,1))</f>
        <v/>
      </c>
      <c r="AU20" s="29" t="str">
        <f>IF(OR($B20="",$A20&lt;=44),"",--MID('Key Analysis'!$C16,$A20-44,1))</f>
        <v/>
      </c>
      <c r="AV20" s="29" t="str">
        <f>IF(OR($B20="",$A20&lt;=45),"",--MID('Key Analysis'!$C16,$A20-45,1))</f>
        <v/>
      </c>
      <c r="AW20" s="29" t="str">
        <f>IF(OR($B20="",$A20&lt;=46),"",--MID('Key Analysis'!$C16,$A20-46,1))</f>
        <v/>
      </c>
      <c r="AX20" s="29" t="str">
        <f>IF(OR($B20="",$A20&lt;=47),"",--MID('Key Analysis'!$C16,$A20-47,1))</f>
        <v/>
      </c>
      <c r="AY20" s="29" t="str">
        <f>IF(OR($B20="",$A20&lt;=48),"",--MID('Key Analysis'!$C16,$A20-48,1))</f>
        <v/>
      </c>
      <c r="AZ20" s="29" t="str">
        <f>IF(OR($B20="",$A20&lt;=49),"",--MID('Key Analysis'!$C16,$A20-49,1))</f>
        <v/>
      </c>
      <c r="BA20" s="29" t="str">
        <f>IF(OR($B20="",$A20&lt;=50),"",--MID('Key Analysis'!$C16,$A20-50,1))</f>
        <v/>
      </c>
      <c r="BB20" s="29" t="str">
        <f>IF(OR($B20="",$A20&lt;=51),"",--MID('Key Analysis'!$C16,$A20-51,1))</f>
        <v/>
      </c>
      <c r="BC20" s="29" t="str">
        <f>IF(OR($B20="",$A20&lt;=52),"",--MID('Key Analysis'!$C16,$A20-52,1))</f>
        <v/>
      </c>
      <c r="BD20" s="29" t="str">
        <f>IF(OR($B20="",$A20&lt;=53),"",--MID('Key Analysis'!$C16,$A20-53,1))</f>
        <v/>
      </c>
      <c r="BE20" s="29" t="str">
        <f>IF(OR($B20="",$A20&lt;=54),"",--MID('Key Analysis'!$C16,$A20-54,1))</f>
        <v/>
      </c>
      <c r="BF20" s="29" t="str">
        <f>IF(OR($B20="",$A20&lt;=55),"",--MID('Key Analysis'!$C16,$A20-55,1))</f>
        <v/>
      </c>
      <c r="BG20" s="29" t="str">
        <f>IF(OR($B20="",$A20&lt;=56),"",--MID('Key Analysis'!$C16,$A20-56,1))</f>
        <v/>
      </c>
      <c r="BH20" s="29" t="str">
        <f>IF(OR($B20="",$A20&lt;=57),"",--MID('Key Analysis'!$C16,$A20-57,1))</f>
        <v/>
      </c>
      <c r="BI20" s="29" t="str">
        <f>IF(OR($B20="",$A20&lt;=58),"",--MID('Key Analysis'!$C16,$A20-58,1))</f>
        <v/>
      </c>
      <c r="BJ20" s="29" t="str">
        <f>IF(OR($B20="",$A20&lt;=59),"",--MID('Key Analysis'!$C16,$A20-59,1))</f>
        <v/>
      </c>
      <c r="BK20" s="29" t="str">
        <f>IF(OR($B20="",$A20&lt;=60),"",--MID('Key Analysis'!$C16,$A20-60,1))</f>
        <v/>
      </c>
      <c r="BL20" s="29" t="str">
        <f>IF(OR($B20="",$A20&lt;=61),"",--MID('Key Analysis'!$C16,$A20-61,1))</f>
        <v/>
      </c>
      <c r="BM20" s="29" t="str">
        <f>IF(OR($B20="",$A20&lt;=62),"",--MID('Key Analysis'!$C16,$A20-62,1))</f>
        <v/>
      </c>
      <c r="BN20" s="29" t="str">
        <f>IF(OR($B20="",$A20&lt;=63),"",--MID('Key Analysis'!$C16,$A20-63,1))</f>
        <v/>
      </c>
      <c r="BO20" s="29" t="str">
        <f>IF(OR($B20="",$A20&lt;=64),"",--MID('Key Analysis'!$C16,$A20-64,1))</f>
        <v/>
      </c>
      <c r="BP20" s="29" t="str">
        <f>IF(OR($B20="",$A20&lt;=65),"",--MID('Key Analysis'!$C16,$A20-65,1))</f>
        <v/>
      </c>
      <c r="BQ20" s="29" t="str">
        <f>IF(OR($B20="",$A20&lt;=66),"",--MID('Key Analysis'!$C16,$A20-66,1))</f>
        <v/>
      </c>
      <c r="BR20" s="29" t="str">
        <f>IF(OR($B20="",$A20&lt;=67),"",--MID('Key Analysis'!$C16,$A20-67,1))</f>
        <v/>
      </c>
      <c r="BS20" s="29" t="str">
        <f>IF(OR($B20="",$A20&lt;=68),"",--MID('Key Analysis'!$C16,$A20-68,1))</f>
        <v/>
      </c>
      <c r="BT20" s="29" t="str">
        <f>IF(OR($B20="",$A20&lt;=69),"",--MID('Key Analysis'!$C16,$A20-69,1))</f>
        <v/>
      </c>
      <c r="BU20" s="29" t="str">
        <f>IF(OR($B20="",$A20&lt;=70),"",--MID('Key Analysis'!$C16,$A20-70,1))</f>
        <v/>
      </c>
      <c r="BV20" s="29" t="str">
        <f>IF(OR($B20="",$A20&lt;=71),"",--MID('Key Analysis'!$C16,$A20-71,1))</f>
        <v/>
      </c>
      <c r="BW20" s="29" t="str">
        <f>IF(OR($B20="",$A20&lt;=72),"",--MID('Key Analysis'!$C16,$A20-72,1))</f>
        <v/>
      </c>
      <c r="BX20" s="29" t="str">
        <f>IF(OR($B20="",$A20&lt;=73),"",--MID('Key Analysis'!$C16,$A20-73,1))</f>
        <v/>
      </c>
      <c r="BY20" s="29" t="str">
        <f>IF(OR($B20="",$A20&lt;=74),"",--MID('Key Analysis'!$C16,$A20-74,1))</f>
        <v/>
      </c>
      <c r="BZ20" s="29" t="str">
        <f>IF(OR($B20="",$A20&lt;=75),"",--MID('Key Analysis'!$C16,$A20-75,1))</f>
        <v/>
      </c>
      <c r="CA20" s="29" t="str">
        <f>IF(OR($B20="",$A20&lt;=76),"",--MID('Key Analysis'!$C16,$A20-76,1))</f>
        <v/>
      </c>
      <c r="CB20" s="29" t="str">
        <f>IF(OR($B20="",$A20&lt;=77),"",--MID('Key Analysis'!$C16,$A20-77,1))</f>
        <v/>
      </c>
      <c r="CC20" s="29" t="str">
        <f>IF(OR($B20="",$A20&lt;=78),"",--MID('Key Analysis'!$C16,$A20-78,1))</f>
        <v/>
      </c>
      <c r="CD20" s="29" t="str">
        <f>IF(OR($B20="",$A20&lt;=79),"",--MID('Key Analysis'!$C16,$A20-79,1))</f>
        <v/>
      </c>
      <c r="CE20" s="29" t="str">
        <f>IF(OR($B20="",$A20&lt;=80),"",--MID('Key Analysis'!$C16,$A20-80,1))</f>
        <v/>
      </c>
      <c r="CF20" s="29" t="str">
        <f>IF(OR($B20="",$A20&lt;=81),"",--MID('Key Analysis'!$C16,$A20-81,1))</f>
        <v/>
      </c>
      <c r="CG20" s="29" t="str">
        <f>IF(OR($B20="",$A20&lt;=82),"",--MID('Key Analysis'!$C16,$A20-82,1))</f>
        <v/>
      </c>
      <c r="CH20" s="29" t="str">
        <f>IF(OR($B20="",$A20&lt;=83),"",--MID('Key Analysis'!$C16,$A20-83,1))</f>
        <v/>
      </c>
      <c r="CI20" s="29" t="str">
        <f>IF(OR($B20="",$A20&lt;=84),"",--MID('Key Analysis'!$C16,$A20-84,1))</f>
        <v/>
      </c>
      <c r="CJ20" s="29" t="str">
        <f>IF(OR($B20="",$A20&lt;=85),"",--MID('Key Analysis'!$C16,$A20-85,1))</f>
        <v/>
      </c>
      <c r="CK20" s="29" t="str">
        <f>IF(OR($B20="",$A20&lt;=86),"",--MID('Key Analysis'!$C16,$A20-86,1))</f>
        <v/>
      </c>
      <c r="CL20" s="29" t="str">
        <f>IF(OR($B20="",$A20&lt;=87),"",--MID('Key Analysis'!$C16,$A20-87,1))</f>
        <v/>
      </c>
      <c r="CM20" s="29" t="str">
        <f>IF(OR($B20="",$A20&lt;=88),"",--MID('Key Analysis'!$C16,$A20-88,1))</f>
        <v/>
      </c>
      <c r="CN20" s="29" t="str">
        <f>IF(OR($B20="",$A20&lt;=89),"",--MID('Key Analysis'!$C16,$A20-89,1))</f>
        <v/>
      </c>
      <c r="CO20" s="29" t="str">
        <f>IF(OR($B20="",$A20&lt;=90),"",--MID('Key Analysis'!$C16,$A20-90,1))</f>
        <v/>
      </c>
      <c r="CP20" s="29" t="str">
        <f>IF(OR($B20="",$A20&lt;=91),"",--MID('Key Analysis'!$C16,$A20-91,1))</f>
        <v/>
      </c>
      <c r="CQ20" s="29" t="str">
        <f>IF(OR($B20="",$A20&lt;=92),"",--MID('Key Analysis'!$C16,$A20-92,1))</f>
        <v/>
      </c>
      <c r="CR20" s="29" t="str">
        <f>IF(OR($B20="",$A20&lt;=93),"",--MID('Key Analysis'!$C16,$A20-93,1))</f>
        <v/>
      </c>
      <c r="CS20" s="29" t="str">
        <f>IF(OR($B20="",$A20&lt;=94),"",--MID('Key Analysis'!$C16,$A20-94,1))</f>
        <v/>
      </c>
      <c r="CT20" s="29" t="str">
        <f>IF(OR($B20="",$A20&lt;=95),"",--MID('Key Analysis'!$C16,$A20-95,1))</f>
        <v/>
      </c>
      <c r="CU20" s="29" t="str">
        <f>IF(OR($B20="",$A20&lt;=96),"",--MID('Key Analysis'!$C16,$A20-96,1))</f>
        <v/>
      </c>
      <c r="CV20" s="29" t="str">
        <f>IF(OR($B20="",$A20&lt;=97),"",--MID('Key Analysis'!$C16,$A20-97,1))</f>
        <v/>
      </c>
      <c r="CW20" s="29" t="str">
        <f>IF(OR($B20="",$A20&lt;=98),"",--MID('Key Analysis'!$C16,$A20-98,1))</f>
        <v/>
      </c>
      <c r="CX20" s="29" t="str">
        <f>IF(OR($B20="",$A20&lt;=99),"",--MID('Key Analysis'!$C16,$A20-99,1))</f>
        <v/>
      </c>
      <c r="CY20" s="29" t="str">
        <f>IF(OR($B20="",$A20&lt;=100),"",--MID('Key Analysis'!$C16,$A20-100,1))</f>
        <v/>
      </c>
      <c r="CZ20" s="29" t="str">
        <f>IF(OR($B20="",$A20&lt;=101),"",--MID('Key Analysis'!$C16,$A20-101,1))</f>
        <v/>
      </c>
      <c r="DA20" s="29" t="str">
        <f>IF(OR($B20="",$A20&lt;=102),"",--MID('Key Analysis'!$C16,$A20-102,1))</f>
        <v/>
      </c>
      <c r="DB20" s="29" t="str">
        <f>IF(OR($B20="",$A20&lt;=103),"",--MID('Key Analysis'!$C16,$A20-103,1))</f>
        <v/>
      </c>
      <c r="DC20" s="29" t="str">
        <f>IF(OR($B20="",$A20&lt;=104),"",--MID('Key Analysis'!$C16,$A20-104,1))</f>
        <v/>
      </c>
      <c r="DD20" s="29" t="str">
        <f>IF(OR($B20="",$A20&lt;=105),"",--MID('Key Analysis'!$C16,$A20-105,1))</f>
        <v/>
      </c>
      <c r="DE20" s="29" t="str">
        <f>IF(OR($B20="",$A20&lt;=106),"",--MID('Key Analysis'!$C16,$A20-106,1))</f>
        <v/>
      </c>
      <c r="DF20" s="29" t="str">
        <f>IF(OR($B20="",$A20&lt;=107),"",--MID('Key Analysis'!$C16,$A20-107,1))</f>
        <v/>
      </c>
      <c r="DG20" s="29" t="str">
        <f>IF(OR($B20="",$A20&lt;=108),"",--MID('Key Analysis'!$C16,$A20-108,1))</f>
        <v/>
      </c>
      <c r="DH20" s="29" t="str">
        <f>IF(OR($B20="",$A20&lt;=109),"",--MID('Key Analysis'!$C16,$A20-109,1))</f>
        <v/>
      </c>
      <c r="DI20" s="29" t="str">
        <f>IF(OR($B20="",$A20&lt;=110),"",--MID('Key Analysis'!$C16,$A20-110,1))</f>
        <v/>
      </c>
      <c r="DJ20" s="29" t="str">
        <f>IF(OR($B20="",$A20&lt;=111),"",--MID('Key Analysis'!$C16,$A20-111,1))</f>
        <v/>
      </c>
      <c r="DK20" s="29" t="str">
        <f>IF(OR($B20="",$A20&lt;=112),"",--MID('Key Analysis'!$C16,$A20-112,1))</f>
        <v/>
      </c>
      <c r="DL20" s="29" t="str">
        <f>IF(OR($B20="",$A20&lt;=113),"",--MID('Key Analysis'!$C16,$A20-113,1))</f>
        <v/>
      </c>
      <c r="DM20" s="29" t="str">
        <f>IF(OR($B20="",$A20&lt;=114),"",--MID('Key Analysis'!$C16,$A20-114,1))</f>
        <v/>
      </c>
      <c r="DN20" s="29" t="str">
        <f>IF(OR($B20="",$A20&lt;=115),"",--MID('Key Analysis'!$C16,$A20-115,1))</f>
        <v/>
      </c>
      <c r="DO20" s="29" t="str">
        <f>IF(OR($B20="",$A20&lt;=116),"",--MID('Key Analysis'!$C16,$A20-116,1))</f>
        <v/>
      </c>
      <c r="DP20" s="29" t="str">
        <f>IF(OR($B20="",$A20&lt;=117),"",--MID('Key Analysis'!$C16,$A20-117,1))</f>
        <v/>
      </c>
      <c r="DQ20" s="29" t="str">
        <f>IF(OR($B20="",$A20&lt;=118),"",--MID('Key Analysis'!$C16,$A20-118,1))</f>
        <v/>
      </c>
      <c r="DR20" s="29" t="str">
        <f>IF(OR($B20="",$A20&lt;=119),"",--MID('Key Analysis'!$C16,$A20-119,1))</f>
        <v/>
      </c>
      <c r="DS20" s="29" t="str">
        <f>IF(OR($B20="",$A20&lt;=120),"",--MID('Key Analysis'!$C16,$A20-120,1))</f>
        <v/>
      </c>
      <c r="DT20" s="29" t="str">
        <f>IF(OR($B20="",$A20&lt;=121),"",--MID('Key Analysis'!$C16,$A20-121,1))</f>
        <v/>
      </c>
      <c r="DU20" s="29" t="str">
        <f>IF(OR($B20="",$A20&lt;=122),"",--MID('Key Analysis'!$C16,$A20-122,1))</f>
        <v/>
      </c>
      <c r="DV20" s="29" t="str">
        <f>IF(OR($B20="",$A20&lt;=123),"",--MID('Key Analysis'!$C16,$A20-123,1))</f>
        <v/>
      </c>
      <c r="DW20" s="29" t="str">
        <f>IF(OR($B20="",$A20&lt;=124),"",--MID('Key Analysis'!$C16,$A20-124,1))</f>
        <v/>
      </c>
      <c r="DX20" s="29" t="str">
        <f>IF(OR($B20="",$A20&lt;=125),"",--MID('Key Analysis'!$C16,$A20-125,1))</f>
        <v/>
      </c>
      <c r="DY20" s="29" t="str">
        <f>IF(OR($B20="",$A20&lt;=126),"",--MID('Key Analysis'!$C16,$A20-126,1))</f>
        <v/>
      </c>
      <c r="DZ20" s="29" t="str">
        <f>IF(OR($B20="",$A20&lt;=127),"",--MID('Key Analysis'!$C16,$A20-127,1))</f>
        <v/>
      </c>
      <c r="EA20" s="29" t="str">
        <f>IF(OR($B20="",$A20&lt;=128),"",--MID('Key Analysis'!$C16,$A20-128,1))</f>
        <v/>
      </c>
      <c r="EB20" s="29" t="str">
        <f>IF(OR($B20="",$A20&lt;=129),"",--MID('Key Analysis'!$C16,$A20-129,1))</f>
        <v/>
      </c>
      <c r="EC20" s="29" t="str">
        <f>IF(OR($B20="",$A20&lt;=130),"",--MID('Key Analysis'!$C16,$A20-130,1))</f>
        <v/>
      </c>
      <c r="ED20" s="29" t="str">
        <f>IF(OR($B20="",$A20&lt;=131),"",--MID('Key Analysis'!$C16,$A20-131,1))</f>
        <v/>
      </c>
      <c r="EE20" s="29" t="str">
        <f>IF(OR($B20="",$A20&lt;=132),"",--MID('Key Analysis'!$C16,$A20-132,1))</f>
        <v/>
      </c>
      <c r="EF20" s="29" t="str">
        <f>IF(OR($B20="",$A20&lt;=133),"",--MID('Key Analysis'!$C16,$A20-133,1))</f>
        <v/>
      </c>
      <c r="EG20" s="29" t="str">
        <f>IF(OR($B20="",$A20&lt;=134),"",--MID('Key Analysis'!$C16,$A20-134,1))</f>
        <v/>
      </c>
      <c r="EH20" s="29"/>
      <c r="EI20" s="29">
        <f>IF(OR($B20="",$A20&lt;1),"",--MID('Key Analysis'!$C16,1,1))</f>
        <v>1</v>
      </c>
      <c r="EJ20" s="29">
        <f>IF(OR($B20="",$A20&lt;2),"",--MID('Key Analysis'!$C16,2,1))</f>
        <v>1</v>
      </c>
      <c r="EK20" s="29">
        <f>IF(OR($B20="",$A20&lt;3),"",--MID('Key Analysis'!$C16,3,1))</f>
        <v>0</v>
      </c>
      <c r="EL20" s="29">
        <f>IF(OR($B20="",$A20&lt;4),"",--MID('Key Analysis'!$C16,4,1))</f>
        <v>1</v>
      </c>
      <c r="EM20" s="29">
        <f>IF(OR($B20="",$A20&lt;5),"",--MID('Key Analysis'!$C16,5,1))</f>
        <v>0</v>
      </c>
      <c r="EN20" s="29">
        <f>IF(OR($B20="",$A20&lt;6),"",--MID('Key Analysis'!$C16,6,1))</f>
        <v>0</v>
      </c>
      <c r="EO20" s="29">
        <f>IF(OR($B20="",$A20&lt;7),"",--MID('Key Analysis'!$C16,7,1))</f>
        <v>0</v>
      </c>
      <c r="EP20" s="29">
        <f>IF(OR($B20="",$A20&lt;8),"",--MID('Key Analysis'!$C16,8,1))</f>
        <v>1</v>
      </c>
      <c r="EQ20" s="29">
        <f>IF(OR($B20="",$A20&lt;9),"",--MID('Key Analysis'!$C16,9,1))</f>
        <v>1</v>
      </c>
      <c r="ER20" s="29">
        <f>IF(OR($B20="",$A20&lt;10),"",--MID('Key Analysis'!$C16,10,1))</f>
        <v>1</v>
      </c>
      <c r="ES20" s="29">
        <f>IF(OR($B20="",$A20&lt;11),"",--MID('Key Analysis'!$C16,11,1))</f>
        <v>1</v>
      </c>
      <c r="ET20" s="29">
        <f>IF(OR($B20="",$A20&lt;12),"",--MID('Key Analysis'!$C16,12,1))</f>
        <v>0</v>
      </c>
      <c r="EU20" s="29">
        <f>IF(OR($B20="",$A20&lt;13),"",--MID('Key Analysis'!$C16,13,1))</f>
        <v>0</v>
      </c>
      <c r="EV20" s="29">
        <f>IF(OR($B20="",$A20&lt;14),"",--MID('Key Analysis'!$C16,14,1))</f>
        <v>1</v>
      </c>
      <c r="EW20" s="29">
        <f>IF(OR($B20="",$A20&lt;15),"",--MID('Key Analysis'!$C16,15,1))</f>
        <v>1</v>
      </c>
      <c r="EX20" s="29" t="str">
        <f>IF(OR($B20="",$A20&lt;16),"",--MID('Key Analysis'!$C16,16,1))</f>
        <v/>
      </c>
      <c r="EY20" s="29" t="str">
        <f>IF(OR($B20="",$A20&lt;17),"",--MID('Key Analysis'!$C16,17,1))</f>
        <v/>
      </c>
      <c r="EZ20" s="29" t="str">
        <f>IF(OR($B20="",$A20&lt;18),"",--MID('Key Analysis'!$C16,18,1))</f>
        <v/>
      </c>
      <c r="FA20" s="29" t="str">
        <f>IF(OR($B20="",$A20&lt;19),"",--MID('Key Analysis'!$C16,19,1))</f>
        <v/>
      </c>
      <c r="FB20" s="29" t="str">
        <f>IF(OR($B20="",$A20&lt;20),"",--MID('Key Analysis'!$C16,20,1))</f>
        <v/>
      </c>
      <c r="FC20" s="29" t="str">
        <f>IF(OR($B20="",$A20&lt;21),"",--MID('Key Analysis'!$C16,21,1))</f>
        <v/>
      </c>
      <c r="FD20" s="29" t="str">
        <f>IF(OR($B20="",$A20&lt;22),"",--MID('Key Analysis'!$C16,22,1))</f>
        <v/>
      </c>
      <c r="FE20" s="29" t="str">
        <f>IF(OR($B20="",$A20&lt;23),"",--MID('Key Analysis'!$C16,23,1))</f>
        <v/>
      </c>
      <c r="FF20" s="29" t="str">
        <f>IF(OR($B20="",$A20&lt;24),"",--MID('Key Analysis'!$C16,24,1))</f>
        <v/>
      </c>
      <c r="FG20" s="29" t="str">
        <f>IF(OR($B20="",$A20&lt;25),"",--MID('Key Analysis'!$C16,25,1))</f>
        <v/>
      </c>
      <c r="FH20" s="29" t="str">
        <f>IF(OR($B20="",$A20&lt;26),"",--MID('Key Analysis'!$C16,26,1))</f>
        <v/>
      </c>
      <c r="FI20" s="29" t="str">
        <f>IF(OR($B20="",$A20&lt;27),"",--MID('Key Analysis'!$C16,27,1))</f>
        <v/>
      </c>
      <c r="FJ20" s="29" t="str">
        <f>IF(OR($B20="",$A20&lt;28),"",--MID('Key Analysis'!$C16,28,1))</f>
        <v/>
      </c>
      <c r="FK20" s="29" t="str">
        <f>IF(OR($B20="",$A20&lt;29),"",--MID('Key Analysis'!$C16,29,1))</f>
        <v/>
      </c>
      <c r="FL20" s="29" t="str">
        <f>IF(OR($B20="",$A20&lt;30),"",--MID('Key Analysis'!$C16,30,1))</f>
        <v/>
      </c>
      <c r="FM20" s="29" t="str">
        <f>IF(OR($B20="",$A20&lt;31),"",--MID('Key Analysis'!$C16,31,1))</f>
        <v/>
      </c>
      <c r="FN20" s="29" t="str">
        <f>IF(OR($B20="",$A20&lt;32),"",--MID('Key Analysis'!$C16,32,1))</f>
        <v/>
      </c>
      <c r="FO20" s="29" t="str">
        <f>IF(OR($B20="",$A20&lt;33),"",--MID('Key Analysis'!$C16,33,1))</f>
        <v/>
      </c>
      <c r="FP20" s="29" t="str">
        <f>IF(OR($B20="",$A20&lt;34),"",--MID('Key Analysis'!$C16,34,1))</f>
        <v/>
      </c>
      <c r="FQ20" s="29" t="str">
        <f>IF(OR($B20="",$A20&lt;35),"",--MID('Key Analysis'!$C16,35,1))</f>
        <v/>
      </c>
      <c r="FR20" s="29" t="str">
        <f>IF(OR($B20="",$A20&lt;36),"",--MID('Key Analysis'!$C16,36,1))</f>
        <v/>
      </c>
      <c r="FS20" s="29" t="str">
        <f>IF(OR($B20="",$A20&lt;37),"",--MID('Key Analysis'!$C16,37,1))</f>
        <v/>
      </c>
      <c r="FT20" s="29" t="str">
        <f>IF(OR($B20="",$A20&lt;38),"",--MID('Key Analysis'!$C16,38,1))</f>
        <v/>
      </c>
      <c r="FU20" s="29" t="str">
        <f>IF(OR($B20="",$A20&lt;39),"",--MID('Key Analysis'!$C16,39,1))</f>
        <v/>
      </c>
      <c r="FV20" s="29" t="str">
        <f>IF(OR($B20="",$A20&lt;40),"",--MID('Key Analysis'!$C16,40,1))</f>
        <v/>
      </c>
      <c r="FW20" s="29" t="str">
        <f>IF(OR($B20="",$A20&lt;41),"",--MID('Key Analysis'!$C16,41,1))</f>
        <v/>
      </c>
      <c r="FX20" s="29" t="str">
        <f>IF(OR($B20="",$A20&lt;42),"",--MID('Key Analysis'!$C16,42,1))</f>
        <v/>
      </c>
      <c r="FY20" s="29" t="str">
        <f>IF(OR($B20="",$A20&lt;43),"",--MID('Key Analysis'!$C16,43,1))</f>
        <v/>
      </c>
      <c r="FZ20" s="29" t="str">
        <f>IF(OR($B20="",$A20&lt;44),"",--MID('Key Analysis'!$C16,44,1))</f>
        <v/>
      </c>
      <c r="GA20" s="29" t="str">
        <f>IF(OR($B20="",$A20&lt;45),"",--MID('Key Analysis'!$C16,45,1))</f>
        <v/>
      </c>
      <c r="GB20" s="29" t="str">
        <f>IF(OR($B20="",$A20&lt;46),"",--MID('Key Analysis'!$C16,46,1))</f>
        <v/>
      </c>
      <c r="GC20" s="29" t="str">
        <f>IF(OR($B20="",$A20&lt;47),"",--MID('Key Analysis'!$C16,47,1))</f>
        <v/>
      </c>
      <c r="GD20" s="29" t="str">
        <f>IF(OR($B20="",$A20&lt;48),"",--MID('Key Analysis'!$C16,48,1))</f>
        <v/>
      </c>
      <c r="GE20" s="29" t="str">
        <f>IF(OR($B20="",$A20&lt;49),"",--MID('Key Analysis'!$C16,49,1))</f>
        <v/>
      </c>
      <c r="GF20" s="29" t="str">
        <f>IF(OR($B20="",$A20&lt;50),"",--MID('Key Analysis'!$C16,50,1))</f>
        <v/>
      </c>
      <c r="GG20" s="29" t="str">
        <f>IF(OR($B20="",$A20&lt;51),"",--MID('Key Analysis'!$C16,51,1))</f>
        <v/>
      </c>
      <c r="GH20" s="29" t="str">
        <f>IF(OR($B20="",$A20&lt;52),"",--MID('Key Analysis'!$C16,52,1))</f>
        <v/>
      </c>
      <c r="GI20" s="29" t="str">
        <f>IF(OR($B20="",$A20&lt;53),"",--MID('Key Analysis'!$C16,53,1))</f>
        <v/>
      </c>
      <c r="GJ20" s="29" t="str">
        <f>IF(OR($B20="",$A20&lt;54),"",--MID('Key Analysis'!$C16,54,1))</f>
        <v/>
      </c>
      <c r="GK20" s="29" t="str">
        <f>IF(OR($B20="",$A20&lt;55),"",--MID('Key Analysis'!$C16,55,1))</f>
        <v/>
      </c>
      <c r="GL20" s="29" t="str">
        <f>IF(OR($B20="",$A20&lt;56),"",--MID('Key Analysis'!$C16,56,1))</f>
        <v/>
      </c>
      <c r="GM20" s="29" t="str">
        <f>IF(OR($B20="",$A20&lt;57),"",--MID('Key Analysis'!$C16,57,1))</f>
        <v/>
      </c>
      <c r="GN20" s="29" t="str">
        <f>IF(OR($B20="",$A20&lt;58),"",--MID('Key Analysis'!$C16,58,1))</f>
        <v/>
      </c>
      <c r="GO20" s="29" t="str">
        <f>IF(OR($B20="",$A20&lt;59),"",--MID('Key Analysis'!$C16,59,1))</f>
        <v/>
      </c>
      <c r="GP20" s="29" t="str">
        <f>IF(OR($B20="",$A20&lt;60),"",--MID('Key Analysis'!$C16,60,1))</f>
        <v/>
      </c>
      <c r="GQ20" s="29" t="str">
        <f>IF(OR($B20="",$A20&lt;61),"",--MID('Key Analysis'!$C16,61,1))</f>
        <v/>
      </c>
      <c r="GR20" s="29" t="str">
        <f>IF(OR($B20="",$A20&lt;62),"",--MID('Key Analysis'!$C16,62,1))</f>
        <v/>
      </c>
      <c r="GS20" s="29" t="str">
        <f>IF(OR($B20="",$A20&lt;63),"",--MID('Key Analysis'!$C16,63,1))</f>
        <v/>
      </c>
      <c r="GT20" s="29" t="str">
        <f>IF(OR($B20="",$A20&lt;64),"",--MID('Key Analysis'!$C16,64,1))</f>
        <v/>
      </c>
      <c r="GU20" s="29" t="str">
        <f>IF(OR($B20="",$A20&lt;65),"",--MID('Key Analysis'!$C16,65,1))</f>
        <v/>
      </c>
      <c r="GV20" s="29" t="str">
        <f>IF(OR($B20="",$A20&lt;66),"",--MID('Key Analysis'!$C16,66,1))</f>
        <v/>
      </c>
      <c r="GW20" s="29" t="str">
        <f>IF(OR($B20="",$A20&lt;67),"",--MID('Key Analysis'!$C16,67,1))</f>
        <v/>
      </c>
      <c r="GX20" s="29" t="str">
        <f>IF(OR($B20="",$A20&lt;68),"",--MID('Key Analysis'!$C16,68,1))</f>
        <v/>
      </c>
      <c r="GY20" s="29" t="str">
        <f>IF(OR($B20="",$A20&lt;69),"",--MID('Key Analysis'!$C16,69,1))</f>
        <v/>
      </c>
      <c r="GZ20" s="29" t="str">
        <f>IF(OR($B20="",$A20&lt;70),"",--MID('Key Analysis'!$C16,70,1))</f>
        <v/>
      </c>
      <c r="HA20" s="29" t="str">
        <f>IF(OR($B20="",$A20&lt;71),"",--MID('Key Analysis'!$C16,71,1))</f>
        <v/>
      </c>
      <c r="HB20" s="29" t="str">
        <f>IF(OR($B20="",$A20&lt;72),"",--MID('Key Analysis'!$C16,72,1))</f>
        <v/>
      </c>
      <c r="HC20" s="29" t="str">
        <f>IF(OR($B20="",$A20&lt;73),"",--MID('Key Analysis'!$C16,73,1))</f>
        <v/>
      </c>
      <c r="HD20" s="29" t="str">
        <f>IF(OR($B20="",$A20&lt;74),"",--MID('Key Analysis'!$C16,74,1))</f>
        <v/>
      </c>
      <c r="HE20" s="29" t="str">
        <f>IF(OR($B20="",$A20&lt;75),"",--MID('Key Analysis'!$C16,75,1))</f>
        <v/>
      </c>
      <c r="HF20" s="29" t="str">
        <f>IF(OR($B20="",$A20&lt;76),"",--MID('Key Analysis'!$C16,76,1))</f>
        <v/>
      </c>
      <c r="HG20" s="29" t="str">
        <f>IF(OR($B20="",$A20&lt;77),"",--MID('Key Analysis'!$C16,77,1))</f>
        <v/>
      </c>
      <c r="HH20" s="29" t="str">
        <f>IF(OR($B20="",$A20&lt;78),"",--MID('Key Analysis'!$C16,78,1))</f>
        <v/>
      </c>
      <c r="HI20" s="29" t="str">
        <f>IF(OR($B20="",$A20&lt;79),"",--MID('Key Analysis'!$C16,79,1))</f>
        <v/>
      </c>
      <c r="HJ20" s="29" t="str">
        <f>IF(OR($B20="",$A20&lt;80),"",--MID('Key Analysis'!$C16,80,1))</f>
        <v/>
      </c>
      <c r="HK20" s="29" t="str">
        <f>IF(OR($B20="",$A20&lt;81),"",--MID('Key Analysis'!$C16,81,1))</f>
        <v/>
      </c>
      <c r="HL20" s="29" t="str">
        <f>IF(OR($B20="",$A20&lt;82),"",--MID('Key Analysis'!$C16,82,1))</f>
        <v/>
      </c>
      <c r="HM20" s="29" t="str">
        <f>IF(OR($B20="",$A20&lt;83),"",--MID('Key Analysis'!$C16,83,1))</f>
        <v/>
      </c>
      <c r="HN20" s="29" t="str">
        <f>IF(OR($B20="",$A20&lt;84),"",--MID('Key Analysis'!$C16,84,1))</f>
        <v/>
      </c>
      <c r="HO20" s="29" t="str">
        <f>IF(OR($B20="",$A20&lt;85),"",--MID('Key Analysis'!$C16,85,1))</f>
        <v/>
      </c>
      <c r="HP20" s="29" t="str">
        <f>IF(OR($B20="",$A20&lt;86),"",--MID('Key Analysis'!$C16,86,1))</f>
        <v/>
      </c>
      <c r="HQ20" s="29" t="str">
        <f>IF(OR($B20="",$A20&lt;87),"",--MID('Key Analysis'!$C16,87,1))</f>
        <v/>
      </c>
      <c r="HR20" s="29" t="str">
        <f>IF(OR($B20="",$A20&lt;88),"",--MID('Key Analysis'!$C16,88,1))</f>
        <v/>
      </c>
      <c r="HS20" s="29" t="str">
        <f>IF(OR($B20="",$A20&lt;89),"",--MID('Key Analysis'!$C16,89,1))</f>
        <v/>
      </c>
      <c r="HT20" s="29" t="str">
        <f>IF(OR($B20="",$A20&lt;90),"",--MID('Key Analysis'!$C16,90,1))</f>
        <v/>
      </c>
      <c r="HU20" s="29" t="str">
        <f>IF(OR($B20="",$A20&lt;91),"",--MID('Key Analysis'!$C16,91,1))</f>
        <v/>
      </c>
      <c r="HV20" s="29" t="str">
        <f>IF(OR($B20="",$A20&lt;92),"",--MID('Key Analysis'!$C16,92,1))</f>
        <v/>
      </c>
      <c r="HW20" s="29" t="str">
        <f>IF(OR($B20="",$A20&lt;93),"",--MID('Key Analysis'!$C16,93,1))</f>
        <v/>
      </c>
      <c r="HX20" s="29" t="str">
        <f>IF(OR($B20="",$A20&lt;94),"",--MID('Key Analysis'!$C16,94,1))</f>
        <v/>
      </c>
      <c r="HY20" s="29" t="str">
        <f>IF(OR($B20="",$A20&lt;95),"",--MID('Key Analysis'!$C16,95,1))</f>
        <v/>
      </c>
      <c r="HZ20" s="29" t="str">
        <f>IF(OR($B20="",$A20&lt;96),"",--MID('Key Analysis'!$C16,96,1))</f>
        <v/>
      </c>
      <c r="IA20" s="29" t="str">
        <f>IF(OR($B20="",$A20&lt;97),"",--MID('Key Analysis'!$C16,97,1))</f>
        <v/>
      </c>
      <c r="IB20" s="29" t="str">
        <f>IF(OR($B20="",$A20&lt;98),"",--MID('Key Analysis'!$C16,98,1))</f>
        <v/>
      </c>
      <c r="IC20" s="29" t="str">
        <f>IF(OR($B20="",$A20&lt;99),"",--MID('Key Analysis'!$C16,99,1))</f>
        <v/>
      </c>
      <c r="ID20" s="29" t="str">
        <f>IF(OR($B20="",$A20&lt;100),"",--MID('Key Analysis'!$C16,100,1))</f>
        <v/>
      </c>
      <c r="IE20" s="29" t="str">
        <f>IF(OR($B20="",$A20&lt;101),"",--MID('Key Analysis'!$C16,101,1))</f>
        <v/>
      </c>
      <c r="IF20" s="29" t="str">
        <f>IF(OR($B20="",$A20&lt;102),"",--MID('Key Analysis'!$C16,102,1))</f>
        <v/>
      </c>
      <c r="IG20" s="29" t="str">
        <f>IF(OR($B20="",$A20&lt;103),"",--MID('Key Analysis'!$C16,103,1))</f>
        <v/>
      </c>
      <c r="IH20" s="29" t="str">
        <f>IF(OR($B20="",$A20&lt;104),"",--MID('Key Analysis'!$C16,104,1))</f>
        <v/>
      </c>
      <c r="II20" s="29" t="str">
        <f>IF(OR($B20="",$A20&lt;105),"",--MID('Key Analysis'!$C16,105,1))</f>
        <v/>
      </c>
      <c r="IJ20" s="29" t="str">
        <f>IF(OR($B20="",$A20&lt;106),"",--MID('Key Analysis'!$C16,106,1))</f>
        <v/>
      </c>
      <c r="IK20" s="29" t="str">
        <f>IF(OR($B20="",$A20&lt;107),"",--MID('Key Analysis'!$C16,107,1))</f>
        <v/>
      </c>
      <c r="IL20" s="29" t="str">
        <f>IF(OR($B20="",$A20&lt;108),"",--MID('Key Analysis'!$C16,108,1))</f>
        <v/>
      </c>
      <c r="IM20" s="29" t="str">
        <f>IF(OR($B20="",$A20&lt;109),"",--MID('Key Analysis'!$C16,109,1))</f>
        <v/>
      </c>
      <c r="IN20" s="29" t="str">
        <f>IF(OR($B20="",$A20&lt;110),"",--MID('Key Analysis'!$C16,110,1))</f>
        <v/>
      </c>
      <c r="IO20" s="29" t="str">
        <f>IF(OR($B20="",$A20&lt;111),"",--MID('Key Analysis'!$C16,111,1))</f>
        <v/>
      </c>
      <c r="IP20" s="29" t="str">
        <f>IF(OR($B20="",$A20&lt;112),"",--MID('Key Analysis'!$C16,112,1))</f>
        <v/>
      </c>
      <c r="IQ20" s="29" t="str">
        <f>IF(OR($B20="",$A20&lt;113),"",--MID('Key Analysis'!$C16,113,1))</f>
        <v/>
      </c>
      <c r="IR20" s="29" t="str">
        <f>IF(OR($B20="",$A20&lt;114),"",--MID('Key Analysis'!$C16,114,1))</f>
        <v/>
      </c>
      <c r="IS20" s="29" t="str">
        <f>IF(OR($B20="",$A20&lt;115),"",--MID('Key Analysis'!$C16,115,1))</f>
        <v/>
      </c>
      <c r="IT20" s="29" t="str">
        <f>IF(OR($B20="",$A20&lt;116),"",--MID('Key Analysis'!$C16,116,1))</f>
        <v/>
      </c>
      <c r="IU20" s="29" t="str">
        <f>IF(OR($B20="",$A20&lt;117),"",--MID('Key Analysis'!$C16,117,1))</f>
        <v/>
      </c>
      <c r="IV20" s="29" t="str">
        <f>IF(OR($B20="",$A20&lt;118),"",--MID('Key Analysis'!$C16,118,1))</f>
        <v/>
      </c>
      <c r="IW20" s="29" t="str">
        <f>IF(OR($B20="",$A20&lt;119),"",--MID('Key Analysis'!$C16,119,1))</f>
        <v/>
      </c>
      <c r="IX20" s="29" t="str">
        <f>IF(OR($B20="",$A20&lt;120),"",--MID('Key Analysis'!$C16,120,1))</f>
        <v/>
      </c>
      <c r="IY20" s="29" t="str">
        <f>IF(OR($B20="",$A20&lt;121),"",--MID('Key Analysis'!$C16,121,1))</f>
        <v/>
      </c>
      <c r="IZ20" s="29" t="str">
        <f>IF(OR($B20="",$A20&lt;122),"",--MID('Key Analysis'!$C16,122,1))</f>
        <v/>
      </c>
      <c r="JA20" s="29" t="str">
        <f>IF(OR($B20="",$A20&lt;123),"",--MID('Key Analysis'!$C16,123,1))</f>
        <v/>
      </c>
      <c r="JB20" s="29" t="str">
        <f>IF(OR($B20="",$A20&lt;124),"",--MID('Key Analysis'!$C16,124,1))</f>
        <v/>
      </c>
      <c r="JC20" s="29" t="str">
        <f>IF(OR($B20="",$A20&lt;125),"",--MID('Key Analysis'!$C16,125,1))</f>
        <v/>
      </c>
      <c r="JD20" s="29" t="str">
        <f>IF(OR($B20="",$A20&lt;126),"",--MID('Key Analysis'!$C16,126,1))</f>
        <v/>
      </c>
      <c r="JE20" s="29" t="str">
        <f>IF(OR($B20="",$A20&lt;127),"",--MID('Key Analysis'!$C16,127,1))</f>
        <v/>
      </c>
      <c r="JF20" s="29" t="str">
        <f>IF(OR($B20="",$A20&lt;128),"",--MID('Key Analysis'!$C16,128,1))</f>
        <v/>
      </c>
      <c r="JG20" s="29" t="str">
        <f>IF(OR($B20="",$A20&lt;129),"",--MID('Key Analysis'!$C16,129,1))</f>
        <v/>
      </c>
      <c r="JH20" s="29" t="str">
        <f>IF(OR($B20="",$A20&lt;130),"",--MID('Key Analysis'!$C16,130,1))</f>
        <v/>
      </c>
      <c r="JI20" s="29" t="str">
        <f>IF(OR($B20="",$A20&lt;131),"",--MID('Key Analysis'!$C16,131,1))</f>
        <v/>
      </c>
      <c r="JJ20" s="29" t="str">
        <f>IF(OR($B20="",$A20&lt;132),"",--MID('Key Analysis'!$C16,132,1))</f>
        <v/>
      </c>
      <c r="JK20" s="29" t="str">
        <f>IF(OR($B20="",$A20&lt;133),"",--MID('Key Analysis'!$C16,133,1))</f>
        <v/>
      </c>
      <c r="JL20" s="29" t="str">
        <f>IF(OR($B20="",$A20&lt;134),"",--MID('Key Analysis'!$C16,134,1))</f>
        <v/>
      </c>
      <c r="JM20" s="29" t="str">
        <f>IF(OR($B20="",$A20&lt;135),"",--MID('Key Analysis'!$C16,135,1))</f>
        <v/>
      </c>
    </row>
    <row r="21" spans="1:273" x14ac:dyDescent="0.25">
      <c r="A21" s="21">
        <f>'Key Analysis'!A17</f>
        <v>16</v>
      </c>
      <c r="B21" s="30" t="str">
        <f>'Key Analysis'!B17</f>
        <v>c936</v>
      </c>
      <c r="C21" s="29">
        <f>IF(OR($B21="",$A21&lt;=0),"",--MID('Key Analysis'!$C17,$A21-0,1))</f>
        <v>0</v>
      </c>
      <c r="D21" s="29">
        <f>IF(OR($B21="",$A21&lt;=1),"",--MID('Key Analysis'!$C17,$A21-1,1))</f>
        <v>1</v>
      </c>
      <c r="E21" s="29">
        <f>IF(OR($B21="",$A21&lt;=2),"",--MID('Key Analysis'!$C17,$A21-2,1))</f>
        <v>1</v>
      </c>
      <c r="F21" s="29">
        <f>IF(OR($B21="",$A21&lt;=3),"",--MID('Key Analysis'!$C17,$A21-3,1))</f>
        <v>0</v>
      </c>
      <c r="G21" s="29">
        <f>IF(OR($B21="",$A21&lt;=4),"",--MID('Key Analysis'!$C17,$A21-4,1))</f>
        <v>1</v>
      </c>
      <c r="H21" s="29">
        <f>IF(OR($B21="",$A21&lt;=5),"",--MID('Key Analysis'!$C17,$A21-5,1))</f>
        <v>1</v>
      </c>
      <c r="I21" s="29">
        <f>IF(OR($B21="",$A21&lt;=6),"",--MID('Key Analysis'!$C17,$A21-6,1))</f>
        <v>0</v>
      </c>
      <c r="J21" s="29">
        <f>IF(OR($B21="",$A21&lt;=7),"",--MID('Key Analysis'!$C17,$A21-7,1))</f>
        <v>0</v>
      </c>
      <c r="K21" s="29">
        <f>IF(OR($B21="",$A21&lt;=8),"",--MID('Key Analysis'!$C17,$A21-8,1))</f>
        <v>1</v>
      </c>
      <c r="L21" s="29">
        <f>IF(OR($B21="",$A21&lt;=9),"",--MID('Key Analysis'!$C17,$A21-9,1))</f>
        <v>0</v>
      </c>
      <c r="M21" s="29">
        <f>IF(OR($B21="",$A21&lt;=10),"",--MID('Key Analysis'!$C17,$A21-10,1))</f>
        <v>0</v>
      </c>
      <c r="N21" s="29">
        <f>IF(OR($B21="",$A21&lt;=11),"",--MID('Key Analysis'!$C17,$A21-11,1))</f>
        <v>1</v>
      </c>
      <c r="O21" s="29">
        <f>IF(OR($B21="",$A21&lt;=12),"",--MID('Key Analysis'!$C17,$A21-12,1))</f>
        <v>0</v>
      </c>
      <c r="P21" s="29">
        <f>IF(OR($B21="",$A21&lt;=13),"",--MID('Key Analysis'!$C17,$A21-13,1))</f>
        <v>0</v>
      </c>
      <c r="Q21" s="29">
        <f>IF(OR($B21="",$A21&lt;=14),"",--MID('Key Analysis'!$C17,$A21-14,1))</f>
        <v>1</v>
      </c>
      <c r="R21" s="29">
        <f>IF(OR($B21="",$A21&lt;=15),"",--MID('Key Analysis'!$C17,$A21-15,1))</f>
        <v>1</v>
      </c>
      <c r="S21" s="29" t="str">
        <f>IF(OR($B21="",$A21&lt;=16),"",--MID('Key Analysis'!$C17,$A21-16,1))</f>
        <v/>
      </c>
      <c r="T21" s="29" t="str">
        <f>IF(OR($B21="",$A21&lt;=17),"",--MID('Key Analysis'!$C17,$A21-17,1))</f>
        <v/>
      </c>
      <c r="U21" s="29" t="str">
        <f>IF(OR($B21="",$A21&lt;=18),"",--MID('Key Analysis'!$C17,$A21-18,1))</f>
        <v/>
      </c>
      <c r="V21" s="29" t="str">
        <f>IF(OR($B21="",$A21&lt;=19),"",--MID('Key Analysis'!$C17,$A21-19,1))</f>
        <v/>
      </c>
      <c r="W21" s="29" t="str">
        <f>IF(OR($B21="",$A21&lt;=20),"",--MID('Key Analysis'!$C17,$A21-20,1))</f>
        <v/>
      </c>
      <c r="X21" s="29" t="str">
        <f>IF(OR($B21="",$A21&lt;=21),"",--MID('Key Analysis'!$C17,$A21-21,1))</f>
        <v/>
      </c>
      <c r="Y21" s="29" t="str">
        <f>IF(OR($B21="",$A21&lt;=22),"",--MID('Key Analysis'!$C17,$A21-22,1))</f>
        <v/>
      </c>
      <c r="Z21" s="29" t="str">
        <f>IF(OR($B21="",$A21&lt;=23),"",--MID('Key Analysis'!$C17,$A21-23,1))</f>
        <v/>
      </c>
      <c r="AA21" s="29" t="str">
        <f>IF(OR($B21="",$A21&lt;=24),"",--MID('Key Analysis'!$C17,$A21-24,1))</f>
        <v/>
      </c>
      <c r="AB21" s="29" t="str">
        <f>IF(OR($B21="",$A21&lt;=25),"",--MID('Key Analysis'!$C17,$A21-25,1))</f>
        <v/>
      </c>
      <c r="AC21" s="29" t="str">
        <f>IF(OR($B21="",$A21&lt;=26),"",--MID('Key Analysis'!$C17,$A21-26,1))</f>
        <v/>
      </c>
      <c r="AD21" s="29" t="str">
        <f>IF(OR($B21="",$A21&lt;=27),"",--MID('Key Analysis'!$C17,$A21-27,1))</f>
        <v/>
      </c>
      <c r="AE21" s="29" t="str">
        <f>IF(OR($B21="",$A21&lt;=28),"",--MID('Key Analysis'!$C17,$A21-28,1))</f>
        <v/>
      </c>
      <c r="AF21" s="29" t="str">
        <f>IF(OR($B21="",$A21&lt;=29),"",--MID('Key Analysis'!$C17,$A21-29,1))</f>
        <v/>
      </c>
      <c r="AG21" s="29" t="str">
        <f>IF(OR($B21="",$A21&lt;=30),"",--MID('Key Analysis'!$C17,$A21-30,1))</f>
        <v/>
      </c>
      <c r="AH21" s="29" t="str">
        <f>IF(OR($B21="",$A21&lt;=31),"",--MID('Key Analysis'!$C17,$A21-31,1))</f>
        <v/>
      </c>
      <c r="AI21" s="29" t="str">
        <f>IF(OR($B21="",$A21&lt;=32),"",--MID('Key Analysis'!$C17,$A21-32,1))</f>
        <v/>
      </c>
      <c r="AJ21" s="29" t="str">
        <f>IF(OR($B21="",$A21&lt;=33),"",--MID('Key Analysis'!$C17,$A21-33,1))</f>
        <v/>
      </c>
      <c r="AK21" s="29" t="str">
        <f>IF(OR($B21="",$A21&lt;=34),"",--MID('Key Analysis'!$C17,$A21-34,1))</f>
        <v/>
      </c>
      <c r="AL21" s="29" t="str">
        <f>IF(OR($B21="",$A21&lt;=35),"",--MID('Key Analysis'!$C17,$A21-35,1))</f>
        <v/>
      </c>
      <c r="AM21" s="29" t="str">
        <f>IF(OR($B21="",$A21&lt;=36),"",--MID('Key Analysis'!$C17,$A21-36,1))</f>
        <v/>
      </c>
      <c r="AN21" s="29" t="str">
        <f>IF(OR($B21="",$A21&lt;=37),"",--MID('Key Analysis'!$C17,$A21-37,1))</f>
        <v/>
      </c>
      <c r="AO21" s="29" t="str">
        <f>IF(OR($B21="",$A21&lt;=38),"",--MID('Key Analysis'!$C17,$A21-38,1))</f>
        <v/>
      </c>
      <c r="AP21" s="29" t="str">
        <f>IF(OR($B21="",$A21&lt;=39),"",--MID('Key Analysis'!$C17,$A21-39,1))</f>
        <v/>
      </c>
      <c r="AQ21" s="29" t="str">
        <f>IF(OR($B21="",$A21&lt;=40),"",--MID('Key Analysis'!$C17,$A21-40,1))</f>
        <v/>
      </c>
      <c r="AR21" s="29" t="str">
        <f>IF(OR($B21="",$A21&lt;=41),"",--MID('Key Analysis'!$C17,$A21-41,1))</f>
        <v/>
      </c>
      <c r="AS21" s="29" t="str">
        <f>IF(OR($B21="",$A21&lt;=42),"",--MID('Key Analysis'!$C17,$A21-42,1))</f>
        <v/>
      </c>
      <c r="AT21" s="29" t="str">
        <f>IF(OR($B21="",$A21&lt;=43),"",--MID('Key Analysis'!$C17,$A21-43,1))</f>
        <v/>
      </c>
      <c r="AU21" s="29" t="str">
        <f>IF(OR($B21="",$A21&lt;=44),"",--MID('Key Analysis'!$C17,$A21-44,1))</f>
        <v/>
      </c>
      <c r="AV21" s="29" t="str">
        <f>IF(OR($B21="",$A21&lt;=45),"",--MID('Key Analysis'!$C17,$A21-45,1))</f>
        <v/>
      </c>
      <c r="AW21" s="29" t="str">
        <f>IF(OR($B21="",$A21&lt;=46),"",--MID('Key Analysis'!$C17,$A21-46,1))</f>
        <v/>
      </c>
      <c r="AX21" s="29" t="str">
        <f>IF(OR($B21="",$A21&lt;=47),"",--MID('Key Analysis'!$C17,$A21-47,1))</f>
        <v/>
      </c>
      <c r="AY21" s="29" t="str">
        <f>IF(OR($B21="",$A21&lt;=48),"",--MID('Key Analysis'!$C17,$A21-48,1))</f>
        <v/>
      </c>
      <c r="AZ21" s="29" t="str">
        <f>IF(OR($B21="",$A21&lt;=49),"",--MID('Key Analysis'!$C17,$A21-49,1))</f>
        <v/>
      </c>
      <c r="BA21" s="29" t="str">
        <f>IF(OR($B21="",$A21&lt;=50),"",--MID('Key Analysis'!$C17,$A21-50,1))</f>
        <v/>
      </c>
      <c r="BB21" s="29" t="str">
        <f>IF(OR($B21="",$A21&lt;=51),"",--MID('Key Analysis'!$C17,$A21-51,1))</f>
        <v/>
      </c>
      <c r="BC21" s="29" t="str">
        <f>IF(OR($B21="",$A21&lt;=52),"",--MID('Key Analysis'!$C17,$A21-52,1))</f>
        <v/>
      </c>
      <c r="BD21" s="29" t="str">
        <f>IF(OR($B21="",$A21&lt;=53),"",--MID('Key Analysis'!$C17,$A21-53,1))</f>
        <v/>
      </c>
      <c r="BE21" s="29" t="str">
        <f>IF(OR($B21="",$A21&lt;=54),"",--MID('Key Analysis'!$C17,$A21-54,1))</f>
        <v/>
      </c>
      <c r="BF21" s="29" t="str">
        <f>IF(OR($B21="",$A21&lt;=55),"",--MID('Key Analysis'!$C17,$A21-55,1))</f>
        <v/>
      </c>
      <c r="BG21" s="29" t="str">
        <f>IF(OR($B21="",$A21&lt;=56),"",--MID('Key Analysis'!$C17,$A21-56,1))</f>
        <v/>
      </c>
      <c r="BH21" s="29" t="str">
        <f>IF(OR($B21="",$A21&lt;=57),"",--MID('Key Analysis'!$C17,$A21-57,1))</f>
        <v/>
      </c>
      <c r="BI21" s="29" t="str">
        <f>IF(OR($B21="",$A21&lt;=58),"",--MID('Key Analysis'!$C17,$A21-58,1))</f>
        <v/>
      </c>
      <c r="BJ21" s="29" t="str">
        <f>IF(OR($B21="",$A21&lt;=59),"",--MID('Key Analysis'!$C17,$A21-59,1))</f>
        <v/>
      </c>
      <c r="BK21" s="29" t="str">
        <f>IF(OR($B21="",$A21&lt;=60),"",--MID('Key Analysis'!$C17,$A21-60,1))</f>
        <v/>
      </c>
      <c r="BL21" s="29" t="str">
        <f>IF(OR($B21="",$A21&lt;=61),"",--MID('Key Analysis'!$C17,$A21-61,1))</f>
        <v/>
      </c>
      <c r="BM21" s="29" t="str">
        <f>IF(OR($B21="",$A21&lt;=62),"",--MID('Key Analysis'!$C17,$A21-62,1))</f>
        <v/>
      </c>
      <c r="BN21" s="29" t="str">
        <f>IF(OR($B21="",$A21&lt;=63),"",--MID('Key Analysis'!$C17,$A21-63,1))</f>
        <v/>
      </c>
      <c r="BO21" s="29" t="str">
        <f>IF(OR($B21="",$A21&lt;=64),"",--MID('Key Analysis'!$C17,$A21-64,1))</f>
        <v/>
      </c>
      <c r="BP21" s="29" t="str">
        <f>IF(OR($B21="",$A21&lt;=65),"",--MID('Key Analysis'!$C17,$A21-65,1))</f>
        <v/>
      </c>
      <c r="BQ21" s="29" t="str">
        <f>IF(OR($B21="",$A21&lt;=66),"",--MID('Key Analysis'!$C17,$A21-66,1))</f>
        <v/>
      </c>
      <c r="BR21" s="29" t="str">
        <f>IF(OR($B21="",$A21&lt;=67),"",--MID('Key Analysis'!$C17,$A21-67,1))</f>
        <v/>
      </c>
      <c r="BS21" s="29" t="str">
        <f>IF(OR($B21="",$A21&lt;=68),"",--MID('Key Analysis'!$C17,$A21-68,1))</f>
        <v/>
      </c>
      <c r="BT21" s="29" t="str">
        <f>IF(OR($B21="",$A21&lt;=69),"",--MID('Key Analysis'!$C17,$A21-69,1))</f>
        <v/>
      </c>
      <c r="BU21" s="29" t="str">
        <f>IF(OR($B21="",$A21&lt;=70),"",--MID('Key Analysis'!$C17,$A21-70,1))</f>
        <v/>
      </c>
      <c r="BV21" s="29" t="str">
        <f>IF(OR($B21="",$A21&lt;=71),"",--MID('Key Analysis'!$C17,$A21-71,1))</f>
        <v/>
      </c>
      <c r="BW21" s="29" t="str">
        <f>IF(OR($B21="",$A21&lt;=72),"",--MID('Key Analysis'!$C17,$A21-72,1))</f>
        <v/>
      </c>
      <c r="BX21" s="29" t="str">
        <f>IF(OR($B21="",$A21&lt;=73),"",--MID('Key Analysis'!$C17,$A21-73,1))</f>
        <v/>
      </c>
      <c r="BY21" s="29" t="str">
        <f>IF(OR($B21="",$A21&lt;=74),"",--MID('Key Analysis'!$C17,$A21-74,1))</f>
        <v/>
      </c>
      <c r="BZ21" s="29" t="str">
        <f>IF(OR($B21="",$A21&lt;=75),"",--MID('Key Analysis'!$C17,$A21-75,1))</f>
        <v/>
      </c>
      <c r="CA21" s="29" t="str">
        <f>IF(OR($B21="",$A21&lt;=76),"",--MID('Key Analysis'!$C17,$A21-76,1))</f>
        <v/>
      </c>
      <c r="CB21" s="29" t="str">
        <f>IF(OR($B21="",$A21&lt;=77),"",--MID('Key Analysis'!$C17,$A21-77,1))</f>
        <v/>
      </c>
      <c r="CC21" s="29" t="str">
        <f>IF(OR($B21="",$A21&lt;=78),"",--MID('Key Analysis'!$C17,$A21-78,1))</f>
        <v/>
      </c>
      <c r="CD21" s="29" t="str">
        <f>IF(OR($B21="",$A21&lt;=79),"",--MID('Key Analysis'!$C17,$A21-79,1))</f>
        <v/>
      </c>
      <c r="CE21" s="29" t="str">
        <f>IF(OR($B21="",$A21&lt;=80),"",--MID('Key Analysis'!$C17,$A21-80,1))</f>
        <v/>
      </c>
      <c r="CF21" s="29" t="str">
        <f>IF(OR($B21="",$A21&lt;=81),"",--MID('Key Analysis'!$C17,$A21-81,1))</f>
        <v/>
      </c>
      <c r="CG21" s="29" t="str">
        <f>IF(OR($B21="",$A21&lt;=82),"",--MID('Key Analysis'!$C17,$A21-82,1))</f>
        <v/>
      </c>
      <c r="CH21" s="29" t="str">
        <f>IF(OR($B21="",$A21&lt;=83),"",--MID('Key Analysis'!$C17,$A21-83,1))</f>
        <v/>
      </c>
      <c r="CI21" s="29" t="str">
        <f>IF(OR($B21="",$A21&lt;=84),"",--MID('Key Analysis'!$C17,$A21-84,1))</f>
        <v/>
      </c>
      <c r="CJ21" s="29" t="str">
        <f>IF(OR($B21="",$A21&lt;=85),"",--MID('Key Analysis'!$C17,$A21-85,1))</f>
        <v/>
      </c>
      <c r="CK21" s="29" t="str">
        <f>IF(OR($B21="",$A21&lt;=86),"",--MID('Key Analysis'!$C17,$A21-86,1))</f>
        <v/>
      </c>
      <c r="CL21" s="29" t="str">
        <f>IF(OR($B21="",$A21&lt;=87),"",--MID('Key Analysis'!$C17,$A21-87,1))</f>
        <v/>
      </c>
      <c r="CM21" s="29" t="str">
        <f>IF(OR($B21="",$A21&lt;=88),"",--MID('Key Analysis'!$C17,$A21-88,1))</f>
        <v/>
      </c>
      <c r="CN21" s="29" t="str">
        <f>IF(OR($B21="",$A21&lt;=89),"",--MID('Key Analysis'!$C17,$A21-89,1))</f>
        <v/>
      </c>
      <c r="CO21" s="29" t="str">
        <f>IF(OR($B21="",$A21&lt;=90),"",--MID('Key Analysis'!$C17,$A21-90,1))</f>
        <v/>
      </c>
      <c r="CP21" s="29" t="str">
        <f>IF(OR($B21="",$A21&lt;=91),"",--MID('Key Analysis'!$C17,$A21-91,1))</f>
        <v/>
      </c>
      <c r="CQ21" s="29" t="str">
        <f>IF(OR($B21="",$A21&lt;=92),"",--MID('Key Analysis'!$C17,$A21-92,1))</f>
        <v/>
      </c>
      <c r="CR21" s="29" t="str">
        <f>IF(OR($B21="",$A21&lt;=93),"",--MID('Key Analysis'!$C17,$A21-93,1))</f>
        <v/>
      </c>
      <c r="CS21" s="29" t="str">
        <f>IF(OR($B21="",$A21&lt;=94),"",--MID('Key Analysis'!$C17,$A21-94,1))</f>
        <v/>
      </c>
      <c r="CT21" s="29" t="str">
        <f>IF(OR($B21="",$A21&lt;=95),"",--MID('Key Analysis'!$C17,$A21-95,1))</f>
        <v/>
      </c>
      <c r="CU21" s="29" t="str">
        <f>IF(OR($B21="",$A21&lt;=96),"",--MID('Key Analysis'!$C17,$A21-96,1))</f>
        <v/>
      </c>
      <c r="CV21" s="29" t="str">
        <f>IF(OR($B21="",$A21&lt;=97),"",--MID('Key Analysis'!$C17,$A21-97,1))</f>
        <v/>
      </c>
      <c r="CW21" s="29" t="str">
        <f>IF(OR($B21="",$A21&lt;=98),"",--MID('Key Analysis'!$C17,$A21-98,1))</f>
        <v/>
      </c>
      <c r="CX21" s="29" t="str">
        <f>IF(OR($B21="",$A21&lt;=99),"",--MID('Key Analysis'!$C17,$A21-99,1))</f>
        <v/>
      </c>
      <c r="CY21" s="29" t="str">
        <f>IF(OR($B21="",$A21&lt;=100),"",--MID('Key Analysis'!$C17,$A21-100,1))</f>
        <v/>
      </c>
      <c r="CZ21" s="29" t="str">
        <f>IF(OR($B21="",$A21&lt;=101),"",--MID('Key Analysis'!$C17,$A21-101,1))</f>
        <v/>
      </c>
      <c r="DA21" s="29" t="str">
        <f>IF(OR($B21="",$A21&lt;=102),"",--MID('Key Analysis'!$C17,$A21-102,1))</f>
        <v/>
      </c>
      <c r="DB21" s="29" t="str">
        <f>IF(OR($B21="",$A21&lt;=103),"",--MID('Key Analysis'!$C17,$A21-103,1))</f>
        <v/>
      </c>
      <c r="DC21" s="29" t="str">
        <f>IF(OR($B21="",$A21&lt;=104),"",--MID('Key Analysis'!$C17,$A21-104,1))</f>
        <v/>
      </c>
      <c r="DD21" s="29" t="str">
        <f>IF(OR($B21="",$A21&lt;=105),"",--MID('Key Analysis'!$C17,$A21-105,1))</f>
        <v/>
      </c>
      <c r="DE21" s="29" t="str">
        <f>IF(OR($B21="",$A21&lt;=106),"",--MID('Key Analysis'!$C17,$A21-106,1))</f>
        <v/>
      </c>
      <c r="DF21" s="29" t="str">
        <f>IF(OR($B21="",$A21&lt;=107),"",--MID('Key Analysis'!$C17,$A21-107,1))</f>
        <v/>
      </c>
      <c r="DG21" s="29" t="str">
        <f>IF(OR($B21="",$A21&lt;=108),"",--MID('Key Analysis'!$C17,$A21-108,1))</f>
        <v/>
      </c>
      <c r="DH21" s="29" t="str">
        <f>IF(OR($B21="",$A21&lt;=109),"",--MID('Key Analysis'!$C17,$A21-109,1))</f>
        <v/>
      </c>
      <c r="DI21" s="29" t="str">
        <f>IF(OR($B21="",$A21&lt;=110),"",--MID('Key Analysis'!$C17,$A21-110,1))</f>
        <v/>
      </c>
      <c r="DJ21" s="29" t="str">
        <f>IF(OR($B21="",$A21&lt;=111),"",--MID('Key Analysis'!$C17,$A21-111,1))</f>
        <v/>
      </c>
      <c r="DK21" s="29" t="str">
        <f>IF(OR($B21="",$A21&lt;=112),"",--MID('Key Analysis'!$C17,$A21-112,1))</f>
        <v/>
      </c>
      <c r="DL21" s="29" t="str">
        <f>IF(OR($B21="",$A21&lt;=113),"",--MID('Key Analysis'!$C17,$A21-113,1))</f>
        <v/>
      </c>
      <c r="DM21" s="29" t="str">
        <f>IF(OR($B21="",$A21&lt;=114),"",--MID('Key Analysis'!$C17,$A21-114,1))</f>
        <v/>
      </c>
      <c r="DN21" s="29" t="str">
        <f>IF(OR($B21="",$A21&lt;=115),"",--MID('Key Analysis'!$C17,$A21-115,1))</f>
        <v/>
      </c>
      <c r="DO21" s="29" t="str">
        <f>IF(OR($B21="",$A21&lt;=116),"",--MID('Key Analysis'!$C17,$A21-116,1))</f>
        <v/>
      </c>
      <c r="DP21" s="29" t="str">
        <f>IF(OR($B21="",$A21&lt;=117),"",--MID('Key Analysis'!$C17,$A21-117,1))</f>
        <v/>
      </c>
      <c r="DQ21" s="29" t="str">
        <f>IF(OR($B21="",$A21&lt;=118),"",--MID('Key Analysis'!$C17,$A21-118,1))</f>
        <v/>
      </c>
      <c r="DR21" s="29" t="str">
        <f>IF(OR($B21="",$A21&lt;=119),"",--MID('Key Analysis'!$C17,$A21-119,1))</f>
        <v/>
      </c>
      <c r="DS21" s="29" t="str">
        <f>IF(OR($B21="",$A21&lt;=120),"",--MID('Key Analysis'!$C17,$A21-120,1))</f>
        <v/>
      </c>
      <c r="DT21" s="29" t="str">
        <f>IF(OR($B21="",$A21&lt;=121),"",--MID('Key Analysis'!$C17,$A21-121,1))</f>
        <v/>
      </c>
      <c r="DU21" s="29" t="str">
        <f>IF(OR($B21="",$A21&lt;=122),"",--MID('Key Analysis'!$C17,$A21-122,1))</f>
        <v/>
      </c>
      <c r="DV21" s="29" t="str">
        <f>IF(OR($B21="",$A21&lt;=123),"",--MID('Key Analysis'!$C17,$A21-123,1))</f>
        <v/>
      </c>
      <c r="DW21" s="29" t="str">
        <f>IF(OR($B21="",$A21&lt;=124),"",--MID('Key Analysis'!$C17,$A21-124,1))</f>
        <v/>
      </c>
      <c r="DX21" s="29" t="str">
        <f>IF(OR($B21="",$A21&lt;=125),"",--MID('Key Analysis'!$C17,$A21-125,1))</f>
        <v/>
      </c>
      <c r="DY21" s="29" t="str">
        <f>IF(OR($B21="",$A21&lt;=126),"",--MID('Key Analysis'!$C17,$A21-126,1))</f>
        <v/>
      </c>
      <c r="DZ21" s="29" t="str">
        <f>IF(OR($B21="",$A21&lt;=127),"",--MID('Key Analysis'!$C17,$A21-127,1))</f>
        <v/>
      </c>
      <c r="EA21" s="29" t="str">
        <f>IF(OR($B21="",$A21&lt;=128),"",--MID('Key Analysis'!$C17,$A21-128,1))</f>
        <v/>
      </c>
      <c r="EB21" s="29" t="str">
        <f>IF(OR($B21="",$A21&lt;=129),"",--MID('Key Analysis'!$C17,$A21-129,1))</f>
        <v/>
      </c>
      <c r="EC21" s="29" t="str">
        <f>IF(OR($B21="",$A21&lt;=130),"",--MID('Key Analysis'!$C17,$A21-130,1))</f>
        <v/>
      </c>
      <c r="ED21" s="29" t="str">
        <f>IF(OR($B21="",$A21&lt;=131),"",--MID('Key Analysis'!$C17,$A21-131,1))</f>
        <v/>
      </c>
      <c r="EE21" s="29" t="str">
        <f>IF(OR($B21="",$A21&lt;=132),"",--MID('Key Analysis'!$C17,$A21-132,1))</f>
        <v/>
      </c>
      <c r="EF21" s="29" t="str">
        <f>IF(OR($B21="",$A21&lt;=133),"",--MID('Key Analysis'!$C17,$A21-133,1))</f>
        <v/>
      </c>
      <c r="EG21" s="29" t="str">
        <f>IF(OR($B21="",$A21&lt;=134),"",--MID('Key Analysis'!$C17,$A21-134,1))</f>
        <v/>
      </c>
      <c r="EH21" s="29"/>
      <c r="EI21" s="29">
        <f>IF(OR($B21="",$A21&lt;1),"",--MID('Key Analysis'!$C17,1,1))</f>
        <v>1</v>
      </c>
      <c r="EJ21" s="29">
        <f>IF(OR($B21="",$A21&lt;2),"",--MID('Key Analysis'!$C17,2,1))</f>
        <v>1</v>
      </c>
      <c r="EK21" s="29">
        <f>IF(OR($B21="",$A21&lt;3),"",--MID('Key Analysis'!$C17,3,1))</f>
        <v>0</v>
      </c>
      <c r="EL21" s="29">
        <f>IF(OR($B21="",$A21&lt;4),"",--MID('Key Analysis'!$C17,4,1))</f>
        <v>0</v>
      </c>
      <c r="EM21" s="29">
        <f>IF(OR($B21="",$A21&lt;5),"",--MID('Key Analysis'!$C17,5,1))</f>
        <v>1</v>
      </c>
      <c r="EN21" s="29">
        <f>IF(OR($B21="",$A21&lt;6),"",--MID('Key Analysis'!$C17,6,1))</f>
        <v>0</v>
      </c>
      <c r="EO21" s="29">
        <f>IF(OR($B21="",$A21&lt;7),"",--MID('Key Analysis'!$C17,7,1))</f>
        <v>0</v>
      </c>
      <c r="EP21" s="29">
        <f>IF(OR($B21="",$A21&lt;8),"",--MID('Key Analysis'!$C17,8,1))</f>
        <v>1</v>
      </c>
      <c r="EQ21" s="29">
        <f>IF(OR($B21="",$A21&lt;9),"",--MID('Key Analysis'!$C17,9,1))</f>
        <v>0</v>
      </c>
      <c r="ER21" s="29">
        <f>IF(OR($B21="",$A21&lt;10),"",--MID('Key Analysis'!$C17,10,1))</f>
        <v>0</v>
      </c>
      <c r="ES21" s="29">
        <f>IF(OR($B21="",$A21&lt;11),"",--MID('Key Analysis'!$C17,11,1))</f>
        <v>1</v>
      </c>
      <c r="ET21" s="29">
        <f>IF(OR($B21="",$A21&lt;12),"",--MID('Key Analysis'!$C17,12,1))</f>
        <v>1</v>
      </c>
      <c r="EU21" s="29">
        <f>IF(OR($B21="",$A21&lt;13),"",--MID('Key Analysis'!$C17,13,1))</f>
        <v>0</v>
      </c>
      <c r="EV21" s="29">
        <f>IF(OR($B21="",$A21&lt;14),"",--MID('Key Analysis'!$C17,14,1))</f>
        <v>1</v>
      </c>
      <c r="EW21" s="29">
        <f>IF(OR($B21="",$A21&lt;15),"",--MID('Key Analysis'!$C17,15,1))</f>
        <v>1</v>
      </c>
      <c r="EX21" s="29">
        <f>IF(OR($B21="",$A21&lt;16),"",--MID('Key Analysis'!$C17,16,1))</f>
        <v>0</v>
      </c>
      <c r="EY21" s="29" t="str">
        <f>IF(OR($B21="",$A21&lt;17),"",--MID('Key Analysis'!$C17,17,1))</f>
        <v/>
      </c>
      <c r="EZ21" s="29" t="str">
        <f>IF(OR($B21="",$A21&lt;18),"",--MID('Key Analysis'!$C17,18,1))</f>
        <v/>
      </c>
      <c r="FA21" s="29" t="str">
        <f>IF(OR($B21="",$A21&lt;19),"",--MID('Key Analysis'!$C17,19,1))</f>
        <v/>
      </c>
      <c r="FB21" s="29" t="str">
        <f>IF(OR($B21="",$A21&lt;20),"",--MID('Key Analysis'!$C17,20,1))</f>
        <v/>
      </c>
      <c r="FC21" s="29" t="str">
        <f>IF(OR($B21="",$A21&lt;21),"",--MID('Key Analysis'!$C17,21,1))</f>
        <v/>
      </c>
      <c r="FD21" s="29" t="str">
        <f>IF(OR($B21="",$A21&lt;22),"",--MID('Key Analysis'!$C17,22,1))</f>
        <v/>
      </c>
      <c r="FE21" s="29" t="str">
        <f>IF(OR($B21="",$A21&lt;23),"",--MID('Key Analysis'!$C17,23,1))</f>
        <v/>
      </c>
      <c r="FF21" s="29" t="str">
        <f>IF(OR($B21="",$A21&lt;24),"",--MID('Key Analysis'!$C17,24,1))</f>
        <v/>
      </c>
      <c r="FG21" s="29" t="str">
        <f>IF(OR($B21="",$A21&lt;25),"",--MID('Key Analysis'!$C17,25,1))</f>
        <v/>
      </c>
      <c r="FH21" s="29" t="str">
        <f>IF(OR($B21="",$A21&lt;26),"",--MID('Key Analysis'!$C17,26,1))</f>
        <v/>
      </c>
      <c r="FI21" s="29" t="str">
        <f>IF(OR($B21="",$A21&lt;27),"",--MID('Key Analysis'!$C17,27,1))</f>
        <v/>
      </c>
      <c r="FJ21" s="29" t="str">
        <f>IF(OR($B21="",$A21&lt;28),"",--MID('Key Analysis'!$C17,28,1))</f>
        <v/>
      </c>
      <c r="FK21" s="29" t="str">
        <f>IF(OR($B21="",$A21&lt;29),"",--MID('Key Analysis'!$C17,29,1))</f>
        <v/>
      </c>
      <c r="FL21" s="29" t="str">
        <f>IF(OR($B21="",$A21&lt;30),"",--MID('Key Analysis'!$C17,30,1))</f>
        <v/>
      </c>
      <c r="FM21" s="29" t="str">
        <f>IF(OR($B21="",$A21&lt;31),"",--MID('Key Analysis'!$C17,31,1))</f>
        <v/>
      </c>
      <c r="FN21" s="29" t="str">
        <f>IF(OR($B21="",$A21&lt;32),"",--MID('Key Analysis'!$C17,32,1))</f>
        <v/>
      </c>
      <c r="FO21" s="29" t="str">
        <f>IF(OR($B21="",$A21&lt;33),"",--MID('Key Analysis'!$C17,33,1))</f>
        <v/>
      </c>
      <c r="FP21" s="29" t="str">
        <f>IF(OR($B21="",$A21&lt;34),"",--MID('Key Analysis'!$C17,34,1))</f>
        <v/>
      </c>
      <c r="FQ21" s="29" t="str">
        <f>IF(OR($B21="",$A21&lt;35),"",--MID('Key Analysis'!$C17,35,1))</f>
        <v/>
      </c>
      <c r="FR21" s="29" t="str">
        <f>IF(OR($B21="",$A21&lt;36),"",--MID('Key Analysis'!$C17,36,1))</f>
        <v/>
      </c>
      <c r="FS21" s="29" t="str">
        <f>IF(OR($B21="",$A21&lt;37),"",--MID('Key Analysis'!$C17,37,1))</f>
        <v/>
      </c>
      <c r="FT21" s="29" t="str">
        <f>IF(OR($B21="",$A21&lt;38),"",--MID('Key Analysis'!$C17,38,1))</f>
        <v/>
      </c>
      <c r="FU21" s="29" t="str">
        <f>IF(OR($B21="",$A21&lt;39),"",--MID('Key Analysis'!$C17,39,1))</f>
        <v/>
      </c>
      <c r="FV21" s="29" t="str">
        <f>IF(OR($B21="",$A21&lt;40),"",--MID('Key Analysis'!$C17,40,1))</f>
        <v/>
      </c>
      <c r="FW21" s="29" t="str">
        <f>IF(OR($B21="",$A21&lt;41),"",--MID('Key Analysis'!$C17,41,1))</f>
        <v/>
      </c>
      <c r="FX21" s="29" t="str">
        <f>IF(OR($B21="",$A21&lt;42),"",--MID('Key Analysis'!$C17,42,1))</f>
        <v/>
      </c>
      <c r="FY21" s="29" t="str">
        <f>IF(OR($B21="",$A21&lt;43),"",--MID('Key Analysis'!$C17,43,1))</f>
        <v/>
      </c>
      <c r="FZ21" s="29" t="str">
        <f>IF(OR($B21="",$A21&lt;44),"",--MID('Key Analysis'!$C17,44,1))</f>
        <v/>
      </c>
      <c r="GA21" s="29" t="str">
        <f>IF(OR($B21="",$A21&lt;45),"",--MID('Key Analysis'!$C17,45,1))</f>
        <v/>
      </c>
      <c r="GB21" s="29" t="str">
        <f>IF(OR($B21="",$A21&lt;46),"",--MID('Key Analysis'!$C17,46,1))</f>
        <v/>
      </c>
      <c r="GC21" s="29" t="str">
        <f>IF(OR($B21="",$A21&lt;47),"",--MID('Key Analysis'!$C17,47,1))</f>
        <v/>
      </c>
      <c r="GD21" s="29" t="str">
        <f>IF(OR($B21="",$A21&lt;48),"",--MID('Key Analysis'!$C17,48,1))</f>
        <v/>
      </c>
      <c r="GE21" s="29" t="str">
        <f>IF(OR($B21="",$A21&lt;49),"",--MID('Key Analysis'!$C17,49,1))</f>
        <v/>
      </c>
      <c r="GF21" s="29" t="str">
        <f>IF(OR($B21="",$A21&lt;50),"",--MID('Key Analysis'!$C17,50,1))</f>
        <v/>
      </c>
      <c r="GG21" s="29" t="str">
        <f>IF(OR($B21="",$A21&lt;51),"",--MID('Key Analysis'!$C17,51,1))</f>
        <v/>
      </c>
      <c r="GH21" s="29" t="str">
        <f>IF(OR($B21="",$A21&lt;52),"",--MID('Key Analysis'!$C17,52,1))</f>
        <v/>
      </c>
      <c r="GI21" s="29" t="str">
        <f>IF(OR($B21="",$A21&lt;53),"",--MID('Key Analysis'!$C17,53,1))</f>
        <v/>
      </c>
      <c r="GJ21" s="29" t="str">
        <f>IF(OR($B21="",$A21&lt;54),"",--MID('Key Analysis'!$C17,54,1))</f>
        <v/>
      </c>
      <c r="GK21" s="29" t="str">
        <f>IF(OR($B21="",$A21&lt;55),"",--MID('Key Analysis'!$C17,55,1))</f>
        <v/>
      </c>
      <c r="GL21" s="29" t="str">
        <f>IF(OR($B21="",$A21&lt;56),"",--MID('Key Analysis'!$C17,56,1))</f>
        <v/>
      </c>
      <c r="GM21" s="29" t="str">
        <f>IF(OR($B21="",$A21&lt;57),"",--MID('Key Analysis'!$C17,57,1))</f>
        <v/>
      </c>
      <c r="GN21" s="29" t="str">
        <f>IF(OR($B21="",$A21&lt;58),"",--MID('Key Analysis'!$C17,58,1))</f>
        <v/>
      </c>
      <c r="GO21" s="29" t="str">
        <f>IF(OR($B21="",$A21&lt;59),"",--MID('Key Analysis'!$C17,59,1))</f>
        <v/>
      </c>
      <c r="GP21" s="29" t="str">
        <f>IF(OR($B21="",$A21&lt;60),"",--MID('Key Analysis'!$C17,60,1))</f>
        <v/>
      </c>
      <c r="GQ21" s="29" t="str">
        <f>IF(OR($B21="",$A21&lt;61),"",--MID('Key Analysis'!$C17,61,1))</f>
        <v/>
      </c>
      <c r="GR21" s="29" t="str">
        <f>IF(OR($B21="",$A21&lt;62),"",--MID('Key Analysis'!$C17,62,1))</f>
        <v/>
      </c>
      <c r="GS21" s="29" t="str">
        <f>IF(OR($B21="",$A21&lt;63),"",--MID('Key Analysis'!$C17,63,1))</f>
        <v/>
      </c>
      <c r="GT21" s="29" t="str">
        <f>IF(OR($B21="",$A21&lt;64),"",--MID('Key Analysis'!$C17,64,1))</f>
        <v/>
      </c>
      <c r="GU21" s="29" t="str">
        <f>IF(OR($B21="",$A21&lt;65),"",--MID('Key Analysis'!$C17,65,1))</f>
        <v/>
      </c>
      <c r="GV21" s="29" t="str">
        <f>IF(OR($B21="",$A21&lt;66),"",--MID('Key Analysis'!$C17,66,1))</f>
        <v/>
      </c>
      <c r="GW21" s="29" t="str">
        <f>IF(OR($B21="",$A21&lt;67),"",--MID('Key Analysis'!$C17,67,1))</f>
        <v/>
      </c>
      <c r="GX21" s="29" t="str">
        <f>IF(OR($B21="",$A21&lt;68),"",--MID('Key Analysis'!$C17,68,1))</f>
        <v/>
      </c>
      <c r="GY21" s="29" t="str">
        <f>IF(OR($B21="",$A21&lt;69),"",--MID('Key Analysis'!$C17,69,1))</f>
        <v/>
      </c>
      <c r="GZ21" s="29" t="str">
        <f>IF(OR($B21="",$A21&lt;70),"",--MID('Key Analysis'!$C17,70,1))</f>
        <v/>
      </c>
      <c r="HA21" s="29" t="str">
        <f>IF(OR($B21="",$A21&lt;71),"",--MID('Key Analysis'!$C17,71,1))</f>
        <v/>
      </c>
      <c r="HB21" s="29" t="str">
        <f>IF(OR($B21="",$A21&lt;72),"",--MID('Key Analysis'!$C17,72,1))</f>
        <v/>
      </c>
      <c r="HC21" s="29" t="str">
        <f>IF(OR($B21="",$A21&lt;73),"",--MID('Key Analysis'!$C17,73,1))</f>
        <v/>
      </c>
      <c r="HD21" s="29" t="str">
        <f>IF(OR($B21="",$A21&lt;74),"",--MID('Key Analysis'!$C17,74,1))</f>
        <v/>
      </c>
      <c r="HE21" s="29" t="str">
        <f>IF(OR($B21="",$A21&lt;75),"",--MID('Key Analysis'!$C17,75,1))</f>
        <v/>
      </c>
      <c r="HF21" s="29" t="str">
        <f>IF(OR($B21="",$A21&lt;76),"",--MID('Key Analysis'!$C17,76,1))</f>
        <v/>
      </c>
      <c r="HG21" s="29" t="str">
        <f>IF(OR($B21="",$A21&lt;77),"",--MID('Key Analysis'!$C17,77,1))</f>
        <v/>
      </c>
      <c r="HH21" s="29" t="str">
        <f>IF(OR($B21="",$A21&lt;78),"",--MID('Key Analysis'!$C17,78,1))</f>
        <v/>
      </c>
      <c r="HI21" s="29" t="str">
        <f>IF(OR($B21="",$A21&lt;79),"",--MID('Key Analysis'!$C17,79,1))</f>
        <v/>
      </c>
      <c r="HJ21" s="29" t="str">
        <f>IF(OR($B21="",$A21&lt;80),"",--MID('Key Analysis'!$C17,80,1))</f>
        <v/>
      </c>
      <c r="HK21" s="29" t="str">
        <f>IF(OR($B21="",$A21&lt;81),"",--MID('Key Analysis'!$C17,81,1))</f>
        <v/>
      </c>
      <c r="HL21" s="29" t="str">
        <f>IF(OR($B21="",$A21&lt;82),"",--MID('Key Analysis'!$C17,82,1))</f>
        <v/>
      </c>
      <c r="HM21" s="29" t="str">
        <f>IF(OR($B21="",$A21&lt;83),"",--MID('Key Analysis'!$C17,83,1))</f>
        <v/>
      </c>
      <c r="HN21" s="29" t="str">
        <f>IF(OR($B21="",$A21&lt;84),"",--MID('Key Analysis'!$C17,84,1))</f>
        <v/>
      </c>
      <c r="HO21" s="29" t="str">
        <f>IF(OR($B21="",$A21&lt;85),"",--MID('Key Analysis'!$C17,85,1))</f>
        <v/>
      </c>
      <c r="HP21" s="29" t="str">
        <f>IF(OR($B21="",$A21&lt;86),"",--MID('Key Analysis'!$C17,86,1))</f>
        <v/>
      </c>
      <c r="HQ21" s="29" t="str">
        <f>IF(OR($B21="",$A21&lt;87),"",--MID('Key Analysis'!$C17,87,1))</f>
        <v/>
      </c>
      <c r="HR21" s="29" t="str">
        <f>IF(OR($B21="",$A21&lt;88),"",--MID('Key Analysis'!$C17,88,1))</f>
        <v/>
      </c>
      <c r="HS21" s="29" t="str">
        <f>IF(OR($B21="",$A21&lt;89),"",--MID('Key Analysis'!$C17,89,1))</f>
        <v/>
      </c>
      <c r="HT21" s="29" t="str">
        <f>IF(OR($B21="",$A21&lt;90),"",--MID('Key Analysis'!$C17,90,1))</f>
        <v/>
      </c>
      <c r="HU21" s="29" t="str">
        <f>IF(OR($B21="",$A21&lt;91),"",--MID('Key Analysis'!$C17,91,1))</f>
        <v/>
      </c>
      <c r="HV21" s="29" t="str">
        <f>IF(OR($B21="",$A21&lt;92),"",--MID('Key Analysis'!$C17,92,1))</f>
        <v/>
      </c>
      <c r="HW21" s="29" t="str">
        <f>IF(OR($B21="",$A21&lt;93),"",--MID('Key Analysis'!$C17,93,1))</f>
        <v/>
      </c>
      <c r="HX21" s="29" t="str">
        <f>IF(OR($B21="",$A21&lt;94),"",--MID('Key Analysis'!$C17,94,1))</f>
        <v/>
      </c>
      <c r="HY21" s="29" t="str">
        <f>IF(OR($B21="",$A21&lt;95),"",--MID('Key Analysis'!$C17,95,1))</f>
        <v/>
      </c>
      <c r="HZ21" s="29" t="str">
        <f>IF(OR($B21="",$A21&lt;96),"",--MID('Key Analysis'!$C17,96,1))</f>
        <v/>
      </c>
      <c r="IA21" s="29" t="str">
        <f>IF(OR($B21="",$A21&lt;97),"",--MID('Key Analysis'!$C17,97,1))</f>
        <v/>
      </c>
      <c r="IB21" s="29" t="str">
        <f>IF(OR($B21="",$A21&lt;98),"",--MID('Key Analysis'!$C17,98,1))</f>
        <v/>
      </c>
      <c r="IC21" s="29" t="str">
        <f>IF(OR($B21="",$A21&lt;99),"",--MID('Key Analysis'!$C17,99,1))</f>
        <v/>
      </c>
      <c r="ID21" s="29" t="str">
        <f>IF(OR($B21="",$A21&lt;100),"",--MID('Key Analysis'!$C17,100,1))</f>
        <v/>
      </c>
      <c r="IE21" s="29" t="str">
        <f>IF(OR($B21="",$A21&lt;101),"",--MID('Key Analysis'!$C17,101,1))</f>
        <v/>
      </c>
      <c r="IF21" s="29" t="str">
        <f>IF(OR($B21="",$A21&lt;102),"",--MID('Key Analysis'!$C17,102,1))</f>
        <v/>
      </c>
      <c r="IG21" s="29" t="str">
        <f>IF(OR($B21="",$A21&lt;103),"",--MID('Key Analysis'!$C17,103,1))</f>
        <v/>
      </c>
      <c r="IH21" s="29" t="str">
        <f>IF(OR($B21="",$A21&lt;104),"",--MID('Key Analysis'!$C17,104,1))</f>
        <v/>
      </c>
      <c r="II21" s="29" t="str">
        <f>IF(OR($B21="",$A21&lt;105),"",--MID('Key Analysis'!$C17,105,1))</f>
        <v/>
      </c>
      <c r="IJ21" s="29" t="str">
        <f>IF(OR($B21="",$A21&lt;106),"",--MID('Key Analysis'!$C17,106,1))</f>
        <v/>
      </c>
      <c r="IK21" s="29" t="str">
        <f>IF(OR($B21="",$A21&lt;107),"",--MID('Key Analysis'!$C17,107,1))</f>
        <v/>
      </c>
      <c r="IL21" s="29" t="str">
        <f>IF(OR($B21="",$A21&lt;108),"",--MID('Key Analysis'!$C17,108,1))</f>
        <v/>
      </c>
      <c r="IM21" s="29" t="str">
        <f>IF(OR($B21="",$A21&lt;109),"",--MID('Key Analysis'!$C17,109,1))</f>
        <v/>
      </c>
      <c r="IN21" s="29" t="str">
        <f>IF(OR($B21="",$A21&lt;110),"",--MID('Key Analysis'!$C17,110,1))</f>
        <v/>
      </c>
      <c r="IO21" s="29" t="str">
        <f>IF(OR($B21="",$A21&lt;111),"",--MID('Key Analysis'!$C17,111,1))</f>
        <v/>
      </c>
      <c r="IP21" s="29" t="str">
        <f>IF(OR($B21="",$A21&lt;112),"",--MID('Key Analysis'!$C17,112,1))</f>
        <v/>
      </c>
      <c r="IQ21" s="29" t="str">
        <f>IF(OR($B21="",$A21&lt;113),"",--MID('Key Analysis'!$C17,113,1))</f>
        <v/>
      </c>
      <c r="IR21" s="29" t="str">
        <f>IF(OR($B21="",$A21&lt;114),"",--MID('Key Analysis'!$C17,114,1))</f>
        <v/>
      </c>
      <c r="IS21" s="29" t="str">
        <f>IF(OR($B21="",$A21&lt;115),"",--MID('Key Analysis'!$C17,115,1))</f>
        <v/>
      </c>
      <c r="IT21" s="29" t="str">
        <f>IF(OR($B21="",$A21&lt;116),"",--MID('Key Analysis'!$C17,116,1))</f>
        <v/>
      </c>
      <c r="IU21" s="29" t="str">
        <f>IF(OR($B21="",$A21&lt;117),"",--MID('Key Analysis'!$C17,117,1))</f>
        <v/>
      </c>
      <c r="IV21" s="29" t="str">
        <f>IF(OR($B21="",$A21&lt;118),"",--MID('Key Analysis'!$C17,118,1))</f>
        <v/>
      </c>
      <c r="IW21" s="29" t="str">
        <f>IF(OR($B21="",$A21&lt;119),"",--MID('Key Analysis'!$C17,119,1))</f>
        <v/>
      </c>
      <c r="IX21" s="29" t="str">
        <f>IF(OR($B21="",$A21&lt;120),"",--MID('Key Analysis'!$C17,120,1))</f>
        <v/>
      </c>
      <c r="IY21" s="29" t="str">
        <f>IF(OR($B21="",$A21&lt;121),"",--MID('Key Analysis'!$C17,121,1))</f>
        <v/>
      </c>
      <c r="IZ21" s="29" t="str">
        <f>IF(OR($B21="",$A21&lt;122),"",--MID('Key Analysis'!$C17,122,1))</f>
        <v/>
      </c>
      <c r="JA21" s="29" t="str">
        <f>IF(OR($B21="",$A21&lt;123),"",--MID('Key Analysis'!$C17,123,1))</f>
        <v/>
      </c>
      <c r="JB21" s="29" t="str">
        <f>IF(OR($B21="",$A21&lt;124),"",--MID('Key Analysis'!$C17,124,1))</f>
        <v/>
      </c>
      <c r="JC21" s="29" t="str">
        <f>IF(OR($B21="",$A21&lt;125),"",--MID('Key Analysis'!$C17,125,1))</f>
        <v/>
      </c>
      <c r="JD21" s="29" t="str">
        <f>IF(OR($B21="",$A21&lt;126),"",--MID('Key Analysis'!$C17,126,1))</f>
        <v/>
      </c>
      <c r="JE21" s="29" t="str">
        <f>IF(OR($B21="",$A21&lt;127),"",--MID('Key Analysis'!$C17,127,1))</f>
        <v/>
      </c>
      <c r="JF21" s="29" t="str">
        <f>IF(OR($B21="",$A21&lt;128),"",--MID('Key Analysis'!$C17,128,1))</f>
        <v/>
      </c>
      <c r="JG21" s="29" t="str">
        <f>IF(OR($B21="",$A21&lt;129),"",--MID('Key Analysis'!$C17,129,1))</f>
        <v/>
      </c>
      <c r="JH21" s="29" t="str">
        <f>IF(OR($B21="",$A21&lt;130),"",--MID('Key Analysis'!$C17,130,1))</f>
        <v/>
      </c>
      <c r="JI21" s="29" t="str">
        <f>IF(OR($B21="",$A21&lt;131),"",--MID('Key Analysis'!$C17,131,1))</f>
        <v/>
      </c>
      <c r="JJ21" s="29" t="str">
        <f>IF(OR($B21="",$A21&lt;132),"",--MID('Key Analysis'!$C17,132,1))</f>
        <v/>
      </c>
      <c r="JK21" s="29" t="str">
        <f>IF(OR($B21="",$A21&lt;133),"",--MID('Key Analysis'!$C17,133,1))</f>
        <v/>
      </c>
      <c r="JL21" s="29" t="str">
        <f>IF(OR($B21="",$A21&lt;134),"",--MID('Key Analysis'!$C17,134,1))</f>
        <v/>
      </c>
      <c r="JM21" s="29" t="str">
        <f>IF(OR($B21="",$A21&lt;135),"",--MID('Key Analysis'!$C17,135,1))</f>
        <v/>
      </c>
    </row>
    <row r="22" spans="1:273" x14ac:dyDescent="0.25">
      <c r="A22" s="21">
        <f>'Key Analysis'!A18</f>
        <v>17</v>
      </c>
      <c r="B22" s="30" t="str">
        <f>'Key Analysis'!B18</f>
        <v>1764f</v>
      </c>
      <c r="C22" s="29">
        <f>IF(OR($B22="",$A22&lt;=0),"",--MID('Key Analysis'!$C18,$A22-0,1))</f>
        <v>1</v>
      </c>
      <c r="D22" s="29">
        <f>IF(OR($B22="",$A22&lt;=1),"",--MID('Key Analysis'!$C18,$A22-1,1))</f>
        <v>1</v>
      </c>
      <c r="E22" s="29">
        <f>IF(OR($B22="",$A22&lt;=2),"",--MID('Key Analysis'!$C18,$A22-2,1))</f>
        <v>1</v>
      </c>
      <c r="F22" s="29">
        <f>IF(OR($B22="",$A22&lt;=3),"",--MID('Key Analysis'!$C18,$A22-3,1))</f>
        <v>1</v>
      </c>
      <c r="G22" s="29">
        <f>IF(OR($B22="",$A22&lt;=4),"",--MID('Key Analysis'!$C18,$A22-4,1))</f>
        <v>0</v>
      </c>
      <c r="H22" s="29">
        <f>IF(OR($B22="",$A22&lt;=5),"",--MID('Key Analysis'!$C18,$A22-5,1))</f>
        <v>0</v>
      </c>
      <c r="I22" s="29">
        <f>IF(OR($B22="",$A22&lt;=6),"",--MID('Key Analysis'!$C18,$A22-6,1))</f>
        <v>1</v>
      </c>
      <c r="J22" s="29">
        <f>IF(OR($B22="",$A22&lt;=7),"",--MID('Key Analysis'!$C18,$A22-7,1))</f>
        <v>0</v>
      </c>
      <c r="K22" s="29">
        <f>IF(OR($B22="",$A22&lt;=8),"",--MID('Key Analysis'!$C18,$A22-8,1))</f>
        <v>0</v>
      </c>
      <c r="L22" s="29">
        <f>IF(OR($B22="",$A22&lt;=9),"",--MID('Key Analysis'!$C18,$A22-9,1))</f>
        <v>1</v>
      </c>
      <c r="M22" s="29">
        <f>IF(OR($B22="",$A22&lt;=10),"",--MID('Key Analysis'!$C18,$A22-10,1))</f>
        <v>1</v>
      </c>
      <c r="N22" s="29">
        <f>IF(OR($B22="",$A22&lt;=11),"",--MID('Key Analysis'!$C18,$A22-11,1))</f>
        <v>0</v>
      </c>
      <c r="O22" s="29">
        <f>IF(OR($B22="",$A22&lt;=12),"",--MID('Key Analysis'!$C18,$A22-12,1))</f>
        <v>1</v>
      </c>
      <c r="P22" s="29">
        <f>IF(OR($B22="",$A22&lt;=13),"",--MID('Key Analysis'!$C18,$A22-13,1))</f>
        <v>1</v>
      </c>
      <c r="Q22" s="29">
        <f>IF(OR($B22="",$A22&lt;=14),"",--MID('Key Analysis'!$C18,$A22-14,1))</f>
        <v>1</v>
      </c>
      <c r="R22" s="29">
        <f>IF(OR($B22="",$A22&lt;=15),"",--MID('Key Analysis'!$C18,$A22-15,1))</f>
        <v>0</v>
      </c>
      <c r="S22" s="29">
        <f>IF(OR($B22="",$A22&lt;=16),"",--MID('Key Analysis'!$C18,$A22-16,1))</f>
        <v>1</v>
      </c>
      <c r="T22" s="29" t="str">
        <f>IF(OR($B22="",$A22&lt;=17),"",--MID('Key Analysis'!$C18,$A22-17,1))</f>
        <v/>
      </c>
      <c r="U22" s="29" t="str">
        <f>IF(OR($B22="",$A22&lt;=18),"",--MID('Key Analysis'!$C18,$A22-18,1))</f>
        <v/>
      </c>
      <c r="V22" s="29" t="str">
        <f>IF(OR($B22="",$A22&lt;=19),"",--MID('Key Analysis'!$C18,$A22-19,1))</f>
        <v/>
      </c>
      <c r="W22" s="29" t="str">
        <f>IF(OR($B22="",$A22&lt;=20),"",--MID('Key Analysis'!$C18,$A22-20,1))</f>
        <v/>
      </c>
      <c r="X22" s="29" t="str">
        <f>IF(OR($B22="",$A22&lt;=21),"",--MID('Key Analysis'!$C18,$A22-21,1))</f>
        <v/>
      </c>
      <c r="Y22" s="29" t="str">
        <f>IF(OR($B22="",$A22&lt;=22),"",--MID('Key Analysis'!$C18,$A22-22,1))</f>
        <v/>
      </c>
      <c r="Z22" s="29" t="str">
        <f>IF(OR($B22="",$A22&lt;=23),"",--MID('Key Analysis'!$C18,$A22-23,1))</f>
        <v/>
      </c>
      <c r="AA22" s="29" t="str">
        <f>IF(OR($B22="",$A22&lt;=24),"",--MID('Key Analysis'!$C18,$A22-24,1))</f>
        <v/>
      </c>
      <c r="AB22" s="29" t="str">
        <f>IF(OR($B22="",$A22&lt;=25),"",--MID('Key Analysis'!$C18,$A22-25,1))</f>
        <v/>
      </c>
      <c r="AC22" s="29" t="str">
        <f>IF(OR($B22="",$A22&lt;=26),"",--MID('Key Analysis'!$C18,$A22-26,1))</f>
        <v/>
      </c>
      <c r="AD22" s="29" t="str">
        <f>IF(OR($B22="",$A22&lt;=27),"",--MID('Key Analysis'!$C18,$A22-27,1))</f>
        <v/>
      </c>
      <c r="AE22" s="29" t="str">
        <f>IF(OR($B22="",$A22&lt;=28),"",--MID('Key Analysis'!$C18,$A22-28,1))</f>
        <v/>
      </c>
      <c r="AF22" s="29" t="str">
        <f>IF(OR($B22="",$A22&lt;=29),"",--MID('Key Analysis'!$C18,$A22-29,1))</f>
        <v/>
      </c>
      <c r="AG22" s="29" t="str">
        <f>IF(OR($B22="",$A22&lt;=30),"",--MID('Key Analysis'!$C18,$A22-30,1))</f>
        <v/>
      </c>
      <c r="AH22" s="29" t="str">
        <f>IF(OR($B22="",$A22&lt;=31),"",--MID('Key Analysis'!$C18,$A22-31,1))</f>
        <v/>
      </c>
      <c r="AI22" s="29" t="str">
        <f>IF(OR($B22="",$A22&lt;=32),"",--MID('Key Analysis'!$C18,$A22-32,1))</f>
        <v/>
      </c>
      <c r="AJ22" s="29" t="str">
        <f>IF(OR($B22="",$A22&lt;=33),"",--MID('Key Analysis'!$C18,$A22-33,1))</f>
        <v/>
      </c>
      <c r="AK22" s="29" t="str">
        <f>IF(OR($B22="",$A22&lt;=34),"",--MID('Key Analysis'!$C18,$A22-34,1))</f>
        <v/>
      </c>
      <c r="AL22" s="29" t="str">
        <f>IF(OR($B22="",$A22&lt;=35),"",--MID('Key Analysis'!$C18,$A22-35,1))</f>
        <v/>
      </c>
      <c r="AM22" s="29" t="str">
        <f>IF(OR($B22="",$A22&lt;=36),"",--MID('Key Analysis'!$C18,$A22-36,1))</f>
        <v/>
      </c>
      <c r="AN22" s="29" t="str">
        <f>IF(OR($B22="",$A22&lt;=37),"",--MID('Key Analysis'!$C18,$A22-37,1))</f>
        <v/>
      </c>
      <c r="AO22" s="29" t="str">
        <f>IF(OR($B22="",$A22&lt;=38),"",--MID('Key Analysis'!$C18,$A22-38,1))</f>
        <v/>
      </c>
      <c r="AP22" s="29" t="str">
        <f>IF(OR($B22="",$A22&lt;=39),"",--MID('Key Analysis'!$C18,$A22-39,1))</f>
        <v/>
      </c>
      <c r="AQ22" s="29" t="str">
        <f>IF(OR($B22="",$A22&lt;=40),"",--MID('Key Analysis'!$C18,$A22-40,1))</f>
        <v/>
      </c>
      <c r="AR22" s="29" t="str">
        <f>IF(OR($B22="",$A22&lt;=41),"",--MID('Key Analysis'!$C18,$A22-41,1))</f>
        <v/>
      </c>
      <c r="AS22" s="29" t="str">
        <f>IF(OR($B22="",$A22&lt;=42),"",--MID('Key Analysis'!$C18,$A22-42,1))</f>
        <v/>
      </c>
      <c r="AT22" s="29" t="str">
        <f>IF(OR($B22="",$A22&lt;=43),"",--MID('Key Analysis'!$C18,$A22-43,1))</f>
        <v/>
      </c>
      <c r="AU22" s="29" t="str">
        <f>IF(OR($B22="",$A22&lt;=44),"",--MID('Key Analysis'!$C18,$A22-44,1))</f>
        <v/>
      </c>
      <c r="AV22" s="29" t="str">
        <f>IF(OR($B22="",$A22&lt;=45),"",--MID('Key Analysis'!$C18,$A22-45,1))</f>
        <v/>
      </c>
      <c r="AW22" s="29" t="str">
        <f>IF(OR($B22="",$A22&lt;=46),"",--MID('Key Analysis'!$C18,$A22-46,1))</f>
        <v/>
      </c>
      <c r="AX22" s="29" t="str">
        <f>IF(OR($B22="",$A22&lt;=47),"",--MID('Key Analysis'!$C18,$A22-47,1))</f>
        <v/>
      </c>
      <c r="AY22" s="29" t="str">
        <f>IF(OR($B22="",$A22&lt;=48),"",--MID('Key Analysis'!$C18,$A22-48,1))</f>
        <v/>
      </c>
      <c r="AZ22" s="29" t="str">
        <f>IF(OR($B22="",$A22&lt;=49),"",--MID('Key Analysis'!$C18,$A22-49,1))</f>
        <v/>
      </c>
      <c r="BA22" s="29" t="str">
        <f>IF(OR($B22="",$A22&lt;=50),"",--MID('Key Analysis'!$C18,$A22-50,1))</f>
        <v/>
      </c>
      <c r="BB22" s="29" t="str">
        <f>IF(OR($B22="",$A22&lt;=51),"",--MID('Key Analysis'!$C18,$A22-51,1))</f>
        <v/>
      </c>
      <c r="BC22" s="29" t="str">
        <f>IF(OR($B22="",$A22&lt;=52),"",--MID('Key Analysis'!$C18,$A22-52,1))</f>
        <v/>
      </c>
      <c r="BD22" s="29" t="str">
        <f>IF(OR($B22="",$A22&lt;=53),"",--MID('Key Analysis'!$C18,$A22-53,1))</f>
        <v/>
      </c>
      <c r="BE22" s="29" t="str">
        <f>IF(OR($B22="",$A22&lt;=54),"",--MID('Key Analysis'!$C18,$A22-54,1))</f>
        <v/>
      </c>
      <c r="BF22" s="29" t="str">
        <f>IF(OR($B22="",$A22&lt;=55),"",--MID('Key Analysis'!$C18,$A22-55,1))</f>
        <v/>
      </c>
      <c r="BG22" s="29" t="str">
        <f>IF(OR($B22="",$A22&lt;=56),"",--MID('Key Analysis'!$C18,$A22-56,1))</f>
        <v/>
      </c>
      <c r="BH22" s="29" t="str">
        <f>IF(OR($B22="",$A22&lt;=57),"",--MID('Key Analysis'!$C18,$A22-57,1))</f>
        <v/>
      </c>
      <c r="BI22" s="29" t="str">
        <f>IF(OR($B22="",$A22&lt;=58),"",--MID('Key Analysis'!$C18,$A22-58,1))</f>
        <v/>
      </c>
      <c r="BJ22" s="29" t="str">
        <f>IF(OR($B22="",$A22&lt;=59),"",--MID('Key Analysis'!$C18,$A22-59,1))</f>
        <v/>
      </c>
      <c r="BK22" s="29" t="str">
        <f>IF(OR($B22="",$A22&lt;=60),"",--MID('Key Analysis'!$C18,$A22-60,1))</f>
        <v/>
      </c>
      <c r="BL22" s="29" t="str">
        <f>IF(OR($B22="",$A22&lt;=61),"",--MID('Key Analysis'!$C18,$A22-61,1))</f>
        <v/>
      </c>
      <c r="BM22" s="29" t="str">
        <f>IF(OR($B22="",$A22&lt;=62),"",--MID('Key Analysis'!$C18,$A22-62,1))</f>
        <v/>
      </c>
      <c r="BN22" s="29" t="str">
        <f>IF(OR($B22="",$A22&lt;=63),"",--MID('Key Analysis'!$C18,$A22-63,1))</f>
        <v/>
      </c>
      <c r="BO22" s="29" t="str">
        <f>IF(OR($B22="",$A22&lt;=64),"",--MID('Key Analysis'!$C18,$A22-64,1))</f>
        <v/>
      </c>
      <c r="BP22" s="29" t="str">
        <f>IF(OR($B22="",$A22&lt;=65),"",--MID('Key Analysis'!$C18,$A22-65,1))</f>
        <v/>
      </c>
      <c r="BQ22" s="29" t="str">
        <f>IF(OR($B22="",$A22&lt;=66),"",--MID('Key Analysis'!$C18,$A22-66,1))</f>
        <v/>
      </c>
      <c r="BR22" s="29" t="str">
        <f>IF(OR($B22="",$A22&lt;=67),"",--MID('Key Analysis'!$C18,$A22-67,1))</f>
        <v/>
      </c>
      <c r="BS22" s="29" t="str">
        <f>IF(OR($B22="",$A22&lt;=68),"",--MID('Key Analysis'!$C18,$A22-68,1))</f>
        <v/>
      </c>
      <c r="BT22" s="29" t="str">
        <f>IF(OR($B22="",$A22&lt;=69),"",--MID('Key Analysis'!$C18,$A22-69,1))</f>
        <v/>
      </c>
      <c r="BU22" s="29" t="str">
        <f>IF(OR($B22="",$A22&lt;=70),"",--MID('Key Analysis'!$C18,$A22-70,1))</f>
        <v/>
      </c>
      <c r="BV22" s="29" t="str">
        <f>IF(OR($B22="",$A22&lt;=71),"",--MID('Key Analysis'!$C18,$A22-71,1))</f>
        <v/>
      </c>
      <c r="BW22" s="29" t="str">
        <f>IF(OR($B22="",$A22&lt;=72),"",--MID('Key Analysis'!$C18,$A22-72,1))</f>
        <v/>
      </c>
      <c r="BX22" s="29" t="str">
        <f>IF(OR($B22="",$A22&lt;=73),"",--MID('Key Analysis'!$C18,$A22-73,1))</f>
        <v/>
      </c>
      <c r="BY22" s="29" t="str">
        <f>IF(OR($B22="",$A22&lt;=74),"",--MID('Key Analysis'!$C18,$A22-74,1))</f>
        <v/>
      </c>
      <c r="BZ22" s="29" t="str">
        <f>IF(OR($B22="",$A22&lt;=75),"",--MID('Key Analysis'!$C18,$A22-75,1))</f>
        <v/>
      </c>
      <c r="CA22" s="29" t="str">
        <f>IF(OR($B22="",$A22&lt;=76),"",--MID('Key Analysis'!$C18,$A22-76,1))</f>
        <v/>
      </c>
      <c r="CB22" s="29" t="str">
        <f>IF(OR($B22="",$A22&lt;=77),"",--MID('Key Analysis'!$C18,$A22-77,1))</f>
        <v/>
      </c>
      <c r="CC22" s="29" t="str">
        <f>IF(OR($B22="",$A22&lt;=78),"",--MID('Key Analysis'!$C18,$A22-78,1))</f>
        <v/>
      </c>
      <c r="CD22" s="29" t="str">
        <f>IF(OR($B22="",$A22&lt;=79),"",--MID('Key Analysis'!$C18,$A22-79,1))</f>
        <v/>
      </c>
      <c r="CE22" s="29" t="str">
        <f>IF(OR($B22="",$A22&lt;=80),"",--MID('Key Analysis'!$C18,$A22-80,1))</f>
        <v/>
      </c>
      <c r="CF22" s="29" t="str">
        <f>IF(OR($B22="",$A22&lt;=81),"",--MID('Key Analysis'!$C18,$A22-81,1))</f>
        <v/>
      </c>
      <c r="CG22" s="29" t="str">
        <f>IF(OR($B22="",$A22&lt;=82),"",--MID('Key Analysis'!$C18,$A22-82,1))</f>
        <v/>
      </c>
      <c r="CH22" s="29" t="str">
        <f>IF(OR($B22="",$A22&lt;=83),"",--MID('Key Analysis'!$C18,$A22-83,1))</f>
        <v/>
      </c>
      <c r="CI22" s="29" t="str">
        <f>IF(OR($B22="",$A22&lt;=84),"",--MID('Key Analysis'!$C18,$A22-84,1))</f>
        <v/>
      </c>
      <c r="CJ22" s="29" t="str">
        <f>IF(OR($B22="",$A22&lt;=85),"",--MID('Key Analysis'!$C18,$A22-85,1))</f>
        <v/>
      </c>
      <c r="CK22" s="29" t="str">
        <f>IF(OR($B22="",$A22&lt;=86),"",--MID('Key Analysis'!$C18,$A22-86,1))</f>
        <v/>
      </c>
      <c r="CL22" s="29" t="str">
        <f>IF(OR($B22="",$A22&lt;=87),"",--MID('Key Analysis'!$C18,$A22-87,1))</f>
        <v/>
      </c>
      <c r="CM22" s="29" t="str">
        <f>IF(OR($B22="",$A22&lt;=88),"",--MID('Key Analysis'!$C18,$A22-88,1))</f>
        <v/>
      </c>
      <c r="CN22" s="29" t="str">
        <f>IF(OR($B22="",$A22&lt;=89),"",--MID('Key Analysis'!$C18,$A22-89,1))</f>
        <v/>
      </c>
      <c r="CO22" s="29" t="str">
        <f>IF(OR($B22="",$A22&lt;=90),"",--MID('Key Analysis'!$C18,$A22-90,1))</f>
        <v/>
      </c>
      <c r="CP22" s="29" t="str">
        <f>IF(OR($B22="",$A22&lt;=91),"",--MID('Key Analysis'!$C18,$A22-91,1))</f>
        <v/>
      </c>
      <c r="CQ22" s="29" t="str">
        <f>IF(OR($B22="",$A22&lt;=92),"",--MID('Key Analysis'!$C18,$A22-92,1))</f>
        <v/>
      </c>
      <c r="CR22" s="29" t="str">
        <f>IF(OR($B22="",$A22&lt;=93),"",--MID('Key Analysis'!$C18,$A22-93,1))</f>
        <v/>
      </c>
      <c r="CS22" s="29" t="str">
        <f>IF(OR($B22="",$A22&lt;=94),"",--MID('Key Analysis'!$C18,$A22-94,1))</f>
        <v/>
      </c>
      <c r="CT22" s="29" t="str">
        <f>IF(OR($B22="",$A22&lt;=95),"",--MID('Key Analysis'!$C18,$A22-95,1))</f>
        <v/>
      </c>
      <c r="CU22" s="29" t="str">
        <f>IF(OR($B22="",$A22&lt;=96),"",--MID('Key Analysis'!$C18,$A22-96,1))</f>
        <v/>
      </c>
      <c r="CV22" s="29" t="str">
        <f>IF(OR($B22="",$A22&lt;=97),"",--MID('Key Analysis'!$C18,$A22-97,1))</f>
        <v/>
      </c>
      <c r="CW22" s="29" t="str">
        <f>IF(OR($B22="",$A22&lt;=98),"",--MID('Key Analysis'!$C18,$A22-98,1))</f>
        <v/>
      </c>
      <c r="CX22" s="29" t="str">
        <f>IF(OR($B22="",$A22&lt;=99),"",--MID('Key Analysis'!$C18,$A22-99,1))</f>
        <v/>
      </c>
      <c r="CY22" s="29" t="str">
        <f>IF(OR($B22="",$A22&lt;=100),"",--MID('Key Analysis'!$C18,$A22-100,1))</f>
        <v/>
      </c>
      <c r="CZ22" s="29" t="str">
        <f>IF(OR($B22="",$A22&lt;=101),"",--MID('Key Analysis'!$C18,$A22-101,1))</f>
        <v/>
      </c>
      <c r="DA22" s="29" t="str">
        <f>IF(OR($B22="",$A22&lt;=102),"",--MID('Key Analysis'!$C18,$A22-102,1))</f>
        <v/>
      </c>
      <c r="DB22" s="29" t="str">
        <f>IF(OR($B22="",$A22&lt;=103),"",--MID('Key Analysis'!$C18,$A22-103,1))</f>
        <v/>
      </c>
      <c r="DC22" s="29" t="str">
        <f>IF(OR($B22="",$A22&lt;=104),"",--MID('Key Analysis'!$C18,$A22-104,1))</f>
        <v/>
      </c>
      <c r="DD22" s="29" t="str">
        <f>IF(OR($B22="",$A22&lt;=105),"",--MID('Key Analysis'!$C18,$A22-105,1))</f>
        <v/>
      </c>
      <c r="DE22" s="29" t="str">
        <f>IF(OR($B22="",$A22&lt;=106),"",--MID('Key Analysis'!$C18,$A22-106,1))</f>
        <v/>
      </c>
      <c r="DF22" s="29" t="str">
        <f>IF(OR($B22="",$A22&lt;=107),"",--MID('Key Analysis'!$C18,$A22-107,1))</f>
        <v/>
      </c>
      <c r="DG22" s="29" t="str">
        <f>IF(OR($B22="",$A22&lt;=108),"",--MID('Key Analysis'!$C18,$A22-108,1))</f>
        <v/>
      </c>
      <c r="DH22" s="29" t="str">
        <f>IF(OR($B22="",$A22&lt;=109),"",--MID('Key Analysis'!$C18,$A22-109,1))</f>
        <v/>
      </c>
      <c r="DI22" s="29" t="str">
        <f>IF(OR($B22="",$A22&lt;=110),"",--MID('Key Analysis'!$C18,$A22-110,1))</f>
        <v/>
      </c>
      <c r="DJ22" s="29" t="str">
        <f>IF(OR($B22="",$A22&lt;=111),"",--MID('Key Analysis'!$C18,$A22-111,1))</f>
        <v/>
      </c>
      <c r="DK22" s="29" t="str">
        <f>IF(OR($B22="",$A22&lt;=112),"",--MID('Key Analysis'!$C18,$A22-112,1))</f>
        <v/>
      </c>
      <c r="DL22" s="29" t="str">
        <f>IF(OR($B22="",$A22&lt;=113),"",--MID('Key Analysis'!$C18,$A22-113,1))</f>
        <v/>
      </c>
      <c r="DM22" s="29" t="str">
        <f>IF(OR($B22="",$A22&lt;=114),"",--MID('Key Analysis'!$C18,$A22-114,1))</f>
        <v/>
      </c>
      <c r="DN22" s="29" t="str">
        <f>IF(OR($B22="",$A22&lt;=115),"",--MID('Key Analysis'!$C18,$A22-115,1))</f>
        <v/>
      </c>
      <c r="DO22" s="29" t="str">
        <f>IF(OR($B22="",$A22&lt;=116),"",--MID('Key Analysis'!$C18,$A22-116,1))</f>
        <v/>
      </c>
      <c r="DP22" s="29" t="str">
        <f>IF(OR($B22="",$A22&lt;=117),"",--MID('Key Analysis'!$C18,$A22-117,1))</f>
        <v/>
      </c>
      <c r="DQ22" s="29" t="str">
        <f>IF(OR($B22="",$A22&lt;=118),"",--MID('Key Analysis'!$C18,$A22-118,1))</f>
        <v/>
      </c>
      <c r="DR22" s="29" t="str">
        <f>IF(OR($B22="",$A22&lt;=119),"",--MID('Key Analysis'!$C18,$A22-119,1))</f>
        <v/>
      </c>
      <c r="DS22" s="29" t="str">
        <f>IF(OR($B22="",$A22&lt;=120),"",--MID('Key Analysis'!$C18,$A22-120,1))</f>
        <v/>
      </c>
      <c r="DT22" s="29" t="str">
        <f>IF(OR($B22="",$A22&lt;=121),"",--MID('Key Analysis'!$C18,$A22-121,1))</f>
        <v/>
      </c>
      <c r="DU22" s="29" t="str">
        <f>IF(OR($B22="",$A22&lt;=122),"",--MID('Key Analysis'!$C18,$A22-122,1))</f>
        <v/>
      </c>
      <c r="DV22" s="29" t="str">
        <f>IF(OR($B22="",$A22&lt;=123),"",--MID('Key Analysis'!$C18,$A22-123,1))</f>
        <v/>
      </c>
      <c r="DW22" s="29" t="str">
        <f>IF(OR($B22="",$A22&lt;=124),"",--MID('Key Analysis'!$C18,$A22-124,1))</f>
        <v/>
      </c>
      <c r="DX22" s="29" t="str">
        <f>IF(OR($B22="",$A22&lt;=125),"",--MID('Key Analysis'!$C18,$A22-125,1))</f>
        <v/>
      </c>
      <c r="DY22" s="29" t="str">
        <f>IF(OR($B22="",$A22&lt;=126),"",--MID('Key Analysis'!$C18,$A22-126,1))</f>
        <v/>
      </c>
      <c r="DZ22" s="29" t="str">
        <f>IF(OR($B22="",$A22&lt;=127),"",--MID('Key Analysis'!$C18,$A22-127,1))</f>
        <v/>
      </c>
      <c r="EA22" s="29" t="str">
        <f>IF(OR($B22="",$A22&lt;=128),"",--MID('Key Analysis'!$C18,$A22-128,1))</f>
        <v/>
      </c>
      <c r="EB22" s="29" t="str">
        <f>IF(OR($B22="",$A22&lt;=129),"",--MID('Key Analysis'!$C18,$A22-129,1))</f>
        <v/>
      </c>
      <c r="EC22" s="29" t="str">
        <f>IF(OR($B22="",$A22&lt;=130),"",--MID('Key Analysis'!$C18,$A22-130,1))</f>
        <v/>
      </c>
      <c r="ED22" s="29" t="str">
        <f>IF(OR($B22="",$A22&lt;=131),"",--MID('Key Analysis'!$C18,$A22-131,1))</f>
        <v/>
      </c>
      <c r="EE22" s="29" t="str">
        <f>IF(OR($B22="",$A22&lt;=132),"",--MID('Key Analysis'!$C18,$A22-132,1))</f>
        <v/>
      </c>
      <c r="EF22" s="29" t="str">
        <f>IF(OR($B22="",$A22&lt;=133),"",--MID('Key Analysis'!$C18,$A22-133,1))</f>
        <v/>
      </c>
      <c r="EG22" s="29" t="str">
        <f>IF(OR($B22="",$A22&lt;=134),"",--MID('Key Analysis'!$C18,$A22-134,1))</f>
        <v/>
      </c>
      <c r="EH22" s="29"/>
      <c r="EI22" s="29">
        <f>IF(OR($B22="",$A22&lt;1),"",--MID('Key Analysis'!$C18,1,1))</f>
        <v>1</v>
      </c>
      <c r="EJ22" s="29">
        <f>IF(OR($B22="",$A22&lt;2),"",--MID('Key Analysis'!$C18,2,1))</f>
        <v>0</v>
      </c>
      <c r="EK22" s="29">
        <f>IF(OR($B22="",$A22&lt;3),"",--MID('Key Analysis'!$C18,3,1))</f>
        <v>1</v>
      </c>
      <c r="EL22" s="29">
        <f>IF(OR($B22="",$A22&lt;4),"",--MID('Key Analysis'!$C18,4,1))</f>
        <v>1</v>
      </c>
      <c r="EM22" s="29">
        <f>IF(OR($B22="",$A22&lt;5),"",--MID('Key Analysis'!$C18,5,1))</f>
        <v>1</v>
      </c>
      <c r="EN22" s="29">
        <f>IF(OR($B22="",$A22&lt;6),"",--MID('Key Analysis'!$C18,6,1))</f>
        <v>0</v>
      </c>
      <c r="EO22" s="29">
        <f>IF(OR($B22="",$A22&lt;7),"",--MID('Key Analysis'!$C18,7,1))</f>
        <v>1</v>
      </c>
      <c r="EP22" s="29">
        <f>IF(OR($B22="",$A22&lt;8),"",--MID('Key Analysis'!$C18,8,1))</f>
        <v>1</v>
      </c>
      <c r="EQ22" s="29">
        <f>IF(OR($B22="",$A22&lt;9),"",--MID('Key Analysis'!$C18,9,1))</f>
        <v>0</v>
      </c>
      <c r="ER22" s="29">
        <f>IF(OR($B22="",$A22&lt;10),"",--MID('Key Analysis'!$C18,10,1))</f>
        <v>0</v>
      </c>
      <c r="ES22" s="29">
        <f>IF(OR($B22="",$A22&lt;11),"",--MID('Key Analysis'!$C18,11,1))</f>
        <v>1</v>
      </c>
      <c r="ET22" s="29">
        <f>IF(OR($B22="",$A22&lt;12),"",--MID('Key Analysis'!$C18,12,1))</f>
        <v>0</v>
      </c>
      <c r="EU22" s="29">
        <f>IF(OR($B22="",$A22&lt;13),"",--MID('Key Analysis'!$C18,13,1))</f>
        <v>0</v>
      </c>
      <c r="EV22" s="29">
        <f>IF(OR($B22="",$A22&lt;14),"",--MID('Key Analysis'!$C18,14,1))</f>
        <v>1</v>
      </c>
      <c r="EW22" s="29">
        <f>IF(OR($B22="",$A22&lt;15),"",--MID('Key Analysis'!$C18,15,1))</f>
        <v>1</v>
      </c>
      <c r="EX22" s="29">
        <f>IF(OR($B22="",$A22&lt;16),"",--MID('Key Analysis'!$C18,16,1))</f>
        <v>1</v>
      </c>
      <c r="EY22" s="29">
        <f>IF(OR($B22="",$A22&lt;17),"",--MID('Key Analysis'!$C18,17,1))</f>
        <v>1</v>
      </c>
      <c r="EZ22" s="29" t="str">
        <f>IF(OR($B22="",$A22&lt;18),"",--MID('Key Analysis'!$C18,18,1))</f>
        <v/>
      </c>
      <c r="FA22" s="29" t="str">
        <f>IF(OR($B22="",$A22&lt;19),"",--MID('Key Analysis'!$C18,19,1))</f>
        <v/>
      </c>
      <c r="FB22" s="29" t="str">
        <f>IF(OR($B22="",$A22&lt;20),"",--MID('Key Analysis'!$C18,20,1))</f>
        <v/>
      </c>
      <c r="FC22" s="29" t="str">
        <f>IF(OR($B22="",$A22&lt;21),"",--MID('Key Analysis'!$C18,21,1))</f>
        <v/>
      </c>
      <c r="FD22" s="29" t="str">
        <f>IF(OR($B22="",$A22&lt;22),"",--MID('Key Analysis'!$C18,22,1))</f>
        <v/>
      </c>
      <c r="FE22" s="29" t="str">
        <f>IF(OR($B22="",$A22&lt;23),"",--MID('Key Analysis'!$C18,23,1))</f>
        <v/>
      </c>
      <c r="FF22" s="29" t="str">
        <f>IF(OR($B22="",$A22&lt;24),"",--MID('Key Analysis'!$C18,24,1))</f>
        <v/>
      </c>
      <c r="FG22" s="29" t="str">
        <f>IF(OR($B22="",$A22&lt;25),"",--MID('Key Analysis'!$C18,25,1))</f>
        <v/>
      </c>
      <c r="FH22" s="29" t="str">
        <f>IF(OR($B22="",$A22&lt;26),"",--MID('Key Analysis'!$C18,26,1))</f>
        <v/>
      </c>
      <c r="FI22" s="29" t="str">
        <f>IF(OR($B22="",$A22&lt;27),"",--MID('Key Analysis'!$C18,27,1))</f>
        <v/>
      </c>
      <c r="FJ22" s="29" t="str">
        <f>IF(OR($B22="",$A22&lt;28),"",--MID('Key Analysis'!$C18,28,1))</f>
        <v/>
      </c>
      <c r="FK22" s="29" t="str">
        <f>IF(OR($B22="",$A22&lt;29),"",--MID('Key Analysis'!$C18,29,1))</f>
        <v/>
      </c>
      <c r="FL22" s="29" t="str">
        <f>IF(OR($B22="",$A22&lt;30),"",--MID('Key Analysis'!$C18,30,1))</f>
        <v/>
      </c>
      <c r="FM22" s="29" t="str">
        <f>IF(OR($B22="",$A22&lt;31),"",--MID('Key Analysis'!$C18,31,1))</f>
        <v/>
      </c>
      <c r="FN22" s="29" t="str">
        <f>IF(OR($B22="",$A22&lt;32),"",--MID('Key Analysis'!$C18,32,1))</f>
        <v/>
      </c>
      <c r="FO22" s="29" t="str">
        <f>IF(OR($B22="",$A22&lt;33),"",--MID('Key Analysis'!$C18,33,1))</f>
        <v/>
      </c>
      <c r="FP22" s="29" t="str">
        <f>IF(OR($B22="",$A22&lt;34),"",--MID('Key Analysis'!$C18,34,1))</f>
        <v/>
      </c>
      <c r="FQ22" s="29" t="str">
        <f>IF(OR($B22="",$A22&lt;35),"",--MID('Key Analysis'!$C18,35,1))</f>
        <v/>
      </c>
      <c r="FR22" s="29" t="str">
        <f>IF(OR($B22="",$A22&lt;36),"",--MID('Key Analysis'!$C18,36,1))</f>
        <v/>
      </c>
      <c r="FS22" s="29" t="str">
        <f>IF(OR($B22="",$A22&lt;37),"",--MID('Key Analysis'!$C18,37,1))</f>
        <v/>
      </c>
      <c r="FT22" s="29" t="str">
        <f>IF(OR($B22="",$A22&lt;38),"",--MID('Key Analysis'!$C18,38,1))</f>
        <v/>
      </c>
      <c r="FU22" s="29" t="str">
        <f>IF(OR($B22="",$A22&lt;39),"",--MID('Key Analysis'!$C18,39,1))</f>
        <v/>
      </c>
      <c r="FV22" s="29" t="str">
        <f>IF(OR($B22="",$A22&lt;40),"",--MID('Key Analysis'!$C18,40,1))</f>
        <v/>
      </c>
      <c r="FW22" s="29" t="str">
        <f>IF(OR($B22="",$A22&lt;41),"",--MID('Key Analysis'!$C18,41,1))</f>
        <v/>
      </c>
      <c r="FX22" s="29" t="str">
        <f>IF(OR($B22="",$A22&lt;42),"",--MID('Key Analysis'!$C18,42,1))</f>
        <v/>
      </c>
      <c r="FY22" s="29" t="str">
        <f>IF(OR($B22="",$A22&lt;43),"",--MID('Key Analysis'!$C18,43,1))</f>
        <v/>
      </c>
      <c r="FZ22" s="29" t="str">
        <f>IF(OR($B22="",$A22&lt;44),"",--MID('Key Analysis'!$C18,44,1))</f>
        <v/>
      </c>
      <c r="GA22" s="29" t="str">
        <f>IF(OR($B22="",$A22&lt;45),"",--MID('Key Analysis'!$C18,45,1))</f>
        <v/>
      </c>
      <c r="GB22" s="29" t="str">
        <f>IF(OR($B22="",$A22&lt;46),"",--MID('Key Analysis'!$C18,46,1))</f>
        <v/>
      </c>
      <c r="GC22" s="29" t="str">
        <f>IF(OR($B22="",$A22&lt;47),"",--MID('Key Analysis'!$C18,47,1))</f>
        <v/>
      </c>
      <c r="GD22" s="29" t="str">
        <f>IF(OR($B22="",$A22&lt;48),"",--MID('Key Analysis'!$C18,48,1))</f>
        <v/>
      </c>
      <c r="GE22" s="29" t="str">
        <f>IF(OR($B22="",$A22&lt;49),"",--MID('Key Analysis'!$C18,49,1))</f>
        <v/>
      </c>
      <c r="GF22" s="29" t="str">
        <f>IF(OR($B22="",$A22&lt;50),"",--MID('Key Analysis'!$C18,50,1))</f>
        <v/>
      </c>
      <c r="GG22" s="29" t="str">
        <f>IF(OR($B22="",$A22&lt;51),"",--MID('Key Analysis'!$C18,51,1))</f>
        <v/>
      </c>
      <c r="GH22" s="29" t="str">
        <f>IF(OR($B22="",$A22&lt;52),"",--MID('Key Analysis'!$C18,52,1))</f>
        <v/>
      </c>
      <c r="GI22" s="29" t="str">
        <f>IF(OR($B22="",$A22&lt;53),"",--MID('Key Analysis'!$C18,53,1))</f>
        <v/>
      </c>
      <c r="GJ22" s="29" t="str">
        <f>IF(OR($B22="",$A22&lt;54),"",--MID('Key Analysis'!$C18,54,1))</f>
        <v/>
      </c>
      <c r="GK22" s="29" t="str">
        <f>IF(OR($B22="",$A22&lt;55),"",--MID('Key Analysis'!$C18,55,1))</f>
        <v/>
      </c>
      <c r="GL22" s="29" t="str">
        <f>IF(OR($B22="",$A22&lt;56),"",--MID('Key Analysis'!$C18,56,1))</f>
        <v/>
      </c>
      <c r="GM22" s="29" t="str">
        <f>IF(OR($B22="",$A22&lt;57),"",--MID('Key Analysis'!$C18,57,1))</f>
        <v/>
      </c>
      <c r="GN22" s="29" t="str">
        <f>IF(OR($B22="",$A22&lt;58),"",--MID('Key Analysis'!$C18,58,1))</f>
        <v/>
      </c>
      <c r="GO22" s="29" t="str">
        <f>IF(OR($B22="",$A22&lt;59),"",--MID('Key Analysis'!$C18,59,1))</f>
        <v/>
      </c>
      <c r="GP22" s="29" t="str">
        <f>IF(OR($B22="",$A22&lt;60),"",--MID('Key Analysis'!$C18,60,1))</f>
        <v/>
      </c>
      <c r="GQ22" s="29" t="str">
        <f>IF(OR($B22="",$A22&lt;61),"",--MID('Key Analysis'!$C18,61,1))</f>
        <v/>
      </c>
      <c r="GR22" s="29" t="str">
        <f>IF(OR($B22="",$A22&lt;62),"",--MID('Key Analysis'!$C18,62,1))</f>
        <v/>
      </c>
      <c r="GS22" s="29" t="str">
        <f>IF(OR($B22="",$A22&lt;63),"",--MID('Key Analysis'!$C18,63,1))</f>
        <v/>
      </c>
      <c r="GT22" s="29" t="str">
        <f>IF(OR($B22="",$A22&lt;64),"",--MID('Key Analysis'!$C18,64,1))</f>
        <v/>
      </c>
      <c r="GU22" s="29" t="str">
        <f>IF(OR($B22="",$A22&lt;65),"",--MID('Key Analysis'!$C18,65,1))</f>
        <v/>
      </c>
      <c r="GV22" s="29" t="str">
        <f>IF(OR($B22="",$A22&lt;66),"",--MID('Key Analysis'!$C18,66,1))</f>
        <v/>
      </c>
      <c r="GW22" s="29" t="str">
        <f>IF(OR($B22="",$A22&lt;67),"",--MID('Key Analysis'!$C18,67,1))</f>
        <v/>
      </c>
      <c r="GX22" s="29" t="str">
        <f>IF(OR($B22="",$A22&lt;68),"",--MID('Key Analysis'!$C18,68,1))</f>
        <v/>
      </c>
      <c r="GY22" s="29" t="str">
        <f>IF(OR($B22="",$A22&lt;69),"",--MID('Key Analysis'!$C18,69,1))</f>
        <v/>
      </c>
      <c r="GZ22" s="29" t="str">
        <f>IF(OR($B22="",$A22&lt;70),"",--MID('Key Analysis'!$C18,70,1))</f>
        <v/>
      </c>
      <c r="HA22" s="29" t="str">
        <f>IF(OR($B22="",$A22&lt;71),"",--MID('Key Analysis'!$C18,71,1))</f>
        <v/>
      </c>
      <c r="HB22" s="29" t="str">
        <f>IF(OR($B22="",$A22&lt;72),"",--MID('Key Analysis'!$C18,72,1))</f>
        <v/>
      </c>
      <c r="HC22" s="29" t="str">
        <f>IF(OR($B22="",$A22&lt;73),"",--MID('Key Analysis'!$C18,73,1))</f>
        <v/>
      </c>
      <c r="HD22" s="29" t="str">
        <f>IF(OR($B22="",$A22&lt;74),"",--MID('Key Analysis'!$C18,74,1))</f>
        <v/>
      </c>
      <c r="HE22" s="29" t="str">
        <f>IF(OR($B22="",$A22&lt;75),"",--MID('Key Analysis'!$C18,75,1))</f>
        <v/>
      </c>
      <c r="HF22" s="29" t="str">
        <f>IF(OR($B22="",$A22&lt;76),"",--MID('Key Analysis'!$C18,76,1))</f>
        <v/>
      </c>
      <c r="HG22" s="29" t="str">
        <f>IF(OR($B22="",$A22&lt;77),"",--MID('Key Analysis'!$C18,77,1))</f>
        <v/>
      </c>
      <c r="HH22" s="29" t="str">
        <f>IF(OR($B22="",$A22&lt;78),"",--MID('Key Analysis'!$C18,78,1))</f>
        <v/>
      </c>
      <c r="HI22" s="29" t="str">
        <f>IF(OR($B22="",$A22&lt;79),"",--MID('Key Analysis'!$C18,79,1))</f>
        <v/>
      </c>
      <c r="HJ22" s="29" t="str">
        <f>IF(OR($B22="",$A22&lt;80),"",--MID('Key Analysis'!$C18,80,1))</f>
        <v/>
      </c>
      <c r="HK22" s="29" t="str">
        <f>IF(OR($B22="",$A22&lt;81),"",--MID('Key Analysis'!$C18,81,1))</f>
        <v/>
      </c>
      <c r="HL22" s="29" t="str">
        <f>IF(OR($B22="",$A22&lt;82),"",--MID('Key Analysis'!$C18,82,1))</f>
        <v/>
      </c>
      <c r="HM22" s="29" t="str">
        <f>IF(OR($B22="",$A22&lt;83),"",--MID('Key Analysis'!$C18,83,1))</f>
        <v/>
      </c>
      <c r="HN22" s="29" t="str">
        <f>IF(OR($B22="",$A22&lt;84),"",--MID('Key Analysis'!$C18,84,1))</f>
        <v/>
      </c>
      <c r="HO22" s="29" t="str">
        <f>IF(OR($B22="",$A22&lt;85),"",--MID('Key Analysis'!$C18,85,1))</f>
        <v/>
      </c>
      <c r="HP22" s="29" t="str">
        <f>IF(OR($B22="",$A22&lt;86),"",--MID('Key Analysis'!$C18,86,1))</f>
        <v/>
      </c>
      <c r="HQ22" s="29" t="str">
        <f>IF(OR($B22="",$A22&lt;87),"",--MID('Key Analysis'!$C18,87,1))</f>
        <v/>
      </c>
      <c r="HR22" s="29" t="str">
        <f>IF(OR($B22="",$A22&lt;88),"",--MID('Key Analysis'!$C18,88,1))</f>
        <v/>
      </c>
      <c r="HS22" s="29" t="str">
        <f>IF(OR($B22="",$A22&lt;89),"",--MID('Key Analysis'!$C18,89,1))</f>
        <v/>
      </c>
      <c r="HT22" s="29" t="str">
        <f>IF(OR($B22="",$A22&lt;90),"",--MID('Key Analysis'!$C18,90,1))</f>
        <v/>
      </c>
      <c r="HU22" s="29" t="str">
        <f>IF(OR($B22="",$A22&lt;91),"",--MID('Key Analysis'!$C18,91,1))</f>
        <v/>
      </c>
      <c r="HV22" s="29" t="str">
        <f>IF(OR($B22="",$A22&lt;92),"",--MID('Key Analysis'!$C18,92,1))</f>
        <v/>
      </c>
      <c r="HW22" s="29" t="str">
        <f>IF(OR($B22="",$A22&lt;93),"",--MID('Key Analysis'!$C18,93,1))</f>
        <v/>
      </c>
      <c r="HX22" s="29" t="str">
        <f>IF(OR($B22="",$A22&lt;94),"",--MID('Key Analysis'!$C18,94,1))</f>
        <v/>
      </c>
      <c r="HY22" s="29" t="str">
        <f>IF(OR($B22="",$A22&lt;95),"",--MID('Key Analysis'!$C18,95,1))</f>
        <v/>
      </c>
      <c r="HZ22" s="29" t="str">
        <f>IF(OR($B22="",$A22&lt;96),"",--MID('Key Analysis'!$C18,96,1))</f>
        <v/>
      </c>
      <c r="IA22" s="29" t="str">
        <f>IF(OR($B22="",$A22&lt;97),"",--MID('Key Analysis'!$C18,97,1))</f>
        <v/>
      </c>
      <c r="IB22" s="29" t="str">
        <f>IF(OR($B22="",$A22&lt;98),"",--MID('Key Analysis'!$C18,98,1))</f>
        <v/>
      </c>
      <c r="IC22" s="29" t="str">
        <f>IF(OR($B22="",$A22&lt;99),"",--MID('Key Analysis'!$C18,99,1))</f>
        <v/>
      </c>
      <c r="ID22" s="29" t="str">
        <f>IF(OR($B22="",$A22&lt;100),"",--MID('Key Analysis'!$C18,100,1))</f>
        <v/>
      </c>
      <c r="IE22" s="29" t="str">
        <f>IF(OR($B22="",$A22&lt;101),"",--MID('Key Analysis'!$C18,101,1))</f>
        <v/>
      </c>
      <c r="IF22" s="29" t="str">
        <f>IF(OR($B22="",$A22&lt;102),"",--MID('Key Analysis'!$C18,102,1))</f>
        <v/>
      </c>
      <c r="IG22" s="29" t="str">
        <f>IF(OR($B22="",$A22&lt;103),"",--MID('Key Analysis'!$C18,103,1))</f>
        <v/>
      </c>
      <c r="IH22" s="29" t="str">
        <f>IF(OR($B22="",$A22&lt;104),"",--MID('Key Analysis'!$C18,104,1))</f>
        <v/>
      </c>
      <c r="II22" s="29" t="str">
        <f>IF(OR($B22="",$A22&lt;105),"",--MID('Key Analysis'!$C18,105,1))</f>
        <v/>
      </c>
      <c r="IJ22" s="29" t="str">
        <f>IF(OR($B22="",$A22&lt;106),"",--MID('Key Analysis'!$C18,106,1))</f>
        <v/>
      </c>
      <c r="IK22" s="29" t="str">
        <f>IF(OR($B22="",$A22&lt;107),"",--MID('Key Analysis'!$C18,107,1))</f>
        <v/>
      </c>
      <c r="IL22" s="29" t="str">
        <f>IF(OR($B22="",$A22&lt;108),"",--MID('Key Analysis'!$C18,108,1))</f>
        <v/>
      </c>
      <c r="IM22" s="29" t="str">
        <f>IF(OR($B22="",$A22&lt;109),"",--MID('Key Analysis'!$C18,109,1))</f>
        <v/>
      </c>
      <c r="IN22" s="29" t="str">
        <f>IF(OR($B22="",$A22&lt;110),"",--MID('Key Analysis'!$C18,110,1))</f>
        <v/>
      </c>
      <c r="IO22" s="29" t="str">
        <f>IF(OR($B22="",$A22&lt;111),"",--MID('Key Analysis'!$C18,111,1))</f>
        <v/>
      </c>
      <c r="IP22" s="29" t="str">
        <f>IF(OR($B22="",$A22&lt;112),"",--MID('Key Analysis'!$C18,112,1))</f>
        <v/>
      </c>
      <c r="IQ22" s="29" t="str">
        <f>IF(OR($B22="",$A22&lt;113),"",--MID('Key Analysis'!$C18,113,1))</f>
        <v/>
      </c>
      <c r="IR22" s="29" t="str">
        <f>IF(OR($B22="",$A22&lt;114),"",--MID('Key Analysis'!$C18,114,1))</f>
        <v/>
      </c>
      <c r="IS22" s="29" t="str">
        <f>IF(OR($B22="",$A22&lt;115),"",--MID('Key Analysis'!$C18,115,1))</f>
        <v/>
      </c>
      <c r="IT22" s="29" t="str">
        <f>IF(OR($B22="",$A22&lt;116),"",--MID('Key Analysis'!$C18,116,1))</f>
        <v/>
      </c>
      <c r="IU22" s="29" t="str">
        <f>IF(OR($B22="",$A22&lt;117),"",--MID('Key Analysis'!$C18,117,1))</f>
        <v/>
      </c>
      <c r="IV22" s="29" t="str">
        <f>IF(OR($B22="",$A22&lt;118),"",--MID('Key Analysis'!$C18,118,1))</f>
        <v/>
      </c>
      <c r="IW22" s="29" t="str">
        <f>IF(OR($B22="",$A22&lt;119),"",--MID('Key Analysis'!$C18,119,1))</f>
        <v/>
      </c>
      <c r="IX22" s="29" t="str">
        <f>IF(OR($B22="",$A22&lt;120),"",--MID('Key Analysis'!$C18,120,1))</f>
        <v/>
      </c>
      <c r="IY22" s="29" t="str">
        <f>IF(OR($B22="",$A22&lt;121),"",--MID('Key Analysis'!$C18,121,1))</f>
        <v/>
      </c>
      <c r="IZ22" s="29" t="str">
        <f>IF(OR($B22="",$A22&lt;122),"",--MID('Key Analysis'!$C18,122,1))</f>
        <v/>
      </c>
      <c r="JA22" s="29" t="str">
        <f>IF(OR($B22="",$A22&lt;123),"",--MID('Key Analysis'!$C18,123,1))</f>
        <v/>
      </c>
      <c r="JB22" s="29" t="str">
        <f>IF(OR($B22="",$A22&lt;124),"",--MID('Key Analysis'!$C18,124,1))</f>
        <v/>
      </c>
      <c r="JC22" s="29" t="str">
        <f>IF(OR($B22="",$A22&lt;125),"",--MID('Key Analysis'!$C18,125,1))</f>
        <v/>
      </c>
      <c r="JD22" s="29" t="str">
        <f>IF(OR($B22="",$A22&lt;126),"",--MID('Key Analysis'!$C18,126,1))</f>
        <v/>
      </c>
      <c r="JE22" s="29" t="str">
        <f>IF(OR($B22="",$A22&lt;127),"",--MID('Key Analysis'!$C18,127,1))</f>
        <v/>
      </c>
      <c r="JF22" s="29" t="str">
        <f>IF(OR($B22="",$A22&lt;128),"",--MID('Key Analysis'!$C18,128,1))</f>
        <v/>
      </c>
      <c r="JG22" s="29" t="str">
        <f>IF(OR($B22="",$A22&lt;129),"",--MID('Key Analysis'!$C18,129,1))</f>
        <v/>
      </c>
      <c r="JH22" s="29" t="str">
        <f>IF(OR($B22="",$A22&lt;130),"",--MID('Key Analysis'!$C18,130,1))</f>
        <v/>
      </c>
      <c r="JI22" s="29" t="str">
        <f>IF(OR($B22="",$A22&lt;131),"",--MID('Key Analysis'!$C18,131,1))</f>
        <v/>
      </c>
      <c r="JJ22" s="29" t="str">
        <f>IF(OR($B22="",$A22&lt;132),"",--MID('Key Analysis'!$C18,132,1))</f>
        <v/>
      </c>
      <c r="JK22" s="29" t="str">
        <f>IF(OR($B22="",$A22&lt;133),"",--MID('Key Analysis'!$C18,133,1))</f>
        <v/>
      </c>
      <c r="JL22" s="29" t="str">
        <f>IF(OR($B22="",$A22&lt;134),"",--MID('Key Analysis'!$C18,134,1))</f>
        <v/>
      </c>
      <c r="JM22" s="29" t="str">
        <f>IF(OR($B22="",$A22&lt;135),"",--MID('Key Analysis'!$C18,135,1))</f>
        <v/>
      </c>
    </row>
    <row r="23" spans="1:273" x14ac:dyDescent="0.25">
      <c r="A23" s="21">
        <f>'Key Analysis'!A19</f>
        <v>18</v>
      </c>
      <c r="B23" s="30" t="str">
        <f>'Key Analysis'!B19</f>
        <v>3080d</v>
      </c>
      <c r="C23" s="29">
        <f>IF(OR($B23="",$A23&lt;=0),"",--MID('Key Analysis'!$C19,$A23-0,1))</f>
        <v>1</v>
      </c>
      <c r="D23" s="29">
        <f>IF(OR($B23="",$A23&lt;=1),"",--MID('Key Analysis'!$C19,$A23-1,1))</f>
        <v>0</v>
      </c>
      <c r="E23" s="29">
        <f>IF(OR($B23="",$A23&lt;=2),"",--MID('Key Analysis'!$C19,$A23-2,1))</f>
        <v>1</v>
      </c>
      <c r="F23" s="29">
        <f>IF(OR($B23="",$A23&lt;=3),"",--MID('Key Analysis'!$C19,$A23-3,1))</f>
        <v>1</v>
      </c>
      <c r="G23" s="29">
        <f>IF(OR($B23="",$A23&lt;=4),"",--MID('Key Analysis'!$C19,$A23-4,1))</f>
        <v>0</v>
      </c>
      <c r="H23" s="29">
        <f>IF(OR($B23="",$A23&lt;=5),"",--MID('Key Analysis'!$C19,$A23-5,1))</f>
        <v>0</v>
      </c>
      <c r="I23" s="29">
        <f>IF(OR($B23="",$A23&lt;=6),"",--MID('Key Analysis'!$C19,$A23-6,1))</f>
        <v>0</v>
      </c>
      <c r="J23" s="29">
        <f>IF(OR($B23="",$A23&lt;=7),"",--MID('Key Analysis'!$C19,$A23-7,1))</f>
        <v>0</v>
      </c>
      <c r="K23" s="29">
        <f>IF(OR($B23="",$A23&lt;=8),"",--MID('Key Analysis'!$C19,$A23-8,1))</f>
        <v>0</v>
      </c>
      <c r="L23" s="29">
        <f>IF(OR($B23="",$A23&lt;=9),"",--MID('Key Analysis'!$C19,$A23-9,1))</f>
        <v>0</v>
      </c>
      <c r="M23" s="29">
        <f>IF(OR($B23="",$A23&lt;=10),"",--MID('Key Analysis'!$C19,$A23-10,1))</f>
        <v>0</v>
      </c>
      <c r="N23" s="29">
        <f>IF(OR($B23="",$A23&lt;=11),"",--MID('Key Analysis'!$C19,$A23-11,1))</f>
        <v>1</v>
      </c>
      <c r="O23" s="29">
        <f>IF(OR($B23="",$A23&lt;=12),"",--MID('Key Analysis'!$C19,$A23-12,1))</f>
        <v>0</v>
      </c>
      <c r="P23" s="29">
        <f>IF(OR($B23="",$A23&lt;=13),"",--MID('Key Analysis'!$C19,$A23-13,1))</f>
        <v>0</v>
      </c>
      <c r="Q23" s="29">
        <f>IF(OR($B23="",$A23&lt;=14),"",--MID('Key Analysis'!$C19,$A23-14,1))</f>
        <v>0</v>
      </c>
      <c r="R23" s="29">
        <f>IF(OR($B23="",$A23&lt;=15),"",--MID('Key Analysis'!$C19,$A23-15,1))</f>
        <v>0</v>
      </c>
      <c r="S23" s="29">
        <f>IF(OR($B23="",$A23&lt;=16),"",--MID('Key Analysis'!$C19,$A23-16,1))</f>
        <v>1</v>
      </c>
      <c r="T23" s="29">
        <f>IF(OR($B23="",$A23&lt;=17),"",--MID('Key Analysis'!$C19,$A23-17,1))</f>
        <v>1</v>
      </c>
      <c r="U23" s="29" t="str">
        <f>IF(OR($B23="",$A23&lt;=18),"",--MID('Key Analysis'!$C19,$A23-18,1))</f>
        <v/>
      </c>
      <c r="V23" s="29" t="str">
        <f>IF(OR($B23="",$A23&lt;=19),"",--MID('Key Analysis'!$C19,$A23-19,1))</f>
        <v/>
      </c>
      <c r="W23" s="29" t="str">
        <f>IF(OR($B23="",$A23&lt;=20),"",--MID('Key Analysis'!$C19,$A23-20,1))</f>
        <v/>
      </c>
      <c r="X23" s="29" t="str">
        <f>IF(OR($B23="",$A23&lt;=21),"",--MID('Key Analysis'!$C19,$A23-21,1))</f>
        <v/>
      </c>
      <c r="Y23" s="29" t="str">
        <f>IF(OR($B23="",$A23&lt;=22),"",--MID('Key Analysis'!$C19,$A23-22,1))</f>
        <v/>
      </c>
      <c r="Z23" s="29" t="str">
        <f>IF(OR($B23="",$A23&lt;=23),"",--MID('Key Analysis'!$C19,$A23-23,1))</f>
        <v/>
      </c>
      <c r="AA23" s="29" t="str">
        <f>IF(OR($B23="",$A23&lt;=24),"",--MID('Key Analysis'!$C19,$A23-24,1))</f>
        <v/>
      </c>
      <c r="AB23" s="29" t="str">
        <f>IF(OR($B23="",$A23&lt;=25),"",--MID('Key Analysis'!$C19,$A23-25,1))</f>
        <v/>
      </c>
      <c r="AC23" s="29" t="str">
        <f>IF(OR($B23="",$A23&lt;=26),"",--MID('Key Analysis'!$C19,$A23-26,1))</f>
        <v/>
      </c>
      <c r="AD23" s="29" t="str">
        <f>IF(OR($B23="",$A23&lt;=27),"",--MID('Key Analysis'!$C19,$A23-27,1))</f>
        <v/>
      </c>
      <c r="AE23" s="29" t="str">
        <f>IF(OR($B23="",$A23&lt;=28),"",--MID('Key Analysis'!$C19,$A23-28,1))</f>
        <v/>
      </c>
      <c r="AF23" s="29" t="str">
        <f>IF(OR($B23="",$A23&lt;=29),"",--MID('Key Analysis'!$C19,$A23-29,1))</f>
        <v/>
      </c>
      <c r="AG23" s="29" t="str">
        <f>IF(OR($B23="",$A23&lt;=30),"",--MID('Key Analysis'!$C19,$A23-30,1))</f>
        <v/>
      </c>
      <c r="AH23" s="29" t="str">
        <f>IF(OR($B23="",$A23&lt;=31),"",--MID('Key Analysis'!$C19,$A23-31,1))</f>
        <v/>
      </c>
      <c r="AI23" s="29" t="str">
        <f>IF(OR($B23="",$A23&lt;=32),"",--MID('Key Analysis'!$C19,$A23-32,1))</f>
        <v/>
      </c>
      <c r="AJ23" s="29" t="str">
        <f>IF(OR($B23="",$A23&lt;=33),"",--MID('Key Analysis'!$C19,$A23-33,1))</f>
        <v/>
      </c>
      <c r="AK23" s="29" t="str">
        <f>IF(OR($B23="",$A23&lt;=34),"",--MID('Key Analysis'!$C19,$A23-34,1))</f>
        <v/>
      </c>
      <c r="AL23" s="29" t="str">
        <f>IF(OR($B23="",$A23&lt;=35),"",--MID('Key Analysis'!$C19,$A23-35,1))</f>
        <v/>
      </c>
      <c r="AM23" s="29" t="str">
        <f>IF(OR($B23="",$A23&lt;=36),"",--MID('Key Analysis'!$C19,$A23-36,1))</f>
        <v/>
      </c>
      <c r="AN23" s="29" t="str">
        <f>IF(OR($B23="",$A23&lt;=37),"",--MID('Key Analysis'!$C19,$A23-37,1))</f>
        <v/>
      </c>
      <c r="AO23" s="29" t="str">
        <f>IF(OR($B23="",$A23&lt;=38),"",--MID('Key Analysis'!$C19,$A23-38,1))</f>
        <v/>
      </c>
      <c r="AP23" s="29" t="str">
        <f>IF(OR($B23="",$A23&lt;=39),"",--MID('Key Analysis'!$C19,$A23-39,1))</f>
        <v/>
      </c>
      <c r="AQ23" s="29" t="str">
        <f>IF(OR($B23="",$A23&lt;=40),"",--MID('Key Analysis'!$C19,$A23-40,1))</f>
        <v/>
      </c>
      <c r="AR23" s="29" t="str">
        <f>IF(OR($B23="",$A23&lt;=41),"",--MID('Key Analysis'!$C19,$A23-41,1))</f>
        <v/>
      </c>
      <c r="AS23" s="29" t="str">
        <f>IF(OR($B23="",$A23&lt;=42),"",--MID('Key Analysis'!$C19,$A23-42,1))</f>
        <v/>
      </c>
      <c r="AT23" s="29" t="str">
        <f>IF(OR($B23="",$A23&lt;=43),"",--MID('Key Analysis'!$C19,$A23-43,1))</f>
        <v/>
      </c>
      <c r="AU23" s="29" t="str">
        <f>IF(OR($B23="",$A23&lt;=44),"",--MID('Key Analysis'!$C19,$A23-44,1))</f>
        <v/>
      </c>
      <c r="AV23" s="29" t="str">
        <f>IF(OR($B23="",$A23&lt;=45),"",--MID('Key Analysis'!$C19,$A23-45,1))</f>
        <v/>
      </c>
      <c r="AW23" s="29" t="str">
        <f>IF(OR($B23="",$A23&lt;=46),"",--MID('Key Analysis'!$C19,$A23-46,1))</f>
        <v/>
      </c>
      <c r="AX23" s="29" t="str">
        <f>IF(OR($B23="",$A23&lt;=47),"",--MID('Key Analysis'!$C19,$A23-47,1))</f>
        <v/>
      </c>
      <c r="AY23" s="29" t="str">
        <f>IF(OR($B23="",$A23&lt;=48),"",--MID('Key Analysis'!$C19,$A23-48,1))</f>
        <v/>
      </c>
      <c r="AZ23" s="29" t="str">
        <f>IF(OR($B23="",$A23&lt;=49),"",--MID('Key Analysis'!$C19,$A23-49,1))</f>
        <v/>
      </c>
      <c r="BA23" s="29" t="str">
        <f>IF(OR($B23="",$A23&lt;=50),"",--MID('Key Analysis'!$C19,$A23-50,1))</f>
        <v/>
      </c>
      <c r="BB23" s="29" t="str">
        <f>IF(OR($B23="",$A23&lt;=51),"",--MID('Key Analysis'!$C19,$A23-51,1))</f>
        <v/>
      </c>
      <c r="BC23" s="29" t="str">
        <f>IF(OR($B23="",$A23&lt;=52),"",--MID('Key Analysis'!$C19,$A23-52,1))</f>
        <v/>
      </c>
      <c r="BD23" s="29" t="str">
        <f>IF(OR($B23="",$A23&lt;=53),"",--MID('Key Analysis'!$C19,$A23-53,1))</f>
        <v/>
      </c>
      <c r="BE23" s="29" t="str">
        <f>IF(OR($B23="",$A23&lt;=54),"",--MID('Key Analysis'!$C19,$A23-54,1))</f>
        <v/>
      </c>
      <c r="BF23" s="29" t="str">
        <f>IF(OR($B23="",$A23&lt;=55),"",--MID('Key Analysis'!$C19,$A23-55,1))</f>
        <v/>
      </c>
      <c r="BG23" s="29" t="str">
        <f>IF(OR($B23="",$A23&lt;=56),"",--MID('Key Analysis'!$C19,$A23-56,1))</f>
        <v/>
      </c>
      <c r="BH23" s="29" t="str">
        <f>IF(OR($B23="",$A23&lt;=57),"",--MID('Key Analysis'!$C19,$A23-57,1))</f>
        <v/>
      </c>
      <c r="BI23" s="29" t="str">
        <f>IF(OR($B23="",$A23&lt;=58),"",--MID('Key Analysis'!$C19,$A23-58,1))</f>
        <v/>
      </c>
      <c r="BJ23" s="29" t="str">
        <f>IF(OR($B23="",$A23&lt;=59),"",--MID('Key Analysis'!$C19,$A23-59,1))</f>
        <v/>
      </c>
      <c r="BK23" s="29" t="str">
        <f>IF(OR($B23="",$A23&lt;=60),"",--MID('Key Analysis'!$C19,$A23-60,1))</f>
        <v/>
      </c>
      <c r="BL23" s="29" t="str">
        <f>IF(OR($B23="",$A23&lt;=61),"",--MID('Key Analysis'!$C19,$A23-61,1))</f>
        <v/>
      </c>
      <c r="BM23" s="29" t="str">
        <f>IF(OR($B23="",$A23&lt;=62),"",--MID('Key Analysis'!$C19,$A23-62,1))</f>
        <v/>
      </c>
      <c r="BN23" s="29" t="str">
        <f>IF(OR($B23="",$A23&lt;=63),"",--MID('Key Analysis'!$C19,$A23-63,1))</f>
        <v/>
      </c>
      <c r="BO23" s="29" t="str">
        <f>IF(OR($B23="",$A23&lt;=64),"",--MID('Key Analysis'!$C19,$A23-64,1))</f>
        <v/>
      </c>
      <c r="BP23" s="29" t="str">
        <f>IF(OR($B23="",$A23&lt;=65),"",--MID('Key Analysis'!$C19,$A23-65,1))</f>
        <v/>
      </c>
      <c r="BQ23" s="29" t="str">
        <f>IF(OR($B23="",$A23&lt;=66),"",--MID('Key Analysis'!$C19,$A23-66,1))</f>
        <v/>
      </c>
      <c r="BR23" s="29" t="str">
        <f>IF(OR($B23="",$A23&lt;=67),"",--MID('Key Analysis'!$C19,$A23-67,1))</f>
        <v/>
      </c>
      <c r="BS23" s="29" t="str">
        <f>IF(OR($B23="",$A23&lt;=68),"",--MID('Key Analysis'!$C19,$A23-68,1))</f>
        <v/>
      </c>
      <c r="BT23" s="29" t="str">
        <f>IF(OR($B23="",$A23&lt;=69),"",--MID('Key Analysis'!$C19,$A23-69,1))</f>
        <v/>
      </c>
      <c r="BU23" s="29" t="str">
        <f>IF(OR($B23="",$A23&lt;=70),"",--MID('Key Analysis'!$C19,$A23-70,1))</f>
        <v/>
      </c>
      <c r="BV23" s="29" t="str">
        <f>IF(OR($B23="",$A23&lt;=71),"",--MID('Key Analysis'!$C19,$A23-71,1))</f>
        <v/>
      </c>
      <c r="BW23" s="29" t="str">
        <f>IF(OR($B23="",$A23&lt;=72),"",--MID('Key Analysis'!$C19,$A23-72,1))</f>
        <v/>
      </c>
      <c r="BX23" s="29" t="str">
        <f>IF(OR($B23="",$A23&lt;=73),"",--MID('Key Analysis'!$C19,$A23-73,1))</f>
        <v/>
      </c>
      <c r="BY23" s="29" t="str">
        <f>IF(OR($B23="",$A23&lt;=74),"",--MID('Key Analysis'!$C19,$A23-74,1))</f>
        <v/>
      </c>
      <c r="BZ23" s="29" t="str">
        <f>IF(OR($B23="",$A23&lt;=75),"",--MID('Key Analysis'!$C19,$A23-75,1))</f>
        <v/>
      </c>
      <c r="CA23" s="29" t="str">
        <f>IF(OR($B23="",$A23&lt;=76),"",--MID('Key Analysis'!$C19,$A23-76,1))</f>
        <v/>
      </c>
      <c r="CB23" s="29" t="str">
        <f>IF(OR($B23="",$A23&lt;=77),"",--MID('Key Analysis'!$C19,$A23-77,1))</f>
        <v/>
      </c>
      <c r="CC23" s="29" t="str">
        <f>IF(OR($B23="",$A23&lt;=78),"",--MID('Key Analysis'!$C19,$A23-78,1))</f>
        <v/>
      </c>
      <c r="CD23" s="29" t="str">
        <f>IF(OR($B23="",$A23&lt;=79),"",--MID('Key Analysis'!$C19,$A23-79,1))</f>
        <v/>
      </c>
      <c r="CE23" s="29" t="str">
        <f>IF(OR($B23="",$A23&lt;=80),"",--MID('Key Analysis'!$C19,$A23-80,1))</f>
        <v/>
      </c>
      <c r="CF23" s="29" t="str">
        <f>IF(OR($B23="",$A23&lt;=81),"",--MID('Key Analysis'!$C19,$A23-81,1))</f>
        <v/>
      </c>
      <c r="CG23" s="29" t="str">
        <f>IF(OR($B23="",$A23&lt;=82),"",--MID('Key Analysis'!$C19,$A23-82,1))</f>
        <v/>
      </c>
      <c r="CH23" s="29" t="str">
        <f>IF(OR($B23="",$A23&lt;=83),"",--MID('Key Analysis'!$C19,$A23-83,1))</f>
        <v/>
      </c>
      <c r="CI23" s="29" t="str">
        <f>IF(OR($B23="",$A23&lt;=84),"",--MID('Key Analysis'!$C19,$A23-84,1))</f>
        <v/>
      </c>
      <c r="CJ23" s="29" t="str">
        <f>IF(OR($B23="",$A23&lt;=85),"",--MID('Key Analysis'!$C19,$A23-85,1))</f>
        <v/>
      </c>
      <c r="CK23" s="29" t="str">
        <f>IF(OR($B23="",$A23&lt;=86),"",--MID('Key Analysis'!$C19,$A23-86,1))</f>
        <v/>
      </c>
      <c r="CL23" s="29" t="str">
        <f>IF(OR($B23="",$A23&lt;=87),"",--MID('Key Analysis'!$C19,$A23-87,1))</f>
        <v/>
      </c>
      <c r="CM23" s="29" t="str">
        <f>IF(OR($B23="",$A23&lt;=88),"",--MID('Key Analysis'!$C19,$A23-88,1))</f>
        <v/>
      </c>
      <c r="CN23" s="29" t="str">
        <f>IF(OR($B23="",$A23&lt;=89),"",--MID('Key Analysis'!$C19,$A23-89,1))</f>
        <v/>
      </c>
      <c r="CO23" s="29" t="str">
        <f>IF(OR($B23="",$A23&lt;=90),"",--MID('Key Analysis'!$C19,$A23-90,1))</f>
        <v/>
      </c>
      <c r="CP23" s="29" t="str">
        <f>IF(OR($B23="",$A23&lt;=91),"",--MID('Key Analysis'!$C19,$A23-91,1))</f>
        <v/>
      </c>
      <c r="CQ23" s="29" t="str">
        <f>IF(OR($B23="",$A23&lt;=92),"",--MID('Key Analysis'!$C19,$A23-92,1))</f>
        <v/>
      </c>
      <c r="CR23" s="29" t="str">
        <f>IF(OR($B23="",$A23&lt;=93),"",--MID('Key Analysis'!$C19,$A23-93,1))</f>
        <v/>
      </c>
      <c r="CS23" s="29" t="str">
        <f>IF(OR($B23="",$A23&lt;=94),"",--MID('Key Analysis'!$C19,$A23-94,1))</f>
        <v/>
      </c>
      <c r="CT23" s="29" t="str">
        <f>IF(OR($B23="",$A23&lt;=95),"",--MID('Key Analysis'!$C19,$A23-95,1))</f>
        <v/>
      </c>
      <c r="CU23" s="29" t="str">
        <f>IF(OR($B23="",$A23&lt;=96),"",--MID('Key Analysis'!$C19,$A23-96,1))</f>
        <v/>
      </c>
      <c r="CV23" s="29" t="str">
        <f>IF(OR($B23="",$A23&lt;=97),"",--MID('Key Analysis'!$C19,$A23-97,1))</f>
        <v/>
      </c>
      <c r="CW23" s="29" t="str">
        <f>IF(OR($B23="",$A23&lt;=98),"",--MID('Key Analysis'!$C19,$A23-98,1))</f>
        <v/>
      </c>
      <c r="CX23" s="29" t="str">
        <f>IF(OR($B23="",$A23&lt;=99),"",--MID('Key Analysis'!$C19,$A23-99,1))</f>
        <v/>
      </c>
      <c r="CY23" s="29" t="str">
        <f>IF(OR($B23="",$A23&lt;=100),"",--MID('Key Analysis'!$C19,$A23-100,1))</f>
        <v/>
      </c>
      <c r="CZ23" s="29" t="str">
        <f>IF(OR($B23="",$A23&lt;=101),"",--MID('Key Analysis'!$C19,$A23-101,1))</f>
        <v/>
      </c>
      <c r="DA23" s="29" t="str">
        <f>IF(OR($B23="",$A23&lt;=102),"",--MID('Key Analysis'!$C19,$A23-102,1))</f>
        <v/>
      </c>
      <c r="DB23" s="29" t="str">
        <f>IF(OR($B23="",$A23&lt;=103),"",--MID('Key Analysis'!$C19,$A23-103,1))</f>
        <v/>
      </c>
      <c r="DC23" s="29" t="str">
        <f>IF(OR($B23="",$A23&lt;=104),"",--MID('Key Analysis'!$C19,$A23-104,1))</f>
        <v/>
      </c>
      <c r="DD23" s="29" t="str">
        <f>IF(OR($B23="",$A23&lt;=105),"",--MID('Key Analysis'!$C19,$A23-105,1))</f>
        <v/>
      </c>
      <c r="DE23" s="29" t="str">
        <f>IF(OR($B23="",$A23&lt;=106),"",--MID('Key Analysis'!$C19,$A23-106,1))</f>
        <v/>
      </c>
      <c r="DF23" s="29" t="str">
        <f>IF(OR($B23="",$A23&lt;=107),"",--MID('Key Analysis'!$C19,$A23-107,1))</f>
        <v/>
      </c>
      <c r="DG23" s="29" t="str">
        <f>IF(OR($B23="",$A23&lt;=108),"",--MID('Key Analysis'!$C19,$A23-108,1))</f>
        <v/>
      </c>
      <c r="DH23" s="29" t="str">
        <f>IF(OR($B23="",$A23&lt;=109),"",--MID('Key Analysis'!$C19,$A23-109,1))</f>
        <v/>
      </c>
      <c r="DI23" s="29" t="str">
        <f>IF(OR($B23="",$A23&lt;=110),"",--MID('Key Analysis'!$C19,$A23-110,1))</f>
        <v/>
      </c>
      <c r="DJ23" s="29" t="str">
        <f>IF(OR($B23="",$A23&lt;=111),"",--MID('Key Analysis'!$C19,$A23-111,1))</f>
        <v/>
      </c>
      <c r="DK23" s="29" t="str">
        <f>IF(OR($B23="",$A23&lt;=112),"",--MID('Key Analysis'!$C19,$A23-112,1))</f>
        <v/>
      </c>
      <c r="DL23" s="29" t="str">
        <f>IF(OR($B23="",$A23&lt;=113),"",--MID('Key Analysis'!$C19,$A23-113,1))</f>
        <v/>
      </c>
      <c r="DM23" s="29" t="str">
        <f>IF(OR($B23="",$A23&lt;=114),"",--MID('Key Analysis'!$C19,$A23-114,1))</f>
        <v/>
      </c>
      <c r="DN23" s="29" t="str">
        <f>IF(OR($B23="",$A23&lt;=115),"",--MID('Key Analysis'!$C19,$A23-115,1))</f>
        <v/>
      </c>
      <c r="DO23" s="29" t="str">
        <f>IF(OR($B23="",$A23&lt;=116),"",--MID('Key Analysis'!$C19,$A23-116,1))</f>
        <v/>
      </c>
      <c r="DP23" s="29" t="str">
        <f>IF(OR($B23="",$A23&lt;=117),"",--MID('Key Analysis'!$C19,$A23-117,1))</f>
        <v/>
      </c>
      <c r="DQ23" s="29" t="str">
        <f>IF(OR($B23="",$A23&lt;=118),"",--MID('Key Analysis'!$C19,$A23-118,1))</f>
        <v/>
      </c>
      <c r="DR23" s="29" t="str">
        <f>IF(OR($B23="",$A23&lt;=119),"",--MID('Key Analysis'!$C19,$A23-119,1))</f>
        <v/>
      </c>
      <c r="DS23" s="29" t="str">
        <f>IF(OR($B23="",$A23&lt;=120),"",--MID('Key Analysis'!$C19,$A23-120,1))</f>
        <v/>
      </c>
      <c r="DT23" s="29" t="str">
        <f>IF(OR($B23="",$A23&lt;=121),"",--MID('Key Analysis'!$C19,$A23-121,1))</f>
        <v/>
      </c>
      <c r="DU23" s="29" t="str">
        <f>IF(OR($B23="",$A23&lt;=122),"",--MID('Key Analysis'!$C19,$A23-122,1))</f>
        <v/>
      </c>
      <c r="DV23" s="29" t="str">
        <f>IF(OR($B23="",$A23&lt;=123),"",--MID('Key Analysis'!$C19,$A23-123,1))</f>
        <v/>
      </c>
      <c r="DW23" s="29" t="str">
        <f>IF(OR($B23="",$A23&lt;=124),"",--MID('Key Analysis'!$C19,$A23-124,1))</f>
        <v/>
      </c>
      <c r="DX23" s="29" t="str">
        <f>IF(OR($B23="",$A23&lt;=125),"",--MID('Key Analysis'!$C19,$A23-125,1))</f>
        <v/>
      </c>
      <c r="DY23" s="29" t="str">
        <f>IF(OR($B23="",$A23&lt;=126),"",--MID('Key Analysis'!$C19,$A23-126,1))</f>
        <v/>
      </c>
      <c r="DZ23" s="29" t="str">
        <f>IF(OR($B23="",$A23&lt;=127),"",--MID('Key Analysis'!$C19,$A23-127,1))</f>
        <v/>
      </c>
      <c r="EA23" s="29" t="str">
        <f>IF(OR($B23="",$A23&lt;=128),"",--MID('Key Analysis'!$C19,$A23-128,1))</f>
        <v/>
      </c>
      <c r="EB23" s="29" t="str">
        <f>IF(OR($B23="",$A23&lt;=129),"",--MID('Key Analysis'!$C19,$A23-129,1))</f>
        <v/>
      </c>
      <c r="EC23" s="29" t="str">
        <f>IF(OR($B23="",$A23&lt;=130),"",--MID('Key Analysis'!$C19,$A23-130,1))</f>
        <v/>
      </c>
      <c r="ED23" s="29" t="str">
        <f>IF(OR($B23="",$A23&lt;=131),"",--MID('Key Analysis'!$C19,$A23-131,1))</f>
        <v/>
      </c>
      <c r="EE23" s="29" t="str">
        <f>IF(OR($B23="",$A23&lt;=132),"",--MID('Key Analysis'!$C19,$A23-132,1))</f>
        <v/>
      </c>
      <c r="EF23" s="29" t="str">
        <f>IF(OR($B23="",$A23&lt;=133),"",--MID('Key Analysis'!$C19,$A23-133,1))</f>
        <v/>
      </c>
      <c r="EG23" s="29" t="str">
        <f>IF(OR($B23="",$A23&lt;=134),"",--MID('Key Analysis'!$C19,$A23-134,1))</f>
        <v/>
      </c>
      <c r="EH23" s="29"/>
      <c r="EI23" s="29">
        <f>IF(OR($B23="",$A23&lt;1),"",--MID('Key Analysis'!$C19,1,1))</f>
        <v>1</v>
      </c>
      <c r="EJ23" s="29">
        <f>IF(OR($B23="",$A23&lt;2),"",--MID('Key Analysis'!$C19,2,1))</f>
        <v>1</v>
      </c>
      <c r="EK23" s="29">
        <f>IF(OR($B23="",$A23&lt;3),"",--MID('Key Analysis'!$C19,3,1))</f>
        <v>0</v>
      </c>
      <c r="EL23" s="29">
        <f>IF(OR($B23="",$A23&lt;4),"",--MID('Key Analysis'!$C19,4,1))</f>
        <v>0</v>
      </c>
      <c r="EM23" s="29">
        <f>IF(OR($B23="",$A23&lt;5),"",--MID('Key Analysis'!$C19,5,1))</f>
        <v>0</v>
      </c>
      <c r="EN23" s="29">
        <f>IF(OR($B23="",$A23&lt;6),"",--MID('Key Analysis'!$C19,6,1))</f>
        <v>0</v>
      </c>
      <c r="EO23" s="29">
        <f>IF(OR($B23="",$A23&lt;7),"",--MID('Key Analysis'!$C19,7,1))</f>
        <v>1</v>
      </c>
      <c r="EP23" s="29">
        <f>IF(OR($B23="",$A23&lt;8),"",--MID('Key Analysis'!$C19,8,1))</f>
        <v>0</v>
      </c>
      <c r="EQ23" s="29">
        <f>IF(OR($B23="",$A23&lt;9),"",--MID('Key Analysis'!$C19,9,1))</f>
        <v>0</v>
      </c>
      <c r="ER23" s="29">
        <f>IF(OR($B23="",$A23&lt;10),"",--MID('Key Analysis'!$C19,10,1))</f>
        <v>0</v>
      </c>
      <c r="ES23" s="29">
        <f>IF(OR($B23="",$A23&lt;11),"",--MID('Key Analysis'!$C19,11,1))</f>
        <v>0</v>
      </c>
      <c r="ET23" s="29">
        <f>IF(OR($B23="",$A23&lt;12),"",--MID('Key Analysis'!$C19,12,1))</f>
        <v>0</v>
      </c>
      <c r="EU23" s="29">
        <f>IF(OR($B23="",$A23&lt;13),"",--MID('Key Analysis'!$C19,13,1))</f>
        <v>0</v>
      </c>
      <c r="EV23" s="29">
        <f>IF(OR($B23="",$A23&lt;14),"",--MID('Key Analysis'!$C19,14,1))</f>
        <v>0</v>
      </c>
      <c r="EW23" s="29">
        <f>IF(OR($B23="",$A23&lt;15),"",--MID('Key Analysis'!$C19,15,1))</f>
        <v>1</v>
      </c>
      <c r="EX23" s="29">
        <f>IF(OR($B23="",$A23&lt;16),"",--MID('Key Analysis'!$C19,16,1))</f>
        <v>1</v>
      </c>
      <c r="EY23" s="29">
        <f>IF(OR($B23="",$A23&lt;17),"",--MID('Key Analysis'!$C19,17,1))</f>
        <v>0</v>
      </c>
      <c r="EZ23" s="29">
        <f>IF(OR($B23="",$A23&lt;18),"",--MID('Key Analysis'!$C19,18,1))</f>
        <v>1</v>
      </c>
      <c r="FA23" s="29" t="str">
        <f>IF(OR($B23="",$A23&lt;19),"",--MID('Key Analysis'!$C19,19,1))</f>
        <v/>
      </c>
      <c r="FB23" s="29" t="str">
        <f>IF(OR($B23="",$A23&lt;20),"",--MID('Key Analysis'!$C19,20,1))</f>
        <v/>
      </c>
      <c r="FC23" s="29" t="str">
        <f>IF(OR($B23="",$A23&lt;21),"",--MID('Key Analysis'!$C19,21,1))</f>
        <v/>
      </c>
      <c r="FD23" s="29" t="str">
        <f>IF(OR($B23="",$A23&lt;22),"",--MID('Key Analysis'!$C19,22,1))</f>
        <v/>
      </c>
      <c r="FE23" s="29" t="str">
        <f>IF(OR($B23="",$A23&lt;23),"",--MID('Key Analysis'!$C19,23,1))</f>
        <v/>
      </c>
      <c r="FF23" s="29" t="str">
        <f>IF(OR($B23="",$A23&lt;24),"",--MID('Key Analysis'!$C19,24,1))</f>
        <v/>
      </c>
      <c r="FG23" s="29" t="str">
        <f>IF(OR($B23="",$A23&lt;25),"",--MID('Key Analysis'!$C19,25,1))</f>
        <v/>
      </c>
      <c r="FH23" s="29" t="str">
        <f>IF(OR($B23="",$A23&lt;26),"",--MID('Key Analysis'!$C19,26,1))</f>
        <v/>
      </c>
      <c r="FI23" s="29" t="str">
        <f>IF(OR($B23="",$A23&lt;27),"",--MID('Key Analysis'!$C19,27,1))</f>
        <v/>
      </c>
      <c r="FJ23" s="29" t="str">
        <f>IF(OR($B23="",$A23&lt;28),"",--MID('Key Analysis'!$C19,28,1))</f>
        <v/>
      </c>
      <c r="FK23" s="29" t="str">
        <f>IF(OR($B23="",$A23&lt;29),"",--MID('Key Analysis'!$C19,29,1))</f>
        <v/>
      </c>
      <c r="FL23" s="29" t="str">
        <f>IF(OR($B23="",$A23&lt;30),"",--MID('Key Analysis'!$C19,30,1))</f>
        <v/>
      </c>
      <c r="FM23" s="29" t="str">
        <f>IF(OR($B23="",$A23&lt;31),"",--MID('Key Analysis'!$C19,31,1))</f>
        <v/>
      </c>
      <c r="FN23" s="29" t="str">
        <f>IF(OR($B23="",$A23&lt;32),"",--MID('Key Analysis'!$C19,32,1))</f>
        <v/>
      </c>
      <c r="FO23" s="29" t="str">
        <f>IF(OR($B23="",$A23&lt;33),"",--MID('Key Analysis'!$C19,33,1))</f>
        <v/>
      </c>
      <c r="FP23" s="29" t="str">
        <f>IF(OR($B23="",$A23&lt;34),"",--MID('Key Analysis'!$C19,34,1))</f>
        <v/>
      </c>
      <c r="FQ23" s="29" t="str">
        <f>IF(OR($B23="",$A23&lt;35),"",--MID('Key Analysis'!$C19,35,1))</f>
        <v/>
      </c>
      <c r="FR23" s="29" t="str">
        <f>IF(OR($B23="",$A23&lt;36),"",--MID('Key Analysis'!$C19,36,1))</f>
        <v/>
      </c>
      <c r="FS23" s="29" t="str">
        <f>IF(OR($B23="",$A23&lt;37),"",--MID('Key Analysis'!$C19,37,1))</f>
        <v/>
      </c>
      <c r="FT23" s="29" t="str">
        <f>IF(OR($B23="",$A23&lt;38),"",--MID('Key Analysis'!$C19,38,1))</f>
        <v/>
      </c>
      <c r="FU23" s="29" t="str">
        <f>IF(OR($B23="",$A23&lt;39),"",--MID('Key Analysis'!$C19,39,1))</f>
        <v/>
      </c>
      <c r="FV23" s="29" t="str">
        <f>IF(OR($B23="",$A23&lt;40),"",--MID('Key Analysis'!$C19,40,1))</f>
        <v/>
      </c>
      <c r="FW23" s="29" t="str">
        <f>IF(OR($B23="",$A23&lt;41),"",--MID('Key Analysis'!$C19,41,1))</f>
        <v/>
      </c>
      <c r="FX23" s="29" t="str">
        <f>IF(OR($B23="",$A23&lt;42),"",--MID('Key Analysis'!$C19,42,1))</f>
        <v/>
      </c>
      <c r="FY23" s="29" t="str">
        <f>IF(OR($B23="",$A23&lt;43),"",--MID('Key Analysis'!$C19,43,1))</f>
        <v/>
      </c>
      <c r="FZ23" s="29" t="str">
        <f>IF(OR($B23="",$A23&lt;44),"",--MID('Key Analysis'!$C19,44,1))</f>
        <v/>
      </c>
      <c r="GA23" s="29" t="str">
        <f>IF(OR($B23="",$A23&lt;45),"",--MID('Key Analysis'!$C19,45,1))</f>
        <v/>
      </c>
      <c r="GB23" s="29" t="str">
        <f>IF(OR($B23="",$A23&lt;46),"",--MID('Key Analysis'!$C19,46,1))</f>
        <v/>
      </c>
      <c r="GC23" s="29" t="str">
        <f>IF(OR($B23="",$A23&lt;47),"",--MID('Key Analysis'!$C19,47,1))</f>
        <v/>
      </c>
      <c r="GD23" s="29" t="str">
        <f>IF(OR($B23="",$A23&lt;48),"",--MID('Key Analysis'!$C19,48,1))</f>
        <v/>
      </c>
      <c r="GE23" s="29" t="str">
        <f>IF(OR($B23="",$A23&lt;49),"",--MID('Key Analysis'!$C19,49,1))</f>
        <v/>
      </c>
      <c r="GF23" s="29" t="str">
        <f>IF(OR($B23="",$A23&lt;50),"",--MID('Key Analysis'!$C19,50,1))</f>
        <v/>
      </c>
      <c r="GG23" s="29" t="str">
        <f>IF(OR($B23="",$A23&lt;51),"",--MID('Key Analysis'!$C19,51,1))</f>
        <v/>
      </c>
      <c r="GH23" s="29" t="str">
        <f>IF(OR($B23="",$A23&lt;52),"",--MID('Key Analysis'!$C19,52,1))</f>
        <v/>
      </c>
      <c r="GI23" s="29" t="str">
        <f>IF(OR($B23="",$A23&lt;53),"",--MID('Key Analysis'!$C19,53,1))</f>
        <v/>
      </c>
      <c r="GJ23" s="29" t="str">
        <f>IF(OR($B23="",$A23&lt;54),"",--MID('Key Analysis'!$C19,54,1))</f>
        <v/>
      </c>
      <c r="GK23" s="29" t="str">
        <f>IF(OR($B23="",$A23&lt;55),"",--MID('Key Analysis'!$C19,55,1))</f>
        <v/>
      </c>
      <c r="GL23" s="29" t="str">
        <f>IF(OR($B23="",$A23&lt;56),"",--MID('Key Analysis'!$C19,56,1))</f>
        <v/>
      </c>
      <c r="GM23" s="29" t="str">
        <f>IF(OR($B23="",$A23&lt;57),"",--MID('Key Analysis'!$C19,57,1))</f>
        <v/>
      </c>
      <c r="GN23" s="29" t="str">
        <f>IF(OR($B23="",$A23&lt;58),"",--MID('Key Analysis'!$C19,58,1))</f>
        <v/>
      </c>
      <c r="GO23" s="29" t="str">
        <f>IF(OR($B23="",$A23&lt;59),"",--MID('Key Analysis'!$C19,59,1))</f>
        <v/>
      </c>
      <c r="GP23" s="29" t="str">
        <f>IF(OR($B23="",$A23&lt;60),"",--MID('Key Analysis'!$C19,60,1))</f>
        <v/>
      </c>
      <c r="GQ23" s="29" t="str">
        <f>IF(OR($B23="",$A23&lt;61),"",--MID('Key Analysis'!$C19,61,1))</f>
        <v/>
      </c>
      <c r="GR23" s="29" t="str">
        <f>IF(OR($B23="",$A23&lt;62),"",--MID('Key Analysis'!$C19,62,1))</f>
        <v/>
      </c>
      <c r="GS23" s="29" t="str">
        <f>IF(OR($B23="",$A23&lt;63),"",--MID('Key Analysis'!$C19,63,1))</f>
        <v/>
      </c>
      <c r="GT23" s="29" t="str">
        <f>IF(OR($B23="",$A23&lt;64),"",--MID('Key Analysis'!$C19,64,1))</f>
        <v/>
      </c>
      <c r="GU23" s="29" t="str">
        <f>IF(OR($B23="",$A23&lt;65),"",--MID('Key Analysis'!$C19,65,1))</f>
        <v/>
      </c>
      <c r="GV23" s="29" t="str">
        <f>IF(OR($B23="",$A23&lt;66),"",--MID('Key Analysis'!$C19,66,1))</f>
        <v/>
      </c>
      <c r="GW23" s="29" t="str">
        <f>IF(OR($B23="",$A23&lt;67),"",--MID('Key Analysis'!$C19,67,1))</f>
        <v/>
      </c>
      <c r="GX23" s="29" t="str">
        <f>IF(OR($B23="",$A23&lt;68),"",--MID('Key Analysis'!$C19,68,1))</f>
        <v/>
      </c>
      <c r="GY23" s="29" t="str">
        <f>IF(OR($B23="",$A23&lt;69),"",--MID('Key Analysis'!$C19,69,1))</f>
        <v/>
      </c>
      <c r="GZ23" s="29" t="str">
        <f>IF(OR($B23="",$A23&lt;70),"",--MID('Key Analysis'!$C19,70,1))</f>
        <v/>
      </c>
      <c r="HA23" s="29" t="str">
        <f>IF(OR($B23="",$A23&lt;71),"",--MID('Key Analysis'!$C19,71,1))</f>
        <v/>
      </c>
      <c r="HB23" s="29" t="str">
        <f>IF(OR($B23="",$A23&lt;72),"",--MID('Key Analysis'!$C19,72,1))</f>
        <v/>
      </c>
      <c r="HC23" s="29" t="str">
        <f>IF(OR($B23="",$A23&lt;73),"",--MID('Key Analysis'!$C19,73,1))</f>
        <v/>
      </c>
      <c r="HD23" s="29" t="str">
        <f>IF(OR($B23="",$A23&lt;74),"",--MID('Key Analysis'!$C19,74,1))</f>
        <v/>
      </c>
      <c r="HE23" s="29" t="str">
        <f>IF(OR($B23="",$A23&lt;75),"",--MID('Key Analysis'!$C19,75,1))</f>
        <v/>
      </c>
      <c r="HF23" s="29" t="str">
        <f>IF(OR($B23="",$A23&lt;76),"",--MID('Key Analysis'!$C19,76,1))</f>
        <v/>
      </c>
      <c r="HG23" s="29" t="str">
        <f>IF(OR($B23="",$A23&lt;77),"",--MID('Key Analysis'!$C19,77,1))</f>
        <v/>
      </c>
      <c r="HH23" s="29" t="str">
        <f>IF(OR($B23="",$A23&lt;78),"",--MID('Key Analysis'!$C19,78,1))</f>
        <v/>
      </c>
      <c r="HI23" s="29" t="str">
        <f>IF(OR($B23="",$A23&lt;79),"",--MID('Key Analysis'!$C19,79,1))</f>
        <v/>
      </c>
      <c r="HJ23" s="29" t="str">
        <f>IF(OR($B23="",$A23&lt;80),"",--MID('Key Analysis'!$C19,80,1))</f>
        <v/>
      </c>
      <c r="HK23" s="29" t="str">
        <f>IF(OR($B23="",$A23&lt;81),"",--MID('Key Analysis'!$C19,81,1))</f>
        <v/>
      </c>
      <c r="HL23" s="29" t="str">
        <f>IF(OR($B23="",$A23&lt;82),"",--MID('Key Analysis'!$C19,82,1))</f>
        <v/>
      </c>
      <c r="HM23" s="29" t="str">
        <f>IF(OR($B23="",$A23&lt;83),"",--MID('Key Analysis'!$C19,83,1))</f>
        <v/>
      </c>
      <c r="HN23" s="29" t="str">
        <f>IF(OR($B23="",$A23&lt;84),"",--MID('Key Analysis'!$C19,84,1))</f>
        <v/>
      </c>
      <c r="HO23" s="29" t="str">
        <f>IF(OR($B23="",$A23&lt;85),"",--MID('Key Analysis'!$C19,85,1))</f>
        <v/>
      </c>
      <c r="HP23" s="29" t="str">
        <f>IF(OR($B23="",$A23&lt;86),"",--MID('Key Analysis'!$C19,86,1))</f>
        <v/>
      </c>
      <c r="HQ23" s="29" t="str">
        <f>IF(OR($B23="",$A23&lt;87),"",--MID('Key Analysis'!$C19,87,1))</f>
        <v/>
      </c>
      <c r="HR23" s="29" t="str">
        <f>IF(OR($B23="",$A23&lt;88),"",--MID('Key Analysis'!$C19,88,1))</f>
        <v/>
      </c>
      <c r="HS23" s="29" t="str">
        <f>IF(OR($B23="",$A23&lt;89),"",--MID('Key Analysis'!$C19,89,1))</f>
        <v/>
      </c>
      <c r="HT23" s="29" t="str">
        <f>IF(OR($B23="",$A23&lt;90),"",--MID('Key Analysis'!$C19,90,1))</f>
        <v/>
      </c>
      <c r="HU23" s="29" t="str">
        <f>IF(OR($B23="",$A23&lt;91),"",--MID('Key Analysis'!$C19,91,1))</f>
        <v/>
      </c>
      <c r="HV23" s="29" t="str">
        <f>IF(OR($B23="",$A23&lt;92),"",--MID('Key Analysis'!$C19,92,1))</f>
        <v/>
      </c>
      <c r="HW23" s="29" t="str">
        <f>IF(OR($B23="",$A23&lt;93),"",--MID('Key Analysis'!$C19,93,1))</f>
        <v/>
      </c>
      <c r="HX23" s="29" t="str">
        <f>IF(OR($B23="",$A23&lt;94),"",--MID('Key Analysis'!$C19,94,1))</f>
        <v/>
      </c>
      <c r="HY23" s="29" t="str">
        <f>IF(OR($B23="",$A23&lt;95),"",--MID('Key Analysis'!$C19,95,1))</f>
        <v/>
      </c>
      <c r="HZ23" s="29" t="str">
        <f>IF(OR($B23="",$A23&lt;96),"",--MID('Key Analysis'!$C19,96,1))</f>
        <v/>
      </c>
      <c r="IA23" s="29" t="str">
        <f>IF(OR($B23="",$A23&lt;97),"",--MID('Key Analysis'!$C19,97,1))</f>
        <v/>
      </c>
      <c r="IB23" s="29" t="str">
        <f>IF(OR($B23="",$A23&lt;98),"",--MID('Key Analysis'!$C19,98,1))</f>
        <v/>
      </c>
      <c r="IC23" s="29" t="str">
        <f>IF(OR($B23="",$A23&lt;99),"",--MID('Key Analysis'!$C19,99,1))</f>
        <v/>
      </c>
      <c r="ID23" s="29" t="str">
        <f>IF(OR($B23="",$A23&lt;100),"",--MID('Key Analysis'!$C19,100,1))</f>
        <v/>
      </c>
      <c r="IE23" s="29" t="str">
        <f>IF(OR($B23="",$A23&lt;101),"",--MID('Key Analysis'!$C19,101,1))</f>
        <v/>
      </c>
      <c r="IF23" s="29" t="str">
        <f>IF(OR($B23="",$A23&lt;102),"",--MID('Key Analysis'!$C19,102,1))</f>
        <v/>
      </c>
      <c r="IG23" s="29" t="str">
        <f>IF(OR($B23="",$A23&lt;103),"",--MID('Key Analysis'!$C19,103,1))</f>
        <v/>
      </c>
      <c r="IH23" s="29" t="str">
        <f>IF(OR($B23="",$A23&lt;104),"",--MID('Key Analysis'!$C19,104,1))</f>
        <v/>
      </c>
      <c r="II23" s="29" t="str">
        <f>IF(OR($B23="",$A23&lt;105),"",--MID('Key Analysis'!$C19,105,1))</f>
        <v/>
      </c>
      <c r="IJ23" s="29" t="str">
        <f>IF(OR($B23="",$A23&lt;106),"",--MID('Key Analysis'!$C19,106,1))</f>
        <v/>
      </c>
      <c r="IK23" s="29" t="str">
        <f>IF(OR($B23="",$A23&lt;107),"",--MID('Key Analysis'!$C19,107,1))</f>
        <v/>
      </c>
      <c r="IL23" s="29" t="str">
        <f>IF(OR($B23="",$A23&lt;108),"",--MID('Key Analysis'!$C19,108,1))</f>
        <v/>
      </c>
      <c r="IM23" s="29" t="str">
        <f>IF(OR($B23="",$A23&lt;109),"",--MID('Key Analysis'!$C19,109,1))</f>
        <v/>
      </c>
      <c r="IN23" s="29" t="str">
        <f>IF(OR($B23="",$A23&lt;110),"",--MID('Key Analysis'!$C19,110,1))</f>
        <v/>
      </c>
      <c r="IO23" s="29" t="str">
        <f>IF(OR($B23="",$A23&lt;111),"",--MID('Key Analysis'!$C19,111,1))</f>
        <v/>
      </c>
      <c r="IP23" s="29" t="str">
        <f>IF(OR($B23="",$A23&lt;112),"",--MID('Key Analysis'!$C19,112,1))</f>
        <v/>
      </c>
      <c r="IQ23" s="29" t="str">
        <f>IF(OR($B23="",$A23&lt;113),"",--MID('Key Analysis'!$C19,113,1))</f>
        <v/>
      </c>
      <c r="IR23" s="29" t="str">
        <f>IF(OR($B23="",$A23&lt;114),"",--MID('Key Analysis'!$C19,114,1))</f>
        <v/>
      </c>
      <c r="IS23" s="29" t="str">
        <f>IF(OR($B23="",$A23&lt;115),"",--MID('Key Analysis'!$C19,115,1))</f>
        <v/>
      </c>
      <c r="IT23" s="29" t="str">
        <f>IF(OR($B23="",$A23&lt;116),"",--MID('Key Analysis'!$C19,116,1))</f>
        <v/>
      </c>
      <c r="IU23" s="29" t="str">
        <f>IF(OR($B23="",$A23&lt;117),"",--MID('Key Analysis'!$C19,117,1))</f>
        <v/>
      </c>
      <c r="IV23" s="29" t="str">
        <f>IF(OR($B23="",$A23&lt;118),"",--MID('Key Analysis'!$C19,118,1))</f>
        <v/>
      </c>
      <c r="IW23" s="29" t="str">
        <f>IF(OR($B23="",$A23&lt;119),"",--MID('Key Analysis'!$C19,119,1))</f>
        <v/>
      </c>
      <c r="IX23" s="29" t="str">
        <f>IF(OR($B23="",$A23&lt;120),"",--MID('Key Analysis'!$C19,120,1))</f>
        <v/>
      </c>
      <c r="IY23" s="29" t="str">
        <f>IF(OR($B23="",$A23&lt;121),"",--MID('Key Analysis'!$C19,121,1))</f>
        <v/>
      </c>
      <c r="IZ23" s="29" t="str">
        <f>IF(OR($B23="",$A23&lt;122),"",--MID('Key Analysis'!$C19,122,1))</f>
        <v/>
      </c>
      <c r="JA23" s="29" t="str">
        <f>IF(OR($B23="",$A23&lt;123),"",--MID('Key Analysis'!$C19,123,1))</f>
        <v/>
      </c>
      <c r="JB23" s="29" t="str">
        <f>IF(OR($B23="",$A23&lt;124),"",--MID('Key Analysis'!$C19,124,1))</f>
        <v/>
      </c>
      <c r="JC23" s="29" t="str">
        <f>IF(OR($B23="",$A23&lt;125),"",--MID('Key Analysis'!$C19,125,1))</f>
        <v/>
      </c>
      <c r="JD23" s="29" t="str">
        <f>IF(OR($B23="",$A23&lt;126),"",--MID('Key Analysis'!$C19,126,1))</f>
        <v/>
      </c>
      <c r="JE23" s="29" t="str">
        <f>IF(OR($B23="",$A23&lt;127),"",--MID('Key Analysis'!$C19,127,1))</f>
        <v/>
      </c>
      <c r="JF23" s="29" t="str">
        <f>IF(OR($B23="",$A23&lt;128),"",--MID('Key Analysis'!$C19,128,1))</f>
        <v/>
      </c>
      <c r="JG23" s="29" t="str">
        <f>IF(OR($B23="",$A23&lt;129),"",--MID('Key Analysis'!$C19,129,1))</f>
        <v/>
      </c>
      <c r="JH23" s="29" t="str">
        <f>IF(OR($B23="",$A23&lt;130),"",--MID('Key Analysis'!$C19,130,1))</f>
        <v/>
      </c>
      <c r="JI23" s="29" t="str">
        <f>IF(OR($B23="",$A23&lt;131),"",--MID('Key Analysis'!$C19,131,1))</f>
        <v/>
      </c>
      <c r="JJ23" s="29" t="str">
        <f>IF(OR($B23="",$A23&lt;132),"",--MID('Key Analysis'!$C19,132,1))</f>
        <v/>
      </c>
      <c r="JK23" s="29" t="str">
        <f>IF(OR($B23="",$A23&lt;133),"",--MID('Key Analysis'!$C19,133,1))</f>
        <v/>
      </c>
      <c r="JL23" s="29" t="str">
        <f>IF(OR($B23="",$A23&lt;134),"",--MID('Key Analysis'!$C19,134,1))</f>
        <v/>
      </c>
      <c r="JM23" s="29" t="str">
        <f>IF(OR($B23="",$A23&lt;135),"",--MID('Key Analysis'!$C19,135,1))</f>
        <v/>
      </c>
    </row>
    <row r="24" spans="1:273" x14ac:dyDescent="0.25">
      <c r="A24" s="21">
        <f>'Key Analysis'!A20</f>
        <v>19</v>
      </c>
      <c r="B24" s="30" t="str">
        <f>'Key Analysis'!B20</f>
        <v>5749f</v>
      </c>
      <c r="C24" s="29">
        <f>IF(OR($B24="",$A24&lt;=0),"",--MID('Key Analysis'!$C20,$A24-0,1))</f>
        <v>1</v>
      </c>
      <c r="D24" s="29">
        <f>IF(OR($B24="",$A24&lt;=1),"",--MID('Key Analysis'!$C20,$A24-1,1))</f>
        <v>1</v>
      </c>
      <c r="E24" s="29">
        <f>IF(OR($B24="",$A24&lt;=2),"",--MID('Key Analysis'!$C20,$A24-2,1))</f>
        <v>1</v>
      </c>
      <c r="F24" s="29">
        <f>IF(OR($B24="",$A24&lt;=3),"",--MID('Key Analysis'!$C20,$A24-3,1))</f>
        <v>1</v>
      </c>
      <c r="G24" s="29">
        <f>IF(OR($B24="",$A24&lt;=4),"",--MID('Key Analysis'!$C20,$A24-4,1))</f>
        <v>1</v>
      </c>
      <c r="H24" s="29">
        <f>IF(OR($B24="",$A24&lt;=5),"",--MID('Key Analysis'!$C20,$A24-5,1))</f>
        <v>0</v>
      </c>
      <c r="I24" s="29">
        <f>IF(OR($B24="",$A24&lt;=6),"",--MID('Key Analysis'!$C20,$A24-6,1))</f>
        <v>0</v>
      </c>
      <c r="J24" s="29">
        <f>IF(OR($B24="",$A24&lt;=7),"",--MID('Key Analysis'!$C20,$A24-7,1))</f>
        <v>1</v>
      </c>
      <c r="K24" s="29">
        <f>IF(OR($B24="",$A24&lt;=8),"",--MID('Key Analysis'!$C20,$A24-8,1))</f>
        <v>0</v>
      </c>
      <c r="L24" s="29">
        <f>IF(OR($B24="",$A24&lt;=9),"",--MID('Key Analysis'!$C20,$A24-9,1))</f>
        <v>0</v>
      </c>
      <c r="M24" s="29">
        <f>IF(OR($B24="",$A24&lt;=10),"",--MID('Key Analysis'!$C20,$A24-10,1))</f>
        <v>1</v>
      </c>
      <c r="N24" s="29">
        <f>IF(OR($B24="",$A24&lt;=11),"",--MID('Key Analysis'!$C20,$A24-11,1))</f>
        <v>0</v>
      </c>
      <c r="O24" s="29">
        <f>IF(OR($B24="",$A24&lt;=12),"",--MID('Key Analysis'!$C20,$A24-12,1))</f>
        <v>1</v>
      </c>
      <c r="P24" s="29">
        <f>IF(OR($B24="",$A24&lt;=13),"",--MID('Key Analysis'!$C20,$A24-13,1))</f>
        <v>1</v>
      </c>
      <c r="Q24" s="29">
        <f>IF(OR($B24="",$A24&lt;=14),"",--MID('Key Analysis'!$C20,$A24-14,1))</f>
        <v>1</v>
      </c>
      <c r="R24" s="29">
        <f>IF(OR($B24="",$A24&lt;=15),"",--MID('Key Analysis'!$C20,$A24-15,1))</f>
        <v>0</v>
      </c>
      <c r="S24" s="29">
        <f>IF(OR($B24="",$A24&lt;=16),"",--MID('Key Analysis'!$C20,$A24-16,1))</f>
        <v>1</v>
      </c>
      <c r="T24" s="29">
        <f>IF(OR($B24="",$A24&lt;=17),"",--MID('Key Analysis'!$C20,$A24-17,1))</f>
        <v>0</v>
      </c>
      <c r="U24" s="29">
        <f>IF(OR($B24="",$A24&lt;=18),"",--MID('Key Analysis'!$C20,$A24-18,1))</f>
        <v>1</v>
      </c>
      <c r="V24" s="29" t="str">
        <f>IF(OR($B24="",$A24&lt;=19),"",--MID('Key Analysis'!$C20,$A24-19,1))</f>
        <v/>
      </c>
      <c r="W24" s="29" t="str">
        <f>IF(OR($B24="",$A24&lt;=20),"",--MID('Key Analysis'!$C20,$A24-20,1))</f>
        <v/>
      </c>
      <c r="X24" s="29" t="str">
        <f>IF(OR($B24="",$A24&lt;=21),"",--MID('Key Analysis'!$C20,$A24-21,1))</f>
        <v/>
      </c>
      <c r="Y24" s="29" t="str">
        <f>IF(OR($B24="",$A24&lt;=22),"",--MID('Key Analysis'!$C20,$A24-22,1))</f>
        <v/>
      </c>
      <c r="Z24" s="29" t="str">
        <f>IF(OR($B24="",$A24&lt;=23),"",--MID('Key Analysis'!$C20,$A24-23,1))</f>
        <v/>
      </c>
      <c r="AA24" s="29" t="str">
        <f>IF(OR($B24="",$A24&lt;=24),"",--MID('Key Analysis'!$C20,$A24-24,1))</f>
        <v/>
      </c>
      <c r="AB24" s="29" t="str">
        <f>IF(OR($B24="",$A24&lt;=25),"",--MID('Key Analysis'!$C20,$A24-25,1))</f>
        <v/>
      </c>
      <c r="AC24" s="29" t="str">
        <f>IF(OR($B24="",$A24&lt;=26),"",--MID('Key Analysis'!$C20,$A24-26,1))</f>
        <v/>
      </c>
      <c r="AD24" s="29" t="str">
        <f>IF(OR($B24="",$A24&lt;=27),"",--MID('Key Analysis'!$C20,$A24-27,1))</f>
        <v/>
      </c>
      <c r="AE24" s="29" t="str">
        <f>IF(OR($B24="",$A24&lt;=28),"",--MID('Key Analysis'!$C20,$A24-28,1))</f>
        <v/>
      </c>
      <c r="AF24" s="29" t="str">
        <f>IF(OR($B24="",$A24&lt;=29),"",--MID('Key Analysis'!$C20,$A24-29,1))</f>
        <v/>
      </c>
      <c r="AG24" s="29" t="str">
        <f>IF(OR($B24="",$A24&lt;=30),"",--MID('Key Analysis'!$C20,$A24-30,1))</f>
        <v/>
      </c>
      <c r="AH24" s="29" t="str">
        <f>IF(OR($B24="",$A24&lt;=31),"",--MID('Key Analysis'!$C20,$A24-31,1))</f>
        <v/>
      </c>
      <c r="AI24" s="29" t="str">
        <f>IF(OR($B24="",$A24&lt;=32),"",--MID('Key Analysis'!$C20,$A24-32,1))</f>
        <v/>
      </c>
      <c r="AJ24" s="29" t="str">
        <f>IF(OR($B24="",$A24&lt;=33),"",--MID('Key Analysis'!$C20,$A24-33,1))</f>
        <v/>
      </c>
      <c r="AK24" s="29" t="str">
        <f>IF(OR($B24="",$A24&lt;=34),"",--MID('Key Analysis'!$C20,$A24-34,1))</f>
        <v/>
      </c>
      <c r="AL24" s="29" t="str">
        <f>IF(OR($B24="",$A24&lt;=35),"",--MID('Key Analysis'!$C20,$A24-35,1))</f>
        <v/>
      </c>
      <c r="AM24" s="29" t="str">
        <f>IF(OR($B24="",$A24&lt;=36),"",--MID('Key Analysis'!$C20,$A24-36,1))</f>
        <v/>
      </c>
      <c r="AN24" s="29" t="str">
        <f>IF(OR($B24="",$A24&lt;=37),"",--MID('Key Analysis'!$C20,$A24-37,1))</f>
        <v/>
      </c>
      <c r="AO24" s="29" t="str">
        <f>IF(OR($B24="",$A24&lt;=38),"",--MID('Key Analysis'!$C20,$A24-38,1))</f>
        <v/>
      </c>
      <c r="AP24" s="29" t="str">
        <f>IF(OR($B24="",$A24&lt;=39),"",--MID('Key Analysis'!$C20,$A24-39,1))</f>
        <v/>
      </c>
      <c r="AQ24" s="29" t="str">
        <f>IF(OR($B24="",$A24&lt;=40),"",--MID('Key Analysis'!$C20,$A24-40,1))</f>
        <v/>
      </c>
      <c r="AR24" s="29" t="str">
        <f>IF(OR($B24="",$A24&lt;=41),"",--MID('Key Analysis'!$C20,$A24-41,1))</f>
        <v/>
      </c>
      <c r="AS24" s="29" t="str">
        <f>IF(OR($B24="",$A24&lt;=42),"",--MID('Key Analysis'!$C20,$A24-42,1))</f>
        <v/>
      </c>
      <c r="AT24" s="29" t="str">
        <f>IF(OR($B24="",$A24&lt;=43),"",--MID('Key Analysis'!$C20,$A24-43,1))</f>
        <v/>
      </c>
      <c r="AU24" s="29" t="str">
        <f>IF(OR($B24="",$A24&lt;=44),"",--MID('Key Analysis'!$C20,$A24-44,1))</f>
        <v/>
      </c>
      <c r="AV24" s="29" t="str">
        <f>IF(OR($B24="",$A24&lt;=45),"",--MID('Key Analysis'!$C20,$A24-45,1))</f>
        <v/>
      </c>
      <c r="AW24" s="29" t="str">
        <f>IF(OR($B24="",$A24&lt;=46),"",--MID('Key Analysis'!$C20,$A24-46,1))</f>
        <v/>
      </c>
      <c r="AX24" s="29" t="str">
        <f>IF(OR($B24="",$A24&lt;=47),"",--MID('Key Analysis'!$C20,$A24-47,1))</f>
        <v/>
      </c>
      <c r="AY24" s="29" t="str">
        <f>IF(OR($B24="",$A24&lt;=48),"",--MID('Key Analysis'!$C20,$A24-48,1))</f>
        <v/>
      </c>
      <c r="AZ24" s="29" t="str">
        <f>IF(OR($B24="",$A24&lt;=49),"",--MID('Key Analysis'!$C20,$A24-49,1))</f>
        <v/>
      </c>
      <c r="BA24" s="29" t="str">
        <f>IF(OR($B24="",$A24&lt;=50),"",--MID('Key Analysis'!$C20,$A24-50,1))</f>
        <v/>
      </c>
      <c r="BB24" s="29" t="str">
        <f>IF(OR($B24="",$A24&lt;=51),"",--MID('Key Analysis'!$C20,$A24-51,1))</f>
        <v/>
      </c>
      <c r="BC24" s="29" t="str">
        <f>IF(OR($B24="",$A24&lt;=52),"",--MID('Key Analysis'!$C20,$A24-52,1))</f>
        <v/>
      </c>
      <c r="BD24" s="29" t="str">
        <f>IF(OR($B24="",$A24&lt;=53),"",--MID('Key Analysis'!$C20,$A24-53,1))</f>
        <v/>
      </c>
      <c r="BE24" s="29" t="str">
        <f>IF(OR($B24="",$A24&lt;=54),"",--MID('Key Analysis'!$C20,$A24-54,1))</f>
        <v/>
      </c>
      <c r="BF24" s="29" t="str">
        <f>IF(OR($B24="",$A24&lt;=55),"",--MID('Key Analysis'!$C20,$A24-55,1))</f>
        <v/>
      </c>
      <c r="BG24" s="29" t="str">
        <f>IF(OR($B24="",$A24&lt;=56),"",--MID('Key Analysis'!$C20,$A24-56,1))</f>
        <v/>
      </c>
      <c r="BH24" s="29" t="str">
        <f>IF(OR($B24="",$A24&lt;=57),"",--MID('Key Analysis'!$C20,$A24-57,1))</f>
        <v/>
      </c>
      <c r="BI24" s="29" t="str">
        <f>IF(OR($B24="",$A24&lt;=58),"",--MID('Key Analysis'!$C20,$A24-58,1))</f>
        <v/>
      </c>
      <c r="BJ24" s="29" t="str">
        <f>IF(OR($B24="",$A24&lt;=59),"",--MID('Key Analysis'!$C20,$A24-59,1))</f>
        <v/>
      </c>
      <c r="BK24" s="29" t="str">
        <f>IF(OR($B24="",$A24&lt;=60),"",--MID('Key Analysis'!$C20,$A24-60,1))</f>
        <v/>
      </c>
      <c r="BL24" s="29" t="str">
        <f>IF(OR($B24="",$A24&lt;=61),"",--MID('Key Analysis'!$C20,$A24-61,1))</f>
        <v/>
      </c>
      <c r="BM24" s="29" t="str">
        <f>IF(OR($B24="",$A24&lt;=62),"",--MID('Key Analysis'!$C20,$A24-62,1))</f>
        <v/>
      </c>
      <c r="BN24" s="29" t="str">
        <f>IF(OR($B24="",$A24&lt;=63),"",--MID('Key Analysis'!$C20,$A24-63,1))</f>
        <v/>
      </c>
      <c r="BO24" s="29" t="str">
        <f>IF(OR($B24="",$A24&lt;=64),"",--MID('Key Analysis'!$C20,$A24-64,1))</f>
        <v/>
      </c>
      <c r="BP24" s="29" t="str">
        <f>IF(OR($B24="",$A24&lt;=65),"",--MID('Key Analysis'!$C20,$A24-65,1))</f>
        <v/>
      </c>
      <c r="BQ24" s="29" t="str">
        <f>IF(OR($B24="",$A24&lt;=66),"",--MID('Key Analysis'!$C20,$A24-66,1))</f>
        <v/>
      </c>
      <c r="BR24" s="29" t="str">
        <f>IF(OR($B24="",$A24&lt;=67),"",--MID('Key Analysis'!$C20,$A24-67,1))</f>
        <v/>
      </c>
      <c r="BS24" s="29" t="str">
        <f>IF(OR($B24="",$A24&lt;=68),"",--MID('Key Analysis'!$C20,$A24-68,1))</f>
        <v/>
      </c>
      <c r="BT24" s="29" t="str">
        <f>IF(OR($B24="",$A24&lt;=69),"",--MID('Key Analysis'!$C20,$A24-69,1))</f>
        <v/>
      </c>
      <c r="BU24" s="29" t="str">
        <f>IF(OR($B24="",$A24&lt;=70),"",--MID('Key Analysis'!$C20,$A24-70,1))</f>
        <v/>
      </c>
      <c r="BV24" s="29" t="str">
        <f>IF(OR($B24="",$A24&lt;=71),"",--MID('Key Analysis'!$C20,$A24-71,1))</f>
        <v/>
      </c>
      <c r="BW24" s="29" t="str">
        <f>IF(OR($B24="",$A24&lt;=72),"",--MID('Key Analysis'!$C20,$A24-72,1))</f>
        <v/>
      </c>
      <c r="BX24" s="29" t="str">
        <f>IF(OR($B24="",$A24&lt;=73),"",--MID('Key Analysis'!$C20,$A24-73,1))</f>
        <v/>
      </c>
      <c r="BY24" s="29" t="str">
        <f>IF(OR($B24="",$A24&lt;=74),"",--MID('Key Analysis'!$C20,$A24-74,1))</f>
        <v/>
      </c>
      <c r="BZ24" s="29" t="str">
        <f>IF(OR($B24="",$A24&lt;=75),"",--MID('Key Analysis'!$C20,$A24-75,1))</f>
        <v/>
      </c>
      <c r="CA24" s="29" t="str">
        <f>IF(OR($B24="",$A24&lt;=76),"",--MID('Key Analysis'!$C20,$A24-76,1))</f>
        <v/>
      </c>
      <c r="CB24" s="29" t="str">
        <f>IF(OR($B24="",$A24&lt;=77),"",--MID('Key Analysis'!$C20,$A24-77,1))</f>
        <v/>
      </c>
      <c r="CC24" s="29" t="str">
        <f>IF(OR($B24="",$A24&lt;=78),"",--MID('Key Analysis'!$C20,$A24-78,1))</f>
        <v/>
      </c>
      <c r="CD24" s="29" t="str">
        <f>IF(OR($B24="",$A24&lt;=79),"",--MID('Key Analysis'!$C20,$A24-79,1))</f>
        <v/>
      </c>
      <c r="CE24" s="29" t="str">
        <f>IF(OR($B24="",$A24&lt;=80),"",--MID('Key Analysis'!$C20,$A24-80,1))</f>
        <v/>
      </c>
      <c r="CF24" s="29" t="str">
        <f>IF(OR($B24="",$A24&lt;=81),"",--MID('Key Analysis'!$C20,$A24-81,1))</f>
        <v/>
      </c>
      <c r="CG24" s="29" t="str">
        <f>IF(OR($B24="",$A24&lt;=82),"",--MID('Key Analysis'!$C20,$A24-82,1))</f>
        <v/>
      </c>
      <c r="CH24" s="29" t="str">
        <f>IF(OR($B24="",$A24&lt;=83),"",--MID('Key Analysis'!$C20,$A24-83,1))</f>
        <v/>
      </c>
      <c r="CI24" s="29" t="str">
        <f>IF(OR($B24="",$A24&lt;=84),"",--MID('Key Analysis'!$C20,$A24-84,1))</f>
        <v/>
      </c>
      <c r="CJ24" s="29" t="str">
        <f>IF(OR($B24="",$A24&lt;=85),"",--MID('Key Analysis'!$C20,$A24-85,1))</f>
        <v/>
      </c>
      <c r="CK24" s="29" t="str">
        <f>IF(OR($B24="",$A24&lt;=86),"",--MID('Key Analysis'!$C20,$A24-86,1))</f>
        <v/>
      </c>
      <c r="CL24" s="29" t="str">
        <f>IF(OR($B24="",$A24&lt;=87),"",--MID('Key Analysis'!$C20,$A24-87,1))</f>
        <v/>
      </c>
      <c r="CM24" s="29" t="str">
        <f>IF(OR($B24="",$A24&lt;=88),"",--MID('Key Analysis'!$C20,$A24-88,1))</f>
        <v/>
      </c>
      <c r="CN24" s="29" t="str">
        <f>IF(OR($B24="",$A24&lt;=89),"",--MID('Key Analysis'!$C20,$A24-89,1))</f>
        <v/>
      </c>
      <c r="CO24" s="29" t="str">
        <f>IF(OR($B24="",$A24&lt;=90),"",--MID('Key Analysis'!$C20,$A24-90,1))</f>
        <v/>
      </c>
      <c r="CP24" s="29" t="str">
        <f>IF(OR($B24="",$A24&lt;=91),"",--MID('Key Analysis'!$C20,$A24-91,1))</f>
        <v/>
      </c>
      <c r="CQ24" s="29" t="str">
        <f>IF(OR($B24="",$A24&lt;=92),"",--MID('Key Analysis'!$C20,$A24-92,1))</f>
        <v/>
      </c>
      <c r="CR24" s="29" t="str">
        <f>IF(OR($B24="",$A24&lt;=93),"",--MID('Key Analysis'!$C20,$A24-93,1))</f>
        <v/>
      </c>
      <c r="CS24" s="29" t="str">
        <f>IF(OR($B24="",$A24&lt;=94),"",--MID('Key Analysis'!$C20,$A24-94,1))</f>
        <v/>
      </c>
      <c r="CT24" s="29" t="str">
        <f>IF(OR($B24="",$A24&lt;=95),"",--MID('Key Analysis'!$C20,$A24-95,1))</f>
        <v/>
      </c>
      <c r="CU24" s="29" t="str">
        <f>IF(OR($B24="",$A24&lt;=96),"",--MID('Key Analysis'!$C20,$A24-96,1))</f>
        <v/>
      </c>
      <c r="CV24" s="29" t="str">
        <f>IF(OR($B24="",$A24&lt;=97),"",--MID('Key Analysis'!$C20,$A24-97,1))</f>
        <v/>
      </c>
      <c r="CW24" s="29" t="str">
        <f>IF(OR($B24="",$A24&lt;=98),"",--MID('Key Analysis'!$C20,$A24-98,1))</f>
        <v/>
      </c>
      <c r="CX24" s="29" t="str">
        <f>IF(OR($B24="",$A24&lt;=99),"",--MID('Key Analysis'!$C20,$A24-99,1))</f>
        <v/>
      </c>
      <c r="CY24" s="29" t="str">
        <f>IF(OR($B24="",$A24&lt;=100),"",--MID('Key Analysis'!$C20,$A24-100,1))</f>
        <v/>
      </c>
      <c r="CZ24" s="29" t="str">
        <f>IF(OR($B24="",$A24&lt;=101),"",--MID('Key Analysis'!$C20,$A24-101,1))</f>
        <v/>
      </c>
      <c r="DA24" s="29" t="str">
        <f>IF(OR($B24="",$A24&lt;=102),"",--MID('Key Analysis'!$C20,$A24-102,1))</f>
        <v/>
      </c>
      <c r="DB24" s="29" t="str">
        <f>IF(OR($B24="",$A24&lt;=103),"",--MID('Key Analysis'!$C20,$A24-103,1))</f>
        <v/>
      </c>
      <c r="DC24" s="29" t="str">
        <f>IF(OR($B24="",$A24&lt;=104),"",--MID('Key Analysis'!$C20,$A24-104,1))</f>
        <v/>
      </c>
      <c r="DD24" s="29" t="str">
        <f>IF(OR($B24="",$A24&lt;=105),"",--MID('Key Analysis'!$C20,$A24-105,1))</f>
        <v/>
      </c>
      <c r="DE24" s="29" t="str">
        <f>IF(OR($B24="",$A24&lt;=106),"",--MID('Key Analysis'!$C20,$A24-106,1))</f>
        <v/>
      </c>
      <c r="DF24" s="29" t="str">
        <f>IF(OR($B24="",$A24&lt;=107),"",--MID('Key Analysis'!$C20,$A24-107,1))</f>
        <v/>
      </c>
      <c r="DG24" s="29" t="str">
        <f>IF(OR($B24="",$A24&lt;=108),"",--MID('Key Analysis'!$C20,$A24-108,1))</f>
        <v/>
      </c>
      <c r="DH24" s="29" t="str">
        <f>IF(OR($B24="",$A24&lt;=109),"",--MID('Key Analysis'!$C20,$A24-109,1))</f>
        <v/>
      </c>
      <c r="DI24" s="29" t="str">
        <f>IF(OR($B24="",$A24&lt;=110),"",--MID('Key Analysis'!$C20,$A24-110,1))</f>
        <v/>
      </c>
      <c r="DJ24" s="29" t="str">
        <f>IF(OR($B24="",$A24&lt;=111),"",--MID('Key Analysis'!$C20,$A24-111,1))</f>
        <v/>
      </c>
      <c r="DK24" s="29" t="str">
        <f>IF(OR($B24="",$A24&lt;=112),"",--MID('Key Analysis'!$C20,$A24-112,1))</f>
        <v/>
      </c>
      <c r="DL24" s="29" t="str">
        <f>IF(OR($B24="",$A24&lt;=113),"",--MID('Key Analysis'!$C20,$A24-113,1))</f>
        <v/>
      </c>
      <c r="DM24" s="29" t="str">
        <f>IF(OR($B24="",$A24&lt;=114),"",--MID('Key Analysis'!$C20,$A24-114,1))</f>
        <v/>
      </c>
      <c r="DN24" s="29" t="str">
        <f>IF(OR($B24="",$A24&lt;=115),"",--MID('Key Analysis'!$C20,$A24-115,1))</f>
        <v/>
      </c>
      <c r="DO24" s="29" t="str">
        <f>IF(OR($B24="",$A24&lt;=116),"",--MID('Key Analysis'!$C20,$A24-116,1))</f>
        <v/>
      </c>
      <c r="DP24" s="29" t="str">
        <f>IF(OR($B24="",$A24&lt;=117),"",--MID('Key Analysis'!$C20,$A24-117,1))</f>
        <v/>
      </c>
      <c r="DQ24" s="29" t="str">
        <f>IF(OR($B24="",$A24&lt;=118),"",--MID('Key Analysis'!$C20,$A24-118,1))</f>
        <v/>
      </c>
      <c r="DR24" s="29" t="str">
        <f>IF(OR($B24="",$A24&lt;=119),"",--MID('Key Analysis'!$C20,$A24-119,1))</f>
        <v/>
      </c>
      <c r="DS24" s="29" t="str">
        <f>IF(OR($B24="",$A24&lt;=120),"",--MID('Key Analysis'!$C20,$A24-120,1))</f>
        <v/>
      </c>
      <c r="DT24" s="29" t="str">
        <f>IF(OR($B24="",$A24&lt;=121),"",--MID('Key Analysis'!$C20,$A24-121,1))</f>
        <v/>
      </c>
      <c r="DU24" s="29" t="str">
        <f>IF(OR($B24="",$A24&lt;=122),"",--MID('Key Analysis'!$C20,$A24-122,1))</f>
        <v/>
      </c>
      <c r="DV24" s="29" t="str">
        <f>IF(OR($B24="",$A24&lt;=123),"",--MID('Key Analysis'!$C20,$A24-123,1))</f>
        <v/>
      </c>
      <c r="DW24" s="29" t="str">
        <f>IF(OR($B24="",$A24&lt;=124),"",--MID('Key Analysis'!$C20,$A24-124,1))</f>
        <v/>
      </c>
      <c r="DX24" s="29" t="str">
        <f>IF(OR($B24="",$A24&lt;=125),"",--MID('Key Analysis'!$C20,$A24-125,1))</f>
        <v/>
      </c>
      <c r="DY24" s="29" t="str">
        <f>IF(OR($B24="",$A24&lt;=126),"",--MID('Key Analysis'!$C20,$A24-126,1))</f>
        <v/>
      </c>
      <c r="DZ24" s="29" t="str">
        <f>IF(OR($B24="",$A24&lt;=127),"",--MID('Key Analysis'!$C20,$A24-127,1))</f>
        <v/>
      </c>
      <c r="EA24" s="29" t="str">
        <f>IF(OR($B24="",$A24&lt;=128),"",--MID('Key Analysis'!$C20,$A24-128,1))</f>
        <v/>
      </c>
      <c r="EB24" s="29" t="str">
        <f>IF(OR($B24="",$A24&lt;=129),"",--MID('Key Analysis'!$C20,$A24-129,1))</f>
        <v/>
      </c>
      <c r="EC24" s="29" t="str">
        <f>IF(OR($B24="",$A24&lt;=130),"",--MID('Key Analysis'!$C20,$A24-130,1))</f>
        <v/>
      </c>
      <c r="ED24" s="29" t="str">
        <f>IF(OR($B24="",$A24&lt;=131),"",--MID('Key Analysis'!$C20,$A24-131,1))</f>
        <v/>
      </c>
      <c r="EE24" s="29" t="str">
        <f>IF(OR($B24="",$A24&lt;=132),"",--MID('Key Analysis'!$C20,$A24-132,1))</f>
        <v/>
      </c>
      <c r="EF24" s="29" t="str">
        <f>IF(OR($B24="",$A24&lt;=133),"",--MID('Key Analysis'!$C20,$A24-133,1))</f>
        <v/>
      </c>
      <c r="EG24" s="29" t="str">
        <f>IF(OR($B24="",$A24&lt;=134),"",--MID('Key Analysis'!$C20,$A24-134,1))</f>
        <v/>
      </c>
      <c r="EH24" s="29"/>
      <c r="EI24" s="29">
        <f>IF(OR($B24="",$A24&lt;1),"",--MID('Key Analysis'!$C20,1,1))</f>
        <v>1</v>
      </c>
      <c r="EJ24" s="29">
        <f>IF(OR($B24="",$A24&lt;2),"",--MID('Key Analysis'!$C20,2,1))</f>
        <v>0</v>
      </c>
      <c r="EK24" s="29">
        <f>IF(OR($B24="",$A24&lt;3),"",--MID('Key Analysis'!$C20,3,1))</f>
        <v>1</v>
      </c>
      <c r="EL24" s="29">
        <f>IF(OR($B24="",$A24&lt;4),"",--MID('Key Analysis'!$C20,4,1))</f>
        <v>0</v>
      </c>
      <c r="EM24" s="29">
        <f>IF(OR($B24="",$A24&lt;5),"",--MID('Key Analysis'!$C20,5,1))</f>
        <v>1</v>
      </c>
      <c r="EN24" s="29">
        <f>IF(OR($B24="",$A24&lt;6),"",--MID('Key Analysis'!$C20,6,1))</f>
        <v>1</v>
      </c>
      <c r="EO24" s="29">
        <f>IF(OR($B24="",$A24&lt;7),"",--MID('Key Analysis'!$C20,7,1))</f>
        <v>1</v>
      </c>
      <c r="EP24" s="29">
        <f>IF(OR($B24="",$A24&lt;8),"",--MID('Key Analysis'!$C20,8,1))</f>
        <v>0</v>
      </c>
      <c r="EQ24" s="29">
        <f>IF(OR($B24="",$A24&lt;9),"",--MID('Key Analysis'!$C20,9,1))</f>
        <v>1</v>
      </c>
      <c r="ER24" s="29">
        <f>IF(OR($B24="",$A24&lt;10),"",--MID('Key Analysis'!$C20,10,1))</f>
        <v>0</v>
      </c>
      <c r="ES24" s="29">
        <f>IF(OR($B24="",$A24&lt;11),"",--MID('Key Analysis'!$C20,11,1))</f>
        <v>0</v>
      </c>
      <c r="ET24" s="29">
        <f>IF(OR($B24="",$A24&lt;12),"",--MID('Key Analysis'!$C20,12,1))</f>
        <v>1</v>
      </c>
      <c r="EU24" s="29">
        <f>IF(OR($B24="",$A24&lt;13),"",--MID('Key Analysis'!$C20,13,1))</f>
        <v>0</v>
      </c>
      <c r="EV24" s="29">
        <f>IF(OR($B24="",$A24&lt;14),"",--MID('Key Analysis'!$C20,14,1))</f>
        <v>0</v>
      </c>
      <c r="EW24" s="29">
        <f>IF(OR($B24="",$A24&lt;15),"",--MID('Key Analysis'!$C20,15,1))</f>
        <v>1</v>
      </c>
      <c r="EX24" s="29">
        <f>IF(OR($B24="",$A24&lt;16),"",--MID('Key Analysis'!$C20,16,1))</f>
        <v>1</v>
      </c>
      <c r="EY24" s="29">
        <f>IF(OR($B24="",$A24&lt;17),"",--MID('Key Analysis'!$C20,17,1))</f>
        <v>1</v>
      </c>
      <c r="EZ24" s="29">
        <f>IF(OR($B24="",$A24&lt;18),"",--MID('Key Analysis'!$C20,18,1))</f>
        <v>1</v>
      </c>
      <c r="FA24" s="29">
        <f>IF(OR($B24="",$A24&lt;19),"",--MID('Key Analysis'!$C20,19,1))</f>
        <v>1</v>
      </c>
      <c r="FB24" s="29" t="str">
        <f>IF(OR($B24="",$A24&lt;20),"",--MID('Key Analysis'!$C20,20,1))</f>
        <v/>
      </c>
      <c r="FC24" s="29" t="str">
        <f>IF(OR($B24="",$A24&lt;21),"",--MID('Key Analysis'!$C20,21,1))</f>
        <v/>
      </c>
      <c r="FD24" s="29" t="str">
        <f>IF(OR($B24="",$A24&lt;22),"",--MID('Key Analysis'!$C20,22,1))</f>
        <v/>
      </c>
      <c r="FE24" s="29" t="str">
        <f>IF(OR($B24="",$A24&lt;23),"",--MID('Key Analysis'!$C20,23,1))</f>
        <v/>
      </c>
      <c r="FF24" s="29" t="str">
        <f>IF(OR($B24="",$A24&lt;24),"",--MID('Key Analysis'!$C20,24,1))</f>
        <v/>
      </c>
      <c r="FG24" s="29" t="str">
        <f>IF(OR($B24="",$A24&lt;25),"",--MID('Key Analysis'!$C20,25,1))</f>
        <v/>
      </c>
      <c r="FH24" s="29" t="str">
        <f>IF(OR($B24="",$A24&lt;26),"",--MID('Key Analysis'!$C20,26,1))</f>
        <v/>
      </c>
      <c r="FI24" s="29" t="str">
        <f>IF(OR($B24="",$A24&lt;27),"",--MID('Key Analysis'!$C20,27,1))</f>
        <v/>
      </c>
      <c r="FJ24" s="29" t="str">
        <f>IF(OR($B24="",$A24&lt;28),"",--MID('Key Analysis'!$C20,28,1))</f>
        <v/>
      </c>
      <c r="FK24" s="29" t="str">
        <f>IF(OR($B24="",$A24&lt;29),"",--MID('Key Analysis'!$C20,29,1))</f>
        <v/>
      </c>
      <c r="FL24" s="29" t="str">
        <f>IF(OR($B24="",$A24&lt;30),"",--MID('Key Analysis'!$C20,30,1))</f>
        <v/>
      </c>
      <c r="FM24" s="29" t="str">
        <f>IF(OR($B24="",$A24&lt;31),"",--MID('Key Analysis'!$C20,31,1))</f>
        <v/>
      </c>
      <c r="FN24" s="29" t="str">
        <f>IF(OR($B24="",$A24&lt;32),"",--MID('Key Analysis'!$C20,32,1))</f>
        <v/>
      </c>
      <c r="FO24" s="29" t="str">
        <f>IF(OR($B24="",$A24&lt;33),"",--MID('Key Analysis'!$C20,33,1))</f>
        <v/>
      </c>
      <c r="FP24" s="29" t="str">
        <f>IF(OR($B24="",$A24&lt;34),"",--MID('Key Analysis'!$C20,34,1))</f>
        <v/>
      </c>
      <c r="FQ24" s="29" t="str">
        <f>IF(OR($B24="",$A24&lt;35),"",--MID('Key Analysis'!$C20,35,1))</f>
        <v/>
      </c>
      <c r="FR24" s="29" t="str">
        <f>IF(OR($B24="",$A24&lt;36),"",--MID('Key Analysis'!$C20,36,1))</f>
        <v/>
      </c>
      <c r="FS24" s="29" t="str">
        <f>IF(OR($B24="",$A24&lt;37),"",--MID('Key Analysis'!$C20,37,1))</f>
        <v/>
      </c>
      <c r="FT24" s="29" t="str">
        <f>IF(OR($B24="",$A24&lt;38),"",--MID('Key Analysis'!$C20,38,1))</f>
        <v/>
      </c>
      <c r="FU24" s="29" t="str">
        <f>IF(OR($B24="",$A24&lt;39),"",--MID('Key Analysis'!$C20,39,1))</f>
        <v/>
      </c>
      <c r="FV24" s="29" t="str">
        <f>IF(OR($B24="",$A24&lt;40),"",--MID('Key Analysis'!$C20,40,1))</f>
        <v/>
      </c>
      <c r="FW24" s="29" t="str">
        <f>IF(OR($B24="",$A24&lt;41),"",--MID('Key Analysis'!$C20,41,1))</f>
        <v/>
      </c>
      <c r="FX24" s="29" t="str">
        <f>IF(OR($B24="",$A24&lt;42),"",--MID('Key Analysis'!$C20,42,1))</f>
        <v/>
      </c>
      <c r="FY24" s="29" t="str">
        <f>IF(OR($B24="",$A24&lt;43),"",--MID('Key Analysis'!$C20,43,1))</f>
        <v/>
      </c>
      <c r="FZ24" s="29" t="str">
        <f>IF(OR($B24="",$A24&lt;44),"",--MID('Key Analysis'!$C20,44,1))</f>
        <v/>
      </c>
      <c r="GA24" s="29" t="str">
        <f>IF(OR($B24="",$A24&lt;45),"",--MID('Key Analysis'!$C20,45,1))</f>
        <v/>
      </c>
      <c r="GB24" s="29" t="str">
        <f>IF(OR($B24="",$A24&lt;46),"",--MID('Key Analysis'!$C20,46,1))</f>
        <v/>
      </c>
      <c r="GC24" s="29" t="str">
        <f>IF(OR($B24="",$A24&lt;47),"",--MID('Key Analysis'!$C20,47,1))</f>
        <v/>
      </c>
      <c r="GD24" s="29" t="str">
        <f>IF(OR($B24="",$A24&lt;48),"",--MID('Key Analysis'!$C20,48,1))</f>
        <v/>
      </c>
      <c r="GE24" s="29" t="str">
        <f>IF(OR($B24="",$A24&lt;49),"",--MID('Key Analysis'!$C20,49,1))</f>
        <v/>
      </c>
      <c r="GF24" s="29" t="str">
        <f>IF(OR($B24="",$A24&lt;50),"",--MID('Key Analysis'!$C20,50,1))</f>
        <v/>
      </c>
      <c r="GG24" s="29" t="str">
        <f>IF(OR($B24="",$A24&lt;51),"",--MID('Key Analysis'!$C20,51,1))</f>
        <v/>
      </c>
      <c r="GH24" s="29" t="str">
        <f>IF(OR($B24="",$A24&lt;52),"",--MID('Key Analysis'!$C20,52,1))</f>
        <v/>
      </c>
      <c r="GI24" s="29" t="str">
        <f>IF(OR($B24="",$A24&lt;53),"",--MID('Key Analysis'!$C20,53,1))</f>
        <v/>
      </c>
      <c r="GJ24" s="29" t="str">
        <f>IF(OR($B24="",$A24&lt;54),"",--MID('Key Analysis'!$C20,54,1))</f>
        <v/>
      </c>
      <c r="GK24" s="29" t="str">
        <f>IF(OR($B24="",$A24&lt;55),"",--MID('Key Analysis'!$C20,55,1))</f>
        <v/>
      </c>
      <c r="GL24" s="29" t="str">
        <f>IF(OR($B24="",$A24&lt;56),"",--MID('Key Analysis'!$C20,56,1))</f>
        <v/>
      </c>
      <c r="GM24" s="29" t="str">
        <f>IF(OR($B24="",$A24&lt;57),"",--MID('Key Analysis'!$C20,57,1))</f>
        <v/>
      </c>
      <c r="GN24" s="29" t="str">
        <f>IF(OR($B24="",$A24&lt;58),"",--MID('Key Analysis'!$C20,58,1))</f>
        <v/>
      </c>
      <c r="GO24" s="29" t="str">
        <f>IF(OR($B24="",$A24&lt;59),"",--MID('Key Analysis'!$C20,59,1))</f>
        <v/>
      </c>
      <c r="GP24" s="29" t="str">
        <f>IF(OR($B24="",$A24&lt;60),"",--MID('Key Analysis'!$C20,60,1))</f>
        <v/>
      </c>
      <c r="GQ24" s="29" t="str">
        <f>IF(OR($B24="",$A24&lt;61),"",--MID('Key Analysis'!$C20,61,1))</f>
        <v/>
      </c>
      <c r="GR24" s="29" t="str">
        <f>IF(OR($B24="",$A24&lt;62),"",--MID('Key Analysis'!$C20,62,1))</f>
        <v/>
      </c>
      <c r="GS24" s="29" t="str">
        <f>IF(OR($B24="",$A24&lt;63),"",--MID('Key Analysis'!$C20,63,1))</f>
        <v/>
      </c>
      <c r="GT24" s="29" t="str">
        <f>IF(OR($B24="",$A24&lt;64),"",--MID('Key Analysis'!$C20,64,1))</f>
        <v/>
      </c>
      <c r="GU24" s="29" t="str">
        <f>IF(OR($B24="",$A24&lt;65),"",--MID('Key Analysis'!$C20,65,1))</f>
        <v/>
      </c>
      <c r="GV24" s="29" t="str">
        <f>IF(OR($B24="",$A24&lt;66),"",--MID('Key Analysis'!$C20,66,1))</f>
        <v/>
      </c>
      <c r="GW24" s="29" t="str">
        <f>IF(OR($B24="",$A24&lt;67),"",--MID('Key Analysis'!$C20,67,1))</f>
        <v/>
      </c>
      <c r="GX24" s="29" t="str">
        <f>IF(OR($B24="",$A24&lt;68),"",--MID('Key Analysis'!$C20,68,1))</f>
        <v/>
      </c>
      <c r="GY24" s="29" t="str">
        <f>IF(OR($B24="",$A24&lt;69),"",--MID('Key Analysis'!$C20,69,1))</f>
        <v/>
      </c>
      <c r="GZ24" s="29" t="str">
        <f>IF(OR($B24="",$A24&lt;70),"",--MID('Key Analysis'!$C20,70,1))</f>
        <v/>
      </c>
      <c r="HA24" s="29" t="str">
        <f>IF(OR($B24="",$A24&lt;71),"",--MID('Key Analysis'!$C20,71,1))</f>
        <v/>
      </c>
      <c r="HB24" s="29" t="str">
        <f>IF(OR($B24="",$A24&lt;72),"",--MID('Key Analysis'!$C20,72,1))</f>
        <v/>
      </c>
      <c r="HC24" s="29" t="str">
        <f>IF(OR($B24="",$A24&lt;73),"",--MID('Key Analysis'!$C20,73,1))</f>
        <v/>
      </c>
      <c r="HD24" s="29" t="str">
        <f>IF(OR($B24="",$A24&lt;74),"",--MID('Key Analysis'!$C20,74,1))</f>
        <v/>
      </c>
      <c r="HE24" s="29" t="str">
        <f>IF(OR($B24="",$A24&lt;75),"",--MID('Key Analysis'!$C20,75,1))</f>
        <v/>
      </c>
      <c r="HF24" s="29" t="str">
        <f>IF(OR($B24="",$A24&lt;76),"",--MID('Key Analysis'!$C20,76,1))</f>
        <v/>
      </c>
      <c r="HG24" s="29" t="str">
        <f>IF(OR($B24="",$A24&lt;77),"",--MID('Key Analysis'!$C20,77,1))</f>
        <v/>
      </c>
      <c r="HH24" s="29" t="str">
        <f>IF(OR($B24="",$A24&lt;78),"",--MID('Key Analysis'!$C20,78,1))</f>
        <v/>
      </c>
      <c r="HI24" s="29" t="str">
        <f>IF(OR($B24="",$A24&lt;79),"",--MID('Key Analysis'!$C20,79,1))</f>
        <v/>
      </c>
      <c r="HJ24" s="29" t="str">
        <f>IF(OR($B24="",$A24&lt;80),"",--MID('Key Analysis'!$C20,80,1))</f>
        <v/>
      </c>
      <c r="HK24" s="29" t="str">
        <f>IF(OR($B24="",$A24&lt;81),"",--MID('Key Analysis'!$C20,81,1))</f>
        <v/>
      </c>
      <c r="HL24" s="29" t="str">
        <f>IF(OR($B24="",$A24&lt;82),"",--MID('Key Analysis'!$C20,82,1))</f>
        <v/>
      </c>
      <c r="HM24" s="29" t="str">
        <f>IF(OR($B24="",$A24&lt;83),"",--MID('Key Analysis'!$C20,83,1))</f>
        <v/>
      </c>
      <c r="HN24" s="29" t="str">
        <f>IF(OR($B24="",$A24&lt;84),"",--MID('Key Analysis'!$C20,84,1))</f>
        <v/>
      </c>
      <c r="HO24" s="29" t="str">
        <f>IF(OR($B24="",$A24&lt;85),"",--MID('Key Analysis'!$C20,85,1))</f>
        <v/>
      </c>
      <c r="HP24" s="29" t="str">
        <f>IF(OR($B24="",$A24&lt;86),"",--MID('Key Analysis'!$C20,86,1))</f>
        <v/>
      </c>
      <c r="HQ24" s="29" t="str">
        <f>IF(OR($B24="",$A24&lt;87),"",--MID('Key Analysis'!$C20,87,1))</f>
        <v/>
      </c>
      <c r="HR24" s="29" t="str">
        <f>IF(OR($B24="",$A24&lt;88),"",--MID('Key Analysis'!$C20,88,1))</f>
        <v/>
      </c>
      <c r="HS24" s="29" t="str">
        <f>IF(OR($B24="",$A24&lt;89),"",--MID('Key Analysis'!$C20,89,1))</f>
        <v/>
      </c>
      <c r="HT24" s="29" t="str">
        <f>IF(OR($B24="",$A24&lt;90),"",--MID('Key Analysis'!$C20,90,1))</f>
        <v/>
      </c>
      <c r="HU24" s="29" t="str">
        <f>IF(OR($B24="",$A24&lt;91),"",--MID('Key Analysis'!$C20,91,1))</f>
        <v/>
      </c>
      <c r="HV24" s="29" t="str">
        <f>IF(OR($B24="",$A24&lt;92),"",--MID('Key Analysis'!$C20,92,1))</f>
        <v/>
      </c>
      <c r="HW24" s="29" t="str">
        <f>IF(OR($B24="",$A24&lt;93),"",--MID('Key Analysis'!$C20,93,1))</f>
        <v/>
      </c>
      <c r="HX24" s="29" t="str">
        <f>IF(OR($B24="",$A24&lt;94),"",--MID('Key Analysis'!$C20,94,1))</f>
        <v/>
      </c>
      <c r="HY24" s="29" t="str">
        <f>IF(OR($B24="",$A24&lt;95),"",--MID('Key Analysis'!$C20,95,1))</f>
        <v/>
      </c>
      <c r="HZ24" s="29" t="str">
        <f>IF(OR($B24="",$A24&lt;96),"",--MID('Key Analysis'!$C20,96,1))</f>
        <v/>
      </c>
      <c r="IA24" s="29" t="str">
        <f>IF(OR($B24="",$A24&lt;97),"",--MID('Key Analysis'!$C20,97,1))</f>
        <v/>
      </c>
      <c r="IB24" s="29" t="str">
        <f>IF(OR($B24="",$A24&lt;98),"",--MID('Key Analysis'!$C20,98,1))</f>
        <v/>
      </c>
      <c r="IC24" s="29" t="str">
        <f>IF(OR($B24="",$A24&lt;99),"",--MID('Key Analysis'!$C20,99,1))</f>
        <v/>
      </c>
      <c r="ID24" s="29" t="str">
        <f>IF(OR($B24="",$A24&lt;100),"",--MID('Key Analysis'!$C20,100,1))</f>
        <v/>
      </c>
      <c r="IE24" s="29" t="str">
        <f>IF(OR($B24="",$A24&lt;101),"",--MID('Key Analysis'!$C20,101,1))</f>
        <v/>
      </c>
      <c r="IF24" s="29" t="str">
        <f>IF(OR($B24="",$A24&lt;102),"",--MID('Key Analysis'!$C20,102,1))</f>
        <v/>
      </c>
      <c r="IG24" s="29" t="str">
        <f>IF(OR($B24="",$A24&lt;103),"",--MID('Key Analysis'!$C20,103,1))</f>
        <v/>
      </c>
      <c r="IH24" s="29" t="str">
        <f>IF(OR($B24="",$A24&lt;104),"",--MID('Key Analysis'!$C20,104,1))</f>
        <v/>
      </c>
      <c r="II24" s="29" t="str">
        <f>IF(OR($B24="",$A24&lt;105),"",--MID('Key Analysis'!$C20,105,1))</f>
        <v/>
      </c>
      <c r="IJ24" s="29" t="str">
        <f>IF(OR($B24="",$A24&lt;106),"",--MID('Key Analysis'!$C20,106,1))</f>
        <v/>
      </c>
      <c r="IK24" s="29" t="str">
        <f>IF(OR($B24="",$A24&lt;107),"",--MID('Key Analysis'!$C20,107,1))</f>
        <v/>
      </c>
      <c r="IL24" s="29" t="str">
        <f>IF(OR($B24="",$A24&lt;108),"",--MID('Key Analysis'!$C20,108,1))</f>
        <v/>
      </c>
      <c r="IM24" s="29" t="str">
        <f>IF(OR($B24="",$A24&lt;109),"",--MID('Key Analysis'!$C20,109,1))</f>
        <v/>
      </c>
      <c r="IN24" s="29" t="str">
        <f>IF(OR($B24="",$A24&lt;110),"",--MID('Key Analysis'!$C20,110,1))</f>
        <v/>
      </c>
      <c r="IO24" s="29" t="str">
        <f>IF(OR($B24="",$A24&lt;111),"",--MID('Key Analysis'!$C20,111,1))</f>
        <v/>
      </c>
      <c r="IP24" s="29" t="str">
        <f>IF(OR($B24="",$A24&lt;112),"",--MID('Key Analysis'!$C20,112,1))</f>
        <v/>
      </c>
      <c r="IQ24" s="29" t="str">
        <f>IF(OR($B24="",$A24&lt;113),"",--MID('Key Analysis'!$C20,113,1))</f>
        <v/>
      </c>
      <c r="IR24" s="29" t="str">
        <f>IF(OR($B24="",$A24&lt;114),"",--MID('Key Analysis'!$C20,114,1))</f>
        <v/>
      </c>
      <c r="IS24" s="29" t="str">
        <f>IF(OR($B24="",$A24&lt;115),"",--MID('Key Analysis'!$C20,115,1))</f>
        <v/>
      </c>
      <c r="IT24" s="29" t="str">
        <f>IF(OR($B24="",$A24&lt;116),"",--MID('Key Analysis'!$C20,116,1))</f>
        <v/>
      </c>
      <c r="IU24" s="29" t="str">
        <f>IF(OR($B24="",$A24&lt;117),"",--MID('Key Analysis'!$C20,117,1))</f>
        <v/>
      </c>
      <c r="IV24" s="29" t="str">
        <f>IF(OR($B24="",$A24&lt;118),"",--MID('Key Analysis'!$C20,118,1))</f>
        <v/>
      </c>
      <c r="IW24" s="29" t="str">
        <f>IF(OR($B24="",$A24&lt;119),"",--MID('Key Analysis'!$C20,119,1))</f>
        <v/>
      </c>
      <c r="IX24" s="29" t="str">
        <f>IF(OR($B24="",$A24&lt;120),"",--MID('Key Analysis'!$C20,120,1))</f>
        <v/>
      </c>
      <c r="IY24" s="29" t="str">
        <f>IF(OR($B24="",$A24&lt;121),"",--MID('Key Analysis'!$C20,121,1))</f>
        <v/>
      </c>
      <c r="IZ24" s="29" t="str">
        <f>IF(OR($B24="",$A24&lt;122),"",--MID('Key Analysis'!$C20,122,1))</f>
        <v/>
      </c>
      <c r="JA24" s="29" t="str">
        <f>IF(OR($B24="",$A24&lt;123),"",--MID('Key Analysis'!$C20,123,1))</f>
        <v/>
      </c>
      <c r="JB24" s="29" t="str">
        <f>IF(OR($B24="",$A24&lt;124),"",--MID('Key Analysis'!$C20,124,1))</f>
        <v/>
      </c>
      <c r="JC24" s="29" t="str">
        <f>IF(OR($B24="",$A24&lt;125),"",--MID('Key Analysis'!$C20,125,1))</f>
        <v/>
      </c>
      <c r="JD24" s="29" t="str">
        <f>IF(OR($B24="",$A24&lt;126),"",--MID('Key Analysis'!$C20,126,1))</f>
        <v/>
      </c>
      <c r="JE24" s="29" t="str">
        <f>IF(OR($B24="",$A24&lt;127),"",--MID('Key Analysis'!$C20,127,1))</f>
        <v/>
      </c>
      <c r="JF24" s="29" t="str">
        <f>IF(OR($B24="",$A24&lt;128),"",--MID('Key Analysis'!$C20,128,1))</f>
        <v/>
      </c>
      <c r="JG24" s="29" t="str">
        <f>IF(OR($B24="",$A24&lt;129),"",--MID('Key Analysis'!$C20,129,1))</f>
        <v/>
      </c>
      <c r="JH24" s="29" t="str">
        <f>IF(OR($B24="",$A24&lt;130),"",--MID('Key Analysis'!$C20,130,1))</f>
        <v/>
      </c>
      <c r="JI24" s="29" t="str">
        <f>IF(OR($B24="",$A24&lt;131),"",--MID('Key Analysis'!$C20,131,1))</f>
        <v/>
      </c>
      <c r="JJ24" s="29" t="str">
        <f>IF(OR($B24="",$A24&lt;132),"",--MID('Key Analysis'!$C20,132,1))</f>
        <v/>
      </c>
      <c r="JK24" s="29" t="str">
        <f>IF(OR($B24="",$A24&lt;133),"",--MID('Key Analysis'!$C20,133,1))</f>
        <v/>
      </c>
      <c r="JL24" s="29" t="str">
        <f>IF(OR($B24="",$A24&lt;134),"",--MID('Key Analysis'!$C20,134,1))</f>
        <v/>
      </c>
      <c r="JM24" s="29" t="str">
        <f>IF(OR($B24="",$A24&lt;135),"",--MID('Key Analysis'!$C20,135,1))</f>
        <v/>
      </c>
    </row>
    <row r="25" spans="1:273" x14ac:dyDescent="0.25">
      <c r="A25" s="21">
        <f>'Key Analysis'!A21</f>
        <v>20</v>
      </c>
      <c r="B25" s="30" t="str">
        <f>'Key Analysis'!B21</f>
        <v>d2c55</v>
      </c>
      <c r="C25" s="29">
        <f>IF(OR($B25="",$A25&lt;=0),"",--MID('Key Analysis'!$C21,$A25-0,1))</f>
        <v>1</v>
      </c>
      <c r="D25" s="29">
        <f>IF(OR($B25="",$A25&lt;=1),"",--MID('Key Analysis'!$C21,$A25-1,1))</f>
        <v>0</v>
      </c>
      <c r="E25" s="29">
        <f>IF(OR($B25="",$A25&lt;=2),"",--MID('Key Analysis'!$C21,$A25-2,1))</f>
        <v>1</v>
      </c>
      <c r="F25" s="29">
        <f>IF(OR($B25="",$A25&lt;=3),"",--MID('Key Analysis'!$C21,$A25-3,1))</f>
        <v>0</v>
      </c>
      <c r="G25" s="29">
        <f>IF(OR($B25="",$A25&lt;=4),"",--MID('Key Analysis'!$C21,$A25-4,1))</f>
        <v>1</v>
      </c>
      <c r="H25" s="29">
        <f>IF(OR($B25="",$A25&lt;=5),"",--MID('Key Analysis'!$C21,$A25-5,1))</f>
        <v>0</v>
      </c>
      <c r="I25" s="29">
        <f>IF(OR($B25="",$A25&lt;=6),"",--MID('Key Analysis'!$C21,$A25-6,1))</f>
        <v>1</v>
      </c>
      <c r="J25" s="29">
        <f>IF(OR($B25="",$A25&lt;=7),"",--MID('Key Analysis'!$C21,$A25-7,1))</f>
        <v>0</v>
      </c>
      <c r="K25" s="29">
        <f>IF(OR($B25="",$A25&lt;=8),"",--MID('Key Analysis'!$C21,$A25-8,1))</f>
        <v>0</v>
      </c>
      <c r="L25" s="29">
        <f>IF(OR($B25="",$A25&lt;=9),"",--MID('Key Analysis'!$C21,$A25-9,1))</f>
        <v>0</v>
      </c>
      <c r="M25" s="29">
        <f>IF(OR($B25="",$A25&lt;=10),"",--MID('Key Analysis'!$C21,$A25-10,1))</f>
        <v>1</v>
      </c>
      <c r="N25" s="29">
        <f>IF(OR($B25="",$A25&lt;=11),"",--MID('Key Analysis'!$C21,$A25-11,1))</f>
        <v>1</v>
      </c>
      <c r="O25" s="29">
        <f>IF(OR($B25="",$A25&lt;=12),"",--MID('Key Analysis'!$C21,$A25-12,1))</f>
        <v>0</v>
      </c>
      <c r="P25" s="29">
        <f>IF(OR($B25="",$A25&lt;=13),"",--MID('Key Analysis'!$C21,$A25-13,1))</f>
        <v>1</v>
      </c>
      <c r="Q25" s="29">
        <f>IF(OR($B25="",$A25&lt;=14),"",--MID('Key Analysis'!$C21,$A25-14,1))</f>
        <v>0</v>
      </c>
      <c r="R25" s="29">
        <f>IF(OR($B25="",$A25&lt;=15),"",--MID('Key Analysis'!$C21,$A25-15,1))</f>
        <v>0</v>
      </c>
      <c r="S25" s="29">
        <f>IF(OR($B25="",$A25&lt;=16),"",--MID('Key Analysis'!$C21,$A25-16,1))</f>
        <v>1</v>
      </c>
      <c r="T25" s="29">
        <f>IF(OR($B25="",$A25&lt;=17),"",--MID('Key Analysis'!$C21,$A25-17,1))</f>
        <v>0</v>
      </c>
      <c r="U25" s="29">
        <f>IF(OR($B25="",$A25&lt;=18),"",--MID('Key Analysis'!$C21,$A25-18,1))</f>
        <v>1</v>
      </c>
      <c r="V25" s="29">
        <f>IF(OR($B25="",$A25&lt;=19),"",--MID('Key Analysis'!$C21,$A25-19,1))</f>
        <v>1</v>
      </c>
      <c r="W25" s="29" t="str">
        <f>IF(OR($B25="",$A25&lt;=20),"",--MID('Key Analysis'!$C21,$A25-20,1))</f>
        <v/>
      </c>
      <c r="X25" s="29" t="str">
        <f>IF(OR($B25="",$A25&lt;=21),"",--MID('Key Analysis'!$C21,$A25-21,1))</f>
        <v/>
      </c>
      <c r="Y25" s="29" t="str">
        <f>IF(OR($B25="",$A25&lt;=22),"",--MID('Key Analysis'!$C21,$A25-22,1))</f>
        <v/>
      </c>
      <c r="Z25" s="29" t="str">
        <f>IF(OR($B25="",$A25&lt;=23),"",--MID('Key Analysis'!$C21,$A25-23,1))</f>
        <v/>
      </c>
      <c r="AA25" s="29" t="str">
        <f>IF(OR($B25="",$A25&lt;=24),"",--MID('Key Analysis'!$C21,$A25-24,1))</f>
        <v/>
      </c>
      <c r="AB25" s="29" t="str">
        <f>IF(OR($B25="",$A25&lt;=25),"",--MID('Key Analysis'!$C21,$A25-25,1))</f>
        <v/>
      </c>
      <c r="AC25" s="29" t="str">
        <f>IF(OR($B25="",$A25&lt;=26),"",--MID('Key Analysis'!$C21,$A25-26,1))</f>
        <v/>
      </c>
      <c r="AD25" s="29" t="str">
        <f>IF(OR($B25="",$A25&lt;=27),"",--MID('Key Analysis'!$C21,$A25-27,1))</f>
        <v/>
      </c>
      <c r="AE25" s="29" t="str">
        <f>IF(OR($B25="",$A25&lt;=28),"",--MID('Key Analysis'!$C21,$A25-28,1))</f>
        <v/>
      </c>
      <c r="AF25" s="29" t="str">
        <f>IF(OR($B25="",$A25&lt;=29),"",--MID('Key Analysis'!$C21,$A25-29,1))</f>
        <v/>
      </c>
      <c r="AG25" s="29" t="str">
        <f>IF(OR($B25="",$A25&lt;=30),"",--MID('Key Analysis'!$C21,$A25-30,1))</f>
        <v/>
      </c>
      <c r="AH25" s="29" t="str">
        <f>IF(OR($B25="",$A25&lt;=31),"",--MID('Key Analysis'!$C21,$A25-31,1))</f>
        <v/>
      </c>
      <c r="AI25" s="29" t="str">
        <f>IF(OR($B25="",$A25&lt;=32),"",--MID('Key Analysis'!$C21,$A25-32,1))</f>
        <v/>
      </c>
      <c r="AJ25" s="29" t="str">
        <f>IF(OR($B25="",$A25&lt;=33),"",--MID('Key Analysis'!$C21,$A25-33,1))</f>
        <v/>
      </c>
      <c r="AK25" s="29" t="str">
        <f>IF(OR($B25="",$A25&lt;=34),"",--MID('Key Analysis'!$C21,$A25-34,1))</f>
        <v/>
      </c>
      <c r="AL25" s="29" t="str">
        <f>IF(OR($B25="",$A25&lt;=35),"",--MID('Key Analysis'!$C21,$A25-35,1))</f>
        <v/>
      </c>
      <c r="AM25" s="29" t="str">
        <f>IF(OR($B25="",$A25&lt;=36),"",--MID('Key Analysis'!$C21,$A25-36,1))</f>
        <v/>
      </c>
      <c r="AN25" s="29" t="str">
        <f>IF(OR($B25="",$A25&lt;=37),"",--MID('Key Analysis'!$C21,$A25-37,1))</f>
        <v/>
      </c>
      <c r="AO25" s="29" t="str">
        <f>IF(OR($B25="",$A25&lt;=38),"",--MID('Key Analysis'!$C21,$A25-38,1))</f>
        <v/>
      </c>
      <c r="AP25" s="29" t="str">
        <f>IF(OR($B25="",$A25&lt;=39),"",--MID('Key Analysis'!$C21,$A25-39,1))</f>
        <v/>
      </c>
      <c r="AQ25" s="29" t="str">
        <f>IF(OR($B25="",$A25&lt;=40),"",--MID('Key Analysis'!$C21,$A25-40,1))</f>
        <v/>
      </c>
      <c r="AR25" s="29" t="str">
        <f>IF(OR($B25="",$A25&lt;=41),"",--MID('Key Analysis'!$C21,$A25-41,1))</f>
        <v/>
      </c>
      <c r="AS25" s="29" t="str">
        <f>IF(OR($B25="",$A25&lt;=42),"",--MID('Key Analysis'!$C21,$A25-42,1))</f>
        <v/>
      </c>
      <c r="AT25" s="29" t="str">
        <f>IF(OR($B25="",$A25&lt;=43),"",--MID('Key Analysis'!$C21,$A25-43,1))</f>
        <v/>
      </c>
      <c r="AU25" s="29" t="str">
        <f>IF(OR($B25="",$A25&lt;=44),"",--MID('Key Analysis'!$C21,$A25-44,1))</f>
        <v/>
      </c>
      <c r="AV25" s="29" t="str">
        <f>IF(OR($B25="",$A25&lt;=45),"",--MID('Key Analysis'!$C21,$A25-45,1))</f>
        <v/>
      </c>
      <c r="AW25" s="29" t="str">
        <f>IF(OR($B25="",$A25&lt;=46),"",--MID('Key Analysis'!$C21,$A25-46,1))</f>
        <v/>
      </c>
      <c r="AX25" s="29" t="str">
        <f>IF(OR($B25="",$A25&lt;=47),"",--MID('Key Analysis'!$C21,$A25-47,1))</f>
        <v/>
      </c>
      <c r="AY25" s="29" t="str">
        <f>IF(OR($B25="",$A25&lt;=48),"",--MID('Key Analysis'!$C21,$A25-48,1))</f>
        <v/>
      </c>
      <c r="AZ25" s="29" t="str">
        <f>IF(OR($B25="",$A25&lt;=49),"",--MID('Key Analysis'!$C21,$A25-49,1))</f>
        <v/>
      </c>
      <c r="BA25" s="29" t="str">
        <f>IF(OR($B25="",$A25&lt;=50),"",--MID('Key Analysis'!$C21,$A25-50,1))</f>
        <v/>
      </c>
      <c r="BB25" s="29" t="str">
        <f>IF(OR($B25="",$A25&lt;=51),"",--MID('Key Analysis'!$C21,$A25-51,1))</f>
        <v/>
      </c>
      <c r="BC25" s="29" t="str">
        <f>IF(OR($B25="",$A25&lt;=52),"",--MID('Key Analysis'!$C21,$A25-52,1))</f>
        <v/>
      </c>
      <c r="BD25" s="29" t="str">
        <f>IF(OR($B25="",$A25&lt;=53),"",--MID('Key Analysis'!$C21,$A25-53,1))</f>
        <v/>
      </c>
      <c r="BE25" s="29" t="str">
        <f>IF(OR($B25="",$A25&lt;=54),"",--MID('Key Analysis'!$C21,$A25-54,1))</f>
        <v/>
      </c>
      <c r="BF25" s="29" t="str">
        <f>IF(OR($B25="",$A25&lt;=55),"",--MID('Key Analysis'!$C21,$A25-55,1))</f>
        <v/>
      </c>
      <c r="BG25" s="29" t="str">
        <f>IF(OR($B25="",$A25&lt;=56),"",--MID('Key Analysis'!$C21,$A25-56,1))</f>
        <v/>
      </c>
      <c r="BH25" s="29" t="str">
        <f>IF(OR($B25="",$A25&lt;=57),"",--MID('Key Analysis'!$C21,$A25-57,1))</f>
        <v/>
      </c>
      <c r="BI25" s="29" t="str">
        <f>IF(OR($B25="",$A25&lt;=58),"",--MID('Key Analysis'!$C21,$A25-58,1))</f>
        <v/>
      </c>
      <c r="BJ25" s="29" t="str">
        <f>IF(OR($B25="",$A25&lt;=59),"",--MID('Key Analysis'!$C21,$A25-59,1))</f>
        <v/>
      </c>
      <c r="BK25" s="29" t="str">
        <f>IF(OR($B25="",$A25&lt;=60),"",--MID('Key Analysis'!$C21,$A25-60,1))</f>
        <v/>
      </c>
      <c r="BL25" s="29" t="str">
        <f>IF(OR($B25="",$A25&lt;=61),"",--MID('Key Analysis'!$C21,$A25-61,1))</f>
        <v/>
      </c>
      <c r="BM25" s="29" t="str">
        <f>IF(OR($B25="",$A25&lt;=62),"",--MID('Key Analysis'!$C21,$A25-62,1))</f>
        <v/>
      </c>
      <c r="BN25" s="29" t="str">
        <f>IF(OR($B25="",$A25&lt;=63),"",--MID('Key Analysis'!$C21,$A25-63,1))</f>
        <v/>
      </c>
      <c r="BO25" s="29" t="str">
        <f>IF(OR($B25="",$A25&lt;=64),"",--MID('Key Analysis'!$C21,$A25-64,1))</f>
        <v/>
      </c>
      <c r="BP25" s="29" t="str">
        <f>IF(OR($B25="",$A25&lt;=65),"",--MID('Key Analysis'!$C21,$A25-65,1))</f>
        <v/>
      </c>
      <c r="BQ25" s="29" t="str">
        <f>IF(OR($B25="",$A25&lt;=66),"",--MID('Key Analysis'!$C21,$A25-66,1))</f>
        <v/>
      </c>
      <c r="BR25" s="29" t="str">
        <f>IF(OR($B25="",$A25&lt;=67),"",--MID('Key Analysis'!$C21,$A25-67,1))</f>
        <v/>
      </c>
      <c r="BS25" s="29" t="str">
        <f>IF(OR($B25="",$A25&lt;=68),"",--MID('Key Analysis'!$C21,$A25-68,1))</f>
        <v/>
      </c>
      <c r="BT25" s="29" t="str">
        <f>IF(OR($B25="",$A25&lt;=69),"",--MID('Key Analysis'!$C21,$A25-69,1))</f>
        <v/>
      </c>
      <c r="BU25" s="29" t="str">
        <f>IF(OR($B25="",$A25&lt;=70),"",--MID('Key Analysis'!$C21,$A25-70,1))</f>
        <v/>
      </c>
      <c r="BV25" s="29" t="str">
        <f>IF(OR($B25="",$A25&lt;=71),"",--MID('Key Analysis'!$C21,$A25-71,1))</f>
        <v/>
      </c>
      <c r="BW25" s="29" t="str">
        <f>IF(OR($B25="",$A25&lt;=72),"",--MID('Key Analysis'!$C21,$A25-72,1))</f>
        <v/>
      </c>
      <c r="BX25" s="29" t="str">
        <f>IF(OR($B25="",$A25&lt;=73),"",--MID('Key Analysis'!$C21,$A25-73,1))</f>
        <v/>
      </c>
      <c r="BY25" s="29" t="str">
        <f>IF(OR($B25="",$A25&lt;=74),"",--MID('Key Analysis'!$C21,$A25-74,1))</f>
        <v/>
      </c>
      <c r="BZ25" s="29" t="str">
        <f>IF(OR($B25="",$A25&lt;=75),"",--MID('Key Analysis'!$C21,$A25-75,1))</f>
        <v/>
      </c>
      <c r="CA25" s="29" t="str">
        <f>IF(OR($B25="",$A25&lt;=76),"",--MID('Key Analysis'!$C21,$A25-76,1))</f>
        <v/>
      </c>
      <c r="CB25" s="29" t="str">
        <f>IF(OR($B25="",$A25&lt;=77),"",--MID('Key Analysis'!$C21,$A25-77,1))</f>
        <v/>
      </c>
      <c r="CC25" s="29" t="str">
        <f>IF(OR($B25="",$A25&lt;=78),"",--MID('Key Analysis'!$C21,$A25-78,1))</f>
        <v/>
      </c>
      <c r="CD25" s="29" t="str">
        <f>IF(OR($B25="",$A25&lt;=79),"",--MID('Key Analysis'!$C21,$A25-79,1))</f>
        <v/>
      </c>
      <c r="CE25" s="29" t="str">
        <f>IF(OR($B25="",$A25&lt;=80),"",--MID('Key Analysis'!$C21,$A25-80,1))</f>
        <v/>
      </c>
      <c r="CF25" s="29" t="str">
        <f>IF(OR($B25="",$A25&lt;=81),"",--MID('Key Analysis'!$C21,$A25-81,1))</f>
        <v/>
      </c>
      <c r="CG25" s="29" t="str">
        <f>IF(OR($B25="",$A25&lt;=82),"",--MID('Key Analysis'!$C21,$A25-82,1))</f>
        <v/>
      </c>
      <c r="CH25" s="29" t="str">
        <f>IF(OR($B25="",$A25&lt;=83),"",--MID('Key Analysis'!$C21,$A25-83,1))</f>
        <v/>
      </c>
      <c r="CI25" s="29" t="str">
        <f>IF(OR($B25="",$A25&lt;=84),"",--MID('Key Analysis'!$C21,$A25-84,1))</f>
        <v/>
      </c>
      <c r="CJ25" s="29" t="str">
        <f>IF(OR($B25="",$A25&lt;=85),"",--MID('Key Analysis'!$C21,$A25-85,1))</f>
        <v/>
      </c>
      <c r="CK25" s="29" t="str">
        <f>IF(OR($B25="",$A25&lt;=86),"",--MID('Key Analysis'!$C21,$A25-86,1))</f>
        <v/>
      </c>
      <c r="CL25" s="29" t="str">
        <f>IF(OR($B25="",$A25&lt;=87),"",--MID('Key Analysis'!$C21,$A25-87,1))</f>
        <v/>
      </c>
      <c r="CM25" s="29" t="str">
        <f>IF(OR($B25="",$A25&lt;=88),"",--MID('Key Analysis'!$C21,$A25-88,1))</f>
        <v/>
      </c>
      <c r="CN25" s="29" t="str">
        <f>IF(OR($B25="",$A25&lt;=89),"",--MID('Key Analysis'!$C21,$A25-89,1))</f>
        <v/>
      </c>
      <c r="CO25" s="29" t="str">
        <f>IF(OR($B25="",$A25&lt;=90),"",--MID('Key Analysis'!$C21,$A25-90,1))</f>
        <v/>
      </c>
      <c r="CP25" s="29" t="str">
        <f>IF(OR($B25="",$A25&lt;=91),"",--MID('Key Analysis'!$C21,$A25-91,1))</f>
        <v/>
      </c>
      <c r="CQ25" s="29" t="str">
        <f>IF(OR($B25="",$A25&lt;=92),"",--MID('Key Analysis'!$C21,$A25-92,1))</f>
        <v/>
      </c>
      <c r="CR25" s="29" t="str">
        <f>IF(OR($B25="",$A25&lt;=93),"",--MID('Key Analysis'!$C21,$A25-93,1))</f>
        <v/>
      </c>
      <c r="CS25" s="29" t="str">
        <f>IF(OR($B25="",$A25&lt;=94),"",--MID('Key Analysis'!$C21,$A25-94,1))</f>
        <v/>
      </c>
      <c r="CT25" s="29" t="str">
        <f>IF(OR($B25="",$A25&lt;=95),"",--MID('Key Analysis'!$C21,$A25-95,1))</f>
        <v/>
      </c>
      <c r="CU25" s="29" t="str">
        <f>IF(OR($B25="",$A25&lt;=96),"",--MID('Key Analysis'!$C21,$A25-96,1))</f>
        <v/>
      </c>
      <c r="CV25" s="29" t="str">
        <f>IF(OR($B25="",$A25&lt;=97),"",--MID('Key Analysis'!$C21,$A25-97,1))</f>
        <v/>
      </c>
      <c r="CW25" s="29" t="str">
        <f>IF(OR($B25="",$A25&lt;=98),"",--MID('Key Analysis'!$C21,$A25-98,1))</f>
        <v/>
      </c>
      <c r="CX25" s="29" t="str">
        <f>IF(OR($B25="",$A25&lt;=99),"",--MID('Key Analysis'!$C21,$A25-99,1))</f>
        <v/>
      </c>
      <c r="CY25" s="29" t="str">
        <f>IF(OR($B25="",$A25&lt;=100),"",--MID('Key Analysis'!$C21,$A25-100,1))</f>
        <v/>
      </c>
      <c r="CZ25" s="29" t="str">
        <f>IF(OR($B25="",$A25&lt;=101),"",--MID('Key Analysis'!$C21,$A25-101,1))</f>
        <v/>
      </c>
      <c r="DA25" s="29" t="str">
        <f>IF(OR($B25="",$A25&lt;=102),"",--MID('Key Analysis'!$C21,$A25-102,1))</f>
        <v/>
      </c>
      <c r="DB25" s="29" t="str">
        <f>IF(OR($B25="",$A25&lt;=103),"",--MID('Key Analysis'!$C21,$A25-103,1))</f>
        <v/>
      </c>
      <c r="DC25" s="29" t="str">
        <f>IF(OR($B25="",$A25&lt;=104),"",--MID('Key Analysis'!$C21,$A25-104,1))</f>
        <v/>
      </c>
      <c r="DD25" s="29" t="str">
        <f>IF(OR($B25="",$A25&lt;=105),"",--MID('Key Analysis'!$C21,$A25-105,1))</f>
        <v/>
      </c>
      <c r="DE25" s="29" t="str">
        <f>IF(OR($B25="",$A25&lt;=106),"",--MID('Key Analysis'!$C21,$A25-106,1))</f>
        <v/>
      </c>
      <c r="DF25" s="29" t="str">
        <f>IF(OR($B25="",$A25&lt;=107),"",--MID('Key Analysis'!$C21,$A25-107,1))</f>
        <v/>
      </c>
      <c r="DG25" s="29" t="str">
        <f>IF(OR($B25="",$A25&lt;=108),"",--MID('Key Analysis'!$C21,$A25-108,1))</f>
        <v/>
      </c>
      <c r="DH25" s="29" t="str">
        <f>IF(OR($B25="",$A25&lt;=109),"",--MID('Key Analysis'!$C21,$A25-109,1))</f>
        <v/>
      </c>
      <c r="DI25" s="29" t="str">
        <f>IF(OR($B25="",$A25&lt;=110),"",--MID('Key Analysis'!$C21,$A25-110,1))</f>
        <v/>
      </c>
      <c r="DJ25" s="29" t="str">
        <f>IF(OR($B25="",$A25&lt;=111),"",--MID('Key Analysis'!$C21,$A25-111,1))</f>
        <v/>
      </c>
      <c r="DK25" s="29" t="str">
        <f>IF(OR($B25="",$A25&lt;=112),"",--MID('Key Analysis'!$C21,$A25-112,1))</f>
        <v/>
      </c>
      <c r="DL25" s="29" t="str">
        <f>IF(OR($B25="",$A25&lt;=113),"",--MID('Key Analysis'!$C21,$A25-113,1))</f>
        <v/>
      </c>
      <c r="DM25" s="29" t="str">
        <f>IF(OR($B25="",$A25&lt;=114),"",--MID('Key Analysis'!$C21,$A25-114,1))</f>
        <v/>
      </c>
      <c r="DN25" s="29" t="str">
        <f>IF(OR($B25="",$A25&lt;=115),"",--MID('Key Analysis'!$C21,$A25-115,1))</f>
        <v/>
      </c>
      <c r="DO25" s="29" t="str">
        <f>IF(OR($B25="",$A25&lt;=116),"",--MID('Key Analysis'!$C21,$A25-116,1))</f>
        <v/>
      </c>
      <c r="DP25" s="29" t="str">
        <f>IF(OR($B25="",$A25&lt;=117),"",--MID('Key Analysis'!$C21,$A25-117,1))</f>
        <v/>
      </c>
      <c r="DQ25" s="29" t="str">
        <f>IF(OR($B25="",$A25&lt;=118),"",--MID('Key Analysis'!$C21,$A25-118,1))</f>
        <v/>
      </c>
      <c r="DR25" s="29" t="str">
        <f>IF(OR($B25="",$A25&lt;=119),"",--MID('Key Analysis'!$C21,$A25-119,1))</f>
        <v/>
      </c>
      <c r="DS25" s="29" t="str">
        <f>IF(OR($B25="",$A25&lt;=120),"",--MID('Key Analysis'!$C21,$A25-120,1))</f>
        <v/>
      </c>
      <c r="DT25" s="29" t="str">
        <f>IF(OR($B25="",$A25&lt;=121),"",--MID('Key Analysis'!$C21,$A25-121,1))</f>
        <v/>
      </c>
      <c r="DU25" s="29" t="str">
        <f>IF(OR($B25="",$A25&lt;=122),"",--MID('Key Analysis'!$C21,$A25-122,1))</f>
        <v/>
      </c>
      <c r="DV25" s="29" t="str">
        <f>IF(OR($B25="",$A25&lt;=123),"",--MID('Key Analysis'!$C21,$A25-123,1))</f>
        <v/>
      </c>
      <c r="DW25" s="29" t="str">
        <f>IF(OR($B25="",$A25&lt;=124),"",--MID('Key Analysis'!$C21,$A25-124,1))</f>
        <v/>
      </c>
      <c r="DX25" s="29" t="str">
        <f>IF(OR($B25="",$A25&lt;=125),"",--MID('Key Analysis'!$C21,$A25-125,1))</f>
        <v/>
      </c>
      <c r="DY25" s="29" t="str">
        <f>IF(OR($B25="",$A25&lt;=126),"",--MID('Key Analysis'!$C21,$A25-126,1))</f>
        <v/>
      </c>
      <c r="DZ25" s="29" t="str">
        <f>IF(OR($B25="",$A25&lt;=127),"",--MID('Key Analysis'!$C21,$A25-127,1))</f>
        <v/>
      </c>
      <c r="EA25" s="29" t="str">
        <f>IF(OR($B25="",$A25&lt;=128),"",--MID('Key Analysis'!$C21,$A25-128,1))</f>
        <v/>
      </c>
      <c r="EB25" s="29" t="str">
        <f>IF(OR($B25="",$A25&lt;=129),"",--MID('Key Analysis'!$C21,$A25-129,1))</f>
        <v/>
      </c>
      <c r="EC25" s="29" t="str">
        <f>IF(OR($B25="",$A25&lt;=130),"",--MID('Key Analysis'!$C21,$A25-130,1))</f>
        <v/>
      </c>
      <c r="ED25" s="29" t="str">
        <f>IF(OR($B25="",$A25&lt;=131),"",--MID('Key Analysis'!$C21,$A25-131,1))</f>
        <v/>
      </c>
      <c r="EE25" s="29" t="str">
        <f>IF(OR($B25="",$A25&lt;=132),"",--MID('Key Analysis'!$C21,$A25-132,1))</f>
        <v/>
      </c>
      <c r="EF25" s="29" t="str">
        <f>IF(OR($B25="",$A25&lt;=133),"",--MID('Key Analysis'!$C21,$A25-133,1))</f>
        <v/>
      </c>
      <c r="EG25" s="29" t="str">
        <f>IF(OR($B25="",$A25&lt;=134),"",--MID('Key Analysis'!$C21,$A25-134,1))</f>
        <v/>
      </c>
      <c r="EH25" s="29"/>
      <c r="EI25" s="29">
        <f>IF(OR($B25="",$A25&lt;1),"",--MID('Key Analysis'!$C21,1,1))</f>
        <v>1</v>
      </c>
      <c r="EJ25" s="29">
        <f>IF(OR($B25="",$A25&lt;2),"",--MID('Key Analysis'!$C21,2,1))</f>
        <v>1</v>
      </c>
      <c r="EK25" s="29">
        <f>IF(OR($B25="",$A25&lt;3),"",--MID('Key Analysis'!$C21,3,1))</f>
        <v>0</v>
      </c>
      <c r="EL25" s="29">
        <f>IF(OR($B25="",$A25&lt;4),"",--MID('Key Analysis'!$C21,4,1))</f>
        <v>1</v>
      </c>
      <c r="EM25" s="29">
        <f>IF(OR($B25="",$A25&lt;5),"",--MID('Key Analysis'!$C21,5,1))</f>
        <v>0</v>
      </c>
      <c r="EN25" s="29">
        <f>IF(OR($B25="",$A25&lt;6),"",--MID('Key Analysis'!$C21,6,1))</f>
        <v>0</v>
      </c>
      <c r="EO25" s="29">
        <f>IF(OR($B25="",$A25&lt;7),"",--MID('Key Analysis'!$C21,7,1))</f>
        <v>1</v>
      </c>
      <c r="EP25" s="29">
        <f>IF(OR($B25="",$A25&lt;8),"",--MID('Key Analysis'!$C21,8,1))</f>
        <v>0</v>
      </c>
      <c r="EQ25" s="29">
        <f>IF(OR($B25="",$A25&lt;9),"",--MID('Key Analysis'!$C21,9,1))</f>
        <v>1</v>
      </c>
      <c r="ER25" s="29">
        <f>IF(OR($B25="",$A25&lt;10),"",--MID('Key Analysis'!$C21,10,1))</f>
        <v>1</v>
      </c>
      <c r="ES25" s="29">
        <f>IF(OR($B25="",$A25&lt;11),"",--MID('Key Analysis'!$C21,11,1))</f>
        <v>0</v>
      </c>
      <c r="ET25" s="29">
        <f>IF(OR($B25="",$A25&lt;12),"",--MID('Key Analysis'!$C21,12,1))</f>
        <v>0</v>
      </c>
      <c r="EU25" s="29">
        <f>IF(OR($B25="",$A25&lt;13),"",--MID('Key Analysis'!$C21,13,1))</f>
        <v>0</v>
      </c>
      <c r="EV25" s="29">
        <f>IF(OR($B25="",$A25&lt;14),"",--MID('Key Analysis'!$C21,14,1))</f>
        <v>1</v>
      </c>
      <c r="EW25" s="29">
        <f>IF(OR($B25="",$A25&lt;15),"",--MID('Key Analysis'!$C21,15,1))</f>
        <v>0</v>
      </c>
      <c r="EX25" s="29">
        <f>IF(OR($B25="",$A25&lt;16),"",--MID('Key Analysis'!$C21,16,1))</f>
        <v>1</v>
      </c>
      <c r="EY25" s="29">
        <f>IF(OR($B25="",$A25&lt;17),"",--MID('Key Analysis'!$C21,17,1))</f>
        <v>0</v>
      </c>
      <c r="EZ25" s="29">
        <f>IF(OR($B25="",$A25&lt;18),"",--MID('Key Analysis'!$C21,18,1))</f>
        <v>1</v>
      </c>
      <c r="FA25" s="29">
        <f>IF(OR($B25="",$A25&lt;19),"",--MID('Key Analysis'!$C21,19,1))</f>
        <v>0</v>
      </c>
      <c r="FB25" s="29">
        <f>IF(OR($B25="",$A25&lt;20),"",--MID('Key Analysis'!$C21,20,1))</f>
        <v>1</v>
      </c>
      <c r="FC25" s="29" t="str">
        <f>IF(OR($B25="",$A25&lt;21),"",--MID('Key Analysis'!$C21,21,1))</f>
        <v/>
      </c>
      <c r="FD25" s="29" t="str">
        <f>IF(OR($B25="",$A25&lt;22),"",--MID('Key Analysis'!$C21,22,1))</f>
        <v/>
      </c>
      <c r="FE25" s="29" t="str">
        <f>IF(OR($B25="",$A25&lt;23),"",--MID('Key Analysis'!$C21,23,1))</f>
        <v/>
      </c>
      <c r="FF25" s="29" t="str">
        <f>IF(OR($B25="",$A25&lt;24),"",--MID('Key Analysis'!$C21,24,1))</f>
        <v/>
      </c>
      <c r="FG25" s="29" t="str">
        <f>IF(OR($B25="",$A25&lt;25),"",--MID('Key Analysis'!$C21,25,1))</f>
        <v/>
      </c>
      <c r="FH25" s="29" t="str">
        <f>IF(OR($B25="",$A25&lt;26),"",--MID('Key Analysis'!$C21,26,1))</f>
        <v/>
      </c>
      <c r="FI25" s="29" t="str">
        <f>IF(OR($B25="",$A25&lt;27),"",--MID('Key Analysis'!$C21,27,1))</f>
        <v/>
      </c>
      <c r="FJ25" s="29" t="str">
        <f>IF(OR($B25="",$A25&lt;28),"",--MID('Key Analysis'!$C21,28,1))</f>
        <v/>
      </c>
      <c r="FK25" s="29" t="str">
        <f>IF(OR($B25="",$A25&lt;29),"",--MID('Key Analysis'!$C21,29,1))</f>
        <v/>
      </c>
      <c r="FL25" s="29" t="str">
        <f>IF(OR($B25="",$A25&lt;30),"",--MID('Key Analysis'!$C21,30,1))</f>
        <v/>
      </c>
      <c r="FM25" s="29" t="str">
        <f>IF(OR($B25="",$A25&lt;31),"",--MID('Key Analysis'!$C21,31,1))</f>
        <v/>
      </c>
      <c r="FN25" s="29" t="str">
        <f>IF(OR($B25="",$A25&lt;32),"",--MID('Key Analysis'!$C21,32,1))</f>
        <v/>
      </c>
      <c r="FO25" s="29" t="str">
        <f>IF(OR($B25="",$A25&lt;33),"",--MID('Key Analysis'!$C21,33,1))</f>
        <v/>
      </c>
      <c r="FP25" s="29" t="str">
        <f>IF(OR($B25="",$A25&lt;34),"",--MID('Key Analysis'!$C21,34,1))</f>
        <v/>
      </c>
      <c r="FQ25" s="29" t="str">
        <f>IF(OR($B25="",$A25&lt;35),"",--MID('Key Analysis'!$C21,35,1))</f>
        <v/>
      </c>
      <c r="FR25" s="29" t="str">
        <f>IF(OR($B25="",$A25&lt;36),"",--MID('Key Analysis'!$C21,36,1))</f>
        <v/>
      </c>
      <c r="FS25" s="29" t="str">
        <f>IF(OR($B25="",$A25&lt;37),"",--MID('Key Analysis'!$C21,37,1))</f>
        <v/>
      </c>
      <c r="FT25" s="29" t="str">
        <f>IF(OR($B25="",$A25&lt;38),"",--MID('Key Analysis'!$C21,38,1))</f>
        <v/>
      </c>
      <c r="FU25" s="29" t="str">
        <f>IF(OR($B25="",$A25&lt;39),"",--MID('Key Analysis'!$C21,39,1))</f>
        <v/>
      </c>
      <c r="FV25" s="29" t="str">
        <f>IF(OR($B25="",$A25&lt;40),"",--MID('Key Analysis'!$C21,40,1))</f>
        <v/>
      </c>
      <c r="FW25" s="29" t="str">
        <f>IF(OR($B25="",$A25&lt;41),"",--MID('Key Analysis'!$C21,41,1))</f>
        <v/>
      </c>
      <c r="FX25" s="29" t="str">
        <f>IF(OR($B25="",$A25&lt;42),"",--MID('Key Analysis'!$C21,42,1))</f>
        <v/>
      </c>
      <c r="FY25" s="29" t="str">
        <f>IF(OR($B25="",$A25&lt;43),"",--MID('Key Analysis'!$C21,43,1))</f>
        <v/>
      </c>
      <c r="FZ25" s="29" t="str">
        <f>IF(OR($B25="",$A25&lt;44),"",--MID('Key Analysis'!$C21,44,1))</f>
        <v/>
      </c>
      <c r="GA25" s="29" t="str">
        <f>IF(OR($B25="",$A25&lt;45),"",--MID('Key Analysis'!$C21,45,1))</f>
        <v/>
      </c>
      <c r="GB25" s="29" t="str">
        <f>IF(OR($B25="",$A25&lt;46),"",--MID('Key Analysis'!$C21,46,1))</f>
        <v/>
      </c>
      <c r="GC25" s="29" t="str">
        <f>IF(OR($B25="",$A25&lt;47),"",--MID('Key Analysis'!$C21,47,1))</f>
        <v/>
      </c>
      <c r="GD25" s="29" t="str">
        <f>IF(OR($B25="",$A25&lt;48),"",--MID('Key Analysis'!$C21,48,1))</f>
        <v/>
      </c>
      <c r="GE25" s="29" t="str">
        <f>IF(OR($B25="",$A25&lt;49),"",--MID('Key Analysis'!$C21,49,1))</f>
        <v/>
      </c>
      <c r="GF25" s="29" t="str">
        <f>IF(OR($B25="",$A25&lt;50),"",--MID('Key Analysis'!$C21,50,1))</f>
        <v/>
      </c>
      <c r="GG25" s="29" t="str">
        <f>IF(OR($B25="",$A25&lt;51),"",--MID('Key Analysis'!$C21,51,1))</f>
        <v/>
      </c>
      <c r="GH25" s="29" t="str">
        <f>IF(OR($B25="",$A25&lt;52),"",--MID('Key Analysis'!$C21,52,1))</f>
        <v/>
      </c>
      <c r="GI25" s="29" t="str">
        <f>IF(OR($B25="",$A25&lt;53),"",--MID('Key Analysis'!$C21,53,1))</f>
        <v/>
      </c>
      <c r="GJ25" s="29" t="str">
        <f>IF(OR($B25="",$A25&lt;54),"",--MID('Key Analysis'!$C21,54,1))</f>
        <v/>
      </c>
      <c r="GK25" s="29" t="str">
        <f>IF(OR($B25="",$A25&lt;55),"",--MID('Key Analysis'!$C21,55,1))</f>
        <v/>
      </c>
      <c r="GL25" s="29" t="str">
        <f>IF(OR($B25="",$A25&lt;56),"",--MID('Key Analysis'!$C21,56,1))</f>
        <v/>
      </c>
      <c r="GM25" s="29" t="str">
        <f>IF(OR($B25="",$A25&lt;57),"",--MID('Key Analysis'!$C21,57,1))</f>
        <v/>
      </c>
      <c r="GN25" s="29" t="str">
        <f>IF(OR($B25="",$A25&lt;58),"",--MID('Key Analysis'!$C21,58,1))</f>
        <v/>
      </c>
      <c r="GO25" s="29" t="str">
        <f>IF(OR($B25="",$A25&lt;59),"",--MID('Key Analysis'!$C21,59,1))</f>
        <v/>
      </c>
      <c r="GP25" s="29" t="str">
        <f>IF(OR($B25="",$A25&lt;60),"",--MID('Key Analysis'!$C21,60,1))</f>
        <v/>
      </c>
      <c r="GQ25" s="29" t="str">
        <f>IF(OR($B25="",$A25&lt;61),"",--MID('Key Analysis'!$C21,61,1))</f>
        <v/>
      </c>
      <c r="GR25" s="29" t="str">
        <f>IF(OR($B25="",$A25&lt;62),"",--MID('Key Analysis'!$C21,62,1))</f>
        <v/>
      </c>
      <c r="GS25" s="29" t="str">
        <f>IF(OR($B25="",$A25&lt;63),"",--MID('Key Analysis'!$C21,63,1))</f>
        <v/>
      </c>
      <c r="GT25" s="29" t="str">
        <f>IF(OR($B25="",$A25&lt;64),"",--MID('Key Analysis'!$C21,64,1))</f>
        <v/>
      </c>
      <c r="GU25" s="29" t="str">
        <f>IF(OR($B25="",$A25&lt;65),"",--MID('Key Analysis'!$C21,65,1))</f>
        <v/>
      </c>
      <c r="GV25" s="29" t="str">
        <f>IF(OR($B25="",$A25&lt;66),"",--MID('Key Analysis'!$C21,66,1))</f>
        <v/>
      </c>
      <c r="GW25" s="29" t="str">
        <f>IF(OR($B25="",$A25&lt;67),"",--MID('Key Analysis'!$C21,67,1))</f>
        <v/>
      </c>
      <c r="GX25" s="29" t="str">
        <f>IF(OR($B25="",$A25&lt;68),"",--MID('Key Analysis'!$C21,68,1))</f>
        <v/>
      </c>
      <c r="GY25" s="29" t="str">
        <f>IF(OR($B25="",$A25&lt;69),"",--MID('Key Analysis'!$C21,69,1))</f>
        <v/>
      </c>
      <c r="GZ25" s="29" t="str">
        <f>IF(OR($B25="",$A25&lt;70),"",--MID('Key Analysis'!$C21,70,1))</f>
        <v/>
      </c>
      <c r="HA25" s="29" t="str">
        <f>IF(OR($B25="",$A25&lt;71),"",--MID('Key Analysis'!$C21,71,1))</f>
        <v/>
      </c>
      <c r="HB25" s="29" t="str">
        <f>IF(OR($B25="",$A25&lt;72),"",--MID('Key Analysis'!$C21,72,1))</f>
        <v/>
      </c>
      <c r="HC25" s="29" t="str">
        <f>IF(OR($B25="",$A25&lt;73),"",--MID('Key Analysis'!$C21,73,1))</f>
        <v/>
      </c>
      <c r="HD25" s="29" t="str">
        <f>IF(OR($B25="",$A25&lt;74),"",--MID('Key Analysis'!$C21,74,1))</f>
        <v/>
      </c>
      <c r="HE25" s="29" t="str">
        <f>IF(OR($B25="",$A25&lt;75),"",--MID('Key Analysis'!$C21,75,1))</f>
        <v/>
      </c>
      <c r="HF25" s="29" t="str">
        <f>IF(OR($B25="",$A25&lt;76),"",--MID('Key Analysis'!$C21,76,1))</f>
        <v/>
      </c>
      <c r="HG25" s="29" t="str">
        <f>IF(OR($B25="",$A25&lt;77),"",--MID('Key Analysis'!$C21,77,1))</f>
        <v/>
      </c>
      <c r="HH25" s="29" t="str">
        <f>IF(OR($B25="",$A25&lt;78),"",--MID('Key Analysis'!$C21,78,1))</f>
        <v/>
      </c>
      <c r="HI25" s="29" t="str">
        <f>IF(OR($B25="",$A25&lt;79),"",--MID('Key Analysis'!$C21,79,1))</f>
        <v/>
      </c>
      <c r="HJ25" s="29" t="str">
        <f>IF(OR($B25="",$A25&lt;80),"",--MID('Key Analysis'!$C21,80,1))</f>
        <v/>
      </c>
      <c r="HK25" s="29" t="str">
        <f>IF(OR($B25="",$A25&lt;81),"",--MID('Key Analysis'!$C21,81,1))</f>
        <v/>
      </c>
      <c r="HL25" s="29" t="str">
        <f>IF(OR($B25="",$A25&lt;82),"",--MID('Key Analysis'!$C21,82,1))</f>
        <v/>
      </c>
      <c r="HM25" s="29" t="str">
        <f>IF(OR($B25="",$A25&lt;83),"",--MID('Key Analysis'!$C21,83,1))</f>
        <v/>
      </c>
      <c r="HN25" s="29" t="str">
        <f>IF(OR($B25="",$A25&lt;84),"",--MID('Key Analysis'!$C21,84,1))</f>
        <v/>
      </c>
      <c r="HO25" s="29" t="str">
        <f>IF(OR($B25="",$A25&lt;85),"",--MID('Key Analysis'!$C21,85,1))</f>
        <v/>
      </c>
      <c r="HP25" s="29" t="str">
        <f>IF(OR($B25="",$A25&lt;86),"",--MID('Key Analysis'!$C21,86,1))</f>
        <v/>
      </c>
      <c r="HQ25" s="29" t="str">
        <f>IF(OR($B25="",$A25&lt;87),"",--MID('Key Analysis'!$C21,87,1))</f>
        <v/>
      </c>
      <c r="HR25" s="29" t="str">
        <f>IF(OR($B25="",$A25&lt;88),"",--MID('Key Analysis'!$C21,88,1))</f>
        <v/>
      </c>
      <c r="HS25" s="29" t="str">
        <f>IF(OR($B25="",$A25&lt;89),"",--MID('Key Analysis'!$C21,89,1))</f>
        <v/>
      </c>
      <c r="HT25" s="29" t="str">
        <f>IF(OR($B25="",$A25&lt;90),"",--MID('Key Analysis'!$C21,90,1))</f>
        <v/>
      </c>
      <c r="HU25" s="29" t="str">
        <f>IF(OR($B25="",$A25&lt;91),"",--MID('Key Analysis'!$C21,91,1))</f>
        <v/>
      </c>
      <c r="HV25" s="29" t="str">
        <f>IF(OR($B25="",$A25&lt;92),"",--MID('Key Analysis'!$C21,92,1))</f>
        <v/>
      </c>
      <c r="HW25" s="29" t="str">
        <f>IF(OR($B25="",$A25&lt;93),"",--MID('Key Analysis'!$C21,93,1))</f>
        <v/>
      </c>
      <c r="HX25" s="29" t="str">
        <f>IF(OR($B25="",$A25&lt;94),"",--MID('Key Analysis'!$C21,94,1))</f>
        <v/>
      </c>
      <c r="HY25" s="29" t="str">
        <f>IF(OR($B25="",$A25&lt;95),"",--MID('Key Analysis'!$C21,95,1))</f>
        <v/>
      </c>
      <c r="HZ25" s="29" t="str">
        <f>IF(OR($B25="",$A25&lt;96),"",--MID('Key Analysis'!$C21,96,1))</f>
        <v/>
      </c>
      <c r="IA25" s="29" t="str">
        <f>IF(OR($B25="",$A25&lt;97),"",--MID('Key Analysis'!$C21,97,1))</f>
        <v/>
      </c>
      <c r="IB25" s="29" t="str">
        <f>IF(OR($B25="",$A25&lt;98),"",--MID('Key Analysis'!$C21,98,1))</f>
        <v/>
      </c>
      <c r="IC25" s="29" t="str">
        <f>IF(OR($B25="",$A25&lt;99),"",--MID('Key Analysis'!$C21,99,1))</f>
        <v/>
      </c>
      <c r="ID25" s="29" t="str">
        <f>IF(OR($B25="",$A25&lt;100),"",--MID('Key Analysis'!$C21,100,1))</f>
        <v/>
      </c>
      <c r="IE25" s="29" t="str">
        <f>IF(OR($B25="",$A25&lt;101),"",--MID('Key Analysis'!$C21,101,1))</f>
        <v/>
      </c>
      <c r="IF25" s="29" t="str">
        <f>IF(OR($B25="",$A25&lt;102),"",--MID('Key Analysis'!$C21,102,1))</f>
        <v/>
      </c>
      <c r="IG25" s="29" t="str">
        <f>IF(OR($B25="",$A25&lt;103),"",--MID('Key Analysis'!$C21,103,1))</f>
        <v/>
      </c>
      <c r="IH25" s="29" t="str">
        <f>IF(OR($B25="",$A25&lt;104),"",--MID('Key Analysis'!$C21,104,1))</f>
        <v/>
      </c>
      <c r="II25" s="29" t="str">
        <f>IF(OR($B25="",$A25&lt;105),"",--MID('Key Analysis'!$C21,105,1))</f>
        <v/>
      </c>
      <c r="IJ25" s="29" t="str">
        <f>IF(OR($B25="",$A25&lt;106),"",--MID('Key Analysis'!$C21,106,1))</f>
        <v/>
      </c>
      <c r="IK25" s="29" t="str">
        <f>IF(OR($B25="",$A25&lt;107),"",--MID('Key Analysis'!$C21,107,1))</f>
        <v/>
      </c>
      <c r="IL25" s="29" t="str">
        <f>IF(OR($B25="",$A25&lt;108),"",--MID('Key Analysis'!$C21,108,1))</f>
        <v/>
      </c>
      <c r="IM25" s="29" t="str">
        <f>IF(OR($B25="",$A25&lt;109),"",--MID('Key Analysis'!$C21,109,1))</f>
        <v/>
      </c>
      <c r="IN25" s="29" t="str">
        <f>IF(OR($B25="",$A25&lt;110),"",--MID('Key Analysis'!$C21,110,1))</f>
        <v/>
      </c>
      <c r="IO25" s="29" t="str">
        <f>IF(OR($B25="",$A25&lt;111),"",--MID('Key Analysis'!$C21,111,1))</f>
        <v/>
      </c>
      <c r="IP25" s="29" t="str">
        <f>IF(OR($B25="",$A25&lt;112),"",--MID('Key Analysis'!$C21,112,1))</f>
        <v/>
      </c>
      <c r="IQ25" s="29" t="str">
        <f>IF(OR($B25="",$A25&lt;113),"",--MID('Key Analysis'!$C21,113,1))</f>
        <v/>
      </c>
      <c r="IR25" s="29" t="str">
        <f>IF(OR($B25="",$A25&lt;114),"",--MID('Key Analysis'!$C21,114,1))</f>
        <v/>
      </c>
      <c r="IS25" s="29" t="str">
        <f>IF(OR($B25="",$A25&lt;115),"",--MID('Key Analysis'!$C21,115,1))</f>
        <v/>
      </c>
      <c r="IT25" s="29" t="str">
        <f>IF(OR($B25="",$A25&lt;116),"",--MID('Key Analysis'!$C21,116,1))</f>
        <v/>
      </c>
      <c r="IU25" s="29" t="str">
        <f>IF(OR($B25="",$A25&lt;117),"",--MID('Key Analysis'!$C21,117,1))</f>
        <v/>
      </c>
      <c r="IV25" s="29" t="str">
        <f>IF(OR($B25="",$A25&lt;118),"",--MID('Key Analysis'!$C21,118,1))</f>
        <v/>
      </c>
      <c r="IW25" s="29" t="str">
        <f>IF(OR($B25="",$A25&lt;119),"",--MID('Key Analysis'!$C21,119,1))</f>
        <v/>
      </c>
      <c r="IX25" s="29" t="str">
        <f>IF(OR($B25="",$A25&lt;120),"",--MID('Key Analysis'!$C21,120,1))</f>
        <v/>
      </c>
      <c r="IY25" s="29" t="str">
        <f>IF(OR($B25="",$A25&lt;121),"",--MID('Key Analysis'!$C21,121,1))</f>
        <v/>
      </c>
      <c r="IZ25" s="29" t="str">
        <f>IF(OR($B25="",$A25&lt;122),"",--MID('Key Analysis'!$C21,122,1))</f>
        <v/>
      </c>
      <c r="JA25" s="29" t="str">
        <f>IF(OR($B25="",$A25&lt;123),"",--MID('Key Analysis'!$C21,123,1))</f>
        <v/>
      </c>
      <c r="JB25" s="29" t="str">
        <f>IF(OR($B25="",$A25&lt;124),"",--MID('Key Analysis'!$C21,124,1))</f>
        <v/>
      </c>
      <c r="JC25" s="29" t="str">
        <f>IF(OR($B25="",$A25&lt;125),"",--MID('Key Analysis'!$C21,125,1))</f>
        <v/>
      </c>
      <c r="JD25" s="29" t="str">
        <f>IF(OR($B25="",$A25&lt;126),"",--MID('Key Analysis'!$C21,126,1))</f>
        <v/>
      </c>
      <c r="JE25" s="29" t="str">
        <f>IF(OR($B25="",$A25&lt;127),"",--MID('Key Analysis'!$C21,127,1))</f>
        <v/>
      </c>
      <c r="JF25" s="29" t="str">
        <f>IF(OR($B25="",$A25&lt;128),"",--MID('Key Analysis'!$C21,128,1))</f>
        <v/>
      </c>
      <c r="JG25" s="29" t="str">
        <f>IF(OR($B25="",$A25&lt;129),"",--MID('Key Analysis'!$C21,129,1))</f>
        <v/>
      </c>
      <c r="JH25" s="29" t="str">
        <f>IF(OR($B25="",$A25&lt;130),"",--MID('Key Analysis'!$C21,130,1))</f>
        <v/>
      </c>
      <c r="JI25" s="29" t="str">
        <f>IF(OR($B25="",$A25&lt;131),"",--MID('Key Analysis'!$C21,131,1))</f>
        <v/>
      </c>
      <c r="JJ25" s="29" t="str">
        <f>IF(OR($B25="",$A25&lt;132),"",--MID('Key Analysis'!$C21,132,1))</f>
        <v/>
      </c>
      <c r="JK25" s="29" t="str">
        <f>IF(OR($B25="",$A25&lt;133),"",--MID('Key Analysis'!$C21,133,1))</f>
        <v/>
      </c>
      <c r="JL25" s="29" t="str">
        <f>IF(OR($B25="",$A25&lt;134),"",--MID('Key Analysis'!$C21,134,1))</f>
        <v/>
      </c>
      <c r="JM25" s="29" t="str">
        <f>IF(OR($B25="",$A25&lt;135),"",--MID('Key Analysis'!$C21,135,1))</f>
        <v/>
      </c>
    </row>
    <row r="26" spans="1:273" x14ac:dyDescent="0.25">
      <c r="A26" s="21">
        <f>'Key Analysis'!A22</f>
        <v>21</v>
      </c>
      <c r="B26" s="30" t="str">
        <f>'Key Analysis'!B22</f>
        <v>1ba534</v>
      </c>
      <c r="C26" s="29">
        <f>IF(OR($B26="",$A26&lt;=0),"",--MID('Key Analysis'!$C22,$A26-0,1))</f>
        <v>0</v>
      </c>
      <c r="D26" s="29">
        <f>IF(OR($B26="",$A26&lt;=1),"",--MID('Key Analysis'!$C22,$A26-1,1))</f>
        <v>0</v>
      </c>
      <c r="E26" s="29">
        <f>IF(OR($B26="",$A26&lt;=2),"",--MID('Key Analysis'!$C22,$A26-2,1))</f>
        <v>1</v>
      </c>
      <c r="F26" s="29">
        <f>IF(OR($B26="",$A26&lt;=3),"",--MID('Key Analysis'!$C22,$A26-3,1))</f>
        <v>0</v>
      </c>
      <c r="G26" s="29">
        <f>IF(OR($B26="",$A26&lt;=4),"",--MID('Key Analysis'!$C22,$A26-4,1))</f>
        <v>1</v>
      </c>
      <c r="H26" s="29">
        <f>IF(OR($B26="",$A26&lt;=5),"",--MID('Key Analysis'!$C22,$A26-5,1))</f>
        <v>1</v>
      </c>
      <c r="I26" s="29">
        <f>IF(OR($B26="",$A26&lt;=6),"",--MID('Key Analysis'!$C22,$A26-6,1))</f>
        <v>0</v>
      </c>
      <c r="J26" s="29">
        <f>IF(OR($B26="",$A26&lt;=7),"",--MID('Key Analysis'!$C22,$A26-7,1))</f>
        <v>0</v>
      </c>
      <c r="K26" s="29">
        <f>IF(OR($B26="",$A26&lt;=8),"",--MID('Key Analysis'!$C22,$A26-8,1))</f>
        <v>1</v>
      </c>
      <c r="L26" s="29">
        <f>IF(OR($B26="",$A26&lt;=9),"",--MID('Key Analysis'!$C22,$A26-9,1))</f>
        <v>0</v>
      </c>
      <c r="M26" s="29">
        <f>IF(OR($B26="",$A26&lt;=10),"",--MID('Key Analysis'!$C22,$A26-10,1))</f>
        <v>1</v>
      </c>
      <c r="N26" s="29">
        <f>IF(OR($B26="",$A26&lt;=11),"",--MID('Key Analysis'!$C22,$A26-11,1))</f>
        <v>0</v>
      </c>
      <c r="O26" s="29">
        <f>IF(OR($B26="",$A26&lt;=12),"",--MID('Key Analysis'!$C22,$A26-12,1))</f>
        <v>0</v>
      </c>
      <c r="P26" s="29">
        <f>IF(OR($B26="",$A26&lt;=13),"",--MID('Key Analysis'!$C22,$A26-13,1))</f>
        <v>1</v>
      </c>
      <c r="Q26" s="29">
        <f>IF(OR($B26="",$A26&lt;=14),"",--MID('Key Analysis'!$C22,$A26-14,1))</f>
        <v>0</v>
      </c>
      <c r="R26" s="29">
        <f>IF(OR($B26="",$A26&lt;=15),"",--MID('Key Analysis'!$C22,$A26-15,1))</f>
        <v>1</v>
      </c>
      <c r="S26" s="29">
        <f>IF(OR($B26="",$A26&lt;=16),"",--MID('Key Analysis'!$C22,$A26-16,1))</f>
        <v>1</v>
      </c>
      <c r="T26" s="29">
        <f>IF(OR($B26="",$A26&lt;=17),"",--MID('Key Analysis'!$C22,$A26-17,1))</f>
        <v>1</v>
      </c>
      <c r="U26" s="29">
        <f>IF(OR($B26="",$A26&lt;=18),"",--MID('Key Analysis'!$C22,$A26-18,1))</f>
        <v>0</v>
      </c>
      <c r="V26" s="29">
        <f>IF(OR($B26="",$A26&lt;=19),"",--MID('Key Analysis'!$C22,$A26-19,1))</f>
        <v>1</v>
      </c>
      <c r="W26" s="29">
        <f>IF(OR($B26="",$A26&lt;=20),"",--MID('Key Analysis'!$C22,$A26-20,1))</f>
        <v>1</v>
      </c>
      <c r="X26" s="29" t="str">
        <f>IF(OR($B26="",$A26&lt;=21),"",--MID('Key Analysis'!$C22,$A26-21,1))</f>
        <v/>
      </c>
      <c r="Y26" s="29" t="str">
        <f>IF(OR($B26="",$A26&lt;=22),"",--MID('Key Analysis'!$C22,$A26-22,1))</f>
        <v/>
      </c>
      <c r="Z26" s="29" t="str">
        <f>IF(OR($B26="",$A26&lt;=23),"",--MID('Key Analysis'!$C22,$A26-23,1))</f>
        <v/>
      </c>
      <c r="AA26" s="29" t="str">
        <f>IF(OR($B26="",$A26&lt;=24),"",--MID('Key Analysis'!$C22,$A26-24,1))</f>
        <v/>
      </c>
      <c r="AB26" s="29" t="str">
        <f>IF(OR($B26="",$A26&lt;=25),"",--MID('Key Analysis'!$C22,$A26-25,1))</f>
        <v/>
      </c>
      <c r="AC26" s="29" t="str">
        <f>IF(OR($B26="",$A26&lt;=26),"",--MID('Key Analysis'!$C22,$A26-26,1))</f>
        <v/>
      </c>
      <c r="AD26" s="29" t="str">
        <f>IF(OR($B26="",$A26&lt;=27),"",--MID('Key Analysis'!$C22,$A26-27,1))</f>
        <v/>
      </c>
      <c r="AE26" s="29" t="str">
        <f>IF(OR($B26="",$A26&lt;=28),"",--MID('Key Analysis'!$C22,$A26-28,1))</f>
        <v/>
      </c>
      <c r="AF26" s="29" t="str">
        <f>IF(OR($B26="",$A26&lt;=29),"",--MID('Key Analysis'!$C22,$A26-29,1))</f>
        <v/>
      </c>
      <c r="AG26" s="29" t="str">
        <f>IF(OR($B26="",$A26&lt;=30),"",--MID('Key Analysis'!$C22,$A26-30,1))</f>
        <v/>
      </c>
      <c r="AH26" s="29" t="str">
        <f>IF(OR($B26="",$A26&lt;=31),"",--MID('Key Analysis'!$C22,$A26-31,1))</f>
        <v/>
      </c>
      <c r="AI26" s="29" t="str">
        <f>IF(OR($B26="",$A26&lt;=32),"",--MID('Key Analysis'!$C22,$A26-32,1))</f>
        <v/>
      </c>
      <c r="AJ26" s="29" t="str">
        <f>IF(OR($B26="",$A26&lt;=33),"",--MID('Key Analysis'!$C22,$A26-33,1))</f>
        <v/>
      </c>
      <c r="AK26" s="29" t="str">
        <f>IF(OR($B26="",$A26&lt;=34),"",--MID('Key Analysis'!$C22,$A26-34,1))</f>
        <v/>
      </c>
      <c r="AL26" s="29" t="str">
        <f>IF(OR($B26="",$A26&lt;=35),"",--MID('Key Analysis'!$C22,$A26-35,1))</f>
        <v/>
      </c>
      <c r="AM26" s="29" t="str">
        <f>IF(OR($B26="",$A26&lt;=36),"",--MID('Key Analysis'!$C22,$A26-36,1))</f>
        <v/>
      </c>
      <c r="AN26" s="29" t="str">
        <f>IF(OR($B26="",$A26&lt;=37),"",--MID('Key Analysis'!$C22,$A26-37,1))</f>
        <v/>
      </c>
      <c r="AO26" s="29" t="str">
        <f>IF(OR($B26="",$A26&lt;=38),"",--MID('Key Analysis'!$C22,$A26-38,1))</f>
        <v/>
      </c>
      <c r="AP26" s="29" t="str">
        <f>IF(OR($B26="",$A26&lt;=39),"",--MID('Key Analysis'!$C22,$A26-39,1))</f>
        <v/>
      </c>
      <c r="AQ26" s="29" t="str">
        <f>IF(OR($B26="",$A26&lt;=40),"",--MID('Key Analysis'!$C22,$A26-40,1))</f>
        <v/>
      </c>
      <c r="AR26" s="29" t="str">
        <f>IF(OR($B26="",$A26&lt;=41),"",--MID('Key Analysis'!$C22,$A26-41,1))</f>
        <v/>
      </c>
      <c r="AS26" s="29" t="str">
        <f>IF(OR($B26="",$A26&lt;=42),"",--MID('Key Analysis'!$C22,$A26-42,1))</f>
        <v/>
      </c>
      <c r="AT26" s="29" t="str">
        <f>IF(OR($B26="",$A26&lt;=43),"",--MID('Key Analysis'!$C22,$A26-43,1))</f>
        <v/>
      </c>
      <c r="AU26" s="29" t="str">
        <f>IF(OR($B26="",$A26&lt;=44),"",--MID('Key Analysis'!$C22,$A26-44,1))</f>
        <v/>
      </c>
      <c r="AV26" s="29" t="str">
        <f>IF(OR($B26="",$A26&lt;=45),"",--MID('Key Analysis'!$C22,$A26-45,1))</f>
        <v/>
      </c>
      <c r="AW26" s="29" t="str">
        <f>IF(OR($B26="",$A26&lt;=46),"",--MID('Key Analysis'!$C22,$A26-46,1))</f>
        <v/>
      </c>
      <c r="AX26" s="29" t="str">
        <f>IF(OR($B26="",$A26&lt;=47),"",--MID('Key Analysis'!$C22,$A26-47,1))</f>
        <v/>
      </c>
      <c r="AY26" s="29" t="str">
        <f>IF(OR($B26="",$A26&lt;=48),"",--MID('Key Analysis'!$C22,$A26-48,1))</f>
        <v/>
      </c>
      <c r="AZ26" s="29" t="str">
        <f>IF(OR($B26="",$A26&lt;=49),"",--MID('Key Analysis'!$C22,$A26-49,1))</f>
        <v/>
      </c>
      <c r="BA26" s="29" t="str">
        <f>IF(OR($B26="",$A26&lt;=50),"",--MID('Key Analysis'!$C22,$A26-50,1))</f>
        <v/>
      </c>
      <c r="BB26" s="29" t="str">
        <f>IF(OR($B26="",$A26&lt;=51),"",--MID('Key Analysis'!$C22,$A26-51,1))</f>
        <v/>
      </c>
      <c r="BC26" s="29" t="str">
        <f>IF(OR($B26="",$A26&lt;=52),"",--MID('Key Analysis'!$C22,$A26-52,1))</f>
        <v/>
      </c>
      <c r="BD26" s="29" t="str">
        <f>IF(OR($B26="",$A26&lt;=53),"",--MID('Key Analysis'!$C22,$A26-53,1))</f>
        <v/>
      </c>
      <c r="BE26" s="29" t="str">
        <f>IF(OR($B26="",$A26&lt;=54),"",--MID('Key Analysis'!$C22,$A26-54,1))</f>
        <v/>
      </c>
      <c r="BF26" s="29" t="str">
        <f>IF(OR($B26="",$A26&lt;=55),"",--MID('Key Analysis'!$C22,$A26-55,1))</f>
        <v/>
      </c>
      <c r="BG26" s="29" t="str">
        <f>IF(OR($B26="",$A26&lt;=56),"",--MID('Key Analysis'!$C22,$A26-56,1))</f>
        <v/>
      </c>
      <c r="BH26" s="29" t="str">
        <f>IF(OR($B26="",$A26&lt;=57),"",--MID('Key Analysis'!$C22,$A26-57,1))</f>
        <v/>
      </c>
      <c r="BI26" s="29" t="str">
        <f>IF(OR($B26="",$A26&lt;=58),"",--MID('Key Analysis'!$C22,$A26-58,1))</f>
        <v/>
      </c>
      <c r="BJ26" s="29" t="str">
        <f>IF(OR($B26="",$A26&lt;=59),"",--MID('Key Analysis'!$C22,$A26-59,1))</f>
        <v/>
      </c>
      <c r="BK26" s="29" t="str">
        <f>IF(OR($B26="",$A26&lt;=60),"",--MID('Key Analysis'!$C22,$A26-60,1))</f>
        <v/>
      </c>
      <c r="BL26" s="29" t="str">
        <f>IF(OR($B26="",$A26&lt;=61),"",--MID('Key Analysis'!$C22,$A26-61,1))</f>
        <v/>
      </c>
      <c r="BM26" s="29" t="str">
        <f>IF(OR($B26="",$A26&lt;=62),"",--MID('Key Analysis'!$C22,$A26-62,1))</f>
        <v/>
      </c>
      <c r="BN26" s="29" t="str">
        <f>IF(OR($B26="",$A26&lt;=63),"",--MID('Key Analysis'!$C22,$A26-63,1))</f>
        <v/>
      </c>
      <c r="BO26" s="29" t="str">
        <f>IF(OR($B26="",$A26&lt;=64),"",--MID('Key Analysis'!$C22,$A26-64,1))</f>
        <v/>
      </c>
      <c r="BP26" s="29" t="str">
        <f>IF(OR($B26="",$A26&lt;=65),"",--MID('Key Analysis'!$C22,$A26-65,1))</f>
        <v/>
      </c>
      <c r="BQ26" s="29" t="str">
        <f>IF(OR($B26="",$A26&lt;=66),"",--MID('Key Analysis'!$C22,$A26-66,1))</f>
        <v/>
      </c>
      <c r="BR26" s="29" t="str">
        <f>IF(OR($B26="",$A26&lt;=67),"",--MID('Key Analysis'!$C22,$A26-67,1))</f>
        <v/>
      </c>
      <c r="BS26" s="29" t="str">
        <f>IF(OR($B26="",$A26&lt;=68),"",--MID('Key Analysis'!$C22,$A26-68,1))</f>
        <v/>
      </c>
      <c r="BT26" s="29" t="str">
        <f>IF(OR($B26="",$A26&lt;=69),"",--MID('Key Analysis'!$C22,$A26-69,1))</f>
        <v/>
      </c>
      <c r="BU26" s="29" t="str">
        <f>IF(OR($B26="",$A26&lt;=70),"",--MID('Key Analysis'!$C22,$A26-70,1))</f>
        <v/>
      </c>
      <c r="BV26" s="29" t="str">
        <f>IF(OR($B26="",$A26&lt;=71),"",--MID('Key Analysis'!$C22,$A26-71,1))</f>
        <v/>
      </c>
      <c r="BW26" s="29" t="str">
        <f>IF(OR($B26="",$A26&lt;=72),"",--MID('Key Analysis'!$C22,$A26-72,1))</f>
        <v/>
      </c>
      <c r="BX26" s="29" t="str">
        <f>IF(OR($B26="",$A26&lt;=73),"",--MID('Key Analysis'!$C22,$A26-73,1))</f>
        <v/>
      </c>
      <c r="BY26" s="29" t="str">
        <f>IF(OR($B26="",$A26&lt;=74),"",--MID('Key Analysis'!$C22,$A26-74,1))</f>
        <v/>
      </c>
      <c r="BZ26" s="29" t="str">
        <f>IF(OR($B26="",$A26&lt;=75),"",--MID('Key Analysis'!$C22,$A26-75,1))</f>
        <v/>
      </c>
      <c r="CA26" s="29" t="str">
        <f>IF(OR($B26="",$A26&lt;=76),"",--MID('Key Analysis'!$C22,$A26-76,1))</f>
        <v/>
      </c>
      <c r="CB26" s="29" t="str">
        <f>IF(OR($B26="",$A26&lt;=77),"",--MID('Key Analysis'!$C22,$A26-77,1))</f>
        <v/>
      </c>
      <c r="CC26" s="29" t="str">
        <f>IF(OR($B26="",$A26&lt;=78),"",--MID('Key Analysis'!$C22,$A26-78,1))</f>
        <v/>
      </c>
      <c r="CD26" s="29" t="str">
        <f>IF(OR($B26="",$A26&lt;=79),"",--MID('Key Analysis'!$C22,$A26-79,1))</f>
        <v/>
      </c>
      <c r="CE26" s="29" t="str">
        <f>IF(OR($B26="",$A26&lt;=80),"",--MID('Key Analysis'!$C22,$A26-80,1))</f>
        <v/>
      </c>
      <c r="CF26" s="29" t="str">
        <f>IF(OR($B26="",$A26&lt;=81),"",--MID('Key Analysis'!$C22,$A26-81,1))</f>
        <v/>
      </c>
      <c r="CG26" s="29" t="str">
        <f>IF(OR($B26="",$A26&lt;=82),"",--MID('Key Analysis'!$C22,$A26-82,1))</f>
        <v/>
      </c>
      <c r="CH26" s="29" t="str">
        <f>IF(OR($B26="",$A26&lt;=83),"",--MID('Key Analysis'!$C22,$A26-83,1))</f>
        <v/>
      </c>
      <c r="CI26" s="29" t="str">
        <f>IF(OR($B26="",$A26&lt;=84),"",--MID('Key Analysis'!$C22,$A26-84,1))</f>
        <v/>
      </c>
      <c r="CJ26" s="29" t="str">
        <f>IF(OR($B26="",$A26&lt;=85),"",--MID('Key Analysis'!$C22,$A26-85,1))</f>
        <v/>
      </c>
      <c r="CK26" s="29" t="str">
        <f>IF(OR($B26="",$A26&lt;=86),"",--MID('Key Analysis'!$C22,$A26-86,1))</f>
        <v/>
      </c>
      <c r="CL26" s="29" t="str">
        <f>IF(OR($B26="",$A26&lt;=87),"",--MID('Key Analysis'!$C22,$A26-87,1))</f>
        <v/>
      </c>
      <c r="CM26" s="29" t="str">
        <f>IF(OR($B26="",$A26&lt;=88),"",--MID('Key Analysis'!$C22,$A26-88,1))</f>
        <v/>
      </c>
      <c r="CN26" s="29" t="str">
        <f>IF(OR($B26="",$A26&lt;=89),"",--MID('Key Analysis'!$C22,$A26-89,1))</f>
        <v/>
      </c>
      <c r="CO26" s="29" t="str">
        <f>IF(OR($B26="",$A26&lt;=90),"",--MID('Key Analysis'!$C22,$A26-90,1))</f>
        <v/>
      </c>
      <c r="CP26" s="29" t="str">
        <f>IF(OR($B26="",$A26&lt;=91),"",--MID('Key Analysis'!$C22,$A26-91,1))</f>
        <v/>
      </c>
      <c r="CQ26" s="29" t="str">
        <f>IF(OR($B26="",$A26&lt;=92),"",--MID('Key Analysis'!$C22,$A26-92,1))</f>
        <v/>
      </c>
      <c r="CR26" s="29" t="str">
        <f>IF(OR($B26="",$A26&lt;=93),"",--MID('Key Analysis'!$C22,$A26-93,1))</f>
        <v/>
      </c>
      <c r="CS26" s="29" t="str">
        <f>IF(OR($B26="",$A26&lt;=94),"",--MID('Key Analysis'!$C22,$A26-94,1))</f>
        <v/>
      </c>
      <c r="CT26" s="29" t="str">
        <f>IF(OR($B26="",$A26&lt;=95),"",--MID('Key Analysis'!$C22,$A26-95,1))</f>
        <v/>
      </c>
      <c r="CU26" s="29" t="str">
        <f>IF(OR($B26="",$A26&lt;=96),"",--MID('Key Analysis'!$C22,$A26-96,1))</f>
        <v/>
      </c>
      <c r="CV26" s="29" t="str">
        <f>IF(OR($B26="",$A26&lt;=97),"",--MID('Key Analysis'!$C22,$A26-97,1))</f>
        <v/>
      </c>
      <c r="CW26" s="29" t="str">
        <f>IF(OR($B26="",$A26&lt;=98),"",--MID('Key Analysis'!$C22,$A26-98,1))</f>
        <v/>
      </c>
      <c r="CX26" s="29" t="str">
        <f>IF(OR($B26="",$A26&lt;=99),"",--MID('Key Analysis'!$C22,$A26-99,1))</f>
        <v/>
      </c>
      <c r="CY26" s="29" t="str">
        <f>IF(OR($B26="",$A26&lt;=100),"",--MID('Key Analysis'!$C22,$A26-100,1))</f>
        <v/>
      </c>
      <c r="CZ26" s="29" t="str">
        <f>IF(OR($B26="",$A26&lt;=101),"",--MID('Key Analysis'!$C22,$A26-101,1))</f>
        <v/>
      </c>
      <c r="DA26" s="29" t="str">
        <f>IF(OR($B26="",$A26&lt;=102),"",--MID('Key Analysis'!$C22,$A26-102,1))</f>
        <v/>
      </c>
      <c r="DB26" s="29" t="str">
        <f>IF(OR($B26="",$A26&lt;=103),"",--MID('Key Analysis'!$C22,$A26-103,1))</f>
        <v/>
      </c>
      <c r="DC26" s="29" t="str">
        <f>IF(OR($B26="",$A26&lt;=104),"",--MID('Key Analysis'!$C22,$A26-104,1))</f>
        <v/>
      </c>
      <c r="DD26" s="29" t="str">
        <f>IF(OR($B26="",$A26&lt;=105),"",--MID('Key Analysis'!$C22,$A26-105,1))</f>
        <v/>
      </c>
      <c r="DE26" s="29" t="str">
        <f>IF(OR($B26="",$A26&lt;=106),"",--MID('Key Analysis'!$C22,$A26-106,1))</f>
        <v/>
      </c>
      <c r="DF26" s="29" t="str">
        <f>IF(OR($B26="",$A26&lt;=107),"",--MID('Key Analysis'!$C22,$A26-107,1))</f>
        <v/>
      </c>
      <c r="DG26" s="29" t="str">
        <f>IF(OR($B26="",$A26&lt;=108),"",--MID('Key Analysis'!$C22,$A26-108,1))</f>
        <v/>
      </c>
      <c r="DH26" s="29" t="str">
        <f>IF(OR($B26="",$A26&lt;=109),"",--MID('Key Analysis'!$C22,$A26-109,1))</f>
        <v/>
      </c>
      <c r="DI26" s="29" t="str">
        <f>IF(OR($B26="",$A26&lt;=110),"",--MID('Key Analysis'!$C22,$A26-110,1))</f>
        <v/>
      </c>
      <c r="DJ26" s="29" t="str">
        <f>IF(OR($B26="",$A26&lt;=111),"",--MID('Key Analysis'!$C22,$A26-111,1))</f>
        <v/>
      </c>
      <c r="DK26" s="29" t="str">
        <f>IF(OR($B26="",$A26&lt;=112),"",--MID('Key Analysis'!$C22,$A26-112,1))</f>
        <v/>
      </c>
      <c r="DL26" s="29" t="str">
        <f>IF(OR($B26="",$A26&lt;=113),"",--MID('Key Analysis'!$C22,$A26-113,1))</f>
        <v/>
      </c>
      <c r="DM26" s="29" t="str">
        <f>IF(OR($B26="",$A26&lt;=114),"",--MID('Key Analysis'!$C22,$A26-114,1))</f>
        <v/>
      </c>
      <c r="DN26" s="29" t="str">
        <f>IF(OR($B26="",$A26&lt;=115),"",--MID('Key Analysis'!$C22,$A26-115,1))</f>
        <v/>
      </c>
      <c r="DO26" s="29" t="str">
        <f>IF(OR($B26="",$A26&lt;=116),"",--MID('Key Analysis'!$C22,$A26-116,1))</f>
        <v/>
      </c>
      <c r="DP26" s="29" t="str">
        <f>IF(OR($B26="",$A26&lt;=117),"",--MID('Key Analysis'!$C22,$A26-117,1))</f>
        <v/>
      </c>
      <c r="DQ26" s="29" t="str">
        <f>IF(OR($B26="",$A26&lt;=118),"",--MID('Key Analysis'!$C22,$A26-118,1))</f>
        <v/>
      </c>
      <c r="DR26" s="29" t="str">
        <f>IF(OR($B26="",$A26&lt;=119),"",--MID('Key Analysis'!$C22,$A26-119,1))</f>
        <v/>
      </c>
      <c r="DS26" s="29" t="str">
        <f>IF(OR($B26="",$A26&lt;=120),"",--MID('Key Analysis'!$C22,$A26-120,1))</f>
        <v/>
      </c>
      <c r="DT26" s="29" t="str">
        <f>IF(OR($B26="",$A26&lt;=121),"",--MID('Key Analysis'!$C22,$A26-121,1))</f>
        <v/>
      </c>
      <c r="DU26" s="29" t="str">
        <f>IF(OR($B26="",$A26&lt;=122),"",--MID('Key Analysis'!$C22,$A26-122,1))</f>
        <v/>
      </c>
      <c r="DV26" s="29" t="str">
        <f>IF(OR($B26="",$A26&lt;=123),"",--MID('Key Analysis'!$C22,$A26-123,1))</f>
        <v/>
      </c>
      <c r="DW26" s="29" t="str">
        <f>IF(OR($B26="",$A26&lt;=124),"",--MID('Key Analysis'!$C22,$A26-124,1))</f>
        <v/>
      </c>
      <c r="DX26" s="29" t="str">
        <f>IF(OR($B26="",$A26&lt;=125),"",--MID('Key Analysis'!$C22,$A26-125,1))</f>
        <v/>
      </c>
      <c r="DY26" s="29" t="str">
        <f>IF(OR($B26="",$A26&lt;=126),"",--MID('Key Analysis'!$C22,$A26-126,1))</f>
        <v/>
      </c>
      <c r="DZ26" s="29" t="str">
        <f>IF(OR($B26="",$A26&lt;=127),"",--MID('Key Analysis'!$C22,$A26-127,1))</f>
        <v/>
      </c>
      <c r="EA26" s="29" t="str">
        <f>IF(OR($B26="",$A26&lt;=128),"",--MID('Key Analysis'!$C22,$A26-128,1))</f>
        <v/>
      </c>
      <c r="EB26" s="29" t="str">
        <f>IF(OR($B26="",$A26&lt;=129),"",--MID('Key Analysis'!$C22,$A26-129,1))</f>
        <v/>
      </c>
      <c r="EC26" s="29" t="str">
        <f>IF(OR($B26="",$A26&lt;=130),"",--MID('Key Analysis'!$C22,$A26-130,1))</f>
        <v/>
      </c>
      <c r="ED26" s="29" t="str">
        <f>IF(OR($B26="",$A26&lt;=131),"",--MID('Key Analysis'!$C22,$A26-131,1))</f>
        <v/>
      </c>
      <c r="EE26" s="29" t="str">
        <f>IF(OR($B26="",$A26&lt;=132),"",--MID('Key Analysis'!$C22,$A26-132,1))</f>
        <v/>
      </c>
      <c r="EF26" s="29" t="str">
        <f>IF(OR($B26="",$A26&lt;=133),"",--MID('Key Analysis'!$C22,$A26-133,1))</f>
        <v/>
      </c>
      <c r="EG26" s="29" t="str">
        <f>IF(OR($B26="",$A26&lt;=134),"",--MID('Key Analysis'!$C22,$A26-134,1))</f>
        <v/>
      </c>
      <c r="EH26" s="29"/>
      <c r="EI26" s="29">
        <f>IF(OR($B26="",$A26&lt;1),"",--MID('Key Analysis'!$C22,1,1))</f>
        <v>1</v>
      </c>
      <c r="EJ26" s="29">
        <f>IF(OR($B26="",$A26&lt;2),"",--MID('Key Analysis'!$C22,2,1))</f>
        <v>1</v>
      </c>
      <c r="EK26" s="29">
        <f>IF(OR($B26="",$A26&lt;3),"",--MID('Key Analysis'!$C22,3,1))</f>
        <v>0</v>
      </c>
      <c r="EL26" s="29">
        <f>IF(OR($B26="",$A26&lt;4),"",--MID('Key Analysis'!$C22,4,1))</f>
        <v>1</v>
      </c>
      <c r="EM26" s="29">
        <f>IF(OR($B26="",$A26&lt;5),"",--MID('Key Analysis'!$C22,5,1))</f>
        <v>1</v>
      </c>
      <c r="EN26" s="29">
        <f>IF(OR($B26="",$A26&lt;6),"",--MID('Key Analysis'!$C22,6,1))</f>
        <v>1</v>
      </c>
      <c r="EO26" s="29">
        <f>IF(OR($B26="",$A26&lt;7),"",--MID('Key Analysis'!$C22,7,1))</f>
        <v>0</v>
      </c>
      <c r="EP26" s="29">
        <f>IF(OR($B26="",$A26&lt;8),"",--MID('Key Analysis'!$C22,8,1))</f>
        <v>1</v>
      </c>
      <c r="EQ26" s="29">
        <f>IF(OR($B26="",$A26&lt;9),"",--MID('Key Analysis'!$C22,9,1))</f>
        <v>0</v>
      </c>
      <c r="ER26" s="29">
        <f>IF(OR($B26="",$A26&lt;10),"",--MID('Key Analysis'!$C22,10,1))</f>
        <v>0</v>
      </c>
      <c r="ES26" s="29">
        <f>IF(OR($B26="",$A26&lt;11),"",--MID('Key Analysis'!$C22,11,1))</f>
        <v>1</v>
      </c>
      <c r="ET26" s="29">
        <f>IF(OR($B26="",$A26&lt;12),"",--MID('Key Analysis'!$C22,12,1))</f>
        <v>0</v>
      </c>
      <c r="EU26" s="29">
        <f>IF(OR($B26="",$A26&lt;13),"",--MID('Key Analysis'!$C22,13,1))</f>
        <v>1</v>
      </c>
      <c r="EV26" s="29">
        <f>IF(OR($B26="",$A26&lt;14),"",--MID('Key Analysis'!$C22,14,1))</f>
        <v>0</v>
      </c>
      <c r="EW26" s="29">
        <f>IF(OR($B26="",$A26&lt;15),"",--MID('Key Analysis'!$C22,15,1))</f>
        <v>0</v>
      </c>
      <c r="EX26" s="29">
        <f>IF(OR($B26="",$A26&lt;16),"",--MID('Key Analysis'!$C22,16,1))</f>
        <v>1</v>
      </c>
      <c r="EY26" s="29">
        <f>IF(OR($B26="",$A26&lt;17),"",--MID('Key Analysis'!$C22,17,1))</f>
        <v>1</v>
      </c>
      <c r="EZ26" s="29">
        <f>IF(OR($B26="",$A26&lt;18),"",--MID('Key Analysis'!$C22,18,1))</f>
        <v>0</v>
      </c>
      <c r="FA26" s="29">
        <f>IF(OR($B26="",$A26&lt;19),"",--MID('Key Analysis'!$C22,19,1))</f>
        <v>1</v>
      </c>
      <c r="FB26" s="29">
        <f>IF(OR($B26="",$A26&lt;20),"",--MID('Key Analysis'!$C22,20,1))</f>
        <v>0</v>
      </c>
      <c r="FC26" s="29">
        <f>IF(OR($B26="",$A26&lt;21),"",--MID('Key Analysis'!$C22,21,1))</f>
        <v>0</v>
      </c>
      <c r="FD26" s="29" t="str">
        <f>IF(OR($B26="",$A26&lt;22),"",--MID('Key Analysis'!$C22,22,1))</f>
        <v/>
      </c>
      <c r="FE26" s="29" t="str">
        <f>IF(OR($B26="",$A26&lt;23),"",--MID('Key Analysis'!$C22,23,1))</f>
        <v/>
      </c>
      <c r="FF26" s="29" t="str">
        <f>IF(OR($B26="",$A26&lt;24),"",--MID('Key Analysis'!$C22,24,1))</f>
        <v/>
      </c>
      <c r="FG26" s="29" t="str">
        <f>IF(OR($B26="",$A26&lt;25),"",--MID('Key Analysis'!$C22,25,1))</f>
        <v/>
      </c>
      <c r="FH26" s="29" t="str">
        <f>IF(OR($B26="",$A26&lt;26),"",--MID('Key Analysis'!$C22,26,1))</f>
        <v/>
      </c>
      <c r="FI26" s="29" t="str">
        <f>IF(OR($B26="",$A26&lt;27),"",--MID('Key Analysis'!$C22,27,1))</f>
        <v/>
      </c>
      <c r="FJ26" s="29" t="str">
        <f>IF(OR($B26="",$A26&lt;28),"",--MID('Key Analysis'!$C22,28,1))</f>
        <v/>
      </c>
      <c r="FK26" s="29" t="str">
        <f>IF(OR($B26="",$A26&lt;29),"",--MID('Key Analysis'!$C22,29,1))</f>
        <v/>
      </c>
      <c r="FL26" s="29" t="str">
        <f>IF(OR($B26="",$A26&lt;30),"",--MID('Key Analysis'!$C22,30,1))</f>
        <v/>
      </c>
      <c r="FM26" s="29" t="str">
        <f>IF(OR($B26="",$A26&lt;31),"",--MID('Key Analysis'!$C22,31,1))</f>
        <v/>
      </c>
      <c r="FN26" s="29" t="str">
        <f>IF(OR($B26="",$A26&lt;32),"",--MID('Key Analysis'!$C22,32,1))</f>
        <v/>
      </c>
      <c r="FO26" s="29" t="str">
        <f>IF(OR($B26="",$A26&lt;33),"",--MID('Key Analysis'!$C22,33,1))</f>
        <v/>
      </c>
      <c r="FP26" s="29" t="str">
        <f>IF(OR($B26="",$A26&lt;34),"",--MID('Key Analysis'!$C22,34,1))</f>
        <v/>
      </c>
      <c r="FQ26" s="29" t="str">
        <f>IF(OR($B26="",$A26&lt;35),"",--MID('Key Analysis'!$C22,35,1))</f>
        <v/>
      </c>
      <c r="FR26" s="29" t="str">
        <f>IF(OR($B26="",$A26&lt;36),"",--MID('Key Analysis'!$C22,36,1))</f>
        <v/>
      </c>
      <c r="FS26" s="29" t="str">
        <f>IF(OR($B26="",$A26&lt;37),"",--MID('Key Analysis'!$C22,37,1))</f>
        <v/>
      </c>
      <c r="FT26" s="29" t="str">
        <f>IF(OR($B26="",$A26&lt;38),"",--MID('Key Analysis'!$C22,38,1))</f>
        <v/>
      </c>
      <c r="FU26" s="29" t="str">
        <f>IF(OR($B26="",$A26&lt;39),"",--MID('Key Analysis'!$C22,39,1))</f>
        <v/>
      </c>
      <c r="FV26" s="29" t="str">
        <f>IF(OR($B26="",$A26&lt;40),"",--MID('Key Analysis'!$C22,40,1))</f>
        <v/>
      </c>
      <c r="FW26" s="29" t="str">
        <f>IF(OR($B26="",$A26&lt;41),"",--MID('Key Analysis'!$C22,41,1))</f>
        <v/>
      </c>
      <c r="FX26" s="29" t="str">
        <f>IF(OR($B26="",$A26&lt;42),"",--MID('Key Analysis'!$C22,42,1))</f>
        <v/>
      </c>
      <c r="FY26" s="29" t="str">
        <f>IF(OR($B26="",$A26&lt;43),"",--MID('Key Analysis'!$C22,43,1))</f>
        <v/>
      </c>
      <c r="FZ26" s="29" t="str">
        <f>IF(OR($B26="",$A26&lt;44),"",--MID('Key Analysis'!$C22,44,1))</f>
        <v/>
      </c>
      <c r="GA26" s="29" t="str">
        <f>IF(OR($B26="",$A26&lt;45),"",--MID('Key Analysis'!$C22,45,1))</f>
        <v/>
      </c>
      <c r="GB26" s="29" t="str">
        <f>IF(OR($B26="",$A26&lt;46),"",--MID('Key Analysis'!$C22,46,1))</f>
        <v/>
      </c>
      <c r="GC26" s="29" t="str">
        <f>IF(OR($B26="",$A26&lt;47),"",--MID('Key Analysis'!$C22,47,1))</f>
        <v/>
      </c>
      <c r="GD26" s="29" t="str">
        <f>IF(OR($B26="",$A26&lt;48),"",--MID('Key Analysis'!$C22,48,1))</f>
        <v/>
      </c>
      <c r="GE26" s="29" t="str">
        <f>IF(OR($B26="",$A26&lt;49),"",--MID('Key Analysis'!$C22,49,1))</f>
        <v/>
      </c>
      <c r="GF26" s="29" t="str">
        <f>IF(OR($B26="",$A26&lt;50),"",--MID('Key Analysis'!$C22,50,1))</f>
        <v/>
      </c>
      <c r="GG26" s="29" t="str">
        <f>IF(OR($B26="",$A26&lt;51),"",--MID('Key Analysis'!$C22,51,1))</f>
        <v/>
      </c>
      <c r="GH26" s="29" t="str">
        <f>IF(OR($B26="",$A26&lt;52),"",--MID('Key Analysis'!$C22,52,1))</f>
        <v/>
      </c>
      <c r="GI26" s="29" t="str">
        <f>IF(OR($B26="",$A26&lt;53),"",--MID('Key Analysis'!$C22,53,1))</f>
        <v/>
      </c>
      <c r="GJ26" s="29" t="str">
        <f>IF(OR($B26="",$A26&lt;54),"",--MID('Key Analysis'!$C22,54,1))</f>
        <v/>
      </c>
      <c r="GK26" s="29" t="str">
        <f>IF(OR($B26="",$A26&lt;55),"",--MID('Key Analysis'!$C22,55,1))</f>
        <v/>
      </c>
      <c r="GL26" s="29" t="str">
        <f>IF(OR($B26="",$A26&lt;56),"",--MID('Key Analysis'!$C22,56,1))</f>
        <v/>
      </c>
      <c r="GM26" s="29" t="str">
        <f>IF(OR($B26="",$A26&lt;57),"",--MID('Key Analysis'!$C22,57,1))</f>
        <v/>
      </c>
      <c r="GN26" s="29" t="str">
        <f>IF(OR($B26="",$A26&lt;58),"",--MID('Key Analysis'!$C22,58,1))</f>
        <v/>
      </c>
      <c r="GO26" s="29" t="str">
        <f>IF(OR($B26="",$A26&lt;59),"",--MID('Key Analysis'!$C22,59,1))</f>
        <v/>
      </c>
      <c r="GP26" s="29" t="str">
        <f>IF(OR($B26="",$A26&lt;60),"",--MID('Key Analysis'!$C22,60,1))</f>
        <v/>
      </c>
      <c r="GQ26" s="29" t="str">
        <f>IF(OR($B26="",$A26&lt;61),"",--MID('Key Analysis'!$C22,61,1))</f>
        <v/>
      </c>
      <c r="GR26" s="29" t="str">
        <f>IF(OR($B26="",$A26&lt;62),"",--MID('Key Analysis'!$C22,62,1))</f>
        <v/>
      </c>
      <c r="GS26" s="29" t="str">
        <f>IF(OR($B26="",$A26&lt;63),"",--MID('Key Analysis'!$C22,63,1))</f>
        <v/>
      </c>
      <c r="GT26" s="29" t="str">
        <f>IF(OR($B26="",$A26&lt;64),"",--MID('Key Analysis'!$C22,64,1))</f>
        <v/>
      </c>
      <c r="GU26" s="29" t="str">
        <f>IF(OR($B26="",$A26&lt;65),"",--MID('Key Analysis'!$C22,65,1))</f>
        <v/>
      </c>
      <c r="GV26" s="29" t="str">
        <f>IF(OR($B26="",$A26&lt;66),"",--MID('Key Analysis'!$C22,66,1))</f>
        <v/>
      </c>
      <c r="GW26" s="29" t="str">
        <f>IF(OR($B26="",$A26&lt;67),"",--MID('Key Analysis'!$C22,67,1))</f>
        <v/>
      </c>
      <c r="GX26" s="29" t="str">
        <f>IF(OR($B26="",$A26&lt;68),"",--MID('Key Analysis'!$C22,68,1))</f>
        <v/>
      </c>
      <c r="GY26" s="29" t="str">
        <f>IF(OR($B26="",$A26&lt;69),"",--MID('Key Analysis'!$C22,69,1))</f>
        <v/>
      </c>
      <c r="GZ26" s="29" t="str">
        <f>IF(OR($B26="",$A26&lt;70),"",--MID('Key Analysis'!$C22,70,1))</f>
        <v/>
      </c>
      <c r="HA26" s="29" t="str">
        <f>IF(OR($B26="",$A26&lt;71),"",--MID('Key Analysis'!$C22,71,1))</f>
        <v/>
      </c>
      <c r="HB26" s="29" t="str">
        <f>IF(OR($B26="",$A26&lt;72),"",--MID('Key Analysis'!$C22,72,1))</f>
        <v/>
      </c>
      <c r="HC26" s="29" t="str">
        <f>IF(OR($B26="",$A26&lt;73),"",--MID('Key Analysis'!$C22,73,1))</f>
        <v/>
      </c>
      <c r="HD26" s="29" t="str">
        <f>IF(OR($B26="",$A26&lt;74),"",--MID('Key Analysis'!$C22,74,1))</f>
        <v/>
      </c>
      <c r="HE26" s="29" t="str">
        <f>IF(OR($B26="",$A26&lt;75),"",--MID('Key Analysis'!$C22,75,1))</f>
        <v/>
      </c>
      <c r="HF26" s="29" t="str">
        <f>IF(OR($B26="",$A26&lt;76),"",--MID('Key Analysis'!$C22,76,1))</f>
        <v/>
      </c>
      <c r="HG26" s="29" t="str">
        <f>IF(OR($B26="",$A26&lt;77),"",--MID('Key Analysis'!$C22,77,1))</f>
        <v/>
      </c>
      <c r="HH26" s="29" t="str">
        <f>IF(OR($B26="",$A26&lt;78),"",--MID('Key Analysis'!$C22,78,1))</f>
        <v/>
      </c>
      <c r="HI26" s="29" t="str">
        <f>IF(OR($B26="",$A26&lt;79),"",--MID('Key Analysis'!$C22,79,1))</f>
        <v/>
      </c>
      <c r="HJ26" s="29" t="str">
        <f>IF(OR($B26="",$A26&lt;80),"",--MID('Key Analysis'!$C22,80,1))</f>
        <v/>
      </c>
      <c r="HK26" s="29" t="str">
        <f>IF(OR($B26="",$A26&lt;81),"",--MID('Key Analysis'!$C22,81,1))</f>
        <v/>
      </c>
      <c r="HL26" s="29" t="str">
        <f>IF(OR($B26="",$A26&lt;82),"",--MID('Key Analysis'!$C22,82,1))</f>
        <v/>
      </c>
      <c r="HM26" s="29" t="str">
        <f>IF(OR($B26="",$A26&lt;83),"",--MID('Key Analysis'!$C22,83,1))</f>
        <v/>
      </c>
      <c r="HN26" s="29" t="str">
        <f>IF(OR($B26="",$A26&lt;84),"",--MID('Key Analysis'!$C22,84,1))</f>
        <v/>
      </c>
      <c r="HO26" s="29" t="str">
        <f>IF(OR($B26="",$A26&lt;85),"",--MID('Key Analysis'!$C22,85,1))</f>
        <v/>
      </c>
      <c r="HP26" s="29" t="str">
        <f>IF(OR($B26="",$A26&lt;86),"",--MID('Key Analysis'!$C22,86,1))</f>
        <v/>
      </c>
      <c r="HQ26" s="29" t="str">
        <f>IF(OR($B26="",$A26&lt;87),"",--MID('Key Analysis'!$C22,87,1))</f>
        <v/>
      </c>
      <c r="HR26" s="29" t="str">
        <f>IF(OR($B26="",$A26&lt;88),"",--MID('Key Analysis'!$C22,88,1))</f>
        <v/>
      </c>
      <c r="HS26" s="29" t="str">
        <f>IF(OR($B26="",$A26&lt;89),"",--MID('Key Analysis'!$C22,89,1))</f>
        <v/>
      </c>
      <c r="HT26" s="29" t="str">
        <f>IF(OR($B26="",$A26&lt;90),"",--MID('Key Analysis'!$C22,90,1))</f>
        <v/>
      </c>
      <c r="HU26" s="29" t="str">
        <f>IF(OR($B26="",$A26&lt;91),"",--MID('Key Analysis'!$C22,91,1))</f>
        <v/>
      </c>
      <c r="HV26" s="29" t="str">
        <f>IF(OR($B26="",$A26&lt;92),"",--MID('Key Analysis'!$C22,92,1))</f>
        <v/>
      </c>
      <c r="HW26" s="29" t="str">
        <f>IF(OR($B26="",$A26&lt;93),"",--MID('Key Analysis'!$C22,93,1))</f>
        <v/>
      </c>
      <c r="HX26" s="29" t="str">
        <f>IF(OR($B26="",$A26&lt;94),"",--MID('Key Analysis'!$C22,94,1))</f>
        <v/>
      </c>
      <c r="HY26" s="29" t="str">
        <f>IF(OR($B26="",$A26&lt;95),"",--MID('Key Analysis'!$C22,95,1))</f>
        <v/>
      </c>
      <c r="HZ26" s="29" t="str">
        <f>IF(OR($B26="",$A26&lt;96),"",--MID('Key Analysis'!$C22,96,1))</f>
        <v/>
      </c>
      <c r="IA26" s="29" t="str">
        <f>IF(OR($B26="",$A26&lt;97),"",--MID('Key Analysis'!$C22,97,1))</f>
        <v/>
      </c>
      <c r="IB26" s="29" t="str">
        <f>IF(OR($B26="",$A26&lt;98),"",--MID('Key Analysis'!$C22,98,1))</f>
        <v/>
      </c>
      <c r="IC26" s="29" t="str">
        <f>IF(OR($B26="",$A26&lt;99),"",--MID('Key Analysis'!$C22,99,1))</f>
        <v/>
      </c>
      <c r="ID26" s="29" t="str">
        <f>IF(OR($B26="",$A26&lt;100),"",--MID('Key Analysis'!$C22,100,1))</f>
        <v/>
      </c>
      <c r="IE26" s="29" t="str">
        <f>IF(OR($B26="",$A26&lt;101),"",--MID('Key Analysis'!$C22,101,1))</f>
        <v/>
      </c>
      <c r="IF26" s="29" t="str">
        <f>IF(OR($B26="",$A26&lt;102),"",--MID('Key Analysis'!$C22,102,1))</f>
        <v/>
      </c>
      <c r="IG26" s="29" t="str">
        <f>IF(OR($B26="",$A26&lt;103),"",--MID('Key Analysis'!$C22,103,1))</f>
        <v/>
      </c>
      <c r="IH26" s="29" t="str">
        <f>IF(OR($B26="",$A26&lt;104),"",--MID('Key Analysis'!$C22,104,1))</f>
        <v/>
      </c>
      <c r="II26" s="29" t="str">
        <f>IF(OR($B26="",$A26&lt;105),"",--MID('Key Analysis'!$C22,105,1))</f>
        <v/>
      </c>
      <c r="IJ26" s="29" t="str">
        <f>IF(OR($B26="",$A26&lt;106),"",--MID('Key Analysis'!$C22,106,1))</f>
        <v/>
      </c>
      <c r="IK26" s="29" t="str">
        <f>IF(OR($B26="",$A26&lt;107),"",--MID('Key Analysis'!$C22,107,1))</f>
        <v/>
      </c>
      <c r="IL26" s="29" t="str">
        <f>IF(OR($B26="",$A26&lt;108),"",--MID('Key Analysis'!$C22,108,1))</f>
        <v/>
      </c>
      <c r="IM26" s="29" t="str">
        <f>IF(OR($B26="",$A26&lt;109),"",--MID('Key Analysis'!$C22,109,1))</f>
        <v/>
      </c>
      <c r="IN26" s="29" t="str">
        <f>IF(OR($B26="",$A26&lt;110),"",--MID('Key Analysis'!$C22,110,1))</f>
        <v/>
      </c>
      <c r="IO26" s="29" t="str">
        <f>IF(OR($B26="",$A26&lt;111),"",--MID('Key Analysis'!$C22,111,1))</f>
        <v/>
      </c>
      <c r="IP26" s="29" t="str">
        <f>IF(OR($B26="",$A26&lt;112),"",--MID('Key Analysis'!$C22,112,1))</f>
        <v/>
      </c>
      <c r="IQ26" s="29" t="str">
        <f>IF(OR($B26="",$A26&lt;113),"",--MID('Key Analysis'!$C22,113,1))</f>
        <v/>
      </c>
      <c r="IR26" s="29" t="str">
        <f>IF(OR($B26="",$A26&lt;114),"",--MID('Key Analysis'!$C22,114,1))</f>
        <v/>
      </c>
      <c r="IS26" s="29" t="str">
        <f>IF(OR($B26="",$A26&lt;115),"",--MID('Key Analysis'!$C22,115,1))</f>
        <v/>
      </c>
      <c r="IT26" s="29" t="str">
        <f>IF(OR($B26="",$A26&lt;116),"",--MID('Key Analysis'!$C22,116,1))</f>
        <v/>
      </c>
      <c r="IU26" s="29" t="str">
        <f>IF(OR($B26="",$A26&lt;117),"",--MID('Key Analysis'!$C22,117,1))</f>
        <v/>
      </c>
      <c r="IV26" s="29" t="str">
        <f>IF(OR($B26="",$A26&lt;118),"",--MID('Key Analysis'!$C22,118,1))</f>
        <v/>
      </c>
      <c r="IW26" s="29" t="str">
        <f>IF(OR($B26="",$A26&lt;119),"",--MID('Key Analysis'!$C22,119,1))</f>
        <v/>
      </c>
      <c r="IX26" s="29" t="str">
        <f>IF(OR($B26="",$A26&lt;120),"",--MID('Key Analysis'!$C22,120,1))</f>
        <v/>
      </c>
      <c r="IY26" s="29" t="str">
        <f>IF(OR($B26="",$A26&lt;121),"",--MID('Key Analysis'!$C22,121,1))</f>
        <v/>
      </c>
      <c r="IZ26" s="29" t="str">
        <f>IF(OR($B26="",$A26&lt;122),"",--MID('Key Analysis'!$C22,122,1))</f>
        <v/>
      </c>
      <c r="JA26" s="29" t="str">
        <f>IF(OR($B26="",$A26&lt;123),"",--MID('Key Analysis'!$C22,123,1))</f>
        <v/>
      </c>
      <c r="JB26" s="29" t="str">
        <f>IF(OR($B26="",$A26&lt;124),"",--MID('Key Analysis'!$C22,124,1))</f>
        <v/>
      </c>
      <c r="JC26" s="29" t="str">
        <f>IF(OR($B26="",$A26&lt;125),"",--MID('Key Analysis'!$C22,125,1))</f>
        <v/>
      </c>
      <c r="JD26" s="29" t="str">
        <f>IF(OR($B26="",$A26&lt;126),"",--MID('Key Analysis'!$C22,126,1))</f>
        <v/>
      </c>
      <c r="JE26" s="29" t="str">
        <f>IF(OR($B26="",$A26&lt;127),"",--MID('Key Analysis'!$C22,127,1))</f>
        <v/>
      </c>
      <c r="JF26" s="29" t="str">
        <f>IF(OR($B26="",$A26&lt;128),"",--MID('Key Analysis'!$C22,128,1))</f>
        <v/>
      </c>
      <c r="JG26" s="29" t="str">
        <f>IF(OR($B26="",$A26&lt;129),"",--MID('Key Analysis'!$C22,129,1))</f>
        <v/>
      </c>
      <c r="JH26" s="29" t="str">
        <f>IF(OR($B26="",$A26&lt;130),"",--MID('Key Analysis'!$C22,130,1))</f>
        <v/>
      </c>
      <c r="JI26" s="29" t="str">
        <f>IF(OR($B26="",$A26&lt;131),"",--MID('Key Analysis'!$C22,131,1))</f>
        <v/>
      </c>
      <c r="JJ26" s="29" t="str">
        <f>IF(OR($B26="",$A26&lt;132),"",--MID('Key Analysis'!$C22,132,1))</f>
        <v/>
      </c>
      <c r="JK26" s="29" t="str">
        <f>IF(OR($B26="",$A26&lt;133),"",--MID('Key Analysis'!$C22,133,1))</f>
        <v/>
      </c>
      <c r="JL26" s="29" t="str">
        <f>IF(OR($B26="",$A26&lt;134),"",--MID('Key Analysis'!$C22,134,1))</f>
        <v/>
      </c>
      <c r="JM26" s="29" t="str">
        <f>IF(OR($B26="",$A26&lt;135),"",--MID('Key Analysis'!$C22,135,1))</f>
        <v/>
      </c>
    </row>
    <row r="27" spans="1:273" x14ac:dyDescent="0.25">
      <c r="A27" s="21">
        <f>'Key Analysis'!A23</f>
        <v>22</v>
      </c>
      <c r="B27" s="30" t="str">
        <f>'Key Analysis'!B23</f>
        <v>2de40f</v>
      </c>
      <c r="C27" s="29">
        <f>IF(OR($B27="",$A27&lt;=0),"",--MID('Key Analysis'!$C23,$A27-0,1))</f>
        <v>1</v>
      </c>
      <c r="D27" s="29">
        <f>IF(OR($B27="",$A27&lt;=1),"",--MID('Key Analysis'!$C23,$A27-1,1))</f>
        <v>1</v>
      </c>
      <c r="E27" s="29">
        <f>IF(OR($B27="",$A27&lt;=2),"",--MID('Key Analysis'!$C23,$A27-2,1))</f>
        <v>1</v>
      </c>
      <c r="F27" s="29">
        <f>IF(OR($B27="",$A27&lt;=3),"",--MID('Key Analysis'!$C23,$A27-3,1))</f>
        <v>1</v>
      </c>
      <c r="G27" s="29">
        <f>IF(OR($B27="",$A27&lt;=4),"",--MID('Key Analysis'!$C23,$A27-4,1))</f>
        <v>0</v>
      </c>
      <c r="H27" s="29">
        <f>IF(OR($B27="",$A27&lt;=5),"",--MID('Key Analysis'!$C23,$A27-5,1))</f>
        <v>0</v>
      </c>
      <c r="I27" s="29">
        <f>IF(OR($B27="",$A27&lt;=6),"",--MID('Key Analysis'!$C23,$A27-6,1))</f>
        <v>0</v>
      </c>
      <c r="J27" s="29">
        <f>IF(OR($B27="",$A27&lt;=7),"",--MID('Key Analysis'!$C23,$A27-7,1))</f>
        <v>0</v>
      </c>
      <c r="K27" s="29">
        <f>IF(OR($B27="",$A27&lt;=8),"",--MID('Key Analysis'!$C23,$A27-8,1))</f>
        <v>0</v>
      </c>
      <c r="L27" s="29">
        <f>IF(OR($B27="",$A27&lt;=9),"",--MID('Key Analysis'!$C23,$A27-9,1))</f>
        <v>0</v>
      </c>
      <c r="M27" s="29">
        <f>IF(OR($B27="",$A27&lt;=10),"",--MID('Key Analysis'!$C23,$A27-10,1))</f>
        <v>1</v>
      </c>
      <c r="N27" s="29">
        <f>IF(OR($B27="",$A27&lt;=11),"",--MID('Key Analysis'!$C23,$A27-11,1))</f>
        <v>0</v>
      </c>
      <c r="O27" s="29">
        <f>IF(OR($B27="",$A27&lt;=12),"",--MID('Key Analysis'!$C23,$A27-12,1))</f>
        <v>0</v>
      </c>
      <c r="P27" s="29">
        <f>IF(OR($B27="",$A27&lt;=13),"",--MID('Key Analysis'!$C23,$A27-13,1))</f>
        <v>1</v>
      </c>
      <c r="Q27" s="29">
        <f>IF(OR($B27="",$A27&lt;=14),"",--MID('Key Analysis'!$C23,$A27-14,1))</f>
        <v>1</v>
      </c>
      <c r="R27" s="29">
        <f>IF(OR($B27="",$A27&lt;=15),"",--MID('Key Analysis'!$C23,$A27-15,1))</f>
        <v>1</v>
      </c>
      <c r="S27" s="29">
        <f>IF(OR($B27="",$A27&lt;=16),"",--MID('Key Analysis'!$C23,$A27-16,1))</f>
        <v>1</v>
      </c>
      <c r="T27" s="29">
        <f>IF(OR($B27="",$A27&lt;=17),"",--MID('Key Analysis'!$C23,$A27-17,1))</f>
        <v>0</v>
      </c>
      <c r="U27" s="29">
        <f>IF(OR($B27="",$A27&lt;=18),"",--MID('Key Analysis'!$C23,$A27-18,1))</f>
        <v>1</v>
      </c>
      <c r="V27" s="29">
        <f>IF(OR($B27="",$A27&lt;=19),"",--MID('Key Analysis'!$C23,$A27-19,1))</f>
        <v>1</v>
      </c>
      <c r="W27" s="29">
        <f>IF(OR($B27="",$A27&lt;=20),"",--MID('Key Analysis'!$C23,$A27-20,1))</f>
        <v>0</v>
      </c>
      <c r="X27" s="29">
        <f>IF(OR($B27="",$A27&lt;=21),"",--MID('Key Analysis'!$C23,$A27-21,1))</f>
        <v>1</v>
      </c>
      <c r="Y27" s="29" t="str">
        <f>IF(OR($B27="",$A27&lt;=22),"",--MID('Key Analysis'!$C23,$A27-22,1))</f>
        <v/>
      </c>
      <c r="Z27" s="29" t="str">
        <f>IF(OR($B27="",$A27&lt;=23),"",--MID('Key Analysis'!$C23,$A27-23,1))</f>
        <v/>
      </c>
      <c r="AA27" s="29" t="str">
        <f>IF(OR($B27="",$A27&lt;=24),"",--MID('Key Analysis'!$C23,$A27-24,1))</f>
        <v/>
      </c>
      <c r="AB27" s="29" t="str">
        <f>IF(OR($B27="",$A27&lt;=25),"",--MID('Key Analysis'!$C23,$A27-25,1))</f>
        <v/>
      </c>
      <c r="AC27" s="29" t="str">
        <f>IF(OR($B27="",$A27&lt;=26),"",--MID('Key Analysis'!$C23,$A27-26,1))</f>
        <v/>
      </c>
      <c r="AD27" s="29" t="str">
        <f>IF(OR($B27="",$A27&lt;=27),"",--MID('Key Analysis'!$C23,$A27-27,1))</f>
        <v/>
      </c>
      <c r="AE27" s="29" t="str">
        <f>IF(OR($B27="",$A27&lt;=28),"",--MID('Key Analysis'!$C23,$A27-28,1))</f>
        <v/>
      </c>
      <c r="AF27" s="29" t="str">
        <f>IF(OR($B27="",$A27&lt;=29),"",--MID('Key Analysis'!$C23,$A27-29,1))</f>
        <v/>
      </c>
      <c r="AG27" s="29" t="str">
        <f>IF(OR($B27="",$A27&lt;=30),"",--MID('Key Analysis'!$C23,$A27-30,1))</f>
        <v/>
      </c>
      <c r="AH27" s="29" t="str">
        <f>IF(OR($B27="",$A27&lt;=31),"",--MID('Key Analysis'!$C23,$A27-31,1))</f>
        <v/>
      </c>
      <c r="AI27" s="29" t="str">
        <f>IF(OR($B27="",$A27&lt;=32),"",--MID('Key Analysis'!$C23,$A27-32,1))</f>
        <v/>
      </c>
      <c r="AJ27" s="29" t="str">
        <f>IF(OR($B27="",$A27&lt;=33),"",--MID('Key Analysis'!$C23,$A27-33,1))</f>
        <v/>
      </c>
      <c r="AK27" s="29" t="str">
        <f>IF(OR($B27="",$A27&lt;=34),"",--MID('Key Analysis'!$C23,$A27-34,1))</f>
        <v/>
      </c>
      <c r="AL27" s="29" t="str">
        <f>IF(OR($B27="",$A27&lt;=35),"",--MID('Key Analysis'!$C23,$A27-35,1))</f>
        <v/>
      </c>
      <c r="AM27" s="29" t="str">
        <f>IF(OR($B27="",$A27&lt;=36),"",--MID('Key Analysis'!$C23,$A27-36,1))</f>
        <v/>
      </c>
      <c r="AN27" s="29" t="str">
        <f>IF(OR($B27="",$A27&lt;=37),"",--MID('Key Analysis'!$C23,$A27-37,1))</f>
        <v/>
      </c>
      <c r="AO27" s="29" t="str">
        <f>IF(OR($B27="",$A27&lt;=38),"",--MID('Key Analysis'!$C23,$A27-38,1))</f>
        <v/>
      </c>
      <c r="AP27" s="29" t="str">
        <f>IF(OR($B27="",$A27&lt;=39),"",--MID('Key Analysis'!$C23,$A27-39,1))</f>
        <v/>
      </c>
      <c r="AQ27" s="29" t="str">
        <f>IF(OR($B27="",$A27&lt;=40),"",--MID('Key Analysis'!$C23,$A27-40,1))</f>
        <v/>
      </c>
      <c r="AR27" s="29" t="str">
        <f>IF(OR($B27="",$A27&lt;=41),"",--MID('Key Analysis'!$C23,$A27-41,1))</f>
        <v/>
      </c>
      <c r="AS27" s="29" t="str">
        <f>IF(OR($B27="",$A27&lt;=42),"",--MID('Key Analysis'!$C23,$A27-42,1))</f>
        <v/>
      </c>
      <c r="AT27" s="29" t="str">
        <f>IF(OR($B27="",$A27&lt;=43),"",--MID('Key Analysis'!$C23,$A27-43,1))</f>
        <v/>
      </c>
      <c r="AU27" s="29" t="str">
        <f>IF(OR($B27="",$A27&lt;=44),"",--MID('Key Analysis'!$C23,$A27-44,1))</f>
        <v/>
      </c>
      <c r="AV27" s="29" t="str">
        <f>IF(OR($B27="",$A27&lt;=45),"",--MID('Key Analysis'!$C23,$A27-45,1))</f>
        <v/>
      </c>
      <c r="AW27" s="29" t="str">
        <f>IF(OR($B27="",$A27&lt;=46),"",--MID('Key Analysis'!$C23,$A27-46,1))</f>
        <v/>
      </c>
      <c r="AX27" s="29" t="str">
        <f>IF(OR($B27="",$A27&lt;=47),"",--MID('Key Analysis'!$C23,$A27-47,1))</f>
        <v/>
      </c>
      <c r="AY27" s="29" t="str">
        <f>IF(OR($B27="",$A27&lt;=48),"",--MID('Key Analysis'!$C23,$A27-48,1))</f>
        <v/>
      </c>
      <c r="AZ27" s="29" t="str">
        <f>IF(OR($B27="",$A27&lt;=49),"",--MID('Key Analysis'!$C23,$A27-49,1))</f>
        <v/>
      </c>
      <c r="BA27" s="29" t="str">
        <f>IF(OR($B27="",$A27&lt;=50),"",--MID('Key Analysis'!$C23,$A27-50,1))</f>
        <v/>
      </c>
      <c r="BB27" s="29" t="str">
        <f>IF(OR($B27="",$A27&lt;=51),"",--MID('Key Analysis'!$C23,$A27-51,1))</f>
        <v/>
      </c>
      <c r="BC27" s="29" t="str">
        <f>IF(OR($B27="",$A27&lt;=52),"",--MID('Key Analysis'!$C23,$A27-52,1))</f>
        <v/>
      </c>
      <c r="BD27" s="29" t="str">
        <f>IF(OR($B27="",$A27&lt;=53),"",--MID('Key Analysis'!$C23,$A27-53,1))</f>
        <v/>
      </c>
      <c r="BE27" s="29" t="str">
        <f>IF(OR($B27="",$A27&lt;=54),"",--MID('Key Analysis'!$C23,$A27-54,1))</f>
        <v/>
      </c>
      <c r="BF27" s="29" t="str">
        <f>IF(OR($B27="",$A27&lt;=55),"",--MID('Key Analysis'!$C23,$A27-55,1))</f>
        <v/>
      </c>
      <c r="BG27" s="29" t="str">
        <f>IF(OR($B27="",$A27&lt;=56),"",--MID('Key Analysis'!$C23,$A27-56,1))</f>
        <v/>
      </c>
      <c r="BH27" s="29" t="str">
        <f>IF(OR($B27="",$A27&lt;=57),"",--MID('Key Analysis'!$C23,$A27-57,1))</f>
        <v/>
      </c>
      <c r="BI27" s="29" t="str">
        <f>IF(OR($B27="",$A27&lt;=58),"",--MID('Key Analysis'!$C23,$A27-58,1))</f>
        <v/>
      </c>
      <c r="BJ27" s="29" t="str">
        <f>IF(OR($B27="",$A27&lt;=59),"",--MID('Key Analysis'!$C23,$A27-59,1))</f>
        <v/>
      </c>
      <c r="BK27" s="29" t="str">
        <f>IF(OR($B27="",$A27&lt;=60),"",--MID('Key Analysis'!$C23,$A27-60,1))</f>
        <v/>
      </c>
      <c r="BL27" s="29" t="str">
        <f>IF(OR($B27="",$A27&lt;=61),"",--MID('Key Analysis'!$C23,$A27-61,1))</f>
        <v/>
      </c>
      <c r="BM27" s="29" t="str">
        <f>IF(OR($B27="",$A27&lt;=62),"",--MID('Key Analysis'!$C23,$A27-62,1))</f>
        <v/>
      </c>
      <c r="BN27" s="29" t="str">
        <f>IF(OR($B27="",$A27&lt;=63),"",--MID('Key Analysis'!$C23,$A27-63,1))</f>
        <v/>
      </c>
      <c r="BO27" s="29" t="str">
        <f>IF(OR($B27="",$A27&lt;=64),"",--MID('Key Analysis'!$C23,$A27-64,1))</f>
        <v/>
      </c>
      <c r="BP27" s="29" t="str">
        <f>IF(OR($B27="",$A27&lt;=65),"",--MID('Key Analysis'!$C23,$A27-65,1))</f>
        <v/>
      </c>
      <c r="BQ27" s="29" t="str">
        <f>IF(OR($B27="",$A27&lt;=66),"",--MID('Key Analysis'!$C23,$A27-66,1))</f>
        <v/>
      </c>
      <c r="BR27" s="29" t="str">
        <f>IF(OR($B27="",$A27&lt;=67),"",--MID('Key Analysis'!$C23,$A27-67,1))</f>
        <v/>
      </c>
      <c r="BS27" s="29" t="str">
        <f>IF(OR($B27="",$A27&lt;=68),"",--MID('Key Analysis'!$C23,$A27-68,1))</f>
        <v/>
      </c>
      <c r="BT27" s="29" t="str">
        <f>IF(OR($B27="",$A27&lt;=69),"",--MID('Key Analysis'!$C23,$A27-69,1))</f>
        <v/>
      </c>
      <c r="BU27" s="29" t="str">
        <f>IF(OR($B27="",$A27&lt;=70),"",--MID('Key Analysis'!$C23,$A27-70,1))</f>
        <v/>
      </c>
      <c r="BV27" s="29" t="str">
        <f>IF(OR($B27="",$A27&lt;=71),"",--MID('Key Analysis'!$C23,$A27-71,1))</f>
        <v/>
      </c>
      <c r="BW27" s="29" t="str">
        <f>IF(OR($B27="",$A27&lt;=72),"",--MID('Key Analysis'!$C23,$A27-72,1))</f>
        <v/>
      </c>
      <c r="BX27" s="29" t="str">
        <f>IF(OR($B27="",$A27&lt;=73),"",--MID('Key Analysis'!$C23,$A27-73,1))</f>
        <v/>
      </c>
      <c r="BY27" s="29" t="str">
        <f>IF(OR($B27="",$A27&lt;=74),"",--MID('Key Analysis'!$C23,$A27-74,1))</f>
        <v/>
      </c>
      <c r="BZ27" s="29" t="str">
        <f>IF(OR($B27="",$A27&lt;=75),"",--MID('Key Analysis'!$C23,$A27-75,1))</f>
        <v/>
      </c>
      <c r="CA27" s="29" t="str">
        <f>IF(OR($B27="",$A27&lt;=76),"",--MID('Key Analysis'!$C23,$A27-76,1))</f>
        <v/>
      </c>
      <c r="CB27" s="29" t="str">
        <f>IF(OR($B27="",$A27&lt;=77),"",--MID('Key Analysis'!$C23,$A27-77,1))</f>
        <v/>
      </c>
      <c r="CC27" s="29" t="str">
        <f>IF(OR($B27="",$A27&lt;=78),"",--MID('Key Analysis'!$C23,$A27-78,1))</f>
        <v/>
      </c>
      <c r="CD27" s="29" t="str">
        <f>IF(OR($B27="",$A27&lt;=79),"",--MID('Key Analysis'!$C23,$A27-79,1))</f>
        <v/>
      </c>
      <c r="CE27" s="29" t="str">
        <f>IF(OR($B27="",$A27&lt;=80),"",--MID('Key Analysis'!$C23,$A27-80,1))</f>
        <v/>
      </c>
      <c r="CF27" s="29" t="str">
        <f>IF(OR($B27="",$A27&lt;=81),"",--MID('Key Analysis'!$C23,$A27-81,1))</f>
        <v/>
      </c>
      <c r="CG27" s="29" t="str">
        <f>IF(OR($B27="",$A27&lt;=82),"",--MID('Key Analysis'!$C23,$A27-82,1))</f>
        <v/>
      </c>
      <c r="CH27" s="29" t="str">
        <f>IF(OR($B27="",$A27&lt;=83),"",--MID('Key Analysis'!$C23,$A27-83,1))</f>
        <v/>
      </c>
      <c r="CI27" s="29" t="str">
        <f>IF(OR($B27="",$A27&lt;=84),"",--MID('Key Analysis'!$C23,$A27-84,1))</f>
        <v/>
      </c>
      <c r="CJ27" s="29" t="str">
        <f>IF(OR($B27="",$A27&lt;=85),"",--MID('Key Analysis'!$C23,$A27-85,1))</f>
        <v/>
      </c>
      <c r="CK27" s="29" t="str">
        <f>IF(OR($B27="",$A27&lt;=86),"",--MID('Key Analysis'!$C23,$A27-86,1))</f>
        <v/>
      </c>
      <c r="CL27" s="29" t="str">
        <f>IF(OR($B27="",$A27&lt;=87),"",--MID('Key Analysis'!$C23,$A27-87,1))</f>
        <v/>
      </c>
      <c r="CM27" s="29" t="str">
        <f>IF(OR($B27="",$A27&lt;=88),"",--MID('Key Analysis'!$C23,$A27-88,1))</f>
        <v/>
      </c>
      <c r="CN27" s="29" t="str">
        <f>IF(OR($B27="",$A27&lt;=89),"",--MID('Key Analysis'!$C23,$A27-89,1))</f>
        <v/>
      </c>
      <c r="CO27" s="29" t="str">
        <f>IF(OR($B27="",$A27&lt;=90),"",--MID('Key Analysis'!$C23,$A27-90,1))</f>
        <v/>
      </c>
      <c r="CP27" s="29" t="str">
        <f>IF(OR($B27="",$A27&lt;=91),"",--MID('Key Analysis'!$C23,$A27-91,1))</f>
        <v/>
      </c>
      <c r="CQ27" s="29" t="str">
        <f>IF(OR($B27="",$A27&lt;=92),"",--MID('Key Analysis'!$C23,$A27-92,1))</f>
        <v/>
      </c>
      <c r="CR27" s="29" t="str">
        <f>IF(OR($B27="",$A27&lt;=93),"",--MID('Key Analysis'!$C23,$A27-93,1))</f>
        <v/>
      </c>
      <c r="CS27" s="29" t="str">
        <f>IF(OR($B27="",$A27&lt;=94),"",--MID('Key Analysis'!$C23,$A27-94,1))</f>
        <v/>
      </c>
      <c r="CT27" s="29" t="str">
        <f>IF(OR($B27="",$A27&lt;=95),"",--MID('Key Analysis'!$C23,$A27-95,1))</f>
        <v/>
      </c>
      <c r="CU27" s="29" t="str">
        <f>IF(OR($B27="",$A27&lt;=96),"",--MID('Key Analysis'!$C23,$A27-96,1))</f>
        <v/>
      </c>
      <c r="CV27" s="29" t="str">
        <f>IF(OR($B27="",$A27&lt;=97),"",--MID('Key Analysis'!$C23,$A27-97,1))</f>
        <v/>
      </c>
      <c r="CW27" s="29" t="str">
        <f>IF(OR($B27="",$A27&lt;=98),"",--MID('Key Analysis'!$C23,$A27-98,1))</f>
        <v/>
      </c>
      <c r="CX27" s="29" t="str">
        <f>IF(OR($B27="",$A27&lt;=99),"",--MID('Key Analysis'!$C23,$A27-99,1))</f>
        <v/>
      </c>
      <c r="CY27" s="29" t="str">
        <f>IF(OR($B27="",$A27&lt;=100),"",--MID('Key Analysis'!$C23,$A27-100,1))</f>
        <v/>
      </c>
      <c r="CZ27" s="29" t="str">
        <f>IF(OR($B27="",$A27&lt;=101),"",--MID('Key Analysis'!$C23,$A27-101,1))</f>
        <v/>
      </c>
      <c r="DA27" s="29" t="str">
        <f>IF(OR($B27="",$A27&lt;=102),"",--MID('Key Analysis'!$C23,$A27-102,1))</f>
        <v/>
      </c>
      <c r="DB27" s="29" t="str">
        <f>IF(OR($B27="",$A27&lt;=103),"",--MID('Key Analysis'!$C23,$A27-103,1))</f>
        <v/>
      </c>
      <c r="DC27" s="29" t="str">
        <f>IF(OR($B27="",$A27&lt;=104),"",--MID('Key Analysis'!$C23,$A27-104,1))</f>
        <v/>
      </c>
      <c r="DD27" s="29" t="str">
        <f>IF(OR($B27="",$A27&lt;=105),"",--MID('Key Analysis'!$C23,$A27-105,1))</f>
        <v/>
      </c>
      <c r="DE27" s="29" t="str">
        <f>IF(OR($B27="",$A27&lt;=106),"",--MID('Key Analysis'!$C23,$A27-106,1))</f>
        <v/>
      </c>
      <c r="DF27" s="29" t="str">
        <f>IF(OR($B27="",$A27&lt;=107),"",--MID('Key Analysis'!$C23,$A27-107,1))</f>
        <v/>
      </c>
      <c r="DG27" s="29" t="str">
        <f>IF(OR($B27="",$A27&lt;=108),"",--MID('Key Analysis'!$C23,$A27-108,1))</f>
        <v/>
      </c>
      <c r="DH27" s="29" t="str">
        <f>IF(OR($B27="",$A27&lt;=109),"",--MID('Key Analysis'!$C23,$A27-109,1))</f>
        <v/>
      </c>
      <c r="DI27" s="29" t="str">
        <f>IF(OR($B27="",$A27&lt;=110),"",--MID('Key Analysis'!$C23,$A27-110,1))</f>
        <v/>
      </c>
      <c r="DJ27" s="29" t="str">
        <f>IF(OR($B27="",$A27&lt;=111),"",--MID('Key Analysis'!$C23,$A27-111,1))</f>
        <v/>
      </c>
      <c r="DK27" s="29" t="str">
        <f>IF(OR($B27="",$A27&lt;=112),"",--MID('Key Analysis'!$C23,$A27-112,1))</f>
        <v/>
      </c>
      <c r="DL27" s="29" t="str">
        <f>IF(OR($B27="",$A27&lt;=113),"",--MID('Key Analysis'!$C23,$A27-113,1))</f>
        <v/>
      </c>
      <c r="DM27" s="29" t="str">
        <f>IF(OR($B27="",$A27&lt;=114),"",--MID('Key Analysis'!$C23,$A27-114,1))</f>
        <v/>
      </c>
      <c r="DN27" s="29" t="str">
        <f>IF(OR($B27="",$A27&lt;=115),"",--MID('Key Analysis'!$C23,$A27-115,1))</f>
        <v/>
      </c>
      <c r="DO27" s="29" t="str">
        <f>IF(OR($B27="",$A27&lt;=116),"",--MID('Key Analysis'!$C23,$A27-116,1))</f>
        <v/>
      </c>
      <c r="DP27" s="29" t="str">
        <f>IF(OR($B27="",$A27&lt;=117),"",--MID('Key Analysis'!$C23,$A27-117,1))</f>
        <v/>
      </c>
      <c r="DQ27" s="29" t="str">
        <f>IF(OR($B27="",$A27&lt;=118),"",--MID('Key Analysis'!$C23,$A27-118,1))</f>
        <v/>
      </c>
      <c r="DR27" s="29" t="str">
        <f>IF(OR($B27="",$A27&lt;=119),"",--MID('Key Analysis'!$C23,$A27-119,1))</f>
        <v/>
      </c>
      <c r="DS27" s="29" t="str">
        <f>IF(OR($B27="",$A27&lt;=120),"",--MID('Key Analysis'!$C23,$A27-120,1))</f>
        <v/>
      </c>
      <c r="DT27" s="29" t="str">
        <f>IF(OR($B27="",$A27&lt;=121),"",--MID('Key Analysis'!$C23,$A27-121,1))</f>
        <v/>
      </c>
      <c r="DU27" s="29" t="str">
        <f>IF(OR($B27="",$A27&lt;=122),"",--MID('Key Analysis'!$C23,$A27-122,1))</f>
        <v/>
      </c>
      <c r="DV27" s="29" t="str">
        <f>IF(OR($B27="",$A27&lt;=123),"",--MID('Key Analysis'!$C23,$A27-123,1))</f>
        <v/>
      </c>
      <c r="DW27" s="29" t="str">
        <f>IF(OR($B27="",$A27&lt;=124),"",--MID('Key Analysis'!$C23,$A27-124,1))</f>
        <v/>
      </c>
      <c r="DX27" s="29" t="str">
        <f>IF(OR($B27="",$A27&lt;=125),"",--MID('Key Analysis'!$C23,$A27-125,1))</f>
        <v/>
      </c>
      <c r="DY27" s="29" t="str">
        <f>IF(OR($B27="",$A27&lt;=126),"",--MID('Key Analysis'!$C23,$A27-126,1))</f>
        <v/>
      </c>
      <c r="DZ27" s="29" t="str">
        <f>IF(OR($B27="",$A27&lt;=127),"",--MID('Key Analysis'!$C23,$A27-127,1))</f>
        <v/>
      </c>
      <c r="EA27" s="29" t="str">
        <f>IF(OR($B27="",$A27&lt;=128),"",--MID('Key Analysis'!$C23,$A27-128,1))</f>
        <v/>
      </c>
      <c r="EB27" s="29" t="str">
        <f>IF(OR($B27="",$A27&lt;=129),"",--MID('Key Analysis'!$C23,$A27-129,1))</f>
        <v/>
      </c>
      <c r="EC27" s="29" t="str">
        <f>IF(OR($B27="",$A27&lt;=130),"",--MID('Key Analysis'!$C23,$A27-130,1))</f>
        <v/>
      </c>
      <c r="ED27" s="29" t="str">
        <f>IF(OR($B27="",$A27&lt;=131),"",--MID('Key Analysis'!$C23,$A27-131,1))</f>
        <v/>
      </c>
      <c r="EE27" s="29" t="str">
        <f>IF(OR($B27="",$A27&lt;=132),"",--MID('Key Analysis'!$C23,$A27-132,1))</f>
        <v/>
      </c>
      <c r="EF27" s="29" t="str">
        <f>IF(OR($B27="",$A27&lt;=133),"",--MID('Key Analysis'!$C23,$A27-133,1))</f>
        <v/>
      </c>
      <c r="EG27" s="29" t="str">
        <f>IF(OR($B27="",$A27&lt;=134),"",--MID('Key Analysis'!$C23,$A27-134,1))</f>
        <v/>
      </c>
      <c r="EH27" s="29"/>
      <c r="EI27" s="29">
        <f>IF(OR($B27="",$A27&lt;1),"",--MID('Key Analysis'!$C23,1,1))</f>
        <v>1</v>
      </c>
      <c r="EJ27" s="29">
        <f>IF(OR($B27="",$A27&lt;2),"",--MID('Key Analysis'!$C23,2,1))</f>
        <v>0</v>
      </c>
      <c r="EK27" s="29">
        <f>IF(OR($B27="",$A27&lt;3),"",--MID('Key Analysis'!$C23,3,1))</f>
        <v>1</v>
      </c>
      <c r="EL27" s="29">
        <f>IF(OR($B27="",$A27&lt;4),"",--MID('Key Analysis'!$C23,4,1))</f>
        <v>1</v>
      </c>
      <c r="EM27" s="29">
        <f>IF(OR($B27="",$A27&lt;5),"",--MID('Key Analysis'!$C23,5,1))</f>
        <v>0</v>
      </c>
      <c r="EN27" s="29">
        <f>IF(OR($B27="",$A27&lt;6),"",--MID('Key Analysis'!$C23,6,1))</f>
        <v>1</v>
      </c>
      <c r="EO27" s="29">
        <f>IF(OR($B27="",$A27&lt;7),"",--MID('Key Analysis'!$C23,7,1))</f>
        <v>1</v>
      </c>
      <c r="EP27" s="29">
        <f>IF(OR($B27="",$A27&lt;8),"",--MID('Key Analysis'!$C23,8,1))</f>
        <v>1</v>
      </c>
      <c r="EQ27" s="29">
        <f>IF(OR($B27="",$A27&lt;9),"",--MID('Key Analysis'!$C23,9,1))</f>
        <v>1</v>
      </c>
      <c r="ER27" s="29">
        <f>IF(OR($B27="",$A27&lt;10),"",--MID('Key Analysis'!$C23,10,1))</f>
        <v>0</v>
      </c>
      <c r="ES27" s="29">
        <f>IF(OR($B27="",$A27&lt;11),"",--MID('Key Analysis'!$C23,11,1))</f>
        <v>0</v>
      </c>
      <c r="ET27" s="29">
        <f>IF(OR($B27="",$A27&lt;12),"",--MID('Key Analysis'!$C23,12,1))</f>
        <v>1</v>
      </c>
      <c r="EU27" s="29">
        <f>IF(OR($B27="",$A27&lt;13),"",--MID('Key Analysis'!$C23,13,1))</f>
        <v>0</v>
      </c>
      <c r="EV27" s="29">
        <f>IF(OR($B27="",$A27&lt;14),"",--MID('Key Analysis'!$C23,14,1))</f>
        <v>0</v>
      </c>
      <c r="EW27" s="29">
        <f>IF(OR($B27="",$A27&lt;15),"",--MID('Key Analysis'!$C23,15,1))</f>
        <v>0</v>
      </c>
      <c r="EX27" s="29">
        <f>IF(OR($B27="",$A27&lt;16),"",--MID('Key Analysis'!$C23,16,1))</f>
        <v>0</v>
      </c>
      <c r="EY27" s="29">
        <f>IF(OR($B27="",$A27&lt;17),"",--MID('Key Analysis'!$C23,17,1))</f>
        <v>0</v>
      </c>
      <c r="EZ27" s="29">
        <f>IF(OR($B27="",$A27&lt;18),"",--MID('Key Analysis'!$C23,18,1))</f>
        <v>0</v>
      </c>
      <c r="FA27" s="29">
        <f>IF(OR($B27="",$A27&lt;19),"",--MID('Key Analysis'!$C23,19,1))</f>
        <v>1</v>
      </c>
      <c r="FB27" s="29">
        <f>IF(OR($B27="",$A27&lt;20),"",--MID('Key Analysis'!$C23,20,1))</f>
        <v>1</v>
      </c>
      <c r="FC27" s="29">
        <f>IF(OR($B27="",$A27&lt;21),"",--MID('Key Analysis'!$C23,21,1))</f>
        <v>1</v>
      </c>
      <c r="FD27" s="29">
        <f>IF(OR($B27="",$A27&lt;22),"",--MID('Key Analysis'!$C23,22,1))</f>
        <v>1</v>
      </c>
      <c r="FE27" s="29" t="str">
        <f>IF(OR($B27="",$A27&lt;23),"",--MID('Key Analysis'!$C23,23,1))</f>
        <v/>
      </c>
      <c r="FF27" s="29" t="str">
        <f>IF(OR($B27="",$A27&lt;24),"",--MID('Key Analysis'!$C23,24,1))</f>
        <v/>
      </c>
      <c r="FG27" s="29" t="str">
        <f>IF(OR($B27="",$A27&lt;25),"",--MID('Key Analysis'!$C23,25,1))</f>
        <v/>
      </c>
      <c r="FH27" s="29" t="str">
        <f>IF(OR($B27="",$A27&lt;26),"",--MID('Key Analysis'!$C23,26,1))</f>
        <v/>
      </c>
      <c r="FI27" s="29" t="str">
        <f>IF(OR($B27="",$A27&lt;27),"",--MID('Key Analysis'!$C23,27,1))</f>
        <v/>
      </c>
      <c r="FJ27" s="29" t="str">
        <f>IF(OR($B27="",$A27&lt;28),"",--MID('Key Analysis'!$C23,28,1))</f>
        <v/>
      </c>
      <c r="FK27" s="29" t="str">
        <f>IF(OR($B27="",$A27&lt;29),"",--MID('Key Analysis'!$C23,29,1))</f>
        <v/>
      </c>
      <c r="FL27" s="29" t="str">
        <f>IF(OR($B27="",$A27&lt;30),"",--MID('Key Analysis'!$C23,30,1))</f>
        <v/>
      </c>
      <c r="FM27" s="29" t="str">
        <f>IF(OR($B27="",$A27&lt;31),"",--MID('Key Analysis'!$C23,31,1))</f>
        <v/>
      </c>
      <c r="FN27" s="29" t="str">
        <f>IF(OR($B27="",$A27&lt;32),"",--MID('Key Analysis'!$C23,32,1))</f>
        <v/>
      </c>
      <c r="FO27" s="29" t="str">
        <f>IF(OR($B27="",$A27&lt;33),"",--MID('Key Analysis'!$C23,33,1))</f>
        <v/>
      </c>
      <c r="FP27" s="29" t="str">
        <f>IF(OR($B27="",$A27&lt;34),"",--MID('Key Analysis'!$C23,34,1))</f>
        <v/>
      </c>
      <c r="FQ27" s="29" t="str">
        <f>IF(OR($B27="",$A27&lt;35),"",--MID('Key Analysis'!$C23,35,1))</f>
        <v/>
      </c>
      <c r="FR27" s="29" t="str">
        <f>IF(OR($B27="",$A27&lt;36),"",--MID('Key Analysis'!$C23,36,1))</f>
        <v/>
      </c>
      <c r="FS27" s="29" t="str">
        <f>IF(OR($B27="",$A27&lt;37),"",--MID('Key Analysis'!$C23,37,1))</f>
        <v/>
      </c>
      <c r="FT27" s="29" t="str">
        <f>IF(OR($B27="",$A27&lt;38),"",--MID('Key Analysis'!$C23,38,1))</f>
        <v/>
      </c>
      <c r="FU27" s="29" t="str">
        <f>IF(OR($B27="",$A27&lt;39),"",--MID('Key Analysis'!$C23,39,1))</f>
        <v/>
      </c>
      <c r="FV27" s="29" t="str">
        <f>IF(OR($B27="",$A27&lt;40),"",--MID('Key Analysis'!$C23,40,1))</f>
        <v/>
      </c>
      <c r="FW27" s="29" t="str">
        <f>IF(OR($B27="",$A27&lt;41),"",--MID('Key Analysis'!$C23,41,1))</f>
        <v/>
      </c>
      <c r="FX27" s="29" t="str">
        <f>IF(OR($B27="",$A27&lt;42),"",--MID('Key Analysis'!$C23,42,1))</f>
        <v/>
      </c>
      <c r="FY27" s="29" t="str">
        <f>IF(OR($B27="",$A27&lt;43),"",--MID('Key Analysis'!$C23,43,1))</f>
        <v/>
      </c>
      <c r="FZ27" s="29" t="str">
        <f>IF(OR($B27="",$A27&lt;44),"",--MID('Key Analysis'!$C23,44,1))</f>
        <v/>
      </c>
      <c r="GA27" s="29" t="str">
        <f>IF(OR($B27="",$A27&lt;45),"",--MID('Key Analysis'!$C23,45,1))</f>
        <v/>
      </c>
      <c r="GB27" s="29" t="str">
        <f>IF(OR($B27="",$A27&lt;46),"",--MID('Key Analysis'!$C23,46,1))</f>
        <v/>
      </c>
      <c r="GC27" s="29" t="str">
        <f>IF(OR($B27="",$A27&lt;47),"",--MID('Key Analysis'!$C23,47,1))</f>
        <v/>
      </c>
      <c r="GD27" s="29" t="str">
        <f>IF(OR($B27="",$A27&lt;48),"",--MID('Key Analysis'!$C23,48,1))</f>
        <v/>
      </c>
      <c r="GE27" s="29" t="str">
        <f>IF(OR($B27="",$A27&lt;49),"",--MID('Key Analysis'!$C23,49,1))</f>
        <v/>
      </c>
      <c r="GF27" s="29" t="str">
        <f>IF(OR($B27="",$A27&lt;50),"",--MID('Key Analysis'!$C23,50,1))</f>
        <v/>
      </c>
      <c r="GG27" s="29" t="str">
        <f>IF(OR($B27="",$A27&lt;51),"",--MID('Key Analysis'!$C23,51,1))</f>
        <v/>
      </c>
      <c r="GH27" s="29" t="str">
        <f>IF(OR($B27="",$A27&lt;52),"",--MID('Key Analysis'!$C23,52,1))</f>
        <v/>
      </c>
      <c r="GI27" s="29" t="str">
        <f>IF(OR($B27="",$A27&lt;53),"",--MID('Key Analysis'!$C23,53,1))</f>
        <v/>
      </c>
      <c r="GJ27" s="29" t="str">
        <f>IF(OR($B27="",$A27&lt;54),"",--MID('Key Analysis'!$C23,54,1))</f>
        <v/>
      </c>
      <c r="GK27" s="29" t="str">
        <f>IF(OR($B27="",$A27&lt;55),"",--MID('Key Analysis'!$C23,55,1))</f>
        <v/>
      </c>
      <c r="GL27" s="29" t="str">
        <f>IF(OR($B27="",$A27&lt;56),"",--MID('Key Analysis'!$C23,56,1))</f>
        <v/>
      </c>
      <c r="GM27" s="29" t="str">
        <f>IF(OR($B27="",$A27&lt;57),"",--MID('Key Analysis'!$C23,57,1))</f>
        <v/>
      </c>
      <c r="GN27" s="29" t="str">
        <f>IF(OR($B27="",$A27&lt;58),"",--MID('Key Analysis'!$C23,58,1))</f>
        <v/>
      </c>
      <c r="GO27" s="29" t="str">
        <f>IF(OR($B27="",$A27&lt;59),"",--MID('Key Analysis'!$C23,59,1))</f>
        <v/>
      </c>
      <c r="GP27" s="29" t="str">
        <f>IF(OR($B27="",$A27&lt;60),"",--MID('Key Analysis'!$C23,60,1))</f>
        <v/>
      </c>
      <c r="GQ27" s="29" t="str">
        <f>IF(OR($B27="",$A27&lt;61),"",--MID('Key Analysis'!$C23,61,1))</f>
        <v/>
      </c>
      <c r="GR27" s="29" t="str">
        <f>IF(OR($B27="",$A27&lt;62),"",--MID('Key Analysis'!$C23,62,1))</f>
        <v/>
      </c>
      <c r="GS27" s="29" t="str">
        <f>IF(OR($B27="",$A27&lt;63),"",--MID('Key Analysis'!$C23,63,1))</f>
        <v/>
      </c>
      <c r="GT27" s="29" t="str">
        <f>IF(OR($B27="",$A27&lt;64),"",--MID('Key Analysis'!$C23,64,1))</f>
        <v/>
      </c>
      <c r="GU27" s="29" t="str">
        <f>IF(OR($B27="",$A27&lt;65),"",--MID('Key Analysis'!$C23,65,1))</f>
        <v/>
      </c>
      <c r="GV27" s="29" t="str">
        <f>IF(OR($B27="",$A27&lt;66),"",--MID('Key Analysis'!$C23,66,1))</f>
        <v/>
      </c>
      <c r="GW27" s="29" t="str">
        <f>IF(OR($B27="",$A27&lt;67),"",--MID('Key Analysis'!$C23,67,1))</f>
        <v/>
      </c>
      <c r="GX27" s="29" t="str">
        <f>IF(OR($B27="",$A27&lt;68),"",--MID('Key Analysis'!$C23,68,1))</f>
        <v/>
      </c>
      <c r="GY27" s="29" t="str">
        <f>IF(OR($B27="",$A27&lt;69),"",--MID('Key Analysis'!$C23,69,1))</f>
        <v/>
      </c>
      <c r="GZ27" s="29" t="str">
        <f>IF(OR($B27="",$A27&lt;70),"",--MID('Key Analysis'!$C23,70,1))</f>
        <v/>
      </c>
      <c r="HA27" s="29" t="str">
        <f>IF(OR($B27="",$A27&lt;71),"",--MID('Key Analysis'!$C23,71,1))</f>
        <v/>
      </c>
      <c r="HB27" s="29" t="str">
        <f>IF(OR($B27="",$A27&lt;72),"",--MID('Key Analysis'!$C23,72,1))</f>
        <v/>
      </c>
      <c r="HC27" s="29" t="str">
        <f>IF(OR($B27="",$A27&lt;73),"",--MID('Key Analysis'!$C23,73,1))</f>
        <v/>
      </c>
      <c r="HD27" s="29" t="str">
        <f>IF(OR($B27="",$A27&lt;74),"",--MID('Key Analysis'!$C23,74,1))</f>
        <v/>
      </c>
      <c r="HE27" s="29" t="str">
        <f>IF(OR($B27="",$A27&lt;75),"",--MID('Key Analysis'!$C23,75,1))</f>
        <v/>
      </c>
      <c r="HF27" s="29" t="str">
        <f>IF(OR($B27="",$A27&lt;76),"",--MID('Key Analysis'!$C23,76,1))</f>
        <v/>
      </c>
      <c r="HG27" s="29" t="str">
        <f>IF(OR($B27="",$A27&lt;77),"",--MID('Key Analysis'!$C23,77,1))</f>
        <v/>
      </c>
      <c r="HH27" s="29" t="str">
        <f>IF(OR($B27="",$A27&lt;78),"",--MID('Key Analysis'!$C23,78,1))</f>
        <v/>
      </c>
      <c r="HI27" s="29" t="str">
        <f>IF(OR($B27="",$A27&lt;79),"",--MID('Key Analysis'!$C23,79,1))</f>
        <v/>
      </c>
      <c r="HJ27" s="29" t="str">
        <f>IF(OR($B27="",$A27&lt;80),"",--MID('Key Analysis'!$C23,80,1))</f>
        <v/>
      </c>
      <c r="HK27" s="29" t="str">
        <f>IF(OR($B27="",$A27&lt;81),"",--MID('Key Analysis'!$C23,81,1))</f>
        <v/>
      </c>
      <c r="HL27" s="29" t="str">
        <f>IF(OR($B27="",$A27&lt;82),"",--MID('Key Analysis'!$C23,82,1))</f>
        <v/>
      </c>
      <c r="HM27" s="29" t="str">
        <f>IF(OR($B27="",$A27&lt;83),"",--MID('Key Analysis'!$C23,83,1))</f>
        <v/>
      </c>
      <c r="HN27" s="29" t="str">
        <f>IF(OR($B27="",$A27&lt;84),"",--MID('Key Analysis'!$C23,84,1))</f>
        <v/>
      </c>
      <c r="HO27" s="29" t="str">
        <f>IF(OR($B27="",$A27&lt;85),"",--MID('Key Analysis'!$C23,85,1))</f>
        <v/>
      </c>
      <c r="HP27" s="29" t="str">
        <f>IF(OR($B27="",$A27&lt;86),"",--MID('Key Analysis'!$C23,86,1))</f>
        <v/>
      </c>
      <c r="HQ27" s="29" t="str">
        <f>IF(OR($B27="",$A27&lt;87),"",--MID('Key Analysis'!$C23,87,1))</f>
        <v/>
      </c>
      <c r="HR27" s="29" t="str">
        <f>IF(OR($B27="",$A27&lt;88),"",--MID('Key Analysis'!$C23,88,1))</f>
        <v/>
      </c>
      <c r="HS27" s="29" t="str">
        <f>IF(OR($B27="",$A27&lt;89),"",--MID('Key Analysis'!$C23,89,1))</f>
        <v/>
      </c>
      <c r="HT27" s="29" t="str">
        <f>IF(OR($B27="",$A27&lt;90),"",--MID('Key Analysis'!$C23,90,1))</f>
        <v/>
      </c>
      <c r="HU27" s="29" t="str">
        <f>IF(OR($B27="",$A27&lt;91),"",--MID('Key Analysis'!$C23,91,1))</f>
        <v/>
      </c>
      <c r="HV27" s="29" t="str">
        <f>IF(OR($B27="",$A27&lt;92),"",--MID('Key Analysis'!$C23,92,1))</f>
        <v/>
      </c>
      <c r="HW27" s="29" t="str">
        <f>IF(OR($B27="",$A27&lt;93),"",--MID('Key Analysis'!$C23,93,1))</f>
        <v/>
      </c>
      <c r="HX27" s="29" t="str">
        <f>IF(OR($B27="",$A27&lt;94),"",--MID('Key Analysis'!$C23,94,1))</f>
        <v/>
      </c>
      <c r="HY27" s="29" t="str">
        <f>IF(OR($B27="",$A27&lt;95),"",--MID('Key Analysis'!$C23,95,1))</f>
        <v/>
      </c>
      <c r="HZ27" s="29" t="str">
        <f>IF(OR($B27="",$A27&lt;96),"",--MID('Key Analysis'!$C23,96,1))</f>
        <v/>
      </c>
      <c r="IA27" s="29" t="str">
        <f>IF(OR($B27="",$A27&lt;97),"",--MID('Key Analysis'!$C23,97,1))</f>
        <v/>
      </c>
      <c r="IB27" s="29" t="str">
        <f>IF(OR($B27="",$A27&lt;98),"",--MID('Key Analysis'!$C23,98,1))</f>
        <v/>
      </c>
      <c r="IC27" s="29" t="str">
        <f>IF(OR($B27="",$A27&lt;99),"",--MID('Key Analysis'!$C23,99,1))</f>
        <v/>
      </c>
      <c r="ID27" s="29" t="str">
        <f>IF(OR($B27="",$A27&lt;100),"",--MID('Key Analysis'!$C23,100,1))</f>
        <v/>
      </c>
      <c r="IE27" s="29" t="str">
        <f>IF(OR($B27="",$A27&lt;101),"",--MID('Key Analysis'!$C23,101,1))</f>
        <v/>
      </c>
      <c r="IF27" s="29" t="str">
        <f>IF(OR($B27="",$A27&lt;102),"",--MID('Key Analysis'!$C23,102,1))</f>
        <v/>
      </c>
      <c r="IG27" s="29" t="str">
        <f>IF(OR($B27="",$A27&lt;103),"",--MID('Key Analysis'!$C23,103,1))</f>
        <v/>
      </c>
      <c r="IH27" s="29" t="str">
        <f>IF(OR($B27="",$A27&lt;104),"",--MID('Key Analysis'!$C23,104,1))</f>
        <v/>
      </c>
      <c r="II27" s="29" t="str">
        <f>IF(OR($B27="",$A27&lt;105),"",--MID('Key Analysis'!$C23,105,1))</f>
        <v/>
      </c>
      <c r="IJ27" s="29" t="str">
        <f>IF(OR($B27="",$A27&lt;106),"",--MID('Key Analysis'!$C23,106,1))</f>
        <v/>
      </c>
      <c r="IK27" s="29" t="str">
        <f>IF(OR($B27="",$A27&lt;107),"",--MID('Key Analysis'!$C23,107,1))</f>
        <v/>
      </c>
      <c r="IL27" s="29" t="str">
        <f>IF(OR($B27="",$A27&lt;108),"",--MID('Key Analysis'!$C23,108,1))</f>
        <v/>
      </c>
      <c r="IM27" s="29" t="str">
        <f>IF(OR($B27="",$A27&lt;109),"",--MID('Key Analysis'!$C23,109,1))</f>
        <v/>
      </c>
      <c r="IN27" s="29" t="str">
        <f>IF(OR($B27="",$A27&lt;110),"",--MID('Key Analysis'!$C23,110,1))</f>
        <v/>
      </c>
      <c r="IO27" s="29" t="str">
        <f>IF(OR($B27="",$A27&lt;111),"",--MID('Key Analysis'!$C23,111,1))</f>
        <v/>
      </c>
      <c r="IP27" s="29" t="str">
        <f>IF(OR($B27="",$A27&lt;112),"",--MID('Key Analysis'!$C23,112,1))</f>
        <v/>
      </c>
      <c r="IQ27" s="29" t="str">
        <f>IF(OR($B27="",$A27&lt;113),"",--MID('Key Analysis'!$C23,113,1))</f>
        <v/>
      </c>
      <c r="IR27" s="29" t="str">
        <f>IF(OR($B27="",$A27&lt;114),"",--MID('Key Analysis'!$C23,114,1))</f>
        <v/>
      </c>
      <c r="IS27" s="29" t="str">
        <f>IF(OR($B27="",$A27&lt;115),"",--MID('Key Analysis'!$C23,115,1))</f>
        <v/>
      </c>
      <c r="IT27" s="29" t="str">
        <f>IF(OR($B27="",$A27&lt;116),"",--MID('Key Analysis'!$C23,116,1))</f>
        <v/>
      </c>
      <c r="IU27" s="29" t="str">
        <f>IF(OR($B27="",$A27&lt;117),"",--MID('Key Analysis'!$C23,117,1))</f>
        <v/>
      </c>
      <c r="IV27" s="29" t="str">
        <f>IF(OR($B27="",$A27&lt;118),"",--MID('Key Analysis'!$C23,118,1))</f>
        <v/>
      </c>
      <c r="IW27" s="29" t="str">
        <f>IF(OR($B27="",$A27&lt;119),"",--MID('Key Analysis'!$C23,119,1))</f>
        <v/>
      </c>
      <c r="IX27" s="29" t="str">
        <f>IF(OR($B27="",$A27&lt;120),"",--MID('Key Analysis'!$C23,120,1))</f>
        <v/>
      </c>
      <c r="IY27" s="29" t="str">
        <f>IF(OR($B27="",$A27&lt;121),"",--MID('Key Analysis'!$C23,121,1))</f>
        <v/>
      </c>
      <c r="IZ27" s="29" t="str">
        <f>IF(OR($B27="",$A27&lt;122),"",--MID('Key Analysis'!$C23,122,1))</f>
        <v/>
      </c>
      <c r="JA27" s="29" t="str">
        <f>IF(OR($B27="",$A27&lt;123),"",--MID('Key Analysis'!$C23,123,1))</f>
        <v/>
      </c>
      <c r="JB27" s="29" t="str">
        <f>IF(OR($B27="",$A27&lt;124),"",--MID('Key Analysis'!$C23,124,1))</f>
        <v/>
      </c>
      <c r="JC27" s="29" t="str">
        <f>IF(OR($B27="",$A27&lt;125),"",--MID('Key Analysis'!$C23,125,1))</f>
        <v/>
      </c>
      <c r="JD27" s="29" t="str">
        <f>IF(OR($B27="",$A27&lt;126),"",--MID('Key Analysis'!$C23,126,1))</f>
        <v/>
      </c>
      <c r="JE27" s="29" t="str">
        <f>IF(OR($B27="",$A27&lt;127),"",--MID('Key Analysis'!$C23,127,1))</f>
        <v/>
      </c>
      <c r="JF27" s="29" t="str">
        <f>IF(OR($B27="",$A27&lt;128),"",--MID('Key Analysis'!$C23,128,1))</f>
        <v/>
      </c>
      <c r="JG27" s="29" t="str">
        <f>IF(OR($B27="",$A27&lt;129),"",--MID('Key Analysis'!$C23,129,1))</f>
        <v/>
      </c>
      <c r="JH27" s="29" t="str">
        <f>IF(OR($B27="",$A27&lt;130),"",--MID('Key Analysis'!$C23,130,1))</f>
        <v/>
      </c>
      <c r="JI27" s="29" t="str">
        <f>IF(OR($B27="",$A27&lt;131),"",--MID('Key Analysis'!$C23,131,1))</f>
        <v/>
      </c>
      <c r="JJ27" s="29" t="str">
        <f>IF(OR($B27="",$A27&lt;132),"",--MID('Key Analysis'!$C23,132,1))</f>
        <v/>
      </c>
      <c r="JK27" s="29" t="str">
        <f>IF(OR($B27="",$A27&lt;133),"",--MID('Key Analysis'!$C23,133,1))</f>
        <v/>
      </c>
      <c r="JL27" s="29" t="str">
        <f>IF(OR($B27="",$A27&lt;134),"",--MID('Key Analysis'!$C23,134,1))</f>
        <v/>
      </c>
      <c r="JM27" s="29" t="str">
        <f>IF(OR($B27="",$A27&lt;135),"",--MID('Key Analysis'!$C23,135,1))</f>
        <v/>
      </c>
    </row>
    <row r="28" spans="1:273" x14ac:dyDescent="0.25">
      <c r="A28" s="21">
        <f>'Key Analysis'!A24</f>
        <v>23</v>
      </c>
      <c r="B28" s="30" t="str">
        <f>'Key Analysis'!B24</f>
        <v>556e52</v>
      </c>
      <c r="C28" s="29">
        <f>IF(OR($B28="",$A28&lt;=0),"",--MID('Key Analysis'!$C24,$A28-0,1))</f>
        <v>0</v>
      </c>
      <c r="D28" s="29">
        <f>IF(OR($B28="",$A28&lt;=1),"",--MID('Key Analysis'!$C24,$A28-1,1))</f>
        <v>1</v>
      </c>
      <c r="E28" s="29">
        <f>IF(OR($B28="",$A28&lt;=2),"",--MID('Key Analysis'!$C24,$A28-2,1))</f>
        <v>0</v>
      </c>
      <c r="F28" s="29">
        <f>IF(OR($B28="",$A28&lt;=3),"",--MID('Key Analysis'!$C24,$A28-3,1))</f>
        <v>0</v>
      </c>
      <c r="G28" s="29">
        <f>IF(OR($B28="",$A28&lt;=4),"",--MID('Key Analysis'!$C24,$A28-4,1))</f>
        <v>1</v>
      </c>
      <c r="H28" s="29">
        <f>IF(OR($B28="",$A28&lt;=5),"",--MID('Key Analysis'!$C24,$A28-5,1))</f>
        <v>0</v>
      </c>
      <c r="I28" s="29">
        <f>IF(OR($B28="",$A28&lt;=6),"",--MID('Key Analysis'!$C24,$A28-6,1))</f>
        <v>1</v>
      </c>
      <c r="J28" s="29">
        <f>IF(OR($B28="",$A28&lt;=7),"",--MID('Key Analysis'!$C24,$A28-7,1))</f>
        <v>0</v>
      </c>
      <c r="K28" s="29">
        <f>IF(OR($B28="",$A28&lt;=8),"",--MID('Key Analysis'!$C24,$A28-8,1))</f>
        <v>0</v>
      </c>
      <c r="L28" s="29">
        <f>IF(OR($B28="",$A28&lt;=9),"",--MID('Key Analysis'!$C24,$A28-9,1))</f>
        <v>1</v>
      </c>
      <c r="M28" s="29">
        <f>IF(OR($B28="",$A28&lt;=10),"",--MID('Key Analysis'!$C24,$A28-10,1))</f>
        <v>1</v>
      </c>
      <c r="N28" s="29">
        <f>IF(OR($B28="",$A28&lt;=11),"",--MID('Key Analysis'!$C24,$A28-11,1))</f>
        <v>1</v>
      </c>
      <c r="O28" s="29">
        <f>IF(OR($B28="",$A28&lt;=12),"",--MID('Key Analysis'!$C24,$A28-12,1))</f>
        <v>0</v>
      </c>
      <c r="P28" s="29">
        <f>IF(OR($B28="",$A28&lt;=13),"",--MID('Key Analysis'!$C24,$A28-13,1))</f>
        <v>1</v>
      </c>
      <c r="Q28" s="29">
        <f>IF(OR($B28="",$A28&lt;=14),"",--MID('Key Analysis'!$C24,$A28-14,1))</f>
        <v>1</v>
      </c>
      <c r="R28" s="29">
        <f>IF(OR($B28="",$A28&lt;=15),"",--MID('Key Analysis'!$C24,$A28-15,1))</f>
        <v>0</v>
      </c>
      <c r="S28" s="29">
        <f>IF(OR($B28="",$A28&lt;=16),"",--MID('Key Analysis'!$C24,$A28-16,1))</f>
        <v>1</v>
      </c>
      <c r="T28" s="29">
        <f>IF(OR($B28="",$A28&lt;=17),"",--MID('Key Analysis'!$C24,$A28-17,1))</f>
        <v>0</v>
      </c>
      <c r="U28" s="29">
        <f>IF(OR($B28="",$A28&lt;=18),"",--MID('Key Analysis'!$C24,$A28-18,1))</f>
        <v>1</v>
      </c>
      <c r="V28" s="29">
        <f>IF(OR($B28="",$A28&lt;=19),"",--MID('Key Analysis'!$C24,$A28-19,1))</f>
        <v>0</v>
      </c>
      <c r="W28" s="29">
        <f>IF(OR($B28="",$A28&lt;=20),"",--MID('Key Analysis'!$C24,$A28-20,1))</f>
        <v>1</v>
      </c>
      <c r="X28" s="29">
        <f>IF(OR($B28="",$A28&lt;=21),"",--MID('Key Analysis'!$C24,$A28-21,1))</f>
        <v>0</v>
      </c>
      <c r="Y28" s="29">
        <f>IF(OR($B28="",$A28&lt;=22),"",--MID('Key Analysis'!$C24,$A28-22,1))</f>
        <v>1</v>
      </c>
      <c r="Z28" s="29" t="str">
        <f>IF(OR($B28="",$A28&lt;=23),"",--MID('Key Analysis'!$C24,$A28-23,1))</f>
        <v/>
      </c>
      <c r="AA28" s="29" t="str">
        <f>IF(OR($B28="",$A28&lt;=24),"",--MID('Key Analysis'!$C24,$A28-24,1))</f>
        <v/>
      </c>
      <c r="AB28" s="29" t="str">
        <f>IF(OR($B28="",$A28&lt;=25),"",--MID('Key Analysis'!$C24,$A28-25,1))</f>
        <v/>
      </c>
      <c r="AC28" s="29" t="str">
        <f>IF(OR($B28="",$A28&lt;=26),"",--MID('Key Analysis'!$C24,$A28-26,1))</f>
        <v/>
      </c>
      <c r="AD28" s="29" t="str">
        <f>IF(OR($B28="",$A28&lt;=27),"",--MID('Key Analysis'!$C24,$A28-27,1))</f>
        <v/>
      </c>
      <c r="AE28" s="29" t="str">
        <f>IF(OR($B28="",$A28&lt;=28),"",--MID('Key Analysis'!$C24,$A28-28,1))</f>
        <v/>
      </c>
      <c r="AF28" s="29" t="str">
        <f>IF(OR($B28="",$A28&lt;=29),"",--MID('Key Analysis'!$C24,$A28-29,1))</f>
        <v/>
      </c>
      <c r="AG28" s="29" t="str">
        <f>IF(OR($B28="",$A28&lt;=30),"",--MID('Key Analysis'!$C24,$A28-30,1))</f>
        <v/>
      </c>
      <c r="AH28" s="29" t="str">
        <f>IF(OR($B28="",$A28&lt;=31),"",--MID('Key Analysis'!$C24,$A28-31,1))</f>
        <v/>
      </c>
      <c r="AI28" s="29" t="str">
        <f>IF(OR($B28="",$A28&lt;=32),"",--MID('Key Analysis'!$C24,$A28-32,1))</f>
        <v/>
      </c>
      <c r="AJ28" s="29" t="str">
        <f>IF(OR($B28="",$A28&lt;=33),"",--MID('Key Analysis'!$C24,$A28-33,1))</f>
        <v/>
      </c>
      <c r="AK28" s="29" t="str">
        <f>IF(OR($B28="",$A28&lt;=34),"",--MID('Key Analysis'!$C24,$A28-34,1))</f>
        <v/>
      </c>
      <c r="AL28" s="29" t="str">
        <f>IF(OR($B28="",$A28&lt;=35),"",--MID('Key Analysis'!$C24,$A28-35,1))</f>
        <v/>
      </c>
      <c r="AM28" s="29" t="str">
        <f>IF(OR($B28="",$A28&lt;=36),"",--MID('Key Analysis'!$C24,$A28-36,1))</f>
        <v/>
      </c>
      <c r="AN28" s="29" t="str">
        <f>IF(OR($B28="",$A28&lt;=37),"",--MID('Key Analysis'!$C24,$A28-37,1))</f>
        <v/>
      </c>
      <c r="AO28" s="29" t="str">
        <f>IF(OR($B28="",$A28&lt;=38),"",--MID('Key Analysis'!$C24,$A28-38,1))</f>
        <v/>
      </c>
      <c r="AP28" s="29" t="str">
        <f>IF(OR($B28="",$A28&lt;=39),"",--MID('Key Analysis'!$C24,$A28-39,1))</f>
        <v/>
      </c>
      <c r="AQ28" s="29" t="str">
        <f>IF(OR($B28="",$A28&lt;=40),"",--MID('Key Analysis'!$C24,$A28-40,1))</f>
        <v/>
      </c>
      <c r="AR28" s="29" t="str">
        <f>IF(OR($B28="",$A28&lt;=41),"",--MID('Key Analysis'!$C24,$A28-41,1))</f>
        <v/>
      </c>
      <c r="AS28" s="29" t="str">
        <f>IF(OR($B28="",$A28&lt;=42),"",--MID('Key Analysis'!$C24,$A28-42,1))</f>
        <v/>
      </c>
      <c r="AT28" s="29" t="str">
        <f>IF(OR($B28="",$A28&lt;=43),"",--MID('Key Analysis'!$C24,$A28-43,1))</f>
        <v/>
      </c>
      <c r="AU28" s="29" t="str">
        <f>IF(OR($B28="",$A28&lt;=44),"",--MID('Key Analysis'!$C24,$A28-44,1))</f>
        <v/>
      </c>
      <c r="AV28" s="29" t="str">
        <f>IF(OR($B28="",$A28&lt;=45),"",--MID('Key Analysis'!$C24,$A28-45,1))</f>
        <v/>
      </c>
      <c r="AW28" s="29" t="str">
        <f>IF(OR($B28="",$A28&lt;=46),"",--MID('Key Analysis'!$C24,$A28-46,1))</f>
        <v/>
      </c>
      <c r="AX28" s="29" t="str">
        <f>IF(OR($B28="",$A28&lt;=47),"",--MID('Key Analysis'!$C24,$A28-47,1))</f>
        <v/>
      </c>
      <c r="AY28" s="29" t="str">
        <f>IF(OR($B28="",$A28&lt;=48),"",--MID('Key Analysis'!$C24,$A28-48,1))</f>
        <v/>
      </c>
      <c r="AZ28" s="29" t="str">
        <f>IF(OR($B28="",$A28&lt;=49),"",--MID('Key Analysis'!$C24,$A28-49,1))</f>
        <v/>
      </c>
      <c r="BA28" s="29" t="str">
        <f>IF(OR($B28="",$A28&lt;=50),"",--MID('Key Analysis'!$C24,$A28-50,1))</f>
        <v/>
      </c>
      <c r="BB28" s="29" t="str">
        <f>IF(OR($B28="",$A28&lt;=51),"",--MID('Key Analysis'!$C24,$A28-51,1))</f>
        <v/>
      </c>
      <c r="BC28" s="29" t="str">
        <f>IF(OR($B28="",$A28&lt;=52),"",--MID('Key Analysis'!$C24,$A28-52,1))</f>
        <v/>
      </c>
      <c r="BD28" s="29" t="str">
        <f>IF(OR($B28="",$A28&lt;=53),"",--MID('Key Analysis'!$C24,$A28-53,1))</f>
        <v/>
      </c>
      <c r="BE28" s="29" t="str">
        <f>IF(OR($B28="",$A28&lt;=54),"",--MID('Key Analysis'!$C24,$A28-54,1))</f>
        <v/>
      </c>
      <c r="BF28" s="29" t="str">
        <f>IF(OR($B28="",$A28&lt;=55),"",--MID('Key Analysis'!$C24,$A28-55,1))</f>
        <v/>
      </c>
      <c r="BG28" s="29" t="str">
        <f>IF(OR($B28="",$A28&lt;=56),"",--MID('Key Analysis'!$C24,$A28-56,1))</f>
        <v/>
      </c>
      <c r="BH28" s="29" t="str">
        <f>IF(OR($B28="",$A28&lt;=57),"",--MID('Key Analysis'!$C24,$A28-57,1))</f>
        <v/>
      </c>
      <c r="BI28" s="29" t="str">
        <f>IF(OR($B28="",$A28&lt;=58),"",--MID('Key Analysis'!$C24,$A28-58,1))</f>
        <v/>
      </c>
      <c r="BJ28" s="29" t="str">
        <f>IF(OR($B28="",$A28&lt;=59),"",--MID('Key Analysis'!$C24,$A28-59,1))</f>
        <v/>
      </c>
      <c r="BK28" s="29" t="str">
        <f>IF(OR($B28="",$A28&lt;=60),"",--MID('Key Analysis'!$C24,$A28-60,1))</f>
        <v/>
      </c>
      <c r="BL28" s="29" t="str">
        <f>IF(OR($B28="",$A28&lt;=61),"",--MID('Key Analysis'!$C24,$A28-61,1))</f>
        <v/>
      </c>
      <c r="BM28" s="29" t="str">
        <f>IF(OR($B28="",$A28&lt;=62),"",--MID('Key Analysis'!$C24,$A28-62,1))</f>
        <v/>
      </c>
      <c r="BN28" s="29" t="str">
        <f>IF(OR($B28="",$A28&lt;=63),"",--MID('Key Analysis'!$C24,$A28-63,1))</f>
        <v/>
      </c>
      <c r="BO28" s="29" t="str">
        <f>IF(OR($B28="",$A28&lt;=64),"",--MID('Key Analysis'!$C24,$A28-64,1))</f>
        <v/>
      </c>
      <c r="BP28" s="29" t="str">
        <f>IF(OR($B28="",$A28&lt;=65),"",--MID('Key Analysis'!$C24,$A28-65,1))</f>
        <v/>
      </c>
      <c r="BQ28" s="29" t="str">
        <f>IF(OR($B28="",$A28&lt;=66),"",--MID('Key Analysis'!$C24,$A28-66,1))</f>
        <v/>
      </c>
      <c r="BR28" s="29" t="str">
        <f>IF(OR($B28="",$A28&lt;=67),"",--MID('Key Analysis'!$C24,$A28-67,1))</f>
        <v/>
      </c>
      <c r="BS28" s="29" t="str">
        <f>IF(OR($B28="",$A28&lt;=68),"",--MID('Key Analysis'!$C24,$A28-68,1))</f>
        <v/>
      </c>
      <c r="BT28" s="29" t="str">
        <f>IF(OR($B28="",$A28&lt;=69),"",--MID('Key Analysis'!$C24,$A28-69,1))</f>
        <v/>
      </c>
      <c r="BU28" s="29" t="str">
        <f>IF(OR($B28="",$A28&lt;=70),"",--MID('Key Analysis'!$C24,$A28-70,1))</f>
        <v/>
      </c>
      <c r="BV28" s="29" t="str">
        <f>IF(OR($B28="",$A28&lt;=71),"",--MID('Key Analysis'!$C24,$A28-71,1))</f>
        <v/>
      </c>
      <c r="BW28" s="29" t="str">
        <f>IF(OR($B28="",$A28&lt;=72),"",--MID('Key Analysis'!$C24,$A28-72,1))</f>
        <v/>
      </c>
      <c r="BX28" s="29" t="str">
        <f>IF(OR($B28="",$A28&lt;=73),"",--MID('Key Analysis'!$C24,$A28-73,1))</f>
        <v/>
      </c>
      <c r="BY28" s="29" t="str">
        <f>IF(OR($B28="",$A28&lt;=74),"",--MID('Key Analysis'!$C24,$A28-74,1))</f>
        <v/>
      </c>
      <c r="BZ28" s="29" t="str">
        <f>IF(OR($B28="",$A28&lt;=75),"",--MID('Key Analysis'!$C24,$A28-75,1))</f>
        <v/>
      </c>
      <c r="CA28" s="29" t="str">
        <f>IF(OR($B28="",$A28&lt;=76),"",--MID('Key Analysis'!$C24,$A28-76,1))</f>
        <v/>
      </c>
      <c r="CB28" s="29" t="str">
        <f>IF(OR($B28="",$A28&lt;=77),"",--MID('Key Analysis'!$C24,$A28-77,1))</f>
        <v/>
      </c>
      <c r="CC28" s="29" t="str">
        <f>IF(OR($B28="",$A28&lt;=78),"",--MID('Key Analysis'!$C24,$A28-78,1))</f>
        <v/>
      </c>
      <c r="CD28" s="29" t="str">
        <f>IF(OR($B28="",$A28&lt;=79),"",--MID('Key Analysis'!$C24,$A28-79,1))</f>
        <v/>
      </c>
      <c r="CE28" s="29" t="str">
        <f>IF(OR($B28="",$A28&lt;=80),"",--MID('Key Analysis'!$C24,$A28-80,1))</f>
        <v/>
      </c>
      <c r="CF28" s="29" t="str">
        <f>IF(OR($B28="",$A28&lt;=81),"",--MID('Key Analysis'!$C24,$A28-81,1))</f>
        <v/>
      </c>
      <c r="CG28" s="29" t="str">
        <f>IF(OR($B28="",$A28&lt;=82),"",--MID('Key Analysis'!$C24,$A28-82,1))</f>
        <v/>
      </c>
      <c r="CH28" s="29" t="str">
        <f>IF(OR($B28="",$A28&lt;=83),"",--MID('Key Analysis'!$C24,$A28-83,1))</f>
        <v/>
      </c>
      <c r="CI28" s="29" t="str">
        <f>IF(OR($B28="",$A28&lt;=84),"",--MID('Key Analysis'!$C24,$A28-84,1))</f>
        <v/>
      </c>
      <c r="CJ28" s="29" t="str">
        <f>IF(OR($B28="",$A28&lt;=85),"",--MID('Key Analysis'!$C24,$A28-85,1))</f>
        <v/>
      </c>
      <c r="CK28" s="29" t="str">
        <f>IF(OR($B28="",$A28&lt;=86),"",--MID('Key Analysis'!$C24,$A28-86,1))</f>
        <v/>
      </c>
      <c r="CL28" s="29" t="str">
        <f>IF(OR($B28="",$A28&lt;=87),"",--MID('Key Analysis'!$C24,$A28-87,1))</f>
        <v/>
      </c>
      <c r="CM28" s="29" t="str">
        <f>IF(OR($B28="",$A28&lt;=88),"",--MID('Key Analysis'!$C24,$A28-88,1))</f>
        <v/>
      </c>
      <c r="CN28" s="29" t="str">
        <f>IF(OR($B28="",$A28&lt;=89),"",--MID('Key Analysis'!$C24,$A28-89,1))</f>
        <v/>
      </c>
      <c r="CO28" s="29" t="str">
        <f>IF(OR($B28="",$A28&lt;=90),"",--MID('Key Analysis'!$C24,$A28-90,1))</f>
        <v/>
      </c>
      <c r="CP28" s="29" t="str">
        <f>IF(OR($B28="",$A28&lt;=91),"",--MID('Key Analysis'!$C24,$A28-91,1))</f>
        <v/>
      </c>
      <c r="CQ28" s="29" t="str">
        <f>IF(OR($B28="",$A28&lt;=92),"",--MID('Key Analysis'!$C24,$A28-92,1))</f>
        <v/>
      </c>
      <c r="CR28" s="29" t="str">
        <f>IF(OR($B28="",$A28&lt;=93),"",--MID('Key Analysis'!$C24,$A28-93,1))</f>
        <v/>
      </c>
      <c r="CS28" s="29" t="str">
        <f>IF(OR($B28="",$A28&lt;=94),"",--MID('Key Analysis'!$C24,$A28-94,1))</f>
        <v/>
      </c>
      <c r="CT28" s="29" t="str">
        <f>IF(OR($B28="",$A28&lt;=95),"",--MID('Key Analysis'!$C24,$A28-95,1))</f>
        <v/>
      </c>
      <c r="CU28" s="29" t="str">
        <f>IF(OR($B28="",$A28&lt;=96),"",--MID('Key Analysis'!$C24,$A28-96,1))</f>
        <v/>
      </c>
      <c r="CV28" s="29" t="str">
        <f>IF(OR($B28="",$A28&lt;=97),"",--MID('Key Analysis'!$C24,$A28-97,1))</f>
        <v/>
      </c>
      <c r="CW28" s="29" t="str">
        <f>IF(OR($B28="",$A28&lt;=98),"",--MID('Key Analysis'!$C24,$A28-98,1))</f>
        <v/>
      </c>
      <c r="CX28" s="29" t="str">
        <f>IF(OR($B28="",$A28&lt;=99),"",--MID('Key Analysis'!$C24,$A28-99,1))</f>
        <v/>
      </c>
      <c r="CY28" s="29" t="str">
        <f>IF(OR($B28="",$A28&lt;=100),"",--MID('Key Analysis'!$C24,$A28-100,1))</f>
        <v/>
      </c>
      <c r="CZ28" s="29" t="str">
        <f>IF(OR($B28="",$A28&lt;=101),"",--MID('Key Analysis'!$C24,$A28-101,1))</f>
        <v/>
      </c>
      <c r="DA28" s="29" t="str">
        <f>IF(OR($B28="",$A28&lt;=102),"",--MID('Key Analysis'!$C24,$A28-102,1))</f>
        <v/>
      </c>
      <c r="DB28" s="29" t="str">
        <f>IF(OR($B28="",$A28&lt;=103),"",--MID('Key Analysis'!$C24,$A28-103,1))</f>
        <v/>
      </c>
      <c r="DC28" s="29" t="str">
        <f>IF(OR($B28="",$A28&lt;=104),"",--MID('Key Analysis'!$C24,$A28-104,1))</f>
        <v/>
      </c>
      <c r="DD28" s="29" t="str">
        <f>IF(OR($B28="",$A28&lt;=105),"",--MID('Key Analysis'!$C24,$A28-105,1))</f>
        <v/>
      </c>
      <c r="DE28" s="29" t="str">
        <f>IF(OR($B28="",$A28&lt;=106),"",--MID('Key Analysis'!$C24,$A28-106,1))</f>
        <v/>
      </c>
      <c r="DF28" s="29" t="str">
        <f>IF(OR($B28="",$A28&lt;=107),"",--MID('Key Analysis'!$C24,$A28-107,1))</f>
        <v/>
      </c>
      <c r="DG28" s="29" t="str">
        <f>IF(OR($B28="",$A28&lt;=108),"",--MID('Key Analysis'!$C24,$A28-108,1))</f>
        <v/>
      </c>
      <c r="DH28" s="29" t="str">
        <f>IF(OR($B28="",$A28&lt;=109),"",--MID('Key Analysis'!$C24,$A28-109,1))</f>
        <v/>
      </c>
      <c r="DI28" s="29" t="str">
        <f>IF(OR($B28="",$A28&lt;=110),"",--MID('Key Analysis'!$C24,$A28-110,1))</f>
        <v/>
      </c>
      <c r="DJ28" s="29" t="str">
        <f>IF(OR($B28="",$A28&lt;=111),"",--MID('Key Analysis'!$C24,$A28-111,1))</f>
        <v/>
      </c>
      <c r="DK28" s="29" t="str">
        <f>IF(OR($B28="",$A28&lt;=112),"",--MID('Key Analysis'!$C24,$A28-112,1))</f>
        <v/>
      </c>
      <c r="DL28" s="29" t="str">
        <f>IF(OR($B28="",$A28&lt;=113),"",--MID('Key Analysis'!$C24,$A28-113,1))</f>
        <v/>
      </c>
      <c r="DM28" s="29" t="str">
        <f>IF(OR($B28="",$A28&lt;=114),"",--MID('Key Analysis'!$C24,$A28-114,1))</f>
        <v/>
      </c>
      <c r="DN28" s="29" t="str">
        <f>IF(OR($B28="",$A28&lt;=115),"",--MID('Key Analysis'!$C24,$A28-115,1))</f>
        <v/>
      </c>
      <c r="DO28" s="29" t="str">
        <f>IF(OR($B28="",$A28&lt;=116),"",--MID('Key Analysis'!$C24,$A28-116,1))</f>
        <v/>
      </c>
      <c r="DP28" s="29" t="str">
        <f>IF(OR($B28="",$A28&lt;=117),"",--MID('Key Analysis'!$C24,$A28-117,1))</f>
        <v/>
      </c>
      <c r="DQ28" s="29" t="str">
        <f>IF(OR($B28="",$A28&lt;=118),"",--MID('Key Analysis'!$C24,$A28-118,1))</f>
        <v/>
      </c>
      <c r="DR28" s="29" t="str">
        <f>IF(OR($B28="",$A28&lt;=119),"",--MID('Key Analysis'!$C24,$A28-119,1))</f>
        <v/>
      </c>
      <c r="DS28" s="29" t="str">
        <f>IF(OR($B28="",$A28&lt;=120),"",--MID('Key Analysis'!$C24,$A28-120,1))</f>
        <v/>
      </c>
      <c r="DT28" s="29" t="str">
        <f>IF(OR($B28="",$A28&lt;=121),"",--MID('Key Analysis'!$C24,$A28-121,1))</f>
        <v/>
      </c>
      <c r="DU28" s="29" t="str">
        <f>IF(OR($B28="",$A28&lt;=122),"",--MID('Key Analysis'!$C24,$A28-122,1))</f>
        <v/>
      </c>
      <c r="DV28" s="29" t="str">
        <f>IF(OR($B28="",$A28&lt;=123),"",--MID('Key Analysis'!$C24,$A28-123,1))</f>
        <v/>
      </c>
      <c r="DW28" s="29" t="str">
        <f>IF(OR($B28="",$A28&lt;=124),"",--MID('Key Analysis'!$C24,$A28-124,1))</f>
        <v/>
      </c>
      <c r="DX28" s="29" t="str">
        <f>IF(OR($B28="",$A28&lt;=125),"",--MID('Key Analysis'!$C24,$A28-125,1))</f>
        <v/>
      </c>
      <c r="DY28" s="29" t="str">
        <f>IF(OR($B28="",$A28&lt;=126),"",--MID('Key Analysis'!$C24,$A28-126,1))</f>
        <v/>
      </c>
      <c r="DZ28" s="29" t="str">
        <f>IF(OR($B28="",$A28&lt;=127),"",--MID('Key Analysis'!$C24,$A28-127,1))</f>
        <v/>
      </c>
      <c r="EA28" s="29" t="str">
        <f>IF(OR($B28="",$A28&lt;=128),"",--MID('Key Analysis'!$C24,$A28-128,1))</f>
        <v/>
      </c>
      <c r="EB28" s="29" t="str">
        <f>IF(OR($B28="",$A28&lt;=129),"",--MID('Key Analysis'!$C24,$A28-129,1))</f>
        <v/>
      </c>
      <c r="EC28" s="29" t="str">
        <f>IF(OR($B28="",$A28&lt;=130),"",--MID('Key Analysis'!$C24,$A28-130,1))</f>
        <v/>
      </c>
      <c r="ED28" s="29" t="str">
        <f>IF(OR($B28="",$A28&lt;=131),"",--MID('Key Analysis'!$C24,$A28-131,1))</f>
        <v/>
      </c>
      <c r="EE28" s="29" t="str">
        <f>IF(OR($B28="",$A28&lt;=132),"",--MID('Key Analysis'!$C24,$A28-132,1))</f>
        <v/>
      </c>
      <c r="EF28" s="29" t="str">
        <f>IF(OR($B28="",$A28&lt;=133),"",--MID('Key Analysis'!$C24,$A28-133,1))</f>
        <v/>
      </c>
      <c r="EG28" s="29" t="str">
        <f>IF(OR($B28="",$A28&lt;=134),"",--MID('Key Analysis'!$C24,$A28-134,1))</f>
        <v/>
      </c>
      <c r="EH28" s="29"/>
      <c r="EI28" s="29">
        <f>IF(OR($B28="",$A28&lt;1),"",--MID('Key Analysis'!$C24,1,1))</f>
        <v>1</v>
      </c>
      <c r="EJ28" s="29">
        <f>IF(OR($B28="",$A28&lt;2),"",--MID('Key Analysis'!$C24,2,1))</f>
        <v>0</v>
      </c>
      <c r="EK28" s="29">
        <f>IF(OR($B28="",$A28&lt;3),"",--MID('Key Analysis'!$C24,3,1))</f>
        <v>1</v>
      </c>
      <c r="EL28" s="29">
        <f>IF(OR($B28="",$A28&lt;4),"",--MID('Key Analysis'!$C24,4,1))</f>
        <v>0</v>
      </c>
      <c r="EM28" s="29">
        <f>IF(OR($B28="",$A28&lt;5),"",--MID('Key Analysis'!$C24,5,1))</f>
        <v>1</v>
      </c>
      <c r="EN28" s="29">
        <f>IF(OR($B28="",$A28&lt;6),"",--MID('Key Analysis'!$C24,6,1))</f>
        <v>0</v>
      </c>
      <c r="EO28" s="29">
        <f>IF(OR($B28="",$A28&lt;7),"",--MID('Key Analysis'!$C24,7,1))</f>
        <v>1</v>
      </c>
      <c r="EP28" s="29">
        <f>IF(OR($B28="",$A28&lt;8),"",--MID('Key Analysis'!$C24,8,1))</f>
        <v>0</v>
      </c>
      <c r="EQ28" s="29">
        <f>IF(OR($B28="",$A28&lt;9),"",--MID('Key Analysis'!$C24,9,1))</f>
        <v>1</v>
      </c>
      <c r="ER28" s="29">
        <f>IF(OR($B28="",$A28&lt;10),"",--MID('Key Analysis'!$C24,10,1))</f>
        <v>1</v>
      </c>
      <c r="ES28" s="29">
        <f>IF(OR($B28="",$A28&lt;11),"",--MID('Key Analysis'!$C24,11,1))</f>
        <v>0</v>
      </c>
      <c r="ET28" s="29">
        <f>IF(OR($B28="",$A28&lt;12),"",--MID('Key Analysis'!$C24,12,1))</f>
        <v>1</v>
      </c>
      <c r="EU28" s="29">
        <f>IF(OR($B28="",$A28&lt;13),"",--MID('Key Analysis'!$C24,13,1))</f>
        <v>1</v>
      </c>
      <c r="EV28" s="29">
        <f>IF(OR($B28="",$A28&lt;14),"",--MID('Key Analysis'!$C24,14,1))</f>
        <v>1</v>
      </c>
      <c r="EW28" s="29">
        <f>IF(OR($B28="",$A28&lt;15),"",--MID('Key Analysis'!$C24,15,1))</f>
        <v>0</v>
      </c>
      <c r="EX28" s="29">
        <f>IF(OR($B28="",$A28&lt;16),"",--MID('Key Analysis'!$C24,16,1))</f>
        <v>0</v>
      </c>
      <c r="EY28" s="29">
        <f>IF(OR($B28="",$A28&lt;17),"",--MID('Key Analysis'!$C24,17,1))</f>
        <v>1</v>
      </c>
      <c r="EZ28" s="29">
        <f>IF(OR($B28="",$A28&lt;18),"",--MID('Key Analysis'!$C24,18,1))</f>
        <v>0</v>
      </c>
      <c r="FA28" s="29">
        <f>IF(OR($B28="",$A28&lt;19),"",--MID('Key Analysis'!$C24,19,1))</f>
        <v>1</v>
      </c>
      <c r="FB28" s="29">
        <f>IF(OR($B28="",$A28&lt;20),"",--MID('Key Analysis'!$C24,20,1))</f>
        <v>0</v>
      </c>
      <c r="FC28" s="29">
        <f>IF(OR($B28="",$A28&lt;21),"",--MID('Key Analysis'!$C24,21,1))</f>
        <v>0</v>
      </c>
      <c r="FD28" s="29">
        <f>IF(OR($B28="",$A28&lt;22),"",--MID('Key Analysis'!$C24,22,1))</f>
        <v>1</v>
      </c>
      <c r="FE28" s="29">
        <f>IF(OR($B28="",$A28&lt;23),"",--MID('Key Analysis'!$C24,23,1))</f>
        <v>0</v>
      </c>
      <c r="FF28" s="29" t="str">
        <f>IF(OR($B28="",$A28&lt;24),"",--MID('Key Analysis'!$C24,24,1))</f>
        <v/>
      </c>
      <c r="FG28" s="29" t="str">
        <f>IF(OR($B28="",$A28&lt;25),"",--MID('Key Analysis'!$C24,25,1))</f>
        <v/>
      </c>
      <c r="FH28" s="29" t="str">
        <f>IF(OR($B28="",$A28&lt;26),"",--MID('Key Analysis'!$C24,26,1))</f>
        <v/>
      </c>
      <c r="FI28" s="29" t="str">
        <f>IF(OR($B28="",$A28&lt;27),"",--MID('Key Analysis'!$C24,27,1))</f>
        <v/>
      </c>
      <c r="FJ28" s="29" t="str">
        <f>IF(OR($B28="",$A28&lt;28),"",--MID('Key Analysis'!$C24,28,1))</f>
        <v/>
      </c>
      <c r="FK28" s="29" t="str">
        <f>IF(OR($B28="",$A28&lt;29),"",--MID('Key Analysis'!$C24,29,1))</f>
        <v/>
      </c>
      <c r="FL28" s="29" t="str">
        <f>IF(OR($B28="",$A28&lt;30),"",--MID('Key Analysis'!$C24,30,1))</f>
        <v/>
      </c>
      <c r="FM28" s="29" t="str">
        <f>IF(OR($B28="",$A28&lt;31),"",--MID('Key Analysis'!$C24,31,1))</f>
        <v/>
      </c>
      <c r="FN28" s="29" t="str">
        <f>IF(OR($B28="",$A28&lt;32),"",--MID('Key Analysis'!$C24,32,1))</f>
        <v/>
      </c>
      <c r="FO28" s="29" t="str">
        <f>IF(OR($B28="",$A28&lt;33),"",--MID('Key Analysis'!$C24,33,1))</f>
        <v/>
      </c>
      <c r="FP28" s="29" t="str">
        <f>IF(OR($B28="",$A28&lt;34),"",--MID('Key Analysis'!$C24,34,1))</f>
        <v/>
      </c>
      <c r="FQ28" s="29" t="str">
        <f>IF(OR($B28="",$A28&lt;35),"",--MID('Key Analysis'!$C24,35,1))</f>
        <v/>
      </c>
      <c r="FR28" s="29" t="str">
        <f>IF(OR($B28="",$A28&lt;36),"",--MID('Key Analysis'!$C24,36,1))</f>
        <v/>
      </c>
      <c r="FS28" s="29" t="str">
        <f>IF(OR($B28="",$A28&lt;37),"",--MID('Key Analysis'!$C24,37,1))</f>
        <v/>
      </c>
      <c r="FT28" s="29" t="str">
        <f>IF(OR($B28="",$A28&lt;38),"",--MID('Key Analysis'!$C24,38,1))</f>
        <v/>
      </c>
      <c r="FU28" s="29" t="str">
        <f>IF(OR($B28="",$A28&lt;39),"",--MID('Key Analysis'!$C24,39,1))</f>
        <v/>
      </c>
      <c r="FV28" s="29" t="str">
        <f>IF(OR($B28="",$A28&lt;40),"",--MID('Key Analysis'!$C24,40,1))</f>
        <v/>
      </c>
      <c r="FW28" s="29" t="str">
        <f>IF(OR($B28="",$A28&lt;41),"",--MID('Key Analysis'!$C24,41,1))</f>
        <v/>
      </c>
      <c r="FX28" s="29" t="str">
        <f>IF(OR($B28="",$A28&lt;42),"",--MID('Key Analysis'!$C24,42,1))</f>
        <v/>
      </c>
      <c r="FY28" s="29" t="str">
        <f>IF(OR($B28="",$A28&lt;43),"",--MID('Key Analysis'!$C24,43,1))</f>
        <v/>
      </c>
      <c r="FZ28" s="29" t="str">
        <f>IF(OR($B28="",$A28&lt;44),"",--MID('Key Analysis'!$C24,44,1))</f>
        <v/>
      </c>
      <c r="GA28" s="29" t="str">
        <f>IF(OR($B28="",$A28&lt;45),"",--MID('Key Analysis'!$C24,45,1))</f>
        <v/>
      </c>
      <c r="GB28" s="29" t="str">
        <f>IF(OR($B28="",$A28&lt;46),"",--MID('Key Analysis'!$C24,46,1))</f>
        <v/>
      </c>
      <c r="GC28" s="29" t="str">
        <f>IF(OR($B28="",$A28&lt;47),"",--MID('Key Analysis'!$C24,47,1))</f>
        <v/>
      </c>
      <c r="GD28" s="29" t="str">
        <f>IF(OR($B28="",$A28&lt;48),"",--MID('Key Analysis'!$C24,48,1))</f>
        <v/>
      </c>
      <c r="GE28" s="29" t="str">
        <f>IF(OR($B28="",$A28&lt;49),"",--MID('Key Analysis'!$C24,49,1))</f>
        <v/>
      </c>
      <c r="GF28" s="29" t="str">
        <f>IF(OR($B28="",$A28&lt;50),"",--MID('Key Analysis'!$C24,50,1))</f>
        <v/>
      </c>
      <c r="GG28" s="29" t="str">
        <f>IF(OR($B28="",$A28&lt;51),"",--MID('Key Analysis'!$C24,51,1))</f>
        <v/>
      </c>
      <c r="GH28" s="29" t="str">
        <f>IF(OR($B28="",$A28&lt;52),"",--MID('Key Analysis'!$C24,52,1))</f>
        <v/>
      </c>
      <c r="GI28" s="29" t="str">
        <f>IF(OR($B28="",$A28&lt;53),"",--MID('Key Analysis'!$C24,53,1))</f>
        <v/>
      </c>
      <c r="GJ28" s="29" t="str">
        <f>IF(OR($B28="",$A28&lt;54),"",--MID('Key Analysis'!$C24,54,1))</f>
        <v/>
      </c>
      <c r="GK28" s="29" t="str">
        <f>IF(OR($B28="",$A28&lt;55),"",--MID('Key Analysis'!$C24,55,1))</f>
        <v/>
      </c>
      <c r="GL28" s="29" t="str">
        <f>IF(OR($B28="",$A28&lt;56),"",--MID('Key Analysis'!$C24,56,1))</f>
        <v/>
      </c>
      <c r="GM28" s="29" t="str">
        <f>IF(OR($B28="",$A28&lt;57),"",--MID('Key Analysis'!$C24,57,1))</f>
        <v/>
      </c>
      <c r="GN28" s="29" t="str">
        <f>IF(OR($B28="",$A28&lt;58),"",--MID('Key Analysis'!$C24,58,1))</f>
        <v/>
      </c>
      <c r="GO28" s="29" t="str">
        <f>IF(OR($B28="",$A28&lt;59),"",--MID('Key Analysis'!$C24,59,1))</f>
        <v/>
      </c>
      <c r="GP28" s="29" t="str">
        <f>IF(OR($B28="",$A28&lt;60),"",--MID('Key Analysis'!$C24,60,1))</f>
        <v/>
      </c>
      <c r="GQ28" s="29" t="str">
        <f>IF(OR($B28="",$A28&lt;61),"",--MID('Key Analysis'!$C24,61,1))</f>
        <v/>
      </c>
      <c r="GR28" s="29" t="str">
        <f>IF(OR($B28="",$A28&lt;62),"",--MID('Key Analysis'!$C24,62,1))</f>
        <v/>
      </c>
      <c r="GS28" s="29" t="str">
        <f>IF(OR($B28="",$A28&lt;63),"",--MID('Key Analysis'!$C24,63,1))</f>
        <v/>
      </c>
      <c r="GT28" s="29" t="str">
        <f>IF(OR($B28="",$A28&lt;64),"",--MID('Key Analysis'!$C24,64,1))</f>
        <v/>
      </c>
      <c r="GU28" s="29" t="str">
        <f>IF(OR($B28="",$A28&lt;65),"",--MID('Key Analysis'!$C24,65,1))</f>
        <v/>
      </c>
      <c r="GV28" s="29" t="str">
        <f>IF(OR($B28="",$A28&lt;66),"",--MID('Key Analysis'!$C24,66,1))</f>
        <v/>
      </c>
      <c r="GW28" s="29" t="str">
        <f>IF(OR($B28="",$A28&lt;67),"",--MID('Key Analysis'!$C24,67,1))</f>
        <v/>
      </c>
      <c r="GX28" s="29" t="str">
        <f>IF(OR($B28="",$A28&lt;68),"",--MID('Key Analysis'!$C24,68,1))</f>
        <v/>
      </c>
      <c r="GY28" s="29" t="str">
        <f>IF(OR($B28="",$A28&lt;69),"",--MID('Key Analysis'!$C24,69,1))</f>
        <v/>
      </c>
      <c r="GZ28" s="29" t="str">
        <f>IF(OR($B28="",$A28&lt;70),"",--MID('Key Analysis'!$C24,70,1))</f>
        <v/>
      </c>
      <c r="HA28" s="29" t="str">
        <f>IF(OR($B28="",$A28&lt;71),"",--MID('Key Analysis'!$C24,71,1))</f>
        <v/>
      </c>
      <c r="HB28" s="29" t="str">
        <f>IF(OR($B28="",$A28&lt;72),"",--MID('Key Analysis'!$C24,72,1))</f>
        <v/>
      </c>
      <c r="HC28" s="29" t="str">
        <f>IF(OR($B28="",$A28&lt;73),"",--MID('Key Analysis'!$C24,73,1))</f>
        <v/>
      </c>
      <c r="HD28" s="29" t="str">
        <f>IF(OR($B28="",$A28&lt;74),"",--MID('Key Analysis'!$C24,74,1))</f>
        <v/>
      </c>
      <c r="HE28" s="29" t="str">
        <f>IF(OR($B28="",$A28&lt;75),"",--MID('Key Analysis'!$C24,75,1))</f>
        <v/>
      </c>
      <c r="HF28" s="29" t="str">
        <f>IF(OR($B28="",$A28&lt;76),"",--MID('Key Analysis'!$C24,76,1))</f>
        <v/>
      </c>
      <c r="HG28" s="29" t="str">
        <f>IF(OR($B28="",$A28&lt;77),"",--MID('Key Analysis'!$C24,77,1))</f>
        <v/>
      </c>
      <c r="HH28" s="29" t="str">
        <f>IF(OR($B28="",$A28&lt;78),"",--MID('Key Analysis'!$C24,78,1))</f>
        <v/>
      </c>
      <c r="HI28" s="29" t="str">
        <f>IF(OR($B28="",$A28&lt;79),"",--MID('Key Analysis'!$C24,79,1))</f>
        <v/>
      </c>
      <c r="HJ28" s="29" t="str">
        <f>IF(OR($B28="",$A28&lt;80),"",--MID('Key Analysis'!$C24,80,1))</f>
        <v/>
      </c>
      <c r="HK28" s="29" t="str">
        <f>IF(OR($B28="",$A28&lt;81),"",--MID('Key Analysis'!$C24,81,1))</f>
        <v/>
      </c>
      <c r="HL28" s="29" t="str">
        <f>IF(OR($B28="",$A28&lt;82),"",--MID('Key Analysis'!$C24,82,1))</f>
        <v/>
      </c>
      <c r="HM28" s="29" t="str">
        <f>IF(OR($B28="",$A28&lt;83),"",--MID('Key Analysis'!$C24,83,1))</f>
        <v/>
      </c>
      <c r="HN28" s="29" t="str">
        <f>IF(OR($B28="",$A28&lt;84),"",--MID('Key Analysis'!$C24,84,1))</f>
        <v/>
      </c>
      <c r="HO28" s="29" t="str">
        <f>IF(OR($B28="",$A28&lt;85),"",--MID('Key Analysis'!$C24,85,1))</f>
        <v/>
      </c>
      <c r="HP28" s="29" t="str">
        <f>IF(OR($B28="",$A28&lt;86),"",--MID('Key Analysis'!$C24,86,1))</f>
        <v/>
      </c>
      <c r="HQ28" s="29" t="str">
        <f>IF(OR($B28="",$A28&lt;87),"",--MID('Key Analysis'!$C24,87,1))</f>
        <v/>
      </c>
      <c r="HR28" s="29" t="str">
        <f>IF(OR($B28="",$A28&lt;88),"",--MID('Key Analysis'!$C24,88,1))</f>
        <v/>
      </c>
      <c r="HS28" s="29" t="str">
        <f>IF(OR($B28="",$A28&lt;89),"",--MID('Key Analysis'!$C24,89,1))</f>
        <v/>
      </c>
      <c r="HT28" s="29" t="str">
        <f>IF(OR($B28="",$A28&lt;90),"",--MID('Key Analysis'!$C24,90,1))</f>
        <v/>
      </c>
      <c r="HU28" s="29" t="str">
        <f>IF(OR($B28="",$A28&lt;91),"",--MID('Key Analysis'!$C24,91,1))</f>
        <v/>
      </c>
      <c r="HV28" s="29" t="str">
        <f>IF(OR($B28="",$A28&lt;92),"",--MID('Key Analysis'!$C24,92,1))</f>
        <v/>
      </c>
      <c r="HW28" s="29" t="str">
        <f>IF(OR($B28="",$A28&lt;93),"",--MID('Key Analysis'!$C24,93,1))</f>
        <v/>
      </c>
      <c r="HX28" s="29" t="str">
        <f>IF(OR($B28="",$A28&lt;94),"",--MID('Key Analysis'!$C24,94,1))</f>
        <v/>
      </c>
      <c r="HY28" s="29" t="str">
        <f>IF(OR($B28="",$A28&lt;95),"",--MID('Key Analysis'!$C24,95,1))</f>
        <v/>
      </c>
      <c r="HZ28" s="29" t="str">
        <f>IF(OR($B28="",$A28&lt;96),"",--MID('Key Analysis'!$C24,96,1))</f>
        <v/>
      </c>
      <c r="IA28" s="29" t="str">
        <f>IF(OR($B28="",$A28&lt;97),"",--MID('Key Analysis'!$C24,97,1))</f>
        <v/>
      </c>
      <c r="IB28" s="29" t="str">
        <f>IF(OR($B28="",$A28&lt;98),"",--MID('Key Analysis'!$C24,98,1))</f>
        <v/>
      </c>
      <c r="IC28" s="29" t="str">
        <f>IF(OR($B28="",$A28&lt;99),"",--MID('Key Analysis'!$C24,99,1))</f>
        <v/>
      </c>
      <c r="ID28" s="29" t="str">
        <f>IF(OR($B28="",$A28&lt;100),"",--MID('Key Analysis'!$C24,100,1))</f>
        <v/>
      </c>
      <c r="IE28" s="29" t="str">
        <f>IF(OR($B28="",$A28&lt;101),"",--MID('Key Analysis'!$C24,101,1))</f>
        <v/>
      </c>
      <c r="IF28" s="29" t="str">
        <f>IF(OR($B28="",$A28&lt;102),"",--MID('Key Analysis'!$C24,102,1))</f>
        <v/>
      </c>
      <c r="IG28" s="29" t="str">
        <f>IF(OR($B28="",$A28&lt;103),"",--MID('Key Analysis'!$C24,103,1))</f>
        <v/>
      </c>
      <c r="IH28" s="29" t="str">
        <f>IF(OR($B28="",$A28&lt;104),"",--MID('Key Analysis'!$C24,104,1))</f>
        <v/>
      </c>
      <c r="II28" s="29" t="str">
        <f>IF(OR($B28="",$A28&lt;105),"",--MID('Key Analysis'!$C24,105,1))</f>
        <v/>
      </c>
      <c r="IJ28" s="29" t="str">
        <f>IF(OR($B28="",$A28&lt;106),"",--MID('Key Analysis'!$C24,106,1))</f>
        <v/>
      </c>
      <c r="IK28" s="29" t="str">
        <f>IF(OR($B28="",$A28&lt;107),"",--MID('Key Analysis'!$C24,107,1))</f>
        <v/>
      </c>
      <c r="IL28" s="29" t="str">
        <f>IF(OR($B28="",$A28&lt;108),"",--MID('Key Analysis'!$C24,108,1))</f>
        <v/>
      </c>
      <c r="IM28" s="29" t="str">
        <f>IF(OR($B28="",$A28&lt;109),"",--MID('Key Analysis'!$C24,109,1))</f>
        <v/>
      </c>
      <c r="IN28" s="29" t="str">
        <f>IF(OR($B28="",$A28&lt;110),"",--MID('Key Analysis'!$C24,110,1))</f>
        <v/>
      </c>
      <c r="IO28" s="29" t="str">
        <f>IF(OR($B28="",$A28&lt;111),"",--MID('Key Analysis'!$C24,111,1))</f>
        <v/>
      </c>
      <c r="IP28" s="29" t="str">
        <f>IF(OR($B28="",$A28&lt;112),"",--MID('Key Analysis'!$C24,112,1))</f>
        <v/>
      </c>
      <c r="IQ28" s="29" t="str">
        <f>IF(OR($B28="",$A28&lt;113),"",--MID('Key Analysis'!$C24,113,1))</f>
        <v/>
      </c>
      <c r="IR28" s="29" t="str">
        <f>IF(OR($B28="",$A28&lt;114),"",--MID('Key Analysis'!$C24,114,1))</f>
        <v/>
      </c>
      <c r="IS28" s="29" t="str">
        <f>IF(OR($B28="",$A28&lt;115),"",--MID('Key Analysis'!$C24,115,1))</f>
        <v/>
      </c>
      <c r="IT28" s="29" t="str">
        <f>IF(OR($B28="",$A28&lt;116),"",--MID('Key Analysis'!$C24,116,1))</f>
        <v/>
      </c>
      <c r="IU28" s="29" t="str">
        <f>IF(OR($B28="",$A28&lt;117),"",--MID('Key Analysis'!$C24,117,1))</f>
        <v/>
      </c>
      <c r="IV28" s="29" t="str">
        <f>IF(OR($B28="",$A28&lt;118),"",--MID('Key Analysis'!$C24,118,1))</f>
        <v/>
      </c>
      <c r="IW28" s="29" t="str">
        <f>IF(OR($B28="",$A28&lt;119),"",--MID('Key Analysis'!$C24,119,1))</f>
        <v/>
      </c>
      <c r="IX28" s="29" t="str">
        <f>IF(OR($B28="",$A28&lt;120),"",--MID('Key Analysis'!$C24,120,1))</f>
        <v/>
      </c>
      <c r="IY28" s="29" t="str">
        <f>IF(OR($B28="",$A28&lt;121),"",--MID('Key Analysis'!$C24,121,1))</f>
        <v/>
      </c>
      <c r="IZ28" s="29" t="str">
        <f>IF(OR($B28="",$A28&lt;122),"",--MID('Key Analysis'!$C24,122,1))</f>
        <v/>
      </c>
      <c r="JA28" s="29" t="str">
        <f>IF(OR($B28="",$A28&lt;123),"",--MID('Key Analysis'!$C24,123,1))</f>
        <v/>
      </c>
      <c r="JB28" s="29" t="str">
        <f>IF(OR($B28="",$A28&lt;124),"",--MID('Key Analysis'!$C24,124,1))</f>
        <v/>
      </c>
      <c r="JC28" s="29" t="str">
        <f>IF(OR($B28="",$A28&lt;125),"",--MID('Key Analysis'!$C24,125,1))</f>
        <v/>
      </c>
      <c r="JD28" s="29" t="str">
        <f>IF(OR($B28="",$A28&lt;126),"",--MID('Key Analysis'!$C24,126,1))</f>
        <v/>
      </c>
      <c r="JE28" s="29" t="str">
        <f>IF(OR($B28="",$A28&lt;127),"",--MID('Key Analysis'!$C24,127,1))</f>
        <v/>
      </c>
      <c r="JF28" s="29" t="str">
        <f>IF(OR($B28="",$A28&lt;128),"",--MID('Key Analysis'!$C24,128,1))</f>
        <v/>
      </c>
      <c r="JG28" s="29" t="str">
        <f>IF(OR($B28="",$A28&lt;129),"",--MID('Key Analysis'!$C24,129,1))</f>
        <v/>
      </c>
      <c r="JH28" s="29" t="str">
        <f>IF(OR($B28="",$A28&lt;130),"",--MID('Key Analysis'!$C24,130,1))</f>
        <v/>
      </c>
      <c r="JI28" s="29" t="str">
        <f>IF(OR($B28="",$A28&lt;131),"",--MID('Key Analysis'!$C24,131,1))</f>
        <v/>
      </c>
      <c r="JJ28" s="29" t="str">
        <f>IF(OR($B28="",$A28&lt;132),"",--MID('Key Analysis'!$C24,132,1))</f>
        <v/>
      </c>
      <c r="JK28" s="29" t="str">
        <f>IF(OR($B28="",$A28&lt;133),"",--MID('Key Analysis'!$C24,133,1))</f>
        <v/>
      </c>
      <c r="JL28" s="29" t="str">
        <f>IF(OR($B28="",$A28&lt;134),"",--MID('Key Analysis'!$C24,134,1))</f>
        <v/>
      </c>
      <c r="JM28" s="29" t="str">
        <f>IF(OR($B28="",$A28&lt;135),"",--MID('Key Analysis'!$C24,135,1))</f>
        <v/>
      </c>
    </row>
    <row r="29" spans="1:273" x14ac:dyDescent="0.25">
      <c r="A29" s="21">
        <f>'Key Analysis'!A25</f>
        <v>24</v>
      </c>
      <c r="B29" s="30" t="str">
        <f>'Key Analysis'!B25</f>
        <v>dc2a04</v>
      </c>
      <c r="C29" s="29">
        <f>IF(OR($B29="",$A29&lt;=0),"",--MID('Key Analysis'!$C25,$A29-0,1))</f>
        <v>0</v>
      </c>
      <c r="D29" s="29">
        <f>IF(OR($B29="",$A29&lt;=1),"",--MID('Key Analysis'!$C25,$A29-1,1))</f>
        <v>0</v>
      </c>
      <c r="E29" s="29">
        <f>IF(OR($B29="",$A29&lt;=2),"",--MID('Key Analysis'!$C25,$A29-2,1))</f>
        <v>1</v>
      </c>
      <c r="F29" s="29">
        <f>IF(OR($B29="",$A29&lt;=3),"",--MID('Key Analysis'!$C25,$A29-3,1))</f>
        <v>0</v>
      </c>
      <c r="G29" s="29">
        <f>IF(OR($B29="",$A29&lt;=4),"",--MID('Key Analysis'!$C25,$A29-4,1))</f>
        <v>0</v>
      </c>
      <c r="H29" s="29">
        <f>IF(OR($B29="",$A29&lt;=5),"",--MID('Key Analysis'!$C25,$A29-5,1))</f>
        <v>0</v>
      </c>
      <c r="I29" s="29">
        <f>IF(OR($B29="",$A29&lt;=6),"",--MID('Key Analysis'!$C25,$A29-6,1))</f>
        <v>0</v>
      </c>
      <c r="J29" s="29">
        <f>IF(OR($B29="",$A29&lt;=7),"",--MID('Key Analysis'!$C25,$A29-7,1))</f>
        <v>0</v>
      </c>
      <c r="K29" s="29">
        <f>IF(OR($B29="",$A29&lt;=8),"",--MID('Key Analysis'!$C25,$A29-8,1))</f>
        <v>0</v>
      </c>
      <c r="L29" s="29">
        <f>IF(OR($B29="",$A29&lt;=9),"",--MID('Key Analysis'!$C25,$A29-9,1))</f>
        <v>1</v>
      </c>
      <c r="M29" s="29">
        <f>IF(OR($B29="",$A29&lt;=10),"",--MID('Key Analysis'!$C25,$A29-10,1))</f>
        <v>0</v>
      </c>
      <c r="N29" s="29">
        <f>IF(OR($B29="",$A29&lt;=11),"",--MID('Key Analysis'!$C25,$A29-11,1))</f>
        <v>1</v>
      </c>
      <c r="O29" s="29">
        <f>IF(OR($B29="",$A29&lt;=12),"",--MID('Key Analysis'!$C25,$A29-12,1))</f>
        <v>0</v>
      </c>
      <c r="P29" s="29">
        <f>IF(OR($B29="",$A29&lt;=13),"",--MID('Key Analysis'!$C25,$A29-13,1))</f>
        <v>1</v>
      </c>
      <c r="Q29" s="29">
        <f>IF(OR($B29="",$A29&lt;=14),"",--MID('Key Analysis'!$C25,$A29-14,1))</f>
        <v>0</v>
      </c>
      <c r="R29" s="29">
        <f>IF(OR($B29="",$A29&lt;=15),"",--MID('Key Analysis'!$C25,$A29-15,1))</f>
        <v>0</v>
      </c>
      <c r="S29" s="29">
        <f>IF(OR($B29="",$A29&lt;=16),"",--MID('Key Analysis'!$C25,$A29-16,1))</f>
        <v>0</v>
      </c>
      <c r="T29" s="29">
        <f>IF(OR($B29="",$A29&lt;=17),"",--MID('Key Analysis'!$C25,$A29-17,1))</f>
        <v>0</v>
      </c>
      <c r="U29" s="29">
        <f>IF(OR($B29="",$A29&lt;=18),"",--MID('Key Analysis'!$C25,$A29-18,1))</f>
        <v>1</v>
      </c>
      <c r="V29" s="29">
        <f>IF(OR($B29="",$A29&lt;=19),"",--MID('Key Analysis'!$C25,$A29-19,1))</f>
        <v>1</v>
      </c>
      <c r="W29" s="29">
        <f>IF(OR($B29="",$A29&lt;=20),"",--MID('Key Analysis'!$C25,$A29-20,1))</f>
        <v>1</v>
      </c>
      <c r="X29" s="29">
        <f>IF(OR($B29="",$A29&lt;=21),"",--MID('Key Analysis'!$C25,$A29-21,1))</f>
        <v>0</v>
      </c>
      <c r="Y29" s="29">
        <f>IF(OR($B29="",$A29&lt;=22),"",--MID('Key Analysis'!$C25,$A29-22,1))</f>
        <v>1</v>
      </c>
      <c r="Z29" s="29">
        <f>IF(OR($B29="",$A29&lt;=23),"",--MID('Key Analysis'!$C25,$A29-23,1))</f>
        <v>1</v>
      </c>
      <c r="AA29" s="29" t="str">
        <f>IF(OR($B29="",$A29&lt;=24),"",--MID('Key Analysis'!$C25,$A29-24,1))</f>
        <v/>
      </c>
      <c r="AB29" s="29" t="str">
        <f>IF(OR($B29="",$A29&lt;=25),"",--MID('Key Analysis'!$C25,$A29-25,1))</f>
        <v/>
      </c>
      <c r="AC29" s="29" t="str">
        <f>IF(OR($B29="",$A29&lt;=26),"",--MID('Key Analysis'!$C25,$A29-26,1))</f>
        <v/>
      </c>
      <c r="AD29" s="29" t="str">
        <f>IF(OR($B29="",$A29&lt;=27),"",--MID('Key Analysis'!$C25,$A29-27,1))</f>
        <v/>
      </c>
      <c r="AE29" s="29" t="str">
        <f>IF(OR($B29="",$A29&lt;=28),"",--MID('Key Analysis'!$C25,$A29-28,1))</f>
        <v/>
      </c>
      <c r="AF29" s="29" t="str">
        <f>IF(OR($B29="",$A29&lt;=29),"",--MID('Key Analysis'!$C25,$A29-29,1))</f>
        <v/>
      </c>
      <c r="AG29" s="29" t="str">
        <f>IF(OR($B29="",$A29&lt;=30),"",--MID('Key Analysis'!$C25,$A29-30,1))</f>
        <v/>
      </c>
      <c r="AH29" s="29" t="str">
        <f>IF(OR($B29="",$A29&lt;=31),"",--MID('Key Analysis'!$C25,$A29-31,1))</f>
        <v/>
      </c>
      <c r="AI29" s="29" t="str">
        <f>IF(OR($B29="",$A29&lt;=32),"",--MID('Key Analysis'!$C25,$A29-32,1))</f>
        <v/>
      </c>
      <c r="AJ29" s="29" t="str">
        <f>IF(OR($B29="",$A29&lt;=33),"",--MID('Key Analysis'!$C25,$A29-33,1))</f>
        <v/>
      </c>
      <c r="AK29" s="29" t="str">
        <f>IF(OR($B29="",$A29&lt;=34),"",--MID('Key Analysis'!$C25,$A29-34,1))</f>
        <v/>
      </c>
      <c r="AL29" s="29" t="str">
        <f>IF(OR($B29="",$A29&lt;=35),"",--MID('Key Analysis'!$C25,$A29-35,1))</f>
        <v/>
      </c>
      <c r="AM29" s="29" t="str">
        <f>IF(OR($B29="",$A29&lt;=36),"",--MID('Key Analysis'!$C25,$A29-36,1))</f>
        <v/>
      </c>
      <c r="AN29" s="29" t="str">
        <f>IF(OR($B29="",$A29&lt;=37),"",--MID('Key Analysis'!$C25,$A29-37,1))</f>
        <v/>
      </c>
      <c r="AO29" s="29" t="str">
        <f>IF(OR($B29="",$A29&lt;=38),"",--MID('Key Analysis'!$C25,$A29-38,1))</f>
        <v/>
      </c>
      <c r="AP29" s="29" t="str">
        <f>IF(OR($B29="",$A29&lt;=39),"",--MID('Key Analysis'!$C25,$A29-39,1))</f>
        <v/>
      </c>
      <c r="AQ29" s="29" t="str">
        <f>IF(OR($B29="",$A29&lt;=40),"",--MID('Key Analysis'!$C25,$A29-40,1))</f>
        <v/>
      </c>
      <c r="AR29" s="29" t="str">
        <f>IF(OR($B29="",$A29&lt;=41),"",--MID('Key Analysis'!$C25,$A29-41,1))</f>
        <v/>
      </c>
      <c r="AS29" s="29" t="str">
        <f>IF(OR($B29="",$A29&lt;=42),"",--MID('Key Analysis'!$C25,$A29-42,1))</f>
        <v/>
      </c>
      <c r="AT29" s="29" t="str">
        <f>IF(OR($B29="",$A29&lt;=43),"",--MID('Key Analysis'!$C25,$A29-43,1))</f>
        <v/>
      </c>
      <c r="AU29" s="29" t="str">
        <f>IF(OR($B29="",$A29&lt;=44),"",--MID('Key Analysis'!$C25,$A29-44,1))</f>
        <v/>
      </c>
      <c r="AV29" s="29" t="str">
        <f>IF(OR($B29="",$A29&lt;=45),"",--MID('Key Analysis'!$C25,$A29-45,1))</f>
        <v/>
      </c>
      <c r="AW29" s="29" t="str">
        <f>IF(OR($B29="",$A29&lt;=46),"",--MID('Key Analysis'!$C25,$A29-46,1))</f>
        <v/>
      </c>
      <c r="AX29" s="29" t="str">
        <f>IF(OR($B29="",$A29&lt;=47),"",--MID('Key Analysis'!$C25,$A29-47,1))</f>
        <v/>
      </c>
      <c r="AY29" s="29" t="str">
        <f>IF(OR($B29="",$A29&lt;=48),"",--MID('Key Analysis'!$C25,$A29-48,1))</f>
        <v/>
      </c>
      <c r="AZ29" s="29" t="str">
        <f>IF(OR($B29="",$A29&lt;=49),"",--MID('Key Analysis'!$C25,$A29-49,1))</f>
        <v/>
      </c>
      <c r="BA29" s="29" t="str">
        <f>IF(OR($B29="",$A29&lt;=50),"",--MID('Key Analysis'!$C25,$A29-50,1))</f>
        <v/>
      </c>
      <c r="BB29" s="29" t="str">
        <f>IF(OR($B29="",$A29&lt;=51),"",--MID('Key Analysis'!$C25,$A29-51,1))</f>
        <v/>
      </c>
      <c r="BC29" s="29" t="str">
        <f>IF(OR($B29="",$A29&lt;=52),"",--MID('Key Analysis'!$C25,$A29-52,1))</f>
        <v/>
      </c>
      <c r="BD29" s="29" t="str">
        <f>IF(OR($B29="",$A29&lt;=53),"",--MID('Key Analysis'!$C25,$A29-53,1))</f>
        <v/>
      </c>
      <c r="BE29" s="29" t="str">
        <f>IF(OR($B29="",$A29&lt;=54),"",--MID('Key Analysis'!$C25,$A29-54,1))</f>
        <v/>
      </c>
      <c r="BF29" s="29" t="str">
        <f>IF(OR($B29="",$A29&lt;=55),"",--MID('Key Analysis'!$C25,$A29-55,1))</f>
        <v/>
      </c>
      <c r="BG29" s="29" t="str">
        <f>IF(OR($B29="",$A29&lt;=56),"",--MID('Key Analysis'!$C25,$A29-56,1))</f>
        <v/>
      </c>
      <c r="BH29" s="29" t="str">
        <f>IF(OR($B29="",$A29&lt;=57),"",--MID('Key Analysis'!$C25,$A29-57,1))</f>
        <v/>
      </c>
      <c r="BI29" s="29" t="str">
        <f>IF(OR($B29="",$A29&lt;=58),"",--MID('Key Analysis'!$C25,$A29-58,1))</f>
        <v/>
      </c>
      <c r="BJ29" s="29" t="str">
        <f>IF(OR($B29="",$A29&lt;=59),"",--MID('Key Analysis'!$C25,$A29-59,1))</f>
        <v/>
      </c>
      <c r="BK29" s="29" t="str">
        <f>IF(OR($B29="",$A29&lt;=60),"",--MID('Key Analysis'!$C25,$A29-60,1))</f>
        <v/>
      </c>
      <c r="BL29" s="29" t="str">
        <f>IF(OR($B29="",$A29&lt;=61),"",--MID('Key Analysis'!$C25,$A29-61,1))</f>
        <v/>
      </c>
      <c r="BM29" s="29" t="str">
        <f>IF(OR($B29="",$A29&lt;=62),"",--MID('Key Analysis'!$C25,$A29-62,1))</f>
        <v/>
      </c>
      <c r="BN29" s="29" t="str">
        <f>IF(OR($B29="",$A29&lt;=63),"",--MID('Key Analysis'!$C25,$A29-63,1))</f>
        <v/>
      </c>
      <c r="BO29" s="29" t="str">
        <f>IF(OR($B29="",$A29&lt;=64),"",--MID('Key Analysis'!$C25,$A29-64,1))</f>
        <v/>
      </c>
      <c r="BP29" s="29" t="str">
        <f>IF(OR($B29="",$A29&lt;=65),"",--MID('Key Analysis'!$C25,$A29-65,1))</f>
        <v/>
      </c>
      <c r="BQ29" s="29" t="str">
        <f>IF(OR($B29="",$A29&lt;=66),"",--MID('Key Analysis'!$C25,$A29-66,1))</f>
        <v/>
      </c>
      <c r="BR29" s="29" t="str">
        <f>IF(OR($B29="",$A29&lt;=67),"",--MID('Key Analysis'!$C25,$A29-67,1))</f>
        <v/>
      </c>
      <c r="BS29" s="29" t="str">
        <f>IF(OR($B29="",$A29&lt;=68),"",--MID('Key Analysis'!$C25,$A29-68,1))</f>
        <v/>
      </c>
      <c r="BT29" s="29" t="str">
        <f>IF(OR($B29="",$A29&lt;=69),"",--MID('Key Analysis'!$C25,$A29-69,1))</f>
        <v/>
      </c>
      <c r="BU29" s="29" t="str">
        <f>IF(OR($B29="",$A29&lt;=70),"",--MID('Key Analysis'!$C25,$A29-70,1))</f>
        <v/>
      </c>
      <c r="BV29" s="29" t="str">
        <f>IF(OR($B29="",$A29&lt;=71),"",--MID('Key Analysis'!$C25,$A29-71,1))</f>
        <v/>
      </c>
      <c r="BW29" s="29" t="str">
        <f>IF(OR($B29="",$A29&lt;=72),"",--MID('Key Analysis'!$C25,$A29-72,1))</f>
        <v/>
      </c>
      <c r="BX29" s="29" t="str">
        <f>IF(OR($B29="",$A29&lt;=73),"",--MID('Key Analysis'!$C25,$A29-73,1))</f>
        <v/>
      </c>
      <c r="BY29" s="29" t="str">
        <f>IF(OR($B29="",$A29&lt;=74),"",--MID('Key Analysis'!$C25,$A29-74,1))</f>
        <v/>
      </c>
      <c r="BZ29" s="29" t="str">
        <f>IF(OR($B29="",$A29&lt;=75),"",--MID('Key Analysis'!$C25,$A29-75,1))</f>
        <v/>
      </c>
      <c r="CA29" s="29" t="str">
        <f>IF(OR($B29="",$A29&lt;=76),"",--MID('Key Analysis'!$C25,$A29-76,1))</f>
        <v/>
      </c>
      <c r="CB29" s="29" t="str">
        <f>IF(OR($B29="",$A29&lt;=77),"",--MID('Key Analysis'!$C25,$A29-77,1))</f>
        <v/>
      </c>
      <c r="CC29" s="29" t="str">
        <f>IF(OR($B29="",$A29&lt;=78),"",--MID('Key Analysis'!$C25,$A29-78,1))</f>
        <v/>
      </c>
      <c r="CD29" s="29" t="str">
        <f>IF(OR($B29="",$A29&lt;=79),"",--MID('Key Analysis'!$C25,$A29-79,1))</f>
        <v/>
      </c>
      <c r="CE29" s="29" t="str">
        <f>IF(OR($B29="",$A29&lt;=80),"",--MID('Key Analysis'!$C25,$A29-80,1))</f>
        <v/>
      </c>
      <c r="CF29" s="29" t="str">
        <f>IF(OR($B29="",$A29&lt;=81),"",--MID('Key Analysis'!$C25,$A29-81,1))</f>
        <v/>
      </c>
      <c r="CG29" s="29" t="str">
        <f>IF(OR($B29="",$A29&lt;=82),"",--MID('Key Analysis'!$C25,$A29-82,1))</f>
        <v/>
      </c>
      <c r="CH29" s="29" t="str">
        <f>IF(OR($B29="",$A29&lt;=83),"",--MID('Key Analysis'!$C25,$A29-83,1))</f>
        <v/>
      </c>
      <c r="CI29" s="29" t="str">
        <f>IF(OR($B29="",$A29&lt;=84),"",--MID('Key Analysis'!$C25,$A29-84,1))</f>
        <v/>
      </c>
      <c r="CJ29" s="29" t="str">
        <f>IF(OR($B29="",$A29&lt;=85),"",--MID('Key Analysis'!$C25,$A29-85,1))</f>
        <v/>
      </c>
      <c r="CK29" s="29" t="str">
        <f>IF(OR($B29="",$A29&lt;=86),"",--MID('Key Analysis'!$C25,$A29-86,1))</f>
        <v/>
      </c>
      <c r="CL29" s="29" t="str">
        <f>IF(OR($B29="",$A29&lt;=87),"",--MID('Key Analysis'!$C25,$A29-87,1))</f>
        <v/>
      </c>
      <c r="CM29" s="29" t="str">
        <f>IF(OR($B29="",$A29&lt;=88),"",--MID('Key Analysis'!$C25,$A29-88,1))</f>
        <v/>
      </c>
      <c r="CN29" s="29" t="str">
        <f>IF(OR($B29="",$A29&lt;=89),"",--MID('Key Analysis'!$C25,$A29-89,1))</f>
        <v/>
      </c>
      <c r="CO29" s="29" t="str">
        <f>IF(OR($B29="",$A29&lt;=90),"",--MID('Key Analysis'!$C25,$A29-90,1))</f>
        <v/>
      </c>
      <c r="CP29" s="29" t="str">
        <f>IF(OR($B29="",$A29&lt;=91),"",--MID('Key Analysis'!$C25,$A29-91,1))</f>
        <v/>
      </c>
      <c r="CQ29" s="29" t="str">
        <f>IF(OR($B29="",$A29&lt;=92),"",--MID('Key Analysis'!$C25,$A29-92,1))</f>
        <v/>
      </c>
      <c r="CR29" s="29" t="str">
        <f>IF(OR($B29="",$A29&lt;=93),"",--MID('Key Analysis'!$C25,$A29-93,1))</f>
        <v/>
      </c>
      <c r="CS29" s="29" t="str">
        <f>IF(OR($B29="",$A29&lt;=94),"",--MID('Key Analysis'!$C25,$A29-94,1))</f>
        <v/>
      </c>
      <c r="CT29" s="29" t="str">
        <f>IF(OR($B29="",$A29&lt;=95),"",--MID('Key Analysis'!$C25,$A29-95,1))</f>
        <v/>
      </c>
      <c r="CU29" s="29" t="str">
        <f>IF(OR($B29="",$A29&lt;=96),"",--MID('Key Analysis'!$C25,$A29-96,1))</f>
        <v/>
      </c>
      <c r="CV29" s="29" t="str">
        <f>IF(OR($B29="",$A29&lt;=97),"",--MID('Key Analysis'!$C25,$A29-97,1))</f>
        <v/>
      </c>
      <c r="CW29" s="29" t="str">
        <f>IF(OR($B29="",$A29&lt;=98),"",--MID('Key Analysis'!$C25,$A29-98,1))</f>
        <v/>
      </c>
      <c r="CX29" s="29" t="str">
        <f>IF(OR($B29="",$A29&lt;=99),"",--MID('Key Analysis'!$C25,$A29-99,1))</f>
        <v/>
      </c>
      <c r="CY29" s="29" t="str">
        <f>IF(OR($B29="",$A29&lt;=100),"",--MID('Key Analysis'!$C25,$A29-100,1))</f>
        <v/>
      </c>
      <c r="CZ29" s="29" t="str">
        <f>IF(OR($B29="",$A29&lt;=101),"",--MID('Key Analysis'!$C25,$A29-101,1))</f>
        <v/>
      </c>
      <c r="DA29" s="29" t="str">
        <f>IF(OR($B29="",$A29&lt;=102),"",--MID('Key Analysis'!$C25,$A29-102,1))</f>
        <v/>
      </c>
      <c r="DB29" s="29" t="str">
        <f>IF(OR($B29="",$A29&lt;=103),"",--MID('Key Analysis'!$C25,$A29-103,1))</f>
        <v/>
      </c>
      <c r="DC29" s="29" t="str">
        <f>IF(OR($B29="",$A29&lt;=104),"",--MID('Key Analysis'!$C25,$A29-104,1))</f>
        <v/>
      </c>
      <c r="DD29" s="29" t="str">
        <f>IF(OR($B29="",$A29&lt;=105),"",--MID('Key Analysis'!$C25,$A29-105,1))</f>
        <v/>
      </c>
      <c r="DE29" s="29" t="str">
        <f>IF(OR($B29="",$A29&lt;=106),"",--MID('Key Analysis'!$C25,$A29-106,1))</f>
        <v/>
      </c>
      <c r="DF29" s="29" t="str">
        <f>IF(OR($B29="",$A29&lt;=107),"",--MID('Key Analysis'!$C25,$A29-107,1))</f>
        <v/>
      </c>
      <c r="DG29" s="29" t="str">
        <f>IF(OR($B29="",$A29&lt;=108),"",--MID('Key Analysis'!$C25,$A29-108,1))</f>
        <v/>
      </c>
      <c r="DH29" s="29" t="str">
        <f>IF(OR($B29="",$A29&lt;=109),"",--MID('Key Analysis'!$C25,$A29-109,1))</f>
        <v/>
      </c>
      <c r="DI29" s="29" t="str">
        <f>IF(OR($B29="",$A29&lt;=110),"",--MID('Key Analysis'!$C25,$A29-110,1))</f>
        <v/>
      </c>
      <c r="DJ29" s="29" t="str">
        <f>IF(OR($B29="",$A29&lt;=111),"",--MID('Key Analysis'!$C25,$A29-111,1))</f>
        <v/>
      </c>
      <c r="DK29" s="29" t="str">
        <f>IF(OR($B29="",$A29&lt;=112),"",--MID('Key Analysis'!$C25,$A29-112,1))</f>
        <v/>
      </c>
      <c r="DL29" s="29" t="str">
        <f>IF(OR($B29="",$A29&lt;=113),"",--MID('Key Analysis'!$C25,$A29-113,1))</f>
        <v/>
      </c>
      <c r="DM29" s="29" t="str">
        <f>IF(OR($B29="",$A29&lt;=114),"",--MID('Key Analysis'!$C25,$A29-114,1))</f>
        <v/>
      </c>
      <c r="DN29" s="29" t="str">
        <f>IF(OR($B29="",$A29&lt;=115),"",--MID('Key Analysis'!$C25,$A29-115,1))</f>
        <v/>
      </c>
      <c r="DO29" s="29" t="str">
        <f>IF(OR($B29="",$A29&lt;=116),"",--MID('Key Analysis'!$C25,$A29-116,1))</f>
        <v/>
      </c>
      <c r="DP29" s="29" t="str">
        <f>IF(OR($B29="",$A29&lt;=117),"",--MID('Key Analysis'!$C25,$A29-117,1))</f>
        <v/>
      </c>
      <c r="DQ29" s="29" t="str">
        <f>IF(OR($B29="",$A29&lt;=118),"",--MID('Key Analysis'!$C25,$A29-118,1))</f>
        <v/>
      </c>
      <c r="DR29" s="29" t="str">
        <f>IF(OR($B29="",$A29&lt;=119),"",--MID('Key Analysis'!$C25,$A29-119,1))</f>
        <v/>
      </c>
      <c r="DS29" s="29" t="str">
        <f>IF(OR($B29="",$A29&lt;=120),"",--MID('Key Analysis'!$C25,$A29-120,1))</f>
        <v/>
      </c>
      <c r="DT29" s="29" t="str">
        <f>IF(OR($B29="",$A29&lt;=121),"",--MID('Key Analysis'!$C25,$A29-121,1))</f>
        <v/>
      </c>
      <c r="DU29" s="29" t="str">
        <f>IF(OR($B29="",$A29&lt;=122),"",--MID('Key Analysis'!$C25,$A29-122,1))</f>
        <v/>
      </c>
      <c r="DV29" s="29" t="str">
        <f>IF(OR($B29="",$A29&lt;=123),"",--MID('Key Analysis'!$C25,$A29-123,1))</f>
        <v/>
      </c>
      <c r="DW29" s="29" t="str">
        <f>IF(OR($B29="",$A29&lt;=124),"",--MID('Key Analysis'!$C25,$A29-124,1))</f>
        <v/>
      </c>
      <c r="DX29" s="29" t="str">
        <f>IF(OR($B29="",$A29&lt;=125),"",--MID('Key Analysis'!$C25,$A29-125,1))</f>
        <v/>
      </c>
      <c r="DY29" s="29" t="str">
        <f>IF(OR($B29="",$A29&lt;=126),"",--MID('Key Analysis'!$C25,$A29-126,1))</f>
        <v/>
      </c>
      <c r="DZ29" s="29" t="str">
        <f>IF(OR($B29="",$A29&lt;=127),"",--MID('Key Analysis'!$C25,$A29-127,1))</f>
        <v/>
      </c>
      <c r="EA29" s="29" t="str">
        <f>IF(OR($B29="",$A29&lt;=128),"",--MID('Key Analysis'!$C25,$A29-128,1))</f>
        <v/>
      </c>
      <c r="EB29" s="29" t="str">
        <f>IF(OR($B29="",$A29&lt;=129),"",--MID('Key Analysis'!$C25,$A29-129,1))</f>
        <v/>
      </c>
      <c r="EC29" s="29" t="str">
        <f>IF(OR($B29="",$A29&lt;=130),"",--MID('Key Analysis'!$C25,$A29-130,1))</f>
        <v/>
      </c>
      <c r="ED29" s="29" t="str">
        <f>IF(OR($B29="",$A29&lt;=131),"",--MID('Key Analysis'!$C25,$A29-131,1))</f>
        <v/>
      </c>
      <c r="EE29" s="29" t="str">
        <f>IF(OR($B29="",$A29&lt;=132),"",--MID('Key Analysis'!$C25,$A29-132,1))</f>
        <v/>
      </c>
      <c r="EF29" s="29" t="str">
        <f>IF(OR($B29="",$A29&lt;=133),"",--MID('Key Analysis'!$C25,$A29-133,1))</f>
        <v/>
      </c>
      <c r="EG29" s="29" t="str">
        <f>IF(OR($B29="",$A29&lt;=134),"",--MID('Key Analysis'!$C25,$A29-134,1))</f>
        <v/>
      </c>
      <c r="EH29" s="29"/>
      <c r="EI29" s="29">
        <f>IF(OR($B29="",$A29&lt;1),"",--MID('Key Analysis'!$C25,1,1))</f>
        <v>1</v>
      </c>
      <c r="EJ29" s="29">
        <f>IF(OR($B29="",$A29&lt;2),"",--MID('Key Analysis'!$C25,2,1))</f>
        <v>1</v>
      </c>
      <c r="EK29" s="29">
        <f>IF(OR($B29="",$A29&lt;3),"",--MID('Key Analysis'!$C25,3,1))</f>
        <v>0</v>
      </c>
      <c r="EL29" s="29">
        <f>IF(OR($B29="",$A29&lt;4),"",--MID('Key Analysis'!$C25,4,1))</f>
        <v>1</v>
      </c>
      <c r="EM29" s="29">
        <f>IF(OR($B29="",$A29&lt;5),"",--MID('Key Analysis'!$C25,5,1))</f>
        <v>1</v>
      </c>
      <c r="EN29" s="29">
        <f>IF(OR($B29="",$A29&lt;6),"",--MID('Key Analysis'!$C25,6,1))</f>
        <v>1</v>
      </c>
      <c r="EO29" s="29">
        <f>IF(OR($B29="",$A29&lt;7),"",--MID('Key Analysis'!$C25,7,1))</f>
        <v>0</v>
      </c>
      <c r="EP29" s="29">
        <f>IF(OR($B29="",$A29&lt;8),"",--MID('Key Analysis'!$C25,8,1))</f>
        <v>0</v>
      </c>
      <c r="EQ29" s="29">
        <f>IF(OR($B29="",$A29&lt;9),"",--MID('Key Analysis'!$C25,9,1))</f>
        <v>0</v>
      </c>
      <c r="ER29" s="29">
        <f>IF(OR($B29="",$A29&lt;10),"",--MID('Key Analysis'!$C25,10,1))</f>
        <v>0</v>
      </c>
      <c r="ES29" s="29">
        <f>IF(OR($B29="",$A29&lt;11),"",--MID('Key Analysis'!$C25,11,1))</f>
        <v>1</v>
      </c>
      <c r="ET29" s="29">
        <f>IF(OR($B29="",$A29&lt;12),"",--MID('Key Analysis'!$C25,12,1))</f>
        <v>0</v>
      </c>
      <c r="EU29" s="29">
        <f>IF(OR($B29="",$A29&lt;13),"",--MID('Key Analysis'!$C25,13,1))</f>
        <v>1</v>
      </c>
      <c r="EV29" s="29">
        <f>IF(OR($B29="",$A29&lt;14),"",--MID('Key Analysis'!$C25,14,1))</f>
        <v>0</v>
      </c>
      <c r="EW29" s="29">
        <f>IF(OR($B29="",$A29&lt;15),"",--MID('Key Analysis'!$C25,15,1))</f>
        <v>1</v>
      </c>
      <c r="EX29" s="29">
        <f>IF(OR($B29="",$A29&lt;16),"",--MID('Key Analysis'!$C25,16,1))</f>
        <v>0</v>
      </c>
      <c r="EY29" s="29">
        <f>IF(OR($B29="",$A29&lt;17),"",--MID('Key Analysis'!$C25,17,1))</f>
        <v>0</v>
      </c>
      <c r="EZ29" s="29">
        <f>IF(OR($B29="",$A29&lt;18),"",--MID('Key Analysis'!$C25,18,1))</f>
        <v>0</v>
      </c>
      <c r="FA29" s="29">
        <f>IF(OR($B29="",$A29&lt;19),"",--MID('Key Analysis'!$C25,19,1))</f>
        <v>0</v>
      </c>
      <c r="FB29" s="29">
        <f>IF(OR($B29="",$A29&lt;20),"",--MID('Key Analysis'!$C25,20,1))</f>
        <v>0</v>
      </c>
      <c r="FC29" s="29">
        <f>IF(OR($B29="",$A29&lt;21),"",--MID('Key Analysis'!$C25,21,1))</f>
        <v>0</v>
      </c>
      <c r="FD29" s="29">
        <f>IF(OR($B29="",$A29&lt;22),"",--MID('Key Analysis'!$C25,22,1))</f>
        <v>1</v>
      </c>
      <c r="FE29" s="29">
        <f>IF(OR($B29="",$A29&lt;23),"",--MID('Key Analysis'!$C25,23,1))</f>
        <v>0</v>
      </c>
      <c r="FF29" s="29">
        <f>IF(OR($B29="",$A29&lt;24),"",--MID('Key Analysis'!$C25,24,1))</f>
        <v>0</v>
      </c>
      <c r="FG29" s="29" t="str">
        <f>IF(OR($B29="",$A29&lt;25),"",--MID('Key Analysis'!$C25,25,1))</f>
        <v/>
      </c>
      <c r="FH29" s="29" t="str">
        <f>IF(OR($B29="",$A29&lt;26),"",--MID('Key Analysis'!$C25,26,1))</f>
        <v/>
      </c>
      <c r="FI29" s="29" t="str">
        <f>IF(OR($B29="",$A29&lt;27),"",--MID('Key Analysis'!$C25,27,1))</f>
        <v/>
      </c>
      <c r="FJ29" s="29" t="str">
        <f>IF(OR($B29="",$A29&lt;28),"",--MID('Key Analysis'!$C25,28,1))</f>
        <v/>
      </c>
      <c r="FK29" s="29" t="str">
        <f>IF(OR($B29="",$A29&lt;29),"",--MID('Key Analysis'!$C25,29,1))</f>
        <v/>
      </c>
      <c r="FL29" s="29" t="str">
        <f>IF(OR($B29="",$A29&lt;30),"",--MID('Key Analysis'!$C25,30,1))</f>
        <v/>
      </c>
      <c r="FM29" s="29" t="str">
        <f>IF(OR($B29="",$A29&lt;31),"",--MID('Key Analysis'!$C25,31,1))</f>
        <v/>
      </c>
      <c r="FN29" s="29" t="str">
        <f>IF(OR($B29="",$A29&lt;32),"",--MID('Key Analysis'!$C25,32,1))</f>
        <v/>
      </c>
      <c r="FO29" s="29" t="str">
        <f>IF(OR($B29="",$A29&lt;33),"",--MID('Key Analysis'!$C25,33,1))</f>
        <v/>
      </c>
      <c r="FP29" s="29" t="str">
        <f>IF(OR($B29="",$A29&lt;34),"",--MID('Key Analysis'!$C25,34,1))</f>
        <v/>
      </c>
      <c r="FQ29" s="29" t="str">
        <f>IF(OR($B29="",$A29&lt;35),"",--MID('Key Analysis'!$C25,35,1))</f>
        <v/>
      </c>
      <c r="FR29" s="29" t="str">
        <f>IF(OR($B29="",$A29&lt;36),"",--MID('Key Analysis'!$C25,36,1))</f>
        <v/>
      </c>
      <c r="FS29" s="29" t="str">
        <f>IF(OR($B29="",$A29&lt;37),"",--MID('Key Analysis'!$C25,37,1))</f>
        <v/>
      </c>
      <c r="FT29" s="29" t="str">
        <f>IF(OR($B29="",$A29&lt;38),"",--MID('Key Analysis'!$C25,38,1))</f>
        <v/>
      </c>
      <c r="FU29" s="29" t="str">
        <f>IF(OR($B29="",$A29&lt;39),"",--MID('Key Analysis'!$C25,39,1))</f>
        <v/>
      </c>
      <c r="FV29" s="29" t="str">
        <f>IF(OR($B29="",$A29&lt;40),"",--MID('Key Analysis'!$C25,40,1))</f>
        <v/>
      </c>
      <c r="FW29" s="29" t="str">
        <f>IF(OR($B29="",$A29&lt;41),"",--MID('Key Analysis'!$C25,41,1))</f>
        <v/>
      </c>
      <c r="FX29" s="29" t="str">
        <f>IF(OR($B29="",$A29&lt;42),"",--MID('Key Analysis'!$C25,42,1))</f>
        <v/>
      </c>
      <c r="FY29" s="29" t="str">
        <f>IF(OR($B29="",$A29&lt;43),"",--MID('Key Analysis'!$C25,43,1))</f>
        <v/>
      </c>
      <c r="FZ29" s="29" t="str">
        <f>IF(OR($B29="",$A29&lt;44),"",--MID('Key Analysis'!$C25,44,1))</f>
        <v/>
      </c>
      <c r="GA29" s="29" t="str">
        <f>IF(OR($B29="",$A29&lt;45),"",--MID('Key Analysis'!$C25,45,1))</f>
        <v/>
      </c>
      <c r="GB29" s="29" t="str">
        <f>IF(OR($B29="",$A29&lt;46),"",--MID('Key Analysis'!$C25,46,1))</f>
        <v/>
      </c>
      <c r="GC29" s="29" t="str">
        <f>IF(OR($B29="",$A29&lt;47),"",--MID('Key Analysis'!$C25,47,1))</f>
        <v/>
      </c>
      <c r="GD29" s="29" t="str">
        <f>IF(OR($B29="",$A29&lt;48),"",--MID('Key Analysis'!$C25,48,1))</f>
        <v/>
      </c>
      <c r="GE29" s="29" t="str">
        <f>IF(OR($B29="",$A29&lt;49),"",--MID('Key Analysis'!$C25,49,1))</f>
        <v/>
      </c>
      <c r="GF29" s="29" t="str">
        <f>IF(OR($B29="",$A29&lt;50),"",--MID('Key Analysis'!$C25,50,1))</f>
        <v/>
      </c>
      <c r="GG29" s="29" t="str">
        <f>IF(OR($B29="",$A29&lt;51),"",--MID('Key Analysis'!$C25,51,1))</f>
        <v/>
      </c>
      <c r="GH29" s="29" t="str">
        <f>IF(OR($B29="",$A29&lt;52),"",--MID('Key Analysis'!$C25,52,1))</f>
        <v/>
      </c>
      <c r="GI29" s="29" t="str">
        <f>IF(OR($B29="",$A29&lt;53),"",--MID('Key Analysis'!$C25,53,1))</f>
        <v/>
      </c>
      <c r="GJ29" s="29" t="str">
        <f>IF(OR($B29="",$A29&lt;54),"",--MID('Key Analysis'!$C25,54,1))</f>
        <v/>
      </c>
      <c r="GK29" s="29" t="str">
        <f>IF(OR($B29="",$A29&lt;55),"",--MID('Key Analysis'!$C25,55,1))</f>
        <v/>
      </c>
      <c r="GL29" s="29" t="str">
        <f>IF(OR($B29="",$A29&lt;56),"",--MID('Key Analysis'!$C25,56,1))</f>
        <v/>
      </c>
      <c r="GM29" s="29" t="str">
        <f>IF(OR($B29="",$A29&lt;57),"",--MID('Key Analysis'!$C25,57,1))</f>
        <v/>
      </c>
      <c r="GN29" s="29" t="str">
        <f>IF(OR($B29="",$A29&lt;58),"",--MID('Key Analysis'!$C25,58,1))</f>
        <v/>
      </c>
      <c r="GO29" s="29" t="str">
        <f>IF(OR($B29="",$A29&lt;59),"",--MID('Key Analysis'!$C25,59,1))</f>
        <v/>
      </c>
      <c r="GP29" s="29" t="str">
        <f>IF(OR($B29="",$A29&lt;60),"",--MID('Key Analysis'!$C25,60,1))</f>
        <v/>
      </c>
      <c r="GQ29" s="29" t="str">
        <f>IF(OR($B29="",$A29&lt;61),"",--MID('Key Analysis'!$C25,61,1))</f>
        <v/>
      </c>
      <c r="GR29" s="29" t="str">
        <f>IF(OR($B29="",$A29&lt;62),"",--MID('Key Analysis'!$C25,62,1))</f>
        <v/>
      </c>
      <c r="GS29" s="29" t="str">
        <f>IF(OR($B29="",$A29&lt;63),"",--MID('Key Analysis'!$C25,63,1))</f>
        <v/>
      </c>
      <c r="GT29" s="29" t="str">
        <f>IF(OR($B29="",$A29&lt;64),"",--MID('Key Analysis'!$C25,64,1))</f>
        <v/>
      </c>
      <c r="GU29" s="29" t="str">
        <f>IF(OR($B29="",$A29&lt;65),"",--MID('Key Analysis'!$C25,65,1))</f>
        <v/>
      </c>
      <c r="GV29" s="29" t="str">
        <f>IF(OR($B29="",$A29&lt;66),"",--MID('Key Analysis'!$C25,66,1))</f>
        <v/>
      </c>
      <c r="GW29" s="29" t="str">
        <f>IF(OR($B29="",$A29&lt;67),"",--MID('Key Analysis'!$C25,67,1))</f>
        <v/>
      </c>
      <c r="GX29" s="29" t="str">
        <f>IF(OR($B29="",$A29&lt;68),"",--MID('Key Analysis'!$C25,68,1))</f>
        <v/>
      </c>
      <c r="GY29" s="29" t="str">
        <f>IF(OR($B29="",$A29&lt;69),"",--MID('Key Analysis'!$C25,69,1))</f>
        <v/>
      </c>
      <c r="GZ29" s="29" t="str">
        <f>IF(OR($B29="",$A29&lt;70),"",--MID('Key Analysis'!$C25,70,1))</f>
        <v/>
      </c>
      <c r="HA29" s="29" t="str">
        <f>IF(OR($B29="",$A29&lt;71),"",--MID('Key Analysis'!$C25,71,1))</f>
        <v/>
      </c>
      <c r="HB29" s="29" t="str">
        <f>IF(OR($B29="",$A29&lt;72),"",--MID('Key Analysis'!$C25,72,1))</f>
        <v/>
      </c>
      <c r="HC29" s="29" t="str">
        <f>IF(OR($B29="",$A29&lt;73),"",--MID('Key Analysis'!$C25,73,1))</f>
        <v/>
      </c>
      <c r="HD29" s="29" t="str">
        <f>IF(OR($B29="",$A29&lt;74),"",--MID('Key Analysis'!$C25,74,1))</f>
        <v/>
      </c>
      <c r="HE29" s="29" t="str">
        <f>IF(OR($B29="",$A29&lt;75),"",--MID('Key Analysis'!$C25,75,1))</f>
        <v/>
      </c>
      <c r="HF29" s="29" t="str">
        <f>IF(OR($B29="",$A29&lt;76),"",--MID('Key Analysis'!$C25,76,1))</f>
        <v/>
      </c>
      <c r="HG29" s="29" t="str">
        <f>IF(OR($B29="",$A29&lt;77),"",--MID('Key Analysis'!$C25,77,1))</f>
        <v/>
      </c>
      <c r="HH29" s="29" t="str">
        <f>IF(OR($B29="",$A29&lt;78),"",--MID('Key Analysis'!$C25,78,1))</f>
        <v/>
      </c>
      <c r="HI29" s="29" t="str">
        <f>IF(OR($B29="",$A29&lt;79),"",--MID('Key Analysis'!$C25,79,1))</f>
        <v/>
      </c>
      <c r="HJ29" s="29" t="str">
        <f>IF(OR($B29="",$A29&lt;80),"",--MID('Key Analysis'!$C25,80,1))</f>
        <v/>
      </c>
      <c r="HK29" s="29" t="str">
        <f>IF(OR($B29="",$A29&lt;81),"",--MID('Key Analysis'!$C25,81,1))</f>
        <v/>
      </c>
      <c r="HL29" s="29" t="str">
        <f>IF(OR($B29="",$A29&lt;82),"",--MID('Key Analysis'!$C25,82,1))</f>
        <v/>
      </c>
      <c r="HM29" s="29" t="str">
        <f>IF(OR($B29="",$A29&lt;83),"",--MID('Key Analysis'!$C25,83,1))</f>
        <v/>
      </c>
      <c r="HN29" s="29" t="str">
        <f>IF(OR($B29="",$A29&lt;84),"",--MID('Key Analysis'!$C25,84,1))</f>
        <v/>
      </c>
      <c r="HO29" s="29" t="str">
        <f>IF(OR($B29="",$A29&lt;85),"",--MID('Key Analysis'!$C25,85,1))</f>
        <v/>
      </c>
      <c r="HP29" s="29" t="str">
        <f>IF(OR($B29="",$A29&lt;86),"",--MID('Key Analysis'!$C25,86,1))</f>
        <v/>
      </c>
      <c r="HQ29" s="29" t="str">
        <f>IF(OR($B29="",$A29&lt;87),"",--MID('Key Analysis'!$C25,87,1))</f>
        <v/>
      </c>
      <c r="HR29" s="29" t="str">
        <f>IF(OR($B29="",$A29&lt;88),"",--MID('Key Analysis'!$C25,88,1))</f>
        <v/>
      </c>
      <c r="HS29" s="29" t="str">
        <f>IF(OR($B29="",$A29&lt;89),"",--MID('Key Analysis'!$C25,89,1))</f>
        <v/>
      </c>
      <c r="HT29" s="29" t="str">
        <f>IF(OR($B29="",$A29&lt;90),"",--MID('Key Analysis'!$C25,90,1))</f>
        <v/>
      </c>
      <c r="HU29" s="29" t="str">
        <f>IF(OR($B29="",$A29&lt;91),"",--MID('Key Analysis'!$C25,91,1))</f>
        <v/>
      </c>
      <c r="HV29" s="29" t="str">
        <f>IF(OR($B29="",$A29&lt;92),"",--MID('Key Analysis'!$C25,92,1))</f>
        <v/>
      </c>
      <c r="HW29" s="29" t="str">
        <f>IF(OR($B29="",$A29&lt;93),"",--MID('Key Analysis'!$C25,93,1))</f>
        <v/>
      </c>
      <c r="HX29" s="29" t="str">
        <f>IF(OR($B29="",$A29&lt;94),"",--MID('Key Analysis'!$C25,94,1))</f>
        <v/>
      </c>
      <c r="HY29" s="29" t="str">
        <f>IF(OR($B29="",$A29&lt;95),"",--MID('Key Analysis'!$C25,95,1))</f>
        <v/>
      </c>
      <c r="HZ29" s="29" t="str">
        <f>IF(OR($B29="",$A29&lt;96),"",--MID('Key Analysis'!$C25,96,1))</f>
        <v/>
      </c>
      <c r="IA29" s="29" t="str">
        <f>IF(OR($B29="",$A29&lt;97),"",--MID('Key Analysis'!$C25,97,1))</f>
        <v/>
      </c>
      <c r="IB29" s="29" t="str">
        <f>IF(OR($B29="",$A29&lt;98),"",--MID('Key Analysis'!$C25,98,1))</f>
        <v/>
      </c>
      <c r="IC29" s="29" t="str">
        <f>IF(OR($B29="",$A29&lt;99),"",--MID('Key Analysis'!$C25,99,1))</f>
        <v/>
      </c>
      <c r="ID29" s="29" t="str">
        <f>IF(OR($B29="",$A29&lt;100),"",--MID('Key Analysis'!$C25,100,1))</f>
        <v/>
      </c>
      <c r="IE29" s="29" t="str">
        <f>IF(OR($B29="",$A29&lt;101),"",--MID('Key Analysis'!$C25,101,1))</f>
        <v/>
      </c>
      <c r="IF29" s="29" t="str">
        <f>IF(OR($B29="",$A29&lt;102),"",--MID('Key Analysis'!$C25,102,1))</f>
        <v/>
      </c>
      <c r="IG29" s="29" t="str">
        <f>IF(OR($B29="",$A29&lt;103),"",--MID('Key Analysis'!$C25,103,1))</f>
        <v/>
      </c>
      <c r="IH29" s="29" t="str">
        <f>IF(OR($B29="",$A29&lt;104),"",--MID('Key Analysis'!$C25,104,1))</f>
        <v/>
      </c>
      <c r="II29" s="29" t="str">
        <f>IF(OR($B29="",$A29&lt;105),"",--MID('Key Analysis'!$C25,105,1))</f>
        <v/>
      </c>
      <c r="IJ29" s="29" t="str">
        <f>IF(OR($B29="",$A29&lt;106),"",--MID('Key Analysis'!$C25,106,1))</f>
        <v/>
      </c>
      <c r="IK29" s="29" t="str">
        <f>IF(OR($B29="",$A29&lt;107),"",--MID('Key Analysis'!$C25,107,1))</f>
        <v/>
      </c>
      <c r="IL29" s="29" t="str">
        <f>IF(OR($B29="",$A29&lt;108),"",--MID('Key Analysis'!$C25,108,1))</f>
        <v/>
      </c>
      <c r="IM29" s="29" t="str">
        <f>IF(OR($B29="",$A29&lt;109),"",--MID('Key Analysis'!$C25,109,1))</f>
        <v/>
      </c>
      <c r="IN29" s="29" t="str">
        <f>IF(OR($B29="",$A29&lt;110),"",--MID('Key Analysis'!$C25,110,1))</f>
        <v/>
      </c>
      <c r="IO29" s="29" t="str">
        <f>IF(OR($B29="",$A29&lt;111),"",--MID('Key Analysis'!$C25,111,1))</f>
        <v/>
      </c>
      <c r="IP29" s="29" t="str">
        <f>IF(OR($B29="",$A29&lt;112),"",--MID('Key Analysis'!$C25,112,1))</f>
        <v/>
      </c>
      <c r="IQ29" s="29" t="str">
        <f>IF(OR($B29="",$A29&lt;113),"",--MID('Key Analysis'!$C25,113,1))</f>
        <v/>
      </c>
      <c r="IR29" s="29" t="str">
        <f>IF(OR($B29="",$A29&lt;114),"",--MID('Key Analysis'!$C25,114,1))</f>
        <v/>
      </c>
      <c r="IS29" s="29" t="str">
        <f>IF(OR($B29="",$A29&lt;115),"",--MID('Key Analysis'!$C25,115,1))</f>
        <v/>
      </c>
      <c r="IT29" s="29" t="str">
        <f>IF(OR($B29="",$A29&lt;116),"",--MID('Key Analysis'!$C25,116,1))</f>
        <v/>
      </c>
      <c r="IU29" s="29" t="str">
        <f>IF(OR($B29="",$A29&lt;117),"",--MID('Key Analysis'!$C25,117,1))</f>
        <v/>
      </c>
      <c r="IV29" s="29" t="str">
        <f>IF(OR($B29="",$A29&lt;118),"",--MID('Key Analysis'!$C25,118,1))</f>
        <v/>
      </c>
      <c r="IW29" s="29" t="str">
        <f>IF(OR($B29="",$A29&lt;119),"",--MID('Key Analysis'!$C25,119,1))</f>
        <v/>
      </c>
      <c r="IX29" s="29" t="str">
        <f>IF(OR($B29="",$A29&lt;120),"",--MID('Key Analysis'!$C25,120,1))</f>
        <v/>
      </c>
      <c r="IY29" s="29" t="str">
        <f>IF(OR($B29="",$A29&lt;121),"",--MID('Key Analysis'!$C25,121,1))</f>
        <v/>
      </c>
      <c r="IZ29" s="29" t="str">
        <f>IF(OR($B29="",$A29&lt;122),"",--MID('Key Analysis'!$C25,122,1))</f>
        <v/>
      </c>
      <c r="JA29" s="29" t="str">
        <f>IF(OR($B29="",$A29&lt;123),"",--MID('Key Analysis'!$C25,123,1))</f>
        <v/>
      </c>
      <c r="JB29" s="29" t="str">
        <f>IF(OR($B29="",$A29&lt;124),"",--MID('Key Analysis'!$C25,124,1))</f>
        <v/>
      </c>
      <c r="JC29" s="29" t="str">
        <f>IF(OR($B29="",$A29&lt;125),"",--MID('Key Analysis'!$C25,125,1))</f>
        <v/>
      </c>
      <c r="JD29" s="29" t="str">
        <f>IF(OR($B29="",$A29&lt;126),"",--MID('Key Analysis'!$C25,126,1))</f>
        <v/>
      </c>
      <c r="JE29" s="29" t="str">
        <f>IF(OR($B29="",$A29&lt;127),"",--MID('Key Analysis'!$C25,127,1))</f>
        <v/>
      </c>
      <c r="JF29" s="29" t="str">
        <f>IF(OR($B29="",$A29&lt;128),"",--MID('Key Analysis'!$C25,128,1))</f>
        <v/>
      </c>
      <c r="JG29" s="29" t="str">
        <f>IF(OR($B29="",$A29&lt;129),"",--MID('Key Analysis'!$C25,129,1))</f>
        <v/>
      </c>
      <c r="JH29" s="29" t="str">
        <f>IF(OR($B29="",$A29&lt;130),"",--MID('Key Analysis'!$C25,130,1))</f>
        <v/>
      </c>
      <c r="JI29" s="29" t="str">
        <f>IF(OR($B29="",$A29&lt;131),"",--MID('Key Analysis'!$C25,131,1))</f>
        <v/>
      </c>
      <c r="JJ29" s="29" t="str">
        <f>IF(OR($B29="",$A29&lt;132),"",--MID('Key Analysis'!$C25,132,1))</f>
        <v/>
      </c>
      <c r="JK29" s="29" t="str">
        <f>IF(OR($B29="",$A29&lt;133),"",--MID('Key Analysis'!$C25,133,1))</f>
        <v/>
      </c>
      <c r="JL29" s="29" t="str">
        <f>IF(OR($B29="",$A29&lt;134),"",--MID('Key Analysis'!$C25,134,1))</f>
        <v/>
      </c>
      <c r="JM29" s="29" t="str">
        <f>IF(OR($B29="",$A29&lt;135),"",--MID('Key Analysis'!$C25,135,1))</f>
        <v/>
      </c>
    </row>
    <row r="30" spans="1:273" x14ac:dyDescent="0.25">
      <c r="A30" s="21">
        <f>'Key Analysis'!A26</f>
        <v>25</v>
      </c>
      <c r="B30" s="30" t="str">
        <f>'Key Analysis'!B26</f>
        <v>1fa5ee5</v>
      </c>
      <c r="C30" s="29">
        <f>IF(OR($B30="",$A30&lt;=0),"",--MID('Key Analysis'!$C26,$A30-0,1))</f>
        <v>1</v>
      </c>
      <c r="D30" s="29">
        <f>IF(OR($B30="",$A30&lt;=1),"",--MID('Key Analysis'!$C26,$A30-1,1))</f>
        <v>0</v>
      </c>
      <c r="E30" s="29">
        <f>IF(OR($B30="",$A30&lt;=2),"",--MID('Key Analysis'!$C26,$A30-2,1))</f>
        <v>1</v>
      </c>
      <c r="F30" s="29">
        <f>IF(OR($B30="",$A30&lt;=3),"",--MID('Key Analysis'!$C26,$A30-3,1))</f>
        <v>0</v>
      </c>
      <c r="G30" s="29">
        <f>IF(OR($B30="",$A30&lt;=4),"",--MID('Key Analysis'!$C26,$A30-4,1))</f>
        <v>0</v>
      </c>
      <c r="H30" s="29">
        <f>IF(OR($B30="",$A30&lt;=5),"",--MID('Key Analysis'!$C26,$A30-5,1))</f>
        <v>1</v>
      </c>
      <c r="I30" s="29">
        <f>IF(OR($B30="",$A30&lt;=6),"",--MID('Key Analysis'!$C26,$A30-6,1))</f>
        <v>1</v>
      </c>
      <c r="J30" s="29">
        <f>IF(OR($B30="",$A30&lt;=7),"",--MID('Key Analysis'!$C26,$A30-7,1))</f>
        <v>1</v>
      </c>
      <c r="K30" s="29">
        <f>IF(OR($B30="",$A30&lt;=8),"",--MID('Key Analysis'!$C26,$A30-8,1))</f>
        <v>0</v>
      </c>
      <c r="L30" s="29">
        <f>IF(OR($B30="",$A30&lt;=9),"",--MID('Key Analysis'!$C26,$A30-9,1))</f>
        <v>1</v>
      </c>
      <c r="M30" s="29">
        <f>IF(OR($B30="",$A30&lt;=10),"",--MID('Key Analysis'!$C26,$A30-10,1))</f>
        <v>1</v>
      </c>
      <c r="N30" s="29">
        <f>IF(OR($B30="",$A30&lt;=11),"",--MID('Key Analysis'!$C26,$A30-11,1))</f>
        <v>1</v>
      </c>
      <c r="O30" s="29">
        <f>IF(OR($B30="",$A30&lt;=12),"",--MID('Key Analysis'!$C26,$A30-12,1))</f>
        <v>1</v>
      </c>
      <c r="P30" s="29">
        <f>IF(OR($B30="",$A30&lt;=13),"",--MID('Key Analysis'!$C26,$A30-13,1))</f>
        <v>0</v>
      </c>
      <c r="Q30" s="29">
        <f>IF(OR($B30="",$A30&lt;=14),"",--MID('Key Analysis'!$C26,$A30-14,1))</f>
        <v>1</v>
      </c>
      <c r="R30" s="29">
        <f>IF(OR($B30="",$A30&lt;=15),"",--MID('Key Analysis'!$C26,$A30-15,1))</f>
        <v>0</v>
      </c>
      <c r="S30" s="29">
        <f>IF(OR($B30="",$A30&lt;=16),"",--MID('Key Analysis'!$C26,$A30-16,1))</f>
        <v>0</v>
      </c>
      <c r="T30" s="29">
        <f>IF(OR($B30="",$A30&lt;=17),"",--MID('Key Analysis'!$C26,$A30-17,1))</f>
        <v>1</v>
      </c>
      <c r="U30" s="29">
        <f>IF(OR($B30="",$A30&lt;=18),"",--MID('Key Analysis'!$C26,$A30-18,1))</f>
        <v>0</v>
      </c>
      <c r="V30" s="29">
        <f>IF(OR($B30="",$A30&lt;=19),"",--MID('Key Analysis'!$C26,$A30-19,1))</f>
        <v>1</v>
      </c>
      <c r="W30" s="29">
        <f>IF(OR($B30="",$A30&lt;=20),"",--MID('Key Analysis'!$C26,$A30-20,1))</f>
        <v>1</v>
      </c>
      <c r="X30" s="29">
        <f>IF(OR($B30="",$A30&lt;=21),"",--MID('Key Analysis'!$C26,$A30-21,1))</f>
        <v>1</v>
      </c>
      <c r="Y30" s="29">
        <f>IF(OR($B30="",$A30&lt;=22),"",--MID('Key Analysis'!$C26,$A30-22,1))</f>
        <v>1</v>
      </c>
      <c r="Z30" s="29">
        <f>IF(OR($B30="",$A30&lt;=23),"",--MID('Key Analysis'!$C26,$A30-23,1))</f>
        <v>1</v>
      </c>
      <c r="AA30" s="29">
        <f>IF(OR($B30="",$A30&lt;=24),"",--MID('Key Analysis'!$C26,$A30-24,1))</f>
        <v>1</v>
      </c>
      <c r="AB30" s="29" t="str">
        <f>IF(OR($B30="",$A30&lt;=25),"",--MID('Key Analysis'!$C26,$A30-25,1))</f>
        <v/>
      </c>
      <c r="AC30" s="29" t="str">
        <f>IF(OR($B30="",$A30&lt;=26),"",--MID('Key Analysis'!$C26,$A30-26,1))</f>
        <v/>
      </c>
      <c r="AD30" s="29" t="str">
        <f>IF(OR($B30="",$A30&lt;=27),"",--MID('Key Analysis'!$C26,$A30-27,1))</f>
        <v/>
      </c>
      <c r="AE30" s="29" t="str">
        <f>IF(OR($B30="",$A30&lt;=28),"",--MID('Key Analysis'!$C26,$A30-28,1))</f>
        <v/>
      </c>
      <c r="AF30" s="29" t="str">
        <f>IF(OR($B30="",$A30&lt;=29),"",--MID('Key Analysis'!$C26,$A30-29,1))</f>
        <v/>
      </c>
      <c r="AG30" s="29" t="str">
        <f>IF(OR($B30="",$A30&lt;=30),"",--MID('Key Analysis'!$C26,$A30-30,1))</f>
        <v/>
      </c>
      <c r="AH30" s="29" t="str">
        <f>IF(OR($B30="",$A30&lt;=31),"",--MID('Key Analysis'!$C26,$A30-31,1))</f>
        <v/>
      </c>
      <c r="AI30" s="29" t="str">
        <f>IF(OR($B30="",$A30&lt;=32),"",--MID('Key Analysis'!$C26,$A30-32,1))</f>
        <v/>
      </c>
      <c r="AJ30" s="29" t="str">
        <f>IF(OR($B30="",$A30&lt;=33),"",--MID('Key Analysis'!$C26,$A30-33,1))</f>
        <v/>
      </c>
      <c r="AK30" s="29" t="str">
        <f>IF(OR($B30="",$A30&lt;=34),"",--MID('Key Analysis'!$C26,$A30-34,1))</f>
        <v/>
      </c>
      <c r="AL30" s="29" t="str">
        <f>IF(OR($B30="",$A30&lt;=35),"",--MID('Key Analysis'!$C26,$A30-35,1))</f>
        <v/>
      </c>
      <c r="AM30" s="29" t="str">
        <f>IF(OR($B30="",$A30&lt;=36),"",--MID('Key Analysis'!$C26,$A30-36,1))</f>
        <v/>
      </c>
      <c r="AN30" s="29" t="str">
        <f>IF(OR($B30="",$A30&lt;=37),"",--MID('Key Analysis'!$C26,$A30-37,1))</f>
        <v/>
      </c>
      <c r="AO30" s="29" t="str">
        <f>IF(OR($B30="",$A30&lt;=38),"",--MID('Key Analysis'!$C26,$A30-38,1))</f>
        <v/>
      </c>
      <c r="AP30" s="29" t="str">
        <f>IF(OR($B30="",$A30&lt;=39),"",--MID('Key Analysis'!$C26,$A30-39,1))</f>
        <v/>
      </c>
      <c r="AQ30" s="29" t="str">
        <f>IF(OR($B30="",$A30&lt;=40),"",--MID('Key Analysis'!$C26,$A30-40,1))</f>
        <v/>
      </c>
      <c r="AR30" s="29" t="str">
        <f>IF(OR($B30="",$A30&lt;=41),"",--MID('Key Analysis'!$C26,$A30-41,1))</f>
        <v/>
      </c>
      <c r="AS30" s="29" t="str">
        <f>IF(OR($B30="",$A30&lt;=42),"",--MID('Key Analysis'!$C26,$A30-42,1))</f>
        <v/>
      </c>
      <c r="AT30" s="29" t="str">
        <f>IF(OR($B30="",$A30&lt;=43),"",--MID('Key Analysis'!$C26,$A30-43,1))</f>
        <v/>
      </c>
      <c r="AU30" s="29" t="str">
        <f>IF(OR($B30="",$A30&lt;=44),"",--MID('Key Analysis'!$C26,$A30-44,1))</f>
        <v/>
      </c>
      <c r="AV30" s="29" t="str">
        <f>IF(OR($B30="",$A30&lt;=45),"",--MID('Key Analysis'!$C26,$A30-45,1))</f>
        <v/>
      </c>
      <c r="AW30" s="29" t="str">
        <f>IF(OR($B30="",$A30&lt;=46),"",--MID('Key Analysis'!$C26,$A30-46,1))</f>
        <v/>
      </c>
      <c r="AX30" s="29" t="str">
        <f>IF(OR($B30="",$A30&lt;=47),"",--MID('Key Analysis'!$C26,$A30-47,1))</f>
        <v/>
      </c>
      <c r="AY30" s="29" t="str">
        <f>IF(OR($B30="",$A30&lt;=48),"",--MID('Key Analysis'!$C26,$A30-48,1))</f>
        <v/>
      </c>
      <c r="AZ30" s="29" t="str">
        <f>IF(OR($B30="",$A30&lt;=49),"",--MID('Key Analysis'!$C26,$A30-49,1))</f>
        <v/>
      </c>
      <c r="BA30" s="29" t="str">
        <f>IF(OR($B30="",$A30&lt;=50),"",--MID('Key Analysis'!$C26,$A30-50,1))</f>
        <v/>
      </c>
      <c r="BB30" s="29" t="str">
        <f>IF(OR($B30="",$A30&lt;=51),"",--MID('Key Analysis'!$C26,$A30-51,1))</f>
        <v/>
      </c>
      <c r="BC30" s="29" t="str">
        <f>IF(OR($B30="",$A30&lt;=52),"",--MID('Key Analysis'!$C26,$A30-52,1))</f>
        <v/>
      </c>
      <c r="BD30" s="29" t="str">
        <f>IF(OR($B30="",$A30&lt;=53),"",--MID('Key Analysis'!$C26,$A30-53,1))</f>
        <v/>
      </c>
      <c r="BE30" s="29" t="str">
        <f>IF(OR($B30="",$A30&lt;=54),"",--MID('Key Analysis'!$C26,$A30-54,1))</f>
        <v/>
      </c>
      <c r="BF30" s="29" t="str">
        <f>IF(OR($B30="",$A30&lt;=55),"",--MID('Key Analysis'!$C26,$A30-55,1))</f>
        <v/>
      </c>
      <c r="BG30" s="29" t="str">
        <f>IF(OR($B30="",$A30&lt;=56),"",--MID('Key Analysis'!$C26,$A30-56,1))</f>
        <v/>
      </c>
      <c r="BH30" s="29" t="str">
        <f>IF(OR($B30="",$A30&lt;=57),"",--MID('Key Analysis'!$C26,$A30-57,1))</f>
        <v/>
      </c>
      <c r="BI30" s="29" t="str">
        <f>IF(OR($B30="",$A30&lt;=58),"",--MID('Key Analysis'!$C26,$A30-58,1))</f>
        <v/>
      </c>
      <c r="BJ30" s="29" t="str">
        <f>IF(OR($B30="",$A30&lt;=59),"",--MID('Key Analysis'!$C26,$A30-59,1))</f>
        <v/>
      </c>
      <c r="BK30" s="29" t="str">
        <f>IF(OR($B30="",$A30&lt;=60),"",--MID('Key Analysis'!$C26,$A30-60,1))</f>
        <v/>
      </c>
      <c r="BL30" s="29" t="str">
        <f>IF(OR($B30="",$A30&lt;=61),"",--MID('Key Analysis'!$C26,$A30-61,1))</f>
        <v/>
      </c>
      <c r="BM30" s="29" t="str">
        <f>IF(OR($B30="",$A30&lt;=62),"",--MID('Key Analysis'!$C26,$A30-62,1))</f>
        <v/>
      </c>
      <c r="BN30" s="29" t="str">
        <f>IF(OR($B30="",$A30&lt;=63),"",--MID('Key Analysis'!$C26,$A30-63,1))</f>
        <v/>
      </c>
      <c r="BO30" s="29" t="str">
        <f>IF(OR($B30="",$A30&lt;=64),"",--MID('Key Analysis'!$C26,$A30-64,1))</f>
        <v/>
      </c>
      <c r="BP30" s="29" t="str">
        <f>IF(OR($B30="",$A30&lt;=65),"",--MID('Key Analysis'!$C26,$A30-65,1))</f>
        <v/>
      </c>
      <c r="BQ30" s="29" t="str">
        <f>IF(OR($B30="",$A30&lt;=66),"",--MID('Key Analysis'!$C26,$A30-66,1))</f>
        <v/>
      </c>
      <c r="BR30" s="29" t="str">
        <f>IF(OR($B30="",$A30&lt;=67),"",--MID('Key Analysis'!$C26,$A30-67,1))</f>
        <v/>
      </c>
      <c r="BS30" s="29" t="str">
        <f>IF(OR($B30="",$A30&lt;=68),"",--MID('Key Analysis'!$C26,$A30-68,1))</f>
        <v/>
      </c>
      <c r="BT30" s="29" t="str">
        <f>IF(OR($B30="",$A30&lt;=69),"",--MID('Key Analysis'!$C26,$A30-69,1))</f>
        <v/>
      </c>
      <c r="BU30" s="29" t="str">
        <f>IF(OR($B30="",$A30&lt;=70),"",--MID('Key Analysis'!$C26,$A30-70,1))</f>
        <v/>
      </c>
      <c r="BV30" s="29" t="str">
        <f>IF(OR($B30="",$A30&lt;=71),"",--MID('Key Analysis'!$C26,$A30-71,1))</f>
        <v/>
      </c>
      <c r="BW30" s="29" t="str">
        <f>IF(OR($B30="",$A30&lt;=72),"",--MID('Key Analysis'!$C26,$A30-72,1))</f>
        <v/>
      </c>
      <c r="BX30" s="29" t="str">
        <f>IF(OR($B30="",$A30&lt;=73),"",--MID('Key Analysis'!$C26,$A30-73,1))</f>
        <v/>
      </c>
      <c r="BY30" s="29" t="str">
        <f>IF(OR($B30="",$A30&lt;=74),"",--MID('Key Analysis'!$C26,$A30-74,1))</f>
        <v/>
      </c>
      <c r="BZ30" s="29" t="str">
        <f>IF(OR($B30="",$A30&lt;=75),"",--MID('Key Analysis'!$C26,$A30-75,1))</f>
        <v/>
      </c>
      <c r="CA30" s="29" t="str">
        <f>IF(OR($B30="",$A30&lt;=76),"",--MID('Key Analysis'!$C26,$A30-76,1))</f>
        <v/>
      </c>
      <c r="CB30" s="29" t="str">
        <f>IF(OR($B30="",$A30&lt;=77),"",--MID('Key Analysis'!$C26,$A30-77,1))</f>
        <v/>
      </c>
      <c r="CC30" s="29" t="str">
        <f>IF(OR($B30="",$A30&lt;=78),"",--MID('Key Analysis'!$C26,$A30-78,1))</f>
        <v/>
      </c>
      <c r="CD30" s="29" t="str">
        <f>IF(OR($B30="",$A30&lt;=79),"",--MID('Key Analysis'!$C26,$A30-79,1))</f>
        <v/>
      </c>
      <c r="CE30" s="29" t="str">
        <f>IF(OR($B30="",$A30&lt;=80),"",--MID('Key Analysis'!$C26,$A30-80,1))</f>
        <v/>
      </c>
      <c r="CF30" s="29" t="str">
        <f>IF(OR($B30="",$A30&lt;=81),"",--MID('Key Analysis'!$C26,$A30-81,1))</f>
        <v/>
      </c>
      <c r="CG30" s="29" t="str">
        <f>IF(OR($B30="",$A30&lt;=82),"",--MID('Key Analysis'!$C26,$A30-82,1))</f>
        <v/>
      </c>
      <c r="CH30" s="29" t="str">
        <f>IF(OR($B30="",$A30&lt;=83),"",--MID('Key Analysis'!$C26,$A30-83,1))</f>
        <v/>
      </c>
      <c r="CI30" s="29" t="str">
        <f>IF(OR($B30="",$A30&lt;=84),"",--MID('Key Analysis'!$C26,$A30-84,1))</f>
        <v/>
      </c>
      <c r="CJ30" s="29" t="str">
        <f>IF(OR($B30="",$A30&lt;=85),"",--MID('Key Analysis'!$C26,$A30-85,1))</f>
        <v/>
      </c>
      <c r="CK30" s="29" t="str">
        <f>IF(OR($B30="",$A30&lt;=86),"",--MID('Key Analysis'!$C26,$A30-86,1))</f>
        <v/>
      </c>
      <c r="CL30" s="29" t="str">
        <f>IF(OR($B30="",$A30&lt;=87),"",--MID('Key Analysis'!$C26,$A30-87,1))</f>
        <v/>
      </c>
      <c r="CM30" s="29" t="str">
        <f>IF(OR($B30="",$A30&lt;=88),"",--MID('Key Analysis'!$C26,$A30-88,1))</f>
        <v/>
      </c>
      <c r="CN30" s="29" t="str">
        <f>IF(OR($B30="",$A30&lt;=89),"",--MID('Key Analysis'!$C26,$A30-89,1))</f>
        <v/>
      </c>
      <c r="CO30" s="29" t="str">
        <f>IF(OR($B30="",$A30&lt;=90),"",--MID('Key Analysis'!$C26,$A30-90,1))</f>
        <v/>
      </c>
      <c r="CP30" s="29" t="str">
        <f>IF(OR($B30="",$A30&lt;=91),"",--MID('Key Analysis'!$C26,$A30-91,1))</f>
        <v/>
      </c>
      <c r="CQ30" s="29" t="str">
        <f>IF(OR($B30="",$A30&lt;=92),"",--MID('Key Analysis'!$C26,$A30-92,1))</f>
        <v/>
      </c>
      <c r="CR30" s="29" t="str">
        <f>IF(OR($B30="",$A30&lt;=93),"",--MID('Key Analysis'!$C26,$A30-93,1))</f>
        <v/>
      </c>
      <c r="CS30" s="29" t="str">
        <f>IF(OR($B30="",$A30&lt;=94),"",--MID('Key Analysis'!$C26,$A30-94,1))</f>
        <v/>
      </c>
      <c r="CT30" s="29" t="str">
        <f>IF(OR($B30="",$A30&lt;=95),"",--MID('Key Analysis'!$C26,$A30-95,1))</f>
        <v/>
      </c>
      <c r="CU30" s="29" t="str">
        <f>IF(OR($B30="",$A30&lt;=96),"",--MID('Key Analysis'!$C26,$A30-96,1))</f>
        <v/>
      </c>
      <c r="CV30" s="29" t="str">
        <f>IF(OR($B30="",$A30&lt;=97),"",--MID('Key Analysis'!$C26,$A30-97,1))</f>
        <v/>
      </c>
      <c r="CW30" s="29" t="str">
        <f>IF(OR($B30="",$A30&lt;=98),"",--MID('Key Analysis'!$C26,$A30-98,1))</f>
        <v/>
      </c>
      <c r="CX30" s="29" t="str">
        <f>IF(OR($B30="",$A30&lt;=99),"",--MID('Key Analysis'!$C26,$A30-99,1))</f>
        <v/>
      </c>
      <c r="CY30" s="29" t="str">
        <f>IF(OR($B30="",$A30&lt;=100),"",--MID('Key Analysis'!$C26,$A30-100,1))</f>
        <v/>
      </c>
      <c r="CZ30" s="29" t="str">
        <f>IF(OR($B30="",$A30&lt;=101),"",--MID('Key Analysis'!$C26,$A30-101,1))</f>
        <v/>
      </c>
      <c r="DA30" s="29" t="str">
        <f>IF(OR($B30="",$A30&lt;=102),"",--MID('Key Analysis'!$C26,$A30-102,1))</f>
        <v/>
      </c>
      <c r="DB30" s="29" t="str">
        <f>IF(OR($B30="",$A30&lt;=103),"",--MID('Key Analysis'!$C26,$A30-103,1))</f>
        <v/>
      </c>
      <c r="DC30" s="29" t="str">
        <f>IF(OR($B30="",$A30&lt;=104),"",--MID('Key Analysis'!$C26,$A30-104,1))</f>
        <v/>
      </c>
      <c r="DD30" s="29" t="str">
        <f>IF(OR($B30="",$A30&lt;=105),"",--MID('Key Analysis'!$C26,$A30-105,1))</f>
        <v/>
      </c>
      <c r="DE30" s="29" t="str">
        <f>IF(OR($B30="",$A30&lt;=106),"",--MID('Key Analysis'!$C26,$A30-106,1))</f>
        <v/>
      </c>
      <c r="DF30" s="29" t="str">
        <f>IF(OR($B30="",$A30&lt;=107),"",--MID('Key Analysis'!$C26,$A30-107,1))</f>
        <v/>
      </c>
      <c r="DG30" s="29" t="str">
        <f>IF(OR($B30="",$A30&lt;=108),"",--MID('Key Analysis'!$C26,$A30-108,1))</f>
        <v/>
      </c>
      <c r="DH30" s="29" t="str">
        <f>IF(OR($B30="",$A30&lt;=109),"",--MID('Key Analysis'!$C26,$A30-109,1))</f>
        <v/>
      </c>
      <c r="DI30" s="29" t="str">
        <f>IF(OR($B30="",$A30&lt;=110),"",--MID('Key Analysis'!$C26,$A30-110,1))</f>
        <v/>
      </c>
      <c r="DJ30" s="29" t="str">
        <f>IF(OR($B30="",$A30&lt;=111),"",--MID('Key Analysis'!$C26,$A30-111,1))</f>
        <v/>
      </c>
      <c r="DK30" s="29" t="str">
        <f>IF(OR($B30="",$A30&lt;=112),"",--MID('Key Analysis'!$C26,$A30-112,1))</f>
        <v/>
      </c>
      <c r="DL30" s="29" t="str">
        <f>IF(OR($B30="",$A30&lt;=113),"",--MID('Key Analysis'!$C26,$A30-113,1))</f>
        <v/>
      </c>
      <c r="DM30" s="29" t="str">
        <f>IF(OR($B30="",$A30&lt;=114),"",--MID('Key Analysis'!$C26,$A30-114,1))</f>
        <v/>
      </c>
      <c r="DN30" s="29" t="str">
        <f>IF(OR($B30="",$A30&lt;=115),"",--MID('Key Analysis'!$C26,$A30-115,1))</f>
        <v/>
      </c>
      <c r="DO30" s="29" t="str">
        <f>IF(OR($B30="",$A30&lt;=116),"",--MID('Key Analysis'!$C26,$A30-116,1))</f>
        <v/>
      </c>
      <c r="DP30" s="29" t="str">
        <f>IF(OR($B30="",$A30&lt;=117),"",--MID('Key Analysis'!$C26,$A30-117,1))</f>
        <v/>
      </c>
      <c r="DQ30" s="29" t="str">
        <f>IF(OR($B30="",$A30&lt;=118),"",--MID('Key Analysis'!$C26,$A30-118,1))</f>
        <v/>
      </c>
      <c r="DR30" s="29" t="str">
        <f>IF(OR($B30="",$A30&lt;=119),"",--MID('Key Analysis'!$C26,$A30-119,1))</f>
        <v/>
      </c>
      <c r="DS30" s="29" t="str">
        <f>IF(OR($B30="",$A30&lt;=120),"",--MID('Key Analysis'!$C26,$A30-120,1))</f>
        <v/>
      </c>
      <c r="DT30" s="29" t="str">
        <f>IF(OR($B30="",$A30&lt;=121),"",--MID('Key Analysis'!$C26,$A30-121,1))</f>
        <v/>
      </c>
      <c r="DU30" s="29" t="str">
        <f>IF(OR($B30="",$A30&lt;=122),"",--MID('Key Analysis'!$C26,$A30-122,1))</f>
        <v/>
      </c>
      <c r="DV30" s="29" t="str">
        <f>IF(OR($B30="",$A30&lt;=123),"",--MID('Key Analysis'!$C26,$A30-123,1))</f>
        <v/>
      </c>
      <c r="DW30" s="29" t="str">
        <f>IF(OR($B30="",$A30&lt;=124),"",--MID('Key Analysis'!$C26,$A30-124,1))</f>
        <v/>
      </c>
      <c r="DX30" s="29" t="str">
        <f>IF(OR($B30="",$A30&lt;=125),"",--MID('Key Analysis'!$C26,$A30-125,1))</f>
        <v/>
      </c>
      <c r="DY30" s="29" t="str">
        <f>IF(OR($B30="",$A30&lt;=126),"",--MID('Key Analysis'!$C26,$A30-126,1))</f>
        <v/>
      </c>
      <c r="DZ30" s="29" t="str">
        <f>IF(OR($B30="",$A30&lt;=127),"",--MID('Key Analysis'!$C26,$A30-127,1))</f>
        <v/>
      </c>
      <c r="EA30" s="29" t="str">
        <f>IF(OR($B30="",$A30&lt;=128),"",--MID('Key Analysis'!$C26,$A30-128,1))</f>
        <v/>
      </c>
      <c r="EB30" s="29" t="str">
        <f>IF(OR($B30="",$A30&lt;=129),"",--MID('Key Analysis'!$C26,$A30-129,1))</f>
        <v/>
      </c>
      <c r="EC30" s="29" t="str">
        <f>IF(OR($B30="",$A30&lt;=130),"",--MID('Key Analysis'!$C26,$A30-130,1))</f>
        <v/>
      </c>
      <c r="ED30" s="29" t="str">
        <f>IF(OR($B30="",$A30&lt;=131),"",--MID('Key Analysis'!$C26,$A30-131,1))</f>
        <v/>
      </c>
      <c r="EE30" s="29" t="str">
        <f>IF(OR($B30="",$A30&lt;=132),"",--MID('Key Analysis'!$C26,$A30-132,1))</f>
        <v/>
      </c>
      <c r="EF30" s="29" t="str">
        <f>IF(OR($B30="",$A30&lt;=133),"",--MID('Key Analysis'!$C26,$A30-133,1))</f>
        <v/>
      </c>
      <c r="EG30" s="29" t="str">
        <f>IF(OR($B30="",$A30&lt;=134),"",--MID('Key Analysis'!$C26,$A30-134,1))</f>
        <v/>
      </c>
      <c r="EH30" s="29"/>
      <c r="EI30" s="29">
        <f>IF(OR($B30="",$A30&lt;1),"",--MID('Key Analysis'!$C26,1,1))</f>
        <v>1</v>
      </c>
      <c r="EJ30" s="29">
        <f>IF(OR($B30="",$A30&lt;2),"",--MID('Key Analysis'!$C26,2,1))</f>
        <v>1</v>
      </c>
      <c r="EK30" s="29">
        <f>IF(OR($B30="",$A30&lt;3),"",--MID('Key Analysis'!$C26,3,1))</f>
        <v>1</v>
      </c>
      <c r="EL30" s="29">
        <f>IF(OR($B30="",$A30&lt;4),"",--MID('Key Analysis'!$C26,4,1))</f>
        <v>1</v>
      </c>
      <c r="EM30" s="29">
        <f>IF(OR($B30="",$A30&lt;5),"",--MID('Key Analysis'!$C26,5,1))</f>
        <v>1</v>
      </c>
      <c r="EN30" s="29">
        <f>IF(OR($B30="",$A30&lt;6),"",--MID('Key Analysis'!$C26,6,1))</f>
        <v>1</v>
      </c>
      <c r="EO30" s="29">
        <f>IF(OR($B30="",$A30&lt;7),"",--MID('Key Analysis'!$C26,7,1))</f>
        <v>0</v>
      </c>
      <c r="EP30" s="29">
        <f>IF(OR($B30="",$A30&lt;8),"",--MID('Key Analysis'!$C26,8,1))</f>
        <v>1</v>
      </c>
      <c r="EQ30" s="29">
        <f>IF(OR($B30="",$A30&lt;9),"",--MID('Key Analysis'!$C26,9,1))</f>
        <v>0</v>
      </c>
      <c r="ER30" s="29">
        <f>IF(OR($B30="",$A30&lt;10),"",--MID('Key Analysis'!$C26,10,1))</f>
        <v>0</v>
      </c>
      <c r="ES30" s="29">
        <f>IF(OR($B30="",$A30&lt;11),"",--MID('Key Analysis'!$C26,11,1))</f>
        <v>1</v>
      </c>
      <c r="ET30" s="29">
        <f>IF(OR($B30="",$A30&lt;12),"",--MID('Key Analysis'!$C26,12,1))</f>
        <v>0</v>
      </c>
      <c r="EU30" s="29">
        <f>IF(OR($B30="",$A30&lt;13),"",--MID('Key Analysis'!$C26,13,1))</f>
        <v>1</v>
      </c>
      <c r="EV30" s="29">
        <f>IF(OR($B30="",$A30&lt;14),"",--MID('Key Analysis'!$C26,14,1))</f>
        <v>1</v>
      </c>
      <c r="EW30" s="29">
        <f>IF(OR($B30="",$A30&lt;15),"",--MID('Key Analysis'!$C26,15,1))</f>
        <v>1</v>
      </c>
      <c r="EX30" s="29">
        <f>IF(OR($B30="",$A30&lt;16),"",--MID('Key Analysis'!$C26,16,1))</f>
        <v>1</v>
      </c>
      <c r="EY30" s="29">
        <f>IF(OR($B30="",$A30&lt;17),"",--MID('Key Analysis'!$C26,17,1))</f>
        <v>0</v>
      </c>
      <c r="EZ30" s="29">
        <f>IF(OR($B30="",$A30&lt;18),"",--MID('Key Analysis'!$C26,18,1))</f>
        <v>1</v>
      </c>
      <c r="FA30" s="29">
        <f>IF(OR($B30="",$A30&lt;19),"",--MID('Key Analysis'!$C26,19,1))</f>
        <v>1</v>
      </c>
      <c r="FB30" s="29">
        <f>IF(OR($B30="",$A30&lt;20),"",--MID('Key Analysis'!$C26,20,1))</f>
        <v>1</v>
      </c>
      <c r="FC30" s="29">
        <f>IF(OR($B30="",$A30&lt;21),"",--MID('Key Analysis'!$C26,21,1))</f>
        <v>0</v>
      </c>
      <c r="FD30" s="29">
        <f>IF(OR($B30="",$A30&lt;22),"",--MID('Key Analysis'!$C26,22,1))</f>
        <v>0</v>
      </c>
      <c r="FE30" s="29">
        <f>IF(OR($B30="",$A30&lt;23),"",--MID('Key Analysis'!$C26,23,1))</f>
        <v>1</v>
      </c>
      <c r="FF30" s="29">
        <f>IF(OR($B30="",$A30&lt;24),"",--MID('Key Analysis'!$C26,24,1))</f>
        <v>0</v>
      </c>
      <c r="FG30" s="29">
        <f>IF(OR($B30="",$A30&lt;25),"",--MID('Key Analysis'!$C26,25,1))</f>
        <v>1</v>
      </c>
      <c r="FH30" s="29" t="str">
        <f>IF(OR($B30="",$A30&lt;26),"",--MID('Key Analysis'!$C26,26,1))</f>
        <v/>
      </c>
      <c r="FI30" s="29" t="str">
        <f>IF(OR($B30="",$A30&lt;27),"",--MID('Key Analysis'!$C26,27,1))</f>
        <v/>
      </c>
      <c r="FJ30" s="29" t="str">
        <f>IF(OR($B30="",$A30&lt;28),"",--MID('Key Analysis'!$C26,28,1))</f>
        <v/>
      </c>
      <c r="FK30" s="29" t="str">
        <f>IF(OR($B30="",$A30&lt;29),"",--MID('Key Analysis'!$C26,29,1))</f>
        <v/>
      </c>
      <c r="FL30" s="29" t="str">
        <f>IF(OR($B30="",$A30&lt;30),"",--MID('Key Analysis'!$C26,30,1))</f>
        <v/>
      </c>
      <c r="FM30" s="29" t="str">
        <f>IF(OR($B30="",$A30&lt;31),"",--MID('Key Analysis'!$C26,31,1))</f>
        <v/>
      </c>
      <c r="FN30" s="29" t="str">
        <f>IF(OR($B30="",$A30&lt;32),"",--MID('Key Analysis'!$C26,32,1))</f>
        <v/>
      </c>
      <c r="FO30" s="29" t="str">
        <f>IF(OR($B30="",$A30&lt;33),"",--MID('Key Analysis'!$C26,33,1))</f>
        <v/>
      </c>
      <c r="FP30" s="29" t="str">
        <f>IF(OR($B30="",$A30&lt;34),"",--MID('Key Analysis'!$C26,34,1))</f>
        <v/>
      </c>
      <c r="FQ30" s="29" t="str">
        <f>IF(OR($B30="",$A30&lt;35),"",--MID('Key Analysis'!$C26,35,1))</f>
        <v/>
      </c>
      <c r="FR30" s="29" t="str">
        <f>IF(OR($B30="",$A30&lt;36),"",--MID('Key Analysis'!$C26,36,1))</f>
        <v/>
      </c>
      <c r="FS30" s="29" t="str">
        <f>IF(OR($B30="",$A30&lt;37),"",--MID('Key Analysis'!$C26,37,1))</f>
        <v/>
      </c>
      <c r="FT30" s="29" t="str">
        <f>IF(OR($B30="",$A30&lt;38),"",--MID('Key Analysis'!$C26,38,1))</f>
        <v/>
      </c>
      <c r="FU30" s="29" t="str">
        <f>IF(OR($B30="",$A30&lt;39),"",--MID('Key Analysis'!$C26,39,1))</f>
        <v/>
      </c>
      <c r="FV30" s="29" t="str">
        <f>IF(OR($B30="",$A30&lt;40),"",--MID('Key Analysis'!$C26,40,1))</f>
        <v/>
      </c>
      <c r="FW30" s="29" t="str">
        <f>IF(OR($B30="",$A30&lt;41),"",--MID('Key Analysis'!$C26,41,1))</f>
        <v/>
      </c>
      <c r="FX30" s="29" t="str">
        <f>IF(OR($B30="",$A30&lt;42),"",--MID('Key Analysis'!$C26,42,1))</f>
        <v/>
      </c>
      <c r="FY30" s="29" t="str">
        <f>IF(OR($B30="",$A30&lt;43),"",--MID('Key Analysis'!$C26,43,1))</f>
        <v/>
      </c>
      <c r="FZ30" s="29" t="str">
        <f>IF(OR($B30="",$A30&lt;44),"",--MID('Key Analysis'!$C26,44,1))</f>
        <v/>
      </c>
      <c r="GA30" s="29" t="str">
        <f>IF(OR($B30="",$A30&lt;45),"",--MID('Key Analysis'!$C26,45,1))</f>
        <v/>
      </c>
      <c r="GB30" s="29" t="str">
        <f>IF(OR($B30="",$A30&lt;46),"",--MID('Key Analysis'!$C26,46,1))</f>
        <v/>
      </c>
      <c r="GC30" s="29" t="str">
        <f>IF(OR($B30="",$A30&lt;47),"",--MID('Key Analysis'!$C26,47,1))</f>
        <v/>
      </c>
      <c r="GD30" s="29" t="str">
        <f>IF(OR($B30="",$A30&lt;48),"",--MID('Key Analysis'!$C26,48,1))</f>
        <v/>
      </c>
      <c r="GE30" s="29" t="str">
        <f>IF(OR($B30="",$A30&lt;49),"",--MID('Key Analysis'!$C26,49,1))</f>
        <v/>
      </c>
      <c r="GF30" s="29" t="str">
        <f>IF(OR($B30="",$A30&lt;50),"",--MID('Key Analysis'!$C26,50,1))</f>
        <v/>
      </c>
      <c r="GG30" s="29" t="str">
        <f>IF(OR($B30="",$A30&lt;51),"",--MID('Key Analysis'!$C26,51,1))</f>
        <v/>
      </c>
      <c r="GH30" s="29" t="str">
        <f>IF(OR($B30="",$A30&lt;52),"",--MID('Key Analysis'!$C26,52,1))</f>
        <v/>
      </c>
      <c r="GI30" s="29" t="str">
        <f>IF(OR($B30="",$A30&lt;53),"",--MID('Key Analysis'!$C26,53,1))</f>
        <v/>
      </c>
      <c r="GJ30" s="29" t="str">
        <f>IF(OR($B30="",$A30&lt;54),"",--MID('Key Analysis'!$C26,54,1))</f>
        <v/>
      </c>
      <c r="GK30" s="29" t="str">
        <f>IF(OR($B30="",$A30&lt;55),"",--MID('Key Analysis'!$C26,55,1))</f>
        <v/>
      </c>
      <c r="GL30" s="29" t="str">
        <f>IF(OR($B30="",$A30&lt;56),"",--MID('Key Analysis'!$C26,56,1))</f>
        <v/>
      </c>
      <c r="GM30" s="29" t="str">
        <f>IF(OR($B30="",$A30&lt;57),"",--MID('Key Analysis'!$C26,57,1))</f>
        <v/>
      </c>
      <c r="GN30" s="29" t="str">
        <f>IF(OR($B30="",$A30&lt;58),"",--MID('Key Analysis'!$C26,58,1))</f>
        <v/>
      </c>
      <c r="GO30" s="29" t="str">
        <f>IF(OR($B30="",$A30&lt;59),"",--MID('Key Analysis'!$C26,59,1))</f>
        <v/>
      </c>
      <c r="GP30" s="29" t="str">
        <f>IF(OR($B30="",$A30&lt;60),"",--MID('Key Analysis'!$C26,60,1))</f>
        <v/>
      </c>
      <c r="GQ30" s="29" t="str">
        <f>IF(OR($B30="",$A30&lt;61),"",--MID('Key Analysis'!$C26,61,1))</f>
        <v/>
      </c>
      <c r="GR30" s="29" t="str">
        <f>IF(OR($B30="",$A30&lt;62),"",--MID('Key Analysis'!$C26,62,1))</f>
        <v/>
      </c>
      <c r="GS30" s="29" t="str">
        <f>IF(OR($B30="",$A30&lt;63),"",--MID('Key Analysis'!$C26,63,1))</f>
        <v/>
      </c>
      <c r="GT30" s="29" t="str">
        <f>IF(OR($B30="",$A30&lt;64),"",--MID('Key Analysis'!$C26,64,1))</f>
        <v/>
      </c>
      <c r="GU30" s="29" t="str">
        <f>IF(OR($B30="",$A30&lt;65),"",--MID('Key Analysis'!$C26,65,1))</f>
        <v/>
      </c>
      <c r="GV30" s="29" t="str">
        <f>IF(OR($B30="",$A30&lt;66),"",--MID('Key Analysis'!$C26,66,1))</f>
        <v/>
      </c>
      <c r="GW30" s="29" t="str">
        <f>IF(OR($B30="",$A30&lt;67),"",--MID('Key Analysis'!$C26,67,1))</f>
        <v/>
      </c>
      <c r="GX30" s="29" t="str">
        <f>IF(OR($B30="",$A30&lt;68),"",--MID('Key Analysis'!$C26,68,1))</f>
        <v/>
      </c>
      <c r="GY30" s="29" t="str">
        <f>IF(OR($B30="",$A30&lt;69),"",--MID('Key Analysis'!$C26,69,1))</f>
        <v/>
      </c>
      <c r="GZ30" s="29" t="str">
        <f>IF(OR($B30="",$A30&lt;70),"",--MID('Key Analysis'!$C26,70,1))</f>
        <v/>
      </c>
      <c r="HA30" s="29" t="str">
        <f>IF(OR($B30="",$A30&lt;71),"",--MID('Key Analysis'!$C26,71,1))</f>
        <v/>
      </c>
      <c r="HB30" s="29" t="str">
        <f>IF(OR($B30="",$A30&lt;72),"",--MID('Key Analysis'!$C26,72,1))</f>
        <v/>
      </c>
      <c r="HC30" s="29" t="str">
        <f>IF(OR($B30="",$A30&lt;73),"",--MID('Key Analysis'!$C26,73,1))</f>
        <v/>
      </c>
      <c r="HD30" s="29" t="str">
        <f>IF(OR($B30="",$A30&lt;74),"",--MID('Key Analysis'!$C26,74,1))</f>
        <v/>
      </c>
      <c r="HE30" s="29" t="str">
        <f>IF(OR($B30="",$A30&lt;75),"",--MID('Key Analysis'!$C26,75,1))</f>
        <v/>
      </c>
      <c r="HF30" s="29" t="str">
        <f>IF(OR($B30="",$A30&lt;76),"",--MID('Key Analysis'!$C26,76,1))</f>
        <v/>
      </c>
      <c r="HG30" s="29" t="str">
        <f>IF(OR($B30="",$A30&lt;77),"",--MID('Key Analysis'!$C26,77,1))</f>
        <v/>
      </c>
      <c r="HH30" s="29" t="str">
        <f>IF(OR($B30="",$A30&lt;78),"",--MID('Key Analysis'!$C26,78,1))</f>
        <v/>
      </c>
      <c r="HI30" s="29" t="str">
        <f>IF(OR($B30="",$A30&lt;79),"",--MID('Key Analysis'!$C26,79,1))</f>
        <v/>
      </c>
      <c r="HJ30" s="29" t="str">
        <f>IF(OR($B30="",$A30&lt;80),"",--MID('Key Analysis'!$C26,80,1))</f>
        <v/>
      </c>
      <c r="HK30" s="29" t="str">
        <f>IF(OR($B30="",$A30&lt;81),"",--MID('Key Analysis'!$C26,81,1))</f>
        <v/>
      </c>
      <c r="HL30" s="29" t="str">
        <f>IF(OR($B30="",$A30&lt;82),"",--MID('Key Analysis'!$C26,82,1))</f>
        <v/>
      </c>
      <c r="HM30" s="29" t="str">
        <f>IF(OR($B30="",$A30&lt;83),"",--MID('Key Analysis'!$C26,83,1))</f>
        <v/>
      </c>
      <c r="HN30" s="29" t="str">
        <f>IF(OR($B30="",$A30&lt;84),"",--MID('Key Analysis'!$C26,84,1))</f>
        <v/>
      </c>
      <c r="HO30" s="29" t="str">
        <f>IF(OR($B30="",$A30&lt;85),"",--MID('Key Analysis'!$C26,85,1))</f>
        <v/>
      </c>
      <c r="HP30" s="29" t="str">
        <f>IF(OR($B30="",$A30&lt;86),"",--MID('Key Analysis'!$C26,86,1))</f>
        <v/>
      </c>
      <c r="HQ30" s="29" t="str">
        <f>IF(OR($B30="",$A30&lt;87),"",--MID('Key Analysis'!$C26,87,1))</f>
        <v/>
      </c>
      <c r="HR30" s="29" t="str">
        <f>IF(OR($B30="",$A30&lt;88),"",--MID('Key Analysis'!$C26,88,1))</f>
        <v/>
      </c>
      <c r="HS30" s="29" t="str">
        <f>IF(OR($B30="",$A30&lt;89),"",--MID('Key Analysis'!$C26,89,1))</f>
        <v/>
      </c>
      <c r="HT30" s="29" t="str">
        <f>IF(OR($B30="",$A30&lt;90),"",--MID('Key Analysis'!$C26,90,1))</f>
        <v/>
      </c>
      <c r="HU30" s="29" t="str">
        <f>IF(OR($B30="",$A30&lt;91),"",--MID('Key Analysis'!$C26,91,1))</f>
        <v/>
      </c>
      <c r="HV30" s="29" t="str">
        <f>IF(OR($B30="",$A30&lt;92),"",--MID('Key Analysis'!$C26,92,1))</f>
        <v/>
      </c>
      <c r="HW30" s="29" t="str">
        <f>IF(OR($B30="",$A30&lt;93),"",--MID('Key Analysis'!$C26,93,1))</f>
        <v/>
      </c>
      <c r="HX30" s="29" t="str">
        <f>IF(OR($B30="",$A30&lt;94),"",--MID('Key Analysis'!$C26,94,1))</f>
        <v/>
      </c>
      <c r="HY30" s="29" t="str">
        <f>IF(OR($B30="",$A30&lt;95),"",--MID('Key Analysis'!$C26,95,1))</f>
        <v/>
      </c>
      <c r="HZ30" s="29" t="str">
        <f>IF(OR($B30="",$A30&lt;96),"",--MID('Key Analysis'!$C26,96,1))</f>
        <v/>
      </c>
      <c r="IA30" s="29" t="str">
        <f>IF(OR($B30="",$A30&lt;97),"",--MID('Key Analysis'!$C26,97,1))</f>
        <v/>
      </c>
      <c r="IB30" s="29" t="str">
        <f>IF(OR($B30="",$A30&lt;98),"",--MID('Key Analysis'!$C26,98,1))</f>
        <v/>
      </c>
      <c r="IC30" s="29" t="str">
        <f>IF(OR($B30="",$A30&lt;99),"",--MID('Key Analysis'!$C26,99,1))</f>
        <v/>
      </c>
      <c r="ID30" s="29" t="str">
        <f>IF(OR($B30="",$A30&lt;100),"",--MID('Key Analysis'!$C26,100,1))</f>
        <v/>
      </c>
      <c r="IE30" s="29" t="str">
        <f>IF(OR($B30="",$A30&lt;101),"",--MID('Key Analysis'!$C26,101,1))</f>
        <v/>
      </c>
      <c r="IF30" s="29" t="str">
        <f>IF(OR($B30="",$A30&lt;102),"",--MID('Key Analysis'!$C26,102,1))</f>
        <v/>
      </c>
      <c r="IG30" s="29" t="str">
        <f>IF(OR($B30="",$A30&lt;103),"",--MID('Key Analysis'!$C26,103,1))</f>
        <v/>
      </c>
      <c r="IH30" s="29" t="str">
        <f>IF(OR($B30="",$A30&lt;104),"",--MID('Key Analysis'!$C26,104,1))</f>
        <v/>
      </c>
      <c r="II30" s="29" t="str">
        <f>IF(OR($B30="",$A30&lt;105),"",--MID('Key Analysis'!$C26,105,1))</f>
        <v/>
      </c>
      <c r="IJ30" s="29" t="str">
        <f>IF(OR($B30="",$A30&lt;106),"",--MID('Key Analysis'!$C26,106,1))</f>
        <v/>
      </c>
      <c r="IK30" s="29" t="str">
        <f>IF(OR($B30="",$A30&lt;107),"",--MID('Key Analysis'!$C26,107,1))</f>
        <v/>
      </c>
      <c r="IL30" s="29" t="str">
        <f>IF(OR($B30="",$A30&lt;108),"",--MID('Key Analysis'!$C26,108,1))</f>
        <v/>
      </c>
      <c r="IM30" s="29" t="str">
        <f>IF(OR($B30="",$A30&lt;109),"",--MID('Key Analysis'!$C26,109,1))</f>
        <v/>
      </c>
      <c r="IN30" s="29" t="str">
        <f>IF(OR($B30="",$A30&lt;110),"",--MID('Key Analysis'!$C26,110,1))</f>
        <v/>
      </c>
      <c r="IO30" s="29" t="str">
        <f>IF(OR($B30="",$A30&lt;111),"",--MID('Key Analysis'!$C26,111,1))</f>
        <v/>
      </c>
      <c r="IP30" s="29" t="str">
        <f>IF(OR($B30="",$A30&lt;112),"",--MID('Key Analysis'!$C26,112,1))</f>
        <v/>
      </c>
      <c r="IQ30" s="29" t="str">
        <f>IF(OR($B30="",$A30&lt;113),"",--MID('Key Analysis'!$C26,113,1))</f>
        <v/>
      </c>
      <c r="IR30" s="29" t="str">
        <f>IF(OR($B30="",$A30&lt;114),"",--MID('Key Analysis'!$C26,114,1))</f>
        <v/>
      </c>
      <c r="IS30" s="29" t="str">
        <f>IF(OR($B30="",$A30&lt;115),"",--MID('Key Analysis'!$C26,115,1))</f>
        <v/>
      </c>
      <c r="IT30" s="29" t="str">
        <f>IF(OR($B30="",$A30&lt;116),"",--MID('Key Analysis'!$C26,116,1))</f>
        <v/>
      </c>
      <c r="IU30" s="29" t="str">
        <f>IF(OR($B30="",$A30&lt;117),"",--MID('Key Analysis'!$C26,117,1))</f>
        <v/>
      </c>
      <c r="IV30" s="29" t="str">
        <f>IF(OR($B30="",$A30&lt;118),"",--MID('Key Analysis'!$C26,118,1))</f>
        <v/>
      </c>
      <c r="IW30" s="29" t="str">
        <f>IF(OR($B30="",$A30&lt;119),"",--MID('Key Analysis'!$C26,119,1))</f>
        <v/>
      </c>
      <c r="IX30" s="29" t="str">
        <f>IF(OR($B30="",$A30&lt;120),"",--MID('Key Analysis'!$C26,120,1))</f>
        <v/>
      </c>
      <c r="IY30" s="29" t="str">
        <f>IF(OR($B30="",$A30&lt;121),"",--MID('Key Analysis'!$C26,121,1))</f>
        <v/>
      </c>
      <c r="IZ30" s="29" t="str">
        <f>IF(OR($B30="",$A30&lt;122),"",--MID('Key Analysis'!$C26,122,1))</f>
        <v/>
      </c>
      <c r="JA30" s="29" t="str">
        <f>IF(OR($B30="",$A30&lt;123),"",--MID('Key Analysis'!$C26,123,1))</f>
        <v/>
      </c>
      <c r="JB30" s="29" t="str">
        <f>IF(OR($B30="",$A30&lt;124),"",--MID('Key Analysis'!$C26,124,1))</f>
        <v/>
      </c>
      <c r="JC30" s="29" t="str">
        <f>IF(OR($B30="",$A30&lt;125),"",--MID('Key Analysis'!$C26,125,1))</f>
        <v/>
      </c>
      <c r="JD30" s="29" t="str">
        <f>IF(OR($B30="",$A30&lt;126),"",--MID('Key Analysis'!$C26,126,1))</f>
        <v/>
      </c>
      <c r="JE30" s="29" t="str">
        <f>IF(OR($B30="",$A30&lt;127),"",--MID('Key Analysis'!$C26,127,1))</f>
        <v/>
      </c>
      <c r="JF30" s="29" t="str">
        <f>IF(OR($B30="",$A30&lt;128),"",--MID('Key Analysis'!$C26,128,1))</f>
        <v/>
      </c>
      <c r="JG30" s="29" t="str">
        <f>IF(OR($B30="",$A30&lt;129),"",--MID('Key Analysis'!$C26,129,1))</f>
        <v/>
      </c>
      <c r="JH30" s="29" t="str">
        <f>IF(OR($B30="",$A30&lt;130),"",--MID('Key Analysis'!$C26,130,1))</f>
        <v/>
      </c>
      <c r="JI30" s="29" t="str">
        <f>IF(OR($B30="",$A30&lt;131),"",--MID('Key Analysis'!$C26,131,1))</f>
        <v/>
      </c>
      <c r="JJ30" s="29" t="str">
        <f>IF(OR($B30="",$A30&lt;132),"",--MID('Key Analysis'!$C26,132,1))</f>
        <v/>
      </c>
      <c r="JK30" s="29" t="str">
        <f>IF(OR($B30="",$A30&lt;133),"",--MID('Key Analysis'!$C26,133,1))</f>
        <v/>
      </c>
      <c r="JL30" s="29" t="str">
        <f>IF(OR($B30="",$A30&lt;134),"",--MID('Key Analysis'!$C26,134,1))</f>
        <v/>
      </c>
      <c r="JM30" s="29" t="str">
        <f>IF(OR($B30="",$A30&lt;135),"",--MID('Key Analysis'!$C26,135,1))</f>
        <v/>
      </c>
    </row>
    <row r="31" spans="1:273" x14ac:dyDescent="0.25">
      <c r="A31" s="21">
        <f>'Key Analysis'!A27</f>
        <v>26</v>
      </c>
      <c r="B31" s="30" t="str">
        <f>'Key Analysis'!B27</f>
        <v>340326e</v>
      </c>
      <c r="C31" s="29">
        <f>IF(OR($B31="",$A31&lt;=0),"",--MID('Key Analysis'!$C27,$A31-0,1))</f>
        <v>0</v>
      </c>
      <c r="D31" s="29">
        <f>IF(OR($B31="",$A31&lt;=1),"",--MID('Key Analysis'!$C27,$A31-1,1))</f>
        <v>1</v>
      </c>
      <c r="E31" s="29">
        <f>IF(OR($B31="",$A31&lt;=2),"",--MID('Key Analysis'!$C27,$A31-2,1))</f>
        <v>1</v>
      </c>
      <c r="F31" s="29">
        <f>IF(OR($B31="",$A31&lt;=3),"",--MID('Key Analysis'!$C27,$A31-3,1))</f>
        <v>1</v>
      </c>
      <c r="G31" s="29">
        <f>IF(OR($B31="",$A31&lt;=4),"",--MID('Key Analysis'!$C27,$A31-4,1))</f>
        <v>0</v>
      </c>
      <c r="H31" s="29">
        <f>IF(OR($B31="",$A31&lt;=5),"",--MID('Key Analysis'!$C27,$A31-5,1))</f>
        <v>1</v>
      </c>
      <c r="I31" s="29">
        <f>IF(OR($B31="",$A31&lt;=6),"",--MID('Key Analysis'!$C27,$A31-6,1))</f>
        <v>1</v>
      </c>
      <c r="J31" s="29">
        <f>IF(OR($B31="",$A31&lt;=7),"",--MID('Key Analysis'!$C27,$A31-7,1))</f>
        <v>0</v>
      </c>
      <c r="K31" s="29">
        <f>IF(OR($B31="",$A31&lt;=8),"",--MID('Key Analysis'!$C27,$A31-8,1))</f>
        <v>0</v>
      </c>
      <c r="L31" s="29">
        <f>IF(OR($B31="",$A31&lt;=9),"",--MID('Key Analysis'!$C27,$A31-9,1))</f>
        <v>1</v>
      </c>
      <c r="M31" s="29">
        <f>IF(OR($B31="",$A31&lt;=10),"",--MID('Key Analysis'!$C27,$A31-10,1))</f>
        <v>0</v>
      </c>
      <c r="N31" s="29">
        <f>IF(OR($B31="",$A31&lt;=11),"",--MID('Key Analysis'!$C27,$A31-11,1))</f>
        <v>0</v>
      </c>
      <c r="O31" s="29">
        <f>IF(OR($B31="",$A31&lt;=12),"",--MID('Key Analysis'!$C27,$A31-12,1))</f>
        <v>1</v>
      </c>
      <c r="P31" s="29">
        <f>IF(OR($B31="",$A31&lt;=13),"",--MID('Key Analysis'!$C27,$A31-13,1))</f>
        <v>1</v>
      </c>
      <c r="Q31" s="29">
        <f>IF(OR($B31="",$A31&lt;=14),"",--MID('Key Analysis'!$C27,$A31-14,1))</f>
        <v>0</v>
      </c>
      <c r="R31" s="29">
        <f>IF(OR($B31="",$A31&lt;=15),"",--MID('Key Analysis'!$C27,$A31-15,1))</f>
        <v>0</v>
      </c>
      <c r="S31" s="29">
        <f>IF(OR($B31="",$A31&lt;=16),"",--MID('Key Analysis'!$C27,$A31-16,1))</f>
        <v>0</v>
      </c>
      <c r="T31" s="29">
        <f>IF(OR($B31="",$A31&lt;=17),"",--MID('Key Analysis'!$C27,$A31-17,1))</f>
        <v>0</v>
      </c>
      <c r="U31" s="29">
        <f>IF(OR($B31="",$A31&lt;=18),"",--MID('Key Analysis'!$C27,$A31-18,1))</f>
        <v>0</v>
      </c>
      <c r="V31" s="29">
        <f>IF(OR($B31="",$A31&lt;=19),"",--MID('Key Analysis'!$C27,$A31-19,1))</f>
        <v>0</v>
      </c>
      <c r="W31" s="29">
        <f>IF(OR($B31="",$A31&lt;=20),"",--MID('Key Analysis'!$C27,$A31-20,1))</f>
        <v>0</v>
      </c>
      <c r="X31" s="29">
        <f>IF(OR($B31="",$A31&lt;=21),"",--MID('Key Analysis'!$C27,$A31-21,1))</f>
        <v>0</v>
      </c>
      <c r="Y31" s="29">
        <f>IF(OR($B31="",$A31&lt;=22),"",--MID('Key Analysis'!$C27,$A31-22,1))</f>
        <v>1</v>
      </c>
      <c r="Z31" s="29">
        <f>IF(OR($B31="",$A31&lt;=23),"",--MID('Key Analysis'!$C27,$A31-23,1))</f>
        <v>0</v>
      </c>
      <c r="AA31" s="29">
        <f>IF(OR($B31="",$A31&lt;=24),"",--MID('Key Analysis'!$C27,$A31-24,1))</f>
        <v>1</v>
      </c>
      <c r="AB31" s="29">
        <f>IF(OR($B31="",$A31&lt;=25),"",--MID('Key Analysis'!$C27,$A31-25,1))</f>
        <v>1</v>
      </c>
      <c r="AC31" s="29" t="str">
        <f>IF(OR($B31="",$A31&lt;=26),"",--MID('Key Analysis'!$C27,$A31-26,1))</f>
        <v/>
      </c>
      <c r="AD31" s="29" t="str">
        <f>IF(OR($B31="",$A31&lt;=27),"",--MID('Key Analysis'!$C27,$A31-27,1))</f>
        <v/>
      </c>
      <c r="AE31" s="29" t="str">
        <f>IF(OR($B31="",$A31&lt;=28),"",--MID('Key Analysis'!$C27,$A31-28,1))</f>
        <v/>
      </c>
      <c r="AF31" s="29" t="str">
        <f>IF(OR($B31="",$A31&lt;=29),"",--MID('Key Analysis'!$C27,$A31-29,1))</f>
        <v/>
      </c>
      <c r="AG31" s="29" t="str">
        <f>IF(OR($B31="",$A31&lt;=30),"",--MID('Key Analysis'!$C27,$A31-30,1))</f>
        <v/>
      </c>
      <c r="AH31" s="29" t="str">
        <f>IF(OR($B31="",$A31&lt;=31),"",--MID('Key Analysis'!$C27,$A31-31,1))</f>
        <v/>
      </c>
      <c r="AI31" s="29" t="str">
        <f>IF(OR($B31="",$A31&lt;=32),"",--MID('Key Analysis'!$C27,$A31-32,1))</f>
        <v/>
      </c>
      <c r="AJ31" s="29" t="str">
        <f>IF(OR($B31="",$A31&lt;=33),"",--MID('Key Analysis'!$C27,$A31-33,1))</f>
        <v/>
      </c>
      <c r="AK31" s="29" t="str">
        <f>IF(OR($B31="",$A31&lt;=34),"",--MID('Key Analysis'!$C27,$A31-34,1))</f>
        <v/>
      </c>
      <c r="AL31" s="29" t="str">
        <f>IF(OR($B31="",$A31&lt;=35),"",--MID('Key Analysis'!$C27,$A31-35,1))</f>
        <v/>
      </c>
      <c r="AM31" s="29" t="str">
        <f>IF(OR($B31="",$A31&lt;=36),"",--MID('Key Analysis'!$C27,$A31-36,1))</f>
        <v/>
      </c>
      <c r="AN31" s="29" t="str">
        <f>IF(OR($B31="",$A31&lt;=37),"",--MID('Key Analysis'!$C27,$A31-37,1))</f>
        <v/>
      </c>
      <c r="AO31" s="29" t="str">
        <f>IF(OR($B31="",$A31&lt;=38),"",--MID('Key Analysis'!$C27,$A31-38,1))</f>
        <v/>
      </c>
      <c r="AP31" s="29" t="str">
        <f>IF(OR($B31="",$A31&lt;=39),"",--MID('Key Analysis'!$C27,$A31-39,1))</f>
        <v/>
      </c>
      <c r="AQ31" s="29" t="str">
        <f>IF(OR($B31="",$A31&lt;=40),"",--MID('Key Analysis'!$C27,$A31-40,1))</f>
        <v/>
      </c>
      <c r="AR31" s="29" t="str">
        <f>IF(OR($B31="",$A31&lt;=41),"",--MID('Key Analysis'!$C27,$A31-41,1))</f>
        <v/>
      </c>
      <c r="AS31" s="29" t="str">
        <f>IF(OR($B31="",$A31&lt;=42),"",--MID('Key Analysis'!$C27,$A31-42,1))</f>
        <v/>
      </c>
      <c r="AT31" s="29" t="str">
        <f>IF(OR($B31="",$A31&lt;=43),"",--MID('Key Analysis'!$C27,$A31-43,1))</f>
        <v/>
      </c>
      <c r="AU31" s="29" t="str">
        <f>IF(OR($B31="",$A31&lt;=44),"",--MID('Key Analysis'!$C27,$A31-44,1))</f>
        <v/>
      </c>
      <c r="AV31" s="29" t="str">
        <f>IF(OR($B31="",$A31&lt;=45),"",--MID('Key Analysis'!$C27,$A31-45,1))</f>
        <v/>
      </c>
      <c r="AW31" s="29" t="str">
        <f>IF(OR($B31="",$A31&lt;=46),"",--MID('Key Analysis'!$C27,$A31-46,1))</f>
        <v/>
      </c>
      <c r="AX31" s="29" t="str">
        <f>IF(OR($B31="",$A31&lt;=47),"",--MID('Key Analysis'!$C27,$A31-47,1))</f>
        <v/>
      </c>
      <c r="AY31" s="29" t="str">
        <f>IF(OR($B31="",$A31&lt;=48),"",--MID('Key Analysis'!$C27,$A31-48,1))</f>
        <v/>
      </c>
      <c r="AZ31" s="29" t="str">
        <f>IF(OR($B31="",$A31&lt;=49),"",--MID('Key Analysis'!$C27,$A31-49,1))</f>
        <v/>
      </c>
      <c r="BA31" s="29" t="str">
        <f>IF(OR($B31="",$A31&lt;=50),"",--MID('Key Analysis'!$C27,$A31-50,1))</f>
        <v/>
      </c>
      <c r="BB31" s="29" t="str">
        <f>IF(OR($B31="",$A31&lt;=51),"",--MID('Key Analysis'!$C27,$A31-51,1))</f>
        <v/>
      </c>
      <c r="BC31" s="29" t="str">
        <f>IF(OR($B31="",$A31&lt;=52),"",--MID('Key Analysis'!$C27,$A31-52,1))</f>
        <v/>
      </c>
      <c r="BD31" s="29" t="str">
        <f>IF(OR($B31="",$A31&lt;=53),"",--MID('Key Analysis'!$C27,$A31-53,1))</f>
        <v/>
      </c>
      <c r="BE31" s="29" t="str">
        <f>IF(OR($B31="",$A31&lt;=54),"",--MID('Key Analysis'!$C27,$A31-54,1))</f>
        <v/>
      </c>
      <c r="BF31" s="29" t="str">
        <f>IF(OR($B31="",$A31&lt;=55),"",--MID('Key Analysis'!$C27,$A31-55,1))</f>
        <v/>
      </c>
      <c r="BG31" s="29" t="str">
        <f>IF(OR($B31="",$A31&lt;=56),"",--MID('Key Analysis'!$C27,$A31-56,1))</f>
        <v/>
      </c>
      <c r="BH31" s="29" t="str">
        <f>IF(OR($B31="",$A31&lt;=57),"",--MID('Key Analysis'!$C27,$A31-57,1))</f>
        <v/>
      </c>
      <c r="BI31" s="29" t="str">
        <f>IF(OR($B31="",$A31&lt;=58),"",--MID('Key Analysis'!$C27,$A31-58,1))</f>
        <v/>
      </c>
      <c r="BJ31" s="29" t="str">
        <f>IF(OR($B31="",$A31&lt;=59),"",--MID('Key Analysis'!$C27,$A31-59,1))</f>
        <v/>
      </c>
      <c r="BK31" s="29" t="str">
        <f>IF(OR($B31="",$A31&lt;=60),"",--MID('Key Analysis'!$C27,$A31-60,1))</f>
        <v/>
      </c>
      <c r="BL31" s="29" t="str">
        <f>IF(OR($B31="",$A31&lt;=61),"",--MID('Key Analysis'!$C27,$A31-61,1))</f>
        <v/>
      </c>
      <c r="BM31" s="29" t="str">
        <f>IF(OR($B31="",$A31&lt;=62),"",--MID('Key Analysis'!$C27,$A31-62,1))</f>
        <v/>
      </c>
      <c r="BN31" s="29" t="str">
        <f>IF(OR($B31="",$A31&lt;=63),"",--MID('Key Analysis'!$C27,$A31-63,1))</f>
        <v/>
      </c>
      <c r="BO31" s="29" t="str">
        <f>IF(OR($B31="",$A31&lt;=64),"",--MID('Key Analysis'!$C27,$A31-64,1))</f>
        <v/>
      </c>
      <c r="BP31" s="29" t="str">
        <f>IF(OR($B31="",$A31&lt;=65),"",--MID('Key Analysis'!$C27,$A31-65,1))</f>
        <v/>
      </c>
      <c r="BQ31" s="29" t="str">
        <f>IF(OR($B31="",$A31&lt;=66),"",--MID('Key Analysis'!$C27,$A31-66,1))</f>
        <v/>
      </c>
      <c r="BR31" s="29" t="str">
        <f>IF(OR($B31="",$A31&lt;=67),"",--MID('Key Analysis'!$C27,$A31-67,1))</f>
        <v/>
      </c>
      <c r="BS31" s="29" t="str">
        <f>IF(OR($B31="",$A31&lt;=68),"",--MID('Key Analysis'!$C27,$A31-68,1))</f>
        <v/>
      </c>
      <c r="BT31" s="29" t="str">
        <f>IF(OR($B31="",$A31&lt;=69),"",--MID('Key Analysis'!$C27,$A31-69,1))</f>
        <v/>
      </c>
      <c r="BU31" s="29" t="str">
        <f>IF(OR($B31="",$A31&lt;=70),"",--MID('Key Analysis'!$C27,$A31-70,1))</f>
        <v/>
      </c>
      <c r="BV31" s="29" t="str">
        <f>IF(OR($B31="",$A31&lt;=71),"",--MID('Key Analysis'!$C27,$A31-71,1))</f>
        <v/>
      </c>
      <c r="BW31" s="29" t="str">
        <f>IF(OR($B31="",$A31&lt;=72),"",--MID('Key Analysis'!$C27,$A31-72,1))</f>
        <v/>
      </c>
      <c r="BX31" s="29" t="str">
        <f>IF(OR($B31="",$A31&lt;=73),"",--MID('Key Analysis'!$C27,$A31-73,1))</f>
        <v/>
      </c>
      <c r="BY31" s="29" t="str">
        <f>IF(OR($B31="",$A31&lt;=74),"",--MID('Key Analysis'!$C27,$A31-74,1))</f>
        <v/>
      </c>
      <c r="BZ31" s="29" t="str">
        <f>IF(OR($B31="",$A31&lt;=75),"",--MID('Key Analysis'!$C27,$A31-75,1))</f>
        <v/>
      </c>
      <c r="CA31" s="29" t="str">
        <f>IF(OR($B31="",$A31&lt;=76),"",--MID('Key Analysis'!$C27,$A31-76,1))</f>
        <v/>
      </c>
      <c r="CB31" s="29" t="str">
        <f>IF(OR($B31="",$A31&lt;=77),"",--MID('Key Analysis'!$C27,$A31-77,1))</f>
        <v/>
      </c>
      <c r="CC31" s="29" t="str">
        <f>IF(OR($B31="",$A31&lt;=78),"",--MID('Key Analysis'!$C27,$A31-78,1))</f>
        <v/>
      </c>
      <c r="CD31" s="29" t="str">
        <f>IF(OR($B31="",$A31&lt;=79),"",--MID('Key Analysis'!$C27,$A31-79,1))</f>
        <v/>
      </c>
      <c r="CE31" s="29" t="str">
        <f>IF(OR($B31="",$A31&lt;=80),"",--MID('Key Analysis'!$C27,$A31-80,1))</f>
        <v/>
      </c>
      <c r="CF31" s="29" t="str">
        <f>IF(OR($B31="",$A31&lt;=81),"",--MID('Key Analysis'!$C27,$A31-81,1))</f>
        <v/>
      </c>
      <c r="CG31" s="29" t="str">
        <f>IF(OR($B31="",$A31&lt;=82),"",--MID('Key Analysis'!$C27,$A31-82,1))</f>
        <v/>
      </c>
      <c r="CH31" s="29" t="str">
        <f>IF(OR($B31="",$A31&lt;=83),"",--MID('Key Analysis'!$C27,$A31-83,1))</f>
        <v/>
      </c>
      <c r="CI31" s="29" t="str">
        <f>IF(OR($B31="",$A31&lt;=84),"",--MID('Key Analysis'!$C27,$A31-84,1))</f>
        <v/>
      </c>
      <c r="CJ31" s="29" t="str">
        <f>IF(OR($B31="",$A31&lt;=85),"",--MID('Key Analysis'!$C27,$A31-85,1))</f>
        <v/>
      </c>
      <c r="CK31" s="29" t="str">
        <f>IF(OR($B31="",$A31&lt;=86),"",--MID('Key Analysis'!$C27,$A31-86,1))</f>
        <v/>
      </c>
      <c r="CL31" s="29" t="str">
        <f>IF(OR($B31="",$A31&lt;=87),"",--MID('Key Analysis'!$C27,$A31-87,1))</f>
        <v/>
      </c>
      <c r="CM31" s="29" t="str">
        <f>IF(OR($B31="",$A31&lt;=88),"",--MID('Key Analysis'!$C27,$A31-88,1))</f>
        <v/>
      </c>
      <c r="CN31" s="29" t="str">
        <f>IF(OR($B31="",$A31&lt;=89),"",--MID('Key Analysis'!$C27,$A31-89,1))</f>
        <v/>
      </c>
      <c r="CO31" s="29" t="str">
        <f>IF(OR($B31="",$A31&lt;=90),"",--MID('Key Analysis'!$C27,$A31-90,1))</f>
        <v/>
      </c>
      <c r="CP31" s="29" t="str">
        <f>IF(OR($B31="",$A31&lt;=91),"",--MID('Key Analysis'!$C27,$A31-91,1))</f>
        <v/>
      </c>
      <c r="CQ31" s="29" t="str">
        <f>IF(OR($B31="",$A31&lt;=92),"",--MID('Key Analysis'!$C27,$A31-92,1))</f>
        <v/>
      </c>
      <c r="CR31" s="29" t="str">
        <f>IF(OR($B31="",$A31&lt;=93),"",--MID('Key Analysis'!$C27,$A31-93,1))</f>
        <v/>
      </c>
      <c r="CS31" s="29" t="str">
        <f>IF(OR($B31="",$A31&lt;=94),"",--MID('Key Analysis'!$C27,$A31-94,1))</f>
        <v/>
      </c>
      <c r="CT31" s="29" t="str">
        <f>IF(OR($B31="",$A31&lt;=95),"",--MID('Key Analysis'!$C27,$A31-95,1))</f>
        <v/>
      </c>
      <c r="CU31" s="29" t="str">
        <f>IF(OR($B31="",$A31&lt;=96),"",--MID('Key Analysis'!$C27,$A31-96,1))</f>
        <v/>
      </c>
      <c r="CV31" s="29" t="str">
        <f>IF(OR($B31="",$A31&lt;=97),"",--MID('Key Analysis'!$C27,$A31-97,1))</f>
        <v/>
      </c>
      <c r="CW31" s="29" t="str">
        <f>IF(OR($B31="",$A31&lt;=98),"",--MID('Key Analysis'!$C27,$A31-98,1))</f>
        <v/>
      </c>
      <c r="CX31" s="29" t="str">
        <f>IF(OR($B31="",$A31&lt;=99),"",--MID('Key Analysis'!$C27,$A31-99,1))</f>
        <v/>
      </c>
      <c r="CY31" s="29" t="str">
        <f>IF(OR($B31="",$A31&lt;=100),"",--MID('Key Analysis'!$C27,$A31-100,1))</f>
        <v/>
      </c>
      <c r="CZ31" s="29" t="str">
        <f>IF(OR($B31="",$A31&lt;=101),"",--MID('Key Analysis'!$C27,$A31-101,1))</f>
        <v/>
      </c>
      <c r="DA31" s="29" t="str">
        <f>IF(OR($B31="",$A31&lt;=102),"",--MID('Key Analysis'!$C27,$A31-102,1))</f>
        <v/>
      </c>
      <c r="DB31" s="29" t="str">
        <f>IF(OR($B31="",$A31&lt;=103),"",--MID('Key Analysis'!$C27,$A31-103,1))</f>
        <v/>
      </c>
      <c r="DC31" s="29" t="str">
        <f>IF(OR($B31="",$A31&lt;=104),"",--MID('Key Analysis'!$C27,$A31-104,1))</f>
        <v/>
      </c>
      <c r="DD31" s="29" t="str">
        <f>IF(OR($B31="",$A31&lt;=105),"",--MID('Key Analysis'!$C27,$A31-105,1))</f>
        <v/>
      </c>
      <c r="DE31" s="29" t="str">
        <f>IF(OR($B31="",$A31&lt;=106),"",--MID('Key Analysis'!$C27,$A31-106,1))</f>
        <v/>
      </c>
      <c r="DF31" s="29" t="str">
        <f>IF(OR($B31="",$A31&lt;=107),"",--MID('Key Analysis'!$C27,$A31-107,1))</f>
        <v/>
      </c>
      <c r="DG31" s="29" t="str">
        <f>IF(OR($B31="",$A31&lt;=108),"",--MID('Key Analysis'!$C27,$A31-108,1))</f>
        <v/>
      </c>
      <c r="DH31" s="29" t="str">
        <f>IF(OR($B31="",$A31&lt;=109),"",--MID('Key Analysis'!$C27,$A31-109,1))</f>
        <v/>
      </c>
      <c r="DI31" s="29" t="str">
        <f>IF(OR($B31="",$A31&lt;=110),"",--MID('Key Analysis'!$C27,$A31-110,1))</f>
        <v/>
      </c>
      <c r="DJ31" s="29" t="str">
        <f>IF(OR($B31="",$A31&lt;=111),"",--MID('Key Analysis'!$C27,$A31-111,1))</f>
        <v/>
      </c>
      <c r="DK31" s="29" t="str">
        <f>IF(OR($B31="",$A31&lt;=112),"",--MID('Key Analysis'!$C27,$A31-112,1))</f>
        <v/>
      </c>
      <c r="DL31" s="29" t="str">
        <f>IF(OR($B31="",$A31&lt;=113),"",--MID('Key Analysis'!$C27,$A31-113,1))</f>
        <v/>
      </c>
      <c r="DM31" s="29" t="str">
        <f>IF(OR($B31="",$A31&lt;=114),"",--MID('Key Analysis'!$C27,$A31-114,1))</f>
        <v/>
      </c>
      <c r="DN31" s="29" t="str">
        <f>IF(OR($B31="",$A31&lt;=115),"",--MID('Key Analysis'!$C27,$A31-115,1))</f>
        <v/>
      </c>
      <c r="DO31" s="29" t="str">
        <f>IF(OR($B31="",$A31&lt;=116),"",--MID('Key Analysis'!$C27,$A31-116,1))</f>
        <v/>
      </c>
      <c r="DP31" s="29" t="str">
        <f>IF(OR($B31="",$A31&lt;=117),"",--MID('Key Analysis'!$C27,$A31-117,1))</f>
        <v/>
      </c>
      <c r="DQ31" s="29" t="str">
        <f>IF(OR($B31="",$A31&lt;=118),"",--MID('Key Analysis'!$C27,$A31-118,1))</f>
        <v/>
      </c>
      <c r="DR31" s="29" t="str">
        <f>IF(OR($B31="",$A31&lt;=119),"",--MID('Key Analysis'!$C27,$A31-119,1))</f>
        <v/>
      </c>
      <c r="DS31" s="29" t="str">
        <f>IF(OR($B31="",$A31&lt;=120),"",--MID('Key Analysis'!$C27,$A31-120,1))</f>
        <v/>
      </c>
      <c r="DT31" s="29" t="str">
        <f>IF(OR($B31="",$A31&lt;=121),"",--MID('Key Analysis'!$C27,$A31-121,1))</f>
        <v/>
      </c>
      <c r="DU31" s="29" t="str">
        <f>IF(OR($B31="",$A31&lt;=122),"",--MID('Key Analysis'!$C27,$A31-122,1))</f>
        <v/>
      </c>
      <c r="DV31" s="29" t="str">
        <f>IF(OR($B31="",$A31&lt;=123),"",--MID('Key Analysis'!$C27,$A31-123,1))</f>
        <v/>
      </c>
      <c r="DW31" s="29" t="str">
        <f>IF(OR($B31="",$A31&lt;=124),"",--MID('Key Analysis'!$C27,$A31-124,1))</f>
        <v/>
      </c>
      <c r="DX31" s="29" t="str">
        <f>IF(OR($B31="",$A31&lt;=125),"",--MID('Key Analysis'!$C27,$A31-125,1))</f>
        <v/>
      </c>
      <c r="DY31" s="29" t="str">
        <f>IF(OR($B31="",$A31&lt;=126),"",--MID('Key Analysis'!$C27,$A31-126,1))</f>
        <v/>
      </c>
      <c r="DZ31" s="29" t="str">
        <f>IF(OR($B31="",$A31&lt;=127),"",--MID('Key Analysis'!$C27,$A31-127,1))</f>
        <v/>
      </c>
      <c r="EA31" s="29" t="str">
        <f>IF(OR($B31="",$A31&lt;=128),"",--MID('Key Analysis'!$C27,$A31-128,1))</f>
        <v/>
      </c>
      <c r="EB31" s="29" t="str">
        <f>IF(OR($B31="",$A31&lt;=129),"",--MID('Key Analysis'!$C27,$A31-129,1))</f>
        <v/>
      </c>
      <c r="EC31" s="29" t="str">
        <f>IF(OR($B31="",$A31&lt;=130),"",--MID('Key Analysis'!$C27,$A31-130,1))</f>
        <v/>
      </c>
      <c r="ED31" s="29" t="str">
        <f>IF(OR($B31="",$A31&lt;=131),"",--MID('Key Analysis'!$C27,$A31-131,1))</f>
        <v/>
      </c>
      <c r="EE31" s="29" t="str">
        <f>IF(OR($B31="",$A31&lt;=132),"",--MID('Key Analysis'!$C27,$A31-132,1))</f>
        <v/>
      </c>
      <c r="EF31" s="29" t="str">
        <f>IF(OR($B31="",$A31&lt;=133),"",--MID('Key Analysis'!$C27,$A31-133,1))</f>
        <v/>
      </c>
      <c r="EG31" s="29" t="str">
        <f>IF(OR($B31="",$A31&lt;=134),"",--MID('Key Analysis'!$C27,$A31-134,1))</f>
        <v/>
      </c>
      <c r="EH31" s="29"/>
      <c r="EI31" s="29">
        <f>IF(OR($B31="",$A31&lt;1),"",--MID('Key Analysis'!$C27,1,1))</f>
        <v>1</v>
      </c>
      <c r="EJ31" s="29">
        <f>IF(OR($B31="",$A31&lt;2),"",--MID('Key Analysis'!$C27,2,1))</f>
        <v>1</v>
      </c>
      <c r="EK31" s="29">
        <f>IF(OR($B31="",$A31&lt;3),"",--MID('Key Analysis'!$C27,3,1))</f>
        <v>0</v>
      </c>
      <c r="EL31" s="29">
        <f>IF(OR($B31="",$A31&lt;4),"",--MID('Key Analysis'!$C27,4,1))</f>
        <v>1</v>
      </c>
      <c r="EM31" s="29">
        <f>IF(OR($B31="",$A31&lt;5),"",--MID('Key Analysis'!$C27,5,1))</f>
        <v>0</v>
      </c>
      <c r="EN31" s="29">
        <f>IF(OR($B31="",$A31&lt;6),"",--MID('Key Analysis'!$C27,6,1))</f>
        <v>0</v>
      </c>
      <c r="EO31" s="29">
        <f>IF(OR($B31="",$A31&lt;7),"",--MID('Key Analysis'!$C27,7,1))</f>
        <v>0</v>
      </c>
      <c r="EP31" s="29">
        <f>IF(OR($B31="",$A31&lt;8),"",--MID('Key Analysis'!$C27,8,1))</f>
        <v>0</v>
      </c>
      <c r="EQ31" s="29">
        <f>IF(OR($B31="",$A31&lt;9),"",--MID('Key Analysis'!$C27,9,1))</f>
        <v>0</v>
      </c>
      <c r="ER31" s="29">
        <f>IF(OR($B31="",$A31&lt;10),"",--MID('Key Analysis'!$C27,10,1))</f>
        <v>0</v>
      </c>
      <c r="ES31" s="29">
        <f>IF(OR($B31="",$A31&lt;11),"",--MID('Key Analysis'!$C27,11,1))</f>
        <v>0</v>
      </c>
      <c r="ET31" s="29">
        <f>IF(OR($B31="",$A31&lt;12),"",--MID('Key Analysis'!$C27,12,1))</f>
        <v>0</v>
      </c>
      <c r="EU31" s="29">
        <f>IF(OR($B31="",$A31&lt;13),"",--MID('Key Analysis'!$C27,13,1))</f>
        <v>1</v>
      </c>
      <c r="EV31" s="29">
        <f>IF(OR($B31="",$A31&lt;14),"",--MID('Key Analysis'!$C27,14,1))</f>
        <v>1</v>
      </c>
      <c r="EW31" s="29">
        <f>IF(OR($B31="",$A31&lt;15),"",--MID('Key Analysis'!$C27,15,1))</f>
        <v>0</v>
      </c>
      <c r="EX31" s="29">
        <f>IF(OR($B31="",$A31&lt;16),"",--MID('Key Analysis'!$C27,16,1))</f>
        <v>0</v>
      </c>
      <c r="EY31" s="29">
        <f>IF(OR($B31="",$A31&lt;17),"",--MID('Key Analysis'!$C27,17,1))</f>
        <v>1</v>
      </c>
      <c r="EZ31" s="29">
        <f>IF(OR($B31="",$A31&lt;18),"",--MID('Key Analysis'!$C27,18,1))</f>
        <v>0</v>
      </c>
      <c r="FA31" s="29">
        <f>IF(OR($B31="",$A31&lt;19),"",--MID('Key Analysis'!$C27,19,1))</f>
        <v>0</v>
      </c>
      <c r="FB31" s="29">
        <f>IF(OR($B31="",$A31&lt;20),"",--MID('Key Analysis'!$C27,20,1))</f>
        <v>1</v>
      </c>
      <c r="FC31" s="29">
        <f>IF(OR($B31="",$A31&lt;21),"",--MID('Key Analysis'!$C27,21,1))</f>
        <v>1</v>
      </c>
      <c r="FD31" s="29">
        <f>IF(OR($B31="",$A31&lt;22),"",--MID('Key Analysis'!$C27,22,1))</f>
        <v>0</v>
      </c>
      <c r="FE31" s="29">
        <f>IF(OR($B31="",$A31&lt;23),"",--MID('Key Analysis'!$C27,23,1))</f>
        <v>1</v>
      </c>
      <c r="FF31" s="29">
        <f>IF(OR($B31="",$A31&lt;24),"",--MID('Key Analysis'!$C27,24,1))</f>
        <v>1</v>
      </c>
      <c r="FG31" s="29">
        <f>IF(OR($B31="",$A31&lt;25),"",--MID('Key Analysis'!$C27,25,1))</f>
        <v>1</v>
      </c>
      <c r="FH31" s="29">
        <f>IF(OR($B31="",$A31&lt;26),"",--MID('Key Analysis'!$C27,26,1))</f>
        <v>0</v>
      </c>
      <c r="FI31" s="29" t="str">
        <f>IF(OR($B31="",$A31&lt;27),"",--MID('Key Analysis'!$C27,27,1))</f>
        <v/>
      </c>
      <c r="FJ31" s="29" t="str">
        <f>IF(OR($B31="",$A31&lt;28),"",--MID('Key Analysis'!$C27,28,1))</f>
        <v/>
      </c>
      <c r="FK31" s="29" t="str">
        <f>IF(OR($B31="",$A31&lt;29),"",--MID('Key Analysis'!$C27,29,1))</f>
        <v/>
      </c>
      <c r="FL31" s="29" t="str">
        <f>IF(OR($B31="",$A31&lt;30),"",--MID('Key Analysis'!$C27,30,1))</f>
        <v/>
      </c>
      <c r="FM31" s="29" t="str">
        <f>IF(OR($B31="",$A31&lt;31),"",--MID('Key Analysis'!$C27,31,1))</f>
        <v/>
      </c>
      <c r="FN31" s="29" t="str">
        <f>IF(OR($B31="",$A31&lt;32),"",--MID('Key Analysis'!$C27,32,1))</f>
        <v/>
      </c>
      <c r="FO31" s="29" t="str">
        <f>IF(OR($B31="",$A31&lt;33),"",--MID('Key Analysis'!$C27,33,1))</f>
        <v/>
      </c>
      <c r="FP31" s="29" t="str">
        <f>IF(OR($B31="",$A31&lt;34),"",--MID('Key Analysis'!$C27,34,1))</f>
        <v/>
      </c>
      <c r="FQ31" s="29" t="str">
        <f>IF(OR($B31="",$A31&lt;35),"",--MID('Key Analysis'!$C27,35,1))</f>
        <v/>
      </c>
      <c r="FR31" s="29" t="str">
        <f>IF(OR($B31="",$A31&lt;36),"",--MID('Key Analysis'!$C27,36,1))</f>
        <v/>
      </c>
      <c r="FS31" s="29" t="str">
        <f>IF(OR($B31="",$A31&lt;37),"",--MID('Key Analysis'!$C27,37,1))</f>
        <v/>
      </c>
      <c r="FT31" s="29" t="str">
        <f>IF(OR($B31="",$A31&lt;38),"",--MID('Key Analysis'!$C27,38,1))</f>
        <v/>
      </c>
      <c r="FU31" s="29" t="str">
        <f>IF(OR($B31="",$A31&lt;39),"",--MID('Key Analysis'!$C27,39,1))</f>
        <v/>
      </c>
      <c r="FV31" s="29" t="str">
        <f>IF(OR($B31="",$A31&lt;40),"",--MID('Key Analysis'!$C27,40,1))</f>
        <v/>
      </c>
      <c r="FW31" s="29" t="str">
        <f>IF(OR($B31="",$A31&lt;41),"",--MID('Key Analysis'!$C27,41,1))</f>
        <v/>
      </c>
      <c r="FX31" s="29" t="str">
        <f>IF(OR($B31="",$A31&lt;42),"",--MID('Key Analysis'!$C27,42,1))</f>
        <v/>
      </c>
      <c r="FY31" s="29" t="str">
        <f>IF(OR($B31="",$A31&lt;43),"",--MID('Key Analysis'!$C27,43,1))</f>
        <v/>
      </c>
      <c r="FZ31" s="29" t="str">
        <f>IF(OR($B31="",$A31&lt;44),"",--MID('Key Analysis'!$C27,44,1))</f>
        <v/>
      </c>
      <c r="GA31" s="29" t="str">
        <f>IF(OR($B31="",$A31&lt;45),"",--MID('Key Analysis'!$C27,45,1))</f>
        <v/>
      </c>
      <c r="GB31" s="29" t="str">
        <f>IF(OR($B31="",$A31&lt;46),"",--MID('Key Analysis'!$C27,46,1))</f>
        <v/>
      </c>
      <c r="GC31" s="29" t="str">
        <f>IF(OR($B31="",$A31&lt;47),"",--MID('Key Analysis'!$C27,47,1))</f>
        <v/>
      </c>
      <c r="GD31" s="29" t="str">
        <f>IF(OR($B31="",$A31&lt;48),"",--MID('Key Analysis'!$C27,48,1))</f>
        <v/>
      </c>
      <c r="GE31" s="29" t="str">
        <f>IF(OR($B31="",$A31&lt;49),"",--MID('Key Analysis'!$C27,49,1))</f>
        <v/>
      </c>
      <c r="GF31" s="29" t="str">
        <f>IF(OR($B31="",$A31&lt;50),"",--MID('Key Analysis'!$C27,50,1))</f>
        <v/>
      </c>
      <c r="GG31" s="29" t="str">
        <f>IF(OR($B31="",$A31&lt;51),"",--MID('Key Analysis'!$C27,51,1))</f>
        <v/>
      </c>
      <c r="GH31" s="29" t="str">
        <f>IF(OR($B31="",$A31&lt;52),"",--MID('Key Analysis'!$C27,52,1))</f>
        <v/>
      </c>
      <c r="GI31" s="29" t="str">
        <f>IF(OR($B31="",$A31&lt;53),"",--MID('Key Analysis'!$C27,53,1))</f>
        <v/>
      </c>
      <c r="GJ31" s="29" t="str">
        <f>IF(OR($B31="",$A31&lt;54),"",--MID('Key Analysis'!$C27,54,1))</f>
        <v/>
      </c>
      <c r="GK31" s="29" t="str">
        <f>IF(OR($B31="",$A31&lt;55),"",--MID('Key Analysis'!$C27,55,1))</f>
        <v/>
      </c>
      <c r="GL31" s="29" t="str">
        <f>IF(OR($B31="",$A31&lt;56),"",--MID('Key Analysis'!$C27,56,1))</f>
        <v/>
      </c>
      <c r="GM31" s="29" t="str">
        <f>IF(OR($B31="",$A31&lt;57),"",--MID('Key Analysis'!$C27,57,1))</f>
        <v/>
      </c>
      <c r="GN31" s="29" t="str">
        <f>IF(OR($B31="",$A31&lt;58),"",--MID('Key Analysis'!$C27,58,1))</f>
        <v/>
      </c>
      <c r="GO31" s="29" t="str">
        <f>IF(OR($B31="",$A31&lt;59),"",--MID('Key Analysis'!$C27,59,1))</f>
        <v/>
      </c>
      <c r="GP31" s="29" t="str">
        <f>IF(OR($B31="",$A31&lt;60),"",--MID('Key Analysis'!$C27,60,1))</f>
        <v/>
      </c>
      <c r="GQ31" s="29" t="str">
        <f>IF(OR($B31="",$A31&lt;61),"",--MID('Key Analysis'!$C27,61,1))</f>
        <v/>
      </c>
      <c r="GR31" s="29" t="str">
        <f>IF(OR($B31="",$A31&lt;62),"",--MID('Key Analysis'!$C27,62,1))</f>
        <v/>
      </c>
      <c r="GS31" s="29" t="str">
        <f>IF(OR($B31="",$A31&lt;63),"",--MID('Key Analysis'!$C27,63,1))</f>
        <v/>
      </c>
      <c r="GT31" s="29" t="str">
        <f>IF(OR($B31="",$A31&lt;64),"",--MID('Key Analysis'!$C27,64,1))</f>
        <v/>
      </c>
      <c r="GU31" s="29" t="str">
        <f>IF(OR($B31="",$A31&lt;65),"",--MID('Key Analysis'!$C27,65,1))</f>
        <v/>
      </c>
      <c r="GV31" s="29" t="str">
        <f>IF(OR($B31="",$A31&lt;66),"",--MID('Key Analysis'!$C27,66,1))</f>
        <v/>
      </c>
      <c r="GW31" s="29" t="str">
        <f>IF(OR($B31="",$A31&lt;67),"",--MID('Key Analysis'!$C27,67,1))</f>
        <v/>
      </c>
      <c r="GX31" s="29" t="str">
        <f>IF(OR($B31="",$A31&lt;68),"",--MID('Key Analysis'!$C27,68,1))</f>
        <v/>
      </c>
      <c r="GY31" s="29" t="str">
        <f>IF(OR($B31="",$A31&lt;69),"",--MID('Key Analysis'!$C27,69,1))</f>
        <v/>
      </c>
      <c r="GZ31" s="29" t="str">
        <f>IF(OR($B31="",$A31&lt;70),"",--MID('Key Analysis'!$C27,70,1))</f>
        <v/>
      </c>
      <c r="HA31" s="29" t="str">
        <f>IF(OR($B31="",$A31&lt;71),"",--MID('Key Analysis'!$C27,71,1))</f>
        <v/>
      </c>
      <c r="HB31" s="29" t="str">
        <f>IF(OR($B31="",$A31&lt;72),"",--MID('Key Analysis'!$C27,72,1))</f>
        <v/>
      </c>
      <c r="HC31" s="29" t="str">
        <f>IF(OR($B31="",$A31&lt;73),"",--MID('Key Analysis'!$C27,73,1))</f>
        <v/>
      </c>
      <c r="HD31" s="29" t="str">
        <f>IF(OR($B31="",$A31&lt;74),"",--MID('Key Analysis'!$C27,74,1))</f>
        <v/>
      </c>
      <c r="HE31" s="29" t="str">
        <f>IF(OR($B31="",$A31&lt;75),"",--MID('Key Analysis'!$C27,75,1))</f>
        <v/>
      </c>
      <c r="HF31" s="29" t="str">
        <f>IF(OR($B31="",$A31&lt;76),"",--MID('Key Analysis'!$C27,76,1))</f>
        <v/>
      </c>
      <c r="HG31" s="29" t="str">
        <f>IF(OR($B31="",$A31&lt;77),"",--MID('Key Analysis'!$C27,77,1))</f>
        <v/>
      </c>
      <c r="HH31" s="29" t="str">
        <f>IF(OR($B31="",$A31&lt;78),"",--MID('Key Analysis'!$C27,78,1))</f>
        <v/>
      </c>
      <c r="HI31" s="29" t="str">
        <f>IF(OR($B31="",$A31&lt;79),"",--MID('Key Analysis'!$C27,79,1))</f>
        <v/>
      </c>
      <c r="HJ31" s="29" t="str">
        <f>IF(OR($B31="",$A31&lt;80),"",--MID('Key Analysis'!$C27,80,1))</f>
        <v/>
      </c>
      <c r="HK31" s="29" t="str">
        <f>IF(OR($B31="",$A31&lt;81),"",--MID('Key Analysis'!$C27,81,1))</f>
        <v/>
      </c>
      <c r="HL31" s="29" t="str">
        <f>IF(OR($B31="",$A31&lt;82),"",--MID('Key Analysis'!$C27,82,1))</f>
        <v/>
      </c>
      <c r="HM31" s="29" t="str">
        <f>IF(OR($B31="",$A31&lt;83),"",--MID('Key Analysis'!$C27,83,1))</f>
        <v/>
      </c>
      <c r="HN31" s="29" t="str">
        <f>IF(OR($B31="",$A31&lt;84),"",--MID('Key Analysis'!$C27,84,1))</f>
        <v/>
      </c>
      <c r="HO31" s="29" t="str">
        <f>IF(OR($B31="",$A31&lt;85),"",--MID('Key Analysis'!$C27,85,1))</f>
        <v/>
      </c>
      <c r="HP31" s="29" t="str">
        <f>IF(OR($B31="",$A31&lt;86),"",--MID('Key Analysis'!$C27,86,1))</f>
        <v/>
      </c>
      <c r="HQ31" s="29" t="str">
        <f>IF(OR($B31="",$A31&lt;87),"",--MID('Key Analysis'!$C27,87,1))</f>
        <v/>
      </c>
      <c r="HR31" s="29" t="str">
        <f>IF(OR($B31="",$A31&lt;88),"",--MID('Key Analysis'!$C27,88,1))</f>
        <v/>
      </c>
      <c r="HS31" s="29" t="str">
        <f>IF(OR($B31="",$A31&lt;89),"",--MID('Key Analysis'!$C27,89,1))</f>
        <v/>
      </c>
      <c r="HT31" s="29" t="str">
        <f>IF(OR($B31="",$A31&lt;90),"",--MID('Key Analysis'!$C27,90,1))</f>
        <v/>
      </c>
      <c r="HU31" s="29" t="str">
        <f>IF(OR($B31="",$A31&lt;91),"",--MID('Key Analysis'!$C27,91,1))</f>
        <v/>
      </c>
      <c r="HV31" s="29" t="str">
        <f>IF(OR($B31="",$A31&lt;92),"",--MID('Key Analysis'!$C27,92,1))</f>
        <v/>
      </c>
      <c r="HW31" s="29" t="str">
        <f>IF(OR($B31="",$A31&lt;93),"",--MID('Key Analysis'!$C27,93,1))</f>
        <v/>
      </c>
      <c r="HX31" s="29" t="str">
        <f>IF(OR($B31="",$A31&lt;94),"",--MID('Key Analysis'!$C27,94,1))</f>
        <v/>
      </c>
      <c r="HY31" s="29" t="str">
        <f>IF(OR($B31="",$A31&lt;95),"",--MID('Key Analysis'!$C27,95,1))</f>
        <v/>
      </c>
      <c r="HZ31" s="29" t="str">
        <f>IF(OR($B31="",$A31&lt;96),"",--MID('Key Analysis'!$C27,96,1))</f>
        <v/>
      </c>
      <c r="IA31" s="29" t="str">
        <f>IF(OR($B31="",$A31&lt;97),"",--MID('Key Analysis'!$C27,97,1))</f>
        <v/>
      </c>
      <c r="IB31" s="29" t="str">
        <f>IF(OR($B31="",$A31&lt;98),"",--MID('Key Analysis'!$C27,98,1))</f>
        <v/>
      </c>
      <c r="IC31" s="29" t="str">
        <f>IF(OR($B31="",$A31&lt;99),"",--MID('Key Analysis'!$C27,99,1))</f>
        <v/>
      </c>
      <c r="ID31" s="29" t="str">
        <f>IF(OR($B31="",$A31&lt;100),"",--MID('Key Analysis'!$C27,100,1))</f>
        <v/>
      </c>
      <c r="IE31" s="29" t="str">
        <f>IF(OR($B31="",$A31&lt;101),"",--MID('Key Analysis'!$C27,101,1))</f>
        <v/>
      </c>
      <c r="IF31" s="29" t="str">
        <f>IF(OR($B31="",$A31&lt;102),"",--MID('Key Analysis'!$C27,102,1))</f>
        <v/>
      </c>
      <c r="IG31" s="29" t="str">
        <f>IF(OR($B31="",$A31&lt;103),"",--MID('Key Analysis'!$C27,103,1))</f>
        <v/>
      </c>
      <c r="IH31" s="29" t="str">
        <f>IF(OR($B31="",$A31&lt;104),"",--MID('Key Analysis'!$C27,104,1))</f>
        <v/>
      </c>
      <c r="II31" s="29" t="str">
        <f>IF(OR($B31="",$A31&lt;105),"",--MID('Key Analysis'!$C27,105,1))</f>
        <v/>
      </c>
      <c r="IJ31" s="29" t="str">
        <f>IF(OR($B31="",$A31&lt;106),"",--MID('Key Analysis'!$C27,106,1))</f>
        <v/>
      </c>
      <c r="IK31" s="29" t="str">
        <f>IF(OR($B31="",$A31&lt;107),"",--MID('Key Analysis'!$C27,107,1))</f>
        <v/>
      </c>
      <c r="IL31" s="29" t="str">
        <f>IF(OR($B31="",$A31&lt;108),"",--MID('Key Analysis'!$C27,108,1))</f>
        <v/>
      </c>
      <c r="IM31" s="29" t="str">
        <f>IF(OR($B31="",$A31&lt;109),"",--MID('Key Analysis'!$C27,109,1))</f>
        <v/>
      </c>
      <c r="IN31" s="29" t="str">
        <f>IF(OR($B31="",$A31&lt;110),"",--MID('Key Analysis'!$C27,110,1))</f>
        <v/>
      </c>
      <c r="IO31" s="29" t="str">
        <f>IF(OR($B31="",$A31&lt;111),"",--MID('Key Analysis'!$C27,111,1))</f>
        <v/>
      </c>
      <c r="IP31" s="29" t="str">
        <f>IF(OR($B31="",$A31&lt;112),"",--MID('Key Analysis'!$C27,112,1))</f>
        <v/>
      </c>
      <c r="IQ31" s="29" t="str">
        <f>IF(OR($B31="",$A31&lt;113),"",--MID('Key Analysis'!$C27,113,1))</f>
        <v/>
      </c>
      <c r="IR31" s="29" t="str">
        <f>IF(OR($B31="",$A31&lt;114),"",--MID('Key Analysis'!$C27,114,1))</f>
        <v/>
      </c>
      <c r="IS31" s="29" t="str">
        <f>IF(OR($B31="",$A31&lt;115),"",--MID('Key Analysis'!$C27,115,1))</f>
        <v/>
      </c>
      <c r="IT31" s="29" t="str">
        <f>IF(OR($B31="",$A31&lt;116),"",--MID('Key Analysis'!$C27,116,1))</f>
        <v/>
      </c>
      <c r="IU31" s="29" t="str">
        <f>IF(OR($B31="",$A31&lt;117),"",--MID('Key Analysis'!$C27,117,1))</f>
        <v/>
      </c>
      <c r="IV31" s="29" t="str">
        <f>IF(OR($B31="",$A31&lt;118),"",--MID('Key Analysis'!$C27,118,1))</f>
        <v/>
      </c>
      <c r="IW31" s="29" t="str">
        <f>IF(OR($B31="",$A31&lt;119),"",--MID('Key Analysis'!$C27,119,1))</f>
        <v/>
      </c>
      <c r="IX31" s="29" t="str">
        <f>IF(OR($B31="",$A31&lt;120),"",--MID('Key Analysis'!$C27,120,1))</f>
        <v/>
      </c>
      <c r="IY31" s="29" t="str">
        <f>IF(OR($B31="",$A31&lt;121),"",--MID('Key Analysis'!$C27,121,1))</f>
        <v/>
      </c>
      <c r="IZ31" s="29" t="str">
        <f>IF(OR($B31="",$A31&lt;122),"",--MID('Key Analysis'!$C27,122,1))</f>
        <v/>
      </c>
      <c r="JA31" s="29" t="str">
        <f>IF(OR($B31="",$A31&lt;123),"",--MID('Key Analysis'!$C27,123,1))</f>
        <v/>
      </c>
      <c r="JB31" s="29" t="str">
        <f>IF(OR($B31="",$A31&lt;124),"",--MID('Key Analysis'!$C27,124,1))</f>
        <v/>
      </c>
      <c r="JC31" s="29" t="str">
        <f>IF(OR($B31="",$A31&lt;125),"",--MID('Key Analysis'!$C27,125,1))</f>
        <v/>
      </c>
      <c r="JD31" s="29" t="str">
        <f>IF(OR($B31="",$A31&lt;126),"",--MID('Key Analysis'!$C27,126,1))</f>
        <v/>
      </c>
      <c r="JE31" s="29" t="str">
        <f>IF(OR($B31="",$A31&lt;127),"",--MID('Key Analysis'!$C27,127,1))</f>
        <v/>
      </c>
      <c r="JF31" s="29" t="str">
        <f>IF(OR($B31="",$A31&lt;128),"",--MID('Key Analysis'!$C27,128,1))</f>
        <v/>
      </c>
      <c r="JG31" s="29" t="str">
        <f>IF(OR($B31="",$A31&lt;129),"",--MID('Key Analysis'!$C27,129,1))</f>
        <v/>
      </c>
      <c r="JH31" s="29" t="str">
        <f>IF(OR($B31="",$A31&lt;130),"",--MID('Key Analysis'!$C27,130,1))</f>
        <v/>
      </c>
      <c r="JI31" s="29" t="str">
        <f>IF(OR($B31="",$A31&lt;131),"",--MID('Key Analysis'!$C27,131,1))</f>
        <v/>
      </c>
      <c r="JJ31" s="29" t="str">
        <f>IF(OR($B31="",$A31&lt;132),"",--MID('Key Analysis'!$C27,132,1))</f>
        <v/>
      </c>
      <c r="JK31" s="29" t="str">
        <f>IF(OR($B31="",$A31&lt;133),"",--MID('Key Analysis'!$C27,133,1))</f>
        <v/>
      </c>
      <c r="JL31" s="29" t="str">
        <f>IF(OR($B31="",$A31&lt;134),"",--MID('Key Analysis'!$C27,134,1))</f>
        <v/>
      </c>
      <c r="JM31" s="29" t="str">
        <f>IF(OR($B31="",$A31&lt;135),"",--MID('Key Analysis'!$C27,135,1))</f>
        <v/>
      </c>
    </row>
    <row r="32" spans="1:273" x14ac:dyDescent="0.25">
      <c r="A32" s="21">
        <f>'Key Analysis'!A28</f>
        <v>27</v>
      </c>
      <c r="B32" s="30" t="str">
        <f>'Key Analysis'!B28</f>
        <v>6ac3875</v>
      </c>
      <c r="C32" s="29">
        <f>IF(OR($B32="",$A32&lt;=0),"",--MID('Key Analysis'!$C28,$A32-0,1))</f>
        <v>1</v>
      </c>
      <c r="D32" s="29">
        <f>IF(OR($B32="",$A32&lt;=1),"",--MID('Key Analysis'!$C28,$A32-1,1))</f>
        <v>0</v>
      </c>
      <c r="E32" s="29">
        <f>IF(OR($B32="",$A32&lt;=2),"",--MID('Key Analysis'!$C28,$A32-2,1))</f>
        <v>1</v>
      </c>
      <c r="F32" s="29">
        <f>IF(OR($B32="",$A32&lt;=3),"",--MID('Key Analysis'!$C28,$A32-3,1))</f>
        <v>0</v>
      </c>
      <c r="G32" s="29">
        <f>IF(OR($B32="",$A32&lt;=4),"",--MID('Key Analysis'!$C28,$A32-4,1))</f>
        <v>1</v>
      </c>
      <c r="H32" s="29">
        <f>IF(OR($B32="",$A32&lt;=5),"",--MID('Key Analysis'!$C28,$A32-5,1))</f>
        <v>1</v>
      </c>
      <c r="I32" s="29">
        <f>IF(OR($B32="",$A32&lt;=6),"",--MID('Key Analysis'!$C28,$A32-6,1))</f>
        <v>1</v>
      </c>
      <c r="J32" s="29">
        <f>IF(OR($B32="",$A32&lt;=7),"",--MID('Key Analysis'!$C28,$A32-7,1))</f>
        <v>0</v>
      </c>
      <c r="K32" s="29">
        <f>IF(OR($B32="",$A32&lt;=8),"",--MID('Key Analysis'!$C28,$A32-8,1))</f>
        <v>0</v>
      </c>
      <c r="L32" s="29">
        <f>IF(OR($B32="",$A32&lt;=9),"",--MID('Key Analysis'!$C28,$A32-9,1))</f>
        <v>0</v>
      </c>
      <c r="M32" s="29">
        <f>IF(OR($B32="",$A32&lt;=10),"",--MID('Key Analysis'!$C28,$A32-10,1))</f>
        <v>0</v>
      </c>
      <c r="N32" s="29">
        <f>IF(OR($B32="",$A32&lt;=11),"",--MID('Key Analysis'!$C28,$A32-11,1))</f>
        <v>1</v>
      </c>
      <c r="O32" s="29">
        <f>IF(OR($B32="",$A32&lt;=12),"",--MID('Key Analysis'!$C28,$A32-12,1))</f>
        <v>1</v>
      </c>
      <c r="P32" s="29">
        <f>IF(OR($B32="",$A32&lt;=13),"",--MID('Key Analysis'!$C28,$A32-13,1))</f>
        <v>1</v>
      </c>
      <c r="Q32" s="29">
        <f>IF(OR($B32="",$A32&lt;=14),"",--MID('Key Analysis'!$C28,$A32-14,1))</f>
        <v>0</v>
      </c>
      <c r="R32" s="29">
        <f>IF(OR($B32="",$A32&lt;=15),"",--MID('Key Analysis'!$C28,$A32-15,1))</f>
        <v>0</v>
      </c>
      <c r="S32" s="29">
        <f>IF(OR($B32="",$A32&lt;=16),"",--MID('Key Analysis'!$C28,$A32-16,1))</f>
        <v>0</v>
      </c>
      <c r="T32" s="29">
        <f>IF(OR($B32="",$A32&lt;=17),"",--MID('Key Analysis'!$C28,$A32-17,1))</f>
        <v>0</v>
      </c>
      <c r="U32" s="29">
        <f>IF(OR($B32="",$A32&lt;=18),"",--MID('Key Analysis'!$C28,$A32-18,1))</f>
        <v>1</v>
      </c>
      <c r="V32" s="29">
        <f>IF(OR($B32="",$A32&lt;=19),"",--MID('Key Analysis'!$C28,$A32-19,1))</f>
        <v>1</v>
      </c>
      <c r="W32" s="29">
        <f>IF(OR($B32="",$A32&lt;=20),"",--MID('Key Analysis'!$C28,$A32-20,1))</f>
        <v>0</v>
      </c>
      <c r="X32" s="29">
        <f>IF(OR($B32="",$A32&lt;=21),"",--MID('Key Analysis'!$C28,$A32-21,1))</f>
        <v>1</v>
      </c>
      <c r="Y32" s="29">
        <f>IF(OR($B32="",$A32&lt;=22),"",--MID('Key Analysis'!$C28,$A32-22,1))</f>
        <v>0</v>
      </c>
      <c r="Z32" s="29">
        <f>IF(OR($B32="",$A32&lt;=23),"",--MID('Key Analysis'!$C28,$A32-23,1))</f>
        <v>1</v>
      </c>
      <c r="AA32" s="29">
        <f>IF(OR($B32="",$A32&lt;=24),"",--MID('Key Analysis'!$C28,$A32-24,1))</f>
        <v>0</v>
      </c>
      <c r="AB32" s="29">
        <f>IF(OR($B32="",$A32&lt;=25),"",--MID('Key Analysis'!$C28,$A32-25,1))</f>
        <v>1</v>
      </c>
      <c r="AC32" s="29">
        <f>IF(OR($B32="",$A32&lt;=26),"",--MID('Key Analysis'!$C28,$A32-26,1))</f>
        <v>1</v>
      </c>
      <c r="AD32" s="29" t="str">
        <f>IF(OR($B32="",$A32&lt;=27),"",--MID('Key Analysis'!$C28,$A32-27,1))</f>
        <v/>
      </c>
      <c r="AE32" s="29" t="str">
        <f>IF(OR($B32="",$A32&lt;=28),"",--MID('Key Analysis'!$C28,$A32-28,1))</f>
        <v/>
      </c>
      <c r="AF32" s="29" t="str">
        <f>IF(OR($B32="",$A32&lt;=29),"",--MID('Key Analysis'!$C28,$A32-29,1))</f>
        <v/>
      </c>
      <c r="AG32" s="29" t="str">
        <f>IF(OR($B32="",$A32&lt;=30),"",--MID('Key Analysis'!$C28,$A32-30,1))</f>
        <v/>
      </c>
      <c r="AH32" s="29" t="str">
        <f>IF(OR($B32="",$A32&lt;=31),"",--MID('Key Analysis'!$C28,$A32-31,1))</f>
        <v/>
      </c>
      <c r="AI32" s="29" t="str">
        <f>IF(OR($B32="",$A32&lt;=32),"",--MID('Key Analysis'!$C28,$A32-32,1))</f>
        <v/>
      </c>
      <c r="AJ32" s="29" t="str">
        <f>IF(OR($B32="",$A32&lt;=33),"",--MID('Key Analysis'!$C28,$A32-33,1))</f>
        <v/>
      </c>
      <c r="AK32" s="29" t="str">
        <f>IF(OR($B32="",$A32&lt;=34),"",--MID('Key Analysis'!$C28,$A32-34,1))</f>
        <v/>
      </c>
      <c r="AL32" s="29" t="str">
        <f>IF(OR($B32="",$A32&lt;=35),"",--MID('Key Analysis'!$C28,$A32-35,1))</f>
        <v/>
      </c>
      <c r="AM32" s="29" t="str">
        <f>IF(OR($B32="",$A32&lt;=36),"",--MID('Key Analysis'!$C28,$A32-36,1))</f>
        <v/>
      </c>
      <c r="AN32" s="29" t="str">
        <f>IF(OR($B32="",$A32&lt;=37),"",--MID('Key Analysis'!$C28,$A32-37,1))</f>
        <v/>
      </c>
      <c r="AO32" s="29" t="str">
        <f>IF(OR($B32="",$A32&lt;=38),"",--MID('Key Analysis'!$C28,$A32-38,1))</f>
        <v/>
      </c>
      <c r="AP32" s="29" t="str">
        <f>IF(OR($B32="",$A32&lt;=39),"",--MID('Key Analysis'!$C28,$A32-39,1))</f>
        <v/>
      </c>
      <c r="AQ32" s="29" t="str">
        <f>IF(OR($B32="",$A32&lt;=40),"",--MID('Key Analysis'!$C28,$A32-40,1))</f>
        <v/>
      </c>
      <c r="AR32" s="29" t="str">
        <f>IF(OR($B32="",$A32&lt;=41),"",--MID('Key Analysis'!$C28,$A32-41,1))</f>
        <v/>
      </c>
      <c r="AS32" s="29" t="str">
        <f>IF(OR($B32="",$A32&lt;=42),"",--MID('Key Analysis'!$C28,$A32-42,1))</f>
        <v/>
      </c>
      <c r="AT32" s="29" t="str">
        <f>IF(OR($B32="",$A32&lt;=43),"",--MID('Key Analysis'!$C28,$A32-43,1))</f>
        <v/>
      </c>
      <c r="AU32" s="29" t="str">
        <f>IF(OR($B32="",$A32&lt;=44),"",--MID('Key Analysis'!$C28,$A32-44,1))</f>
        <v/>
      </c>
      <c r="AV32" s="29" t="str">
        <f>IF(OR($B32="",$A32&lt;=45),"",--MID('Key Analysis'!$C28,$A32-45,1))</f>
        <v/>
      </c>
      <c r="AW32" s="29" t="str">
        <f>IF(OR($B32="",$A32&lt;=46),"",--MID('Key Analysis'!$C28,$A32-46,1))</f>
        <v/>
      </c>
      <c r="AX32" s="29" t="str">
        <f>IF(OR($B32="",$A32&lt;=47),"",--MID('Key Analysis'!$C28,$A32-47,1))</f>
        <v/>
      </c>
      <c r="AY32" s="29" t="str">
        <f>IF(OR($B32="",$A32&lt;=48),"",--MID('Key Analysis'!$C28,$A32-48,1))</f>
        <v/>
      </c>
      <c r="AZ32" s="29" t="str">
        <f>IF(OR($B32="",$A32&lt;=49),"",--MID('Key Analysis'!$C28,$A32-49,1))</f>
        <v/>
      </c>
      <c r="BA32" s="29" t="str">
        <f>IF(OR($B32="",$A32&lt;=50),"",--MID('Key Analysis'!$C28,$A32-50,1))</f>
        <v/>
      </c>
      <c r="BB32" s="29" t="str">
        <f>IF(OR($B32="",$A32&lt;=51),"",--MID('Key Analysis'!$C28,$A32-51,1))</f>
        <v/>
      </c>
      <c r="BC32" s="29" t="str">
        <f>IF(OR($B32="",$A32&lt;=52),"",--MID('Key Analysis'!$C28,$A32-52,1))</f>
        <v/>
      </c>
      <c r="BD32" s="29" t="str">
        <f>IF(OR($B32="",$A32&lt;=53),"",--MID('Key Analysis'!$C28,$A32-53,1))</f>
        <v/>
      </c>
      <c r="BE32" s="29" t="str">
        <f>IF(OR($B32="",$A32&lt;=54),"",--MID('Key Analysis'!$C28,$A32-54,1))</f>
        <v/>
      </c>
      <c r="BF32" s="29" t="str">
        <f>IF(OR($B32="",$A32&lt;=55),"",--MID('Key Analysis'!$C28,$A32-55,1))</f>
        <v/>
      </c>
      <c r="BG32" s="29" t="str">
        <f>IF(OR($B32="",$A32&lt;=56),"",--MID('Key Analysis'!$C28,$A32-56,1))</f>
        <v/>
      </c>
      <c r="BH32" s="29" t="str">
        <f>IF(OR($B32="",$A32&lt;=57),"",--MID('Key Analysis'!$C28,$A32-57,1))</f>
        <v/>
      </c>
      <c r="BI32" s="29" t="str">
        <f>IF(OR($B32="",$A32&lt;=58),"",--MID('Key Analysis'!$C28,$A32-58,1))</f>
        <v/>
      </c>
      <c r="BJ32" s="29" t="str">
        <f>IF(OR($B32="",$A32&lt;=59),"",--MID('Key Analysis'!$C28,$A32-59,1))</f>
        <v/>
      </c>
      <c r="BK32" s="29" t="str">
        <f>IF(OR($B32="",$A32&lt;=60),"",--MID('Key Analysis'!$C28,$A32-60,1))</f>
        <v/>
      </c>
      <c r="BL32" s="29" t="str">
        <f>IF(OR($B32="",$A32&lt;=61),"",--MID('Key Analysis'!$C28,$A32-61,1))</f>
        <v/>
      </c>
      <c r="BM32" s="29" t="str">
        <f>IF(OR($B32="",$A32&lt;=62),"",--MID('Key Analysis'!$C28,$A32-62,1))</f>
        <v/>
      </c>
      <c r="BN32" s="29" t="str">
        <f>IF(OR($B32="",$A32&lt;=63),"",--MID('Key Analysis'!$C28,$A32-63,1))</f>
        <v/>
      </c>
      <c r="BO32" s="29" t="str">
        <f>IF(OR($B32="",$A32&lt;=64),"",--MID('Key Analysis'!$C28,$A32-64,1))</f>
        <v/>
      </c>
      <c r="BP32" s="29" t="str">
        <f>IF(OR($B32="",$A32&lt;=65),"",--MID('Key Analysis'!$C28,$A32-65,1))</f>
        <v/>
      </c>
      <c r="BQ32" s="29" t="str">
        <f>IF(OR($B32="",$A32&lt;=66),"",--MID('Key Analysis'!$C28,$A32-66,1))</f>
        <v/>
      </c>
      <c r="BR32" s="29" t="str">
        <f>IF(OR($B32="",$A32&lt;=67),"",--MID('Key Analysis'!$C28,$A32-67,1))</f>
        <v/>
      </c>
      <c r="BS32" s="29" t="str">
        <f>IF(OR($B32="",$A32&lt;=68),"",--MID('Key Analysis'!$C28,$A32-68,1))</f>
        <v/>
      </c>
      <c r="BT32" s="29" t="str">
        <f>IF(OR($B32="",$A32&lt;=69),"",--MID('Key Analysis'!$C28,$A32-69,1))</f>
        <v/>
      </c>
      <c r="BU32" s="29" t="str">
        <f>IF(OR($B32="",$A32&lt;=70),"",--MID('Key Analysis'!$C28,$A32-70,1))</f>
        <v/>
      </c>
      <c r="BV32" s="29" t="str">
        <f>IF(OR($B32="",$A32&lt;=71),"",--MID('Key Analysis'!$C28,$A32-71,1))</f>
        <v/>
      </c>
      <c r="BW32" s="29" t="str">
        <f>IF(OR($B32="",$A32&lt;=72),"",--MID('Key Analysis'!$C28,$A32-72,1))</f>
        <v/>
      </c>
      <c r="BX32" s="29" t="str">
        <f>IF(OR($B32="",$A32&lt;=73),"",--MID('Key Analysis'!$C28,$A32-73,1))</f>
        <v/>
      </c>
      <c r="BY32" s="29" t="str">
        <f>IF(OR($B32="",$A32&lt;=74),"",--MID('Key Analysis'!$C28,$A32-74,1))</f>
        <v/>
      </c>
      <c r="BZ32" s="29" t="str">
        <f>IF(OR($B32="",$A32&lt;=75),"",--MID('Key Analysis'!$C28,$A32-75,1))</f>
        <v/>
      </c>
      <c r="CA32" s="29" t="str">
        <f>IF(OR($B32="",$A32&lt;=76),"",--MID('Key Analysis'!$C28,$A32-76,1))</f>
        <v/>
      </c>
      <c r="CB32" s="29" t="str">
        <f>IF(OR($B32="",$A32&lt;=77),"",--MID('Key Analysis'!$C28,$A32-77,1))</f>
        <v/>
      </c>
      <c r="CC32" s="29" t="str">
        <f>IF(OR($B32="",$A32&lt;=78),"",--MID('Key Analysis'!$C28,$A32-78,1))</f>
        <v/>
      </c>
      <c r="CD32" s="29" t="str">
        <f>IF(OR($B32="",$A32&lt;=79),"",--MID('Key Analysis'!$C28,$A32-79,1))</f>
        <v/>
      </c>
      <c r="CE32" s="29" t="str">
        <f>IF(OR($B32="",$A32&lt;=80),"",--MID('Key Analysis'!$C28,$A32-80,1))</f>
        <v/>
      </c>
      <c r="CF32" s="29" t="str">
        <f>IF(OR($B32="",$A32&lt;=81),"",--MID('Key Analysis'!$C28,$A32-81,1))</f>
        <v/>
      </c>
      <c r="CG32" s="29" t="str">
        <f>IF(OR($B32="",$A32&lt;=82),"",--MID('Key Analysis'!$C28,$A32-82,1))</f>
        <v/>
      </c>
      <c r="CH32" s="29" t="str">
        <f>IF(OR($B32="",$A32&lt;=83),"",--MID('Key Analysis'!$C28,$A32-83,1))</f>
        <v/>
      </c>
      <c r="CI32" s="29" t="str">
        <f>IF(OR($B32="",$A32&lt;=84),"",--MID('Key Analysis'!$C28,$A32-84,1))</f>
        <v/>
      </c>
      <c r="CJ32" s="29" t="str">
        <f>IF(OR($B32="",$A32&lt;=85),"",--MID('Key Analysis'!$C28,$A32-85,1))</f>
        <v/>
      </c>
      <c r="CK32" s="29" t="str">
        <f>IF(OR($B32="",$A32&lt;=86),"",--MID('Key Analysis'!$C28,$A32-86,1))</f>
        <v/>
      </c>
      <c r="CL32" s="29" t="str">
        <f>IF(OR($B32="",$A32&lt;=87),"",--MID('Key Analysis'!$C28,$A32-87,1))</f>
        <v/>
      </c>
      <c r="CM32" s="29" t="str">
        <f>IF(OR($B32="",$A32&lt;=88),"",--MID('Key Analysis'!$C28,$A32-88,1))</f>
        <v/>
      </c>
      <c r="CN32" s="29" t="str">
        <f>IF(OR($B32="",$A32&lt;=89),"",--MID('Key Analysis'!$C28,$A32-89,1))</f>
        <v/>
      </c>
      <c r="CO32" s="29" t="str">
        <f>IF(OR($B32="",$A32&lt;=90),"",--MID('Key Analysis'!$C28,$A32-90,1))</f>
        <v/>
      </c>
      <c r="CP32" s="29" t="str">
        <f>IF(OR($B32="",$A32&lt;=91),"",--MID('Key Analysis'!$C28,$A32-91,1))</f>
        <v/>
      </c>
      <c r="CQ32" s="29" t="str">
        <f>IF(OR($B32="",$A32&lt;=92),"",--MID('Key Analysis'!$C28,$A32-92,1))</f>
        <v/>
      </c>
      <c r="CR32" s="29" t="str">
        <f>IF(OR($B32="",$A32&lt;=93),"",--MID('Key Analysis'!$C28,$A32-93,1))</f>
        <v/>
      </c>
      <c r="CS32" s="29" t="str">
        <f>IF(OR($B32="",$A32&lt;=94),"",--MID('Key Analysis'!$C28,$A32-94,1))</f>
        <v/>
      </c>
      <c r="CT32" s="29" t="str">
        <f>IF(OR($B32="",$A32&lt;=95),"",--MID('Key Analysis'!$C28,$A32-95,1))</f>
        <v/>
      </c>
      <c r="CU32" s="29" t="str">
        <f>IF(OR($B32="",$A32&lt;=96),"",--MID('Key Analysis'!$C28,$A32-96,1))</f>
        <v/>
      </c>
      <c r="CV32" s="29" t="str">
        <f>IF(OR($B32="",$A32&lt;=97),"",--MID('Key Analysis'!$C28,$A32-97,1))</f>
        <v/>
      </c>
      <c r="CW32" s="29" t="str">
        <f>IF(OR($B32="",$A32&lt;=98),"",--MID('Key Analysis'!$C28,$A32-98,1))</f>
        <v/>
      </c>
      <c r="CX32" s="29" t="str">
        <f>IF(OR($B32="",$A32&lt;=99),"",--MID('Key Analysis'!$C28,$A32-99,1))</f>
        <v/>
      </c>
      <c r="CY32" s="29" t="str">
        <f>IF(OR($B32="",$A32&lt;=100),"",--MID('Key Analysis'!$C28,$A32-100,1))</f>
        <v/>
      </c>
      <c r="CZ32" s="29" t="str">
        <f>IF(OR($B32="",$A32&lt;=101),"",--MID('Key Analysis'!$C28,$A32-101,1))</f>
        <v/>
      </c>
      <c r="DA32" s="29" t="str">
        <f>IF(OR($B32="",$A32&lt;=102),"",--MID('Key Analysis'!$C28,$A32-102,1))</f>
        <v/>
      </c>
      <c r="DB32" s="29" t="str">
        <f>IF(OR($B32="",$A32&lt;=103),"",--MID('Key Analysis'!$C28,$A32-103,1))</f>
        <v/>
      </c>
      <c r="DC32" s="29" t="str">
        <f>IF(OR($B32="",$A32&lt;=104),"",--MID('Key Analysis'!$C28,$A32-104,1))</f>
        <v/>
      </c>
      <c r="DD32" s="29" t="str">
        <f>IF(OR($B32="",$A32&lt;=105),"",--MID('Key Analysis'!$C28,$A32-105,1))</f>
        <v/>
      </c>
      <c r="DE32" s="29" t="str">
        <f>IF(OR($B32="",$A32&lt;=106),"",--MID('Key Analysis'!$C28,$A32-106,1))</f>
        <v/>
      </c>
      <c r="DF32" s="29" t="str">
        <f>IF(OR($B32="",$A32&lt;=107),"",--MID('Key Analysis'!$C28,$A32-107,1))</f>
        <v/>
      </c>
      <c r="DG32" s="29" t="str">
        <f>IF(OR($B32="",$A32&lt;=108),"",--MID('Key Analysis'!$C28,$A32-108,1))</f>
        <v/>
      </c>
      <c r="DH32" s="29" t="str">
        <f>IF(OR($B32="",$A32&lt;=109),"",--MID('Key Analysis'!$C28,$A32-109,1))</f>
        <v/>
      </c>
      <c r="DI32" s="29" t="str">
        <f>IF(OR($B32="",$A32&lt;=110),"",--MID('Key Analysis'!$C28,$A32-110,1))</f>
        <v/>
      </c>
      <c r="DJ32" s="29" t="str">
        <f>IF(OR($B32="",$A32&lt;=111),"",--MID('Key Analysis'!$C28,$A32-111,1))</f>
        <v/>
      </c>
      <c r="DK32" s="29" t="str">
        <f>IF(OR($B32="",$A32&lt;=112),"",--MID('Key Analysis'!$C28,$A32-112,1))</f>
        <v/>
      </c>
      <c r="DL32" s="29" t="str">
        <f>IF(OR($B32="",$A32&lt;=113),"",--MID('Key Analysis'!$C28,$A32-113,1))</f>
        <v/>
      </c>
      <c r="DM32" s="29" t="str">
        <f>IF(OR($B32="",$A32&lt;=114),"",--MID('Key Analysis'!$C28,$A32-114,1))</f>
        <v/>
      </c>
      <c r="DN32" s="29" t="str">
        <f>IF(OR($B32="",$A32&lt;=115),"",--MID('Key Analysis'!$C28,$A32-115,1))</f>
        <v/>
      </c>
      <c r="DO32" s="29" t="str">
        <f>IF(OR($B32="",$A32&lt;=116),"",--MID('Key Analysis'!$C28,$A32-116,1))</f>
        <v/>
      </c>
      <c r="DP32" s="29" t="str">
        <f>IF(OR($B32="",$A32&lt;=117),"",--MID('Key Analysis'!$C28,$A32-117,1))</f>
        <v/>
      </c>
      <c r="DQ32" s="29" t="str">
        <f>IF(OR($B32="",$A32&lt;=118),"",--MID('Key Analysis'!$C28,$A32-118,1))</f>
        <v/>
      </c>
      <c r="DR32" s="29" t="str">
        <f>IF(OR($B32="",$A32&lt;=119),"",--MID('Key Analysis'!$C28,$A32-119,1))</f>
        <v/>
      </c>
      <c r="DS32" s="29" t="str">
        <f>IF(OR($B32="",$A32&lt;=120),"",--MID('Key Analysis'!$C28,$A32-120,1))</f>
        <v/>
      </c>
      <c r="DT32" s="29" t="str">
        <f>IF(OR($B32="",$A32&lt;=121),"",--MID('Key Analysis'!$C28,$A32-121,1))</f>
        <v/>
      </c>
      <c r="DU32" s="29" t="str">
        <f>IF(OR($B32="",$A32&lt;=122),"",--MID('Key Analysis'!$C28,$A32-122,1))</f>
        <v/>
      </c>
      <c r="DV32" s="29" t="str">
        <f>IF(OR($B32="",$A32&lt;=123),"",--MID('Key Analysis'!$C28,$A32-123,1))</f>
        <v/>
      </c>
      <c r="DW32" s="29" t="str">
        <f>IF(OR($B32="",$A32&lt;=124),"",--MID('Key Analysis'!$C28,$A32-124,1))</f>
        <v/>
      </c>
      <c r="DX32" s="29" t="str">
        <f>IF(OR($B32="",$A32&lt;=125),"",--MID('Key Analysis'!$C28,$A32-125,1))</f>
        <v/>
      </c>
      <c r="DY32" s="29" t="str">
        <f>IF(OR($B32="",$A32&lt;=126),"",--MID('Key Analysis'!$C28,$A32-126,1))</f>
        <v/>
      </c>
      <c r="DZ32" s="29" t="str">
        <f>IF(OR($B32="",$A32&lt;=127),"",--MID('Key Analysis'!$C28,$A32-127,1))</f>
        <v/>
      </c>
      <c r="EA32" s="29" t="str">
        <f>IF(OR($B32="",$A32&lt;=128),"",--MID('Key Analysis'!$C28,$A32-128,1))</f>
        <v/>
      </c>
      <c r="EB32" s="29" t="str">
        <f>IF(OR($B32="",$A32&lt;=129),"",--MID('Key Analysis'!$C28,$A32-129,1))</f>
        <v/>
      </c>
      <c r="EC32" s="29" t="str">
        <f>IF(OR($B32="",$A32&lt;=130),"",--MID('Key Analysis'!$C28,$A32-130,1))</f>
        <v/>
      </c>
      <c r="ED32" s="29" t="str">
        <f>IF(OR($B32="",$A32&lt;=131),"",--MID('Key Analysis'!$C28,$A32-131,1))</f>
        <v/>
      </c>
      <c r="EE32" s="29" t="str">
        <f>IF(OR($B32="",$A32&lt;=132),"",--MID('Key Analysis'!$C28,$A32-132,1))</f>
        <v/>
      </c>
      <c r="EF32" s="29" t="str">
        <f>IF(OR($B32="",$A32&lt;=133),"",--MID('Key Analysis'!$C28,$A32-133,1))</f>
        <v/>
      </c>
      <c r="EG32" s="29" t="str">
        <f>IF(OR($B32="",$A32&lt;=134),"",--MID('Key Analysis'!$C28,$A32-134,1))</f>
        <v/>
      </c>
      <c r="EH32" s="29"/>
      <c r="EI32" s="29">
        <f>IF(OR($B32="",$A32&lt;1),"",--MID('Key Analysis'!$C28,1,1))</f>
        <v>1</v>
      </c>
      <c r="EJ32" s="29">
        <f>IF(OR($B32="",$A32&lt;2),"",--MID('Key Analysis'!$C28,2,1))</f>
        <v>1</v>
      </c>
      <c r="EK32" s="29">
        <f>IF(OR($B32="",$A32&lt;3),"",--MID('Key Analysis'!$C28,3,1))</f>
        <v>0</v>
      </c>
      <c r="EL32" s="29">
        <f>IF(OR($B32="",$A32&lt;4),"",--MID('Key Analysis'!$C28,4,1))</f>
        <v>1</v>
      </c>
      <c r="EM32" s="29">
        <f>IF(OR($B32="",$A32&lt;5),"",--MID('Key Analysis'!$C28,5,1))</f>
        <v>0</v>
      </c>
      <c r="EN32" s="29">
        <f>IF(OR($B32="",$A32&lt;6),"",--MID('Key Analysis'!$C28,6,1))</f>
        <v>1</v>
      </c>
      <c r="EO32" s="29">
        <f>IF(OR($B32="",$A32&lt;7),"",--MID('Key Analysis'!$C28,7,1))</f>
        <v>0</v>
      </c>
      <c r="EP32" s="29">
        <f>IF(OR($B32="",$A32&lt;8),"",--MID('Key Analysis'!$C28,8,1))</f>
        <v>1</v>
      </c>
      <c r="EQ32" s="29">
        <f>IF(OR($B32="",$A32&lt;9),"",--MID('Key Analysis'!$C28,9,1))</f>
        <v>1</v>
      </c>
      <c r="ER32" s="29">
        <f>IF(OR($B32="",$A32&lt;10),"",--MID('Key Analysis'!$C28,10,1))</f>
        <v>0</v>
      </c>
      <c r="ES32" s="29">
        <f>IF(OR($B32="",$A32&lt;11),"",--MID('Key Analysis'!$C28,11,1))</f>
        <v>0</v>
      </c>
      <c r="ET32" s="29">
        <f>IF(OR($B32="",$A32&lt;12),"",--MID('Key Analysis'!$C28,12,1))</f>
        <v>0</v>
      </c>
      <c r="EU32" s="29">
        <f>IF(OR($B32="",$A32&lt;13),"",--MID('Key Analysis'!$C28,13,1))</f>
        <v>0</v>
      </c>
      <c r="EV32" s="29">
        <f>IF(OR($B32="",$A32&lt;14),"",--MID('Key Analysis'!$C28,14,1))</f>
        <v>1</v>
      </c>
      <c r="EW32" s="29">
        <f>IF(OR($B32="",$A32&lt;15),"",--MID('Key Analysis'!$C28,15,1))</f>
        <v>1</v>
      </c>
      <c r="EX32" s="29">
        <f>IF(OR($B32="",$A32&lt;16),"",--MID('Key Analysis'!$C28,16,1))</f>
        <v>1</v>
      </c>
      <c r="EY32" s="29">
        <f>IF(OR($B32="",$A32&lt;17),"",--MID('Key Analysis'!$C28,17,1))</f>
        <v>0</v>
      </c>
      <c r="EZ32" s="29">
        <f>IF(OR($B32="",$A32&lt;18),"",--MID('Key Analysis'!$C28,18,1))</f>
        <v>0</v>
      </c>
      <c r="FA32" s="29">
        <f>IF(OR($B32="",$A32&lt;19),"",--MID('Key Analysis'!$C28,19,1))</f>
        <v>0</v>
      </c>
      <c r="FB32" s="29">
        <f>IF(OR($B32="",$A32&lt;20),"",--MID('Key Analysis'!$C28,20,1))</f>
        <v>0</v>
      </c>
      <c r="FC32" s="29">
        <f>IF(OR($B32="",$A32&lt;21),"",--MID('Key Analysis'!$C28,21,1))</f>
        <v>1</v>
      </c>
      <c r="FD32" s="29">
        <f>IF(OR($B32="",$A32&lt;22),"",--MID('Key Analysis'!$C28,22,1))</f>
        <v>1</v>
      </c>
      <c r="FE32" s="29">
        <f>IF(OR($B32="",$A32&lt;23),"",--MID('Key Analysis'!$C28,23,1))</f>
        <v>1</v>
      </c>
      <c r="FF32" s="29">
        <f>IF(OR($B32="",$A32&lt;24),"",--MID('Key Analysis'!$C28,24,1))</f>
        <v>0</v>
      </c>
      <c r="FG32" s="29">
        <f>IF(OR($B32="",$A32&lt;25),"",--MID('Key Analysis'!$C28,25,1))</f>
        <v>1</v>
      </c>
      <c r="FH32" s="29">
        <f>IF(OR($B32="",$A32&lt;26),"",--MID('Key Analysis'!$C28,26,1))</f>
        <v>0</v>
      </c>
      <c r="FI32" s="29">
        <f>IF(OR($B32="",$A32&lt;27),"",--MID('Key Analysis'!$C28,27,1))</f>
        <v>1</v>
      </c>
      <c r="FJ32" s="29" t="str">
        <f>IF(OR($B32="",$A32&lt;28),"",--MID('Key Analysis'!$C28,28,1))</f>
        <v/>
      </c>
      <c r="FK32" s="29" t="str">
        <f>IF(OR($B32="",$A32&lt;29),"",--MID('Key Analysis'!$C28,29,1))</f>
        <v/>
      </c>
      <c r="FL32" s="29" t="str">
        <f>IF(OR($B32="",$A32&lt;30),"",--MID('Key Analysis'!$C28,30,1))</f>
        <v/>
      </c>
      <c r="FM32" s="29" t="str">
        <f>IF(OR($B32="",$A32&lt;31),"",--MID('Key Analysis'!$C28,31,1))</f>
        <v/>
      </c>
      <c r="FN32" s="29" t="str">
        <f>IF(OR($B32="",$A32&lt;32),"",--MID('Key Analysis'!$C28,32,1))</f>
        <v/>
      </c>
      <c r="FO32" s="29" t="str">
        <f>IF(OR($B32="",$A32&lt;33),"",--MID('Key Analysis'!$C28,33,1))</f>
        <v/>
      </c>
      <c r="FP32" s="29" t="str">
        <f>IF(OR($B32="",$A32&lt;34),"",--MID('Key Analysis'!$C28,34,1))</f>
        <v/>
      </c>
      <c r="FQ32" s="29" t="str">
        <f>IF(OR($B32="",$A32&lt;35),"",--MID('Key Analysis'!$C28,35,1))</f>
        <v/>
      </c>
      <c r="FR32" s="29" t="str">
        <f>IF(OR($B32="",$A32&lt;36),"",--MID('Key Analysis'!$C28,36,1))</f>
        <v/>
      </c>
      <c r="FS32" s="29" t="str">
        <f>IF(OR($B32="",$A32&lt;37),"",--MID('Key Analysis'!$C28,37,1))</f>
        <v/>
      </c>
      <c r="FT32" s="29" t="str">
        <f>IF(OR($B32="",$A32&lt;38),"",--MID('Key Analysis'!$C28,38,1))</f>
        <v/>
      </c>
      <c r="FU32" s="29" t="str">
        <f>IF(OR($B32="",$A32&lt;39),"",--MID('Key Analysis'!$C28,39,1))</f>
        <v/>
      </c>
      <c r="FV32" s="29" t="str">
        <f>IF(OR($B32="",$A32&lt;40),"",--MID('Key Analysis'!$C28,40,1))</f>
        <v/>
      </c>
      <c r="FW32" s="29" t="str">
        <f>IF(OR($B32="",$A32&lt;41),"",--MID('Key Analysis'!$C28,41,1))</f>
        <v/>
      </c>
      <c r="FX32" s="29" t="str">
        <f>IF(OR($B32="",$A32&lt;42),"",--MID('Key Analysis'!$C28,42,1))</f>
        <v/>
      </c>
      <c r="FY32" s="29" t="str">
        <f>IF(OR($B32="",$A32&lt;43),"",--MID('Key Analysis'!$C28,43,1))</f>
        <v/>
      </c>
      <c r="FZ32" s="29" t="str">
        <f>IF(OR($B32="",$A32&lt;44),"",--MID('Key Analysis'!$C28,44,1))</f>
        <v/>
      </c>
      <c r="GA32" s="29" t="str">
        <f>IF(OR($B32="",$A32&lt;45),"",--MID('Key Analysis'!$C28,45,1))</f>
        <v/>
      </c>
      <c r="GB32" s="29" t="str">
        <f>IF(OR($B32="",$A32&lt;46),"",--MID('Key Analysis'!$C28,46,1))</f>
        <v/>
      </c>
      <c r="GC32" s="29" t="str">
        <f>IF(OR($B32="",$A32&lt;47),"",--MID('Key Analysis'!$C28,47,1))</f>
        <v/>
      </c>
      <c r="GD32" s="29" t="str">
        <f>IF(OR($B32="",$A32&lt;48),"",--MID('Key Analysis'!$C28,48,1))</f>
        <v/>
      </c>
      <c r="GE32" s="29" t="str">
        <f>IF(OR($B32="",$A32&lt;49),"",--MID('Key Analysis'!$C28,49,1))</f>
        <v/>
      </c>
      <c r="GF32" s="29" t="str">
        <f>IF(OR($B32="",$A32&lt;50),"",--MID('Key Analysis'!$C28,50,1))</f>
        <v/>
      </c>
      <c r="GG32" s="29" t="str">
        <f>IF(OR($B32="",$A32&lt;51),"",--MID('Key Analysis'!$C28,51,1))</f>
        <v/>
      </c>
      <c r="GH32" s="29" t="str">
        <f>IF(OR($B32="",$A32&lt;52),"",--MID('Key Analysis'!$C28,52,1))</f>
        <v/>
      </c>
      <c r="GI32" s="29" t="str">
        <f>IF(OR($B32="",$A32&lt;53),"",--MID('Key Analysis'!$C28,53,1))</f>
        <v/>
      </c>
      <c r="GJ32" s="29" t="str">
        <f>IF(OR($B32="",$A32&lt;54),"",--MID('Key Analysis'!$C28,54,1))</f>
        <v/>
      </c>
      <c r="GK32" s="29" t="str">
        <f>IF(OR($B32="",$A32&lt;55),"",--MID('Key Analysis'!$C28,55,1))</f>
        <v/>
      </c>
      <c r="GL32" s="29" t="str">
        <f>IF(OR($B32="",$A32&lt;56),"",--MID('Key Analysis'!$C28,56,1))</f>
        <v/>
      </c>
      <c r="GM32" s="29" t="str">
        <f>IF(OR($B32="",$A32&lt;57),"",--MID('Key Analysis'!$C28,57,1))</f>
        <v/>
      </c>
      <c r="GN32" s="29" t="str">
        <f>IF(OR($B32="",$A32&lt;58),"",--MID('Key Analysis'!$C28,58,1))</f>
        <v/>
      </c>
      <c r="GO32" s="29" t="str">
        <f>IF(OR($B32="",$A32&lt;59),"",--MID('Key Analysis'!$C28,59,1))</f>
        <v/>
      </c>
      <c r="GP32" s="29" t="str">
        <f>IF(OR($B32="",$A32&lt;60),"",--MID('Key Analysis'!$C28,60,1))</f>
        <v/>
      </c>
      <c r="GQ32" s="29" t="str">
        <f>IF(OR($B32="",$A32&lt;61),"",--MID('Key Analysis'!$C28,61,1))</f>
        <v/>
      </c>
      <c r="GR32" s="29" t="str">
        <f>IF(OR($B32="",$A32&lt;62),"",--MID('Key Analysis'!$C28,62,1))</f>
        <v/>
      </c>
      <c r="GS32" s="29" t="str">
        <f>IF(OR($B32="",$A32&lt;63),"",--MID('Key Analysis'!$C28,63,1))</f>
        <v/>
      </c>
      <c r="GT32" s="29" t="str">
        <f>IF(OR($B32="",$A32&lt;64),"",--MID('Key Analysis'!$C28,64,1))</f>
        <v/>
      </c>
      <c r="GU32" s="29" t="str">
        <f>IF(OR($B32="",$A32&lt;65),"",--MID('Key Analysis'!$C28,65,1))</f>
        <v/>
      </c>
      <c r="GV32" s="29" t="str">
        <f>IF(OR($B32="",$A32&lt;66),"",--MID('Key Analysis'!$C28,66,1))</f>
        <v/>
      </c>
      <c r="GW32" s="29" t="str">
        <f>IF(OR($B32="",$A32&lt;67),"",--MID('Key Analysis'!$C28,67,1))</f>
        <v/>
      </c>
      <c r="GX32" s="29" t="str">
        <f>IF(OR($B32="",$A32&lt;68),"",--MID('Key Analysis'!$C28,68,1))</f>
        <v/>
      </c>
      <c r="GY32" s="29" t="str">
        <f>IF(OR($B32="",$A32&lt;69),"",--MID('Key Analysis'!$C28,69,1))</f>
        <v/>
      </c>
      <c r="GZ32" s="29" t="str">
        <f>IF(OR($B32="",$A32&lt;70),"",--MID('Key Analysis'!$C28,70,1))</f>
        <v/>
      </c>
      <c r="HA32" s="29" t="str">
        <f>IF(OR($B32="",$A32&lt;71),"",--MID('Key Analysis'!$C28,71,1))</f>
        <v/>
      </c>
      <c r="HB32" s="29" t="str">
        <f>IF(OR($B32="",$A32&lt;72),"",--MID('Key Analysis'!$C28,72,1))</f>
        <v/>
      </c>
      <c r="HC32" s="29" t="str">
        <f>IF(OR($B32="",$A32&lt;73),"",--MID('Key Analysis'!$C28,73,1))</f>
        <v/>
      </c>
      <c r="HD32" s="29" t="str">
        <f>IF(OR($B32="",$A32&lt;74),"",--MID('Key Analysis'!$C28,74,1))</f>
        <v/>
      </c>
      <c r="HE32" s="29" t="str">
        <f>IF(OR($B32="",$A32&lt;75),"",--MID('Key Analysis'!$C28,75,1))</f>
        <v/>
      </c>
      <c r="HF32" s="29" t="str">
        <f>IF(OR($B32="",$A32&lt;76),"",--MID('Key Analysis'!$C28,76,1))</f>
        <v/>
      </c>
      <c r="HG32" s="29" t="str">
        <f>IF(OR($B32="",$A32&lt;77),"",--MID('Key Analysis'!$C28,77,1))</f>
        <v/>
      </c>
      <c r="HH32" s="29" t="str">
        <f>IF(OR($B32="",$A32&lt;78),"",--MID('Key Analysis'!$C28,78,1))</f>
        <v/>
      </c>
      <c r="HI32" s="29" t="str">
        <f>IF(OR($B32="",$A32&lt;79),"",--MID('Key Analysis'!$C28,79,1))</f>
        <v/>
      </c>
      <c r="HJ32" s="29" t="str">
        <f>IF(OR($B32="",$A32&lt;80),"",--MID('Key Analysis'!$C28,80,1))</f>
        <v/>
      </c>
      <c r="HK32" s="29" t="str">
        <f>IF(OR($B32="",$A32&lt;81),"",--MID('Key Analysis'!$C28,81,1))</f>
        <v/>
      </c>
      <c r="HL32" s="29" t="str">
        <f>IF(OR($B32="",$A32&lt;82),"",--MID('Key Analysis'!$C28,82,1))</f>
        <v/>
      </c>
      <c r="HM32" s="29" t="str">
        <f>IF(OR($B32="",$A32&lt;83),"",--MID('Key Analysis'!$C28,83,1))</f>
        <v/>
      </c>
      <c r="HN32" s="29" t="str">
        <f>IF(OR($B32="",$A32&lt;84),"",--MID('Key Analysis'!$C28,84,1))</f>
        <v/>
      </c>
      <c r="HO32" s="29" t="str">
        <f>IF(OR($B32="",$A32&lt;85),"",--MID('Key Analysis'!$C28,85,1))</f>
        <v/>
      </c>
      <c r="HP32" s="29" t="str">
        <f>IF(OR($B32="",$A32&lt;86),"",--MID('Key Analysis'!$C28,86,1))</f>
        <v/>
      </c>
      <c r="HQ32" s="29" t="str">
        <f>IF(OR($B32="",$A32&lt;87),"",--MID('Key Analysis'!$C28,87,1))</f>
        <v/>
      </c>
      <c r="HR32" s="29" t="str">
        <f>IF(OR($B32="",$A32&lt;88),"",--MID('Key Analysis'!$C28,88,1))</f>
        <v/>
      </c>
      <c r="HS32" s="29" t="str">
        <f>IF(OR($B32="",$A32&lt;89),"",--MID('Key Analysis'!$C28,89,1))</f>
        <v/>
      </c>
      <c r="HT32" s="29" t="str">
        <f>IF(OR($B32="",$A32&lt;90),"",--MID('Key Analysis'!$C28,90,1))</f>
        <v/>
      </c>
      <c r="HU32" s="29" t="str">
        <f>IF(OR($B32="",$A32&lt;91),"",--MID('Key Analysis'!$C28,91,1))</f>
        <v/>
      </c>
      <c r="HV32" s="29" t="str">
        <f>IF(OR($B32="",$A32&lt;92),"",--MID('Key Analysis'!$C28,92,1))</f>
        <v/>
      </c>
      <c r="HW32" s="29" t="str">
        <f>IF(OR($B32="",$A32&lt;93),"",--MID('Key Analysis'!$C28,93,1))</f>
        <v/>
      </c>
      <c r="HX32" s="29" t="str">
        <f>IF(OR($B32="",$A32&lt;94),"",--MID('Key Analysis'!$C28,94,1))</f>
        <v/>
      </c>
      <c r="HY32" s="29" t="str">
        <f>IF(OR($B32="",$A32&lt;95),"",--MID('Key Analysis'!$C28,95,1))</f>
        <v/>
      </c>
      <c r="HZ32" s="29" t="str">
        <f>IF(OR($B32="",$A32&lt;96),"",--MID('Key Analysis'!$C28,96,1))</f>
        <v/>
      </c>
      <c r="IA32" s="29" t="str">
        <f>IF(OR($B32="",$A32&lt;97),"",--MID('Key Analysis'!$C28,97,1))</f>
        <v/>
      </c>
      <c r="IB32" s="29" t="str">
        <f>IF(OR($B32="",$A32&lt;98),"",--MID('Key Analysis'!$C28,98,1))</f>
        <v/>
      </c>
      <c r="IC32" s="29" t="str">
        <f>IF(OR($B32="",$A32&lt;99),"",--MID('Key Analysis'!$C28,99,1))</f>
        <v/>
      </c>
      <c r="ID32" s="29" t="str">
        <f>IF(OR($B32="",$A32&lt;100),"",--MID('Key Analysis'!$C28,100,1))</f>
        <v/>
      </c>
      <c r="IE32" s="29" t="str">
        <f>IF(OR($B32="",$A32&lt;101),"",--MID('Key Analysis'!$C28,101,1))</f>
        <v/>
      </c>
      <c r="IF32" s="29" t="str">
        <f>IF(OR($B32="",$A32&lt;102),"",--MID('Key Analysis'!$C28,102,1))</f>
        <v/>
      </c>
      <c r="IG32" s="29" t="str">
        <f>IF(OR($B32="",$A32&lt;103),"",--MID('Key Analysis'!$C28,103,1))</f>
        <v/>
      </c>
      <c r="IH32" s="29" t="str">
        <f>IF(OR($B32="",$A32&lt;104),"",--MID('Key Analysis'!$C28,104,1))</f>
        <v/>
      </c>
      <c r="II32" s="29" t="str">
        <f>IF(OR($B32="",$A32&lt;105),"",--MID('Key Analysis'!$C28,105,1))</f>
        <v/>
      </c>
      <c r="IJ32" s="29" t="str">
        <f>IF(OR($B32="",$A32&lt;106),"",--MID('Key Analysis'!$C28,106,1))</f>
        <v/>
      </c>
      <c r="IK32" s="29" t="str">
        <f>IF(OR($B32="",$A32&lt;107),"",--MID('Key Analysis'!$C28,107,1))</f>
        <v/>
      </c>
      <c r="IL32" s="29" t="str">
        <f>IF(OR($B32="",$A32&lt;108),"",--MID('Key Analysis'!$C28,108,1))</f>
        <v/>
      </c>
      <c r="IM32" s="29" t="str">
        <f>IF(OR($B32="",$A32&lt;109),"",--MID('Key Analysis'!$C28,109,1))</f>
        <v/>
      </c>
      <c r="IN32" s="29" t="str">
        <f>IF(OR($B32="",$A32&lt;110),"",--MID('Key Analysis'!$C28,110,1))</f>
        <v/>
      </c>
      <c r="IO32" s="29" t="str">
        <f>IF(OR($B32="",$A32&lt;111),"",--MID('Key Analysis'!$C28,111,1))</f>
        <v/>
      </c>
      <c r="IP32" s="29" t="str">
        <f>IF(OR($B32="",$A32&lt;112),"",--MID('Key Analysis'!$C28,112,1))</f>
        <v/>
      </c>
      <c r="IQ32" s="29" t="str">
        <f>IF(OR($B32="",$A32&lt;113),"",--MID('Key Analysis'!$C28,113,1))</f>
        <v/>
      </c>
      <c r="IR32" s="29" t="str">
        <f>IF(OR($B32="",$A32&lt;114),"",--MID('Key Analysis'!$C28,114,1))</f>
        <v/>
      </c>
      <c r="IS32" s="29" t="str">
        <f>IF(OR($B32="",$A32&lt;115),"",--MID('Key Analysis'!$C28,115,1))</f>
        <v/>
      </c>
      <c r="IT32" s="29" t="str">
        <f>IF(OR($B32="",$A32&lt;116),"",--MID('Key Analysis'!$C28,116,1))</f>
        <v/>
      </c>
      <c r="IU32" s="29" t="str">
        <f>IF(OR($B32="",$A32&lt;117),"",--MID('Key Analysis'!$C28,117,1))</f>
        <v/>
      </c>
      <c r="IV32" s="29" t="str">
        <f>IF(OR($B32="",$A32&lt;118),"",--MID('Key Analysis'!$C28,118,1))</f>
        <v/>
      </c>
      <c r="IW32" s="29" t="str">
        <f>IF(OR($B32="",$A32&lt;119),"",--MID('Key Analysis'!$C28,119,1))</f>
        <v/>
      </c>
      <c r="IX32" s="29" t="str">
        <f>IF(OR($B32="",$A32&lt;120),"",--MID('Key Analysis'!$C28,120,1))</f>
        <v/>
      </c>
      <c r="IY32" s="29" t="str">
        <f>IF(OR($B32="",$A32&lt;121),"",--MID('Key Analysis'!$C28,121,1))</f>
        <v/>
      </c>
      <c r="IZ32" s="29" t="str">
        <f>IF(OR($B32="",$A32&lt;122),"",--MID('Key Analysis'!$C28,122,1))</f>
        <v/>
      </c>
      <c r="JA32" s="29" t="str">
        <f>IF(OR($B32="",$A32&lt;123),"",--MID('Key Analysis'!$C28,123,1))</f>
        <v/>
      </c>
      <c r="JB32" s="29" t="str">
        <f>IF(OR($B32="",$A32&lt;124),"",--MID('Key Analysis'!$C28,124,1))</f>
        <v/>
      </c>
      <c r="JC32" s="29" t="str">
        <f>IF(OR($B32="",$A32&lt;125),"",--MID('Key Analysis'!$C28,125,1))</f>
        <v/>
      </c>
      <c r="JD32" s="29" t="str">
        <f>IF(OR($B32="",$A32&lt;126),"",--MID('Key Analysis'!$C28,126,1))</f>
        <v/>
      </c>
      <c r="JE32" s="29" t="str">
        <f>IF(OR($B32="",$A32&lt;127),"",--MID('Key Analysis'!$C28,127,1))</f>
        <v/>
      </c>
      <c r="JF32" s="29" t="str">
        <f>IF(OR($B32="",$A32&lt;128),"",--MID('Key Analysis'!$C28,128,1))</f>
        <v/>
      </c>
      <c r="JG32" s="29" t="str">
        <f>IF(OR($B32="",$A32&lt;129),"",--MID('Key Analysis'!$C28,129,1))</f>
        <v/>
      </c>
      <c r="JH32" s="29" t="str">
        <f>IF(OR($B32="",$A32&lt;130),"",--MID('Key Analysis'!$C28,130,1))</f>
        <v/>
      </c>
      <c r="JI32" s="29" t="str">
        <f>IF(OR($B32="",$A32&lt;131),"",--MID('Key Analysis'!$C28,131,1))</f>
        <v/>
      </c>
      <c r="JJ32" s="29" t="str">
        <f>IF(OR($B32="",$A32&lt;132),"",--MID('Key Analysis'!$C28,132,1))</f>
        <v/>
      </c>
      <c r="JK32" s="29" t="str">
        <f>IF(OR($B32="",$A32&lt;133),"",--MID('Key Analysis'!$C28,133,1))</f>
        <v/>
      </c>
      <c r="JL32" s="29" t="str">
        <f>IF(OR($B32="",$A32&lt;134),"",--MID('Key Analysis'!$C28,134,1))</f>
        <v/>
      </c>
      <c r="JM32" s="29" t="str">
        <f>IF(OR($B32="",$A32&lt;135),"",--MID('Key Analysis'!$C28,135,1))</f>
        <v/>
      </c>
    </row>
    <row r="33" spans="1:273" x14ac:dyDescent="0.25">
      <c r="A33" s="21">
        <f>'Key Analysis'!A29</f>
        <v>28</v>
      </c>
      <c r="B33" s="30" t="str">
        <f>'Key Analysis'!B29</f>
        <v>d916ce8</v>
      </c>
      <c r="C33" s="29">
        <f>IF(OR($B33="",$A33&lt;=0),"",--MID('Key Analysis'!$C29,$A33-0,1))</f>
        <v>0</v>
      </c>
      <c r="D33" s="29">
        <f>IF(OR($B33="",$A33&lt;=1),"",--MID('Key Analysis'!$C29,$A33-1,1))</f>
        <v>0</v>
      </c>
      <c r="E33" s="29">
        <f>IF(OR($B33="",$A33&lt;=2),"",--MID('Key Analysis'!$C29,$A33-2,1))</f>
        <v>0</v>
      </c>
      <c r="F33" s="29">
        <f>IF(OR($B33="",$A33&lt;=3),"",--MID('Key Analysis'!$C29,$A33-3,1))</f>
        <v>1</v>
      </c>
      <c r="G33" s="29">
        <f>IF(OR($B33="",$A33&lt;=4),"",--MID('Key Analysis'!$C29,$A33-4,1))</f>
        <v>0</v>
      </c>
      <c r="H33" s="29">
        <f>IF(OR($B33="",$A33&lt;=5),"",--MID('Key Analysis'!$C29,$A33-5,1))</f>
        <v>1</v>
      </c>
      <c r="I33" s="29">
        <f>IF(OR($B33="",$A33&lt;=6),"",--MID('Key Analysis'!$C29,$A33-6,1))</f>
        <v>1</v>
      </c>
      <c r="J33" s="29">
        <f>IF(OR($B33="",$A33&lt;=7),"",--MID('Key Analysis'!$C29,$A33-7,1))</f>
        <v>1</v>
      </c>
      <c r="K33" s="29">
        <f>IF(OR($B33="",$A33&lt;=8),"",--MID('Key Analysis'!$C29,$A33-8,1))</f>
        <v>0</v>
      </c>
      <c r="L33" s="29">
        <f>IF(OR($B33="",$A33&lt;=9),"",--MID('Key Analysis'!$C29,$A33-9,1))</f>
        <v>0</v>
      </c>
      <c r="M33" s="29">
        <f>IF(OR($B33="",$A33&lt;=10),"",--MID('Key Analysis'!$C29,$A33-10,1))</f>
        <v>1</v>
      </c>
      <c r="N33" s="29">
        <f>IF(OR($B33="",$A33&lt;=11),"",--MID('Key Analysis'!$C29,$A33-11,1))</f>
        <v>1</v>
      </c>
      <c r="O33" s="29">
        <f>IF(OR($B33="",$A33&lt;=12),"",--MID('Key Analysis'!$C29,$A33-12,1))</f>
        <v>0</v>
      </c>
      <c r="P33" s="29">
        <f>IF(OR($B33="",$A33&lt;=13),"",--MID('Key Analysis'!$C29,$A33-13,1))</f>
        <v>1</v>
      </c>
      <c r="Q33" s="29">
        <f>IF(OR($B33="",$A33&lt;=14),"",--MID('Key Analysis'!$C29,$A33-14,1))</f>
        <v>1</v>
      </c>
      <c r="R33" s="29">
        <f>IF(OR($B33="",$A33&lt;=15),"",--MID('Key Analysis'!$C29,$A33-15,1))</f>
        <v>0</v>
      </c>
      <c r="S33" s="29">
        <f>IF(OR($B33="",$A33&lt;=16),"",--MID('Key Analysis'!$C29,$A33-16,1))</f>
        <v>1</v>
      </c>
      <c r="T33" s="29">
        <f>IF(OR($B33="",$A33&lt;=17),"",--MID('Key Analysis'!$C29,$A33-17,1))</f>
        <v>0</v>
      </c>
      <c r="U33" s="29">
        <f>IF(OR($B33="",$A33&lt;=18),"",--MID('Key Analysis'!$C29,$A33-18,1))</f>
        <v>0</v>
      </c>
      <c r="V33" s="29">
        <f>IF(OR($B33="",$A33&lt;=19),"",--MID('Key Analysis'!$C29,$A33-19,1))</f>
        <v>0</v>
      </c>
      <c r="W33" s="29">
        <f>IF(OR($B33="",$A33&lt;=20),"",--MID('Key Analysis'!$C29,$A33-20,1))</f>
        <v>1</v>
      </c>
      <c r="X33" s="29">
        <f>IF(OR($B33="",$A33&lt;=21),"",--MID('Key Analysis'!$C29,$A33-21,1))</f>
        <v>0</v>
      </c>
      <c r="Y33" s="29">
        <f>IF(OR($B33="",$A33&lt;=22),"",--MID('Key Analysis'!$C29,$A33-22,1))</f>
        <v>0</v>
      </c>
      <c r="Z33" s="29">
        <f>IF(OR($B33="",$A33&lt;=23),"",--MID('Key Analysis'!$C29,$A33-23,1))</f>
        <v>1</v>
      </c>
      <c r="AA33" s="29">
        <f>IF(OR($B33="",$A33&lt;=24),"",--MID('Key Analysis'!$C29,$A33-24,1))</f>
        <v>1</v>
      </c>
      <c r="AB33" s="29">
        <f>IF(OR($B33="",$A33&lt;=25),"",--MID('Key Analysis'!$C29,$A33-25,1))</f>
        <v>0</v>
      </c>
      <c r="AC33" s="29">
        <f>IF(OR($B33="",$A33&lt;=26),"",--MID('Key Analysis'!$C29,$A33-26,1))</f>
        <v>1</v>
      </c>
      <c r="AD33" s="29">
        <f>IF(OR($B33="",$A33&lt;=27),"",--MID('Key Analysis'!$C29,$A33-27,1))</f>
        <v>1</v>
      </c>
      <c r="AE33" s="29" t="str">
        <f>IF(OR($B33="",$A33&lt;=28),"",--MID('Key Analysis'!$C29,$A33-28,1))</f>
        <v/>
      </c>
      <c r="AF33" s="29" t="str">
        <f>IF(OR($B33="",$A33&lt;=29),"",--MID('Key Analysis'!$C29,$A33-29,1))</f>
        <v/>
      </c>
      <c r="AG33" s="29" t="str">
        <f>IF(OR($B33="",$A33&lt;=30),"",--MID('Key Analysis'!$C29,$A33-30,1))</f>
        <v/>
      </c>
      <c r="AH33" s="29" t="str">
        <f>IF(OR($B33="",$A33&lt;=31),"",--MID('Key Analysis'!$C29,$A33-31,1))</f>
        <v/>
      </c>
      <c r="AI33" s="29" t="str">
        <f>IF(OR($B33="",$A33&lt;=32),"",--MID('Key Analysis'!$C29,$A33-32,1))</f>
        <v/>
      </c>
      <c r="AJ33" s="29" t="str">
        <f>IF(OR($B33="",$A33&lt;=33),"",--MID('Key Analysis'!$C29,$A33-33,1))</f>
        <v/>
      </c>
      <c r="AK33" s="29" t="str">
        <f>IF(OR($B33="",$A33&lt;=34),"",--MID('Key Analysis'!$C29,$A33-34,1))</f>
        <v/>
      </c>
      <c r="AL33" s="29" t="str">
        <f>IF(OR($B33="",$A33&lt;=35),"",--MID('Key Analysis'!$C29,$A33-35,1))</f>
        <v/>
      </c>
      <c r="AM33" s="29" t="str">
        <f>IF(OR($B33="",$A33&lt;=36),"",--MID('Key Analysis'!$C29,$A33-36,1))</f>
        <v/>
      </c>
      <c r="AN33" s="29" t="str">
        <f>IF(OR($B33="",$A33&lt;=37),"",--MID('Key Analysis'!$C29,$A33-37,1))</f>
        <v/>
      </c>
      <c r="AO33" s="29" t="str">
        <f>IF(OR($B33="",$A33&lt;=38),"",--MID('Key Analysis'!$C29,$A33-38,1))</f>
        <v/>
      </c>
      <c r="AP33" s="29" t="str">
        <f>IF(OR($B33="",$A33&lt;=39),"",--MID('Key Analysis'!$C29,$A33-39,1))</f>
        <v/>
      </c>
      <c r="AQ33" s="29" t="str">
        <f>IF(OR($B33="",$A33&lt;=40),"",--MID('Key Analysis'!$C29,$A33-40,1))</f>
        <v/>
      </c>
      <c r="AR33" s="29" t="str">
        <f>IF(OR($B33="",$A33&lt;=41),"",--MID('Key Analysis'!$C29,$A33-41,1))</f>
        <v/>
      </c>
      <c r="AS33" s="29" t="str">
        <f>IF(OR($B33="",$A33&lt;=42),"",--MID('Key Analysis'!$C29,$A33-42,1))</f>
        <v/>
      </c>
      <c r="AT33" s="29" t="str">
        <f>IF(OR($B33="",$A33&lt;=43),"",--MID('Key Analysis'!$C29,$A33-43,1))</f>
        <v/>
      </c>
      <c r="AU33" s="29" t="str">
        <f>IF(OR($B33="",$A33&lt;=44),"",--MID('Key Analysis'!$C29,$A33-44,1))</f>
        <v/>
      </c>
      <c r="AV33" s="29" t="str">
        <f>IF(OR($B33="",$A33&lt;=45),"",--MID('Key Analysis'!$C29,$A33-45,1))</f>
        <v/>
      </c>
      <c r="AW33" s="29" t="str">
        <f>IF(OR($B33="",$A33&lt;=46),"",--MID('Key Analysis'!$C29,$A33-46,1))</f>
        <v/>
      </c>
      <c r="AX33" s="29" t="str">
        <f>IF(OR($B33="",$A33&lt;=47),"",--MID('Key Analysis'!$C29,$A33-47,1))</f>
        <v/>
      </c>
      <c r="AY33" s="29" t="str">
        <f>IF(OR($B33="",$A33&lt;=48),"",--MID('Key Analysis'!$C29,$A33-48,1))</f>
        <v/>
      </c>
      <c r="AZ33" s="29" t="str">
        <f>IF(OR($B33="",$A33&lt;=49),"",--MID('Key Analysis'!$C29,$A33-49,1))</f>
        <v/>
      </c>
      <c r="BA33" s="29" t="str">
        <f>IF(OR($B33="",$A33&lt;=50),"",--MID('Key Analysis'!$C29,$A33-50,1))</f>
        <v/>
      </c>
      <c r="BB33" s="29" t="str">
        <f>IF(OR($B33="",$A33&lt;=51),"",--MID('Key Analysis'!$C29,$A33-51,1))</f>
        <v/>
      </c>
      <c r="BC33" s="29" t="str">
        <f>IF(OR($B33="",$A33&lt;=52),"",--MID('Key Analysis'!$C29,$A33-52,1))</f>
        <v/>
      </c>
      <c r="BD33" s="29" t="str">
        <f>IF(OR($B33="",$A33&lt;=53),"",--MID('Key Analysis'!$C29,$A33-53,1))</f>
        <v/>
      </c>
      <c r="BE33" s="29" t="str">
        <f>IF(OR($B33="",$A33&lt;=54),"",--MID('Key Analysis'!$C29,$A33-54,1))</f>
        <v/>
      </c>
      <c r="BF33" s="29" t="str">
        <f>IF(OR($B33="",$A33&lt;=55),"",--MID('Key Analysis'!$C29,$A33-55,1))</f>
        <v/>
      </c>
      <c r="BG33" s="29" t="str">
        <f>IF(OR($B33="",$A33&lt;=56),"",--MID('Key Analysis'!$C29,$A33-56,1))</f>
        <v/>
      </c>
      <c r="BH33" s="29" t="str">
        <f>IF(OR($B33="",$A33&lt;=57),"",--MID('Key Analysis'!$C29,$A33-57,1))</f>
        <v/>
      </c>
      <c r="BI33" s="29" t="str">
        <f>IF(OR($B33="",$A33&lt;=58),"",--MID('Key Analysis'!$C29,$A33-58,1))</f>
        <v/>
      </c>
      <c r="BJ33" s="29" t="str">
        <f>IF(OR($B33="",$A33&lt;=59),"",--MID('Key Analysis'!$C29,$A33-59,1))</f>
        <v/>
      </c>
      <c r="BK33" s="29" t="str">
        <f>IF(OR($B33="",$A33&lt;=60),"",--MID('Key Analysis'!$C29,$A33-60,1))</f>
        <v/>
      </c>
      <c r="BL33" s="29" t="str">
        <f>IF(OR($B33="",$A33&lt;=61),"",--MID('Key Analysis'!$C29,$A33-61,1))</f>
        <v/>
      </c>
      <c r="BM33" s="29" t="str">
        <f>IF(OR($B33="",$A33&lt;=62),"",--MID('Key Analysis'!$C29,$A33-62,1))</f>
        <v/>
      </c>
      <c r="BN33" s="29" t="str">
        <f>IF(OR($B33="",$A33&lt;=63),"",--MID('Key Analysis'!$C29,$A33-63,1))</f>
        <v/>
      </c>
      <c r="BO33" s="29" t="str">
        <f>IF(OR($B33="",$A33&lt;=64),"",--MID('Key Analysis'!$C29,$A33-64,1))</f>
        <v/>
      </c>
      <c r="BP33" s="29" t="str">
        <f>IF(OR($B33="",$A33&lt;=65),"",--MID('Key Analysis'!$C29,$A33-65,1))</f>
        <v/>
      </c>
      <c r="BQ33" s="29" t="str">
        <f>IF(OR($B33="",$A33&lt;=66),"",--MID('Key Analysis'!$C29,$A33-66,1))</f>
        <v/>
      </c>
      <c r="BR33" s="29" t="str">
        <f>IF(OR($B33="",$A33&lt;=67),"",--MID('Key Analysis'!$C29,$A33-67,1))</f>
        <v/>
      </c>
      <c r="BS33" s="29" t="str">
        <f>IF(OR($B33="",$A33&lt;=68),"",--MID('Key Analysis'!$C29,$A33-68,1))</f>
        <v/>
      </c>
      <c r="BT33" s="29" t="str">
        <f>IF(OR($B33="",$A33&lt;=69),"",--MID('Key Analysis'!$C29,$A33-69,1))</f>
        <v/>
      </c>
      <c r="BU33" s="29" t="str">
        <f>IF(OR($B33="",$A33&lt;=70),"",--MID('Key Analysis'!$C29,$A33-70,1))</f>
        <v/>
      </c>
      <c r="BV33" s="29" t="str">
        <f>IF(OR($B33="",$A33&lt;=71),"",--MID('Key Analysis'!$C29,$A33-71,1))</f>
        <v/>
      </c>
      <c r="BW33" s="29" t="str">
        <f>IF(OR($B33="",$A33&lt;=72),"",--MID('Key Analysis'!$C29,$A33-72,1))</f>
        <v/>
      </c>
      <c r="BX33" s="29" t="str">
        <f>IF(OR($B33="",$A33&lt;=73),"",--MID('Key Analysis'!$C29,$A33-73,1))</f>
        <v/>
      </c>
      <c r="BY33" s="29" t="str">
        <f>IF(OR($B33="",$A33&lt;=74),"",--MID('Key Analysis'!$C29,$A33-74,1))</f>
        <v/>
      </c>
      <c r="BZ33" s="29" t="str">
        <f>IF(OR($B33="",$A33&lt;=75),"",--MID('Key Analysis'!$C29,$A33-75,1))</f>
        <v/>
      </c>
      <c r="CA33" s="29" t="str">
        <f>IF(OR($B33="",$A33&lt;=76),"",--MID('Key Analysis'!$C29,$A33-76,1))</f>
        <v/>
      </c>
      <c r="CB33" s="29" t="str">
        <f>IF(OR($B33="",$A33&lt;=77),"",--MID('Key Analysis'!$C29,$A33-77,1))</f>
        <v/>
      </c>
      <c r="CC33" s="29" t="str">
        <f>IF(OR($B33="",$A33&lt;=78),"",--MID('Key Analysis'!$C29,$A33-78,1))</f>
        <v/>
      </c>
      <c r="CD33" s="29" t="str">
        <f>IF(OR($B33="",$A33&lt;=79),"",--MID('Key Analysis'!$C29,$A33-79,1))</f>
        <v/>
      </c>
      <c r="CE33" s="29" t="str">
        <f>IF(OR($B33="",$A33&lt;=80),"",--MID('Key Analysis'!$C29,$A33-80,1))</f>
        <v/>
      </c>
      <c r="CF33" s="29" t="str">
        <f>IF(OR($B33="",$A33&lt;=81),"",--MID('Key Analysis'!$C29,$A33-81,1))</f>
        <v/>
      </c>
      <c r="CG33" s="29" t="str">
        <f>IF(OR($B33="",$A33&lt;=82),"",--MID('Key Analysis'!$C29,$A33-82,1))</f>
        <v/>
      </c>
      <c r="CH33" s="29" t="str">
        <f>IF(OR($B33="",$A33&lt;=83),"",--MID('Key Analysis'!$C29,$A33-83,1))</f>
        <v/>
      </c>
      <c r="CI33" s="29" t="str">
        <f>IF(OR($B33="",$A33&lt;=84),"",--MID('Key Analysis'!$C29,$A33-84,1))</f>
        <v/>
      </c>
      <c r="CJ33" s="29" t="str">
        <f>IF(OR($B33="",$A33&lt;=85),"",--MID('Key Analysis'!$C29,$A33-85,1))</f>
        <v/>
      </c>
      <c r="CK33" s="29" t="str">
        <f>IF(OR($B33="",$A33&lt;=86),"",--MID('Key Analysis'!$C29,$A33-86,1))</f>
        <v/>
      </c>
      <c r="CL33" s="29" t="str">
        <f>IF(OR($B33="",$A33&lt;=87),"",--MID('Key Analysis'!$C29,$A33-87,1))</f>
        <v/>
      </c>
      <c r="CM33" s="29" t="str">
        <f>IF(OR($B33="",$A33&lt;=88),"",--MID('Key Analysis'!$C29,$A33-88,1))</f>
        <v/>
      </c>
      <c r="CN33" s="29" t="str">
        <f>IF(OR($B33="",$A33&lt;=89),"",--MID('Key Analysis'!$C29,$A33-89,1))</f>
        <v/>
      </c>
      <c r="CO33" s="29" t="str">
        <f>IF(OR($B33="",$A33&lt;=90),"",--MID('Key Analysis'!$C29,$A33-90,1))</f>
        <v/>
      </c>
      <c r="CP33" s="29" t="str">
        <f>IF(OR($B33="",$A33&lt;=91),"",--MID('Key Analysis'!$C29,$A33-91,1))</f>
        <v/>
      </c>
      <c r="CQ33" s="29" t="str">
        <f>IF(OR($B33="",$A33&lt;=92),"",--MID('Key Analysis'!$C29,$A33-92,1))</f>
        <v/>
      </c>
      <c r="CR33" s="29" t="str">
        <f>IF(OR($B33="",$A33&lt;=93),"",--MID('Key Analysis'!$C29,$A33-93,1))</f>
        <v/>
      </c>
      <c r="CS33" s="29" t="str">
        <f>IF(OR($B33="",$A33&lt;=94),"",--MID('Key Analysis'!$C29,$A33-94,1))</f>
        <v/>
      </c>
      <c r="CT33" s="29" t="str">
        <f>IF(OR($B33="",$A33&lt;=95),"",--MID('Key Analysis'!$C29,$A33-95,1))</f>
        <v/>
      </c>
      <c r="CU33" s="29" t="str">
        <f>IF(OR($B33="",$A33&lt;=96),"",--MID('Key Analysis'!$C29,$A33-96,1))</f>
        <v/>
      </c>
      <c r="CV33" s="29" t="str">
        <f>IF(OR($B33="",$A33&lt;=97),"",--MID('Key Analysis'!$C29,$A33-97,1))</f>
        <v/>
      </c>
      <c r="CW33" s="29" t="str">
        <f>IF(OR($B33="",$A33&lt;=98),"",--MID('Key Analysis'!$C29,$A33-98,1))</f>
        <v/>
      </c>
      <c r="CX33" s="29" t="str">
        <f>IF(OR($B33="",$A33&lt;=99),"",--MID('Key Analysis'!$C29,$A33-99,1))</f>
        <v/>
      </c>
      <c r="CY33" s="29" t="str">
        <f>IF(OR($B33="",$A33&lt;=100),"",--MID('Key Analysis'!$C29,$A33-100,1))</f>
        <v/>
      </c>
      <c r="CZ33" s="29" t="str">
        <f>IF(OR($B33="",$A33&lt;=101),"",--MID('Key Analysis'!$C29,$A33-101,1))</f>
        <v/>
      </c>
      <c r="DA33" s="29" t="str">
        <f>IF(OR($B33="",$A33&lt;=102),"",--MID('Key Analysis'!$C29,$A33-102,1))</f>
        <v/>
      </c>
      <c r="DB33" s="29" t="str">
        <f>IF(OR($B33="",$A33&lt;=103),"",--MID('Key Analysis'!$C29,$A33-103,1))</f>
        <v/>
      </c>
      <c r="DC33" s="29" t="str">
        <f>IF(OR($B33="",$A33&lt;=104),"",--MID('Key Analysis'!$C29,$A33-104,1))</f>
        <v/>
      </c>
      <c r="DD33" s="29" t="str">
        <f>IF(OR($B33="",$A33&lt;=105),"",--MID('Key Analysis'!$C29,$A33-105,1))</f>
        <v/>
      </c>
      <c r="DE33" s="29" t="str">
        <f>IF(OR($B33="",$A33&lt;=106),"",--MID('Key Analysis'!$C29,$A33-106,1))</f>
        <v/>
      </c>
      <c r="DF33" s="29" t="str">
        <f>IF(OR($B33="",$A33&lt;=107),"",--MID('Key Analysis'!$C29,$A33-107,1))</f>
        <v/>
      </c>
      <c r="DG33" s="29" t="str">
        <f>IF(OR($B33="",$A33&lt;=108),"",--MID('Key Analysis'!$C29,$A33-108,1))</f>
        <v/>
      </c>
      <c r="DH33" s="29" t="str">
        <f>IF(OR($B33="",$A33&lt;=109),"",--MID('Key Analysis'!$C29,$A33-109,1))</f>
        <v/>
      </c>
      <c r="DI33" s="29" t="str">
        <f>IF(OR($B33="",$A33&lt;=110),"",--MID('Key Analysis'!$C29,$A33-110,1))</f>
        <v/>
      </c>
      <c r="DJ33" s="29" t="str">
        <f>IF(OR($B33="",$A33&lt;=111),"",--MID('Key Analysis'!$C29,$A33-111,1))</f>
        <v/>
      </c>
      <c r="DK33" s="29" t="str">
        <f>IF(OR($B33="",$A33&lt;=112),"",--MID('Key Analysis'!$C29,$A33-112,1))</f>
        <v/>
      </c>
      <c r="DL33" s="29" t="str">
        <f>IF(OR($B33="",$A33&lt;=113),"",--MID('Key Analysis'!$C29,$A33-113,1))</f>
        <v/>
      </c>
      <c r="DM33" s="29" t="str">
        <f>IF(OR($B33="",$A33&lt;=114),"",--MID('Key Analysis'!$C29,$A33-114,1))</f>
        <v/>
      </c>
      <c r="DN33" s="29" t="str">
        <f>IF(OR($B33="",$A33&lt;=115),"",--MID('Key Analysis'!$C29,$A33-115,1))</f>
        <v/>
      </c>
      <c r="DO33" s="29" t="str">
        <f>IF(OR($B33="",$A33&lt;=116),"",--MID('Key Analysis'!$C29,$A33-116,1))</f>
        <v/>
      </c>
      <c r="DP33" s="29" t="str">
        <f>IF(OR($B33="",$A33&lt;=117),"",--MID('Key Analysis'!$C29,$A33-117,1))</f>
        <v/>
      </c>
      <c r="DQ33" s="29" t="str">
        <f>IF(OR($B33="",$A33&lt;=118),"",--MID('Key Analysis'!$C29,$A33-118,1))</f>
        <v/>
      </c>
      <c r="DR33" s="29" t="str">
        <f>IF(OR($B33="",$A33&lt;=119),"",--MID('Key Analysis'!$C29,$A33-119,1))</f>
        <v/>
      </c>
      <c r="DS33" s="29" t="str">
        <f>IF(OR($B33="",$A33&lt;=120),"",--MID('Key Analysis'!$C29,$A33-120,1))</f>
        <v/>
      </c>
      <c r="DT33" s="29" t="str">
        <f>IF(OR($B33="",$A33&lt;=121),"",--MID('Key Analysis'!$C29,$A33-121,1))</f>
        <v/>
      </c>
      <c r="DU33" s="29" t="str">
        <f>IF(OR($B33="",$A33&lt;=122),"",--MID('Key Analysis'!$C29,$A33-122,1))</f>
        <v/>
      </c>
      <c r="DV33" s="29" t="str">
        <f>IF(OR($B33="",$A33&lt;=123),"",--MID('Key Analysis'!$C29,$A33-123,1))</f>
        <v/>
      </c>
      <c r="DW33" s="29" t="str">
        <f>IF(OR($B33="",$A33&lt;=124),"",--MID('Key Analysis'!$C29,$A33-124,1))</f>
        <v/>
      </c>
      <c r="DX33" s="29" t="str">
        <f>IF(OR($B33="",$A33&lt;=125),"",--MID('Key Analysis'!$C29,$A33-125,1))</f>
        <v/>
      </c>
      <c r="DY33" s="29" t="str">
        <f>IF(OR($B33="",$A33&lt;=126),"",--MID('Key Analysis'!$C29,$A33-126,1))</f>
        <v/>
      </c>
      <c r="DZ33" s="29" t="str">
        <f>IF(OR($B33="",$A33&lt;=127),"",--MID('Key Analysis'!$C29,$A33-127,1))</f>
        <v/>
      </c>
      <c r="EA33" s="29" t="str">
        <f>IF(OR($B33="",$A33&lt;=128),"",--MID('Key Analysis'!$C29,$A33-128,1))</f>
        <v/>
      </c>
      <c r="EB33" s="29" t="str">
        <f>IF(OR($B33="",$A33&lt;=129),"",--MID('Key Analysis'!$C29,$A33-129,1))</f>
        <v/>
      </c>
      <c r="EC33" s="29" t="str">
        <f>IF(OR($B33="",$A33&lt;=130),"",--MID('Key Analysis'!$C29,$A33-130,1))</f>
        <v/>
      </c>
      <c r="ED33" s="29" t="str">
        <f>IF(OR($B33="",$A33&lt;=131),"",--MID('Key Analysis'!$C29,$A33-131,1))</f>
        <v/>
      </c>
      <c r="EE33" s="29" t="str">
        <f>IF(OR($B33="",$A33&lt;=132),"",--MID('Key Analysis'!$C29,$A33-132,1))</f>
        <v/>
      </c>
      <c r="EF33" s="29" t="str">
        <f>IF(OR($B33="",$A33&lt;=133),"",--MID('Key Analysis'!$C29,$A33-133,1))</f>
        <v/>
      </c>
      <c r="EG33" s="29" t="str">
        <f>IF(OR($B33="",$A33&lt;=134),"",--MID('Key Analysis'!$C29,$A33-134,1))</f>
        <v/>
      </c>
      <c r="EH33" s="29"/>
      <c r="EI33" s="29">
        <f>IF(OR($B33="",$A33&lt;1),"",--MID('Key Analysis'!$C29,1,1))</f>
        <v>1</v>
      </c>
      <c r="EJ33" s="29">
        <f>IF(OR($B33="",$A33&lt;2),"",--MID('Key Analysis'!$C29,2,1))</f>
        <v>1</v>
      </c>
      <c r="EK33" s="29">
        <f>IF(OR($B33="",$A33&lt;3),"",--MID('Key Analysis'!$C29,3,1))</f>
        <v>0</v>
      </c>
      <c r="EL33" s="29">
        <f>IF(OR($B33="",$A33&lt;4),"",--MID('Key Analysis'!$C29,4,1))</f>
        <v>1</v>
      </c>
      <c r="EM33" s="29">
        <f>IF(OR($B33="",$A33&lt;5),"",--MID('Key Analysis'!$C29,5,1))</f>
        <v>1</v>
      </c>
      <c r="EN33" s="29">
        <f>IF(OR($B33="",$A33&lt;6),"",--MID('Key Analysis'!$C29,6,1))</f>
        <v>0</v>
      </c>
      <c r="EO33" s="29">
        <f>IF(OR($B33="",$A33&lt;7),"",--MID('Key Analysis'!$C29,7,1))</f>
        <v>0</v>
      </c>
      <c r="EP33" s="29">
        <f>IF(OR($B33="",$A33&lt;8),"",--MID('Key Analysis'!$C29,8,1))</f>
        <v>1</v>
      </c>
      <c r="EQ33" s="29">
        <f>IF(OR($B33="",$A33&lt;9),"",--MID('Key Analysis'!$C29,9,1))</f>
        <v>0</v>
      </c>
      <c r="ER33" s="29">
        <f>IF(OR($B33="",$A33&lt;10),"",--MID('Key Analysis'!$C29,10,1))</f>
        <v>0</v>
      </c>
      <c r="ES33" s="29">
        <f>IF(OR($B33="",$A33&lt;11),"",--MID('Key Analysis'!$C29,11,1))</f>
        <v>0</v>
      </c>
      <c r="ET33" s="29">
        <f>IF(OR($B33="",$A33&lt;12),"",--MID('Key Analysis'!$C29,12,1))</f>
        <v>1</v>
      </c>
      <c r="EU33" s="29">
        <f>IF(OR($B33="",$A33&lt;13),"",--MID('Key Analysis'!$C29,13,1))</f>
        <v>0</v>
      </c>
      <c r="EV33" s="29">
        <f>IF(OR($B33="",$A33&lt;14),"",--MID('Key Analysis'!$C29,14,1))</f>
        <v>1</v>
      </c>
      <c r="EW33" s="29">
        <f>IF(OR($B33="",$A33&lt;15),"",--MID('Key Analysis'!$C29,15,1))</f>
        <v>1</v>
      </c>
      <c r="EX33" s="29">
        <f>IF(OR($B33="",$A33&lt;16),"",--MID('Key Analysis'!$C29,16,1))</f>
        <v>0</v>
      </c>
      <c r="EY33" s="29">
        <f>IF(OR($B33="",$A33&lt;17),"",--MID('Key Analysis'!$C29,17,1))</f>
        <v>1</v>
      </c>
      <c r="EZ33" s="29">
        <f>IF(OR($B33="",$A33&lt;18),"",--MID('Key Analysis'!$C29,18,1))</f>
        <v>1</v>
      </c>
      <c r="FA33" s="29">
        <f>IF(OR($B33="",$A33&lt;19),"",--MID('Key Analysis'!$C29,19,1))</f>
        <v>0</v>
      </c>
      <c r="FB33" s="29">
        <f>IF(OR($B33="",$A33&lt;20),"",--MID('Key Analysis'!$C29,20,1))</f>
        <v>0</v>
      </c>
      <c r="FC33" s="29">
        <f>IF(OR($B33="",$A33&lt;21),"",--MID('Key Analysis'!$C29,21,1))</f>
        <v>1</v>
      </c>
      <c r="FD33" s="29">
        <f>IF(OR($B33="",$A33&lt;22),"",--MID('Key Analysis'!$C29,22,1))</f>
        <v>1</v>
      </c>
      <c r="FE33" s="29">
        <f>IF(OR($B33="",$A33&lt;23),"",--MID('Key Analysis'!$C29,23,1))</f>
        <v>1</v>
      </c>
      <c r="FF33" s="29">
        <f>IF(OR($B33="",$A33&lt;24),"",--MID('Key Analysis'!$C29,24,1))</f>
        <v>0</v>
      </c>
      <c r="FG33" s="29">
        <f>IF(OR($B33="",$A33&lt;25),"",--MID('Key Analysis'!$C29,25,1))</f>
        <v>1</v>
      </c>
      <c r="FH33" s="29">
        <f>IF(OR($B33="",$A33&lt;26),"",--MID('Key Analysis'!$C29,26,1))</f>
        <v>0</v>
      </c>
      <c r="FI33" s="29">
        <f>IF(OR($B33="",$A33&lt;27),"",--MID('Key Analysis'!$C29,27,1))</f>
        <v>0</v>
      </c>
      <c r="FJ33" s="29">
        <f>IF(OR($B33="",$A33&lt;28),"",--MID('Key Analysis'!$C29,28,1))</f>
        <v>0</v>
      </c>
      <c r="FK33" s="29" t="str">
        <f>IF(OR($B33="",$A33&lt;29),"",--MID('Key Analysis'!$C29,29,1))</f>
        <v/>
      </c>
      <c r="FL33" s="29" t="str">
        <f>IF(OR($B33="",$A33&lt;30),"",--MID('Key Analysis'!$C29,30,1))</f>
        <v/>
      </c>
      <c r="FM33" s="29" t="str">
        <f>IF(OR($B33="",$A33&lt;31),"",--MID('Key Analysis'!$C29,31,1))</f>
        <v/>
      </c>
      <c r="FN33" s="29" t="str">
        <f>IF(OR($B33="",$A33&lt;32),"",--MID('Key Analysis'!$C29,32,1))</f>
        <v/>
      </c>
      <c r="FO33" s="29" t="str">
        <f>IF(OR($B33="",$A33&lt;33),"",--MID('Key Analysis'!$C29,33,1))</f>
        <v/>
      </c>
      <c r="FP33" s="29" t="str">
        <f>IF(OR($B33="",$A33&lt;34),"",--MID('Key Analysis'!$C29,34,1))</f>
        <v/>
      </c>
      <c r="FQ33" s="29" t="str">
        <f>IF(OR($B33="",$A33&lt;35),"",--MID('Key Analysis'!$C29,35,1))</f>
        <v/>
      </c>
      <c r="FR33" s="29" t="str">
        <f>IF(OR($B33="",$A33&lt;36),"",--MID('Key Analysis'!$C29,36,1))</f>
        <v/>
      </c>
      <c r="FS33" s="29" t="str">
        <f>IF(OR($B33="",$A33&lt;37),"",--MID('Key Analysis'!$C29,37,1))</f>
        <v/>
      </c>
      <c r="FT33" s="29" t="str">
        <f>IF(OR($B33="",$A33&lt;38),"",--MID('Key Analysis'!$C29,38,1))</f>
        <v/>
      </c>
      <c r="FU33" s="29" t="str">
        <f>IF(OR($B33="",$A33&lt;39),"",--MID('Key Analysis'!$C29,39,1))</f>
        <v/>
      </c>
      <c r="FV33" s="29" t="str">
        <f>IF(OR($B33="",$A33&lt;40),"",--MID('Key Analysis'!$C29,40,1))</f>
        <v/>
      </c>
      <c r="FW33" s="29" t="str">
        <f>IF(OR($B33="",$A33&lt;41),"",--MID('Key Analysis'!$C29,41,1))</f>
        <v/>
      </c>
      <c r="FX33" s="29" t="str">
        <f>IF(OR($B33="",$A33&lt;42),"",--MID('Key Analysis'!$C29,42,1))</f>
        <v/>
      </c>
      <c r="FY33" s="29" t="str">
        <f>IF(OR($B33="",$A33&lt;43),"",--MID('Key Analysis'!$C29,43,1))</f>
        <v/>
      </c>
      <c r="FZ33" s="29" t="str">
        <f>IF(OR($B33="",$A33&lt;44),"",--MID('Key Analysis'!$C29,44,1))</f>
        <v/>
      </c>
      <c r="GA33" s="29" t="str">
        <f>IF(OR($B33="",$A33&lt;45),"",--MID('Key Analysis'!$C29,45,1))</f>
        <v/>
      </c>
      <c r="GB33" s="29" t="str">
        <f>IF(OR($B33="",$A33&lt;46),"",--MID('Key Analysis'!$C29,46,1))</f>
        <v/>
      </c>
      <c r="GC33" s="29" t="str">
        <f>IF(OR($B33="",$A33&lt;47),"",--MID('Key Analysis'!$C29,47,1))</f>
        <v/>
      </c>
      <c r="GD33" s="29" t="str">
        <f>IF(OR($B33="",$A33&lt;48),"",--MID('Key Analysis'!$C29,48,1))</f>
        <v/>
      </c>
      <c r="GE33" s="29" t="str">
        <f>IF(OR($B33="",$A33&lt;49),"",--MID('Key Analysis'!$C29,49,1))</f>
        <v/>
      </c>
      <c r="GF33" s="29" t="str">
        <f>IF(OR($B33="",$A33&lt;50),"",--MID('Key Analysis'!$C29,50,1))</f>
        <v/>
      </c>
      <c r="GG33" s="29" t="str">
        <f>IF(OR($B33="",$A33&lt;51),"",--MID('Key Analysis'!$C29,51,1))</f>
        <v/>
      </c>
      <c r="GH33" s="29" t="str">
        <f>IF(OR($B33="",$A33&lt;52),"",--MID('Key Analysis'!$C29,52,1))</f>
        <v/>
      </c>
      <c r="GI33" s="29" t="str">
        <f>IF(OR($B33="",$A33&lt;53),"",--MID('Key Analysis'!$C29,53,1))</f>
        <v/>
      </c>
      <c r="GJ33" s="29" t="str">
        <f>IF(OR($B33="",$A33&lt;54),"",--MID('Key Analysis'!$C29,54,1))</f>
        <v/>
      </c>
      <c r="GK33" s="29" t="str">
        <f>IF(OR($B33="",$A33&lt;55),"",--MID('Key Analysis'!$C29,55,1))</f>
        <v/>
      </c>
      <c r="GL33" s="29" t="str">
        <f>IF(OR($B33="",$A33&lt;56),"",--MID('Key Analysis'!$C29,56,1))</f>
        <v/>
      </c>
      <c r="GM33" s="29" t="str">
        <f>IF(OR($B33="",$A33&lt;57),"",--MID('Key Analysis'!$C29,57,1))</f>
        <v/>
      </c>
      <c r="GN33" s="29" t="str">
        <f>IF(OR($B33="",$A33&lt;58),"",--MID('Key Analysis'!$C29,58,1))</f>
        <v/>
      </c>
      <c r="GO33" s="29" t="str">
        <f>IF(OR($B33="",$A33&lt;59),"",--MID('Key Analysis'!$C29,59,1))</f>
        <v/>
      </c>
      <c r="GP33" s="29" t="str">
        <f>IF(OR($B33="",$A33&lt;60),"",--MID('Key Analysis'!$C29,60,1))</f>
        <v/>
      </c>
      <c r="GQ33" s="29" t="str">
        <f>IF(OR($B33="",$A33&lt;61),"",--MID('Key Analysis'!$C29,61,1))</f>
        <v/>
      </c>
      <c r="GR33" s="29" t="str">
        <f>IF(OR($B33="",$A33&lt;62),"",--MID('Key Analysis'!$C29,62,1))</f>
        <v/>
      </c>
      <c r="GS33" s="29" t="str">
        <f>IF(OR($B33="",$A33&lt;63),"",--MID('Key Analysis'!$C29,63,1))</f>
        <v/>
      </c>
      <c r="GT33" s="29" t="str">
        <f>IF(OR($B33="",$A33&lt;64),"",--MID('Key Analysis'!$C29,64,1))</f>
        <v/>
      </c>
      <c r="GU33" s="29" t="str">
        <f>IF(OR($B33="",$A33&lt;65),"",--MID('Key Analysis'!$C29,65,1))</f>
        <v/>
      </c>
      <c r="GV33" s="29" t="str">
        <f>IF(OR($B33="",$A33&lt;66),"",--MID('Key Analysis'!$C29,66,1))</f>
        <v/>
      </c>
      <c r="GW33" s="29" t="str">
        <f>IF(OR($B33="",$A33&lt;67),"",--MID('Key Analysis'!$C29,67,1))</f>
        <v/>
      </c>
      <c r="GX33" s="29" t="str">
        <f>IF(OR($B33="",$A33&lt;68),"",--MID('Key Analysis'!$C29,68,1))</f>
        <v/>
      </c>
      <c r="GY33" s="29" t="str">
        <f>IF(OR($B33="",$A33&lt;69),"",--MID('Key Analysis'!$C29,69,1))</f>
        <v/>
      </c>
      <c r="GZ33" s="29" t="str">
        <f>IF(OR($B33="",$A33&lt;70),"",--MID('Key Analysis'!$C29,70,1))</f>
        <v/>
      </c>
      <c r="HA33" s="29" t="str">
        <f>IF(OR($B33="",$A33&lt;71),"",--MID('Key Analysis'!$C29,71,1))</f>
        <v/>
      </c>
      <c r="HB33" s="29" t="str">
        <f>IF(OR($B33="",$A33&lt;72),"",--MID('Key Analysis'!$C29,72,1))</f>
        <v/>
      </c>
      <c r="HC33" s="29" t="str">
        <f>IF(OR($B33="",$A33&lt;73),"",--MID('Key Analysis'!$C29,73,1))</f>
        <v/>
      </c>
      <c r="HD33" s="29" t="str">
        <f>IF(OR($B33="",$A33&lt;74),"",--MID('Key Analysis'!$C29,74,1))</f>
        <v/>
      </c>
      <c r="HE33" s="29" t="str">
        <f>IF(OR($B33="",$A33&lt;75),"",--MID('Key Analysis'!$C29,75,1))</f>
        <v/>
      </c>
      <c r="HF33" s="29" t="str">
        <f>IF(OR($B33="",$A33&lt;76),"",--MID('Key Analysis'!$C29,76,1))</f>
        <v/>
      </c>
      <c r="HG33" s="29" t="str">
        <f>IF(OR($B33="",$A33&lt;77),"",--MID('Key Analysis'!$C29,77,1))</f>
        <v/>
      </c>
      <c r="HH33" s="29" t="str">
        <f>IF(OR($B33="",$A33&lt;78),"",--MID('Key Analysis'!$C29,78,1))</f>
        <v/>
      </c>
      <c r="HI33" s="29" t="str">
        <f>IF(OR($B33="",$A33&lt;79),"",--MID('Key Analysis'!$C29,79,1))</f>
        <v/>
      </c>
      <c r="HJ33" s="29" t="str">
        <f>IF(OR($B33="",$A33&lt;80),"",--MID('Key Analysis'!$C29,80,1))</f>
        <v/>
      </c>
      <c r="HK33" s="29" t="str">
        <f>IF(OR($B33="",$A33&lt;81),"",--MID('Key Analysis'!$C29,81,1))</f>
        <v/>
      </c>
      <c r="HL33" s="29" t="str">
        <f>IF(OR($B33="",$A33&lt;82),"",--MID('Key Analysis'!$C29,82,1))</f>
        <v/>
      </c>
      <c r="HM33" s="29" t="str">
        <f>IF(OR($B33="",$A33&lt;83),"",--MID('Key Analysis'!$C29,83,1))</f>
        <v/>
      </c>
      <c r="HN33" s="29" t="str">
        <f>IF(OR($B33="",$A33&lt;84),"",--MID('Key Analysis'!$C29,84,1))</f>
        <v/>
      </c>
      <c r="HO33" s="29" t="str">
        <f>IF(OR($B33="",$A33&lt;85),"",--MID('Key Analysis'!$C29,85,1))</f>
        <v/>
      </c>
      <c r="HP33" s="29" t="str">
        <f>IF(OR($B33="",$A33&lt;86),"",--MID('Key Analysis'!$C29,86,1))</f>
        <v/>
      </c>
      <c r="HQ33" s="29" t="str">
        <f>IF(OR($B33="",$A33&lt;87),"",--MID('Key Analysis'!$C29,87,1))</f>
        <v/>
      </c>
      <c r="HR33" s="29" t="str">
        <f>IF(OR($B33="",$A33&lt;88),"",--MID('Key Analysis'!$C29,88,1))</f>
        <v/>
      </c>
      <c r="HS33" s="29" t="str">
        <f>IF(OR($B33="",$A33&lt;89),"",--MID('Key Analysis'!$C29,89,1))</f>
        <v/>
      </c>
      <c r="HT33" s="29" t="str">
        <f>IF(OR($B33="",$A33&lt;90),"",--MID('Key Analysis'!$C29,90,1))</f>
        <v/>
      </c>
      <c r="HU33" s="29" t="str">
        <f>IF(OR($B33="",$A33&lt;91),"",--MID('Key Analysis'!$C29,91,1))</f>
        <v/>
      </c>
      <c r="HV33" s="29" t="str">
        <f>IF(OR($B33="",$A33&lt;92),"",--MID('Key Analysis'!$C29,92,1))</f>
        <v/>
      </c>
      <c r="HW33" s="29" t="str">
        <f>IF(OR($B33="",$A33&lt;93),"",--MID('Key Analysis'!$C29,93,1))</f>
        <v/>
      </c>
      <c r="HX33" s="29" t="str">
        <f>IF(OR($B33="",$A33&lt;94),"",--MID('Key Analysis'!$C29,94,1))</f>
        <v/>
      </c>
      <c r="HY33" s="29" t="str">
        <f>IF(OR($B33="",$A33&lt;95),"",--MID('Key Analysis'!$C29,95,1))</f>
        <v/>
      </c>
      <c r="HZ33" s="29" t="str">
        <f>IF(OR($B33="",$A33&lt;96),"",--MID('Key Analysis'!$C29,96,1))</f>
        <v/>
      </c>
      <c r="IA33" s="29" t="str">
        <f>IF(OR($B33="",$A33&lt;97),"",--MID('Key Analysis'!$C29,97,1))</f>
        <v/>
      </c>
      <c r="IB33" s="29" t="str">
        <f>IF(OR($B33="",$A33&lt;98),"",--MID('Key Analysis'!$C29,98,1))</f>
        <v/>
      </c>
      <c r="IC33" s="29" t="str">
        <f>IF(OR($B33="",$A33&lt;99),"",--MID('Key Analysis'!$C29,99,1))</f>
        <v/>
      </c>
      <c r="ID33" s="29" t="str">
        <f>IF(OR($B33="",$A33&lt;100),"",--MID('Key Analysis'!$C29,100,1))</f>
        <v/>
      </c>
      <c r="IE33" s="29" t="str">
        <f>IF(OR($B33="",$A33&lt;101),"",--MID('Key Analysis'!$C29,101,1))</f>
        <v/>
      </c>
      <c r="IF33" s="29" t="str">
        <f>IF(OR($B33="",$A33&lt;102),"",--MID('Key Analysis'!$C29,102,1))</f>
        <v/>
      </c>
      <c r="IG33" s="29" t="str">
        <f>IF(OR($B33="",$A33&lt;103),"",--MID('Key Analysis'!$C29,103,1))</f>
        <v/>
      </c>
      <c r="IH33" s="29" t="str">
        <f>IF(OR($B33="",$A33&lt;104),"",--MID('Key Analysis'!$C29,104,1))</f>
        <v/>
      </c>
      <c r="II33" s="29" t="str">
        <f>IF(OR($B33="",$A33&lt;105),"",--MID('Key Analysis'!$C29,105,1))</f>
        <v/>
      </c>
      <c r="IJ33" s="29" t="str">
        <f>IF(OR($B33="",$A33&lt;106),"",--MID('Key Analysis'!$C29,106,1))</f>
        <v/>
      </c>
      <c r="IK33" s="29" t="str">
        <f>IF(OR($B33="",$A33&lt;107),"",--MID('Key Analysis'!$C29,107,1))</f>
        <v/>
      </c>
      <c r="IL33" s="29" t="str">
        <f>IF(OR($B33="",$A33&lt;108),"",--MID('Key Analysis'!$C29,108,1))</f>
        <v/>
      </c>
      <c r="IM33" s="29" t="str">
        <f>IF(OR($B33="",$A33&lt;109),"",--MID('Key Analysis'!$C29,109,1))</f>
        <v/>
      </c>
      <c r="IN33" s="29" t="str">
        <f>IF(OR($B33="",$A33&lt;110),"",--MID('Key Analysis'!$C29,110,1))</f>
        <v/>
      </c>
      <c r="IO33" s="29" t="str">
        <f>IF(OR($B33="",$A33&lt;111),"",--MID('Key Analysis'!$C29,111,1))</f>
        <v/>
      </c>
      <c r="IP33" s="29" t="str">
        <f>IF(OR($B33="",$A33&lt;112),"",--MID('Key Analysis'!$C29,112,1))</f>
        <v/>
      </c>
      <c r="IQ33" s="29" t="str">
        <f>IF(OR($B33="",$A33&lt;113),"",--MID('Key Analysis'!$C29,113,1))</f>
        <v/>
      </c>
      <c r="IR33" s="29" t="str">
        <f>IF(OR($B33="",$A33&lt;114),"",--MID('Key Analysis'!$C29,114,1))</f>
        <v/>
      </c>
      <c r="IS33" s="29" t="str">
        <f>IF(OR($B33="",$A33&lt;115),"",--MID('Key Analysis'!$C29,115,1))</f>
        <v/>
      </c>
      <c r="IT33" s="29" t="str">
        <f>IF(OR($B33="",$A33&lt;116),"",--MID('Key Analysis'!$C29,116,1))</f>
        <v/>
      </c>
      <c r="IU33" s="29" t="str">
        <f>IF(OR($B33="",$A33&lt;117),"",--MID('Key Analysis'!$C29,117,1))</f>
        <v/>
      </c>
      <c r="IV33" s="29" t="str">
        <f>IF(OR($B33="",$A33&lt;118),"",--MID('Key Analysis'!$C29,118,1))</f>
        <v/>
      </c>
      <c r="IW33" s="29" t="str">
        <f>IF(OR($B33="",$A33&lt;119),"",--MID('Key Analysis'!$C29,119,1))</f>
        <v/>
      </c>
      <c r="IX33" s="29" t="str">
        <f>IF(OR($B33="",$A33&lt;120),"",--MID('Key Analysis'!$C29,120,1))</f>
        <v/>
      </c>
      <c r="IY33" s="29" t="str">
        <f>IF(OR($B33="",$A33&lt;121),"",--MID('Key Analysis'!$C29,121,1))</f>
        <v/>
      </c>
      <c r="IZ33" s="29" t="str">
        <f>IF(OR($B33="",$A33&lt;122),"",--MID('Key Analysis'!$C29,122,1))</f>
        <v/>
      </c>
      <c r="JA33" s="29" t="str">
        <f>IF(OR($B33="",$A33&lt;123),"",--MID('Key Analysis'!$C29,123,1))</f>
        <v/>
      </c>
      <c r="JB33" s="29" t="str">
        <f>IF(OR($B33="",$A33&lt;124),"",--MID('Key Analysis'!$C29,124,1))</f>
        <v/>
      </c>
      <c r="JC33" s="29" t="str">
        <f>IF(OR($B33="",$A33&lt;125),"",--MID('Key Analysis'!$C29,125,1))</f>
        <v/>
      </c>
      <c r="JD33" s="29" t="str">
        <f>IF(OR($B33="",$A33&lt;126),"",--MID('Key Analysis'!$C29,126,1))</f>
        <v/>
      </c>
      <c r="JE33" s="29" t="str">
        <f>IF(OR($B33="",$A33&lt;127),"",--MID('Key Analysis'!$C29,127,1))</f>
        <v/>
      </c>
      <c r="JF33" s="29" t="str">
        <f>IF(OR($B33="",$A33&lt;128),"",--MID('Key Analysis'!$C29,128,1))</f>
        <v/>
      </c>
      <c r="JG33" s="29" t="str">
        <f>IF(OR($B33="",$A33&lt;129),"",--MID('Key Analysis'!$C29,129,1))</f>
        <v/>
      </c>
      <c r="JH33" s="29" t="str">
        <f>IF(OR($B33="",$A33&lt;130),"",--MID('Key Analysis'!$C29,130,1))</f>
        <v/>
      </c>
      <c r="JI33" s="29" t="str">
        <f>IF(OR($B33="",$A33&lt;131),"",--MID('Key Analysis'!$C29,131,1))</f>
        <v/>
      </c>
      <c r="JJ33" s="29" t="str">
        <f>IF(OR($B33="",$A33&lt;132),"",--MID('Key Analysis'!$C29,132,1))</f>
        <v/>
      </c>
      <c r="JK33" s="29" t="str">
        <f>IF(OR($B33="",$A33&lt;133),"",--MID('Key Analysis'!$C29,133,1))</f>
        <v/>
      </c>
      <c r="JL33" s="29" t="str">
        <f>IF(OR($B33="",$A33&lt;134),"",--MID('Key Analysis'!$C29,134,1))</f>
        <v/>
      </c>
      <c r="JM33" s="29" t="str">
        <f>IF(OR($B33="",$A33&lt;135),"",--MID('Key Analysis'!$C29,135,1))</f>
        <v/>
      </c>
    </row>
    <row r="34" spans="1:273" x14ac:dyDescent="0.25">
      <c r="A34" s="21">
        <f>'Key Analysis'!A30</f>
        <v>29</v>
      </c>
      <c r="B34" s="30" t="str">
        <f>'Key Analysis'!B30</f>
        <v>17e2551e</v>
      </c>
      <c r="C34" s="29">
        <f>IF(OR($B34="",$A34&lt;=0),"",--MID('Key Analysis'!$C30,$A34-0,1))</f>
        <v>0</v>
      </c>
      <c r="D34" s="29">
        <f>IF(OR($B34="",$A34&lt;=1),"",--MID('Key Analysis'!$C30,$A34-1,1))</f>
        <v>1</v>
      </c>
      <c r="E34" s="29">
        <f>IF(OR($B34="",$A34&lt;=2),"",--MID('Key Analysis'!$C30,$A34-2,1))</f>
        <v>1</v>
      </c>
      <c r="F34" s="29">
        <f>IF(OR($B34="",$A34&lt;=3),"",--MID('Key Analysis'!$C30,$A34-3,1))</f>
        <v>1</v>
      </c>
      <c r="G34" s="29">
        <f>IF(OR($B34="",$A34&lt;=4),"",--MID('Key Analysis'!$C30,$A34-4,1))</f>
        <v>1</v>
      </c>
      <c r="H34" s="29">
        <f>IF(OR($B34="",$A34&lt;=5),"",--MID('Key Analysis'!$C30,$A34-5,1))</f>
        <v>0</v>
      </c>
      <c r="I34" s="29">
        <f>IF(OR($B34="",$A34&lt;=6),"",--MID('Key Analysis'!$C30,$A34-6,1))</f>
        <v>0</v>
      </c>
      <c r="J34" s="29">
        <f>IF(OR($B34="",$A34&lt;=7),"",--MID('Key Analysis'!$C30,$A34-7,1))</f>
        <v>0</v>
      </c>
      <c r="K34" s="29">
        <f>IF(OR($B34="",$A34&lt;=8),"",--MID('Key Analysis'!$C30,$A34-8,1))</f>
        <v>1</v>
      </c>
      <c r="L34" s="29">
        <f>IF(OR($B34="",$A34&lt;=9),"",--MID('Key Analysis'!$C30,$A34-9,1))</f>
        <v>0</v>
      </c>
      <c r="M34" s="29">
        <f>IF(OR($B34="",$A34&lt;=10),"",--MID('Key Analysis'!$C30,$A34-10,1))</f>
        <v>1</v>
      </c>
      <c r="N34" s="29">
        <f>IF(OR($B34="",$A34&lt;=11),"",--MID('Key Analysis'!$C30,$A34-11,1))</f>
        <v>0</v>
      </c>
      <c r="O34" s="29">
        <f>IF(OR($B34="",$A34&lt;=12),"",--MID('Key Analysis'!$C30,$A34-12,1))</f>
        <v>1</v>
      </c>
      <c r="P34" s="29">
        <f>IF(OR($B34="",$A34&lt;=13),"",--MID('Key Analysis'!$C30,$A34-13,1))</f>
        <v>0</v>
      </c>
      <c r="Q34" s="29">
        <f>IF(OR($B34="",$A34&lt;=14),"",--MID('Key Analysis'!$C30,$A34-14,1))</f>
        <v>1</v>
      </c>
      <c r="R34" s="29">
        <f>IF(OR($B34="",$A34&lt;=15),"",--MID('Key Analysis'!$C30,$A34-15,1))</f>
        <v>0</v>
      </c>
      <c r="S34" s="29">
        <f>IF(OR($B34="",$A34&lt;=16),"",--MID('Key Analysis'!$C30,$A34-16,1))</f>
        <v>0</v>
      </c>
      <c r="T34" s="29">
        <f>IF(OR($B34="",$A34&lt;=17),"",--MID('Key Analysis'!$C30,$A34-17,1))</f>
        <v>1</v>
      </c>
      <c r="U34" s="29">
        <f>IF(OR($B34="",$A34&lt;=18),"",--MID('Key Analysis'!$C30,$A34-18,1))</f>
        <v>0</v>
      </c>
      <c r="V34" s="29">
        <f>IF(OR($B34="",$A34&lt;=19),"",--MID('Key Analysis'!$C30,$A34-19,1))</f>
        <v>0</v>
      </c>
      <c r="W34" s="29">
        <f>IF(OR($B34="",$A34&lt;=20),"",--MID('Key Analysis'!$C30,$A34-20,1))</f>
        <v>0</v>
      </c>
      <c r="X34" s="29">
        <f>IF(OR($B34="",$A34&lt;=21),"",--MID('Key Analysis'!$C30,$A34-21,1))</f>
        <v>1</v>
      </c>
      <c r="Y34" s="29">
        <f>IF(OR($B34="",$A34&lt;=22),"",--MID('Key Analysis'!$C30,$A34-22,1))</f>
        <v>1</v>
      </c>
      <c r="Z34" s="29">
        <f>IF(OR($B34="",$A34&lt;=23),"",--MID('Key Analysis'!$C30,$A34-23,1))</f>
        <v>1</v>
      </c>
      <c r="AA34" s="29">
        <f>IF(OR($B34="",$A34&lt;=24),"",--MID('Key Analysis'!$C30,$A34-24,1))</f>
        <v>1</v>
      </c>
      <c r="AB34" s="29">
        <f>IF(OR($B34="",$A34&lt;=25),"",--MID('Key Analysis'!$C30,$A34-25,1))</f>
        <v>1</v>
      </c>
      <c r="AC34" s="29">
        <f>IF(OR($B34="",$A34&lt;=26),"",--MID('Key Analysis'!$C30,$A34-26,1))</f>
        <v>1</v>
      </c>
      <c r="AD34" s="29">
        <f>IF(OR($B34="",$A34&lt;=27),"",--MID('Key Analysis'!$C30,$A34-27,1))</f>
        <v>0</v>
      </c>
      <c r="AE34" s="29">
        <f>IF(OR($B34="",$A34&lt;=28),"",--MID('Key Analysis'!$C30,$A34-28,1))</f>
        <v>1</v>
      </c>
      <c r="AF34" s="29" t="str">
        <f>IF(OR($B34="",$A34&lt;=29),"",--MID('Key Analysis'!$C30,$A34-29,1))</f>
        <v/>
      </c>
      <c r="AG34" s="29" t="str">
        <f>IF(OR($B34="",$A34&lt;=30),"",--MID('Key Analysis'!$C30,$A34-30,1))</f>
        <v/>
      </c>
      <c r="AH34" s="29" t="str">
        <f>IF(OR($B34="",$A34&lt;=31),"",--MID('Key Analysis'!$C30,$A34-31,1))</f>
        <v/>
      </c>
      <c r="AI34" s="29" t="str">
        <f>IF(OR($B34="",$A34&lt;=32),"",--MID('Key Analysis'!$C30,$A34-32,1))</f>
        <v/>
      </c>
      <c r="AJ34" s="29" t="str">
        <f>IF(OR($B34="",$A34&lt;=33),"",--MID('Key Analysis'!$C30,$A34-33,1))</f>
        <v/>
      </c>
      <c r="AK34" s="29" t="str">
        <f>IF(OR($B34="",$A34&lt;=34),"",--MID('Key Analysis'!$C30,$A34-34,1))</f>
        <v/>
      </c>
      <c r="AL34" s="29" t="str">
        <f>IF(OR($B34="",$A34&lt;=35),"",--MID('Key Analysis'!$C30,$A34-35,1))</f>
        <v/>
      </c>
      <c r="AM34" s="29" t="str">
        <f>IF(OR($B34="",$A34&lt;=36),"",--MID('Key Analysis'!$C30,$A34-36,1))</f>
        <v/>
      </c>
      <c r="AN34" s="29" t="str">
        <f>IF(OR($B34="",$A34&lt;=37),"",--MID('Key Analysis'!$C30,$A34-37,1))</f>
        <v/>
      </c>
      <c r="AO34" s="29" t="str">
        <f>IF(OR($B34="",$A34&lt;=38),"",--MID('Key Analysis'!$C30,$A34-38,1))</f>
        <v/>
      </c>
      <c r="AP34" s="29" t="str">
        <f>IF(OR($B34="",$A34&lt;=39),"",--MID('Key Analysis'!$C30,$A34-39,1))</f>
        <v/>
      </c>
      <c r="AQ34" s="29" t="str">
        <f>IF(OR($B34="",$A34&lt;=40),"",--MID('Key Analysis'!$C30,$A34-40,1))</f>
        <v/>
      </c>
      <c r="AR34" s="29" t="str">
        <f>IF(OR($B34="",$A34&lt;=41),"",--MID('Key Analysis'!$C30,$A34-41,1))</f>
        <v/>
      </c>
      <c r="AS34" s="29" t="str">
        <f>IF(OR($B34="",$A34&lt;=42),"",--MID('Key Analysis'!$C30,$A34-42,1))</f>
        <v/>
      </c>
      <c r="AT34" s="29" t="str">
        <f>IF(OR($B34="",$A34&lt;=43),"",--MID('Key Analysis'!$C30,$A34-43,1))</f>
        <v/>
      </c>
      <c r="AU34" s="29" t="str">
        <f>IF(OR($B34="",$A34&lt;=44),"",--MID('Key Analysis'!$C30,$A34-44,1))</f>
        <v/>
      </c>
      <c r="AV34" s="29" t="str">
        <f>IF(OR($B34="",$A34&lt;=45),"",--MID('Key Analysis'!$C30,$A34-45,1))</f>
        <v/>
      </c>
      <c r="AW34" s="29" t="str">
        <f>IF(OR($B34="",$A34&lt;=46),"",--MID('Key Analysis'!$C30,$A34-46,1))</f>
        <v/>
      </c>
      <c r="AX34" s="29" t="str">
        <f>IF(OR($B34="",$A34&lt;=47),"",--MID('Key Analysis'!$C30,$A34-47,1))</f>
        <v/>
      </c>
      <c r="AY34" s="29" t="str">
        <f>IF(OR($B34="",$A34&lt;=48),"",--MID('Key Analysis'!$C30,$A34-48,1))</f>
        <v/>
      </c>
      <c r="AZ34" s="29" t="str">
        <f>IF(OR($B34="",$A34&lt;=49),"",--MID('Key Analysis'!$C30,$A34-49,1))</f>
        <v/>
      </c>
      <c r="BA34" s="29" t="str">
        <f>IF(OR($B34="",$A34&lt;=50),"",--MID('Key Analysis'!$C30,$A34-50,1))</f>
        <v/>
      </c>
      <c r="BB34" s="29" t="str">
        <f>IF(OR($B34="",$A34&lt;=51),"",--MID('Key Analysis'!$C30,$A34-51,1))</f>
        <v/>
      </c>
      <c r="BC34" s="29" t="str">
        <f>IF(OR($B34="",$A34&lt;=52),"",--MID('Key Analysis'!$C30,$A34-52,1))</f>
        <v/>
      </c>
      <c r="BD34" s="29" t="str">
        <f>IF(OR($B34="",$A34&lt;=53),"",--MID('Key Analysis'!$C30,$A34-53,1))</f>
        <v/>
      </c>
      <c r="BE34" s="29" t="str">
        <f>IF(OR($B34="",$A34&lt;=54),"",--MID('Key Analysis'!$C30,$A34-54,1))</f>
        <v/>
      </c>
      <c r="BF34" s="29" t="str">
        <f>IF(OR($B34="",$A34&lt;=55),"",--MID('Key Analysis'!$C30,$A34-55,1))</f>
        <v/>
      </c>
      <c r="BG34" s="29" t="str">
        <f>IF(OR($B34="",$A34&lt;=56),"",--MID('Key Analysis'!$C30,$A34-56,1))</f>
        <v/>
      </c>
      <c r="BH34" s="29" t="str">
        <f>IF(OR($B34="",$A34&lt;=57),"",--MID('Key Analysis'!$C30,$A34-57,1))</f>
        <v/>
      </c>
      <c r="BI34" s="29" t="str">
        <f>IF(OR($B34="",$A34&lt;=58),"",--MID('Key Analysis'!$C30,$A34-58,1))</f>
        <v/>
      </c>
      <c r="BJ34" s="29" t="str">
        <f>IF(OR($B34="",$A34&lt;=59),"",--MID('Key Analysis'!$C30,$A34-59,1))</f>
        <v/>
      </c>
      <c r="BK34" s="29" t="str">
        <f>IF(OR($B34="",$A34&lt;=60),"",--MID('Key Analysis'!$C30,$A34-60,1))</f>
        <v/>
      </c>
      <c r="BL34" s="29" t="str">
        <f>IF(OR($B34="",$A34&lt;=61),"",--MID('Key Analysis'!$C30,$A34-61,1))</f>
        <v/>
      </c>
      <c r="BM34" s="29" t="str">
        <f>IF(OR($B34="",$A34&lt;=62),"",--MID('Key Analysis'!$C30,$A34-62,1))</f>
        <v/>
      </c>
      <c r="BN34" s="29" t="str">
        <f>IF(OR($B34="",$A34&lt;=63),"",--MID('Key Analysis'!$C30,$A34-63,1))</f>
        <v/>
      </c>
      <c r="BO34" s="29" t="str">
        <f>IF(OR($B34="",$A34&lt;=64),"",--MID('Key Analysis'!$C30,$A34-64,1))</f>
        <v/>
      </c>
      <c r="BP34" s="29" t="str">
        <f>IF(OR($B34="",$A34&lt;=65),"",--MID('Key Analysis'!$C30,$A34-65,1))</f>
        <v/>
      </c>
      <c r="BQ34" s="29" t="str">
        <f>IF(OR($B34="",$A34&lt;=66),"",--MID('Key Analysis'!$C30,$A34-66,1))</f>
        <v/>
      </c>
      <c r="BR34" s="29" t="str">
        <f>IF(OR($B34="",$A34&lt;=67),"",--MID('Key Analysis'!$C30,$A34-67,1))</f>
        <v/>
      </c>
      <c r="BS34" s="29" t="str">
        <f>IF(OR($B34="",$A34&lt;=68),"",--MID('Key Analysis'!$C30,$A34-68,1))</f>
        <v/>
      </c>
      <c r="BT34" s="29" t="str">
        <f>IF(OR($B34="",$A34&lt;=69),"",--MID('Key Analysis'!$C30,$A34-69,1))</f>
        <v/>
      </c>
      <c r="BU34" s="29" t="str">
        <f>IF(OR($B34="",$A34&lt;=70),"",--MID('Key Analysis'!$C30,$A34-70,1))</f>
        <v/>
      </c>
      <c r="BV34" s="29" t="str">
        <f>IF(OR($B34="",$A34&lt;=71),"",--MID('Key Analysis'!$C30,$A34-71,1))</f>
        <v/>
      </c>
      <c r="BW34" s="29" t="str">
        <f>IF(OR($B34="",$A34&lt;=72),"",--MID('Key Analysis'!$C30,$A34-72,1))</f>
        <v/>
      </c>
      <c r="BX34" s="29" t="str">
        <f>IF(OR($B34="",$A34&lt;=73),"",--MID('Key Analysis'!$C30,$A34-73,1))</f>
        <v/>
      </c>
      <c r="BY34" s="29" t="str">
        <f>IF(OR($B34="",$A34&lt;=74),"",--MID('Key Analysis'!$C30,$A34-74,1))</f>
        <v/>
      </c>
      <c r="BZ34" s="29" t="str">
        <f>IF(OR($B34="",$A34&lt;=75),"",--MID('Key Analysis'!$C30,$A34-75,1))</f>
        <v/>
      </c>
      <c r="CA34" s="29" t="str">
        <f>IF(OR($B34="",$A34&lt;=76),"",--MID('Key Analysis'!$C30,$A34-76,1))</f>
        <v/>
      </c>
      <c r="CB34" s="29" t="str">
        <f>IF(OR($B34="",$A34&lt;=77),"",--MID('Key Analysis'!$C30,$A34-77,1))</f>
        <v/>
      </c>
      <c r="CC34" s="29" t="str">
        <f>IF(OR($B34="",$A34&lt;=78),"",--MID('Key Analysis'!$C30,$A34-78,1))</f>
        <v/>
      </c>
      <c r="CD34" s="29" t="str">
        <f>IF(OR($B34="",$A34&lt;=79),"",--MID('Key Analysis'!$C30,$A34-79,1))</f>
        <v/>
      </c>
      <c r="CE34" s="29" t="str">
        <f>IF(OR($B34="",$A34&lt;=80),"",--MID('Key Analysis'!$C30,$A34-80,1))</f>
        <v/>
      </c>
      <c r="CF34" s="29" t="str">
        <f>IF(OR($B34="",$A34&lt;=81),"",--MID('Key Analysis'!$C30,$A34-81,1))</f>
        <v/>
      </c>
      <c r="CG34" s="29" t="str">
        <f>IF(OR($B34="",$A34&lt;=82),"",--MID('Key Analysis'!$C30,$A34-82,1))</f>
        <v/>
      </c>
      <c r="CH34" s="29" t="str">
        <f>IF(OR($B34="",$A34&lt;=83),"",--MID('Key Analysis'!$C30,$A34-83,1))</f>
        <v/>
      </c>
      <c r="CI34" s="29" t="str">
        <f>IF(OR($B34="",$A34&lt;=84),"",--MID('Key Analysis'!$C30,$A34-84,1))</f>
        <v/>
      </c>
      <c r="CJ34" s="29" t="str">
        <f>IF(OR($B34="",$A34&lt;=85),"",--MID('Key Analysis'!$C30,$A34-85,1))</f>
        <v/>
      </c>
      <c r="CK34" s="29" t="str">
        <f>IF(OR($B34="",$A34&lt;=86),"",--MID('Key Analysis'!$C30,$A34-86,1))</f>
        <v/>
      </c>
      <c r="CL34" s="29" t="str">
        <f>IF(OR($B34="",$A34&lt;=87),"",--MID('Key Analysis'!$C30,$A34-87,1))</f>
        <v/>
      </c>
      <c r="CM34" s="29" t="str">
        <f>IF(OR($B34="",$A34&lt;=88),"",--MID('Key Analysis'!$C30,$A34-88,1))</f>
        <v/>
      </c>
      <c r="CN34" s="29" t="str">
        <f>IF(OR($B34="",$A34&lt;=89),"",--MID('Key Analysis'!$C30,$A34-89,1))</f>
        <v/>
      </c>
      <c r="CO34" s="29" t="str">
        <f>IF(OR($B34="",$A34&lt;=90),"",--MID('Key Analysis'!$C30,$A34-90,1))</f>
        <v/>
      </c>
      <c r="CP34" s="29" t="str">
        <f>IF(OR($B34="",$A34&lt;=91),"",--MID('Key Analysis'!$C30,$A34-91,1))</f>
        <v/>
      </c>
      <c r="CQ34" s="29" t="str">
        <f>IF(OR($B34="",$A34&lt;=92),"",--MID('Key Analysis'!$C30,$A34-92,1))</f>
        <v/>
      </c>
      <c r="CR34" s="29" t="str">
        <f>IF(OR($B34="",$A34&lt;=93),"",--MID('Key Analysis'!$C30,$A34-93,1))</f>
        <v/>
      </c>
      <c r="CS34" s="29" t="str">
        <f>IF(OR($B34="",$A34&lt;=94),"",--MID('Key Analysis'!$C30,$A34-94,1))</f>
        <v/>
      </c>
      <c r="CT34" s="29" t="str">
        <f>IF(OR($B34="",$A34&lt;=95),"",--MID('Key Analysis'!$C30,$A34-95,1))</f>
        <v/>
      </c>
      <c r="CU34" s="29" t="str">
        <f>IF(OR($B34="",$A34&lt;=96),"",--MID('Key Analysis'!$C30,$A34-96,1))</f>
        <v/>
      </c>
      <c r="CV34" s="29" t="str">
        <f>IF(OR($B34="",$A34&lt;=97),"",--MID('Key Analysis'!$C30,$A34-97,1))</f>
        <v/>
      </c>
      <c r="CW34" s="29" t="str">
        <f>IF(OR($B34="",$A34&lt;=98),"",--MID('Key Analysis'!$C30,$A34-98,1))</f>
        <v/>
      </c>
      <c r="CX34" s="29" t="str">
        <f>IF(OR($B34="",$A34&lt;=99),"",--MID('Key Analysis'!$C30,$A34-99,1))</f>
        <v/>
      </c>
      <c r="CY34" s="29" t="str">
        <f>IF(OR($B34="",$A34&lt;=100),"",--MID('Key Analysis'!$C30,$A34-100,1))</f>
        <v/>
      </c>
      <c r="CZ34" s="29" t="str">
        <f>IF(OR($B34="",$A34&lt;=101),"",--MID('Key Analysis'!$C30,$A34-101,1))</f>
        <v/>
      </c>
      <c r="DA34" s="29" t="str">
        <f>IF(OR($B34="",$A34&lt;=102),"",--MID('Key Analysis'!$C30,$A34-102,1))</f>
        <v/>
      </c>
      <c r="DB34" s="29" t="str">
        <f>IF(OR($B34="",$A34&lt;=103),"",--MID('Key Analysis'!$C30,$A34-103,1))</f>
        <v/>
      </c>
      <c r="DC34" s="29" t="str">
        <f>IF(OR($B34="",$A34&lt;=104),"",--MID('Key Analysis'!$C30,$A34-104,1))</f>
        <v/>
      </c>
      <c r="DD34" s="29" t="str">
        <f>IF(OR($B34="",$A34&lt;=105),"",--MID('Key Analysis'!$C30,$A34-105,1))</f>
        <v/>
      </c>
      <c r="DE34" s="29" t="str">
        <f>IF(OR($B34="",$A34&lt;=106),"",--MID('Key Analysis'!$C30,$A34-106,1))</f>
        <v/>
      </c>
      <c r="DF34" s="29" t="str">
        <f>IF(OR($B34="",$A34&lt;=107),"",--MID('Key Analysis'!$C30,$A34-107,1))</f>
        <v/>
      </c>
      <c r="DG34" s="29" t="str">
        <f>IF(OR($B34="",$A34&lt;=108),"",--MID('Key Analysis'!$C30,$A34-108,1))</f>
        <v/>
      </c>
      <c r="DH34" s="29" t="str">
        <f>IF(OR($B34="",$A34&lt;=109),"",--MID('Key Analysis'!$C30,$A34-109,1))</f>
        <v/>
      </c>
      <c r="DI34" s="29" t="str">
        <f>IF(OR($B34="",$A34&lt;=110),"",--MID('Key Analysis'!$C30,$A34-110,1))</f>
        <v/>
      </c>
      <c r="DJ34" s="29" t="str">
        <f>IF(OR($B34="",$A34&lt;=111),"",--MID('Key Analysis'!$C30,$A34-111,1))</f>
        <v/>
      </c>
      <c r="DK34" s="29" t="str">
        <f>IF(OR($B34="",$A34&lt;=112),"",--MID('Key Analysis'!$C30,$A34-112,1))</f>
        <v/>
      </c>
      <c r="DL34" s="29" t="str">
        <f>IF(OR($B34="",$A34&lt;=113),"",--MID('Key Analysis'!$C30,$A34-113,1))</f>
        <v/>
      </c>
      <c r="DM34" s="29" t="str">
        <f>IF(OR($B34="",$A34&lt;=114),"",--MID('Key Analysis'!$C30,$A34-114,1))</f>
        <v/>
      </c>
      <c r="DN34" s="29" t="str">
        <f>IF(OR($B34="",$A34&lt;=115),"",--MID('Key Analysis'!$C30,$A34-115,1))</f>
        <v/>
      </c>
      <c r="DO34" s="29" t="str">
        <f>IF(OR($B34="",$A34&lt;=116),"",--MID('Key Analysis'!$C30,$A34-116,1))</f>
        <v/>
      </c>
      <c r="DP34" s="29" t="str">
        <f>IF(OR($B34="",$A34&lt;=117),"",--MID('Key Analysis'!$C30,$A34-117,1))</f>
        <v/>
      </c>
      <c r="DQ34" s="29" t="str">
        <f>IF(OR($B34="",$A34&lt;=118),"",--MID('Key Analysis'!$C30,$A34-118,1))</f>
        <v/>
      </c>
      <c r="DR34" s="29" t="str">
        <f>IF(OR($B34="",$A34&lt;=119),"",--MID('Key Analysis'!$C30,$A34-119,1))</f>
        <v/>
      </c>
      <c r="DS34" s="29" t="str">
        <f>IF(OR($B34="",$A34&lt;=120),"",--MID('Key Analysis'!$C30,$A34-120,1))</f>
        <v/>
      </c>
      <c r="DT34" s="29" t="str">
        <f>IF(OR($B34="",$A34&lt;=121),"",--MID('Key Analysis'!$C30,$A34-121,1))</f>
        <v/>
      </c>
      <c r="DU34" s="29" t="str">
        <f>IF(OR($B34="",$A34&lt;=122),"",--MID('Key Analysis'!$C30,$A34-122,1))</f>
        <v/>
      </c>
      <c r="DV34" s="29" t="str">
        <f>IF(OR($B34="",$A34&lt;=123),"",--MID('Key Analysis'!$C30,$A34-123,1))</f>
        <v/>
      </c>
      <c r="DW34" s="29" t="str">
        <f>IF(OR($B34="",$A34&lt;=124),"",--MID('Key Analysis'!$C30,$A34-124,1))</f>
        <v/>
      </c>
      <c r="DX34" s="29" t="str">
        <f>IF(OR($B34="",$A34&lt;=125),"",--MID('Key Analysis'!$C30,$A34-125,1))</f>
        <v/>
      </c>
      <c r="DY34" s="29" t="str">
        <f>IF(OR($B34="",$A34&lt;=126),"",--MID('Key Analysis'!$C30,$A34-126,1))</f>
        <v/>
      </c>
      <c r="DZ34" s="29" t="str">
        <f>IF(OR($B34="",$A34&lt;=127),"",--MID('Key Analysis'!$C30,$A34-127,1))</f>
        <v/>
      </c>
      <c r="EA34" s="29" t="str">
        <f>IF(OR($B34="",$A34&lt;=128),"",--MID('Key Analysis'!$C30,$A34-128,1))</f>
        <v/>
      </c>
      <c r="EB34" s="29" t="str">
        <f>IF(OR($B34="",$A34&lt;=129),"",--MID('Key Analysis'!$C30,$A34-129,1))</f>
        <v/>
      </c>
      <c r="EC34" s="29" t="str">
        <f>IF(OR($B34="",$A34&lt;=130),"",--MID('Key Analysis'!$C30,$A34-130,1))</f>
        <v/>
      </c>
      <c r="ED34" s="29" t="str">
        <f>IF(OR($B34="",$A34&lt;=131),"",--MID('Key Analysis'!$C30,$A34-131,1))</f>
        <v/>
      </c>
      <c r="EE34" s="29" t="str">
        <f>IF(OR($B34="",$A34&lt;=132),"",--MID('Key Analysis'!$C30,$A34-132,1))</f>
        <v/>
      </c>
      <c r="EF34" s="29" t="str">
        <f>IF(OR($B34="",$A34&lt;=133),"",--MID('Key Analysis'!$C30,$A34-133,1))</f>
        <v/>
      </c>
      <c r="EG34" s="29" t="str">
        <f>IF(OR($B34="",$A34&lt;=134),"",--MID('Key Analysis'!$C30,$A34-134,1))</f>
        <v/>
      </c>
      <c r="EH34" s="29"/>
      <c r="EI34" s="29">
        <f>IF(OR($B34="",$A34&lt;1),"",--MID('Key Analysis'!$C30,1,1))</f>
        <v>1</v>
      </c>
      <c r="EJ34" s="29">
        <f>IF(OR($B34="",$A34&lt;2),"",--MID('Key Analysis'!$C30,2,1))</f>
        <v>0</v>
      </c>
      <c r="EK34" s="29">
        <f>IF(OR($B34="",$A34&lt;3),"",--MID('Key Analysis'!$C30,3,1))</f>
        <v>1</v>
      </c>
      <c r="EL34" s="29">
        <f>IF(OR($B34="",$A34&lt;4),"",--MID('Key Analysis'!$C30,4,1))</f>
        <v>1</v>
      </c>
      <c r="EM34" s="29">
        <f>IF(OR($B34="",$A34&lt;5),"",--MID('Key Analysis'!$C30,5,1))</f>
        <v>1</v>
      </c>
      <c r="EN34" s="29">
        <f>IF(OR($B34="",$A34&lt;6),"",--MID('Key Analysis'!$C30,6,1))</f>
        <v>1</v>
      </c>
      <c r="EO34" s="29">
        <f>IF(OR($B34="",$A34&lt;7),"",--MID('Key Analysis'!$C30,7,1))</f>
        <v>1</v>
      </c>
      <c r="EP34" s="29">
        <f>IF(OR($B34="",$A34&lt;8),"",--MID('Key Analysis'!$C30,8,1))</f>
        <v>1</v>
      </c>
      <c r="EQ34" s="29">
        <f>IF(OR($B34="",$A34&lt;9),"",--MID('Key Analysis'!$C30,9,1))</f>
        <v>0</v>
      </c>
      <c r="ER34" s="29">
        <f>IF(OR($B34="",$A34&lt;10),"",--MID('Key Analysis'!$C30,10,1))</f>
        <v>0</v>
      </c>
      <c r="ES34" s="29">
        <f>IF(OR($B34="",$A34&lt;11),"",--MID('Key Analysis'!$C30,11,1))</f>
        <v>0</v>
      </c>
      <c r="ET34" s="29">
        <f>IF(OR($B34="",$A34&lt;12),"",--MID('Key Analysis'!$C30,12,1))</f>
        <v>1</v>
      </c>
      <c r="EU34" s="29">
        <f>IF(OR($B34="",$A34&lt;13),"",--MID('Key Analysis'!$C30,13,1))</f>
        <v>0</v>
      </c>
      <c r="EV34" s="29">
        <f>IF(OR($B34="",$A34&lt;14),"",--MID('Key Analysis'!$C30,14,1))</f>
        <v>0</v>
      </c>
      <c r="EW34" s="29">
        <f>IF(OR($B34="",$A34&lt;15),"",--MID('Key Analysis'!$C30,15,1))</f>
        <v>1</v>
      </c>
      <c r="EX34" s="29">
        <f>IF(OR($B34="",$A34&lt;16),"",--MID('Key Analysis'!$C30,16,1))</f>
        <v>0</v>
      </c>
      <c r="EY34" s="29">
        <f>IF(OR($B34="",$A34&lt;17),"",--MID('Key Analysis'!$C30,17,1))</f>
        <v>1</v>
      </c>
      <c r="EZ34" s="29">
        <f>IF(OR($B34="",$A34&lt;18),"",--MID('Key Analysis'!$C30,18,1))</f>
        <v>0</v>
      </c>
      <c r="FA34" s="29">
        <f>IF(OR($B34="",$A34&lt;19),"",--MID('Key Analysis'!$C30,19,1))</f>
        <v>1</v>
      </c>
      <c r="FB34" s="29">
        <f>IF(OR($B34="",$A34&lt;20),"",--MID('Key Analysis'!$C30,20,1))</f>
        <v>0</v>
      </c>
      <c r="FC34" s="29">
        <f>IF(OR($B34="",$A34&lt;21),"",--MID('Key Analysis'!$C30,21,1))</f>
        <v>1</v>
      </c>
      <c r="FD34" s="29">
        <f>IF(OR($B34="",$A34&lt;22),"",--MID('Key Analysis'!$C30,22,1))</f>
        <v>0</v>
      </c>
      <c r="FE34" s="29">
        <f>IF(OR($B34="",$A34&lt;23),"",--MID('Key Analysis'!$C30,23,1))</f>
        <v>0</v>
      </c>
      <c r="FF34" s="29">
        <f>IF(OR($B34="",$A34&lt;24),"",--MID('Key Analysis'!$C30,24,1))</f>
        <v>0</v>
      </c>
      <c r="FG34" s="29">
        <f>IF(OR($B34="",$A34&lt;25),"",--MID('Key Analysis'!$C30,25,1))</f>
        <v>1</v>
      </c>
      <c r="FH34" s="29">
        <f>IF(OR($B34="",$A34&lt;26),"",--MID('Key Analysis'!$C30,26,1))</f>
        <v>1</v>
      </c>
      <c r="FI34" s="29">
        <f>IF(OR($B34="",$A34&lt;27),"",--MID('Key Analysis'!$C30,27,1))</f>
        <v>1</v>
      </c>
      <c r="FJ34" s="29">
        <f>IF(OR($B34="",$A34&lt;28),"",--MID('Key Analysis'!$C30,28,1))</f>
        <v>1</v>
      </c>
      <c r="FK34" s="29">
        <f>IF(OR($B34="",$A34&lt;29),"",--MID('Key Analysis'!$C30,29,1))</f>
        <v>0</v>
      </c>
      <c r="FL34" s="29" t="str">
        <f>IF(OR($B34="",$A34&lt;30),"",--MID('Key Analysis'!$C30,30,1))</f>
        <v/>
      </c>
      <c r="FM34" s="29" t="str">
        <f>IF(OR($B34="",$A34&lt;31),"",--MID('Key Analysis'!$C30,31,1))</f>
        <v/>
      </c>
      <c r="FN34" s="29" t="str">
        <f>IF(OR($B34="",$A34&lt;32),"",--MID('Key Analysis'!$C30,32,1))</f>
        <v/>
      </c>
      <c r="FO34" s="29" t="str">
        <f>IF(OR($B34="",$A34&lt;33),"",--MID('Key Analysis'!$C30,33,1))</f>
        <v/>
      </c>
      <c r="FP34" s="29" t="str">
        <f>IF(OR($B34="",$A34&lt;34),"",--MID('Key Analysis'!$C30,34,1))</f>
        <v/>
      </c>
      <c r="FQ34" s="29" t="str">
        <f>IF(OR($B34="",$A34&lt;35),"",--MID('Key Analysis'!$C30,35,1))</f>
        <v/>
      </c>
      <c r="FR34" s="29" t="str">
        <f>IF(OR($B34="",$A34&lt;36),"",--MID('Key Analysis'!$C30,36,1))</f>
        <v/>
      </c>
      <c r="FS34" s="29" t="str">
        <f>IF(OR($B34="",$A34&lt;37),"",--MID('Key Analysis'!$C30,37,1))</f>
        <v/>
      </c>
      <c r="FT34" s="29" t="str">
        <f>IF(OR($B34="",$A34&lt;38),"",--MID('Key Analysis'!$C30,38,1))</f>
        <v/>
      </c>
      <c r="FU34" s="29" t="str">
        <f>IF(OR($B34="",$A34&lt;39),"",--MID('Key Analysis'!$C30,39,1))</f>
        <v/>
      </c>
      <c r="FV34" s="29" t="str">
        <f>IF(OR($B34="",$A34&lt;40),"",--MID('Key Analysis'!$C30,40,1))</f>
        <v/>
      </c>
      <c r="FW34" s="29" t="str">
        <f>IF(OR($B34="",$A34&lt;41),"",--MID('Key Analysis'!$C30,41,1))</f>
        <v/>
      </c>
      <c r="FX34" s="29" t="str">
        <f>IF(OR($B34="",$A34&lt;42),"",--MID('Key Analysis'!$C30,42,1))</f>
        <v/>
      </c>
      <c r="FY34" s="29" t="str">
        <f>IF(OR($B34="",$A34&lt;43),"",--MID('Key Analysis'!$C30,43,1))</f>
        <v/>
      </c>
      <c r="FZ34" s="29" t="str">
        <f>IF(OR($B34="",$A34&lt;44),"",--MID('Key Analysis'!$C30,44,1))</f>
        <v/>
      </c>
      <c r="GA34" s="29" t="str">
        <f>IF(OR($B34="",$A34&lt;45),"",--MID('Key Analysis'!$C30,45,1))</f>
        <v/>
      </c>
      <c r="GB34" s="29" t="str">
        <f>IF(OR($B34="",$A34&lt;46),"",--MID('Key Analysis'!$C30,46,1))</f>
        <v/>
      </c>
      <c r="GC34" s="29" t="str">
        <f>IF(OR($B34="",$A34&lt;47),"",--MID('Key Analysis'!$C30,47,1))</f>
        <v/>
      </c>
      <c r="GD34" s="29" t="str">
        <f>IF(OR($B34="",$A34&lt;48),"",--MID('Key Analysis'!$C30,48,1))</f>
        <v/>
      </c>
      <c r="GE34" s="29" t="str">
        <f>IF(OR($B34="",$A34&lt;49),"",--MID('Key Analysis'!$C30,49,1))</f>
        <v/>
      </c>
      <c r="GF34" s="29" t="str">
        <f>IF(OR($B34="",$A34&lt;50),"",--MID('Key Analysis'!$C30,50,1))</f>
        <v/>
      </c>
      <c r="GG34" s="29" t="str">
        <f>IF(OR($B34="",$A34&lt;51),"",--MID('Key Analysis'!$C30,51,1))</f>
        <v/>
      </c>
      <c r="GH34" s="29" t="str">
        <f>IF(OR($B34="",$A34&lt;52),"",--MID('Key Analysis'!$C30,52,1))</f>
        <v/>
      </c>
      <c r="GI34" s="29" t="str">
        <f>IF(OR($B34="",$A34&lt;53),"",--MID('Key Analysis'!$C30,53,1))</f>
        <v/>
      </c>
      <c r="GJ34" s="29" t="str">
        <f>IF(OR($B34="",$A34&lt;54),"",--MID('Key Analysis'!$C30,54,1))</f>
        <v/>
      </c>
      <c r="GK34" s="29" t="str">
        <f>IF(OR($B34="",$A34&lt;55),"",--MID('Key Analysis'!$C30,55,1))</f>
        <v/>
      </c>
      <c r="GL34" s="29" t="str">
        <f>IF(OR($B34="",$A34&lt;56),"",--MID('Key Analysis'!$C30,56,1))</f>
        <v/>
      </c>
      <c r="GM34" s="29" t="str">
        <f>IF(OR($B34="",$A34&lt;57),"",--MID('Key Analysis'!$C30,57,1))</f>
        <v/>
      </c>
      <c r="GN34" s="29" t="str">
        <f>IF(OR($B34="",$A34&lt;58),"",--MID('Key Analysis'!$C30,58,1))</f>
        <v/>
      </c>
      <c r="GO34" s="29" t="str">
        <f>IF(OR($B34="",$A34&lt;59),"",--MID('Key Analysis'!$C30,59,1))</f>
        <v/>
      </c>
      <c r="GP34" s="29" t="str">
        <f>IF(OR($B34="",$A34&lt;60),"",--MID('Key Analysis'!$C30,60,1))</f>
        <v/>
      </c>
      <c r="GQ34" s="29" t="str">
        <f>IF(OR($B34="",$A34&lt;61),"",--MID('Key Analysis'!$C30,61,1))</f>
        <v/>
      </c>
      <c r="GR34" s="29" t="str">
        <f>IF(OR($B34="",$A34&lt;62),"",--MID('Key Analysis'!$C30,62,1))</f>
        <v/>
      </c>
      <c r="GS34" s="29" t="str">
        <f>IF(OR($B34="",$A34&lt;63),"",--MID('Key Analysis'!$C30,63,1))</f>
        <v/>
      </c>
      <c r="GT34" s="29" t="str">
        <f>IF(OR($B34="",$A34&lt;64),"",--MID('Key Analysis'!$C30,64,1))</f>
        <v/>
      </c>
      <c r="GU34" s="29" t="str">
        <f>IF(OR($B34="",$A34&lt;65),"",--MID('Key Analysis'!$C30,65,1))</f>
        <v/>
      </c>
      <c r="GV34" s="29" t="str">
        <f>IF(OR($B34="",$A34&lt;66),"",--MID('Key Analysis'!$C30,66,1))</f>
        <v/>
      </c>
      <c r="GW34" s="29" t="str">
        <f>IF(OR($B34="",$A34&lt;67),"",--MID('Key Analysis'!$C30,67,1))</f>
        <v/>
      </c>
      <c r="GX34" s="29" t="str">
        <f>IF(OR($B34="",$A34&lt;68),"",--MID('Key Analysis'!$C30,68,1))</f>
        <v/>
      </c>
      <c r="GY34" s="29" t="str">
        <f>IF(OR($B34="",$A34&lt;69),"",--MID('Key Analysis'!$C30,69,1))</f>
        <v/>
      </c>
      <c r="GZ34" s="29" t="str">
        <f>IF(OR($B34="",$A34&lt;70),"",--MID('Key Analysis'!$C30,70,1))</f>
        <v/>
      </c>
      <c r="HA34" s="29" t="str">
        <f>IF(OR($B34="",$A34&lt;71),"",--MID('Key Analysis'!$C30,71,1))</f>
        <v/>
      </c>
      <c r="HB34" s="29" t="str">
        <f>IF(OR($B34="",$A34&lt;72),"",--MID('Key Analysis'!$C30,72,1))</f>
        <v/>
      </c>
      <c r="HC34" s="29" t="str">
        <f>IF(OR($B34="",$A34&lt;73),"",--MID('Key Analysis'!$C30,73,1))</f>
        <v/>
      </c>
      <c r="HD34" s="29" t="str">
        <f>IF(OR($B34="",$A34&lt;74),"",--MID('Key Analysis'!$C30,74,1))</f>
        <v/>
      </c>
      <c r="HE34" s="29" t="str">
        <f>IF(OR($B34="",$A34&lt;75),"",--MID('Key Analysis'!$C30,75,1))</f>
        <v/>
      </c>
      <c r="HF34" s="29" t="str">
        <f>IF(OR($B34="",$A34&lt;76),"",--MID('Key Analysis'!$C30,76,1))</f>
        <v/>
      </c>
      <c r="HG34" s="29" t="str">
        <f>IF(OR($B34="",$A34&lt;77),"",--MID('Key Analysis'!$C30,77,1))</f>
        <v/>
      </c>
      <c r="HH34" s="29" t="str">
        <f>IF(OR($B34="",$A34&lt;78),"",--MID('Key Analysis'!$C30,78,1))</f>
        <v/>
      </c>
      <c r="HI34" s="29" t="str">
        <f>IF(OR($B34="",$A34&lt;79),"",--MID('Key Analysis'!$C30,79,1))</f>
        <v/>
      </c>
      <c r="HJ34" s="29" t="str">
        <f>IF(OR($B34="",$A34&lt;80),"",--MID('Key Analysis'!$C30,80,1))</f>
        <v/>
      </c>
      <c r="HK34" s="29" t="str">
        <f>IF(OR($B34="",$A34&lt;81),"",--MID('Key Analysis'!$C30,81,1))</f>
        <v/>
      </c>
      <c r="HL34" s="29" t="str">
        <f>IF(OR($B34="",$A34&lt;82),"",--MID('Key Analysis'!$C30,82,1))</f>
        <v/>
      </c>
      <c r="HM34" s="29" t="str">
        <f>IF(OR($B34="",$A34&lt;83),"",--MID('Key Analysis'!$C30,83,1))</f>
        <v/>
      </c>
      <c r="HN34" s="29" t="str">
        <f>IF(OR($B34="",$A34&lt;84),"",--MID('Key Analysis'!$C30,84,1))</f>
        <v/>
      </c>
      <c r="HO34" s="29" t="str">
        <f>IF(OR($B34="",$A34&lt;85),"",--MID('Key Analysis'!$C30,85,1))</f>
        <v/>
      </c>
      <c r="HP34" s="29" t="str">
        <f>IF(OR($B34="",$A34&lt;86),"",--MID('Key Analysis'!$C30,86,1))</f>
        <v/>
      </c>
      <c r="HQ34" s="29" t="str">
        <f>IF(OR($B34="",$A34&lt;87),"",--MID('Key Analysis'!$C30,87,1))</f>
        <v/>
      </c>
      <c r="HR34" s="29" t="str">
        <f>IF(OR($B34="",$A34&lt;88),"",--MID('Key Analysis'!$C30,88,1))</f>
        <v/>
      </c>
      <c r="HS34" s="29" t="str">
        <f>IF(OR($B34="",$A34&lt;89),"",--MID('Key Analysis'!$C30,89,1))</f>
        <v/>
      </c>
      <c r="HT34" s="29" t="str">
        <f>IF(OR($B34="",$A34&lt;90),"",--MID('Key Analysis'!$C30,90,1))</f>
        <v/>
      </c>
      <c r="HU34" s="29" t="str">
        <f>IF(OR($B34="",$A34&lt;91),"",--MID('Key Analysis'!$C30,91,1))</f>
        <v/>
      </c>
      <c r="HV34" s="29" t="str">
        <f>IF(OR($B34="",$A34&lt;92),"",--MID('Key Analysis'!$C30,92,1))</f>
        <v/>
      </c>
      <c r="HW34" s="29" t="str">
        <f>IF(OR($B34="",$A34&lt;93),"",--MID('Key Analysis'!$C30,93,1))</f>
        <v/>
      </c>
      <c r="HX34" s="29" t="str">
        <f>IF(OR($B34="",$A34&lt;94),"",--MID('Key Analysis'!$C30,94,1))</f>
        <v/>
      </c>
      <c r="HY34" s="29" t="str">
        <f>IF(OR($B34="",$A34&lt;95),"",--MID('Key Analysis'!$C30,95,1))</f>
        <v/>
      </c>
      <c r="HZ34" s="29" t="str">
        <f>IF(OR($B34="",$A34&lt;96),"",--MID('Key Analysis'!$C30,96,1))</f>
        <v/>
      </c>
      <c r="IA34" s="29" t="str">
        <f>IF(OR($B34="",$A34&lt;97),"",--MID('Key Analysis'!$C30,97,1))</f>
        <v/>
      </c>
      <c r="IB34" s="29" t="str">
        <f>IF(OR($B34="",$A34&lt;98),"",--MID('Key Analysis'!$C30,98,1))</f>
        <v/>
      </c>
      <c r="IC34" s="29" t="str">
        <f>IF(OR($B34="",$A34&lt;99),"",--MID('Key Analysis'!$C30,99,1))</f>
        <v/>
      </c>
      <c r="ID34" s="29" t="str">
        <f>IF(OR($B34="",$A34&lt;100),"",--MID('Key Analysis'!$C30,100,1))</f>
        <v/>
      </c>
      <c r="IE34" s="29" t="str">
        <f>IF(OR($B34="",$A34&lt;101),"",--MID('Key Analysis'!$C30,101,1))</f>
        <v/>
      </c>
      <c r="IF34" s="29" t="str">
        <f>IF(OR($B34="",$A34&lt;102),"",--MID('Key Analysis'!$C30,102,1))</f>
        <v/>
      </c>
      <c r="IG34" s="29" t="str">
        <f>IF(OR($B34="",$A34&lt;103),"",--MID('Key Analysis'!$C30,103,1))</f>
        <v/>
      </c>
      <c r="IH34" s="29" t="str">
        <f>IF(OR($B34="",$A34&lt;104),"",--MID('Key Analysis'!$C30,104,1))</f>
        <v/>
      </c>
      <c r="II34" s="29" t="str">
        <f>IF(OR($B34="",$A34&lt;105),"",--MID('Key Analysis'!$C30,105,1))</f>
        <v/>
      </c>
      <c r="IJ34" s="29" t="str">
        <f>IF(OR($B34="",$A34&lt;106),"",--MID('Key Analysis'!$C30,106,1))</f>
        <v/>
      </c>
      <c r="IK34" s="29" t="str">
        <f>IF(OR($B34="",$A34&lt;107),"",--MID('Key Analysis'!$C30,107,1))</f>
        <v/>
      </c>
      <c r="IL34" s="29" t="str">
        <f>IF(OR($B34="",$A34&lt;108),"",--MID('Key Analysis'!$C30,108,1))</f>
        <v/>
      </c>
      <c r="IM34" s="29" t="str">
        <f>IF(OR($B34="",$A34&lt;109),"",--MID('Key Analysis'!$C30,109,1))</f>
        <v/>
      </c>
      <c r="IN34" s="29" t="str">
        <f>IF(OR($B34="",$A34&lt;110),"",--MID('Key Analysis'!$C30,110,1))</f>
        <v/>
      </c>
      <c r="IO34" s="29" t="str">
        <f>IF(OR($B34="",$A34&lt;111),"",--MID('Key Analysis'!$C30,111,1))</f>
        <v/>
      </c>
      <c r="IP34" s="29" t="str">
        <f>IF(OR($B34="",$A34&lt;112),"",--MID('Key Analysis'!$C30,112,1))</f>
        <v/>
      </c>
      <c r="IQ34" s="29" t="str">
        <f>IF(OR($B34="",$A34&lt;113),"",--MID('Key Analysis'!$C30,113,1))</f>
        <v/>
      </c>
      <c r="IR34" s="29" t="str">
        <f>IF(OR($B34="",$A34&lt;114),"",--MID('Key Analysis'!$C30,114,1))</f>
        <v/>
      </c>
      <c r="IS34" s="29" t="str">
        <f>IF(OR($B34="",$A34&lt;115),"",--MID('Key Analysis'!$C30,115,1))</f>
        <v/>
      </c>
      <c r="IT34" s="29" t="str">
        <f>IF(OR($B34="",$A34&lt;116),"",--MID('Key Analysis'!$C30,116,1))</f>
        <v/>
      </c>
      <c r="IU34" s="29" t="str">
        <f>IF(OR($B34="",$A34&lt;117),"",--MID('Key Analysis'!$C30,117,1))</f>
        <v/>
      </c>
      <c r="IV34" s="29" t="str">
        <f>IF(OR($B34="",$A34&lt;118),"",--MID('Key Analysis'!$C30,118,1))</f>
        <v/>
      </c>
      <c r="IW34" s="29" t="str">
        <f>IF(OR($B34="",$A34&lt;119),"",--MID('Key Analysis'!$C30,119,1))</f>
        <v/>
      </c>
      <c r="IX34" s="29" t="str">
        <f>IF(OR($B34="",$A34&lt;120),"",--MID('Key Analysis'!$C30,120,1))</f>
        <v/>
      </c>
      <c r="IY34" s="29" t="str">
        <f>IF(OR($B34="",$A34&lt;121),"",--MID('Key Analysis'!$C30,121,1))</f>
        <v/>
      </c>
      <c r="IZ34" s="29" t="str">
        <f>IF(OR($B34="",$A34&lt;122),"",--MID('Key Analysis'!$C30,122,1))</f>
        <v/>
      </c>
      <c r="JA34" s="29" t="str">
        <f>IF(OR($B34="",$A34&lt;123),"",--MID('Key Analysis'!$C30,123,1))</f>
        <v/>
      </c>
      <c r="JB34" s="29" t="str">
        <f>IF(OR($B34="",$A34&lt;124),"",--MID('Key Analysis'!$C30,124,1))</f>
        <v/>
      </c>
      <c r="JC34" s="29" t="str">
        <f>IF(OR($B34="",$A34&lt;125),"",--MID('Key Analysis'!$C30,125,1))</f>
        <v/>
      </c>
      <c r="JD34" s="29" t="str">
        <f>IF(OR($B34="",$A34&lt;126),"",--MID('Key Analysis'!$C30,126,1))</f>
        <v/>
      </c>
      <c r="JE34" s="29" t="str">
        <f>IF(OR($B34="",$A34&lt;127),"",--MID('Key Analysis'!$C30,127,1))</f>
        <v/>
      </c>
      <c r="JF34" s="29" t="str">
        <f>IF(OR($B34="",$A34&lt;128),"",--MID('Key Analysis'!$C30,128,1))</f>
        <v/>
      </c>
      <c r="JG34" s="29" t="str">
        <f>IF(OR($B34="",$A34&lt;129),"",--MID('Key Analysis'!$C30,129,1))</f>
        <v/>
      </c>
      <c r="JH34" s="29" t="str">
        <f>IF(OR($B34="",$A34&lt;130),"",--MID('Key Analysis'!$C30,130,1))</f>
        <v/>
      </c>
      <c r="JI34" s="29" t="str">
        <f>IF(OR($B34="",$A34&lt;131),"",--MID('Key Analysis'!$C30,131,1))</f>
        <v/>
      </c>
      <c r="JJ34" s="29" t="str">
        <f>IF(OR($B34="",$A34&lt;132),"",--MID('Key Analysis'!$C30,132,1))</f>
        <v/>
      </c>
      <c r="JK34" s="29" t="str">
        <f>IF(OR($B34="",$A34&lt;133),"",--MID('Key Analysis'!$C30,133,1))</f>
        <v/>
      </c>
      <c r="JL34" s="29" t="str">
        <f>IF(OR($B34="",$A34&lt;134),"",--MID('Key Analysis'!$C30,134,1))</f>
        <v/>
      </c>
      <c r="JM34" s="29" t="str">
        <f>IF(OR($B34="",$A34&lt;135),"",--MID('Key Analysis'!$C30,135,1))</f>
        <v/>
      </c>
    </row>
    <row r="35" spans="1:273" x14ac:dyDescent="0.25">
      <c r="A35" s="21">
        <f>'Key Analysis'!A31</f>
        <v>30</v>
      </c>
      <c r="B35" s="30" t="str">
        <f>'Key Analysis'!B31</f>
        <v>3d94cd64</v>
      </c>
      <c r="C35" s="29">
        <f>IF(OR($B35="",$A35&lt;=0),"",--MID('Key Analysis'!$C31,$A35-0,1))</f>
        <v>0</v>
      </c>
      <c r="D35" s="29">
        <f>IF(OR($B35="",$A35&lt;=1),"",--MID('Key Analysis'!$C31,$A35-1,1))</f>
        <v>0</v>
      </c>
      <c r="E35" s="29">
        <f>IF(OR($B35="",$A35&lt;=2),"",--MID('Key Analysis'!$C31,$A35-2,1))</f>
        <v>1</v>
      </c>
      <c r="F35" s="29">
        <f>IF(OR($B35="",$A35&lt;=3),"",--MID('Key Analysis'!$C31,$A35-3,1))</f>
        <v>0</v>
      </c>
      <c r="G35" s="29">
        <f>IF(OR($B35="",$A35&lt;=4),"",--MID('Key Analysis'!$C31,$A35-4,1))</f>
        <v>0</v>
      </c>
      <c r="H35" s="29">
        <f>IF(OR($B35="",$A35&lt;=5),"",--MID('Key Analysis'!$C31,$A35-5,1))</f>
        <v>1</v>
      </c>
      <c r="I35" s="29">
        <f>IF(OR($B35="",$A35&lt;=6),"",--MID('Key Analysis'!$C31,$A35-6,1))</f>
        <v>1</v>
      </c>
      <c r="J35" s="29">
        <f>IF(OR($B35="",$A35&lt;=7),"",--MID('Key Analysis'!$C31,$A35-7,1))</f>
        <v>0</v>
      </c>
      <c r="K35" s="29">
        <f>IF(OR($B35="",$A35&lt;=8),"",--MID('Key Analysis'!$C31,$A35-8,1))</f>
        <v>1</v>
      </c>
      <c r="L35" s="29">
        <f>IF(OR($B35="",$A35&lt;=9),"",--MID('Key Analysis'!$C31,$A35-9,1))</f>
        <v>0</v>
      </c>
      <c r="M35" s="29">
        <f>IF(OR($B35="",$A35&lt;=10),"",--MID('Key Analysis'!$C31,$A35-10,1))</f>
        <v>1</v>
      </c>
      <c r="N35" s="29">
        <f>IF(OR($B35="",$A35&lt;=11),"",--MID('Key Analysis'!$C31,$A35-11,1))</f>
        <v>1</v>
      </c>
      <c r="O35" s="29">
        <f>IF(OR($B35="",$A35&lt;=12),"",--MID('Key Analysis'!$C31,$A35-12,1))</f>
        <v>0</v>
      </c>
      <c r="P35" s="29">
        <f>IF(OR($B35="",$A35&lt;=13),"",--MID('Key Analysis'!$C31,$A35-13,1))</f>
        <v>0</v>
      </c>
      <c r="Q35" s="29">
        <f>IF(OR($B35="",$A35&lt;=14),"",--MID('Key Analysis'!$C31,$A35-14,1))</f>
        <v>1</v>
      </c>
      <c r="R35" s="29">
        <f>IF(OR($B35="",$A35&lt;=15),"",--MID('Key Analysis'!$C31,$A35-15,1))</f>
        <v>1</v>
      </c>
      <c r="S35" s="29">
        <f>IF(OR($B35="",$A35&lt;=16),"",--MID('Key Analysis'!$C31,$A35-16,1))</f>
        <v>0</v>
      </c>
      <c r="T35" s="29">
        <f>IF(OR($B35="",$A35&lt;=17),"",--MID('Key Analysis'!$C31,$A35-17,1))</f>
        <v>0</v>
      </c>
      <c r="U35" s="29">
        <f>IF(OR($B35="",$A35&lt;=18),"",--MID('Key Analysis'!$C31,$A35-18,1))</f>
        <v>1</v>
      </c>
      <c r="V35" s="29">
        <f>IF(OR($B35="",$A35&lt;=19),"",--MID('Key Analysis'!$C31,$A35-19,1))</f>
        <v>0</v>
      </c>
      <c r="W35" s="29">
        <f>IF(OR($B35="",$A35&lt;=20),"",--MID('Key Analysis'!$C31,$A35-20,1))</f>
        <v>1</v>
      </c>
      <c r="X35" s="29">
        <f>IF(OR($B35="",$A35&lt;=21),"",--MID('Key Analysis'!$C31,$A35-21,1))</f>
        <v>0</v>
      </c>
      <c r="Y35" s="29">
        <f>IF(OR($B35="",$A35&lt;=22),"",--MID('Key Analysis'!$C31,$A35-22,1))</f>
        <v>0</v>
      </c>
      <c r="Z35" s="29">
        <f>IF(OR($B35="",$A35&lt;=23),"",--MID('Key Analysis'!$C31,$A35-23,1))</f>
        <v>1</v>
      </c>
      <c r="AA35" s="29">
        <f>IF(OR($B35="",$A35&lt;=24),"",--MID('Key Analysis'!$C31,$A35-24,1))</f>
        <v>1</v>
      </c>
      <c r="AB35" s="29">
        <f>IF(OR($B35="",$A35&lt;=25),"",--MID('Key Analysis'!$C31,$A35-25,1))</f>
        <v>0</v>
      </c>
      <c r="AC35" s="29">
        <f>IF(OR($B35="",$A35&lt;=26),"",--MID('Key Analysis'!$C31,$A35-26,1))</f>
        <v>1</v>
      </c>
      <c r="AD35" s="29">
        <f>IF(OR($B35="",$A35&lt;=27),"",--MID('Key Analysis'!$C31,$A35-27,1))</f>
        <v>1</v>
      </c>
      <c r="AE35" s="29">
        <f>IF(OR($B35="",$A35&lt;=28),"",--MID('Key Analysis'!$C31,$A35-28,1))</f>
        <v>1</v>
      </c>
      <c r="AF35" s="29">
        <f>IF(OR($B35="",$A35&lt;=29),"",--MID('Key Analysis'!$C31,$A35-29,1))</f>
        <v>1</v>
      </c>
      <c r="AG35" s="29" t="str">
        <f>IF(OR($B35="",$A35&lt;=30),"",--MID('Key Analysis'!$C31,$A35-30,1))</f>
        <v/>
      </c>
      <c r="AH35" s="29" t="str">
        <f>IF(OR($B35="",$A35&lt;=31),"",--MID('Key Analysis'!$C31,$A35-31,1))</f>
        <v/>
      </c>
      <c r="AI35" s="29" t="str">
        <f>IF(OR($B35="",$A35&lt;=32),"",--MID('Key Analysis'!$C31,$A35-32,1))</f>
        <v/>
      </c>
      <c r="AJ35" s="29" t="str">
        <f>IF(OR($B35="",$A35&lt;=33),"",--MID('Key Analysis'!$C31,$A35-33,1))</f>
        <v/>
      </c>
      <c r="AK35" s="29" t="str">
        <f>IF(OR($B35="",$A35&lt;=34),"",--MID('Key Analysis'!$C31,$A35-34,1))</f>
        <v/>
      </c>
      <c r="AL35" s="29" t="str">
        <f>IF(OR($B35="",$A35&lt;=35),"",--MID('Key Analysis'!$C31,$A35-35,1))</f>
        <v/>
      </c>
      <c r="AM35" s="29" t="str">
        <f>IF(OR($B35="",$A35&lt;=36),"",--MID('Key Analysis'!$C31,$A35-36,1))</f>
        <v/>
      </c>
      <c r="AN35" s="29" t="str">
        <f>IF(OR($B35="",$A35&lt;=37),"",--MID('Key Analysis'!$C31,$A35-37,1))</f>
        <v/>
      </c>
      <c r="AO35" s="29" t="str">
        <f>IF(OR($B35="",$A35&lt;=38),"",--MID('Key Analysis'!$C31,$A35-38,1))</f>
        <v/>
      </c>
      <c r="AP35" s="29" t="str">
        <f>IF(OR($B35="",$A35&lt;=39),"",--MID('Key Analysis'!$C31,$A35-39,1))</f>
        <v/>
      </c>
      <c r="AQ35" s="29" t="str">
        <f>IF(OR($B35="",$A35&lt;=40),"",--MID('Key Analysis'!$C31,$A35-40,1))</f>
        <v/>
      </c>
      <c r="AR35" s="29" t="str">
        <f>IF(OR($B35="",$A35&lt;=41),"",--MID('Key Analysis'!$C31,$A35-41,1))</f>
        <v/>
      </c>
      <c r="AS35" s="29" t="str">
        <f>IF(OR($B35="",$A35&lt;=42),"",--MID('Key Analysis'!$C31,$A35-42,1))</f>
        <v/>
      </c>
      <c r="AT35" s="29" t="str">
        <f>IF(OR($B35="",$A35&lt;=43),"",--MID('Key Analysis'!$C31,$A35-43,1))</f>
        <v/>
      </c>
      <c r="AU35" s="29" t="str">
        <f>IF(OR($B35="",$A35&lt;=44),"",--MID('Key Analysis'!$C31,$A35-44,1))</f>
        <v/>
      </c>
      <c r="AV35" s="29" t="str">
        <f>IF(OR($B35="",$A35&lt;=45),"",--MID('Key Analysis'!$C31,$A35-45,1))</f>
        <v/>
      </c>
      <c r="AW35" s="29" t="str">
        <f>IF(OR($B35="",$A35&lt;=46),"",--MID('Key Analysis'!$C31,$A35-46,1))</f>
        <v/>
      </c>
      <c r="AX35" s="29" t="str">
        <f>IF(OR($B35="",$A35&lt;=47),"",--MID('Key Analysis'!$C31,$A35-47,1))</f>
        <v/>
      </c>
      <c r="AY35" s="29" t="str">
        <f>IF(OR($B35="",$A35&lt;=48),"",--MID('Key Analysis'!$C31,$A35-48,1))</f>
        <v/>
      </c>
      <c r="AZ35" s="29" t="str">
        <f>IF(OR($B35="",$A35&lt;=49),"",--MID('Key Analysis'!$C31,$A35-49,1))</f>
        <v/>
      </c>
      <c r="BA35" s="29" t="str">
        <f>IF(OR($B35="",$A35&lt;=50),"",--MID('Key Analysis'!$C31,$A35-50,1))</f>
        <v/>
      </c>
      <c r="BB35" s="29" t="str">
        <f>IF(OR($B35="",$A35&lt;=51),"",--MID('Key Analysis'!$C31,$A35-51,1))</f>
        <v/>
      </c>
      <c r="BC35" s="29" t="str">
        <f>IF(OR($B35="",$A35&lt;=52),"",--MID('Key Analysis'!$C31,$A35-52,1))</f>
        <v/>
      </c>
      <c r="BD35" s="29" t="str">
        <f>IF(OR($B35="",$A35&lt;=53),"",--MID('Key Analysis'!$C31,$A35-53,1))</f>
        <v/>
      </c>
      <c r="BE35" s="29" t="str">
        <f>IF(OR($B35="",$A35&lt;=54),"",--MID('Key Analysis'!$C31,$A35-54,1))</f>
        <v/>
      </c>
      <c r="BF35" s="29" t="str">
        <f>IF(OR($B35="",$A35&lt;=55),"",--MID('Key Analysis'!$C31,$A35-55,1))</f>
        <v/>
      </c>
      <c r="BG35" s="29" t="str">
        <f>IF(OR($B35="",$A35&lt;=56),"",--MID('Key Analysis'!$C31,$A35-56,1))</f>
        <v/>
      </c>
      <c r="BH35" s="29" t="str">
        <f>IF(OR($B35="",$A35&lt;=57),"",--MID('Key Analysis'!$C31,$A35-57,1))</f>
        <v/>
      </c>
      <c r="BI35" s="29" t="str">
        <f>IF(OR($B35="",$A35&lt;=58),"",--MID('Key Analysis'!$C31,$A35-58,1))</f>
        <v/>
      </c>
      <c r="BJ35" s="29" t="str">
        <f>IF(OR($B35="",$A35&lt;=59),"",--MID('Key Analysis'!$C31,$A35-59,1))</f>
        <v/>
      </c>
      <c r="BK35" s="29" t="str">
        <f>IF(OR($B35="",$A35&lt;=60),"",--MID('Key Analysis'!$C31,$A35-60,1))</f>
        <v/>
      </c>
      <c r="BL35" s="29" t="str">
        <f>IF(OR($B35="",$A35&lt;=61),"",--MID('Key Analysis'!$C31,$A35-61,1))</f>
        <v/>
      </c>
      <c r="BM35" s="29" t="str">
        <f>IF(OR($B35="",$A35&lt;=62),"",--MID('Key Analysis'!$C31,$A35-62,1))</f>
        <v/>
      </c>
      <c r="BN35" s="29" t="str">
        <f>IF(OR($B35="",$A35&lt;=63),"",--MID('Key Analysis'!$C31,$A35-63,1))</f>
        <v/>
      </c>
      <c r="BO35" s="29" t="str">
        <f>IF(OR($B35="",$A35&lt;=64),"",--MID('Key Analysis'!$C31,$A35-64,1))</f>
        <v/>
      </c>
      <c r="BP35" s="29" t="str">
        <f>IF(OR($B35="",$A35&lt;=65),"",--MID('Key Analysis'!$C31,$A35-65,1))</f>
        <v/>
      </c>
      <c r="BQ35" s="29" t="str">
        <f>IF(OR($B35="",$A35&lt;=66),"",--MID('Key Analysis'!$C31,$A35-66,1))</f>
        <v/>
      </c>
      <c r="BR35" s="29" t="str">
        <f>IF(OR($B35="",$A35&lt;=67),"",--MID('Key Analysis'!$C31,$A35-67,1))</f>
        <v/>
      </c>
      <c r="BS35" s="29" t="str">
        <f>IF(OR($B35="",$A35&lt;=68),"",--MID('Key Analysis'!$C31,$A35-68,1))</f>
        <v/>
      </c>
      <c r="BT35" s="29" t="str">
        <f>IF(OR($B35="",$A35&lt;=69),"",--MID('Key Analysis'!$C31,$A35-69,1))</f>
        <v/>
      </c>
      <c r="BU35" s="29" t="str">
        <f>IF(OR($B35="",$A35&lt;=70),"",--MID('Key Analysis'!$C31,$A35-70,1))</f>
        <v/>
      </c>
      <c r="BV35" s="29" t="str">
        <f>IF(OR($B35="",$A35&lt;=71),"",--MID('Key Analysis'!$C31,$A35-71,1))</f>
        <v/>
      </c>
      <c r="BW35" s="29" t="str">
        <f>IF(OR($B35="",$A35&lt;=72),"",--MID('Key Analysis'!$C31,$A35-72,1))</f>
        <v/>
      </c>
      <c r="BX35" s="29" t="str">
        <f>IF(OR($B35="",$A35&lt;=73),"",--MID('Key Analysis'!$C31,$A35-73,1))</f>
        <v/>
      </c>
      <c r="BY35" s="29" t="str">
        <f>IF(OR($B35="",$A35&lt;=74),"",--MID('Key Analysis'!$C31,$A35-74,1))</f>
        <v/>
      </c>
      <c r="BZ35" s="29" t="str">
        <f>IF(OR($B35="",$A35&lt;=75),"",--MID('Key Analysis'!$C31,$A35-75,1))</f>
        <v/>
      </c>
      <c r="CA35" s="29" t="str">
        <f>IF(OR($B35="",$A35&lt;=76),"",--MID('Key Analysis'!$C31,$A35-76,1))</f>
        <v/>
      </c>
      <c r="CB35" s="29" t="str">
        <f>IF(OR($B35="",$A35&lt;=77),"",--MID('Key Analysis'!$C31,$A35-77,1))</f>
        <v/>
      </c>
      <c r="CC35" s="29" t="str">
        <f>IF(OR($B35="",$A35&lt;=78),"",--MID('Key Analysis'!$C31,$A35-78,1))</f>
        <v/>
      </c>
      <c r="CD35" s="29" t="str">
        <f>IF(OR($B35="",$A35&lt;=79),"",--MID('Key Analysis'!$C31,$A35-79,1))</f>
        <v/>
      </c>
      <c r="CE35" s="29" t="str">
        <f>IF(OR($B35="",$A35&lt;=80),"",--MID('Key Analysis'!$C31,$A35-80,1))</f>
        <v/>
      </c>
      <c r="CF35" s="29" t="str">
        <f>IF(OR($B35="",$A35&lt;=81),"",--MID('Key Analysis'!$C31,$A35-81,1))</f>
        <v/>
      </c>
      <c r="CG35" s="29" t="str">
        <f>IF(OR($B35="",$A35&lt;=82),"",--MID('Key Analysis'!$C31,$A35-82,1))</f>
        <v/>
      </c>
      <c r="CH35" s="29" t="str">
        <f>IF(OR($B35="",$A35&lt;=83),"",--MID('Key Analysis'!$C31,$A35-83,1))</f>
        <v/>
      </c>
      <c r="CI35" s="29" t="str">
        <f>IF(OR($B35="",$A35&lt;=84),"",--MID('Key Analysis'!$C31,$A35-84,1))</f>
        <v/>
      </c>
      <c r="CJ35" s="29" t="str">
        <f>IF(OR($B35="",$A35&lt;=85),"",--MID('Key Analysis'!$C31,$A35-85,1))</f>
        <v/>
      </c>
      <c r="CK35" s="29" t="str">
        <f>IF(OR($B35="",$A35&lt;=86),"",--MID('Key Analysis'!$C31,$A35-86,1))</f>
        <v/>
      </c>
      <c r="CL35" s="29" t="str">
        <f>IF(OR($B35="",$A35&lt;=87),"",--MID('Key Analysis'!$C31,$A35-87,1))</f>
        <v/>
      </c>
      <c r="CM35" s="29" t="str">
        <f>IF(OR($B35="",$A35&lt;=88),"",--MID('Key Analysis'!$C31,$A35-88,1))</f>
        <v/>
      </c>
      <c r="CN35" s="29" t="str">
        <f>IF(OR($B35="",$A35&lt;=89),"",--MID('Key Analysis'!$C31,$A35-89,1))</f>
        <v/>
      </c>
      <c r="CO35" s="29" t="str">
        <f>IF(OR($B35="",$A35&lt;=90),"",--MID('Key Analysis'!$C31,$A35-90,1))</f>
        <v/>
      </c>
      <c r="CP35" s="29" t="str">
        <f>IF(OR($B35="",$A35&lt;=91),"",--MID('Key Analysis'!$C31,$A35-91,1))</f>
        <v/>
      </c>
      <c r="CQ35" s="29" t="str">
        <f>IF(OR($B35="",$A35&lt;=92),"",--MID('Key Analysis'!$C31,$A35-92,1))</f>
        <v/>
      </c>
      <c r="CR35" s="29" t="str">
        <f>IF(OR($B35="",$A35&lt;=93),"",--MID('Key Analysis'!$C31,$A35-93,1))</f>
        <v/>
      </c>
      <c r="CS35" s="29" t="str">
        <f>IF(OR($B35="",$A35&lt;=94),"",--MID('Key Analysis'!$C31,$A35-94,1))</f>
        <v/>
      </c>
      <c r="CT35" s="29" t="str">
        <f>IF(OR($B35="",$A35&lt;=95),"",--MID('Key Analysis'!$C31,$A35-95,1))</f>
        <v/>
      </c>
      <c r="CU35" s="29" t="str">
        <f>IF(OR($B35="",$A35&lt;=96),"",--MID('Key Analysis'!$C31,$A35-96,1))</f>
        <v/>
      </c>
      <c r="CV35" s="29" t="str">
        <f>IF(OR($B35="",$A35&lt;=97),"",--MID('Key Analysis'!$C31,$A35-97,1))</f>
        <v/>
      </c>
      <c r="CW35" s="29" t="str">
        <f>IF(OR($B35="",$A35&lt;=98),"",--MID('Key Analysis'!$C31,$A35-98,1))</f>
        <v/>
      </c>
      <c r="CX35" s="29" t="str">
        <f>IF(OR($B35="",$A35&lt;=99),"",--MID('Key Analysis'!$C31,$A35-99,1))</f>
        <v/>
      </c>
      <c r="CY35" s="29" t="str">
        <f>IF(OR($B35="",$A35&lt;=100),"",--MID('Key Analysis'!$C31,$A35-100,1))</f>
        <v/>
      </c>
      <c r="CZ35" s="29" t="str">
        <f>IF(OR($B35="",$A35&lt;=101),"",--MID('Key Analysis'!$C31,$A35-101,1))</f>
        <v/>
      </c>
      <c r="DA35" s="29" t="str">
        <f>IF(OR($B35="",$A35&lt;=102),"",--MID('Key Analysis'!$C31,$A35-102,1))</f>
        <v/>
      </c>
      <c r="DB35" s="29" t="str">
        <f>IF(OR($B35="",$A35&lt;=103),"",--MID('Key Analysis'!$C31,$A35-103,1))</f>
        <v/>
      </c>
      <c r="DC35" s="29" t="str">
        <f>IF(OR($B35="",$A35&lt;=104),"",--MID('Key Analysis'!$C31,$A35-104,1))</f>
        <v/>
      </c>
      <c r="DD35" s="29" t="str">
        <f>IF(OR($B35="",$A35&lt;=105),"",--MID('Key Analysis'!$C31,$A35-105,1))</f>
        <v/>
      </c>
      <c r="DE35" s="29" t="str">
        <f>IF(OR($B35="",$A35&lt;=106),"",--MID('Key Analysis'!$C31,$A35-106,1))</f>
        <v/>
      </c>
      <c r="DF35" s="29" t="str">
        <f>IF(OR($B35="",$A35&lt;=107),"",--MID('Key Analysis'!$C31,$A35-107,1))</f>
        <v/>
      </c>
      <c r="DG35" s="29" t="str">
        <f>IF(OR($B35="",$A35&lt;=108),"",--MID('Key Analysis'!$C31,$A35-108,1))</f>
        <v/>
      </c>
      <c r="DH35" s="29" t="str">
        <f>IF(OR($B35="",$A35&lt;=109),"",--MID('Key Analysis'!$C31,$A35-109,1))</f>
        <v/>
      </c>
      <c r="DI35" s="29" t="str">
        <f>IF(OR($B35="",$A35&lt;=110),"",--MID('Key Analysis'!$C31,$A35-110,1))</f>
        <v/>
      </c>
      <c r="DJ35" s="29" t="str">
        <f>IF(OR($B35="",$A35&lt;=111),"",--MID('Key Analysis'!$C31,$A35-111,1))</f>
        <v/>
      </c>
      <c r="DK35" s="29" t="str">
        <f>IF(OR($B35="",$A35&lt;=112),"",--MID('Key Analysis'!$C31,$A35-112,1))</f>
        <v/>
      </c>
      <c r="DL35" s="29" t="str">
        <f>IF(OR($B35="",$A35&lt;=113),"",--MID('Key Analysis'!$C31,$A35-113,1))</f>
        <v/>
      </c>
      <c r="DM35" s="29" t="str">
        <f>IF(OR($B35="",$A35&lt;=114),"",--MID('Key Analysis'!$C31,$A35-114,1))</f>
        <v/>
      </c>
      <c r="DN35" s="29" t="str">
        <f>IF(OR($B35="",$A35&lt;=115),"",--MID('Key Analysis'!$C31,$A35-115,1))</f>
        <v/>
      </c>
      <c r="DO35" s="29" t="str">
        <f>IF(OR($B35="",$A35&lt;=116),"",--MID('Key Analysis'!$C31,$A35-116,1))</f>
        <v/>
      </c>
      <c r="DP35" s="29" t="str">
        <f>IF(OR($B35="",$A35&lt;=117),"",--MID('Key Analysis'!$C31,$A35-117,1))</f>
        <v/>
      </c>
      <c r="DQ35" s="29" t="str">
        <f>IF(OR($B35="",$A35&lt;=118),"",--MID('Key Analysis'!$C31,$A35-118,1))</f>
        <v/>
      </c>
      <c r="DR35" s="29" t="str">
        <f>IF(OR($B35="",$A35&lt;=119),"",--MID('Key Analysis'!$C31,$A35-119,1))</f>
        <v/>
      </c>
      <c r="DS35" s="29" t="str">
        <f>IF(OR($B35="",$A35&lt;=120),"",--MID('Key Analysis'!$C31,$A35-120,1))</f>
        <v/>
      </c>
      <c r="DT35" s="29" t="str">
        <f>IF(OR($B35="",$A35&lt;=121),"",--MID('Key Analysis'!$C31,$A35-121,1))</f>
        <v/>
      </c>
      <c r="DU35" s="29" t="str">
        <f>IF(OR($B35="",$A35&lt;=122),"",--MID('Key Analysis'!$C31,$A35-122,1))</f>
        <v/>
      </c>
      <c r="DV35" s="29" t="str">
        <f>IF(OR($B35="",$A35&lt;=123),"",--MID('Key Analysis'!$C31,$A35-123,1))</f>
        <v/>
      </c>
      <c r="DW35" s="29" t="str">
        <f>IF(OR($B35="",$A35&lt;=124),"",--MID('Key Analysis'!$C31,$A35-124,1))</f>
        <v/>
      </c>
      <c r="DX35" s="29" t="str">
        <f>IF(OR($B35="",$A35&lt;=125),"",--MID('Key Analysis'!$C31,$A35-125,1))</f>
        <v/>
      </c>
      <c r="DY35" s="29" t="str">
        <f>IF(OR($B35="",$A35&lt;=126),"",--MID('Key Analysis'!$C31,$A35-126,1))</f>
        <v/>
      </c>
      <c r="DZ35" s="29" t="str">
        <f>IF(OR($B35="",$A35&lt;=127),"",--MID('Key Analysis'!$C31,$A35-127,1))</f>
        <v/>
      </c>
      <c r="EA35" s="29" t="str">
        <f>IF(OR($B35="",$A35&lt;=128),"",--MID('Key Analysis'!$C31,$A35-128,1))</f>
        <v/>
      </c>
      <c r="EB35" s="29" t="str">
        <f>IF(OR($B35="",$A35&lt;=129),"",--MID('Key Analysis'!$C31,$A35-129,1))</f>
        <v/>
      </c>
      <c r="EC35" s="29" t="str">
        <f>IF(OR($B35="",$A35&lt;=130),"",--MID('Key Analysis'!$C31,$A35-130,1))</f>
        <v/>
      </c>
      <c r="ED35" s="29" t="str">
        <f>IF(OR($B35="",$A35&lt;=131),"",--MID('Key Analysis'!$C31,$A35-131,1))</f>
        <v/>
      </c>
      <c r="EE35" s="29" t="str">
        <f>IF(OR($B35="",$A35&lt;=132),"",--MID('Key Analysis'!$C31,$A35-132,1))</f>
        <v/>
      </c>
      <c r="EF35" s="29" t="str">
        <f>IF(OR($B35="",$A35&lt;=133),"",--MID('Key Analysis'!$C31,$A35-133,1))</f>
        <v/>
      </c>
      <c r="EG35" s="29" t="str">
        <f>IF(OR($B35="",$A35&lt;=134),"",--MID('Key Analysis'!$C31,$A35-134,1))</f>
        <v/>
      </c>
      <c r="EH35" s="29"/>
      <c r="EI35" s="29">
        <f>IF(OR($B35="",$A35&lt;1),"",--MID('Key Analysis'!$C31,1,1))</f>
        <v>1</v>
      </c>
      <c r="EJ35" s="29">
        <f>IF(OR($B35="",$A35&lt;2),"",--MID('Key Analysis'!$C31,2,1))</f>
        <v>1</v>
      </c>
      <c r="EK35" s="29">
        <f>IF(OR($B35="",$A35&lt;3),"",--MID('Key Analysis'!$C31,3,1))</f>
        <v>1</v>
      </c>
      <c r="EL35" s="29">
        <f>IF(OR($B35="",$A35&lt;4),"",--MID('Key Analysis'!$C31,4,1))</f>
        <v>1</v>
      </c>
      <c r="EM35" s="29">
        <f>IF(OR($B35="",$A35&lt;5),"",--MID('Key Analysis'!$C31,5,1))</f>
        <v>0</v>
      </c>
      <c r="EN35" s="29">
        <f>IF(OR($B35="",$A35&lt;6),"",--MID('Key Analysis'!$C31,6,1))</f>
        <v>1</v>
      </c>
      <c r="EO35" s="29">
        <f>IF(OR($B35="",$A35&lt;7),"",--MID('Key Analysis'!$C31,7,1))</f>
        <v>1</v>
      </c>
      <c r="EP35" s="29">
        <f>IF(OR($B35="",$A35&lt;8),"",--MID('Key Analysis'!$C31,8,1))</f>
        <v>0</v>
      </c>
      <c r="EQ35" s="29">
        <f>IF(OR($B35="",$A35&lt;9),"",--MID('Key Analysis'!$C31,9,1))</f>
        <v>0</v>
      </c>
      <c r="ER35" s="29">
        <f>IF(OR($B35="",$A35&lt;10),"",--MID('Key Analysis'!$C31,10,1))</f>
        <v>1</v>
      </c>
      <c r="ES35" s="29">
        <f>IF(OR($B35="",$A35&lt;11),"",--MID('Key Analysis'!$C31,11,1))</f>
        <v>0</v>
      </c>
      <c r="ET35" s="29">
        <f>IF(OR($B35="",$A35&lt;12),"",--MID('Key Analysis'!$C31,12,1))</f>
        <v>1</v>
      </c>
      <c r="EU35" s="29">
        <f>IF(OR($B35="",$A35&lt;13),"",--MID('Key Analysis'!$C31,13,1))</f>
        <v>0</v>
      </c>
      <c r="EV35" s="29">
        <f>IF(OR($B35="",$A35&lt;14),"",--MID('Key Analysis'!$C31,14,1))</f>
        <v>0</v>
      </c>
      <c r="EW35" s="29">
        <f>IF(OR($B35="",$A35&lt;15),"",--MID('Key Analysis'!$C31,15,1))</f>
        <v>1</v>
      </c>
      <c r="EX35" s="29">
        <f>IF(OR($B35="",$A35&lt;16),"",--MID('Key Analysis'!$C31,16,1))</f>
        <v>1</v>
      </c>
      <c r="EY35" s="29">
        <f>IF(OR($B35="",$A35&lt;17),"",--MID('Key Analysis'!$C31,17,1))</f>
        <v>0</v>
      </c>
      <c r="EZ35" s="29">
        <f>IF(OR($B35="",$A35&lt;18),"",--MID('Key Analysis'!$C31,18,1))</f>
        <v>0</v>
      </c>
      <c r="FA35" s="29">
        <f>IF(OR($B35="",$A35&lt;19),"",--MID('Key Analysis'!$C31,19,1))</f>
        <v>1</v>
      </c>
      <c r="FB35" s="29">
        <f>IF(OR($B35="",$A35&lt;20),"",--MID('Key Analysis'!$C31,20,1))</f>
        <v>1</v>
      </c>
      <c r="FC35" s="29">
        <f>IF(OR($B35="",$A35&lt;21),"",--MID('Key Analysis'!$C31,21,1))</f>
        <v>0</v>
      </c>
      <c r="FD35" s="29">
        <f>IF(OR($B35="",$A35&lt;22),"",--MID('Key Analysis'!$C31,22,1))</f>
        <v>1</v>
      </c>
      <c r="FE35" s="29">
        <f>IF(OR($B35="",$A35&lt;23),"",--MID('Key Analysis'!$C31,23,1))</f>
        <v>0</v>
      </c>
      <c r="FF35" s="29">
        <f>IF(OR($B35="",$A35&lt;24),"",--MID('Key Analysis'!$C31,24,1))</f>
        <v>1</v>
      </c>
      <c r="FG35" s="29">
        <f>IF(OR($B35="",$A35&lt;25),"",--MID('Key Analysis'!$C31,25,1))</f>
        <v>1</v>
      </c>
      <c r="FH35" s="29">
        <f>IF(OR($B35="",$A35&lt;26),"",--MID('Key Analysis'!$C31,26,1))</f>
        <v>0</v>
      </c>
      <c r="FI35" s="29">
        <f>IF(OR($B35="",$A35&lt;27),"",--MID('Key Analysis'!$C31,27,1))</f>
        <v>0</v>
      </c>
      <c r="FJ35" s="29">
        <f>IF(OR($B35="",$A35&lt;28),"",--MID('Key Analysis'!$C31,28,1))</f>
        <v>1</v>
      </c>
      <c r="FK35" s="29">
        <f>IF(OR($B35="",$A35&lt;29),"",--MID('Key Analysis'!$C31,29,1))</f>
        <v>0</v>
      </c>
      <c r="FL35" s="29">
        <f>IF(OR($B35="",$A35&lt;30),"",--MID('Key Analysis'!$C31,30,1))</f>
        <v>0</v>
      </c>
      <c r="FM35" s="29" t="str">
        <f>IF(OR($B35="",$A35&lt;31),"",--MID('Key Analysis'!$C31,31,1))</f>
        <v/>
      </c>
      <c r="FN35" s="29" t="str">
        <f>IF(OR($B35="",$A35&lt;32),"",--MID('Key Analysis'!$C31,32,1))</f>
        <v/>
      </c>
      <c r="FO35" s="29" t="str">
        <f>IF(OR($B35="",$A35&lt;33),"",--MID('Key Analysis'!$C31,33,1))</f>
        <v/>
      </c>
      <c r="FP35" s="29" t="str">
        <f>IF(OR($B35="",$A35&lt;34),"",--MID('Key Analysis'!$C31,34,1))</f>
        <v/>
      </c>
      <c r="FQ35" s="29" t="str">
        <f>IF(OR($B35="",$A35&lt;35),"",--MID('Key Analysis'!$C31,35,1))</f>
        <v/>
      </c>
      <c r="FR35" s="29" t="str">
        <f>IF(OR($B35="",$A35&lt;36),"",--MID('Key Analysis'!$C31,36,1))</f>
        <v/>
      </c>
      <c r="FS35" s="29" t="str">
        <f>IF(OR($B35="",$A35&lt;37),"",--MID('Key Analysis'!$C31,37,1))</f>
        <v/>
      </c>
      <c r="FT35" s="29" t="str">
        <f>IF(OR($B35="",$A35&lt;38),"",--MID('Key Analysis'!$C31,38,1))</f>
        <v/>
      </c>
      <c r="FU35" s="29" t="str">
        <f>IF(OR($B35="",$A35&lt;39),"",--MID('Key Analysis'!$C31,39,1))</f>
        <v/>
      </c>
      <c r="FV35" s="29" t="str">
        <f>IF(OR($B35="",$A35&lt;40),"",--MID('Key Analysis'!$C31,40,1))</f>
        <v/>
      </c>
      <c r="FW35" s="29" t="str">
        <f>IF(OR($B35="",$A35&lt;41),"",--MID('Key Analysis'!$C31,41,1))</f>
        <v/>
      </c>
      <c r="FX35" s="29" t="str">
        <f>IF(OR($B35="",$A35&lt;42),"",--MID('Key Analysis'!$C31,42,1))</f>
        <v/>
      </c>
      <c r="FY35" s="29" t="str">
        <f>IF(OR($B35="",$A35&lt;43),"",--MID('Key Analysis'!$C31,43,1))</f>
        <v/>
      </c>
      <c r="FZ35" s="29" t="str">
        <f>IF(OR($B35="",$A35&lt;44),"",--MID('Key Analysis'!$C31,44,1))</f>
        <v/>
      </c>
      <c r="GA35" s="29" t="str">
        <f>IF(OR($B35="",$A35&lt;45),"",--MID('Key Analysis'!$C31,45,1))</f>
        <v/>
      </c>
      <c r="GB35" s="29" t="str">
        <f>IF(OR($B35="",$A35&lt;46),"",--MID('Key Analysis'!$C31,46,1))</f>
        <v/>
      </c>
      <c r="GC35" s="29" t="str">
        <f>IF(OR($B35="",$A35&lt;47),"",--MID('Key Analysis'!$C31,47,1))</f>
        <v/>
      </c>
      <c r="GD35" s="29" t="str">
        <f>IF(OR($B35="",$A35&lt;48),"",--MID('Key Analysis'!$C31,48,1))</f>
        <v/>
      </c>
      <c r="GE35" s="29" t="str">
        <f>IF(OR($B35="",$A35&lt;49),"",--MID('Key Analysis'!$C31,49,1))</f>
        <v/>
      </c>
      <c r="GF35" s="29" t="str">
        <f>IF(OR($B35="",$A35&lt;50),"",--MID('Key Analysis'!$C31,50,1))</f>
        <v/>
      </c>
      <c r="GG35" s="29" t="str">
        <f>IF(OR($B35="",$A35&lt;51),"",--MID('Key Analysis'!$C31,51,1))</f>
        <v/>
      </c>
      <c r="GH35" s="29" t="str">
        <f>IF(OR($B35="",$A35&lt;52),"",--MID('Key Analysis'!$C31,52,1))</f>
        <v/>
      </c>
      <c r="GI35" s="29" t="str">
        <f>IF(OR($B35="",$A35&lt;53),"",--MID('Key Analysis'!$C31,53,1))</f>
        <v/>
      </c>
      <c r="GJ35" s="29" t="str">
        <f>IF(OR($B35="",$A35&lt;54),"",--MID('Key Analysis'!$C31,54,1))</f>
        <v/>
      </c>
      <c r="GK35" s="29" t="str">
        <f>IF(OR($B35="",$A35&lt;55),"",--MID('Key Analysis'!$C31,55,1))</f>
        <v/>
      </c>
      <c r="GL35" s="29" t="str">
        <f>IF(OR($B35="",$A35&lt;56),"",--MID('Key Analysis'!$C31,56,1))</f>
        <v/>
      </c>
      <c r="GM35" s="29" t="str">
        <f>IF(OR($B35="",$A35&lt;57),"",--MID('Key Analysis'!$C31,57,1))</f>
        <v/>
      </c>
      <c r="GN35" s="29" t="str">
        <f>IF(OR($B35="",$A35&lt;58),"",--MID('Key Analysis'!$C31,58,1))</f>
        <v/>
      </c>
      <c r="GO35" s="29" t="str">
        <f>IF(OR($B35="",$A35&lt;59),"",--MID('Key Analysis'!$C31,59,1))</f>
        <v/>
      </c>
      <c r="GP35" s="29" t="str">
        <f>IF(OR($B35="",$A35&lt;60),"",--MID('Key Analysis'!$C31,60,1))</f>
        <v/>
      </c>
      <c r="GQ35" s="29" t="str">
        <f>IF(OR($B35="",$A35&lt;61),"",--MID('Key Analysis'!$C31,61,1))</f>
        <v/>
      </c>
      <c r="GR35" s="29" t="str">
        <f>IF(OR($B35="",$A35&lt;62),"",--MID('Key Analysis'!$C31,62,1))</f>
        <v/>
      </c>
      <c r="GS35" s="29" t="str">
        <f>IF(OR($B35="",$A35&lt;63),"",--MID('Key Analysis'!$C31,63,1))</f>
        <v/>
      </c>
      <c r="GT35" s="29" t="str">
        <f>IF(OR($B35="",$A35&lt;64),"",--MID('Key Analysis'!$C31,64,1))</f>
        <v/>
      </c>
      <c r="GU35" s="29" t="str">
        <f>IF(OR($B35="",$A35&lt;65),"",--MID('Key Analysis'!$C31,65,1))</f>
        <v/>
      </c>
      <c r="GV35" s="29" t="str">
        <f>IF(OR($B35="",$A35&lt;66),"",--MID('Key Analysis'!$C31,66,1))</f>
        <v/>
      </c>
      <c r="GW35" s="29" t="str">
        <f>IF(OR($B35="",$A35&lt;67),"",--MID('Key Analysis'!$C31,67,1))</f>
        <v/>
      </c>
      <c r="GX35" s="29" t="str">
        <f>IF(OR($B35="",$A35&lt;68),"",--MID('Key Analysis'!$C31,68,1))</f>
        <v/>
      </c>
      <c r="GY35" s="29" t="str">
        <f>IF(OR($B35="",$A35&lt;69),"",--MID('Key Analysis'!$C31,69,1))</f>
        <v/>
      </c>
      <c r="GZ35" s="29" t="str">
        <f>IF(OR($B35="",$A35&lt;70),"",--MID('Key Analysis'!$C31,70,1))</f>
        <v/>
      </c>
      <c r="HA35" s="29" t="str">
        <f>IF(OR($B35="",$A35&lt;71),"",--MID('Key Analysis'!$C31,71,1))</f>
        <v/>
      </c>
      <c r="HB35" s="29" t="str">
        <f>IF(OR($B35="",$A35&lt;72),"",--MID('Key Analysis'!$C31,72,1))</f>
        <v/>
      </c>
      <c r="HC35" s="29" t="str">
        <f>IF(OR($B35="",$A35&lt;73),"",--MID('Key Analysis'!$C31,73,1))</f>
        <v/>
      </c>
      <c r="HD35" s="29" t="str">
        <f>IF(OR($B35="",$A35&lt;74),"",--MID('Key Analysis'!$C31,74,1))</f>
        <v/>
      </c>
      <c r="HE35" s="29" t="str">
        <f>IF(OR($B35="",$A35&lt;75),"",--MID('Key Analysis'!$C31,75,1))</f>
        <v/>
      </c>
      <c r="HF35" s="29" t="str">
        <f>IF(OR($B35="",$A35&lt;76),"",--MID('Key Analysis'!$C31,76,1))</f>
        <v/>
      </c>
      <c r="HG35" s="29" t="str">
        <f>IF(OR($B35="",$A35&lt;77),"",--MID('Key Analysis'!$C31,77,1))</f>
        <v/>
      </c>
      <c r="HH35" s="29" t="str">
        <f>IF(OR($B35="",$A35&lt;78),"",--MID('Key Analysis'!$C31,78,1))</f>
        <v/>
      </c>
      <c r="HI35" s="29" t="str">
        <f>IF(OR($B35="",$A35&lt;79),"",--MID('Key Analysis'!$C31,79,1))</f>
        <v/>
      </c>
      <c r="HJ35" s="29" t="str">
        <f>IF(OR($B35="",$A35&lt;80),"",--MID('Key Analysis'!$C31,80,1))</f>
        <v/>
      </c>
      <c r="HK35" s="29" t="str">
        <f>IF(OR($B35="",$A35&lt;81),"",--MID('Key Analysis'!$C31,81,1))</f>
        <v/>
      </c>
      <c r="HL35" s="29" t="str">
        <f>IF(OR($B35="",$A35&lt;82),"",--MID('Key Analysis'!$C31,82,1))</f>
        <v/>
      </c>
      <c r="HM35" s="29" t="str">
        <f>IF(OR($B35="",$A35&lt;83),"",--MID('Key Analysis'!$C31,83,1))</f>
        <v/>
      </c>
      <c r="HN35" s="29" t="str">
        <f>IF(OR($B35="",$A35&lt;84),"",--MID('Key Analysis'!$C31,84,1))</f>
        <v/>
      </c>
      <c r="HO35" s="29" t="str">
        <f>IF(OR($B35="",$A35&lt;85),"",--MID('Key Analysis'!$C31,85,1))</f>
        <v/>
      </c>
      <c r="HP35" s="29" t="str">
        <f>IF(OR($B35="",$A35&lt;86),"",--MID('Key Analysis'!$C31,86,1))</f>
        <v/>
      </c>
      <c r="HQ35" s="29" t="str">
        <f>IF(OR($B35="",$A35&lt;87),"",--MID('Key Analysis'!$C31,87,1))</f>
        <v/>
      </c>
      <c r="HR35" s="29" t="str">
        <f>IF(OR($B35="",$A35&lt;88),"",--MID('Key Analysis'!$C31,88,1))</f>
        <v/>
      </c>
      <c r="HS35" s="29" t="str">
        <f>IF(OR($B35="",$A35&lt;89),"",--MID('Key Analysis'!$C31,89,1))</f>
        <v/>
      </c>
      <c r="HT35" s="29" t="str">
        <f>IF(OR($B35="",$A35&lt;90),"",--MID('Key Analysis'!$C31,90,1))</f>
        <v/>
      </c>
      <c r="HU35" s="29" t="str">
        <f>IF(OR($B35="",$A35&lt;91),"",--MID('Key Analysis'!$C31,91,1))</f>
        <v/>
      </c>
      <c r="HV35" s="29" t="str">
        <f>IF(OR($B35="",$A35&lt;92),"",--MID('Key Analysis'!$C31,92,1))</f>
        <v/>
      </c>
      <c r="HW35" s="29" t="str">
        <f>IF(OR($B35="",$A35&lt;93),"",--MID('Key Analysis'!$C31,93,1))</f>
        <v/>
      </c>
      <c r="HX35" s="29" t="str">
        <f>IF(OR($B35="",$A35&lt;94),"",--MID('Key Analysis'!$C31,94,1))</f>
        <v/>
      </c>
      <c r="HY35" s="29" t="str">
        <f>IF(OR($B35="",$A35&lt;95),"",--MID('Key Analysis'!$C31,95,1))</f>
        <v/>
      </c>
      <c r="HZ35" s="29" t="str">
        <f>IF(OR($B35="",$A35&lt;96),"",--MID('Key Analysis'!$C31,96,1))</f>
        <v/>
      </c>
      <c r="IA35" s="29" t="str">
        <f>IF(OR($B35="",$A35&lt;97),"",--MID('Key Analysis'!$C31,97,1))</f>
        <v/>
      </c>
      <c r="IB35" s="29" t="str">
        <f>IF(OR($B35="",$A35&lt;98),"",--MID('Key Analysis'!$C31,98,1))</f>
        <v/>
      </c>
      <c r="IC35" s="29" t="str">
        <f>IF(OR($B35="",$A35&lt;99),"",--MID('Key Analysis'!$C31,99,1))</f>
        <v/>
      </c>
      <c r="ID35" s="29" t="str">
        <f>IF(OR($B35="",$A35&lt;100),"",--MID('Key Analysis'!$C31,100,1))</f>
        <v/>
      </c>
      <c r="IE35" s="29" t="str">
        <f>IF(OR($B35="",$A35&lt;101),"",--MID('Key Analysis'!$C31,101,1))</f>
        <v/>
      </c>
      <c r="IF35" s="29" t="str">
        <f>IF(OR($B35="",$A35&lt;102),"",--MID('Key Analysis'!$C31,102,1))</f>
        <v/>
      </c>
      <c r="IG35" s="29" t="str">
        <f>IF(OR($B35="",$A35&lt;103),"",--MID('Key Analysis'!$C31,103,1))</f>
        <v/>
      </c>
      <c r="IH35" s="29" t="str">
        <f>IF(OR($B35="",$A35&lt;104),"",--MID('Key Analysis'!$C31,104,1))</f>
        <v/>
      </c>
      <c r="II35" s="29" t="str">
        <f>IF(OR($B35="",$A35&lt;105),"",--MID('Key Analysis'!$C31,105,1))</f>
        <v/>
      </c>
      <c r="IJ35" s="29" t="str">
        <f>IF(OR($B35="",$A35&lt;106),"",--MID('Key Analysis'!$C31,106,1))</f>
        <v/>
      </c>
      <c r="IK35" s="29" t="str">
        <f>IF(OR($B35="",$A35&lt;107),"",--MID('Key Analysis'!$C31,107,1))</f>
        <v/>
      </c>
      <c r="IL35" s="29" t="str">
        <f>IF(OR($B35="",$A35&lt;108),"",--MID('Key Analysis'!$C31,108,1))</f>
        <v/>
      </c>
      <c r="IM35" s="29" t="str">
        <f>IF(OR($B35="",$A35&lt;109),"",--MID('Key Analysis'!$C31,109,1))</f>
        <v/>
      </c>
      <c r="IN35" s="29" t="str">
        <f>IF(OR($B35="",$A35&lt;110),"",--MID('Key Analysis'!$C31,110,1))</f>
        <v/>
      </c>
      <c r="IO35" s="29" t="str">
        <f>IF(OR($B35="",$A35&lt;111),"",--MID('Key Analysis'!$C31,111,1))</f>
        <v/>
      </c>
      <c r="IP35" s="29" t="str">
        <f>IF(OR($B35="",$A35&lt;112),"",--MID('Key Analysis'!$C31,112,1))</f>
        <v/>
      </c>
      <c r="IQ35" s="29" t="str">
        <f>IF(OR($B35="",$A35&lt;113),"",--MID('Key Analysis'!$C31,113,1))</f>
        <v/>
      </c>
      <c r="IR35" s="29" t="str">
        <f>IF(OR($B35="",$A35&lt;114),"",--MID('Key Analysis'!$C31,114,1))</f>
        <v/>
      </c>
      <c r="IS35" s="29" t="str">
        <f>IF(OR($B35="",$A35&lt;115),"",--MID('Key Analysis'!$C31,115,1))</f>
        <v/>
      </c>
      <c r="IT35" s="29" t="str">
        <f>IF(OR($B35="",$A35&lt;116),"",--MID('Key Analysis'!$C31,116,1))</f>
        <v/>
      </c>
      <c r="IU35" s="29" t="str">
        <f>IF(OR($B35="",$A35&lt;117),"",--MID('Key Analysis'!$C31,117,1))</f>
        <v/>
      </c>
      <c r="IV35" s="29" t="str">
        <f>IF(OR($B35="",$A35&lt;118),"",--MID('Key Analysis'!$C31,118,1))</f>
        <v/>
      </c>
      <c r="IW35" s="29" t="str">
        <f>IF(OR($B35="",$A35&lt;119),"",--MID('Key Analysis'!$C31,119,1))</f>
        <v/>
      </c>
      <c r="IX35" s="29" t="str">
        <f>IF(OR($B35="",$A35&lt;120),"",--MID('Key Analysis'!$C31,120,1))</f>
        <v/>
      </c>
      <c r="IY35" s="29" t="str">
        <f>IF(OR($B35="",$A35&lt;121),"",--MID('Key Analysis'!$C31,121,1))</f>
        <v/>
      </c>
      <c r="IZ35" s="29" t="str">
        <f>IF(OR($B35="",$A35&lt;122),"",--MID('Key Analysis'!$C31,122,1))</f>
        <v/>
      </c>
      <c r="JA35" s="29" t="str">
        <f>IF(OR($B35="",$A35&lt;123),"",--MID('Key Analysis'!$C31,123,1))</f>
        <v/>
      </c>
      <c r="JB35" s="29" t="str">
        <f>IF(OR($B35="",$A35&lt;124),"",--MID('Key Analysis'!$C31,124,1))</f>
        <v/>
      </c>
      <c r="JC35" s="29" t="str">
        <f>IF(OR($B35="",$A35&lt;125),"",--MID('Key Analysis'!$C31,125,1))</f>
        <v/>
      </c>
      <c r="JD35" s="29" t="str">
        <f>IF(OR($B35="",$A35&lt;126),"",--MID('Key Analysis'!$C31,126,1))</f>
        <v/>
      </c>
      <c r="JE35" s="29" t="str">
        <f>IF(OR($B35="",$A35&lt;127),"",--MID('Key Analysis'!$C31,127,1))</f>
        <v/>
      </c>
      <c r="JF35" s="29" t="str">
        <f>IF(OR($B35="",$A35&lt;128),"",--MID('Key Analysis'!$C31,128,1))</f>
        <v/>
      </c>
      <c r="JG35" s="29" t="str">
        <f>IF(OR($B35="",$A35&lt;129),"",--MID('Key Analysis'!$C31,129,1))</f>
        <v/>
      </c>
      <c r="JH35" s="29" t="str">
        <f>IF(OR($B35="",$A35&lt;130),"",--MID('Key Analysis'!$C31,130,1))</f>
        <v/>
      </c>
      <c r="JI35" s="29" t="str">
        <f>IF(OR($B35="",$A35&lt;131),"",--MID('Key Analysis'!$C31,131,1))</f>
        <v/>
      </c>
      <c r="JJ35" s="29" t="str">
        <f>IF(OR($B35="",$A35&lt;132),"",--MID('Key Analysis'!$C31,132,1))</f>
        <v/>
      </c>
      <c r="JK35" s="29" t="str">
        <f>IF(OR($B35="",$A35&lt;133),"",--MID('Key Analysis'!$C31,133,1))</f>
        <v/>
      </c>
      <c r="JL35" s="29" t="str">
        <f>IF(OR($B35="",$A35&lt;134),"",--MID('Key Analysis'!$C31,134,1))</f>
        <v/>
      </c>
      <c r="JM35" s="29" t="str">
        <f>IF(OR($B35="",$A35&lt;135),"",--MID('Key Analysis'!$C31,135,1))</f>
        <v/>
      </c>
    </row>
    <row r="36" spans="1:273" x14ac:dyDescent="0.25">
      <c r="A36" s="21">
        <f>'Key Analysis'!A32</f>
        <v>31</v>
      </c>
      <c r="B36" s="30" t="str">
        <f>'Key Analysis'!B32</f>
        <v>7d4fe747</v>
      </c>
      <c r="C36" s="29">
        <f>IF(OR($B36="",$A36&lt;=0),"",--MID('Key Analysis'!$C32,$A36-0,1))</f>
        <v>1</v>
      </c>
      <c r="D36" s="29">
        <f>IF(OR($B36="",$A36&lt;=1),"",--MID('Key Analysis'!$C32,$A36-1,1))</f>
        <v>1</v>
      </c>
      <c r="E36" s="29">
        <f>IF(OR($B36="",$A36&lt;=2),"",--MID('Key Analysis'!$C32,$A36-2,1))</f>
        <v>1</v>
      </c>
      <c r="F36" s="29">
        <f>IF(OR($B36="",$A36&lt;=3),"",--MID('Key Analysis'!$C32,$A36-3,1))</f>
        <v>0</v>
      </c>
      <c r="G36" s="29">
        <f>IF(OR($B36="",$A36&lt;=4),"",--MID('Key Analysis'!$C32,$A36-4,1))</f>
        <v>0</v>
      </c>
      <c r="H36" s="29">
        <f>IF(OR($B36="",$A36&lt;=5),"",--MID('Key Analysis'!$C32,$A36-5,1))</f>
        <v>0</v>
      </c>
      <c r="I36" s="29">
        <f>IF(OR($B36="",$A36&lt;=6),"",--MID('Key Analysis'!$C32,$A36-6,1))</f>
        <v>1</v>
      </c>
      <c r="J36" s="29">
        <f>IF(OR($B36="",$A36&lt;=7),"",--MID('Key Analysis'!$C32,$A36-7,1))</f>
        <v>0</v>
      </c>
      <c r="K36" s="29">
        <f>IF(OR($B36="",$A36&lt;=8),"",--MID('Key Analysis'!$C32,$A36-8,1))</f>
        <v>1</v>
      </c>
      <c r="L36" s="29">
        <f>IF(OR($B36="",$A36&lt;=9),"",--MID('Key Analysis'!$C32,$A36-9,1))</f>
        <v>1</v>
      </c>
      <c r="M36" s="29">
        <f>IF(OR($B36="",$A36&lt;=10),"",--MID('Key Analysis'!$C32,$A36-10,1))</f>
        <v>1</v>
      </c>
      <c r="N36" s="29">
        <f>IF(OR($B36="",$A36&lt;=11),"",--MID('Key Analysis'!$C32,$A36-11,1))</f>
        <v>0</v>
      </c>
      <c r="O36" s="29">
        <f>IF(OR($B36="",$A36&lt;=12),"",--MID('Key Analysis'!$C32,$A36-12,1))</f>
        <v>0</v>
      </c>
      <c r="P36" s="29">
        <f>IF(OR($B36="",$A36&lt;=13),"",--MID('Key Analysis'!$C32,$A36-13,1))</f>
        <v>1</v>
      </c>
      <c r="Q36" s="29">
        <f>IF(OR($B36="",$A36&lt;=14),"",--MID('Key Analysis'!$C32,$A36-14,1))</f>
        <v>1</v>
      </c>
      <c r="R36" s="29">
        <f>IF(OR($B36="",$A36&lt;=15),"",--MID('Key Analysis'!$C32,$A36-15,1))</f>
        <v>1</v>
      </c>
      <c r="S36" s="29">
        <f>IF(OR($B36="",$A36&lt;=16),"",--MID('Key Analysis'!$C32,$A36-16,1))</f>
        <v>1</v>
      </c>
      <c r="T36" s="29">
        <f>IF(OR($B36="",$A36&lt;=17),"",--MID('Key Analysis'!$C32,$A36-17,1))</f>
        <v>1</v>
      </c>
      <c r="U36" s="29">
        <f>IF(OR($B36="",$A36&lt;=18),"",--MID('Key Analysis'!$C32,$A36-18,1))</f>
        <v>1</v>
      </c>
      <c r="V36" s="29">
        <f>IF(OR($B36="",$A36&lt;=19),"",--MID('Key Analysis'!$C32,$A36-19,1))</f>
        <v>1</v>
      </c>
      <c r="W36" s="29">
        <f>IF(OR($B36="",$A36&lt;=20),"",--MID('Key Analysis'!$C32,$A36-20,1))</f>
        <v>0</v>
      </c>
      <c r="X36" s="29">
        <f>IF(OR($B36="",$A36&lt;=21),"",--MID('Key Analysis'!$C32,$A36-21,1))</f>
        <v>0</v>
      </c>
      <c r="Y36" s="29">
        <f>IF(OR($B36="",$A36&lt;=22),"",--MID('Key Analysis'!$C32,$A36-22,1))</f>
        <v>1</v>
      </c>
      <c r="Z36" s="29">
        <f>IF(OR($B36="",$A36&lt;=23),"",--MID('Key Analysis'!$C32,$A36-23,1))</f>
        <v>0</v>
      </c>
      <c r="AA36" s="29">
        <f>IF(OR($B36="",$A36&lt;=24),"",--MID('Key Analysis'!$C32,$A36-24,1))</f>
        <v>1</v>
      </c>
      <c r="AB36" s="29">
        <f>IF(OR($B36="",$A36&lt;=25),"",--MID('Key Analysis'!$C32,$A36-25,1))</f>
        <v>0</v>
      </c>
      <c r="AC36" s="29">
        <f>IF(OR($B36="",$A36&lt;=26),"",--MID('Key Analysis'!$C32,$A36-26,1))</f>
        <v>1</v>
      </c>
      <c r="AD36" s="29">
        <f>IF(OR($B36="",$A36&lt;=27),"",--MID('Key Analysis'!$C32,$A36-27,1))</f>
        <v>1</v>
      </c>
      <c r="AE36" s="29">
        <f>IF(OR($B36="",$A36&lt;=28),"",--MID('Key Analysis'!$C32,$A36-28,1))</f>
        <v>1</v>
      </c>
      <c r="AF36" s="29">
        <f>IF(OR($B36="",$A36&lt;=29),"",--MID('Key Analysis'!$C32,$A36-29,1))</f>
        <v>1</v>
      </c>
      <c r="AG36" s="29">
        <f>IF(OR($B36="",$A36&lt;=30),"",--MID('Key Analysis'!$C32,$A36-30,1))</f>
        <v>1</v>
      </c>
      <c r="AH36" s="29" t="str">
        <f>IF(OR($B36="",$A36&lt;=31),"",--MID('Key Analysis'!$C32,$A36-31,1))</f>
        <v/>
      </c>
      <c r="AI36" s="29" t="str">
        <f>IF(OR($B36="",$A36&lt;=32),"",--MID('Key Analysis'!$C32,$A36-32,1))</f>
        <v/>
      </c>
      <c r="AJ36" s="29" t="str">
        <f>IF(OR($B36="",$A36&lt;=33),"",--MID('Key Analysis'!$C32,$A36-33,1))</f>
        <v/>
      </c>
      <c r="AK36" s="29" t="str">
        <f>IF(OR($B36="",$A36&lt;=34),"",--MID('Key Analysis'!$C32,$A36-34,1))</f>
        <v/>
      </c>
      <c r="AL36" s="29" t="str">
        <f>IF(OR($B36="",$A36&lt;=35),"",--MID('Key Analysis'!$C32,$A36-35,1))</f>
        <v/>
      </c>
      <c r="AM36" s="29" t="str">
        <f>IF(OR($B36="",$A36&lt;=36),"",--MID('Key Analysis'!$C32,$A36-36,1))</f>
        <v/>
      </c>
      <c r="AN36" s="29" t="str">
        <f>IF(OR($B36="",$A36&lt;=37),"",--MID('Key Analysis'!$C32,$A36-37,1))</f>
        <v/>
      </c>
      <c r="AO36" s="29" t="str">
        <f>IF(OR($B36="",$A36&lt;=38),"",--MID('Key Analysis'!$C32,$A36-38,1))</f>
        <v/>
      </c>
      <c r="AP36" s="29" t="str">
        <f>IF(OR($B36="",$A36&lt;=39),"",--MID('Key Analysis'!$C32,$A36-39,1))</f>
        <v/>
      </c>
      <c r="AQ36" s="29" t="str">
        <f>IF(OR($B36="",$A36&lt;=40),"",--MID('Key Analysis'!$C32,$A36-40,1))</f>
        <v/>
      </c>
      <c r="AR36" s="29" t="str">
        <f>IF(OR($B36="",$A36&lt;=41),"",--MID('Key Analysis'!$C32,$A36-41,1))</f>
        <v/>
      </c>
      <c r="AS36" s="29" t="str">
        <f>IF(OR($B36="",$A36&lt;=42),"",--MID('Key Analysis'!$C32,$A36-42,1))</f>
        <v/>
      </c>
      <c r="AT36" s="29" t="str">
        <f>IF(OR($B36="",$A36&lt;=43),"",--MID('Key Analysis'!$C32,$A36-43,1))</f>
        <v/>
      </c>
      <c r="AU36" s="29" t="str">
        <f>IF(OR($B36="",$A36&lt;=44),"",--MID('Key Analysis'!$C32,$A36-44,1))</f>
        <v/>
      </c>
      <c r="AV36" s="29" t="str">
        <f>IF(OR($B36="",$A36&lt;=45),"",--MID('Key Analysis'!$C32,$A36-45,1))</f>
        <v/>
      </c>
      <c r="AW36" s="29" t="str">
        <f>IF(OR($B36="",$A36&lt;=46),"",--MID('Key Analysis'!$C32,$A36-46,1))</f>
        <v/>
      </c>
      <c r="AX36" s="29" t="str">
        <f>IF(OR($B36="",$A36&lt;=47),"",--MID('Key Analysis'!$C32,$A36-47,1))</f>
        <v/>
      </c>
      <c r="AY36" s="29" t="str">
        <f>IF(OR($B36="",$A36&lt;=48),"",--MID('Key Analysis'!$C32,$A36-48,1))</f>
        <v/>
      </c>
      <c r="AZ36" s="29" t="str">
        <f>IF(OR($B36="",$A36&lt;=49),"",--MID('Key Analysis'!$C32,$A36-49,1))</f>
        <v/>
      </c>
      <c r="BA36" s="29" t="str">
        <f>IF(OR($B36="",$A36&lt;=50),"",--MID('Key Analysis'!$C32,$A36-50,1))</f>
        <v/>
      </c>
      <c r="BB36" s="29" t="str">
        <f>IF(OR($B36="",$A36&lt;=51),"",--MID('Key Analysis'!$C32,$A36-51,1))</f>
        <v/>
      </c>
      <c r="BC36" s="29" t="str">
        <f>IF(OR($B36="",$A36&lt;=52),"",--MID('Key Analysis'!$C32,$A36-52,1))</f>
        <v/>
      </c>
      <c r="BD36" s="29" t="str">
        <f>IF(OR($B36="",$A36&lt;=53),"",--MID('Key Analysis'!$C32,$A36-53,1))</f>
        <v/>
      </c>
      <c r="BE36" s="29" t="str">
        <f>IF(OR($B36="",$A36&lt;=54),"",--MID('Key Analysis'!$C32,$A36-54,1))</f>
        <v/>
      </c>
      <c r="BF36" s="29" t="str">
        <f>IF(OR($B36="",$A36&lt;=55),"",--MID('Key Analysis'!$C32,$A36-55,1))</f>
        <v/>
      </c>
      <c r="BG36" s="29" t="str">
        <f>IF(OR($B36="",$A36&lt;=56),"",--MID('Key Analysis'!$C32,$A36-56,1))</f>
        <v/>
      </c>
      <c r="BH36" s="29" t="str">
        <f>IF(OR($B36="",$A36&lt;=57),"",--MID('Key Analysis'!$C32,$A36-57,1))</f>
        <v/>
      </c>
      <c r="BI36" s="29" t="str">
        <f>IF(OR($B36="",$A36&lt;=58),"",--MID('Key Analysis'!$C32,$A36-58,1))</f>
        <v/>
      </c>
      <c r="BJ36" s="29" t="str">
        <f>IF(OR($B36="",$A36&lt;=59),"",--MID('Key Analysis'!$C32,$A36-59,1))</f>
        <v/>
      </c>
      <c r="BK36" s="29" t="str">
        <f>IF(OR($B36="",$A36&lt;=60),"",--MID('Key Analysis'!$C32,$A36-60,1))</f>
        <v/>
      </c>
      <c r="BL36" s="29" t="str">
        <f>IF(OR($B36="",$A36&lt;=61),"",--MID('Key Analysis'!$C32,$A36-61,1))</f>
        <v/>
      </c>
      <c r="BM36" s="29" t="str">
        <f>IF(OR($B36="",$A36&lt;=62),"",--MID('Key Analysis'!$C32,$A36-62,1))</f>
        <v/>
      </c>
      <c r="BN36" s="29" t="str">
        <f>IF(OR($B36="",$A36&lt;=63),"",--MID('Key Analysis'!$C32,$A36-63,1))</f>
        <v/>
      </c>
      <c r="BO36" s="29" t="str">
        <f>IF(OR($B36="",$A36&lt;=64),"",--MID('Key Analysis'!$C32,$A36-64,1))</f>
        <v/>
      </c>
      <c r="BP36" s="29" t="str">
        <f>IF(OR($B36="",$A36&lt;=65),"",--MID('Key Analysis'!$C32,$A36-65,1))</f>
        <v/>
      </c>
      <c r="BQ36" s="29" t="str">
        <f>IF(OR($B36="",$A36&lt;=66),"",--MID('Key Analysis'!$C32,$A36-66,1))</f>
        <v/>
      </c>
      <c r="BR36" s="29" t="str">
        <f>IF(OR($B36="",$A36&lt;=67),"",--MID('Key Analysis'!$C32,$A36-67,1))</f>
        <v/>
      </c>
      <c r="BS36" s="29" t="str">
        <f>IF(OR($B36="",$A36&lt;=68),"",--MID('Key Analysis'!$C32,$A36-68,1))</f>
        <v/>
      </c>
      <c r="BT36" s="29" t="str">
        <f>IF(OR($B36="",$A36&lt;=69),"",--MID('Key Analysis'!$C32,$A36-69,1))</f>
        <v/>
      </c>
      <c r="BU36" s="29" t="str">
        <f>IF(OR($B36="",$A36&lt;=70),"",--MID('Key Analysis'!$C32,$A36-70,1))</f>
        <v/>
      </c>
      <c r="BV36" s="29" t="str">
        <f>IF(OR($B36="",$A36&lt;=71),"",--MID('Key Analysis'!$C32,$A36-71,1))</f>
        <v/>
      </c>
      <c r="BW36" s="29" t="str">
        <f>IF(OR($B36="",$A36&lt;=72),"",--MID('Key Analysis'!$C32,$A36-72,1))</f>
        <v/>
      </c>
      <c r="BX36" s="29" t="str">
        <f>IF(OR($B36="",$A36&lt;=73),"",--MID('Key Analysis'!$C32,$A36-73,1))</f>
        <v/>
      </c>
      <c r="BY36" s="29" t="str">
        <f>IF(OR($B36="",$A36&lt;=74),"",--MID('Key Analysis'!$C32,$A36-74,1))</f>
        <v/>
      </c>
      <c r="BZ36" s="29" t="str">
        <f>IF(OR($B36="",$A36&lt;=75),"",--MID('Key Analysis'!$C32,$A36-75,1))</f>
        <v/>
      </c>
      <c r="CA36" s="29" t="str">
        <f>IF(OR($B36="",$A36&lt;=76),"",--MID('Key Analysis'!$C32,$A36-76,1))</f>
        <v/>
      </c>
      <c r="CB36" s="29" t="str">
        <f>IF(OR($B36="",$A36&lt;=77),"",--MID('Key Analysis'!$C32,$A36-77,1))</f>
        <v/>
      </c>
      <c r="CC36" s="29" t="str">
        <f>IF(OR($B36="",$A36&lt;=78),"",--MID('Key Analysis'!$C32,$A36-78,1))</f>
        <v/>
      </c>
      <c r="CD36" s="29" t="str">
        <f>IF(OR($B36="",$A36&lt;=79),"",--MID('Key Analysis'!$C32,$A36-79,1))</f>
        <v/>
      </c>
      <c r="CE36" s="29" t="str">
        <f>IF(OR($B36="",$A36&lt;=80),"",--MID('Key Analysis'!$C32,$A36-80,1))</f>
        <v/>
      </c>
      <c r="CF36" s="29" t="str">
        <f>IF(OR($B36="",$A36&lt;=81),"",--MID('Key Analysis'!$C32,$A36-81,1))</f>
        <v/>
      </c>
      <c r="CG36" s="29" t="str">
        <f>IF(OR($B36="",$A36&lt;=82),"",--MID('Key Analysis'!$C32,$A36-82,1))</f>
        <v/>
      </c>
      <c r="CH36" s="29" t="str">
        <f>IF(OR($B36="",$A36&lt;=83),"",--MID('Key Analysis'!$C32,$A36-83,1))</f>
        <v/>
      </c>
      <c r="CI36" s="29" t="str">
        <f>IF(OR($B36="",$A36&lt;=84),"",--MID('Key Analysis'!$C32,$A36-84,1))</f>
        <v/>
      </c>
      <c r="CJ36" s="29" t="str">
        <f>IF(OR($B36="",$A36&lt;=85),"",--MID('Key Analysis'!$C32,$A36-85,1))</f>
        <v/>
      </c>
      <c r="CK36" s="29" t="str">
        <f>IF(OR($B36="",$A36&lt;=86),"",--MID('Key Analysis'!$C32,$A36-86,1))</f>
        <v/>
      </c>
      <c r="CL36" s="29" t="str">
        <f>IF(OR($B36="",$A36&lt;=87),"",--MID('Key Analysis'!$C32,$A36-87,1))</f>
        <v/>
      </c>
      <c r="CM36" s="29" t="str">
        <f>IF(OR($B36="",$A36&lt;=88),"",--MID('Key Analysis'!$C32,$A36-88,1))</f>
        <v/>
      </c>
      <c r="CN36" s="29" t="str">
        <f>IF(OR($B36="",$A36&lt;=89),"",--MID('Key Analysis'!$C32,$A36-89,1))</f>
        <v/>
      </c>
      <c r="CO36" s="29" t="str">
        <f>IF(OR($B36="",$A36&lt;=90),"",--MID('Key Analysis'!$C32,$A36-90,1))</f>
        <v/>
      </c>
      <c r="CP36" s="29" t="str">
        <f>IF(OR($B36="",$A36&lt;=91),"",--MID('Key Analysis'!$C32,$A36-91,1))</f>
        <v/>
      </c>
      <c r="CQ36" s="29" t="str">
        <f>IF(OR($B36="",$A36&lt;=92),"",--MID('Key Analysis'!$C32,$A36-92,1))</f>
        <v/>
      </c>
      <c r="CR36" s="29" t="str">
        <f>IF(OR($B36="",$A36&lt;=93),"",--MID('Key Analysis'!$C32,$A36-93,1))</f>
        <v/>
      </c>
      <c r="CS36" s="29" t="str">
        <f>IF(OR($B36="",$A36&lt;=94),"",--MID('Key Analysis'!$C32,$A36-94,1))</f>
        <v/>
      </c>
      <c r="CT36" s="29" t="str">
        <f>IF(OR($B36="",$A36&lt;=95),"",--MID('Key Analysis'!$C32,$A36-95,1))</f>
        <v/>
      </c>
      <c r="CU36" s="29" t="str">
        <f>IF(OR($B36="",$A36&lt;=96),"",--MID('Key Analysis'!$C32,$A36-96,1))</f>
        <v/>
      </c>
      <c r="CV36" s="29" t="str">
        <f>IF(OR($B36="",$A36&lt;=97),"",--MID('Key Analysis'!$C32,$A36-97,1))</f>
        <v/>
      </c>
      <c r="CW36" s="29" t="str">
        <f>IF(OR($B36="",$A36&lt;=98),"",--MID('Key Analysis'!$C32,$A36-98,1))</f>
        <v/>
      </c>
      <c r="CX36" s="29" t="str">
        <f>IF(OR($B36="",$A36&lt;=99),"",--MID('Key Analysis'!$C32,$A36-99,1))</f>
        <v/>
      </c>
      <c r="CY36" s="29" t="str">
        <f>IF(OR($B36="",$A36&lt;=100),"",--MID('Key Analysis'!$C32,$A36-100,1))</f>
        <v/>
      </c>
      <c r="CZ36" s="29" t="str">
        <f>IF(OR($B36="",$A36&lt;=101),"",--MID('Key Analysis'!$C32,$A36-101,1))</f>
        <v/>
      </c>
      <c r="DA36" s="29" t="str">
        <f>IF(OR($B36="",$A36&lt;=102),"",--MID('Key Analysis'!$C32,$A36-102,1))</f>
        <v/>
      </c>
      <c r="DB36" s="29" t="str">
        <f>IF(OR($B36="",$A36&lt;=103),"",--MID('Key Analysis'!$C32,$A36-103,1))</f>
        <v/>
      </c>
      <c r="DC36" s="29" t="str">
        <f>IF(OR($B36="",$A36&lt;=104),"",--MID('Key Analysis'!$C32,$A36-104,1))</f>
        <v/>
      </c>
      <c r="DD36" s="29" t="str">
        <f>IF(OR($B36="",$A36&lt;=105),"",--MID('Key Analysis'!$C32,$A36-105,1))</f>
        <v/>
      </c>
      <c r="DE36" s="29" t="str">
        <f>IF(OR($B36="",$A36&lt;=106),"",--MID('Key Analysis'!$C32,$A36-106,1))</f>
        <v/>
      </c>
      <c r="DF36" s="29" t="str">
        <f>IF(OR($B36="",$A36&lt;=107),"",--MID('Key Analysis'!$C32,$A36-107,1))</f>
        <v/>
      </c>
      <c r="DG36" s="29" t="str">
        <f>IF(OR($B36="",$A36&lt;=108),"",--MID('Key Analysis'!$C32,$A36-108,1))</f>
        <v/>
      </c>
      <c r="DH36" s="29" t="str">
        <f>IF(OR($B36="",$A36&lt;=109),"",--MID('Key Analysis'!$C32,$A36-109,1))</f>
        <v/>
      </c>
      <c r="DI36" s="29" t="str">
        <f>IF(OR($B36="",$A36&lt;=110),"",--MID('Key Analysis'!$C32,$A36-110,1))</f>
        <v/>
      </c>
      <c r="DJ36" s="29" t="str">
        <f>IF(OR($B36="",$A36&lt;=111),"",--MID('Key Analysis'!$C32,$A36-111,1))</f>
        <v/>
      </c>
      <c r="DK36" s="29" t="str">
        <f>IF(OR($B36="",$A36&lt;=112),"",--MID('Key Analysis'!$C32,$A36-112,1))</f>
        <v/>
      </c>
      <c r="DL36" s="29" t="str">
        <f>IF(OR($B36="",$A36&lt;=113),"",--MID('Key Analysis'!$C32,$A36-113,1))</f>
        <v/>
      </c>
      <c r="DM36" s="29" t="str">
        <f>IF(OR($B36="",$A36&lt;=114),"",--MID('Key Analysis'!$C32,$A36-114,1))</f>
        <v/>
      </c>
      <c r="DN36" s="29" t="str">
        <f>IF(OR($B36="",$A36&lt;=115),"",--MID('Key Analysis'!$C32,$A36-115,1))</f>
        <v/>
      </c>
      <c r="DO36" s="29" t="str">
        <f>IF(OR($B36="",$A36&lt;=116),"",--MID('Key Analysis'!$C32,$A36-116,1))</f>
        <v/>
      </c>
      <c r="DP36" s="29" t="str">
        <f>IF(OR($B36="",$A36&lt;=117),"",--MID('Key Analysis'!$C32,$A36-117,1))</f>
        <v/>
      </c>
      <c r="DQ36" s="29" t="str">
        <f>IF(OR($B36="",$A36&lt;=118),"",--MID('Key Analysis'!$C32,$A36-118,1))</f>
        <v/>
      </c>
      <c r="DR36" s="29" t="str">
        <f>IF(OR($B36="",$A36&lt;=119),"",--MID('Key Analysis'!$C32,$A36-119,1))</f>
        <v/>
      </c>
      <c r="DS36" s="29" t="str">
        <f>IF(OR($B36="",$A36&lt;=120),"",--MID('Key Analysis'!$C32,$A36-120,1))</f>
        <v/>
      </c>
      <c r="DT36" s="29" t="str">
        <f>IF(OR($B36="",$A36&lt;=121),"",--MID('Key Analysis'!$C32,$A36-121,1))</f>
        <v/>
      </c>
      <c r="DU36" s="29" t="str">
        <f>IF(OR($B36="",$A36&lt;=122),"",--MID('Key Analysis'!$C32,$A36-122,1))</f>
        <v/>
      </c>
      <c r="DV36" s="29" t="str">
        <f>IF(OR($B36="",$A36&lt;=123),"",--MID('Key Analysis'!$C32,$A36-123,1))</f>
        <v/>
      </c>
      <c r="DW36" s="29" t="str">
        <f>IF(OR($B36="",$A36&lt;=124),"",--MID('Key Analysis'!$C32,$A36-124,1))</f>
        <v/>
      </c>
      <c r="DX36" s="29" t="str">
        <f>IF(OR($B36="",$A36&lt;=125),"",--MID('Key Analysis'!$C32,$A36-125,1))</f>
        <v/>
      </c>
      <c r="DY36" s="29" t="str">
        <f>IF(OR($B36="",$A36&lt;=126),"",--MID('Key Analysis'!$C32,$A36-126,1))</f>
        <v/>
      </c>
      <c r="DZ36" s="29" t="str">
        <f>IF(OR($B36="",$A36&lt;=127),"",--MID('Key Analysis'!$C32,$A36-127,1))</f>
        <v/>
      </c>
      <c r="EA36" s="29" t="str">
        <f>IF(OR($B36="",$A36&lt;=128),"",--MID('Key Analysis'!$C32,$A36-128,1))</f>
        <v/>
      </c>
      <c r="EB36" s="29" t="str">
        <f>IF(OR($B36="",$A36&lt;=129),"",--MID('Key Analysis'!$C32,$A36-129,1))</f>
        <v/>
      </c>
      <c r="EC36" s="29" t="str">
        <f>IF(OR($B36="",$A36&lt;=130),"",--MID('Key Analysis'!$C32,$A36-130,1))</f>
        <v/>
      </c>
      <c r="ED36" s="29" t="str">
        <f>IF(OR($B36="",$A36&lt;=131),"",--MID('Key Analysis'!$C32,$A36-131,1))</f>
        <v/>
      </c>
      <c r="EE36" s="29" t="str">
        <f>IF(OR($B36="",$A36&lt;=132),"",--MID('Key Analysis'!$C32,$A36-132,1))</f>
        <v/>
      </c>
      <c r="EF36" s="29" t="str">
        <f>IF(OR($B36="",$A36&lt;=133),"",--MID('Key Analysis'!$C32,$A36-133,1))</f>
        <v/>
      </c>
      <c r="EG36" s="29" t="str">
        <f>IF(OR($B36="",$A36&lt;=134),"",--MID('Key Analysis'!$C32,$A36-134,1))</f>
        <v/>
      </c>
      <c r="EH36" s="29"/>
      <c r="EI36" s="29">
        <f>IF(OR($B36="",$A36&lt;1),"",--MID('Key Analysis'!$C32,1,1))</f>
        <v>1</v>
      </c>
      <c r="EJ36" s="29">
        <f>IF(OR($B36="",$A36&lt;2),"",--MID('Key Analysis'!$C32,2,1))</f>
        <v>1</v>
      </c>
      <c r="EK36" s="29">
        <f>IF(OR($B36="",$A36&lt;3),"",--MID('Key Analysis'!$C32,3,1))</f>
        <v>1</v>
      </c>
      <c r="EL36" s="29">
        <f>IF(OR($B36="",$A36&lt;4),"",--MID('Key Analysis'!$C32,4,1))</f>
        <v>1</v>
      </c>
      <c r="EM36" s="29">
        <f>IF(OR($B36="",$A36&lt;5),"",--MID('Key Analysis'!$C32,5,1))</f>
        <v>1</v>
      </c>
      <c r="EN36" s="29">
        <f>IF(OR($B36="",$A36&lt;6),"",--MID('Key Analysis'!$C32,6,1))</f>
        <v>0</v>
      </c>
      <c r="EO36" s="29">
        <f>IF(OR($B36="",$A36&lt;7),"",--MID('Key Analysis'!$C32,7,1))</f>
        <v>1</v>
      </c>
      <c r="EP36" s="29">
        <f>IF(OR($B36="",$A36&lt;8),"",--MID('Key Analysis'!$C32,8,1))</f>
        <v>0</v>
      </c>
      <c r="EQ36" s="29">
        <f>IF(OR($B36="",$A36&lt;9),"",--MID('Key Analysis'!$C32,9,1))</f>
        <v>1</v>
      </c>
      <c r="ER36" s="29">
        <f>IF(OR($B36="",$A36&lt;10),"",--MID('Key Analysis'!$C32,10,1))</f>
        <v>0</v>
      </c>
      <c r="ES36" s="29">
        <f>IF(OR($B36="",$A36&lt;11),"",--MID('Key Analysis'!$C32,11,1))</f>
        <v>0</v>
      </c>
      <c r="ET36" s="29">
        <f>IF(OR($B36="",$A36&lt;12),"",--MID('Key Analysis'!$C32,12,1))</f>
        <v>1</v>
      </c>
      <c r="EU36" s="29">
        <f>IF(OR($B36="",$A36&lt;13),"",--MID('Key Analysis'!$C32,13,1))</f>
        <v>1</v>
      </c>
      <c r="EV36" s="29">
        <f>IF(OR($B36="",$A36&lt;14),"",--MID('Key Analysis'!$C32,14,1))</f>
        <v>1</v>
      </c>
      <c r="EW36" s="29">
        <f>IF(OR($B36="",$A36&lt;15),"",--MID('Key Analysis'!$C32,15,1))</f>
        <v>1</v>
      </c>
      <c r="EX36" s="29">
        <f>IF(OR($B36="",$A36&lt;16),"",--MID('Key Analysis'!$C32,16,1))</f>
        <v>1</v>
      </c>
      <c r="EY36" s="29">
        <f>IF(OR($B36="",$A36&lt;17),"",--MID('Key Analysis'!$C32,17,1))</f>
        <v>1</v>
      </c>
      <c r="EZ36" s="29">
        <f>IF(OR($B36="",$A36&lt;18),"",--MID('Key Analysis'!$C32,18,1))</f>
        <v>1</v>
      </c>
      <c r="FA36" s="29">
        <f>IF(OR($B36="",$A36&lt;19),"",--MID('Key Analysis'!$C32,19,1))</f>
        <v>0</v>
      </c>
      <c r="FB36" s="29">
        <f>IF(OR($B36="",$A36&lt;20),"",--MID('Key Analysis'!$C32,20,1))</f>
        <v>0</v>
      </c>
      <c r="FC36" s="29">
        <f>IF(OR($B36="",$A36&lt;21),"",--MID('Key Analysis'!$C32,21,1))</f>
        <v>1</v>
      </c>
      <c r="FD36" s="29">
        <f>IF(OR($B36="",$A36&lt;22),"",--MID('Key Analysis'!$C32,22,1))</f>
        <v>1</v>
      </c>
      <c r="FE36" s="29">
        <f>IF(OR($B36="",$A36&lt;23),"",--MID('Key Analysis'!$C32,23,1))</f>
        <v>1</v>
      </c>
      <c r="FF36" s="29">
        <f>IF(OR($B36="",$A36&lt;24),"",--MID('Key Analysis'!$C32,24,1))</f>
        <v>0</v>
      </c>
      <c r="FG36" s="29">
        <f>IF(OR($B36="",$A36&lt;25),"",--MID('Key Analysis'!$C32,25,1))</f>
        <v>1</v>
      </c>
      <c r="FH36" s="29">
        <f>IF(OR($B36="",$A36&lt;26),"",--MID('Key Analysis'!$C32,26,1))</f>
        <v>0</v>
      </c>
      <c r="FI36" s="29">
        <f>IF(OR($B36="",$A36&lt;27),"",--MID('Key Analysis'!$C32,27,1))</f>
        <v>0</v>
      </c>
      <c r="FJ36" s="29">
        <f>IF(OR($B36="",$A36&lt;28),"",--MID('Key Analysis'!$C32,28,1))</f>
        <v>0</v>
      </c>
      <c r="FK36" s="29">
        <f>IF(OR($B36="",$A36&lt;29),"",--MID('Key Analysis'!$C32,29,1))</f>
        <v>1</v>
      </c>
      <c r="FL36" s="29">
        <f>IF(OR($B36="",$A36&lt;30),"",--MID('Key Analysis'!$C32,30,1))</f>
        <v>1</v>
      </c>
      <c r="FM36" s="29">
        <f>IF(OR($B36="",$A36&lt;31),"",--MID('Key Analysis'!$C32,31,1))</f>
        <v>1</v>
      </c>
      <c r="FN36" s="29" t="str">
        <f>IF(OR($B36="",$A36&lt;32),"",--MID('Key Analysis'!$C32,32,1))</f>
        <v/>
      </c>
      <c r="FO36" s="29" t="str">
        <f>IF(OR($B36="",$A36&lt;33),"",--MID('Key Analysis'!$C32,33,1))</f>
        <v/>
      </c>
      <c r="FP36" s="29" t="str">
        <f>IF(OR($B36="",$A36&lt;34),"",--MID('Key Analysis'!$C32,34,1))</f>
        <v/>
      </c>
      <c r="FQ36" s="29" t="str">
        <f>IF(OR($B36="",$A36&lt;35),"",--MID('Key Analysis'!$C32,35,1))</f>
        <v/>
      </c>
      <c r="FR36" s="29" t="str">
        <f>IF(OR($B36="",$A36&lt;36),"",--MID('Key Analysis'!$C32,36,1))</f>
        <v/>
      </c>
      <c r="FS36" s="29" t="str">
        <f>IF(OR($B36="",$A36&lt;37),"",--MID('Key Analysis'!$C32,37,1))</f>
        <v/>
      </c>
      <c r="FT36" s="29" t="str">
        <f>IF(OR($B36="",$A36&lt;38),"",--MID('Key Analysis'!$C32,38,1))</f>
        <v/>
      </c>
      <c r="FU36" s="29" t="str">
        <f>IF(OR($B36="",$A36&lt;39),"",--MID('Key Analysis'!$C32,39,1))</f>
        <v/>
      </c>
      <c r="FV36" s="29" t="str">
        <f>IF(OR($B36="",$A36&lt;40),"",--MID('Key Analysis'!$C32,40,1))</f>
        <v/>
      </c>
      <c r="FW36" s="29" t="str">
        <f>IF(OR($B36="",$A36&lt;41),"",--MID('Key Analysis'!$C32,41,1))</f>
        <v/>
      </c>
      <c r="FX36" s="29" t="str">
        <f>IF(OR($B36="",$A36&lt;42),"",--MID('Key Analysis'!$C32,42,1))</f>
        <v/>
      </c>
      <c r="FY36" s="29" t="str">
        <f>IF(OR($B36="",$A36&lt;43),"",--MID('Key Analysis'!$C32,43,1))</f>
        <v/>
      </c>
      <c r="FZ36" s="29" t="str">
        <f>IF(OR($B36="",$A36&lt;44),"",--MID('Key Analysis'!$C32,44,1))</f>
        <v/>
      </c>
      <c r="GA36" s="29" t="str">
        <f>IF(OR($B36="",$A36&lt;45),"",--MID('Key Analysis'!$C32,45,1))</f>
        <v/>
      </c>
      <c r="GB36" s="29" t="str">
        <f>IF(OR($B36="",$A36&lt;46),"",--MID('Key Analysis'!$C32,46,1))</f>
        <v/>
      </c>
      <c r="GC36" s="29" t="str">
        <f>IF(OR($B36="",$A36&lt;47),"",--MID('Key Analysis'!$C32,47,1))</f>
        <v/>
      </c>
      <c r="GD36" s="29" t="str">
        <f>IF(OR($B36="",$A36&lt;48),"",--MID('Key Analysis'!$C32,48,1))</f>
        <v/>
      </c>
      <c r="GE36" s="29" t="str">
        <f>IF(OR($B36="",$A36&lt;49),"",--MID('Key Analysis'!$C32,49,1))</f>
        <v/>
      </c>
      <c r="GF36" s="29" t="str">
        <f>IF(OR($B36="",$A36&lt;50),"",--MID('Key Analysis'!$C32,50,1))</f>
        <v/>
      </c>
      <c r="GG36" s="29" t="str">
        <f>IF(OR($B36="",$A36&lt;51),"",--MID('Key Analysis'!$C32,51,1))</f>
        <v/>
      </c>
      <c r="GH36" s="29" t="str">
        <f>IF(OR($B36="",$A36&lt;52),"",--MID('Key Analysis'!$C32,52,1))</f>
        <v/>
      </c>
      <c r="GI36" s="29" t="str">
        <f>IF(OR($B36="",$A36&lt;53),"",--MID('Key Analysis'!$C32,53,1))</f>
        <v/>
      </c>
      <c r="GJ36" s="29" t="str">
        <f>IF(OR($B36="",$A36&lt;54),"",--MID('Key Analysis'!$C32,54,1))</f>
        <v/>
      </c>
      <c r="GK36" s="29" t="str">
        <f>IF(OR($B36="",$A36&lt;55),"",--MID('Key Analysis'!$C32,55,1))</f>
        <v/>
      </c>
      <c r="GL36" s="29" t="str">
        <f>IF(OR($B36="",$A36&lt;56),"",--MID('Key Analysis'!$C32,56,1))</f>
        <v/>
      </c>
      <c r="GM36" s="29" t="str">
        <f>IF(OR($B36="",$A36&lt;57),"",--MID('Key Analysis'!$C32,57,1))</f>
        <v/>
      </c>
      <c r="GN36" s="29" t="str">
        <f>IF(OR($B36="",$A36&lt;58),"",--MID('Key Analysis'!$C32,58,1))</f>
        <v/>
      </c>
      <c r="GO36" s="29" t="str">
        <f>IF(OR($B36="",$A36&lt;59),"",--MID('Key Analysis'!$C32,59,1))</f>
        <v/>
      </c>
      <c r="GP36" s="29" t="str">
        <f>IF(OR($B36="",$A36&lt;60),"",--MID('Key Analysis'!$C32,60,1))</f>
        <v/>
      </c>
      <c r="GQ36" s="29" t="str">
        <f>IF(OR($B36="",$A36&lt;61),"",--MID('Key Analysis'!$C32,61,1))</f>
        <v/>
      </c>
      <c r="GR36" s="29" t="str">
        <f>IF(OR($B36="",$A36&lt;62),"",--MID('Key Analysis'!$C32,62,1))</f>
        <v/>
      </c>
      <c r="GS36" s="29" t="str">
        <f>IF(OR($B36="",$A36&lt;63),"",--MID('Key Analysis'!$C32,63,1))</f>
        <v/>
      </c>
      <c r="GT36" s="29" t="str">
        <f>IF(OR($B36="",$A36&lt;64),"",--MID('Key Analysis'!$C32,64,1))</f>
        <v/>
      </c>
      <c r="GU36" s="29" t="str">
        <f>IF(OR($B36="",$A36&lt;65),"",--MID('Key Analysis'!$C32,65,1))</f>
        <v/>
      </c>
      <c r="GV36" s="29" t="str">
        <f>IF(OR($B36="",$A36&lt;66),"",--MID('Key Analysis'!$C32,66,1))</f>
        <v/>
      </c>
      <c r="GW36" s="29" t="str">
        <f>IF(OR($B36="",$A36&lt;67),"",--MID('Key Analysis'!$C32,67,1))</f>
        <v/>
      </c>
      <c r="GX36" s="29" t="str">
        <f>IF(OR($B36="",$A36&lt;68),"",--MID('Key Analysis'!$C32,68,1))</f>
        <v/>
      </c>
      <c r="GY36" s="29" t="str">
        <f>IF(OR($B36="",$A36&lt;69),"",--MID('Key Analysis'!$C32,69,1))</f>
        <v/>
      </c>
      <c r="GZ36" s="29" t="str">
        <f>IF(OR($B36="",$A36&lt;70),"",--MID('Key Analysis'!$C32,70,1))</f>
        <v/>
      </c>
      <c r="HA36" s="29" t="str">
        <f>IF(OR($B36="",$A36&lt;71),"",--MID('Key Analysis'!$C32,71,1))</f>
        <v/>
      </c>
      <c r="HB36" s="29" t="str">
        <f>IF(OR($B36="",$A36&lt;72),"",--MID('Key Analysis'!$C32,72,1))</f>
        <v/>
      </c>
      <c r="HC36" s="29" t="str">
        <f>IF(OR($B36="",$A36&lt;73),"",--MID('Key Analysis'!$C32,73,1))</f>
        <v/>
      </c>
      <c r="HD36" s="29" t="str">
        <f>IF(OR($B36="",$A36&lt;74),"",--MID('Key Analysis'!$C32,74,1))</f>
        <v/>
      </c>
      <c r="HE36" s="29" t="str">
        <f>IF(OR($B36="",$A36&lt;75),"",--MID('Key Analysis'!$C32,75,1))</f>
        <v/>
      </c>
      <c r="HF36" s="29" t="str">
        <f>IF(OR($B36="",$A36&lt;76),"",--MID('Key Analysis'!$C32,76,1))</f>
        <v/>
      </c>
      <c r="HG36" s="29" t="str">
        <f>IF(OR($B36="",$A36&lt;77),"",--MID('Key Analysis'!$C32,77,1))</f>
        <v/>
      </c>
      <c r="HH36" s="29" t="str">
        <f>IF(OR($B36="",$A36&lt;78),"",--MID('Key Analysis'!$C32,78,1))</f>
        <v/>
      </c>
      <c r="HI36" s="29" t="str">
        <f>IF(OR($B36="",$A36&lt;79),"",--MID('Key Analysis'!$C32,79,1))</f>
        <v/>
      </c>
      <c r="HJ36" s="29" t="str">
        <f>IF(OR($B36="",$A36&lt;80),"",--MID('Key Analysis'!$C32,80,1))</f>
        <v/>
      </c>
      <c r="HK36" s="29" t="str">
        <f>IF(OR($B36="",$A36&lt;81),"",--MID('Key Analysis'!$C32,81,1))</f>
        <v/>
      </c>
      <c r="HL36" s="29" t="str">
        <f>IF(OR($B36="",$A36&lt;82),"",--MID('Key Analysis'!$C32,82,1))</f>
        <v/>
      </c>
      <c r="HM36" s="29" t="str">
        <f>IF(OR($B36="",$A36&lt;83),"",--MID('Key Analysis'!$C32,83,1))</f>
        <v/>
      </c>
      <c r="HN36" s="29" t="str">
        <f>IF(OR($B36="",$A36&lt;84),"",--MID('Key Analysis'!$C32,84,1))</f>
        <v/>
      </c>
      <c r="HO36" s="29" t="str">
        <f>IF(OR($B36="",$A36&lt;85),"",--MID('Key Analysis'!$C32,85,1))</f>
        <v/>
      </c>
      <c r="HP36" s="29" t="str">
        <f>IF(OR($B36="",$A36&lt;86),"",--MID('Key Analysis'!$C32,86,1))</f>
        <v/>
      </c>
      <c r="HQ36" s="29" t="str">
        <f>IF(OR($B36="",$A36&lt;87),"",--MID('Key Analysis'!$C32,87,1))</f>
        <v/>
      </c>
      <c r="HR36" s="29" t="str">
        <f>IF(OR($B36="",$A36&lt;88),"",--MID('Key Analysis'!$C32,88,1))</f>
        <v/>
      </c>
      <c r="HS36" s="29" t="str">
        <f>IF(OR($B36="",$A36&lt;89),"",--MID('Key Analysis'!$C32,89,1))</f>
        <v/>
      </c>
      <c r="HT36" s="29" t="str">
        <f>IF(OR($B36="",$A36&lt;90),"",--MID('Key Analysis'!$C32,90,1))</f>
        <v/>
      </c>
      <c r="HU36" s="29" t="str">
        <f>IF(OR($B36="",$A36&lt;91),"",--MID('Key Analysis'!$C32,91,1))</f>
        <v/>
      </c>
      <c r="HV36" s="29" t="str">
        <f>IF(OR($B36="",$A36&lt;92),"",--MID('Key Analysis'!$C32,92,1))</f>
        <v/>
      </c>
      <c r="HW36" s="29" t="str">
        <f>IF(OR($B36="",$A36&lt;93),"",--MID('Key Analysis'!$C32,93,1))</f>
        <v/>
      </c>
      <c r="HX36" s="29" t="str">
        <f>IF(OR($B36="",$A36&lt;94),"",--MID('Key Analysis'!$C32,94,1))</f>
        <v/>
      </c>
      <c r="HY36" s="29" t="str">
        <f>IF(OR($B36="",$A36&lt;95),"",--MID('Key Analysis'!$C32,95,1))</f>
        <v/>
      </c>
      <c r="HZ36" s="29" t="str">
        <f>IF(OR($B36="",$A36&lt;96),"",--MID('Key Analysis'!$C32,96,1))</f>
        <v/>
      </c>
      <c r="IA36" s="29" t="str">
        <f>IF(OR($B36="",$A36&lt;97),"",--MID('Key Analysis'!$C32,97,1))</f>
        <v/>
      </c>
      <c r="IB36" s="29" t="str">
        <f>IF(OR($B36="",$A36&lt;98),"",--MID('Key Analysis'!$C32,98,1))</f>
        <v/>
      </c>
      <c r="IC36" s="29" t="str">
        <f>IF(OR($B36="",$A36&lt;99),"",--MID('Key Analysis'!$C32,99,1))</f>
        <v/>
      </c>
      <c r="ID36" s="29" t="str">
        <f>IF(OR($B36="",$A36&lt;100),"",--MID('Key Analysis'!$C32,100,1))</f>
        <v/>
      </c>
      <c r="IE36" s="29" t="str">
        <f>IF(OR($B36="",$A36&lt;101),"",--MID('Key Analysis'!$C32,101,1))</f>
        <v/>
      </c>
      <c r="IF36" s="29" t="str">
        <f>IF(OR($B36="",$A36&lt;102),"",--MID('Key Analysis'!$C32,102,1))</f>
        <v/>
      </c>
      <c r="IG36" s="29" t="str">
        <f>IF(OR($B36="",$A36&lt;103),"",--MID('Key Analysis'!$C32,103,1))</f>
        <v/>
      </c>
      <c r="IH36" s="29" t="str">
        <f>IF(OR($B36="",$A36&lt;104),"",--MID('Key Analysis'!$C32,104,1))</f>
        <v/>
      </c>
      <c r="II36" s="29" t="str">
        <f>IF(OR($B36="",$A36&lt;105),"",--MID('Key Analysis'!$C32,105,1))</f>
        <v/>
      </c>
      <c r="IJ36" s="29" t="str">
        <f>IF(OR($B36="",$A36&lt;106),"",--MID('Key Analysis'!$C32,106,1))</f>
        <v/>
      </c>
      <c r="IK36" s="29" t="str">
        <f>IF(OR($B36="",$A36&lt;107),"",--MID('Key Analysis'!$C32,107,1))</f>
        <v/>
      </c>
      <c r="IL36" s="29" t="str">
        <f>IF(OR($B36="",$A36&lt;108),"",--MID('Key Analysis'!$C32,108,1))</f>
        <v/>
      </c>
      <c r="IM36" s="29" t="str">
        <f>IF(OR($B36="",$A36&lt;109),"",--MID('Key Analysis'!$C32,109,1))</f>
        <v/>
      </c>
      <c r="IN36" s="29" t="str">
        <f>IF(OR($B36="",$A36&lt;110),"",--MID('Key Analysis'!$C32,110,1))</f>
        <v/>
      </c>
      <c r="IO36" s="29" t="str">
        <f>IF(OR($B36="",$A36&lt;111),"",--MID('Key Analysis'!$C32,111,1))</f>
        <v/>
      </c>
      <c r="IP36" s="29" t="str">
        <f>IF(OR($B36="",$A36&lt;112),"",--MID('Key Analysis'!$C32,112,1))</f>
        <v/>
      </c>
      <c r="IQ36" s="29" t="str">
        <f>IF(OR($B36="",$A36&lt;113),"",--MID('Key Analysis'!$C32,113,1))</f>
        <v/>
      </c>
      <c r="IR36" s="29" t="str">
        <f>IF(OR($B36="",$A36&lt;114),"",--MID('Key Analysis'!$C32,114,1))</f>
        <v/>
      </c>
      <c r="IS36" s="29" t="str">
        <f>IF(OR($B36="",$A36&lt;115),"",--MID('Key Analysis'!$C32,115,1))</f>
        <v/>
      </c>
      <c r="IT36" s="29" t="str">
        <f>IF(OR($B36="",$A36&lt;116),"",--MID('Key Analysis'!$C32,116,1))</f>
        <v/>
      </c>
      <c r="IU36" s="29" t="str">
        <f>IF(OR($B36="",$A36&lt;117),"",--MID('Key Analysis'!$C32,117,1))</f>
        <v/>
      </c>
      <c r="IV36" s="29" t="str">
        <f>IF(OR($B36="",$A36&lt;118),"",--MID('Key Analysis'!$C32,118,1))</f>
        <v/>
      </c>
      <c r="IW36" s="29" t="str">
        <f>IF(OR($B36="",$A36&lt;119),"",--MID('Key Analysis'!$C32,119,1))</f>
        <v/>
      </c>
      <c r="IX36" s="29" t="str">
        <f>IF(OR($B36="",$A36&lt;120),"",--MID('Key Analysis'!$C32,120,1))</f>
        <v/>
      </c>
      <c r="IY36" s="29" t="str">
        <f>IF(OR($B36="",$A36&lt;121),"",--MID('Key Analysis'!$C32,121,1))</f>
        <v/>
      </c>
      <c r="IZ36" s="29" t="str">
        <f>IF(OR($B36="",$A36&lt;122),"",--MID('Key Analysis'!$C32,122,1))</f>
        <v/>
      </c>
      <c r="JA36" s="29" t="str">
        <f>IF(OR($B36="",$A36&lt;123),"",--MID('Key Analysis'!$C32,123,1))</f>
        <v/>
      </c>
      <c r="JB36" s="29" t="str">
        <f>IF(OR($B36="",$A36&lt;124),"",--MID('Key Analysis'!$C32,124,1))</f>
        <v/>
      </c>
      <c r="JC36" s="29" t="str">
        <f>IF(OR($B36="",$A36&lt;125),"",--MID('Key Analysis'!$C32,125,1))</f>
        <v/>
      </c>
      <c r="JD36" s="29" t="str">
        <f>IF(OR($B36="",$A36&lt;126),"",--MID('Key Analysis'!$C32,126,1))</f>
        <v/>
      </c>
      <c r="JE36" s="29" t="str">
        <f>IF(OR($B36="",$A36&lt;127),"",--MID('Key Analysis'!$C32,127,1))</f>
        <v/>
      </c>
      <c r="JF36" s="29" t="str">
        <f>IF(OR($B36="",$A36&lt;128),"",--MID('Key Analysis'!$C32,128,1))</f>
        <v/>
      </c>
      <c r="JG36" s="29" t="str">
        <f>IF(OR($B36="",$A36&lt;129),"",--MID('Key Analysis'!$C32,129,1))</f>
        <v/>
      </c>
      <c r="JH36" s="29" t="str">
        <f>IF(OR($B36="",$A36&lt;130),"",--MID('Key Analysis'!$C32,130,1))</f>
        <v/>
      </c>
      <c r="JI36" s="29" t="str">
        <f>IF(OR($B36="",$A36&lt;131),"",--MID('Key Analysis'!$C32,131,1))</f>
        <v/>
      </c>
      <c r="JJ36" s="29" t="str">
        <f>IF(OR($B36="",$A36&lt;132),"",--MID('Key Analysis'!$C32,132,1))</f>
        <v/>
      </c>
      <c r="JK36" s="29" t="str">
        <f>IF(OR($B36="",$A36&lt;133),"",--MID('Key Analysis'!$C32,133,1))</f>
        <v/>
      </c>
      <c r="JL36" s="29" t="str">
        <f>IF(OR($B36="",$A36&lt;134),"",--MID('Key Analysis'!$C32,134,1))</f>
        <v/>
      </c>
      <c r="JM36" s="29" t="str">
        <f>IF(OR($B36="",$A36&lt;135),"",--MID('Key Analysis'!$C32,135,1))</f>
        <v/>
      </c>
    </row>
    <row r="37" spans="1:273" x14ac:dyDescent="0.25">
      <c r="A37" s="21">
        <f>'Key Analysis'!A33</f>
        <v>32</v>
      </c>
      <c r="B37" s="30" t="str">
        <f>'Key Analysis'!B33</f>
        <v>b862a62e</v>
      </c>
      <c r="C37" s="29">
        <f>IF(OR($B37="",$A37&lt;=0),"",--MID('Key Analysis'!$C33,$A37-0,1))</f>
        <v>0</v>
      </c>
      <c r="D37" s="29">
        <f>IF(OR($B37="",$A37&lt;=1),"",--MID('Key Analysis'!$C33,$A37-1,1))</f>
        <v>1</v>
      </c>
      <c r="E37" s="29">
        <f>IF(OR($B37="",$A37&lt;=2),"",--MID('Key Analysis'!$C33,$A37-2,1))</f>
        <v>1</v>
      </c>
      <c r="F37" s="29">
        <f>IF(OR($B37="",$A37&lt;=3),"",--MID('Key Analysis'!$C33,$A37-3,1))</f>
        <v>1</v>
      </c>
      <c r="G37" s="29">
        <f>IF(OR($B37="",$A37&lt;=4),"",--MID('Key Analysis'!$C33,$A37-4,1))</f>
        <v>0</v>
      </c>
      <c r="H37" s="29">
        <f>IF(OR($B37="",$A37&lt;=5),"",--MID('Key Analysis'!$C33,$A37-5,1))</f>
        <v>1</v>
      </c>
      <c r="I37" s="29">
        <f>IF(OR($B37="",$A37&lt;=6),"",--MID('Key Analysis'!$C33,$A37-6,1))</f>
        <v>0</v>
      </c>
      <c r="J37" s="29">
        <f>IF(OR($B37="",$A37&lt;=7),"",--MID('Key Analysis'!$C33,$A37-7,1))</f>
        <v>0</v>
      </c>
      <c r="K37" s="29">
        <f>IF(OR($B37="",$A37&lt;=8),"",--MID('Key Analysis'!$C33,$A37-8,1))</f>
        <v>0</v>
      </c>
      <c r="L37" s="29">
        <f>IF(OR($B37="",$A37&lt;=9),"",--MID('Key Analysis'!$C33,$A37-9,1))</f>
        <v>1</v>
      </c>
      <c r="M37" s="29">
        <f>IF(OR($B37="",$A37&lt;=10),"",--MID('Key Analysis'!$C33,$A37-10,1))</f>
        <v>1</v>
      </c>
      <c r="N37" s="29">
        <f>IF(OR($B37="",$A37&lt;=11),"",--MID('Key Analysis'!$C33,$A37-11,1))</f>
        <v>0</v>
      </c>
      <c r="O37" s="29">
        <f>IF(OR($B37="",$A37&lt;=12),"",--MID('Key Analysis'!$C33,$A37-12,1))</f>
        <v>0</v>
      </c>
      <c r="P37" s="29">
        <f>IF(OR($B37="",$A37&lt;=13),"",--MID('Key Analysis'!$C33,$A37-13,1))</f>
        <v>1</v>
      </c>
      <c r="Q37" s="29">
        <f>IF(OR($B37="",$A37&lt;=14),"",--MID('Key Analysis'!$C33,$A37-14,1))</f>
        <v>0</v>
      </c>
      <c r="R37" s="29">
        <f>IF(OR($B37="",$A37&lt;=15),"",--MID('Key Analysis'!$C33,$A37-15,1))</f>
        <v>1</v>
      </c>
      <c r="S37" s="29">
        <f>IF(OR($B37="",$A37&lt;=16),"",--MID('Key Analysis'!$C33,$A37-16,1))</f>
        <v>0</v>
      </c>
      <c r="T37" s="29">
        <f>IF(OR($B37="",$A37&lt;=17),"",--MID('Key Analysis'!$C33,$A37-17,1))</f>
        <v>1</v>
      </c>
      <c r="U37" s="29">
        <f>IF(OR($B37="",$A37&lt;=18),"",--MID('Key Analysis'!$C33,$A37-18,1))</f>
        <v>0</v>
      </c>
      <c r="V37" s="29">
        <f>IF(OR($B37="",$A37&lt;=19),"",--MID('Key Analysis'!$C33,$A37-19,1))</f>
        <v>0</v>
      </c>
      <c r="W37" s="29">
        <f>IF(OR($B37="",$A37&lt;=20),"",--MID('Key Analysis'!$C33,$A37-20,1))</f>
        <v>0</v>
      </c>
      <c r="X37" s="29">
        <f>IF(OR($B37="",$A37&lt;=21),"",--MID('Key Analysis'!$C33,$A37-21,1))</f>
        <v>1</v>
      </c>
      <c r="Y37" s="29">
        <f>IF(OR($B37="",$A37&lt;=22),"",--MID('Key Analysis'!$C33,$A37-22,1))</f>
        <v>1</v>
      </c>
      <c r="Z37" s="29">
        <f>IF(OR($B37="",$A37&lt;=23),"",--MID('Key Analysis'!$C33,$A37-23,1))</f>
        <v>0</v>
      </c>
      <c r="AA37" s="29">
        <f>IF(OR($B37="",$A37&lt;=24),"",--MID('Key Analysis'!$C33,$A37-24,1))</f>
        <v>0</v>
      </c>
      <c r="AB37" s="29">
        <f>IF(OR($B37="",$A37&lt;=25),"",--MID('Key Analysis'!$C33,$A37-25,1))</f>
        <v>0</v>
      </c>
      <c r="AC37" s="29">
        <f>IF(OR($B37="",$A37&lt;=26),"",--MID('Key Analysis'!$C33,$A37-26,1))</f>
        <v>0</v>
      </c>
      <c r="AD37" s="29">
        <f>IF(OR($B37="",$A37&lt;=27),"",--MID('Key Analysis'!$C33,$A37-27,1))</f>
        <v>1</v>
      </c>
      <c r="AE37" s="29">
        <f>IF(OR($B37="",$A37&lt;=28),"",--MID('Key Analysis'!$C33,$A37-28,1))</f>
        <v>1</v>
      </c>
      <c r="AF37" s="29">
        <f>IF(OR($B37="",$A37&lt;=29),"",--MID('Key Analysis'!$C33,$A37-29,1))</f>
        <v>1</v>
      </c>
      <c r="AG37" s="29">
        <f>IF(OR($B37="",$A37&lt;=30),"",--MID('Key Analysis'!$C33,$A37-30,1))</f>
        <v>0</v>
      </c>
      <c r="AH37" s="29">
        <f>IF(OR($B37="",$A37&lt;=31),"",--MID('Key Analysis'!$C33,$A37-31,1))</f>
        <v>1</v>
      </c>
      <c r="AI37" s="29" t="str">
        <f>IF(OR($B37="",$A37&lt;=32),"",--MID('Key Analysis'!$C33,$A37-32,1))</f>
        <v/>
      </c>
      <c r="AJ37" s="29" t="str">
        <f>IF(OR($B37="",$A37&lt;=33),"",--MID('Key Analysis'!$C33,$A37-33,1))</f>
        <v/>
      </c>
      <c r="AK37" s="29" t="str">
        <f>IF(OR($B37="",$A37&lt;=34),"",--MID('Key Analysis'!$C33,$A37-34,1))</f>
        <v/>
      </c>
      <c r="AL37" s="29" t="str">
        <f>IF(OR($B37="",$A37&lt;=35),"",--MID('Key Analysis'!$C33,$A37-35,1))</f>
        <v/>
      </c>
      <c r="AM37" s="29" t="str">
        <f>IF(OR($B37="",$A37&lt;=36),"",--MID('Key Analysis'!$C33,$A37-36,1))</f>
        <v/>
      </c>
      <c r="AN37" s="29" t="str">
        <f>IF(OR($B37="",$A37&lt;=37),"",--MID('Key Analysis'!$C33,$A37-37,1))</f>
        <v/>
      </c>
      <c r="AO37" s="29" t="str">
        <f>IF(OR($B37="",$A37&lt;=38),"",--MID('Key Analysis'!$C33,$A37-38,1))</f>
        <v/>
      </c>
      <c r="AP37" s="29" t="str">
        <f>IF(OR($B37="",$A37&lt;=39),"",--MID('Key Analysis'!$C33,$A37-39,1))</f>
        <v/>
      </c>
      <c r="AQ37" s="29" t="str">
        <f>IF(OR($B37="",$A37&lt;=40),"",--MID('Key Analysis'!$C33,$A37-40,1))</f>
        <v/>
      </c>
      <c r="AR37" s="29" t="str">
        <f>IF(OR($B37="",$A37&lt;=41),"",--MID('Key Analysis'!$C33,$A37-41,1))</f>
        <v/>
      </c>
      <c r="AS37" s="29" t="str">
        <f>IF(OR($B37="",$A37&lt;=42),"",--MID('Key Analysis'!$C33,$A37-42,1))</f>
        <v/>
      </c>
      <c r="AT37" s="29" t="str">
        <f>IF(OR($B37="",$A37&lt;=43),"",--MID('Key Analysis'!$C33,$A37-43,1))</f>
        <v/>
      </c>
      <c r="AU37" s="29" t="str">
        <f>IF(OR($B37="",$A37&lt;=44),"",--MID('Key Analysis'!$C33,$A37-44,1))</f>
        <v/>
      </c>
      <c r="AV37" s="29" t="str">
        <f>IF(OR($B37="",$A37&lt;=45),"",--MID('Key Analysis'!$C33,$A37-45,1))</f>
        <v/>
      </c>
      <c r="AW37" s="29" t="str">
        <f>IF(OR($B37="",$A37&lt;=46),"",--MID('Key Analysis'!$C33,$A37-46,1))</f>
        <v/>
      </c>
      <c r="AX37" s="29" t="str">
        <f>IF(OR($B37="",$A37&lt;=47),"",--MID('Key Analysis'!$C33,$A37-47,1))</f>
        <v/>
      </c>
      <c r="AY37" s="29" t="str">
        <f>IF(OR($B37="",$A37&lt;=48),"",--MID('Key Analysis'!$C33,$A37-48,1))</f>
        <v/>
      </c>
      <c r="AZ37" s="29" t="str">
        <f>IF(OR($B37="",$A37&lt;=49),"",--MID('Key Analysis'!$C33,$A37-49,1))</f>
        <v/>
      </c>
      <c r="BA37" s="29" t="str">
        <f>IF(OR($B37="",$A37&lt;=50),"",--MID('Key Analysis'!$C33,$A37-50,1))</f>
        <v/>
      </c>
      <c r="BB37" s="29" t="str">
        <f>IF(OR($B37="",$A37&lt;=51),"",--MID('Key Analysis'!$C33,$A37-51,1))</f>
        <v/>
      </c>
      <c r="BC37" s="29" t="str">
        <f>IF(OR($B37="",$A37&lt;=52),"",--MID('Key Analysis'!$C33,$A37-52,1))</f>
        <v/>
      </c>
      <c r="BD37" s="29" t="str">
        <f>IF(OR($B37="",$A37&lt;=53),"",--MID('Key Analysis'!$C33,$A37-53,1))</f>
        <v/>
      </c>
      <c r="BE37" s="29" t="str">
        <f>IF(OR($B37="",$A37&lt;=54),"",--MID('Key Analysis'!$C33,$A37-54,1))</f>
        <v/>
      </c>
      <c r="BF37" s="29" t="str">
        <f>IF(OR($B37="",$A37&lt;=55),"",--MID('Key Analysis'!$C33,$A37-55,1))</f>
        <v/>
      </c>
      <c r="BG37" s="29" t="str">
        <f>IF(OR($B37="",$A37&lt;=56),"",--MID('Key Analysis'!$C33,$A37-56,1))</f>
        <v/>
      </c>
      <c r="BH37" s="29" t="str">
        <f>IF(OR($B37="",$A37&lt;=57),"",--MID('Key Analysis'!$C33,$A37-57,1))</f>
        <v/>
      </c>
      <c r="BI37" s="29" t="str">
        <f>IF(OR($B37="",$A37&lt;=58),"",--MID('Key Analysis'!$C33,$A37-58,1))</f>
        <v/>
      </c>
      <c r="BJ37" s="29" t="str">
        <f>IF(OR($B37="",$A37&lt;=59),"",--MID('Key Analysis'!$C33,$A37-59,1))</f>
        <v/>
      </c>
      <c r="BK37" s="29" t="str">
        <f>IF(OR($B37="",$A37&lt;=60),"",--MID('Key Analysis'!$C33,$A37-60,1))</f>
        <v/>
      </c>
      <c r="BL37" s="29" t="str">
        <f>IF(OR($B37="",$A37&lt;=61),"",--MID('Key Analysis'!$C33,$A37-61,1))</f>
        <v/>
      </c>
      <c r="BM37" s="29" t="str">
        <f>IF(OR($B37="",$A37&lt;=62),"",--MID('Key Analysis'!$C33,$A37-62,1))</f>
        <v/>
      </c>
      <c r="BN37" s="29" t="str">
        <f>IF(OR($B37="",$A37&lt;=63),"",--MID('Key Analysis'!$C33,$A37-63,1))</f>
        <v/>
      </c>
      <c r="BO37" s="29" t="str">
        <f>IF(OR($B37="",$A37&lt;=64),"",--MID('Key Analysis'!$C33,$A37-64,1))</f>
        <v/>
      </c>
      <c r="BP37" s="29" t="str">
        <f>IF(OR($B37="",$A37&lt;=65),"",--MID('Key Analysis'!$C33,$A37-65,1))</f>
        <v/>
      </c>
      <c r="BQ37" s="29" t="str">
        <f>IF(OR($B37="",$A37&lt;=66),"",--MID('Key Analysis'!$C33,$A37-66,1))</f>
        <v/>
      </c>
      <c r="BR37" s="29" t="str">
        <f>IF(OR($B37="",$A37&lt;=67),"",--MID('Key Analysis'!$C33,$A37-67,1))</f>
        <v/>
      </c>
      <c r="BS37" s="29" t="str">
        <f>IF(OR($B37="",$A37&lt;=68),"",--MID('Key Analysis'!$C33,$A37-68,1))</f>
        <v/>
      </c>
      <c r="BT37" s="29" t="str">
        <f>IF(OR($B37="",$A37&lt;=69),"",--MID('Key Analysis'!$C33,$A37-69,1))</f>
        <v/>
      </c>
      <c r="BU37" s="29" t="str">
        <f>IF(OR($B37="",$A37&lt;=70),"",--MID('Key Analysis'!$C33,$A37-70,1))</f>
        <v/>
      </c>
      <c r="BV37" s="29" t="str">
        <f>IF(OR($B37="",$A37&lt;=71),"",--MID('Key Analysis'!$C33,$A37-71,1))</f>
        <v/>
      </c>
      <c r="BW37" s="29" t="str">
        <f>IF(OR($B37="",$A37&lt;=72),"",--MID('Key Analysis'!$C33,$A37-72,1))</f>
        <v/>
      </c>
      <c r="BX37" s="29" t="str">
        <f>IF(OR($B37="",$A37&lt;=73),"",--MID('Key Analysis'!$C33,$A37-73,1))</f>
        <v/>
      </c>
      <c r="BY37" s="29" t="str">
        <f>IF(OR($B37="",$A37&lt;=74),"",--MID('Key Analysis'!$C33,$A37-74,1))</f>
        <v/>
      </c>
      <c r="BZ37" s="29" t="str">
        <f>IF(OR($B37="",$A37&lt;=75),"",--MID('Key Analysis'!$C33,$A37-75,1))</f>
        <v/>
      </c>
      <c r="CA37" s="29" t="str">
        <f>IF(OR($B37="",$A37&lt;=76),"",--MID('Key Analysis'!$C33,$A37-76,1))</f>
        <v/>
      </c>
      <c r="CB37" s="29" t="str">
        <f>IF(OR($B37="",$A37&lt;=77),"",--MID('Key Analysis'!$C33,$A37-77,1))</f>
        <v/>
      </c>
      <c r="CC37" s="29" t="str">
        <f>IF(OR($B37="",$A37&lt;=78),"",--MID('Key Analysis'!$C33,$A37-78,1))</f>
        <v/>
      </c>
      <c r="CD37" s="29" t="str">
        <f>IF(OR($B37="",$A37&lt;=79),"",--MID('Key Analysis'!$C33,$A37-79,1))</f>
        <v/>
      </c>
      <c r="CE37" s="29" t="str">
        <f>IF(OR($B37="",$A37&lt;=80),"",--MID('Key Analysis'!$C33,$A37-80,1))</f>
        <v/>
      </c>
      <c r="CF37" s="29" t="str">
        <f>IF(OR($B37="",$A37&lt;=81),"",--MID('Key Analysis'!$C33,$A37-81,1))</f>
        <v/>
      </c>
      <c r="CG37" s="29" t="str">
        <f>IF(OR($B37="",$A37&lt;=82),"",--MID('Key Analysis'!$C33,$A37-82,1))</f>
        <v/>
      </c>
      <c r="CH37" s="29" t="str">
        <f>IF(OR($B37="",$A37&lt;=83),"",--MID('Key Analysis'!$C33,$A37-83,1))</f>
        <v/>
      </c>
      <c r="CI37" s="29" t="str">
        <f>IF(OR($B37="",$A37&lt;=84),"",--MID('Key Analysis'!$C33,$A37-84,1))</f>
        <v/>
      </c>
      <c r="CJ37" s="29" t="str">
        <f>IF(OR($B37="",$A37&lt;=85),"",--MID('Key Analysis'!$C33,$A37-85,1))</f>
        <v/>
      </c>
      <c r="CK37" s="29" t="str">
        <f>IF(OR($B37="",$A37&lt;=86),"",--MID('Key Analysis'!$C33,$A37-86,1))</f>
        <v/>
      </c>
      <c r="CL37" s="29" t="str">
        <f>IF(OR($B37="",$A37&lt;=87),"",--MID('Key Analysis'!$C33,$A37-87,1))</f>
        <v/>
      </c>
      <c r="CM37" s="29" t="str">
        <f>IF(OR($B37="",$A37&lt;=88),"",--MID('Key Analysis'!$C33,$A37-88,1))</f>
        <v/>
      </c>
      <c r="CN37" s="29" t="str">
        <f>IF(OR($B37="",$A37&lt;=89),"",--MID('Key Analysis'!$C33,$A37-89,1))</f>
        <v/>
      </c>
      <c r="CO37" s="29" t="str">
        <f>IF(OR($B37="",$A37&lt;=90),"",--MID('Key Analysis'!$C33,$A37-90,1))</f>
        <v/>
      </c>
      <c r="CP37" s="29" t="str">
        <f>IF(OR($B37="",$A37&lt;=91),"",--MID('Key Analysis'!$C33,$A37-91,1))</f>
        <v/>
      </c>
      <c r="CQ37" s="29" t="str">
        <f>IF(OR($B37="",$A37&lt;=92),"",--MID('Key Analysis'!$C33,$A37-92,1))</f>
        <v/>
      </c>
      <c r="CR37" s="29" t="str">
        <f>IF(OR($B37="",$A37&lt;=93),"",--MID('Key Analysis'!$C33,$A37-93,1))</f>
        <v/>
      </c>
      <c r="CS37" s="29" t="str">
        <f>IF(OR($B37="",$A37&lt;=94),"",--MID('Key Analysis'!$C33,$A37-94,1))</f>
        <v/>
      </c>
      <c r="CT37" s="29" t="str">
        <f>IF(OR($B37="",$A37&lt;=95),"",--MID('Key Analysis'!$C33,$A37-95,1))</f>
        <v/>
      </c>
      <c r="CU37" s="29" t="str">
        <f>IF(OR($B37="",$A37&lt;=96),"",--MID('Key Analysis'!$C33,$A37-96,1))</f>
        <v/>
      </c>
      <c r="CV37" s="29" t="str">
        <f>IF(OR($B37="",$A37&lt;=97),"",--MID('Key Analysis'!$C33,$A37-97,1))</f>
        <v/>
      </c>
      <c r="CW37" s="29" t="str">
        <f>IF(OR($B37="",$A37&lt;=98),"",--MID('Key Analysis'!$C33,$A37-98,1))</f>
        <v/>
      </c>
      <c r="CX37" s="29" t="str">
        <f>IF(OR($B37="",$A37&lt;=99),"",--MID('Key Analysis'!$C33,$A37-99,1))</f>
        <v/>
      </c>
      <c r="CY37" s="29" t="str">
        <f>IF(OR($B37="",$A37&lt;=100),"",--MID('Key Analysis'!$C33,$A37-100,1))</f>
        <v/>
      </c>
      <c r="CZ37" s="29" t="str">
        <f>IF(OR($B37="",$A37&lt;=101),"",--MID('Key Analysis'!$C33,$A37-101,1))</f>
        <v/>
      </c>
      <c r="DA37" s="29" t="str">
        <f>IF(OR($B37="",$A37&lt;=102),"",--MID('Key Analysis'!$C33,$A37-102,1))</f>
        <v/>
      </c>
      <c r="DB37" s="29" t="str">
        <f>IF(OR($B37="",$A37&lt;=103),"",--MID('Key Analysis'!$C33,$A37-103,1))</f>
        <v/>
      </c>
      <c r="DC37" s="29" t="str">
        <f>IF(OR($B37="",$A37&lt;=104),"",--MID('Key Analysis'!$C33,$A37-104,1))</f>
        <v/>
      </c>
      <c r="DD37" s="29" t="str">
        <f>IF(OR($B37="",$A37&lt;=105),"",--MID('Key Analysis'!$C33,$A37-105,1))</f>
        <v/>
      </c>
      <c r="DE37" s="29" t="str">
        <f>IF(OR($B37="",$A37&lt;=106),"",--MID('Key Analysis'!$C33,$A37-106,1))</f>
        <v/>
      </c>
      <c r="DF37" s="29" t="str">
        <f>IF(OR($B37="",$A37&lt;=107),"",--MID('Key Analysis'!$C33,$A37-107,1))</f>
        <v/>
      </c>
      <c r="DG37" s="29" t="str">
        <f>IF(OR($B37="",$A37&lt;=108),"",--MID('Key Analysis'!$C33,$A37-108,1))</f>
        <v/>
      </c>
      <c r="DH37" s="29" t="str">
        <f>IF(OR($B37="",$A37&lt;=109),"",--MID('Key Analysis'!$C33,$A37-109,1))</f>
        <v/>
      </c>
      <c r="DI37" s="29" t="str">
        <f>IF(OR($B37="",$A37&lt;=110),"",--MID('Key Analysis'!$C33,$A37-110,1))</f>
        <v/>
      </c>
      <c r="DJ37" s="29" t="str">
        <f>IF(OR($B37="",$A37&lt;=111),"",--MID('Key Analysis'!$C33,$A37-111,1))</f>
        <v/>
      </c>
      <c r="DK37" s="29" t="str">
        <f>IF(OR($B37="",$A37&lt;=112),"",--MID('Key Analysis'!$C33,$A37-112,1))</f>
        <v/>
      </c>
      <c r="DL37" s="29" t="str">
        <f>IF(OR($B37="",$A37&lt;=113),"",--MID('Key Analysis'!$C33,$A37-113,1))</f>
        <v/>
      </c>
      <c r="DM37" s="29" t="str">
        <f>IF(OR($B37="",$A37&lt;=114),"",--MID('Key Analysis'!$C33,$A37-114,1))</f>
        <v/>
      </c>
      <c r="DN37" s="29" t="str">
        <f>IF(OR($B37="",$A37&lt;=115),"",--MID('Key Analysis'!$C33,$A37-115,1))</f>
        <v/>
      </c>
      <c r="DO37" s="29" t="str">
        <f>IF(OR($B37="",$A37&lt;=116),"",--MID('Key Analysis'!$C33,$A37-116,1))</f>
        <v/>
      </c>
      <c r="DP37" s="29" t="str">
        <f>IF(OR($B37="",$A37&lt;=117),"",--MID('Key Analysis'!$C33,$A37-117,1))</f>
        <v/>
      </c>
      <c r="DQ37" s="29" t="str">
        <f>IF(OR($B37="",$A37&lt;=118),"",--MID('Key Analysis'!$C33,$A37-118,1))</f>
        <v/>
      </c>
      <c r="DR37" s="29" t="str">
        <f>IF(OR($B37="",$A37&lt;=119),"",--MID('Key Analysis'!$C33,$A37-119,1))</f>
        <v/>
      </c>
      <c r="DS37" s="29" t="str">
        <f>IF(OR($B37="",$A37&lt;=120),"",--MID('Key Analysis'!$C33,$A37-120,1))</f>
        <v/>
      </c>
      <c r="DT37" s="29" t="str">
        <f>IF(OR($B37="",$A37&lt;=121),"",--MID('Key Analysis'!$C33,$A37-121,1))</f>
        <v/>
      </c>
      <c r="DU37" s="29" t="str">
        <f>IF(OR($B37="",$A37&lt;=122),"",--MID('Key Analysis'!$C33,$A37-122,1))</f>
        <v/>
      </c>
      <c r="DV37" s="29" t="str">
        <f>IF(OR($B37="",$A37&lt;=123),"",--MID('Key Analysis'!$C33,$A37-123,1))</f>
        <v/>
      </c>
      <c r="DW37" s="29" t="str">
        <f>IF(OR($B37="",$A37&lt;=124),"",--MID('Key Analysis'!$C33,$A37-124,1))</f>
        <v/>
      </c>
      <c r="DX37" s="29" t="str">
        <f>IF(OR($B37="",$A37&lt;=125),"",--MID('Key Analysis'!$C33,$A37-125,1))</f>
        <v/>
      </c>
      <c r="DY37" s="29" t="str">
        <f>IF(OR($B37="",$A37&lt;=126),"",--MID('Key Analysis'!$C33,$A37-126,1))</f>
        <v/>
      </c>
      <c r="DZ37" s="29" t="str">
        <f>IF(OR($B37="",$A37&lt;=127),"",--MID('Key Analysis'!$C33,$A37-127,1))</f>
        <v/>
      </c>
      <c r="EA37" s="29" t="str">
        <f>IF(OR($B37="",$A37&lt;=128),"",--MID('Key Analysis'!$C33,$A37-128,1))</f>
        <v/>
      </c>
      <c r="EB37" s="29" t="str">
        <f>IF(OR($B37="",$A37&lt;=129),"",--MID('Key Analysis'!$C33,$A37-129,1))</f>
        <v/>
      </c>
      <c r="EC37" s="29" t="str">
        <f>IF(OR($B37="",$A37&lt;=130),"",--MID('Key Analysis'!$C33,$A37-130,1))</f>
        <v/>
      </c>
      <c r="ED37" s="29" t="str">
        <f>IF(OR($B37="",$A37&lt;=131),"",--MID('Key Analysis'!$C33,$A37-131,1))</f>
        <v/>
      </c>
      <c r="EE37" s="29" t="str">
        <f>IF(OR($B37="",$A37&lt;=132),"",--MID('Key Analysis'!$C33,$A37-132,1))</f>
        <v/>
      </c>
      <c r="EF37" s="29" t="str">
        <f>IF(OR($B37="",$A37&lt;=133),"",--MID('Key Analysis'!$C33,$A37-133,1))</f>
        <v/>
      </c>
      <c r="EG37" s="29" t="str">
        <f>IF(OR($B37="",$A37&lt;=134),"",--MID('Key Analysis'!$C33,$A37-134,1))</f>
        <v/>
      </c>
      <c r="EH37" s="29"/>
      <c r="EI37" s="29">
        <f>IF(OR($B37="",$A37&lt;1),"",--MID('Key Analysis'!$C33,1,1))</f>
        <v>1</v>
      </c>
      <c r="EJ37" s="29">
        <f>IF(OR($B37="",$A37&lt;2),"",--MID('Key Analysis'!$C33,2,1))</f>
        <v>0</v>
      </c>
      <c r="EK37" s="29">
        <f>IF(OR($B37="",$A37&lt;3),"",--MID('Key Analysis'!$C33,3,1))</f>
        <v>1</v>
      </c>
      <c r="EL37" s="29">
        <f>IF(OR($B37="",$A37&lt;4),"",--MID('Key Analysis'!$C33,4,1))</f>
        <v>1</v>
      </c>
      <c r="EM37" s="29">
        <f>IF(OR($B37="",$A37&lt;5),"",--MID('Key Analysis'!$C33,5,1))</f>
        <v>1</v>
      </c>
      <c r="EN37" s="29">
        <f>IF(OR($B37="",$A37&lt;6),"",--MID('Key Analysis'!$C33,6,1))</f>
        <v>0</v>
      </c>
      <c r="EO37" s="29">
        <f>IF(OR($B37="",$A37&lt;7),"",--MID('Key Analysis'!$C33,7,1))</f>
        <v>0</v>
      </c>
      <c r="EP37" s="29">
        <f>IF(OR($B37="",$A37&lt;8),"",--MID('Key Analysis'!$C33,8,1))</f>
        <v>0</v>
      </c>
      <c r="EQ37" s="29">
        <f>IF(OR($B37="",$A37&lt;9),"",--MID('Key Analysis'!$C33,9,1))</f>
        <v>0</v>
      </c>
      <c r="ER37" s="29">
        <f>IF(OR($B37="",$A37&lt;10),"",--MID('Key Analysis'!$C33,10,1))</f>
        <v>1</v>
      </c>
      <c r="ES37" s="29">
        <f>IF(OR($B37="",$A37&lt;11),"",--MID('Key Analysis'!$C33,11,1))</f>
        <v>1</v>
      </c>
      <c r="ET37" s="29">
        <f>IF(OR($B37="",$A37&lt;12),"",--MID('Key Analysis'!$C33,12,1))</f>
        <v>0</v>
      </c>
      <c r="EU37" s="29">
        <f>IF(OR($B37="",$A37&lt;13),"",--MID('Key Analysis'!$C33,13,1))</f>
        <v>0</v>
      </c>
      <c r="EV37" s="29">
        <f>IF(OR($B37="",$A37&lt;14),"",--MID('Key Analysis'!$C33,14,1))</f>
        <v>0</v>
      </c>
      <c r="EW37" s="29">
        <f>IF(OR($B37="",$A37&lt;15),"",--MID('Key Analysis'!$C33,15,1))</f>
        <v>1</v>
      </c>
      <c r="EX37" s="29">
        <f>IF(OR($B37="",$A37&lt;16),"",--MID('Key Analysis'!$C33,16,1))</f>
        <v>0</v>
      </c>
      <c r="EY37" s="29">
        <f>IF(OR($B37="",$A37&lt;17),"",--MID('Key Analysis'!$C33,17,1))</f>
        <v>1</v>
      </c>
      <c r="EZ37" s="29">
        <f>IF(OR($B37="",$A37&lt;18),"",--MID('Key Analysis'!$C33,18,1))</f>
        <v>0</v>
      </c>
      <c r="FA37" s="29">
        <f>IF(OR($B37="",$A37&lt;19),"",--MID('Key Analysis'!$C33,19,1))</f>
        <v>1</v>
      </c>
      <c r="FB37" s="29">
        <f>IF(OR($B37="",$A37&lt;20),"",--MID('Key Analysis'!$C33,20,1))</f>
        <v>0</v>
      </c>
      <c r="FC37" s="29">
        <f>IF(OR($B37="",$A37&lt;21),"",--MID('Key Analysis'!$C33,21,1))</f>
        <v>0</v>
      </c>
      <c r="FD37" s="29">
        <f>IF(OR($B37="",$A37&lt;22),"",--MID('Key Analysis'!$C33,22,1))</f>
        <v>1</v>
      </c>
      <c r="FE37" s="29">
        <f>IF(OR($B37="",$A37&lt;23),"",--MID('Key Analysis'!$C33,23,1))</f>
        <v>1</v>
      </c>
      <c r="FF37" s="29">
        <f>IF(OR($B37="",$A37&lt;24),"",--MID('Key Analysis'!$C33,24,1))</f>
        <v>0</v>
      </c>
      <c r="FG37" s="29">
        <f>IF(OR($B37="",$A37&lt;25),"",--MID('Key Analysis'!$C33,25,1))</f>
        <v>0</v>
      </c>
      <c r="FH37" s="29">
        <f>IF(OR($B37="",$A37&lt;26),"",--MID('Key Analysis'!$C33,26,1))</f>
        <v>0</v>
      </c>
      <c r="FI37" s="29">
        <f>IF(OR($B37="",$A37&lt;27),"",--MID('Key Analysis'!$C33,27,1))</f>
        <v>1</v>
      </c>
      <c r="FJ37" s="29">
        <f>IF(OR($B37="",$A37&lt;28),"",--MID('Key Analysis'!$C33,28,1))</f>
        <v>0</v>
      </c>
      <c r="FK37" s="29">
        <f>IF(OR($B37="",$A37&lt;29),"",--MID('Key Analysis'!$C33,29,1))</f>
        <v>1</v>
      </c>
      <c r="FL37" s="29">
        <f>IF(OR($B37="",$A37&lt;30),"",--MID('Key Analysis'!$C33,30,1))</f>
        <v>1</v>
      </c>
      <c r="FM37" s="29">
        <f>IF(OR($B37="",$A37&lt;31),"",--MID('Key Analysis'!$C33,31,1))</f>
        <v>1</v>
      </c>
      <c r="FN37" s="29">
        <f>IF(OR($B37="",$A37&lt;32),"",--MID('Key Analysis'!$C33,32,1))</f>
        <v>0</v>
      </c>
      <c r="FO37" s="29" t="str">
        <f>IF(OR($B37="",$A37&lt;33),"",--MID('Key Analysis'!$C33,33,1))</f>
        <v/>
      </c>
      <c r="FP37" s="29" t="str">
        <f>IF(OR($B37="",$A37&lt;34),"",--MID('Key Analysis'!$C33,34,1))</f>
        <v/>
      </c>
      <c r="FQ37" s="29" t="str">
        <f>IF(OR($B37="",$A37&lt;35),"",--MID('Key Analysis'!$C33,35,1))</f>
        <v/>
      </c>
      <c r="FR37" s="29" t="str">
        <f>IF(OR($B37="",$A37&lt;36),"",--MID('Key Analysis'!$C33,36,1))</f>
        <v/>
      </c>
      <c r="FS37" s="29" t="str">
        <f>IF(OR($B37="",$A37&lt;37),"",--MID('Key Analysis'!$C33,37,1))</f>
        <v/>
      </c>
      <c r="FT37" s="29" t="str">
        <f>IF(OR($B37="",$A37&lt;38),"",--MID('Key Analysis'!$C33,38,1))</f>
        <v/>
      </c>
      <c r="FU37" s="29" t="str">
        <f>IF(OR($B37="",$A37&lt;39),"",--MID('Key Analysis'!$C33,39,1))</f>
        <v/>
      </c>
      <c r="FV37" s="29" t="str">
        <f>IF(OR($B37="",$A37&lt;40),"",--MID('Key Analysis'!$C33,40,1))</f>
        <v/>
      </c>
      <c r="FW37" s="29" t="str">
        <f>IF(OR($B37="",$A37&lt;41),"",--MID('Key Analysis'!$C33,41,1))</f>
        <v/>
      </c>
      <c r="FX37" s="29" t="str">
        <f>IF(OR($B37="",$A37&lt;42),"",--MID('Key Analysis'!$C33,42,1))</f>
        <v/>
      </c>
      <c r="FY37" s="29" t="str">
        <f>IF(OR($B37="",$A37&lt;43),"",--MID('Key Analysis'!$C33,43,1))</f>
        <v/>
      </c>
      <c r="FZ37" s="29" t="str">
        <f>IF(OR($B37="",$A37&lt;44),"",--MID('Key Analysis'!$C33,44,1))</f>
        <v/>
      </c>
      <c r="GA37" s="29" t="str">
        <f>IF(OR($B37="",$A37&lt;45),"",--MID('Key Analysis'!$C33,45,1))</f>
        <v/>
      </c>
      <c r="GB37" s="29" t="str">
        <f>IF(OR($B37="",$A37&lt;46),"",--MID('Key Analysis'!$C33,46,1))</f>
        <v/>
      </c>
      <c r="GC37" s="29" t="str">
        <f>IF(OR($B37="",$A37&lt;47),"",--MID('Key Analysis'!$C33,47,1))</f>
        <v/>
      </c>
      <c r="GD37" s="29" t="str">
        <f>IF(OR($B37="",$A37&lt;48),"",--MID('Key Analysis'!$C33,48,1))</f>
        <v/>
      </c>
      <c r="GE37" s="29" t="str">
        <f>IF(OR($B37="",$A37&lt;49),"",--MID('Key Analysis'!$C33,49,1))</f>
        <v/>
      </c>
      <c r="GF37" s="29" t="str">
        <f>IF(OR($B37="",$A37&lt;50),"",--MID('Key Analysis'!$C33,50,1))</f>
        <v/>
      </c>
      <c r="GG37" s="29" t="str">
        <f>IF(OR($B37="",$A37&lt;51),"",--MID('Key Analysis'!$C33,51,1))</f>
        <v/>
      </c>
      <c r="GH37" s="29" t="str">
        <f>IF(OR($B37="",$A37&lt;52),"",--MID('Key Analysis'!$C33,52,1))</f>
        <v/>
      </c>
      <c r="GI37" s="29" t="str">
        <f>IF(OR($B37="",$A37&lt;53),"",--MID('Key Analysis'!$C33,53,1))</f>
        <v/>
      </c>
      <c r="GJ37" s="29" t="str">
        <f>IF(OR($B37="",$A37&lt;54),"",--MID('Key Analysis'!$C33,54,1))</f>
        <v/>
      </c>
      <c r="GK37" s="29" t="str">
        <f>IF(OR($B37="",$A37&lt;55),"",--MID('Key Analysis'!$C33,55,1))</f>
        <v/>
      </c>
      <c r="GL37" s="29" t="str">
        <f>IF(OR($B37="",$A37&lt;56),"",--MID('Key Analysis'!$C33,56,1))</f>
        <v/>
      </c>
      <c r="GM37" s="29" t="str">
        <f>IF(OR($B37="",$A37&lt;57),"",--MID('Key Analysis'!$C33,57,1))</f>
        <v/>
      </c>
      <c r="GN37" s="29" t="str">
        <f>IF(OR($B37="",$A37&lt;58),"",--MID('Key Analysis'!$C33,58,1))</f>
        <v/>
      </c>
      <c r="GO37" s="29" t="str">
        <f>IF(OR($B37="",$A37&lt;59),"",--MID('Key Analysis'!$C33,59,1))</f>
        <v/>
      </c>
      <c r="GP37" s="29" t="str">
        <f>IF(OR($B37="",$A37&lt;60),"",--MID('Key Analysis'!$C33,60,1))</f>
        <v/>
      </c>
      <c r="GQ37" s="29" t="str">
        <f>IF(OR($B37="",$A37&lt;61),"",--MID('Key Analysis'!$C33,61,1))</f>
        <v/>
      </c>
      <c r="GR37" s="29" t="str">
        <f>IF(OR($B37="",$A37&lt;62),"",--MID('Key Analysis'!$C33,62,1))</f>
        <v/>
      </c>
      <c r="GS37" s="29" t="str">
        <f>IF(OR($B37="",$A37&lt;63),"",--MID('Key Analysis'!$C33,63,1))</f>
        <v/>
      </c>
      <c r="GT37" s="29" t="str">
        <f>IF(OR($B37="",$A37&lt;64),"",--MID('Key Analysis'!$C33,64,1))</f>
        <v/>
      </c>
      <c r="GU37" s="29" t="str">
        <f>IF(OR($B37="",$A37&lt;65),"",--MID('Key Analysis'!$C33,65,1))</f>
        <v/>
      </c>
      <c r="GV37" s="29" t="str">
        <f>IF(OR($B37="",$A37&lt;66),"",--MID('Key Analysis'!$C33,66,1))</f>
        <v/>
      </c>
      <c r="GW37" s="29" t="str">
        <f>IF(OR($B37="",$A37&lt;67),"",--MID('Key Analysis'!$C33,67,1))</f>
        <v/>
      </c>
      <c r="GX37" s="29" t="str">
        <f>IF(OR($B37="",$A37&lt;68),"",--MID('Key Analysis'!$C33,68,1))</f>
        <v/>
      </c>
      <c r="GY37" s="29" t="str">
        <f>IF(OR($B37="",$A37&lt;69),"",--MID('Key Analysis'!$C33,69,1))</f>
        <v/>
      </c>
      <c r="GZ37" s="29" t="str">
        <f>IF(OR($B37="",$A37&lt;70),"",--MID('Key Analysis'!$C33,70,1))</f>
        <v/>
      </c>
      <c r="HA37" s="29" t="str">
        <f>IF(OR($B37="",$A37&lt;71),"",--MID('Key Analysis'!$C33,71,1))</f>
        <v/>
      </c>
      <c r="HB37" s="29" t="str">
        <f>IF(OR($B37="",$A37&lt;72),"",--MID('Key Analysis'!$C33,72,1))</f>
        <v/>
      </c>
      <c r="HC37" s="29" t="str">
        <f>IF(OR($B37="",$A37&lt;73),"",--MID('Key Analysis'!$C33,73,1))</f>
        <v/>
      </c>
      <c r="HD37" s="29" t="str">
        <f>IF(OR($B37="",$A37&lt;74),"",--MID('Key Analysis'!$C33,74,1))</f>
        <v/>
      </c>
      <c r="HE37" s="29" t="str">
        <f>IF(OR($B37="",$A37&lt;75),"",--MID('Key Analysis'!$C33,75,1))</f>
        <v/>
      </c>
      <c r="HF37" s="29" t="str">
        <f>IF(OR($B37="",$A37&lt;76),"",--MID('Key Analysis'!$C33,76,1))</f>
        <v/>
      </c>
      <c r="HG37" s="29" t="str">
        <f>IF(OR($B37="",$A37&lt;77),"",--MID('Key Analysis'!$C33,77,1))</f>
        <v/>
      </c>
      <c r="HH37" s="29" t="str">
        <f>IF(OR($B37="",$A37&lt;78),"",--MID('Key Analysis'!$C33,78,1))</f>
        <v/>
      </c>
      <c r="HI37" s="29" t="str">
        <f>IF(OR($B37="",$A37&lt;79),"",--MID('Key Analysis'!$C33,79,1))</f>
        <v/>
      </c>
      <c r="HJ37" s="29" t="str">
        <f>IF(OR($B37="",$A37&lt;80),"",--MID('Key Analysis'!$C33,80,1))</f>
        <v/>
      </c>
      <c r="HK37" s="29" t="str">
        <f>IF(OR($B37="",$A37&lt;81),"",--MID('Key Analysis'!$C33,81,1))</f>
        <v/>
      </c>
      <c r="HL37" s="29" t="str">
        <f>IF(OR($B37="",$A37&lt;82),"",--MID('Key Analysis'!$C33,82,1))</f>
        <v/>
      </c>
      <c r="HM37" s="29" t="str">
        <f>IF(OR($B37="",$A37&lt;83),"",--MID('Key Analysis'!$C33,83,1))</f>
        <v/>
      </c>
      <c r="HN37" s="29" t="str">
        <f>IF(OR($B37="",$A37&lt;84),"",--MID('Key Analysis'!$C33,84,1))</f>
        <v/>
      </c>
      <c r="HO37" s="29" t="str">
        <f>IF(OR($B37="",$A37&lt;85),"",--MID('Key Analysis'!$C33,85,1))</f>
        <v/>
      </c>
      <c r="HP37" s="29" t="str">
        <f>IF(OR($B37="",$A37&lt;86),"",--MID('Key Analysis'!$C33,86,1))</f>
        <v/>
      </c>
      <c r="HQ37" s="29" t="str">
        <f>IF(OR($B37="",$A37&lt;87),"",--MID('Key Analysis'!$C33,87,1))</f>
        <v/>
      </c>
      <c r="HR37" s="29" t="str">
        <f>IF(OR($B37="",$A37&lt;88),"",--MID('Key Analysis'!$C33,88,1))</f>
        <v/>
      </c>
      <c r="HS37" s="29" t="str">
        <f>IF(OR($B37="",$A37&lt;89),"",--MID('Key Analysis'!$C33,89,1))</f>
        <v/>
      </c>
      <c r="HT37" s="29" t="str">
        <f>IF(OR($B37="",$A37&lt;90),"",--MID('Key Analysis'!$C33,90,1))</f>
        <v/>
      </c>
      <c r="HU37" s="29" t="str">
        <f>IF(OR($B37="",$A37&lt;91),"",--MID('Key Analysis'!$C33,91,1))</f>
        <v/>
      </c>
      <c r="HV37" s="29" t="str">
        <f>IF(OR($B37="",$A37&lt;92),"",--MID('Key Analysis'!$C33,92,1))</f>
        <v/>
      </c>
      <c r="HW37" s="29" t="str">
        <f>IF(OR($B37="",$A37&lt;93),"",--MID('Key Analysis'!$C33,93,1))</f>
        <v/>
      </c>
      <c r="HX37" s="29" t="str">
        <f>IF(OR($B37="",$A37&lt;94),"",--MID('Key Analysis'!$C33,94,1))</f>
        <v/>
      </c>
      <c r="HY37" s="29" t="str">
        <f>IF(OR($B37="",$A37&lt;95),"",--MID('Key Analysis'!$C33,95,1))</f>
        <v/>
      </c>
      <c r="HZ37" s="29" t="str">
        <f>IF(OR($B37="",$A37&lt;96),"",--MID('Key Analysis'!$C33,96,1))</f>
        <v/>
      </c>
      <c r="IA37" s="29" t="str">
        <f>IF(OR($B37="",$A37&lt;97),"",--MID('Key Analysis'!$C33,97,1))</f>
        <v/>
      </c>
      <c r="IB37" s="29" t="str">
        <f>IF(OR($B37="",$A37&lt;98),"",--MID('Key Analysis'!$C33,98,1))</f>
        <v/>
      </c>
      <c r="IC37" s="29" t="str">
        <f>IF(OR($B37="",$A37&lt;99),"",--MID('Key Analysis'!$C33,99,1))</f>
        <v/>
      </c>
      <c r="ID37" s="29" t="str">
        <f>IF(OR($B37="",$A37&lt;100),"",--MID('Key Analysis'!$C33,100,1))</f>
        <v/>
      </c>
      <c r="IE37" s="29" t="str">
        <f>IF(OR($B37="",$A37&lt;101),"",--MID('Key Analysis'!$C33,101,1))</f>
        <v/>
      </c>
      <c r="IF37" s="29" t="str">
        <f>IF(OR($B37="",$A37&lt;102),"",--MID('Key Analysis'!$C33,102,1))</f>
        <v/>
      </c>
      <c r="IG37" s="29" t="str">
        <f>IF(OR($B37="",$A37&lt;103),"",--MID('Key Analysis'!$C33,103,1))</f>
        <v/>
      </c>
      <c r="IH37" s="29" t="str">
        <f>IF(OR($B37="",$A37&lt;104),"",--MID('Key Analysis'!$C33,104,1))</f>
        <v/>
      </c>
      <c r="II37" s="29" t="str">
        <f>IF(OR($B37="",$A37&lt;105),"",--MID('Key Analysis'!$C33,105,1))</f>
        <v/>
      </c>
      <c r="IJ37" s="29" t="str">
        <f>IF(OR($B37="",$A37&lt;106),"",--MID('Key Analysis'!$C33,106,1))</f>
        <v/>
      </c>
      <c r="IK37" s="29" t="str">
        <f>IF(OR($B37="",$A37&lt;107),"",--MID('Key Analysis'!$C33,107,1))</f>
        <v/>
      </c>
      <c r="IL37" s="29" t="str">
        <f>IF(OR($B37="",$A37&lt;108),"",--MID('Key Analysis'!$C33,108,1))</f>
        <v/>
      </c>
      <c r="IM37" s="29" t="str">
        <f>IF(OR($B37="",$A37&lt;109),"",--MID('Key Analysis'!$C33,109,1))</f>
        <v/>
      </c>
      <c r="IN37" s="29" t="str">
        <f>IF(OR($B37="",$A37&lt;110),"",--MID('Key Analysis'!$C33,110,1))</f>
        <v/>
      </c>
      <c r="IO37" s="29" t="str">
        <f>IF(OR($B37="",$A37&lt;111),"",--MID('Key Analysis'!$C33,111,1))</f>
        <v/>
      </c>
      <c r="IP37" s="29" t="str">
        <f>IF(OR($B37="",$A37&lt;112),"",--MID('Key Analysis'!$C33,112,1))</f>
        <v/>
      </c>
      <c r="IQ37" s="29" t="str">
        <f>IF(OR($B37="",$A37&lt;113),"",--MID('Key Analysis'!$C33,113,1))</f>
        <v/>
      </c>
      <c r="IR37" s="29" t="str">
        <f>IF(OR($B37="",$A37&lt;114),"",--MID('Key Analysis'!$C33,114,1))</f>
        <v/>
      </c>
      <c r="IS37" s="29" t="str">
        <f>IF(OR($B37="",$A37&lt;115),"",--MID('Key Analysis'!$C33,115,1))</f>
        <v/>
      </c>
      <c r="IT37" s="29" t="str">
        <f>IF(OR($B37="",$A37&lt;116),"",--MID('Key Analysis'!$C33,116,1))</f>
        <v/>
      </c>
      <c r="IU37" s="29" t="str">
        <f>IF(OR($B37="",$A37&lt;117),"",--MID('Key Analysis'!$C33,117,1))</f>
        <v/>
      </c>
      <c r="IV37" s="29" t="str">
        <f>IF(OR($B37="",$A37&lt;118),"",--MID('Key Analysis'!$C33,118,1))</f>
        <v/>
      </c>
      <c r="IW37" s="29" t="str">
        <f>IF(OR($B37="",$A37&lt;119),"",--MID('Key Analysis'!$C33,119,1))</f>
        <v/>
      </c>
      <c r="IX37" s="29" t="str">
        <f>IF(OR($B37="",$A37&lt;120),"",--MID('Key Analysis'!$C33,120,1))</f>
        <v/>
      </c>
      <c r="IY37" s="29" t="str">
        <f>IF(OR($B37="",$A37&lt;121),"",--MID('Key Analysis'!$C33,121,1))</f>
        <v/>
      </c>
      <c r="IZ37" s="29" t="str">
        <f>IF(OR($B37="",$A37&lt;122),"",--MID('Key Analysis'!$C33,122,1))</f>
        <v/>
      </c>
      <c r="JA37" s="29" t="str">
        <f>IF(OR($B37="",$A37&lt;123),"",--MID('Key Analysis'!$C33,123,1))</f>
        <v/>
      </c>
      <c r="JB37" s="29" t="str">
        <f>IF(OR($B37="",$A37&lt;124),"",--MID('Key Analysis'!$C33,124,1))</f>
        <v/>
      </c>
      <c r="JC37" s="29" t="str">
        <f>IF(OR($B37="",$A37&lt;125),"",--MID('Key Analysis'!$C33,125,1))</f>
        <v/>
      </c>
      <c r="JD37" s="29" t="str">
        <f>IF(OR($B37="",$A37&lt;126),"",--MID('Key Analysis'!$C33,126,1))</f>
        <v/>
      </c>
      <c r="JE37" s="29" t="str">
        <f>IF(OR($B37="",$A37&lt;127),"",--MID('Key Analysis'!$C33,127,1))</f>
        <v/>
      </c>
      <c r="JF37" s="29" t="str">
        <f>IF(OR($B37="",$A37&lt;128),"",--MID('Key Analysis'!$C33,128,1))</f>
        <v/>
      </c>
      <c r="JG37" s="29" t="str">
        <f>IF(OR($B37="",$A37&lt;129),"",--MID('Key Analysis'!$C33,129,1))</f>
        <v/>
      </c>
      <c r="JH37" s="29" t="str">
        <f>IF(OR($B37="",$A37&lt;130),"",--MID('Key Analysis'!$C33,130,1))</f>
        <v/>
      </c>
      <c r="JI37" s="29" t="str">
        <f>IF(OR($B37="",$A37&lt;131),"",--MID('Key Analysis'!$C33,131,1))</f>
        <v/>
      </c>
      <c r="JJ37" s="29" t="str">
        <f>IF(OR($B37="",$A37&lt;132),"",--MID('Key Analysis'!$C33,132,1))</f>
        <v/>
      </c>
      <c r="JK37" s="29" t="str">
        <f>IF(OR($B37="",$A37&lt;133),"",--MID('Key Analysis'!$C33,133,1))</f>
        <v/>
      </c>
      <c r="JL37" s="29" t="str">
        <f>IF(OR($B37="",$A37&lt;134),"",--MID('Key Analysis'!$C33,134,1))</f>
        <v/>
      </c>
      <c r="JM37" s="29" t="str">
        <f>IF(OR($B37="",$A37&lt;135),"",--MID('Key Analysis'!$C33,135,1))</f>
        <v/>
      </c>
    </row>
    <row r="38" spans="1:273" x14ac:dyDescent="0.25">
      <c r="A38" s="21">
        <f>'Key Analysis'!A34</f>
        <v>33</v>
      </c>
      <c r="B38" s="30" t="str">
        <f>'Key Analysis'!B34</f>
        <v>1a96ca8d8</v>
      </c>
      <c r="C38" s="29">
        <f>IF(OR($B38="",$A38&lt;=0),"",--MID('Key Analysis'!$C34,$A38-0,1))</f>
        <v>0</v>
      </c>
      <c r="D38" s="29">
        <f>IF(OR($B38="",$A38&lt;=1),"",--MID('Key Analysis'!$C34,$A38-1,1))</f>
        <v>0</v>
      </c>
      <c r="E38" s="29">
        <f>IF(OR($B38="",$A38&lt;=2),"",--MID('Key Analysis'!$C34,$A38-2,1))</f>
        <v>0</v>
      </c>
      <c r="F38" s="29">
        <f>IF(OR($B38="",$A38&lt;=3),"",--MID('Key Analysis'!$C34,$A38-3,1))</f>
        <v>1</v>
      </c>
      <c r="G38" s="29">
        <f>IF(OR($B38="",$A38&lt;=4),"",--MID('Key Analysis'!$C34,$A38-4,1))</f>
        <v>1</v>
      </c>
      <c r="H38" s="29">
        <f>IF(OR($B38="",$A38&lt;=5),"",--MID('Key Analysis'!$C34,$A38-5,1))</f>
        <v>0</v>
      </c>
      <c r="I38" s="29">
        <f>IF(OR($B38="",$A38&lt;=6),"",--MID('Key Analysis'!$C34,$A38-6,1))</f>
        <v>1</v>
      </c>
      <c r="J38" s="29">
        <f>IF(OR($B38="",$A38&lt;=7),"",--MID('Key Analysis'!$C34,$A38-7,1))</f>
        <v>1</v>
      </c>
      <c r="K38" s="29">
        <f>IF(OR($B38="",$A38&lt;=8),"",--MID('Key Analysis'!$C34,$A38-8,1))</f>
        <v>0</v>
      </c>
      <c r="L38" s="29">
        <f>IF(OR($B38="",$A38&lt;=9),"",--MID('Key Analysis'!$C34,$A38-9,1))</f>
        <v>0</v>
      </c>
      <c r="M38" s="29">
        <f>IF(OR($B38="",$A38&lt;=10),"",--MID('Key Analysis'!$C34,$A38-10,1))</f>
        <v>0</v>
      </c>
      <c r="N38" s="29">
        <f>IF(OR($B38="",$A38&lt;=11),"",--MID('Key Analysis'!$C34,$A38-11,1))</f>
        <v>1</v>
      </c>
      <c r="O38" s="29">
        <f>IF(OR($B38="",$A38&lt;=12),"",--MID('Key Analysis'!$C34,$A38-12,1))</f>
        <v>0</v>
      </c>
      <c r="P38" s="29">
        <f>IF(OR($B38="",$A38&lt;=13),"",--MID('Key Analysis'!$C34,$A38-13,1))</f>
        <v>1</v>
      </c>
      <c r="Q38" s="29">
        <f>IF(OR($B38="",$A38&lt;=14),"",--MID('Key Analysis'!$C34,$A38-14,1))</f>
        <v>0</v>
      </c>
      <c r="R38" s="29">
        <f>IF(OR($B38="",$A38&lt;=15),"",--MID('Key Analysis'!$C34,$A38-15,1))</f>
        <v>1</v>
      </c>
      <c r="S38" s="29">
        <f>IF(OR($B38="",$A38&lt;=16),"",--MID('Key Analysis'!$C34,$A38-16,1))</f>
        <v>0</v>
      </c>
      <c r="T38" s="29">
        <f>IF(OR($B38="",$A38&lt;=17),"",--MID('Key Analysis'!$C34,$A38-17,1))</f>
        <v>0</v>
      </c>
      <c r="U38" s="29">
        <f>IF(OR($B38="",$A38&lt;=18),"",--MID('Key Analysis'!$C34,$A38-18,1))</f>
        <v>1</v>
      </c>
      <c r="V38" s="29">
        <f>IF(OR($B38="",$A38&lt;=19),"",--MID('Key Analysis'!$C34,$A38-19,1))</f>
        <v>1</v>
      </c>
      <c r="W38" s="29">
        <f>IF(OR($B38="",$A38&lt;=20),"",--MID('Key Analysis'!$C34,$A38-20,1))</f>
        <v>0</v>
      </c>
      <c r="X38" s="29">
        <f>IF(OR($B38="",$A38&lt;=21),"",--MID('Key Analysis'!$C34,$A38-21,1))</f>
        <v>1</v>
      </c>
      <c r="Y38" s="29">
        <f>IF(OR($B38="",$A38&lt;=22),"",--MID('Key Analysis'!$C34,$A38-22,1))</f>
        <v>1</v>
      </c>
      <c r="Z38" s="29">
        <f>IF(OR($B38="",$A38&lt;=23),"",--MID('Key Analysis'!$C34,$A38-23,1))</f>
        <v>0</v>
      </c>
      <c r="AA38" s="29">
        <f>IF(OR($B38="",$A38&lt;=24),"",--MID('Key Analysis'!$C34,$A38-24,1))</f>
        <v>1</v>
      </c>
      <c r="AB38" s="29">
        <f>IF(OR($B38="",$A38&lt;=25),"",--MID('Key Analysis'!$C34,$A38-25,1))</f>
        <v>0</v>
      </c>
      <c r="AC38" s="29">
        <f>IF(OR($B38="",$A38&lt;=26),"",--MID('Key Analysis'!$C34,$A38-26,1))</f>
        <v>0</v>
      </c>
      <c r="AD38" s="29">
        <f>IF(OR($B38="",$A38&lt;=27),"",--MID('Key Analysis'!$C34,$A38-27,1))</f>
        <v>1</v>
      </c>
      <c r="AE38" s="29">
        <f>IF(OR($B38="",$A38&lt;=28),"",--MID('Key Analysis'!$C34,$A38-28,1))</f>
        <v>0</v>
      </c>
      <c r="AF38" s="29">
        <f>IF(OR($B38="",$A38&lt;=29),"",--MID('Key Analysis'!$C34,$A38-29,1))</f>
        <v>1</v>
      </c>
      <c r="AG38" s="29">
        <f>IF(OR($B38="",$A38&lt;=30),"",--MID('Key Analysis'!$C34,$A38-30,1))</f>
        <v>0</v>
      </c>
      <c r="AH38" s="29">
        <f>IF(OR($B38="",$A38&lt;=31),"",--MID('Key Analysis'!$C34,$A38-31,1))</f>
        <v>1</v>
      </c>
      <c r="AI38" s="29">
        <f>IF(OR($B38="",$A38&lt;=32),"",--MID('Key Analysis'!$C34,$A38-32,1))</f>
        <v>1</v>
      </c>
      <c r="AJ38" s="29" t="str">
        <f>IF(OR($B38="",$A38&lt;=33),"",--MID('Key Analysis'!$C34,$A38-33,1))</f>
        <v/>
      </c>
      <c r="AK38" s="29" t="str">
        <f>IF(OR($B38="",$A38&lt;=34),"",--MID('Key Analysis'!$C34,$A38-34,1))</f>
        <v/>
      </c>
      <c r="AL38" s="29" t="str">
        <f>IF(OR($B38="",$A38&lt;=35),"",--MID('Key Analysis'!$C34,$A38-35,1))</f>
        <v/>
      </c>
      <c r="AM38" s="29" t="str">
        <f>IF(OR($B38="",$A38&lt;=36),"",--MID('Key Analysis'!$C34,$A38-36,1))</f>
        <v/>
      </c>
      <c r="AN38" s="29" t="str">
        <f>IF(OR($B38="",$A38&lt;=37),"",--MID('Key Analysis'!$C34,$A38-37,1))</f>
        <v/>
      </c>
      <c r="AO38" s="29" t="str">
        <f>IF(OR($B38="",$A38&lt;=38),"",--MID('Key Analysis'!$C34,$A38-38,1))</f>
        <v/>
      </c>
      <c r="AP38" s="29" t="str">
        <f>IF(OR($B38="",$A38&lt;=39),"",--MID('Key Analysis'!$C34,$A38-39,1))</f>
        <v/>
      </c>
      <c r="AQ38" s="29" t="str">
        <f>IF(OR($B38="",$A38&lt;=40),"",--MID('Key Analysis'!$C34,$A38-40,1))</f>
        <v/>
      </c>
      <c r="AR38" s="29" t="str">
        <f>IF(OR($B38="",$A38&lt;=41),"",--MID('Key Analysis'!$C34,$A38-41,1))</f>
        <v/>
      </c>
      <c r="AS38" s="29" t="str">
        <f>IF(OR($B38="",$A38&lt;=42),"",--MID('Key Analysis'!$C34,$A38-42,1))</f>
        <v/>
      </c>
      <c r="AT38" s="29" t="str">
        <f>IF(OR($B38="",$A38&lt;=43),"",--MID('Key Analysis'!$C34,$A38-43,1))</f>
        <v/>
      </c>
      <c r="AU38" s="29" t="str">
        <f>IF(OR($B38="",$A38&lt;=44),"",--MID('Key Analysis'!$C34,$A38-44,1))</f>
        <v/>
      </c>
      <c r="AV38" s="29" t="str">
        <f>IF(OR($B38="",$A38&lt;=45),"",--MID('Key Analysis'!$C34,$A38-45,1))</f>
        <v/>
      </c>
      <c r="AW38" s="29" t="str">
        <f>IF(OR($B38="",$A38&lt;=46),"",--MID('Key Analysis'!$C34,$A38-46,1))</f>
        <v/>
      </c>
      <c r="AX38" s="29" t="str">
        <f>IF(OR($B38="",$A38&lt;=47),"",--MID('Key Analysis'!$C34,$A38-47,1))</f>
        <v/>
      </c>
      <c r="AY38" s="29" t="str">
        <f>IF(OR($B38="",$A38&lt;=48),"",--MID('Key Analysis'!$C34,$A38-48,1))</f>
        <v/>
      </c>
      <c r="AZ38" s="29" t="str">
        <f>IF(OR($B38="",$A38&lt;=49),"",--MID('Key Analysis'!$C34,$A38-49,1))</f>
        <v/>
      </c>
      <c r="BA38" s="29" t="str">
        <f>IF(OR($B38="",$A38&lt;=50),"",--MID('Key Analysis'!$C34,$A38-50,1))</f>
        <v/>
      </c>
      <c r="BB38" s="29" t="str">
        <f>IF(OR($B38="",$A38&lt;=51),"",--MID('Key Analysis'!$C34,$A38-51,1))</f>
        <v/>
      </c>
      <c r="BC38" s="29" t="str">
        <f>IF(OR($B38="",$A38&lt;=52),"",--MID('Key Analysis'!$C34,$A38-52,1))</f>
        <v/>
      </c>
      <c r="BD38" s="29" t="str">
        <f>IF(OR($B38="",$A38&lt;=53),"",--MID('Key Analysis'!$C34,$A38-53,1))</f>
        <v/>
      </c>
      <c r="BE38" s="29" t="str">
        <f>IF(OR($B38="",$A38&lt;=54),"",--MID('Key Analysis'!$C34,$A38-54,1))</f>
        <v/>
      </c>
      <c r="BF38" s="29" t="str">
        <f>IF(OR($B38="",$A38&lt;=55),"",--MID('Key Analysis'!$C34,$A38-55,1))</f>
        <v/>
      </c>
      <c r="BG38" s="29" t="str">
        <f>IF(OR($B38="",$A38&lt;=56),"",--MID('Key Analysis'!$C34,$A38-56,1))</f>
        <v/>
      </c>
      <c r="BH38" s="29" t="str">
        <f>IF(OR($B38="",$A38&lt;=57),"",--MID('Key Analysis'!$C34,$A38-57,1))</f>
        <v/>
      </c>
      <c r="BI38" s="29" t="str">
        <f>IF(OR($B38="",$A38&lt;=58),"",--MID('Key Analysis'!$C34,$A38-58,1))</f>
        <v/>
      </c>
      <c r="BJ38" s="29" t="str">
        <f>IF(OR($B38="",$A38&lt;=59),"",--MID('Key Analysis'!$C34,$A38-59,1))</f>
        <v/>
      </c>
      <c r="BK38" s="29" t="str">
        <f>IF(OR($B38="",$A38&lt;=60),"",--MID('Key Analysis'!$C34,$A38-60,1))</f>
        <v/>
      </c>
      <c r="BL38" s="29" t="str">
        <f>IF(OR($B38="",$A38&lt;=61),"",--MID('Key Analysis'!$C34,$A38-61,1))</f>
        <v/>
      </c>
      <c r="BM38" s="29" t="str">
        <f>IF(OR($B38="",$A38&lt;=62),"",--MID('Key Analysis'!$C34,$A38-62,1))</f>
        <v/>
      </c>
      <c r="BN38" s="29" t="str">
        <f>IF(OR($B38="",$A38&lt;=63),"",--MID('Key Analysis'!$C34,$A38-63,1))</f>
        <v/>
      </c>
      <c r="BO38" s="29" t="str">
        <f>IF(OR($B38="",$A38&lt;=64),"",--MID('Key Analysis'!$C34,$A38-64,1))</f>
        <v/>
      </c>
      <c r="BP38" s="29" t="str">
        <f>IF(OR($B38="",$A38&lt;=65),"",--MID('Key Analysis'!$C34,$A38-65,1))</f>
        <v/>
      </c>
      <c r="BQ38" s="29" t="str">
        <f>IF(OR($B38="",$A38&lt;=66),"",--MID('Key Analysis'!$C34,$A38-66,1))</f>
        <v/>
      </c>
      <c r="BR38" s="29" t="str">
        <f>IF(OR($B38="",$A38&lt;=67),"",--MID('Key Analysis'!$C34,$A38-67,1))</f>
        <v/>
      </c>
      <c r="BS38" s="29" t="str">
        <f>IF(OR($B38="",$A38&lt;=68),"",--MID('Key Analysis'!$C34,$A38-68,1))</f>
        <v/>
      </c>
      <c r="BT38" s="29" t="str">
        <f>IF(OR($B38="",$A38&lt;=69),"",--MID('Key Analysis'!$C34,$A38-69,1))</f>
        <v/>
      </c>
      <c r="BU38" s="29" t="str">
        <f>IF(OR($B38="",$A38&lt;=70),"",--MID('Key Analysis'!$C34,$A38-70,1))</f>
        <v/>
      </c>
      <c r="BV38" s="29" t="str">
        <f>IF(OR($B38="",$A38&lt;=71),"",--MID('Key Analysis'!$C34,$A38-71,1))</f>
        <v/>
      </c>
      <c r="BW38" s="29" t="str">
        <f>IF(OR($B38="",$A38&lt;=72),"",--MID('Key Analysis'!$C34,$A38-72,1))</f>
        <v/>
      </c>
      <c r="BX38" s="29" t="str">
        <f>IF(OR($B38="",$A38&lt;=73),"",--MID('Key Analysis'!$C34,$A38-73,1))</f>
        <v/>
      </c>
      <c r="BY38" s="29" t="str">
        <f>IF(OR($B38="",$A38&lt;=74),"",--MID('Key Analysis'!$C34,$A38-74,1))</f>
        <v/>
      </c>
      <c r="BZ38" s="29" t="str">
        <f>IF(OR($B38="",$A38&lt;=75),"",--MID('Key Analysis'!$C34,$A38-75,1))</f>
        <v/>
      </c>
      <c r="CA38" s="29" t="str">
        <f>IF(OR($B38="",$A38&lt;=76),"",--MID('Key Analysis'!$C34,$A38-76,1))</f>
        <v/>
      </c>
      <c r="CB38" s="29" t="str">
        <f>IF(OR($B38="",$A38&lt;=77),"",--MID('Key Analysis'!$C34,$A38-77,1))</f>
        <v/>
      </c>
      <c r="CC38" s="29" t="str">
        <f>IF(OR($B38="",$A38&lt;=78),"",--MID('Key Analysis'!$C34,$A38-78,1))</f>
        <v/>
      </c>
      <c r="CD38" s="29" t="str">
        <f>IF(OR($B38="",$A38&lt;=79),"",--MID('Key Analysis'!$C34,$A38-79,1))</f>
        <v/>
      </c>
      <c r="CE38" s="29" t="str">
        <f>IF(OR($B38="",$A38&lt;=80),"",--MID('Key Analysis'!$C34,$A38-80,1))</f>
        <v/>
      </c>
      <c r="CF38" s="29" t="str">
        <f>IF(OR($B38="",$A38&lt;=81),"",--MID('Key Analysis'!$C34,$A38-81,1))</f>
        <v/>
      </c>
      <c r="CG38" s="29" t="str">
        <f>IF(OR($B38="",$A38&lt;=82),"",--MID('Key Analysis'!$C34,$A38-82,1))</f>
        <v/>
      </c>
      <c r="CH38" s="29" t="str">
        <f>IF(OR($B38="",$A38&lt;=83),"",--MID('Key Analysis'!$C34,$A38-83,1))</f>
        <v/>
      </c>
      <c r="CI38" s="29" t="str">
        <f>IF(OR($B38="",$A38&lt;=84),"",--MID('Key Analysis'!$C34,$A38-84,1))</f>
        <v/>
      </c>
      <c r="CJ38" s="29" t="str">
        <f>IF(OR($B38="",$A38&lt;=85),"",--MID('Key Analysis'!$C34,$A38-85,1))</f>
        <v/>
      </c>
      <c r="CK38" s="29" t="str">
        <f>IF(OR($B38="",$A38&lt;=86),"",--MID('Key Analysis'!$C34,$A38-86,1))</f>
        <v/>
      </c>
      <c r="CL38" s="29" t="str">
        <f>IF(OR($B38="",$A38&lt;=87),"",--MID('Key Analysis'!$C34,$A38-87,1))</f>
        <v/>
      </c>
      <c r="CM38" s="29" t="str">
        <f>IF(OR($B38="",$A38&lt;=88),"",--MID('Key Analysis'!$C34,$A38-88,1))</f>
        <v/>
      </c>
      <c r="CN38" s="29" t="str">
        <f>IF(OR($B38="",$A38&lt;=89),"",--MID('Key Analysis'!$C34,$A38-89,1))</f>
        <v/>
      </c>
      <c r="CO38" s="29" t="str">
        <f>IF(OR($B38="",$A38&lt;=90),"",--MID('Key Analysis'!$C34,$A38-90,1))</f>
        <v/>
      </c>
      <c r="CP38" s="29" t="str">
        <f>IF(OR($B38="",$A38&lt;=91),"",--MID('Key Analysis'!$C34,$A38-91,1))</f>
        <v/>
      </c>
      <c r="CQ38" s="29" t="str">
        <f>IF(OR($B38="",$A38&lt;=92),"",--MID('Key Analysis'!$C34,$A38-92,1))</f>
        <v/>
      </c>
      <c r="CR38" s="29" t="str">
        <f>IF(OR($B38="",$A38&lt;=93),"",--MID('Key Analysis'!$C34,$A38-93,1))</f>
        <v/>
      </c>
      <c r="CS38" s="29" t="str">
        <f>IF(OR($B38="",$A38&lt;=94),"",--MID('Key Analysis'!$C34,$A38-94,1))</f>
        <v/>
      </c>
      <c r="CT38" s="29" t="str">
        <f>IF(OR($B38="",$A38&lt;=95),"",--MID('Key Analysis'!$C34,$A38-95,1))</f>
        <v/>
      </c>
      <c r="CU38" s="29" t="str">
        <f>IF(OR($B38="",$A38&lt;=96),"",--MID('Key Analysis'!$C34,$A38-96,1))</f>
        <v/>
      </c>
      <c r="CV38" s="29" t="str">
        <f>IF(OR($B38="",$A38&lt;=97),"",--MID('Key Analysis'!$C34,$A38-97,1))</f>
        <v/>
      </c>
      <c r="CW38" s="29" t="str">
        <f>IF(OR($B38="",$A38&lt;=98),"",--MID('Key Analysis'!$C34,$A38-98,1))</f>
        <v/>
      </c>
      <c r="CX38" s="29" t="str">
        <f>IF(OR($B38="",$A38&lt;=99),"",--MID('Key Analysis'!$C34,$A38-99,1))</f>
        <v/>
      </c>
      <c r="CY38" s="29" t="str">
        <f>IF(OR($B38="",$A38&lt;=100),"",--MID('Key Analysis'!$C34,$A38-100,1))</f>
        <v/>
      </c>
      <c r="CZ38" s="29" t="str">
        <f>IF(OR($B38="",$A38&lt;=101),"",--MID('Key Analysis'!$C34,$A38-101,1))</f>
        <v/>
      </c>
      <c r="DA38" s="29" t="str">
        <f>IF(OR($B38="",$A38&lt;=102),"",--MID('Key Analysis'!$C34,$A38-102,1))</f>
        <v/>
      </c>
      <c r="DB38" s="29" t="str">
        <f>IF(OR($B38="",$A38&lt;=103),"",--MID('Key Analysis'!$C34,$A38-103,1))</f>
        <v/>
      </c>
      <c r="DC38" s="29" t="str">
        <f>IF(OR($B38="",$A38&lt;=104),"",--MID('Key Analysis'!$C34,$A38-104,1))</f>
        <v/>
      </c>
      <c r="DD38" s="29" t="str">
        <f>IF(OR($B38="",$A38&lt;=105),"",--MID('Key Analysis'!$C34,$A38-105,1))</f>
        <v/>
      </c>
      <c r="DE38" s="29" t="str">
        <f>IF(OR($B38="",$A38&lt;=106),"",--MID('Key Analysis'!$C34,$A38-106,1))</f>
        <v/>
      </c>
      <c r="DF38" s="29" t="str">
        <f>IF(OR($B38="",$A38&lt;=107),"",--MID('Key Analysis'!$C34,$A38-107,1))</f>
        <v/>
      </c>
      <c r="DG38" s="29" t="str">
        <f>IF(OR($B38="",$A38&lt;=108),"",--MID('Key Analysis'!$C34,$A38-108,1))</f>
        <v/>
      </c>
      <c r="DH38" s="29" t="str">
        <f>IF(OR($B38="",$A38&lt;=109),"",--MID('Key Analysis'!$C34,$A38-109,1))</f>
        <v/>
      </c>
      <c r="DI38" s="29" t="str">
        <f>IF(OR($B38="",$A38&lt;=110),"",--MID('Key Analysis'!$C34,$A38-110,1))</f>
        <v/>
      </c>
      <c r="DJ38" s="29" t="str">
        <f>IF(OR($B38="",$A38&lt;=111),"",--MID('Key Analysis'!$C34,$A38-111,1))</f>
        <v/>
      </c>
      <c r="DK38" s="29" t="str">
        <f>IF(OR($B38="",$A38&lt;=112),"",--MID('Key Analysis'!$C34,$A38-112,1))</f>
        <v/>
      </c>
      <c r="DL38" s="29" t="str">
        <f>IF(OR($B38="",$A38&lt;=113),"",--MID('Key Analysis'!$C34,$A38-113,1))</f>
        <v/>
      </c>
      <c r="DM38" s="29" t="str">
        <f>IF(OR($B38="",$A38&lt;=114),"",--MID('Key Analysis'!$C34,$A38-114,1))</f>
        <v/>
      </c>
      <c r="DN38" s="29" t="str">
        <f>IF(OR($B38="",$A38&lt;=115),"",--MID('Key Analysis'!$C34,$A38-115,1))</f>
        <v/>
      </c>
      <c r="DO38" s="29" t="str">
        <f>IF(OR($B38="",$A38&lt;=116),"",--MID('Key Analysis'!$C34,$A38-116,1))</f>
        <v/>
      </c>
      <c r="DP38" s="29" t="str">
        <f>IF(OR($B38="",$A38&lt;=117),"",--MID('Key Analysis'!$C34,$A38-117,1))</f>
        <v/>
      </c>
      <c r="DQ38" s="29" t="str">
        <f>IF(OR($B38="",$A38&lt;=118),"",--MID('Key Analysis'!$C34,$A38-118,1))</f>
        <v/>
      </c>
      <c r="DR38" s="29" t="str">
        <f>IF(OR($B38="",$A38&lt;=119),"",--MID('Key Analysis'!$C34,$A38-119,1))</f>
        <v/>
      </c>
      <c r="DS38" s="29" t="str">
        <f>IF(OR($B38="",$A38&lt;=120),"",--MID('Key Analysis'!$C34,$A38-120,1))</f>
        <v/>
      </c>
      <c r="DT38" s="29" t="str">
        <f>IF(OR($B38="",$A38&lt;=121),"",--MID('Key Analysis'!$C34,$A38-121,1))</f>
        <v/>
      </c>
      <c r="DU38" s="29" t="str">
        <f>IF(OR($B38="",$A38&lt;=122),"",--MID('Key Analysis'!$C34,$A38-122,1))</f>
        <v/>
      </c>
      <c r="DV38" s="29" t="str">
        <f>IF(OR($B38="",$A38&lt;=123),"",--MID('Key Analysis'!$C34,$A38-123,1))</f>
        <v/>
      </c>
      <c r="DW38" s="29" t="str">
        <f>IF(OR($B38="",$A38&lt;=124),"",--MID('Key Analysis'!$C34,$A38-124,1))</f>
        <v/>
      </c>
      <c r="DX38" s="29" t="str">
        <f>IF(OR($B38="",$A38&lt;=125),"",--MID('Key Analysis'!$C34,$A38-125,1))</f>
        <v/>
      </c>
      <c r="DY38" s="29" t="str">
        <f>IF(OR($B38="",$A38&lt;=126),"",--MID('Key Analysis'!$C34,$A38-126,1))</f>
        <v/>
      </c>
      <c r="DZ38" s="29" t="str">
        <f>IF(OR($B38="",$A38&lt;=127),"",--MID('Key Analysis'!$C34,$A38-127,1))</f>
        <v/>
      </c>
      <c r="EA38" s="29" t="str">
        <f>IF(OR($B38="",$A38&lt;=128),"",--MID('Key Analysis'!$C34,$A38-128,1))</f>
        <v/>
      </c>
      <c r="EB38" s="29" t="str">
        <f>IF(OR($B38="",$A38&lt;=129),"",--MID('Key Analysis'!$C34,$A38-129,1))</f>
        <v/>
      </c>
      <c r="EC38" s="29" t="str">
        <f>IF(OR($B38="",$A38&lt;=130),"",--MID('Key Analysis'!$C34,$A38-130,1))</f>
        <v/>
      </c>
      <c r="ED38" s="29" t="str">
        <f>IF(OR($B38="",$A38&lt;=131),"",--MID('Key Analysis'!$C34,$A38-131,1))</f>
        <v/>
      </c>
      <c r="EE38" s="29" t="str">
        <f>IF(OR($B38="",$A38&lt;=132),"",--MID('Key Analysis'!$C34,$A38-132,1))</f>
        <v/>
      </c>
      <c r="EF38" s="29" t="str">
        <f>IF(OR($B38="",$A38&lt;=133),"",--MID('Key Analysis'!$C34,$A38-133,1))</f>
        <v/>
      </c>
      <c r="EG38" s="29" t="str">
        <f>IF(OR($B38="",$A38&lt;=134),"",--MID('Key Analysis'!$C34,$A38-134,1))</f>
        <v/>
      </c>
      <c r="EH38" s="29"/>
      <c r="EI38" s="29">
        <f>IF(OR($B38="",$A38&lt;1),"",--MID('Key Analysis'!$C34,1,1))</f>
        <v>1</v>
      </c>
      <c r="EJ38" s="29">
        <f>IF(OR($B38="",$A38&lt;2),"",--MID('Key Analysis'!$C34,2,1))</f>
        <v>1</v>
      </c>
      <c r="EK38" s="29">
        <f>IF(OR($B38="",$A38&lt;3),"",--MID('Key Analysis'!$C34,3,1))</f>
        <v>0</v>
      </c>
      <c r="EL38" s="29">
        <f>IF(OR($B38="",$A38&lt;4),"",--MID('Key Analysis'!$C34,4,1))</f>
        <v>1</v>
      </c>
      <c r="EM38" s="29">
        <f>IF(OR($B38="",$A38&lt;5),"",--MID('Key Analysis'!$C34,5,1))</f>
        <v>0</v>
      </c>
      <c r="EN38" s="29">
        <f>IF(OR($B38="",$A38&lt;6),"",--MID('Key Analysis'!$C34,6,1))</f>
        <v>1</v>
      </c>
      <c r="EO38" s="29">
        <f>IF(OR($B38="",$A38&lt;7),"",--MID('Key Analysis'!$C34,7,1))</f>
        <v>0</v>
      </c>
      <c r="EP38" s="29">
        <f>IF(OR($B38="",$A38&lt;8),"",--MID('Key Analysis'!$C34,8,1))</f>
        <v>0</v>
      </c>
      <c r="EQ38" s="29">
        <f>IF(OR($B38="",$A38&lt;9),"",--MID('Key Analysis'!$C34,9,1))</f>
        <v>1</v>
      </c>
      <c r="ER38" s="29">
        <f>IF(OR($B38="",$A38&lt;10),"",--MID('Key Analysis'!$C34,10,1))</f>
        <v>0</v>
      </c>
      <c r="ES38" s="29">
        <f>IF(OR($B38="",$A38&lt;11),"",--MID('Key Analysis'!$C34,11,1))</f>
        <v>1</v>
      </c>
      <c r="ET38" s="29">
        <f>IF(OR($B38="",$A38&lt;12),"",--MID('Key Analysis'!$C34,12,1))</f>
        <v>1</v>
      </c>
      <c r="EU38" s="29">
        <f>IF(OR($B38="",$A38&lt;13),"",--MID('Key Analysis'!$C34,13,1))</f>
        <v>0</v>
      </c>
      <c r="EV38" s="29">
        <f>IF(OR($B38="",$A38&lt;14),"",--MID('Key Analysis'!$C34,14,1))</f>
        <v>1</v>
      </c>
      <c r="EW38" s="29">
        <f>IF(OR($B38="",$A38&lt;15),"",--MID('Key Analysis'!$C34,15,1))</f>
        <v>1</v>
      </c>
      <c r="EX38" s="29">
        <f>IF(OR($B38="",$A38&lt;16),"",--MID('Key Analysis'!$C34,16,1))</f>
        <v>0</v>
      </c>
      <c r="EY38" s="29">
        <f>IF(OR($B38="",$A38&lt;17),"",--MID('Key Analysis'!$C34,17,1))</f>
        <v>0</v>
      </c>
      <c r="EZ38" s="29">
        <f>IF(OR($B38="",$A38&lt;18),"",--MID('Key Analysis'!$C34,18,1))</f>
        <v>1</v>
      </c>
      <c r="FA38" s="29">
        <f>IF(OR($B38="",$A38&lt;19),"",--MID('Key Analysis'!$C34,19,1))</f>
        <v>0</v>
      </c>
      <c r="FB38" s="29">
        <f>IF(OR($B38="",$A38&lt;20),"",--MID('Key Analysis'!$C34,20,1))</f>
        <v>1</v>
      </c>
      <c r="FC38" s="29">
        <f>IF(OR($B38="",$A38&lt;21),"",--MID('Key Analysis'!$C34,21,1))</f>
        <v>0</v>
      </c>
      <c r="FD38" s="29">
        <f>IF(OR($B38="",$A38&lt;22),"",--MID('Key Analysis'!$C34,22,1))</f>
        <v>1</v>
      </c>
      <c r="FE38" s="29">
        <f>IF(OR($B38="",$A38&lt;23),"",--MID('Key Analysis'!$C34,23,1))</f>
        <v>0</v>
      </c>
      <c r="FF38" s="29">
        <f>IF(OR($B38="",$A38&lt;24),"",--MID('Key Analysis'!$C34,24,1))</f>
        <v>0</v>
      </c>
      <c r="FG38" s="29">
        <f>IF(OR($B38="",$A38&lt;25),"",--MID('Key Analysis'!$C34,25,1))</f>
        <v>0</v>
      </c>
      <c r="FH38" s="29">
        <f>IF(OR($B38="",$A38&lt;26),"",--MID('Key Analysis'!$C34,26,1))</f>
        <v>1</v>
      </c>
      <c r="FI38" s="29">
        <f>IF(OR($B38="",$A38&lt;27),"",--MID('Key Analysis'!$C34,27,1))</f>
        <v>1</v>
      </c>
      <c r="FJ38" s="29">
        <f>IF(OR($B38="",$A38&lt;28),"",--MID('Key Analysis'!$C34,28,1))</f>
        <v>0</v>
      </c>
      <c r="FK38" s="29">
        <f>IF(OR($B38="",$A38&lt;29),"",--MID('Key Analysis'!$C34,29,1))</f>
        <v>1</v>
      </c>
      <c r="FL38" s="29">
        <f>IF(OR($B38="",$A38&lt;30),"",--MID('Key Analysis'!$C34,30,1))</f>
        <v>1</v>
      </c>
      <c r="FM38" s="29">
        <f>IF(OR($B38="",$A38&lt;31),"",--MID('Key Analysis'!$C34,31,1))</f>
        <v>0</v>
      </c>
      <c r="FN38" s="29">
        <f>IF(OR($B38="",$A38&lt;32),"",--MID('Key Analysis'!$C34,32,1))</f>
        <v>0</v>
      </c>
      <c r="FO38" s="29">
        <f>IF(OR($B38="",$A38&lt;33),"",--MID('Key Analysis'!$C34,33,1))</f>
        <v>0</v>
      </c>
      <c r="FP38" s="29" t="str">
        <f>IF(OR($B38="",$A38&lt;34),"",--MID('Key Analysis'!$C34,34,1))</f>
        <v/>
      </c>
      <c r="FQ38" s="29" t="str">
        <f>IF(OR($B38="",$A38&lt;35),"",--MID('Key Analysis'!$C34,35,1))</f>
        <v/>
      </c>
      <c r="FR38" s="29" t="str">
        <f>IF(OR($B38="",$A38&lt;36),"",--MID('Key Analysis'!$C34,36,1))</f>
        <v/>
      </c>
      <c r="FS38" s="29" t="str">
        <f>IF(OR($B38="",$A38&lt;37),"",--MID('Key Analysis'!$C34,37,1))</f>
        <v/>
      </c>
      <c r="FT38" s="29" t="str">
        <f>IF(OR($B38="",$A38&lt;38),"",--MID('Key Analysis'!$C34,38,1))</f>
        <v/>
      </c>
      <c r="FU38" s="29" t="str">
        <f>IF(OR($B38="",$A38&lt;39),"",--MID('Key Analysis'!$C34,39,1))</f>
        <v/>
      </c>
      <c r="FV38" s="29" t="str">
        <f>IF(OR($B38="",$A38&lt;40),"",--MID('Key Analysis'!$C34,40,1))</f>
        <v/>
      </c>
      <c r="FW38" s="29" t="str">
        <f>IF(OR($B38="",$A38&lt;41),"",--MID('Key Analysis'!$C34,41,1))</f>
        <v/>
      </c>
      <c r="FX38" s="29" t="str">
        <f>IF(OR($B38="",$A38&lt;42),"",--MID('Key Analysis'!$C34,42,1))</f>
        <v/>
      </c>
      <c r="FY38" s="29" t="str">
        <f>IF(OR($B38="",$A38&lt;43),"",--MID('Key Analysis'!$C34,43,1))</f>
        <v/>
      </c>
      <c r="FZ38" s="29" t="str">
        <f>IF(OR($B38="",$A38&lt;44),"",--MID('Key Analysis'!$C34,44,1))</f>
        <v/>
      </c>
      <c r="GA38" s="29" t="str">
        <f>IF(OR($B38="",$A38&lt;45),"",--MID('Key Analysis'!$C34,45,1))</f>
        <v/>
      </c>
      <c r="GB38" s="29" t="str">
        <f>IF(OR($B38="",$A38&lt;46),"",--MID('Key Analysis'!$C34,46,1))</f>
        <v/>
      </c>
      <c r="GC38" s="29" t="str">
        <f>IF(OR($B38="",$A38&lt;47),"",--MID('Key Analysis'!$C34,47,1))</f>
        <v/>
      </c>
      <c r="GD38" s="29" t="str">
        <f>IF(OR($B38="",$A38&lt;48),"",--MID('Key Analysis'!$C34,48,1))</f>
        <v/>
      </c>
      <c r="GE38" s="29" t="str">
        <f>IF(OR($B38="",$A38&lt;49),"",--MID('Key Analysis'!$C34,49,1))</f>
        <v/>
      </c>
      <c r="GF38" s="29" t="str">
        <f>IF(OR($B38="",$A38&lt;50),"",--MID('Key Analysis'!$C34,50,1))</f>
        <v/>
      </c>
      <c r="GG38" s="29" t="str">
        <f>IF(OR($B38="",$A38&lt;51),"",--MID('Key Analysis'!$C34,51,1))</f>
        <v/>
      </c>
      <c r="GH38" s="29" t="str">
        <f>IF(OR($B38="",$A38&lt;52),"",--MID('Key Analysis'!$C34,52,1))</f>
        <v/>
      </c>
      <c r="GI38" s="29" t="str">
        <f>IF(OR($B38="",$A38&lt;53),"",--MID('Key Analysis'!$C34,53,1))</f>
        <v/>
      </c>
      <c r="GJ38" s="29" t="str">
        <f>IF(OR($B38="",$A38&lt;54),"",--MID('Key Analysis'!$C34,54,1))</f>
        <v/>
      </c>
      <c r="GK38" s="29" t="str">
        <f>IF(OR($B38="",$A38&lt;55),"",--MID('Key Analysis'!$C34,55,1))</f>
        <v/>
      </c>
      <c r="GL38" s="29" t="str">
        <f>IF(OR($B38="",$A38&lt;56),"",--MID('Key Analysis'!$C34,56,1))</f>
        <v/>
      </c>
      <c r="GM38" s="29" t="str">
        <f>IF(OR($B38="",$A38&lt;57),"",--MID('Key Analysis'!$C34,57,1))</f>
        <v/>
      </c>
      <c r="GN38" s="29" t="str">
        <f>IF(OR($B38="",$A38&lt;58),"",--MID('Key Analysis'!$C34,58,1))</f>
        <v/>
      </c>
      <c r="GO38" s="29" t="str">
        <f>IF(OR($B38="",$A38&lt;59),"",--MID('Key Analysis'!$C34,59,1))</f>
        <v/>
      </c>
      <c r="GP38" s="29" t="str">
        <f>IF(OR($B38="",$A38&lt;60),"",--MID('Key Analysis'!$C34,60,1))</f>
        <v/>
      </c>
      <c r="GQ38" s="29" t="str">
        <f>IF(OR($B38="",$A38&lt;61),"",--MID('Key Analysis'!$C34,61,1))</f>
        <v/>
      </c>
      <c r="GR38" s="29" t="str">
        <f>IF(OR($B38="",$A38&lt;62),"",--MID('Key Analysis'!$C34,62,1))</f>
        <v/>
      </c>
      <c r="GS38" s="29" t="str">
        <f>IF(OR($B38="",$A38&lt;63),"",--MID('Key Analysis'!$C34,63,1))</f>
        <v/>
      </c>
      <c r="GT38" s="29" t="str">
        <f>IF(OR($B38="",$A38&lt;64),"",--MID('Key Analysis'!$C34,64,1))</f>
        <v/>
      </c>
      <c r="GU38" s="29" t="str">
        <f>IF(OR($B38="",$A38&lt;65),"",--MID('Key Analysis'!$C34,65,1))</f>
        <v/>
      </c>
      <c r="GV38" s="29" t="str">
        <f>IF(OR($B38="",$A38&lt;66),"",--MID('Key Analysis'!$C34,66,1))</f>
        <v/>
      </c>
      <c r="GW38" s="29" t="str">
        <f>IF(OR($B38="",$A38&lt;67),"",--MID('Key Analysis'!$C34,67,1))</f>
        <v/>
      </c>
      <c r="GX38" s="29" t="str">
        <f>IF(OR($B38="",$A38&lt;68),"",--MID('Key Analysis'!$C34,68,1))</f>
        <v/>
      </c>
      <c r="GY38" s="29" t="str">
        <f>IF(OR($B38="",$A38&lt;69),"",--MID('Key Analysis'!$C34,69,1))</f>
        <v/>
      </c>
      <c r="GZ38" s="29" t="str">
        <f>IF(OR($B38="",$A38&lt;70),"",--MID('Key Analysis'!$C34,70,1))</f>
        <v/>
      </c>
      <c r="HA38" s="29" t="str">
        <f>IF(OR($B38="",$A38&lt;71),"",--MID('Key Analysis'!$C34,71,1))</f>
        <v/>
      </c>
      <c r="HB38" s="29" t="str">
        <f>IF(OR($B38="",$A38&lt;72),"",--MID('Key Analysis'!$C34,72,1))</f>
        <v/>
      </c>
      <c r="HC38" s="29" t="str">
        <f>IF(OR($B38="",$A38&lt;73),"",--MID('Key Analysis'!$C34,73,1))</f>
        <v/>
      </c>
      <c r="HD38" s="29" t="str">
        <f>IF(OR($B38="",$A38&lt;74),"",--MID('Key Analysis'!$C34,74,1))</f>
        <v/>
      </c>
      <c r="HE38" s="29" t="str">
        <f>IF(OR($B38="",$A38&lt;75),"",--MID('Key Analysis'!$C34,75,1))</f>
        <v/>
      </c>
      <c r="HF38" s="29" t="str">
        <f>IF(OR($B38="",$A38&lt;76),"",--MID('Key Analysis'!$C34,76,1))</f>
        <v/>
      </c>
      <c r="HG38" s="29" t="str">
        <f>IF(OR($B38="",$A38&lt;77),"",--MID('Key Analysis'!$C34,77,1))</f>
        <v/>
      </c>
      <c r="HH38" s="29" t="str">
        <f>IF(OR($B38="",$A38&lt;78),"",--MID('Key Analysis'!$C34,78,1))</f>
        <v/>
      </c>
      <c r="HI38" s="29" t="str">
        <f>IF(OR($B38="",$A38&lt;79),"",--MID('Key Analysis'!$C34,79,1))</f>
        <v/>
      </c>
      <c r="HJ38" s="29" t="str">
        <f>IF(OR($B38="",$A38&lt;80),"",--MID('Key Analysis'!$C34,80,1))</f>
        <v/>
      </c>
      <c r="HK38" s="29" t="str">
        <f>IF(OR($B38="",$A38&lt;81),"",--MID('Key Analysis'!$C34,81,1))</f>
        <v/>
      </c>
      <c r="HL38" s="29" t="str">
        <f>IF(OR($B38="",$A38&lt;82),"",--MID('Key Analysis'!$C34,82,1))</f>
        <v/>
      </c>
      <c r="HM38" s="29" t="str">
        <f>IF(OR($B38="",$A38&lt;83),"",--MID('Key Analysis'!$C34,83,1))</f>
        <v/>
      </c>
      <c r="HN38" s="29" t="str">
        <f>IF(OR($B38="",$A38&lt;84),"",--MID('Key Analysis'!$C34,84,1))</f>
        <v/>
      </c>
      <c r="HO38" s="29" t="str">
        <f>IF(OR($B38="",$A38&lt;85),"",--MID('Key Analysis'!$C34,85,1))</f>
        <v/>
      </c>
      <c r="HP38" s="29" t="str">
        <f>IF(OR($B38="",$A38&lt;86),"",--MID('Key Analysis'!$C34,86,1))</f>
        <v/>
      </c>
      <c r="HQ38" s="29" t="str">
        <f>IF(OR($B38="",$A38&lt;87),"",--MID('Key Analysis'!$C34,87,1))</f>
        <v/>
      </c>
      <c r="HR38" s="29" t="str">
        <f>IF(OR($B38="",$A38&lt;88),"",--MID('Key Analysis'!$C34,88,1))</f>
        <v/>
      </c>
      <c r="HS38" s="29" t="str">
        <f>IF(OR($B38="",$A38&lt;89),"",--MID('Key Analysis'!$C34,89,1))</f>
        <v/>
      </c>
      <c r="HT38" s="29" t="str">
        <f>IF(OR($B38="",$A38&lt;90),"",--MID('Key Analysis'!$C34,90,1))</f>
        <v/>
      </c>
      <c r="HU38" s="29" t="str">
        <f>IF(OR($B38="",$A38&lt;91),"",--MID('Key Analysis'!$C34,91,1))</f>
        <v/>
      </c>
      <c r="HV38" s="29" t="str">
        <f>IF(OR($B38="",$A38&lt;92),"",--MID('Key Analysis'!$C34,92,1))</f>
        <v/>
      </c>
      <c r="HW38" s="29" t="str">
        <f>IF(OR($B38="",$A38&lt;93),"",--MID('Key Analysis'!$C34,93,1))</f>
        <v/>
      </c>
      <c r="HX38" s="29" t="str">
        <f>IF(OR($B38="",$A38&lt;94),"",--MID('Key Analysis'!$C34,94,1))</f>
        <v/>
      </c>
      <c r="HY38" s="29" t="str">
        <f>IF(OR($B38="",$A38&lt;95),"",--MID('Key Analysis'!$C34,95,1))</f>
        <v/>
      </c>
      <c r="HZ38" s="29" t="str">
        <f>IF(OR($B38="",$A38&lt;96),"",--MID('Key Analysis'!$C34,96,1))</f>
        <v/>
      </c>
      <c r="IA38" s="29" t="str">
        <f>IF(OR($B38="",$A38&lt;97),"",--MID('Key Analysis'!$C34,97,1))</f>
        <v/>
      </c>
      <c r="IB38" s="29" t="str">
        <f>IF(OR($B38="",$A38&lt;98),"",--MID('Key Analysis'!$C34,98,1))</f>
        <v/>
      </c>
      <c r="IC38" s="29" t="str">
        <f>IF(OR($B38="",$A38&lt;99),"",--MID('Key Analysis'!$C34,99,1))</f>
        <v/>
      </c>
      <c r="ID38" s="29" t="str">
        <f>IF(OR($B38="",$A38&lt;100),"",--MID('Key Analysis'!$C34,100,1))</f>
        <v/>
      </c>
      <c r="IE38" s="29" t="str">
        <f>IF(OR($B38="",$A38&lt;101),"",--MID('Key Analysis'!$C34,101,1))</f>
        <v/>
      </c>
      <c r="IF38" s="29" t="str">
        <f>IF(OR($B38="",$A38&lt;102),"",--MID('Key Analysis'!$C34,102,1))</f>
        <v/>
      </c>
      <c r="IG38" s="29" t="str">
        <f>IF(OR($B38="",$A38&lt;103),"",--MID('Key Analysis'!$C34,103,1))</f>
        <v/>
      </c>
      <c r="IH38" s="29" t="str">
        <f>IF(OR($B38="",$A38&lt;104),"",--MID('Key Analysis'!$C34,104,1))</f>
        <v/>
      </c>
      <c r="II38" s="29" t="str">
        <f>IF(OR($B38="",$A38&lt;105),"",--MID('Key Analysis'!$C34,105,1))</f>
        <v/>
      </c>
      <c r="IJ38" s="29" t="str">
        <f>IF(OR($B38="",$A38&lt;106),"",--MID('Key Analysis'!$C34,106,1))</f>
        <v/>
      </c>
      <c r="IK38" s="29" t="str">
        <f>IF(OR($B38="",$A38&lt;107),"",--MID('Key Analysis'!$C34,107,1))</f>
        <v/>
      </c>
      <c r="IL38" s="29" t="str">
        <f>IF(OR($B38="",$A38&lt;108),"",--MID('Key Analysis'!$C34,108,1))</f>
        <v/>
      </c>
      <c r="IM38" s="29" t="str">
        <f>IF(OR($B38="",$A38&lt;109),"",--MID('Key Analysis'!$C34,109,1))</f>
        <v/>
      </c>
      <c r="IN38" s="29" t="str">
        <f>IF(OR($B38="",$A38&lt;110),"",--MID('Key Analysis'!$C34,110,1))</f>
        <v/>
      </c>
      <c r="IO38" s="29" t="str">
        <f>IF(OR($B38="",$A38&lt;111),"",--MID('Key Analysis'!$C34,111,1))</f>
        <v/>
      </c>
      <c r="IP38" s="29" t="str">
        <f>IF(OR($B38="",$A38&lt;112),"",--MID('Key Analysis'!$C34,112,1))</f>
        <v/>
      </c>
      <c r="IQ38" s="29" t="str">
        <f>IF(OR($B38="",$A38&lt;113),"",--MID('Key Analysis'!$C34,113,1))</f>
        <v/>
      </c>
      <c r="IR38" s="29" t="str">
        <f>IF(OR($B38="",$A38&lt;114),"",--MID('Key Analysis'!$C34,114,1))</f>
        <v/>
      </c>
      <c r="IS38" s="29" t="str">
        <f>IF(OR($B38="",$A38&lt;115),"",--MID('Key Analysis'!$C34,115,1))</f>
        <v/>
      </c>
      <c r="IT38" s="29" t="str">
        <f>IF(OR($B38="",$A38&lt;116),"",--MID('Key Analysis'!$C34,116,1))</f>
        <v/>
      </c>
      <c r="IU38" s="29" t="str">
        <f>IF(OR($B38="",$A38&lt;117),"",--MID('Key Analysis'!$C34,117,1))</f>
        <v/>
      </c>
      <c r="IV38" s="29" t="str">
        <f>IF(OR($B38="",$A38&lt;118),"",--MID('Key Analysis'!$C34,118,1))</f>
        <v/>
      </c>
      <c r="IW38" s="29" t="str">
        <f>IF(OR($B38="",$A38&lt;119),"",--MID('Key Analysis'!$C34,119,1))</f>
        <v/>
      </c>
      <c r="IX38" s="29" t="str">
        <f>IF(OR($B38="",$A38&lt;120),"",--MID('Key Analysis'!$C34,120,1))</f>
        <v/>
      </c>
      <c r="IY38" s="29" t="str">
        <f>IF(OR($B38="",$A38&lt;121),"",--MID('Key Analysis'!$C34,121,1))</f>
        <v/>
      </c>
      <c r="IZ38" s="29" t="str">
        <f>IF(OR($B38="",$A38&lt;122),"",--MID('Key Analysis'!$C34,122,1))</f>
        <v/>
      </c>
      <c r="JA38" s="29" t="str">
        <f>IF(OR($B38="",$A38&lt;123),"",--MID('Key Analysis'!$C34,123,1))</f>
        <v/>
      </c>
      <c r="JB38" s="29" t="str">
        <f>IF(OR($B38="",$A38&lt;124),"",--MID('Key Analysis'!$C34,124,1))</f>
        <v/>
      </c>
      <c r="JC38" s="29" t="str">
        <f>IF(OR($B38="",$A38&lt;125),"",--MID('Key Analysis'!$C34,125,1))</f>
        <v/>
      </c>
      <c r="JD38" s="29" t="str">
        <f>IF(OR($B38="",$A38&lt;126),"",--MID('Key Analysis'!$C34,126,1))</f>
        <v/>
      </c>
      <c r="JE38" s="29" t="str">
        <f>IF(OR($B38="",$A38&lt;127),"",--MID('Key Analysis'!$C34,127,1))</f>
        <v/>
      </c>
      <c r="JF38" s="29" t="str">
        <f>IF(OR($B38="",$A38&lt;128),"",--MID('Key Analysis'!$C34,128,1))</f>
        <v/>
      </c>
      <c r="JG38" s="29" t="str">
        <f>IF(OR($B38="",$A38&lt;129),"",--MID('Key Analysis'!$C34,129,1))</f>
        <v/>
      </c>
      <c r="JH38" s="29" t="str">
        <f>IF(OR($B38="",$A38&lt;130),"",--MID('Key Analysis'!$C34,130,1))</f>
        <v/>
      </c>
      <c r="JI38" s="29" t="str">
        <f>IF(OR($B38="",$A38&lt;131),"",--MID('Key Analysis'!$C34,131,1))</f>
        <v/>
      </c>
      <c r="JJ38" s="29" t="str">
        <f>IF(OR($B38="",$A38&lt;132),"",--MID('Key Analysis'!$C34,132,1))</f>
        <v/>
      </c>
      <c r="JK38" s="29" t="str">
        <f>IF(OR($B38="",$A38&lt;133),"",--MID('Key Analysis'!$C34,133,1))</f>
        <v/>
      </c>
      <c r="JL38" s="29" t="str">
        <f>IF(OR($B38="",$A38&lt;134),"",--MID('Key Analysis'!$C34,134,1))</f>
        <v/>
      </c>
      <c r="JM38" s="29" t="str">
        <f>IF(OR($B38="",$A38&lt;135),"",--MID('Key Analysis'!$C34,135,1))</f>
        <v/>
      </c>
    </row>
    <row r="39" spans="1:273" x14ac:dyDescent="0.25">
      <c r="A39" s="21">
        <f>'Key Analysis'!A35</f>
        <v>34</v>
      </c>
      <c r="B39" s="30" t="str">
        <f>'Key Analysis'!B35</f>
        <v>34a65911d</v>
      </c>
      <c r="C39" s="29">
        <f>IF(OR($B39="",$A39&lt;=0),"",--MID('Key Analysis'!$C35,$A39-0,1))</f>
        <v>1</v>
      </c>
      <c r="D39" s="29">
        <f>IF(OR($B39="",$A39&lt;=1),"",--MID('Key Analysis'!$C35,$A39-1,1))</f>
        <v>0</v>
      </c>
      <c r="E39" s="29">
        <f>IF(OR($B39="",$A39&lt;=2),"",--MID('Key Analysis'!$C35,$A39-2,1))</f>
        <v>1</v>
      </c>
      <c r="F39" s="29">
        <f>IF(OR($B39="",$A39&lt;=3),"",--MID('Key Analysis'!$C35,$A39-3,1))</f>
        <v>1</v>
      </c>
      <c r="G39" s="29">
        <f>IF(OR($B39="",$A39&lt;=4),"",--MID('Key Analysis'!$C35,$A39-4,1))</f>
        <v>1</v>
      </c>
      <c r="H39" s="29">
        <f>IF(OR($B39="",$A39&lt;=5),"",--MID('Key Analysis'!$C35,$A39-5,1))</f>
        <v>0</v>
      </c>
      <c r="I39" s="29">
        <f>IF(OR($B39="",$A39&lt;=6),"",--MID('Key Analysis'!$C35,$A39-6,1))</f>
        <v>0</v>
      </c>
      <c r="J39" s="29">
        <f>IF(OR($B39="",$A39&lt;=7),"",--MID('Key Analysis'!$C35,$A39-7,1))</f>
        <v>0</v>
      </c>
      <c r="K39" s="29">
        <f>IF(OR($B39="",$A39&lt;=8),"",--MID('Key Analysis'!$C35,$A39-8,1))</f>
        <v>1</v>
      </c>
      <c r="L39" s="29">
        <f>IF(OR($B39="",$A39&lt;=9),"",--MID('Key Analysis'!$C35,$A39-9,1))</f>
        <v>0</v>
      </c>
      <c r="M39" s="29">
        <f>IF(OR($B39="",$A39&lt;=10),"",--MID('Key Analysis'!$C35,$A39-10,1))</f>
        <v>0</v>
      </c>
      <c r="N39" s="29">
        <f>IF(OR($B39="",$A39&lt;=11),"",--MID('Key Analysis'!$C35,$A39-11,1))</f>
        <v>0</v>
      </c>
      <c r="O39" s="29">
        <f>IF(OR($B39="",$A39&lt;=12),"",--MID('Key Analysis'!$C35,$A39-12,1))</f>
        <v>1</v>
      </c>
      <c r="P39" s="29">
        <f>IF(OR($B39="",$A39&lt;=13),"",--MID('Key Analysis'!$C35,$A39-13,1))</f>
        <v>0</v>
      </c>
      <c r="Q39" s="29">
        <f>IF(OR($B39="",$A39&lt;=14),"",--MID('Key Analysis'!$C35,$A39-14,1))</f>
        <v>0</v>
      </c>
      <c r="R39" s="29">
        <f>IF(OR($B39="",$A39&lt;=15),"",--MID('Key Analysis'!$C35,$A39-15,1))</f>
        <v>1</v>
      </c>
      <c r="S39" s="29">
        <f>IF(OR($B39="",$A39&lt;=16),"",--MID('Key Analysis'!$C35,$A39-16,1))</f>
        <v>1</v>
      </c>
      <c r="T39" s="29">
        <f>IF(OR($B39="",$A39&lt;=17),"",--MID('Key Analysis'!$C35,$A39-17,1))</f>
        <v>0</v>
      </c>
      <c r="U39" s="29">
        <f>IF(OR($B39="",$A39&lt;=18),"",--MID('Key Analysis'!$C35,$A39-18,1))</f>
        <v>1</v>
      </c>
      <c r="V39" s="29">
        <f>IF(OR($B39="",$A39&lt;=19),"",--MID('Key Analysis'!$C35,$A39-19,1))</f>
        <v>0</v>
      </c>
      <c r="W39" s="29">
        <f>IF(OR($B39="",$A39&lt;=20),"",--MID('Key Analysis'!$C35,$A39-20,1))</f>
        <v>0</v>
      </c>
      <c r="X39" s="29">
        <f>IF(OR($B39="",$A39&lt;=21),"",--MID('Key Analysis'!$C35,$A39-21,1))</f>
        <v>1</v>
      </c>
      <c r="Y39" s="29">
        <f>IF(OR($B39="",$A39&lt;=22),"",--MID('Key Analysis'!$C35,$A39-22,1))</f>
        <v>1</v>
      </c>
      <c r="Z39" s="29">
        <f>IF(OR($B39="",$A39&lt;=23),"",--MID('Key Analysis'!$C35,$A39-23,1))</f>
        <v>0</v>
      </c>
      <c r="AA39" s="29">
        <f>IF(OR($B39="",$A39&lt;=24),"",--MID('Key Analysis'!$C35,$A39-24,1))</f>
        <v>0</v>
      </c>
      <c r="AB39" s="29">
        <f>IF(OR($B39="",$A39&lt;=25),"",--MID('Key Analysis'!$C35,$A39-25,1))</f>
        <v>1</v>
      </c>
      <c r="AC39" s="29">
        <f>IF(OR($B39="",$A39&lt;=26),"",--MID('Key Analysis'!$C35,$A39-26,1))</f>
        <v>0</v>
      </c>
      <c r="AD39" s="29">
        <f>IF(OR($B39="",$A39&lt;=27),"",--MID('Key Analysis'!$C35,$A39-27,1))</f>
        <v>1</v>
      </c>
      <c r="AE39" s="29">
        <f>IF(OR($B39="",$A39&lt;=28),"",--MID('Key Analysis'!$C35,$A39-28,1))</f>
        <v>0</v>
      </c>
      <c r="AF39" s="29">
        <f>IF(OR($B39="",$A39&lt;=29),"",--MID('Key Analysis'!$C35,$A39-29,1))</f>
        <v>0</v>
      </c>
      <c r="AG39" s="29">
        <f>IF(OR($B39="",$A39&lt;=30),"",--MID('Key Analysis'!$C35,$A39-30,1))</f>
        <v>1</v>
      </c>
      <c r="AH39" s="29">
        <f>IF(OR($B39="",$A39&lt;=31),"",--MID('Key Analysis'!$C35,$A39-31,1))</f>
        <v>0</v>
      </c>
      <c r="AI39" s="29">
        <f>IF(OR($B39="",$A39&lt;=32),"",--MID('Key Analysis'!$C35,$A39-32,1))</f>
        <v>1</v>
      </c>
      <c r="AJ39" s="29">
        <f>IF(OR($B39="",$A39&lt;=33),"",--MID('Key Analysis'!$C35,$A39-33,1))</f>
        <v>1</v>
      </c>
      <c r="AK39" s="29" t="str">
        <f>IF(OR($B39="",$A39&lt;=34),"",--MID('Key Analysis'!$C35,$A39-34,1))</f>
        <v/>
      </c>
      <c r="AL39" s="29" t="str">
        <f>IF(OR($B39="",$A39&lt;=35),"",--MID('Key Analysis'!$C35,$A39-35,1))</f>
        <v/>
      </c>
      <c r="AM39" s="29" t="str">
        <f>IF(OR($B39="",$A39&lt;=36),"",--MID('Key Analysis'!$C35,$A39-36,1))</f>
        <v/>
      </c>
      <c r="AN39" s="29" t="str">
        <f>IF(OR($B39="",$A39&lt;=37),"",--MID('Key Analysis'!$C35,$A39-37,1))</f>
        <v/>
      </c>
      <c r="AO39" s="29" t="str">
        <f>IF(OR($B39="",$A39&lt;=38),"",--MID('Key Analysis'!$C35,$A39-38,1))</f>
        <v/>
      </c>
      <c r="AP39" s="29" t="str">
        <f>IF(OR($B39="",$A39&lt;=39),"",--MID('Key Analysis'!$C35,$A39-39,1))</f>
        <v/>
      </c>
      <c r="AQ39" s="29" t="str">
        <f>IF(OR($B39="",$A39&lt;=40),"",--MID('Key Analysis'!$C35,$A39-40,1))</f>
        <v/>
      </c>
      <c r="AR39" s="29" t="str">
        <f>IF(OR($B39="",$A39&lt;=41),"",--MID('Key Analysis'!$C35,$A39-41,1))</f>
        <v/>
      </c>
      <c r="AS39" s="29" t="str">
        <f>IF(OR($B39="",$A39&lt;=42),"",--MID('Key Analysis'!$C35,$A39-42,1))</f>
        <v/>
      </c>
      <c r="AT39" s="29" t="str">
        <f>IF(OR($B39="",$A39&lt;=43),"",--MID('Key Analysis'!$C35,$A39-43,1))</f>
        <v/>
      </c>
      <c r="AU39" s="29" t="str">
        <f>IF(OR($B39="",$A39&lt;=44),"",--MID('Key Analysis'!$C35,$A39-44,1))</f>
        <v/>
      </c>
      <c r="AV39" s="29" t="str">
        <f>IF(OR($B39="",$A39&lt;=45),"",--MID('Key Analysis'!$C35,$A39-45,1))</f>
        <v/>
      </c>
      <c r="AW39" s="29" t="str">
        <f>IF(OR($B39="",$A39&lt;=46),"",--MID('Key Analysis'!$C35,$A39-46,1))</f>
        <v/>
      </c>
      <c r="AX39" s="29" t="str">
        <f>IF(OR($B39="",$A39&lt;=47),"",--MID('Key Analysis'!$C35,$A39-47,1))</f>
        <v/>
      </c>
      <c r="AY39" s="29" t="str">
        <f>IF(OR($B39="",$A39&lt;=48),"",--MID('Key Analysis'!$C35,$A39-48,1))</f>
        <v/>
      </c>
      <c r="AZ39" s="29" t="str">
        <f>IF(OR($B39="",$A39&lt;=49),"",--MID('Key Analysis'!$C35,$A39-49,1))</f>
        <v/>
      </c>
      <c r="BA39" s="29" t="str">
        <f>IF(OR($B39="",$A39&lt;=50),"",--MID('Key Analysis'!$C35,$A39-50,1))</f>
        <v/>
      </c>
      <c r="BB39" s="29" t="str">
        <f>IF(OR($B39="",$A39&lt;=51),"",--MID('Key Analysis'!$C35,$A39-51,1))</f>
        <v/>
      </c>
      <c r="BC39" s="29" t="str">
        <f>IF(OR($B39="",$A39&lt;=52),"",--MID('Key Analysis'!$C35,$A39-52,1))</f>
        <v/>
      </c>
      <c r="BD39" s="29" t="str">
        <f>IF(OR($B39="",$A39&lt;=53),"",--MID('Key Analysis'!$C35,$A39-53,1))</f>
        <v/>
      </c>
      <c r="BE39" s="29" t="str">
        <f>IF(OR($B39="",$A39&lt;=54),"",--MID('Key Analysis'!$C35,$A39-54,1))</f>
        <v/>
      </c>
      <c r="BF39" s="29" t="str">
        <f>IF(OR($B39="",$A39&lt;=55),"",--MID('Key Analysis'!$C35,$A39-55,1))</f>
        <v/>
      </c>
      <c r="BG39" s="29" t="str">
        <f>IF(OR($B39="",$A39&lt;=56),"",--MID('Key Analysis'!$C35,$A39-56,1))</f>
        <v/>
      </c>
      <c r="BH39" s="29" t="str">
        <f>IF(OR($B39="",$A39&lt;=57),"",--MID('Key Analysis'!$C35,$A39-57,1))</f>
        <v/>
      </c>
      <c r="BI39" s="29" t="str">
        <f>IF(OR($B39="",$A39&lt;=58),"",--MID('Key Analysis'!$C35,$A39-58,1))</f>
        <v/>
      </c>
      <c r="BJ39" s="29" t="str">
        <f>IF(OR($B39="",$A39&lt;=59),"",--MID('Key Analysis'!$C35,$A39-59,1))</f>
        <v/>
      </c>
      <c r="BK39" s="29" t="str">
        <f>IF(OR($B39="",$A39&lt;=60),"",--MID('Key Analysis'!$C35,$A39-60,1))</f>
        <v/>
      </c>
      <c r="BL39" s="29" t="str">
        <f>IF(OR($B39="",$A39&lt;=61),"",--MID('Key Analysis'!$C35,$A39-61,1))</f>
        <v/>
      </c>
      <c r="BM39" s="29" t="str">
        <f>IF(OR($B39="",$A39&lt;=62),"",--MID('Key Analysis'!$C35,$A39-62,1))</f>
        <v/>
      </c>
      <c r="BN39" s="29" t="str">
        <f>IF(OR($B39="",$A39&lt;=63),"",--MID('Key Analysis'!$C35,$A39-63,1))</f>
        <v/>
      </c>
      <c r="BO39" s="29" t="str">
        <f>IF(OR($B39="",$A39&lt;=64),"",--MID('Key Analysis'!$C35,$A39-64,1))</f>
        <v/>
      </c>
      <c r="BP39" s="29" t="str">
        <f>IF(OR($B39="",$A39&lt;=65),"",--MID('Key Analysis'!$C35,$A39-65,1))</f>
        <v/>
      </c>
      <c r="BQ39" s="29" t="str">
        <f>IF(OR($B39="",$A39&lt;=66),"",--MID('Key Analysis'!$C35,$A39-66,1))</f>
        <v/>
      </c>
      <c r="BR39" s="29" t="str">
        <f>IF(OR($B39="",$A39&lt;=67),"",--MID('Key Analysis'!$C35,$A39-67,1))</f>
        <v/>
      </c>
      <c r="BS39" s="29" t="str">
        <f>IF(OR($B39="",$A39&lt;=68),"",--MID('Key Analysis'!$C35,$A39-68,1))</f>
        <v/>
      </c>
      <c r="BT39" s="29" t="str">
        <f>IF(OR($B39="",$A39&lt;=69),"",--MID('Key Analysis'!$C35,$A39-69,1))</f>
        <v/>
      </c>
      <c r="BU39" s="29" t="str">
        <f>IF(OR($B39="",$A39&lt;=70),"",--MID('Key Analysis'!$C35,$A39-70,1))</f>
        <v/>
      </c>
      <c r="BV39" s="29" t="str">
        <f>IF(OR($B39="",$A39&lt;=71),"",--MID('Key Analysis'!$C35,$A39-71,1))</f>
        <v/>
      </c>
      <c r="BW39" s="29" t="str">
        <f>IF(OR($B39="",$A39&lt;=72),"",--MID('Key Analysis'!$C35,$A39-72,1))</f>
        <v/>
      </c>
      <c r="BX39" s="29" t="str">
        <f>IF(OR($B39="",$A39&lt;=73),"",--MID('Key Analysis'!$C35,$A39-73,1))</f>
        <v/>
      </c>
      <c r="BY39" s="29" t="str">
        <f>IF(OR($B39="",$A39&lt;=74),"",--MID('Key Analysis'!$C35,$A39-74,1))</f>
        <v/>
      </c>
      <c r="BZ39" s="29" t="str">
        <f>IF(OR($B39="",$A39&lt;=75),"",--MID('Key Analysis'!$C35,$A39-75,1))</f>
        <v/>
      </c>
      <c r="CA39" s="29" t="str">
        <f>IF(OR($B39="",$A39&lt;=76),"",--MID('Key Analysis'!$C35,$A39-76,1))</f>
        <v/>
      </c>
      <c r="CB39" s="29" t="str">
        <f>IF(OR($B39="",$A39&lt;=77),"",--MID('Key Analysis'!$C35,$A39-77,1))</f>
        <v/>
      </c>
      <c r="CC39" s="29" t="str">
        <f>IF(OR($B39="",$A39&lt;=78),"",--MID('Key Analysis'!$C35,$A39-78,1))</f>
        <v/>
      </c>
      <c r="CD39" s="29" t="str">
        <f>IF(OR($B39="",$A39&lt;=79),"",--MID('Key Analysis'!$C35,$A39-79,1))</f>
        <v/>
      </c>
      <c r="CE39" s="29" t="str">
        <f>IF(OR($B39="",$A39&lt;=80),"",--MID('Key Analysis'!$C35,$A39-80,1))</f>
        <v/>
      </c>
      <c r="CF39" s="29" t="str">
        <f>IF(OR($B39="",$A39&lt;=81),"",--MID('Key Analysis'!$C35,$A39-81,1))</f>
        <v/>
      </c>
      <c r="CG39" s="29" t="str">
        <f>IF(OR($B39="",$A39&lt;=82),"",--MID('Key Analysis'!$C35,$A39-82,1))</f>
        <v/>
      </c>
      <c r="CH39" s="29" t="str">
        <f>IF(OR($B39="",$A39&lt;=83),"",--MID('Key Analysis'!$C35,$A39-83,1))</f>
        <v/>
      </c>
      <c r="CI39" s="29" t="str">
        <f>IF(OR($B39="",$A39&lt;=84),"",--MID('Key Analysis'!$C35,$A39-84,1))</f>
        <v/>
      </c>
      <c r="CJ39" s="29" t="str">
        <f>IF(OR($B39="",$A39&lt;=85),"",--MID('Key Analysis'!$C35,$A39-85,1))</f>
        <v/>
      </c>
      <c r="CK39" s="29" t="str">
        <f>IF(OR($B39="",$A39&lt;=86),"",--MID('Key Analysis'!$C35,$A39-86,1))</f>
        <v/>
      </c>
      <c r="CL39" s="29" t="str">
        <f>IF(OR($B39="",$A39&lt;=87),"",--MID('Key Analysis'!$C35,$A39-87,1))</f>
        <v/>
      </c>
      <c r="CM39" s="29" t="str">
        <f>IF(OR($B39="",$A39&lt;=88),"",--MID('Key Analysis'!$C35,$A39-88,1))</f>
        <v/>
      </c>
      <c r="CN39" s="29" t="str">
        <f>IF(OR($B39="",$A39&lt;=89),"",--MID('Key Analysis'!$C35,$A39-89,1))</f>
        <v/>
      </c>
      <c r="CO39" s="29" t="str">
        <f>IF(OR($B39="",$A39&lt;=90),"",--MID('Key Analysis'!$C35,$A39-90,1))</f>
        <v/>
      </c>
      <c r="CP39" s="29" t="str">
        <f>IF(OR($B39="",$A39&lt;=91),"",--MID('Key Analysis'!$C35,$A39-91,1))</f>
        <v/>
      </c>
      <c r="CQ39" s="29" t="str">
        <f>IF(OR($B39="",$A39&lt;=92),"",--MID('Key Analysis'!$C35,$A39-92,1))</f>
        <v/>
      </c>
      <c r="CR39" s="29" t="str">
        <f>IF(OR($B39="",$A39&lt;=93),"",--MID('Key Analysis'!$C35,$A39-93,1))</f>
        <v/>
      </c>
      <c r="CS39" s="29" t="str">
        <f>IF(OR($B39="",$A39&lt;=94),"",--MID('Key Analysis'!$C35,$A39-94,1))</f>
        <v/>
      </c>
      <c r="CT39" s="29" t="str">
        <f>IF(OR($B39="",$A39&lt;=95),"",--MID('Key Analysis'!$C35,$A39-95,1))</f>
        <v/>
      </c>
      <c r="CU39" s="29" t="str">
        <f>IF(OR($B39="",$A39&lt;=96),"",--MID('Key Analysis'!$C35,$A39-96,1))</f>
        <v/>
      </c>
      <c r="CV39" s="29" t="str">
        <f>IF(OR($B39="",$A39&lt;=97),"",--MID('Key Analysis'!$C35,$A39-97,1))</f>
        <v/>
      </c>
      <c r="CW39" s="29" t="str">
        <f>IF(OR($B39="",$A39&lt;=98),"",--MID('Key Analysis'!$C35,$A39-98,1))</f>
        <v/>
      </c>
      <c r="CX39" s="29" t="str">
        <f>IF(OR($B39="",$A39&lt;=99),"",--MID('Key Analysis'!$C35,$A39-99,1))</f>
        <v/>
      </c>
      <c r="CY39" s="29" t="str">
        <f>IF(OR($B39="",$A39&lt;=100),"",--MID('Key Analysis'!$C35,$A39-100,1))</f>
        <v/>
      </c>
      <c r="CZ39" s="29" t="str">
        <f>IF(OR($B39="",$A39&lt;=101),"",--MID('Key Analysis'!$C35,$A39-101,1))</f>
        <v/>
      </c>
      <c r="DA39" s="29" t="str">
        <f>IF(OR($B39="",$A39&lt;=102),"",--MID('Key Analysis'!$C35,$A39-102,1))</f>
        <v/>
      </c>
      <c r="DB39" s="29" t="str">
        <f>IF(OR($B39="",$A39&lt;=103),"",--MID('Key Analysis'!$C35,$A39-103,1))</f>
        <v/>
      </c>
      <c r="DC39" s="29" t="str">
        <f>IF(OR($B39="",$A39&lt;=104),"",--MID('Key Analysis'!$C35,$A39-104,1))</f>
        <v/>
      </c>
      <c r="DD39" s="29" t="str">
        <f>IF(OR($B39="",$A39&lt;=105),"",--MID('Key Analysis'!$C35,$A39-105,1))</f>
        <v/>
      </c>
      <c r="DE39" s="29" t="str">
        <f>IF(OR($B39="",$A39&lt;=106),"",--MID('Key Analysis'!$C35,$A39-106,1))</f>
        <v/>
      </c>
      <c r="DF39" s="29" t="str">
        <f>IF(OR($B39="",$A39&lt;=107),"",--MID('Key Analysis'!$C35,$A39-107,1))</f>
        <v/>
      </c>
      <c r="DG39" s="29" t="str">
        <f>IF(OR($B39="",$A39&lt;=108),"",--MID('Key Analysis'!$C35,$A39-108,1))</f>
        <v/>
      </c>
      <c r="DH39" s="29" t="str">
        <f>IF(OR($B39="",$A39&lt;=109),"",--MID('Key Analysis'!$C35,$A39-109,1))</f>
        <v/>
      </c>
      <c r="DI39" s="29" t="str">
        <f>IF(OR($B39="",$A39&lt;=110),"",--MID('Key Analysis'!$C35,$A39-110,1))</f>
        <v/>
      </c>
      <c r="DJ39" s="29" t="str">
        <f>IF(OR($B39="",$A39&lt;=111),"",--MID('Key Analysis'!$C35,$A39-111,1))</f>
        <v/>
      </c>
      <c r="DK39" s="29" t="str">
        <f>IF(OR($B39="",$A39&lt;=112),"",--MID('Key Analysis'!$C35,$A39-112,1))</f>
        <v/>
      </c>
      <c r="DL39" s="29" t="str">
        <f>IF(OR($B39="",$A39&lt;=113),"",--MID('Key Analysis'!$C35,$A39-113,1))</f>
        <v/>
      </c>
      <c r="DM39" s="29" t="str">
        <f>IF(OR($B39="",$A39&lt;=114),"",--MID('Key Analysis'!$C35,$A39-114,1))</f>
        <v/>
      </c>
      <c r="DN39" s="29" t="str">
        <f>IF(OR($B39="",$A39&lt;=115),"",--MID('Key Analysis'!$C35,$A39-115,1))</f>
        <v/>
      </c>
      <c r="DO39" s="29" t="str">
        <f>IF(OR($B39="",$A39&lt;=116),"",--MID('Key Analysis'!$C35,$A39-116,1))</f>
        <v/>
      </c>
      <c r="DP39" s="29" t="str">
        <f>IF(OR($B39="",$A39&lt;=117),"",--MID('Key Analysis'!$C35,$A39-117,1))</f>
        <v/>
      </c>
      <c r="DQ39" s="29" t="str">
        <f>IF(OR($B39="",$A39&lt;=118),"",--MID('Key Analysis'!$C35,$A39-118,1))</f>
        <v/>
      </c>
      <c r="DR39" s="29" t="str">
        <f>IF(OR($B39="",$A39&lt;=119),"",--MID('Key Analysis'!$C35,$A39-119,1))</f>
        <v/>
      </c>
      <c r="DS39" s="29" t="str">
        <f>IF(OR($B39="",$A39&lt;=120),"",--MID('Key Analysis'!$C35,$A39-120,1))</f>
        <v/>
      </c>
      <c r="DT39" s="29" t="str">
        <f>IF(OR($B39="",$A39&lt;=121),"",--MID('Key Analysis'!$C35,$A39-121,1))</f>
        <v/>
      </c>
      <c r="DU39" s="29" t="str">
        <f>IF(OR($B39="",$A39&lt;=122),"",--MID('Key Analysis'!$C35,$A39-122,1))</f>
        <v/>
      </c>
      <c r="DV39" s="29" t="str">
        <f>IF(OR($B39="",$A39&lt;=123),"",--MID('Key Analysis'!$C35,$A39-123,1))</f>
        <v/>
      </c>
      <c r="DW39" s="29" t="str">
        <f>IF(OR($B39="",$A39&lt;=124),"",--MID('Key Analysis'!$C35,$A39-124,1))</f>
        <v/>
      </c>
      <c r="DX39" s="29" t="str">
        <f>IF(OR($B39="",$A39&lt;=125),"",--MID('Key Analysis'!$C35,$A39-125,1))</f>
        <v/>
      </c>
      <c r="DY39" s="29" t="str">
        <f>IF(OR($B39="",$A39&lt;=126),"",--MID('Key Analysis'!$C35,$A39-126,1))</f>
        <v/>
      </c>
      <c r="DZ39" s="29" t="str">
        <f>IF(OR($B39="",$A39&lt;=127),"",--MID('Key Analysis'!$C35,$A39-127,1))</f>
        <v/>
      </c>
      <c r="EA39" s="29" t="str">
        <f>IF(OR($B39="",$A39&lt;=128),"",--MID('Key Analysis'!$C35,$A39-128,1))</f>
        <v/>
      </c>
      <c r="EB39" s="29" t="str">
        <f>IF(OR($B39="",$A39&lt;=129),"",--MID('Key Analysis'!$C35,$A39-129,1))</f>
        <v/>
      </c>
      <c r="EC39" s="29" t="str">
        <f>IF(OR($B39="",$A39&lt;=130),"",--MID('Key Analysis'!$C35,$A39-130,1))</f>
        <v/>
      </c>
      <c r="ED39" s="29" t="str">
        <f>IF(OR($B39="",$A39&lt;=131),"",--MID('Key Analysis'!$C35,$A39-131,1))</f>
        <v/>
      </c>
      <c r="EE39" s="29" t="str">
        <f>IF(OR($B39="",$A39&lt;=132),"",--MID('Key Analysis'!$C35,$A39-132,1))</f>
        <v/>
      </c>
      <c r="EF39" s="29" t="str">
        <f>IF(OR($B39="",$A39&lt;=133),"",--MID('Key Analysis'!$C35,$A39-133,1))</f>
        <v/>
      </c>
      <c r="EG39" s="29" t="str">
        <f>IF(OR($B39="",$A39&lt;=134),"",--MID('Key Analysis'!$C35,$A39-134,1))</f>
        <v/>
      </c>
      <c r="EH39" s="29"/>
      <c r="EI39" s="29">
        <f>IF(OR($B39="",$A39&lt;1),"",--MID('Key Analysis'!$C35,1,1))</f>
        <v>1</v>
      </c>
      <c r="EJ39" s="29">
        <f>IF(OR($B39="",$A39&lt;2),"",--MID('Key Analysis'!$C35,2,1))</f>
        <v>1</v>
      </c>
      <c r="EK39" s="29">
        <f>IF(OR($B39="",$A39&lt;3),"",--MID('Key Analysis'!$C35,3,1))</f>
        <v>0</v>
      </c>
      <c r="EL39" s="29">
        <f>IF(OR($B39="",$A39&lt;4),"",--MID('Key Analysis'!$C35,4,1))</f>
        <v>1</v>
      </c>
      <c r="EM39" s="29">
        <f>IF(OR($B39="",$A39&lt;5),"",--MID('Key Analysis'!$C35,5,1))</f>
        <v>0</v>
      </c>
      <c r="EN39" s="29">
        <f>IF(OR($B39="",$A39&lt;6),"",--MID('Key Analysis'!$C35,6,1))</f>
        <v>0</v>
      </c>
      <c r="EO39" s="29">
        <f>IF(OR($B39="",$A39&lt;7),"",--MID('Key Analysis'!$C35,7,1))</f>
        <v>1</v>
      </c>
      <c r="EP39" s="29">
        <f>IF(OR($B39="",$A39&lt;8),"",--MID('Key Analysis'!$C35,8,1))</f>
        <v>0</v>
      </c>
      <c r="EQ39" s="29">
        <f>IF(OR($B39="",$A39&lt;9),"",--MID('Key Analysis'!$C35,9,1))</f>
        <v>1</v>
      </c>
      <c r="ER39" s="29">
        <f>IF(OR($B39="",$A39&lt;10),"",--MID('Key Analysis'!$C35,10,1))</f>
        <v>0</v>
      </c>
      <c r="ES39" s="29">
        <f>IF(OR($B39="",$A39&lt;11),"",--MID('Key Analysis'!$C35,11,1))</f>
        <v>0</v>
      </c>
      <c r="ET39" s="29">
        <f>IF(OR($B39="",$A39&lt;12),"",--MID('Key Analysis'!$C35,12,1))</f>
        <v>1</v>
      </c>
      <c r="EU39" s="29">
        <f>IF(OR($B39="",$A39&lt;13),"",--MID('Key Analysis'!$C35,13,1))</f>
        <v>1</v>
      </c>
      <c r="EV39" s="29">
        <f>IF(OR($B39="",$A39&lt;14),"",--MID('Key Analysis'!$C35,14,1))</f>
        <v>0</v>
      </c>
      <c r="EW39" s="29">
        <f>IF(OR($B39="",$A39&lt;15),"",--MID('Key Analysis'!$C35,15,1))</f>
        <v>0</v>
      </c>
      <c r="EX39" s="29">
        <f>IF(OR($B39="",$A39&lt;16),"",--MID('Key Analysis'!$C35,16,1))</f>
        <v>1</v>
      </c>
      <c r="EY39" s="29">
        <f>IF(OR($B39="",$A39&lt;17),"",--MID('Key Analysis'!$C35,17,1))</f>
        <v>0</v>
      </c>
      <c r="EZ39" s="29">
        <f>IF(OR($B39="",$A39&lt;18),"",--MID('Key Analysis'!$C35,18,1))</f>
        <v>1</v>
      </c>
      <c r="FA39" s="29">
        <f>IF(OR($B39="",$A39&lt;19),"",--MID('Key Analysis'!$C35,19,1))</f>
        <v>1</v>
      </c>
      <c r="FB39" s="29">
        <f>IF(OR($B39="",$A39&lt;20),"",--MID('Key Analysis'!$C35,20,1))</f>
        <v>0</v>
      </c>
      <c r="FC39" s="29">
        <f>IF(OR($B39="",$A39&lt;21),"",--MID('Key Analysis'!$C35,21,1))</f>
        <v>0</v>
      </c>
      <c r="FD39" s="29">
        <f>IF(OR($B39="",$A39&lt;22),"",--MID('Key Analysis'!$C35,22,1))</f>
        <v>1</v>
      </c>
      <c r="FE39" s="29">
        <f>IF(OR($B39="",$A39&lt;23),"",--MID('Key Analysis'!$C35,23,1))</f>
        <v>0</v>
      </c>
      <c r="FF39" s="29">
        <f>IF(OR($B39="",$A39&lt;24),"",--MID('Key Analysis'!$C35,24,1))</f>
        <v>0</v>
      </c>
      <c r="FG39" s="29">
        <f>IF(OR($B39="",$A39&lt;25),"",--MID('Key Analysis'!$C35,25,1))</f>
        <v>0</v>
      </c>
      <c r="FH39" s="29">
        <f>IF(OR($B39="",$A39&lt;26),"",--MID('Key Analysis'!$C35,26,1))</f>
        <v>1</v>
      </c>
      <c r="FI39" s="29">
        <f>IF(OR($B39="",$A39&lt;27),"",--MID('Key Analysis'!$C35,27,1))</f>
        <v>0</v>
      </c>
      <c r="FJ39" s="29">
        <f>IF(OR($B39="",$A39&lt;28),"",--MID('Key Analysis'!$C35,28,1))</f>
        <v>0</v>
      </c>
      <c r="FK39" s="29">
        <f>IF(OR($B39="",$A39&lt;29),"",--MID('Key Analysis'!$C35,29,1))</f>
        <v>0</v>
      </c>
      <c r="FL39" s="29">
        <f>IF(OR($B39="",$A39&lt;30),"",--MID('Key Analysis'!$C35,30,1))</f>
        <v>1</v>
      </c>
      <c r="FM39" s="29">
        <f>IF(OR($B39="",$A39&lt;31),"",--MID('Key Analysis'!$C35,31,1))</f>
        <v>1</v>
      </c>
      <c r="FN39" s="29">
        <f>IF(OR($B39="",$A39&lt;32),"",--MID('Key Analysis'!$C35,32,1))</f>
        <v>1</v>
      </c>
      <c r="FO39" s="29">
        <f>IF(OR($B39="",$A39&lt;33),"",--MID('Key Analysis'!$C35,33,1))</f>
        <v>0</v>
      </c>
      <c r="FP39" s="29">
        <f>IF(OR($B39="",$A39&lt;34),"",--MID('Key Analysis'!$C35,34,1))</f>
        <v>1</v>
      </c>
      <c r="FQ39" s="29" t="str">
        <f>IF(OR($B39="",$A39&lt;35),"",--MID('Key Analysis'!$C35,35,1))</f>
        <v/>
      </c>
      <c r="FR39" s="29" t="str">
        <f>IF(OR($B39="",$A39&lt;36),"",--MID('Key Analysis'!$C35,36,1))</f>
        <v/>
      </c>
      <c r="FS39" s="29" t="str">
        <f>IF(OR($B39="",$A39&lt;37),"",--MID('Key Analysis'!$C35,37,1))</f>
        <v/>
      </c>
      <c r="FT39" s="29" t="str">
        <f>IF(OR($B39="",$A39&lt;38),"",--MID('Key Analysis'!$C35,38,1))</f>
        <v/>
      </c>
      <c r="FU39" s="29" t="str">
        <f>IF(OR($B39="",$A39&lt;39),"",--MID('Key Analysis'!$C35,39,1))</f>
        <v/>
      </c>
      <c r="FV39" s="29" t="str">
        <f>IF(OR($B39="",$A39&lt;40),"",--MID('Key Analysis'!$C35,40,1))</f>
        <v/>
      </c>
      <c r="FW39" s="29" t="str">
        <f>IF(OR($B39="",$A39&lt;41),"",--MID('Key Analysis'!$C35,41,1))</f>
        <v/>
      </c>
      <c r="FX39" s="29" t="str">
        <f>IF(OR($B39="",$A39&lt;42),"",--MID('Key Analysis'!$C35,42,1))</f>
        <v/>
      </c>
      <c r="FY39" s="29" t="str">
        <f>IF(OR($B39="",$A39&lt;43),"",--MID('Key Analysis'!$C35,43,1))</f>
        <v/>
      </c>
      <c r="FZ39" s="29" t="str">
        <f>IF(OR($B39="",$A39&lt;44),"",--MID('Key Analysis'!$C35,44,1))</f>
        <v/>
      </c>
      <c r="GA39" s="29" t="str">
        <f>IF(OR($B39="",$A39&lt;45),"",--MID('Key Analysis'!$C35,45,1))</f>
        <v/>
      </c>
      <c r="GB39" s="29" t="str">
        <f>IF(OR($B39="",$A39&lt;46),"",--MID('Key Analysis'!$C35,46,1))</f>
        <v/>
      </c>
      <c r="GC39" s="29" t="str">
        <f>IF(OR($B39="",$A39&lt;47),"",--MID('Key Analysis'!$C35,47,1))</f>
        <v/>
      </c>
      <c r="GD39" s="29" t="str">
        <f>IF(OR($B39="",$A39&lt;48),"",--MID('Key Analysis'!$C35,48,1))</f>
        <v/>
      </c>
      <c r="GE39" s="29" t="str">
        <f>IF(OR($B39="",$A39&lt;49),"",--MID('Key Analysis'!$C35,49,1))</f>
        <v/>
      </c>
      <c r="GF39" s="29" t="str">
        <f>IF(OR($B39="",$A39&lt;50),"",--MID('Key Analysis'!$C35,50,1))</f>
        <v/>
      </c>
      <c r="GG39" s="29" t="str">
        <f>IF(OR($B39="",$A39&lt;51),"",--MID('Key Analysis'!$C35,51,1))</f>
        <v/>
      </c>
      <c r="GH39" s="29" t="str">
        <f>IF(OR($B39="",$A39&lt;52),"",--MID('Key Analysis'!$C35,52,1))</f>
        <v/>
      </c>
      <c r="GI39" s="29" t="str">
        <f>IF(OR($B39="",$A39&lt;53),"",--MID('Key Analysis'!$C35,53,1))</f>
        <v/>
      </c>
      <c r="GJ39" s="29" t="str">
        <f>IF(OR($B39="",$A39&lt;54),"",--MID('Key Analysis'!$C35,54,1))</f>
        <v/>
      </c>
      <c r="GK39" s="29" t="str">
        <f>IF(OR($B39="",$A39&lt;55),"",--MID('Key Analysis'!$C35,55,1))</f>
        <v/>
      </c>
      <c r="GL39" s="29" t="str">
        <f>IF(OR($B39="",$A39&lt;56),"",--MID('Key Analysis'!$C35,56,1))</f>
        <v/>
      </c>
      <c r="GM39" s="29" t="str">
        <f>IF(OR($B39="",$A39&lt;57),"",--MID('Key Analysis'!$C35,57,1))</f>
        <v/>
      </c>
      <c r="GN39" s="29" t="str">
        <f>IF(OR($B39="",$A39&lt;58),"",--MID('Key Analysis'!$C35,58,1))</f>
        <v/>
      </c>
      <c r="GO39" s="29" t="str">
        <f>IF(OR($B39="",$A39&lt;59),"",--MID('Key Analysis'!$C35,59,1))</f>
        <v/>
      </c>
      <c r="GP39" s="29" t="str">
        <f>IF(OR($B39="",$A39&lt;60),"",--MID('Key Analysis'!$C35,60,1))</f>
        <v/>
      </c>
      <c r="GQ39" s="29" t="str">
        <f>IF(OR($B39="",$A39&lt;61),"",--MID('Key Analysis'!$C35,61,1))</f>
        <v/>
      </c>
      <c r="GR39" s="29" t="str">
        <f>IF(OR($B39="",$A39&lt;62),"",--MID('Key Analysis'!$C35,62,1))</f>
        <v/>
      </c>
      <c r="GS39" s="29" t="str">
        <f>IF(OR($B39="",$A39&lt;63),"",--MID('Key Analysis'!$C35,63,1))</f>
        <v/>
      </c>
      <c r="GT39" s="29" t="str">
        <f>IF(OR($B39="",$A39&lt;64),"",--MID('Key Analysis'!$C35,64,1))</f>
        <v/>
      </c>
      <c r="GU39" s="29" t="str">
        <f>IF(OR($B39="",$A39&lt;65),"",--MID('Key Analysis'!$C35,65,1))</f>
        <v/>
      </c>
      <c r="GV39" s="29" t="str">
        <f>IF(OR($B39="",$A39&lt;66),"",--MID('Key Analysis'!$C35,66,1))</f>
        <v/>
      </c>
      <c r="GW39" s="29" t="str">
        <f>IF(OR($B39="",$A39&lt;67),"",--MID('Key Analysis'!$C35,67,1))</f>
        <v/>
      </c>
      <c r="GX39" s="29" t="str">
        <f>IF(OR($B39="",$A39&lt;68),"",--MID('Key Analysis'!$C35,68,1))</f>
        <v/>
      </c>
      <c r="GY39" s="29" t="str">
        <f>IF(OR($B39="",$A39&lt;69),"",--MID('Key Analysis'!$C35,69,1))</f>
        <v/>
      </c>
      <c r="GZ39" s="29" t="str">
        <f>IF(OR($B39="",$A39&lt;70),"",--MID('Key Analysis'!$C35,70,1))</f>
        <v/>
      </c>
      <c r="HA39" s="29" t="str">
        <f>IF(OR($B39="",$A39&lt;71),"",--MID('Key Analysis'!$C35,71,1))</f>
        <v/>
      </c>
      <c r="HB39" s="29" t="str">
        <f>IF(OR($B39="",$A39&lt;72),"",--MID('Key Analysis'!$C35,72,1))</f>
        <v/>
      </c>
      <c r="HC39" s="29" t="str">
        <f>IF(OR($B39="",$A39&lt;73),"",--MID('Key Analysis'!$C35,73,1))</f>
        <v/>
      </c>
      <c r="HD39" s="29" t="str">
        <f>IF(OR($B39="",$A39&lt;74),"",--MID('Key Analysis'!$C35,74,1))</f>
        <v/>
      </c>
      <c r="HE39" s="29" t="str">
        <f>IF(OR($B39="",$A39&lt;75),"",--MID('Key Analysis'!$C35,75,1))</f>
        <v/>
      </c>
      <c r="HF39" s="29" t="str">
        <f>IF(OR($B39="",$A39&lt;76),"",--MID('Key Analysis'!$C35,76,1))</f>
        <v/>
      </c>
      <c r="HG39" s="29" t="str">
        <f>IF(OR($B39="",$A39&lt;77),"",--MID('Key Analysis'!$C35,77,1))</f>
        <v/>
      </c>
      <c r="HH39" s="29" t="str">
        <f>IF(OR($B39="",$A39&lt;78),"",--MID('Key Analysis'!$C35,78,1))</f>
        <v/>
      </c>
      <c r="HI39" s="29" t="str">
        <f>IF(OR($B39="",$A39&lt;79),"",--MID('Key Analysis'!$C35,79,1))</f>
        <v/>
      </c>
      <c r="HJ39" s="29" t="str">
        <f>IF(OR($B39="",$A39&lt;80),"",--MID('Key Analysis'!$C35,80,1))</f>
        <v/>
      </c>
      <c r="HK39" s="29" t="str">
        <f>IF(OR($B39="",$A39&lt;81),"",--MID('Key Analysis'!$C35,81,1))</f>
        <v/>
      </c>
      <c r="HL39" s="29" t="str">
        <f>IF(OR($B39="",$A39&lt;82),"",--MID('Key Analysis'!$C35,82,1))</f>
        <v/>
      </c>
      <c r="HM39" s="29" t="str">
        <f>IF(OR($B39="",$A39&lt;83),"",--MID('Key Analysis'!$C35,83,1))</f>
        <v/>
      </c>
      <c r="HN39" s="29" t="str">
        <f>IF(OR($B39="",$A39&lt;84),"",--MID('Key Analysis'!$C35,84,1))</f>
        <v/>
      </c>
      <c r="HO39" s="29" t="str">
        <f>IF(OR($B39="",$A39&lt;85),"",--MID('Key Analysis'!$C35,85,1))</f>
        <v/>
      </c>
      <c r="HP39" s="29" t="str">
        <f>IF(OR($B39="",$A39&lt;86),"",--MID('Key Analysis'!$C35,86,1))</f>
        <v/>
      </c>
      <c r="HQ39" s="29" t="str">
        <f>IF(OR($B39="",$A39&lt;87),"",--MID('Key Analysis'!$C35,87,1))</f>
        <v/>
      </c>
      <c r="HR39" s="29" t="str">
        <f>IF(OR($B39="",$A39&lt;88),"",--MID('Key Analysis'!$C35,88,1))</f>
        <v/>
      </c>
      <c r="HS39" s="29" t="str">
        <f>IF(OR($B39="",$A39&lt;89),"",--MID('Key Analysis'!$C35,89,1))</f>
        <v/>
      </c>
      <c r="HT39" s="29" t="str">
        <f>IF(OR($B39="",$A39&lt;90),"",--MID('Key Analysis'!$C35,90,1))</f>
        <v/>
      </c>
      <c r="HU39" s="29" t="str">
        <f>IF(OR($B39="",$A39&lt;91),"",--MID('Key Analysis'!$C35,91,1))</f>
        <v/>
      </c>
      <c r="HV39" s="29" t="str">
        <f>IF(OR($B39="",$A39&lt;92),"",--MID('Key Analysis'!$C35,92,1))</f>
        <v/>
      </c>
      <c r="HW39" s="29" t="str">
        <f>IF(OR($B39="",$A39&lt;93),"",--MID('Key Analysis'!$C35,93,1))</f>
        <v/>
      </c>
      <c r="HX39" s="29" t="str">
        <f>IF(OR($B39="",$A39&lt;94),"",--MID('Key Analysis'!$C35,94,1))</f>
        <v/>
      </c>
      <c r="HY39" s="29" t="str">
        <f>IF(OR($B39="",$A39&lt;95),"",--MID('Key Analysis'!$C35,95,1))</f>
        <v/>
      </c>
      <c r="HZ39" s="29" t="str">
        <f>IF(OR($B39="",$A39&lt;96),"",--MID('Key Analysis'!$C35,96,1))</f>
        <v/>
      </c>
      <c r="IA39" s="29" t="str">
        <f>IF(OR($B39="",$A39&lt;97),"",--MID('Key Analysis'!$C35,97,1))</f>
        <v/>
      </c>
      <c r="IB39" s="29" t="str">
        <f>IF(OR($B39="",$A39&lt;98),"",--MID('Key Analysis'!$C35,98,1))</f>
        <v/>
      </c>
      <c r="IC39" s="29" t="str">
        <f>IF(OR($B39="",$A39&lt;99),"",--MID('Key Analysis'!$C35,99,1))</f>
        <v/>
      </c>
      <c r="ID39" s="29" t="str">
        <f>IF(OR($B39="",$A39&lt;100),"",--MID('Key Analysis'!$C35,100,1))</f>
        <v/>
      </c>
      <c r="IE39" s="29" t="str">
        <f>IF(OR($B39="",$A39&lt;101),"",--MID('Key Analysis'!$C35,101,1))</f>
        <v/>
      </c>
      <c r="IF39" s="29" t="str">
        <f>IF(OR($B39="",$A39&lt;102),"",--MID('Key Analysis'!$C35,102,1))</f>
        <v/>
      </c>
      <c r="IG39" s="29" t="str">
        <f>IF(OR($B39="",$A39&lt;103),"",--MID('Key Analysis'!$C35,103,1))</f>
        <v/>
      </c>
      <c r="IH39" s="29" t="str">
        <f>IF(OR($B39="",$A39&lt;104),"",--MID('Key Analysis'!$C35,104,1))</f>
        <v/>
      </c>
      <c r="II39" s="29" t="str">
        <f>IF(OR($B39="",$A39&lt;105),"",--MID('Key Analysis'!$C35,105,1))</f>
        <v/>
      </c>
      <c r="IJ39" s="29" t="str">
        <f>IF(OR($B39="",$A39&lt;106),"",--MID('Key Analysis'!$C35,106,1))</f>
        <v/>
      </c>
      <c r="IK39" s="29" t="str">
        <f>IF(OR($B39="",$A39&lt;107),"",--MID('Key Analysis'!$C35,107,1))</f>
        <v/>
      </c>
      <c r="IL39" s="29" t="str">
        <f>IF(OR($B39="",$A39&lt;108),"",--MID('Key Analysis'!$C35,108,1))</f>
        <v/>
      </c>
      <c r="IM39" s="29" t="str">
        <f>IF(OR($B39="",$A39&lt;109),"",--MID('Key Analysis'!$C35,109,1))</f>
        <v/>
      </c>
      <c r="IN39" s="29" t="str">
        <f>IF(OR($B39="",$A39&lt;110),"",--MID('Key Analysis'!$C35,110,1))</f>
        <v/>
      </c>
      <c r="IO39" s="29" t="str">
        <f>IF(OR($B39="",$A39&lt;111),"",--MID('Key Analysis'!$C35,111,1))</f>
        <v/>
      </c>
      <c r="IP39" s="29" t="str">
        <f>IF(OR($B39="",$A39&lt;112),"",--MID('Key Analysis'!$C35,112,1))</f>
        <v/>
      </c>
      <c r="IQ39" s="29" t="str">
        <f>IF(OR($B39="",$A39&lt;113),"",--MID('Key Analysis'!$C35,113,1))</f>
        <v/>
      </c>
      <c r="IR39" s="29" t="str">
        <f>IF(OR($B39="",$A39&lt;114),"",--MID('Key Analysis'!$C35,114,1))</f>
        <v/>
      </c>
      <c r="IS39" s="29" t="str">
        <f>IF(OR($B39="",$A39&lt;115),"",--MID('Key Analysis'!$C35,115,1))</f>
        <v/>
      </c>
      <c r="IT39" s="29" t="str">
        <f>IF(OR($B39="",$A39&lt;116),"",--MID('Key Analysis'!$C35,116,1))</f>
        <v/>
      </c>
      <c r="IU39" s="29" t="str">
        <f>IF(OR($B39="",$A39&lt;117),"",--MID('Key Analysis'!$C35,117,1))</f>
        <v/>
      </c>
      <c r="IV39" s="29" t="str">
        <f>IF(OR($B39="",$A39&lt;118),"",--MID('Key Analysis'!$C35,118,1))</f>
        <v/>
      </c>
      <c r="IW39" s="29" t="str">
        <f>IF(OR($B39="",$A39&lt;119),"",--MID('Key Analysis'!$C35,119,1))</f>
        <v/>
      </c>
      <c r="IX39" s="29" t="str">
        <f>IF(OR($B39="",$A39&lt;120),"",--MID('Key Analysis'!$C35,120,1))</f>
        <v/>
      </c>
      <c r="IY39" s="29" t="str">
        <f>IF(OR($B39="",$A39&lt;121),"",--MID('Key Analysis'!$C35,121,1))</f>
        <v/>
      </c>
      <c r="IZ39" s="29" t="str">
        <f>IF(OR($B39="",$A39&lt;122),"",--MID('Key Analysis'!$C35,122,1))</f>
        <v/>
      </c>
      <c r="JA39" s="29" t="str">
        <f>IF(OR($B39="",$A39&lt;123),"",--MID('Key Analysis'!$C35,123,1))</f>
        <v/>
      </c>
      <c r="JB39" s="29" t="str">
        <f>IF(OR($B39="",$A39&lt;124),"",--MID('Key Analysis'!$C35,124,1))</f>
        <v/>
      </c>
      <c r="JC39" s="29" t="str">
        <f>IF(OR($B39="",$A39&lt;125),"",--MID('Key Analysis'!$C35,125,1))</f>
        <v/>
      </c>
      <c r="JD39" s="29" t="str">
        <f>IF(OR($B39="",$A39&lt;126),"",--MID('Key Analysis'!$C35,126,1))</f>
        <v/>
      </c>
      <c r="JE39" s="29" t="str">
        <f>IF(OR($B39="",$A39&lt;127),"",--MID('Key Analysis'!$C35,127,1))</f>
        <v/>
      </c>
      <c r="JF39" s="29" t="str">
        <f>IF(OR($B39="",$A39&lt;128),"",--MID('Key Analysis'!$C35,128,1))</f>
        <v/>
      </c>
      <c r="JG39" s="29" t="str">
        <f>IF(OR($B39="",$A39&lt;129),"",--MID('Key Analysis'!$C35,129,1))</f>
        <v/>
      </c>
      <c r="JH39" s="29" t="str">
        <f>IF(OR($B39="",$A39&lt;130),"",--MID('Key Analysis'!$C35,130,1))</f>
        <v/>
      </c>
      <c r="JI39" s="29" t="str">
        <f>IF(OR($B39="",$A39&lt;131),"",--MID('Key Analysis'!$C35,131,1))</f>
        <v/>
      </c>
      <c r="JJ39" s="29" t="str">
        <f>IF(OR($B39="",$A39&lt;132),"",--MID('Key Analysis'!$C35,132,1))</f>
        <v/>
      </c>
      <c r="JK39" s="29" t="str">
        <f>IF(OR($B39="",$A39&lt;133),"",--MID('Key Analysis'!$C35,133,1))</f>
        <v/>
      </c>
      <c r="JL39" s="29" t="str">
        <f>IF(OR($B39="",$A39&lt;134),"",--MID('Key Analysis'!$C35,134,1))</f>
        <v/>
      </c>
      <c r="JM39" s="29" t="str">
        <f>IF(OR($B39="",$A39&lt;135),"",--MID('Key Analysis'!$C35,135,1))</f>
        <v/>
      </c>
    </row>
    <row r="40" spans="1:273" x14ac:dyDescent="0.25">
      <c r="A40" s="21">
        <f>'Key Analysis'!A36</f>
        <v>35</v>
      </c>
      <c r="B40" s="30" t="str">
        <f>'Key Analysis'!B36</f>
        <v>4aed21170</v>
      </c>
      <c r="C40" s="29">
        <f>IF(OR($B40="",$A40&lt;=0),"",--MID('Key Analysis'!$C36,$A40-0,1))</f>
        <v>0</v>
      </c>
      <c r="D40" s="29">
        <f>IF(OR($B40="",$A40&lt;=1),"",--MID('Key Analysis'!$C36,$A40-1,1))</f>
        <v>0</v>
      </c>
      <c r="E40" s="29">
        <f>IF(OR($B40="",$A40&lt;=2),"",--MID('Key Analysis'!$C36,$A40-2,1))</f>
        <v>0</v>
      </c>
      <c r="F40" s="29">
        <f>IF(OR($B40="",$A40&lt;=3),"",--MID('Key Analysis'!$C36,$A40-3,1))</f>
        <v>0</v>
      </c>
      <c r="G40" s="29">
        <f>IF(OR($B40="",$A40&lt;=4),"",--MID('Key Analysis'!$C36,$A40-4,1))</f>
        <v>1</v>
      </c>
      <c r="H40" s="29">
        <f>IF(OR($B40="",$A40&lt;=5),"",--MID('Key Analysis'!$C36,$A40-5,1))</f>
        <v>1</v>
      </c>
      <c r="I40" s="29">
        <f>IF(OR($B40="",$A40&lt;=6),"",--MID('Key Analysis'!$C36,$A40-6,1))</f>
        <v>1</v>
      </c>
      <c r="J40" s="29">
        <f>IF(OR($B40="",$A40&lt;=7),"",--MID('Key Analysis'!$C36,$A40-7,1))</f>
        <v>0</v>
      </c>
      <c r="K40" s="29">
        <f>IF(OR($B40="",$A40&lt;=8),"",--MID('Key Analysis'!$C36,$A40-8,1))</f>
        <v>1</v>
      </c>
      <c r="L40" s="29">
        <f>IF(OR($B40="",$A40&lt;=9),"",--MID('Key Analysis'!$C36,$A40-9,1))</f>
        <v>0</v>
      </c>
      <c r="M40" s="29">
        <f>IF(OR($B40="",$A40&lt;=10),"",--MID('Key Analysis'!$C36,$A40-10,1))</f>
        <v>0</v>
      </c>
      <c r="N40" s="29">
        <f>IF(OR($B40="",$A40&lt;=11),"",--MID('Key Analysis'!$C36,$A40-11,1))</f>
        <v>0</v>
      </c>
      <c r="O40" s="29">
        <f>IF(OR($B40="",$A40&lt;=12),"",--MID('Key Analysis'!$C36,$A40-12,1))</f>
        <v>1</v>
      </c>
      <c r="P40" s="29">
        <f>IF(OR($B40="",$A40&lt;=13),"",--MID('Key Analysis'!$C36,$A40-13,1))</f>
        <v>0</v>
      </c>
      <c r="Q40" s="29">
        <f>IF(OR($B40="",$A40&lt;=14),"",--MID('Key Analysis'!$C36,$A40-14,1))</f>
        <v>0</v>
      </c>
      <c r="R40" s="29">
        <f>IF(OR($B40="",$A40&lt;=15),"",--MID('Key Analysis'!$C36,$A40-15,1))</f>
        <v>0</v>
      </c>
      <c r="S40" s="29">
        <f>IF(OR($B40="",$A40&lt;=16),"",--MID('Key Analysis'!$C36,$A40-16,1))</f>
        <v>0</v>
      </c>
      <c r="T40" s="29">
        <f>IF(OR($B40="",$A40&lt;=17),"",--MID('Key Analysis'!$C36,$A40-17,1))</f>
        <v>1</v>
      </c>
      <c r="U40" s="29">
        <f>IF(OR($B40="",$A40&lt;=18),"",--MID('Key Analysis'!$C36,$A40-18,1))</f>
        <v>0</v>
      </c>
      <c r="V40" s="29">
        <f>IF(OR($B40="",$A40&lt;=19),"",--MID('Key Analysis'!$C36,$A40-19,1))</f>
        <v>0</v>
      </c>
      <c r="W40" s="29">
        <f>IF(OR($B40="",$A40&lt;=20),"",--MID('Key Analysis'!$C36,$A40-20,1))</f>
        <v>1</v>
      </c>
      <c r="X40" s="29">
        <f>IF(OR($B40="",$A40&lt;=21),"",--MID('Key Analysis'!$C36,$A40-21,1))</f>
        <v>0</v>
      </c>
      <c r="Y40" s="29">
        <f>IF(OR($B40="",$A40&lt;=22),"",--MID('Key Analysis'!$C36,$A40-22,1))</f>
        <v>1</v>
      </c>
      <c r="Z40" s="29">
        <f>IF(OR($B40="",$A40&lt;=23),"",--MID('Key Analysis'!$C36,$A40-23,1))</f>
        <v>1</v>
      </c>
      <c r="AA40" s="29">
        <f>IF(OR($B40="",$A40&lt;=24),"",--MID('Key Analysis'!$C36,$A40-24,1))</f>
        <v>0</v>
      </c>
      <c r="AB40" s="29">
        <f>IF(OR($B40="",$A40&lt;=25),"",--MID('Key Analysis'!$C36,$A40-25,1))</f>
        <v>1</v>
      </c>
      <c r="AC40" s="29">
        <f>IF(OR($B40="",$A40&lt;=26),"",--MID('Key Analysis'!$C36,$A40-26,1))</f>
        <v>1</v>
      </c>
      <c r="AD40" s="29">
        <f>IF(OR($B40="",$A40&lt;=27),"",--MID('Key Analysis'!$C36,$A40-27,1))</f>
        <v>1</v>
      </c>
      <c r="AE40" s="29">
        <f>IF(OR($B40="",$A40&lt;=28),"",--MID('Key Analysis'!$C36,$A40-28,1))</f>
        <v>0</v>
      </c>
      <c r="AF40" s="29">
        <f>IF(OR($B40="",$A40&lt;=29),"",--MID('Key Analysis'!$C36,$A40-29,1))</f>
        <v>1</v>
      </c>
      <c r="AG40" s="29">
        <f>IF(OR($B40="",$A40&lt;=30),"",--MID('Key Analysis'!$C36,$A40-30,1))</f>
        <v>0</v>
      </c>
      <c r="AH40" s="29">
        <f>IF(OR($B40="",$A40&lt;=31),"",--MID('Key Analysis'!$C36,$A40-31,1))</f>
        <v>1</v>
      </c>
      <c r="AI40" s="29">
        <f>IF(OR($B40="",$A40&lt;=32),"",--MID('Key Analysis'!$C36,$A40-32,1))</f>
        <v>0</v>
      </c>
      <c r="AJ40" s="29">
        <f>IF(OR($B40="",$A40&lt;=33),"",--MID('Key Analysis'!$C36,$A40-33,1))</f>
        <v>0</v>
      </c>
      <c r="AK40" s="29">
        <f>IF(OR($B40="",$A40&lt;=34),"",--MID('Key Analysis'!$C36,$A40-34,1))</f>
        <v>1</v>
      </c>
      <c r="AL40" s="29" t="str">
        <f>IF(OR($B40="",$A40&lt;=35),"",--MID('Key Analysis'!$C36,$A40-35,1))</f>
        <v/>
      </c>
      <c r="AM40" s="29" t="str">
        <f>IF(OR($B40="",$A40&lt;=36),"",--MID('Key Analysis'!$C36,$A40-36,1))</f>
        <v/>
      </c>
      <c r="AN40" s="29" t="str">
        <f>IF(OR($B40="",$A40&lt;=37),"",--MID('Key Analysis'!$C36,$A40-37,1))</f>
        <v/>
      </c>
      <c r="AO40" s="29" t="str">
        <f>IF(OR($B40="",$A40&lt;=38),"",--MID('Key Analysis'!$C36,$A40-38,1))</f>
        <v/>
      </c>
      <c r="AP40" s="29" t="str">
        <f>IF(OR($B40="",$A40&lt;=39),"",--MID('Key Analysis'!$C36,$A40-39,1))</f>
        <v/>
      </c>
      <c r="AQ40" s="29" t="str">
        <f>IF(OR($B40="",$A40&lt;=40),"",--MID('Key Analysis'!$C36,$A40-40,1))</f>
        <v/>
      </c>
      <c r="AR40" s="29" t="str">
        <f>IF(OR($B40="",$A40&lt;=41),"",--MID('Key Analysis'!$C36,$A40-41,1))</f>
        <v/>
      </c>
      <c r="AS40" s="29" t="str">
        <f>IF(OR($B40="",$A40&lt;=42),"",--MID('Key Analysis'!$C36,$A40-42,1))</f>
        <v/>
      </c>
      <c r="AT40" s="29" t="str">
        <f>IF(OR($B40="",$A40&lt;=43),"",--MID('Key Analysis'!$C36,$A40-43,1))</f>
        <v/>
      </c>
      <c r="AU40" s="29" t="str">
        <f>IF(OR($B40="",$A40&lt;=44),"",--MID('Key Analysis'!$C36,$A40-44,1))</f>
        <v/>
      </c>
      <c r="AV40" s="29" t="str">
        <f>IF(OR($B40="",$A40&lt;=45),"",--MID('Key Analysis'!$C36,$A40-45,1))</f>
        <v/>
      </c>
      <c r="AW40" s="29" t="str">
        <f>IF(OR($B40="",$A40&lt;=46),"",--MID('Key Analysis'!$C36,$A40-46,1))</f>
        <v/>
      </c>
      <c r="AX40" s="29" t="str">
        <f>IF(OR($B40="",$A40&lt;=47),"",--MID('Key Analysis'!$C36,$A40-47,1))</f>
        <v/>
      </c>
      <c r="AY40" s="29" t="str">
        <f>IF(OR($B40="",$A40&lt;=48),"",--MID('Key Analysis'!$C36,$A40-48,1))</f>
        <v/>
      </c>
      <c r="AZ40" s="29" t="str">
        <f>IF(OR($B40="",$A40&lt;=49),"",--MID('Key Analysis'!$C36,$A40-49,1))</f>
        <v/>
      </c>
      <c r="BA40" s="29" t="str">
        <f>IF(OR($B40="",$A40&lt;=50),"",--MID('Key Analysis'!$C36,$A40-50,1))</f>
        <v/>
      </c>
      <c r="BB40" s="29" t="str">
        <f>IF(OR($B40="",$A40&lt;=51),"",--MID('Key Analysis'!$C36,$A40-51,1))</f>
        <v/>
      </c>
      <c r="BC40" s="29" t="str">
        <f>IF(OR($B40="",$A40&lt;=52),"",--MID('Key Analysis'!$C36,$A40-52,1))</f>
        <v/>
      </c>
      <c r="BD40" s="29" t="str">
        <f>IF(OR($B40="",$A40&lt;=53),"",--MID('Key Analysis'!$C36,$A40-53,1))</f>
        <v/>
      </c>
      <c r="BE40" s="29" t="str">
        <f>IF(OR($B40="",$A40&lt;=54),"",--MID('Key Analysis'!$C36,$A40-54,1))</f>
        <v/>
      </c>
      <c r="BF40" s="29" t="str">
        <f>IF(OR($B40="",$A40&lt;=55),"",--MID('Key Analysis'!$C36,$A40-55,1))</f>
        <v/>
      </c>
      <c r="BG40" s="29" t="str">
        <f>IF(OR($B40="",$A40&lt;=56),"",--MID('Key Analysis'!$C36,$A40-56,1))</f>
        <v/>
      </c>
      <c r="BH40" s="29" t="str">
        <f>IF(OR($B40="",$A40&lt;=57),"",--MID('Key Analysis'!$C36,$A40-57,1))</f>
        <v/>
      </c>
      <c r="BI40" s="29" t="str">
        <f>IF(OR($B40="",$A40&lt;=58),"",--MID('Key Analysis'!$C36,$A40-58,1))</f>
        <v/>
      </c>
      <c r="BJ40" s="29" t="str">
        <f>IF(OR($B40="",$A40&lt;=59),"",--MID('Key Analysis'!$C36,$A40-59,1))</f>
        <v/>
      </c>
      <c r="BK40" s="29" t="str">
        <f>IF(OR($B40="",$A40&lt;=60),"",--MID('Key Analysis'!$C36,$A40-60,1))</f>
        <v/>
      </c>
      <c r="BL40" s="29" t="str">
        <f>IF(OR($B40="",$A40&lt;=61),"",--MID('Key Analysis'!$C36,$A40-61,1))</f>
        <v/>
      </c>
      <c r="BM40" s="29" t="str">
        <f>IF(OR($B40="",$A40&lt;=62),"",--MID('Key Analysis'!$C36,$A40-62,1))</f>
        <v/>
      </c>
      <c r="BN40" s="29" t="str">
        <f>IF(OR($B40="",$A40&lt;=63),"",--MID('Key Analysis'!$C36,$A40-63,1))</f>
        <v/>
      </c>
      <c r="BO40" s="29" t="str">
        <f>IF(OR($B40="",$A40&lt;=64),"",--MID('Key Analysis'!$C36,$A40-64,1))</f>
        <v/>
      </c>
      <c r="BP40" s="29" t="str">
        <f>IF(OR($B40="",$A40&lt;=65),"",--MID('Key Analysis'!$C36,$A40-65,1))</f>
        <v/>
      </c>
      <c r="BQ40" s="29" t="str">
        <f>IF(OR($B40="",$A40&lt;=66),"",--MID('Key Analysis'!$C36,$A40-66,1))</f>
        <v/>
      </c>
      <c r="BR40" s="29" t="str">
        <f>IF(OR($B40="",$A40&lt;=67),"",--MID('Key Analysis'!$C36,$A40-67,1))</f>
        <v/>
      </c>
      <c r="BS40" s="29" t="str">
        <f>IF(OR($B40="",$A40&lt;=68),"",--MID('Key Analysis'!$C36,$A40-68,1))</f>
        <v/>
      </c>
      <c r="BT40" s="29" t="str">
        <f>IF(OR($B40="",$A40&lt;=69),"",--MID('Key Analysis'!$C36,$A40-69,1))</f>
        <v/>
      </c>
      <c r="BU40" s="29" t="str">
        <f>IF(OR($B40="",$A40&lt;=70),"",--MID('Key Analysis'!$C36,$A40-70,1))</f>
        <v/>
      </c>
      <c r="BV40" s="29" t="str">
        <f>IF(OR($B40="",$A40&lt;=71),"",--MID('Key Analysis'!$C36,$A40-71,1))</f>
        <v/>
      </c>
      <c r="BW40" s="29" t="str">
        <f>IF(OR($B40="",$A40&lt;=72),"",--MID('Key Analysis'!$C36,$A40-72,1))</f>
        <v/>
      </c>
      <c r="BX40" s="29" t="str">
        <f>IF(OR($B40="",$A40&lt;=73),"",--MID('Key Analysis'!$C36,$A40-73,1))</f>
        <v/>
      </c>
      <c r="BY40" s="29" t="str">
        <f>IF(OR($B40="",$A40&lt;=74),"",--MID('Key Analysis'!$C36,$A40-74,1))</f>
        <v/>
      </c>
      <c r="BZ40" s="29" t="str">
        <f>IF(OR($B40="",$A40&lt;=75),"",--MID('Key Analysis'!$C36,$A40-75,1))</f>
        <v/>
      </c>
      <c r="CA40" s="29" t="str">
        <f>IF(OR($B40="",$A40&lt;=76),"",--MID('Key Analysis'!$C36,$A40-76,1))</f>
        <v/>
      </c>
      <c r="CB40" s="29" t="str">
        <f>IF(OR($B40="",$A40&lt;=77),"",--MID('Key Analysis'!$C36,$A40-77,1))</f>
        <v/>
      </c>
      <c r="CC40" s="29" t="str">
        <f>IF(OR($B40="",$A40&lt;=78),"",--MID('Key Analysis'!$C36,$A40-78,1))</f>
        <v/>
      </c>
      <c r="CD40" s="29" t="str">
        <f>IF(OR($B40="",$A40&lt;=79),"",--MID('Key Analysis'!$C36,$A40-79,1))</f>
        <v/>
      </c>
      <c r="CE40" s="29" t="str">
        <f>IF(OR($B40="",$A40&lt;=80),"",--MID('Key Analysis'!$C36,$A40-80,1))</f>
        <v/>
      </c>
      <c r="CF40" s="29" t="str">
        <f>IF(OR($B40="",$A40&lt;=81),"",--MID('Key Analysis'!$C36,$A40-81,1))</f>
        <v/>
      </c>
      <c r="CG40" s="29" t="str">
        <f>IF(OR($B40="",$A40&lt;=82),"",--MID('Key Analysis'!$C36,$A40-82,1))</f>
        <v/>
      </c>
      <c r="CH40" s="29" t="str">
        <f>IF(OR($B40="",$A40&lt;=83),"",--MID('Key Analysis'!$C36,$A40-83,1))</f>
        <v/>
      </c>
      <c r="CI40" s="29" t="str">
        <f>IF(OR($B40="",$A40&lt;=84),"",--MID('Key Analysis'!$C36,$A40-84,1))</f>
        <v/>
      </c>
      <c r="CJ40" s="29" t="str">
        <f>IF(OR($B40="",$A40&lt;=85),"",--MID('Key Analysis'!$C36,$A40-85,1))</f>
        <v/>
      </c>
      <c r="CK40" s="29" t="str">
        <f>IF(OR($B40="",$A40&lt;=86),"",--MID('Key Analysis'!$C36,$A40-86,1))</f>
        <v/>
      </c>
      <c r="CL40" s="29" t="str">
        <f>IF(OR($B40="",$A40&lt;=87),"",--MID('Key Analysis'!$C36,$A40-87,1))</f>
        <v/>
      </c>
      <c r="CM40" s="29" t="str">
        <f>IF(OR($B40="",$A40&lt;=88),"",--MID('Key Analysis'!$C36,$A40-88,1))</f>
        <v/>
      </c>
      <c r="CN40" s="29" t="str">
        <f>IF(OR($B40="",$A40&lt;=89),"",--MID('Key Analysis'!$C36,$A40-89,1))</f>
        <v/>
      </c>
      <c r="CO40" s="29" t="str">
        <f>IF(OR($B40="",$A40&lt;=90),"",--MID('Key Analysis'!$C36,$A40-90,1))</f>
        <v/>
      </c>
      <c r="CP40" s="29" t="str">
        <f>IF(OR($B40="",$A40&lt;=91),"",--MID('Key Analysis'!$C36,$A40-91,1))</f>
        <v/>
      </c>
      <c r="CQ40" s="29" t="str">
        <f>IF(OR($B40="",$A40&lt;=92),"",--MID('Key Analysis'!$C36,$A40-92,1))</f>
        <v/>
      </c>
      <c r="CR40" s="29" t="str">
        <f>IF(OR($B40="",$A40&lt;=93),"",--MID('Key Analysis'!$C36,$A40-93,1))</f>
        <v/>
      </c>
      <c r="CS40" s="29" t="str">
        <f>IF(OR($B40="",$A40&lt;=94),"",--MID('Key Analysis'!$C36,$A40-94,1))</f>
        <v/>
      </c>
      <c r="CT40" s="29" t="str">
        <f>IF(OR($B40="",$A40&lt;=95),"",--MID('Key Analysis'!$C36,$A40-95,1))</f>
        <v/>
      </c>
      <c r="CU40" s="29" t="str">
        <f>IF(OR($B40="",$A40&lt;=96),"",--MID('Key Analysis'!$C36,$A40-96,1))</f>
        <v/>
      </c>
      <c r="CV40" s="29" t="str">
        <f>IF(OR($B40="",$A40&lt;=97),"",--MID('Key Analysis'!$C36,$A40-97,1))</f>
        <v/>
      </c>
      <c r="CW40" s="29" t="str">
        <f>IF(OR($B40="",$A40&lt;=98),"",--MID('Key Analysis'!$C36,$A40-98,1))</f>
        <v/>
      </c>
      <c r="CX40" s="29" t="str">
        <f>IF(OR($B40="",$A40&lt;=99),"",--MID('Key Analysis'!$C36,$A40-99,1))</f>
        <v/>
      </c>
      <c r="CY40" s="29" t="str">
        <f>IF(OR($B40="",$A40&lt;=100),"",--MID('Key Analysis'!$C36,$A40-100,1))</f>
        <v/>
      </c>
      <c r="CZ40" s="29" t="str">
        <f>IF(OR($B40="",$A40&lt;=101),"",--MID('Key Analysis'!$C36,$A40-101,1))</f>
        <v/>
      </c>
      <c r="DA40" s="29" t="str">
        <f>IF(OR($B40="",$A40&lt;=102),"",--MID('Key Analysis'!$C36,$A40-102,1))</f>
        <v/>
      </c>
      <c r="DB40" s="29" t="str">
        <f>IF(OR($B40="",$A40&lt;=103),"",--MID('Key Analysis'!$C36,$A40-103,1))</f>
        <v/>
      </c>
      <c r="DC40" s="29" t="str">
        <f>IF(OR($B40="",$A40&lt;=104),"",--MID('Key Analysis'!$C36,$A40-104,1))</f>
        <v/>
      </c>
      <c r="DD40" s="29" t="str">
        <f>IF(OR($B40="",$A40&lt;=105),"",--MID('Key Analysis'!$C36,$A40-105,1))</f>
        <v/>
      </c>
      <c r="DE40" s="29" t="str">
        <f>IF(OR($B40="",$A40&lt;=106),"",--MID('Key Analysis'!$C36,$A40-106,1))</f>
        <v/>
      </c>
      <c r="DF40" s="29" t="str">
        <f>IF(OR($B40="",$A40&lt;=107),"",--MID('Key Analysis'!$C36,$A40-107,1))</f>
        <v/>
      </c>
      <c r="DG40" s="29" t="str">
        <f>IF(OR($B40="",$A40&lt;=108),"",--MID('Key Analysis'!$C36,$A40-108,1))</f>
        <v/>
      </c>
      <c r="DH40" s="29" t="str">
        <f>IF(OR($B40="",$A40&lt;=109),"",--MID('Key Analysis'!$C36,$A40-109,1))</f>
        <v/>
      </c>
      <c r="DI40" s="29" t="str">
        <f>IF(OR($B40="",$A40&lt;=110),"",--MID('Key Analysis'!$C36,$A40-110,1))</f>
        <v/>
      </c>
      <c r="DJ40" s="29" t="str">
        <f>IF(OR($B40="",$A40&lt;=111),"",--MID('Key Analysis'!$C36,$A40-111,1))</f>
        <v/>
      </c>
      <c r="DK40" s="29" t="str">
        <f>IF(OR($B40="",$A40&lt;=112),"",--MID('Key Analysis'!$C36,$A40-112,1))</f>
        <v/>
      </c>
      <c r="DL40" s="29" t="str">
        <f>IF(OR($B40="",$A40&lt;=113),"",--MID('Key Analysis'!$C36,$A40-113,1))</f>
        <v/>
      </c>
      <c r="DM40" s="29" t="str">
        <f>IF(OR($B40="",$A40&lt;=114),"",--MID('Key Analysis'!$C36,$A40-114,1))</f>
        <v/>
      </c>
      <c r="DN40" s="29" t="str">
        <f>IF(OR($B40="",$A40&lt;=115),"",--MID('Key Analysis'!$C36,$A40-115,1))</f>
        <v/>
      </c>
      <c r="DO40" s="29" t="str">
        <f>IF(OR($B40="",$A40&lt;=116),"",--MID('Key Analysis'!$C36,$A40-116,1))</f>
        <v/>
      </c>
      <c r="DP40" s="29" t="str">
        <f>IF(OR($B40="",$A40&lt;=117),"",--MID('Key Analysis'!$C36,$A40-117,1))</f>
        <v/>
      </c>
      <c r="DQ40" s="29" t="str">
        <f>IF(OR($B40="",$A40&lt;=118),"",--MID('Key Analysis'!$C36,$A40-118,1))</f>
        <v/>
      </c>
      <c r="DR40" s="29" t="str">
        <f>IF(OR($B40="",$A40&lt;=119),"",--MID('Key Analysis'!$C36,$A40-119,1))</f>
        <v/>
      </c>
      <c r="DS40" s="29" t="str">
        <f>IF(OR($B40="",$A40&lt;=120),"",--MID('Key Analysis'!$C36,$A40-120,1))</f>
        <v/>
      </c>
      <c r="DT40" s="29" t="str">
        <f>IF(OR($B40="",$A40&lt;=121),"",--MID('Key Analysis'!$C36,$A40-121,1))</f>
        <v/>
      </c>
      <c r="DU40" s="29" t="str">
        <f>IF(OR($B40="",$A40&lt;=122),"",--MID('Key Analysis'!$C36,$A40-122,1))</f>
        <v/>
      </c>
      <c r="DV40" s="29" t="str">
        <f>IF(OR($B40="",$A40&lt;=123),"",--MID('Key Analysis'!$C36,$A40-123,1))</f>
        <v/>
      </c>
      <c r="DW40" s="29" t="str">
        <f>IF(OR($B40="",$A40&lt;=124),"",--MID('Key Analysis'!$C36,$A40-124,1))</f>
        <v/>
      </c>
      <c r="DX40" s="29" t="str">
        <f>IF(OR($B40="",$A40&lt;=125),"",--MID('Key Analysis'!$C36,$A40-125,1))</f>
        <v/>
      </c>
      <c r="DY40" s="29" t="str">
        <f>IF(OR($B40="",$A40&lt;=126),"",--MID('Key Analysis'!$C36,$A40-126,1))</f>
        <v/>
      </c>
      <c r="DZ40" s="29" t="str">
        <f>IF(OR($B40="",$A40&lt;=127),"",--MID('Key Analysis'!$C36,$A40-127,1))</f>
        <v/>
      </c>
      <c r="EA40" s="29" t="str">
        <f>IF(OR($B40="",$A40&lt;=128),"",--MID('Key Analysis'!$C36,$A40-128,1))</f>
        <v/>
      </c>
      <c r="EB40" s="29" t="str">
        <f>IF(OR($B40="",$A40&lt;=129),"",--MID('Key Analysis'!$C36,$A40-129,1))</f>
        <v/>
      </c>
      <c r="EC40" s="29" t="str">
        <f>IF(OR($B40="",$A40&lt;=130),"",--MID('Key Analysis'!$C36,$A40-130,1))</f>
        <v/>
      </c>
      <c r="ED40" s="29" t="str">
        <f>IF(OR($B40="",$A40&lt;=131),"",--MID('Key Analysis'!$C36,$A40-131,1))</f>
        <v/>
      </c>
      <c r="EE40" s="29" t="str">
        <f>IF(OR($B40="",$A40&lt;=132),"",--MID('Key Analysis'!$C36,$A40-132,1))</f>
        <v/>
      </c>
      <c r="EF40" s="29" t="str">
        <f>IF(OR($B40="",$A40&lt;=133),"",--MID('Key Analysis'!$C36,$A40-133,1))</f>
        <v/>
      </c>
      <c r="EG40" s="29" t="str">
        <f>IF(OR($B40="",$A40&lt;=134),"",--MID('Key Analysis'!$C36,$A40-134,1))</f>
        <v/>
      </c>
      <c r="EH40" s="29"/>
      <c r="EI40" s="29">
        <f>IF(OR($B40="",$A40&lt;1),"",--MID('Key Analysis'!$C36,1,1))</f>
        <v>1</v>
      </c>
      <c r="EJ40" s="29">
        <f>IF(OR($B40="",$A40&lt;2),"",--MID('Key Analysis'!$C36,2,1))</f>
        <v>0</v>
      </c>
      <c r="EK40" s="29">
        <f>IF(OR($B40="",$A40&lt;3),"",--MID('Key Analysis'!$C36,3,1))</f>
        <v>0</v>
      </c>
      <c r="EL40" s="29">
        <f>IF(OR($B40="",$A40&lt;4),"",--MID('Key Analysis'!$C36,4,1))</f>
        <v>1</v>
      </c>
      <c r="EM40" s="29">
        <f>IF(OR($B40="",$A40&lt;5),"",--MID('Key Analysis'!$C36,5,1))</f>
        <v>0</v>
      </c>
      <c r="EN40" s="29">
        <f>IF(OR($B40="",$A40&lt;6),"",--MID('Key Analysis'!$C36,6,1))</f>
        <v>1</v>
      </c>
      <c r="EO40" s="29">
        <f>IF(OR($B40="",$A40&lt;7),"",--MID('Key Analysis'!$C36,7,1))</f>
        <v>0</v>
      </c>
      <c r="EP40" s="29">
        <f>IF(OR($B40="",$A40&lt;8),"",--MID('Key Analysis'!$C36,8,1))</f>
        <v>1</v>
      </c>
      <c r="EQ40" s="29">
        <f>IF(OR($B40="",$A40&lt;9),"",--MID('Key Analysis'!$C36,9,1))</f>
        <v>1</v>
      </c>
      <c r="ER40" s="29">
        <f>IF(OR($B40="",$A40&lt;10),"",--MID('Key Analysis'!$C36,10,1))</f>
        <v>1</v>
      </c>
      <c r="ES40" s="29">
        <f>IF(OR($B40="",$A40&lt;11),"",--MID('Key Analysis'!$C36,11,1))</f>
        <v>0</v>
      </c>
      <c r="ET40" s="29">
        <f>IF(OR($B40="",$A40&lt;12),"",--MID('Key Analysis'!$C36,12,1))</f>
        <v>1</v>
      </c>
      <c r="EU40" s="29">
        <f>IF(OR($B40="",$A40&lt;13),"",--MID('Key Analysis'!$C36,13,1))</f>
        <v>1</v>
      </c>
      <c r="EV40" s="29">
        <f>IF(OR($B40="",$A40&lt;14),"",--MID('Key Analysis'!$C36,14,1))</f>
        <v>0</v>
      </c>
      <c r="EW40" s="29">
        <f>IF(OR($B40="",$A40&lt;15),"",--MID('Key Analysis'!$C36,15,1))</f>
        <v>1</v>
      </c>
      <c r="EX40" s="29">
        <f>IF(OR($B40="",$A40&lt;16),"",--MID('Key Analysis'!$C36,16,1))</f>
        <v>0</v>
      </c>
      <c r="EY40" s="29">
        <f>IF(OR($B40="",$A40&lt;17),"",--MID('Key Analysis'!$C36,17,1))</f>
        <v>0</v>
      </c>
      <c r="EZ40" s="29">
        <f>IF(OR($B40="",$A40&lt;18),"",--MID('Key Analysis'!$C36,18,1))</f>
        <v>1</v>
      </c>
      <c r="FA40" s="29">
        <f>IF(OR($B40="",$A40&lt;19),"",--MID('Key Analysis'!$C36,19,1))</f>
        <v>0</v>
      </c>
      <c r="FB40" s="29">
        <f>IF(OR($B40="",$A40&lt;20),"",--MID('Key Analysis'!$C36,20,1))</f>
        <v>0</v>
      </c>
      <c r="FC40" s="29">
        <f>IF(OR($B40="",$A40&lt;21),"",--MID('Key Analysis'!$C36,21,1))</f>
        <v>0</v>
      </c>
      <c r="FD40" s="29">
        <f>IF(OR($B40="",$A40&lt;22),"",--MID('Key Analysis'!$C36,22,1))</f>
        <v>0</v>
      </c>
      <c r="FE40" s="29">
        <f>IF(OR($B40="",$A40&lt;23),"",--MID('Key Analysis'!$C36,23,1))</f>
        <v>1</v>
      </c>
      <c r="FF40" s="29">
        <f>IF(OR($B40="",$A40&lt;24),"",--MID('Key Analysis'!$C36,24,1))</f>
        <v>0</v>
      </c>
      <c r="FG40" s="29">
        <f>IF(OR($B40="",$A40&lt;25),"",--MID('Key Analysis'!$C36,25,1))</f>
        <v>0</v>
      </c>
      <c r="FH40" s="29">
        <f>IF(OR($B40="",$A40&lt;26),"",--MID('Key Analysis'!$C36,26,1))</f>
        <v>0</v>
      </c>
      <c r="FI40" s="29">
        <f>IF(OR($B40="",$A40&lt;27),"",--MID('Key Analysis'!$C36,27,1))</f>
        <v>1</v>
      </c>
      <c r="FJ40" s="29">
        <f>IF(OR($B40="",$A40&lt;28),"",--MID('Key Analysis'!$C36,28,1))</f>
        <v>0</v>
      </c>
      <c r="FK40" s="29">
        <f>IF(OR($B40="",$A40&lt;29),"",--MID('Key Analysis'!$C36,29,1))</f>
        <v>1</v>
      </c>
      <c r="FL40" s="29">
        <f>IF(OR($B40="",$A40&lt;30),"",--MID('Key Analysis'!$C36,30,1))</f>
        <v>1</v>
      </c>
      <c r="FM40" s="29">
        <f>IF(OR($B40="",$A40&lt;31),"",--MID('Key Analysis'!$C36,31,1))</f>
        <v>1</v>
      </c>
      <c r="FN40" s="29">
        <f>IF(OR($B40="",$A40&lt;32),"",--MID('Key Analysis'!$C36,32,1))</f>
        <v>0</v>
      </c>
      <c r="FO40" s="29">
        <f>IF(OR($B40="",$A40&lt;33),"",--MID('Key Analysis'!$C36,33,1))</f>
        <v>0</v>
      </c>
      <c r="FP40" s="29">
        <f>IF(OR($B40="",$A40&lt;34),"",--MID('Key Analysis'!$C36,34,1))</f>
        <v>0</v>
      </c>
      <c r="FQ40" s="29">
        <f>IF(OR($B40="",$A40&lt;35),"",--MID('Key Analysis'!$C36,35,1))</f>
        <v>0</v>
      </c>
      <c r="FR40" s="29" t="str">
        <f>IF(OR($B40="",$A40&lt;36),"",--MID('Key Analysis'!$C36,36,1))</f>
        <v/>
      </c>
      <c r="FS40" s="29" t="str">
        <f>IF(OR($B40="",$A40&lt;37),"",--MID('Key Analysis'!$C36,37,1))</f>
        <v/>
      </c>
      <c r="FT40" s="29" t="str">
        <f>IF(OR($B40="",$A40&lt;38),"",--MID('Key Analysis'!$C36,38,1))</f>
        <v/>
      </c>
      <c r="FU40" s="29" t="str">
        <f>IF(OR($B40="",$A40&lt;39),"",--MID('Key Analysis'!$C36,39,1))</f>
        <v/>
      </c>
      <c r="FV40" s="29" t="str">
        <f>IF(OR($B40="",$A40&lt;40),"",--MID('Key Analysis'!$C36,40,1))</f>
        <v/>
      </c>
      <c r="FW40" s="29" t="str">
        <f>IF(OR($B40="",$A40&lt;41),"",--MID('Key Analysis'!$C36,41,1))</f>
        <v/>
      </c>
      <c r="FX40" s="29" t="str">
        <f>IF(OR($B40="",$A40&lt;42),"",--MID('Key Analysis'!$C36,42,1))</f>
        <v/>
      </c>
      <c r="FY40" s="29" t="str">
        <f>IF(OR($B40="",$A40&lt;43),"",--MID('Key Analysis'!$C36,43,1))</f>
        <v/>
      </c>
      <c r="FZ40" s="29" t="str">
        <f>IF(OR($B40="",$A40&lt;44),"",--MID('Key Analysis'!$C36,44,1))</f>
        <v/>
      </c>
      <c r="GA40" s="29" t="str">
        <f>IF(OR($B40="",$A40&lt;45),"",--MID('Key Analysis'!$C36,45,1))</f>
        <v/>
      </c>
      <c r="GB40" s="29" t="str">
        <f>IF(OR($B40="",$A40&lt;46),"",--MID('Key Analysis'!$C36,46,1))</f>
        <v/>
      </c>
      <c r="GC40" s="29" t="str">
        <f>IF(OR($B40="",$A40&lt;47),"",--MID('Key Analysis'!$C36,47,1))</f>
        <v/>
      </c>
      <c r="GD40" s="29" t="str">
        <f>IF(OR($B40="",$A40&lt;48),"",--MID('Key Analysis'!$C36,48,1))</f>
        <v/>
      </c>
      <c r="GE40" s="29" t="str">
        <f>IF(OR($B40="",$A40&lt;49),"",--MID('Key Analysis'!$C36,49,1))</f>
        <v/>
      </c>
      <c r="GF40" s="29" t="str">
        <f>IF(OR($B40="",$A40&lt;50),"",--MID('Key Analysis'!$C36,50,1))</f>
        <v/>
      </c>
      <c r="GG40" s="29" t="str">
        <f>IF(OR($B40="",$A40&lt;51),"",--MID('Key Analysis'!$C36,51,1))</f>
        <v/>
      </c>
      <c r="GH40" s="29" t="str">
        <f>IF(OR($B40="",$A40&lt;52),"",--MID('Key Analysis'!$C36,52,1))</f>
        <v/>
      </c>
      <c r="GI40" s="29" t="str">
        <f>IF(OR($B40="",$A40&lt;53),"",--MID('Key Analysis'!$C36,53,1))</f>
        <v/>
      </c>
      <c r="GJ40" s="29" t="str">
        <f>IF(OR($B40="",$A40&lt;54),"",--MID('Key Analysis'!$C36,54,1))</f>
        <v/>
      </c>
      <c r="GK40" s="29" t="str">
        <f>IF(OR($B40="",$A40&lt;55),"",--MID('Key Analysis'!$C36,55,1))</f>
        <v/>
      </c>
      <c r="GL40" s="29" t="str">
        <f>IF(OR($B40="",$A40&lt;56),"",--MID('Key Analysis'!$C36,56,1))</f>
        <v/>
      </c>
      <c r="GM40" s="29" t="str">
        <f>IF(OR($B40="",$A40&lt;57),"",--MID('Key Analysis'!$C36,57,1))</f>
        <v/>
      </c>
      <c r="GN40" s="29" t="str">
        <f>IF(OR($B40="",$A40&lt;58),"",--MID('Key Analysis'!$C36,58,1))</f>
        <v/>
      </c>
      <c r="GO40" s="29" t="str">
        <f>IF(OR($B40="",$A40&lt;59),"",--MID('Key Analysis'!$C36,59,1))</f>
        <v/>
      </c>
      <c r="GP40" s="29" t="str">
        <f>IF(OR($B40="",$A40&lt;60),"",--MID('Key Analysis'!$C36,60,1))</f>
        <v/>
      </c>
      <c r="GQ40" s="29" t="str">
        <f>IF(OR($B40="",$A40&lt;61),"",--MID('Key Analysis'!$C36,61,1))</f>
        <v/>
      </c>
      <c r="GR40" s="29" t="str">
        <f>IF(OR($B40="",$A40&lt;62),"",--MID('Key Analysis'!$C36,62,1))</f>
        <v/>
      </c>
      <c r="GS40" s="29" t="str">
        <f>IF(OR($B40="",$A40&lt;63),"",--MID('Key Analysis'!$C36,63,1))</f>
        <v/>
      </c>
      <c r="GT40" s="29" t="str">
        <f>IF(OR($B40="",$A40&lt;64),"",--MID('Key Analysis'!$C36,64,1))</f>
        <v/>
      </c>
      <c r="GU40" s="29" t="str">
        <f>IF(OR($B40="",$A40&lt;65),"",--MID('Key Analysis'!$C36,65,1))</f>
        <v/>
      </c>
      <c r="GV40" s="29" t="str">
        <f>IF(OR($B40="",$A40&lt;66),"",--MID('Key Analysis'!$C36,66,1))</f>
        <v/>
      </c>
      <c r="GW40" s="29" t="str">
        <f>IF(OR($B40="",$A40&lt;67),"",--MID('Key Analysis'!$C36,67,1))</f>
        <v/>
      </c>
      <c r="GX40" s="29" t="str">
        <f>IF(OR($B40="",$A40&lt;68),"",--MID('Key Analysis'!$C36,68,1))</f>
        <v/>
      </c>
      <c r="GY40" s="29" t="str">
        <f>IF(OR($B40="",$A40&lt;69),"",--MID('Key Analysis'!$C36,69,1))</f>
        <v/>
      </c>
      <c r="GZ40" s="29" t="str">
        <f>IF(OR($B40="",$A40&lt;70),"",--MID('Key Analysis'!$C36,70,1))</f>
        <v/>
      </c>
      <c r="HA40" s="29" t="str">
        <f>IF(OR($B40="",$A40&lt;71),"",--MID('Key Analysis'!$C36,71,1))</f>
        <v/>
      </c>
      <c r="HB40" s="29" t="str">
        <f>IF(OR($B40="",$A40&lt;72),"",--MID('Key Analysis'!$C36,72,1))</f>
        <v/>
      </c>
      <c r="HC40" s="29" t="str">
        <f>IF(OR($B40="",$A40&lt;73),"",--MID('Key Analysis'!$C36,73,1))</f>
        <v/>
      </c>
      <c r="HD40" s="29" t="str">
        <f>IF(OR($B40="",$A40&lt;74),"",--MID('Key Analysis'!$C36,74,1))</f>
        <v/>
      </c>
      <c r="HE40" s="29" t="str">
        <f>IF(OR($B40="",$A40&lt;75),"",--MID('Key Analysis'!$C36,75,1))</f>
        <v/>
      </c>
      <c r="HF40" s="29" t="str">
        <f>IF(OR($B40="",$A40&lt;76),"",--MID('Key Analysis'!$C36,76,1))</f>
        <v/>
      </c>
      <c r="HG40" s="29" t="str">
        <f>IF(OR($B40="",$A40&lt;77),"",--MID('Key Analysis'!$C36,77,1))</f>
        <v/>
      </c>
      <c r="HH40" s="29" t="str">
        <f>IF(OR($B40="",$A40&lt;78),"",--MID('Key Analysis'!$C36,78,1))</f>
        <v/>
      </c>
      <c r="HI40" s="29" t="str">
        <f>IF(OR($B40="",$A40&lt;79),"",--MID('Key Analysis'!$C36,79,1))</f>
        <v/>
      </c>
      <c r="HJ40" s="29" t="str">
        <f>IF(OR($B40="",$A40&lt;80),"",--MID('Key Analysis'!$C36,80,1))</f>
        <v/>
      </c>
      <c r="HK40" s="29" t="str">
        <f>IF(OR($B40="",$A40&lt;81),"",--MID('Key Analysis'!$C36,81,1))</f>
        <v/>
      </c>
      <c r="HL40" s="29" t="str">
        <f>IF(OR($B40="",$A40&lt;82),"",--MID('Key Analysis'!$C36,82,1))</f>
        <v/>
      </c>
      <c r="HM40" s="29" t="str">
        <f>IF(OR($B40="",$A40&lt;83),"",--MID('Key Analysis'!$C36,83,1))</f>
        <v/>
      </c>
      <c r="HN40" s="29" t="str">
        <f>IF(OR($B40="",$A40&lt;84),"",--MID('Key Analysis'!$C36,84,1))</f>
        <v/>
      </c>
      <c r="HO40" s="29" t="str">
        <f>IF(OR($B40="",$A40&lt;85),"",--MID('Key Analysis'!$C36,85,1))</f>
        <v/>
      </c>
      <c r="HP40" s="29" t="str">
        <f>IF(OR($B40="",$A40&lt;86),"",--MID('Key Analysis'!$C36,86,1))</f>
        <v/>
      </c>
      <c r="HQ40" s="29" t="str">
        <f>IF(OR($B40="",$A40&lt;87),"",--MID('Key Analysis'!$C36,87,1))</f>
        <v/>
      </c>
      <c r="HR40" s="29" t="str">
        <f>IF(OR($B40="",$A40&lt;88),"",--MID('Key Analysis'!$C36,88,1))</f>
        <v/>
      </c>
      <c r="HS40" s="29" t="str">
        <f>IF(OR($B40="",$A40&lt;89),"",--MID('Key Analysis'!$C36,89,1))</f>
        <v/>
      </c>
      <c r="HT40" s="29" t="str">
        <f>IF(OR($B40="",$A40&lt;90),"",--MID('Key Analysis'!$C36,90,1))</f>
        <v/>
      </c>
      <c r="HU40" s="29" t="str">
        <f>IF(OR($B40="",$A40&lt;91),"",--MID('Key Analysis'!$C36,91,1))</f>
        <v/>
      </c>
      <c r="HV40" s="29" t="str">
        <f>IF(OR($B40="",$A40&lt;92),"",--MID('Key Analysis'!$C36,92,1))</f>
        <v/>
      </c>
      <c r="HW40" s="29" t="str">
        <f>IF(OR($B40="",$A40&lt;93),"",--MID('Key Analysis'!$C36,93,1))</f>
        <v/>
      </c>
      <c r="HX40" s="29" t="str">
        <f>IF(OR($B40="",$A40&lt;94),"",--MID('Key Analysis'!$C36,94,1))</f>
        <v/>
      </c>
      <c r="HY40" s="29" t="str">
        <f>IF(OR($B40="",$A40&lt;95),"",--MID('Key Analysis'!$C36,95,1))</f>
        <v/>
      </c>
      <c r="HZ40" s="29" t="str">
        <f>IF(OR($B40="",$A40&lt;96),"",--MID('Key Analysis'!$C36,96,1))</f>
        <v/>
      </c>
      <c r="IA40" s="29" t="str">
        <f>IF(OR($B40="",$A40&lt;97),"",--MID('Key Analysis'!$C36,97,1))</f>
        <v/>
      </c>
      <c r="IB40" s="29" t="str">
        <f>IF(OR($B40="",$A40&lt;98),"",--MID('Key Analysis'!$C36,98,1))</f>
        <v/>
      </c>
      <c r="IC40" s="29" t="str">
        <f>IF(OR($B40="",$A40&lt;99),"",--MID('Key Analysis'!$C36,99,1))</f>
        <v/>
      </c>
      <c r="ID40" s="29" t="str">
        <f>IF(OR($B40="",$A40&lt;100),"",--MID('Key Analysis'!$C36,100,1))</f>
        <v/>
      </c>
      <c r="IE40" s="29" t="str">
        <f>IF(OR($B40="",$A40&lt;101),"",--MID('Key Analysis'!$C36,101,1))</f>
        <v/>
      </c>
      <c r="IF40" s="29" t="str">
        <f>IF(OR($B40="",$A40&lt;102),"",--MID('Key Analysis'!$C36,102,1))</f>
        <v/>
      </c>
      <c r="IG40" s="29" t="str">
        <f>IF(OR($B40="",$A40&lt;103),"",--MID('Key Analysis'!$C36,103,1))</f>
        <v/>
      </c>
      <c r="IH40" s="29" t="str">
        <f>IF(OR($B40="",$A40&lt;104),"",--MID('Key Analysis'!$C36,104,1))</f>
        <v/>
      </c>
      <c r="II40" s="29" t="str">
        <f>IF(OR($B40="",$A40&lt;105),"",--MID('Key Analysis'!$C36,105,1))</f>
        <v/>
      </c>
      <c r="IJ40" s="29" t="str">
        <f>IF(OR($B40="",$A40&lt;106),"",--MID('Key Analysis'!$C36,106,1))</f>
        <v/>
      </c>
      <c r="IK40" s="29" t="str">
        <f>IF(OR($B40="",$A40&lt;107),"",--MID('Key Analysis'!$C36,107,1))</f>
        <v/>
      </c>
      <c r="IL40" s="29" t="str">
        <f>IF(OR($B40="",$A40&lt;108),"",--MID('Key Analysis'!$C36,108,1))</f>
        <v/>
      </c>
      <c r="IM40" s="29" t="str">
        <f>IF(OR($B40="",$A40&lt;109),"",--MID('Key Analysis'!$C36,109,1))</f>
        <v/>
      </c>
      <c r="IN40" s="29" t="str">
        <f>IF(OR($B40="",$A40&lt;110),"",--MID('Key Analysis'!$C36,110,1))</f>
        <v/>
      </c>
      <c r="IO40" s="29" t="str">
        <f>IF(OR($B40="",$A40&lt;111),"",--MID('Key Analysis'!$C36,111,1))</f>
        <v/>
      </c>
      <c r="IP40" s="29" t="str">
        <f>IF(OR($B40="",$A40&lt;112),"",--MID('Key Analysis'!$C36,112,1))</f>
        <v/>
      </c>
      <c r="IQ40" s="29" t="str">
        <f>IF(OR($B40="",$A40&lt;113),"",--MID('Key Analysis'!$C36,113,1))</f>
        <v/>
      </c>
      <c r="IR40" s="29" t="str">
        <f>IF(OR($B40="",$A40&lt;114),"",--MID('Key Analysis'!$C36,114,1))</f>
        <v/>
      </c>
      <c r="IS40" s="29" t="str">
        <f>IF(OR($B40="",$A40&lt;115),"",--MID('Key Analysis'!$C36,115,1))</f>
        <v/>
      </c>
      <c r="IT40" s="29" t="str">
        <f>IF(OR($B40="",$A40&lt;116),"",--MID('Key Analysis'!$C36,116,1))</f>
        <v/>
      </c>
      <c r="IU40" s="29" t="str">
        <f>IF(OR($B40="",$A40&lt;117),"",--MID('Key Analysis'!$C36,117,1))</f>
        <v/>
      </c>
      <c r="IV40" s="29" t="str">
        <f>IF(OR($B40="",$A40&lt;118),"",--MID('Key Analysis'!$C36,118,1))</f>
        <v/>
      </c>
      <c r="IW40" s="29" t="str">
        <f>IF(OR($B40="",$A40&lt;119),"",--MID('Key Analysis'!$C36,119,1))</f>
        <v/>
      </c>
      <c r="IX40" s="29" t="str">
        <f>IF(OR($B40="",$A40&lt;120),"",--MID('Key Analysis'!$C36,120,1))</f>
        <v/>
      </c>
      <c r="IY40" s="29" t="str">
        <f>IF(OR($B40="",$A40&lt;121),"",--MID('Key Analysis'!$C36,121,1))</f>
        <v/>
      </c>
      <c r="IZ40" s="29" t="str">
        <f>IF(OR($B40="",$A40&lt;122),"",--MID('Key Analysis'!$C36,122,1))</f>
        <v/>
      </c>
      <c r="JA40" s="29" t="str">
        <f>IF(OR($B40="",$A40&lt;123),"",--MID('Key Analysis'!$C36,123,1))</f>
        <v/>
      </c>
      <c r="JB40" s="29" t="str">
        <f>IF(OR($B40="",$A40&lt;124),"",--MID('Key Analysis'!$C36,124,1))</f>
        <v/>
      </c>
      <c r="JC40" s="29" t="str">
        <f>IF(OR($B40="",$A40&lt;125),"",--MID('Key Analysis'!$C36,125,1))</f>
        <v/>
      </c>
      <c r="JD40" s="29" t="str">
        <f>IF(OR($B40="",$A40&lt;126),"",--MID('Key Analysis'!$C36,126,1))</f>
        <v/>
      </c>
      <c r="JE40" s="29" t="str">
        <f>IF(OR($B40="",$A40&lt;127),"",--MID('Key Analysis'!$C36,127,1))</f>
        <v/>
      </c>
      <c r="JF40" s="29" t="str">
        <f>IF(OR($B40="",$A40&lt;128),"",--MID('Key Analysis'!$C36,128,1))</f>
        <v/>
      </c>
      <c r="JG40" s="29" t="str">
        <f>IF(OR($B40="",$A40&lt;129),"",--MID('Key Analysis'!$C36,129,1))</f>
        <v/>
      </c>
      <c r="JH40" s="29" t="str">
        <f>IF(OR($B40="",$A40&lt;130),"",--MID('Key Analysis'!$C36,130,1))</f>
        <v/>
      </c>
      <c r="JI40" s="29" t="str">
        <f>IF(OR($B40="",$A40&lt;131),"",--MID('Key Analysis'!$C36,131,1))</f>
        <v/>
      </c>
      <c r="JJ40" s="29" t="str">
        <f>IF(OR($B40="",$A40&lt;132),"",--MID('Key Analysis'!$C36,132,1))</f>
        <v/>
      </c>
      <c r="JK40" s="29" t="str">
        <f>IF(OR($B40="",$A40&lt;133),"",--MID('Key Analysis'!$C36,133,1))</f>
        <v/>
      </c>
      <c r="JL40" s="29" t="str">
        <f>IF(OR($B40="",$A40&lt;134),"",--MID('Key Analysis'!$C36,134,1))</f>
        <v/>
      </c>
      <c r="JM40" s="29" t="str">
        <f>IF(OR($B40="",$A40&lt;135),"",--MID('Key Analysis'!$C36,135,1))</f>
        <v/>
      </c>
    </row>
    <row r="41" spans="1:273" x14ac:dyDescent="0.25">
      <c r="A41" s="21">
        <f>'Key Analysis'!A37</f>
        <v>36</v>
      </c>
      <c r="B41" s="30" t="str">
        <f>'Key Analysis'!B37</f>
        <v>9de820a7c</v>
      </c>
      <c r="C41" s="29">
        <f>IF(OR($B41="",$A41&lt;=0),"",--MID('Key Analysis'!$C37,$A41-0,1))</f>
        <v>0</v>
      </c>
      <c r="D41" s="29">
        <f>IF(OR($B41="",$A41&lt;=1),"",--MID('Key Analysis'!$C37,$A41-1,1))</f>
        <v>0</v>
      </c>
      <c r="E41" s="29">
        <f>IF(OR($B41="",$A41&lt;=2),"",--MID('Key Analysis'!$C37,$A41-2,1))</f>
        <v>1</v>
      </c>
      <c r="F41" s="29">
        <f>IF(OR($B41="",$A41&lt;=3),"",--MID('Key Analysis'!$C37,$A41-3,1))</f>
        <v>1</v>
      </c>
      <c r="G41" s="29">
        <f>IF(OR($B41="",$A41&lt;=4),"",--MID('Key Analysis'!$C37,$A41-4,1))</f>
        <v>1</v>
      </c>
      <c r="H41" s="29">
        <f>IF(OR($B41="",$A41&lt;=5),"",--MID('Key Analysis'!$C37,$A41-5,1))</f>
        <v>1</v>
      </c>
      <c r="I41" s="29">
        <f>IF(OR($B41="",$A41&lt;=6),"",--MID('Key Analysis'!$C37,$A41-6,1))</f>
        <v>1</v>
      </c>
      <c r="J41" s="29">
        <f>IF(OR($B41="",$A41&lt;=7),"",--MID('Key Analysis'!$C37,$A41-7,1))</f>
        <v>0</v>
      </c>
      <c r="K41" s="29">
        <f>IF(OR($B41="",$A41&lt;=8),"",--MID('Key Analysis'!$C37,$A41-8,1))</f>
        <v>0</v>
      </c>
      <c r="L41" s="29">
        <f>IF(OR($B41="",$A41&lt;=9),"",--MID('Key Analysis'!$C37,$A41-9,1))</f>
        <v>1</v>
      </c>
      <c r="M41" s="29">
        <f>IF(OR($B41="",$A41&lt;=10),"",--MID('Key Analysis'!$C37,$A41-10,1))</f>
        <v>0</v>
      </c>
      <c r="N41" s="29">
        <f>IF(OR($B41="",$A41&lt;=11),"",--MID('Key Analysis'!$C37,$A41-11,1))</f>
        <v>1</v>
      </c>
      <c r="O41" s="29">
        <f>IF(OR($B41="",$A41&lt;=12),"",--MID('Key Analysis'!$C37,$A41-12,1))</f>
        <v>0</v>
      </c>
      <c r="P41" s="29">
        <f>IF(OR($B41="",$A41&lt;=13),"",--MID('Key Analysis'!$C37,$A41-13,1))</f>
        <v>0</v>
      </c>
      <c r="Q41" s="29">
        <f>IF(OR($B41="",$A41&lt;=14),"",--MID('Key Analysis'!$C37,$A41-14,1))</f>
        <v>0</v>
      </c>
      <c r="R41" s="29">
        <f>IF(OR($B41="",$A41&lt;=15),"",--MID('Key Analysis'!$C37,$A41-15,1))</f>
        <v>0</v>
      </c>
      <c r="S41" s="29">
        <f>IF(OR($B41="",$A41&lt;=16),"",--MID('Key Analysis'!$C37,$A41-16,1))</f>
        <v>0</v>
      </c>
      <c r="T41" s="29">
        <f>IF(OR($B41="",$A41&lt;=17),"",--MID('Key Analysis'!$C37,$A41-17,1))</f>
        <v>1</v>
      </c>
      <c r="U41" s="29">
        <f>IF(OR($B41="",$A41&lt;=18),"",--MID('Key Analysis'!$C37,$A41-18,1))</f>
        <v>0</v>
      </c>
      <c r="V41" s="29">
        <f>IF(OR($B41="",$A41&lt;=19),"",--MID('Key Analysis'!$C37,$A41-19,1))</f>
        <v>0</v>
      </c>
      <c r="W41" s="29">
        <f>IF(OR($B41="",$A41&lt;=20),"",--MID('Key Analysis'!$C37,$A41-20,1))</f>
        <v>0</v>
      </c>
      <c r="X41" s="29">
        <f>IF(OR($B41="",$A41&lt;=21),"",--MID('Key Analysis'!$C37,$A41-21,1))</f>
        <v>0</v>
      </c>
      <c r="Y41" s="29">
        <f>IF(OR($B41="",$A41&lt;=22),"",--MID('Key Analysis'!$C37,$A41-22,1))</f>
        <v>0</v>
      </c>
      <c r="Z41" s="29">
        <f>IF(OR($B41="",$A41&lt;=23),"",--MID('Key Analysis'!$C37,$A41-23,1))</f>
        <v>1</v>
      </c>
      <c r="AA41" s="29">
        <f>IF(OR($B41="",$A41&lt;=24),"",--MID('Key Analysis'!$C37,$A41-24,1))</f>
        <v>0</v>
      </c>
      <c r="AB41" s="29">
        <f>IF(OR($B41="",$A41&lt;=25),"",--MID('Key Analysis'!$C37,$A41-25,1))</f>
        <v>1</v>
      </c>
      <c r="AC41" s="29">
        <f>IF(OR($B41="",$A41&lt;=26),"",--MID('Key Analysis'!$C37,$A41-26,1))</f>
        <v>1</v>
      </c>
      <c r="AD41" s="29">
        <f>IF(OR($B41="",$A41&lt;=27),"",--MID('Key Analysis'!$C37,$A41-27,1))</f>
        <v>1</v>
      </c>
      <c r="AE41" s="29">
        <f>IF(OR($B41="",$A41&lt;=28),"",--MID('Key Analysis'!$C37,$A41-28,1))</f>
        <v>1</v>
      </c>
      <c r="AF41" s="29">
        <f>IF(OR($B41="",$A41&lt;=29),"",--MID('Key Analysis'!$C37,$A41-29,1))</f>
        <v>0</v>
      </c>
      <c r="AG41" s="29">
        <f>IF(OR($B41="",$A41&lt;=30),"",--MID('Key Analysis'!$C37,$A41-30,1))</f>
        <v>1</v>
      </c>
      <c r="AH41" s="29">
        <f>IF(OR($B41="",$A41&lt;=31),"",--MID('Key Analysis'!$C37,$A41-31,1))</f>
        <v>1</v>
      </c>
      <c r="AI41" s="29">
        <f>IF(OR($B41="",$A41&lt;=32),"",--MID('Key Analysis'!$C37,$A41-32,1))</f>
        <v>1</v>
      </c>
      <c r="AJ41" s="29">
        <f>IF(OR($B41="",$A41&lt;=33),"",--MID('Key Analysis'!$C37,$A41-33,1))</f>
        <v>0</v>
      </c>
      <c r="AK41" s="29">
        <f>IF(OR($B41="",$A41&lt;=34),"",--MID('Key Analysis'!$C37,$A41-34,1))</f>
        <v>0</v>
      </c>
      <c r="AL41" s="29">
        <f>IF(OR($B41="",$A41&lt;=35),"",--MID('Key Analysis'!$C37,$A41-35,1))</f>
        <v>1</v>
      </c>
      <c r="AM41" s="29" t="str">
        <f>IF(OR($B41="",$A41&lt;=36),"",--MID('Key Analysis'!$C37,$A41-36,1))</f>
        <v/>
      </c>
      <c r="AN41" s="29" t="str">
        <f>IF(OR($B41="",$A41&lt;=37),"",--MID('Key Analysis'!$C37,$A41-37,1))</f>
        <v/>
      </c>
      <c r="AO41" s="29" t="str">
        <f>IF(OR($B41="",$A41&lt;=38),"",--MID('Key Analysis'!$C37,$A41-38,1))</f>
        <v/>
      </c>
      <c r="AP41" s="29" t="str">
        <f>IF(OR($B41="",$A41&lt;=39),"",--MID('Key Analysis'!$C37,$A41-39,1))</f>
        <v/>
      </c>
      <c r="AQ41" s="29" t="str">
        <f>IF(OR($B41="",$A41&lt;=40),"",--MID('Key Analysis'!$C37,$A41-40,1))</f>
        <v/>
      </c>
      <c r="AR41" s="29" t="str">
        <f>IF(OR($B41="",$A41&lt;=41),"",--MID('Key Analysis'!$C37,$A41-41,1))</f>
        <v/>
      </c>
      <c r="AS41" s="29" t="str">
        <f>IF(OR($B41="",$A41&lt;=42),"",--MID('Key Analysis'!$C37,$A41-42,1))</f>
        <v/>
      </c>
      <c r="AT41" s="29" t="str">
        <f>IF(OR($B41="",$A41&lt;=43),"",--MID('Key Analysis'!$C37,$A41-43,1))</f>
        <v/>
      </c>
      <c r="AU41" s="29" t="str">
        <f>IF(OR($B41="",$A41&lt;=44),"",--MID('Key Analysis'!$C37,$A41-44,1))</f>
        <v/>
      </c>
      <c r="AV41" s="29" t="str">
        <f>IF(OR($B41="",$A41&lt;=45),"",--MID('Key Analysis'!$C37,$A41-45,1))</f>
        <v/>
      </c>
      <c r="AW41" s="29" t="str">
        <f>IF(OR($B41="",$A41&lt;=46),"",--MID('Key Analysis'!$C37,$A41-46,1))</f>
        <v/>
      </c>
      <c r="AX41" s="29" t="str">
        <f>IF(OR($B41="",$A41&lt;=47),"",--MID('Key Analysis'!$C37,$A41-47,1))</f>
        <v/>
      </c>
      <c r="AY41" s="29" t="str">
        <f>IF(OR($B41="",$A41&lt;=48),"",--MID('Key Analysis'!$C37,$A41-48,1))</f>
        <v/>
      </c>
      <c r="AZ41" s="29" t="str">
        <f>IF(OR($B41="",$A41&lt;=49),"",--MID('Key Analysis'!$C37,$A41-49,1))</f>
        <v/>
      </c>
      <c r="BA41" s="29" t="str">
        <f>IF(OR($B41="",$A41&lt;=50),"",--MID('Key Analysis'!$C37,$A41-50,1))</f>
        <v/>
      </c>
      <c r="BB41" s="29" t="str">
        <f>IF(OR($B41="",$A41&lt;=51),"",--MID('Key Analysis'!$C37,$A41-51,1))</f>
        <v/>
      </c>
      <c r="BC41" s="29" t="str">
        <f>IF(OR($B41="",$A41&lt;=52),"",--MID('Key Analysis'!$C37,$A41-52,1))</f>
        <v/>
      </c>
      <c r="BD41" s="29" t="str">
        <f>IF(OR($B41="",$A41&lt;=53),"",--MID('Key Analysis'!$C37,$A41-53,1))</f>
        <v/>
      </c>
      <c r="BE41" s="29" t="str">
        <f>IF(OR($B41="",$A41&lt;=54),"",--MID('Key Analysis'!$C37,$A41-54,1))</f>
        <v/>
      </c>
      <c r="BF41" s="29" t="str">
        <f>IF(OR($B41="",$A41&lt;=55),"",--MID('Key Analysis'!$C37,$A41-55,1))</f>
        <v/>
      </c>
      <c r="BG41" s="29" t="str">
        <f>IF(OR($B41="",$A41&lt;=56),"",--MID('Key Analysis'!$C37,$A41-56,1))</f>
        <v/>
      </c>
      <c r="BH41" s="29" t="str">
        <f>IF(OR($B41="",$A41&lt;=57),"",--MID('Key Analysis'!$C37,$A41-57,1))</f>
        <v/>
      </c>
      <c r="BI41" s="29" t="str">
        <f>IF(OR($B41="",$A41&lt;=58),"",--MID('Key Analysis'!$C37,$A41-58,1))</f>
        <v/>
      </c>
      <c r="BJ41" s="29" t="str">
        <f>IF(OR($B41="",$A41&lt;=59),"",--MID('Key Analysis'!$C37,$A41-59,1))</f>
        <v/>
      </c>
      <c r="BK41" s="29" t="str">
        <f>IF(OR($B41="",$A41&lt;=60),"",--MID('Key Analysis'!$C37,$A41-60,1))</f>
        <v/>
      </c>
      <c r="BL41" s="29" t="str">
        <f>IF(OR($B41="",$A41&lt;=61),"",--MID('Key Analysis'!$C37,$A41-61,1))</f>
        <v/>
      </c>
      <c r="BM41" s="29" t="str">
        <f>IF(OR($B41="",$A41&lt;=62),"",--MID('Key Analysis'!$C37,$A41-62,1))</f>
        <v/>
      </c>
      <c r="BN41" s="29" t="str">
        <f>IF(OR($B41="",$A41&lt;=63),"",--MID('Key Analysis'!$C37,$A41-63,1))</f>
        <v/>
      </c>
      <c r="BO41" s="29" t="str">
        <f>IF(OR($B41="",$A41&lt;=64),"",--MID('Key Analysis'!$C37,$A41-64,1))</f>
        <v/>
      </c>
      <c r="BP41" s="29" t="str">
        <f>IF(OR($B41="",$A41&lt;=65),"",--MID('Key Analysis'!$C37,$A41-65,1))</f>
        <v/>
      </c>
      <c r="BQ41" s="29" t="str">
        <f>IF(OR($B41="",$A41&lt;=66),"",--MID('Key Analysis'!$C37,$A41-66,1))</f>
        <v/>
      </c>
      <c r="BR41" s="29" t="str">
        <f>IF(OR($B41="",$A41&lt;=67),"",--MID('Key Analysis'!$C37,$A41-67,1))</f>
        <v/>
      </c>
      <c r="BS41" s="29" t="str">
        <f>IF(OR($B41="",$A41&lt;=68),"",--MID('Key Analysis'!$C37,$A41-68,1))</f>
        <v/>
      </c>
      <c r="BT41" s="29" t="str">
        <f>IF(OR($B41="",$A41&lt;=69),"",--MID('Key Analysis'!$C37,$A41-69,1))</f>
        <v/>
      </c>
      <c r="BU41" s="29" t="str">
        <f>IF(OR($B41="",$A41&lt;=70),"",--MID('Key Analysis'!$C37,$A41-70,1))</f>
        <v/>
      </c>
      <c r="BV41" s="29" t="str">
        <f>IF(OR($B41="",$A41&lt;=71),"",--MID('Key Analysis'!$C37,$A41-71,1))</f>
        <v/>
      </c>
      <c r="BW41" s="29" t="str">
        <f>IF(OR($B41="",$A41&lt;=72),"",--MID('Key Analysis'!$C37,$A41-72,1))</f>
        <v/>
      </c>
      <c r="BX41" s="29" t="str">
        <f>IF(OR($B41="",$A41&lt;=73),"",--MID('Key Analysis'!$C37,$A41-73,1))</f>
        <v/>
      </c>
      <c r="BY41" s="29" t="str">
        <f>IF(OR($B41="",$A41&lt;=74),"",--MID('Key Analysis'!$C37,$A41-74,1))</f>
        <v/>
      </c>
      <c r="BZ41" s="29" t="str">
        <f>IF(OR($B41="",$A41&lt;=75),"",--MID('Key Analysis'!$C37,$A41-75,1))</f>
        <v/>
      </c>
      <c r="CA41" s="29" t="str">
        <f>IF(OR($B41="",$A41&lt;=76),"",--MID('Key Analysis'!$C37,$A41-76,1))</f>
        <v/>
      </c>
      <c r="CB41" s="29" t="str">
        <f>IF(OR($B41="",$A41&lt;=77),"",--MID('Key Analysis'!$C37,$A41-77,1))</f>
        <v/>
      </c>
      <c r="CC41" s="29" t="str">
        <f>IF(OR($B41="",$A41&lt;=78),"",--MID('Key Analysis'!$C37,$A41-78,1))</f>
        <v/>
      </c>
      <c r="CD41" s="29" t="str">
        <f>IF(OR($B41="",$A41&lt;=79),"",--MID('Key Analysis'!$C37,$A41-79,1))</f>
        <v/>
      </c>
      <c r="CE41" s="29" t="str">
        <f>IF(OR($B41="",$A41&lt;=80),"",--MID('Key Analysis'!$C37,$A41-80,1))</f>
        <v/>
      </c>
      <c r="CF41" s="29" t="str">
        <f>IF(OR($B41="",$A41&lt;=81),"",--MID('Key Analysis'!$C37,$A41-81,1))</f>
        <v/>
      </c>
      <c r="CG41" s="29" t="str">
        <f>IF(OR($B41="",$A41&lt;=82),"",--MID('Key Analysis'!$C37,$A41-82,1))</f>
        <v/>
      </c>
      <c r="CH41" s="29" t="str">
        <f>IF(OR($B41="",$A41&lt;=83),"",--MID('Key Analysis'!$C37,$A41-83,1))</f>
        <v/>
      </c>
      <c r="CI41" s="29" t="str">
        <f>IF(OR($B41="",$A41&lt;=84),"",--MID('Key Analysis'!$C37,$A41-84,1))</f>
        <v/>
      </c>
      <c r="CJ41" s="29" t="str">
        <f>IF(OR($B41="",$A41&lt;=85),"",--MID('Key Analysis'!$C37,$A41-85,1))</f>
        <v/>
      </c>
      <c r="CK41" s="29" t="str">
        <f>IF(OR($B41="",$A41&lt;=86),"",--MID('Key Analysis'!$C37,$A41-86,1))</f>
        <v/>
      </c>
      <c r="CL41" s="29" t="str">
        <f>IF(OR($B41="",$A41&lt;=87),"",--MID('Key Analysis'!$C37,$A41-87,1))</f>
        <v/>
      </c>
      <c r="CM41" s="29" t="str">
        <f>IF(OR($B41="",$A41&lt;=88),"",--MID('Key Analysis'!$C37,$A41-88,1))</f>
        <v/>
      </c>
      <c r="CN41" s="29" t="str">
        <f>IF(OR($B41="",$A41&lt;=89),"",--MID('Key Analysis'!$C37,$A41-89,1))</f>
        <v/>
      </c>
      <c r="CO41" s="29" t="str">
        <f>IF(OR($B41="",$A41&lt;=90),"",--MID('Key Analysis'!$C37,$A41-90,1))</f>
        <v/>
      </c>
      <c r="CP41" s="29" t="str">
        <f>IF(OR($B41="",$A41&lt;=91),"",--MID('Key Analysis'!$C37,$A41-91,1))</f>
        <v/>
      </c>
      <c r="CQ41" s="29" t="str">
        <f>IF(OR($B41="",$A41&lt;=92),"",--MID('Key Analysis'!$C37,$A41-92,1))</f>
        <v/>
      </c>
      <c r="CR41" s="29" t="str">
        <f>IF(OR($B41="",$A41&lt;=93),"",--MID('Key Analysis'!$C37,$A41-93,1))</f>
        <v/>
      </c>
      <c r="CS41" s="29" t="str">
        <f>IF(OR($B41="",$A41&lt;=94),"",--MID('Key Analysis'!$C37,$A41-94,1))</f>
        <v/>
      </c>
      <c r="CT41" s="29" t="str">
        <f>IF(OR($B41="",$A41&lt;=95),"",--MID('Key Analysis'!$C37,$A41-95,1))</f>
        <v/>
      </c>
      <c r="CU41" s="29" t="str">
        <f>IF(OR($B41="",$A41&lt;=96),"",--MID('Key Analysis'!$C37,$A41-96,1))</f>
        <v/>
      </c>
      <c r="CV41" s="29" t="str">
        <f>IF(OR($B41="",$A41&lt;=97),"",--MID('Key Analysis'!$C37,$A41-97,1))</f>
        <v/>
      </c>
      <c r="CW41" s="29" t="str">
        <f>IF(OR($B41="",$A41&lt;=98),"",--MID('Key Analysis'!$C37,$A41-98,1))</f>
        <v/>
      </c>
      <c r="CX41" s="29" t="str">
        <f>IF(OR($B41="",$A41&lt;=99),"",--MID('Key Analysis'!$C37,$A41-99,1))</f>
        <v/>
      </c>
      <c r="CY41" s="29" t="str">
        <f>IF(OR($B41="",$A41&lt;=100),"",--MID('Key Analysis'!$C37,$A41-100,1))</f>
        <v/>
      </c>
      <c r="CZ41" s="29" t="str">
        <f>IF(OR($B41="",$A41&lt;=101),"",--MID('Key Analysis'!$C37,$A41-101,1))</f>
        <v/>
      </c>
      <c r="DA41" s="29" t="str">
        <f>IF(OR($B41="",$A41&lt;=102),"",--MID('Key Analysis'!$C37,$A41-102,1))</f>
        <v/>
      </c>
      <c r="DB41" s="29" t="str">
        <f>IF(OR($B41="",$A41&lt;=103),"",--MID('Key Analysis'!$C37,$A41-103,1))</f>
        <v/>
      </c>
      <c r="DC41" s="29" t="str">
        <f>IF(OR($B41="",$A41&lt;=104),"",--MID('Key Analysis'!$C37,$A41-104,1))</f>
        <v/>
      </c>
      <c r="DD41" s="29" t="str">
        <f>IF(OR($B41="",$A41&lt;=105),"",--MID('Key Analysis'!$C37,$A41-105,1))</f>
        <v/>
      </c>
      <c r="DE41" s="29" t="str">
        <f>IF(OR($B41="",$A41&lt;=106),"",--MID('Key Analysis'!$C37,$A41-106,1))</f>
        <v/>
      </c>
      <c r="DF41" s="29" t="str">
        <f>IF(OR($B41="",$A41&lt;=107),"",--MID('Key Analysis'!$C37,$A41-107,1))</f>
        <v/>
      </c>
      <c r="DG41" s="29" t="str">
        <f>IF(OR($B41="",$A41&lt;=108),"",--MID('Key Analysis'!$C37,$A41-108,1))</f>
        <v/>
      </c>
      <c r="DH41" s="29" t="str">
        <f>IF(OR($B41="",$A41&lt;=109),"",--MID('Key Analysis'!$C37,$A41-109,1))</f>
        <v/>
      </c>
      <c r="DI41" s="29" t="str">
        <f>IF(OR($B41="",$A41&lt;=110),"",--MID('Key Analysis'!$C37,$A41-110,1))</f>
        <v/>
      </c>
      <c r="DJ41" s="29" t="str">
        <f>IF(OR($B41="",$A41&lt;=111),"",--MID('Key Analysis'!$C37,$A41-111,1))</f>
        <v/>
      </c>
      <c r="DK41" s="29" t="str">
        <f>IF(OR($B41="",$A41&lt;=112),"",--MID('Key Analysis'!$C37,$A41-112,1))</f>
        <v/>
      </c>
      <c r="DL41" s="29" t="str">
        <f>IF(OR($B41="",$A41&lt;=113),"",--MID('Key Analysis'!$C37,$A41-113,1))</f>
        <v/>
      </c>
      <c r="DM41" s="29" t="str">
        <f>IF(OR($B41="",$A41&lt;=114),"",--MID('Key Analysis'!$C37,$A41-114,1))</f>
        <v/>
      </c>
      <c r="DN41" s="29" t="str">
        <f>IF(OR($B41="",$A41&lt;=115),"",--MID('Key Analysis'!$C37,$A41-115,1))</f>
        <v/>
      </c>
      <c r="DO41" s="29" t="str">
        <f>IF(OR($B41="",$A41&lt;=116),"",--MID('Key Analysis'!$C37,$A41-116,1))</f>
        <v/>
      </c>
      <c r="DP41" s="29" t="str">
        <f>IF(OR($B41="",$A41&lt;=117),"",--MID('Key Analysis'!$C37,$A41-117,1))</f>
        <v/>
      </c>
      <c r="DQ41" s="29" t="str">
        <f>IF(OR($B41="",$A41&lt;=118),"",--MID('Key Analysis'!$C37,$A41-118,1))</f>
        <v/>
      </c>
      <c r="DR41" s="29" t="str">
        <f>IF(OR($B41="",$A41&lt;=119),"",--MID('Key Analysis'!$C37,$A41-119,1))</f>
        <v/>
      </c>
      <c r="DS41" s="29" t="str">
        <f>IF(OR($B41="",$A41&lt;=120),"",--MID('Key Analysis'!$C37,$A41-120,1))</f>
        <v/>
      </c>
      <c r="DT41" s="29" t="str">
        <f>IF(OR($B41="",$A41&lt;=121),"",--MID('Key Analysis'!$C37,$A41-121,1))</f>
        <v/>
      </c>
      <c r="DU41" s="29" t="str">
        <f>IF(OR($B41="",$A41&lt;=122),"",--MID('Key Analysis'!$C37,$A41-122,1))</f>
        <v/>
      </c>
      <c r="DV41" s="29" t="str">
        <f>IF(OR($B41="",$A41&lt;=123),"",--MID('Key Analysis'!$C37,$A41-123,1))</f>
        <v/>
      </c>
      <c r="DW41" s="29" t="str">
        <f>IF(OR($B41="",$A41&lt;=124),"",--MID('Key Analysis'!$C37,$A41-124,1))</f>
        <v/>
      </c>
      <c r="DX41" s="29" t="str">
        <f>IF(OR($B41="",$A41&lt;=125),"",--MID('Key Analysis'!$C37,$A41-125,1))</f>
        <v/>
      </c>
      <c r="DY41" s="29" t="str">
        <f>IF(OR($B41="",$A41&lt;=126),"",--MID('Key Analysis'!$C37,$A41-126,1))</f>
        <v/>
      </c>
      <c r="DZ41" s="29" t="str">
        <f>IF(OR($B41="",$A41&lt;=127),"",--MID('Key Analysis'!$C37,$A41-127,1))</f>
        <v/>
      </c>
      <c r="EA41" s="29" t="str">
        <f>IF(OR($B41="",$A41&lt;=128),"",--MID('Key Analysis'!$C37,$A41-128,1))</f>
        <v/>
      </c>
      <c r="EB41" s="29" t="str">
        <f>IF(OR($B41="",$A41&lt;=129),"",--MID('Key Analysis'!$C37,$A41-129,1))</f>
        <v/>
      </c>
      <c r="EC41" s="29" t="str">
        <f>IF(OR($B41="",$A41&lt;=130),"",--MID('Key Analysis'!$C37,$A41-130,1))</f>
        <v/>
      </c>
      <c r="ED41" s="29" t="str">
        <f>IF(OR($B41="",$A41&lt;=131),"",--MID('Key Analysis'!$C37,$A41-131,1))</f>
        <v/>
      </c>
      <c r="EE41" s="29" t="str">
        <f>IF(OR($B41="",$A41&lt;=132),"",--MID('Key Analysis'!$C37,$A41-132,1))</f>
        <v/>
      </c>
      <c r="EF41" s="29" t="str">
        <f>IF(OR($B41="",$A41&lt;=133),"",--MID('Key Analysis'!$C37,$A41-133,1))</f>
        <v/>
      </c>
      <c r="EG41" s="29" t="str">
        <f>IF(OR($B41="",$A41&lt;=134),"",--MID('Key Analysis'!$C37,$A41-134,1))</f>
        <v/>
      </c>
      <c r="EH41" s="29"/>
      <c r="EI41" s="29">
        <f>IF(OR($B41="",$A41&lt;1),"",--MID('Key Analysis'!$C37,1,1))</f>
        <v>1</v>
      </c>
      <c r="EJ41" s="29">
        <f>IF(OR($B41="",$A41&lt;2),"",--MID('Key Analysis'!$C37,2,1))</f>
        <v>0</v>
      </c>
      <c r="EK41" s="29">
        <f>IF(OR($B41="",$A41&lt;3),"",--MID('Key Analysis'!$C37,3,1))</f>
        <v>0</v>
      </c>
      <c r="EL41" s="29">
        <f>IF(OR($B41="",$A41&lt;4),"",--MID('Key Analysis'!$C37,4,1))</f>
        <v>1</v>
      </c>
      <c r="EM41" s="29">
        <f>IF(OR($B41="",$A41&lt;5),"",--MID('Key Analysis'!$C37,5,1))</f>
        <v>1</v>
      </c>
      <c r="EN41" s="29">
        <f>IF(OR($B41="",$A41&lt;6),"",--MID('Key Analysis'!$C37,6,1))</f>
        <v>1</v>
      </c>
      <c r="EO41" s="29">
        <f>IF(OR($B41="",$A41&lt;7),"",--MID('Key Analysis'!$C37,7,1))</f>
        <v>0</v>
      </c>
      <c r="EP41" s="29">
        <f>IF(OR($B41="",$A41&lt;8),"",--MID('Key Analysis'!$C37,8,1))</f>
        <v>1</v>
      </c>
      <c r="EQ41" s="29">
        <f>IF(OR($B41="",$A41&lt;9),"",--MID('Key Analysis'!$C37,9,1))</f>
        <v>1</v>
      </c>
      <c r="ER41" s="29">
        <f>IF(OR($B41="",$A41&lt;10),"",--MID('Key Analysis'!$C37,10,1))</f>
        <v>1</v>
      </c>
      <c r="ES41" s="29">
        <f>IF(OR($B41="",$A41&lt;11),"",--MID('Key Analysis'!$C37,11,1))</f>
        <v>1</v>
      </c>
      <c r="ET41" s="29">
        <f>IF(OR($B41="",$A41&lt;12),"",--MID('Key Analysis'!$C37,12,1))</f>
        <v>0</v>
      </c>
      <c r="EU41" s="29">
        <f>IF(OR($B41="",$A41&lt;13),"",--MID('Key Analysis'!$C37,13,1))</f>
        <v>1</v>
      </c>
      <c r="EV41" s="29">
        <f>IF(OR($B41="",$A41&lt;14),"",--MID('Key Analysis'!$C37,14,1))</f>
        <v>0</v>
      </c>
      <c r="EW41" s="29">
        <f>IF(OR($B41="",$A41&lt;15),"",--MID('Key Analysis'!$C37,15,1))</f>
        <v>0</v>
      </c>
      <c r="EX41" s="29">
        <f>IF(OR($B41="",$A41&lt;16),"",--MID('Key Analysis'!$C37,16,1))</f>
        <v>0</v>
      </c>
      <c r="EY41" s="29">
        <f>IF(OR($B41="",$A41&lt;17),"",--MID('Key Analysis'!$C37,17,1))</f>
        <v>0</v>
      </c>
      <c r="EZ41" s="29">
        <f>IF(OR($B41="",$A41&lt;18),"",--MID('Key Analysis'!$C37,18,1))</f>
        <v>0</v>
      </c>
      <c r="FA41" s="29">
        <f>IF(OR($B41="",$A41&lt;19),"",--MID('Key Analysis'!$C37,19,1))</f>
        <v>1</v>
      </c>
      <c r="FB41" s="29">
        <f>IF(OR($B41="",$A41&lt;20),"",--MID('Key Analysis'!$C37,20,1))</f>
        <v>0</v>
      </c>
      <c r="FC41" s="29">
        <f>IF(OR($B41="",$A41&lt;21),"",--MID('Key Analysis'!$C37,21,1))</f>
        <v>0</v>
      </c>
      <c r="FD41" s="29">
        <f>IF(OR($B41="",$A41&lt;22),"",--MID('Key Analysis'!$C37,22,1))</f>
        <v>0</v>
      </c>
      <c r="FE41" s="29">
        <f>IF(OR($B41="",$A41&lt;23),"",--MID('Key Analysis'!$C37,23,1))</f>
        <v>0</v>
      </c>
      <c r="FF41" s="29">
        <f>IF(OR($B41="",$A41&lt;24),"",--MID('Key Analysis'!$C37,24,1))</f>
        <v>0</v>
      </c>
      <c r="FG41" s="29">
        <f>IF(OR($B41="",$A41&lt;25),"",--MID('Key Analysis'!$C37,25,1))</f>
        <v>1</v>
      </c>
      <c r="FH41" s="29">
        <f>IF(OR($B41="",$A41&lt;26),"",--MID('Key Analysis'!$C37,26,1))</f>
        <v>0</v>
      </c>
      <c r="FI41" s="29">
        <f>IF(OR($B41="",$A41&lt;27),"",--MID('Key Analysis'!$C37,27,1))</f>
        <v>1</v>
      </c>
      <c r="FJ41" s="29">
        <f>IF(OR($B41="",$A41&lt;28),"",--MID('Key Analysis'!$C37,28,1))</f>
        <v>0</v>
      </c>
      <c r="FK41" s="29">
        <f>IF(OR($B41="",$A41&lt;29),"",--MID('Key Analysis'!$C37,29,1))</f>
        <v>0</v>
      </c>
      <c r="FL41" s="29">
        <f>IF(OR($B41="",$A41&lt;30),"",--MID('Key Analysis'!$C37,30,1))</f>
        <v>1</v>
      </c>
      <c r="FM41" s="29">
        <f>IF(OR($B41="",$A41&lt;31),"",--MID('Key Analysis'!$C37,31,1))</f>
        <v>1</v>
      </c>
      <c r="FN41" s="29">
        <f>IF(OR($B41="",$A41&lt;32),"",--MID('Key Analysis'!$C37,32,1))</f>
        <v>1</v>
      </c>
      <c r="FO41" s="29">
        <f>IF(OR($B41="",$A41&lt;33),"",--MID('Key Analysis'!$C37,33,1))</f>
        <v>1</v>
      </c>
      <c r="FP41" s="29">
        <f>IF(OR($B41="",$A41&lt;34),"",--MID('Key Analysis'!$C37,34,1))</f>
        <v>1</v>
      </c>
      <c r="FQ41" s="29">
        <f>IF(OR($B41="",$A41&lt;35),"",--MID('Key Analysis'!$C37,35,1))</f>
        <v>0</v>
      </c>
      <c r="FR41" s="29">
        <f>IF(OR($B41="",$A41&lt;36),"",--MID('Key Analysis'!$C37,36,1))</f>
        <v>0</v>
      </c>
      <c r="FS41" s="29" t="str">
        <f>IF(OR($B41="",$A41&lt;37),"",--MID('Key Analysis'!$C37,37,1))</f>
        <v/>
      </c>
      <c r="FT41" s="29" t="str">
        <f>IF(OR($B41="",$A41&lt;38),"",--MID('Key Analysis'!$C37,38,1))</f>
        <v/>
      </c>
      <c r="FU41" s="29" t="str">
        <f>IF(OR($B41="",$A41&lt;39),"",--MID('Key Analysis'!$C37,39,1))</f>
        <v/>
      </c>
      <c r="FV41" s="29" t="str">
        <f>IF(OR($B41="",$A41&lt;40),"",--MID('Key Analysis'!$C37,40,1))</f>
        <v/>
      </c>
      <c r="FW41" s="29" t="str">
        <f>IF(OR($B41="",$A41&lt;41),"",--MID('Key Analysis'!$C37,41,1))</f>
        <v/>
      </c>
      <c r="FX41" s="29" t="str">
        <f>IF(OR($B41="",$A41&lt;42),"",--MID('Key Analysis'!$C37,42,1))</f>
        <v/>
      </c>
      <c r="FY41" s="29" t="str">
        <f>IF(OR($B41="",$A41&lt;43),"",--MID('Key Analysis'!$C37,43,1))</f>
        <v/>
      </c>
      <c r="FZ41" s="29" t="str">
        <f>IF(OR($B41="",$A41&lt;44),"",--MID('Key Analysis'!$C37,44,1))</f>
        <v/>
      </c>
      <c r="GA41" s="29" t="str">
        <f>IF(OR($B41="",$A41&lt;45),"",--MID('Key Analysis'!$C37,45,1))</f>
        <v/>
      </c>
      <c r="GB41" s="29" t="str">
        <f>IF(OR($B41="",$A41&lt;46),"",--MID('Key Analysis'!$C37,46,1))</f>
        <v/>
      </c>
      <c r="GC41" s="29" t="str">
        <f>IF(OR($B41="",$A41&lt;47),"",--MID('Key Analysis'!$C37,47,1))</f>
        <v/>
      </c>
      <c r="GD41" s="29" t="str">
        <f>IF(OR($B41="",$A41&lt;48),"",--MID('Key Analysis'!$C37,48,1))</f>
        <v/>
      </c>
      <c r="GE41" s="29" t="str">
        <f>IF(OR($B41="",$A41&lt;49),"",--MID('Key Analysis'!$C37,49,1))</f>
        <v/>
      </c>
      <c r="GF41" s="29" t="str">
        <f>IF(OR($B41="",$A41&lt;50),"",--MID('Key Analysis'!$C37,50,1))</f>
        <v/>
      </c>
      <c r="GG41" s="29" t="str">
        <f>IF(OR($B41="",$A41&lt;51),"",--MID('Key Analysis'!$C37,51,1))</f>
        <v/>
      </c>
      <c r="GH41" s="29" t="str">
        <f>IF(OR($B41="",$A41&lt;52),"",--MID('Key Analysis'!$C37,52,1))</f>
        <v/>
      </c>
      <c r="GI41" s="29" t="str">
        <f>IF(OR($B41="",$A41&lt;53),"",--MID('Key Analysis'!$C37,53,1))</f>
        <v/>
      </c>
      <c r="GJ41" s="29" t="str">
        <f>IF(OR($B41="",$A41&lt;54),"",--MID('Key Analysis'!$C37,54,1))</f>
        <v/>
      </c>
      <c r="GK41" s="29" t="str">
        <f>IF(OR($B41="",$A41&lt;55),"",--MID('Key Analysis'!$C37,55,1))</f>
        <v/>
      </c>
      <c r="GL41" s="29" t="str">
        <f>IF(OR($B41="",$A41&lt;56),"",--MID('Key Analysis'!$C37,56,1))</f>
        <v/>
      </c>
      <c r="GM41" s="29" t="str">
        <f>IF(OR($B41="",$A41&lt;57),"",--MID('Key Analysis'!$C37,57,1))</f>
        <v/>
      </c>
      <c r="GN41" s="29" t="str">
        <f>IF(OR($B41="",$A41&lt;58),"",--MID('Key Analysis'!$C37,58,1))</f>
        <v/>
      </c>
      <c r="GO41" s="29" t="str">
        <f>IF(OR($B41="",$A41&lt;59),"",--MID('Key Analysis'!$C37,59,1))</f>
        <v/>
      </c>
      <c r="GP41" s="29" t="str">
        <f>IF(OR($B41="",$A41&lt;60),"",--MID('Key Analysis'!$C37,60,1))</f>
        <v/>
      </c>
      <c r="GQ41" s="29" t="str">
        <f>IF(OR($B41="",$A41&lt;61),"",--MID('Key Analysis'!$C37,61,1))</f>
        <v/>
      </c>
      <c r="GR41" s="29" t="str">
        <f>IF(OR($B41="",$A41&lt;62),"",--MID('Key Analysis'!$C37,62,1))</f>
        <v/>
      </c>
      <c r="GS41" s="29" t="str">
        <f>IF(OR($B41="",$A41&lt;63),"",--MID('Key Analysis'!$C37,63,1))</f>
        <v/>
      </c>
      <c r="GT41" s="29" t="str">
        <f>IF(OR($B41="",$A41&lt;64),"",--MID('Key Analysis'!$C37,64,1))</f>
        <v/>
      </c>
      <c r="GU41" s="29" t="str">
        <f>IF(OR($B41="",$A41&lt;65),"",--MID('Key Analysis'!$C37,65,1))</f>
        <v/>
      </c>
      <c r="GV41" s="29" t="str">
        <f>IF(OR($B41="",$A41&lt;66),"",--MID('Key Analysis'!$C37,66,1))</f>
        <v/>
      </c>
      <c r="GW41" s="29" t="str">
        <f>IF(OR($B41="",$A41&lt;67),"",--MID('Key Analysis'!$C37,67,1))</f>
        <v/>
      </c>
      <c r="GX41" s="29" t="str">
        <f>IF(OR($B41="",$A41&lt;68),"",--MID('Key Analysis'!$C37,68,1))</f>
        <v/>
      </c>
      <c r="GY41" s="29" t="str">
        <f>IF(OR($B41="",$A41&lt;69),"",--MID('Key Analysis'!$C37,69,1))</f>
        <v/>
      </c>
      <c r="GZ41" s="29" t="str">
        <f>IF(OR($B41="",$A41&lt;70),"",--MID('Key Analysis'!$C37,70,1))</f>
        <v/>
      </c>
      <c r="HA41" s="29" t="str">
        <f>IF(OR($B41="",$A41&lt;71),"",--MID('Key Analysis'!$C37,71,1))</f>
        <v/>
      </c>
      <c r="HB41" s="29" t="str">
        <f>IF(OR($B41="",$A41&lt;72),"",--MID('Key Analysis'!$C37,72,1))</f>
        <v/>
      </c>
      <c r="HC41" s="29" t="str">
        <f>IF(OR($B41="",$A41&lt;73),"",--MID('Key Analysis'!$C37,73,1))</f>
        <v/>
      </c>
      <c r="HD41" s="29" t="str">
        <f>IF(OR($B41="",$A41&lt;74),"",--MID('Key Analysis'!$C37,74,1))</f>
        <v/>
      </c>
      <c r="HE41" s="29" t="str">
        <f>IF(OR($B41="",$A41&lt;75),"",--MID('Key Analysis'!$C37,75,1))</f>
        <v/>
      </c>
      <c r="HF41" s="29" t="str">
        <f>IF(OR($B41="",$A41&lt;76),"",--MID('Key Analysis'!$C37,76,1))</f>
        <v/>
      </c>
      <c r="HG41" s="29" t="str">
        <f>IF(OR($B41="",$A41&lt;77),"",--MID('Key Analysis'!$C37,77,1))</f>
        <v/>
      </c>
      <c r="HH41" s="29" t="str">
        <f>IF(OR($B41="",$A41&lt;78),"",--MID('Key Analysis'!$C37,78,1))</f>
        <v/>
      </c>
      <c r="HI41" s="29" t="str">
        <f>IF(OR($B41="",$A41&lt;79),"",--MID('Key Analysis'!$C37,79,1))</f>
        <v/>
      </c>
      <c r="HJ41" s="29" t="str">
        <f>IF(OR($B41="",$A41&lt;80),"",--MID('Key Analysis'!$C37,80,1))</f>
        <v/>
      </c>
      <c r="HK41" s="29" t="str">
        <f>IF(OR($B41="",$A41&lt;81),"",--MID('Key Analysis'!$C37,81,1))</f>
        <v/>
      </c>
      <c r="HL41" s="29" t="str">
        <f>IF(OR($B41="",$A41&lt;82),"",--MID('Key Analysis'!$C37,82,1))</f>
        <v/>
      </c>
      <c r="HM41" s="29" t="str">
        <f>IF(OR($B41="",$A41&lt;83),"",--MID('Key Analysis'!$C37,83,1))</f>
        <v/>
      </c>
      <c r="HN41" s="29" t="str">
        <f>IF(OR($B41="",$A41&lt;84),"",--MID('Key Analysis'!$C37,84,1))</f>
        <v/>
      </c>
      <c r="HO41" s="29" t="str">
        <f>IF(OR($B41="",$A41&lt;85),"",--MID('Key Analysis'!$C37,85,1))</f>
        <v/>
      </c>
      <c r="HP41" s="29" t="str">
        <f>IF(OR($B41="",$A41&lt;86),"",--MID('Key Analysis'!$C37,86,1))</f>
        <v/>
      </c>
      <c r="HQ41" s="29" t="str">
        <f>IF(OR($B41="",$A41&lt;87),"",--MID('Key Analysis'!$C37,87,1))</f>
        <v/>
      </c>
      <c r="HR41" s="29" t="str">
        <f>IF(OR($B41="",$A41&lt;88),"",--MID('Key Analysis'!$C37,88,1))</f>
        <v/>
      </c>
      <c r="HS41" s="29" t="str">
        <f>IF(OR($B41="",$A41&lt;89),"",--MID('Key Analysis'!$C37,89,1))</f>
        <v/>
      </c>
      <c r="HT41" s="29" t="str">
        <f>IF(OR($B41="",$A41&lt;90),"",--MID('Key Analysis'!$C37,90,1))</f>
        <v/>
      </c>
      <c r="HU41" s="29" t="str">
        <f>IF(OR($B41="",$A41&lt;91),"",--MID('Key Analysis'!$C37,91,1))</f>
        <v/>
      </c>
      <c r="HV41" s="29" t="str">
        <f>IF(OR($B41="",$A41&lt;92),"",--MID('Key Analysis'!$C37,92,1))</f>
        <v/>
      </c>
      <c r="HW41" s="29" t="str">
        <f>IF(OR($B41="",$A41&lt;93),"",--MID('Key Analysis'!$C37,93,1))</f>
        <v/>
      </c>
      <c r="HX41" s="29" t="str">
        <f>IF(OR($B41="",$A41&lt;94),"",--MID('Key Analysis'!$C37,94,1))</f>
        <v/>
      </c>
      <c r="HY41" s="29" t="str">
        <f>IF(OR($B41="",$A41&lt;95),"",--MID('Key Analysis'!$C37,95,1))</f>
        <v/>
      </c>
      <c r="HZ41" s="29" t="str">
        <f>IF(OR($B41="",$A41&lt;96),"",--MID('Key Analysis'!$C37,96,1))</f>
        <v/>
      </c>
      <c r="IA41" s="29" t="str">
        <f>IF(OR($B41="",$A41&lt;97),"",--MID('Key Analysis'!$C37,97,1))</f>
        <v/>
      </c>
      <c r="IB41" s="29" t="str">
        <f>IF(OR($B41="",$A41&lt;98),"",--MID('Key Analysis'!$C37,98,1))</f>
        <v/>
      </c>
      <c r="IC41" s="29" t="str">
        <f>IF(OR($B41="",$A41&lt;99),"",--MID('Key Analysis'!$C37,99,1))</f>
        <v/>
      </c>
      <c r="ID41" s="29" t="str">
        <f>IF(OR($B41="",$A41&lt;100),"",--MID('Key Analysis'!$C37,100,1))</f>
        <v/>
      </c>
      <c r="IE41" s="29" t="str">
        <f>IF(OR($B41="",$A41&lt;101),"",--MID('Key Analysis'!$C37,101,1))</f>
        <v/>
      </c>
      <c r="IF41" s="29" t="str">
        <f>IF(OR($B41="",$A41&lt;102),"",--MID('Key Analysis'!$C37,102,1))</f>
        <v/>
      </c>
      <c r="IG41" s="29" t="str">
        <f>IF(OR($B41="",$A41&lt;103),"",--MID('Key Analysis'!$C37,103,1))</f>
        <v/>
      </c>
      <c r="IH41" s="29" t="str">
        <f>IF(OR($B41="",$A41&lt;104),"",--MID('Key Analysis'!$C37,104,1))</f>
        <v/>
      </c>
      <c r="II41" s="29" t="str">
        <f>IF(OR($B41="",$A41&lt;105),"",--MID('Key Analysis'!$C37,105,1))</f>
        <v/>
      </c>
      <c r="IJ41" s="29" t="str">
        <f>IF(OR($B41="",$A41&lt;106),"",--MID('Key Analysis'!$C37,106,1))</f>
        <v/>
      </c>
      <c r="IK41" s="29" t="str">
        <f>IF(OR($B41="",$A41&lt;107),"",--MID('Key Analysis'!$C37,107,1))</f>
        <v/>
      </c>
      <c r="IL41" s="29" t="str">
        <f>IF(OR($B41="",$A41&lt;108),"",--MID('Key Analysis'!$C37,108,1))</f>
        <v/>
      </c>
      <c r="IM41" s="29" t="str">
        <f>IF(OR($B41="",$A41&lt;109),"",--MID('Key Analysis'!$C37,109,1))</f>
        <v/>
      </c>
      <c r="IN41" s="29" t="str">
        <f>IF(OR($B41="",$A41&lt;110),"",--MID('Key Analysis'!$C37,110,1))</f>
        <v/>
      </c>
      <c r="IO41" s="29" t="str">
        <f>IF(OR($B41="",$A41&lt;111),"",--MID('Key Analysis'!$C37,111,1))</f>
        <v/>
      </c>
      <c r="IP41" s="29" t="str">
        <f>IF(OR($B41="",$A41&lt;112),"",--MID('Key Analysis'!$C37,112,1))</f>
        <v/>
      </c>
      <c r="IQ41" s="29" t="str">
        <f>IF(OR($B41="",$A41&lt;113),"",--MID('Key Analysis'!$C37,113,1))</f>
        <v/>
      </c>
      <c r="IR41" s="29" t="str">
        <f>IF(OR($B41="",$A41&lt;114),"",--MID('Key Analysis'!$C37,114,1))</f>
        <v/>
      </c>
      <c r="IS41" s="29" t="str">
        <f>IF(OR($B41="",$A41&lt;115),"",--MID('Key Analysis'!$C37,115,1))</f>
        <v/>
      </c>
      <c r="IT41" s="29" t="str">
        <f>IF(OR($B41="",$A41&lt;116),"",--MID('Key Analysis'!$C37,116,1))</f>
        <v/>
      </c>
      <c r="IU41" s="29" t="str">
        <f>IF(OR($B41="",$A41&lt;117),"",--MID('Key Analysis'!$C37,117,1))</f>
        <v/>
      </c>
      <c r="IV41" s="29" t="str">
        <f>IF(OR($B41="",$A41&lt;118),"",--MID('Key Analysis'!$C37,118,1))</f>
        <v/>
      </c>
      <c r="IW41" s="29" t="str">
        <f>IF(OR($B41="",$A41&lt;119),"",--MID('Key Analysis'!$C37,119,1))</f>
        <v/>
      </c>
      <c r="IX41" s="29" t="str">
        <f>IF(OR($B41="",$A41&lt;120),"",--MID('Key Analysis'!$C37,120,1))</f>
        <v/>
      </c>
      <c r="IY41" s="29" t="str">
        <f>IF(OR($B41="",$A41&lt;121),"",--MID('Key Analysis'!$C37,121,1))</f>
        <v/>
      </c>
      <c r="IZ41" s="29" t="str">
        <f>IF(OR($B41="",$A41&lt;122),"",--MID('Key Analysis'!$C37,122,1))</f>
        <v/>
      </c>
      <c r="JA41" s="29" t="str">
        <f>IF(OR($B41="",$A41&lt;123),"",--MID('Key Analysis'!$C37,123,1))</f>
        <v/>
      </c>
      <c r="JB41" s="29" t="str">
        <f>IF(OR($B41="",$A41&lt;124),"",--MID('Key Analysis'!$C37,124,1))</f>
        <v/>
      </c>
      <c r="JC41" s="29" t="str">
        <f>IF(OR($B41="",$A41&lt;125),"",--MID('Key Analysis'!$C37,125,1))</f>
        <v/>
      </c>
      <c r="JD41" s="29" t="str">
        <f>IF(OR($B41="",$A41&lt;126),"",--MID('Key Analysis'!$C37,126,1))</f>
        <v/>
      </c>
      <c r="JE41" s="29" t="str">
        <f>IF(OR($B41="",$A41&lt;127),"",--MID('Key Analysis'!$C37,127,1))</f>
        <v/>
      </c>
      <c r="JF41" s="29" t="str">
        <f>IF(OR($B41="",$A41&lt;128),"",--MID('Key Analysis'!$C37,128,1))</f>
        <v/>
      </c>
      <c r="JG41" s="29" t="str">
        <f>IF(OR($B41="",$A41&lt;129),"",--MID('Key Analysis'!$C37,129,1))</f>
        <v/>
      </c>
      <c r="JH41" s="29" t="str">
        <f>IF(OR($B41="",$A41&lt;130),"",--MID('Key Analysis'!$C37,130,1))</f>
        <v/>
      </c>
      <c r="JI41" s="29" t="str">
        <f>IF(OR($B41="",$A41&lt;131),"",--MID('Key Analysis'!$C37,131,1))</f>
        <v/>
      </c>
      <c r="JJ41" s="29" t="str">
        <f>IF(OR($B41="",$A41&lt;132),"",--MID('Key Analysis'!$C37,132,1))</f>
        <v/>
      </c>
      <c r="JK41" s="29" t="str">
        <f>IF(OR($B41="",$A41&lt;133),"",--MID('Key Analysis'!$C37,133,1))</f>
        <v/>
      </c>
      <c r="JL41" s="29" t="str">
        <f>IF(OR($B41="",$A41&lt;134),"",--MID('Key Analysis'!$C37,134,1))</f>
        <v/>
      </c>
      <c r="JM41" s="29" t="str">
        <f>IF(OR($B41="",$A41&lt;135),"",--MID('Key Analysis'!$C37,135,1))</f>
        <v/>
      </c>
    </row>
    <row r="42" spans="1:273" x14ac:dyDescent="0.25">
      <c r="A42" s="21">
        <f>'Key Analysis'!A38</f>
        <v>37</v>
      </c>
      <c r="B42" s="30" t="str">
        <f>'Key Analysis'!B38</f>
        <v>1757756a93</v>
      </c>
      <c r="C42" s="29">
        <f>IF(OR($B42="",$A42&lt;=0),"",--MID('Key Analysis'!$C38,$A42-0,1))</f>
        <v>1</v>
      </c>
      <c r="D42" s="29">
        <f>IF(OR($B42="",$A42&lt;=1),"",--MID('Key Analysis'!$C38,$A42-1,1))</f>
        <v>1</v>
      </c>
      <c r="E42" s="29">
        <f>IF(OR($B42="",$A42&lt;=2),"",--MID('Key Analysis'!$C38,$A42-2,1))</f>
        <v>0</v>
      </c>
      <c r="F42" s="29">
        <f>IF(OR($B42="",$A42&lt;=3),"",--MID('Key Analysis'!$C38,$A42-3,1))</f>
        <v>0</v>
      </c>
      <c r="G42" s="29">
        <f>IF(OR($B42="",$A42&lt;=4),"",--MID('Key Analysis'!$C38,$A42-4,1))</f>
        <v>1</v>
      </c>
      <c r="H42" s="29">
        <f>IF(OR($B42="",$A42&lt;=5),"",--MID('Key Analysis'!$C38,$A42-5,1))</f>
        <v>0</v>
      </c>
      <c r="I42" s="29">
        <f>IF(OR($B42="",$A42&lt;=6),"",--MID('Key Analysis'!$C38,$A42-6,1))</f>
        <v>0</v>
      </c>
      <c r="J42" s="29">
        <f>IF(OR($B42="",$A42&lt;=7),"",--MID('Key Analysis'!$C38,$A42-7,1))</f>
        <v>1</v>
      </c>
      <c r="K42" s="29">
        <f>IF(OR($B42="",$A42&lt;=8),"",--MID('Key Analysis'!$C38,$A42-8,1))</f>
        <v>0</v>
      </c>
      <c r="L42" s="29">
        <f>IF(OR($B42="",$A42&lt;=9),"",--MID('Key Analysis'!$C38,$A42-9,1))</f>
        <v>1</v>
      </c>
      <c r="M42" s="29">
        <f>IF(OR($B42="",$A42&lt;=10),"",--MID('Key Analysis'!$C38,$A42-10,1))</f>
        <v>0</v>
      </c>
      <c r="N42" s="29">
        <f>IF(OR($B42="",$A42&lt;=11),"",--MID('Key Analysis'!$C38,$A42-11,1))</f>
        <v>1</v>
      </c>
      <c r="O42" s="29">
        <f>IF(OR($B42="",$A42&lt;=12),"",--MID('Key Analysis'!$C38,$A42-12,1))</f>
        <v>0</v>
      </c>
      <c r="P42" s="29">
        <f>IF(OR($B42="",$A42&lt;=13),"",--MID('Key Analysis'!$C38,$A42-13,1))</f>
        <v>1</v>
      </c>
      <c r="Q42" s="29">
        <f>IF(OR($B42="",$A42&lt;=14),"",--MID('Key Analysis'!$C38,$A42-14,1))</f>
        <v>1</v>
      </c>
      <c r="R42" s="29">
        <f>IF(OR($B42="",$A42&lt;=15),"",--MID('Key Analysis'!$C38,$A42-15,1))</f>
        <v>0</v>
      </c>
      <c r="S42" s="29">
        <f>IF(OR($B42="",$A42&lt;=16),"",--MID('Key Analysis'!$C38,$A42-16,1))</f>
        <v>1</v>
      </c>
      <c r="T42" s="29">
        <f>IF(OR($B42="",$A42&lt;=17),"",--MID('Key Analysis'!$C38,$A42-17,1))</f>
        <v>0</v>
      </c>
      <c r="U42" s="29">
        <f>IF(OR($B42="",$A42&lt;=18),"",--MID('Key Analysis'!$C38,$A42-18,1))</f>
        <v>1</v>
      </c>
      <c r="V42" s="29">
        <f>IF(OR($B42="",$A42&lt;=19),"",--MID('Key Analysis'!$C38,$A42-19,1))</f>
        <v>0</v>
      </c>
      <c r="W42" s="29">
        <f>IF(OR($B42="",$A42&lt;=20),"",--MID('Key Analysis'!$C38,$A42-20,1))</f>
        <v>1</v>
      </c>
      <c r="X42" s="29">
        <f>IF(OR($B42="",$A42&lt;=21),"",--MID('Key Analysis'!$C38,$A42-21,1))</f>
        <v>1</v>
      </c>
      <c r="Y42" s="29">
        <f>IF(OR($B42="",$A42&lt;=22),"",--MID('Key Analysis'!$C38,$A42-22,1))</f>
        <v>1</v>
      </c>
      <c r="Z42" s="29">
        <f>IF(OR($B42="",$A42&lt;=23),"",--MID('Key Analysis'!$C38,$A42-23,1))</f>
        <v>0</v>
      </c>
      <c r="AA42" s="29">
        <f>IF(OR($B42="",$A42&lt;=24),"",--MID('Key Analysis'!$C38,$A42-24,1))</f>
        <v>1</v>
      </c>
      <c r="AB42" s="29">
        <f>IF(OR($B42="",$A42&lt;=25),"",--MID('Key Analysis'!$C38,$A42-25,1))</f>
        <v>1</v>
      </c>
      <c r="AC42" s="29">
        <f>IF(OR($B42="",$A42&lt;=26),"",--MID('Key Analysis'!$C38,$A42-26,1))</f>
        <v>1</v>
      </c>
      <c r="AD42" s="29">
        <f>IF(OR($B42="",$A42&lt;=27),"",--MID('Key Analysis'!$C38,$A42-27,1))</f>
        <v>0</v>
      </c>
      <c r="AE42" s="29">
        <f>IF(OR($B42="",$A42&lt;=28),"",--MID('Key Analysis'!$C38,$A42-28,1))</f>
        <v>1</v>
      </c>
      <c r="AF42" s="29">
        <f>IF(OR($B42="",$A42&lt;=29),"",--MID('Key Analysis'!$C38,$A42-29,1))</f>
        <v>0</v>
      </c>
      <c r="AG42" s="29">
        <f>IF(OR($B42="",$A42&lt;=30),"",--MID('Key Analysis'!$C38,$A42-30,1))</f>
        <v>1</v>
      </c>
      <c r="AH42" s="29">
        <f>IF(OR($B42="",$A42&lt;=31),"",--MID('Key Analysis'!$C38,$A42-31,1))</f>
        <v>0</v>
      </c>
      <c r="AI42" s="29">
        <f>IF(OR($B42="",$A42&lt;=32),"",--MID('Key Analysis'!$C38,$A42-32,1))</f>
        <v>1</v>
      </c>
      <c r="AJ42" s="29">
        <f>IF(OR($B42="",$A42&lt;=33),"",--MID('Key Analysis'!$C38,$A42-33,1))</f>
        <v>1</v>
      </c>
      <c r="AK42" s="29">
        <f>IF(OR($B42="",$A42&lt;=34),"",--MID('Key Analysis'!$C38,$A42-34,1))</f>
        <v>1</v>
      </c>
      <c r="AL42" s="29">
        <f>IF(OR($B42="",$A42&lt;=35),"",--MID('Key Analysis'!$C38,$A42-35,1))</f>
        <v>0</v>
      </c>
      <c r="AM42" s="29">
        <f>IF(OR($B42="",$A42&lt;=36),"",--MID('Key Analysis'!$C38,$A42-36,1))</f>
        <v>1</v>
      </c>
      <c r="AN42" s="29" t="str">
        <f>IF(OR($B42="",$A42&lt;=37),"",--MID('Key Analysis'!$C38,$A42-37,1))</f>
        <v/>
      </c>
      <c r="AO42" s="29" t="str">
        <f>IF(OR($B42="",$A42&lt;=38),"",--MID('Key Analysis'!$C38,$A42-38,1))</f>
        <v/>
      </c>
      <c r="AP42" s="29" t="str">
        <f>IF(OR($B42="",$A42&lt;=39),"",--MID('Key Analysis'!$C38,$A42-39,1))</f>
        <v/>
      </c>
      <c r="AQ42" s="29" t="str">
        <f>IF(OR($B42="",$A42&lt;=40),"",--MID('Key Analysis'!$C38,$A42-40,1))</f>
        <v/>
      </c>
      <c r="AR42" s="29" t="str">
        <f>IF(OR($B42="",$A42&lt;=41),"",--MID('Key Analysis'!$C38,$A42-41,1))</f>
        <v/>
      </c>
      <c r="AS42" s="29" t="str">
        <f>IF(OR($B42="",$A42&lt;=42),"",--MID('Key Analysis'!$C38,$A42-42,1))</f>
        <v/>
      </c>
      <c r="AT42" s="29" t="str">
        <f>IF(OR($B42="",$A42&lt;=43),"",--MID('Key Analysis'!$C38,$A42-43,1))</f>
        <v/>
      </c>
      <c r="AU42" s="29" t="str">
        <f>IF(OR($B42="",$A42&lt;=44),"",--MID('Key Analysis'!$C38,$A42-44,1))</f>
        <v/>
      </c>
      <c r="AV42" s="29" t="str">
        <f>IF(OR($B42="",$A42&lt;=45),"",--MID('Key Analysis'!$C38,$A42-45,1))</f>
        <v/>
      </c>
      <c r="AW42" s="29" t="str">
        <f>IF(OR($B42="",$A42&lt;=46),"",--MID('Key Analysis'!$C38,$A42-46,1))</f>
        <v/>
      </c>
      <c r="AX42" s="29" t="str">
        <f>IF(OR($B42="",$A42&lt;=47),"",--MID('Key Analysis'!$C38,$A42-47,1))</f>
        <v/>
      </c>
      <c r="AY42" s="29" t="str">
        <f>IF(OR($B42="",$A42&lt;=48),"",--MID('Key Analysis'!$C38,$A42-48,1))</f>
        <v/>
      </c>
      <c r="AZ42" s="29" t="str">
        <f>IF(OR($B42="",$A42&lt;=49),"",--MID('Key Analysis'!$C38,$A42-49,1))</f>
        <v/>
      </c>
      <c r="BA42" s="29" t="str">
        <f>IF(OR($B42="",$A42&lt;=50),"",--MID('Key Analysis'!$C38,$A42-50,1))</f>
        <v/>
      </c>
      <c r="BB42" s="29" t="str">
        <f>IF(OR($B42="",$A42&lt;=51),"",--MID('Key Analysis'!$C38,$A42-51,1))</f>
        <v/>
      </c>
      <c r="BC42" s="29" t="str">
        <f>IF(OR($B42="",$A42&lt;=52),"",--MID('Key Analysis'!$C38,$A42-52,1))</f>
        <v/>
      </c>
      <c r="BD42" s="29" t="str">
        <f>IF(OR($B42="",$A42&lt;=53),"",--MID('Key Analysis'!$C38,$A42-53,1))</f>
        <v/>
      </c>
      <c r="BE42" s="29" t="str">
        <f>IF(OR($B42="",$A42&lt;=54),"",--MID('Key Analysis'!$C38,$A42-54,1))</f>
        <v/>
      </c>
      <c r="BF42" s="29" t="str">
        <f>IF(OR($B42="",$A42&lt;=55),"",--MID('Key Analysis'!$C38,$A42-55,1))</f>
        <v/>
      </c>
      <c r="BG42" s="29" t="str">
        <f>IF(OR($B42="",$A42&lt;=56),"",--MID('Key Analysis'!$C38,$A42-56,1))</f>
        <v/>
      </c>
      <c r="BH42" s="29" t="str">
        <f>IF(OR($B42="",$A42&lt;=57),"",--MID('Key Analysis'!$C38,$A42-57,1))</f>
        <v/>
      </c>
      <c r="BI42" s="29" t="str">
        <f>IF(OR($B42="",$A42&lt;=58),"",--MID('Key Analysis'!$C38,$A42-58,1))</f>
        <v/>
      </c>
      <c r="BJ42" s="29" t="str">
        <f>IF(OR($B42="",$A42&lt;=59),"",--MID('Key Analysis'!$C38,$A42-59,1))</f>
        <v/>
      </c>
      <c r="BK42" s="29" t="str">
        <f>IF(OR($B42="",$A42&lt;=60),"",--MID('Key Analysis'!$C38,$A42-60,1))</f>
        <v/>
      </c>
      <c r="BL42" s="29" t="str">
        <f>IF(OR($B42="",$A42&lt;=61),"",--MID('Key Analysis'!$C38,$A42-61,1))</f>
        <v/>
      </c>
      <c r="BM42" s="29" t="str">
        <f>IF(OR($B42="",$A42&lt;=62),"",--MID('Key Analysis'!$C38,$A42-62,1))</f>
        <v/>
      </c>
      <c r="BN42" s="29" t="str">
        <f>IF(OR($B42="",$A42&lt;=63),"",--MID('Key Analysis'!$C38,$A42-63,1))</f>
        <v/>
      </c>
      <c r="BO42" s="29" t="str">
        <f>IF(OR($B42="",$A42&lt;=64),"",--MID('Key Analysis'!$C38,$A42-64,1))</f>
        <v/>
      </c>
      <c r="BP42" s="29" t="str">
        <f>IF(OR($B42="",$A42&lt;=65),"",--MID('Key Analysis'!$C38,$A42-65,1))</f>
        <v/>
      </c>
      <c r="BQ42" s="29" t="str">
        <f>IF(OR($B42="",$A42&lt;=66),"",--MID('Key Analysis'!$C38,$A42-66,1))</f>
        <v/>
      </c>
      <c r="BR42" s="29" t="str">
        <f>IF(OR($B42="",$A42&lt;=67),"",--MID('Key Analysis'!$C38,$A42-67,1))</f>
        <v/>
      </c>
      <c r="BS42" s="29" t="str">
        <f>IF(OR($B42="",$A42&lt;=68),"",--MID('Key Analysis'!$C38,$A42-68,1))</f>
        <v/>
      </c>
      <c r="BT42" s="29" t="str">
        <f>IF(OR($B42="",$A42&lt;=69),"",--MID('Key Analysis'!$C38,$A42-69,1))</f>
        <v/>
      </c>
      <c r="BU42" s="29" t="str">
        <f>IF(OR($B42="",$A42&lt;=70),"",--MID('Key Analysis'!$C38,$A42-70,1))</f>
        <v/>
      </c>
      <c r="BV42" s="29" t="str">
        <f>IF(OR($B42="",$A42&lt;=71),"",--MID('Key Analysis'!$C38,$A42-71,1))</f>
        <v/>
      </c>
      <c r="BW42" s="29" t="str">
        <f>IF(OR($B42="",$A42&lt;=72),"",--MID('Key Analysis'!$C38,$A42-72,1))</f>
        <v/>
      </c>
      <c r="BX42" s="29" t="str">
        <f>IF(OR($B42="",$A42&lt;=73),"",--MID('Key Analysis'!$C38,$A42-73,1))</f>
        <v/>
      </c>
      <c r="BY42" s="29" t="str">
        <f>IF(OR($B42="",$A42&lt;=74),"",--MID('Key Analysis'!$C38,$A42-74,1))</f>
        <v/>
      </c>
      <c r="BZ42" s="29" t="str">
        <f>IF(OR($B42="",$A42&lt;=75),"",--MID('Key Analysis'!$C38,$A42-75,1))</f>
        <v/>
      </c>
      <c r="CA42" s="29" t="str">
        <f>IF(OR($B42="",$A42&lt;=76),"",--MID('Key Analysis'!$C38,$A42-76,1))</f>
        <v/>
      </c>
      <c r="CB42" s="29" t="str">
        <f>IF(OR($B42="",$A42&lt;=77),"",--MID('Key Analysis'!$C38,$A42-77,1))</f>
        <v/>
      </c>
      <c r="CC42" s="29" t="str">
        <f>IF(OR($B42="",$A42&lt;=78),"",--MID('Key Analysis'!$C38,$A42-78,1))</f>
        <v/>
      </c>
      <c r="CD42" s="29" t="str">
        <f>IF(OR($B42="",$A42&lt;=79),"",--MID('Key Analysis'!$C38,$A42-79,1))</f>
        <v/>
      </c>
      <c r="CE42" s="29" t="str">
        <f>IF(OR($B42="",$A42&lt;=80),"",--MID('Key Analysis'!$C38,$A42-80,1))</f>
        <v/>
      </c>
      <c r="CF42" s="29" t="str">
        <f>IF(OR($B42="",$A42&lt;=81),"",--MID('Key Analysis'!$C38,$A42-81,1))</f>
        <v/>
      </c>
      <c r="CG42" s="29" t="str">
        <f>IF(OR($B42="",$A42&lt;=82),"",--MID('Key Analysis'!$C38,$A42-82,1))</f>
        <v/>
      </c>
      <c r="CH42" s="29" t="str">
        <f>IF(OR($B42="",$A42&lt;=83),"",--MID('Key Analysis'!$C38,$A42-83,1))</f>
        <v/>
      </c>
      <c r="CI42" s="29" t="str">
        <f>IF(OR($B42="",$A42&lt;=84),"",--MID('Key Analysis'!$C38,$A42-84,1))</f>
        <v/>
      </c>
      <c r="CJ42" s="29" t="str">
        <f>IF(OR($B42="",$A42&lt;=85),"",--MID('Key Analysis'!$C38,$A42-85,1))</f>
        <v/>
      </c>
      <c r="CK42" s="29" t="str">
        <f>IF(OR($B42="",$A42&lt;=86),"",--MID('Key Analysis'!$C38,$A42-86,1))</f>
        <v/>
      </c>
      <c r="CL42" s="29" t="str">
        <f>IF(OR($B42="",$A42&lt;=87),"",--MID('Key Analysis'!$C38,$A42-87,1))</f>
        <v/>
      </c>
      <c r="CM42" s="29" t="str">
        <f>IF(OR($B42="",$A42&lt;=88),"",--MID('Key Analysis'!$C38,$A42-88,1))</f>
        <v/>
      </c>
      <c r="CN42" s="29" t="str">
        <f>IF(OR($B42="",$A42&lt;=89),"",--MID('Key Analysis'!$C38,$A42-89,1))</f>
        <v/>
      </c>
      <c r="CO42" s="29" t="str">
        <f>IF(OR($B42="",$A42&lt;=90),"",--MID('Key Analysis'!$C38,$A42-90,1))</f>
        <v/>
      </c>
      <c r="CP42" s="29" t="str">
        <f>IF(OR($B42="",$A42&lt;=91),"",--MID('Key Analysis'!$C38,$A42-91,1))</f>
        <v/>
      </c>
      <c r="CQ42" s="29" t="str">
        <f>IF(OR($B42="",$A42&lt;=92),"",--MID('Key Analysis'!$C38,$A42-92,1))</f>
        <v/>
      </c>
      <c r="CR42" s="29" t="str">
        <f>IF(OR($B42="",$A42&lt;=93),"",--MID('Key Analysis'!$C38,$A42-93,1))</f>
        <v/>
      </c>
      <c r="CS42" s="29" t="str">
        <f>IF(OR($B42="",$A42&lt;=94),"",--MID('Key Analysis'!$C38,$A42-94,1))</f>
        <v/>
      </c>
      <c r="CT42" s="29" t="str">
        <f>IF(OR($B42="",$A42&lt;=95),"",--MID('Key Analysis'!$C38,$A42-95,1))</f>
        <v/>
      </c>
      <c r="CU42" s="29" t="str">
        <f>IF(OR($B42="",$A42&lt;=96),"",--MID('Key Analysis'!$C38,$A42-96,1))</f>
        <v/>
      </c>
      <c r="CV42" s="29" t="str">
        <f>IF(OR($B42="",$A42&lt;=97),"",--MID('Key Analysis'!$C38,$A42-97,1))</f>
        <v/>
      </c>
      <c r="CW42" s="29" t="str">
        <f>IF(OR($B42="",$A42&lt;=98),"",--MID('Key Analysis'!$C38,$A42-98,1))</f>
        <v/>
      </c>
      <c r="CX42" s="29" t="str">
        <f>IF(OR($B42="",$A42&lt;=99),"",--MID('Key Analysis'!$C38,$A42-99,1))</f>
        <v/>
      </c>
      <c r="CY42" s="29" t="str">
        <f>IF(OR($B42="",$A42&lt;=100),"",--MID('Key Analysis'!$C38,$A42-100,1))</f>
        <v/>
      </c>
      <c r="CZ42" s="29" t="str">
        <f>IF(OR($B42="",$A42&lt;=101),"",--MID('Key Analysis'!$C38,$A42-101,1))</f>
        <v/>
      </c>
      <c r="DA42" s="29" t="str">
        <f>IF(OR($B42="",$A42&lt;=102),"",--MID('Key Analysis'!$C38,$A42-102,1))</f>
        <v/>
      </c>
      <c r="DB42" s="29" t="str">
        <f>IF(OR($B42="",$A42&lt;=103),"",--MID('Key Analysis'!$C38,$A42-103,1))</f>
        <v/>
      </c>
      <c r="DC42" s="29" t="str">
        <f>IF(OR($B42="",$A42&lt;=104),"",--MID('Key Analysis'!$C38,$A42-104,1))</f>
        <v/>
      </c>
      <c r="DD42" s="29" t="str">
        <f>IF(OR($B42="",$A42&lt;=105),"",--MID('Key Analysis'!$C38,$A42-105,1))</f>
        <v/>
      </c>
      <c r="DE42" s="29" t="str">
        <f>IF(OR($B42="",$A42&lt;=106),"",--MID('Key Analysis'!$C38,$A42-106,1))</f>
        <v/>
      </c>
      <c r="DF42" s="29" t="str">
        <f>IF(OR($B42="",$A42&lt;=107),"",--MID('Key Analysis'!$C38,$A42-107,1))</f>
        <v/>
      </c>
      <c r="DG42" s="29" t="str">
        <f>IF(OR($B42="",$A42&lt;=108),"",--MID('Key Analysis'!$C38,$A42-108,1))</f>
        <v/>
      </c>
      <c r="DH42" s="29" t="str">
        <f>IF(OR($B42="",$A42&lt;=109),"",--MID('Key Analysis'!$C38,$A42-109,1))</f>
        <v/>
      </c>
      <c r="DI42" s="29" t="str">
        <f>IF(OR($B42="",$A42&lt;=110),"",--MID('Key Analysis'!$C38,$A42-110,1))</f>
        <v/>
      </c>
      <c r="DJ42" s="29" t="str">
        <f>IF(OR($B42="",$A42&lt;=111),"",--MID('Key Analysis'!$C38,$A42-111,1))</f>
        <v/>
      </c>
      <c r="DK42" s="29" t="str">
        <f>IF(OR($B42="",$A42&lt;=112),"",--MID('Key Analysis'!$C38,$A42-112,1))</f>
        <v/>
      </c>
      <c r="DL42" s="29" t="str">
        <f>IF(OR($B42="",$A42&lt;=113),"",--MID('Key Analysis'!$C38,$A42-113,1))</f>
        <v/>
      </c>
      <c r="DM42" s="29" t="str">
        <f>IF(OR($B42="",$A42&lt;=114),"",--MID('Key Analysis'!$C38,$A42-114,1))</f>
        <v/>
      </c>
      <c r="DN42" s="29" t="str">
        <f>IF(OR($B42="",$A42&lt;=115),"",--MID('Key Analysis'!$C38,$A42-115,1))</f>
        <v/>
      </c>
      <c r="DO42" s="29" t="str">
        <f>IF(OR($B42="",$A42&lt;=116),"",--MID('Key Analysis'!$C38,$A42-116,1))</f>
        <v/>
      </c>
      <c r="DP42" s="29" t="str">
        <f>IF(OR($B42="",$A42&lt;=117),"",--MID('Key Analysis'!$C38,$A42-117,1))</f>
        <v/>
      </c>
      <c r="DQ42" s="29" t="str">
        <f>IF(OR($B42="",$A42&lt;=118),"",--MID('Key Analysis'!$C38,$A42-118,1))</f>
        <v/>
      </c>
      <c r="DR42" s="29" t="str">
        <f>IF(OR($B42="",$A42&lt;=119),"",--MID('Key Analysis'!$C38,$A42-119,1))</f>
        <v/>
      </c>
      <c r="DS42" s="29" t="str">
        <f>IF(OR($B42="",$A42&lt;=120),"",--MID('Key Analysis'!$C38,$A42-120,1))</f>
        <v/>
      </c>
      <c r="DT42" s="29" t="str">
        <f>IF(OR($B42="",$A42&lt;=121),"",--MID('Key Analysis'!$C38,$A42-121,1))</f>
        <v/>
      </c>
      <c r="DU42" s="29" t="str">
        <f>IF(OR($B42="",$A42&lt;=122),"",--MID('Key Analysis'!$C38,$A42-122,1))</f>
        <v/>
      </c>
      <c r="DV42" s="29" t="str">
        <f>IF(OR($B42="",$A42&lt;=123),"",--MID('Key Analysis'!$C38,$A42-123,1))</f>
        <v/>
      </c>
      <c r="DW42" s="29" t="str">
        <f>IF(OR($B42="",$A42&lt;=124),"",--MID('Key Analysis'!$C38,$A42-124,1))</f>
        <v/>
      </c>
      <c r="DX42" s="29" t="str">
        <f>IF(OR($B42="",$A42&lt;=125),"",--MID('Key Analysis'!$C38,$A42-125,1))</f>
        <v/>
      </c>
      <c r="DY42" s="29" t="str">
        <f>IF(OR($B42="",$A42&lt;=126),"",--MID('Key Analysis'!$C38,$A42-126,1))</f>
        <v/>
      </c>
      <c r="DZ42" s="29" t="str">
        <f>IF(OR($B42="",$A42&lt;=127),"",--MID('Key Analysis'!$C38,$A42-127,1))</f>
        <v/>
      </c>
      <c r="EA42" s="29" t="str">
        <f>IF(OR($B42="",$A42&lt;=128),"",--MID('Key Analysis'!$C38,$A42-128,1))</f>
        <v/>
      </c>
      <c r="EB42" s="29" t="str">
        <f>IF(OR($B42="",$A42&lt;=129),"",--MID('Key Analysis'!$C38,$A42-129,1))</f>
        <v/>
      </c>
      <c r="EC42" s="29" t="str">
        <f>IF(OR($B42="",$A42&lt;=130),"",--MID('Key Analysis'!$C38,$A42-130,1))</f>
        <v/>
      </c>
      <c r="ED42" s="29" t="str">
        <f>IF(OR($B42="",$A42&lt;=131),"",--MID('Key Analysis'!$C38,$A42-131,1))</f>
        <v/>
      </c>
      <c r="EE42" s="29" t="str">
        <f>IF(OR($B42="",$A42&lt;=132),"",--MID('Key Analysis'!$C38,$A42-132,1))</f>
        <v/>
      </c>
      <c r="EF42" s="29" t="str">
        <f>IF(OR($B42="",$A42&lt;=133),"",--MID('Key Analysis'!$C38,$A42-133,1))</f>
        <v/>
      </c>
      <c r="EG42" s="29" t="str">
        <f>IF(OR($B42="",$A42&lt;=134),"",--MID('Key Analysis'!$C38,$A42-134,1))</f>
        <v/>
      </c>
      <c r="EH42" s="29"/>
      <c r="EI42" s="29">
        <f>IF(OR($B42="",$A42&lt;1),"",--MID('Key Analysis'!$C38,1,1))</f>
        <v>1</v>
      </c>
      <c r="EJ42" s="29">
        <f>IF(OR($B42="",$A42&lt;2),"",--MID('Key Analysis'!$C38,2,1))</f>
        <v>0</v>
      </c>
      <c r="EK42" s="29">
        <f>IF(OR($B42="",$A42&lt;3),"",--MID('Key Analysis'!$C38,3,1))</f>
        <v>1</v>
      </c>
      <c r="EL42" s="29">
        <f>IF(OR($B42="",$A42&lt;4),"",--MID('Key Analysis'!$C38,4,1))</f>
        <v>1</v>
      </c>
      <c r="EM42" s="29">
        <f>IF(OR($B42="",$A42&lt;5),"",--MID('Key Analysis'!$C38,5,1))</f>
        <v>1</v>
      </c>
      <c r="EN42" s="29">
        <f>IF(OR($B42="",$A42&lt;6),"",--MID('Key Analysis'!$C38,6,1))</f>
        <v>0</v>
      </c>
      <c r="EO42" s="29">
        <f>IF(OR($B42="",$A42&lt;7),"",--MID('Key Analysis'!$C38,7,1))</f>
        <v>1</v>
      </c>
      <c r="EP42" s="29">
        <f>IF(OR($B42="",$A42&lt;8),"",--MID('Key Analysis'!$C38,8,1))</f>
        <v>0</v>
      </c>
      <c r="EQ42" s="29">
        <f>IF(OR($B42="",$A42&lt;9),"",--MID('Key Analysis'!$C38,9,1))</f>
        <v>1</v>
      </c>
      <c r="ER42" s="29">
        <f>IF(OR($B42="",$A42&lt;10),"",--MID('Key Analysis'!$C38,10,1))</f>
        <v>0</v>
      </c>
      <c r="ES42" s="29">
        <f>IF(OR($B42="",$A42&lt;11),"",--MID('Key Analysis'!$C38,11,1))</f>
        <v>1</v>
      </c>
      <c r="ET42" s="29">
        <f>IF(OR($B42="",$A42&lt;12),"",--MID('Key Analysis'!$C38,12,1))</f>
        <v>1</v>
      </c>
      <c r="EU42" s="29">
        <f>IF(OR($B42="",$A42&lt;13),"",--MID('Key Analysis'!$C38,13,1))</f>
        <v>1</v>
      </c>
      <c r="EV42" s="29">
        <f>IF(OR($B42="",$A42&lt;14),"",--MID('Key Analysis'!$C38,14,1))</f>
        <v>0</v>
      </c>
      <c r="EW42" s="29">
        <f>IF(OR($B42="",$A42&lt;15),"",--MID('Key Analysis'!$C38,15,1))</f>
        <v>1</v>
      </c>
      <c r="EX42" s="29">
        <f>IF(OR($B42="",$A42&lt;16),"",--MID('Key Analysis'!$C38,16,1))</f>
        <v>1</v>
      </c>
      <c r="EY42" s="29">
        <f>IF(OR($B42="",$A42&lt;17),"",--MID('Key Analysis'!$C38,17,1))</f>
        <v>1</v>
      </c>
      <c r="EZ42" s="29">
        <f>IF(OR($B42="",$A42&lt;18),"",--MID('Key Analysis'!$C38,18,1))</f>
        <v>0</v>
      </c>
      <c r="FA42" s="29">
        <f>IF(OR($B42="",$A42&lt;19),"",--MID('Key Analysis'!$C38,19,1))</f>
        <v>1</v>
      </c>
      <c r="FB42" s="29">
        <f>IF(OR($B42="",$A42&lt;20),"",--MID('Key Analysis'!$C38,20,1))</f>
        <v>0</v>
      </c>
      <c r="FC42" s="29">
        <f>IF(OR($B42="",$A42&lt;21),"",--MID('Key Analysis'!$C38,21,1))</f>
        <v>1</v>
      </c>
      <c r="FD42" s="29">
        <f>IF(OR($B42="",$A42&lt;22),"",--MID('Key Analysis'!$C38,22,1))</f>
        <v>0</v>
      </c>
      <c r="FE42" s="29">
        <f>IF(OR($B42="",$A42&lt;23),"",--MID('Key Analysis'!$C38,23,1))</f>
        <v>1</v>
      </c>
      <c r="FF42" s="29">
        <f>IF(OR($B42="",$A42&lt;24),"",--MID('Key Analysis'!$C38,24,1))</f>
        <v>1</v>
      </c>
      <c r="FG42" s="29">
        <f>IF(OR($B42="",$A42&lt;25),"",--MID('Key Analysis'!$C38,25,1))</f>
        <v>0</v>
      </c>
      <c r="FH42" s="29">
        <f>IF(OR($B42="",$A42&lt;26),"",--MID('Key Analysis'!$C38,26,1))</f>
        <v>1</v>
      </c>
      <c r="FI42" s="29">
        <f>IF(OR($B42="",$A42&lt;27),"",--MID('Key Analysis'!$C38,27,1))</f>
        <v>0</v>
      </c>
      <c r="FJ42" s="29">
        <f>IF(OR($B42="",$A42&lt;28),"",--MID('Key Analysis'!$C38,28,1))</f>
        <v>1</v>
      </c>
      <c r="FK42" s="29">
        <f>IF(OR($B42="",$A42&lt;29),"",--MID('Key Analysis'!$C38,29,1))</f>
        <v>0</v>
      </c>
      <c r="FL42" s="29">
        <f>IF(OR($B42="",$A42&lt;30),"",--MID('Key Analysis'!$C38,30,1))</f>
        <v>1</v>
      </c>
      <c r="FM42" s="29">
        <f>IF(OR($B42="",$A42&lt;31),"",--MID('Key Analysis'!$C38,31,1))</f>
        <v>0</v>
      </c>
      <c r="FN42" s="29">
        <f>IF(OR($B42="",$A42&lt;32),"",--MID('Key Analysis'!$C38,32,1))</f>
        <v>0</v>
      </c>
      <c r="FO42" s="29">
        <f>IF(OR($B42="",$A42&lt;33),"",--MID('Key Analysis'!$C38,33,1))</f>
        <v>1</v>
      </c>
      <c r="FP42" s="29">
        <f>IF(OR($B42="",$A42&lt;34),"",--MID('Key Analysis'!$C38,34,1))</f>
        <v>0</v>
      </c>
      <c r="FQ42" s="29">
        <f>IF(OR($B42="",$A42&lt;35),"",--MID('Key Analysis'!$C38,35,1))</f>
        <v>0</v>
      </c>
      <c r="FR42" s="29">
        <f>IF(OR($B42="",$A42&lt;36),"",--MID('Key Analysis'!$C38,36,1))</f>
        <v>1</v>
      </c>
      <c r="FS42" s="29">
        <f>IF(OR($B42="",$A42&lt;37),"",--MID('Key Analysis'!$C38,37,1))</f>
        <v>1</v>
      </c>
      <c r="FT42" s="29" t="str">
        <f>IF(OR($B42="",$A42&lt;38),"",--MID('Key Analysis'!$C38,38,1))</f>
        <v/>
      </c>
      <c r="FU42" s="29" t="str">
        <f>IF(OR($B42="",$A42&lt;39),"",--MID('Key Analysis'!$C38,39,1))</f>
        <v/>
      </c>
      <c r="FV42" s="29" t="str">
        <f>IF(OR($B42="",$A42&lt;40),"",--MID('Key Analysis'!$C38,40,1))</f>
        <v/>
      </c>
      <c r="FW42" s="29" t="str">
        <f>IF(OR($B42="",$A42&lt;41),"",--MID('Key Analysis'!$C38,41,1))</f>
        <v/>
      </c>
      <c r="FX42" s="29" t="str">
        <f>IF(OR($B42="",$A42&lt;42),"",--MID('Key Analysis'!$C38,42,1))</f>
        <v/>
      </c>
      <c r="FY42" s="29" t="str">
        <f>IF(OR($B42="",$A42&lt;43),"",--MID('Key Analysis'!$C38,43,1))</f>
        <v/>
      </c>
      <c r="FZ42" s="29" t="str">
        <f>IF(OR($B42="",$A42&lt;44),"",--MID('Key Analysis'!$C38,44,1))</f>
        <v/>
      </c>
      <c r="GA42" s="29" t="str">
        <f>IF(OR($B42="",$A42&lt;45),"",--MID('Key Analysis'!$C38,45,1))</f>
        <v/>
      </c>
      <c r="GB42" s="29" t="str">
        <f>IF(OR($B42="",$A42&lt;46),"",--MID('Key Analysis'!$C38,46,1))</f>
        <v/>
      </c>
      <c r="GC42" s="29" t="str">
        <f>IF(OR($B42="",$A42&lt;47),"",--MID('Key Analysis'!$C38,47,1))</f>
        <v/>
      </c>
      <c r="GD42" s="29" t="str">
        <f>IF(OR($B42="",$A42&lt;48),"",--MID('Key Analysis'!$C38,48,1))</f>
        <v/>
      </c>
      <c r="GE42" s="29" t="str">
        <f>IF(OR($B42="",$A42&lt;49),"",--MID('Key Analysis'!$C38,49,1))</f>
        <v/>
      </c>
      <c r="GF42" s="29" t="str">
        <f>IF(OR($B42="",$A42&lt;50),"",--MID('Key Analysis'!$C38,50,1))</f>
        <v/>
      </c>
      <c r="GG42" s="29" t="str">
        <f>IF(OR($B42="",$A42&lt;51),"",--MID('Key Analysis'!$C38,51,1))</f>
        <v/>
      </c>
      <c r="GH42" s="29" t="str">
        <f>IF(OR($B42="",$A42&lt;52),"",--MID('Key Analysis'!$C38,52,1))</f>
        <v/>
      </c>
      <c r="GI42" s="29" t="str">
        <f>IF(OR($B42="",$A42&lt;53),"",--MID('Key Analysis'!$C38,53,1))</f>
        <v/>
      </c>
      <c r="GJ42" s="29" t="str">
        <f>IF(OR($B42="",$A42&lt;54),"",--MID('Key Analysis'!$C38,54,1))</f>
        <v/>
      </c>
      <c r="GK42" s="29" t="str">
        <f>IF(OR($B42="",$A42&lt;55),"",--MID('Key Analysis'!$C38,55,1))</f>
        <v/>
      </c>
      <c r="GL42" s="29" t="str">
        <f>IF(OR($B42="",$A42&lt;56),"",--MID('Key Analysis'!$C38,56,1))</f>
        <v/>
      </c>
      <c r="GM42" s="29" t="str">
        <f>IF(OR($B42="",$A42&lt;57),"",--MID('Key Analysis'!$C38,57,1))</f>
        <v/>
      </c>
      <c r="GN42" s="29" t="str">
        <f>IF(OR($B42="",$A42&lt;58),"",--MID('Key Analysis'!$C38,58,1))</f>
        <v/>
      </c>
      <c r="GO42" s="29" t="str">
        <f>IF(OR($B42="",$A42&lt;59),"",--MID('Key Analysis'!$C38,59,1))</f>
        <v/>
      </c>
      <c r="GP42" s="29" t="str">
        <f>IF(OR($B42="",$A42&lt;60),"",--MID('Key Analysis'!$C38,60,1))</f>
        <v/>
      </c>
      <c r="GQ42" s="29" t="str">
        <f>IF(OR($B42="",$A42&lt;61),"",--MID('Key Analysis'!$C38,61,1))</f>
        <v/>
      </c>
      <c r="GR42" s="29" t="str">
        <f>IF(OR($B42="",$A42&lt;62),"",--MID('Key Analysis'!$C38,62,1))</f>
        <v/>
      </c>
      <c r="GS42" s="29" t="str">
        <f>IF(OR($B42="",$A42&lt;63),"",--MID('Key Analysis'!$C38,63,1))</f>
        <v/>
      </c>
      <c r="GT42" s="29" t="str">
        <f>IF(OR($B42="",$A42&lt;64),"",--MID('Key Analysis'!$C38,64,1))</f>
        <v/>
      </c>
      <c r="GU42" s="29" t="str">
        <f>IF(OR($B42="",$A42&lt;65),"",--MID('Key Analysis'!$C38,65,1))</f>
        <v/>
      </c>
      <c r="GV42" s="29" t="str">
        <f>IF(OR($B42="",$A42&lt;66),"",--MID('Key Analysis'!$C38,66,1))</f>
        <v/>
      </c>
      <c r="GW42" s="29" t="str">
        <f>IF(OR($B42="",$A42&lt;67),"",--MID('Key Analysis'!$C38,67,1))</f>
        <v/>
      </c>
      <c r="GX42" s="29" t="str">
        <f>IF(OR($B42="",$A42&lt;68),"",--MID('Key Analysis'!$C38,68,1))</f>
        <v/>
      </c>
      <c r="GY42" s="29" t="str">
        <f>IF(OR($B42="",$A42&lt;69),"",--MID('Key Analysis'!$C38,69,1))</f>
        <v/>
      </c>
      <c r="GZ42" s="29" t="str">
        <f>IF(OR($B42="",$A42&lt;70),"",--MID('Key Analysis'!$C38,70,1))</f>
        <v/>
      </c>
      <c r="HA42" s="29" t="str">
        <f>IF(OR($B42="",$A42&lt;71),"",--MID('Key Analysis'!$C38,71,1))</f>
        <v/>
      </c>
      <c r="HB42" s="29" t="str">
        <f>IF(OR($B42="",$A42&lt;72),"",--MID('Key Analysis'!$C38,72,1))</f>
        <v/>
      </c>
      <c r="HC42" s="29" t="str">
        <f>IF(OR($B42="",$A42&lt;73),"",--MID('Key Analysis'!$C38,73,1))</f>
        <v/>
      </c>
      <c r="HD42" s="29" t="str">
        <f>IF(OR($B42="",$A42&lt;74),"",--MID('Key Analysis'!$C38,74,1))</f>
        <v/>
      </c>
      <c r="HE42" s="29" t="str">
        <f>IF(OR($B42="",$A42&lt;75),"",--MID('Key Analysis'!$C38,75,1))</f>
        <v/>
      </c>
      <c r="HF42" s="29" t="str">
        <f>IF(OR($B42="",$A42&lt;76),"",--MID('Key Analysis'!$C38,76,1))</f>
        <v/>
      </c>
      <c r="HG42" s="29" t="str">
        <f>IF(OR($B42="",$A42&lt;77),"",--MID('Key Analysis'!$C38,77,1))</f>
        <v/>
      </c>
      <c r="HH42" s="29" t="str">
        <f>IF(OR($B42="",$A42&lt;78),"",--MID('Key Analysis'!$C38,78,1))</f>
        <v/>
      </c>
      <c r="HI42" s="29" t="str">
        <f>IF(OR($B42="",$A42&lt;79),"",--MID('Key Analysis'!$C38,79,1))</f>
        <v/>
      </c>
      <c r="HJ42" s="29" t="str">
        <f>IF(OR($B42="",$A42&lt;80),"",--MID('Key Analysis'!$C38,80,1))</f>
        <v/>
      </c>
      <c r="HK42" s="29" t="str">
        <f>IF(OR($B42="",$A42&lt;81),"",--MID('Key Analysis'!$C38,81,1))</f>
        <v/>
      </c>
      <c r="HL42" s="29" t="str">
        <f>IF(OR($B42="",$A42&lt;82),"",--MID('Key Analysis'!$C38,82,1))</f>
        <v/>
      </c>
      <c r="HM42" s="29" t="str">
        <f>IF(OR($B42="",$A42&lt;83),"",--MID('Key Analysis'!$C38,83,1))</f>
        <v/>
      </c>
      <c r="HN42" s="29" t="str">
        <f>IF(OR($B42="",$A42&lt;84),"",--MID('Key Analysis'!$C38,84,1))</f>
        <v/>
      </c>
      <c r="HO42" s="29" t="str">
        <f>IF(OR($B42="",$A42&lt;85),"",--MID('Key Analysis'!$C38,85,1))</f>
        <v/>
      </c>
      <c r="HP42" s="29" t="str">
        <f>IF(OR($B42="",$A42&lt;86),"",--MID('Key Analysis'!$C38,86,1))</f>
        <v/>
      </c>
      <c r="HQ42" s="29" t="str">
        <f>IF(OR($B42="",$A42&lt;87),"",--MID('Key Analysis'!$C38,87,1))</f>
        <v/>
      </c>
      <c r="HR42" s="29" t="str">
        <f>IF(OR($B42="",$A42&lt;88),"",--MID('Key Analysis'!$C38,88,1))</f>
        <v/>
      </c>
      <c r="HS42" s="29" t="str">
        <f>IF(OR($B42="",$A42&lt;89),"",--MID('Key Analysis'!$C38,89,1))</f>
        <v/>
      </c>
      <c r="HT42" s="29" t="str">
        <f>IF(OR($B42="",$A42&lt;90),"",--MID('Key Analysis'!$C38,90,1))</f>
        <v/>
      </c>
      <c r="HU42" s="29" t="str">
        <f>IF(OR($B42="",$A42&lt;91),"",--MID('Key Analysis'!$C38,91,1))</f>
        <v/>
      </c>
      <c r="HV42" s="29" t="str">
        <f>IF(OR($B42="",$A42&lt;92),"",--MID('Key Analysis'!$C38,92,1))</f>
        <v/>
      </c>
      <c r="HW42" s="29" t="str">
        <f>IF(OR($B42="",$A42&lt;93),"",--MID('Key Analysis'!$C38,93,1))</f>
        <v/>
      </c>
      <c r="HX42" s="29" t="str">
        <f>IF(OR($B42="",$A42&lt;94),"",--MID('Key Analysis'!$C38,94,1))</f>
        <v/>
      </c>
      <c r="HY42" s="29" t="str">
        <f>IF(OR($B42="",$A42&lt;95),"",--MID('Key Analysis'!$C38,95,1))</f>
        <v/>
      </c>
      <c r="HZ42" s="29" t="str">
        <f>IF(OR($B42="",$A42&lt;96),"",--MID('Key Analysis'!$C38,96,1))</f>
        <v/>
      </c>
      <c r="IA42" s="29" t="str">
        <f>IF(OR($B42="",$A42&lt;97),"",--MID('Key Analysis'!$C38,97,1))</f>
        <v/>
      </c>
      <c r="IB42" s="29" t="str">
        <f>IF(OR($B42="",$A42&lt;98),"",--MID('Key Analysis'!$C38,98,1))</f>
        <v/>
      </c>
      <c r="IC42" s="29" t="str">
        <f>IF(OR($B42="",$A42&lt;99),"",--MID('Key Analysis'!$C38,99,1))</f>
        <v/>
      </c>
      <c r="ID42" s="29" t="str">
        <f>IF(OR($B42="",$A42&lt;100),"",--MID('Key Analysis'!$C38,100,1))</f>
        <v/>
      </c>
      <c r="IE42" s="29" t="str">
        <f>IF(OR($B42="",$A42&lt;101),"",--MID('Key Analysis'!$C38,101,1))</f>
        <v/>
      </c>
      <c r="IF42" s="29" t="str">
        <f>IF(OR($B42="",$A42&lt;102),"",--MID('Key Analysis'!$C38,102,1))</f>
        <v/>
      </c>
      <c r="IG42" s="29" t="str">
        <f>IF(OR($B42="",$A42&lt;103),"",--MID('Key Analysis'!$C38,103,1))</f>
        <v/>
      </c>
      <c r="IH42" s="29" t="str">
        <f>IF(OR($B42="",$A42&lt;104),"",--MID('Key Analysis'!$C38,104,1))</f>
        <v/>
      </c>
      <c r="II42" s="29" t="str">
        <f>IF(OR($B42="",$A42&lt;105),"",--MID('Key Analysis'!$C38,105,1))</f>
        <v/>
      </c>
      <c r="IJ42" s="29" t="str">
        <f>IF(OR($B42="",$A42&lt;106),"",--MID('Key Analysis'!$C38,106,1))</f>
        <v/>
      </c>
      <c r="IK42" s="29" t="str">
        <f>IF(OR($B42="",$A42&lt;107),"",--MID('Key Analysis'!$C38,107,1))</f>
        <v/>
      </c>
      <c r="IL42" s="29" t="str">
        <f>IF(OR($B42="",$A42&lt;108),"",--MID('Key Analysis'!$C38,108,1))</f>
        <v/>
      </c>
      <c r="IM42" s="29" t="str">
        <f>IF(OR($B42="",$A42&lt;109),"",--MID('Key Analysis'!$C38,109,1))</f>
        <v/>
      </c>
      <c r="IN42" s="29" t="str">
        <f>IF(OR($B42="",$A42&lt;110),"",--MID('Key Analysis'!$C38,110,1))</f>
        <v/>
      </c>
      <c r="IO42" s="29" t="str">
        <f>IF(OR($B42="",$A42&lt;111),"",--MID('Key Analysis'!$C38,111,1))</f>
        <v/>
      </c>
      <c r="IP42" s="29" t="str">
        <f>IF(OR($B42="",$A42&lt;112),"",--MID('Key Analysis'!$C38,112,1))</f>
        <v/>
      </c>
      <c r="IQ42" s="29" t="str">
        <f>IF(OR($B42="",$A42&lt;113),"",--MID('Key Analysis'!$C38,113,1))</f>
        <v/>
      </c>
      <c r="IR42" s="29" t="str">
        <f>IF(OR($B42="",$A42&lt;114),"",--MID('Key Analysis'!$C38,114,1))</f>
        <v/>
      </c>
      <c r="IS42" s="29" t="str">
        <f>IF(OR($B42="",$A42&lt;115),"",--MID('Key Analysis'!$C38,115,1))</f>
        <v/>
      </c>
      <c r="IT42" s="29" t="str">
        <f>IF(OR($B42="",$A42&lt;116),"",--MID('Key Analysis'!$C38,116,1))</f>
        <v/>
      </c>
      <c r="IU42" s="29" t="str">
        <f>IF(OR($B42="",$A42&lt;117),"",--MID('Key Analysis'!$C38,117,1))</f>
        <v/>
      </c>
      <c r="IV42" s="29" t="str">
        <f>IF(OR($B42="",$A42&lt;118),"",--MID('Key Analysis'!$C38,118,1))</f>
        <v/>
      </c>
      <c r="IW42" s="29" t="str">
        <f>IF(OR($B42="",$A42&lt;119),"",--MID('Key Analysis'!$C38,119,1))</f>
        <v/>
      </c>
      <c r="IX42" s="29" t="str">
        <f>IF(OR($B42="",$A42&lt;120),"",--MID('Key Analysis'!$C38,120,1))</f>
        <v/>
      </c>
      <c r="IY42" s="29" t="str">
        <f>IF(OR($B42="",$A42&lt;121),"",--MID('Key Analysis'!$C38,121,1))</f>
        <v/>
      </c>
      <c r="IZ42" s="29" t="str">
        <f>IF(OR($B42="",$A42&lt;122),"",--MID('Key Analysis'!$C38,122,1))</f>
        <v/>
      </c>
      <c r="JA42" s="29" t="str">
        <f>IF(OR($B42="",$A42&lt;123),"",--MID('Key Analysis'!$C38,123,1))</f>
        <v/>
      </c>
      <c r="JB42" s="29" t="str">
        <f>IF(OR($B42="",$A42&lt;124),"",--MID('Key Analysis'!$C38,124,1))</f>
        <v/>
      </c>
      <c r="JC42" s="29" t="str">
        <f>IF(OR($B42="",$A42&lt;125),"",--MID('Key Analysis'!$C38,125,1))</f>
        <v/>
      </c>
      <c r="JD42" s="29" t="str">
        <f>IF(OR($B42="",$A42&lt;126),"",--MID('Key Analysis'!$C38,126,1))</f>
        <v/>
      </c>
      <c r="JE42" s="29" t="str">
        <f>IF(OR($B42="",$A42&lt;127),"",--MID('Key Analysis'!$C38,127,1))</f>
        <v/>
      </c>
      <c r="JF42" s="29" t="str">
        <f>IF(OR($B42="",$A42&lt;128),"",--MID('Key Analysis'!$C38,128,1))</f>
        <v/>
      </c>
      <c r="JG42" s="29" t="str">
        <f>IF(OR($B42="",$A42&lt;129),"",--MID('Key Analysis'!$C38,129,1))</f>
        <v/>
      </c>
      <c r="JH42" s="29" t="str">
        <f>IF(OR($B42="",$A42&lt;130),"",--MID('Key Analysis'!$C38,130,1))</f>
        <v/>
      </c>
      <c r="JI42" s="29" t="str">
        <f>IF(OR($B42="",$A42&lt;131),"",--MID('Key Analysis'!$C38,131,1))</f>
        <v/>
      </c>
      <c r="JJ42" s="29" t="str">
        <f>IF(OR($B42="",$A42&lt;132),"",--MID('Key Analysis'!$C38,132,1))</f>
        <v/>
      </c>
      <c r="JK42" s="29" t="str">
        <f>IF(OR($B42="",$A42&lt;133),"",--MID('Key Analysis'!$C38,133,1))</f>
        <v/>
      </c>
      <c r="JL42" s="29" t="str">
        <f>IF(OR($B42="",$A42&lt;134),"",--MID('Key Analysis'!$C38,134,1))</f>
        <v/>
      </c>
      <c r="JM42" s="29" t="str">
        <f>IF(OR($B42="",$A42&lt;135),"",--MID('Key Analysis'!$C38,135,1))</f>
        <v/>
      </c>
    </row>
    <row r="43" spans="1:273" x14ac:dyDescent="0.25">
      <c r="A43" s="21">
        <f>'Key Analysis'!A39</f>
        <v>38</v>
      </c>
      <c r="B43" s="30" t="str">
        <f>'Key Analysis'!B39</f>
        <v>22382facd0</v>
      </c>
      <c r="C43" s="29">
        <f>IF(OR($B43="",$A43&lt;=0),"",--MID('Key Analysis'!$C39,$A43-0,1))</f>
        <v>0</v>
      </c>
      <c r="D43" s="29">
        <f>IF(OR($B43="",$A43&lt;=1),"",--MID('Key Analysis'!$C39,$A43-1,1))</f>
        <v>0</v>
      </c>
      <c r="E43" s="29">
        <f>IF(OR($B43="",$A43&lt;=2),"",--MID('Key Analysis'!$C39,$A43-2,1))</f>
        <v>0</v>
      </c>
      <c r="F43" s="29">
        <f>IF(OR($B43="",$A43&lt;=3),"",--MID('Key Analysis'!$C39,$A43-3,1))</f>
        <v>0</v>
      </c>
      <c r="G43" s="29">
        <f>IF(OR($B43="",$A43&lt;=4),"",--MID('Key Analysis'!$C39,$A43-4,1))</f>
        <v>1</v>
      </c>
      <c r="H43" s="29">
        <f>IF(OR($B43="",$A43&lt;=5),"",--MID('Key Analysis'!$C39,$A43-5,1))</f>
        <v>0</v>
      </c>
      <c r="I43" s="29">
        <f>IF(OR($B43="",$A43&lt;=6),"",--MID('Key Analysis'!$C39,$A43-6,1))</f>
        <v>1</v>
      </c>
      <c r="J43" s="29">
        <f>IF(OR($B43="",$A43&lt;=7),"",--MID('Key Analysis'!$C39,$A43-7,1))</f>
        <v>1</v>
      </c>
      <c r="K43" s="29">
        <f>IF(OR($B43="",$A43&lt;=8),"",--MID('Key Analysis'!$C39,$A43-8,1))</f>
        <v>0</v>
      </c>
      <c r="L43" s="29">
        <f>IF(OR($B43="",$A43&lt;=9),"",--MID('Key Analysis'!$C39,$A43-9,1))</f>
        <v>0</v>
      </c>
      <c r="M43" s="29">
        <f>IF(OR($B43="",$A43&lt;=10),"",--MID('Key Analysis'!$C39,$A43-10,1))</f>
        <v>1</v>
      </c>
      <c r="N43" s="29">
        <f>IF(OR($B43="",$A43&lt;=11),"",--MID('Key Analysis'!$C39,$A43-11,1))</f>
        <v>1</v>
      </c>
      <c r="O43" s="29">
        <f>IF(OR($B43="",$A43&lt;=12),"",--MID('Key Analysis'!$C39,$A43-12,1))</f>
        <v>0</v>
      </c>
      <c r="P43" s="29">
        <f>IF(OR($B43="",$A43&lt;=13),"",--MID('Key Analysis'!$C39,$A43-13,1))</f>
        <v>1</v>
      </c>
      <c r="Q43" s="29">
        <f>IF(OR($B43="",$A43&lt;=14),"",--MID('Key Analysis'!$C39,$A43-14,1))</f>
        <v>0</v>
      </c>
      <c r="R43" s="29">
        <f>IF(OR($B43="",$A43&lt;=15),"",--MID('Key Analysis'!$C39,$A43-15,1))</f>
        <v>1</v>
      </c>
      <c r="S43" s="29">
        <f>IF(OR($B43="",$A43&lt;=16),"",--MID('Key Analysis'!$C39,$A43-16,1))</f>
        <v>1</v>
      </c>
      <c r="T43" s="29">
        <f>IF(OR($B43="",$A43&lt;=17),"",--MID('Key Analysis'!$C39,$A43-17,1))</f>
        <v>1</v>
      </c>
      <c r="U43" s="29">
        <f>IF(OR($B43="",$A43&lt;=18),"",--MID('Key Analysis'!$C39,$A43-18,1))</f>
        <v>1</v>
      </c>
      <c r="V43" s="29">
        <f>IF(OR($B43="",$A43&lt;=19),"",--MID('Key Analysis'!$C39,$A43-19,1))</f>
        <v>1</v>
      </c>
      <c r="W43" s="29">
        <f>IF(OR($B43="",$A43&lt;=20),"",--MID('Key Analysis'!$C39,$A43-20,1))</f>
        <v>0</v>
      </c>
      <c r="X43" s="29">
        <f>IF(OR($B43="",$A43&lt;=21),"",--MID('Key Analysis'!$C39,$A43-21,1))</f>
        <v>1</v>
      </c>
      <c r="Y43" s="29">
        <f>IF(OR($B43="",$A43&lt;=22),"",--MID('Key Analysis'!$C39,$A43-22,1))</f>
        <v>0</v>
      </c>
      <c r="Z43" s="29">
        <f>IF(OR($B43="",$A43&lt;=23),"",--MID('Key Analysis'!$C39,$A43-23,1))</f>
        <v>0</v>
      </c>
      <c r="AA43" s="29">
        <f>IF(OR($B43="",$A43&lt;=24),"",--MID('Key Analysis'!$C39,$A43-24,1))</f>
        <v>0</v>
      </c>
      <c r="AB43" s="29">
        <f>IF(OR($B43="",$A43&lt;=25),"",--MID('Key Analysis'!$C39,$A43-25,1))</f>
        <v>0</v>
      </c>
      <c r="AC43" s="29">
        <f>IF(OR($B43="",$A43&lt;=26),"",--MID('Key Analysis'!$C39,$A43-26,1))</f>
        <v>0</v>
      </c>
      <c r="AD43" s="29">
        <f>IF(OR($B43="",$A43&lt;=27),"",--MID('Key Analysis'!$C39,$A43-27,1))</f>
        <v>1</v>
      </c>
      <c r="AE43" s="29">
        <f>IF(OR($B43="",$A43&lt;=28),"",--MID('Key Analysis'!$C39,$A43-28,1))</f>
        <v>1</v>
      </c>
      <c r="AF43" s="29">
        <f>IF(OR($B43="",$A43&lt;=29),"",--MID('Key Analysis'!$C39,$A43-29,1))</f>
        <v>1</v>
      </c>
      <c r="AG43" s="29">
        <f>IF(OR($B43="",$A43&lt;=30),"",--MID('Key Analysis'!$C39,$A43-30,1))</f>
        <v>0</v>
      </c>
      <c r="AH43" s="29">
        <f>IF(OR($B43="",$A43&lt;=31),"",--MID('Key Analysis'!$C39,$A43-31,1))</f>
        <v>0</v>
      </c>
      <c r="AI43" s="29">
        <f>IF(OR($B43="",$A43&lt;=32),"",--MID('Key Analysis'!$C39,$A43-32,1))</f>
        <v>0</v>
      </c>
      <c r="AJ43" s="29">
        <f>IF(OR($B43="",$A43&lt;=33),"",--MID('Key Analysis'!$C39,$A43-33,1))</f>
        <v>1</v>
      </c>
      <c r="AK43" s="29">
        <f>IF(OR($B43="",$A43&lt;=34),"",--MID('Key Analysis'!$C39,$A43-34,1))</f>
        <v>0</v>
      </c>
      <c r="AL43" s="29">
        <f>IF(OR($B43="",$A43&lt;=35),"",--MID('Key Analysis'!$C39,$A43-35,1))</f>
        <v>0</v>
      </c>
      <c r="AM43" s="29">
        <f>IF(OR($B43="",$A43&lt;=36),"",--MID('Key Analysis'!$C39,$A43-36,1))</f>
        <v>0</v>
      </c>
      <c r="AN43" s="29">
        <f>IF(OR($B43="",$A43&lt;=37),"",--MID('Key Analysis'!$C39,$A43-37,1))</f>
        <v>1</v>
      </c>
      <c r="AO43" s="29" t="str">
        <f>IF(OR($B43="",$A43&lt;=38),"",--MID('Key Analysis'!$C39,$A43-38,1))</f>
        <v/>
      </c>
      <c r="AP43" s="29" t="str">
        <f>IF(OR($B43="",$A43&lt;=39),"",--MID('Key Analysis'!$C39,$A43-39,1))</f>
        <v/>
      </c>
      <c r="AQ43" s="29" t="str">
        <f>IF(OR($B43="",$A43&lt;=40),"",--MID('Key Analysis'!$C39,$A43-40,1))</f>
        <v/>
      </c>
      <c r="AR43" s="29" t="str">
        <f>IF(OR($B43="",$A43&lt;=41),"",--MID('Key Analysis'!$C39,$A43-41,1))</f>
        <v/>
      </c>
      <c r="AS43" s="29" t="str">
        <f>IF(OR($B43="",$A43&lt;=42),"",--MID('Key Analysis'!$C39,$A43-42,1))</f>
        <v/>
      </c>
      <c r="AT43" s="29" t="str">
        <f>IF(OR($B43="",$A43&lt;=43),"",--MID('Key Analysis'!$C39,$A43-43,1))</f>
        <v/>
      </c>
      <c r="AU43" s="29" t="str">
        <f>IF(OR($B43="",$A43&lt;=44),"",--MID('Key Analysis'!$C39,$A43-44,1))</f>
        <v/>
      </c>
      <c r="AV43" s="29" t="str">
        <f>IF(OR($B43="",$A43&lt;=45),"",--MID('Key Analysis'!$C39,$A43-45,1))</f>
        <v/>
      </c>
      <c r="AW43" s="29" t="str">
        <f>IF(OR($B43="",$A43&lt;=46),"",--MID('Key Analysis'!$C39,$A43-46,1))</f>
        <v/>
      </c>
      <c r="AX43" s="29" t="str">
        <f>IF(OR($B43="",$A43&lt;=47),"",--MID('Key Analysis'!$C39,$A43-47,1))</f>
        <v/>
      </c>
      <c r="AY43" s="29" t="str">
        <f>IF(OR($B43="",$A43&lt;=48),"",--MID('Key Analysis'!$C39,$A43-48,1))</f>
        <v/>
      </c>
      <c r="AZ43" s="29" t="str">
        <f>IF(OR($B43="",$A43&lt;=49),"",--MID('Key Analysis'!$C39,$A43-49,1))</f>
        <v/>
      </c>
      <c r="BA43" s="29" t="str">
        <f>IF(OR($B43="",$A43&lt;=50),"",--MID('Key Analysis'!$C39,$A43-50,1))</f>
        <v/>
      </c>
      <c r="BB43" s="29" t="str">
        <f>IF(OR($B43="",$A43&lt;=51),"",--MID('Key Analysis'!$C39,$A43-51,1))</f>
        <v/>
      </c>
      <c r="BC43" s="29" t="str">
        <f>IF(OR($B43="",$A43&lt;=52),"",--MID('Key Analysis'!$C39,$A43-52,1))</f>
        <v/>
      </c>
      <c r="BD43" s="29" t="str">
        <f>IF(OR($B43="",$A43&lt;=53),"",--MID('Key Analysis'!$C39,$A43-53,1))</f>
        <v/>
      </c>
      <c r="BE43" s="29" t="str">
        <f>IF(OR($B43="",$A43&lt;=54),"",--MID('Key Analysis'!$C39,$A43-54,1))</f>
        <v/>
      </c>
      <c r="BF43" s="29" t="str">
        <f>IF(OR($B43="",$A43&lt;=55),"",--MID('Key Analysis'!$C39,$A43-55,1))</f>
        <v/>
      </c>
      <c r="BG43" s="29" t="str">
        <f>IF(OR($B43="",$A43&lt;=56),"",--MID('Key Analysis'!$C39,$A43-56,1))</f>
        <v/>
      </c>
      <c r="BH43" s="29" t="str">
        <f>IF(OR($B43="",$A43&lt;=57),"",--MID('Key Analysis'!$C39,$A43-57,1))</f>
        <v/>
      </c>
      <c r="BI43" s="29" t="str">
        <f>IF(OR($B43="",$A43&lt;=58),"",--MID('Key Analysis'!$C39,$A43-58,1))</f>
        <v/>
      </c>
      <c r="BJ43" s="29" t="str">
        <f>IF(OR($B43="",$A43&lt;=59),"",--MID('Key Analysis'!$C39,$A43-59,1))</f>
        <v/>
      </c>
      <c r="BK43" s="29" t="str">
        <f>IF(OR($B43="",$A43&lt;=60),"",--MID('Key Analysis'!$C39,$A43-60,1))</f>
        <v/>
      </c>
      <c r="BL43" s="29" t="str">
        <f>IF(OR($B43="",$A43&lt;=61),"",--MID('Key Analysis'!$C39,$A43-61,1))</f>
        <v/>
      </c>
      <c r="BM43" s="29" t="str">
        <f>IF(OR($B43="",$A43&lt;=62),"",--MID('Key Analysis'!$C39,$A43-62,1))</f>
        <v/>
      </c>
      <c r="BN43" s="29" t="str">
        <f>IF(OR($B43="",$A43&lt;=63),"",--MID('Key Analysis'!$C39,$A43-63,1))</f>
        <v/>
      </c>
      <c r="BO43" s="29" t="str">
        <f>IF(OR($B43="",$A43&lt;=64),"",--MID('Key Analysis'!$C39,$A43-64,1))</f>
        <v/>
      </c>
      <c r="BP43" s="29" t="str">
        <f>IF(OR($B43="",$A43&lt;=65),"",--MID('Key Analysis'!$C39,$A43-65,1))</f>
        <v/>
      </c>
      <c r="BQ43" s="29" t="str">
        <f>IF(OR($B43="",$A43&lt;=66),"",--MID('Key Analysis'!$C39,$A43-66,1))</f>
        <v/>
      </c>
      <c r="BR43" s="29" t="str">
        <f>IF(OR($B43="",$A43&lt;=67),"",--MID('Key Analysis'!$C39,$A43-67,1))</f>
        <v/>
      </c>
      <c r="BS43" s="29" t="str">
        <f>IF(OR($B43="",$A43&lt;=68),"",--MID('Key Analysis'!$C39,$A43-68,1))</f>
        <v/>
      </c>
      <c r="BT43" s="29" t="str">
        <f>IF(OR($B43="",$A43&lt;=69),"",--MID('Key Analysis'!$C39,$A43-69,1))</f>
        <v/>
      </c>
      <c r="BU43" s="29" t="str">
        <f>IF(OR($B43="",$A43&lt;=70),"",--MID('Key Analysis'!$C39,$A43-70,1))</f>
        <v/>
      </c>
      <c r="BV43" s="29" t="str">
        <f>IF(OR($B43="",$A43&lt;=71),"",--MID('Key Analysis'!$C39,$A43-71,1))</f>
        <v/>
      </c>
      <c r="BW43" s="29" t="str">
        <f>IF(OR($B43="",$A43&lt;=72),"",--MID('Key Analysis'!$C39,$A43-72,1))</f>
        <v/>
      </c>
      <c r="BX43" s="29" t="str">
        <f>IF(OR($B43="",$A43&lt;=73),"",--MID('Key Analysis'!$C39,$A43-73,1))</f>
        <v/>
      </c>
      <c r="BY43" s="29" t="str">
        <f>IF(OR($B43="",$A43&lt;=74),"",--MID('Key Analysis'!$C39,$A43-74,1))</f>
        <v/>
      </c>
      <c r="BZ43" s="29" t="str">
        <f>IF(OR($B43="",$A43&lt;=75),"",--MID('Key Analysis'!$C39,$A43-75,1))</f>
        <v/>
      </c>
      <c r="CA43" s="29" t="str">
        <f>IF(OR($B43="",$A43&lt;=76),"",--MID('Key Analysis'!$C39,$A43-76,1))</f>
        <v/>
      </c>
      <c r="CB43" s="29" t="str">
        <f>IF(OR($B43="",$A43&lt;=77),"",--MID('Key Analysis'!$C39,$A43-77,1))</f>
        <v/>
      </c>
      <c r="CC43" s="29" t="str">
        <f>IF(OR($B43="",$A43&lt;=78),"",--MID('Key Analysis'!$C39,$A43-78,1))</f>
        <v/>
      </c>
      <c r="CD43" s="29" t="str">
        <f>IF(OR($B43="",$A43&lt;=79),"",--MID('Key Analysis'!$C39,$A43-79,1))</f>
        <v/>
      </c>
      <c r="CE43" s="29" t="str">
        <f>IF(OR($B43="",$A43&lt;=80),"",--MID('Key Analysis'!$C39,$A43-80,1))</f>
        <v/>
      </c>
      <c r="CF43" s="29" t="str">
        <f>IF(OR($B43="",$A43&lt;=81),"",--MID('Key Analysis'!$C39,$A43-81,1))</f>
        <v/>
      </c>
      <c r="CG43" s="29" t="str">
        <f>IF(OR($B43="",$A43&lt;=82),"",--MID('Key Analysis'!$C39,$A43-82,1))</f>
        <v/>
      </c>
      <c r="CH43" s="29" t="str">
        <f>IF(OR($B43="",$A43&lt;=83),"",--MID('Key Analysis'!$C39,$A43-83,1))</f>
        <v/>
      </c>
      <c r="CI43" s="29" t="str">
        <f>IF(OR($B43="",$A43&lt;=84),"",--MID('Key Analysis'!$C39,$A43-84,1))</f>
        <v/>
      </c>
      <c r="CJ43" s="29" t="str">
        <f>IF(OR($B43="",$A43&lt;=85),"",--MID('Key Analysis'!$C39,$A43-85,1))</f>
        <v/>
      </c>
      <c r="CK43" s="29" t="str">
        <f>IF(OR($B43="",$A43&lt;=86),"",--MID('Key Analysis'!$C39,$A43-86,1))</f>
        <v/>
      </c>
      <c r="CL43" s="29" t="str">
        <f>IF(OR($B43="",$A43&lt;=87),"",--MID('Key Analysis'!$C39,$A43-87,1))</f>
        <v/>
      </c>
      <c r="CM43" s="29" t="str">
        <f>IF(OR($B43="",$A43&lt;=88),"",--MID('Key Analysis'!$C39,$A43-88,1))</f>
        <v/>
      </c>
      <c r="CN43" s="29" t="str">
        <f>IF(OR($B43="",$A43&lt;=89),"",--MID('Key Analysis'!$C39,$A43-89,1))</f>
        <v/>
      </c>
      <c r="CO43" s="29" t="str">
        <f>IF(OR($B43="",$A43&lt;=90),"",--MID('Key Analysis'!$C39,$A43-90,1))</f>
        <v/>
      </c>
      <c r="CP43" s="29" t="str">
        <f>IF(OR($B43="",$A43&lt;=91),"",--MID('Key Analysis'!$C39,$A43-91,1))</f>
        <v/>
      </c>
      <c r="CQ43" s="29" t="str">
        <f>IF(OR($B43="",$A43&lt;=92),"",--MID('Key Analysis'!$C39,$A43-92,1))</f>
        <v/>
      </c>
      <c r="CR43" s="29" t="str">
        <f>IF(OR($B43="",$A43&lt;=93),"",--MID('Key Analysis'!$C39,$A43-93,1))</f>
        <v/>
      </c>
      <c r="CS43" s="29" t="str">
        <f>IF(OR($B43="",$A43&lt;=94),"",--MID('Key Analysis'!$C39,$A43-94,1))</f>
        <v/>
      </c>
      <c r="CT43" s="29" t="str">
        <f>IF(OR($B43="",$A43&lt;=95),"",--MID('Key Analysis'!$C39,$A43-95,1))</f>
        <v/>
      </c>
      <c r="CU43" s="29" t="str">
        <f>IF(OR($B43="",$A43&lt;=96),"",--MID('Key Analysis'!$C39,$A43-96,1))</f>
        <v/>
      </c>
      <c r="CV43" s="29" t="str">
        <f>IF(OR($B43="",$A43&lt;=97),"",--MID('Key Analysis'!$C39,$A43-97,1))</f>
        <v/>
      </c>
      <c r="CW43" s="29" t="str">
        <f>IF(OR($B43="",$A43&lt;=98),"",--MID('Key Analysis'!$C39,$A43-98,1))</f>
        <v/>
      </c>
      <c r="CX43" s="29" t="str">
        <f>IF(OR($B43="",$A43&lt;=99),"",--MID('Key Analysis'!$C39,$A43-99,1))</f>
        <v/>
      </c>
      <c r="CY43" s="29" t="str">
        <f>IF(OR($B43="",$A43&lt;=100),"",--MID('Key Analysis'!$C39,$A43-100,1))</f>
        <v/>
      </c>
      <c r="CZ43" s="29" t="str">
        <f>IF(OR($B43="",$A43&lt;=101),"",--MID('Key Analysis'!$C39,$A43-101,1))</f>
        <v/>
      </c>
      <c r="DA43" s="29" t="str">
        <f>IF(OR($B43="",$A43&lt;=102),"",--MID('Key Analysis'!$C39,$A43-102,1))</f>
        <v/>
      </c>
      <c r="DB43" s="29" t="str">
        <f>IF(OR($B43="",$A43&lt;=103),"",--MID('Key Analysis'!$C39,$A43-103,1))</f>
        <v/>
      </c>
      <c r="DC43" s="29" t="str">
        <f>IF(OR($B43="",$A43&lt;=104),"",--MID('Key Analysis'!$C39,$A43-104,1))</f>
        <v/>
      </c>
      <c r="DD43" s="29" t="str">
        <f>IF(OR($B43="",$A43&lt;=105),"",--MID('Key Analysis'!$C39,$A43-105,1))</f>
        <v/>
      </c>
      <c r="DE43" s="29" t="str">
        <f>IF(OR($B43="",$A43&lt;=106),"",--MID('Key Analysis'!$C39,$A43-106,1))</f>
        <v/>
      </c>
      <c r="DF43" s="29" t="str">
        <f>IF(OR($B43="",$A43&lt;=107),"",--MID('Key Analysis'!$C39,$A43-107,1))</f>
        <v/>
      </c>
      <c r="DG43" s="29" t="str">
        <f>IF(OR($B43="",$A43&lt;=108),"",--MID('Key Analysis'!$C39,$A43-108,1))</f>
        <v/>
      </c>
      <c r="DH43" s="29" t="str">
        <f>IF(OR($B43="",$A43&lt;=109),"",--MID('Key Analysis'!$C39,$A43-109,1))</f>
        <v/>
      </c>
      <c r="DI43" s="29" t="str">
        <f>IF(OR($B43="",$A43&lt;=110),"",--MID('Key Analysis'!$C39,$A43-110,1))</f>
        <v/>
      </c>
      <c r="DJ43" s="29" t="str">
        <f>IF(OR($B43="",$A43&lt;=111),"",--MID('Key Analysis'!$C39,$A43-111,1))</f>
        <v/>
      </c>
      <c r="DK43" s="29" t="str">
        <f>IF(OR($B43="",$A43&lt;=112),"",--MID('Key Analysis'!$C39,$A43-112,1))</f>
        <v/>
      </c>
      <c r="DL43" s="29" t="str">
        <f>IF(OR($B43="",$A43&lt;=113),"",--MID('Key Analysis'!$C39,$A43-113,1))</f>
        <v/>
      </c>
      <c r="DM43" s="29" t="str">
        <f>IF(OR($B43="",$A43&lt;=114),"",--MID('Key Analysis'!$C39,$A43-114,1))</f>
        <v/>
      </c>
      <c r="DN43" s="29" t="str">
        <f>IF(OR($B43="",$A43&lt;=115),"",--MID('Key Analysis'!$C39,$A43-115,1))</f>
        <v/>
      </c>
      <c r="DO43" s="29" t="str">
        <f>IF(OR($B43="",$A43&lt;=116),"",--MID('Key Analysis'!$C39,$A43-116,1))</f>
        <v/>
      </c>
      <c r="DP43" s="29" t="str">
        <f>IF(OR($B43="",$A43&lt;=117),"",--MID('Key Analysis'!$C39,$A43-117,1))</f>
        <v/>
      </c>
      <c r="DQ43" s="29" t="str">
        <f>IF(OR($B43="",$A43&lt;=118),"",--MID('Key Analysis'!$C39,$A43-118,1))</f>
        <v/>
      </c>
      <c r="DR43" s="29" t="str">
        <f>IF(OR($B43="",$A43&lt;=119),"",--MID('Key Analysis'!$C39,$A43-119,1))</f>
        <v/>
      </c>
      <c r="DS43" s="29" t="str">
        <f>IF(OR($B43="",$A43&lt;=120),"",--MID('Key Analysis'!$C39,$A43-120,1))</f>
        <v/>
      </c>
      <c r="DT43" s="29" t="str">
        <f>IF(OR($B43="",$A43&lt;=121),"",--MID('Key Analysis'!$C39,$A43-121,1))</f>
        <v/>
      </c>
      <c r="DU43" s="29" t="str">
        <f>IF(OR($B43="",$A43&lt;=122),"",--MID('Key Analysis'!$C39,$A43-122,1))</f>
        <v/>
      </c>
      <c r="DV43" s="29" t="str">
        <f>IF(OR($B43="",$A43&lt;=123),"",--MID('Key Analysis'!$C39,$A43-123,1))</f>
        <v/>
      </c>
      <c r="DW43" s="29" t="str">
        <f>IF(OR($B43="",$A43&lt;=124),"",--MID('Key Analysis'!$C39,$A43-124,1))</f>
        <v/>
      </c>
      <c r="DX43" s="29" t="str">
        <f>IF(OR($B43="",$A43&lt;=125),"",--MID('Key Analysis'!$C39,$A43-125,1))</f>
        <v/>
      </c>
      <c r="DY43" s="29" t="str">
        <f>IF(OR($B43="",$A43&lt;=126),"",--MID('Key Analysis'!$C39,$A43-126,1))</f>
        <v/>
      </c>
      <c r="DZ43" s="29" t="str">
        <f>IF(OR($B43="",$A43&lt;=127),"",--MID('Key Analysis'!$C39,$A43-127,1))</f>
        <v/>
      </c>
      <c r="EA43" s="29" t="str">
        <f>IF(OR($B43="",$A43&lt;=128),"",--MID('Key Analysis'!$C39,$A43-128,1))</f>
        <v/>
      </c>
      <c r="EB43" s="29" t="str">
        <f>IF(OR($B43="",$A43&lt;=129),"",--MID('Key Analysis'!$C39,$A43-129,1))</f>
        <v/>
      </c>
      <c r="EC43" s="29" t="str">
        <f>IF(OR($B43="",$A43&lt;=130),"",--MID('Key Analysis'!$C39,$A43-130,1))</f>
        <v/>
      </c>
      <c r="ED43" s="29" t="str">
        <f>IF(OR($B43="",$A43&lt;=131),"",--MID('Key Analysis'!$C39,$A43-131,1))</f>
        <v/>
      </c>
      <c r="EE43" s="29" t="str">
        <f>IF(OR($B43="",$A43&lt;=132),"",--MID('Key Analysis'!$C39,$A43-132,1))</f>
        <v/>
      </c>
      <c r="EF43" s="29" t="str">
        <f>IF(OR($B43="",$A43&lt;=133),"",--MID('Key Analysis'!$C39,$A43-133,1))</f>
        <v/>
      </c>
      <c r="EG43" s="29" t="str">
        <f>IF(OR($B43="",$A43&lt;=134),"",--MID('Key Analysis'!$C39,$A43-134,1))</f>
        <v/>
      </c>
      <c r="EH43" s="29"/>
      <c r="EI43" s="29">
        <f>IF(OR($B43="",$A43&lt;1),"",--MID('Key Analysis'!$C39,1,1))</f>
        <v>1</v>
      </c>
      <c r="EJ43" s="29">
        <f>IF(OR($B43="",$A43&lt;2),"",--MID('Key Analysis'!$C39,2,1))</f>
        <v>0</v>
      </c>
      <c r="EK43" s="29">
        <f>IF(OR($B43="",$A43&lt;3),"",--MID('Key Analysis'!$C39,3,1))</f>
        <v>0</v>
      </c>
      <c r="EL43" s="29">
        <f>IF(OR($B43="",$A43&lt;4),"",--MID('Key Analysis'!$C39,4,1))</f>
        <v>0</v>
      </c>
      <c r="EM43" s="29">
        <f>IF(OR($B43="",$A43&lt;5),"",--MID('Key Analysis'!$C39,5,1))</f>
        <v>1</v>
      </c>
      <c r="EN43" s="29">
        <f>IF(OR($B43="",$A43&lt;6),"",--MID('Key Analysis'!$C39,6,1))</f>
        <v>0</v>
      </c>
      <c r="EO43" s="29">
        <f>IF(OR($B43="",$A43&lt;7),"",--MID('Key Analysis'!$C39,7,1))</f>
        <v>0</v>
      </c>
      <c r="EP43" s="29">
        <f>IF(OR($B43="",$A43&lt;8),"",--MID('Key Analysis'!$C39,8,1))</f>
        <v>0</v>
      </c>
      <c r="EQ43" s="29">
        <f>IF(OR($B43="",$A43&lt;9),"",--MID('Key Analysis'!$C39,9,1))</f>
        <v>1</v>
      </c>
      <c r="ER43" s="29">
        <f>IF(OR($B43="",$A43&lt;10),"",--MID('Key Analysis'!$C39,10,1))</f>
        <v>1</v>
      </c>
      <c r="ES43" s="29">
        <f>IF(OR($B43="",$A43&lt;11),"",--MID('Key Analysis'!$C39,11,1))</f>
        <v>1</v>
      </c>
      <c r="ET43" s="29">
        <f>IF(OR($B43="",$A43&lt;12),"",--MID('Key Analysis'!$C39,12,1))</f>
        <v>0</v>
      </c>
      <c r="EU43" s="29">
        <f>IF(OR($B43="",$A43&lt;13),"",--MID('Key Analysis'!$C39,13,1))</f>
        <v>0</v>
      </c>
      <c r="EV43" s="29">
        <f>IF(OR($B43="",$A43&lt;14),"",--MID('Key Analysis'!$C39,14,1))</f>
        <v>0</v>
      </c>
      <c r="EW43" s="29">
        <f>IF(OR($B43="",$A43&lt;15),"",--MID('Key Analysis'!$C39,15,1))</f>
        <v>0</v>
      </c>
      <c r="EX43" s="29">
        <f>IF(OR($B43="",$A43&lt;16),"",--MID('Key Analysis'!$C39,16,1))</f>
        <v>0</v>
      </c>
      <c r="EY43" s="29">
        <f>IF(OR($B43="",$A43&lt;17),"",--MID('Key Analysis'!$C39,17,1))</f>
        <v>1</v>
      </c>
      <c r="EZ43" s="29">
        <f>IF(OR($B43="",$A43&lt;18),"",--MID('Key Analysis'!$C39,18,1))</f>
        <v>0</v>
      </c>
      <c r="FA43" s="29">
        <f>IF(OR($B43="",$A43&lt;19),"",--MID('Key Analysis'!$C39,19,1))</f>
        <v>1</v>
      </c>
      <c r="FB43" s="29">
        <f>IF(OR($B43="",$A43&lt;20),"",--MID('Key Analysis'!$C39,20,1))</f>
        <v>1</v>
      </c>
      <c r="FC43" s="29">
        <f>IF(OR($B43="",$A43&lt;21),"",--MID('Key Analysis'!$C39,21,1))</f>
        <v>1</v>
      </c>
      <c r="FD43" s="29">
        <f>IF(OR($B43="",$A43&lt;22),"",--MID('Key Analysis'!$C39,22,1))</f>
        <v>1</v>
      </c>
      <c r="FE43" s="29">
        <f>IF(OR($B43="",$A43&lt;23),"",--MID('Key Analysis'!$C39,23,1))</f>
        <v>1</v>
      </c>
      <c r="FF43" s="29">
        <f>IF(OR($B43="",$A43&lt;24),"",--MID('Key Analysis'!$C39,24,1))</f>
        <v>0</v>
      </c>
      <c r="FG43" s="29">
        <f>IF(OR($B43="",$A43&lt;25),"",--MID('Key Analysis'!$C39,25,1))</f>
        <v>1</v>
      </c>
      <c r="FH43" s="29">
        <f>IF(OR($B43="",$A43&lt;26),"",--MID('Key Analysis'!$C39,26,1))</f>
        <v>0</v>
      </c>
      <c r="FI43" s="29">
        <f>IF(OR($B43="",$A43&lt;27),"",--MID('Key Analysis'!$C39,27,1))</f>
        <v>1</v>
      </c>
      <c r="FJ43" s="29">
        <f>IF(OR($B43="",$A43&lt;28),"",--MID('Key Analysis'!$C39,28,1))</f>
        <v>1</v>
      </c>
      <c r="FK43" s="29">
        <f>IF(OR($B43="",$A43&lt;29),"",--MID('Key Analysis'!$C39,29,1))</f>
        <v>0</v>
      </c>
      <c r="FL43" s="29">
        <f>IF(OR($B43="",$A43&lt;30),"",--MID('Key Analysis'!$C39,30,1))</f>
        <v>0</v>
      </c>
      <c r="FM43" s="29">
        <f>IF(OR($B43="",$A43&lt;31),"",--MID('Key Analysis'!$C39,31,1))</f>
        <v>1</v>
      </c>
      <c r="FN43" s="29">
        <f>IF(OR($B43="",$A43&lt;32),"",--MID('Key Analysis'!$C39,32,1))</f>
        <v>1</v>
      </c>
      <c r="FO43" s="29">
        <f>IF(OR($B43="",$A43&lt;33),"",--MID('Key Analysis'!$C39,33,1))</f>
        <v>0</v>
      </c>
      <c r="FP43" s="29">
        <f>IF(OR($B43="",$A43&lt;34),"",--MID('Key Analysis'!$C39,34,1))</f>
        <v>1</v>
      </c>
      <c r="FQ43" s="29">
        <f>IF(OR($B43="",$A43&lt;35),"",--MID('Key Analysis'!$C39,35,1))</f>
        <v>0</v>
      </c>
      <c r="FR43" s="29">
        <f>IF(OR($B43="",$A43&lt;36),"",--MID('Key Analysis'!$C39,36,1))</f>
        <v>0</v>
      </c>
      <c r="FS43" s="29">
        <f>IF(OR($B43="",$A43&lt;37),"",--MID('Key Analysis'!$C39,37,1))</f>
        <v>0</v>
      </c>
      <c r="FT43" s="29">
        <f>IF(OR($B43="",$A43&lt;38),"",--MID('Key Analysis'!$C39,38,1))</f>
        <v>0</v>
      </c>
      <c r="FU43" s="29" t="str">
        <f>IF(OR($B43="",$A43&lt;39),"",--MID('Key Analysis'!$C39,39,1))</f>
        <v/>
      </c>
      <c r="FV43" s="29" t="str">
        <f>IF(OR($B43="",$A43&lt;40),"",--MID('Key Analysis'!$C39,40,1))</f>
        <v/>
      </c>
      <c r="FW43" s="29" t="str">
        <f>IF(OR($B43="",$A43&lt;41),"",--MID('Key Analysis'!$C39,41,1))</f>
        <v/>
      </c>
      <c r="FX43" s="29" t="str">
        <f>IF(OR($B43="",$A43&lt;42),"",--MID('Key Analysis'!$C39,42,1))</f>
        <v/>
      </c>
      <c r="FY43" s="29" t="str">
        <f>IF(OR($B43="",$A43&lt;43),"",--MID('Key Analysis'!$C39,43,1))</f>
        <v/>
      </c>
      <c r="FZ43" s="29" t="str">
        <f>IF(OR($B43="",$A43&lt;44),"",--MID('Key Analysis'!$C39,44,1))</f>
        <v/>
      </c>
      <c r="GA43" s="29" t="str">
        <f>IF(OR($B43="",$A43&lt;45),"",--MID('Key Analysis'!$C39,45,1))</f>
        <v/>
      </c>
      <c r="GB43" s="29" t="str">
        <f>IF(OR($B43="",$A43&lt;46),"",--MID('Key Analysis'!$C39,46,1))</f>
        <v/>
      </c>
      <c r="GC43" s="29" t="str">
        <f>IF(OR($B43="",$A43&lt;47),"",--MID('Key Analysis'!$C39,47,1))</f>
        <v/>
      </c>
      <c r="GD43" s="29" t="str">
        <f>IF(OR($B43="",$A43&lt;48),"",--MID('Key Analysis'!$C39,48,1))</f>
        <v/>
      </c>
      <c r="GE43" s="29" t="str">
        <f>IF(OR($B43="",$A43&lt;49),"",--MID('Key Analysis'!$C39,49,1))</f>
        <v/>
      </c>
      <c r="GF43" s="29" t="str">
        <f>IF(OR($B43="",$A43&lt;50),"",--MID('Key Analysis'!$C39,50,1))</f>
        <v/>
      </c>
      <c r="GG43" s="29" t="str">
        <f>IF(OR($B43="",$A43&lt;51),"",--MID('Key Analysis'!$C39,51,1))</f>
        <v/>
      </c>
      <c r="GH43" s="29" t="str">
        <f>IF(OR($B43="",$A43&lt;52),"",--MID('Key Analysis'!$C39,52,1))</f>
        <v/>
      </c>
      <c r="GI43" s="29" t="str">
        <f>IF(OR($B43="",$A43&lt;53),"",--MID('Key Analysis'!$C39,53,1))</f>
        <v/>
      </c>
      <c r="GJ43" s="29" t="str">
        <f>IF(OR($B43="",$A43&lt;54),"",--MID('Key Analysis'!$C39,54,1))</f>
        <v/>
      </c>
      <c r="GK43" s="29" t="str">
        <f>IF(OR($B43="",$A43&lt;55),"",--MID('Key Analysis'!$C39,55,1))</f>
        <v/>
      </c>
      <c r="GL43" s="29" t="str">
        <f>IF(OR($B43="",$A43&lt;56),"",--MID('Key Analysis'!$C39,56,1))</f>
        <v/>
      </c>
      <c r="GM43" s="29" t="str">
        <f>IF(OR($B43="",$A43&lt;57),"",--MID('Key Analysis'!$C39,57,1))</f>
        <v/>
      </c>
      <c r="GN43" s="29" t="str">
        <f>IF(OR($B43="",$A43&lt;58),"",--MID('Key Analysis'!$C39,58,1))</f>
        <v/>
      </c>
      <c r="GO43" s="29" t="str">
        <f>IF(OR($B43="",$A43&lt;59),"",--MID('Key Analysis'!$C39,59,1))</f>
        <v/>
      </c>
      <c r="GP43" s="29" t="str">
        <f>IF(OR($B43="",$A43&lt;60),"",--MID('Key Analysis'!$C39,60,1))</f>
        <v/>
      </c>
      <c r="GQ43" s="29" t="str">
        <f>IF(OR($B43="",$A43&lt;61),"",--MID('Key Analysis'!$C39,61,1))</f>
        <v/>
      </c>
      <c r="GR43" s="29" t="str">
        <f>IF(OR($B43="",$A43&lt;62),"",--MID('Key Analysis'!$C39,62,1))</f>
        <v/>
      </c>
      <c r="GS43" s="29" t="str">
        <f>IF(OR($B43="",$A43&lt;63),"",--MID('Key Analysis'!$C39,63,1))</f>
        <v/>
      </c>
      <c r="GT43" s="29" t="str">
        <f>IF(OR($B43="",$A43&lt;64),"",--MID('Key Analysis'!$C39,64,1))</f>
        <v/>
      </c>
      <c r="GU43" s="29" t="str">
        <f>IF(OR($B43="",$A43&lt;65),"",--MID('Key Analysis'!$C39,65,1))</f>
        <v/>
      </c>
      <c r="GV43" s="29" t="str">
        <f>IF(OR($B43="",$A43&lt;66),"",--MID('Key Analysis'!$C39,66,1))</f>
        <v/>
      </c>
      <c r="GW43" s="29" t="str">
        <f>IF(OR($B43="",$A43&lt;67),"",--MID('Key Analysis'!$C39,67,1))</f>
        <v/>
      </c>
      <c r="GX43" s="29" t="str">
        <f>IF(OR($B43="",$A43&lt;68),"",--MID('Key Analysis'!$C39,68,1))</f>
        <v/>
      </c>
      <c r="GY43" s="29" t="str">
        <f>IF(OR($B43="",$A43&lt;69),"",--MID('Key Analysis'!$C39,69,1))</f>
        <v/>
      </c>
      <c r="GZ43" s="29" t="str">
        <f>IF(OR($B43="",$A43&lt;70),"",--MID('Key Analysis'!$C39,70,1))</f>
        <v/>
      </c>
      <c r="HA43" s="29" t="str">
        <f>IF(OR($B43="",$A43&lt;71),"",--MID('Key Analysis'!$C39,71,1))</f>
        <v/>
      </c>
      <c r="HB43" s="29" t="str">
        <f>IF(OR($B43="",$A43&lt;72),"",--MID('Key Analysis'!$C39,72,1))</f>
        <v/>
      </c>
      <c r="HC43" s="29" t="str">
        <f>IF(OR($B43="",$A43&lt;73),"",--MID('Key Analysis'!$C39,73,1))</f>
        <v/>
      </c>
      <c r="HD43" s="29" t="str">
        <f>IF(OR($B43="",$A43&lt;74),"",--MID('Key Analysis'!$C39,74,1))</f>
        <v/>
      </c>
      <c r="HE43" s="29" t="str">
        <f>IF(OR($B43="",$A43&lt;75),"",--MID('Key Analysis'!$C39,75,1))</f>
        <v/>
      </c>
      <c r="HF43" s="29" t="str">
        <f>IF(OR($B43="",$A43&lt;76),"",--MID('Key Analysis'!$C39,76,1))</f>
        <v/>
      </c>
      <c r="HG43" s="29" t="str">
        <f>IF(OR($B43="",$A43&lt;77),"",--MID('Key Analysis'!$C39,77,1))</f>
        <v/>
      </c>
      <c r="HH43" s="29" t="str">
        <f>IF(OR($B43="",$A43&lt;78),"",--MID('Key Analysis'!$C39,78,1))</f>
        <v/>
      </c>
      <c r="HI43" s="29" t="str">
        <f>IF(OR($B43="",$A43&lt;79),"",--MID('Key Analysis'!$C39,79,1))</f>
        <v/>
      </c>
      <c r="HJ43" s="29" t="str">
        <f>IF(OR($B43="",$A43&lt;80),"",--MID('Key Analysis'!$C39,80,1))</f>
        <v/>
      </c>
      <c r="HK43" s="29" t="str">
        <f>IF(OR($B43="",$A43&lt;81),"",--MID('Key Analysis'!$C39,81,1))</f>
        <v/>
      </c>
      <c r="HL43" s="29" t="str">
        <f>IF(OR($B43="",$A43&lt;82),"",--MID('Key Analysis'!$C39,82,1))</f>
        <v/>
      </c>
      <c r="HM43" s="29" t="str">
        <f>IF(OR($B43="",$A43&lt;83),"",--MID('Key Analysis'!$C39,83,1))</f>
        <v/>
      </c>
      <c r="HN43" s="29" t="str">
        <f>IF(OR($B43="",$A43&lt;84),"",--MID('Key Analysis'!$C39,84,1))</f>
        <v/>
      </c>
      <c r="HO43" s="29" t="str">
        <f>IF(OR($B43="",$A43&lt;85),"",--MID('Key Analysis'!$C39,85,1))</f>
        <v/>
      </c>
      <c r="HP43" s="29" t="str">
        <f>IF(OR($B43="",$A43&lt;86),"",--MID('Key Analysis'!$C39,86,1))</f>
        <v/>
      </c>
      <c r="HQ43" s="29" t="str">
        <f>IF(OR($B43="",$A43&lt;87),"",--MID('Key Analysis'!$C39,87,1))</f>
        <v/>
      </c>
      <c r="HR43" s="29" t="str">
        <f>IF(OR($B43="",$A43&lt;88),"",--MID('Key Analysis'!$C39,88,1))</f>
        <v/>
      </c>
      <c r="HS43" s="29" t="str">
        <f>IF(OR($B43="",$A43&lt;89),"",--MID('Key Analysis'!$C39,89,1))</f>
        <v/>
      </c>
      <c r="HT43" s="29" t="str">
        <f>IF(OR($B43="",$A43&lt;90),"",--MID('Key Analysis'!$C39,90,1))</f>
        <v/>
      </c>
      <c r="HU43" s="29" t="str">
        <f>IF(OR($B43="",$A43&lt;91),"",--MID('Key Analysis'!$C39,91,1))</f>
        <v/>
      </c>
      <c r="HV43" s="29" t="str">
        <f>IF(OR($B43="",$A43&lt;92),"",--MID('Key Analysis'!$C39,92,1))</f>
        <v/>
      </c>
      <c r="HW43" s="29" t="str">
        <f>IF(OR($B43="",$A43&lt;93),"",--MID('Key Analysis'!$C39,93,1))</f>
        <v/>
      </c>
      <c r="HX43" s="29" t="str">
        <f>IF(OR($B43="",$A43&lt;94),"",--MID('Key Analysis'!$C39,94,1))</f>
        <v/>
      </c>
      <c r="HY43" s="29" t="str">
        <f>IF(OR($B43="",$A43&lt;95),"",--MID('Key Analysis'!$C39,95,1))</f>
        <v/>
      </c>
      <c r="HZ43" s="29" t="str">
        <f>IF(OR($B43="",$A43&lt;96),"",--MID('Key Analysis'!$C39,96,1))</f>
        <v/>
      </c>
      <c r="IA43" s="29" t="str">
        <f>IF(OR($B43="",$A43&lt;97),"",--MID('Key Analysis'!$C39,97,1))</f>
        <v/>
      </c>
      <c r="IB43" s="29" t="str">
        <f>IF(OR($B43="",$A43&lt;98),"",--MID('Key Analysis'!$C39,98,1))</f>
        <v/>
      </c>
      <c r="IC43" s="29" t="str">
        <f>IF(OR($B43="",$A43&lt;99),"",--MID('Key Analysis'!$C39,99,1))</f>
        <v/>
      </c>
      <c r="ID43" s="29" t="str">
        <f>IF(OR($B43="",$A43&lt;100),"",--MID('Key Analysis'!$C39,100,1))</f>
        <v/>
      </c>
      <c r="IE43" s="29" t="str">
        <f>IF(OR($B43="",$A43&lt;101),"",--MID('Key Analysis'!$C39,101,1))</f>
        <v/>
      </c>
      <c r="IF43" s="29" t="str">
        <f>IF(OR($B43="",$A43&lt;102),"",--MID('Key Analysis'!$C39,102,1))</f>
        <v/>
      </c>
      <c r="IG43" s="29" t="str">
        <f>IF(OR($B43="",$A43&lt;103),"",--MID('Key Analysis'!$C39,103,1))</f>
        <v/>
      </c>
      <c r="IH43" s="29" t="str">
        <f>IF(OR($B43="",$A43&lt;104),"",--MID('Key Analysis'!$C39,104,1))</f>
        <v/>
      </c>
      <c r="II43" s="29" t="str">
        <f>IF(OR($B43="",$A43&lt;105),"",--MID('Key Analysis'!$C39,105,1))</f>
        <v/>
      </c>
      <c r="IJ43" s="29" t="str">
        <f>IF(OR($B43="",$A43&lt;106),"",--MID('Key Analysis'!$C39,106,1))</f>
        <v/>
      </c>
      <c r="IK43" s="29" t="str">
        <f>IF(OR($B43="",$A43&lt;107),"",--MID('Key Analysis'!$C39,107,1))</f>
        <v/>
      </c>
      <c r="IL43" s="29" t="str">
        <f>IF(OR($B43="",$A43&lt;108),"",--MID('Key Analysis'!$C39,108,1))</f>
        <v/>
      </c>
      <c r="IM43" s="29" t="str">
        <f>IF(OR($B43="",$A43&lt;109),"",--MID('Key Analysis'!$C39,109,1))</f>
        <v/>
      </c>
      <c r="IN43" s="29" t="str">
        <f>IF(OR($B43="",$A43&lt;110),"",--MID('Key Analysis'!$C39,110,1))</f>
        <v/>
      </c>
      <c r="IO43" s="29" t="str">
        <f>IF(OR($B43="",$A43&lt;111),"",--MID('Key Analysis'!$C39,111,1))</f>
        <v/>
      </c>
      <c r="IP43" s="29" t="str">
        <f>IF(OR($B43="",$A43&lt;112),"",--MID('Key Analysis'!$C39,112,1))</f>
        <v/>
      </c>
      <c r="IQ43" s="29" t="str">
        <f>IF(OR($B43="",$A43&lt;113),"",--MID('Key Analysis'!$C39,113,1))</f>
        <v/>
      </c>
      <c r="IR43" s="29" t="str">
        <f>IF(OR($B43="",$A43&lt;114),"",--MID('Key Analysis'!$C39,114,1))</f>
        <v/>
      </c>
      <c r="IS43" s="29" t="str">
        <f>IF(OR($B43="",$A43&lt;115),"",--MID('Key Analysis'!$C39,115,1))</f>
        <v/>
      </c>
      <c r="IT43" s="29" t="str">
        <f>IF(OR($B43="",$A43&lt;116),"",--MID('Key Analysis'!$C39,116,1))</f>
        <v/>
      </c>
      <c r="IU43" s="29" t="str">
        <f>IF(OR($B43="",$A43&lt;117),"",--MID('Key Analysis'!$C39,117,1))</f>
        <v/>
      </c>
      <c r="IV43" s="29" t="str">
        <f>IF(OR($B43="",$A43&lt;118),"",--MID('Key Analysis'!$C39,118,1))</f>
        <v/>
      </c>
      <c r="IW43" s="29" t="str">
        <f>IF(OR($B43="",$A43&lt;119),"",--MID('Key Analysis'!$C39,119,1))</f>
        <v/>
      </c>
      <c r="IX43" s="29" t="str">
        <f>IF(OR($B43="",$A43&lt;120),"",--MID('Key Analysis'!$C39,120,1))</f>
        <v/>
      </c>
      <c r="IY43" s="29" t="str">
        <f>IF(OR($B43="",$A43&lt;121),"",--MID('Key Analysis'!$C39,121,1))</f>
        <v/>
      </c>
      <c r="IZ43" s="29" t="str">
        <f>IF(OR($B43="",$A43&lt;122),"",--MID('Key Analysis'!$C39,122,1))</f>
        <v/>
      </c>
      <c r="JA43" s="29" t="str">
        <f>IF(OR($B43="",$A43&lt;123),"",--MID('Key Analysis'!$C39,123,1))</f>
        <v/>
      </c>
      <c r="JB43" s="29" t="str">
        <f>IF(OR($B43="",$A43&lt;124),"",--MID('Key Analysis'!$C39,124,1))</f>
        <v/>
      </c>
      <c r="JC43" s="29" t="str">
        <f>IF(OR($B43="",$A43&lt;125),"",--MID('Key Analysis'!$C39,125,1))</f>
        <v/>
      </c>
      <c r="JD43" s="29" t="str">
        <f>IF(OR($B43="",$A43&lt;126),"",--MID('Key Analysis'!$C39,126,1))</f>
        <v/>
      </c>
      <c r="JE43" s="29" t="str">
        <f>IF(OR($B43="",$A43&lt;127),"",--MID('Key Analysis'!$C39,127,1))</f>
        <v/>
      </c>
      <c r="JF43" s="29" t="str">
        <f>IF(OR($B43="",$A43&lt;128),"",--MID('Key Analysis'!$C39,128,1))</f>
        <v/>
      </c>
      <c r="JG43" s="29" t="str">
        <f>IF(OR($B43="",$A43&lt;129),"",--MID('Key Analysis'!$C39,129,1))</f>
        <v/>
      </c>
      <c r="JH43" s="29" t="str">
        <f>IF(OR($B43="",$A43&lt;130),"",--MID('Key Analysis'!$C39,130,1))</f>
        <v/>
      </c>
      <c r="JI43" s="29" t="str">
        <f>IF(OR($B43="",$A43&lt;131),"",--MID('Key Analysis'!$C39,131,1))</f>
        <v/>
      </c>
      <c r="JJ43" s="29" t="str">
        <f>IF(OR($B43="",$A43&lt;132),"",--MID('Key Analysis'!$C39,132,1))</f>
        <v/>
      </c>
      <c r="JK43" s="29" t="str">
        <f>IF(OR($B43="",$A43&lt;133),"",--MID('Key Analysis'!$C39,133,1))</f>
        <v/>
      </c>
      <c r="JL43" s="29" t="str">
        <f>IF(OR($B43="",$A43&lt;134),"",--MID('Key Analysis'!$C39,134,1))</f>
        <v/>
      </c>
      <c r="JM43" s="29" t="str">
        <f>IF(OR($B43="",$A43&lt;135),"",--MID('Key Analysis'!$C39,135,1))</f>
        <v/>
      </c>
    </row>
    <row r="44" spans="1:273" x14ac:dyDescent="0.25">
      <c r="A44" s="21">
        <f>'Key Analysis'!A40</f>
        <v>39</v>
      </c>
      <c r="B44" s="30" t="str">
        <f>'Key Analysis'!B40</f>
        <v>4b5f8303e9</v>
      </c>
      <c r="C44" s="29">
        <f>IF(OR($B44="",$A44&lt;=0),"",--MID('Key Analysis'!$C40,$A44-0,1))</f>
        <v>1</v>
      </c>
      <c r="D44" s="29">
        <f>IF(OR($B44="",$A44&lt;=1),"",--MID('Key Analysis'!$C40,$A44-1,1))</f>
        <v>0</v>
      </c>
      <c r="E44" s="29">
        <f>IF(OR($B44="",$A44&lt;=2),"",--MID('Key Analysis'!$C40,$A44-2,1))</f>
        <v>0</v>
      </c>
      <c r="F44" s="29">
        <f>IF(OR($B44="",$A44&lt;=3),"",--MID('Key Analysis'!$C40,$A44-3,1))</f>
        <v>1</v>
      </c>
      <c r="G44" s="29">
        <f>IF(OR($B44="",$A44&lt;=4),"",--MID('Key Analysis'!$C40,$A44-4,1))</f>
        <v>0</v>
      </c>
      <c r="H44" s="29">
        <f>IF(OR($B44="",$A44&lt;=5),"",--MID('Key Analysis'!$C40,$A44-5,1))</f>
        <v>1</v>
      </c>
      <c r="I44" s="29">
        <f>IF(OR($B44="",$A44&lt;=6),"",--MID('Key Analysis'!$C40,$A44-6,1))</f>
        <v>1</v>
      </c>
      <c r="J44" s="29">
        <f>IF(OR($B44="",$A44&lt;=7),"",--MID('Key Analysis'!$C40,$A44-7,1))</f>
        <v>1</v>
      </c>
      <c r="K44" s="29">
        <f>IF(OR($B44="",$A44&lt;=8),"",--MID('Key Analysis'!$C40,$A44-8,1))</f>
        <v>1</v>
      </c>
      <c r="L44" s="29">
        <f>IF(OR($B44="",$A44&lt;=9),"",--MID('Key Analysis'!$C40,$A44-9,1))</f>
        <v>1</v>
      </c>
      <c r="M44" s="29">
        <f>IF(OR($B44="",$A44&lt;=10),"",--MID('Key Analysis'!$C40,$A44-10,1))</f>
        <v>0</v>
      </c>
      <c r="N44" s="29">
        <f>IF(OR($B44="",$A44&lt;=11),"",--MID('Key Analysis'!$C40,$A44-11,1))</f>
        <v>0</v>
      </c>
      <c r="O44" s="29">
        <f>IF(OR($B44="",$A44&lt;=12),"",--MID('Key Analysis'!$C40,$A44-12,1))</f>
        <v>0</v>
      </c>
      <c r="P44" s="29">
        <f>IF(OR($B44="",$A44&lt;=13),"",--MID('Key Analysis'!$C40,$A44-13,1))</f>
        <v>0</v>
      </c>
      <c r="Q44" s="29">
        <f>IF(OR($B44="",$A44&lt;=14),"",--MID('Key Analysis'!$C40,$A44-14,1))</f>
        <v>0</v>
      </c>
      <c r="R44" s="29">
        <f>IF(OR($B44="",$A44&lt;=15),"",--MID('Key Analysis'!$C40,$A44-15,1))</f>
        <v>0</v>
      </c>
      <c r="S44" s="29">
        <f>IF(OR($B44="",$A44&lt;=16),"",--MID('Key Analysis'!$C40,$A44-16,1))</f>
        <v>1</v>
      </c>
      <c r="T44" s="29">
        <f>IF(OR($B44="",$A44&lt;=17),"",--MID('Key Analysis'!$C40,$A44-17,1))</f>
        <v>1</v>
      </c>
      <c r="U44" s="29">
        <f>IF(OR($B44="",$A44&lt;=18),"",--MID('Key Analysis'!$C40,$A44-18,1))</f>
        <v>0</v>
      </c>
      <c r="V44" s="29">
        <f>IF(OR($B44="",$A44&lt;=19),"",--MID('Key Analysis'!$C40,$A44-19,1))</f>
        <v>0</v>
      </c>
      <c r="W44" s="29">
        <f>IF(OR($B44="",$A44&lt;=20),"",--MID('Key Analysis'!$C40,$A44-20,1))</f>
        <v>0</v>
      </c>
      <c r="X44" s="29">
        <f>IF(OR($B44="",$A44&lt;=21),"",--MID('Key Analysis'!$C40,$A44-21,1))</f>
        <v>0</v>
      </c>
      <c r="Y44" s="29">
        <f>IF(OR($B44="",$A44&lt;=22),"",--MID('Key Analysis'!$C40,$A44-22,1))</f>
        <v>0</v>
      </c>
      <c r="Z44" s="29">
        <f>IF(OR($B44="",$A44&lt;=23),"",--MID('Key Analysis'!$C40,$A44-23,1))</f>
        <v>1</v>
      </c>
      <c r="AA44" s="29">
        <f>IF(OR($B44="",$A44&lt;=24),"",--MID('Key Analysis'!$C40,$A44-24,1))</f>
        <v>1</v>
      </c>
      <c r="AB44" s="29">
        <f>IF(OR($B44="",$A44&lt;=25),"",--MID('Key Analysis'!$C40,$A44-25,1))</f>
        <v>1</v>
      </c>
      <c r="AC44" s="29">
        <f>IF(OR($B44="",$A44&lt;=26),"",--MID('Key Analysis'!$C40,$A44-26,1))</f>
        <v>1</v>
      </c>
      <c r="AD44" s="29">
        <f>IF(OR($B44="",$A44&lt;=27),"",--MID('Key Analysis'!$C40,$A44-27,1))</f>
        <v>1</v>
      </c>
      <c r="AE44" s="29">
        <f>IF(OR($B44="",$A44&lt;=28),"",--MID('Key Analysis'!$C40,$A44-28,1))</f>
        <v>1</v>
      </c>
      <c r="AF44" s="29">
        <f>IF(OR($B44="",$A44&lt;=29),"",--MID('Key Analysis'!$C40,$A44-29,1))</f>
        <v>0</v>
      </c>
      <c r="AG44" s="29">
        <f>IF(OR($B44="",$A44&lt;=30),"",--MID('Key Analysis'!$C40,$A44-30,1))</f>
        <v>1</v>
      </c>
      <c r="AH44" s="29">
        <f>IF(OR($B44="",$A44&lt;=31),"",--MID('Key Analysis'!$C40,$A44-31,1))</f>
        <v>0</v>
      </c>
      <c r="AI44" s="29">
        <f>IF(OR($B44="",$A44&lt;=32),"",--MID('Key Analysis'!$C40,$A44-32,1))</f>
        <v>1</v>
      </c>
      <c r="AJ44" s="29">
        <f>IF(OR($B44="",$A44&lt;=33),"",--MID('Key Analysis'!$C40,$A44-33,1))</f>
        <v>1</v>
      </c>
      <c r="AK44" s="29">
        <f>IF(OR($B44="",$A44&lt;=34),"",--MID('Key Analysis'!$C40,$A44-34,1))</f>
        <v>0</v>
      </c>
      <c r="AL44" s="29">
        <f>IF(OR($B44="",$A44&lt;=35),"",--MID('Key Analysis'!$C40,$A44-35,1))</f>
        <v>1</v>
      </c>
      <c r="AM44" s="29">
        <f>IF(OR($B44="",$A44&lt;=36),"",--MID('Key Analysis'!$C40,$A44-36,1))</f>
        <v>0</v>
      </c>
      <c r="AN44" s="29">
        <f>IF(OR($B44="",$A44&lt;=37),"",--MID('Key Analysis'!$C40,$A44-37,1))</f>
        <v>0</v>
      </c>
      <c r="AO44" s="29">
        <f>IF(OR($B44="",$A44&lt;=38),"",--MID('Key Analysis'!$C40,$A44-38,1))</f>
        <v>1</v>
      </c>
      <c r="AP44" s="29" t="str">
        <f>IF(OR($B44="",$A44&lt;=39),"",--MID('Key Analysis'!$C40,$A44-39,1))</f>
        <v/>
      </c>
      <c r="AQ44" s="29" t="str">
        <f>IF(OR($B44="",$A44&lt;=40),"",--MID('Key Analysis'!$C40,$A44-40,1))</f>
        <v/>
      </c>
      <c r="AR44" s="29" t="str">
        <f>IF(OR($B44="",$A44&lt;=41),"",--MID('Key Analysis'!$C40,$A44-41,1))</f>
        <v/>
      </c>
      <c r="AS44" s="29" t="str">
        <f>IF(OR($B44="",$A44&lt;=42),"",--MID('Key Analysis'!$C40,$A44-42,1))</f>
        <v/>
      </c>
      <c r="AT44" s="29" t="str">
        <f>IF(OR($B44="",$A44&lt;=43),"",--MID('Key Analysis'!$C40,$A44-43,1))</f>
        <v/>
      </c>
      <c r="AU44" s="29" t="str">
        <f>IF(OR($B44="",$A44&lt;=44),"",--MID('Key Analysis'!$C40,$A44-44,1))</f>
        <v/>
      </c>
      <c r="AV44" s="29" t="str">
        <f>IF(OR($B44="",$A44&lt;=45),"",--MID('Key Analysis'!$C40,$A44-45,1))</f>
        <v/>
      </c>
      <c r="AW44" s="29" t="str">
        <f>IF(OR($B44="",$A44&lt;=46),"",--MID('Key Analysis'!$C40,$A44-46,1))</f>
        <v/>
      </c>
      <c r="AX44" s="29" t="str">
        <f>IF(OR($B44="",$A44&lt;=47),"",--MID('Key Analysis'!$C40,$A44-47,1))</f>
        <v/>
      </c>
      <c r="AY44" s="29" t="str">
        <f>IF(OR($B44="",$A44&lt;=48),"",--MID('Key Analysis'!$C40,$A44-48,1))</f>
        <v/>
      </c>
      <c r="AZ44" s="29" t="str">
        <f>IF(OR($B44="",$A44&lt;=49),"",--MID('Key Analysis'!$C40,$A44-49,1))</f>
        <v/>
      </c>
      <c r="BA44" s="29" t="str">
        <f>IF(OR($B44="",$A44&lt;=50),"",--MID('Key Analysis'!$C40,$A44-50,1))</f>
        <v/>
      </c>
      <c r="BB44" s="29" t="str">
        <f>IF(OR($B44="",$A44&lt;=51),"",--MID('Key Analysis'!$C40,$A44-51,1))</f>
        <v/>
      </c>
      <c r="BC44" s="29" t="str">
        <f>IF(OR($B44="",$A44&lt;=52),"",--MID('Key Analysis'!$C40,$A44-52,1))</f>
        <v/>
      </c>
      <c r="BD44" s="29" t="str">
        <f>IF(OR($B44="",$A44&lt;=53),"",--MID('Key Analysis'!$C40,$A44-53,1))</f>
        <v/>
      </c>
      <c r="BE44" s="29" t="str">
        <f>IF(OR($B44="",$A44&lt;=54),"",--MID('Key Analysis'!$C40,$A44-54,1))</f>
        <v/>
      </c>
      <c r="BF44" s="29" t="str">
        <f>IF(OR($B44="",$A44&lt;=55),"",--MID('Key Analysis'!$C40,$A44-55,1))</f>
        <v/>
      </c>
      <c r="BG44" s="29" t="str">
        <f>IF(OR($B44="",$A44&lt;=56),"",--MID('Key Analysis'!$C40,$A44-56,1))</f>
        <v/>
      </c>
      <c r="BH44" s="29" t="str">
        <f>IF(OR($B44="",$A44&lt;=57),"",--MID('Key Analysis'!$C40,$A44-57,1))</f>
        <v/>
      </c>
      <c r="BI44" s="29" t="str">
        <f>IF(OR($B44="",$A44&lt;=58),"",--MID('Key Analysis'!$C40,$A44-58,1))</f>
        <v/>
      </c>
      <c r="BJ44" s="29" t="str">
        <f>IF(OR($B44="",$A44&lt;=59),"",--MID('Key Analysis'!$C40,$A44-59,1))</f>
        <v/>
      </c>
      <c r="BK44" s="29" t="str">
        <f>IF(OR($B44="",$A44&lt;=60),"",--MID('Key Analysis'!$C40,$A44-60,1))</f>
        <v/>
      </c>
      <c r="BL44" s="29" t="str">
        <f>IF(OR($B44="",$A44&lt;=61),"",--MID('Key Analysis'!$C40,$A44-61,1))</f>
        <v/>
      </c>
      <c r="BM44" s="29" t="str">
        <f>IF(OR($B44="",$A44&lt;=62),"",--MID('Key Analysis'!$C40,$A44-62,1))</f>
        <v/>
      </c>
      <c r="BN44" s="29" t="str">
        <f>IF(OR($B44="",$A44&lt;=63),"",--MID('Key Analysis'!$C40,$A44-63,1))</f>
        <v/>
      </c>
      <c r="BO44" s="29" t="str">
        <f>IF(OR($B44="",$A44&lt;=64),"",--MID('Key Analysis'!$C40,$A44-64,1))</f>
        <v/>
      </c>
      <c r="BP44" s="29" t="str">
        <f>IF(OR($B44="",$A44&lt;=65),"",--MID('Key Analysis'!$C40,$A44-65,1))</f>
        <v/>
      </c>
      <c r="BQ44" s="29" t="str">
        <f>IF(OR($B44="",$A44&lt;=66),"",--MID('Key Analysis'!$C40,$A44-66,1))</f>
        <v/>
      </c>
      <c r="BR44" s="29" t="str">
        <f>IF(OR($B44="",$A44&lt;=67),"",--MID('Key Analysis'!$C40,$A44-67,1))</f>
        <v/>
      </c>
      <c r="BS44" s="29" t="str">
        <f>IF(OR($B44="",$A44&lt;=68),"",--MID('Key Analysis'!$C40,$A44-68,1))</f>
        <v/>
      </c>
      <c r="BT44" s="29" t="str">
        <f>IF(OR($B44="",$A44&lt;=69),"",--MID('Key Analysis'!$C40,$A44-69,1))</f>
        <v/>
      </c>
      <c r="BU44" s="29" t="str">
        <f>IF(OR($B44="",$A44&lt;=70),"",--MID('Key Analysis'!$C40,$A44-70,1))</f>
        <v/>
      </c>
      <c r="BV44" s="29" t="str">
        <f>IF(OR($B44="",$A44&lt;=71),"",--MID('Key Analysis'!$C40,$A44-71,1))</f>
        <v/>
      </c>
      <c r="BW44" s="29" t="str">
        <f>IF(OR($B44="",$A44&lt;=72),"",--MID('Key Analysis'!$C40,$A44-72,1))</f>
        <v/>
      </c>
      <c r="BX44" s="29" t="str">
        <f>IF(OR($B44="",$A44&lt;=73),"",--MID('Key Analysis'!$C40,$A44-73,1))</f>
        <v/>
      </c>
      <c r="BY44" s="29" t="str">
        <f>IF(OR($B44="",$A44&lt;=74),"",--MID('Key Analysis'!$C40,$A44-74,1))</f>
        <v/>
      </c>
      <c r="BZ44" s="29" t="str">
        <f>IF(OR($B44="",$A44&lt;=75),"",--MID('Key Analysis'!$C40,$A44-75,1))</f>
        <v/>
      </c>
      <c r="CA44" s="29" t="str">
        <f>IF(OR($B44="",$A44&lt;=76),"",--MID('Key Analysis'!$C40,$A44-76,1))</f>
        <v/>
      </c>
      <c r="CB44" s="29" t="str">
        <f>IF(OR($B44="",$A44&lt;=77),"",--MID('Key Analysis'!$C40,$A44-77,1))</f>
        <v/>
      </c>
      <c r="CC44" s="29" t="str">
        <f>IF(OR($B44="",$A44&lt;=78),"",--MID('Key Analysis'!$C40,$A44-78,1))</f>
        <v/>
      </c>
      <c r="CD44" s="29" t="str">
        <f>IF(OR($B44="",$A44&lt;=79),"",--MID('Key Analysis'!$C40,$A44-79,1))</f>
        <v/>
      </c>
      <c r="CE44" s="29" t="str">
        <f>IF(OR($B44="",$A44&lt;=80),"",--MID('Key Analysis'!$C40,$A44-80,1))</f>
        <v/>
      </c>
      <c r="CF44" s="29" t="str">
        <f>IF(OR($B44="",$A44&lt;=81),"",--MID('Key Analysis'!$C40,$A44-81,1))</f>
        <v/>
      </c>
      <c r="CG44" s="29" t="str">
        <f>IF(OR($B44="",$A44&lt;=82),"",--MID('Key Analysis'!$C40,$A44-82,1))</f>
        <v/>
      </c>
      <c r="CH44" s="29" t="str">
        <f>IF(OR($B44="",$A44&lt;=83),"",--MID('Key Analysis'!$C40,$A44-83,1))</f>
        <v/>
      </c>
      <c r="CI44" s="29" t="str">
        <f>IF(OR($B44="",$A44&lt;=84),"",--MID('Key Analysis'!$C40,$A44-84,1))</f>
        <v/>
      </c>
      <c r="CJ44" s="29" t="str">
        <f>IF(OR($B44="",$A44&lt;=85),"",--MID('Key Analysis'!$C40,$A44-85,1))</f>
        <v/>
      </c>
      <c r="CK44" s="29" t="str">
        <f>IF(OR($B44="",$A44&lt;=86),"",--MID('Key Analysis'!$C40,$A44-86,1))</f>
        <v/>
      </c>
      <c r="CL44" s="29" t="str">
        <f>IF(OR($B44="",$A44&lt;=87),"",--MID('Key Analysis'!$C40,$A44-87,1))</f>
        <v/>
      </c>
      <c r="CM44" s="29" t="str">
        <f>IF(OR($B44="",$A44&lt;=88),"",--MID('Key Analysis'!$C40,$A44-88,1))</f>
        <v/>
      </c>
      <c r="CN44" s="29" t="str">
        <f>IF(OR($B44="",$A44&lt;=89),"",--MID('Key Analysis'!$C40,$A44-89,1))</f>
        <v/>
      </c>
      <c r="CO44" s="29" t="str">
        <f>IF(OR($B44="",$A44&lt;=90),"",--MID('Key Analysis'!$C40,$A44-90,1))</f>
        <v/>
      </c>
      <c r="CP44" s="29" t="str">
        <f>IF(OR($B44="",$A44&lt;=91),"",--MID('Key Analysis'!$C40,$A44-91,1))</f>
        <v/>
      </c>
      <c r="CQ44" s="29" t="str">
        <f>IF(OR($B44="",$A44&lt;=92),"",--MID('Key Analysis'!$C40,$A44-92,1))</f>
        <v/>
      </c>
      <c r="CR44" s="29" t="str">
        <f>IF(OR($B44="",$A44&lt;=93),"",--MID('Key Analysis'!$C40,$A44-93,1))</f>
        <v/>
      </c>
      <c r="CS44" s="29" t="str">
        <f>IF(OR($B44="",$A44&lt;=94),"",--MID('Key Analysis'!$C40,$A44-94,1))</f>
        <v/>
      </c>
      <c r="CT44" s="29" t="str">
        <f>IF(OR($B44="",$A44&lt;=95),"",--MID('Key Analysis'!$C40,$A44-95,1))</f>
        <v/>
      </c>
      <c r="CU44" s="29" t="str">
        <f>IF(OR($B44="",$A44&lt;=96),"",--MID('Key Analysis'!$C40,$A44-96,1))</f>
        <v/>
      </c>
      <c r="CV44" s="29" t="str">
        <f>IF(OR($B44="",$A44&lt;=97),"",--MID('Key Analysis'!$C40,$A44-97,1))</f>
        <v/>
      </c>
      <c r="CW44" s="29" t="str">
        <f>IF(OR($B44="",$A44&lt;=98),"",--MID('Key Analysis'!$C40,$A44-98,1))</f>
        <v/>
      </c>
      <c r="CX44" s="29" t="str">
        <f>IF(OR($B44="",$A44&lt;=99),"",--MID('Key Analysis'!$C40,$A44-99,1))</f>
        <v/>
      </c>
      <c r="CY44" s="29" t="str">
        <f>IF(OR($B44="",$A44&lt;=100),"",--MID('Key Analysis'!$C40,$A44-100,1))</f>
        <v/>
      </c>
      <c r="CZ44" s="29" t="str">
        <f>IF(OR($B44="",$A44&lt;=101),"",--MID('Key Analysis'!$C40,$A44-101,1))</f>
        <v/>
      </c>
      <c r="DA44" s="29" t="str">
        <f>IF(OR($B44="",$A44&lt;=102),"",--MID('Key Analysis'!$C40,$A44-102,1))</f>
        <v/>
      </c>
      <c r="DB44" s="29" t="str">
        <f>IF(OR($B44="",$A44&lt;=103),"",--MID('Key Analysis'!$C40,$A44-103,1))</f>
        <v/>
      </c>
      <c r="DC44" s="29" t="str">
        <f>IF(OR($B44="",$A44&lt;=104),"",--MID('Key Analysis'!$C40,$A44-104,1))</f>
        <v/>
      </c>
      <c r="DD44" s="29" t="str">
        <f>IF(OR($B44="",$A44&lt;=105),"",--MID('Key Analysis'!$C40,$A44-105,1))</f>
        <v/>
      </c>
      <c r="DE44" s="29" t="str">
        <f>IF(OR($B44="",$A44&lt;=106),"",--MID('Key Analysis'!$C40,$A44-106,1))</f>
        <v/>
      </c>
      <c r="DF44" s="29" t="str">
        <f>IF(OR($B44="",$A44&lt;=107),"",--MID('Key Analysis'!$C40,$A44-107,1))</f>
        <v/>
      </c>
      <c r="DG44" s="29" t="str">
        <f>IF(OR($B44="",$A44&lt;=108),"",--MID('Key Analysis'!$C40,$A44-108,1))</f>
        <v/>
      </c>
      <c r="DH44" s="29" t="str">
        <f>IF(OR($B44="",$A44&lt;=109),"",--MID('Key Analysis'!$C40,$A44-109,1))</f>
        <v/>
      </c>
      <c r="DI44" s="29" t="str">
        <f>IF(OR($B44="",$A44&lt;=110),"",--MID('Key Analysis'!$C40,$A44-110,1))</f>
        <v/>
      </c>
      <c r="DJ44" s="29" t="str">
        <f>IF(OR($B44="",$A44&lt;=111),"",--MID('Key Analysis'!$C40,$A44-111,1))</f>
        <v/>
      </c>
      <c r="DK44" s="29" t="str">
        <f>IF(OR($B44="",$A44&lt;=112),"",--MID('Key Analysis'!$C40,$A44-112,1))</f>
        <v/>
      </c>
      <c r="DL44" s="29" t="str">
        <f>IF(OR($B44="",$A44&lt;=113),"",--MID('Key Analysis'!$C40,$A44-113,1))</f>
        <v/>
      </c>
      <c r="DM44" s="29" t="str">
        <f>IF(OR($B44="",$A44&lt;=114),"",--MID('Key Analysis'!$C40,$A44-114,1))</f>
        <v/>
      </c>
      <c r="DN44" s="29" t="str">
        <f>IF(OR($B44="",$A44&lt;=115),"",--MID('Key Analysis'!$C40,$A44-115,1))</f>
        <v/>
      </c>
      <c r="DO44" s="29" t="str">
        <f>IF(OR($B44="",$A44&lt;=116),"",--MID('Key Analysis'!$C40,$A44-116,1))</f>
        <v/>
      </c>
      <c r="DP44" s="29" t="str">
        <f>IF(OR($B44="",$A44&lt;=117),"",--MID('Key Analysis'!$C40,$A44-117,1))</f>
        <v/>
      </c>
      <c r="DQ44" s="29" t="str">
        <f>IF(OR($B44="",$A44&lt;=118),"",--MID('Key Analysis'!$C40,$A44-118,1))</f>
        <v/>
      </c>
      <c r="DR44" s="29" t="str">
        <f>IF(OR($B44="",$A44&lt;=119),"",--MID('Key Analysis'!$C40,$A44-119,1))</f>
        <v/>
      </c>
      <c r="DS44" s="29" t="str">
        <f>IF(OR($B44="",$A44&lt;=120),"",--MID('Key Analysis'!$C40,$A44-120,1))</f>
        <v/>
      </c>
      <c r="DT44" s="29" t="str">
        <f>IF(OR($B44="",$A44&lt;=121),"",--MID('Key Analysis'!$C40,$A44-121,1))</f>
        <v/>
      </c>
      <c r="DU44" s="29" t="str">
        <f>IF(OR($B44="",$A44&lt;=122),"",--MID('Key Analysis'!$C40,$A44-122,1))</f>
        <v/>
      </c>
      <c r="DV44" s="29" t="str">
        <f>IF(OR($B44="",$A44&lt;=123),"",--MID('Key Analysis'!$C40,$A44-123,1))</f>
        <v/>
      </c>
      <c r="DW44" s="29" t="str">
        <f>IF(OR($B44="",$A44&lt;=124),"",--MID('Key Analysis'!$C40,$A44-124,1))</f>
        <v/>
      </c>
      <c r="DX44" s="29" t="str">
        <f>IF(OR($B44="",$A44&lt;=125),"",--MID('Key Analysis'!$C40,$A44-125,1))</f>
        <v/>
      </c>
      <c r="DY44" s="29" t="str">
        <f>IF(OR($B44="",$A44&lt;=126),"",--MID('Key Analysis'!$C40,$A44-126,1))</f>
        <v/>
      </c>
      <c r="DZ44" s="29" t="str">
        <f>IF(OR($B44="",$A44&lt;=127),"",--MID('Key Analysis'!$C40,$A44-127,1))</f>
        <v/>
      </c>
      <c r="EA44" s="29" t="str">
        <f>IF(OR($B44="",$A44&lt;=128),"",--MID('Key Analysis'!$C40,$A44-128,1))</f>
        <v/>
      </c>
      <c r="EB44" s="29" t="str">
        <f>IF(OR($B44="",$A44&lt;=129),"",--MID('Key Analysis'!$C40,$A44-129,1))</f>
        <v/>
      </c>
      <c r="EC44" s="29" t="str">
        <f>IF(OR($B44="",$A44&lt;=130),"",--MID('Key Analysis'!$C40,$A44-130,1))</f>
        <v/>
      </c>
      <c r="ED44" s="29" t="str">
        <f>IF(OR($B44="",$A44&lt;=131),"",--MID('Key Analysis'!$C40,$A44-131,1))</f>
        <v/>
      </c>
      <c r="EE44" s="29" t="str">
        <f>IF(OR($B44="",$A44&lt;=132),"",--MID('Key Analysis'!$C40,$A44-132,1))</f>
        <v/>
      </c>
      <c r="EF44" s="29" t="str">
        <f>IF(OR($B44="",$A44&lt;=133),"",--MID('Key Analysis'!$C40,$A44-133,1))</f>
        <v/>
      </c>
      <c r="EG44" s="29" t="str">
        <f>IF(OR($B44="",$A44&lt;=134),"",--MID('Key Analysis'!$C40,$A44-134,1))</f>
        <v/>
      </c>
      <c r="EH44" s="29"/>
      <c r="EI44" s="29">
        <f>IF(OR($B44="",$A44&lt;1),"",--MID('Key Analysis'!$C40,1,1))</f>
        <v>1</v>
      </c>
      <c r="EJ44" s="29">
        <f>IF(OR($B44="",$A44&lt;2),"",--MID('Key Analysis'!$C40,2,1))</f>
        <v>0</v>
      </c>
      <c r="EK44" s="29">
        <f>IF(OR($B44="",$A44&lt;3),"",--MID('Key Analysis'!$C40,3,1))</f>
        <v>0</v>
      </c>
      <c r="EL44" s="29">
        <f>IF(OR($B44="",$A44&lt;4),"",--MID('Key Analysis'!$C40,4,1))</f>
        <v>1</v>
      </c>
      <c r="EM44" s="29">
        <f>IF(OR($B44="",$A44&lt;5),"",--MID('Key Analysis'!$C40,5,1))</f>
        <v>0</v>
      </c>
      <c r="EN44" s="29">
        <f>IF(OR($B44="",$A44&lt;6),"",--MID('Key Analysis'!$C40,6,1))</f>
        <v>1</v>
      </c>
      <c r="EO44" s="29">
        <f>IF(OR($B44="",$A44&lt;7),"",--MID('Key Analysis'!$C40,7,1))</f>
        <v>1</v>
      </c>
      <c r="EP44" s="29">
        <f>IF(OR($B44="",$A44&lt;8),"",--MID('Key Analysis'!$C40,8,1))</f>
        <v>0</v>
      </c>
      <c r="EQ44" s="29">
        <f>IF(OR($B44="",$A44&lt;9),"",--MID('Key Analysis'!$C40,9,1))</f>
        <v>1</v>
      </c>
      <c r="ER44" s="29">
        <f>IF(OR($B44="",$A44&lt;10),"",--MID('Key Analysis'!$C40,10,1))</f>
        <v>0</v>
      </c>
      <c r="ES44" s="29">
        <f>IF(OR($B44="",$A44&lt;11),"",--MID('Key Analysis'!$C40,11,1))</f>
        <v>1</v>
      </c>
      <c r="ET44" s="29">
        <f>IF(OR($B44="",$A44&lt;12),"",--MID('Key Analysis'!$C40,12,1))</f>
        <v>1</v>
      </c>
      <c r="EU44" s="29">
        <f>IF(OR($B44="",$A44&lt;13),"",--MID('Key Analysis'!$C40,13,1))</f>
        <v>1</v>
      </c>
      <c r="EV44" s="29">
        <f>IF(OR($B44="",$A44&lt;14),"",--MID('Key Analysis'!$C40,14,1))</f>
        <v>1</v>
      </c>
      <c r="EW44" s="29">
        <f>IF(OR($B44="",$A44&lt;15),"",--MID('Key Analysis'!$C40,15,1))</f>
        <v>1</v>
      </c>
      <c r="EX44" s="29">
        <f>IF(OR($B44="",$A44&lt;16),"",--MID('Key Analysis'!$C40,16,1))</f>
        <v>1</v>
      </c>
      <c r="EY44" s="29">
        <f>IF(OR($B44="",$A44&lt;17),"",--MID('Key Analysis'!$C40,17,1))</f>
        <v>0</v>
      </c>
      <c r="EZ44" s="29">
        <f>IF(OR($B44="",$A44&lt;18),"",--MID('Key Analysis'!$C40,18,1))</f>
        <v>0</v>
      </c>
      <c r="FA44" s="29">
        <f>IF(OR($B44="",$A44&lt;19),"",--MID('Key Analysis'!$C40,19,1))</f>
        <v>0</v>
      </c>
      <c r="FB44" s="29">
        <f>IF(OR($B44="",$A44&lt;20),"",--MID('Key Analysis'!$C40,20,1))</f>
        <v>0</v>
      </c>
      <c r="FC44" s="29">
        <f>IF(OR($B44="",$A44&lt;21),"",--MID('Key Analysis'!$C40,21,1))</f>
        <v>0</v>
      </c>
      <c r="FD44" s="29">
        <f>IF(OR($B44="",$A44&lt;22),"",--MID('Key Analysis'!$C40,22,1))</f>
        <v>1</v>
      </c>
      <c r="FE44" s="29">
        <f>IF(OR($B44="",$A44&lt;23),"",--MID('Key Analysis'!$C40,23,1))</f>
        <v>1</v>
      </c>
      <c r="FF44" s="29">
        <f>IF(OR($B44="",$A44&lt;24),"",--MID('Key Analysis'!$C40,24,1))</f>
        <v>0</v>
      </c>
      <c r="FG44" s="29">
        <f>IF(OR($B44="",$A44&lt;25),"",--MID('Key Analysis'!$C40,25,1))</f>
        <v>0</v>
      </c>
      <c r="FH44" s="29">
        <f>IF(OR($B44="",$A44&lt;26),"",--MID('Key Analysis'!$C40,26,1))</f>
        <v>0</v>
      </c>
      <c r="FI44" s="29">
        <f>IF(OR($B44="",$A44&lt;27),"",--MID('Key Analysis'!$C40,27,1))</f>
        <v>0</v>
      </c>
      <c r="FJ44" s="29">
        <f>IF(OR($B44="",$A44&lt;28),"",--MID('Key Analysis'!$C40,28,1))</f>
        <v>0</v>
      </c>
      <c r="FK44" s="29">
        <f>IF(OR($B44="",$A44&lt;29),"",--MID('Key Analysis'!$C40,29,1))</f>
        <v>0</v>
      </c>
      <c r="FL44" s="29">
        <f>IF(OR($B44="",$A44&lt;30),"",--MID('Key Analysis'!$C40,30,1))</f>
        <v>1</v>
      </c>
      <c r="FM44" s="29">
        <f>IF(OR($B44="",$A44&lt;31),"",--MID('Key Analysis'!$C40,31,1))</f>
        <v>1</v>
      </c>
      <c r="FN44" s="29">
        <f>IF(OR($B44="",$A44&lt;32),"",--MID('Key Analysis'!$C40,32,1))</f>
        <v>1</v>
      </c>
      <c r="FO44" s="29">
        <f>IF(OR($B44="",$A44&lt;33),"",--MID('Key Analysis'!$C40,33,1))</f>
        <v>1</v>
      </c>
      <c r="FP44" s="29">
        <f>IF(OR($B44="",$A44&lt;34),"",--MID('Key Analysis'!$C40,34,1))</f>
        <v>1</v>
      </c>
      <c r="FQ44" s="29">
        <f>IF(OR($B44="",$A44&lt;35),"",--MID('Key Analysis'!$C40,35,1))</f>
        <v>0</v>
      </c>
      <c r="FR44" s="29">
        <f>IF(OR($B44="",$A44&lt;36),"",--MID('Key Analysis'!$C40,36,1))</f>
        <v>1</v>
      </c>
      <c r="FS44" s="29">
        <f>IF(OR($B44="",$A44&lt;37),"",--MID('Key Analysis'!$C40,37,1))</f>
        <v>0</v>
      </c>
      <c r="FT44" s="29">
        <f>IF(OR($B44="",$A44&lt;38),"",--MID('Key Analysis'!$C40,38,1))</f>
        <v>0</v>
      </c>
      <c r="FU44" s="29">
        <f>IF(OR($B44="",$A44&lt;39),"",--MID('Key Analysis'!$C40,39,1))</f>
        <v>1</v>
      </c>
      <c r="FV44" s="29" t="str">
        <f>IF(OR($B44="",$A44&lt;40),"",--MID('Key Analysis'!$C40,40,1))</f>
        <v/>
      </c>
      <c r="FW44" s="29" t="str">
        <f>IF(OR($B44="",$A44&lt;41),"",--MID('Key Analysis'!$C40,41,1))</f>
        <v/>
      </c>
      <c r="FX44" s="29" t="str">
        <f>IF(OR($B44="",$A44&lt;42),"",--MID('Key Analysis'!$C40,42,1))</f>
        <v/>
      </c>
      <c r="FY44" s="29" t="str">
        <f>IF(OR($B44="",$A44&lt;43),"",--MID('Key Analysis'!$C40,43,1))</f>
        <v/>
      </c>
      <c r="FZ44" s="29" t="str">
        <f>IF(OR($B44="",$A44&lt;44),"",--MID('Key Analysis'!$C40,44,1))</f>
        <v/>
      </c>
      <c r="GA44" s="29" t="str">
        <f>IF(OR($B44="",$A44&lt;45),"",--MID('Key Analysis'!$C40,45,1))</f>
        <v/>
      </c>
      <c r="GB44" s="29" t="str">
        <f>IF(OR($B44="",$A44&lt;46),"",--MID('Key Analysis'!$C40,46,1))</f>
        <v/>
      </c>
      <c r="GC44" s="29" t="str">
        <f>IF(OR($B44="",$A44&lt;47),"",--MID('Key Analysis'!$C40,47,1))</f>
        <v/>
      </c>
      <c r="GD44" s="29" t="str">
        <f>IF(OR($B44="",$A44&lt;48),"",--MID('Key Analysis'!$C40,48,1))</f>
        <v/>
      </c>
      <c r="GE44" s="29" t="str">
        <f>IF(OR($B44="",$A44&lt;49),"",--MID('Key Analysis'!$C40,49,1))</f>
        <v/>
      </c>
      <c r="GF44" s="29" t="str">
        <f>IF(OR($B44="",$A44&lt;50),"",--MID('Key Analysis'!$C40,50,1))</f>
        <v/>
      </c>
      <c r="GG44" s="29" t="str">
        <f>IF(OR($B44="",$A44&lt;51),"",--MID('Key Analysis'!$C40,51,1))</f>
        <v/>
      </c>
      <c r="GH44" s="29" t="str">
        <f>IF(OR($B44="",$A44&lt;52),"",--MID('Key Analysis'!$C40,52,1))</f>
        <v/>
      </c>
      <c r="GI44" s="29" t="str">
        <f>IF(OR($B44="",$A44&lt;53),"",--MID('Key Analysis'!$C40,53,1))</f>
        <v/>
      </c>
      <c r="GJ44" s="29" t="str">
        <f>IF(OR($B44="",$A44&lt;54),"",--MID('Key Analysis'!$C40,54,1))</f>
        <v/>
      </c>
      <c r="GK44" s="29" t="str">
        <f>IF(OR($B44="",$A44&lt;55),"",--MID('Key Analysis'!$C40,55,1))</f>
        <v/>
      </c>
      <c r="GL44" s="29" t="str">
        <f>IF(OR($B44="",$A44&lt;56),"",--MID('Key Analysis'!$C40,56,1))</f>
        <v/>
      </c>
      <c r="GM44" s="29" t="str">
        <f>IF(OR($B44="",$A44&lt;57),"",--MID('Key Analysis'!$C40,57,1))</f>
        <v/>
      </c>
      <c r="GN44" s="29" t="str">
        <f>IF(OR($B44="",$A44&lt;58),"",--MID('Key Analysis'!$C40,58,1))</f>
        <v/>
      </c>
      <c r="GO44" s="29" t="str">
        <f>IF(OR($B44="",$A44&lt;59),"",--MID('Key Analysis'!$C40,59,1))</f>
        <v/>
      </c>
      <c r="GP44" s="29" t="str">
        <f>IF(OR($B44="",$A44&lt;60),"",--MID('Key Analysis'!$C40,60,1))</f>
        <v/>
      </c>
      <c r="GQ44" s="29" t="str">
        <f>IF(OR($B44="",$A44&lt;61),"",--MID('Key Analysis'!$C40,61,1))</f>
        <v/>
      </c>
      <c r="GR44" s="29" t="str">
        <f>IF(OR($B44="",$A44&lt;62),"",--MID('Key Analysis'!$C40,62,1))</f>
        <v/>
      </c>
      <c r="GS44" s="29" t="str">
        <f>IF(OR($B44="",$A44&lt;63),"",--MID('Key Analysis'!$C40,63,1))</f>
        <v/>
      </c>
      <c r="GT44" s="29" t="str">
        <f>IF(OR($B44="",$A44&lt;64),"",--MID('Key Analysis'!$C40,64,1))</f>
        <v/>
      </c>
      <c r="GU44" s="29" t="str">
        <f>IF(OR($B44="",$A44&lt;65),"",--MID('Key Analysis'!$C40,65,1))</f>
        <v/>
      </c>
      <c r="GV44" s="29" t="str">
        <f>IF(OR($B44="",$A44&lt;66),"",--MID('Key Analysis'!$C40,66,1))</f>
        <v/>
      </c>
      <c r="GW44" s="29" t="str">
        <f>IF(OR($B44="",$A44&lt;67),"",--MID('Key Analysis'!$C40,67,1))</f>
        <v/>
      </c>
      <c r="GX44" s="29" t="str">
        <f>IF(OR($B44="",$A44&lt;68),"",--MID('Key Analysis'!$C40,68,1))</f>
        <v/>
      </c>
      <c r="GY44" s="29" t="str">
        <f>IF(OR($B44="",$A44&lt;69),"",--MID('Key Analysis'!$C40,69,1))</f>
        <v/>
      </c>
      <c r="GZ44" s="29" t="str">
        <f>IF(OR($B44="",$A44&lt;70),"",--MID('Key Analysis'!$C40,70,1))</f>
        <v/>
      </c>
      <c r="HA44" s="29" t="str">
        <f>IF(OR($B44="",$A44&lt;71),"",--MID('Key Analysis'!$C40,71,1))</f>
        <v/>
      </c>
      <c r="HB44" s="29" t="str">
        <f>IF(OR($B44="",$A44&lt;72),"",--MID('Key Analysis'!$C40,72,1))</f>
        <v/>
      </c>
      <c r="HC44" s="29" t="str">
        <f>IF(OR($B44="",$A44&lt;73),"",--MID('Key Analysis'!$C40,73,1))</f>
        <v/>
      </c>
      <c r="HD44" s="29" t="str">
        <f>IF(OR($B44="",$A44&lt;74),"",--MID('Key Analysis'!$C40,74,1))</f>
        <v/>
      </c>
      <c r="HE44" s="29" t="str">
        <f>IF(OR($B44="",$A44&lt;75),"",--MID('Key Analysis'!$C40,75,1))</f>
        <v/>
      </c>
      <c r="HF44" s="29" t="str">
        <f>IF(OR($B44="",$A44&lt;76),"",--MID('Key Analysis'!$C40,76,1))</f>
        <v/>
      </c>
      <c r="HG44" s="29" t="str">
        <f>IF(OR($B44="",$A44&lt;77),"",--MID('Key Analysis'!$C40,77,1))</f>
        <v/>
      </c>
      <c r="HH44" s="29" t="str">
        <f>IF(OR($B44="",$A44&lt;78),"",--MID('Key Analysis'!$C40,78,1))</f>
        <v/>
      </c>
      <c r="HI44" s="29" t="str">
        <f>IF(OR($B44="",$A44&lt;79),"",--MID('Key Analysis'!$C40,79,1))</f>
        <v/>
      </c>
      <c r="HJ44" s="29" t="str">
        <f>IF(OR($B44="",$A44&lt;80),"",--MID('Key Analysis'!$C40,80,1))</f>
        <v/>
      </c>
      <c r="HK44" s="29" t="str">
        <f>IF(OR($B44="",$A44&lt;81),"",--MID('Key Analysis'!$C40,81,1))</f>
        <v/>
      </c>
      <c r="HL44" s="29" t="str">
        <f>IF(OR($B44="",$A44&lt;82),"",--MID('Key Analysis'!$C40,82,1))</f>
        <v/>
      </c>
      <c r="HM44" s="29" t="str">
        <f>IF(OR($B44="",$A44&lt;83),"",--MID('Key Analysis'!$C40,83,1))</f>
        <v/>
      </c>
      <c r="HN44" s="29" t="str">
        <f>IF(OR($B44="",$A44&lt;84),"",--MID('Key Analysis'!$C40,84,1))</f>
        <v/>
      </c>
      <c r="HO44" s="29" t="str">
        <f>IF(OR($B44="",$A44&lt;85),"",--MID('Key Analysis'!$C40,85,1))</f>
        <v/>
      </c>
      <c r="HP44" s="29" t="str">
        <f>IF(OR($B44="",$A44&lt;86),"",--MID('Key Analysis'!$C40,86,1))</f>
        <v/>
      </c>
      <c r="HQ44" s="29" t="str">
        <f>IF(OR($B44="",$A44&lt;87),"",--MID('Key Analysis'!$C40,87,1))</f>
        <v/>
      </c>
      <c r="HR44" s="29" t="str">
        <f>IF(OR($B44="",$A44&lt;88),"",--MID('Key Analysis'!$C40,88,1))</f>
        <v/>
      </c>
      <c r="HS44" s="29" t="str">
        <f>IF(OR($B44="",$A44&lt;89),"",--MID('Key Analysis'!$C40,89,1))</f>
        <v/>
      </c>
      <c r="HT44" s="29" t="str">
        <f>IF(OR($B44="",$A44&lt;90),"",--MID('Key Analysis'!$C40,90,1))</f>
        <v/>
      </c>
      <c r="HU44" s="29" t="str">
        <f>IF(OR($B44="",$A44&lt;91),"",--MID('Key Analysis'!$C40,91,1))</f>
        <v/>
      </c>
      <c r="HV44" s="29" t="str">
        <f>IF(OR($B44="",$A44&lt;92),"",--MID('Key Analysis'!$C40,92,1))</f>
        <v/>
      </c>
      <c r="HW44" s="29" t="str">
        <f>IF(OR($B44="",$A44&lt;93),"",--MID('Key Analysis'!$C40,93,1))</f>
        <v/>
      </c>
      <c r="HX44" s="29" t="str">
        <f>IF(OR($B44="",$A44&lt;94),"",--MID('Key Analysis'!$C40,94,1))</f>
        <v/>
      </c>
      <c r="HY44" s="29" t="str">
        <f>IF(OR($B44="",$A44&lt;95),"",--MID('Key Analysis'!$C40,95,1))</f>
        <v/>
      </c>
      <c r="HZ44" s="29" t="str">
        <f>IF(OR($B44="",$A44&lt;96),"",--MID('Key Analysis'!$C40,96,1))</f>
        <v/>
      </c>
      <c r="IA44" s="29" t="str">
        <f>IF(OR($B44="",$A44&lt;97),"",--MID('Key Analysis'!$C40,97,1))</f>
        <v/>
      </c>
      <c r="IB44" s="29" t="str">
        <f>IF(OR($B44="",$A44&lt;98),"",--MID('Key Analysis'!$C40,98,1))</f>
        <v/>
      </c>
      <c r="IC44" s="29" t="str">
        <f>IF(OR($B44="",$A44&lt;99),"",--MID('Key Analysis'!$C40,99,1))</f>
        <v/>
      </c>
      <c r="ID44" s="29" t="str">
        <f>IF(OR($B44="",$A44&lt;100),"",--MID('Key Analysis'!$C40,100,1))</f>
        <v/>
      </c>
      <c r="IE44" s="29" t="str">
        <f>IF(OR($B44="",$A44&lt;101),"",--MID('Key Analysis'!$C40,101,1))</f>
        <v/>
      </c>
      <c r="IF44" s="29" t="str">
        <f>IF(OR($B44="",$A44&lt;102),"",--MID('Key Analysis'!$C40,102,1))</f>
        <v/>
      </c>
      <c r="IG44" s="29" t="str">
        <f>IF(OR($B44="",$A44&lt;103),"",--MID('Key Analysis'!$C40,103,1))</f>
        <v/>
      </c>
      <c r="IH44" s="29" t="str">
        <f>IF(OR($B44="",$A44&lt;104),"",--MID('Key Analysis'!$C40,104,1))</f>
        <v/>
      </c>
      <c r="II44" s="29" t="str">
        <f>IF(OR($B44="",$A44&lt;105),"",--MID('Key Analysis'!$C40,105,1))</f>
        <v/>
      </c>
      <c r="IJ44" s="29" t="str">
        <f>IF(OR($B44="",$A44&lt;106),"",--MID('Key Analysis'!$C40,106,1))</f>
        <v/>
      </c>
      <c r="IK44" s="29" t="str">
        <f>IF(OR($B44="",$A44&lt;107),"",--MID('Key Analysis'!$C40,107,1))</f>
        <v/>
      </c>
      <c r="IL44" s="29" t="str">
        <f>IF(OR($B44="",$A44&lt;108),"",--MID('Key Analysis'!$C40,108,1))</f>
        <v/>
      </c>
      <c r="IM44" s="29" t="str">
        <f>IF(OR($B44="",$A44&lt;109),"",--MID('Key Analysis'!$C40,109,1))</f>
        <v/>
      </c>
      <c r="IN44" s="29" t="str">
        <f>IF(OR($B44="",$A44&lt;110),"",--MID('Key Analysis'!$C40,110,1))</f>
        <v/>
      </c>
      <c r="IO44" s="29" t="str">
        <f>IF(OR($B44="",$A44&lt;111),"",--MID('Key Analysis'!$C40,111,1))</f>
        <v/>
      </c>
      <c r="IP44" s="29" t="str">
        <f>IF(OR($B44="",$A44&lt;112),"",--MID('Key Analysis'!$C40,112,1))</f>
        <v/>
      </c>
      <c r="IQ44" s="29" t="str">
        <f>IF(OR($B44="",$A44&lt;113),"",--MID('Key Analysis'!$C40,113,1))</f>
        <v/>
      </c>
      <c r="IR44" s="29" t="str">
        <f>IF(OR($B44="",$A44&lt;114),"",--MID('Key Analysis'!$C40,114,1))</f>
        <v/>
      </c>
      <c r="IS44" s="29" t="str">
        <f>IF(OR($B44="",$A44&lt;115),"",--MID('Key Analysis'!$C40,115,1))</f>
        <v/>
      </c>
      <c r="IT44" s="29" t="str">
        <f>IF(OR($B44="",$A44&lt;116),"",--MID('Key Analysis'!$C40,116,1))</f>
        <v/>
      </c>
      <c r="IU44" s="29" t="str">
        <f>IF(OR($B44="",$A44&lt;117),"",--MID('Key Analysis'!$C40,117,1))</f>
        <v/>
      </c>
      <c r="IV44" s="29" t="str">
        <f>IF(OR($B44="",$A44&lt;118),"",--MID('Key Analysis'!$C40,118,1))</f>
        <v/>
      </c>
      <c r="IW44" s="29" t="str">
        <f>IF(OR($B44="",$A44&lt;119),"",--MID('Key Analysis'!$C40,119,1))</f>
        <v/>
      </c>
      <c r="IX44" s="29" t="str">
        <f>IF(OR($B44="",$A44&lt;120),"",--MID('Key Analysis'!$C40,120,1))</f>
        <v/>
      </c>
      <c r="IY44" s="29" t="str">
        <f>IF(OR($B44="",$A44&lt;121),"",--MID('Key Analysis'!$C40,121,1))</f>
        <v/>
      </c>
      <c r="IZ44" s="29" t="str">
        <f>IF(OR($B44="",$A44&lt;122),"",--MID('Key Analysis'!$C40,122,1))</f>
        <v/>
      </c>
      <c r="JA44" s="29" t="str">
        <f>IF(OR($B44="",$A44&lt;123),"",--MID('Key Analysis'!$C40,123,1))</f>
        <v/>
      </c>
      <c r="JB44" s="29" t="str">
        <f>IF(OR($B44="",$A44&lt;124),"",--MID('Key Analysis'!$C40,124,1))</f>
        <v/>
      </c>
      <c r="JC44" s="29" t="str">
        <f>IF(OR($B44="",$A44&lt;125),"",--MID('Key Analysis'!$C40,125,1))</f>
        <v/>
      </c>
      <c r="JD44" s="29" t="str">
        <f>IF(OR($B44="",$A44&lt;126),"",--MID('Key Analysis'!$C40,126,1))</f>
        <v/>
      </c>
      <c r="JE44" s="29" t="str">
        <f>IF(OR($B44="",$A44&lt;127),"",--MID('Key Analysis'!$C40,127,1))</f>
        <v/>
      </c>
      <c r="JF44" s="29" t="str">
        <f>IF(OR($B44="",$A44&lt;128),"",--MID('Key Analysis'!$C40,128,1))</f>
        <v/>
      </c>
      <c r="JG44" s="29" t="str">
        <f>IF(OR($B44="",$A44&lt;129),"",--MID('Key Analysis'!$C40,129,1))</f>
        <v/>
      </c>
      <c r="JH44" s="29" t="str">
        <f>IF(OR($B44="",$A44&lt;130),"",--MID('Key Analysis'!$C40,130,1))</f>
        <v/>
      </c>
      <c r="JI44" s="29" t="str">
        <f>IF(OR($B44="",$A44&lt;131),"",--MID('Key Analysis'!$C40,131,1))</f>
        <v/>
      </c>
      <c r="JJ44" s="29" t="str">
        <f>IF(OR($B44="",$A44&lt;132),"",--MID('Key Analysis'!$C40,132,1))</f>
        <v/>
      </c>
      <c r="JK44" s="29" t="str">
        <f>IF(OR($B44="",$A44&lt;133),"",--MID('Key Analysis'!$C40,133,1))</f>
        <v/>
      </c>
      <c r="JL44" s="29" t="str">
        <f>IF(OR($B44="",$A44&lt;134),"",--MID('Key Analysis'!$C40,134,1))</f>
        <v/>
      </c>
      <c r="JM44" s="29" t="str">
        <f>IF(OR($B44="",$A44&lt;135),"",--MID('Key Analysis'!$C40,135,1))</f>
        <v/>
      </c>
    </row>
    <row r="45" spans="1:273" x14ac:dyDescent="0.25">
      <c r="A45" s="21">
        <f>'Key Analysis'!A41</f>
        <v>40</v>
      </c>
      <c r="B45" s="30" t="str">
        <f>'Key Analysis'!B41</f>
        <v>e9ae4933d6</v>
      </c>
      <c r="C45" s="29">
        <f>IF(OR($B45="",$A45&lt;=0),"",--MID('Key Analysis'!$C41,$A45-0,1))</f>
        <v>0</v>
      </c>
      <c r="D45" s="29">
        <f>IF(OR($B45="",$A45&lt;=1),"",--MID('Key Analysis'!$C41,$A45-1,1))</f>
        <v>1</v>
      </c>
      <c r="E45" s="29">
        <f>IF(OR($B45="",$A45&lt;=2),"",--MID('Key Analysis'!$C41,$A45-2,1))</f>
        <v>1</v>
      </c>
      <c r="F45" s="29">
        <f>IF(OR($B45="",$A45&lt;=3),"",--MID('Key Analysis'!$C41,$A45-3,1))</f>
        <v>0</v>
      </c>
      <c r="G45" s="29">
        <f>IF(OR($B45="",$A45&lt;=4),"",--MID('Key Analysis'!$C41,$A45-4,1))</f>
        <v>1</v>
      </c>
      <c r="H45" s="29">
        <f>IF(OR($B45="",$A45&lt;=5),"",--MID('Key Analysis'!$C41,$A45-5,1))</f>
        <v>0</v>
      </c>
      <c r="I45" s="29">
        <f>IF(OR($B45="",$A45&lt;=6),"",--MID('Key Analysis'!$C41,$A45-6,1))</f>
        <v>1</v>
      </c>
      <c r="J45" s="29">
        <f>IF(OR($B45="",$A45&lt;=7),"",--MID('Key Analysis'!$C41,$A45-7,1))</f>
        <v>1</v>
      </c>
      <c r="K45" s="29">
        <f>IF(OR($B45="",$A45&lt;=8),"",--MID('Key Analysis'!$C41,$A45-8,1))</f>
        <v>1</v>
      </c>
      <c r="L45" s="29">
        <f>IF(OR($B45="",$A45&lt;=9),"",--MID('Key Analysis'!$C41,$A45-9,1))</f>
        <v>1</v>
      </c>
      <c r="M45" s="29">
        <f>IF(OR($B45="",$A45&lt;=10),"",--MID('Key Analysis'!$C41,$A45-10,1))</f>
        <v>0</v>
      </c>
      <c r="N45" s="29">
        <f>IF(OR($B45="",$A45&lt;=11),"",--MID('Key Analysis'!$C41,$A45-11,1))</f>
        <v>0</v>
      </c>
      <c r="O45" s="29">
        <f>IF(OR($B45="",$A45&lt;=12),"",--MID('Key Analysis'!$C41,$A45-12,1))</f>
        <v>1</v>
      </c>
      <c r="P45" s="29">
        <f>IF(OR($B45="",$A45&lt;=13),"",--MID('Key Analysis'!$C41,$A45-13,1))</f>
        <v>1</v>
      </c>
      <c r="Q45" s="29">
        <f>IF(OR($B45="",$A45&lt;=14),"",--MID('Key Analysis'!$C41,$A45-14,1))</f>
        <v>0</v>
      </c>
      <c r="R45" s="29">
        <f>IF(OR($B45="",$A45&lt;=15),"",--MID('Key Analysis'!$C41,$A45-15,1))</f>
        <v>0</v>
      </c>
      <c r="S45" s="29">
        <f>IF(OR($B45="",$A45&lt;=16),"",--MID('Key Analysis'!$C41,$A45-16,1))</f>
        <v>1</v>
      </c>
      <c r="T45" s="29">
        <f>IF(OR($B45="",$A45&lt;=17),"",--MID('Key Analysis'!$C41,$A45-17,1))</f>
        <v>0</v>
      </c>
      <c r="U45" s="29">
        <f>IF(OR($B45="",$A45&lt;=18),"",--MID('Key Analysis'!$C41,$A45-18,1))</f>
        <v>0</v>
      </c>
      <c r="V45" s="29">
        <f>IF(OR($B45="",$A45&lt;=19),"",--MID('Key Analysis'!$C41,$A45-19,1))</f>
        <v>1</v>
      </c>
      <c r="W45" s="29">
        <f>IF(OR($B45="",$A45&lt;=20),"",--MID('Key Analysis'!$C41,$A45-20,1))</f>
        <v>0</v>
      </c>
      <c r="X45" s="29">
        <f>IF(OR($B45="",$A45&lt;=21),"",--MID('Key Analysis'!$C41,$A45-21,1))</f>
        <v>0</v>
      </c>
      <c r="Y45" s="29">
        <f>IF(OR($B45="",$A45&lt;=22),"",--MID('Key Analysis'!$C41,$A45-22,1))</f>
        <v>1</v>
      </c>
      <c r="Z45" s="29">
        <f>IF(OR($B45="",$A45&lt;=23),"",--MID('Key Analysis'!$C41,$A45-23,1))</f>
        <v>0</v>
      </c>
      <c r="AA45" s="29">
        <f>IF(OR($B45="",$A45&lt;=24),"",--MID('Key Analysis'!$C41,$A45-24,1))</f>
        <v>0</v>
      </c>
      <c r="AB45" s="29">
        <f>IF(OR($B45="",$A45&lt;=25),"",--MID('Key Analysis'!$C41,$A45-25,1))</f>
        <v>1</v>
      </c>
      <c r="AC45" s="29">
        <f>IF(OR($B45="",$A45&lt;=26),"",--MID('Key Analysis'!$C41,$A45-26,1))</f>
        <v>1</v>
      </c>
      <c r="AD45" s="29">
        <f>IF(OR($B45="",$A45&lt;=27),"",--MID('Key Analysis'!$C41,$A45-27,1))</f>
        <v>1</v>
      </c>
      <c r="AE45" s="29">
        <f>IF(OR($B45="",$A45&lt;=28),"",--MID('Key Analysis'!$C41,$A45-28,1))</f>
        <v>0</v>
      </c>
      <c r="AF45" s="29">
        <f>IF(OR($B45="",$A45&lt;=29),"",--MID('Key Analysis'!$C41,$A45-29,1))</f>
        <v>1</v>
      </c>
      <c r="AG45" s="29">
        <f>IF(OR($B45="",$A45&lt;=30),"",--MID('Key Analysis'!$C41,$A45-30,1))</f>
        <v>0</v>
      </c>
      <c r="AH45" s="29">
        <f>IF(OR($B45="",$A45&lt;=31),"",--MID('Key Analysis'!$C41,$A45-31,1))</f>
        <v>1</v>
      </c>
      <c r="AI45" s="29">
        <f>IF(OR($B45="",$A45&lt;=32),"",--MID('Key Analysis'!$C41,$A45-32,1))</f>
        <v>1</v>
      </c>
      <c r="AJ45" s="29">
        <f>IF(OR($B45="",$A45&lt;=33),"",--MID('Key Analysis'!$C41,$A45-33,1))</f>
        <v>0</v>
      </c>
      <c r="AK45" s="29">
        <f>IF(OR($B45="",$A45&lt;=34),"",--MID('Key Analysis'!$C41,$A45-34,1))</f>
        <v>0</v>
      </c>
      <c r="AL45" s="29">
        <f>IF(OR($B45="",$A45&lt;=35),"",--MID('Key Analysis'!$C41,$A45-35,1))</f>
        <v>1</v>
      </c>
      <c r="AM45" s="29">
        <f>IF(OR($B45="",$A45&lt;=36),"",--MID('Key Analysis'!$C41,$A45-36,1))</f>
        <v>0</v>
      </c>
      <c r="AN45" s="29">
        <f>IF(OR($B45="",$A45&lt;=37),"",--MID('Key Analysis'!$C41,$A45-37,1))</f>
        <v>1</v>
      </c>
      <c r="AO45" s="29">
        <f>IF(OR($B45="",$A45&lt;=38),"",--MID('Key Analysis'!$C41,$A45-38,1))</f>
        <v>1</v>
      </c>
      <c r="AP45" s="29">
        <f>IF(OR($B45="",$A45&lt;=39),"",--MID('Key Analysis'!$C41,$A45-39,1))</f>
        <v>1</v>
      </c>
      <c r="AQ45" s="29" t="str">
        <f>IF(OR($B45="",$A45&lt;=40),"",--MID('Key Analysis'!$C41,$A45-40,1))</f>
        <v/>
      </c>
      <c r="AR45" s="29" t="str">
        <f>IF(OR($B45="",$A45&lt;=41),"",--MID('Key Analysis'!$C41,$A45-41,1))</f>
        <v/>
      </c>
      <c r="AS45" s="29" t="str">
        <f>IF(OR($B45="",$A45&lt;=42),"",--MID('Key Analysis'!$C41,$A45-42,1))</f>
        <v/>
      </c>
      <c r="AT45" s="29" t="str">
        <f>IF(OR($B45="",$A45&lt;=43),"",--MID('Key Analysis'!$C41,$A45-43,1))</f>
        <v/>
      </c>
      <c r="AU45" s="29" t="str">
        <f>IF(OR($B45="",$A45&lt;=44),"",--MID('Key Analysis'!$C41,$A45-44,1))</f>
        <v/>
      </c>
      <c r="AV45" s="29" t="str">
        <f>IF(OR($B45="",$A45&lt;=45),"",--MID('Key Analysis'!$C41,$A45-45,1))</f>
        <v/>
      </c>
      <c r="AW45" s="29" t="str">
        <f>IF(OR($B45="",$A45&lt;=46),"",--MID('Key Analysis'!$C41,$A45-46,1))</f>
        <v/>
      </c>
      <c r="AX45" s="29" t="str">
        <f>IF(OR($B45="",$A45&lt;=47),"",--MID('Key Analysis'!$C41,$A45-47,1))</f>
        <v/>
      </c>
      <c r="AY45" s="29" t="str">
        <f>IF(OR($B45="",$A45&lt;=48),"",--MID('Key Analysis'!$C41,$A45-48,1))</f>
        <v/>
      </c>
      <c r="AZ45" s="29" t="str">
        <f>IF(OR($B45="",$A45&lt;=49),"",--MID('Key Analysis'!$C41,$A45-49,1))</f>
        <v/>
      </c>
      <c r="BA45" s="29" t="str">
        <f>IF(OR($B45="",$A45&lt;=50),"",--MID('Key Analysis'!$C41,$A45-50,1))</f>
        <v/>
      </c>
      <c r="BB45" s="29" t="str">
        <f>IF(OR($B45="",$A45&lt;=51),"",--MID('Key Analysis'!$C41,$A45-51,1))</f>
        <v/>
      </c>
      <c r="BC45" s="29" t="str">
        <f>IF(OR($B45="",$A45&lt;=52),"",--MID('Key Analysis'!$C41,$A45-52,1))</f>
        <v/>
      </c>
      <c r="BD45" s="29" t="str">
        <f>IF(OR($B45="",$A45&lt;=53),"",--MID('Key Analysis'!$C41,$A45-53,1))</f>
        <v/>
      </c>
      <c r="BE45" s="29" t="str">
        <f>IF(OR($B45="",$A45&lt;=54),"",--MID('Key Analysis'!$C41,$A45-54,1))</f>
        <v/>
      </c>
      <c r="BF45" s="29" t="str">
        <f>IF(OR($B45="",$A45&lt;=55),"",--MID('Key Analysis'!$C41,$A45-55,1))</f>
        <v/>
      </c>
      <c r="BG45" s="29" t="str">
        <f>IF(OR($B45="",$A45&lt;=56),"",--MID('Key Analysis'!$C41,$A45-56,1))</f>
        <v/>
      </c>
      <c r="BH45" s="29" t="str">
        <f>IF(OR($B45="",$A45&lt;=57),"",--MID('Key Analysis'!$C41,$A45-57,1))</f>
        <v/>
      </c>
      <c r="BI45" s="29" t="str">
        <f>IF(OR($B45="",$A45&lt;=58),"",--MID('Key Analysis'!$C41,$A45-58,1))</f>
        <v/>
      </c>
      <c r="BJ45" s="29" t="str">
        <f>IF(OR($B45="",$A45&lt;=59),"",--MID('Key Analysis'!$C41,$A45-59,1))</f>
        <v/>
      </c>
      <c r="BK45" s="29" t="str">
        <f>IF(OR($B45="",$A45&lt;=60),"",--MID('Key Analysis'!$C41,$A45-60,1))</f>
        <v/>
      </c>
      <c r="BL45" s="29" t="str">
        <f>IF(OR($B45="",$A45&lt;=61),"",--MID('Key Analysis'!$C41,$A45-61,1))</f>
        <v/>
      </c>
      <c r="BM45" s="29" t="str">
        <f>IF(OR($B45="",$A45&lt;=62),"",--MID('Key Analysis'!$C41,$A45-62,1))</f>
        <v/>
      </c>
      <c r="BN45" s="29" t="str">
        <f>IF(OR($B45="",$A45&lt;=63),"",--MID('Key Analysis'!$C41,$A45-63,1))</f>
        <v/>
      </c>
      <c r="BO45" s="29" t="str">
        <f>IF(OR($B45="",$A45&lt;=64),"",--MID('Key Analysis'!$C41,$A45-64,1))</f>
        <v/>
      </c>
      <c r="BP45" s="29" t="str">
        <f>IF(OR($B45="",$A45&lt;=65),"",--MID('Key Analysis'!$C41,$A45-65,1))</f>
        <v/>
      </c>
      <c r="BQ45" s="29" t="str">
        <f>IF(OR($B45="",$A45&lt;=66),"",--MID('Key Analysis'!$C41,$A45-66,1))</f>
        <v/>
      </c>
      <c r="BR45" s="29" t="str">
        <f>IF(OR($B45="",$A45&lt;=67),"",--MID('Key Analysis'!$C41,$A45-67,1))</f>
        <v/>
      </c>
      <c r="BS45" s="29" t="str">
        <f>IF(OR($B45="",$A45&lt;=68),"",--MID('Key Analysis'!$C41,$A45-68,1))</f>
        <v/>
      </c>
      <c r="BT45" s="29" t="str">
        <f>IF(OR($B45="",$A45&lt;=69),"",--MID('Key Analysis'!$C41,$A45-69,1))</f>
        <v/>
      </c>
      <c r="BU45" s="29" t="str">
        <f>IF(OR($B45="",$A45&lt;=70),"",--MID('Key Analysis'!$C41,$A45-70,1))</f>
        <v/>
      </c>
      <c r="BV45" s="29" t="str">
        <f>IF(OR($B45="",$A45&lt;=71),"",--MID('Key Analysis'!$C41,$A45-71,1))</f>
        <v/>
      </c>
      <c r="BW45" s="29" t="str">
        <f>IF(OR($B45="",$A45&lt;=72),"",--MID('Key Analysis'!$C41,$A45-72,1))</f>
        <v/>
      </c>
      <c r="BX45" s="29" t="str">
        <f>IF(OR($B45="",$A45&lt;=73),"",--MID('Key Analysis'!$C41,$A45-73,1))</f>
        <v/>
      </c>
      <c r="BY45" s="29" t="str">
        <f>IF(OR($B45="",$A45&lt;=74),"",--MID('Key Analysis'!$C41,$A45-74,1))</f>
        <v/>
      </c>
      <c r="BZ45" s="29" t="str">
        <f>IF(OR($B45="",$A45&lt;=75),"",--MID('Key Analysis'!$C41,$A45-75,1))</f>
        <v/>
      </c>
      <c r="CA45" s="29" t="str">
        <f>IF(OR($B45="",$A45&lt;=76),"",--MID('Key Analysis'!$C41,$A45-76,1))</f>
        <v/>
      </c>
      <c r="CB45" s="29" t="str">
        <f>IF(OR($B45="",$A45&lt;=77),"",--MID('Key Analysis'!$C41,$A45-77,1))</f>
        <v/>
      </c>
      <c r="CC45" s="29" t="str">
        <f>IF(OR($B45="",$A45&lt;=78),"",--MID('Key Analysis'!$C41,$A45-78,1))</f>
        <v/>
      </c>
      <c r="CD45" s="29" t="str">
        <f>IF(OR($B45="",$A45&lt;=79),"",--MID('Key Analysis'!$C41,$A45-79,1))</f>
        <v/>
      </c>
      <c r="CE45" s="29" t="str">
        <f>IF(OR($B45="",$A45&lt;=80),"",--MID('Key Analysis'!$C41,$A45-80,1))</f>
        <v/>
      </c>
      <c r="CF45" s="29" t="str">
        <f>IF(OR($B45="",$A45&lt;=81),"",--MID('Key Analysis'!$C41,$A45-81,1))</f>
        <v/>
      </c>
      <c r="CG45" s="29" t="str">
        <f>IF(OR($B45="",$A45&lt;=82),"",--MID('Key Analysis'!$C41,$A45-82,1))</f>
        <v/>
      </c>
      <c r="CH45" s="29" t="str">
        <f>IF(OR($B45="",$A45&lt;=83),"",--MID('Key Analysis'!$C41,$A45-83,1))</f>
        <v/>
      </c>
      <c r="CI45" s="29" t="str">
        <f>IF(OR($B45="",$A45&lt;=84),"",--MID('Key Analysis'!$C41,$A45-84,1))</f>
        <v/>
      </c>
      <c r="CJ45" s="29" t="str">
        <f>IF(OR($B45="",$A45&lt;=85),"",--MID('Key Analysis'!$C41,$A45-85,1))</f>
        <v/>
      </c>
      <c r="CK45" s="29" t="str">
        <f>IF(OR($B45="",$A45&lt;=86),"",--MID('Key Analysis'!$C41,$A45-86,1))</f>
        <v/>
      </c>
      <c r="CL45" s="29" t="str">
        <f>IF(OR($B45="",$A45&lt;=87),"",--MID('Key Analysis'!$C41,$A45-87,1))</f>
        <v/>
      </c>
      <c r="CM45" s="29" t="str">
        <f>IF(OR($B45="",$A45&lt;=88),"",--MID('Key Analysis'!$C41,$A45-88,1))</f>
        <v/>
      </c>
      <c r="CN45" s="29" t="str">
        <f>IF(OR($B45="",$A45&lt;=89),"",--MID('Key Analysis'!$C41,$A45-89,1))</f>
        <v/>
      </c>
      <c r="CO45" s="29" t="str">
        <f>IF(OR($B45="",$A45&lt;=90),"",--MID('Key Analysis'!$C41,$A45-90,1))</f>
        <v/>
      </c>
      <c r="CP45" s="29" t="str">
        <f>IF(OR($B45="",$A45&lt;=91),"",--MID('Key Analysis'!$C41,$A45-91,1))</f>
        <v/>
      </c>
      <c r="CQ45" s="29" t="str">
        <f>IF(OR($B45="",$A45&lt;=92),"",--MID('Key Analysis'!$C41,$A45-92,1))</f>
        <v/>
      </c>
      <c r="CR45" s="29" t="str">
        <f>IF(OR($B45="",$A45&lt;=93),"",--MID('Key Analysis'!$C41,$A45-93,1))</f>
        <v/>
      </c>
      <c r="CS45" s="29" t="str">
        <f>IF(OR($B45="",$A45&lt;=94),"",--MID('Key Analysis'!$C41,$A45-94,1))</f>
        <v/>
      </c>
      <c r="CT45" s="29" t="str">
        <f>IF(OR($B45="",$A45&lt;=95),"",--MID('Key Analysis'!$C41,$A45-95,1))</f>
        <v/>
      </c>
      <c r="CU45" s="29" t="str">
        <f>IF(OR($B45="",$A45&lt;=96),"",--MID('Key Analysis'!$C41,$A45-96,1))</f>
        <v/>
      </c>
      <c r="CV45" s="29" t="str">
        <f>IF(OR($B45="",$A45&lt;=97),"",--MID('Key Analysis'!$C41,$A45-97,1))</f>
        <v/>
      </c>
      <c r="CW45" s="29" t="str">
        <f>IF(OR($B45="",$A45&lt;=98),"",--MID('Key Analysis'!$C41,$A45-98,1))</f>
        <v/>
      </c>
      <c r="CX45" s="29" t="str">
        <f>IF(OR($B45="",$A45&lt;=99),"",--MID('Key Analysis'!$C41,$A45-99,1))</f>
        <v/>
      </c>
      <c r="CY45" s="29" t="str">
        <f>IF(OR($B45="",$A45&lt;=100),"",--MID('Key Analysis'!$C41,$A45-100,1))</f>
        <v/>
      </c>
      <c r="CZ45" s="29" t="str">
        <f>IF(OR($B45="",$A45&lt;=101),"",--MID('Key Analysis'!$C41,$A45-101,1))</f>
        <v/>
      </c>
      <c r="DA45" s="29" t="str">
        <f>IF(OR($B45="",$A45&lt;=102),"",--MID('Key Analysis'!$C41,$A45-102,1))</f>
        <v/>
      </c>
      <c r="DB45" s="29" t="str">
        <f>IF(OR($B45="",$A45&lt;=103),"",--MID('Key Analysis'!$C41,$A45-103,1))</f>
        <v/>
      </c>
      <c r="DC45" s="29" t="str">
        <f>IF(OR($B45="",$A45&lt;=104),"",--MID('Key Analysis'!$C41,$A45-104,1))</f>
        <v/>
      </c>
      <c r="DD45" s="29" t="str">
        <f>IF(OR($B45="",$A45&lt;=105),"",--MID('Key Analysis'!$C41,$A45-105,1))</f>
        <v/>
      </c>
      <c r="DE45" s="29" t="str">
        <f>IF(OR($B45="",$A45&lt;=106),"",--MID('Key Analysis'!$C41,$A45-106,1))</f>
        <v/>
      </c>
      <c r="DF45" s="29" t="str">
        <f>IF(OR($B45="",$A45&lt;=107),"",--MID('Key Analysis'!$C41,$A45-107,1))</f>
        <v/>
      </c>
      <c r="DG45" s="29" t="str">
        <f>IF(OR($B45="",$A45&lt;=108),"",--MID('Key Analysis'!$C41,$A45-108,1))</f>
        <v/>
      </c>
      <c r="DH45" s="29" t="str">
        <f>IF(OR($B45="",$A45&lt;=109),"",--MID('Key Analysis'!$C41,$A45-109,1))</f>
        <v/>
      </c>
      <c r="DI45" s="29" t="str">
        <f>IF(OR($B45="",$A45&lt;=110),"",--MID('Key Analysis'!$C41,$A45-110,1))</f>
        <v/>
      </c>
      <c r="DJ45" s="29" t="str">
        <f>IF(OR($B45="",$A45&lt;=111),"",--MID('Key Analysis'!$C41,$A45-111,1))</f>
        <v/>
      </c>
      <c r="DK45" s="29" t="str">
        <f>IF(OR($B45="",$A45&lt;=112),"",--MID('Key Analysis'!$C41,$A45-112,1))</f>
        <v/>
      </c>
      <c r="DL45" s="29" t="str">
        <f>IF(OR($B45="",$A45&lt;=113),"",--MID('Key Analysis'!$C41,$A45-113,1))</f>
        <v/>
      </c>
      <c r="DM45" s="29" t="str">
        <f>IF(OR($B45="",$A45&lt;=114),"",--MID('Key Analysis'!$C41,$A45-114,1))</f>
        <v/>
      </c>
      <c r="DN45" s="29" t="str">
        <f>IF(OR($B45="",$A45&lt;=115),"",--MID('Key Analysis'!$C41,$A45-115,1))</f>
        <v/>
      </c>
      <c r="DO45" s="29" t="str">
        <f>IF(OR($B45="",$A45&lt;=116),"",--MID('Key Analysis'!$C41,$A45-116,1))</f>
        <v/>
      </c>
      <c r="DP45" s="29" t="str">
        <f>IF(OR($B45="",$A45&lt;=117),"",--MID('Key Analysis'!$C41,$A45-117,1))</f>
        <v/>
      </c>
      <c r="DQ45" s="29" t="str">
        <f>IF(OR($B45="",$A45&lt;=118),"",--MID('Key Analysis'!$C41,$A45-118,1))</f>
        <v/>
      </c>
      <c r="DR45" s="29" t="str">
        <f>IF(OR($B45="",$A45&lt;=119),"",--MID('Key Analysis'!$C41,$A45-119,1))</f>
        <v/>
      </c>
      <c r="DS45" s="29" t="str">
        <f>IF(OR($B45="",$A45&lt;=120),"",--MID('Key Analysis'!$C41,$A45-120,1))</f>
        <v/>
      </c>
      <c r="DT45" s="29" t="str">
        <f>IF(OR($B45="",$A45&lt;=121),"",--MID('Key Analysis'!$C41,$A45-121,1))</f>
        <v/>
      </c>
      <c r="DU45" s="29" t="str">
        <f>IF(OR($B45="",$A45&lt;=122),"",--MID('Key Analysis'!$C41,$A45-122,1))</f>
        <v/>
      </c>
      <c r="DV45" s="29" t="str">
        <f>IF(OR($B45="",$A45&lt;=123),"",--MID('Key Analysis'!$C41,$A45-123,1))</f>
        <v/>
      </c>
      <c r="DW45" s="29" t="str">
        <f>IF(OR($B45="",$A45&lt;=124),"",--MID('Key Analysis'!$C41,$A45-124,1))</f>
        <v/>
      </c>
      <c r="DX45" s="29" t="str">
        <f>IF(OR($B45="",$A45&lt;=125),"",--MID('Key Analysis'!$C41,$A45-125,1))</f>
        <v/>
      </c>
      <c r="DY45" s="29" t="str">
        <f>IF(OR($B45="",$A45&lt;=126),"",--MID('Key Analysis'!$C41,$A45-126,1))</f>
        <v/>
      </c>
      <c r="DZ45" s="29" t="str">
        <f>IF(OR($B45="",$A45&lt;=127),"",--MID('Key Analysis'!$C41,$A45-127,1))</f>
        <v/>
      </c>
      <c r="EA45" s="29" t="str">
        <f>IF(OR($B45="",$A45&lt;=128),"",--MID('Key Analysis'!$C41,$A45-128,1))</f>
        <v/>
      </c>
      <c r="EB45" s="29" t="str">
        <f>IF(OR($B45="",$A45&lt;=129),"",--MID('Key Analysis'!$C41,$A45-129,1))</f>
        <v/>
      </c>
      <c r="EC45" s="29" t="str">
        <f>IF(OR($B45="",$A45&lt;=130),"",--MID('Key Analysis'!$C41,$A45-130,1))</f>
        <v/>
      </c>
      <c r="ED45" s="29" t="str">
        <f>IF(OR($B45="",$A45&lt;=131),"",--MID('Key Analysis'!$C41,$A45-131,1))</f>
        <v/>
      </c>
      <c r="EE45" s="29" t="str">
        <f>IF(OR($B45="",$A45&lt;=132),"",--MID('Key Analysis'!$C41,$A45-132,1))</f>
        <v/>
      </c>
      <c r="EF45" s="29" t="str">
        <f>IF(OR($B45="",$A45&lt;=133),"",--MID('Key Analysis'!$C41,$A45-133,1))</f>
        <v/>
      </c>
      <c r="EG45" s="29" t="str">
        <f>IF(OR($B45="",$A45&lt;=134),"",--MID('Key Analysis'!$C41,$A45-134,1))</f>
        <v/>
      </c>
      <c r="EH45" s="29"/>
      <c r="EI45" s="29">
        <f>IF(OR($B45="",$A45&lt;1),"",--MID('Key Analysis'!$C41,1,1))</f>
        <v>1</v>
      </c>
      <c r="EJ45" s="29">
        <f>IF(OR($B45="",$A45&lt;2),"",--MID('Key Analysis'!$C41,2,1))</f>
        <v>1</v>
      </c>
      <c r="EK45" s="29">
        <f>IF(OR($B45="",$A45&lt;3),"",--MID('Key Analysis'!$C41,3,1))</f>
        <v>1</v>
      </c>
      <c r="EL45" s="29">
        <f>IF(OR($B45="",$A45&lt;4),"",--MID('Key Analysis'!$C41,4,1))</f>
        <v>0</v>
      </c>
      <c r="EM45" s="29">
        <f>IF(OR($B45="",$A45&lt;5),"",--MID('Key Analysis'!$C41,5,1))</f>
        <v>1</v>
      </c>
      <c r="EN45" s="29">
        <f>IF(OR($B45="",$A45&lt;6),"",--MID('Key Analysis'!$C41,6,1))</f>
        <v>0</v>
      </c>
      <c r="EO45" s="29">
        <f>IF(OR($B45="",$A45&lt;7),"",--MID('Key Analysis'!$C41,7,1))</f>
        <v>0</v>
      </c>
      <c r="EP45" s="29">
        <f>IF(OR($B45="",$A45&lt;8),"",--MID('Key Analysis'!$C41,8,1))</f>
        <v>1</v>
      </c>
      <c r="EQ45" s="29">
        <f>IF(OR($B45="",$A45&lt;9),"",--MID('Key Analysis'!$C41,9,1))</f>
        <v>1</v>
      </c>
      <c r="ER45" s="29">
        <f>IF(OR($B45="",$A45&lt;10),"",--MID('Key Analysis'!$C41,10,1))</f>
        <v>0</v>
      </c>
      <c r="ES45" s="29">
        <f>IF(OR($B45="",$A45&lt;11),"",--MID('Key Analysis'!$C41,11,1))</f>
        <v>1</v>
      </c>
      <c r="ET45" s="29">
        <f>IF(OR($B45="",$A45&lt;12),"",--MID('Key Analysis'!$C41,12,1))</f>
        <v>0</v>
      </c>
      <c r="EU45" s="29">
        <f>IF(OR($B45="",$A45&lt;13),"",--MID('Key Analysis'!$C41,13,1))</f>
        <v>1</v>
      </c>
      <c r="EV45" s="29">
        <f>IF(OR($B45="",$A45&lt;14),"",--MID('Key Analysis'!$C41,14,1))</f>
        <v>1</v>
      </c>
      <c r="EW45" s="29">
        <f>IF(OR($B45="",$A45&lt;15),"",--MID('Key Analysis'!$C41,15,1))</f>
        <v>1</v>
      </c>
      <c r="EX45" s="29">
        <f>IF(OR($B45="",$A45&lt;16),"",--MID('Key Analysis'!$C41,16,1))</f>
        <v>0</v>
      </c>
      <c r="EY45" s="29">
        <f>IF(OR($B45="",$A45&lt;17),"",--MID('Key Analysis'!$C41,17,1))</f>
        <v>0</v>
      </c>
      <c r="EZ45" s="29">
        <f>IF(OR($B45="",$A45&lt;18),"",--MID('Key Analysis'!$C41,18,1))</f>
        <v>1</v>
      </c>
      <c r="FA45" s="29">
        <f>IF(OR($B45="",$A45&lt;19),"",--MID('Key Analysis'!$C41,19,1))</f>
        <v>0</v>
      </c>
      <c r="FB45" s="29">
        <f>IF(OR($B45="",$A45&lt;20),"",--MID('Key Analysis'!$C41,20,1))</f>
        <v>0</v>
      </c>
      <c r="FC45" s="29">
        <f>IF(OR($B45="",$A45&lt;21),"",--MID('Key Analysis'!$C41,21,1))</f>
        <v>1</v>
      </c>
      <c r="FD45" s="29">
        <f>IF(OR($B45="",$A45&lt;22),"",--MID('Key Analysis'!$C41,22,1))</f>
        <v>0</v>
      </c>
      <c r="FE45" s="29">
        <f>IF(OR($B45="",$A45&lt;23),"",--MID('Key Analysis'!$C41,23,1))</f>
        <v>0</v>
      </c>
      <c r="FF45" s="29">
        <f>IF(OR($B45="",$A45&lt;24),"",--MID('Key Analysis'!$C41,24,1))</f>
        <v>1</v>
      </c>
      <c r="FG45" s="29">
        <f>IF(OR($B45="",$A45&lt;25),"",--MID('Key Analysis'!$C41,25,1))</f>
        <v>0</v>
      </c>
      <c r="FH45" s="29">
        <f>IF(OR($B45="",$A45&lt;26),"",--MID('Key Analysis'!$C41,26,1))</f>
        <v>0</v>
      </c>
      <c r="FI45" s="29">
        <f>IF(OR($B45="",$A45&lt;27),"",--MID('Key Analysis'!$C41,27,1))</f>
        <v>1</v>
      </c>
      <c r="FJ45" s="29">
        <f>IF(OR($B45="",$A45&lt;28),"",--MID('Key Analysis'!$C41,28,1))</f>
        <v>1</v>
      </c>
      <c r="FK45" s="29">
        <f>IF(OR($B45="",$A45&lt;29),"",--MID('Key Analysis'!$C41,29,1))</f>
        <v>0</v>
      </c>
      <c r="FL45" s="29">
        <f>IF(OR($B45="",$A45&lt;30),"",--MID('Key Analysis'!$C41,30,1))</f>
        <v>0</v>
      </c>
      <c r="FM45" s="29">
        <f>IF(OR($B45="",$A45&lt;31),"",--MID('Key Analysis'!$C41,31,1))</f>
        <v>1</v>
      </c>
      <c r="FN45" s="29">
        <f>IF(OR($B45="",$A45&lt;32),"",--MID('Key Analysis'!$C41,32,1))</f>
        <v>1</v>
      </c>
      <c r="FO45" s="29">
        <f>IF(OR($B45="",$A45&lt;33),"",--MID('Key Analysis'!$C41,33,1))</f>
        <v>1</v>
      </c>
      <c r="FP45" s="29">
        <f>IF(OR($B45="",$A45&lt;34),"",--MID('Key Analysis'!$C41,34,1))</f>
        <v>1</v>
      </c>
      <c r="FQ45" s="29">
        <f>IF(OR($B45="",$A45&lt;35),"",--MID('Key Analysis'!$C41,35,1))</f>
        <v>0</v>
      </c>
      <c r="FR45" s="29">
        <f>IF(OR($B45="",$A45&lt;36),"",--MID('Key Analysis'!$C41,36,1))</f>
        <v>1</v>
      </c>
      <c r="FS45" s="29">
        <f>IF(OR($B45="",$A45&lt;37),"",--MID('Key Analysis'!$C41,37,1))</f>
        <v>0</v>
      </c>
      <c r="FT45" s="29">
        <f>IF(OR($B45="",$A45&lt;38),"",--MID('Key Analysis'!$C41,38,1))</f>
        <v>1</v>
      </c>
      <c r="FU45" s="29">
        <f>IF(OR($B45="",$A45&lt;39),"",--MID('Key Analysis'!$C41,39,1))</f>
        <v>1</v>
      </c>
      <c r="FV45" s="29">
        <f>IF(OR($B45="",$A45&lt;40),"",--MID('Key Analysis'!$C41,40,1))</f>
        <v>0</v>
      </c>
      <c r="FW45" s="29" t="str">
        <f>IF(OR($B45="",$A45&lt;41),"",--MID('Key Analysis'!$C41,41,1))</f>
        <v/>
      </c>
      <c r="FX45" s="29" t="str">
        <f>IF(OR($B45="",$A45&lt;42),"",--MID('Key Analysis'!$C41,42,1))</f>
        <v/>
      </c>
      <c r="FY45" s="29" t="str">
        <f>IF(OR($B45="",$A45&lt;43),"",--MID('Key Analysis'!$C41,43,1))</f>
        <v/>
      </c>
      <c r="FZ45" s="29" t="str">
        <f>IF(OR($B45="",$A45&lt;44),"",--MID('Key Analysis'!$C41,44,1))</f>
        <v/>
      </c>
      <c r="GA45" s="29" t="str">
        <f>IF(OR($B45="",$A45&lt;45),"",--MID('Key Analysis'!$C41,45,1))</f>
        <v/>
      </c>
      <c r="GB45" s="29" t="str">
        <f>IF(OR($B45="",$A45&lt;46),"",--MID('Key Analysis'!$C41,46,1))</f>
        <v/>
      </c>
      <c r="GC45" s="29" t="str">
        <f>IF(OR($B45="",$A45&lt;47),"",--MID('Key Analysis'!$C41,47,1))</f>
        <v/>
      </c>
      <c r="GD45" s="29" t="str">
        <f>IF(OR($B45="",$A45&lt;48),"",--MID('Key Analysis'!$C41,48,1))</f>
        <v/>
      </c>
      <c r="GE45" s="29" t="str">
        <f>IF(OR($B45="",$A45&lt;49),"",--MID('Key Analysis'!$C41,49,1))</f>
        <v/>
      </c>
      <c r="GF45" s="29" t="str">
        <f>IF(OR($B45="",$A45&lt;50),"",--MID('Key Analysis'!$C41,50,1))</f>
        <v/>
      </c>
      <c r="GG45" s="29" t="str">
        <f>IF(OR($B45="",$A45&lt;51),"",--MID('Key Analysis'!$C41,51,1))</f>
        <v/>
      </c>
      <c r="GH45" s="29" t="str">
        <f>IF(OR($B45="",$A45&lt;52),"",--MID('Key Analysis'!$C41,52,1))</f>
        <v/>
      </c>
      <c r="GI45" s="29" t="str">
        <f>IF(OR($B45="",$A45&lt;53),"",--MID('Key Analysis'!$C41,53,1))</f>
        <v/>
      </c>
      <c r="GJ45" s="29" t="str">
        <f>IF(OR($B45="",$A45&lt;54),"",--MID('Key Analysis'!$C41,54,1))</f>
        <v/>
      </c>
      <c r="GK45" s="29" t="str">
        <f>IF(OR($B45="",$A45&lt;55),"",--MID('Key Analysis'!$C41,55,1))</f>
        <v/>
      </c>
      <c r="GL45" s="29" t="str">
        <f>IF(OR($B45="",$A45&lt;56),"",--MID('Key Analysis'!$C41,56,1))</f>
        <v/>
      </c>
      <c r="GM45" s="29" t="str">
        <f>IF(OR($B45="",$A45&lt;57),"",--MID('Key Analysis'!$C41,57,1))</f>
        <v/>
      </c>
      <c r="GN45" s="29" t="str">
        <f>IF(OR($B45="",$A45&lt;58),"",--MID('Key Analysis'!$C41,58,1))</f>
        <v/>
      </c>
      <c r="GO45" s="29" t="str">
        <f>IF(OR($B45="",$A45&lt;59),"",--MID('Key Analysis'!$C41,59,1))</f>
        <v/>
      </c>
      <c r="GP45" s="29" t="str">
        <f>IF(OR($B45="",$A45&lt;60),"",--MID('Key Analysis'!$C41,60,1))</f>
        <v/>
      </c>
      <c r="GQ45" s="29" t="str">
        <f>IF(OR($B45="",$A45&lt;61),"",--MID('Key Analysis'!$C41,61,1))</f>
        <v/>
      </c>
      <c r="GR45" s="29" t="str">
        <f>IF(OR($B45="",$A45&lt;62),"",--MID('Key Analysis'!$C41,62,1))</f>
        <v/>
      </c>
      <c r="GS45" s="29" t="str">
        <f>IF(OR($B45="",$A45&lt;63),"",--MID('Key Analysis'!$C41,63,1))</f>
        <v/>
      </c>
      <c r="GT45" s="29" t="str">
        <f>IF(OR($B45="",$A45&lt;64),"",--MID('Key Analysis'!$C41,64,1))</f>
        <v/>
      </c>
      <c r="GU45" s="29" t="str">
        <f>IF(OR($B45="",$A45&lt;65),"",--MID('Key Analysis'!$C41,65,1))</f>
        <v/>
      </c>
      <c r="GV45" s="29" t="str">
        <f>IF(OR($B45="",$A45&lt;66),"",--MID('Key Analysis'!$C41,66,1))</f>
        <v/>
      </c>
      <c r="GW45" s="29" t="str">
        <f>IF(OR($B45="",$A45&lt;67),"",--MID('Key Analysis'!$C41,67,1))</f>
        <v/>
      </c>
      <c r="GX45" s="29" t="str">
        <f>IF(OR($B45="",$A45&lt;68),"",--MID('Key Analysis'!$C41,68,1))</f>
        <v/>
      </c>
      <c r="GY45" s="29" t="str">
        <f>IF(OR($B45="",$A45&lt;69),"",--MID('Key Analysis'!$C41,69,1))</f>
        <v/>
      </c>
      <c r="GZ45" s="29" t="str">
        <f>IF(OR($B45="",$A45&lt;70),"",--MID('Key Analysis'!$C41,70,1))</f>
        <v/>
      </c>
      <c r="HA45" s="29" t="str">
        <f>IF(OR($B45="",$A45&lt;71),"",--MID('Key Analysis'!$C41,71,1))</f>
        <v/>
      </c>
      <c r="HB45" s="29" t="str">
        <f>IF(OR($B45="",$A45&lt;72),"",--MID('Key Analysis'!$C41,72,1))</f>
        <v/>
      </c>
      <c r="HC45" s="29" t="str">
        <f>IF(OR($B45="",$A45&lt;73),"",--MID('Key Analysis'!$C41,73,1))</f>
        <v/>
      </c>
      <c r="HD45" s="29" t="str">
        <f>IF(OR($B45="",$A45&lt;74),"",--MID('Key Analysis'!$C41,74,1))</f>
        <v/>
      </c>
      <c r="HE45" s="29" t="str">
        <f>IF(OR($B45="",$A45&lt;75),"",--MID('Key Analysis'!$C41,75,1))</f>
        <v/>
      </c>
      <c r="HF45" s="29" t="str">
        <f>IF(OR($B45="",$A45&lt;76),"",--MID('Key Analysis'!$C41,76,1))</f>
        <v/>
      </c>
      <c r="HG45" s="29" t="str">
        <f>IF(OR($B45="",$A45&lt;77),"",--MID('Key Analysis'!$C41,77,1))</f>
        <v/>
      </c>
      <c r="HH45" s="29" t="str">
        <f>IF(OR($B45="",$A45&lt;78),"",--MID('Key Analysis'!$C41,78,1))</f>
        <v/>
      </c>
      <c r="HI45" s="29" t="str">
        <f>IF(OR($B45="",$A45&lt;79),"",--MID('Key Analysis'!$C41,79,1))</f>
        <v/>
      </c>
      <c r="HJ45" s="29" t="str">
        <f>IF(OR($B45="",$A45&lt;80),"",--MID('Key Analysis'!$C41,80,1))</f>
        <v/>
      </c>
      <c r="HK45" s="29" t="str">
        <f>IF(OR($B45="",$A45&lt;81),"",--MID('Key Analysis'!$C41,81,1))</f>
        <v/>
      </c>
      <c r="HL45" s="29" t="str">
        <f>IF(OR($B45="",$A45&lt;82),"",--MID('Key Analysis'!$C41,82,1))</f>
        <v/>
      </c>
      <c r="HM45" s="29" t="str">
        <f>IF(OR($B45="",$A45&lt;83),"",--MID('Key Analysis'!$C41,83,1))</f>
        <v/>
      </c>
      <c r="HN45" s="29" t="str">
        <f>IF(OR($B45="",$A45&lt;84),"",--MID('Key Analysis'!$C41,84,1))</f>
        <v/>
      </c>
      <c r="HO45" s="29" t="str">
        <f>IF(OR($B45="",$A45&lt;85),"",--MID('Key Analysis'!$C41,85,1))</f>
        <v/>
      </c>
      <c r="HP45" s="29" t="str">
        <f>IF(OR($B45="",$A45&lt;86),"",--MID('Key Analysis'!$C41,86,1))</f>
        <v/>
      </c>
      <c r="HQ45" s="29" t="str">
        <f>IF(OR($B45="",$A45&lt;87),"",--MID('Key Analysis'!$C41,87,1))</f>
        <v/>
      </c>
      <c r="HR45" s="29" t="str">
        <f>IF(OR($B45="",$A45&lt;88),"",--MID('Key Analysis'!$C41,88,1))</f>
        <v/>
      </c>
      <c r="HS45" s="29" t="str">
        <f>IF(OR($B45="",$A45&lt;89),"",--MID('Key Analysis'!$C41,89,1))</f>
        <v/>
      </c>
      <c r="HT45" s="29" t="str">
        <f>IF(OR($B45="",$A45&lt;90),"",--MID('Key Analysis'!$C41,90,1))</f>
        <v/>
      </c>
      <c r="HU45" s="29" t="str">
        <f>IF(OR($B45="",$A45&lt;91),"",--MID('Key Analysis'!$C41,91,1))</f>
        <v/>
      </c>
      <c r="HV45" s="29" t="str">
        <f>IF(OR($B45="",$A45&lt;92),"",--MID('Key Analysis'!$C41,92,1))</f>
        <v/>
      </c>
      <c r="HW45" s="29" t="str">
        <f>IF(OR($B45="",$A45&lt;93),"",--MID('Key Analysis'!$C41,93,1))</f>
        <v/>
      </c>
      <c r="HX45" s="29" t="str">
        <f>IF(OR($B45="",$A45&lt;94),"",--MID('Key Analysis'!$C41,94,1))</f>
        <v/>
      </c>
      <c r="HY45" s="29" t="str">
        <f>IF(OR($B45="",$A45&lt;95),"",--MID('Key Analysis'!$C41,95,1))</f>
        <v/>
      </c>
      <c r="HZ45" s="29" t="str">
        <f>IF(OR($B45="",$A45&lt;96),"",--MID('Key Analysis'!$C41,96,1))</f>
        <v/>
      </c>
      <c r="IA45" s="29" t="str">
        <f>IF(OR($B45="",$A45&lt;97),"",--MID('Key Analysis'!$C41,97,1))</f>
        <v/>
      </c>
      <c r="IB45" s="29" t="str">
        <f>IF(OR($B45="",$A45&lt;98),"",--MID('Key Analysis'!$C41,98,1))</f>
        <v/>
      </c>
      <c r="IC45" s="29" t="str">
        <f>IF(OR($B45="",$A45&lt;99),"",--MID('Key Analysis'!$C41,99,1))</f>
        <v/>
      </c>
      <c r="ID45" s="29" t="str">
        <f>IF(OR($B45="",$A45&lt;100),"",--MID('Key Analysis'!$C41,100,1))</f>
        <v/>
      </c>
      <c r="IE45" s="29" t="str">
        <f>IF(OR($B45="",$A45&lt;101),"",--MID('Key Analysis'!$C41,101,1))</f>
        <v/>
      </c>
      <c r="IF45" s="29" t="str">
        <f>IF(OR($B45="",$A45&lt;102),"",--MID('Key Analysis'!$C41,102,1))</f>
        <v/>
      </c>
      <c r="IG45" s="29" t="str">
        <f>IF(OR($B45="",$A45&lt;103),"",--MID('Key Analysis'!$C41,103,1))</f>
        <v/>
      </c>
      <c r="IH45" s="29" t="str">
        <f>IF(OR($B45="",$A45&lt;104),"",--MID('Key Analysis'!$C41,104,1))</f>
        <v/>
      </c>
      <c r="II45" s="29" t="str">
        <f>IF(OR($B45="",$A45&lt;105),"",--MID('Key Analysis'!$C41,105,1))</f>
        <v/>
      </c>
      <c r="IJ45" s="29" t="str">
        <f>IF(OR($B45="",$A45&lt;106),"",--MID('Key Analysis'!$C41,106,1))</f>
        <v/>
      </c>
      <c r="IK45" s="29" t="str">
        <f>IF(OR($B45="",$A45&lt;107),"",--MID('Key Analysis'!$C41,107,1))</f>
        <v/>
      </c>
      <c r="IL45" s="29" t="str">
        <f>IF(OR($B45="",$A45&lt;108),"",--MID('Key Analysis'!$C41,108,1))</f>
        <v/>
      </c>
      <c r="IM45" s="29" t="str">
        <f>IF(OR($B45="",$A45&lt;109),"",--MID('Key Analysis'!$C41,109,1))</f>
        <v/>
      </c>
      <c r="IN45" s="29" t="str">
        <f>IF(OR($B45="",$A45&lt;110),"",--MID('Key Analysis'!$C41,110,1))</f>
        <v/>
      </c>
      <c r="IO45" s="29" t="str">
        <f>IF(OR($B45="",$A45&lt;111),"",--MID('Key Analysis'!$C41,111,1))</f>
        <v/>
      </c>
      <c r="IP45" s="29" t="str">
        <f>IF(OR($B45="",$A45&lt;112),"",--MID('Key Analysis'!$C41,112,1))</f>
        <v/>
      </c>
      <c r="IQ45" s="29" t="str">
        <f>IF(OR($B45="",$A45&lt;113),"",--MID('Key Analysis'!$C41,113,1))</f>
        <v/>
      </c>
      <c r="IR45" s="29" t="str">
        <f>IF(OR($B45="",$A45&lt;114),"",--MID('Key Analysis'!$C41,114,1))</f>
        <v/>
      </c>
      <c r="IS45" s="29" t="str">
        <f>IF(OR($B45="",$A45&lt;115),"",--MID('Key Analysis'!$C41,115,1))</f>
        <v/>
      </c>
      <c r="IT45" s="29" t="str">
        <f>IF(OR($B45="",$A45&lt;116),"",--MID('Key Analysis'!$C41,116,1))</f>
        <v/>
      </c>
      <c r="IU45" s="29" t="str">
        <f>IF(OR($B45="",$A45&lt;117),"",--MID('Key Analysis'!$C41,117,1))</f>
        <v/>
      </c>
      <c r="IV45" s="29" t="str">
        <f>IF(OR($B45="",$A45&lt;118),"",--MID('Key Analysis'!$C41,118,1))</f>
        <v/>
      </c>
      <c r="IW45" s="29" t="str">
        <f>IF(OR($B45="",$A45&lt;119),"",--MID('Key Analysis'!$C41,119,1))</f>
        <v/>
      </c>
      <c r="IX45" s="29" t="str">
        <f>IF(OR($B45="",$A45&lt;120),"",--MID('Key Analysis'!$C41,120,1))</f>
        <v/>
      </c>
      <c r="IY45" s="29" t="str">
        <f>IF(OR($B45="",$A45&lt;121),"",--MID('Key Analysis'!$C41,121,1))</f>
        <v/>
      </c>
      <c r="IZ45" s="29" t="str">
        <f>IF(OR($B45="",$A45&lt;122),"",--MID('Key Analysis'!$C41,122,1))</f>
        <v/>
      </c>
      <c r="JA45" s="29" t="str">
        <f>IF(OR($B45="",$A45&lt;123),"",--MID('Key Analysis'!$C41,123,1))</f>
        <v/>
      </c>
      <c r="JB45" s="29" t="str">
        <f>IF(OR($B45="",$A45&lt;124),"",--MID('Key Analysis'!$C41,124,1))</f>
        <v/>
      </c>
      <c r="JC45" s="29" t="str">
        <f>IF(OR($B45="",$A45&lt;125),"",--MID('Key Analysis'!$C41,125,1))</f>
        <v/>
      </c>
      <c r="JD45" s="29" t="str">
        <f>IF(OR($B45="",$A45&lt;126),"",--MID('Key Analysis'!$C41,126,1))</f>
        <v/>
      </c>
      <c r="JE45" s="29" t="str">
        <f>IF(OR($B45="",$A45&lt;127),"",--MID('Key Analysis'!$C41,127,1))</f>
        <v/>
      </c>
      <c r="JF45" s="29" t="str">
        <f>IF(OR($B45="",$A45&lt;128),"",--MID('Key Analysis'!$C41,128,1))</f>
        <v/>
      </c>
      <c r="JG45" s="29" t="str">
        <f>IF(OR($B45="",$A45&lt;129),"",--MID('Key Analysis'!$C41,129,1))</f>
        <v/>
      </c>
      <c r="JH45" s="29" t="str">
        <f>IF(OR($B45="",$A45&lt;130),"",--MID('Key Analysis'!$C41,130,1))</f>
        <v/>
      </c>
      <c r="JI45" s="29" t="str">
        <f>IF(OR($B45="",$A45&lt;131),"",--MID('Key Analysis'!$C41,131,1))</f>
        <v/>
      </c>
      <c r="JJ45" s="29" t="str">
        <f>IF(OR($B45="",$A45&lt;132),"",--MID('Key Analysis'!$C41,132,1))</f>
        <v/>
      </c>
      <c r="JK45" s="29" t="str">
        <f>IF(OR($B45="",$A45&lt;133),"",--MID('Key Analysis'!$C41,133,1))</f>
        <v/>
      </c>
      <c r="JL45" s="29" t="str">
        <f>IF(OR($B45="",$A45&lt;134),"",--MID('Key Analysis'!$C41,134,1))</f>
        <v/>
      </c>
      <c r="JM45" s="29" t="str">
        <f>IF(OR($B45="",$A45&lt;135),"",--MID('Key Analysis'!$C41,135,1))</f>
        <v/>
      </c>
    </row>
    <row r="46" spans="1:273" x14ac:dyDescent="0.25">
      <c r="A46" s="21">
        <f>'Key Analysis'!A42</f>
        <v>41</v>
      </c>
      <c r="B46" s="30" t="str">
        <f>'Key Analysis'!B42</f>
        <v>153869acc5b</v>
      </c>
      <c r="C46" s="29">
        <f>IF(OR($B46="",$A46&lt;=0),"",--MID('Key Analysis'!$C42,$A46-0,1))</f>
        <v>1</v>
      </c>
      <c r="D46" s="29">
        <f>IF(OR($B46="",$A46&lt;=1),"",--MID('Key Analysis'!$C42,$A46-1,1))</f>
        <v>1</v>
      </c>
      <c r="E46" s="29">
        <f>IF(OR($B46="",$A46&lt;=2),"",--MID('Key Analysis'!$C42,$A46-2,1))</f>
        <v>0</v>
      </c>
      <c r="F46" s="29">
        <f>IF(OR($B46="",$A46&lt;=3),"",--MID('Key Analysis'!$C42,$A46-3,1))</f>
        <v>1</v>
      </c>
      <c r="G46" s="29">
        <f>IF(OR($B46="",$A46&lt;=4),"",--MID('Key Analysis'!$C42,$A46-4,1))</f>
        <v>1</v>
      </c>
      <c r="H46" s="29">
        <f>IF(OR($B46="",$A46&lt;=5),"",--MID('Key Analysis'!$C42,$A46-5,1))</f>
        <v>0</v>
      </c>
      <c r="I46" s="29">
        <f>IF(OR($B46="",$A46&lt;=6),"",--MID('Key Analysis'!$C42,$A46-6,1))</f>
        <v>1</v>
      </c>
      <c r="J46" s="29">
        <f>IF(OR($B46="",$A46&lt;=7),"",--MID('Key Analysis'!$C42,$A46-7,1))</f>
        <v>0</v>
      </c>
      <c r="K46" s="29">
        <f>IF(OR($B46="",$A46&lt;=8),"",--MID('Key Analysis'!$C42,$A46-8,1))</f>
        <v>0</v>
      </c>
      <c r="L46" s="29">
        <f>IF(OR($B46="",$A46&lt;=9),"",--MID('Key Analysis'!$C42,$A46-9,1))</f>
        <v>0</v>
      </c>
      <c r="M46" s="29">
        <f>IF(OR($B46="",$A46&lt;=10),"",--MID('Key Analysis'!$C42,$A46-10,1))</f>
        <v>1</v>
      </c>
      <c r="N46" s="29">
        <f>IF(OR($B46="",$A46&lt;=11),"",--MID('Key Analysis'!$C42,$A46-11,1))</f>
        <v>1</v>
      </c>
      <c r="O46" s="29">
        <f>IF(OR($B46="",$A46&lt;=12),"",--MID('Key Analysis'!$C42,$A46-12,1))</f>
        <v>0</v>
      </c>
      <c r="P46" s="29">
        <f>IF(OR($B46="",$A46&lt;=13),"",--MID('Key Analysis'!$C42,$A46-13,1))</f>
        <v>0</v>
      </c>
      <c r="Q46" s="29">
        <f>IF(OR($B46="",$A46&lt;=14),"",--MID('Key Analysis'!$C42,$A46-14,1))</f>
        <v>1</v>
      </c>
      <c r="R46" s="29">
        <f>IF(OR($B46="",$A46&lt;=15),"",--MID('Key Analysis'!$C42,$A46-15,1))</f>
        <v>1</v>
      </c>
      <c r="S46" s="29">
        <f>IF(OR($B46="",$A46&lt;=16),"",--MID('Key Analysis'!$C42,$A46-16,1))</f>
        <v>0</v>
      </c>
      <c r="T46" s="29">
        <f>IF(OR($B46="",$A46&lt;=17),"",--MID('Key Analysis'!$C42,$A46-17,1))</f>
        <v>1</v>
      </c>
      <c r="U46" s="29">
        <f>IF(OR($B46="",$A46&lt;=18),"",--MID('Key Analysis'!$C42,$A46-18,1))</f>
        <v>0</v>
      </c>
      <c r="V46" s="29">
        <f>IF(OR($B46="",$A46&lt;=19),"",--MID('Key Analysis'!$C42,$A46-19,1))</f>
        <v>1</v>
      </c>
      <c r="W46" s="29">
        <f>IF(OR($B46="",$A46&lt;=20),"",--MID('Key Analysis'!$C42,$A46-20,1))</f>
        <v>1</v>
      </c>
      <c r="X46" s="29">
        <f>IF(OR($B46="",$A46&lt;=21),"",--MID('Key Analysis'!$C42,$A46-21,1))</f>
        <v>0</v>
      </c>
      <c r="Y46" s="29">
        <f>IF(OR($B46="",$A46&lt;=22),"",--MID('Key Analysis'!$C42,$A46-22,1))</f>
        <v>0</v>
      </c>
      <c r="Z46" s="29">
        <f>IF(OR($B46="",$A46&lt;=23),"",--MID('Key Analysis'!$C42,$A46-23,1))</f>
        <v>1</v>
      </c>
      <c r="AA46" s="29">
        <f>IF(OR($B46="",$A46&lt;=24),"",--MID('Key Analysis'!$C42,$A46-24,1))</f>
        <v>0</v>
      </c>
      <c r="AB46" s="29">
        <f>IF(OR($B46="",$A46&lt;=25),"",--MID('Key Analysis'!$C42,$A46-25,1))</f>
        <v>1</v>
      </c>
      <c r="AC46" s="29">
        <f>IF(OR($B46="",$A46&lt;=26),"",--MID('Key Analysis'!$C42,$A46-26,1))</f>
        <v>1</v>
      </c>
      <c r="AD46" s="29">
        <f>IF(OR($B46="",$A46&lt;=27),"",--MID('Key Analysis'!$C42,$A46-27,1))</f>
        <v>0</v>
      </c>
      <c r="AE46" s="29">
        <f>IF(OR($B46="",$A46&lt;=28),"",--MID('Key Analysis'!$C42,$A46-28,1))</f>
        <v>0</v>
      </c>
      <c r="AF46" s="29">
        <f>IF(OR($B46="",$A46&lt;=29),"",--MID('Key Analysis'!$C42,$A46-29,1))</f>
        <v>0</v>
      </c>
      <c r="AG46" s="29">
        <f>IF(OR($B46="",$A46&lt;=30),"",--MID('Key Analysis'!$C42,$A46-30,1))</f>
        <v>0</v>
      </c>
      <c r="AH46" s="29">
        <f>IF(OR($B46="",$A46&lt;=31),"",--MID('Key Analysis'!$C42,$A46-31,1))</f>
        <v>1</v>
      </c>
      <c r="AI46" s="29">
        <f>IF(OR($B46="",$A46&lt;=32),"",--MID('Key Analysis'!$C42,$A46-32,1))</f>
        <v>1</v>
      </c>
      <c r="AJ46" s="29">
        <f>IF(OR($B46="",$A46&lt;=33),"",--MID('Key Analysis'!$C42,$A46-33,1))</f>
        <v>1</v>
      </c>
      <c r="AK46" s="29">
        <f>IF(OR($B46="",$A46&lt;=34),"",--MID('Key Analysis'!$C42,$A46-34,1))</f>
        <v>0</v>
      </c>
      <c r="AL46" s="29">
        <f>IF(OR($B46="",$A46&lt;=35),"",--MID('Key Analysis'!$C42,$A46-35,1))</f>
        <v>0</v>
      </c>
      <c r="AM46" s="29">
        <f>IF(OR($B46="",$A46&lt;=36),"",--MID('Key Analysis'!$C42,$A46-36,1))</f>
        <v>1</v>
      </c>
      <c r="AN46" s="29">
        <f>IF(OR($B46="",$A46&lt;=37),"",--MID('Key Analysis'!$C42,$A46-37,1))</f>
        <v>0</v>
      </c>
      <c r="AO46" s="29">
        <f>IF(OR($B46="",$A46&lt;=38),"",--MID('Key Analysis'!$C42,$A46-38,1))</f>
        <v>1</v>
      </c>
      <c r="AP46" s="29">
        <f>IF(OR($B46="",$A46&lt;=39),"",--MID('Key Analysis'!$C42,$A46-39,1))</f>
        <v>0</v>
      </c>
      <c r="AQ46" s="29">
        <f>IF(OR($B46="",$A46&lt;=40),"",--MID('Key Analysis'!$C42,$A46-40,1))</f>
        <v>1</v>
      </c>
      <c r="AR46" s="29" t="str">
        <f>IF(OR($B46="",$A46&lt;=41),"",--MID('Key Analysis'!$C42,$A46-41,1))</f>
        <v/>
      </c>
      <c r="AS46" s="29" t="str">
        <f>IF(OR($B46="",$A46&lt;=42),"",--MID('Key Analysis'!$C42,$A46-42,1))</f>
        <v/>
      </c>
      <c r="AT46" s="29" t="str">
        <f>IF(OR($B46="",$A46&lt;=43),"",--MID('Key Analysis'!$C42,$A46-43,1))</f>
        <v/>
      </c>
      <c r="AU46" s="29" t="str">
        <f>IF(OR($B46="",$A46&lt;=44),"",--MID('Key Analysis'!$C42,$A46-44,1))</f>
        <v/>
      </c>
      <c r="AV46" s="29" t="str">
        <f>IF(OR($B46="",$A46&lt;=45),"",--MID('Key Analysis'!$C42,$A46-45,1))</f>
        <v/>
      </c>
      <c r="AW46" s="29" t="str">
        <f>IF(OR($B46="",$A46&lt;=46),"",--MID('Key Analysis'!$C42,$A46-46,1))</f>
        <v/>
      </c>
      <c r="AX46" s="29" t="str">
        <f>IF(OR($B46="",$A46&lt;=47),"",--MID('Key Analysis'!$C42,$A46-47,1))</f>
        <v/>
      </c>
      <c r="AY46" s="29" t="str">
        <f>IF(OR($B46="",$A46&lt;=48),"",--MID('Key Analysis'!$C42,$A46-48,1))</f>
        <v/>
      </c>
      <c r="AZ46" s="29" t="str">
        <f>IF(OR($B46="",$A46&lt;=49),"",--MID('Key Analysis'!$C42,$A46-49,1))</f>
        <v/>
      </c>
      <c r="BA46" s="29" t="str">
        <f>IF(OR($B46="",$A46&lt;=50),"",--MID('Key Analysis'!$C42,$A46-50,1))</f>
        <v/>
      </c>
      <c r="BB46" s="29" t="str">
        <f>IF(OR($B46="",$A46&lt;=51),"",--MID('Key Analysis'!$C42,$A46-51,1))</f>
        <v/>
      </c>
      <c r="BC46" s="29" t="str">
        <f>IF(OR($B46="",$A46&lt;=52),"",--MID('Key Analysis'!$C42,$A46-52,1))</f>
        <v/>
      </c>
      <c r="BD46" s="29" t="str">
        <f>IF(OR($B46="",$A46&lt;=53),"",--MID('Key Analysis'!$C42,$A46-53,1))</f>
        <v/>
      </c>
      <c r="BE46" s="29" t="str">
        <f>IF(OR($B46="",$A46&lt;=54),"",--MID('Key Analysis'!$C42,$A46-54,1))</f>
        <v/>
      </c>
      <c r="BF46" s="29" t="str">
        <f>IF(OR($B46="",$A46&lt;=55),"",--MID('Key Analysis'!$C42,$A46-55,1))</f>
        <v/>
      </c>
      <c r="BG46" s="29" t="str">
        <f>IF(OR($B46="",$A46&lt;=56),"",--MID('Key Analysis'!$C42,$A46-56,1))</f>
        <v/>
      </c>
      <c r="BH46" s="29" t="str">
        <f>IF(OR($B46="",$A46&lt;=57),"",--MID('Key Analysis'!$C42,$A46-57,1))</f>
        <v/>
      </c>
      <c r="BI46" s="29" t="str">
        <f>IF(OR($B46="",$A46&lt;=58),"",--MID('Key Analysis'!$C42,$A46-58,1))</f>
        <v/>
      </c>
      <c r="BJ46" s="29" t="str">
        <f>IF(OR($B46="",$A46&lt;=59),"",--MID('Key Analysis'!$C42,$A46-59,1))</f>
        <v/>
      </c>
      <c r="BK46" s="29" t="str">
        <f>IF(OR($B46="",$A46&lt;=60),"",--MID('Key Analysis'!$C42,$A46-60,1))</f>
        <v/>
      </c>
      <c r="BL46" s="29" t="str">
        <f>IF(OR($B46="",$A46&lt;=61),"",--MID('Key Analysis'!$C42,$A46-61,1))</f>
        <v/>
      </c>
      <c r="BM46" s="29" t="str">
        <f>IF(OR($B46="",$A46&lt;=62),"",--MID('Key Analysis'!$C42,$A46-62,1))</f>
        <v/>
      </c>
      <c r="BN46" s="29" t="str">
        <f>IF(OR($B46="",$A46&lt;=63),"",--MID('Key Analysis'!$C42,$A46-63,1))</f>
        <v/>
      </c>
      <c r="BO46" s="29" t="str">
        <f>IF(OR($B46="",$A46&lt;=64),"",--MID('Key Analysis'!$C42,$A46-64,1))</f>
        <v/>
      </c>
      <c r="BP46" s="29" t="str">
        <f>IF(OR($B46="",$A46&lt;=65),"",--MID('Key Analysis'!$C42,$A46-65,1))</f>
        <v/>
      </c>
      <c r="BQ46" s="29" t="str">
        <f>IF(OR($B46="",$A46&lt;=66),"",--MID('Key Analysis'!$C42,$A46-66,1))</f>
        <v/>
      </c>
      <c r="BR46" s="29" t="str">
        <f>IF(OR($B46="",$A46&lt;=67),"",--MID('Key Analysis'!$C42,$A46-67,1))</f>
        <v/>
      </c>
      <c r="BS46" s="29" t="str">
        <f>IF(OR($B46="",$A46&lt;=68),"",--MID('Key Analysis'!$C42,$A46-68,1))</f>
        <v/>
      </c>
      <c r="BT46" s="29" t="str">
        <f>IF(OR($B46="",$A46&lt;=69),"",--MID('Key Analysis'!$C42,$A46-69,1))</f>
        <v/>
      </c>
      <c r="BU46" s="29" t="str">
        <f>IF(OR($B46="",$A46&lt;=70),"",--MID('Key Analysis'!$C42,$A46-70,1))</f>
        <v/>
      </c>
      <c r="BV46" s="29" t="str">
        <f>IF(OR($B46="",$A46&lt;=71),"",--MID('Key Analysis'!$C42,$A46-71,1))</f>
        <v/>
      </c>
      <c r="BW46" s="29" t="str">
        <f>IF(OR($B46="",$A46&lt;=72),"",--MID('Key Analysis'!$C42,$A46-72,1))</f>
        <v/>
      </c>
      <c r="BX46" s="29" t="str">
        <f>IF(OR($B46="",$A46&lt;=73),"",--MID('Key Analysis'!$C42,$A46-73,1))</f>
        <v/>
      </c>
      <c r="BY46" s="29" t="str">
        <f>IF(OR($B46="",$A46&lt;=74),"",--MID('Key Analysis'!$C42,$A46-74,1))</f>
        <v/>
      </c>
      <c r="BZ46" s="29" t="str">
        <f>IF(OR($B46="",$A46&lt;=75),"",--MID('Key Analysis'!$C42,$A46-75,1))</f>
        <v/>
      </c>
      <c r="CA46" s="29" t="str">
        <f>IF(OR($B46="",$A46&lt;=76),"",--MID('Key Analysis'!$C42,$A46-76,1))</f>
        <v/>
      </c>
      <c r="CB46" s="29" t="str">
        <f>IF(OR($B46="",$A46&lt;=77),"",--MID('Key Analysis'!$C42,$A46-77,1))</f>
        <v/>
      </c>
      <c r="CC46" s="29" t="str">
        <f>IF(OR($B46="",$A46&lt;=78),"",--MID('Key Analysis'!$C42,$A46-78,1))</f>
        <v/>
      </c>
      <c r="CD46" s="29" t="str">
        <f>IF(OR($B46="",$A46&lt;=79),"",--MID('Key Analysis'!$C42,$A46-79,1))</f>
        <v/>
      </c>
      <c r="CE46" s="29" t="str">
        <f>IF(OR($B46="",$A46&lt;=80),"",--MID('Key Analysis'!$C42,$A46-80,1))</f>
        <v/>
      </c>
      <c r="CF46" s="29" t="str">
        <f>IF(OR($B46="",$A46&lt;=81),"",--MID('Key Analysis'!$C42,$A46-81,1))</f>
        <v/>
      </c>
      <c r="CG46" s="29" t="str">
        <f>IF(OR($B46="",$A46&lt;=82),"",--MID('Key Analysis'!$C42,$A46-82,1))</f>
        <v/>
      </c>
      <c r="CH46" s="29" t="str">
        <f>IF(OR($B46="",$A46&lt;=83),"",--MID('Key Analysis'!$C42,$A46-83,1))</f>
        <v/>
      </c>
      <c r="CI46" s="29" t="str">
        <f>IF(OR($B46="",$A46&lt;=84),"",--MID('Key Analysis'!$C42,$A46-84,1))</f>
        <v/>
      </c>
      <c r="CJ46" s="29" t="str">
        <f>IF(OR($B46="",$A46&lt;=85),"",--MID('Key Analysis'!$C42,$A46-85,1))</f>
        <v/>
      </c>
      <c r="CK46" s="29" t="str">
        <f>IF(OR($B46="",$A46&lt;=86),"",--MID('Key Analysis'!$C42,$A46-86,1))</f>
        <v/>
      </c>
      <c r="CL46" s="29" t="str">
        <f>IF(OR($B46="",$A46&lt;=87),"",--MID('Key Analysis'!$C42,$A46-87,1))</f>
        <v/>
      </c>
      <c r="CM46" s="29" t="str">
        <f>IF(OR($B46="",$A46&lt;=88),"",--MID('Key Analysis'!$C42,$A46-88,1))</f>
        <v/>
      </c>
      <c r="CN46" s="29" t="str">
        <f>IF(OR($B46="",$A46&lt;=89),"",--MID('Key Analysis'!$C42,$A46-89,1))</f>
        <v/>
      </c>
      <c r="CO46" s="29" t="str">
        <f>IF(OR($B46="",$A46&lt;=90),"",--MID('Key Analysis'!$C42,$A46-90,1))</f>
        <v/>
      </c>
      <c r="CP46" s="29" t="str">
        <f>IF(OR($B46="",$A46&lt;=91),"",--MID('Key Analysis'!$C42,$A46-91,1))</f>
        <v/>
      </c>
      <c r="CQ46" s="29" t="str">
        <f>IF(OR($B46="",$A46&lt;=92),"",--MID('Key Analysis'!$C42,$A46-92,1))</f>
        <v/>
      </c>
      <c r="CR46" s="29" t="str">
        <f>IF(OR($B46="",$A46&lt;=93),"",--MID('Key Analysis'!$C42,$A46-93,1))</f>
        <v/>
      </c>
      <c r="CS46" s="29" t="str">
        <f>IF(OR($B46="",$A46&lt;=94),"",--MID('Key Analysis'!$C42,$A46-94,1))</f>
        <v/>
      </c>
      <c r="CT46" s="29" t="str">
        <f>IF(OR($B46="",$A46&lt;=95),"",--MID('Key Analysis'!$C42,$A46-95,1))</f>
        <v/>
      </c>
      <c r="CU46" s="29" t="str">
        <f>IF(OR($B46="",$A46&lt;=96),"",--MID('Key Analysis'!$C42,$A46-96,1))</f>
        <v/>
      </c>
      <c r="CV46" s="29" t="str">
        <f>IF(OR($B46="",$A46&lt;=97),"",--MID('Key Analysis'!$C42,$A46-97,1))</f>
        <v/>
      </c>
      <c r="CW46" s="29" t="str">
        <f>IF(OR($B46="",$A46&lt;=98),"",--MID('Key Analysis'!$C42,$A46-98,1))</f>
        <v/>
      </c>
      <c r="CX46" s="29" t="str">
        <f>IF(OR($B46="",$A46&lt;=99),"",--MID('Key Analysis'!$C42,$A46-99,1))</f>
        <v/>
      </c>
      <c r="CY46" s="29" t="str">
        <f>IF(OR($B46="",$A46&lt;=100),"",--MID('Key Analysis'!$C42,$A46-100,1))</f>
        <v/>
      </c>
      <c r="CZ46" s="29" t="str">
        <f>IF(OR($B46="",$A46&lt;=101),"",--MID('Key Analysis'!$C42,$A46-101,1))</f>
        <v/>
      </c>
      <c r="DA46" s="29" t="str">
        <f>IF(OR($B46="",$A46&lt;=102),"",--MID('Key Analysis'!$C42,$A46-102,1))</f>
        <v/>
      </c>
      <c r="DB46" s="29" t="str">
        <f>IF(OR($B46="",$A46&lt;=103),"",--MID('Key Analysis'!$C42,$A46-103,1))</f>
        <v/>
      </c>
      <c r="DC46" s="29" t="str">
        <f>IF(OR($B46="",$A46&lt;=104),"",--MID('Key Analysis'!$C42,$A46-104,1))</f>
        <v/>
      </c>
      <c r="DD46" s="29" t="str">
        <f>IF(OR($B46="",$A46&lt;=105),"",--MID('Key Analysis'!$C42,$A46-105,1))</f>
        <v/>
      </c>
      <c r="DE46" s="29" t="str">
        <f>IF(OR($B46="",$A46&lt;=106),"",--MID('Key Analysis'!$C42,$A46-106,1))</f>
        <v/>
      </c>
      <c r="DF46" s="29" t="str">
        <f>IF(OR($B46="",$A46&lt;=107),"",--MID('Key Analysis'!$C42,$A46-107,1))</f>
        <v/>
      </c>
      <c r="DG46" s="29" t="str">
        <f>IF(OR($B46="",$A46&lt;=108),"",--MID('Key Analysis'!$C42,$A46-108,1))</f>
        <v/>
      </c>
      <c r="DH46" s="29" t="str">
        <f>IF(OR($B46="",$A46&lt;=109),"",--MID('Key Analysis'!$C42,$A46-109,1))</f>
        <v/>
      </c>
      <c r="DI46" s="29" t="str">
        <f>IF(OR($B46="",$A46&lt;=110),"",--MID('Key Analysis'!$C42,$A46-110,1))</f>
        <v/>
      </c>
      <c r="DJ46" s="29" t="str">
        <f>IF(OR($B46="",$A46&lt;=111),"",--MID('Key Analysis'!$C42,$A46-111,1))</f>
        <v/>
      </c>
      <c r="DK46" s="29" t="str">
        <f>IF(OR($B46="",$A46&lt;=112),"",--MID('Key Analysis'!$C42,$A46-112,1))</f>
        <v/>
      </c>
      <c r="DL46" s="29" t="str">
        <f>IF(OR($B46="",$A46&lt;=113),"",--MID('Key Analysis'!$C42,$A46-113,1))</f>
        <v/>
      </c>
      <c r="DM46" s="29" t="str">
        <f>IF(OR($B46="",$A46&lt;=114),"",--MID('Key Analysis'!$C42,$A46-114,1))</f>
        <v/>
      </c>
      <c r="DN46" s="29" t="str">
        <f>IF(OR($B46="",$A46&lt;=115),"",--MID('Key Analysis'!$C42,$A46-115,1))</f>
        <v/>
      </c>
      <c r="DO46" s="29" t="str">
        <f>IF(OR($B46="",$A46&lt;=116),"",--MID('Key Analysis'!$C42,$A46-116,1))</f>
        <v/>
      </c>
      <c r="DP46" s="29" t="str">
        <f>IF(OR($B46="",$A46&lt;=117),"",--MID('Key Analysis'!$C42,$A46-117,1))</f>
        <v/>
      </c>
      <c r="DQ46" s="29" t="str">
        <f>IF(OR($B46="",$A46&lt;=118),"",--MID('Key Analysis'!$C42,$A46-118,1))</f>
        <v/>
      </c>
      <c r="DR46" s="29" t="str">
        <f>IF(OR($B46="",$A46&lt;=119),"",--MID('Key Analysis'!$C42,$A46-119,1))</f>
        <v/>
      </c>
      <c r="DS46" s="29" t="str">
        <f>IF(OR($B46="",$A46&lt;=120),"",--MID('Key Analysis'!$C42,$A46-120,1))</f>
        <v/>
      </c>
      <c r="DT46" s="29" t="str">
        <f>IF(OR($B46="",$A46&lt;=121),"",--MID('Key Analysis'!$C42,$A46-121,1))</f>
        <v/>
      </c>
      <c r="DU46" s="29" t="str">
        <f>IF(OR($B46="",$A46&lt;=122),"",--MID('Key Analysis'!$C42,$A46-122,1))</f>
        <v/>
      </c>
      <c r="DV46" s="29" t="str">
        <f>IF(OR($B46="",$A46&lt;=123),"",--MID('Key Analysis'!$C42,$A46-123,1))</f>
        <v/>
      </c>
      <c r="DW46" s="29" t="str">
        <f>IF(OR($B46="",$A46&lt;=124),"",--MID('Key Analysis'!$C42,$A46-124,1))</f>
        <v/>
      </c>
      <c r="DX46" s="29" t="str">
        <f>IF(OR($B46="",$A46&lt;=125),"",--MID('Key Analysis'!$C42,$A46-125,1))</f>
        <v/>
      </c>
      <c r="DY46" s="29" t="str">
        <f>IF(OR($B46="",$A46&lt;=126),"",--MID('Key Analysis'!$C42,$A46-126,1))</f>
        <v/>
      </c>
      <c r="DZ46" s="29" t="str">
        <f>IF(OR($B46="",$A46&lt;=127),"",--MID('Key Analysis'!$C42,$A46-127,1))</f>
        <v/>
      </c>
      <c r="EA46" s="29" t="str">
        <f>IF(OR($B46="",$A46&lt;=128),"",--MID('Key Analysis'!$C42,$A46-128,1))</f>
        <v/>
      </c>
      <c r="EB46" s="29" t="str">
        <f>IF(OR($B46="",$A46&lt;=129),"",--MID('Key Analysis'!$C42,$A46-129,1))</f>
        <v/>
      </c>
      <c r="EC46" s="29" t="str">
        <f>IF(OR($B46="",$A46&lt;=130),"",--MID('Key Analysis'!$C42,$A46-130,1))</f>
        <v/>
      </c>
      <c r="ED46" s="29" t="str">
        <f>IF(OR($B46="",$A46&lt;=131),"",--MID('Key Analysis'!$C42,$A46-131,1))</f>
        <v/>
      </c>
      <c r="EE46" s="29" t="str">
        <f>IF(OR($B46="",$A46&lt;=132),"",--MID('Key Analysis'!$C42,$A46-132,1))</f>
        <v/>
      </c>
      <c r="EF46" s="29" t="str">
        <f>IF(OR($B46="",$A46&lt;=133),"",--MID('Key Analysis'!$C42,$A46-133,1))</f>
        <v/>
      </c>
      <c r="EG46" s="29" t="str">
        <f>IF(OR($B46="",$A46&lt;=134),"",--MID('Key Analysis'!$C42,$A46-134,1))</f>
        <v/>
      </c>
      <c r="EH46" s="29"/>
      <c r="EI46" s="29">
        <f>IF(OR($B46="",$A46&lt;1),"",--MID('Key Analysis'!$C42,1,1))</f>
        <v>1</v>
      </c>
      <c r="EJ46" s="29">
        <f>IF(OR($B46="",$A46&lt;2),"",--MID('Key Analysis'!$C42,2,1))</f>
        <v>0</v>
      </c>
      <c r="EK46" s="29">
        <f>IF(OR($B46="",$A46&lt;3),"",--MID('Key Analysis'!$C42,3,1))</f>
        <v>1</v>
      </c>
      <c r="EL46" s="29">
        <f>IF(OR($B46="",$A46&lt;4),"",--MID('Key Analysis'!$C42,4,1))</f>
        <v>0</v>
      </c>
      <c r="EM46" s="29">
        <f>IF(OR($B46="",$A46&lt;5),"",--MID('Key Analysis'!$C42,5,1))</f>
        <v>1</v>
      </c>
      <c r="EN46" s="29">
        <f>IF(OR($B46="",$A46&lt;6),"",--MID('Key Analysis'!$C42,6,1))</f>
        <v>0</v>
      </c>
      <c r="EO46" s="29">
        <f>IF(OR($B46="",$A46&lt;7),"",--MID('Key Analysis'!$C42,7,1))</f>
        <v>0</v>
      </c>
      <c r="EP46" s="29">
        <f>IF(OR($B46="",$A46&lt;8),"",--MID('Key Analysis'!$C42,8,1))</f>
        <v>1</v>
      </c>
      <c r="EQ46" s="29">
        <f>IF(OR($B46="",$A46&lt;9),"",--MID('Key Analysis'!$C42,9,1))</f>
        <v>1</v>
      </c>
      <c r="ER46" s="29">
        <f>IF(OR($B46="",$A46&lt;10),"",--MID('Key Analysis'!$C42,10,1))</f>
        <v>1</v>
      </c>
      <c r="ES46" s="29">
        <f>IF(OR($B46="",$A46&lt;11),"",--MID('Key Analysis'!$C42,11,1))</f>
        <v>0</v>
      </c>
      <c r="ET46" s="29">
        <f>IF(OR($B46="",$A46&lt;12),"",--MID('Key Analysis'!$C42,12,1))</f>
        <v>0</v>
      </c>
      <c r="EU46" s="29">
        <f>IF(OR($B46="",$A46&lt;13),"",--MID('Key Analysis'!$C42,13,1))</f>
        <v>0</v>
      </c>
      <c r="EV46" s="29">
        <f>IF(OR($B46="",$A46&lt;14),"",--MID('Key Analysis'!$C42,14,1))</f>
        <v>0</v>
      </c>
      <c r="EW46" s="29">
        <f>IF(OR($B46="",$A46&lt;15),"",--MID('Key Analysis'!$C42,15,1))</f>
        <v>1</v>
      </c>
      <c r="EX46" s="29">
        <f>IF(OR($B46="",$A46&lt;16),"",--MID('Key Analysis'!$C42,16,1))</f>
        <v>1</v>
      </c>
      <c r="EY46" s="29">
        <f>IF(OR($B46="",$A46&lt;17),"",--MID('Key Analysis'!$C42,17,1))</f>
        <v>0</v>
      </c>
      <c r="EZ46" s="29">
        <f>IF(OR($B46="",$A46&lt;18),"",--MID('Key Analysis'!$C42,18,1))</f>
        <v>1</v>
      </c>
      <c r="FA46" s="29">
        <f>IF(OR($B46="",$A46&lt;19),"",--MID('Key Analysis'!$C42,19,1))</f>
        <v>0</v>
      </c>
      <c r="FB46" s="29">
        <f>IF(OR($B46="",$A46&lt;20),"",--MID('Key Analysis'!$C42,20,1))</f>
        <v>0</v>
      </c>
      <c r="FC46" s="29">
        <f>IF(OR($B46="",$A46&lt;21),"",--MID('Key Analysis'!$C42,21,1))</f>
        <v>1</v>
      </c>
      <c r="FD46" s="29">
        <f>IF(OR($B46="",$A46&lt;22),"",--MID('Key Analysis'!$C42,22,1))</f>
        <v>1</v>
      </c>
      <c r="FE46" s="29">
        <f>IF(OR($B46="",$A46&lt;23),"",--MID('Key Analysis'!$C42,23,1))</f>
        <v>0</v>
      </c>
      <c r="FF46" s="29">
        <f>IF(OR($B46="",$A46&lt;24),"",--MID('Key Analysis'!$C42,24,1))</f>
        <v>1</v>
      </c>
      <c r="FG46" s="29">
        <f>IF(OR($B46="",$A46&lt;25),"",--MID('Key Analysis'!$C42,25,1))</f>
        <v>0</v>
      </c>
      <c r="FH46" s="29">
        <f>IF(OR($B46="",$A46&lt;26),"",--MID('Key Analysis'!$C42,26,1))</f>
        <v>1</v>
      </c>
      <c r="FI46" s="29">
        <f>IF(OR($B46="",$A46&lt;27),"",--MID('Key Analysis'!$C42,27,1))</f>
        <v>1</v>
      </c>
      <c r="FJ46" s="29">
        <f>IF(OR($B46="",$A46&lt;28),"",--MID('Key Analysis'!$C42,28,1))</f>
        <v>0</v>
      </c>
      <c r="FK46" s="29">
        <f>IF(OR($B46="",$A46&lt;29),"",--MID('Key Analysis'!$C42,29,1))</f>
        <v>0</v>
      </c>
      <c r="FL46" s="29">
        <f>IF(OR($B46="",$A46&lt;30),"",--MID('Key Analysis'!$C42,30,1))</f>
        <v>1</v>
      </c>
      <c r="FM46" s="29">
        <f>IF(OR($B46="",$A46&lt;31),"",--MID('Key Analysis'!$C42,31,1))</f>
        <v>1</v>
      </c>
      <c r="FN46" s="29">
        <f>IF(OR($B46="",$A46&lt;32),"",--MID('Key Analysis'!$C42,32,1))</f>
        <v>0</v>
      </c>
      <c r="FO46" s="29">
        <f>IF(OR($B46="",$A46&lt;33),"",--MID('Key Analysis'!$C42,33,1))</f>
        <v>0</v>
      </c>
      <c r="FP46" s="29">
        <f>IF(OR($B46="",$A46&lt;34),"",--MID('Key Analysis'!$C42,34,1))</f>
        <v>0</v>
      </c>
      <c r="FQ46" s="29">
        <f>IF(OR($B46="",$A46&lt;35),"",--MID('Key Analysis'!$C42,35,1))</f>
        <v>1</v>
      </c>
      <c r="FR46" s="29">
        <f>IF(OR($B46="",$A46&lt;36),"",--MID('Key Analysis'!$C42,36,1))</f>
        <v>0</v>
      </c>
      <c r="FS46" s="29">
        <f>IF(OR($B46="",$A46&lt;37),"",--MID('Key Analysis'!$C42,37,1))</f>
        <v>1</v>
      </c>
      <c r="FT46" s="29">
        <f>IF(OR($B46="",$A46&lt;38),"",--MID('Key Analysis'!$C42,38,1))</f>
        <v>1</v>
      </c>
      <c r="FU46" s="29">
        <f>IF(OR($B46="",$A46&lt;39),"",--MID('Key Analysis'!$C42,39,1))</f>
        <v>0</v>
      </c>
      <c r="FV46" s="29">
        <f>IF(OR($B46="",$A46&lt;40),"",--MID('Key Analysis'!$C42,40,1))</f>
        <v>1</v>
      </c>
      <c r="FW46" s="29">
        <f>IF(OR($B46="",$A46&lt;41),"",--MID('Key Analysis'!$C42,41,1))</f>
        <v>1</v>
      </c>
      <c r="FX46" s="29" t="str">
        <f>IF(OR($B46="",$A46&lt;42),"",--MID('Key Analysis'!$C42,42,1))</f>
        <v/>
      </c>
      <c r="FY46" s="29" t="str">
        <f>IF(OR($B46="",$A46&lt;43),"",--MID('Key Analysis'!$C42,43,1))</f>
        <v/>
      </c>
      <c r="FZ46" s="29" t="str">
        <f>IF(OR($B46="",$A46&lt;44),"",--MID('Key Analysis'!$C42,44,1))</f>
        <v/>
      </c>
      <c r="GA46" s="29" t="str">
        <f>IF(OR($B46="",$A46&lt;45),"",--MID('Key Analysis'!$C42,45,1))</f>
        <v/>
      </c>
      <c r="GB46" s="29" t="str">
        <f>IF(OR($B46="",$A46&lt;46),"",--MID('Key Analysis'!$C42,46,1))</f>
        <v/>
      </c>
      <c r="GC46" s="29" t="str">
        <f>IF(OR($B46="",$A46&lt;47),"",--MID('Key Analysis'!$C42,47,1))</f>
        <v/>
      </c>
      <c r="GD46" s="29" t="str">
        <f>IF(OR($B46="",$A46&lt;48),"",--MID('Key Analysis'!$C42,48,1))</f>
        <v/>
      </c>
      <c r="GE46" s="29" t="str">
        <f>IF(OR($B46="",$A46&lt;49),"",--MID('Key Analysis'!$C42,49,1))</f>
        <v/>
      </c>
      <c r="GF46" s="29" t="str">
        <f>IF(OR($B46="",$A46&lt;50),"",--MID('Key Analysis'!$C42,50,1))</f>
        <v/>
      </c>
      <c r="GG46" s="29" t="str">
        <f>IF(OR($B46="",$A46&lt;51),"",--MID('Key Analysis'!$C42,51,1))</f>
        <v/>
      </c>
      <c r="GH46" s="29" t="str">
        <f>IF(OR($B46="",$A46&lt;52),"",--MID('Key Analysis'!$C42,52,1))</f>
        <v/>
      </c>
      <c r="GI46" s="29" t="str">
        <f>IF(OR($B46="",$A46&lt;53),"",--MID('Key Analysis'!$C42,53,1))</f>
        <v/>
      </c>
      <c r="GJ46" s="29" t="str">
        <f>IF(OR($B46="",$A46&lt;54),"",--MID('Key Analysis'!$C42,54,1))</f>
        <v/>
      </c>
      <c r="GK46" s="29" t="str">
        <f>IF(OR($B46="",$A46&lt;55),"",--MID('Key Analysis'!$C42,55,1))</f>
        <v/>
      </c>
      <c r="GL46" s="29" t="str">
        <f>IF(OR($B46="",$A46&lt;56),"",--MID('Key Analysis'!$C42,56,1))</f>
        <v/>
      </c>
      <c r="GM46" s="29" t="str">
        <f>IF(OR($B46="",$A46&lt;57),"",--MID('Key Analysis'!$C42,57,1))</f>
        <v/>
      </c>
      <c r="GN46" s="29" t="str">
        <f>IF(OR($B46="",$A46&lt;58),"",--MID('Key Analysis'!$C42,58,1))</f>
        <v/>
      </c>
      <c r="GO46" s="29" t="str">
        <f>IF(OR($B46="",$A46&lt;59),"",--MID('Key Analysis'!$C42,59,1))</f>
        <v/>
      </c>
      <c r="GP46" s="29" t="str">
        <f>IF(OR($B46="",$A46&lt;60),"",--MID('Key Analysis'!$C42,60,1))</f>
        <v/>
      </c>
      <c r="GQ46" s="29" t="str">
        <f>IF(OR($B46="",$A46&lt;61),"",--MID('Key Analysis'!$C42,61,1))</f>
        <v/>
      </c>
      <c r="GR46" s="29" t="str">
        <f>IF(OR($B46="",$A46&lt;62),"",--MID('Key Analysis'!$C42,62,1))</f>
        <v/>
      </c>
      <c r="GS46" s="29" t="str">
        <f>IF(OR($B46="",$A46&lt;63),"",--MID('Key Analysis'!$C42,63,1))</f>
        <v/>
      </c>
      <c r="GT46" s="29" t="str">
        <f>IF(OR($B46="",$A46&lt;64),"",--MID('Key Analysis'!$C42,64,1))</f>
        <v/>
      </c>
      <c r="GU46" s="29" t="str">
        <f>IF(OR($B46="",$A46&lt;65),"",--MID('Key Analysis'!$C42,65,1))</f>
        <v/>
      </c>
      <c r="GV46" s="29" t="str">
        <f>IF(OR($B46="",$A46&lt;66),"",--MID('Key Analysis'!$C42,66,1))</f>
        <v/>
      </c>
      <c r="GW46" s="29" t="str">
        <f>IF(OR($B46="",$A46&lt;67),"",--MID('Key Analysis'!$C42,67,1))</f>
        <v/>
      </c>
      <c r="GX46" s="29" t="str">
        <f>IF(OR($B46="",$A46&lt;68),"",--MID('Key Analysis'!$C42,68,1))</f>
        <v/>
      </c>
      <c r="GY46" s="29" t="str">
        <f>IF(OR($B46="",$A46&lt;69),"",--MID('Key Analysis'!$C42,69,1))</f>
        <v/>
      </c>
      <c r="GZ46" s="29" t="str">
        <f>IF(OR($B46="",$A46&lt;70),"",--MID('Key Analysis'!$C42,70,1))</f>
        <v/>
      </c>
      <c r="HA46" s="29" t="str">
        <f>IF(OR($B46="",$A46&lt;71),"",--MID('Key Analysis'!$C42,71,1))</f>
        <v/>
      </c>
      <c r="HB46" s="29" t="str">
        <f>IF(OR($B46="",$A46&lt;72),"",--MID('Key Analysis'!$C42,72,1))</f>
        <v/>
      </c>
      <c r="HC46" s="29" t="str">
        <f>IF(OR($B46="",$A46&lt;73),"",--MID('Key Analysis'!$C42,73,1))</f>
        <v/>
      </c>
      <c r="HD46" s="29" t="str">
        <f>IF(OR($B46="",$A46&lt;74),"",--MID('Key Analysis'!$C42,74,1))</f>
        <v/>
      </c>
      <c r="HE46" s="29" t="str">
        <f>IF(OR($B46="",$A46&lt;75),"",--MID('Key Analysis'!$C42,75,1))</f>
        <v/>
      </c>
      <c r="HF46" s="29" t="str">
        <f>IF(OR($B46="",$A46&lt;76),"",--MID('Key Analysis'!$C42,76,1))</f>
        <v/>
      </c>
      <c r="HG46" s="29" t="str">
        <f>IF(OR($B46="",$A46&lt;77),"",--MID('Key Analysis'!$C42,77,1))</f>
        <v/>
      </c>
      <c r="HH46" s="29" t="str">
        <f>IF(OR($B46="",$A46&lt;78),"",--MID('Key Analysis'!$C42,78,1))</f>
        <v/>
      </c>
      <c r="HI46" s="29" t="str">
        <f>IF(OR($B46="",$A46&lt;79),"",--MID('Key Analysis'!$C42,79,1))</f>
        <v/>
      </c>
      <c r="HJ46" s="29" t="str">
        <f>IF(OR($B46="",$A46&lt;80),"",--MID('Key Analysis'!$C42,80,1))</f>
        <v/>
      </c>
      <c r="HK46" s="29" t="str">
        <f>IF(OR($B46="",$A46&lt;81),"",--MID('Key Analysis'!$C42,81,1))</f>
        <v/>
      </c>
      <c r="HL46" s="29" t="str">
        <f>IF(OR($B46="",$A46&lt;82),"",--MID('Key Analysis'!$C42,82,1))</f>
        <v/>
      </c>
      <c r="HM46" s="29" t="str">
        <f>IF(OR($B46="",$A46&lt;83),"",--MID('Key Analysis'!$C42,83,1))</f>
        <v/>
      </c>
      <c r="HN46" s="29" t="str">
        <f>IF(OR($B46="",$A46&lt;84),"",--MID('Key Analysis'!$C42,84,1))</f>
        <v/>
      </c>
      <c r="HO46" s="29" t="str">
        <f>IF(OR($B46="",$A46&lt;85),"",--MID('Key Analysis'!$C42,85,1))</f>
        <v/>
      </c>
      <c r="HP46" s="29" t="str">
        <f>IF(OR($B46="",$A46&lt;86),"",--MID('Key Analysis'!$C42,86,1))</f>
        <v/>
      </c>
      <c r="HQ46" s="29" t="str">
        <f>IF(OR($B46="",$A46&lt;87),"",--MID('Key Analysis'!$C42,87,1))</f>
        <v/>
      </c>
      <c r="HR46" s="29" t="str">
        <f>IF(OR($B46="",$A46&lt;88),"",--MID('Key Analysis'!$C42,88,1))</f>
        <v/>
      </c>
      <c r="HS46" s="29" t="str">
        <f>IF(OR($B46="",$A46&lt;89),"",--MID('Key Analysis'!$C42,89,1))</f>
        <v/>
      </c>
      <c r="HT46" s="29" t="str">
        <f>IF(OR($B46="",$A46&lt;90),"",--MID('Key Analysis'!$C42,90,1))</f>
        <v/>
      </c>
      <c r="HU46" s="29" t="str">
        <f>IF(OR($B46="",$A46&lt;91),"",--MID('Key Analysis'!$C42,91,1))</f>
        <v/>
      </c>
      <c r="HV46" s="29" t="str">
        <f>IF(OR($B46="",$A46&lt;92),"",--MID('Key Analysis'!$C42,92,1))</f>
        <v/>
      </c>
      <c r="HW46" s="29" t="str">
        <f>IF(OR($B46="",$A46&lt;93),"",--MID('Key Analysis'!$C42,93,1))</f>
        <v/>
      </c>
      <c r="HX46" s="29" t="str">
        <f>IF(OR($B46="",$A46&lt;94),"",--MID('Key Analysis'!$C42,94,1))</f>
        <v/>
      </c>
      <c r="HY46" s="29" t="str">
        <f>IF(OR($B46="",$A46&lt;95),"",--MID('Key Analysis'!$C42,95,1))</f>
        <v/>
      </c>
      <c r="HZ46" s="29" t="str">
        <f>IF(OR($B46="",$A46&lt;96),"",--MID('Key Analysis'!$C42,96,1))</f>
        <v/>
      </c>
      <c r="IA46" s="29" t="str">
        <f>IF(OR($B46="",$A46&lt;97),"",--MID('Key Analysis'!$C42,97,1))</f>
        <v/>
      </c>
      <c r="IB46" s="29" t="str">
        <f>IF(OR($B46="",$A46&lt;98),"",--MID('Key Analysis'!$C42,98,1))</f>
        <v/>
      </c>
      <c r="IC46" s="29" t="str">
        <f>IF(OR($B46="",$A46&lt;99),"",--MID('Key Analysis'!$C42,99,1))</f>
        <v/>
      </c>
      <c r="ID46" s="29" t="str">
        <f>IF(OR($B46="",$A46&lt;100),"",--MID('Key Analysis'!$C42,100,1))</f>
        <v/>
      </c>
      <c r="IE46" s="29" t="str">
        <f>IF(OR($B46="",$A46&lt;101),"",--MID('Key Analysis'!$C42,101,1))</f>
        <v/>
      </c>
      <c r="IF46" s="29" t="str">
        <f>IF(OR($B46="",$A46&lt;102),"",--MID('Key Analysis'!$C42,102,1))</f>
        <v/>
      </c>
      <c r="IG46" s="29" t="str">
        <f>IF(OR($B46="",$A46&lt;103),"",--MID('Key Analysis'!$C42,103,1))</f>
        <v/>
      </c>
      <c r="IH46" s="29" t="str">
        <f>IF(OR($B46="",$A46&lt;104),"",--MID('Key Analysis'!$C42,104,1))</f>
        <v/>
      </c>
      <c r="II46" s="29" t="str">
        <f>IF(OR($B46="",$A46&lt;105),"",--MID('Key Analysis'!$C42,105,1))</f>
        <v/>
      </c>
      <c r="IJ46" s="29" t="str">
        <f>IF(OR($B46="",$A46&lt;106),"",--MID('Key Analysis'!$C42,106,1))</f>
        <v/>
      </c>
      <c r="IK46" s="29" t="str">
        <f>IF(OR($B46="",$A46&lt;107),"",--MID('Key Analysis'!$C42,107,1))</f>
        <v/>
      </c>
      <c r="IL46" s="29" t="str">
        <f>IF(OR($B46="",$A46&lt;108),"",--MID('Key Analysis'!$C42,108,1))</f>
        <v/>
      </c>
      <c r="IM46" s="29" t="str">
        <f>IF(OR($B46="",$A46&lt;109),"",--MID('Key Analysis'!$C42,109,1))</f>
        <v/>
      </c>
      <c r="IN46" s="29" t="str">
        <f>IF(OR($B46="",$A46&lt;110),"",--MID('Key Analysis'!$C42,110,1))</f>
        <v/>
      </c>
      <c r="IO46" s="29" t="str">
        <f>IF(OR($B46="",$A46&lt;111),"",--MID('Key Analysis'!$C42,111,1))</f>
        <v/>
      </c>
      <c r="IP46" s="29" t="str">
        <f>IF(OR($B46="",$A46&lt;112),"",--MID('Key Analysis'!$C42,112,1))</f>
        <v/>
      </c>
      <c r="IQ46" s="29" t="str">
        <f>IF(OR($B46="",$A46&lt;113),"",--MID('Key Analysis'!$C42,113,1))</f>
        <v/>
      </c>
      <c r="IR46" s="29" t="str">
        <f>IF(OR($B46="",$A46&lt;114),"",--MID('Key Analysis'!$C42,114,1))</f>
        <v/>
      </c>
      <c r="IS46" s="29" t="str">
        <f>IF(OR($B46="",$A46&lt;115),"",--MID('Key Analysis'!$C42,115,1))</f>
        <v/>
      </c>
      <c r="IT46" s="29" t="str">
        <f>IF(OR($B46="",$A46&lt;116),"",--MID('Key Analysis'!$C42,116,1))</f>
        <v/>
      </c>
      <c r="IU46" s="29" t="str">
        <f>IF(OR($B46="",$A46&lt;117),"",--MID('Key Analysis'!$C42,117,1))</f>
        <v/>
      </c>
      <c r="IV46" s="29" t="str">
        <f>IF(OR($B46="",$A46&lt;118),"",--MID('Key Analysis'!$C42,118,1))</f>
        <v/>
      </c>
      <c r="IW46" s="29" t="str">
        <f>IF(OR($B46="",$A46&lt;119),"",--MID('Key Analysis'!$C42,119,1))</f>
        <v/>
      </c>
      <c r="IX46" s="29" t="str">
        <f>IF(OR($B46="",$A46&lt;120),"",--MID('Key Analysis'!$C42,120,1))</f>
        <v/>
      </c>
      <c r="IY46" s="29" t="str">
        <f>IF(OR($B46="",$A46&lt;121),"",--MID('Key Analysis'!$C42,121,1))</f>
        <v/>
      </c>
      <c r="IZ46" s="29" t="str">
        <f>IF(OR($B46="",$A46&lt;122),"",--MID('Key Analysis'!$C42,122,1))</f>
        <v/>
      </c>
      <c r="JA46" s="29" t="str">
        <f>IF(OR($B46="",$A46&lt;123),"",--MID('Key Analysis'!$C42,123,1))</f>
        <v/>
      </c>
      <c r="JB46" s="29" t="str">
        <f>IF(OR($B46="",$A46&lt;124),"",--MID('Key Analysis'!$C42,124,1))</f>
        <v/>
      </c>
      <c r="JC46" s="29" t="str">
        <f>IF(OR($B46="",$A46&lt;125),"",--MID('Key Analysis'!$C42,125,1))</f>
        <v/>
      </c>
      <c r="JD46" s="29" t="str">
        <f>IF(OR($B46="",$A46&lt;126),"",--MID('Key Analysis'!$C42,126,1))</f>
        <v/>
      </c>
      <c r="JE46" s="29" t="str">
        <f>IF(OR($B46="",$A46&lt;127),"",--MID('Key Analysis'!$C42,127,1))</f>
        <v/>
      </c>
      <c r="JF46" s="29" t="str">
        <f>IF(OR($B46="",$A46&lt;128),"",--MID('Key Analysis'!$C42,128,1))</f>
        <v/>
      </c>
      <c r="JG46" s="29" t="str">
        <f>IF(OR($B46="",$A46&lt;129),"",--MID('Key Analysis'!$C42,129,1))</f>
        <v/>
      </c>
      <c r="JH46" s="29" t="str">
        <f>IF(OR($B46="",$A46&lt;130),"",--MID('Key Analysis'!$C42,130,1))</f>
        <v/>
      </c>
      <c r="JI46" s="29" t="str">
        <f>IF(OR($B46="",$A46&lt;131),"",--MID('Key Analysis'!$C42,131,1))</f>
        <v/>
      </c>
      <c r="JJ46" s="29" t="str">
        <f>IF(OR($B46="",$A46&lt;132),"",--MID('Key Analysis'!$C42,132,1))</f>
        <v/>
      </c>
      <c r="JK46" s="29" t="str">
        <f>IF(OR($B46="",$A46&lt;133),"",--MID('Key Analysis'!$C42,133,1))</f>
        <v/>
      </c>
      <c r="JL46" s="29" t="str">
        <f>IF(OR($B46="",$A46&lt;134),"",--MID('Key Analysis'!$C42,134,1))</f>
        <v/>
      </c>
      <c r="JM46" s="29" t="str">
        <f>IF(OR($B46="",$A46&lt;135),"",--MID('Key Analysis'!$C42,135,1))</f>
        <v/>
      </c>
    </row>
    <row r="47" spans="1:273" x14ac:dyDescent="0.25">
      <c r="A47" s="21">
        <f>'Key Analysis'!A43</f>
        <v>42</v>
      </c>
      <c r="B47" s="30" t="str">
        <f>'Key Analysis'!B43</f>
        <v>2a221c58d8f</v>
      </c>
      <c r="C47" s="29">
        <f>IF(OR($B47="",$A47&lt;=0),"",--MID('Key Analysis'!$C43,$A47-0,1))</f>
        <v>1</v>
      </c>
      <c r="D47" s="29">
        <f>IF(OR($B47="",$A47&lt;=1),"",--MID('Key Analysis'!$C43,$A47-1,1))</f>
        <v>1</v>
      </c>
      <c r="E47" s="29">
        <f>IF(OR($B47="",$A47&lt;=2),"",--MID('Key Analysis'!$C43,$A47-2,1))</f>
        <v>1</v>
      </c>
      <c r="F47" s="29">
        <f>IF(OR($B47="",$A47&lt;=3),"",--MID('Key Analysis'!$C43,$A47-3,1))</f>
        <v>1</v>
      </c>
      <c r="G47" s="29">
        <f>IF(OR($B47="",$A47&lt;=4),"",--MID('Key Analysis'!$C43,$A47-4,1))</f>
        <v>0</v>
      </c>
      <c r="H47" s="29">
        <f>IF(OR($B47="",$A47&lt;=5),"",--MID('Key Analysis'!$C43,$A47-5,1))</f>
        <v>0</v>
      </c>
      <c r="I47" s="29">
        <f>IF(OR($B47="",$A47&lt;=6),"",--MID('Key Analysis'!$C43,$A47-6,1))</f>
        <v>0</v>
      </c>
      <c r="J47" s="29">
        <f>IF(OR($B47="",$A47&lt;=7),"",--MID('Key Analysis'!$C43,$A47-7,1))</f>
        <v>1</v>
      </c>
      <c r="K47" s="29">
        <f>IF(OR($B47="",$A47&lt;=8),"",--MID('Key Analysis'!$C43,$A47-8,1))</f>
        <v>1</v>
      </c>
      <c r="L47" s="29">
        <f>IF(OR($B47="",$A47&lt;=9),"",--MID('Key Analysis'!$C43,$A47-9,1))</f>
        <v>0</v>
      </c>
      <c r="M47" s="29">
        <f>IF(OR($B47="",$A47&lt;=10),"",--MID('Key Analysis'!$C43,$A47-10,1))</f>
        <v>1</v>
      </c>
      <c r="N47" s="29">
        <f>IF(OR($B47="",$A47&lt;=11),"",--MID('Key Analysis'!$C43,$A47-11,1))</f>
        <v>1</v>
      </c>
      <c r="O47" s="29">
        <f>IF(OR($B47="",$A47&lt;=12),"",--MID('Key Analysis'!$C43,$A47-12,1))</f>
        <v>0</v>
      </c>
      <c r="P47" s="29">
        <f>IF(OR($B47="",$A47&lt;=13),"",--MID('Key Analysis'!$C43,$A47-13,1))</f>
        <v>0</v>
      </c>
      <c r="Q47" s="29">
        <f>IF(OR($B47="",$A47&lt;=14),"",--MID('Key Analysis'!$C43,$A47-14,1))</f>
        <v>0</v>
      </c>
      <c r="R47" s="29">
        <f>IF(OR($B47="",$A47&lt;=15),"",--MID('Key Analysis'!$C43,$A47-15,1))</f>
        <v>1</v>
      </c>
      <c r="S47" s="29">
        <f>IF(OR($B47="",$A47&lt;=16),"",--MID('Key Analysis'!$C43,$A47-16,1))</f>
        <v>1</v>
      </c>
      <c r="T47" s="29">
        <f>IF(OR($B47="",$A47&lt;=17),"",--MID('Key Analysis'!$C43,$A47-17,1))</f>
        <v>0</v>
      </c>
      <c r="U47" s="29">
        <f>IF(OR($B47="",$A47&lt;=18),"",--MID('Key Analysis'!$C43,$A47-18,1))</f>
        <v>1</v>
      </c>
      <c r="V47" s="29">
        <f>IF(OR($B47="",$A47&lt;=19),"",--MID('Key Analysis'!$C43,$A47-19,1))</f>
        <v>0</v>
      </c>
      <c r="W47" s="29">
        <f>IF(OR($B47="",$A47&lt;=20),"",--MID('Key Analysis'!$C43,$A47-20,1))</f>
        <v>0</v>
      </c>
      <c r="X47" s="29">
        <f>IF(OR($B47="",$A47&lt;=21),"",--MID('Key Analysis'!$C43,$A47-21,1))</f>
        <v>0</v>
      </c>
      <c r="Y47" s="29">
        <f>IF(OR($B47="",$A47&lt;=22),"",--MID('Key Analysis'!$C43,$A47-22,1))</f>
        <v>1</v>
      </c>
      <c r="Z47" s="29">
        <f>IF(OR($B47="",$A47&lt;=23),"",--MID('Key Analysis'!$C43,$A47-23,1))</f>
        <v>1</v>
      </c>
      <c r="AA47" s="29">
        <f>IF(OR($B47="",$A47&lt;=24),"",--MID('Key Analysis'!$C43,$A47-24,1))</f>
        <v>1</v>
      </c>
      <c r="AB47" s="29">
        <f>IF(OR($B47="",$A47&lt;=25),"",--MID('Key Analysis'!$C43,$A47-25,1))</f>
        <v>0</v>
      </c>
      <c r="AC47" s="29">
        <f>IF(OR($B47="",$A47&lt;=26),"",--MID('Key Analysis'!$C43,$A47-26,1))</f>
        <v>0</v>
      </c>
      <c r="AD47" s="29">
        <f>IF(OR($B47="",$A47&lt;=27),"",--MID('Key Analysis'!$C43,$A47-27,1))</f>
        <v>0</v>
      </c>
      <c r="AE47" s="29">
        <f>IF(OR($B47="",$A47&lt;=28),"",--MID('Key Analysis'!$C43,$A47-28,1))</f>
        <v>0</v>
      </c>
      <c r="AF47" s="29">
        <f>IF(OR($B47="",$A47&lt;=29),"",--MID('Key Analysis'!$C43,$A47-29,1))</f>
        <v>1</v>
      </c>
      <c r="AG47" s="29">
        <f>IF(OR($B47="",$A47&lt;=30),"",--MID('Key Analysis'!$C43,$A47-30,1))</f>
        <v>0</v>
      </c>
      <c r="AH47" s="29">
        <f>IF(OR($B47="",$A47&lt;=31),"",--MID('Key Analysis'!$C43,$A47-31,1))</f>
        <v>0</v>
      </c>
      <c r="AI47" s="29">
        <f>IF(OR($B47="",$A47&lt;=32),"",--MID('Key Analysis'!$C43,$A47-32,1))</f>
        <v>0</v>
      </c>
      <c r="AJ47" s="29">
        <f>IF(OR($B47="",$A47&lt;=33),"",--MID('Key Analysis'!$C43,$A47-33,1))</f>
        <v>1</v>
      </c>
      <c r="AK47" s="29">
        <f>IF(OR($B47="",$A47&lt;=34),"",--MID('Key Analysis'!$C43,$A47-34,1))</f>
        <v>0</v>
      </c>
      <c r="AL47" s="29">
        <f>IF(OR($B47="",$A47&lt;=35),"",--MID('Key Analysis'!$C43,$A47-35,1))</f>
        <v>0</v>
      </c>
      <c r="AM47" s="29">
        <f>IF(OR($B47="",$A47&lt;=36),"",--MID('Key Analysis'!$C43,$A47-36,1))</f>
        <v>0</v>
      </c>
      <c r="AN47" s="29">
        <f>IF(OR($B47="",$A47&lt;=37),"",--MID('Key Analysis'!$C43,$A47-37,1))</f>
        <v>1</v>
      </c>
      <c r="AO47" s="29">
        <f>IF(OR($B47="",$A47&lt;=38),"",--MID('Key Analysis'!$C43,$A47-38,1))</f>
        <v>0</v>
      </c>
      <c r="AP47" s="29">
        <f>IF(OR($B47="",$A47&lt;=39),"",--MID('Key Analysis'!$C43,$A47-39,1))</f>
        <v>1</v>
      </c>
      <c r="AQ47" s="29">
        <f>IF(OR($B47="",$A47&lt;=40),"",--MID('Key Analysis'!$C43,$A47-40,1))</f>
        <v>0</v>
      </c>
      <c r="AR47" s="29">
        <f>IF(OR($B47="",$A47&lt;=41),"",--MID('Key Analysis'!$C43,$A47-41,1))</f>
        <v>1</v>
      </c>
      <c r="AS47" s="29" t="str">
        <f>IF(OR($B47="",$A47&lt;=42),"",--MID('Key Analysis'!$C43,$A47-42,1))</f>
        <v/>
      </c>
      <c r="AT47" s="29" t="str">
        <f>IF(OR($B47="",$A47&lt;=43),"",--MID('Key Analysis'!$C43,$A47-43,1))</f>
        <v/>
      </c>
      <c r="AU47" s="29" t="str">
        <f>IF(OR($B47="",$A47&lt;=44),"",--MID('Key Analysis'!$C43,$A47-44,1))</f>
        <v/>
      </c>
      <c r="AV47" s="29" t="str">
        <f>IF(OR($B47="",$A47&lt;=45),"",--MID('Key Analysis'!$C43,$A47-45,1))</f>
        <v/>
      </c>
      <c r="AW47" s="29" t="str">
        <f>IF(OR($B47="",$A47&lt;=46),"",--MID('Key Analysis'!$C43,$A47-46,1))</f>
        <v/>
      </c>
      <c r="AX47" s="29" t="str">
        <f>IF(OR($B47="",$A47&lt;=47),"",--MID('Key Analysis'!$C43,$A47-47,1))</f>
        <v/>
      </c>
      <c r="AY47" s="29" t="str">
        <f>IF(OR($B47="",$A47&lt;=48),"",--MID('Key Analysis'!$C43,$A47-48,1))</f>
        <v/>
      </c>
      <c r="AZ47" s="29" t="str">
        <f>IF(OR($B47="",$A47&lt;=49),"",--MID('Key Analysis'!$C43,$A47-49,1))</f>
        <v/>
      </c>
      <c r="BA47" s="29" t="str">
        <f>IF(OR($B47="",$A47&lt;=50),"",--MID('Key Analysis'!$C43,$A47-50,1))</f>
        <v/>
      </c>
      <c r="BB47" s="29" t="str">
        <f>IF(OR($B47="",$A47&lt;=51),"",--MID('Key Analysis'!$C43,$A47-51,1))</f>
        <v/>
      </c>
      <c r="BC47" s="29" t="str">
        <f>IF(OR($B47="",$A47&lt;=52),"",--MID('Key Analysis'!$C43,$A47-52,1))</f>
        <v/>
      </c>
      <c r="BD47" s="29" t="str">
        <f>IF(OR($B47="",$A47&lt;=53),"",--MID('Key Analysis'!$C43,$A47-53,1))</f>
        <v/>
      </c>
      <c r="BE47" s="29" t="str">
        <f>IF(OR($B47="",$A47&lt;=54),"",--MID('Key Analysis'!$C43,$A47-54,1))</f>
        <v/>
      </c>
      <c r="BF47" s="29" t="str">
        <f>IF(OR($B47="",$A47&lt;=55),"",--MID('Key Analysis'!$C43,$A47-55,1))</f>
        <v/>
      </c>
      <c r="BG47" s="29" t="str">
        <f>IF(OR($B47="",$A47&lt;=56),"",--MID('Key Analysis'!$C43,$A47-56,1))</f>
        <v/>
      </c>
      <c r="BH47" s="29" t="str">
        <f>IF(OR($B47="",$A47&lt;=57),"",--MID('Key Analysis'!$C43,$A47-57,1))</f>
        <v/>
      </c>
      <c r="BI47" s="29" t="str">
        <f>IF(OR($B47="",$A47&lt;=58),"",--MID('Key Analysis'!$C43,$A47-58,1))</f>
        <v/>
      </c>
      <c r="BJ47" s="29" t="str">
        <f>IF(OR($B47="",$A47&lt;=59),"",--MID('Key Analysis'!$C43,$A47-59,1))</f>
        <v/>
      </c>
      <c r="BK47" s="29" t="str">
        <f>IF(OR($B47="",$A47&lt;=60),"",--MID('Key Analysis'!$C43,$A47-60,1))</f>
        <v/>
      </c>
      <c r="BL47" s="29" t="str">
        <f>IF(OR($B47="",$A47&lt;=61),"",--MID('Key Analysis'!$C43,$A47-61,1))</f>
        <v/>
      </c>
      <c r="BM47" s="29" t="str">
        <f>IF(OR($B47="",$A47&lt;=62),"",--MID('Key Analysis'!$C43,$A47-62,1))</f>
        <v/>
      </c>
      <c r="BN47" s="29" t="str">
        <f>IF(OR($B47="",$A47&lt;=63),"",--MID('Key Analysis'!$C43,$A47-63,1))</f>
        <v/>
      </c>
      <c r="BO47" s="29" t="str">
        <f>IF(OR($B47="",$A47&lt;=64),"",--MID('Key Analysis'!$C43,$A47-64,1))</f>
        <v/>
      </c>
      <c r="BP47" s="29" t="str">
        <f>IF(OR($B47="",$A47&lt;=65),"",--MID('Key Analysis'!$C43,$A47-65,1))</f>
        <v/>
      </c>
      <c r="BQ47" s="29" t="str">
        <f>IF(OR($B47="",$A47&lt;=66),"",--MID('Key Analysis'!$C43,$A47-66,1))</f>
        <v/>
      </c>
      <c r="BR47" s="29" t="str">
        <f>IF(OR($B47="",$A47&lt;=67),"",--MID('Key Analysis'!$C43,$A47-67,1))</f>
        <v/>
      </c>
      <c r="BS47" s="29" t="str">
        <f>IF(OR($B47="",$A47&lt;=68),"",--MID('Key Analysis'!$C43,$A47-68,1))</f>
        <v/>
      </c>
      <c r="BT47" s="29" t="str">
        <f>IF(OR($B47="",$A47&lt;=69),"",--MID('Key Analysis'!$C43,$A47-69,1))</f>
        <v/>
      </c>
      <c r="BU47" s="29" t="str">
        <f>IF(OR($B47="",$A47&lt;=70),"",--MID('Key Analysis'!$C43,$A47-70,1))</f>
        <v/>
      </c>
      <c r="BV47" s="29" t="str">
        <f>IF(OR($B47="",$A47&lt;=71),"",--MID('Key Analysis'!$C43,$A47-71,1))</f>
        <v/>
      </c>
      <c r="BW47" s="29" t="str">
        <f>IF(OR($B47="",$A47&lt;=72),"",--MID('Key Analysis'!$C43,$A47-72,1))</f>
        <v/>
      </c>
      <c r="BX47" s="29" t="str">
        <f>IF(OR($B47="",$A47&lt;=73),"",--MID('Key Analysis'!$C43,$A47-73,1))</f>
        <v/>
      </c>
      <c r="BY47" s="29" t="str">
        <f>IF(OR($B47="",$A47&lt;=74),"",--MID('Key Analysis'!$C43,$A47-74,1))</f>
        <v/>
      </c>
      <c r="BZ47" s="29" t="str">
        <f>IF(OR($B47="",$A47&lt;=75),"",--MID('Key Analysis'!$C43,$A47-75,1))</f>
        <v/>
      </c>
      <c r="CA47" s="29" t="str">
        <f>IF(OR($B47="",$A47&lt;=76),"",--MID('Key Analysis'!$C43,$A47-76,1))</f>
        <v/>
      </c>
      <c r="CB47" s="29" t="str">
        <f>IF(OR($B47="",$A47&lt;=77),"",--MID('Key Analysis'!$C43,$A47-77,1))</f>
        <v/>
      </c>
      <c r="CC47" s="29" t="str">
        <f>IF(OR($B47="",$A47&lt;=78),"",--MID('Key Analysis'!$C43,$A47-78,1))</f>
        <v/>
      </c>
      <c r="CD47" s="29" t="str">
        <f>IF(OR($B47="",$A47&lt;=79),"",--MID('Key Analysis'!$C43,$A47-79,1))</f>
        <v/>
      </c>
      <c r="CE47" s="29" t="str">
        <f>IF(OR($B47="",$A47&lt;=80),"",--MID('Key Analysis'!$C43,$A47-80,1))</f>
        <v/>
      </c>
      <c r="CF47" s="29" t="str">
        <f>IF(OR($B47="",$A47&lt;=81),"",--MID('Key Analysis'!$C43,$A47-81,1))</f>
        <v/>
      </c>
      <c r="CG47" s="29" t="str">
        <f>IF(OR($B47="",$A47&lt;=82),"",--MID('Key Analysis'!$C43,$A47-82,1))</f>
        <v/>
      </c>
      <c r="CH47" s="29" t="str">
        <f>IF(OR($B47="",$A47&lt;=83),"",--MID('Key Analysis'!$C43,$A47-83,1))</f>
        <v/>
      </c>
      <c r="CI47" s="29" t="str">
        <f>IF(OR($B47="",$A47&lt;=84),"",--MID('Key Analysis'!$C43,$A47-84,1))</f>
        <v/>
      </c>
      <c r="CJ47" s="29" t="str">
        <f>IF(OR($B47="",$A47&lt;=85),"",--MID('Key Analysis'!$C43,$A47-85,1))</f>
        <v/>
      </c>
      <c r="CK47" s="29" t="str">
        <f>IF(OR($B47="",$A47&lt;=86),"",--MID('Key Analysis'!$C43,$A47-86,1))</f>
        <v/>
      </c>
      <c r="CL47" s="29" t="str">
        <f>IF(OR($B47="",$A47&lt;=87),"",--MID('Key Analysis'!$C43,$A47-87,1))</f>
        <v/>
      </c>
      <c r="CM47" s="29" t="str">
        <f>IF(OR($B47="",$A47&lt;=88),"",--MID('Key Analysis'!$C43,$A47-88,1))</f>
        <v/>
      </c>
      <c r="CN47" s="29" t="str">
        <f>IF(OR($B47="",$A47&lt;=89),"",--MID('Key Analysis'!$C43,$A47-89,1))</f>
        <v/>
      </c>
      <c r="CO47" s="29" t="str">
        <f>IF(OR($B47="",$A47&lt;=90),"",--MID('Key Analysis'!$C43,$A47-90,1))</f>
        <v/>
      </c>
      <c r="CP47" s="29" t="str">
        <f>IF(OR($B47="",$A47&lt;=91),"",--MID('Key Analysis'!$C43,$A47-91,1))</f>
        <v/>
      </c>
      <c r="CQ47" s="29" t="str">
        <f>IF(OR($B47="",$A47&lt;=92),"",--MID('Key Analysis'!$C43,$A47-92,1))</f>
        <v/>
      </c>
      <c r="CR47" s="29" t="str">
        <f>IF(OR($B47="",$A47&lt;=93),"",--MID('Key Analysis'!$C43,$A47-93,1))</f>
        <v/>
      </c>
      <c r="CS47" s="29" t="str">
        <f>IF(OR($B47="",$A47&lt;=94),"",--MID('Key Analysis'!$C43,$A47-94,1))</f>
        <v/>
      </c>
      <c r="CT47" s="29" t="str">
        <f>IF(OR($B47="",$A47&lt;=95),"",--MID('Key Analysis'!$C43,$A47-95,1))</f>
        <v/>
      </c>
      <c r="CU47" s="29" t="str">
        <f>IF(OR($B47="",$A47&lt;=96),"",--MID('Key Analysis'!$C43,$A47-96,1))</f>
        <v/>
      </c>
      <c r="CV47" s="29" t="str">
        <f>IF(OR($B47="",$A47&lt;=97),"",--MID('Key Analysis'!$C43,$A47-97,1))</f>
        <v/>
      </c>
      <c r="CW47" s="29" t="str">
        <f>IF(OR($B47="",$A47&lt;=98),"",--MID('Key Analysis'!$C43,$A47-98,1))</f>
        <v/>
      </c>
      <c r="CX47" s="29" t="str">
        <f>IF(OR($B47="",$A47&lt;=99),"",--MID('Key Analysis'!$C43,$A47-99,1))</f>
        <v/>
      </c>
      <c r="CY47" s="29" t="str">
        <f>IF(OR($B47="",$A47&lt;=100),"",--MID('Key Analysis'!$C43,$A47-100,1))</f>
        <v/>
      </c>
      <c r="CZ47" s="29" t="str">
        <f>IF(OR($B47="",$A47&lt;=101),"",--MID('Key Analysis'!$C43,$A47-101,1))</f>
        <v/>
      </c>
      <c r="DA47" s="29" t="str">
        <f>IF(OR($B47="",$A47&lt;=102),"",--MID('Key Analysis'!$C43,$A47-102,1))</f>
        <v/>
      </c>
      <c r="DB47" s="29" t="str">
        <f>IF(OR($B47="",$A47&lt;=103),"",--MID('Key Analysis'!$C43,$A47-103,1))</f>
        <v/>
      </c>
      <c r="DC47" s="29" t="str">
        <f>IF(OR($B47="",$A47&lt;=104),"",--MID('Key Analysis'!$C43,$A47-104,1))</f>
        <v/>
      </c>
      <c r="DD47" s="29" t="str">
        <f>IF(OR($B47="",$A47&lt;=105),"",--MID('Key Analysis'!$C43,$A47-105,1))</f>
        <v/>
      </c>
      <c r="DE47" s="29" t="str">
        <f>IF(OR($B47="",$A47&lt;=106),"",--MID('Key Analysis'!$C43,$A47-106,1))</f>
        <v/>
      </c>
      <c r="DF47" s="29" t="str">
        <f>IF(OR($B47="",$A47&lt;=107),"",--MID('Key Analysis'!$C43,$A47-107,1))</f>
        <v/>
      </c>
      <c r="DG47" s="29" t="str">
        <f>IF(OR($B47="",$A47&lt;=108),"",--MID('Key Analysis'!$C43,$A47-108,1))</f>
        <v/>
      </c>
      <c r="DH47" s="29" t="str">
        <f>IF(OR($B47="",$A47&lt;=109),"",--MID('Key Analysis'!$C43,$A47-109,1))</f>
        <v/>
      </c>
      <c r="DI47" s="29" t="str">
        <f>IF(OR($B47="",$A47&lt;=110),"",--MID('Key Analysis'!$C43,$A47-110,1))</f>
        <v/>
      </c>
      <c r="DJ47" s="29" t="str">
        <f>IF(OR($B47="",$A47&lt;=111),"",--MID('Key Analysis'!$C43,$A47-111,1))</f>
        <v/>
      </c>
      <c r="DK47" s="29" t="str">
        <f>IF(OR($B47="",$A47&lt;=112),"",--MID('Key Analysis'!$C43,$A47-112,1))</f>
        <v/>
      </c>
      <c r="DL47" s="29" t="str">
        <f>IF(OR($B47="",$A47&lt;=113),"",--MID('Key Analysis'!$C43,$A47-113,1))</f>
        <v/>
      </c>
      <c r="DM47" s="29" t="str">
        <f>IF(OR($B47="",$A47&lt;=114),"",--MID('Key Analysis'!$C43,$A47-114,1))</f>
        <v/>
      </c>
      <c r="DN47" s="29" t="str">
        <f>IF(OR($B47="",$A47&lt;=115),"",--MID('Key Analysis'!$C43,$A47-115,1))</f>
        <v/>
      </c>
      <c r="DO47" s="29" t="str">
        <f>IF(OR($B47="",$A47&lt;=116),"",--MID('Key Analysis'!$C43,$A47-116,1))</f>
        <v/>
      </c>
      <c r="DP47" s="29" t="str">
        <f>IF(OR($B47="",$A47&lt;=117),"",--MID('Key Analysis'!$C43,$A47-117,1))</f>
        <v/>
      </c>
      <c r="DQ47" s="29" t="str">
        <f>IF(OR($B47="",$A47&lt;=118),"",--MID('Key Analysis'!$C43,$A47-118,1))</f>
        <v/>
      </c>
      <c r="DR47" s="29" t="str">
        <f>IF(OR($B47="",$A47&lt;=119),"",--MID('Key Analysis'!$C43,$A47-119,1))</f>
        <v/>
      </c>
      <c r="DS47" s="29" t="str">
        <f>IF(OR($B47="",$A47&lt;=120),"",--MID('Key Analysis'!$C43,$A47-120,1))</f>
        <v/>
      </c>
      <c r="DT47" s="29" t="str">
        <f>IF(OR($B47="",$A47&lt;=121),"",--MID('Key Analysis'!$C43,$A47-121,1))</f>
        <v/>
      </c>
      <c r="DU47" s="29" t="str">
        <f>IF(OR($B47="",$A47&lt;=122),"",--MID('Key Analysis'!$C43,$A47-122,1))</f>
        <v/>
      </c>
      <c r="DV47" s="29" t="str">
        <f>IF(OR($B47="",$A47&lt;=123),"",--MID('Key Analysis'!$C43,$A47-123,1))</f>
        <v/>
      </c>
      <c r="DW47" s="29" t="str">
        <f>IF(OR($B47="",$A47&lt;=124),"",--MID('Key Analysis'!$C43,$A47-124,1))</f>
        <v/>
      </c>
      <c r="DX47" s="29" t="str">
        <f>IF(OR($B47="",$A47&lt;=125),"",--MID('Key Analysis'!$C43,$A47-125,1))</f>
        <v/>
      </c>
      <c r="DY47" s="29" t="str">
        <f>IF(OR($B47="",$A47&lt;=126),"",--MID('Key Analysis'!$C43,$A47-126,1))</f>
        <v/>
      </c>
      <c r="DZ47" s="29" t="str">
        <f>IF(OR($B47="",$A47&lt;=127),"",--MID('Key Analysis'!$C43,$A47-127,1))</f>
        <v/>
      </c>
      <c r="EA47" s="29" t="str">
        <f>IF(OR($B47="",$A47&lt;=128),"",--MID('Key Analysis'!$C43,$A47-128,1))</f>
        <v/>
      </c>
      <c r="EB47" s="29" t="str">
        <f>IF(OR($B47="",$A47&lt;=129),"",--MID('Key Analysis'!$C43,$A47-129,1))</f>
        <v/>
      </c>
      <c r="EC47" s="29" t="str">
        <f>IF(OR($B47="",$A47&lt;=130),"",--MID('Key Analysis'!$C43,$A47-130,1))</f>
        <v/>
      </c>
      <c r="ED47" s="29" t="str">
        <f>IF(OR($B47="",$A47&lt;=131),"",--MID('Key Analysis'!$C43,$A47-131,1))</f>
        <v/>
      </c>
      <c r="EE47" s="29" t="str">
        <f>IF(OR($B47="",$A47&lt;=132),"",--MID('Key Analysis'!$C43,$A47-132,1))</f>
        <v/>
      </c>
      <c r="EF47" s="29" t="str">
        <f>IF(OR($B47="",$A47&lt;=133),"",--MID('Key Analysis'!$C43,$A47-133,1))</f>
        <v/>
      </c>
      <c r="EG47" s="29" t="str">
        <f>IF(OR($B47="",$A47&lt;=134),"",--MID('Key Analysis'!$C43,$A47-134,1))</f>
        <v/>
      </c>
      <c r="EH47" s="29"/>
      <c r="EI47" s="29">
        <f>IF(OR($B47="",$A47&lt;1),"",--MID('Key Analysis'!$C43,1,1))</f>
        <v>1</v>
      </c>
      <c r="EJ47" s="29">
        <f>IF(OR($B47="",$A47&lt;2),"",--MID('Key Analysis'!$C43,2,1))</f>
        <v>0</v>
      </c>
      <c r="EK47" s="29">
        <f>IF(OR($B47="",$A47&lt;3),"",--MID('Key Analysis'!$C43,3,1))</f>
        <v>1</v>
      </c>
      <c r="EL47" s="29">
        <f>IF(OR($B47="",$A47&lt;4),"",--MID('Key Analysis'!$C43,4,1))</f>
        <v>0</v>
      </c>
      <c r="EM47" s="29">
        <f>IF(OR($B47="",$A47&lt;5),"",--MID('Key Analysis'!$C43,5,1))</f>
        <v>1</v>
      </c>
      <c r="EN47" s="29">
        <f>IF(OR($B47="",$A47&lt;6),"",--MID('Key Analysis'!$C43,6,1))</f>
        <v>0</v>
      </c>
      <c r="EO47" s="29">
        <f>IF(OR($B47="",$A47&lt;7),"",--MID('Key Analysis'!$C43,7,1))</f>
        <v>0</v>
      </c>
      <c r="EP47" s="29">
        <f>IF(OR($B47="",$A47&lt;8),"",--MID('Key Analysis'!$C43,8,1))</f>
        <v>0</v>
      </c>
      <c r="EQ47" s="29">
        <f>IF(OR($B47="",$A47&lt;9),"",--MID('Key Analysis'!$C43,9,1))</f>
        <v>1</v>
      </c>
      <c r="ER47" s="29">
        <f>IF(OR($B47="",$A47&lt;10),"",--MID('Key Analysis'!$C43,10,1))</f>
        <v>0</v>
      </c>
      <c r="ES47" s="29">
        <f>IF(OR($B47="",$A47&lt;11),"",--MID('Key Analysis'!$C43,11,1))</f>
        <v>0</v>
      </c>
      <c r="ET47" s="29">
        <f>IF(OR($B47="",$A47&lt;12),"",--MID('Key Analysis'!$C43,12,1))</f>
        <v>0</v>
      </c>
      <c r="EU47" s="29">
        <f>IF(OR($B47="",$A47&lt;13),"",--MID('Key Analysis'!$C43,13,1))</f>
        <v>1</v>
      </c>
      <c r="EV47" s="29">
        <f>IF(OR($B47="",$A47&lt;14),"",--MID('Key Analysis'!$C43,14,1))</f>
        <v>0</v>
      </c>
      <c r="EW47" s="29">
        <f>IF(OR($B47="",$A47&lt;15),"",--MID('Key Analysis'!$C43,15,1))</f>
        <v>0</v>
      </c>
      <c r="EX47" s="29">
        <f>IF(OR($B47="",$A47&lt;16),"",--MID('Key Analysis'!$C43,16,1))</f>
        <v>0</v>
      </c>
      <c r="EY47" s="29">
        <f>IF(OR($B47="",$A47&lt;17),"",--MID('Key Analysis'!$C43,17,1))</f>
        <v>0</v>
      </c>
      <c r="EZ47" s="29">
        <f>IF(OR($B47="",$A47&lt;18),"",--MID('Key Analysis'!$C43,18,1))</f>
        <v>1</v>
      </c>
      <c r="FA47" s="29">
        <f>IF(OR($B47="",$A47&lt;19),"",--MID('Key Analysis'!$C43,19,1))</f>
        <v>1</v>
      </c>
      <c r="FB47" s="29">
        <f>IF(OR($B47="",$A47&lt;20),"",--MID('Key Analysis'!$C43,20,1))</f>
        <v>1</v>
      </c>
      <c r="FC47" s="29">
        <f>IF(OR($B47="",$A47&lt;21),"",--MID('Key Analysis'!$C43,21,1))</f>
        <v>0</v>
      </c>
      <c r="FD47" s="29">
        <f>IF(OR($B47="",$A47&lt;22),"",--MID('Key Analysis'!$C43,22,1))</f>
        <v>0</v>
      </c>
      <c r="FE47" s="29">
        <f>IF(OR($B47="",$A47&lt;23),"",--MID('Key Analysis'!$C43,23,1))</f>
        <v>0</v>
      </c>
      <c r="FF47" s="29">
        <f>IF(OR($B47="",$A47&lt;24),"",--MID('Key Analysis'!$C43,24,1))</f>
        <v>1</v>
      </c>
      <c r="FG47" s="29">
        <f>IF(OR($B47="",$A47&lt;25),"",--MID('Key Analysis'!$C43,25,1))</f>
        <v>0</v>
      </c>
      <c r="FH47" s="29">
        <f>IF(OR($B47="",$A47&lt;26),"",--MID('Key Analysis'!$C43,26,1))</f>
        <v>1</v>
      </c>
      <c r="FI47" s="29">
        <f>IF(OR($B47="",$A47&lt;27),"",--MID('Key Analysis'!$C43,27,1))</f>
        <v>1</v>
      </c>
      <c r="FJ47" s="29">
        <f>IF(OR($B47="",$A47&lt;28),"",--MID('Key Analysis'!$C43,28,1))</f>
        <v>0</v>
      </c>
      <c r="FK47" s="29">
        <f>IF(OR($B47="",$A47&lt;29),"",--MID('Key Analysis'!$C43,29,1))</f>
        <v>0</v>
      </c>
      <c r="FL47" s="29">
        <f>IF(OR($B47="",$A47&lt;30),"",--MID('Key Analysis'!$C43,30,1))</f>
        <v>0</v>
      </c>
      <c r="FM47" s="29">
        <f>IF(OR($B47="",$A47&lt;31),"",--MID('Key Analysis'!$C43,31,1))</f>
        <v>1</v>
      </c>
      <c r="FN47" s="29">
        <f>IF(OR($B47="",$A47&lt;32),"",--MID('Key Analysis'!$C43,32,1))</f>
        <v>1</v>
      </c>
      <c r="FO47" s="29">
        <f>IF(OR($B47="",$A47&lt;33),"",--MID('Key Analysis'!$C43,33,1))</f>
        <v>0</v>
      </c>
      <c r="FP47" s="29">
        <f>IF(OR($B47="",$A47&lt;34),"",--MID('Key Analysis'!$C43,34,1))</f>
        <v>1</v>
      </c>
      <c r="FQ47" s="29">
        <f>IF(OR($B47="",$A47&lt;35),"",--MID('Key Analysis'!$C43,35,1))</f>
        <v>1</v>
      </c>
      <c r="FR47" s="29">
        <f>IF(OR($B47="",$A47&lt;36),"",--MID('Key Analysis'!$C43,36,1))</f>
        <v>0</v>
      </c>
      <c r="FS47" s="29">
        <f>IF(OR($B47="",$A47&lt;37),"",--MID('Key Analysis'!$C43,37,1))</f>
        <v>0</v>
      </c>
      <c r="FT47" s="29">
        <f>IF(OR($B47="",$A47&lt;38),"",--MID('Key Analysis'!$C43,38,1))</f>
        <v>0</v>
      </c>
      <c r="FU47" s="29">
        <f>IF(OR($B47="",$A47&lt;39),"",--MID('Key Analysis'!$C43,39,1))</f>
        <v>1</v>
      </c>
      <c r="FV47" s="29">
        <f>IF(OR($B47="",$A47&lt;40),"",--MID('Key Analysis'!$C43,40,1))</f>
        <v>1</v>
      </c>
      <c r="FW47" s="29">
        <f>IF(OR($B47="",$A47&lt;41),"",--MID('Key Analysis'!$C43,41,1))</f>
        <v>1</v>
      </c>
      <c r="FX47" s="29">
        <f>IF(OR($B47="",$A47&lt;42),"",--MID('Key Analysis'!$C43,42,1))</f>
        <v>1</v>
      </c>
      <c r="FY47" s="29" t="str">
        <f>IF(OR($B47="",$A47&lt;43),"",--MID('Key Analysis'!$C43,43,1))</f>
        <v/>
      </c>
      <c r="FZ47" s="29" t="str">
        <f>IF(OR($B47="",$A47&lt;44),"",--MID('Key Analysis'!$C43,44,1))</f>
        <v/>
      </c>
      <c r="GA47" s="29" t="str">
        <f>IF(OR($B47="",$A47&lt;45),"",--MID('Key Analysis'!$C43,45,1))</f>
        <v/>
      </c>
      <c r="GB47" s="29" t="str">
        <f>IF(OR($B47="",$A47&lt;46),"",--MID('Key Analysis'!$C43,46,1))</f>
        <v/>
      </c>
      <c r="GC47" s="29" t="str">
        <f>IF(OR($B47="",$A47&lt;47),"",--MID('Key Analysis'!$C43,47,1))</f>
        <v/>
      </c>
      <c r="GD47" s="29" t="str">
        <f>IF(OR($B47="",$A47&lt;48),"",--MID('Key Analysis'!$C43,48,1))</f>
        <v/>
      </c>
      <c r="GE47" s="29" t="str">
        <f>IF(OR($B47="",$A47&lt;49),"",--MID('Key Analysis'!$C43,49,1))</f>
        <v/>
      </c>
      <c r="GF47" s="29" t="str">
        <f>IF(OR($B47="",$A47&lt;50),"",--MID('Key Analysis'!$C43,50,1))</f>
        <v/>
      </c>
      <c r="GG47" s="29" t="str">
        <f>IF(OR($B47="",$A47&lt;51),"",--MID('Key Analysis'!$C43,51,1))</f>
        <v/>
      </c>
      <c r="GH47" s="29" t="str">
        <f>IF(OR($B47="",$A47&lt;52),"",--MID('Key Analysis'!$C43,52,1))</f>
        <v/>
      </c>
      <c r="GI47" s="29" t="str">
        <f>IF(OR($B47="",$A47&lt;53),"",--MID('Key Analysis'!$C43,53,1))</f>
        <v/>
      </c>
      <c r="GJ47" s="29" t="str">
        <f>IF(OR($B47="",$A47&lt;54),"",--MID('Key Analysis'!$C43,54,1))</f>
        <v/>
      </c>
      <c r="GK47" s="29" t="str">
        <f>IF(OR($B47="",$A47&lt;55),"",--MID('Key Analysis'!$C43,55,1))</f>
        <v/>
      </c>
      <c r="GL47" s="29" t="str">
        <f>IF(OR($B47="",$A47&lt;56),"",--MID('Key Analysis'!$C43,56,1))</f>
        <v/>
      </c>
      <c r="GM47" s="29" t="str">
        <f>IF(OR($B47="",$A47&lt;57),"",--MID('Key Analysis'!$C43,57,1))</f>
        <v/>
      </c>
      <c r="GN47" s="29" t="str">
        <f>IF(OR($B47="",$A47&lt;58),"",--MID('Key Analysis'!$C43,58,1))</f>
        <v/>
      </c>
      <c r="GO47" s="29" t="str">
        <f>IF(OR($B47="",$A47&lt;59),"",--MID('Key Analysis'!$C43,59,1))</f>
        <v/>
      </c>
      <c r="GP47" s="29" t="str">
        <f>IF(OR($B47="",$A47&lt;60),"",--MID('Key Analysis'!$C43,60,1))</f>
        <v/>
      </c>
      <c r="GQ47" s="29" t="str">
        <f>IF(OR($B47="",$A47&lt;61),"",--MID('Key Analysis'!$C43,61,1))</f>
        <v/>
      </c>
      <c r="GR47" s="29" t="str">
        <f>IF(OR($B47="",$A47&lt;62),"",--MID('Key Analysis'!$C43,62,1))</f>
        <v/>
      </c>
      <c r="GS47" s="29" t="str">
        <f>IF(OR($B47="",$A47&lt;63),"",--MID('Key Analysis'!$C43,63,1))</f>
        <v/>
      </c>
      <c r="GT47" s="29" t="str">
        <f>IF(OR($B47="",$A47&lt;64),"",--MID('Key Analysis'!$C43,64,1))</f>
        <v/>
      </c>
      <c r="GU47" s="29" t="str">
        <f>IF(OR($B47="",$A47&lt;65),"",--MID('Key Analysis'!$C43,65,1))</f>
        <v/>
      </c>
      <c r="GV47" s="29" t="str">
        <f>IF(OR($B47="",$A47&lt;66),"",--MID('Key Analysis'!$C43,66,1))</f>
        <v/>
      </c>
      <c r="GW47" s="29" t="str">
        <f>IF(OR($B47="",$A47&lt;67),"",--MID('Key Analysis'!$C43,67,1))</f>
        <v/>
      </c>
      <c r="GX47" s="29" t="str">
        <f>IF(OR($B47="",$A47&lt;68),"",--MID('Key Analysis'!$C43,68,1))</f>
        <v/>
      </c>
      <c r="GY47" s="29" t="str">
        <f>IF(OR($B47="",$A47&lt;69),"",--MID('Key Analysis'!$C43,69,1))</f>
        <v/>
      </c>
      <c r="GZ47" s="29" t="str">
        <f>IF(OR($B47="",$A47&lt;70),"",--MID('Key Analysis'!$C43,70,1))</f>
        <v/>
      </c>
      <c r="HA47" s="29" t="str">
        <f>IF(OR($B47="",$A47&lt;71),"",--MID('Key Analysis'!$C43,71,1))</f>
        <v/>
      </c>
      <c r="HB47" s="29" t="str">
        <f>IF(OR($B47="",$A47&lt;72),"",--MID('Key Analysis'!$C43,72,1))</f>
        <v/>
      </c>
      <c r="HC47" s="29" t="str">
        <f>IF(OR($B47="",$A47&lt;73),"",--MID('Key Analysis'!$C43,73,1))</f>
        <v/>
      </c>
      <c r="HD47" s="29" t="str">
        <f>IF(OR($B47="",$A47&lt;74),"",--MID('Key Analysis'!$C43,74,1))</f>
        <v/>
      </c>
      <c r="HE47" s="29" t="str">
        <f>IF(OR($B47="",$A47&lt;75),"",--MID('Key Analysis'!$C43,75,1))</f>
        <v/>
      </c>
      <c r="HF47" s="29" t="str">
        <f>IF(OR($B47="",$A47&lt;76),"",--MID('Key Analysis'!$C43,76,1))</f>
        <v/>
      </c>
      <c r="HG47" s="29" t="str">
        <f>IF(OR($B47="",$A47&lt;77),"",--MID('Key Analysis'!$C43,77,1))</f>
        <v/>
      </c>
      <c r="HH47" s="29" t="str">
        <f>IF(OR($B47="",$A47&lt;78),"",--MID('Key Analysis'!$C43,78,1))</f>
        <v/>
      </c>
      <c r="HI47" s="29" t="str">
        <f>IF(OR($B47="",$A47&lt;79),"",--MID('Key Analysis'!$C43,79,1))</f>
        <v/>
      </c>
      <c r="HJ47" s="29" t="str">
        <f>IF(OR($B47="",$A47&lt;80),"",--MID('Key Analysis'!$C43,80,1))</f>
        <v/>
      </c>
      <c r="HK47" s="29" t="str">
        <f>IF(OR($B47="",$A47&lt;81),"",--MID('Key Analysis'!$C43,81,1))</f>
        <v/>
      </c>
      <c r="HL47" s="29" t="str">
        <f>IF(OR($B47="",$A47&lt;82),"",--MID('Key Analysis'!$C43,82,1))</f>
        <v/>
      </c>
      <c r="HM47" s="29" t="str">
        <f>IF(OR($B47="",$A47&lt;83),"",--MID('Key Analysis'!$C43,83,1))</f>
        <v/>
      </c>
      <c r="HN47" s="29" t="str">
        <f>IF(OR($B47="",$A47&lt;84),"",--MID('Key Analysis'!$C43,84,1))</f>
        <v/>
      </c>
      <c r="HO47" s="29" t="str">
        <f>IF(OR($B47="",$A47&lt;85),"",--MID('Key Analysis'!$C43,85,1))</f>
        <v/>
      </c>
      <c r="HP47" s="29" t="str">
        <f>IF(OR($B47="",$A47&lt;86),"",--MID('Key Analysis'!$C43,86,1))</f>
        <v/>
      </c>
      <c r="HQ47" s="29" t="str">
        <f>IF(OR($B47="",$A47&lt;87),"",--MID('Key Analysis'!$C43,87,1))</f>
        <v/>
      </c>
      <c r="HR47" s="29" t="str">
        <f>IF(OR($B47="",$A47&lt;88),"",--MID('Key Analysis'!$C43,88,1))</f>
        <v/>
      </c>
      <c r="HS47" s="29" t="str">
        <f>IF(OR($B47="",$A47&lt;89),"",--MID('Key Analysis'!$C43,89,1))</f>
        <v/>
      </c>
      <c r="HT47" s="29" t="str">
        <f>IF(OR($B47="",$A47&lt;90),"",--MID('Key Analysis'!$C43,90,1))</f>
        <v/>
      </c>
      <c r="HU47" s="29" t="str">
        <f>IF(OR($B47="",$A47&lt;91),"",--MID('Key Analysis'!$C43,91,1))</f>
        <v/>
      </c>
      <c r="HV47" s="29" t="str">
        <f>IF(OR($B47="",$A47&lt;92),"",--MID('Key Analysis'!$C43,92,1))</f>
        <v/>
      </c>
      <c r="HW47" s="29" t="str">
        <f>IF(OR($B47="",$A47&lt;93),"",--MID('Key Analysis'!$C43,93,1))</f>
        <v/>
      </c>
      <c r="HX47" s="29" t="str">
        <f>IF(OR($B47="",$A47&lt;94),"",--MID('Key Analysis'!$C43,94,1))</f>
        <v/>
      </c>
      <c r="HY47" s="29" t="str">
        <f>IF(OR($B47="",$A47&lt;95),"",--MID('Key Analysis'!$C43,95,1))</f>
        <v/>
      </c>
      <c r="HZ47" s="29" t="str">
        <f>IF(OR($B47="",$A47&lt;96),"",--MID('Key Analysis'!$C43,96,1))</f>
        <v/>
      </c>
      <c r="IA47" s="29" t="str">
        <f>IF(OR($B47="",$A47&lt;97),"",--MID('Key Analysis'!$C43,97,1))</f>
        <v/>
      </c>
      <c r="IB47" s="29" t="str">
        <f>IF(OR($B47="",$A47&lt;98),"",--MID('Key Analysis'!$C43,98,1))</f>
        <v/>
      </c>
      <c r="IC47" s="29" t="str">
        <f>IF(OR($B47="",$A47&lt;99),"",--MID('Key Analysis'!$C43,99,1))</f>
        <v/>
      </c>
      <c r="ID47" s="29" t="str">
        <f>IF(OR($B47="",$A47&lt;100),"",--MID('Key Analysis'!$C43,100,1))</f>
        <v/>
      </c>
      <c r="IE47" s="29" t="str">
        <f>IF(OR($B47="",$A47&lt;101),"",--MID('Key Analysis'!$C43,101,1))</f>
        <v/>
      </c>
      <c r="IF47" s="29" t="str">
        <f>IF(OR($B47="",$A47&lt;102),"",--MID('Key Analysis'!$C43,102,1))</f>
        <v/>
      </c>
      <c r="IG47" s="29" t="str">
        <f>IF(OR($B47="",$A47&lt;103),"",--MID('Key Analysis'!$C43,103,1))</f>
        <v/>
      </c>
      <c r="IH47" s="29" t="str">
        <f>IF(OR($B47="",$A47&lt;104),"",--MID('Key Analysis'!$C43,104,1))</f>
        <v/>
      </c>
      <c r="II47" s="29" t="str">
        <f>IF(OR($B47="",$A47&lt;105),"",--MID('Key Analysis'!$C43,105,1))</f>
        <v/>
      </c>
      <c r="IJ47" s="29" t="str">
        <f>IF(OR($B47="",$A47&lt;106),"",--MID('Key Analysis'!$C43,106,1))</f>
        <v/>
      </c>
      <c r="IK47" s="29" t="str">
        <f>IF(OR($B47="",$A47&lt;107),"",--MID('Key Analysis'!$C43,107,1))</f>
        <v/>
      </c>
      <c r="IL47" s="29" t="str">
        <f>IF(OR($B47="",$A47&lt;108),"",--MID('Key Analysis'!$C43,108,1))</f>
        <v/>
      </c>
      <c r="IM47" s="29" t="str">
        <f>IF(OR($B47="",$A47&lt;109),"",--MID('Key Analysis'!$C43,109,1))</f>
        <v/>
      </c>
      <c r="IN47" s="29" t="str">
        <f>IF(OR($B47="",$A47&lt;110),"",--MID('Key Analysis'!$C43,110,1))</f>
        <v/>
      </c>
      <c r="IO47" s="29" t="str">
        <f>IF(OR($B47="",$A47&lt;111),"",--MID('Key Analysis'!$C43,111,1))</f>
        <v/>
      </c>
      <c r="IP47" s="29" t="str">
        <f>IF(OR($B47="",$A47&lt;112),"",--MID('Key Analysis'!$C43,112,1))</f>
        <v/>
      </c>
      <c r="IQ47" s="29" t="str">
        <f>IF(OR($B47="",$A47&lt;113),"",--MID('Key Analysis'!$C43,113,1))</f>
        <v/>
      </c>
      <c r="IR47" s="29" t="str">
        <f>IF(OR($B47="",$A47&lt;114),"",--MID('Key Analysis'!$C43,114,1))</f>
        <v/>
      </c>
      <c r="IS47" s="29" t="str">
        <f>IF(OR($B47="",$A47&lt;115),"",--MID('Key Analysis'!$C43,115,1))</f>
        <v/>
      </c>
      <c r="IT47" s="29" t="str">
        <f>IF(OR($B47="",$A47&lt;116),"",--MID('Key Analysis'!$C43,116,1))</f>
        <v/>
      </c>
      <c r="IU47" s="29" t="str">
        <f>IF(OR($B47="",$A47&lt;117),"",--MID('Key Analysis'!$C43,117,1))</f>
        <v/>
      </c>
      <c r="IV47" s="29" t="str">
        <f>IF(OR($B47="",$A47&lt;118),"",--MID('Key Analysis'!$C43,118,1))</f>
        <v/>
      </c>
      <c r="IW47" s="29" t="str">
        <f>IF(OR($B47="",$A47&lt;119),"",--MID('Key Analysis'!$C43,119,1))</f>
        <v/>
      </c>
      <c r="IX47" s="29" t="str">
        <f>IF(OR($B47="",$A47&lt;120),"",--MID('Key Analysis'!$C43,120,1))</f>
        <v/>
      </c>
      <c r="IY47" s="29" t="str">
        <f>IF(OR($B47="",$A47&lt;121),"",--MID('Key Analysis'!$C43,121,1))</f>
        <v/>
      </c>
      <c r="IZ47" s="29" t="str">
        <f>IF(OR($B47="",$A47&lt;122),"",--MID('Key Analysis'!$C43,122,1))</f>
        <v/>
      </c>
      <c r="JA47" s="29" t="str">
        <f>IF(OR($B47="",$A47&lt;123),"",--MID('Key Analysis'!$C43,123,1))</f>
        <v/>
      </c>
      <c r="JB47" s="29" t="str">
        <f>IF(OR($B47="",$A47&lt;124),"",--MID('Key Analysis'!$C43,124,1))</f>
        <v/>
      </c>
      <c r="JC47" s="29" t="str">
        <f>IF(OR($B47="",$A47&lt;125),"",--MID('Key Analysis'!$C43,125,1))</f>
        <v/>
      </c>
      <c r="JD47" s="29" t="str">
        <f>IF(OR($B47="",$A47&lt;126),"",--MID('Key Analysis'!$C43,126,1))</f>
        <v/>
      </c>
      <c r="JE47" s="29" t="str">
        <f>IF(OR($B47="",$A47&lt;127),"",--MID('Key Analysis'!$C43,127,1))</f>
        <v/>
      </c>
      <c r="JF47" s="29" t="str">
        <f>IF(OR($B47="",$A47&lt;128),"",--MID('Key Analysis'!$C43,128,1))</f>
        <v/>
      </c>
      <c r="JG47" s="29" t="str">
        <f>IF(OR($B47="",$A47&lt;129),"",--MID('Key Analysis'!$C43,129,1))</f>
        <v/>
      </c>
      <c r="JH47" s="29" t="str">
        <f>IF(OR($B47="",$A47&lt;130),"",--MID('Key Analysis'!$C43,130,1))</f>
        <v/>
      </c>
      <c r="JI47" s="29" t="str">
        <f>IF(OR($B47="",$A47&lt;131),"",--MID('Key Analysis'!$C43,131,1))</f>
        <v/>
      </c>
      <c r="JJ47" s="29" t="str">
        <f>IF(OR($B47="",$A47&lt;132),"",--MID('Key Analysis'!$C43,132,1))</f>
        <v/>
      </c>
      <c r="JK47" s="29" t="str">
        <f>IF(OR($B47="",$A47&lt;133),"",--MID('Key Analysis'!$C43,133,1))</f>
        <v/>
      </c>
      <c r="JL47" s="29" t="str">
        <f>IF(OR($B47="",$A47&lt;134),"",--MID('Key Analysis'!$C43,134,1))</f>
        <v/>
      </c>
      <c r="JM47" s="29" t="str">
        <f>IF(OR($B47="",$A47&lt;135),"",--MID('Key Analysis'!$C43,135,1))</f>
        <v/>
      </c>
    </row>
    <row r="48" spans="1:273" x14ac:dyDescent="0.25">
      <c r="A48" s="21">
        <f>'Key Analysis'!A44</f>
        <v>43</v>
      </c>
      <c r="B48" s="30" t="str">
        <f>'Key Analysis'!B44</f>
        <v>6bd3b27c591</v>
      </c>
      <c r="C48" s="29">
        <f>IF(OR($B48="",$A48&lt;=0),"",--MID('Key Analysis'!$C44,$A48-0,1))</f>
        <v>1</v>
      </c>
      <c r="D48" s="29">
        <f>IF(OR($B48="",$A48&lt;=1),"",--MID('Key Analysis'!$C44,$A48-1,1))</f>
        <v>0</v>
      </c>
      <c r="E48" s="29">
        <f>IF(OR($B48="",$A48&lt;=2),"",--MID('Key Analysis'!$C44,$A48-2,1))</f>
        <v>0</v>
      </c>
      <c r="F48" s="29">
        <f>IF(OR($B48="",$A48&lt;=3),"",--MID('Key Analysis'!$C44,$A48-3,1))</f>
        <v>0</v>
      </c>
      <c r="G48" s="29">
        <f>IF(OR($B48="",$A48&lt;=4),"",--MID('Key Analysis'!$C44,$A48-4,1))</f>
        <v>1</v>
      </c>
      <c r="H48" s="29">
        <f>IF(OR($B48="",$A48&lt;=5),"",--MID('Key Analysis'!$C44,$A48-5,1))</f>
        <v>0</v>
      </c>
      <c r="I48" s="29">
        <f>IF(OR($B48="",$A48&lt;=6),"",--MID('Key Analysis'!$C44,$A48-6,1))</f>
        <v>0</v>
      </c>
      <c r="J48" s="29">
        <f>IF(OR($B48="",$A48&lt;=7),"",--MID('Key Analysis'!$C44,$A48-7,1))</f>
        <v>1</v>
      </c>
      <c r="K48" s="29">
        <f>IF(OR($B48="",$A48&lt;=8),"",--MID('Key Analysis'!$C44,$A48-8,1))</f>
        <v>1</v>
      </c>
      <c r="L48" s="29">
        <f>IF(OR($B48="",$A48&lt;=9),"",--MID('Key Analysis'!$C44,$A48-9,1))</f>
        <v>0</v>
      </c>
      <c r="M48" s="29">
        <f>IF(OR($B48="",$A48&lt;=10),"",--MID('Key Analysis'!$C44,$A48-10,1))</f>
        <v>1</v>
      </c>
      <c r="N48" s="29">
        <f>IF(OR($B48="",$A48&lt;=11),"",--MID('Key Analysis'!$C44,$A48-11,1))</f>
        <v>0</v>
      </c>
      <c r="O48" s="29">
        <f>IF(OR($B48="",$A48&lt;=12),"",--MID('Key Analysis'!$C44,$A48-12,1))</f>
        <v>0</v>
      </c>
      <c r="P48" s="29">
        <f>IF(OR($B48="",$A48&lt;=13),"",--MID('Key Analysis'!$C44,$A48-13,1))</f>
        <v>0</v>
      </c>
      <c r="Q48" s="29">
        <f>IF(OR($B48="",$A48&lt;=14),"",--MID('Key Analysis'!$C44,$A48-14,1))</f>
        <v>1</v>
      </c>
      <c r="R48" s="29">
        <f>IF(OR($B48="",$A48&lt;=15),"",--MID('Key Analysis'!$C44,$A48-15,1))</f>
        <v>1</v>
      </c>
      <c r="S48" s="29">
        <f>IF(OR($B48="",$A48&lt;=16),"",--MID('Key Analysis'!$C44,$A48-16,1))</f>
        <v>1</v>
      </c>
      <c r="T48" s="29">
        <f>IF(OR($B48="",$A48&lt;=17),"",--MID('Key Analysis'!$C44,$A48-17,1))</f>
        <v>1</v>
      </c>
      <c r="U48" s="29">
        <f>IF(OR($B48="",$A48&lt;=18),"",--MID('Key Analysis'!$C44,$A48-18,1))</f>
        <v>1</v>
      </c>
      <c r="V48" s="29">
        <f>IF(OR($B48="",$A48&lt;=19),"",--MID('Key Analysis'!$C44,$A48-19,1))</f>
        <v>0</v>
      </c>
      <c r="W48" s="29">
        <f>IF(OR($B48="",$A48&lt;=20),"",--MID('Key Analysis'!$C44,$A48-20,1))</f>
        <v>0</v>
      </c>
      <c r="X48" s="29">
        <f>IF(OR($B48="",$A48&lt;=21),"",--MID('Key Analysis'!$C44,$A48-21,1))</f>
        <v>1</v>
      </c>
      <c r="Y48" s="29">
        <f>IF(OR($B48="",$A48&lt;=22),"",--MID('Key Analysis'!$C44,$A48-22,1))</f>
        <v>0</v>
      </c>
      <c r="Z48" s="29">
        <f>IF(OR($B48="",$A48&lt;=23),"",--MID('Key Analysis'!$C44,$A48-23,1))</f>
        <v>0</v>
      </c>
      <c r="AA48" s="29">
        <f>IF(OR($B48="",$A48&lt;=24),"",--MID('Key Analysis'!$C44,$A48-24,1))</f>
        <v>1</v>
      </c>
      <c r="AB48" s="29">
        <f>IF(OR($B48="",$A48&lt;=25),"",--MID('Key Analysis'!$C44,$A48-25,1))</f>
        <v>1</v>
      </c>
      <c r="AC48" s="29">
        <f>IF(OR($B48="",$A48&lt;=26),"",--MID('Key Analysis'!$C44,$A48-26,1))</f>
        <v>0</v>
      </c>
      <c r="AD48" s="29">
        <f>IF(OR($B48="",$A48&lt;=27),"",--MID('Key Analysis'!$C44,$A48-27,1))</f>
        <v>1</v>
      </c>
      <c r="AE48" s="29">
        <f>IF(OR($B48="",$A48&lt;=28),"",--MID('Key Analysis'!$C44,$A48-28,1))</f>
        <v>1</v>
      </c>
      <c r="AF48" s="29">
        <f>IF(OR($B48="",$A48&lt;=29),"",--MID('Key Analysis'!$C44,$A48-29,1))</f>
        <v>1</v>
      </c>
      <c r="AG48" s="29">
        <f>IF(OR($B48="",$A48&lt;=30),"",--MID('Key Analysis'!$C44,$A48-30,1))</f>
        <v>0</v>
      </c>
      <c r="AH48" s="29">
        <f>IF(OR($B48="",$A48&lt;=31),"",--MID('Key Analysis'!$C44,$A48-31,1))</f>
        <v>0</v>
      </c>
      <c r="AI48" s="29">
        <f>IF(OR($B48="",$A48&lt;=32),"",--MID('Key Analysis'!$C44,$A48-32,1))</f>
        <v>1</v>
      </c>
      <c r="AJ48" s="29">
        <f>IF(OR($B48="",$A48&lt;=33),"",--MID('Key Analysis'!$C44,$A48-33,1))</f>
        <v>0</v>
      </c>
      <c r="AK48" s="29">
        <f>IF(OR($B48="",$A48&lt;=34),"",--MID('Key Analysis'!$C44,$A48-34,1))</f>
        <v>1</v>
      </c>
      <c r="AL48" s="29">
        <f>IF(OR($B48="",$A48&lt;=35),"",--MID('Key Analysis'!$C44,$A48-35,1))</f>
        <v>1</v>
      </c>
      <c r="AM48" s="29">
        <f>IF(OR($B48="",$A48&lt;=36),"",--MID('Key Analysis'!$C44,$A48-36,1))</f>
        <v>1</v>
      </c>
      <c r="AN48" s="29">
        <f>IF(OR($B48="",$A48&lt;=37),"",--MID('Key Analysis'!$C44,$A48-37,1))</f>
        <v>1</v>
      </c>
      <c r="AO48" s="29">
        <f>IF(OR($B48="",$A48&lt;=38),"",--MID('Key Analysis'!$C44,$A48-38,1))</f>
        <v>0</v>
      </c>
      <c r="AP48" s="29">
        <f>IF(OR($B48="",$A48&lt;=39),"",--MID('Key Analysis'!$C44,$A48-39,1))</f>
        <v>1</v>
      </c>
      <c r="AQ48" s="29">
        <f>IF(OR($B48="",$A48&lt;=40),"",--MID('Key Analysis'!$C44,$A48-40,1))</f>
        <v>0</v>
      </c>
      <c r="AR48" s="29">
        <f>IF(OR($B48="",$A48&lt;=41),"",--MID('Key Analysis'!$C44,$A48-41,1))</f>
        <v>1</v>
      </c>
      <c r="AS48" s="29">
        <f>IF(OR($B48="",$A48&lt;=42),"",--MID('Key Analysis'!$C44,$A48-42,1))</f>
        <v>1</v>
      </c>
      <c r="AT48" s="29" t="str">
        <f>IF(OR($B48="",$A48&lt;=43),"",--MID('Key Analysis'!$C44,$A48-43,1))</f>
        <v/>
      </c>
      <c r="AU48" s="29" t="str">
        <f>IF(OR($B48="",$A48&lt;=44),"",--MID('Key Analysis'!$C44,$A48-44,1))</f>
        <v/>
      </c>
      <c r="AV48" s="29" t="str">
        <f>IF(OR($B48="",$A48&lt;=45),"",--MID('Key Analysis'!$C44,$A48-45,1))</f>
        <v/>
      </c>
      <c r="AW48" s="29" t="str">
        <f>IF(OR($B48="",$A48&lt;=46),"",--MID('Key Analysis'!$C44,$A48-46,1))</f>
        <v/>
      </c>
      <c r="AX48" s="29" t="str">
        <f>IF(OR($B48="",$A48&lt;=47),"",--MID('Key Analysis'!$C44,$A48-47,1))</f>
        <v/>
      </c>
      <c r="AY48" s="29" t="str">
        <f>IF(OR($B48="",$A48&lt;=48),"",--MID('Key Analysis'!$C44,$A48-48,1))</f>
        <v/>
      </c>
      <c r="AZ48" s="29" t="str">
        <f>IF(OR($B48="",$A48&lt;=49),"",--MID('Key Analysis'!$C44,$A48-49,1))</f>
        <v/>
      </c>
      <c r="BA48" s="29" t="str">
        <f>IF(OR($B48="",$A48&lt;=50),"",--MID('Key Analysis'!$C44,$A48-50,1))</f>
        <v/>
      </c>
      <c r="BB48" s="29" t="str">
        <f>IF(OR($B48="",$A48&lt;=51),"",--MID('Key Analysis'!$C44,$A48-51,1))</f>
        <v/>
      </c>
      <c r="BC48" s="29" t="str">
        <f>IF(OR($B48="",$A48&lt;=52),"",--MID('Key Analysis'!$C44,$A48-52,1))</f>
        <v/>
      </c>
      <c r="BD48" s="29" t="str">
        <f>IF(OR($B48="",$A48&lt;=53),"",--MID('Key Analysis'!$C44,$A48-53,1))</f>
        <v/>
      </c>
      <c r="BE48" s="29" t="str">
        <f>IF(OR($B48="",$A48&lt;=54),"",--MID('Key Analysis'!$C44,$A48-54,1))</f>
        <v/>
      </c>
      <c r="BF48" s="29" t="str">
        <f>IF(OR($B48="",$A48&lt;=55),"",--MID('Key Analysis'!$C44,$A48-55,1))</f>
        <v/>
      </c>
      <c r="BG48" s="29" t="str">
        <f>IF(OR($B48="",$A48&lt;=56),"",--MID('Key Analysis'!$C44,$A48-56,1))</f>
        <v/>
      </c>
      <c r="BH48" s="29" t="str">
        <f>IF(OR($B48="",$A48&lt;=57),"",--MID('Key Analysis'!$C44,$A48-57,1))</f>
        <v/>
      </c>
      <c r="BI48" s="29" t="str">
        <f>IF(OR($B48="",$A48&lt;=58),"",--MID('Key Analysis'!$C44,$A48-58,1))</f>
        <v/>
      </c>
      <c r="BJ48" s="29" t="str">
        <f>IF(OR($B48="",$A48&lt;=59),"",--MID('Key Analysis'!$C44,$A48-59,1))</f>
        <v/>
      </c>
      <c r="BK48" s="29" t="str">
        <f>IF(OR($B48="",$A48&lt;=60),"",--MID('Key Analysis'!$C44,$A48-60,1))</f>
        <v/>
      </c>
      <c r="BL48" s="29" t="str">
        <f>IF(OR($B48="",$A48&lt;=61),"",--MID('Key Analysis'!$C44,$A48-61,1))</f>
        <v/>
      </c>
      <c r="BM48" s="29" t="str">
        <f>IF(OR($B48="",$A48&lt;=62),"",--MID('Key Analysis'!$C44,$A48-62,1))</f>
        <v/>
      </c>
      <c r="BN48" s="29" t="str">
        <f>IF(OR($B48="",$A48&lt;=63),"",--MID('Key Analysis'!$C44,$A48-63,1))</f>
        <v/>
      </c>
      <c r="BO48" s="29" t="str">
        <f>IF(OR($B48="",$A48&lt;=64),"",--MID('Key Analysis'!$C44,$A48-64,1))</f>
        <v/>
      </c>
      <c r="BP48" s="29" t="str">
        <f>IF(OR($B48="",$A48&lt;=65),"",--MID('Key Analysis'!$C44,$A48-65,1))</f>
        <v/>
      </c>
      <c r="BQ48" s="29" t="str">
        <f>IF(OR($B48="",$A48&lt;=66),"",--MID('Key Analysis'!$C44,$A48-66,1))</f>
        <v/>
      </c>
      <c r="BR48" s="29" t="str">
        <f>IF(OR($B48="",$A48&lt;=67),"",--MID('Key Analysis'!$C44,$A48-67,1))</f>
        <v/>
      </c>
      <c r="BS48" s="29" t="str">
        <f>IF(OR($B48="",$A48&lt;=68),"",--MID('Key Analysis'!$C44,$A48-68,1))</f>
        <v/>
      </c>
      <c r="BT48" s="29" t="str">
        <f>IF(OR($B48="",$A48&lt;=69),"",--MID('Key Analysis'!$C44,$A48-69,1))</f>
        <v/>
      </c>
      <c r="BU48" s="29" t="str">
        <f>IF(OR($B48="",$A48&lt;=70),"",--MID('Key Analysis'!$C44,$A48-70,1))</f>
        <v/>
      </c>
      <c r="BV48" s="29" t="str">
        <f>IF(OR($B48="",$A48&lt;=71),"",--MID('Key Analysis'!$C44,$A48-71,1))</f>
        <v/>
      </c>
      <c r="BW48" s="29" t="str">
        <f>IF(OR($B48="",$A48&lt;=72),"",--MID('Key Analysis'!$C44,$A48-72,1))</f>
        <v/>
      </c>
      <c r="BX48" s="29" t="str">
        <f>IF(OR($B48="",$A48&lt;=73),"",--MID('Key Analysis'!$C44,$A48-73,1))</f>
        <v/>
      </c>
      <c r="BY48" s="29" t="str">
        <f>IF(OR($B48="",$A48&lt;=74),"",--MID('Key Analysis'!$C44,$A48-74,1))</f>
        <v/>
      </c>
      <c r="BZ48" s="29" t="str">
        <f>IF(OR($B48="",$A48&lt;=75),"",--MID('Key Analysis'!$C44,$A48-75,1))</f>
        <v/>
      </c>
      <c r="CA48" s="29" t="str">
        <f>IF(OR($B48="",$A48&lt;=76),"",--MID('Key Analysis'!$C44,$A48-76,1))</f>
        <v/>
      </c>
      <c r="CB48" s="29" t="str">
        <f>IF(OR($B48="",$A48&lt;=77),"",--MID('Key Analysis'!$C44,$A48-77,1))</f>
        <v/>
      </c>
      <c r="CC48" s="29" t="str">
        <f>IF(OR($B48="",$A48&lt;=78),"",--MID('Key Analysis'!$C44,$A48-78,1))</f>
        <v/>
      </c>
      <c r="CD48" s="29" t="str">
        <f>IF(OR($B48="",$A48&lt;=79),"",--MID('Key Analysis'!$C44,$A48-79,1))</f>
        <v/>
      </c>
      <c r="CE48" s="29" t="str">
        <f>IF(OR($B48="",$A48&lt;=80),"",--MID('Key Analysis'!$C44,$A48-80,1))</f>
        <v/>
      </c>
      <c r="CF48" s="29" t="str">
        <f>IF(OR($B48="",$A48&lt;=81),"",--MID('Key Analysis'!$C44,$A48-81,1))</f>
        <v/>
      </c>
      <c r="CG48" s="29" t="str">
        <f>IF(OR($B48="",$A48&lt;=82),"",--MID('Key Analysis'!$C44,$A48-82,1))</f>
        <v/>
      </c>
      <c r="CH48" s="29" t="str">
        <f>IF(OR($B48="",$A48&lt;=83),"",--MID('Key Analysis'!$C44,$A48-83,1))</f>
        <v/>
      </c>
      <c r="CI48" s="29" t="str">
        <f>IF(OR($B48="",$A48&lt;=84),"",--MID('Key Analysis'!$C44,$A48-84,1))</f>
        <v/>
      </c>
      <c r="CJ48" s="29" t="str">
        <f>IF(OR($B48="",$A48&lt;=85),"",--MID('Key Analysis'!$C44,$A48-85,1))</f>
        <v/>
      </c>
      <c r="CK48" s="29" t="str">
        <f>IF(OR($B48="",$A48&lt;=86),"",--MID('Key Analysis'!$C44,$A48-86,1))</f>
        <v/>
      </c>
      <c r="CL48" s="29" t="str">
        <f>IF(OR($B48="",$A48&lt;=87),"",--MID('Key Analysis'!$C44,$A48-87,1))</f>
        <v/>
      </c>
      <c r="CM48" s="29" t="str">
        <f>IF(OR($B48="",$A48&lt;=88),"",--MID('Key Analysis'!$C44,$A48-88,1))</f>
        <v/>
      </c>
      <c r="CN48" s="29" t="str">
        <f>IF(OR($B48="",$A48&lt;=89),"",--MID('Key Analysis'!$C44,$A48-89,1))</f>
        <v/>
      </c>
      <c r="CO48" s="29" t="str">
        <f>IF(OR($B48="",$A48&lt;=90),"",--MID('Key Analysis'!$C44,$A48-90,1))</f>
        <v/>
      </c>
      <c r="CP48" s="29" t="str">
        <f>IF(OR($B48="",$A48&lt;=91),"",--MID('Key Analysis'!$C44,$A48-91,1))</f>
        <v/>
      </c>
      <c r="CQ48" s="29" t="str">
        <f>IF(OR($B48="",$A48&lt;=92),"",--MID('Key Analysis'!$C44,$A48-92,1))</f>
        <v/>
      </c>
      <c r="CR48" s="29" t="str">
        <f>IF(OR($B48="",$A48&lt;=93),"",--MID('Key Analysis'!$C44,$A48-93,1))</f>
        <v/>
      </c>
      <c r="CS48" s="29" t="str">
        <f>IF(OR($B48="",$A48&lt;=94),"",--MID('Key Analysis'!$C44,$A48-94,1))</f>
        <v/>
      </c>
      <c r="CT48" s="29" t="str">
        <f>IF(OR($B48="",$A48&lt;=95),"",--MID('Key Analysis'!$C44,$A48-95,1))</f>
        <v/>
      </c>
      <c r="CU48" s="29" t="str">
        <f>IF(OR($B48="",$A48&lt;=96),"",--MID('Key Analysis'!$C44,$A48-96,1))</f>
        <v/>
      </c>
      <c r="CV48" s="29" t="str">
        <f>IF(OR($B48="",$A48&lt;=97),"",--MID('Key Analysis'!$C44,$A48-97,1))</f>
        <v/>
      </c>
      <c r="CW48" s="29" t="str">
        <f>IF(OR($B48="",$A48&lt;=98),"",--MID('Key Analysis'!$C44,$A48-98,1))</f>
        <v/>
      </c>
      <c r="CX48" s="29" t="str">
        <f>IF(OR($B48="",$A48&lt;=99),"",--MID('Key Analysis'!$C44,$A48-99,1))</f>
        <v/>
      </c>
      <c r="CY48" s="29" t="str">
        <f>IF(OR($B48="",$A48&lt;=100),"",--MID('Key Analysis'!$C44,$A48-100,1))</f>
        <v/>
      </c>
      <c r="CZ48" s="29" t="str">
        <f>IF(OR($B48="",$A48&lt;=101),"",--MID('Key Analysis'!$C44,$A48-101,1))</f>
        <v/>
      </c>
      <c r="DA48" s="29" t="str">
        <f>IF(OR($B48="",$A48&lt;=102),"",--MID('Key Analysis'!$C44,$A48-102,1))</f>
        <v/>
      </c>
      <c r="DB48" s="29" t="str">
        <f>IF(OR($B48="",$A48&lt;=103),"",--MID('Key Analysis'!$C44,$A48-103,1))</f>
        <v/>
      </c>
      <c r="DC48" s="29" t="str">
        <f>IF(OR($B48="",$A48&lt;=104),"",--MID('Key Analysis'!$C44,$A48-104,1))</f>
        <v/>
      </c>
      <c r="DD48" s="29" t="str">
        <f>IF(OR($B48="",$A48&lt;=105),"",--MID('Key Analysis'!$C44,$A48-105,1))</f>
        <v/>
      </c>
      <c r="DE48" s="29" t="str">
        <f>IF(OR($B48="",$A48&lt;=106),"",--MID('Key Analysis'!$C44,$A48-106,1))</f>
        <v/>
      </c>
      <c r="DF48" s="29" t="str">
        <f>IF(OR($B48="",$A48&lt;=107),"",--MID('Key Analysis'!$C44,$A48-107,1))</f>
        <v/>
      </c>
      <c r="DG48" s="29" t="str">
        <f>IF(OR($B48="",$A48&lt;=108),"",--MID('Key Analysis'!$C44,$A48-108,1))</f>
        <v/>
      </c>
      <c r="DH48" s="29" t="str">
        <f>IF(OR($B48="",$A48&lt;=109),"",--MID('Key Analysis'!$C44,$A48-109,1))</f>
        <v/>
      </c>
      <c r="DI48" s="29" t="str">
        <f>IF(OR($B48="",$A48&lt;=110),"",--MID('Key Analysis'!$C44,$A48-110,1))</f>
        <v/>
      </c>
      <c r="DJ48" s="29" t="str">
        <f>IF(OR($B48="",$A48&lt;=111),"",--MID('Key Analysis'!$C44,$A48-111,1))</f>
        <v/>
      </c>
      <c r="DK48" s="29" t="str">
        <f>IF(OR($B48="",$A48&lt;=112),"",--MID('Key Analysis'!$C44,$A48-112,1))</f>
        <v/>
      </c>
      <c r="DL48" s="29" t="str">
        <f>IF(OR($B48="",$A48&lt;=113),"",--MID('Key Analysis'!$C44,$A48-113,1))</f>
        <v/>
      </c>
      <c r="DM48" s="29" t="str">
        <f>IF(OR($B48="",$A48&lt;=114),"",--MID('Key Analysis'!$C44,$A48-114,1))</f>
        <v/>
      </c>
      <c r="DN48" s="29" t="str">
        <f>IF(OR($B48="",$A48&lt;=115),"",--MID('Key Analysis'!$C44,$A48-115,1))</f>
        <v/>
      </c>
      <c r="DO48" s="29" t="str">
        <f>IF(OR($B48="",$A48&lt;=116),"",--MID('Key Analysis'!$C44,$A48-116,1))</f>
        <v/>
      </c>
      <c r="DP48" s="29" t="str">
        <f>IF(OR($B48="",$A48&lt;=117),"",--MID('Key Analysis'!$C44,$A48-117,1))</f>
        <v/>
      </c>
      <c r="DQ48" s="29" t="str">
        <f>IF(OR($B48="",$A48&lt;=118),"",--MID('Key Analysis'!$C44,$A48-118,1))</f>
        <v/>
      </c>
      <c r="DR48" s="29" t="str">
        <f>IF(OR($B48="",$A48&lt;=119),"",--MID('Key Analysis'!$C44,$A48-119,1))</f>
        <v/>
      </c>
      <c r="DS48" s="29" t="str">
        <f>IF(OR($B48="",$A48&lt;=120),"",--MID('Key Analysis'!$C44,$A48-120,1))</f>
        <v/>
      </c>
      <c r="DT48" s="29" t="str">
        <f>IF(OR($B48="",$A48&lt;=121),"",--MID('Key Analysis'!$C44,$A48-121,1))</f>
        <v/>
      </c>
      <c r="DU48" s="29" t="str">
        <f>IF(OR($B48="",$A48&lt;=122),"",--MID('Key Analysis'!$C44,$A48-122,1))</f>
        <v/>
      </c>
      <c r="DV48" s="29" t="str">
        <f>IF(OR($B48="",$A48&lt;=123),"",--MID('Key Analysis'!$C44,$A48-123,1))</f>
        <v/>
      </c>
      <c r="DW48" s="29" t="str">
        <f>IF(OR($B48="",$A48&lt;=124),"",--MID('Key Analysis'!$C44,$A48-124,1))</f>
        <v/>
      </c>
      <c r="DX48" s="29" t="str">
        <f>IF(OR($B48="",$A48&lt;=125),"",--MID('Key Analysis'!$C44,$A48-125,1))</f>
        <v/>
      </c>
      <c r="DY48" s="29" t="str">
        <f>IF(OR($B48="",$A48&lt;=126),"",--MID('Key Analysis'!$C44,$A48-126,1))</f>
        <v/>
      </c>
      <c r="DZ48" s="29" t="str">
        <f>IF(OR($B48="",$A48&lt;=127),"",--MID('Key Analysis'!$C44,$A48-127,1))</f>
        <v/>
      </c>
      <c r="EA48" s="29" t="str">
        <f>IF(OR($B48="",$A48&lt;=128),"",--MID('Key Analysis'!$C44,$A48-128,1))</f>
        <v/>
      </c>
      <c r="EB48" s="29" t="str">
        <f>IF(OR($B48="",$A48&lt;=129),"",--MID('Key Analysis'!$C44,$A48-129,1))</f>
        <v/>
      </c>
      <c r="EC48" s="29" t="str">
        <f>IF(OR($B48="",$A48&lt;=130),"",--MID('Key Analysis'!$C44,$A48-130,1))</f>
        <v/>
      </c>
      <c r="ED48" s="29" t="str">
        <f>IF(OR($B48="",$A48&lt;=131),"",--MID('Key Analysis'!$C44,$A48-131,1))</f>
        <v/>
      </c>
      <c r="EE48" s="29" t="str">
        <f>IF(OR($B48="",$A48&lt;=132),"",--MID('Key Analysis'!$C44,$A48-132,1))</f>
        <v/>
      </c>
      <c r="EF48" s="29" t="str">
        <f>IF(OR($B48="",$A48&lt;=133),"",--MID('Key Analysis'!$C44,$A48-133,1))</f>
        <v/>
      </c>
      <c r="EG48" s="29" t="str">
        <f>IF(OR($B48="",$A48&lt;=134),"",--MID('Key Analysis'!$C44,$A48-134,1))</f>
        <v/>
      </c>
      <c r="EH48" s="29"/>
      <c r="EI48" s="29">
        <f>IF(OR($B48="",$A48&lt;1),"",--MID('Key Analysis'!$C44,1,1))</f>
        <v>1</v>
      </c>
      <c r="EJ48" s="29">
        <f>IF(OR($B48="",$A48&lt;2),"",--MID('Key Analysis'!$C44,2,1))</f>
        <v>1</v>
      </c>
      <c r="EK48" s="29">
        <f>IF(OR($B48="",$A48&lt;3),"",--MID('Key Analysis'!$C44,3,1))</f>
        <v>0</v>
      </c>
      <c r="EL48" s="29">
        <f>IF(OR($B48="",$A48&lt;4),"",--MID('Key Analysis'!$C44,4,1))</f>
        <v>1</v>
      </c>
      <c r="EM48" s="29">
        <f>IF(OR($B48="",$A48&lt;5),"",--MID('Key Analysis'!$C44,5,1))</f>
        <v>0</v>
      </c>
      <c r="EN48" s="29">
        <f>IF(OR($B48="",$A48&lt;6),"",--MID('Key Analysis'!$C44,6,1))</f>
        <v>1</v>
      </c>
      <c r="EO48" s="29">
        <f>IF(OR($B48="",$A48&lt;7),"",--MID('Key Analysis'!$C44,7,1))</f>
        <v>1</v>
      </c>
      <c r="EP48" s="29">
        <f>IF(OR($B48="",$A48&lt;8),"",--MID('Key Analysis'!$C44,8,1))</f>
        <v>1</v>
      </c>
      <c r="EQ48" s="29">
        <f>IF(OR($B48="",$A48&lt;9),"",--MID('Key Analysis'!$C44,9,1))</f>
        <v>1</v>
      </c>
      <c r="ER48" s="29">
        <f>IF(OR($B48="",$A48&lt;10),"",--MID('Key Analysis'!$C44,10,1))</f>
        <v>0</v>
      </c>
      <c r="ES48" s="29">
        <f>IF(OR($B48="",$A48&lt;11),"",--MID('Key Analysis'!$C44,11,1))</f>
        <v>1</v>
      </c>
      <c r="ET48" s="29">
        <f>IF(OR($B48="",$A48&lt;12),"",--MID('Key Analysis'!$C44,12,1))</f>
        <v>0</v>
      </c>
      <c r="EU48" s="29">
        <f>IF(OR($B48="",$A48&lt;13),"",--MID('Key Analysis'!$C44,13,1))</f>
        <v>0</v>
      </c>
      <c r="EV48" s="29">
        <f>IF(OR($B48="",$A48&lt;14),"",--MID('Key Analysis'!$C44,14,1))</f>
        <v>1</v>
      </c>
      <c r="EW48" s="29">
        <f>IF(OR($B48="",$A48&lt;15),"",--MID('Key Analysis'!$C44,15,1))</f>
        <v>1</v>
      </c>
      <c r="EX48" s="29">
        <f>IF(OR($B48="",$A48&lt;16),"",--MID('Key Analysis'!$C44,16,1))</f>
        <v>1</v>
      </c>
      <c r="EY48" s="29">
        <f>IF(OR($B48="",$A48&lt;17),"",--MID('Key Analysis'!$C44,17,1))</f>
        <v>0</v>
      </c>
      <c r="EZ48" s="29">
        <f>IF(OR($B48="",$A48&lt;18),"",--MID('Key Analysis'!$C44,18,1))</f>
        <v>1</v>
      </c>
      <c r="FA48" s="29">
        <f>IF(OR($B48="",$A48&lt;19),"",--MID('Key Analysis'!$C44,19,1))</f>
        <v>1</v>
      </c>
      <c r="FB48" s="29">
        <f>IF(OR($B48="",$A48&lt;20),"",--MID('Key Analysis'!$C44,20,1))</f>
        <v>0</v>
      </c>
      <c r="FC48" s="29">
        <f>IF(OR($B48="",$A48&lt;21),"",--MID('Key Analysis'!$C44,21,1))</f>
        <v>0</v>
      </c>
      <c r="FD48" s="29">
        <f>IF(OR($B48="",$A48&lt;22),"",--MID('Key Analysis'!$C44,22,1))</f>
        <v>1</v>
      </c>
      <c r="FE48" s="29">
        <f>IF(OR($B48="",$A48&lt;23),"",--MID('Key Analysis'!$C44,23,1))</f>
        <v>0</v>
      </c>
      <c r="FF48" s="29">
        <f>IF(OR($B48="",$A48&lt;24),"",--MID('Key Analysis'!$C44,24,1))</f>
        <v>0</v>
      </c>
      <c r="FG48" s="29">
        <f>IF(OR($B48="",$A48&lt;25),"",--MID('Key Analysis'!$C44,25,1))</f>
        <v>1</v>
      </c>
      <c r="FH48" s="29">
        <f>IF(OR($B48="",$A48&lt;26),"",--MID('Key Analysis'!$C44,26,1))</f>
        <v>1</v>
      </c>
      <c r="FI48" s="29">
        <f>IF(OR($B48="",$A48&lt;27),"",--MID('Key Analysis'!$C44,27,1))</f>
        <v>1</v>
      </c>
      <c r="FJ48" s="29">
        <f>IF(OR($B48="",$A48&lt;28),"",--MID('Key Analysis'!$C44,28,1))</f>
        <v>1</v>
      </c>
      <c r="FK48" s="29">
        <f>IF(OR($B48="",$A48&lt;29),"",--MID('Key Analysis'!$C44,29,1))</f>
        <v>1</v>
      </c>
      <c r="FL48" s="29">
        <f>IF(OR($B48="",$A48&lt;30),"",--MID('Key Analysis'!$C44,30,1))</f>
        <v>0</v>
      </c>
      <c r="FM48" s="29">
        <f>IF(OR($B48="",$A48&lt;31),"",--MID('Key Analysis'!$C44,31,1))</f>
        <v>0</v>
      </c>
      <c r="FN48" s="29">
        <f>IF(OR($B48="",$A48&lt;32),"",--MID('Key Analysis'!$C44,32,1))</f>
        <v>0</v>
      </c>
      <c r="FO48" s="29">
        <f>IF(OR($B48="",$A48&lt;33),"",--MID('Key Analysis'!$C44,33,1))</f>
        <v>1</v>
      </c>
      <c r="FP48" s="29">
        <f>IF(OR($B48="",$A48&lt;34),"",--MID('Key Analysis'!$C44,34,1))</f>
        <v>0</v>
      </c>
      <c r="FQ48" s="29">
        <f>IF(OR($B48="",$A48&lt;35),"",--MID('Key Analysis'!$C44,35,1))</f>
        <v>1</v>
      </c>
      <c r="FR48" s="29">
        <f>IF(OR($B48="",$A48&lt;36),"",--MID('Key Analysis'!$C44,36,1))</f>
        <v>1</v>
      </c>
      <c r="FS48" s="29">
        <f>IF(OR($B48="",$A48&lt;37),"",--MID('Key Analysis'!$C44,37,1))</f>
        <v>0</v>
      </c>
      <c r="FT48" s="29">
        <f>IF(OR($B48="",$A48&lt;38),"",--MID('Key Analysis'!$C44,38,1))</f>
        <v>0</v>
      </c>
      <c r="FU48" s="29">
        <f>IF(OR($B48="",$A48&lt;39),"",--MID('Key Analysis'!$C44,39,1))</f>
        <v>1</v>
      </c>
      <c r="FV48" s="29">
        <f>IF(OR($B48="",$A48&lt;40),"",--MID('Key Analysis'!$C44,40,1))</f>
        <v>0</v>
      </c>
      <c r="FW48" s="29">
        <f>IF(OR($B48="",$A48&lt;41),"",--MID('Key Analysis'!$C44,41,1))</f>
        <v>0</v>
      </c>
      <c r="FX48" s="29">
        <f>IF(OR($B48="",$A48&lt;42),"",--MID('Key Analysis'!$C44,42,1))</f>
        <v>0</v>
      </c>
      <c r="FY48" s="29">
        <f>IF(OR($B48="",$A48&lt;43),"",--MID('Key Analysis'!$C44,43,1))</f>
        <v>1</v>
      </c>
      <c r="FZ48" s="29" t="str">
        <f>IF(OR($B48="",$A48&lt;44),"",--MID('Key Analysis'!$C44,44,1))</f>
        <v/>
      </c>
      <c r="GA48" s="29" t="str">
        <f>IF(OR($B48="",$A48&lt;45),"",--MID('Key Analysis'!$C44,45,1))</f>
        <v/>
      </c>
      <c r="GB48" s="29" t="str">
        <f>IF(OR($B48="",$A48&lt;46),"",--MID('Key Analysis'!$C44,46,1))</f>
        <v/>
      </c>
      <c r="GC48" s="29" t="str">
        <f>IF(OR($B48="",$A48&lt;47),"",--MID('Key Analysis'!$C44,47,1))</f>
        <v/>
      </c>
      <c r="GD48" s="29" t="str">
        <f>IF(OR($B48="",$A48&lt;48),"",--MID('Key Analysis'!$C44,48,1))</f>
        <v/>
      </c>
      <c r="GE48" s="29" t="str">
        <f>IF(OR($B48="",$A48&lt;49),"",--MID('Key Analysis'!$C44,49,1))</f>
        <v/>
      </c>
      <c r="GF48" s="29" t="str">
        <f>IF(OR($B48="",$A48&lt;50),"",--MID('Key Analysis'!$C44,50,1))</f>
        <v/>
      </c>
      <c r="GG48" s="29" t="str">
        <f>IF(OR($B48="",$A48&lt;51),"",--MID('Key Analysis'!$C44,51,1))</f>
        <v/>
      </c>
      <c r="GH48" s="29" t="str">
        <f>IF(OR($B48="",$A48&lt;52),"",--MID('Key Analysis'!$C44,52,1))</f>
        <v/>
      </c>
      <c r="GI48" s="29" t="str">
        <f>IF(OR($B48="",$A48&lt;53),"",--MID('Key Analysis'!$C44,53,1))</f>
        <v/>
      </c>
      <c r="GJ48" s="29" t="str">
        <f>IF(OR($B48="",$A48&lt;54),"",--MID('Key Analysis'!$C44,54,1))</f>
        <v/>
      </c>
      <c r="GK48" s="29" t="str">
        <f>IF(OR($B48="",$A48&lt;55),"",--MID('Key Analysis'!$C44,55,1))</f>
        <v/>
      </c>
      <c r="GL48" s="29" t="str">
        <f>IF(OR($B48="",$A48&lt;56),"",--MID('Key Analysis'!$C44,56,1))</f>
        <v/>
      </c>
      <c r="GM48" s="29" t="str">
        <f>IF(OR($B48="",$A48&lt;57),"",--MID('Key Analysis'!$C44,57,1))</f>
        <v/>
      </c>
      <c r="GN48" s="29" t="str">
        <f>IF(OR($B48="",$A48&lt;58),"",--MID('Key Analysis'!$C44,58,1))</f>
        <v/>
      </c>
      <c r="GO48" s="29" t="str">
        <f>IF(OR($B48="",$A48&lt;59),"",--MID('Key Analysis'!$C44,59,1))</f>
        <v/>
      </c>
      <c r="GP48" s="29" t="str">
        <f>IF(OR($B48="",$A48&lt;60),"",--MID('Key Analysis'!$C44,60,1))</f>
        <v/>
      </c>
      <c r="GQ48" s="29" t="str">
        <f>IF(OR($B48="",$A48&lt;61),"",--MID('Key Analysis'!$C44,61,1))</f>
        <v/>
      </c>
      <c r="GR48" s="29" t="str">
        <f>IF(OR($B48="",$A48&lt;62),"",--MID('Key Analysis'!$C44,62,1))</f>
        <v/>
      </c>
      <c r="GS48" s="29" t="str">
        <f>IF(OR($B48="",$A48&lt;63),"",--MID('Key Analysis'!$C44,63,1))</f>
        <v/>
      </c>
      <c r="GT48" s="29" t="str">
        <f>IF(OR($B48="",$A48&lt;64),"",--MID('Key Analysis'!$C44,64,1))</f>
        <v/>
      </c>
      <c r="GU48" s="29" t="str">
        <f>IF(OR($B48="",$A48&lt;65),"",--MID('Key Analysis'!$C44,65,1))</f>
        <v/>
      </c>
      <c r="GV48" s="29" t="str">
        <f>IF(OR($B48="",$A48&lt;66),"",--MID('Key Analysis'!$C44,66,1))</f>
        <v/>
      </c>
      <c r="GW48" s="29" t="str">
        <f>IF(OR($B48="",$A48&lt;67),"",--MID('Key Analysis'!$C44,67,1))</f>
        <v/>
      </c>
      <c r="GX48" s="29" t="str">
        <f>IF(OR($B48="",$A48&lt;68),"",--MID('Key Analysis'!$C44,68,1))</f>
        <v/>
      </c>
      <c r="GY48" s="29" t="str">
        <f>IF(OR($B48="",$A48&lt;69),"",--MID('Key Analysis'!$C44,69,1))</f>
        <v/>
      </c>
      <c r="GZ48" s="29" t="str">
        <f>IF(OR($B48="",$A48&lt;70),"",--MID('Key Analysis'!$C44,70,1))</f>
        <v/>
      </c>
      <c r="HA48" s="29" t="str">
        <f>IF(OR($B48="",$A48&lt;71),"",--MID('Key Analysis'!$C44,71,1))</f>
        <v/>
      </c>
      <c r="HB48" s="29" t="str">
        <f>IF(OR($B48="",$A48&lt;72),"",--MID('Key Analysis'!$C44,72,1))</f>
        <v/>
      </c>
      <c r="HC48" s="29" t="str">
        <f>IF(OR($B48="",$A48&lt;73),"",--MID('Key Analysis'!$C44,73,1))</f>
        <v/>
      </c>
      <c r="HD48" s="29" t="str">
        <f>IF(OR($B48="",$A48&lt;74),"",--MID('Key Analysis'!$C44,74,1))</f>
        <v/>
      </c>
      <c r="HE48" s="29" t="str">
        <f>IF(OR($B48="",$A48&lt;75),"",--MID('Key Analysis'!$C44,75,1))</f>
        <v/>
      </c>
      <c r="HF48" s="29" t="str">
        <f>IF(OR($B48="",$A48&lt;76),"",--MID('Key Analysis'!$C44,76,1))</f>
        <v/>
      </c>
      <c r="HG48" s="29" t="str">
        <f>IF(OR($B48="",$A48&lt;77),"",--MID('Key Analysis'!$C44,77,1))</f>
        <v/>
      </c>
      <c r="HH48" s="29" t="str">
        <f>IF(OR($B48="",$A48&lt;78),"",--MID('Key Analysis'!$C44,78,1))</f>
        <v/>
      </c>
      <c r="HI48" s="29" t="str">
        <f>IF(OR($B48="",$A48&lt;79),"",--MID('Key Analysis'!$C44,79,1))</f>
        <v/>
      </c>
      <c r="HJ48" s="29" t="str">
        <f>IF(OR($B48="",$A48&lt;80),"",--MID('Key Analysis'!$C44,80,1))</f>
        <v/>
      </c>
      <c r="HK48" s="29" t="str">
        <f>IF(OR($B48="",$A48&lt;81),"",--MID('Key Analysis'!$C44,81,1))</f>
        <v/>
      </c>
      <c r="HL48" s="29" t="str">
        <f>IF(OR($B48="",$A48&lt;82),"",--MID('Key Analysis'!$C44,82,1))</f>
        <v/>
      </c>
      <c r="HM48" s="29" t="str">
        <f>IF(OR($B48="",$A48&lt;83),"",--MID('Key Analysis'!$C44,83,1))</f>
        <v/>
      </c>
      <c r="HN48" s="29" t="str">
        <f>IF(OR($B48="",$A48&lt;84),"",--MID('Key Analysis'!$C44,84,1))</f>
        <v/>
      </c>
      <c r="HO48" s="29" t="str">
        <f>IF(OR($B48="",$A48&lt;85),"",--MID('Key Analysis'!$C44,85,1))</f>
        <v/>
      </c>
      <c r="HP48" s="29" t="str">
        <f>IF(OR($B48="",$A48&lt;86),"",--MID('Key Analysis'!$C44,86,1))</f>
        <v/>
      </c>
      <c r="HQ48" s="29" t="str">
        <f>IF(OR($B48="",$A48&lt;87),"",--MID('Key Analysis'!$C44,87,1))</f>
        <v/>
      </c>
      <c r="HR48" s="29" t="str">
        <f>IF(OR($B48="",$A48&lt;88),"",--MID('Key Analysis'!$C44,88,1))</f>
        <v/>
      </c>
      <c r="HS48" s="29" t="str">
        <f>IF(OR($B48="",$A48&lt;89),"",--MID('Key Analysis'!$C44,89,1))</f>
        <v/>
      </c>
      <c r="HT48" s="29" t="str">
        <f>IF(OR($B48="",$A48&lt;90),"",--MID('Key Analysis'!$C44,90,1))</f>
        <v/>
      </c>
      <c r="HU48" s="29" t="str">
        <f>IF(OR($B48="",$A48&lt;91),"",--MID('Key Analysis'!$C44,91,1))</f>
        <v/>
      </c>
      <c r="HV48" s="29" t="str">
        <f>IF(OR($B48="",$A48&lt;92),"",--MID('Key Analysis'!$C44,92,1))</f>
        <v/>
      </c>
      <c r="HW48" s="29" t="str">
        <f>IF(OR($B48="",$A48&lt;93),"",--MID('Key Analysis'!$C44,93,1))</f>
        <v/>
      </c>
      <c r="HX48" s="29" t="str">
        <f>IF(OR($B48="",$A48&lt;94),"",--MID('Key Analysis'!$C44,94,1))</f>
        <v/>
      </c>
      <c r="HY48" s="29" t="str">
        <f>IF(OR($B48="",$A48&lt;95),"",--MID('Key Analysis'!$C44,95,1))</f>
        <v/>
      </c>
      <c r="HZ48" s="29" t="str">
        <f>IF(OR($B48="",$A48&lt;96),"",--MID('Key Analysis'!$C44,96,1))</f>
        <v/>
      </c>
      <c r="IA48" s="29" t="str">
        <f>IF(OR($B48="",$A48&lt;97),"",--MID('Key Analysis'!$C44,97,1))</f>
        <v/>
      </c>
      <c r="IB48" s="29" t="str">
        <f>IF(OR($B48="",$A48&lt;98),"",--MID('Key Analysis'!$C44,98,1))</f>
        <v/>
      </c>
      <c r="IC48" s="29" t="str">
        <f>IF(OR($B48="",$A48&lt;99),"",--MID('Key Analysis'!$C44,99,1))</f>
        <v/>
      </c>
      <c r="ID48" s="29" t="str">
        <f>IF(OR($B48="",$A48&lt;100),"",--MID('Key Analysis'!$C44,100,1))</f>
        <v/>
      </c>
      <c r="IE48" s="29" t="str">
        <f>IF(OR($B48="",$A48&lt;101),"",--MID('Key Analysis'!$C44,101,1))</f>
        <v/>
      </c>
      <c r="IF48" s="29" t="str">
        <f>IF(OR($B48="",$A48&lt;102),"",--MID('Key Analysis'!$C44,102,1))</f>
        <v/>
      </c>
      <c r="IG48" s="29" t="str">
        <f>IF(OR($B48="",$A48&lt;103),"",--MID('Key Analysis'!$C44,103,1))</f>
        <v/>
      </c>
      <c r="IH48" s="29" t="str">
        <f>IF(OR($B48="",$A48&lt;104),"",--MID('Key Analysis'!$C44,104,1))</f>
        <v/>
      </c>
      <c r="II48" s="29" t="str">
        <f>IF(OR($B48="",$A48&lt;105),"",--MID('Key Analysis'!$C44,105,1))</f>
        <v/>
      </c>
      <c r="IJ48" s="29" t="str">
        <f>IF(OR($B48="",$A48&lt;106),"",--MID('Key Analysis'!$C44,106,1))</f>
        <v/>
      </c>
      <c r="IK48" s="29" t="str">
        <f>IF(OR($B48="",$A48&lt;107),"",--MID('Key Analysis'!$C44,107,1))</f>
        <v/>
      </c>
      <c r="IL48" s="29" t="str">
        <f>IF(OR($B48="",$A48&lt;108),"",--MID('Key Analysis'!$C44,108,1))</f>
        <v/>
      </c>
      <c r="IM48" s="29" t="str">
        <f>IF(OR($B48="",$A48&lt;109),"",--MID('Key Analysis'!$C44,109,1))</f>
        <v/>
      </c>
      <c r="IN48" s="29" t="str">
        <f>IF(OR($B48="",$A48&lt;110),"",--MID('Key Analysis'!$C44,110,1))</f>
        <v/>
      </c>
      <c r="IO48" s="29" t="str">
        <f>IF(OR($B48="",$A48&lt;111),"",--MID('Key Analysis'!$C44,111,1))</f>
        <v/>
      </c>
      <c r="IP48" s="29" t="str">
        <f>IF(OR($B48="",$A48&lt;112),"",--MID('Key Analysis'!$C44,112,1))</f>
        <v/>
      </c>
      <c r="IQ48" s="29" t="str">
        <f>IF(OR($B48="",$A48&lt;113),"",--MID('Key Analysis'!$C44,113,1))</f>
        <v/>
      </c>
      <c r="IR48" s="29" t="str">
        <f>IF(OR($B48="",$A48&lt;114),"",--MID('Key Analysis'!$C44,114,1))</f>
        <v/>
      </c>
      <c r="IS48" s="29" t="str">
        <f>IF(OR($B48="",$A48&lt;115),"",--MID('Key Analysis'!$C44,115,1))</f>
        <v/>
      </c>
      <c r="IT48" s="29" t="str">
        <f>IF(OR($B48="",$A48&lt;116),"",--MID('Key Analysis'!$C44,116,1))</f>
        <v/>
      </c>
      <c r="IU48" s="29" t="str">
        <f>IF(OR($B48="",$A48&lt;117),"",--MID('Key Analysis'!$C44,117,1))</f>
        <v/>
      </c>
      <c r="IV48" s="29" t="str">
        <f>IF(OR($B48="",$A48&lt;118),"",--MID('Key Analysis'!$C44,118,1))</f>
        <v/>
      </c>
      <c r="IW48" s="29" t="str">
        <f>IF(OR($B48="",$A48&lt;119),"",--MID('Key Analysis'!$C44,119,1))</f>
        <v/>
      </c>
      <c r="IX48" s="29" t="str">
        <f>IF(OR($B48="",$A48&lt;120),"",--MID('Key Analysis'!$C44,120,1))</f>
        <v/>
      </c>
      <c r="IY48" s="29" t="str">
        <f>IF(OR($B48="",$A48&lt;121),"",--MID('Key Analysis'!$C44,121,1))</f>
        <v/>
      </c>
      <c r="IZ48" s="29" t="str">
        <f>IF(OR($B48="",$A48&lt;122),"",--MID('Key Analysis'!$C44,122,1))</f>
        <v/>
      </c>
      <c r="JA48" s="29" t="str">
        <f>IF(OR($B48="",$A48&lt;123),"",--MID('Key Analysis'!$C44,123,1))</f>
        <v/>
      </c>
      <c r="JB48" s="29" t="str">
        <f>IF(OR($B48="",$A48&lt;124),"",--MID('Key Analysis'!$C44,124,1))</f>
        <v/>
      </c>
      <c r="JC48" s="29" t="str">
        <f>IF(OR($B48="",$A48&lt;125),"",--MID('Key Analysis'!$C44,125,1))</f>
        <v/>
      </c>
      <c r="JD48" s="29" t="str">
        <f>IF(OR($B48="",$A48&lt;126),"",--MID('Key Analysis'!$C44,126,1))</f>
        <v/>
      </c>
      <c r="JE48" s="29" t="str">
        <f>IF(OR($B48="",$A48&lt;127),"",--MID('Key Analysis'!$C44,127,1))</f>
        <v/>
      </c>
      <c r="JF48" s="29" t="str">
        <f>IF(OR($B48="",$A48&lt;128),"",--MID('Key Analysis'!$C44,128,1))</f>
        <v/>
      </c>
      <c r="JG48" s="29" t="str">
        <f>IF(OR($B48="",$A48&lt;129),"",--MID('Key Analysis'!$C44,129,1))</f>
        <v/>
      </c>
      <c r="JH48" s="29" t="str">
        <f>IF(OR($B48="",$A48&lt;130),"",--MID('Key Analysis'!$C44,130,1))</f>
        <v/>
      </c>
      <c r="JI48" s="29" t="str">
        <f>IF(OR($B48="",$A48&lt;131),"",--MID('Key Analysis'!$C44,131,1))</f>
        <v/>
      </c>
      <c r="JJ48" s="29" t="str">
        <f>IF(OR($B48="",$A48&lt;132),"",--MID('Key Analysis'!$C44,132,1))</f>
        <v/>
      </c>
      <c r="JK48" s="29" t="str">
        <f>IF(OR($B48="",$A48&lt;133),"",--MID('Key Analysis'!$C44,133,1))</f>
        <v/>
      </c>
      <c r="JL48" s="29" t="str">
        <f>IF(OR($B48="",$A48&lt;134),"",--MID('Key Analysis'!$C44,134,1))</f>
        <v/>
      </c>
      <c r="JM48" s="29" t="str">
        <f>IF(OR($B48="",$A48&lt;135),"",--MID('Key Analysis'!$C44,135,1))</f>
        <v/>
      </c>
    </row>
    <row r="49" spans="1:273" x14ac:dyDescent="0.25">
      <c r="A49" s="21">
        <f>'Key Analysis'!A45</f>
        <v>44</v>
      </c>
      <c r="B49" s="30" t="str">
        <f>'Key Analysis'!B45</f>
        <v>e02b35a358f</v>
      </c>
      <c r="C49" s="29">
        <f>IF(OR($B49="",$A49&lt;=0),"",--MID('Key Analysis'!$C45,$A49-0,1))</f>
        <v>1</v>
      </c>
      <c r="D49" s="29">
        <f>IF(OR($B49="",$A49&lt;=1),"",--MID('Key Analysis'!$C45,$A49-1,1))</f>
        <v>1</v>
      </c>
      <c r="E49" s="29">
        <f>IF(OR($B49="",$A49&lt;=2),"",--MID('Key Analysis'!$C45,$A49-2,1))</f>
        <v>1</v>
      </c>
      <c r="F49" s="29">
        <f>IF(OR($B49="",$A49&lt;=3),"",--MID('Key Analysis'!$C45,$A49-3,1))</f>
        <v>1</v>
      </c>
      <c r="G49" s="29">
        <f>IF(OR($B49="",$A49&lt;=4),"",--MID('Key Analysis'!$C45,$A49-4,1))</f>
        <v>0</v>
      </c>
      <c r="H49" s="29">
        <f>IF(OR($B49="",$A49&lt;=5),"",--MID('Key Analysis'!$C45,$A49-5,1))</f>
        <v>0</v>
      </c>
      <c r="I49" s="29">
        <f>IF(OR($B49="",$A49&lt;=6),"",--MID('Key Analysis'!$C45,$A49-6,1))</f>
        <v>0</v>
      </c>
      <c r="J49" s="29">
        <f>IF(OR($B49="",$A49&lt;=7),"",--MID('Key Analysis'!$C45,$A49-7,1))</f>
        <v>1</v>
      </c>
      <c r="K49" s="29">
        <f>IF(OR($B49="",$A49&lt;=8),"",--MID('Key Analysis'!$C45,$A49-8,1))</f>
        <v>1</v>
      </c>
      <c r="L49" s="29">
        <f>IF(OR($B49="",$A49&lt;=9),"",--MID('Key Analysis'!$C45,$A49-9,1))</f>
        <v>0</v>
      </c>
      <c r="M49" s="29">
        <f>IF(OR($B49="",$A49&lt;=10),"",--MID('Key Analysis'!$C45,$A49-10,1))</f>
        <v>1</v>
      </c>
      <c r="N49" s="29">
        <f>IF(OR($B49="",$A49&lt;=11),"",--MID('Key Analysis'!$C45,$A49-11,1))</f>
        <v>0</v>
      </c>
      <c r="O49" s="29">
        <f>IF(OR($B49="",$A49&lt;=12),"",--MID('Key Analysis'!$C45,$A49-12,1))</f>
        <v>1</v>
      </c>
      <c r="P49" s="29">
        <f>IF(OR($B49="",$A49&lt;=13),"",--MID('Key Analysis'!$C45,$A49-13,1))</f>
        <v>1</v>
      </c>
      <c r="Q49" s="29">
        <f>IF(OR($B49="",$A49&lt;=14),"",--MID('Key Analysis'!$C45,$A49-14,1))</f>
        <v>0</v>
      </c>
      <c r="R49" s="29">
        <f>IF(OR($B49="",$A49&lt;=15),"",--MID('Key Analysis'!$C45,$A49-15,1))</f>
        <v>0</v>
      </c>
      <c r="S49" s="29">
        <f>IF(OR($B49="",$A49&lt;=16),"",--MID('Key Analysis'!$C45,$A49-16,1))</f>
        <v>0</v>
      </c>
      <c r="T49" s="29">
        <f>IF(OR($B49="",$A49&lt;=17),"",--MID('Key Analysis'!$C45,$A49-17,1))</f>
        <v>1</v>
      </c>
      <c r="U49" s="29">
        <f>IF(OR($B49="",$A49&lt;=18),"",--MID('Key Analysis'!$C45,$A49-18,1))</f>
        <v>0</v>
      </c>
      <c r="V49" s="29">
        <f>IF(OR($B49="",$A49&lt;=19),"",--MID('Key Analysis'!$C45,$A49-19,1))</f>
        <v>1</v>
      </c>
      <c r="W49" s="29">
        <f>IF(OR($B49="",$A49&lt;=20),"",--MID('Key Analysis'!$C45,$A49-20,1))</f>
        <v>1</v>
      </c>
      <c r="X49" s="29">
        <f>IF(OR($B49="",$A49&lt;=21),"",--MID('Key Analysis'!$C45,$A49-21,1))</f>
        <v>0</v>
      </c>
      <c r="Y49" s="29">
        <f>IF(OR($B49="",$A49&lt;=22),"",--MID('Key Analysis'!$C45,$A49-22,1))</f>
        <v>1</v>
      </c>
      <c r="Z49" s="29">
        <f>IF(OR($B49="",$A49&lt;=23),"",--MID('Key Analysis'!$C45,$A49-23,1))</f>
        <v>0</v>
      </c>
      <c r="AA49" s="29">
        <f>IF(OR($B49="",$A49&lt;=24),"",--MID('Key Analysis'!$C45,$A49-24,1))</f>
        <v>1</v>
      </c>
      <c r="AB49" s="29">
        <f>IF(OR($B49="",$A49&lt;=25),"",--MID('Key Analysis'!$C45,$A49-25,1))</f>
        <v>1</v>
      </c>
      <c r="AC49" s="29">
        <f>IF(OR($B49="",$A49&lt;=26),"",--MID('Key Analysis'!$C45,$A49-26,1))</f>
        <v>0</v>
      </c>
      <c r="AD49" s="29">
        <f>IF(OR($B49="",$A49&lt;=27),"",--MID('Key Analysis'!$C45,$A49-27,1))</f>
        <v>0</v>
      </c>
      <c r="AE49" s="29">
        <f>IF(OR($B49="",$A49&lt;=28),"",--MID('Key Analysis'!$C45,$A49-28,1))</f>
        <v>1</v>
      </c>
      <c r="AF49" s="29">
        <f>IF(OR($B49="",$A49&lt;=29),"",--MID('Key Analysis'!$C45,$A49-29,1))</f>
        <v>1</v>
      </c>
      <c r="AG49" s="29">
        <f>IF(OR($B49="",$A49&lt;=30),"",--MID('Key Analysis'!$C45,$A49-30,1))</f>
        <v>0</v>
      </c>
      <c r="AH49" s="29">
        <f>IF(OR($B49="",$A49&lt;=31),"",--MID('Key Analysis'!$C45,$A49-31,1))</f>
        <v>1</v>
      </c>
      <c r="AI49" s="29">
        <f>IF(OR($B49="",$A49&lt;=32),"",--MID('Key Analysis'!$C45,$A49-32,1))</f>
        <v>0</v>
      </c>
      <c r="AJ49" s="29">
        <f>IF(OR($B49="",$A49&lt;=33),"",--MID('Key Analysis'!$C45,$A49-33,1))</f>
        <v>1</v>
      </c>
      <c r="AK49" s="29">
        <f>IF(OR($B49="",$A49&lt;=34),"",--MID('Key Analysis'!$C45,$A49-34,1))</f>
        <v>0</v>
      </c>
      <c r="AL49" s="29">
        <f>IF(OR($B49="",$A49&lt;=35),"",--MID('Key Analysis'!$C45,$A49-35,1))</f>
        <v>0</v>
      </c>
      <c r="AM49" s="29">
        <f>IF(OR($B49="",$A49&lt;=36),"",--MID('Key Analysis'!$C45,$A49-36,1))</f>
        <v>0</v>
      </c>
      <c r="AN49" s="29">
        <f>IF(OR($B49="",$A49&lt;=37),"",--MID('Key Analysis'!$C45,$A49-37,1))</f>
        <v>0</v>
      </c>
      <c r="AO49" s="29">
        <f>IF(OR($B49="",$A49&lt;=38),"",--MID('Key Analysis'!$C45,$A49-38,1))</f>
        <v>0</v>
      </c>
      <c r="AP49" s="29">
        <f>IF(OR($B49="",$A49&lt;=39),"",--MID('Key Analysis'!$C45,$A49-39,1))</f>
        <v>0</v>
      </c>
      <c r="AQ49" s="29">
        <f>IF(OR($B49="",$A49&lt;=40),"",--MID('Key Analysis'!$C45,$A49-40,1))</f>
        <v>0</v>
      </c>
      <c r="AR49" s="29">
        <f>IF(OR($B49="",$A49&lt;=41),"",--MID('Key Analysis'!$C45,$A49-41,1))</f>
        <v>1</v>
      </c>
      <c r="AS49" s="29">
        <f>IF(OR($B49="",$A49&lt;=42),"",--MID('Key Analysis'!$C45,$A49-42,1))</f>
        <v>1</v>
      </c>
      <c r="AT49" s="29">
        <f>IF(OR($B49="",$A49&lt;=43),"",--MID('Key Analysis'!$C45,$A49-43,1))</f>
        <v>1</v>
      </c>
      <c r="AU49" s="29" t="str">
        <f>IF(OR($B49="",$A49&lt;=44),"",--MID('Key Analysis'!$C45,$A49-44,1))</f>
        <v/>
      </c>
      <c r="AV49" s="29" t="str">
        <f>IF(OR($B49="",$A49&lt;=45),"",--MID('Key Analysis'!$C45,$A49-45,1))</f>
        <v/>
      </c>
      <c r="AW49" s="29" t="str">
        <f>IF(OR($B49="",$A49&lt;=46),"",--MID('Key Analysis'!$C45,$A49-46,1))</f>
        <v/>
      </c>
      <c r="AX49" s="29" t="str">
        <f>IF(OR($B49="",$A49&lt;=47),"",--MID('Key Analysis'!$C45,$A49-47,1))</f>
        <v/>
      </c>
      <c r="AY49" s="29" t="str">
        <f>IF(OR($B49="",$A49&lt;=48),"",--MID('Key Analysis'!$C45,$A49-48,1))</f>
        <v/>
      </c>
      <c r="AZ49" s="29" t="str">
        <f>IF(OR($B49="",$A49&lt;=49),"",--MID('Key Analysis'!$C45,$A49-49,1))</f>
        <v/>
      </c>
      <c r="BA49" s="29" t="str">
        <f>IF(OR($B49="",$A49&lt;=50),"",--MID('Key Analysis'!$C45,$A49-50,1))</f>
        <v/>
      </c>
      <c r="BB49" s="29" t="str">
        <f>IF(OR($B49="",$A49&lt;=51),"",--MID('Key Analysis'!$C45,$A49-51,1))</f>
        <v/>
      </c>
      <c r="BC49" s="29" t="str">
        <f>IF(OR($B49="",$A49&lt;=52),"",--MID('Key Analysis'!$C45,$A49-52,1))</f>
        <v/>
      </c>
      <c r="BD49" s="29" t="str">
        <f>IF(OR($B49="",$A49&lt;=53),"",--MID('Key Analysis'!$C45,$A49-53,1))</f>
        <v/>
      </c>
      <c r="BE49" s="29" t="str">
        <f>IF(OR($B49="",$A49&lt;=54),"",--MID('Key Analysis'!$C45,$A49-54,1))</f>
        <v/>
      </c>
      <c r="BF49" s="29" t="str">
        <f>IF(OR($B49="",$A49&lt;=55),"",--MID('Key Analysis'!$C45,$A49-55,1))</f>
        <v/>
      </c>
      <c r="BG49" s="29" t="str">
        <f>IF(OR($B49="",$A49&lt;=56),"",--MID('Key Analysis'!$C45,$A49-56,1))</f>
        <v/>
      </c>
      <c r="BH49" s="29" t="str">
        <f>IF(OR($B49="",$A49&lt;=57),"",--MID('Key Analysis'!$C45,$A49-57,1))</f>
        <v/>
      </c>
      <c r="BI49" s="29" t="str">
        <f>IF(OR($B49="",$A49&lt;=58),"",--MID('Key Analysis'!$C45,$A49-58,1))</f>
        <v/>
      </c>
      <c r="BJ49" s="29" t="str">
        <f>IF(OR($B49="",$A49&lt;=59),"",--MID('Key Analysis'!$C45,$A49-59,1))</f>
        <v/>
      </c>
      <c r="BK49" s="29" t="str">
        <f>IF(OR($B49="",$A49&lt;=60),"",--MID('Key Analysis'!$C45,$A49-60,1))</f>
        <v/>
      </c>
      <c r="BL49" s="29" t="str">
        <f>IF(OR($B49="",$A49&lt;=61),"",--MID('Key Analysis'!$C45,$A49-61,1))</f>
        <v/>
      </c>
      <c r="BM49" s="29" t="str">
        <f>IF(OR($B49="",$A49&lt;=62),"",--MID('Key Analysis'!$C45,$A49-62,1))</f>
        <v/>
      </c>
      <c r="BN49" s="29" t="str">
        <f>IF(OR($B49="",$A49&lt;=63),"",--MID('Key Analysis'!$C45,$A49-63,1))</f>
        <v/>
      </c>
      <c r="BO49" s="29" t="str">
        <f>IF(OR($B49="",$A49&lt;=64),"",--MID('Key Analysis'!$C45,$A49-64,1))</f>
        <v/>
      </c>
      <c r="BP49" s="29" t="str">
        <f>IF(OR($B49="",$A49&lt;=65),"",--MID('Key Analysis'!$C45,$A49-65,1))</f>
        <v/>
      </c>
      <c r="BQ49" s="29" t="str">
        <f>IF(OR($B49="",$A49&lt;=66),"",--MID('Key Analysis'!$C45,$A49-66,1))</f>
        <v/>
      </c>
      <c r="BR49" s="29" t="str">
        <f>IF(OR($B49="",$A49&lt;=67),"",--MID('Key Analysis'!$C45,$A49-67,1))</f>
        <v/>
      </c>
      <c r="BS49" s="29" t="str">
        <f>IF(OR($B49="",$A49&lt;=68),"",--MID('Key Analysis'!$C45,$A49-68,1))</f>
        <v/>
      </c>
      <c r="BT49" s="29" t="str">
        <f>IF(OR($B49="",$A49&lt;=69),"",--MID('Key Analysis'!$C45,$A49-69,1))</f>
        <v/>
      </c>
      <c r="BU49" s="29" t="str">
        <f>IF(OR($B49="",$A49&lt;=70),"",--MID('Key Analysis'!$C45,$A49-70,1))</f>
        <v/>
      </c>
      <c r="BV49" s="29" t="str">
        <f>IF(OR($B49="",$A49&lt;=71),"",--MID('Key Analysis'!$C45,$A49-71,1))</f>
        <v/>
      </c>
      <c r="BW49" s="29" t="str">
        <f>IF(OR($B49="",$A49&lt;=72),"",--MID('Key Analysis'!$C45,$A49-72,1))</f>
        <v/>
      </c>
      <c r="BX49" s="29" t="str">
        <f>IF(OR($B49="",$A49&lt;=73),"",--MID('Key Analysis'!$C45,$A49-73,1))</f>
        <v/>
      </c>
      <c r="BY49" s="29" t="str">
        <f>IF(OR($B49="",$A49&lt;=74),"",--MID('Key Analysis'!$C45,$A49-74,1))</f>
        <v/>
      </c>
      <c r="BZ49" s="29" t="str">
        <f>IF(OR($B49="",$A49&lt;=75),"",--MID('Key Analysis'!$C45,$A49-75,1))</f>
        <v/>
      </c>
      <c r="CA49" s="29" t="str">
        <f>IF(OR($B49="",$A49&lt;=76),"",--MID('Key Analysis'!$C45,$A49-76,1))</f>
        <v/>
      </c>
      <c r="CB49" s="29" t="str">
        <f>IF(OR($B49="",$A49&lt;=77),"",--MID('Key Analysis'!$C45,$A49-77,1))</f>
        <v/>
      </c>
      <c r="CC49" s="29" t="str">
        <f>IF(OR($B49="",$A49&lt;=78),"",--MID('Key Analysis'!$C45,$A49-78,1))</f>
        <v/>
      </c>
      <c r="CD49" s="29" t="str">
        <f>IF(OR($B49="",$A49&lt;=79),"",--MID('Key Analysis'!$C45,$A49-79,1))</f>
        <v/>
      </c>
      <c r="CE49" s="29" t="str">
        <f>IF(OR($B49="",$A49&lt;=80),"",--MID('Key Analysis'!$C45,$A49-80,1))</f>
        <v/>
      </c>
      <c r="CF49" s="29" t="str">
        <f>IF(OR($B49="",$A49&lt;=81),"",--MID('Key Analysis'!$C45,$A49-81,1))</f>
        <v/>
      </c>
      <c r="CG49" s="29" t="str">
        <f>IF(OR($B49="",$A49&lt;=82),"",--MID('Key Analysis'!$C45,$A49-82,1))</f>
        <v/>
      </c>
      <c r="CH49" s="29" t="str">
        <f>IF(OR($B49="",$A49&lt;=83),"",--MID('Key Analysis'!$C45,$A49-83,1))</f>
        <v/>
      </c>
      <c r="CI49" s="29" t="str">
        <f>IF(OR($B49="",$A49&lt;=84),"",--MID('Key Analysis'!$C45,$A49-84,1))</f>
        <v/>
      </c>
      <c r="CJ49" s="29" t="str">
        <f>IF(OR($B49="",$A49&lt;=85),"",--MID('Key Analysis'!$C45,$A49-85,1))</f>
        <v/>
      </c>
      <c r="CK49" s="29" t="str">
        <f>IF(OR($B49="",$A49&lt;=86),"",--MID('Key Analysis'!$C45,$A49-86,1))</f>
        <v/>
      </c>
      <c r="CL49" s="29" t="str">
        <f>IF(OR($B49="",$A49&lt;=87),"",--MID('Key Analysis'!$C45,$A49-87,1))</f>
        <v/>
      </c>
      <c r="CM49" s="29" t="str">
        <f>IF(OR($B49="",$A49&lt;=88),"",--MID('Key Analysis'!$C45,$A49-88,1))</f>
        <v/>
      </c>
      <c r="CN49" s="29" t="str">
        <f>IF(OR($B49="",$A49&lt;=89),"",--MID('Key Analysis'!$C45,$A49-89,1))</f>
        <v/>
      </c>
      <c r="CO49" s="29" t="str">
        <f>IF(OR($B49="",$A49&lt;=90),"",--MID('Key Analysis'!$C45,$A49-90,1))</f>
        <v/>
      </c>
      <c r="CP49" s="29" t="str">
        <f>IF(OR($B49="",$A49&lt;=91),"",--MID('Key Analysis'!$C45,$A49-91,1))</f>
        <v/>
      </c>
      <c r="CQ49" s="29" t="str">
        <f>IF(OR($B49="",$A49&lt;=92),"",--MID('Key Analysis'!$C45,$A49-92,1))</f>
        <v/>
      </c>
      <c r="CR49" s="29" t="str">
        <f>IF(OR($B49="",$A49&lt;=93),"",--MID('Key Analysis'!$C45,$A49-93,1))</f>
        <v/>
      </c>
      <c r="CS49" s="29" t="str">
        <f>IF(OR($B49="",$A49&lt;=94),"",--MID('Key Analysis'!$C45,$A49-94,1))</f>
        <v/>
      </c>
      <c r="CT49" s="29" t="str">
        <f>IF(OR($B49="",$A49&lt;=95),"",--MID('Key Analysis'!$C45,$A49-95,1))</f>
        <v/>
      </c>
      <c r="CU49" s="29" t="str">
        <f>IF(OR($B49="",$A49&lt;=96),"",--MID('Key Analysis'!$C45,$A49-96,1))</f>
        <v/>
      </c>
      <c r="CV49" s="29" t="str">
        <f>IF(OR($B49="",$A49&lt;=97),"",--MID('Key Analysis'!$C45,$A49-97,1))</f>
        <v/>
      </c>
      <c r="CW49" s="29" t="str">
        <f>IF(OR($B49="",$A49&lt;=98),"",--MID('Key Analysis'!$C45,$A49-98,1))</f>
        <v/>
      </c>
      <c r="CX49" s="29" t="str">
        <f>IF(OR($B49="",$A49&lt;=99),"",--MID('Key Analysis'!$C45,$A49-99,1))</f>
        <v/>
      </c>
      <c r="CY49" s="29" t="str">
        <f>IF(OR($B49="",$A49&lt;=100),"",--MID('Key Analysis'!$C45,$A49-100,1))</f>
        <v/>
      </c>
      <c r="CZ49" s="29" t="str">
        <f>IF(OR($B49="",$A49&lt;=101),"",--MID('Key Analysis'!$C45,$A49-101,1))</f>
        <v/>
      </c>
      <c r="DA49" s="29" t="str">
        <f>IF(OR($B49="",$A49&lt;=102),"",--MID('Key Analysis'!$C45,$A49-102,1))</f>
        <v/>
      </c>
      <c r="DB49" s="29" t="str">
        <f>IF(OR($B49="",$A49&lt;=103),"",--MID('Key Analysis'!$C45,$A49-103,1))</f>
        <v/>
      </c>
      <c r="DC49" s="29" t="str">
        <f>IF(OR($B49="",$A49&lt;=104),"",--MID('Key Analysis'!$C45,$A49-104,1))</f>
        <v/>
      </c>
      <c r="DD49" s="29" t="str">
        <f>IF(OR($B49="",$A49&lt;=105),"",--MID('Key Analysis'!$C45,$A49-105,1))</f>
        <v/>
      </c>
      <c r="DE49" s="29" t="str">
        <f>IF(OR($B49="",$A49&lt;=106),"",--MID('Key Analysis'!$C45,$A49-106,1))</f>
        <v/>
      </c>
      <c r="DF49" s="29" t="str">
        <f>IF(OR($B49="",$A49&lt;=107),"",--MID('Key Analysis'!$C45,$A49-107,1))</f>
        <v/>
      </c>
      <c r="DG49" s="29" t="str">
        <f>IF(OR($B49="",$A49&lt;=108),"",--MID('Key Analysis'!$C45,$A49-108,1))</f>
        <v/>
      </c>
      <c r="DH49" s="29" t="str">
        <f>IF(OR($B49="",$A49&lt;=109),"",--MID('Key Analysis'!$C45,$A49-109,1))</f>
        <v/>
      </c>
      <c r="DI49" s="29" t="str">
        <f>IF(OR($B49="",$A49&lt;=110),"",--MID('Key Analysis'!$C45,$A49-110,1))</f>
        <v/>
      </c>
      <c r="DJ49" s="29" t="str">
        <f>IF(OR($B49="",$A49&lt;=111),"",--MID('Key Analysis'!$C45,$A49-111,1))</f>
        <v/>
      </c>
      <c r="DK49" s="29" t="str">
        <f>IF(OR($B49="",$A49&lt;=112),"",--MID('Key Analysis'!$C45,$A49-112,1))</f>
        <v/>
      </c>
      <c r="DL49" s="29" t="str">
        <f>IF(OR($B49="",$A49&lt;=113),"",--MID('Key Analysis'!$C45,$A49-113,1))</f>
        <v/>
      </c>
      <c r="DM49" s="29" t="str">
        <f>IF(OR($B49="",$A49&lt;=114),"",--MID('Key Analysis'!$C45,$A49-114,1))</f>
        <v/>
      </c>
      <c r="DN49" s="29" t="str">
        <f>IF(OR($B49="",$A49&lt;=115),"",--MID('Key Analysis'!$C45,$A49-115,1))</f>
        <v/>
      </c>
      <c r="DO49" s="29" t="str">
        <f>IF(OR($B49="",$A49&lt;=116),"",--MID('Key Analysis'!$C45,$A49-116,1))</f>
        <v/>
      </c>
      <c r="DP49" s="29" t="str">
        <f>IF(OR($B49="",$A49&lt;=117),"",--MID('Key Analysis'!$C45,$A49-117,1))</f>
        <v/>
      </c>
      <c r="DQ49" s="29" t="str">
        <f>IF(OR($B49="",$A49&lt;=118),"",--MID('Key Analysis'!$C45,$A49-118,1))</f>
        <v/>
      </c>
      <c r="DR49" s="29" t="str">
        <f>IF(OR($B49="",$A49&lt;=119),"",--MID('Key Analysis'!$C45,$A49-119,1))</f>
        <v/>
      </c>
      <c r="DS49" s="29" t="str">
        <f>IF(OR($B49="",$A49&lt;=120),"",--MID('Key Analysis'!$C45,$A49-120,1))</f>
        <v/>
      </c>
      <c r="DT49" s="29" t="str">
        <f>IF(OR($B49="",$A49&lt;=121),"",--MID('Key Analysis'!$C45,$A49-121,1))</f>
        <v/>
      </c>
      <c r="DU49" s="29" t="str">
        <f>IF(OR($B49="",$A49&lt;=122),"",--MID('Key Analysis'!$C45,$A49-122,1))</f>
        <v/>
      </c>
      <c r="DV49" s="29" t="str">
        <f>IF(OR($B49="",$A49&lt;=123),"",--MID('Key Analysis'!$C45,$A49-123,1))</f>
        <v/>
      </c>
      <c r="DW49" s="29" t="str">
        <f>IF(OR($B49="",$A49&lt;=124),"",--MID('Key Analysis'!$C45,$A49-124,1))</f>
        <v/>
      </c>
      <c r="DX49" s="29" t="str">
        <f>IF(OR($B49="",$A49&lt;=125),"",--MID('Key Analysis'!$C45,$A49-125,1))</f>
        <v/>
      </c>
      <c r="DY49" s="29" t="str">
        <f>IF(OR($B49="",$A49&lt;=126),"",--MID('Key Analysis'!$C45,$A49-126,1))</f>
        <v/>
      </c>
      <c r="DZ49" s="29" t="str">
        <f>IF(OR($B49="",$A49&lt;=127),"",--MID('Key Analysis'!$C45,$A49-127,1))</f>
        <v/>
      </c>
      <c r="EA49" s="29" t="str">
        <f>IF(OR($B49="",$A49&lt;=128),"",--MID('Key Analysis'!$C45,$A49-128,1))</f>
        <v/>
      </c>
      <c r="EB49" s="29" t="str">
        <f>IF(OR($B49="",$A49&lt;=129),"",--MID('Key Analysis'!$C45,$A49-129,1))</f>
        <v/>
      </c>
      <c r="EC49" s="29" t="str">
        <f>IF(OR($B49="",$A49&lt;=130),"",--MID('Key Analysis'!$C45,$A49-130,1))</f>
        <v/>
      </c>
      <c r="ED49" s="29" t="str">
        <f>IF(OR($B49="",$A49&lt;=131),"",--MID('Key Analysis'!$C45,$A49-131,1))</f>
        <v/>
      </c>
      <c r="EE49" s="29" t="str">
        <f>IF(OR($B49="",$A49&lt;=132),"",--MID('Key Analysis'!$C45,$A49-132,1))</f>
        <v/>
      </c>
      <c r="EF49" s="29" t="str">
        <f>IF(OR($B49="",$A49&lt;=133),"",--MID('Key Analysis'!$C45,$A49-133,1))</f>
        <v/>
      </c>
      <c r="EG49" s="29" t="str">
        <f>IF(OR($B49="",$A49&lt;=134),"",--MID('Key Analysis'!$C45,$A49-134,1))</f>
        <v/>
      </c>
      <c r="EH49" s="29"/>
      <c r="EI49" s="29">
        <f>IF(OR($B49="",$A49&lt;1),"",--MID('Key Analysis'!$C45,1,1))</f>
        <v>1</v>
      </c>
      <c r="EJ49" s="29">
        <f>IF(OR($B49="",$A49&lt;2),"",--MID('Key Analysis'!$C45,2,1))</f>
        <v>1</v>
      </c>
      <c r="EK49" s="29">
        <f>IF(OR($B49="",$A49&lt;3),"",--MID('Key Analysis'!$C45,3,1))</f>
        <v>1</v>
      </c>
      <c r="EL49" s="29">
        <f>IF(OR($B49="",$A49&lt;4),"",--MID('Key Analysis'!$C45,4,1))</f>
        <v>0</v>
      </c>
      <c r="EM49" s="29">
        <f>IF(OR($B49="",$A49&lt;5),"",--MID('Key Analysis'!$C45,5,1))</f>
        <v>0</v>
      </c>
      <c r="EN49" s="29">
        <f>IF(OR($B49="",$A49&lt;6),"",--MID('Key Analysis'!$C45,6,1))</f>
        <v>0</v>
      </c>
      <c r="EO49" s="29">
        <f>IF(OR($B49="",$A49&lt;7),"",--MID('Key Analysis'!$C45,7,1))</f>
        <v>0</v>
      </c>
      <c r="EP49" s="29">
        <f>IF(OR($B49="",$A49&lt;8),"",--MID('Key Analysis'!$C45,8,1))</f>
        <v>0</v>
      </c>
      <c r="EQ49" s="29">
        <f>IF(OR($B49="",$A49&lt;9),"",--MID('Key Analysis'!$C45,9,1))</f>
        <v>0</v>
      </c>
      <c r="ER49" s="29">
        <f>IF(OR($B49="",$A49&lt;10),"",--MID('Key Analysis'!$C45,10,1))</f>
        <v>0</v>
      </c>
      <c r="ES49" s="29">
        <f>IF(OR($B49="",$A49&lt;11),"",--MID('Key Analysis'!$C45,11,1))</f>
        <v>1</v>
      </c>
      <c r="ET49" s="29">
        <f>IF(OR($B49="",$A49&lt;12),"",--MID('Key Analysis'!$C45,12,1))</f>
        <v>0</v>
      </c>
      <c r="EU49" s="29">
        <f>IF(OR($B49="",$A49&lt;13),"",--MID('Key Analysis'!$C45,13,1))</f>
        <v>1</v>
      </c>
      <c r="EV49" s="29">
        <f>IF(OR($B49="",$A49&lt;14),"",--MID('Key Analysis'!$C45,14,1))</f>
        <v>0</v>
      </c>
      <c r="EW49" s="29">
        <f>IF(OR($B49="",$A49&lt;15),"",--MID('Key Analysis'!$C45,15,1))</f>
        <v>1</v>
      </c>
      <c r="EX49" s="29">
        <f>IF(OR($B49="",$A49&lt;16),"",--MID('Key Analysis'!$C45,16,1))</f>
        <v>1</v>
      </c>
      <c r="EY49" s="29">
        <f>IF(OR($B49="",$A49&lt;17),"",--MID('Key Analysis'!$C45,17,1))</f>
        <v>0</v>
      </c>
      <c r="EZ49" s="29">
        <f>IF(OR($B49="",$A49&lt;18),"",--MID('Key Analysis'!$C45,18,1))</f>
        <v>0</v>
      </c>
      <c r="FA49" s="29">
        <f>IF(OR($B49="",$A49&lt;19),"",--MID('Key Analysis'!$C45,19,1))</f>
        <v>1</v>
      </c>
      <c r="FB49" s="29">
        <f>IF(OR($B49="",$A49&lt;20),"",--MID('Key Analysis'!$C45,20,1))</f>
        <v>1</v>
      </c>
      <c r="FC49" s="29">
        <f>IF(OR($B49="",$A49&lt;21),"",--MID('Key Analysis'!$C45,21,1))</f>
        <v>0</v>
      </c>
      <c r="FD49" s="29">
        <f>IF(OR($B49="",$A49&lt;22),"",--MID('Key Analysis'!$C45,22,1))</f>
        <v>1</v>
      </c>
      <c r="FE49" s="29">
        <f>IF(OR($B49="",$A49&lt;23),"",--MID('Key Analysis'!$C45,23,1))</f>
        <v>0</v>
      </c>
      <c r="FF49" s="29">
        <f>IF(OR($B49="",$A49&lt;24),"",--MID('Key Analysis'!$C45,24,1))</f>
        <v>1</v>
      </c>
      <c r="FG49" s="29">
        <f>IF(OR($B49="",$A49&lt;25),"",--MID('Key Analysis'!$C45,25,1))</f>
        <v>1</v>
      </c>
      <c r="FH49" s="29">
        <f>IF(OR($B49="",$A49&lt;26),"",--MID('Key Analysis'!$C45,26,1))</f>
        <v>0</v>
      </c>
      <c r="FI49" s="29">
        <f>IF(OR($B49="",$A49&lt;27),"",--MID('Key Analysis'!$C45,27,1))</f>
        <v>1</v>
      </c>
      <c r="FJ49" s="29">
        <f>IF(OR($B49="",$A49&lt;28),"",--MID('Key Analysis'!$C45,28,1))</f>
        <v>0</v>
      </c>
      <c r="FK49" s="29">
        <f>IF(OR($B49="",$A49&lt;29),"",--MID('Key Analysis'!$C45,29,1))</f>
        <v>0</v>
      </c>
      <c r="FL49" s="29">
        <f>IF(OR($B49="",$A49&lt;30),"",--MID('Key Analysis'!$C45,30,1))</f>
        <v>0</v>
      </c>
      <c r="FM49" s="29">
        <f>IF(OR($B49="",$A49&lt;31),"",--MID('Key Analysis'!$C45,31,1))</f>
        <v>1</v>
      </c>
      <c r="FN49" s="29">
        <f>IF(OR($B49="",$A49&lt;32),"",--MID('Key Analysis'!$C45,32,1))</f>
        <v>1</v>
      </c>
      <c r="FO49" s="29">
        <f>IF(OR($B49="",$A49&lt;33),"",--MID('Key Analysis'!$C45,33,1))</f>
        <v>0</v>
      </c>
      <c r="FP49" s="29">
        <f>IF(OR($B49="",$A49&lt;34),"",--MID('Key Analysis'!$C45,34,1))</f>
        <v>1</v>
      </c>
      <c r="FQ49" s="29">
        <f>IF(OR($B49="",$A49&lt;35),"",--MID('Key Analysis'!$C45,35,1))</f>
        <v>0</v>
      </c>
      <c r="FR49" s="29">
        <f>IF(OR($B49="",$A49&lt;36),"",--MID('Key Analysis'!$C45,36,1))</f>
        <v>1</v>
      </c>
      <c r="FS49" s="29">
        <f>IF(OR($B49="",$A49&lt;37),"",--MID('Key Analysis'!$C45,37,1))</f>
        <v>1</v>
      </c>
      <c r="FT49" s="29">
        <f>IF(OR($B49="",$A49&lt;38),"",--MID('Key Analysis'!$C45,38,1))</f>
        <v>0</v>
      </c>
      <c r="FU49" s="29">
        <f>IF(OR($B49="",$A49&lt;39),"",--MID('Key Analysis'!$C45,39,1))</f>
        <v>0</v>
      </c>
      <c r="FV49" s="29">
        <f>IF(OR($B49="",$A49&lt;40),"",--MID('Key Analysis'!$C45,40,1))</f>
        <v>0</v>
      </c>
      <c r="FW49" s="29">
        <f>IF(OR($B49="",$A49&lt;41),"",--MID('Key Analysis'!$C45,41,1))</f>
        <v>1</v>
      </c>
      <c r="FX49" s="29">
        <f>IF(OR($B49="",$A49&lt;42),"",--MID('Key Analysis'!$C45,42,1))</f>
        <v>1</v>
      </c>
      <c r="FY49" s="29">
        <f>IF(OR($B49="",$A49&lt;43),"",--MID('Key Analysis'!$C45,43,1))</f>
        <v>1</v>
      </c>
      <c r="FZ49" s="29">
        <f>IF(OR($B49="",$A49&lt;44),"",--MID('Key Analysis'!$C45,44,1))</f>
        <v>1</v>
      </c>
      <c r="GA49" s="29" t="str">
        <f>IF(OR($B49="",$A49&lt;45),"",--MID('Key Analysis'!$C45,45,1))</f>
        <v/>
      </c>
      <c r="GB49" s="29" t="str">
        <f>IF(OR($B49="",$A49&lt;46),"",--MID('Key Analysis'!$C45,46,1))</f>
        <v/>
      </c>
      <c r="GC49" s="29" t="str">
        <f>IF(OR($B49="",$A49&lt;47),"",--MID('Key Analysis'!$C45,47,1))</f>
        <v/>
      </c>
      <c r="GD49" s="29" t="str">
        <f>IF(OR($B49="",$A49&lt;48),"",--MID('Key Analysis'!$C45,48,1))</f>
        <v/>
      </c>
      <c r="GE49" s="29" t="str">
        <f>IF(OR($B49="",$A49&lt;49),"",--MID('Key Analysis'!$C45,49,1))</f>
        <v/>
      </c>
      <c r="GF49" s="29" t="str">
        <f>IF(OR($B49="",$A49&lt;50),"",--MID('Key Analysis'!$C45,50,1))</f>
        <v/>
      </c>
      <c r="GG49" s="29" t="str">
        <f>IF(OR($B49="",$A49&lt;51),"",--MID('Key Analysis'!$C45,51,1))</f>
        <v/>
      </c>
      <c r="GH49" s="29" t="str">
        <f>IF(OR($B49="",$A49&lt;52),"",--MID('Key Analysis'!$C45,52,1))</f>
        <v/>
      </c>
      <c r="GI49" s="29" t="str">
        <f>IF(OR($B49="",$A49&lt;53),"",--MID('Key Analysis'!$C45,53,1))</f>
        <v/>
      </c>
      <c r="GJ49" s="29" t="str">
        <f>IF(OR($B49="",$A49&lt;54),"",--MID('Key Analysis'!$C45,54,1))</f>
        <v/>
      </c>
      <c r="GK49" s="29" t="str">
        <f>IF(OR($B49="",$A49&lt;55),"",--MID('Key Analysis'!$C45,55,1))</f>
        <v/>
      </c>
      <c r="GL49" s="29" t="str">
        <f>IF(OR($B49="",$A49&lt;56),"",--MID('Key Analysis'!$C45,56,1))</f>
        <v/>
      </c>
      <c r="GM49" s="29" t="str">
        <f>IF(OR($B49="",$A49&lt;57),"",--MID('Key Analysis'!$C45,57,1))</f>
        <v/>
      </c>
      <c r="GN49" s="29" t="str">
        <f>IF(OR($B49="",$A49&lt;58),"",--MID('Key Analysis'!$C45,58,1))</f>
        <v/>
      </c>
      <c r="GO49" s="29" t="str">
        <f>IF(OR($B49="",$A49&lt;59),"",--MID('Key Analysis'!$C45,59,1))</f>
        <v/>
      </c>
      <c r="GP49" s="29" t="str">
        <f>IF(OR($B49="",$A49&lt;60),"",--MID('Key Analysis'!$C45,60,1))</f>
        <v/>
      </c>
      <c r="GQ49" s="29" t="str">
        <f>IF(OR($B49="",$A49&lt;61),"",--MID('Key Analysis'!$C45,61,1))</f>
        <v/>
      </c>
      <c r="GR49" s="29" t="str">
        <f>IF(OR($B49="",$A49&lt;62),"",--MID('Key Analysis'!$C45,62,1))</f>
        <v/>
      </c>
      <c r="GS49" s="29" t="str">
        <f>IF(OR($B49="",$A49&lt;63),"",--MID('Key Analysis'!$C45,63,1))</f>
        <v/>
      </c>
      <c r="GT49" s="29" t="str">
        <f>IF(OR($B49="",$A49&lt;64),"",--MID('Key Analysis'!$C45,64,1))</f>
        <v/>
      </c>
      <c r="GU49" s="29" t="str">
        <f>IF(OR($B49="",$A49&lt;65),"",--MID('Key Analysis'!$C45,65,1))</f>
        <v/>
      </c>
      <c r="GV49" s="29" t="str">
        <f>IF(OR($B49="",$A49&lt;66),"",--MID('Key Analysis'!$C45,66,1))</f>
        <v/>
      </c>
      <c r="GW49" s="29" t="str">
        <f>IF(OR($B49="",$A49&lt;67),"",--MID('Key Analysis'!$C45,67,1))</f>
        <v/>
      </c>
      <c r="GX49" s="29" t="str">
        <f>IF(OR($B49="",$A49&lt;68),"",--MID('Key Analysis'!$C45,68,1))</f>
        <v/>
      </c>
      <c r="GY49" s="29" t="str">
        <f>IF(OR($B49="",$A49&lt;69),"",--MID('Key Analysis'!$C45,69,1))</f>
        <v/>
      </c>
      <c r="GZ49" s="29" t="str">
        <f>IF(OR($B49="",$A49&lt;70),"",--MID('Key Analysis'!$C45,70,1))</f>
        <v/>
      </c>
      <c r="HA49" s="29" t="str">
        <f>IF(OR($B49="",$A49&lt;71),"",--MID('Key Analysis'!$C45,71,1))</f>
        <v/>
      </c>
      <c r="HB49" s="29" t="str">
        <f>IF(OR($B49="",$A49&lt;72),"",--MID('Key Analysis'!$C45,72,1))</f>
        <v/>
      </c>
      <c r="HC49" s="29" t="str">
        <f>IF(OR($B49="",$A49&lt;73),"",--MID('Key Analysis'!$C45,73,1))</f>
        <v/>
      </c>
      <c r="HD49" s="29" t="str">
        <f>IF(OR($B49="",$A49&lt;74),"",--MID('Key Analysis'!$C45,74,1))</f>
        <v/>
      </c>
      <c r="HE49" s="29" t="str">
        <f>IF(OR($B49="",$A49&lt;75),"",--MID('Key Analysis'!$C45,75,1))</f>
        <v/>
      </c>
      <c r="HF49" s="29" t="str">
        <f>IF(OR($B49="",$A49&lt;76),"",--MID('Key Analysis'!$C45,76,1))</f>
        <v/>
      </c>
      <c r="HG49" s="29" t="str">
        <f>IF(OR($B49="",$A49&lt;77),"",--MID('Key Analysis'!$C45,77,1))</f>
        <v/>
      </c>
      <c r="HH49" s="29" t="str">
        <f>IF(OR($B49="",$A49&lt;78),"",--MID('Key Analysis'!$C45,78,1))</f>
        <v/>
      </c>
      <c r="HI49" s="29" t="str">
        <f>IF(OR($B49="",$A49&lt;79),"",--MID('Key Analysis'!$C45,79,1))</f>
        <v/>
      </c>
      <c r="HJ49" s="29" t="str">
        <f>IF(OR($B49="",$A49&lt;80),"",--MID('Key Analysis'!$C45,80,1))</f>
        <v/>
      </c>
      <c r="HK49" s="29" t="str">
        <f>IF(OR($B49="",$A49&lt;81),"",--MID('Key Analysis'!$C45,81,1))</f>
        <v/>
      </c>
      <c r="HL49" s="29" t="str">
        <f>IF(OR($B49="",$A49&lt;82),"",--MID('Key Analysis'!$C45,82,1))</f>
        <v/>
      </c>
      <c r="HM49" s="29" t="str">
        <f>IF(OR($B49="",$A49&lt;83),"",--MID('Key Analysis'!$C45,83,1))</f>
        <v/>
      </c>
      <c r="HN49" s="29" t="str">
        <f>IF(OR($B49="",$A49&lt;84),"",--MID('Key Analysis'!$C45,84,1))</f>
        <v/>
      </c>
      <c r="HO49" s="29" t="str">
        <f>IF(OR($B49="",$A49&lt;85),"",--MID('Key Analysis'!$C45,85,1))</f>
        <v/>
      </c>
      <c r="HP49" s="29" t="str">
        <f>IF(OR($B49="",$A49&lt;86),"",--MID('Key Analysis'!$C45,86,1))</f>
        <v/>
      </c>
      <c r="HQ49" s="29" t="str">
        <f>IF(OR($B49="",$A49&lt;87),"",--MID('Key Analysis'!$C45,87,1))</f>
        <v/>
      </c>
      <c r="HR49" s="29" t="str">
        <f>IF(OR($B49="",$A49&lt;88),"",--MID('Key Analysis'!$C45,88,1))</f>
        <v/>
      </c>
      <c r="HS49" s="29" t="str">
        <f>IF(OR($B49="",$A49&lt;89),"",--MID('Key Analysis'!$C45,89,1))</f>
        <v/>
      </c>
      <c r="HT49" s="29" t="str">
        <f>IF(OR($B49="",$A49&lt;90),"",--MID('Key Analysis'!$C45,90,1))</f>
        <v/>
      </c>
      <c r="HU49" s="29" t="str">
        <f>IF(OR($B49="",$A49&lt;91),"",--MID('Key Analysis'!$C45,91,1))</f>
        <v/>
      </c>
      <c r="HV49" s="29" t="str">
        <f>IF(OR($B49="",$A49&lt;92),"",--MID('Key Analysis'!$C45,92,1))</f>
        <v/>
      </c>
      <c r="HW49" s="29" t="str">
        <f>IF(OR($B49="",$A49&lt;93),"",--MID('Key Analysis'!$C45,93,1))</f>
        <v/>
      </c>
      <c r="HX49" s="29" t="str">
        <f>IF(OR($B49="",$A49&lt;94),"",--MID('Key Analysis'!$C45,94,1))</f>
        <v/>
      </c>
      <c r="HY49" s="29" t="str">
        <f>IF(OR($B49="",$A49&lt;95),"",--MID('Key Analysis'!$C45,95,1))</f>
        <v/>
      </c>
      <c r="HZ49" s="29" t="str">
        <f>IF(OR($B49="",$A49&lt;96),"",--MID('Key Analysis'!$C45,96,1))</f>
        <v/>
      </c>
      <c r="IA49" s="29" t="str">
        <f>IF(OR($B49="",$A49&lt;97),"",--MID('Key Analysis'!$C45,97,1))</f>
        <v/>
      </c>
      <c r="IB49" s="29" t="str">
        <f>IF(OR($B49="",$A49&lt;98),"",--MID('Key Analysis'!$C45,98,1))</f>
        <v/>
      </c>
      <c r="IC49" s="29" t="str">
        <f>IF(OR($B49="",$A49&lt;99),"",--MID('Key Analysis'!$C45,99,1))</f>
        <v/>
      </c>
      <c r="ID49" s="29" t="str">
        <f>IF(OR($B49="",$A49&lt;100),"",--MID('Key Analysis'!$C45,100,1))</f>
        <v/>
      </c>
      <c r="IE49" s="29" t="str">
        <f>IF(OR($B49="",$A49&lt;101),"",--MID('Key Analysis'!$C45,101,1))</f>
        <v/>
      </c>
      <c r="IF49" s="29" t="str">
        <f>IF(OR($B49="",$A49&lt;102),"",--MID('Key Analysis'!$C45,102,1))</f>
        <v/>
      </c>
      <c r="IG49" s="29" t="str">
        <f>IF(OR($B49="",$A49&lt;103),"",--MID('Key Analysis'!$C45,103,1))</f>
        <v/>
      </c>
      <c r="IH49" s="29" t="str">
        <f>IF(OR($B49="",$A49&lt;104),"",--MID('Key Analysis'!$C45,104,1))</f>
        <v/>
      </c>
      <c r="II49" s="29" t="str">
        <f>IF(OR($B49="",$A49&lt;105),"",--MID('Key Analysis'!$C45,105,1))</f>
        <v/>
      </c>
      <c r="IJ49" s="29" t="str">
        <f>IF(OR($B49="",$A49&lt;106),"",--MID('Key Analysis'!$C45,106,1))</f>
        <v/>
      </c>
      <c r="IK49" s="29" t="str">
        <f>IF(OR($B49="",$A49&lt;107),"",--MID('Key Analysis'!$C45,107,1))</f>
        <v/>
      </c>
      <c r="IL49" s="29" t="str">
        <f>IF(OR($B49="",$A49&lt;108),"",--MID('Key Analysis'!$C45,108,1))</f>
        <v/>
      </c>
      <c r="IM49" s="29" t="str">
        <f>IF(OR($B49="",$A49&lt;109),"",--MID('Key Analysis'!$C45,109,1))</f>
        <v/>
      </c>
      <c r="IN49" s="29" t="str">
        <f>IF(OR($B49="",$A49&lt;110),"",--MID('Key Analysis'!$C45,110,1))</f>
        <v/>
      </c>
      <c r="IO49" s="29" t="str">
        <f>IF(OR($B49="",$A49&lt;111),"",--MID('Key Analysis'!$C45,111,1))</f>
        <v/>
      </c>
      <c r="IP49" s="29" t="str">
        <f>IF(OR($B49="",$A49&lt;112),"",--MID('Key Analysis'!$C45,112,1))</f>
        <v/>
      </c>
      <c r="IQ49" s="29" t="str">
        <f>IF(OR($B49="",$A49&lt;113),"",--MID('Key Analysis'!$C45,113,1))</f>
        <v/>
      </c>
      <c r="IR49" s="29" t="str">
        <f>IF(OR($B49="",$A49&lt;114),"",--MID('Key Analysis'!$C45,114,1))</f>
        <v/>
      </c>
      <c r="IS49" s="29" t="str">
        <f>IF(OR($B49="",$A49&lt;115),"",--MID('Key Analysis'!$C45,115,1))</f>
        <v/>
      </c>
      <c r="IT49" s="29" t="str">
        <f>IF(OR($B49="",$A49&lt;116),"",--MID('Key Analysis'!$C45,116,1))</f>
        <v/>
      </c>
      <c r="IU49" s="29" t="str">
        <f>IF(OR($B49="",$A49&lt;117),"",--MID('Key Analysis'!$C45,117,1))</f>
        <v/>
      </c>
      <c r="IV49" s="29" t="str">
        <f>IF(OR($B49="",$A49&lt;118),"",--MID('Key Analysis'!$C45,118,1))</f>
        <v/>
      </c>
      <c r="IW49" s="29" t="str">
        <f>IF(OR($B49="",$A49&lt;119),"",--MID('Key Analysis'!$C45,119,1))</f>
        <v/>
      </c>
      <c r="IX49" s="29" t="str">
        <f>IF(OR($B49="",$A49&lt;120),"",--MID('Key Analysis'!$C45,120,1))</f>
        <v/>
      </c>
      <c r="IY49" s="29" t="str">
        <f>IF(OR($B49="",$A49&lt;121),"",--MID('Key Analysis'!$C45,121,1))</f>
        <v/>
      </c>
      <c r="IZ49" s="29" t="str">
        <f>IF(OR($B49="",$A49&lt;122),"",--MID('Key Analysis'!$C45,122,1))</f>
        <v/>
      </c>
      <c r="JA49" s="29" t="str">
        <f>IF(OR($B49="",$A49&lt;123),"",--MID('Key Analysis'!$C45,123,1))</f>
        <v/>
      </c>
      <c r="JB49" s="29" t="str">
        <f>IF(OR($B49="",$A49&lt;124),"",--MID('Key Analysis'!$C45,124,1))</f>
        <v/>
      </c>
      <c r="JC49" s="29" t="str">
        <f>IF(OR($B49="",$A49&lt;125),"",--MID('Key Analysis'!$C45,125,1))</f>
        <v/>
      </c>
      <c r="JD49" s="29" t="str">
        <f>IF(OR($B49="",$A49&lt;126),"",--MID('Key Analysis'!$C45,126,1))</f>
        <v/>
      </c>
      <c r="JE49" s="29" t="str">
        <f>IF(OR($B49="",$A49&lt;127),"",--MID('Key Analysis'!$C45,127,1))</f>
        <v/>
      </c>
      <c r="JF49" s="29" t="str">
        <f>IF(OR($B49="",$A49&lt;128),"",--MID('Key Analysis'!$C45,128,1))</f>
        <v/>
      </c>
      <c r="JG49" s="29" t="str">
        <f>IF(OR($B49="",$A49&lt;129),"",--MID('Key Analysis'!$C45,129,1))</f>
        <v/>
      </c>
      <c r="JH49" s="29" t="str">
        <f>IF(OR($B49="",$A49&lt;130),"",--MID('Key Analysis'!$C45,130,1))</f>
        <v/>
      </c>
      <c r="JI49" s="29" t="str">
        <f>IF(OR($B49="",$A49&lt;131),"",--MID('Key Analysis'!$C45,131,1))</f>
        <v/>
      </c>
      <c r="JJ49" s="29" t="str">
        <f>IF(OR($B49="",$A49&lt;132),"",--MID('Key Analysis'!$C45,132,1))</f>
        <v/>
      </c>
      <c r="JK49" s="29" t="str">
        <f>IF(OR($B49="",$A49&lt;133),"",--MID('Key Analysis'!$C45,133,1))</f>
        <v/>
      </c>
      <c r="JL49" s="29" t="str">
        <f>IF(OR($B49="",$A49&lt;134),"",--MID('Key Analysis'!$C45,134,1))</f>
        <v/>
      </c>
      <c r="JM49" s="29" t="str">
        <f>IF(OR($B49="",$A49&lt;135),"",--MID('Key Analysis'!$C45,135,1))</f>
        <v/>
      </c>
    </row>
    <row r="50" spans="1:273" x14ac:dyDescent="0.25">
      <c r="A50" s="21">
        <f>'Key Analysis'!A46</f>
        <v>45</v>
      </c>
      <c r="B50" s="30" t="str">
        <f>'Key Analysis'!B46</f>
        <v>122fca143c05</v>
      </c>
      <c r="C50" s="29">
        <f>IF(OR($B50="",$A50&lt;=0),"",--MID('Key Analysis'!$C46,$A50-0,1))</f>
        <v>1</v>
      </c>
      <c r="D50" s="29">
        <f>IF(OR($B50="",$A50&lt;=1),"",--MID('Key Analysis'!$C46,$A50-1,1))</f>
        <v>0</v>
      </c>
      <c r="E50" s="29">
        <f>IF(OR($B50="",$A50&lt;=2),"",--MID('Key Analysis'!$C46,$A50-2,1))</f>
        <v>1</v>
      </c>
      <c r="F50" s="29">
        <f>IF(OR($B50="",$A50&lt;=3),"",--MID('Key Analysis'!$C46,$A50-3,1))</f>
        <v>0</v>
      </c>
      <c r="G50" s="29">
        <f>IF(OR($B50="",$A50&lt;=4),"",--MID('Key Analysis'!$C46,$A50-4,1))</f>
        <v>0</v>
      </c>
      <c r="H50" s="29">
        <f>IF(OR($B50="",$A50&lt;=5),"",--MID('Key Analysis'!$C46,$A50-5,1))</f>
        <v>0</v>
      </c>
      <c r="I50" s="29">
        <f>IF(OR($B50="",$A50&lt;=6),"",--MID('Key Analysis'!$C46,$A50-6,1))</f>
        <v>0</v>
      </c>
      <c r="J50" s="29">
        <f>IF(OR($B50="",$A50&lt;=7),"",--MID('Key Analysis'!$C46,$A50-7,1))</f>
        <v>0</v>
      </c>
      <c r="K50" s="29">
        <f>IF(OR($B50="",$A50&lt;=8),"",--MID('Key Analysis'!$C46,$A50-8,1))</f>
        <v>0</v>
      </c>
      <c r="L50" s="29">
        <f>IF(OR($B50="",$A50&lt;=9),"",--MID('Key Analysis'!$C46,$A50-9,1))</f>
        <v>0</v>
      </c>
      <c r="M50" s="29">
        <f>IF(OR($B50="",$A50&lt;=10),"",--MID('Key Analysis'!$C46,$A50-10,1))</f>
        <v>1</v>
      </c>
      <c r="N50" s="29">
        <f>IF(OR($B50="",$A50&lt;=11),"",--MID('Key Analysis'!$C46,$A50-11,1))</f>
        <v>1</v>
      </c>
      <c r="O50" s="29">
        <f>IF(OR($B50="",$A50&lt;=12),"",--MID('Key Analysis'!$C46,$A50-12,1))</f>
        <v>1</v>
      </c>
      <c r="P50" s="29">
        <f>IF(OR($B50="",$A50&lt;=13),"",--MID('Key Analysis'!$C46,$A50-13,1))</f>
        <v>1</v>
      </c>
      <c r="Q50" s="29">
        <f>IF(OR($B50="",$A50&lt;=14),"",--MID('Key Analysis'!$C46,$A50-14,1))</f>
        <v>0</v>
      </c>
      <c r="R50" s="29">
        <f>IF(OR($B50="",$A50&lt;=15),"",--MID('Key Analysis'!$C46,$A50-15,1))</f>
        <v>0</v>
      </c>
      <c r="S50" s="29">
        <f>IF(OR($B50="",$A50&lt;=16),"",--MID('Key Analysis'!$C46,$A50-16,1))</f>
        <v>0</v>
      </c>
      <c r="T50" s="29">
        <f>IF(OR($B50="",$A50&lt;=17),"",--MID('Key Analysis'!$C46,$A50-17,1))</f>
        <v>0</v>
      </c>
      <c r="U50" s="29">
        <f>IF(OR($B50="",$A50&lt;=18),"",--MID('Key Analysis'!$C46,$A50-18,1))</f>
        <v>1</v>
      </c>
      <c r="V50" s="29">
        <f>IF(OR($B50="",$A50&lt;=19),"",--MID('Key Analysis'!$C46,$A50-19,1))</f>
        <v>0</v>
      </c>
      <c r="W50" s="29">
        <f>IF(OR($B50="",$A50&lt;=20),"",--MID('Key Analysis'!$C46,$A50-20,1))</f>
        <v>1</v>
      </c>
      <c r="X50" s="29">
        <f>IF(OR($B50="",$A50&lt;=21),"",--MID('Key Analysis'!$C46,$A50-21,1))</f>
        <v>0</v>
      </c>
      <c r="Y50" s="29">
        <f>IF(OR($B50="",$A50&lt;=22),"",--MID('Key Analysis'!$C46,$A50-22,1))</f>
        <v>0</v>
      </c>
      <c r="Z50" s="29">
        <f>IF(OR($B50="",$A50&lt;=23),"",--MID('Key Analysis'!$C46,$A50-23,1))</f>
        <v>0</v>
      </c>
      <c r="AA50" s="29">
        <f>IF(OR($B50="",$A50&lt;=24),"",--MID('Key Analysis'!$C46,$A50-24,1))</f>
        <v>0</v>
      </c>
      <c r="AB50" s="29">
        <f>IF(OR($B50="",$A50&lt;=25),"",--MID('Key Analysis'!$C46,$A50-25,1))</f>
        <v>1</v>
      </c>
      <c r="AC50" s="29">
        <f>IF(OR($B50="",$A50&lt;=26),"",--MID('Key Analysis'!$C46,$A50-26,1))</f>
        <v>0</v>
      </c>
      <c r="AD50" s="29">
        <f>IF(OR($B50="",$A50&lt;=27),"",--MID('Key Analysis'!$C46,$A50-27,1))</f>
        <v>1</v>
      </c>
      <c r="AE50" s="29">
        <f>IF(OR($B50="",$A50&lt;=28),"",--MID('Key Analysis'!$C46,$A50-28,1))</f>
        <v>0</v>
      </c>
      <c r="AF50" s="29">
        <f>IF(OR($B50="",$A50&lt;=29),"",--MID('Key Analysis'!$C46,$A50-29,1))</f>
        <v>0</v>
      </c>
      <c r="AG50" s="29">
        <f>IF(OR($B50="",$A50&lt;=30),"",--MID('Key Analysis'!$C46,$A50-30,1))</f>
        <v>1</v>
      </c>
      <c r="AH50" s="29">
        <f>IF(OR($B50="",$A50&lt;=31),"",--MID('Key Analysis'!$C46,$A50-31,1))</f>
        <v>1</v>
      </c>
      <c r="AI50" s="29">
        <f>IF(OR($B50="",$A50&lt;=32),"",--MID('Key Analysis'!$C46,$A50-32,1))</f>
        <v>1</v>
      </c>
      <c r="AJ50" s="29">
        <f>IF(OR($B50="",$A50&lt;=33),"",--MID('Key Analysis'!$C46,$A50-33,1))</f>
        <v>1</v>
      </c>
      <c r="AK50" s="29">
        <f>IF(OR($B50="",$A50&lt;=34),"",--MID('Key Analysis'!$C46,$A50-34,1))</f>
        <v>1</v>
      </c>
      <c r="AL50" s="29">
        <f>IF(OR($B50="",$A50&lt;=35),"",--MID('Key Analysis'!$C46,$A50-35,1))</f>
        <v>1</v>
      </c>
      <c r="AM50" s="29">
        <f>IF(OR($B50="",$A50&lt;=36),"",--MID('Key Analysis'!$C46,$A50-36,1))</f>
        <v>0</v>
      </c>
      <c r="AN50" s="29">
        <f>IF(OR($B50="",$A50&lt;=37),"",--MID('Key Analysis'!$C46,$A50-37,1))</f>
        <v>1</v>
      </c>
      <c r="AO50" s="29">
        <f>IF(OR($B50="",$A50&lt;=38),"",--MID('Key Analysis'!$C46,$A50-38,1))</f>
        <v>0</v>
      </c>
      <c r="AP50" s="29">
        <f>IF(OR($B50="",$A50&lt;=39),"",--MID('Key Analysis'!$C46,$A50-39,1))</f>
        <v>0</v>
      </c>
      <c r="AQ50" s="29">
        <f>IF(OR($B50="",$A50&lt;=40),"",--MID('Key Analysis'!$C46,$A50-40,1))</f>
        <v>0</v>
      </c>
      <c r="AR50" s="29">
        <f>IF(OR($B50="",$A50&lt;=41),"",--MID('Key Analysis'!$C46,$A50-41,1))</f>
        <v>1</v>
      </c>
      <c r="AS50" s="29">
        <f>IF(OR($B50="",$A50&lt;=42),"",--MID('Key Analysis'!$C46,$A50-42,1))</f>
        <v>0</v>
      </c>
      <c r="AT50" s="29">
        <f>IF(OR($B50="",$A50&lt;=43),"",--MID('Key Analysis'!$C46,$A50-43,1))</f>
        <v>0</v>
      </c>
      <c r="AU50" s="29">
        <f>IF(OR($B50="",$A50&lt;=44),"",--MID('Key Analysis'!$C46,$A50-44,1))</f>
        <v>1</v>
      </c>
      <c r="AV50" s="29" t="str">
        <f>IF(OR($B50="",$A50&lt;=45),"",--MID('Key Analysis'!$C46,$A50-45,1))</f>
        <v/>
      </c>
      <c r="AW50" s="29" t="str">
        <f>IF(OR($B50="",$A50&lt;=46),"",--MID('Key Analysis'!$C46,$A50-46,1))</f>
        <v/>
      </c>
      <c r="AX50" s="29" t="str">
        <f>IF(OR($B50="",$A50&lt;=47),"",--MID('Key Analysis'!$C46,$A50-47,1))</f>
        <v/>
      </c>
      <c r="AY50" s="29" t="str">
        <f>IF(OR($B50="",$A50&lt;=48),"",--MID('Key Analysis'!$C46,$A50-48,1))</f>
        <v/>
      </c>
      <c r="AZ50" s="29" t="str">
        <f>IF(OR($B50="",$A50&lt;=49),"",--MID('Key Analysis'!$C46,$A50-49,1))</f>
        <v/>
      </c>
      <c r="BA50" s="29" t="str">
        <f>IF(OR($B50="",$A50&lt;=50),"",--MID('Key Analysis'!$C46,$A50-50,1))</f>
        <v/>
      </c>
      <c r="BB50" s="29" t="str">
        <f>IF(OR($B50="",$A50&lt;=51),"",--MID('Key Analysis'!$C46,$A50-51,1))</f>
        <v/>
      </c>
      <c r="BC50" s="29" t="str">
        <f>IF(OR($B50="",$A50&lt;=52),"",--MID('Key Analysis'!$C46,$A50-52,1))</f>
        <v/>
      </c>
      <c r="BD50" s="29" t="str">
        <f>IF(OR($B50="",$A50&lt;=53),"",--MID('Key Analysis'!$C46,$A50-53,1))</f>
        <v/>
      </c>
      <c r="BE50" s="29" t="str">
        <f>IF(OR($B50="",$A50&lt;=54),"",--MID('Key Analysis'!$C46,$A50-54,1))</f>
        <v/>
      </c>
      <c r="BF50" s="29" t="str">
        <f>IF(OR($B50="",$A50&lt;=55),"",--MID('Key Analysis'!$C46,$A50-55,1))</f>
        <v/>
      </c>
      <c r="BG50" s="29" t="str">
        <f>IF(OR($B50="",$A50&lt;=56),"",--MID('Key Analysis'!$C46,$A50-56,1))</f>
        <v/>
      </c>
      <c r="BH50" s="29" t="str">
        <f>IF(OR($B50="",$A50&lt;=57),"",--MID('Key Analysis'!$C46,$A50-57,1))</f>
        <v/>
      </c>
      <c r="BI50" s="29" t="str">
        <f>IF(OR($B50="",$A50&lt;=58),"",--MID('Key Analysis'!$C46,$A50-58,1))</f>
        <v/>
      </c>
      <c r="BJ50" s="29" t="str">
        <f>IF(OR($B50="",$A50&lt;=59),"",--MID('Key Analysis'!$C46,$A50-59,1))</f>
        <v/>
      </c>
      <c r="BK50" s="29" t="str">
        <f>IF(OR($B50="",$A50&lt;=60),"",--MID('Key Analysis'!$C46,$A50-60,1))</f>
        <v/>
      </c>
      <c r="BL50" s="29" t="str">
        <f>IF(OR($B50="",$A50&lt;=61),"",--MID('Key Analysis'!$C46,$A50-61,1))</f>
        <v/>
      </c>
      <c r="BM50" s="29" t="str">
        <f>IF(OR($B50="",$A50&lt;=62),"",--MID('Key Analysis'!$C46,$A50-62,1))</f>
        <v/>
      </c>
      <c r="BN50" s="29" t="str">
        <f>IF(OR($B50="",$A50&lt;=63),"",--MID('Key Analysis'!$C46,$A50-63,1))</f>
        <v/>
      </c>
      <c r="BO50" s="29" t="str">
        <f>IF(OR($B50="",$A50&lt;=64),"",--MID('Key Analysis'!$C46,$A50-64,1))</f>
        <v/>
      </c>
      <c r="BP50" s="29" t="str">
        <f>IF(OR($B50="",$A50&lt;=65),"",--MID('Key Analysis'!$C46,$A50-65,1))</f>
        <v/>
      </c>
      <c r="BQ50" s="29" t="str">
        <f>IF(OR($B50="",$A50&lt;=66),"",--MID('Key Analysis'!$C46,$A50-66,1))</f>
        <v/>
      </c>
      <c r="BR50" s="29" t="str">
        <f>IF(OR($B50="",$A50&lt;=67),"",--MID('Key Analysis'!$C46,$A50-67,1))</f>
        <v/>
      </c>
      <c r="BS50" s="29" t="str">
        <f>IF(OR($B50="",$A50&lt;=68),"",--MID('Key Analysis'!$C46,$A50-68,1))</f>
        <v/>
      </c>
      <c r="BT50" s="29" t="str">
        <f>IF(OR($B50="",$A50&lt;=69),"",--MID('Key Analysis'!$C46,$A50-69,1))</f>
        <v/>
      </c>
      <c r="BU50" s="29" t="str">
        <f>IF(OR($B50="",$A50&lt;=70),"",--MID('Key Analysis'!$C46,$A50-70,1))</f>
        <v/>
      </c>
      <c r="BV50" s="29" t="str">
        <f>IF(OR($B50="",$A50&lt;=71),"",--MID('Key Analysis'!$C46,$A50-71,1))</f>
        <v/>
      </c>
      <c r="BW50" s="29" t="str">
        <f>IF(OR($B50="",$A50&lt;=72),"",--MID('Key Analysis'!$C46,$A50-72,1))</f>
        <v/>
      </c>
      <c r="BX50" s="29" t="str">
        <f>IF(OR($B50="",$A50&lt;=73),"",--MID('Key Analysis'!$C46,$A50-73,1))</f>
        <v/>
      </c>
      <c r="BY50" s="29" t="str">
        <f>IF(OR($B50="",$A50&lt;=74),"",--MID('Key Analysis'!$C46,$A50-74,1))</f>
        <v/>
      </c>
      <c r="BZ50" s="29" t="str">
        <f>IF(OR($B50="",$A50&lt;=75),"",--MID('Key Analysis'!$C46,$A50-75,1))</f>
        <v/>
      </c>
      <c r="CA50" s="29" t="str">
        <f>IF(OR($B50="",$A50&lt;=76),"",--MID('Key Analysis'!$C46,$A50-76,1))</f>
        <v/>
      </c>
      <c r="CB50" s="29" t="str">
        <f>IF(OR($B50="",$A50&lt;=77),"",--MID('Key Analysis'!$C46,$A50-77,1))</f>
        <v/>
      </c>
      <c r="CC50" s="29" t="str">
        <f>IF(OR($B50="",$A50&lt;=78),"",--MID('Key Analysis'!$C46,$A50-78,1))</f>
        <v/>
      </c>
      <c r="CD50" s="29" t="str">
        <f>IF(OR($B50="",$A50&lt;=79),"",--MID('Key Analysis'!$C46,$A50-79,1))</f>
        <v/>
      </c>
      <c r="CE50" s="29" t="str">
        <f>IF(OR($B50="",$A50&lt;=80),"",--MID('Key Analysis'!$C46,$A50-80,1))</f>
        <v/>
      </c>
      <c r="CF50" s="29" t="str">
        <f>IF(OR($B50="",$A50&lt;=81),"",--MID('Key Analysis'!$C46,$A50-81,1))</f>
        <v/>
      </c>
      <c r="CG50" s="29" t="str">
        <f>IF(OR($B50="",$A50&lt;=82),"",--MID('Key Analysis'!$C46,$A50-82,1))</f>
        <v/>
      </c>
      <c r="CH50" s="29" t="str">
        <f>IF(OR($B50="",$A50&lt;=83),"",--MID('Key Analysis'!$C46,$A50-83,1))</f>
        <v/>
      </c>
      <c r="CI50" s="29" t="str">
        <f>IF(OR($B50="",$A50&lt;=84),"",--MID('Key Analysis'!$C46,$A50-84,1))</f>
        <v/>
      </c>
      <c r="CJ50" s="29" t="str">
        <f>IF(OR($B50="",$A50&lt;=85),"",--MID('Key Analysis'!$C46,$A50-85,1))</f>
        <v/>
      </c>
      <c r="CK50" s="29" t="str">
        <f>IF(OR($B50="",$A50&lt;=86),"",--MID('Key Analysis'!$C46,$A50-86,1))</f>
        <v/>
      </c>
      <c r="CL50" s="29" t="str">
        <f>IF(OR($B50="",$A50&lt;=87),"",--MID('Key Analysis'!$C46,$A50-87,1))</f>
        <v/>
      </c>
      <c r="CM50" s="29" t="str">
        <f>IF(OR($B50="",$A50&lt;=88),"",--MID('Key Analysis'!$C46,$A50-88,1))</f>
        <v/>
      </c>
      <c r="CN50" s="29" t="str">
        <f>IF(OR($B50="",$A50&lt;=89),"",--MID('Key Analysis'!$C46,$A50-89,1))</f>
        <v/>
      </c>
      <c r="CO50" s="29" t="str">
        <f>IF(OR($B50="",$A50&lt;=90),"",--MID('Key Analysis'!$C46,$A50-90,1))</f>
        <v/>
      </c>
      <c r="CP50" s="29" t="str">
        <f>IF(OR($B50="",$A50&lt;=91),"",--MID('Key Analysis'!$C46,$A50-91,1))</f>
        <v/>
      </c>
      <c r="CQ50" s="29" t="str">
        <f>IF(OR($B50="",$A50&lt;=92),"",--MID('Key Analysis'!$C46,$A50-92,1))</f>
        <v/>
      </c>
      <c r="CR50" s="29" t="str">
        <f>IF(OR($B50="",$A50&lt;=93),"",--MID('Key Analysis'!$C46,$A50-93,1))</f>
        <v/>
      </c>
      <c r="CS50" s="29" t="str">
        <f>IF(OR($B50="",$A50&lt;=94),"",--MID('Key Analysis'!$C46,$A50-94,1))</f>
        <v/>
      </c>
      <c r="CT50" s="29" t="str">
        <f>IF(OR($B50="",$A50&lt;=95),"",--MID('Key Analysis'!$C46,$A50-95,1))</f>
        <v/>
      </c>
      <c r="CU50" s="29" t="str">
        <f>IF(OR($B50="",$A50&lt;=96),"",--MID('Key Analysis'!$C46,$A50-96,1))</f>
        <v/>
      </c>
      <c r="CV50" s="29" t="str">
        <f>IF(OR($B50="",$A50&lt;=97),"",--MID('Key Analysis'!$C46,$A50-97,1))</f>
        <v/>
      </c>
      <c r="CW50" s="29" t="str">
        <f>IF(OR($B50="",$A50&lt;=98),"",--MID('Key Analysis'!$C46,$A50-98,1))</f>
        <v/>
      </c>
      <c r="CX50" s="29" t="str">
        <f>IF(OR($B50="",$A50&lt;=99),"",--MID('Key Analysis'!$C46,$A50-99,1))</f>
        <v/>
      </c>
      <c r="CY50" s="29" t="str">
        <f>IF(OR($B50="",$A50&lt;=100),"",--MID('Key Analysis'!$C46,$A50-100,1))</f>
        <v/>
      </c>
      <c r="CZ50" s="29" t="str">
        <f>IF(OR($B50="",$A50&lt;=101),"",--MID('Key Analysis'!$C46,$A50-101,1))</f>
        <v/>
      </c>
      <c r="DA50" s="29" t="str">
        <f>IF(OR($B50="",$A50&lt;=102),"",--MID('Key Analysis'!$C46,$A50-102,1))</f>
        <v/>
      </c>
      <c r="DB50" s="29" t="str">
        <f>IF(OR($B50="",$A50&lt;=103),"",--MID('Key Analysis'!$C46,$A50-103,1))</f>
        <v/>
      </c>
      <c r="DC50" s="29" t="str">
        <f>IF(OR($B50="",$A50&lt;=104),"",--MID('Key Analysis'!$C46,$A50-104,1))</f>
        <v/>
      </c>
      <c r="DD50" s="29" t="str">
        <f>IF(OR($B50="",$A50&lt;=105),"",--MID('Key Analysis'!$C46,$A50-105,1))</f>
        <v/>
      </c>
      <c r="DE50" s="29" t="str">
        <f>IF(OR($B50="",$A50&lt;=106),"",--MID('Key Analysis'!$C46,$A50-106,1))</f>
        <v/>
      </c>
      <c r="DF50" s="29" t="str">
        <f>IF(OR($B50="",$A50&lt;=107),"",--MID('Key Analysis'!$C46,$A50-107,1))</f>
        <v/>
      </c>
      <c r="DG50" s="29" t="str">
        <f>IF(OR($B50="",$A50&lt;=108),"",--MID('Key Analysis'!$C46,$A50-108,1))</f>
        <v/>
      </c>
      <c r="DH50" s="29" t="str">
        <f>IF(OR($B50="",$A50&lt;=109),"",--MID('Key Analysis'!$C46,$A50-109,1))</f>
        <v/>
      </c>
      <c r="DI50" s="29" t="str">
        <f>IF(OR($B50="",$A50&lt;=110),"",--MID('Key Analysis'!$C46,$A50-110,1))</f>
        <v/>
      </c>
      <c r="DJ50" s="29" t="str">
        <f>IF(OR($B50="",$A50&lt;=111),"",--MID('Key Analysis'!$C46,$A50-111,1))</f>
        <v/>
      </c>
      <c r="DK50" s="29" t="str">
        <f>IF(OR($B50="",$A50&lt;=112),"",--MID('Key Analysis'!$C46,$A50-112,1))</f>
        <v/>
      </c>
      <c r="DL50" s="29" t="str">
        <f>IF(OR($B50="",$A50&lt;=113),"",--MID('Key Analysis'!$C46,$A50-113,1))</f>
        <v/>
      </c>
      <c r="DM50" s="29" t="str">
        <f>IF(OR($B50="",$A50&lt;=114),"",--MID('Key Analysis'!$C46,$A50-114,1))</f>
        <v/>
      </c>
      <c r="DN50" s="29" t="str">
        <f>IF(OR($B50="",$A50&lt;=115),"",--MID('Key Analysis'!$C46,$A50-115,1))</f>
        <v/>
      </c>
      <c r="DO50" s="29" t="str">
        <f>IF(OR($B50="",$A50&lt;=116),"",--MID('Key Analysis'!$C46,$A50-116,1))</f>
        <v/>
      </c>
      <c r="DP50" s="29" t="str">
        <f>IF(OR($B50="",$A50&lt;=117),"",--MID('Key Analysis'!$C46,$A50-117,1))</f>
        <v/>
      </c>
      <c r="DQ50" s="29" t="str">
        <f>IF(OR($B50="",$A50&lt;=118),"",--MID('Key Analysis'!$C46,$A50-118,1))</f>
        <v/>
      </c>
      <c r="DR50" s="29" t="str">
        <f>IF(OR($B50="",$A50&lt;=119),"",--MID('Key Analysis'!$C46,$A50-119,1))</f>
        <v/>
      </c>
      <c r="DS50" s="29" t="str">
        <f>IF(OR($B50="",$A50&lt;=120),"",--MID('Key Analysis'!$C46,$A50-120,1))</f>
        <v/>
      </c>
      <c r="DT50" s="29" t="str">
        <f>IF(OR($B50="",$A50&lt;=121),"",--MID('Key Analysis'!$C46,$A50-121,1))</f>
        <v/>
      </c>
      <c r="DU50" s="29" t="str">
        <f>IF(OR($B50="",$A50&lt;=122),"",--MID('Key Analysis'!$C46,$A50-122,1))</f>
        <v/>
      </c>
      <c r="DV50" s="29" t="str">
        <f>IF(OR($B50="",$A50&lt;=123),"",--MID('Key Analysis'!$C46,$A50-123,1))</f>
        <v/>
      </c>
      <c r="DW50" s="29" t="str">
        <f>IF(OR($B50="",$A50&lt;=124),"",--MID('Key Analysis'!$C46,$A50-124,1))</f>
        <v/>
      </c>
      <c r="DX50" s="29" t="str">
        <f>IF(OR($B50="",$A50&lt;=125),"",--MID('Key Analysis'!$C46,$A50-125,1))</f>
        <v/>
      </c>
      <c r="DY50" s="29" t="str">
        <f>IF(OR($B50="",$A50&lt;=126),"",--MID('Key Analysis'!$C46,$A50-126,1))</f>
        <v/>
      </c>
      <c r="DZ50" s="29" t="str">
        <f>IF(OR($B50="",$A50&lt;=127),"",--MID('Key Analysis'!$C46,$A50-127,1))</f>
        <v/>
      </c>
      <c r="EA50" s="29" t="str">
        <f>IF(OR($B50="",$A50&lt;=128),"",--MID('Key Analysis'!$C46,$A50-128,1))</f>
        <v/>
      </c>
      <c r="EB50" s="29" t="str">
        <f>IF(OR($B50="",$A50&lt;=129),"",--MID('Key Analysis'!$C46,$A50-129,1))</f>
        <v/>
      </c>
      <c r="EC50" s="29" t="str">
        <f>IF(OR($B50="",$A50&lt;=130),"",--MID('Key Analysis'!$C46,$A50-130,1))</f>
        <v/>
      </c>
      <c r="ED50" s="29" t="str">
        <f>IF(OR($B50="",$A50&lt;=131),"",--MID('Key Analysis'!$C46,$A50-131,1))</f>
        <v/>
      </c>
      <c r="EE50" s="29" t="str">
        <f>IF(OR($B50="",$A50&lt;=132),"",--MID('Key Analysis'!$C46,$A50-132,1))</f>
        <v/>
      </c>
      <c r="EF50" s="29" t="str">
        <f>IF(OR($B50="",$A50&lt;=133),"",--MID('Key Analysis'!$C46,$A50-133,1))</f>
        <v/>
      </c>
      <c r="EG50" s="29" t="str">
        <f>IF(OR($B50="",$A50&lt;=134),"",--MID('Key Analysis'!$C46,$A50-134,1))</f>
        <v/>
      </c>
      <c r="EH50" s="29"/>
      <c r="EI50" s="29">
        <f>IF(OR($B50="",$A50&lt;1),"",--MID('Key Analysis'!$C46,1,1))</f>
        <v>1</v>
      </c>
      <c r="EJ50" s="29">
        <f>IF(OR($B50="",$A50&lt;2),"",--MID('Key Analysis'!$C46,2,1))</f>
        <v>0</v>
      </c>
      <c r="EK50" s="29">
        <f>IF(OR($B50="",$A50&lt;3),"",--MID('Key Analysis'!$C46,3,1))</f>
        <v>0</v>
      </c>
      <c r="EL50" s="29">
        <f>IF(OR($B50="",$A50&lt;4),"",--MID('Key Analysis'!$C46,4,1))</f>
        <v>1</v>
      </c>
      <c r="EM50" s="29">
        <f>IF(OR($B50="",$A50&lt;5),"",--MID('Key Analysis'!$C46,5,1))</f>
        <v>0</v>
      </c>
      <c r="EN50" s="29">
        <f>IF(OR($B50="",$A50&lt;6),"",--MID('Key Analysis'!$C46,6,1))</f>
        <v>0</v>
      </c>
      <c r="EO50" s="29">
        <f>IF(OR($B50="",$A50&lt;7),"",--MID('Key Analysis'!$C46,7,1))</f>
        <v>0</v>
      </c>
      <c r="EP50" s="29">
        <f>IF(OR($B50="",$A50&lt;8),"",--MID('Key Analysis'!$C46,8,1))</f>
        <v>1</v>
      </c>
      <c r="EQ50" s="29">
        <f>IF(OR($B50="",$A50&lt;9),"",--MID('Key Analysis'!$C46,9,1))</f>
        <v>0</v>
      </c>
      <c r="ER50" s="29">
        <f>IF(OR($B50="",$A50&lt;10),"",--MID('Key Analysis'!$C46,10,1))</f>
        <v>1</v>
      </c>
      <c r="ES50" s="29">
        <f>IF(OR($B50="",$A50&lt;11),"",--MID('Key Analysis'!$C46,11,1))</f>
        <v>1</v>
      </c>
      <c r="ET50" s="29">
        <f>IF(OR($B50="",$A50&lt;12),"",--MID('Key Analysis'!$C46,12,1))</f>
        <v>1</v>
      </c>
      <c r="EU50" s="29">
        <f>IF(OR($B50="",$A50&lt;13),"",--MID('Key Analysis'!$C46,13,1))</f>
        <v>1</v>
      </c>
      <c r="EV50" s="29">
        <f>IF(OR($B50="",$A50&lt;14),"",--MID('Key Analysis'!$C46,14,1))</f>
        <v>1</v>
      </c>
      <c r="EW50" s="29">
        <f>IF(OR($B50="",$A50&lt;15),"",--MID('Key Analysis'!$C46,15,1))</f>
        <v>1</v>
      </c>
      <c r="EX50" s="29">
        <f>IF(OR($B50="",$A50&lt;16),"",--MID('Key Analysis'!$C46,16,1))</f>
        <v>0</v>
      </c>
      <c r="EY50" s="29">
        <f>IF(OR($B50="",$A50&lt;17),"",--MID('Key Analysis'!$C46,17,1))</f>
        <v>0</v>
      </c>
      <c r="EZ50" s="29">
        <f>IF(OR($B50="",$A50&lt;18),"",--MID('Key Analysis'!$C46,18,1))</f>
        <v>1</v>
      </c>
      <c r="FA50" s="29">
        <f>IF(OR($B50="",$A50&lt;19),"",--MID('Key Analysis'!$C46,19,1))</f>
        <v>0</v>
      </c>
      <c r="FB50" s="29">
        <f>IF(OR($B50="",$A50&lt;20),"",--MID('Key Analysis'!$C46,20,1))</f>
        <v>1</v>
      </c>
      <c r="FC50" s="29">
        <f>IF(OR($B50="",$A50&lt;21),"",--MID('Key Analysis'!$C46,21,1))</f>
        <v>0</v>
      </c>
      <c r="FD50" s="29">
        <f>IF(OR($B50="",$A50&lt;22),"",--MID('Key Analysis'!$C46,22,1))</f>
        <v>0</v>
      </c>
      <c r="FE50" s="29">
        <f>IF(OR($B50="",$A50&lt;23),"",--MID('Key Analysis'!$C46,23,1))</f>
        <v>0</v>
      </c>
      <c r="FF50" s="29">
        <f>IF(OR($B50="",$A50&lt;24),"",--MID('Key Analysis'!$C46,24,1))</f>
        <v>0</v>
      </c>
      <c r="FG50" s="29">
        <f>IF(OR($B50="",$A50&lt;25),"",--MID('Key Analysis'!$C46,25,1))</f>
        <v>1</v>
      </c>
      <c r="FH50" s="29">
        <f>IF(OR($B50="",$A50&lt;26),"",--MID('Key Analysis'!$C46,26,1))</f>
        <v>0</v>
      </c>
      <c r="FI50" s="29">
        <f>IF(OR($B50="",$A50&lt;27),"",--MID('Key Analysis'!$C46,27,1))</f>
        <v>1</v>
      </c>
      <c r="FJ50" s="29">
        <f>IF(OR($B50="",$A50&lt;28),"",--MID('Key Analysis'!$C46,28,1))</f>
        <v>0</v>
      </c>
      <c r="FK50" s="29">
        <f>IF(OR($B50="",$A50&lt;29),"",--MID('Key Analysis'!$C46,29,1))</f>
        <v>0</v>
      </c>
      <c r="FL50" s="29">
        <f>IF(OR($B50="",$A50&lt;30),"",--MID('Key Analysis'!$C46,30,1))</f>
        <v>0</v>
      </c>
      <c r="FM50" s="29">
        <f>IF(OR($B50="",$A50&lt;31),"",--MID('Key Analysis'!$C46,31,1))</f>
        <v>0</v>
      </c>
      <c r="FN50" s="29">
        <f>IF(OR($B50="",$A50&lt;32),"",--MID('Key Analysis'!$C46,32,1))</f>
        <v>1</v>
      </c>
      <c r="FO50" s="29">
        <f>IF(OR($B50="",$A50&lt;33),"",--MID('Key Analysis'!$C46,33,1))</f>
        <v>1</v>
      </c>
      <c r="FP50" s="29">
        <f>IF(OR($B50="",$A50&lt;34),"",--MID('Key Analysis'!$C46,34,1))</f>
        <v>1</v>
      </c>
      <c r="FQ50" s="29">
        <f>IF(OR($B50="",$A50&lt;35),"",--MID('Key Analysis'!$C46,35,1))</f>
        <v>1</v>
      </c>
      <c r="FR50" s="29">
        <f>IF(OR($B50="",$A50&lt;36),"",--MID('Key Analysis'!$C46,36,1))</f>
        <v>0</v>
      </c>
      <c r="FS50" s="29">
        <f>IF(OR($B50="",$A50&lt;37),"",--MID('Key Analysis'!$C46,37,1))</f>
        <v>0</v>
      </c>
      <c r="FT50" s="29">
        <f>IF(OR($B50="",$A50&lt;38),"",--MID('Key Analysis'!$C46,38,1))</f>
        <v>0</v>
      </c>
      <c r="FU50" s="29">
        <f>IF(OR($B50="",$A50&lt;39),"",--MID('Key Analysis'!$C46,39,1))</f>
        <v>0</v>
      </c>
      <c r="FV50" s="29">
        <f>IF(OR($B50="",$A50&lt;40),"",--MID('Key Analysis'!$C46,40,1))</f>
        <v>0</v>
      </c>
      <c r="FW50" s="29">
        <f>IF(OR($B50="",$A50&lt;41),"",--MID('Key Analysis'!$C46,41,1))</f>
        <v>0</v>
      </c>
      <c r="FX50" s="29">
        <f>IF(OR($B50="",$A50&lt;42),"",--MID('Key Analysis'!$C46,42,1))</f>
        <v>0</v>
      </c>
      <c r="FY50" s="29">
        <f>IF(OR($B50="",$A50&lt;43),"",--MID('Key Analysis'!$C46,43,1))</f>
        <v>1</v>
      </c>
      <c r="FZ50" s="29">
        <f>IF(OR($B50="",$A50&lt;44),"",--MID('Key Analysis'!$C46,44,1))</f>
        <v>0</v>
      </c>
      <c r="GA50" s="29">
        <f>IF(OR($B50="",$A50&lt;45),"",--MID('Key Analysis'!$C46,45,1))</f>
        <v>1</v>
      </c>
      <c r="GB50" s="29" t="str">
        <f>IF(OR($B50="",$A50&lt;46),"",--MID('Key Analysis'!$C46,46,1))</f>
        <v/>
      </c>
      <c r="GC50" s="29" t="str">
        <f>IF(OR($B50="",$A50&lt;47),"",--MID('Key Analysis'!$C46,47,1))</f>
        <v/>
      </c>
      <c r="GD50" s="29" t="str">
        <f>IF(OR($B50="",$A50&lt;48),"",--MID('Key Analysis'!$C46,48,1))</f>
        <v/>
      </c>
      <c r="GE50" s="29" t="str">
        <f>IF(OR($B50="",$A50&lt;49),"",--MID('Key Analysis'!$C46,49,1))</f>
        <v/>
      </c>
      <c r="GF50" s="29" t="str">
        <f>IF(OR($B50="",$A50&lt;50),"",--MID('Key Analysis'!$C46,50,1))</f>
        <v/>
      </c>
      <c r="GG50" s="29" t="str">
        <f>IF(OR($B50="",$A50&lt;51),"",--MID('Key Analysis'!$C46,51,1))</f>
        <v/>
      </c>
      <c r="GH50" s="29" t="str">
        <f>IF(OR($B50="",$A50&lt;52),"",--MID('Key Analysis'!$C46,52,1))</f>
        <v/>
      </c>
      <c r="GI50" s="29" t="str">
        <f>IF(OR($B50="",$A50&lt;53),"",--MID('Key Analysis'!$C46,53,1))</f>
        <v/>
      </c>
      <c r="GJ50" s="29" t="str">
        <f>IF(OR($B50="",$A50&lt;54),"",--MID('Key Analysis'!$C46,54,1))</f>
        <v/>
      </c>
      <c r="GK50" s="29" t="str">
        <f>IF(OR($B50="",$A50&lt;55),"",--MID('Key Analysis'!$C46,55,1))</f>
        <v/>
      </c>
      <c r="GL50" s="29" t="str">
        <f>IF(OR($B50="",$A50&lt;56),"",--MID('Key Analysis'!$C46,56,1))</f>
        <v/>
      </c>
      <c r="GM50" s="29" t="str">
        <f>IF(OR($B50="",$A50&lt;57),"",--MID('Key Analysis'!$C46,57,1))</f>
        <v/>
      </c>
      <c r="GN50" s="29" t="str">
        <f>IF(OR($B50="",$A50&lt;58),"",--MID('Key Analysis'!$C46,58,1))</f>
        <v/>
      </c>
      <c r="GO50" s="29" t="str">
        <f>IF(OR($B50="",$A50&lt;59),"",--MID('Key Analysis'!$C46,59,1))</f>
        <v/>
      </c>
      <c r="GP50" s="29" t="str">
        <f>IF(OR($B50="",$A50&lt;60),"",--MID('Key Analysis'!$C46,60,1))</f>
        <v/>
      </c>
      <c r="GQ50" s="29" t="str">
        <f>IF(OR($B50="",$A50&lt;61),"",--MID('Key Analysis'!$C46,61,1))</f>
        <v/>
      </c>
      <c r="GR50" s="29" t="str">
        <f>IF(OR($B50="",$A50&lt;62),"",--MID('Key Analysis'!$C46,62,1))</f>
        <v/>
      </c>
      <c r="GS50" s="29" t="str">
        <f>IF(OR($B50="",$A50&lt;63),"",--MID('Key Analysis'!$C46,63,1))</f>
        <v/>
      </c>
      <c r="GT50" s="29" t="str">
        <f>IF(OR($B50="",$A50&lt;64),"",--MID('Key Analysis'!$C46,64,1))</f>
        <v/>
      </c>
      <c r="GU50" s="29" t="str">
        <f>IF(OR($B50="",$A50&lt;65),"",--MID('Key Analysis'!$C46,65,1))</f>
        <v/>
      </c>
      <c r="GV50" s="29" t="str">
        <f>IF(OR($B50="",$A50&lt;66),"",--MID('Key Analysis'!$C46,66,1))</f>
        <v/>
      </c>
      <c r="GW50" s="29" t="str">
        <f>IF(OR($B50="",$A50&lt;67),"",--MID('Key Analysis'!$C46,67,1))</f>
        <v/>
      </c>
      <c r="GX50" s="29" t="str">
        <f>IF(OR($B50="",$A50&lt;68),"",--MID('Key Analysis'!$C46,68,1))</f>
        <v/>
      </c>
      <c r="GY50" s="29" t="str">
        <f>IF(OR($B50="",$A50&lt;69),"",--MID('Key Analysis'!$C46,69,1))</f>
        <v/>
      </c>
      <c r="GZ50" s="29" t="str">
        <f>IF(OR($B50="",$A50&lt;70),"",--MID('Key Analysis'!$C46,70,1))</f>
        <v/>
      </c>
      <c r="HA50" s="29" t="str">
        <f>IF(OR($B50="",$A50&lt;71),"",--MID('Key Analysis'!$C46,71,1))</f>
        <v/>
      </c>
      <c r="HB50" s="29" t="str">
        <f>IF(OR($B50="",$A50&lt;72),"",--MID('Key Analysis'!$C46,72,1))</f>
        <v/>
      </c>
      <c r="HC50" s="29" t="str">
        <f>IF(OR($B50="",$A50&lt;73),"",--MID('Key Analysis'!$C46,73,1))</f>
        <v/>
      </c>
      <c r="HD50" s="29" t="str">
        <f>IF(OR($B50="",$A50&lt;74),"",--MID('Key Analysis'!$C46,74,1))</f>
        <v/>
      </c>
      <c r="HE50" s="29" t="str">
        <f>IF(OR($B50="",$A50&lt;75),"",--MID('Key Analysis'!$C46,75,1))</f>
        <v/>
      </c>
      <c r="HF50" s="29" t="str">
        <f>IF(OR($B50="",$A50&lt;76),"",--MID('Key Analysis'!$C46,76,1))</f>
        <v/>
      </c>
      <c r="HG50" s="29" t="str">
        <f>IF(OR($B50="",$A50&lt;77),"",--MID('Key Analysis'!$C46,77,1))</f>
        <v/>
      </c>
      <c r="HH50" s="29" t="str">
        <f>IF(OR($B50="",$A50&lt;78),"",--MID('Key Analysis'!$C46,78,1))</f>
        <v/>
      </c>
      <c r="HI50" s="29" t="str">
        <f>IF(OR($B50="",$A50&lt;79),"",--MID('Key Analysis'!$C46,79,1))</f>
        <v/>
      </c>
      <c r="HJ50" s="29" t="str">
        <f>IF(OR($B50="",$A50&lt;80),"",--MID('Key Analysis'!$C46,80,1))</f>
        <v/>
      </c>
      <c r="HK50" s="29" t="str">
        <f>IF(OR($B50="",$A50&lt;81),"",--MID('Key Analysis'!$C46,81,1))</f>
        <v/>
      </c>
      <c r="HL50" s="29" t="str">
        <f>IF(OR($B50="",$A50&lt;82),"",--MID('Key Analysis'!$C46,82,1))</f>
        <v/>
      </c>
      <c r="HM50" s="29" t="str">
        <f>IF(OR($B50="",$A50&lt;83),"",--MID('Key Analysis'!$C46,83,1))</f>
        <v/>
      </c>
      <c r="HN50" s="29" t="str">
        <f>IF(OR($B50="",$A50&lt;84),"",--MID('Key Analysis'!$C46,84,1))</f>
        <v/>
      </c>
      <c r="HO50" s="29" t="str">
        <f>IF(OR($B50="",$A50&lt;85),"",--MID('Key Analysis'!$C46,85,1))</f>
        <v/>
      </c>
      <c r="HP50" s="29" t="str">
        <f>IF(OR($B50="",$A50&lt;86),"",--MID('Key Analysis'!$C46,86,1))</f>
        <v/>
      </c>
      <c r="HQ50" s="29" t="str">
        <f>IF(OR($B50="",$A50&lt;87),"",--MID('Key Analysis'!$C46,87,1))</f>
        <v/>
      </c>
      <c r="HR50" s="29" t="str">
        <f>IF(OR($B50="",$A50&lt;88),"",--MID('Key Analysis'!$C46,88,1))</f>
        <v/>
      </c>
      <c r="HS50" s="29" t="str">
        <f>IF(OR($B50="",$A50&lt;89),"",--MID('Key Analysis'!$C46,89,1))</f>
        <v/>
      </c>
      <c r="HT50" s="29" t="str">
        <f>IF(OR($B50="",$A50&lt;90),"",--MID('Key Analysis'!$C46,90,1))</f>
        <v/>
      </c>
      <c r="HU50" s="29" t="str">
        <f>IF(OR($B50="",$A50&lt;91),"",--MID('Key Analysis'!$C46,91,1))</f>
        <v/>
      </c>
      <c r="HV50" s="29" t="str">
        <f>IF(OR($B50="",$A50&lt;92),"",--MID('Key Analysis'!$C46,92,1))</f>
        <v/>
      </c>
      <c r="HW50" s="29" t="str">
        <f>IF(OR($B50="",$A50&lt;93),"",--MID('Key Analysis'!$C46,93,1))</f>
        <v/>
      </c>
      <c r="HX50" s="29" t="str">
        <f>IF(OR($B50="",$A50&lt;94),"",--MID('Key Analysis'!$C46,94,1))</f>
        <v/>
      </c>
      <c r="HY50" s="29" t="str">
        <f>IF(OR($B50="",$A50&lt;95),"",--MID('Key Analysis'!$C46,95,1))</f>
        <v/>
      </c>
      <c r="HZ50" s="29" t="str">
        <f>IF(OR($B50="",$A50&lt;96),"",--MID('Key Analysis'!$C46,96,1))</f>
        <v/>
      </c>
      <c r="IA50" s="29" t="str">
        <f>IF(OR($B50="",$A50&lt;97),"",--MID('Key Analysis'!$C46,97,1))</f>
        <v/>
      </c>
      <c r="IB50" s="29" t="str">
        <f>IF(OR($B50="",$A50&lt;98),"",--MID('Key Analysis'!$C46,98,1))</f>
        <v/>
      </c>
      <c r="IC50" s="29" t="str">
        <f>IF(OR($B50="",$A50&lt;99),"",--MID('Key Analysis'!$C46,99,1))</f>
        <v/>
      </c>
      <c r="ID50" s="29" t="str">
        <f>IF(OR($B50="",$A50&lt;100),"",--MID('Key Analysis'!$C46,100,1))</f>
        <v/>
      </c>
      <c r="IE50" s="29" t="str">
        <f>IF(OR($B50="",$A50&lt;101),"",--MID('Key Analysis'!$C46,101,1))</f>
        <v/>
      </c>
      <c r="IF50" s="29" t="str">
        <f>IF(OR($B50="",$A50&lt;102),"",--MID('Key Analysis'!$C46,102,1))</f>
        <v/>
      </c>
      <c r="IG50" s="29" t="str">
        <f>IF(OR($B50="",$A50&lt;103),"",--MID('Key Analysis'!$C46,103,1))</f>
        <v/>
      </c>
      <c r="IH50" s="29" t="str">
        <f>IF(OR($B50="",$A50&lt;104),"",--MID('Key Analysis'!$C46,104,1))</f>
        <v/>
      </c>
      <c r="II50" s="29" t="str">
        <f>IF(OR($B50="",$A50&lt;105),"",--MID('Key Analysis'!$C46,105,1))</f>
        <v/>
      </c>
      <c r="IJ50" s="29" t="str">
        <f>IF(OR($B50="",$A50&lt;106),"",--MID('Key Analysis'!$C46,106,1))</f>
        <v/>
      </c>
      <c r="IK50" s="29" t="str">
        <f>IF(OR($B50="",$A50&lt;107),"",--MID('Key Analysis'!$C46,107,1))</f>
        <v/>
      </c>
      <c r="IL50" s="29" t="str">
        <f>IF(OR($B50="",$A50&lt;108),"",--MID('Key Analysis'!$C46,108,1))</f>
        <v/>
      </c>
      <c r="IM50" s="29" t="str">
        <f>IF(OR($B50="",$A50&lt;109),"",--MID('Key Analysis'!$C46,109,1))</f>
        <v/>
      </c>
      <c r="IN50" s="29" t="str">
        <f>IF(OR($B50="",$A50&lt;110),"",--MID('Key Analysis'!$C46,110,1))</f>
        <v/>
      </c>
      <c r="IO50" s="29" t="str">
        <f>IF(OR($B50="",$A50&lt;111),"",--MID('Key Analysis'!$C46,111,1))</f>
        <v/>
      </c>
      <c r="IP50" s="29" t="str">
        <f>IF(OR($B50="",$A50&lt;112),"",--MID('Key Analysis'!$C46,112,1))</f>
        <v/>
      </c>
      <c r="IQ50" s="29" t="str">
        <f>IF(OR($B50="",$A50&lt;113),"",--MID('Key Analysis'!$C46,113,1))</f>
        <v/>
      </c>
      <c r="IR50" s="29" t="str">
        <f>IF(OR($B50="",$A50&lt;114),"",--MID('Key Analysis'!$C46,114,1))</f>
        <v/>
      </c>
      <c r="IS50" s="29" t="str">
        <f>IF(OR($B50="",$A50&lt;115),"",--MID('Key Analysis'!$C46,115,1))</f>
        <v/>
      </c>
      <c r="IT50" s="29" t="str">
        <f>IF(OR($B50="",$A50&lt;116),"",--MID('Key Analysis'!$C46,116,1))</f>
        <v/>
      </c>
      <c r="IU50" s="29" t="str">
        <f>IF(OR($B50="",$A50&lt;117),"",--MID('Key Analysis'!$C46,117,1))</f>
        <v/>
      </c>
      <c r="IV50" s="29" t="str">
        <f>IF(OR($B50="",$A50&lt;118),"",--MID('Key Analysis'!$C46,118,1))</f>
        <v/>
      </c>
      <c r="IW50" s="29" t="str">
        <f>IF(OR($B50="",$A50&lt;119),"",--MID('Key Analysis'!$C46,119,1))</f>
        <v/>
      </c>
      <c r="IX50" s="29" t="str">
        <f>IF(OR($B50="",$A50&lt;120),"",--MID('Key Analysis'!$C46,120,1))</f>
        <v/>
      </c>
      <c r="IY50" s="29" t="str">
        <f>IF(OR($B50="",$A50&lt;121),"",--MID('Key Analysis'!$C46,121,1))</f>
        <v/>
      </c>
      <c r="IZ50" s="29" t="str">
        <f>IF(OR($B50="",$A50&lt;122),"",--MID('Key Analysis'!$C46,122,1))</f>
        <v/>
      </c>
      <c r="JA50" s="29" t="str">
        <f>IF(OR($B50="",$A50&lt;123),"",--MID('Key Analysis'!$C46,123,1))</f>
        <v/>
      </c>
      <c r="JB50" s="29" t="str">
        <f>IF(OR($B50="",$A50&lt;124),"",--MID('Key Analysis'!$C46,124,1))</f>
        <v/>
      </c>
      <c r="JC50" s="29" t="str">
        <f>IF(OR($B50="",$A50&lt;125),"",--MID('Key Analysis'!$C46,125,1))</f>
        <v/>
      </c>
      <c r="JD50" s="29" t="str">
        <f>IF(OR($B50="",$A50&lt;126),"",--MID('Key Analysis'!$C46,126,1))</f>
        <v/>
      </c>
      <c r="JE50" s="29" t="str">
        <f>IF(OR($B50="",$A50&lt;127),"",--MID('Key Analysis'!$C46,127,1))</f>
        <v/>
      </c>
      <c r="JF50" s="29" t="str">
        <f>IF(OR($B50="",$A50&lt;128),"",--MID('Key Analysis'!$C46,128,1))</f>
        <v/>
      </c>
      <c r="JG50" s="29" t="str">
        <f>IF(OR($B50="",$A50&lt;129),"",--MID('Key Analysis'!$C46,129,1))</f>
        <v/>
      </c>
      <c r="JH50" s="29" t="str">
        <f>IF(OR($B50="",$A50&lt;130),"",--MID('Key Analysis'!$C46,130,1))</f>
        <v/>
      </c>
      <c r="JI50" s="29" t="str">
        <f>IF(OR($B50="",$A50&lt;131),"",--MID('Key Analysis'!$C46,131,1))</f>
        <v/>
      </c>
      <c r="JJ50" s="29" t="str">
        <f>IF(OR($B50="",$A50&lt;132),"",--MID('Key Analysis'!$C46,132,1))</f>
        <v/>
      </c>
      <c r="JK50" s="29" t="str">
        <f>IF(OR($B50="",$A50&lt;133),"",--MID('Key Analysis'!$C46,133,1))</f>
        <v/>
      </c>
      <c r="JL50" s="29" t="str">
        <f>IF(OR($B50="",$A50&lt;134),"",--MID('Key Analysis'!$C46,134,1))</f>
        <v/>
      </c>
      <c r="JM50" s="29" t="str">
        <f>IF(OR($B50="",$A50&lt;135),"",--MID('Key Analysis'!$C46,135,1))</f>
        <v/>
      </c>
    </row>
    <row r="51" spans="1:273" x14ac:dyDescent="0.25">
      <c r="A51" s="21">
        <f>'Key Analysis'!A47</f>
        <v>46</v>
      </c>
      <c r="B51" s="30" t="str">
        <f>'Key Analysis'!B47</f>
        <v>2ec18388d544</v>
      </c>
      <c r="C51" s="29">
        <f>IF(OR($B51="",$A51&lt;=0),"",--MID('Key Analysis'!$C47,$A51-0,1))</f>
        <v>0</v>
      </c>
      <c r="D51" s="29">
        <f>IF(OR($B51="",$A51&lt;=1),"",--MID('Key Analysis'!$C47,$A51-1,1))</f>
        <v>0</v>
      </c>
      <c r="E51" s="29">
        <f>IF(OR($B51="",$A51&lt;=2),"",--MID('Key Analysis'!$C47,$A51-2,1))</f>
        <v>1</v>
      </c>
      <c r="F51" s="29">
        <f>IF(OR($B51="",$A51&lt;=3),"",--MID('Key Analysis'!$C47,$A51-3,1))</f>
        <v>0</v>
      </c>
      <c r="G51" s="29">
        <f>IF(OR($B51="",$A51&lt;=4),"",--MID('Key Analysis'!$C47,$A51-4,1))</f>
        <v>0</v>
      </c>
      <c r="H51" s="29">
        <f>IF(OR($B51="",$A51&lt;=5),"",--MID('Key Analysis'!$C47,$A51-5,1))</f>
        <v>0</v>
      </c>
      <c r="I51" s="29">
        <f>IF(OR($B51="",$A51&lt;=6),"",--MID('Key Analysis'!$C47,$A51-6,1))</f>
        <v>1</v>
      </c>
      <c r="J51" s="29">
        <f>IF(OR($B51="",$A51&lt;=7),"",--MID('Key Analysis'!$C47,$A51-7,1))</f>
        <v>0</v>
      </c>
      <c r="K51" s="29">
        <f>IF(OR($B51="",$A51&lt;=8),"",--MID('Key Analysis'!$C47,$A51-8,1))</f>
        <v>1</v>
      </c>
      <c r="L51" s="29">
        <f>IF(OR($B51="",$A51&lt;=9),"",--MID('Key Analysis'!$C47,$A51-9,1))</f>
        <v>0</v>
      </c>
      <c r="M51" s="29">
        <f>IF(OR($B51="",$A51&lt;=10),"",--MID('Key Analysis'!$C47,$A51-10,1))</f>
        <v>1</v>
      </c>
      <c r="N51" s="29">
        <f>IF(OR($B51="",$A51&lt;=11),"",--MID('Key Analysis'!$C47,$A51-11,1))</f>
        <v>0</v>
      </c>
      <c r="O51" s="29">
        <f>IF(OR($B51="",$A51&lt;=12),"",--MID('Key Analysis'!$C47,$A51-12,1))</f>
        <v>1</v>
      </c>
      <c r="P51" s="29">
        <f>IF(OR($B51="",$A51&lt;=13),"",--MID('Key Analysis'!$C47,$A51-13,1))</f>
        <v>0</v>
      </c>
      <c r="Q51" s="29">
        <f>IF(OR($B51="",$A51&lt;=14),"",--MID('Key Analysis'!$C47,$A51-14,1))</f>
        <v>1</v>
      </c>
      <c r="R51" s="29">
        <f>IF(OR($B51="",$A51&lt;=15),"",--MID('Key Analysis'!$C47,$A51-15,1))</f>
        <v>1</v>
      </c>
      <c r="S51" s="29">
        <f>IF(OR($B51="",$A51&lt;=16),"",--MID('Key Analysis'!$C47,$A51-16,1))</f>
        <v>0</v>
      </c>
      <c r="T51" s="29">
        <f>IF(OR($B51="",$A51&lt;=17),"",--MID('Key Analysis'!$C47,$A51-17,1))</f>
        <v>0</v>
      </c>
      <c r="U51" s="29">
        <f>IF(OR($B51="",$A51&lt;=18),"",--MID('Key Analysis'!$C47,$A51-18,1))</f>
        <v>0</v>
      </c>
      <c r="V51" s="29">
        <f>IF(OR($B51="",$A51&lt;=19),"",--MID('Key Analysis'!$C47,$A51-19,1))</f>
        <v>1</v>
      </c>
      <c r="W51" s="29">
        <f>IF(OR($B51="",$A51&lt;=20),"",--MID('Key Analysis'!$C47,$A51-20,1))</f>
        <v>0</v>
      </c>
      <c r="X51" s="29">
        <f>IF(OR($B51="",$A51&lt;=21),"",--MID('Key Analysis'!$C47,$A51-21,1))</f>
        <v>0</v>
      </c>
      <c r="Y51" s="29">
        <f>IF(OR($B51="",$A51&lt;=22),"",--MID('Key Analysis'!$C47,$A51-22,1))</f>
        <v>0</v>
      </c>
      <c r="Z51" s="29">
        <f>IF(OR($B51="",$A51&lt;=23),"",--MID('Key Analysis'!$C47,$A51-23,1))</f>
        <v>1</v>
      </c>
      <c r="AA51" s="29">
        <f>IF(OR($B51="",$A51&lt;=24),"",--MID('Key Analysis'!$C47,$A51-24,1))</f>
        <v>1</v>
      </c>
      <c r="AB51" s="29">
        <f>IF(OR($B51="",$A51&lt;=25),"",--MID('Key Analysis'!$C47,$A51-25,1))</f>
        <v>1</v>
      </c>
      <c r="AC51" s="29">
        <f>IF(OR($B51="",$A51&lt;=26),"",--MID('Key Analysis'!$C47,$A51-26,1))</f>
        <v>0</v>
      </c>
      <c r="AD51" s="29">
        <f>IF(OR($B51="",$A51&lt;=27),"",--MID('Key Analysis'!$C47,$A51-27,1))</f>
        <v>0</v>
      </c>
      <c r="AE51" s="29">
        <f>IF(OR($B51="",$A51&lt;=28),"",--MID('Key Analysis'!$C47,$A51-28,1))</f>
        <v>0</v>
      </c>
      <c r="AF51" s="29">
        <f>IF(OR($B51="",$A51&lt;=29),"",--MID('Key Analysis'!$C47,$A51-29,1))</f>
        <v>0</v>
      </c>
      <c r="AG51" s="29">
        <f>IF(OR($B51="",$A51&lt;=30),"",--MID('Key Analysis'!$C47,$A51-30,1))</f>
        <v>0</v>
      </c>
      <c r="AH51" s="29">
        <f>IF(OR($B51="",$A51&lt;=31),"",--MID('Key Analysis'!$C47,$A51-31,1))</f>
        <v>1</v>
      </c>
      <c r="AI51" s="29">
        <f>IF(OR($B51="",$A51&lt;=32),"",--MID('Key Analysis'!$C47,$A51-32,1))</f>
        <v>1</v>
      </c>
      <c r="AJ51" s="29">
        <f>IF(OR($B51="",$A51&lt;=33),"",--MID('Key Analysis'!$C47,$A51-33,1))</f>
        <v>0</v>
      </c>
      <c r="AK51" s="29">
        <f>IF(OR($B51="",$A51&lt;=34),"",--MID('Key Analysis'!$C47,$A51-34,1))</f>
        <v>0</v>
      </c>
      <c r="AL51" s="29">
        <f>IF(OR($B51="",$A51&lt;=35),"",--MID('Key Analysis'!$C47,$A51-35,1))</f>
        <v>0</v>
      </c>
      <c r="AM51" s="29">
        <f>IF(OR($B51="",$A51&lt;=36),"",--MID('Key Analysis'!$C47,$A51-36,1))</f>
        <v>0</v>
      </c>
      <c r="AN51" s="29">
        <f>IF(OR($B51="",$A51&lt;=37),"",--MID('Key Analysis'!$C47,$A51-37,1))</f>
        <v>0</v>
      </c>
      <c r="AO51" s="29">
        <f>IF(OR($B51="",$A51&lt;=38),"",--MID('Key Analysis'!$C47,$A51-38,1))</f>
        <v>1</v>
      </c>
      <c r="AP51" s="29">
        <f>IF(OR($B51="",$A51&lt;=39),"",--MID('Key Analysis'!$C47,$A51-39,1))</f>
        <v>1</v>
      </c>
      <c r="AQ51" s="29">
        <f>IF(OR($B51="",$A51&lt;=40),"",--MID('Key Analysis'!$C47,$A51-40,1))</f>
        <v>0</v>
      </c>
      <c r="AR51" s="29">
        <f>IF(OR($B51="",$A51&lt;=41),"",--MID('Key Analysis'!$C47,$A51-41,1))</f>
        <v>1</v>
      </c>
      <c r="AS51" s="29">
        <f>IF(OR($B51="",$A51&lt;=42),"",--MID('Key Analysis'!$C47,$A51-42,1))</f>
        <v>1</v>
      </c>
      <c r="AT51" s="29">
        <f>IF(OR($B51="",$A51&lt;=43),"",--MID('Key Analysis'!$C47,$A51-43,1))</f>
        <v>1</v>
      </c>
      <c r="AU51" s="29">
        <f>IF(OR($B51="",$A51&lt;=44),"",--MID('Key Analysis'!$C47,$A51-44,1))</f>
        <v>0</v>
      </c>
      <c r="AV51" s="29">
        <f>IF(OR($B51="",$A51&lt;=45),"",--MID('Key Analysis'!$C47,$A51-45,1))</f>
        <v>1</v>
      </c>
      <c r="AW51" s="29" t="str">
        <f>IF(OR($B51="",$A51&lt;=46),"",--MID('Key Analysis'!$C47,$A51-46,1))</f>
        <v/>
      </c>
      <c r="AX51" s="29" t="str">
        <f>IF(OR($B51="",$A51&lt;=47),"",--MID('Key Analysis'!$C47,$A51-47,1))</f>
        <v/>
      </c>
      <c r="AY51" s="29" t="str">
        <f>IF(OR($B51="",$A51&lt;=48),"",--MID('Key Analysis'!$C47,$A51-48,1))</f>
        <v/>
      </c>
      <c r="AZ51" s="29" t="str">
        <f>IF(OR($B51="",$A51&lt;=49),"",--MID('Key Analysis'!$C47,$A51-49,1))</f>
        <v/>
      </c>
      <c r="BA51" s="29" t="str">
        <f>IF(OR($B51="",$A51&lt;=50),"",--MID('Key Analysis'!$C47,$A51-50,1))</f>
        <v/>
      </c>
      <c r="BB51" s="29" t="str">
        <f>IF(OR($B51="",$A51&lt;=51),"",--MID('Key Analysis'!$C47,$A51-51,1))</f>
        <v/>
      </c>
      <c r="BC51" s="29" t="str">
        <f>IF(OR($B51="",$A51&lt;=52),"",--MID('Key Analysis'!$C47,$A51-52,1))</f>
        <v/>
      </c>
      <c r="BD51" s="29" t="str">
        <f>IF(OR($B51="",$A51&lt;=53),"",--MID('Key Analysis'!$C47,$A51-53,1))</f>
        <v/>
      </c>
      <c r="BE51" s="29" t="str">
        <f>IF(OR($B51="",$A51&lt;=54),"",--MID('Key Analysis'!$C47,$A51-54,1))</f>
        <v/>
      </c>
      <c r="BF51" s="29" t="str">
        <f>IF(OR($B51="",$A51&lt;=55),"",--MID('Key Analysis'!$C47,$A51-55,1))</f>
        <v/>
      </c>
      <c r="BG51" s="29" t="str">
        <f>IF(OR($B51="",$A51&lt;=56),"",--MID('Key Analysis'!$C47,$A51-56,1))</f>
        <v/>
      </c>
      <c r="BH51" s="29" t="str">
        <f>IF(OR($B51="",$A51&lt;=57),"",--MID('Key Analysis'!$C47,$A51-57,1))</f>
        <v/>
      </c>
      <c r="BI51" s="29" t="str">
        <f>IF(OR($B51="",$A51&lt;=58),"",--MID('Key Analysis'!$C47,$A51-58,1))</f>
        <v/>
      </c>
      <c r="BJ51" s="29" t="str">
        <f>IF(OR($B51="",$A51&lt;=59),"",--MID('Key Analysis'!$C47,$A51-59,1))</f>
        <v/>
      </c>
      <c r="BK51" s="29" t="str">
        <f>IF(OR($B51="",$A51&lt;=60),"",--MID('Key Analysis'!$C47,$A51-60,1))</f>
        <v/>
      </c>
      <c r="BL51" s="29" t="str">
        <f>IF(OR($B51="",$A51&lt;=61),"",--MID('Key Analysis'!$C47,$A51-61,1))</f>
        <v/>
      </c>
      <c r="BM51" s="29" t="str">
        <f>IF(OR($B51="",$A51&lt;=62),"",--MID('Key Analysis'!$C47,$A51-62,1))</f>
        <v/>
      </c>
      <c r="BN51" s="29" t="str">
        <f>IF(OR($B51="",$A51&lt;=63),"",--MID('Key Analysis'!$C47,$A51-63,1))</f>
        <v/>
      </c>
      <c r="BO51" s="29" t="str">
        <f>IF(OR($B51="",$A51&lt;=64),"",--MID('Key Analysis'!$C47,$A51-64,1))</f>
        <v/>
      </c>
      <c r="BP51" s="29" t="str">
        <f>IF(OR($B51="",$A51&lt;=65),"",--MID('Key Analysis'!$C47,$A51-65,1))</f>
        <v/>
      </c>
      <c r="BQ51" s="29" t="str">
        <f>IF(OR($B51="",$A51&lt;=66),"",--MID('Key Analysis'!$C47,$A51-66,1))</f>
        <v/>
      </c>
      <c r="BR51" s="29" t="str">
        <f>IF(OR($B51="",$A51&lt;=67),"",--MID('Key Analysis'!$C47,$A51-67,1))</f>
        <v/>
      </c>
      <c r="BS51" s="29" t="str">
        <f>IF(OR($B51="",$A51&lt;=68),"",--MID('Key Analysis'!$C47,$A51-68,1))</f>
        <v/>
      </c>
      <c r="BT51" s="29" t="str">
        <f>IF(OR($B51="",$A51&lt;=69),"",--MID('Key Analysis'!$C47,$A51-69,1))</f>
        <v/>
      </c>
      <c r="BU51" s="29" t="str">
        <f>IF(OR($B51="",$A51&lt;=70),"",--MID('Key Analysis'!$C47,$A51-70,1))</f>
        <v/>
      </c>
      <c r="BV51" s="29" t="str">
        <f>IF(OR($B51="",$A51&lt;=71),"",--MID('Key Analysis'!$C47,$A51-71,1))</f>
        <v/>
      </c>
      <c r="BW51" s="29" t="str">
        <f>IF(OR($B51="",$A51&lt;=72),"",--MID('Key Analysis'!$C47,$A51-72,1))</f>
        <v/>
      </c>
      <c r="BX51" s="29" t="str">
        <f>IF(OR($B51="",$A51&lt;=73),"",--MID('Key Analysis'!$C47,$A51-73,1))</f>
        <v/>
      </c>
      <c r="BY51" s="29" t="str">
        <f>IF(OR($B51="",$A51&lt;=74),"",--MID('Key Analysis'!$C47,$A51-74,1))</f>
        <v/>
      </c>
      <c r="BZ51" s="29" t="str">
        <f>IF(OR($B51="",$A51&lt;=75),"",--MID('Key Analysis'!$C47,$A51-75,1))</f>
        <v/>
      </c>
      <c r="CA51" s="29" t="str">
        <f>IF(OR($B51="",$A51&lt;=76),"",--MID('Key Analysis'!$C47,$A51-76,1))</f>
        <v/>
      </c>
      <c r="CB51" s="29" t="str">
        <f>IF(OR($B51="",$A51&lt;=77),"",--MID('Key Analysis'!$C47,$A51-77,1))</f>
        <v/>
      </c>
      <c r="CC51" s="29" t="str">
        <f>IF(OR($B51="",$A51&lt;=78),"",--MID('Key Analysis'!$C47,$A51-78,1))</f>
        <v/>
      </c>
      <c r="CD51" s="29" t="str">
        <f>IF(OR($B51="",$A51&lt;=79),"",--MID('Key Analysis'!$C47,$A51-79,1))</f>
        <v/>
      </c>
      <c r="CE51" s="29" t="str">
        <f>IF(OR($B51="",$A51&lt;=80),"",--MID('Key Analysis'!$C47,$A51-80,1))</f>
        <v/>
      </c>
      <c r="CF51" s="29" t="str">
        <f>IF(OR($B51="",$A51&lt;=81),"",--MID('Key Analysis'!$C47,$A51-81,1))</f>
        <v/>
      </c>
      <c r="CG51" s="29" t="str">
        <f>IF(OR($B51="",$A51&lt;=82),"",--MID('Key Analysis'!$C47,$A51-82,1))</f>
        <v/>
      </c>
      <c r="CH51" s="29" t="str">
        <f>IF(OR($B51="",$A51&lt;=83),"",--MID('Key Analysis'!$C47,$A51-83,1))</f>
        <v/>
      </c>
      <c r="CI51" s="29" t="str">
        <f>IF(OR($B51="",$A51&lt;=84),"",--MID('Key Analysis'!$C47,$A51-84,1))</f>
        <v/>
      </c>
      <c r="CJ51" s="29" t="str">
        <f>IF(OR($B51="",$A51&lt;=85),"",--MID('Key Analysis'!$C47,$A51-85,1))</f>
        <v/>
      </c>
      <c r="CK51" s="29" t="str">
        <f>IF(OR($B51="",$A51&lt;=86),"",--MID('Key Analysis'!$C47,$A51-86,1))</f>
        <v/>
      </c>
      <c r="CL51" s="29" t="str">
        <f>IF(OR($B51="",$A51&lt;=87),"",--MID('Key Analysis'!$C47,$A51-87,1))</f>
        <v/>
      </c>
      <c r="CM51" s="29" t="str">
        <f>IF(OR($B51="",$A51&lt;=88),"",--MID('Key Analysis'!$C47,$A51-88,1))</f>
        <v/>
      </c>
      <c r="CN51" s="29" t="str">
        <f>IF(OR($B51="",$A51&lt;=89),"",--MID('Key Analysis'!$C47,$A51-89,1))</f>
        <v/>
      </c>
      <c r="CO51" s="29" t="str">
        <f>IF(OR($B51="",$A51&lt;=90),"",--MID('Key Analysis'!$C47,$A51-90,1))</f>
        <v/>
      </c>
      <c r="CP51" s="29" t="str">
        <f>IF(OR($B51="",$A51&lt;=91),"",--MID('Key Analysis'!$C47,$A51-91,1))</f>
        <v/>
      </c>
      <c r="CQ51" s="29" t="str">
        <f>IF(OR($B51="",$A51&lt;=92),"",--MID('Key Analysis'!$C47,$A51-92,1))</f>
        <v/>
      </c>
      <c r="CR51" s="29" t="str">
        <f>IF(OR($B51="",$A51&lt;=93),"",--MID('Key Analysis'!$C47,$A51-93,1))</f>
        <v/>
      </c>
      <c r="CS51" s="29" t="str">
        <f>IF(OR($B51="",$A51&lt;=94),"",--MID('Key Analysis'!$C47,$A51-94,1))</f>
        <v/>
      </c>
      <c r="CT51" s="29" t="str">
        <f>IF(OR($B51="",$A51&lt;=95),"",--MID('Key Analysis'!$C47,$A51-95,1))</f>
        <v/>
      </c>
      <c r="CU51" s="29" t="str">
        <f>IF(OR($B51="",$A51&lt;=96),"",--MID('Key Analysis'!$C47,$A51-96,1))</f>
        <v/>
      </c>
      <c r="CV51" s="29" t="str">
        <f>IF(OR($B51="",$A51&lt;=97),"",--MID('Key Analysis'!$C47,$A51-97,1))</f>
        <v/>
      </c>
      <c r="CW51" s="29" t="str">
        <f>IF(OR($B51="",$A51&lt;=98),"",--MID('Key Analysis'!$C47,$A51-98,1))</f>
        <v/>
      </c>
      <c r="CX51" s="29" t="str">
        <f>IF(OR($B51="",$A51&lt;=99),"",--MID('Key Analysis'!$C47,$A51-99,1))</f>
        <v/>
      </c>
      <c r="CY51" s="29" t="str">
        <f>IF(OR($B51="",$A51&lt;=100),"",--MID('Key Analysis'!$C47,$A51-100,1))</f>
        <v/>
      </c>
      <c r="CZ51" s="29" t="str">
        <f>IF(OR($B51="",$A51&lt;=101),"",--MID('Key Analysis'!$C47,$A51-101,1))</f>
        <v/>
      </c>
      <c r="DA51" s="29" t="str">
        <f>IF(OR($B51="",$A51&lt;=102),"",--MID('Key Analysis'!$C47,$A51-102,1))</f>
        <v/>
      </c>
      <c r="DB51" s="29" t="str">
        <f>IF(OR($B51="",$A51&lt;=103),"",--MID('Key Analysis'!$C47,$A51-103,1))</f>
        <v/>
      </c>
      <c r="DC51" s="29" t="str">
        <f>IF(OR($B51="",$A51&lt;=104),"",--MID('Key Analysis'!$C47,$A51-104,1))</f>
        <v/>
      </c>
      <c r="DD51" s="29" t="str">
        <f>IF(OR($B51="",$A51&lt;=105),"",--MID('Key Analysis'!$C47,$A51-105,1))</f>
        <v/>
      </c>
      <c r="DE51" s="29" t="str">
        <f>IF(OR($B51="",$A51&lt;=106),"",--MID('Key Analysis'!$C47,$A51-106,1))</f>
        <v/>
      </c>
      <c r="DF51" s="29" t="str">
        <f>IF(OR($B51="",$A51&lt;=107),"",--MID('Key Analysis'!$C47,$A51-107,1))</f>
        <v/>
      </c>
      <c r="DG51" s="29" t="str">
        <f>IF(OR($B51="",$A51&lt;=108),"",--MID('Key Analysis'!$C47,$A51-108,1))</f>
        <v/>
      </c>
      <c r="DH51" s="29" t="str">
        <f>IF(OR($B51="",$A51&lt;=109),"",--MID('Key Analysis'!$C47,$A51-109,1))</f>
        <v/>
      </c>
      <c r="DI51" s="29" t="str">
        <f>IF(OR($B51="",$A51&lt;=110),"",--MID('Key Analysis'!$C47,$A51-110,1))</f>
        <v/>
      </c>
      <c r="DJ51" s="29" t="str">
        <f>IF(OR($B51="",$A51&lt;=111),"",--MID('Key Analysis'!$C47,$A51-111,1))</f>
        <v/>
      </c>
      <c r="DK51" s="29" t="str">
        <f>IF(OR($B51="",$A51&lt;=112),"",--MID('Key Analysis'!$C47,$A51-112,1))</f>
        <v/>
      </c>
      <c r="DL51" s="29" t="str">
        <f>IF(OR($B51="",$A51&lt;=113),"",--MID('Key Analysis'!$C47,$A51-113,1))</f>
        <v/>
      </c>
      <c r="DM51" s="29" t="str">
        <f>IF(OR($B51="",$A51&lt;=114),"",--MID('Key Analysis'!$C47,$A51-114,1))</f>
        <v/>
      </c>
      <c r="DN51" s="29" t="str">
        <f>IF(OR($B51="",$A51&lt;=115),"",--MID('Key Analysis'!$C47,$A51-115,1))</f>
        <v/>
      </c>
      <c r="DO51" s="29" t="str">
        <f>IF(OR($B51="",$A51&lt;=116),"",--MID('Key Analysis'!$C47,$A51-116,1))</f>
        <v/>
      </c>
      <c r="DP51" s="29" t="str">
        <f>IF(OR($B51="",$A51&lt;=117),"",--MID('Key Analysis'!$C47,$A51-117,1))</f>
        <v/>
      </c>
      <c r="DQ51" s="29" t="str">
        <f>IF(OR($B51="",$A51&lt;=118),"",--MID('Key Analysis'!$C47,$A51-118,1))</f>
        <v/>
      </c>
      <c r="DR51" s="29" t="str">
        <f>IF(OR($B51="",$A51&lt;=119),"",--MID('Key Analysis'!$C47,$A51-119,1))</f>
        <v/>
      </c>
      <c r="DS51" s="29" t="str">
        <f>IF(OR($B51="",$A51&lt;=120),"",--MID('Key Analysis'!$C47,$A51-120,1))</f>
        <v/>
      </c>
      <c r="DT51" s="29" t="str">
        <f>IF(OR($B51="",$A51&lt;=121),"",--MID('Key Analysis'!$C47,$A51-121,1))</f>
        <v/>
      </c>
      <c r="DU51" s="29" t="str">
        <f>IF(OR($B51="",$A51&lt;=122),"",--MID('Key Analysis'!$C47,$A51-122,1))</f>
        <v/>
      </c>
      <c r="DV51" s="29" t="str">
        <f>IF(OR($B51="",$A51&lt;=123),"",--MID('Key Analysis'!$C47,$A51-123,1))</f>
        <v/>
      </c>
      <c r="DW51" s="29" t="str">
        <f>IF(OR($B51="",$A51&lt;=124),"",--MID('Key Analysis'!$C47,$A51-124,1))</f>
        <v/>
      </c>
      <c r="DX51" s="29" t="str">
        <f>IF(OR($B51="",$A51&lt;=125),"",--MID('Key Analysis'!$C47,$A51-125,1))</f>
        <v/>
      </c>
      <c r="DY51" s="29" t="str">
        <f>IF(OR($B51="",$A51&lt;=126),"",--MID('Key Analysis'!$C47,$A51-126,1))</f>
        <v/>
      </c>
      <c r="DZ51" s="29" t="str">
        <f>IF(OR($B51="",$A51&lt;=127),"",--MID('Key Analysis'!$C47,$A51-127,1))</f>
        <v/>
      </c>
      <c r="EA51" s="29" t="str">
        <f>IF(OR($B51="",$A51&lt;=128),"",--MID('Key Analysis'!$C47,$A51-128,1))</f>
        <v/>
      </c>
      <c r="EB51" s="29" t="str">
        <f>IF(OR($B51="",$A51&lt;=129),"",--MID('Key Analysis'!$C47,$A51-129,1))</f>
        <v/>
      </c>
      <c r="EC51" s="29" t="str">
        <f>IF(OR($B51="",$A51&lt;=130),"",--MID('Key Analysis'!$C47,$A51-130,1))</f>
        <v/>
      </c>
      <c r="ED51" s="29" t="str">
        <f>IF(OR($B51="",$A51&lt;=131),"",--MID('Key Analysis'!$C47,$A51-131,1))</f>
        <v/>
      </c>
      <c r="EE51" s="29" t="str">
        <f>IF(OR($B51="",$A51&lt;=132),"",--MID('Key Analysis'!$C47,$A51-132,1))</f>
        <v/>
      </c>
      <c r="EF51" s="29" t="str">
        <f>IF(OR($B51="",$A51&lt;=133),"",--MID('Key Analysis'!$C47,$A51-133,1))</f>
        <v/>
      </c>
      <c r="EG51" s="29" t="str">
        <f>IF(OR($B51="",$A51&lt;=134),"",--MID('Key Analysis'!$C47,$A51-134,1))</f>
        <v/>
      </c>
      <c r="EH51" s="29"/>
      <c r="EI51" s="29">
        <f>IF(OR($B51="",$A51&lt;1),"",--MID('Key Analysis'!$C47,1,1))</f>
        <v>1</v>
      </c>
      <c r="EJ51" s="29">
        <f>IF(OR($B51="",$A51&lt;2),"",--MID('Key Analysis'!$C47,2,1))</f>
        <v>0</v>
      </c>
      <c r="EK51" s="29">
        <f>IF(OR($B51="",$A51&lt;3),"",--MID('Key Analysis'!$C47,3,1))</f>
        <v>1</v>
      </c>
      <c r="EL51" s="29">
        <f>IF(OR($B51="",$A51&lt;4),"",--MID('Key Analysis'!$C47,4,1))</f>
        <v>1</v>
      </c>
      <c r="EM51" s="29">
        <f>IF(OR($B51="",$A51&lt;5),"",--MID('Key Analysis'!$C47,5,1))</f>
        <v>1</v>
      </c>
      <c r="EN51" s="29">
        <f>IF(OR($B51="",$A51&lt;6),"",--MID('Key Analysis'!$C47,6,1))</f>
        <v>0</v>
      </c>
      <c r="EO51" s="29">
        <f>IF(OR($B51="",$A51&lt;7),"",--MID('Key Analysis'!$C47,7,1))</f>
        <v>1</v>
      </c>
      <c r="EP51" s="29">
        <f>IF(OR($B51="",$A51&lt;8),"",--MID('Key Analysis'!$C47,8,1))</f>
        <v>1</v>
      </c>
      <c r="EQ51" s="29">
        <f>IF(OR($B51="",$A51&lt;9),"",--MID('Key Analysis'!$C47,9,1))</f>
        <v>0</v>
      </c>
      <c r="ER51" s="29">
        <f>IF(OR($B51="",$A51&lt;10),"",--MID('Key Analysis'!$C47,10,1))</f>
        <v>0</v>
      </c>
      <c r="ES51" s="29">
        <f>IF(OR($B51="",$A51&lt;11),"",--MID('Key Analysis'!$C47,11,1))</f>
        <v>0</v>
      </c>
      <c r="ET51" s="29">
        <f>IF(OR($B51="",$A51&lt;12),"",--MID('Key Analysis'!$C47,12,1))</f>
        <v>0</v>
      </c>
      <c r="EU51" s="29">
        <f>IF(OR($B51="",$A51&lt;13),"",--MID('Key Analysis'!$C47,13,1))</f>
        <v>0</v>
      </c>
      <c r="EV51" s="29">
        <f>IF(OR($B51="",$A51&lt;14),"",--MID('Key Analysis'!$C47,14,1))</f>
        <v>1</v>
      </c>
      <c r="EW51" s="29">
        <f>IF(OR($B51="",$A51&lt;15),"",--MID('Key Analysis'!$C47,15,1))</f>
        <v>1</v>
      </c>
      <c r="EX51" s="29">
        <f>IF(OR($B51="",$A51&lt;16),"",--MID('Key Analysis'!$C47,16,1))</f>
        <v>0</v>
      </c>
      <c r="EY51" s="29">
        <f>IF(OR($B51="",$A51&lt;17),"",--MID('Key Analysis'!$C47,17,1))</f>
        <v>0</v>
      </c>
      <c r="EZ51" s="29">
        <f>IF(OR($B51="",$A51&lt;18),"",--MID('Key Analysis'!$C47,18,1))</f>
        <v>0</v>
      </c>
      <c r="FA51" s="29">
        <f>IF(OR($B51="",$A51&lt;19),"",--MID('Key Analysis'!$C47,19,1))</f>
        <v>0</v>
      </c>
      <c r="FB51" s="29">
        <f>IF(OR($B51="",$A51&lt;20),"",--MID('Key Analysis'!$C47,20,1))</f>
        <v>0</v>
      </c>
      <c r="FC51" s="29">
        <f>IF(OR($B51="",$A51&lt;21),"",--MID('Key Analysis'!$C47,21,1))</f>
        <v>1</v>
      </c>
      <c r="FD51" s="29">
        <f>IF(OR($B51="",$A51&lt;22),"",--MID('Key Analysis'!$C47,22,1))</f>
        <v>1</v>
      </c>
      <c r="FE51" s="29">
        <f>IF(OR($B51="",$A51&lt;23),"",--MID('Key Analysis'!$C47,23,1))</f>
        <v>1</v>
      </c>
      <c r="FF51" s="29">
        <f>IF(OR($B51="",$A51&lt;24),"",--MID('Key Analysis'!$C47,24,1))</f>
        <v>0</v>
      </c>
      <c r="FG51" s="29">
        <f>IF(OR($B51="",$A51&lt;25),"",--MID('Key Analysis'!$C47,25,1))</f>
        <v>0</v>
      </c>
      <c r="FH51" s="29">
        <f>IF(OR($B51="",$A51&lt;26),"",--MID('Key Analysis'!$C47,26,1))</f>
        <v>0</v>
      </c>
      <c r="FI51" s="29">
        <f>IF(OR($B51="",$A51&lt;27),"",--MID('Key Analysis'!$C47,27,1))</f>
        <v>1</v>
      </c>
      <c r="FJ51" s="29">
        <f>IF(OR($B51="",$A51&lt;28),"",--MID('Key Analysis'!$C47,28,1))</f>
        <v>0</v>
      </c>
      <c r="FK51" s="29">
        <f>IF(OR($B51="",$A51&lt;29),"",--MID('Key Analysis'!$C47,29,1))</f>
        <v>0</v>
      </c>
      <c r="FL51" s="29">
        <f>IF(OR($B51="",$A51&lt;30),"",--MID('Key Analysis'!$C47,30,1))</f>
        <v>0</v>
      </c>
      <c r="FM51" s="29">
        <f>IF(OR($B51="",$A51&lt;31),"",--MID('Key Analysis'!$C47,31,1))</f>
        <v>1</v>
      </c>
      <c r="FN51" s="29">
        <f>IF(OR($B51="",$A51&lt;32),"",--MID('Key Analysis'!$C47,32,1))</f>
        <v>1</v>
      </c>
      <c r="FO51" s="29">
        <f>IF(OR($B51="",$A51&lt;33),"",--MID('Key Analysis'!$C47,33,1))</f>
        <v>0</v>
      </c>
      <c r="FP51" s="29">
        <f>IF(OR($B51="",$A51&lt;34),"",--MID('Key Analysis'!$C47,34,1))</f>
        <v>1</v>
      </c>
      <c r="FQ51" s="29">
        <f>IF(OR($B51="",$A51&lt;35),"",--MID('Key Analysis'!$C47,35,1))</f>
        <v>0</v>
      </c>
      <c r="FR51" s="29">
        <f>IF(OR($B51="",$A51&lt;36),"",--MID('Key Analysis'!$C47,36,1))</f>
        <v>1</v>
      </c>
      <c r="FS51" s="29">
        <f>IF(OR($B51="",$A51&lt;37),"",--MID('Key Analysis'!$C47,37,1))</f>
        <v>0</v>
      </c>
      <c r="FT51" s="29">
        <f>IF(OR($B51="",$A51&lt;38),"",--MID('Key Analysis'!$C47,38,1))</f>
        <v>1</v>
      </c>
      <c r="FU51" s="29">
        <f>IF(OR($B51="",$A51&lt;39),"",--MID('Key Analysis'!$C47,39,1))</f>
        <v>0</v>
      </c>
      <c r="FV51" s="29">
        <f>IF(OR($B51="",$A51&lt;40),"",--MID('Key Analysis'!$C47,40,1))</f>
        <v>1</v>
      </c>
      <c r="FW51" s="29">
        <f>IF(OR($B51="",$A51&lt;41),"",--MID('Key Analysis'!$C47,41,1))</f>
        <v>0</v>
      </c>
      <c r="FX51" s="29">
        <f>IF(OR($B51="",$A51&lt;42),"",--MID('Key Analysis'!$C47,42,1))</f>
        <v>0</v>
      </c>
      <c r="FY51" s="29">
        <f>IF(OR($B51="",$A51&lt;43),"",--MID('Key Analysis'!$C47,43,1))</f>
        <v>0</v>
      </c>
      <c r="FZ51" s="29">
        <f>IF(OR($B51="",$A51&lt;44),"",--MID('Key Analysis'!$C47,44,1))</f>
        <v>1</v>
      </c>
      <c r="GA51" s="29">
        <f>IF(OR($B51="",$A51&lt;45),"",--MID('Key Analysis'!$C47,45,1))</f>
        <v>0</v>
      </c>
      <c r="GB51" s="29">
        <f>IF(OR($B51="",$A51&lt;46),"",--MID('Key Analysis'!$C47,46,1))</f>
        <v>0</v>
      </c>
      <c r="GC51" s="29" t="str">
        <f>IF(OR($B51="",$A51&lt;47),"",--MID('Key Analysis'!$C47,47,1))</f>
        <v/>
      </c>
      <c r="GD51" s="29" t="str">
        <f>IF(OR($B51="",$A51&lt;48),"",--MID('Key Analysis'!$C47,48,1))</f>
        <v/>
      </c>
      <c r="GE51" s="29" t="str">
        <f>IF(OR($B51="",$A51&lt;49),"",--MID('Key Analysis'!$C47,49,1))</f>
        <v/>
      </c>
      <c r="GF51" s="29" t="str">
        <f>IF(OR($B51="",$A51&lt;50),"",--MID('Key Analysis'!$C47,50,1))</f>
        <v/>
      </c>
      <c r="GG51" s="29" t="str">
        <f>IF(OR($B51="",$A51&lt;51),"",--MID('Key Analysis'!$C47,51,1))</f>
        <v/>
      </c>
      <c r="GH51" s="29" t="str">
        <f>IF(OR($B51="",$A51&lt;52),"",--MID('Key Analysis'!$C47,52,1))</f>
        <v/>
      </c>
      <c r="GI51" s="29" t="str">
        <f>IF(OR($B51="",$A51&lt;53),"",--MID('Key Analysis'!$C47,53,1))</f>
        <v/>
      </c>
      <c r="GJ51" s="29" t="str">
        <f>IF(OR($B51="",$A51&lt;54),"",--MID('Key Analysis'!$C47,54,1))</f>
        <v/>
      </c>
      <c r="GK51" s="29" t="str">
        <f>IF(OR($B51="",$A51&lt;55),"",--MID('Key Analysis'!$C47,55,1))</f>
        <v/>
      </c>
      <c r="GL51" s="29" t="str">
        <f>IF(OR($B51="",$A51&lt;56),"",--MID('Key Analysis'!$C47,56,1))</f>
        <v/>
      </c>
      <c r="GM51" s="29" t="str">
        <f>IF(OR($B51="",$A51&lt;57),"",--MID('Key Analysis'!$C47,57,1))</f>
        <v/>
      </c>
      <c r="GN51" s="29" t="str">
        <f>IF(OR($B51="",$A51&lt;58),"",--MID('Key Analysis'!$C47,58,1))</f>
        <v/>
      </c>
      <c r="GO51" s="29" t="str">
        <f>IF(OR($B51="",$A51&lt;59),"",--MID('Key Analysis'!$C47,59,1))</f>
        <v/>
      </c>
      <c r="GP51" s="29" t="str">
        <f>IF(OR($B51="",$A51&lt;60),"",--MID('Key Analysis'!$C47,60,1))</f>
        <v/>
      </c>
      <c r="GQ51" s="29" t="str">
        <f>IF(OR($B51="",$A51&lt;61),"",--MID('Key Analysis'!$C47,61,1))</f>
        <v/>
      </c>
      <c r="GR51" s="29" t="str">
        <f>IF(OR($B51="",$A51&lt;62),"",--MID('Key Analysis'!$C47,62,1))</f>
        <v/>
      </c>
      <c r="GS51" s="29" t="str">
        <f>IF(OR($B51="",$A51&lt;63),"",--MID('Key Analysis'!$C47,63,1))</f>
        <v/>
      </c>
      <c r="GT51" s="29" t="str">
        <f>IF(OR($B51="",$A51&lt;64),"",--MID('Key Analysis'!$C47,64,1))</f>
        <v/>
      </c>
      <c r="GU51" s="29" t="str">
        <f>IF(OR($B51="",$A51&lt;65),"",--MID('Key Analysis'!$C47,65,1))</f>
        <v/>
      </c>
      <c r="GV51" s="29" t="str">
        <f>IF(OR($B51="",$A51&lt;66),"",--MID('Key Analysis'!$C47,66,1))</f>
        <v/>
      </c>
      <c r="GW51" s="29" t="str">
        <f>IF(OR($B51="",$A51&lt;67),"",--MID('Key Analysis'!$C47,67,1))</f>
        <v/>
      </c>
      <c r="GX51" s="29" t="str">
        <f>IF(OR($B51="",$A51&lt;68),"",--MID('Key Analysis'!$C47,68,1))</f>
        <v/>
      </c>
      <c r="GY51" s="29" t="str">
        <f>IF(OR($B51="",$A51&lt;69),"",--MID('Key Analysis'!$C47,69,1))</f>
        <v/>
      </c>
      <c r="GZ51" s="29" t="str">
        <f>IF(OR($B51="",$A51&lt;70),"",--MID('Key Analysis'!$C47,70,1))</f>
        <v/>
      </c>
      <c r="HA51" s="29" t="str">
        <f>IF(OR($B51="",$A51&lt;71),"",--MID('Key Analysis'!$C47,71,1))</f>
        <v/>
      </c>
      <c r="HB51" s="29" t="str">
        <f>IF(OR($B51="",$A51&lt;72),"",--MID('Key Analysis'!$C47,72,1))</f>
        <v/>
      </c>
      <c r="HC51" s="29" t="str">
        <f>IF(OR($B51="",$A51&lt;73),"",--MID('Key Analysis'!$C47,73,1))</f>
        <v/>
      </c>
      <c r="HD51" s="29" t="str">
        <f>IF(OR($B51="",$A51&lt;74),"",--MID('Key Analysis'!$C47,74,1))</f>
        <v/>
      </c>
      <c r="HE51" s="29" t="str">
        <f>IF(OR($B51="",$A51&lt;75),"",--MID('Key Analysis'!$C47,75,1))</f>
        <v/>
      </c>
      <c r="HF51" s="29" t="str">
        <f>IF(OR($B51="",$A51&lt;76),"",--MID('Key Analysis'!$C47,76,1))</f>
        <v/>
      </c>
      <c r="HG51" s="29" t="str">
        <f>IF(OR($B51="",$A51&lt;77),"",--MID('Key Analysis'!$C47,77,1))</f>
        <v/>
      </c>
      <c r="HH51" s="29" t="str">
        <f>IF(OR($B51="",$A51&lt;78),"",--MID('Key Analysis'!$C47,78,1))</f>
        <v/>
      </c>
      <c r="HI51" s="29" t="str">
        <f>IF(OR($B51="",$A51&lt;79),"",--MID('Key Analysis'!$C47,79,1))</f>
        <v/>
      </c>
      <c r="HJ51" s="29" t="str">
        <f>IF(OR($B51="",$A51&lt;80),"",--MID('Key Analysis'!$C47,80,1))</f>
        <v/>
      </c>
      <c r="HK51" s="29" t="str">
        <f>IF(OR($B51="",$A51&lt;81),"",--MID('Key Analysis'!$C47,81,1))</f>
        <v/>
      </c>
      <c r="HL51" s="29" t="str">
        <f>IF(OR($B51="",$A51&lt;82),"",--MID('Key Analysis'!$C47,82,1))</f>
        <v/>
      </c>
      <c r="HM51" s="29" t="str">
        <f>IF(OR($B51="",$A51&lt;83),"",--MID('Key Analysis'!$C47,83,1))</f>
        <v/>
      </c>
      <c r="HN51" s="29" t="str">
        <f>IF(OR($B51="",$A51&lt;84),"",--MID('Key Analysis'!$C47,84,1))</f>
        <v/>
      </c>
      <c r="HO51" s="29" t="str">
        <f>IF(OR($B51="",$A51&lt;85),"",--MID('Key Analysis'!$C47,85,1))</f>
        <v/>
      </c>
      <c r="HP51" s="29" t="str">
        <f>IF(OR($B51="",$A51&lt;86),"",--MID('Key Analysis'!$C47,86,1))</f>
        <v/>
      </c>
      <c r="HQ51" s="29" t="str">
        <f>IF(OR($B51="",$A51&lt;87),"",--MID('Key Analysis'!$C47,87,1))</f>
        <v/>
      </c>
      <c r="HR51" s="29" t="str">
        <f>IF(OR($B51="",$A51&lt;88),"",--MID('Key Analysis'!$C47,88,1))</f>
        <v/>
      </c>
      <c r="HS51" s="29" t="str">
        <f>IF(OR($B51="",$A51&lt;89),"",--MID('Key Analysis'!$C47,89,1))</f>
        <v/>
      </c>
      <c r="HT51" s="29" t="str">
        <f>IF(OR($B51="",$A51&lt;90),"",--MID('Key Analysis'!$C47,90,1))</f>
        <v/>
      </c>
      <c r="HU51" s="29" t="str">
        <f>IF(OR($B51="",$A51&lt;91),"",--MID('Key Analysis'!$C47,91,1))</f>
        <v/>
      </c>
      <c r="HV51" s="29" t="str">
        <f>IF(OR($B51="",$A51&lt;92),"",--MID('Key Analysis'!$C47,92,1))</f>
        <v/>
      </c>
      <c r="HW51" s="29" t="str">
        <f>IF(OR($B51="",$A51&lt;93),"",--MID('Key Analysis'!$C47,93,1))</f>
        <v/>
      </c>
      <c r="HX51" s="29" t="str">
        <f>IF(OR($B51="",$A51&lt;94),"",--MID('Key Analysis'!$C47,94,1))</f>
        <v/>
      </c>
      <c r="HY51" s="29" t="str">
        <f>IF(OR($B51="",$A51&lt;95),"",--MID('Key Analysis'!$C47,95,1))</f>
        <v/>
      </c>
      <c r="HZ51" s="29" t="str">
        <f>IF(OR($B51="",$A51&lt;96),"",--MID('Key Analysis'!$C47,96,1))</f>
        <v/>
      </c>
      <c r="IA51" s="29" t="str">
        <f>IF(OR($B51="",$A51&lt;97),"",--MID('Key Analysis'!$C47,97,1))</f>
        <v/>
      </c>
      <c r="IB51" s="29" t="str">
        <f>IF(OR($B51="",$A51&lt;98),"",--MID('Key Analysis'!$C47,98,1))</f>
        <v/>
      </c>
      <c r="IC51" s="29" t="str">
        <f>IF(OR($B51="",$A51&lt;99),"",--MID('Key Analysis'!$C47,99,1))</f>
        <v/>
      </c>
      <c r="ID51" s="29" t="str">
        <f>IF(OR($B51="",$A51&lt;100),"",--MID('Key Analysis'!$C47,100,1))</f>
        <v/>
      </c>
      <c r="IE51" s="29" t="str">
        <f>IF(OR($B51="",$A51&lt;101),"",--MID('Key Analysis'!$C47,101,1))</f>
        <v/>
      </c>
      <c r="IF51" s="29" t="str">
        <f>IF(OR($B51="",$A51&lt;102),"",--MID('Key Analysis'!$C47,102,1))</f>
        <v/>
      </c>
      <c r="IG51" s="29" t="str">
        <f>IF(OR($B51="",$A51&lt;103),"",--MID('Key Analysis'!$C47,103,1))</f>
        <v/>
      </c>
      <c r="IH51" s="29" t="str">
        <f>IF(OR($B51="",$A51&lt;104),"",--MID('Key Analysis'!$C47,104,1))</f>
        <v/>
      </c>
      <c r="II51" s="29" t="str">
        <f>IF(OR($B51="",$A51&lt;105),"",--MID('Key Analysis'!$C47,105,1))</f>
        <v/>
      </c>
      <c r="IJ51" s="29" t="str">
        <f>IF(OR($B51="",$A51&lt;106),"",--MID('Key Analysis'!$C47,106,1))</f>
        <v/>
      </c>
      <c r="IK51" s="29" t="str">
        <f>IF(OR($B51="",$A51&lt;107),"",--MID('Key Analysis'!$C47,107,1))</f>
        <v/>
      </c>
      <c r="IL51" s="29" t="str">
        <f>IF(OR($B51="",$A51&lt;108),"",--MID('Key Analysis'!$C47,108,1))</f>
        <v/>
      </c>
      <c r="IM51" s="29" t="str">
        <f>IF(OR($B51="",$A51&lt;109),"",--MID('Key Analysis'!$C47,109,1))</f>
        <v/>
      </c>
      <c r="IN51" s="29" t="str">
        <f>IF(OR($B51="",$A51&lt;110),"",--MID('Key Analysis'!$C47,110,1))</f>
        <v/>
      </c>
      <c r="IO51" s="29" t="str">
        <f>IF(OR($B51="",$A51&lt;111),"",--MID('Key Analysis'!$C47,111,1))</f>
        <v/>
      </c>
      <c r="IP51" s="29" t="str">
        <f>IF(OR($B51="",$A51&lt;112),"",--MID('Key Analysis'!$C47,112,1))</f>
        <v/>
      </c>
      <c r="IQ51" s="29" t="str">
        <f>IF(OR($B51="",$A51&lt;113),"",--MID('Key Analysis'!$C47,113,1))</f>
        <v/>
      </c>
      <c r="IR51" s="29" t="str">
        <f>IF(OR($B51="",$A51&lt;114),"",--MID('Key Analysis'!$C47,114,1))</f>
        <v/>
      </c>
      <c r="IS51" s="29" t="str">
        <f>IF(OR($B51="",$A51&lt;115),"",--MID('Key Analysis'!$C47,115,1))</f>
        <v/>
      </c>
      <c r="IT51" s="29" t="str">
        <f>IF(OR($B51="",$A51&lt;116),"",--MID('Key Analysis'!$C47,116,1))</f>
        <v/>
      </c>
      <c r="IU51" s="29" t="str">
        <f>IF(OR($B51="",$A51&lt;117),"",--MID('Key Analysis'!$C47,117,1))</f>
        <v/>
      </c>
      <c r="IV51" s="29" t="str">
        <f>IF(OR($B51="",$A51&lt;118),"",--MID('Key Analysis'!$C47,118,1))</f>
        <v/>
      </c>
      <c r="IW51" s="29" t="str">
        <f>IF(OR($B51="",$A51&lt;119),"",--MID('Key Analysis'!$C47,119,1))</f>
        <v/>
      </c>
      <c r="IX51" s="29" t="str">
        <f>IF(OR($B51="",$A51&lt;120),"",--MID('Key Analysis'!$C47,120,1))</f>
        <v/>
      </c>
      <c r="IY51" s="29" t="str">
        <f>IF(OR($B51="",$A51&lt;121),"",--MID('Key Analysis'!$C47,121,1))</f>
        <v/>
      </c>
      <c r="IZ51" s="29" t="str">
        <f>IF(OR($B51="",$A51&lt;122),"",--MID('Key Analysis'!$C47,122,1))</f>
        <v/>
      </c>
      <c r="JA51" s="29" t="str">
        <f>IF(OR($B51="",$A51&lt;123),"",--MID('Key Analysis'!$C47,123,1))</f>
        <v/>
      </c>
      <c r="JB51" s="29" t="str">
        <f>IF(OR($B51="",$A51&lt;124),"",--MID('Key Analysis'!$C47,124,1))</f>
        <v/>
      </c>
      <c r="JC51" s="29" t="str">
        <f>IF(OR($B51="",$A51&lt;125),"",--MID('Key Analysis'!$C47,125,1))</f>
        <v/>
      </c>
      <c r="JD51" s="29" t="str">
        <f>IF(OR($B51="",$A51&lt;126),"",--MID('Key Analysis'!$C47,126,1))</f>
        <v/>
      </c>
      <c r="JE51" s="29" t="str">
        <f>IF(OR($B51="",$A51&lt;127),"",--MID('Key Analysis'!$C47,127,1))</f>
        <v/>
      </c>
      <c r="JF51" s="29" t="str">
        <f>IF(OR($B51="",$A51&lt;128),"",--MID('Key Analysis'!$C47,128,1))</f>
        <v/>
      </c>
      <c r="JG51" s="29" t="str">
        <f>IF(OR($B51="",$A51&lt;129),"",--MID('Key Analysis'!$C47,129,1))</f>
        <v/>
      </c>
      <c r="JH51" s="29" t="str">
        <f>IF(OR($B51="",$A51&lt;130),"",--MID('Key Analysis'!$C47,130,1))</f>
        <v/>
      </c>
      <c r="JI51" s="29" t="str">
        <f>IF(OR($B51="",$A51&lt;131),"",--MID('Key Analysis'!$C47,131,1))</f>
        <v/>
      </c>
      <c r="JJ51" s="29" t="str">
        <f>IF(OR($B51="",$A51&lt;132),"",--MID('Key Analysis'!$C47,132,1))</f>
        <v/>
      </c>
      <c r="JK51" s="29" t="str">
        <f>IF(OR($B51="",$A51&lt;133),"",--MID('Key Analysis'!$C47,133,1))</f>
        <v/>
      </c>
      <c r="JL51" s="29" t="str">
        <f>IF(OR($B51="",$A51&lt;134),"",--MID('Key Analysis'!$C47,134,1))</f>
        <v/>
      </c>
      <c r="JM51" s="29" t="str">
        <f>IF(OR($B51="",$A51&lt;135),"",--MID('Key Analysis'!$C47,135,1))</f>
        <v/>
      </c>
    </row>
    <row r="52" spans="1:273" x14ac:dyDescent="0.25">
      <c r="A52" s="21">
        <f>'Key Analysis'!A48</f>
        <v>47</v>
      </c>
      <c r="B52" s="30" t="str">
        <f>'Key Analysis'!B48</f>
        <v>6cd610b53cba</v>
      </c>
      <c r="C52" s="29">
        <f>IF(OR($B52="",$A52&lt;=0),"",--MID('Key Analysis'!$C48,$A52-0,1))</f>
        <v>0</v>
      </c>
      <c r="D52" s="29">
        <f>IF(OR($B52="",$A52&lt;=1),"",--MID('Key Analysis'!$C48,$A52-1,1))</f>
        <v>1</v>
      </c>
      <c r="E52" s="29">
        <f>IF(OR($B52="",$A52&lt;=2),"",--MID('Key Analysis'!$C48,$A52-2,1))</f>
        <v>0</v>
      </c>
      <c r="F52" s="29">
        <f>IF(OR($B52="",$A52&lt;=3),"",--MID('Key Analysis'!$C48,$A52-3,1))</f>
        <v>1</v>
      </c>
      <c r="G52" s="29">
        <f>IF(OR($B52="",$A52&lt;=4),"",--MID('Key Analysis'!$C48,$A52-4,1))</f>
        <v>1</v>
      </c>
      <c r="H52" s="29">
        <f>IF(OR($B52="",$A52&lt;=5),"",--MID('Key Analysis'!$C48,$A52-5,1))</f>
        <v>1</v>
      </c>
      <c r="I52" s="29">
        <f>IF(OR($B52="",$A52&lt;=6),"",--MID('Key Analysis'!$C48,$A52-6,1))</f>
        <v>0</v>
      </c>
      <c r="J52" s="29">
        <f>IF(OR($B52="",$A52&lt;=7),"",--MID('Key Analysis'!$C48,$A52-7,1))</f>
        <v>1</v>
      </c>
      <c r="K52" s="29">
        <f>IF(OR($B52="",$A52&lt;=8),"",--MID('Key Analysis'!$C48,$A52-8,1))</f>
        <v>0</v>
      </c>
      <c r="L52" s="29">
        <f>IF(OR($B52="",$A52&lt;=9),"",--MID('Key Analysis'!$C48,$A52-9,1))</f>
        <v>0</v>
      </c>
      <c r="M52" s="29">
        <f>IF(OR($B52="",$A52&lt;=10),"",--MID('Key Analysis'!$C48,$A52-10,1))</f>
        <v>1</v>
      </c>
      <c r="N52" s="29">
        <f>IF(OR($B52="",$A52&lt;=11),"",--MID('Key Analysis'!$C48,$A52-11,1))</f>
        <v>1</v>
      </c>
      <c r="O52" s="29">
        <f>IF(OR($B52="",$A52&lt;=12),"",--MID('Key Analysis'!$C48,$A52-12,1))</f>
        <v>1</v>
      </c>
      <c r="P52" s="29">
        <f>IF(OR($B52="",$A52&lt;=13),"",--MID('Key Analysis'!$C48,$A52-13,1))</f>
        <v>1</v>
      </c>
      <c r="Q52" s="29">
        <f>IF(OR($B52="",$A52&lt;=14),"",--MID('Key Analysis'!$C48,$A52-14,1))</f>
        <v>0</v>
      </c>
      <c r="R52" s="29">
        <f>IF(OR($B52="",$A52&lt;=15),"",--MID('Key Analysis'!$C48,$A52-15,1))</f>
        <v>0</v>
      </c>
      <c r="S52" s="29">
        <f>IF(OR($B52="",$A52&lt;=16),"",--MID('Key Analysis'!$C48,$A52-16,1))</f>
        <v>1</v>
      </c>
      <c r="T52" s="29">
        <f>IF(OR($B52="",$A52&lt;=17),"",--MID('Key Analysis'!$C48,$A52-17,1))</f>
        <v>0</v>
      </c>
      <c r="U52" s="29">
        <f>IF(OR($B52="",$A52&lt;=18),"",--MID('Key Analysis'!$C48,$A52-18,1))</f>
        <v>1</v>
      </c>
      <c r="V52" s="29">
        <f>IF(OR($B52="",$A52&lt;=19),"",--MID('Key Analysis'!$C48,$A52-19,1))</f>
        <v>0</v>
      </c>
      <c r="W52" s="29">
        <f>IF(OR($B52="",$A52&lt;=20),"",--MID('Key Analysis'!$C48,$A52-20,1))</f>
        <v>1</v>
      </c>
      <c r="X52" s="29">
        <f>IF(OR($B52="",$A52&lt;=21),"",--MID('Key Analysis'!$C48,$A52-21,1))</f>
        <v>1</v>
      </c>
      <c r="Y52" s="29">
        <f>IF(OR($B52="",$A52&lt;=22),"",--MID('Key Analysis'!$C48,$A52-22,1))</f>
        <v>0</v>
      </c>
      <c r="Z52" s="29">
        <f>IF(OR($B52="",$A52&lt;=23),"",--MID('Key Analysis'!$C48,$A52-23,1))</f>
        <v>1</v>
      </c>
      <c r="AA52" s="29">
        <f>IF(OR($B52="",$A52&lt;=24),"",--MID('Key Analysis'!$C48,$A52-24,1))</f>
        <v>0</v>
      </c>
      <c r="AB52" s="29">
        <f>IF(OR($B52="",$A52&lt;=25),"",--MID('Key Analysis'!$C48,$A52-25,1))</f>
        <v>0</v>
      </c>
      <c r="AC52" s="29">
        <f>IF(OR($B52="",$A52&lt;=26),"",--MID('Key Analysis'!$C48,$A52-26,1))</f>
        <v>0</v>
      </c>
      <c r="AD52" s="29">
        <f>IF(OR($B52="",$A52&lt;=27),"",--MID('Key Analysis'!$C48,$A52-27,1))</f>
        <v>0</v>
      </c>
      <c r="AE52" s="29">
        <f>IF(OR($B52="",$A52&lt;=28),"",--MID('Key Analysis'!$C48,$A52-28,1))</f>
        <v>1</v>
      </c>
      <c r="AF52" s="29">
        <f>IF(OR($B52="",$A52&lt;=29),"",--MID('Key Analysis'!$C48,$A52-29,1))</f>
        <v>0</v>
      </c>
      <c r="AG52" s="29">
        <f>IF(OR($B52="",$A52&lt;=30),"",--MID('Key Analysis'!$C48,$A52-30,1))</f>
        <v>0</v>
      </c>
      <c r="AH52" s="29">
        <f>IF(OR($B52="",$A52&lt;=31),"",--MID('Key Analysis'!$C48,$A52-31,1))</f>
        <v>0</v>
      </c>
      <c r="AI52" s="29">
        <f>IF(OR($B52="",$A52&lt;=32),"",--MID('Key Analysis'!$C48,$A52-32,1))</f>
        <v>0</v>
      </c>
      <c r="AJ52" s="29">
        <f>IF(OR($B52="",$A52&lt;=33),"",--MID('Key Analysis'!$C48,$A52-33,1))</f>
        <v>1</v>
      </c>
      <c r="AK52" s="29">
        <f>IF(OR($B52="",$A52&lt;=34),"",--MID('Key Analysis'!$C48,$A52-34,1))</f>
        <v>1</v>
      </c>
      <c r="AL52" s="29">
        <f>IF(OR($B52="",$A52&lt;=35),"",--MID('Key Analysis'!$C48,$A52-35,1))</f>
        <v>0</v>
      </c>
      <c r="AM52" s="29">
        <f>IF(OR($B52="",$A52&lt;=36),"",--MID('Key Analysis'!$C48,$A52-36,1))</f>
        <v>1</v>
      </c>
      <c r="AN52" s="29">
        <f>IF(OR($B52="",$A52&lt;=37),"",--MID('Key Analysis'!$C48,$A52-37,1))</f>
        <v>0</v>
      </c>
      <c r="AO52" s="29">
        <f>IF(OR($B52="",$A52&lt;=38),"",--MID('Key Analysis'!$C48,$A52-38,1))</f>
        <v>1</v>
      </c>
      <c r="AP52" s="29">
        <f>IF(OR($B52="",$A52&lt;=39),"",--MID('Key Analysis'!$C48,$A52-39,1))</f>
        <v>1</v>
      </c>
      <c r="AQ52" s="29">
        <f>IF(OR($B52="",$A52&lt;=40),"",--MID('Key Analysis'!$C48,$A52-40,1))</f>
        <v>0</v>
      </c>
      <c r="AR52" s="29">
        <f>IF(OR($B52="",$A52&lt;=41),"",--MID('Key Analysis'!$C48,$A52-41,1))</f>
        <v>0</v>
      </c>
      <c r="AS52" s="29">
        <f>IF(OR($B52="",$A52&lt;=42),"",--MID('Key Analysis'!$C48,$A52-42,1))</f>
        <v>1</v>
      </c>
      <c r="AT52" s="29">
        <f>IF(OR($B52="",$A52&lt;=43),"",--MID('Key Analysis'!$C48,$A52-43,1))</f>
        <v>1</v>
      </c>
      <c r="AU52" s="29">
        <f>IF(OR($B52="",$A52&lt;=44),"",--MID('Key Analysis'!$C48,$A52-44,1))</f>
        <v>0</v>
      </c>
      <c r="AV52" s="29">
        <f>IF(OR($B52="",$A52&lt;=45),"",--MID('Key Analysis'!$C48,$A52-45,1))</f>
        <v>1</v>
      </c>
      <c r="AW52" s="29">
        <f>IF(OR($B52="",$A52&lt;=46),"",--MID('Key Analysis'!$C48,$A52-46,1))</f>
        <v>1</v>
      </c>
      <c r="AX52" s="29" t="str">
        <f>IF(OR($B52="",$A52&lt;=47),"",--MID('Key Analysis'!$C48,$A52-47,1))</f>
        <v/>
      </c>
      <c r="AY52" s="29" t="str">
        <f>IF(OR($B52="",$A52&lt;=48),"",--MID('Key Analysis'!$C48,$A52-48,1))</f>
        <v/>
      </c>
      <c r="AZ52" s="29" t="str">
        <f>IF(OR($B52="",$A52&lt;=49),"",--MID('Key Analysis'!$C48,$A52-49,1))</f>
        <v/>
      </c>
      <c r="BA52" s="29" t="str">
        <f>IF(OR($B52="",$A52&lt;=50),"",--MID('Key Analysis'!$C48,$A52-50,1))</f>
        <v/>
      </c>
      <c r="BB52" s="29" t="str">
        <f>IF(OR($B52="",$A52&lt;=51),"",--MID('Key Analysis'!$C48,$A52-51,1))</f>
        <v/>
      </c>
      <c r="BC52" s="29" t="str">
        <f>IF(OR($B52="",$A52&lt;=52),"",--MID('Key Analysis'!$C48,$A52-52,1))</f>
        <v/>
      </c>
      <c r="BD52" s="29" t="str">
        <f>IF(OR($B52="",$A52&lt;=53),"",--MID('Key Analysis'!$C48,$A52-53,1))</f>
        <v/>
      </c>
      <c r="BE52" s="29" t="str">
        <f>IF(OR($B52="",$A52&lt;=54),"",--MID('Key Analysis'!$C48,$A52-54,1))</f>
        <v/>
      </c>
      <c r="BF52" s="29" t="str">
        <f>IF(OR($B52="",$A52&lt;=55),"",--MID('Key Analysis'!$C48,$A52-55,1))</f>
        <v/>
      </c>
      <c r="BG52" s="29" t="str">
        <f>IF(OR($B52="",$A52&lt;=56),"",--MID('Key Analysis'!$C48,$A52-56,1))</f>
        <v/>
      </c>
      <c r="BH52" s="29" t="str">
        <f>IF(OR($B52="",$A52&lt;=57),"",--MID('Key Analysis'!$C48,$A52-57,1))</f>
        <v/>
      </c>
      <c r="BI52" s="29" t="str">
        <f>IF(OR($B52="",$A52&lt;=58),"",--MID('Key Analysis'!$C48,$A52-58,1))</f>
        <v/>
      </c>
      <c r="BJ52" s="29" t="str">
        <f>IF(OR($B52="",$A52&lt;=59),"",--MID('Key Analysis'!$C48,$A52-59,1))</f>
        <v/>
      </c>
      <c r="BK52" s="29" t="str">
        <f>IF(OR($B52="",$A52&lt;=60),"",--MID('Key Analysis'!$C48,$A52-60,1))</f>
        <v/>
      </c>
      <c r="BL52" s="29" t="str">
        <f>IF(OR($B52="",$A52&lt;=61),"",--MID('Key Analysis'!$C48,$A52-61,1))</f>
        <v/>
      </c>
      <c r="BM52" s="29" t="str">
        <f>IF(OR($B52="",$A52&lt;=62),"",--MID('Key Analysis'!$C48,$A52-62,1))</f>
        <v/>
      </c>
      <c r="BN52" s="29" t="str">
        <f>IF(OR($B52="",$A52&lt;=63),"",--MID('Key Analysis'!$C48,$A52-63,1))</f>
        <v/>
      </c>
      <c r="BO52" s="29" t="str">
        <f>IF(OR($B52="",$A52&lt;=64),"",--MID('Key Analysis'!$C48,$A52-64,1))</f>
        <v/>
      </c>
      <c r="BP52" s="29" t="str">
        <f>IF(OR($B52="",$A52&lt;=65),"",--MID('Key Analysis'!$C48,$A52-65,1))</f>
        <v/>
      </c>
      <c r="BQ52" s="29" t="str">
        <f>IF(OR($B52="",$A52&lt;=66),"",--MID('Key Analysis'!$C48,$A52-66,1))</f>
        <v/>
      </c>
      <c r="BR52" s="29" t="str">
        <f>IF(OR($B52="",$A52&lt;=67),"",--MID('Key Analysis'!$C48,$A52-67,1))</f>
        <v/>
      </c>
      <c r="BS52" s="29" t="str">
        <f>IF(OR($B52="",$A52&lt;=68),"",--MID('Key Analysis'!$C48,$A52-68,1))</f>
        <v/>
      </c>
      <c r="BT52" s="29" t="str">
        <f>IF(OR($B52="",$A52&lt;=69),"",--MID('Key Analysis'!$C48,$A52-69,1))</f>
        <v/>
      </c>
      <c r="BU52" s="29" t="str">
        <f>IF(OR($B52="",$A52&lt;=70),"",--MID('Key Analysis'!$C48,$A52-70,1))</f>
        <v/>
      </c>
      <c r="BV52" s="29" t="str">
        <f>IF(OR($B52="",$A52&lt;=71),"",--MID('Key Analysis'!$C48,$A52-71,1))</f>
        <v/>
      </c>
      <c r="BW52" s="29" t="str">
        <f>IF(OR($B52="",$A52&lt;=72),"",--MID('Key Analysis'!$C48,$A52-72,1))</f>
        <v/>
      </c>
      <c r="BX52" s="29" t="str">
        <f>IF(OR($B52="",$A52&lt;=73),"",--MID('Key Analysis'!$C48,$A52-73,1))</f>
        <v/>
      </c>
      <c r="BY52" s="29" t="str">
        <f>IF(OR($B52="",$A52&lt;=74),"",--MID('Key Analysis'!$C48,$A52-74,1))</f>
        <v/>
      </c>
      <c r="BZ52" s="29" t="str">
        <f>IF(OR($B52="",$A52&lt;=75),"",--MID('Key Analysis'!$C48,$A52-75,1))</f>
        <v/>
      </c>
      <c r="CA52" s="29" t="str">
        <f>IF(OR($B52="",$A52&lt;=76),"",--MID('Key Analysis'!$C48,$A52-76,1))</f>
        <v/>
      </c>
      <c r="CB52" s="29" t="str">
        <f>IF(OR($B52="",$A52&lt;=77),"",--MID('Key Analysis'!$C48,$A52-77,1))</f>
        <v/>
      </c>
      <c r="CC52" s="29" t="str">
        <f>IF(OR($B52="",$A52&lt;=78),"",--MID('Key Analysis'!$C48,$A52-78,1))</f>
        <v/>
      </c>
      <c r="CD52" s="29" t="str">
        <f>IF(OR($B52="",$A52&lt;=79),"",--MID('Key Analysis'!$C48,$A52-79,1))</f>
        <v/>
      </c>
      <c r="CE52" s="29" t="str">
        <f>IF(OR($B52="",$A52&lt;=80),"",--MID('Key Analysis'!$C48,$A52-80,1))</f>
        <v/>
      </c>
      <c r="CF52" s="29" t="str">
        <f>IF(OR($B52="",$A52&lt;=81),"",--MID('Key Analysis'!$C48,$A52-81,1))</f>
        <v/>
      </c>
      <c r="CG52" s="29" t="str">
        <f>IF(OR($B52="",$A52&lt;=82),"",--MID('Key Analysis'!$C48,$A52-82,1))</f>
        <v/>
      </c>
      <c r="CH52" s="29" t="str">
        <f>IF(OR($B52="",$A52&lt;=83),"",--MID('Key Analysis'!$C48,$A52-83,1))</f>
        <v/>
      </c>
      <c r="CI52" s="29" t="str">
        <f>IF(OR($B52="",$A52&lt;=84),"",--MID('Key Analysis'!$C48,$A52-84,1))</f>
        <v/>
      </c>
      <c r="CJ52" s="29" t="str">
        <f>IF(OR($B52="",$A52&lt;=85),"",--MID('Key Analysis'!$C48,$A52-85,1))</f>
        <v/>
      </c>
      <c r="CK52" s="29" t="str">
        <f>IF(OR($B52="",$A52&lt;=86),"",--MID('Key Analysis'!$C48,$A52-86,1))</f>
        <v/>
      </c>
      <c r="CL52" s="29" t="str">
        <f>IF(OR($B52="",$A52&lt;=87),"",--MID('Key Analysis'!$C48,$A52-87,1))</f>
        <v/>
      </c>
      <c r="CM52" s="29" t="str">
        <f>IF(OR($B52="",$A52&lt;=88),"",--MID('Key Analysis'!$C48,$A52-88,1))</f>
        <v/>
      </c>
      <c r="CN52" s="29" t="str">
        <f>IF(OR($B52="",$A52&lt;=89),"",--MID('Key Analysis'!$C48,$A52-89,1))</f>
        <v/>
      </c>
      <c r="CO52" s="29" t="str">
        <f>IF(OR($B52="",$A52&lt;=90),"",--MID('Key Analysis'!$C48,$A52-90,1))</f>
        <v/>
      </c>
      <c r="CP52" s="29" t="str">
        <f>IF(OR($B52="",$A52&lt;=91),"",--MID('Key Analysis'!$C48,$A52-91,1))</f>
        <v/>
      </c>
      <c r="CQ52" s="29" t="str">
        <f>IF(OR($B52="",$A52&lt;=92),"",--MID('Key Analysis'!$C48,$A52-92,1))</f>
        <v/>
      </c>
      <c r="CR52" s="29" t="str">
        <f>IF(OR($B52="",$A52&lt;=93),"",--MID('Key Analysis'!$C48,$A52-93,1))</f>
        <v/>
      </c>
      <c r="CS52" s="29" t="str">
        <f>IF(OR($B52="",$A52&lt;=94),"",--MID('Key Analysis'!$C48,$A52-94,1))</f>
        <v/>
      </c>
      <c r="CT52" s="29" t="str">
        <f>IF(OR($B52="",$A52&lt;=95),"",--MID('Key Analysis'!$C48,$A52-95,1))</f>
        <v/>
      </c>
      <c r="CU52" s="29" t="str">
        <f>IF(OR($B52="",$A52&lt;=96),"",--MID('Key Analysis'!$C48,$A52-96,1))</f>
        <v/>
      </c>
      <c r="CV52" s="29" t="str">
        <f>IF(OR($B52="",$A52&lt;=97),"",--MID('Key Analysis'!$C48,$A52-97,1))</f>
        <v/>
      </c>
      <c r="CW52" s="29" t="str">
        <f>IF(OR($B52="",$A52&lt;=98),"",--MID('Key Analysis'!$C48,$A52-98,1))</f>
        <v/>
      </c>
      <c r="CX52" s="29" t="str">
        <f>IF(OR($B52="",$A52&lt;=99),"",--MID('Key Analysis'!$C48,$A52-99,1))</f>
        <v/>
      </c>
      <c r="CY52" s="29" t="str">
        <f>IF(OR($B52="",$A52&lt;=100),"",--MID('Key Analysis'!$C48,$A52-100,1))</f>
        <v/>
      </c>
      <c r="CZ52" s="29" t="str">
        <f>IF(OR($B52="",$A52&lt;=101),"",--MID('Key Analysis'!$C48,$A52-101,1))</f>
        <v/>
      </c>
      <c r="DA52" s="29" t="str">
        <f>IF(OR($B52="",$A52&lt;=102),"",--MID('Key Analysis'!$C48,$A52-102,1))</f>
        <v/>
      </c>
      <c r="DB52" s="29" t="str">
        <f>IF(OR($B52="",$A52&lt;=103),"",--MID('Key Analysis'!$C48,$A52-103,1))</f>
        <v/>
      </c>
      <c r="DC52" s="29" t="str">
        <f>IF(OR($B52="",$A52&lt;=104),"",--MID('Key Analysis'!$C48,$A52-104,1))</f>
        <v/>
      </c>
      <c r="DD52" s="29" t="str">
        <f>IF(OR($B52="",$A52&lt;=105),"",--MID('Key Analysis'!$C48,$A52-105,1))</f>
        <v/>
      </c>
      <c r="DE52" s="29" t="str">
        <f>IF(OR($B52="",$A52&lt;=106),"",--MID('Key Analysis'!$C48,$A52-106,1))</f>
        <v/>
      </c>
      <c r="DF52" s="29" t="str">
        <f>IF(OR($B52="",$A52&lt;=107),"",--MID('Key Analysis'!$C48,$A52-107,1))</f>
        <v/>
      </c>
      <c r="DG52" s="29" t="str">
        <f>IF(OR($B52="",$A52&lt;=108),"",--MID('Key Analysis'!$C48,$A52-108,1))</f>
        <v/>
      </c>
      <c r="DH52" s="29" t="str">
        <f>IF(OR($B52="",$A52&lt;=109),"",--MID('Key Analysis'!$C48,$A52-109,1))</f>
        <v/>
      </c>
      <c r="DI52" s="29" t="str">
        <f>IF(OR($B52="",$A52&lt;=110),"",--MID('Key Analysis'!$C48,$A52-110,1))</f>
        <v/>
      </c>
      <c r="DJ52" s="29" t="str">
        <f>IF(OR($B52="",$A52&lt;=111),"",--MID('Key Analysis'!$C48,$A52-111,1))</f>
        <v/>
      </c>
      <c r="DK52" s="29" t="str">
        <f>IF(OR($B52="",$A52&lt;=112),"",--MID('Key Analysis'!$C48,$A52-112,1))</f>
        <v/>
      </c>
      <c r="DL52" s="29" t="str">
        <f>IF(OR($B52="",$A52&lt;=113),"",--MID('Key Analysis'!$C48,$A52-113,1))</f>
        <v/>
      </c>
      <c r="DM52" s="29" t="str">
        <f>IF(OR($B52="",$A52&lt;=114),"",--MID('Key Analysis'!$C48,$A52-114,1))</f>
        <v/>
      </c>
      <c r="DN52" s="29" t="str">
        <f>IF(OR($B52="",$A52&lt;=115),"",--MID('Key Analysis'!$C48,$A52-115,1))</f>
        <v/>
      </c>
      <c r="DO52" s="29" t="str">
        <f>IF(OR($B52="",$A52&lt;=116),"",--MID('Key Analysis'!$C48,$A52-116,1))</f>
        <v/>
      </c>
      <c r="DP52" s="29" t="str">
        <f>IF(OR($B52="",$A52&lt;=117),"",--MID('Key Analysis'!$C48,$A52-117,1))</f>
        <v/>
      </c>
      <c r="DQ52" s="29" t="str">
        <f>IF(OR($B52="",$A52&lt;=118),"",--MID('Key Analysis'!$C48,$A52-118,1))</f>
        <v/>
      </c>
      <c r="DR52" s="29" t="str">
        <f>IF(OR($B52="",$A52&lt;=119),"",--MID('Key Analysis'!$C48,$A52-119,1))</f>
        <v/>
      </c>
      <c r="DS52" s="29" t="str">
        <f>IF(OR($B52="",$A52&lt;=120),"",--MID('Key Analysis'!$C48,$A52-120,1))</f>
        <v/>
      </c>
      <c r="DT52" s="29" t="str">
        <f>IF(OR($B52="",$A52&lt;=121),"",--MID('Key Analysis'!$C48,$A52-121,1))</f>
        <v/>
      </c>
      <c r="DU52" s="29" t="str">
        <f>IF(OR($B52="",$A52&lt;=122),"",--MID('Key Analysis'!$C48,$A52-122,1))</f>
        <v/>
      </c>
      <c r="DV52" s="29" t="str">
        <f>IF(OR($B52="",$A52&lt;=123),"",--MID('Key Analysis'!$C48,$A52-123,1))</f>
        <v/>
      </c>
      <c r="DW52" s="29" t="str">
        <f>IF(OR($B52="",$A52&lt;=124),"",--MID('Key Analysis'!$C48,$A52-124,1))</f>
        <v/>
      </c>
      <c r="DX52" s="29" t="str">
        <f>IF(OR($B52="",$A52&lt;=125),"",--MID('Key Analysis'!$C48,$A52-125,1))</f>
        <v/>
      </c>
      <c r="DY52" s="29" t="str">
        <f>IF(OR($B52="",$A52&lt;=126),"",--MID('Key Analysis'!$C48,$A52-126,1))</f>
        <v/>
      </c>
      <c r="DZ52" s="29" t="str">
        <f>IF(OR($B52="",$A52&lt;=127),"",--MID('Key Analysis'!$C48,$A52-127,1))</f>
        <v/>
      </c>
      <c r="EA52" s="29" t="str">
        <f>IF(OR($B52="",$A52&lt;=128),"",--MID('Key Analysis'!$C48,$A52-128,1))</f>
        <v/>
      </c>
      <c r="EB52" s="29" t="str">
        <f>IF(OR($B52="",$A52&lt;=129),"",--MID('Key Analysis'!$C48,$A52-129,1))</f>
        <v/>
      </c>
      <c r="EC52" s="29" t="str">
        <f>IF(OR($B52="",$A52&lt;=130),"",--MID('Key Analysis'!$C48,$A52-130,1))</f>
        <v/>
      </c>
      <c r="ED52" s="29" t="str">
        <f>IF(OR($B52="",$A52&lt;=131),"",--MID('Key Analysis'!$C48,$A52-131,1))</f>
        <v/>
      </c>
      <c r="EE52" s="29" t="str">
        <f>IF(OR($B52="",$A52&lt;=132),"",--MID('Key Analysis'!$C48,$A52-132,1))</f>
        <v/>
      </c>
      <c r="EF52" s="29" t="str">
        <f>IF(OR($B52="",$A52&lt;=133),"",--MID('Key Analysis'!$C48,$A52-133,1))</f>
        <v/>
      </c>
      <c r="EG52" s="29" t="str">
        <f>IF(OR($B52="",$A52&lt;=134),"",--MID('Key Analysis'!$C48,$A52-134,1))</f>
        <v/>
      </c>
      <c r="EH52" s="29"/>
      <c r="EI52" s="29">
        <f>IF(OR($B52="",$A52&lt;1),"",--MID('Key Analysis'!$C48,1,1))</f>
        <v>1</v>
      </c>
      <c r="EJ52" s="29">
        <f>IF(OR($B52="",$A52&lt;2),"",--MID('Key Analysis'!$C48,2,1))</f>
        <v>1</v>
      </c>
      <c r="EK52" s="29">
        <f>IF(OR($B52="",$A52&lt;3),"",--MID('Key Analysis'!$C48,3,1))</f>
        <v>0</v>
      </c>
      <c r="EL52" s="29">
        <f>IF(OR($B52="",$A52&lt;4),"",--MID('Key Analysis'!$C48,4,1))</f>
        <v>1</v>
      </c>
      <c r="EM52" s="29">
        <f>IF(OR($B52="",$A52&lt;5),"",--MID('Key Analysis'!$C48,5,1))</f>
        <v>1</v>
      </c>
      <c r="EN52" s="29">
        <f>IF(OR($B52="",$A52&lt;6),"",--MID('Key Analysis'!$C48,6,1))</f>
        <v>0</v>
      </c>
      <c r="EO52" s="29">
        <f>IF(OR($B52="",$A52&lt;7),"",--MID('Key Analysis'!$C48,7,1))</f>
        <v>0</v>
      </c>
      <c r="EP52" s="29">
        <f>IF(OR($B52="",$A52&lt;8),"",--MID('Key Analysis'!$C48,8,1))</f>
        <v>1</v>
      </c>
      <c r="EQ52" s="29">
        <f>IF(OR($B52="",$A52&lt;9),"",--MID('Key Analysis'!$C48,9,1))</f>
        <v>1</v>
      </c>
      <c r="ER52" s="29">
        <f>IF(OR($B52="",$A52&lt;10),"",--MID('Key Analysis'!$C48,10,1))</f>
        <v>0</v>
      </c>
      <c r="ES52" s="29">
        <f>IF(OR($B52="",$A52&lt;11),"",--MID('Key Analysis'!$C48,11,1))</f>
        <v>1</v>
      </c>
      <c r="ET52" s="29">
        <f>IF(OR($B52="",$A52&lt;12),"",--MID('Key Analysis'!$C48,12,1))</f>
        <v>0</v>
      </c>
      <c r="EU52" s="29">
        <f>IF(OR($B52="",$A52&lt;13),"",--MID('Key Analysis'!$C48,13,1))</f>
        <v>1</v>
      </c>
      <c r="EV52" s="29">
        <f>IF(OR($B52="",$A52&lt;14),"",--MID('Key Analysis'!$C48,14,1))</f>
        <v>1</v>
      </c>
      <c r="EW52" s="29">
        <f>IF(OR($B52="",$A52&lt;15),"",--MID('Key Analysis'!$C48,15,1))</f>
        <v>0</v>
      </c>
      <c r="EX52" s="29">
        <f>IF(OR($B52="",$A52&lt;16),"",--MID('Key Analysis'!$C48,16,1))</f>
        <v>0</v>
      </c>
      <c r="EY52" s="29">
        <f>IF(OR($B52="",$A52&lt;17),"",--MID('Key Analysis'!$C48,17,1))</f>
        <v>0</v>
      </c>
      <c r="EZ52" s="29">
        <f>IF(OR($B52="",$A52&lt;18),"",--MID('Key Analysis'!$C48,18,1))</f>
        <v>0</v>
      </c>
      <c r="FA52" s="29">
        <f>IF(OR($B52="",$A52&lt;19),"",--MID('Key Analysis'!$C48,19,1))</f>
        <v>1</v>
      </c>
      <c r="FB52" s="29">
        <f>IF(OR($B52="",$A52&lt;20),"",--MID('Key Analysis'!$C48,20,1))</f>
        <v>0</v>
      </c>
      <c r="FC52" s="29">
        <f>IF(OR($B52="",$A52&lt;21),"",--MID('Key Analysis'!$C48,21,1))</f>
        <v>0</v>
      </c>
      <c r="FD52" s="29">
        <f>IF(OR($B52="",$A52&lt;22),"",--MID('Key Analysis'!$C48,22,1))</f>
        <v>0</v>
      </c>
      <c r="FE52" s="29">
        <f>IF(OR($B52="",$A52&lt;23),"",--MID('Key Analysis'!$C48,23,1))</f>
        <v>0</v>
      </c>
      <c r="FF52" s="29">
        <f>IF(OR($B52="",$A52&lt;24),"",--MID('Key Analysis'!$C48,24,1))</f>
        <v>1</v>
      </c>
      <c r="FG52" s="29">
        <f>IF(OR($B52="",$A52&lt;25),"",--MID('Key Analysis'!$C48,25,1))</f>
        <v>0</v>
      </c>
      <c r="FH52" s="29">
        <f>IF(OR($B52="",$A52&lt;26),"",--MID('Key Analysis'!$C48,26,1))</f>
        <v>1</v>
      </c>
      <c r="FI52" s="29">
        <f>IF(OR($B52="",$A52&lt;27),"",--MID('Key Analysis'!$C48,27,1))</f>
        <v>1</v>
      </c>
      <c r="FJ52" s="29">
        <f>IF(OR($B52="",$A52&lt;28),"",--MID('Key Analysis'!$C48,28,1))</f>
        <v>0</v>
      </c>
      <c r="FK52" s="29">
        <f>IF(OR($B52="",$A52&lt;29),"",--MID('Key Analysis'!$C48,29,1))</f>
        <v>1</v>
      </c>
      <c r="FL52" s="29">
        <f>IF(OR($B52="",$A52&lt;30),"",--MID('Key Analysis'!$C48,30,1))</f>
        <v>0</v>
      </c>
      <c r="FM52" s="29">
        <f>IF(OR($B52="",$A52&lt;31),"",--MID('Key Analysis'!$C48,31,1))</f>
        <v>1</v>
      </c>
      <c r="FN52" s="29">
        <f>IF(OR($B52="",$A52&lt;32),"",--MID('Key Analysis'!$C48,32,1))</f>
        <v>0</v>
      </c>
      <c r="FO52" s="29">
        <f>IF(OR($B52="",$A52&lt;33),"",--MID('Key Analysis'!$C48,33,1))</f>
        <v>0</v>
      </c>
      <c r="FP52" s="29">
        <f>IF(OR($B52="",$A52&lt;34),"",--MID('Key Analysis'!$C48,34,1))</f>
        <v>1</v>
      </c>
      <c r="FQ52" s="29">
        <f>IF(OR($B52="",$A52&lt;35),"",--MID('Key Analysis'!$C48,35,1))</f>
        <v>1</v>
      </c>
      <c r="FR52" s="29">
        <f>IF(OR($B52="",$A52&lt;36),"",--MID('Key Analysis'!$C48,36,1))</f>
        <v>1</v>
      </c>
      <c r="FS52" s="29">
        <f>IF(OR($B52="",$A52&lt;37),"",--MID('Key Analysis'!$C48,37,1))</f>
        <v>1</v>
      </c>
      <c r="FT52" s="29">
        <f>IF(OR($B52="",$A52&lt;38),"",--MID('Key Analysis'!$C48,38,1))</f>
        <v>0</v>
      </c>
      <c r="FU52" s="29">
        <f>IF(OR($B52="",$A52&lt;39),"",--MID('Key Analysis'!$C48,39,1))</f>
        <v>0</v>
      </c>
      <c r="FV52" s="29">
        <f>IF(OR($B52="",$A52&lt;40),"",--MID('Key Analysis'!$C48,40,1))</f>
        <v>1</v>
      </c>
      <c r="FW52" s="29">
        <f>IF(OR($B52="",$A52&lt;41),"",--MID('Key Analysis'!$C48,41,1))</f>
        <v>0</v>
      </c>
      <c r="FX52" s="29">
        <f>IF(OR($B52="",$A52&lt;42),"",--MID('Key Analysis'!$C48,42,1))</f>
        <v>1</v>
      </c>
      <c r="FY52" s="29">
        <f>IF(OR($B52="",$A52&lt;43),"",--MID('Key Analysis'!$C48,43,1))</f>
        <v>1</v>
      </c>
      <c r="FZ52" s="29">
        <f>IF(OR($B52="",$A52&lt;44),"",--MID('Key Analysis'!$C48,44,1))</f>
        <v>1</v>
      </c>
      <c r="GA52" s="29">
        <f>IF(OR($B52="",$A52&lt;45),"",--MID('Key Analysis'!$C48,45,1))</f>
        <v>0</v>
      </c>
      <c r="GB52" s="29">
        <f>IF(OR($B52="",$A52&lt;46),"",--MID('Key Analysis'!$C48,46,1))</f>
        <v>1</v>
      </c>
      <c r="GC52" s="29">
        <f>IF(OR($B52="",$A52&lt;47),"",--MID('Key Analysis'!$C48,47,1))</f>
        <v>0</v>
      </c>
      <c r="GD52" s="29" t="str">
        <f>IF(OR($B52="",$A52&lt;48),"",--MID('Key Analysis'!$C48,48,1))</f>
        <v/>
      </c>
      <c r="GE52" s="29" t="str">
        <f>IF(OR($B52="",$A52&lt;49),"",--MID('Key Analysis'!$C48,49,1))</f>
        <v/>
      </c>
      <c r="GF52" s="29" t="str">
        <f>IF(OR($B52="",$A52&lt;50),"",--MID('Key Analysis'!$C48,50,1))</f>
        <v/>
      </c>
      <c r="GG52" s="29" t="str">
        <f>IF(OR($B52="",$A52&lt;51),"",--MID('Key Analysis'!$C48,51,1))</f>
        <v/>
      </c>
      <c r="GH52" s="29" t="str">
        <f>IF(OR($B52="",$A52&lt;52),"",--MID('Key Analysis'!$C48,52,1))</f>
        <v/>
      </c>
      <c r="GI52" s="29" t="str">
        <f>IF(OR($B52="",$A52&lt;53),"",--MID('Key Analysis'!$C48,53,1))</f>
        <v/>
      </c>
      <c r="GJ52" s="29" t="str">
        <f>IF(OR($B52="",$A52&lt;54),"",--MID('Key Analysis'!$C48,54,1))</f>
        <v/>
      </c>
      <c r="GK52" s="29" t="str">
        <f>IF(OR($B52="",$A52&lt;55),"",--MID('Key Analysis'!$C48,55,1))</f>
        <v/>
      </c>
      <c r="GL52" s="29" t="str">
        <f>IF(OR($B52="",$A52&lt;56),"",--MID('Key Analysis'!$C48,56,1))</f>
        <v/>
      </c>
      <c r="GM52" s="29" t="str">
        <f>IF(OR($B52="",$A52&lt;57),"",--MID('Key Analysis'!$C48,57,1))</f>
        <v/>
      </c>
      <c r="GN52" s="29" t="str">
        <f>IF(OR($B52="",$A52&lt;58),"",--MID('Key Analysis'!$C48,58,1))</f>
        <v/>
      </c>
      <c r="GO52" s="29" t="str">
        <f>IF(OR($B52="",$A52&lt;59),"",--MID('Key Analysis'!$C48,59,1))</f>
        <v/>
      </c>
      <c r="GP52" s="29" t="str">
        <f>IF(OR($B52="",$A52&lt;60),"",--MID('Key Analysis'!$C48,60,1))</f>
        <v/>
      </c>
      <c r="GQ52" s="29" t="str">
        <f>IF(OR($B52="",$A52&lt;61),"",--MID('Key Analysis'!$C48,61,1))</f>
        <v/>
      </c>
      <c r="GR52" s="29" t="str">
        <f>IF(OR($B52="",$A52&lt;62),"",--MID('Key Analysis'!$C48,62,1))</f>
        <v/>
      </c>
      <c r="GS52" s="29" t="str">
        <f>IF(OR($B52="",$A52&lt;63),"",--MID('Key Analysis'!$C48,63,1))</f>
        <v/>
      </c>
      <c r="GT52" s="29" t="str">
        <f>IF(OR($B52="",$A52&lt;64),"",--MID('Key Analysis'!$C48,64,1))</f>
        <v/>
      </c>
      <c r="GU52" s="29" t="str">
        <f>IF(OR($B52="",$A52&lt;65),"",--MID('Key Analysis'!$C48,65,1))</f>
        <v/>
      </c>
      <c r="GV52" s="29" t="str">
        <f>IF(OR($B52="",$A52&lt;66),"",--MID('Key Analysis'!$C48,66,1))</f>
        <v/>
      </c>
      <c r="GW52" s="29" t="str">
        <f>IF(OR($B52="",$A52&lt;67),"",--MID('Key Analysis'!$C48,67,1))</f>
        <v/>
      </c>
      <c r="GX52" s="29" t="str">
        <f>IF(OR($B52="",$A52&lt;68),"",--MID('Key Analysis'!$C48,68,1))</f>
        <v/>
      </c>
      <c r="GY52" s="29" t="str">
        <f>IF(OR($B52="",$A52&lt;69),"",--MID('Key Analysis'!$C48,69,1))</f>
        <v/>
      </c>
      <c r="GZ52" s="29" t="str">
        <f>IF(OR($B52="",$A52&lt;70),"",--MID('Key Analysis'!$C48,70,1))</f>
        <v/>
      </c>
      <c r="HA52" s="29" t="str">
        <f>IF(OR($B52="",$A52&lt;71),"",--MID('Key Analysis'!$C48,71,1))</f>
        <v/>
      </c>
      <c r="HB52" s="29" t="str">
        <f>IF(OR($B52="",$A52&lt;72),"",--MID('Key Analysis'!$C48,72,1))</f>
        <v/>
      </c>
      <c r="HC52" s="29" t="str">
        <f>IF(OR($B52="",$A52&lt;73),"",--MID('Key Analysis'!$C48,73,1))</f>
        <v/>
      </c>
      <c r="HD52" s="29" t="str">
        <f>IF(OR($B52="",$A52&lt;74),"",--MID('Key Analysis'!$C48,74,1))</f>
        <v/>
      </c>
      <c r="HE52" s="29" t="str">
        <f>IF(OR($B52="",$A52&lt;75),"",--MID('Key Analysis'!$C48,75,1))</f>
        <v/>
      </c>
      <c r="HF52" s="29" t="str">
        <f>IF(OR($B52="",$A52&lt;76),"",--MID('Key Analysis'!$C48,76,1))</f>
        <v/>
      </c>
      <c r="HG52" s="29" t="str">
        <f>IF(OR($B52="",$A52&lt;77),"",--MID('Key Analysis'!$C48,77,1))</f>
        <v/>
      </c>
      <c r="HH52" s="29" t="str">
        <f>IF(OR($B52="",$A52&lt;78),"",--MID('Key Analysis'!$C48,78,1))</f>
        <v/>
      </c>
      <c r="HI52" s="29" t="str">
        <f>IF(OR($B52="",$A52&lt;79),"",--MID('Key Analysis'!$C48,79,1))</f>
        <v/>
      </c>
      <c r="HJ52" s="29" t="str">
        <f>IF(OR($B52="",$A52&lt;80),"",--MID('Key Analysis'!$C48,80,1))</f>
        <v/>
      </c>
      <c r="HK52" s="29" t="str">
        <f>IF(OR($B52="",$A52&lt;81),"",--MID('Key Analysis'!$C48,81,1))</f>
        <v/>
      </c>
      <c r="HL52" s="29" t="str">
        <f>IF(OR($B52="",$A52&lt;82),"",--MID('Key Analysis'!$C48,82,1))</f>
        <v/>
      </c>
      <c r="HM52" s="29" t="str">
        <f>IF(OR($B52="",$A52&lt;83),"",--MID('Key Analysis'!$C48,83,1))</f>
        <v/>
      </c>
      <c r="HN52" s="29" t="str">
        <f>IF(OR($B52="",$A52&lt;84),"",--MID('Key Analysis'!$C48,84,1))</f>
        <v/>
      </c>
      <c r="HO52" s="29" t="str">
        <f>IF(OR($B52="",$A52&lt;85),"",--MID('Key Analysis'!$C48,85,1))</f>
        <v/>
      </c>
      <c r="HP52" s="29" t="str">
        <f>IF(OR($B52="",$A52&lt;86),"",--MID('Key Analysis'!$C48,86,1))</f>
        <v/>
      </c>
      <c r="HQ52" s="29" t="str">
        <f>IF(OR($B52="",$A52&lt;87),"",--MID('Key Analysis'!$C48,87,1))</f>
        <v/>
      </c>
      <c r="HR52" s="29" t="str">
        <f>IF(OR($B52="",$A52&lt;88),"",--MID('Key Analysis'!$C48,88,1))</f>
        <v/>
      </c>
      <c r="HS52" s="29" t="str">
        <f>IF(OR($B52="",$A52&lt;89),"",--MID('Key Analysis'!$C48,89,1))</f>
        <v/>
      </c>
      <c r="HT52" s="29" t="str">
        <f>IF(OR($B52="",$A52&lt;90),"",--MID('Key Analysis'!$C48,90,1))</f>
        <v/>
      </c>
      <c r="HU52" s="29" t="str">
        <f>IF(OR($B52="",$A52&lt;91),"",--MID('Key Analysis'!$C48,91,1))</f>
        <v/>
      </c>
      <c r="HV52" s="29" t="str">
        <f>IF(OR($B52="",$A52&lt;92),"",--MID('Key Analysis'!$C48,92,1))</f>
        <v/>
      </c>
      <c r="HW52" s="29" t="str">
        <f>IF(OR($B52="",$A52&lt;93),"",--MID('Key Analysis'!$C48,93,1))</f>
        <v/>
      </c>
      <c r="HX52" s="29" t="str">
        <f>IF(OR($B52="",$A52&lt;94),"",--MID('Key Analysis'!$C48,94,1))</f>
        <v/>
      </c>
      <c r="HY52" s="29" t="str">
        <f>IF(OR($B52="",$A52&lt;95),"",--MID('Key Analysis'!$C48,95,1))</f>
        <v/>
      </c>
      <c r="HZ52" s="29" t="str">
        <f>IF(OR($B52="",$A52&lt;96),"",--MID('Key Analysis'!$C48,96,1))</f>
        <v/>
      </c>
      <c r="IA52" s="29" t="str">
        <f>IF(OR($B52="",$A52&lt;97),"",--MID('Key Analysis'!$C48,97,1))</f>
        <v/>
      </c>
      <c r="IB52" s="29" t="str">
        <f>IF(OR($B52="",$A52&lt;98),"",--MID('Key Analysis'!$C48,98,1))</f>
        <v/>
      </c>
      <c r="IC52" s="29" t="str">
        <f>IF(OR($B52="",$A52&lt;99),"",--MID('Key Analysis'!$C48,99,1))</f>
        <v/>
      </c>
      <c r="ID52" s="29" t="str">
        <f>IF(OR($B52="",$A52&lt;100),"",--MID('Key Analysis'!$C48,100,1))</f>
        <v/>
      </c>
      <c r="IE52" s="29" t="str">
        <f>IF(OR($B52="",$A52&lt;101),"",--MID('Key Analysis'!$C48,101,1))</f>
        <v/>
      </c>
      <c r="IF52" s="29" t="str">
        <f>IF(OR($B52="",$A52&lt;102),"",--MID('Key Analysis'!$C48,102,1))</f>
        <v/>
      </c>
      <c r="IG52" s="29" t="str">
        <f>IF(OR($B52="",$A52&lt;103),"",--MID('Key Analysis'!$C48,103,1))</f>
        <v/>
      </c>
      <c r="IH52" s="29" t="str">
        <f>IF(OR($B52="",$A52&lt;104),"",--MID('Key Analysis'!$C48,104,1))</f>
        <v/>
      </c>
      <c r="II52" s="29" t="str">
        <f>IF(OR($B52="",$A52&lt;105),"",--MID('Key Analysis'!$C48,105,1))</f>
        <v/>
      </c>
      <c r="IJ52" s="29" t="str">
        <f>IF(OR($B52="",$A52&lt;106),"",--MID('Key Analysis'!$C48,106,1))</f>
        <v/>
      </c>
      <c r="IK52" s="29" t="str">
        <f>IF(OR($B52="",$A52&lt;107),"",--MID('Key Analysis'!$C48,107,1))</f>
        <v/>
      </c>
      <c r="IL52" s="29" t="str">
        <f>IF(OR($B52="",$A52&lt;108),"",--MID('Key Analysis'!$C48,108,1))</f>
        <v/>
      </c>
      <c r="IM52" s="29" t="str">
        <f>IF(OR($B52="",$A52&lt;109),"",--MID('Key Analysis'!$C48,109,1))</f>
        <v/>
      </c>
      <c r="IN52" s="29" t="str">
        <f>IF(OR($B52="",$A52&lt;110),"",--MID('Key Analysis'!$C48,110,1))</f>
        <v/>
      </c>
      <c r="IO52" s="29" t="str">
        <f>IF(OR($B52="",$A52&lt;111),"",--MID('Key Analysis'!$C48,111,1))</f>
        <v/>
      </c>
      <c r="IP52" s="29" t="str">
        <f>IF(OR($B52="",$A52&lt;112),"",--MID('Key Analysis'!$C48,112,1))</f>
        <v/>
      </c>
      <c r="IQ52" s="29" t="str">
        <f>IF(OR($B52="",$A52&lt;113),"",--MID('Key Analysis'!$C48,113,1))</f>
        <v/>
      </c>
      <c r="IR52" s="29" t="str">
        <f>IF(OR($B52="",$A52&lt;114),"",--MID('Key Analysis'!$C48,114,1))</f>
        <v/>
      </c>
      <c r="IS52" s="29" t="str">
        <f>IF(OR($B52="",$A52&lt;115),"",--MID('Key Analysis'!$C48,115,1))</f>
        <v/>
      </c>
      <c r="IT52" s="29" t="str">
        <f>IF(OR($B52="",$A52&lt;116),"",--MID('Key Analysis'!$C48,116,1))</f>
        <v/>
      </c>
      <c r="IU52" s="29" t="str">
        <f>IF(OR($B52="",$A52&lt;117),"",--MID('Key Analysis'!$C48,117,1))</f>
        <v/>
      </c>
      <c r="IV52" s="29" t="str">
        <f>IF(OR($B52="",$A52&lt;118),"",--MID('Key Analysis'!$C48,118,1))</f>
        <v/>
      </c>
      <c r="IW52" s="29" t="str">
        <f>IF(OR($B52="",$A52&lt;119),"",--MID('Key Analysis'!$C48,119,1))</f>
        <v/>
      </c>
      <c r="IX52" s="29" t="str">
        <f>IF(OR($B52="",$A52&lt;120),"",--MID('Key Analysis'!$C48,120,1))</f>
        <v/>
      </c>
      <c r="IY52" s="29" t="str">
        <f>IF(OR($B52="",$A52&lt;121),"",--MID('Key Analysis'!$C48,121,1))</f>
        <v/>
      </c>
      <c r="IZ52" s="29" t="str">
        <f>IF(OR($B52="",$A52&lt;122),"",--MID('Key Analysis'!$C48,122,1))</f>
        <v/>
      </c>
      <c r="JA52" s="29" t="str">
        <f>IF(OR($B52="",$A52&lt;123),"",--MID('Key Analysis'!$C48,123,1))</f>
        <v/>
      </c>
      <c r="JB52" s="29" t="str">
        <f>IF(OR($B52="",$A52&lt;124),"",--MID('Key Analysis'!$C48,124,1))</f>
        <v/>
      </c>
      <c r="JC52" s="29" t="str">
        <f>IF(OR($B52="",$A52&lt;125),"",--MID('Key Analysis'!$C48,125,1))</f>
        <v/>
      </c>
      <c r="JD52" s="29" t="str">
        <f>IF(OR($B52="",$A52&lt;126),"",--MID('Key Analysis'!$C48,126,1))</f>
        <v/>
      </c>
      <c r="JE52" s="29" t="str">
        <f>IF(OR($B52="",$A52&lt;127),"",--MID('Key Analysis'!$C48,127,1))</f>
        <v/>
      </c>
      <c r="JF52" s="29" t="str">
        <f>IF(OR($B52="",$A52&lt;128),"",--MID('Key Analysis'!$C48,128,1))</f>
        <v/>
      </c>
      <c r="JG52" s="29" t="str">
        <f>IF(OR($B52="",$A52&lt;129),"",--MID('Key Analysis'!$C48,129,1))</f>
        <v/>
      </c>
      <c r="JH52" s="29" t="str">
        <f>IF(OR($B52="",$A52&lt;130),"",--MID('Key Analysis'!$C48,130,1))</f>
        <v/>
      </c>
      <c r="JI52" s="29" t="str">
        <f>IF(OR($B52="",$A52&lt;131),"",--MID('Key Analysis'!$C48,131,1))</f>
        <v/>
      </c>
      <c r="JJ52" s="29" t="str">
        <f>IF(OR($B52="",$A52&lt;132),"",--MID('Key Analysis'!$C48,132,1))</f>
        <v/>
      </c>
      <c r="JK52" s="29" t="str">
        <f>IF(OR($B52="",$A52&lt;133),"",--MID('Key Analysis'!$C48,133,1))</f>
        <v/>
      </c>
      <c r="JL52" s="29" t="str">
        <f>IF(OR($B52="",$A52&lt;134),"",--MID('Key Analysis'!$C48,134,1))</f>
        <v/>
      </c>
      <c r="JM52" s="29" t="str">
        <f>IF(OR($B52="",$A52&lt;135),"",--MID('Key Analysis'!$C48,135,1))</f>
        <v/>
      </c>
    </row>
    <row r="53" spans="1:273" x14ac:dyDescent="0.25">
      <c r="A53" s="21">
        <f>'Key Analysis'!A49</f>
        <v>48</v>
      </c>
      <c r="B53" s="30" t="str">
        <f>'Key Analysis'!B49</f>
        <v>ade6d7ce3b9b</v>
      </c>
      <c r="C53" s="29">
        <f>IF(OR($B53="",$A53&lt;=0),"",--MID('Key Analysis'!$C49,$A53-0,1))</f>
        <v>1</v>
      </c>
      <c r="D53" s="29">
        <f>IF(OR($B53="",$A53&lt;=1),"",--MID('Key Analysis'!$C49,$A53-1,1))</f>
        <v>1</v>
      </c>
      <c r="E53" s="29">
        <f>IF(OR($B53="",$A53&lt;=2),"",--MID('Key Analysis'!$C49,$A53-2,1))</f>
        <v>0</v>
      </c>
      <c r="F53" s="29">
        <f>IF(OR($B53="",$A53&lt;=3),"",--MID('Key Analysis'!$C49,$A53-3,1))</f>
        <v>1</v>
      </c>
      <c r="G53" s="29">
        <f>IF(OR($B53="",$A53&lt;=4),"",--MID('Key Analysis'!$C49,$A53-4,1))</f>
        <v>1</v>
      </c>
      <c r="H53" s="29">
        <f>IF(OR($B53="",$A53&lt;=5),"",--MID('Key Analysis'!$C49,$A53-5,1))</f>
        <v>0</v>
      </c>
      <c r="I53" s="29">
        <f>IF(OR($B53="",$A53&lt;=6),"",--MID('Key Analysis'!$C49,$A53-6,1))</f>
        <v>0</v>
      </c>
      <c r="J53" s="29">
        <f>IF(OR($B53="",$A53&lt;=7),"",--MID('Key Analysis'!$C49,$A53-7,1))</f>
        <v>1</v>
      </c>
      <c r="K53" s="29">
        <f>IF(OR($B53="",$A53&lt;=8),"",--MID('Key Analysis'!$C49,$A53-8,1))</f>
        <v>1</v>
      </c>
      <c r="L53" s="29">
        <f>IF(OR($B53="",$A53&lt;=9),"",--MID('Key Analysis'!$C49,$A53-9,1))</f>
        <v>1</v>
      </c>
      <c r="M53" s="29">
        <f>IF(OR($B53="",$A53&lt;=10),"",--MID('Key Analysis'!$C49,$A53-10,1))</f>
        <v>0</v>
      </c>
      <c r="N53" s="29">
        <f>IF(OR($B53="",$A53&lt;=11),"",--MID('Key Analysis'!$C49,$A53-11,1))</f>
        <v>1</v>
      </c>
      <c r="O53" s="29">
        <f>IF(OR($B53="",$A53&lt;=12),"",--MID('Key Analysis'!$C49,$A53-12,1))</f>
        <v>1</v>
      </c>
      <c r="P53" s="29">
        <f>IF(OR($B53="",$A53&lt;=13),"",--MID('Key Analysis'!$C49,$A53-13,1))</f>
        <v>1</v>
      </c>
      <c r="Q53" s="29">
        <f>IF(OR($B53="",$A53&lt;=14),"",--MID('Key Analysis'!$C49,$A53-14,1))</f>
        <v>0</v>
      </c>
      <c r="R53" s="29">
        <f>IF(OR($B53="",$A53&lt;=15),"",--MID('Key Analysis'!$C49,$A53-15,1))</f>
        <v>0</v>
      </c>
      <c r="S53" s="29">
        <f>IF(OR($B53="",$A53&lt;=16),"",--MID('Key Analysis'!$C49,$A53-16,1))</f>
        <v>0</v>
      </c>
      <c r="T53" s="29">
        <f>IF(OR($B53="",$A53&lt;=17),"",--MID('Key Analysis'!$C49,$A53-17,1))</f>
        <v>1</v>
      </c>
      <c r="U53" s="29">
        <f>IF(OR($B53="",$A53&lt;=18),"",--MID('Key Analysis'!$C49,$A53-18,1))</f>
        <v>1</v>
      </c>
      <c r="V53" s="29">
        <f>IF(OR($B53="",$A53&lt;=19),"",--MID('Key Analysis'!$C49,$A53-19,1))</f>
        <v>1</v>
      </c>
      <c r="W53" s="29">
        <f>IF(OR($B53="",$A53&lt;=20),"",--MID('Key Analysis'!$C49,$A53-20,1))</f>
        <v>0</v>
      </c>
      <c r="X53" s="29">
        <f>IF(OR($B53="",$A53&lt;=21),"",--MID('Key Analysis'!$C49,$A53-21,1))</f>
        <v>0</v>
      </c>
      <c r="Y53" s="29">
        <f>IF(OR($B53="",$A53&lt;=22),"",--MID('Key Analysis'!$C49,$A53-22,1))</f>
        <v>1</v>
      </c>
      <c r="Z53" s="29">
        <f>IF(OR($B53="",$A53&lt;=23),"",--MID('Key Analysis'!$C49,$A53-23,1))</f>
        <v>1</v>
      </c>
      <c r="AA53" s="29">
        <f>IF(OR($B53="",$A53&lt;=24),"",--MID('Key Analysis'!$C49,$A53-24,1))</f>
        <v>1</v>
      </c>
      <c r="AB53" s="29">
        <f>IF(OR($B53="",$A53&lt;=25),"",--MID('Key Analysis'!$C49,$A53-25,1))</f>
        <v>1</v>
      </c>
      <c r="AC53" s="29">
        <f>IF(OR($B53="",$A53&lt;=26),"",--MID('Key Analysis'!$C49,$A53-26,1))</f>
        <v>1</v>
      </c>
      <c r="AD53" s="29">
        <f>IF(OR($B53="",$A53&lt;=27),"",--MID('Key Analysis'!$C49,$A53-27,1))</f>
        <v>0</v>
      </c>
      <c r="AE53" s="29">
        <f>IF(OR($B53="",$A53&lt;=28),"",--MID('Key Analysis'!$C49,$A53-28,1))</f>
        <v>1</v>
      </c>
      <c r="AF53" s="29">
        <f>IF(OR($B53="",$A53&lt;=29),"",--MID('Key Analysis'!$C49,$A53-29,1))</f>
        <v>0</v>
      </c>
      <c r="AG53" s="29">
        <f>IF(OR($B53="",$A53&lt;=30),"",--MID('Key Analysis'!$C49,$A53-30,1))</f>
        <v>1</v>
      </c>
      <c r="AH53" s="29">
        <f>IF(OR($B53="",$A53&lt;=31),"",--MID('Key Analysis'!$C49,$A53-31,1))</f>
        <v>1</v>
      </c>
      <c r="AI53" s="29">
        <f>IF(OR($B53="",$A53&lt;=32),"",--MID('Key Analysis'!$C49,$A53-32,1))</f>
        <v>0</v>
      </c>
      <c r="AJ53" s="29">
        <f>IF(OR($B53="",$A53&lt;=33),"",--MID('Key Analysis'!$C49,$A53-33,1))</f>
        <v>1</v>
      </c>
      <c r="AK53" s="29">
        <f>IF(OR($B53="",$A53&lt;=34),"",--MID('Key Analysis'!$C49,$A53-34,1))</f>
        <v>1</v>
      </c>
      <c r="AL53" s="29">
        <f>IF(OR($B53="",$A53&lt;=35),"",--MID('Key Analysis'!$C49,$A53-35,1))</f>
        <v>0</v>
      </c>
      <c r="AM53" s="29">
        <f>IF(OR($B53="",$A53&lt;=36),"",--MID('Key Analysis'!$C49,$A53-36,1))</f>
        <v>0</v>
      </c>
      <c r="AN53" s="29">
        <f>IF(OR($B53="",$A53&lt;=37),"",--MID('Key Analysis'!$C49,$A53-37,1))</f>
        <v>1</v>
      </c>
      <c r="AO53" s="29">
        <f>IF(OR($B53="",$A53&lt;=38),"",--MID('Key Analysis'!$C49,$A53-38,1))</f>
        <v>1</v>
      </c>
      <c r="AP53" s="29">
        <f>IF(OR($B53="",$A53&lt;=39),"",--MID('Key Analysis'!$C49,$A53-39,1))</f>
        <v>1</v>
      </c>
      <c r="AQ53" s="29">
        <f>IF(OR($B53="",$A53&lt;=40),"",--MID('Key Analysis'!$C49,$A53-40,1))</f>
        <v>1</v>
      </c>
      <c r="AR53" s="29">
        <f>IF(OR($B53="",$A53&lt;=41),"",--MID('Key Analysis'!$C49,$A53-41,1))</f>
        <v>0</v>
      </c>
      <c r="AS53" s="29">
        <f>IF(OR($B53="",$A53&lt;=42),"",--MID('Key Analysis'!$C49,$A53-42,1))</f>
        <v>1</v>
      </c>
      <c r="AT53" s="29">
        <f>IF(OR($B53="",$A53&lt;=43),"",--MID('Key Analysis'!$C49,$A53-43,1))</f>
        <v>1</v>
      </c>
      <c r="AU53" s="29">
        <f>IF(OR($B53="",$A53&lt;=44),"",--MID('Key Analysis'!$C49,$A53-44,1))</f>
        <v>0</v>
      </c>
      <c r="AV53" s="29">
        <f>IF(OR($B53="",$A53&lt;=45),"",--MID('Key Analysis'!$C49,$A53-45,1))</f>
        <v>1</v>
      </c>
      <c r="AW53" s="29">
        <f>IF(OR($B53="",$A53&lt;=46),"",--MID('Key Analysis'!$C49,$A53-46,1))</f>
        <v>0</v>
      </c>
      <c r="AX53" s="29">
        <f>IF(OR($B53="",$A53&lt;=47),"",--MID('Key Analysis'!$C49,$A53-47,1))</f>
        <v>1</v>
      </c>
      <c r="AY53" s="29" t="str">
        <f>IF(OR($B53="",$A53&lt;=48),"",--MID('Key Analysis'!$C49,$A53-48,1))</f>
        <v/>
      </c>
      <c r="AZ53" s="29" t="str">
        <f>IF(OR($B53="",$A53&lt;=49),"",--MID('Key Analysis'!$C49,$A53-49,1))</f>
        <v/>
      </c>
      <c r="BA53" s="29" t="str">
        <f>IF(OR($B53="",$A53&lt;=50),"",--MID('Key Analysis'!$C49,$A53-50,1))</f>
        <v/>
      </c>
      <c r="BB53" s="29" t="str">
        <f>IF(OR($B53="",$A53&lt;=51),"",--MID('Key Analysis'!$C49,$A53-51,1))</f>
        <v/>
      </c>
      <c r="BC53" s="29" t="str">
        <f>IF(OR($B53="",$A53&lt;=52),"",--MID('Key Analysis'!$C49,$A53-52,1))</f>
        <v/>
      </c>
      <c r="BD53" s="29" t="str">
        <f>IF(OR($B53="",$A53&lt;=53),"",--MID('Key Analysis'!$C49,$A53-53,1))</f>
        <v/>
      </c>
      <c r="BE53" s="29" t="str">
        <f>IF(OR($B53="",$A53&lt;=54),"",--MID('Key Analysis'!$C49,$A53-54,1))</f>
        <v/>
      </c>
      <c r="BF53" s="29" t="str">
        <f>IF(OR($B53="",$A53&lt;=55),"",--MID('Key Analysis'!$C49,$A53-55,1))</f>
        <v/>
      </c>
      <c r="BG53" s="29" t="str">
        <f>IF(OR($B53="",$A53&lt;=56),"",--MID('Key Analysis'!$C49,$A53-56,1))</f>
        <v/>
      </c>
      <c r="BH53" s="29" t="str">
        <f>IF(OR($B53="",$A53&lt;=57),"",--MID('Key Analysis'!$C49,$A53-57,1))</f>
        <v/>
      </c>
      <c r="BI53" s="29" t="str">
        <f>IF(OR($B53="",$A53&lt;=58),"",--MID('Key Analysis'!$C49,$A53-58,1))</f>
        <v/>
      </c>
      <c r="BJ53" s="29" t="str">
        <f>IF(OR($B53="",$A53&lt;=59),"",--MID('Key Analysis'!$C49,$A53-59,1))</f>
        <v/>
      </c>
      <c r="BK53" s="29" t="str">
        <f>IF(OR($B53="",$A53&lt;=60),"",--MID('Key Analysis'!$C49,$A53-60,1))</f>
        <v/>
      </c>
      <c r="BL53" s="29" t="str">
        <f>IF(OR($B53="",$A53&lt;=61),"",--MID('Key Analysis'!$C49,$A53-61,1))</f>
        <v/>
      </c>
      <c r="BM53" s="29" t="str">
        <f>IF(OR($B53="",$A53&lt;=62),"",--MID('Key Analysis'!$C49,$A53-62,1))</f>
        <v/>
      </c>
      <c r="BN53" s="29" t="str">
        <f>IF(OR($B53="",$A53&lt;=63),"",--MID('Key Analysis'!$C49,$A53-63,1))</f>
        <v/>
      </c>
      <c r="BO53" s="29" t="str">
        <f>IF(OR($B53="",$A53&lt;=64),"",--MID('Key Analysis'!$C49,$A53-64,1))</f>
        <v/>
      </c>
      <c r="BP53" s="29" t="str">
        <f>IF(OR($B53="",$A53&lt;=65),"",--MID('Key Analysis'!$C49,$A53-65,1))</f>
        <v/>
      </c>
      <c r="BQ53" s="29" t="str">
        <f>IF(OR($B53="",$A53&lt;=66),"",--MID('Key Analysis'!$C49,$A53-66,1))</f>
        <v/>
      </c>
      <c r="BR53" s="29" t="str">
        <f>IF(OR($B53="",$A53&lt;=67),"",--MID('Key Analysis'!$C49,$A53-67,1))</f>
        <v/>
      </c>
      <c r="BS53" s="29" t="str">
        <f>IF(OR($B53="",$A53&lt;=68),"",--MID('Key Analysis'!$C49,$A53-68,1))</f>
        <v/>
      </c>
      <c r="BT53" s="29" t="str">
        <f>IF(OR($B53="",$A53&lt;=69),"",--MID('Key Analysis'!$C49,$A53-69,1))</f>
        <v/>
      </c>
      <c r="BU53" s="29" t="str">
        <f>IF(OR($B53="",$A53&lt;=70),"",--MID('Key Analysis'!$C49,$A53-70,1))</f>
        <v/>
      </c>
      <c r="BV53" s="29" t="str">
        <f>IF(OR($B53="",$A53&lt;=71),"",--MID('Key Analysis'!$C49,$A53-71,1))</f>
        <v/>
      </c>
      <c r="BW53" s="29" t="str">
        <f>IF(OR($B53="",$A53&lt;=72),"",--MID('Key Analysis'!$C49,$A53-72,1))</f>
        <v/>
      </c>
      <c r="BX53" s="29" t="str">
        <f>IF(OR($B53="",$A53&lt;=73),"",--MID('Key Analysis'!$C49,$A53-73,1))</f>
        <v/>
      </c>
      <c r="BY53" s="29" t="str">
        <f>IF(OR($B53="",$A53&lt;=74),"",--MID('Key Analysis'!$C49,$A53-74,1))</f>
        <v/>
      </c>
      <c r="BZ53" s="29" t="str">
        <f>IF(OR($B53="",$A53&lt;=75),"",--MID('Key Analysis'!$C49,$A53-75,1))</f>
        <v/>
      </c>
      <c r="CA53" s="29" t="str">
        <f>IF(OR($B53="",$A53&lt;=76),"",--MID('Key Analysis'!$C49,$A53-76,1))</f>
        <v/>
      </c>
      <c r="CB53" s="29" t="str">
        <f>IF(OR($B53="",$A53&lt;=77),"",--MID('Key Analysis'!$C49,$A53-77,1))</f>
        <v/>
      </c>
      <c r="CC53" s="29" t="str">
        <f>IF(OR($B53="",$A53&lt;=78),"",--MID('Key Analysis'!$C49,$A53-78,1))</f>
        <v/>
      </c>
      <c r="CD53" s="29" t="str">
        <f>IF(OR($B53="",$A53&lt;=79),"",--MID('Key Analysis'!$C49,$A53-79,1))</f>
        <v/>
      </c>
      <c r="CE53" s="29" t="str">
        <f>IF(OR($B53="",$A53&lt;=80),"",--MID('Key Analysis'!$C49,$A53-80,1))</f>
        <v/>
      </c>
      <c r="CF53" s="29" t="str">
        <f>IF(OR($B53="",$A53&lt;=81),"",--MID('Key Analysis'!$C49,$A53-81,1))</f>
        <v/>
      </c>
      <c r="CG53" s="29" t="str">
        <f>IF(OR($B53="",$A53&lt;=82),"",--MID('Key Analysis'!$C49,$A53-82,1))</f>
        <v/>
      </c>
      <c r="CH53" s="29" t="str">
        <f>IF(OR($B53="",$A53&lt;=83),"",--MID('Key Analysis'!$C49,$A53-83,1))</f>
        <v/>
      </c>
      <c r="CI53" s="29" t="str">
        <f>IF(OR($B53="",$A53&lt;=84),"",--MID('Key Analysis'!$C49,$A53-84,1))</f>
        <v/>
      </c>
      <c r="CJ53" s="29" t="str">
        <f>IF(OR($B53="",$A53&lt;=85),"",--MID('Key Analysis'!$C49,$A53-85,1))</f>
        <v/>
      </c>
      <c r="CK53" s="29" t="str">
        <f>IF(OR($B53="",$A53&lt;=86),"",--MID('Key Analysis'!$C49,$A53-86,1))</f>
        <v/>
      </c>
      <c r="CL53" s="29" t="str">
        <f>IF(OR($B53="",$A53&lt;=87),"",--MID('Key Analysis'!$C49,$A53-87,1))</f>
        <v/>
      </c>
      <c r="CM53" s="29" t="str">
        <f>IF(OR($B53="",$A53&lt;=88),"",--MID('Key Analysis'!$C49,$A53-88,1))</f>
        <v/>
      </c>
      <c r="CN53" s="29" t="str">
        <f>IF(OR($B53="",$A53&lt;=89),"",--MID('Key Analysis'!$C49,$A53-89,1))</f>
        <v/>
      </c>
      <c r="CO53" s="29" t="str">
        <f>IF(OR($B53="",$A53&lt;=90),"",--MID('Key Analysis'!$C49,$A53-90,1))</f>
        <v/>
      </c>
      <c r="CP53" s="29" t="str">
        <f>IF(OR($B53="",$A53&lt;=91),"",--MID('Key Analysis'!$C49,$A53-91,1))</f>
        <v/>
      </c>
      <c r="CQ53" s="29" t="str">
        <f>IF(OR($B53="",$A53&lt;=92),"",--MID('Key Analysis'!$C49,$A53-92,1))</f>
        <v/>
      </c>
      <c r="CR53" s="29" t="str">
        <f>IF(OR($B53="",$A53&lt;=93),"",--MID('Key Analysis'!$C49,$A53-93,1))</f>
        <v/>
      </c>
      <c r="CS53" s="29" t="str">
        <f>IF(OR($B53="",$A53&lt;=94),"",--MID('Key Analysis'!$C49,$A53-94,1))</f>
        <v/>
      </c>
      <c r="CT53" s="29" t="str">
        <f>IF(OR($B53="",$A53&lt;=95),"",--MID('Key Analysis'!$C49,$A53-95,1))</f>
        <v/>
      </c>
      <c r="CU53" s="29" t="str">
        <f>IF(OR($B53="",$A53&lt;=96),"",--MID('Key Analysis'!$C49,$A53-96,1))</f>
        <v/>
      </c>
      <c r="CV53" s="29" t="str">
        <f>IF(OR($B53="",$A53&lt;=97),"",--MID('Key Analysis'!$C49,$A53-97,1))</f>
        <v/>
      </c>
      <c r="CW53" s="29" t="str">
        <f>IF(OR($B53="",$A53&lt;=98),"",--MID('Key Analysis'!$C49,$A53-98,1))</f>
        <v/>
      </c>
      <c r="CX53" s="29" t="str">
        <f>IF(OR($B53="",$A53&lt;=99),"",--MID('Key Analysis'!$C49,$A53-99,1))</f>
        <v/>
      </c>
      <c r="CY53" s="29" t="str">
        <f>IF(OR($B53="",$A53&lt;=100),"",--MID('Key Analysis'!$C49,$A53-100,1))</f>
        <v/>
      </c>
      <c r="CZ53" s="29" t="str">
        <f>IF(OR($B53="",$A53&lt;=101),"",--MID('Key Analysis'!$C49,$A53-101,1))</f>
        <v/>
      </c>
      <c r="DA53" s="29" t="str">
        <f>IF(OR($B53="",$A53&lt;=102),"",--MID('Key Analysis'!$C49,$A53-102,1))</f>
        <v/>
      </c>
      <c r="DB53" s="29" t="str">
        <f>IF(OR($B53="",$A53&lt;=103),"",--MID('Key Analysis'!$C49,$A53-103,1))</f>
        <v/>
      </c>
      <c r="DC53" s="29" t="str">
        <f>IF(OR($B53="",$A53&lt;=104),"",--MID('Key Analysis'!$C49,$A53-104,1))</f>
        <v/>
      </c>
      <c r="DD53" s="29" t="str">
        <f>IF(OR($B53="",$A53&lt;=105),"",--MID('Key Analysis'!$C49,$A53-105,1))</f>
        <v/>
      </c>
      <c r="DE53" s="29" t="str">
        <f>IF(OR($B53="",$A53&lt;=106),"",--MID('Key Analysis'!$C49,$A53-106,1))</f>
        <v/>
      </c>
      <c r="DF53" s="29" t="str">
        <f>IF(OR($B53="",$A53&lt;=107),"",--MID('Key Analysis'!$C49,$A53-107,1))</f>
        <v/>
      </c>
      <c r="DG53" s="29" t="str">
        <f>IF(OR($B53="",$A53&lt;=108),"",--MID('Key Analysis'!$C49,$A53-108,1))</f>
        <v/>
      </c>
      <c r="DH53" s="29" t="str">
        <f>IF(OR($B53="",$A53&lt;=109),"",--MID('Key Analysis'!$C49,$A53-109,1))</f>
        <v/>
      </c>
      <c r="DI53" s="29" t="str">
        <f>IF(OR($B53="",$A53&lt;=110),"",--MID('Key Analysis'!$C49,$A53-110,1))</f>
        <v/>
      </c>
      <c r="DJ53" s="29" t="str">
        <f>IF(OR($B53="",$A53&lt;=111),"",--MID('Key Analysis'!$C49,$A53-111,1))</f>
        <v/>
      </c>
      <c r="DK53" s="29" t="str">
        <f>IF(OR($B53="",$A53&lt;=112),"",--MID('Key Analysis'!$C49,$A53-112,1))</f>
        <v/>
      </c>
      <c r="DL53" s="29" t="str">
        <f>IF(OR($B53="",$A53&lt;=113),"",--MID('Key Analysis'!$C49,$A53-113,1))</f>
        <v/>
      </c>
      <c r="DM53" s="29" t="str">
        <f>IF(OR($B53="",$A53&lt;=114),"",--MID('Key Analysis'!$C49,$A53-114,1))</f>
        <v/>
      </c>
      <c r="DN53" s="29" t="str">
        <f>IF(OR($B53="",$A53&lt;=115),"",--MID('Key Analysis'!$C49,$A53-115,1))</f>
        <v/>
      </c>
      <c r="DO53" s="29" t="str">
        <f>IF(OR($B53="",$A53&lt;=116),"",--MID('Key Analysis'!$C49,$A53-116,1))</f>
        <v/>
      </c>
      <c r="DP53" s="29" t="str">
        <f>IF(OR($B53="",$A53&lt;=117),"",--MID('Key Analysis'!$C49,$A53-117,1))</f>
        <v/>
      </c>
      <c r="DQ53" s="29" t="str">
        <f>IF(OR($B53="",$A53&lt;=118),"",--MID('Key Analysis'!$C49,$A53-118,1))</f>
        <v/>
      </c>
      <c r="DR53" s="29" t="str">
        <f>IF(OR($B53="",$A53&lt;=119),"",--MID('Key Analysis'!$C49,$A53-119,1))</f>
        <v/>
      </c>
      <c r="DS53" s="29" t="str">
        <f>IF(OR($B53="",$A53&lt;=120),"",--MID('Key Analysis'!$C49,$A53-120,1))</f>
        <v/>
      </c>
      <c r="DT53" s="29" t="str">
        <f>IF(OR($B53="",$A53&lt;=121),"",--MID('Key Analysis'!$C49,$A53-121,1))</f>
        <v/>
      </c>
      <c r="DU53" s="29" t="str">
        <f>IF(OR($B53="",$A53&lt;=122),"",--MID('Key Analysis'!$C49,$A53-122,1))</f>
        <v/>
      </c>
      <c r="DV53" s="29" t="str">
        <f>IF(OR($B53="",$A53&lt;=123),"",--MID('Key Analysis'!$C49,$A53-123,1))</f>
        <v/>
      </c>
      <c r="DW53" s="29" t="str">
        <f>IF(OR($B53="",$A53&lt;=124),"",--MID('Key Analysis'!$C49,$A53-124,1))</f>
        <v/>
      </c>
      <c r="DX53" s="29" t="str">
        <f>IF(OR($B53="",$A53&lt;=125),"",--MID('Key Analysis'!$C49,$A53-125,1))</f>
        <v/>
      </c>
      <c r="DY53" s="29" t="str">
        <f>IF(OR($B53="",$A53&lt;=126),"",--MID('Key Analysis'!$C49,$A53-126,1))</f>
        <v/>
      </c>
      <c r="DZ53" s="29" t="str">
        <f>IF(OR($B53="",$A53&lt;=127),"",--MID('Key Analysis'!$C49,$A53-127,1))</f>
        <v/>
      </c>
      <c r="EA53" s="29" t="str">
        <f>IF(OR($B53="",$A53&lt;=128),"",--MID('Key Analysis'!$C49,$A53-128,1))</f>
        <v/>
      </c>
      <c r="EB53" s="29" t="str">
        <f>IF(OR($B53="",$A53&lt;=129),"",--MID('Key Analysis'!$C49,$A53-129,1))</f>
        <v/>
      </c>
      <c r="EC53" s="29" t="str">
        <f>IF(OR($B53="",$A53&lt;=130),"",--MID('Key Analysis'!$C49,$A53-130,1))</f>
        <v/>
      </c>
      <c r="ED53" s="29" t="str">
        <f>IF(OR($B53="",$A53&lt;=131),"",--MID('Key Analysis'!$C49,$A53-131,1))</f>
        <v/>
      </c>
      <c r="EE53" s="29" t="str">
        <f>IF(OR($B53="",$A53&lt;=132),"",--MID('Key Analysis'!$C49,$A53-132,1))</f>
        <v/>
      </c>
      <c r="EF53" s="29" t="str">
        <f>IF(OR($B53="",$A53&lt;=133),"",--MID('Key Analysis'!$C49,$A53-133,1))</f>
        <v/>
      </c>
      <c r="EG53" s="29" t="str">
        <f>IF(OR($B53="",$A53&lt;=134),"",--MID('Key Analysis'!$C49,$A53-134,1))</f>
        <v/>
      </c>
      <c r="EH53" s="29"/>
      <c r="EI53" s="29">
        <f>IF(OR($B53="",$A53&lt;1),"",--MID('Key Analysis'!$C49,1,1))</f>
        <v>1</v>
      </c>
      <c r="EJ53" s="29">
        <f>IF(OR($B53="",$A53&lt;2),"",--MID('Key Analysis'!$C49,2,1))</f>
        <v>0</v>
      </c>
      <c r="EK53" s="29">
        <f>IF(OR($B53="",$A53&lt;3),"",--MID('Key Analysis'!$C49,3,1))</f>
        <v>1</v>
      </c>
      <c r="EL53" s="29">
        <f>IF(OR($B53="",$A53&lt;4),"",--MID('Key Analysis'!$C49,4,1))</f>
        <v>0</v>
      </c>
      <c r="EM53" s="29">
        <f>IF(OR($B53="",$A53&lt;5),"",--MID('Key Analysis'!$C49,5,1))</f>
        <v>1</v>
      </c>
      <c r="EN53" s="29">
        <f>IF(OR($B53="",$A53&lt;6),"",--MID('Key Analysis'!$C49,6,1))</f>
        <v>1</v>
      </c>
      <c r="EO53" s="29">
        <f>IF(OR($B53="",$A53&lt;7),"",--MID('Key Analysis'!$C49,7,1))</f>
        <v>0</v>
      </c>
      <c r="EP53" s="29">
        <f>IF(OR($B53="",$A53&lt;8),"",--MID('Key Analysis'!$C49,8,1))</f>
        <v>1</v>
      </c>
      <c r="EQ53" s="29">
        <f>IF(OR($B53="",$A53&lt;9),"",--MID('Key Analysis'!$C49,9,1))</f>
        <v>1</v>
      </c>
      <c r="ER53" s="29">
        <f>IF(OR($B53="",$A53&lt;10),"",--MID('Key Analysis'!$C49,10,1))</f>
        <v>1</v>
      </c>
      <c r="ES53" s="29">
        <f>IF(OR($B53="",$A53&lt;11),"",--MID('Key Analysis'!$C49,11,1))</f>
        <v>1</v>
      </c>
      <c r="ET53" s="29">
        <f>IF(OR($B53="",$A53&lt;12),"",--MID('Key Analysis'!$C49,12,1))</f>
        <v>0</v>
      </c>
      <c r="EU53" s="29">
        <f>IF(OR($B53="",$A53&lt;13),"",--MID('Key Analysis'!$C49,13,1))</f>
        <v>0</v>
      </c>
      <c r="EV53" s="29">
        <f>IF(OR($B53="",$A53&lt;14),"",--MID('Key Analysis'!$C49,14,1))</f>
        <v>1</v>
      </c>
      <c r="EW53" s="29">
        <f>IF(OR($B53="",$A53&lt;15),"",--MID('Key Analysis'!$C49,15,1))</f>
        <v>1</v>
      </c>
      <c r="EX53" s="29">
        <f>IF(OR($B53="",$A53&lt;16),"",--MID('Key Analysis'!$C49,16,1))</f>
        <v>0</v>
      </c>
      <c r="EY53" s="29">
        <f>IF(OR($B53="",$A53&lt;17),"",--MID('Key Analysis'!$C49,17,1))</f>
        <v>1</v>
      </c>
      <c r="EZ53" s="29">
        <f>IF(OR($B53="",$A53&lt;18),"",--MID('Key Analysis'!$C49,18,1))</f>
        <v>1</v>
      </c>
      <c r="FA53" s="29">
        <f>IF(OR($B53="",$A53&lt;19),"",--MID('Key Analysis'!$C49,19,1))</f>
        <v>0</v>
      </c>
      <c r="FB53" s="29">
        <f>IF(OR($B53="",$A53&lt;20),"",--MID('Key Analysis'!$C49,20,1))</f>
        <v>1</v>
      </c>
      <c r="FC53" s="29">
        <f>IF(OR($B53="",$A53&lt;21),"",--MID('Key Analysis'!$C49,21,1))</f>
        <v>0</v>
      </c>
      <c r="FD53" s="29">
        <f>IF(OR($B53="",$A53&lt;22),"",--MID('Key Analysis'!$C49,22,1))</f>
        <v>1</v>
      </c>
      <c r="FE53" s="29">
        <f>IF(OR($B53="",$A53&lt;23),"",--MID('Key Analysis'!$C49,23,1))</f>
        <v>1</v>
      </c>
      <c r="FF53" s="29">
        <f>IF(OR($B53="",$A53&lt;24),"",--MID('Key Analysis'!$C49,24,1))</f>
        <v>1</v>
      </c>
      <c r="FG53" s="29">
        <f>IF(OR($B53="",$A53&lt;25),"",--MID('Key Analysis'!$C49,25,1))</f>
        <v>1</v>
      </c>
      <c r="FH53" s="29">
        <f>IF(OR($B53="",$A53&lt;26),"",--MID('Key Analysis'!$C49,26,1))</f>
        <v>1</v>
      </c>
      <c r="FI53" s="29">
        <f>IF(OR($B53="",$A53&lt;27),"",--MID('Key Analysis'!$C49,27,1))</f>
        <v>0</v>
      </c>
      <c r="FJ53" s="29">
        <f>IF(OR($B53="",$A53&lt;28),"",--MID('Key Analysis'!$C49,28,1))</f>
        <v>0</v>
      </c>
      <c r="FK53" s="29">
        <f>IF(OR($B53="",$A53&lt;29),"",--MID('Key Analysis'!$C49,29,1))</f>
        <v>1</v>
      </c>
      <c r="FL53" s="29">
        <f>IF(OR($B53="",$A53&lt;30),"",--MID('Key Analysis'!$C49,30,1))</f>
        <v>1</v>
      </c>
      <c r="FM53" s="29">
        <f>IF(OR($B53="",$A53&lt;31),"",--MID('Key Analysis'!$C49,31,1))</f>
        <v>1</v>
      </c>
      <c r="FN53" s="29">
        <f>IF(OR($B53="",$A53&lt;32),"",--MID('Key Analysis'!$C49,32,1))</f>
        <v>0</v>
      </c>
      <c r="FO53" s="29">
        <f>IF(OR($B53="",$A53&lt;33),"",--MID('Key Analysis'!$C49,33,1))</f>
        <v>0</v>
      </c>
      <c r="FP53" s="29">
        <f>IF(OR($B53="",$A53&lt;34),"",--MID('Key Analysis'!$C49,34,1))</f>
        <v>0</v>
      </c>
      <c r="FQ53" s="29">
        <f>IF(OR($B53="",$A53&lt;35),"",--MID('Key Analysis'!$C49,35,1))</f>
        <v>1</v>
      </c>
      <c r="FR53" s="29">
        <f>IF(OR($B53="",$A53&lt;36),"",--MID('Key Analysis'!$C49,36,1))</f>
        <v>1</v>
      </c>
      <c r="FS53" s="29">
        <f>IF(OR($B53="",$A53&lt;37),"",--MID('Key Analysis'!$C49,37,1))</f>
        <v>1</v>
      </c>
      <c r="FT53" s="29">
        <f>IF(OR($B53="",$A53&lt;38),"",--MID('Key Analysis'!$C49,38,1))</f>
        <v>0</v>
      </c>
      <c r="FU53" s="29">
        <f>IF(OR($B53="",$A53&lt;39),"",--MID('Key Analysis'!$C49,39,1))</f>
        <v>1</v>
      </c>
      <c r="FV53" s="29">
        <f>IF(OR($B53="",$A53&lt;40),"",--MID('Key Analysis'!$C49,40,1))</f>
        <v>1</v>
      </c>
      <c r="FW53" s="29">
        <f>IF(OR($B53="",$A53&lt;41),"",--MID('Key Analysis'!$C49,41,1))</f>
        <v>1</v>
      </c>
      <c r="FX53" s="29">
        <f>IF(OR($B53="",$A53&lt;42),"",--MID('Key Analysis'!$C49,42,1))</f>
        <v>0</v>
      </c>
      <c r="FY53" s="29">
        <f>IF(OR($B53="",$A53&lt;43),"",--MID('Key Analysis'!$C49,43,1))</f>
        <v>0</v>
      </c>
      <c r="FZ53" s="29">
        <f>IF(OR($B53="",$A53&lt;44),"",--MID('Key Analysis'!$C49,44,1))</f>
        <v>1</v>
      </c>
      <c r="GA53" s="29">
        <f>IF(OR($B53="",$A53&lt;45),"",--MID('Key Analysis'!$C49,45,1))</f>
        <v>1</v>
      </c>
      <c r="GB53" s="29">
        <f>IF(OR($B53="",$A53&lt;46),"",--MID('Key Analysis'!$C49,46,1))</f>
        <v>0</v>
      </c>
      <c r="GC53" s="29">
        <f>IF(OR($B53="",$A53&lt;47),"",--MID('Key Analysis'!$C49,47,1))</f>
        <v>1</v>
      </c>
      <c r="GD53" s="29">
        <f>IF(OR($B53="",$A53&lt;48),"",--MID('Key Analysis'!$C49,48,1))</f>
        <v>1</v>
      </c>
      <c r="GE53" s="29" t="str">
        <f>IF(OR($B53="",$A53&lt;49),"",--MID('Key Analysis'!$C49,49,1))</f>
        <v/>
      </c>
      <c r="GF53" s="29" t="str">
        <f>IF(OR($B53="",$A53&lt;50),"",--MID('Key Analysis'!$C49,50,1))</f>
        <v/>
      </c>
      <c r="GG53" s="29" t="str">
        <f>IF(OR($B53="",$A53&lt;51),"",--MID('Key Analysis'!$C49,51,1))</f>
        <v/>
      </c>
      <c r="GH53" s="29" t="str">
        <f>IF(OR($B53="",$A53&lt;52),"",--MID('Key Analysis'!$C49,52,1))</f>
        <v/>
      </c>
      <c r="GI53" s="29" t="str">
        <f>IF(OR($B53="",$A53&lt;53),"",--MID('Key Analysis'!$C49,53,1))</f>
        <v/>
      </c>
      <c r="GJ53" s="29" t="str">
        <f>IF(OR($B53="",$A53&lt;54),"",--MID('Key Analysis'!$C49,54,1))</f>
        <v/>
      </c>
      <c r="GK53" s="29" t="str">
        <f>IF(OR($B53="",$A53&lt;55),"",--MID('Key Analysis'!$C49,55,1))</f>
        <v/>
      </c>
      <c r="GL53" s="29" t="str">
        <f>IF(OR($B53="",$A53&lt;56),"",--MID('Key Analysis'!$C49,56,1))</f>
        <v/>
      </c>
      <c r="GM53" s="29" t="str">
        <f>IF(OR($B53="",$A53&lt;57),"",--MID('Key Analysis'!$C49,57,1))</f>
        <v/>
      </c>
      <c r="GN53" s="29" t="str">
        <f>IF(OR($B53="",$A53&lt;58),"",--MID('Key Analysis'!$C49,58,1))</f>
        <v/>
      </c>
      <c r="GO53" s="29" t="str">
        <f>IF(OR($B53="",$A53&lt;59),"",--MID('Key Analysis'!$C49,59,1))</f>
        <v/>
      </c>
      <c r="GP53" s="29" t="str">
        <f>IF(OR($B53="",$A53&lt;60),"",--MID('Key Analysis'!$C49,60,1))</f>
        <v/>
      </c>
      <c r="GQ53" s="29" t="str">
        <f>IF(OR($B53="",$A53&lt;61),"",--MID('Key Analysis'!$C49,61,1))</f>
        <v/>
      </c>
      <c r="GR53" s="29" t="str">
        <f>IF(OR($B53="",$A53&lt;62),"",--MID('Key Analysis'!$C49,62,1))</f>
        <v/>
      </c>
      <c r="GS53" s="29" t="str">
        <f>IF(OR($B53="",$A53&lt;63),"",--MID('Key Analysis'!$C49,63,1))</f>
        <v/>
      </c>
      <c r="GT53" s="29" t="str">
        <f>IF(OR($B53="",$A53&lt;64),"",--MID('Key Analysis'!$C49,64,1))</f>
        <v/>
      </c>
      <c r="GU53" s="29" t="str">
        <f>IF(OR($B53="",$A53&lt;65),"",--MID('Key Analysis'!$C49,65,1))</f>
        <v/>
      </c>
      <c r="GV53" s="29" t="str">
        <f>IF(OR($B53="",$A53&lt;66),"",--MID('Key Analysis'!$C49,66,1))</f>
        <v/>
      </c>
      <c r="GW53" s="29" t="str">
        <f>IF(OR($B53="",$A53&lt;67),"",--MID('Key Analysis'!$C49,67,1))</f>
        <v/>
      </c>
      <c r="GX53" s="29" t="str">
        <f>IF(OR($B53="",$A53&lt;68),"",--MID('Key Analysis'!$C49,68,1))</f>
        <v/>
      </c>
      <c r="GY53" s="29" t="str">
        <f>IF(OR($B53="",$A53&lt;69),"",--MID('Key Analysis'!$C49,69,1))</f>
        <v/>
      </c>
      <c r="GZ53" s="29" t="str">
        <f>IF(OR($B53="",$A53&lt;70),"",--MID('Key Analysis'!$C49,70,1))</f>
        <v/>
      </c>
      <c r="HA53" s="29" t="str">
        <f>IF(OR($B53="",$A53&lt;71),"",--MID('Key Analysis'!$C49,71,1))</f>
        <v/>
      </c>
      <c r="HB53" s="29" t="str">
        <f>IF(OR($B53="",$A53&lt;72),"",--MID('Key Analysis'!$C49,72,1))</f>
        <v/>
      </c>
      <c r="HC53" s="29" t="str">
        <f>IF(OR($B53="",$A53&lt;73),"",--MID('Key Analysis'!$C49,73,1))</f>
        <v/>
      </c>
      <c r="HD53" s="29" t="str">
        <f>IF(OR($B53="",$A53&lt;74),"",--MID('Key Analysis'!$C49,74,1))</f>
        <v/>
      </c>
      <c r="HE53" s="29" t="str">
        <f>IF(OR($B53="",$A53&lt;75),"",--MID('Key Analysis'!$C49,75,1))</f>
        <v/>
      </c>
      <c r="HF53" s="29" t="str">
        <f>IF(OR($B53="",$A53&lt;76),"",--MID('Key Analysis'!$C49,76,1))</f>
        <v/>
      </c>
      <c r="HG53" s="29" t="str">
        <f>IF(OR($B53="",$A53&lt;77),"",--MID('Key Analysis'!$C49,77,1))</f>
        <v/>
      </c>
      <c r="HH53" s="29" t="str">
        <f>IF(OR($B53="",$A53&lt;78),"",--MID('Key Analysis'!$C49,78,1))</f>
        <v/>
      </c>
      <c r="HI53" s="29" t="str">
        <f>IF(OR($B53="",$A53&lt;79),"",--MID('Key Analysis'!$C49,79,1))</f>
        <v/>
      </c>
      <c r="HJ53" s="29" t="str">
        <f>IF(OR($B53="",$A53&lt;80),"",--MID('Key Analysis'!$C49,80,1))</f>
        <v/>
      </c>
      <c r="HK53" s="29" t="str">
        <f>IF(OR($B53="",$A53&lt;81),"",--MID('Key Analysis'!$C49,81,1))</f>
        <v/>
      </c>
      <c r="HL53" s="29" t="str">
        <f>IF(OR($B53="",$A53&lt;82),"",--MID('Key Analysis'!$C49,82,1))</f>
        <v/>
      </c>
      <c r="HM53" s="29" t="str">
        <f>IF(OR($B53="",$A53&lt;83),"",--MID('Key Analysis'!$C49,83,1))</f>
        <v/>
      </c>
      <c r="HN53" s="29" t="str">
        <f>IF(OR($B53="",$A53&lt;84),"",--MID('Key Analysis'!$C49,84,1))</f>
        <v/>
      </c>
      <c r="HO53" s="29" t="str">
        <f>IF(OR($B53="",$A53&lt;85),"",--MID('Key Analysis'!$C49,85,1))</f>
        <v/>
      </c>
      <c r="HP53" s="29" t="str">
        <f>IF(OR($B53="",$A53&lt;86),"",--MID('Key Analysis'!$C49,86,1))</f>
        <v/>
      </c>
      <c r="HQ53" s="29" t="str">
        <f>IF(OR($B53="",$A53&lt;87),"",--MID('Key Analysis'!$C49,87,1))</f>
        <v/>
      </c>
      <c r="HR53" s="29" t="str">
        <f>IF(OR($B53="",$A53&lt;88),"",--MID('Key Analysis'!$C49,88,1))</f>
        <v/>
      </c>
      <c r="HS53" s="29" t="str">
        <f>IF(OR($B53="",$A53&lt;89),"",--MID('Key Analysis'!$C49,89,1))</f>
        <v/>
      </c>
      <c r="HT53" s="29" t="str">
        <f>IF(OR($B53="",$A53&lt;90),"",--MID('Key Analysis'!$C49,90,1))</f>
        <v/>
      </c>
      <c r="HU53" s="29" t="str">
        <f>IF(OR($B53="",$A53&lt;91),"",--MID('Key Analysis'!$C49,91,1))</f>
        <v/>
      </c>
      <c r="HV53" s="29" t="str">
        <f>IF(OR($B53="",$A53&lt;92),"",--MID('Key Analysis'!$C49,92,1))</f>
        <v/>
      </c>
      <c r="HW53" s="29" t="str">
        <f>IF(OR($B53="",$A53&lt;93),"",--MID('Key Analysis'!$C49,93,1))</f>
        <v/>
      </c>
      <c r="HX53" s="29" t="str">
        <f>IF(OR($B53="",$A53&lt;94),"",--MID('Key Analysis'!$C49,94,1))</f>
        <v/>
      </c>
      <c r="HY53" s="29" t="str">
        <f>IF(OR($B53="",$A53&lt;95),"",--MID('Key Analysis'!$C49,95,1))</f>
        <v/>
      </c>
      <c r="HZ53" s="29" t="str">
        <f>IF(OR($B53="",$A53&lt;96),"",--MID('Key Analysis'!$C49,96,1))</f>
        <v/>
      </c>
      <c r="IA53" s="29" t="str">
        <f>IF(OR($B53="",$A53&lt;97),"",--MID('Key Analysis'!$C49,97,1))</f>
        <v/>
      </c>
      <c r="IB53" s="29" t="str">
        <f>IF(OR($B53="",$A53&lt;98),"",--MID('Key Analysis'!$C49,98,1))</f>
        <v/>
      </c>
      <c r="IC53" s="29" t="str">
        <f>IF(OR($B53="",$A53&lt;99),"",--MID('Key Analysis'!$C49,99,1))</f>
        <v/>
      </c>
      <c r="ID53" s="29" t="str">
        <f>IF(OR($B53="",$A53&lt;100),"",--MID('Key Analysis'!$C49,100,1))</f>
        <v/>
      </c>
      <c r="IE53" s="29" t="str">
        <f>IF(OR($B53="",$A53&lt;101),"",--MID('Key Analysis'!$C49,101,1))</f>
        <v/>
      </c>
      <c r="IF53" s="29" t="str">
        <f>IF(OR($B53="",$A53&lt;102),"",--MID('Key Analysis'!$C49,102,1))</f>
        <v/>
      </c>
      <c r="IG53" s="29" t="str">
        <f>IF(OR($B53="",$A53&lt;103),"",--MID('Key Analysis'!$C49,103,1))</f>
        <v/>
      </c>
      <c r="IH53" s="29" t="str">
        <f>IF(OR($B53="",$A53&lt;104),"",--MID('Key Analysis'!$C49,104,1))</f>
        <v/>
      </c>
      <c r="II53" s="29" t="str">
        <f>IF(OR($B53="",$A53&lt;105),"",--MID('Key Analysis'!$C49,105,1))</f>
        <v/>
      </c>
      <c r="IJ53" s="29" t="str">
        <f>IF(OR($B53="",$A53&lt;106),"",--MID('Key Analysis'!$C49,106,1))</f>
        <v/>
      </c>
      <c r="IK53" s="29" t="str">
        <f>IF(OR($B53="",$A53&lt;107),"",--MID('Key Analysis'!$C49,107,1))</f>
        <v/>
      </c>
      <c r="IL53" s="29" t="str">
        <f>IF(OR($B53="",$A53&lt;108),"",--MID('Key Analysis'!$C49,108,1))</f>
        <v/>
      </c>
      <c r="IM53" s="29" t="str">
        <f>IF(OR($B53="",$A53&lt;109),"",--MID('Key Analysis'!$C49,109,1))</f>
        <v/>
      </c>
      <c r="IN53" s="29" t="str">
        <f>IF(OR($B53="",$A53&lt;110),"",--MID('Key Analysis'!$C49,110,1))</f>
        <v/>
      </c>
      <c r="IO53" s="29" t="str">
        <f>IF(OR($B53="",$A53&lt;111),"",--MID('Key Analysis'!$C49,111,1))</f>
        <v/>
      </c>
      <c r="IP53" s="29" t="str">
        <f>IF(OR($B53="",$A53&lt;112),"",--MID('Key Analysis'!$C49,112,1))</f>
        <v/>
      </c>
      <c r="IQ53" s="29" t="str">
        <f>IF(OR($B53="",$A53&lt;113),"",--MID('Key Analysis'!$C49,113,1))</f>
        <v/>
      </c>
      <c r="IR53" s="29" t="str">
        <f>IF(OR($B53="",$A53&lt;114),"",--MID('Key Analysis'!$C49,114,1))</f>
        <v/>
      </c>
      <c r="IS53" s="29" t="str">
        <f>IF(OR($B53="",$A53&lt;115),"",--MID('Key Analysis'!$C49,115,1))</f>
        <v/>
      </c>
      <c r="IT53" s="29" t="str">
        <f>IF(OR($B53="",$A53&lt;116),"",--MID('Key Analysis'!$C49,116,1))</f>
        <v/>
      </c>
      <c r="IU53" s="29" t="str">
        <f>IF(OR($B53="",$A53&lt;117),"",--MID('Key Analysis'!$C49,117,1))</f>
        <v/>
      </c>
      <c r="IV53" s="29" t="str">
        <f>IF(OR($B53="",$A53&lt;118),"",--MID('Key Analysis'!$C49,118,1))</f>
        <v/>
      </c>
      <c r="IW53" s="29" t="str">
        <f>IF(OR($B53="",$A53&lt;119),"",--MID('Key Analysis'!$C49,119,1))</f>
        <v/>
      </c>
      <c r="IX53" s="29" t="str">
        <f>IF(OR($B53="",$A53&lt;120),"",--MID('Key Analysis'!$C49,120,1))</f>
        <v/>
      </c>
      <c r="IY53" s="29" t="str">
        <f>IF(OR($B53="",$A53&lt;121),"",--MID('Key Analysis'!$C49,121,1))</f>
        <v/>
      </c>
      <c r="IZ53" s="29" t="str">
        <f>IF(OR($B53="",$A53&lt;122),"",--MID('Key Analysis'!$C49,122,1))</f>
        <v/>
      </c>
      <c r="JA53" s="29" t="str">
        <f>IF(OR($B53="",$A53&lt;123),"",--MID('Key Analysis'!$C49,123,1))</f>
        <v/>
      </c>
      <c r="JB53" s="29" t="str">
        <f>IF(OR($B53="",$A53&lt;124),"",--MID('Key Analysis'!$C49,124,1))</f>
        <v/>
      </c>
      <c r="JC53" s="29" t="str">
        <f>IF(OR($B53="",$A53&lt;125),"",--MID('Key Analysis'!$C49,125,1))</f>
        <v/>
      </c>
      <c r="JD53" s="29" t="str">
        <f>IF(OR($B53="",$A53&lt;126),"",--MID('Key Analysis'!$C49,126,1))</f>
        <v/>
      </c>
      <c r="JE53" s="29" t="str">
        <f>IF(OR($B53="",$A53&lt;127),"",--MID('Key Analysis'!$C49,127,1))</f>
        <v/>
      </c>
      <c r="JF53" s="29" t="str">
        <f>IF(OR($B53="",$A53&lt;128),"",--MID('Key Analysis'!$C49,128,1))</f>
        <v/>
      </c>
      <c r="JG53" s="29" t="str">
        <f>IF(OR($B53="",$A53&lt;129),"",--MID('Key Analysis'!$C49,129,1))</f>
        <v/>
      </c>
      <c r="JH53" s="29" t="str">
        <f>IF(OR($B53="",$A53&lt;130),"",--MID('Key Analysis'!$C49,130,1))</f>
        <v/>
      </c>
      <c r="JI53" s="29" t="str">
        <f>IF(OR($B53="",$A53&lt;131),"",--MID('Key Analysis'!$C49,131,1))</f>
        <v/>
      </c>
      <c r="JJ53" s="29" t="str">
        <f>IF(OR($B53="",$A53&lt;132),"",--MID('Key Analysis'!$C49,132,1))</f>
        <v/>
      </c>
      <c r="JK53" s="29" t="str">
        <f>IF(OR($B53="",$A53&lt;133),"",--MID('Key Analysis'!$C49,133,1))</f>
        <v/>
      </c>
      <c r="JL53" s="29" t="str">
        <f>IF(OR($B53="",$A53&lt;134),"",--MID('Key Analysis'!$C49,134,1))</f>
        <v/>
      </c>
      <c r="JM53" s="29" t="str">
        <f>IF(OR($B53="",$A53&lt;135),"",--MID('Key Analysis'!$C49,135,1))</f>
        <v/>
      </c>
    </row>
    <row r="54" spans="1:273" x14ac:dyDescent="0.25">
      <c r="A54" s="21">
        <f>'Key Analysis'!A50</f>
        <v>49</v>
      </c>
      <c r="B54" s="30" t="str">
        <f>'Key Analysis'!B50</f>
        <v>174176b015f4d</v>
      </c>
      <c r="C54" s="29">
        <f>IF(OR($B54="",$A54&lt;=0),"",--MID('Key Analysis'!$C50,$A54-0,1))</f>
        <v>1</v>
      </c>
      <c r="D54" s="29">
        <f>IF(OR($B54="",$A54&lt;=1),"",--MID('Key Analysis'!$C50,$A54-1,1))</f>
        <v>0</v>
      </c>
      <c r="E54" s="29">
        <f>IF(OR($B54="",$A54&lt;=2),"",--MID('Key Analysis'!$C50,$A54-2,1))</f>
        <v>1</v>
      </c>
      <c r="F54" s="29">
        <f>IF(OR($B54="",$A54&lt;=3),"",--MID('Key Analysis'!$C50,$A54-3,1))</f>
        <v>1</v>
      </c>
      <c r="G54" s="29">
        <f>IF(OR($B54="",$A54&lt;=4),"",--MID('Key Analysis'!$C50,$A54-4,1))</f>
        <v>0</v>
      </c>
      <c r="H54" s="29">
        <f>IF(OR($B54="",$A54&lt;=5),"",--MID('Key Analysis'!$C50,$A54-5,1))</f>
        <v>0</v>
      </c>
      <c r="I54" s="29">
        <f>IF(OR($B54="",$A54&lt;=6),"",--MID('Key Analysis'!$C50,$A54-6,1))</f>
        <v>1</v>
      </c>
      <c r="J54" s="29">
        <f>IF(OR($B54="",$A54&lt;=7),"",--MID('Key Analysis'!$C50,$A54-7,1))</f>
        <v>0</v>
      </c>
      <c r="K54" s="29">
        <f>IF(OR($B54="",$A54&lt;=8),"",--MID('Key Analysis'!$C50,$A54-8,1))</f>
        <v>1</v>
      </c>
      <c r="L54" s="29">
        <f>IF(OR($B54="",$A54&lt;=9),"",--MID('Key Analysis'!$C50,$A54-9,1))</f>
        <v>1</v>
      </c>
      <c r="M54" s="29">
        <f>IF(OR($B54="",$A54&lt;=10),"",--MID('Key Analysis'!$C50,$A54-10,1))</f>
        <v>1</v>
      </c>
      <c r="N54" s="29">
        <f>IF(OR($B54="",$A54&lt;=11),"",--MID('Key Analysis'!$C50,$A54-11,1))</f>
        <v>1</v>
      </c>
      <c r="O54" s="29">
        <f>IF(OR($B54="",$A54&lt;=12),"",--MID('Key Analysis'!$C50,$A54-12,1))</f>
        <v>1</v>
      </c>
      <c r="P54" s="29">
        <f>IF(OR($B54="",$A54&lt;=13),"",--MID('Key Analysis'!$C50,$A54-13,1))</f>
        <v>0</v>
      </c>
      <c r="Q54" s="29">
        <f>IF(OR($B54="",$A54&lt;=14),"",--MID('Key Analysis'!$C50,$A54-14,1))</f>
        <v>1</v>
      </c>
      <c r="R54" s="29">
        <f>IF(OR($B54="",$A54&lt;=15),"",--MID('Key Analysis'!$C50,$A54-15,1))</f>
        <v>0</v>
      </c>
      <c r="S54" s="29">
        <f>IF(OR($B54="",$A54&lt;=16),"",--MID('Key Analysis'!$C50,$A54-16,1))</f>
        <v>1</v>
      </c>
      <c r="T54" s="29">
        <f>IF(OR($B54="",$A54&lt;=17),"",--MID('Key Analysis'!$C50,$A54-17,1))</f>
        <v>0</v>
      </c>
      <c r="U54" s="29">
        <f>IF(OR($B54="",$A54&lt;=18),"",--MID('Key Analysis'!$C50,$A54-18,1))</f>
        <v>0</v>
      </c>
      <c r="V54" s="29">
        <f>IF(OR($B54="",$A54&lt;=19),"",--MID('Key Analysis'!$C50,$A54-19,1))</f>
        <v>0</v>
      </c>
      <c r="W54" s="29">
        <f>IF(OR($B54="",$A54&lt;=20),"",--MID('Key Analysis'!$C50,$A54-20,1))</f>
        <v>0</v>
      </c>
      <c r="X54" s="29">
        <f>IF(OR($B54="",$A54&lt;=21),"",--MID('Key Analysis'!$C50,$A54-21,1))</f>
        <v>0</v>
      </c>
      <c r="Y54" s="29">
        <f>IF(OR($B54="",$A54&lt;=22),"",--MID('Key Analysis'!$C50,$A54-22,1))</f>
        <v>0</v>
      </c>
      <c r="Z54" s="29">
        <f>IF(OR($B54="",$A54&lt;=23),"",--MID('Key Analysis'!$C50,$A54-23,1))</f>
        <v>0</v>
      </c>
      <c r="AA54" s="29">
        <f>IF(OR($B54="",$A54&lt;=24),"",--MID('Key Analysis'!$C50,$A54-24,1))</f>
        <v>1</v>
      </c>
      <c r="AB54" s="29">
        <f>IF(OR($B54="",$A54&lt;=25),"",--MID('Key Analysis'!$C50,$A54-25,1))</f>
        <v>1</v>
      </c>
      <c r="AC54" s="29">
        <f>IF(OR($B54="",$A54&lt;=26),"",--MID('Key Analysis'!$C50,$A54-26,1))</f>
        <v>0</v>
      </c>
      <c r="AD54" s="29">
        <f>IF(OR($B54="",$A54&lt;=27),"",--MID('Key Analysis'!$C50,$A54-27,1))</f>
        <v>1</v>
      </c>
      <c r="AE54" s="29">
        <f>IF(OR($B54="",$A54&lt;=28),"",--MID('Key Analysis'!$C50,$A54-28,1))</f>
        <v>0</v>
      </c>
      <c r="AF54" s="29">
        <f>IF(OR($B54="",$A54&lt;=29),"",--MID('Key Analysis'!$C50,$A54-29,1))</f>
        <v>1</v>
      </c>
      <c r="AG54" s="29">
        <f>IF(OR($B54="",$A54&lt;=30),"",--MID('Key Analysis'!$C50,$A54-30,1))</f>
        <v>1</v>
      </c>
      <c r="AH54" s="29">
        <f>IF(OR($B54="",$A54&lt;=31),"",--MID('Key Analysis'!$C50,$A54-31,1))</f>
        <v>0</v>
      </c>
      <c r="AI54" s="29">
        <f>IF(OR($B54="",$A54&lt;=32),"",--MID('Key Analysis'!$C50,$A54-32,1))</f>
        <v>1</v>
      </c>
      <c r="AJ54" s="29">
        <f>IF(OR($B54="",$A54&lt;=33),"",--MID('Key Analysis'!$C50,$A54-33,1))</f>
        <v>1</v>
      </c>
      <c r="AK54" s="29">
        <f>IF(OR($B54="",$A54&lt;=34),"",--MID('Key Analysis'!$C50,$A54-34,1))</f>
        <v>1</v>
      </c>
      <c r="AL54" s="29">
        <f>IF(OR($B54="",$A54&lt;=35),"",--MID('Key Analysis'!$C50,$A54-35,1))</f>
        <v>0</v>
      </c>
      <c r="AM54" s="29">
        <f>IF(OR($B54="",$A54&lt;=36),"",--MID('Key Analysis'!$C50,$A54-36,1))</f>
        <v>1</v>
      </c>
      <c r="AN54" s="29">
        <f>IF(OR($B54="",$A54&lt;=37),"",--MID('Key Analysis'!$C50,$A54-37,1))</f>
        <v>0</v>
      </c>
      <c r="AO54" s="29">
        <f>IF(OR($B54="",$A54&lt;=38),"",--MID('Key Analysis'!$C50,$A54-38,1))</f>
        <v>0</v>
      </c>
      <c r="AP54" s="29">
        <f>IF(OR($B54="",$A54&lt;=39),"",--MID('Key Analysis'!$C50,$A54-39,1))</f>
        <v>0</v>
      </c>
      <c r="AQ54" s="29">
        <f>IF(OR($B54="",$A54&lt;=40),"",--MID('Key Analysis'!$C50,$A54-40,1))</f>
        <v>0</v>
      </c>
      <c r="AR54" s="29">
        <f>IF(OR($B54="",$A54&lt;=41),"",--MID('Key Analysis'!$C50,$A54-41,1))</f>
        <v>0</v>
      </c>
      <c r="AS54" s="29">
        <f>IF(OR($B54="",$A54&lt;=42),"",--MID('Key Analysis'!$C50,$A54-42,1))</f>
        <v>1</v>
      </c>
      <c r="AT54" s="29">
        <f>IF(OR($B54="",$A54&lt;=43),"",--MID('Key Analysis'!$C50,$A54-43,1))</f>
        <v>0</v>
      </c>
      <c r="AU54" s="29">
        <f>IF(OR($B54="",$A54&lt;=44),"",--MID('Key Analysis'!$C50,$A54-44,1))</f>
        <v>1</v>
      </c>
      <c r="AV54" s="29">
        <f>IF(OR($B54="",$A54&lt;=45),"",--MID('Key Analysis'!$C50,$A54-45,1))</f>
        <v>1</v>
      </c>
      <c r="AW54" s="29">
        <f>IF(OR($B54="",$A54&lt;=46),"",--MID('Key Analysis'!$C50,$A54-46,1))</f>
        <v>1</v>
      </c>
      <c r="AX54" s="29">
        <f>IF(OR($B54="",$A54&lt;=47),"",--MID('Key Analysis'!$C50,$A54-47,1))</f>
        <v>0</v>
      </c>
      <c r="AY54" s="29">
        <f>IF(OR($B54="",$A54&lt;=48),"",--MID('Key Analysis'!$C50,$A54-48,1))</f>
        <v>1</v>
      </c>
      <c r="AZ54" s="29" t="str">
        <f>IF(OR($B54="",$A54&lt;=49),"",--MID('Key Analysis'!$C50,$A54-49,1))</f>
        <v/>
      </c>
      <c r="BA54" s="29" t="str">
        <f>IF(OR($B54="",$A54&lt;=50),"",--MID('Key Analysis'!$C50,$A54-50,1))</f>
        <v/>
      </c>
      <c r="BB54" s="29" t="str">
        <f>IF(OR($B54="",$A54&lt;=51),"",--MID('Key Analysis'!$C50,$A54-51,1))</f>
        <v/>
      </c>
      <c r="BC54" s="29" t="str">
        <f>IF(OR($B54="",$A54&lt;=52),"",--MID('Key Analysis'!$C50,$A54-52,1))</f>
        <v/>
      </c>
      <c r="BD54" s="29" t="str">
        <f>IF(OR($B54="",$A54&lt;=53),"",--MID('Key Analysis'!$C50,$A54-53,1))</f>
        <v/>
      </c>
      <c r="BE54" s="29" t="str">
        <f>IF(OR($B54="",$A54&lt;=54),"",--MID('Key Analysis'!$C50,$A54-54,1))</f>
        <v/>
      </c>
      <c r="BF54" s="29" t="str">
        <f>IF(OR($B54="",$A54&lt;=55),"",--MID('Key Analysis'!$C50,$A54-55,1))</f>
        <v/>
      </c>
      <c r="BG54" s="29" t="str">
        <f>IF(OR($B54="",$A54&lt;=56),"",--MID('Key Analysis'!$C50,$A54-56,1))</f>
        <v/>
      </c>
      <c r="BH54" s="29" t="str">
        <f>IF(OR($B54="",$A54&lt;=57),"",--MID('Key Analysis'!$C50,$A54-57,1))</f>
        <v/>
      </c>
      <c r="BI54" s="29" t="str">
        <f>IF(OR($B54="",$A54&lt;=58),"",--MID('Key Analysis'!$C50,$A54-58,1))</f>
        <v/>
      </c>
      <c r="BJ54" s="29" t="str">
        <f>IF(OR($B54="",$A54&lt;=59),"",--MID('Key Analysis'!$C50,$A54-59,1))</f>
        <v/>
      </c>
      <c r="BK54" s="29" t="str">
        <f>IF(OR($B54="",$A54&lt;=60),"",--MID('Key Analysis'!$C50,$A54-60,1))</f>
        <v/>
      </c>
      <c r="BL54" s="29" t="str">
        <f>IF(OR($B54="",$A54&lt;=61),"",--MID('Key Analysis'!$C50,$A54-61,1))</f>
        <v/>
      </c>
      <c r="BM54" s="29" t="str">
        <f>IF(OR($B54="",$A54&lt;=62),"",--MID('Key Analysis'!$C50,$A54-62,1))</f>
        <v/>
      </c>
      <c r="BN54" s="29" t="str">
        <f>IF(OR($B54="",$A54&lt;=63),"",--MID('Key Analysis'!$C50,$A54-63,1))</f>
        <v/>
      </c>
      <c r="BO54" s="29" t="str">
        <f>IF(OR($B54="",$A54&lt;=64),"",--MID('Key Analysis'!$C50,$A54-64,1))</f>
        <v/>
      </c>
      <c r="BP54" s="29" t="str">
        <f>IF(OR($B54="",$A54&lt;=65),"",--MID('Key Analysis'!$C50,$A54-65,1))</f>
        <v/>
      </c>
      <c r="BQ54" s="29" t="str">
        <f>IF(OR($B54="",$A54&lt;=66),"",--MID('Key Analysis'!$C50,$A54-66,1))</f>
        <v/>
      </c>
      <c r="BR54" s="29" t="str">
        <f>IF(OR($B54="",$A54&lt;=67),"",--MID('Key Analysis'!$C50,$A54-67,1))</f>
        <v/>
      </c>
      <c r="BS54" s="29" t="str">
        <f>IF(OR($B54="",$A54&lt;=68),"",--MID('Key Analysis'!$C50,$A54-68,1))</f>
        <v/>
      </c>
      <c r="BT54" s="29" t="str">
        <f>IF(OR($B54="",$A54&lt;=69),"",--MID('Key Analysis'!$C50,$A54-69,1))</f>
        <v/>
      </c>
      <c r="BU54" s="29" t="str">
        <f>IF(OR($B54="",$A54&lt;=70),"",--MID('Key Analysis'!$C50,$A54-70,1))</f>
        <v/>
      </c>
      <c r="BV54" s="29" t="str">
        <f>IF(OR($B54="",$A54&lt;=71),"",--MID('Key Analysis'!$C50,$A54-71,1))</f>
        <v/>
      </c>
      <c r="BW54" s="29" t="str">
        <f>IF(OR($B54="",$A54&lt;=72),"",--MID('Key Analysis'!$C50,$A54-72,1))</f>
        <v/>
      </c>
      <c r="BX54" s="29" t="str">
        <f>IF(OR($B54="",$A54&lt;=73),"",--MID('Key Analysis'!$C50,$A54-73,1))</f>
        <v/>
      </c>
      <c r="BY54" s="29" t="str">
        <f>IF(OR($B54="",$A54&lt;=74),"",--MID('Key Analysis'!$C50,$A54-74,1))</f>
        <v/>
      </c>
      <c r="BZ54" s="29" t="str">
        <f>IF(OR($B54="",$A54&lt;=75),"",--MID('Key Analysis'!$C50,$A54-75,1))</f>
        <v/>
      </c>
      <c r="CA54" s="29" t="str">
        <f>IF(OR($B54="",$A54&lt;=76),"",--MID('Key Analysis'!$C50,$A54-76,1))</f>
        <v/>
      </c>
      <c r="CB54" s="29" t="str">
        <f>IF(OR($B54="",$A54&lt;=77),"",--MID('Key Analysis'!$C50,$A54-77,1))</f>
        <v/>
      </c>
      <c r="CC54" s="29" t="str">
        <f>IF(OR($B54="",$A54&lt;=78),"",--MID('Key Analysis'!$C50,$A54-78,1))</f>
        <v/>
      </c>
      <c r="CD54" s="29" t="str">
        <f>IF(OR($B54="",$A54&lt;=79),"",--MID('Key Analysis'!$C50,$A54-79,1))</f>
        <v/>
      </c>
      <c r="CE54" s="29" t="str">
        <f>IF(OR($B54="",$A54&lt;=80),"",--MID('Key Analysis'!$C50,$A54-80,1))</f>
        <v/>
      </c>
      <c r="CF54" s="29" t="str">
        <f>IF(OR($B54="",$A54&lt;=81),"",--MID('Key Analysis'!$C50,$A54-81,1))</f>
        <v/>
      </c>
      <c r="CG54" s="29" t="str">
        <f>IF(OR($B54="",$A54&lt;=82),"",--MID('Key Analysis'!$C50,$A54-82,1))</f>
        <v/>
      </c>
      <c r="CH54" s="29" t="str">
        <f>IF(OR($B54="",$A54&lt;=83),"",--MID('Key Analysis'!$C50,$A54-83,1))</f>
        <v/>
      </c>
      <c r="CI54" s="29" t="str">
        <f>IF(OR($B54="",$A54&lt;=84),"",--MID('Key Analysis'!$C50,$A54-84,1))</f>
        <v/>
      </c>
      <c r="CJ54" s="29" t="str">
        <f>IF(OR($B54="",$A54&lt;=85),"",--MID('Key Analysis'!$C50,$A54-85,1))</f>
        <v/>
      </c>
      <c r="CK54" s="29" t="str">
        <f>IF(OR($B54="",$A54&lt;=86),"",--MID('Key Analysis'!$C50,$A54-86,1))</f>
        <v/>
      </c>
      <c r="CL54" s="29" t="str">
        <f>IF(OR($B54="",$A54&lt;=87),"",--MID('Key Analysis'!$C50,$A54-87,1))</f>
        <v/>
      </c>
      <c r="CM54" s="29" t="str">
        <f>IF(OR($B54="",$A54&lt;=88),"",--MID('Key Analysis'!$C50,$A54-88,1))</f>
        <v/>
      </c>
      <c r="CN54" s="29" t="str">
        <f>IF(OR($B54="",$A54&lt;=89),"",--MID('Key Analysis'!$C50,$A54-89,1))</f>
        <v/>
      </c>
      <c r="CO54" s="29" t="str">
        <f>IF(OR($B54="",$A54&lt;=90),"",--MID('Key Analysis'!$C50,$A54-90,1))</f>
        <v/>
      </c>
      <c r="CP54" s="29" t="str">
        <f>IF(OR($B54="",$A54&lt;=91),"",--MID('Key Analysis'!$C50,$A54-91,1))</f>
        <v/>
      </c>
      <c r="CQ54" s="29" t="str">
        <f>IF(OR($B54="",$A54&lt;=92),"",--MID('Key Analysis'!$C50,$A54-92,1))</f>
        <v/>
      </c>
      <c r="CR54" s="29" t="str">
        <f>IF(OR($B54="",$A54&lt;=93),"",--MID('Key Analysis'!$C50,$A54-93,1))</f>
        <v/>
      </c>
      <c r="CS54" s="29" t="str">
        <f>IF(OR($B54="",$A54&lt;=94),"",--MID('Key Analysis'!$C50,$A54-94,1))</f>
        <v/>
      </c>
      <c r="CT54" s="29" t="str">
        <f>IF(OR($B54="",$A54&lt;=95),"",--MID('Key Analysis'!$C50,$A54-95,1))</f>
        <v/>
      </c>
      <c r="CU54" s="29" t="str">
        <f>IF(OR($B54="",$A54&lt;=96),"",--MID('Key Analysis'!$C50,$A54-96,1))</f>
        <v/>
      </c>
      <c r="CV54" s="29" t="str">
        <f>IF(OR($B54="",$A54&lt;=97),"",--MID('Key Analysis'!$C50,$A54-97,1))</f>
        <v/>
      </c>
      <c r="CW54" s="29" t="str">
        <f>IF(OR($B54="",$A54&lt;=98),"",--MID('Key Analysis'!$C50,$A54-98,1))</f>
        <v/>
      </c>
      <c r="CX54" s="29" t="str">
        <f>IF(OR($B54="",$A54&lt;=99),"",--MID('Key Analysis'!$C50,$A54-99,1))</f>
        <v/>
      </c>
      <c r="CY54" s="29" t="str">
        <f>IF(OR($B54="",$A54&lt;=100),"",--MID('Key Analysis'!$C50,$A54-100,1))</f>
        <v/>
      </c>
      <c r="CZ54" s="29" t="str">
        <f>IF(OR($B54="",$A54&lt;=101),"",--MID('Key Analysis'!$C50,$A54-101,1))</f>
        <v/>
      </c>
      <c r="DA54" s="29" t="str">
        <f>IF(OR($B54="",$A54&lt;=102),"",--MID('Key Analysis'!$C50,$A54-102,1))</f>
        <v/>
      </c>
      <c r="DB54" s="29" t="str">
        <f>IF(OR($B54="",$A54&lt;=103),"",--MID('Key Analysis'!$C50,$A54-103,1))</f>
        <v/>
      </c>
      <c r="DC54" s="29" t="str">
        <f>IF(OR($B54="",$A54&lt;=104),"",--MID('Key Analysis'!$C50,$A54-104,1))</f>
        <v/>
      </c>
      <c r="DD54" s="29" t="str">
        <f>IF(OR($B54="",$A54&lt;=105),"",--MID('Key Analysis'!$C50,$A54-105,1))</f>
        <v/>
      </c>
      <c r="DE54" s="29" t="str">
        <f>IF(OR($B54="",$A54&lt;=106),"",--MID('Key Analysis'!$C50,$A54-106,1))</f>
        <v/>
      </c>
      <c r="DF54" s="29" t="str">
        <f>IF(OR($B54="",$A54&lt;=107),"",--MID('Key Analysis'!$C50,$A54-107,1))</f>
        <v/>
      </c>
      <c r="DG54" s="29" t="str">
        <f>IF(OR($B54="",$A54&lt;=108),"",--MID('Key Analysis'!$C50,$A54-108,1))</f>
        <v/>
      </c>
      <c r="DH54" s="29" t="str">
        <f>IF(OR($B54="",$A54&lt;=109),"",--MID('Key Analysis'!$C50,$A54-109,1))</f>
        <v/>
      </c>
      <c r="DI54" s="29" t="str">
        <f>IF(OR($B54="",$A54&lt;=110),"",--MID('Key Analysis'!$C50,$A54-110,1))</f>
        <v/>
      </c>
      <c r="DJ54" s="29" t="str">
        <f>IF(OR($B54="",$A54&lt;=111),"",--MID('Key Analysis'!$C50,$A54-111,1))</f>
        <v/>
      </c>
      <c r="DK54" s="29" t="str">
        <f>IF(OR($B54="",$A54&lt;=112),"",--MID('Key Analysis'!$C50,$A54-112,1))</f>
        <v/>
      </c>
      <c r="DL54" s="29" t="str">
        <f>IF(OR($B54="",$A54&lt;=113),"",--MID('Key Analysis'!$C50,$A54-113,1))</f>
        <v/>
      </c>
      <c r="DM54" s="29" t="str">
        <f>IF(OR($B54="",$A54&lt;=114),"",--MID('Key Analysis'!$C50,$A54-114,1))</f>
        <v/>
      </c>
      <c r="DN54" s="29" t="str">
        <f>IF(OR($B54="",$A54&lt;=115),"",--MID('Key Analysis'!$C50,$A54-115,1))</f>
        <v/>
      </c>
      <c r="DO54" s="29" t="str">
        <f>IF(OR($B54="",$A54&lt;=116),"",--MID('Key Analysis'!$C50,$A54-116,1))</f>
        <v/>
      </c>
      <c r="DP54" s="29" t="str">
        <f>IF(OR($B54="",$A54&lt;=117),"",--MID('Key Analysis'!$C50,$A54-117,1))</f>
        <v/>
      </c>
      <c r="DQ54" s="29" t="str">
        <f>IF(OR($B54="",$A54&lt;=118),"",--MID('Key Analysis'!$C50,$A54-118,1))</f>
        <v/>
      </c>
      <c r="DR54" s="29" t="str">
        <f>IF(OR($B54="",$A54&lt;=119),"",--MID('Key Analysis'!$C50,$A54-119,1))</f>
        <v/>
      </c>
      <c r="DS54" s="29" t="str">
        <f>IF(OR($B54="",$A54&lt;=120),"",--MID('Key Analysis'!$C50,$A54-120,1))</f>
        <v/>
      </c>
      <c r="DT54" s="29" t="str">
        <f>IF(OR($B54="",$A54&lt;=121),"",--MID('Key Analysis'!$C50,$A54-121,1))</f>
        <v/>
      </c>
      <c r="DU54" s="29" t="str">
        <f>IF(OR($B54="",$A54&lt;=122),"",--MID('Key Analysis'!$C50,$A54-122,1))</f>
        <v/>
      </c>
      <c r="DV54" s="29" t="str">
        <f>IF(OR($B54="",$A54&lt;=123),"",--MID('Key Analysis'!$C50,$A54-123,1))</f>
        <v/>
      </c>
      <c r="DW54" s="29" t="str">
        <f>IF(OR($B54="",$A54&lt;=124),"",--MID('Key Analysis'!$C50,$A54-124,1))</f>
        <v/>
      </c>
      <c r="DX54" s="29" t="str">
        <f>IF(OR($B54="",$A54&lt;=125),"",--MID('Key Analysis'!$C50,$A54-125,1))</f>
        <v/>
      </c>
      <c r="DY54" s="29" t="str">
        <f>IF(OR($B54="",$A54&lt;=126),"",--MID('Key Analysis'!$C50,$A54-126,1))</f>
        <v/>
      </c>
      <c r="DZ54" s="29" t="str">
        <f>IF(OR($B54="",$A54&lt;=127),"",--MID('Key Analysis'!$C50,$A54-127,1))</f>
        <v/>
      </c>
      <c r="EA54" s="29" t="str">
        <f>IF(OR($B54="",$A54&lt;=128),"",--MID('Key Analysis'!$C50,$A54-128,1))</f>
        <v/>
      </c>
      <c r="EB54" s="29" t="str">
        <f>IF(OR($B54="",$A54&lt;=129),"",--MID('Key Analysis'!$C50,$A54-129,1))</f>
        <v/>
      </c>
      <c r="EC54" s="29" t="str">
        <f>IF(OR($B54="",$A54&lt;=130),"",--MID('Key Analysis'!$C50,$A54-130,1))</f>
        <v/>
      </c>
      <c r="ED54" s="29" t="str">
        <f>IF(OR($B54="",$A54&lt;=131),"",--MID('Key Analysis'!$C50,$A54-131,1))</f>
        <v/>
      </c>
      <c r="EE54" s="29" t="str">
        <f>IF(OR($B54="",$A54&lt;=132),"",--MID('Key Analysis'!$C50,$A54-132,1))</f>
        <v/>
      </c>
      <c r="EF54" s="29" t="str">
        <f>IF(OR($B54="",$A54&lt;=133),"",--MID('Key Analysis'!$C50,$A54-133,1))</f>
        <v/>
      </c>
      <c r="EG54" s="29" t="str">
        <f>IF(OR($B54="",$A54&lt;=134),"",--MID('Key Analysis'!$C50,$A54-134,1))</f>
        <v/>
      </c>
      <c r="EH54" s="29"/>
      <c r="EI54" s="29">
        <f>IF(OR($B54="",$A54&lt;1),"",--MID('Key Analysis'!$C50,1,1))</f>
        <v>1</v>
      </c>
      <c r="EJ54" s="29">
        <f>IF(OR($B54="",$A54&lt;2),"",--MID('Key Analysis'!$C50,2,1))</f>
        <v>0</v>
      </c>
      <c r="EK54" s="29">
        <f>IF(OR($B54="",$A54&lt;3),"",--MID('Key Analysis'!$C50,3,1))</f>
        <v>1</v>
      </c>
      <c r="EL54" s="29">
        <f>IF(OR($B54="",$A54&lt;4),"",--MID('Key Analysis'!$C50,4,1))</f>
        <v>1</v>
      </c>
      <c r="EM54" s="29">
        <f>IF(OR($B54="",$A54&lt;5),"",--MID('Key Analysis'!$C50,5,1))</f>
        <v>1</v>
      </c>
      <c r="EN54" s="29">
        <f>IF(OR($B54="",$A54&lt;6),"",--MID('Key Analysis'!$C50,6,1))</f>
        <v>0</v>
      </c>
      <c r="EO54" s="29">
        <f>IF(OR($B54="",$A54&lt;7),"",--MID('Key Analysis'!$C50,7,1))</f>
        <v>1</v>
      </c>
      <c r="EP54" s="29">
        <f>IF(OR($B54="",$A54&lt;8),"",--MID('Key Analysis'!$C50,8,1))</f>
        <v>0</v>
      </c>
      <c r="EQ54" s="29">
        <f>IF(OR($B54="",$A54&lt;9),"",--MID('Key Analysis'!$C50,9,1))</f>
        <v>0</v>
      </c>
      <c r="ER54" s="29">
        <f>IF(OR($B54="",$A54&lt;10),"",--MID('Key Analysis'!$C50,10,1))</f>
        <v>0</v>
      </c>
      <c r="ES54" s="29">
        <f>IF(OR($B54="",$A54&lt;11),"",--MID('Key Analysis'!$C50,11,1))</f>
        <v>0</v>
      </c>
      <c r="ET54" s="29">
        <f>IF(OR($B54="",$A54&lt;12),"",--MID('Key Analysis'!$C50,12,1))</f>
        <v>0</v>
      </c>
      <c r="EU54" s="29">
        <f>IF(OR($B54="",$A54&lt;13),"",--MID('Key Analysis'!$C50,13,1))</f>
        <v>1</v>
      </c>
      <c r="EV54" s="29">
        <f>IF(OR($B54="",$A54&lt;14),"",--MID('Key Analysis'!$C50,14,1))</f>
        <v>0</v>
      </c>
      <c r="EW54" s="29">
        <f>IF(OR($B54="",$A54&lt;15),"",--MID('Key Analysis'!$C50,15,1))</f>
        <v>1</v>
      </c>
      <c r="EX54" s="29">
        <f>IF(OR($B54="",$A54&lt;16),"",--MID('Key Analysis'!$C50,16,1))</f>
        <v>1</v>
      </c>
      <c r="EY54" s="29">
        <f>IF(OR($B54="",$A54&lt;17),"",--MID('Key Analysis'!$C50,17,1))</f>
        <v>1</v>
      </c>
      <c r="EZ54" s="29">
        <f>IF(OR($B54="",$A54&lt;18),"",--MID('Key Analysis'!$C50,18,1))</f>
        <v>0</v>
      </c>
      <c r="FA54" s="29">
        <f>IF(OR($B54="",$A54&lt;19),"",--MID('Key Analysis'!$C50,19,1))</f>
        <v>1</v>
      </c>
      <c r="FB54" s="29">
        <f>IF(OR($B54="",$A54&lt;20),"",--MID('Key Analysis'!$C50,20,1))</f>
        <v>1</v>
      </c>
      <c r="FC54" s="29">
        <f>IF(OR($B54="",$A54&lt;21),"",--MID('Key Analysis'!$C50,21,1))</f>
        <v>0</v>
      </c>
      <c r="FD54" s="29">
        <f>IF(OR($B54="",$A54&lt;22),"",--MID('Key Analysis'!$C50,22,1))</f>
        <v>1</v>
      </c>
      <c r="FE54" s="29">
        <f>IF(OR($B54="",$A54&lt;23),"",--MID('Key Analysis'!$C50,23,1))</f>
        <v>0</v>
      </c>
      <c r="FF54" s="29">
        <f>IF(OR($B54="",$A54&lt;24),"",--MID('Key Analysis'!$C50,24,1))</f>
        <v>1</v>
      </c>
      <c r="FG54" s="29">
        <f>IF(OR($B54="",$A54&lt;25),"",--MID('Key Analysis'!$C50,25,1))</f>
        <v>1</v>
      </c>
      <c r="FH54" s="29">
        <f>IF(OR($B54="",$A54&lt;26),"",--MID('Key Analysis'!$C50,26,1))</f>
        <v>0</v>
      </c>
      <c r="FI54" s="29">
        <f>IF(OR($B54="",$A54&lt;27),"",--MID('Key Analysis'!$C50,27,1))</f>
        <v>0</v>
      </c>
      <c r="FJ54" s="29">
        <f>IF(OR($B54="",$A54&lt;28),"",--MID('Key Analysis'!$C50,28,1))</f>
        <v>0</v>
      </c>
      <c r="FK54" s="29">
        <f>IF(OR($B54="",$A54&lt;29),"",--MID('Key Analysis'!$C50,29,1))</f>
        <v>0</v>
      </c>
      <c r="FL54" s="29">
        <f>IF(OR($B54="",$A54&lt;30),"",--MID('Key Analysis'!$C50,30,1))</f>
        <v>0</v>
      </c>
      <c r="FM54" s="29">
        <f>IF(OR($B54="",$A54&lt;31),"",--MID('Key Analysis'!$C50,31,1))</f>
        <v>0</v>
      </c>
      <c r="FN54" s="29">
        <f>IF(OR($B54="",$A54&lt;32),"",--MID('Key Analysis'!$C50,32,1))</f>
        <v>0</v>
      </c>
      <c r="FO54" s="29">
        <f>IF(OR($B54="",$A54&lt;33),"",--MID('Key Analysis'!$C50,33,1))</f>
        <v>1</v>
      </c>
      <c r="FP54" s="29">
        <f>IF(OR($B54="",$A54&lt;34),"",--MID('Key Analysis'!$C50,34,1))</f>
        <v>0</v>
      </c>
      <c r="FQ54" s="29">
        <f>IF(OR($B54="",$A54&lt;35),"",--MID('Key Analysis'!$C50,35,1))</f>
        <v>1</v>
      </c>
      <c r="FR54" s="29">
        <f>IF(OR($B54="",$A54&lt;36),"",--MID('Key Analysis'!$C50,36,1))</f>
        <v>0</v>
      </c>
      <c r="FS54" s="29">
        <f>IF(OR($B54="",$A54&lt;37),"",--MID('Key Analysis'!$C50,37,1))</f>
        <v>1</v>
      </c>
      <c r="FT54" s="29">
        <f>IF(OR($B54="",$A54&lt;38),"",--MID('Key Analysis'!$C50,38,1))</f>
        <v>1</v>
      </c>
      <c r="FU54" s="29">
        <f>IF(OR($B54="",$A54&lt;39),"",--MID('Key Analysis'!$C50,39,1))</f>
        <v>1</v>
      </c>
      <c r="FV54" s="29">
        <f>IF(OR($B54="",$A54&lt;40),"",--MID('Key Analysis'!$C50,40,1))</f>
        <v>1</v>
      </c>
      <c r="FW54" s="29">
        <f>IF(OR($B54="",$A54&lt;41),"",--MID('Key Analysis'!$C50,41,1))</f>
        <v>1</v>
      </c>
      <c r="FX54" s="29">
        <f>IF(OR($B54="",$A54&lt;42),"",--MID('Key Analysis'!$C50,42,1))</f>
        <v>0</v>
      </c>
      <c r="FY54" s="29">
        <f>IF(OR($B54="",$A54&lt;43),"",--MID('Key Analysis'!$C50,43,1))</f>
        <v>1</v>
      </c>
      <c r="FZ54" s="29">
        <f>IF(OR($B54="",$A54&lt;44),"",--MID('Key Analysis'!$C50,44,1))</f>
        <v>0</v>
      </c>
      <c r="GA54" s="29">
        <f>IF(OR($B54="",$A54&lt;45),"",--MID('Key Analysis'!$C50,45,1))</f>
        <v>0</v>
      </c>
      <c r="GB54" s="29">
        <f>IF(OR($B54="",$A54&lt;46),"",--MID('Key Analysis'!$C50,46,1))</f>
        <v>1</v>
      </c>
      <c r="GC54" s="29">
        <f>IF(OR($B54="",$A54&lt;47),"",--MID('Key Analysis'!$C50,47,1))</f>
        <v>1</v>
      </c>
      <c r="GD54" s="29">
        <f>IF(OR($B54="",$A54&lt;48),"",--MID('Key Analysis'!$C50,48,1))</f>
        <v>0</v>
      </c>
      <c r="GE54" s="29">
        <f>IF(OR($B54="",$A54&lt;49),"",--MID('Key Analysis'!$C50,49,1))</f>
        <v>1</v>
      </c>
      <c r="GF54" s="29" t="str">
        <f>IF(OR($B54="",$A54&lt;50),"",--MID('Key Analysis'!$C50,50,1))</f>
        <v/>
      </c>
      <c r="GG54" s="29" t="str">
        <f>IF(OR($B54="",$A54&lt;51),"",--MID('Key Analysis'!$C50,51,1))</f>
        <v/>
      </c>
      <c r="GH54" s="29" t="str">
        <f>IF(OR($B54="",$A54&lt;52),"",--MID('Key Analysis'!$C50,52,1))</f>
        <v/>
      </c>
      <c r="GI54" s="29" t="str">
        <f>IF(OR($B54="",$A54&lt;53),"",--MID('Key Analysis'!$C50,53,1))</f>
        <v/>
      </c>
      <c r="GJ54" s="29" t="str">
        <f>IF(OR($B54="",$A54&lt;54),"",--MID('Key Analysis'!$C50,54,1))</f>
        <v/>
      </c>
      <c r="GK54" s="29" t="str">
        <f>IF(OR($B54="",$A54&lt;55),"",--MID('Key Analysis'!$C50,55,1))</f>
        <v/>
      </c>
      <c r="GL54" s="29" t="str">
        <f>IF(OR($B54="",$A54&lt;56),"",--MID('Key Analysis'!$C50,56,1))</f>
        <v/>
      </c>
      <c r="GM54" s="29" t="str">
        <f>IF(OR($B54="",$A54&lt;57),"",--MID('Key Analysis'!$C50,57,1))</f>
        <v/>
      </c>
      <c r="GN54" s="29" t="str">
        <f>IF(OR($B54="",$A54&lt;58),"",--MID('Key Analysis'!$C50,58,1))</f>
        <v/>
      </c>
      <c r="GO54" s="29" t="str">
        <f>IF(OR($B54="",$A54&lt;59),"",--MID('Key Analysis'!$C50,59,1))</f>
        <v/>
      </c>
      <c r="GP54" s="29" t="str">
        <f>IF(OR($B54="",$A54&lt;60),"",--MID('Key Analysis'!$C50,60,1))</f>
        <v/>
      </c>
      <c r="GQ54" s="29" t="str">
        <f>IF(OR($B54="",$A54&lt;61),"",--MID('Key Analysis'!$C50,61,1))</f>
        <v/>
      </c>
      <c r="GR54" s="29" t="str">
        <f>IF(OR($B54="",$A54&lt;62),"",--MID('Key Analysis'!$C50,62,1))</f>
        <v/>
      </c>
      <c r="GS54" s="29" t="str">
        <f>IF(OR($B54="",$A54&lt;63),"",--MID('Key Analysis'!$C50,63,1))</f>
        <v/>
      </c>
      <c r="GT54" s="29" t="str">
        <f>IF(OR($B54="",$A54&lt;64),"",--MID('Key Analysis'!$C50,64,1))</f>
        <v/>
      </c>
      <c r="GU54" s="29" t="str">
        <f>IF(OR($B54="",$A54&lt;65),"",--MID('Key Analysis'!$C50,65,1))</f>
        <v/>
      </c>
      <c r="GV54" s="29" t="str">
        <f>IF(OR($B54="",$A54&lt;66),"",--MID('Key Analysis'!$C50,66,1))</f>
        <v/>
      </c>
      <c r="GW54" s="29" t="str">
        <f>IF(OR($B54="",$A54&lt;67),"",--MID('Key Analysis'!$C50,67,1))</f>
        <v/>
      </c>
      <c r="GX54" s="29" t="str">
        <f>IF(OR($B54="",$A54&lt;68),"",--MID('Key Analysis'!$C50,68,1))</f>
        <v/>
      </c>
      <c r="GY54" s="29" t="str">
        <f>IF(OR($B54="",$A54&lt;69),"",--MID('Key Analysis'!$C50,69,1))</f>
        <v/>
      </c>
      <c r="GZ54" s="29" t="str">
        <f>IF(OR($B54="",$A54&lt;70),"",--MID('Key Analysis'!$C50,70,1))</f>
        <v/>
      </c>
      <c r="HA54" s="29" t="str">
        <f>IF(OR($B54="",$A54&lt;71),"",--MID('Key Analysis'!$C50,71,1))</f>
        <v/>
      </c>
      <c r="HB54" s="29" t="str">
        <f>IF(OR($B54="",$A54&lt;72),"",--MID('Key Analysis'!$C50,72,1))</f>
        <v/>
      </c>
      <c r="HC54" s="29" t="str">
        <f>IF(OR($B54="",$A54&lt;73),"",--MID('Key Analysis'!$C50,73,1))</f>
        <v/>
      </c>
      <c r="HD54" s="29" t="str">
        <f>IF(OR($B54="",$A54&lt;74),"",--MID('Key Analysis'!$C50,74,1))</f>
        <v/>
      </c>
      <c r="HE54" s="29" t="str">
        <f>IF(OR($B54="",$A54&lt;75),"",--MID('Key Analysis'!$C50,75,1))</f>
        <v/>
      </c>
      <c r="HF54" s="29" t="str">
        <f>IF(OR($B54="",$A54&lt;76),"",--MID('Key Analysis'!$C50,76,1))</f>
        <v/>
      </c>
      <c r="HG54" s="29" t="str">
        <f>IF(OR($B54="",$A54&lt;77),"",--MID('Key Analysis'!$C50,77,1))</f>
        <v/>
      </c>
      <c r="HH54" s="29" t="str">
        <f>IF(OR($B54="",$A54&lt;78),"",--MID('Key Analysis'!$C50,78,1))</f>
        <v/>
      </c>
      <c r="HI54" s="29" t="str">
        <f>IF(OR($B54="",$A54&lt;79),"",--MID('Key Analysis'!$C50,79,1))</f>
        <v/>
      </c>
      <c r="HJ54" s="29" t="str">
        <f>IF(OR($B54="",$A54&lt;80),"",--MID('Key Analysis'!$C50,80,1))</f>
        <v/>
      </c>
      <c r="HK54" s="29" t="str">
        <f>IF(OR($B54="",$A54&lt;81),"",--MID('Key Analysis'!$C50,81,1))</f>
        <v/>
      </c>
      <c r="HL54" s="29" t="str">
        <f>IF(OR($B54="",$A54&lt;82),"",--MID('Key Analysis'!$C50,82,1))</f>
        <v/>
      </c>
      <c r="HM54" s="29" t="str">
        <f>IF(OR($B54="",$A54&lt;83),"",--MID('Key Analysis'!$C50,83,1))</f>
        <v/>
      </c>
      <c r="HN54" s="29" t="str">
        <f>IF(OR($B54="",$A54&lt;84),"",--MID('Key Analysis'!$C50,84,1))</f>
        <v/>
      </c>
      <c r="HO54" s="29" t="str">
        <f>IF(OR($B54="",$A54&lt;85),"",--MID('Key Analysis'!$C50,85,1))</f>
        <v/>
      </c>
      <c r="HP54" s="29" t="str">
        <f>IF(OR($B54="",$A54&lt;86),"",--MID('Key Analysis'!$C50,86,1))</f>
        <v/>
      </c>
      <c r="HQ54" s="29" t="str">
        <f>IF(OR($B54="",$A54&lt;87),"",--MID('Key Analysis'!$C50,87,1))</f>
        <v/>
      </c>
      <c r="HR54" s="29" t="str">
        <f>IF(OR($B54="",$A54&lt;88),"",--MID('Key Analysis'!$C50,88,1))</f>
        <v/>
      </c>
      <c r="HS54" s="29" t="str">
        <f>IF(OR($B54="",$A54&lt;89),"",--MID('Key Analysis'!$C50,89,1))</f>
        <v/>
      </c>
      <c r="HT54" s="29" t="str">
        <f>IF(OR($B54="",$A54&lt;90),"",--MID('Key Analysis'!$C50,90,1))</f>
        <v/>
      </c>
      <c r="HU54" s="29" t="str">
        <f>IF(OR($B54="",$A54&lt;91),"",--MID('Key Analysis'!$C50,91,1))</f>
        <v/>
      </c>
      <c r="HV54" s="29" t="str">
        <f>IF(OR($B54="",$A54&lt;92),"",--MID('Key Analysis'!$C50,92,1))</f>
        <v/>
      </c>
      <c r="HW54" s="29" t="str">
        <f>IF(OR($B54="",$A54&lt;93),"",--MID('Key Analysis'!$C50,93,1))</f>
        <v/>
      </c>
      <c r="HX54" s="29" t="str">
        <f>IF(OR($B54="",$A54&lt;94),"",--MID('Key Analysis'!$C50,94,1))</f>
        <v/>
      </c>
      <c r="HY54" s="29" t="str">
        <f>IF(OR($B54="",$A54&lt;95),"",--MID('Key Analysis'!$C50,95,1))</f>
        <v/>
      </c>
      <c r="HZ54" s="29" t="str">
        <f>IF(OR($B54="",$A54&lt;96),"",--MID('Key Analysis'!$C50,96,1))</f>
        <v/>
      </c>
      <c r="IA54" s="29" t="str">
        <f>IF(OR($B54="",$A54&lt;97),"",--MID('Key Analysis'!$C50,97,1))</f>
        <v/>
      </c>
      <c r="IB54" s="29" t="str">
        <f>IF(OR($B54="",$A54&lt;98),"",--MID('Key Analysis'!$C50,98,1))</f>
        <v/>
      </c>
      <c r="IC54" s="29" t="str">
        <f>IF(OR($B54="",$A54&lt;99),"",--MID('Key Analysis'!$C50,99,1))</f>
        <v/>
      </c>
      <c r="ID54" s="29" t="str">
        <f>IF(OR($B54="",$A54&lt;100),"",--MID('Key Analysis'!$C50,100,1))</f>
        <v/>
      </c>
      <c r="IE54" s="29" t="str">
        <f>IF(OR($B54="",$A54&lt;101),"",--MID('Key Analysis'!$C50,101,1))</f>
        <v/>
      </c>
      <c r="IF54" s="29" t="str">
        <f>IF(OR($B54="",$A54&lt;102),"",--MID('Key Analysis'!$C50,102,1))</f>
        <v/>
      </c>
      <c r="IG54" s="29" t="str">
        <f>IF(OR($B54="",$A54&lt;103),"",--MID('Key Analysis'!$C50,103,1))</f>
        <v/>
      </c>
      <c r="IH54" s="29" t="str">
        <f>IF(OR($B54="",$A54&lt;104),"",--MID('Key Analysis'!$C50,104,1))</f>
        <v/>
      </c>
      <c r="II54" s="29" t="str">
        <f>IF(OR($B54="",$A54&lt;105),"",--MID('Key Analysis'!$C50,105,1))</f>
        <v/>
      </c>
      <c r="IJ54" s="29" t="str">
        <f>IF(OR($B54="",$A54&lt;106),"",--MID('Key Analysis'!$C50,106,1))</f>
        <v/>
      </c>
      <c r="IK54" s="29" t="str">
        <f>IF(OR($B54="",$A54&lt;107),"",--MID('Key Analysis'!$C50,107,1))</f>
        <v/>
      </c>
      <c r="IL54" s="29" t="str">
        <f>IF(OR($B54="",$A54&lt;108),"",--MID('Key Analysis'!$C50,108,1))</f>
        <v/>
      </c>
      <c r="IM54" s="29" t="str">
        <f>IF(OR($B54="",$A54&lt;109),"",--MID('Key Analysis'!$C50,109,1))</f>
        <v/>
      </c>
      <c r="IN54" s="29" t="str">
        <f>IF(OR($B54="",$A54&lt;110),"",--MID('Key Analysis'!$C50,110,1))</f>
        <v/>
      </c>
      <c r="IO54" s="29" t="str">
        <f>IF(OR($B54="",$A54&lt;111),"",--MID('Key Analysis'!$C50,111,1))</f>
        <v/>
      </c>
      <c r="IP54" s="29" t="str">
        <f>IF(OR($B54="",$A54&lt;112),"",--MID('Key Analysis'!$C50,112,1))</f>
        <v/>
      </c>
      <c r="IQ54" s="29" t="str">
        <f>IF(OR($B54="",$A54&lt;113),"",--MID('Key Analysis'!$C50,113,1))</f>
        <v/>
      </c>
      <c r="IR54" s="29" t="str">
        <f>IF(OR($B54="",$A54&lt;114),"",--MID('Key Analysis'!$C50,114,1))</f>
        <v/>
      </c>
      <c r="IS54" s="29" t="str">
        <f>IF(OR($B54="",$A54&lt;115),"",--MID('Key Analysis'!$C50,115,1))</f>
        <v/>
      </c>
      <c r="IT54" s="29" t="str">
        <f>IF(OR($B54="",$A54&lt;116),"",--MID('Key Analysis'!$C50,116,1))</f>
        <v/>
      </c>
      <c r="IU54" s="29" t="str">
        <f>IF(OR($B54="",$A54&lt;117),"",--MID('Key Analysis'!$C50,117,1))</f>
        <v/>
      </c>
      <c r="IV54" s="29" t="str">
        <f>IF(OR($B54="",$A54&lt;118),"",--MID('Key Analysis'!$C50,118,1))</f>
        <v/>
      </c>
      <c r="IW54" s="29" t="str">
        <f>IF(OR($B54="",$A54&lt;119),"",--MID('Key Analysis'!$C50,119,1))</f>
        <v/>
      </c>
      <c r="IX54" s="29" t="str">
        <f>IF(OR($B54="",$A54&lt;120),"",--MID('Key Analysis'!$C50,120,1))</f>
        <v/>
      </c>
      <c r="IY54" s="29" t="str">
        <f>IF(OR($B54="",$A54&lt;121),"",--MID('Key Analysis'!$C50,121,1))</f>
        <v/>
      </c>
      <c r="IZ54" s="29" t="str">
        <f>IF(OR($B54="",$A54&lt;122),"",--MID('Key Analysis'!$C50,122,1))</f>
        <v/>
      </c>
      <c r="JA54" s="29" t="str">
        <f>IF(OR($B54="",$A54&lt;123),"",--MID('Key Analysis'!$C50,123,1))</f>
        <v/>
      </c>
      <c r="JB54" s="29" t="str">
        <f>IF(OR($B54="",$A54&lt;124),"",--MID('Key Analysis'!$C50,124,1))</f>
        <v/>
      </c>
      <c r="JC54" s="29" t="str">
        <f>IF(OR($B54="",$A54&lt;125),"",--MID('Key Analysis'!$C50,125,1))</f>
        <v/>
      </c>
      <c r="JD54" s="29" t="str">
        <f>IF(OR($B54="",$A54&lt;126),"",--MID('Key Analysis'!$C50,126,1))</f>
        <v/>
      </c>
      <c r="JE54" s="29" t="str">
        <f>IF(OR($B54="",$A54&lt;127),"",--MID('Key Analysis'!$C50,127,1))</f>
        <v/>
      </c>
      <c r="JF54" s="29" t="str">
        <f>IF(OR($B54="",$A54&lt;128),"",--MID('Key Analysis'!$C50,128,1))</f>
        <v/>
      </c>
      <c r="JG54" s="29" t="str">
        <f>IF(OR($B54="",$A54&lt;129),"",--MID('Key Analysis'!$C50,129,1))</f>
        <v/>
      </c>
      <c r="JH54" s="29" t="str">
        <f>IF(OR($B54="",$A54&lt;130),"",--MID('Key Analysis'!$C50,130,1))</f>
        <v/>
      </c>
      <c r="JI54" s="29" t="str">
        <f>IF(OR($B54="",$A54&lt;131),"",--MID('Key Analysis'!$C50,131,1))</f>
        <v/>
      </c>
      <c r="JJ54" s="29" t="str">
        <f>IF(OR($B54="",$A54&lt;132),"",--MID('Key Analysis'!$C50,132,1))</f>
        <v/>
      </c>
      <c r="JK54" s="29" t="str">
        <f>IF(OR($B54="",$A54&lt;133),"",--MID('Key Analysis'!$C50,133,1))</f>
        <v/>
      </c>
      <c r="JL54" s="29" t="str">
        <f>IF(OR($B54="",$A54&lt;134),"",--MID('Key Analysis'!$C50,134,1))</f>
        <v/>
      </c>
      <c r="JM54" s="29" t="str">
        <f>IF(OR($B54="",$A54&lt;135),"",--MID('Key Analysis'!$C50,135,1))</f>
        <v/>
      </c>
    </row>
    <row r="55" spans="1:273" x14ac:dyDescent="0.25">
      <c r="A55" s="21">
        <f>'Key Analysis'!A51</f>
        <v>50</v>
      </c>
      <c r="B55" s="30" t="str">
        <f>'Key Analysis'!B51</f>
        <v>22bd43c2e9354</v>
      </c>
      <c r="C55" s="29">
        <f>IF(OR($B55="",$A55&lt;=0),"",--MID('Key Analysis'!$C51,$A55-0,1))</f>
        <v>0</v>
      </c>
      <c r="D55" s="29">
        <f>IF(OR($B55="",$A55&lt;=1),"",--MID('Key Analysis'!$C51,$A55-1,1))</f>
        <v>0</v>
      </c>
      <c r="E55" s="29">
        <f>IF(OR($B55="",$A55&lt;=2),"",--MID('Key Analysis'!$C51,$A55-2,1))</f>
        <v>1</v>
      </c>
      <c r="F55" s="29">
        <f>IF(OR($B55="",$A55&lt;=3),"",--MID('Key Analysis'!$C51,$A55-3,1))</f>
        <v>0</v>
      </c>
      <c r="G55" s="29">
        <f>IF(OR($B55="",$A55&lt;=4),"",--MID('Key Analysis'!$C51,$A55-4,1))</f>
        <v>1</v>
      </c>
      <c r="H55" s="29">
        <f>IF(OR($B55="",$A55&lt;=5),"",--MID('Key Analysis'!$C51,$A55-5,1))</f>
        <v>0</v>
      </c>
      <c r="I55" s="29">
        <f>IF(OR($B55="",$A55&lt;=6),"",--MID('Key Analysis'!$C51,$A55-6,1))</f>
        <v>1</v>
      </c>
      <c r="J55" s="29">
        <f>IF(OR($B55="",$A55&lt;=7),"",--MID('Key Analysis'!$C51,$A55-7,1))</f>
        <v>0</v>
      </c>
      <c r="K55" s="29">
        <f>IF(OR($B55="",$A55&lt;=8),"",--MID('Key Analysis'!$C51,$A55-8,1))</f>
        <v>1</v>
      </c>
      <c r="L55" s="29">
        <f>IF(OR($B55="",$A55&lt;=9),"",--MID('Key Analysis'!$C51,$A55-9,1))</f>
        <v>1</v>
      </c>
      <c r="M55" s="29">
        <f>IF(OR($B55="",$A55&lt;=10),"",--MID('Key Analysis'!$C51,$A55-10,1))</f>
        <v>0</v>
      </c>
      <c r="N55" s="29">
        <f>IF(OR($B55="",$A55&lt;=11),"",--MID('Key Analysis'!$C51,$A55-11,1))</f>
        <v>0</v>
      </c>
      <c r="O55" s="29">
        <f>IF(OR($B55="",$A55&lt;=12),"",--MID('Key Analysis'!$C51,$A55-12,1))</f>
        <v>1</v>
      </c>
      <c r="P55" s="29">
        <f>IF(OR($B55="",$A55&lt;=13),"",--MID('Key Analysis'!$C51,$A55-13,1))</f>
        <v>0</v>
      </c>
      <c r="Q55" s="29">
        <f>IF(OR($B55="",$A55&lt;=14),"",--MID('Key Analysis'!$C51,$A55-14,1))</f>
        <v>0</v>
      </c>
      <c r="R55" s="29">
        <f>IF(OR($B55="",$A55&lt;=15),"",--MID('Key Analysis'!$C51,$A55-15,1))</f>
        <v>1</v>
      </c>
      <c r="S55" s="29">
        <f>IF(OR($B55="",$A55&lt;=16),"",--MID('Key Analysis'!$C51,$A55-16,1))</f>
        <v>0</v>
      </c>
      <c r="T55" s="29">
        <f>IF(OR($B55="",$A55&lt;=17),"",--MID('Key Analysis'!$C51,$A55-17,1))</f>
        <v>1</v>
      </c>
      <c r="U55" s="29">
        <f>IF(OR($B55="",$A55&lt;=18),"",--MID('Key Analysis'!$C51,$A55-18,1))</f>
        <v>1</v>
      </c>
      <c r="V55" s="29">
        <f>IF(OR($B55="",$A55&lt;=19),"",--MID('Key Analysis'!$C51,$A55-19,1))</f>
        <v>1</v>
      </c>
      <c r="W55" s="29">
        <f>IF(OR($B55="",$A55&lt;=20),"",--MID('Key Analysis'!$C51,$A55-20,1))</f>
        <v>0</v>
      </c>
      <c r="X55" s="29">
        <f>IF(OR($B55="",$A55&lt;=21),"",--MID('Key Analysis'!$C51,$A55-21,1))</f>
        <v>1</v>
      </c>
      <c r="Y55" s="29">
        <f>IF(OR($B55="",$A55&lt;=22),"",--MID('Key Analysis'!$C51,$A55-22,1))</f>
        <v>0</v>
      </c>
      <c r="Z55" s="29">
        <f>IF(OR($B55="",$A55&lt;=23),"",--MID('Key Analysis'!$C51,$A55-23,1))</f>
        <v>0</v>
      </c>
      <c r="AA55" s="29">
        <f>IF(OR($B55="",$A55&lt;=24),"",--MID('Key Analysis'!$C51,$A55-24,1))</f>
        <v>0</v>
      </c>
      <c r="AB55" s="29">
        <f>IF(OR($B55="",$A55&lt;=25),"",--MID('Key Analysis'!$C51,$A55-25,1))</f>
        <v>0</v>
      </c>
      <c r="AC55" s="29">
        <f>IF(OR($B55="",$A55&lt;=26),"",--MID('Key Analysis'!$C51,$A55-26,1))</f>
        <v>1</v>
      </c>
      <c r="AD55" s="29">
        <f>IF(OR($B55="",$A55&lt;=27),"",--MID('Key Analysis'!$C51,$A55-27,1))</f>
        <v>1</v>
      </c>
      <c r="AE55" s="29">
        <f>IF(OR($B55="",$A55&lt;=28),"",--MID('Key Analysis'!$C51,$A55-28,1))</f>
        <v>1</v>
      </c>
      <c r="AF55" s="29">
        <f>IF(OR($B55="",$A55&lt;=29),"",--MID('Key Analysis'!$C51,$A55-29,1))</f>
        <v>1</v>
      </c>
      <c r="AG55" s="29">
        <f>IF(OR($B55="",$A55&lt;=30),"",--MID('Key Analysis'!$C51,$A55-30,1))</f>
        <v>0</v>
      </c>
      <c r="AH55" s="29">
        <f>IF(OR($B55="",$A55&lt;=31),"",--MID('Key Analysis'!$C51,$A55-31,1))</f>
        <v>0</v>
      </c>
      <c r="AI55" s="29">
        <f>IF(OR($B55="",$A55&lt;=32),"",--MID('Key Analysis'!$C51,$A55-32,1))</f>
        <v>0</v>
      </c>
      <c r="AJ55" s="29">
        <f>IF(OR($B55="",$A55&lt;=33),"",--MID('Key Analysis'!$C51,$A55-33,1))</f>
        <v>0</v>
      </c>
      <c r="AK55" s="29">
        <f>IF(OR($B55="",$A55&lt;=34),"",--MID('Key Analysis'!$C51,$A55-34,1))</f>
        <v>1</v>
      </c>
      <c r="AL55" s="29">
        <f>IF(OR($B55="",$A55&lt;=35),"",--MID('Key Analysis'!$C51,$A55-35,1))</f>
        <v>0</v>
      </c>
      <c r="AM55" s="29">
        <f>IF(OR($B55="",$A55&lt;=36),"",--MID('Key Analysis'!$C51,$A55-36,1))</f>
        <v>1</v>
      </c>
      <c r="AN55" s="29">
        <f>IF(OR($B55="",$A55&lt;=37),"",--MID('Key Analysis'!$C51,$A55-37,1))</f>
        <v>0</v>
      </c>
      <c r="AO55" s="29">
        <f>IF(OR($B55="",$A55&lt;=38),"",--MID('Key Analysis'!$C51,$A55-38,1))</f>
        <v>1</v>
      </c>
      <c r="AP55" s="29">
        <f>IF(OR($B55="",$A55&lt;=39),"",--MID('Key Analysis'!$C51,$A55-39,1))</f>
        <v>1</v>
      </c>
      <c r="AQ55" s="29">
        <f>IF(OR($B55="",$A55&lt;=40),"",--MID('Key Analysis'!$C51,$A55-40,1))</f>
        <v>1</v>
      </c>
      <c r="AR55" s="29">
        <f>IF(OR($B55="",$A55&lt;=41),"",--MID('Key Analysis'!$C51,$A55-41,1))</f>
        <v>1</v>
      </c>
      <c r="AS55" s="29">
        <f>IF(OR($B55="",$A55&lt;=42),"",--MID('Key Analysis'!$C51,$A55-42,1))</f>
        <v>0</v>
      </c>
      <c r="AT55" s="29">
        <f>IF(OR($B55="",$A55&lt;=43),"",--MID('Key Analysis'!$C51,$A55-43,1))</f>
        <v>1</v>
      </c>
      <c r="AU55" s="29">
        <f>IF(OR($B55="",$A55&lt;=44),"",--MID('Key Analysis'!$C51,$A55-44,1))</f>
        <v>0</v>
      </c>
      <c r="AV55" s="29">
        <f>IF(OR($B55="",$A55&lt;=45),"",--MID('Key Analysis'!$C51,$A55-45,1))</f>
        <v>1</v>
      </c>
      <c r="AW55" s="29">
        <f>IF(OR($B55="",$A55&lt;=46),"",--MID('Key Analysis'!$C51,$A55-46,1))</f>
        <v>0</v>
      </c>
      <c r="AX55" s="29">
        <f>IF(OR($B55="",$A55&lt;=47),"",--MID('Key Analysis'!$C51,$A55-47,1))</f>
        <v>0</v>
      </c>
      <c r="AY55" s="29">
        <f>IF(OR($B55="",$A55&lt;=48),"",--MID('Key Analysis'!$C51,$A55-48,1))</f>
        <v>0</v>
      </c>
      <c r="AZ55" s="29">
        <f>IF(OR($B55="",$A55&lt;=49),"",--MID('Key Analysis'!$C51,$A55-49,1))</f>
        <v>1</v>
      </c>
      <c r="BA55" s="29" t="str">
        <f>IF(OR($B55="",$A55&lt;=50),"",--MID('Key Analysis'!$C51,$A55-50,1))</f>
        <v/>
      </c>
      <c r="BB55" s="29" t="str">
        <f>IF(OR($B55="",$A55&lt;=51),"",--MID('Key Analysis'!$C51,$A55-51,1))</f>
        <v/>
      </c>
      <c r="BC55" s="29" t="str">
        <f>IF(OR($B55="",$A55&lt;=52),"",--MID('Key Analysis'!$C51,$A55-52,1))</f>
        <v/>
      </c>
      <c r="BD55" s="29" t="str">
        <f>IF(OR($B55="",$A55&lt;=53),"",--MID('Key Analysis'!$C51,$A55-53,1))</f>
        <v/>
      </c>
      <c r="BE55" s="29" t="str">
        <f>IF(OR($B55="",$A55&lt;=54),"",--MID('Key Analysis'!$C51,$A55-54,1))</f>
        <v/>
      </c>
      <c r="BF55" s="29" t="str">
        <f>IF(OR($B55="",$A55&lt;=55),"",--MID('Key Analysis'!$C51,$A55-55,1))</f>
        <v/>
      </c>
      <c r="BG55" s="29" t="str">
        <f>IF(OR($B55="",$A55&lt;=56),"",--MID('Key Analysis'!$C51,$A55-56,1))</f>
        <v/>
      </c>
      <c r="BH55" s="29" t="str">
        <f>IF(OR($B55="",$A55&lt;=57),"",--MID('Key Analysis'!$C51,$A55-57,1))</f>
        <v/>
      </c>
      <c r="BI55" s="29" t="str">
        <f>IF(OR($B55="",$A55&lt;=58),"",--MID('Key Analysis'!$C51,$A55-58,1))</f>
        <v/>
      </c>
      <c r="BJ55" s="29" t="str">
        <f>IF(OR($B55="",$A55&lt;=59),"",--MID('Key Analysis'!$C51,$A55-59,1))</f>
        <v/>
      </c>
      <c r="BK55" s="29" t="str">
        <f>IF(OR($B55="",$A55&lt;=60),"",--MID('Key Analysis'!$C51,$A55-60,1))</f>
        <v/>
      </c>
      <c r="BL55" s="29" t="str">
        <f>IF(OR($B55="",$A55&lt;=61),"",--MID('Key Analysis'!$C51,$A55-61,1))</f>
        <v/>
      </c>
      <c r="BM55" s="29" t="str">
        <f>IF(OR($B55="",$A55&lt;=62),"",--MID('Key Analysis'!$C51,$A55-62,1))</f>
        <v/>
      </c>
      <c r="BN55" s="29" t="str">
        <f>IF(OR($B55="",$A55&lt;=63),"",--MID('Key Analysis'!$C51,$A55-63,1))</f>
        <v/>
      </c>
      <c r="BO55" s="29" t="str">
        <f>IF(OR($B55="",$A55&lt;=64),"",--MID('Key Analysis'!$C51,$A55-64,1))</f>
        <v/>
      </c>
      <c r="BP55" s="29" t="str">
        <f>IF(OR($B55="",$A55&lt;=65),"",--MID('Key Analysis'!$C51,$A55-65,1))</f>
        <v/>
      </c>
      <c r="BQ55" s="29" t="str">
        <f>IF(OR($B55="",$A55&lt;=66),"",--MID('Key Analysis'!$C51,$A55-66,1))</f>
        <v/>
      </c>
      <c r="BR55" s="29" t="str">
        <f>IF(OR($B55="",$A55&lt;=67),"",--MID('Key Analysis'!$C51,$A55-67,1))</f>
        <v/>
      </c>
      <c r="BS55" s="29" t="str">
        <f>IF(OR($B55="",$A55&lt;=68),"",--MID('Key Analysis'!$C51,$A55-68,1))</f>
        <v/>
      </c>
      <c r="BT55" s="29" t="str">
        <f>IF(OR($B55="",$A55&lt;=69),"",--MID('Key Analysis'!$C51,$A55-69,1))</f>
        <v/>
      </c>
      <c r="BU55" s="29" t="str">
        <f>IF(OR($B55="",$A55&lt;=70),"",--MID('Key Analysis'!$C51,$A55-70,1))</f>
        <v/>
      </c>
      <c r="BV55" s="29" t="str">
        <f>IF(OR($B55="",$A55&lt;=71),"",--MID('Key Analysis'!$C51,$A55-71,1))</f>
        <v/>
      </c>
      <c r="BW55" s="29" t="str">
        <f>IF(OR($B55="",$A55&lt;=72),"",--MID('Key Analysis'!$C51,$A55-72,1))</f>
        <v/>
      </c>
      <c r="BX55" s="29" t="str">
        <f>IF(OR($B55="",$A55&lt;=73),"",--MID('Key Analysis'!$C51,$A55-73,1))</f>
        <v/>
      </c>
      <c r="BY55" s="29" t="str">
        <f>IF(OR($B55="",$A55&lt;=74),"",--MID('Key Analysis'!$C51,$A55-74,1))</f>
        <v/>
      </c>
      <c r="BZ55" s="29" t="str">
        <f>IF(OR($B55="",$A55&lt;=75),"",--MID('Key Analysis'!$C51,$A55-75,1))</f>
        <v/>
      </c>
      <c r="CA55" s="29" t="str">
        <f>IF(OR($B55="",$A55&lt;=76),"",--MID('Key Analysis'!$C51,$A55-76,1))</f>
        <v/>
      </c>
      <c r="CB55" s="29" t="str">
        <f>IF(OR($B55="",$A55&lt;=77),"",--MID('Key Analysis'!$C51,$A55-77,1))</f>
        <v/>
      </c>
      <c r="CC55" s="29" t="str">
        <f>IF(OR($B55="",$A55&lt;=78),"",--MID('Key Analysis'!$C51,$A55-78,1))</f>
        <v/>
      </c>
      <c r="CD55" s="29" t="str">
        <f>IF(OR($B55="",$A55&lt;=79),"",--MID('Key Analysis'!$C51,$A55-79,1))</f>
        <v/>
      </c>
      <c r="CE55" s="29" t="str">
        <f>IF(OR($B55="",$A55&lt;=80),"",--MID('Key Analysis'!$C51,$A55-80,1))</f>
        <v/>
      </c>
      <c r="CF55" s="29" t="str">
        <f>IF(OR($B55="",$A55&lt;=81),"",--MID('Key Analysis'!$C51,$A55-81,1))</f>
        <v/>
      </c>
      <c r="CG55" s="29" t="str">
        <f>IF(OR($B55="",$A55&lt;=82),"",--MID('Key Analysis'!$C51,$A55-82,1))</f>
        <v/>
      </c>
      <c r="CH55" s="29" t="str">
        <f>IF(OR($B55="",$A55&lt;=83),"",--MID('Key Analysis'!$C51,$A55-83,1))</f>
        <v/>
      </c>
      <c r="CI55" s="29" t="str">
        <f>IF(OR($B55="",$A55&lt;=84),"",--MID('Key Analysis'!$C51,$A55-84,1))</f>
        <v/>
      </c>
      <c r="CJ55" s="29" t="str">
        <f>IF(OR($B55="",$A55&lt;=85),"",--MID('Key Analysis'!$C51,$A55-85,1))</f>
        <v/>
      </c>
      <c r="CK55" s="29" t="str">
        <f>IF(OR($B55="",$A55&lt;=86),"",--MID('Key Analysis'!$C51,$A55-86,1))</f>
        <v/>
      </c>
      <c r="CL55" s="29" t="str">
        <f>IF(OR($B55="",$A55&lt;=87),"",--MID('Key Analysis'!$C51,$A55-87,1))</f>
        <v/>
      </c>
      <c r="CM55" s="29" t="str">
        <f>IF(OR($B55="",$A55&lt;=88),"",--MID('Key Analysis'!$C51,$A55-88,1))</f>
        <v/>
      </c>
      <c r="CN55" s="29" t="str">
        <f>IF(OR($B55="",$A55&lt;=89),"",--MID('Key Analysis'!$C51,$A55-89,1))</f>
        <v/>
      </c>
      <c r="CO55" s="29" t="str">
        <f>IF(OR($B55="",$A55&lt;=90),"",--MID('Key Analysis'!$C51,$A55-90,1))</f>
        <v/>
      </c>
      <c r="CP55" s="29" t="str">
        <f>IF(OR($B55="",$A55&lt;=91),"",--MID('Key Analysis'!$C51,$A55-91,1))</f>
        <v/>
      </c>
      <c r="CQ55" s="29" t="str">
        <f>IF(OR($B55="",$A55&lt;=92),"",--MID('Key Analysis'!$C51,$A55-92,1))</f>
        <v/>
      </c>
      <c r="CR55" s="29" t="str">
        <f>IF(OR($B55="",$A55&lt;=93),"",--MID('Key Analysis'!$C51,$A55-93,1))</f>
        <v/>
      </c>
      <c r="CS55" s="29" t="str">
        <f>IF(OR($B55="",$A55&lt;=94),"",--MID('Key Analysis'!$C51,$A55-94,1))</f>
        <v/>
      </c>
      <c r="CT55" s="29" t="str">
        <f>IF(OR($B55="",$A55&lt;=95),"",--MID('Key Analysis'!$C51,$A55-95,1))</f>
        <v/>
      </c>
      <c r="CU55" s="29" t="str">
        <f>IF(OR($B55="",$A55&lt;=96),"",--MID('Key Analysis'!$C51,$A55-96,1))</f>
        <v/>
      </c>
      <c r="CV55" s="29" t="str">
        <f>IF(OR($B55="",$A55&lt;=97),"",--MID('Key Analysis'!$C51,$A55-97,1))</f>
        <v/>
      </c>
      <c r="CW55" s="29" t="str">
        <f>IF(OR($B55="",$A55&lt;=98),"",--MID('Key Analysis'!$C51,$A55-98,1))</f>
        <v/>
      </c>
      <c r="CX55" s="29" t="str">
        <f>IF(OR($B55="",$A55&lt;=99),"",--MID('Key Analysis'!$C51,$A55-99,1))</f>
        <v/>
      </c>
      <c r="CY55" s="29" t="str">
        <f>IF(OR($B55="",$A55&lt;=100),"",--MID('Key Analysis'!$C51,$A55-100,1))</f>
        <v/>
      </c>
      <c r="CZ55" s="29" t="str">
        <f>IF(OR($B55="",$A55&lt;=101),"",--MID('Key Analysis'!$C51,$A55-101,1))</f>
        <v/>
      </c>
      <c r="DA55" s="29" t="str">
        <f>IF(OR($B55="",$A55&lt;=102),"",--MID('Key Analysis'!$C51,$A55-102,1))</f>
        <v/>
      </c>
      <c r="DB55" s="29" t="str">
        <f>IF(OR($B55="",$A55&lt;=103),"",--MID('Key Analysis'!$C51,$A55-103,1))</f>
        <v/>
      </c>
      <c r="DC55" s="29" t="str">
        <f>IF(OR($B55="",$A55&lt;=104),"",--MID('Key Analysis'!$C51,$A55-104,1))</f>
        <v/>
      </c>
      <c r="DD55" s="29" t="str">
        <f>IF(OR($B55="",$A55&lt;=105),"",--MID('Key Analysis'!$C51,$A55-105,1))</f>
        <v/>
      </c>
      <c r="DE55" s="29" t="str">
        <f>IF(OR($B55="",$A55&lt;=106),"",--MID('Key Analysis'!$C51,$A55-106,1))</f>
        <v/>
      </c>
      <c r="DF55" s="29" t="str">
        <f>IF(OR($B55="",$A55&lt;=107),"",--MID('Key Analysis'!$C51,$A55-107,1))</f>
        <v/>
      </c>
      <c r="DG55" s="29" t="str">
        <f>IF(OR($B55="",$A55&lt;=108),"",--MID('Key Analysis'!$C51,$A55-108,1))</f>
        <v/>
      </c>
      <c r="DH55" s="29" t="str">
        <f>IF(OR($B55="",$A55&lt;=109),"",--MID('Key Analysis'!$C51,$A55-109,1))</f>
        <v/>
      </c>
      <c r="DI55" s="29" t="str">
        <f>IF(OR($B55="",$A55&lt;=110),"",--MID('Key Analysis'!$C51,$A55-110,1))</f>
        <v/>
      </c>
      <c r="DJ55" s="29" t="str">
        <f>IF(OR($B55="",$A55&lt;=111),"",--MID('Key Analysis'!$C51,$A55-111,1))</f>
        <v/>
      </c>
      <c r="DK55" s="29" t="str">
        <f>IF(OR($B55="",$A55&lt;=112),"",--MID('Key Analysis'!$C51,$A55-112,1))</f>
        <v/>
      </c>
      <c r="DL55" s="29" t="str">
        <f>IF(OR($B55="",$A55&lt;=113),"",--MID('Key Analysis'!$C51,$A55-113,1))</f>
        <v/>
      </c>
      <c r="DM55" s="29" t="str">
        <f>IF(OR($B55="",$A55&lt;=114),"",--MID('Key Analysis'!$C51,$A55-114,1))</f>
        <v/>
      </c>
      <c r="DN55" s="29" t="str">
        <f>IF(OR($B55="",$A55&lt;=115),"",--MID('Key Analysis'!$C51,$A55-115,1))</f>
        <v/>
      </c>
      <c r="DO55" s="29" t="str">
        <f>IF(OR($B55="",$A55&lt;=116),"",--MID('Key Analysis'!$C51,$A55-116,1))</f>
        <v/>
      </c>
      <c r="DP55" s="29" t="str">
        <f>IF(OR($B55="",$A55&lt;=117),"",--MID('Key Analysis'!$C51,$A55-117,1))</f>
        <v/>
      </c>
      <c r="DQ55" s="29" t="str">
        <f>IF(OR($B55="",$A55&lt;=118),"",--MID('Key Analysis'!$C51,$A55-118,1))</f>
        <v/>
      </c>
      <c r="DR55" s="29" t="str">
        <f>IF(OR($B55="",$A55&lt;=119),"",--MID('Key Analysis'!$C51,$A55-119,1))</f>
        <v/>
      </c>
      <c r="DS55" s="29" t="str">
        <f>IF(OR($B55="",$A55&lt;=120),"",--MID('Key Analysis'!$C51,$A55-120,1))</f>
        <v/>
      </c>
      <c r="DT55" s="29" t="str">
        <f>IF(OR($B55="",$A55&lt;=121),"",--MID('Key Analysis'!$C51,$A55-121,1))</f>
        <v/>
      </c>
      <c r="DU55" s="29" t="str">
        <f>IF(OR($B55="",$A55&lt;=122),"",--MID('Key Analysis'!$C51,$A55-122,1))</f>
        <v/>
      </c>
      <c r="DV55" s="29" t="str">
        <f>IF(OR($B55="",$A55&lt;=123),"",--MID('Key Analysis'!$C51,$A55-123,1))</f>
        <v/>
      </c>
      <c r="DW55" s="29" t="str">
        <f>IF(OR($B55="",$A55&lt;=124),"",--MID('Key Analysis'!$C51,$A55-124,1))</f>
        <v/>
      </c>
      <c r="DX55" s="29" t="str">
        <f>IF(OR($B55="",$A55&lt;=125),"",--MID('Key Analysis'!$C51,$A55-125,1))</f>
        <v/>
      </c>
      <c r="DY55" s="29" t="str">
        <f>IF(OR($B55="",$A55&lt;=126),"",--MID('Key Analysis'!$C51,$A55-126,1))</f>
        <v/>
      </c>
      <c r="DZ55" s="29" t="str">
        <f>IF(OR($B55="",$A55&lt;=127),"",--MID('Key Analysis'!$C51,$A55-127,1))</f>
        <v/>
      </c>
      <c r="EA55" s="29" t="str">
        <f>IF(OR($B55="",$A55&lt;=128),"",--MID('Key Analysis'!$C51,$A55-128,1))</f>
        <v/>
      </c>
      <c r="EB55" s="29" t="str">
        <f>IF(OR($B55="",$A55&lt;=129),"",--MID('Key Analysis'!$C51,$A55-129,1))</f>
        <v/>
      </c>
      <c r="EC55" s="29" t="str">
        <f>IF(OR($B55="",$A55&lt;=130),"",--MID('Key Analysis'!$C51,$A55-130,1))</f>
        <v/>
      </c>
      <c r="ED55" s="29" t="str">
        <f>IF(OR($B55="",$A55&lt;=131),"",--MID('Key Analysis'!$C51,$A55-131,1))</f>
        <v/>
      </c>
      <c r="EE55" s="29" t="str">
        <f>IF(OR($B55="",$A55&lt;=132),"",--MID('Key Analysis'!$C51,$A55-132,1))</f>
        <v/>
      </c>
      <c r="EF55" s="29" t="str">
        <f>IF(OR($B55="",$A55&lt;=133),"",--MID('Key Analysis'!$C51,$A55-133,1))</f>
        <v/>
      </c>
      <c r="EG55" s="29" t="str">
        <f>IF(OR($B55="",$A55&lt;=134),"",--MID('Key Analysis'!$C51,$A55-134,1))</f>
        <v/>
      </c>
      <c r="EH55" s="29"/>
      <c r="EI55" s="29">
        <f>IF(OR($B55="",$A55&lt;1),"",--MID('Key Analysis'!$C51,1,1))</f>
        <v>1</v>
      </c>
      <c r="EJ55" s="29">
        <f>IF(OR($B55="",$A55&lt;2),"",--MID('Key Analysis'!$C51,2,1))</f>
        <v>0</v>
      </c>
      <c r="EK55" s="29">
        <f>IF(OR($B55="",$A55&lt;3),"",--MID('Key Analysis'!$C51,3,1))</f>
        <v>0</v>
      </c>
      <c r="EL55" s="29">
        <f>IF(OR($B55="",$A55&lt;4),"",--MID('Key Analysis'!$C51,4,1))</f>
        <v>0</v>
      </c>
      <c r="EM55" s="29">
        <f>IF(OR($B55="",$A55&lt;5),"",--MID('Key Analysis'!$C51,5,1))</f>
        <v>1</v>
      </c>
      <c r="EN55" s="29">
        <f>IF(OR($B55="",$A55&lt;6),"",--MID('Key Analysis'!$C51,6,1))</f>
        <v>0</v>
      </c>
      <c r="EO55" s="29">
        <f>IF(OR($B55="",$A55&lt;7),"",--MID('Key Analysis'!$C51,7,1))</f>
        <v>1</v>
      </c>
      <c r="EP55" s="29">
        <f>IF(OR($B55="",$A55&lt;8),"",--MID('Key Analysis'!$C51,8,1))</f>
        <v>0</v>
      </c>
      <c r="EQ55" s="29">
        <f>IF(OR($B55="",$A55&lt;9),"",--MID('Key Analysis'!$C51,9,1))</f>
        <v>1</v>
      </c>
      <c r="ER55" s="29">
        <f>IF(OR($B55="",$A55&lt;10),"",--MID('Key Analysis'!$C51,10,1))</f>
        <v>1</v>
      </c>
      <c r="ES55" s="29">
        <f>IF(OR($B55="",$A55&lt;11),"",--MID('Key Analysis'!$C51,11,1))</f>
        <v>1</v>
      </c>
      <c r="ET55" s="29">
        <f>IF(OR($B55="",$A55&lt;12),"",--MID('Key Analysis'!$C51,12,1))</f>
        <v>1</v>
      </c>
      <c r="EU55" s="29">
        <f>IF(OR($B55="",$A55&lt;13),"",--MID('Key Analysis'!$C51,13,1))</f>
        <v>0</v>
      </c>
      <c r="EV55" s="29">
        <f>IF(OR($B55="",$A55&lt;14),"",--MID('Key Analysis'!$C51,14,1))</f>
        <v>1</v>
      </c>
      <c r="EW55" s="29">
        <f>IF(OR($B55="",$A55&lt;15),"",--MID('Key Analysis'!$C51,15,1))</f>
        <v>0</v>
      </c>
      <c r="EX55" s="29">
        <f>IF(OR($B55="",$A55&lt;16),"",--MID('Key Analysis'!$C51,16,1))</f>
        <v>1</v>
      </c>
      <c r="EY55" s="29">
        <f>IF(OR($B55="",$A55&lt;17),"",--MID('Key Analysis'!$C51,17,1))</f>
        <v>0</v>
      </c>
      <c r="EZ55" s="29">
        <f>IF(OR($B55="",$A55&lt;18),"",--MID('Key Analysis'!$C51,18,1))</f>
        <v>0</v>
      </c>
      <c r="FA55" s="29">
        <f>IF(OR($B55="",$A55&lt;19),"",--MID('Key Analysis'!$C51,19,1))</f>
        <v>0</v>
      </c>
      <c r="FB55" s="29">
        <f>IF(OR($B55="",$A55&lt;20),"",--MID('Key Analysis'!$C51,20,1))</f>
        <v>0</v>
      </c>
      <c r="FC55" s="29">
        <f>IF(OR($B55="",$A55&lt;21),"",--MID('Key Analysis'!$C51,21,1))</f>
        <v>1</v>
      </c>
      <c r="FD55" s="29">
        <f>IF(OR($B55="",$A55&lt;22),"",--MID('Key Analysis'!$C51,22,1))</f>
        <v>1</v>
      </c>
      <c r="FE55" s="29">
        <f>IF(OR($B55="",$A55&lt;23),"",--MID('Key Analysis'!$C51,23,1))</f>
        <v>1</v>
      </c>
      <c r="FF55" s="29">
        <f>IF(OR($B55="",$A55&lt;24),"",--MID('Key Analysis'!$C51,24,1))</f>
        <v>1</v>
      </c>
      <c r="FG55" s="29">
        <f>IF(OR($B55="",$A55&lt;25),"",--MID('Key Analysis'!$C51,25,1))</f>
        <v>0</v>
      </c>
      <c r="FH55" s="29">
        <f>IF(OR($B55="",$A55&lt;26),"",--MID('Key Analysis'!$C51,26,1))</f>
        <v>0</v>
      </c>
      <c r="FI55" s="29">
        <f>IF(OR($B55="",$A55&lt;27),"",--MID('Key Analysis'!$C51,27,1))</f>
        <v>0</v>
      </c>
      <c r="FJ55" s="29">
        <f>IF(OR($B55="",$A55&lt;28),"",--MID('Key Analysis'!$C51,28,1))</f>
        <v>0</v>
      </c>
      <c r="FK55" s="29">
        <f>IF(OR($B55="",$A55&lt;29),"",--MID('Key Analysis'!$C51,29,1))</f>
        <v>1</v>
      </c>
      <c r="FL55" s="29">
        <f>IF(OR($B55="",$A55&lt;30),"",--MID('Key Analysis'!$C51,30,1))</f>
        <v>0</v>
      </c>
      <c r="FM55" s="29">
        <f>IF(OR($B55="",$A55&lt;31),"",--MID('Key Analysis'!$C51,31,1))</f>
        <v>1</v>
      </c>
      <c r="FN55" s="29">
        <f>IF(OR($B55="",$A55&lt;32),"",--MID('Key Analysis'!$C51,32,1))</f>
        <v>1</v>
      </c>
      <c r="FO55" s="29">
        <f>IF(OR($B55="",$A55&lt;33),"",--MID('Key Analysis'!$C51,33,1))</f>
        <v>1</v>
      </c>
      <c r="FP55" s="29">
        <f>IF(OR($B55="",$A55&lt;34),"",--MID('Key Analysis'!$C51,34,1))</f>
        <v>0</v>
      </c>
      <c r="FQ55" s="29">
        <f>IF(OR($B55="",$A55&lt;35),"",--MID('Key Analysis'!$C51,35,1))</f>
        <v>1</v>
      </c>
      <c r="FR55" s="29">
        <f>IF(OR($B55="",$A55&lt;36),"",--MID('Key Analysis'!$C51,36,1))</f>
        <v>0</v>
      </c>
      <c r="FS55" s="29">
        <f>IF(OR($B55="",$A55&lt;37),"",--MID('Key Analysis'!$C51,37,1))</f>
        <v>0</v>
      </c>
      <c r="FT55" s="29">
        <f>IF(OR($B55="",$A55&lt;38),"",--MID('Key Analysis'!$C51,38,1))</f>
        <v>1</v>
      </c>
      <c r="FU55" s="29">
        <f>IF(OR($B55="",$A55&lt;39),"",--MID('Key Analysis'!$C51,39,1))</f>
        <v>0</v>
      </c>
      <c r="FV55" s="29">
        <f>IF(OR($B55="",$A55&lt;40),"",--MID('Key Analysis'!$C51,40,1))</f>
        <v>0</v>
      </c>
      <c r="FW55" s="29">
        <f>IF(OR($B55="",$A55&lt;41),"",--MID('Key Analysis'!$C51,41,1))</f>
        <v>1</v>
      </c>
      <c r="FX55" s="29">
        <f>IF(OR($B55="",$A55&lt;42),"",--MID('Key Analysis'!$C51,42,1))</f>
        <v>1</v>
      </c>
      <c r="FY55" s="29">
        <f>IF(OR($B55="",$A55&lt;43),"",--MID('Key Analysis'!$C51,43,1))</f>
        <v>0</v>
      </c>
      <c r="FZ55" s="29">
        <f>IF(OR($B55="",$A55&lt;44),"",--MID('Key Analysis'!$C51,44,1))</f>
        <v>1</v>
      </c>
      <c r="GA55" s="29">
        <f>IF(OR($B55="",$A55&lt;45),"",--MID('Key Analysis'!$C51,45,1))</f>
        <v>0</v>
      </c>
      <c r="GB55" s="29">
        <f>IF(OR($B55="",$A55&lt;46),"",--MID('Key Analysis'!$C51,46,1))</f>
        <v>1</v>
      </c>
      <c r="GC55" s="29">
        <f>IF(OR($B55="",$A55&lt;47),"",--MID('Key Analysis'!$C51,47,1))</f>
        <v>0</v>
      </c>
      <c r="GD55" s="29">
        <f>IF(OR($B55="",$A55&lt;48),"",--MID('Key Analysis'!$C51,48,1))</f>
        <v>1</v>
      </c>
      <c r="GE55" s="29">
        <f>IF(OR($B55="",$A55&lt;49),"",--MID('Key Analysis'!$C51,49,1))</f>
        <v>0</v>
      </c>
      <c r="GF55" s="29">
        <f>IF(OR($B55="",$A55&lt;50),"",--MID('Key Analysis'!$C51,50,1))</f>
        <v>0</v>
      </c>
      <c r="GG55" s="29" t="str">
        <f>IF(OR($B55="",$A55&lt;51),"",--MID('Key Analysis'!$C51,51,1))</f>
        <v/>
      </c>
      <c r="GH55" s="29" t="str">
        <f>IF(OR($B55="",$A55&lt;52),"",--MID('Key Analysis'!$C51,52,1))</f>
        <v/>
      </c>
      <c r="GI55" s="29" t="str">
        <f>IF(OR($B55="",$A55&lt;53),"",--MID('Key Analysis'!$C51,53,1))</f>
        <v/>
      </c>
      <c r="GJ55" s="29" t="str">
        <f>IF(OR($B55="",$A55&lt;54),"",--MID('Key Analysis'!$C51,54,1))</f>
        <v/>
      </c>
      <c r="GK55" s="29" t="str">
        <f>IF(OR($B55="",$A55&lt;55),"",--MID('Key Analysis'!$C51,55,1))</f>
        <v/>
      </c>
      <c r="GL55" s="29" t="str">
        <f>IF(OR($B55="",$A55&lt;56),"",--MID('Key Analysis'!$C51,56,1))</f>
        <v/>
      </c>
      <c r="GM55" s="29" t="str">
        <f>IF(OR($B55="",$A55&lt;57),"",--MID('Key Analysis'!$C51,57,1))</f>
        <v/>
      </c>
      <c r="GN55" s="29" t="str">
        <f>IF(OR($B55="",$A55&lt;58),"",--MID('Key Analysis'!$C51,58,1))</f>
        <v/>
      </c>
      <c r="GO55" s="29" t="str">
        <f>IF(OR($B55="",$A55&lt;59),"",--MID('Key Analysis'!$C51,59,1))</f>
        <v/>
      </c>
      <c r="GP55" s="29" t="str">
        <f>IF(OR($B55="",$A55&lt;60),"",--MID('Key Analysis'!$C51,60,1))</f>
        <v/>
      </c>
      <c r="GQ55" s="29" t="str">
        <f>IF(OR($B55="",$A55&lt;61),"",--MID('Key Analysis'!$C51,61,1))</f>
        <v/>
      </c>
      <c r="GR55" s="29" t="str">
        <f>IF(OR($B55="",$A55&lt;62),"",--MID('Key Analysis'!$C51,62,1))</f>
        <v/>
      </c>
      <c r="GS55" s="29" t="str">
        <f>IF(OR($B55="",$A55&lt;63),"",--MID('Key Analysis'!$C51,63,1))</f>
        <v/>
      </c>
      <c r="GT55" s="29" t="str">
        <f>IF(OR($B55="",$A55&lt;64),"",--MID('Key Analysis'!$C51,64,1))</f>
        <v/>
      </c>
      <c r="GU55" s="29" t="str">
        <f>IF(OR($B55="",$A55&lt;65),"",--MID('Key Analysis'!$C51,65,1))</f>
        <v/>
      </c>
      <c r="GV55" s="29" t="str">
        <f>IF(OR($B55="",$A55&lt;66),"",--MID('Key Analysis'!$C51,66,1))</f>
        <v/>
      </c>
      <c r="GW55" s="29" t="str">
        <f>IF(OR($B55="",$A55&lt;67),"",--MID('Key Analysis'!$C51,67,1))</f>
        <v/>
      </c>
      <c r="GX55" s="29" t="str">
        <f>IF(OR($B55="",$A55&lt;68),"",--MID('Key Analysis'!$C51,68,1))</f>
        <v/>
      </c>
      <c r="GY55" s="29" t="str">
        <f>IF(OR($B55="",$A55&lt;69),"",--MID('Key Analysis'!$C51,69,1))</f>
        <v/>
      </c>
      <c r="GZ55" s="29" t="str">
        <f>IF(OR($B55="",$A55&lt;70),"",--MID('Key Analysis'!$C51,70,1))</f>
        <v/>
      </c>
      <c r="HA55" s="29" t="str">
        <f>IF(OR($B55="",$A55&lt;71),"",--MID('Key Analysis'!$C51,71,1))</f>
        <v/>
      </c>
      <c r="HB55" s="29" t="str">
        <f>IF(OR($B55="",$A55&lt;72),"",--MID('Key Analysis'!$C51,72,1))</f>
        <v/>
      </c>
      <c r="HC55" s="29" t="str">
        <f>IF(OR($B55="",$A55&lt;73),"",--MID('Key Analysis'!$C51,73,1))</f>
        <v/>
      </c>
      <c r="HD55" s="29" t="str">
        <f>IF(OR($B55="",$A55&lt;74),"",--MID('Key Analysis'!$C51,74,1))</f>
        <v/>
      </c>
      <c r="HE55" s="29" t="str">
        <f>IF(OR($B55="",$A55&lt;75),"",--MID('Key Analysis'!$C51,75,1))</f>
        <v/>
      </c>
      <c r="HF55" s="29" t="str">
        <f>IF(OR($B55="",$A55&lt;76),"",--MID('Key Analysis'!$C51,76,1))</f>
        <v/>
      </c>
      <c r="HG55" s="29" t="str">
        <f>IF(OR($B55="",$A55&lt;77),"",--MID('Key Analysis'!$C51,77,1))</f>
        <v/>
      </c>
      <c r="HH55" s="29" t="str">
        <f>IF(OR($B55="",$A55&lt;78),"",--MID('Key Analysis'!$C51,78,1))</f>
        <v/>
      </c>
      <c r="HI55" s="29" t="str">
        <f>IF(OR($B55="",$A55&lt;79),"",--MID('Key Analysis'!$C51,79,1))</f>
        <v/>
      </c>
      <c r="HJ55" s="29" t="str">
        <f>IF(OR($B55="",$A55&lt;80),"",--MID('Key Analysis'!$C51,80,1))</f>
        <v/>
      </c>
      <c r="HK55" s="29" t="str">
        <f>IF(OR($B55="",$A55&lt;81),"",--MID('Key Analysis'!$C51,81,1))</f>
        <v/>
      </c>
      <c r="HL55" s="29" t="str">
        <f>IF(OR($B55="",$A55&lt;82),"",--MID('Key Analysis'!$C51,82,1))</f>
        <v/>
      </c>
      <c r="HM55" s="29" t="str">
        <f>IF(OR($B55="",$A55&lt;83),"",--MID('Key Analysis'!$C51,83,1))</f>
        <v/>
      </c>
      <c r="HN55" s="29" t="str">
        <f>IF(OR($B55="",$A55&lt;84),"",--MID('Key Analysis'!$C51,84,1))</f>
        <v/>
      </c>
      <c r="HO55" s="29" t="str">
        <f>IF(OR($B55="",$A55&lt;85),"",--MID('Key Analysis'!$C51,85,1))</f>
        <v/>
      </c>
      <c r="HP55" s="29" t="str">
        <f>IF(OR($B55="",$A55&lt;86),"",--MID('Key Analysis'!$C51,86,1))</f>
        <v/>
      </c>
      <c r="HQ55" s="29" t="str">
        <f>IF(OR($B55="",$A55&lt;87),"",--MID('Key Analysis'!$C51,87,1))</f>
        <v/>
      </c>
      <c r="HR55" s="29" t="str">
        <f>IF(OR($B55="",$A55&lt;88),"",--MID('Key Analysis'!$C51,88,1))</f>
        <v/>
      </c>
      <c r="HS55" s="29" t="str">
        <f>IF(OR($B55="",$A55&lt;89),"",--MID('Key Analysis'!$C51,89,1))</f>
        <v/>
      </c>
      <c r="HT55" s="29" t="str">
        <f>IF(OR($B55="",$A55&lt;90),"",--MID('Key Analysis'!$C51,90,1))</f>
        <v/>
      </c>
      <c r="HU55" s="29" t="str">
        <f>IF(OR($B55="",$A55&lt;91),"",--MID('Key Analysis'!$C51,91,1))</f>
        <v/>
      </c>
      <c r="HV55" s="29" t="str">
        <f>IF(OR($B55="",$A55&lt;92),"",--MID('Key Analysis'!$C51,92,1))</f>
        <v/>
      </c>
      <c r="HW55" s="29" t="str">
        <f>IF(OR($B55="",$A55&lt;93),"",--MID('Key Analysis'!$C51,93,1))</f>
        <v/>
      </c>
      <c r="HX55" s="29" t="str">
        <f>IF(OR($B55="",$A55&lt;94),"",--MID('Key Analysis'!$C51,94,1))</f>
        <v/>
      </c>
      <c r="HY55" s="29" t="str">
        <f>IF(OR($B55="",$A55&lt;95),"",--MID('Key Analysis'!$C51,95,1))</f>
        <v/>
      </c>
      <c r="HZ55" s="29" t="str">
        <f>IF(OR($B55="",$A55&lt;96),"",--MID('Key Analysis'!$C51,96,1))</f>
        <v/>
      </c>
      <c r="IA55" s="29" t="str">
        <f>IF(OR($B55="",$A55&lt;97),"",--MID('Key Analysis'!$C51,97,1))</f>
        <v/>
      </c>
      <c r="IB55" s="29" t="str">
        <f>IF(OR($B55="",$A55&lt;98),"",--MID('Key Analysis'!$C51,98,1))</f>
        <v/>
      </c>
      <c r="IC55" s="29" t="str">
        <f>IF(OR($B55="",$A55&lt;99),"",--MID('Key Analysis'!$C51,99,1))</f>
        <v/>
      </c>
      <c r="ID55" s="29" t="str">
        <f>IF(OR($B55="",$A55&lt;100),"",--MID('Key Analysis'!$C51,100,1))</f>
        <v/>
      </c>
      <c r="IE55" s="29" t="str">
        <f>IF(OR($B55="",$A55&lt;101),"",--MID('Key Analysis'!$C51,101,1))</f>
        <v/>
      </c>
      <c r="IF55" s="29" t="str">
        <f>IF(OR($B55="",$A55&lt;102),"",--MID('Key Analysis'!$C51,102,1))</f>
        <v/>
      </c>
      <c r="IG55" s="29" t="str">
        <f>IF(OR($B55="",$A55&lt;103),"",--MID('Key Analysis'!$C51,103,1))</f>
        <v/>
      </c>
      <c r="IH55" s="29" t="str">
        <f>IF(OR($B55="",$A55&lt;104),"",--MID('Key Analysis'!$C51,104,1))</f>
        <v/>
      </c>
      <c r="II55" s="29" t="str">
        <f>IF(OR($B55="",$A55&lt;105),"",--MID('Key Analysis'!$C51,105,1))</f>
        <v/>
      </c>
      <c r="IJ55" s="29" t="str">
        <f>IF(OR($B55="",$A55&lt;106),"",--MID('Key Analysis'!$C51,106,1))</f>
        <v/>
      </c>
      <c r="IK55" s="29" t="str">
        <f>IF(OR($B55="",$A55&lt;107),"",--MID('Key Analysis'!$C51,107,1))</f>
        <v/>
      </c>
      <c r="IL55" s="29" t="str">
        <f>IF(OR($B55="",$A55&lt;108),"",--MID('Key Analysis'!$C51,108,1))</f>
        <v/>
      </c>
      <c r="IM55" s="29" t="str">
        <f>IF(OR($B55="",$A55&lt;109),"",--MID('Key Analysis'!$C51,109,1))</f>
        <v/>
      </c>
      <c r="IN55" s="29" t="str">
        <f>IF(OR($B55="",$A55&lt;110),"",--MID('Key Analysis'!$C51,110,1))</f>
        <v/>
      </c>
      <c r="IO55" s="29" t="str">
        <f>IF(OR($B55="",$A55&lt;111),"",--MID('Key Analysis'!$C51,111,1))</f>
        <v/>
      </c>
      <c r="IP55" s="29" t="str">
        <f>IF(OR($B55="",$A55&lt;112),"",--MID('Key Analysis'!$C51,112,1))</f>
        <v/>
      </c>
      <c r="IQ55" s="29" t="str">
        <f>IF(OR($B55="",$A55&lt;113),"",--MID('Key Analysis'!$C51,113,1))</f>
        <v/>
      </c>
      <c r="IR55" s="29" t="str">
        <f>IF(OR($B55="",$A55&lt;114),"",--MID('Key Analysis'!$C51,114,1))</f>
        <v/>
      </c>
      <c r="IS55" s="29" t="str">
        <f>IF(OR($B55="",$A55&lt;115),"",--MID('Key Analysis'!$C51,115,1))</f>
        <v/>
      </c>
      <c r="IT55" s="29" t="str">
        <f>IF(OR($B55="",$A55&lt;116),"",--MID('Key Analysis'!$C51,116,1))</f>
        <v/>
      </c>
      <c r="IU55" s="29" t="str">
        <f>IF(OR($B55="",$A55&lt;117),"",--MID('Key Analysis'!$C51,117,1))</f>
        <v/>
      </c>
      <c r="IV55" s="29" t="str">
        <f>IF(OR($B55="",$A55&lt;118),"",--MID('Key Analysis'!$C51,118,1))</f>
        <v/>
      </c>
      <c r="IW55" s="29" t="str">
        <f>IF(OR($B55="",$A55&lt;119),"",--MID('Key Analysis'!$C51,119,1))</f>
        <v/>
      </c>
      <c r="IX55" s="29" t="str">
        <f>IF(OR($B55="",$A55&lt;120),"",--MID('Key Analysis'!$C51,120,1))</f>
        <v/>
      </c>
      <c r="IY55" s="29" t="str">
        <f>IF(OR($B55="",$A55&lt;121),"",--MID('Key Analysis'!$C51,121,1))</f>
        <v/>
      </c>
      <c r="IZ55" s="29" t="str">
        <f>IF(OR($B55="",$A55&lt;122),"",--MID('Key Analysis'!$C51,122,1))</f>
        <v/>
      </c>
      <c r="JA55" s="29" t="str">
        <f>IF(OR($B55="",$A55&lt;123),"",--MID('Key Analysis'!$C51,123,1))</f>
        <v/>
      </c>
      <c r="JB55" s="29" t="str">
        <f>IF(OR($B55="",$A55&lt;124),"",--MID('Key Analysis'!$C51,124,1))</f>
        <v/>
      </c>
      <c r="JC55" s="29" t="str">
        <f>IF(OR($B55="",$A55&lt;125),"",--MID('Key Analysis'!$C51,125,1))</f>
        <v/>
      </c>
      <c r="JD55" s="29" t="str">
        <f>IF(OR($B55="",$A55&lt;126),"",--MID('Key Analysis'!$C51,126,1))</f>
        <v/>
      </c>
      <c r="JE55" s="29" t="str">
        <f>IF(OR($B55="",$A55&lt;127),"",--MID('Key Analysis'!$C51,127,1))</f>
        <v/>
      </c>
      <c r="JF55" s="29" t="str">
        <f>IF(OR($B55="",$A55&lt;128),"",--MID('Key Analysis'!$C51,128,1))</f>
        <v/>
      </c>
      <c r="JG55" s="29" t="str">
        <f>IF(OR($B55="",$A55&lt;129),"",--MID('Key Analysis'!$C51,129,1))</f>
        <v/>
      </c>
      <c r="JH55" s="29" t="str">
        <f>IF(OR($B55="",$A55&lt;130),"",--MID('Key Analysis'!$C51,130,1))</f>
        <v/>
      </c>
      <c r="JI55" s="29" t="str">
        <f>IF(OR($B55="",$A55&lt;131),"",--MID('Key Analysis'!$C51,131,1))</f>
        <v/>
      </c>
      <c r="JJ55" s="29" t="str">
        <f>IF(OR($B55="",$A55&lt;132),"",--MID('Key Analysis'!$C51,132,1))</f>
        <v/>
      </c>
      <c r="JK55" s="29" t="str">
        <f>IF(OR($B55="",$A55&lt;133),"",--MID('Key Analysis'!$C51,133,1))</f>
        <v/>
      </c>
      <c r="JL55" s="29" t="str">
        <f>IF(OR($B55="",$A55&lt;134),"",--MID('Key Analysis'!$C51,134,1))</f>
        <v/>
      </c>
      <c r="JM55" s="29" t="str">
        <f>IF(OR($B55="",$A55&lt;135),"",--MID('Key Analysis'!$C51,135,1))</f>
        <v/>
      </c>
    </row>
    <row r="56" spans="1:273" x14ac:dyDescent="0.25">
      <c r="A56" s="21">
        <f>'Key Analysis'!A52</f>
        <v>51</v>
      </c>
      <c r="B56" s="30" t="str">
        <f>'Key Analysis'!B52</f>
        <v>75070a1a009d4</v>
      </c>
      <c r="C56" s="29">
        <f>IF(OR($B56="",$A56&lt;=0),"",--MID('Key Analysis'!$C52,$A56-0,1))</f>
        <v>0</v>
      </c>
      <c r="D56" s="29">
        <f>IF(OR($B56="",$A56&lt;=1),"",--MID('Key Analysis'!$C52,$A56-1,1))</f>
        <v>0</v>
      </c>
      <c r="E56" s="29">
        <f>IF(OR($B56="",$A56&lt;=2),"",--MID('Key Analysis'!$C52,$A56-2,1))</f>
        <v>1</v>
      </c>
      <c r="F56" s="29">
        <f>IF(OR($B56="",$A56&lt;=3),"",--MID('Key Analysis'!$C52,$A56-3,1))</f>
        <v>0</v>
      </c>
      <c r="G56" s="29">
        <f>IF(OR($B56="",$A56&lt;=4),"",--MID('Key Analysis'!$C52,$A56-4,1))</f>
        <v>1</v>
      </c>
      <c r="H56" s="29">
        <f>IF(OR($B56="",$A56&lt;=5),"",--MID('Key Analysis'!$C52,$A56-5,1))</f>
        <v>0</v>
      </c>
      <c r="I56" s="29">
        <f>IF(OR($B56="",$A56&lt;=6),"",--MID('Key Analysis'!$C52,$A56-6,1))</f>
        <v>1</v>
      </c>
      <c r="J56" s="29">
        <f>IF(OR($B56="",$A56&lt;=7),"",--MID('Key Analysis'!$C52,$A56-7,1))</f>
        <v>1</v>
      </c>
      <c r="K56" s="29">
        <f>IF(OR($B56="",$A56&lt;=8),"",--MID('Key Analysis'!$C52,$A56-8,1))</f>
        <v>1</v>
      </c>
      <c r="L56" s="29">
        <f>IF(OR($B56="",$A56&lt;=9),"",--MID('Key Analysis'!$C52,$A56-9,1))</f>
        <v>0</v>
      </c>
      <c r="M56" s="29">
        <f>IF(OR($B56="",$A56&lt;=10),"",--MID('Key Analysis'!$C52,$A56-10,1))</f>
        <v>0</v>
      </c>
      <c r="N56" s="29">
        <f>IF(OR($B56="",$A56&lt;=11),"",--MID('Key Analysis'!$C52,$A56-11,1))</f>
        <v>1</v>
      </c>
      <c r="O56" s="29">
        <f>IF(OR($B56="",$A56&lt;=12),"",--MID('Key Analysis'!$C52,$A56-12,1))</f>
        <v>0</v>
      </c>
      <c r="P56" s="29">
        <f>IF(OR($B56="",$A56&lt;=13),"",--MID('Key Analysis'!$C52,$A56-13,1))</f>
        <v>0</v>
      </c>
      <c r="Q56" s="29">
        <f>IF(OR($B56="",$A56&lt;=14),"",--MID('Key Analysis'!$C52,$A56-14,1))</f>
        <v>0</v>
      </c>
      <c r="R56" s="29">
        <f>IF(OR($B56="",$A56&lt;=15),"",--MID('Key Analysis'!$C52,$A56-15,1))</f>
        <v>0</v>
      </c>
      <c r="S56" s="29">
        <f>IF(OR($B56="",$A56&lt;=16),"",--MID('Key Analysis'!$C52,$A56-16,1))</f>
        <v>0</v>
      </c>
      <c r="T56" s="29">
        <f>IF(OR($B56="",$A56&lt;=17),"",--MID('Key Analysis'!$C52,$A56-17,1))</f>
        <v>0</v>
      </c>
      <c r="U56" s="29">
        <f>IF(OR($B56="",$A56&lt;=18),"",--MID('Key Analysis'!$C52,$A56-18,1))</f>
        <v>0</v>
      </c>
      <c r="V56" s="29">
        <f>IF(OR($B56="",$A56&lt;=19),"",--MID('Key Analysis'!$C52,$A56-19,1))</f>
        <v>0</v>
      </c>
      <c r="W56" s="29">
        <f>IF(OR($B56="",$A56&lt;=20),"",--MID('Key Analysis'!$C52,$A56-20,1))</f>
        <v>0</v>
      </c>
      <c r="X56" s="29">
        <f>IF(OR($B56="",$A56&lt;=21),"",--MID('Key Analysis'!$C52,$A56-21,1))</f>
        <v>1</v>
      </c>
      <c r="Y56" s="29">
        <f>IF(OR($B56="",$A56&lt;=22),"",--MID('Key Analysis'!$C52,$A56-22,1))</f>
        <v>0</v>
      </c>
      <c r="Z56" s="29">
        <f>IF(OR($B56="",$A56&lt;=23),"",--MID('Key Analysis'!$C52,$A56-23,1))</f>
        <v>1</v>
      </c>
      <c r="AA56" s="29">
        <f>IF(OR($B56="",$A56&lt;=24),"",--MID('Key Analysis'!$C52,$A56-24,1))</f>
        <v>1</v>
      </c>
      <c r="AB56" s="29">
        <f>IF(OR($B56="",$A56&lt;=25),"",--MID('Key Analysis'!$C52,$A56-25,1))</f>
        <v>0</v>
      </c>
      <c r="AC56" s="29">
        <f>IF(OR($B56="",$A56&lt;=26),"",--MID('Key Analysis'!$C52,$A56-26,1))</f>
        <v>0</v>
      </c>
      <c r="AD56" s="29">
        <f>IF(OR($B56="",$A56&lt;=27),"",--MID('Key Analysis'!$C52,$A56-27,1))</f>
        <v>0</v>
      </c>
      <c r="AE56" s="29">
        <f>IF(OR($B56="",$A56&lt;=28),"",--MID('Key Analysis'!$C52,$A56-28,1))</f>
        <v>0</v>
      </c>
      <c r="AF56" s="29">
        <f>IF(OR($B56="",$A56&lt;=29),"",--MID('Key Analysis'!$C52,$A56-29,1))</f>
        <v>1</v>
      </c>
      <c r="AG56" s="29">
        <f>IF(OR($B56="",$A56&lt;=30),"",--MID('Key Analysis'!$C52,$A56-30,1))</f>
        <v>0</v>
      </c>
      <c r="AH56" s="29">
        <f>IF(OR($B56="",$A56&lt;=31),"",--MID('Key Analysis'!$C52,$A56-31,1))</f>
        <v>1</v>
      </c>
      <c r="AI56" s="29">
        <f>IF(OR($B56="",$A56&lt;=32),"",--MID('Key Analysis'!$C52,$A56-32,1))</f>
        <v>0</v>
      </c>
      <c r="AJ56" s="29">
        <f>IF(OR($B56="",$A56&lt;=33),"",--MID('Key Analysis'!$C52,$A56-33,1))</f>
        <v>0</v>
      </c>
      <c r="AK56" s="29">
        <f>IF(OR($B56="",$A56&lt;=34),"",--MID('Key Analysis'!$C52,$A56-34,1))</f>
        <v>0</v>
      </c>
      <c r="AL56" s="29">
        <f>IF(OR($B56="",$A56&lt;=35),"",--MID('Key Analysis'!$C52,$A56-35,1))</f>
        <v>0</v>
      </c>
      <c r="AM56" s="29">
        <f>IF(OR($B56="",$A56&lt;=36),"",--MID('Key Analysis'!$C52,$A56-36,1))</f>
        <v>1</v>
      </c>
      <c r="AN56" s="29">
        <f>IF(OR($B56="",$A56&lt;=37),"",--MID('Key Analysis'!$C52,$A56-37,1))</f>
        <v>1</v>
      </c>
      <c r="AO56" s="29">
        <f>IF(OR($B56="",$A56&lt;=38),"",--MID('Key Analysis'!$C52,$A56-38,1))</f>
        <v>1</v>
      </c>
      <c r="AP56" s="29">
        <f>IF(OR($B56="",$A56&lt;=39),"",--MID('Key Analysis'!$C52,$A56-39,1))</f>
        <v>0</v>
      </c>
      <c r="AQ56" s="29">
        <f>IF(OR($B56="",$A56&lt;=40),"",--MID('Key Analysis'!$C52,$A56-40,1))</f>
        <v>0</v>
      </c>
      <c r="AR56" s="29">
        <f>IF(OR($B56="",$A56&lt;=41),"",--MID('Key Analysis'!$C52,$A56-41,1))</f>
        <v>0</v>
      </c>
      <c r="AS56" s="29">
        <f>IF(OR($B56="",$A56&lt;=42),"",--MID('Key Analysis'!$C52,$A56-42,1))</f>
        <v>0</v>
      </c>
      <c r="AT56" s="29">
        <f>IF(OR($B56="",$A56&lt;=43),"",--MID('Key Analysis'!$C52,$A56-43,1))</f>
        <v>0</v>
      </c>
      <c r="AU56" s="29">
        <f>IF(OR($B56="",$A56&lt;=44),"",--MID('Key Analysis'!$C52,$A56-44,1))</f>
        <v>1</v>
      </c>
      <c r="AV56" s="29">
        <f>IF(OR($B56="",$A56&lt;=45),"",--MID('Key Analysis'!$C52,$A56-45,1))</f>
        <v>0</v>
      </c>
      <c r="AW56" s="29">
        <f>IF(OR($B56="",$A56&lt;=46),"",--MID('Key Analysis'!$C52,$A56-46,1))</f>
        <v>1</v>
      </c>
      <c r="AX56" s="29">
        <f>IF(OR($B56="",$A56&lt;=47),"",--MID('Key Analysis'!$C52,$A56-47,1))</f>
        <v>0</v>
      </c>
      <c r="AY56" s="29">
        <f>IF(OR($B56="",$A56&lt;=48),"",--MID('Key Analysis'!$C52,$A56-48,1))</f>
        <v>1</v>
      </c>
      <c r="AZ56" s="29">
        <f>IF(OR($B56="",$A56&lt;=49),"",--MID('Key Analysis'!$C52,$A56-49,1))</f>
        <v>1</v>
      </c>
      <c r="BA56" s="29">
        <f>IF(OR($B56="",$A56&lt;=50),"",--MID('Key Analysis'!$C52,$A56-50,1))</f>
        <v>1</v>
      </c>
      <c r="BB56" s="29" t="str">
        <f>IF(OR($B56="",$A56&lt;=51),"",--MID('Key Analysis'!$C52,$A56-51,1))</f>
        <v/>
      </c>
      <c r="BC56" s="29" t="str">
        <f>IF(OR($B56="",$A56&lt;=52),"",--MID('Key Analysis'!$C52,$A56-52,1))</f>
        <v/>
      </c>
      <c r="BD56" s="29" t="str">
        <f>IF(OR($B56="",$A56&lt;=53),"",--MID('Key Analysis'!$C52,$A56-53,1))</f>
        <v/>
      </c>
      <c r="BE56" s="29" t="str">
        <f>IF(OR($B56="",$A56&lt;=54),"",--MID('Key Analysis'!$C52,$A56-54,1))</f>
        <v/>
      </c>
      <c r="BF56" s="29" t="str">
        <f>IF(OR($B56="",$A56&lt;=55),"",--MID('Key Analysis'!$C52,$A56-55,1))</f>
        <v/>
      </c>
      <c r="BG56" s="29" t="str">
        <f>IF(OR($B56="",$A56&lt;=56),"",--MID('Key Analysis'!$C52,$A56-56,1))</f>
        <v/>
      </c>
      <c r="BH56" s="29" t="str">
        <f>IF(OR($B56="",$A56&lt;=57),"",--MID('Key Analysis'!$C52,$A56-57,1))</f>
        <v/>
      </c>
      <c r="BI56" s="29" t="str">
        <f>IF(OR($B56="",$A56&lt;=58),"",--MID('Key Analysis'!$C52,$A56-58,1))</f>
        <v/>
      </c>
      <c r="BJ56" s="29" t="str">
        <f>IF(OR($B56="",$A56&lt;=59),"",--MID('Key Analysis'!$C52,$A56-59,1))</f>
        <v/>
      </c>
      <c r="BK56" s="29" t="str">
        <f>IF(OR($B56="",$A56&lt;=60),"",--MID('Key Analysis'!$C52,$A56-60,1))</f>
        <v/>
      </c>
      <c r="BL56" s="29" t="str">
        <f>IF(OR($B56="",$A56&lt;=61),"",--MID('Key Analysis'!$C52,$A56-61,1))</f>
        <v/>
      </c>
      <c r="BM56" s="29" t="str">
        <f>IF(OR($B56="",$A56&lt;=62),"",--MID('Key Analysis'!$C52,$A56-62,1))</f>
        <v/>
      </c>
      <c r="BN56" s="29" t="str">
        <f>IF(OR($B56="",$A56&lt;=63),"",--MID('Key Analysis'!$C52,$A56-63,1))</f>
        <v/>
      </c>
      <c r="BO56" s="29" t="str">
        <f>IF(OR($B56="",$A56&lt;=64),"",--MID('Key Analysis'!$C52,$A56-64,1))</f>
        <v/>
      </c>
      <c r="BP56" s="29" t="str">
        <f>IF(OR($B56="",$A56&lt;=65),"",--MID('Key Analysis'!$C52,$A56-65,1))</f>
        <v/>
      </c>
      <c r="BQ56" s="29" t="str">
        <f>IF(OR($B56="",$A56&lt;=66),"",--MID('Key Analysis'!$C52,$A56-66,1))</f>
        <v/>
      </c>
      <c r="BR56" s="29" t="str">
        <f>IF(OR($B56="",$A56&lt;=67),"",--MID('Key Analysis'!$C52,$A56-67,1))</f>
        <v/>
      </c>
      <c r="BS56" s="29" t="str">
        <f>IF(OR($B56="",$A56&lt;=68),"",--MID('Key Analysis'!$C52,$A56-68,1))</f>
        <v/>
      </c>
      <c r="BT56" s="29" t="str">
        <f>IF(OR($B56="",$A56&lt;=69),"",--MID('Key Analysis'!$C52,$A56-69,1))</f>
        <v/>
      </c>
      <c r="BU56" s="29" t="str">
        <f>IF(OR($B56="",$A56&lt;=70),"",--MID('Key Analysis'!$C52,$A56-70,1))</f>
        <v/>
      </c>
      <c r="BV56" s="29" t="str">
        <f>IF(OR($B56="",$A56&lt;=71),"",--MID('Key Analysis'!$C52,$A56-71,1))</f>
        <v/>
      </c>
      <c r="BW56" s="29" t="str">
        <f>IF(OR($B56="",$A56&lt;=72),"",--MID('Key Analysis'!$C52,$A56-72,1))</f>
        <v/>
      </c>
      <c r="BX56" s="29" t="str">
        <f>IF(OR($B56="",$A56&lt;=73),"",--MID('Key Analysis'!$C52,$A56-73,1))</f>
        <v/>
      </c>
      <c r="BY56" s="29" t="str">
        <f>IF(OR($B56="",$A56&lt;=74),"",--MID('Key Analysis'!$C52,$A56-74,1))</f>
        <v/>
      </c>
      <c r="BZ56" s="29" t="str">
        <f>IF(OR($B56="",$A56&lt;=75),"",--MID('Key Analysis'!$C52,$A56-75,1))</f>
        <v/>
      </c>
      <c r="CA56" s="29" t="str">
        <f>IF(OR($B56="",$A56&lt;=76),"",--MID('Key Analysis'!$C52,$A56-76,1))</f>
        <v/>
      </c>
      <c r="CB56" s="29" t="str">
        <f>IF(OR($B56="",$A56&lt;=77),"",--MID('Key Analysis'!$C52,$A56-77,1))</f>
        <v/>
      </c>
      <c r="CC56" s="29" t="str">
        <f>IF(OR($B56="",$A56&lt;=78),"",--MID('Key Analysis'!$C52,$A56-78,1))</f>
        <v/>
      </c>
      <c r="CD56" s="29" t="str">
        <f>IF(OR($B56="",$A56&lt;=79),"",--MID('Key Analysis'!$C52,$A56-79,1))</f>
        <v/>
      </c>
      <c r="CE56" s="29" t="str">
        <f>IF(OR($B56="",$A56&lt;=80),"",--MID('Key Analysis'!$C52,$A56-80,1))</f>
        <v/>
      </c>
      <c r="CF56" s="29" t="str">
        <f>IF(OR($B56="",$A56&lt;=81),"",--MID('Key Analysis'!$C52,$A56-81,1))</f>
        <v/>
      </c>
      <c r="CG56" s="29" t="str">
        <f>IF(OR($B56="",$A56&lt;=82),"",--MID('Key Analysis'!$C52,$A56-82,1))</f>
        <v/>
      </c>
      <c r="CH56" s="29" t="str">
        <f>IF(OR($B56="",$A56&lt;=83),"",--MID('Key Analysis'!$C52,$A56-83,1))</f>
        <v/>
      </c>
      <c r="CI56" s="29" t="str">
        <f>IF(OR($B56="",$A56&lt;=84),"",--MID('Key Analysis'!$C52,$A56-84,1))</f>
        <v/>
      </c>
      <c r="CJ56" s="29" t="str">
        <f>IF(OR($B56="",$A56&lt;=85),"",--MID('Key Analysis'!$C52,$A56-85,1))</f>
        <v/>
      </c>
      <c r="CK56" s="29" t="str">
        <f>IF(OR($B56="",$A56&lt;=86),"",--MID('Key Analysis'!$C52,$A56-86,1))</f>
        <v/>
      </c>
      <c r="CL56" s="29" t="str">
        <f>IF(OR($B56="",$A56&lt;=87),"",--MID('Key Analysis'!$C52,$A56-87,1))</f>
        <v/>
      </c>
      <c r="CM56" s="29" t="str">
        <f>IF(OR($B56="",$A56&lt;=88),"",--MID('Key Analysis'!$C52,$A56-88,1))</f>
        <v/>
      </c>
      <c r="CN56" s="29" t="str">
        <f>IF(OR($B56="",$A56&lt;=89),"",--MID('Key Analysis'!$C52,$A56-89,1))</f>
        <v/>
      </c>
      <c r="CO56" s="29" t="str">
        <f>IF(OR($B56="",$A56&lt;=90),"",--MID('Key Analysis'!$C52,$A56-90,1))</f>
        <v/>
      </c>
      <c r="CP56" s="29" t="str">
        <f>IF(OR($B56="",$A56&lt;=91),"",--MID('Key Analysis'!$C52,$A56-91,1))</f>
        <v/>
      </c>
      <c r="CQ56" s="29" t="str">
        <f>IF(OR($B56="",$A56&lt;=92),"",--MID('Key Analysis'!$C52,$A56-92,1))</f>
        <v/>
      </c>
      <c r="CR56" s="29" t="str">
        <f>IF(OR($B56="",$A56&lt;=93),"",--MID('Key Analysis'!$C52,$A56-93,1))</f>
        <v/>
      </c>
      <c r="CS56" s="29" t="str">
        <f>IF(OR($B56="",$A56&lt;=94),"",--MID('Key Analysis'!$C52,$A56-94,1))</f>
        <v/>
      </c>
      <c r="CT56" s="29" t="str">
        <f>IF(OR($B56="",$A56&lt;=95),"",--MID('Key Analysis'!$C52,$A56-95,1))</f>
        <v/>
      </c>
      <c r="CU56" s="29" t="str">
        <f>IF(OR($B56="",$A56&lt;=96),"",--MID('Key Analysis'!$C52,$A56-96,1))</f>
        <v/>
      </c>
      <c r="CV56" s="29" t="str">
        <f>IF(OR($B56="",$A56&lt;=97),"",--MID('Key Analysis'!$C52,$A56-97,1))</f>
        <v/>
      </c>
      <c r="CW56" s="29" t="str">
        <f>IF(OR($B56="",$A56&lt;=98),"",--MID('Key Analysis'!$C52,$A56-98,1))</f>
        <v/>
      </c>
      <c r="CX56" s="29" t="str">
        <f>IF(OR($B56="",$A56&lt;=99),"",--MID('Key Analysis'!$C52,$A56-99,1))</f>
        <v/>
      </c>
      <c r="CY56" s="29" t="str">
        <f>IF(OR($B56="",$A56&lt;=100),"",--MID('Key Analysis'!$C52,$A56-100,1))</f>
        <v/>
      </c>
      <c r="CZ56" s="29" t="str">
        <f>IF(OR($B56="",$A56&lt;=101),"",--MID('Key Analysis'!$C52,$A56-101,1))</f>
        <v/>
      </c>
      <c r="DA56" s="29" t="str">
        <f>IF(OR($B56="",$A56&lt;=102),"",--MID('Key Analysis'!$C52,$A56-102,1))</f>
        <v/>
      </c>
      <c r="DB56" s="29" t="str">
        <f>IF(OR($B56="",$A56&lt;=103),"",--MID('Key Analysis'!$C52,$A56-103,1))</f>
        <v/>
      </c>
      <c r="DC56" s="29" t="str">
        <f>IF(OR($B56="",$A56&lt;=104),"",--MID('Key Analysis'!$C52,$A56-104,1))</f>
        <v/>
      </c>
      <c r="DD56" s="29" t="str">
        <f>IF(OR($B56="",$A56&lt;=105),"",--MID('Key Analysis'!$C52,$A56-105,1))</f>
        <v/>
      </c>
      <c r="DE56" s="29" t="str">
        <f>IF(OR($B56="",$A56&lt;=106),"",--MID('Key Analysis'!$C52,$A56-106,1))</f>
        <v/>
      </c>
      <c r="DF56" s="29" t="str">
        <f>IF(OR($B56="",$A56&lt;=107),"",--MID('Key Analysis'!$C52,$A56-107,1))</f>
        <v/>
      </c>
      <c r="DG56" s="29" t="str">
        <f>IF(OR($B56="",$A56&lt;=108),"",--MID('Key Analysis'!$C52,$A56-108,1))</f>
        <v/>
      </c>
      <c r="DH56" s="29" t="str">
        <f>IF(OR($B56="",$A56&lt;=109),"",--MID('Key Analysis'!$C52,$A56-109,1))</f>
        <v/>
      </c>
      <c r="DI56" s="29" t="str">
        <f>IF(OR($B56="",$A56&lt;=110),"",--MID('Key Analysis'!$C52,$A56-110,1))</f>
        <v/>
      </c>
      <c r="DJ56" s="29" t="str">
        <f>IF(OR($B56="",$A56&lt;=111),"",--MID('Key Analysis'!$C52,$A56-111,1))</f>
        <v/>
      </c>
      <c r="DK56" s="29" t="str">
        <f>IF(OR($B56="",$A56&lt;=112),"",--MID('Key Analysis'!$C52,$A56-112,1))</f>
        <v/>
      </c>
      <c r="DL56" s="29" t="str">
        <f>IF(OR($B56="",$A56&lt;=113),"",--MID('Key Analysis'!$C52,$A56-113,1))</f>
        <v/>
      </c>
      <c r="DM56" s="29" t="str">
        <f>IF(OR($B56="",$A56&lt;=114),"",--MID('Key Analysis'!$C52,$A56-114,1))</f>
        <v/>
      </c>
      <c r="DN56" s="29" t="str">
        <f>IF(OR($B56="",$A56&lt;=115),"",--MID('Key Analysis'!$C52,$A56-115,1))</f>
        <v/>
      </c>
      <c r="DO56" s="29" t="str">
        <f>IF(OR($B56="",$A56&lt;=116),"",--MID('Key Analysis'!$C52,$A56-116,1))</f>
        <v/>
      </c>
      <c r="DP56" s="29" t="str">
        <f>IF(OR($B56="",$A56&lt;=117),"",--MID('Key Analysis'!$C52,$A56-117,1))</f>
        <v/>
      </c>
      <c r="DQ56" s="29" t="str">
        <f>IF(OR($B56="",$A56&lt;=118),"",--MID('Key Analysis'!$C52,$A56-118,1))</f>
        <v/>
      </c>
      <c r="DR56" s="29" t="str">
        <f>IF(OR($B56="",$A56&lt;=119),"",--MID('Key Analysis'!$C52,$A56-119,1))</f>
        <v/>
      </c>
      <c r="DS56" s="29" t="str">
        <f>IF(OR($B56="",$A56&lt;=120),"",--MID('Key Analysis'!$C52,$A56-120,1))</f>
        <v/>
      </c>
      <c r="DT56" s="29" t="str">
        <f>IF(OR($B56="",$A56&lt;=121),"",--MID('Key Analysis'!$C52,$A56-121,1))</f>
        <v/>
      </c>
      <c r="DU56" s="29" t="str">
        <f>IF(OR($B56="",$A56&lt;=122),"",--MID('Key Analysis'!$C52,$A56-122,1))</f>
        <v/>
      </c>
      <c r="DV56" s="29" t="str">
        <f>IF(OR($B56="",$A56&lt;=123),"",--MID('Key Analysis'!$C52,$A56-123,1))</f>
        <v/>
      </c>
      <c r="DW56" s="29" t="str">
        <f>IF(OR($B56="",$A56&lt;=124),"",--MID('Key Analysis'!$C52,$A56-124,1))</f>
        <v/>
      </c>
      <c r="DX56" s="29" t="str">
        <f>IF(OR($B56="",$A56&lt;=125),"",--MID('Key Analysis'!$C52,$A56-125,1))</f>
        <v/>
      </c>
      <c r="DY56" s="29" t="str">
        <f>IF(OR($B56="",$A56&lt;=126),"",--MID('Key Analysis'!$C52,$A56-126,1))</f>
        <v/>
      </c>
      <c r="DZ56" s="29" t="str">
        <f>IF(OR($B56="",$A56&lt;=127),"",--MID('Key Analysis'!$C52,$A56-127,1))</f>
        <v/>
      </c>
      <c r="EA56" s="29" t="str">
        <f>IF(OR($B56="",$A56&lt;=128),"",--MID('Key Analysis'!$C52,$A56-128,1))</f>
        <v/>
      </c>
      <c r="EB56" s="29" t="str">
        <f>IF(OR($B56="",$A56&lt;=129),"",--MID('Key Analysis'!$C52,$A56-129,1))</f>
        <v/>
      </c>
      <c r="EC56" s="29" t="str">
        <f>IF(OR($B56="",$A56&lt;=130),"",--MID('Key Analysis'!$C52,$A56-130,1))</f>
        <v/>
      </c>
      <c r="ED56" s="29" t="str">
        <f>IF(OR($B56="",$A56&lt;=131),"",--MID('Key Analysis'!$C52,$A56-131,1))</f>
        <v/>
      </c>
      <c r="EE56" s="29" t="str">
        <f>IF(OR($B56="",$A56&lt;=132),"",--MID('Key Analysis'!$C52,$A56-132,1))</f>
        <v/>
      </c>
      <c r="EF56" s="29" t="str">
        <f>IF(OR($B56="",$A56&lt;=133),"",--MID('Key Analysis'!$C52,$A56-133,1))</f>
        <v/>
      </c>
      <c r="EG56" s="29" t="str">
        <f>IF(OR($B56="",$A56&lt;=134),"",--MID('Key Analysis'!$C52,$A56-134,1))</f>
        <v/>
      </c>
      <c r="EH56" s="29"/>
      <c r="EI56" s="29">
        <f>IF(OR($B56="",$A56&lt;1),"",--MID('Key Analysis'!$C52,1,1))</f>
        <v>1</v>
      </c>
      <c r="EJ56" s="29">
        <f>IF(OR($B56="",$A56&lt;2),"",--MID('Key Analysis'!$C52,2,1))</f>
        <v>1</v>
      </c>
      <c r="EK56" s="29">
        <f>IF(OR($B56="",$A56&lt;3),"",--MID('Key Analysis'!$C52,3,1))</f>
        <v>1</v>
      </c>
      <c r="EL56" s="29">
        <f>IF(OR($B56="",$A56&lt;4),"",--MID('Key Analysis'!$C52,4,1))</f>
        <v>0</v>
      </c>
      <c r="EM56" s="29">
        <f>IF(OR($B56="",$A56&lt;5),"",--MID('Key Analysis'!$C52,5,1))</f>
        <v>1</v>
      </c>
      <c r="EN56" s="29">
        <f>IF(OR($B56="",$A56&lt;6),"",--MID('Key Analysis'!$C52,6,1))</f>
        <v>0</v>
      </c>
      <c r="EO56" s="29">
        <f>IF(OR($B56="",$A56&lt;7),"",--MID('Key Analysis'!$C52,7,1))</f>
        <v>1</v>
      </c>
      <c r="EP56" s="29">
        <f>IF(OR($B56="",$A56&lt;8),"",--MID('Key Analysis'!$C52,8,1))</f>
        <v>0</v>
      </c>
      <c r="EQ56" s="29">
        <f>IF(OR($B56="",$A56&lt;9),"",--MID('Key Analysis'!$C52,9,1))</f>
        <v>0</v>
      </c>
      <c r="ER56" s="29">
        <f>IF(OR($B56="",$A56&lt;10),"",--MID('Key Analysis'!$C52,10,1))</f>
        <v>0</v>
      </c>
      <c r="ES56" s="29">
        <f>IF(OR($B56="",$A56&lt;11),"",--MID('Key Analysis'!$C52,11,1))</f>
        <v>0</v>
      </c>
      <c r="ET56" s="29">
        <f>IF(OR($B56="",$A56&lt;12),"",--MID('Key Analysis'!$C52,12,1))</f>
        <v>0</v>
      </c>
      <c r="EU56" s="29">
        <f>IF(OR($B56="",$A56&lt;13),"",--MID('Key Analysis'!$C52,13,1))</f>
        <v>1</v>
      </c>
      <c r="EV56" s="29">
        <f>IF(OR($B56="",$A56&lt;14),"",--MID('Key Analysis'!$C52,14,1))</f>
        <v>1</v>
      </c>
      <c r="EW56" s="29">
        <f>IF(OR($B56="",$A56&lt;15),"",--MID('Key Analysis'!$C52,15,1))</f>
        <v>1</v>
      </c>
      <c r="EX56" s="29">
        <f>IF(OR($B56="",$A56&lt;16),"",--MID('Key Analysis'!$C52,16,1))</f>
        <v>0</v>
      </c>
      <c r="EY56" s="29">
        <f>IF(OR($B56="",$A56&lt;17),"",--MID('Key Analysis'!$C52,17,1))</f>
        <v>0</v>
      </c>
      <c r="EZ56" s="29">
        <f>IF(OR($B56="",$A56&lt;18),"",--MID('Key Analysis'!$C52,18,1))</f>
        <v>0</v>
      </c>
      <c r="FA56" s="29">
        <f>IF(OR($B56="",$A56&lt;19),"",--MID('Key Analysis'!$C52,19,1))</f>
        <v>0</v>
      </c>
      <c r="FB56" s="29">
        <f>IF(OR($B56="",$A56&lt;20),"",--MID('Key Analysis'!$C52,20,1))</f>
        <v>1</v>
      </c>
      <c r="FC56" s="29">
        <f>IF(OR($B56="",$A56&lt;21),"",--MID('Key Analysis'!$C52,21,1))</f>
        <v>0</v>
      </c>
      <c r="FD56" s="29">
        <f>IF(OR($B56="",$A56&lt;22),"",--MID('Key Analysis'!$C52,22,1))</f>
        <v>1</v>
      </c>
      <c r="FE56" s="29">
        <f>IF(OR($B56="",$A56&lt;23),"",--MID('Key Analysis'!$C52,23,1))</f>
        <v>0</v>
      </c>
      <c r="FF56" s="29">
        <f>IF(OR($B56="",$A56&lt;24),"",--MID('Key Analysis'!$C52,24,1))</f>
        <v>0</v>
      </c>
      <c r="FG56" s="29">
        <f>IF(OR($B56="",$A56&lt;25),"",--MID('Key Analysis'!$C52,25,1))</f>
        <v>0</v>
      </c>
      <c r="FH56" s="29">
        <f>IF(OR($B56="",$A56&lt;26),"",--MID('Key Analysis'!$C52,26,1))</f>
        <v>0</v>
      </c>
      <c r="FI56" s="29">
        <f>IF(OR($B56="",$A56&lt;27),"",--MID('Key Analysis'!$C52,27,1))</f>
        <v>1</v>
      </c>
      <c r="FJ56" s="29">
        <f>IF(OR($B56="",$A56&lt;28),"",--MID('Key Analysis'!$C52,28,1))</f>
        <v>1</v>
      </c>
      <c r="FK56" s="29">
        <f>IF(OR($B56="",$A56&lt;29),"",--MID('Key Analysis'!$C52,29,1))</f>
        <v>0</v>
      </c>
      <c r="FL56" s="29">
        <f>IF(OR($B56="",$A56&lt;30),"",--MID('Key Analysis'!$C52,30,1))</f>
        <v>1</v>
      </c>
      <c r="FM56" s="29">
        <f>IF(OR($B56="",$A56&lt;31),"",--MID('Key Analysis'!$C52,31,1))</f>
        <v>0</v>
      </c>
      <c r="FN56" s="29">
        <f>IF(OR($B56="",$A56&lt;32),"",--MID('Key Analysis'!$C52,32,1))</f>
        <v>0</v>
      </c>
      <c r="FO56" s="29">
        <f>IF(OR($B56="",$A56&lt;33),"",--MID('Key Analysis'!$C52,33,1))</f>
        <v>0</v>
      </c>
      <c r="FP56" s="29">
        <f>IF(OR($B56="",$A56&lt;34),"",--MID('Key Analysis'!$C52,34,1))</f>
        <v>0</v>
      </c>
      <c r="FQ56" s="29">
        <f>IF(OR($B56="",$A56&lt;35),"",--MID('Key Analysis'!$C52,35,1))</f>
        <v>0</v>
      </c>
      <c r="FR56" s="29">
        <f>IF(OR($B56="",$A56&lt;36),"",--MID('Key Analysis'!$C52,36,1))</f>
        <v>0</v>
      </c>
      <c r="FS56" s="29">
        <f>IF(OR($B56="",$A56&lt;37),"",--MID('Key Analysis'!$C52,37,1))</f>
        <v>0</v>
      </c>
      <c r="FT56" s="29">
        <f>IF(OR($B56="",$A56&lt;38),"",--MID('Key Analysis'!$C52,38,1))</f>
        <v>0</v>
      </c>
      <c r="FU56" s="29">
        <f>IF(OR($B56="",$A56&lt;39),"",--MID('Key Analysis'!$C52,39,1))</f>
        <v>0</v>
      </c>
      <c r="FV56" s="29">
        <f>IF(OR($B56="",$A56&lt;40),"",--MID('Key Analysis'!$C52,40,1))</f>
        <v>1</v>
      </c>
      <c r="FW56" s="29">
        <f>IF(OR($B56="",$A56&lt;41),"",--MID('Key Analysis'!$C52,41,1))</f>
        <v>0</v>
      </c>
      <c r="FX56" s="29">
        <f>IF(OR($B56="",$A56&lt;42),"",--MID('Key Analysis'!$C52,42,1))</f>
        <v>0</v>
      </c>
      <c r="FY56" s="29">
        <f>IF(OR($B56="",$A56&lt;43),"",--MID('Key Analysis'!$C52,43,1))</f>
        <v>1</v>
      </c>
      <c r="FZ56" s="29">
        <f>IF(OR($B56="",$A56&lt;44),"",--MID('Key Analysis'!$C52,44,1))</f>
        <v>1</v>
      </c>
      <c r="GA56" s="29">
        <f>IF(OR($B56="",$A56&lt;45),"",--MID('Key Analysis'!$C52,45,1))</f>
        <v>1</v>
      </c>
      <c r="GB56" s="29">
        <f>IF(OR($B56="",$A56&lt;46),"",--MID('Key Analysis'!$C52,46,1))</f>
        <v>0</v>
      </c>
      <c r="GC56" s="29">
        <f>IF(OR($B56="",$A56&lt;47),"",--MID('Key Analysis'!$C52,47,1))</f>
        <v>1</v>
      </c>
      <c r="GD56" s="29">
        <f>IF(OR($B56="",$A56&lt;48),"",--MID('Key Analysis'!$C52,48,1))</f>
        <v>0</v>
      </c>
      <c r="GE56" s="29">
        <f>IF(OR($B56="",$A56&lt;49),"",--MID('Key Analysis'!$C52,49,1))</f>
        <v>1</v>
      </c>
      <c r="GF56" s="29">
        <f>IF(OR($B56="",$A56&lt;50),"",--MID('Key Analysis'!$C52,50,1))</f>
        <v>0</v>
      </c>
      <c r="GG56" s="29">
        <f>IF(OR($B56="",$A56&lt;51),"",--MID('Key Analysis'!$C52,51,1))</f>
        <v>0</v>
      </c>
      <c r="GH56" s="29" t="str">
        <f>IF(OR($B56="",$A56&lt;52),"",--MID('Key Analysis'!$C52,52,1))</f>
        <v/>
      </c>
      <c r="GI56" s="29" t="str">
        <f>IF(OR($B56="",$A56&lt;53),"",--MID('Key Analysis'!$C52,53,1))</f>
        <v/>
      </c>
      <c r="GJ56" s="29" t="str">
        <f>IF(OR($B56="",$A56&lt;54),"",--MID('Key Analysis'!$C52,54,1))</f>
        <v/>
      </c>
      <c r="GK56" s="29" t="str">
        <f>IF(OR($B56="",$A56&lt;55),"",--MID('Key Analysis'!$C52,55,1))</f>
        <v/>
      </c>
      <c r="GL56" s="29" t="str">
        <f>IF(OR($B56="",$A56&lt;56),"",--MID('Key Analysis'!$C52,56,1))</f>
        <v/>
      </c>
      <c r="GM56" s="29" t="str">
        <f>IF(OR($B56="",$A56&lt;57),"",--MID('Key Analysis'!$C52,57,1))</f>
        <v/>
      </c>
      <c r="GN56" s="29" t="str">
        <f>IF(OR($B56="",$A56&lt;58),"",--MID('Key Analysis'!$C52,58,1))</f>
        <v/>
      </c>
      <c r="GO56" s="29" t="str">
        <f>IF(OR($B56="",$A56&lt;59),"",--MID('Key Analysis'!$C52,59,1))</f>
        <v/>
      </c>
      <c r="GP56" s="29" t="str">
        <f>IF(OR($B56="",$A56&lt;60),"",--MID('Key Analysis'!$C52,60,1))</f>
        <v/>
      </c>
      <c r="GQ56" s="29" t="str">
        <f>IF(OR($B56="",$A56&lt;61),"",--MID('Key Analysis'!$C52,61,1))</f>
        <v/>
      </c>
      <c r="GR56" s="29" t="str">
        <f>IF(OR($B56="",$A56&lt;62),"",--MID('Key Analysis'!$C52,62,1))</f>
        <v/>
      </c>
      <c r="GS56" s="29" t="str">
        <f>IF(OR($B56="",$A56&lt;63),"",--MID('Key Analysis'!$C52,63,1))</f>
        <v/>
      </c>
      <c r="GT56" s="29" t="str">
        <f>IF(OR($B56="",$A56&lt;64),"",--MID('Key Analysis'!$C52,64,1))</f>
        <v/>
      </c>
      <c r="GU56" s="29" t="str">
        <f>IF(OR($B56="",$A56&lt;65),"",--MID('Key Analysis'!$C52,65,1))</f>
        <v/>
      </c>
      <c r="GV56" s="29" t="str">
        <f>IF(OR($B56="",$A56&lt;66),"",--MID('Key Analysis'!$C52,66,1))</f>
        <v/>
      </c>
      <c r="GW56" s="29" t="str">
        <f>IF(OR($B56="",$A56&lt;67),"",--MID('Key Analysis'!$C52,67,1))</f>
        <v/>
      </c>
      <c r="GX56" s="29" t="str">
        <f>IF(OR($B56="",$A56&lt;68),"",--MID('Key Analysis'!$C52,68,1))</f>
        <v/>
      </c>
      <c r="GY56" s="29" t="str">
        <f>IF(OR($B56="",$A56&lt;69),"",--MID('Key Analysis'!$C52,69,1))</f>
        <v/>
      </c>
      <c r="GZ56" s="29" t="str">
        <f>IF(OR($B56="",$A56&lt;70),"",--MID('Key Analysis'!$C52,70,1))</f>
        <v/>
      </c>
      <c r="HA56" s="29" t="str">
        <f>IF(OR($B56="",$A56&lt;71),"",--MID('Key Analysis'!$C52,71,1))</f>
        <v/>
      </c>
      <c r="HB56" s="29" t="str">
        <f>IF(OR($B56="",$A56&lt;72),"",--MID('Key Analysis'!$C52,72,1))</f>
        <v/>
      </c>
      <c r="HC56" s="29" t="str">
        <f>IF(OR($B56="",$A56&lt;73),"",--MID('Key Analysis'!$C52,73,1))</f>
        <v/>
      </c>
      <c r="HD56" s="29" t="str">
        <f>IF(OR($B56="",$A56&lt;74),"",--MID('Key Analysis'!$C52,74,1))</f>
        <v/>
      </c>
      <c r="HE56" s="29" t="str">
        <f>IF(OR($B56="",$A56&lt;75),"",--MID('Key Analysis'!$C52,75,1))</f>
        <v/>
      </c>
      <c r="HF56" s="29" t="str">
        <f>IF(OR($B56="",$A56&lt;76),"",--MID('Key Analysis'!$C52,76,1))</f>
        <v/>
      </c>
      <c r="HG56" s="29" t="str">
        <f>IF(OR($B56="",$A56&lt;77),"",--MID('Key Analysis'!$C52,77,1))</f>
        <v/>
      </c>
      <c r="HH56" s="29" t="str">
        <f>IF(OR($B56="",$A56&lt;78),"",--MID('Key Analysis'!$C52,78,1))</f>
        <v/>
      </c>
      <c r="HI56" s="29" t="str">
        <f>IF(OR($B56="",$A56&lt;79),"",--MID('Key Analysis'!$C52,79,1))</f>
        <v/>
      </c>
      <c r="HJ56" s="29" t="str">
        <f>IF(OR($B56="",$A56&lt;80),"",--MID('Key Analysis'!$C52,80,1))</f>
        <v/>
      </c>
      <c r="HK56" s="29" t="str">
        <f>IF(OR($B56="",$A56&lt;81),"",--MID('Key Analysis'!$C52,81,1))</f>
        <v/>
      </c>
      <c r="HL56" s="29" t="str">
        <f>IF(OR($B56="",$A56&lt;82),"",--MID('Key Analysis'!$C52,82,1))</f>
        <v/>
      </c>
      <c r="HM56" s="29" t="str">
        <f>IF(OR($B56="",$A56&lt;83),"",--MID('Key Analysis'!$C52,83,1))</f>
        <v/>
      </c>
      <c r="HN56" s="29" t="str">
        <f>IF(OR($B56="",$A56&lt;84),"",--MID('Key Analysis'!$C52,84,1))</f>
        <v/>
      </c>
      <c r="HO56" s="29" t="str">
        <f>IF(OR($B56="",$A56&lt;85),"",--MID('Key Analysis'!$C52,85,1))</f>
        <v/>
      </c>
      <c r="HP56" s="29" t="str">
        <f>IF(OR($B56="",$A56&lt;86),"",--MID('Key Analysis'!$C52,86,1))</f>
        <v/>
      </c>
      <c r="HQ56" s="29" t="str">
        <f>IF(OR($B56="",$A56&lt;87),"",--MID('Key Analysis'!$C52,87,1))</f>
        <v/>
      </c>
      <c r="HR56" s="29" t="str">
        <f>IF(OR($B56="",$A56&lt;88),"",--MID('Key Analysis'!$C52,88,1))</f>
        <v/>
      </c>
      <c r="HS56" s="29" t="str">
        <f>IF(OR($B56="",$A56&lt;89),"",--MID('Key Analysis'!$C52,89,1))</f>
        <v/>
      </c>
      <c r="HT56" s="29" t="str">
        <f>IF(OR($B56="",$A56&lt;90),"",--MID('Key Analysis'!$C52,90,1))</f>
        <v/>
      </c>
      <c r="HU56" s="29" t="str">
        <f>IF(OR($B56="",$A56&lt;91),"",--MID('Key Analysis'!$C52,91,1))</f>
        <v/>
      </c>
      <c r="HV56" s="29" t="str">
        <f>IF(OR($B56="",$A56&lt;92),"",--MID('Key Analysis'!$C52,92,1))</f>
        <v/>
      </c>
      <c r="HW56" s="29" t="str">
        <f>IF(OR($B56="",$A56&lt;93),"",--MID('Key Analysis'!$C52,93,1))</f>
        <v/>
      </c>
      <c r="HX56" s="29" t="str">
        <f>IF(OR($B56="",$A56&lt;94),"",--MID('Key Analysis'!$C52,94,1))</f>
        <v/>
      </c>
      <c r="HY56" s="29" t="str">
        <f>IF(OR($B56="",$A56&lt;95),"",--MID('Key Analysis'!$C52,95,1))</f>
        <v/>
      </c>
      <c r="HZ56" s="29" t="str">
        <f>IF(OR($B56="",$A56&lt;96),"",--MID('Key Analysis'!$C52,96,1))</f>
        <v/>
      </c>
      <c r="IA56" s="29" t="str">
        <f>IF(OR($B56="",$A56&lt;97),"",--MID('Key Analysis'!$C52,97,1))</f>
        <v/>
      </c>
      <c r="IB56" s="29" t="str">
        <f>IF(OR($B56="",$A56&lt;98),"",--MID('Key Analysis'!$C52,98,1))</f>
        <v/>
      </c>
      <c r="IC56" s="29" t="str">
        <f>IF(OR($B56="",$A56&lt;99),"",--MID('Key Analysis'!$C52,99,1))</f>
        <v/>
      </c>
      <c r="ID56" s="29" t="str">
        <f>IF(OR($B56="",$A56&lt;100),"",--MID('Key Analysis'!$C52,100,1))</f>
        <v/>
      </c>
      <c r="IE56" s="29" t="str">
        <f>IF(OR($B56="",$A56&lt;101),"",--MID('Key Analysis'!$C52,101,1))</f>
        <v/>
      </c>
      <c r="IF56" s="29" t="str">
        <f>IF(OR($B56="",$A56&lt;102),"",--MID('Key Analysis'!$C52,102,1))</f>
        <v/>
      </c>
      <c r="IG56" s="29" t="str">
        <f>IF(OR($B56="",$A56&lt;103),"",--MID('Key Analysis'!$C52,103,1))</f>
        <v/>
      </c>
      <c r="IH56" s="29" t="str">
        <f>IF(OR($B56="",$A56&lt;104),"",--MID('Key Analysis'!$C52,104,1))</f>
        <v/>
      </c>
      <c r="II56" s="29" t="str">
        <f>IF(OR($B56="",$A56&lt;105),"",--MID('Key Analysis'!$C52,105,1))</f>
        <v/>
      </c>
      <c r="IJ56" s="29" t="str">
        <f>IF(OR($B56="",$A56&lt;106),"",--MID('Key Analysis'!$C52,106,1))</f>
        <v/>
      </c>
      <c r="IK56" s="29" t="str">
        <f>IF(OR($B56="",$A56&lt;107),"",--MID('Key Analysis'!$C52,107,1))</f>
        <v/>
      </c>
      <c r="IL56" s="29" t="str">
        <f>IF(OR($B56="",$A56&lt;108),"",--MID('Key Analysis'!$C52,108,1))</f>
        <v/>
      </c>
      <c r="IM56" s="29" t="str">
        <f>IF(OR($B56="",$A56&lt;109),"",--MID('Key Analysis'!$C52,109,1))</f>
        <v/>
      </c>
      <c r="IN56" s="29" t="str">
        <f>IF(OR($B56="",$A56&lt;110),"",--MID('Key Analysis'!$C52,110,1))</f>
        <v/>
      </c>
      <c r="IO56" s="29" t="str">
        <f>IF(OR($B56="",$A56&lt;111),"",--MID('Key Analysis'!$C52,111,1))</f>
        <v/>
      </c>
      <c r="IP56" s="29" t="str">
        <f>IF(OR($B56="",$A56&lt;112),"",--MID('Key Analysis'!$C52,112,1))</f>
        <v/>
      </c>
      <c r="IQ56" s="29" t="str">
        <f>IF(OR($B56="",$A56&lt;113),"",--MID('Key Analysis'!$C52,113,1))</f>
        <v/>
      </c>
      <c r="IR56" s="29" t="str">
        <f>IF(OR($B56="",$A56&lt;114),"",--MID('Key Analysis'!$C52,114,1))</f>
        <v/>
      </c>
      <c r="IS56" s="29" t="str">
        <f>IF(OR($B56="",$A56&lt;115),"",--MID('Key Analysis'!$C52,115,1))</f>
        <v/>
      </c>
      <c r="IT56" s="29" t="str">
        <f>IF(OR($B56="",$A56&lt;116),"",--MID('Key Analysis'!$C52,116,1))</f>
        <v/>
      </c>
      <c r="IU56" s="29" t="str">
        <f>IF(OR($B56="",$A56&lt;117),"",--MID('Key Analysis'!$C52,117,1))</f>
        <v/>
      </c>
      <c r="IV56" s="29" t="str">
        <f>IF(OR($B56="",$A56&lt;118),"",--MID('Key Analysis'!$C52,118,1))</f>
        <v/>
      </c>
      <c r="IW56" s="29" t="str">
        <f>IF(OR($B56="",$A56&lt;119),"",--MID('Key Analysis'!$C52,119,1))</f>
        <v/>
      </c>
      <c r="IX56" s="29" t="str">
        <f>IF(OR($B56="",$A56&lt;120),"",--MID('Key Analysis'!$C52,120,1))</f>
        <v/>
      </c>
      <c r="IY56" s="29" t="str">
        <f>IF(OR($B56="",$A56&lt;121),"",--MID('Key Analysis'!$C52,121,1))</f>
        <v/>
      </c>
      <c r="IZ56" s="29" t="str">
        <f>IF(OR($B56="",$A56&lt;122),"",--MID('Key Analysis'!$C52,122,1))</f>
        <v/>
      </c>
      <c r="JA56" s="29" t="str">
        <f>IF(OR($B56="",$A56&lt;123),"",--MID('Key Analysis'!$C52,123,1))</f>
        <v/>
      </c>
      <c r="JB56" s="29" t="str">
        <f>IF(OR($B56="",$A56&lt;124),"",--MID('Key Analysis'!$C52,124,1))</f>
        <v/>
      </c>
      <c r="JC56" s="29" t="str">
        <f>IF(OR($B56="",$A56&lt;125),"",--MID('Key Analysis'!$C52,125,1))</f>
        <v/>
      </c>
      <c r="JD56" s="29" t="str">
        <f>IF(OR($B56="",$A56&lt;126),"",--MID('Key Analysis'!$C52,126,1))</f>
        <v/>
      </c>
      <c r="JE56" s="29" t="str">
        <f>IF(OR($B56="",$A56&lt;127),"",--MID('Key Analysis'!$C52,127,1))</f>
        <v/>
      </c>
      <c r="JF56" s="29" t="str">
        <f>IF(OR($B56="",$A56&lt;128),"",--MID('Key Analysis'!$C52,128,1))</f>
        <v/>
      </c>
      <c r="JG56" s="29" t="str">
        <f>IF(OR($B56="",$A56&lt;129),"",--MID('Key Analysis'!$C52,129,1))</f>
        <v/>
      </c>
      <c r="JH56" s="29" t="str">
        <f>IF(OR($B56="",$A56&lt;130),"",--MID('Key Analysis'!$C52,130,1))</f>
        <v/>
      </c>
      <c r="JI56" s="29" t="str">
        <f>IF(OR($B56="",$A56&lt;131),"",--MID('Key Analysis'!$C52,131,1))</f>
        <v/>
      </c>
      <c r="JJ56" s="29" t="str">
        <f>IF(OR($B56="",$A56&lt;132),"",--MID('Key Analysis'!$C52,132,1))</f>
        <v/>
      </c>
      <c r="JK56" s="29" t="str">
        <f>IF(OR($B56="",$A56&lt;133),"",--MID('Key Analysis'!$C52,133,1))</f>
        <v/>
      </c>
      <c r="JL56" s="29" t="str">
        <f>IF(OR($B56="",$A56&lt;134),"",--MID('Key Analysis'!$C52,134,1))</f>
        <v/>
      </c>
      <c r="JM56" s="29" t="str">
        <f>IF(OR($B56="",$A56&lt;135),"",--MID('Key Analysis'!$C52,135,1))</f>
        <v/>
      </c>
    </row>
    <row r="57" spans="1:273" x14ac:dyDescent="0.25">
      <c r="A57" s="21">
        <f>'Key Analysis'!A53</f>
        <v>52</v>
      </c>
      <c r="B57" s="30" t="str">
        <f>'Key Analysis'!B53</f>
        <v>efae164cb9e3c</v>
      </c>
      <c r="C57" s="29">
        <f>IF(OR($B57="",$A57&lt;=0),"",--MID('Key Analysis'!$C53,$A57-0,1))</f>
        <v>0</v>
      </c>
      <c r="D57" s="29">
        <f>IF(OR($B57="",$A57&lt;=1),"",--MID('Key Analysis'!$C53,$A57-1,1))</f>
        <v>0</v>
      </c>
      <c r="E57" s="29">
        <f>IF(OR($B57="",$A57&lt;=2),"",--MID('Key Analysis'!$C53,$A57-2,1))</f>
        <v>1</v>
      </c>
      <c r="F57" s="29">
        <f>IF(OR($B57="",$A57&lt;=3),"",--MID('Key Analysis'!$C53,$A57-3,1))</f>
        <v>1</v>
      </c>
      <c r="G57" s="29">
        <f>IF(OR($B57="",$A57&lt;=4),"",--MID('Key Analysis'!$C53,$A57-4,1))</f>
        <v>1</v>
      </c>
      <c r="H57" s="29">
        <f>IF(OR($B57="",$A57&lt;=5),"",--MID('Key Analysis'!$C53,$A57-5,1))</f>
        <v>1</v>
      </c>
      <c r="I57" s="29">
        <f>IF(OR($B57="",$A57&lt;=6),"",--MID('Key Analysis'!$C53,$A57-6,1))</f>
        <v>0</v>
      </c>
      <c r="J57" s="29">
        <f>IF(OR($B57="",$A57&lt;=7),"",--MID('Key Analysis'!$C53,$A57-7,1))</f>
        <v>0</v>
      </c>
      <c r="K57" s="29">
        <f>IF(OR($B57="",$A57&lt;=8),"",--MID('Key Analysis'!$C53,$A57-8,1))</f>
        <v>0</v>
      </c>
      <c r="L57" s="29">
        <f>IF(OR($B57="",$A57&lt;=9),"",--MID('Key Analysis'!$C53,$A57-9,1))</f>
        <v>1</v>
      </c>
      <c r="M57" s="29">
        <f>IF(OR($B57="",$A57&lt;=10),"",--MID('Key Analysis'!$C53,$A57-10,1))</f>
        <v>1</v>
      </c>
      <c r="N57" s="29">
        <f>IF(OR($B57="",$A57&lt;=11),"",--MID('Key Analysis'!$C53,$A57-11,1))</f>
        <v>1</v>
      </c>
      <c r="O57" s="29">
        <f>IF(OR($B57="",$A57&lt;=12),"",--MID('Key Analysis'!$C53,$A57-12,1))</f>
        <v>1</v>
      </c>
      <c r="P57" s="29">
        <f>IF(OR($B57="",$A57&lt;=13),"",--MID('Key Analysis'!$C53,$A57-13,1))</f>
        <v>0</v>
      </c>
      <c r="Q57" s="29">
        <f>IF(OR($B57="",$A57&lt;=14),"",--MID('Key Analysis'!$C53,$A57-14,1))</f>
        <v>0</v>
      </c>
      <c r="R57" s="29">
        <f>IF(OR($B57="",$A57&lt;=15),"",--MID('Key Analysis'!$C53,$A57-15,1))</f>
        <v>1</v>
      </c>
      <c r="S57" s="29">
        <f>IF(OR($B57="",$A57&lt;=16),"",--MID('Key Analysis'!$C53,$A57-16,1))</f>
        <v>1</v>
      </c>
      <c r="T57" s="29">
        <f>IF(OR($B57="",$A57&lt;=17),"",--MID('Key Analysis'!$C53,$A57-17,1))</f>
        <v>1</v>
      </c>
      <c r="U57" s="29">
        <f>IF(OR($B57="",$A57&lt;=18),"",--MID('Key Analysis'!$C53,$A57-18,1))</f>
        <v>0</v>
      </c>
      <c r="V57" s="29">
        <f>IF(OR($B57="",$A57&lt;=19),"",--MID('Key Analysis'!$C53,$A57-19,1))</f>
        <v>1</v>
      </c>
      <c r="W57" s="29">
        <f>IF(OR($B57="",$A57&lt;=20),"",--MID('Key Analysis'!$C53,$A57-20,1))</f>
        <v>0</v>
      </c>
      <c r="X57" s="29">
        <f>IF(OR($B57="",$A57&lt;=21),"",--MID('Key Analysis'!$C53,$A57-21,1))</f>
        <v>0</v>
      </c>
      <c r="Y57" s="29">
        <f>IF(OR($B57="",$A57&lt;=22),"",--MID('Key Analysis'!$C53,$A57-22,1))</f>
        <v>1</v>
      </c>
      <c r="Z57" s="29">
        <f>IF(OR($B57="",$A57&lt;=23),"",--MID('Key Analysis'!$C53,$A57-23,1))</f>
        <v>1</v>
      </c>
      <c r="AA57" s="29">
        <f>IF(OR($B57="",$A57&lt;=24),"",--MID('Key Analysis'!$C53,$A57-24,1))</f>
        <v>0</v>
      </c>
      <c r="AB57" s="29">
        <f>IF(OR($B57="",$A57&lt;=25),"",--MID('Key Analysis'!$C53,$A57-25,1))</f>
        <v>0</v>
      </c>
      <c r="AC57" s="29">
        <f>IF(OR($B57="",$A57&lt;=26),"",--MID('Key Analysis'!$C53,$A57-26,1))</f>
        <v>1</v>
      </c>
      <c r="AD57" s="29">
        <f>IF(OR($B57="",$A57&lt;=27),"",--MID('Key Analysis'!$C53,$A57-27,1))</f>
        <v>0</v>
      </c>
      <c r="AE57" s="29">
        <f>IF(OR($B57="",$A57&lt;=28),"",--MID('Key Analysis'!$C53,$A57-28,1))</f>
        <v>0</v>
      </c>
      <c r="AF57" s="29">
        <f>IF(OR($B57="",$A57&lt;=29),"",--MID('Key Analysis'!$C53,$A57-29,1))</f>
        <v>1</v>
      </c>
      <c r="AG57" s="29">
        <f>IF(OR($B57="",$A57&lt;=30),"",--MID('Key Analysis'!$C53,$A57-30,1))</f>
        <v>1</v>
      </c>
      <c r="AH57" s="29">
        <f>IF(OR($B57="",$A57&lt;=31),"",--MID('Key Analysis'!$C53,$A57-31,1))</f>
        <v>0</v>
      </c>
      <c r="AI57" s="29">
        <f>IF(OR($B57="",$A57&lt;=32),"",--MID('Key Analysis'!$C53,$A57-32,1))</f>
        <v>1</v>
      </c>
      <c r="AJ57" s="29">
        <f>IF(OR($B57="",$A57&lt;=33),"",--MID('Key Analysis'!$C53,$A57-33,1))</f>
        <v>0</v>
      </c>
      <c r="AK57" s="29">
        <f>IF(OR($B57="",$A57&lt;=34),"",--MID('Key Analysis'!$C53,$A57-34,1))</f>
        <v>0</v>
      </c>
      <c r="AL57" s="29">
        <f>IF(OR($B57="",$A57&lt;=35),"",--MID('Key Analysis'!$C53,$A57-35,1))</f>
        <v>0</v>
      </c>
      <c r="AM57" s="29">
        <f>IF(OR($B57="",$A57&lt;=36),"",--MID('Key Analysis'!$C53,$A57-36,1))</f>
        <v>0</v>
      </c>
      <c r="AN57" s="29">
        <f>IF(OR($B57="",$A57&lt;=37),"",--MID('Key Analysis'!$C53,$A57-37,1))</f>
        <v>1</v>
      </c>
      <c r="AO57" s="29">
        <f>IF(OR($B57="",$A57&lt;=38),"",--MID('Key Analysis'!$C53,$A57-38,1))</f>
        <v>1</v>
      </c>
      <c r="AP57" s="29">
        <f>IF(OR($B57="",$A57&lt;=39),"",--MID('Key Analysis'!$C53,$A57-39,1))</f>
        <v>1</v>
      </c>
      <c r="AQ57" s="29">
        <f>IF(OR($B57="",$A57&lt;=40),"",--MID('Key Analysis'!$C53,$A57-40,1))</f>
        <v>0</v>
      </c>
      <c r="AR57" s="29">
        <f>IF(OR($B57="",$A57&lt;=41),"",--MID('Key Analysis'!$C53,$A57-41,1))</f>
        <v>1</v>
      </c>
      <c r="AS57" s="29">
        <f>IF(OR($B57="",$A57&lt;=42),"",--MID('Key Analysis'!$C53,$A57-42,1))</f>
        <v>0</v>
      </c>
      <c r="AT57" s="29">
        <f>IF(OR($B57="",$A57&lt;=43),"",--MID('Key Analysis'!$C53,$A57-43,1))</f>
        <v>1</v>
      </c>
      <c r="AU57" s="29">
        <f>IF(OR($B57="",$A57&lt;=44),"",--MID('Key Analysis'!$C53,$A57-44,1))</f>
        <v>1</v>
      </c>
      <c r="AV57" s="29">
        <f>IF(OR($B57="",$A57&lt;=45),"",--MID('Key Analysis'!$C53,$A57-45,1))</f>
        <v>1</v>
      </c>
      <c r="AW57" s="29">
        <f>IF(OR($B57="",$A57&lt;=46),"",--MID('Key Analysis'!$C53,$A57-46,1))</f>
        <v>1</v>
      </c>
      <c r="AX57" s="29">
        <f>IF(OR($B57="",$A57&lt;=47),"",--MID('Key Analysis'!$C53,$A57-47,1))</f>
        <v>1</v>
      </c>
      <c r="AY57" s="29">
        <f>IF(OR($B57="",$A57&lt;=48),"",--MID('Key Analysis'!$C53,$A57-48,1))</f>
        <v>0</v>
      </c>
      <c r="AZ57" s="29">
        <f>IF(OR($B57="",$A57&lt;=49),"",--MID('Key Analysis'!$C53,$A57-49,1))</f>
        <v>1</v>
      </c>
      <c r="BA57" s="29">
        <f>IF(OR($B57="",$A57&lt;=50),"",--MID('Key Analysis'!$C53,$A57-50,1))</f>
        <v>1</v>
      </c>
      <c r="BB57" s="29">
        <f>IF(OR($B57="",$A57&lt;=51),"",--MID('Key Analysis'!$C53,$A57-51,1))</f>
        <v>1</v>
      </c>
      <c r="BC57" s="29" t="str">
        <f>IF(OR($B57="",$A57&lt;=52),"",--MID('Key Analysis'!$C53,$A57-52,1))</f>
        <v/>
      </c>
      <c r="BD57" s="29" t="str">
        <f>IF(OR($B57="",$A57&lt;=53),"",--MID('Key Analysis'!$C53,$A57-53,1))</f>
        <v/>
      </c>
      <c r="BE57" s="29" t="str">
        <f>IF(OR($B57="",$A57&lt;=54),"",--MID('Key Analysis'!$C53,$A57-54,1))</f>
        <v/>
      </c>
      <c r="BF57" s="29" t="str">
        <f>IF(OR($B57="",$A57&lt;=55),"",--MID('Key Analysis'!$C53,$A57-55,1))</f>
        <v/>
      </c>
      <c r="BG57" s="29" t="str">
        <f>IF(OR($B57="",$A57&lt;=56),"",--MID('Key Analysis'!$C53,$A57-56,1))</f>
        <v/>
      </c>
      <c r="BH57" s="29" t="str">
        <f>IF(OR($B57="",$A57&lt;=57),"",--MID('Key Analysis'!$C53,$A57-57,1))</f>
        <v/>
      </c>
      <c r="BI57" s="29" t="str">
        <f>IF(OR($B57="",$A57&lt;=58),"",--MID('Key Analysis'!$C53,$A57-58,1))</f>
        <v/>
      </c>
      <c r="BJ57" s="29" t="str">
        <f>IF(OR($B57="",$A57&lt;=59),"",--MID('Key Analysis'!$C53,$A57-59,1))</f>
        <v/>
      </c>
      <c r="BK57" s="29" t="str">
        <f>IF(OR($B57="",$A57&lt;=60),"",--MID('Key Analysis'!$C53,$A57-60,1))</f>
        <v/>
      </c>
      <c r="BL57" s="29" t="str">
        <f>IF(OR($B57="",$A57&lt;=61),"",--MID('Key Analysis'!$C53,$A57-61,1))</f>
        <v/>
      </c>
      <c r="BM57" s="29" t="str">
        <f>IF(OR($B57="",$A57&lt;=62),"",--MID('Key Analysis'!$C53,$A57-62,1))</f>
        <v/>
      </c>
      <c r="BN57" s="29" t="str">
        <f>IF(OR($B57="",$A57&lt;=63),"",--MID('Key Analysis'!$C53,$A57-63,1))</f>
        <v/>
      </c>
      <c r="BO57" s="29" t="str">
        <f>IF(OR($B57="",$A57&lt;=64),"",--MID('Key Analysis'!$C53,$A57-64,1))</f>
        <v/>
      </c>
      <c r="BP57" s="29" t="str">
        <f>IF(OR($B57="",$A57&lt;=65),"",--MID('Key Analysis'!$C53,$A57-65,1))</f>
        <v/>
      </c>
      <c r="BQ57" s="29" t="str">
        <f>IF(OR($B57="",$A57&lt;=66),"",--MID('Key Analysis'!$C53,$A57-66,1))</f>
        <v/>
      </c>
      <c r="BR57" s="29" t="str">
        <f>IF(OR($B57="",$A57&lt;=67),"",--MID('Key Analysis'!$C53,$A57-67,1))</f>
        <v/>
      </c>
      <c r="BS57" s="29" t="str">
        <f>IF(OR($B57="",$A57&lt;=68),"",--MID('Key Analysis'!$C53,$A57-68,1))</f>
        <v/>
      </c>
      <c r="BT57" s="29" t="str">
        <f>IF(OR($B57="",$A57&lt;=69),"",--MID('Key Analysis'!$C53,$A57-69,1))</f>
        <v/>
      </c>
      <c r="BU57" s="29" t="str">
        <f>IF(OR($B57="",$A57&lt;=70),"",--MID('Key Analysis'!$C53,$A57-70,1))</f>
        <v/>
      </c>
      <c r="BV57" s="29" t="str">
        <f>IF(OR($B57="",$A57&lt;=71),"",--MID('Key Analysis'!$C53,$A57-71,1))</f>
        <v/>
      </c>
      <c r="BW57" s="29" t="str">
        <f>IF(OR($B57="",$A57&lt;=72),"",--MID('Key Analysis'!$C53,$A57-72,1))</f>
        <v/>
      </c>
      <c r="BX57" s="29" t="str">
        <f>IF(OR($B57="",$A57&lt;=73),"",--MID('Key Analysis'!$C53,$A57-73,1))</f>
        <v/>
      </c>
      <c r="BY57" s="29" t="str">
        <f>IF(OR($B57="",$A57&lt;=74),"",--MID('Key Analysis'!$C53,$A57-74,1))</f>
        <v/>
      </c>
      <c r="BZ57" s="29" t="str">
        <f>IF(OR($B57="",$A57&lt;=75),"",--MID('Key Analysis'!$C53,$A57-75,1))</f>
        <v/>
      </c>
      <c r="CA57" s="29" t="str">
        <f>IF(OR($B57="",$A57&lt;=76),"",--MID('Key Analysis'!$C53,$A57-76,1))</f>
        <v/>
      </c>
      <c r="CB57" s="29" t="str">
        <f>IF(OR($B57="",$A57&lt;=77),"",--MID('Key Analysis'!$C53,$A57-77,1))</f>
        <v/>
      </c>
      <c r="CC57" s="29" t="str">
        <f>IF(OR($B57="",$A57&lt;=78),"",--MID('Key Analysis'!$C53,$A57-78,1))</f>
        <v/>
      </c>
      <c r="CD57" s="29" t="str">
        <f>IF(OR($B57="",$A57&lt;=79),"",--MID('Key Analysis'!$C53,$A57-79,1))</f>
        <v/>
      </c>
      <c r="CE57" s="29" t="str">
        <f>IF(OR($B57="",$A57&lt;=80),"",--MID('Key Analysis'!$C53,$A57-80,1))</f>
        <v/>
      </c>
      <c r="CF57" s="29" t="str">
        <f>IF(OR($B57="",$A57&lt;=81),"",--MID('Key Analysis'!$C53,$A57-81,1))</f>
        <v/>
      </c>
      <c r="CG57" s="29" t="str">
        <f>IF(OR($B57="",$A57&lt;=82),"",--MID('Key Analysis'!$C53,$A57-82,1))</f>
        <v/>
      </c>
      <c r="CH57" s="29" t="str">
        <f>IF(OR($B57="",$A57&lt;=83),"",--MID('Key Analysis'!$C53,$A57-83,1))</f>
        <v/>
      </c>
      <c r="CI57" s="29" t="str">
        <f>IF(OR($B57="",$A57&lt;=84),"",--MID('Key Analysis'!$C53,$A57-84,1))</f>
        <v/>
      </c>
      <c r="CJ57" s="29" t="str">
        <f>IF(OR($B57="",$A57&lt;=85),"",--MID('Key Analysis'!$C53,$A57-85,1))</f>
        <v/>
      </c>
      <c r="CK57" s="29" t="str">
        <f>IF(OR($B57="",$A57&lt;=86),"",--MID('Key Analysis'!$C53,$A57-86,1))</f>
        <v/>
      </c>
      <c r="CL57" s="29" t="str">
        <f>IF(OR($B57="",$A57&lt;=87),"",--MID('Key Analysis'!$C53,$A57-87,1))</f>
        <v/>
      </c>
      <c r="CM57" s="29" t="str">
        <f>IF(OR($B57="",$A57&lt;=88),"",--MID('Key Analysis'!$C53,$A57-88,1))</f>
        <v/>
      </c>
      <c r="CN57" s="29" t="str">
        <f>IF(OR($B57="",$A57&lt;=89),"",--MID('Key Analysis'!$C53,$A57-89,1))</f>
        <v/>
      </c>
      <c r="CO57" s="29" t="str">
        <f>IF(OR($B57="",$A57&lt;=90),"",--MID('Key Analysis'!$C53,$A57-90,1))</f>
        <v/>
      </c>
      <c r="CP57" s="29" t="str">
        <f>IF(OR($B57="",$A57&lt;=91),"",--MID('Key Analysis'!$C53,$A57-91,1))</f>
        <v/>
      </c>
      <c r="CQ57" s="29" t="str">
        <f>IF(OR($B57="",$A57&lt;=92),"",--MID('Key Analysis'!$C53,$A57-92,1))</f>
        <v/>
      </c>
      <c r="CR57" s="29" t="str">
        <f>IF(OR($B57="",$A57&lt;=93),"",--MID('Key Analysis'!$C53,$A57-93,1))</f>
        <v/>
      </c>
      <c r="CS57" s="29" t="str">
        <f>IF(OR($B57="",$A57&lt;=94),"",--MID('Key Analysis'!$C53,$A57-94,1))</f>
        <v/>
      </c>
      <c r="CT57" s="29" t="str">
        <f>IF(OR($B57="",$A57&lt;=95),"",--MID('Key Analysis'!$C53,$A57-95,1))</f>
        <v/>
      </c>
      <c r="CU57" s="29" t="str">
        <f>IF(OR($B57="",$A57&lt;=96),"",--MID('Key Analysis'!$C53,$A57-96,1))</f>
        <v/>
      </c>
      <c r="CV57" s="29" t="str">
        <f>IF(OR($B57="",$A57&lt;=97),"",--MID('Key Analysis'!$C53,$A57-97,1))</f>
        <v/>
      </c>
      <c r="CW57" s="29" t="str">
        <f>IF(OR($B57="",$A57&lt;=98),"",--MID('Key Analysis'!$C53,$A57-98,1))</f>
        <v/>
      </c>
      <c r="CX57" s="29" t="str">
        <f>IF(OR($B57="",$A57&lt;=99),"",--MID('Key Analysis'!$C53,$A57-99,1))</f>
        <v/>
      </c>
      <c r="CY57" s="29" t="str">
        <f>IF(OR($B57="",$A57&lt;=100),"",--MID('Key Analysis'!$C53,$A57-100,1))</f>
        <v/>
      </c>
      <c r="CZ57" s="29" t="str">
        <f>IF(OR($B57="",$A57&lt;=101),"",--MID('Key Analysis'!$C53,$A57-101,1))</f>
        <v/>
      </c>
      <c r="DA57" s="29" t="str">
        <f>IF(OR($B57="",$A57&lt;=102),"",--MID('Key Analysis'!$C53,$A57-102,1))</f>
        <v/>
      </c>
      <c r="DB57" s="29" t="str">
        <f>IF(OR($B57="",$A57&lt;=103),"",--MID('Key Analysis'!$C53,$A57-103,1))</f>
        <v/>
      </c>
      <c r="DC57" s="29" t="str">
        <f>IF(OR($B57="",$A57&lt;=104),"",--MID('Key Analysis'!$C53,$A57-104,1))</f>
        <v/>
      </c>
      <c r="DD57" s="29" t="str">
        <f>IF(OR($B57="",$A57&lt;=105),"",--MID('Key Analysis'!$C53,$A57-105,1))</f>
        <v/>
      </c>
      <c r="DE57" s="29" t="str">
        <f>IF(OR($B57="",$A57&lt;=106),"",--MID('Key Analysis'!$C53,$A57-106,1))</f>
        <v/>
      </c>
      <c r="DF57" s="29" t="str">
        <f>IF(OR($B57="",$A57&lt;=107),"",--MID('Key Analysis'!$C53,$A57-107,1))</f>
        <v/>
      </c>
      <c r="DG57" s="29" t="str">
        <f>IF(OR($B57="",$A57&lt;=108),"",--MID('Key Analysis'!$C53,$A57-108,1))</f>
        <v/>
      </c>
      <c r="DH57" s="29" t="str">
        <f>IF(OR($B57="",$A57&lt;=109),"",--MID('Key Analysis'!$C53,$A57-109,1))</f>
        <v/>
      </c>
      <c r="DI57" s="29" t="str">
        <f>IF(OR($B57="",$A57&lt;=110),"",--MID('Key Analysis'!$C53,$A57-110,1))</f>
        <v/>
      </c>
      <c r="DJ57" s="29" t="str">
        <f>IF(OR($B57="",$A57&lt;=111),"",--MID('Key Analysis'!$C53,$A57-111,1))</f>
        <v/>
      </c>
      <c r="DK57" s="29" t="str">
        <f>IF(OR($B57="",$A57&lt;=112),"",--MID('Key Analysis'!$C53,$A57-112,1))</f>
        <v/>
      </c>
      <c r="DL57" s="29" t="str">
        <f>IF(OR($B57="",$A57&lt;=113),"",--MID('Key Analysis'!$C53,$A57-113,1))</f>
        <v/>
      </c>
      <c r="DM57" s="29" t="str">
        <f>IF(OR($B57="",$A57&lt;=114),"",--MID('Key Analysis'!$C53,$A57-114,1))</f>
        <v/>
      </c>
      <c r="DN57" s="29" t="str">
        <f>IF(OR($B57="",$A57&lt;=115),"",--MID('Key Analysis'!$C53,$A57-115,1))</f>
        <v/>
      </c>
      <c r="DO57" s="29" t="str">
        <f>IF(OR($B57="",$A57&lt;=116),"",--MID('Key Analysis'!$C53,$A57-116,1))</f>
        <v/>
      </c>
      <c r="DP57" s="29" t="str">
        <f>IF(OR($B57="",$A57&lt;=117),"",--MID('Key Analysis'!$C53,$A57-117,1))</f>
        <v/>
      </c>
      <c r="DQ57" s="29" t="str">
        <f>IF(OR($B57="",$A57&lt;=118),"",--MID('Key Analysis'!$C53,$A57-118,1))</f>
        <v/>
      </c>
      <c r="DR57" s="29" t="str">
        <f>IF(OR($B57="",$A57&lt;=119),"",--MID('Key Analysis'!$C53,$A57-119,1))</f>
        <v/>
      </c>
      <c r="DS57" s="29" t="str">
        <f>IF(OR($B57="",$A57&lt;=120),"",--MID('Key Analysis'!$C53,$A57-120,1))</f>
        <v/>
      </c>
      <c r="DT57" s="29" t="str">
        <f>IF(OR($B57="",$A57&lt;=121),"",--MID('Key Analysis'!$C53,$A57-121,1))</f>
        <v/>
      </c>
      <c r="DU57" s="29" t="str">
        <f>IF(OR($B57="",$A57&lt;=122),"",--MID('Key Analysis'!$C53,$A57-122,1))</f>
        <v/>
      </c>
      <c r="DV57" s="29" t="str">
        <f>IF(OR($B57="",$A57&lt;=123),"",--MID('Key Analysis'!$C53,$A57-123,1))</f>
        <v/>
      </c>
      <c r="DW57" s="29" t="str">
        <f>IF(OR($B57="",$A57&lt;=124),"",--MID('Key Analysis'!$C53,$A57-124,1))</f>
        <v/>
      </c>
      <c r="DX57" s="29" t="str">
        <f>IF(OR($B57="",$A57&lt;=125),"",--MID('Key Analysis'!$C53,$A57-125,1))</f>
        <v/>
      </c>
      <c r="DY57" s="29" t="str">
        <f>IF(OR($B57="",$A57&lt;=126),"",--MID('Key Analysis'!$C53,$A57-126,1))</f>
        <v/>
      </c>
      <c r="DZ57" s="29" t="str">
        <f>IF(OR($B57="",$A57&lt;=127),"",--MID('Key Analysis'!$C53,$A57-127,1))</f>
        <v/>
      </c>
      <c r="EA57" s="29" t="str">
        <f>IF(OR($B57="",$A57&lt;=128),"",--MID('Key Analysis'!$C53,$A57-128,1))</f>
        <v/>
      </c>
      <c r="EB57" s="29" t="str">
        <f>IF(OR($B57="",$A57&lt;=129),"",--MID('Key Analysis'!$C53,$A57-129,1))</f>
        <v/>
      </c>
      <c r="EC57" s="29" t="str">
        <f>IF(OR($B57="",$A57&lt;=130),"",--MID('Key Analysis'!$C53,$A57-130,1))</f>
        <v/>
      </c>
      <c r="ED57" s="29" t="str">
        <f>IF(OR($B57="",$A57&lt;=131),"",--MID('Key Analysis'!$C53,$A57-131,1))</f>
        <v/>
      </c>
      <c r="EE57" s="29" t="str">
        <f>IF(OR($B57="",$A57&lt;=132),"",--MID('Key Analysis'!$C53,$A57-132,1))</f>
        <v/>
      </c>
      <c r="EF57" s="29" t="str">
        <f>IF(OR($B57="",$A57&lt;=133),"",--MID('Key Analysis'!$C53,$A57-133,1))</f>
        <v/>
      </c>
      <c r="EG57" s="29" t="str">
        <f>IF(OR($B57="",$A57&lt;=134),"",--MID('Key Analysis'!$C53,$A57-134,1))</f>
        <v/>
      </c>
      <c r="EH57" s="29"/>
      <c r="EI57" s="29">
        <f>IF(OR($B57="",$A57&lt;1),"",--MID('Key Analysis'!$C53,1,1))</f>
        <v>1</v>
      </c>
      <c r="EJ57" s="29">
        <f>IF(OR($B57="",$A57&lt;2),"",--MID('Key Analysis'!$C53,2,1))</f>
        <v>1</v>
      </c>
      <c r="EK57" s="29">
        <f>IF(OR($B57="",$A57&lt;3),"",--MID('Key Analysis'!$C53,3,1))</f>
        <v>1</v>
      </c>
      <c r="EL57" s="29">
        <f>IF(OR($B57="",$A57&lt;4),"",--MID('Key Analysis'!$C53,4,1))</f>
        <v>0</v>
      </c>
      <c r="EM57" s="29">
        <f>IF(OR($B57="",$A57&lt;5),"",--MID('Key Analysis'!$C53,5,1))</f>
        <v>1</v>
      </c>
      <c r="EN57" s="29">
        <f>IF(OR($B57="",$A57&lt;6),"",--MID('Key Analysis'!$C53,6,1))</f>
        <v>1</v>
      </c>
      <c r="EO57" s="29">
        <f>IF(OR($B57="",$A57&lt;7),"",--MID('Key Analysis'!$C53,7,1))</f>
        <v>1</v>
      </c>
      <c r="EP57" s="29">
        <f>IF(OR($B57="",$A57&lt;8),"",--MID('Key Analysis'!$C53,8,1))</f>
        <v>1</v>
      </c>
      <c r="EQ57" s="29">
        <f>IF(OR($B57="",$A57&lt;9),"",--MID('Key Analysis'!$C53,9,1))</f>
        <v>1</v>
      </c>
      <c r="ER57" s="29">
        <f>IF(OR($B57="",$A57&lt;10),"",--MID('Key Analysis'!$C53,10,1))</f>
        <v>0</v>
      </c>
      <c r="ES57" s="29">
        <f>IF(OR($B57="",$A57&lt;11),"",--MID('Key Analysis'!$C53,11,1))</f>
        <v>1</v>
      </c>
      <c r="ET57" s="29">
        <f>IF(OR($B57="",$A57&lt;12),"",--MID('Key Analysis'!$C53,12,1))</f>
        <v>0</v>
      </c>
      <c r="EU57" s="29">
        <f>IF(OR($B57="",$A57&lt;13),"",--MID('Key Analysis'!$C53,13,1))</f>
        <v>1</v>
      </c>
      <c r="EV57" s="29">
        <f>IF(OR($B57="",$A57&lt;14),"",--MID('Key Analysis'!$C53,14,1))</f>
        <v>1</v>
      </c>
      <c r="EW57" s="29">
        <f>IF(OR($B57="",$A57&lt;15),"",--MID('Key Analysis'!$C53,15,1))</f>
        <v>1</v>
      </c>
      <c r="EX57" s="29">
        <f>IF(OR($B57="",$A57&lt;16),"",--MID('Key Analysis'!$C53,16,1))</f>
        <v>0</v>
      </c>
      <c r="EY57" s="29">
        <f>IF(OR($B57="",$A57&lt;17),"",--MID('Key Analysis'!$C53,17,1))</f>
        <v>0</v>
      </c>
      <c r="EZ57" s="29">
        <f>IF(OR($B57="",$A57&lt;18),"",--MID('Key Analysis'!$C53,18,1))</f>
        <v>0</v>
      </c>
      <c r="FA57" s="29">
        <f>IF(OR($B57="",$A57&lt;19),"",--MID('Key Analysis'!$C53,19,1))</f>
        <v>0</v>
      </c>
      <c r="FB57" s="29">
        <f>IF(OR($B57="",$A57&lt;20),"",--MID('Key Analysis'!$C53,20,1))</f>
        <v>1</v>
      </c>
      <c r="FC57" s="29">
        <f>IF(OR($B57="",$A57&lt;21),"",--MID('Key Analysis'!$C53,21,1))</f>
        <v>0</v>
      </c>
      <c r="FD57" s="29">
        <f>IF(OR($B57="",$A57&lt;22),"",--MID('Key Analysis'!$C53,22,1))</f>
        <v>1</v>
      </c>
      <c r="FE57" s="29">
        <f>IF(OR($B57="",$A57&lt;23),"",--MID('Key Analysis'!$C53,23,1))</f>
        <v>1</v>
      </c>
      <c r="FF57" s="29">
        <f>IF(OR($B57="",$A57&lt;24),"",--MID('Key Analysis'!$C53,24,1))</f>
        <v>0</v>
      </c>
      <c r="FG57" s="29">
        <f>IF(OR($B57="",$A57&lt;25),"",--MID('Key Analysis'!$C53,25,1))</f>
        <v>0</v>
      </c>
      <c r="FH57" s="29">
        <f>IF(OR($B57="",$A57&lt;26),"",--MID('Key Analysis'!$C53,26,1))</f>
        <v>1</v>
      </c>
      <c r="FI57" s="29">
        <f>IF(OR($B57="",$A57&lt;27),"",--MID('Key Analysis'!$C53,27,1))</f>
        <v>0</v>
      </c>
      <c r="FJ57" s="29">
        <f>IF(OR($B57="",$A57&lt;28),"",--MID('Key Analysis'!$C53,28,1))</f>
        <v>0</v>
      </c>
      <c r="FK57" s="29">
        <f>IF(OR($B57="",$A57&lt;29),"",--MID('Key Analysis'!$C53,29,1))</f>
        <v>1</v>
      </c>
      <c r="FL57" s="29">
        <f>IF(OR($B57="",$A57&lt;30),"",--MID('Key Analysis'!$C53,30,1))</f>
        <v>1</v>
      </c>
      <c r="FM57" s="29">
        <f>IF(OR($B57="",$A57&lt;31),"",--MID('Key Analysis'!$C53,31,1))</f>
        <v>0</v>
      </c>
      <c r="FN57" s="29">
        <f>IF(OR($B57="",$A57&lt;32),"",--MID('Key Analysis'!$C53,32,1))</f>
        <v>0</v>
      </c>
      <c r="FO57" s="29">
        <f>IF(OR($B57="",$A57&lt;33),"",--MID('Key Analysis'!$C53,33,1))</f>
        <v>1</v>
      </c>
      <c r="FP57" s="29">
        <f>IF(OR($B57="",$A57&lt;34),"",--MID('Key Analysis'!$C53,34,1))</f>
        <v>0</v>
      </c>
      <c r="FQ57" s="29">
        <f>IF(OR($B57="",$A57&lt;35),"",--MID('Key Analysis'!$C53,35,1))</f>
        <v>1</v>
      </c>
      <c r="FR57" s="29">
        <f>IF(OR($B57="",$A57&lt;36),"",--MID('Key Analysis'!$C53,36,1))</f>
        <v>1</v>
      </c>
      <c r="FS57" s="29">
        <f>IF(OR($B57="",$A57&lt;37),"",--MID('Key Analysis'!$C53,37,1))</f>
        <v>1</v>
      </c>
      <c r="FT57" s="29">
        <f>IF(OR($B57="",$A57&lt;38),"",--MID('Key Analysis'!$C53,38,1))</f>
        <v>0</v>
      </c>
      <c r="FU57" s="29">
        <f>IF(OR($B57="",$A57&lt;39),"",--MID('Key Analysis'!$C53,39,1))</f>
        <v>0</v>
      </c>
      <c r="FV57" s="29">
        <f>IF(OR($B57="",$A57&lt;40),"",--MID('Key Analysis'!$C53,40,1))</f>
        <v>1</v>
      </c>
      <c r="FW57" s="29">
        <f>IF(OR($B57="",$A57&lt;41),"",--MID('Key Analysis'!$C53,41,1))</f>
        <v>1</v>
      </c>
      <c r="FX57" s="29">
        <f>IF(OR($B57="",$A57&lt;42),"",--MID('Key Analysis'!$C53,42,1))</f>
        <v>1</v>
      </c>
      <c r="FY57" s="29">
        <f>IF(OR($B57="",$A57&lt;43),"",--MID('Key Analysis'!$C53,43,1))</f>
        <v>1</v>
      </c>
      <c r="FZ57" s="29">
        <f>IF(OR($B57="",$A57&lt;44),"",--MID('Key Analysis'!$C53,44,1))</f>
        <v>0</v>
      </c>
      <c r="GA57" s="29">
        <f>IF(OR($B57="",$A57&lt;45),"",--MID('Key Analysis'!$C53,45,1))</f>
        <v>0</v>
      </c>
      <c r="GB57" s="29">
        <f>IF(OR($B57="",$A57&lt;46),"",--MID('Key Analysis'!$C53,46,1))</f>
        <v>0</v>
      </c>
      <c r="GC57" s="29">
        <f>IF(OR($B57="",$A57&lt;47),"",--MID('Key Analysis'!$C53,47,1))</f>
        <v>1</v>
      </c>
      <c r="GD57" s="29">
        <f>IF(OR($B57="",$A57&lt;48),"",--MID('Key Analysis'!$C53,48,1))</f>
        <v>1</v>
      </c>
      <c r="GE57" s="29">
        <f>IF(OR($B57="",$A57&lt;49),"",--MID('Key Analysis'!$C53,49,1))</f>
        <v>1</v>
      </c>
      <c r="GF57" s="29">
        <f>IF(OR($B57="",$A57&lt;50),"",--MID('Key Analysis'!$C53,50,1))</f>
        <v>1</v>
      </c>
      <c r="GG57" s="29">
        <f>IF(OR($B57="",$A57&lt;51),"",--MID('Key Analysis'!$C53,51,1))</f>
        <v>0</v>
      </c>
      <c r="GH57" s="29">
        <f>IF(OR($B57="",$A57&lt;52),"",--MID('Key Analysis'!$C53,52,1))</f>
        <v>0</v>
      </c>
      <c r="GI57" s="29" t="str">
        <f>IF(OR($B57="",$A57&lt;53),"",--MID('Key Analysis'!$C53,53,1))</f>
        <v/>
      </c>
      <c r="GJ57" s="29" t="str">
        <f>IF(OR($B57="",$A57&lt;54),"",--MID('Key Analysis'!$C53,54,1))</f>
        <v/>
      </c>
      <c r="GK57" s="29" t="str">
        <f>IF(OR($B57="",$A57&lt;55),"",--MID('Key Analysis'!$C53,55,1))</f>
        <v/>
      </c>
      <c r="GL57" s="29" t="str">
        <f>IF(OR($B57="",$A57&lt;56),"",--MID('Key Analysis'!$C53,56,1))</f>
        <v/>
      </c>
      <c r="GM57" s="29" t="str">
        <f>IF(OR($B57="",$A57&lt;57),"",--MID('Key Analysis'!$C53,57,1))</f>
        <v/>
      </c>
      <c r="GN57" s="29" t="str">
        <f>IF(OR($B57="",$A57&lt;58),"",--MID('Key Analysis'!$C53,58,1))</f>
        <v/>
      </c>
      <c r="GO57" s="29" t="str">
        <f>IF(OR($B57="",$A57&lt;59),"",--MID('Key Analysis'!$C53,59,1))</f>
        <v/>
      </c>
      <c r="GP57" s="29" t="str">
        <f>IF(OR($B57="",$A57&lt;60),"",--MID('Key Analysis'!$C53,60,1))</f>
        <v/>
      </c>
      <c r="GQ57" s="29" t="str">
        <f>IF(OR($B57="",$A57&lt;61),"",--MID('Key Analysis'!$C53,61,1))</f>
        <v/>
      </c>
      <c r="GR57" s="29" t="str">
        <f>IF(OR($B57="",$A57&lt;62),"",--MID('Key Analysis'!$C53,62,1))</f>
        <v/>
      </c>
      <c r="GS57" s="29" t="str">
        <f>IF(OR($B57="",$A57&lt;63),"",--MID('Key Analysis'!$C53,63,1))</f>
        <v/>
      </c>
      <c r="GT57" s="29" t="str">
        <f>IF(OR($B57="",$A57&lt;64),"",--MID('Key Analysis'!$C53,64,1))</f>
        <v/>
      </c>
      <c r="GU57" s="29" t="str">
        <f>IF(OR($B57="",$A57&lt;65),"",--MID('Key Analysis'!$C53,65,1))</f>
        <v/>
      </c>
      <c r="GV57" s="29" t="str">
        <f>IF(OR($B57="",$A57&lt;66),"",--MID('Key Analysis'!$C53,66,1))</f>
        <v/>
      </c>
      <c r="GW57" s="29" t="str">
        <f>IF(OR($B57="",$A57&lt;67),"",--MID('Key Analysis'!$C53,67,1))</f>
        <v/>
      </c>
      <c r="GX57" s="29" t="str">
        <f>IF(OR($B57="",$A57&lt;68),"",--MID('Key Analysis'!$C53,68,1))</f>
        <v/>
      </c>
      <c r="GY57" s="29" t="str">
        <f>IF(OR($B57="",$A57&lt;69),"",--MID('Key Analysis'!$C53,69,1))</f>
        <v/>
      </c>
      <c r="GZ57" s="29" t="str">
        <f>IF(OR($B57="",$A57&lt;70),"",--MID('Key Analysis'!$C53,70,1))</f>
        <v/>
      </c>
      <c r="HA57" s="29" t="str">
        <f>IF(OR($B57="",$A57&lt;71),"",--MID('Key Analysis'!$C53,71,1))</f>
        <v/>
      </c>
      <c r="HB57" s="29" t="str">
        <f>IF(OR($B57="",$A57&lt;72),"",--MID('Key Analysis'!$C53,72,1))</f>
        <v/>
      </c>
      <c r="HC57" s="29" t="str">
        <f>IF(OR($B57="",$A57&lt;73),"",--MID('Key Analysis'!$C53,73,1))</f>
        <v/>
      </c>
      <c r="HD57" s="29" t="str">
        <f>IF(OR($B57="",$A57&lt;74),"",--MID('Key Analysis'!$C53,74,1))</f>
        <v/>
      </c>
      <c r="HE57" s="29" t="str">
        <f>IF(OR($B57="",$A57&lt;75),"",--MID('Key Analysis'!$C53,75,1))</f>
        <v/>
      </c>
      <c r="HF57" s="29" t="str">
        <f>IF(OR($B57="",$A57&lt;76),"",--MID('Key Analysis'!$C53,76,1))</f>
        <v/>
      </c>
      <c r="HG57" s="29" t="str">
        <f>IF(OR($B57="",$A57&lt;77),"",--MID('Key Analysis'!$C53,77,1))</f>
        <v/>
      </c>
      <c r="HH57" s="29" t="str">
        <f>IF(OR($B57="",$A57&lt;78),"",--MID('Key Analysis'!$C53,78,1))</f>
        <v/>
      </c>
      <c r="HI57" s="29" t="str">
        <f>IF(OR($B57="",$A57&lt;79),"",--MID('Key Analysis'!$C53,79,1))</f>
        <v/>
      </c>
      <c r="HJ57" s="29" t="str">
        <f>IF(OR($B57="",$A57&lt;80),"",--MID('Key Analysis'!$C53,80,1))</f>
        <v/>
      </c>
      <c r="HK57" s="29" t="str">
        <f>IF(OR($B57="",$A57&lt;81),"",--MID('Key Analysis'!$C53,81,1))</f>
        <v/>
      </c>
      <c r="HL57" s="29" t="str">
        <f>IF(OR($B57="",$A57&lt;82),"",--MID('Key Analysis'!$C53,82,1))</f>
        <v/>
      </c>
      <c r="HM57" s="29" t="str">
        <f>IF(OR($B57="",$A57&lt;83),"",--MID('Key Analysis'!$C53,83,1))</f>
        <v/>
      </c>
      <c r="HN57" s="29" t="str">
        <f>IF(OR($B57="",$A57&lt;84),"",--MID('Key Analysis'!$C53,84,1))</f>
        <v/>
      </c>
      <c r="HO57" s="29" t="str">
        <f>IF(OR($B57="",$A57&lt;85),"",--MID('Key Analysis'!$C53,85,1))</f>
        <v/>
      </c>
      <c r="HP57" s="29" t="str">
        <f>IF(OR($B57="",$A57&lt;86),"",--MID('Key Analysis'!$C53,86,1))</f>
        <v/>
      </c>
      <c r="HQ57" s="29" t="str">
        <f>IF(OR($B57="",$A57&lt;87),"",--MID('Key Analysis'!$C53,87,1))</f>
        <v/>
      </c>
      <c r="HR57" s="29" t="str">
        <f>IF(OR($B57="",$A57&lt;88),"",--MID('Key Analysis'!$C53,88,1))</f>
        <v/>
      </c>
      <c r="HS57" s="29" t="str">
        <f>IF(OR($B57="",$A57&lt;89),"",--MID('Key Analysis'!$C53,89,1))</f>
        <v/>
      </c>
      <c r="HT57" s="29" t="str">
        <f>IF(OR($B57="",$A57&lt;90),"",--MID('Key Analysis'!$C53,90,1))</f>
        <v/>
      </c>
      <c r="HU57" s="29" t="str">
        <f>IF(OR($B57="",$A57&lt;91),"",--MID('Key Analysis'!$C53,91,1))</f>
        <v/>
      </c>
      <c r="HV57" s="29" t="str">
        <f>IF(OR($B57="",$A57&lt;92),"",--MID('Key Analysis'!$C53,92,1))</f>
        <v/>
      </c>
      <c r="HW57" s="29" t="str">
        <f>IF(OR($B57="",$A57&lt;93),"",--MID('Key Analysis'!$C53,93,1))</f>
        <v/>
      </c>
      <c r="HX57" s="29" t="str">
        <f>IF(OR($B57="",$A57&lt;94),"",--MID('Key Analysis'!$C53,94,1))</f>
        <v/>
      </c>
      <c r="HY57" s="29" t="str">
        <f>IF(OR($B57="",$A57&lt;95),"",--MID('Key Analysis'!$C53,95,1))</f>
        <v/>
      </c>
      <c r="HZ57" s="29" t="str">
        <f>IF(OR($B57="",$A57&lt;96),"",--MID('Key Analysis'!$C53,96,1))</f>
        <v/>
      </c>
      <c r="IA57" s="29" t="str">
        <f>IF(OR($B57="",$A57&lt;97),"",--MID('Key Analysis'!$C53,97,1))</f>
        <v/>
      </c>
      <c r="IB57" s="29" t="str">
        <f>IF(OR($B57="",$A57&lt;98),"",--MID('Key Analysis'!$C53,98,1))</f>
        <v/>
      </c>
      <c r="IC57" s="29" t="str">
        <f>IF(OR($B57="",$A57&lt;99),"",--MID('Key Analysis'!$C53,99,1))</f>
        <v/>
      </c>
      <c r="ID57" s="29" t="str">
        <f>IF(OR($B57="",$A57&lt;100),"",--MID('Key Analysis'!$C53,100,1))</f>
        <v/>
      </c>
      <c r="IE57" s="29" t="str">
        <f>IF(OR($B57="",$A57&lt;101),"",--MID('Key Analysis'!$C53,101,1))</f>
        <v/>
      </c>
      <c r="IF57" s="29" t="str">
        <f>IF(OR($B57="",$A57&lt;102),"",--MID('Key Analysis'!$C53,102,1))</f>
        <v/>
      </c>
      <c r="IG57" s="29" t="str">
        <f>IF(OR($B57="",$A57&lt;103),"",--MID('Key Analysis'!$C53,103,1))</f>
        <v/>
      </c>
      <c r="IH57" s="29" t="str">
        <f>IF(OR($B57="",$A57&lt;104),"",--MID('Key Analysis'!$C53,104,1))</f>
        <v/>
      </c>
      <c r="II57" s="29" t="str">
        <f>IF(OR($B57="",$A57&lt;105),"",--MID('Key Analysis'!$C53,105,1))</f>
        <v/>
      </c>
      <c r="IJ57" s="29" t="str">
        <f>IF(OR($B57="",$A57&lt;106),"",--MID('Key Analysis'!$C53,106,1))</f>
        <v/>
      </c>
      <c r="IK57" s="29" t="str">
        <f>IF(OR($B57="",$A57&lt;107),"",--MID('Key Analysis'!$C53,107,1))</f>
        <v/>
      </c>
      <c r="IL57" s="29" t="str">
        <f>IF(OR($B57="",$A57&lt;108),"",--MID('Key Analysis'!$C53,108,1))</f>
        <v/>
      </c>
      <c r="IM57" s="29" t="str">
        <f>IF(OR($B57="",$A57&lt;109),"",--MID('Key Analysis'!$C53,109,1))</f>
        <v/>
      </c>
      <c r="IN57" s="29" t="str">
        <f>IF(OR($B57="",$A57&lt;110),"",--MID('Key Analysis'!$C53,110,1))</f>
        <v/>
      </c>
      <c r="IO57" s="29" t="str">
        <f>IF(OR($B57="",$A57&lt;111),"",--MID('Key Analysis'!$C53,111,1))</f>
        <v/>
      </c>
      <c r="IP57" s="29" t="str">
        <f>IF(OR($B57="",$A57&lt;112),"",--MID('Key Analysis'!$C53,112,1))</f>
        <v/>
      </c>
      <c r="IQ57" s="29" t="str">
        <f>IF(OR($B57="",$A57&lt;113),"",--MID('Key Analysis'!$C53,113,1))</f>
        <v/>
      </c>
      <c r="IR57" s="29" t="str">
        <f>IF(OR($B57="",$A57&lt;114),"",--MID('Key Analysis'!$C53,114,1))</f>
        <v/>
      </c>
      <c r="IS57" s="29" t="str">
        <f>IF(OR($B57="",$A57&lt;115),"",--MID('Key Analysis'!$C53,115,1))</f>
        <v/>
      </c>
      <c r="IT57" s="29" t="str">
        <f>IF(OR($B57="",$A57&lt;116),"",--MID('Key Analysis'!$C53,116,1))</f>
        <v/>
      </c>
      <c r="IU57" s="29" t="str">
        <f>IF(OR($B57="",$A57&lt;117),"",--MID('Key Analysis'!$C53,117,1))</f>
        <v/>
      </c>
      <c r="IV57" s="29" t="str">
        <f>IF(OR($B57="",$A57&lt;118),"",--MID('Key Analysis'!$C53,118,1))</f>
        <v/>
      </c>
      <c r="IW57" s="29" t="str">
        <f>IF(OR($B57="",$A57&lt;119),"",--MID('Key Analysis'!$C53,119,1))</f>
        <v/>
      </c>
      <c r="IX57" s="29" t="str">
        <f>IF(OR($B57="",$A57&lt;120),"",--MID('Key Analysis'!$C53,120,1))</f>
        <v/>
      </c>
      <c r="IY57" s="29" t="str">
        <f>IF(OR($B57="",$A57&lt;121),"",--MID('Key Analysis'!$C53,121,1))</f>
        <v/>
      </c>
      <c r="IZ57" s="29" t="str">
        <f>IF(OR($B57="",$A57&lt;122),"",--MID('Key Analysis'!$C53,122,1))</f>
        <v/>
      </c>
      <c r="JA57" s="29" t="str">
        <f>IF(OR($B57="",$A57&lt;123),"",--MID('Key Analysis'!$C53,123,1))</f>
        <v/>
      </c>
      <c r="JB57" s="29" t="str">
        <f>IF(OR($B57="",$A57&lt;124),"",--MID('Key Analysis'!$C53,124,1))</f>
        <v/>
      </c>
      <c r="JC57" s="29" t="str">
        <f>IF(OR($B57="",$A57&lt;125),"",--MID('Key Analysis'!$C53,125,1))</f>
        <v/>
      </c>
      <c r="JD57" s="29" t="str">
        <f>IF(OR($B57="",$A57&lt;126),"",--MID('Key Analysis'!$C53,126,1))</f>
        <v/>
      </c>
      <c r="JE57" s="29" t="str">
        <f>IF(OR($B57="",$A57&lt;127),"",--MID('Key Analysis'!$C53,127,1))</f>
        <v/>
      </c>
      <c r="JF57" s="29" t="str">
        <f>IF(OR($B57="",$A57&lt;128),"",--MID('Key Analysis'!$C53,128,1))</f>
        <v/>
      </c>
      <c r="JG57" s="29" t="str">
        <f>IF(OR($B57="",$A57&lt;129),"",--MID('Key Analysis'!$C53,129,1))</f>
        <v/>
      </c>
      <c r="JH57" s="29" t="str">
        <f>IF(OR($B57="",$A57&lt;130),"",--MID('Key Analysis'!$C53,130,1))</f>
        <v/>
      </c>
      <c r="JI57" s="29" t="str">
        <f>IF(OR($B57="",$A57&lt;131),"",--MID('Key Analysis'!$C53,131,1))</f>
        <v/>
      </c>
      <c r="JJ57" s="29" t="str">
        <f>IF(OR($B57="",$A57&lt;132),"",--MID('Key Analysis'!$C53,132,1))</f>
        <v/>
      </c>
      <c r="JK57" s="29" t="str">
        <f>IF(OR($B57="",$A57&lt;133),"",--MID('Key Analysis'!$C53,133,1))</f>
        <v/>
      </c>
      <c r="JL57" s="29" t="str">
        <f>IF(OR($B57="",$A57&lt;134),"",--MID('Key Analysis'!$C53,134,1))</f>
        <v/>
      </c>
      <c r="JM57" s="29" t="str">
        <f>IF(OR($B57="",$A57&lt;135),"",--MID('Key Analysis'!$C53,135,1))</f>
        <v/>
      </c>
    </row>
    <row r="58" spans="1:273" x14ac:dyDescent="0.25">
      <c r="A58" s="21">
        <f>'Key Analysis'!A54</f>
        <v>53</v>
      </c>
      <c r="B58" s="30" t="str">
        <f>'Key Analysis'!B54</f>
        <v>180788e47e326c</v>
      </c>
      <c r="C58" s="29">
        <f>IF(OR($B58="",$A58&lt;=0),"",--MID('Key Analysis'!$C54,$A58-0,1))</f>
        <v>0</v>
      </c>
      <c r="D58" s="29">
        <f>IF(OR($B58="",$A58&lt;=1),"",--MID('Key Analysis'!$C54,$A58-1,1))</f>
        <v>0</v>
      </c>
      <c r="E58" s="29">
        <f>IF(OR($B58="",$A58&lt;=2),"",--MID('Key Analysis'!$C54,$A58-2,1))</f>
        <v>1</v>
      </c>
      <c r="F58" s="29">
        <f>IF(OR($B58="",$A58&lt;=3),"",--MID('Key Analysis'!$C54,$A58-3,1))</f>
        <v>1</v>
      </c>
      <c r="G58" s="29">
        <f>IF(OR($B58="",$A58&lt;=4),"",--MID('Key Analysis'!$C54,$A58-4,1))</f>
        <v>0</v>
      </c>
      <c r="H58" s="29">
        <f>IF(OR($B58="",$A58&lt;=5),"",--MID('Key Analysis'!$C54,$A58-5,1))</f>
        <v>1</v>
      </c>
      <c r="I58" s="29">
        <f>IF(OR($B58="",$A58&lt;=6),"",--MID('Key Analysis'!$C54,$A58-6,1))</f>
        <v>1</v>
      </c>
      <c r="J58" s="29">
        <f>IF(OR($B58="",$A58&lt;=7),"",--MID('Key Analysis'!$C54,$A58-7,1))</f>
        <v>0</v>
      </c>
      <c r="K58" s="29">
        <f>IF(OR($B58="",$A58&lt;=8),"",--MID('Key Analysis'!$C54,$A58-8,1))</f>
        <v>0</v>
      </c>
      <c r="L58" s="29">
        <f>IF(OR($B58="",$A58&lt;=9),"",--MID('Key Analysis'!$C54,$A58-9,1))</f>
        <v>1</v>
      </c>
      <c r="M58" s="29">
        <f>IF(OR($B58="",$A58&lt;=10),"",--MID('Key Analysis'!$C54,$A58-10,1))</f>
        <v>0</v>
      </c>
      <c r="N58" s="29">
        <f>IF(OR($B58="",$A58&lt;=11),"",--MID('Key Analysis'!$C54,$A58-11,1))</f>
        <v>0</v>
      </c>
      <c r="O58" s="29">
        <f>IF(OR($B58="",$A58&lt;=12),"",--MID('Key Analysis'!$C54,$A58-12,1))</f>
        <v>1</v>
      </c>
      <c r="P58" s="29">
        <f>IF(OR($B58="",$A58&lt;=13),"",--MID('Key Analysis'!$C54,$A58-13,1))</f>
        <v>1</v>
      </c>
      <c r="Q58" s="29">
        <f>IF(OR($B58="",$A58&lt;=14),"",--MID('Key Analysis'!$C54,$A58-14,1))</f>
        <v>0</v>
      </c>
      <c r="R58" s="29">
        <f>IF(OR($B58="",$A58&lt;=15),"",--MID('Key Analysis'!$C54,$A58-15,1))</f>
        <v>0</v>
      </c>
      <c r="S58" s="29">
        <f>IF(OR($B58="",$A58&lt;=16),"",--MID('Key Analysis'!$C54,$A58-16,1))</f>
        <v>0</v>
      </c>
      <c r="T58" s="29">
        <f>IF(OR($B58="",$A58&lt;=17),"",--MID('Key Analysis'!$C54,$A58-17,1))</f>
        <v>1</v>
      </c>
      <c r="U58" s="29">
        <f>IF(OR($B58="",$A58&lt;=18),"",--MID('Key Analysis'!$C54,$A58-18,1))</f>
        <v>1</v>
      </c>
      <c r="V58" s="29">
        <f>IF(OR($B58="",$A58&lt;=19),"",--MID('Key Analysis'!$C54,$A58-19,1))</f>
        <v>1</v>
      </c>
      <c r="W58" s="29">
        <f>IF(OR($B58="",$A58&lt;=20),"",--MID('Key Analysis'!$C54,$A58-20,1))</f>
        <v>1</v>
      </c>
      <c r="X58" s="29">
        <f>IF(OR($B58="",$A58&lt;=21),"",--MID('Key Analysis'!$C54,$A58-21,1))</f>
        <v>1</v>
      </c>
      <c r="Y58" s="29">
        <f>IF(OR($B58="",$A58&lt;=22),"",--MID('Key Analysis'!$C54,$A58-22,1))</f>
        <v>1</v>
      </c>
      <c r="Z58" s="29">
        <f>IF(OR($B58="",$A58&lt;=23),"",--MID('Key Analysis'!$C54,$A58-23,1))</f>
        <v>0</v>
      </c>
      <c r="AA58" s="29">
        <f>IF(OR($B58="",$A58&lt;=24),"",--MID('Key Analysis'!$C54,$A58-24,1))</f>
        <v>0</v>
      </c>
      <c r="AB58" s="29">
        <f>IF(OR($B58="",$A58&lt;=25),"",--MID('Key Analysis'!$C54,$A58-25,1))</f>
        <v>0</v>
      </c>
      <c r="AC58" s="29">
        <f>IF(OR($B58="",$A58&lt;=26),"",--MID('Key Analysis'!$C54,$A58-26,1))</f>
        <v>1</v>
      </c>
      <c r="AD58" s="29">
        <f>IF(OR($B58="",$A58&lt;=27),"",--MID('Key Analysis'!$C54,$A58-27,1))</f>
        <v>0</v>
      </c>
      <c r="AE58" s="29">
        <f>IF(OR($B58="",$A58&lt;=28),"",--MID('Key Analysis'!$C54,$A58-28,1))</f>
        <v>0</v>
      </c>
      <c r="AF58" s="29">
        <f>IF(OR($B58="",$A58&lt;=29),"",--MID('Key Analysis'!$C54,$A58-29,1))</f>
        <v>1</v>
      </c>
      <c r="AG58" s="29">
        <f>IF(OR($B58="",$A58&lt;=30),"",--MID('Key Analysis'!$C54,$A58-30,1))</f>
        <v>1</v>
      </c>
      <c r="AH58" s="29">
        <f>IF(OR($B58="",$A58&lt;=31),"",--MID('Key Analysis'!$C54,$A58-31,1))</f>
        <v>1</v>
      </c>
      <c r="AI58" s="29">
        <f>IF(OR($B58="",$A58&lt;=32),"",--MID('Key Analysis'!$C54,$A58-32,1))</f>
        <v>0</v>
      </c>
      <c r="AJ58" s="29">
        <f>IF(OR($B58="",$A58&lt;=33),"",--MID('Key Analysis'!$C54,$A58-33,1))</f>
        <v>0</v>
      </c>
      <c r="AK58" s="29">
        <f>IF(OR($B58="",$A58&lt;=34),"",--MID('Key Analysis'!$C54,$A58-34,1))</f>
        <v>0</v>
      </c>
      <c r="AL58" s="29">
        <f>IF(OR($B58="",$A58&lt;=35),"",--MID('Key Analysis'!$C54,$A58-35,1))</f>
        <v>1</v>
      </c>
      <c r="AM58" s="29">
        <f>IF(OR($B58="",$A58&lt;=36),"",--MID('Key Analysis'!$C54,$A58-36,1))</f>
        <v>0</v>
      </c>
      <c r="AN58" s="29">
        <f>IF(OR($B58="",$A58&lt;=37),"",--MID('Key Analysis'!$C54,$A58-37,1))</f>
        <v>0</v>
      </c>
      <c r="AO58" s="29">
        <f>IF(OR($B58="",$A58&lt;=38),"",--MID('Key Analysis'!$C54,$A58-38,1))</f>
        <v>0</v>
      </c>
      <c r="AP58" s="29">
        <f>IF(OR($B58="",$A58&lt;=39),"",--MID('Key Analysis'!$C54,$A58-39,1))</f>
        <v>1</v>
      </c>
      <c r="AQ58" s="29">
        <f>IF(OR($B58="",$A58&lt;=40),"",--MID('Key Analysis'!$C54,$A58-40,1))</f>
        <v>1</v>
      </c>
      <c r="AR58" s="29">
        <f>IF(OR($B58="",$A58&lt;=41),"",--MID('Key Analysis'!$C54,$A58-41,1))</f>
        <v>1</v>
      </c>
      <c r="AS58" s="29">
        <f>IF(OR($B58="",$A58&lt;=42),"",--MID('Key Analysis'!$C54,$A58-42,1))</f>
        <v>1</v>
      </c>
      <c r="AT58" s="29">
        <f>IF(OR($B58="",$A58&lt;=43),"",--MID('Key Analysis'!$C54,$A58-43,1))</f>
        <v>0</v>
      </c>
      <c r="AU58" s="29">
        <f>IF(OR($B58="",$A58&lt;=44),"",--MID('Key Analysis'!$C54,$A58-44,1))</f>
        <v>0</v>
      </c>
      <c r="AV58" s="29">
        <f>IF(OR($B58="",$A58&lt;=45),"",--MID('Key Analysis'!$C54,$A58-45,1))</f>
        <v>0</v>
      </c>
      <c r="AW58" s="29">
        <f>IF(OR($B58="",$A58&lt;=46),"",--MID('Key Analysis'!$C54,$A58-46,1))</f>
        <v>0</v>
      </c>
      <c r="AX58" s="29">
        <f>IF(OR($B58="",$A58&lt;=47),"",--MID('Key Analysis'!$C54,$A58-47,1))</f>
        <v>0</v>
      </c>
      <c r="AY58" s="29">
        <f>IF(OR($B58="",$A58&lt;=48),"",--MID('Key Analysis'!$C54,$A58-48,1))</f>
        <v>0</v>
      </c>
      <c r="AZ58" s="29">
        <f>IF(OR($B58="",$A58&lt;=49),"",--MID('Key Analysis'!$C54,$A58-49,1))</f>
        <v>0</v>
      </c>
      <c r="BA58" s="29">
        <f>IF(OR($B58="",$A58&lt;=50),"",--MID('Key Analysis'!$C54,$A58-50,1))</f>
        <v>0</v>
      </c>
      <c r="BB58" s="29">
        <f>IF(OR($B58="",$A58&lt;=51),"",--MID('Key Analysis'!$C54,$A58-51,1))</f>
        <v>1</v>
      </c>
      <c r="BC58" s="29">
        <f>IF(OR($B58="",$A58&lt;=52),"",--MID('Key Analysis'!$C54,$A58-52,1))</f>
        <v>1</v>
      </c>
      <c r="BD58" s="29" t="str">
        <f>IF(OR($B58="",$A58&lt;=53),"",--MID('Key Analysis'!$C54,$A58-53,1))</f>
        <v/>
      </c>
      <c r="BE58" s="29" t="str">
        <f>IF(OR($B58="",$A58&lt;=54),"",--MID('Key Analysis'!$C54,$A58-54,1))</f>
        <v/>
      </c>
      <c r="BF58" s="29" t="str">
        <f>IF(OR($B58="",$A58&lt;=55),"",--MID('Key Analysis'!$C54,$A58-55,1))</f>
        <v/>
      </c>
      <c r="BG58" s="29" t="str">
        <f>IF(OR($B58="",$A58&lt;=56),"",--MID('Key Analysis'!$C54,$A58-56,1))</f>
        <v/>
      </c>
      <c r="BH58" s="29" t="str">
        <f>IF(OR($B58="",$A58&lt;=57),"",--MID('Key Analysis'!$C54,$A58-57,1))</f>
        <v/>
      </c>
      <c r="BI58" s="29" t="str">
        <f>IF(OR($B58="",$A58&lt;=58),"",--MID('Key Analysis'!$C54,$A58-58,1))</f>
        <v/>
      </c>
      <c r="BJ58" s="29" t="str">
        <f>IF(OR($B58="",$A58&lt;=59),"",--MID('Key Analysis'!$C54,$A58-59,1))</f>
        <v/>
      </c>
      <c r="BK58" s="29" t="str">
        <f>IF(OR($B58="",$A58&lt;=60),"",--MID('Key Analysis'!$C54,$A58-60,1))</f>
        <v/>
      </c>
      <c r="BL58" s="29" t="str">
        <f>IF(OR($B58="",$A58&lt;=61),"",--MID('Key Analysis'!$C54,$A58-61,1))</f>
        <v/>
      </c>
      <c r="BM58" s="29" t="str">
        <f>IF(OR($B58="",$A58&lt;=62),"",--MID('Key Analysis'!$C54,$A58-62,1))</f>
        <v/>
      </c>
      <c r="BN58" s="29" t="str">
        <f>IF(OR($B58="",$A58&lt;=63),"",--MID('Key Analysis'!$C54,$A58-63,1))</f>
        <v/>
      </c>
      <c r="BO58" s="29" t="str">
        <f>IF(OR($B58="",$A58&lt;=64),"",--MID('Key Analysis'!$C54,$A58-64,1))</f>
        <v/>
      </c>
      <c r="BP58" s="29" t="str">
        <f>IF(OR($B58="",$A58&lt;=65),"",--MID('Key Analysis'!$C54,$A58-65,1))</f>
        <v/>
      </c>
      <c r="BQ58" s="29" t="str">
        <f>IF(OR($B58="",$A58&lt;=66),"",--MID('Key Analysis'!$C54,$A58-66,1))</f>
        <v/>
      </c>
      <c r="BR58" s="29" t="str">
        <f>IF(OR($B58="",$A58&lt;=67),"",--MID('Key Analysis'!$C54,$A58-67,1))</f>
        <v/>
      </c>
      <c r="BS58" s="29" t="str">
        <f>IF(OR($B58="",$A58&lt;=68),"",--MID('Key Analysis'!$C54,$A58-68,1))</f>
        <v/>
      </c>
      <c r="BT58" s="29" t="str">
        <f>IF(OR($B58="",$A58&lt;=69),"",--MID('Key Analysis'!$C54,$A58-69,1))</f>
        <v/>
      </c>
      <c r="BU58" s="29" t="str">
        <f>IF(OR($B58="",$A58&lt;=70),"",--MID('Key Analysis'!$C54,$A58-70,1))</f>
        <v/>
      </c>
      <c r="BV58" s="29" t="str">
        <f>IF(OR($B58="",$A58&lt;=71),"",--MID('Key Analysis'!$C54,$A58-71,1))</f>
        <v/>
      </c>
      <c r="BW58" s="29" t="str">
        <f>IF(OR($B58="",$A58&lt;=72),"",--MID('Key Analysis'!$C54,$A58-72,1))</f>
        <v/>
      </c>
      <c r="BX58" s="29" t="str">
        <f>IF(OR($B58="",$A58&lt;=73),"",--MID('Key Analysis'!$C54,$A58-73,1))</f>
        <v/>
      </c>
      <c r="BY58" s="29" t="str">
        <f>IF(OR($B58="",$A58&lt;=74),"",--MID('Key Analysis'!$C54,$A58-74,1))</f>
        <v/>
      </c>
      <c r="BZ58" s="29" t="str">
        <f>IF(OR($B58="",$A58&lt;=75),"",--MID('Key Analysis'!$C54,$A58-75,1))</f>
        <v/>
      </c>
      <c r="CA58" s="29" t="str">
        <f>IF(OR($B58="",$A58&lt;=76),"",--MID('Key Analysis'!$C54,$A58-76,1))</f>
        <v/>
      </c>
      <c r="CB58" s="29" t="str">
        <f>IF(OR($B58="",$A58&lt;=77),"",--MID('Key Analysis'!$C54,$A58-77,1))</f>
        <v/>
      </c>
      <c r="CC58" s="29" t="str">
        <f>IF(OR($B58="",$A58&lt;=78),"",--MID('Key Analysis'!$C54,$A58-78,1))</f>
        <v/>
      </c>
      <c r="CD58" s="29" t="str">
        <f>IF(OR($B58="",$A58&lt;=79),"",--MID('Key Analysis'!$C54,$A58-79,1))</f>
        <v/>
      </c>
      <c r="CE58" s="29" t="str">
        <f>IF(OR($B58="",$A58&lt;=80),"",--MID('Key Analysis'!$C54,$A58-80,1))</f>
        <v/>
      </c>
      <c r="CF58" s="29" t="str">
        <f>IF(OR($B58="",$A58&lt;=81),"",--MID('Key Analysis'!$C54,$A58-81,1))</f>
        <v/>
      </c>
      <c r="CG58" s="29" t="str">
        <f>IF(OR($B58="",$A58&lt;=82),"",--MID('Key Analysis'!$C54,$A58-82,1))</f>
        <v/>
      </c>
      <c r="CH58" s="29" t="str">
        <f>IF(OR($B58="",$A58&lt;=83),"",--MID('Key Analysis'!$C54,$A58-83,1))</f>
        <v/>
      </c>
      <c r="CI58" s="29" t="str">
        <f>IF(OR($B58="",$A58&lt;=84),"",--MID('Key Analysis'!$C54,$A58-84,1))</f>
        <v/>
      </c>
      <c r="CJ58" s="29" t="str">
        <f>IF(OR($B58="",$A58&lt;=85),"",--MID('Key Analysis'!$C54,$A58-85,1))</f>
        <v/>
      </c>
      <c r="CK58" s="29" t="str">
        <f>IF(OR($B58="",$A58&lt;=86),"",--MID('Key Analysis'!$C54,$A58-86,1))</f>
        <v/>
      </c>
      <c r="CL58" s="29" t="str">
        <f>IF(OR($B58="",$A58&lt;=87),"",--MID('Key Analysis'!$C54,$A58-87,1))</f>
        <v/>
      </c>
      <c r="CM58" s="29" t="str">
        <f>IF(OR($B58="",$A58&lt;=88),"",--MID('Key Analysis'!$C54,$A58-88,1))</f>
        <v/>
      </c>
      <c r="CN58" s="29" t="str">
        <f>IF(OR($B58="",$A58&lt;=89),"",--MID('Key Analysis'!$C54,$A58-89,1))</f>
        <v/>
      </c>
      <c r="CO58" s="29" t="str">
        <f>IF(OR($B58="",$A58&lt;=90),"",--MID('Key Analysis'!$C54,$A58-90,1))</f>
        <v/>
      </c>
      <c r="CP58" s="29" t="str">
        <f>IF(OR($B58="",$A58&lt;=91),"",--MID('Key Analysis'!$C54,$A58-91,1))</f>
        <v/>
      </c>
      <c r="CQ58" s="29" t="str">
        <f>IF(OR($B58="",$A58&lt;=92),"",--MID('Key Analysis'!$C54,$A58-92,1))</f>
        <v/>
      </c>
      <c r="CR58" s="29" t="str">
        <f>IF(OR($B58="",$A58&lt;=93),"",--MID('Key Analysis'!$C54,$A58-93,1))</f>
        <v/>
      </c>
      <c r="CS58" s="29" t="str">
        <f>IF(OR($B58="",$A58&lt;=94),"",--MID('Key Analysis'!$C54,$A58-94,1))</f>
        <v/>
      </c>
      <c r="CT58" s="29" t="str">
        <f>IF(OR($B58="",$A58&lt;=95),"",--MID('Key Analysis'!$C54,$A58-95,1))</f>
        <v/>
      </c>
      <c r="CU58" s="29" t="str">
        <f>IF(OR($B58="",$A58&lt;=96),"",--MID('Key Analysis'!$C54,$A58-96,1))</f>
        <v/>
      </c>
      <c r="CV58" s="29" t="str">
        <f>IF(OR($B58="",$A58&lt;=97),"",--MID('Key Analysis'!$C54,$A58-97,1))</f>
        <v/>
      </c>
      <c r="CW58" s="29" t="str">
        <f>IF(OR($B58="",$A58&lt;=98),"",--MID('Key Analysis'!$C54,$A58-98,1))</f>
        <v/>
      </c>
      <c r="CX58" s="29" t="str">
        <f>IF(OR($B58="",$A58&lt;=99),"",--MID('Key Analysis'!$C54,$A58-99,1))</f>
        <v/>
      </c>
      <c r="CY58" s="29" t="str">
        <f>IF(OR($B58="",$A58&lt;=100),"",--MID('Key Analysis'!$C54,$A58-100,1))</f>
        <v/>
      </c>
      <c r="CZ58" s="29" t="str">
        <f>IF(OR($B58="",$A58&lt;=101),"",--MID('Key Analysis'!$C54,$A58-101,1))</f>
        <v/>
      </c>
      <c r="DA58" s="29" t="str">
        <f>IF(OR($B58="",$A58&lt;=102),"",--MID('Key Analysis'!$C54,$A58-102,1))</f>
        <v/>
      </c>
      <c r="DB58" s="29" t="str">
        <f>IF(OR($B58="",$A58&lt;=103),"",--MID('Key Analysis'!$C54,$A58-103,1))</f>
        <v/>
      </c>
      <c r="DC58" s="29" t="str">
        <f>IF(OR($B58="",$A58&lt;=104),"",--MID('Key Analysis'!$C54,$A58-104,1))</f>
        <v/>
      </c>
      <c r="DD58" s="29" t="str">
        <f>IF(OR($B58="",$A58&lt;=105),"",--MID('Key Analysis'!$C54,$A58-105,1))</f>
        <v/>
      </c>
      <c r="DE58" s="29" t="str">
        <f>IF(OR($B58="",$A58&lt;=106),"",--MID('Key Analysis'!$C54,$A58-106,1))</f>
        <v/>
      </c>
      <c r="DF58" s="29" t="str">
        <f>IF(OR($B58="",$A58&lt;=107),"",--MID('Key Analysis'!$C54,$A58-107,1))</f>
        <v/>
      </c>
      <c r="DG58" s="29" t="str">
        <f>IF(OR($B58="",$A58&lt;=108),"",--MID('Key Analysis'!$C54,$A58-108,1))</f>
        <v/>
      </c>
      <c r="DH58" s="29" t="str">
        <f>IF(OR($B58="",$A58&lt;=109),"",--MID('Key Analysis'!$C54,$A58-109,1))</f>
        <v/>
      </c>
      <c r="DI58" s="29" t="str">
        <f>IF(OR($B58="",$A58&lt;=110),"",--MID('Key Analysis'!$C54,$A58-110,1))</f>
        <v/>
      </c>
      <c r="DJ58" s="29" t="str">
        <f>IF(OR($B58="",$A58&lt;=111),"",--MID('Key Analysis'!$C54,$A58-111,1))</f>
        <v/>
      </c>
      <c r="DK58" s="29" t="str">
        <f>IF(OR($B58="",$A58&lt;=112),"",--MID('Key Analysis'!$C54,$A58-112,1))</f>
        <v/>
      </c>
      <c r="DL58" s="29" t="str">
        <f>IF(OR($B58="",$A58&lt;=113),"",--MID('Key Analysis'!$C54,$A58-113,1))</f>
        <v/>
      </c>
      <c r="DM58" s="29" t="str">
        <f>IF(OR($B58="",$A58&lt;=114),"",--MID('Key Analysis'!$C54,$A58-114,1))</f>
        <v/>
      </c>
      <c r="DN58" s="29" t="str">
        <f>IF(OR($B58="",$A58&lt;=115),"",--MID('Key Analysis'!$C54,$A58-115,1))</f>
        <v/>
      </c>
      <c r="DO58" s="29" t="str">
        <f>IF(OR($B58="",$A58&lt;=116),"",--MID('Key Analysis'!$C54,$A58-116,1))</f>
        <v/>
      </c>
      <c r="DP58" s="29" t="str">
        <f>IF(OR($B58="",$A58&lt;=117),"",--MID('Key Analysis'!$C54,$A58-117,1))</f>
        <v/>
      </c>
      <c r="DQ58" s="29" t="str">
        <f>IF(OR($B58="",$A58&lt;=118),"",--MID('Key Analysis'!$C54,$A58-118,1))</f>
        <v/>
      </c>
      <c r="DR58" s="29" t="str">
        <f>IF(OR($B58="",$A58&lt;=119),"",--MID('Key Analysis'!$C54,$A58-119,1))</f>
        <v/>
      </c>
      <c r="DS58" s="29" t="str">
        <f>IF(OR($B58="",$A58&lt;=120),"",--MID('Key Analysis'!$C54,$A58-120,1))</f>
        <v/>
      </c>
      <c r="DT58" s="29" t="str">
        <f>IF(OR($B58="",$A58&lt;=121),"",--MID('Key Analysis'!$C54,$A58-121,1))</f>
        <v/>
      </c>
      <c r="DU58" s="29" t="str">
        <f>IF(OR($B58="",$A58&lt;=122),"",--MID('Key Analysis'!$C54,$A58-122,1))</f>
        <v/>
      </c>
      <c r="DV58" s="29" t="str">
        <f>IF(OR($B58="",$A58&lt;=123),"",--MID('Key Analysis'!$C54,$A58-123,1))</f>
        <v/>
      </c>
      <c r="DW58" s="29" t="str">
        <f>IF(OR($B58="",$A58&lt;=124),"",--MID('Key Analysis'!$C54,$A58-124,1))</f>
        <v/>
      </c>
      <c r="DX58" s="29" t="str">
        <f>IF(OR($B58="",$A58&lt;=125),"",--MID('Key Analysis'!$C54,$A58-125,1))</f>
        <v/>
      </c>
      <c r="DY58" s="29" t="str">
        <f>IF(OR($B58="",$A58&lt;=126),"",--MID('Key Analysis'!$C54,$A58-126,1))</f>
        <v/>
      </c>
      <c r="DZ58" s="29" t="str">
        <f>IF(OR($B58="",$A58&lt;=127),"",--MID('Key Analysis'!$C54,$A58-127,1))</f>
        <v/>
      </c>
      <c r="EA58" s="29" t="str">
        <f>IF(OR($B58="",$A58&lt;=128),"",--MID('Key Analysis'!$C54,$A58-128,1))</f>
        <v/>
      </c>
      <c r="EB58" s="29" t="str">
        <f>IF(OR($B58="",$A58&lt;=129),"",--MID('Key Analysis'!$C54,$A58-129,1))</f>
        <v/>
      </c>
      <c r="EC58" s="29" t="str">
        <f>IF(OR($B58="",$A58&lt;=130),"",--MID('Key Analysis'!$C54,$A58-130,1))</f>
        <v/>
      </c>
      <c r="ED58" s="29" t="str">
        <f>IF(OR($B58="",$A58&lt;=131),"",--MID('Key Analysis'!$C54,$A58-131,1))</f>
        <v/>
      </c>
      <c r="EE58" s="29" t="str">
        <f>IF(OR($B58="",$A58&lt;=132),"",--MID('Key Analysis'!$C54,$A58-132,1))</f>
        <v/>
      </c>
      <c r="EF58" s="29" t="str">
        <f>IF(OR($B58="",$A58&lt;=133),"",--MID('Key Analysis'!$C54,$A58-133,1))</f>
        <v/>
      </c>
      <c r="EG58" s="29" t="str">
        <f>IF(OR($B58="",$A58&lt;=134),"",--MID('Key Analysis'!$C54,$A58-134,1))</f>
        <v/>
      </c>
      <c r="EH58" s="29"/>
      <c r="EI58" s="29">
        <f>IF(OR($B58="",$A58&lt;1),"",--MID('Key Analysis'!$C54,1,1))</f>
        <v>1</v>
      </c>
      <c r="EJ58" s="29">
        <f>IF(OR($B58="",$A58&lt;2),"",--MID('Key Analysis'!$C54,2,1))</f>
        <v>1</v>
      </c>
      <c r="EK58" s="29">
        <f>IF(OR($B58="",$A58&lt;3),"",--MID('Key Analysis'!$C54,3,1))</f>
        <v>0</v>
      </c>
      <c r="EL58" s="29">
        <f>IF(OR($B58="",$A58&lt;4),"",--MID('Key Analysis'!$C54,4,1))</f>
        <v>0</v>
      </c>
      <c r="EM58" s="29">
        <f>IF(OR($B58="",$A58&lt;5),"",--MID('Key Analysis'!$C54,5,1))</f>
        <v>0</v>
      </c>
      <c r="EN58" s="29">
        <f>IF(OR($B58="",$A58&lt;6),"",--MID('Key Analysis'!$C54,6,1))</f>
        <v>0</v>
      </c>
      <c r="EO58" s="29">
        <f>IF(OR($B58="",$A58&lt;7),"",--MID('Key Analysis'!$C54,7,1))</f>
        <v>0</v>
      </c>
      <c r="EP58" s="29">
        <f>IF(OR($B58="",$A58&lt;8),"",--MID('Key Analysis'!$C54,8,1))</f>
        <v>0</v>
      </c>
      <c r="EQ58" s="29">
        <f>IF(OR($B58="",$A58&lt;9),"",--MID('Key Analysis'!$C54,9,1))</f>
        <v>0</v>
      </c>
      <c r="ER58" s="29">
        <f>IF(OR($B58="",$A58&lt;10),"",--MID('Key Analysis'!$C54,10,1))</f>
        <v>0</v>
      </c>
      <c r="ES58" s="29">
        <f>IF(OR($B58="",$A58&lt;11),"",--MID('Key Analysis'!$C54,11,1))</f>
        <v>1</v>
      </c>
      <c r="ET58" s="29">
        <f>IF(OR($B58="",$A58&lt;12),"",--MID('Key Analysis'!$C54,12,1))</f>
        <v>1</v>
      </c>
      <c r="EU58" s="29">
        <f>IF(OR($B58="",$A58&lt;13),"",--MID('Key Analysis'!$C54,13,1))</f>
        <v>1</v>
      </c>
      <c r="EV58" s="29">
        <f>IF(OR($B58="",$A58&lt;14),"",--MID('Key Analysis'!$C54,14,1))</f>
        <v>1</v>
      </c>
      <c r="EW58" s="29">
        <f>IF(OR($B58="",$A58&lt;15),"",--MID('Key Analysis'!$C54,15,1))</f>
        <v>0</v>
      </c>
      <c r="EX58" s="29">
        <f>IF(OR($B58="",$A58&lt;16),"",--MID('Key Analysis'!$C54,16,1))</f>
        <v>0</v>
      </c>
      <c r="EY58" s="29">
        <f>IF(OR($B58="",$A58&lt;17),"",--MID('Key Analysis'!$C54,17,1))</f>
        <v>0</v>
      </c>
      <c r="EZ58" s="29">
        <f>IF(OR($B58="",$A58&lt;18),"",--MID('Key Analysis'!$C54,18,1))</f>
        <v>1</v>
      </c>
      <c r="FA58" s="29">
        <f>IF(OR($B58="",$A58&lt;19),"",--MID('Key Analysis'!$C54,19,1))</f>
        <v>0</v>
      </c>
      <c r="FB58" s="29">
        <f>IF(OR($B58="",$A58&lt;20),"",--MID('Key Analysis'!$C54,20,1))</f>
        <v>0</v>
      </c>
      <c r="FC58" s="29">
        <f>IF(OR($B58="",$A58&lt;21),"",--MID('Key Analysis'!$C54,21,1))</f>
        <v>0</v>
      </c>
      <c r="FD58" s="29">
        <f>IF(OR($B58="",$A58&lt;22),"",--MID('Key Analysis'!$C54,22,1))</f>
        <v>1</v>
      </c>
      <c r="FE58" s="29">
        <f>IF(OR($B58="",$A58&lt;23),"",--MID('Key Analysis'!$C54,23,1))</f>
        <v>1</v>
      </c>
      <c r="FF58" s="29">
        <f>IF(OR($B58="",$A58&lt;24),"",--MID('Key Analysis'!$C54,24,1))</f>
        <v>1</v>
      </c>
      <c r="FG58" s="29">
        <f>IF(OR($B58="",$A58&lt;25),"",--MID('Key Analysis'!$C54,25,1))</f>
        <v>0</v>
      </c>
      <c r="FH58" s="29">
        <f>IF(OR($B58="",$A58&lt;26),"",--MID('Key Analysis'!$C54,26,1))</f>
        <v>0</v>
      </c>
      <c r="FI58" s="29">
        <f>IF(OR($B58="",$A58&lt;27),"",--MID('Key Analysis'!$C54,27,1))</f>
        <v>1</v>
      </c>
      <c r="FJ58" s="29">
        <f>IF(OR($B58="",$A58&lt;28),"",--MID('Key Analysis'!$C54,28,1))</f>
        <v>0</v>
      </c>
      <c r="FK58" s="29">
        <f>IF(OR($B58="",$A58&lt;29),"",--MID('Key Analysis'!$C54,29,1))</f>
        <v>0</v>
      </c>
      <c r="FL58" s="29">
        <f>IF(OR($B58="",$A58&lt;30),"",--MID('Key Analysis'!$C54,30,1))</f>
        <v>0</v>
      </c>
      <c r="FM58" s="29">
        <f>IF(OR($B58="",$A58&lt;31),"",--MID('Key Analysis'!$C54,31,1))</f>
        <v>1</v>
      </c>
      <c r="FN58" s="29">
        <f>IF(OR($B58="",$A58&lt;32),"",--MID('Key Analysis'!$C54,32,1))</f>
        <v>1</v>
      </c>
      <c r="FO58" s="29">
        <f>IF(OR($B58="",$A58&lt;33),"",--MID('Key Analysis'!$C54,33,1))</f>
        <v>1</v>
      </c>
      <c r="FP58" s="29">
        <f>IF(OR($B58="",$A58&lt;34),"",--MID('Key Analysis'!$C54,34,1))</f>
        <v>1</v>
      </c>
      <c r="FQ58" s="29">
        <f>IF(OR($B58="",$A58&lt;35),"",--MID('Key Analysis'!$C54,35,1))</f>
        <v>1</v>
      </c>
      <c r="FR58" s="29">
        <f>IF(OR($B58="",$A58&lt;36),"",--MID('Key Analysis'!$C54,36,1))</f>
        <v>1</v>
      </c>
      <c r="FS58" s="29">
        <f>IF(OR($B58="",$A58&lt;37),"",--MID('Key Analysis'!$C54,37,1))</f>
        <v>0</v>
      </c>
      <c r="FT58" s="29">
        <f>IF(OR($B58="",$A58&lt;38),"",--MID('Key Analysis'!$C54,38,1))</f>
        <v>0</v>
      </c>
      <c r="FU58" s="29">
        <f>IF(OR($B58="",$A58&lt;39),"",--MID('Key Analysis'!$C54,39,1))</f>
        <v>0</v>
      </c>
      <c r="FV58" s="29">
        <f>IF(OR($B58="",$A58&lt;40),"",--MID('Key Analysis'!$C54,40,1))</f>
        <v>1</v>
      </c>
      <c r="FW58" s="29">
        <f>IF(OR($B58="",$A58&lt;41),"",--MID('Key Analysis'!$C54,41,1))</f>
        <v>1</v>
      </c>
      <c r="FX58" s="29">
        <f>IF(OR($B58="",$A58&lt;42),"",--MID('Key Analysis'!$C54,42,1))</f>
        <v>0</v>
      </c>
      <c r="FY58" s="29">
        <f>IF(OR($B58="",$A58&lt;43),"",--MID('Key Analysis'!$C54,43,1))</f>
        <v>0</v>
      </c>
      <c r="FZ58" s="29">
        <f>IF(OR($B58="",$A58&lt;44),"",--MID('Key Analysis'!$C54,44,1))</f>
        <v>1</v>
      </c>
      <c r="GA58" s="29">
        <f>IF(OR($B58="",$A58&lt;45),"",--MID('Key Analysis'!$C54,45,1))</f>
        <v>0</v>
      </c>
      <c r="GB58" s="29">
        <f>IF(OR($B58="",$A58&lt;46),"",--MID('Key Analysis'!$C54,46,1))</f>
        <v>0</v>
      </c>
      <c r="GC58" s="29">
        <f>IF(OR($B58="",$A58&lt;47),"",--MID('Key Analysis'!$C54,47,1))</f>
        <v>1</v>
      </c>
      <c r="GD58" s="29">
        <f>IF(OR($B58="",$A58&lt;48),"",--MID('Key Analysis'!$C54,48,1))</f>
        <v>1</v>
      </c>
      <c r="GE58" s="29">
        <f>IF(OR($B58="",$A58&lt;49),"",--MID('Key Analysis'!$C54,49,1))</f>
        <v>0</v>
      </c>
      <c r="GF58" s="29">
        <f>IF(OR($B58="",$A58&lt;50),"",--MID('Key Analysis'!$C54,50,1))</f>
        <v>1</v>
      </c>
      <c r="GG58" s="29">
        <f>IF(OR($B58="",$A58&lt;51),"",--MID('Key Analysis'!$C54,51,1))</f>
        <v>1</v>
      </c>
      <c r="GH58" s="29">
        <f>IF(OR($B58="",$A58&lt;52),"",--MID('Key Analysis'!$C54,52,1))</f>
        <v>0</v>
      </c>
      <c r="GI58" s="29">
        <f>IF(OR($B58="",$A58&lt;53),"",--MID('Key Analysis'!$C54,53,1))</f>
        <v>0</v>
      </c>
      <c r="GJ58" s="29" t="str">
        <f>IF(OR($B58="",$A58&lt;54),"",--MID('Key Analysis'!$C54,54,1))</f>
        <v/>
      </c>
      <c r="GK58" s="29" t="str">
        <f>IF(OR($B58="",$A58&lt;55),"",--MID('Key Analysis'!$C54,55,1))</f>
        <v/>
      </c>
      <c r="GL58" s="29" t="str">
        <f>IF(OR($B58="",$A58&lt;56),"",--MID('Key Analysis'!$C54,56,1))</f>
        <v/>
      </c>
      <c r="GM58" s="29" t="str">
        <f>IF(OR($B58="",$A58&lt;57),"",--MID('Key Analysis'!$C54,57,1))</f>
        <v/>
      </c>
      <c r="GN58" s="29" t="str">
        <f>IF(OR($B58="",$A58&lt;58),"",--MID('Key Analysis'!$C54,58,1))</f>
        <v/>
      </c>
      <c r="GO58" s="29" t="str">
        <f>IF(OR($B58="",$A58&lt;59),"",--MID('Key Analysis'!$C54,59,1))</f>
        <v/>
      </c>
      <c r="GP58" s="29" t="str">
        <f>IF(OR($B58="",$A58&lt;60),"",--MID('Key Analysis'!$C54,60,1))</f>
        <v/>
      </c>
      <c r="GQ58" s="29" t="str">
        <f>IF(OR($B58="",$A58&lt;61),"",--MID('Key Analysis'!$C54,61,1))</f>
        <v/>
      </c>
      <c r="GR58" s="29" t="str">
        <f>IF(OR($B58="",$A58&lt;62),"",--MID('Key Analysis'!$C54,62,1))</f>
        <v/>
      </c>
      <c r="GS58" s="29" t="str">
        <f>IF(OR($B58="",$A58&lt;63),"",--MID('Key Analysis'!$C54,63,1))</f>
        <v/>
      </c>
      <c r="GT58" s="29" t="str">
        <f>IF(OR($B58="",$A58&lt;64),"",--MID('Key Analysis'!$C54,64,1))</f>
        <v/>
      </c>
      <c r="GU58" s="29" t="str">
        <f>IF(OR($B58="",$A58&lt;65),"",--MID('Key Analysis'!$C54,65,1))</f>
        <v/>
      </c>
      <c r="GV58" s="29" t="str">
        <f>IF(OR($B58="",$A58&lt;66),"",--MID('Key Analysis'!$C54,66,1))</f>
        <v/>
      </c>
      <c r="GW58" s="29" t="str">
        <f>IF(OR($B58="",$A58&lt;67),"",--MID('Key Analysis'!$C54,67,1))</f>
        <v/>
      </c>
      <c r="GX58" s="29" t="str">
        <f>IF(OR($B58="",$A58&lt;68),"",--MID('Key Analysis'!$C54,68,1))</f>
        <v/>
      </c>
      <c r="GY58" s="29" t="str">
        <f>IF(OR($B58="",$A58&lt;69),"",--MID('Key Analysis'!$C54,69,1))</f>
        <v/>
      </c>
      <c r="GZ58" s="29" t="str">
        <f>IF(OR($B58="",$A58&lt;70),"",--MID('Key Analysis'!$C54,70,1))</f>
        <v/>
      </c>
      <c r="HA58" s="29" t="str">
        <f>IF(OR($B58="",$A58&lt;71),"",--MID('Key Analysis'!$C54,71,1))</f>
        <v/>
      </c>
      <c r="HB58" s="29" t="str">
        <f>IF(OR($B58="",$A58&lt;72),"",--MID('Key Analysis'!$C54,72,1))</f>
        <v/>
      </c>
      <c r="HC58" s="29" t="str">
        <f>IF(OR($B58="",$A58&lt;73),"",--MID('Key Analysis'!$C54,73,1))</f>
        <v/>
      </c>
      <c r="HD58" s="29" t="str">
        <f>IF(OR($B58="",$A58&lt;74),"",--MID('Key Analysis'!$C54,74,1))</f>
        <v/>
      </c>
      <c r="HE58" s="29" t="str">
        <f>IF(OR($B58="",$A58&lt;75),"",--MID('Key Analysis'!$C54,75,1))</f>
        <v/>
      </c>
      <c r="HF58" s="29" t="str">
        <f>IF(OR($B58="",$A58&lt;76),"",--MID('Key Analysis'!$C54,76,1))</f>
        <v/>
      </c>
      <c r="HG58" s="29" t="str">
        <f>IF(OR($B58="",$A58&lt;77),"",--MID('Key Analysis'!$C54,77,1))</f>
        <v/>
      </c>
      <c r="HH58" s="29" t="str">
        <f>IF(OR($B58="",$A58&lt;78),"",--MID('Key Analysis'!$C54,78,1))</f>
        <v/>
      </c>
      <c r="HI58" s="29" t="str">
        <f>IF(OR($B58="",$A58&lt;79),"",--MID('Key Analysis'!$C54,79,1))</f>
        <v/>
      </c>
      <c r="HJ58" s="29" t="str">
        <f>IF(OR($B58="",$A58&lt;80),"",--MID('Key Analysis'!$C54,80,1))</f>
        <v/>
      </c>
      <c r="HK58" s="29" t="str">
        <f>IF(OR($B58="",$A58&lt;81),"",--MID('Key Analysis'!$C54,81,1))</f>
        <v/>
      </c>
      <c r="HL58" s="29" t="str">
        <f>IF(OR($B58="",$A58&lt;82),"",--MID('Key Analysis'!$C54,82,1))</f>
        <v/>
      </c>
      <c r="HM58" s="29" t="str">
        <f>IF(OR($B58="",$A58&lt;83),"",--MID('Key Analysis'!$C54,83,1))</f>
        <v/>
      </c>
      <c r="HN58" s="29" t="str">
        <f>IF(OR($B58="",$A58&lt;84),"",--MID('Key Analysis'!$C54,84,1))</f>
        <v/>
      </c>
      <c r="HO58" s="29" t="str">
        <f>IF(OR($B58="",$A58&lt;85),"",--MID('Key Analysis'!$C54,85,1))</f>
        <v/>
      </c>
      <c r="HP58" s="29" t="str">
        <f>IF(OR($B58="",$A58&lt;86),"",--MID('Key Analysis'!$C54,86,1))</f>
        <v/>
      </c>
      <c r="HQ58" s="29" t="str">
        <f>IF(OR($B58="",$A58&lt;87),"",--MID('Key Analysis'!$C54,87,1))</f>
        <v/>
      </c>
      <c r="HR58" s="29" t="str">
        <f>IF(OR($B58="",$A58&lt;88),"",--MID('Key Analysis'!$C54,88,1))</f>
        <v/>
      </c>
      <c r="HS58" s="29" t="str">
        <f>IF(OR($B58="",$A58&lt;89),"",--MID('Key Analysis'!$C54,89,1))</f>
        <v/>
      </c>
      <c r="HT58" s="29" t="str">
        <f>IF(OR($B58="",$A58&lt;90),"",--MID('Key Analysis'!$C54,90,1))</f>
        <v/>
      </c>
      <c r="HU58" s="29" t="str">
        <f>IF(OR($B58="",$A58&lt;91),"",--MID('Key Analysis'!$C54,91,1))</f>
        <v/>
      </c>
      <c r="HV58" s="29" t="str">
        <f>IF(OR($B58="",$A58&lt;92),"",--MID('Key Analysis'!$C54,92,1))</f>
        <v/>
      </c>
      <c r="HW58" s="29" t="str">
        <f>IF(OR($B58="",$A58&lt;93),"",--MID('Key Analysis'!$C54,93,1))</f>
        <v/>
      </c>
      <c r="HX58" s="29" t="str">
        <f>IF(OR($B58="",$A58&lt;94),"",--MID('Key Analysis'!$C54,94,1))</f>
        <v/>
      </c>
      <c r="HY58" s="29" t="str">
        <f>IF(OR($B58="",$A58&lt;95),"",--MID('Key Analysis'!$C54,95,1))</f>
        <v/>
      </c>
      <c r="HZ58" s="29" t="str">
        <f>IF(OR($B58="",$A58&lt;96),"",--MID('Key Analysis'!$C54,96,1))</f>
        <v/>
      </c>
      <c r="IA58" s="29" t="str">
        <f>IF(OR($B58="",$A58&lt;97),"",--MID('Key Analysis'!$C54,97,1))</f>
        <v/>
      </c>
      <c r="IB58" s="29" t="str">
        <f>IF(OR($B58="",$A58&lt;98),"",--MID('Key Analysis'!$C54,98,1))</f>
        <v/>
      </c>
      <c r="IC58" s="29" t="str">
        <f>IF(OR($B58="",$A58&lt;99),"",--MID('Key Analysis'!$C54,99,1))</f>
        <v/>
      </c>
      <c r="ID58" s="29" t="str">
        <f>IF(OR($B58="",$A58&lt;100),"",--MID('Key Analysis'!$C54,100,1))</f>
        <v/>
      </c>
      <c r="IE58" s="29" t="str">
        <f>IF(OR($B58="",$A58&lt;101),"",--MID('Key Analysis'!$C54,101,1))</f>
        <v/>
      </c>
      <c r="IF58" s="29" t="str">
        <f>IF(OR($B58="",$A58&lt;102),"",--MID('Key Analysis'!$C54,102,1))</f>
        <v/>
      </c>
      <c r="IG58" s="29" t="str">
        <f>IF(OR($B58="",$A58&lt;103),"",--MID('Key Analysis'!$C54,103,1))</f>
        <v/>
      </c>
      <c r="IH58" s="29" t="str">
        <f>IF(OR($B58="",$A58&lt;104),"",--MID('Key Analysis'!$C54,104,1))</f>
        <v/>
      </c>
      <c r="II58" s="29" t="str">
        <f>IF(OR($B58="",$A58&lt;105),"",--MID('Key Analysis'!$C54,105,1))</f>
        <v/>
      </c>
      <c r="IJ58" s="29" t="str">
        <f>IF(OR($B58="",$A58&lt;106),"",--MID('Key Analysis'!$C54,106,1))</f>
        <v/>
      </c>
      <c r="IK58" s="29" t="str">
        <f>IF(OR($B58="",$A58&lt;107),"",--MID('Key Analysis'!$C54,107,1))</f>
        <v/>
      </c>
      <c r="IL58" s="29" t="str">
        <f>IF(OR($B58="",$A58&lt;108),"",--MID('Key Analysis'!$C54,108,1))</f>
        <v/>
      </c>
      <c r="IM58" s="29" t="str">
        <f>IF(OR($B58="",$A58&lt;109),"",--MID('Key Analysis'!$C54,109,1))</f>
        <v/>
      </c>
      <c r="IN58" s="29" t="str">
        <f>IF(OR($B58="",$A58&lt;110),"",--MID('Key Analysis'!$C54,110,1))</f>
        <v/>
      </c>
      <c r="IO58" s="29" t="str">
        <f>IF(OR($B58="",$A58&lt;111),"",--MID('Key Analysis'!$C54,111,1))</f>
        <v/>
      </c>
      <c r="IP58" s="29" t="str">
        <f>IF(OR($B58="",$A58&lt;112),"",--MID('Key Analysis'!$C54,112,1))</f>
        <v/>
      </c>
      <c r="IQ58" s="29" t="str">
        <f>IF(OR($B58="",$A58&lt;113),"",--MID('Key Analysis'!$C54,113,1))</f>
        <v/>
      </c>
      <c r="IR58" s="29" t="str">
        <f>IF(OR($B58="",$A58&lt;114),"",--MID('Key Analysis'!$C54,114,1))</f>
        <v/>
      </c>
      <c r="IS58" s="29" t="str">
        <f>IF(OR($B58="",$A58&lt;115),"",--MID('Key Analysis'!$C54,115,1))</f>
        <v/>
      </c>
      <c r="IT58" s="29" t="str">
        <f>IF(OR($B58="",$A58&lt;116),"",--MID('Key Analysis'!$C54,116,1))</f>
        <v/>
      </c>
      <c r="IU58" s="29" t="str">
        <f>IF(OR($B58="",$A58&lt;117),"",--MID('Key Analysis'!$C54,117,1))</f>
        <v/>
      </c>
      <c r="IV58" s="29" t="str">
        <f>IF(OR($B58="",$A58&lt;118),"",--MID('Key Analysis'!$C54,118,1))</f>
        <v/>
      </c>
      <c r="IW58" s="29" t="str">
        <f>IF(OR($B58="",$A58&lt;119),"",--MID('Key Analysis'!$C54,119,1))</f>
        <v/>
      </c>
      <c r="IX58" s="29" t="str">
        <f>IF(OR($B58="",$A58&lt;120),"",--MID('Key Analysis'!$C54,120,1))</f>
        <v/>
      </c>
      <c r="IY58" s="29" t="str">
        <f>IF(OR($B58="",$A58&lt;121),"",--MID('Key Analysis'!$C54,121,1))</f>
        <v/>
      </c>
      <c r="IZ58" s="29" t="str">
        <f>IF(OR($B58="",$A58&lt;122),"",--MID('Key Analysis'!$C54,122,1))</f>
        <v/>
      </c>
      <c r="JA58" s="29" t="str">
        <f>IF(OR($B58="",$A58&lt;123),"",--MID('Key Analysis'!$C54,123,1))</f>
        <v/>
      </c>
      <c r="JB58" s="29" t="str">
        <f>IF(OR($B58="",$A58&lt;124),"",--MID('Key Analysis'!$C54,124,1))</f>
        <v/>
      </c>
      <c r="JC58" s="29" t="str">
        <f>IF(OR($B58="",$A58&lt;125),"",--MID('Key Analysis'!$C54,125,1))</f>
        <v/>
      </c>
      <c r="JD58" s="29" t="str">
        <f>IF(OR($B58="",$A58&lt;126),"",--MID('Key Analysis'!$C54,126,1))</f>
        <v/>
      </c>
      <c r="JE58" s="29" t="str">
        <f>IF(OR($B58="",$A58&lt;127),"",--MID('Key Analysis'!$C54,127,1))</f>
        <v/>
      </c>
      <c r="JF58" s="29" t="str">
        <f>IF(OR($B58="",$A58&lt;128),"",--MID('Key Analysis'!$C54,128,1))</f>
        <v/>
      </c>
      <c r="JG58" s="29" t="str">
        <f>IF(OR($B58="",$A58&lt;129),"",--MID('Key Analysis'!$C54,129,1))</f>
        <v/>
      </c>
      <c r="JH58" s="29" t="str">
        <f>IF(OR($B58="",$A58&lt;130),"",--MID('Key Analysis'!$C54,130,1))</f>
        <v/>
      </c>
      <c r="JI58" s="29" t="str">
        <f>IF(OR($B58="",$A58&lt;131),"",--MID('Key Analysis'!$C54,131,1))</f>
        <v/>
      </c>
      <c r="JJ58" s="29" t="str">
        <f>IF(OR($B58="",$A58&lt;132),"",--MID('Key Analysis'!$C54,132,1))</f>
        <v/>
      </c>
      <c r="JK58" s="29" t="str">
        <f>IF(OR($B58="",$A58&lt;133),"",--MID('Key Analysis'!$C54,133,1))</f>
        <v/>
      </c>
      <c r="JL58" s="29" t="str">
        <f>IF(OR($B58="",$A58&lt;134),"",--MID('Key Analysis'!$C54,134,1))</f>
        <v/>
      </c>
      <c r="JM58" s="29" t="str">
        <f>IF(OR($B58="",$A58&lt;135),"",--MID('Key Analysis'!$C54,135,1))</f>
        <v/>
      </c>
    </row>
    <row r="59" spans="1:273" x14ac:dyDescent="0.25">
      <c r="A59" s="21">
        <f>'Key Analysis'!A55</f>
        <v>54</v>
      </c>
      <c r="B59" s="30" t="str">
        <f>'Key Analysis'!B55</f>
        <v>236fb6d5ad1f43</v>
      </c>
      <c r="C59" s="29">
        <f>IF(OR($B59="",$A59&lt;=0),"",--MID('Key Analysis'!$C55,$A59-0,1))</f>
        <v>1</v>
      </c>
      <c r="D59" s="29">
        <f>IF(OR($B59="",$A59&lt;=1),"",--MID('Key Analysis'!$C55,$A59-1,1))</f>
        <v>1</v>
      </c>
      <c r="E59" s="29">
        <f>IF(OR($B59="",$A59&lt;=2),"",--MID('Key Analysis'!$C55,$A59-2,1))</f>
        <v>0</v>
      </c>
      <c r="F59" s="29">
        <f>IF(OR($B59="",$A59&lt;=3),"",--MID('Key Analysis'!$C55,$A59-3,1))</f>
        <v>0</v>
      </c>
      <c r="G59" s="29">
        <f>IF(OR($B59="",$A59&lt;=4),"",--MID('Key Analysis'!$C55,$A59-4,1))</f>
        <v>0</v>
      </c>
      <c r="H59" s="29">
        <f>IF(OR($B59="",$A59&lt;=5),"",--MID('Key Analysis'!$C55,$A59-5,1))</f>
        <v>0</v>
      </c>
      <c r="I59" s="29">
        <f>IF(OR($B59="",$A59&lt;=6),"",--MID('Key Analysis'!$C55,$A59-6,1))</f>
        <v>1</v>
      </c>
      <c r="J59" s="29">
        <f>IF(OR($B59="",$A59&lt;=7),"",--MID('Key Analysis'!$C55,$A59-7,1))</f>
        <v>0</v>
      </c>
      <c r="K59" s="29">
        <f>IF(OR($B59="",$A59&lt;=8),"",--MID('Key Analysis'!$C55,$A59-8,1))</f>
        <v>1</v>
      </c>
      <c r="L59" s="29">
        <f>IF(OR($B59="",$A59&lt;=9),"",--MID('Key Analysis'!$C55,$A59-9,1))</f>
        <v>1</v>
      </c>
      <c r="M59" s="29">
        <f>IF(OR($B59="",$A59&lt;=10),"",--MID('Key Analysis'!$C55,$A59-10,1))</f>
        <v>1</v>
      </c>
      <c r="N59" s="29">
        <f>IF(OR($B59="",$A59&lt;=11),"",--MID('Key Analysis'!$C55,$A59-11,1))</f>
        <v>1</v>
      </c>
      <c r="O59" s="29">
        <f>IF(OR($B59="",$A59&lt;=12),"",--MID('Key Analysis'!$C55,$A59-12,1))</f>
        <v>1</v>
      </c>
      <c r="P59" s="29">
        <f>IF(OR($B59="",$A59&lt;=13),"",--MID('Key Analysis'!$C55,$A59-13,1))</f>
        <v>0</v>
      </c>
      <c r="Q59" s="29">
        <f>IF(OR($B59="",$A59&lt;=14),"",--MID('Key Analysis'!$C55,$A59-14,1))</f>
        <v>0</v>
      </c>
      <c r="R59" s="29">
        <f>IF(OR($B59="",$A59&lt;=15),"",--MID('Key Analysis'!$C55,$A59-15,1))</f>
        <v>0</v>
      </c>
      <c r="S59" s="29">
        <f>IF(OR($B59="",$A59&lt;=16),"",--MID('Key Analysis'!$C55,$A59-16,1))</f>
        <v>1</v>
      </c>
      <c r="T59" s="29">
        <f>IF(OR($B59="",$A59&lt;=17),"",--MID('Key Analysis'!$C55,$A59-17,1))</f>
        <v>0</v>
      </c>
      <c r="U59" s="29">
        <f>IF(OR($B59="",$A59&lt;=18),"",--MID('Key Analysis'!$C55,$A59-18,1))</f>
        <v>1</v>
      </c>
      <c r="V59" s="29">
        <f>IF(OR($B59="",$A59&lt;=19),"",--MID('Key Analysis'!$C55,$A59-19,1))</f>
        <v>1</v>
      </c>
      <c r="W59" s="29">
        <f>IF(OR($B59="",$A59&lt;=20),"",--MID('Key Analysis'!$C55,$A59-20,1))</f>
        <v>0</v>
      </c>
      <c r="X59" s="29">
        <f>IF(OR($B59="",$A59&lt;=21),"",--MID('Key Analysis'!$C55,$A59-21,1))</f>
        <v>1</v>
      </c>
      <c r="Y59" s="29">
        <f>IF(OR($B59="",$A59&lt;=22),"",--MID('Key Analysis'!$C55,$A59-22,1))</f>
        <v>0</v>
      </c>
      <c r="Z59" s="29">
        <f>IF(OR($B59="",$A59&lt;=23),"",--MID('Key Analysis'!$C55,$A59-23,1))</f>
        <v>1</v>
      </c>
      <c r="AA59" s="29">
        <f>IF(OR($B59="",$A59&lt;=24),"",--MID('Key Analysis'!$C55,$A59-24,1))</f>
        <v>1</v>
      </c>
      <c r="AB59" s="29">
        <f>IF(OR($B59="",$A59&lt;=25),"",--MID('Key Analysis'!$C55,$A59-25,1))</f>
        <v>0</v>
      </c>
      <c r="AC59" s="29">
        <f>IF(OR($B59="",$A59&lt;=26),"",--MID('Key Analysis'!$C55,$A59-26,1))</f>
        <v>1</v>
      </c>
      <c r="AD59" s="29">
        <f>IF(OR($B59="",$A59&lt;=27),"",--MID('Key Analysis'!$C55,$A59-27,1))</f>
        <v>0</v>
      </c>
      <c r="AE59" s="29">
        <f>IF(OR($B59="",$A59&lt;=28),"",--MID('Key Analysis'!$C55,$A59-28,1))</f>
        <v>1</v>
      </c>
      <c r="AF59" s="29">
        <f>IF(OR($B59="",$A59&lt;=29),"",--MID('Key Analysis'!$C55,$A59-29,1))</f>
        <v>0</v>
      </c>
      <c r="AG59" s="29">
        <f>IF(OR($B59="",$A59&lt;=30),"",--MID('Key Analysis'!$C55,$A59-30,1))</f>
        <v>1</v>
      </c>
      <c r="AH59" s="29">
        <f>IF(OR($B59="",$A59&lt;=31),"",--MID('Key Analysis'!$C55,$A59-31,1))</f>
        <v>1</v>
      </c>
      <c r="AI59" s="29">
        <f>IF(OR($B59="",$A59&lt;=32),"",--MID('Key Analysis'!$C55,$A59-32,1))</f>
        <v>0</v>
      </c>
      <c r="AJ59" s="29">
        <f>IF(OR($B59="",$A59&lt;=33),"",--MID('Key Analysis'!$C55,$A59-33,1))</f>
        <v>1</v>
      </c>
      <c r="AK59" s="29">
        <f>IF(OR($B59="",$A59&lt;=34),"",--MID('Key Analysis'!$C55,$A59-34,1))</f>
        <v>1</v>
      </c>
      <c r="AL59" s="29">
        <f>IF(OR($B59="",$A59&lt;=35),"",--MID('Key Analysis'!$C55,$A59-35,1))</f>
        <v>0</v>
      </c>
      <c r="AM59" s="29">
        <f>IF(OR($B59="",$A59&lt;=36),"",--MID('Key Analysis'!$C55,$A59-36,1))</f>
        <v>1</v>
      </c>
      <c r="AN59" s="29">
        <f>IF(OR($B59="",$A59&lt;=37),"",--MID('Key Analysis'!$C55,$A59-37,1))</f>
        <v>1</v>
      </c>
      <c r="AO59" s="29">
        <f>IF(OR($B59="",$A59&lt;=38),"",--MID('Key Analysis'!$C55,$A59-38,1))</f>
        <v>0</v>
      </c>
      <c r="AP59" s="29">
        <f>IF(OR($B59="",$A59&lt;=39),"",--MID('Key Analysis'!$C55,$A59-39,1))</f>
        <v>1</v>
      </c>
      <c r="AQ59" s="29">
        <f>IF(OR($B59="",$A59&lt;=40),"",--MID('Key Analysis'!$C55,$A59-40,1))</f>
        <v>1</v>
      </c>
      <c r="AR59" s="29">
        <f>IF(OR($B59="",$A59&lt;=41),"",--MID('Key Analysis'!$C55,$A59-41,1))</f>
        <v>1</v>
      </c>
      <c r="AS59" s="29">
        <f>IF(OR($B59="",$A59&lt;=42),"",--MID('Key Analysis'!$C55,$A59-42,1))</f>
        <v>1</v>
      </c>
      <c r="AT59" s="29">
        <f>IF(OR($B59="",$A59&lt;=43),"",--MID('Key Analysis'!$C55,$A59-43,1))</f>
        <v>1</v>
      </c>
      <c r="AU59" s="29">
        <f>IF(OR($B59="",$A59&lt;=44),"",--MID('Key Analysis'!$C55,$A59-44,1))</f>
        <v>0</v>
      </c>
      <c r="AV59" s="29">
        <f>IF(OR($B59="",$A59&lt;=45),"",--MID('Key Analysis'!$C55,$A59-45,1))</f>
        <v>1</v>
      </c>
      <c r="AW59" s="29">
        <f>IF(OR($B59="",$A59&lt;=46),"",--MID('Key Analysis'!$C55,$A59-46,1))</f>
        <v>1</v>
      </c>
      <c r="AX59" s="29">
        <f>IF(OR($B59="",$A59&lt;=47),"",--MID('Key Analysis'!$C55,$A59-47,1))</f>
        <v>0</v>
      </c>
      <c r="AY59" s="29">
        <f>IF(OR($B59="",$A59&lt;=48),"",--MID('Key Analysis'!$C55,$A59-48,1))</f>
        <v>1</v>
      </c>
      <c r="AZ59" s="29">
        <f>IF(OR($B59="",$A59&lt;=49),"",--MID('Key Analysis'!$C55,$A59-49,1))</f>
        <v>1</v>
      </c>
      <c r="BA59" s="29">
        <f>IF(OR($B59="",$A59&lt;=50),"",--MID('Key Analysis'!$C55,$A59-50,1))</f>
        <v>0</v>
      </c>
      <c r="BB59" s="29">
        <f>IF(OR($B59="",$A59&lt;=51),"",--MID('Key Analysis'!$C55,$A59-51,1))</f>
        <v>0</v>
      </c>
      <c r="BC59" s="29">
        <f>IF(OR($B59="",$A59&lt;=52),"",--MID('Key Analysis'!$C55,$A59-52,1))</f>
        <v>0</v>
      </c>
      <c r="BD59" s="29">
        <f>IF(OR($B59="",$A59&lt;=53),"",--MID('Key Analysis'!$C55,$A59-53,1))</f>
        <v>1</v>
      </c>
      <c r="BE59" s="29" t="str">
        <f>IF(OR($B59="",$A59&lt;=54),"",--MID('Key Analysis'!$C55,$A59-54,1))</f>
        <v/>
      </c>
      <c r="BF59" s="29" t="str">
        <f>IF(OR($B59="",$A59&lt;=55),"",--MID('Key Analysis'!$C55,$A59-55,1))</f>
        <v/>
      </c>
      <c r="BG59" s="29" t="str">
        <f>IF(OR($B59="",$A59&lt;=56),"",--MID('Key Analysis'!$C55,$A59-56,1))</f>
        <v/>
      </c>
      <c r="BH59" s="29" t="str">
        <f>IF(OR($B59="",$A59&lt;=57),"",--MID('Key Analysis'!$C55,$A59-57,1))</f>
        <v/>
      </c>
      <c r="BI59" s="29" t="str">
        <f>IF(OR($B59="",$A59&lt;=58),"",--MID('Key Analysis'!$C55,$A59-58,1))</f>
        <v/>
      </c>
      <c r="BJ59" s="29" t="str">
        <f>IF(OR($B59="",$A59&lt;=59),"",--MID('Key Analysis'!$C55,$A59-59,1))</f>
        <v/>
      </c>
      <c r="BK59" s="29" t="str">
        <f>IF(OR($B59="",$A59&lt;=60),"",--MID('Key Analysis'!$C55,$A59-60,1))</f>
        <v/>
      </c>
      <c r="BL59" s="29" t="str">
        <f>IF(OR($B59="",$A59&lt;=61),"",--MID('Key Analysis'!$C55,$A59-61,1))</f>
        <v/>
      </c>
      <c r="BM59" s="29" t="str">
        <f>IF(OR($B59="",$A59&lt;=62),"",--MID('Key Analysis'!$C55,$A59-62,1))</f>
        <v/>
      </c>
      <c r="BN59" s="29" t="str">
        <f>IF(OR($B59="",$A59&lt;=63),"",--MID('Key Analysis'!$C55,$A59-63,1))</f>
        <v/>
      </c>
      <c r="BO59" s="29" t="str">
        <f>IF(OR($B59="",$A59&lt;=64),"",--MID('Key Analysis'!$C55,$A59-64,1))</f>
        <v/>
      </c>
      <c r="BP59" s="29" t="str">
        <f>IF(OR($B59="",$A59&lt;=65),"",--MID('Key Analysis'!$C55,$A59-65,1))</f>
        <v/>
      </c>
      <c r="BQ59" s="29" t="str">
        <f>IF(OR($B59="",$A59&lt;=66),"",--MID('Key Analysis'!$C55,$A59-66,1))</f>
        <v/>
      </c>
      <c r="BR59" s="29" t="str">
        <f>IF(OR($B59="",$A59&lt;=67),"",--MID('Key Analysis'!$C55,$A59-67,1))</f>
        <v/>
      </c>
      <c r="BS59" s="29" t="str">
        <f>IF(OR($B59="",$A59&lt;=68),"",--MID('Key Analysis'!$C55,$A59-68,1))</f>
        <v/>
      </c>
      <c r="BT59" s="29" t="str">
        <f>IF(OR($B59="",$A59&lt;=69),"",--MID('Key Analysis'!$C55,$A59-69,1))</f>
        <v/>
      </c>
      <c r="BU59" s="29" t="str">
        <f>IF(OR($B59="",$A59&lt;=70),"",--MID('Key Analysis'!$C55,$A59-70,1))</f>
        <v/>
      </c>
      <c r="BV59" s="29" t="str">
        <f>IF(OR($B59="",$A59&lt;=71),"",--MID('Key Analysis'!$C55,$A59-71,1))</f>
        <v/>
      </c>
      <c r="BW59" s="29" t="str">
        <f>IF(OR($B59="",$A59&lt;=72),"",--MID('Key Analysis'!$C55,$A59-72,1))</f>
        <v/>
      </c>
      <c r="BX59" s="29" t="str">
        <f>IF(OR($B59="",$A59&lt;=73),"",--MID('Key Analysis'!$C55,$A59-73,1))</f>
        <v/>
      </c>
      <c r="BY59" s="29" t="str">
        <f>IF(OR($B59="",$A59&lt;=74),"",--MID('Key Analysis'!$C55,$A59-74,1))</f>
        <v/>
      </c>
      <c r="BZ59" s="29" t="str">
        <f>IF(OR($B59="",$A59&lt;=75),"",--MID('Key Analysis'!$C55,$A59-75,1))</f>
        <v/>
      </c>
      <c r="CA59" s="29" t="str">
        <f>IF(OR($B59="",$A59&lt;=76),"",--MID('Key Analysis'!$C55,$A59-76,1))</f>
        <v/>
      </c>
      <c r="CB59" s="29" t="str">
        <f>IF(OR($B59="",$A59&lt;=77),"",--MID('Key Analysis'!$C55,$A59-77,1))</f>
        <v/>
      </c>
      <c r="CC59" s="29" t="str">
        <f>IF(OR($B59="",$A59&lt;=78),"",--MID('Key Analysis'!$C55,$A59-78,1))</f>
        <v/>
      </c>
      <c r="CD59" s="29" t="str">
        <f>IF(OR($B59="",$A59&lt;=79),"",--MID('Key Analysis'!$C55,$A59-79,1))</f>
        <v/>
      </c>
      <c r="CE59" s="29" t="str">
        <f>IF(OR($B59="",$A59&lt;=80),"",--MID('Key Analysis'!$C55,$A59-80,1))</f>
        <v/>
      </c>
      <c r="CF59" s="29" t="str">
        <f>IF(OR($B59="",$A59&lt;=81),"",--MID('Key Analysis'!$C55,$A59-81,1))</f>
        <v/>
      </c>
      <c r="CG59" s="29" t="str">
        <f>IF(OR($B59="",$A59&lt;=82),"",--MID('Key Analysis'!$C55,$A59-82,1))</f>
        <v/>
      </c>
      <c r="CH59" s="29" t="str">
        <f>IF(OR($B59="",$A59&lt;=83),"",--MID('Key Analysis'!$C55,$A59-83,1))</f>
        <v/>
      </c>
      <c r="CI59" s="29" t="str">
        <f>IF(OR($B59="",$A59&lt;=84),"",--MID('Key Analysis'!$C55,$A59-84,1))</f>
        <v/>
      </c>
      <c r="CJ59" s="29" t="str">
        <f>IF(OR($B59="",$A59&lt;=85),"",--MID('Key Analysis'!$C55,$A59-85,1))</f>
        <v/>
      </c>
      <c r="CK59" s="29" t="str">
        <f>IF(OR($B59="",$A59&lt;=86),"",--MID('Key Analysis'!$C55,$A59-86,1))</f>
        <v/>
      </c>
      <c r="CL59" s="29" t="str">
        <f>IF(OR($B59="",$A59&lt;=87),"",--MID('Key Analysis'!$C55,$A59-87,1))</f>
        <v/>
      </c>
      <c r="CM59" s="29" t="str">
        <f>IF(OR($B59="",$A59&lt;=88),"",--MID('Key Analysis'!$C55,$A59-88,1))</f>
        <v/>
      </c>
      <c r="CN59" s="29" t="str">
        <f>IF(OR($B59="",$A59&lt;=89),"",--MID('Key Analysis'!$C55,$A59-89,1))</f>
        <v/>
      </c>
      <c r="CO59" s="29" t="str">
        <f>IF(OR($B59="",$A59&lt;=90),"",--MID('Key Analysis'!$C55,$A59-90,1))</f>
        <v/>
      </c>
      <c r="CP59" s="29" t="str">
        <f>IF(OR($B59="",$A59&lt;=91),"",--MID('Key Analysis'!$C55,$A59-91,1))</f>
        <v/>
      </c>
      <c r="CQ59" s="29" t="str">
        <f>IF(OR($B59="",$A59&lt;=92),"",--MID('Key Analysis'!$C55,$A59-92,1))</f>
        <v/>
      </c>
      <c r="CR59" s="29" t="str">
        <f>IF(OR($B59="",$A59&lt;=93),"",--MID('Key Analysis'!$C55,$A59-93,1))</f>
        <v/>
      </c>
      <c r="CS59" s="29" t="str">
        <f>IF(OR($B59="",$A59&lt;=94),"",--MID('Key Analysis'!$C55,$A59-94,1))</f>
        <v/>
      </c>
      <c r="CT59" s="29" t="str">
        <f>IF(OR($B59="",$A59&lt;=95),"",--MID('Key Analysis'!$C55,$A59-95,1))</f>
        <v/>
      </c>
      <c r="CU59" s="29" t="str">
        <f>IF(OR($B59="",$A59&lt;=96),"",--MID('Key Analysis'!$C55,$A59-96,1))</f>
        <v/>
      </c>
      <c r="CV59" s="29" t="str">
        <f>IF(OR($B59="",$A59&lt;=97),"",--MID('Key Analysis'!$C55,$A59-97,1))</f>
        <v/>
      </c>
      <c r="CW59" s="29" t="str">
        <f>IF(OR($B59="",$A59&lt;=98),"",--MID('Key Analysis'!$C55,$A59-98,1))</f>
        <v/>
      </c>
      <c r="CX59" s="29" t="str">
        <f>IF(OR($B59="",$A59&lt;=99),"",--MID('Key Analysis'!$C55,$A59-99,1))</f>
        <v/>
      </c>
      <c r="CY59" s="29" t="str">
        <f>IF(OR($B59="",$A59&lt;=100),"",--MID('Key Analysis'!$C55,$A59-100,1))</f>
        <v/>
      </c>
      <c r="CZ59" s="29" t="str">
        <f>IF(OR($B59="",$A59&lt;=101),"",--MID('Key Analysis'!$C55,$A59-101,1))</f>
        <v/>
      </c>
      <c r="DA59" s="29" t="str">
        <f>IF(OR($B59="",$A59&lt;=102),"",--MID('Key Analysis'!$C55,$A59-102,1))</f>
        <v/>
      </c>
      <c r="DB59" s="29" t="str">
        <f>IF(OR($B59="",$A59&lt;=103),"",--MID('Key Analysis'!$C55,$A59-103,1))</f>
        <v/>
      </c>
      <c r="DC59" s="29" t="str">
        <f>IF(OR($B59="",$A59&lt;=104),"",--MID('Key Analysis'!$C55,$A59-104,1))</f>
        <v/>
      </c>
      <c r="DD59" s="29" t="str">
        <f>IF(OR($B59="",$A59&lt;=105),"",--MID('Key Analysis'!$C55,$A59-105,1))</f>
        <v/>
      </c>
      <c r="DE59" s="29" t="str">
        <f>IF(OR($B59="",$A59&lt;=106),"",--MID('Key Analysis'!$C55,$A59-106,1))</f>
        <v/>
      </c>
      <c r="DF59" s="29" t="str">
        <f>IF(OR($B59="",$A59&lt;=107),"",--MID('Key Analysis'!$C55,$A59-107,1))</f>
        <v/>
      </c>
      <c r="DG59" s="29" t="str">
        <f>IF(OR($B59="",$A59&lt;=108),"",--MID('Key Analysis'!$C55,$A59-108,1))</f>
        <v/>
      </c>
      <c r="DH59" s="29" t="str">
        <f>IF(OR($B59="",$A59&lt;=109),"",--MID('Key Analysis'!$C55,$A59-109,1))</f>
        <v/>
      </c>
      <c r="DI59" s="29" t="str">
        <f>IF(OR($B59="",$A59&lt;=110),"",--MID('Key Analysis'!$C55,$A59-110,1))</f>
        <v/>
      </c>
      <c r="DJ59" s="29" t="str">
        <f>IF(OR($B59="",$A59&lt;=111),"",--MID('Key Analysis'!$C55,$A59-111,1))</f>
        <v/>
      </c>
      <c r="DK59" s="29" t="str">
        <f>IF(OR($B59="",$A59&lt;=112),"",--MID('Key Analysis'!$C55,$A59-112,1))</f>
        <v/>
      </c>
      <c r="DL59" s="29" t="str">
        <f>IF(OR($B59="",$A59&lt;=113),"",--MID('Key Analysis'!$C55,$A59-113,1))</f>
        <v/>
      </c>
      <c r="DM59" s="29" t="str">
        <f>IF(OR($B59="",$A59&lt;=114),"",--MID('Key Analysis'!$C55,$A59-114,1))</f>
        <v/>
      </c>
      <c r="DN59" s="29" t="str">
        <f>IF(OR($B59="",$A59&lt;=115),"",--MID('Key Analysis'!$C55,$A59-115,1))</f>
        <v/>
      </c>
      <c r="DO59" s="29" t="str">
        <f>IF(OR($B59="",$A59&lt;=116),"",--MID('Key Analysis'!$C55,$A59-116,1))</f>
        <v/>
      </c>
      <c r="DP59" s="29" t="str">
        <f>IF(OR($B59="",$A59&lt;=117),"",--MID('Key Analysis'!$C55,$A59-117,1))</f>
        <v/>
      </c>
      <c r="DQ59" s="29" t="str">
        <f>IF(OR($B59="",$A59&lt;=118),"",--MID('Key Analysis'!$C55,$A59-118,1))</f>
        <v/>
      </c>
      <c r="DR59" s="29" t="str">
        <f>IF(OR($B59="",$A59&lt;=119),"",--MID('Key Analysis'!$C55,$A59-119,1))</f>
        <v/>
      </c>
      <c r="DS59" s="29" t="str">
        <f>IF(OR($B59="",$A59&lt;=120),"",--MID('Key Analysis'!$C55,$A59-120,1))</f>
        <v/>
      </c>
      <c r="DT59" s="29" t="str">
        <f>IF(OR($B59="",$A59&lt;=121),"",--MID('Key Analysis'!$C55,$A59-121,1))</f>
        <v/>
      </c>
      <c r="DU59" s="29" t="str">
        <f>IF(OR($B59="",$A59&lt;=122),"",--MID('Key Analysis'!$C55,$A59-122,1))</f>
        <v/>
      </c>
      <c r="DV59" s="29" t="str">
        <f>IF(OR($B59="",$A59&lt;=123),"",--MID('Key Analysis'!$C55,$A59-123,1))</f>
        <v/>
      </c>
      <c r="DW59" s="29" t="str">
        <f>IF(OR($B59="",$A59&lt;=124),"",--MID('Key Analysis'!$C55,$A59-124,1))</f>
        <v/>
      </c>
      <c r="DX59" s="29" t="str">
        <f>IF(OR($B59="",$A59&lt;=125),"",--MID('Key Analysis'!$C55,$A59-125,1))</f>
        <v/>
      </c>
      <c r="DY59" s="29" t="str">
        <f>IF(OR($B59="",$A59&lt;=126),"",--MID('Key Analysis'!$C55,$A59-126,1))</f>
        <v/>
      </c>
      <c r="DZ59" s="29" t="str">
        <f>IF(OR($B59="",$A59&lt;=127),"",--MID('Key Analysis'!$C55,$A59-127,1))</f>
        <v/>
      </c>
      <c r="EA59" s="29" t="str">
        <f>IF(OR($B59="",$A59&lt;=128),"",--MID('Key Analysis'!$C55,$A59-128,1))</f>
        <v/>
      </c>
      <c r="EB59" s="29" t="str">
        <f>IF(OR($B59="",$A59&lt;=129),"",--MID('Key Analysis'!$C55,$A59-129,1))</f>
        <v/>
      </c>
      <c r="EC59" s="29" t="str">
        <f>IF(OR($B59="",$A59&lt;=130),"",--MID('Key Analysis'!$C55,$A59-130,1))</f>
        <v/>
      </c>
      <c r="ED59" s="29" t="str">
        <f>IF(OR($B59="",$A59&lt;=131),"",--MID('Key Analysis'!$C55,$A59-131,1))</f>
        <v/>
      </c>
      <c r="EE59" s="29" t="str">
        <f>IF(OR($B59="",$A59&lt;=132),"",--MID('Key Analysis'!$C55,$A59-132,1))</f>
        <v/>
      </c>
      <c r="EF59" s="29" t="str">
        <f>IF(OR($B59="",$A59&lt;=133),"",--MID('Key Analysis'!$C55,$A59-133,1))</f>
        <v/>
      </c>
      <c r="EG59" s="29" t="str">
        <f>IF(OR($B59="",$A59&lt;=134),"",--MID('Key Analysis'!$C55,$A59-134,1))</f>
        <v/>
      </c>
      <c r="EH59" s="29"/>
      <c r="EI59" s="29">
        <f>IF(OR($B59="",$A59&lt;1),"",--MID('Key Analysis'!$C55,1,1))</f>
        <v>1</v>
      </c>
      <c r="EJ59" s="29">
        <f>IF(OR($B59="",$A59&lt;2),"",--MID('Key Analysis'!$C55,2,1))</f>
        <v>0</v>
      </c>
      <c r="EK59" s="29">
        <f>IF(OR($B59="",$A59&lt;3),"",--MID('Key Analysis'!$C55,3,1))</f>
        <v>0</v>
      </c>
      <c r="EL59" s="29">
        <f>IF(OR($B59="",$A59&lt;4),"",--MID('Key Analysis'!$C55,4,1))</f>
        <v>0</v>
      </c>
      <c r="EM59" s="29">
        <f>IF(OR($B59="",$A59&lt;5),"",--MID('Key Analysis'!$C55,5,1))</f>
        <v>1</v>
      </c>
      <c r="EN59" s="29">
        <f>IF(OR($B59="",$A59&lt;6),"",--MID('Key Analysis'!$C55,6,1))</f>
        <v>1</v>
      </c>
      <c r="EO59" s="29">
        <f>IF(OR($B59="",$A59&lt;7),"",--MID('Key Analysis'!$C55,7,1))</f>
        <v>0</v>
      </c>
      <c r="EP59" s="29">
        <f>IF(OR($B59="",$A59&lt;8),"",--MID('Key Analysis'!$C55,8,1))</f>
        <v>1</v>
      </c>
      <c r="EQ59" s="29">
        <f>IF(OR($B59="",$A59&lt;9),"",--MID('Key Analysis'!$C55,9,1))</f>
        <v>1</v>
      </c>
      <c r="ER59" s="29">
        <f>IF(OR($B59="",$A59&lt;10),"",--MID('Key Analysis'!$C55,10,1))</f>
        <v>0</v>
      </c>
      <c r="ES59" s="29">
        <f>IF(OR($B59="",$A59&lt;11),"",--MID('Key Analysis'!$C55,11,1))</f>
        <v>1</v>
      </c>
      <c r="ET59" s="29">
        <f>IF(OR($B59="",$A59&lt;12),"",--MID('Key Analysis'!$C55,12,1))</f>
        <v>1</v>
      </c>
      <c r="EU59" s="29">
        <f>IF(OR($B59="",$A59&lt;13),"",--MID('Key Analysis'!$C55,13,1))</f>
        <v>1</v>
      </c>
      <c r="EV59" s="29">
        <f>IF(OR($B59="",$A59&lt;14),"",--MID('Key Analysis'!$C55,14,1))</f>
        <v>1</v>
      </c>
      <c r="EW59" s="29">
        <f>IF(OR($B59="",$A59&lt;15),"",--MID('Key Analysis'!$C55,15,1))</f>
        <v>1</v>
      </c>
      <c r="EX59" s="29">
        <f>IF(OR($B59="",$A59&lt;16),"",--MID('Key Analysis'!$C55,16,1))</f>
        <v>0</v>
      </c>
      <c r="EY59" s="29">
        <f>IF(OR($B59="",$A59&lt;17),"",--MID('Key Analysis'!$C55,17,1))</f>
        <v>1</v>
      </c>
      <c r="EZ59" s="29">
        <f>IF(OR($B59="",$A59&lt;18),"",--MID('Key Analysis'!$C55,18,1))</f>
        <v>1</v>
      </c>
      <c r="FA59" s="29">
        <f>IF(OR($B59="",$A59&lt;19),"",--MID('Key Analysis'!$C55,19,1))</f>
        <v>0</v>
      </c>
      <c r="FB59" s="29">
        <f>IF(OR($B59="",$A59&lt;20),"",--MID('Key Analysis'!$C55,20,1))</f>
        <v>1</v>
      </c>
      <c r="FC59" s="29">
        <f>IF(OR($B59="",$A59&lt;21),"",--MID('Key Analysis'!$C55,21,1))</f>
        <v>1</v>
      </c>
      <c r="FD59" s="29">
        <f>IF(OR($B59="",$A59&lt;22),"",--MID('Key Analysis'!$C55,22,1))</f>
        <v>0</v>
      </c>
      <c r="FE59" s="29">
        <f>IF(OR($B59="",$A59&lt;23),"",--MID('Key Analysis'!$C55,23,1))</f>
        <v>1</v>
      </c>
      <c r="FF59" s="29">
        <f>IF(OR($B59="",$A59&lt;24),"",--MID('Key Analysis'!$C55,24,1))</f>
        <v>1</v>
      </c>
      <c r="FG59" s="29">
        <f>IF(OR($B59="",$A59&lt;25),"",--MID('Key Analysis'!$C55,25,1))</f>
        <v>0</v>
      </c>
      <c r="FH59" s="29">
        <f>IF(OR($B59="",$A59&lt;26),"",--MID('Key Analysis'!$C55,26,1))</f>
        <v>1</v>
      </c>
      <c r="FI59" s="29">
        <f>IF(OR($B59="",$A59&lt;27),"",--MID('Key Analysis'!$C55,27,1))</f>
        <v>0</v>
      </c>
      <c r="FJ59" s="29">
        <f>IF(OR($B59="",$A59&lt;28),"",--MID('Key Analysis'!$C55,28,1))</f>
        <v>1</v>
      </c>
      <c r="FK59" s="29">
        <f>IF(OR($B59="",$A59&lt;29),"",--MID('Key Analysis'!$C55,29,1))</f>
        <v>0</v>
      </c>
      <c r="FL59" s="29">
        <f>IF(OR($B59="",$A59&lt;30),"",--MID('Key Analysis'!$C55,30,1))</f>
        <v>1</v>
      </c>
      <c r="FM59" s="29">
        <f>IF(OR($B59="",$A59&lt;31),"",--MID('Key Analysis'!$C55,31,1))</f>
        <v>1</v>
      </c>
      <c r="FN59" s="29">
        <f>IF(OR($B59="",$A59&lt;32),"",--MID('Key Analysis'!$C55,32,1))</f>
        <v>0</v>
      </c>
      <c r="FO59" s="29">
        <f>IF(OR($B59="",$A59&lt;33),"",--MID('Key Analysis'!$C55,33,1))</f>
        <v>1</v>
      </c>
      <c r="FP59" s="29">
        <f>IF(OR($B59="",$A59&lt;34),"",--MID('Key Analysis'!$C55,34,1))</f>
        <v>0</v>
      </c>
      <c r="FQ59" s="29">
        <f>IF(OR($B59="",$A59&lt;35),"",--MID('Key Analysis'!$C55,35,1))</f>
        <v>1</v>
      </c>
      <c r="FR59" s="29">
        <f>IF(OR($B59="",$A59&lt;36),"",--MID('Key Analysis'!$C55,36,1))</f>
        <v>1</v>
      </c>
      <c r="FS59" s="29">
        <f>IF(OR($B59="",$A59&lt;37),"",--MID('Key Analysis'!$C55,37,1))</f>
        <v>0</v>
      </c>
      <c r="FT59" s="29">
        <f>IF(OR($B59="",$A59&lt;38),"",--MID('Key Analysis'!$C55,38,1))</f>
        <v>1</v>
      </c>
      <c r="FU59" s="29">
        <f>IF(OR($B59="",$A59&lt;39),"",--MID('Key Analysis'!$C55,39,1))</f>
        <v>0</v>
      </c>
      <c r="FV59" s="29">
        <f>IF(OR($B59="",$A59&lt;40),"",--MID('Key Analysis'!$C55,40,1))</f>
        <v>0</v>
      </c>
      <c r="FW59" s="29">
        <f>IF(OR($B59="",$A59&lt;41),"",--MID('Key Analysis'!$C55,41,1))</f>
        <v>0</v>
      </c>
      <c r="FX59" s="29">
        <f>IF(OR($B59="",$A59&lt;42),"",--MID('Key Analysis'!$C55,42,1))</f>
        <v>1</v>
      </c>
      <c r="FY59" s="29">
        <f>IF(OR($B59="",$A59&lt;43),"",--MID('Key Analysis'!$C55,43,1))</f>
        <v>1</v>
      </c>
      <c r="FZ59" s="29">
        <f>IF(OR($B59="",$A59&lt;44),"",--MID('Key Analysis'!$C55,44,1))</f>
        <v>1</v>
      </c>
      <c r="GA59" s="29">
        <f>IF(OR($B59="",$A59&lt;45),"",--MID('Key Analysis'!$C55,45,1))</f>
        <v>1</v>
      </c>
      <c r="GB59" s="29">
        <f>IF(OR($B59="",$A59&lt;46),"",--MID('Key Analysis'!$C55,46,1))</f>
        <v>1</v>
      </c>
      <c r="GC59" s="29">
        <f>IF(OR($B59="",$A59&lt;47),"",--MID('Key Analysis'!$C55,47,1))</f>
        <v>0</v>
      </c>
      <c r="GD59" s="29">
        <f>IF(OR($B59="",$A59&lt;48),"",--MID('Key Analysis'!$C55,48,1))</f>
        <v>1</v>
      </c>
      <c r="GE59" s="29">
        <f>IF(OR($B59="",$A59&lt;49),"",--MID('Key Analysis'!$C55,49,1))</f>
        <v>0</v>
      </c>
      <c r="GF59" s="29">
        <f>IF(OR($B59="",$A59&lt;50),"",--MID('Key Analysis'!$C55,50,1))</f>
        <v>0</v>
      </c>
      <c r="GG59" s="29">
        <f>IF(OR($B59="",$A59&lt;51),"",--MID('Key Analysis'!$C55,51,1))</f>
        <v>0</v>
      </c>
      <c r="GH59" s="29">
        <f>IF(OR($B59="",$A59&lt;52),"",--MID('Key Analysis'!$C55,52,1))</f>
        <v>0</v>
      </c>
      <c r="GI59" s="29">
        <f>IF(OR($B59="",$A59&lt;53),"",--MID('Key Analysis'!$C55,53,1))</f>
        <v>1</v>
      </c>
      <c r="GJ59" s="29">
        <f>IF(OR($B59="",$A59&lt;54),"",--MID('Key Analysis'!$C55,54,1))</f>
        <v>1</v>
      </c>
      <c r="GK59" s="29" t="str">
        <f>IF(OR($B59="",$A59&lt;55),"",--MID('Key Analysis'!$C55,55,1))</f>
        <v/>
      </c>
      <c r="GL59" s="29" t="str">
        <f>IF(OR($B59="",$A59&lt;56),"",--MID('Key Analysis'!$C55,56,1))</f>
        <v/>
      </c>
      <c r="GM59" s="29" t="str">
        <f>IF(OR($B59="",$A59&lt;57),"",--MID('Key Analysis'!$C55,57,1))</f>
        <v/>
      </c>
      <c r="GN59" s="29" t="str">
        <f>IF(OR($B59="",$A59&lt;58),"",--MID('Key Analysis'!$C55,58,1))</f>
        <v/>
      </c>
      <c r="GO59" s="29" t="str">
        <f>IF(OR($B59="",$A59&lt;59),"",--MID('Key Analysis'!$C55,59,1))</f>
        <v/>
      </c>
      <c r="GP59" s="29" t="str">
        <f>IF(OR($B59="",$A59&lt;60),"",--MID('Key Analysis'!$C55,60,1))</f>
        <v/>
      </c>
      <c r="GQ59" s="29" t="str">
        <f>IF(OR($B59="",$A59&lt;61),"",--MID('Key Analysis'!$C55,61,1))</f>
        <v/>
      </c>
      <c r="GR59" s="29" t="str">
        <f>IF(OR($B59="",$A59&lt;62),"",--MID('Key Analysis'!$C55,62,1))</f>
        <v/>
      </c>
      <c r="GS59" s="29" t="str">
        <f>IF(OR($B59="",$A59&lt;63),"",--MID('Key Analysis'!$C55,63,1))</f>
        <v/>
      </c>
      <c r="GT59" s="29" t="str">
        <f>IF(OR($B59="",$A59&lt;64),"",--MID('Key Analysis'!$C55,64,1))</f>
        <v/>
      </c>
      <c r="GU59" s="29" t="str">
        <f>IF(OR($B59="",$A59&lt;65),"",--MID('Key Analysis'!$C55,65,1))</f>
        <v/>
      </c>
      <c r="GV59" s="29" t="str">
        <f>IF(OR($B59="",$A59&lt;66),"",--MID('Key Analysis'!$C55,66,1))</f>
        <v/>
      </c>
      <c r="GW59" s="29" t="str">
        <f>IF(OR($B59="",$A59&lt;67),"",--MID('Key Analysis'!$C55,67,1))</f>
        <v/>
      </c>
      <c r="GX59" s="29" t="str">
        <f>IF(OR($B59="",$A59&lt;68),"",--MID('Key Analysis'!$C55,68,1))</f>
        <v/>
      </c>
      <c r="GY59" s="29" t="str">
        <f>IF(OR($B59="",$A59&lt;69),"",--MID('Key Analysis'!$C55,69,1))</f>
        <v/>
      </c>
      <c r="GZ59" s="29" t="str">
        <f>IF(OR($B59="",$A59&lt;70),"",--MID('Key Analysis'!$C55,70,1))</f>
        <v/>
      </c>
      <c r="HA59" s="29" t="str">
        <f>IF(OR($B59="",$A59&lt;71),"",--MID('Key Analysis'!$C55,71,1))</f>
        <v/>
      </c>
      <c r="HB59" s="29" t="str">
        <f>IF(OR($B59="",$A59&lt;72),"",--MID('Key Analysis'!$C55,72,1))</f>
        <v/>
      </c>
      <c r="HC59" s="29" t="str">
        <f>IF(OR($B59="",$A59&lt;73),"",--MID('Key Analysis'!$C55,73,1))</f>
        <v/>
      </c>
      <c r="HD59" s="29" t="str">
        <f>IF(OR($B59="",$A59&lt;74),"",--MID('Key Analysis'!$C55,74,1))</f>
        <v/>
      </c>
      <c r="HE59" s="29" t="str">
        <f>IF(OR($B59="",$A59&lt;75),"",--MID('Key Analysis'!$C55,75,1))</f>
        <v/>
      </c>
      <c r="HF59" s="29" t="str">
        <f>IF(OR($B59="",$A59&lt;76),"",--MID('Key Analysis'!$C55,76,1))</f>
        <v/>
      </c>
      <c r="HG59" s="29" t="str">
        <f>IF(OR($B59="",$A59&lt;77),"",--MID('Key Analysis'!$C55,77,1))</f>
        <v/>
      </c>
      <c r="HH59" s="29" t="str">
        <f>IF(OR($B59="",$A59&lt;78),"",--MID('Key Analysis'!$C55,78,1))</f>
        <v/>
      </c>
      <c r="HI59" s="29" t="str">
        <f>IF(OR($B59="",$A59&lt;79),"",--MID('Key Analysis'!$C55,79,1))</f>
        <v/>
      </c>
      <c r="HJ59" s="29" t="str">
        <f>IF(OR($B59="",$A59&lt;80),"",--MID('Key Analysis'!$C55,80,1))</f>
        <v/>
      </c>
      <c r="HK59" s="29" t="str">
        <f>IF(OR($B59="",$A59&lt;81),"",--MID('Key Analysis'!$C55,81,1))</f>
        <v/>
      </c>
      <c r="HL59" s="29" t="str">
        <f>IF(OR($B59="",$A59&lt;82),"",--MID('Key Analysis'!$C55,82,1))</f>
        <v/>
      </c>
      <c r="HM59" s="29" t="str">
        <f>IF(OR($B59="",$A59&lt;83),"",--MID('Key Analysis'!$C55,83,1))</f>
        <v/>
      </c>
      <c r="HN59" s="29" t="str">
        <f>IF(OR($B59="",$A59&lt;84),"",--MID('Key Analysis'!$C55,84,1))</f>
        <v/>
      </c>
      <c r="HO59" s="29" t="str">
        <f>IF(OR($B59="",$A59&lt;85),"",--MID('Key Analysis'!$C55,85,1))</f>
        <v/>
      </c>
      <c r="HP59" s="29" t="str">
        <f>IF(OR($B59="",$A59&lt;86),"",--MID('Key Analysis'!$C55,86,1))</f>
        <v/>
      </c>
      <c r="HQ59" s="29" t="str">
        <f>IF(OR($B59="",$A59&lt;87),"",--MID('Key Analysis'!$C55,87,1))</f>
        <v/>
      </c>
      <c r="HR59" s="29" t="str">
        <f>IF(OR($B59="",$A59&lt;88),"",--MID('Key Analysis'!$C55,88,1))</f>
        <v/>
      </c>
      <c r="HS59" s="29" t="str">
        <f>IF(OR($B59="",$A59&lt;89),"",--MID('Key Analysis'!$C55,89,1))</f>
        <v/>
      </c>
      <c r="HT59" s="29" t="str">
        <f>IF(OR($B59="",$A59&lt;90),"",--MID('Key Analysis'!$C55,90,1))</f>
        <v/>
      </c>
      <c r="HU59" s="29" t="str">
        <f>IF(OR($B59="",$A59&lt;91),"",--MID('Key Analysis'!$C55,91,1))</f>
        <v/>
      </c>
      <c r="HV59" s="29" t="str">
        <f>IF(OR($B59="",$A59&lt;92),"",--MID('Key Analysis'!$C55,92,1))</f>
        <v/>
      </c>
      <c r="HW59" s="29" t="str">
        <f>IF(OR($B59="",$A59&lt;93),"",--MID('Key Analysis'!$C55,93,1))</f>
        <v/>
      </c>
      <c r="HX59" s="29" t="str">
        <f>IF(OR($B59="",$A59&lt;94),"",--MID('Key Analysis'!$C55,94,1))</f>
        <v/>
      </c>
      <c r="HY59" s="29" t="str">
        <f>IF(OR($B59="",$A59&lt;95),"",--MID('Key Analysis'!$C55,95,1))</f>
        <v/>
      </c>
      <c r="HZ59" s="29" t="str">
        <f>IF(OR($B59="",$A59&lt;96),"",--MID('Key Analysis'!$C55,96,1))</f>
        <v/>
      </c>
      <c r="IA59" s="29" t="str">
        <f>IF(OR($B59="",$A59&lt;97),"",--MID('Key Analysis'!$C55,97,1))</f>
        <v/>
      </c>
      <c r="IB59" s="29" t="str">
        <f>IF(OR($B59="",$A59&lt;98),"",--MID('Key Analysis'!$C55,98,1))</f>
        <v/>
      </c>
      <c r="IC59" s="29" t="str">
        <f>IF(OR($B59="",$A59&lt;99),"",--MID('Key Analysis'!$C55,99,1))</f>
        <v/>
      </c>
      <c r="ID59" s="29" t="str">
        <f>IF(OR($B59="",$A59&lt;100),"",--MID('Key Analysis'!$C55,100,1))</f>
        <v/>
      </c>
      <c r="IE59" s="29" t="str">
        <f>IF(OR($B59="",$A59&lt;101),"",--MID('Key Analysis'!$C55,101,1))</f>
        <v/>
      </c>
      <c r="IF59" s="29" t="str">
        <f>IF(OR($B59="",$A59&lt;102),"",--MID('Key Analysis'!$C55,102,1))</f>
        <v/>
      </c>
      <c r="IG59" s="29" t="str">
        <f>IF(OR($B59="",$A59&lt;103),"",--MID('Key Analysis'!$C55,103,1))</f>
        <v/>
      </c>
      <c r="IH59" s="29" t="str">
        <f>IF(OR($B59="",$A59&lt;104),"",--MID('Key Analysis'!$C55,104,1))</f>
        <v/>
      </c>
      <c r="II59" s="29" t="str">
        <f>IF(OR($B59="",$A59&lt;105),"",--MID('Key Analysis'!$C55,105,1))</f>
        <v/>
      </c>
      <c r="IJ59" s="29" t="str">
        <f>IF(OR($B59="",$A59&lt;106),"",--MID('Key Analysis'!$C55,106,1))</f>
        <v/>
      </c>
      <c r="IK59" s="29" t="str">
        <f>IF(OR($B59="",$A59&lt;107),"",--MID('Key Analysis'!$C55,107,1))</f>
        <v/>
      </c>
      <c r="IL59" s="29" t="str">
        <f>IF(OR($B59="",$A59&lt;108),"",--MID('Key Analysis'!$C55,108,1))</f>
        <v/>
      </c>
      <c r="IM59" s="29" t="str">
        <f>IF(OR($B59="",$A59&lt;109),"",--MID('Key Analysis'!$C55,109,1))</f>
        <v/>
      </c>
      <c r="IN59" s="29" t="str">
        <f>IF(OR($B59="",$A59&lt;110),"",--MID('Key Analysis'!$C55,110,1))</f>
        <v/>
      </c>
      <c r="IO59" s="29" t="str">
        <f>IF(OR($B59="",$A59&lt;111),"",--MID('Key Analysis'!$C55,111,1))</f>
        <v/>
      </c>
      <c r="IP59" s="29" t="str">
        <f>IF(OR($B59="",$A59&lt;112),"",--MID('Key Analysis'!$C55,112,1))</f>
        <v/>
      </c>
      <c r="IQ59" s="29" t="str">
        <f>IF(OR($B59="",$A59&lt;113),"",--MID('Key Analysis'!$C55,113,1))</f>
        <v/>
      </c>
      <c r="IR59" s="29" t="str">
        <f>IF(OR($B59="",$A59&lt;114),"",--MID('Key Analysis'!$C55,114,1))</f>
        <v/>
      </c>
      <c r="IS59" s="29" t="str">
        <f>IF(OR($B59="",$A59&lt;115),"",--MID('Key Analysis'!$C55,115,1))</f>
        <v/>
      </c>
      <c r="IT59" s="29" t="str">
        <f>IF(OR($B59="",$A59&lt;116),"",--MID('Key Analysis'!$C55,116,1))</f>
        <v/>
      </c>
      <c r="IU59" s="29" t="str">
        <f>IF(OR($B59="",$A59&lt;117),"",--MID('Key Analysis'!$C55,117,1))</f>
        <v/>
      </c>
      <c r="IV59" s="29" t="str">
        <f>IF(OR($B59="",$A59&lt;118),"",--MID('Key Analysis'!$C55,118,1))</f>
        <v/>
      </c>
      <c r="IW59" s="29" t="str">
        <f>IF(OR($B59="",$A59&lt;119),"",--MID('Key Analysis'!$C55,119,1))</f>
        <v/>
      </c>
      <c r="IX59" s="29" t="str">
        <f>IF(OR($B59="",$A59&lt;120),"",--MID('Key Analysis'!$C55,120,1))</f>
        <v/>
      </c>
      <c r="IY59" s="29" t="str">
        <f>IF(OR($B59="",$A59&lt;121),"",--MID('Key Analysis'!$C55,121,1))</f>
        <v/>
      </c>
      <c r="IZ59" s="29" t="str">
        <f>IF(OR($B59="",$A59&lt;122),"",--MID('Key Analysis'!$C55,122,1))</f>
        <v/>
      </c>
      <c r="JA59" s="29" t="str">
        <f>IF(OR($B59="",$A59&lt;123),"",--MID('Key Analysis'!$C55,123,1))</f>
        <v/>
      </c>
      <c r="JB59" s="29" t="str">
        <f>IF(OR($B59="",$A59&lt;124),"",--MID('Key Analysis'!$C55,124,1))</f>
        <v/>
      </c>
      <c r="JC59" s="29" t="str">
        <f>IF(OR($B59="",$A59&lt;125),"",--MID('Key Analysis'!$C55,125,1))</f>
        <v/>
      </c>
      <c r="JD59" s="29" t="str">
        <f>IF(OR($B59="",$A59&lt;126),"",--MID('Key Analysis'!$C55,126,1))</f>
        <v/>
      </c>
      <c r="JE59" s="29" t="str">
        <f>IF(OR($B59="",$A59&lt;127),"",--MID('Key Analysis'!$C55,127,1))</f>
        <v/>
      </c>
      <c r="JF59" s="29" t="str">
        <f>IF(OR($B59="",$A59&lt;128),"",--MID('Key Analysis'!$C55,128,1))</f>
        <v/>
      </c>
      <c r="JG59" s="29" t="str">
        <f>IF(OR($B59="",$A59&lt;129),"",--MID('Key Analysis'!$C55,129,1))</f>
        <v/>
      </c>
      <c r="JH59" s="29" t="str">
        <f>IF(OR($B59="",$A59&lt;130),"",--MID('Key Analysis'!$C55,130,1))</f>
        <v/>
      </c>
      <c r="JI59" s="29" t="str">
        <f>IF(OR($B59="",$A59&lt;131),"",--MID('Key Analysis'!$C55,131,1))</f>
        <v/>
      </c>
      <c r="JJ59" s="29" t="str">
        <f>IF(OR($B59="",$A59&lt;132),"",--MID('Key Analysis'!$C55,132,1))</f>
        <v/>
      </c>
      <c r="JK59" s="29" t="str">
        <f>IF(OR($B59="",$A59&lt;133),"",--MID('Key Analysis'!$C55,133,1))</f>
        <v/>
      </c>
      <c r="JL59" s="29" t="str">
        <f>IF(OR($B59="",$A59&lt;134),"",--MID('Key Analysis'!$C55,134,1))</f>
        <v/>
      </c>
      <c r="JM59" s="29" t="str">
        <f>IF(OR($B59="",$A59&lt;135),"",--MID('Key Analysis'!$C55,135,1))</f>
        <v/>
      </c>
    </row>
    <row r="60" spans="1:273" x14ac:dyDescent="0.25">
      <c r="A60" s="21">
        <f>'Key Analysis'!A56</f>
        <v>55</v>
      </c>
      <c r="B60" s="30" t="str">
        <f>'Key Analysis'!B56</f>
        <v>6abe1f9b67e114</v>
      </c>
      <c r="C60" s="29">
        <f>IF(OR($B60="",$A60&lt;=0),"",--MID('Key Analysis'!$C56,$A60-0,1))</f>
        <v>0</v>
      </c>
      <c r="D60" s="29">
        <f>IF(OR($B60="",$A60&lt;=1),"",--MID('Key Analysis'!$C56,$A60-1,1))</f>
        <v>0</v>
      </c>
      <c r="E60" s="29">
        <f>IF(OR($B60="",$A60&lt;=2),"",--MID('Key Analysis'!$C56,$A60-2,1))</f>
        <v>1</v>
      </c>
      <c r="F60" s="29">
        <f>IF(OR($B60="",$A60&lt;=3),"",--MID('Key Analysis'!$C56,$A60-3,1))</f>
        <v>0</v>
      </c>
      <c r="G60" s="29">
        <f>IF(OR($B60="",$A60&lt;=4),"",--MID('Key Analysis'!$C56,$A60-4,1))</f>
        <v>1</v>
      </c>
      <c r="H60" s="29">
        <f>IF(OR($B60="",$A60&lt;=5),"",--MID('Key Analysis'!$C56,$A60-5,1))</f>
        <v>0</v>
      </c>
      <c r="I60" s="29">
        <f>IF(OR($B60="",$A60&lt;=6),"",--MID('Key Analysis'!$C56,$A60-6,1))</f>
        <v>0</v>
      </c>
      <c r="J60" s="29">
        <f>IF(OR($B60="",$A60&lt;=7),"",--MID('Key Analysis'!$C56,$A60-7,1))</f>
        <v>0</v>
      </c>
      <c r="K60" s="29">
        <f>IF(OR($B60="",$A60&lt;=8),"",--MID('Key Analysis'!$C56,$A60-8,1))</f>
        <v>1</v>
      </c>
      <c r="L60" s="29">
        <f>IF(OR($B60="",$A60&lt;=9),"",--MID('Key Analysis'!$C56,$A60-9,1))</f>
        <v>0</v>
      </c>
      <c r="M60" s="29">
        <f>IF(OR($B60="",$A60&lt;=10),"",--MID('Key Analysis'!$C56,$A60-10,1))</f>
        <v>0</v>
      </c>
      <c r="N60" s="29">
        <f>IF(OR($B60="",$A60&lt;=11),"",--MID('Key Analysis'!$C56,$A60-11,1))</f>
        <v>0</v>
      </c>
      <c r="O60" s="29">
        <f>IF(OR($B60="",$A60&lt;=12),"",--MID('Key Analysis'!$C56,$A60-12,1))</f>
        <v>0</v>
      </c>
      <c r="P60" s="29">
        <f>IF(OR($B60="",$A60&lt;=13),"",--MID('Key Analysis'!$C56,$A60-13,1))</f>
        <v>1</v>
      </c>
      <c r="Q60" s="29">
        <f>IF(OR($B60="",$A60&lt;=14),"",--MID('Key Analysis'!$C56,$A60-14,1))</f>
        <v>1</v>
      </c>
      <c r="R60" s="29">
        <f>IF(OR($B60="",$A60&lt;=15),"",--MID('Key Analysis'!$C56,$A60-15,1))</f>
        <v>1</v>
      </c>
      <c r="S60" s="29">
        <f>IF(OR($B60="",$A60&lt;=16),"",--MID('Key Analysis'!$C56,$A60-16,1))</f>
        <v>1</v>
      </c>
      <c r="T60" s="29">
        <f>IF(OR($B60="",$A60&lt;=17),"",--MID('Key Analysis'!$C56,$A60-17,1))</f>
        <v>1</v>
      </c>
      <c r="U60" s="29">
        <f>IF(OR($B60="",$A60&lt;=18),"",--MID('Key Analysis'!$C56,$A60-18,1))</f>
        <v>1</v>
      </c>
      <c r="V60" s="29">
        <f>IF(OR($B60="",$A60&lt;=19),"",--MID('Key Analysis'!$C56,$A60-19,1))</f>
        <v>0</v>
      </c>
      <c r="W60" s="29">
        <f>IF(OR($B60="",$A60&lt;=20),"",--MID('Key Analysis'!$C56,$A60-20,1))</f>
        <v>0</v>
      </c>
      <c r="X60" s="29">
        <f>IF(OR($B60="",$A60&lt;=21),"",--MID('Key Analysis'!$C56,$A60-21,1))</f>
        <v>1</v>
      </c>
      <c r="Y60" s="29">
        <f>IF(OR($B60="",$A60&lt;=22),"",--MID('Key Analysis'!$C56,$A60-22,1))</f>
        <v>1</v>
      </c>
      <c r="Z60" s="29">
        <f>IF(OR($B60="",$A60&lt;=23),"",--MID('Key Analysis'!$C56,$A60-23,1))</f>
        <v>0</v>
      </c>
      <c r="AA60" s="29">
        <f>IF(OR($B60="",$A60&lt;=24),"",--MID('Key Analysis'!$C56,$A60-24,1))</f>
        <v>1</v>
      </c>
      <c r="AB60" s="29">
        <f>IF(OR($B60="",$A60&lt;=25),"",--MID('Key Analysis'!$C56,$A60-25,1))</f>
        <v>1</v>
      </c>
      <c r="AC60" s="29">
        <f>IF(OR($B60="",$A60&lt;=26),"",--MID('Key Analysis'!$C56,$A60-26,1))</f>
        <v>0</v>
      </c>
      <c r="AD60" s="29">
        <f>IF(OR($B60="",$A60&lt;=27),"",--MID('Key Analysis'!$C56,$A60-27,1))</f>
        <v>1</v>
      </c>
      <c r="AE60" s="29">
        <f>IF(OR($B60="",$A60&lt;=28),"",--MID('Key Analysis'!$C56,$A60-28,1))</f>
        <v>1</v>
      </c>
      <c r="AF60" s="29">
        <f>IF(OR($B60="",$A60&lt;=29),"",--MID('Key Analysis'!$C56,$A60-29,1))</f>
        <v>0</v>
      </c>
      <c r="AG60" s="29">
        <f>IF(OR($B60="",$A60&lt;=30),"",--MID('Key Analysis'!$C56,$A60-30,1))</f>
        <v>0</v>
      </c>
      <c r="AH60" s="29">
        <f>IF(OR($B60="",$A60&lt;=31),"",--MID('Key Analysis'!$C56,$A60-31,1))</f>
        <v>1</v>
      </c>
      <c r="AI60" s="29">
        <f>IF(OR($B60="",$A60&lt;=32),"",--MID('Key Analysis'!$C56,$A60-32,1))</f>
        <v>1</v>
      </c>
      <c r="AJ60" s="29">
        <f>IF(OR($B60="",$A60&lt;=33),"",--MID('Key Analysis'!$C56,$A60-33,1))</f>
        <v>1</v>
      </c>
      <c r="AK60" s="29">
        <f>IF(OR($B60="",$A60&lt;=34),"",--MID('Key Analysis'!$C56,$A60-34,1))</f>
        <v>1</v>
      </c>
      <c r="AL60" s="29">
        <f>IF(OR($B60="",$A60&lt;=35),"",--MID('Key Analysis'!$C56,$A60-35,1))</f>
        <v>1</v>
      </c>
      <c r="AM60" s="29">
        <f>IF(OR($B60="",$A60&lt;=36),"",--MID('Key Analysis'!$C56,$A60-36,1))</f>
        <v>1</v>
      </c>
      <c r="AN60" s="29">
        <f>IF(OR($B60="",$A60&lt;=37),"",--MID('Key Analysis'!$C56,$A60-37,1))</f>
        <v>0</v>
      </c>
      <c r="AO60" s="29">
        <f>IF(OR($B60="",$A60&lt;=38),"",--MID('Key Analysis'!$C56,$A60-38,1))</f>
        <v>0</v>
      </c>
      <c r="AP60" s="29">
        <f>IF(OR($B60="",$A60&lt;=39),"",--MID('Key Analysis'!$C56,$A60-39,1))</f>
        <v>0</v>
      </c>
      <c r="AQ60" s="29">
        <f>IF(OR($B60="",$A60&lt;=40),"",--MID('Key Analysis'!$C56,$A60-40,1))</f>
        <v>0</v>
      </c>
      <c r="AR60" s="29">
        <f>IF(OR($B60="",$A60&lt;=41),"",--MID('Key Analysis'!$C56,$A60-41,1))</f>
        <v>1</v>
      </c>
      <c r="AS60" s="29">
        <f>IF(OR($B60="",$A60&lt;=42),"",--MID('Key Analysis'!$C56,$A60-42,1))</f>
        <v>1</v>
      </c>
      <c r="AT60" s="29">
        <f>IF(OR($B60="",$A60&lt;=43),"",--MID('Key Analysis'!$C56,$A60-43,1))</f>
        <v>1</v>
      </c>
      <c r="AU60" s="29">
        <f>IF(OR($B60="",$A60&lt;=44),"",--MID('Key Analysis'!$C56,$A60-44,1))</f>
        <v>1</v>
      </c>
      <c r="AV60" s="29">
        <f>IF(OR($B60="",$A60&lt;=45),"",--MID('Key Analysis'!$C56,$A60-45,1))</f>
        <v>1</v>
      </c>
      <c r="AW60" s="29">
        <f>IF(OR($B60="",$A60&lt;=46),"",--MID('Key Analysis'!$C56,$A60-46,1))</f>
        <v>0</v>
      </c>
      <c r="AX60" s="29">
        <f>IF(OR($B60="",$A60&lt;=47),"",--MID('Key Analysis'!$C56,$A60-47,1))</f>
        <v>1</v>
      </c>
      <c r="AY60" s="29">
        <f>IF(OR($B60="",$A60&lt;=48),"",--MID('Key Analysis'!$C56,$A60-48,1))</f>
        <v>0</v>
      </c>
      <c r="AZ60" s="29">
        <f>IF(OR($B60="",$A60&lt;=49),"",--MID('Key Analysis'!$C56,$A60-49,1))</f>
        <v>1</v>
      </c>
      <c r="BA60" s="29">
        <f>IF(OR($B60="",$A60&lt;=50),"",--MID('Key Analysis'!$C56,$A60-50,1))</f>
        <v>0</v>
      </c>
      <c r="BB60" s="29">
        <f>IF(OR($B60="",$A60&lt;=51),"",--MID('Key Analysis'!$C56,$A60-51,1))</f>
        <v>1</v>
      </c>
      <c r="BC60" s="29">
        <f>IF(OR($B60="",$A60&lt;=52),"",--MID('Key Analysis'!$C56,$A60-52,1))</f>
        <v>0</v>
      </c>
      <c r="BD60" s="29">
        <f>IF(OR($B60="",$A60&lt;=53),"",--MID('Key Analysis'!$C56,$A60-53,1))</f>
        <v>1</v>
      </c>
      <c r="BE60" s="29">
        <f>IF(OR($B60="",$A60&lt;=54),"",--MID('Key Analysis'!$C56,$A60-54,1))</f>
        <v>1</v>
      </c>
      <c r="BF60" s="29" t="str">
        <f>IF(OR($B60="",$A60&lt;=55),"",--MID('Key Analysis'!$C56,$A60-55,1))</f>
        <v/>
      </c>
      <c r="BG60" s="29" t="str">
        <f>IF(OR($B60="",$A60&lt;=56),"",--MID('Key Analysis'!$C56,$A60-56,1))</f>
        <v/>
      </c>
      <c r="BH60" s="29" t="str">
        <f>IF(OR($B60="",$A60&lt;=57),"",--MID('Key Analysis'!$C56,$A60-57,1))</f>
        <v/>
      </c>
      <c r="BI60" s="29" t="str">
        <f>IF(OR($B60="",$A60&lt;=58),"",--MID('Key Analysis'!$C56,$A60-58,1))</f>
        <v/>
      </c>
      <c r="BJ60" s="29" t="str">
        <f>IF(OR($B60="",$A60&lt;=59),"",--MID('Key Analysis'!$C56,$A60-59,1))</f>
        <v/>
      </c>
      <c r="BK60" s="29" t="str">
        <f>IF(OR($B60="",$A60&lt;=60),"",--MID('Key Analysis'!$C56,$A60-60,1))</f>
        <v/>
      </c>
      <c r="BL60" s="29" t="str">
        <f>IF(OR($B60="",$A60&lt;=61),"",--MID('Key Analysis'!$C56,$A60-61,1))</f>
        <v/>
      </c>
      <c r="BM60" s="29" t="str">
        <f>IF(OR($B60="",$A60&lt;=62),"",--MID('Key Analysis'!$C56,$A60-62,1))</f>
        <v/>
      </c>
      <c r="BN60" s="29" t="str">
        <f>IF(OR($B60="",$A60&lt;=63),"",--MID('Key Analysis'!$C56,$A60-63,1))</f>
        <v/>
      </c>
      <c r="BO60" s="29" t="str">
        <f>IF(OR($B60="",$A60&lt;=64),"",--MID('Key Analysis'!$C56,$A60-64,1))</f>
        <v/>
      </c>
      <c r="BP60" s="29" t="str">
        <f>IF(OR($B60="",$A60&lt;=65),"",--MID('Key Analysis'!$C56,$A60-65,1))</f>
        <v/>
      </c>
      <c r="BQ60" s="29" t="str">
        <f>IF(OR($B60="",$A60&lt;=66),"",--MID('Key Analysis'!$C56,$A60-66,1))</f>
        <v/>
      </c>
      <c r="BR60" s="29" t="str">
        <f>IF(OR($B60="",$A60&lt;=67),"",--MID('Key Analysis'!$C56,$A60-67,1))</f>
        <v/>
      </c>
      <c r="BS60" s="29" t="str">
        <f>IF(OR($B60="",$A60&lt;=68),"",--MID('Key Analysis'!$C56,$A60-68,1))</f>
        <v/>
      </c>
      <c r="BT60" s="29" t="str">
        <f>IF(OR($B60="",$A60&lt;=69),"",--MID('Key Analysis'!$C56,$A60-69,1))</f>
        <v/>
      </c>
      <c r="BU60" s="29" t="str">
        <f>IF(OR($B60="",$A60&lt;=70),"",--MID('Key Analysis'!$C56,$A60-70,1))</f>
        <v/>
      </c>
      <c r="BV60" s="29" t="str">
        <f>IF(OR($B60="",$A60&lt;=71),"",--MID('Key Analysis'!$C56,$A60-71,1))</f>
        <v/>
      </c>
      <c r="BW60" s="29" t="str">
        <f>IF(OR($B60="",$A60&lt;=72),"",--MID('Key Analysis'!$C56,$A60-72,1))</f>
        <v/>
      </c>
      <c r="BX60" s="29" t="str">
        <f>IF(OR($B60="",$A60&lt;=73),"",--MID('Key Analysis'!$C56,$A60-73,1))</f>
        <v/>
      </c>
      <c r="BY60" s="29" t="str">
        <f>IF(OR($B60="",$A60&lt;=74),"",--MID('Key Analysis'!$C56,$A60-74,1))</f>
        <v/>
      </c>
      <c r="BZ60" s="29" t="str">
        <f>IF(OR($B60="",$A60&lt;=75),"",--MID('Key Analysis'!$C56,$A60-75,1))</f>
        <v/>
      </c>
      <c r="CA60" s="29" t="str">
        <f>IF(OR($B60="",$A60&lt;=76),"",--MID('Key Analysis'!$C56,$A60-76,1))</f>
        <v/>
      </c>
      <c r="CB60" s="29" t="str">
        <f>IF(OR($B60="",$A60&lt;=77),"",--MID('Key Analysis'!$C56,$A60-77,1))</f>
        <v/>
      </c>
      <c r="CC60" s="29" t="str">
        <f>IF(OR($B60="",$A60&lt;=78),"",--MID('Key Analysis'!$C56,$A60-78,1))</f>
        <v/>
      </c>
      <c r="CD60" s="29" t="str">
        <f>IF(OR($B60="",$A60&lt;=79),"",--MID('Key Analysis'!$C56,$A60-79,1))</f>
        <v/>
      </c>
      <c r="CE60" s="29" t="str">
        <f>IF(OR($B60="",$A60&lt;=80),"",--MID('Key Analysis'!$C56,$A60-80,1))</f>
        <v/>
      </c>
      <c r="CF60" s="29" t="str">
        <f>IF(OR($B60="",$A60&lt;=81),"",--MID('Key Analysis'!$C56,$A60-81,1))</f>
        <v/>
      </c>
      <c r="CG60" s="29" t="str">
        <f>IF(OR($B60="",$A60&lt;=82),"",--MID('Key Analysis'!$C56,$A60-82,1))</f>
        <v/>
      </c>
      <c r="CH60" s="29" t="str">
        <f>IF(OR($B60="",$A60&lt;=83),"",--MID('Key Analysis'!$C56,$A60-83,1))</f>
        <v/>
      </c>
      <c r="CI60" s="29" t="str">
        <f>IF(OR($B60="",$A60&lt;=84),"",--MID('Key Analysis'!$C56,$A60-84,1))</f>
        <v/>
      </c>
      <c r="CJ60" s="29" t="str">
        <f>IF(OR($B60="",$A60&lt;=85),"",--MID('Key Analysis'!$C56,$A60-85,1))</f>
        <v/>
      </c>
      <c r="CK60" s="29" t="str">
        <f>IF(OR($B60="",$A60&lt;=86),"",--MID('Key Analysis'!$C56,$A60-86,1))</f>
        <v/>
      </c>
      <c r="CL60" s="29" t="str">
        <f>IF(OR($B60="",$A60&lt;=87),"",--MID('Key Analysis'!$C56,$A60-87,1))</f>
        <v/>
      </c>
      <c r="CM60" s="29" t="str">
        <f>IF(OR($B60="",$A60&lt;=88),"",--MID('Key Analysis'!$C56,$A60-88,1))</f>
        <v/>
      </c>
      <c r="CN60" s="29" t="str">
        <f>IF(OR($B60="",$A60&lt;=89),"",--MID('Key Analysis'!$C56,$A60-89,1))</f>
        <v/>
      </c>
      <c r="CO60" s="29" t="str">
        <f>IF(OR($B60="",$A60&lt;=90),"",--MID('Key Analysis'!$C56,$A60-90,1))</f>
        <v/>
      </c>
      <c r="CP60" s="29" t="str">
        <f>IF(OR($B60="",$A60&lt;=91),"",--MID('Key Analysis'!$C56,$A60-91,1))</f>
        <v/>
      </c>
      <c r="CQ60" s="29" t="str">
        <f>IF(OR($B60="",$A60&lt;=92),"",--MID('Key Analysis'!$C56,$A60-92,1))</f>
        <v/>
      </c>
      <c r="CR60" s="29" t="str">
        <f>IF(OR($B60="",$A60&lt;=93),"",--MID('Key Analysis'!$C56,$A60-93,1))</f>
        <v/>
      </c>
      <c r="CS60" s="29" t="str">
        <f>IF(OR($B60="",$A60&lt;=94),"",--MID('Key Analysis'!$C56,$A60-94,1))</f>
        <v/>
      </c>
      <c r="CT60" s="29" t="str">
        <f>IF(OR($B60="",$A60&lt;=95),"",--MID('Key Analysis'!$C56,$A60-95,1))</f>
        <v/>
      </c>
      <c r="CU60" s="29" t="str">
        <f>IF(OR($B60="",$A60&lt;=96),"",--MID('Key Analysis'!$C56,$A60-96,1))</f>
        <v/>
      </c>
      <c r="CV60" s="29" t="str">
        <f>IF(OR($B60="",$A60&lt;=97),"",--MID('Key Analysis'!$C56,$A60-97,1))</f>
        <v/>
      </c>
      <c r="CW60" s="29" t="str">
        <f>IF(OR($B60="",$A60&lt;=98),"",--MID('Key Analysis'!$C56,$A60-98,1))</f>
        <v/>
      </c>
      <c r="CX60" s="29" t="str">
        <f>IF(OR($B60="",$A60&lt;=99),"",--MID('Key Analysis'!$C56,$A60-99,1))</f>
        <v/>
      </c>
      <c r="CY60" s="29" t="str">
        <f>IF(OR($B60="",$A60&lt;=100),"",--MID('Key Analysis'!$C56,$A60-100,1))</f>
        <v/>
      </c>
      <c r="CZ60" s="29" t="str">
        <f>IF(OR($B60="",$A60&lt;=101),"",--MID('Key Analysis'!$C56,$A60-101,1))</f>
        <v/>
      </c>
      <c r="DA60" s="29" t="str">
        <f>IF(OR($B60="",$A60&lt;=102),"",--MID('Key Analysis'!$C56,$A60-102,1))</f>
        <v/>
      </c>
      <c r="DB60" s="29" t="str">
        <f>IF(OR($B60="",$A60&lt;=103),"",--MID('Key Analysis'!$C56,$A60-103,1))</f>
        <v/>
      </c>
      <c r="DC60" s="29" t="str">
        <f>IF(OR($B60="",$A60&lt;=104),"",--MID('Key Analysis'!$C56,$A60-104,1))</f>
        <v/>
      </c>
      <c r="DD60" s="29" t="str">
        <f>IF(OR($B60="",$A60&lt;=105),"",--MID('Key Analysis'!$C56,$A60-105,1))</f>
        <v/>
      </c>
      <c r="DE60" s="29" t="str">
        <f>IF(OR($B60="",$A60&lt;=106),"",--MID('Key Analysis'!$C56,$A60-106,1))</f>
        <v/>
      </c>
      <c r="DF60" s="29" t="str">
        <f>IF(OR($B60="",$A60&lt;=107),"",--MID('Key Analysis'!$C56,$A60-107,1))</f>
        <v/>
      </c>
      <c r="DG60" s="29" t="str">
        <f>IF(OR($B60="",$A60&lt;=108),"",--MID('Key Analysis'!$C56,$A60-108,1))</f>
        <v/>
      </c>
      <c r="DH60" s="29" t="str">
        <f>IF(OR($B60="",$A60&lt;=109),"",--MID('Key Analysis'!$C56,$A60-109,1))</f>
        <v/>
      </c>
      <c r="DI60" s="29" t="str">
        <f>IF(OR($B60="",$A60&lt;=110),"",--MID('Key Analysis'!$C56,$A60-110,1))</f>
        <v/>
      </c>
      <c r="DJ60" s="29" t="str">
        <f>IF(OR($B60="",$A60&lt;=111),"",--MID('Key Analysis'!$C56,$A60-111,1))</f>
        <v/>
      </c>
      <c r="DK60" s="29" t="str">
        <f>IF(OR($B60="",$A60&lt;=112),"",--MID('Key Analysis'!$C56,$A60-112,1))</f>
        <v/>
      </c>
      <c r="DL60" s="29" t="str">
        <f>IF(OR($B60="",$A60&lt;=113),"",--MID('Key Analysis'!$C56,$A60-113,1))</f>
        <v/>
      </c>
      <c r="DM60" s="29" t="str">
        <f>IF(OR($B60="",$A60&lt;=114),"",--MID('Key Analysis'!$C56,$A60-114,1))</f>
        <v/>
      </c>
      <c r="DN60" s="29" t="str">
        <f>IF(OR($B60="",$A60&lt;=115),"",--MID('Key Analysis'!$C56,$A60-115,1))</f>
        <v/>
      </c>
      <c r="DO60" s="29" t="str">
        <f>IF(OR($B60="",$A60&lt;=116),"",--MID('Key Analysis'!$C56,$A60-116,1))</f>
        <v/>
      </c>
      <c r="DP60" s="29" t="str">
        <f>IF(OR($B60="",$A60&lt;=117),"",--MID('Key Analysis'!$C56,$A60-117,1))</f>
        <v/>
      </c>
      <c r="DQ60" s="29" t="str">
        <f>IF(OR($B60="",$A60&lt;=118),"",--MID('Key Analysis'!$C56,$A60-118,1))</f>
        <v/>
      </c>
      <c r="DR60" s="29" t="str">
        <f>IF(OR($B60="",$A60&lt;=119),"",--MID('Key Analysis'!$C56,$A60-119,1))</f>
        <v/>
      </c>
      <c r="DS60" s="29" t="str">
        <f>IF(OR($B60="",$A60&lt;=120),"",--MID('Key Analysis'!$C56,$A60-120,1))</f>
        <v/>
      </c>
      <c r="DT60" s="29" t="str">
        <f>IF(OR($B60="",$A60&lt;=121),"",--MID('Key Analysis'!$C56,$A60-121,1))</f>
        <v/>
      </c>
      <c r="DU60" s="29" t="str">
        <f>IF(OR($B60="",$A60&lt;=122),"",--MID('Key Analysis'!$C56,$A60-122,1))</f>
        <v/>
      </c>
      <c r="DV60" s="29" t="str">
        <f>IF(OR($B60="",$A60&lt;=123),"",--MID('Key Analysis'!$C56,$A60-123,1))</f>
        <v/>
      </c>
      <c r="DW60" s="29" t="str">
        <f>IF(OR($B60="",$A60&lt;=124),"",--MID('Key Analysis'!$C56,$A60-124,1))</f>
        <v/>
      </c>
      <c r="DX60" s="29" t="str">
        <f>IF(OR($B60="",$A60&lt;=125),"",--MID('Key Analysis'!$C56,$A60-125,1))</f>
        <v/>
      </c>
      <c r="DY60" s="29" t="str">
        <f>IF(OR($B60="",$A60&lt;=126),"",--MID('Key Analysis'!$C56,$A60-126,1))</f>
        <v/>
      </c>
      <c r="DZ60" s="29" t="str">
        <f>IF(OR($B60="",$A60&lt;=127),"",--MID('Key Analysis'!$C56,$A60-127,1))</f>
        <v/>
      </c>
      <c r="EA60" s="29" t="str">
        <f>IF(OR($B60="",$A60&lt;=128),"",--MID('Key Analysis'!$C56,$A60-128,1))</f>
        <v/>
      </c>
      <c r="EB60" s="29" t="str">
        <f>IF(OR($B60="",$A60&lt;=129),"",--MID('Key Analysis'!$C56,$A60-129,1))</f>
        <v/>
      </c>
      <c r="EC60" s="29" t="str">
        <f>IF(OR($B60="",$A60&lt;=130),"",--MID('Key Analysis'!$C56,$A60-130,1))</f>
        <v/>
      </c>
      <c r="ED60" s="29" t="str">
        <f>IF(OR($B60="",$A60&lt;=131),"",--MID('Key Analysis'!$C56,$A60-131,1))</f>
        <v/>
      </c>
      <c r="EE60" s="29" t="str">
        <f>IF(OR($B60="",$A60&lt;=132),"",--MID('Key Analysis'!$C56,$A60-132,1))</f>
        <v/>
      </c>
      <c r="EF60" s="29" t="str">
        <f>IF(OR($B60="",$A60&lt;=133),"",--MID('Key Analysis'!$C56,$A60-133,1))</f>
        <v/>
      </c>
      <c r="EG60" s="29" t="str">
        <f>IF(OR($B60="",$A60&lt;=134),"",--MID('Key Analysis'!$C56,$A60-134,1))</f>
        <v/>
      </c>
      <c r="EH60" s="29"/>
      <c r="EI60" s="29">
        <f>IF(OR($B60="",$A60&lt;1),"",--MID('Key Analysis'!$C56,1,1))</f>
        <v>1</v>
      </c>
      <c r="EJ60" s="29">
        <f>IF(OR($B60="",$A60&lt;2),"",--MID('Key Analysis'!$C56,2,1))</f>
        <v>1</v>
      </c>
      <c r="EK60" s="29">
        <f>IF(OR($B60="",$A60&lt;3),"",--MID('Key Analysis'!$C56,3,1))</f>
        <v>0</v>
      </c>
      <c r="EL60" s="29">
        <f>IF(OR($B60="",$A60&lt;4),"",--MID('Key Analysis'!$C56,4,1))</f>
        <v>1</v>
      </c>
      <c r="EM60" s="29">
        <f>IF(OR($B60="",$A60&lt;5),"",--MID('Key Analysis'!$C56,5,1))</f>
        <v>0</v>
      </c>
      <c r="EN60" s="29">
        <f>IF(OR($B60="",$A60&lt;6),"",--MID('Key Analysis'!$C56,6,1))</f>
        <v>1</v>
      </c>
      <c r="EO60" s="29">
        <f>IF(OR($B60="",$A60&lt;7),"",--MID('Key Analysis'!$C56,7,1))</f>
        <v>0</v>
      </c>
      <c r="EP60" s="29">
        <f>IF(OR($B60="",$A60&lt;8),"",--MID('Key Analysis'!$C56,8,1))</f>
        <v>1</v>
      </c>
      <c r="EQ60" s="29">
        <f>IF(OR($B60="",$A60&lt;9),"",--MID('Key Analysis'!$C56,9,1))</f>
        <v>0</v>
      </c>
      <c r="ER60" s="29">
        <f>IF(OR($B60="",$A60&lt;10),"",--MID('Key Analysis'!$C56,10,1))</f>
        <v>1</v>
      </c>
      <c r="ES60" s="29">
        <f>IF(OR($B60="",$A60&lt;11),"",--MID('Key Analysis'!$C56,11,1))</f>
        <v>1</v>
      </c>
      <c r="ET60" s="29">
        <f>IF(OR($B60="",$A60&lt;12),"",--MID('Key Analysis'!$C56,12,1))</f>
        <v>1</v>
      </c>
      <c r="EU60" s="29">
        <f>IF(OR($B60="",$A60&lt;13),"",--MID('Key Analysis'!$C56,13,1))</f>
        <v>1</v>
      </c>
      <c r="EV60" s="29">
        <f>IF(OR($B60="",$A60&lt;14),"",--MID('Key Analysis'!$C56,14,1))</f>
        <v>1</v>
      </c>
      <c r="EW60" s="29">
        <f>IF(OR($B60="",$A60&lt;15),"",--MID('Key Analysis'!$C56,15,1))</f>
        <v>0</v>
      </c>
      <c r="EX60" s="29">
        <f>IF(OR($B60="",$A60&lt;16),"",--MID('Key Analysis'!$C56,16,1))</f>
        <v>0</v>
      </c>
      <c r="EY60" s="29">
        <f>IF(OR($B60="",$A60&lt;17),"",--MID('Key Analysis'!$C56,17,1))</f>
        <v>0</v>
      </c>
      <c r="EZ60" s="29">
        <f>IF(OR($B60="",$A60&lt;18),"",--MID('Key Analysis'!$C56,18,1))</f>
        <v>0</v>
      </c>
      <c r="FA60" s="29">
        <f>IF(OR($B60="",$A60&lt;19),"",--MID('Key Analysis'!$C56,19,1))</f>
        <v>1</v>
      </c>
      <c r="FB60" s="29">
        <f>IF(OR($B60="",$A60&lt;20),"",--MID('Key Analysis'!$C56,20,1))</f>
        <v>1</v>
      </c>
      <c r="FC60" s="29">
        <f>IF(OR($B60="",$A60&lt;21),"",--MID('Key Analysis'!$C56,21,1))</f>
        <v>1</v>
      </c>
      <c r="FD60" s="29">
        <f>IF(OR($B60="",$A60&lt;22),"",--MID('Key Analysis'!$C56,22,1))</f>
        <v>1</v>
      </c>
      <c r="FE60" s="29">
        <f>IF(OR($B60="",$A60&lt;23),"",--MID('Key Analysis'!$C56,23,1))</f>
        <v>1</v>
      </c>
      <c r="FF60" s="29">
        <f>IF(OR($B60="",$A60&lt;24),"",--MID('Key Analysis'!$C56,24,1))</f>
        <v>1</v>
      </c>
      <c r="FG60" s="29">
        <f>IF(OR($B60="",$A60&lt;25),"",--MID('Key Analysis'!$C56,25,1))</f>
        <v>0</v>
      </c>
      <c r="FH60" s="29">
        <f>IF(OR($B60="",$A60&lt;26),"",--MID('Key Analysis'!$C56,26,1))</f>
        <v>0</v>
      </c>
      <c r="FI60" s="29">
        <f>IF(OR($B60="",$A60&lt;27),"",--MID('Key Analysis'!$C56,27,1))</f>
        <v>1</v>
      </c>
      <c r="FJ60" s="29">
        <f>IF(OR($B60="",$A60&lt;28),"",--MID('Key Analysis'!$C56,28,1))</f>
        <v>1</v>
      </c>
      <c r="FK60" s="29">
        <f>IF(OR($B60="",$A60&lt;29),"",--MID('Key Analysis'!$C56,29,1))</f>
        <v>0</v>
      </c>
      <c r="FL60" s="29">
        <f>IF(OR($B60="",$A60&lt;30),"",--MID('Key Analysis'!$C56,30,1))</f>
        <v>1</v>
      </c>
      <c r="FM60" s="29">
        <f>IF(OR($B60="",$A60&lt;31),"",--MID('Key Analysis'!$C56,31,1))</f>
        <v>1</v>
      </c>
      <c r="FN60" s="29">
        <f>IF(OR($B60="",$A60&lt;32),"",--MID('Key Analysis'!$C56,32,1))</f>
        <v>0</v>
      </c>
      <c r="FO60" s="29">
        <f>IF(OR($B60="",$A60&lt;33),"",--MID('Key Analysis'!$C56,33,1))</f>
        <v>1</v>
      </c>
      <c r="FP60" s="29">
        <f>IF(OR($B60="",$A60&lt;34),"",--MID('Key Analysis'!$C56,34,1))</f>
        <v>1</v>
      </c>
      <c r="FQ60" s="29">
        <f>IF(OR($B60="",$A60&lt;35),"",--MID('Key Analysis'!$C56,35,1))</f>
        <v>0</v>
      </c>
      <c r="FR60" s="29">
        <f>IF(OR($B60="",$A60&lt;36),"",--MID('Key Analysis'!$C56,36,1))</f>
        <v>0</v>
      </c>
      <c r="FS60" s="29">
        <f>IF(OR($B60="",$A60&lt;37),"",--MID('Key Analysis'!$C56,37,1))</f>
        <v>1</v>
      </c>
      <c r="FT60" s="29">
        <f>IF(OR($B60="",$A60&lt;38),"",--MID('Key Analysis'!$C56,38,1))</f>
        <v>1</v>
      </c>
      <c r="FU60" s="29">
        <f>IF(OR($B60="",$A60&lt;39),"",--MID('Key Analysis'!$C56,39,1))</f>
        <v>1</v>
      </c>
      <c r="FV60" s="29">
        <f>IF(OR($B60="",$A60&lt;40),"",--MID('Key Analysis'!$C56,40,1))</f>
        <v>1</v>
      </c>
      <c r="FW60" s="29">
        <f>IF(OR($B60="",$A60&lt;41),"",--MID('Key Analysis'!$C56,41,1))</f>
        <v>1</v>
      </c>
      <c r="FX60" s="29">
        <f>IF(OR($B60="",$A60&lt;42),"",--MID('Key Analysis'!$C56,42,1))</f>
        <v>1</v>
      </c>
      <c r="FY60" s="29">
        <f>IF(OR($B60="",$A60&lt;43),"",--MID('Key Analysis'!$C56,43,1))</f>
        <v>0</v>
      </c>
      <c r="FZ60" s="29">
        <f>IF(OR($B60="",$A60&lt;44),"",--MID('Key Analysis'!$C56,44,1))</f>
        <v>0</v>
      </c>
      <c r="GA60" s="29">
        <f>IF(OR($B60="",$A60&lt;45),"",--MID('Key Analysis'!$C56,45,1))</f>
        <v>0</v>
      </c>
      <c r="GB60" s="29">
        <f>IF(OR($B60="",$A60&lt;46),"",--MID('Key Analysis'!$C56,46,1))</f>
        <v>0</v>
      </c>
      <c r="GC60" s="29">
        <f>IF(OR($B60="",$A60&lt;47),"",--MID('Key Analysis'!$C56,47,1))</f>
        <v>1</v>
      </c>
      <c r="GD60" s="29">
        <f>IF(OR($B60="",$A60&lt;48),"",--MID('Key Analysis'!$C56,48,1))</f>
        <v>0</v>
      </c>
      <c r="GE60" s="29">
        <f>IF(OR($B60="",$A60&lt;49),"",--MID('Key Analysis'!$C56,49,1))</f>
        <v>0</v>
      </c>
      <c r="GF60" s="29">
        <f>IF(OR($B60="",$A60&lt;50),"",--MID('Key Analysis'!$C56,50,1))</f>
        <v>0</v>
      </c>
      <c r="GG60" s="29">
        <f>IF(OR($B60="",$A60&lt;51),"",--MID('Key Analysis'!$C56,51,1))</f>
        <v>1</v>
      </c>
      <c r="GH60" s="29">
        <f>IF(OR($B60="",$A60&lt;52),"",--MID('Key Analysis'!$C56,52,1))</f>
        <v>0</v>
      </c>
      <c r="GI60" s="29">
        <f>IF(OR($B60="",$A60&lt;53),"",--MID('Key Analysis'!$C56,53,1))</f>
        <v>1</v>
      </c>
      <c r="GJ60" s="29">
        <f>IF(OR($B60="",$A60&lt;54),"",--MID('Key Analysis'!$C56,54,1))</f>
        <v>0</v>
      </c>
      <c r="GK60" s="29">
        <f>IF(OR($B60="",$A60&lt;55),"",--MID('Key Analysis'!$C56,55,1))</f>
        <v>0</v>
      </c>
      <c r="GL60" s="29" t="str">
        <f>IF(OR($B60="",$A60&lt;56),"",--MID('Key Analysis'!$C56,56,1))</f>
        <v/>
      </c>
      <c r="GM60" s="29" t="str">
        <f>IF(OR($B60="",$A60&lt;57),"",--MID('Key Analysis'!$C56,57,1))</f>
        <v/>
      </c>
      <c r="GN60" s="29" t="str">
        <f>IF(OR($B60="",$A60&lt;58),"",--MID('Key Analysis'!$C56,58,1))</f>
        <v/>
      </c>
      <c r="GO60" s="29" t="str">
        <f>IF(OR($B60="",$A60&lt;59),"",--MID('Key Analysis'!$C56,59,1))</f>
        <v/>
      </c>
      <c r="GP60" s="29" t="str">
        <f>IF(OR($B60="",$A60&lt;60),"",--MID('Key Analysis'!$C56,60,1))</f>
        <v/>
      </c>
      <c r="GQ60" s="29" t="str">
        <f>IF(OR($B60="",$A60&lt;61),"",--MID('Key Analysis'!$C56,61,1))</f>
        <v/>
      </c>
      <c r="GR60" s="29" t="str">
        <f>IF(OR($B60="",$A60&lt;62),"",--MID('Key Analysis'!$C56,62,1))</f>
        <v/>
      </c>
      <c r="GS60" s="29" t="str">
        <f>IF(OR($B60="",$A60&lt;63),"",--MID('Key Analysis'!$C56,63,1))</f>
        <v/>
      </c>
      <c r="GT60" s="29" t="str">
        <f>IF(OR($B60="",$A60&lt;64),"",--MID('Key Analysis'!$C56,64,1))</f>
        <v/>
      </c>
      <c r="GU60" s="29" t="str">
        <f>IF(OR($B60="",$A60&lt;65),"",--MID('Key Analysis'!$C56,65,1))</f>
        <v/>
      </c>
      <c r="GV60" s="29" t="str">
        <f>IF(OR($B60="",$A60&lt;66),"",--MID('Key Analysis'!$C56,66,1))</f>
        <v/>
      </c>
      <c r="GW60" s="29" t="str">
        <f>IF(OR($B60="",$A60&lt;67),"",--MID('Key Analysis'!$C56,67,1))</f>
        <v/>
      </c>
      <c r="GX60" s="29" t="str">
        <f>IF(OR($B60="",$A60&lt;68),"",--MID('Key Analysis'!$C56,68,1))</f>
        <v/>
      </c>
      <c r="GY60" s="29" t="str">
        <f>IF(OR($B60="",$A60&lt;69),"",--MID('Key Analysis'!$C56,69,1))</f>
        <v/>
      </c>
      <c r="GZ60" s="29" t="str">
        <f>IF(OR($B60="",$A60&lt;70),"",--MID('Key Analysis'!$C56,70,1))</f>
        <v/>
      </c>
      <c r="HA60" s="29" t="str">
        <f>IF(OR($B60="",$A60&lt;71),"",--MID('Key Analysis'!$C56,71,1))</f>
        <v/>
      </c>
      <c r="HB60" s="29" t="str">
        <f>IF(OR($B60="",$A60&lt;72),"",--MID('Key Analysis'!$C56,72,1))</f>
        <v/>
      </c>
      <c r="HC60" s="29" t="str">
        <f>IF(OR($B60="",$A60&lt;73),"",--MID('Key Analysis'!$C56,73,1))</f>
        <v/>
      </c>
      <c r="HD60" s="29" t="str">
        <f>IF(OR($B60="",$A60&lt;74),"",--MID('Key Analysis'!$C56,74,1))</f>
        <v/>
      </c>
      <c r="HE60" s="29" t="str">
        <f>IF(OR($B60="",$A60&lt;75),"",--MID('Key Analysis'!$C56,75,1))</f>
        <v/>
      </c>
      <c r="HF60" s="29" t="str">
        <f>IF(OR($B60="",$A60&lt;76),"",--MID('Key Analysis'!$C56,76,1))</f>
        <v/>
      </c>
      <c r="HG60" s="29" t="str">
        <f>IF(OR($B60="",$A60&lt;77),"",--MID('Key Analysis'!$C56,77,1))</f>
        <v/>
      </c>
      <c r="HH60" s="29" t="str">
        <f>IF(OR($B60="",$A60&lt;78),"",--MID('Key Analysis'!$C56,78,1))</f>
        <v/>
      </c>
      <c r="HI60" s="29" t="str">
        <f>IF(OR($B60="",$A60&lt;79),"",--MID('Key Analysis'!$C56,79,1))</f>
        <v/>
      </c>
      <c r="HJ60" s="29" t="str">
        <f>IF(OR($B60="",$A60&lt;80),"",--MID('Key Analysis'!$C56,80,1))</f>
        <v/>
      </c>
      <c r="HK60" s="29" t="str">
        <f>IF(OR($B60="",$A60&lt;81),"",--MID('Key Analysis'!$C56,81,1))</f>
        <v/>
      </c>
      <c r="HL60" s="29" t="str">
        <f>IF(OR($B60="",$A60&lt;82),"",--MID('Key Analysis'!$C56,82,1))</f>
        <v/>
      </c>
      <c r="HM60" s="29" t="str">
        <f>IF(OR($B60="",$A60&lt;83),"",--MID('Key Analysis'!$C56,83,1))</f>
        <v/>
      </c>
      <c r="HN60" s="29" t="str">
        <f>IF(OR($B60="",$A60&lt;84),"",--MID('Key Analysis'!$C56,84,1))</f>
        <v/>
      </c>
      <c r="HO60" s="29" t="str">
        <f>IF(OR($B60="",$A60&lt;85),"",--MID('Key Analysis'!$C56,85,1))</f>
        <v/>
      </c>
      <c r="HP60" s="29" t="str">
        <f>IF(OR($B60="",$A60&lt;86),"",--MID('Key Analysis'!$C56,86,1))</f>
        <v/>
      </c>
      <c r="HQ60" s="29" t="str">
        <f>IF(OR($B60="",$A60&lt;87),"",--MID('Key Analysis'!$C56,87,1))</f>
        <v/>
      </c>
      <c r="HR60" s="29" t="str">
        <f>IF(OR($B60="",$A60&lt;88),"",--MID('Key Analysis'!$C56,88,1))</f>
        <v/>
      </c>
      <c r="HS60" s="29" t="str">
        <f>IF(OR($B60="",$A60&lt;89),"",--MID('Key Analysis'!$C56,89,1))</f>
        <v/>
      </c>
      <c r="HT60" s="29" t="str">
        <f>IF(OR($B60="",$A60&lt;90),"",--MID('Key Analysis'!$C56,90,1))</f>
        <v/>
      </c>
      <c r="HU60" s="29" t="str">
        <f>IF(OR($B60="",$A60&lt;91),"",--MID('Key Analysis'!$C56,91,1))</f>
        <v/>
      </c>
      <c r="HV60" s="29" t="str">
        <f>IF(OR($B60="",$A60&lt;92),"",--MID('Key Analysis'!$C56,92,1))</f>
        <v/>
      </c>
      <c r="HW60" s="29" t="str">
        <f>IF(OR($B60="",$A60&lt;93),"",--MID('Key Analysis'!$C56,93,1))</f>
        <v/>
      </c>
      <c r="HX60" s="29" t="str">
        <f>IF(OR($B60="",$A60&lt;94),"",--MID('Key Analysis'!$C56,94,1))</f>
        <v/>
      </c>
      <c r="HY60" s="29" t="str">
        <f>IF(OR($B60="",$A60&lt;95),"",--MID('Key Analysis'!$C56,95,1))</f>
        <v/>
      </c>
      <c r="HZ60" s="29" t="str">
        <f>IF(OR($B60="",$A60&lt;96),"",--MID('Key Analysis'!$C56,96,1))</f>
        <v/>
      </c>
      <c r="IA60" s="29" t="str">
        <f>IF(OR($B60="",$A60&lt;97),"",--MID('Key Analysis'!$C56,97,1))</f>
        <v/>
      </c>
      <c r="IB60" s="29" t="str">
        <f>IF(OR($B60="",$A60&lt;98),"",--MID('Key Analysis'!$C56,98,1))</f>
        <v/>
      </c>
      <c r="IC60" s="29" t="str">
        <f>IF(OR($B60="",$A60&lt;99),"",--MID('Key Analysis'!$C56,99,1))</f>
        <v/>
      </c>
      <c r="ID60" s="29" t="str">
        <f>IF(OR($B60="",$A60&lt;100),"",--MID('Key Analysis'!$C56,100,1))</f>
        <v/>
      </c>
      <c r="IE60" s="29" t="str">
        <f>IF(OR($B60="",$A60&lt;101),"",--MID('Key Analysis'!$C56,101,1))</f>
        <v/>
      </c>
      <c r="IF60" s="29" t="str">
        <f>IF(OR($B60="",$A60&lt;102),"",--MID('Key Analysis'!$C56,102,1))</f>
        <v/>
      </c>
      <c r="IG60" s="29" t="str">
        <f>IF(OR($B60="",$A60&lt;103),"",--MID('Key Analysis'!$C56,103,1))</f>
        <v/>
      </c>
      <c r="IH60" s="29" t="str">
        <f>IF(OR($B60="",$A60&lt;104),"",--MID('Key Analysis'!$C56,104,1))</f>
        <v/>
      </c>
      <c r="II60" s="29" t="str">
        <f>IF(OR($B60="",$A60&lt;105),"",--MID('Key Analysis'!$C56,105,1))</f>
        <v/>
      </c>
      <c r="IJ60" s="29" t="str">
        <f>IF(OR($B60="",$A60&lt;106),"",--MID('Key Analysis'!$C56,106,1))</f>
        <v/>
      </c>
      <c r="IK60" s="29" t="str">
        <f>IF(OR($B60="",$A60&lt;107),"",--MID('Key Analysis'!$C56,107,1))</f>
        <v/>
      </c>
      <c r="IL60" s="29" t="str">
        <f>IF(OR($B60="",$A60&lt;108),"",--MID('Key Analysis'!$C56,108,1))</f>
        <v/>
      </c>
      <c r="IM60" s="29" t="str">
        <f>IF(OR($B60="",$A60&lt;109),"",--MID('Key Analysis'!$C56,109,1))</f>
        <v/>
      </c>
      <c r="IN60" s="29" t="str">
        <f>IF(OR($B60="",$A60&lt;110),"",--MID('Key Analysis'!$C56,110,1))</f>
        <v/>
      </c>
      <c r="IO60" s="29" t="str">
        <f>IF(OR($B60="",$A60&lt;111),"",--MID('Key Analysis'!$C56,111,1))</f>
        <v/>
      </c>
      <c r="IP60" s="29" t="str">
        <f>IF(OR($B60="",$A60&lt;112),"",--MID('Key Analysis'!$C56,112,1))</f>
        <v/>
      </c>
      <c r="IQ60" s="29" t="str">
        <f>IF(OR($B60="",$A60&lt;113),"",--MID('Key Analysis'!$C56,113,1))</f>
        <v/>
      </c>
      <c r="IR60" s="29" t="str">
        <f>IF(OR($B60="",$A60&lt;114),"",--MID('Key Analysis'!$C56,114,1))</f>
        <v/>
      </c>
      <c r="IS60" s="29" t="str">
        <f>IF(OR($B60="",$A60&lt;115),"",--MID('Key Analysis'!$C56,115,1))</f>
        <v/>
      </c>
      <c r="IT60" s="29" t="str">
        <f>IF(OR($B60="",$A60&lt;116),"",--MID('Key Analysis'!$C56,116,1))</f>
        <v/>
      </c>
      <c r="IU60" s="29" t="str">
        <f>IF(OR($B60="",$A60&lt;117),"",--MID('Key Analysis'!$C56,117,1))</f>
        <v/>
      </c>
      <c r="IV60" s="29" t="str">
        <f>IF(OR($B60="",$A60&lt;118),"",--MID('Key Analysis'!$C56,118,1))</f>
        <v/>
      </c>
      <c r="IW60" s="29" t="str">
        <f>IF(OR($B60="",$A60&lt;119),"",--MID('Key Analysis'!$C56,119,1))</f>
        <v/>
      </c>
      <c r="IX60" s="29" t="str">
        <f>IF(OR($B60="",$A60&lt;120),"",--MID('Key Analysis'!$C56,120,1))</f>
        <v/>
      </c>
      <c r="IY60" s="29" t="str">
        <f>IF(OR($B60="",$A60&lt;121),"",--MID('Key Analysis'!$C56,121,1))</f>
        <v/>
      </c>
      <c r="IZ60" s="29" t="str">
        <f>IF(OR($B60="",$A60&lt;122),"",--MID('Key Analysis'!$C56,122,1))</f>
        <v/>
      </c>
      <c r="JA60" s="29" t="str">
        <f>IF(OR($B60="",$A60&lt;123),"",--MID('Key Analysis'!$C56,123,1))</f>
        <v/>
      </c>
      <c r="JB60" s="29" t="str">
        <f>IF(OR($B60="",$A60&lt;124),"",--MID('Key Analysis'!$C56,124,1))</f>
        <v/>
      </c>
      <c r="JC60" s="29" t="str">
        <f>IF(OR($B60="",$A60&lt;125),"",--MID('Key Analysis'!$C56,125,1))</f>
        <v/>
      </c>
      <c r="JD60" s="29" t="str">
        <f>IF(OR($B60="",$A60&lt;126),"",--MID('Key Analysis'!$C56,126,1))</f>
        <v/>
      </c>
      <c r="JE60" s="29" t="str">
        <f>IF(OR($B60="",$A60&lt;127),"",--MID('Key Analysis'!$C56,127,1))</f>
        <v/>
      </c>
      <c r="JF60" s="29" t="str">
        <f>IF(OR($B60="",$A60&lt;128),"",--MID('Key Analysis'!$C56,128,1))</f>
        <v/>
      </c>
      <c r="JG60" s="29" t="str">
        <f>IF(OR($B60="",$A60&lt;129),"",--MID('Key Analysis'!$C56,129,1))</f>
        <v/>
      </c>
      <c r="JH60" s="29" t="str">
        <f>IF(OR($B60="",$A60&lt;130),"",--MID('Key Analysis'!$C56,130,1))</f>
        <v/>
      </c>
      <c r="JI60" s="29" t="str">
        <f>IF(OR($B60="",$A60&lt;131),"",--MID('Key Analysis'!$C56,131,1))</f>
        <v/>
      </c>
      <c r="JJ60" s="29" t="str">
        <f>IF(OR($B60="",$A60&lt;132),"",--MID('Key Analysis'!$C56,132,1))</f>
        <v/>
      </c>
      <c r="JK60" s="29" t="str">
        <f>IF(OR($B60="",$A60&lt;133),"",--MID('Key Analysis'!$C56,133,1))</f>
        <v/>
      </c>
      <c r="JL60" s="29" t="str">
        <f>IF(OR($B60="",$A60&lt;134),"",--MID('Key Analysis'!$C56,134,1))</f>
        <v/>
      </c>
      <c r="JM60" s="29" t="str">
        <f>IF(OR($B60="",$A60&lt;135),"",--MID('Key Analysis'!$C56,135,1))</f>
        <v/>
      </c>
    </row>
    <row r="61" spans="1:273" x14ac:dyDescent="0.25">
      <c r="A61" s="21">
        <f>'Key Analysis'!A57</f>
        <v>56</v>
      </c>
      <c r="B61" s="30" t="str">
        <f>'Key Analysis'!B57</f>
        <v>9d18b63ac4ffdf</v>
      </c>
      <c r="C61" s="29">
        <f>IF(OR($B61="",$A61&lt;=0),"",--MID('Key Analysis'!$C57,$A61-0,1))</f>
        <v>1</v>
      </c>
      <c r="D61" s="29">
        <f>IF(OR($B61="",$A61&lt;=1),"",--MID('Key Analysis'!$C57,$A61-1,1))</f>
        <v>1</v>
      </c>
      <c r="E61" s="29">
        <f>IF(OR($B61="",$A61&lt;=2),"",--MID('Key Analysis'!$C57,$A61-2,1))</f>
        <v>1</v>
      </c>
      <c r="F61" s="29">
        <f>IF(OR($B61="",$A61&lt;=3),"",--MID('Key Analysis'!$C57,$A61-3,1))</f>
        <v>1</v>
      </c>
      <c r="G61" s="29">
        <f>IF(OR($B61="",$A61&lt;=4),"",--MID('Key Analysis'!$C57,$A61-4,1))</f>
        <v>1</v>
      </c>
      <c r="H61" s="29">
        <f>IF(OR($B61="",$A61&lt;=5),"",--MID('Key Analysis'!$C57,$A61-5,1))</f>
        <v>0</v>
      </c>
      <c r="I61" s="29">
        <f>IF(OR($B61="",$A61&lt;=6),"",--MID('Key Analysis'!$C57,$A61-6,1))</f>
        <v>1</v>
      </c>
      <c r="J61" s="29">
        <f>IF(OR($B61="",$A61&lt;=7),"",--MID('Key Analysis'!$C57,$A61-7,1))</f>
        <v>1</v>
      </c>
      <c r="K61" s="29">
        <f>IF(OR($B61="",$A61&lt;=8),"",--MID('Key Analysis'!$C57,$A61-8,1))</f>
        <v>1</v>
      </c>
      <c r="L61" s="29">
        <f>IF(OR($B61="",$A61&lt;=9),"",--MID('Key Analysis'!$C57,$A61-9,1))</f>
        <v>1</v>
      </c>
      <c r="M61" s="29">
        <f>IF(OR($B61="",$A61&lt;=10),"",--MID('Key Analysis'!$C57,$A61-10,1))</f>
        <v>1</v>
      </c>
      <c r="N61" s="29">
        <f>IF(OR($B61="",$A61&lt;=11),"",--MID('Key Analysis'!$C57,$A61-11,1))</f>
        <v>1</v>
      </c>
      <c r="O61" s="29">
        <f>IF(OR($B61="",$A61&lt;=12),"",--MID('Key Analysis'!$C57,$A61-12,1))</f>
        <v>1</v>
      </c>
      <c r="P61" s="29">
        <f>IF(OR($B61="",$A61&lt;=13),"",--MID('Key Analysis'!$C57,$A61-13,1))</f>
        <v>1</v>
      </c>
      <c r="Q61" s="29">
        <f>IF(OR($B61="",$A61&lt;=14),"",--MID('Key Analysis'!$C57,$A61-14,1))</f>
        <v>1</v>
      </c>
      <c r="R61" s="29">
        <f>IF(OR($B61="",$A61&lt;=15),"",--MID('Key Analysis'!$C57,$A61-15,1))</f>
        <v>1</v>
      </c>
      <c r="S61" s="29">
        <f>IF(OR($B61="",$A61&lt;=16),"",--MID('Key Analysis'!$C57,$A61-16,1))</f>
        <v>0</v>
      </c>
      <c r="T61" s="29">
        <f>IF(OR($B61="",$A61&lt;=17),"",--MID('Key Analysis'!$C57,$A61-17,1))</f>
        <v>0</v>
      </c>
      <c r="U61" s="29">
        <f>IF(OR($B61="",$A61&lt;=18),"",--MID('Key Analysis'!$C57,$A61-18,1))</f>
        <v>1</v>
      </c>
      <c r="V61" s="29">
        <f>IF(OR($B61="",$A61&lt;=19),"",--MID('Key Analysis'!$C57,$A61-19,1))</f>
        <v>0</v>
      </c>
      <c r="W61" s="29">
        <f>IF(OR($B61="",$A61&lt;=20),"",--MID('Key Analysis'!$C57,$A61-20,1))</f>
        <v>0</v>
      </c>
      <c r="X61" s="29">
        <f>IF(OR($B61="",$A61&lt;=21),"",--MID('Key Analysis'!$C57,$A61-21,1))</f>
        <v>0</v>
      </c>
      <c r="Y61" s="29">
        <f>IF(OR($B61="",$A61&lt;=22),"",--MID('Key Analysis'!$C57,$A61-22,1))</f>
        <v>1</v>
      </c>
      <c r="Z61" s="29">
        <f>IF(OR($B61="",$A61&lt;=23),"",--MID('Key Analysis'!$C57,$A61-23,1))</f>
        <v>1</v>
      </c>
      <c r="AA61" s="29">
        <f>IF(OR($B61="",$A61&lt;=24),"",--MID('Key Analysis'!$C57,$A61-24,1))</f>
        <v>0</v>
      </c>
      <c r="AB61" s="29">
        <f>IF(OR($B61="",$A61&lt;=25),"",--MID('Key Analysis'!$C57,$A61-25,1))</f>
        <v>1</v>
      </c>
      <c r="AC61" s="29">
        <f>IF(OR($B61="",$A61&lt;=26),"",--MID('Key Analysis'!$C57,$A61-26,1))</f>
        <v>0</v>
      </c>
      <c r="AD61" s="29">
        <f>IF(OR($B61="",$A61&lt;=27),"",--MID('Key Analysis'!$C57,$A61-27,1))</f>
        <v>1</v>
      </c>
      <c r="AE61" s="29">
        <f>IF(OR($B61="",$A61&lt;=28),"",--MID('Key Analysis'!$C57,$A61-28,1))</f>
        <v>1</v>
      </c>
      <c r="AF61" s="29">
        <f>IF(OR($B61="",$A61&lt;=29),"",--MID('Key Analysis'!$C57,$A61-29,1))</f>
        <v>1</v>
      </c>
      <c r="AG61" s="29">
        <f>IF(OR($B61="",$A61&lt;=30),"",--MID('Key Analysis'!$C57,$A61-30,1))</f>
        <v>0</v>
      </c>
      <c r="AH61" s="29">
        <f>IF(OR($B61="",$A61&lt;=31),"",--MID('Key Analysis'!$C57,$A61-31,1))</f>
        <v>0</v>
      </c>
      <c r="AI61" s="29">
        <f>IF(OR($B61="",$A61&lt;=32),"",--MID('Key Analysis'!$C57,$A61-32,1))</f>
        <v>0</v>
      </c>
      <c r="AJ61" s="29">
        <f>IF(OR($B61="",$A61&lt;=33),"",--MID('Key Analysis'!$C57,$A61-33,1))</f>
        <v>1</v>
      </c>
      <c r="AK61" s="29">
        <f>IF(OR($B61="",$A61&lt;=34),"",--MID('Key Analysis'!$C57,$A61-34,1))</f>
        <v>1</v>
      </c>
      <c r="AL61" s="29">
        <f>IF(OR($B61="",$A61&lt;=35),"",--MID('Key Analysis'!$C57,$A61-35,1))</f>
        <v>0</v>
      </c>
      <c r="AM61" s="29">
        <f>IF(OR($B61="",$A61&lt;=36),"",--MID('Key Analysis'!$C57,$A61-36,1))</f>
        <v>1</v>
      </c>
      <c r="AN61" s="29">
        <f>IF(OR($B61="",$A61&lt;=37),"",--MID('Key Analysis'!$C57,$A61-37,1))</f>
        <v>1</v>
      </c>
      <c r="AO61" s="29">
        <f>IF(OR($B61="",$A61&lt;=38),"",--MID('Key Analysis'!$C57,$A61-38,1))</f>
        <v>0</v>
      </c>
      <c r="AP61" s="29">
        <f>IF(OR($B61="",$A61&lt;=39),"",--MID('Key Analysis'!$C57,$A61-39,1))</f>
        <v>1</v>
      </c>
      <c r="AQ61" s="29">
        <f>IF(OR($B61="",$A61&lt;=40),"",--MID('Key Analysis'!$C57,$A61-40,1))</f>
        <v>0</v>
      </c>
      <c r="AR61" s="29">
        <f>IF(OR($B61="",$A61&lt;=41),"",--MID('Key Analysis'!$C57,$A61-41,1))</f>
        <v>0</v>
      </c>
      <c r="AS61" s="29">
        <f>IF(OR($B61="",$A61&lt;=42),"",--MID('Key Analysis'!$C57,$A61-42,1))</f>
        <v>0</v>
      </c>
      <c r="AT61" s="29">
        <f>IF(OR($B61="",$A61&lt;=43),"",--MID('Key Analysis'!$C57,$A61-43,1))</f>
        <v>1</v>
      </c>
      <c r="AU61" s="29">
        <f>IF(OR($B61="",$A61&lt;=44),"",--MID('Key Analysis'!$C57,$A61-44,1))</f>
        <v>1</v>
      </c>
      <c r="AV61" s="29">
        <f>IF(OR($B61="",$A61&lt;=45),"",--MID('Key Analysis'!$C57,$A61-45,1))</f>
        <v>0</v>
      </c>
      <c r="AW61" s="29">
        <f>IF(OR($B61="",$A61&lt;=46),"",--MID('Key Analysis'!$C57,$A61-46,1))</f>
        <v>0</v>
      </c>
      <c r="AX61" s="29">
        <f>IF(OR($B61="",$A61&lt;=47),"",--MID('Key Analysis'!$C57,$A61-47,1))</f>
        <v>0</v>
      </c>
      <c r="AY61" s="29">
        <f>IF(OR($B61="",$A61&lt;=48),"",--MID('Key Analysis'!$C57,$A61-48,1))</f>
        <v>1</v>
      </c>
      <c r="AZ61" s="29">
        <f>IF(OR($B61="",$A61&lt;=49),"",--MID('Key Analysis'!$C57,$A61-49,1))</f>
        <v>0</v>
      </c>
      <c r="BA61" s="29">
        <f>IF(OR($B61="",$A61&lt;=50),"",--MID('Key Analysis'!$C57,$A61-50,1))</f>
        <v>1</v>
      </c>
      <c r="BB61" s="29">
        <f>IF(OR($B61="",$A61&lt;=51),"",--MID('Key Analysis'!$C57,$A61-51,1))</f>
        <v>1</v>
      </c>
      <c r="BC61" s="29">
        <f>IF(OR($B61="",$A61&lt;=52),"",--MID('Key Analysis'!$C57,$A61-52,1))</f>
        <v>1</v>
      </c>
      <c r="BD61" s="29">
        <f>IF(OR($B61="",$A61&lt;=53),"",--MID('Key Analysis'!$C57,$A61-53,1))</f>
        <v>0</v>
      </c>
      <c r="BE61" s="29">
        <f>IF(OR($B61="",$A61&lt;=54),"",--MID('Key Analysis'!$C57,$A61-54,1))</f>
        <v>0</v>
      </c>
      <c r="BF61" s="29">
        <f>IF(OR($B61="",$A61&lt;=55),"",--MID('Key Analysis'!$C57,$A61-55,1))</f>
        <v>1</v>
      </c>
      <c r="BG61" s="29" t="str">
        <f>IF(OR($B61="",$A61&lt;=56),"",--MID('Key Analysis'!$C57,$A61-56,1))</f>
        <v/>
      </c>
      <c r="BH61" s="29" t="str">
        <f>IF(OR($B61="",$A61&lt;=57),"",--MID('Key Analysis'!$C57,$A61-57,1))</f>
        <v/>
      </c>
      <c r="BI61" s="29" t="str">
        <f>IF(OR($B61="",$A61&lt;=58),"",--MID('Key Analysis'!$C57,$A61-58,1))</f>
        <v/>
      </c>
      <c r="BJ61" s="29" t="str">
        <f>IF(OR($B61="",$A61&lt;=59),"",--MID('Key Analysis'!$C57,$A61-59,1))</f>
        <v/>
      </c>
      <c r="BK61" s="29" t="str">
        <f>IF(OR($B61="",$A61&lt;=60),"",--MID('Key Analysis'!$C57,$A61-60,1))</f>
        <v/>
      </c>
      <c r="BL61" s="29" t="str">
        <f>IF(OR($B61="",$A61&lt;=61),"",--MID('Key Analysis'!$C57,$A61-61,1))</f>
        <v/>
      </c>
      <c r="BM61" s="29" t="str">
        <f>IF(OR($B61="",$A61&lt;=62),"",--MID('Key Analysis'!$C57,$A61-62,1))</f>
        <v/>
      </c>
      <c r="BN61" s="29" t="str">
        <f>IF(OR($B61="",$A61&lt;=63),"",--MID('Key Analysis'!$C57,$A61-63,1))</f>
        <v/>
      </c>
      <c r="BO61" s="29" t="str">
        <f>IF(OR($B61="",$A61&lt;=64),"",--MID('Key Analysis'!$C57,$A61-64,1))</f>
        <v/>
      </c>
      <c r="BP61" s="29" t="str">
        <f>IF(OR($B61="",$A61&lt;=65),"",--MID('Key Analysis'!$C57,$A61-65,1))</f>
        <v/>
      </c>
      <c r="BQ61" s="29" t="str">
        <f>IF(OR($B61="",$A61&lt;=66),"",--MID('Key Analysis'!$C57,$A61-66,1))</f>
        <v/>
      </c>
      <c r="BR61" s="29" t="str">
        <f>IF(OR($B61="",$A61&lt;=67),"",--MID('Key Analysis'!$C57,$A61-67,1))</f>
        <v/>
      </c>
      <c r="BS61" s="29" t="str">
        <f>IF(OR($B61="",$A61&lt;=68),"",--MID('Key Analysis'!$C57,$A61-68,1))</f>
        <v/>
      </c>
      <c r="BT61" s="29" t="str">
        <f>IF(OR($B61="",$A61&lt;=69),"",--MID('Key Analysis'!$C57,$A61-69,1))</f>
        <v/>
      </c>
      <c r="BU61" s="29" t="str">
        <f>IF(OR($B61="",$A61&lt;=70),"",--MID('Key Analysis'!$C57,$A61-70,1))</f>
        <v/>
      </c>
      <c r="BV61" s="29" t="str">
        <f>IF(OR($B61="",$A61&lt;=71),"",--MID('Key Analysis'!$C57,$A61-71,1))</f>
        <v/>
      </c>
      <c r="BW61" s="29" t="str">
        <f>IF(OR($B61="",$A61&lt;=72),"",--MID('Key Analysis'!$C57,$A61-72,1))</f>
        <v/>
      </c>
      <c r="BX61" s="29" t="str">
        <f>IF(OR($B61="",$A61&lt;=73),"",--MID('Key Analysis'!$C57,$A61-73,1))</f>
        <v/>
      </c>
      <c r="BY61" s="29" t="str">
        <f>IF(OR($B61="",$A61&lt;=74),"",--MID('Key Analysis'!$C57,$A61-74,1))</f>
        <v/>
      </c>
      <c r="BZ61" s="29" t="str">
        <f>IF(OR($B61="",$A61&lt;=75),"",--MID('Key Analysis'!$C57,$A61-75,1))</f>
        <v/>
      </c>
      <c r="CA61" s="29" t="str">
        <f>IF(OR($B61="",$A61&lt;=76),"",--MID('Key Analysis'!$C57,$A61-76,1))</f>
        <v/>
      </c>
      <c r="CB61" s="29" t="str">
        <f>IF(OR($B61="",$A61&lt;=77),"",--MID('Key Analysis'!$C57,$A61-77,1))</f>
        <v/>
      </c>
      <c r="CC61" s="29" t="str">
        <f>IF(OR($B61="",$A61&lt;=78),"",--MID('Key Analysis'!$C57,$A61-78,1))</f>
        <v/>
      </c>
      <c r="CD61" s="29" t="str">
        <f>IF(OR($B61="",$A61&lt;=79),"",--MID('Key Analysis'!$C57,$A61-79,1))</f>
        <v/>
      </c>
      <c r="CE61" s="29" t="str">
        <f>IF(OR($B61="",$A61&lt;=80),"",--MID('Key Analysis'!$C57,$A61-80,1))</f>
        <v/>
      </c>
      <c r="CF61" s="29" t="str">
        <f>IF(OR($B61="",$A61&lt;=81),"",--MID('Key Analysis'!$C57,$A61-81,1))</f>
        <v/>
      </c>
      <c r="CG61" s="29" t="str">
        <f>IF(OR($B61="",$A61&lt;=82),"",--MID('Key Analysis'!$C57,$A61-82,1))</f>
        <v/>
      </c>
      <c r="CH61" s="29" t="str">
        <f>IF(OR($B61="",$A61&lt;=83),"",--MID('Key Analysis'!$C57,$A61-83,1))</f>
        <v/>
      </c>
      <c r="CI61" s="29" t="str">
        <f>IF(OR($B61="",$A61&lt;=84),"",--MID('Key Analysis'!$C57,$A61-84,1))</f>
        <v/>
      </c>
      <c r="CJ61" s="29" t="str">
        <f>IF(OR($B61="",$A61&lt;=85),"",--MID('Key Analysis'!$C57,$A61-85,1))</f>
        <v/>
      </c>
      <c r="CK61" s="29" t="str">
        <f>IF(OR($B61="",$A61&lt;=86),"",--MID('Key Analysis'!$C57,$A61-86,1))</f>
        <v/>
      </c>
      <c r="CL61" s="29" t="str">
        <f>IF(OR($B61="",$A61&lt;=87),"",--MID('Key Analysis'!$C57,$A61-87,1))</f>
        <v/>
      </c>
      <c r="CM61" s="29" t="str">
        <f>IF(OR($B61="",$A61&lt;=88),"",--MID('Key Analysis'!$C57,$A61-88,1))</f>
        <v/>
      </c>
      <c r="CN61" s="29" t="str">
        <f>IF(OR($B61="",$A61&lt;=89),"",--MID('Key Analysis'!$C57,$A61-89,1))</f>
        <v/>
      </c>
      <c r="CO61" s="29" t="str">
        <f>IF(OR($B61="",$A61&lt;=90),"",--MID('Key Analysis'!$C57,$A61-90,1))</f>
        <v/>
      </c>
      <c r="CP61" s="29" t="str">
        <f>IF(OR($B61="",$A61&lt;=91),"",--MID('Key Analysis'!$C57,$A61-91,1))</f>
        <v/>
      </c>
      <c r="CQ61" s="29" t="str">
        <f>IF(OR($B61="",$A61&lt;=92),"",--MID('Key Analysis'!$C57,$A61-92,1))</f>
        <v/>
      </c>
      <c r="CR61" s="29" t="str">
        <f>IF(OR($B61="",$A61&lt;=93),"",--MID('Key Analysis'!$C57,$A61-93,1))</f>
        <v/>
      </c>
      <c r="CS61" s="29" t="str">
        <f>IF(OR($B61="",$A61&lt;=94),"",--MID('Key Analysis'!$C57,$A61-94,1))</f>
        <v/>
      </c>
      <c r="CT61" s="29" t="str">
        <f>IF(OR($B61="",$A61&lt;=95),"",--MID('Key Analysis'!$C57,$A61-95,1))</f>
        <v/>
      </c>
      <c r="CU61" s="29" t="str">
        <f>IF(OR($B61="",$A61&lt;=96),"",--MID('Key Analysis'!$C57,$A61-96,1))</f>
        <v/>
      </c>
      <c r="CV61" s="29" t="str">
        <f>IF(OR($B61="",$A61&lt;=97),"",--MID('Key Analysis'!$C57,$A61-97,1))</f>
        <v/>
      </c>
      <c r="CW61" s="29" t="str">
        <f>IF(OR($B61="",$A61&lt;=98),"",--MID('Key Analysis'!$C57,$A61-98,1))</f>
        <v/>
      </c>
      <c r="CX61" s="29" t="str">
        <f>IF(OR($B61="",$A61&lt;=99),"",--MID('Key Analysis'!$C57,$A61-99,1))</f>
        <v/>
      </c>
      <c r="CY61" s="29" t="str">
        <f>IF(OR($B61="",$A61&lt;=100),"",--MID('Key Analysis'!$C57,$A61-100,1))</f>
        <v/>
      </c>
      <c r="CZ61" s="29" t="str">
        <f>IF(OR($B61="",$A61&lt;=101),"",--MID('Key Analysis'!$C57,$A61-101,1))</f>
        <v/>
      </c>
      <c r="DA61" s="29" t="str">
        <f>IF(OR($B61="",$A61&lt;=102),"",--MID('Key Analysis'!$C57,$A61-102,1))</f>
        <v/>
      </c>
      <c r="DB61" s="29" t="str">
        <f>IF(OR($B61="",$A61&lt;=103),"",--MID('Key Analysis'!$C57,$A61-103,1))</f>
        <v/>
      </c>
      <c r="DC61" s="29" t="str">
        <f>IF(OR($B61="",$A61&lt;=104),"",--MID('Key Analysis'!$C57,$A61-104,1))</f>
        <v/>
      </c>
      <c r="DD61" s="29" t="str">
        <f>IF(OR($B61="",$A61&lt;=105),"",--MID('Key Analysis'!$C57,$A61-105,1))</f>
        <v/>
      </c>
      <c r="DE61" s="29" t="str">
        <f>IF(OR($B61="",$A61&lt;=106),"",--MID('Key Analysis'!$C57,$A61-106,1))</f>
        <v/>
      </c>
      <c r="DF61" s="29" t="str">
        <f>IF(OR($B61="",$A61&lt;=107),"",--MID('Key Analysis'!$C57,$A61-107,1))</f>
        <v/>
      </c>
      <c r="DG61" s="29" t="str">
        <f>IF(OR($B61="",$A61&lt;=108),"",--MID('Key Analysis'!$C57,$A61-108,1))</f>
        <v/>
      </c>
      <c r="DH61" s="29" t="str">
        <f>IF(OR($B61="",$A61&lt;=109),"",--MID('Key Analysis'!$C57,$A61-109,1))</f>
        <v/>
      </c>
      <c r="DI61" s="29" t="str">
        <f>IF(OR($B61="",$A61&lt;=110),"",--MID('Key Analysis'!$C57,$A61-110,1))</f>
        <v/>
      </c>
      <c r="DJ61" s="29" t="str">
        <f>IF(OR($B61="",$A61&lt;=111),"",--MID('Key Analysis'!$C57,$A61-111,1))</f>
        <v/>
      </c>
      <c r="DK61" s="29" t="str">
        <f>IF(OR($B61="",$A61&lt;=112),"",--MID('Key Analysis'!$C57,$A61-112,1))</f>
        <v/>
      </c>
      <c r="DL61" s="29" t="str">
        <f>IF(OR($B61="",$A61&lt;=113),"",--MID('Key Analysis'!$C57,$A61-113,1))</f>
        <v/>
      </c>
      <c r="DM61" s="29" t="str">
        <f>IF(OR($B61="",$A61&lt;=114),"",--MID('Key Analysis'!$C57,$A61-114,1))</f>
        <v/>
      </c>
      <c r="DN61" s="29" t="str">
        <f>IF(OR($B61="",$A61&lt;=115),"",--MID('Key Analysis'!$C57,$A61-115,1))</f>
        <v/>
      </c>
      <c r="DO61" s="29" t="str">
        <f>IF(OR($B61="",$A61&lt;=116),"",--MID('Key Analysis'!$C57,$A61-116,1))</f>
        <v/>
      </c>
      <c r="DP61" s="29" t="str">
        <f>IF(OR($B61="",$A61&lt;=117),"",--MID('Key Analysis'!$C57,$A61-117,1))</f>
        <v/>
      </c>
      <c r="DQ61" s="29" t="str">
        <f>IF(OR($B61="",$A61&lt;=118),"",--MID('Key Analysis'!$C57,$A61-118,1))</f>
        <v/>
      </c>
      <c r="DR61" s="29" t="str">
        <f>IF(OR($B61="",$A61&lt;=119),"",--MID('Key Analysis'!$C57,$A61-119,1))</f>
        <v/>
      </c>
      <c r="DS61" s="29" t="str">
        <f>IF(OR($B61="",$A61&lt;=120),"",--MID('Key Analysis'!$C57,$A61-120,1))</f>
        <v/>
      </c>
      <c r="DT61" s="29" t="str">
        <f>IF(OR($B61="",$A61&lt;=121),"",--MID('Key Analysis'!$C57,$A61-121,1))</f>
        <v/>
      </c>
      <c r="DU61" s="29" t="str">
        <f>IF(OR($B61="",$A61&lt;=122),"",--MID('Key Analysis'!$C57,$A61-122,1))</f>
        <v/>
      </c>
      <c r="DV61" s="29" t="str">
        <f>IF(OR($B61="",$A61&lt;=123),"",--MID('Key Analysis'!$C57,$A61-123,1))</f>
        <v/>
      </c>
      <c r="DW61" s="29" t="str">
        <f>IF(OR($B61="",$A61&lt;=124),"",--MID('Key Analysis'!$C57,$A61-124,1))</f>
        <v/>
      </c>
      <c r="DX61" s="29" t="str">
        <f>IF(OR($B61="",$A61&lt;=125),"",--MID('Key Analysis'!$C57,$A61-125,1))</f>
        <v/>
      </c>
      <c r="DY61" s="29" t="str">
        <f>IF(OR($B61="",$A61&lt;=126),"",--MID('Key Analysis'!$C57,$A61-126,1))</f>
        <v/>
      </c>
      <c r="DZ61" s="29" t="str">
        <f>IF(OR($B61="",$A61&lt;=127),"",--MID('Key Analysis'!$C57,$A61-127,1))</f>
        <v/>
      </c>
      <c r="EA61" s="29" t="str">
        <f>IF(OR($B61="",$A61&lt;=128),"",--MID('Key Analysis'!$C57,$A61-128,1))</f>
        <v/>
      </c>
      <c r="EB61" s="29" t="str">
        <f>IF(OR($B61="",$A61&lt;=129),"",--MID('Key Analysis'!$C57,$A61-129,1))</f>
        <v/>
      </c>
      <c r="EC61" s="29" t="str">
        <f>IF(OR($B61="",$A61&lt;=130),"",--MID('Key Analysis'!$C57,$A61-130,1))</f>
        <v/>
      </c>
      <c r="ED61" s="29" t="str">
        <f>IF(OR($B61="",$A61&lt;=131),"",--MID('Key Analysis'!$C57,$A61-131,1))</f>
        <v/>
      </c>
      <c r="EE61" s="29" t="str">
        <f>IF(OR($B61="",$A61&lt;=132),"",--MID('Key Analysis'!$C57,$A61-132,1))</f>
        <v/>
      </c>
      <c r="EF61" s="29" t="str">
        <f>IF(OR($B61="",$A61&lt;=133),"",--MID('Key Analysis'!$C57,$A61-133,1))</f>
        <v/>
      </c>
      <c r="EG61" s="29" t="str">
        <f>IF(OR($B61="",$A61&lt;=134),"",--MID('Key Analysis'!$C57,$A61-134,1))</f>
        <v/>
      </c>
      <c r="EH61" s="29"/>
      <c r="EI61" s="29">
        <f>IF(OR($B61="",$A61&lt;1),"",--MID('Key Analysis'!$C57,1,1))</f>
        <v>1</v>
      </c>
      <c r="EJ61" s="29">
        <f>IF(OR($B61="",$A61&lt;2),"",--MID('Key Analysis'!$C57,2,1))</f>
        <v>0</v>
      </c>
      <c r="EK61" s="29">
        <f>IF(OR($B61="",$A61&lt;3),"",--MID('Key Analysis'!$C57,3,1))</f>
        <v>0</v>
      </c>
      <c r="EL61" s="29">
        <f>IF(OR($B61="",$A61&lt;4),"",--MID('Key Analysis'!$C57,4,1))</f>
        <v>1</v>
      </c>
      <c r="EM61" s="29">
        <f>IF(OR($B61="",$A61&lt;5),"",--MID('Key Analysis'!$C57,5,1))</f>
        <v>1</v>
      </c>
      <c r="EN61" s="29">
        <f>IF(OR($B61="",$A61&lt;6),"",--MID('Key Analysis'!$C57,6,1))</f>
        <v>1</v>
      </c>
      <c r="EO61" s="29">
        <f>IF(OR($B61="",$A61&lt;7),"",--MID('Key Analysis'!$C57,7,1))</f>
        <v>0</v>
      </c>
      <c r="EP61" s="29">
        <f>IF(OR($B61="",$A61&lt;8),"",--MID('Key Analysis'!$C57,8,1))</f>
        <v>1</v>
      </c>
      <c r="EQ61" s="29">
        <f>IF(OR($B61="",$A61&lt;9),"",--MID('Key Analysis'!$C57,9,1))</f>
        <v>0</v>
      </c>
      <c r="ER61" s="29">
        <f>IF(OR($B61="",$A61&lt;10),"",--MID('Key Analysis'!$C57,10,1))</f>
        <v>0</v>
      </c>
      <c r="ES61" s="29">
        <f>IF(OR($B61="",$A61&lt;11),"",--MID('Key Analysis'!$C57,11,1))</f>
        <v>0</v>
      </c>
      <c r="ET61" s="29">
        <f>IF(OR($B61="",$A61&lt;12),"",--MID('Key Analysis'!$C57,12,1))</f>
        <v>1</v>
      </c>
      <c r="EU61" s="29">
        <f>IF(OR($B61="",$A61&lt;13),"",--MID('Key Analysis'!$C57,13,1))</f>
        <v>1</v>
      </c>
      <c r="EV61" s="29">
        <f>IF(OR($B61="",$A61&lt;14),"",--MID('Key Analysis'!$C57,14,1))</f>
        <v>0</v>
      </c>
      <c r="EW61" s="29">
        <f>IF(OR($B61="",$A61&lt;15),"",--MID('Key Analysis'!$C57,15,1))</f>
        <v>0</v>
      </c>
      <c r="EX61" s="29">
        <f>IF(OR($B61="",$A61&lt;16),"",--MID('Key Analysis'!$C57,16,1))</f>
        <v>0</v>
      </c>
      <c r="EY61" s="29">
        <f>IF(OR($B61="",$A61&lt;17),"",--MID('Key Analysis'!$C57,17,1))</f>
        <v>1</v>
      </c>
      <c r="EZ61" s="29">
        <f>IF(OR($B61="",$A61&lt;18),"",--MID('Key Analysis'!$C57,18,1))</f>
        <v>0</v>
      </c>
      <c r="FA61" s="29">
        <f>IF(OR($B61="",$A61&lt;19),"",--MID('Key Analysis'!$C57,19,1))</f>
        <v>1</v>
      </c>
      <c r="FB61" s="29">
        <f>IF(OR($B61="",$A61&lt;20),"",--MID('Key Analysis'!$C57,20,1))</f>
        <v>1</v>
      </c>
      <c r="FC61" s="29">
        <f>IF(OR($B61="",$A61&lt;21),"",--MID('Key Analysis'!$C57,21,1))</f>
        <v>0</v>
      </c>
      <c r="FD61" s="29">
        <f>IF(OR($B61="",$A61&lt;22),"",--MID('Key Analysis'!$C57,22,1))</f>
        <v>1</v>
      </c>
      <c r="FE61" s="29">
        <f>IF(OR($B61="",$A61&lt;23),"",--MID('Key Analysis'!$C57,23,1))</f>
        <v>1</v>
      </c>
      <c r="FF61" s="29">
        <f>IF(OR($B61="",$A61&lt;24),"",--MID('Key Analysis'!$C57,24,1))</f>
        <v>0</v>
      </c>
      <c r="FG61" s="29">
        <f>IF(OR($B61="",$A61&lt;25),"",--MID('Key Analysis'!$C57,25,1))</f>
        <v>0</v>
      </c>
      <c r="FH61" s="29">
        <f>IF(OR($B61="",$A61&lt;26),"",--MID('Key Analysis'!$C57,26,1))</f>
        <v>0</v>
      </c>
      <c r="FI61" s="29">
        <f>IF(OR($B61="",$A61&lt;27),"",--MID('Key Analysis'!$C57,27,1))</f>
        <v>1</v>
      </c>
      <c r="FJ61" s="29">
        <f>IF(OR($B61="",$A61&lt;28),"",--MID('Key Analysis'!$C57,28,1))</f>
        <v>1</v>
      </c>
      <c r="FK61" s="29">
        <f>IF(OR($B61="",$A61&lt;29),"",--MID('Key Analysis'!$C57,29,1))</f>
        <v>1</v>
      </c>
      <c r="FL61" s="29">
        <f>IF(OR($B61="",$A61&lt;30),"",--MID('Key Analysis'!$C57,30,1))</f>
        <v>0</v>
      </c>
      <c r="FM61" s="29">
        <f>IF(OR($B61="",$A61&lt;31),"",--MID('Key Analysis'!$C57,31,1))</f>
        <v>1</v>
      </c>
      <c r="FN61" s="29">
        <f>IF(OR($B61="",$A61&lt;32),"",--MID('Key Analysis'!$C57,32,1))</f>
        <v>0</v>
      </c>
      <c r="FO61" s="29">
        <f>IF(OR($B61="",$A61&lt;33),"",--MID('Key Analysis'!$C57,33,1))</f>
        <v>1</v>
      </c>
      <c r="FP61" s="29">
        <f>IF(OR($B61="",$A61&lt;34),"",--MID('Key Analysis'!$C57,34,1))</f>
        <v>1</v>
      </c>
      <c r="FQ61" s="29">
        <f>IF(OR($B61="",$A61&lt;35),"",--MID('Key Analysis'!$C57,35,1))</f>
        <v>0</v>
      </c>
      <c r="FR61" s="29">
        <f>IF(OR($B61="",$A61&lt;36),"",--MID('Key Analysis'!$C57,36,1))</f>
        <v>0</v>
      </c>
      <c r="FS61" s="29">
        <f>IF(OR($B61="",$A61&lt;37),"",--MID('Key Analysis'!$C57,37,1))</f>
        <v>0</v>
      </c>
      <c r="FT61" s="29">
        <f>IF(OR($B61="",$A61&lt;38),"",--MID('Key Analysis'!$C57,38,1))</f>
        <v>1</v>
      </c>
      <c r="FU61" s="29">
        <f>IF(OR($B61="",$A61&lt;39),"",--MID('Key Analysis'!$C57,39,1))</f>
        <v>0</v>
      </c>
      <c r="FV61" s="29">
        <f>IF(OR($B61="",$A61&lt;40),"",--MID('Key Analysis'!$C57,40,1))</f>
        <v>0</v>
      </c>
      <c r="FW61" s="29">
        <f>IF(OR($B61="",$A61&lt;41),"",--MID('Key Analysis'!$C57,41,1))</f>
        <v>1</v>
      </c>
      <c r="FX61" s="29">
        <f>IF(OR($B61="",$A61&lt;42),"",--MID('Key Analysis'!$C57,42,1))</f>
        <v>1</v>
      </c>
      <c r="FY61" s="29">
        <f>IF(OR($B61="",$A61&lt;43),"",--MID('Key Analysis'!$C57,43,1))</f>
        <v>1</v>
      </c>
      <c r="FZ61" s="29">
        <f>IF(OR($B61="",$A61&lt;44),"",--MID('Key Analysis'!$C57,44,1))</f>
        <v>1</v>
      </c>
      <c r="GA61" s="29">
        <f>IF(OR($B61="",$A61&lt;45),"",--MID('Key Analysis'!$C57,45,1))</f>
        <v>1</v>
      </c>
      <c r="GB61" s="29">
        <f>IF(OR($B61="",$A61&lt;46),"",--MID('Key Analysis'!$C57,46,1))</f>
        <v>1</v>
      </c>
      <c r="GC61" s="29">
        <f>IF(OR($B61="",$A61&lt;47),"",--MID('Key Analysis'!$C57,47,1))</f>
        <v>1</v>
      </c>
      <c r="GD61" s="29">
        <f>IF(OR($B61="",$A61&lt;48),"",--MID('Key Analysis'!$C57,48,1))</f>
        <v>1</v>
      </c>
      <c r="GE61" s="29">
        <f>IF(OR($B61="",$A61&lt;49),"",--MID('Key Analysis'!$C57,49,1))</f>
        <v>1</v>
      </c>
      <c r="GF61" s="29">
        <f>IF(OR($B61="",$A61&lt;50),"",--MID('Key Analysis'!$C57,50,1))</f>
        <v>1</v>
      </c>
      <c r="GG61" s="29">
        <f>IF(OR($B61="",$A61&lt;51),"",--MID('Key Analysis'!$C57,51,1))</f>
        <v>0</v>
      </c>
      <c r="GH61" s="29">
        <f>IF(OR($B61="",$A61&lt;52),"",--MID('Key Analysis'!$C57,52,1))</f>
        <v>1</v>
      </c>
      <c r="GI61" s="29">
        <f>IF(OR($B61="",$A61&lt;53),"",--MID('Key Analysis'!$C57,53,1))</f>
        <v>1</v>
      </c>
      <c r="GJ61" s="29">
        <f>IF(OR($B61="",$A61&lt;54),"",--MID('Key Analysis'!$C57,54,1))</f>
        <v>1</v>
      </c>
      <c r="GK61" s="29">
        <f>IF(OR($B61="",$A61&lt;55),"",--MID('Key Analysis'!$C57,55,1))</f>
        <v>1</v>
      </c>
      <c r="GL61" s="29">
        <f>IF(OR($B61="",$A61&lt;56),"",--MID('Key Analysis'!$C57,56,1))</f>
        <v>1</v>
      </c>
      <c r="GM61" s="29" t="str">
        <f>IF(OR($B61="",$A61&lt;57),"",--MID('Key Analysis'!$C57,57,1))</f>
        <v/>
      </c>
      <c r="GN61" s="29" t="str">
        <f>IF(OR($B61="",$A61&lt;58),"",--MID('Key Analysis'!$C57,58,1))</f>
        <v/>
      </c>
      <c r="GO61" s="29" t="str">
        <f>IF(OR($B61="",$A61&lt;59),"",--MID('Key Analysis'!$C57,59,1))</f>
        <v/>
      </c>
      <c r="GP61" s="29" t="str">
        <f>IF(OR($B61="",$A61&lt;60),"",--MID('Key Analysis'!$C57,60,1))</f>
        <v/>
      </c>
      <c r="GQ61" s="29" t="str">
        <f>IF(OR($B61="",$A61&lt;61),"",--MID('Key Analysis'!$C57,61,1))</f>
        <v/>
      </c>
      <c r="GR61" s="29" t="str">
        <f>IF(OR($B61="",$A61&lt;62),"",--MID('Key Analysis'!$C57,62,1))</f>
        <v/>
      </c>
      <c r="GS61" s="29" t="str">
        <f>IF(OR($B61="",$A61&lt;63),"",--MID('Key Analysis'!$C57,63,1))</f>
        <v/>
      </c>
      <c r="GT61" s="29" t="str">
        <f>IF(OR($B61="",$A61&lt;64),"",--MID('Key Analysis'!$C57,64,1))</f>
        <v/>
      </c>
      <c r="GU61" s="29" t="str">
        <f>IF(OR($B61="",$A61&lt;65),"",--MID('Key Analysis'!$C57,65,1))</f>
        <v/>
      </c>
      <c r="GV61" s="29" t="str">
        <f>IF(OR($B61="",$A61&lt;66),"",--MID('Key Analysis'!$C57,66,1))</f>
        <v/>
      </c>
      <c r="GW61" s="29" t="str">
        <f>IF(OR($B61="",$A61&lt;67),"",--MID('Key Analysis'!$C57,67,1))</f>
        <v/>
      </c>
      <c r="GX61" s="29" t="str">
        <f>IF(OR($B61="",$A61&lt;68),"",--MID('Key Analysis'!$C57,68,1))</f>
        <v/>
      </c>
      <c r="GY61" s="29" t="str">
        <f>IF(OR($B61="",$A61&lt;69),"",--MID('Key Analysis'!$C57,69,1))</f>
        <v/>
      </c>
      <c r="GZ61" s="29" t="str">
        <f>IF(OR($B61="",$A61&lt;70),"",--MID('Key Analysis'!$C57,70,1))</f>
        <v/>
      </c>
      <c r="HA61" s="29" t="str">
        <f>IF(OR($B61="",$A61&lt;71),"",--MID('Key Analysis'!$C57,71,1))</f>
        <v/>
      </c>
      <c r="HB61" s="29" t="str">
        <f>IF(OR($B61="",$A61&lt;72),"",--MID('Key Analysis'!$C57,72,1))</f>
        <v/>
      </c>
      <c r="HC61" s="29" t="str">
        <f>IF(OR($B61="",$A61&lt;73),"",--MID('Key Analysis'!$C57,73,1))</f>
        <v/>
      </c>
      <c r="HD61" s="29" t="str">
        <f>IF(OR($B61="",$A61&lt;74),"",--MID('Key Analysis'!$C57,74,1))</f>
        <v/>
      </c>
      <c r="HE61" s="29" t="str">
        <f>IF(OR($B61="",$A61&lt;75),"",--MID('Key Analysis'!$C57,75,1))</f>
        <v/>
      </c>
      <c r="HF61" s="29" t="str">
        <f>IF(OR($B61="",$A61&lt;76),"",--MID('Key Analysis'!$C57,76,1))</f>
        <v/>
      </c>
      <c r="HG61" s="29" t="str">
        <f>IF(OR($B61="",$A61&lt;77),"",--MID('Key Analysis'!$C57,77,1))</f>
        <v/>
      </c>
      <c r="HH61" s="29" t="str">
        <f>IF(OR($B61="",$A61&lt;78),"",--MID('Key Analysis'!$C57,78,1))</f>
        <v/>
      </c>
      <c r="HI61" s="29" t="str">
        <f>IF(OR($B61="",$A61&lt;79),"",--MID('Key Analysis'!$C57,79,1))</f>
        <v/>
      </c>
      <c r="HJ61" s="29" t="str">
        <f>IF(OR($B61="",$A61&lt;80),"",--MID('Key Analysis'!$C57,80,1))</f>
        <v/>
      </c>
      <c r="HK61" s="29" t="str">
        <f>IF(OR($B61="",$A61&lt;81),"",--MID('Key Analysis'!$C57,81,1))</f>
        <v/>
      </c>
      <c r="HL61" s="29" t="str">
        <f>IF(OR($B61="",$A61&lt;82),"",--MID('Key Analysis'!$C57,82,1))</f>
        <v/>
      </c>
      <c r="HM61" s="29" t="str">
        <f>IF(OR($B61="",$A61&lt;83),"",--MID('Key Analysis'!$C57,83,1))</f>
        <v/>
      </c>
      <c r="HN61" s="29" t="str">
        <f>IF(OR($B61="",$A61&lt;84),"",--MID('Key Analysis'!$C57,84,1))</f>
        <v/>
      </c>
      <c r="HO61" s="29" t="str">
        <f>IF(OR($B61="",$A61&lt;85),"",--MID('Key Analysis'!$C57,85,1))</f>
        <v/>
      </c>
      <c r="HP61" s="29" t="str">
        <f>IF(OR($B61="",$A61&lt;86),"",--MID('Key Analysis'!$C57,86,1))</f>
        <v/>
      </c>
      <c r="HQ61" s="29" t="str">
        <f>IF(OR($B61="",$A61&lt;87),"",--MID('Key Analysis'!$C57,87,1))</f>
        <v/>
      </c>
      <c r="HR61" s="29" t="str">
        <f>IF(OR($B61="",$A61&lt;88),"",--MID('Key Analysis'!$C57,88,1))</f>
        <v/>
      </c>
      <c r="HS61" s="29" t="str">
        <f>IF(OR($B61="",$A61&lt;89),"",--MID('Key Analysis'!$C57,89,1))</f>
        <v/>
      </c>
      <c r="HT61" s="29" t="str">
        <f>IF(OR($B61="",$A61&lt;90),"",--MID('Key Analysis'!$C57,90,1))</f>
        <v/>
      </c>
      <c r="HU61" s="29" t="str">
        <f>IF(OR($B61="",$A61&lt;91),"",--MID('Key Analysis'!$C57,91,1))</f>
        <v/>
      </c>
      <c r="HV61" s="29" t="str">
        <f>IF(OR($B61="",$A61&lt;92),"",--MID('Key Analysis'!$C57,92,1))</f>
        <v/>
      </c>
      <c r="HW61" s="29" t="str">
        <f>IF(OR($B61="",$A61&lt;93),"",--MID('Key Analysis'!$C57,93,1))</f>
        <v/>
      </c>
      <c r="HX61" s="29" t="str">
        <f>IF(OR($B61="",$A61&lt;94),"",--MID('Key Analysis'!$C57,94,1))</f>
        <v/>
      </c>
      <c r="HY61" s="29" t="str">
        <f>IF(OR($B61="",$A61&lt;95),"",--MID('Key Analysis'!$C57,95,1))</f>
        <v/>
      </c>
      <c r="HZ61" s="29" t="str">
        <f>IF(OR($B61="",$A61&lt;96),"",--MID('Key Analysis'!$C57,96,1))</f>
        <v/>
      </c>
      <c r="IA61" s="29" t="str">
        <f>IF(OR($B61="",$A61&lt;97),"",--MID('Key Analysis'!$C57,97,1))</f>
        <v/>
      </c>
      <c r="IB61" s="29" t="str">
        <f>IF(OR($B61="",$A61&lt;98),"",--MID('Key Analysis'!$C57,98,1))</f>
        <v/>
      </c>
      <c r="IC61" s="29" t="str">
        <f>IF(OR($B61="",$A61&lt;99),"",--MID('Key Analysis'!$C57,99,1))</f>
        <v/>
      </c>
      <c r="ID61" s="29" t="str">
        <f>IF(OR($B61="",$A61&lt;100),"",--MID('Key Analysis'!$C57,100,1))</f>
        <v/>
      </c>
      <c r="IE61" s="29" t="str">
        <f>IF(OR($B61="",$A61&lt;101),"",--MID('Key Analysis'!$C57,101,1))</f>
        <v/>
      </c>
      <c r="IF61" s="29" t="str">
        <f>IF(OR($B61="",$A61&lt;102),"",--MID('Key Analysis'!$C57,102,1))</f>
        <v/>
      </c>
      <c r="IG61" s="29" t="str">
        <f>IF(OR($B61="",$A61&lt;103),"",--MID('Key Analysis'!$C57,103,1))</f>
        <v/>
      </c>
      <c r="IH61" s="29" t="str">
        <f>IF(OR($B61="",$A61&lt;104),"",--MID('Key Analysis'!$C57,104,1))</f>
        <v/>
      </c>
      <c r="II61" s="29" t="str">
        <f>IF(OR($B61="",$A61&lt;105),"",--MID('Key Analysis'!$C57,105,1))</f>
        <v/>
      </c>
      <c r="IJ61" s="29" t="str">
        <f>IF(OR($B61="",$A61&lt;106),"",--MID('Key Analysis'!$C57,106,1))</f>
        <v/>
      </c>
      <c r="IK61" s="29" t="str">
        <f>IF(OR($B61="",$A61&lt;107),"",--MID('Key Analysis'!$C57,107,1))</f>
        <v/>
      </c>
      <c r="IL61" s="29" t="str">
        <f>IF(OR($B61="",$A61&lt;108),"",--MID('Key Analysis'!$C57,108,1))</f>
        <v/>
      </c>
      <c r="IM61" s="29" t="str">
        <f>IF(OR($B61="",$A61&lt;109),"",--MID('Key Analysis'!$C57,109,1))</f>
        <v/>
      </c>
      <c r="IN61" s="29" t="str">
        <f>IF(OR($B61="",$A61&lt;110),"",--MID('Key Analysis'!$C57,110,1))</f>
        <v/>
      </c>
      <c r="IO61" s="29" t="str">
        <f>IF(OR($B61="",$A61&lt;111),"",--MID('Key Analysis'!$C57,111,1))</f>
        <v/>
      </c>
      <c r="IP61" s="29" t="str">
        <f>IF(OR($B61="",$A61&lt;112),"",--MID('Key Analysis'!$C57,112,1))</f>
        <v/>
      </c>
      <c r="IQ61" s="29" t="str">
        <f>IF(OR($B61="",$A61&lt;113),"",--MID('Key Analysis'!$C57,113,1))</f>
        <v/>
      </c>
      <c r="IR61" s="29" t="str">
        <f>IF(OR($B61="",$A61&lt;114),"",--MID('Key Analysis'!$C57,114,1))</f>
        <v/>
      </c>
      <c r="IS61" s="29" t="str">
        <f>IF(OR($B61="",$A61&lt;115),"",--MID('Key Analysis'!$C57,115,1))</f>
        <v/>
      </c>
      <c r="IT61" s="29" t="str">
        <f>IF(OR($B61="",$A61&lt;116),"",--MID('Key Analysis'!$C57,116,1))</f>
        <v/>
      </c>
      <c r="IU61" s="29" t="str">
        <f>IF(OR($B61="",$A61&lt;117),"",--MID('Key Analysis'!$C57,117,1))</f>
        <v/>
      </c>
      <c r="IV61" s="29" t="str">
        <f>IF(OR($B61="",$A61&lt;118),"",--MID('Key Analysis'!$C57,118,1))</f>
        <v/>
      </c>
      <c r="IW61" s="29" t="str">
        <f>IF(OR($B61="",$A61&lt;119),"",--MID('Key Analysis'!$C57,119,1))</f>
        <v/>
      </c>
      <c r="IX61" s="29" t="str">
        <f>IF(OR($B61="",$A61&lt;120),"",--MID('Key Analysis'!$C57,120,1))</f>
        <v/>
      </c>
      <c r="IY61" s="29" t="str">
        <f>IF(OR($B61="",$A61&lt;121),"",--MID('Key Analysis'!$C57,121,1))</f>
        <v/>
      </c>
      <c r="IZ61" s="29" t="str">
        <f>IF(OR($B61="",$A61&lt;122),"",--MID('Key Analysis'!$C57,122,1))</f>
        <v/>
      </c>
      <c r="JA61" s="29" t="str">
        <f>IF(OR($B61="",$A61&lt;123),"",--MID('Key Analysis'!$C57,123,1))</f>
        <v/>
      </c>
      <c r="JB61" s="29" t="str">
        <f>IF(OR($B61="",$A61&lt;124),"",--MID('Key Analysis'!$C57,124,1))</f>
        <v/>
      </c>
      <c r="JC61" s="29" t="str">
        <f>IF(OR($B61="",$A61&lt;125),"",--MID('Key Analysis'!$C57,125,1))</f>
        <v/>
      </c>
      <c r="JD61" s="29" t="str">
        <f>IF(OR($B61="",$A61&lt;126),"",--MID('Key Analysis'!$C57,126,1))</f>
        <v/>
      </c>
      <c r="JE61" s="29" t="str">
        <f>IF(OR($B61="",$A61&lt;127),"",--MID('Key Analysis'!$C57,127,1))</f>
        <v/>
      </c>
      <c r="JF61" s="29" t="str">
        <f>IF(OR($B61="",$A61&lt;128),"",--MID('Key Analysis'!$C57,128,1))</f>
        <v/>
      </c>
      <c r="JG61" s="29" t="str">
        <f>IF(OR($B61="",$A61&lt;129),"",--MID('Key Analysis'!$C57,129,1))</f>
        <v/>
      </c>
      <c r="JH61" s="29" t="str">
        <f>IF(OR($B61="",$A61&lt;130),"",--MID('Key Analysis'!$C57,130,1))</f>
        <v/>
      </c>
      <c r="JI61" s="29" t="str">
        <f>IF(OR($B61="",$A61&lt;131),"",--MID('Key Analysis'!$C57,131,1))</f>
        <v/>
      </c>
      <c r="JJ61" s="29" t="str">
        <f>IF(OR($B61="",$A61&lt;132),"",--MID('Key Analysis'!$C57,132,1))</f>
        <v/>
      </c>
      <c r="JK61" s="29" t="str">
        <f>IF(OR($B61="",$A61&lt;133),"",--MID('Key Analysis'!$C57,133,1))</f>
        <v/>
      </c>
      <c r="JL61" s="29" t="str">
        <f>IF(OR($B61="",$A61&lt;134),"",--MID('Key Analysis'!$C57,134,1))</f>
        <v/>
      </c>
      <c r="JM61" s="29" t="str">
        <f>IF(OR($B61="",$A61&lt;135),"",--MID('Key Analysis'!$C57,135,1))</f>
        <v/>
      </c>
    </row>
    <row r="62" spans="1:273" x14ac:dyDescent="0.25">
      <c r="A62" s="21">
        <f>'Key Analysis'!A58</f>
        <v>57</v>
      </c>
      <c r="B62" s="30" t="str">
        <f>'Key Analysis'!B58</f>
        <v>1eb25c90795d61c</v>
      </c>
      <c r="C62" s="29">
        <f>IF(OR($B62="",$A62&lt;=0),"",--MID('Key Analysis'!$C58,$A62-0,1))</f>
        <v>0</v>
      </c>
      <c r="D62" s="29">
        <f>IF(OR($B62="",$A62&lt;=1),"",--MID('Key Analysis'!$C58,$A62-1,1))</f>
        <v>0</v>
      </c>
      <c r="E62" s="29">
        <f>IF(OR($B62="",$A62&lt;=2),"",--MID('Key Analysis'!$C58,$A62-2,1))</f>
        <v>1</v>
      </c>
      <c r="F62" s="29">
        <f>IF(OR($B62="",$A62&lt;=3),"",--MID('Key Analysis'!$C58,$A62-3,1))</f>
        <v>1</v>
      </c>
      <c r="G62" s="29">
        <f>IF(OR($B62="",$A62&lt;=4),"",--MID('Key Analysis'!$C58,$A62-4,1))</f>
        <v>1</v>
      </c>
      <c r="H62" s="29">
        <f>IF(OR($B62="",$A62&lt;=5),"",--MID('Key Analysis'!$C58,$A62-5,1))</f>
        <v>0</v>
      </c>
      <c r="I62" s="29">
        <f>IF(OR($B62="",$A62&lt;=6),"",--MID('Key Analysis'!$C58,$A62-6,1))</f>
        <v>0</v>
      </c>
      <c r="J62" s="29">
        <f>IF(OR($B62="",$A62&lt;=7),"",--MID('Key Analysis'!$C58,$A62-7,1))</f>
        <v>0</v>
      </c>
      <c r="K62" s="29">
        <f>IF(OR($B62="",$A62&lt;=8),"",--MID('Key Analysis'!$C58,$A62-8,1))</f>
        <v>0</v>
      </c>
      <c r="L62" s="29">
        <f>IF(OR($B62="",$A62&lt;=9),"",--MID('Key Analysis'!$C58,$A62-9,1))</f>
        <v>1</v>
      </c>
      <c r="M62" s="29">
        <f>IF(OR($B62="",$A62&lt;=10),"",--MID('Key Analysis'!$C58,$A62-10,1))</f>
        <v>1</v>
      </c>
      <c r="N62" s="29">
        <f>IF(OR($B62="",$A62&lt;=11),"",--MID('Key Analysis'!$C58,$A62-11,1))</f>
        <v>0</v>
      </c>
      <c r="O62" s="29">
        <f>IF(OR($B62="",$A62&lt;=12),"",--MID('Key Analysis'!$C58,$A62-12,1))</f>
        <v>1</v>
      </c>
      <c r="P62" s="29">
        <f>IF(OR($B62="",$A62&lt;=13),"",--MID('Key Analysis'!$C58,$A62-13,1))</f>
        <v>0</v>
      </c>
      <c r="Q62" s="29">
        <f>IF(OR($B62="",$A62&lt;=14),"",--MID('Key Analysis'!$C58,$A62-14,1))</f>
        <v>1</v>
      </c>
      <c r="R62" s="29">
        <f>IF(OR($B62="",$A62&lt;=15),"",--MID('Key Analysis'!$C58,$A62-15,1))</f>
        <v>1</v>
      </c>
      <c r="S62" s="29">
        <f>IF(OR($B62="",$A62&lt;=16),"",--MID('Key Analysis'!$C58,$A62-16,1))</f>
        <v>1</v>
      </c>
      <c r="T62" s="29">
        <f>IF(OR($B62="",$A62&lt;=17),"",--MID('Key Analysis'!$C58,$A62-17,1))</f>
        <v>0</v>
      </c>
      <c r="U62" s="29">
        <f>IF(OR($B62="",$A62&lt;=18),"",--MID('Key Analysis'!$C58,$A62-18,1))</f>
        <v>1</v>
      </c>
      <c r="V62" s="29">
        <f>IF(OR($B62="",$A62&lt;=19),"",--MID('Key Analysis'!$C58,$A62-19,1))</f>
        <v>0</v>
      </c>
      <c r="W62" s="29">
        <f>IF(OR($B62="",$A62&lt;=20),"",--MID('Key Analysis'!$C58,$A62-20,1))</f>
        <v>1</v>
      </c>
      <c r="X62" s="29">
        <f>IF(OR($B62="",$A62&lt;=21),"",--MID('Key Analysis'!$C58,$A62-21,1))</f>
        <v>0</v>
      </c>
      <c r="Y62" s="29">
        <f>IF(OR($B62="",$A62&lt;=22),"",--MID('Key Analysis'!$C58,$A62-22,1))</f>
        <v>0</v>
      </c>
      <c r="Z62" s="29">
        <f>IF(OR($B62="",$A62&lt;=23),"",--MID('Key Analysis'!$C58,$A62-23,1))</f>
        <v>1</v>
      </c>
      <c r="AA62" s="29">
        <f>IF(OR($B62="",$A62&lt;=24),"",--MID('Key Analysis'!$C58,$A62-24,1))</f>
        <v>1</v>
      </c>
      <c r="AB62" s="29">
        <f>IF(OR($B62="",$A62&lt;=25),"",--MID('Key Analysis'!$C58,$A62-25,1))</f>
        <v>1</v>
      </c>
      <c r="AC62" s="29">
        <f>IF(OR($B62="",$A62&lt;=26),"",--MID('Key Analysis'!$C58,$A62-26,1))</f>
        <v>1</v>
      </c>
      <c r="AD62" s="29">
        <f>IF(OR($B62="",$A62&lt;=27),"",--MID('Key Analysis'!$C58,$A62-27,1))</f>
        <v>0</v>
      </c>
      <c r="AE62" s="29">
        <f>IF(OR($B62="",$A62&lt;=28),"",--MID('Key Analysis'!$C58,$A62-28,1))</f>
        <v>0</v>
      </c>
      <c r="AF62" s="29">
        <f>IF(OR($B62="",$A62&lt;=29),"",--MID('Key Analysis'!$C58,$A62-29,1))</f>
        <v>0</v>
      </c>
      <c r="AG62" s="29">
        <f>IF(OR($B62="",$A62&lt;=30),"",--MID('Key Analysis'!$C58,$A62-30,1))</f>
        <v>0</v>
      </c>
      <c r="AH62" s="29">
        <f>IF(OR($B62="",$A62&lt;=31),"",--MID('Key Analysis'!$C58,$A62-31,1))</f>
        <v>0</v>
      </c>
      <c r="AI62" s="29">
        <f>IF(OR($B62="",$A62&lt;=32),"",--MID('Key Analysis'!$C58,$A62-32,1))</f>
        <v>1</v>
      </c>
      <c r="AJ62" s="29">
        <f>IF(OR($B62="",$A62&lt;=33),"",--MID('Key Analysis'!$C58,$A62-33,1))</f>
        <v>0</v>
      </c>
      <c r="AK62" s="29">
        <f>IF(OR($B62="",$A62&lt;=34),"",--MID('Key Analysis'!$C58,$A62-34,1))</f>
        <v>0</v>
      </c>
      <c r="AL62" s="29">
        <f>IF(OR($B62="",$A62&lt;=35),"",--MID('Key Analysis'!$C58,$A62-35,1))</f>
        <v>1</v>
      </c>
      <c r="AM62" s="29">
        <f>IF(OR($B62="",$A62&lt;=36),"",--MID('Key Analysis'!$C58,$A62-36,1))</f>
        <v>0</v>
      </c>
      <c r="AN62" s="29">
        <f>IF(OR($B62="",$A62&lt;=37),"",--MID('Key Analysis'!$C58,$A62-37,1))</f>
        <v>0</v>
      </c>
      <c r="AO62" s="29">
        <f>IF(OR($B62="",$A62&lt;=38),"",--MID('Key Analysis'!$C58,$A62-38,1))</f>
        <v>1</v>
      </c>
      <c r="AP62" s="29">
        <f>IF(OR($B62="",$A62&lt;=39),"",--MID('Key Analysis'!$C58,$A62-39,1))</f>
        <v>1</v>
      </c>
      <c r="AQ62" s="29">
        <f>IF(OR($B62="",$A62&lt;=40),"",--MID('Key Analysis'!$C58,$A62-40,1))</f>
        <v>1</v>
      </c>
      <c r="AR62" s="29">
        <f>IF(OR($B62="",$A62&lt;=41),"",--MID('Key Analysis'!$C58,$A62-41,1))</f>
        <v>0</v>
      </c>
      <c r="AS62" s="29">
        <f>IF(OR($B62="",$A62&lt;=42),"",--MID('Key Analysis'!$C58,$A62-42,1))</f>
        <v>1</v>
      </c>
      <c r="AT62" s="29">
        <f>IF(OR($B62="",$A62&lt;=43),"",--MID('Key Analysis'!$C58,$A62-43,1))</f>
        <v>0</v>
      </c>
      <c r="AU62" s="29">
        <f>IF(OR($B62="",$A62&lt;=44),"",--MID('Key Analysis'!$C58,$A62-44,1))</f>
        <v>0</v>
      </c>
      <c r="AV62" s="29">
        <f>IF(OR($B62="",$A62&lt;=45),"",--MID('Key Analysis'!$C58,$A62-45,1))</f>
        <v>1</v>
      </c>
      <c r="AW62" s="29">
        <f>IF(OR($B62="",$A62&lt;=46),"",--MID('Key Analysis'!$C58,$A62-46,1))</f>
        <v>0</v>
      </c>
      <c r="AX62" s="29">
        <f>IF(OR($B62="",$A62&lt;=47),"",--MID('Key Analysis'!$C58,$A62-47,1))</f>
        <v>0</v>
      </c>
      <c r="AY62" s="29">
        <f>IF(OR($B62="",$A62&lt;=48),"",--MID('Key Analysis'!$C58,$A62-48,1))</f>
        <v>1</v>
      </c>
      <c r="AZ62" s="29">
        <f>IF(OR($B62="",$A62&lt;=49),"",--MID('Key Analysis'!$C58,$A62-49,1))</f>
        <v>1</v>
      </c>
      <c r="BA62" s="29">
        <f>IF(OR($B62="",$A62&lt;=50),"",--MID('Key Analysis'!$C58,$A62-50,1))</f>
        <v>0</v>
      </c>
      <c r="BB62" s="29">
        <f>IF(OR($B62="",$A62&lt;=51),"",--MID('Key Analysis'!$C58,$A62-51,1))</f>
        <v>1</v>
      </c>
      <c r="BC62" s="29">
        <f>IF(OR($B62="",$A62&lt;=52),"",--MID('Key Analysis'!$C58,$A62-52,1))</f>
        <v>0</v>
      </c>
      <c r="BD62" s="29">
        <f>IF(OR($B62="",$A62&lt;=53),"",--MID('Key Analysis'!$C58,$A62-53,1))</f>
        <v>1</v>
      </c>
      <c r="BE62" s="29">
        <f>IF(OR($B62="",$A62&lt;=54),"",--MID('Key Analysis'!$C58,$A62-54,1))</f>
        <v>1</v>
      </c>
      <c r="BF62" s="29">
        <f>IF(OR($B62="",$A62&lt;=55),"",--MID('Key Analysis'!$C58,$A62-55,1))</f>
        <v>1</v>
      </c>
      <c r="BG62" s="29">
        <f>IF(OR($B62="",$A62&lt;=56),"",--MID('Key Analysis'!$C58,$A62-56,1))</f>
        <v>1</v>
      </c>
      <c r="BH62" s="29" t="str">
        <f>IF(OR($B62="",$A62&lt;=57),"",--MID('Key Analysis'!$C58,$A62-57,1))</f>
        <v/>
      </c>
      <c r="BI62" s="29" t="str">
        <f>IF(OR($B62="",$A62&lt;=58),"",--MID('Key Analysis'!$C58,$A62-58,1))</f>
        <v/>
      </c>
      <c r="BJ62" s="29" t="str">
        <f>IF(OR($B62="",$A62&lt;=59),"",--MID('Key Analysis'!$C58,$A62-59,1))</f>
        <v/>
      </c>
      <c r="BK62" s="29" t="str">
        <f>IF(OR($B62="",$A62&lt;=60),"",--MID('Key Analysis'!$C58,$A62-60,1))</f>
        <v/>
      </c>
      <c r="BL62" s="29" t="str">
        <f>IF(OR($B62="",$A62&lt;=61),"",--MID('Key Analysis'!$C58,$A62-61,1))</f>
        <v/>
      </c>
      <c r="BM62" s="29" t="str">
        <f>IF(OR($B62="",$A62&lt;=62),"",--MID('Key Analysis'!$C58,$A62-62,1))</f>
        <v/>
      </c>
      <c r="BN62" s="29" t="str">
        <f>IF(OR($B62="",$A62&lt;=63),"",--MID('Key Analysis'!$C58,$A62-63,1))</f>
        <v/>
      </c>
      <c r="BO62" s="29" t="str">
        <f>IF(OR($B62="",$A62&lt;=64),"",--MID('Key Analysis'!$C58,$A62-64,1))</f>
        <v/>
      </c>
      <c r="BP62" s="29" t="str">
        <f>IF(OR($B62="",$A62&lt;=65),"",--MID('Key Analysis'!$C58,$A62-65,1))</f>
        <v/>
      </c>
      <c r="BQ62" s="29" t="str">
        <f>IF(OR($B62="",$A62&lt;=66),"",--MID('Key Analysis'!$C58,$A62-66,1))</f>
        <v/>
      </c>
      <c r="BR62" s="29" t="str">
        <f>IF(OR($B62="",$A62&lt;=67),"",--MID('Key Analysis'!$C58,$A62-67,1))</f>
        <v/>
      </c>
      <c r="BS62" s="29" t="str">
        <f>IF(OR($B62="",$A62&lt;=68),"",--MID('Key Analysis'!$C58,$A62-68,1))</f>
        <v/>
      </c>
      <c r="BT62" s="29" t="str">
        <f>IF(OR($B62="",$A62&lt;=69),"",--MID('Key Analysis'!$C58,$A62-69,1))</f>
        <v/>
      </c>
      <c r="BU62" s="29" t="str">
        <f>IF(OR($B62="",$A62&lt;=70),"",--MID('Key Analysis'!$C58,$A62-70,1))</f>
        <v/>
      </c>
      <c r="BV62" s="29" t="str">
        <f>IF(OR($B62="",$A62&lt;=71),"",--MID('Key Analysis'!$C58,$A62-71,1))</f>
        <v/>
      </c>
      <c r="BW62" s="29" t="str">
        <f>IF(OR($B62="",$A62&lt;=72),"",--MID('Key Analysis'!$C58,$A62-72,1))</f>
        <v/>
      </c>
      <c r="BX62" s="29" t="str">
        <f>IF(OR($B62="",$A62&lt;=73),"",--MID('Key Analysis'!$C58,$A62-73,1))</f>
        <v/>
      </c>
      <c r="BY62" s="29" t="str">
        <f>IF(OR($B62="",$A62&lt;=74),"",--MID('Key Analysis'!$C58,$A62-74,1))</f>
        <v/>
      </c>
      <c r="BZ62" s="29" t="str">
        <f>IF(OR($B62="",$A62&lt;=75),"",--MID('Key Analysis'!$C58,$A62-75,1))</f>
        <v/>
      </c>
      <c r="CA62" s="29" t="str">
        <f>IF(OR($B62="",$A62&lt;=76),"",--MID('Key Analysis'!$C58,$A62-76,1))</f>
        <v/>
      </c>
      <c r="CB62" s="29" t="str">
        <f>IF(OR($B62="",$A62&lt;=77),"",--MID('Key Analysis'!$C58,$A62-77,1))</f>
        <v/>
      </c>
      <c r="CC62" s="29" t="str">
        <f>IF(OR($B62="",$A62&lt;=78),"",--MID('Key Analysis'!$C58,$A62-78,1))</f>
        <v/>
      </c>
      <c r="CD62" s="29" t="str">
        <f>IF(OR($B62="",$A62&lt;=79),"",--MID('Key Analysis'!$C58,$A62-79,1))</f>
        <v/>
      </c>
      <c r="CE62" s="29" t="str">
        <f>IF(OR($B62="",$A62&lt;=80),"",--MID('Key Analysis'!$C58,$A62-80,1))</f>
        <v/>
      </c>
      <c r="CF62" s="29" t="str">
        <f>IF(OR($B62="",$A62&lt;=81),"",--MID('Key Analysis'!$C58,$A62-81,1))</f>
        <v/>
      </c>
      <c r="CG62" s="29" t="str">
        <f>IF(OR($B62="",$A62&lt;=82),"",--MID('Key Analysis'!$C58,$A62-82,1))</f>
        <v/>
      </c>
      <c r="CH62" s="29" t="str">
        <f>IF(OR($B62="",$A62&lt;=83),"",--MID('Key Analysis'!$C58,$A62-83,1))</f>
        <v/>
      </c>
      <c r="CI62" s="29" t="str">
        <f>IF(OR($B62="",$A62&lt;=84),"",--MID('Key Analysis'!$C58,$A62-84,1))</f>
        <v/>
      </c>
      <c r="CJ62" s="29" t="str">
        <f>IF(OR($B62="",$A62&lt;=85),"",--MID('Key Analysis'!$C58,$A62-85,1))</f>
        <v/>
      </c>
      <c r="CK62" s="29" t="str">
        <f>IF(OR($B62="",$A62&lt;=86),"",--MID('Key Analysis'!$C58,$A62-86,1))</f>
        <v/>
      </c>
      <c r="CL62" s="29" t="str">
        <f>IF(OR($B62="",$A62&lt;=87),"",--MID('Key Analysis'!$C58,$A62-87,1))</f>
        <v/>
      </c>
      <c r="CM62" s="29" t="str">
        <f>IF(OR($B62="",$A62&lt;=88),"",--MID('Key Analysis'!$C58,$A62-88,1))</f>
        <v/>
      </c>
      <c r="CN62" s="29" t="str">
        <f>IF(OR($B62="",$A62&lt;=89),"",--MID('Key Analysis'!$C58,$A62-89,1))</f>
        <v/>
      </c>
      <c r="CO62" s="29" t="str">
        <f>IF(OR($B62="",$A62&lt;=90),"",--MID('Key Analysis'!$C58,$A62-90,1))</f>
        <v/>
      </c>
      <c r="CP62" s="29" t="str">
        <f>IF(OR($B62="",$A62&lt;=91),"",--MID('Key Analysis'!$C58,$A62-91,1))</f>
        <v/>
      </c>
      <c r="CQ62" s="29" t="str">
        <f>IF(OR($B62="",$A62&lt;=92),"",--MID('Key Analysis'!$C58,$A62-92,1))</f>
        <v/>
      </c>
      <c r="CR62" s="29" t="str">
        <f>IF(OR($B62="",$A62&lt;=93),"",--MID('Key Analysis'!$C58,$A62-93,1))</f>
        <v/>
      </c>
      <c r="CS62" s="29" t="str">
        <f>IF(OR($B62="",$A62&lt;=94),"",--MID('Key Analysis'!$C58,$A62-94,1))</f>
        <v/>
      </c>
      <c r="CT62" s="29" t="str">
        <f>IF(OR($B62="",$A62&lt;=95),"",--MID('Key Analysis'!$C58,$A62-95,1))</f>
        <v/>
      </c>
      <c r="CU62" s="29" t="str">
        <f>IF(OR($B62="",$A62&lt;=96),"",--MID('Key Analysis'!$C58,$A62-96,1))</f>
        <v/>
      </c>
      <c r="CV62" s="29" t="str">
        <f>IF(OR($B62="",$A62&lt;=97),"",--MID('Key Analysis'!$C58,$A62-97,1))</f>
        <v/>
      </c>
      <c r="CW62" s="29" t="str">
        <f>IF(OR($B62="",$A62&lt;=98),"",--MID('Key Analysis'!$C58,$A62-98,1))</f>
        <v/>
      </c>
      <c r="CX62" s="29" t="str">
        <f>IF(OR($B62="",$A62&lt;=99),"",--MID('Key Analysis'!$C58,$A62-99,1))</f>
        <v/>
      </c>
      <c r="CY62" s="29" t="str">
        <f>IF(OR($B62="",$A62&lt;=100),"",--MID('Key Analysis'!$C58,$A62-100,1))</f>
        <v/>
      </c>
      <c r="CZ62" s="29" t="str">
        <f>IF(OR($B62="",$A62&lt;=101),"",--MID('Key Analysis'!$C58,$A62-101,1))</f>
        <v/>
      </c>
      <c r="DA62" s="29" t="str">
        <f>IF(OR($B62="",$A62&lt;=102),"",--MID('Key Analysis'!$C58,$A62-102,1))</f>
        <v/>
      </c>
      <c r="DB62" s="29" t="str">
        <f>IF(OR($B62="",$A62&lt;=103),"",--MID('Key Analysis'!$C58,$A62-103,1))</f>
        <v/>
      </c>
      <c r="DC62" s="29" t="str">
        <f>IF(OR($B62="",$A62&lt;=104),"",--MID('Key Analysis'!$C58,$A62-104,1))</f>
        <v/>
      </c>
      <c r="DD62" s="29" t="str">
        <f>IF(OR($B62="",$A62&lt;=105),"",--MID('Key Analysis'!$C58,$A62-105,1))</f>
        <v/>
      </c>
      <c r="DE62" s="29" t="str">
        <f>IF(OR($B62="",$A62&lt;=106),"",--MID('Key Analysis'!$C58,$A62-106,1))</f>
        <v/>
      </c>
      <c r="DF62" s="29" t="str">
        <f>IF(OR($B62="",$A62&lt;=107),"",--MID('Key Analysis'!$C58,$A62-107,1))</f>
        <v/>
      </c>
      <c r="DG62" s="29" t="str">
        <f>IF(OR($B62="",$A62&lt;=108),"",--MID('Key Analysis'!$C58,$A62-108,1))</f>
        <v/>
      </c>
      <c r="DH62" s="29" t="str">
        <f>IF(OR($B62="",$A62&lt;=109),"",--MID('Key Analysis'!$C58,$A62-109,1))</f>
        <v/>
      </c>
      <c r="DI62" s="29" t="str">
        <f>IF(OR($B62="",$A62&lt;=110),"",--MID('Key Analysis'!$C58,$A62-110,1))</f>
        <v/>
      </c>
      <c r="DJ62" s="29" t="str">
        <f>IF(OR($B62="",$A62&lt;=111),"",--MID('Key Analysis'!$C58,$A62-111,1))</f>
        <v/>
      </c>
      <c r="DK62" s="29" t="str">
        <f>IF(OR($B62="",$A62&lt;=112),"",--MID('Key Analysis'!$C58,$A62-112,1))</f>
        <v/>
      </c>
      <c r="DL62" s="29" t="str">
        <f>IF(OR($B62="",$A62&lt;=113),"",--MID('Key Analysis'!$C58,$A62-113,1))</f>
        <v/>
      </c>
      <c r="DM62" s="29" t="str">
        <f>IF(OR($B62="",$A62&lt;=114),"",--MID('Key Analysis'!$C58,$A62-114,1))</f>
        <v/>
      </c>
      <c r="DN62" s="29" t="str">
        <f>IF(OR($B62="",$A62&lt;=115),"",--MID('Key Analysis'!$C58,$A62-115,1))</f>
        <v/>
      </c>
      <c r="DO62" s="29" t="str">
        <f>IF(OR($B62="",$A62&lt;=116),"",--MID('Key Analysis'!$C58,$A62-116,1))</f>
        <v/>
      </c>
      <c r="DP62" s="29" t="str">
        <f>IF(OR($B62="",$A62&lt;=117),"",--MID('Key Analysis'!$C58,$A62-117,1))</f>
        <v/>
      </c>
      <c r="DQ62" s="29" t="str">
        <f>IF(OR($B62="",$A62&lt;=118),"",--MID('Key Analysis'!$C58,$A62-118,1))</f>
        <v/>
      </c>
      <c r="DR62" s="29" t="str">
        <f>IF(OR($B62="",$A62&lt;=119),"",--MID('Key Analysis'!$C58,$A62-119,1))</f>
        <v/>
      </c>
      <c r="DS62" s="29" t="str">
        <f>IF(OR($B62="",$A62&lt;=120),"",--MID('Key Analysis'!$C58,$A62-120,1))</f>
        <v/>
      </c>
      <c r="DT62" s="29" t="str">
        <f>IF(OR($B62="",$A62&lt;=121),"",--MID('Key Analysis'!$C58,$A62-121,1))</f>
        <v/>
      </c>
      <c r="DU62" s="29" t="str">
        <f>IF(OR($B62="",$A62&lt;=122),"",--MID('Key Analysis'!$C58,$A62-122,1))</f>
        <v/>
      </c>
      <c r="DV62" s="29" t="str">
        <f>IF(OR($B62="",$A62&lt;=123),"",--MID('Key Analysis'!$C58,$A62-123,1))</f>
        <v/>
      </c>
      <c r="DW62" s="29" t="str">
        <f>IF(OR($B62="",$A62&lt;=124),"",--MID('Key Analysis'!$C58,$A62-124,1))</f>
        <v/>
      </c>
      <c r="DX62" s="29" t="str">
        <f>IF(OR($B62="",$A62&lt;=125),"",--MID('Key Analysis'!$C58,$A62-125,1))</f>
        <v/>
      </c>
      <c r="DY62" s="29" t="str">
        <f>IF(OR($B62="",$A62&lt;=126),"",--MID('Key Analysis'!$C58,$A62-126,1))</f>
        <v/>
      </c>
      <c r="DZ62" s="29" t="str">
        <f>IF(OR($B62="",$A62&lt;=127),"",--MID('Key Analysis'!$C58,$A62-127,1))</f>
        <v/>
      </c>
      <c r="EA62" s="29" t="str">
        <f>IF(OR($B62="",$A62&lt;=128),"",--MID('Key Analysis'!$C58,$A62-128,1))</f>
        <v/>
      </c>
      <c r="EB62" s="29" t="str">
        <f>IF(OR($B62="",$A62&lt;=129),"",--MID('Key Analysis'!$C58,$A62-129,1))</f>
        <v/>
      </c>
      <c r="EC62" s="29" t="str">
        <f>IF(OR($B62="",$A62&lt;=130),"",--MID('Key Analysis'!$C58,$A62-130,1))</f>
        <v/>
      </c>
      <c r="ED62" s="29" t="str">
        <f>IF(OR($B62="",$A62&lt;=131),"",--MID('Key Analysis'!$C58,$A62-131,1))</f>
        <v/>
      </c>
      <c r="EE62" s="29" t="str">
        <f>IF(OR($B62="",$A62&lt;=132),"",--MID('Key Analysis'!$C58,$A62-132,1))</f>
        <v/>
      </c>
      <c r="EF62" s="29" t="str">
        <f>IF(OR($B62="",$A62&lt;=133),"",--MID('Key Analysis'!$C58,$A62-133,1))</f>
        <v/>
      </c>
      <c r="EG62" s="29" t="str">
        <f>IF(OR($B62="",$A62&lt;=134),"",--MID('Key Analysis'!$C58,$A62-134,1))</f>
        <v/>
      </c>
      <c r="EH62" s="29"/>
      <c r="EI62" s="29">
        <f>IF(OR($B62="",$A62&lt;1),"",--MID('Key Analysis'!$C58,1,1))</f>
        <v>1</v>
      </c>
      <c r="EJ62" s="29">
        <f>IF(OR($B62="",$A62&lt;2),"",--MID('Key Analysis'!$C58,2,1))</f>
        <v>1</v>
      </c>
      <c r="EK62" s="29">
        <f>IF(OR($B62="",$A62&lt;3),"",--MID('Key Analysis'!$C58,3,1))</f>
        <v>1</v>
      </c>
      <c r="EL62" s="29">
        <f>IF(OR($B62="",$A62&lt;4),"",--MID('Key Analysis'!$C58,4,1))</f>
        <v>1</v>
      </c>
      <c r="EM62" s="29">
        <f>IF(OR($B62="",$A62&lt;5),"",--MID('Key Analysis'!$C58,5,1))</f>
        <v>0</v>
      </c>
      <c r="EN62" s="29">
        <f>IF(OR($B62="",$A62&lt;6),"",--MID('Key Analysis'!$C58,6,1))</f>
        <v>1</v>
      </c>
      <c r="EO62" s="29">
        <f>IF(OR($B62="",$A62&lt;7),"",--MID('Key Analysis'!$C58,7,1))</f>
        <v>0</v>
      </c>
      <c r="EP62" s="29">
        <f>IF(OR($B62="",$A62&lt;8),"",--MID('Key Analysis'!$C58,8,1))</f>
        <v>1</v>
      </c>
      <c r="EQ62" s="29">
        <f>IF(OR($B62="",$A62&lt;9),"",--MID('Key Analysis'!$C58,9,1))</f>
        <v>1</v>
      </c>
      <c r="ER62" s="29">
        <f>IF(OR($B62="",$A62&lt;10),"",--MID('Key Analysis'!$C58,10,1))</f>
        <v>0</v>
      </c>
      <c r="ES62" s="29">
        <f>IF(OR($B62="",$A62&lt;11),"",--MID('Key Analysis'!$C58,11,1))</f>
        <v>0</v>
      </c>
      <c r="ET62" s="29">
        <f>IF(OR($B62="",$A62&lt;12),"",--MID('Key Analysis'!$C58,12,1))</f>
        <v>1</v>
      </c>
      <c r="EU62" s="29">
        <f>IF(OR($B62="",$A62&lt;13),"",--MID('Key Analysis'!$C58,13,1))</f>
        <v>0</v>
      </c>
      <c r="EV62" s="29">
        <f>IF(OR($B62="",$A62&lt;14),"",--MID('Key Analysis'!$C58,14,1))</f>
        <v>0</v>
      </c>
      <c r="EW62" s="29">
        <f>IF(OR($B62="",$A62&lt;15),"",--MID('Key Analysis'!$C58,15,1))</f>
        <v>1</v>
      </c>
      <c r="EX62" s="29">
        <f>IF(OR($B62="",$A62&lt;16),"",--MID('Key Analysis'!$C58,16,1))</f>
        <v>0</v>
      </c>
      <c r="EY62" s="29">
        <f>IF(OR($B62="",$A62&lt;17),"",--MID('Key Analysis'!$C58,17,1))</f>
        <v>1</v>
      </c>
      <c r="EZ62" s="29">
        <f>IF(OR($B62="",$A62&lt;18),"",--MID('Key Analysis'!$C58,18,1))</f>
        <v>1</v>
      </c>
      <c r="FA62" s="29">
        <f>IF(OR($B62="",$A62&lt;19),"",--MID('Key Analysis'!$C58,19,1))</f>
        <v>1</v>
      </c>
      <c r="FB62" s="29">
        <f>IF(OR($B62="",$A62&lt;20),"",--MID('Key Analysis'!$C58,20,1))</f>
        <v>0</v>
      </c>
      <c r="FC62" s="29">
        <f>IF(OR($B62="",$A62&lt;21),"",--MID('Key Analysis'!$C58,21,1))</f>
        <v>0</v>
      </c>
      <c r="FD62" s="29">
        <f>IF(OR($B62="",$A62&lt;22),"",--MID('Key Analysis'!$C58,22,1))</f>
        <v>1</v>
      </c>
      <c r="FE62" s="29">
        <f>IF(OR($B62="",$A62&lt;23),"",--MID('Key Analysis'!$C58,23,1))</f>
        <v>0</v>
      </c>
      <c r="FF62" s="29">
        <f>IF(OR($B62="",$A62&lt;24),"",--MID('Key Analysis'!$C58,24,1))</f>
        <v>0</v>
      </c>
      <c r="FG62" s="29">
        <f>IF(OR($B62="",$A62&lt;25),"",--MID('Key Analysis'!$C58,25,1))</f>
        <v>1</v>
      </c>
      <c r="FH62" s="29">
        <f>IF(OR($B62="",$A62&lt;26),"",--MID('Key Analysis'!$C58,26,1))</f>
        <v>0</v>
      </c>
      <c r="FI62" s="29">
        <f>IF(OR($B62="",$A62&lt;27),"",--MID('Key Analysis'!$C58,27,1))</f>
        <v>0</v>
      </c>
      <c r="FJ62" s="29">
        <f>IF(OR($B62="",$A62&lt;28),"",--MID('Key Analysis'!$C58,28,1))</f>
        <v>0</v>
      </c>
      <c r="FK62" s="29">
        <f>IF(OR($B62="",$A62&lt;29),"",--MID('Key Analysis'!$C58,29,1))</f>
        <v>0</v>
      </c>
      <c r="FL62" s="29">
        <f>IF(OR($B62="",$A62&lt;30),"",--MID('Key Analysis'!$C58,30,1))</f>
        <v>0</v>
      </c>
      <c r="FM62" s="29">
        <f>IF(OR($B62="",$A62&lt;31),"",--MID('Key Analysis'!$C58,31,1))</f>
        <v>1</v>
      </c>
      <c r="FN62" s="29">
        <f>IF(OR($B62="",$A62&lt;32),"",--MID('Key Analysis'!$C58,32,1))</f>
        <v>1</v>
      </c>
      <c r="FO62" s="29">
        <f>IF(OR($B62="",$A62&lt;33),"",--MID('Key Analysis'!$C58,33,1))</f>
        <v>1</v>
      </c>
      <c r="FP62" s="29">
        <f>IF(OR($B62="",$A62&lt;34),"",--MID('Key Analysis'!$C58,34,1))</f>
        <v>1</v>
      </c>
      <c r="FQ62" s="29">
        <f>IF(OR($B62="",$A62&lt;35),"",--MID('Key Analysis'!$C58,35,1))</f>
        <v>0</v>
      </c>
      <c r="FR62" s="29">
        <f>IF(OR($B62="",$A62&lt;36),"",--MID('Key Analysis'!$C58,36,1))</f>
        <v>0</v>
      </c>
      <c r="FS62" s="29">
        <f>IF(OR($B62="",$A62&lt;37),"",--MID('Key Analysis'!$C58,37,1))</f>
        <v>1</v>
      </c>
      <c r="FT62" s="29">
        <f>IF(OR($B62="",$A62&lt;38),"",--MID('Key Analysis'!$C58,38,1))</f>
        <v>0</v>
      </c>
      <c r="FU62" s="29">
        <f>IF(OR($B62="",$A62&lt;39),"",--MID('Key Analysis'!$C58,39,1))</f>
        <v>1</v>
      </c>
      <c r="FV62" s="29">
        <f>IF(OR($B62="",$A62&lt;40),"",--MID('Key Analysis'!$C58,40,1))</f>
        <v>0</v>
      </c>
      <c r="FW62" s="29">
        <f>IF(OR($B62="",$A62&lt;41),"",--MID('Key Analysis'!$C58,41,1))</f>
        <v>1</v>
      </c>
      <c r="FX62" s="29">
        <f>IF(OR($B62="",$A62&lt;42),"",--MID('Key Analysis'!$C58,42,1))</f>
        <v>1</v>
      </c>
      <c r="FY62" s="29">
        <f>IF(OR($B62="",$A62&lt;43),"",--MID('Key Analysis'!$C58,43,1))</f>
        <v>1</v>
      </c>
      <c r="FZ62" s="29">
        <f>IF(OR($B62="",$A62&lt;44),"",--MID('Key Analysis'!$C58,44,1))</f>
        <v>0</v>
      </c>
      <c r="GA62" s="29">
        <f>IF(OR($B62="",$A62&lt;45),"",--MID('Key Analysis'!$C58,45,1))</f>
        <v>1</v>
      </c>
      <c r="GB62" s="29">
        <f>IF(OR($B62="",$A62&lt;46),"",--MID('Key Analysis'!$C58,46,1))</f>
        <v>0</v>
      </c>
      <c r="GC62" s="29">
        <f>IF(OR($B62="",$A62&lt;47),"",--MID('Key Analysis'!$C58,47,1))</f>
        <v>1</v>
      </c>
      <c r="GD62" s="29">
        <f>IF(OR($B62="",$A62&lt;48),"",--MID('Key Analysis'!$C58,48,1))</f>
        <v>1</v>
      </c>
      <c r="GE62" s="29">
        <f>IF(OR($B62="",$A62&lt;49),"",--MID('Key Analysis'!$C58,49,1))</f>
        <v>0</v>
      </c>
      <c r="GF62" s="29">
        <f>IF(OR($B62="",$A62&lt;50),"",--MID('Key Analysis'!$C58,50,1))</f>
        <v>0</v>
      </c>
      <c r="GG62" s="29">
        <f>IF(OR($B62="",$A62&lt;51),"",--MID('Key Analysis'!$C58,51,1))</f>
        <v>0</v>
      </c>
      <c r="GH62" s="29">
        <f>IF(OR($B62="",$A62&lt;52),"",--MID('Key Analysis'!$C58,52,1))</f>
        <v>0</v>
      </c>
      <c r="GI62" s="29">
        <f>IF(OR($B62="",$A62&lt;53),"",--MID('Key Analysis'!$C58,53,1))</f>
        <v>1</v>
      </c>
      <c r="GJ62" s="29">
        <f>IF(OR($B62="",$A62&lt;54),"",--MID('Key Analysis'!$C58,54,1))</f>
        <v>1</v>
      </c>
      <c r="GK62" s="29">
        <f>IF(OR($B62="",$A62&lt;55),"",--MID('Key Analysis'!$C58,55,1))</f>
        <v>1</v>
      </c>
      <c r="GL62" s="29">
        <f>IF(OR($B62="",$A62&lt;56),"",--MID('Key Analysis'!$C58,56,1))</f>
        <v>0</v>
      </c>
      <c r="GM62" s="29">
        <f>IF(OR($B62="",$A62&lt;57),"",--MID('Key Analysis'!$C58,57,1))</f>
        <v>0</v>
      </c>
      <c r="GN62" s="29" t="str">
        <f>IF(OR($B62="",$A62&lt;58),"",--MID('Key Analysis'!$C58,58,1))</f>
        <v/>
      </c>
      <c r="GO62" s="29" t="str">
        <f>IF(OR($B62="",$A62&lt;59),"",--MID('Key Analysis'!$C58,59,1))</f>
        <v/>
      </c>
      <c r="GP62" s="29" t="str">
        <f>IF(OR($B62="",$A62&lt;60),"",--MID('Key Analysis'!$C58,60,1))</f>
        <v/>
      </c>
      <c r="GQ62" s="29" t="str">
        <f>IF(OR($B62="",$A62&lt;61),"",--MID('Key Analysis'!$C58,61,1))</f>
        <v/>
      </c>
      <c r="GR62" s="29" t="str">
        <f>IF(OR($B62="",$A62&lt;62),"",--MID('Key Analysis'!$C58,62,1))</f>
        <v/>
      </c>
      <c r="GS62" s="29" t="str">
        <f>IF(OR($B62="",$A62&lt;63),"",--MID('Key Analysis'!$C58,63,1))</f>
        <v/>
      </c>
      <c r="GT62" s="29" t="str">
        <f>IF(OR($B62="",$A62&lt;64),"",--MID('Key Analysis'!$C58,64,1))</f>
        <v/>
      </c>
      <c r="GU62" s="29" t="str">
        <f>IF(OR($B62="",$A62&lt;65),"",--MID('Key Analysis'!$C58,65,1))</f>
        <v/>
      </c>
      <c r="GV62" s="29" t="str">
        <f>IF(OR($B62="",$A62&lt;66),"",--MID('Key Analysis'!$C58,66,1))</f>
        <v/>
      </c>
      <c r="GW62" s="29" t="str">
        <f>IF(OR($B62="",$A62&lt;67),"",--MID('Key Analysis'!$C58,67,1))</f>
        <v/>
      </c>
      <c r="GX62" s="29" t="str">
        <f>IF(OR($B62="",$A62&lt;68),"",--MID('Key Analysis'!$C58,68,1))</f>
        <v/>
      </c>
      <c r="GY62" s="29" t="str">
        <f>IF(OR($B62="",$A62&lt;69),"",--MID('Key Analysis'!$C58,69,1))</f>
        <v/>
      </c>
      <c r="GZ62" s="29" t="str">
        <f>IF(OR($B62="",$A62&lt;70),"",--MID('Key Analysis'!$C58,70,1))</f>
        <v/>
      </c>
      <c r="HA62" s="29" t="str">
        <f>IF(OR($B62="",$A62&lt;71),"",--MID('Key Analysis'!$C58,71,1))</f>
        <v/>
      </c>
      <c r="HB62" s="29" t="str">
        <f>IF(OR($B62="",$A62&lt;72),"",--MID('Key Analysis'!$C58,72,1))</f>
        <v/>
      </c>
      <c r="HC62" s="29" t="str">
        <f>IF(OR($B62="",$A62&lt;73),"",--MID('Key Analysis'!$C58,73,1))</f>
        <v/>
      </c>
      <c r="HD62" s="29" t="str">
        <f>IF(OR($B62="",$A62&lt;74),"",--MID('Key Analysis'!$C58,74,1))</f>
        <v/>
      </c>
      <c r="HE62" s="29" t="str">
        <f>IF(OR($B62="",$A62&lt;75),"",--MID('Key Analysis'!$C58,75,1))</f>
        <v/>
      </c>
      <c r="HF62" s="29" t="str">
        <f>IF(OR($B62="",$A62&lt;76),"",--MID('Key Analysis'!$C58,76,1))</f>
        <v/>
      </c>
      <c r="HG62" s="29" t="str">
        <f>IF(OR($B62="",$A62&lt;77),"",--MID('Key Analysis'!$C58,77,1))</f>
        <v/>
      </c>
      <c r="HH62" s="29" t="str">
        <f>IF(OR($B62="",$A62&lt;78),"",--MID('Key Analysis'!$C58,78,1))</f>
        <v/>
      </c>
      <c r="HI62" s="29" t="str">
        <f>IF(OR($B62="",$A62&lt;79),"",--MID('Key Analysis'!$C58,79,1))</f>
        <v/>
      </c>
      <c r="HJ62" s="29" t="str">
        <f>IF(OR($B62="",$A62&lt;80),"",--MID('Key Analysis'!$C58,80,1))</f>
        <v/>
      </c>
      <c r="HK62" s="29" t="str">
        <f>IF(OR($B62="",$A62&lt;81),"",--MID('Key Analysis'!$C58,81,1))</f>
        <v/>
      </c>
      <c r="HL62" s="29" t="str">
        <f>IF(OR($B62="",$A62&lt;82),"",--MID('Key Analysis'!$C58,82,1))</f>
        <v/>
      </c>
      <c r="HM62" s="29" t="str">
        <f>IF(OR($B62="",$A62&lt;83),"",--MID('Key Analysis'!$C58,83,1))</f>
        <v/>
      </c>
      <c r="HN62" s="29" t="str">
        <f>IF(OR($B62="",$A62&lt;84),"",--MID('Key Analysis'!$C58,84,1))</f>
        <v/>
      </c>
      <c r="HO62" s="29" t="str">
        <f>IF(OR($B62="",$A62&lt;85),"",--MID('Key Analysis'!$C58,85,1))</f>
        <v/>
      </c>
      <c r="HP62" s="29" t="str">
        <f>IF(OR($B62="",$A62&lt;86),"",--MID('Key Analysis'!$C58,86,1))</f>
        <v/>
      </c>
      <c r="HQ62" s="29" t="str">
        <f>IF(OR($B62="",$A62&lt;87),"",--MID('Key Analysis'!$C58,87,1))</f>
        <v/>
      </c>
      <c r="HR62" s="29" t="str">
        <f>IF(OR($B62="",$A62&lt;88),"",--MID('Key Analysis'!$C58,88,1))</f>
        <v/>
      </c>
      <c r="HS62" s="29" t="str">
        <f>IF(OR($B62="",$A62&lt;89),"",--MID('Key Analysis'!$C58,89,1))</f>
        <v/>
      </c>
      <c r="HT62" s="29" t="str">
        <f>IF(OR($B62="",$A62&lt;90),"",--MID('Key Analysis'!$C58,90,1))</f>
        <v/>
      </c>
      <c r="HU62" s="29" t="str">
        <f>IF(OR($B62="",$A62&lt;91),"",--MID('Key Analysis'!$C58,91,1))</f>
        <v/>
      </c>
      <c r="HV62" s="29" t="str">
        <f>IF(OR($B62="",$A62&lt;92),"",--MID('Key Analysis'!$C58,92,1))</f>
        <v/>
      </c>
      <c r="HW62" s="29" t="str">
        <f>IF(OR($B62="",$A62&lt;93),"",--MID('Key Analysis'!$C58,93,1))</f>
        <v/>
      </c>
      <c r="HX62" s="29" t="str">
        <f>IF(OR($B62="",$A62&lt;94),"",--MID('Key Analysis'!$C58,94,1))</f>
        <v/>
      </c>
      <c r="HY62" s="29" t="str">
        <f>IF(OR($B62="",$A62&lt;95),"",--MID('Key Analysis'!$C58,95,1))</f>
        <v/>
      </c>
      <c r="HZ62" s="29" t="str">
        <f>IF(OR($B62="",$A62&lt;96),"",--MID('Key Analysis'!$C58,96,1))</f>
        <v/>
      </c>
      <c r="IA62" s="29" t="str">
        <f>IF(OR($B62="",$A62&lt;97),"",--MID('Key Analysis'!$C58,97,1))</f>
        <v/>
      </c>
      <c r="IB62" s="29" t="str">
        <f>IF(OR($B62="",$A62&lt;98),"",--MID('Key Analysis'!$C58,98,1))</f>
        <v/>
      </c>
      <c r="IC62" s="29" t="str">
        <f>IF(OR($B62="",$A62&lt;99),"",--MID('Key Analysis'!$C58,99,1))</f>
        <v/>
      </c>
      <c r="ID62" s="29" t="str">
        <f>IF(OR($B62="",$A62&lt;100),"",--MID('Key Analysis'!$C58,100,1))</f>
        <v/>
      </c>
      <c r="IE62" s="29" t="str">
        <f>IF(OR($B62="",$A62&lt;101),"",--MID('Key Analysis'!$C58,101,1))</f>
        <v/>
      </c>
      <c r="IF62" s="29" t="str">
        <f>IF(OR($B62="",$A62&lt;102),"",--MID('Key Analysis'!$C58,102,1))</f>
        <v/>
      </c>
      <c r="IG62" s="29" t="str">
        <f>IF(OR($B62="",$A62&lt;103),"",--MID('Key Analysis'!$C58,103,1))</f>
        <v/>
      </c>
      <c r="IH62" s="29" t="str">
        <f>IF(OR($B62="",$A62&lt;104),"",--MID('Key Analysis'!$C58,104,1))</f>
        <v/>
      </c>
      <c r="II62" s="29" t="str">
        <f>IF(OR($B62="",$A62&lt;105),"",--MID('Key Analysis'!$C58,105,1))</f>
        <v/>
      </c>
      <c r="IJ62" s="29" t="str">
        <f>IF(OR($B62="",$A62&lt;106),"",--MID('Key Analysis'!$C58,106,1))</f>
        <v/>
      </c>
      <c r="IK62" s="29" t="str">
        <f>IF(OR($B62="",$A62&lt;107),"",--MID('Key Analysis'!$C58,107,1))</f>
        <v/>
      </c>
      <c r="IL62" s="29" t="str">
        <f>IF(OR($B62="",$A62&lt;108),"",--MID('Key Analysis'!$C58,108,1))</f>
        <v/>
      </c>
      <c r="IM62" s="29" t="str">
        <f>IF(OR($B62="",$A62&lt;109),"",--MID('Key Analysis'!$C58,109,1))</f>
        <v/>
      </c>
      <c r="IN62" s="29" t="str">
        <f>IF(OR($B62="",$A62&lt;110),"",--MID('Key Analysis'!$C58,110,1))</f>
        <v/>
      </c>
      <c r="IO62" s="29" t="str">
        <f>IF(OR($B62="",$A62&lt;111),"",--MID('Key Analysis'!$C58,111,1))</f>
        <v/>
      </c>
      <c r="IP62" s="29" t="str">
        <f>IF(OR($B62="",$A62&lt;112),"",--MID('Key Analysis'!$C58,112,1))</f>
        <v/>
      </c>
      <c r="IQ62" s="29" t="str">
        <f>IF(OR($B62="",$A62&lt;113),"",--MID('Key Analysis'!$C58,113,1))</f>
        <v/>
      </c>
      <c r="IR62" s="29" t="str">
        <f>IF(OR($B62="",$A62&lt;114),"",--MID('Key Analysis'!$C58,114,1))</f>
        <v/>
      </c>
      <c r="IS62" s="29" t="str">
        <f>IF(OR($B62="",$A62&lt;115),"",--MID('Key Analysis'!$C58,115,1))</f>
        <v/>
      </c>
      <c r="IT62" s="29" t="str">
        <f>IF(OR($B62="",$A62&lt;116),"",--MID('Key Analysis'!$C58,116,1))</f>
        <v/>
      </c>
      <c r="IU62" s="29" t="str">
        <f>IF(OR($B62="",$A62&lt;117),"",--MID('Key Analysis'!$C58,117,1))</f>
        <v/>
      </c>
      <c r="IV62" s="29" t="str">
        <f>IF(OR($B62="",$A62&lt;118),"",--MID('Key Analysis'!$C58,118,1))</f>
        <v/>
      </c>
      <c r="IW62" s="29" t="str">
        <f>IF(OR($B62="",$A62&lt;119),"",--MID('Key Analysis'!$C58,119,1))</f>
        <v/>
      </c>
      <c r="IX62" s="29" t="str">
        <f>IF(OR($B62="",$A62&lt;120),"",--MID('Key Analysis'!$C58,120,1))</f>
        <v/>
      </c>
      <c r="IY62" s="29" t="str">
        <f>IF(OR($B62="",$A62&lt;121),"",--MID('Key Analysis'!$C58,121,1))</f>
        <v/>
      </c>
      <c r="IZ62" s="29" t="str">
        <f>IF(OR($B62="",$A62&lt;122),"",--MID('Key Analysis'!$C58,122,1))</f>
        <v/>
      </c>
      <c r="JA62" s="29" t="str">
        <f>IF(OR($B62="",$A62&lt;123),"",--MID('Key Analysis'!$C58,123,1))</f>
        <v/>
      </c>
      <c r="JB62" s="29" t="str">
        <f>IF(OR($B62="",$A62&lt;124),"",--MID('Key Analysis'!$C58,124,1))</f>
        <v/>
      </c>
      <c r="JC62" s="29" t="str">
        <f>IF(OR($B62="",$A62&lt;125),"",--MID('Key Analysis'!$C58,125,1))</f>
        <v/>
      </c>
      <c r="JD62" s="29" t="str">
        <f>IF(OR($B62="",$A62&lt;126),"",--MID('Key Analysis'!$C58,126,1))</f>
        <v/>
      </c>
      <c r="JE62" s="29" t="str">
        <f>IF(OR($B62="",$A62&lt;127),"",--MID('Key Analysis'!$C58,127,1))</f>
        <v/>
      </c>
      <c r="JF62" s="29" t="str">
        <f>IF(OR($B62="",$A62&lt;128),"",--MID('Key Analysis'!$C58,128,1))</f>
        <v/>
      </c>
      <c r="JG62" s="29" t="str">
        <f>IF(OR($B62="",$A62&lt;129),"",--MID('Key Analysis'!$C58,129,1))</f>
        <v/>
      </c>
      <c r="JH62" s="29" t="str">
        <f>IF(OR($B62="",$A62&lt;130),"",--MID('Key Analysis'!$C58,130,1))</f>
        <v/>
      </c>
      <c r="JI62" s="29" t="str">
        <f>IF(OR($B62="",$A62&lt;131),"",--MID('Key Analysis'!$C58,131,1))</f>
        <v/>
      </c>
      <c r="JJ62" s="29" t="str">
        <f>IF(OR($B62="",$A62&lt;132),"",--MID('Key Analysis'!$C58,132,1))</f>
        <v/>
      </c>
      <c r="JK62" s="29" t="str">
        <f>IF(OR($B62="",$A62&lt;133),"",--MID('Key Analysis'!$C58,133,1))</f>
        <v/>
      </c>
      <c r="JL62" s="29" t="str">
        <f>IF(OR($B62="",$A62&lt;134),"",--MID('Key Analysis'!$C58,134,1))</f>
        <v/>
      </c>
      <c r="JM62" s="29" t="str">
        <f>IF(OR($B62="",$A62&lt;135),"",--MID('Key Analysis'!$C58,135,1))</f>
        <v/>
      </c>
    </row>
    <row r="63" spans="1:273" x14ac:dyDescent="0.25">
      <c r="A63" s="21">
        <f>'Key Analysis'!A59</f>
        <v>58</v>
      </c>
      <c r="B63" s="30" t="str">
        <f>'Key Analysis'!B59</f>
        <v>2c675b852189a21</v>
      </c>
      <c r="C63" s="29">
        <f>IF(OR($B63="",$A63&lt;=0),"",--MID('Key Analysis'!$C59,$A63-0,1))</f>
        <v>1</v>
      </c>
      <c r="D63" s="29">
        <f>IF(OR($B63="",$A63&lt;=1),"",--MID('Key Analysis'!$C59,$A63-1,1))</f>
        <v>0</v>
      </c>
      <c r="E63" s="29">
        <f>IF(OR($B63="",$A63&lt;=2),"",--MID('Key Analysis'!$C59,$A63-2,1))</f>
        <v>0</v>
      </c>
      <c r="F63" s="29">
        <f>IF(OR($B63="",$A63&lt;=3),"",--MID('Key Analysis'!$C59,$A63-3,1))</f>
        <v>0</v>
      </c>
      <c r="G63" s="29">
        <f>IF(OR($B63="",$A63&lt;=4),"",--MID('Key Analysis'!$C59,$A63-4,1))</f>
        <v>0</v>
      </c>
      <c r="H63" s="29">
        <f>IF(OR($B63="",$A63&lt;=5),"",--MID('Key Analysis'!$C59,$A63-5,1))</f>
        <v>1</v>
      </c>
      <c r="I63" s="29">
        <f>IF(OR($B63="",$A63&lt;=6),"",--MID('Key Analysis'!$C59,$A63-6,1))</f>
        <v>0</v>
      </c>
      <c r="J63" s="29">
        <f>IF(OR($B63="",$A63&lt;=7),"",--MID('Key Analysis'!$C59,$A63-7,1))</f>
        <v>0</v>
      </c>
      <c r="K63" s="29">
        <f>IF(OR($B63="",$A63&lt;=8),"",--MID('Key Analysis'!$C59,$A63-8,1))</f>
        <v>0</v>
      </c>
      <c r="L63" s="29">
        <f>IF(OR($B63="",$A63&lt;=9),"",--MID('Key Analysis'!$C59,$A63-9,1))</f>
        <v>1</v>
      </c>
      <c r="M63" s="29">
        <f>IF(OR($B63="",$A63&lt;=10),"",--MID('Key Analysis'!$C59,$A63-10,1))</f>
        <v>0</v>
      </c>
      <c r="N63" s="29">
        <f>IF(OR($B63="",$A63&lt;=11),"",--MID('Key Analysis'!$C59,$A63-11,1))</f>
        <v>1</v>
      </c>
      <c r="O63" s="29">
        <f>IF(OR($B63="",$A63&lt;=12),"",--MID('Key Analysis'!$C59,$A63-12,1))</f>
        <v>1</v>
      </c>
      <c r="P63" s="29">
        <f>IF(OR($B63="",$A63&lt;=13),"",--MID('Key Analysis'!$C59,$A63-13,1))</f>
        <v>0</v>
      </c>
      <c r="Q63" s="29">
        <f>IF(OR($B63="",$A63&lt;=14),"",--MID('Key Analysis'!$C59,$A63-14,1))</f>
        <v>0</v>
      </c>
      <c r="R63" s="29">
        <f>IF(OR($B63="",$A63&lt;=15),"",--MID('Key Analysis'!$C59,$A63-15,1))</f>
        <v>1</v>
      </c>
      <c r="S63" s="29">
        <f>IF(OR($B63="",$A63&lt;=16),"",--MID('Key Analysis'!$C59,$A63-16,1))</f>
        <v>0</v>
      </c>
      <c r="T63" s="29">
        <f>IF(OR($B63="",$A63&lt;=17),"",--MID('Key Analysis'!$C59,$A63-17,1))</f>
        <v>0</v>
      </c>
      <c r="U63" s="29">
        <f>IF(OR($B63="",$A63&lt;=18),"",--MID('Key Analysis'!$C59,$A63-18,1))</f>
        <v>0</v>
      </c>
      <c r="V63" s="29">
        <f>IF(OR($B63="",$A63&lt;=19),"",--MID('Key Analysis'!$C59,$A63-19,1))</f>
        <v>1</v>
      </c>
      <c r="W63" s="29">
        <f>IF(OR($B63="",$A63&lt;=20),"",--MID('Key Analysis'!$C59,$A63-20,1))</f>
        <v>1</v>
      </c>
      <c r="X63" s="29">
        <f>IF(OR($B63="",$A63&lt;=21),"",--MID('Key Analysis'!$C59,$A63-21,1))</f>
        <v>0</v>
      </c>
      <c r="Y63" s="29">
        <f>IF(OR($B63="",$A63&lt;=22),"",--MID('Key Analysis'!$C59,$A63-22,1))</f>
        <v>0</v>
      </c>
      <c r="Z63" s="29">
        <f>IF(OR($B63="",$A63&lt;=23),"",--MID('Key Analysis'!$C59,$A63-23,1))</f>
        <v>0</v>
      </c>
      <c r="AA63" s="29">
        <f>IF(OR($B63="",$A63&lt;=24),"",--MID('Key Analysis'!$C59,$A63-24,1))</f>
        <v>0</v>
      </c>
      <c r="AB63" s="29">
        <f>IF(OR($B63="",$A63&lt;=25),"",--MID('Key Analysis'!$C59,$A63-25,1))</f>
        <v>1</v>
      </c>
      <c r="AC63" s="29">
        <f>IF(OR($B63="",$A63&lt;=26),"",--MID('Key Analysis'!$C59,$A63-26,1))</f>
        <v>0</v>
      </c>
      <c r="AD63" s="29">
        <f>IF(OR($B63="",$A63&lt;=27),"",--MID('Key Analysis'!$C59,$A63-27,1))</f>
        <v>0</v>
      </c>
      <c r="AE63" s="29">
        <f>IF(OR($B63="",$A63&lt;=28),"",--MID('Key Analysis'!$C59,$A63-28,1))</f>
        <v>1</v>
      </c>
      <c r="AF63" s="29">
        <f>IF(OR($B63="",$A63&lt;=29),"",--MID('Key Analysis'!$C59,$A63-29,1))</f>
        <v>0</v>
      </c>
      <c r="AG63" s="29">
        <f>IF(OR($B63="",$A63&lt;=30),"",--MID('Key Analysis'!$C59,$A63-30,1))</f>
        <v>1</v>
      </c>
      <c r="AH63" s="29">
        <f>IF(OR($B63="",$A63&lt;=31),"",--MID('Key Analysis'!$C59,$A63-31,1))</f>
        <v>0</v>
      </c>
      <c r="AI63" s="29">
        <f>IF(OR($B63="",$A63&lt;=32),"",--MID('Key Analysis'!$C59,$A63-32,1))</f>
        <v>0</v>
      </c>
      <c r="AJ63" s="29">
        <f>IF(OR($B63="",$A63&lt;=33),"",--MID('Key Analysis'!$C59,$A63-33,1))</f>
        <v>0</v>
      </c>
      <c r="AK63" s="29">
        <f>IF(OR($B63="",$A63&lt;=34),"",--MID('Key Analysis'!$C59,$A63-34,1))</f>
        <v>0</v>
      </c>
      <c r="AL63" s="29">
        <f>IF(OR($B63="",$A63&lt;=35),"",--MID('Key Analysis'!$C59,$A63-35,1))</f>
        <v>1</v>
      </c>
      <c r="AM63" s="29">
        <f>IF(OR($B63="",$A63&lt;=36),"",--MID('Key Analysis'!$C59,$A63-36,1))</f>
        <v>1</v>
      </c>
      <c r="AN63" s="29">
        <f>IF(OR($B63="",$A63&lt;=37),"",--MID('Key Analysis'!$C59,$A63-37,1))</f>
        <v>1</v>
      </c>
      <c r="AO63" s="29">
        <f>IF(OR($B63="",$A63&lt;=38),"",--MID('Key Analysis'!$C59,$A63-38,1))</f>
        <v>0</v>
      </c>
      <c r="AP63" s="29">
        <f>IF(OR($B63="",$A63&lt;=39),"",--MID('Key Analysis'!$C59,$A63-39,1))</f>
        <v>1</v>
      </c>
      <c r="AQ63" s="29">
        <f>IF(OR($B63="",$A63&lt;=40),"",--MID('Key Analysis'!$C59,$A63-40,1))</f>
        <v>1</v>
      </c>
      <c r="AR63" s="29">
        <f>IF(OR($B63="",$A63&lt;=41),"",--MID('Key Analysis'!$C59,$A63-41,1))</f>
        <v>0</v>
      </c>
      <c r="AS63" s="29">
        <f>IF(OR($B63="",$A63&lt;=42),"",--MID('Key Analysis'!$C59,$A63-42,1))</f>
        <v>1</v>
      </c>
      <c r="AT63" s="29">
        <f>IF(OR($B63="",$A63&lt;=43),"",--MID('Key Analysis'!$C59,$A63-43,1))</f>
        <v>0</v>
      </c>
      <c r="AU63" s="29">
        <f>IF(OR($B63="",$A63&lt;=44),"",--MID('Key Analysis'!$C59,$A63-44,1))</f>
        <v>1</v>
      </c>
      <c r="AV63" s="29">
        <f>IF(OR($B63="",$A63&lt;=45),"",--MID('Key Analysis'!$C59,$A63-45,1))</f>
        <v>1</v>
      </c>
      <c r="AW63" s="29">
        <f>IF(OR($B63="",$A63&lt;=46),"",--MID('Key Analysis'!$C59,$A63-46,1))</f>
        <v>1</v>
      </c>
      <c r="AX63" s="29">
        <f>IF(OR($B63="",$A63&lt;=47),"",--MID('Key Analysis'!$C59,$A63-47,1))</f>
        <v>0</v>
      </c>
      <c r="AY63" s="29">
        <f>IF(OR($B63="",$A63&lt;=48),"",--MID('Key Analysis'!$C59,$A63-48,1))</f>
        <v>0</v>
      </c>
      <c r="AZ63" s="29">
        <f>IF(OR($B63="",$A63&lt;=49),"",--MID('Key Analysis'!$C59,$A63-49,1))</f>
        <v>1</v>
      </c>
      <c r="BA63" s="29">
        <f>IF(OR($B63="",$A63&lt;=50),"",--MID('Key Analysis'!$C59,$A63-50,1))</f>
        <v>1</v>
      </c>
      <c r="BB63" s="29">
        <f>IF(OR($B63="",$A63&lt;=51),"",--MID('Key Analysis'!$C59,$A63-51,1))</f>
        <v>0</v>
      </c>
      <c r="BC63" s="29">
        <f>IF(OR($B63="",$A63&lt;=52),"",--MID('Key Analysis'!$C59,$A63-52,1))</f>
        <v>0</v>
      </c>
      <c r="BD63" s="29">
        <f>IF(OR($B63="",$A63&lt;=53),"",--MID('Key Analysis'!$C59,$A63-53,1))</f>
        <v>0</v>
      </c>
      <c r="BE63" s="29">
        <f>IF(OR($B63="",$A63&lt;=54),"",--MID('Key Analysis'!$C59,$A63-54,1))</f>
        <v>1</v>
      </c>
      <c r="BF63" s="29">
        <f>IF(OR($B63="",$A63&lt;=55),"",--MID('Key Analysis'!$C59,$A63-55,1))</f>
        <v>1</v>
      </c>
      <c r="BG63" s="29">
        <f>IF(OR($B63="",$A63&lt;=56),"",--MID('Key Analysis'!$C59,$A63-56,1))</f>
        <v>0</v>
      </c>
      <c r="BH63" s="29">
        <f>IF(OR($B63="",$A63&lt;=57),"",--MID('Key Analysis'!$C59,$A63-57,1))</f>
        <v>1</v>
      </c>
      <c r="BI63" s="29" t="str">
        <f>IF(OR($B63="",$A63&lt;=58),"",--MID('Key Analysis'!$C59,$A63-58,1))</f>
        <v/>
      </c>
      <c r="BJ63" s="29" t="str">
        <f>IF(OR($B63="",$A63&lt;=59),"",--MID('Key Analysis'!$C59,$A63-59,1))</f>
        <v/>
      </c>
      <c r="BK63" s="29" t="str">
        <f>IF(OR($B63="",$A63&lt;=60),"",--MID('Key Analysis'!$C59,$A63-60,1))</f>
        <v/>
      </c>
      <c r="BL63" s="29" t="str">
        <f>IF(OR($B63="",$A63&lt;=61),"",--MID('Key Analysis'!$C59,$A63-61,1))</f>
        <v/>
      </c>
      <c r="BM63" s="29" t="str">
        <f>IF(OR($B63="",$A63&lt;=62),"",--MID('Key Analysis'!$C59,$A63-62,1))</f>
        <v/>
      </c>
      <c r="BN63" s="29" t="str">
        <f>IF(OR($B63="",$A63&lt;=63),"",--MID('Key Analysis'!$C59,$A63-63,1))</f>
        <v/>
      </c>
      <c r="BO63" s="29" t="str">
        <f>IF(OR($B63="",$A63&lt;=64),"",--MID('Key Analysis'!$C59,$A63-64,1))</f>
        <v/>
      </c>
      <c r="BP63" s="29" t="str">
        <f>IF(OR($B63="",$A63&lt;=65),"",--MID('Key Analysis'!$C59,$A63-65,1))</f>
        <v/>
      </c>
      <c r="BQ63" s="29" t="str">
        <f>IF(OR($B63="",$A63&lt;=66),"",--MID('Key Analysis'!$C59,$A63-66,1))</f>
        <v/>
      </c>
      <c r="BR63" s="29" t="str">
        <f>IF(OR($B63="",$A63&lt;=67),"",--MID('Key Analysis'!$C59,$A63-67,1))</f>
        <v/>
      </c>
      <c r="BS63" s="29" t="str">
        <f>IF(OR($B63="",$A63&lt;=68),"",--MID('Key Analysis'!$C59,$A63-68,1))</f>
        <v/>
      </c>
      <c r="BT63" s="29" t="str">
        <f>IF(OR($B63="",$A63&lt;=69),"",--MID('Key Analysis'!$C59,$A63-69,1))</f>
        <v/>
      </c>
      <c r="BU63" s="29" t="str">
        <f>IF(OR($B63="",$A63&lt;=70),"",--MID('Key Analysis'!$C59,$A63-70,1))</f>
        <v/>
      </c>
      <c r="BV63" s="29" t="str">
        <f>IF(OR($B63="",$A63&lt;=71),"",--MID('Key Analysis'!$C59,$A63-71,1))</f>
        <v/>
      </c>
      <c r="BW63" s="29" t="str">
        <f>IF(OR($B63="",$A63&lt;=72),"",--MID('Key Analysis'!$C59,$A63-72,1))</f>
        <v/>
      </c>
      <c r="BX63" s="29" t="str">
        <f>IF(OR($B63="",$A63&lt;=73),"",--MID('Key Analysis'!$C59,$A63-73,1))</f>
        <v/>
      </c>
      <c r="BY63" s="29" t="str">
        <f>IF(OR($B63="",$A63&lt;=74),"",--MID('Key Analysis'!$C59,$A63-74,1))</f>
        <v/>
      </c>
      <c r="BZ63" s="29" t="str">
        <f>IF(OR($B63="",$A63&lt;=75),"",--MID('Key Analysis'!$C59,$A63-75,1))</f>
        <v/>
      </c>
      <c r="CA63" s="29" t="str">
        <f>IF(OR($B63="",$A63&lt;=76),"",--MID('Key Analysis'!$C59,$A63-76,1))</f>
        <v/>
      </c>
      <c r="CB63" s="29" t="str">
        <f>IF(OR($B63="",$A63&lt;=77),"",--MID('Key Analysis'!$C59,$A63-77,1))</f>
        <v/>
      </c>
      <c r="CC63" s="29" t="str">
        <f>IF(OR($B63="",$A63&lt;=78),"",--MID('Key Analysis'!$C59,$A63-78,1))</f>
        <v/>
      </c>
      <c r="CD63" s="29" t="str">
        <f>IF(OR($B63="",$A63&lt;=79),"",--MID('Key Analysis'!$C59,$A63-79,1))</f>
        <v/>
      </c>
      <c r="CE63" s="29" t="str">
        <f>IF(OR($B63="",$A63&lt;=80),"",--MID('Key Analysis'!$C59,$A63-80,1))</f>
        <v/>
      </c>
      <c r="CF63" s="29" t="str">
        <f>IF(OR($B63="",$A63&lt;=81),"",--MID('Key Analysis'!$C59,$A63-81,1))</f>
        <v/>
      </c>
      <c r="CG63" s="29" t="str">
        <f>IF(OR($B63="",$A63&lt;=82),"",--MID('Key Analysis'!$C59,$A63-82,1))</f>
        <v/>
      </c>
      <c r="CH63" s="29" t="str">
        <f>IF(OR($B63="",$A63&lt;=83),"",--MID('Key Analysis'!$C59,$A63-83,1))</f>
        <v/>
      </c>
      <c r="CI63" s="29" t="str">
        <f>IF(OR($B63="",$A63&lt;=84),"",--MID('Key Analysis'!$C59,$A63-84,1))</f>
        <v/>
      </c>
      <c r="CJ63" s="29" t="str">
        <f>IF(OR($B63="",$A63&lt;=85),"",--MID('Key Analysis'!$C59,$A63-85,1))</f>
        <v/>
      </c>
      <c r="CK63" s="29" t="str">
        <f>IF(OR($B63="",$A63&lt;=86),"",--MID('Key Analysis'!$C59,$A63-86,1))</f>
        <v/>
      </c>
      <c r="CL63" s="29" t="str">
        <f>IF(OR($B63="",$A63&lt;=87),"",--MID('Key Analysis'!$C59,$A63-87,1))</f>
        <v/>
      </c>
      <c r="CM63" s="29" t="str">
        <f>IF(OR($B63="",$A63&lt;=88),"",--MID('Key Analysis'!$C59,$A63-88,1))</f>
        <v/>
      </c>
      <c r="CN63" s="29" t="str">
        <f>IF(OR($B63="",$A63&lt;=89),"",--MID('Key Analysis'!$C59,$A63-89,1))</f>
        <v/>
      </c>
      <c r="CO63" s="29" t="str">
        <f>IF(OR($B63="",$A63&lt;=90),"",--MID('Key Analysis'!$C59,$A63-90,1))</f>
        <v/>
      </c>
      <c r="CP63" s="29" t="str">
        <f>IF(OR($B63="",$A63&lt;=91),"",--MID('Key Analysis'!$C59,$A63-91,1))</f>
        <v/>
      </c>
      <c r="CQ63" s="29" t="str">
        <f>IF(OR($B63="",$A63&lt;=92),"",--MID('Key Analysis'!$C59,$A63-92,1))</f>
        <v/>
      </c>
      <c r="CR63" s="29" t="str">
        <f>IF(OR($B63="",$A63&lt;=93),"",--MID('Key Analysis'!$C59,$A63-93,1))</f>
        <v/>
      </c>
      <c r="CS63" s="29" t="str">
        <f>IF(OR($B63="",$A63&lt;=94),"",--MID('Key Analysis'!$C59,$A63-94,1))</f>
        <v/>
      </c>
      <c r="CT63" s="29" t="str">
        <f>IF(OR($B63="",$A63&lt;=95),"",--MID('Key Analysis'!$C59,$A63-95,1))</f>
        <v/>
      </c>
      <c r="CU63" s="29" t="str">
        <f>IF(OR($B63="",$A63&lt;=96),"",--MID('Key Analysis'!$C59,$A63-96,1))</f>
        <v/>
      </c>
      <c r="CV63" s="29" t="str">
        <f>IF(OR($B63="",$A63&lt;=97),"",--MID('Key Analysis'!$C59,$A63-97,1))</f>
        <v/>
      </c>
      <c r="CW63" s="29" t="str">
        <f>IF(OR($B63="",$A63&lt;=98),"",--MID('Key Analysis'!$C59,$A63-98,1))</f>
        <v/>
      </c>
      <c r="CX63" s="29" t="str">
        <f>IF(OR($B63="",$A63&lt;=99),"",--MID('Key Analysis'!$C59,$A63-99,1))</f>
        <v/>
      </c>
      <c r="CY63" s="29" t="str">
        <f>IF(OR($B63="",$A63&lt;=100),"",--MID('Key Analysis'!$C59,$A63-100,1))</f>
        <v/>
      </c>
      <c r="CZ63" s="29" t="str">
        <f>IF(OR($B63="",$A63&lt;=101),"",--MID('Key Analysis'!$C59,$A63-101,1))</f>
        <v/>
      </c>
      <c r="DA63" s="29" t="str">
        <f>IF(OR($B63="",$A63&lt;=102),"",--MID('Key Analysis'!$C59,$A63-102,1))</f>
        <v/>
      </c>
      <c r="DB63" s="29" t="str">
        <f>IF(OR($B63="",$A63&lt;=103),"",--MID('Key Analysis'!$C59,$A63-103,1))</f>
        <v/>
      </c>
      <c r="DC63" s="29" t="str">
        <f>IF(OR($B63="",$A63&lt;=104),"",--MID('Key Analysis'!$C59,$A63-104,1))</f>
        <v/>
      </c>
      <c r="DD63" s="29" t="str">
        <f>IF(OR($B63="",$A63&lt;=105),"",--MID('Key Analysis'!$C59,$A63-105,1))</f>
        <v/>
      </c>
      <c r="DE63" s="29" t="str">
        <f>IF(OR($B63="",$A63&lt;=106),"",--MID('Key Analysis'!$C59,$A63-106,1))</f>
        <v/>
      </c>
      <c r="DF63" s="29" t="str">
        <f>IF(OR($B63="",$A63&lt;=107),"",--MID('Key Analysis'!$C59,$A63-107,1))</f>
        <v/>
      </c>
      <c r="DG63" s="29" t="str">
        <f>IF(OR($B63="",$A63&lt;=108),"",--MID('Key Analysis'!$C59,$A63-108,1))</f>
        <v/>
      </c>
      <c r="DH63" s="29" t="str">
        <f>IF(OR($B63="",$A63&lt;=109),"",--MID('Key Analysis'!$C59,$A63-109,1))</f>
        <v/>
      </c>
      <c r="DI63" s="29" t="str">
        <f>IF(OR($B63="",$A63&lt;=110),"",--MID('Key Analysis'!$C59,$A63-110,1))</f>
        <v/>
      </c>
      <c r="DJ63" s="29" t="str">
        <f>IF(OR($B63="",$A63&lt;=111),"",--MID('Key Analysis'!$C59,$A63-111,1))</f>
        <v/>
      </c>
      <c r="DK63" s="29" t="str">
        <f>IF(OR($B63="",$A63&lt;=112),"",--MID('Key Analysis'!$C59,$A63-112,1))</f>
        <v/>
      </c>
      <c r="DL63" s="29" t="str">
        <f>IF(OR($B63="",$A63&lt;=113),"",--MID('Key Analysis'!$C59,$A63-113,1))</f>
        <v/>
      </c>
      <c r="DM63" s="29" t="str">
        <f>IF(OR($B63="",$A63&lt;=114),"",--MID('Key Analysis'!$C59,$A63-114,1))</f>
        <v/>
      </c>
      <c r="DN63" s="29" t="str">
        <f>IF(OR($B63="",$A63&lt;=115),"",--MID('Key Analysis'!$C59,$A63-115,1))</f>
        <v/>
      </c>
      <c r="DO63" s="29" t="str">
        <f>IF(OR($B63="",$A63&lt;=116),"",--MID('Key Analysis'!$C59,$A63-116,1))</f>
        <v/>
      </c>
      <c r="DP63" s="29" t="str">
        <f>IF(OR($B63="",$A63&lt;=117),"",--MID('Key Analysis'!$C59,$A63-117,1))</f>
        <v/>
      </c>
      <c r="DQ63" s="29" t="str">
        <f>IF(OR($B63="",$A63&lt;=118),"",--MID('Key Analysis'!$C59,$A63-118,1))</f>
        <v/>
      </c>
      <c r="DR63" s="29" t="str">
        <f>IF(OR($B63="",$A63&lt;=119),"",--MID('Key Analysis'!$C59,$A63-119,1))</f>
        <v/>
      </c>
      <c r="DS63" s="29" t="str">
        <f>IF(OR($B63="",$A63&lt;=120),"",--MID('Key Analysis'!$C59,$A63-120,1))</f>
        <v/>
      </c>
      <c r="DT63" s="29" t="str">
        <f>IF(OR($B63="",$A63&lt;=121),"",--MID('Key Analysis'!$C59,$A63-121,1))</f>
        <v/>
      </c>
      <c r="DU63" s="29" t="str">
        <f>IF(OR($B63="",$A63&lt;=122),"",--MID('Key Analysis'!$C59,$A63-122,1))</f>
        <v/>
      </c>
      <c r="DV63" s="29" t="str">
        <f>IF(OR($B63="",$A63&lt;=123),"",--MID('Key Analysis'!$C59,$A63-123,1))</f>
        <v/>
      </c>
      <c r="DW63" s="29" t="str">
        <f>IF(OR($B63="",$A63&lt;=124),"",--MID('Key Analysis'!$C59,$A63-124,1))</f>
        <v/>
      </c>
      <c r="DX63" s="29" t="str">
        <f>IF(OR($B63="",$A63&lt;=125),"",--MID('Key Analysis'!$C59,$A63-125,1))</f>
        <v/>
      </c>
      <c r="DY63" s="29" t="str">
        <f>IF(OR($B63="",$A63&lt;=126),"",--MID('Key Analysis'!$C59,$A63-126,1))</f>
        <v/>
      </c>
      <c r="DZ63" s="29" t="str">
        <f>IF(OR($B63="",$A63&lt;=127),"",--MID('Key Analysis'!$C59,$A63-127,1))</f>
        <v/>
      </c>
      <c r="EA63" s="29" t="str">
        <f>IF(OR($B63="",$A63&lt;=128),"",--MID('Key Analysis'!$C59,$A63-128,1))</f>
        <v/>
      </c>
      <c r="EB63" s="29" t="str">
        <f>IF(OR($B63="",$A63&lt;=129),"",--MID('Key Analysis'!$C59,$A63-129,1))</f>
        <v/>
      </c>
      <c r="EC63" s="29" t="str">
        <f>IF(OR($B63="",$A63&lt;=130),"",--MID('Key Analysis'!$C59,$A63-130,1))</f>
        <v/>
      </c>
      <c r="ED63" s="29" t="str">
        <f>IF(OR($B63="",$A63&lt;=131),"",--MID('Key Analysis'!$C59,$A63-131,1))</f>
        <v/>
      </c>
      <c r="EE63" s="29" t="str">
        <f>IF(OR($B63="",$A63&lt;=132),"",--MID('Key Analysis'!$C59,$A63-132,1))</f>
        <v/>
      </c>
      <c r="EF63" s="29" t="str">
        <f>IF(OR($B63="",$A63&lt;=133),"",--MID('Key Analysis'!$C59,$A63-133,1))</f>
        <v/>
      </c>
      <c r="EG63" s="29" t="str">
        <f>IF(OR($B63="",$A63&lt;=134),"",--MID('Key Analysis'!$C59,$A63-134,1))</f>
        <v/>
      </c>
      <c r="EH63" s="29"/>
      <c r="EI63" s="29">
        <f>IF(OR($B63="",$A63&lt;1),"",--MID('Key Analysis'!$C59,1,1))</f>
        <v>1</v>
      </c>
      <c r="EJ63" s="29">
        <f>IF(OR($B63="",$A63&lt;2),"",--MID('Key Analysis'!$C59,2,1))</f>
        <v>0</v>
      </c>
      <c r="EK63" s="29">
        <f>IF(OR($B63="",$A63&lt;3),"",--MID('Key Analysis'!$C59,3,1))</f>
        <v>1</v>
      </c>
      <c r="EL63" s="29">
        <f>IF(OR($B63="",$A63&lt;4),"",--MID('Key Analysis'!$C59,4,1))</f>
        <v>1</v>
      </c>
      <c r="EM63" s="29">
        <f>IF(OR($B63="",$A63&lt;5),"",--MID('Key Analysis'!$C59,5,1))</f>
        <v>0</v>
      </c>
      <c r="EN63" s="29">
        <f>IF(OR($B63="",$A63&lt;6),"",--MID('Key Analysis'!$C59,6,1))</f>
        <v>0</v>
      </c>
      <c r="EO63" s="29">
        <f>IF(OR($B63="",$A63&lt;7),"",--MID('Key Analysis'!$C59,7,1))</f>
        <v>0</v>
      </c>
      <c r="EP63" s="29">
        <f>IF(OR($B63="",$A63&lt;8),"",--MID('Key Analysis'!$C59,8,1))</f>
        <v>1</v>
      </c>
      <c r="EQ63" s="29">
        <f>IF(OR($B63="",$A63&lt;9),"",--MID('Key Analysis'!$C59,9,1))</f>
        <v>1</v>
      </c>
      <c r="ER63" s="29">
        <f>IF(OR($B63="",$A63&lt;10),"",--MID('Key Analysis'!$C59,10,1))</f>
        <v>0</v>
      </c>
      <c r="ES63" s="29">
        <f>IF(OR($B63="",$A63&lt;11),"",--MID('Key Analysis'!$C59,11,1))</f>
        <v>0</v>
      </c>
      <c r="ET63" s="29">
        <f>IF(OR($B63="",$A63&lt;12),"",--MID('Key Analysis'!$C59,12,1))</f>
        <v>1</v>
      </c>
      <c r="EU63" s="29">
        <f>IF(OR($B63="",$A63&lt;13),"",--MID('Key Analysis'!$C59,13,1))</f>
        <v>1</v>
      </c>
      <c r="EV63" s="29">
        <f>IF(OR($B63="",$A63&lt;14),"",--MID('Key Analysis'!$C59,14,1))</f>
        <v>1</v>
      </c>
      <c r="EW63" s="29">
        <f>IF(OR($B63="",$A63&lt;15),"",--MID('Key Analysis'!$C59,15,1))</f>
        <v>0</v>
      </c>
      <c r="EX63" s="29">
        <f>IF(OR($B63="",$A63&lt;16),"",--MID('Key Analysis'!$C59,16,1))</f>
        <v>1</v>
      </c>
      <c r="EY63" s="29">
        <f>IF(OR($B63="",$A63&lt;17),"",--MID('Key Analysis'!$C59,17,1))</f>
        <v>0</v>
      </c>
      <c r="EZ63" s="29">
        <f>IF(OR($B63="",$A63&lt;18),"",--MID('Key Analysis'!$C59,18,1))</f>
        <v>1</v>
      </c>
      <c r="FA63" s="29">
        <f>IF(OR($B63="",$A63&lt;19),"",--MID('Key Analysis'!$C59,19,1))</f>
        <v>1</v>
      </c>
      <c r="FB63" s="29">
        <f>IF(OR($B63="",$A63&lt;20),"",--MID('Key Analysis'!$C59,20,1))</f>
        <v>0</v>
      </c>
      <c r="FC63" s="29">
        <f>IF(OR($B63="",$A63&lt;21),"",--MID('Key Analysis'!$C59,21,1))</f>
        <v>1</v>
      </c>
      <c r="FD63" s="29">
        <f>IF(OR($B63="",$A63&lt;22),"",--MID('Key Analysis'!$C59,22,1))</f>
        <v>1</v>
      </c>
      <c r="FE63" s="29">
        <f>IF(OR($B63="",$A63&lt;23),"",--MID('Key Analysis'!$C59,23,1))</f>
        <v>1</v>
      </c>
      <c r="FF63" s="29">
        <f>IF(OR($B63="",$A63&lt;24),"",--MID('Key Analysis'!$C59,24,1))</f>
        <v>0</v>
      </c>
      <c r="FG63" s="29">
        <f>IF(OR($B63="",$A63&lt;25),"",--MID('Key Analysis'!$C59,25,1))</f>
        <v>0</v>
      </c>
      <c r="FH63" s="29">
        <f>IF(OR($B63="",$A63&lt;26),"",--MID('Key Analysis'!$C59,26,1))</f>
        <v>0</v>
      </c>
      <c r="FI63" s="29">
        <f>IF(OR($B63="",$A63&lt;27),"",--MID('Key Analysis'!$C59,27,1))</f>
        <v>0</v>
      </c>
      <c r="FJ63" s="29">
        <f>IF(OR($B63="",$A63&lt;28),"",--MID('Key Analysis'!$C59,28,1))</f>
        <v>1</v>
      </c>
      <c r="FK63" s="29">
        <f>IF(OR($B63="",$A63&lt;29),"",--MID('Key Analysis'!$C59,29,1))</f>
        <v>0</v>
      </c>
      <c r="FL63" s="29">
        <f>IF(OR($B63="",$A63&lt;30),"",--MID('Key Analysis'!$C59,30,1))</f>
        <v>1</v>
      </c>
      <c r="FM63" s="29">
        <f>IF(OR($B63="",$A63&lt;31),"",--MID('Key Analysis'!$C59,31,1))</f>
        <v>0</v>
      </c>
      <c r="FN63" s="29">
        <f>IF(OR($B63="",$A63&lt;32),"",--MID('Key Analysis'!$C59,32,1))</f>
        <v>0</v>
      </c>
      <c r="FO63" s="29">
        <f>IF(OR($B63="",$A63&lt;33),"",--MID('Key Analysis'!$C59,33,1))</f>
        <v>1</v>
      </c>
      <c r="FP63" s="29">
        <f>IF(OR($B63="",$A63&lt;34),"",--MID('Key Analysis'!$C59,34,1))</f>
        <v>0</v>
      </c>
      <c r="FQ63" s="29">
        <f>IF(OR($B63="",$A63&lt;35),"",--MID('Key Analysis'!$C59,35,1))</f>
        <v>0</v>
      </c>
      <c r="FR63" s="29">
        <f>IF(OR($B63="",$A63&lt;36),"",--MID('Key Analysis'!$C59,36,1))</f>
        <v>0</v>
      </c>
      <c r="FS63" s="29">
        <f>IF(OR($B63="",$A63&lt;37),"",--MID('Key Analysis'!$C59,37,1))</f>
        <v>0</v>
      </c>
      <c r="FT63" s="29">
        <f>IF(OR($B63="",$A63&lt;38),"",--MID('Key Analysis'!$C59,38,1))</f>
        <v>1</v>
      </c>
      <c r="FU63" s="29">
        <f>IF(OR($B63="",$A63&lt;39),"",--MID('Key Analysis'!$C59,39,1))</f>
        <v>1</v>
      </c>
      <c r="FV63" s="29">
        <f>IF(OR($B63="",$A63&lt;40),"",--MID('Key Analysis'!$C59,40,1))</f>
        <v>0</v>
      </c>
      <c r="FW63" s="29">
        <f>IF(OR($B63="",$A63&lt;41),"",--MID('Key Analysis'!$C59,41,1))</f>
        <v>0</v>
      </c>
      <c r="FX63" s="29">
        <f>IF(OR($B63="",$A63&lt;42),"",--MID('Key Analysis'!$C59,42,1))</f>
        <v>0</v>
      </c>
      <c r="FY63" s="29">
        <f>IF(OR($B63="",$A63&lt;43),"",--MID('Key Analysis'!$C59,43,1))</f>
        <v>1</v>
      </c>
      <c r="FZ63" s="29">
        <f>IF(OR($B63="",$A63&lt;44),"",--MID('Key Analysis'!$C59,44,1))</f>
        <v>0</v>
      </c>
      <c r="GA63" s="29">
        <f>IF(OR($B63="",$A63&lt;45),"",--MID('Key Analysis'!$C59,45,1))</f>
        <v>0</v>
      </c>
      <c r="GB63" s="29">
        <f>IF(OR($B63="",$A63&lt;46),"",--MID('Key Analysis'!$C59,46,1))</f>
        <v>1</v>
      </c>
      <c r="GC63" s="29">
        <f>IF(OR($B63="",$A63&lt;47),"",--MID('Key Analysis'!$C59,47,1))</f>
        <v>1</v>
      </c>
      <c r="GD63" s="29">
        <f>IF(OR($B63="",$A63&lt;48),"",--MID('Key Analysis'!$C59,48,1))</f>
        <v>0</v>
      </c>
      <c r="GE63" s="29">
        <f>IF(OR($B63="",$A63&lt;49),"",--MID('Key Analysis'!$C59,49,1))</f>
        <v>1</v>
      </c>
      <c r="GF63" s="29">
        <f>IF(OR($B63="",$A63&lt;50),"",--MID('Key Analysis'!$C59,50,1))</f>
        <v>0</v>
      </c>
      <c r="GG63" s="29">
        <f>IF(OR($B63="",$A63&lt;51),"",--MID('Key Analysis'!$C59,51,1))</f>
        <v>0</v>
      </c>
      <c r="GH63" s="29">
        <f>IF(OR($B63="",$A63&lt;52),"",--MID('Key Analysis'!$C59,52,1))</f>
        <v>0</v>
      </c>
      <c r="GI63" s="29">
        <f>IF(OR($B63="",$A63&lt;53),"",--MID('Key Analysis'!$C59,53,1))</f>
        <v>1</v>
      </c>
      <c r="GJ63" s="29">
        <f>IF(OR($B63="",$A63&lt;54),"",--MID('Key Analysis'!$C59,54,1))</f>
        <v>0</v>
      </c>
      <c r="GK63" s="29">
        <f>IF(OR($B63="",$A63&lt;55),"",--MID('Key Analysis'!$C59,55,1))</f>
        <v>0</v>
      </c>
      <c r="GL63" s="29">
        <f>IF(OR($B63="",$A63&lt;56),"",--MID('Key Analysis'!$C59,56,1))</f>
        <v>0</v>
      </c>
      <c r="GM63" s="29">
        <f>IF(OR($B63="",$A63&lt;57),"",--MID('Key Analysis'!$C59,57,1))</f>
        <v>0</v>
      </c>
      <c r="GN63" s="29">
        <f>IF(OR($B63="",$A63&lt;58),"",--MID('Key Analysis'!$C59,58,1))</f>
        <v>1</v>
      </c>
      <c r="GO63" s="29" t="str">
        <f>IF(OR($B63="",$A63&lt;59),"",--MID('Key Analysis'!$C59,59,1))</f>
        <v/>
      </c>
      <c r="GP63" s="29" t="str">
        <f>IF(OR($B63="",$A63&lt;60),"",--MID('Key Analysis'!$C59,60,1))</f>
        <v/>
      </c>
      <c r="GQ63" s="29" t="str">
        <f>IF(OR($B63="",$A63&lt;61),"",--MID('Key Analysis'!$C59,61,1))</f>
        <v/>
      </c>
      <c r="GR63" s="29" t="str">
        <f>IF(OR($B63="",$A63&lt;62),"",--MID('Key Analysis'!$C59,62,1))</f>
        <v/>
      </c>
      <c r="GS63" s="29" t="str">
        <f>IF(OR($B63="",$A63&lt;63),"",--MID('Key Analysis'!$C59,63,1))</f>
        <v/>
      </c>
      <c r="GT63" s="29" t="str">
        <f>IF(OR($B63="",$A63&lt;64),"",--MID('Key Analysis'!$C59,64,1))</f>
        <v/>
      </c>
      <c r="GU63" s="29" t="str">
        <f>IF(OR($B63="",$A63&lt;65),"",--MID('Key Analysis'!$C59,65,1))</f>
        <v/>
      </c>
      <c r="GV63" s="29" t="str">
        <f>IF(OR($B63="",$A63&lt;66),"",--MID('Key Analysis'!$C59,66,1))</f>
        <v/>
      </c>
      <c r="GW63" s="29" t="str">
        <f>IF(OR($B63="",$A63&lt;67),"",--MID('Key Analysis'!$C59,67,1))</f>
        <v/>
      </c>
      <c r="GX63" s="29" t="str">
        <f>IF(OR($B63="",$A63&lt;68),"",--MID('Key Analysis'!$C59,68,1))</f>
        <v/>
      </c>
      <c r="GY63" s="29" t="str">
        <f>IF(OR($B63="",$A63&lt;69),"",--MID('Key Analysis'!$C59,69,1))</f>
        <v/>
      </c>
      <c r="GZ63" s="29" t="str">
        <f>IF(OR($B63="",$A63&lt;70),"",--MID('Key Analysis'!$C59,70,1))</f>
        <v/>
      </c>
      <c r="HA63" s="29" t="str">
        <f>IF(OR($B63="",$A63&lt;71),"",--MID('Key Analysis'!$C59,71,1))</f>
        <v/>
      </c>
      <c r="HB63" s="29" t="str">
        <f>IF(OR($B63="",$A63&lt;72),"",--MID('Key Analysis'!$C59,72,1))</f>
        <v/>
      </c>
      <c r="HC63" s="29" t="str">
        <f>IF(OR($B63="",$A63&lt;73),"",--MID('Key Analysis'!$C59,73,1))</f>
        <v/>
      </c>
      <c r="HD63" s="29" t="str">
        <f>IF(OR($B63="",$A63&lt;74),"",--MID('Key Analysis'!$C59,74,1))</f>
        <v/>
      </c>
      <c r="HE63" s="29" t="str">
        <f>IF(OR($B63="",$A63&lt;75),"",--MID('Key Analysis'!$C59,75,1))</f>
        <v/>
      </c>
      <c r="HF63" s="29" t="str">
        <f>IF(OR($B63="",$A63&lt;76),"",--MID('Key Analysis'!$C59,76,1))</f>
        <v/>
      </c>
      <c r="HG63" s="29" t="str">
        <f>IF(OR($B63="",$A63&lt;77),"",--MID('Key Analysis'!$C59,77,1))</f>
        <v/>
      </c>
      <c r="HH63" s="29" t="str">
        <f>IF(OR($B63="",$A63&lt;78),"",--MID('Key Analysis'!$C59,78,1))</f>
        <v/>
      </c>
      <c r="HI63" s="29" t="str">
        <f>IF(OR($B63="",$A63&lt;79),"",--MID('Key Analysis'!$C59,79,1))</f>
        <v/>
      </c>
      <c r="HJ63" s="29" t="str">
        <f>IF(OR($B63="",$A63&lt;80),"",--MID('Key Analysis'!$C59,80,1))</f>
        <v/>
      </c>
      <c r="HK63" s="29" t="str">
        <f>IF(OR($B63="",$A63&lt;81),"",--MID('Key Analysis'!$C59,81,1))</f>
        <v/>
      </c>
      <c r="HL63" s="29" t="str">
        <f>IF(OR($B63="",$A63&lt;82),"",--MID('Key Analysis'!$C59,82,1))</f>
        <v/>
      </c>
      <c r="HM63" s="29" t="str">
        <f>IF(OR($B63="",$A63&lt;83),"",--MID('Key Analysis'!$C59,83,1))</f>
        <v/>
      </c>
      <c r="HN63" s="29" t="str">
        <f>IF(OR($B63="",$A63&lt;84),"",--MID('Key Analysis'!$C59,84,1))</f>
        <v/>
      </c>
      <c r="HO63" s="29" t="str">
        <f>IF(OR($B63="",$A63&lt;85),"",--MID('Key Analysis'!$C59,85,1))</f>
        <v/>
      </c>
      <c r="HP63" s="29" t="str">
        <f>IF(OR($B63="",$A63&lt;86),"",--MID('Key Analysis'!$C59,86,1))</f>
        <v/>
      </c>
      <c r="HQ63" s="29" t="str">
        <f>IF(OR($B63="",$A63&lt;87),"",--MID('Key Analysis'!$C59,87,1))</f>
        <v/>
      </c>
      <c r="HR63" s="29" t="str">
        <f>IF(OR($B63="",$A63&lt;88),"",--MID('Key Analysis'!$C59,88,1))</f>
        <v/>
      </c>
      <c r="HS63" s="29" t="str">
        <f>IF(OR($B63="",$A63&lt;89),"",--MID('Key Analysis'!$C59,89,1))</f>
        <v/>
      </c>
      <c r="HT63" s="29" t="str">
        <f>IF(OR($B63="",$A63&lt;90),"",--MID('Key Analysis'!$C59,90,1))</f>
        <v/>
      </c>
      <c r="HU63" s="29" t="str">
        <f>IF(OR($B63="",$A63&lt;91),"",--MID('Key Analysis'!$C59,91,1))</f>
        <v/>
      </c>
      <c r="HV63" s="29" t="str">
        <f>IF(OR($B63="",$A63&lt;92),"",--MID('Key Analysis'!$C59,92,1))</f>
        <v/>
      </c>
      <c r="HW63" s="29" t="str">
        <f>IF(OR($B63="",$A63&lt;93),"",--MID('Key Analysis'!$C59,93,1))</f>
        <v/>
      </c>
      <c r="HX63" s="29" t="str">
        <f>IF(OR($B63="",$A63&lt;94),"",--MID('Key Analysis'!$C59,94,1))</f>
        <v/>
      </c>
      <c r="HY63" s="29" t="str">
        <f>IF(OR($B63="",$A63&lt;95),"",--MID('Key Analysis'!$C59,95,1))</f>
        <v/>
      </c>
      <c r="HZ63" s="29" t="str">
        <f>IF(OR($B63="",$A63&lt;96),"",--MID('Key Analysis'!$C59,96,1))</f>
        <v/>
      </c>
      <c r="IA63" s="29" t="str">
        <f>IF(OR($B63="",$A63&lt;97),"",--MID('Key Analysis'!$C59,97,1))</f>
        <v/>
      </c>
      <c r="IB63" s="29" t="str">
        <f>IF(OR($B63="",$A63&lt;98),"",--MID('Key Analysis'!$C59,98,1))</f>
        <v/>
      </c>
      <c r="IC63" s="29" t="str">
        <f>IF(OR($B63="",$A63&lt;99),"",--MID('Key Analysis'!$C59,99,1))</f>
        <v/>
      </c>
      <c r="ID63" s="29" t="str">
        <f>IF(OR($B63="",$A63&lt;100),"",--MID('Key Analysis'!$C59,100,1))</f>
        <v/>
      </c>
      <c r="IE63" s="29" t="str">
        <f>IF(OR($B63="",$A63&lt;101),"",--MID('Key Analysis'!$C59,101,1))</f>
        <v/>
      </c>
      <c r="IF63" s="29" t="str">
        <f>IF(OR($B63="",$A63&lt;102),"",--MID('Key Analysis'!$C59,102,1))</f>
        <v/>
      </c>
      <c r="IG63" s="29" t="str">
        <f>IF(OR($B63="",$A63&lt;103),"",--MID('Key Analysis'!$C59,103,1))</f>
        <v/>
      </c>
      <c r="IH63" s="29" t="str">
        <f>IF(OR($B63="",$A63&lt;104),"",--MID('Key Analysis'!$C59,104,1))</f>
        <v/>
      </c>
      <c r="II63" s="29" t="str">
        <f>IF(OR($B63="",$A63&lt;105),"",--MID('Key Analysis'!$C59,105,1))</f>
        <v/>
      </c>
      <c r="IJ63" s="29" t="str">
        <f>IF(OR($B63="",$A63&lt;106),"",--MID('Key Analysis'!$C59,106,1))</f>
        <v/>
      </c>
      <c r="IK63" s="29" t="str">
        <f>IF(OR($B63="",$A63&lt;107),"",--MID('Key Analysis'!$C59,107,1))</f>
        <v/>
      </c>
      <c r="IL63" s="29" t="str">
        <f>IF(OR($B63="",$A63&lt;108),"",--MID('Key Analysis'!$C59,108,1))</f>
        <v/>
      </c>
      <c r="IM63" s="29" t="str">
        <f>IF(OR($B63="",$A63&lt;109),"",--MID('Key Analysis'!$C59,109,1))</f>
        <v/>
      </c>
      <c r="IN63" s="29" t="str">
        <f>IF(OR($B63="",$A63&lt;110),"",--MID('Key Analysis'!$C59,110,1))</f>
        <v/>
      </c>
      <c r="IO63" s="29" t="str">
        <f>IF(OR($B63="",$A63&lt;111),"",--MID('Key Analysis'!$C59,111,1))</f>
        <v/>
      </c>
      <c r="IP63" s="29" t="str">
        <f>IF(OR($B63="",$A63&lt;112),"",--MID('Key Analysis'!$C59,112,1))</f>
        <v/>
      </c>
      <c r="IQ63" s="29" t="str">
        <f>IF(OR($B63="",$A63&lt;113),"",--MID('Key Analysis'!$C59,113,1))</f>
        <v/>
      </c>
      <c r="IR63" s="29" t="str">
        <f>IF(OR($B63="",$A63&lt;114),"",--MID('Key Analysis'!$C59,114,1))</f>
        <v/>
      </c>
      <c r="IS63" s="29" t="str">
        <f>IF(OR($B63="",$A63&lt;115),"",--MID('Key Analysis'!$C59,115,1))</f>
        <v/>
      </c>
      <c r="IT63" s="29" t="str">
        <f>IF(OR($B63="",$A63&lt;116),"",--MID('Key Analysis'!$C59,116,1))</f>
        <v/>
      </c>
      <c r="IU63" s="29" t="str">
        <f>IF(OR($B63="",$A63&lt;117),"",--MID('Key Analysis'!$C59,117,1))</f>
        <v/>
      </c>
      <c r="IV63" s="29" t="str">
        <f>IF(OR($B63="",$A63&lt;118),"",--MID('Key Analysis'!$C59,118,1))</f>
        <v/>
      </c>
      <c r="IW63" s="29" t="str">
        <f>IF(OR($B63="",$A63&lt;119),"",--MID('Key Analysis'!$C59,119,1))</f>
        <v/>
      </c>
      <c r="IX63" s="29" t="str">
        <f>IF(OR($B63="",$A63&lt;120),"",--MID('Key Analysis'!$C59,120,1))</f>
        <v/>
      </c>
      <c r="IY63" s="29" t="str">
        <f>IF(OR($B63="",$A63&lt;121),"",--MID('Key Analysis'!$C59,121,1))</f>
        <v/>
      </c>
      <c r="IZ63" s="29" t="str">
        <f>IF(OR($B63="",$A63&lt;122),"",--MID('Key Analysis'!$C59,122,1))</f>
        <v/>
      </c>
      <c r="JA63" s="29" t="str">
        <f>IF(OR($B63="",$A63&lt;123),"",--MID('Key Analysis'!$C59,123,1))</f>
        <v/>
      </c>
      <c r="JB63" s="29" t="str">
        <f>IF(OR($B63="",$A63&lt;124),"",--MID('Key Analysis'!$C59,124,1))</f>
        <v/>
      </c>
      <c r="JC63" s="29" t="str">
        <f>IF(OR($B63="",$A63&lt;125),"",--MID('Key Analysis'!$C59,125,1))</f>
        <v/>
      </c>
      <c r="JD63" s="29" t="str">
        <f>IF(OR($B63="",$A63&lt;126),"",--MID('Key Analysis'!$C59,126,1))</f>
        <v/>
      </c>
      <c r="JE63" s="29" t="str">
        <f>IF(OR($B63="",$A63&lt;127),"",--MID('Key Analysis'!$C59,127,1))</f>
        <v/>
      </c>
      <c r="JF63" s="29" t="str">
        <f>IF(OR($B63="",$A63&lt;128),"",--MID('Key Analysis'!$C59,128,1))</f>
        <v/>
      </c>
      <c r="JG63" s="29" t="str">
        <f>IF(OR($B63="",$A63&lt;129),"",--MID('Key Analysis'!$C59,129,1))</f>
        <v/>
      </c>
      <c r="JH63" s="29" t="str">
        <f>IF(OR($B63="",$A63&lt;130),"",--MID('Key Analysis'!$C59,130,1))</f>
        <v/>
      </c>
      <c r="JI63" s="29" t="str">
        <f>IF(OR($B63="",$A63&lt;131),"",--MID('Key Analysis'!$C59,131,1))</f>
        <v/>
      </c>
      <c r="JJ63" s="29" t="str">
        <f>IF(OR($B63="",$A63&lt;132),"",--MID('Key Analysis'!$C59,132,1))</f>
        <v/>
      </c>
      <c r="JK63" s="29" t="str">
        <f>IF(OR($B63="",$A63&lt;133),"",--MID('Key Analysis'!$C59,133,1))</f>
        <v/>
      </c>
      <c r="JL63" s="29" t="str">
        <f>IF(OR($B63="",$A63&lt;134),"",--MID('Key Analysis'!$C59,134,1))</f>
        <v/>
      </c>
      <c r="JM63" s="29" t="str">
        <f>IF(OR($B63="",$A63&lt;135),"",--MID('Key Analysis'!$C59,135,1))</f>
        <v/>
      </c>
    </row>
    <row r="64" spans="1:273" x14ac:dyDescent="0.25">
      <c r="A64" s="21">
        <f>'Key Analysis'!A60</f>
        <v>59</v>
      </c>
      <c r="B64" s="30" t="str">
        <f>'Key Analysis'!B60</f>
        <v>7496cbb87cab44f</v>
      </c>
      <c r="C64" s="29">
        <f>IF(OR($B64="",$A64&lt;=0),"",--MID('Key Analysis'!$C60,$A64-0,1))</f>
        <v>1</v>
      </c>
      <c r="D64" s="29">
        <f>IF(OR($B64="",$A64&lt;=1),"",--MID('Key Analysis'!$C60,$A64-1,1))</f>
        <v>1</v>
      </c>
      <c r="E64" s="29">
        <f>IF(OR($B64="",$A64&lt;=2),"",--MID('Key Analysis'!$C60,$A64-2,1))</f>
        <v>1</v>
      </c>
      <c r="F64" s="29">
        <f>IF(OR($B64="",$A64&lt;=3),"",--MID('Key Analysis'!$C60,$A64-3,1))</f>
        <v>1</v>
      </c>
      <c r="G64" s="29">
        <f>IF(OR($B64="",$A64&lt;=4),"",--MID('Key Analysis'!$C60,$A64-4,1))</f>
        <v>0</v>
      </c>
      <c r="H64" s="29">
        <f>IF(OR($B64="",$A64&lt;=5),"",--MID('Key Analysis'!$C60,$A64-5,1))</f>
        <v>0</v>
      </c>
      <c r="I64" s="29">
        <f>IF(OR($B64="",$A64&lt;=6),"",--MID('Key Analysis'!$C60,$A64-6,1))</f>
        <v>1</v>
      </c>
      <c r="J64" s="29">
        <f>IF(OR($B64="",$A64&lt;=7),"",--MID('Key Analysis'!$C60,$A64-7,1))</f>
        <v>0</v>
      </c>
      <c r="K64" s="29">
        <f>IF(OR($B64="",$A64&lt;=8),"",--MID('Key Analysis'!$C60,$A64-8,1))</f>
        <v>0</v>
      </c>
      <c r="L64" s="29">
        <f>IF(OR($B64="",$A64&lt;=9),"",--MID('Key Analysis'!$C60,$A64-9,1))</f>
        <v>0</v>
      </c>
      <c r="M64" s="29">
        <f>IF(OR($B64="",$A64&lt;=10),"",--MID('Key Analysis'!$C60,$A64-10,1))</f>
        <v>1</v>
      </c>
      <c r="N64" s="29">
        <f>IF(OR($B64="",$A64&lt;=11),"",--MID('Key Analysis'!$C60,$A64-11,1))</f>
        <v>0</v>
      </c>
      <c r="O64" s="29">
        <f>IF(OR($B64="",$A64&lt;=12),"",--MID('Key Analysis'!$C60,$A64-12,1))</f>
        <v>1</v>
      </c>
      <c r="P64" s="29">
        <f>IF(OR($B64="",$A64&lt;=13),"",--MID('Key Analysis'!$C60,$A64-13,1))</f>
        <v>1</v>
      </c>
      <c r="Q64" s="29">
        <f>IF(OR($B64="",$A64&lt;=14),"",--MID('Key Analysis'!$C60,$A64-14,1))</f>
        <v>0</v>
      </c>
      <c r="R64" s="29">
        <f>IF(OR($B64="",$A64&lt;=15),"",--MID('Key Analysis'!$C60,$A64-15,1))</f>
        <v>1</v>
      </c>
      <c r="S64" s="29">
        <f>IF(OR($B64="",$A64&lt;=16),"",--MID('Key Analysis'!$C60,$A64-16,1))</f>
        <v>0</v>
      </c>
      <c r="T64" s="29">
        <f>IF(OR($B64="",$A64&lt;=17),"",--MID('Key Analysis'!$C60,$A64-17,1))</f>
        <v>1</v>
      </c>
      <c r="U64" s="29">
        <f>IF(OR($B64="",$A64&lt;=18),"",--MID('Key Analysis'!$C60,$A64-18,1))</f>
        <v>0</v>
      </c>
      <c r="V64" s="29">
        <f>IF(OR($B64="",$A64&lt;=19),"",--MID('Key Analysis'!$C60,$A64-19,1))</f>
        <v>1</v>
      </c>
      <c r="W64" s="29">
        <f>IF(OR($B64="",$A64&lt;=20),"",--MID('Key Analysis'!$C60,$A64-20,1))</f>
        <v>0</v>
      </c>
      <c r="X64" s="29">
        <f>IF(OR($B64="",$A64&lt;=21),"",--MID('Key Analysis'!$C60,$A64-21,1))</f>
        <v>0</v>
      </c>
      <c r="Y64" s="29">
        <f>IF(OR($B64="",$A64&lt;=22),"",--MID('Key Analysis'!$C60,$A64-22,1))</f>
        <v>1</v>
      </c>
      <c r="Z64" s="29">
        <f>IF(OR($B64="",$A64&lt;=23),"",--MID('Key Analysis'!$C60,$A64-23,1))</f>
        <v>1</v>
      </c>
      <c r="AA64" s="29">
        <f>IF(OR($B64="",$A64&lt;=24),"",--MID('Key Analysis'!$C60,$A64-24,1))</f>
        <v>1</v>
      </c>
      <c r="AB64" s="29">
        <f>IF(OR($B64="",$A64&lt;=25),"",--MID('Key Analysis'!$C60,$A64-25,1))</f>
        <v>1</v>
      </c>
      <c r="AC64" s="29">
        <f>IF(OR($B64="",$A64&lt;=26),"",--MID('Key Analysis'!$C60,$A64-26,1))</f>
        <v>1</v>
      </c>
      <c r="AD64" s="29">
        <f>IF(OR($B64="",$A64&lt;=27),"",--MID('Key Analysis'!$C60,$A64-27,1))</f>
        <v>0</v>
      </c>
      <c r="AE64" s="29">
        <f>IF(OR($B64="",$A64&lt;=28),"",--MID('Key Analysis'!$C60,$A64-28,1))</f>
        <v>0</v>
      </c>
      <c r="AF64" s="29">
        <f>IF(OR($B64="",$A64&lt;=29),"",--MID('Key Analysis'!$C60,$A64-29,1))</f>
        <v>0</v>
      </c>
      <c r="AG64" s="29">
        <f>IF(OR($B64="",$A64&lt;=30),"",--MID('Key Analysis'!$C60,$A64-30,1))</f>
        <v>0</v>
      </c>
      <c r="AH64" s="29">
        <f>IF(OR($B64="",$A64&lt;=31),"",--MID('Key Analysis'!$C60,$A64-31,1))</f>
        <v>1</v>
      </c>
      <c r="AI64" s="29">
        <f>IF(OR($B64="",$A64&lt;=32),"",--MID('Key Analysis'!$C60,$A64-32,1))</f>
        <v>1</v>
      </c>
      <c r="AJ64" s="29">
        <f>IF(OR($B64="",$A64&lt;=33),"",--MID('Key Analysis'!$C60,$A64-33,1))</f>
        <v>1</v>
      </c>
      <c r="AK64" s="29">
        <f>IF(OR($B64="",$A64&lt;=34),"",--MID('Key Analysis'!$C60,$A64-34,1))</f>
        <v>0</v>
      </c>
      <c r="AL64" s="29">
        <f>IF(OR($B64="",$A64&lt;=35),"",--MID('Key Analysis'!$C60,$A64-35,1))</f>
        <v>1</v>
      </c>
      <c r="AM64" s="29">
        <f>IF(OR($B64="",$A64&lt;=36),"",--MID('Key Analysis'!$C60,$A64-36,1))</f>
        <v>1</v>
      </c>
      <c r="AN64" s="29">
        <f>IF(OR($B64="",$A64&lt;=37),"",--MID('Key Analysis'!$C60,$A64-37,1))</f>
        <v>1</v>
      </c>
      <c r="AO64" s="29">
        <f>IF(OR($B64="",$A64&lt;=38),"",--MID('Key Analysis'!$C60,$A64-38,1))</f>
        <v>0</v>
      </c>
      <c r="AP64" s="29">
        <f>IF(OR($B64="",$A64&lt;=39),"",--MID('Key Analysis'!$C60,$A64-39,1))</f>
        <v>1</v>
      </c>
      <c r="AQ64" s="29">
        <f>IF(OR($B64="",$A64&lt;=40),"",--MID('Key Analysis'!$C60,$A64-40,1))</f>
        <v>0</v>
      </c>
      <c r="AR64" s="29">
        <f>IF(OR($B64="",$A64&lt;=41),"",--MID('Key Analysis'!$C60,$A64-41,1))</f>
        <v>0</v>
      </c>
      <c r="AS64" s="29">
        <f>IF(OR($B64="",$A64&lt;=42),"",--MID('Key Analysis'!$C60,$A64-42,1))</f>
        <v>1</v>
      </c>
      <c r="AT64" s="29">
        <f>IF(OR($B64="",$A64&lt;=43),"",--MID('Key Analysis'!$C60,$A64-43,1))</f>
        <v>1</v>
      </c>
      <c r="AU64" s="29">
        <f>IF(OR($B64="",$A64&lt;=44),"",--MID('Key Analysis'!$C60,$A64-44,1))</f>
        <v>0</v>
      </c>
      <c r="AV64" s="29">
        <f>IF(OR($B64="",$A64&lt;=45),"",--MID('Key Analysis'!$C60,$A64-45,1))</f>
        <v>1</v>
      </c>
      <c r="AW64" s="29">
        <f>IF(OR($B64="",$A64&lt;=46),"",--MID('Key Analysis'!$C60,$A64-46,1))</f>
        <v>1</v>
      </c>
      <c r="AX64" s="29">
        <f>IF(OR($B64="",$A64&lt;=47),"",--MID('Key Analysis'!$C60,$A64-47,1))</f>
        <v>0</v>
      </c>
      <c r="AY64" s="29">
        <f>IF(OR($B64="",$A64&lt;=48),"",--MID('Key Analysis'!$C60,$A64-48,1))</f>
        <v>1</v>
      </c>
      <c r="AZ64" s="29">
        <f>IF(OR($B64="",$A64&lt;=49),"",--MID('Key Analysis'!$C60,$A64-49,1))</f>
        <v>0</v>
      </c>
      <c r="BA64" s="29">
        <f>IF(OR($B64="",$A64&lt;=50),"",--MID('Key Analysis'!$C60,$A64-50,1))</f>
        <v>0</v>
      </c>
      <c r="BB64" s="29">
        <f>IF(OR($B64="",$A64&lt;=51),"",--MID('Key Analysis'!$C60,$A64-51,1))</f>
        <v>1</v>
      </c>
      <c r="BC64" s="29">
        <f>IF(OR($B64="",$A64&lt;=52),"",--MID('Key Analysis'!$C60,$A64-52,1))</f>
        <v>0</v>
      </c>
      <c r="BD64" s="29">
        <f>IF(OR($B64="",$A64&lt;=53),"",--MID('Key Analysis'!$C60,$A64-53,1))</f>
        <v>0</v>
      </c>
      <c r="BE64" s="29">
        <f>IF(OR($B64="",$A64&lt;=54),"",--MID('Key Analysis'!$C60,$A64-54,1))</f>
        <v>1</v>
      </c>
      <c r="BF64" s="29">
        <f>IF(OR($B64="",$A64&lt;=55),"",--MID('Key Analysis'!$C60,$A64-55,1))</f>
        <v>0</v>
      </c>
      <c r="BG64" s="29">
        <f>IF(OR($B64="",$A64&lt;=56),"",--MID('Key Analysis'!$C60,$A64-56,1))</f>
        <v>1</v>
      </c>
      <c r="BH64" s="29">
        <f>IF(OR($B64="",$A64&lt;=57),"",--MID('Key Analysis'!$C60,$A64-57,1))</f>
        <v>1</v>
      </c>
      <c r="BI64" s="29">
        <f>IF(OR($B64="",$A64&lt;=58),"",--MID('Key Analysis'!$C60,$A64-58,1))</f>
        <v>1</v>
      </c>
      <c r="BJ64" s="29" t="str">
        <f>IF(OR($B64="",$A64&lt;=59),"",--MID('Key Analysis'!$C60,$A64-59,1))</f>
        <v/>
      </c>
      <c r="BK64" s="29" t="str">
        <f>IF(OR($B64="",$A64&lt;=60),"",--MID('Key Analysis'!$C60,$A64-60,1))</f>
        <v/>
      </c>
      <c r="BL64" s="29" t="str">
        <f>IF(OR($B64="",$A64&lt;=61),"",--MID('Key Analysis'!$C60,$A64-61,1))</f>
        <v/>
      </c>
      <c r="BM64" s="29" t="str">
        <f>IF(OR($B64="",$A64&lt;=62),"",--MID('Key Analysis'!$C60,$A64-62,1))</f>
        <v/>
      </c>
      <c r="BN64" s="29" t="str">
        <f>IF(OR($B64="",$A64&lt;=63),"",--MID('Key Analysis'!$C60,$A64-63,1))</f>
        <v/>
      </c>
      <c r="BO64" s="29" t="str">
        <f>IF(OR($B64="",$A64&lt;=64),"",--MID('Key Analysis'!$C60,$A64-64,1))</f>
        <v/>
      </c>
      <c r="BP64" s="29" t="str">
        <f>IF(OR($B64="",$A64&lt;=65),"",--MID('Key Analysis'!$C60,$A64-65,1))</f>
        <v/>
      </c>
      <c r="BQ64" s="29" t="str">
        <f>IF(OR($B64="",$A64&lt;=66),"",--MID('Key Analysis'!$C60,$A64-66,1))</f>
        <v/>
      </c>
      <c r="BR64" s="29" t="str">
        <f>IF(OR($B64="",$A64&lt;=67),"",--MID('Key Analysis'!$C60,$A64-67,1))</f>
        <v/>
      </c>
      <c r="BS64" s="29" t="str">
        <f>IF(OR($B64="",$A64&lt;=68),"",--MID('Key Analysis'!$C60,$A64-68,1))</f>
        <v/>
      </c>
      <c r="BT64" s="29" t="str">
        <f>IF(OR($B64="",$A64&lt;=69),"",--MID('Key Analysis'!$C60,$A64-69,1))</f>
        <v/>
      </c>
      <c r="BU64" s="29" t="str">
        <f>IF(OR($B64="",$A64&lt;=70),"",--MID('Key Analysis'!$C60,$A64-70,1))</f>
        <v/>
      </c>
      <c r="BV64" s="29" t="str">
        <f>IF(OR($B64="",$A64&lt;=71),"",--MID('Key Analysis'!$C60,$A64-71,1))</f>
        <v/>
      </c>
      <c r="BW64" s="29" t="str">
        <f>IF(OR($B64="",$A64&lt;=72),"",--MID('Key Analysis'!$C60,$A64-72,1))</f>
        <v/>
      </c>
      <c r="BX64" s="29" t="str">
        <f>IF(OR($B64="",$A64&lt;=73),"",--MID('Key Analysis'!$C60,$A64-73,1))</f>
        <v/>
      </c>
      <c r="BY64" s="29" t="str">
        <f>IF(OR($B64="",$A64&lt;=74),"",--MID('Key Analysis'!$C60,$A64-74,1))</f>
        <v/>
      </c>
      <c r="BZ64" s="29" t="str">
        <f>IF(OR($B64="",$A64&lt;=75),"",--MID('Key Analysis'!$C60,$A64-75,1))</f>
        <v/>
      </c>
      <c r="CA64" s="29" t="str">
        <f>IF(OR($B64="",$A64&lt;=76),"",--MID('Key Analysis'!$C60,$A64-76,1))</f>
        <v/>
      </c>
      <c r="CB64" s="29" t="str">
        <f>IF(OR($B64="",$A64&lt;=77),"",--MID('Key Analysis'!$C60,$A64-77,1))</f>
        <v/>
      </c>
      <c r="CC64" s="29" t="str">
        <f>IF(OR($B64="",$A64&lt;=78),"",--MID('Key Analysis'!$C60,$A64-78,1))</f>
        <v/>
      </c>
      <c r="CD64" s="29" t="str">
        <f>IF(OR($B64="",$A64&lt;=79),"",--MID('Key Analysis'!$C60,$A64-79,1))</f>
        <v/>
      </c>
      <c r="CE64" s="29" t="str">
        <f>IF(OR($B64="",$A64&lt;=80),"",--MID('Key Analysis'!$C60,$A64-80,1))</f>
        <v/>
      </c>
      <c r="CF64" s="29" t="str">
        <f>IF(OR($B64="",$A64&lt;=81),"",--MID('Key Analysis'!$C60,$A64-81,1))</f>
        <v/>
      </c>
      <c r="CG64" s="29" t="str">
        <f>IF(OR($B64="",$A64&lt;=82),"",--MID('Key Analysis'!$C60,$A64-82,1))</f>
        <v/>
      </c>
      <c r="CH64" s="29" t="str">
        <f>IF(OR($B64="",$A64&lt;=83),"",--MID('Key Analysis'!$C60,$A64-83,1))</f>
        <v/>
      </c>
      <c r="CI64" s="29" t="str">
        <f>IF(OR($B64="",$A64&lt;=84),"",--MID('Key Analysis'!$C60,$A64-84,1))</f>
        <v/>
      </c>
      <c r="CJ64" s="29" t="str">
        <f>IF(OR($B64="",$A64&lt;=85),"",--MID('Key Analysis'!$C60,$A64-85,1))</f>
        <v/>
      </c>
      <c r="CK64" s="29" t="str">
        <f>IF(OR($B64="",$A64&lt;=86),"",--MID('Key Analysis'!$C60,$A64-86,1))</f>
        <v/>
      </c>
      <c r="CL64" s="29" t="str">
        <f>IF(OR($B64="",$A64&lt;=87),"",--MID('Key Analysis'!$C60,$A64-87,1))</f>
        <v/>
      </c>
      <c r="CM64" s="29" t="str">
        <f>IF(OR($B64="",$A64&lt;=88),"",--MID('Key Analysis'!$C60,$A64-88,1))</f>
        <v/>
      </c>
      <c r="CN64" s="29" t="str">
        <f>IF(OR($B64="",$A64&lt;=89),"",--MID('Key Analysis'!$C60,$A64-89,1))</f>
        <v/>
      </c>
      <c r="CO64" s="29" t="str">
        <f>IF(OR($B64="",$A64&lt;=90),"",--MID('Key Analysis'!$C60,$A64-90,1))</f>
        <v/>
      </c>
      <c r="CP64" s="29" t="str">
        <f>IF(OR($B64="",$A64&lt;=91),"",--MID('Key Analysis'!$C60,$A64-91,1))</f>
        <v/>
      </c>
      <c r="CQ64" s="29" t="str">
        <f>IF(OR($B64="",$A64&lt;=92),"",--MID('Key Analysis'!$C60,$A64-92,1))</f>
        <v/>
      </c>
      <c r="CR64" s="29" t="str">
        <f>IF(OR($B64="",$A64&lt;=93),"",--MID('Key Analysis'!$C60,$A64-93,1))</f>
        <v/>
      </c>
      <c r="CS64" s="29" t="str">
        <f>IF(OR($B64="",$A64&lt;=94),"",--MID('Key Analysis'!$C60,$A64-94,1))</f>
        <v/>
      </c>
      <c r="CT64" s="29" t="str">
        <f>IF(OR($B64="",$A64&lt;=95),"",--MID('Key Analysis'!$C60,$A64-95,1))</f>
        <v/>
      </c>
      <c r="CU64" s="29" t="str">
        <f>IF(OR($B64="",$A64&lt;=96),"",--MID('Key Analysis'!$C60,$A64-96,1))</f>
        <v/>
      </c>
      <c r="CV64" s="29" t="str">
        <f>IF(OR($B64="",$A64&lt;=97),"",--MID('Key Analysis'!$C60,$A64-97,1))</f>
        <v/>
      </c>
      <c r="CW64" s="29" t="str">
        <f>IF(OR($B64="",$A64&lt;=98),"",--MID('Key Analysis'!$C60,$A64-98,1))</f>
        <v/>
      </c>
      <c r="CX64" s="29" t="str">
        <f>IF(OR($B64="",$A64&lt;=99),"",--MID('Key Analysis'!$C60,$A64-99,1))</f>
        <v/>
      </c>
      <c r="CY64" s="29" t="str">
        <f>IF(OR($B64="",$A64&lt;=100),"",--MID('Key Analysis'!$C60,$A64-100,1))</f>
        <v/>
      </c>
      <c r="CZ64" s="29" t="str">
        <f>IF(OR($B64="",$A64&lt;=101),"",--MID('Key Analysis'!$C60,$A64-101,1))</f>
        <v/>
      </c>
      <c r="DA64" s="29" t="str">
        <f>IF(OR($B64="",$A64&lt;=102),"",--MID('Key Analysis'!$C60,$A64-102,1))</f>
        <v/>
      </c>
      <c r="DB64" s="29" t="str">
        <f>IF(OR($B64="",$A64&lt;=103),"",--MID('Key Analysis'!$C60,$A64-103,1))</f>
        <v/>
      </c>
      <c r="DC64" s="29" t="str">
        <f>IF(OR($B64="",$A64&lt;=104),"",--MID('Key Analysis'!$C60,$A64-104,1))</f>
        <v/>
      </c>
      <c r="DD64" s="29" t="str">
        <f>IF(OR($B64="",$A64&lt;=105),"",--MID('Key Analysis'!$C60,$A64-105,1))</f>
        <v/>
      </c>
      <c r="DE64" s="29" t="str">
        <f>IF(OR($B64="",$A64&lt;=106),"",--MID('Key Analysis'!$C60,$A64-106,1))</f>
        <v/>
      </c>
      <c r="DF64" s="29" t="str">
        <f>IF(OR($B64="",$A64&lt;=107),"",--MID('Key Analysis'!$C60,$A64-107,1))</f>
        <v/>
      </c>
      <c r="DG64" s="29" t="str">
        <f>IF(OR($B64="",$A64&lt;=108),"",--MID('Key Analysis'!$C60,$A64-108,1))</f>
        <v/>
      </c>
      <c r="DH64" s="29" t="str">
        <f>IF(OR($B64="",$A64&lt;=109),"",--MID('Key Analysis'!$C60,$A64-109,1))</f>
        <v/>
      </c>
      <c r="DI64" s="29" t="str">
        <f>IF(OR($B64="",$A64&lt;=110),"",--MID('Key Analysis'!$C60,$A64-110,1))</f>
        <v/>
      </c>
      <c r="DJ64" s="29" t="str">
        <f>IF(OR($B64="",$A64&lt;=111),"",--MID('Key Analysis'!$C60,$A64-111,1))</f>
        <v/>
      </c>
      <c r="DK64" s="29" t="str">
        <f>IF(OR($B64="",$A64&lt;=112),"",--MID('Key Analysis'!$C60,$A64-112,1))</f>
        <v/>
      </c>
      <c r="DL64" s="29" t="str">
        <f>IF(OR($B64="",$A64&lt;=113),"",--MID('Key Analysis'!$C60,$A64-113,1))</f>
        <v/>
      </c>
      <c r="DM64" s="29" t="str">
        <f>IF(OR($B64="",$A64&lt;=114),"",--MID('Key Analysis'!$C60,$A64-114,1))</f>
        <v/>
      </c>
      <c r="DN64" s="29" t="str">
        <f>IF(OR($B64="",$A64&lt;=115),"",--MID('Key Analysis'!$C60,$A64-115,1))</f>
        <v/>
      </c>
      <c r="DO64" s="29" t="str">
        <f>IF(OR($B64="",$A64&lt;=116),"",--MID('Key Analysis'!$C60,$A64-116,1))</f>
        <v/>
      </c>
      <c r="DP64" s="29" t="str">
        <f>IF(OR($B64="",$A64&lt;=117),"",--MID('Key Analysis'!$C60,$A64-117,1))</f>
        <v/>
      </c>
      <c r="DQ64" s="29" t="str">
        <f>IF(OR($B64="",$A64&lt;=118),"",--MID('Key Analysis'!$C60,$A64-118,1))</f>
        <v/>
      </c>
      <c r="DR64" s="29" t="str">
        <f>IF(OR($B64="",$A64&lt;=119),"",--MID('Key Analysis'!$C60,$A64-119,1))</f>
        <v/>
      </c>
      <c r="DS64" s="29" t="str">
        <f>IF(OR($B64="",$A64&lt;=120),"",--MID('Key Analysis'!$C60,$A64-120,1))</f>
        <v/>
      </c>
      <c r="DT64" s="29" t="str">
        <f>IF(OR($B64="",$A64&lt;=121),"",--MID('Key Analysis'!$C60,$A64-121,1))</f>
        <v/>
      </c>
      <c r="DU64" s="29" t="str">
        <f>IF(OR($B64="",$A64&lt;=122),"",--MID('Key Analysis'!$C60,$A64-122,1))</f>
        <v/>
      </c>
      <c r="DV64" s="29" t="str">
        <f>IF(OR($B64="",$A64&lt;=123),"",--MID('Key Analysis'!$C60,$A64-123,1))</f>
        <v/>
      </c>
      <c r="DW64" s="29" t="str">
        <f>IF(OR($B64="",$A64&lt;=124),"",--MID('Key Analysis'!$C60,$A64-124,1))</f>
        <v/>
      </c>
      <c r="DX64" s="29" t="str">
        <f>IF(OR($B64="",$A64&lt;=125),"",--MID('Key Analysis'!$C60,$A64-125,1))</f>
        <v/>
      </c>
      <c r="DY64" s="29" t="str">
        <f>IF(OR($B64="",$A64&lt;=126),"",--MID('Key Analysis'!$C60,$A64-126,1))</f>
        <v/>
      </c>
      <c r="DZ64" s="29" t="str">
        <f>IF(OR($B64="",$A64&lt;=127),"",--MID('Key Analysis'!$C60,$A64-127,1))</f>
        <v/>
      </c>
      <c r="EA64" s="29" t="str">
        <f>IF(OR($B64="",$A64&lt;=128),"",--MID('Key Analysis'!$C60,$A64-128,1))</f>
        <v/>
      </c>
      <c r="EB64" s="29" t="str">
        <f>IF(OR($B64="",$A64&lt;=129),"",--MID('Key Analysis'!$C60,$A64-129,1))</f>
        <v/>
      </c>
      <c r="EC64" s="29" t="str">
        <f>IF(OR($B64="",$A64&lt;=130),"",--MID('Key Analysis'!$C60,$A64-130,1))</f>
        <v/>
      </c>
      <c r="ED64" s="29" t="str">
        <f>IF(OR($B64="",$A64&lt;=131),"",--MID('Key Analysis'!$C60,$A64-131,1))</f>
        <v/>
      </c>
      <c r="EE64" s="29" t="str">
        <f>IF(OR($B64="",$A64&lt;=132),"",--MID('Key Analysis'!$C60,$A64-132,1))</f>
        <v/>
      </c>
      <c r="EF64" s="29" t="str">
        <f>IF(OR($B64="",$A64&lt;=133),"",--MID('Key Analysis'!$C60,$A64-133,1))</f>
        <v/>
      </c>
      <c r="EG64" s="29" t="str">
        <f>IF(OR($B64="",$A64&lt;=134),"",--MID('Key Analysis'!$C60,$A64-134,1))</f>
        <v/>
      </c>
      <c r="EH64" s="29"/>
      <c r="EI64" s="29">
        <f>IF(OR($B64="",$A64&lt;1),"",--MID('Key Analysis'!$C60,1,1))</f>
        <v>1</v>
      </c>
      <c r="EJ64" s="29">
        <f>IF(OR($B64="",$A64&lt;2),"",--MID('Key Analysis'!$C60,2,1))</f>
        <v>1</v>
      </c>
      <c r="EK64" s="29">
        <f>IF(OR($B64="",$A64&lt;3),"",--MID('Key Analysis'!$C60,3,1))</f>
        <v>1</v>
      </c>
      <c r="EL64" s="29">
        <f>IF(OR($B64="",$A64&lt;4),"",--MID('Key Analysis'!$C60,4,1))</f>
        <v>0</v>
      </c>
      <c r="EM64" s="29">
        <f>IF(OR($B64="",$A64&lt;5),"",--MID('Key Analysis'!$C60,5,1))</f>
        <v>1</v>
      </c>
      <c r="EN64" s="29">
        <f>IF(OR($B64="",$A64&lt;6),"",--MID('Key Analysis'!$C60,6,1))</f>
        <v>0</v>
      </c>
      <c r="EO64" s="29">
        <f>IF(OR($B64="",$A64&lt;7),"",--MID('Key Analysis'!$C60,7,1))</f>
        <v>0</v>
      </c>
      <c r="EP64" s="29">
        <f>IF(OR($B64="",$A64&lt;8),"",--MID('Key Analysis'!$C60,8,1))</f>
        <v>1</v>
      </c>
      <c r="EQ64" s="29">
        <f>IF(OR($B64="",$A64&lt;9),"",--MID('Key Analysis'!$C60,9,1))</f>
        <v>0</v>
      </c>
      <c r="ER64" s="29">
        <f>IF(OR($B64="",$A64&lt;10),"",--MID('Key Analysis'!$C60,10,1))</f>
        <v>0</v>
      </c>
      <c r="ES64" s="29">
        <f>IF(OR($B64="",$A64&lt;11),"",--MID('Key Analysis'!$C60,11,1))</f>
        <v>1</v>
      </c>
      <c r="ET64" s="29">
        <f>IF(OR($B64="",$A64&lt;12),"",--MID('Key Analysis'!$C60,12,1))</f>
        <v>0</v>
      </c>
      <c r="EU64" s="29">
        <f>IF(OR($B64="",$A64&lt;13),"",--MID('Key Analysis'!$C60,13,1))</f>
        <v>1</v>
      </c>
      <c r="EV64" s="29">
        <f>IF(OR($B64="",$A64&lt;14),"",--MID('Key Analysis'!$C60,14,1))</f>
        <v>1</v>
      </c>
      <c r="EW64" s="29">
        <f>IF(OR($B64="",$A64&lt;15),"",--MID('Key Analysis'!$C60,15,1))</f>
        <v>0</v>
      </c>
      <c r="EX64" s="29">
        <f>IF(OR($B64="",$A64&lt;16),"",--MID('Key Analysis'!$C60,16,1))</f>
        <v>1</v>
      </c>
      <c r="EY64" s="29">
        <f>IF(OR($B64="",$A64&lt;17),"",--MID('Key Analysis'!$C60,17,1))</f>
        <v>1</v>
      </c>
      <c r="EZ64" s="29">
        <f>IF(OR($B64="",$A64&lt;18),"",--MID('Key Analysis'!$C60,18,1))</f>
        <v>0</v>
      </c>
      <c r="FA64" s="29">
        <f>IF(OR($B64="",$A64&lt;19),"",--MID('Key Analysis'!$C60,19,1))</f>
        <v>0</v>
      </c>
      <c r="FB64" s="29">
        <f>IF(OR($B64="",$A64&lt;20),"",--MID('Key Analysis'!$C60,20,1))</f>
        <v>1</v>
      </c>
      <c r="FC64" s="29">
        <f>IF(OR($B64="",$A64&lt;21),"",--MID('Key Analysis'!$C60,21,1))</f>
        <v>0</v>
      </c>
      <c r="FD64" s="29">
        <f>IF(OR($B64="",$A64&lt;22),"",--MID('Key Analysis'!$C60,22,1))</f>
        <v>1</v>
      </c>
      <c r="FE64" s="29">
        <f>IF(OR($B64="",$A64&lt;23),"",--MID('Key Analysis'!$C60,23,1))</f>
        <v>1</v>
      </c>
      <c r="FF64" s="29">
        <f>IF(OR($B64="",$A64&lt;24),"",--MID('Key Analysis'!$C60,24,1))</f>
        <v>1</v>
      </c>
      <c r="FG64" s="29">
        <f>IF(OR($B64="",$A64&lt;25),"",--MID('Key Analysis'!$C60,25,1))</f>
        <v>0</v>
      </c>
      <c r="FH64" s="29">
        <f>IF(OR($B64="",$A64&lt;26),"",--MID('Key Analysis'!$C60,26,1))</f>
        <v>1</v>
      </c>
      <c r="FI64" s="29">
        <f>IF(OR($B64="",$A64&lt;27),"",--MID('Key Analysis'!$C60,27,1))</f>
        <v>1</v>
      </c>
      <c r="FJ64" s="29">
        <f>IF(OR($B64="",$A64&lt;28),"",--MID('Key Analysis'!$C60,28,1))</f>
        <v>1</v>
      </c>
      <c r="FK64" s="29">
        <f>IF(OR($B64="",$A64&lt;29),"",--MID('Key Analysis'!$C60,29,1))</f>
        <v>0</v>
      </c>
      <c r="FL64" s="29">
        <f>IF(OR($B64="",$A64&lt;30),"",--MID('Key Analysis'!$C60,30,1))</f>
        <v>0</v>
      </c>
      <c r="FM64" s="29">
        <f>IF(OR($B64="",$A64&lt;31),"",--MID('Key Analysis'!$C60,31,1))</f>
        <v>0</v>
      </c>
      <c r="FN64" s="29">
        <f>IF(OR($B64="",$A64&lt;32),"",--MID('Key Analysis'!$C60,32,1))</f>
        <v>0</v>
      </c>
      <c r="FO64" s="29">
        <f>IF(OR($B64="",$A64&lt;33),"",--MID('Key Analysis'!$C60,33,1))</f>
        <v>1</v>
      </c>
      <c r="FP64" s="29">
        <f>IF(OR($B64="",$A64&lt;34),"",--MID('Key Analysis'!$C60,34,1))</f>
        <v>1</v>
      </c>
      <c r="FQ64" s="29">
        <f>IF(OR($B64="",$A64&lt;35),"",--MID('Key Analysis'!$C60,35,1))</f>
        <v>1</v>
      </c>
      <c r="FR64" s="29">
        <f>IF(OR($B64="",$A64&lt;36),"",--MID('Key Analysis'!$C60,36,1))</f>
        <v>1</v>
      </c>
      <c r="FS64" s="29">
        <f>IF(OR($B64="",$A64&lt;37),"",--MID('Key Analysis'!$C60,37,1))</f>
        <v>1</v>
      </c>
      <c r="FT64" s="29">
        <f>IF(OR($B64="",$A64&lt;38),"",--MID('Key Analysis'!$C60,38,1))</f>
        <v>0</v>
      </c>
      <c r="FU64" s="29">
        <f>IF(OR($B64="",$A64&lt;39),"",--MID('Key Analysis'!$C60,39,1))</f>
        <v>0</v>
      </c>
      <c r="FV64" s="29">
        <f>IF(OR($B64="",$A64&lt;40),"",--MID('Key Analysis'!$C60,40,1))</f>
        <v>1</v>
      </c>
      <c r="FW64" s="29">
        <f>IF(OR($B64="",$A64&lt;41),"",--MID('Key Analysis'!$C60,41,1))</f>
        <v>0</v>
      </c>
      <c r="FX64" s="29">
        <f>IF(OR($B64="",$A64&lt;42),"",--MID('Key Analysis'!$C60,42,1))</f>
        <v>1</v>
      </c>
      <c r="FY64" s="29">
        <f>IF(OR($B64="",$A64&lt;43),"",--MID('Key Analysis'!$C60,43,1))</f>
        <v>0</v>
      </c>
      <c r="FZ64" s="29">
        <f>IF(OR($B64="",$A64&lt;44),"",--MID('Key Analysis'!$C60,44,1))</f>
        <v>1</v>
      </c>
      <c r="GA64" s="29">
        <f>IF(OR($B64="",$A64&lt;45),"",--MID('Key Analysis'!$C60,45,1))</f>
        <v>0</v>
      </c>
      <c r="GB64" s="29">
        <f>IF(OR($B64="",$A64&lt;46),"",--MID('Key Analysis'!$C60,46,1))</f>
        <v>1</v>
      </c>
      <c r="GC64" s="29">
        <f>IF(OR($B64="",$A64&lt;47),"",--MID('Key Analysis'!$C60,47,1))</f>
        <v>1</v>
      </c>
      <c r="GD64" s="29">
        <f>IF(OR($B64="",$A64&lt;48),"",--MID('Key Analysis'!$C60,48,1))</f>
        <v>0</v>
      </c>
      <c r="GE64" s="29">
        <f>IF(OR($B64="",$A64&lt;49),"",--MID('Key Analysis'!$C60,49,1))</f>
        <v>1</v>
      </c>
      <c r="GF64" s="29">
        <f>IF(OR($B64="",$A64&lt;50),"",--MID('Key Analysis'!$C60,50,1))</f>
        <v>0</v>
      </c>
      <c r="GG64" s="29">
        <f>IF(OR($B64="",$A64&lt;51),"",--MID('Key Analysis'!$C60,51,1))</f>
        <v>0</v>
      </c>
      <c r="GH64" s="29">
        <f>IF(OR($B64="",$A64&lt;52),"",--MID('Key Analysis'!$C60,52,1))</f>
        <v>0</v>
      </c>
      <c r="GI64" s="29">
        <f>IF(OR($B64="",$A64&lt;53),"",--MID('Key Analysis'!$C60,53,1))</f>
        <v>1</v>
      </c>
      <c r="GJ64" s="29">
        <f>IF(OR($B64="",$A64&lt;54),"",--MID('Key Analysis'!$C60,54,1))</f>
        <v>0</v>
      </c>
      <c r="GK64" s="29">
        <f>IF(OR($B64="",$A64&lt;55),"",--MID('Key Analysis'!$C60,55,1))</f>
        <v>0</v>
      </c>
      <c r="GL64" s="29">
        <f>IF(OR($B64="",$A64&lt;56),"",--MID('Key Analysis'!$C60,56,1))</f>
        <v>1</v>
      </c>
      <c r="GM64" s="29">
        <f>IF(OR($B64="",$A64&lt;57),"",--MID('Key Analysis'!$C60,57,1))</f>
        <v>1</v>
      </c>
      <c r="GN64" s="29">
        <f>IF(OR($B64="",$A64&lt;58),"",--MID('Key Analysis'!$C60,58,1))</f>
        <v>1</v>
      </c>
      <c r="GO64" s="29">
        <f>IF(OR($B64="",$A64&lt;59),"",--MID('Key Analysis'!$C60,59,1))</f>
        <v>1</v>
      </c>
      <c r="GP64" s="29" t="str">
        <f>IF(OR($B64="",$A64&lt;60),"",--MID('Key Analysis'!$C60,60,1))</f>
        <v/>
      </c>
      <c r="GQ64" s="29" t="str">
        <f>IF(OR($B64="",$A64&lt;61),"",--MID('Key Analysis'!$C60,61,1))</f>
        <v/>
      </c>
      <c r="GR64" s="29" t="str">
        <f>IF(OR($B64="",$A64&lt;62),"",--MID('Key Analysis'!$C60,62,1))</f>
        <v/>
      </c>
      <c r="GS64" s="29" t="str">
        <f>IF(OR($B64="",$A64&lt;63),"",--MID('Key Analysis'!$C60,63,1))</f>
        <v/>
      </c>
      <c r="GT64" s="29" t="str">
        <f>IF(OR($B64="",$A64&lt;64),"",--MID('Key Analysis'!$C60,64,1))</f>
        <v/>
      </c>
      <c r="GU64" s="29" t="str">
        <f>IF(OR($B64="",$A64&lt;65),"",--MID('Key Analysis'!$C60,65,1))</f>
        <v/>
      </c>
      <c r="GV64" s="29" t="str">
        <f>IF(OR($B64="",$A64&lt;66),"",--MID('Key Analysis'!$C60,66,1))</f>
        <v/>
      </c>
      <c r="GW64" s="29" t="str">
        <f>IF(OR($B64="",$A64&lt;67),"",--MID('Key Analysis'!$C60,67,1))</f>
        <v/>
      </c>
      <c r="GX64" s="29" t="str">
        <f>IF(OR($B64="",$A64&lt;68),"",--MID('Key Analysis'!$C60,68,1))</f>
        <v/>
      </c>
      <c r="GY64" s="29" t="str">
        <f>IF(OR($B64="",$A64&lt;69),"",--MID('Key Analysis'!$C60,69,1))</f>
        <v/>
      </c>
      <c r="GZ64" s="29" t="str">
        <f>IF(OR($B64="",$A64&lt;70),"",--MID('Key Analysis'!$C60,70,1))</f>
        <v/>
      </c>
      <c r="HA64" s="29" t="str">
        <f>IF(OR($B64="",$A64&lt;71),"",--MID('Key Analysis'!$C60,71,1))</f>
        <v/>
      </c>
      <c r="HB64" s="29" t="str">
        <f>IF(OR($B64="",$A64&lt;72),"",--MID('Key Analysis'!$C60,72,1))</f>
        <v/>
      </c>
      <c r="HC64" s="29" t="str">
        <f>IF(OR($B64="",$A64&lt;73),"",--MID('Key Analysis'!$C60,73,1))</f>
        <v/>
      </c>
      <c r="HD64" s="29" t="str">
        <f>IF(OR($B64="",$A64&lt;74),"",--MID('Key Analysis'!$C60,74,1))</f>
        <v/>
      </c>
      <c r="HE64" s="29" t="str">
        <f>IF(OR($B64="",$A64&lt;75),"",--MID('Key Analysis'!$C60,75,1))</f>
        <v/>
      </c>
      <c r="HF64" s="29" t="str">
        <f>IF(OR($B64="",$A64&lt;76),"",--MID('Key Analysis'!$C60,76,1))</f>
        <v/>
      </c>
      <c r="HG64" s="29" t="str">
        <f>IF(OR($B64="",$A64&lt;77),"",--MID('Key Analysis'!$C60,77,1))</f>
        <v/>
      </c>
      <c r="HH64" s="29" t="str">
        <f>IF(OR($B64="",$A64&lt;78),"",--MID('Key Analysis'!$C60,78,1))</f>
        <v/>
      </c>
      <c r="HI64" s="29" t="str">
        <f>IF(OR($B64="",$A64&lt;79),"",--MID('Key Analysis'!$C60,79,1))</f>
        <v/>
      </c>
      <c r="HJ64" s="29" t="str">
        <f>IF(OR($B64="",$A64&lt;80),"",--MID('Key Analysis'!$C60,80,1))</f>
        <v/>
      </c>
      <c r="HK64" s="29" t="str">
        <f>IF(OR($B64="",$A64&lt;81),"",--MID('Key Analysis'!$C60,81,1))</f>
        <v/>
      </c>
      <c r="HL64" s="29" t="str">
        <f>IF(OR($B64="",$A64&lt;82),"",--MID('Key Analysis'!$C60,82,1))</f>
        <v/>
      </c>
      <c r="HM64" s="29" t="str">
        <f>IF(OR($B64="",$A64&lt;83),"",--MID('Key Analysis'!$C60,83,1))</f>
        <v/>
      </c>
      <c r="HN64" s="29" t="str">
        <f>IF(OR($B64="",$A64&lt;84),"",--MID('Key Analysis'!$C60,84,1))</f>
        <v/>
      </c>
      <c r="HO64" s="29" t="str">
        <f>IF(OR($B64="",$A64&lt;85),"",--MID('Key Analysis'!$C60,85,1))</f>
        <v/>
      </c>
      <c r="HP64" s="29" t="str">
        <f>IF(OR($B64="",$A64&lt;86),"",--MID('Key Analysis'!$C60,86,1))</f>
        <v/>
      </c>
      <c r="HQ64" s="29" t="str">
        <f>IF(OR($B64="",$A64&lt;87),"",--MID('Key Analysis'!$C60,87,1))</f>
        <v/>
      </c>
      <c r="HR64" s="29" t="str">
        <f>IF(OR($B64="",$A64&lt;88),"",--MID('Key Analysis'!$C60,88,1))</f>
        <v/>
      </c>
      <c r="HS64" s="29" t="str">
        <f>IF(OR($B64="",$A64&lt;89),"",--MID('Key Analysis'!$C60,89,1))</f>
        <v/>
      </c>
      <c r="HT64" s="29" t="str">
        <f>IF(OR($B64="",$A64&lt;90),"",--MID('Key Analysis'!$C60,90,1))</f>
        <v/>
      </c>
      <c r="HU64" s="29" t="str">
        <f>IF(OR($B64="",$A64&lt;91),"",--MID('Key Analysis'!$C60,91,1))</f>
        <v/>
      </c>
      <c r="HV64" s="29" t="str">
        <f>IF(OR($B64="",$A64&lt;92),"",--MID('Key Analysis'!$C60,92,1))</f>
        <v/>
      </c>
      <c r="HW64" s="29" t="str">
        <f>IF(OR($B64="",$A64&lt;93),"",--MID('Key Analysis'!$C60,93,1))</f>
        <v/>
      </c>
      <c r="HX64" s="29" t="str">
        <f>IF(OR($B64="",$A64&lt;94),"",--MID('Key Analysis'!$C60,94,1))</f>
        <v/>
      </c>
      <c r="HY64" s="29" t="str">
        <f>IF(OR($B64="",$A64&lt;95),"",--MID('Key Analysis'!$C60,95,1))</f>
        <v/>
      </c>
      <c r="HZ64" s="29" t="str">
        <f>IF(OR($B64="",$A64&lt;96),"",--MID('Key Analysis'!$C60,96,1))</f>
        <v/>
      </c>
      <c r="IA64" s="29" t="str">
        <f>IF(OR($B64="",$A64&lt;97),"",--MID('Key Analysis'!$C60,97,1))</f>
        <v/>
      </c>
      <c r="IB64" s="29" t="str">
        <f>IF(OR($B64="",$A64&lt;98),"",--MID('Key Analysis'!$C60,98,1))</f>
        <v/>
      </c>
      <c r="IC64" s="29" t="str">
        <f>IF(OR($B64="",$A64&lt;99),"",--MID('Key Analysis'!$C60,99,1))</f>
        <v/>
      </c>
      <c r="ID64" s="29" t="str">
        <f>IF(OR($B64="",$A64&lt;100),"",--MID('Key Analysis'!$C60,100,1))</f>
        <v/>
      </c>
      <c r="IE64" s="29" t="str">
        <f>IF(OR($B64="",$A64&lt;101),"",--MID('Key Analysis'!$C60,101,1))</f>
        <v/>
      </c>
      <c r="IF64" s="29" t="str">
        <f>IF(OR($B64="",$A64&lt;102),"",--MID('Key Analysis'!$C60,102,1))</f>
        <v/>
      </c>
      <c r="IG64" s="29" t="str">
        <f>IF(OR($B64="",$A64&lt;103),"",--MID('Key Analysis'!$C60,103,1))</f>
        <v/>
      </c>
      <c r="IH64" s="29" t="str">
        <f>IF(OR($B64="",$A64&lt;104),"",--MID('Key Analysis'!$C60,104,1))</f>
        <v/>
      </c>
      <c r="II64" s="29" t="str">
        <f>IF(OR($B64="",$A64&lt;105),"",--MID('Key Analysis'!$C60,105,1))</f>
        <v/>
      </c>
      <c r="IJ64" s="29" t="str">
        <f>IF(OR($B64="",$A64&lt;106),"",--MID('Key Analysis'!$C60,106,1))</f>
        <v/>
      </c>
      <c r="IK64" s="29" t="str">
        <f>IF(OR($B64="",$A64&lt;107),"",--MID('Key Analysis'!$C60,107,1))</f>
        <v/>
      </c>
      <c r="IL64" s="29" t="str">
        <f>IF(OR($B64="",$A64&lt;108),"",--MID('Key Analysis'!$C60,108,1))</f>
        <v/>
      </c>
      <c r="IM64" s="29" t="str">
        <f>IF(OR($B64="",$A64&lt;109),"",--MID('Key Analysis'!$C60,109,1))</f>
        <v/>
      </c>
      <c r="IN64" s="29" t="str">
        <f>IF(OR($B64="",$A64&lt;110),"",--MID('Key Analysis'!$C60,110,1))</f>
        <v/>
      </c>
      <c r="IO64" s="29" t="str">
        <f>IF(OR($B64="",$A64&lt;111),"",--MID('Key Analysis'!$C60,111,1))</f>
        <v/>
      </c>
      <c r="IP64" s="29" t="str">
        <f>IF(OR($B64="",$A64&lt;112),"",--MID('Key Analysis'!$C60,112,1))</f>
        <v/>
      </c>
      <c r="IQ64" s="29" t="str">
        <f>IF(OR($B64="",$A64&lt;113),"",--MID('Key Analysis'!$C60,113,1))</f>
        <v/>
      </c>
      <c r="IR64" s="29" t="str">
        <f>IF(OR($B64="",$A64&lt;114),"",--MID('Key Analysis'!$C60,114,1))</f>
        <v/>
      </c>
      <c r="IS64" s="29" t="str">
        <f>IF(OR($B64="",$A64&lt;115),"",--MID('Key Analysis'!$C60,115,1))</f>
        <v/>
      </c>
      <c r="IT64" s="29" t="str">
        <f>IF(OR($B64="",$A64&lt;116),"",--MID('Key Analysis'!$C60,116,1))</f>
        <v/>
      </c>
      <c r="IU64" s="29" t="str">
        <f>IF(OR($B64="",$A64&lt;117),"",--MID('Key Analysis'!$C60,117,1))</f>
        <v/>
      </c>
      <c r="IV64" s="29" t="str">
        <f>IF(OR($B64="",$A64&lt;118),"",--MID('Key Analysis'!$C60,118,1))</f>
        <v/>
      </c>
      <c r="IW64" s="29" t="str">
        <f>IF(OR($B64="",$A64&lt;119),"",--MID('Key Analysis'!$C60,119,1))</f>
        <v/>
      </c>
      <c r="IX64" s="29" t="str">
        <f>IF(OR($B64="",$A64&lt;120),"",--MID('Key Analysis'!$C60,120,1))</f>
        <v/>
      </c>
      <c r="IY64" s="29" t="str">
        <f>IF(OR($B64="",$A64&lt;121),"",--MID('Key Analysis'!$C60,121,1))</f>
        <v/>
      </c>
      <c r="IZ64" s="29" t="str">
        <f>IF(OR($B64="",$A64&lt;122),"",--MID('Key Analysis'!$C60,122,1))</f>
        <v/>
      </c>
      <c r="JA64" s="29" t="str">
        <f>IF(OR($B64="",$A64&lt;123),"",--MID('Key Analysis'!$C60,123,1))</f>
        <v/>
      </c>
      <c r="JB64" s="29" t="str">
        <f>IF(OR($B64="",$A64&lt;124),"",--MID('Key Analysis'!$C60,124,1))</f>
        <v/>
      </c>
      <c r="JC64" s="29" t="str">
        <f>IF(OR($B64="",$A64&lt;125),"",--MID('Key Analysis'!$C60,125,1))</f>
        <v/>
      </c>
      <c r="JD64" s="29" t="str">
        <f>IF(OR($B64="",$A64&lt;126),"",--MID('Key Analysis'!$C60,126,1))</f>
        <v/>
      </c>
      <c r="JE64" s="29" t="str">
        <f>IF(OR($B64="",$A64&lt;127),"",--MID('Key Analysis'!$C60,127,1))</f>
        <v/>
      </c>
      <c r="JF64" s="29" t="str">
        <f>IF(OR($B64="",$A64&lt;128),"",--MID('Key Analysis'!$C60,128,1))</f>
        <v/>
      </c>
      <c r="JG64" s="29" t="str">
        <f>IF(OR($B64="",$A64&lt;129),"",--MID('Key Analysis'!$C60,129,1))</f>
        <v/>
      </c>
      <c r="JH64" s="29" t="str">
        <f>IF(OR($B64="",$A64&lt;130),"",--MID('Key Analysis'!$C60,130,1))</f>
        <v/>
      </c>
      <c r="JI64" s="29" t="str">
        <f>IF(OR($B64="",$A64&lt;131),"",--MID('Key Analysis'!$C60,131,1))</f>
        <v/>
      </c>
      <c r="JJ64" s="29" t="str">
        <f>IF(OR($B64="",$A64&lt;132),"",--MID('Key Analysis'!$C60,132,1))</f>
        <v/>
      </c>
      <c r="JK64" s="29" t="str">
        <f>IF(OR($B64="",$A64&lt;133),"",--MID('Key Analysis'!$C60,133,1))</f>
        <v/>
      </c>
      <c r="JL64" s="29" t="str">
        <f>IF(OR($B64="",$A64&lt;134),"",--MID('Key Analysis'!$C60,134,1))</f>
        <v/>
      </c>
      <c r="JM64" s="29" t="str">
        <f>IF(OR($B64="",$A64&lt;135),"",--MID('Key Analysis'!$C60,135,1))</f>
        <v/>
      </c>
    </row>
    <row r="65" spans="1:273" x14ac:dyDescent="0.25">
      <c r="A65" s="21">
        <f>'Key Analysis'!A61</f>
        <v>60</v>
      </c>
      <c r="B65" s="30" t="str">
        <f>'Key Analysis'!B61</f>
        <v>fc07a1825367bbe</v>
      </c>
      <c r="C65" s="29">
        <f>IF(OR($B65="",$A65&lt;=0),"",--MID('Key Analysis'!$C61,$A65-0,1))</f>
        <v>0</v>
      </c>
      <c r="D65" s="29">
        <f>IF(OR($B65="",$A65&lt;=1),"",--MID('Key Analysis'!$C61,$A65-1,1))</f>
        <v>1</v>
      </c>
      <c r="E65" s="29">
        <f>IF(OR($B65="",$A65&lt;=2),"",--MID('Key Analysis'!$C61,$A65-2,1))</f>
        <v>1</v>
      </c>
      <c r="F65" s="29">
        <f>IF(OR($B65="",$A65&lt;=3),"",--MID('Key Analysis'!$C61,$A65-3,1))</f>
        <v>1</v>
      </c>
      <c r="G65" s="29">
        <f>IF(OR($B65="",$A65&lt;=4),"",--MID('Key Analysis'!$C61,$A65-4,1))</f>
        <v>1</v>
      </c>
      <c r="H65" s="29">
        <f>IF(OR($B65="",$A65&lt;=5),"",--MID('Key Analysis'!$C61,$A65-5,1))</f>
        <v>1</v>
      </c>
      <c r="I65" s="29">
        <f>IF(OR($B65="",$A65&lt;=6),"",--MID('Key Analysis'!$C61,$A65-6,1))</f>
        <v>0</v>
      </c>
      <c r="J65" s="29">
        <f>IF(OR($B65="",$A65&lt;=7),"",--MID('Key Analysis'!$C61,$A65-7,1))</f>
        <v>1</v>
      </c>
      <c r="K65" s="29">
        <f>IF(OR($B65="",$A65&lt;=8),"",--MID('Key Analysis'!$C61,$A65-8,1))</f>
        <v>1</v>
      </c>
      <c r="L65" s="29">
        <f>IF(OR($B65="",$A65&lt;=9),"",--MID('Key Analysis'!$C61,$A65-9,1))</f>
        <v>1</v>
      </c>
      <c r="M65" s="29">
        <f>IF(OR($B65="",$A65&lt;=10),"",--MID('Key Analysis'!$C61,$A65-10,1))</f>
        <v>0</v>
      </c>
      <c r="N65" s="29">
        <f>IF(OR($B65="",$A65&lt;=11),"",--MID('Key Analysis'!$C61,$A65-11,1))</f>
        <v>1</v>
      </c>
      <c r="O65" s="29">
        <f>IF(OR($B65="",$A65&lt;=12),"",--MID('Key Analysis'!$C61,$A65-12,1))</f>
        <v>1</v>
      </c>
      <c r="P65" s="29">
        <f>IF(OR($B65="",$A65&lt;=13),"",--MID('Key Analysis'!$C61,$A65-13,1))</f>
        <v>1</v>
      </c>
      <c r="Q65" s="29">
        <f>IF(OR($B65="",$A65&lt;=14),"",--MID('Key Analysis'!$C61,$A65-14,1))</f>
        <v>1</v>
      </c>
      <c r="R65" s="29">
        <f>IF(OR($B65="",$A65&lt;=15),"",--MID('Key Analysis'!$C61,$A65-15,1))</f>
        <v>0</v>
      </c>
      <c r="S65" s="29">
        <f>IF(OR($B65="",$A65&lt;=16),"",--MID('Key Analysis'!$C61,$A65-16,1))</f>
        <v>0</v>
      </c>
      <c r="T65" s="29">
        <f>IF(OR($B65="",$A65&lt;=17),"",--MID('Key Analysis'!$C61,$A65-17,1))</f>
        <v>1</v>
      </c>
      <c r="U65" s="29">
        <f>IF(OR($B65="",$A65&lt;=18),"",--MID('Key Analysis'!$C61,$A65-18,1))</f>
        <v>1</v>
      </c>
      <c r="V65" s="29">
        <f>IF(OR($B65="",$A65&lt;=19),"",--MID('Key Analysis'!$C61,$A65-19,1))</f>
        <v>0</v>
      </c>
      <c r="W65" s="29">
        <f>IF(OR($B65="",$A65&lt;=20),"",--MID('Key Analysis'!$C61,$A65-20,1))</f>
        <v>1</v>
      </c>
      <c r="X65" s="29">
        <f>IF(OR($B65="",$A65&lt;=21),"",--MID('Key Analysis'!$C61,$A65-21,1))</f>
        <v>1</v>
      </c>
      <c r="Y65" s="29">
        <f>IF(OR($B65="",$A65&lt;=22),"",--MID('Key Analysis'!$C61,$A65-22,1))</f>
        <v>0</v>
      </c>
      <c r="Z65" s="29">
        <f>IF(OR($B65="",$A65&lt;=23),"",--MID('Key Analysis'!$C61,$A65-23,1))</f>
        <v>0</v>
      </c>
      <c r="AA65" s="29">
        <f>IF(OR($B65="",$A65&lt;=24),"",--MID('Key Analysis'!$C61,$A65-24,1))</f>
        <v>1</v>
      </c>
      <c r="AB65" s="29">
        <f>IF(OR($B65="",$A65&lt;=25),"",--MID('Key Analysis'!$C61,$A65-25,1))</f>
        <v>0</v>
      </c>
      <c r="AC65" s="29">
        <f>IF(OR($B65="",$A65&lt;=26),"",--MID('Key Analysis'!$C61,$A65-26,1))</f>
        <v>1</v>
      </c>
      <c r="AD65" s="29">
        <f>IF(OR($B65="",$A65&lt;=27),"",--MID('Key Analysis'!$C61,$A65-27,1))</f>
        <v>0</v>
      </c>
      <c r="AE65" s="29">
        <f>IF(OR($B65="",$A65&lt;=28),"",--MID('Key Analysis'!$C61,$A65-28,1))</f>
        <v>0</v>
      </c>
      <c r="AF65" s="29">
        <f>IF(OR($B65="",$A65&lt;=29),"",--MID('Key Analysis'!$C61,$A65-29,1))</f>
        <v>1</v>
      </c>
      <c r="AG65" s="29">
        <f>IF(OR($B65="",$A65&lt;=30),"",--MID('Key Analysis'!$C61,$A65-30,1))</f>
        <v>0</v>
      </c>
      <c r="AH65" s="29">
        <f>IF(OR($B65="",$A65&lt;=31),"",--MID('Key Analysis'!$C61,$A65-31,1))</f>
        <v>0</v>
      </c>
      <c r="AI65" s="29">
        <f>IF(OR($B65="",$A65&lt;=32),"",--MID('Key Analysis'!$C61,$A65-32,1))</f>
        <v>0</v>
      </c>
      <c r="AJ65" s="29">
        <f>IF(OR($B65="",$A65&lt;=33),"",--MID('Key Analysis'!$C61,$A65-33,1))</f>
        <v>0</v>
      </c>
      <c r="AK65" s="29">
        <f>IF(OR($B65="",$A65&lt;=34),"",--MID('Key Analysis'!$C61,$A65-34,1))</f>
        <v>0</v>
      </c>
      <c r="AL65" s="29">
        <f>IF(OR($B65="",$A65&lt;=35),"",--MID('Key Analysis'!$C61,$A65-35,1))</f>
        <v>1</v>
      </c>
      <c r="AM65" s="29">
        <f>IF(OR($B65="",$A65&lt;=36),"",--MID('Key Analysis'!$C61,$A65-36,1))</f>
        <v>1</v>
      </c>
      <c r="AN65" s="29">
        <f>IF(OR($B65="",$A65&lt;=37),"",--MID('Key Analysis'!$C61,$A65-37,1))</f>
        <v>0</v>
      </c>
      <c r="AO65" s="29">
        <f>IF(OR($B65="",$A65&lt;=38),"",--MID('Key Analysis'!$C61,$A65-38,1))</f>
        <v>0</v>
      </c>
      <c r="AP65" s="29">
        <f>IF(OR($B65="",$A65&lt;=39),"",--MID('Key Analysis'!$C61,$A65-39,1))</f>
        <v>0</v>
      </c>
      <c r="AQ65" s="29">
        <f>IF(OR($B65="",$A65&lt;=40),"",--MID('Key Analysis'!$C61,$A65-40,1))</f>
        <v>0</v>
      </c>
      <c r="AR65" s="29">
        <f>IF(OR($B65="",$A65&lt;=41),"",--MID('Key Analysis'!$C61,$A65-41,1))</f>
        <v>1</v>
      </c>
      <c r="AS65" s="29">
        <f>IF(OR($B65="",$A65&lt;=42),"",--MID('Key Analysis'!$C61,$A65-42,1))</f>
        <v>0</v>
      </c>
      <c r="AT65" s="29">
        <f>IF(OR($B65="",$A65&lt;=43),"",--MID('Key Analysis'!$C61,$A65-43,1))</f>
        <v>1</v>
      </c>
      <c r="AU65" s="29">
        <f>IF(OR($B65="",$A65&lt;=44),"",--MID('Key Analysis'!$C61,$A65-44,1))</f>
        <v>1</v>
      </c>
      <c r="AV65" s="29">
        <f>IF(OR($B65="",$A65&lt;=45),"",--MID('Key Analysis'!$C61,$A65-45,1))</f>
        <v>1</v>
      </c>
      <c r="AW65" s="29">
        <f>IF(OR($B65="",$A65&lt;=46),"",--MID('Key Analysis'!$C61,$A65-46,1))</f>
        <v>1</v>
      </c>
      <c r="AX65" s="29">
        <f>IF(OR($B65="",$A65&lt;=47),"",--MID('Key Analysis'!$C61,$A65-47,1))</f>
        <v>0</v>
      </c>
      <c r="AY65" s="29">
        <f>IF(OR($B65="",$A65&lt;=48),"",--MID('Key Analysis'!$C61,$A65-48,1))</f>
        <v>0</v>
      </c>
      <c r="AZ65" s="29">
        <f>IF(OR($B65="",$A65&lt;=49),"",--MID('Key Analysis'!$C61,$A65-49,1))</f>
        <v>0</v>
      </c>
      <c r="BA65" s="29">
        <f>IF(OR($B65="",$A65&lt;=50),"",--MID('Key Analysis'!$C61,$A65-50,1))</f>
        <v>0</v>
      </c>
      <c r="BB65" s="29">
        <f>IF(OR($B65="",$A65&lt;=51),"",--MID('Key Analysis'!$C61,$A65-51,1))</f>
        <v>0</v>
      </c>
      <c r="BC65" s="29">
        <f>IF(OR($B65="",$A65&lt;=52),"",--MID('Key Analysis'!$C61,$A65-52,1))</f>
        <v>0</v>
      </c>
      <c r="BD65" s="29">
        <f>IF(OR($B65="",$A65&lt;=53),"",--MID('Key Analysis'!$C61,$A65-53,1))</f>
        <v>0</v>
      </c>
      <c r="BE65" s="29">
        <f>IF(OR($B65="",$A65&lt;=54),"",--MID('Key Analysis'!$C61,$A65-54,1))</f>
        <v>1</v>
      </c>
      <c r="BF65" s="29">
        <f>IF(OR($B65="",$A65&lt;=55),"",--MID('Key Analysis'!$C61,$A65-55,1))</f>
        <v>1</v>
      </c>
      <c r="BG65" s="29">
        <f>IF(OR($B65="",$A65&lt;=56),"",--MID('Key Analysis'!$C61,$A65-56,1))</f>
        <v>1</v>
      </c>
      <c r="BH65" s="29">
        <f>IF(OR($B65="",$A65&lt;=57),"",--MID('Key Analysis'!$C61,$A65-57,1))</f>
        <v>1</v>
      </c>
      <c r="BI65" s="29">
        <f>IF(OR($B65="",$A65&lt;=58),"",--MID('Key Analysis'!$C61,$A65-58,1))</f>
        <v>1</v>
      </c>
      <c r="BJ65" s="29">
        <f>IF(OR($B65="",$A65&lt;=59),"",--MID('Key Analysis'!$C61,$A65-59,1))</f>
        <v>1</v>
      </c>
      <c r="BK65" s="29" t="str">
        <f>IF(OR($B65="",$A65&lt;=60),"",--MID('Key Analysis'!$C61,$A65-60,1))</f>
        <v/>
      </c>
      <c r="BL65" s="29" t="str">
        <f>IF(OR($B65="",$A65&lt;=61),"",--MID('Key Analysis'!$C61,$A65-61,1))</f>
        <v/>
      </c>
      <c r="BM65" s="29" t="str">
        <f>IF(OR($B65="",$A65&lt;=62),"",--MID('Key Analysis'!$C61,$A65-62,1))</f>
        <v/>
      </c>
      <c r="BN65" s="29" t="str">
        <f>IF(OR($B65="",$A65&lt;=63),"",--MID('Key Analysis'!$C61,$A65-63,1))</f>
        <v/>
      </c>
      <c r="BO65" s="29" t="str">
        <f>IF(OR($B65="",$A65&lt;=64),"",--MID('Key Analysis'!$C61,$A65-64,1))</f>
        <v/>
      </c>
      <c r="BP65" s="29" t="str">
        <f>IF(OR($B65="",$A65&lt;=65),"",--MID('Key Analysis'!$C61,$A65-65,1))</f>
        <v/>
      </c>
      <c r="BQ65" s="29" t="str">
        <f>IF(OR($B65="",$A65&lt;=66),"",--MID('Key Analysis'!$C61,$A65-66,1))</f>
        <v/>
      </c>
      <c r="BR65" s="29" t="str">
        <f>IF(OR($B65="",$A65&lt;=67),"",--MID('Key Analysis'!$C61,$A65-67,1))</f>
        <v/>
      </c>
      <c r="BS65" s="29" t="str">
        <f>IF(OR($B65="",$A65&lt;=68),"",--MID('Key Analysis'!$C61,$A65-68,1))</f>
        <v/>
      </c>
      <c r="BT65" s="29" t="str">
        <f>IF(OR($B65="",$A65&lt;=69),"",--MID('Key Analysis'!$C61,$A65-69,1))</f>
        <v/>
      </c>
      <c r="BU65" s="29" t="str">
        <f>IF(OR($B65="",$A65&lt;=70),"",--MID('Key Analysis'!$C61,$A65-70,1))</f>
        <v/>
      </c>
      <c r="BV65" s="29" t="str">
        <f>IF(OR($B65="",$A65&lt;=71),"",--MID('Key Analysis'!$C61,$A65-71,1))</f>
        <v/>
      </c>
      <c r="BW65" s="29" t="str">
        <f>IF(OR($B65="",$A65&lt;=72),"",--MID('Key Analysis'!$C61,$A65-72,1))</f>
        <v/>
      </c>
      <c r="BX65" s="29" t="str">
        <f>IF(OR($B65="",$A65&lt;=73),"",--MID('Key Analysis'!$C61,$A65-73,1))</f>
        <v/>
      </c>
      <c r="BY65" s="29" t="str">
        <f>IF(OR($B65="",$A65&lt;=74),"",--MID('Key Analysis'!$C61,$A65-74,1))</f>
        <v/>
      </c>
      <c r="BZ65" s="29" t="str">
        <f>IF(OR($B65="",$A65&lt;=75),"",--MID('Key Analysis'!$C61,$A65-75,1))</f>
        <v/>
      </c>
      <c r="CA65" s="29" t="str">
        <f>IF(OR($B65="",$A65&lt;=76),"",--MID('Key Analysis'!$C61,$A65-76,1))</f>
        <v/>
      </c>
      <c r="CB65" s="29" t="str">
        <f>IF(OR($B65="",$A65&lt;=77),"",--MID('Key Analysis'!$C61,$A65-77,1))</f>
        <v/>
      </c>
      <c r="CC65" s="29" t="str">
        <f>IF(OR($B65="",$A65&lt;=78),"",--MID('Key Analysis'!$C61,$A65-78,1))</f>
        <v/>
      </c>
      <c r="CD65" s="29" t="str">
        <f>IF(OR($B65="",$A65&lt;=79),"",--MID('Key Analysis'!$C61,$A65-79,1))</f>
        <v/>
      </c>
      <c r="CE65" s="29" t="str">
        <f>IF(OR($B65="",$A65&lt;=80),"",--MID('Key Analysis'!$C61,$A65-80,1))</f>
        <v/>
      </c>
      <c r="CF65" s="29" t="str">
        <f>IF(OR($B65="",$A65&lt;=81),"",--MID('Key Analysis'!$C61,$A65-81,1))</f>
        <v/>
      </c>
      <c r="CG65" s="29" t="str">
        <f>IF(OR($B65="",$A65&lt;=82),"",--MID('Key Analysis'!$C61,$A65-82,1))</f>
        <v/>
      </c>
      <c r="CH65" s="29" t="str">
        <f>IF(OR($B65="",$A65&lt;=83),"",--MID('Key Analysis'!$C61,$A65-83,1))</f>
        <v/>
      </c>
      <c r="CI65" s="29" t="str">
        <f>IF(OR($B65="",$A65&lt;=84),"",--MID('Key Analysis'!$C61,$A65-84,1))</f>
        <v/>
      </c>
      <c r="CJ65" s="29" t="str">
        <f>IF(OR($B65="",$A65&lt;=85),"",--MID('Key Analysis'!$C61,$A65-85,1))</f>
        <v/>
      </c>
      <c r="CK65" s="29" t="str">
        <f>IF(OR($B65="",$A65&lt;=86),"",--MID('Key Analysis'!$C61,$A65-86,1))</f>
        <v/>
      </c>
      <c r="CL65" s="29" t="str">
        <f>IF(OR($B65="",$A65&lt;=87),"",--MID('Key Analysis'!$C61,$A65-87,1))</f>
        <v/>
      </c>
      <c r="CM65" s="29" t="str">
        <f>IF(OR($B65="",$A65&lt;=88),"",--MID('Key Analysis'!$C61,$A65-88,1))</f>
        <v/>
      </c>
      <c r="CN65" s="29" t="str">
        <f>IF(OR($B65="",$A65&lt;=89),"",--MID('Key Analysis'!$C61,$A65-89,1))</f>
        <v/>
      </c>
      <c r="CO65" s="29" t="str">
        <f>IF(OR($B65="",$A65&lt;=90),"",--MID('Key Analysis'!$C61,$A65-90,1))</f>
        <v/>
      </c>
      <c r="CP65" s="29" t="str">
        <f>IF(OR($B65="",$A65&lt;=91),"",--MID('Key Analysis'!$C61,$A65-91,1))</f>
        <v/>
      </c>
      <c r="CQ65" s="29" t="str">
        <f>IF(OR($B65="",$A65&lt;=92),"",--MID('Key Analysis'!$C61,$A65-92,1))</f>
        <v/>
      </c>
      <c r="CR65" s="29" t="str">
        <f>IF(OR($B65="",$A65&lt;=93),"",--MID('Key Analysis'!$C61,$A65-93,1))</f>
        <v/>
      </c>
      <c r="CS65" s="29" t="str">
        <f>IF(OR($B65="",$A65&lt;=94),"",--MID('Key Analysis'!$C61,$A65-94,1))</f>
        <v/>
      </c>
      <c r="CT65" s="29" t="str">
        <f>IF(OR($B65="",$A65&lt;=95),"",--MID('Key Analysis'!$C61,$A65-95,1))</f>
        <v/>
      </c>
      <c r="CU65" s="29" t="str">
        <f>IF(OR($B65="",$A65&lt;=96),"",--MID('Key Analysis'!$C61,$A65-96,1))</f>
        <v/>
      </c>
      <c r="CV65" s="29" t="str">
        <f>IF(OR($B65="",$A65&lt;=97),"",--MID('Key Analysis'!$C61,$A65-97,1))</f>
        <v/>
      </c>
      <c r="CW65" s="29" t="str">
        <f>IF(OR($B65="",$A65&lt;=98),"",--MID('Key Analysis'!$C61,$A65-98,1))</f>
        <v/>
      </c>
      <c r="CX65" s="29" t="str">
        <f>IF(OR($B65="",$A65&lt;=99),"",--MID('Key Analysis'!$C61,$A65-99,1))</f>
        <v/>
      </c>
      <c r="CY65" s="29" t="str">
        <f>IF(OR($B65="",$A65&lt;=100),"",--MID('Key Analysis'!$C61,$A65-100,1))</f>
        <v/>
      </c>
      <c r="CZ65" s="29" t="str">
        <f>IF(OR($B65="",$A65&lt;=101),"",--MID('Key Analysis'!$C61,$A65-101,1))</f>
        <v/>
      </c>
      <c r="DA65" s="29" t="str">
        <f>IF(OR($B65="",$A65&lt;=102),"",--MID('Key Analysis'!$C61,$A65-102,1))</f>
        <v/>
      </c>
      <c r="DB65" s="29" t="str">
        <f>IF(OR($B65="",$A65&lt;=103),"",--MID('Key Analysis'!$C61,$A65-103,1))</f>
        <v/>
      </c>
      <c r="DC65" s="29" t="str">
        <f>IF(OR($B65="",$A65&lt;=104),"",--MID('Key Analysis'!$C61,$A65-104,1))</f>
        <v/>
      </c>
      <c r="DD65" s="29" t="str">
        <f>IF(OR($B65="",$A65&lt;=105),"",--MID('Key Analysis'!$C61,$A65-105,1))</f>
        <v/>
      </c>
      <c r="DE65" s="29" t="str">
        <f>IF(OR($B65="",$A65&lt;=106),"",--MID('Key Analysis'!$C61,$A65-106,1))</f>
        <v/>
      </c>
      <c r="DF65" s="29" t="str">
        <f>IF(OR($B65="",$A65&lt;=107),"",--MID('Key Analysis'!$C61,$A65-107,1))</f>
        <v/>
      </c>
      <c r="DG65" s="29" t="str">
        <f>IF(OR($B65="",$A65&lt;=108),"",--MID('Key Analysis'!$C61,$A65-108,1))</f>
        <v/>
      </c>
      <c r="DH65" s="29" t="str">
        <f>IF(OR($B65="",$A65&lt;=109),"",--MID('Key Analysis'!$C61,$A65-109,1))</f>
        <v/>
      </c>
      <c r="DI65" s="29" t="str">
        <f>IF(OR($B65="",$A65&lt;=110),"",--MID('Key Analysis'!$C61,$A65-110,1))</f>
        <v/>
      </c>
      <c r="DJ65" s="29" t="str">
        <f>IF(OR($B65="",$A65&lt;=111),"",--MID('Key Analysis'!$C61,$A65-111,1))</f>
        <v/>
      </c>
      <c r="DK65" s="29" t="str">
        <f>IF(OR($B65="",$A65&lt;=112),"",--MID('Key Analysis'!$C61,$A65-112,1))</f>
        <v/>
      </c>
      <c r="DL65" s="29" t="str">
        <f>IF(OR($B65="",$A65&lt;=113),"",--MID('Key Analysis'!$C61,$A65-113,1))</f>
        <v/>
      </c>
      <c r="DM65" s="29" t="str">
        <f>IF(OR($B65="",$A65&lt;=114),"",--MID('Key Analysis'!$C61,$A65-114,1))</f>
        <v/>
      </c>
      <c r="DN65" s="29" t="str">
        <f>IF(OR($B65="",$A65&lt;=115),"",--MID('Key Analysis'!$C61,$A65-115,1))</f>
        <v/>
      </c>
      <c r="DO65" s="29" t="str">
        <f>IF(OR($B65="",$A65&lt;=116),"",--MID('Key Analysis'!$C61,$A65-116,1))</f>
        <v/>
      </c>
      <c r="DP65" s="29" t="str">
        <f>IF(OR($B65="",$A65&lt;=117),"",--MID('Key Analysis'!$C61,$A65-117,1))</f>
        <v/>
      </c>
      <c r="DQ65" s="29" t="str">
        <f>IF(OR($B65="",$A65&lt;=118),"",--MID('Key Analysis'!$C61,$A65-118,1))</f>
        <v/>
      </c>
      <c r="DR65" s="29" t="str">
        <f>IF(OR($B65="",$A65&lt;=119),"",--MID('Key Analysis'!$C61,$A65-119,1))</f>
        <v/>
      </c>
      <c r="DS65" s="29" t="str">
        <f>IF(OR($B65="",$A65&lt;=120),"",--MID('Key Analysis'!$C61,$A65-120,1))</f>
        <v/>
      </c>
      <c r="DT65" s="29" t="str">
        <f>IF(OR($B65="",$A65&lt;=121),"",--MID('Key Analysis'!$C61,$A65-121,1))</f>
        <v/>
      </c>
      <c r="DU65" s="29" t="str">
        <f>IF(OR($B65="",$A65&lt;=122),"",--MID('Key Analysis'!$C61,$A65-122,1))</f>
        <v/>
      </c>
      <c r="DV65" s="29" t="str">
        <f>IF(OR($B65="",$A65&lt;=123),"",--MID('Key Analysis'!$C61,$A65-123,1))</f>
        <v/>
      </c>
      <c r="DW65" s="29" t="str">
        <f>IF(OR($B65="",$A65&lt;=124),"",--MID('Key Analysis'!$C61,$A65-124,1))</f>
        <v/>
      </c>
      <c r="DX65" s="29" t="str">
        <f>IF(OR($B65="",$A65&lt;=125),"",--MID('Key Analysis'!$C61,$A65-125,1))</f>
        <v/>
      </c>
      <c r="DY65" s="29" t="str">
        <f>IF(OR($B65="",$A65&lt;=126),"",--MID('Key Analysis'!$C61,$A65-126,1))</f>
        <v/>
      </c>
      <c r="DZ65" s="29" t="str">
        <f>IF(OR($B65="",$A65&lt;=127),"",--MID('Key Analysis'!$C61,$A65-127,1))</f>
        <v/>
      </c>
      <c r="EA65" s="29" t="str">
        <f>IF(OR($B65="",$A65&lt;=128),"",--MID('Key Analysis'!$C61,$A65-128,1))</f>
        <v/>
      </c>
      <c r="EB65" s="29" t="str">
        <f>IF(OR($B65="",$A65&lt;=129),"",--MID('Key Analysis'!$C61,$A65-129,1))</f>
        <v/>
      </c>
      <c r="EC65" s="29" t="str">
        <f>IF(OR($B65="",$A65&lt;=130),"",--MID('Key Analysis'!$C61,$A65-130,1))</f>
        <v/>
      </c>
      <c r="ED65" s="29" t="str">
        <f>IF(OR($B65="",$A65&lt;=131),"",--MID('Key Analysis'!$C61,$A65-131,1))</f>
        <v/>
      </c>
      <c r="EE65" s="29" t="str">
        <f>IF(OR($B65="",$A65&lt;=132),"",--MID('Key Analysis'!$C61,$A65-132,1))</f>
        <v/>
      </c>
      <c r="EF65" s="29" t="str">
        <f>IF(OR($B65="",$A65&lt;=133),"",--MID('Key Analysis'!$C61,$A65-133,1))</f>
        <v/>
      </c>
      <c r="EG65" s="29" t="str">
        <f>IF(OR($B65="",$A65&lt;=134),"",--MID('Key Analysis'!$C61,$A65-134,1))</f>
        <v/>
      </c>
      <c r="EH65" s="29"/>
      <c r="EI65" s="29">
        <f>IF(OR($B65="",$A65&lt;1),"",--MID('Key Analysis'!$C61,1,1))</f>
        <v>1</v>
      </c>
      <c r="EJ65" s="29">
        <f>IF(OR($B65="",$A65&lt;2),"",--MID('Key Analysis'!$C61,2,1))</f>
        <v>1</v>
      </c>
      <c r="EK65" s="29">
        <f>IF(OR($B65="",$A65&lt;3),"",--MID('Key Analysis'!$C61,3,1))</f>
        <v>1</v>
      </c>
      <c r="EL65" s="29">
        <f>IF(OR($B65="",$A65&lt;4),"",--MID('Key Analysis'!$C61,4,1))</f>
        <v>1</v>
      </c>
      <c r="EM65" s="29">
        <f>IF(OR($B65="",$A65&lt;5),"",--MID('Key Analysis'!$C61,5,1))</f>
        <v>1</v>
      </c>
      <c r="EN65" s="29">
        <f>IF(OR($B65="",$A65&lt;6),"",--MID('Key Analysis'!$C61,6,1))</f>
        <v>1</v>
      </c>
      <c r="EO65" s="29">
        <f>IF(OR($B65="",$A65&lt;7),"",--MID('Key Analysis'!$C61,7,1))</f>
        <v>0</v>
      </c>
      <c r="EP65" s="29">
        <f>IF(OR($B65="",$A65&lt;8),"",--MID('Key Analysis'!$C61,8,1))</f>
        <v>0</v>
      </c>
      <c r="EQ65" s="29">
        <f>IF(OR($B65="",$A65&lt;9),"",--MID('Key Analysis'!$C61,9,1))</f>
        <v>0</v>
      </c>
      <c r="ER65" s="29">
        <f>IF(OR($B65="",$A65&lt;10),"",--MID('Key Analysis'!$C61,10,1))</f>
        <v>0</v>
      </c>
      <c r="ES65" s="29">
        <f>IF(OR($B65="",$A65&lt;11),"",--MID('Key Analysis'!$C61,11,1))</f>
        <v>0</v>
      </c>
      <c r="ET65" s="29">
        <f>IF(OR($B65="",$A65&lt;12),"",--MID('Key Analysis'!$C61,12,1))</f>
        <v>0</v>
      </c>
      <c r="EU65" s="29">
        <f>IF(OR($B65="",$A65&lt;13),"",--MID('Key Analysis'!$C61,13,1))</f>
        <v>0</v>
      </c>
      <c r="EV65" s="29">
        <f>IF(OR($B65="",$A65&lt;14),"",--MID('Key Analysis'!$C61,14,1))</f>
        <v>1</v>
      </c>
      <c r="EW65" s="29">
        <f>IF(OR($B65="",$A65&lt;15),"",--MID('Key Analysis'!$C61,15,1))</f>
        <v>1</v>
      </c>
      <c r="EX65" s="29">
        <f>IF(OR($B65="",$A65&lt;16),"",--MID('Key Analysis'!$C61,16,1))</f>
        <v>1</v>
      </c>
      <c r="EY65" s="29">
        <f>IF(OR($B65="",$A65&lt;17),"",--MID('Key Analysis'!$C61,17,1))</f>
        <v>1</v>
      </c>
      <c r="EZ65" s="29">
        <f>IF(OR($B65="",$A65&lt;18),"",--MID('Key Analysis'!$C61,18,1))</f>
        <v>0</v>
      </c>
      <c r="FA65" s="29">
        <f>IF(OR($B65="",$A65&lt;19),"",--MID('Key Analysis'!$C61,19,1))</f>
        <v>1</v>
      </c>
      <c r="FB65" s="29">
        <f>IF(OR($B65="",$A65&lt;20),"",--MID('Key Analysis'!$C61,20,1))</f>
        <v>0</v>
      </c>
      <c r="FC65" s="29">
        <f>IF(OR($B65="",$A65&lt;21),"",--MID('Key Analysis'!$C61,21,1))</f>
        <v>0</v>
      </c>
      <c r="FD65" s="29">
        <f>IF(OR($B65="",$A65&lt;22),"",--MID('Key Analysis'!$C61,22,1))</f>
        <v>0</v>
      </c>
      <c r="FE65" s="29">
        <f>IF(OR($B65="",$A65&lt;23),"",--MID('Key Analysis'!$C61,23,1))</f>
        <v>0</v>
      </c>
      <c r="FF65" s="29">
        <f>IF(OR($B65="",$A65&lt;24),"",--MID('Key Analysis'!$C61,24,1))</f>
        <v>1</v>
      </c>
      <c r="FG65" s="29">
        <f>IF(OR($B65="",$A65&lt;25),"",--MID('Key Analysis'!$C61,25,1))</f>
        <v>1</v>
      </c>
      <c r="FH65" s="29">
        <f>IF(OR($B65="",$A65&lt;26),"",--MID('Key Analysis'!$C61,26,1))</f>
        <v>0</v>
      </c>
      <c r="FI65" s="29">
        <f>IF(OR($B65="",$A65&lt;27),"",--MID('Key Analysis'!$C61,27,1))</f>
        <v>0</v>
      </c>
      <c r="FJ65" s="29">
        <f>IF(OR($B65="",$A65&lt;28),"",--MID('Key Analysis'!$C61,28,1))</f>
        <v>0</v>
      </c>
      <c r="FK65" s="29">
        <f>IF(OR($B65="",$A65&lt;29),"",--MID('Key Analysis'!$C61,29,1))</f>
        <v>0</v>
      </c>
      <c r="FL65" s="29">
        <f>IF(OR($B65="",$A65&lt;30),"",--MID('Key Analysis'!$C61,30,1))</f>
        <v>0</v>
      </c>
      <c r="FM65" s="29">
        <f>IF(OR($B65="",$A65&lt;31),"",--MID('Key Analysis'!$C61,31,1))</f>
        <v>1</v>
      </c>
      <c r="FN65" s="29">
        <f>IF(OR($B65="",$A65&lt;32),"",--MID('Key Analysis'!$C61,32,1))</f>
        <v>0</v>
      </c>
      <c r="FO65" s="29">
        <f>IF(OR($B65="",$A65&lt;33),"",--MID('Key Analysis'!$C61,33,1))</f>
        <v>0</v>
      </c>
      <c r="FP65" s="29">
        <f>IF(OR($B65="",$A65&lt;34),"",--MID('Key Analysis'!$C61,34,1))</f>
        <v>1</v>
      </c>
      <c r="FQ65" s="29">
        <f>IF(OR($B65="",$A65&lt;35),"",--MID('Key Analysis'!$C61,35,1))</f>
        <v>0</v>
      </c>
      <c r="FR65" s="29">
        <f>IF(OR($B65="",$A65&lt;36),"",--MID('Key Analysis'!$C61,36,1))</f>
        <v>1</v>
      </c>
      <c r="FS65" s="29">
        <f>IF(OR($B65="",$A65&lt;37),"",--MID('Key Analysis'!$C61,37,1))</f>
        <v>0</v>
      </c>
      <c r="FT65" s="29">
        <f>IF(OR($B65="",$A65&lt;38),"",--MID('Key Analysis'!$C61,38,1))</f>
        <v>0</v>
      </c>
      <c r="FU65" s="29">
        <f>IF(OR($B65="",$A65&lt;39),"",--MID('Key Analysis'!$C61,39,1))</f>
        <v>1</v>
      </c>
      <c r="FV65" s="29">
        <f>IF(OR($B65="",$A65&lt;40),"",--MID('Key Analysis'!$C61,40,1))</f>
        <v>1</v>
      </c>
      <c r="FW65" s="29">
        <f>IF(OR($B65="",$A65&lt;41),"",--MID('Key Analysis'!$C61,41,1))</f>
        <v>0</v>
      </c>
      <c r="FX65" s="29">
        <f>IF(OR($B65="",$A65&lt;42),"",--MID('Key Analysis'!$C61,42,1))</f>
        <v>1</v>
      </c>
      <c r="FY65" s="29">
        <f>IF(OR($B65="",$A65&lt;43),"",--MID('Key Analysis'!$C61,43,1))</f>
        <v>1</v>
      </c>
      <c r="FZ65" s="29">
        <f>IF(OR($B65="",$A65&lt;44),"",--MID('Key Analysis'!$C61,44,1))</f>
        <v>0</v>
      </c>
      <c r="GA65" s="29">
        <f>IF(OR($B65="",$A65&lt;45),"",--MID('Key Analysis'!$C61,45,1))</f>
        <v>0</v>
      </c>
      <c r="GB65" s="29">
        <f>IF(OR($B65="",$A65&lt;46),"",--MID('Key Analysis'!$C61,46,1))</f>
        <v>1</v>
      </c>
      <c r="GC65" s="29">
        <f>IF(OR($B65="",$A65&lt;47),"",--MID('Key Analysis'!$C61,47,1))</f>
        <v>1</v>
      </c>
      <c r="GD65" s="29">
        <f>IF(OR($B65="",$A65&lt;48),"",--MID('Key Analysis'!$C61,48,1))</f>
        <v>1</v>
      </c>
      <c r="GE65" s="29">
        <f>IF(OR($B65="",$A65&lt;49),"",--MID('Key Analysis'!$C61,49,1))</f>
        <v>1</v>
      </c>
      <c r="GF65" s="29">
        <f>IF(OR($B65="",$A65&lt;50),"",--MID('Key Analysis'!$C61,50,1))</f>
        <v>0</v>
      </c>
      <c r="GG65" s="29">
        <f>IF(OR($B65="",$A65&lt;51),"",--MID('Key Analysis'!$C61,51,1))</f>
        <v>1</v>
      </c>
      <c r="GH65" s="29">
        <f>IF(OR($B65="",$A65&lt;52),"",--MID('Key Analysis'!$C61,52,1))</f>
        <v>1</v>
      </c>
      <c r="GI65" s="29">
        <f>IF(OR($B65="",$A65&lt;53),"",--MID('Key Analysis'!$C61,53,1))</f>
        <v>1</v>
      </c>
      <c r="GJ65" s="29">
        <f>IF(OR($B65="",$A65&lt;54),"",--MID('Key Analysis'!$C61,54,1))</f>
        <v>0</v>
      </c>
      <c r="GK65" s="29">
        <f>IF(OR($B65="",$A65&lt;55),"",--MID('Key Analysis'!$C61,55,1))</f>
        <v>1</v>
      </c>
      <c r="GL65" s="29">
        <f>IF(OR($B65="",$A65&lt;56),"",--MID('Key Analysis'!$C61,56,1))</f>
        <v>1</v>
      </c>
      <c r="GM65" s="29">
        <f>IF(OR($B65="",$A65&lt;57),"",--MID('Key Analysis'!$C61,57,1))</f>
        <v>1</v>
      </c>
      <c r="GN65" s="29">
        <f>IF(OR($B65="",$A65&lt;58),"",--MID('Key Analysis'!$C61,58,1))</f>
        <v>1</v>
      </c>
      <c r="GO65" s="29">
        <f>IF(OR($B65="",$A65&lt;59),"",--MID('Key Analysis'!$C61,59,1))</f>
        <v>1</v>
      </c>
      <c r="GP65" s="29">
        <f>IF(OR($B65="",$A65&lt;60),"",--MID('Key Analysis'!$C61,60,1))</f>
        <v>0</v>
      </c>
      <c r="GQ65" s="29" t="str">
        <f>IF(OR($B65="",$A65&lt;61),"",--MID('Key Analysis'!$C61,61,1))</f>
        <v/>
      </c>
      <c r="GR65" s="29" t="str">
        <f>IF(OR($B65="",$A65&lt;62),"",--MID('Key Analysis'!$C61,62,1))</f>
        <v/>
      </c>
      <c r="GS65" s="29" t="str">
        <f>IF(OR($B65="",$A65&lt;63),"",--MID('Key Analysis'!$C61,63,1))</f>
        <v/>
      </c>
      <c r="GT65" s="29" t="str">
        <f>IF(OR($B65="",$A65&lt;64),"",--MID('Key Analysis'!$C61,64,1))</f>
        <v/>
      </c>
      <c r="GU65" s="29" t="str">
        <f>IF(OR($B65="",$A65&lt;65),"",--MID('Key Analysis'!$C61,65,1))</f>
        <v/>
      </c>
      <c r="GV65" s="29" t="str">
        <f>IF(OR($B65="",$A65&lt;66),"",--MID('Key Analysis'!$C61,66,1))</f>
        <v/>
      </c>
      <c r="GW65" s="29" t="str">
        <f>IF(OR($B65="",$A65&lt;67),"",--MID('Key Analysis'!$C61,67,1))</f>
        <v/>
      </c>
      <c r="GX65" s="29" t="str">
        <f>IF(OR($B65="",$A65&lt;68),"",--MID('Key Analysis'!$C61,68,1))</f>
        <v/>
      </c>
      <c r="GY65" s="29" t="str">
        <f>IF(OR($B65="",$A65&lt;69),"",--MID('Key Analysis'!$C61,69,1))</f>
        <v/>
      </c>
      <c r="GZ65" s="29" t="str">
        <f>IF(OR($B65="",$A65&lt;70),"",--MID('Key Analysis'!$C61,70,1))</f>
        <v/>
      </c>
      <c r="HA65" s="29" t="str">
        <f>IF(OR($B65="",$A65&lt;71),"",--MID('Key Analysis'!$C61,71,1))</f>
        <v/>
      </c>
      <c r="HB65" s="29" t="str">
        <f>IF(OR($B65="",$A65&lt;72),"",--MID('Key Analysis'!$C61,72,1))</f>
        <v/>
      </c>
      <c r="HC65" s="29" t="str">
        <f>IF(OR($B65="",$A65&lt;73),"",--MID('Key Analysis'!$C61,73,1))</f>
        <v/>
      </c>
      <c r="HD65" s="29" t="str">
        <f>IF(OR($B65="",$A65&lt;74),"",--MID('Key Analysis'!$C61,74,1))</f>
        <v/>
      </c>
      <c r="HE65" s="29" t="str">
        <f>IF(OR($B65="",$A65&lt;75),"",--MID('Key Analysis'!$C61,75,1))</f>
        <v/>
      </c>
      <c r="HF65" s="29" t="str">
        <f>IF(OR($B65="",$A65&lt;76),"",--MID('Key Analysis'!$C61,76,1))</f>
        <v/>
      </c>
      <c r="HG65" s="29" t="str">
        <f>IF(OR($B65="",$A65&lt;77),"",--MID('Key Analysis'!$C61,77,1))</f>
        <v/>
      </c>
      <c r="HH65" s="29" t="str">
        <f>IF(OR($B65="",$A65&lt;78),"",--MID('Key Analysis'!$C61,78,1))</f>
        <v/>
      </c>
      <c r="HI65" s="29" t="str">
        <f>IF(OR($B65="",$A65&lt;79),"",--MID('Key Analysis'!$C61,79,1))</f>
        <v/>
      </c>
      <c r="HJ65" s="29" t="str">
        <f>IF(OR($B65="",$A65&lt;80),"",--MID('Key Analysis'!$C61,80,1))</f>
        <v/>
      </c>
      <c r="HK65" s="29" t="str">
        <f>IF(OR($B65="",$A65&lt;81),"",--MID('Key Analysis'!$C61,81,1))</f>
        <v/>
      </c>
      <c r="HL65" s="29" t="str">
        <f>IF(OR($B65="",$A65&lt;82),"",--MID('Key Analysis'!$C61,82,1))</f>
        <v/>
      </c>
      <c r="HM65" s="29" t="str">
        <f>IF(OR($B65="",$A65&lt;83),"",--MID('Key Analysis'!$C61,83,1))</f>
        <v/>
      </c>
      <c r="HN65" s="29" t="str">
        <f>IF(OR($B65="",$A65&lt;84),"",--MID('Key Analysis'!$C61,84,1))</f>
        <v/>
      </c>
      <c r="HO65" s="29" t="str">
        <f>IF(OR($B65="",$A65&lt;85),"",--MID('Key Analysis'!$C61,85,1))</f>
        <v/>
      </c>
      <c r="HP65" s="29" t="str">
        <f>IF(OR($B65="",$A65&lt;86),"",--MID('Key Analysis'!$C61,86,1))</f>
        <v/>
      </c>
      <c r="HQ65" s="29" t="str">
        <f>IF(OR($B65="",$A65&lt;87),"",--MID('Key Analysis'!$C61,87,1))</f>
        <v/>
      </c>
      <c r="HR65" s="29" t="str">
        <f>IF(OR($B65="",$A65&lt;88),"",--MID('Key Analysis'!$C61,88,1))</f>
        <v/>
      </c>
      <c r="HS65" s="29" t="str">
        <f>IF(OR($B65="",$A65&lt;89),"",--MID('Key Analysis'!$C61,89,1))</f>
        <v/>
      </c>
      <c r="HT65" s="29" t="str">
        <f>IF(OR($B65="",$A65&lt;90),"",--MID('Key Analysis'!$C61,90,1))</f>
        <v/>
      </c>
      <c r="HU65" s="29" t="str">
        <f>IF(OR($B65="",$A65&lt;91),"",--MID('Key Analysis'!$C61,91,1))</f>
        <v/>
      </c>
      <c r="HV65" s="29" t="str">
        <f>IF(OR($B65="",$A65&lt;92),"",--MID('Key Analysis'!$C61,92,1))</f>
        <v/>
      </c>
      <c r="HW65" s="29" t="str">
        <f>IF(OR($B65="",$A65&lt;93),"",--MID('Key Analysis'!$C61,93,1))</f>
        <v/>
      </c>
      <c r="HX65" s="29" t="str">
        <f>IF(OR($B65="",$A65&lt;94),"",--MID('Key Analysis'!$C61,94,1))</f>
        <v/>
      </c>
      <c r="HY65" s="29" t="str">
        <f>IF(OR($B65="",$A65&lt;95),"",--MID('Key Analysis'!$C61,95,1))</f>
        <v/>
      </c>
      <c r="HZ65" s="29" t="str">
        <f>IF(OR($B65="",$A65&lt;96),"",--MID('Key Analysis'!$C61,96,1))</f>
        <v/>
      </c>
      <c r="IA65" s="29" t="str">
        <f>IF(OR($B65="",$A65&lt;97),"",--MID('Key Analysis'!$C61,97,1))</f>
        <v/>
      </c>
      <c r="IB65" s="29" t="str">
        <f>IF(OR($B65="",$A65&lt;98),"",--MID('Key Analysis'!$C61,98,1))</f>
        <v/>
      </c>
      <c r="IC65" s="29" t="str">
        <f>IF(OR($B65="",$A65&lt;99),"",--MID('Key Analysis'!$C61,99,1))</f>
        <v/>
      </c>
      <c r="ID65" s="29" t="str">
        <f>IF(OR($B65="",$A65&lt;100),"",--MID('Key Analysis'!$C61,100,1))</f>
        <v/>
      </c>
      <c r="IE65" s="29" t="str">
        <f>IF(OR($B65="",$A65&lt;101),"",--MID('Key Analysis'!$C61,101,1))</f>
        <v/>
      </c>
      <c r="IF65" s="29" t="str">
        <f>IF(OR($B65="",$A65&lt;102),"",--MID('Key Analysis'!$C61,102,1))</f>
        <v/>
      </c>
      <c r="IG65" s="29" t="str">
        <f>IF(OR($B65="",$A65&lt;103),"",--MID('Key Analysis'!$C61,103,1))</f>
        <v/>
      </c>
      <c r="IH65" s="29" t="str">
        <f>IF(OR($B65="",$A65&lt;104),"",--MID('Key Analysis'!$C61,104,1))</f>
        <v/>
      </c>
      <c r="II65" s="29" t="str">
        <f>IF(OR($B65="",$A65&lt;105),"",--MID('Key Analysis'!$C61,105,1))</f>
        <v/>
      </c>
      <c r="IJ65" s="29" t="str">
        <f>IF(OR($B65="",$A65&lt;106),"",--MID('Key Analysis'!$C61,106,1))</f>
        <v/>
      </c>
      <c r="IK65" s="29" t="str">
        <f>IF(OR($B65="",$A65&lt;107),"",--MID('Key Analysis'!$C61,107,1))</f>
        <v/>
      </c>
      <c r="IL65" s="29" t="str">
        <f>IF(OR($B65="",$A65&lt;108),"",--MID('Key Analysis'!$C61,108,1))</f>
        <v/>
      </c>
      <c r="IM65" s="29" t="str">
        <f>IF(OR($B65="",$A65&lt;109),"",--MID('Key Analysis'!$C61,109,1))</f>
        <v/>
      </c>
      <c r="IN65" s="29" t="str">
        <f>IF(OR($B65="",$A65&lt;110),"",--MID('Key Analysis'!$C61,110,1))</f>
        <v/>
      </c>
      <c r="IO65" s="29" t="str">
        <f>IF(OR($B65="",$A65&lt;111),"",--MID('Key Analysis'!$C61,111,1))</f>
        <v/>
      </c>
      <c r="IP65" s="29" t="str">
        <f>IF(OR($B65="",$A65&lt;112),"",--MID('Key Analysis'!$C61,112,1))</f>
        <v/>
      </c>
      <c r="IQ65" s="29" t="str">
        <f>IF(OR($B65="",$A65&lt;113),"",--MID('Key Analysis'!$C61,113,1))</f>
        <v/>
      </c>
      <c r="IR65" s="29" t="str">
        <f>IF(OR($B65="",$A65&lt;114),"",--MID('Key Analysis'!$C61,114,1))</f>
        <v/>
      </c>
      <c r="IS65" s="29" t="str">
        <f>IF(OR($B65="",$A65&lt;115),"",--MID('Key Analysis'!$C61,115,1))</f>
        <v/>
      </c>
      <c r="IT65" s="29" t="str">
        <f>IF(OR($B65="",$A65&lt;116),"",--MID('Key Analysis'!$C61,116,1))</f>
        <v/>
      </c>
      <c r="IU65" s="29" t="str">
        <f>IF(OR($B65="",$A65&lt;117),"",--MID('Key Analysis'!$C61,117,1))</f>
        <v/>
      </c>
      <c r="IV65" s="29" t="str">
        <f>IF(OR($B65="",$A65&lt;118),"",--MID('Key Analysis'!$C61,118,1))</f>
        <v/>
      </c>
      <c r="IW65" s="29" t="str">
        <f>IF(OR($B65="",$A65&lt;119),"",--MID('Key Analysis'!$C61,119,1))</f>
        <v/>
      </c>
      <c r="IX65" s="29" t="str">
        <f>IF(OR($B65="",$A65&lt;120),"",--MID('Key Analysis'!$C61,120,1))</f>
        <v/>
      </c>
      <c r="IY65" s="29" t="str">
        <f>IF(OR($B65="",$A65&lt;121),"",--MID('Key Analysis'!$C61,121,1))</f>
        <v/>
      </c>
      <c r="IZ65" s="29" t="str">
        <f>IF(OR($B65="",$A65&lt;122),"",--MID('Key Analysis'!$C61,122,1))</f>
        <v/>
      </c>
      <c r="JA65" s="29" t="str">
        <f>IF(OR($B65="",$A65&lt;123),"",--MID('Key Analysis'!$C61,123,1))</f>
        <v/>
      </c>
      <c r="JB65" s="29" t="str">
        <f>IF(OR($B65="",$A65&lt;124),"",--MID('Key Analysis'!$C61,124,1))</f>
        <v/>
      </c>
      <c r="JC65" s="29" t="str">
        <f>IF(OR($B65="",$A65&lt;125),"",--MID('Key Analysis'!$C61,125,1))</f>
        <v/>
      </c>
      <c r="JD65" s="29" t="str">
        <f>IF(OR($B65="",$A65&lt;126),"",--MID('Key Analysis'!$C61,126,1))</f>
        <v/>
      </c>
      <c r="JE65" s="29" t="str">
        <f>IF(OR($B65="",$A65&lt;127),"",--MID('Key Analysis'!$C61,127,1))</f>
        <v/>
      </c>
      <c r="JF65" s="29" t="str">
        <f>IF(OR($B65="",$A65&lt;128),"",--MID('Key Analysis'!$C61,128,1))</f>
        <v/>
      </c>
      <c r="JG65" s="29" t="str">
        <f>IF(OR($B65="",$A65&lt;129),"",--MID('Key Analysis'!$C61,129,1))</f>
        <v/>
      </c>
      <c r="JH65" s="29" t="str">
        <f>IF(OR($B65="",$A65&lt;130),"",--MID('Key Analysis'!$C61,130,1))</f>
        <v/>
      </c>
      <c r="JI65" s="29" t="str">
        <f>IF(OR($B65="",$A65&lt;131),"",--MID('Key Analysis'!$C61,131,1))</f>
        <v/>
      </c>
      <c r="JJ65" s="29" t="str">
        <f>IF(OR($B65="",$A65&lt;132),"",--MID('Key Analysis'!$C61,132,1))</f>
        <v/>
      </c>
      <c r="JK65" s="29" t="str">
        <f>IF(OR($B65="",$A65&lt;133),"",--MID('Key Analysis'!$C61,133,1))</f>
        <v/>
      </c>
      <c r="JL65" s="29" t="str">
        <f>IF(OR($B65="",$A65&lt;134),"",--MID('Key Analysis'!$C61,134,1))</f>
        <v/>
      </c>
      <c r="JM65" s="29" t="str">
        <f>IF(OR($B65="",$A65&lt;135),"",--MID('Key Analysis'!$C61,135,1))</f>
        <v/>
      </c>
    </row>
    <row r="66" spans="1:273" x14ac:dyDescent="0.25">
      <c r="A66" s="21">
        <f>'Key Analysis'!A62</f>
        <v>61</v>
      </c>
      <c r="B66" s="30" t="str">
        <f>'Key Analysis'!B62</f>
        <v>13c96a3742f64906</v>
      </c>
      <c r="C66" s="29">
        <f>IF(OR($B66="",$A66&lt;=0),"",--MID('Key Analysis'!$C62,$A66-0,1))</f>
        <v>0</v>
      </c>
      <c r="D66" s="29">
        <f>IF(OR($B66="",$A66&lt;=1),"",--MID('Key Analysis'!$C62,$A66-1,1))</f>
        <v>1</v>
      </c>
      <c r="E66" s="29">
        <f>IF(OR($B66="",$A66&lt;=2),"",--MID('Key Analysis'!$C62,$A66-2,1))</f>
        <v>1</v>
      </c>
      <c r="F66" s="29">
        <f>IF(OR($B66="",$A66&lt;=3),"",--MID('Key Analysis'!$C62,$A66-3,1))</f>
        <v>0</v>
      </c>
      <c r="G66" s="29">
        <f>IF(OR($B66="",$A66&lt;=4),"",--MID('Key Analysis'!$C62,$A66-4,1))</f>
        <v>0</v>
      </c>
      <c r="H66" s="29">
        <f>IF(OR($B66="",$A66&lt;=5),"",--MID('Key Analysis'!$C62,$A66-5,1))</f>
        <v>0</v>
      </c>
      <c r="I66" s="29">
        <f>IF(OR($B66="",$A66&lt;=6),"",--MID('Key Analysis'!$C62,$A66-6,1))</f>
        <v>0</v>
      </c>
      <c r="J66" s="29">
        <f>IF(OR($B66="",$A66&lt;=7),"",--MID('Key Analysis'!$C62,$A66-7,1))</f>
        <v>0</v>
      </c>
      <c r="K66" s="29">
        <f>IF(OR($B66="",$A66&lt;=8),"",--MID('Key Analysis'!$C62,$A66-8,1))</f>
        <v>1</v>
      </c>
      <c r="L66" s="29">
        <f>IF(OR($B66="",$A66&lt;=9),"",--MID('Key Analysis'!$C62,$A66-9,1))</f>
        <v>0</v>
      </c>
      <c r="M66" s="29">
        <f>IF(OR($B66="",$A66&lt;=10),"",--MID('Key Analysis'!$C62,$A66-10,1))</f>
        <v>0</v>
      </c>
      <c r="N66" s="29">
        <f>IF(OR($B66="",$A66&lt;=11),"",--MID('Key Analysis'!$C62,$A66-11,1))</f>
        <v>1</v>
      </c>
      <c r="O66" s="29">
        <f>IF(OR($B66="",$A66&lt;=12),"",--MID('Key Analysis'!$C62,$A66-12,1))</f>
        <v>0</v>
      </c>
      <c r="P66" s="29">
        <f>IF(OR($B66="",$A66&lt;=13),"",--MID('Key Analysis'!$C62,$A66-13,1))</f>
        <v>0</v>
      </c>
      <c r="Q66" s="29">
        <f>IF(OR($B66="",$A66&lt;=14),"",--MID('Key Analysis'!$C62,$A66-14,1))</f>
        <v>1</v>
      </c>
      <c r="R66" s="29">
        <f>IF(OR($B66="",$A66&lt;=15),"",--MID('Key Analysis'!$C62,$A66-15,1))</f>
        <v>0</v>
      </c>
      <c r="S66" s="29">
        <f>IF(OR($B66="",$A66&lt;=16),"",--MID('Key Analysis'!$C62,$A66-16,1))</f>
        <v>0</v>
      </c>
      <c r="T66" s="29">
        <f>IF(OR($B66="",$A66&lt;=17),"",--MID('Key Analysis'!$C62,$A66-17,1))</f>
        <v>1</v>
      </c>
      <c r="U66" s="29">
        <f>IF(OR($B66="",$A66&lt;=18),"",--MID('Key Analysis'!$C62,$A66-18,1))</f>
        <v>1</v>
      </c>
      <c r="V66" s="29">
        <f>IF(OR($B66="",$A66&lt;=19),"",--MID('Key Analysis'!$C62,$A66-19,1))</f>
        <v>0</v>
      </c>
      <c r="W66" s="29">
        <f>IF(OR($B66="",$A66&lt;=20),"",--MID('Key Analysis'!$C62,$A66-20,1))</f>
        <v>1</v>
      </c>
      <c r="X66" s="29">
        <f>IF(OR($B66="",$A66&lt;=21),"",--MID('Key Analysis'!$C62,$A66-21,1))</f>
        <v>1</v>
      </c>
      <c r="Y66" s="29">
        <f>IF(OR($B66="",$A66&lt;=22),"",--MID('Key Analysis'!$C62,$A66-22,1))</f>
        <v>1</v>
      </c>
      <c r="Z66" s="29">
        <f>IF(OR($B66="",$A66&lt;=23),"",--MID('Key Analysis'!$C62,$A66-23,1))</f>
        <v>1</v>
      </c>
      <c r="AA66" s="29">
        <f>IF(OR($B66="",$A66&lt;=24),"",--MID('Key Analysis'!$C62,$A66-24,1))</f>
        <v>0</v>
      </c>
      <c r="AB66" s="29">
        <f>IF(OR($B66="",$A66&lt;=25),"",--MID('Key Analysis'!$C62,$A66-25,1))</f>
        <v>1</v>
      </c>
      <c r="AC66" s="29">
        <f>IF(OR($B66="",$A66&lt;=26),"",--MID('Key Analysis'!$C62,$A66-26,1))</f>
        <v>0</v>
      </c>
      <c r="AD66" s="29">
        <f>IF(OR($B66="",$A66&lt;=27),"",--MID('Key Analysis'!$C62,$A66-27,1))</f>
        <v>0</v>
      </c>
      <c r="AE66" s="29">
        <f>IF(OR($B66="",$A66&lt;=28),"",--MID('Key Analysis'!$C62,$A66-28,1))</f>
        <v>0</v>
      </c>
      <c r="AF66" s="29">
        <f>IF(OR($B66="",$A66&lt;=29),"",--MID('Key Analysis'!$C62,$A66-29,1))</f>
        <v>0</v>
      </c>
      <c r="AG66" s="29">
        <f>IF(OR($B66="",$A66&lt;=30),"",--MID('Key Analysis'!$C62,$A66-30,1))</f>
        <v>1</v>
      </c>
      <c r="AH66" s="29">
        <f>IF(OR($B66="",$A66&lt;=31),"",--MID('Key Analysis'!$C62,$A66-31,1))</f>
        <v>0</v>
      </c>
      <c r="AI66" s="29">
        <f>IF(OR($B66="",$A66&lt;=32),"",--MID('Key Analysis'!$C62,$A66-32,1))</f>
        <v>1</v>
      </c>
      <c r="AJ66" s="29">
        <f>IF(OR($B66="",$A66&lt;=33),"",--MID('Key Analysis'!$C62,$A66-33,1))</f>
        <v>1</v>
      </c>
      <c r="AK66" s="29">
        <f>IF(OR($B66="",$A66&lt;=34),"",--MID('Key Analysis'!$C62,$A66-34,1))</f>
        <v>1</v>
      </c>
      <c r="AL66" s="29">
        <f>IF(OR($B66="",$A66&lt;=35),"",--MID('Key Analysis'!$C62,$A66-35,1))</f>
        <v>0</v>
      </c>
      <c r="AM66" s="29">
        <f>IF(OR($B66="",$A66&lt;=36),"",--MID('Key Analysis'!$C62,$A66-36,1))</f>
        <v>1</v>
      </c>
      <c r="AN66" s="29">
        <f>IF(OR($B66="",$A66&lt;=37),"",--MID('Key Analysis'!$C62,$A66-37,1))</f>
        <v>1</v>
      </c>
      <c r="AO66" s="29">
        <f>IF(OR($B66="",$A66&lt;=38),"",--MID('Key Analysis'!$C62,$A66-38,1))</f>
        <v>0</v>
      </c>
      <c r="AP66" s="29">
        <f>IF(OR($B66="",$A66&lt;=39),"",--MID('Key Analysis'!$C62,$A66-39,1))</f>
        <v>0</v>
      </c>
      <c r="AQ66" s="29">
        <f>IF(OR($B66="",$A66&lt;=40),"",--MID('Key Analysis'!$C62,$A66-40,1))</f>
        <v>0</v>
      </c>
      <c r="AR66" s="29">
        <f>IF(OR($B66="",$A66&lt;=41),"",--MID('Key Analysis'!$C62,$A66-41,1))</f>
        <v>1</v>
      </c>
      <c r="AS66" s="29">
        <f>IF(OR($B66="",$A66&lt;=42),"",--MID('Key Analysis'!$C62,$A66-42,1))</f>
        <v>0</v>
      </c>
      <c r="AT66" s="29">
        <f>IF(OR($B66="",$A66&lt;=43),"",--MID('Key Analysis'!$C62,$A66-43,1))</f>
        <v>1</v>
      </c>
      <c r="AU66" s="29">
        <f>IF(OR($B66="",$A66&lt;=44),"",--MID('Key Analysis'!$C62,$A66-44,1))</f>
        <v>0</v>
      </c>
      <c r="AV66" s="29">
        <f>IF(OR($B66="",$A66&lt;=45),"",--MID('Key Analysis'!$C62,$A66-45,1))</f>
        <v>1</v>
      </c>
      <c r="AW66" s="29">
        <f>IF(OR($B66="",$A66&lt;=46),"",--MID('Key Analysis'!$C62,$A66-46,1))</f>
        <v>1</v>
      </c>
      <c r="AX66" s="29">
        <f>IF(OR($B66="",$A66&lt;=47),"",--MID('Key Analysis'!$C62,$A66-47,1))</f>
        <v>0</v>
      </c>
      <c r="AY66" s="29">
        <f>IF(OR($B66="",$A66&lt;=48),"",--MID('Key Analysis'!$C62,$A66-48,1))</f>
        <v>1</v>
      </c>
      <c r="AZ66" s="29">
        <f>IF(OR($B66="",$A66&lt;=49),"",--MID('Key Analysis'!$C62,$A66-49,1))</f>
        <v>0</v>
      </c>
      <c r="BA66" s="29">
        <f>IF(OR($B66="",$A66&lt;=50),"",--MID('Key Analysis'!$C62,$A66-50,1))</f>
        <v>0</v>
      </c>
      <c r="BB66" s="29">
        <f>IF(OR($B66="",$A66&lt;=51),"",--MID('Key Analysis'!$C62,$A66-51,1))</f>
        <v>1</v>
      </c>
      <c r="BC66" s="29">
        <f>IF(OR($B66="",$A66&lt;=52),"",--MID('Key Analysis'!$C62,$A66-52,1))</f>
        <v>0</v>
      </c>
      <c r="BD66" s="29">
        <f>IF(OR($B66="",$A66&lt;=53),"",--MID('Key Analysis'!$C62,$A66-53,1))</f>
        <v>0</v>
      </c>
      <c r="BE66" s="29">
        <f>IF(OR($B66="",$A66&lt;=54),"",--MID('Key Analysis'!$C62,$A66-54,1))</f>
        <v>1</v>
      </c>
      <c r="BF66" s="29">
        <f>IF(OR($B66="",$A66&lt;=55),"",--MID('Key Analysis'!$C62,$A66-55,1))</f>
        <v>1</v>
      </c>
      <c r="BG66" s="29">
        <f>IF(OR($B66="",$A66&lt;=56),"",--MID('Key Analysis'!$C62,$A66-56,1))</f>
        <v>1</v>
      </c>
      <c r="BH66" s="29">
        <f>IF(OR($B66="",$A66&lt;=57),"",--MID('Key Analysis'!$C62,$A66-57,1))</f>
        <v>1</v>
      </c>
      <c r="BI66" s="29">
        <f>IF(OR($B66="",$A66&lt;=58),"",--MID('Key Analysis'!$C62,$A66-58,1))</f>
        <v>0</v>
      </c>
      <c r="BJ66" s="29">
        <f>IF(OR($B66="",$A66&lt;=59),"",--MID('Key Analysis'!$C62,$A66-59,1))</f>
        <v>0</v>
      </c>
      <c r="BK66" s="29">
        <f>IF(OR($B66="",$A66&lt;=60),"",--MID('Key Analysis'!$C62,$A66-60,1))</f>
        <v>1</v>
      </c>
      <c r="BL66" s="29" t="str">
        <f>IF(OR($B66="",$A66&lt;=61),"",--MID('Key Analysis'!$C62,$A66-61,1))</f>
        <v/>
      </c>
      <c r="BM66" s="29" t="str">
        <f>IF(OR($B66="",$A66&lt;=62),"",--MID('Key Analysis'!$C62,$A66-62,1))</f>
        <v/>
      </c>
      <c r="BN66" s="29" t="str">
        <f>IF(OR($B66="",$A66&lt;=63),"",--MID('Key Analysis'!$C62,$A66-63,1))</f>
        <v/>
      </c>
      <c r="BO66" s="29" t="str">
        <f>IF(OR($B66="",$A66&lt;=64),"",--MID('Key Analysis'!$C62,$A66-64,1))</f>
        <v/>
      </c>
      <c r="BP66" s="29" t="str">
        <f>IF(OR($B66="",$A66&lt;=65),"",--MID('Key Analysis'!$C62,$A66-65,1))</f>
        <v/>
      </c>
      <c r="BQ66" s="29" t="str">
        <f>IF(OR($B66="",$A66&lt;=66),"",--MID('Key Analysis'!$C62,$A66-66,1))</f>
        <v/>
      </c>
      <c r="BR66" s="29" t="str">
        <f>IF(OR($B66="",$A66&lt;=67),"",--MID('Key Analysis'!$C62,$A66-67,1))</f>
        <v/>
      </c>
      <c r="BS66" s="29" t="str">
        <f>IF(OR($B66="",$A66&lt;=68),"",--MID('Key Analysis'!$C62,$A66-68,1))</f>
        <v/>
      </c>
      <c r="BT66" s="29" t="str">
        <f>IF(OR($B66="",$A66&lt;=69),"",--MID('Key Analysis'!$C62,$A66-69,1))</f>
        <v/>
      </c>
      <c r="BU66" s="29" t="str">
        <f>IF(OR($B66="",$A66&lt;=70),"",--MID('Key Analysis'!$C62,$A66-70,1))</f>
        <v/>
      </c>
      <c r="BV66" s="29" t="str">
        <f>IF(OR($B66="",$A66&lt;=71),"",--MID('Key Analysis'!$C62,$A66-71,1))</f>
        <v/>
      </c>
      <c r="BW66" s="29" t="str">
        <f>IF(OR($B66="",$A66&lt;=72),"",--MID('Key Analysis'!$C62,$A66-72,1))</f>
        <v/>
      </c>
      <c r="BX66" s="29" t="str">
        <f>IF(OR($B66="",$A66&lt;=73),"",--MID('Key Analysis'!$C62,$A66-73,1))</f>
        <v/>
      </c>
      <c r="BY66" s="29" t="str">
        <f>IF(OR($B66="",$A66&lt;=74),"",--MID('Key Analysis'!$C62,$A66-74,1))</f>
        <v/>
      </c>
      <c r="BZ66" s="29" t="str">
        <f>IF(OR($B66="",$A66&lt;=75),"",--MID('Key Analysis'!$C62,$A66-75,1))</f>
        <v/>
      </c>
      <c r="CA66" s="29" t="str">
        <f>IF(OR($B66="",$A66&lt;=76),"",--MID('Key Analysis'!$C62,$A66-76,1))</f>
        <v/>
      </c>
      <c r="CB66" s="29" t="str">
        <f>IF(OR($B66="",$A66&lt;=77),"",--MID('Key Analysis'!$C62,$A66-77,1))</f>
        <v/>
      </c>
      <c r="CC66" s="29" t="str">
        <f>IF(OR($B66="",$A66&lt;=78),"",--MID('Key Analysis'!$C62,$A66-78,1))</f>
        <v/>
      </c>
      <c r="CD66" s="29" t="str">
        <f>IF(OR($B66="",$A66&lt;=79),"",--MID('Key Analysis'!$C62,$A66-79,1))</f>
        <v/>
      </c>
      <c r="CE66" s="29" t="str">
        <f>IF(OR($B66="",$A66&lt;=80),"",--MID('Key Analysis'!$C62,$A66-80,1))</f>
        <v/>
      </c>
      <c r="CF66" s="29" t="str">
        <f>IF(OR($B66="",$A66&lt;=81),"",--MID('Key Analysis'!$C62,$A66-81,1))</f>
        <v/>
      </c>
      <c r="CG66" s="29" t="str">
        <f>IF(OR($B66="",$A66&lt;=82),"",--MID('Key Analysis'!$C62,$A66-82,1))</f>
        <v/>
      </c>
      <c r="CH66" s="29" t="str">
        <f>IF(OR($B66="",$A66&lt;=83),"",--MID('Key Analysis'!$C62,$A66-83,1))</f>
        <v/>
      </c>
      <c r="CI66" s="29" t="str">
        <f>IF(OR($B66="",$A66&lt;=84),"",--MID('Key Analysis'!$C62,$A66-84,1))</f>
        <v/>
      </c>
      <c r="CJ66" s="29" t="str">
        <f>IF(OR($B66="",$A66&lt;=85),"",--MID('Key Analysis'!$C62,$A66-85,1))</f>
        <v/>
      </c>
      <c r="CK66" s="29" t="str">
        <f>IF(OR($B66="",$A66&lt;=86),"",--MID('Key Analysis'!$C62,$A66-86,1))</f>
        <v/>
      </c>
      <c r="CL66" s="29" t="str">
        <f>IF(OR($B66="",$A66&lt;=87),"",--MID('Key Analysis'!$C62,$A66-87,1))</f>
        <v/>
      </c>
      <c r="CM66" s="29" t="str">
        <f>IF(OR($B66="",$A66&lt;=88),"",--MID('Key Analysis'!$C62,$A66-88,1))</f>
        <v/>
      </c>
      <c r="CN66" s="29" t="str">
        <f>IF(OR($B66="",$A66&lt;=89),"",--MID('Key Analysis'!$C62,$A66-89,1))</f>
        <v/>
      </c>
      <c r="CO66" s="29" t="str">
        <f>IF(OR($B66="",$A66&lt;=90),"",--MID('Key Analysis'!$C62,$A66-90,1))</f>
        <v/>
      </c>
      <c r="CP66" s="29" t="str">
        <f>IF(OR($B66="",$A66&lt;=91),"",--MID('Key Analysis'!$C62,$A66-91,1))</f>
        <v/>
      </c>
      <c r="CQ66" s="29" t="str">
        <f>IF(OR($B66="",$A66&lt;=92),"",--MID('Key Analysis'!$C62,$A66-92,1))</f>
        <v/>
      </c>
      <c r="CR66" s="29" t="str">
        <f>IF(OR($B66="",$A66&lt;=93),"",--MID('Key Analysis'!$C62,$A66-93,1))</f>
        <v/>
      </c>
      <c r="CS66" s="29" t="str">
        <f>IF(OR($B66="",$A66&lt;=94),"",--MID('Key Analysis'!$C62,$A66-94,1))</f>
        <v/>
      </c>
      <c r="CT66" s="29" t="str">
        <f>IF(OR($B66="",$A66&lt;=95),"",--MID('Key Analysis'!$C62,$A66-95,1))</f>
        <v/>
      </c>
      <c r="CU66" s="29" t="str">
        <f>IF(OR($B66="",$A66&lt;=96),"",--MID('Key Analysis'!$C62,$A66-96,1))</f>
        <v/>
      </c>
      <c r="CV66" s="29" t="str">
        <f>IF(OR($B66="",$A66&lt;=97),"",--MID('Key Analysis'!$C62,$A66-97,1))</f>
        <v/>
      </c>
      <c r="CW66" s="29" t="str">
        <f>IF(OR($B66="",$A66&lt;=98),"",--MID('Key Analysis'!$C62,$A66-98,1))</f>
        <v/>
      </c>
      <c r="CX66" s="29" t="str">
        <f>IF(OR($B66="",$A66&lt;=99),"",--MID('Key Analysis'!$C62,$A66-99,1))</f>
        <v/>
      </c>
      <c r="CY66" s="29" t="str">
        <f>IF(OR($B66="",$A66&lt;=100),"",--MID('Key Analysis'!$C62,$A66-100,1))</f>
        <v/>
      </c>
      <c r="CZ66" s="29" t="str">
        <f>IF(OR($B66="",$A66&lt;=101),"",--MID('Key Analysis'!$C62,$A66-101,1))</f>
        <v/>
      </c>
      <c r="DA66" s="29" t="str">
        <f>IF(OR($B66="",$A66&lt;=102),"",--MID('Key Analysis'!$C62,$A66-102,1))</f>
        <v/>
      </c>
      <c r="DB66" s="29" t="str">
        <f>IF(OR($B66="",$A66&lt;=103),"",--MID('Key Analysis'!$C62,$A66-103,1))</f>
        <v/>
      </c>
      <c r="DC66" s="29" t="str">
        <f>IF(OR($B66="",$A66&lt;=104),"",--MID('Key Analysis'!$C62,$A66-104,1))</f>
        <v/>
      </c>
      <c r="DD66" s="29" t="str">
        <f>IF(OR($B66="",$A66&lt;=105),"",--MID('Key Analysis'!$C62,$A66-105,1))</f>
        <v/>
      </c>
      <c r="DE66" s="29" t="str">
        <f>IF(OR($B66="",$A66&lt;=106),"",--MID('Key Analysis'!$C62,$A66-106,1))</f>
        <v/>
      </c>
      <c r="DF66" s="29" t="str">
        <f>IF(OR($B66="",$A66&lt;=107),"",--MID('Key Analysis'!$C62,$A66-107,1))</f>
        <v/>
      </c>
      <c r="DG66" s="29" t="str">
        <f>IF(OR($B66="",$A66&lt;=108),"",--MID('Key Analysis'!$C62,$A66-108,1))</f>
        <v/>
      </c>
      <c r="DH66" s="29" t="str">
        <f>IF(OR($B66="",$A66&lt;=109),"",--MID('Key Analysis'!$C62,$A66-109,1))</f>
        <v/>
      </c>
      <c r="DI66" s="29" t="str">
        <f>IF(OR($B66="",$A66&lt;=110),"",--MID('Key Analysis'!$C62,$A66-110,1))</f>
        <v/>
      </c>
      <c r="DJ66" s="29" t="str">
        <f>IF(OR($B66="",$A66&lt;=111),"",--MID('Key Analysis'!$C62,$A66-111,1))</f>
        <v/>
      </c>
      <c r="DK66" s="29" t="str">
        <f>IF(OR($B66="",$A66&lt;=112),"",--MID('Key Analysis'!$C62,$A66-112,1))</f>
        <v/>
      </c>
      <c r="DL66" s="29" t="str">
        <f>IF(OR($B66="",$A66&lt;=113),"",--MID('Key Analysis'!$C62,$A66-113,1))</f>
        <v/>
      </c>
      <c r="DM66" s="29" t="str">
        <f>IF(OR($B66="",$A66&lt;=114),"",--MID('Key Analysis'!$C62,$A66-114,1))</f>
        <v/>
      </c>
      <c r="DN66" s="29" t="str">
        <f>IF(OR($B66="",$A66&lt;=115),"",--MID('Key Analysis'!$C62,$A66-115,1))</f>
        <v/>
      </c>
      <c r="DO66" s="29" t="str">
        <f>IF(OR($B66="",$A66&lt;=116),"",--MID('Key Analysis'!$C62,$A66-116,1))</f>
        <v/>
      </c>
      <c r="DP66" s="29" t="str">
        <f>IF(OR($B66="",$A66&lt;=117),"",--MID('Key Analysis'!$C62,$A66-117,1))</f>
        <v/>
      </c>
      <c r="DQ66" s="29" t="str">
        <f>IF(OR($B66="",$A66&lt;=118),"",--MID('Key Analysis'!$C62,$A66-118,1))</f>
        <v/>
      </c>
      <c r="DR66" s="29" t="str">
        <f>IF(OR($B66="",$A66&lt;=119),"",--MID('Key Analysis'!$C62,$A66-119,1))</f>
        <v/>
      </c>
      <c r="DS66" s="29" t="str">
        <f>IF(OR($B66="",$A66&lt;=120),"",--MID('Key Analysis'!$C62,$A66-120,1))</f>
        <v/>
      </c>
      <c r="DT66" s="29" t="str">
        <f>IF(OR($B66="",$A66&lt;=121),"",--MID('Key Analysis'!$C62,$A66-121,1))</f>
        <v/>
      </c>
      <c r="DU66" s="29" t="str">
        <f>IF(OR($B66="",$A66&lt;=122),"",--MID('Key Analysis'!$C62,$A66-122,1))</f>
        <v/>
      </c>
      <c r="DV66" s="29" t="str">
        <f>IF(OR($B66="",$A66&lt;=123),"",--MID('Key Analysis'!$C62,$A66-123,1))</f>
        <v/>
      </c>
      <c r="DW66" s="29" t="str">
        <f>IF(OR($B66="",$A66&lt;=124),"",--MID('Key Analysis'!$C62,$A66-124,1))</f>
        <v/>
      </c>
      <c r="DX66" s="29" t="str">
        <f>IF(OR($B66="",$A66&lt;=125),"",--MID('Key Analysis'!$C62,$A66-125,1))</f>
        <v/>
      </c>
      <c r="DY66" s="29" t="str">
        <f>IF(OR($B66="",$A66&lt;=126),"",--MID('Key Analysis'!$C62,$A66-126,1))</f>
        <v/>
      </c>
      <c r="DZ66" s="29" t="str">
        <f>IF(OR($B66="",$A66&lt;=127),"",--MID('Key Analysis'!$C62,$A66-127,1))</f>
        <v/>
      </c>
      <c r="EA66" s="29" t="str">
        <f>IF(OR($B66="",$A66&lt;=128),"",--MID('Key Analysis'!$C62,$A66-128,1))</f>
        <v/>
      </c>
      <c r="EB66" s="29" t="str">
        <f>IF(OR($B66="",$A66&lt;=129),"",--MID('Key Analysis'!$C62,$A66-129,1))</f>
        <v/>
      </c>
      <c r="EC66" s="29" t="str">
        <f>IF(OR($B66="",$A66&lt;=130),"",--MID('Key Analysis'!$C62,$A66-130,1))</f>
        <v/>
      </c>
      <c r="ED66" s="29" t="str">
        <f>IF(OR($B66="",$A66&lt;=131),"",--MID('Key Analysis'!$C62,$A66-131,1))</f>
        <v/>
      </c>
      <c r="EE66" s="29" t="str">
        <f>IF(OR($B66="",$A66&lt;=132),"",--MID('Key Analysis'!$C62,$A66-132,1))</f>
        <v/>
      </c>
      <c r="EF66" s="29" t="str">
        <f>IF(OR($B66="",$A66&lt;=133),"",--MID('Key Analysis'!$C62,$A66-133,1))</f>
        <v/>
      </c>
      <c r="EG66" s="29" t="str">
        <f>IF(OR($B66="",$A66&lt;=134),"",--MID('Key Analysis'!$C62,$A66-134,1))</f>
        <v/>
      </c>
      <c r="EH66" s="29"/>
      <c r="EI66" s="29">
        <f>IF(OR($B66="",$A66&lt;1),"",--MID('Key Analysis'!$C62,1,1))</f>
        <v>1</v>
      </c>
      <c r="EJ66" s="29">
        <f>IF(OR($B66="",$A66&lt;2),"",--MID('Key Analysis'!$C62,2,1))</f>
        <v>0</v>
      </c>
      <c r="EK66" s="29">
        <f>IF(OR($B66="",$A66&lt;3),"",--MID('Key Analysis'!$C62,3,1))</f>
        <v>0</v>
      </c>
      <c r="EL66" s="29">
        <f>IF(OR($B66="",$A66&lt;4),"",--MID('Key Analysis'!$C62,4,1))</f>
        <v>1</v>
      </c>
      <c r="EM66" s="29">
        <f>IF(OR($B66="",$A66&lt;5),"",--MID('Key Analysis'!$C62,5,1))</f>
        <v>1</v>
      </c>
      <c r="EN66" s="29">
        <f>IF(OR($B66="",$A66&lt;6),"",--MID('Key Analysis'!$C62,6,1))</f>
        <v>1</v>
      </c>
      <c r="EO66" s="29">
        <f>IF(OR($B66="",$A66&lt;7),"",--MID('Key Analysis'!$C62,7,1))</f>
        <v>1</v>
      </c>
      <c r="EP66" s="29">
        <f>IF(OR($B66="",$A66&lt;8),"",--MID('Key Analysis'!$C62,8,1))</f>
        <v>0</v>
      </c>
      <c r="EQ66" s="29">
        <f>IF(OR($B66="",$A66&lt;9),"",--MID('Key Analysis'!$C62,9,1))</f>
        <v>0</v>
      </c>
      <c r="ER66" s="29">
        <f>IF(OR($B66="",$A66&lt;10),"",--MID('Key Analysis'!$C62,10,1))</f>
        <v>1</v>
      </c>
      <c r="ES66" s="29">
        <f>IF(OR($B66="",$A66&lt;11),"",--MID('Key Analysis'!$C62,11,1))</f>
        <v>0</v>
      </c>
      <c r="ET66" s="29">
        <f>IF(OR($B66="",$A66&lt;12),"",--MID('Key Analysis'!$C62,12,1))</f>
        <v>0</v>
      </c>
      <c r="EU66" s="29">
        <f>IF(OR($B66="",$A66&lt;13),"",--MID('Key Analysis'!$C62,13,1))</f>
        <v>1</v>
      </c>
      <c r="EV66" s="29">
        <f>IF(OR($B66="",$A66&lt;14),"",--MID('Key Analysis'!$C62,14,1))</f>
        <v>0</v>
      </c>
      <c r="EW66" s="29">
        <f>IF(OR($B66="",$A66&lt;15),"",--MID('Key Analysis'!$C62,15,1))</f>
        <v>1</v>
      </c>
      <c r="EX66" s="29">
        <f>IF(OR($B66="",$A66&lt;16),"",--MID('Key Analysis'!$C62,16,1))</f>
        <v>1</v>
      </c>
      <c r="EY66" s="29">
        <f>IF(OR($B66="",$A66&lt;17),"",--MID('Key Analysis'!$C62,17,1))</f>
        <v>0</v>
      </c>
      <c r="EZ66" s="29">
        <f>IF(OR($B66="",$A66&lt;18),"",--MID('Key Analysis'!$C62,18,1))</f>
        <v>1</v>
      </c>
      <c r="FA66" s="29">
        <f>IF(OR($B66="",$A66&lt;19),"",--MID('Key Analysis'!$C62,19,1))</f>
        <v>0</v>
      </c>
      <c r="FB66" s="29">
        <f>IF(OR($B66="",$A66&lt;20),"",--MID('Key Analysis'!$C62,20,1))</f>
        <v>1</v>
      </c>
      <c r="FC66" s="29">
        <f>IF(OR($B66="",$A66&lt;21),"",--MID('Key Analysis'!$C62,21,1))</f>
        <v>0</v>
      </c>
      <c r="FD66" s="29">
        <f>IF(OR($B66="",$A66&lt;22),"",--MID('Key Analysis'!$C62,22,1))</f>
        <v>0</v>
      </c>
      <c r="FE66" s="29">
        <f>IF(OR($B66="",$A66&lt;23),"",--MID('Key Analysis'!$C62,23,1))</f>
        <v>0</v>
      </c>
      <c r="FF66" s="29">
        <f>IF(OR($B66="",$A66&lt;24),"",--MID('Key Analysis'!$C62,24,1))</f>
        <v>1</v>
      </c>
      <c r="FG66" s="29">
        <f>IF(OR($B66="",$A66&lt;25),"",--MID('Key Analysis'!$C62,25,1))</f>
        <v>1</v>
      </c>
      <c r="FH66" s="29">
        <f>IF(OR($B66="",$A66&lt;26),"",--MID('Key Analysis'!$C62,26,1))</f>
        <v>0</v>
      </c>
      <c r="FI66" s="29">
        <f>IF(OR($B66="",$A66&lt;27),"",--MID('Key Analysis'!$C62,27,1))</f>
        <v>1</v>
      </c>
      <c r="FJ66" s="29">
        <f>IF(OR($B66="",$A66&lt;28),"",--MID('Key Analysis'!$C62,28,1))</f>
        <v>1</v>
      </c>
      <c r="FK66" s="29">
        <f>IF(OR($B66="",$A66&lt;29),"",--MID('Key Analysis'!$C62,29,1))</f>
        <v>1</v>
      </c>
      <c r="FL66" s="29">
        <f>IF(OR($B66="",$A66&lt;30),"",--MID('Key Analysis'!$C62,30,1))</f>
        <v>0</v>
      </c>
      <c r="FM66" s="29">
        <f>IF(OR($B66="",$A66&lt;31),"",--MID('Key Analysis'!$C62,31,1))</f>
        <v>1</v>
      </c>
      <c r="FN66" s="29">
        <f>IF(OR($B66="",$A66&lt;32),"",--MID('Key Analysis'!$C62,32,1))</f>
        <v>0</v>
      </c>
      <c r="FO66" s="29">
        <f>IF(OR($B66="",$A66&lt;33),"",--MID('Key Analysis'!$C62,33,1))</f>
        <v>0</v>
      </c>
      <c r="FP66" s="29">
        <f>IF(OR($B66="",$A66&lt;34),"",--MID('Key Analysis'!$C62,34,1))</f>
        <v>0</v>
      </c>
      <c r="FQ66" s="29">
        <f>IF(OR($B66="",$A66&lt;35),"",--MID('Key Analysis'!$C62,35,1))</f>
        <v>0</v>
      </c>
      <c r="FR66" s="29">
        <f>IF(OR($B66="",$A66&lt;36),"",--MID('Key Analysis'!$C62,36,1))</f>
        <v>1</v>
      </c>
      <c r="FS66" s="29">
        <f>IF(OR($B66="",$A66&lt;37),"",--MID('Key Analysis'!$C62,37,1))</f>
        <v>0</v>
      </c>
      <c r="FT66" s="29">
        <f>IF(OR($B66="",$A66&lt;38),"",--MID('Key Analysis'!$C62,38,1))</f>
        <v>1</v>
      </c>
      <c r="FU66" s="29">
        <f>IF(OR($B66="",$A66&lt;39),"",--MID('Key Analysis'!$C62,39,1))</f>
        <v>1</v>
      </c>
      <c r="FV66" s="29">
        <f>IF(OR($B66="",$A66&lt;40),"",--MID('Key Analysis'!$C62,40,1))</f>
        <v>1</v>
      </c>
      <c r="FW66" s="29">
        <f>IF(OR($B66="",$A66&lt;41),"",--MID('Key Analysis'!$C62,41,1))</f>
        <v>1</v>
      </c>
      <c r="FX66" s="29">
        <f>IF(OR($B66="",$A66&lt;42),"",--MID('Key Analysis'!$C62,42,1))</f>
        <v>0</v>
      </c>
      <c r="FY66" s="29">
        <f>IF(OR($B66="",$A66&lt;43),"",--MID('Key Analysis'!$C62,43,1))</f>
        <v>1</v>
      </c>
      <c r="FZ66" s="29">
        <f>IF(OR($B66="",$A66&lt;44),"",--MID('Key Analysis'!$C62,44,1))</f>
        <v>1</v>
      </c>
      <c r="GA66" s="29">
        <f>IF(OR($B66="",$A66&lt;45),"",--MID('Key Analysis'!$C62,45,1))</f>
        <v>0</v>
      </c>
      <c r="GB66" s="29">
        <f>IF(OR($B66="",$A66&lt;46),"",--MID('Key Analysis'!$C62,46,1))</f>
        <v>0</v>
      </c>
      <c r="GC66" s="29">
        <f>IF(OR($B66="",$A66&lt;47),"",--MID('Key Analysis'!$C62,47,1))</f>
        <v>1</v>
      </c>
      <c r="GD66" s="29">
        <f>IF(OR($B66="",$A66&lt;48),"",--MID('Key Analysis'!$C62,48,1))</f>
        <v>0</v>
      </c>
      <c r="GE66" s="29">
        <f>IF(OR($B66="",$A66&lt;49),"",--MID('Key Analysis'!$C62,49,1))</f>
        <v>0</v>
      </c>
      <c r="GF66" s="29">
        <f>IF(OR($B66="",$A66&lt;50),"",--MID('Key Analysis'!$C62,50,1))</f>
        <v>1</v>
      </c>
      <c r="GG66" s="29">
        <f>IF(OR($B66="",$A66&lt;51),"",--MID('Key Analysis'!$C62,51,1))</f>
        <v>0</v>
      </c>
      <c r="GH66" s="29">
        <f>IF(OR($B66="",$A66&lt;52),"",--MID('Key Analysis'!$C62,52,1))</f>
        <v>0</v>
      </c>
      <c r="GI66" s="29">
        <f>IF(OR($B66="",$A66&lt;53),"",--MID('Key Analysis'!$C62,53,1))</f>
        <v>1</v>
      </c>
      <c r="GJ66" s="29">
        <f>IF(OR($B66="",$A66&lt;54),"",--MID('Key Analysis'!$C62,54,1))</f>
        <v>0</v>
      </c>
      <c r="GK66" s="29">
        <f>IF(OR($B66="",$A66&lt;55),"",--MID('Key Analysis'!$C62,55,1))</f>
        <v>0</v>
      </c>
      <c r="GL66" s="29">
        <f>IF(OR($B66="",$A66&lt;56),"",--MID('Key Analysis'!$C62,56,1))</f>
        <v>0</v>
      </c>
      <c r="GM66" s="29">
        <f>IF(OR($B66="",$A66&lt;57),"",--MID('Key Analysis'!$C62,57,1))</f>
        <v>0</v>
      </c>
      <c r="GN66" s="29">
        <f>IF(OR($B66="",$A66&lt;58),"",--MID('Key Analysis'!$C62,58,1))</f>
        <v>0</v>
      </c>
      <c r="GO66" s="29">
        <f>IF(OR($B66="",$A66&lt;59),"",--MID('Key Analysis'!$C62,59,1))</f>
        <v>1</v>
      </c>
      <c r="GP66" s="29">
        <f>IF(OR($B66="",$A66&lt;60),"",--MID('Key Analysis'!$C62,60,1))</f>
        <v>1</v>
      </c>
      <c r="GQ66" s="29">
        <f>IF(OR($B66="",$A66&lt;61),"",--MID('Key Analysis'!$C62,61,1))</f>
        <v>0</v>
      </c>
      <c r="GR66" s="29" t="str">
        <f>IF(OR($B66="",$A66&lt;62),"",--MID('Key Analysis'!$C62,62,1))</f>
        <v/>
      </c>
      <c r="GS66" s="29" t="str">
        <f>IF(OR($B66="",$A66&lt;63),"",--MID('Key Analysis'!$C62,63,1))</f>
        <v/>
      </c>
      <c r="GT66" s="29" t="str">
        <f>IF(OR($B66="",$A66&lt;64),"",--MID('Key Analysis'!$C62,64,1))</f>
        <v/>
      </c>
      <c r="GU66" s="29" t="str">
        <f>IF(OR($B66="",$A66&lt;65),"",--MID('Key Analysis'!$C62,65,1))</f>
        <v/>
      </c>
      <c r="GV66" s="29" t="str">
        <f>IF(OR($B66="",$A66&lt;66),"",--MID('Key Analysis'!$C62,66,1))</f>
        <v/>
      </c>
      <c r="GW66" s="29" t="str">
        <f>IF(OR($B66="",$A66&lt;67),"",--MID('Key Analysis'!$C62,67,1))</f>
        <v/>
      </c>
      <c r="GX66" s="29" t="str">
        <f>IF(OR($B66="",$A66&lt;68),"",--MID('Key Analysis'!$C62,68,1))</f>
        <v/>
      </c>
      <c r="GY66" s="29" t="str">
        <f>IF(OR($B66="",$A66&lt;69),"",--MID('Key Analysis'!$C62,69,1))</f>
        <v/>
      </c>
      <c r="GZ66" s="29" t="str">
        <f>IF(OR($B66="",$A66&lt;70),"",--MID('Key Analysis'!$C62,70,1))</f>
        <v/>
      </c>
      <c r="HA66" s="29" t="str">
        <f>IF(OR($B66="",$A66&lt;71),"",--MID('Key Analysis'!$C62,71,1))</f>
        <v/>
      </c>
      <c r="HB66" s="29" t="str">
        <f>IF(OR($B66="",$A66&lt;72),"",--MID('Key Analysis'!$C62,72,1))</f>
        <v/>
      </c>
      <c r="HC66" s="29" t="str">
        <f>IF(OR($B66="",$A66&lt;73),"",--MID('Key Analysis'!$C62,73,1))</f>
        <v/>
      </c>
      <c r="HD66" s="29" t="str">
        <f>IF(OR($B66="",$A66&lt;74),"",--MID('Key Analysis'!$C62,74,1))</f>
        <v/>
      </c>
      <c r="HE66" s="29" t="str">
        <f>IF(OR($B66="",$A66&lt;75),"",--MID('Key Analysis'!$C62,75,1))</f>
        <v/>
      </c>
      <c r="HF66" s="29" t="str">
        <f>IF(OR($B66="",$A66&lt;76),"",--MID('Key Analysis'!$C62,76,1))</f>
        <v/>
      </c>
      <c r="HG66" s="29" t="str">
        <f>IF(OR($B66="",$A66&lt;77),"",--MID('Key Analysis'!$C62,77,1))</f>
        <v/>
      </c>
      <c r="HH66" s="29" t="str">
        <f>IF(OR($B66="",$A66&lt;78),"",--MID('Key Analysis'!$C62,78,1))</f>
        <v/>
      </c>
      <c r="HI66" s="29" t="str">
        <f>IF(OR($B66="",$A66&lt;79),"",--MID('Key Analysis'!$C62,79,1))</f>
        <v/>
      </c>
      <c r="HJ66" s="29" t="str">
        <f>IF(OR($B66="",$A66&lt;80),"",--MID('Key Analysis'!$C62,80,1))</f>
        <v/>
      </c>
      <c r="HK66" s="29" t="str">
        <f>IF(OR($B66="",$A66&lt;81),"",--MID('Key Analysis'!$C62,81,1))</f>
        <v/>
      </c>
      <c r="HL66" s="29" t="str">
        <f>IF(OR($B66="",$A66&lt;82),"",--MID('Key Analysis'!$C62,82,1))</f>
        <v/>
      </c>
      <c r="HM66" s="29" t="str">
        <f>IF(OR($B66="",$A66&lt;83),"",--MID('Key Analysis'!$C62,83,1))</f>
        <v/>
      </c>
      <c r="HN66" s="29" t="str">
        <f>IF(OR($B66="",$A66&lt;84),"",--MID('Key Analysis'!$C62,84,1))</f>
        <v/>
      </c>
      <c r="HO66" s="29" t="str">
        <f>IF(OR($B66="",$A66&lt;85),"",--MID('Key Analysis'!$C62,85,1))</f>
        <v/>
      </c>
      <c r="HP66" s="29" t="str">
        <f>IF(OR($B66="",$A66&lt;86),"",--MID('Key Analysis'!$C62,86,1))</f>
        <v/>
      </c>
      <c r="HQ66" s="29" t="str">
        <f>IF(OR($B66="",$A66&lt;87),"",--MID('Key Analysis'!$C62,87,1))</f>
        <v/>
      </c>
      <c r="HR66" s="29" t="str">
        <f>IF(OR($B66="",$A66&lt;88),"",--MID('Key Analysis'!$C62,88,1))</f>
        <v/>
      </c>
      <c r="HS66" s="29" t="str">
        <f>IF(OR($B66="",$A66&lt;89),"",--MID('Key Analysis'!$C62,89,1))</f>
        <v/>
      </c>
      <c r="HT66" s="29" t="str">
        <f>IF(OR($B66="",$A66&lt;90),"",--MID('Key Analysis'!$C62,90,1))</f>
        <v/>
      </c>
      <c r="HU66" s="29" t="str">
        <f>IF(OR($B66="",$A66&lt;91),"",--MID('Key Analysis'!$C62,91,1))</f>
        <v/>
      </c>
      <c r="HV66" s="29" t="str">
        <f>IF(OR($B66="",$A66&lt;92),"",--MID('Key Analysis'!$C62,92,1))</f>
        <v/>
      </c>
      <c r="HW66" s="29" t="str">
        <f>IF(OR($B66="",$A66&lt;93),"",--MID('Key Analysis'!$C62,93,1))</f>
        <v/>
      </c>
      <c r="HX66" s="29" t="str">
        <f>IF(OR($B66="",$A66&lt;94),"",--MID('Key Analysis'!$C62,94,1))</f>
        <v/>
      </c>
      <c r="HY66" s="29" t="str">
        <f>IF(OR($B66="",$A66&lt;95),"",--MID('Key Analysis'!$C62,95,1))</f>
        <v/>
      </c>
      <c r="HZ66" s="29" t="str">
        <f>IF(OR($B66="",$A66&lt;96),"",--MID('Key Analysis'!$C62,96,1))</f>
        <v/>
      </c>
      <c r="IA66" s="29" t="str">
        <f>IF(OR($B66="",$A66&lt;97),"",--MID('Key Analysis'!$C62,97,1))</f>
        <v/>
      </c>
      <c r="IB66" s="29" t="str">
        <f>IF(OR($B66="",$A66&lt;98),"",--MID('Key Analysis'!$C62,98,1))</f>
        <v/>
      </c>
      <c r="IC66" s="29" t="str">
        <f>IF(OR($B66="",$A66&lt;99),"",--MID('Key Analysis'!$C62,99,1))</f>
        <v/>
      </c>
      <c r="ID66" s="29" t="str">
        <f>IF(OR($B66="",$A66&lt;100),"",--MID('Key Analysis'!$C62,100,1))</f>
        <v/>
      </c>
      <c r="IE66" s="29" t="str">
        <f>IF(OR($B66="",$A66&lt;101),"",--MID('Key Analysis'!$C62,101,1))</f>
        <v/>
      </c>
      <c r="IF66" s="29" t="str">
        <f>IF(OR($B66="",$A66&lt;102),"",--MID('Key Analysis'!$C62,102,1))</f>
        <v/>
      </c>
      <c r="IG66" s="29" t="str">
        <f>IF(OR($B66="",$A66&lt;103),"",--MID('Key Analysis'!$C62,103,1))</f>
        <v/>
      </c>
      <c r="IH66" s="29" t="str">
        <f>IF(OR($B66="",$A66&lt;104),"",--MID('Key Analysis'!$C62,104,1))</f>
        <v/>
      </c>
      <c r="II66" s="29" t="str">
        <f>IF(OR($B66="",$A66&lt;105),"",--MID('Key Analysis'!$C62,105,1))</f>
        <v/>
      </c>
      <c r="IJ66" s="29" t="str">
        <f>IF(OR($B66="",$A66&lt;106),"",--MID('Key Analysis'!$C62,106,1))</f>
        <v/>
      </c>
      <c r="IK66" s="29" t="str">
        <f>IF(OR($B66="",$A66&lt;107),"",--MID('Key Analysis'!$C62,107,1))</f>
        <v/>
      </c>
      <c r="IL66" s="29" t="str">
        <f>IF(OR($B66="",$A66&lt;108),"",--MID('Key Analysis'!$C62,108,1))</f>
        <v/>
      </c>
      <c r="IM66" s="29" t="str">
        <f>IF(OR($B66="",$A66&lt;109),"",--MID('Key Analysis'!$C62,109,1))</f>
        <v/>
      </c>
      <c r="IN66" s="29" t="str">
        <f>IF(OR($B66="",$A66&lt;110),"",--MID('Key Analysis'!$C62,110,1))</f>
        <v/>
      </c>
      <c r="IO66" s="29" t="str">
        <f>IF(OR($B66="",$A66&lt;111),"",--MID('Key Analysis'!$C62,111,1))</f>
        <v/>
      </c>
      <c r="IP66" s="29" t="str">
        <f>IF(OR($B66="",$A66&lt;112),"",--MID('Key Analysis'!$C62,112,1))</f>
        <v/>
      </c>
      <c r="IQ66" s="29" t="str">
        <f>IF(OR($B66="",$A66&lt;113),"",--MID('Key Analysis'!$C62,113,1))</f>
        <v/>
      </c>
      <c r="IR66" s="29" t="str">
        <f>IF(OR($B66="",$A66&lt;114),"",--MID('Key Analysis'!$C62,114,1))</f>
        <v/>
      </c>
      <c r="IS66" s="29" t="str">
        <f>IF(OR($B66="",$A66&lt;115),"",--MID('Key Analysis'!$C62,115,1))</f>
        <v/>
      </c>
      <c r="IT66" s="29" t="str">
        <f>IF(OR($B66="",$A66&lt;116),"",--MID('Key Analysis'!$C62,116,1))</f>
        <v/>
      </c>
      <c r="IU66" s="29" t="str">
        <f>IF(OR($B66="",$A66&lt;117),"",--MID('Key Analysis'!$C62,117,1))</f>
        <v/>
      </c>
      <c r="IV66" s="29" t="str">
        <f>IF(OR($B66="",$A66&lt;118),"",--MID('Key Analysis'!$C62,118,1))</f>
        <v/>
      </c>
      <c r="IW66" s="29" t="str">
        <f>IF(OR($B66="",$A66&lt;119),"",--MID('Key Analysis'!$C62,119,1))</f>
        <v/>
      </c>
      <c r="IX66" s="29" t="str">
        <f>IF(OR($B66="",$A66&lt;120),"",--MID('Key Analysis'!$C62,120,1))</f>
        <v/>
      </c>
      <c r="IY66" s="29" t="str">
        <f>IF(OR($B66="",$A66&lt;121),"",--MID('Key Analysis'!$C62,121,1))</f>
        <v/>
      </c>
      <c r="IZ66" s="29" t="str">
        <f>IF(OR($B66="",$A66&lt;122),"",--MID('Key Analysis'!$C62,122,1))</f>
        <v/>
      </c>
      <c r="JA66" s="29" t="str">
        <f>IF(OR($B66="",$A66&lt;123),"",--MID('Key Analysis'!$C62,123,1))</f>
        <v/>
      </c>
      <c r="JB66" s="29" t="str">
        <f>IF(OR($B66="",$A66&lt;124),"",--MID('Key Analysis'!$C62,124,1))</f>
        <v/>
      </c>
      <c r="JC66" s="29" t="str">
        <f>IF(OR($B66="",$A66&lt;125),"",--MID('Key Analysis'!$C62,125,1))</f>
        <v/>
      </c>
      <c r="JD66" s="29" t="str">
        <f>IF(OR($B66="",$A66&lt;126),"",--MID('Key Analysis'!$C62,126,1))</f>
        <v/>
      </c>
      <c r="JE66" s="29" t="str">
        <f>IF(OR($B66="",$A66&lt;127),"",--MID('Key Analysis'!$C62,127,1))</f>
        <v/>
      </c>
      <c r="JF66" s="29" t="str">
        <f>IF(OR($B66="",$A66&lt;128),"",--MID('Key Analysis'!$C62,128,1))</f>
        <v/>
      </c>
      <c r="JG66" s="29" t="str">
        <f>IF(OR($B66="",$A66&lt;129),"",--MID('Key Analysis'!$C62,129,1))</f>
        <v/>
      </c>
      <c r="JH66" s="29" t="str">
        <f>IF(OR($B66="",$A66&lt;130),"",--MID('Key Analysis'!$C62,130,1))</f>
        <v/>
      </c>
      <c r="JI66" s="29" t="str">
        <f>IF(OR($B66="",$A66&lt;131),"",--MID('Key Analysis'!$C62,131,1))</f>
        <v/>
      </c>
      <c r="JJ66" s="29" t="str">
        <f>IF(OR($B66="",$A66&lt;132),"",--MID('Key Analysis'!$C62,132,1))</f>
        <v/>
      </c>
      <c r="JK66" s="29" t="str">
        <f>IF(OR($B66="",$A66&lt;133),"",--MID('Key Analysis'!$C62,133,1))</f>
        <v/>
      </c>
      <c r="JL66" s="29" t="str">
        <f>IF(OR($B66="",$A66&lt;134),"",--MID('Key Analysis'!$C62,134,1))</f>
        <v/>
      </c>
      <c r="JM66" s="29" t="str">
        <f>IF(OR($B66="",$A66&lt;135),"",--MID('Key Analysis'!$C62,135,1))</f>
        <v/>
      </c>
    </row>
    <row r="67" spans="1:273" x14ac:dyDescent="0.25">
      <c r="A67" s="21">
        <f>'Key Analysis'!A63</f>
        <v>62</v>
      </c>
      <c r="B67" s="30" t="str">
        <f>'Key Analysis'!B63</f>
        <v>363d541eb611abee</v>
      </c>
      <c r="C67" s="29">
        <f>IF(OR($B67="",$A67&lt;=0),"",--MID('Key Analysis'!$C63,$A67-0,1))</f>
        <v>0</v>
      </c>
      <c r="D67" s="29">
        <f>IF(OR($B67="",$A67&lt;=1),"",--MID('Key Analysis'!$C63,$A67-1,1))</f>
        <v>1</v>
      </c>
      <c r="E67" s="29">
        <f>IF(OR($B67="",$A67&lt;=2),"",--MID('Key Analysis'!$C63,$A67-2,1))</f>
        <v>1</v>
      </c>
      <c r="F67" s="29">
        <f>IF(OR($B67="",$A67&lt;=3),"",--MID('Key Analysis'!$C63,$A67-3,1))</f>
        <v>1</v>
      </c>
      <c r="G67" s="29">
        <f>IF(OR($B67="",$A67&lt;=4),"",--MID('Key Analysis'!$C63,$A67-4,1))</f>
        <v>0</v>
      </c>
      <c r="H67" s="29">
        <f>IF(OR($B67="",$A67&lt;=5),"",--MID('Key Analysis'!$C63,$A67-5,1))</f>
        <v>1</v>
      </c>
      <c r="I67" s="29">
        <f>IF(OR($B67="",$A67&lt;=6),"",--MID('Key Analysis'!$C63,$A67-6,1))</f>
        <v>1</v>
      </c>
      <c r="J67" s="29">
        <f>IF(OR($B67="",$A67&lt;=7),"",--MID('Key Analysis'!$C63,$A67-7,1))</f>
        <v>1</v>
      </c>
      <c r="K67" s="29">
        <f>IF(OR($B67="",$A67&lt;=8),"",--MID('Key Analysis'!$C63,$A67-8,1))</f>
        <v>1</v>
      </c>
      <c r="L67" s="29">
        <f>IF(OR($B67="",$A67&lt;=9),"",--MID('Key Analysis'!$C63,$A67-9,1))</f>
        <v>1</v>
      </c>
      <c r="M67" s="29">
        <f>IF(OR($B67="",$A67&lt;=10),"",--MID('Key Analysis'!$C63,$A67-10,1))</f>
        <v>0</v>
      </c>
      <c r="N67" s="29">
        <f>IF(OR($B67="",$A67&lt;=11),"",--MID('Key Analysis'!$C63,$A67-11,1))</f>
        <v>1</v>
      </c>
      <c r="O67" s="29">
        <f>IF(OR($B67="",$A67&lt;=12),"",--MID('Key Analysis'!$C63,$A67-12,1))</f>
        <v>0</v>
      </c>
      <c r="P67" s="29">
        <f>IF(OR($B67="",$A67&lt;=13),"",--MID('Key Analysis'!$C63,$A67-13,1))</f>
        <v>1</v>
      </c>
      <c r="Q67" s="29">
        <f>IF(OR($B67="",$A67&lt;=14),"",--MID('Key Analysis'!$C63,$A67-14,1))</f>
        <v>0</v>
      </c>
      <c r="R67" s="29">
        <f>IF(OR($B67="",$A67&lt;=15),"",--MID('Key Analysis'!$C63,$A67-15,1))</f>
        <v>1</v>
      </c>
      <c r="S67" s="29">
        <f>IF(OR($B67="",$A67&lt;=16),"",--MID('Key Analysis'!$C63,$A67-16,1))</f>
        <v>1</v>
      </c>
      <c r="T67" s="29">
        <f>IF(OR($B67="",$A67&lt;=17),"",--MID('Key Analysis'!$C63,$A67-17,1))</f>
        <v>0</v>
      </c>
      <c r="U67" s="29">
        <f>IF(OR($B67="",$A67&lt;=18),"",--MID('Key Analysis'!$C63,$A67-18,1))</f>
        <v>0</v>
      </c>
      <c r="V67" s="29">
        <f>IF(OR($B67="",$A67&lt;=19),"",--MID('Key Analysis'!$C63,$A67-19,1))</f>
        <v>0</v>
      </c>
      <c r="W67" s="29">
        <f>IF(OR($B67="",$A67&lt;=20),"",--MID('Key Analysis'!$C63,$A67-20,1))</f>
        <v>1</v>
      </c>
      <c r="X67" s="29">
        <f>IF(OR($B67="",$A67&lt;=21),"",--MID('Key Analysis'!$C63,$A67-21,1))</f>
        <v>0</v>
      </c>
      <c r="Y67" s="29">
        <f>IF(OR($B67="",$A67&lt;=22),"",--MID('Key Analysis'!$C63,$A67-22,1))</f>
        <v>0</v>
      </c>
      <c r="Z67" s="29">
        <f>IF(OR($B67="",$A67&lt;=23),"",--MID('Key Analysis'!$C63,$A67-23,1))</f>
        <v>0</v>
      </c>
      <c r="AA67" s="29">
        <f>IF(OR($B67="",$A67&lt;=24),"",--MID('Key Analysis'!$C63,$A67-24,1))</f>
        <v>0</v>
      </c>
      <c r="AB67" s="29">
        <f>IF(OR($B67="",$A67&lt;=25),"",--MID('Key Analysis'!$C63,$A67-25,1))</f>
        <v>1</v>
      </c>
      <c r="AC67" s="29">
        <f>IF(OR($B67="",$A67&lt;=26),"",--MID('Key Analysis'!$C63,$A67-26,1))</f>
        <v>1</v>
      </c>
      <c r="AD67" s="29">
        <f>IF(OR($B67="",$A67&lt;=27),"",--MID('Key Analysis'!$C63,$A67-27,1))</f>
        <v>0</v>
      </c>
      <c r="AE67" s="29">
        <f>IF(OR($B67="",$A67&lt;=28),"",--MID('Key Analysis'!$C63,$A67-28,1))</f>
        <v>1</v>
      </c>
      <c r="AF67" s="29">
        <f>IF(OR($B67="",$A67&lt;=29),"",--MID('Key Analysis'!$C63,$A67-29,1))</f>
        <v>1</v>
      </c>
      <c r="AG67" s="29">
        <f>IF(OR($B67="",$A67&lt;=30),"",--MID('Key Analysis'!$C63,$A67-30,1))</f>
        <v>0</v>
      </c>
      <c r="AH67" s="29">
        <f>IF(OR($B67="",$A67&lt;=31),"",--MID('Key Analysis'!$C63,$A67-31,1))</f>
        <v>1</v>
      </c>
      <c r="AI67" s="29">
        <f>IF(OR($B67="",$A67&lt;=32),"",--MID('Key Analysis'!$C63,$A67-32,1))</f>
        <v>0</v>
      </c>
      <c r="AJ67" s="29">
        <f>IF(OR($B67="",$A67&lt;=33),"",--MID('Key Analysis'!$C63,$A67-33,1))</f>
        <v>1</v>
      </c>
      <c r="AK67" s="29">
        <f>IF(OR($B67="",$A67&lt;=34),"",--MID('Key Analysis'!$C63,$A67-34,1))</f>
        <v>1</v>
      </c>
      <c r="AL67" s="29">
        <f>IF(OR($B67="",$A67&lt;=35),"",--MID('Key Analysis'!$C63,$A67-35,1))</f>
        <v>1</v>
      </c>
      <c r="AM67" s="29">
        <f>IF(OR($B67="",$A67&lt;=36),"",--MID('Key Analysis'!$C63,$A67-36,1))</f>
        <v>1</v>
      </c>
      <c r="AN67" s="29">
        <f>IF(OR($B67="",$A67&lt;=37),"",--MID('Key Analysis'!$C63,$A67-37,1))</f>
        <v>0</v>
      </c>
      <c r="AO67" s="29">
        <f>IF(OR($B67="",$A67&lt;=38),"",--MID('Key Analysis'!$C63,$A67-38,1))</f>
        <v>0</v>
      </c>
      <c r="AP67" s="29">
        <f>IF(OR($B67="",$A67&lt;=39),"",--MID('Key Analysis'!$C63,$A67-39,1))</f>
        <v>0</v>
      </c>
      <c r="AQ67" s="29">
        <f>IF(OR($B67="",$A67&lt;=40),"",--MID('Key Analysis'!$C63,$A67-40,1))</f>
        <v>0</v>
      </c>
      <c r="AR67" s="29">
        <f>IF(OR($B67="",$A67&lt;=41),"",--MID('Key Analysis'!$C63,$A67-41,1))</f>
        <v>0</v>
      </c>
      <c r="AS67" s="29">
        <f>IF(OR($B67="",$A67&lt;=42),"",--MID('Key Analysis'!$C63,$A67-42,1))</f>
        <v>1</v>
      </c>
      <c r="AT67" s="29">
        <f>IF(OR($B67="",$A67&lt;=43),"",--MID('Key Analysis'!$C63,$A67-43,1))</f>
        <v>0</v>
      </c>
      <c r="AU67" s="29">
        <f>IF(OR($B67="",$A67&lt;=44),"",--MID('Key Analysis'!$C63,$A67-44,1))</f>
        <v>1</v>
      </c>
      <c r="AV67" s="29">
        <f>IF(OR($B67="",$A67&lt;=45),"",--MID('Key Analysis'!$C63,$A67-45,1))</f>
        <v>0</v>
      </c>
      <c r="AW67" s="29">
        <f>IF(OR($B67="",$A67&lt;=46),"",--MID('Key Analysis'!$C63,$A67-46,1))</f>
        <v>1</v>
      </c>
      <c r="AX67" s="29">
        <f>IF(OR($B67="",$A67&lt;=47),"",--MID('Key Analysis'!$C63,$A67-47,1))</f>
        <v>0</v>
      </c>
      <c r="AY67" s="29">
        <f>IF(OR($B67="",$A67&lt;=48),"",--MID('Key Analysis'!$C63,$A67-48,1))</f>
        <v>1</v>
      </c>
      <c r="AZ67" s="29">
        <f>IF(OR($B67="",$A67&lt;=49),"",--MID('Key Analysis'!$C63,$A67-49,1))</f>
        <v>0</v>
      </c>
      <c r="BA67" s="29">
        <f>IF(OR($B67="",$A67&lt;=50),"",--MID('Key Analysis'!$C63,$A67-50,1))</f>
        <v>1</v>
      </c>
      <c r="BB67" s="29">
        <f>IF(OR($B67="",$A67&lt;=51),"",--MID('Key Analysis'!$C63,$A67-51,1))</f>
        <v>1</v>
      </c>
      <c r="BC67" s="29">
        <f>IF(OR($B67="",$A67&lt;=52),"",--MID('Key Analysis'!$C63,$A67-52,1))</f>
        <v>1</v>
      </c>
      <c r="BD67" s="29">
        <f>IF(OR($B67="",$A67&lt;=53),"",--MID('Key Analysis'!$C63,$A67-53,1))</f>
        <v>1</v>
      </c>
      <c r="BE67" s="29">
        <f>IF(OR($B67="",$A67&lt;=54),"",--MID('Key Analysis'!$C63,$A67-54,1))</f>
        <v>0</v>
      </c>
      <c r="BF67" s="29">
        <f>IF(OR($B67="",$A67&lt;=55),"",--MID('Key Analysis'!$C63,$A67-55,1))</f>
        <v>0</v>
      </c>
      <c r="BG67" s="29">
        <f>IF(OR($B67="",$A67&lt;=56),"",--MID('Key Analysis'!$C63,$A67-56,1))</f>
        <v>0</v>
      </c>
      <c r="BH67" s="29">
        <f>IF(OR($B67="",$A67&lt;=57),"",--MID('Key Analysis'!$C63,$A67-57,1))</f>
        <v>1</v>
      </c>
      <c r="BI67" s="29">
        <f>IF(OR($B67="",$A67&lt;=58),"",--MID('Key Analysis'!$C63,$A67-58,1))</f>
        <v>1</v>
      </c>
      <c r="BJ67" s="29">
        <f>IF(OR($B67="",$A67&lt;=59),"",--MID('Key Analysis'!$C63,$A67-59,1))</f>
        <v>0</v>
      </c>
      <c r="BK67" s="29">
        <f>IF(OR($B67="",$A67&lt;=60),"",--MID('Key Analysis'!$C63,$A67-60,1))</f>
        <v>1</v>
      </c>
      <c r="BL67" s="29">
        <f>IF(OR($B67="",$A67&lt;=61),"",--MID('Key Analysis'!$C63,$A67-61,1))</f>
        <v>1</v>
      </c>
      <c r="BM67" s="29" t="str">
        <f>IF(OR($B67="",$A67&lt;=62),"",--MID('Key Analysis'!$C63,$A67-62,1))</f>
        <v/>
      </c>
      <c r="BN67" s="29" t="str">
        <f>IF(OR($B67="",$A67&lt;=63),"",--MID('Key Analysis'!$C63,$A67-63,1))</f>
        <v/>
      </c>
      <c r="BO67" s="29" t="str">
        <f>IF(OR($B67="",$A67&lt;=64),"",--MID('Key Analysis'!$C63,$A67-64,1))</f>
        <v/>
      </c>
      <c r="BP67" s="29" t="str">
        <f>IF(OR($B67="",$A67&lt;=65),"",--MID('Key Analysis'!$C63,$A67-65,1))</f>
        <v/>
      </c>
      <c r="BQ67" s="29" t="str">
        <f>IF(OR($B67="",$A67&lt;=66),"",--MID('Key Analysis'!$C63,$A67-66,1))</f>
        <v/>
      </c>
      <c r="BR67" s="29" t="str">
        <f>IF(OR($B67="",$A67&lt;=67),"",--MID('Key Analysis'!$C63,$A67-67,1))</f>
        <v/>
      </c>
      <c r="BS67" s="29" t="str">
        <f>IF(OR($B67="",$A67&lt;=68),"",--MID('Key Analysis'!$C63,$A67-68,1))</f>
        <v/>
      </c>
      <c r="BT67" s="29" t="str">
        <f>IF(OR($B67="",$A67&lt;=69),"",--MID('Key Analysis'!$C63,$A67-69,1))</f>
        <v/>
      </c>
      <c r="BU67" s="29" t="str">
        <f>IF(OR($B67="",$A67&lt;=70),"",--MID('Key Analysis'!$C63,$A67-70,1))</f>
        <v/>
      </c>
      <c r="BV67" s="29" t="str">
        <f>IF(OR($B67="",$A67&lt;=71),"",--MID('Key Analysis'!$C63,$A67-71,1))</f>
        <v/>
      </c>
      <c r="BW67" s="29" t="str">
        <f>IF(OR($B67="",$A67&lt;=72),"",--MID('Key Analysis'!$C63,$A67-72,1))</f>
        <v/>
      </c>
      <c r="BX67" s="29" t="str">
        <f>IF(OR($B67="",$A67&lt;=73),"",--MID('Key Analysis'!$C63,$A67-73,1))</f>
        <v/>
      </c>
      <c r="BY67" s="29" t="str">
        <f>IF(OR($B67="",$A67&lt;=74),"",--MID('Key Analysis'!$C63,$A67-74,1))</f>
        <v/>
      </c>
      <c r="BZ67" s="29" t="str">
        <f>IF(OR($B67="",$A67&lt;=75),"",--MID('Key Analysis'!$C63,$A67-75,1))</f>
        <v/>
      </c>
      <c r="CA67" s="29" t="str">
        <f>IF(OR($B67="",$A67&lt;=76),"",--MID('Key Analysis'!$C63,$A67-76,1))</f>
        <v/>
      </c>
      <c r="CB67" s="29" t="str">
        <f>IF(OR($B67="",$A67&lt;=77),"",--MID('Key Analysis'!$C63,$A67-77,1))</f>
        <v/>
      </c>
      <c r="CC67" s="29" t="str">
        <f>IF(OR($B67="",$A67&lt;=78),"",--MID('Key Analysis'!$C63,$A67-78,1))</f>
        <v/>
      </c>
      <c r="CD67" s="29" t="str">
        <f>IF(OR($B67="",$A67&lt;=79),"",--MID('Key Analysis'!$C63,$A67-79,1))</f>
        <v/>
      </c>
      <c r="CE67" s="29" t="str">
        <f>IF(OR($B67="",$A67&lt;=80),"",--MID('Key Analysis'!$C63,$A67-80,1))</f>
        <v/>
      </c>
      <c r="CF67" s="29" t="str">
        <f>IF(OR($B67="",$A67&lt;=81),"",--MID('Key Analysis'!$C63,$A67-81,1))</f>
        <v/>
      </c>
      <c r="CG67" s="29" t="str">
        <f>IF(OR($B67="",$A67&lt;=82),"",--MID('Key Analysis'!$C63,$A67-82,1))</f>
        <v/>
      </c>
      <c r="CH67" s="29" t="str">
        <f>IF(OR($B67="",$A67&lt;=83),"",--MID('Key Analysis'!$C63,$A67-83,1))</f>
        <v/>
      </c>
      <c r="CI67" s="29" t="str">
        <f>IF(OR($B67="",$A67&lt;=84),"",--MID('Key Analysis'!$C63,$A67-84,1))</f>
        <v/>
      </c>
      <c r="CJ67" s="29" t="str">
        <f>IF(OR($B67="",$A67&lt;=85),"",--MID('Key Analysis'!$C63,$A67-85,1))</f>
        <v/>
      </c>
      <c r="CK67" s="29" t="str">
        <f>IF(OR($B67="",$A67&lt;=86),"",--MID('Key Analysis'!$C63,$A67-86,1))</f>
        <v/>
      </c>
      <c r="CL67" s="29" t="str">
        <f>IF(OR($B67="",$A67&lt;=87),"",--MID('Key Analysis'!$C63,$A67-87,1))</f>
        <v/>
      </c>
      <c r="CM67" s="29" t="str">
        <f>IF(OR($B67="",$A67&lt;=88),"",--MID('Key Analysis'!$C63,$A67-88,1))</f>
        <v/>
      </c>
      <c r="CN67" s="29" t="str">
        <f>IF(OR($B67="",$A67&lt;=89),"",--MID('Key Analysis'!$C63,$A67-89,1))</f>
        <v/>
      </c>
      <c r="CO67" s="29" t="str">
        <f>IF(OR($B67="",$A67&lt;=90),"",--MID('Key Analysis'!$C63,$A67-90,1))</f>
        <v/>
      </c>
      <c r="CP67" s="29" t="str">
        <f>IF(OR($B67="",$A67&lt;=91),"",--MID('Key Analysis'!$C63,$A67-91,1))</f>
        <v/>
      </c>
      <c r="CQ67" s="29" t="str">
        <f>IF(OR($B67="",$A67&lt;=92),"",--MID('Key Analysis'!$C63,$A67-92,1))</f>
        <v/>
      </c>
      <c r="CR67" s="29" t="str">
        <f>IF(OR($B67="",$A67&lt;=93),"",--MID('Key Analysis'!$C63,$A67-93,1))</f>
        <v/>
      </c>
      <c r="CS67" s="29" t="str">
        <f>IF(OR($B67="",$A67&lt;=94),"",--MID('Key Analysis'!$C63,$A67-94,1))</f>
        <v/>
      </c>
      <c r="CT67" s="29" t="str">
        <f>IF(OR($B67="",$A67&lt;=95),"",--MID('Key Analysis'!$C63,$A67-95,1))</f>
        <v/>
      </c>
      <c r="CU67" s="29" t="str">
        <f>IF(OR($B67="",$A67&lt;=96),"",--MID('Key Analysis'!$C63,$A67-96,1))</f>
        <v/>
      </c>
      <c r="CV67" s="29" t="str">
        <f>IF(OR($B67="",$A67&lt;=97),"",--MID('Key Analysis'!$C63,$A67-97,1))</f>
        <v/>
      </c>
      <c r="CW67" s="29" t="str">
        <f>IF(OR($B67="",$A67&lt;=98),"",--MID('Key Analysis'!$C63,$A67-98,1))</f>
        <v/>
      </c>
      <c r="CX67" s="29" t="str">
        <f>IF(OR($B67="",$A67&lt;=99),"",--MID('Key Analysis'!$C63,$A67-99,1))</f>
        <v/>
      </c>
      <c r="CY67" s="29" t="str">
        <f>IF(OR($B67="",$A67&lt;=100),"",--MID('Key Analysis'!$C63,$A67-100,1))</f>
        <v/>
      </c>
      <c r="CZ67" s="29" t="str">
        <f>IF(OR($B67="",$A67&lt;=101),"",--MID('Key Analysis'!$C63,$A67-101,1))</f>
        <v/>
      </c>
      <c r="DA67" s="29" t="str">
        <f>IF(OR($B67="",$A67&lt;=102),"",--MID('Key Analysis'!$C63,$A67-102,1))</f>
        <v/>
      </c>
      <c r="DB67" s="29" t="str">
        <f>IF(OR($B67="",$A67&lt;=103),"",--MID('Key Analysis'!$C63,$A67-103,1))</f>
        <v/>
      </c>
      <c r="DC67" s="29" t="str">
        <f>IF(OR($B67="",$A67&lt;=104),"",--MID('Key Analysis'!$C63,$A67-104,1))</f>
        <v/>
      </c>
      <c r="DD67" s="29" t="str">
        <f>IF(OR($B67="",$A67&lt;=105),"",--MID('Key Analysis'!$C63,$A67-105,1))</f>
        <v/>
      </c>
      <c r="DE67" s="29" t="str">
        <f>IF(OR($B67="",$A67&lt;=106),"",--MID('Key Analysis'!$C63,$A67-106,1))</f>
        <v/>
      </c>
      <c r="DF67" s="29" t="str">
        <f>IF(OR($B67="",$A67&lt;=107),"",--MID('Key Analysis'!$C63,$A67-107,1))</f>
        <v/>
      </c>
      <c r="DG67" s="29" t="str">
        <f>IF(OR($B67="",$A67&lt;=108),"",--MID('Key Analysis'!$C63,$A67-108,1))</f>
        <v/>
      </c>
      <c r="DH67" s="29" t="str">
        <f>IF(OR($B67="",$A67&lt;=109),"",--MID('Key Analysis'!$C63,$A67-109,1))</f>
        <v/>
      </c>
      <c r="DI67" s="29" t="str">
        <f>IF(OR($B67="",$A67&lt;=110),"",--MID('Key Analysis'!$C63,$A67-110,1))</f>
        <v/>
      </c>
      <c r="DJ67" s="29" t="str">
        <f>IF(OR($B67="",$A67&lt;=111),"",--MID('Key Analysis'!$C63,$A67-111,1))</f>
        <v/>
      </c>
      <c r="DK67" s="29" t="str">
        <f>IF(OR($B67="",$A67&lt;=112),"",--MID('Key Analysis'!$C63,$A67-112,1))</f>
        <v/>
      </c>
      <c r="DL67" s="29" t="str">
        <f>IF(OR($B67="",$A67&lt;=113),"",--MID('Key Analysis'!$C63,$A67-113,1))</f>
        <v/>
      </c>
      <c r="DM67" s="29" t="str">
        <f>IF(OR($B67="",$A67&lt;=114),"",--MID('Key Analysis'!$C63,$A67-114,1))</f>
        <v/>
      </c>
      <c r="DN67" s="29" t="str">
        <f>IF(OR($B67="",$A67&lt;=115),"",--MID('Key Analysis'!$C63,$A67-115,1))</f>
        <v/>
      </c>
      <c r="DO67" s="29" t="str">
        <f>IF(OR($B67="",$A67&lt;=116),"",--MID('Key Analysis'!$C63,$A67-116,1))</f>
        <v/>
      </c>
      <c r="DP67" s="29" t="str">
        <f>IF(OR($B67="",$A67&lt;=117),"",--MID('Key Analysis'!$C63,$A67-117,1))</f>
        <v/>
      </c>
      <c r="DQ67" s="29" t="str">
        <f>IF(OR($B67="",$A67&lt;=118),"",--MID('Key Analysis'!$C63,$A67-118,1))</f>
        <v/>
      </c>
      <c r="DR67" s="29" t="str">
        <f>IF(OR($B67="",$A67&lt;=119),"",--MID('Key Analysis'!$C63,$A67-119,1))</f>
        <v/>
      </c>
      <c r="DS67" s="29" t="str">
        <f>IF(OR($B67="",$A67&lt;=120),"",--MID('Key Analysis'!$C63,$A67-120,1))</f>
        <v/>
      </c>
      <c r="DT67" s="29" t="str">
        <f>IF(OR($B67="",$A67&lt;=121),"",--MID('Key Analysis'!$C63,$A67-121,1))</f>
        <v/>
      </c>
      <c r="DU67" s="29" t="str">
        <f>IF(OR($B67="",$A67&lt;=122),"",--MID('Key Analysis'!$C63,$A67-122,1))</f>
        <v/>
      </c>
      <c r="DV67" s="29" t="str">
        <f>IF(OR($B67="",$A67&lt;=123),"",--MID('Key Analysis'!$C63,$A67-123,1))</f>
        <v/>
      </c>
      <c r="DW67" s="29" t="str">
        <f>IF(OR($B67="",$A67&lt;=124),"",--MID('Key Analysis'!$C63,$A67-124,1))</f>
        <v/>
      </c>
      <c r="DX67" s="29" t="str">
        <f>IF(OR($B67="",$A67&lt;=125),"",--MID('Key Analysis'!$C63,$A67-125,1))</f>
        <v/>
      </c>
      <c r="DY67" s="29" t="str">
        <f>IF(OR($B67="",$A67&lt;=126),"",--MID('Key Analysis'!$C63,$A67-126,1))</f>
        <v/>
      </c>
      <c r="DZ67" s="29" t="str">
        <f>IF(OR($B67="",$A67&lt;=127),"",--MID('Key Analysis'!$C63,$A67-127,1))</f>
        <v/>
      </c>
      <c r="EA67" s="29" t="str">
        <f>IF(OR($B67="",$A67&lt;=128),"",--MID('Key Analysis'!$C63,$A67-128,1))</f>
        <v/>
      </c>
      <c r="EB67" s="29" t="str">
        <f>IF(OR($B67="",$A67&lt;=129),"",--MID('Key Analysis'!$C63,$A67-129,1))</f>
        <v/>
      </c>
      <c r="EC67" s="29" t="str">
        <f>IF(OR($B67="",$A67&lt;=130),"",--MID('Key Analysis'!$C63,$A67-130,1))</f>
        <v/>
      </c>
      <c r="ED67" s="29" t="str">
        <f>IF(OR($B67="",$A67&lt;=131),"",--MID('Key Analysis'!$C63,$A67-131,1))</f>
        <v/>
      </c>
      <c r="EE67" s="29" t="str">
        <f>IF(OR($B67="",$A67&lt;=132),"",--MID('Key Analysis'!$C63,$A67-132,1))</f>
        <v/>
      </c>
      <c r="EF67" s="29" t="str">
        <f>IF(OR($B67="",$A67&lt;=133),"",--MID('Key Analysis'!$C63,$A67-133,1))</f>
        <v/>
      </c>
      <c r="EG67" s="29" t="str">
        <f>IF(OR($B67="",$A67&lt;=134),"",--MID('Key Analysis'!$C63,$A67-134,1))</f>
        <v/>
      </c>
      <c r="EH67" s="29"/>
      <c r="EI67" s="29">
        <f>IF(OR($B67="",$A67&lt;1),"",--MID('Key Analysis'!$C63,1,1))</f>
        <v>1</v>
      </c>
      <c r="EJ67" s="29">
        <f>IF(OR($B67="",$A67&lt;2),"",--MID('Key Analysis'!$C63,2,1))</f>
        <v>1</v>
      </c>
      <c r="EK67" s="29">
        <f>IF(OR($B67="",$A67&lt;3),"",--MID('Key Analysis'!$C63,3,1))</f>
        <v>0</v>
      </c>
      <c r="EL67" s="29">
        <f>IF(OR($B67="",$A67&lt;4),"",--MID('Key Analysis'!$C63,4,1))</f>
        <v>1</v>
      </c>
      <c r="EM67" s="29">
        <f>IF(OR($B67="",$A67&lt;5),"",--MID('Key Analysis'!$C63,5,1))</f>
        <v>1</v>
      </c>
      <c r="EN67" s="29">
        <f>IF(OR($B67="",$A67&lt;6),"",--MID('Key Analysis'!$C63,6,1))</f>
        <v>0</v>
      </c>
      <c r="EO67" s="29">
        <f>IF(OR($B67="",$A67&lt;7),"",--MID('Key Analysis'!$C63,7,1))</f>
        <v>0</v>
      </c>
      <c r="EP67" s="29">
        <f>IF(OR($B67="",$A67&lt;8),"",--MID('Key Analysis'!$C63,8,1))</f>
        <v>0</v>
      </c>
      <c r="EQ67" s="29">
        <f>IF(OR($B67="",$A67&lt;9),"",--MID('Key Analysis'!$C63,9,1))</f>
        <v>1</v>
      </c>
      <c r="ER67" s="29">
        <f>IF(OR($B67="",$A67&lt;10),"",--MID('Key Analysis'!$C63,10,1))</f>
        <v>1</v>
      </c>
      <c r="ES67" s="29">
        <f>IF(OR($B67="",$A67&lt;11),"",--MID('Key Analysis'!$C63,11,1))</f>
        <v>1</v>
      </c>
      <c r="ET67" s="29">
        <f>IF(OR($B67="",$A67&lt;12),"",--MID('Key Analysis'!$C63,12,1))</f>
        <v>1</v>
      </c>
      <c r="EU67" s="29">
        <f>IF(OR($B67="",$A67&lt;13),"",--MID('Key Analysis'!$C63,13,1))</f>
        <v>0</v>
      </c>
      <c r="EV67" s="29">
        <f>IF(OR($B67="",$A67&lt;14),"",--MID('Key Analysis'!$C63,14,1))</f>
        <v>1</v>
      </c>
      <c r="EW67" s="29">
        <f>IF(OR($B67="",$A67&lt;15),"",--MID('Key Analysis'!$C63,15,1))</f>
        <v>0</v>
      </c>
      <c r="EX67" s="29">
        <f>IF(OR($B67="",$A67&lt;16),"",--MID('Key Analysis'!$C63,16,1))</f>
        <v>1</v>
      </c>
      <c r="EY67" s="29">
        <f>IF(OR($B67="",$A67&lt;17),"",--MID('Key Analysis'!$C63,17,1))</f>
        <v>0</v>
      </c>
      <c r="EZ67" s="29">
        <f>IF(OR($B67="",$A67&lt;18),"",--MID('Key Analysis'!$C63,18,1))</f>
        <v>1</v>
      </c>
      <c r="FA67" s="29">
        <f>IF(OR($B67="",$A67&lt;19),"",--MID('Key Analysis'!$C63,19,1))</f>
        <v>0</v>
      </c>
      <c r="FB67" s="29">
        <f>IF(OR($B67="",$A67&lt;20),"",--MID('Key Analysis'!$C63,20,1))</f>
        <v>1</v>
      </c>
      <c r="FC67" s="29">
        <f>IF(OR($B67="",$A67&lt;21),"",--MID('Key Analysis'!$C63,21,1))</f>
        <v>0</v>
      </c>
      <c r="FD67" s="29">
        <f>IF(OR($B67="",$A67&lt;22),"",--MID('Key Analysis'!$C63,22,1))</f>
        <v>0</v>
      </c>
      <c r="FE67" s="29">
        <f>IF(OR($B67="",$A67&lt;23),"",--MID('Key Analysis'!$C63,23,1))</f>
        <v>0</v>
      </c>
      <c r="FF67" s="29">
        <f>IF(OR($B67="",$A67&lt;24),"",--MID('Key Analysis'!$C63,24,1))</f>
        <v>0</v>
      </c>
      <c r="FG67" s="29">
        <f>IF(OR($B67="",$A67&lt;25),"",--MID('Key Analysis'!$C63,25,1))</f>
        <v>0</v>
      </c>
      <c r="FH67" s="29">
        <f>IF(OR($B67="",$A67&lt;26),"",--MID('Key Analysis'!$C63,26,1))</f>
        <v>1</v>
      </c>
      <c r="FI67" s="29">
        <f>IF(OR($B67="",$A67&lt;27),"",--MID('Key Analysis'!$C63,27,1))</f>
        <v>1</v>
      </c>
      <c r="FJ67" s="29">
        <f>IF(OR($B67="",$A67&lt;28),"",--MID('Key Analysis'!$C63,28,1))</f>
        <v>1</v>
      </c>
      <c r="FK67" s="29">
        <f>IF(OR($B67="",$A67&lt;29),"",--MID('Key Analysis'!$C63,29,1))</f>
        <v>1</v>
      </c>
      <c r="FL67" s="29">
        <f>IF(OR($B67="",$A67&lt;30),"",--MID('Key Analysis'!$C63,30,1))</f>
        <v>0</v>
      </c>
      <c r="FM67" s="29">
        <f>IF(OR($B67="",$A67&lt;31),"",--MID('Key Analysis'!$C63,31,1))</f>
        <v>1</v>
      </c>
      <c r="FN67" s="29">
        <f>IF(OR($B67="",$A67&lt;32),"",--MID('Key Analysis'!$C63,32,1))</f>
        <v>0</v>
      </c>
      <c r="FO67" s="29">
        <f>IF(OR($B67="",$A67&lt;33),"",--MID('Key Analysis'!$C63,33,1))</f>
        <v>1</v>
      </c>
      <c r="FP67" s="29">
        <f>IF(OR($B67="",$A67&lt;34),"",--MID('Key Analysis'!$C63,34,1))</f>
        <v>1</v>
      </c>
      <c r="FQ67" s="29">
        <f>IF(OR($B67="",$A67&lt;35),"",--MID('Key Analysis'!$C63,35,1))</f>
        <v>0</v>
      </c>
      <c r="FR67" s="29">
        <f>IF(OR($B67="",$A67&lt;36),"",--MID('Key Analysis'!$C63,36,1))</f>
        <v>1</v>
      </c>
      <c r="FS67" s="29">
        <f>IF(OR($B67="",$A67&lt;37),"",--MID('Key Analysis'!$C63,37,1))</f>
        <v>1</v>
      </c>
      <c r="FT67" s="29">
        <f>IF(OR($B67="",$A67&lt;38),"",--MID('Key Analysis'!$C63,38,1))</f>
        <v>0</v>
      </c>
      <c r="FU67" s="29">
        <f>IF(OR($B67="",$A67&lt;39),"",--MID('Key Analysis'!$C63,39,1))</f>
        <v>0</v>
      </c>
      <c r="FV67" s="29">
        <f>IF(OR($B67="",$A67&lt;40),"",--MID('Key Analysis'!$C63,40,1))</f>
        <v>0</v>
      </c>
      <c r="FW67" s="29">
        <f>IF(OR($B67="",$A67&lt;41),"",--MID('Key Analysis'!$C63,41,1))</f>
        <v>0</v>
      </c>
      <c r="FX67" s="29">
        <f>IF(OR($B67="",$A67&lt;42),"",--MID('Key Analysis'!$C63,42,1))</f>
        <v>1</v>
      </c>
      <c r="FY67" s="29">
        <f>IF(OR($B67="",$A67&lt;43),"",--MID('Key Analysis'!$C63,43,1))</f>
        <v>0</v>
      </c>
      <c r="FZ67" s="29">
        <f>IF(OR($B67="",$A67&lt;44),"",--MID('Key Analysis'!$C63,44,1))</f>
        <v>0</v>
      </c>
      <c r="GA67" s="29">
        <f>IF(OR($B67="",$A67&lt;45),"",--MID('Key Analysis'!$C63,45,1))</f>
        <v>0</v>
      </c>
      <c r="GB67" s="29">
        <f>IF(OR($B67="",$A67&lt;46),"",--MID('Key Analysis'!$C63,46,1))</f>
        <v>1</v>
      </c>
      <c r="GC67" s="29">
        <f>IF(OR($B67="",$A67&lt;47),"",--MID('Key Analysis'!$C63,47,1))</f>
        <v>1</v>
      </c>
      <c r="GD67" s="29">
        <f>IF(OR($B67="",$A67&lt;48),"",--MID('Key Analysis'!$C63,48,1))</f>
        <v>0</v>
      </c>
      <c r="GE67" s="29">
        <f>IF(OR($B67="",$A67&lt;49),"",--MID('Key Analysis'!$C63,49,1))</f>
        <v>1</v>
      </c>
      <c r="GF67" s="29">
        <f>IF(OR($B67="",$A67&lt;50),"",--MID('Key Analysis'!$C63,50,1))</f>
        <v>0</v>
      </c>
      <c r="GG67" s="29">
        <f>IF(OR($B67="",$A67&lt;51),"",--MID('Key Analysis'!$C63,51,1))</f>
        <v>1</v>
      </c>
      <c r="GH67" s="29">
        <f>IF(OR($B67="",$A67&lt;52),"",--MID('Key Analysis'!$C63,52,1))</f>
        <v>0</v>
      </c>
      <c r="GI67" s="29">
        <f>IF(OR($B67="",$A67&lt;53),"",--MID('Key Analysis'!$C63,53,1))</f>
        <v>1</v>
      </c>
      <c r="GJ67" s="29">
        <f>IF(OR($B67="",$A67&lt;54),"",--MID('Key Analysis'!$C63,54,1))</f>
        <v>1</v>
      </c>
      <c r="GK67" s="29">
        <f>IF(OR($B67="",$A67&lt;55),"",--MID('Key Analysis'!$C63,55,1))</f>
        <v>1</v>
      </c>
      <c r="GL67" s="29">
        <f>IF(OR($B67="",$A67&lt;56),"",--MID('Key Analysis'!$C63,56,1))</f>
        <v>1</v>
      </c>
      <c r="GM67" s="29">
        <f>IF(OR($B67="",$A67&lt;57),"",--MID('Key Analysis'!$C63,57,1))</f>
        <v>1</v>
      </c>
      <c r="GN67" s="29">
        <f>IF(OR($B67="",$A67&lt;58),"",--MID('Key Analysis'!$C63,58,1))</f>
        <v>0</v>
      </c>
      <c r="GO67" s="29">
        <f>IF(OR($B67="",$A67&lt;59),"",--MID('Key Analysis'!$C63,59,1))</f>
        <v>1</v>
      </c>
      <c r="GP67" s="29">
        <f>IF(OR($B67="",$A67&lt;60),"",--MID('Key Analysis'!$C63,60,1))</f>
        <v>1</v>
      </c>
      <c r="GQ67" s="29">
        <f>IF(OR($B67="",$A67&lt;61),"",--MID('Key Analysis'!$C63,61,1))</f>
        <v>1</v>
      </c>
      <c r="GR67" s="29">
        <f>IF(OR($B67="",$A67&lt;62),"",--MID('Key Analysis'!$C63,62,1))</f>
        <v>0</v>
      </c>
      <c r="GS67" s="29" t="str">
        <f>IF(OR($B67="",$A67&lt;63),"",--MID('Key Analysis'!$C63,63,1))</f>
        <v/>
      </c>
      <c r="GT67" s="29" t="str">
        <f>IF(OR($B67="",$A67&lt;64),"",--MID('Key Analysis'!$C63,64,1))</f>
        <v/>
      </c>
      <c r="GU67" s="29" t="str">
        <f>IF(OR($B67="",$A67&lt;65),"",--MID('Key Analysis'!$C63,65,1))</f>
        <v/>
      </c>
      <c r="GV67" s="29" t="str">
        <f>IF(OR($B67="",$A67&lt;66),"",--MID('Key Analysis'!$C63,66,1))</f>
        <v/>
      </c>
      <c r="GW67" s="29" t="str">
        <f>IF(OR($B67="",$A67&lt;67),"",--MID('Key Analysis'!$C63,67,1))</f>
        <v/>
      </c>
      <c r="GX67" s="29" t="str">
        <f>IF(OR($B67="",$A67&lt;68),"",--MID('Key Analysis'!$C63,68,1))</f>
        <v/>
      </c>
      <c r="GY67" s="29" t="str">
        <f>IF(OR($B67="",$A67&lt;69),"",--MID('Key Analysis'!$C63,69,1))</f>
        <v/>
      </c>
      <c r="GZ67" s="29" t="str">
        <f>IF(OR($B67="",$A67&lt;70),"",--MID('Key Analysis'!$C63,70,1))</f>
        <v/>
      </c>
      <c r="HA67" s="29" t="str">
        <f>IF(OR($B67="",$A67&lt;71),"",--MID('Key Analysis'!$C63,71,1))</f>
        <v/>
      </c>
      <c r="HB67" s="29" t="str">
        <f>IF(OR($B67="",$A67&lt;72),"",--MID('Key Analysis'!$C63,72,1))</f>
        <v/>
      </c>
      <c r="HC67" s="29" t="str">
        <f>IF(OR($B67="",$A67&lt;73),"",--MID('Key Analysis'!$C63,73,1))</f>
        <v/>
      </c>
      <c r="HD67" s="29" t="str">
        <f>IF(OR($B67="",$A67&lt;74),"",--MID('Key Analysis'!$C63,74,1))</f>
        <v/>
      </c>
      <c r="HE67" s="29" t="str">
        <f>IF(OR($B67="",$A67&lt;75),"",--MID('Key Analysis'!$C63,75,1))</f>
        <v/>
      </c>
      <c r="HF67" s="29" t="str">
        <f>IF(OR($B67="",$A67&lt;76),"",--MID('Key Analysis'!$C63,76,1))</f>
        <v/>
      </c>
      <c r="HG67" s="29" t="str">
        <f>IF(OR($B67="",$A67&lt;77),"",--MID('Key Analysis'!$C63,77,1))</f>
        <v/>
      </c>
      <c r="HH67" s="29" t="str">
        <f>IF(OR($B67="",$A67&lt;78),"",--MID('Key Analysis'!$C63,78,1))</f>
        <v/>
      </c>
      <c r="HI67" s="29" t="str">
        <f>IF(OR($B67="",$A67&lt;79),"",--MID('Key Analysis'!$C63,79,1))</f>
        <v/>
      </c>
      <c r="HJ67" s="29" t="str">
        <f>IF(OR($B67="",$A67&lt;80),"",--MID('Key Analysis'!$C63,80,1))</f>
        <v/>
      </c>
      <c r="HK67" s="29" t="str">
        <f>IF(OR($B67="",$A67&lt;81),"",--MID('Key Analysis'!$C63,81,1))</f>
        <v/>
      </c>
      <c r="HL67" s="29" t="str">
        <f>IF(OR($B67="",$A67&lt;82),"",--MID('Key Analysis'!$C63,82,1))</f>
        <v/>
      </c>
      <c r="HM67" s="29" t="str">
        <f>IF(OR($B67="",$A67&lt;83),"",--MID('Key Analysis'!$C63,83,1))</f>
        <v/>
      </c>
      <c r="HN67" s="29" t="str">
        <f>IF(OR($B67="",$A67&lt;84),"",--MID('Key Analysis'!$C63,84,1))</f>
        <v/>
      </c>
      <c r="HO67" s="29" t="str">
        <f>IF(OR($B67="",$A67&lt;85),"",--MID('Key Analysis'!$C63,85,1))</f>
        <v/>
      </c>
      <c r="HP67" s="29" t="str">
        <f>IF(OR($B67="",$A67&lt;86),"",--MID('Key Analysis'!$C63,86,1))</f>
        <v/>
      </c>
      <c r="HQ67" s="29" t="str">
        <f>IF(OR($B67="",$A67&lt;87),"",--MID('Key Analysis'!$C63,87,1))</f>
        <v/>
      </c>
      <c r="HR67" s="29" t="str">
        <f>IF(OR($B67="",$A67&lt;88),"",--MID('Key Analysis'!$C63,88,1))</f>
        <v/>
      </c>
      <c r="HS67" s="29" t="str">
        <f>IF(OR($B67="",$A67&lt;89),"",--MID('Key Analysis'!$C63,89,1))</f>
        <v/>
      </c>
      <c r="HT67" s="29" t="str">
        <f>IF(OR($B67="",$A67&lt;90),"",--MID('Key Analysis'!$C63,90,1))</f>
        <v/>
      </c>
      <c r="HU67" s="29" t="str">
        <f>IF(OR($B67="",$A67&lt;91),"",--MID('Key Analysis'!$C63,91,1))</f>
        <v/>
      </c>
      <c r="HV67" s="29" t="str">
        <f>IF(OR($B67="",$A67&lt;92),"",--MID('Key Analysis'!$C63,92,1))</f>
        <v/>
      </c>
      <c r="HW67" s="29" t="str">
        <f>IF(OR($B67="",$A67&lt;93),"",--MID('Key Analysis'!$C63,93,1))</f>
        <v/>
      </c>
      <c r="HX67" s="29" t="str">
        <f>IF(OR($B67="",$A67&lt;94),"",--MID('Key Analysis'!$C63,94,1))</f>
        <v/>
      </c>
      <c r="HY67" s="29" t="str">
        <f>IF(OR($B67="",$A67&lt;95),"",--MID('Key Analysis'!$C63,95,1))</f>
        <v/>
      </c>
      <c r="HZ67" s="29" t="str">
        <f>IF(OR($B67="",$A67&lt;96),"",--MID('Key Analysis'!$C63,96,1))</f>
        <v/>
      </c>
      <c r="IA67" s="29" t="str">
        <f>IF(OR($B67="",$A67&lt;97),"",--MID('Key Analysis'!$C63,97,1))</f>
        <v/>
      </c>
      <c r="IB67" s="29" t="str">
        <f>IF(OR($B67="",$A67&lt;98),"",--MID('Key Analysis'!$C63,98,1))</f>
        <v/>
      </c>
      <c r="IC67" s="29" t="str">
        <f>IF(OR($B67="",$A67&lt;99),"",--MID('Key Analysis'!$C63,99,1))</f>
        <v/>
      </c>
      <c r="ID67" s="29" t="str">
        <f>IF(OR($B67="",$A67&lt;100),"",--MID('Key Analysis'!$C63,100,1))</f>
        <v/>
      </c>
      <c r="IE67" s="29" t="str">
        <f>IF(OR($B67="",$A67&lt;101),"",--MID('Key Analysis'!$C63,101,1))</f>
        <v/>
      </c>
      <c r="IF67" s="29" t="str">
        <f>IF(OR($B67="",$A67&lt;102),"",--MID('Key Analysis'!$C63,102,1))</f>
        <v/>
      </c>
      <c r="IG67" s="29" t="str">
        <f>IF(OR($B67="",$A67&lt;103),"",--MID('Key Analysis'!$C63,103,1))</f>
        <v/>
      </c>
      <c r="IH67" s="29" t="str">
        <f>IF(OR($B67="",$A67&lt;104),"",--MID('Key Analysis'!$C63,104,1))</f>
        <v/>
      </c>
      <c r="II67" s="29" t="str">
        <f>IF(OR($B67="",$A67&lt;105),"",--MID('Key Analysis'!$C63,105,1))</f>
        <v/>
      </c>
      <c r="IJ67" s="29" t="str">
        <f>IF(OR($B67="",$A67&lt;106),"",--MID('Key Analysis'!$C63,106,1))</f>
        <v/>
      </c>
      <c r="IK67" s="29" t="str">
        <f>IF(OR($B67="",$A67&lt;107),"",--MID('Key Analysis'!$C63,107,1))</f>
        <v/>
      </c>
      <c r="IL67" s="29" t="str">
        <f>IF(OR($B67="",$A67&lt;108),"",--MID('Key Analysis'!$C63,108,1))</f>
        <v/>
      </c>
      <c r="IM67" s="29" t="str">
        <f>IF(OR($B67="",$A67&lt;109),"",--MID('Key Analysis'!$C63,109,1))</f>
        <v/>
      </c>
      <c r="IN67" s="29" t="str">
        <f>IF(OR($B67="",$A67&lt;110),"",--MID('Key Analysis'!$C63,110,1))</f>
        <v/>
      </c>
      <c r="IO67" s="29" t="str">
        <f>IF(OR($B67="",$A67&lt;111),"",--MID('Key Analysis'!$C63,111,1))</f>
        <v/>
      </c>
      <c r="IP67" s="29" t="str">
        <f>IF(OR($B67="",$A67&lt;112),"",--MID('Key Analysis'!$C63,112,1))</f>
        <v/>
      </c>
      <c r="IQ67" s="29" t="str">
        <f>IF(OR($B67="",$A67&lt;113),"",--MID('Key Analysis'!$C63,113,1))</f>
        <v/>
      </c>
      <c r="IR67" s="29" t="str">
        <f>IF(OR($B67="",$A67&lt;114),"",--MID('Key Analysis'!$C63,114,1))</f>
        <v/>
      </c>
      <c r="IS67" s="29" t="str">
        <f>IF(OR($B67="",$A67&lt;115),"",--MID('Key Analysis'!$C63,115,1))</f>
        <v/>
      </c>
      <c r="IT67" s="29" t="str">
        <f>IF(OR($B67="",$A67&lt;116),"",--MID('Key Analysis'!$C63,116,1))</f>
        <v/>
      </c>
      <c r="IU67" s="29" t="str">
        <f>IF(OR($B67="",$A67&lt;117),"",--MID('Key Analysis'!$C63,117,1))</f>
        <v/>
      </c>
      <c r="IV67" s="29" t="str">
        <f>IF(OR($B67="",$A67&lt;118),"",--MID('Key Analysis'!$C63,118,1))</f>
        <v/>
      </c>
      <c r="IW67" s="29" t="str">
        <f>IF(OR($B67="",$A67&lt;119),"",--MID('Key Analysis'!$C63,119,1))</f>
        <v/>
      </c>
      <c r="IX67" s="29" t="str">
        <f>IF(OR($B67="",$A67&lt;120),"",--MID('Key Analysis'!$C63,120,1))</f>
        <v/>
      </c>
      <c r="IY67" s="29" t="str">
        <f>IF(OR($B67="",$A67&lt;121),"",--MID('Key Analysis'!$C63,121,1))</f>
        <v/>
      </c>
      <c r="IZ67" s="29" t="str">
        <f>IF(OR($B67="",$A67&lt;122),"",--MID('Key Analysis'!$C63,122,1))</f>
        <v/>
      </c>
      <c r="JA67" s="29" t="str">
        <f>IF(OR($B67="",$A67&lt;123),"",--MID('Key Analysis'!$C63,123,1))</f>
        <v/>
      </c>
      <c r="JB67" s="29" t="str">
        <f>IF(OR($B67="",$A67&lt;124),"",--MID('Key Analysis'!$C63,124,1))</f>
        <v/>
      </c>
      <c r="JC67" s="29" t="str">
        <f>IF(OR($B67="",$A67&lt;125),"",--MID('Key Analysis'!$C63,125,1))</f>
        <v/>
      </c>
      <c r="JD67" s="29" t="str">
        <f>IF(OR($B67="",$A67&lt;126),"",--MID('Key Analysis'!$C63,126,1))</f>
        <v/>
      </c>
      <c r="JE67" s="29" t="str">
        <f>IF(OR($B67="",$A67&lt;127),"",--MID('Key Analysis'!$C63,127,1))</f>
        <v/>
      </c>
      <c r="JF67" s="29" t="str">
        <f>IF(OR($B67="",$A67&lt;128),"",--MID('Key Analysis'!$C63,128,1))</f>
        <v/>
      </c>
      <c r="JG67" s="29" t="str">
        <f>IF(OR($B67="",$A67&lt;129),"",--MID('Key Analysis'!$C63,129,1))</f>
        <v/>
      </c>
      <c r="JH67" s="29" t="str">
        <f>IF(OR($B67="",$A67&lt;130),"",--MID('Key Analysis'!$C63,130,1))</f>
        <v/>
      </c>
      <c r="JI67" s="29" t="str">
        <f>IF(OR($B67="",$A67&lt;131),"",--MID('Key Analysis'!$C63,131,1))</f>
        <v/>
      </c>
      <c r="JJ67" s="29" t="str">
        <f>IF(OR($B67="",$A67&lt;132),"",--MID('Key Analysis'!$C63,132,1))</f>
        <v/>
      </c>
      <c r="JK67" s="29" t="str">
        <f>IF(OR($B67="",$A67&lt;133),"",--MID('Key Analysis'!$C63,133,1))</f>
        <v/>
      </c>
      <c r="JL67" s="29" t="str">
        <f>IF(OR($B67="",$A67&lt;134),"",--MID('Key Analysis'!$C63,134,1))</f>
        <v/>
      </c>
      <c r="JM67" s="29" t="str">
        <f>IF(OR($B67="",$A67&lt;135),"",--MID('Key Analysis'!$C63,135,1))</f>
        <v/>
      </c>
    </row>
    <row r="68" spans="1:273" x14ac:dyDescent="0.25">
      <c r="A68" s="21">
        <f>'Key Analysis'!A64</f>
        <v>63</v>
      </c>
      <c r="B68" s="30" t="str">
        <f>'Key Analysis'!B64</f>
        <v>7cce5efdaccf6808</v>
      </c>
      <c r="C68" s="29">
        <f>IF(OR($B68="",$A68&lt;=0),"",--MID('Key Analysis'!$C64,$A68-0,1))</f>
        <v>0</v>
      </c>
      <c r="D68" s="29">
        <f>IF(OR($B68="",$A68&lt;=1),"",--MID('Key Analysis'!$C64,$A68-1,1))</f>
        <v>0</v>
      </c>
      <c r="E68" s="29">
        <f>IF(OR($B68="",$A68&lt;=2),"",--MID('Key Analysis'!$C64,$A68-2,1))</f>
        <v>0</v>
      </c>
      <c r="F68" s="29">
        <f>IF(OR($B68="",$A68&lt;=3),"",--MID('Key Analysis'!$C64,$A68-3,1))</f>
        <v>1</v>
      </c>
      <c r="G68" s="29">
        <f>IF(OR($B68="",$A68&lt;=4),"",--MID('Key Analysis'!$C64,$A68-4,1))</f>
        <v>0</v>
      </c>
      <c r="H68" s="29">
        <f>IF(OR($B68="",$A68&lt;=5),"",--MID('Key Analysis'!$C64,$A68-5,1))</f>
        <v>0</v>
      </c>
      <c r="I68" s="29">
        <f>IF(OR($B68="",$A68&lt;=6),"",--MID('Key Analysis'!$C64,$A68-6,1))</f>
        <v>0</v>
      </c>
      <c r="J68" s="29">
        <f>IF(OR($B68="",$A68&lt;=7),"",--MID('Key Analysis'!$C64,$A68-7,1))</f>
        <v>0</v>
      </c>
      <c r="K68" s="29">
        <f>IF(OR($B68="",$A68&lt;=8),"",--MID('Key Analysis'!$C64,$A68-8,1))</f>
        <v>0</v>
      </c>
      <c r="L68" s="29">
        <f>IF(OR($B68="",$A68&lt;=9),"",--MID('Key Analysis'!$C64,$A68-9,1))</f>
        <v>0</v>
      </c>
      <c r="M68" s="29">
        <f>IF(OR($B68="",$A68&lt;=10),"",--MID('Key Analysis'!$C64,$A68-10,1))</f>
        <v>0</v>
      </c>
      <c r="N68" s="29">
        <f>IF(OR($B68="",$A68&lt;=11),"",--MID('Key Analysis'!$C64,$A68-11,1))</f>
        <v>1</v>
      </c>
      <c r="O68" s="29">
        <f>IF(OR($B68="",$A68&lt;=12),"",--MID('Key Analysis'!$C64,$A68-12,1))</f>
        <v>0</v>
      </c>
      <c r="P68" s="29">
        <f>IF(OR($B68="",$A68&lt;=13),"",--MID('Key Analysis'!$C64,$A68-13,1))</f>
        <v>1</v>
      </c>
      <c r="Q68" s="29">
        <f>IF(OR($B68="",$A68&lt;=14),"",--MID('Key Analysis'!$C64,$A68-14,1))</f>
        <v>1</v>
      </c>
      <c r="R68" s="29">
        <f>IF(OR($B68="",$A68&lt;=15),"",--MID('Key Analysis'!$C64,$A68-15,1))</f>
        <v>0</v>
      </c>
      <c r="S68" s="29">
        <f>IF(OR($B68="",$A68&lt;=16),"",--MID('Key Analysis'!$C64,$A68-16,1))</f>
        <v>1</v>
      </c>
      <c r="T68" s="29">
        <f>IF(OR($B68="",$A68&lt;=17),"",--MID('Key Analysis'!$C64,$A68-17,1))</f>
        <v>1</v>
      </c>
      <c r="U68" s="29">
        <f>IF(OR($B68="",$A68&lt;=18),"",--MID('Key Analysis'!$C64,$A68-18,1))</f>
        <v>1</v>
      </c>
      <c r="V68" s="29">
        <f>IF(OR($B68="",$A68&lt;=19),"",--MID('Key Analysis'!$C64,$A68-19,1))</f>
        <v>1</v>
      </c>
      <c r="W68" s="29">
        <f>IF(OR($B68="",$A68&lt;=20),"",--MID('Key Analysis'!$C64,$A68-20,1))</f>
        <v>0</v>
      </c>
      <c r="X68" s="29">
        <f>IF(OR($B68="",$A68&lt;=21),"",--MID('Key Analysis'!$C64,$A68-21,1))</f>
        <v>0</v>
      </c>
      <c r="Y68" s="29">
        <f>IF(OR($B68="",$A68&lt;=22),"",--MID('Key Analysis'!$C64,$A68-22,1))</f>
        <v>1</v>
      </c>
      <c r="Z68" s="29">
        <f>IF(OR($B68="",$A68&lt;=23),"",--MID('Key Analysis'!$C64,$A68-23,1))</f>
        <v>1</v>
      </c>
      <c r="AA68" s="29">
        <f>IF(OR($B68="",$A68&lt;=24),"",--MID('Key Analysis'!$C64,$A68-24,1))</f>
        <v>0</v>
      </c>
      <c r="AB68" s="29">
        <f>IF(OR($B68="",$A68&lt;=25),"",--MID('Key Analysis'!$C64,$A68-25,1))</f>
        <v>0</v>
      </c>
      <c r="AC68" s="29">
        <f>IF(OR($B68="",$A68&lt;=26),"",--MID('Key Analysis'!$C64,$A68-26,1))</f>
        <v>1</v>
      </c>
      <c r="AD68" s="29">
        <f>IF(OR($B68="",$A68&lt;=27),"",--MID('Key Analysis'!$C64,$A68-27,1))</f>
        <v>1</v>
      </c>
      <c r="AE68" s="29">
        <f>IF(OR($B68="",$A68&lt;=28),"",--MID('Key Analysis'!$C64,$A68-28,1))</f>
        <v>0</v>
      </c>
      <c r="AF68" s="29">
        <f>IF(OR($B68="",$A68&lt;=29),"",--MID('Key Analysis'!$C64,$A68-29,1))</f>
        <v>1</v>
      </c>
      <c r="AG68" s="29">
        <f>IF(OR($B68="",$A68&lt;=30),"",--MID('Key Analysis'!$C64,$A68-30,1))</f>
        <v>0</v>
      </c>
      <c r="AH68" s="29">
        <f>IF(OR($B68="",$A68&lt;=31),"",--MID('Key Analysis'!$C64,$A68-31,1))</f>
        <v>1</v>
      </c>
      <c r="AI68" s="29">
        <f>IF(OR($B68="",$A68&lt;=32),"",--MID('Key Analysis'!$C64,$A68-32,1))</f>
        <v>1</v>
      </c>
      <c r="AJ68" s="29">
        <f>IF(OR($B68="",$A68&lt;=33),"",--MID('Key Analysis'!$C64,$A68-33,1))</f>
        <v>0</v>
      </c>
      <c r="AK68" s="29">
        <f>IF(OR($B68="",$A68&lt;=34),"",--MID('Key Analysis'!$C64,$A68-34,1))</f>
        <v>1</v>
      </c>
      <c r="AL68" s="29">
        <f>IF(OR($B68="",$A68&lt;=35),"",--MID('Key Analysis'!$C64,$A68-35,1))</f>
        <v>1</v>
      </c>
      <c r="AM68" s="29">
        <f>IF(OR($B68="",$A68&lt;=36),"",--MID('Key Analysis'!$C64,$A68-36,1))</f>
        <v>1</v>
      </c>
      <c r="AN68" s="29">
        <f>IF(OR($B68="",$A68&lt;=37),"",--MID('Key Analysis'!$C64,$A68-37,1))</f>
        <v>1</v>
      </c>
      <c r="AO68" s="29">
        <f>IF(OR($B68="",$A68&lt;=38),"",--MID('Key Analysis'!$C64,$A68-38,1))</f>
        <v>1</v>
      </c>
      <c r="AP68" s="29">
        <f>IF(OR($B68="",$A68&lt;=39),"",--MID('Key Analysis'!$C64,$A68-39,1))</f>
        <v>1</v>
      </c>
      <c r="AQ68" s="29">
        <f>IF(OR($B68="",$A68&lt;=40),"",--MID('Key Analysis'!$C64,$A68-40,1))</f>
        <v>0</v>
      </c>
      <c r="AR68" s="29">
        <f>IF(OR($B68="",$A68&lt;=41),"",--MID('Key Analysis'!$C64,$A68-41,1))</f>
        <v>1</v>
      </c>
      <c r="AS68" s="29">
        <f>IF(OR($B68="",$A68&lt;=42),"",--MID('Key Analysis'!$C64,$A68-42,1))</f>
        <v>1</v>
      </c>
      <c r="AT68" s="29">
        <f>IF(OR($B68="",$A68&lt;=43),"",--MID('Key Analysis'!$C64,$A68-43,1))</f>
        <v>1</v>
      </c>
      <c r="AU68" s="29">
        <f>IF(OR($B68="",$A68&lt;=44),"",--MID('Key Analysis'!$C64,$A68-44,1))</f>
        <v>1</v>
      </c>
      <c r="AV68" s="29">
        <f>IF(OR($B68="",$A68&lt;=45),"",--MID('Key Analysis'!$C64,$A68-45,1))</f>
        <v>0</v>
      </c>
      <c r="AW68" s="29">
        <f>IF(OR($B68="",$A68&lt;=46),"",--MID('Key Analysis'!$C64,$A68-46,1))</f>
        <v>1</v>
      </c>
      <c r="AX68" s="29">
        <f>IF(OR($B68="",$A68&lt;=47),"",--MID('Key Analysis'!$C64,$A68-47,1))</f>
        <v>0</v>
      </c>
      <c r="AY68" s="29">
        <f>IF(OR($B68="",$A68&lt;=48),"",--MID('Key Analysis'!$C64,$A68-48,1))</f>
        <v>0</v>
      </c>
      <c r="AZ68" s="29">
        <f>IF(OR($B68="",$A68&lt;=49),"",--MID('Key Analysis'!$C64,$A68-49,1))</f>
        <v>1</v>
      </c>
      <c r="BA68" s="29">
        <f>IF(OR($B68="",$A68&lt;=50),"",--MID('Key Analysis'!$C64,$A68-50,1))</f>
        <v>1</v>
      </c>
      <c r="BB68" s="29">
        <f>IF(OR($B68="",$A68&lt;=51),"",--MID('Key Analysis'!$C64,$A68-51,1))</f>
        <v>1</v>
      </c>
      <c r="BC68" s="29">
        <f>IF(OR($B68="",$A68&lt;=52),"",--MID('Key Analysis'!$C64,$A68-52,1))</f>
        <v>0</v>
      </c>
      <c r="BD68" s="29">
        <f>IF(OR($B68="",$A68&lt;=53),"",--MID('Key Analysis'!$C64,$A68-53,1))</f>
        <v>0</v>
      </c>
      <c r="BE68" s="29">
        <f>IF(OR($B68="",$A68&lt;=54),"",--MID('Key Analysis'!$C64,$A68-54,1))</f>
        <v>1</v>
      </c>
      <c r="BF68" s="29">
        <f>IF(OR($B68="",$A68&lt;=55),"",--MID('Key Analysis'!$C64,$A68-55,1))</f>
        <v>1</v>
      </c>
      <c r="BG68" s="29">
        <f>IF(OR($B68="",$A68&lt;=56),"",--MID('Key Analysis'!$C64,$A68-56,1))</f>
        <v>0</v>
      </c>
      <c r="BH68" s="29">
        <f>IF(OR($B68="",$A68&lt;=57),"",--MID('Key Analysis'!$C64,$A68-57,1))</f>
        <v>0</v>
      </c>
      <c r="BI68" s="29">
        <f>IF(OR($B68="",$A68&lt;=58),"",--MID('Key Analysis'!$C64,$A68-58,1))</f>
        <v>1</v>
      </c>
      <c r="BJ68" s="29">
        <f>IF(OR($B68="",$A68&lt;=59),"",--MID('Key Analysis'!$C64,$A68-59,1))</f>
        <v>1</v>
      </c>
      <c r="BK68" s="29">
        <f>IF(OR($B68="",$A68&lt;=60),"",--MID('Key Analysis'!$C64,$A68-60,1))</f>
        <v>1</v>
      </c>
      <c r="BL68" s="29">
        <f>IF(OR($B68="",$A68&lt;=61),"",--MID('Key Analysis'!$C64,$A68-61,1))</f>
        <v>1</v>
      </c>
      <c r="BM68" s="29">
        <f>IF(OR($B68="",$A68&lt;=62),"",--MID('Key Analysis'!$C64,$A68-62,1))</f>
        <v>1</v>
      </c>
      <c r="BN68" s="29" t="str">
        <f>IF(OR($B68="",$A68&lt;=63),"",--MID('Key Analysis'!$C64,$A68-63,1))</f>
        <v/>
      </c>
      <c r="BO68" s="29" t="str">
        <f>IF(OR($B68="",$A68&lt;=64),"",--MID('Key Analysis'!$C64,$A68-64,1))</f>
        <v/>
      </c>
      <c r="BP68" s="29" t="str">
        <f>IF(OR($B68="",$A68&lt;=65),"",--MID('Key Analysis'!$C64,$A68-65,1))</f>
        <v/>
      </c>
      <c r="BQ68" s="29" t="str">
        <f>IF(OR($B68="",$A68&lt;=66),"",--MID('Key Analysis'!$C64,$A68-66,1))</f>
        <v/>
      </c>
      <c r="BR68" s="29" t="str">
        <f>IF(OR($B68="",$A68&lt;=67),"",--MID('Key Analysis'!$C64,$A68-67,1))</f>
        <v/>
      </c>
      <c r="BS68" s="29" t="str">
        <f>IF(OR($B68="",$A68&lt;=68),"",--MID('Key Analysis'!$C64,$A68-68,1))</f>
        <v/>
      </c>
      <c r="BT68" s="29" t="str">
        <f>IF(OR($B68="",$A68&lt;=69),"",--MID('Key Analysis'!$C64,$A68-69,1))</f>
        <v/>
      </c>
      <c r="BU68" s="29" t="str">
        <f>IF(OR($B68="",$A68&lt;=70),"",--MID('Key Analysis'!$C64,$A68-70,1))</f>
        <v/>
      </c>
      <c r="BV68" s="29" t="str">
        <f>IF(OR($B68="",$A68&lt;=71),"",--MID('Key Analysis'!$C64,$A68-71,1))</f>
        <v/>
      </c>
      <c r="BW68" s="29" t="str">
        <f>IF(OR($B68="",$A68&lt;=72),"",--MID('Key Analysis'!$C64,$A68-72,1))</f>
        <v/>
      </c>
      <c r="BX68" s="29" t="str">
        <f>IF(OR($B68="",$A68&lt;=73),"",--MID('Key Analysis'!$C64,$A68-73,1))</f>
        <v/>
      </c>
      <c r="BY68" s="29" t="str">
        <f>IF(OR($B68="",$A68&lt;=74),"",--MID('Key Analysis'!$C64,$A68-74,1))</f>
        <v/>
      </c>
      <c r="BZ68" s="29" t="str">
        <f>IF(OR($B68="",$A68&lt;=75),"",--MID('Key Analysis'!$C64,$A68-75,1))</f>
        <v/>
      </c>
      <c r="CA68" s="29" t="str">
        <f>IF(OR($B68="",$A68&lt;=76),"",--MID('Key Analysis'!$C64,$A68-76,1))</f>
        <v/>
      </c>
      <c r="CB68" s="29" t="str">
        <f>IF(OR($B68="",$A68&lt;=77),"",--MID('Key Analysis'!$C64,$A68-77,1))</f>
        <v/>
      </c>
      <c r="CC68" s="29" t="str">
        <f>IF(OR($B68="",$A68&lt;=78),"",--MID('Key Analysis'!$C64,$A68-78,1))</f>
        <v/>
      </c>
      <c r="CD68" s="29" t="str">
        <f>IF(OR($B68="",$A68&lt;=79),"",--MID('Key Analysis'!$C64,$A68-79,1))</f>
        <v/>
      </c>
      <c r="CE68" s="29" t="str">
        <f>IF(OR($B68="",$A68&lt;=80),"",--MID('Key Analysis'!$C64,$A68-80,1))</f>
        <v/>
      </c>
      <c r="CF68" s="29" t="str">
        <f>IF(OR($B68="",$A68&lt;=81),"",--MID('Key Analysis'!$C64,$A68-81,1))</f>
        <v/>
      </c>
      <c r="CG68" s="29" t="str">
        <f>IF(OR($B68="",$A68&lt;=82),"",--MID('Key Analysis'!$C64,$A68-82,1))</f>
        <v/>
      </c>
      <c r="CH68" s="29" t="str">
        <f>IF(OR($B68="",$A68&lt;=83),"",--MID('Key Analysis'!$C64,$A68-83,1))</f>
        <v/>
      </c>
      <c r="CI68" s="29" t="str">
        <f>IF(OR($B68="",$A68&lt;=84),"",--MID('Key Analysis'!$C64,$A68-84,1))</f>
        <v/>
      </c>
      <c r="CJ68" s="29" t="str">
        <f>IF(OR($B68="",$A68&lt;=85),"",--MID('Key Analysis'!$C64,$A68-85,1))</f>
        <v/>
      </c>
      <c r="CK68" s="29" t="str">
        <f>IF(OR($B68="",$A68&lt;=86),"",--MID('Key Analysis'!$C64,$A68-86,1))</f>
        <v/>
      </c>
      <c r="CL68" s="29" t="str">
        <f>IF(OR($B68="",$A68&lt;=87),"",--MID('Key Analysis'!$C64,$A68-87,1))</f>
        <v/>
      </c>
      <c r="CM68" s="29" t="str">
        <f>IF(OR($B68="",$A68&lt;=88),"",--MID('Key Analysis'!$C64,$A68-88,1))</f>
        <v/>
      </c>
      <c r="CN68" s="29" t="str">
        <f>IF(OR($B68="",$A68&lt;=89),"",--MID('Key Analysis'!$C64,$A68-89,1))</f>
        <v/>
      </c>
      <c r="CO68" s="29" t="str">
        <f>IF(OR($B68="",$A68&lt;=90),"",--MID('Key Analysis'!$C64,$A68-90,1))</f>
        <v/>
      </c>
      <c r="CP68" s="29" t="str">
        <f>IF(OR($B68="",$A68&lt;=91),"",--MID('Key Analysis'!$C64,$A68-91,1))</f>
        <v/>
      </c>
      <c r="CQ68" s="29" t="str">
        <f>IF(OR($B68="",$A68&lt;=92),"",--MID('Key Analysis'!$C64,$A68-92,1))</f>
        <v/>
      </c>
      <c r="CR68" s="29" t="str">
        <f>IF(OR($B68="",$A68&lt;=93),"",--MID('Key Analysis'!$C64,$A68-93,1))</f>
        <v/>
      </c>
      <c r="CS68" s="29" t="str">
        <f>IF(OR($B68="",$A68&lt;=94),"",--MID('Key Analysis'!$C64,$A68-94,1))</f>
        <v/>
      </c>
      <c r="CT68" s="29" t="str">
        <f>IF(OR($B68="",$A68&lt;=95),"",--MID('Key Analysis'!$C64,$A68-95,1))</f>
        <v/>
      </c>
      <c r="CU68" s="29" t="str">
        <f>IF(OR($B68="",$A68&lt;=96),"",--MID('Key Analysis'!$C64,$A68-96,1))</f>
        <v/>
      </c>
      <c r="CV68" s="29" t="str">
        <f>IF(OR($B68="",$A68&lt;=97),"",--MID('Key Analysis'!$C64,$A68-97,1))</f>
        <v/>
      </c>
      <c r="CW68" s="29" t="str">
        <f>IF(OR($B68="",$A68&lt;=98),"",--MID('Key Analysis'!$C64,$A68-98,1))</f>
        <v/>
      </c>
      <c r="CX68" s="29" t="str">
        <f>IF(OR($B68="",$A68&lt;=99),"",--MID('Key Analysis'!$C64,$A68-99,1))</f>
        <v/>
      </c>
      <c r="CY68" s="29" t="str">
        <f>IF(OR($B68="",$A68&lt;=100),"",--MID('Key Analysis'!$C64,$A68-100,1))</f>
        <v/>
      </c>
      <c r="CZ68" s="29" t="str">
        <f>IF(OR($B68="",$A68&lt;=101),"",--MID('Key Analysis'!$C64,$A68-101,1))</f>
        <v/>
      </c>
      <c r="DA68" s="29" t="str">
        <f>IF(OR($B68="",$A68&lt;=102),"",--MID('Key Analysis'!$C64,$A68-102,1))</f>
        <v/>
      </c>
      <c r="DB68" s="29" t="str">
        <f>IF(OR($B68="",$A68&lt;=103),"",--MID('Key Analysis'!$C64,$A68-103,1))</f>
        <v/>
      </c>
      <c r="DC68" s="29" t="str">
        <f>IF(OR($B68="",$A68&lt;=104),"",--MID('Key Analysis'!$C64,$A68-104,1))</f>
        <v/>
      </c>
      <c r="DD68" s="29" t="str">
        <f>IF(OR($B68="",$A68&lt;=105),"",--MID('Key Analysis'!$C64,$A68-105,1))</f>
        <v/>
      </c>
      <c r="DE68" s="29" t="str">
        <f>IF(OR($B68="",$A68&lt;=106),"",--MID('Key Analysis'!$C64,$A68-106,1))</f>
        <v/>
      </c>
      <c r="DF68" s="29" t="str">
        <f>IF(OR($B68="",$A68&lt;=107),"",--MID('Key Analysis'!$C64,$A68-107,1))</f>
        <v/>
      </c>
      <c r="DG68" s="29" t="str">
        <f>IF(OR($B68="",$A68&lt;=108),"",--MID('Key Analysis'!$C64,$A68-108,1))</f>
        <v/>
      </c>
      <c r="DH68" s="29" t="str">
        <f>IF(OR($B68="",$A68&lt;=109),"",--MID('Key Analysis'!$C64,$A68-109,1))</f>
        <v/>
      </c>
      <c r="DI68" s="29" t="str">
        <f>IF(OR($B68="",$A68&lt;=110),"",--MID('Key Analysis'!$C64,$A68-110,1))</f>
        <v/>
      </c>
      <c r="DJ68" s="29" t="str">
        <f>IF(OR($B68="",$A68&lt;=111),"",--MID('Key Analysis'!$C64,$A68-111,1))</f>
        <v/>
      </c>
      <c r="DK68" s="29" t="str">
        <f>IF(OR($B68="",$A68&lt;=112),"",--MID('Key Analysis'!$C64,$A68-112,1))</f>
        <v/>
      </c>
      <c r="DL68" s="29" t="str">
        <f>IF(OR($B68="",$A68&lt;=113),"",--MID('Key Analysis'!$C64,$A68-113,1))</f>
        <v/>
      </c>
      <c r="DM68" s="29" t="str">
        <f>IF(OR($B68="",$A68&lt;=114),"",--MID('Key Analysis'!$C64,$A68-114,1))</f>
        <v/>
      </c>
      <c r="DN68" s="29" t="str">
        <f>IF(OR($B68="",$A68&lt;=115),"",--MID('Key Analysis'!$C64,$A68-115,1))</f>
        <v/>
      </c>
      <c r="DO68" s="29" t="str">
        <f>IF(OR($B68="",$A68&lt;=116),"",--MID('Key Analysis'!$C64,$A68-116,1))</f>
        <v/>
      </c>
      <c r="DP68" s="29" t="str">
        <f>IF(OR($B68="",$A68&lt;=117),"",--MID('Key Analysis'!$C64,$A68-117,1))</f>
        <v/>
      </c>
      <c r="DQ68" s="29" t="str">
        <f>IF(OR($B68="",$A68&lt;=118),"",--MID('Key Analysis'!$C64,$A68-118,1))</f>
        <v/>
      </c>
      <c r="DR68" s="29" t="str">
        <f>IF(OR($B68="",$A68&lt;=119),"",--MID('Key Analysis'!$C64,$A68-119,1))</f>
        <v/>
      </c>
      <c r="DS68" s="29" t="str">
        <f>IF(OR($B68="",$A68&lt;=120),"",--MID('Key Analysis'!$C64,$A68-120,1))</f>
        <v/>
      </c>
      <c r="DT68" s="29" t="str">
        <f>IF(OR($B68="",$A68&lt;=121),"",--MID('Key Analysis'!$C64,$A68-121,1))</f>
        <v/>
      </c>
      <c r="DU68" s="29" t="str">
        <f>IF(OR($B68="",$A68&lt;=122),"",--MID('Key Analysis'!$C64,$A68-122,1))</f>
        <v/>
      </c>
      <c r="DV68" s="29" t="str">
        <f>IF(OR($B68="",$A68&lt;=123),"",--MID('Key Analysis'!$C64,$A68-123,1))</f>
        <v/>
      </c>
      <c r="DW68" s="29" t="str">
        <f>IF(OR($B68="",$A68&lt;=124),"",--MID('Key Analysis'!$C64,$A68-124,1))</f>
        <v/>
      </c>
      <c r="DX68" s="29" t="str">
        <f>IF(OR($B68="",$A68&lt;=125),"",--MID('Key Analysis'!$C64,$A68-125,1))</f>
        <v/>
      </c>
      <c r="DY68" s="29" t="str">
        <f>IF(OR($B68="",$A68&lt;=126),"",--MID('Key Analysis'!$C64,$A68-126,1))</f>
        <v/>
      </c>
      <c r="DZ68" s="29" t="str">
        <f>IF(OR($B68="",$A68&lt;=127),"",--MID('Key Analysis'!$C64,$A68-127,1))</f>
        <v/>
      </c>
      <c r="EA68" s="29" t="str">
        <f>IF(OR($B68="",$A68&lt;=128),"",--MID('Key Analysis'!$C64,$A68-128,1))</f>
        <v/>
      </c>
      <c r="EB68" s="29" t="str">
        <f>IF(OR($B68="",$A68&lt;=129),"",--MID('Key Analysis'!$C64,$A68-129,1))</f>
        <v/>
      </c>
      <c r="EC68" s="29" t="str">
        <f>IF(OR($B68="",$A68&lt;=130),"",--MID('Key Analysis'!$C64,$A68-130,1))</f>
        <v/>
      </c>
      <c r="ED68" s="29" t="str">
        <f>IF(OR($B68="",$A68&lt;=131),"",--MID('Key Analysis'!$C64,$A68-131,1))</f>
        <v/>
      </c>
      <c r="EE68" s="29" t="str">
        <f>IF(OR($B68="",$A68&lt;=132),"",--MID('Key Analysis'!$C64,$A68-132,1))</f>
        <v/>
      </c>
      <c r="EF68" s="29" t="str">
        <f>IF(OR($B68="",$A68&lt;=133),"",--MID('Key Analysis'!$C64,$A68-133,1))</f>
        <v/>
      </c>
      <c r="EG68" s="29" t="str">
        <f>IF(OR($B68="",$A68&lt;=134),"",--MID('Key Analysis'!$C64,$A68-134,1))</f>
        <v/>
      </c>
      <c r="EH68" s="29"/>
      <c r="EI68" s="29">
        <f>IF(OR($B68="",$A68&lt;1),"",--MID('Key Analysis'!$C64,1,1))</f>
        <v>1</v>
      </c>
      <c r="EJ68" s="29">
        <f>IF(OR($B68="",$A68&lt;2),"",--MID('Key Analysis'!$C64,2,1))</f>
        <v>1</v>
      </c>
      <c r="EK68" s="29">
        <f>IF(OR($B68="",$A68&lt;3),"",--MID('Key Analysis'!$C64,3,1))</f>
        <v>1</v>
      </c>
      <c r="EL68" s="29">
        <f>IF(OR($B68="",$A68&lt;4),"",--MID('Key Analysis'!$C64,4,1))</f>
        <v>1</v>
      </c>
      <c r="EM68" s="29">
        <f>IF(OR($B68="",$A68&lt;5),"",--MID('Key Analysis'!$C64,5,1))</f>
        <v>1</v>
      </c>
      <c r="EN68" s="29">
        <f>IF(OR($B68="",$A68&lt;6),"",--MID('Key Analysis'!$C64,6,1))</f>
        <v>0</v>
      </c>
      <c r="EO68" s="29">
        <f>IF(OR($B68="",$A68&lt;7),"",--MID('Key Analysis'!$C64,7,1))</f>
        <v>0</v>
      </c>
      <c r="EP68" s="29">
        <f>IF(OR($B68="",$A68&lt;8),"",--MID('Key Analysis'!$C64,8,1))</f>
        <v>1</v>
      </c>
      <c r="EQ68" s="29">
        <f>IF(OR($B68="",$A68&lt;9),"",--MID('Key Analysis'!$C64,9,1))</f>
        <v>1</v>
      </c>
      <c r="ER68" s="29">
        <f>IF(OR($B68="",$A68&lt;10),"",--MID('Key Analysis'!$C64,10,1))</f>
        <v>0</v>
      </c>
      <c r="ES68" s="29">
        <f>IF(OR($B68="",$A68&lt;11),"",--MID('Key Analysis'!$C64,11,1))</f>
        <v>0</v>
      </c>
      <c r="ET68" s="29">
        <f>IF(OR($B68="",$A68&lt;12),"",--MID('Key Analysis'!$C64,12,1))</f>
        <v>1</v>
      </c>
      <c r="EU68" s="29">
        <f>IF(OR($B68="",$A68&lt;13),"",--MID('Key Analysis'!$C64,13,1))</f>
        <v>1</v>
      </c>
      <c r="EV68" s="29">
        <f>IF(OR($B68="",$A68&lt;14),"",--MID('Key Analysis'!$C64,14,1))</f>
        <v>1</v>
      </c>
      <c r="EW68" s="29">
        <f>IF(OR($B68="",$A68&lt;15),"",--MID('Key Analysis'!$C64,15,1))</f>
        <v>0</v>
      </c>
      <c r="EX68" s="29">
        <f>IF(OR($B68="",$A68&lt;16),"",--MID('Key Analysis'!$C64,16,1))</f>
        <v>0</v>
      </c>
      <c r="EY68" s="29">
        <f>IF(OR($B68="",$A68&lt;17),"",--MID('Key Analysis'!$C64,17,1))</f>
        <v>1</v>
      </c>
      <c r="EZ68" s="29">
        <f>IF(OR($B68="",$A68&lt;18),"",--MID('Key Analysis'!$C64,18,1))</f>
        <v>0</v>
      </c>
      <c r="FA68" s="29">
        <f>IF(OR($B68="",$A68&lt;19),"",--MID('Key Analysis'!$C64,19,1))</f>
        <v>1</v>
      </c>
      <c r="FB68" s="29">
        <f>IF(OR($B68="",$A68&lt;20),"",--MID('Key Analysis'!$C64,20,1))</f>
        <v>1</v>
      </c>
      <c r="FC68" s="29">
        <f>IF(OR($B68="",$A68&lt;21),"",--MID('Key Analysis'!$C64,21,1))</f>
        <v>1</v>
      </c>
      <c r="FD68" s="29">
        <f>IF(OR($B68="",$A68&lt;22),"",--MID('Key Analysis'!$C64,22,1))</f>
        <v>1</v>
      </c>
      <c r="FE68" s="29">
        <f>IF(OR($B68="",$A68&lt;23),"",--MID('Key Analysis'!$C64,23,1))</f>
        <v>0</v>
      </c>
      <c r="FF68" s="29">
        <f>IF(OR($B68="",$A68&lt;24),"",--MID('Key Analysis'!$C64,24,1))</f>
        <v>1</v>
      </c>
      <c r="FG68" s="29">
        <f>IF(OR($B68="",$A68&lt;25),"",--MID('Key Analysis'!$C64,25,1))</f>
        <v>1</v>
      </c>
      <c r="FH68" s="29">
        <f>IF(OR($B68="",$A68&lt;26),"",--MID('Key Analysis'!$C64,26,1))</f>
        <v>1</v>
      </c>
      <c r="FI68" s="29">
        <f>IF(OR($B68="",$A68&lt;27),"",--MID('Key Analysis'!$C64,27,1))</f>
        <v>1</v>
      </c>
      <c r="FJ68" s="29">
        <f>IF(OR($B68="",$A68&lt;28),"",--MID('Key Analysis'!$C64,28,1))</f>
        <v>1</v>
      </c>
      <c r="FK68" s="29">
        <f>IF(OR($B68="",$A68&lt;29),"",--MID('Key Analysis'!$C64,29,1))</f>
        <v>1</v>
      </c>
      <c r="FL68" s="29">
        <f>IF(OR($B68="",$A68&lt;30),"",--MID('Key Analysis'!$C64,30,1))</f>
        <v>0</v>
      </c>
      <c r="FM68" s="29">
        <f>IF(OR($B68="",$A68&lt;31),"",--MID('Key Analysis'!$C64,31,1))</f>
        <v>1</v>
      </c>
      <c r="FN68" s="29">
        <f>IF(OR($B68="",$A68&lt;32),"",--MID('Key Analysis'!$C64,32,1))</f>
        <v>1</v>
      </c>
      <c r="FO68" s="29">
        <f>IF(OR($B68="",$A68&lt;33),"",--MID('Key Analysis'!$C64,33,1))</f>
        <v>0</v>
      </c>
      <c r="FP68" s="29">
        <f>IF(OR($B68="",$A68&lt;34),"",--MID('Key Analysis'!$C64,34,1))</f>
        <v>1</v>
      </c>
      <c r="FQ68" s="29">
        <f>IF(OR($B68="",$A68&lt;35),"",--MID('Key Analysis'!$C64,35,1))</f>
        <v>0</v>
      </c>
      <c r="FR68" s="29">
        <f>IF(OR($B68="",$A68&lt;36),"",--MID('Key Analysis'!$C64,36,1))</f>
        <v>1</v>
      </c>
      <c r="FS68" s="29">
        <f>IF(OR($B68="",$A68&lt;37),"",--MID('Key Analysis'!$C64,37,1))</f>
        <v>1</v>
      </c>
      <c r="FT68" s="29">
        <f>IF(OR($B68="",$A68&lt;38),"",--MID('Key Analysis'!$C64,38,1))</f>
        <v>0</v>
      </c>
      <c r="FU68" s="29">
        <f>IF(OR($B68="",$A68&lt;39),"",--MID('Key Analysis'!$C64,39,1))</f>
        <v>0</v>
      </c>
      <c r="FV68" s="29">
        <f>IF(OR($B68="",$A68&lt;40),"",--MID('Key Analysis'!$C64,40,1))</f>
        <v>1</v>
      </c>
      <c r="FW68" s="29">
        <f>IF(OR($B68="",$A68&lt;41),"",--MID('Key Analysis'!$C64,41,1))</f>
        <v>1</v>
      </c>
      <c r="FX68" s="29">
        <f>IF(OR($B68="",$A68&lt;42),"",--MID('Key Analysis'!$C64,42,1))</f>
        <v>0</v>
      </c>
      <c r="FY68" s="29">
        <f>IF(OR($B68="",$A68&lt;43),"",--MID('Key Analysis'!$C64,43,1))</f>
        <v>0</v>
      </c>
      <c r="FZ68" s="29">
        <f>IF(OR($B68="",$A68&lt;44),"",--MID('Key Analysis'!$C64,44,1))</f>
        <v>1</v>
      </c>
      <c r="GA68" s="29">
        <f>IF(OR($B68="",$A68&lt;45),"",--MID('Key Analysis'!$C64,45,1))</f>
        <v>1</v>
      </c>
      <c r="GB68" s="29">
        <f>IF(OR($B68="",$A68&lt;46),"",--MID('Key Analysis'!$C64,46,1))</f>
        <v>1</v>
      </c>
      <c r="GC68" s="29">
        <f>IF(OR($B68="",$A68&lt;47),"",--MID('Key Analysis'!$C64,47,1))</f>
        <v>1</v>
      </c>
      <c r="GD68" s="29">
        <f>IF(OR($B68="",$A68&lt;48),"",--MID('Key Analysis'!$C64,48,1))</f>
        <v>0</v>
      </c>
      <c r="GE68" s="29">
        <f>IF(OR($B68="",$A68&lt;49),"",--MID('Key Analysis'!$C64,49,1))</f>
        <v>1</v>
      </c>
      <c r="GF68" s="29">
        <f>IF(OR($B68="",$A68&lt;50),"",--MID('Key Analysis'!$C64,50,1))</f>
        <v>1</v>
      </c>
      <c r="GG68" s="29">
        <f>IF(OR($B68="",$A68&lt;51),"",--MID('Key Analysis'!$C64,51,1))</f>
        <v>0</v>
      </c>
      <c r="GH68" s="29">
        <f>IF(OR($B68="",$A68&lt;52),"",--MID('Key Analysis'!$C64,52,1))</f>
        <v>1</v>
      </c>
      <c r="GI68" s="29">
        <f>IF(OR($B68="",$A68&lt;53),"",--MID('Key Analysis'!$C64,53,1))</f>
        <v>0</v>
      </c>
      <c r="GJ68" s="29">
        <f>IF(OR($B68="",$A68&lt;54),"",--MID('Key Analysis'!$C64,54,1))</f>
        <v>0</v>
      </c>
      <c r="GK68" s="29">
        <f>IF(OR($B68="",$A68&lt;55),"",--MID('Key Analysis'!$C64,55,1))</f>
        <v>0</v>
      </c>
      <c r="GL68" s="29">
        <f>IF(OR($B68="",$A68&lt;56),"",--MID('Key Analysis'!$C64,56,1))</f>
        <v>0</v>
      </c>
      <c r="GM68" s="29">
        <f>IF(OR($B68="",$A68&lt;57),"",--MID('Key Analysis'!$C64,57,1))</f>
        <v>0</v>
      </c>
      <c r="GN68" s="29">
        <f>IF(OR($B68="",$A68&lt;58),"",--MID('Key Analysis'!$C64,58,1))</f>
        <v>0</v>
      </c>
      <c r="GO68" s="29">
        <f>IF(OR($B68="",$A68&lt;59),"",--MID('Key Analysis'!$C64,59,1))</f>
        <v>0</v>
      </c>
      <c r="GP68" s="29">
        <f>IF(OR($B68="",$A68&lt;60),"",--MID('Key Analysis'!$C64,60,1))</f>
        <v>1</v>
      </c>
      <c r="GQ68" s="29">
        <f>IF(OR($B68="",$A68&lt;61),"",--MID('Key Analysis'!$C64,61,1))</f>
        <v>0</v>
      </c>
      <c r="GR68" s="29">
        <f>IF(OR($B68="",$A68&lt;62),"",--MID('Key Analysis'!$C64,62,1))</f>
        <v>0</v>
      </c>
      <c r="GS68" s="29">
        <f>IF(OR($B68="",$A68&lt;63),"",--MID('Key Analysis'!$C64,63,1))</f>
        <v>0</v>
      </c>
      <c r="GT68" s="29" t="str">
        <f>IF(OR($B68="",$A68&lt;64),"",--MID('Key Analysis'!$C64,64,1))</f>
        <v/>
      </c>
      <c r="GU68" s="29" t="str">
        <f>IF(OR($B68="",$A68&lt;65),"",--MID('Key Analysis'!$C64,65,1))</f>
        <v/>
      </c>
      <c r="GV68" s="29" t="str">
        <f>IF(OR($B68="",$A68&lt;66),"",--MID('Key Analysis'!$C64,66,1))</f>
        <v/>
      </c>
      <c r="GW68" s="29" t="str">
        <f>IF(OR($B68="",$A68&lt;67),"",--MID('Key Analysis'!$C64,67,1))</f>
        <v/>
      </c>
      <c r="GX68" s="29" t="str">
        <f>IF(OR($B68="",$A68&lt;68),"",--MID('Key Analysis'!$C64,68,1))</f>
        <v/>
      </c>
      <c r="GY68" s="29" t="str">
        <f>IF(OR($B68="",$A68&lt;69),"",--MID('Key Analysis'!$C64,69,1))</f>
        <v/>
      </c>
      <c r="GZ68" s="29" t="str">
        <f>IF(OR($B68="",$A68&lt;70),"",--MID('Key Analysis'!$C64,70,1))</f>
        <v/>
      </c>
      <c r="HA68" s="29" t="str">
        <f>IF(OR($B68="",$A68&lt;71),"",--MID('Key Analysis'!$C64,71,1))</f>
        <v/>
      </c>
      <c r="HB68" s="29" t="str">
        <f>IF(OR($B68="",$A68&lt;72),"",--MID('Key Analysis'!$C64,72,1))</f>
        <v/>
      </c>
      <c r="HC68" s="29" t="str">
        <f>IF(OR($B68="",$A68&lt;73),"",--MID('Key Analysis'!$C64,73,1))</f>
        <v/>
      </c>
      <c r="HD68" s="29" t="str">
        <f>IF(OR($B68="",$A68&lt;74),"",--MID('Key Analysis'!$C64,74,1))</f>
        <v/>
      </c>
      <c r="HE68" s="29" t="str">
        <f>IF(OR($B68="",$A68&lt;75),"",--MID('Key Analysis'!$C64,75,1))</f>
        <v/>
      </c>
      <c r="HF68" s="29" t="str">
        <f>IF(OR($B68="",$A68&lt;76),"",--MID('Key Analysis'!$C64,76,1))</f>
        <v/>
      </c>
      <c r="HG68" s="29" t="str">
        <f>IF(OR($B68="",$A68&lt;77),"",--MID('Key Analysis'!$C64,77,1))</f>
        <v/>
      </c>
      <c r="HH68" s="29" t="str">
        <f>IF(OR($B68="",$A68&lt;78),"",--MID('Key Analysis'!$C64,78,1))</f>
        <v/>
      </c>
      <c r="HI68" s="29" t="str">
        <f>IF(OR($B68="",$A68&lt;79),"",--MID('Key Analysis'!$C64,79,1))</f>
        <v/>
      </c>
      <c r="HJ68" s="29" t="str">
        <f>IF(OR($B68="",$A68&lt;80),"",--MID('Key Analysis'!$C64,80,1))</f>
        <v/>
      </c>
      <c r="HK68" s="29" t="str">
        <f>IF(OR($B68="",$A68&lt;81),"",--MID('Key Analysis'!$C64,81,1))</f>
        <v/>
      </c>
      <c r="HL68" s="29" t="str">
        <f>IF(OR($B68="",$A68&lt;82),"",--MID('Key Analysis'!$C64,82,1))</f>
        <v/>
      </c>
      <c r="HM68" s="29" t="str">
        <f>IF(OR($B68="",$A68&lt;83),"",--MID('Key Analysis'!$C64,83,1))</f>
        <v/>
      </c>
      <c r="HN68" s="29" t="str">
        <f>IF(OR($B68="",$A68&lt;84),"",--MID('Key Analysis'!$C64,84,1))</f>
        <v/>
      </c>
      <c r="HO68" s="29" t="str">
        <f>IF(OR($B68="",$A68&lt;85),"",--MID('Key Analysis'!$C64,85,1))</f>
        <v/>
      </c>
      <c r="HP68" s="29" t="str">
        <f>IF(OR($B68="",$A68&lt;86),"",--MID('Key Analysis'!$C64,86,1))</f>
        <v/>
      </c>
      <c r="HQ68" s="29" t="str">
        <f>IF(OR($B68="",$A68&lt;87),"",--MID('Key Analysis'!$C64,87,1))</f>
        <v/>
      </c>
      <c r="HR68" s="29" t="str">
        <f>IF(OR($B68="",$A68&lt;88),"",--MID('Key Analysis'!$C64,88,1))</f>
        <v/>
      </c>
      <c r="HS68" s="29" t="str">
        <f>IF(OR($B68="",$A68&lt;89),"",--MID('Key Analysis'!$C64,89,1))</f>
        <v/>
      </c>
      <c r="HT68" s="29" t="str">
        <f>IF(OR($B68="",$A68&lt;90),"",--MID('Key Analysis'!$C64,90,1))</f>
        <v/>
      </c>
      <c r="HU68" s="29" t="str">
        <f>IF(OR($B68="",$A68&lt;91),"",--MID('Key Analysis'!$C64,91,1))</f>
        <v/>
      </c>
      <c r="HV68" s="29" t="str">
        <f>IF(OR($B68="",$A68&lt;92),"",--MID('Key Analysis'!$C64,92,1))</f>
        <v/>
      </c>
      <c r="HW68" s="29" t="str">
        <f>IF(OR($B68="",$A68&lt;93),"",--MID('Key Analysis'!$C64,93,1))</f>
        <v/>
      </c>
      <c r="HX68" s="29" t="str">
        <f>IF(OR($B68="",$A68&lt;94),"",--MID('Key Analysis'!$C64,94,1))</f>
        <v/>
      </c>
      <c r="HY68" s="29" t="str">
        <f>IF(OR($B68="",$A68&lt;95),"",--MID('Key Analysis'!$C64,95,1))</f>
        <v/>
      </c>
      <c r="HZ68" s="29" t="str">
        <f>IF(OR($B68="",$A68&lt;96),"",--MID('Key Analysis'!$C64,96,1))</f>
        <v/>
      </c>
      <c r="IA68" s="29" t="str">
        <f>IF(OR($B68="",$A68&lt;97),"",--MID('Key Analysis'!$C64,97,1))</f>
        <v/>
      </c>
      <c r="IB68" s="29" t="str">
        <f>IF(OR($B68="",$A68&lt;98),"",--MID('Key Analysis'!$C64,98,1))</f>
        <v/>
      </c>
      <c r="IC68" s="29" t="str">
        <f>IF(OR($B68="",$A68&lt;99),"",--MID('Key Analysis'!$C64,99,1))</f>
        <v/>
      </c>
      <c r="ID68" s="29" t="str">
        <f>IF(OR($B68="",$A68&lt;100),"",--MID('Key Analysis'!$C64,100,1))</f>
        <v/>
      </c>
      <c r="IE68" s="29" t="str">
        <f>IF(OR($B68="",$A68&lt;101),"",--MID('Key Analysis'!$C64,101,1))</f>
        <v/>
      </c>
      <c r="IF68" s="29" t="str">
        <f>IF(OR($B68="",$A68&lt;102),"",--MID('Key Analysis'!$C64,102,1))</f>
        <v/>
      </c>
      <c r="IG68" s="29" t="str">
        <f>IF(OR($B68="",$A68&lt;103),"",--MID('Key Analysis'!$C64,103,1))</f>
        <v/>
      </c>
      <c r="IH68" s="29" t="str">
        <f>IF(OR($B68="",$A68&lt;104),"",--MID('Key Analysis'!$C64,104,1))</f>
        <v/>
      </c>
      <c r="II68" s="29" t="str">
        <f>IF(OR($B68="",$A68&lt;105),"",--MID('Key Analysis'!$C64,105,1))</f>
        <v/>
      </c>
      <c r="IJ68" s="29" t="str">
        <f>IF(OR($B68="",$A68&lt;106),"",--MID('Key Analysis'!$C64,106,1))</f>
        <v/>
      </c>
      <c r="IK68" s="29" t="str">
        <f>IF(OR($B68="",$A68&lt;107),"",--MID('Key Analysis'!$C64,107,1))</f>
        <v/>
      </c>
      <c r="IL68" s="29" t="str">
        <f>IF(OR($B68="",$A68&lt;108),"",--MID('Key Analysis'!$C64,108,1))</f>
        <v/>
      </c>
      <c r="IM68" s="29" t="str">
        <f>IF(OR($B68="",$A68&lt;109),"",--MID('Key Analysis'!$C64,109,1))</f>
        <v/>
      </c>
      <c r="IN68" s="29" t="str">
        <f>IF(OR($B68="",$A68&lt;110),"",--MID('Key Analysis'!$C64,110,1))</f>
        <v/>
      </c>
      <c r="IO68" s="29" t="str">
        <f>IF(OR($B68="",$A68&lt;111),"",--MID('Key Analysis'!$C64,111,1))</f>
        <v/>
      </c>
      <c r="IP68" s="29" t="str">
        <f>IF(OR($B68="",$A68&lt;112),"",--MID('Key Analysis'!$C64,112,1))</f>
        <v/>
      </c>
      <c r="IQ68" s="29" t="str">
        <f>IF(OR($B68="",$A68&lt;113),"",--MID('Key Analysis'!$C64,113,1))</f>
        <v/>
      </c>
      <c r="IR68" s="29" t="str">
        <f>IF(OR($B68="",$A68&lt;114),"",--MID('Key Analysis'!$C64,114,1))</f>
        <v/>
      </c>
      <c r="IS68" s="29" t="str">
        <f>IF(OR($B68="",$A68&lt;115),"",--MID('Key Analysis'!$C64,115,1))</f>
        <v/>
      </c>
      <c r="IT68" s="29" t="str">
        <f>IF(OR($B68="",$A68&lt;116),"",--MID('Key Analysis'!$C64,116,1))</f>
        <v/>
      </c>
      <c r="IU68" s="29" t="str">
        <f>IF(OR($B68="",$A68&lt;117),"",--MID('Key Analysis'!$C64,117,1))</f>
        <v/>
      </c>
      <c r="IV68" s="29" t="str">
        <f>IF(OR($B68="",$A68&lt;118),"",--MID('Key Analysis'!$C64,118,1))</f>
        <v/>
      </c>
      <c r="IW68" s="29" t="str">
        <f>IF(OR($B68="",$A68&lt;119),"",--MID('Key Analysis'!$C64,119,1))</f>
        <v/>
      </c>
      <c r="IX68" s="29" t="str">
        <f>IF(OR($B68="",$A68&lt;120),"",--MID('Key Analysis'!$C64,120,1))</f>
        <v/>
      </c>
      <c r="IY68" s="29" t="str">
        <f>IF(OR($B68="",$A68&lt;121),"",--MID('Key Analysis'!$C64,121,1))</f>
        <v/>
      </c>
      <c r="IZ68" s="29" t="str">
        <f>IF(OR($B68="",$A68&lt;122),"",--MID('Key Analysis'!$C64,122,1))</f>
        <v/>
      </c>
      <c r="JA68" s="29" t="str">
        <f>IF(OR($B68="",$A68&lt;123),"",--MID('Key Analysis'!$C64,123,1))</f>
        <v/>
      </c>
      <c r="JB68" s="29" t="str">
        <f>IF(OR($B68="",$A68&lt;124),"",--MID('Key Analysis'!$C64,124,1))</f>
        <v/>
      </c>
      <c r="JC68" s="29" t="str">
        <f>IF(OR($B68="",$A68&lt;125),"",--MID('Key Analysis'!$C64,125,1))</f>
        <v/>
      </c>
      <c r="JD68" s="29" t="str">
        <f>IF(OR($B68="",$A68&lt;126),"",--MID('Key Analysis'!$C64,126,1))</f>
        <v/>
      </c>
      <c r="JE68" s="29" t="str">
        <f>IF(OR($B68="",$A68&lt;127),"",--MID('Key Analysis'!$C64,127,1))</f>
        <v/>
      </c>
      <c r="JF68" s="29" t="str">
        <f>IF(OR($B68="",$A68&lt;128),"",--MID('Key Analysis'!$C64,128,1))</f>
        <v/>
      </c>
      <c r="JG68" s="29" t="str">
        <f>IF(OR($B68="",$A68&lt;129),"",--MID('Key Analysis'!$C64,129,1))</f>
        <v/>
      </c>
      <c r="JH68" s="29" t="str">
        <f>IF(OR($B68="",$A68&lt;130),"",--MID('Key Analysis'!$C64,130,1))</f>
        <v/>
      </c>
      <c r="JI68" s="29" t="str">
        <f>IF(OR($B68="",$A68&lt;131),"",--MID('Key Analysis'!$C64,131,1))</f>
        <v/>
      </c>
      <c r="JJ68" s="29" t="str">
        <f>IF(OR($B68="",$A68&lt;132),"",--MID('Key Analysis'!$C64,132,1))</f>
        <v/>
      </c>
      <c r="JK68" s="29" t="str">
        <f>IF(OR($B68="",$A68&lt;133),"",--MID('Key Analysis'!$C64,133,1))</f>
        <v/>
      </c>
      <c r="JL68" s="29" t="str">
        <f>IF(OR($B68="",$A68&lt;134),"",--MID('Key Analysis'!$C64,134,1))</f>
        <v/>
      </c>
      <c r="JM68" s="29" t="str">
        <f>IF(OR($B68="",$A68&lt;135),"",--MID('Key Analysis'!$C64,135,1))</f>
        <v/>
      </c>
    </row>
    <row r="69" spans="1:273" x14ac:dyDescent="0.25">
      <c r="A69" s="21">
        <f>'Key Analysis'!A65</f>
        <v>64</v>
      </c>
      <c r="B69" s="30" t="str">
        <f>'Key Analysis'!B65</f>
        <v>f7051f27b09112d4</v>
      </c>
      <c r="C69" s="29">
        <f>IF(OR($B69="",$A69&lt;=0),"",--MID('Key Analysis'!$C65,$A69-0,1))</f>
        <v>0</v>
      </c>
      <c r="D69" s="29">
        <f>IF(OR($B69="",$A69&lt;=1),"",--MID('Key Analysis'!$C65,$A69-1,1))</f>
        <v>0</v>
      </c>
      <c r="E69" s="29">
        <f>IF(OR($B69="",$A69&lt;=2),"",--MID('Key Analysis'!$C65,$A69-2,1))</f>
        <v>1</v>
      </c>
      <c r="F69" s="29">
        <f>IF(OR($B69="",$A69&lt;=3),"",--MID('Key Analysis'!$C65,$A69-3,1))</f>
        <v>0</v>
      </c>
      <c r="G69" s="29">
        <f>IF(OR($B69="",$A69&lt;=4),"",--MID('Key Analysis'!$C65,$A69-4,1))</f>
        <v>1</v>
      </c>
      <c r="H69" s="29">
        <f>IF(OR($B69="",$A69&lt;=5),"",--MID('Key Analysis'!$C65,$A69-5,1))</f>
        <v>0</v>
      </c>
      <c r="I69" s="29">
        <f>IF(OR($B69="",$A69&lt;=6),"",--MID('Key Analysis'!$C65,$A69-6,1))</f>
        <v>1</v>
      </c>
      <c r="J69" s="29">
        <f>IF(OR($B69="",$A69&lt;=7),"",--MID('Key Analysis'!$C65,$A69-7,1))</f>
        <v>1</v>
      </c>
      <c r="K69" s="29">
        <f>IF(OR($B69="",$A69&lt;=8),"",--MID('Key Analysis'!$C65,$A69-8,1))</f>
        <v>0</v>
      </c>
      <c r="L69" s="29">
        <f>IF(OR($B69="",$A69&lt;=9),"",--MID('Key Analysis'!$C65,$A69-9,1))</f>
        <v>1</v>
      </c>
      <c r="M69" s="29">
        <f>IF(OR($B69="",$A69&lt;=10),"",--MID('Key Analysis'!$C65,$A69-10,1))</f>
        <v>0</v>
      </c>
      <c r="N69" s="29">
        <f>IF(OR($B69="",$A69&lt;=11),"",--MID('Key Analysis'!$C65,$A69-11,1))</f>
        <v>0</v>
      </c>
      <c r="O69" s="29">
        <f>IF(OR($B69="",$A69&lt;=12),"",--MID('Key Analysis'!$C65,$A69-12,1))</f>
        <v>1</v>
      </c>
      <c r="P69" s="29">
        <f>IF(OR($B69="",$A69&lt;=13),"",--MID('Key Analysis'!$C65,$A69-13,1))</f>
        <v>0</v>
      </c>
      <c r="Q69" s="29">
        <f>IF(OR($B69="",$A69&lt;=14),"",--MID('Key Analysis'!$C65,$A69-14,1))</f>
        <v>0</v>
      </c>
      <c r="R69" s="29">
        <f>IF(OR($B69="",$A69&lt;=15),"",--MID('Key Analysis'!$C65,$A69-15,1))</f>
        <v>0</v>
      </c>
      <c r="S69" s="29">
        <f>IF(OR($B69="",$A69&lt;=16),"",--MID('Key Analysis'!$C65,$A69-16,1))</f>
        <v>1</v>
      </c>
      <c r="T69" s="29">
        <f>IF(OR($B69="",$A69&lt;=17),"",--MID('Key Analysis'!$C65,$A69-17,1))</f>
        <v>0</v>
      </c>
      <c r="U69" s="29">
        <f>IF(OR($B69="",$A69&lt;=18),"",--MID('Key Analysis'!$C65,$A69-18,1))</f>
        <v>0</v>
      </c>
      <c r="V69" s="29">
        <f>IF(OR($B69="",$A69&lt;=19),"",--MID('Key Analysis'!$C65,$A69-19,1))</f>
        <v>0</v>
      </c>
      <c r="W69" s="29">
        <f>IF(OR($B69="",$A69&lt;=20),"",--MID('Key Analysis'!$C65,$A69-20,1))</f>
        <v>1</v>
      </c>
      <c r="X69" s="29">
        <f>IF(OR($B69="",$A69&lt;=21),"",--MID('Key Analysis'!$C65,$A69-21,1))</f>
        <v>0</v>
      </c>
      <c r="Y69" s="29">
        <f>IF(OR($B69="",$A69&lt;=22),"",--MID('Key Analysis'!$C65,$A69-22,1))</f>
        <v>0</v>
      </c>
      <c r="Z69" s="29">
        <f>IF(OR($B69="",$A69&lt;=23),"",--MID('Key Analysis'!$C65,$A69-23,1))</f>
        <v>1</v>
      </c>
      <c r="AA69" s="29">
        <f>IF(OR($B69="",$A69&lt;=24),"",--MID('Key Analysis'!$C65,$A69-24,1))</f>
        <v>0</v>
      </c>
      <c r="AB69" s="29">
        <f>IF(OR($B69="",$A69&lt;=25),"",--MID('Key Analysis'!$C65,$A69-25,1))</f>
        <v>0</v>
      </c>
      <c r="AC69" s="29">
        <f>IF(OR($B69="",$A69&lt;=26),"",--MID('Key Analysis'!$C65,$A69-26,1))</f>
        <v>0</v>
      </c>
      <c r="AD69" s="29">
        <f>IF(OR($B69="",$A69&lt;=27),"",--MID('Key Analysis'!$C65,$A69-27,1))</f>
        <v>0</v>
      </c>
      <c r="AE69" s="29">
        <f>IF(OR($B69="",$A69&lt;=28),"",--MID('Key Analysis'!$C65,$A69-28,1))</f>
        <v>1</v>
      </c>
      <c r="AF69" s="29">
        <f>IF(OR($B69="",$A69&lt;=29),"",--MID('Key Analysis'!$C65,$A69-29,1))</f>
        <v>1</v>
      </c>
      <c r="AG69" s="29">
        <f>IF(OR($B69="",$A69&lt;=30),"",--MID('Key Analysis'!$C65,$A69-30,1))</f>
        <v>0</v>
      </c>
      <c r="AH69" s="29">
        <f>IF(OR($B69="",$A69&lt;=31),"",--MID('Key Analysis'!$C65,$A69-31,1))</f>
        <v>1</v>
      </c>
      <c r="AI69" s="29">
        <f>IF(OR($B69="",$A69&lt;=32),"",--MID('Key Analysis'!$C65,$A69-32,1))</f>
        <v>1</v>
      </c>
      <c r="AJ69" s="29">
        <f>IF(OR($B69="",$A69&lt;=33),"",--MID('Key Analysis'!$C65,$A69-33,1))</f>
        <v>1</v>
      </c>
      <c r="AK69" s="29">
        <f>IF(OR($B69="",$A69&lt;=34),"",--MID('Key Analysis'!$C65,$A69-34,1))</f>
        <v>1</v>
      </c>
      <c r="AL69" s="29">
        <f>IF(OR($B69="",$A69&lt;=35),"",--MID('Key Analysis'!$C65,$A69-35,1))</f>
        <v>0</v>
      </c>
      <c r="AM69" s="29">
        <f>IF(OR($B69="",$A69&lt;=36),"",--MID('Key Analysis'!$C65,$A69-36,1))</f>
        <v>0</v>
      </c>
      <c r="AN69" s="29">
        <f>IF(OR($B69="",$A69&lt;=37),"",--MID('Key Analysis'!$C65,$A69-37,1))</f>
        <v>1</v>
      </c>
      <c r="AO69" s="29">
        <f>IF(OR($B69="",$A69&lt;=38),"",--MID('Key Analysis'!$C65,$A69-38,1))</f>
        <v>0</v>
      </c>
      <c r="AP69" s="29">
        <f>IF(OR($B69="",$A69&lt;=39),"",--MID('Key Analysis'!$C65,$A69-39,1))</f>
        <v>0</v>
      </c>
      <c r="AQ69" s="29">
        <f>IF(OR($B69="",$A69&lt;=40),"",--MID('Key Analysis'!$C65,$A69-40,1))</f>
        <v>1</v>
      </c>
      <c r="AR69" s="29">
        <f>IF(OR($B69="",$A69&lt;=41),"",--MID('Key Analysis'!$C65,$A69-41,1))</f>
        <v>1</v>
      </c>
      <c r="AS69" s="29">
        <f>IF(OR($B69="",$A69&lt;=42),"",--MID('Key Analysis'!$C65,$A69-42,1))</f>
        <v>1</v>
      </c>
      <c r="AT69" s="29">
        <f>IF(OR($B69="",$A69&lt;=43),"",--MID('Key Analysis'!$C65,$A69-43,1))</f>
        <v>1</v>
      </c>
      <c r="AU69" s="29">
        <f>IF(OR($B69="",$A69&lt;=44),"",--MID('Key Analysis'!$C65,$A69-44,1))</f>
        <v>1</v>
      </c>
      <c r="AV69" s="29">
        <f>IF(OR($B69="",$A69&lt;=45),"",--MID('Key Analysis'!$C65,$A69-45,1))</f>
        <v>0</v>
      </c>
      <c r="AW69" s="29">
        <f>IF(OR($B69="",$A69&lt;=46),"",--MID('Key Analysis'!$C65,$A69-46,1))</f>
        <v>0</v>
      </c>
      <c r="AX69" s="29">
        <f>IF(OR($B69="",$A69&lt;=47),"",--MID('Key Analysis'!$C65,$A69-47,1))</f>
        <v>0</v>
      </c>
      <c r="AY69" s="29">
        <f>IF(OR($B69="",$A69&lt;=48),"",--MID('Key Analysis'!$C65,$A69-48,1))</f>
        <v>1</v>
      </c>
      <c r="AZ69" s="29">
        <f>IF(OR($B69="",$A69&lt;=49),"",--MID('Key Analysis'!$C65,$A69-49,1))</f>
        <v>0</v>
      </c>
      <c r="BA69" s="29">
        <f>IF(OR($B69="",$A69&lt;=50),"",--MID('Key Analysis'!$C65,$A69-50,1))</f>
        <v>1</v>
      </c>
      <c r="BB69" s="29">
        <f>IF(OR($B69="",$A69&lt;=51),"",--MID('Key Analysis'!$C65,$A69-51,1))</f>
        <v>0</v>
      </c>
      <c r="BC69" s="29">
        <f>IF(OR($B69="",$A69&lt;=52),"",--MID('Key Analysis'!$C65,$A69-52,1))</f>
        <v>0</v>
      </c>
      <c r="BD69" s="29">
        <f>IF(OR($B69="",$A69&lt;=53),"",--MID('Key Analysis'!$C65,$A69-53,1))</f>
        <v>0</v>
      </c>
      <c r="BE69" s="29">
        <f>IF(OR($B69="",$A69&lt;=54),"",--MID('Key Analysis'!$C65,$A69-54,1))</f>
        <v>0</v>
      </c>
      <c r="BF69" s="29">
        <f>IF(OR($B69="",$A69&lt;=55),"",--MID('Key Analysis'!$C65,$A69-55,1))</f>
        <v>0</v>
      </c>
      <c r="BG69" s="29">
        <f>IF(OR($B69="",$A69&lt;=56),"",--MID('Key Analysis'!$C65,$A69-56,1))</f>
        <v>1</v>
      </c>
      <c r="BH69" s="29">
        <f>IF(OR($B69="",$A69&lt;=57),"",--MID('Key Analysis'!$C65,$A69-57,1))</f>
        <v>1</v>
      </c>
      <c r="BI69" s="29">
        <f>IF(OR($B69="",$A69&lt;=58),"",--MID('Key Analysis'!$C65,$A69-58,1))</f>
        <v>1</v>
      </c>
      <c r="BJ69" s="29">
        <f>IF(OR($B69="",$A69&lt;=59),"",--MID('Key Analysis'!$C65,$A69-59,1))</f>
        <v>0</v>
      </c>
      <c r="BK69" s="29">
        <f>IF(OR($B69="",$A69&lt;=60),"",--MID('Key Analysis'!$C65,$A69-60,1))</f>
        <v>1</v>
      </c>
      <c r="BL69" s="29">
        <f>IF(OR($B69="",$A69&lt;=61),"",--MID('Key Analysis'!$C65,$A69-61,1))</f>
        <v>1</v>
      </c>
      <c r="BM69" s="29">
        <f>IF(OR($B69="",$A69&lt;=62),"",--MID('Key Analysis'!$C65,$A69-62,1))</f>
        <v>1</v>
      </c>
      <c r="BN69" s="29">
        <f>IF(OR($B69="",$A69&lt;=63),"",--MID('Key Analysis'!$C65,$A69-63,1))</f>
        <v>1</v>
      </c>
      <c r="BO69" s="29" t="str">
        <f>IF(OR($B69="",$A69&lt;=64),"",--MID('Key Analysis'!$C65,$A69-64,1))</f>
        <v/>
      </c>
      <c r="BP69" s="29" t="str">
        <f>IF(OR($B69="",$A69&lt;=65),"",--MID('Key Analysis'!$C65,$A69-65,1))</f>
        <v/>
      </c>
      <c r="BQ69" s="29" t="str">
        <f>IF(OR($B69="",$A69&lt;=66),"",--MID('Key Analysis'!$C65,$A69-66,1))</f>
        <v/>
      </c>
      <c r="BR69" s="29" t="str">
        <f>IF(OR($B69="",$A69&lt;=67),"",--MID('Key Analysis'!$C65,$A69-67,1))</f>
        <v/>
      </c>
      <c r="BS69" s="29" t="str">
        <f>IF(OR($B69="",$A69&lt;=68),"",--MID('Key Analysis'!$C65,$A69-68,1))</f>
        <v/>
      </c>
      <c r="BT69" s="29" t="str">
        <f>IF(OR($B69="",$A69&lt;=69),"",--MID('Key Analysis'!$C65,$A69-69,1))</f>
        <v/>
      </c>
      <c r="BU69" s="29" t="str">
        <f>IF(OR($B69="",$A69&lt;=70),"",--MID('Key Analysis'!$C65,$A69-70,1))</f>
        <v/>
      </c>
      <c r="BV69" s="29" t="str">
        <f>IF(OR($B69="",$A69&lt;=71),"",--MID('Key Analysis'!$C65,$A69-71,1))</f>
        <v/>
      </c>
      <c r="BW69" s="29" t="str">
        <f>IF(OR($B69="",$A69&lt;=72),"",--MID('Key Analysis'!$C65,$A69-72,1))</f>
        <v/>
      </c>
      <c r="BX69" s="29" t="str">
        <f>IF(OR($B69="",$A69&lt;=73),"",--MID('Key Analysis'!$C65,$A69-73,1))</f>
        <v/>
      </c>
      <c r="BY69" s="29" t="str">
        <f>IF(OR($B69="",$A69&lt;=74),"",--MID('Key Analysis'!$C65,$A69-74,1))</f>
        <v/>
      </c>
      <c r="BZ69" s="29" t="str">
        <f>IF(OR($B69="",$A69&lt;=75),"",--MID('Key Analysis'!$C65,$A69-75,1))</f>
        <v/>
      </c>
      <c r="CA69" s="29" t="str">
        <f>IF(OR($B69="",$A69&lt;=76),"",--MID('Key Analysis'!$C65,$A69-76,1))</f>
        <v/>
      </c>
      <c r="CB69" s="29" t="str">
        <f>IF(OR($B69="",$A69&lt;=77),"",--MID('Key Analysis'!$C65,$A69-77,1))</f>
        <v/>
      </c>
      <c r="CC69" s="29" t="str">
        <f>IF(OR($B69="",$A69&lt;=78),"",--MID('Key Analysis'!$C65,$A69-78,1))</f>
        <v/>
      </c>
      <c r="CD69" s="29" t="str">
        <f>IF(OR($B69="",$A69&lt;=79),"",--MID('Key Analysis'!$C65,$A69-79,1))</f>
        <v/>
      </c>
      <c r="CE69" s="29" t="str">
        <f>IF(OR($B69="",$A69&lt;=80),"",--MID('Key Analysis'!$C65,$A69-80,1))</f>
        <v/>
      </c>
      <c r="CF69" s="29" t="str">
        <f>IF(OR($B69="",$A69&lt;=81),"",--MID('Key Analysis'!$C65,$A69-81,1))</f>
        <v/>
      </c>
      <c r="CG69" s="29" t="str">
        <f>IF(OR($B69="",$A69&lt;=82),"",--MID('Key Analysis'!$C65,$A69-82,1))</f>
        <v/>
      </c>
      <c r="CH69" s="29" t="str">
        <f>IF(OR($B69="",$A69&lt;=83),"",--MID('Key Analysis'!$C65,$A69-83,1))</f>
        <v/>
      </c>
      <c r="CI69" s="29" t="str">
        <f>IF(OR($B69="",$A69&lt;=84),"",--MID('Key Analysis'!$C65,$A69-84,1))</f>
        <v/>
      </c>
      <c r="CJ69" s="29" t="str">
        <f>IF(OR($B69="",$A69&lt;=85),"",--MID('Key Analysis'!$C65,$A69-85,1))</f>
        <v/>
      </c>
      <c r="CK69" s="29" t="str">
        <f>IF(OR($B69="",$A69&lt;=86),"",--MID('Key Analysis'!$C65,$A69-86,1))</f>
        <v/>
      </c>
      <c r="CL69" s="29" t="str">
        <f>IF(OR($B69="",$A69&lt;=87),"",--MID('Key Analysis'!$C65,$A69-87,1))</f>
        <v/>
      </c>
      <c r="CM69" s="29" t="str">
        <f>IF(OR($B69="",$A69&lt;=88),"",--MID('Key Analysis'!$C65,$A69-88,1))</f>
        <v/>
      </c>
      <c r="CN69" s="29" t="str">
        <f>IF(OR($B69="",$A69&lt;=89),"",--MID('Key Analysis'!$C65,$A69-89,1))</f>
        <v/>
      </c>
      <c r="CO69" s="29" t="str">
        <f>IF(OR($B69="",$A69&lt;=90),"",--MID('Key Analysis'!$C65,$A69-90,1))</f>
        <v/>
      </c>
      <c r="CP69" s="29" t="str">
        <f>IF(OR($B69="",$A69&lt;=91),"",--MID('Key Analysis'!$C65,$A69-91,1))</f>
        <v/>
      </c>
      <c r="CQ69" s="29" t="str">
        <f>IF(OR($B69="",$A69&lt;=92),"",--MID('Key Analysis'!$C65,$A69-92,1))</f>
        <v/>
      </c>
      <c r="CR69" s="29" t="str">
        <f>IF(OR($B69="",$A69&lt;=93),"",--MID('Key Analysis'!$C65,$A69-93,1))</f>
        <v/>
      </c>
      <c r="CS69" s="29" t="str">
        <f>IF(OR($B69="",$A69&lt;=94),"",--MID('Key Analysis'!$C65,$A69-94,1))</f>
        <v/>
      </c>
      <c r="CT69" s="29" t="str">
        <f>IF(OR($B69="",$A69&lt;=95),"",--MID('Key Analysis'!$C65,$A69-95,1))</f>
        <v/>
      </c>
      <c r="CU69" s="29" t="str">
        <f>IF(OR($B69="",$A69&lt;=96),"",--MID('Key Analysis'!$C65,$A69-96,1))</f>
        <v/>
      </c>
      <c r="CV69" s="29" t="str">
        <f>IF(OR($B69="",$A69&lt;=97),"",--MID('Key Analysis'!$C65,$A69-97,1))</f>
        <v/>
      </c>
      <c r="CW69" s="29" t="str">
        <f>IF(OR($B69="",$A69&lt;=98),"",--MID('Key Analysis'!$C65,$A69-98,1))</f>
        <v/>
      </c>
      <c r="CX69" s="29" t="str">
        <f>IF(OR($B69="",$A69&lt;=99),"",--MID('Key Analysis'!$C65,$A69-99,1))</f>
        <v/>
      </c>
      <c r="CY69" s="29" t="str">
        <f>IF(OR($B69="",$A69&lt;=100),"",--MID('Key Analysis'!$C65,$A69-100,1))</f>
        <v/>
      </c>
      <c r="CZ69" s="29" t="str">
        <f>IF(OR($B69="",$A69&lt;=101),"",--MID('Key Analysis'!$C65,$A69-101,1))</f>
        <v/>
      </c>
      <c r="DA69" s="29" t="str">
        <f>IF(OR($B69="",$A69&lt;=102),"",--MID('Key Analysis'!$C65,$A69-102,1))</f>
        <v/>
      </c>
      <c r="DB69" s="29" t="str">
        <f>IF(OR($B69="",$A69&lt;=103),"",--MID('Key Analysis'!$C65,$A69-103,1))</f>
        <v/>
      </c>
      <c r="DC69" s="29" t="str">
        <f>IF(OR($B69="",$A69&lt;=104),"",--MID('Key Analysis'!$C65,$A69-104,1))</f>
        <v/>
      </c>
      <c r="DD69" s="29" t="str">
        <f>IF(OR($B69="",$A69&lt;=105),"",--MID('Key Analysis'!$C65,$A69-105,1))</f>
        <v/>
      </c>
      <c r="DE69" s="29" t="str">
        <f>IF(OR($B69="",$A69&lt;=106),"",--MID('Key Analysis'!$C65,$A69-106,1))</f>
        <v/>
      </c>
      <c r="DF69" s="29" t="str">
        <f>IF(OR($B69="",$A69&lt;=107),"",--MID('Key Analysis'!$C65,$A69-107,1))</f>
        <v/>
      </c>
      <c r="DG69" s="29" t="str">
        <f>IF(OR($B69="",$A69&lt;=108),"",--MID('Key Analysis'!$C65,$A69-108,1))</f>
        <v/>
      </c>
      <c r="DH69" s="29" t="str">
        <f>IF(OR($B69="",$A69&lt;=109),"",--MID('Key Analysis'!$C65,$A69-109,1))</f>
        <v/>
      </c>
      <c r="DI69" s="29" t="str">
        <f>IF(OR($B69="",$A69&lt;=110),"",--MID('Key Analysis'!$C65,$A69-110,1))</f>
        <v/>
      </c>
      <c r="DJ69" s="29" t="str">
        <f>IF(OR($B69="",$A69&lt;=111),"",--MID('Key Analysis'!$C65,$A69-111,1))</f>
        <v/>
      </c>
      <c r="DK69" s="29" t="str">
        <f>IF(OR($B69="",$A69&lt;=112),"",--MID('Key Analysis'!$C65,$A69-112,1))</f>
        <v/>
      </c>
      <c r="DL69" s="29" t="str">
        <f>IF(OR($B69="",$A69&lt;=113),"",--MID('Key Analysis'!$C65,$A69-113,1))</f>
        <v/>
      </c>
      <c r="DM69" s="29" t="str">
        <f>IF(OR($B69="",$A69&lt;=114),"",--MID('Key Analysis'!$C65,$A69-114,1))</f>
        <v/>
      </c>
      <c r="DN69" s="29" t="str">
        <f>IF(OR($B69="",$A69&lt;=115),"",--MID('Key Analysis'!$C65,$A69-115,1))</f>
        <v/>
      </c>
      <c r="DO69" s="29" t="str">
        <f>IF(OR($B69="",$A69&lt;=116),"",--MID('Key Analysis'!$C65,$A69-116,1))</f>
        <v/>
      </c>
      <c r="DP69" s="29" t="str">
        <f>IF(OR($B69="",$A69&lt;=117),"",--MID('Key Analysis'!$C65,$A69-117,1))</f>
        <v/>
      </c>
      <c r="DQ69" s="29" t="str">
        <f>IF(OR($B69="",$A69&lt;=118),"",--MID('Key Analysis'!$C65,$A69-118,1))</f>
        <v/>
      </c>
      <c r="DR69" s="29" t="str">
        <f>IF(OR($B69="",$A69&lt;=119),"",--MID('Key Analysis'!$C65,$A69-119,1))</f>
        <v/>
      </c>
      <c r="DS69" s="29" t="str">
        <f>IF(OR($B69="",$A69&lt;=120),"",--MID('Key Analysis'!$C65,$A69-120,1))</f>
        <v/>
      </c>
      <c r="DT69" s="29" t="str">
        <f>IF(OR($B69="",$A69&lt;=121),"",--MID('Key Analysis'!$C65,$A69-121,1))</f>
        <v/>
      </c>
      <c r="DU69" s="29" t="str">
        <f>IF(OR($B69="",$A69&lt;=122),"",--MID('Key Analysis'!$C65,$A69-122,1))</f>
        <v/>
      </c>
      <c r="DV69" s="29" t="str">
        <f>IF(OR($B69="",$A69&lt;=123),"",--MID('Key Analysis'!$C65,$A69-123,1))</f>
        <v/>
      </c>
      <c r="DW69" s="29" t="str">
        <f>IF(OR($B69="",$A69&lt;=124),"",--MID('Key Analysis'!$C65,$A69-124,1))</f>
        <v/>
      </c>
      <c r="DX69" s="29" t="str">
        <f>IF(OR($B69="",$A69&lt;=125),"",--MID('Key Analysis'!$C65,$A69-125,1))</f>
        <v/>
      </c>
      <c r="DY69" s="29" t="str">
        <f>IF(OR($B69="",$A69&lt;=126),"",--MID('Key Analysis'!$C65,$A69-126,1))</f>
        <v/>
      </c>
      <c r="DZ69" s="29" t="str">
        <f>IF(OR($B69="",$A69&lt;=127),"",--MID('Key Analysis'!$C65,$A69-127,1))</f>
        <v/>
      </c>
      <c r="EA69" s="29" t="str">
        <f>IF(OR($B69="",$A69&lt;=128),"",--MID('Key Analysis'!$C65,$A69-128,1))</f>
        <v/>
      </c>
      <c r="EB69" s="29" t="str">
        <f>IF(OR($B69="",$A69&lt;=129),"",--MID('Key Analysis'!$C65,$A69-129,1))</f>
        <v/>
      </c>
      <c r="EC69" s="29" t="str">
        <f>IF(OR($B69="",$A69&lt;=130),"",--MID('Key Analysis'!$C65,$A69-130,1))</f>
        <v/>
      </c>
      <c r="ED69" s="29" t="str">
        <f>IF(OR($B69="",$A69&lt;=131),"",--MID('Key Analysis'!$C65,$A69-131,1))</f>
        <v/>
      </c>
      <c r="EE69" s="29" t="str">
        <f>IF(OR($B69="",$A69&lt;=132),"",--MID('Key Analysis'!$C65,$A69-132,1))</f>
        <v/>
      </c>
      <c r="EF69" s="29" t="str">
        <f>IF(OR($B69="",$A69&lt;=133),"",--MID('Key Analysis'!$C65,$A69-133,1))</f>
        <v/>
      </c>
      <c r="EG69" s="29" t="str">
        <f>IF(OR($B69="",$A69&lt;=134),"",--MID('Key Analysis'!$C65,$A69-134,1))</f>
        <v/>
      </c>
      <c r="EH69" s="29"/>
      <c r="EI69" s="29">
        <f>IF(OR($B69="",$A69&lt;1),"",--MID('Key Analysis'!$C65,1,1))</f>
        <v>1</v>
      </c>
      <c r="EJ69" s="29">
        <f>IF(OR($B69="",$A69&lt;2),"",--MID('Key Analysis'!$C65,2,1))</f>
        <v>1</v>
      </c>
      <c r="EK69" s="29">
        <f>IF(OR($B69="",$A69&lt;3),"",--MID('Key Analysis'!$C65,3,1))</f>
        <v>1</v>
      </c>
      <c r="EL69" s="29">
        <f>IF(OR($B69="",$A69&lt;4),"",--MID('Key Analysis'!$C65,4,1))</f>
        <v>1</v>
      </c>
      <c r="EM69" s="29">
        <f>IF(OR($B69="",$A69&lt;5),"",--MID('Key Analysis'!$C65,5,1))</f>
        <v>0</v>
      </c>
      <c r="EN69" s="29">
        <f>IF(OR($B69="",$A69&lt;6),"",--MID('Key Analysis'!$C65,6,1))</f>
        <v>1</v>
      </c>
      <c r="EO69" s="29">
        <f>IF(OR($B69="",$A69&lt;7),"",--MID('Key Analysis'!$C65,7,1))</f>
        <v>1</v>
      </c>
      <c r="EP69" s="29">
        <f>IF(OR($B69="",$A69&lt;8),"",--MID('Key Analysis'!$C65,8,1))</f>
        <v>1</v>
      </c>
      <c r="EQ69" s="29">
        <f>IF(OR($B69="",$A69&lt;9),"",--MID('Key Analysis'!$C65,9,1))</f>
        <v>0</v>
      </c>
      <c r="ER69" s="29">
        <f>IF(OR($B69="",$A69&lt;10),"",--MID('Key Analysis'!$C65,10,1))</f>
        <v>0</v>
      </c>
      <c r="ES69" s="29">
        <f>IF(OR($B69="",$A69&lt;11),"",--MID('Key Analysis'!$C65,11,1))</f>
        <v>0</v>
      </c>
      <c r="ET69" s="29">
        <f>IF(OR($B69="",$A69&lt;12),"",--MID('Key Analysis'!$C65,12,1))</f>
        <v>0</v>
      </c>
      <c r="EU69" s="29">
        <f>IF(OR($B69="",$A69&lt;13),"",--MID('Key Analysis'!$C65,13,1))</f>
        <v>0</v>
      </c>
      <c r="EV69" s="29">
        <f>IF(OR($B69="",$A69&lt;14),"",--MID('Key Analysis'!$C65,14,1))</f>
        <v>1</v>
      </c>
      <c r="EW69" s="29">
        <f>IF(OR($B69="",$A69&lt;15),"",--MID('Key Analysis'!$C65,15,1))</f>
        <v>0</v>
      </c>
      <c r="EX69" s="29">
        <f>IF(OR($B69="",$A69&lt;16),"",--MID('Key Analysis'!$C65,16,1))</f>
        <v>1</v>
      </c>
      <c r="EY69" s="29">
        <f>IF(OR($B69="",$A69&lt;17),"",--MID('Key Analysis'!$C65,17,1))</f>
        <v>0</v>
      </c>
      <c r="EZ69" s="29">
        <f>IF(OR($B69="",$A69&lt;18),"",--MID('Key Analysis'!$C65,18,1))</f>
        <v>0</v>
      </c>
      <c r="FA69" s="29">
        <f>IF(OR($B69="",$A69&lt;19),"",--MID('Key Analysis'!$C65,19,1))</f>
        <v>0</v>
      </c>
      <c r="FB69" s="29">
        <f>IF(OR($B69="",$A69&lt;20),"",--MID('Key Analysis'!$C65,20,1))</f>
        <v>1</v>
      </c>
      <c r="FC69" s="29">
        <f>IF(OR($B69="",$A69&lt;21),"",--MID('Key Analysis'!$C65,21,1))</f>
        <v>1</v>
      </c>
      <c r="FD69" s="29">
        <f>IF(OR($B69="",$A69&lt;22),"",--MID('Key Analysis'!$C65,22,1))</f>
        <v>1</v>
      </c>
      <c r="FE69" s="29">
        <f>IF(OR($B69="",$A69&lt;23),"",--MID('Key Analysis'!$C65,23,1))</f>
        <v>1</v>
      </c>
      <c r="FF69" s="29">
        <f>IF(OR($B69="",$A69&lt;24),"",--MID('Key Analysis'!$C65,24,1))</f>
        <v>1</v>
      </c>
      <c r="FG69" s="29">
        <f>IF(OR($B69="",$A69&lt;25),"",--MID('Key Analysis'!$C65,25,1))</f>
        <v>0</v>
      </c>
      <c r="FH69" s="29">
        <f>IF(OR($B69="",$A69&lt;26),"",--MID('Key Analysis'!$C65,26,1))</f>
        <v>0</v>
      </c>
      <c r="FI69" s="29">
        <f>IF(OR($B69="",$A69&lt;27),"",--MID('Key Analysis'!$C65,27,1))</f>
        <v>1</v>
      </c>
      <c r="FJ69" s="29">
        <f>IF(OR($B69="",$A69&lt;28),"",--MID('Key Analysis'!$C65,28,1))</f>
        <v>0</v>
      </c>
      <c r="FK69" s="29">
        <f>IF(OR($B69="",$A69&lt;29),"",--MID('Key Analysis'!$C65,29,1))</f>
        <v>0</v>
      </c>
      <c r="FL69" s="29">
        <f>IF(OR($B69="",$A69&lt;30),"",--MID('Key Analysis'!$C65,30,1))</f>
        <v>1</v>
      </c>
      <c r="FM69" s="29">
        <f>IF(OR($B69="",$A69&lt;31),"",--MID('Key Analysis'!$C65,31,1))</f>
        <v>1</v>
      </c>
      <c r="FN69" s="29">
        <f>IF(OR($B69="",$A69&lt;32),"",--MID('Key Analysis'!$C65,32,1))</f>
        <v>1</v>
      </c>
      <c r="FO69" s="29">
        <f>IF(OR($B69="",$A69&lt;33),"",--MID('Key Analysis'!$C65,33,1))</f>
        <v>1</v>
      </c>
      <c r="FP69" s="29">
        <f>IF(OR($B69="",$A69&lt;34),"",--MID('Key Analysis'!$C65,34,1))</f>
        <v>0</v>
      </c>
      <c r="FQ69" s="29">
        <f>IF(OR($B69="",$A69&lt;35),"",--MID('Key Analysis'!$C65,35,1))</f>
        <v>1</v>
      </c>
      <c r="FR69" s="29">
        <f>IF(OR($B69="",$A69&lt;36),"",--MID('Key Analysis'!$C65,36,1))</f>
        <v>1</v>
      </c>
      <c r="FS69" s="29">
        <f>IF(OR($B69="",$A69&lt;37),"",--MID('Key Analysis'!$C65,37,1))</f>
        <v>0</v>
      </c>
      <c r="FT69" s="29">
        <f>IF(OR($B69="",$A69&lt;38),"",--MID('Key Analysis'!$C65,38,1))</f>
        <v>0</v>
      </c>
      <c r="FU69" s="29">
        <f>IF(OR($B69="",$A69&lt;39),"",--MID('Key Analysis'!$C65,39,1))</f>
        <v>0</v>
      </c>
      <c r="FV69" s="29">
        <f>IF(OR($B69="",$A69&lt;40),"",--MID('Key Analysis'!$C65,40,1))</f>
        <v>0</v>
      </c>
      <c r="FW69" s="29">
        <f>IF(OR($B69="",$A69&lt;41),"",--MID('Key Analysis'!$C65,41,1))</f>
        <v>1</v>
      </c>
      <c r="FX69" s="29">
        <f>IF(OR($B69="",$A69&lt;42),"",--MID('Key Analysis'!$C65,42,1))</f>
        <v>0</v>
      </c>
      <c r="FY69" s="29">
        <f>IF(OR($B69="",$A69&lt;43),"",--MID('Key Analysis'!$C65,43,1))</f>
        <v>0</v>
      </c>
      <c r="FZ69" s="29">
        <f>IF(OR($B69="",$A69&lt;44),"",--MID('Key Analysis'!$C65,44,1))</f>
        <v>1</v>
      </c>
      <c r="GA69" s="29">
        <f>IF(OR($B69="",$A69&lt;45),"",--MID('Key Analysis'!$C65,45,1))</f>
        <v>0</v>
      </c>
      <c r="GB69" s="29">
        <f>IF(OR($B69="",$A69&lt;46),"",--MID('Key Analysis'!$C65,46,1))</f>
        <v>0</v>
      </c>
      <c r="GC69" s="29">
        <f>IF(OR($B69="",$A69&lt;47),"",--MID('Key Analysis'!$C65,47,1))</f>
        <v>0</v>
      </c>
      <c r="GD69" s="29">
        <f>IF(OR($B69="",$A69&lt;48),"",--MID('Key Analysis'!$C65,48,1))</f>
        <v>1</v>
      </c>
      <c r="GE69" s="29">
        <f>IF(OR($B69="",$A69&lt;49),"",--MID('Key Analysis'!$C65,49,1))</f>
        <v>0</v>
      </c>
      <c r="GF69" s="29">
        <f>IF(OR($B69="",$A69&lt;50),"",--MID('Key Analysis'!$C65,50,1))</f>
        <v>0</v>
      </c>
      <c r="GG69" s="29">
        <f>IF(OR($B69="",$A69&lt;51),"",--MID('Key Analysis'!$C65,51,1))</f>
        <v>0</v>
      </c>
      <c r="GH69" s="29">
        <f>IF(OR($B69="",$A69&lt;52),"",--MID('Key Analysis'!$C65,52,1))</f>
        <v>1</v>
      </c>
      <c r="GI69" s="29">
        <f>IF(OR($B69="",$A69&lt;53),"",--MID('Key Analysis'!$C65,53,1))</f>
        <v>0</v>
      </c>
      <c r="GJ69" s="29">
        <f>IF(OR($B69="",$A69&lt;54),"",--MID('Key Analysis'!$C65,54,1))</f>
        <v>0</v>
      </c>
      <c r="GK69" s="29">
        <f>IF(OR($B69="",$A69&lt;55),"",--MID('Key Analysis'!$C65,55,1))</f>
        <v>1</v>
      </c>
      <c r="GL69" s="29">
        <f>IF(OR($B69="",$A69&lt;56),"",--MID('Key Analysis'!$C65,56,1))</f>
        <v>0</v>
      </c>
      <c r="GM69" s="29">
        <f>IF(OR($B69="",$A69&lt;57),"",--MID('Key Analysis'!$C65,57,1))</f>
        <v>1</v>
      </c>
      <c r="GN69" s="29">
        <f>IF(OR($B69="",$A69&lt;58),"",--MID('Key Analysis'!$C65,58,1))</f>
        <v>1</v>
      </c>
      <c r="GO69" s="29">
        <f>IF(OR($B69="",$A69&lt;59),"",--MID('Key Analysis'!$C65,59,1))</f>
        <v>0</v>
      </c>
      <c r="GP69" s="29">
        <f>IF(OR($B69="",$A69&lt;60),"",--MID('Key Analysis'!$C65,60,1))</f>
        <v>1</v>
      </c>
      <c r="GQ69" s="29">
        <f>IF(OR($B69="",$A69&lt;61),"",--MID('Key Analysis'!$C65,61,1))</f>
        <v>0</v>
      </c>
      <c r="GR69" s="29">
        <f>IF(OR($B69="",$A69&lt;62),"",--MID('Key Analysis'!$C65,62,1))</f>
        <v>1</v>
      </c>
      <c r="GS69" s="29">
        <f>IF(OR($B69="",$A69&lt;63),"",--MID('Key Analysis'!$C65,63,1))</f>
        <v>0</v>
      </c>
      <c r="GT69" s="29">
        <f>IF(OR($B69="",$A69&lt;64),"",--MID('Key Analysis'!$C65,64,1))</f>
        <v>0</v>
      </c>
      <c r="GU69" s="29" t="str">
        <f>IF(OR($B69="",$A69&lt;65),"",--MID('Key Analysis'!$C65,65,1))</f>
        <v/>
      </c>
      <c r="GV69" s="29" t="str">
        <f>IF(OR($B69="",$A69&lt;66),"",--MID('Key Analysis'!$C65,66,1))</f>
        <v/>
      </c>
      <c r="GW69" s="29" t="str">
        <f>IF(OR($B69="",$A69&lt;67),"",--MID('Key Analysis'!$C65,67,1))</f>
        <v/>
      </c>
      <c r="GX69" s="29" t="str">
        <f>IF(OR($B69="",$A69&lt;68),"",--MID('Key Analysis'!$C65,68,1))</f>
        <v/>
      </c>
      <c r="GY69" s="29" t="str">
        <f>IF(OR($B69="",$A69&lt;69),"",--MID('Key Analysis'!$C65,69,1))</f>
        <v/>
      </c>
      <c r="GZ69" s="29" t="str">
        <f>IF(OR($B69="",$A69&lt;70),"",--MID('Key Analysis'!$C65,70,1))</f>
        <v/>
      </c>
      <c r="HA69" s="29" t="str">
        <f>IF(OR($B69="",$A69&lt;71),"",--MID('Key Analysis'!$C65,71,1))</f>
        <v/>
      </c>
      <c r="HB69" s="29" t="str">
        <f>IF(OR($B69="",$A69&lt;72),"",--MID('Key Analysis'!$C65,72,1))</f>
        <v/>
      </c>
      <c r="HC69" s="29" t="str">
        <f>IF(OR($B69="",$A69&lt;73),"",--MID('Key Analysis'!$C65,73,1))</f>
        <v/>
      </c>
      <c r="HD69" s="29" t="str">
        <f>IF(OR($B69="",$A69&lt;74),"",--MID('Key Analysis'!$C65,74,1))</f>
        <v/>
      </c>
      <c r="HE69" s="29" t="str">
        <f>IF(OR($B69="",$A69&lt;75),"",--MID('Key Analysis'!$C65,75,1))</f>
        <v/>
      </c>
      <c r="HF69" s="29" t="str">
        <f>IF(OR($B69="",$A69&lt;76),"",--MID('Key Analysis'!$C65,76,1))</f>
        <v/>
      </c>
      <c r="HG69" s="29" t="str">
        <f>IF(OR($B69="",$A69&lt;77),"",--MID('Key Analysis'!$C65,77,1))</f>
        <v/>
      </c>
      <c r="HH69" s="29" t="str">
        <f>IF(OR($B69="",$A69&lt;78),"",--MID('Key Analysis'!$C65,78,1))</f>
        <v/>
      </c>
      <c r="HI69" s="29" t="str">
        <f>IF(OR($B69="",$A69&lt;79),"",--MID('Key Analysis'!$C65,79,1))</f>
        <v/>
      </c>
      <c r="HJ69" s="29" t="str">
        <f>IF(OR($B69="",$A69&lt;80),"",--MID('Key Analysis'!$C65,80,1))</f>
        <v/>
      </c>
      <c r="HK69" s="29" t="str">
        <f>IF(OR($B69="",$A69&lt;81),"",--MID('Key Analysis'!$C65,81,1))</f>
        <v/>
      </c>
      <c r="HL69" s="29" t="str">
        <f>IF(OR($B69="",$A69&lt;82),"",--MID('Key Analysis'!$C65,82,1))</f>
        <v/>
      </c>
      <c r="HM69" s="29" t="str">
        <f>IF(OR($B69="",$A69&lt;83),"",--MID('Key Analysis'!$C65,83,1))</f>
        <v/>
      </c>
      <c r="HN69" s="29" t="str">
        <f>IF(OR($B69="",$A69&lt;84),"",--MID('Key Analysis'!$C65,84,1))</f>
        <v/>
      </c>
      <c r="HO69" s="29" t="str">
        <f>IF(OR($B69="",$A69&lt;85),"",--MID('Key Analysis'!$C65,85,1))</f>
        <v/>
      </c>
      <c r="HP69" s="29" t="str">
        <f>IF(OR($B69="",$A69&lt;86),"",--MID('Key Analysis'!$C65,86,1))</f>
        <v/>
      </c>
      <c r="HQ69" s="29" t="str">
        <f>IF(OR($B69="",$A69&lt;87),"",--MID('Key Analysis'!$C65,87,1))</f>
        <v/>
      </c>
      <c r="HR69" s="29" t="str">
        <f>IF(OR($B69="",$A69&lt;88),"",--MID('Key Analysis'!$C65,88,1))</f>
        <v/>
      </c>
      <c r="HS69" s="29" t="str">
        <f>IF(OR($B69="",$A69&lt;89),"",--MID('Key Analysis'!$C65,89,1))</f>
        <v/>
      </c>
      <c r="HT69" s="29" t="str">
        <f>IF(OR($B69="",$A69&lt;90),"",--MID('Key Analysis'!$C65,90,1))</f>
        <v/>
      </c>
      <c r="HU69" s="29" t="str">
        <f>IF(OR($B69="",$A69&lt;91),"",--MID('Key Analysis'!$C65,91,1))</f>
        <v/>
      </c>
      <c r="HV69" s="29" t="str">
        <f>IF(OR($B69="",$A69&lt;92),"",--MID('Key Analysis'!$C65,92,1))</f>
        <v/>
      </c>
      <c r="HW69" s="29" t="str">
        <f>IF(OR($B69="",$A69&lt;93),"",--MID('Key Analysis'!$C65,93,1))</f>
        <v/>
      </c>
      <c r="HX69" s="29" t="str">
        <f>IF(OR($B69="",$A69&lt;94),"",--MID('Key Analysis'!$C65,94,1))</f>
        <v/>
      </c>
      <c r="HY69" s="29" t="str">
        <f>IF(OR($B69="",$A69&lt;95),"",--MID('Key Analysis'!$C65,95,1))</f>
        <v/>
      </c>
      <c r="HZ69" s="29" t="str">
        <f>IF(OR($B69="",$A69&lt;96),"",--MID('Key Analysis'!$C65,96,1))</f>
        <v/>
      </c>
      <c r="IA69" s="29" t="str">
        <f>IF(OR($B69="",$A69&lt;97),"",--MID('Key Analysis'!$C65,97,1))</f>
        <v/>
      </c>
      <c r="IB69" s="29" t="str">
        <f>IF(OR($B69="",$A69&lt;98),"",--MID('Key Analysis'!$C65,98,1))</f>
        <v/>
      </c>
      <c r="IC69" s="29" t="str">
        <f>IF(OR($B69="",$A69&lt;99),"",--MID('Key Analysis'!$C65,99,1))</f>
        <v/>
      </c>
      <c r="ID69" s="29" t="str">
        <f>IF(OR($B69="",$A69&lt;100),"",--MID('Key Analysis'!$C65,100,1))</f>
        <v/>
      </c>
      <c r="IE69" s="29" t="str">
        <f>IF(OR($B69="",$A69&lt;101),"",--MID('Key Analysis'!$C65,101,1))</f>
        <v/>
      </c>
      <c r="IF69" s="29" t="str">
        <f>IF(OR($B69="",$A69&lt;102),"",--MID('Key Analysis'!$C65,102,1))</f>
        <v/>
      </c>
      <c r="IG69" s="29" t="str">
        <f>IF(OR($B69="",$A69&lt;103),"",--MID('Key Analysis'!$C65,103,1))</f>
        <v/>
      </c>
      <c r="IH69" s="29" t="str">
        <f>IF(OR($B69="",$A69&lt;104),"",--MID('Key Analysis'!$C65,104,1))</f>
        <v/>
      </c>
      <c r="II69" s="29" t="str">
        <f>IF(OR($B69="",$A69&lt;105),"",--MID('Key Analysis'!$C65,105,1))</f>
        <v/>
      </c>
      <c r="IJ69" s="29" t="str">
        <f>IF(OR($B69="",$A69&lt;106),"",--MID('Key Analysis'!$C65,106,1))</f>
        <v/>
      </c>
      <c r="IK69" s="29" t="str">
        <f>IF(OR($B69="",$A69&lt;107),"",--MID('Key Analysis'!$C65,107,1))</f>
        <v/>
      </c>
      <c r="IL69" s="29" t="str">
        <f>IF(OR($B69="",$A69&lt;108),"",--MID('Key Analysis'!$C65,108,1))</f>
        <v/>
      </c>
      <c r="IM69" s="29" t="str">
        <f>IF(OR($B69="",$A69&lt;109),"",--MID('Key Analysis'!$C65,109,1))</f>
        <v/>
      </c>
      <c r="IN69" s="29" t="str">
        <f>IF(OR($B69="",$A69&lt;110),"",--MID('Key Analysis'!$C65,110,1))</f>
        <v/>
      </c>
      <c r="IO69" s="29" t="str">
        <f>IF(OR($B69="",$A69&lt;111),"",--MID('Key Analysis'!$C65,111,1))</f>
        <v/>
      </c>
      <c r="IP69" s="29" t="str">
        <f>IF(OR($B69="",$A69&lt;112),"",--MID('Key Analysis'!$C65,112,1))</f>
        <v/>
      </c>
      <c r="IQ69" s="29" t="str">
        <f>IF(OR($B69="",$A69&lt;113),"",--MID('Key Analysis'!$C65,113,1))</f>
        <v/>
      </c>
      <c r="IR69" s="29" t="str">
        <f>IF(OR($B69="",$A69&lt;114),"",--MID('Key Analysis'!$C65,114,1))</f>
        <v/>
      </c>
      <c r="IS69" s="29" t="str">
        <f>IF(OR($B69="",$A69&lt;115),"",--MID('Key Analysis'!$C65,115,1))</f>
        <v/>
      </c>
      <c r="IT69" s="29" t="str">
        <f>IF(OR($B69="",$A69&lt;116),"",--MID('Key Analysis'!$C65,116,1))</f>
        <v/>
      </c>
      <c r="IU69" s="29" t="str">
        <f>IF(OR($B69="",$A69&lt;117),"",--MID('Key Analysis'!$C65,117,1))</f>
        <v/>
      </c>
      <c r="IV69" s="29" t="str">
        <f>IF(OR($B69="",$A69&lt;118),"",--MID('Key Analysis'!$C65,118,1))</f>
        <v/>
      </c>
      <c r="IW69" s="29" t="str">
        <f>IF(OR($B69="",$A69&lt;119),"",--MID('Key Analysis'!$C65,119,1))</f>
        <v/>
      </c>
      <c r="IX69" s="29" t="str">
        <f>IF(OR($B69="",$A69&lt;120),"",--MID('Key Analysis'!$C65,120,1))</f>
        <v/>
      </c>
      <c r="IY69" s="29" t="str">
        <f>IF(OR($B69="",$A69&lt;121),"",--MID('Key Analysis'!$C65,121,1))</f>
        <v/>
      </c>
      <c r="IZ69" s="29" t="str">
        <f>IF(OR($B69="",$A69&lt;122),"",--MID('Key Analysis'!$C65,122,1))</f>
        <v/>
      </c>
      <c r="JA69" s="29" t="str">
        <f>IF(OR($B69="",$A69&lt;123),"",--MID('Key Analysis'!$C65,123,1))</f>
        <v/>
      </c>
      <c r="JB69" s="29" t="str">
        <f>IF(OR($B69="",$A69&lt;124),"",--MID('Key Analysis'!$C65,124,1))</f>
        <v/>
      </c>
      <c r="JC69" s="29" t="str">
        <f>IF(OR($B69="",$A69&lt;125),"",--MID('Key Analysis'!$C65,125,1))</f>
        <v/>
      </c>
      <c r="JD69" s="29" t="str">
        <f>IF(OR($B69="",$A69&lt;126),"",--MID('Key Analysis'!$C65,126,1))</f>
        <v/>
      </c>
      <c r="JE69" s="29" t="str">
        <f>IF(OR($B69="",$A69&lt;127),"",--MID('Key Analysis'!$C65,127,1))</f>
        <v/>
      </c>
      <c r="JF69" s="29" t="str">
        <f>IF(OR($B69="",$A69&lt;128),"",--MID('Key Analysis'!$C65,128,1))</f>
        <v/>
      </c>
      <c r="JG69" s="29" t="str">
        <f>IF(OR($B69="",$A69&lt;129),"",--MID('Key Analysis'!$C65,129,1))</f>
        <v/>
      </c>
      <c r="JH69" s="29" t="str">
        <f>IF(OR($B69="",$A69&lt;130),"",--MID('Key Analysis'!$C65,130,1))</f>
        <v/>
      </c>
      <c r="JI69" s="29" t="str">
        <f>IF(OR($B69="",$A69&lt;131),"",--MID('Key Analysis'!$C65,131,1))</f>
        <v/>
      </c>
      <c r="JJ69" s="29" t="str">
        <f>IF(OR($B69="",$A69&lt;132),"",--MID('Key Analysis'!$C65,132,1))</f>
        <v/>
      </c>
      <c r="JK69" s="29" t="str">
        <f>IF(OR($B69="",$A69&lt;133),"",--MID('Key Analysis'!$C65,133,1))</f>
        <v/>
      </c>
      <c r="JL69" s="29" t="str">
        <f>IF(OR($B69="",$A69&lt;134),"",--MID('Key Analysis'!$C65,134,1))</f>
        <v/>
      </c>
      <c r="JM69" s="29" t="str">
        <f>IF(OR($B69="",$A69&lt;135),"",--MID('Key Analysis'!$C65,135,1))</f>
        <v/>
      </c>
    </row>
    <row r="70" spans="1:273" x14ac:dyDescent="0.25">
      <c r="A70" s="21">
        <f>'Key Analysis'!A66</f>
        <v>65</v>
      </c>
      <c r="B70" s="30" t="str">
        <f>'Key Analysis'!B66</f>
        <v>1a838b13505b26867</v>
      </c>
      <c r="C70" s="29">
        <f>IF(OR($B70="",$A70&lt;=0),"",--MID('Key Analysis'!$C66,$A70-0,1))</f>
        <v>1</v>
      </c>
      <c r="D70" s="29">
        <f>IF(OR($B70="",$A70&lt;=1),"",--MID('Key Analysis'!$C66,$A70-1,1))</f>
        <v>1</v>
      </c>
      <c r="E70" s="29">
        <f>IF(OR($B70="",$A70&lt;=2),"",--MID('Key Analysis'!$C66,$A70-2,1))</f>
        <v>1</v>
      </c>
      <c r="F70" s="29">
        <f>IF(OR($B70="",$A70&lt;=3),"",--MID('Key Analysis'!$C66,$A70-3,1))</f>
        <v>0</v>
      </c>
      <c r="G70" s="29">
        <f>IF(OR($B70="",$A70&lt;=4),"",--MID('Key Analysis'!$C66,$A70-4,1))</f>
        <v>0</v>
      </c>
      <c r="H70" s="29">
        <f>IF(OR($B70="",$A70&lt;=5),"",--MID('Key Analysis'!$C66,$A70-5,1))</f>
        <v>1</v>
      </c>
      <c r="I70" s="29">
        <f>IF(OR($B70="",$A70&lt;=6),"",--MID('Key Analysis'!$C66,$A70-6,1))</f>
        <v>1</v>
      </c>
      <c r="J70" s="29">
        <f>IF(OR($B70="",$A70&lt;=7),"",--MID('Key Analysis'!$C66,$A70-7,1))</f>
        <v>0</v>
      </c>
      <c r="K70" s="29">
        <f>IF(OR($B70="",$A70&lt;=8),"",--MID('Key Analysis'!$C66,$A70-8,1))</f>
        <v>0</v>
      </c>
      <c r="L70" s="29">
        <f>IF(OR($B70="",$A70&lt;=9),"",--MID('Key Analysis'!$C66,$A70-9,1))</f>
        <v>0</v>
      </c>
      <c r="M70" s="29">
        <f>IF(OR($B70="",$A70&lt;=10),"",--MID('Key Analysis'!$C66,$A70-10,1))</f>
        <v>0</v>
      </c>
      <c r="N70" s="29">
        <f>IF(OR($B70="",$A70&lt;=11),"",--MID('Key Analysis'!$C66,$A70-11,1))</f>
        <v>1</v>
      </c>
      <c r="O70" s="29">
        <f>IF(OR($B70="",$A70&lt;=12),"",--MID('Key Analysis'!$C66,$A70-12,1))</f>
        <v>0</v>
      </c>
      <c r="P70" s="29">
        <f>IF(OR($B70="",$A70&lt;=13),"",--MID('Key Analysis'!$C66,$A70-13,1))</f>
        <v>1</v>
      </c>
      <c r="Q70" s="29">
        <f>IF(OR($B70="",$A70&lt;=14),"",--MID('Key Analysis'!$C66,$A70-14,1))</f>
        <v>1</v>
      </c>
      <c r="R70" s="29">
        <f>IF(OR($B70="",$A70&lt;=15),"",--MID('Key Analysis'!$C66,$A70-15,1))</f>
        <v>0</v>
      </c>
      <c r="S70" s="29">
        <f>IF(OR($B70="",$A70&lt;=16),"",--MID('Key Analysis'!$C66,$A70-16,1))</f>
        <v>0</v>
      </c>
      <c r="T70" s="29">
        <f>IF(OR($B70="",$A70&lt;=17),"",--MID('Key Analysis'!$C66,$A70-17,1))</f>
        <v>1</v>
      </c>
      <c r="U70" s="29">
        <f>IF(OR($B70="",$A70&lt;=18),"",--MID('Key Analysis'!$C66,$A70-18,1))</f>
        <v>0</v>
      </c>
      <c r="V70" s="29">
        <f>IF(OR($B70="",$A70&lt;=19),"",--MID('Key Analysis'!$C66,$A70-19,1))</f>
        <v>0</v>
      </c>
      <c r="W70" s="29">
        <f>IF(OR($B70="",$A70&lt;=20),"",--MID('Key Analysis'!$C66,$A70-20,1))</f>
        <v>1</v>
      </c>
      <c r="X70" s="29">
        <f>IF(OR($B70="",$A70&lt;=21),"",--MID('Key Analysis'!$C66,$A70-21,1))</f>
        <v>1</v>
      </c>
      <c r="Y70" s="29">
        <f>IF(OR($B70="",$A70&lt;=22),"",--MID('Key Analysis'!$C66,$A70-22,1))</f>
        <v>0</v>
      </c>
      <c r="Z70" s="29">
        <f>IF(OR($B70="",$A70&lt;=23),"",--MID('Key Analysis'!$C66,$A70-23,1))</f>
        <v>1</v>
      </c>
      <c r="AA70" s="29">
        <f>IF(OR($B70="",$A70&lt;=24),"",--MID('Key Analysis'!$C66,$A70-24,1))</f>
        <v>1</v>
      </c>
      <c r="AB70" s="29">
        <f>IF(OR($B70="",$A70&lt;=25),"",--MID('Key Analysis'!$C66,$A70-25,1))</f>
        <v>0</v>
      </c>
      <c r="AC70" s="29">
        <f>IF(OR($B70="",$A70&lt;=26),"",--MID('Key Analysis'!$C66,$A70-26,1))</f>
        <v>1</v>
      </c>
      <c r="AD70" s="29">
        <f>IF(OR($B70="",$A70&lt;=27),"",--MID('Key Analysis'!$C66,$A70-27,1))</f>
        <v>0</v>
      </c>
      <c r="AE70" s="29">
        <f>IF(OR($B70="",$A70&lt;=28),"",--MID('Key Analysis'!$C66,$A70-28,1))</f>
        <v>0</v>
      </c>
      <c r="AF70" s="29">
        <f>IF(OR($B70="",$A70&lt;=29),"",--MID('Key Analysis'!$C66,$A70-29,1))</f>
        <v>0</v>
      </c>
      <c r="AG70" s="29">
        <f>IF(OR($B70="",$A70&lt;=30),"",--MID('Key Analysis'!$C66,$A70-30,1))</f>
        <v>0</v>
      </c>
      <c r="AH70" s="29">
        <f>IF(OR($B70="",$A70&lt;=31),"",--MID('Key Analysis'!$C66,$A70-31,1))</f>
        <v>0</v>
      </c>
      <c r="AI70" s="29">
        <f>IF(OR($B70="",$A70&lt;=32),"",--MID('Key Analysis'!$C66,$A70-32,1))</f>
        <v>1</v>
      </c>
      <c r="AJ70" s="29">
        <f>IF(OR($B70="",$A70&lt;=33),"",--MID('Key Analysis'!$C66,$A70-33,1))</f>
        <v>0</v>
      </c>
      <c r="AK70" s="29">
        <f>IF(OR($B70="",$A70&lt;=34),"",--MID('Key Analysis'!$C66,$A70-34,1))</f>
        <v>1</v>
      </c>
      <c r="AL70" s="29">
        <f>IF(OR($B70="",$A70&lt;=35),"",--MID('Key Analysis'!$C66,$A70-35,1))</f>
        <v>0</v>
      </c>
      <c r="AM70" s="29">
        <f>IF(OR($B70="",$A70&lt;=36),"",--MID('Key Analysis'!$C66,$A70-36,1))</f>
        <v>1</v>
      </c>
      <c r="AN70" s="29">
        <f>IF(OR($B70="",$A70&lt;=37),"",--MID('Key Analysis'!$C66,$A70-37,1))</f>
        <v>1</v>
      </c>
      <c r="AO70" s="29">
        <f>IF(OR($B70="",$A70&lt;=38),"",--MID('Key Analysis'!$C66,$A70-38,1))</f>
        <v>0</v>
      </c>
      <c r="AP70" s="29">
        <f>IF(OR($B70="",$A70&lt;=39),"",--MID('Key Analysis'!$C66,$A70-39,1))</f>
        <v>0</v>
      </c>
      <c r="AQ70" s="29">
        <f>IF(OR($B70="",$A70&lt;=40),"",--MID('Key Analysis'!$C66,$A70-40,1))</f>
        <v>1</v>
      </c>
      <c r="AR70" s="29">
        <f>IF(OR($B70="",$A70&lt;=41),"",--MID('Key Analysis'!$C66,$A70-41,1))</f>
        <v>0</v>
      </c>
      <c r="AS70" s="29">
        <f>IF(OR($B70="",$A70&lt;=42),"",--MID('Key Analysis'!$C66,$A70-42,1))</f>
        <v>0</v>
      </c>
      <c r="AT70" s="29">
        <f>IF(OR($B70="",$A70&lt;=43),"",--MID('Key Analysis'!$C66,$A70-43,1))</f>
        <v>0</v>
      </c>
      <c r="AU70" s="29">
        <f>IF(OR($B70="",$A70&lt;=44),"",--MID('Key Analysis'!$C66,$A70-44,1))</f>
        <v>1</v>
      </c>
      <c r="AV70" s="29">
        <f>IF(OR($B70="",$A70&lt;=45),"",--MID('Key Analysis'!$C66,$A70-45,1))</f>
        <v>1</v>
      </c>
      <c r="AW70" s="29">
        <f>IF(OR($B70="",$A70&lt;=46),"",--MID('Key Analysis'!$C66,$A70-46,1))</f>
        <v>0</v>
      </c>
      <c r="AX70" s="29">
        <f>IF(OR($B70="",$A70&lt;=47),"",--MID('Key Analysis'!$C66,$A70-47,1))</f>
        <v>1</v>
      </c>
      <c r="AY70" s="29">
        <f>IF(OR($B70="",$A70&lt;=48),"",--MID('Key Analysis'!$C66,$A70-48,1))</f>
        <v>0</v>
      </c>
      <c r="AZ70" s="29">
        <f>IF(OR($B70="",$A70&lt;=49),"",--MID('Key Analysis'!$C66,$A70-49,1))</f>
        <v>0</v>
      </c>
      <c r="BA70" s="29">
        <f>IF(OR($B70="",$A70&lt;=50),"",--MID('Key Analysis'!$C66,$A70-50,1))</f>
        <v>0</v>
      </c>
      <c r="BB70" s="29">
        <f>IF(OR($B70="",$A70&lt;=51),"",--MID('Key Analysis'!$C66,$A70-51,1))</f>
        <v>1</v>
      </c>
      <c r="BC70" s="29">
        <f>IF(OR($B70="",$A70&lt;=52),"",--MID('Key Analysis'!$C66,$A70-52,1))</f>
        <v>1</v>
      </c>
      <c r="BD70" s="29">
        <f>IF(OR($B70="",$A70&lt;=53),"",--MID('Key Analysis'!$C66,$A70-53,1))</f>
        <v>1</v>
      </c>
      <c r="BE70" s="29">
        <f>IF(OR($B70="",$A70&lt;=54),"",--MID('Key Analysis'!$C66,$A70-54,1))</f>
        <v>0</v>
      </c>
      <c r="BF70" s="29">
        <f>IF(OR($B70="",$A70&lt;=55),"",--MID('Key Analysis'!$C66,$A70-55,1))</f>
        <v>0</v>
      </c>
      <c r="BG70" s="29">
        <f>IF(OR($B70="",$A70&lt;=56),"",--MID('Key Analysis'!$C66,$A70-56,1))</f>
        <v>0</v>
      </c>
      <c r="BH70" s="29">
        <f>IF(OR($B70="",$A70&lt;=57),"",--MID('Key Analysis'!$C66,$A70-57,1))</f>
        <v>0</v>
      </c>
      <c r="BI70" s="29">
        <f>IF(OR($B70="",$A70&lt;=58),"",--MID('Key Analysis'!$C66,$A70-58,1))</f>
        <v>0</v>
      </c>
      <c r="BJ70" s="29">
        <f>IF(OR($B70="",$A70&lt;=59),"",--MID('Key Analysis'!$C66,$A70-59,1))</f>
        <v>1</v>
      </c>
      <c r="BK70" s="29">
        <f>IF(OR($B70="",$A70&lt;=60),"",--MID('Key Analysis'!$C66,$A70-60,1))</f>
        <v>0</v>
      </c>
      <c r="BL70" s="29">
        <f>IF(OR($B70="",$A70&lt;=61),"",--MID('Key Analysis'!$C66,$A70-61,1))</f>
        <v>1</v>
      </c>
      <c r="BM70" s="29">
        <f>IF(OR($B70="",$A70&lt;=62),"",--MID('Key Analysis'!$C66,$A70-62,1))</f>
        <v>0</v>
      </c>
      <c r="BN70" s="29">
        <f>IF(OR($B70="",$A70&lt;=63),"",--MID('Key Analysis'!$C66,$A70-63,1))</f>
        <v>1</v>
      </c>
      <c r="BO70" s="29">
        <f>IF(OR($B70="",$A70&lt;=64),"",--MID('Key Analysis'!$C66,$A70-64,1))</f>
        <v>1</v>
      </c>
      <c r="BP70" s="29" t="str">
        <f>IF(OR($B70="",$A70&lt;=65),"",--MID('Key Analysis'!$C66,$A70-65,1))</f>
        <v/>
      </c>
      <c r="BQ70" s="29" t="str">
        <f>IF(OR($B70="",$A70&lt;=66),"",--MID('Key Analysis'!$C66,$A70-66,1))</f>
        <v/>
      </c>
      <c r="BR70" s="29" t="str">
        <f>IF(OR($B70="",$A70&lt;=67),"",--MID('Key Analysis'!$C66,$A70-67,1))</f>
        <v/>
      </c>
      <c r="BS70" s="29" t="str">
        <f>IF(OR($B70="",$A70&lt;=68),"",--MID('Key Analysis'!$C66,$A70-68,1))</f>
        <v/>
      </c>
      <c r="BT70" s="29" t="str">
        <f>IF(OR($B70="",$A70&lt;=69),"",--MID('Key Analysis'!$C66,$A70-69,1))</f>
        <v/>
      </c>
      <c r="BU70" s="29" t="str">
        <f>IF(OR($B70="",$A70&lt;=70),"",--MID('Key Analysis'!$C66,$A70-70,1))</f>
        <v/>
      </c>
      <c r="BV70" s="29" t="str">
        <f>IF(OR($B70="",$A70&lt;=71),"",--MID('Key Analysis'!$C66,$A70-71,1))</f>
        <v/>
      </c>
      <c r="BW70" s="29" t="str">
        <f>IF(OR($B70="",$A70&lt;=72),"",--MID('Key Analysis'!$C66,$A70-72,1))</f>
        <v/>
      </c>
      <c r="BX70" s="29" t="str">
        <f>IF(OR($B70="",$A70&lt;=73),"",--MID('Key Analysis'!$C66,$A70-73,1))</f>
        <v/>
      </c>
      <c r="BY70" s="29" t="str">
        <f>IF(OR($B70="",$A70&lt;=74),"",--MID('Key Analysis'!$C66,$A70-74,1))</f>
        <v/>
      </c>
      <c r="BZ70" s="29" t="str">
        <f>IF(OR($B70="",$A70&lt;=75),"",--MID('Key Analysis'!$C66,$A70-75,1))</f>
        <v/>
      </c>
      <c r="CA70" s="29" t="str">
        <f>IF(OR($B70="",$A70&lt;=76),"",--MID('Key Analysis'!$C66,$A70-76,1))</f>
        <v/>
      </c>
      <c r="CB70" s="29" t="str">
        <f>IF(OR($B70="",$A70&lt;=77),"",--MID('Key Analysis'!$C66,$A70-77,1))</f>
        <v/>
      </c>
      <c r="CC70" s="29" t="str">
        <f>IF(OR($B70="",$A70&lt;=78),"",--MID('Key Analysis'!$C66,$A70-78,1))</f>
        <v/>
      </c>
      <c r="CD70" s="29" t="str">
        <f>IF(OR($B70="",$A70&lt;=79),"",--MID('Key Analysis'!$C66,$A70-79,1))</f>
        <v/>
      </c>
      <c r="CE70" s="29" t="str">
        <f>IF(OR($B70="",$A70&lt;=80),"",--MID('Key Analysis'!$C66,$A70-80,1))</f>
        <v/>
      </c>
      <c r="CF70" s="29" t="str">
        <f>IF(OR($B70="",$A70&lt;=81),"",--MID('Key Analysis'!$C66,$A70-81,1))</f>
        <v/>
      </c>
      <c r="CG70" s="29" t="str">
        <f>IF(OR($B70="",$A70&lt;=82),"",--MID('Key Analysis'!$C66,$A70-82,1))</f>
        <v/>
      </c>
      <c r="CH70" s="29" t="str">
        <f>IF(OR($B70="",$A70&lt;=83),"",--MID('Key Analysis'!$C66,$A70-83,1))</f>
        <v/>
      </c>
      <c r="CI70" s="29" t="str">
        <f>IF(OR($B70="",$A70&lt;=84),"",--MID('Key Analysis'!$C66,$A70-84,1))</f>
        <v/>
      </c>
      <c r="CJ70" s="29" t="str">
        <f>IF(OR($B70="",$A70&lt;=85),"",--MID('Key Analysis'!$C66,$A70-85,1))</f>
        <v/>
      </c>
      <c r="CK70" s="29" t="str">
        <f>IF(OR($B70="",$A70&lt;=86),"",--MID('Key Analysis'!$C66,$A70-86,1))</f>
        <v/>
      </c>
      <c r="CL70" s="29" t="str">
        <f>IF(OR($B70="",$A70&lt;=87),"",--MID('Key Analysis'!$C66,$A70-87,1))</f>
        <v/>
      </c>
      <c r="CM70" s="29" t="str">
        <f>IF(OR($B70="",$A70&lt;=88),"",--MID('Key Analysis'!$C66,$A70-88,1))</f>
        <v/>
      </c>
      <c r="CN70" s="29" t="str">
        <f>IF(OR($B70="",$A70&lt;=89),"",--MID('Key Analysis'!$C66,$A70-89,1))</f>
        <v/>
      </c>
      <c r="CO70" s="29" t="str">
        <f>IF(OR($B70="",$A70&lt;=90),"",--MID('Key Analysis'!$C66,$A70-90,1))</f>
        <v/>
      </c>
      <c r="CP70" s="29" t="str">
        <f>IF(OR($B70="",$A70&lt;=91),"",--MID('Key Analysis'!$C66,$A70-91,1))</f>
        <v/>
      </c>
      <c r="CQ70" s="29" t="str">
        <f>IF(OR($B70="",$A70&lt;=92),"",--MID('Key Analysis'!$C66,$A70-92,1))</f>
        <v/>
      </c>
      <c r="CR70" s="29" t="str">
        <f>IF(OR($B70="",$A70&lt;=93),"",--MID('Key Analysis'!$C66,$A70-93,1))</f>
        <v/>
      </c>
      <c r="CS70" s="29" t="str">
        <f>IF(OR($B70="",$A70&lt;=94),"",--MID('Key Analysis'!$C66,$A70-94,1))</f>
        <v/>
      </c>
      <c r="CT70" s="29" t="str">
        <f>IF(OR($B70="",$A70&lt;=95),"",--MID('Key Analysis'!$C66,$A70-95,1))</f>
        <v/>
      </c>
      <c r="CU70" s="29" t="str">
        <f>IF(OR($B70="",$A70&lt;=96),"",--MID('Key Analysis'!$C66,$A70-96,1))</f>
        <v/>
      </c>
      <c r="CV70" s="29" t="str">
        <f>IF(OR($B70="",$A70&lt;=97),"",--MID('Key Analysis'!$C66,$A70-97,1))</f>
        <v/>
      </c>
      <c r="CW70" s="29" t="str">
        <f>IF(OR($B70="",$A70&lt;=98),"",--MID('Key Analysis'!$C66,$A70-98,1))</f>
        <v/>
      </c>
      <c r="CX70" s="29" t="str">
        <f>IF(OR($B70="",$A70&lt;=99),"",--MID('Key Analysis'!$C66,$A70-99,1))</f>
        <v/>
      </c>
      <c r="CY70" s="29" t="str">
        <f>IF(OR($B70="",$A70&lt;=100),"",--MID('Key Analysis'!$C66,$A70-100,1))</f>
        <v/>
      </c>
      <c r="CZ70" s="29" t="str">
        <f>IF(OR($B70="",$A70&lt;=101),"",--MID('Key Analysis'!$C66,$A70-101,1))</f>
        <v/>
      </c>
      <c r="DA70" s="29" t="str">
        <f>IF(OR($B70="",$A70&lt;=102),"",--MID('Key Analysis'!$C66,$A70-102,1))</f>
        <v/>
      </c>
      <c r="DB70" s="29" t="str">
        <f>IF(OR($B70="",$A70&lt;=103),"",--MID('Key Analysis'!$C66,$A70-103,1))</f>
        <v/>
      </c>
      <c r="DC70" s="29" t="str">
        <f>IF(OR($B70="",$A70&lt;=104),"",--MID('Key Analysis'!$C66,$A70-104,1))</f>
        <v/>
      </c>
      <c r="DD70" s="29" t="str">
        <f>IF(OR($B70="",$A70&lt;=105),"",--MID('Key Analysis'!$C66,$A70-105,1))</f>
        <v/>
      </c>
      <c r="DE70" s="29" t="str">
        <f>IF(OR($B70="",$A70&lt;=106),"",--MID('Key Analysis'!$C66,$A70-106,1))</f>
        <v/>
      </c>
      <c r="DF70" s="29" t="str">
        <f>IF(OR($B70="",$A70&lt;=107),"",--MID('Key Analysis'!$C66,$A70-107,1))</f>
        <v/>
      </c>
      <c r="DG70" s="29" t="str">
        <f>IF(OR($B70="",$A70&lt;=108),"",--MID('Key Analysis'!$C66,$A70-108,1))</f>
        <v/>
      </c>
      <c r="DH70" s="29" t="str">
        <f>IF(OR($B70="",$A70&lt;=109),"",--MID('Key Analysis'!$C66,$A70-109,1))</f>
        <v/>
      </c>
      <c r="DI70" s="29" t="str">
        <f>IF(OR($B70="",$A70&lt;=110),"",--MID('Key Analysis'!$C66,$A70-110,1))</f>
        <v/>
      </c>
      <c r="DJ70" s="29" t="str">
        <f>IF(OR($B70="",$A70&lt;=111),"",--MID('Key Analysis'!$C66,$A70-111,1))</f>
        <v/>
      </c>
      <c r="DK70" s="29" t="str">
        <f>IF(OR($B70="",$A70&lt;=112),"",--MID('Key Analysis'!$C66,$A70-112,1))</f>
        <v/>
      </c>
      <c r="DL70" s="29" t="str">
        <f>IF(OR($B70="",$A70&lt;=113),"",--MID('Key Analysis'!$C66,$A70-113,1))</f>
        <v/>
      </c>
      <c r="DM70" s="29" t="str">
        <f>IF(OR($B70="",$A70&lt;=114),"",--MID('Key Analysis'!$C66,$A70-114,1))</f>
        <v/>
      </c>
      <c r="DN70" s="29" t="str">
        <f>IF(OR($B70="",$A70&lt;=115),"",--MID('Key Analysis'!$C66,$A70-115,1))</f>
        <v/>
      </c>
      <c r="DO70" s="29" t="str">
        <f>IF(OR($B70="",$A70&lt;=116),"",--MID('Key Analysis'!$C66,$A70-116,1))</f>
        <v/>
      </c>
      <c r="DP70" s="29" t="str">
        <f>IF(OR($B70="",$A70&lt;=117),"",--MID('Key Analysis'!$C66,$A70-117,1))</f>
        <v/>
      </c>
      <c r="DQ70" s="29" t="str">
        <f>IF(OR($B70="",$A70&lt;=118),"",--MID('Key Analysis'!$C66,$A70-118,1))</f>
        <v/>
      </c>
      <c r="DR70" s="29" t="str">
        <f>IF(OR($B70="",$A70&lt;=119),"",--MID('Key Analysis'!$C66,$A70-119,1))</f>
        <v/>
      </c>
      <c r="DS70" s="29" t="str">
        <f>IF(OR($B70="",$A70&lt;=120),"",--MID('Key Analysis'!$C66,$A70-120,1))</f>
        <v/>
      </c>
      <c r="DT70" s="29" t="str">
        <f>IF(OR($B70="",$A70&lt;=121),"",--MID('Key Analysis'!$C66,$A70-121,1))</f>
        <v/>
      </c>
      <c r="DU70" s="29" t="str">
        <f>IF(OR($B70="",$A70&lt;=122),"",--MID('Key Analysis'!$C66,$A70-122,1))</f>
        <v/>
      </c>
      <c r="DV70" s="29" t="str">
        <f>IF(OR($B70="",$A70&lt;=123),"",--MID('Key Analysis'!$C66,$A70-123,1))</f>
        <v/>
      </c>
      <c r="DW70" s="29" t="str">
        <f>IF(OR($B70="",$A70&lt;=124),"",--MID('Key Analysis'!$C66,$A70-124,1))</f>
        <v/>
      </c>
      <c r="DX70" s="29" t="str">
        <f>IF(OR($B70="",$A70&lt;=125),"",--MID('Key Analysis'!$C66,$A70-125,1))</f>
        <v/>
      </c>
      <c r="DY70" s="29" t="str">
        <f>IF(OR($B70="",$A70&lt;=126),"",--MID('Key Analysis'!$C66,$A70-126,1))</f>
        <v/>
      </c>
      <c r="DZ70" s="29" t="str">
        <f>IF(OR($B70="",$A70&lt;=127),"",--MID('Key Analysis'!$C66,$A70-127,1))</f>
        <v/>
      </c>
      <c r="EA70" s="29" t="str">
        <f>IF(OR($B70="",$A70&lt;=128),"",--MID('Key Analysis'!$C66,$A70-128,1))</f>
        <v/>
      </c>
      <c r="EB70" s="29" t="str">
        <f>IF(OR($B70="",$A70&lt;=129),"",--MID('Key Analysis'!$C66,$A70-129,1))</f>
        <v/>
      </c>
      <c r="EC70" s="29" t="str">
        <f>IF(OR($B70="",$A70&lt;=130),"",--MID('Key Analysis'!$C66,$A70-130,1))</f>
        <v/>
      </c>
      <c r="ED70" s="29" t="str">
        <f>IF(OR($B70="",$A70&lt;=131),"",--MID('Key Analysis'!$C66,$A70-131,1))</f>
        <v/>
      </c>
      <c r="EE70" s="29" t="str">
        <f>IF(OR($B70="",$A70&lt;=132),"",--MID('Key Analysis'!$C66,$A70-132,1))</f>
        <v/>
      </c>
      <c r="EF70" s="29" t="str">
        <f>IF(OR($B70="",$A70&lt;=133),"",--MID('Key Analysis'!$C66,$A70-133,1))</f>
        <v/>
      </c>
      <c r="EG70" s="29" t="str">
        <f>IF(OR($B70="",$A70&lt;=134),"",--MID('Key Analysis'!$C66,$A70-134,1))</f>
        <v/>
      </c>
      <c r="EH70" s="29"/>
      <c r="EI70" s="29">
        <f>IF(OR($B70="",$A70&lt;1),"",--MID('Key Analysis'!$C66,1,1))</f>
        <v>1</v>
      </c>
      <c r="EJ70" s="29">
        <f>IF(OR($B70="",$A70&lt;2),"",--MID('Key Analysis'!$C66,2,1))</f>
        <v>1</v>
      </c>
      <c r="EK70" s="29">
        <f>IF(OR($B70="",$A70&lt;3),"",--MID('Key Analysis'!$C66,3,1))</f>
        <v>0</v>
      </c>
      <c r="EL70" s="29">
        <f>IF(OR($B70="",$A70&lt;4),"",--MID('Key Analysis'!$C66,4,1))</f>
        <v>1</v>
      </c>
      <c r="EM70" s="29">
        <f>IF(OR($B70="",$A70&lt;5),"",--MID('Key Analysis'!$C66,5,1))</f>
        <v>0</v>
      </c>
      <c r="EN70" s="29">
        <f>IF(OR($B70="",$A70&lt;6),"",--MID('Key Analysis'!$C66,6,1))</f>
        <v>1</v>
      </c>
      <c r="EO70" s="29">
        <f>IF(OR($B70="",$A70&lt;7),"",--MID('Key Analysis'!$C66,7,1))</f>
        <v>0</v>
      </c>
      <c r="EP70" s="29">
        <f>IF(OR($B70="",$A70&lt;8),"",--MID('Key Analysis'!$C66,8,1))</f>
        <v>0</v>
      </c>
      <c r="EQ70" s="29">
        <f>IF(OR($B70="",$A70&lt;9),"",--MID('Key Analysis'!$C66,9,1))</f>
        <v>0</v>
      </c>
      <c r="ER70" s="29">
        <f>IF(OR($B70="",$A70&lt;10),"",--MID('Key Analysis'!$C66,10,1))</f>
        <v>0</v>
      </c>
      <c r="ES70" s="29">
        <f>IF(OR($B70="",$A70&lt;11),"",--MID('Key Analysis'!$C66,11,1))</f>
        <v>0</v>
      </c>
      <c r="ET70" s="29">
        <f>IF(OR($B70="",$A70&lt;12),"",--MID('Key Analysis'!$C66,12,1))</f>
        <v>1</v>
      </c>
      <c r="EU70" s="29">
        <f>IF(OR($B70="",$A70&lt;13),"",--MID('Key Analysis'!$C66,13,1))</f>
        <v>1</v>
      </c>
      <c r="EV70" s="29">
        <f>IF(OR($B70="",$A70&lt;14),"",--MID('Key Analysis'!$C66,14,1))</f>
        <v>1</v>
      </c>
      <c r="EW70" s="29">
        <f>IF(OR($B70="",$A70&lt;15),"",--MID('Key Analysis'!$C66,15,1))</f>
        <v>0</v>
      </c>
      <c r="EX70" s="29">
        <f>IF(OR($B70="",$A70&lt;16),"",--MID('Key Analysis'!$C66,16,1))</f>
        <v>0</v>
      </c>
      <c r="EY70" s="29">
        <f>IF(OR($B70="",$A70&lt;17),"",--MID('Key Analysis'!$C66,17,1))</f>
        <v>0</v>
      </c>
      <c r="EZ70" s="29">
        <f>IF(OR($B70="",$A70&lt;18),"",--MID('Key Analysis'!$C66,18,1))</f>
        <v>1</v>
      </c>
      <c r="FA70" s="29">
        <f>IF(OR($B70="",$A70&lt;19),"",--MID('Key Analysis'!$C66,19,1))</f>
        <v>0</v>
      </c>
      <c r="FB70" s="29">
        <f>IF(OR($B70="",$A70&lt;20),"",--MID('Key Analysis'!$C66,20,1))</f>
        <v>1</v>
      </c>
      <c r="FC70" s="29">
        <f>IF(OR($B70="",$A70&lt;21),"",--MID('Key Analysis'!$C66,21,1))</f>
        <v>1</v>
      </c>
      <c r="FD70" s="29">
        <f>IF(OR($B70="",$A70&lt;22),"",--MID('Key Analysis'!$C66,22,1))</f>
        <v>0</v>
      </c>
      <c r="FE70" s="29">
        <f>IF(OR($B70="",$A70&lt;23),"",--MID('Key Analysis'!$C66,23,1))</f>
        <v>0</v>
      </c>
      <c r="FF70" s="29">
        <f>IF(OR($B70="",$A70&lt;24),"",--MID('Key Analysis'!$C66,24,1))</f>
        <v>0</v>
      </c>
      <c r="FG70" s="29">
        <f>IF(OR($B70="",$A70&lt;25),"",--MID('Key Analysis'!$C66,25,1))</f>
        <v>1</v>
      </c>
      <c r="FH70" s="29">
        <f>IF(OR($B70="",$A70&lt;26),"",--MID('Key Analysis'!$C66,26,1))</f>
        <v>0</v>
      </c>
      <c r="FI70" s="29">
        <f>IF(OR($B70="",$A70&lt;27),"",--MID('Key Analysis'!$C66,27,1))</f>
        <v>0</v>
      </c>
      <c r="FJ70" s="29">
        <f>IF(OR($B70="",$A70&lt;28),"",--MID('Key Analysis'!$C66,28,1))</f>
        <v>1</v>
      </c>
      <c r="FK70" s="29">
        <f>IF(OR($B70="",$A70&lt;29),"",--MID('Key Analysis'!$C66,29,1))</f>
        <v>1</v>
      </c>
      <c r="FL70" s="29">
        <f>IF(OR($B70="",$A70&lt;30),"",--MID('Key Analysis'!$C66,30,1))</f>
        <v>0</v>
      </c>
      <c r="FM70" s="29">
        <f>IF(OR($B70="",$A70&lt;31),"",--MID('Key Analysis'!$C66,31,1))</f>
        <v>1</v>
      </c>
      <c r="FN70" s="29">
        <f>IF(OR($B70="",$A70&lt;32),"",--MID('Key Analysis'!$C66,32,1))</f>
        <v>0</v>
      </c>
      <c r="FO70" s="29">
        <f>IF(OR($B70="",$A70&lt;33),"",--MID('Key Analysis'!$C66,33,1))</f>
        <v>1</v>
      </c>
      <c r="FP70" s="29">
        <f>IF(OR($B70="",$A70&lt;34),"",--MID('Key Analysis'!$C66,34,1))</f>
        <v>0</v>
      </c>
      <c r="FQ70" s="29">
        <f>IF(OR($B70="",$A70&lt;35),"",--MID('Key Analysis'!$C66,35,1))</f>
        <v>0</v>
      </c>
      <c r="FR70" s="29">
        <f>IF(OR($B70="",$A70&lt;36),"",--MID('Key Analysis'!$C66,36,1))</f>
        <v>0</v>
      </c>
      <c r="FS70" s="29">
        <f>IF(OR($B70="",$A70&lt;37),"",--MID('Key Analysis'!$C66,37,1))</f>
        <v>0</v>
      </c>
      <c r="FT70" s="29">
        <f>IF(OR($B70="",$A70&lt;38),"",--MID('Key Analysis'!$C66,38,1))</f>
        <v>0</v>
      </c>
      <c r="FU70" s="29">
        <f>IF(OR($B70="",$A70&lt;39),"",--MID('Key Analysis'!$C66,39,1))</f>
        <v>1</v>
      </c>
      <c r="FV70" s="29">
        <f>IF(OR($B70="",$A70&lt;40),"",--MID('Key Analysis'!$C66,40,1))</f>
        <v>0</v>
      </c>
      <c r="FW70" s="29">
        <f>IF(OR($B70="",$A70&lt;41),"",--MID('Key Analysis'!$C66,41,1))</f>
        <v>1</v>
      </c>
      <c r="FX70" s="29">
        <f>IF(OR($B70="",$A70&lt;42),"",--MID('Key Analysis'!$C66,42,1))</f>
        <v>1</v>
      </c>
      <c r="FY70" s="29">
        <f>IF(OR($B70="",$A70&lt;43),"",--MID('Key Analysis'!$C66,43,1))</f>
        <v>0</v>
      </c>
      <c r="FZ70" s="29">
        <f>IF(OR($B70="",$A70&lt;44),"",--MID('Key Analysis'!$C66,44,1))</f>
        <v>1</v>
      </c>
      <c r="GA70" s="29">
        <f>IF(OR($B70="",$A70&lt;45),"",--MID('Key Analysis'!$C66,45,1))</f>
        <v>1</v>
      </c>
      <c r="GB70" s="29">
        <f>IF(OR($B70="",$A70&lt;46),"",--MID('Key Analysis'!$C66,46,1))</f>
        <v>0</v>
      </c>
      <c r="GC70" s="29">
        <f>IF(OR($B70="",$A70&lt;47),"",--MID('Key Analysis'!$C66,47,1))</f>
        <v>0</v>
      </c>
      <c r="GD70" s="29">
        <f>IF(OR($B70="",$A70&lt;48),"",--MID('Key Analysis'!$C66,48,1))</f>
        <v>1</v>
      </c>
      <c r="GE70" s="29">
        <f>IF(OR($B70="",$A70&lt;49),"",--MID('Key Analysis'!$C66,49,1))</f>
        <v>0</v>
      </c>
      <c r="GF70" s="29">
        <f>IF(OR($B70="",$A70&lt;50),"",--MID('Key Analysis'!$C66,50,1))</f>
        <v>0</v>
      </c>
      <c r="GG70" s="29">
        <f>IF(OR($B70="",$A70&lt;51),"",--MID('Key Analysis'!$C66,51,1))</f>
        <v>1</v>
      </c>
      <c r="GH70" s="29">
        <f>IF(OR($B70="",$A70&lt;52),"",--MID('Key Analysis'!$C66,52,1))</f>
        <v>1</v>
      </c>
      <c r="GI70" s="29">
        <f>IF(OR($B70="",$A70&lt;53),"",--MID('Key Analysis'!$C66,53,1))</f>
        <v>0</v>
      </c>
      <c r="GJ70" s="29">
        <f>IF(OR($B70="",$A70&lt;54),"",--MID('Key Analysis'!$C66,54,1))</f>
        <v>1</v>
      </c>
      <c r="GK70" s="29">
        <f>IF(OR($B70="",$A70&lt;55),"",--MID('Key Analysis'!$C66,55,1))</f>
        <v>0</v>
      </c>
      <c r="GL70" s="29">
        <f>IF(OR($B70="",$A70&lt;56),"",--MID('Key Analysis'!$C66,56,1))</f>
        <v>0</v>
      </c>
      <c r="GM70" s="29">
        <f>IF(OR($B70="",$A70&lt;57),"",--MID('Key Analysis'!$C66,57,1))</f>
        <v>0</v>
      </c>
      <c r="GN70" s="29">
        <f>IF(OR($B70="",$A70&lt;58),"",--MID('Key Analysis'!$C66,58,1))</f>
        <v>0</v>
      </c>
      <c r="GO70" s="29">
        <f>IF(OR($B70="",$A70&lt;59),"",--MID('Key Analysis'!$C66,59,1))</f>
        <v>1</v>
      </c>
      <c r="GP70" s="29">
        <f>IF(OR($B70="",$A70&lt;60),"",--MID('Key Analysis'!$C66,60,1))</f>
        <v>1</v>
      </c>
      <c r="GQ70" s="29">
        <f>IF(OR($B70="",$A70&lt;61),"",--MID('Key Analysis'!$C66,61,1))</f>
        <v>0</v>
      </c>
      <c r="GR70" s="29">
        <f>IF(OR($B70="",$A70&lt;62),"",--MID('Key Analysis'!$C66,62,1))</f>
        <v>0</v>
      </c>
      <c r="GS70" s="29">
        <f>IF(OR($B70="",$A70&lt;63),"",--MID('Key Analysis'!$C66,63,1))</f>
        <v>1</v>
      </c>
      <c r="GT70" s="29">
        <f>IF(OR($B70="",$A70&lt;64),"",--MID('Key Analysis'!$C66,64,1))</f>
        <v>1</v>
      </c>
      <c r="GU70" s="29">
        <f>IF(OR($B70="",$A70&lt;65),"",--MID('Key Analysis'!$C66,65,1))</f>
        <v>1</v>
      </c>
      <c r="GV70" s="29" t="str">
        <f>IF(OR($B70="",$A70&lt;66),"",--MID('Key Analysis'!$C66,66,1))</f>
        <v/>
      </c>
      <c r="GW70" s="29" t="str">
        <f>IF(OR($B70="",$A70&lt;67),"",--MID('Key Analysis'!$C66,67,1))</f>
        <v/>
      </c>
      <c r="GX70" s="29" t="str">
        <f>IF(OR($B70="",$A70&lt;68),"",--MID('Key Analysis'!$C66,68,1))</f>
        <v/>
      </c>
      <c r="GY70" s="29" t="str">
        <f>IF(OR($B70="",$A70&lt;69),"",--MID('Key Analysis'!$C66,69,1))</f>
        <v/>
      </c>
      <c r="GZ70" s="29" t="str">
        <f>IF(OR($B70="",$A70&lt;70),"",--MID('Key Analysis'!$C66,70,1))</f>
        <v/>
      </c>
      <c r="HA70" s="29" t="str">
        <f>IF(OR($B70="",$A70&lt;71),"",--MID('Key Analysis'!$C66,71,1))</f>
        <v/>
      </c>
      <c r="HB70" s="29" t="str">
        <f>IF(OR($B70="",$A70&lt;72),"",--MID('Key Analysis'!$C66,72,1))</f>
        <v/>
      </c>
      <c r="HC70" s="29" t="str">
        <f>IF(OR($B70="",$A70&lt;73),"",--MID('Key Analysis'!$C66,73,1))</f>
        <v/>
      </c>
      <c r="HD70" s="29" t="str">
        <f>IF(OR($B70="",$A70&lt;74),"",--MID('Key Analysis'!$C66,74,1))</f>
        <v/>
      </c>
      <c r="HE70" s="29" t="str">
        <f>IF(OR($B70="",$A70&lt;75),"",--MID('Key Analysis'!$C66,75,1))</f>
        <v/>
      </c>
      <c r="HF70" s="29" t="str">
        <f>IF(OR($B70="",$A70&lt;76),"",--MID('Key Analysis'!$C66,76,1))</f>
        <v/>
      </c>
      <c r="HG70" s="29" t="str">
        <f>IF(OR($B70="",$A70&lt;77),"",--MID('Key Analysis'!$C66,77,1))</f>
        <v/>
      </c>
      <c r="HH70" s="29" t="str">
        <f>IF(OR($B70="",$A70&lt;78),"",--MID('Key Analysis'!$C66,78,1))</f>
        <v/>
      </c>
      <c r="HI70" s="29" t="str">
        <f>IF(OR($B70="",$A70&lt;79),"",--MID('Key Analysis'!$C66,79,1))</f>
        <v/>
      </c>
      <c r="HJ70" s="29" t="str">
        <f>IF(OR($B70="",$A70&lt;80),"",--MID('Key Analysis'!$C66,80,1))</f>
        <v/>
      </c>
      <c r="HK70" s="29" t="str">
        <f>IF(OR($B70="",$A70&lt;81),"",--MID('Key Analysis'!$C66,81,1))</f>
        <v/>
      </c>
      <c r="HL70" s="29" t="str">
        <f>IF(OR($B70="",$A70&lt;82),"",--MID('Key Analysis'!$C66,82,1))</f>
        <v/>
      </c>
      <c r="HM70" s="29" t="str">
        <f>IF(OR($B70="",$A70&lt;83),"",--MID('Key Analysis'!$C66,83,1))</f>
        <v/>
      </c>
      <c r="HN70" s="29" t="str">
        <f>IF(OR($B70="",$A70&lt;84),"",--MID('Key Analysis'!$C66,84,1))</f>
        <v/>
      </c>
      <c r="HO70" s="29" t="str">
        <f>IF(OR($B70="",$A70&lt;85),"",--MID('Key Analysis'!$C66,85,1))</f>
        <v/>
      </c>
      <c r="HP70" s="29" t="str">
        <f>IF(OR($B70="",$A70&lt;86),"",--MID('Key Analysis'!$C66,86,1))</f>
        <v/>
      </c>
      <c r="HQ70" s="29" t="str">
        <f>IF(OR($B70="",$A70&lt;87),"",--MID('Key Analysis'!$C66,87,1))</f>
        <v/>
      </c>
      <c r="HR70" s="29" t="str">
        <f>IF(OR($B70="",$A70&lt;88),"",--MID('Key Analysis'!$C66,88,1))</f>
        <v/>
      </c>
      <c r="HS70" s="29" t="str">
        <f>IF(OR($B70="",$A70&lt;89),"",--MID('Key Analysis'!$C66,89,1))</f>
        <v/>
      </c>
      <c r="HT70" s="29" t="str">
        <f>IF(OR($B70="",$A70&lt;90),"",--MID('Key Analysis'!$C66,90,1))</f>
        <v/>
      </c>
      <c r="HU70" s="29" t="str">
        <f>IF(OR($B70="",$A70&lt;91),"",--MID('Key Analysis'!$C66,91,1))</f>
        <v/>
      </c>
      <c r="HV70" s="29" t="str">
        <f>IF(OR($B70="",$A70&lt;92),"",--MID('Key Analysis'!$C66,92,1))</f>
        <v/>
      </c>
      <c r="HW70" s="29" t="str">
        <f>IF(OR($B70="",$A70&lt;93),"",--MID('Key Analysis'!$C66,93,1))</f>
        <v/>
      </c>
      <c r="HX70" s="29" t="str">
        <f>IF(OR($B70="",$A70&lt;94),"",--MID('Key Analysis'!$C66,94,1))</f>
        <v/>
      </c>
      <c r="HY70" s="29" t="str">
        <f>IF(OR($B70="",$A70&lt;95),"",--MID('Key Analysis'!$C66,95,1))</f>
        <v/>
      </c>
      <c r="HZ70" s="29" t="str">
        <f>IF(OR($B70="",$A70&lt;96),"",--MID('Key Analysis'!$C66,96,1))</f>
        <v/>
      </c>
      <c r="IA70" s="29" t="str">
        <f>IF(OR($B70="",$A70&lt;97),"",--MID('Key Analysis'!$C66,97,1))</f>
        <v/>
      </c>
      <c r="IB70" s="29" t="str">
        <f>IF(OR($B70="",$A70&lt;98),"",--MID('Key Analysis'!$C66,98,1))</f>
        <v/>
      </c>
      <c r="IC70" s="29" t="str">
        <f>IF(OR($B70="",$A70&lt;99),"",--MID('Key Analysis'!$C66,99,1))</f>
        <v/>
      </c>
      <c r="ID70" s="29" t="str">
        <f>IF(OR($B70="",$A70&lt;100),"",--MID('Key Analysis'!$C66,100,1))</f>
        <v/>
      </c>
      <c r="IE70" s="29" t="str">
        <f>IF(OR($B70="",$A70&lt;101),"",--MID('Key Analysis'!$C66,101,1))</f>
        <v/>
      </c>
      <c r="IF70" s="29" t="str">
        <f>IF(OR($B70="",$A70&lt;102),"",--MID('Key Analysis'!$C66,102,1))</f>
        <v/>
      </c>
      <c r="IG70" s="29" t="str">
        <f>IF(OR($B70="",$A70&lt;103),"",--MID('Key Analysis'!$C66,103,1))</f>
        <v/>
      </c>
      <c r="IH70" s="29" t="str">
        <f>IF(OR($B70="",$A70&lt;104),"",--MID('Key Analysis'!$C66,104,1))</f>
        <v/>
      </c>
      <c r="II70" s="29" t="str">
        <f>IF(OR($B70="",$A70&lt;105),"",--MID('Key Analysis'!$C66,105,1))</f>
        <v/>
      </c>
      <c r="IJ70" s="29" t="str">
        <f>IF(OR($B70="",$A70&lt;106),"",--MID('Key Analysis'!$C66,106,1))</f>
        <v/>
      </c>
      <c r="IK70" s="29" t="str">
        <f>IF(OR($B70="",$A70&lt;107),"",--MID('Key Analysis'!$C66,107,1))</f>
        <v/>
      </c>
      <c r="IL70" s="29" t="str">
        <f>IF(OR($B70="",$A70&lt;108),"",--MID('Key Analysis'!$C66,108,1))</f>
        <v/>
      </c>
      <c r="IM70" s="29" t="str">
        <f>IF(OR($B70="",$A70&lt;109),"",--MID('Key Analysis'!$C66,109,1))</f>
        <v/>
      </c>
      <c r="IN70" s="29" t="str">
        <f>IF(OR($B70="",$A70&lt;110),"",--MID('Key Analysis'!$C66,110,1))</f>
        <v/>
      </c>
      <c r="IO70" s="29" t="str">
        <f>IF(OR($B70="",$A70&lt;111),"",--MID('Key Analysis'!$C66,111,1))</f>
        <v/>
      </c>
      <c r="IP70" s="29" t="str">
        <f>IF(OR($B70="",$A70&lt;112),"",--MID('Key Analysis'!$C66,112,1))</f>
        <v/>
      </c>
      <c r="IQ70" s="29" t="str">
        <f>IF(OR($B70="",$A70&lt;113),"",--MID('Key Analysis'!$C66,113,1))</f>
        <v/>
      </c>
      <c r="IR70" s="29" t="str">
        <f>IF(OR($B70="",$A70&lt;114),"",--MID('Key Analysis'!$C66,114,1))</f>
        <v/>
      </c>
      <c r="IS70" s="29" t="str">
        <f>IF(OR($B70="",$A70&lt;115),"",--MID('Key Analysis'!$C66,115,1))</f>
        <v/>
      </c>
      <c r="IT70" s="29" t="str">
        <f>IF(OR($B70="",$A70&lt;116),"",--MID('Key Analysis'!$C66,116,1))</f>
        <v/>
      </c>
      <c r="IU70" s="29" t="str">
        <f>IF(OR($B70="",$A70&lt;117),"",--MID('Key Analysis'!$C66,117,1))</f>
        <v/>
      </c>
      <c r="IV70" s="29" t="str">
        <f>IF(OR($B70="",$A70&lt;118),"",--MID('Key Analysis'!$C66,118,1))</f>
        <v/>
      </c>
      <c r="IW70" s="29" t="str">
        <f>IF(OR($B70="",$A70&lt;119),"",--MID('Key Analysis'!$C66,119,1))</f>
        <v/>
      </c>
      <c r="IX70" s="29" t="str">
        <f>IF(OR($B70="",$A70&lt;120),"",--MID('Key Analysis'!$C66,120,1))</f>
        <v/>
      </c>
      <c r="IY70" s="29" t="str">
        <f>IF(OR($B70="",$A70&lt;121),"",--MID('Key Analysis'!$C66,121,1))</f>
        <v/>
      </c>
      <c r="IZ70" s="29" t="str">
        <f>IF(OR($B70="",$A70&lt;122),"",--MID('Key Analysis'!$C66,122,1))</f>
        <v/>
      </c>
      <c r="JA70" s="29" t="str">
        <f>IF(OR($B70="",$A70&lt;123),"",--MID('Key Analysis'!$C66,123,1))</f>
        <v/>
      </c>
      <c r="JB70" s="29" t="str">
        <f>IF(OR($B70="",$A70&lt;124),"",--MID('Key Analysis'!$C66,124,1))</f>
        <v/>
      </c>
      <c r="JC70" s="29" t="str">
        <f>IF(OR($B70="",$A70&lt;125),"",--MID('Key Analysis'!$C66,125,1))</f>
        <v/>
      </c>
      <c r="JD70" s="29" t="str">
        <f>IF(OR($B70="",$A70&lt;126),"",--MID('Key Analysis'!$C66,126,1))</f>
        <v/>
      </c>
      <c r="JE70" s="29" t="str">
        <f>IF(OR($B70="",$A70&lt;127),"",--MID('Key Analysis'!$C66,127,1))</f>
        <v/>
      </c>
      <c r="JF70" s="29" t="str">
        <f>IF(OR($B70="",$A70&lt;128),"",--MID('Key Analysis'!$C66,128,1))</f>
        <v/>
      </c>
      <c r="JG70" s="29" t="str">
        <f>IF(OR($B70="",$A70&lt;129),"",--MID('Key Analysis'!$C66,129,1))</f>
        <v/>
      </c>
      <c r="JH70" s="29" t="str">
        <f>IF(OR($B70="",$A70&lt;130),"",--MID('Key Analysis'!$C66,130,1))</f>
        <v/>
      </c>
      <c r="JI70" s="29" t="str">
        <f>IF(OR($B70="",$A70&lt;131),"",--MID('Key Analysis'!$C66,131,1))</f>
        <v/>
      </c>
      <c r="JJ70" s="29" t="str">
        <f>IF(OR($B70="",$A70&lt;132),"",--MID('Key Analysis'!$C66,132,1))</f>
        <v/>
      </c>
      <c r="JK70" s="29" t="str">
        <f>IF(OR($B70="",$A70&lt;133),"",--MID('Key Analysis'!$C66,133,1))</f>
        <v/>
      </c>
      <c r="JL70" s="29" t="str">
        <f>IF(OR($B70="",$A70&lt;134),"",--MID('Key Analysis'!$C66,134,1))</f>
        <v/>
      </c>
      <c r="JM70" s="29" t="str">
        <f>IF(OR($B70="",$A70&lt;135),"",--MID('Key Analysis'!$C66,135,1))</f>
        <v/>
      </c>
    </row>
    <row r="71" spans="1:273" x14ac:dyDescent="0.25">
      <c r="A71" s="21">
        <f>'Key Analysis'!A67</f>
        <v>66</v>
      </c>
      <c r="B71" s="30" t="str">
        <f>'Key Analysis'!B67</f>
        <v>2832ed74f2b5e35ee</v>
      </c>
      <c r="C71" s="29">
        <f>IF(OR($B71="",$A71&lt;=0),"",--MID('Key Analysis'!$C67,$A71-0,1))</f>
        <v>0</v>
      </c>
      <c r="D71" s="29">
        <f>IF(OR($B71="",$A71&lt;=1),"",--MID('Key Analysis'!$C67,$A71-1,1))</f>
        <v>1</v>
      </c>
      <c r="E71" s="29">
        <f>IF(OR($B71="",$A71&lt;=2),"",--MID('Key Analysis'!$C67,$A71-2,1))</f>
        <v>1</v>
      </c>
      <c r="F71" s="29">
        <f>IF(OR($B71="",$A71&lt;=3),"",--MID('Key Analysis'!$C67,$A71-3,1))</f>
        <v>1</v>
      </c>
      <c r="G71" s="29">
        <f>IF(OR($B71="",$A71&lt;=4),"",--MID('Key Analysis'!$C67,$A71-4,1))</f>
        <v>0</v>
      </c>
      <c r="H71" s="29">
        <f>IF(OR($B71="",$A71&lt;=5),"",--MID('Key Analysis'!$C67,$A71-5,1))</f>
        <v>1</v>
      </c>
      <c r="I71" s="29">
        <f>IF(OR($B71="",$A71&lt;=6),"",--MID('Key Analysis'!$C67,$A71-6,1))</f>
        <v>1</v>
      </c>
      <c r="J71" s="29">
        <f>IF(OR($B71="",$A71&lt;=7),"",--MID('Key Analysis'!$C67,$A71-7,1))</f>
        <v>1</v>
      </c>
      <c r="K71" s="29">
        <f>IF(OR($B71="",$A71&lt;=8),"",--MID('Key Analysis'!$C67,$A71-8,1))</f>
        <v>1</v>
      </c>
      <c r="L71" s="29">
        <f>IF(OR($B71="",$A71&lt;=9),"",--MID('Key Analysis'!$C67,$A71-9,1))</f>
        <v>0</v>
      </c>
      <c r="M71" s="29">
        <f>IF(OR($B71="",$A71&lt;=10),"",--MID('Key Analysis'!$C67,$A71-10,1))</f>
        <v>1</v>
      </c>
      <c r="N71" s="29">
        <f>IF(OR($B71="",$A71&lt;=11),"",--MID('Key Analysis'!$C67,$A71-11,1))</f>
        <v>0</v>
      </c>
      <c r="O71" s="29">
        <f>IF(OR($B71="",$A71&lt;=12),"",--MID('Key Analysis'!$C67,$A71-12,1))</f>
        <v>1</v>
      </c>
      <c r="P71" s="29">
        <f>IF(OR($B71="",$A71&lt;=13),"",--MID('Key Analysis'!$C67,$A71-13,1))</f>
        <v>1</v>
      </c>
      <c r="Q71" s="29">
        <f>IF(OR($B71="",$A71&lt;=14),"",--MID('Key Analysis'!$C67,$A71-14,1))</f>
        <v>0</v>
      </c>
      <c r="R71" s="29">
        <f>IF(OR($B71="",$A71&lt;=15),"",--MID('Key Analysis'!$C67,$A71-15,1))</f>
        <v>0</v>
      </c>
      <c r="S71" s="29">
        <f>IF(OR($B71="",$A71&lt;=16),"",--MID('Key Analysis'!$C67,$A71-16,1))</f>
        <v>0</v>
      </c>
      <c r="T71" s="29">
        <f>IF(OR($B71="",$A71&lt;=17),"",--MID('Key Analysis'!$C67,$A71-17,1))</f>
        <v>1</v>
      </c>
      <c r="U71" s="29">
        <f>IF(OR($B71="",$A71&lt;=18),"",--MID('Key Analysis'!$C67,$A71-18,1))</f>
        <v>1</v>
      </c>
      <c r="V71" s="29">
        <f>IF(OR($B71="",$A71&lt;=19),"",--MID('Key Analysis'!$C67,$A71-19,1))</f>
        <v>1</v>
      </c>
      <c r="W71" s="29">
        <f>IF(OR($B71="",$A71&lt;=20),"",--MID('Key Analysis'!$C67,$A71-20,1))</f>
        <v>1</v>
      </c>
      <c r="X71" s="29">
        <f>IF(OR($B71="",$A71&lt;=21),"",--MID('Key Analysis'!$C67,$A71-21,1))</f>
        <v>0</v>
      </c>
      <c r="Y71" s="29">
        <f>IF(OR($B71="",$A71&lt;=22),"",--MID('Key Analysis'!$C67,$A71-22,1))</f>
        <v>1</v>
      </c>
      <c r="Z71" s="29">
        <f>IF(OR($B71="",$A71&lt;=23),"",--MID('Key Analysis'!$C67,$A71-23,1))</f>
        <v>0</v>
      </c>
      <c r="AA71" s="29">
        <f>IF(OR($B71="",$A71&lt;=24),"",--MID('Key Analysis'!$C67,$A71-24,1))</f>
        <v>1</v>
      </c>
      <c r="AB71" s="29">
        <f>IF(OR($B71="",$A71&lt;=25),"",--MID('Key Analysis'!$C67,$A71-25,1))</f>
        <v>1</v>
      </c>
      <c r="AC71" s="29">
        <f>IF(OR($B71="",$A71&lt;=26),"",--MID('Key Analysis'!$C67,$A71-26,1))</f>
        <v>0</v>
      </c>
      <c r="AD71" s="29">
        <f>IF(OR($B71="",$A71&lt;=27),"",--MID('Key Analysis'!$C67,$A71-27,1))</f>
        <v>1</v>
      </c>
      <c r="AE71" s="29">
        <f>IF(OR($B71="",$A71&lt;=28),"",--MID('Key Analysis'!$C67,$A71-28,1))</f>
        <v>0</v>
      </c>
      <c r="AF71" s="29">
        <f>IF(OR($B71="",$A71&lt;=29),"",--MID('Key Analysis'!$C67,$A71-29,1))</f>
        <v>1</v>
      </c>
      <c r="AG71" s="29">
        <f>IF(OR($B71="",$A71&lt;=30),"",--MID('Key Analysis'!$C67,$A71-30,1))</f>
        <v>0</v>
      </c>
      <c r="AH71" s="29">
        <f>IF(OR($B71="",$A71&lt;=31),"",--MID('Key Analysis'!$C67,$A71-31,1))</f>
        <v>0</v>
      </c>
      <c r="AI71" s="29">
        <f>IF(OR($B71="",$A71&lt;=32),"",--MID('Key Analysis'!$C67,$A71-32,1))</f>
        <v>1</v>
      </c>
      <c r="AJ71" s="29">
        <f>IF(OR($B71="",$A71&lt;=33),"",--MID('Key Analysis'!$C67,$A71-33,1))</f>
        <v>1</v>
      </c>
      <c r="AK71" s="29">
        <f>IF(OR($B71="",$A71&lt;=34),"",--MID('Key Analysis'!$C67,$A71-34,1))</f>
        <v>1</v>
      </c>
      <c r="AL71" s="29">
        <f>IF(OR($B71="",$A71&lt;=35),"",--MID('Key Analysis'!$C67,$A71-35,1))</f>
        <v>1</v>
      </c>
      <c r="AM71" s="29">
        <f>IF(OR($B71="",$A71&lt;=36),"",--MID('Key Analysis'!$C67,$A71-36,1))</f>
        <v>0</v>
      </c>
      <c r="AN71" s="29">
        <f>IF(OR($B71="",$A71&lt;=37),"",--MID('Key Analysis'!$C67,$A71-37,1))</f>
        <v>0</v>
      </c>
      <c r="AO71" s="29">
        <f>IF(OR($B71="",$A71&lt;=38),"",--MID('Key Analysis'!$C67,$A71-38,1))</f>
        <v>1</v>
      </c>
      <c r="AP71" s="29">
        <f>IF(OR($B71="",$A71&lt;=39),"",--MID('Key Analysis'!$C67,$A71-39,1))</f>
        <v>0</v>
      </c>
      <c r="AQ71" s="29">
        <f>IF(OR($B71="",$A71&lt;=40),"",--MID('Key Analysis'!$C67,$A71-40,1))</f>
        <v>1</v>
      </c>
      <c r="AR71" s="29">
        <f>IF(OR($B71="",$A71&lt;=41),"",--MID('Key Analysis'!$C67,$A71-41,1))</f>
        <v>1</v>
      </c>
      <c r="AS71" s="29">
        <f>IF(OR($B71="",$A71&lt;=42),"",--MID('Key Analysis'!$C67,$A71-42,1))</f>
        <v>1</v>
      </c>
      <c r="AT71" s="29">
        <f>IF(OR($B71="",$A71&lt;=43),"",--MID('Key Analysis'!$C67,$A71-43,1))</f>
        <v>0</v>
      </c>
      <c r="AU71" s="29">
        <f>IF(OR($B71="",$A71&lt;=44),"",--MID('Key Analysis'!$C67,$A71-44,1))</f>
        <v>1</v>
      </c>
      <c r="AV71" s="29">
        <f>IF(OR($B71="",$A71&lt;=45),"",--MID('Key Analysis'!$C67,$A71-45,1))</f>
        <v>0</v>
      </c>
      <c r="AW71" s="29">
        <f>IF(OR($B71="",$A71&lt;=46),"",--MID('Key Analysis'!$C67,$A71-46,1))</f>
        <v>1</v>
      </c>
      <c r="AX71" s="29">
        <f>IF(OR($B71="",$A71&lt;=47),"",--MID('Key Analysis'!$C67,$A71-47,1))</f>
        <v>1</v>
      </c>
      <c r="AY71" s="29">
        <f>IF(OR($B71="",$A71&lt;=48),"",--MID('Key Analysis'!$C67,$A71-48,1))</f>
        <v>0</v>
      </c>
      <c r="AZ71" s="29">
        <f>IF(OR($B71="",$A71&lt;=49),"",--MID('Key Analysis'!$C67,$A71-49,1))</f>
        <v>1</v>
      </c>
      <c r="BA71" s="29">
        <f>IF(OR($B71="",$A71&lt;=50),"",--MID('Key Analysis'!$C67,$A71-50,1))</f>
        <v>1</v>
      </c>
      <c r="BB71" s="29">
        <f>IF(OR($B71="",$A71&lt;=51),"",--MID('Key Analysis'!$C67,$A71-51,1))</f>
        <v>1</v>
      </c>
      <c r="BC71" s="29">
        <f>IF(OR($B71="",$A71&lt;=52),"",--MID('Key Analysis'!$C67,$A71-52,1))</f>
        <v>0</v>
      </c>
      <c r="BD71" s="29">
        <f>IF(OR($B71="",$A71&lt;=53),"",--MID('Key Analysis'!$C67,$A71-53,1))</f>
        <v>1</v>
      </c>
      <c r="BE71" s="29">
        <f>IF(OR($B71="",$A71&lt;=54),"",--MID('Key Analysis'!$C67,$A71-54,1))</f>
        <v>0</v>
      </c>
      <c r="BF71" s="29">
        <f>IF(OR($B71="",$A71&lt;=55),"",--MID('Key Analysis'!$C67,$A71-55,1))</f>
        <v>0</v>
      </c>
      <c r="BG71" s="29">
        <f>IF(OR($B71="",$A71&lt;=56),"",--MID('Key Analysis'!$C67,$A71-56,1))</f>
        <v>1</v>
      </c>
      <c r="BH71" s="29">
        <f>IF(OR($B71="",$A71&lt;=57),"",--MID('Key Analysis'!$C67,$A71-57,1))</f>
        <v>1</v>
      </c>
      <c r="BI71" s="29">
        <f>IF(OR($B71="",$A71&lt;=58),"",--MID('Key Analysis'!$C67,$A71-58,1))</f>
        <v>0</v>
      </c>
      <c r="BJ71" s="29">
        <f>IF(OR($B71="",$A71&lt;=59),"",--MID('Key Analysis'!$C67,$A71-59,1))</f>
        <v>0</v>
      </c>
      <c r="BK71" s="29">
        <f>IF(OR($B71="",$A71&lt;=60),"",--MID('Key Analysis'!$C67,$A71-60,1))</f>
        <v>0</v>
      </c>
      <c r="BL71" s="29">
        <f>IF(OR($B71="",$A71&lt;=61),"",--MID('Key Analysis'!$C67,$A71-61,1))</f>
        <v>0</v>
      </c>
      <c r="BM71" s="29">
        <f>IF(OR($B71="",$A71&lt;=62),"",--MID('Key Analysis'!$C67,$A71-62,1))</f>
        <v>0</v>
      </c>
      <c r="BN71" s="29">
        <f>IF(OR($B71="",$A71&lt;=63),"",--MID('Key Analysis'!$C67,$A71-63,1))</f>
        <v>1</v>
      </c>
      <c r="BO71" s="29">
        <f>IF(OR($B71="",$A71&lt;=64),"",--MID('Key Analysis'!$C67,$A71-64,1))</f>
        <v>0</v>
      </c>
      <c r="BP71" s="29">
        <f>IF(OR($B71="",$A71&lt;=65),"",--MID('Key Analysis'!$C67,$A71-65,1))</f>
        <v>1</v>
      </c>
      <c r="BQ71" s="29" t="str">
        <f>IF(OR($B71="",$A71&lt;=66),"",--MID('Key Analysis'!$C67,$A71-66,1))</f>
        <v/>
      </c>
      <c r="BR71" s="29" t="str">
        <f>IF(OR($B71="",$A71&lt;=67),"",--MID('Key Analysis'!$C67,$A71-67,1))</f>
        <v/>
      </c>
      <c r="BS71" s="29" t="str">
        <f>IF(OR($B71="",$A71&lt;=68),"",--MID('Key Analysis'!$C67,$A71-68,1))</f>
        <v/>
      </c>
      <c r="BT71" s="29" t="str">
        <f>IF(OR($B71="",$A71&lt;=69),"",--MID('Key Analysis'!$C67,$A71-69,1))</f>
        <v/>
      </c>
      <c r="BU71" s="29" t="str">
        <f>IF(OR($B71="",$A71&lt;=70),"",--MID('Key Analysis'!$C67,$A71-70,1))</f>
        <v/>
      </c>
      <c r="BV71" s="29" t="str">
        <f>IF(OR($B71="",$A71&lt;=71),"",--MID('Key Analysis'!$C67,$A71-71,1))</f>
        <v/>
      </c>
      <c r="BW71" s="29" t="str">
        <f>IF(OR($B71="",$A71&lt;=72),"",--MID('Key Analysis'!$C67,$A71-72,1))</f>
        <v/>
      </c>
      <c r="BX71" s="29" t="str">
        <f>IF(OR($B71="",$A71&lt;=73),"",--MID('Key Analysis'!$C67,$A71-73,1))</f>
        <v/>
      </c>
      <c r="BY71" s="29" t="str">
        <f>IF(OR($B71="",$A71&lt;=74),"",--MID('Key Analysis'!$C67,$A71-74,1))</f>
        <v/>
      </c>
      <c r="BZ71" s="29" t="str">
        <f>IF(OR($B71="",$A71&lt;=75),"",--MID('Key Analysis'!$C67,$A71-75,1))</f>
        <v/>
      </c>
      <c r="CA71" s="29" t="str">
        <f>IF(OR($B71="",$A71&lt;=76),"",--MID('Key Analysis'!$C67,$A71-76,1))</f>
        <v/>
      </c>
      <c r="CB71" s="29" t="str">
        <f>IF(OR($B71="",$A71&lt;=77),"",--MID('Key Analysis'!$C67,$A71-77,1))</f>
        <v/>
      </c>
      <c r="CC71" s="29" t="str">
        <f>IF(OR($B71="",$A71&lt;=78),"",--MID('Key Analysis'!$C67,$A71-78,1))</f>
        <v/>
      </c>
      <c r="CD71" s="29" t="str">
        <f>IF(OR($B71="",$A71&lt;=79),"",--MID('Key Analysis'!$C67,$A71-79,1))</f>
        <v/>
      </c>
      <c r="CE71" s="29" t="str">
        <f>IF(OR($B71="",$A71&lt;=80),"",--MID('Key Analysis'!$C67,$A71-80,1))</f>
        <v/>
      </c>
      <c r="CF71" s="29" t="str">
        <f>IF(OR($B71="",$A71&lt;=81),"",--MID('Key Analysis'!$C67,$A71-81,1))</f>
        <v/>
      </c>
      <c r="CG71" s="29" t="str">
        <f>IF(OR($B71="",$A71&lt;=82),"",--MID('Key Analysis'!$C67,$A71-82,1))</f>
        <v/>
      </c>
      <c r="CH71" s="29" t="str">
        <f>IF(OR($B71="",$A71&lt;=83),"",--MID('Key Analysis'!$C67,$A71-83,1))</f>
        <v/>
      </c>
      <c r="CI71" s="29" t="str">
        <f>IF(OR($B71="",$A71&lt;=84),"",--MID('Key Analysis'!$C67,$A71-84,1))</f>
        <v/>
      </c>
      <c r="CJ71" s="29" t="str">
        <f>IF(OR($B71="",$A71&lt;=85),"",--MID('Key Analysis'!$C67,$A71-85,1))</f>
        <v/>
      </c>
      <c r="CK71" s="29" t="str">
        <f>IF(OR($B71="",$A71&lt;=86),"",--MID('Key Analysis'!$C67,$A71-86,1))</f>
        <v/>
      </c>
      <c r="CL71" s="29" t="str">
        <f>IF(OR($B71="",$A71&lt;=87),"",--MID('Key Analysis'!$C67,$A71-87,1))</f>
        <v/>
      </c>
      <c r="CM71" s="29" t="str">
        <f>IF(OR($B71="",$A71&lt;=88),"",--MID('Key Analysis'!$C67,$A71-88,1))</f>
        <v/>
      </c>
      <c r="CN71" s="29" t="str">
        <f>IF(OR($B71="",$A71&lt;=89),"",--MID('Key Analysis'!$C67,$A71-89,1))</f>
        <v/>
      </c>
      <c r="CO71" s="29" t="str">
        <f>IF(OR($B71="",$A71&lt;=90),"",--MID('Key Analysis'!$C67,$A71-90,1))</f>
        <v/>
      </c>
      <c r="CP71" s="29" t="str">
        <f>IF(OR($B71="",$A71&lt;=91),"",--MID('Key Analysis'!$C67,$A71-91,1))</f>
        <v/>
      </c>
      <c r="CQ71" s="29" t="str">
        <f>IF(OR($B71="",$A71&lt;=92),"",--MID('Key Analysis'!$C67,$A71-92,1))</f>
        <v/>
      </c>
      <c r="CR71" s="29" t="str">
        <f>IF(OR($B71="",$A71&lt;=93),"",--MID('Key Analysis'!$C67,$A71-93,1))</f>
        <v/>
      </c>
      <c r="CS71" s="29" t="str">
        <f>IF(OR($B71="",$A71&lt;=94),"",--MID('Key Analysis'!$C67,$A71-94,1))</f>
        <v/>
      </c>
      <c r="CT71" s="29" t="str">
        <f>IF(OR($B71="",$A71&lt;=95),"",--MID('Key Analysis'!$C67,$A71-95,1))</f>
        <v/>
      </c>
      <c r="CU71" s="29" t="str">
        <f>IF(OR($B71="",$A71&lt;=96),"",--MID('Key Analysis'!$C67,$A71-96,1))</f>
        <v/>
      </c>
      <c r="CV71" s="29" t="str">
        <f>IF(OR($B71="",$A71&lt;=97),"",--MID('Key Analysis'!$C67,$A71-97,1))</f>
        <v/>
      </c>
      <c r="CW71" s="29" t="str">
        <f>IF(OR($B71="",$A71&lt;=98),"",--MID('Key Analysis'!$C67,$A71-98,1))</f>
        <v/>
      </c>
      <c r="CX71" s="29" t="str">
        <f>IF(OR($B71="",$A71&lt;=99),"",--MID('Key Analysis'!$C67,$A71-99,1))</f>
        <v/>
      </c>
      <c r="CY71" s="29" t="str">
        <f>IF(OR($B71="",$A71&lt;=100),"",--MID('Key Analysis'!$C67,$A71-100,1))</f>
        <v/>
      </c>
      <c r="CZ71" s="29" t="str">
        <f>IF(OR($B71="",$A71&lt;=101),"",--MID('Key Analysis'!$C67,$A71-101,1))</f>
        <v/>
      </c>
      <c r="DA71" s="29" t="str">
        <f>IF(OR($B71="",$A71&lt;=102),"",--MID('Key Analysis'!$C67,$A71-102,1))</f>
        <v/>
      </c>
      <c r="DB71" s="29" t="str">
        <f>IF(OR($B71="",$A71&lt;=103),"",--MID('Key Analysis'!$C67,$A71-103,1))</f>
        <v/>
      </c>
      <c r="DC71" s="29" t="str">
        <f>IF(OR($B71="",$A71&lt;=104),"",--MID('Key Analysis'!$C67,$A71-104,1))</f>
        <v/>
      </c>
      <c r="DD71" s="29" t="str">
        <f>IF(OR($B71="",$A71&lt;=105),"",--MID('Key Analysis'!$C67,$A71-105,1))</f>
        <v/>
      </c>
      <c r="DE71" s="29" t="str">
        <f>IF(OR($B71="",$A71&lt;=106),"",--MID('Key Analysis'!$C67,$A71-106,1))</f>
        <v/>
      </c>
      <c r="DF71" s="29" t="str">
        <f>IF(OR($B71="",$A71&lt;=107),"",--MID('Key Analysis'!$C67,$A71-107,1))</f>
        <v/>
      </c>
      <c r="DG71" s="29" t="str">
        <f>IF(OR($B71="",$A71&lt;=108),"",--MID('Key Analysis'!$C67,$A71-108,1))</f>
        <v/>
      </c>
      <c r="DH71" s="29" t="str">
        <f>IF(OR($B71="",$A71&lt;=109),"",--MID('Key Analysis'!$C67,$A71-109,1))</f>
        <v/>
      </c>
      <c r="DI71" s="29" t="str">
        <f>IF(OR($B71="",$A71&lt;=110),"",--MID('Key Analysis'!$C67,$A71-110,1))</f>
        <v/>
      </c>
      <c r="DJ71" s="29" t="str">
        <f>IF(OR($B71="",$A71&lt;=111),"",--MID('Key Analysis'!$C67,$A71-111,1))</f>
        <v/>
      </c>
      <c r="DK71" s="29" t="str">
        <f>IF(OR($B71="",$A71&lt;=112),"",--MID('Key Analysis'!$C67,$A71-112,1))</f>
        <v/>
      </c>
      <c r="DL71" s="29" t="str">
        <f>IF(OR($B71="",$A71&lt;=113),"",--MID('Key Analysis'!$C67,$A71-113,1))</f>
        <v/>
      </c>
      <c r="DM71" s="29" t="str">
        <f>IF(OR($B71="",$A71&lt;=114),"",--MID('Key Analysis'!$C67,$A71-114,1))</f>
        <v/>
      </c>
      <c r="DN71" s="29" t="str">
        <f>IF(OR($B71="",$A71&lt;=115),"",--MID('Key Analysis'!$C67,$A71-115,1))</f>
        <v/>
      </c>
      <c r="DO71" s="29" t="str">
        <f>IF(OR($B71="",$A71&lt;=116),"",--MID('Key Analysis'!$C67,$A71-116,1))</f>
        <v/>
      </c>
      <c r="DP71" s="29" t="str">
        <f>IF(OR($B71="",$A71&lt;=117),"",--MID('Key Analysis'!$C67,$A71-117,1))</f>
        <v/>
      </c>
      <c r="DQ71" s="29" t="str">
        <f>IF(OR($B71="",$A71&lt;=118),"",--MID('Key Analysis'!$C67,$A71-118,1))</f>
        <v/>
      </c>
      <c r="DR71" s="29" t="str">
        <f>IF(OR($B71="",$A71&lt;=119),"",--MID('Key Analysis'!$C67,$A71-119,1))</f>
        <v/>
      </c>
      <c r="DS71" s="29" t="str">
        <f>IF(OR($B71="",$A71&lt;=120),"",--MID('Key Analysis'!$C67,$A71-120,1))</f>
        <v/>
      </c>
      <c r="DT71" s="29" t="str">
        <f>IF(OR($B71="",$A71&lt;=121),"",--MID('Key Analysis'!$C67,$A71-121,1))</f>
        <v/>
      </c>
      <c r="DU71" s="29" t="str">
        <f>IF(OR($B71="",$A71&lt;=122),"",--MID('Key Analysis'!$C67,$A71-122,1))</f>
        <v/>
      </c>
      <c r="DV71" s="29" t="str">
        <f>IF(OR($B71="",$A71&lt;=123),"",--MID('Key Analysis'!$C67,$A71-123,1))</f>
        <v/>
      </c>
      <c r="DW71" s="29" t="str">
        <f>IF(OR($B71="",$A71&lt;=124),"",--MID('Key Analysis'!$C67,$A71-124,1))</f>
        <v/>
      </c>
      <c r="DX71" s="29" t="str">
        <f>IF(OR($B71="",$A71&lt;=125),"",--MID('Key Analysis'!$C67,$A71-125,1))</f>
        <v/>
      </c>
      <c r="DY71" s="29" t="str">
        <f>IF(OR($B71="",$A71&lt;=126),"",--MID('Key Analysis'!$C67,$A71-126,1))</f>
        <v/>
      </c>
      <c r="DZ71" s="29" t="str">
        <f>IF(OR($B71="",$A71&lt;=127),"",--MID('Key Analysis'!$C67,$A71-127,1))</f>
        <v/>
      </c>
      <c r="EA71" s="29" t="str">
        <f>IF(OR($B71="",$A71&lt;=128),"",--MID('Key Analysis'!$C67,$A71-128,1))</f>
        <v/>
      </c>
      <c r="EB71" s="29" t="str">
        <f>IF(OR($B71="",$A71&lt;=129),"",--MID('Key Analysis'!$C67,$A71-129,1))</f>
        <v/>
      </c>
      <c r="EC71" s="29" t="str">
        <f>IF(OR($B71="",$A71&lt;=130),"",--MID('Key Analysis'!$C67,$A71-130,1))</f>
        <v/>
      </c>
      <c r="ED71" s="29" t="str">
        <f>IF(OR($B71="",$A71&lt;=131),"",--MID('Key Analysis'!$C67,$A71-131,1))</f>
        <v/>
      </c>
      <c r="EE71" s="29" t="str">
        <f>IF(OR($B71="",$A71&lt;=132),"",--MID('Key Analysis'!$C67,$A71-132,1))</f>
        <v/>
      </c>
      <c r="EF71" s="29" t="str">
        <f>IF(OR($B71="",$A71&lt;=133),"",--MID('Key Analysis'!$C67,$A71-133,1))</f>
        <v/>
      </c>
      <c r="EG71" s="29" t="str">
        <f>IF(OR($B71="",$A71&lt;=134),"",--MID('Key Analysis'!$C67,$A71-134,1))</f>
        <v/>
      </c>
      <c r="EH71" s="29"/>
      <c r="EI71" s="29">
        <f>IF(OR($B71="",$A71&lt;1),"",--MID('Key Analysis'!$C67,1,1))</f>
        <v>1</v>
      </c>
      <c r="EJ71" s="29">
        <f>IF(OR($B71="",$A71&lt;2),"",--MID('Key Analysis'!$C67,2,1))</f>
        <v>0</v>
      </c>
      <c r="EK71" s="29">
        <f>IF(OR($B71="",$A71&lt;3),"",--MID('Key Analysis'!$C67,3,1))</f>
        <v>1</v>
      </c>
      <c r="EL71" s="29">
        <f>IF(OR($B71="",$A71&lt;4),"",--MID('Key Analysis'!$C67,4,1))</f>
        <v>0</v>
      </c>
      <c r="EM71" s="29">
        <f>IF(OR($B71="",$A71&lt;5),"",--MID('Key Analysis'!$C67,5,1))</f>
        <v>0</v>
      </c>
      <c r="EN71" s="29">
        <f>IF(OR($B71="",$A71&lt;6),"",--MID('Key Analysis'!$C67,6,1))</f>
        <v>0</v>
      </c>
      <c r="EO71" s="29">
        <f>IF(OR($B71="",$A71&lt;7),"",--MID('Key Analysis'!$C67,7,1))</f>
        <v>0</v>
      </c>
      <c r="EP71" s="29">
        <f>IF(OR($B71="",$A71&lt;8),"",--MID('Key Analysis'!$C67,8,1))</f>
        <v>0</v>
      </c>
      <c r="EQ71" s="29">
        <f>IF(OR($B71="",$A71&lt;9),"",--MID('Key Analysis'!$C67,9,1))</f>
        <v>1</v>
      </c>
      <c r="ER71" s="29">
        <f>IF(OR($B71="",$A71&lt;10),"",--MID('Key Analysis'!$C67,10,1))</f>
        <v>1</v>
      </c>
      <c r="ES71" s="29">
        <f>IF(OR($B71="",$A71&lt;11),"",--MID('Key Analysis'!$C67,11,1))</f>
        <v>0</v>
      </c>
      <c r="ET71" s="29">
        <f>IF(OR($B71="",$A71&lt;12),"",--MID('Key Analysis'!$C67,12,1))</f>
        <v>0</v>
      </c>
      <c r="EU71" s="29">
        <f>IF(OR($B71="",$A71&lt;13),"",--MID('Key Analysis'!$C67,13,1))</f>
        <v>1</v>
      </c>
      <c r="EV71" s="29">
        <f>IF(OR($B71="",$A71&lt;14),"",--MID('Key Analysis'!$C67,14,1))</f>
        <v>0</v>
      </c>
      <c r="EW71" s="29">
        <f>IF(OR($B71="",$A71&lt;15),"",--MID('Key Analysis'!$C67,15,1))</f>
        <v>1</v>
      </c>
      <c r="EX71" s="29">
        <f>IF(OR($B71="",$A71&lt;16),"",--MID('Key Analysis'!$C67,16,1))</f>
        <v>1</v>
      </c>
      <c r="EY71" s="29">
        <f>IF(OR($B71="",$A71&lt;17),"",--MID('Key Analysis'!$C67,17,1))</f>
        <v>1</v>
      </c>
      <c r="EZ71" s="29">
        <f>IF(OR($B71="",$A71&lt;18),"",--MID('Key Analysis'!$C67,18,1))</f>
        <v>0</v>
      </c>
      <c r="FA71" s="29">
        <f>IF(OR($B71="",$A71&lt;19),"",--MID('Key Analysis'!$C67,19,1))</f>
        <v>1</v>
      </c>
      <c r="FB71" s="29">
        <f>IF(OR($B71="",$A71&lt;20),"",--MID('Key Analysis'!$C67,20,1))</f>
        <v>1</v>
      </c>
      <c r="FC71" s="29">
        <f>IF(OR($B71="",$A71&lt;21),"",--MID('Key Analysis'!$C67,21,1))</f>
        <v>0</v>
      </c>
      <c r="FD71" s="29">
        <f>IF(OR($B71="",$A71&lt;22),"",--MID('Key Analysis'!$C67,22,1))</f>
        <v>1</v>
      </c>
      <c r="FE71" s="29">
        <f>IF(OR($B71="",$A71&lt;23),"",--MID('Key Analysis'!$C67,23,1))</f>
        <v>0</v>
      </c>
      <c r="FF71" s="29">
        <f>IF(OR($B71="",$A71&lt;24),"",--MID('Key Analysis'!$C67,24,1))</f>
        <v>1</v>
      </c>
      <c r="FG71" s="29">
        <f>IF(OR($B71="",$A71&lt;25),"",--MID('Key Analysis'!$C67,25,1))</f>
        <v>1</v>
      </c>
      <c r="FH71" s="29">
        <f>IF(OR($B71="",$A71&lt;26),"",--MID('Key Analysis'!$C67,26,1))</f>
        <v>1</v>
      </c>
      <c r="FI71" s="29">
        <f>IF(OR($B71="",$A71&lt;27),"",--MID('Key Analysis'!$C67,27,1))</f>
        <v>0</v>
      </c>
      <c r="FJ71" s="29">
        <f>IF(OR($B71="",$A71&lt;28),"",--MID('Key Analysis'!$C67,28,1))</f>
        <v>1</v>
      </c>
      <c r="FK71" s="29">
        <f>IF(OR($B71="",$A71&lt;29),"",--MID('Key Analysis'!$C67,29,1))</f>
        <v>0</v>
      </c>
      <c r="FL71" s="29">
        <f>IF(OR($B71="",$A71&lt;30),"",--MID('Key Analysis'!$C67,30,1))</f>
        <v>0</v>
      </c>
      <c r="FM71" s="29">
        <f>IF(OR($B71="",$A71&lt;31),"",--MID('Key Analysis'!$C67,31,1))</f>
        <v>1</v>
      </c>
      <c r="FN71" s="29">
        <f>IF(OR($B71="",$A71&lt;32),"",--MID('Key Analysis'!$C67,32,1))</f>
        <v>1</v>
      </c>
      <c r="FO71" s="29">
        <f>IF(OR($B71="",$A71&lt;33),"",--MID('Key Analysis'!$C67,33,1))</f>
        <v>1</v>
      </c>
      <c r="FP71" s="29">
        <f>IF(OR($B71="",$A71&lt;34),"",--MID('Key Analysis'!$C67,34,1))</f>
        <v>1</v>
      </c>
      <c r="FQ71" s="29">
        <f>IF(OR($B71="",$A71&lt;35),"",--MID('Key Analysis'!$C67,35,1))</f>
        <v>0</v>
      </c>
      <c r="FR71" s="29">
        <f>IF(OR($B71="",$A71&lt;36),"",--MID('Key Analysis'!$C67,36,1))</f>
        <v>0</v>
      </c>
      <c r="FS71" s="29">
        <f>IF(OR($B71="",$A71&lt;37),"",--MID('Key Analysis'!$C67,37,1))</f>
        <v>1</v>
      </c>
      <c r="FT71" s="29">
        <f>IF(OR($B71="",$A71&lt;38),"",--MID('Key Analysis'!$C67,38,1))</f>
        <v>0</v>
      </c>
      <c r="FU71" s="29">
        <f>IF(OR($B71="",$A71&lt;39),"",--MID('Key Analysis'!$C67,39,1))</f>
        <v>1</v>
      </c>
      <c r="FV71" s="29">
        <f>IF(OR($B71="",$A71&lt;40),"",--MID('Key Analysis'!$C67,40,1))</f>
        <v>0</v>
      </c>
      <c r="FW71" s="29">
        <f>IF(OR($B71="",$A71&lt;41),"",--MID('Key Analysis'!$C67,41,1))</f>
        <v>1</v>
      </c>
      <c r="FX71" s="29">
        <f>IF(OR($B71="",$A71&lt;42),"",--MID('Key Analysis'!$C67,42,1))</f>
        <v>1</v>
      </c>
      <c r="FY71" s="29">
        <f>IF(OR($B71="",$A71&lt;43),"",--MID('Key Analysis'!$C67,43,1))</f>
        <v>0</v>
      </c>
      <c r="FZ71" s="29">
        <f>IF(OR($B71="",$A71&lt;44),"",--MID('Key Analysis'!$C67,44,1))</f>
        <v>1</v>
      </c>
      <c r="GA71" s="29">
        <f>IF(OR($B71="",$A71&lt;45),"",--MID('Key Analysis'!$C67,45,1))</f>
        <v>0</v>
      </c>
      <c r="GB71" s="29">
        <f>IF(OR($B71="",$A71&lt;46),"",--MID('Key Analysis'!$C67,46,1))</f>
        <v>1</v>
      </c>
      <c r="GC71" s="29">
        <f>IF(OR($B71="",$A71&lt;47),"",--MID('Key Analysis'!$C67,47,1))</f>
        <v>1</v>
      </c>
      <c r="GD71" s="29">
        <f>IF(OR($B71="",$A71&lt;48),"",--MID('Key Analysis'!$C67,48,1))</f>
        <v>1</v>
      </c>
      <c r="GE71" s="29">
        <f>IF(OR($B71="",$A71&lt;49),"",--MID('Key Analysis'!$C67,49,1))</f>
        <v>1</v>
      </c>
      <c r="GF71" s="29">
        <f>IF(OR($B71="",$A71&lt;50),"",--MID('Key Analysis'!$C67,50,1))</f>
        <v>0</v>
      </c>
      <c r="GG71" s="29">
        <f>IF(OR($B71="",$A71&lt;51),"",--MID('Key Analysis'!$C67,51,1))</f>
        <v>0</v>
      </c>
      <c r="GH71" s="29">
        <f>IF(OR($B71="",$A71&lt;52),"",--MID('Key Analysis'!$C67,52,1))</f>
        <v>0</v>
      </c>
      <c r="GI71" s="29">
        <f>IF(OR($B71="",$A71&lt;53),"",--MID('Key Analysis'!$C67,53,1))</f>
        <v>1</v>
      </c>
      <c r="GJ71" s="29">
        <f>IF(OR($B71="",$A71&lt;54),"",--MID('Key Analysis'!$C67,54,1))</f>
        <v>1</v>
      </c>
      <c r="GK71" s="29">
        <f>IF(OR($B71="",$A71&lt;55),"",--MID('Key Analysis'!$C67,55,1))</f>
        <v>0</v>
      </c>
      <c r="GL71" s="29">
        <f>IF(OR($B71="",$A71&lt;56),"",--MID('Key Analysis'!$C67,56,1))</f>
        <v>1</v>
      </c>
      <c r="GM71" s="29">
        <f>IF(OR($B71="",$A71&lt;57),"",--MID('Key Analysis'!$C67,57,1))</f>
        <v>0</v>
      </c>
      <c r="GN71" s="29">
        <f>IF(OR($B71="",$A71&lt;58),"",--MID('Key Analysis'!$C67,58,1))</f>
        <v>1</v>
      </c>
      <c r="GO71" s="29">
        <f>IF(OR($B71="",$A71&lt;59),"",--MID('Key Analysis'!$C67,59,1))</f>
        <v>1</v>
      </c>
      <c r="GP71" s="29">
        <f>IF(OR($B71="",$A71&lt;60),"",--MID('Key Analysis'!$C67,60,1))</f>
        <v>1</v>
      </c>
      <c r="GQ71" s="29">
        <f>IF(OR($B71="",$A71&lt;61),"",--MID('Key Analysis'!$C67,61,1))</f>
        <v>1</v>
      </c>
      <c r="GR71" s="29">
        <f>IF(OR($B71="",$A71&lt;62),"",--MID('Key Analysis'!$C67,62,1))</f>
        <v>0</v>
      </c>
      <c r="GS71" s="29">
        <f>IF(OR($B71="",$A71&lt;63),"",--MID('Key Analysis'!$C67,63,1))</f>
        <v>1</v>
      </c>
      <c r="GT71" s="29">
        <f>IF(OR($B71="",$A71&lt;64),"",--MID('Key Analysis'!$C67,64,1))</f>
        <v>1</v>
      </c>
      <c r="GU71" s="29">
        <f>IF(OR($B71="",$A71&lt;65),"",--MID('Key Analysis'!$C67,65,1))</f>
        <v>1</v>
      </c>
      <c r="GV71" s="29">
        <f>IF(OR($B71="",$A71&lt;66),"",--MID('Key Analysis'!$C67,66,1))</f>
        <v>0</v>
      </c>
      <c r="GW71" s="29" t="str">
        <f>IF(OR($B71="",$A71&lt;67),"",--MID('Key Analysis'!$C67,67,1))</f>
        <v/>
      </c>
      <c r="GX71" s="29" t="str">
        <f>IF(OR($B71="",$A71&lt;68),"",--MID('Key Analysis'!$C67,68,1))</f>
        <v/>
      </c>
      <c r="GY71" s="29" t="str">
        <f>IF(OR($B71="",$A71&lt;69),"",--MID('Key Analysis'!$C67,69,1))</f>
        <v/>
      </c>
      <c r="GZ71" s="29" t="str">
        <f>IF(OR($B71="",$A71&lt;70),"",--MID('Key Analysis'!$C67,70,1))</f>
        <v/>
      </c>
      <c r="HA71" s="29" t="str">
        <f>IF(OR($B71="",$A71&lt;71),"",--MID('Key Analysis'!$C67,71,1))</f>
        <v/>
      </c>
      <c r="HB71" s="29" t="str">
        <f>IF(OR($B71="",$A71&lt;72),"",--MID('Key Analysis'!$C67,72,1))</f>
        <v/>
      </c>
      <c r="HC71" s="29" t="str">
        <f>IF(OR($B71="",$A71&lt;73),"",--MID('Key Analysis'!$C67,73,1))</f>
        <v/>
      </c>
      <c r="HD71" s="29" t="str">
        <f>IF(OR($B71="",$A71&lt;74),"",--MID('Key Analysis'!$C67,74,1))</f>
        <v/>
      </c>
      <c r="HE71" s="29" t="str">
        <f>IF(OR($B71="",$A71&lt;75),"",--MID('Key Analysis'!$C67,75,1))</f>
        <v/>
      </c>
      <c r="HF71" s="29" t="str">
        <f>IF(OR($B71="",$A71&lt;76),"",--MID('Key Analysis'!$C67,76,1))</f>
        <v/>
      </c>
      <c r="HG71" s="29" t="str">
        <f>IF(OR($B71="",$A71&lt;77),"",--MID('Key Analysis'!$C67,77,1))</f>
        <v/>
      </c>
      <c r="HH71" s="29" t="str">
        <f>IF(OR($B71="",$A71&lt;78),"",--MID('Key Analysis'!$C67,78,1))</f>
        <v/>
      </c>
      <c r="HI71" s="29" t="str">
        <f>IF(OR($B71="",$A71&lt;79),"",--MID('Key Analysis'!$C67,79,1))</f>
        <v/>
      </c>
      <c r="HJ71" s="29" t="str">
        <f>IF(OR($B71="",$A71&lt;80),"",--MID('Key Analysis'!$C67,80,1))</f>
        <v/>
      </c>
      <c r="HK71" s="29" t="str">
        <f>IF(OR($B71="",$A71&lt;81),"",--MID('Key Analysis'!$C67,81,1))</f>
        <v/>
      </c>
      <c r="HL71" s="29" t="str">
        <f>IF(OR($B71="",$A71&lt;82),"",--MID('Key Analysis'!$C67,82,1))</f>
        <v/>
      </c>
      <c r="HM71" s="29" t="str">
        <f>IF(OR($B71="",$A71&lt;83),"",--MID('Key Analysis'!$C67,83,1))</f>
        <v/>
      </c>
      <c r="HN71" s="29" t="str">
        <f>IF(OR($B71="",$A71&lt;84),"",--MID('Key Analysis'!$C67,84,1))</f>
        <v/>
      </c>
      <c r="HO71" s="29" t="str">
        <f>IF(OR($B71="",$A71&lt;85),"",--MID('Key Analysis'!$C67,85,1))</f>
        <v/>
      </c>
      <c r="HP71" s="29" t="str">
        <f>IF(OR($B71="",$A71&lt;86),"",--MID('Key Analysis'!$C67,86,1))</f>
        <v/>
      </c>
      <c r="HQ71" s="29" t="str">
        <f>IF(OR($B71="",$A71&lt;87),"",--MID('Key Analysis'!$C67,87,1))</f>
        <v/>
      </c>
      <c r="HR71" s="29" t="str">
        <f>IF(OR($B71="",$A71&lt;88),"",--MID('Key Analysis'!$C67,88,1))</f>
        <v/>
      </c>
      <c r="HS71" s="29" t="str">
        <f>IF(OR($B71="",$A71&lt;89),"",--MID('Key Analysis'!$C67,89,1))</f>
        <v/>
      </c>
      <c r="HT71" s="29" t="str">
        <f>IF(OR($B71="",$A71&lt;90),"",--MID('Key Analysis'!$C67,90,1))</f>
        <v/>
      </c>
      <c r="HU71" s="29" t="str">
        <f>IF(OR($B71="",$A71&lt;91),"",--MID('Key Analysis'!$C67,91,1))</f>
        <v/>
      </c>
      <c r="HV71" s="29" t="str">
        <f>IF(OR($B71="",$A71&lt;92),"",--MID('Key Analysis'!$C67,92,1))</f>
        <v/>
      </c>
      <c r="HW71" s="29" t="str">
        <f>IF(OR($B71="",$A71&lt;93),"",--MID('Key Analysis'!$C67,93,1))</f>
        <v/>
      </c>
      <c r="HX71" s="29" t="str">
        <f>IF(OR($B71="",$A71&lt;94),"",--MID('Key Analysis'!$C67,94,1))</f>
        <v/>
      </c>
      <c r="HY71" s="29" t="str">
        <f>IF(OR($B71="",$A71&lt;95),"",--MID('Key Analysis'!$C67,95,1))</f>
        <v/>
      </c>
      <c r="HZ71" s="29" t="str">
        <f>IF(OR($B71="",$A71&lt;96),"",--MID('Key Analysis'!$C67,96,1))</f>
        <v/>
      </c>
      <c r="IA71" s="29" t="str">
        <f>IF(OR($B71="",$A71&lt;97),"",--MID('Key Analysis'!$C67,97,1))</f>
        <v/>
      </c>
      <c r="IB71" s="29" t="str">
        <f>IF(OR($B71="",$A71&lt;98),"",--MID('Key Analysis'!$C67,98,1))</f>
        <v/>
      </c>
      <c r="IC71" s="29" t="str">
        <f>IF(OR($B71="",$A71&lt;99),"",--MID('Key Analysis'!$C67,99,1))</f>
        <v/>
      </c>
      <c r="ID71" s="29" t="str">
        <f>IF(OR($B71="",$A71&lt;100),"",--MID('Key Analysis'!$C67,100,1))</f>
        <v/>
      </c>
      <c r="IE71" s="29" t="str">
        <f>IF(OR($B71="",$A71&lt;101),"",--MID('Key Analysis'!$C67,101,1))</f>
        <v/>
      </c>
      <c r="IF71" s="29" t="str">
        <f>IF(OR($B71="",$A71&lt;102),"",--MID('Key Analysis'!$C67,102,1))</f>
        <v/>
      </c>
      <c r="IG71" s="29" t="str">
        <f>IF(OR($B71="",$A71&lt;103),"",--MID('Key Analysis'!$C67,103,1))</f>
        <v/>
      </c>
      <c r="IH71" s="29" t="str">
        <f>IF(OR($B71="",$A71&lt;104),"",--MID('Key Analysis'!$C67,104,1))</f>
        <v/>
      </c>
      <c r="II71" s="29" t="str">
        <f>IF(OR($B71="",$A71&lt;105),"",--MID('Key Analysis'!$C67,105,1))</f>
        <v/>
      </c>
      <c r="IJ71" s="29" t="str">
        <f>IF(OR($B71="",$A71&lt;106),"",--MID('Key Analysis'!$C67,106,1))</f>
        <v/>
      </c>
      <c r="IK71" s="29" t="str">
        <f>IF(OR($B71="",$A71&lt;107),"",--MID('Key Analysis'!$C67,107,1))</f>
        <v/>
      </c>
      <c r="IL71" s="29" t="str">
        <f>IF(OR($B71="",$A71&lt;108),"",--MID('Key Analysis'!$C67,108,1))</f>
        <v/>
      </c>
      <c r="IM71" s="29" t="str">
        <f>IF(OR($B71="",$A71&lt;109),"",--MID('Key Analysis'!$C67,109,1))</f>
        <v/>
      </c>
      <c r="IN71" s="29" t="str">
        <f>IF(OR($B71="",$A71&lt;110),"",--MID('Key Analysis'!$C67,110,1))</f>
        <v/>
      </c>
      <c r="IO71" s="29" t="str">
        <f>IF(OR($B71="",$A71&lt;111),"",--MID('Key Analysis'!$C67,111,1))</f>
        <v/>
      </c>
      <c r="IP71" s="29" t="str">
        <f>IF(OR($B71="",$A71&lt;112),"",--MID('Key Analysis'!$C67,112,1))</f>
        <v/>
      </c>
      <c r="IQ71" s="29" t="str">
        <f>IF(OR($B71="",$A71&lt;113),"",--MID('Key Analysis'!$C67,113,1))</f>
        <v/>
      </c>
      <c r="IR71" s="29" t="str">
        <f>IF(OR($B71="",$A71&lt;114),"",--MID('Key Analysis'!$C67,114,1))</f>
        <v/>
      </c>
      <c r="IS71" s="29" t="str">
        <f>IF(OR($B71="",$A71&lt;115),"",--MID('Key Analysis'!$C67,115,1))</f>
        <v/>
      </c>
      <c r="IT71" s="29" t="str">
        <f>IF(OR($B71="",$A71&lt;116),"",--MID('Key Analysis'!$C67,116,1))</f>
        <v/>
      </c>
      <c r="IU71" s="29" t="str">
        <f>IF(OR($B71="",$A71&lt;117),"",--MID('Key Analysis'!$C67,117,1))</f>
        <v/>
      </c>
      <c r="IV71" s="29" t="str">
        <f>IF(OR($B71="",$A71&lt;118),"",--MID('Key Analysis'!$C67,118,1))</f>
        <v/>
      </c>
      <c r="IW71" s="29" t="str">
        <f>IF(OR($B71="",$A71&lt;119),"",--MID('Key Analysis'!$C67,119,1))</f>
        <v/>
      </c>
      <c r="IX71" s="29" t="str">
        <f>IF(OR($B71="",$A71&lt;120),"",--MID('Key Analysis'!$C67,120,1))</f>
        <v/>
      </c>
      <c r="IY71" s="29" t="str">
        <f>IF(OR($B71="",$A71&lt;121),"",--MID('Key Analysis'!$C67,121,1))</f>
        <v/>
      </c>
      <c r="IZ71" s="29" t="str">
        <f>IF(OR($B71="",$A71&lt;122),"",--MID('Key Analysis'!$C67,122,1))</f>
        <v/>
      </c>
      <c r="JA71" s="29" t="str">
        <f>IF(OR($B71="",$A71&lt;123),"",--MID('Key Analysis'!$C67,123,1))</f>
        <v/>
      </c>
      <c r="JB71" s="29" t="str">
        <f>IF(OR($B71="",$A71&lt;124),"",--MID('Key Analysis'!$C67,124,1))</f>
        <v/>
      </c>
      <c r="JC71" s="29" t="str">
        <f>IF(OR($B71="",$A71&lt;125),"",--MID('Key Analysis'!$C67,125,1))</f>
        <v/>
      </c>
      <c r="JD71" s="29" t="str">
        <f>IF(OR($B71="",$A71&lt;126),"",--MID('Key Analysis'!$C67,126,1))</f>
        <v/>
      </c>
      <c r="JE71" s="29" t="str">
        <f>IF(OR($B71="",$A71&lt;127),"",--MID('Key Analysis'!$C67,127,1))</f>
        <v/>
      </c>
      <c r="JF71" s="29" t="str">
        <f>IF(OR($B71="",$A71&lt;128),"",--MID('Key Analysis'!$C67,128,1))</f>
        <v/>
      </c>
      <c r="JG71" s="29" t="str">
        <f>IF(OR($B71="",$A71&lt;129),"",--MID('Key Analysis'!$C67,129,1))</f>
        <v/>
      </c>
      <c r="JH71" s="29" t="str">
        <f>IF(OR($B71="",$A71&lt;130),"",--MID('Key Analysis'!$C67,130,1))</f>
        <v/>
      </c>
      <c r="JI71" s="29" t="str">
        <f>IF(OR($B71="",$A71&lt;131),"",--MID('Key Analysis'!$C67,131,1))</f>
        <v/>
      </c>
      <c r="JJ71" s="29" t="str">
        <f>IF(OR($B71="",$A71&lt;132),"",--MID('Key Analysis'!$C67,132,1))</f>
        <v/>
      </c>
      <c r="JK71" s="29" t="str">
        <f>IF(OR($B71="",$A71&lt;133),"",--MID('Key Analysis'!$C67,133,1))</f>
        <v/>
      </c>
      <c r="JL71" s="29" t="str">
        <f>IF(OR($B71="",$A71&lt;134),"",--MID('Key Analysis'!$C67,134,1))</f>
        <v/>
      </c>
      <c r="JM71" s="29" t="str">
        <f>IF(OR($B71="",$A71&lt;135),"",--MID('Key Analysis'!$C67,135,1))</f>
        <v/>
      </c>
    </row>
    <row r="72" spans="1:273" x14ac:dyDescent="0.25">
      <c r="A72" s="21">
        <f>'Key Analysis'!A68</f>
        <v>67</v>
      </c>
      <c r="B72" s="30" t="str">
        <f>'Key Analysis'!B68</f>
        <v>730fc235c1942c1ae</v>
      </c>
      <c r="C72" s="29">
        <f>IF(OR($B72="",$A72&lt;=0),"",--MID('Key Analysis'!$C68,$A72-0,1))</f>
        <v>0</v>
      </c>
      <c r="D72" s="29">
        <f>IF(OR($B72="",$A72&lt;=1),"",--MID('Key Analysis'!$C68,$A72-1,1))</f>
        <v>1</v>
      </c>
      <c r="E72" s="29">
        <f>IF(OR($B72="",$A72&lt;=2),"",--MID('Key Analysis'!$C68,$A72-2,1))</f>
        <v>1</v>
      </c>
      <c r="F72" s="29">
        <f>IF(OR($B72="",$A72&lt;=3),"",--MID('Key Analysis'!$C68,$A72-3,1))</f>
        <v>1</v>
      </c>
      <c r="G72" s="29">
        <f>IF(OR($B72="",$A72&lt;=4),"",--MID('Key Analysis'!$C68,$A72-4,1))</f>
        <v>0</v>
      </c>
      <c r="H72" s="29">
        <f>IF(OR($B72="",$A72&lt;=5),"",--MID('Key Analysis'!$C68,$A72-5,1))</f>
        <v>1</v>
      </c>
      <c r="I72" s="29">
        <f>IF(OR($B72="",$A72&lt;=6),"",--MID('Key Analysis'!$C68,$A72-6,1))</f>
        <v>0</v>
      </c>
      <c r="J72" s="29">
        <f>IF(OR($B72="",$A72&lt;=7),"",--MID('Key Analysis'!$C68,$A72-7,1))</f>
        <v>1</v>
      </c>
      <c r="K72" s="29">
        <f>IF(OR($B72="",$A72&lt;=8),"",--MID('Key Analysis'!$C68,$A72-8,1))</f>
        <v>1</v>
      </c>
      <c r="L72" s="29">
        <f>IF(OR($B72="",$A72&lt;=9),"",--MID('Key Analysis'!$C68,$A72-9,1))</f>
        <v>0</v>
      </c>
      <c r="M72" s="29">
        <f>IF(OR($B72="",$A72&lt;=10),"",--MID('Key Analysis'!$C68,$A72-10,1))</f>
        <v>0</v>
      </c>
      <c r="N72" s="29">
        <f>IF(OR($B72="",$A72&lt;=11),"",--MID('Key Analysis'!$C68,$A72-11,1))</f>
        <v>0</v>
      </c>
      <c r="O72" s="29">
        <f>IF(OR($B72="",$A72&lt;=12),"",--MID('Key Analysis'!$C68,$A72-12,1))</f>
        <v>0</v>
      </c>
      <c r="P72" s="29">
        <f>IF(OR($B72="",$A72&lt;=13),"",--MID('Key Analysis'!$C68,$A72-13,1))</f>
        <v>0</v>
      </c>
      <c r="Q72" s="29">
        <f>IF(OR($B72="",$A72&lt;=14),"",--MID('Key Analysis'!$C68,$A72-14,1))</f>
        <v>1</v>
      </c>
      <c r="R72" s="29">
        <f>IF(OR($B72="",$A72&lt;=15),"",--MID('Key Analysis'!$C68,$A72-15,1))</f>
        <v>1</v>
      </c>
      <c r="S72" s="29">
        <f>IF(OR($B72="",$A72&lt;=16),"",--MID('Key Analysis'!$C68,$A72-16,1))</f>
        <v>0</v>
      </c>
      <c r="T72" s="29">
        <f>IF(OR($B72="",$A72&lt;=17),"",--MID('Key Analysis'!$C68,$A72-17,1))</f>
        <v>1</v>
      </c>
      <c r="U72" s="29">
        <f>IF(OR($B72="",$A72&lt;=18),"",--MID('Key Analysis'!$C68,$A72-18,1))</f>
        <v>0</v>
      </c>
      <c r="V72" s="29">
        <f>IF(OR($B72="",$A72&lt;=19),"",--MID('Key Analysis'!$C68,$A72-19,1))</f>
        <v>0</v>
      </c>
      <c r="W72" s="29">
        <f>IF(OR($B72="",$A72&lt;=20),"",--MID('Key Analysis'!$C68,$A72-20,1))</f>
        <v>0</v>
      </c>
      <c r="X72" s="29">
        <f>IF(OR($B72="",$A72&lt;=21),"",--MID('Key Analysis'!$C68,$A72-21,1))</f>
        <v>0</v>
      </c>
      <c r="Y72" s="29">
        <f>IF(OR($B72="",$A72&lt;=22),"",--MID('Key Analysis'!$C68,$A72-22,1))</f>
        <v>1</v>
      </c>
      <c r="Z72" s="29">
        <f>IF(OR($B72="",$A72&lt;=23),"",--MID('Key Analysis'!$C68,$A72-23,1))</f>
        <v>0</v>
      </c>
      <c r="AA72" s="29">
        <f>IF(OR($B72="",$A72&lt;=24),"",--MID('Key Analysis'!$C68,$A72-24,1))</f>
        <v>1</v>
      </c>
      <c r="AB72" s="29">
        <f>IF(OR($B72="",$A72&lt;=25),"",--MID('Key Analysis'!$C68,$A72-25,1))</f>
        <v>0</v>
      </c>
      <c r="AC72" s="29">
        <f>IF(OR($B72="",$A72&lt;=26),"",--MID('Key Analysis'!$C68,$A72-26,1))</f>
        <v>0</v>
      </c>
      <c r="AD72" s="29">
        <f>IF(OR($B72="",$A72&lt;=27),"",--MID('Key Analysis'!$C68,$A72-27,1))</f>
        <v>1</v>
      </c>
      <c r="AE72" s="29">
        <f>IF(OR($B72="",$A72&lt;=28),"",--MID('Key Analysis'!$C68,$A72-28,1))</f>
        <v>1</v>
      </c>
      <c r="AF72" s="29">
        <f>IF(OR($B72="",$A72&lt;=29),"",--MID('Key Analysis'!$C68,$A72-29,1))</f>
        <v>0</v>
      </c>
      <c r="AG72" s="29">
        <f>IF(OR($B72="",$A72&lt;=30),"",--MID('Key Analysis'!$C68,$A72-30,1))</f>
        <v>0</v>
      </c>
      <c r="AH72" s="29">
        <f>IF(OR($B72="",$A72&lt;=31),"",--MID('Key Analysis'!$C68,$A72-31,1))</f>
        <v>0</v>
      </c>
      <c r="AI72" s="29">
        <f>IF(OR($B72="",$A72&lt;=32),"",--MID('Key Analysis'!$C68,$A72-32,1))</f>
        <v>0</v>
      </c>
      <c r="AJ72" s="29">
        <f>IF(OR($B72="",$A72&lt;=33),"",--MID('Key Analysis'!$C68,$A72-33,1))</f>
        <v>0</v>
      </c>
      <c r="AK72" s="29">
        <f>IF(OR($B72="",$A72&lt;=34),"",--MID('Key Analysis'!$C68,$A72-34,1))</f>
        <v>1</v>
      </c>
      <c r="AL72" s="29">
        <f>IF(OR($B72="",$A72&lt;=35),"",--MID('Key Analysis'!$C68,$A72-35,1))</f>
        <v>1</v>
      </c>
      <c r="AM72" s="29">
        <f>IF(OR($B72="",$A72&lt;=36),"",--MID('Key Analysis'!$C68,$A72-36,1))</f>
        <v>1</v>
      </c>
      <c r="AN72" s="29">
        <f>IF(OR($B72="",$A72&lt;=37),"",--MID('Key Analysis'!$C68,$A72-37,1))</f>
        <v>0</v>
      </c>
      <c r="AO72" s="29">
        <f>IF(OR($B72="",$A72&lt;=38),"",--MID('Key Analysis'!$C68,$A72-38,1))</f>
        <v>1</v>
      </c>
      <c r="AP72" s="29">
        <f>IF(OR($B72="",$A72&lt;=39),"",--MID('Key Analysis'!$C68,$A72-39,1))</f>
        <v>0</v>
      </c>
      <c r="AQ72" s="29">
        <f>IF(OR($B72="",$A72&lt;=40),"",--MID('Key Analysis'!$C68,$A72-40,1))</f>
        <v>1</v>
      </c>
      <c r="AR72" s="29">
        <f>IF(OR($B72="",$A72&lt;=41),"",--MID('Key Analysis'!$C68,$A72-41,1))</f>
        <v>1</v>
      </c>
      <c r="AS72" s="29">
        <f>IF(OR($B72="",$A72&lt;=42),"",--MID('Key Analysis'!$C68,$A72-42,1))</f>
        <v>0</v>
      </c>
      <c r="AT72" s="29">
        <f>IF(OR($B72="",$A72&lt;=43),"",--MID('Key Analysis'!$C68,$A72-43,1))</f>
        <v>0</v>
      </c>
      <c r="AU72" s="29">
        <f>IF(OR($B72="",$A72&lt;=44),"",--MID('Key Analysis'!$C68,$A72-44,1))</f>
        <v>0</v>
      </c>
      <c r="AV72" s="29">
        <f>IF(OR($B72="",$A72&lt;=45),"",--MID('Key Analysis'!$C68,$A72-45,1))</f>
        <v>1</v>
      </c>
      <c r="AW72" s="29">
        <f>IF(OR($B72="",$A72&lt;=46),"",--MID('Key Analysis'!$C68,$A72-46,1))</f>
        <v>0</v>
      </c>
      <c r="AX72" s="29">
        <f>IF(OR($B72="",$A72&lt;=47),"",--MID('Key Analysis'!$C68,$A72-47,1))</f>
        <v>0</v>
      </c>
      <c r="AY72" s="29">
        <f>IF(OR($B72="",$A72&lt;=48),"",--MID('Key Analysis'!$C68,$A72-48,1))</f>
        <v>0</v>
      </c>
      <c r="AZ72" s="29">
        <f>IF(OR($B72="",$A72&lt;=49),"",--MID('Key Analysis'!$C68,$A72-49,1))</f>
        <v>0</v>
      </c>
      <c r="BA72" s="29">
        <f>IF(OR($B72="",$A72&lt;=50),"",--MID('Key Analysis'!$C68,$A72-50,1))</f>
        <v>1</v>
      </c>
      <c r="BB72" s="29">
        <f>IF(OR($B72="",$A72&lt;=51),"",--MID('Key Analysis'!$C68,$A72-51,1))</f>
        <v>1</v>
      </c>
      <c r="BC72" s="29">
        <f>IF(OR($B72="",$A72&lt;=52),"",--MID('Key Analysis'!$C68,$A72-52,1))</f>
        <v>1</v>
      </c>
      <c r="BD72" s="29">
        <f>IF(OR($B72="",$A72&lt;=53),"",--MID('Key Analysis'!$C68,$A72-53,1))</f>
        <v>1</v>
      </c>
      <c r="BE72" s="29">
        <f>IF(OR($B72="",$A72&lt;=54),"",--MID('Key Analysis'!$C68,$A72-54,1))</f>
        <v>1</v>
      </c>
      <c r="BF72" s="29">
        <f>IF(OR($B72="",$A72&lt;=55),"",--MID('Key Analysis'!$C68,$A72-55,1))</f>
        <v>1</v>
      </c>
      <c r="BG72" s="29">
        <f>IF(OR($B72="",$A72&lt;=56),"",--MID('Key Analysis'!$C68,$A72-56,1))</f>
        <v>0</v>
      </c>
      <c r="BH72" s="29">
        <f>IF(OR($B72="",$A72&lt;=57),"",--MID('Key Analysis'!$C68,$A72-57,1))</f>
        <v>0</v>
      </c>
      <c r="BI72" s="29">
        <f>IF(OR($B72="",$A72&lt;=58),"",--MID('Key Analysis'!$C68,$A72-58,1))</f>
        <v>0</v>
      </c>
      <c r="BJ72" s="29">
        <f>IF(OR($B72="",$A72&lt;=59),"",--MID('Key Analysis'!$C68,$A72-59,1))</f>
        <v>0</v>
      </c>
      <c r="BK72" s="29">
        <f>IF(OR($B72="",$A72&lt;=60),"",--MID('Key Analysis'!$C68,$A72-60,1))</f>
        <v>1</v>
      </c>
      <c r="BL72" s="29">
        <f>IF(OR($B72="",$A72&lt;=61),"",--MID('Key Analysis'!$C68,$A72-61,1))</f>
        <v>1</v>
      </c>
      <c r="BM72" s="29">
        <f>IF(OR($B72="",$A72&lt;=62),"",--MID('Key Analysis'!$C68,$A72-62,1))</f>
        <v>0</v>
      </c>
      <c r="BN72" s="29">
        <f>IF(OR($B72="",$A72&lt;=63),"",--MID('Key Analysis'!$C68,$A72-63,1))</f>
        <v>0</v>
      </c>
      <c r="BO72" s="29">
        <f>IF(OR($B72="",$A72&lt;=64),"",--MID('Key Analysis'!$C68,$A72-64,1))</f>
        <v>1</v>
      </c>
      <c r="BP72" s="29">
        <f>IF(OR($B72="",$A72&lt;=65),"",--MID('Key Analysis'!$C68,$A72-65,1))</f>
        <v>1</v>
      </c>
      <c r="BQ72" s="29">
        <f>IF(OR($B72="",$A72&lt;=66),"",--MID('Key Analysis'!$C68,$A72-66,1))</f>
        <v>1</v>
      </c>
      <c r="BR72" s="29" t="str">
        <f>IF(OR($B72="",$A72&lt;=67),"",--MID('Key Analysis'!$C68,$A72-67,1))</f>
        <v/>
      </c>
      <c r="BS72" s="29" t="str">
        <f>IF(OR($B72="",$A72&lt;=68),"",--MID('Key Analysis'!$C68,$A72-68,1))</f>
        <v/>
      </c>
      <c r="BT72" s="29" t="str">
        <f>IF(OR($B72="",$A72&lt;=69),"",--MID('Key Analysis'!$C68,$A72-69,1))</f>
        <v/>
      </c>
      <c r="BU72" s="29" t="str">
        <f>IF(OR($B72="",$A72&lt;=70),"",--MID('Key Analysis'!$C68,$A72-70,1))</f>
        <v/>
      </c>
      <c r="BV72" s="29" t="str">
        <f>IF(OR($B72="",$A72&lt;=71),"",--MID('Key Analysis'!$C68,$A72-71,1))</f>
        <v/>
      </c>
      <c r="BW72" s="29" t="str">
        <f>IF(OR($B72="",$A72&lt;=72),"",--MID('Key Analysis'!$C68,$A72-72,1))</f>
        <v/>
      </c>
      <c r="BX72" s="29" t="str">
        <f>IF(OR($B72="",$A72&lt;=73),"",--MID('Key Analysis'!$C68,$A72-73,1))</f>
        <v/>
      </c>
      <c r="BY72" s="29" t="str">
        <f>IF(OR($B72="",$A72&lt;=74),"",--MID('Key Analysis'!$C68,$A72-74,1))</f>
        <v/>
      </c>
      <c r="BZ72" s="29" t="str">
        <f>IF(OR($B72="",$A72&lt;=75),"",--MID('Key Analysis'!$C68,$A72-75,1))</f>
        <v/>
      </c>
      <c r="CA72" s="29" t="str">
        <f>IF(OR($B72="",$A72&lt;=76),"",--MID('Key Analysis'!$C68,$A72-76,1))</f>
        <v/>
      </c>
      <c r="CB72" s="29" t="str">
        <f>IF(OR($B72="",$A72&lt;=77),"",--MID('Key Analysis'!$C68,$A72-77,1))</f>
        <v/>
      </c>
      <c r="CC72" s="29" t="str">
        <f>IF(OR($B72="",$A72&lt;=78),"",--MID('Key Analysis'!$C68,$A72-78,1))</f>
        <v/>
      </c>
      <c r="CD72" s="29" t="str">
        <f>IF(OR($B72="",$A72&lt;=79),"",--MID('Key Analysis'!$C68,$A72-79,1))</f>
        <v/>
      </c>
      <c r="CE72" s="29" t="str">
        <f>IF(OR($B72="",$A72&lt;=80),"",--MID('Key Analysis'!$C68,$A72-80,1))</f>
        <v/>
      </c>
      <c r="CF72" s="29" t="str">
        <f>IF(OR($B72="",$A72&lt;=81),"",--MID('Key Analysis'!$C68,$A72-81,1))</f>
        <v/>
      </c>
      <c r="CG72" s="29" t="str">
        <f>IF(OR($B72="",$A72&lt;=82),"",--MID('Key Analysis'!$C68,$A72-82,1))</f>
        <v/>
      </c>
      <c r="CH72" s="29" t="str">
        <f>IF(OR($B72="",$A72&lt;=83),"",--MID('Key Analysis'!$C68,$A72-83,1))</f>
        <v/>
      </c>
      <c r="CI72" s="29" t="str">
        <f>IF(OR($B72="",$A72&lt;=84),"",--MID('Key Analysis'!$C68,$A72-84,1))</f>
        <v/>
      </c>
      <c r="CJ72" s="29" t="str">
        <f>IF(OR($B72="",$A72&lt;=85),"",--MID('Key Analysis'!$C68,$A72-85,1))</f>
        <v/>
      </c>
      <c r="CK72" s="29" t="str">
        <f>IF(OR($B72="",$A72&lt;=86),"",--MID('Key Analysis'!$C68,$A72-86,1))</f>
        <v/>
      </c>
      <c r="CL72" s="29" t="str">
        <f>IF(OR($B72="",$A72&lt;=87),"",--MID('Key Analysis'!$C68,$A72-87,1))</f>
        <v/>
      </c>
      <c r="CM72" s="29" t="str">
        <f>IF(OR($B72="",$A72&lt;=88),"",--MID('Key Analysis'!$C68,$A72-88,1))</f>
        <v/>
      </c>
      <c r="CN72" s="29" t="str">
        <f>IF(OR($B72="",$A72&lt;=89),"",--MID('Key Analysis'!$C68,$A72-89,1))</f>
        <v/>
      </c>
      <c r="CO72" s="29" t="str">
        <f>IF(OR($B72="",$A72&lt;=90),"",--MID('Key Analysis'!$C68,$A72-90,1))</f>
        <v/>
      </c>
      <c r="CP72" s="29" t="str">
        <f>IF(OR($B72="",$A72&lt;=91),"",--MID('Key Analysis'!$C68,$A72-91,1))</f>
        <v/>
      </c>
      <c r="CQ72" s="29" t="str">
        <f>IF(OR($B72="",$A72&lt;=92),"",--MID('Key Analysis'!$C68,$A72-92,1))</f>
        <v/>
      </c>
      <c r="CR72" s="29" t="str">
        <f>IF(OR($B72="",$A72&lt;=93),"",--MID('Key Analysis'!$C68,$A72-93,1))</f>
        <v/>
      </c>
      <c r="CS72" s="29" t="str">
        <f>IF(OR($B72="",$A72&lt;=94),"",--MID('Key Analysis'!$C68,$A72-94,1))</f>
        <v/>
      </c>
      <c r="CT72" s="29" t="str">
        <f>IF(OR($B72="",$A72&lt;=95),"",--MID('Key Analysis'!$C68,$A72-95,1))</f>
        <v/>
      </c>
      <c r="CU72" s="29" t="str">
        <f>IF(OR($B72="",$A72&lt;=96),"",--MID('Key Analysis'!$C68,$A72-96,1))</f>
        <v/>
      </c>
      <c r="CV72" s="29" t="str">
        <f>IF(OR($B72="",$A72&lt;=97),"",--MID('Key Analysis'!$C68,$A72-97,1))</f>
        <v/>
      </c>
      <c r="CW72" s="29" t="str">
        <f>IF(OR($B72="",$A72&lt;=98),"",--MID('Key Analysis'!$C68,$A72-98,1))</f>
        <v/>
      </c>
      <c r="CX72" s="29" t="str">
        <f>IF(OR($B72="",$A72&lt;=99),"",--MID('Key Analysis'!$C68,$A72-99,1))</f>
        <v/>
      </c>
      <c r="CY72" s="29" t="str">
        <f>IF(OR($B72="",$A72&lt;=100),"",--MID('Key Analysis'!$C68,$A72-100,1))</f>
        <v/>
      </c>
      <c r="CZ72" s="29" t="str">
        <f>IF(OR($B72="",$A72&lt;=101),"",--MID('Key Analysis'!$C68,$A72-101,1))</f>
        <v/>
      </c>
      <c r="DA72" s="29" t="str">
        <f>IF(OR($B72="",$A72&lt;=102),"",--MID('Key Analysis'!$C68,$A72-102,1))</f>
        <v/>
      </c>
      <c r="DB72" s="29" t="str">
        <f>IF(OR($B72="",$A72&lt;=103),"",--MID('Key Analysis'!$C68,$A72-103,1))</f>
        <v/>
      </c>
      <c r="DC72" s="29" t="str">
        <f>IF(OR($B72="",$A72&lt;=104),"",--MID('Key Analysis'!$C68,$A72-104,1))</f>
        <v/>
      </c>
      <c r="DD72" s="29" t="str">
        <f>IF(OR($B72="",$A72&lt;=105),"",--MID('Key Analysis'!$C68,$A72-105,1))</f>
        <v/>
      </c>
      <c r="DE72" s="29" t="str">
        <f>IF(OR($B72="",$A72&lt;=106),"",--MID('Key Analysis'!$C68,$A72-106,1))</f>
        <v/>
      </c>
      <c r="DF72" s="29" t="str">
        <f>IF(OR($B72="",$A72&lt;=107),"",--MID('Key Analysis'!$C68,$A72-107,1))</f>
        <v/>
      </c>
      <c r="DG72" s="29" t="str">
        <f>IF(OR($B72="",$A72&lt;=108),"",--MID('Key Analysis'!$C68,$A72-108,1))</f>
        <v/>
      </c>
      <c r="DH72" s="29" t="str">
        <f>IF(OR($B72="",$A72&lt;=109),"",--MID('Key Analysis'!$C68,$A72-109,1))</f>
        <v/>
      </c>
      <c r="DI72" s="29" t="str">
        <f>IF(OR($B72="",$A72&lt;=110),"",--MID('Key Analysis'!$C68,$A72-110,1))</f>
        <v/>
      </c>
      <c r="DJ72" s="29" t="str">
        <f>IF(OR($B72="",$A72&lt;=111),"",--MID('Key Analysis'!$C68,$A72-111,1))</f>
        <v/>
      </c>
      <c r="DK72" s="29" t="str">
        <f>IF(OR($B72="",$A72&lt;=112),"",--MID('Key Analysis'!$C68,$A72-112,1))</f>
        <v/>
      </c>
      <c r="DL72" s="29" t="str">
        <f>IF(OR($B72="",$A72&lt;=113),"",--MID('Key Analysis'!$C68,$A72-113,1))</f>
        <v/>
      </c>
      <c r="DM72" s="29" t="str">
        <f>IF(OR($B72="",$A72&lt;=114),"",--MID('Key Analysis'!$C68,$A72-114,1))</f>
        <v/>
      </c>
      <c r="DN72" s="29" t="str">
        <f>IF(OR($B72="",$A72&lt;=115),"",--MID('Key Analysis'!$C68,$A72-115,1))</f>
        <v/>
      </c>
      <c r="DO72" s="29" t="str">
        <f>IF(OR($B72="",$A72&lt;=116),"",--MID('Key Analysis'!$C68,$A72-116,1))</f>
        <v/>
      </c>
      <c r="DP72" s="29" t="str">
        <f>IF(OR($B72="",$A72&lt;=117),"",--MID('Key Analysis'!$C68,$A72-117,1))</f>
        <v/>
      </c>
      <c r="DQ72" s="29" t="str">
        <f>IF(OR($B72="",$A72&lt;=118),"",--MID('Key Analysis'!$C68,$A72-118,1))</f>
        <v/>
      </c>
      <c r="DR72" s="29" t="str">
        <f>IF(OR($B72="",$A72&lt;=119),"",--MID('Key Analysis'!$C68,$A72-119,1))</f>
        <v/>
      </c>
      <c r="DS72" s="29" t="str">
        <f>IF(OR($B72="",$A72&lt;=120),"",--MID('Key Analysis'!$C68,$A72-120,1))</f>
        <v/>
      </c>
      <c r="DT72" s="29" t="str">
        <f>IF(OR($B72="",$A72&lt;=121),"",--MID('Key Analysis'!$C68,$A72-121,1))</f>
        <v/>
      </c>
      <c r="DU72" s="29" t="str">
        <f>IF(OR($B72="",$A72&lt;=122),"",--MID('Key Analysis'!$C68,$A72-122,1))</f>
        <v/>
      </c>
      <c r="DV72" s="29" t="str">
        <f>IF(OR($B72="",$A72&lt;=123),"",--MID('Key Analysis'!$C68,$A72-123,1))</f>
        <v/>
      </c>
      <c r="DW72" s="29" t="str">
        <f>IF(OR($B72="",$A72&lt;=124),"",--MID('Key Analysis'!$C68,$A72-124,1))</f>
        <v/>
      </c>
      <c r="DX72" s="29" t="str">
        <f>IF(OR($B72="",$A72&lt;=125),"",--MID('Key Analysis'!$C68,$A72-125,1))</f>
        <v/>
      </c>
      <c r="DY72" s="29" t="str">
        <f>IF(OR($B72="",$A72&lt;=126),"",--MID('Key Analysis'!$C68,$A72-126,1))</f>
        <v/>
      </c>
      <c r="DZ72" s="29" t="str">
        <f>IF(OR($B72="",$A72&lt;=127),"",--MID('Key Analysis'!$C68,$A72-127,1))</f>
        <v/>
      </c>
      <c r="EA72" s="29" t="str">
        <f>IF(OR($B72="",$A72&lt;=128),"",--MID('Key Analysis'!$C68,$A72-128,1))</f>
        <v/>
      </c>
      <c r="EB72" s="29" t="str">
        <f>IF(OR($B72="",$A72&lt;=129),"",--MID('Key Analysis'!$C68,$A72-129,1))</f>
        <v/>
      </c>
      <c r="EC72" s="29" t="str">
        <f>IF(OR($B72="",$A72&lt;=130),"",--MID('Key Analysis'!$C68,$A72-130,1))</f>
        <v/>
      </c>
      <c r="ED72" s="29" t="str">
        <f>IF(OR($B72="",$A72&lt;=131),"",--MID('Key Analysis'!$C68,$A72-131,1))</f>
        <v/>
      </c>
      <c r="EE72" s="29" t="str">
        <f>IF(OR($B72="",$A72&lt;=132),"",--MID('Key Analysis'!$C68,$A72-132,1))</f>
        <v/>
      </c>
      <c r="EF72" s="29" t="str">
        <f>IF(OR($B72="",$A72&lt;=133),"",--MID('Key Analysis'!$C68,$A72-133,1))</f>
        <v/>
      </c>
      <c r="EG72" s="29" t="str">
        <f>IF(OR($B72="",$A72&lt;=134),"",--MID('Key Analysis'!$C68,$A72-134,1))</f>
        <v/>
      </c>
      <c r="EH72" s="29"/>
      <c r="EI72" s="29">
        <f>IF(OR($B72="",$A72&lt;1),"",--MID('Key Analysis'!$C68,1,1))</f>
        <v>1</v>
      </c>
      <c r="EJ72" s="29">
        <f>IF(OR($B72="",$A72&lt;2),"",--MID('Key Analysis'!$C68,2,1))</f>
        <v>1</v>
      </c>
      <c r="EK72" s="29">
        <f>IF(OR($B72="",$A72&lt;3),"",--MID('Key Analysis'!$C68,3,1))</f>
        <v>1</v>
      </c>
      <c r="EL72" s="29">
        <f>IF(OR($B72="",$A72&lt;4),"",--MID('Key Analysis'!$C68,4,1))</f>
        <v>0</v>
      </c>
      <c r="EM72" s="29">
        <f>IF(OR($B72="",$A72&lt;5),"",--MID('Key Analysis'!$C68,5,1))</f>
        <v>0</v>
      </c>
      <c r="EN72" s="29">
        <f>IF(OR($B72="",$A72&lt;6),"",--MID('Key Analysis'!$C68,6,1))</f>
        <v>1</v>
      </c>
      <c r="EO72" s="29">
        <f>IF(OR($B72="",$A72&lt;7),"",--MID('Key Analysis'!$C68,7,1))</f>
        <v>1</v>
      </c>
      <c r="EP72" s="29">
        <f>IF(OR($B72="",$A72&lt;8),"",--MID('Key Analysis'!$C68,8,1))</f>
        <v>0</v>
      </c>
      <c r="EQ72" s="29">
        <f>IF(OR($B72="",$A72&lt;9),"",--MID('Key Analysis'!$C68,9,1))</f>
        <v>0</v>
      </c>
      <c r="ER72" s="29">
        <f>IF(OR($B72="",$A72&lt;10),"",--MID('Key Analysis'!$C68,10,1))</f>
        <v>0</v>
      </c>
      <c r="ES72" s="29">
        <f>IF(OR($B72="",$A72&lt;11),"",--MID('Key Analysis'!$C68,11,1))</f>
        <v>0</v>
      </c>
      <c r="ET72" s="29">
        <f>IF(OR($B72="",$A72&lt;12),"",--MID('Key Analysis'!$C68,12,1))</f>
        <v>1</v>
      </c>
      <c r="EU72" s="29">
        <f>IF(OR($B72="",$A72&lt;13),"",--MID('Key Analysis'!$C68,13,1))</f>
        <v>1</v>
      </c>
      <c r="EV72" s="29">
        <f>IF(OR($B72="",$A72&lt;14),"",--MID('Key Analysis'!$C68,14,1))</f>
        <v>1</v>
      </c>
      <c r="EW72" s="29">
        <f>IF(OR($B72="",$A72&lt;15),"",--MID('Key Analysis'!$C68,15,1))</f>
        <v>1</v>
      </c>
      <c r="EX72" s="29">
        <f>IF(OR($B72="",$A72&lt;16),"",--MID('Key Analysis'!$C68,16,1))</f>
        <v>1</v>
      </c>
      <c r="EY72" s="29">
        <f>IF(OR($B72="",$A72&lt;17),"",--MID('Key Analysis'!$C68,17,1))</f>
        <v>1</v>
      </c>
      <c r="EZ72" s="29">
        <f>IF(OR($B72="",$A72&lt;18),"",--MID('Key Analysis'!$C68,18,1))</f>
        <v>0</v>
      </c>
      <c r="FA72" s="29">
        <f>IF(OR($B72="",$A72&lt;19),"",--MID('Key Analysis'!$C68,19,1))</f>
        <v>0</v>
      </c>
      <c r="FB72" s="29">
        <f>IF(OR($B72="",$A72&lt;20),"",--MID('Key Analysis'!$C68,20,1))</f>
        <v>0</v>
      </c>
      <c r="FC72" s="29">
        <f>IF(OR($B72="",$A72&lt;21),"",--MID('Key Analysis'!$C68,21,1))</f>
        <v>0</v>
      </c>
      <c r="FD72" s="29">
        <f>IF(OR($B72="",$A72&lt;22),"",--MID('Key Analysis'!$C68,22,1))</f>
        <v>1</v>
      </c>
      <c r="FE72" s="29">
        <f>IF(OR($B72="",$A72&lt;23),"",--MID('Key Analysis'!$C68,23,1))</f>
        <v>0</v>
      </c>
      <c r="FF72" s="29">
        <f>IF(OR($B72="",$A72&lt;24),"",--MID('Key Analysis'!$C68,24,1))</f>
        <v>0</v>
      </c>
      <c r="FG72" s="29">
        <f>IF(OR($B72="",$A72&lt;25),"",--MID('Key Analysis'!$C68,25,1))</f>
        <v>0</v>
      </c>
      <c r="FH72" s="29">
        <f>IF(OR($B72="",$A72&lt;26),"",--MID('Key Analysis'!$C68,26,1))</f>
        <v>1</v>
      </c>
      <c r="FI72" s="29">
        <f>IF(OR($B72="",$A72&lt;27),"",--MID('Key Analysis'!$C68,27,1))</f>
        <v>1</v>
      </c>
      <c r="FJ72" s="29">
        <f>IF(OR($B72="",$A72&lt;28),"",--MID('Key Analysis'!$C68,28,1))</f>
        <v>0</v>
      </c>
      <c r="FK72" s="29">
        <f>IF(OR($B72="",$A72&lt;29),"",--MID('Key Analysis'!$C68,29,1))</f>
        <v>1</v>
      </c>
      <c r="FL72" s="29">
        <f>IF(OR($B72="",$A72&lt;30),"",--MID('Key Analysis'!$C68,30,1))</f>
        <v>0</v>
      </c>
      <c r="FM72" s="29">
        <f>IF(OR($B72="",$A72&lt;31),"",--MID('Key Analysis'!$C68,31,1))</f>
        <v>1</v>
      </c>
      <c r="FN72" s="29">
        <f>IF(OR($B72="",$A72&lt;32),"",--MID('Key Analysis'!$C68,32,1))</f>
        <v>1</v>
      </c>
      <c r="FO72" s="29">
        <f>IF(OR($B72="",$A72&lt;33),"",--MID('Key Analysis'!$C68,33,1))</f>
        <v>1</v>
      </c>
      <c r="FP72" s="29">
        <f>IF(OR($B72="",$A72&lt;34),"",--MID('Key Analysis'!$C68,34,1))</f>
        <v>0</v>
      </c>
      <c r="FQ72" s="29">
        <f>IF(OR($B72="",$A72&lt;35),"",--MID('Key Analysis'!$C68,35,1))</f>
        <v>0</v>
      </c>
      <c r="FR72" s="29">
        <f>IF(OR($B72="",$A72&lt;36),"",--MID('Key Analysis'!$C68,36,1))</f>
        <v>0</v>
      </c>
      <c r="FS72" s="29">
        <f>IF(OR($B72="",$A72&lt;37),"",--MID('Key Analysis'!$C68,37,1))</f>
        <v>0</v>
      </c>
      <c r="FT72" s="29">
        <f>IF(OR($B72="",$A72&lt;38),"",--MID('Key Analysis'!$C68,38,1))</f>
        <v>0</v>
      </c>
      <c r="FU72" s="29">
        <f>IF(OR($B72="",$A72&lt;39),"",--MID('Key Analysis'!$C68,39,1))</f>
        <v>1</v>
      </c>
      <c r="FV72" s="29">
        <f>IF(OR($B72="",$A72&lt;40),"",--MID('Key Analysis'!$C68,40,1))</f>
        <v>1</v>
      </c>
      <c r="FW72" s="29">
        <f>IF(OR($B72="",$A72&lt;41),"",--MID('Key Analysis'!$C68,41,1))</f>
        <v>0</v>
      </c>
      <c r="FX72" s="29">
        <f>IF(OR($B72="",$A72&lt;42),"",--MID('Key Analysis'!$C68,42,1))</f>
        <v>0</v>
      </c>
      <c r="FY72" s="29">
        <f>IF(OR($B72="",$A72&lt;43),"",--MID('Key Analysis'!$C68,43,1))</f>
        <v>1</v>
      </c>
      <c r="FZ72" s="29">
        <f>IF(OR($B72="",$A72&lt;44),"",--MID('Key Analysis'!$C68,44,1))</f>
        <v>0</v>
      </c>
      <c r="GA72" s="29">
        <f>IF(OR($B72="",$A72&lt;45),"",--MID('Key Analysis'!$C68,45,1))</f>
        <v>1</v>
      </c>
      <c r="GB72" s="29">
        <f>IF(OR($B72="",$A72&lt;46),"",--MID('Key Analysis'!$C68,46,1))</f>
        <v>0</v>
      </c>
      <c r="GC72" s="29">
        <f>IF(OR($B72="",$A72&lt;47),"",--MID('Key Analysis'!$C68,47,1))</f>
        <v>0</v>
      </c>
      <c r="GD72" s="29">
        <f>IF(OR($B72="",$A72&lt;48),"",--MID('Key Analysis'!$C68,48,1))</f>
        <v>0</v>
      </c>
      <c r="GE72" s="29">
        <f>IF(OR($B72="",$A72&lt;49),"",--MID('Key Analysis'!$C68,49,1))</f>
        <v>0</v>
      </c>
      <c r="GF72" s="29">
        <f>IF(OR($B72="",$A72&lt;50),"",--MID('Key Analysis'!$C68,50,1))</f>
        <v>1</v>
      </c>
      <c r="GG72" s="29">
        <f>IF(OR($B72="",$A72&lt;51),"",--MID('Key Analysis'!$C68,51,1))</f>
        <v>0</v>
      </c>
      <c r="GH72" s="29">
        <f>IF(OR($B72="",$A72&lt;52),"",--MID('Key Analysis'!$C68,52,1))</f>
        <v>1</v>
      </c>
      <c r="GI72" s="29">
        <f>IF(OR($B72="",$A72&lt;53),"",--MID('Key Analysis'!$C68,53,1))</f>
        <v>1</v>
      </c>
      <c r="GJ72" s="29">
        <f>IF(OR($B72="",$A72&lt;54),"",--MID('Key Analysis'!$C68,54,1))</f>
        <v>0</v>
      </c>
      <c r="GK72" s="29">
        <f>IF(OR($B72="",$A72&lt;55),"",--MID('Key Analysis'!$C68,55,1))</f>
        <v>0</v>
      </c>
      <c r="GL72" s="29">
        <f>IF(OR($B72="",$A72&lt;56),"",--MID('Key Analysis'!$C68,56,1))</f>
        <v>0</v>
      </c>
      <c r="GM72" s="29">
        <f>IF(OR($B72="",$A72&lt;57),"",--MID('Key Analysis'!$C68,57,1))</f>
        <v>0</v>
      </c>
      <c r="GN72" s="29">
        <f>IF(OR($B72="",$A72&lt;58),"",--MID('Key Analysis'!$C68,58,1))</f>
        <v>0</v>
      </c>
      <c r="GO72" s="29">
        <f>IF(OR($B72="",$A72&lt;59),"",--MID('Key Analysis'!$C68,59,1))</f>
        <v>1</v>
      </c>
      <c r="GP72" s="29">
        <f>IF(OR($B72="",$A72&lt;60),"",--MID('Key Analysis'!$C68,60,1))</f>
        <v>1</v>
      </c>
      <c r="GQ72" s="29">
        <f>IF(OR($B72="",$A72&lt;61),"",--MID('Key Analysis'!$C68,61,1))</f>
        <v>0</v>
      </c>
      <c r="GR72" s="29">
        <f>IF(OR($B72="",$A72&lt;62),"",--MID('Key Analysis'!$C68,62,1))</f>
        <v>1</v>
      </c>
      <c r="GS72" s="29">
        <f>IF(OR($B72="",$A72&lt;63),"",--MID('Key Analysis'!$C68,63,1))</f>
        <v>0</v>
      </c>
      <c r="GT72" s="29">
        <f>IF(OR($B72="",$A72&lt;64),"",--MID('Key Analysis'!$C68,64,1))</f>
        <v>1</v>
      </c>
      <c r="GU72" s="29">
        <f>IF(OR($B72="",$A72&lt;65),"",--MID('Key Analysis'!$C68,65,1))</f>
        <v>1</v>
      </c>
      <c r="GV72" s="29">
        <f>IF(OR($B72="",$A72&lt;66),"",--MID('Key Analysis'!$C68,66,1))</f>
        <v>1</v>
      </c>
      <c r="GW72" s="29">
        <f>IF(OR($B72="",$A72&lt;67),"",--MID('Key Analysis'!$C68,67,1))</f>
        <v>0</v>
      </c>
      <c r="GX72" s="29" t="str">
        <f>IF(OR($B72="",$A72&lt;68),"",--MID('Key Analysis'!$C68,68,1))</f>
        <v/>
      </c>
      <c r="GY72" s="29" t="str">
        <f>IF(OR($B72="",$A72&lt;69),"",--MID('Key Analysis'!$C68,69,1))</f>
        <v/>
      </c>
      <c r="GZ72" s="29" t="str">
        <f>IF(OR($B72="",$A72&lt;70),"",--MID('Key Analysis'!$C68,70,1))</f>
        <v/>
      </c>
      <c r="HA72" s="29" t="str">
        <f>IF(OR($B72="",$A72&lt;71),"",--MID('Key Analysis'!$C68,71,1))</f>
        <v/>
      </c>
      <c r="HB72" s="29" t="str">
        <f>IF(OR($B72="",$A72&lt;72),"",--MID('Key Analysis'!$C68,72,1))</f>
        <v/>
      </c>
      <c r="HC72" s="29" t="str">
        <f>IF(OR($B72="",$A72&lt;73),"",--MID('Key Analysis'!$C68,73,1))</f>
        <v/>
      </c>
      <c r="HD72" s="29" t="str">
        <f>IF(OR($B72="",$A72&lt;74),"",--MID('Key Analysis'!$C68,74,1))</f>
        <v/>
      </c>
      <c r="HE72" s="29" t="str">
        <f>IF(OR($B72="",$A72&lt;75),"",--MID('Key Analysis'!$C68,75,1))</f>
        <v/>
      </c>
      <c r="HF72" s="29" t="str">
        <f>IF(OR($B72="",$A72&lt;76),"",--MID('Key Analysis'!$C68,76,1))</f>
        <v/>
      </c>
      <c r="HG72" s="29" t="str">
        <f>IF(OR($B72="",$A72&lt;77),"",--MID('Key Analysis'!$C68,77,1))</f>
        <v/>
      </c>
      <c r="HH72" s="29" t="str">
        <f>IF(OR($B72="",$A72&lt;78),"",--MID('Key Analysis'!$C68,78,1))</f>
        <v/>
      </c>
      <c r="HI72" s="29" t="str">
        <f>IF(OR($B72="",$A72&lt;79),"",--MID('Key Analysis'!$C68,79,1))</f>
        <v/>
      </c>
      <c r="HJ72" s="29" t="str">
        <f>IF(OR($B72="",$A72&lt;80),"",--MID('Key Analysis'!$C68,80,1))</f>
        <v/>
      </c>
      <c r="HK72" s="29" t="str">
        <f>IF(OR($B72="",$A72&lt;81),"",--MID('Key Analysis'!$C68,81,1))</f>
        <v/>
      </c>
      <c r="HL72" s="29" t="str">
        <f>IF(OR($B72="",$A72&lt;82),"",--MID('Key Analysis'!$C68,82,1))</f>
        <v/>
      </c>
      <c r="HM72" s="29" t="str">
        <f>IF(OR($B72="",$A72&lt;83),"",--MID('Key Analysis'!$C68,83,1))</f>
        <v/>
      </c>
      <c r="HN72" s="29" t="str">
        <f>IF(OR($B72="",$A72&lt;84),"",--MID('Key Analysis'!$C68,84,1))</f>
        <v/>
      </c>
      <c r="HO72" s="29" t="str">
        <f>IF(OR($B72="",$A72&lt;85),"",--MID('Key Analysis'!$C68,85,1))</f>
        <v/>
      </c>
      <c r="HP72" s="29" t="str">
        <f>IF(OR($B72="",$A72&lt;86),"",--MID('Key Analysis'!$C68,86,1))</f>
        <v/>
      </c>
      <c r="HQ72" s="29" t="str">
        <f>IF(OR($B72="",$A72&lt;87),"",--MID('Key Analysis'!$C68,87,1))</f>
        <v/>
      </c>
      <c r="HR72" s="29" t="str">
        <f>IF(OR($B72="",$A72&lt;88),"",--MID('Key Analysis'!$C68,88,1))</f>
        <v/>
      </c>
      <c r="HS72" s="29" t="str">
        <f>IF(OR($B72="",$A72&lt;89),"",--MID('Key Analysis'!$C68,89,1))</f>
        <v/>
      </c>
      <c r="HT72" s="29" t="str">
        <f>IF(OR($B72="",$A72&lt;90),"",--MID('Key Analysis'!$C68,90,1))</f>
        <v/>
      </c>
      <c r="HU72" s="29" t="str">
        <f>IF(OR($B72="",$A72&lt;91),"",--MID('Key Analysis'!$C68,91,1))</f>
        <v/>
      </c>
      <c r="HV72" s="29" t="str">
        <f>IF(OR($B72="",$A72&lt;92),"",--MID('Key Analysis'!$C68,92,1))</f>
        <v/>
      </c>
      <c r="HW72" s="29" t="str">
        <f>IF(OR($B72="",$A72&lt;93),"",--MID('Key Analysis'!$C68,93,1))</f>
        <v/>
      </c>
      <c r="HX72" s="29" t="str">
        <f>IF(OR($B72="",$A72&lt;94),"",--MID('Key Analysis'!$C68,94,1))</f>
        <v/>
      </c>
      <c r="HY72" s="29" t="str">
        <f>IF(OR($B72="",$A72&lt;95),"",--MID('Key Analysis'!$C68,95,1))</f>
        <v/>
      </c>
      <c r="HZ72" s="29" t="str">
        <f>IF(OR($B72="",$A72&lt;96),"",--MID('Key Analysis'!$C68,96,1))</f>
        <v/>
      </c>
      <c r="IA72" s="29" t="str">
        <f>IF(OR($B72="",$A72&lt;97),"",--MID('Key Analysis'!$C68,97,1))</f>
        <v/>
      </c>
      <c r="IB72" s="29" t="str">
        <f>IF(OR($B72="",$A72&lt;98),"",--MID('Key Analysis'!$C68,98,1))</f>
        <v/>
      </c>
      <c r="IC72" s="29" t="str">
        <f>IF(OR($B72="",$A72&lt;99),"",--MID('Key Analysis'!$C68,99,1))</f>
        <v/>
      </c>
      <c r="ID72" s="29" t="str">
        <f>IF(OR($B72="",$A72&lt;100),"",--MID('Key Analysis'!$C68,100,1))</f>
        <v/>
      </c>
      <c r="IE72" s="29" t="str">
        <f>IF(OR($B72="",$A72&lt;101),"",--MID('Key Analysis'!$C68,101,1))</f>
        <v/>
      </c>
      <c r="IF72" s="29" t="str">
        <f>IF(OR($B72="",$A72&lt;102),"",--MID('Key Analysis'!$C68,102,1))</f>
        <v/>
      </c>
      <c r="IG72" s="29" t="str">
        <f>IF(OR($B72="",$A72&lt;103),"",--MID('Key Analysis'!$C68,103,1))</f>
        <v/>
      </c>
      <c r="IH72" s="29" t="str">
        <f>IF(OR($B72="",$A72&lt;104),"",--MID('Key Analysis'!$C68,104,1))</f>
        <v/>
      </c>
      <c r="II72" s="29" t="str">
        <f>IF(OR($B72="",$A72&lt;105),"",--MID('Key Analysis'!$C68,105,1))</f>
        <v/>
      </c>
      <c r="IJ72" s="29" t="str">
        <f>IF(OR($B72="",$A72&lt;106),"",--MID('Key Analysis'!$C68,106,1))</f>
        <v/>
      </c>
      <c r="IK72" s="29" t="str">
        <f>IF(OR($B72="",$A72&lt;107),"",--MID('Key Analysis'!$C68,107,1))</f>
        <v/>
      </c>
      <c r="IL72" s="29" t="str">
        <f>IF(OR($B72="",$A72&lt;108),"",--MID('Key Analysis'!$C68,108,1))</f>
        <v/>
      </c>
      <c r="IM72" s="29" t="str">
        <f>IF(OR($B72="",$A72&lt;109),"",--MID('Key Analysis'!$C68,109,1))</f>
        <v/>
      </c>
      <c r="IN72" s="29" t="str">
        <f>IF(OR($B72="",$A72&lt;110),"",--MID('Key Analysis'!$C68,110,1))</f>
        <v/>
      </c>
      <c r="IO72" s="29" t="str">
        <f>IF(OR($B72="",$A72&lt;111),"",--MID('Key Analysis'!$C68,111,1))</f>
        <v/>
      </c>
      <c r="IP72" s="29" t="str">
        <f>IF(OR($B72="",$A72&lt;112),"",--MID('Key Analysis'!$C68,112,1))</f>
        <v/>
      </c>
      <c r="IQ72" s="29" t="str">
        <f>IF(OR($B72="",$A72&lt;113),"",--MID('Key Analysis'!$C68,113,1))</f>
        <v/>
      </c>
      <c r="IR72" s="29" t="str">
        <f>IF(OR($B72="",$A72&lt;114),"",--MID('Key Analysis'!$C68,114,1))</f>
        <v/>
      </c>
      <c r="IS72" s="29" t="str">
        <f>IF(OR($B72="",$A72&lt;115),"",--MID('Key Analysis'!$C68,115,1))</f>
        <v/>
      </c>
      <c r="IT72" s="29" t="str">
        <f>IF(OR($B72="",$A72&lt;116),"",--MID('Key Analysis'!$C68,116,1))</f>
        <v/>
      </c>
      <c r="IU72" s="29" t="str">
        <f>IF(OR($B72="",$A72&lt;117),"",--MID('Key Analysis'!$C68,117,1))</f>
        <v/>
      </c>
      <c r="IV72" s="29" t="str">
        <f>IF(OR($B72="",$A72&lt;118),"",--MID('Key Analysis'!$C68,118,1))</f>
        <v/>
      </c>
      <c r="IW72" s="29" t="str">
        <f>IF(OR($B72="",$A72&lt;119),"",--MID('Key Analysis'!$C68,119,1))</f>
        <v/>
      </c>
      <c r="IX72" s="29" t="str">
        <f>IF(OR($B72="",$A72&lt;120),"",--MID('Key Analysis'!$C68,120,1))</f>
        <v/>
      </c>
      <c r="IY72" s="29" t="str">
        <f>IF(OR($B72="",$A72&lt;121),"",--MID('Key Analysis'!$C68,121,1))</f>
        <v/>
      </c>
      <c r="IZ72" s="29" t="str">
        <f>IF(OR($B72="",$A72&lt;122),"",--MID('Key Analysis'!$C68,122,1))</f>
        <v/>
      </c>
      <c r="JA72" s="29" t="str">
        <f>IF(OR($B72="",$A72&lt;123),"",--MID('Key Analysis'!$C68,123,1))</f>
        <v/>
      </c>
      <c r="JB72" s="29" t="str">
        <f>IF(OR($B72="",$A72&lt;124),"",--MID('Key Analysis'!$C68,124,1))</f>
        <v/>
      </c>
      <c r="JC72" s="29" t="str">
        <f>IF(OR($B72="",$A72&lt;125),"",--MID('Key Analysis'!$C68,125,1))</f>
        <v/>
      </c>
      <c r="JD72" s="29" t="str">
        <f>IF(OR($B72="",$A72&lt;126),"",--MID('Key Analysis'!$C68,126,1))</f>
        <v/>
      </c>
      <c r="JE72" s="29" t="str">
        <f>IF(OR($B72="",$A72&lt;127),"",--MID('Key Analysis'!$C68,127,1))</f>
        <v/>
      </c>
      <c r="JF72" s="29" t="str">
        <f>IF(OR($B72="",$A72&lt;128),"",--MID('Key Analysis'!$C68,128,1))</f>
        <v/>
      </c>
      <c r="JG72" s="29" t="str">
        <f>IF(OR($B72="",$A72&lt;129),"",--MID('Key Analysis'!$C68,129,1))</f>
        <v/>
      </c>
      <c r="JH72" s="29" t="str">
        <f>IF(OR($B72="",$A72&lt;130),"",--MID('Key Analysis'!$C68,130,1))</f>
        <v/>
      </c>
      <c r="JI72" s="29" t="str">
        <f>IF(OR($B72="",$A72&lt;131),"",--MID('Key Analysis'!$C68,131,1))</f>
        <v/>
      </c>
      <c r="JJ72" s="29" t="str">
        <f>IF(OR($B72="",$A72&lt;132),"",--MID('Key Analysis'!$C68,132,1))</f>
        <v/>
      </c>
      <c r="JK72" s="29" t="str">
        <f>IF(OR($B72="",$A72&lt;133),"",--MID('Key Analysis'!$C68,133,1))</f>
        <v/>
      </c>
      <c r="JL72" s="29" t="str">
        <f>IF(OR($B72="",$A72&lt;134),"",--MID('Key Analysis'!$C68,134,1))</f>
        <v/>
      </c>
      <c r="JM72" s="29" t="str">
        <f>IF(OR($B72="",$A72&lt;135),"",--MID('Key Analysis'!$C68,135,1))</f>
        <v/>
      </c>
    </row>
    <row r="73" spans="1:273" x14ac:dyDescent="0.25">
      <c r="A73" s="21">
        <f>'Key Analysis'!A69</f>
        <v>68</v>
      </c>
      <c r="B73" s="30" t="str">
        <f>'Key Analysis'!B69</f>
        <v>bebb3940cd0fc1491</v>
      </c>
      <c r="C73" s="29">
        <f>IF(OR($B73="",$A73&lt;=0),"",--MID('Key Analysis'!$C69,$A73-0,1))</f>
        <v>1</v>
      </c>
      <c r="D73" s="29">
        <f>IF(OR($B73="",$A73&lt;=1),"",--MID('Key Analysis'!$C69,$A73-1,1))</f>
        <v>0</v>
      </c>
      <c r="E73" s="29">
        <f>IF(OR($B73="",$A73&lt;=2),"",--MID('Key Analysis'!$C69,$A73-2,1))</f>
        <v>0</v>
      </c>
      <c r="F73" s="29">
        <f>IF(OR($B73="",$A73&lt;=3),"",--MID('Key Analysis'!$C69,$A73-3,1))</f>
        <v>0</v>
      </c>
      <c r="G73" s="29">
        <f>IF(OR($B73="",$A73&lt;=4),"",--MID('Key Analysis'!$C69,$A73-4,1))</f>
        <v>1</v>
      </c>
      <c r="H73" s="29">
        <f>IF(OR($B73="",$A73&lt;=5),"",--MID('Key Analysis'!$C69,$A73-5,1))</f>
        <v>0</v>
      </c>
      <c r="I73" s="29">
        <f>IF(OR($B73="",$A73&lt;=6),"",--MID('Key Analysis'!$C69,$A73-6,1))</f>
        <v>0</v>
      </c>
      <c r="J73" s="29">
        <f>IF(OR($B73="",$A73&lt;=7),"",--MID('Key Analysis'!$C69,$A73-7,1))</f>
        <v>1</v>
      </c>
      <c r="K73" s="29">
        <f>IF(OR($B73="",$A73&lt;=8),"",--MID('Key Analysis'!$C69,$A73-8,1))</f>
        <v>0</v>
      </c>
      <c r="L73" s="29">
        <f>IF(OR($B73="",$A73&lt;=9),"",--MID('Key Analysis'!$C69,$A73-9,1))</f>
        <v>0</v>
      </c>
      <c r="M73" s="29">
        <f>IF(OR($B73="",$A73&lt;=10),"",--MID('Key Analysis'!$C69,$A73-10,1))</f>
        <v>1</v>
      </c>
      <c r="N73" s="29">
        <f>IF(OR($B73="",$A73&lt;=11),"",--MID('Key Analysis'!$C69,$A73-11,1))</f>
        <v>0</v>
      </c>
      <c r="O73" s="29">
        <f>IF(OR($B73="",$A73&lt;=12),"",--MID('Key Analysis'!$C69,$A73-12,1))</f>
        <v>1</v>
      </c>
      <c r="P73" s="29">
        <f>IF(OR($B73="",$A73&lt;=13),"",--MID('Key Analysis'!$C69,$A73-13,1))</f>
        <v>0</v>
      </c>
      <c r="Q73" s="29">
        <f>IF(OR($B73="",$A73&lt;=14),"",--MID('Key Analysis'!$C69,$A73-14,1))</f>
        <v>0</v>
      </c>
      <c r="R73" s="29">
        <f>IF(OR($B73="",$A73&lt;=15),"",--MID('Key Analysis'!$C69,$A73-15,1))</f>
        <v>0</v>
      </c>
      <c r="S73" s="29">
        <f>IF(OR($B73="",$A73&lt;=16),"",--MID('Key Analysis'!$C69,$A73-16,1))</f>
        <v>0</v>
      </c>
      <c r="T73" s="29">
        <f>IF(OR($B73="",$A73&lt;=17),"",--MID('Key Analysis'!$C69,$A73-17,1))</f>
        <v>0</v>
      </c>
      <c r="U73" s="29">
        <f>IF(OR($B73="",$A73&lt;=18),"",--MID('Key Analysis'!$C69,$A73-18,1))</f>
        <v>1</v>
      </c>
      <c r="V73" s="29">
        <f>IF(OR($B73="",$A73&lt;=19),"",--MID('Key Analysis'!$C69,$A73-19,1))</f>
        <v>1</v>
      </c>
      <c r="W73" s="29">
        <f>IF(OR($B73="",$A73&lt;=20),"",--MID('Key Analysis'!$C69,$A73-20,1))</f>
        <v>1</v>
      </c>
      <c r="X73" s="29">
        <f>IF(OR($B73="",$A73&lt;=21),"",--MID('Key Analysis'!$C69,$A73-21,1))</f>
        <v>1</v>
      </c>
      <c r="Y73" s="29">
        <f>IF(OR($B73="",$A73&lt;=22),"",--MID('Key Analysis'!$C69,$A73-22,1))</f>
        <v>1</v>
      </c>
      <c r="Z73" s="29">
        <f>IF(OR($B73="",$A73&lt;=23),"",--MID('Key Analysis'!$C69,$A73-23,1))</f>
        <v>1</v>
      </c>
      <c r="AA73" s="29">
        <f>IF(OR($B73="",$A73&lt;=24),"",--MID('Key Analysis'!$C69,$A73-24,1))</f>
        <v>0</v>
      </c>
      <c r="AB73" s="29">
        <f>IF(OR($B73="",$A73&lt;=25),"",--MID('Key Analysis'!$C69,$A73-25,1))</f>
        <v>0</v>
      </c>
      <c r="AC73" s="29">
        <f>IF(OR($B73="",$A73&lt;=26),"",--MID('Key Analysis'!$C69,$A73-26,1))</f>
        <v>0</v>
      </c>
      <c r="AD73" s="29">
        <f>IF(OR($B73="",$A73&lt;=27),"",--MID('Key Analysis'!$C69,$A73-27,1))</f>
        <v>0</v>
      </c>
      <c r="AE73" s="29">
        <f>IF(OR($B73="",$A73&lt;=28),"",--MID('Key Analysis'!$C69,$A73-28,1))</f>
        <v>1</v>
      </c>
      <c r="AF73" s="29">
        <f>IF(OR($B73="",$A73&lt;=29),"",--MID('Key Analysis'!$C69,$A73-29,1))</f>
        <v>0</v>
      </c>
      <c r="AG73" s="29">
        <f>IF(OR($B73="",$A73&lt;=30),"",--MID('Key Analysis'!$C69,$A73-30,1))</f>
        <v>1</v>
      </c>
      <c r="AH73" s="29">
        <f>IF(OR($B73="",$A73&lt;=31),"",--MID('Key Analysis'!$C69,$A73-31,1))</f>
        <v>1</v>
      </c>
      <c r="AI73" s="29">
        <f>IF(OR($B73="",$A73&lt;=32),"",--MID('Key Analysis'!$C69,$A73-32,1))</f>
        <v>0</v>
      </c>
      <c r="AJ73" s="29">
        <f>IF(OR($B73="",$A73&lt;=33),"",--MID('Key Analysis'!$C69,$A73-33,1))</f>
        <v>0</v>
      </c>
      <c r="AK73" s="29">
        <f>IF(OR($B73="",$A73&lt;=34),"",--MID('Key Analysis'!$C69,$A73-34,1))</f>
        <v>1</v>
      </c>
      <c r="AL73" s="29">
        <f>IF(OR($B73="",$A73&lt;=35),"",--MID('Key Analysis'!$C69,$A73-35,1))</f>
        <v>1</v>
      </c>
      <c r="AM73" s="29">
        <f>IF(OR($B73="",$A73&lt;=36),"",--MID('Key Analysis'!$C69,$A73-36,1))</f>
        <v>0</v>
      </c>
      <c r="AN73" s="29">
        <f>IF(OR($B73="",$A73&lt;=37),"",--MID('Key Analysis'!$C69,$A73-37,1))</f>
        <v>0</v>
      </c>
      <c r="AO73" s="29">
        <f>IF(OR($B73="",$A73&lt;=38),"",--MID('Key Analysis'!$C69,$A73-38,1))</f>
        <v>0</v>
      </c>
      <c r="AP73" s="29">
        <f>IF(OR($B73="",$A73&lt;=39),"",--MID('Key Analysis'!$C69,$A73-39,1))</f>
        <v>0</v>
      </c>
      <c r="AQ73" s="29">
        <f>IF(OR($B73="",$A73&lt;=40),"",--MID('Key Analysis'!$C69,$A73-40,1))</f>
        <v>0</v>
      </c>
      <c r="AR73" s="29">
        <f>IF(OR($B73="",$A73&lt;=41),"",--MID('Key Analysis'!$C69,$A73-41,1))</f>
        <v>0</v>
      </c>
      <c r="AS73" s="29">
        <f>IF(OR($B73="",$A73&lt;=42),"",--MID('Key Analysis'!$C69,$A73-42,1))</f>
        <v>1</v>
      </c>
      <c r="AT73" s="29">
        <f>IF(OR($B73="",$A73&lt;=43),"",--MID('Key Analysis'!$C69,$A73-43,1))</f>
        <v>0</v>
      </c>
      <c r="AU73" s="29">
        <f>IF(OR($B73="",$A73&lt;=44),"",--MID('Key Analysis'!$C69,$A73-44,1))</f>
        <v>1</v>
      </c>
      <c r="AV73" s="29">
        <f>IF(OR($B73="",$A73&lt;=45),"",--MID('Key Analysis'!$C69,$A73-45,1))</f>
        <v>0</v>
      </c>
      <c r="AW73" s="29">
        <f>IF(OR($B73="",$A73&lt;=46),"",--MID('Key Analysis'!$C69,$A73-46,1))</f>
        <v>0</v>
      </c>
      <c r="AX73" s="29">
        <f>IF(OR($B73="",$A73&lt;=47),"",--MID('Key Analysis'!$C69,$A73-47,1))</f>
        <v>1</v>
      </c>
      <c r="AY73" s="29">
        <f>IF(OR($B73="",$A73&lt;=48),"",--MID('Key Analysis'!$C69,$A73-48,1))</f>
        <v>1</v>
      </c>
      <c r="AZ73" s="29">
        <f>IF(OR($B73="",$A73&lt;=49),"",--MID('Key Analysis'!$C69,$A73-49,1))</f>
        <v>1</v>
      </c>
      <c r="BA73" s="29">
        <f>IF(OR($B73="",$A73&lt;=50),"",--MID('Key Analysis'!$C69,$A73-50,1))</f>
        <v>0</v>
      </c>
      <c r="BB73" s="29">
        <f>IF(OR($B73="",$A73&lt;=51),"",--MID('Key Analysis'!$C69,$A73-51,1))</f>
        <v>0</v>
      </c>
      <c r="BC73" s="29">
        <f>IF(OR($B73="",$A73&lt;=52),"",--MID('Key Analysis'!$C69,$A73-52,1))</f>
        <v>1</v>
      </c>
      <c r="BD73" s="29">
        <f>IF(OR($B73="",$A73&lt;=53),"",--MID('Key Analysis'!$C69,$A73-53,1))</f>
        <v>1</v>
      </c>
      <c r="BE73" s="29">
        <f>IF(OR($B73="",$A73&lt;=54),"",--MID('Key Analysis'!$C69,$A73-54,1))</f>
        <v>0</v>
      </c>
      <c r="BF73" s="29">
        <f>IF(OR($B73="",$A73&lt;=55),"",--MID('Key Analysis'!$C69,$A73-55,1))</f>
        <v>1</v>
      </c>
      <c r="BG73" s="29">
        <f>IF(OR($B73="",$A73&lt;=56),"",--MID('Key Analysis'!$C69,$A73-56,1))</f>
        <v>1</v>
      </c>
      <c r="BH73" s="29">
        <f>IF(OR($B73="",$A73&lt;=57),"",--MID('Key Analysis'!$C69,$A73-57,1))</f>
        <v>1</v>
      </c>
      <c r="BI73" s="29">
        <f>IF(OR($B73="",$A73&lt;=58),"",--MID('Key Analysis'!$C69,$A73-58,1))</f>
        <v>0</v>
      </c>
      <c r="BJ73" s="29">
        <f>IF(OR($B73="",$A73&lt;=59),"",--MID('Key Analysis'!$C69,$A73-59,1))</f>
        <v>1</v>
      </c>
      <c r="BK73" s="29">
        <f>IF(OR($B73="",$A73&lt;=60),"",--MID('Key Analysis'!$C69,$A73-60,1))</f>
        <v>0</v>
      </c>
      <c r="BL73" s="29">
        <f>IF(OR($B73="",$A73&lt;=61),"",--MID('Key Analysis'!$C69,$A73-61,1))</f>
        <v>1</v>
      </c>
      <c r="BM73" s="29">
        <f>IF(OR($B73="",$A73&lt;=62),"",--MID('Key Analysis'!$C69,$A73-62,1))</f>
        <v>1</v>
      </c>
      <c r="BN73" s="29">
        <f>IF(OR($B73="",$A73&lt;=63),"",--MID('Key Analysis'!$C69,$A73-63,1))</f>
        <v>1</v>
      </c>
      <c r="BO73" s="29">
        <f>IF(OR($B73="",$A73&lt;=64),"",--MID('Key Analysis'!$C69,$A73-64,1))</f>
        <v>1</v>
      </c>
      <c r="BP73" s="29">
        <f>IF(OR($B73="",$A73&lt;=65),"",--MID('Key Analysis'!$C69,$A73-65,1))</f>
        <v>1</v>
      </c>
      <c r="BQ73" s="29">
        <f>IF(OR($B73="",$A73&lt;=66),"",--MID('Key Analysis'!$C69,$A73-66,1))</f>
        <v>0</v>
      </c>
      <c r="BR73" s="29">
        <f>IF(OR($B73="",$A73&lt;=67),"",--MID('Key Analysis'!$C69,$A73-67,1))</f>
        <v>1</v>
      </c>
      <c r="BS73" s="29" t="str">
        <f>IF(OR($B73="",$A73&lt;=68),"",--MID('Key Analysis'!$C69,$A73-68,1))</f>
        <v/>
      </c>
      <c r="BT73" s="29" t="str">
        <f>IF(OR($B73="",$A73&lt;=69),"",--MID('Key Analysis'!$C69,$A73-69,1))</f>
        <v/>
      </c>
      <c r="BU73" s="29" t="str">
        <f>IF(OR($B73="",$A73&lt;=70),"",--MID('Key Analysis'!$C69,$A73-70,1))</f>
        <v/>
      </c>
      <c r="BV73" s="29" t="str">
        <f>IF(OR($B73="",$A73&lt;=71),"",--MID('Key Analysis'!$C69,$A73-71,1))</f>
        <v/>
      </c>
      <c r="BW73" s="29" t="str">
        <f>IF(OR($B73="",$A73&lt;=72),"",--MID('Key Analysis'!$C69,$A73-72,1))</f>
        <v/>
      </c>
      <c r="BX73" s="29" t="str">
        <f>IF(OR($B73="",$A73&lt;=73),"",--MID('Key Analysis'!$C69,$A73-73,1))</f>
        <v/>
      </c>
      <c r="BY73" s="29" t="str">
        <f>IF(OR($B73="",$A73&lt;=74),"",--MID('Key Analysis'!$C69,$A73-74,1))</f>
        <v/>
      </c>
      <c r="BZ73" s="29" t="str">
        <f>IF(OR($B73="",$A73&lt;=75),"",--MID('Key Analysis'!$C69,$A73-75,1))</f>
        <v/>
      </c>
      <c r="CA73" s="29" t="str">
        <f>IF(OR($B73="",$A73&lt;=76),"",--MID('Key Analysis'!$C69,$A73-76,1))</f>
        <v/>
      </c>
      <c r="CB73" s="29" t="str">
        <f>IF(OR($B73="",$A73&lt;=77),"",--MID('Key Analysis'!$C69,$A73-77,1))</f>
        <v/>
      </c>
      <c r="CC73" s="29" t="str">
        <f>IF(OR($B73="",$A73&lt;=78),"",--MID('Key Analysis'!$C69,$A73-78,1))</f>
        <v/>
      </c>
      <c r="CD73" s="29" t="str">
        <f>IF(OR($B73="",$A73&lt;=79),"",--MID('Key Analysis'!$C69,$A73-79,1))</f>
        <v/>
      </c>
      <c r="CE73" s="29" t="str">
        <f>IF(OR($B73="",$A73&lt;=80),"",--MID('Key Analysis'!$C69,$A73-80,1))</f>
        <v/>
      </c>
      <c r="CF73" s="29" t="str">
        <f>IF(OR($B73="",$A73&lt;=81),"",--MID('Key Analysis'!$C69,$A73-81,1))</f>
        <v/>
      </c>
      <c r="CG73" s="29" t="str">
        <f>IF(OR($B73="",$A73&lt;=82),"",--MID('Key Analysis'!$C69,$A73-82,1))</f>
        <v/>
      </c>
      <c r="CH73" s="29" t="str">
        <f>IF(OR($B73="",$A73&lt;=83),"",--MID('Key Analysis'!$C69,$A73-83,1))</f>
        <v/>
      </c>
      <c r="CI73" s="29" t="str">
        <f>IF(OR($B73="",$A73&lt;=84),"",--MID('Key Analysis'!$C69,$A73-84,1))</f>
        <v/>
      </c>
      <c r="CJ73" s="29" t="str">
        <f>IF(OR($B73="",$A73&lt;=85),"",--MID('Key Analysis'!$C69,$A73-85,1))</f>
        <v/>
      </c>
      <c r="CK73" s="29" t="str">
        <f>IF(OR($B73="",$A73&lt;=86),"",--MID('Key Analysis'!$C69,$A73-86,1))</f>
        <v/>
      </c>
      <c r="CL73" s="29" t="str">
        <f>IF(OR($B73="",$A73&lt;=87),"",--MID('Key Analysis'!$C69,$A73-87,1))</f>
        <v/>
      </c>
      <c r="CM73" s="29" t="str">
        <f>IF(OR($B73="",$A73&lt;=88),"",--MID('Key Analysis'!$C69,$A73-88,1))</f>
        <v/>
      </c>
      <c r="CN73" s="29" t="str">
        <f>IF(OR($B73="",$A73&lt;=89),"",--MID('Key Analysis'!$C69,$A73-89,1))</f>
        <v/>
      </c>
      <c r="CO73" s="29" t="str">
        <f>IF(OR($B73="",$A73&lt;=90),"",--MID('Key Analysis'!$C69,$A73-90,1))</f>
        <v/>
      </c>
      <c r="CP73" s="29" t="str">
        <f>IF(OR($B73="",$A73&lt;=91),"",--MID('Key Analysis'!$C69,$A73-91,1))</f>
        <v/>
      </c>
      <c r="CQ73" s="29" t="str">
        <f>IF(OR($B73="",$A73&lt;=92),"",--MID('Key Analysis'!$C69,$A73-92,1))</f>
        <v/>
      </c>
      <c r="CR73" s="29" t="str">
        <f>IF(OR($B73="",$A73&lt;=93),"",--MID('Key Analysis'!$C69,$A73-93,1))</f>
        <v/>
      </c>
      <c r="CS73" s="29" t="str">
        <f>IF(OR($B73="",$A73&lt;=94),"",--MID('Key Analysis'!$C69,$A73-94,1))</f>
        <v/>
      </c>
      <c r="CT73" s="29" t="str">
        <f>IF(OR($B73="",$A73&lt;=95),"",--MID('Key Analysis'!$C69,$A73-95,1))</f>
        <v/>
      </c>
      <c r="CU73" s="29" t="str">
        <f>IF(OR($B73="",$A73&lt;=96),"",--MID('Key Analysis'!$C69,$A73-96,1))</f>
        <v/>
      </c>
      <c r="CV73" s="29" t="str">
        <f>IF(OR($B73="",$A73&lt;=97),"",--MID('Key Analysis'!$C69,$A73-97,1))</f>
        <v/>
      </c>
      <c r="CW73" s="29" t="str">
        <f>IF(OR($B73="",$A73&lt;=98),"",--MID('Key Analysis'!$C69,$A73-98,1))</f>
        <v/>
      </c>
      <c r="CX73" s="29" t="str">
        <f>IF(OR($B73="",$A73&lt;=99),"",--MID('Key Analysis'!$C69,$A73-99,1))</f>
        <v/>
      </c>
      <c r="CY73" s="29" t="str">
        <f>IF(OR($B73="",$A73&lt;=100),"",--MID('Key Analysis'!$C69,$A73-100,1))</f>
        <v/>
      </c>
      <c r="CZ73" s="29" t="str">
        <f>IF(OR($B73="",$A73&lt;=101),"",--MID('Key Analysis'!$C69,$A73-101,1))</f>
        <v/>
      </c>
      <c r="DA73" s="29" t="str">
        <f>IF(OR($B73="",$A73&lt;=102),"",--MID('Key Analysis'!$C69,$A73-102,1))</f>
        <v/>
      </c>
      <c r="DB73" s="29" t="str">
        <f>IF(OR($B73="",$A73&lt;=103),"",--MID('Key Analysis'!$C69,$A73-103,1))</f>
        <v/>
      </c>
      <c r="DC73" s="29" t="str">
        <f>IF(OR($B73="",$A73&lt;=104),"",--MID('Key Analysis'!$C69,$A73-104,1))</f>
        <v/>
      </c>
      <c r="DD73" s="29" t="str">
        <f>IF(OR($B73="",$A73&lt;=105),"",--MID('Key Analysis'!$C69,$A73-105,1))</f>
        <v/>
      </c>
      <c r="DE73" s="29" t="str">
        <f>IF(OR($B73="",$A73&lt;=106),"",--MID('Key Analysis'!$C69,$A73-106,1))</f>
        <v/>
      </c>
      <c r="DF73" s="29" t="str">
        <f>IF(OR($B73="",$A73&lt;=107),"",--MID('Key Analysis'!$C69,$A73-107,1))</f>
        <v/>
      </c>
      <c r="DG73" s="29" t="str">
        <f>IF(OR($B73="",$A73&lt;=108),"",--MID('Key Analysis'!$C69,$A73-108,1))</f>
        <v/>
      </c>
      <c r="DH73" s="29" t="str">
        <f>IF(OR($B73="",$A73&lt;=109),"",--MID('Key Analysis'!$C69,$A73-109,1))</f>
        <v/>
      </c>
      <c r="DI73" s="29" t="str">
        <f>IF(OR($B73="",$A73&lt;=110),"",--MID('Key Analysis'!$C69,$A73-110,1))</f>
        <v/>
      </c>
      <c r="DJ73" s="29" t="str">
        <f>IF(OR($B73="",$A73&lt;=111),"",--MID('Key Analysis'!$C69,$A73-111,1))</f>
        <v/>
      </c>
      <c r="DK73" s="29" t="str">
        <f>IF(OR($B73="",$A73&lt;=112),"",--MID('Key Analysis'!$C69,$A73-112,1))</f>
        <v/>
      </c>
      <c r="DL73" s="29" t="str">
        <f>IF(OR($B73="",$A73&lt;=113),"",--MID('Key Analysis'!$C69,$A73-113,1))</f>
        <v/>
      </c>
      <c r="DM73" s="29" t="str">
        <f>IF(OR($B73="",$A73&lt;=114),"",--MID('Key Analysis'!$C69,$A73-114,1))</f>
        <v/>
      </c>
      <c r="DN73" s="29" t="str">
        <f>IF(OR($B73="",$A73&lt;=115),"",--MID('Key Analysis'!$C69,$A73-115,1))</f>
        <v/>
      </c>
      <c r="DO73" s="29" t="str">
        <f>IF(OR($B73="",$A73&lt;=116),"",--MID('Key Analysis'!$C69,$A73-116,1))</f>
        <v/>
      </c>
      <c r="DP73" s="29" t="str">
        <f>IF(OR($B73="",$A73&lt;=117),"",--MID('Key Analysis'!$C69,$A73-117,1))</f>
        <v/>
      </c>
      <c r="DQ73" s="29" t="str">
        <f>IF(OR($B73="",$A73&lt;=118),"",--MID('Key Analysis'!$C69,$A73-118,1))</f>
        <v/>
      </c>
      <c r="DR73" s="29" t="str">
        <f>IF(OR($B73="",$A73&lt;=119),"",--MID('Key Analysis'!$C69,$A73-119,1))</f>
        <v/>
      </c>
      <c r="DS73" s="29" t="str">
        <f>IF(OR($B73="",$A73&lt;=120),"",--MID('Key Analysis'!$C69,$A73-120,1))</f>
        <v/>
      </c>
      <c r="DT73" s="29" t="str">
        <f>IF(OR($B73="",$A73&lt;=121),"",--MID('Key Analysis'!$C69,$A73-121,1))</f>
        <v/>
      </c>
      <c r="DU73" s="29" t="str">
        <f>IF(OR($B73="",$A73&lt;=122),"",--MID('Key Analysis'!$C69,$A73-122,1))</f>
        <v/>
      </c>
      <c r="DV73" s="29" t="str">
        <f>IF(OR($B73="",$A73&lt;=123),"",--MID('Key Analysis'!$C69,$A73-123,1))</f>
        <v/>
      </c>
      <c r="DW73" s="29" t="str">
        <f>IF(OR($B73="",$A73&lt;=124),"",--MID('Key Analysis'!$C69,$A73-124,1))</f>
        <v/>
      </c>
      <c r="DX73" s="29" t="str">
        <f>IF(OR($B73="",$A73&lt;=125),"",--MID('Key Analysis'!$C69,$A73-125,1))</f>
        <v/>
      </c>
      <c r="DY73" s="29" t="str">
        <f>IF(OR($B73="",$A73&lt;=126),"",--MID('Key Analysis'!$C69,$A73-126,1))</f>
        <v/>
      </c>
      <c r="DZ73" s="29" t="str">
        <f>IF(OR($B73="",$A73&lt;=127),"",--MID('Key Analysis'!$C69,$A73-127,1))</f>
        <v/>
      </c>
      <c r="EA73" s="29" t="str">
        <f>IF(OR($B73="",$A73&lt;=128),"",--MID('Key Analysis'!$C69,$A73-128,1))</f>
        <v/>
      </c>
      <c r="EB73" s="29" t="str">
        <f>IF(OR($B73="",$A73&lt;=129),"",--MID('Key Analysis'!$C69,$A73-129,1))</f>
        <v/>
      </c>
      <c r="EC73" s="29" t="str">
        <f>IF(OR($B73="",$A73&lt;=130),"",--MID('Key Analysis'!$C69,$A73-130,1))</f>
        <v/>
      </c>
      <c r="ED73" s="29" t="str">
        <f>IF(OR($B73="",$A73&lt;=131),"",--MID('Key Analysis'!$C69,$A73-131,1))</f>
        <v/>
      </c>
      <c r="EE73" s="29" t="str">
        <f>IF(OR($B73="",$A73&lt;=132),"",--MID('Key Analysis'!$C69,$A73-132,1))</f>
        <v/>
      </c>
      <c r="EF73" s="29" t="str">
        <f>IF(OR($B73="",$A73&lt;=133),"",--MID('Key Analysis'!$C69,$A73-133,1))</f>
        <v/>
      </c>
      <c r="EG73" s="29" t="str">
        <f>IF(OR($B73="",$A73&lt;=134),"",--MID('Key Analysis'!$C69,$A73-134,1))</f>
        <v/>
      </c>
      <c r="EH73" s="29"/>
      <c r="EI73" s="29">
        <f>IF(OR($B73="",$A73&lt;1),"",--MID('Key Analysis'!$C69,1,1))</f>
        <v>1</v>
      </c>
      <c r="EJ73" s="29">
        <f>IF(OR($B73="",$A73&lt;2),"",--MID('Key Analysis'!$C69,2,1))</f>
        <v>0</v>
      </c>
      <c r="EK73" s="29">
        <f>IF(OR($B73="",$A73&lt;3),"",--MID('Key Analysis'!$C69,3,1))</f>
        <v>1</v>
      </c>
      <c r="EL73" s="29">
        <f>IF(OR($B73="",$A73&lt;4),"",--MID('Key Analysis'!$C69,4,1))</f>
        <v>1</v>
      </c>
      <c r="EM73" s="29">
        <f>IF(OR($B73="",$A73&lt;5),"",--MID('Key Analysis'!$C69,5,1))</f>
        <v>1</v>
      </c>
      <c r="EN73" s="29">
        <f>IF(OR($B73="",$A73&lt;6),"",--MID('Key Analysis'!$C69,6,1))</f>
        <v>1</v>
      </c>
      <c r="EO73" s="29">
        <f>IF(OR($B73="",$A73&lt;7),"",--MID('Key Analysis'!$C69,7,1))</f>
        <v>1</v>
      </c>
      <c r="EP73" s="29">
        <f>IF(OR($B73="",$A73&lt;8),"",--MID('Key Analysis'!$C69,8,1))</f>
        <v>0</v>
      </c>
      <c r="EQ73" s="29">
        <f>IF(OR($B73="",$A73&lt;9),"",--MID('Key Analysis'!$C69,9,1))</f>
        <v>1</v>
      </c>
      <c r="ER73" s="29">
        <f>IF(OR($B73="",$A73&lt;10),"",--MID('Key Analysis'!$C69,10,1))</f>
        <v>0</v>
      </c>
      <c r="ES73" s="29">
        <f>IF(OR($B73="",$A73&lt;11),"",--MID('Key Analysis'!$C69,11,1))</f>
        <v>1</v>
      </c>
      <c r="ET73" s="29">
        <f>IF(OR($B73="",$A73&lt;12),"",--MID('Key Analysis'!$C69,12,1))</f>
        <v>1</v>
      </c>
      <c r="EU73" s="29">
        <f>IF(OR($B73="",$A73&lt;13),"",--MID('Key Analysis'!$C69,13,1))</f>
        <v>1</v>
      </c>
      <c r="EV73" s="29">
        <f>IF(OR($B73="",$A73&lt;14),"",--MID('Key Analysis'!$C69,14,1))</f>
        <v>0</v>
      </c>
      <c r="EW73" s="29">
        <f>IF(OR($B73="",$A73&lt;15),"",--MID('Key Analysis'!$C69,15,1))</f>
        <v>1</v>
      </c>
      <c r="EX73" s="29">
        <f>IF(OR($B73="",$A73&lt;16),"",--MID('Key Analysis'!$C69,16,1))</f>
        <v>1</v>
      </c>
      <c r="EY73" s="29">
        <f>IF(OR($B73="",$A73&lt;17),"",--MID('Key Analysis'!$C69,17,1))</f>
        <v>0</v>
      </c>
      <c r="EZ73" s="29">
        <f>IF(OR($B73="",$A73&lt;18),"",--MID('Key Analysis'!$C69,18,1))</f>
        <v>0</v>
      </c>
      <c r="FA73" s="29">
        <f>IF(OR($B73="",$A73&lt;19),"",--MID('Key Analysis'!$C69,19,1))</f>
        <v>1</v>
      </c>
      <c r="FB73" s="29">
        <f>IF(OR($B73="",$A73&lt;20),"",--MID('Key Analysis'!$C69,20,1))</f>
        <v>1</v>
      </c>
      <c r="FC73" s="29">
        <f>IF(OR($B73="",$A73&lt;21),"",--MID('Key Analysis'!$C69,21,1))</f>
        <v>1</v>
      </c>
      <c r="FD73" s="29">
        <f>IF(OR($B73="",$A73&lt;22),"",--MID('Key Analysis'!$C69,22,1))</f>
        <v>0</v>
      </c>
      <c r="FE73" s="29">
        <f>IF(OR($B73="",$A73&lt;23),"",--MID('Key Analysis'!$C69,23,1))</f>
        <v>0</v>
      </c>
      <c r="FF73" s="29">
        <f>IF(OR($B73="",$A73&lt;24),"",--MID('Key Analysis'!$C69,24,1))</f>
        <v>1</v>
      </c>
      <c r="FG73" s="29">
        <f>IF(OR($B73="",$A73&lt;25),"",--MID('Key Analysis'!$C69,25,1))</f>
        <v>0</v>
      </c>
      <c r="FH73" s="29">
        <f>IF(OR($B73="",$A73&lt;26),"",--MID('Key Analysis'!$C69,26,1))</f>
        <v>1</v>
      </c>
      <c r="FI73" s="29">
        <f>IF(OR($B73="",$A73&lt;27),"",--MID('Key Analysis'!$C69,27,1))</f>
        <v>0</v>
      </c>
      <c r="FJ73" s="29">
        <f>IF(OR($B73="",$A73&lt;28),"",--MID('Key Analysis'!$C69,28,1))</f>
        <v>0</v>
      </c>
      <c r="FK73" s="29">
        <f>IF(OR($B73="",$A73&lt;29),"",--MID('Key Analysis'!$C69,29,1))</f>
        <v>0</v>
      </c>
      <c r="FL73" s="29">
        <f>IF(OR($B73="",$A73&lt;30),"",--MID('Key Analysis'!$C69,30,1))</f>
        <v>0</v>
      </c>
      <c r="FM73" s="29">
        <f>IF(OR($B73="",$A73&lt;31),"",--MID('Key Analysis'!$C69,31,1))</f>
        <v>0</v>
      </c>
      <c r="FN73" s="29">
        <f>IF(OR($B73="",$A73&lt;32),"",--MID('Key Analysis'!$C69,32,1))</f>
        <v>0</v>
      </c>
      <c r="FO73" s="29">
        <f>IF(OR($B73="",$A73&lt;33),"",--MID('Key Analysis'!$C69,33,1))</f>
        <v>1</v>
      </c>
      <c r="FP73" s="29">
        <f>IF(OR($B73="",$A73&lt;34),"",--MID('Key Analysis'!$C69,34,1))</f>
        <v>1</v>
      </c>
      <c r="FQ73" s="29">
        <f>IF(OR($B73="",$A73&lt;35),"",--MID('Key Analysis'!$C69,35,1))</f>
        <v>0</v>
      </c>
      <c r="FR73" s="29">
        <f>IF(OR($B73="",$A73&lt;36),"",--MID('Key Analysis'!$C69,36,1))</f>
        <v>0</v>
      </c>
      <c r="FS73" s="29">
        <f>IF(OR($B73="",$A73&lt;37),"",--MID('Key Analysis'!$C69,37,1))</f>
        <v>1</v>
      </c>
      <c r="FT73" s="29">
        <f>IF(OR($B73="",$A73&lt;38),"",--MID('Key Analysis'!$C69,38,1))</f>
        <v>1</v>
      </c>
      <c r="FU73" s="29">
        <f>IF(OR($B73="",$A73&lt;39),"",--MID('Key Analysis'!$C69,39,1))</f>
        <v>0</v>
      </c>
      <c r="FV73" s="29">
        <f>IF(OR($B73="",$A73&lt;40),"",--MID('Key Analysis'!$C69,40,1))</f>
        <v>1</v>
      </c>
      <c r="FW73" s="29">
        <f>IF(OR($B73="",$A73&lt;41),"",--MID('Key Analysis'!$C69,41,1))</f>
        <v>0</v>
      </c>
      <c r="FX73" s="29">
        <f>IF(OR($B73="",$A73&lt;42),"",--MID('Key Analysis'!$C69,42,1))</f>
        <v>0</v>
      </c>
      <c r="FY73" s="29">
        <f>IF(OR($B73="",$A73&lt;43),"",--MID('Key Analysis'!$C69,43,1))</f>
        <v>0</v>
      </c>
      <c r="FZ73" s="29">
        <f>IF(OR($B73="",$A73&lt;44),"",--MID('Key Analysis'!$C69,44,1))</f>
        <v>0</v>
      </c>
      <c r="GA73" s="29">
        <f>IF(OR($B73="",$A73&lt;45),"",--MID('Key Analysis'!$C69,45,1))</f>
        <v>1</v>
      </c>
      <c r="GB73" s="29">
        <f>IF(OR($B73="",$A73&lt;46),"",--MID('Key Analysis'!$C69,46,1))</f>
        <v>1</v>
      </c>
      <c r="GC73" s="29">
        <f>IF(OR($B73="",$A73&lt;47),"",--MID('Key Analysis'!$C69,47,1))</f>
        <v>1</v>
      </c>
      <c r="GD73" s="29">
        <f>IF(OR($B73="",$A73&lt;48),"",--MID('Key Analysis'!$C69,48,1))</f>
        <v>1</v>
      </c>
      <c r="GE73" s="29">
        <f>IF(OR($B73="",$A73&lt;49),"",--MID('Key Analysis'!$C69,49,1))</f>
        <v>1</v>
      </c>
      <c r="GF73" s="29">
        <f>IF(OR($B73="",$A73&lt;50),"",--MID('Key Analysis'!$C69,50,1))</f>
        <v>1</v>
      </c>
      <c r="GG73" s="29">
        <f>IF(OR($B73="",$A73&lt;51),"",--MID('Key Analysis'!$C69,51,1))</f>
        <v>0</v>
      </c>
      <c r="GH73" s="29">
        <f>IF(OR($B73="",$A73&lt;52),"",--MID('Key Analysis'!$C69,52,1))</f>
        <v>0</v>
      </c>
      <c r="GI73" s="29">
        <f>IF(OR($B73="",$A73&lt;53),"",--MID('Key Analysis'!$C69,53,1))</f>
        <v>0</v>
      </c>
      <c r="GJ73" s="29">
        <f>IF(OR($B73="",$A73&lt;54),"",--MID('Key Analysis'!$C69,54,1))</f>
        <v>0</v>
      </c>
      <c r="GK73" s="29">
        <f>IF(OR($B73="",$A73&lt;55),"",--MID('Key Analysis'!$C69,55,1))</f>
        <v>0</v>
      </c>
      <c r="GL73" s="29">
        <f>IF(OR($B73="",$A73&lt;56),"",--MID('Key Analysis'!$C69,56,1))</f>
        <v>1</v>
      </c>
      <c r="GM73" s="29">
        <f>IF(OR($B73="",$A73&lt;57),"",--MID('Key Analysis'!$C69,57,1))</f>
        <v>0</v>
      </c>
      <c r="GN73" s="29">
        <f>IF(OR($B73="",$A73&lt;58),"",--MID('Key Analysis'!$C69,58,1))</f>
        <v>1</v>
      </c>
      <c r="GO73" s="29">
        <f>IF(OR($B73="",$A73&lt;59),"",--MID('Key Analysis'!$C69,59,1))</f>
        <v>0</v>
      </c>
      <c r="GP73" s="29">
        <f>IF(OR($B73="",$A73&lt;60),"",--MID('Key Analysis'!$C69,60,1))</f>
        <v>0</v>
      </c>
      <c r="GQ73" s="29">
        <f>IF(OR($B73="",$A73&lt;61),"",--MID('Key Analysis'!$C69,61,1))</f>
        <v>1</v>
      </c>
      <c r="GR73" s="29">
        <f>IF(OR($B73="",$A73&lt;62),"",--MID('Key Analysis'!$C69,62,1))</f>
        <v>0</v>
      </c>
      <c r="GS73" s="29">
        <f>IF(OR($B73="",$A73&lt;63),"",--MID('Key Analysis'!$C69,63,1))</f>
        <v>0</v>
      </c>
      <c r="GT73" s="29">
        <f>IF(OR($B73="",$A73&lt;64),"",--MID('Key Analysis'!$C69,64,1))</f>
        <v>1</v>
      </c>
      <c r="GU73" s="29">
        <f>IF(OR($B73="",$A73&lt;65),"",--MID('Key Analysis'!$C69,65,1))</f>
        <v>0</v>
      </c>
      <c r="GV73" s="29">
        <f>IF(OR($B73="",$A73&lt;66),"",--MID('Key Analysis'!$C69,66,1))</f>
        <v>0</v>
      </c>
      <c r="GW73" s="29">
        <f>IF(OR($B73="",$A73&lt;67),"",--MID('Key Analysis'!$C69,67,1))</f>
        <v>0</v>
      </c>
      <c r="GX73" s="29">
        <f>IF(OR($B73="",$A73&lt;68),"",--MID('Key Analysis'!$C69,68,1))</f>
        <v>1</v>
      </c>
      <c r="GY73" s="29" t="str">
        <f>IF(OR($B73="",$A73&lt;69),"",--MID('Key Analysis'!$C69,69,1))</f>
        <v/>
      </c>
      <c r="GZ73" s="29" t="str">
        <f>IF(OR($B73="",$A73&lt;70),"",--MID('Key Analysis'!$C69,70,1))</f>
        <v/>
      </c>
      <c r="HA73" s="29" t="str">
        <f>IF(OR($B73="",$A73&lt;71),"",--MID('Key Analysis'!$C69,71,1))</f>
        <v/>
      </c>
      <c r="HB73" s="29" t="str">
        <f>IF(OR($B73="",$A73&lt;72),"",--MID('Key Analysis'!$C69,72,1))</f>
        <v/>
      </c>
      <c r="HC73" s="29" t="str">
        <f>IF(OR($B73="",$A73&lt;73),"",--MID('Key Analysis'!$C69,73,1))</f>
        <v/>
      </c>
      <c r="HD73" s="29" t="str">
        <f>IF(OR($B73="",$A73&lt;74),"",--MID('Key Analysis'!$C69,74,1))</f>
        <v/>
      </c>
      <c r="HE73" s="29" t="str">
        <f>IF(OR($B73="",$A73&lt;75),"",--MID('Key Analysis'!$C69,75,1))</f>
        <v/>
      </c>
      <c r="HF73" s="29" t="str">
        <f>IF(OR($B73="",$A73&lt;76),"",--MID('Key Analysis'!$C69,76,1))</f>
        <v/>
      </c>
      <c r="HG73" s="29" t="str">
        <f>IF(OR($B73="",$A73&lt;77),"",--MID('Key Analysis'!$C69,77,1))</f>
        <v/>
      </c>
      <c r="HH73" s="29" t="str">
        <f>IF(OR($B73="",$A73&lt;78),"",--MID('Key Analysis'!$C69,78,1))</f>
        <v/>
      </c>
      <c r="HI73" s="29" t="str">
        <f>IF(OR($B73="",$A73&lt;79),"",--MID('Key Analysis'!$C69,79,1))</f>
        <v/>
      </c>
      <c r="HJ73" s="29" t="str">
        <f>IF(OR($B73="",$A73&lt;80),"",--MID('Key Analysis'!$C69,80,1))</f>
        <v/>
      </c>
      <c r="HK73" s="29" t="str">
        <f>IF(OR($B73="",$A73&lt;81),"",--MID('Key Analysis'!$C69,81,1))</f>
        <v/>
      </c>
      <c r="HL73" s="29" t="str">
        <f>IF(OR($B73="",$A73&lt;82),"",--MID('Key Analysis'!$C69,82,1))</f>
        <v/>
      </c>
      <c r="HM73" s="29" t="str">
        <f>IF(OR($B73="",$A73&lt;83),"",--MID('Key Analysis'!$C69,83,1))</f>
        <v/>
      </c>
      <c r="HN73" s="29" t="str">
        <f>IF(OR($B73="",$A73&lt;84),"",--MID('Key Analysis'!$C69,84,1))</f>
        <v/>
      </c>
      <c r="HO73" s="29" t="str">
        <f>IF(OR($B73="",$A73&lt;85),"",--MID('Key Analysis'!$C69,85,1))</f>
        <v/>
      </c>
      <c r="HP73" s="29" t="str">
        <f>IF(OR($B73="",$A73&lt;86),"",--MID('Key Analysis'!$C69,86,1))</f>
        <v/>
      </c>
      <c r="HQ73" s="29" t="str">
        <f>IF(OR($B73="",$A73&lt;87),"",--MID('Key Analysis'!$C69,87,1))</f>
        <v/>
      </c>
      <c r="HR73" s="29" t="str">
        <f>IF(OR($B73="",$A73&lt;88),"",--MID('Key Analysis'!$C69,88,1))</f>
        <v/>
      </c>
      <c r="HS73" s="29" t="str">
        <f>IF(OR($B73="",$A73&lt;89),"",--MID('Key Analysis'!$C69,89,1))</f>
        <v/>
      </c>
      <c r="HT73" s="29" t="str">
        <f>IF(OR($B73="",$A73&lt;90),"",--MID('Key Analysis'!$C69,90,1))</f>
        <v/>
      </c>
      <c r="HU73" s="29" t="str">
        <f>IF(OR($B73="",$A73&lt;91),"",--MID('Key Analysis'!$C69,91,1))</f>
        <v/>
      </c>
      <c r="HV73" s="29" t="str">
        <f>IF(OR($B73="",$A73&lt;92),"",--MID('Key Analysis'!$C69,92,1))</f>
        <v/>
      </c>
      <c r="HW73" s="29" t="str">
        <f>IF(OR($B73="",$A73&lt;93),"",--MID('Key Analysis'!$C69,93,1))</f>
        <v/>
      </c>
      <c r="HX73" s="29" t="str">
        <f>IF(OR($B73="",$A73&lt;94),"",--MID('Key Analysis'!$C69,94,1))</f>
        <v/>
      </c>
      <c r="HY73" s="29" t="str">
        <f>IF(OR($B73="",$A73&lt;95),"",--MID('Key Analysis'!$C69,95,1))</f>
        <v/>
      </c>
      <c r="HZ73" s="29" t="str">
        <f>IF(OR($B73="",$A73&lt;96),"",--MID('Key Analysis'!$C69,96,1))</f>
        <v/>
      </c>
      <c r="IA73" s="29" t="str">
        <f>IF(OR($B73="",$A73&lt;97),"",--MID('Key Analysis'!$C69,97,1))</f>
        <v/>
      </c>
      <c r="IB73" s="29" t="str">
        <f>IF(OR($B73="",$A73&lt;98),"",--MID('Key Analysis'!$C69,98,1))</f>
        <v/>
      </c>
      <c r="IC73" s="29" t="str">
        <f>IF(OR($B73="",$A73&lt;99),"",--MID('Key Analysis'!$C69,99,1))</f>
        <v/>
      </c>
      <c r="ID73" s="29" t="str">
        <f>IF(OR($B73="",$A73&lt;100),"",--MID('Key Analysis'!$C69,100,1))</f>
        <v/>
      </c>
      <c r="IE73" s="29" t="str">
        <f>IF(OR($B73="",$A73&lt;101),"",--MID('Key Analysis'!$C69,101,1))</f>
        <v/>
      </c>
      <c r="IF73" s="29" t="str">
        <f>IF(OR($B73="",$A73&lt;102),"",--MID('Key Analysis'!$C69,102,1))</f>
        <v/>
      </c>
      <c r="IG73" s="29" t="str">
        <f>IF(OR($B73="",$A73&lt;103),"",--MID('Key Analysis'!$C69,103,1))</f>
        <v/>
      </c>
      <c r="IH73" s="29" t="str">
        <f>IF(OR($B73="",$A73&lt;104),"",--MID('Key Analysis'!$C69,104,1))</f>
        <v/>
      </c>
      <c r="II73" s="29" t="str">
        <f>IF(OR($B73="",$A73&lt;105),"",--MID('Key Analysis'!$C69,105,1))</f>
        <v/>
      </c>
      <c r="IJ73" s="29" t="str">
        <f>IF(OR($B73="",$A73&lt;106),"",--MID('Key Analysis'!$C69,106,1))</f>
        <v/>
      </c>
      <c r="IK73" s="29" t="str">
        <f>IF(OR($B73="",$A73&lt;107),"",--MID('Key Analysis'!$C69,107,1))</f>
        <v/>
      </c>
      <c r="IL73" s="29" t="str">
        <f>IF(OR($B73="",$A73&lt;108),"",--MID('Key Analysis'!$C69,108,1))</f>
        <v/>
      </c>
      <c r="IM73" s="29" t="str">
        <f>IF(OR($B73="",$A73&lt;109),"",--MID('Key Analysis'!$C69,109,1))</f>
        <v/>
      </c>
      <c r="IN73" s="29" t="str">
        <f>IF(OR($B73="",$A73&lt;110),"",--MID('Key Analysis'!$C69,110,1))</f>
        <v/>
      </c>
      <c r="IO73" s="29" t="str">
        <f>IF(OR($B73="",$A73&lt;111),"",--MID('Key Analysis'!$C69,111,1))</f>
        <v/>
      </c>
      <c r="IP73" s="29" t="str">
        <f>IF(OR($B73="",$A73&lt;112),"",--MID('Key Analysis'!$C69,112,1))</f>
        <v/>
      </c>
      <c r="IQ73" s="29" t="str">
        <f>IF(OR($B73="",$A73&lt;113),"",--MID('Key Analysis'!$C69,113,1))</f>
        <v/>
      </c>
      <c r="IR73" s="29" t="str">
        <f>IF(OR($B73="",$A73&lt;114),"",--MID('Key Analysis'!$C69,114,1))</f>
        <v/>
      </c>
      <c r="IS73" s="29" t="str">
        <f>IF(OR($B73="",$A73&lt;115),"",--MID('Key Analysis'!$C69,115,1))</f>
        <v/>
      </c>
      <c r="IT73" s="29" t="str">
        <f>IF(OR($B73="",$A73&lt;116),"",--MID('Key Analysis'!$C69,116,1))</f>
        <v/>
      </c>
      <c r="IU73" s="29" t="str">
        <f>IF(OR($B73="",$A73&lt;117),"",--MID('Key Analysis'!$C69,117,1))</f>
        <v/>
      </c>
      <c r="IV73" s="29" t="str">
        <f>IF(OR($B73="",$A73&lt;118),"",--MID('Key Analysis'!$C69,118,1))</f>
        <v/>
      </c>
      <c r="IW73" s="29" t="str">
        <f>IF(OR($B73="",$A73&lt;119),"",--MID('Key Analysis'!$C69,119,1))</f>
        <v/>
      </c>
      <c r="IX73" s="29" t="str">
        <f>IF(OR($B73="",$A73&lt;120),"",--MID('Key Analysis'!$C69,120,1))</f>
        <v/>
      </c>
      <c r="IY73" s="29" t="str">
        <f>IF(OR($B73="",$A73&lt;121),"",--MID('Key Analysis'!$C69,121,1))</f>
        <v/>
      </c>
      <c r="IZ73" s="29" t="str">
        <f>IF(OR($B73="",$A73&lt;122),"",--MID('Key Analysis'!$C69,122,1))</f>
        <v/>
      </c>
      <c r="JA73" s="29" t="str">
        <f>IF(OR($B73="",$A73&lt;123),"",--MID('Key Analysis'!$C69,123,1))</f>
        <v/>
      </c>
      <c r="JB73" s="29" t="str">
        <f>IF(OR($B73="",$A73&lt;124),"",--MID('Key Analysis'!$C69,124,1))</f>
        <v/>
      </c>
      <c r="JC73" s="29" t="str">
        <f>IF(OR($B73="",$A73&lt;125),"",--MID('Key Analysis'!$C69,125,1))</f>
        <v/>
      </c>
      <c r="JD73" s="29" t="str">
        <f>IF(OR($B73="",$A73&lt;126),"",--MID('Key Analysis'!$C69,126,1))</f>
        <v/>
      </c>
      <c r="JE73" s="29" t="str">
        <f>IF(OR($B73="",$A73&lt;127),"",--MID('Key Analysis'!$C69,127,1))</f>
        <v/>
      </c>
      <c r="JF73" s="29" t="str">
        <f>IF(OR($B73="",$A73&lt;128),"",--MID('Key Analysis'!$C69,128,1))</f>
        <v/>
      </c>
      <c r="JG73" s="29" t="str">
        <f>IF(OR($B73="",$A73&lt;129),"",--MID('Key Analysis'!$C69,129,1))</f>
        <v/>
      </c>
      <c r="JH73" s="29" t="str">
        <f>IF(OR($B73="",$A73&lt;130),"",--MID('Key Analysis'!$C69,130,1))</f>
        <v/>
      </c>
      <c r="JI73" s="29" t="str">
        <f>IF(OR($B73="",$A73&lt;131),"",--MID('Key Analysis'!$C69,131,1))</f>
        <v/>
      </c>
      <c r="JJ73" s="29" t="str">
        <f>IF(OR($B73="",$A73&lt;132),"",--MID('Key Analysis'!$C69,132,1))</f>
        <v/>
      </c>
      <c r="JK73" s="29" t="str">
        <f>IF(OR($B73="",$A73&lt;133),"",--MID('Key Analysis'!$C69,133,1))</f>
        <v/>
      </c>
      <c r="JL73" s="29" t="str">
        <f>IF(OR($B73="",$A73&lt;134),"",--MID('Key Analysis'!$C69,134,1))</f>
        <v/>
      </c>
      <c r="JM73" s="29" t="str">
        <f>IF(OR($B73="",$A73&lt;135),"",--MID('Key Analysis'!$C69,135,1))</f>
        <v/>
      </c>
    </row>
    <row r="74" spans="1:273" x14ac:dyDescent="0.25">
      <c r="A74" s="21">
        <f>'Key Analysis'!A70</f>
        <v>69</v>
      </c>
      <c r="B74" s="30" t="str">
        <f>'Key Analysis'!B70</f>
        <v>101d83275fb2bc7e0c</v>
      </c>
      <c r="C74" s="29">
        <f>IF(OR($B74="",$A74&lt;=0),"",--MID('Key Analysis'!$C70,$A74-0,1))</f>
        <v>0</v>
      </c>
      <c r="D74" s="29">
        <f>IF(OR($B74="",$A74&lt;=1),"",--MID('Key Analysis'!$C70,$A74-1,1))</f>
        <v>0</v>
      </c>
      <c r="E74" s="29">
        <f>IF(OR($B74="",$A74&lt;=2),"",--MID('Key Analysis'!$C70,$A74-2,1))</f>
        <v>1</v>
      </c>
      <c r="F74" s="29">
        <f>IF(OR($B74="",$A74&lt;=3),"",--MID('Key Analysis'!$C70,$A74-3,1))</f>
        <v>1</v>
      </c>
      <c r="G74" s="29">
        <f>IF(OR($B74="",$A74&lt;=4),"",--MID('Key Analysis'!$C70,$A74-4,1))</f>
        <v>0</v>
      </c>
      <c r="H74" s="29">
        <f>IF(OR($B74="",$A74&lt;=5),"",--MID('Key Analysis'!$C70,$A74-5,1))</f>
        <v>0</v>
      </c>
      <c r="I74" s="29">
        <f>IF(OR($B74="",$A74&lt;=6),"",--MID('Key Analysis'!$C70,$A74-6,1))</f>
        <v>0</v>
      </c>
      <c r="J74" s="29">
        <f>IF(OR($B74="",$A74&lt;=7),"",--MID('Key Analysis'!$C70,$A74-7,1))</f>
        <v>0</v>
      </c>
      <c r="K74" s="29">
        <f>IF(OR($B74="",$A74&lt;=8),"",--MID('Key Analysis'!$C70,$A74-8,1))</f>
        <v>0</v>
      </c>
      <c r="L74" s="29">
        <f>IF(OR($B74="",$A74&lt;=9),"",--MID('Key Analysis'!$C70,$A74-9,1))</f>
        <v>1</v>
      </c>
      <c r="M74" s="29">
        <f>IF(OR($B74="",$A74&lt;=10),"",--MID('Key Analysis'!$C70,$A74-10,1))</f>
        <v>1</v>
      </c>
      <c r="N74" s="29">
        <f>IF(OR($B74="",$A74&lt;=11),"",--MID('Key Analysis'!$C70,$A74-11,1))</f>
        <v>1</v>
      </c>
      <c r="O74" s="29">
        <f>IF(OR($B74="",$A74&lt;=12),"",--MID('Key Analysis'!$C70,$A74-12,1))</f>
        <v>1</v>
      </c>
      <c r="P74" s="29">
        <f>IF(OR($B74="",$A74&lt;=13),"",--MID('Key Analysis'!$C70,$A74-13,1))</f>
        <v>1</v>
      </c>
      <c r="Q74" s="29">
        <f>IF(OR($B74="",$A74&lt;=14),"",--MID('Key Analysis'!$C70,$A74-14,1))</f>
        <v>1</v>
      </c>
      <c r="R74" s="29">
        <f>IF(OR($B74="",$A74&lt;=15),"",--MID('Key Analysis'!$C70,$A74-15,1))</f>
        <v>0</v>
      </c>
      <c r="S74" s="29">
        <f>IF(OR($B74="",$A74&lt;=16),"",--MID('Key Analysis'!$C70,$A74-16,1))</f>
        <v>0</v>
      </c>
      <c r="T74" s="29">
        <f>IF(OR($B74="",$A74&lt;=17),"",--MID('Key Analysis'!$C70,$A74-17,1))</f>
        <v>0</v>
      </c>
      <c r="U74" s="29">
        <f>IF(OR($B74="",$A74&lt;=18),"",--MID('Key Analysis'!$C70,$A74-18,1))</f>
        <v>1</v>
      </c>
      <c r="V74" s="29">
        <f>IF(OR($B74="",$A74&lt;=19),"",--MID('Key Analysis'!$C70,$A74-19,1))</f>
        <v>1</v>
      </c>
      <c r="W74" s="29">
        <f>IF(OR($B74="",$A74&lt;=20),"",--MID('Key Analysis'!$C70,$A74-20,1))</f>
        <v>1</v>
      </c>
      <c r="X74" s="29">
        <f>IF(OR($B74="",$A74&lt;=21),"",--MID('Key Analysis'!$C70,$A74-21,1))</f>
        <v>1</v>
      </c>
      <c r="Y74" s="29">
        <f>IF(OR($B74="",$A74&lt;=22),"",--MID('Key Analysis'!$C70,$A74-22,1))</f>
        <v>0</v>
      </c>
      <c r="Z74" s="29">
        <f>IF(OR($B74="",$A74&lt;=23),"",--MID('Key Analysis'!$C70,$A74-23,1))</f>
        <v>1</v>
      </c>
      <c r="AA74" s="29">
        <f>IF(OR($B74="",$A74&lt;=24),"",--MID('Key Analysis'!$C70,$A74-24,1))</f>
        <v>0</v>
      </c>
      <c r="AB74" s="29">
        <f>IF(OR($B74="",$A74&lt;=25),"",--MID('Key Analysis'!$C70,$A74-25,1))</f>
        <v>1</v>
      </c>
      <c r="AC74" s="29">
        <f>IF(OR($B74="",$A74&lt;=26),"",--MID('Key Analysis'!$C70,$A74-26,1))</f>
        <v>0</v>
      </c>
      <c r="AD74" s="29">
        <f>IF(OR($B74="",$A74&lt;=27),"",--MID('Key Analysis'!$C70,$A74-27,1))</f>
        <v>0</v>
      </c>
      <c r="AE74" s="29">
        <f>IF(OR($B74="",$A74&lt;=28),"",--MID('Key Analysis'!$C70,$A74-28,1))</f>
        <v>1</v>
      </c>
      <c r="AF74" s="29">
        <f>IF(OR($B74="",$A74&lt;=29),"",--MID('Key Analysis'!$C70,$A74-29,1))</f>
        <v>1</v>
      </c>
      <c r="AG74" s="29">
        <f>IF(OR($B74="",$A74&lt;=30),"",--MID('Key Analysis'!$C70,$A74-30,1))</f>
        <v>0</v>
      </c>
      <c r="AH74" s="29">
        <f>IF(OR($B74="",$A74&lt;=31),"",--MID('Key Analysis'!$C70,$A74-31,1))</f>
        <v>1</v>
      </c>
      <c r="AI74" s="29">
        <f>IF(OR($B74="",$A74&lt;=32),"",--MID('Key Analysis'!$C70,$A74-32,1))</f>
        <v>1</v>
      </c>
      <c r="AJ74" s="29">
        <f>IF(OR($B74="",$A74&lt;=33),"",--MID('Key Analysis'!$C70,$A74-33,1))</f>
        <v>1</v>
      </c>
      <c r="AK74" s="29">
        <f>IF(OR($B74="",$A74&lt;=34),"",--MID('Key Analysis'!$C70,$A74-34,1))</f>
        <v>1</v>
      </c>
      <c r="AL74" s="29">
        <f>IF(OR($B74="",$A74&lt;=35),"",--MID('Key Analysis'!$C70,$A74-35,1))</f>
        <v>1</v>
      </c>
      <c r="AM74" s="29">
        <f>IF(OR($B74="",$A74&lt;=36),"",--MID('Key Analysis'!$C70,$A74-36,1))</f>
        <v>1</v>
      </c>
      <c r="AN74" s="29">
        <f>IF(OR($B74="",$A74&lt;=37),"",--MID('Key Analysis'!$C70,$A74-37,1))</f>
        <v>0</v>
      </c>
      <c r="AO74" s="29">
        <f>IF(OR($B74="",$A74&lt;=38),"",--MID('Key Analysis'!$C70,$A74-38,1))</f>
        <v>1</v>
      </c>
      <c r="AP74" s="29">
        <f>IF(OR($B74="",$A74&lt;=39),"",--MID('Key Analysis'!$C70,$A74-39,1))</f>
        <v>0</v>
      </c>
      <c r="AQ74" s="29">
        <f>IF(OR($B74="",$A74&lt;=40),"",--MID('Key Analysis'!$C70,$A74-40,1))</f>
        <v>1</v>
      </c>
      <c r="AR74" s="29">
        <f>IF(OR($B74="",$A74&lt;=41),"",--MID('Key Analysis'!$C70,$A74-41,1))</f>
        <v>1</v>
      </c>
      <c r="AS74" s="29">
        <f>IF(OR($B74="",$A74&lt;=42),"",--MID('Key Analysis'!$C70,$A74-42,1))</f>
        <v>1</v>
      </c>
      <c r="AT74" s="29">
        <f>IF(OR($B74="",$A74&lt;=43),"",--MID('Key Analysis'!$C70,$A74-43,1))</f>
        <v>0</v>
      </c>
      <c r="AU74" s="29">
        <f>IF(OR($B74="",$A74&lt;=44),"",--MID('Key Analysis'!$C70,$A74-44,1))</f>
        <v>0</v>
      </c>
      <c r="AV74" s="29">
        <f>IF(OR($B74="",$A74&lt;=45),"",--MID('Key Analysis'!$C70,$A74-45,1))</f>
        <v>1</v>
      </c>
      <c r="AW74" s="29">
        <f>IF(OR($B74="",$A74&lt;=46),"",--MID('Key Analysis'!$C70,$A74-46,1))</f>
        <v>0</v>
      </c>
      <c r="AX74" s="29">
        <f>IF(OR($B74="",$A74&lt;=47),"",--MID('Key Analysis'!$C70,$A74-47,1))</f>
        <v>0</v>
      </c>
      <c r="AY74" s="29">
        <f>IF(OR($B74="",$A74&lt;=48),"",--MID('Key Analysis'!$C70,$A74-48,1))</f>
        <v>1</v>
      </c>
      <c r="AZ74" s="29">
        <f>IF(OR($B74="",$A74&lt;=49),"",--MID('Key Analysis'!$C70,$A74-49,1))</f>
        <v>1</v>
      </c>
      <c r="BA74" s="29">
        <f>IF(OR($B74="",$A74&lt;=50),"",--MID('Key Analysis'!$C70,$A74-50,1))</f>
        <v>0</v>
      </c>
      <c r="BB74" s="29">
        <f>IF(OR($B74="",$A74&lt;=51),"",--MID('Key Analysis'!$C70,$A74-51,1))</f>
        <v>0</v>
      </c>
      <c r="BC74" s="29">
        <f>IF(OR($B74="",$A74&lt;=52),"",--MID('Key Analysis'!$C70,$A74-52,1))</f>
        <v>0</v>
      </c>
      <c r="BD74" s="29">
        <f>IF(OR($B74="",$A74&lt;=53),"",--MID('Key Analysis'!$C70,$A74-53,1))</f>
        <v>0</v>
      </c>
      <c r="BE74" s="29">
        <f>IF(OR($B74="",$A74&lt;=54),"",--MID('Key Analysis'!$C70,$A74-54,1))</f>
        <v>0</v>
      </c>
      <c r="BF74" s="29">
        <f>IF(OR($B74="",$A74&lt;=55),"",--MID('Key Analysis'!$C70,$A74-55,1))</f>
        <v>1</v>
      </c>
      <c r="BG74" s="29">
        <f>IF(OR($B74="",$A74&lt;=56),"",--MID('Key Analysis'!$C70,$A74-56,1))</f>
        <v>1</v>
      </c>
      <c r="BH74" s="29">
        <f>IF(OR($B74="",$A74&lt;=57),"",--MID('Key Analysis'!$C70,$A74-57,1))</f>
        <v>0</v>
      </c>
      <c r="BI74" s="29">
        <f>IF(OR($B74="",$A74&lt;=58),"",--MID('Key Analysis'!$C70,$A74-58,1))</f>
        <v>1</v>
      </c>
      <c r="BJ74" s="29">
        <f>IF(OR($B74="",$A74&lt;=59),"",--MID('Key Analysis'!$C70,$A74-59,1))</f>
        <v>1</v>
      </c>
      <c r="BK74" s="29">
        <f>IF(OR($B74="",$A74&lt;=60),"",--MID('Key Analysis'!$C70,$A74-60,1))</f>
        <v>1</v>
      </c>
      <c r="BL74" s="29">
        <f>IF(OR($B74="",$A74&lt;=61),"",--MID('Key Analysis'!$C70,$A74-61,1))</f>
        <v>0</v>
      </c>
      <c r="BM74" s="29">
        <f>IF(OR($B74="",$A74&lt;=62),"",--MID('Key Analysis'!$C70,$A74-62,1))</f>
        <v>0</v>
      </c>
      <c r="BN74" s="29">
        <f>IF(OR($B74="",$A74&lt;=63),"",--MID('Key Analysis'!$C70,$A74-63,1))</f>
        <v>0</v>
      </c>
      <c r="BO74" s="29">
        <f>IF(OR($B74="",$A74&lt;=64),"",--MID('Key Analysis'!$C70,$A74-64,1))</f>
        <v>0</v>
      </c>
      <c r="BP74" s="29">
        <f>IF(OR($B74="",$A74&lt;=65),"",--MID('Key Analysis'!$C70,$A74-65,1))</f>
        <v>0</v>
      </c>
      <c r="BQ74" s="29">
        <f>IF(OR($B74="",$A74&lt;=66),"",--MID('Key Analysis'!$C70,$A74-66,1))</f>
        <v>0</v>
      </c>
      <c r="BR74" s="29">
        <f>IF(OR($B74="",$A74&lt;=67),"",--MID('Key Analysis'!$C70,$A74-67,1))</f>
        <v>0</v>
      </c>
      <c r="BS74" s="29">
        <f>IF(OR($B74="",$A74&lt;=68),"",--MID('Key Analysis'!$C70,$A74-68,1))</f>
        <v>1</v>
      </c>
      <c r="BT74" s="29" t="str">
        <f>IF(OR($B74="",$A74&lt;=69),"",--MID('Key Analysis'!$C70,$A74-69,1))</f>
        <v/>
      </c>
      <c r="BU74" s="29" t="str">
        <f>IF(OR($B74="",$A74&lt;=70),"",--MID('Key Analysis'!$C70,$A74-70,1))</f>
        <v/>
      </c>
      <c r="BV74" s="29" t="str">
        <f>IF(OR($B74="",$A74&lt;=71),"",--MID('Key Analysis'!$C70,$A74-71,1))</f>
        <v/>
      </c>
      <c r="BW74" s="29" t="str">
        <f>IF(OR($B74="",$A74&lt;=72),"",--MID('Key Analysis'!$C70,$A74-72,1))</f>
        <v/>
      </c>
      <c r="BX74" s="29" t="str">
        <f>IF(OR($B74="",$A74&lt;=73),"",--MID('Key Analysis'!$C70,$A74-73,1))</f>
        <v/>
      </c>
      <c r="BY74" s="29" t="str">
        <f>IF(OR($B74="",$A74&lt;=74),"",--MID('Key Analysis'!$C70,$A74-74,1))</f>
        <v/>
      </c>
      <c r="BZ74" s="29" t="str">
        <f>IF(OR($B74="",$A74&lt;=75),"",--MID('Key Analysis'!$C70,$A74-75,1))</f>
        <v/>
      </c>
      <c r="CA74" s="29" t="str">
        <f>IF(OR($B74="",$A74&lt;=76),"",--MID('Key Analysis'!$C70,$A74-76,1))</f>
        <v/>
      </c>
      <c r="CB74" s="29" t="str">
        <f>IF(OR($B74="",$A74&lt;=77),"",--MID('Key Analysis'!$C70,$A74-77,1))</f>
        <v/>
      </c>
      <c r="CC74" s="29" t="str">
        <f>IF(OR($B74="",$A74&lt;=78),"",--MID('Key Analysis'!$C70,$A74-78,1))</f>
        <v/>
      </c>
      <c r="CD74" s="29" t="str">
        <f>IF(OR($B74="",$A74&lt;=79),"",--MID('Key Analysis'!$C70,$A74-79,1))</f>
        <v/>
      </c>
      <c r="CE74" s="29" t="str">
        <f>IF(OR($B74="",$A74&lt;=80),"",--MID('Key Analysis'!$C70,$A74-80,1))</f>
        <v/>
      </c>
      <c r="CF74" s="29" t="str">
        <f>IF(OR($B74="",$A74&lt;=81),"",--MID('Key Analysis'!$C70,$A74-81,1))</f>
        <v/>
      </c>
      <c r="CG74" s="29" t="str">
        <f>IF(OR($B74="",$A74&lt;=82),"",--MID('Key Analysis'!$C70,$A74-82,1))</f>
        <v/>
      </c>
      <c r="CH74" s="29" t="str">
        <f>IF(OR($B74="",$A74&lt;=83),"",--MID('Key Analysis'!$C70,$A74-83,1))</f>
        <v/>
      </c>
      <c r="CI74" s="29" t="str">
        <f>IF(OR($B74="",$A74&lt;=84),"",--MID('Key Analysis'!$C70,$A74-84,1))</f>
        <v/>
      </c>
      <c r="CJ74" s="29" t="str">
        <f>IF(OR($B74="",$A74&lt;=85),"",--MID('Key Analysis'!$C70,$A74-85,1))</f>
        <v/>
      </c>
      <c r="CK74" s="29" t="str">
        <f>IF(OR($B74="",$A74&lt;=86),"",--MID('Key Analysis'!$C70,$A74-86,1))</f>
        <v/>
      </c>
      <c r="CL74" s="29" t="str">
        <f>IF(OR($B74="",$A74&lt;=87),"",--MID('Key Analysis'!$C70,$A74-87,1))</f>
        <v/>
      </c>
      <c r="CM74" s="29" t="str">
        <f>IF(OR($B74="",$A74&lt;=88),"",--MID('Key Analysis'!$C70,$A74-88,1))</f>
        <v/>
      </c>
      <c r="CN74" s="29" t="str">
        <f>IF(OR($B74="",$A74&lt;=89),"",--MID('Key Analysis'!$C70,$A74-89,1))</f>
        <v/>
      </c>
      <c r="CO74" s="29" t="str">
        <f>IF(OR($B74="",$A74&lt;=90),"",--MID('Key Analysis'!$C70,$A74-90,1))</f>
        <v/>
      </c>
      <c r="CP74" s="29" t="str">
        <f>IF(OR($B74="",$A74&lt;=91),"",--MID('Key Analysis'!$C70,$A74-91,1))</f>
        <v/>
      </c>
      <c r="CQ74" s="29" t="str">
        <f>IF(OR($B74="",$A74&lt;=92),"",--MID('Key Analysis'!$C70,$A74-92,1))</f>
        <v/>
      </c>
      <c r="CR74" s="29" t="str">
        <f>IF(OR($B74="",$A74&lt;=93),"",--MID('Key Analysis'!$C70,$A74-93,1))</f>
        <v/>
      </c>
      <c r="CS74" s="29" t="str">
        <f>IF(OR($B74="",$A74&lt;=94),"",--MID('Key Analysis'!$C70,$A74-94,1))</f>
        <v/>
      </c>
      <c r="CT74" s="29" t="str">
        <f>IF(OR($B74="",$A74&lt;=95),"",--MID('Key Analysis'!$C70,$A74-95,1))</f>
        <v/>
      </c>
      <c r="CU74" s="29" t="str">
        <f>IF(OR($B74="",$A74&lt;=96),"",--MID('Key Analysis'!$C70,$A74-96,1))</f>
        <v/>
      </c>
      <c r="CV74" s="29" t="str">
        <f>IF(OR($B74="",$A74&lt;=97),"",--MID('Key Analysis'!$C70,$A74-97,1))</f>
        <v/>
      </c>
      <c r="CW74" s="29" t="str">
        <f>IF(OR($B74="",$A74&lt;=98),"",--MID('Key Analysis'!$C70,$A74-98,1))</f>
        <v/>
      </c>
      <c r="CX74" s="29" t="str">
        <f>IF(OR($B74="",$A74&lt;=99),"",--MID('Key Analysis'!$C70,$A74-99,1))</f>
        <v/>
      </c>
      <c r="CY74" s="29" t="str">
        <f>IF(OR($B74="",$A74&lt;=100),"",--MID('Key Analysis'!$C70,$A74-100,1))</f>
        <v/>
      </c>
      <c r="CZ74" s="29" t="str">
        <f>IF(OR($B74="",$A74&lt;=101),"",--MID('Key Analysis'!$C70,$A74-101,1))</f>
        <v/>
      </c>
      <c r="DA74" s="29" t="str">
        <f>IF(OR($B74="",$A74&lt;=102),"",--MID('Key Analysis'!$C70,$A74-102,1))</f>
        <v/>
      </c>
      <c r="DB74" s="29" t="str">
        <f>IF(OR($B74="",$A74&lt;=103),"",--MID('Key Analysis'!$C70,$A74-103,1))</f>
        <v/>
      </c>
      <c r="DC74" s="29" t="str">
        <f>IF(OR($B74="",$A74&lt;=104),"",--MID('Key Analysis'!$C70,$A74-104,1))</f>
        <v/>
      </c>
      <c r="DD74" s="29" t="str">
        <f>IF(OR($B74="",$A74&lt;=105),"",--MID('Key Analysis'!$C70,$A74-105,1))</f>
        <v/>
      </c>
      <c r="DE74" s="29" t="str">
        <f>IF(OR($B74="",$A74&lt;=106),"",--MID('Key Analysis'!$C70,$A74-106,1))</f>
        <v/>
      </c>
      <c r="DF74" s="29" t="str">
        <f>IF(OR($B74="",$A74&lt;=107),"",--MID('Key Analysis'!$C70,$A74-107,1))</f>
        <v/>
      </c>
      <c r="DG74" s="29" t="str">
        <f>IF(OR($B74="",$A74&lt;=108),"",--MID('Key Analysis'!$C70,$A74-108,1))</f>
        <v/>
      </c>
      <c r="DH74" s="29" t="str">
        <f>IF(OR($B74="",$A74&lt;=109),"",--MID('Key Analysis'!$C70,$A74-109,1))</f>
        <v/>
      </c>
      <c r="DI74" s="29" t="str">
        <f>IF(OR($B74="",$A74&lt;=110),"",--MID('Key Analysis'!$C70,$A74-110,1))</f>
        <v/>
      </c>
      <c r="DJ74" s="29" t="str">
        <f>IF(OR($B74="",$A74&lt;=111),"",--MID('Key Analysis'!$C70,$A74-111,1))</f>
        <v/>
      </c>
      <c r="DK74" s="29" t="str">
        <f>IF(OR($B74="",$A74&lt;=112),"",--MID('Key Analysis'!$C70,$A74-112,1))</f>
        <v/>
      </c>
      <c r="DL74" s="29" t="str">
        <f>IF(OR($B74="",$A74&lt;=113),"",--MID('Key Analysis'!$C70,$A74-113,1))</f>
        <v/>
      </c>
      <c r="DM74" s="29" t="str">
        <f>IF(OR($B74="",$A74&lt;=114),"",--MID('Key Analysis'!$C70,$A74-114,1))</f>
        <v/>
      </c>
      <c r="DN74" s="29" t="str">
        <f>IF(OR($B74="",$A74&lt;=115),"",--MID('Key Analysis'!$C70,$A74-115,1))</f>
        <v/>
      </c>
      <c r="DO74" s="29" t="str">
        <f>IF(OR($B74="",$A74&lt;=116),"",--MID('Key Analysis'!$C70,$A74-116,1))</f>
        <v/>
      </c>
      <c r="DP74" s="29" t="str">
        <f>IF(OR($B74="",$A74&lt;=117),"",--MID('Key Analysis'!$C70,$A74-117,1))</f>
        <v/>
      </c>
      <c r="DQ74" s="29" t="str">
        <f>IF(OR($B74="",$A74&lt;=118),"",--MID('Key Analysis'!$C70,$A74-118,1))</f>
        <v/>
      </c>
      <c r="DR74" s="29" t="str">
        <f>IF(OR($B74="",$A74&lt;=119),"",--MID('Key Analysis'!$C70,$A74-119,1))</f>
        <v/>
      </c>
      <c r="DS74" s="29" t="str">
        <f>IF(OR($B74="",$A74&lt;=120),"",--MID('Key Analysis'!$C70,$A74-120,1))</f>
        <v/>
      </c>
      <c r="DT74" s="29" t="str">
        <f>IF(OR($B74="",$A74&lt;=121),"",--MID('Key Analysis'!$C70,$A74-121,1))</f>
        <v/>
      </c>
      <c r="DU74" s="29" t="str">
        <f>IF(OR($B74="",$A74&lt;=122),"",--MID('Key Analysis'!$C70,$A74-122,1))</f>
        <v/>
      </c>
      <c r="DV74" s="29" t="str">
        <f>IF(OR($B74="",$A74&lt;=123),"",--MID('Key Analysis'!$C70,$A74-123,1))</f>
        <v/>
      </c>
      <c r="DW74" s="29" t="str">
        <f>IF(OR($B74="",$A74&lt;=124),"",--MID('Key Analysis'!$C70,$A74-124,1))</f>
        <v/>
      </c>
      <c r="DX74" s="29" t="str">
        <f>IF(OR($B74="",$A74&lt;=125),"",--MID('Key Analysis'!$C70,$A74-125,1))</f>
        <v/>
      </c>
      <c r="DY74" s="29" t="str">
        <f>IF(OR($B74="",$A74&lt;=126),"",--MID('Key Analysis'!$C70,$A74-126,1))</f>
        <v/>
      </c>
      <c r="DZ74" s="29" t="str">
        <f>IF(OR($B74="",$A74&lt;=127),"",--MID('Key Analysis'!$C70,$A74-127,1))</f>
        <v/>
      </c>
      <c r="EA74" s="29" t="str">
        <f>IF(OR($B74="",$A74&lt;=128),"",--MID('Key Analysis'!$C70,$A74-128,1))</f>
        <v/>
      </c>
      <c r="EB74" s="29" t="str">
        <f>IF(OR($B74="",$A74&lt;=129),"",--MID('Key Analysis'!$C70,$A74-129,1))</f>
        <v/>
      </c>
      <c r="EC74" s="29" t="str">
        <f>IF(OR($B74="",$A74&lt;=130),"",--MID('Key Analysis'!$C70,$A74-130,1))</f>
        <v/>
      </c>
      <c r="ED74" s="29" t="str">
        <f>IF(OR($B74="",$A74&lt;=131),"",--MID('Key Analysis'!$C70,$A74-131,1))</f>
        <v/>
      </c>
      <c r="EE74" s="29" t="str">
        <f>IF(OR($B74="",$A74&lt;=132),"",--MID('Key Analysis'!$C70,$A74-132,1))</f>
        <v/>
      </c>
      <c r="EF74" s="29" t="str">
        <f>IF(OR($B74="",$A74&lt;=133),"",--MID('Key Analysis'!$C70,$A74-133,1))</f>
        <v/>
      </c>
      <c r="EG74" s="29" t="str">
        <f>IF(OR($B74="",$A74&lt;=134),"",--MID('Key Analysis'!$C70,$A74-134,1))</f>
        <v/>
      </c>
      <c r="EH74" s="29"/>
      <c r="EI74" s="29">
        <f>IF(OR($B74="",$A74&lt;1),"",--MID('Key Analysis'!$C70,1,1))</f>
        <v>1</v>
      </c>
      <c r="EJ74" s="29">
        <f>IF(OR($B74="",$A74&lt;2),"",--MID('Key Analysis'!$C70,2,1))</f>
        <v>0</v>
      </c>
      <c r="EK74" s="29">
        <f>IF(OR($B74="",$A74&lt;3),"",--MID('Key Analysis'!$C70,3,1))</f>
        <v>0</v>
      </c>
      <c r="EL74" s="29">
        <f>IF(OR($B74="",$A74&lt;4),"",--MID('Key Analysis'!$C70,4,1))</f>
        <v>0</v>
      </c>
      <c r="EM74" s="29">
        <f>IF(OR($B74="",$A74&lt;5),"",--MID('Key Analysis'!$C70,5,1))</f>
        <v>0</v>
      </c>
      <c r="EN74" s="29">
        <f>IF(OR($B74="",$A74&lt;6),"",--MID('Key Analysis'!$C70,6,1))</f>
        <v>0</v>
      </c>
      <c r="EO74" s="29">
        <f>IF(OR($B74="",$A74&lt;7),"",--MID('Key Analysis'!$C70,7,1))</f>
        <v>0</v>
      </c>
      <c r="EP74" s="29">
        <f>IF(OR($B74="",$A74&lt;8),"",--MID('Key Analysis'!$C70,8,1))</f>
        <v>0</v>
      </c>
      <c r="EQ74" s="29">
        <f>IF(OR($B74="",$A74&lt;9),"",--MID('Key Analysis'!$C70,9,1))</f>
        <v>1</v>
      </c>
      <c r="ER74" s="29">
        <f>IF(OR($B74="",$A74&lt;10),"",--MID('Key Analysis'!$C70,10,1))</f>
        <v>1</v>
      </c>
      <c r="ES74" s="29">
        <f>IF(OR($B74="",$A74&lt;11),"",--MID('Key Analysis'!$C70,11,1))</f>
        <v>1</v>
      </c>
      <c r="ET74" s="29">
        <f>IF(OR($B74="",$A74&lt;12),"",--MID('Key Analysis'!$C70,12,1))</f>
        <v>0</v>
      </c>
      <c r="EU74" s="29">
        <f>IF(OR($B74="",$A74&lt;13),"",--MID('Key Analysis'!$C70,13,1))</f>
        <v>1</v>
      </c>
      <c r="EV74" s="29">
        <f>IF(OR($B74="",$A74&lt;14),"",--MID('Key Analysis'!$C70,14,1))</f>
        <v>1</v>
      </c>
      <c r="EW74" s="29">
        <f>IF(OR($B74="",$A74&lt;15),"",--MID('Key Analysis'!$C70,15,1))</f>
        <v>0</v>
      </c>
      <c r="EX74" s="29">
        <f>IF(OR($B74="",$A74&lt;16),"",--MID('Key Analysis'!$C70,16,1))</f>
        <v>0</v>
      </c>
      <c r="EY74" s="29">
        <f>IF(OR($B74="",$A74&lt;17),"",--MID('Key Analysis'!$C70,17,1))</f>
        <v>0</v>
      </c>
      <c r="EZ74" s="29">
        <f>IF(OR($B74="",$A74&lt;18),"",--MID('Key Analysis'!$C70,18,1))</f>
        <v>0</v>
      </c>
      <c r="FA74" s="29">
        <f>IF(OR($B74="",$A74&lt;19),"",--MID('Key Analysis'!$C70,19,1))</f>
        <v>0</v>
      </c>
      <c r="FB74" s="29">
        <f>IF(OR($B74="",$A74&lt;20),"",--MID('Key Analysis'!$C70,20,1))</f>
        <v>1</v>
      </c>
      <c r="FC74" s="29">
        <f>IF(OR($B74="",$A74&lt;21),"",--MID('Key Analysis'!$C70,21,1))</f>
        <v>1</v>
      </c>
      <c r="FD74" s="29">
        <f>IF(OR($B74="",$A74&lt;22),"",--MID('Key Analysis'!$C70,22,1))</f>
        <v>0</v>
      </c>
      <c r="FE74" s="29">
        <f>IF(OR($B74="",$A74&lt;23),"",--MID('Key Analysis'!$C70,23,1))</f>
        <v>0</v>
      </c>
      <c r="FF74" s="29">
        <f>IF(OR($B74="",$A74&lt;24),"",--MID('Key Analysis'!$C70,24,1))</f>
        <v>1</v>
      </c>
      <c r="FG74" s="29">
        <f>IF(OR($B74="",$A74&lt;25),"",--MID('Key Analysis'!$C70,25,1))</f>
        <v>0</v>
      </c>
      <c r="FH74" s="29">
        <f>IF(OR($B74="",$A74&lt;26),"",--MID('Key Analysis'!$C70,26,1))</f>
        <v>0</v>
      </c>
      <c r="FI74" s="29">
        <f>IF(OR($B74="",$A74&lt;27),"",--MID('Key Analysis'!$C70,27,1))</f>
        <v>1</v>
      </c>
      <c r="FJ74" s="29">
        <f>IF(OR($B74="",$A74&lt;28),"",--MID('Key Analysis'!$C70,28,1))</f>
        <v>1</v>
      </c>
      <c r="FK74" s="29">
        <f>IF(OR($B74="",$A74&lt;29),"",--MID('Key Analysis'!$C70,29,1))</f>
        <v>1</v>
      </c>
      <c r="FL74" s="29">
        <f>IF(OR($B74="",$A74&lt;30),"",--MID('Key Analysis'!$C70,30,1))</f>
        <v>0</v>
      </c>
      <c r="FM74" s="29">
        <f>IF(OR($B74="",$A74&lt;31),"",--MID('Key Analysis'!$C70,31,1))</f>
        <v>1</v>
      </c>
      <c r="FN74" s="29">
        <f>IF(OR($B74="",$A74&lt;32),"",--MID('Key Analysis'!$C70,32,1))</f>
        <v>0</v>
      </c>
      <c r="FO74" s="29">
        <f>IF(OR($B74="",$A74&lt;33),"",--MID('Key Analysis'!$C70,33,1))</f>
        <v>1</v>
      </c>
      <c r="FP74" s="29">
        <f>IF(OR($B74="",$A74&lt;34),"",--MID('Key Analysis'!$C70,34,1))</f>
        <v>1</v>
      </c>
      <c r="FQ74" s="29">
        <f>IF(OR($B74="",$A74&lt;35),"",--MID('Key Analysis'!$C70,35,1))</f>
        <v>1</v>
      </c>
      <c r="FR74" s="29">
        <f>IF(OR($B74="",$A74&lt;36),"",--MID('Key Analysis'!$C70,36,1))</f>
        <v>1</v>
      </c>
      <c r="FS74" s="29">
        <f>IF(OR($B74="",$A74&lt;37),"",--MID('Key Analysis'!$C70,37,1))</f>
        <v>1</v>
      </c>
      <c r="FT74" s="29">
        <f>IF(OR($B74="",$A74&lt;38),"",--MID('Key Analysis'!$C70,38,1))</f>
        <v>1</v>
      </c>
      <c r="FU74" s="29">
        <f>IF(OR($B74="",$A74&lt;39),"",--MID('Key Analysis'!$C70,39,1))</f>
        <v>0</v>
      </c>
      <c r="FV74" s="29">
        <f>IF(OR($B74="",$A74&lt;40),"",--MID('Key Analysis'!$C70,40,1))</f>
        <v>1</v>
      </c>
      <c r="FW74" s="29">
        <f>IF(OR($B74="",$A74&lt;41),"",--MID('Key Analysis'!$C70,41,1))</f>
        <v>1</v>
      </c>
      <c r="FX74" s="29">
        <f>IF(OR($B74="",$A74&lt;42),"",--MID('Key Analysis'!$C70,42,1))</f>
        <v>0</v>
      </c>
      <c r="FY74" s="29">
        <f>IF(OR($B74="",$A74&lt;43),"",--MID('Key Analysis'!$C70,43,1))</f>
        <v>0</v>
      </c>
      <c r="FZ74" s="29">
        <f>IF(OR($B74="",$A74&lt;44),"",--MID('Key Analysis'!$C70,44,1))</f>
        <v>1</v>
      </c>
      <c r="GA74" s="29">
        <f>IF(OR($B74="",$A74&lt;45),"",--MID('Key Analysis'!$C70,45,1))</f>
        <v>0</v>
      </c>
      <c r="GB74" s="29">
        <f>IF(OR($B74="",$A74&lt;46),"",--MID('Key Analysis'!$C70,46,1))</f>
        <v>1</v>
      </c>
      <c r="GC74" s="29">
        <f>IF(OR($B74="",$A74&lt;47),"",--MID('Key Analysis'!$C70,47,1))</f>
        <v>0</v>
      </c>
      <c r="GD74" s="29">
        <f>IF(OR($B74="",$A74&lt;48),"",--MID('Key Analysis'!$C70,48,1))</f>
        <v>1</v>
      </c>
      <c r="GE74" s="29">
        <f>IF(OR($B74="",$A74&lt;49),"",--MID('Key Analysis'!$C70,49,1))</f>
        <v>1</v>
      </c>
      <c r="GF74" s="29">
        <f>IF(OR($B74="",$A74&lt;50),"",--MID('Key Analysis'!$C70,50,1))</f>
        <v>1</v>
      </c>
      <c r="GG74" s="29">
        <f>IF(OR($B74="",$A74&lt;51),"",--MID('Key Analysis'!$C70,51,1))</f>
        <v>1</v>
      </c>
      <c r="GH74" s="29">
        <f>IF(OR($B74="",$A74&lt;52),"",--MID('Key Analysis'!$C70,52,1))</f>
        <v>0</v>
      </c>
      <c r="GI74" s="29">
        <f>IF(OR($B74="",$A74&lt;53),"",--MID('Key Analysis'!$C70,53,1))</f>
        <v>0</v>
      </c>
      <c r="GJ74" s="29">
        <f>IF(OR($B74="",$A74&lt;54),"",--MID('Key Analysis'!$C70,54,1))</f>
        <v>0</v>
      </c>
      <c r="GK74" s="29">
        <f>IF(OR($B74="",$A74&lt;55),"",--MID('Key Analysis'!$C70,55,1))</f>
        <v>1</v>
      </c>
      <c r="GL74" s="29">
        <f>IF(OR($B74="",$A74&lt;56),"",--MID('Key Analysis'!$C70,56,1))</f>
        <v>1</v>
      </c>
      <c r="GM74" s="29">
        <f>IF(OR($B74="",$A74&lt;57),"",--MID('Key Analysis'!$C70,57,1))</f>
        <v>1</v>
      </c>
      <c r="GN74" s="29">
        <f>IF(OR($B74="",$A74&lt;58),"",--MID('Key Analysis'!$C70,58,1))</f>
        <v>1</v>
      </c>
      <c r="GO74" s="29">
        <f>IF(OR($B74="",$A74&lt;59),"",--MID('Key Analysis'!$C70,59,1))</f>
        <v>1</v>
      </c>
      <c r="GP74" s="29">
        <f>IF(OR($B74="",$A74&lt;60),"",--MID('Key Analysis'!$C70,60,1))</f>
        <v>1</v>
      </c>
      <c r="GQ74" s="29">
        <f>IF(OR($B74="",$A74&lt;61),"",--MID('Key Analysis'!$C70,61,1))</f>
        <v>0</v>
      </c>
      <c r="GR74" s="29">
        <f>IF(OR($B74="",$A74&lt;62),"",--MID('Key Analysis'!$C70,62,1))</f>
        <v>0</v>
      </c>
      <c r="GS74" s="29">
        <f>IF(OR($B74="",$A74&lt;63),"",--MID('Key Analysis'!$C70,63,1))</f>
        <v>0</v>
      </c>
      <c r="GT74" s="29">
        <f>IF(OR($B74="",$A74&lt;64),"",--MID('Key Analysis'!$C70,64,1))</f>
        <v>0</v>
      </c>
      <c r="GU74" s="29">
        <f>IF(OR($B74="",$A74&lt;65),"",--MID('Key Analysis'!$C70,65,1))</f>
        <v>0</v>
      </c>
      <c r="GV74" s="29">
        <f>IF(OR($B74="",$A74&lt;66),"",--MID('Key Analysis'!$C70,66,1))</f>
        <v>1</v>
      </c>
      <c r="GW74" s="29">
        <f>IF(OR($B74="",$A74&lt;67),"",--MID('Key Analysis'!$C70,67,1))</f>
        <v>1</v>
      </c>
      <c r="GX74" s="29">
        <f>IF(OR($B74="",$A74&lt;68),"",--MID('Key Analysis'!$C70,68,1))</f>
        <v>0</v>
      </c>
      <c r="GY74" s="29">
        <f>IF(OR($B74="",$A74&lt;69),"",--MID('Key Analysis'!$C70,69,1))</f>
        <v>0</v>
      </c>
      <c r="GZ74" s="29" t="str">
        <f>IF(OR($B74="",$A74&lt;70),"",--MID('Key Analysis'!$C70,70,1))</f>
        <v/>
      </c>
      <c r="HA74" s="29" t="str">
        <f>IF(OR($B74="",$A74&lt;71),"",--MID('Key Analysis'!$C70,71,1))</f>
        <v/>
      </c>
      <c r="HB74" s="29" t="str">
        <f>IF(OR($B74="",$A74&lt;72),"",--MID('Key Analysis'!$C70,72,1))</f>
        <v/>
      </c>
      <c r="HC74" s="29" t="str">
        <f>IF(OR($B74="",$A74&lt;73),"",--MID('Key Analysis'!$C70,73,1))</f>
        <v/>
      </c>
      <c r="HD74" s="29" t="str">
        <f>IF(OR($B74="",$A74&lt;74),"",--MID('Key Analysis'!$C70,74,1))</f>
        <v/>
      </c>
      <c r="HE74" s="29" t="str">
        <f>IF(OR($B74="",$A74&lt;75),"",--MID('Key Analysis'!$C70,75,1))</f>
        <v/>
      </c>
      <c r="HF74" s="29" t="str">
        <f>IF(OR($B74="",$A74&lt;76),"",--MID('Key Analysis'!$C70,76,1))</f>
        <v/>
      </c>
      <c r="HG74" s="29" t="str">
        <f>IF(OR($B74="",$A74&lt;77),"",--MID('Key Analysis'!$C70,77,1))</f>
        <v/>
      </c>
      <c r="HH74" s="29" t="str">
        <f>IF(OR($B74="",$A74&lt;78),"",--MID('Key Analysis'!$C70,78,1))</f>
        <v/>
      </c>
      <c r="HI74" s="29" t="str">
        <f>IF(OR($B74="",$A74&lt;79),"",--MID('Key Analysis'!$C70,79,1))</f>
        <v/>
      </c>
      <c r="HJ74" s="29" t="str">
        <f>IF(OR($B74="",$A74&lt;80),"",--MID('Key Analysis'!$C70,80,1))</f>
        <v/>
      </c>
      <c r="HK74" s="29" t="str">
        <f>IF(OR($B74="",$A74&lt;81),"",--MID('Key Analysis'!$C70,81,1))</f>
        <v/>
      </c>
      <c r="HL74" s="29" t="str">
        <f>IF(OR($B74="",$A74&lt;82),"",--MID('Key Analysis'!$C70,82,1))</f>
        <v/>
      </c>
      <c r="HM74" s="29" t="str">
        <f>IF(OR($B74="",$A74&lt;83),"",--MID('Key Analysis'!$C70,83,1))</f>
        <v/>
      </c>
      <c r="HN74" s="29" t="str">
        <f>IF(OR($B74="",$A74&lt;84),"",--MID('Key Analysis'!$C70,84,1))</f>
        <v/>
      </c>
      <c r="HO74" s="29" t="str">
        <f>IF(OR($B74="",$A74&lt;85),"",--MID('Key Analysis'!$C70,85,1))</f>
        <v/>
      </c>
      <c r="HP74" s="29" t="str">
        <f>IF(OR($B74="",$A74&lt;86),"",--MID('Key Analysis'!$C70,86,1))</f>
        <v/>
      </c>
      <c r="HQ74" s="29" t="str">
        <f>IF(OR($B74="",$A74&lt;87),"",--MID('Key Analysis'!$C70,87,1))</f>
        <v/>
      </c>
      <c r="HR74" s="29" t="str">
        <f>IF(OR($B74="",$A74&lt;88),"",--MID('Key Analysis'!$C70,88,1))</f>
        <v/>
      </c>
      <c r="HS74" s="29" t="str">
        <f>IF(OR($B74="",$A74&lt;89),"",--MID('Key Analysis'!$C70,89,1))</f>
        <v/>
      </c>
      <c r="HT74" s="29" t="str">
        <f>IF(OR($B74="",$A74&lt;90),"",--MID('Key Analysis'!$C70,90,1))</f>
        <v/>
      </c>
      <c r="HU74" s="29" t="str">
        <f>IF(OR($B74="",$A74&lt;91),"",--MID('Key Analysis'!$C70,91,1))</f>
        <v/>
      </c>
      <c r="HV74" s="29" t="str">
        <f>IF(OR($B74="",$A74&lt;92),"",--MID('Key Analysis'!$C70,92,1))</f>
        <v/>
      </c>
      <c r="HW74" s="29" t="str">
        <f>IF(OR($B74="",$A74&lt;93),"",--MID('Key Analysis'!$C70,93,1))</f>
        <v/>
      </c>
      <c r="HX74" s="29" t="str">
        <f>IF(OR($B74="",$A74&lt;94),"",--MID('Key Analysis'!$C70,94,1))</f>
        <v/>
      </c>
      <c r="HY74" s="29" t="str">
        <f>IF(OR($B74="",$A74&lt;95),"",--MID('Key Analysis'!$C70,95,1))</f>
        <v/>
      </c>
      <c r="HZ74" s="29" t="str">
        <f>IF(OR($B74="",$A74&lt;96),"",--MID('Key Analysis'!$C70,96,1))</f>
        <v/>
      </c>
      <c r="IA74" s="29" t="str">
        <f>IF(OR($B74="",$A74&lt;97),"",--MID('Key Analysis'!$C70,97,1))</f>
        <v/>
      </c>
      <c r="IB74" s="29" t="str">
        <f>IF(OR($B74="",$A74&lt;98),"",--MID('Key Analysis'!$C70,98,1))</f>
        <v/>
      </c>
      <c r="IC74" s="29" t="str">
        <f>IF(OR($B74="",$A74&lt;99),"",--MID('Key Analysis'!$C70,99,1))</f>
        <v/>
      </c>
      <c r="ID74" s="29" t="str">
        <f>IF(OR($B74="",$A74&lt;100),"",--MID('Key Analysis'!$C70,100,1))</f>
        <v/>
      </c>
      <c r="IE74" s="29" t="str">
        <f>IF(OR($B74="",$A74&lt;101),"",--MID('Key Analysis'!$C70,101,1))</f>
        <v/>
      </c>
      <c r="IF74" s="29" t="str">
        <f>IF(OR($B74="",$A74&lt;102),"",--MID('Key Analysis'!$C70,102,1))</f>
        <v/>
      </c>
      <c r="IG74" s="29" t="str">
        <f>IF(OR($B74="",$A74&lt;103),"",--MID('Key Analysis'!$C70,103,1))</f>
        <v/>
      </c>
      <c r="IH74" s="29" t="str">
        <f>IF(OR($B74="",$A74&lt;104),"",--MID('Key Analysis'!$C70,104,1))</f>
        <v/>
      </c>
      <c r="II74" s="29" t="str">
        <f>IF(OR($B74="",$A74&lt;105),"",--MID('Key Analysis'!$C70,105,1))</f>
        <v/>
      </c>
      <c r="IJ74" s="29" t="str">
        <f>IF(OR($B74="",$A74&lt;106),"",--MID('Key Analysis'!$C70,106,1))</f>
        <v/>
      </c>
      <c r="IK74" s="29" t="str">
        <f>IF(OR($B74="",$A74&lt;107),"",--MID('Key Analysis'!$C70,107,1))</f>
        <v/>
      </c>
      <c r="IL74" s="29" t="str">
        <f>IF(OR($B74="",$A74&lt;108),"",--MID('Key Analysis'!$C70,108,1))</f>
        <v/>
      </c>
      <c r="IM74" s="29" t="str">
        <f>IF(OR($B74="",$A74&lt;109),"",--MID('Key Analysis'!$C70,109,1))</f>
        <v/>
      </c>
      <c r="IN74" s="29" t="str">
        <f>IF(OR($B74="",$A74&lt;110),"",--MID('Key Analysis'!$C70,110,1))</f>
        <v/>
      </c>
      <c r="IO74" s="29" t="str">
        <f>IF(OR($B74="",$A74&lt;111),"",--MID('Key Analysis'!$C70,111,1))</f>
        <v/>
      </c>
      <c r="IP74" s="29" t="str">
        <f>IF(OR($B74="",$A74&lt;112),"",--MID('Key Analysis'!$C70,112,1))</f>
        <v/>
      </c>
      <c r="IQ74" s="29" t="str">
        <f>IF(OR($B74="",$A74&lt;113),"",--MID('Key Analysis'!$C70,113,1))</f>
        <v/>
      </c>
      <c r="IR74" s="29" t="str">
        <f>IF(OR($B74="",$A74&lt;114),"",--MID('Key Analysis'!$C70,114,1))</f>
        <v/>
      </c>
      <c r="IS74" s="29" t="str">
        <f>IF(OR($B74="",$A74&lt;115),"",--MID('Key Analysis'!$C70,115,1))</f>
        <v/>
      </c>
      <c r="IT74" s="29" t="str">
        <f>IF(OR($B74="",$A74&lt;116),"",--MID('Key Analysis'!$C70,116,1))</f>
        <v/>
      </c>
      <c r="IU74" s="29" t="str">
        <f>IF(OR($B74="",$A74&lt;117),"",--MID('Key Analysis'!$C70,117,1))</f>
        <v/>
      </c>
      <c r="IV74" s="29" t="str">
        <f>IF(OR($B74="",$A74&lt;118),"",--MID('Key Analysis'!$C70,118,1))</f>
        <v/>
      </c>
      <c r="IW74" s="29" t="str">
        <f>IF(OR($B74="",$A74&lt;119),"",--MID('Key Analysis'!$C70,119,1))</f>
        <v/>
      </c>
      <c r="IX74" s="29" t="str">
        <f>IF(OR($B74="",$A74&lt;120),"",--MID('Key Analysis'!$C70,120,1))</f>
        <v/>
      </c>
      <c r="IY74" s="29" t="str">
        <f>IF(OR($B74="",$A74&lt;121),"",--MID('Key Analysis'!$C70,121,1))</f>
        <v/>
      </c>
      <c r="IZ74" s="29" t="str">
        <f>IF(OR($B74="",$A74&lt;122),"",--MID('Key Analysis'!$C70,122,1))</f>
        <v/>
      </c>
      <c r="JA74" s="29" t="str">
        <f>IF(OR($B74="",$A74&lt;123),"",--MID('Key Analysis'!$C70,123,1))</f>
        <v/>
      </c>
      <c r="JB74" s="29" t="str">
        <f>IF(OR($B74="",$A74&lt;124),"",--MID('Key Analysis'!$C70,124,1))</f>
        <v/>
      </c>
      <c r="JC74" s="29" t="str">
        <f>IF(OR($B74="",$A74&lt;125),"",--MID('Key Analysis'!$C70,125,1))</f>
        <v/>
      </c>
      <c r="JD74" s="29" t="str">
        <f>IF(OR($B74="",$A74&lt;126),"",--MID('Key Analysis'!$C70,126,1))</f>
        <v/>
      </c>
      <c r="JE74" s="29" t="str">
        <f>IF(OR($B74="",$A74&lt;127),"",--MID('Key Analysis'!$C70,127,1))</f>
        <v/>
      </c>
      <c r="JF74" s="29" t="str">
        <f>IF(OR($B74="",$A74&lt;128),"",--MID('Key Analysis'!$C70,128,1))</f>
        <v/>
      </c>
      <c r="JG74" s="29" t="str">
        <f>IF(OR($B74="",$A74&lt;129),"",--MID('Key Analysis'!$C70,129,1))</f>
        <v/>
      </c>
      <c r="JH74" s="29" t="str">
        <f>IF(OR($B74="",$A74&lt;130),"",--MID('Key Analysis'!$C70,130,1))</f>
        <v/>
      </c>
      <c r="JI74" s="29" t="str">
        <f>IF(OR($B74="",$A74&lt;131),"",--MID('Key Analysis'!$C70,131,1))</f>
        <v/>
      </c>
      <c r="JJ74" s="29" t="str">
        <f>IF(OR($B74="",$A74&lt;132),"",--MID('Key Analysis'!$C70,132,1))</f>
        <v/>
      </c>
      <c r="JK74" s="29" t="str">
        <f>IF(OR($B74="",$A74&lt;133),"",--MID('Key Analysis'!$C70,133,1))</f>
        <v/>
      </c>
      <c r="JL74" s="29" t="str">
        <f>IF(OR($B74="",$A74&lt;134),"",--MID('Key Analysis'!$C70,134,1))</f>
        <v/>
      </c>
      <c r="JM74" s="29" t="str">
        <f>IF(OR($B74="",$A74&lt;135),"",--MID('Key Analysis'!$C70,135,1))</f>
        <v/>
      </c>
    </row>
    <row r="75" spans="1:273" x14ac:dyDescent="0.25">
      <c r="A75" s="21">
        <f>'Key Analysis'!A71</f>
        <v>70</v>
      </c>
      <c r="B75" s="30" t="str">
        <f>'Key Analysis'!B71</f>
        <v>349b84b6431a6c4ef1</v>
      </c>
      <c r="C75" s="29">
        <f>IF(OR($B75="",$A75&lt;=0),"",--MID('Key Analysis'!$C71,$A75-0,1))</f>
        <v>1</v>
      </c>
      <c r="D75" s="29">
        <f>IF(OR($B75="",$A75&lt;=1),"",--MID('Key Analysis'!$C71,$A75-1,1))</f>
        <v>0</v>
      </c>
      <c r="E75" s="29">
        <f>IF(OR($B75="",$A75&lt;=2),"",--MID('Key Analysis'!$C71,$A75-2,1))</f>
        <v>0</v>
      </c>
      <c r="F75" s="29">
        <f>IF(OR($B75="",$A75&lt;=3),"",--MID('Key Analysis'!$C71,$A75-3,1))</f>
        <v>0</v>
      </c>
      <c r="G75" s="29">
        <f>IF(OR($B75="",$A75&lt;=4),"",--MID('Key Analysis'!$C71,$A75-4,1))</f>
        <v>1</v>
      </c>
      <c r="H75" s="29">
        <f>IF(OR($B75="",$A75&lt;=5),"",--MID('Key Analysis'!$C71,$A75-5,1))</f>
        <v>1</v>
      </c>
      <c r="I75" s="29">
        <f>IF(OR($B75="",$A75&lt;=6),"",--MID('Key Analysis'!$C71,$A75-6,1))</f>
        <v>1</v>
      </c>
      <c r="J75" s="29">
        <f>IF(OR($B75="",$A75&lt;=7),"",--MID('Key Analysis'!$C71,$A75-7,1))</f>
        <v>1</v>
      </c>
      <c r="K75" s="29">
        <f>IF(OR($B75="",$A75&lt;=8),"",--MID('Key Analysis'!$C71,$A75-8,1))</f>
        <v>0</v>
      </c>
      <c r="L75" s="29">
        <f>IF(OR($B75="",$A75&lt;=9),"",--MID('Key Analysis'!$C71,$A75-9,1))</f>
        <v>1</v>
      </c>
      <c r="M75" s="29">
        <f>IF(OR($B75="",$A75&lt;=10),"",--MID('Key Analysis'!$C71,$A75-10,1))</f>
        <v>1</v>
      </c>
      <c r="N75" s="29">
        <f>IF(OR($B75="",$A75&lt;=11),"",--MID('Key Analysis'!$C71,$A75-11,1))</f>
        <v>1</v>
      </c>
      <c r="O75" s="29">
        <f>IF(OR($B75="",$A75&lt;=12),"",--MID('Key Analysis'!$C71,$A75-12,1))</f>
        <v>0</v>
      </c>
      <c r="P75" s="29">
        <f>IF(OR($B75="",$A75&lt;=13),"",--MID('Key Analysis'!$C71,$A75-13,1))</f>
        <v>0</v>
      </c>
      <c r="Q75" s="29">
        <f>IF(OR($B75="",$A75&lt;=14),"",--MID('Key Analysis'!$C71,$A75-14,1))</f>
        <v>1</v>
      </c>
      <c r="R75" s="29">
        <f>IF(OR($B75="",$A75&lt;=15),"",--MID('Key Analysis'!$C71,$A75-15,1))</f>
        <v>0</v>
      </c>
      <c r="S75" s="29">
        <f>IF(OR($B75="",$A75&lt;=16),"",--MID('Key Analysis'!$C71,$A75-16,1))</f>
        <v>0</v>
      </c>
      <c r="T75" s="29">
        <f>IF(OR($B75="",$A75&lt;=17),"",--MID('Key Analysis'!$C71,$A75-17,1))</f>
        <v>0</v>
      </c>
      <c r="U75" s="29">
        <f>IF(OR($B75="",$A75&lt;=18),"",--MID('Key Analysis'!$C71,$A75-18,1))</f>
        <v>1</v>
      </c>
      <c r="V75" s="29">
        <f>IF(OR($B75="",$A75&lt;=19),"",--MID('Key Analysis'!$C71,$A75-19,1))</f>
        <v>1</v>
      </c>
      <c r="W75" s="29">
        <f>IF(OR($B75="",$A75&lt;=20),"",--MID('Key Analysis'!$C71,$A75-20,1))</f>
        <v>0</v>
      </c>
      <c r="X75" s="29">
        <f>IF(OR($B75="",$A75&lt;=21),"",--MID('Key Analysis'!$C71,$A75-21,1))</f>
        <v>1</v>
      </c>
      <c r="Y75" s="29">
        <f>IF(OR($B75="",$A75&lt;=22),"",--MID('Key Analysis'!$C71,$A75-22,1))</f>
        <v>1</v>
      </c>
      <c r="Z75" s="29">
        <f>IF(OR($B75="",$A75&lt;=23),"",--MID('Key Analysis'!$C71,$A75-23,1))</f>
        <v>0</v>
      </c>
      <c r="AA75" s="29">
        <f>IF(OR($B75="",$A75&lt;=24),"",--MID('Key Analysis'!$C71,$A75-24,1))</f>
        <v>0</v>
      </c>
      <c r="AB75" s="29">
        <f>IF(OR($B75="",$A75&lt;=25),"",--MID('Key Analysis'!$C71,$A75-25,1))</f>
        <v>1</v>
      </c>
      <c r="AC75" s="29">
        <f>IF(OR($B75="",$A75&lt;=26),"",--MID('Key Analysis'!$C71,$A75-26,1))</f>
        <v>0</v>
      </c>
      <c r="AD75" s="29">
        <f>IF(OR($B75="",$A75&lt;=27),"",--MID('Key Analysis'!$C71,$A75-27,1))</f>
        <v>1</v>
      </c>
      <c r="AE75" s="29">
        <f>IF(OR($B75="",$A75&lt;=28),"",--MID('Key Analysis'!$C71,$A75-28,1))</f>
        <v>1</v>
      </c>
      <c r="AF75" s="29">
        <f>IF(OR($B75="",$A75&lt;=29),"",--MID('Key Analysis'!$C71,$A75-29,1))</f>
        <v>0</v>
      </c>
      <c r="AG75" s="29">
        <f>IF(OR($B75="",$A75&lt;=30),"",--MID('Key Analysis'!$C71,$A75-30,1))</f>
        <v>0</v>
      </c>
      <c r="AH75" s="29">
        <f>IF(OR($B75="",$A75&lt;=31),"",--MID('Key Analysis'!$C71,$A75-31,1))</f>
        <v>0</v>
      </c>
      <c r="AI75" s="29">
        <f>IF(OR($B75="",$A75&lt;=32),"",--MID('Key Analysis'!$C71,$A75-32,1))</f>
        <v>1</v>
      </c>
      <c r="AJ75" s="29">
        <f>IF(OR($B75="",$A75&lt;=33),"",--MID('Key Analysis'!$C71,$A75-33,1))</f>
        <v>1</v>
      </c>
      <c r="AK75" s="29">
        <f>IF(OR($B75="",$A75&lt;=34),"",--MID('Key Analysis'!$C71,$A75-34,1))</f>
        <v>0</v>
      </c>
      <c r="AL75" s="29">
        <f>IF(OR($B75="",$A75&lt;=35),"",--MID('Key Analysis'!$C71,$A75-35,1))</f>
        <v>0</v>
      </c>
      <c r="AM75" s="29">
        <f>IF(OR($B75="",$A75&lt;=36),"",--MID('Key Analysis'!$C71,$A75-36,1))</f>
        <v>0</v>
      </c>
      <c r="AN75" s="29">
        <f>IF(OR($B75="",$A75&lt;=37),"",--MID('Key Analysis'!$C71,$A75-37,1))</f>
        <v>0</v>
      </c>
      <c r="AO75" s="29">
        <f>IF(OR($B75="",$A75&lt;=38),"",--MID('Key Analysis'!$C71,$A75-38,1))</f>
        <v>1</v>
      </c>
      <c r="AP75" s="29">
        <f>IF(OR($B75="",$A75&lt;=39),"",--MID('Key Analysis'!$C71,$A75-39,1))</f>
        <v>0</v>
      </c>
      <c r="AQ75" s="29">
        <f>IF(OR($B75="",$A75&lt;=40),"",--MID('Key Analysis'!$C71,$A75-40,1))</f>
        <v>0</v>
      </c>
      <c r="AR75" s="29">
        <f>IF(OR($B75="",$A75&lt;=41),"",--MID('Key Analysis'!$C71,$A75-41,1))</f>
        <v>1</v>
      </c>
      <c r="AS75" s="29">
        <f>IF(OR($B75="",$A75&lt;=42),"",--MID('Key Analysis'!$C71,$A75-42,1))</f>
        <v>1</v>
      </c>
      <c r="AT75" s="29">
        <f>IF(OR($B75="",$A75&lt;=43),"",--MID('Key Analysis'!$C71,$A75-43,1))</f>
        <v>0</v>
      </c>
      <c r="AU75" s="29">
        <f>IF(OR($B75="",$A75&lt;=44),"",--MID('Key Analysis'!$C71,$A75-44,1))</f>
        <v>1</v>
      </c>
      <c r="AV75" s="29">
        <f>IF(OR($B75="",$A75&lt;=45),"",--MID('Key Analysis'!$C71,$A75-45,1))</f>
        <v>1</v>
      </c>
      <c r="AW75" s="29">
        <f>IF(OR($B75="",$A75&lt;=46),"",--MID('Key Analysis'!$C71,$A75-46,1))</f>
        <v>0</v>
      </c>
      <c r="AX75" s="29">
        <f>IF(OR($B75="",$A75&lt;=47),"",--MID('Key Analysis'!$C71,$A75-47,1))</f>
        <v>1</v>
      </c>
      <c r="AY75" s="29">
        <f>IF(OR($B75="",$A75&lt;=48),"",--MID('Key Analysis'!$C71,$A75-48,1))</f>
        <v>0</v>
      </c>
      <c r="AZ75" s="29">
        <f>IF(OR($B75="",$A75&lt;=49),"",--MID('Key Analysis'!$C71,$A75-49,1))</f>
        <v>0</v>
      </c>
      <c r="BA75" s="29">
        <f>IF(OR($B75="",$A75&lt;=50),"",--MID('Key Analysis'!$C71,$A75-50,1))</f>
        <v>1</v>
      </c>
      <c r="BB75" s="29">
        <f>IF(OR($B75="",$A75&lt;=51),"",--MID('Key Analysis'!$C71,$A75-51,1))</f>
        <v>0</v>
      </c>
      <c r="BC75" s="29">
        <f>IF(OR($B75="",$A75&lt;=52),"",--MID('Key Analysis'!$C71,$A75-52,1))</f>
        <v>0</v>
      </c>
      <c r="BD75" s="29">
        <f>IF(OR($B75="",$A75&lt;=53),"",--MID('Key Analysis'!$C71,$A75-53,1))</f>
        <v>0</v>
      </c>
      <c r="BE75" s="29">
        <f>IF(OR($B75="",$A75&lt;=54),"",--MID('Key Analysis'!$C71,$A75-54,1))</f>
        <v>0</v>
      </c>
      <c r="BF75" s="29">
        <f>IF(OR($B75="",$A75&lt;=55),"",--MID('Key Analysis'!$C71,$A75-55,1))</f>
        <v>1</v>
      </c>
      <c r="BG75" s="29">
        <f>IF(OR($B75="",$A75&lt;=56),"",--MID('Key Analysis'!$C71,$A75-56,1))</f>
        <v>1</v>
      </c>
      <c r="BH75" s="29">
        <f>IF(OR($B75="",$A75&lt;=57),"",--MID('Key Analysis'!$C71,$A75-57,1))</f>
        <v>1</v>
      </c>
      <c r="BI75" s="29">
        <f>IF(OR($B75="",$A75&lt;=58),"",--MID('Key Analysis'!$C71,$A75-58,1))</f>
        <v>0</v>
      </c>
      <c r="BJ75" s="29">
        <f>IF(OR($B75="",$A75&lt;=59),"",--MID('Key Analysis'!$C71,$A75-59,1))</f>
        <v>1</v>
      </c>
      <c r="BK75" s="29">
        <f>IF(OR($B75="",$A75&lt;=60),"",--MID('Key Analysis'!$C71,$A75-60,1))</f>
        <v>1</v>
      </c>
      <c r="BL75" s="29">
        <f>IF(OR($B75="",$A75&lt;=61),"",--MID('Key Analysis'!$C71,$A75-61,1))</f>
        <v>0</v>
      </c>
      <c r="BM75" s="29">
        <f>IF(OR($B75="",$A75&lt;=62),"",--MID('Key Analysis'!$C71,$A75-62,1))</f>
        <v>0</v>
      </c>
      <c r="BN75" s="29">
        <f>IF(OR($B75="",$A75&lt;=63),"",--MID('Key Analysis'!$C71,$A75-63,1))</f>
        <v>1</v>
      </c>
      <c r="BO75" s="29">
        <f>IF(OR($B75="",$A75&lt;=64),"",--MID('Key Analysis'!$C71,$A75-64,1))</f>
        <v>0</v>
      </c>
      <c r="BP75" s="29">
        <f>IF(OR($B75="",$A75&lt;=65),"",--MID('Key Analysis'!$C71,$A75-65,1))</f>
        <v>0</v>
      </c>
      <c r="BQ75" s="29">
        <f>IF(OR($B75="",$A75&lt;=66),"",--MID('Key Analysis'!$C71,$A75-66,1))</f>
        <v>1</v>
      </c>
      <c r="BR75" s="29">
        <f>IF(OR($B75="",$A75&lt;=67),"",--MID('Key Analysis'!$C71,$A75-67,1))</f>
        <v>0</v>
      </c>
      <c r="BS75" s="29">
        <f>IF(OR($B75="",$A75&lt;=68),"",--MID('Key Analysis'!$C71,$A75-68,1))</f>
        <v>1</v>
      </c>
      <c r="BT75" s="29">
        <f>IF(OR($B75="",$A75&lt;=69),"",--MID('Key Analysis'!$C71,$A75-69,1))</f>
        <v>1</v>
      </c>
      <c r="BU75" s="29" t="str">
        <f>IF(OR($B75="",$A75&lt;=70),"",--MID('Key Analysis'!$C71,$A75-70,1))</f>
        <v/>
      </c>
      <c r="BV75" s="29" t="str">
        <f>IF(OR($B75="",$A75&lt;=71),"",--MID('Key Analysis'!$C71,$A75-71,1))</f>
        <v/>
      </c>
      <c r="BW75" s="29" t="str">
        <f>IF(OR($B75="",$A75&lt;=72),"",--MID('Key Analysis'!$C71,$A75-72,1))</f>
        <v/>
      </c>
      <c r="BX75" s="29" t="str">
        <f>IF(OR($B75="",$A75&lt;=73),"",--MID('Key Analysis'!$C71,$A75-73,1))</f>
        <v/>
      </c>
      <c r="BY75" s="29" t="str">
        <f>IF(OR($B75="",$A75&lt;=74),"",--MID('Key Analysis'!$C71,$A75-74,1))</f>
        <v/>
      </c>
      <c r="BZ75" s="29" t="str">
        <f>IF(OR($B75="",$A75&lt;=75),"",--MID('Key Analysis'!$C71,$A75-75,1))</f>
        <v/>
      </c>
      <c r="CA75" s="29" t="str">
        <f>IF(OR($B75="",$A75&lt;=76),"",--MID('Key Analysis'!$C71,$A75-76,1))</f>
        <v/>
      </c>
      <c r="CB75" s="29" t="str">
        <f>IF(OR($B75="",$A75&lt;=77),"",--MID('Key Analysis'!$C71,$A75-77,1))</f>
        <v/>
      </c>
      <c r="CC75" s="29" t="str">
        <f>IF(OR($B75="",$A75&lt;=78),"",--MID('Key Analysis'!$C71,$A75-78,1))</f>
        <v/>
      </c>
      <c r="CD75" s="29" t="str">
        <f>IF(OR($B75="",$A75&lt;=79),"",--MID('Key Analysis'!$C71,$A75-79,1))</f>
        <v/>
      </c>
      <c r="CE75" s="29" t="str">
        <f>IF(OR($B75="",$A75&lt;=80),"",--MID('Key Analysis'!$C71,$A75-80,1))</f>
        <v/>
      </c>
      <c r="CF75" s="29" t="str">
        <f>IF(OR($B75="",$A75&lt;=81),"",--MID('Key Analysis'!$C71,$A75-81,1))</f>
        <v/>
      </c>
      <c r="CG75" s="29" t="str">
        <f>IF(OR($B75="",$A75&lt;=82),"",--MID('Key Analysis'!$C71,$A75-82,1))</f>
        <v/>
      </c>
      <c r="CH75" s="29" t="str">
        <f>IF(OR($B75="",$A75&lt;=83),"",--MID('Key Analysis'!$C71,$A75-83,1))</f>
        <v/>
      </c>
      <c r="CI75" s="29" t="str">
        <f>IF(OR($B75="",$A75&lt;=84),"",--MID('Key Analysis'!$C71,$A75-84,1))</f>
        <v/>
      </c>
      <c r="CJ75" s="29" t="str">
        <f>IF(OR($B75="",$A75&lt;=85),"",--MID('Key Analysis'!$C71,$A75-85,1))</f>
        <v/>
      </c>
      <c r="CK75" s="29" t="str">
        <f>IF(OR($B75="",$A75&lt;=86),"",--MID('Key Analysis'!$C71,$A75-86,1))</f>
        <v/>
      </c>
      <c r="CL75" s="29" t="str">
        <f>IF(OR($B75="",$A75&lt;=87),"",--MID('Key Analysis'!$C71,$A75-87,1))</f>
        <v/>
      </c>
      <c r="CM75" s="29" t="str">
        <f>IF(OR($B75="",$A75&lt;=88),"",--MID('Key Analysis'!$C71,$A75-88,1))</f>
        <v/>
      </c>
      <c r="CN75" s="29" t="str">
        <f>IF(OR($B75="",$A75&lt;=89),"",--MID('Key Analysis'!$C71,$A75-89,1))</f>
        <v/>
      </c>
      <c r="CO75" s="29" t="str">
        <f>IF(OR($B75="",$A75&lt;=90),"",--MID('Key Analysis'!$C71,$A75-90,1))</f>
        <v/>
      </c>
      <c r="CP75" s="29" t="str">
        <f>IF(OR($B75="",$A75&lt;=91),"",--MID('Key Analysis'!$C71,$A75-91,1))</f>
        <v/>
      </c>
      <c r="CQ75" s="29" t="str">
        <f>IF(OR($B75="",$A75&lt;=92),"",--MID('Key Analysis'!$C71,$A75-92,1))</f>
        <v/>
      </c>
      <c r="CR75" s="29" t="str">
        <f>IF(OR($B75="",$A75&lt;=93),"",--MID('Key Analysis'!$C71,$A75-93,1))</f>
        <v/>
      </c>
      <c r="CS75" s="29" t="str">
        <f>IF(OR($B75="",$A75&lt;=94),"",--MID('Key Analysis'!$C71,$A75-94,1))</f>
        <v/>
      </c>
      <c r="CT75" s="29" t="str">
        <f>IF(OR($B75="",$A75&lt;=95),"",--MID('Key Analysis'!$C71,$A75-95,1))</f>
        <v/>
      </c>
      <c r="CU75" s="29" t="str">
        <f>IF(OR($B75="",$A75&lt;=96),"",--MID('Key Analysis'!$C71,$A75-96,1))</f>
        <v/>
      </c>
      <c r="CV75" s="29" t="str">
        <f>IF(OR($B75="",$A75&lt;=97),"",--MID('Key Analysis'!$C71,$A75-97,1))</f>
        <v/>
      </c>
      <c r="CW75" s="29" t="str">
        <f>IF(OR($B75="",$A75&lt;=98),"",--MID('Key Analysis'!$C71,$A75-98,1))</f>
        <v/>
      </c>
      <c r="CX75" s="29" t="str">
        <f>IF(OR($B75="",$A75&lt;=99),"",--MID('Key Analysis'!$C71,$A75-99,1))</f>
        <v/>
      </c>
      <c r="CY75" s="29" t="str">
        <f>IF(OR($B75="",$A75&lt;=100),"",--MID('Key Analysis'!$C71,$A75-100,1))</f>
        <v/>
      </c>
      <c r="CZ75" s="29" t="str">
        <f>IF(OR($B75="",$A75&lt;=101),"",--MID('Key Analysis'!$C71,$A75-101,1))</f>
        <v/>
      </c>
      <c r="DA75" s="29" t="str">
        <f>IF(OR($B75="",$A75&lt;=102),"",--MID('Key Analysis'!$C71,$A75-102,1))</f>
        <v/>
      </c>
      <c r="DB75" s="29" t="str">
        <f>IF(OR($B75="",$A75&lt;=103),"",--MID('Key Analysis'!$C71,$A75-103,1))</f>
        <v/>
      </c>
      <c r="DC75" s="29" t="str">
        <f>IF(OR($B75="",$A75&lt;=104),"",--MID('Key Analysis'!$C71,$A75-104,1))</f>
        <v/>
      </c>
      <c r="DD75" s="29" t="str">
        <f>IF(OR($B75="",$A75&lt;=105),"",--MID('Key Analysis'!$C71,$A75-105,1))</f>
        <v/>
      </c>
      <c r="DE75" s="29" t="str">
        <f>IF(OR($B75="",$A75&lt;=106),"",--MID('Key Analysis'!$C71,$A75-106,1))</f>
        <v/>
      </c>
      <c r="DF75" s="29" t="str">
        <f>IF(OR($B75="",$A75&lt;=107),"",--MID('Key Analysis'!$C71,$A75-107,1))</f>
        <v/>
      </c>
      <c r="DG75" s="29" t="str">
        <f>IF(OR($B75="",$A75&lt;=108),"",--MID('Key Analysis'!$C71,$A75-108,1))</f>
        <v/>
      </c>
      <c r="DH75" s="29" t="str">
        <f>IF(OR($B75="",$A75&lt;=109),"",--MID('Key Analysis'!$C71,$A75-109,1))</f>
        <v/>
      </c>
      <c r="DI75" s="29" t="str">
        <f>IF(OR($B75="",$A75&lt;=110),"",--MID('Key Analysis'!$C71,$A75-110,1))</f>
        <v/>
      </c>
      <c r="DJ75" s="29" t="str">
        <f>IF(OR($B75="",$A75&lt;=111),"",--MID('Key Analysis'!$C71,$A75-111,1))</f>
        <v/>
      </c>
      <c r="DK75" s="29" t="str">
        <f>IF(OR($B75="",$A75&lt;=112),"",--MID('Key Analysis'!$C71,$A75-112,1))</f>
        <v/>
      </c>
      <c r="DL75" s="29" t="str">
        <f>IF(OR($B75="",$A75&lt;=113),"",--MID('Key Analysis'!$C71,$A75-113,1))</f>
        <v/>
      </c>
      <c r="DM75" s="29" t="str">
        <f>IF(OR($B75="",$A75&lt;=114),"",--MID('Key Analysis'!$C71,$A75-114,1))</f>
        <v/>
      </c>
      <c r="DN75" s="29" t="str">
        <f>IF(OR($B75="",$A75&lt;=115),"",--MID('Key Analysis'!$C71,$A75-115,1))</f>
        <v/>
      </c>
      <c r="DO75" s="29" t="str">
        <f>IF(OR($B75="",$A75&lt;=116),"",--MID('Key Analysis'!$C71,$A75-116,1))</f>
        <v/>
      </c>
      <c r="DP75" s="29" t="str">
        <f>IF(OR($B75="",$A75&lt;=117),"",--MID('Key Analysis'!$C71,$A75-117,1))</f>
        <v/>
      </c>
      <c r="DQ75" s="29" t="str">
        <f>IF(OR($B75="",$A75&lt;=118),"",--MID('Key Analysis'!$C71,$A75-118,1))</f>
        <v/>
      </c>
      <c r="DR75" s="29" t="str">
        <f>IF(OR($B75="",$A75&lt;=119),"",--MID('Key Analysis'!$C71,$A75-119,1))</f>
        <v/>
      </c>
      <c r="DS75" s="29" t="str">
        <f>IF(OR($B75="",$A75&lt;=120),"",--MID('Key Analysis'!$C71,$A75-120,1))</f>
        <v/>
      </c>
      <c r="DT75" s="29" t="str">
        <f>IF(OR($B75="",$A75&lt;=121),"",--MID('Key Analysis'!$C71,$A75-121,1))</f>
        <v/>
      </c>
      <c r="DU75" s="29" t="str">
        <f>IF(OR($B75="",$A75&lt;=122),"",--MID('Key Analysis'!$C71,$A75-122,1))</f>
        <v/>
      </c>
      <c r="DV75" s="29" t="str">
        <f>IF(OR($B75="",$A75&lt;=123),"",--MID('Key Analysis'!$C71,$A75-123,1))</f>
        <v/>
      </c>
      <c r="DW75" s="29" t="str">
        <f>IF(OR($B75="",$A75&lt;=124),"",--MID('Key Analysis'!$C71,$A75-124,1))</f>
        <v/>
      </c>
      <c r="DX75" s="29" t="str">
        <f>IF(OR($B75="",$A75&lt;=125),"",--MID('Key Analysis'!$C71,$A75-125,1))</f>
        <v/>
      </c>
      <c r="DY75" s="29" t="str">
        <f>IF(OR($B75="",$A75&lt;=126),"",--MID('Key Analysis'!$C71,$A75-126,1))</f>
        <v/>
      </c>
      <c r="DZ75" s="29" t="str">
        <f>IF(OR($B75="",$A75&lt;=127),"",--MID('Key Analysis'!$C71,$A75-127,1))</f>
        <v/>
      </c>
      <c r="EA75" s="29" t="str">
        <f>IF(OR($B75="",$A75&lt;=128),"",--MID('Key Analysis'!$C71,$A75-128,1))</f>
        <v/>
      </c>
      <c r="EB75" s="29" t="str">
        <f>IF(OR($B75="",$A75&lt;=129),"",--MID('Key Analysis'!$C71,$A75-129,1))</f>
        <v/>
      </c>
      <c r="EC75" s="29" t="str">
        <f>IF(OR($B75="",$A75&lt;=130),"",--MID('Key Analysis'!$C71,$A75-130,1))</f>
        <v/>
      </c>
      <c r="ED75" s="29" t="str">
        <f>IF(OR($B75="",$A75&lt;=131),"",--MID('Key Analysis'!$C71,$A75-131,1))</f>
        <v/>
      </c>
      <c r="EE75" s="29" t="str">
        <f>IF(OR($B75="",$A75&lt;=132),"",--MID('Key Analysis'!$C71,$A75-132,1))</f>
        <v/>
      </c>
      <c r="EF75" s="29" t="str">
        <f>IF(OR($B75="",$A75&lt;=133),"",--MID('Key Analysis'!$C71,$A75-133,1))</f>
        <v/>
      </c>
      <c r="EG75" s="29" t="str">
        <f>IF(OR($B75="",$A75&lt;=134),"",--MID('Key Analysis'!$C71,$A75-134,1))</f>
        <v/>
      </c>
      <c r="EH75" s="29"/>
      <c r="EI75" s="29">
        <f>IF(OR($B75="",$A75&lt;1),"",--MID('Key Analysis'!$C71,1,1))</f>
        <v>1</v>
      </c>
      <c r="EJ75" s="29">
        <f>IF(OR($B75="",$A75&lt;2),"",--MID('Key Analysis'!$C71,2,1))</f>
        <v>1</v>
      </c>
      <c r="EK75" s="29">
        <f>IF(OR($B75="",$A75&lt;3),"",--MID('Key Analysis'!$C71,3,1))</f>
        <v>0</v>
      </c>
      <c r="EL75" s="29">
        <f>IF(OR($B75="",$A75&lt;4),"",--MID('Key Analysis'!$C71,4,1))</f>
        <v>1</v>
      </c>
      <c r="EM75" s="29">
        <f>IF(OR($B75="",$A75&lt;5),"",--MID('Key Analysis'!$C71,5,1))</f>
        <v>0</v>
      </c>
      <c r="EN75" s="29">
        <f>IF(OR($B75="",$A75&lt;6),"",--MID('Key Analysis'!$C71,6,1))</f>
        <v>0</v>
      </c>
      <c r="EO75" s="29">
        <f>IF(OR($B75="",$A75&lt;7),"",--MID('Key Analysis'!$C71,7,1))</f>
        <v>1</v>
      </c>
      <c r="EP75" s="29">
        <f>IF(OR($B75="",$A75&lt;8),"",--MID('Key Analysis'!$C71,8,1))</f>
        <v>0</v>
      </c>
      <c r="EQ75" s="29">
        <f>IF(OR($B75="",$A75&lt;9),"",--MID('Key Analysis'!$C71,9,1))</f>
        <v>0</v>
      </c>
      <c r="ER75" s="29">
        <f>IF(OR($B75="",$A75&lt;10),"",--MID('Key Analysis'!$C71,10,1))</f>
        <v>1</v>
      </c>
      <c r="ES75" s="29">
        <f>IF(OR($B75="",$A75&lt;11),"",--MID('Key Analysis'!$C71,11,1))</f>
        <v>1</v>
      </c>
      <c r="ET75" s="29">
        <f>IF(OR($B75="",$A75&lt;12),"",--MID('Key Analysis'!$C71,12,1))</f>
        <v>0</v>
      </c>
      <c r="EU75" s="29">
        <f>IF(OR($B75="",$A75&lt;13),"",--MID('Key Analysis'!$C71,13,1))</f>
        <v>1</v>
      </c>
      <c r="EV75" s="29">
        <f>IF(OR($B75="",$A75&lt;14),"",--MID('Key Analysis'!$C71,14,1))</f>
        <v>1</v>
      </c>
      <c r="EW75" s="29">
        <f>IF(OR($B75="",$A75&lt;15),"",--MID('Key Analysis'!$C71,15,1))</f>
        <v>1</v>
      </c>
      <c r="EX75" s="29">
        <f>IF(OR($B75="",$A75&lt;16),"",--MID('Key Analysis'!$C71,16,1))</f>
        <v>0</v>
      </c>
      <c r="EY75" s="29">
        <f>IF(OR($B75="",$A75&lt;17),"",--MID('Key Analysis'!$C71,17,1))</f>
        <v>0</v>
      </c>
      <c r="EZ75" s="29">
        <f>IF(OR($B75="",$A75&lt;18),"",--MID('Key Analysis'!$C71,18,1))</f>
        <v>0</v>
      </c>
      <c r="FA75" s="29">
        <f>IF(OR($B75="",$A75&lt;19),"",--MID('Key Analysis'!$C71,19,1))</f>
        <v>0</v>
      </c>
      <c r="FB75" s="29">
        <f>IF(OR($B75="",$A75&lt;20),"",--MID('Key Analysis'!$C71,20,1))</f>
        <v>1</v>
      </c>
      <c r="FC75" s="29">
        <f>IF(OR($B75="",$A75&lt;21),"",--MID('Key Analysis'!$C71,21,1))</f>
        <v>0</v>
      </c>
      <c r="FD75" s="29">
        <f>IF(OR($B75="",$A75&lt;22),"",--MID('Key Analysis'!$C71,22,1))</f>
        <v>0</v>
      </c>
      <c r="FE75" s="29">
        <f>IF(OR($B75="",$A75&lt;23),"",--MID('Key Analysis'!$C71,23,1))</f>
        <v>1</v>
      </c>
      <c r="FF75" s="29">
        <f>IF(OR($B75="",$A75&lt;24),"",--MID('Key Analysis'!$C71,24,1))</f>
        <v>0</v>
      </c>
      <c r="FG75" s="29">
        <f>IF(OR($B75="",$A75&lt;25),"",--MID('Key Analysis'!$C71,25,1))</f>
        <v>1</v>
      </c>
      <c r="FH75" s="29">
        <f>IF(OR($B75="",$A75&lt;26),"",--MID('Key Analysis'!$C71,26,1))</f>
        <v>1</v>
      </c>
      <c r="FI75" s="29">
        <f>IF(OR($B75="",$A75&lt;27),"",--MID('Key Analysis'!$C71,27,1))</f>
        <v>0</v>
      </c>
      <c r="FJ75" s="29">
        <f>IF(OR($B75="",$A75&lt;28),"",--MID('Key Analysis'!$C71,28,1))</f>
        <v>1</v>
      </c>
      <c r="FK75" s="29">
        <f>IF(OR($B75="",$A75&lt;29),"",--MID('Key Analysis'!$C71,29,1))</f>
        <v>1</v>
      </c>
      <c r="FL75" s="29">
        <f>IF(OR($B75="",$A75&lt;30),"",--MID('Key Analysis'!$C71,30,1))</f>
        <v>0</v>
      </c>
      <c r="FM75" s="29">
        <f>IF(OR($B75="",$A75&lt;31),"",--MID('Key Analysis'!$C71,31,1))</f>
        <v>0</v>
      </c>
      <c r="FN75" s="29">
        <f>IF(OR($B75="",$A75&lt;32),"",--MID('Key Analysis'!$C71,32,1))</f>
        <v>1</v>
      </c>
      <c r="FO75" s="29">
        <f>IF(OR($B75="",$A75&lt;33),"",--MID('Key Analysis'!$C71,33,1))</f>
        <v>0</v>
      </c>
      <c r="FP75" s="29">
        <f>IF(OR($B75="",$A75&lt;34),"",--MID('Key Analysis'!$C71,34,1))</f>
        <v>0</v>
      </c>
      <c r="FQ75" s="29">
        <f>IF(OR($B75="",$A75&lt;35),"",--MID('Key Analysis'!$C71,35,1))</f>
        <v>0</v>
      </c>
      <c r="FR75" s="29">
        <f>IF(OR($B75="",$A75&lt;36),"",--MID('Key Analysis'!$C71,36,1))</f>
        <v>0</v>
      </c>
      <c r="FS75" s="29">
        <f>IF(OR($B75="",$A75&lt;37),"",--MID('Key Analysis'!$C71,37,1))</f>
        <v>1</v>
      </c>
      <c r="FT75" s="29">
        <f>IF(OR($B75="",$A75&lt;38),"",--MID('Key Analysis'!$C71,38,1))</f>
        <v>1</v>
      </c>
      <c r="FU75" s="29">
        <f>IF(OR($B75="",$A75&lt;39),"",--MID('Key Analysis'!$C71,39,1))</f>
        <v>0</v>
      </c>
      <c r="FV75" s="29">
        <f>IF(OR($B75="",$A75&lt;40),"",--MID('Key Analysis'!$C71,40,1))</f>
        <v>0</v>
      </c>
      <c r="FW75" s="29">
        <f>IF(OR($B75="",$A75&lt;41),"",--MID('Key Analysis'!$C71,41,1))</f>
        <v>0</v>
      </c>
      <c r="FX75" s="29">
        <f>IF(OR($B75="",$A75&lt;42),"",--MID('Key Analysis'!$C71,42,1))</f>
        <v>1</v>
      </c>
      <c r="FY75" s="29">
        <f>IF(OR($B75="",$A75&lt;43),"",--MID('Key Analysis'!$C71,43,1))</f>
        <v>1</v>
      </c>
      <c r="FZ75" s="29">
        <f>IF(OR($B75="",$A75&lt;44),"",--MID('Key Analysis'!$C71,44,1))</f>
        <v>0</v>
      </c>
      <c r="GA75" s="29">
        <f>IF(OR($B75="",$A75&lt;45),"",--MID('Key Analysis'!$C71,45,1))</f>
        <v>1</v>
      </c>
      <c r="GB75" s="29">
        <f>IF(OR($B75="",$A75&lt;46),"",--MID('Key Analysis'!$C71,46,1))</f>
        <v>0</v>
      </c>
      <c r="GC75" s="29">
        <f>IF(OR($B75="",$A75&lt;47),"",--MID('Key Analysis'!$C71,47,1))</f>
        <v>0</v>
      </c>
      <c r="GD75" s="29">
        <f>IF(OR($B75="",$A75&lt;48),"",--MID('Key Analysis'!$C71,48,1))</f>
        <v>1</v>
      </c>
      <c r="GE75" s="29">
        <f>IF(OR($B75="",$A75&lt;49),"",--MID('Key Analysis'!$C71,49,1))</f>
        <v>1</v>
      </c>
      <c r="GF75" s="29">
        <f>IF(OR($B75="",$A75&lt;50),"",--MID('Key Analysis'!$C71,50,1))</f>
        <v>0</v>
      </c>
      <c r="GG75" s="29">
        <f>IF(OR($B75="",$A75&lt;51),"",--MID('Key Analysis'!$C71,51,1))</f>
        <v>1</v>
      </c>
      <c r="GH75" s="29">
        <f>IF(OR($B75="",$A75&lt;52),"",--MID('Key Analysis'!$C71,52,1))</f>
        <v>1</v>
      </c>
      <c r="GI75" s="29">
        <f>IF(OR($B75="",$A75&lt;53),"",--MID('Key Analysis'!$C71,53,1))</f>
        <v>0</v>
      </c>
      <c r="GJ75" s="29">
        <f>IF(OR($B75="",$A75&lt;54),"",--MID('Key Analysis'!$C71,54,1))</f>
        <v>0</v>
      </c>
      <c r="GK75" s="29">
        <f>IF(OR($B75="",$A75&lt;55),"",--MID('Key Analysis'!$C71,55,1))</f>
        <v>0</v>
      </c>
      <c r="GL75" s="29">
        <f>IF(OR($B75="",$A75&lt;56),"",--MID('Key Analysis'!$C71,56,1))</f>
        <v>1</v>
      </c>
      <c r="GM75" s="29">
        <f>IF(OR($B75="",$A75&lt;57),"",--MID('Key Analysis'!$C71,57,1))</f>
        <v>0</v>
      </c>
      <c r="GN75" s="29">
        <f>IF(OR($B75="",$A75&lt;58),"",--MID('Key Analysis'!$C71,58,1))</f>
        <v>0</v>
      </c>
      <c r="GO75" s="29">
        <f>IF(OR($B75="",$A75&lt;59),"",--MID('Key Analysis'!$C71,59,1))</f>
        <v>1</v>
      </c>
      <c r="GP75" s="29">
        <f>IF(OR($B75="",$A75&lt;60),"",--MID('Key Analysis'!$C71,60,1))</f>
        <v>1</v>
      </c>
      <c r="GQ75" s="29">
        <f>IF(OR($B75="",$A75&lt;61),"",--MID('Key Analysis'!$C71,61,1))</f>
        <v>1</v>
      </c>
      <c r="GR75" s="29">
        <f>IF(OR($B75="",$A75&lt;62),"",--MID('Key Analysis'!$C71,62,1))</f>
        <v>0</v>
      </c>
      <c r="GS75" s="29">
        <f>IF(OR($B75="",$A75&lt;63),"",--MID('Key Analysis'!$C71,63,1))</f>
        <v>1</v>
      </c>
      <c r="GT75" s="29">
        <f>IF(OR($B75="",$A75&lt;64),"",--MID('Key Analysis'!$C71,64,1))</f>
        <v>1</v>
      </c>
      <c r="GU75" s="29">
        <f>IF(OR($B75="",$A75&lt;65),"",--MID('Key Analysis'!$C71,65,1))</f>
        <v>1</v>
      </c>
      <c r="GV75" s="29">
        <f>IF(OR($B75="",$A75&lt;66),"",--MID('Key Analysis'!$C71,66,1))</f>
        <v>1</v>
      </c>
      <c r="GW75" s="29">
        <f>IF(OR($B75="",$A75&lt;67),"",--MID('Key Analysis'!$C71,67,1))</f>
        <v>0</v>
      </c>
      <c r="GX75" s="29">
        <f>IF(OR($B75="",$A75&lt;68),"",--MID('Key Analysis'!$C71,68,1))</f>
        <v>0</v>
      </c>
      <c r="GY75" s="29">
        <f>IF(OR($B75="",$A75&lt;69),"",--MID('Key Analysis'!$C71,69,1))</f>
        <v>0</v>
      </c>
      <c r="GZ75" s="29">
        <f>IF(OR($B75="",$A75&lt;70),"",--MID('Key Analysis'!$C71,70,1))</f>
        <v>1</v>
      </c>
      <c r="HA75" s="29" t="str">
        <f>IF(OR($B75="",$A75&lt;71),"",--MID('Key Analysis'!$C71,71,1))</f>
        <v/>
      </c>
      <c r="HB75" s="29" t="str">
        <f>IF(OR($B75="",$A75&lt;72),"",--MID('Key Analysis'!$C71,72,1))</f>
        <v/>
      </c>
      <c r="HC75" s="29" t="str">
        <f>IF(OR($B75="",$A75&lt;73),"",--MID('Key Analysis'!$C71,73,1))</f>
        <v/>
      </c>
      <c r="HD75" s="29" t="str">
        <f>IF(OR($B75="",$A75&lt;74),"",--MID('Key Analysis'!$C71,74,1))</f>
        <v/>
      </c>
      <c r="HE75" s="29" t="str">
        <f>IF(OR($B75="",$A75&lt;75),"",--MID('Key Analysis'!$C71,75,1))</f>
        <v/>
      </c>
      <c r="HF75" s="29" t="str">
        <f>IF(OR($B75="",$A75&lt;76),"",--MID('Key Analysis'!$C71,76,1))</f>
        <v/>
      </c>
      <c r="HG75" s="29" t="str">
        <f>IF(OR($B75="",$A75&lt;77),"",--MID('Key Analysis'!$C71,77,1))</f>
        <v/>
      </c>
      <c r="HH75" s="29" t="str">
        <f>IF(OR($B75="",$A75&lt;78),"",--MID('Key Analysis'!$C71,78,1))</f>
        <v/>
      </c>
      <c r="HI75" s="29" t="str">
        <f>IF(OR($B75="",$A75&lt;79),"",--MID('Key Analysis'!$C71,79,1))</f>
        <v/>
      </c>
      <c r="HJ75" s="29" t="str">
        <f>IF(OR($B75="",$A75&lt;80),"",--MID('Key Analysis'!$C71,80,1))</f>
        <v/>
      </c>
      <c r="HK75" s="29" t="str">
        <f>IF(OR($B75="",$A75&lt;81),"",--MID('Key Analysis'!$C71,81,1))</f>
        <v/>
      </c>
      <c r="HL75" s="29" t="str">
        <f>IF(OR($B75="",$A75&lt;82),"",--MID('Key Analysis'!$C71,82,1))</f>
        <v/>
      </c>
      <c r="HM75" s="29" t="str">
        <f>IF(OR($B75="",$A75&lt;83),"",--MID('Key Analysis'!$C71,83,1))</f>
        <v/>
      </c>
      <c r="HN75" s="29" t="str">
        <f>IF(OR($B75="",$A75&lt;84),"",--MID('Key Analysis'!$C71,84,1))</f>
        <v/>
      </c>
      <c r="HO75" s="29" t="str">
        <f>IF(OR($B75="",$A75&lt;85),"",--MID('Key Analysis'!$C71,85,1))</f>
        <v/>
      </c>
      <c r="HP75" s="29" t="str">
        <f>IF(OR($B75="",$A75&lt;86),"",--MID('Key Analysis'!$C71,86,1))</f>
        <v/>
      </c>
      <c r="HQ75" s="29" t="str">
        <f>IF(OR($B75="",$A75&lt;87),"",--MID('Key Analysis'!$C71,87,1))</f>
        <v/>
      </c>
      <c r="HR75" s="29" t="str">
        <f>IF(OR($B75="",$A75&lt;88),"",--MID('Key Analysis'!$C71,88,1))</f>
        <v/>
      </c>
      <c r="HS75" s="29" t="str">
        <f>IF(OR($B75="",$A75&lt;89),"",--MID('Key Analysis'!$C71,89,1))</f>
        <v/>
      </c>
      <c r="HT75" s="29" t="str">
        <f>IF(OR($B75="",$A75&lt;90),"",--MID('Key Analysis'!$C71,90,1))</f>
        <v/>
      </c>
      <c r="HU75" s="29" t="str">
        <f>IF(OR($B75="",$A75&lt;91),"",--MID('Key Analysis'!$C71,91,1))</f>
        <v/>
      </c>
      <c r="HV75" s="29" t="str">
        <f>IF(OR($B75="",$A75&lt;92),"",--MID('Key Analysis'!$C71,92,1))</f>
        <v/>
      </c>
      <c r="HW75" s="29" t="str">
        <f>IF(OR($B75="",$A75&lt;93),"",--MID('Key Analysis'!$C71,93,1))</f>
        <v/>
      </c>
      <c r="HX75" s="29" t="str">
        <f>IF(OR($B75="",$A75&lt;94),"",--MID('Key Analysis'!$C71,94,1))</f>
        <v/>
      </c>
      <c r="HY75" s="29" t="str">
        <f>IF(OR($B75="",$A75&lt;95),"",--MID('Key Analysis'!$C71,95,1))</f>
        <v/>
      </c>
      <c r="HZ75" s="29" t="str">
        <f>IF(OR($B75="",$A75&lt;96),"",--MID('Key Analysis'!$C71,96,1))</f>
        <v/>
      </c>
      <c r="IA75" s="29" t="str">
        <f>IF(OR($B75="",$A75&lt;97),"",--MID('Key Analysis'!$C71,97,1))</f>
        <v/>
      </c>
      <c r="IB75" s="29" t="str">
        <f>IF(OR($B75="",$A75&lt;98),"",--MID('Key Analysis'!$C71,98,1))</f>
        <v/>
      </c>
      <c r="IC75" s="29" t="str">
        <f>IF(OR($B75="",$A75&lt;99),"",--MID('Key Analysis'!$C71,99,1))</f>
        <v/>
      </c>
      <c r="ID75" s="29" t="str">
        <f>IF(OR($B75="",$A75&lt;100),"",--MID('Key Analysis'!$C71,100,1))</f>
        <v/>
      </c>
      <c r="IE75" s="29" t="str">
        <f>IF(OR($B75="",$A75&lt;101),"",--MID('Key Analysis'!$C71,101,1))</f>
        <v/>
      </c>
      <c r="IF75" s="29" t="str">
        <f>IF(OR($B75="",$A75&lt;102),"",--MID('Key Analysis'!$C71,102,1))</f>
        <v/>
      </c>
      <c r="IG75" s="29" t="str">
        <f>IF(OR($B75="",$A75&lt;103),"",--MID('Key Analysis'!$C71,103,1))</f>
        <v/>
      </c>
      <c r="IH75" s="29" t="str">
        <f>IF(OR($B75="",$A75&lt;104),"",--MID('Key Analysis'!$C71,104,1))</f>
        <v/>
      </c>
      <c r="II75" s="29" t="str">
        <f>IF(OR($B75="",$A75&lt;105),"",--MID('Key Analysis'!$C71,105,1))</f>
        <v/>
      </c>
      <c r="IJ75" s="29" t="str">
        <f>IF(OR($B75="",$A75&lt;106),"",--MID('Key Analysis'!$C71,106,1))</f>
        <v/>
      </c>
      <c r="IK75" s="29" t="str">
        <f>IF(OR($B75="",$A75&lt;107),"",--MID('Key Analysis'!$C71,107,1))</f>
        <v/>
      </c>
      <c r="IL75" s="29" t="str">
        <f>IF(OR($B75="",$A75&lt;108),"",--MID('Key Analysis'!$C71,108,1))</f>
        <v/>
      </c>
      <c r="IM75" s="29" t="str">
        <f>IF(OR($B75="",$A75&lt;109),"",--MID('Key Analysis'!$C71,109,1))</f>
        <v/>
      </c>
      <c r="IN75" s="29" t="str">
        <f>IF(OR($B75="",$A75&lt;110),"",--MID('Key Analysis'!$C71,110,1))</f>
        <v/>
      </c>
      <c r="IO75" s="29" t="str">
        <f>IF(OR($B75="",$A75&lt;111),"",--MID('Key Analysis'!$C71,111,1))</f>
        <v/>
      </c>
      <c r="IP75" s="29" t="str">
        <f>IF(OR($B75="",$A75&lt;112),"",--MID('Key Analysis'!$C71,112,1))</f>
        <v/>
      </c>
      <c r="IQ75" s="29" t="str">
        <f>IF(OR($B75="",$A75&lt;113),"",--MID('Key Analysis'!$C71,113,1))</f>
        <v/>
      </c>
      <c r="IR75" s="29" t="str">
        <f>IF(OR($B75="",$A75&lt;114),"",--MID('Key Analysis'!$C71,114,1))</f>
        <v/>
      </c>
      <c r="IS75" s="29" t="str">
        <f>IF(OR($B75="",$A75&lt;115),"",--MID('Key Analysis'!$C71,115,1))</f>
        <v/>
      </c>
      <c r="IT75" s="29" t="str">
        <f>IF(OR($B75="",$A75&lt;116),"",--MID('Key Analysis'!$C71,116,1))</f>
        <v/>
      </c>
      <c r="IU75" s="29" t="str">
        <f>IF(OR($B75="",$A75&lt;117),"",--MID('Key Analysis'!$C71,117,1))</f>
        <v/>
      </c>
      <c r="IV75" s="29" t="str">
        <f>IF(OR($B75="",$A75&lt;118),"",--MID('Key Analysis'!$C71,118,1))</f>
        <v/>
      </c>
      <c r="IW75" s="29" t="str">
        <f>IF(OR($B75="",$A75&lt;119),"",--MID('Key Analysis'!$C71,119,1))</f>
        <v/>
      </c>
      <c r="IX75" s="29" t="str">
        <f>IF(OR($B75="",$A75&lt;120),"",--MID('Key Analysis'!$C71,120,1))</f>
        <v/>
      </c>
      <c r="IY75" s="29" t="str">
        <f>IF(OR($B75="",$A75&lt;121),"",--MID('Key Analysis'!$C71,121,1))</f>
        <v/>
      </c>
      <c r="IZ75" s="29" t="str">
        <f>IF(OR($B75="",$A75&lt;122),"",--MID('Key Analysis'!$C71,122,1))</f>
        <v/>
      </c>
      <c r="JA75" s="29" t="str">
        <f>IF(OR($B75="",$A75&lt;123),"",--MID('Key Analysis'!$C71,123,1))</f>
        <v/>
      </c>
      <c r="JB75" s="29" t="str">
        <f>IF(OR($B75="",$A75&lt;124),"",--MID('Key Analysis'!$C71,124,1))</f>
        <v/>
      </c>
      <c r="JC75" s="29" t="str">
        <f>IF(OR($B75="",$A75&lt;125),"",--MID('Key Analysis'!$C71,125,1))</f>
        <v/>
      </c>
      <c r="JD75" s="29" t="str">
        <f>IF(OR($B75="",$A75&lt;126),"",--MID('Key Analysis'!$C71,126,1))</f>
        <v/>
      </c>
      <c r="JE75" s="29" t="str">
        <f>IF(OR($B75="",$A75&lt;127),"",--MID('Key Analysis'!$C71,127,1))</f>
        <v/>
      </c>
      <c r="JF75" s="29" t="str">
        <f>IF(OR($B75="",$A75&lt;128),"",--MID('Key Analysis'!$C71,128,1))</f>
        <v/>
      </c>
      <c r="JG75" s="29" t="str">
        <f>IF(OR($B75="",$A75&lt;129),"",--MID('Key Analysis'!$C71,129,1))</f>
        <v/>
      </c>
      <c r="JH75" s="29" t="str">
        <f>IF(OR($B75="",$A75&lt;130),"",--MID('Key Analysis'!$C71,130,1))</f>
        <v/>
      </c>
      <c r="JI75" s="29" t="str">
        <f>IF(OR($B75="",$A75&lt;131),"",--MID('Key Analysis'!$C71,131,1))</f>
        <v/>
      </c>
      <c r="JJ75" s="29" t="str">
        <f>IF(OR($B75="",$A75&lt;132),"",--MID('Key Analysis'!$C71,132,1))</f>
        <v/>
      </c>
      <c r="JK75" s="29" t="str">
        <f>IF(OR($B75="",$A75&lt;133),"",--MID('Key Analysis'!$C71,133,1))</f>
        <v/>
      </c>
      <c r="JL75" s="29" t="str">
        <f>IF(OR($B75="",$A75&lt;134),"",--MID('Key Analysis'!$C71,134,1))</f>
        <v/>
      </c>
      <c r="JM75" s="29" t="str">
        <f>IF(OR($B75="",$A75&lt;135),"",--MID('Key Analysis'!$C71,135,1))</f>
        <v/>
      </c>
    </row>
    <row r="76" spans="1:273" x14ac:dyDescent="0.25">
      <c r="A76" s="21">
        <f>'Key Analysis'!A72</f>
        <v>71</v>
      </c>
      <c r="B76" s="30" t="str">
        <f>'Key Analysis'!B72</f>
        <v/>
      </c>
      <c r="C76" s="29" t="str">
        <f>IF(OR($B76="",$A76&lt;=0),"",--MID('Key Analysis'!$C72,$A76-0,1))</f>
        <v/>
      </c>
      <c r="D76" s="29" t="str">
        <f>IF(OR($B76="",$A76&lt;=1),"",--MID('Key Analysis'!$C72,$A76-1,1))</f>
        <v/>
      </c>
      <c r="E76" s="29" t="str">
        <f>IF(OR($B76="",$A76&lt;=2),"",--MID('Key Analysis'!$C72,$A76-2,1))</f>
        <v/>
      </c>
      <c r="F76" s="29" t="str">
        <f>IF(OR($B76="",$A76&lt;=3),"",--MID('Key Analysis'!$C72,$A76-3,1))</f>
        <v/>
      </c>
      <c r="G76" s="29" t="str">
        <f>IF(OR($B76="",$A76&lt;=4),"",--MID('Key Analysis'!$C72,$A76-4,1))</f>
        <v/>
      </c>
      <c r="H76" s="29" t="str">
        <f>IF(OR($B76="",$A76&lt;=5),"",--MID('Key Analysis'!$C72,$A76-5,1))</f>
        <v/>
      </c>
      <c r="I76" s="29" t="str">
        <f>IF(OR($B76="",$A76&lt;=6),"",--MID('Key Analysis'!$C72,$A76-6,1))</f>
        <v/>
      </c>
      <c r="J76" s="29" t="str">
        <f>IF(OR($B76="",$A76&lt;=7),"",--MID('Key Analysis'!$C72,$A76-7,1))</f>
        <v/>
      </c>
      <c r="K76" s="29" t="str">
        <f>IF(OR($B76="",$A76&lt;=8),"",--MID('Key Analysis'!$C72,$A76-8,1))</f>
        <v/>
      </c>
      <c r="L76" s="29" t="str">
        <f>IF(OR($B76="",$A76&lt;=9),"",--MID('Key Analysis'!$C72,$A76-9,1))</f>
        <v/>
      </c>
      <c r="M76" s="29" t="str">
        <f>IF(OR($B76="",$A76&lt;=10),"",--MID('Key Analysis'!$C72,$A76-10,1))</f>
        <v/>
      </c>
      <c r="N76" s="29" t="str">
        <f>IF(OR($B76="",$A76&lt;=11),"",--MID('Key Analysis'!$C72,$A76-11,1))</f>
        <v/>
      </c>
      <c r="O76" s="29" t="str">
        <f>IF(OR($B76="",$A76&lt;=12),"",--MID('Key Analysis'!$C72,$A76-12,1))</f>
        <v/>
      </c>
      <c r="P76" s="29" t="str">
        <f>IF(OR($B76="",$A76&lt;=13),"",--MID('Key Analysis'!$C72,$A76-13,1))</f>
        <v/>
      </c>
      <c r="Q76" s="29" t="str">
        <f>IF(OR($B76="",$A76&lt;=14),"",--MID('Key Analysis'!$C72,$A76-14,1))</f>
        <v/>
      </c>
      <c r="R76" s="29" t="str">
        <f>IF(OR($B76="",$A76&lt;=15),"",--MID('Key Analysis'!$C72,$A76-15,1))</f>
        <v/>
      </c>
      <c r="S76" s="29" t="str">
        <f>IF(OR($B76="",$A76&lt;=16),"",--MID('Key Analysis'!$C72,$A76-16,1))</f>
        <v/>
      </c>
      <c r="T76" s="29" t="str">
        <f>IF(OR($B76="",$A76&lt;=17),"",--MID('Key Analysis'!$C72,$A76-17,1))</f>
        <v/>
      </c>
      <c r="U76" s="29" t="str">
        <f>IF(OR($B76="",$A76&lt;=18),"",--MID('Key Analysis'!$C72,$A76-18,1))</f>
        <v/>
      </c>
      <c r="V76" s="29" t="str">
        <f>IF(OR($B76="",$A76&lt;=19),"",--MID('Key Analysis'!$C72,$A76-19,1))</f>
        <v/>
      </c>
      <c r="W76" s="29" t="str">
        <f>IF(OR($B76="",$A76&lt;=20),"",--MID('Key Analysis'!$C72,$A76-20,1))</f>
        <v/>
      </c>
      <c r="X76" s="29" t="str">
        <f>IF(OR($B76="",$A76&lt;=21),"",--MID('Key Analysis'!$C72,$A76-21,1))</f>
        <v/>
      </c>
      <c r="Y76" s="29" t="str">
        <f>IF(OR($B76="",$A76&lt;=22),"",--MID('Key Analysis'!$C72,$A76-22,1))</f>
        <v/>
      </c>
      <c r="Z76" s="29" t="str">
        <f>IF(OR($B76="",$A76&lt;=23),"",--MID('Key Analysis'!$C72,$A76-23,1))</f>
        <v/>
      </c>
      <c r="AA76" s="29" t="str">
        <f>IF(OR($B76="",$A76&lt;=24),"",--MID('Key Analysis'!$C72,$A76-24,1))</f>
        <v/>
      </c>
      <c r="AB76" s="29" t="str">
        <f>IF(OR($B76="",$A76&lt;=25),"",--MID('Key Analysis'!$C72,$A76-25,1))</f>
        <v/>
      </c>
      <c r="AC76" s="29" t="str">
        <f>IF(OR($B76="",$A76&lt;=26),"",--MID('Key Analysis'!$C72,$A76-26,1))</f>
        <v/>
      </c>
      <c r="AD76" s="29" t="str">
        <f>IF(OR($B76="",$A76&lt;=27),"",--MID('Key Analysis'!$C72,$A76-27,1))</f>
        <v/>
      </c>
      <c r="AE76" s="29" t="str">
        <f>IF(OR($B76="",$A76&lt;=28),"",--MID('Key Analysis'!$C72,$A76-28,1))</f>
        <v/>
      </c>
      <c r="AF76" s="29" t="str">
        <f>IF(OR($B76="",$A76&lt;=29),"",--MID('Key Analysis'!$C72,$A76-29,1))</f>
        <v/>
      </c>
      <c r="AG76" s="29" t="str">
        <f>IF(OR($B76="",$A76&lt;=30),"",--MID('Key Analysis'!$C72,$A76-30,1))</f>
        <v/>
      </c>
      <c r="AH76" s="29" t="str">
        <f>IF(OR($B76="",$A76&lt;=31),"",--MID('Key Analysis'!$C72,$A76-31,1))</f>
        <v/>
      </c>
      <c r="AI76" s="29" t="str">
        <f>IF(OR($B76="",$A76&lt;=32),"",--MID('Key Analysis'!$C72,$A76-32,1))</f>
        <v/>
      </c>
      <c r="AJ76" s="29" t="str">
        <f>IF(OR($B76="",$A76&lt;=33),"",--MID('Key Analysis'!$C72,$A76-33,1))</f>
        <v/>
      </c>
      <c r="AK76" s="29" t="str">
        <f>IF(OR($B76="",$A76&lt;=34),"",--MID('Key Analysis'!$C72,$A76-34,1))</f>
        <v/>
      </c>
      <c r="AL76" s="29" t="str">
        <f>IF(OR($B76="",$A76&lt;=35),"",--MID('Key Analysis'!$C72,$A76-35,1))</f>
        <v/>
      </c>
      <c r="AM76" s="29" t="str">
        <f>IF(OR($B76="",$A76&lt;=36),"",--MID('Key Analysis'!$C72,$A76-36,1))</f>
        <v/>
      </c>
      <c r="AN76" s="29" t="str">
        <f>IF(OR($B76="",$A76&lt;=37),"",--MID('Key Analysis'!$C72,$A76-37,1))</f>
        <v/>
      </c>
      <c r="AO76" s="29" t="str">
        <f>IF(OR($B76="",$A76&lt;=38),"",--MID('Key Analysis'!$C72,$A76-38,1))</f>
        <v/>
      </c>
      <c r="AP76" s="29" t="str">
        <f>IF(OR($B76="",$A76&lt;=39),"",--MID('Key Analysis'!$C72,$A76-39,1))</f>
        <v/>
      </c>
      <c r="AQ76" s="29" t="str">
        <f>IF(OR($B76="",$A76&lt;=40),"",--MID('Key Analysis'!$C72,$A76-40,1))</f>
        <v/>
      </c>
      <c r="AR76" s="29" t="str">
        <f>IF(OR($B76="",$A76&lt;=41),"",--MID('Key Analysis'!$C72,$A76-41,1))</f>
        <v/>
      </c>
      <c r="AS76" s="29" t="str">
        <f>IF(OR($B76="",$A76&lt;=42),"",--MID('Key Analysis'!$C72,$A76-42,1))</f>
        <v/>
      </c>
      <c r="AT76" s="29" t="str">
        <f>IF(OR($B76="",$A76&lt;=43),"",--MID('Key Analysis'!$C72,$A76-43,1))</f>
        <v/>
      </c>
      <c r="AU76" s="29" t="str">
        <f>IF(OR($B76="",$A76&lt;=44),"",--MID('Key Analysis'!$C72,$A76-44,1))</f>
        <v/>
      </c>
      <c r="AV76" s="29" t="str">
        <f>IF(OR($B76="",$A76&lt;=45),"",--MID('Key Analysis'!$C72,$A76-45,1))</f>
        <v/>
      </c>
      <c r="AW76" s="29" t="str">
        <f>IF(OR($B76="",$A76&lt;=46),"",--MID('Key Analysis'!$C72,$A76-46,1))</f>
        <v/>
      </c>
      <c r="AX76" s="29" t="str">
        <f>IF(OR($B76="",$A76&lt;=47),"",--MID('Key Analysis'!$C72,$A76-47,1))</f>
        <v/>
      </c>
      <c r="AY76" s="29" t="str">
        <f>IF(OR($B76="",$A76&lt;=48),"",--MID('Key Analysis'!$C72,$A76-48,1))</f>
        <v/>
      </c>
      <c r="AZ76" s="29" t="str">
        <f>IF(OR($B76="",$A76&lt;=49),"",--MID('Key Analysis'!$C72,$A76-49,1))</f>
        <v/>
      </c>
      <c r="BA76" s="29" t="str">
        <f>IF(OR($B76="",$A76&lt;=50),"",--MID('Key Analysis'!$C72,$A76-50,1))</f>
        <v/>
      </c>
      <c r="BB76" s="29" t="str">
        <f>IF(OR($B76="",$A76&lt;=51),"",--MID('Key Analysis'!$C72,$A76-51,1))</f>
        <v/>
      </c>
      <c r="BC76" s="29" t="str">
        <f>IF(OR($B76="",$A76&lt;=52),"",--MID('Key Analysis'!$C72,$A76-52,1))</f>
        <v/>
      </c>
      <c r="BD76" s="29" t="str">
        <f>IF(OR($B76="",$A76&lt;=53),"",--MID('Key Analysis'!$C72,$A76-53,1))</f>
        <v/>
      </c>
      <c r="BE76" s="29" t="str">
        <f>IF(OR($B76="",$A76&lt;=54),"",--MID('Key Analysis'!$C72,$A76-54,1))</f>
        <v/>
      </c>
      <c r="BF76" s="29" t="str">
        <f>IF(OR($B76="",$A76&lt;=55),"",--MID('Key Analysis'!$C72,$A76-55,1))</f>
        <v/>
      </c>
      <c r="BG76" s="29" t="str">
        <f>IF(OR($B76="",$A76&lt;=56),"",--MID('Key Analysis'!$C72,$A76-56,1))</f>
        <v/>
      </c>
      <c r="BH76" s="29" t="str">
        <f>IF(OR($B76="",$A76&lt;=57),"",--MID('Key Analysis'!$C72,$A76-57,1))</f>
        <v/>
      </c>
      <c r="BI76" s="29" t="str">
        <f>IF(OR($B76="",$A76&lt;=58),"",--MID('Key Analysis'!$C72,$A76-58,1))</f>
        <v/>
      </c>
      <c r="BJ76" s="29" t="str">
        <f>IF(OR($B76="",$A76&lt;=59),"",--MID('Key Analysis'!$C72,$A76-59,1))</f>
        <v/>
      </c>
      <c r="BK76" s="29" t="str">
        <f>IF(OR($B76="",$A76&lt;=60),"",--MID('Key Analysis'!$C72,$A76-60,1))</f>
        <v/>
      </c>
      <c r="BL76" s="29" t="str">
        <f>IF(OR($B76="",$A76&lt;=61),"",--MID('Key Analysis'!$C72,$A76-61,1))</f>
        <v/>
      </c>
      <c r="BM76" s="29" t="str">
        <f>IF(OR($B76="",$A76&lt;=62),"",--MID('Key Analysis'!$C72,$A76-62,1))</f>
        <v/>
      </c>
      <c r="BN76" s="29" t="str">
        <f>IF(OR($B76="",$A76&lt;=63),"",--MID('Key Analysis'!$C72,$A76-63,1))</f>
        <v/>
      </c>
      <c r="BO76" s="29" t="str">
        <f>IF(OR($B76="",$A76&lt;=64),"",--MID('Key Analysis'!$C72,$A76-64,1))</f>
        <v/>
      </c>
      <c r="BP76" s="29" t="str">
        <f>IF(OR($B76="",$A76&lt;=65),"",--MID('Key Analysis'!$C72,$A76-65,1))</f>
        <v/>
      </c>
      <c r="BQ76" s="29" t="str">
        <f>IF(OR($B76="",$A76&lt;=66),"",--MID('Key Analysis'!$C72,$A76-66,1))</f>
        <v/>
      </c>
      <c r="BR76" s="29" t="str">
        <f>IF(OR($B76="",$A76&lt;=67),"",--MID('Key Analysis'!$C72,$A76-67,1))</f>
        <v/>
      </c>
      <c r="BS76" s="29" t="str">
        <f>IF(OR($B76="",$A76&lt;=68),"",--MID('Key Analysis'!$C72,$A76-68,1))</f>
        <v/>
      </c>
      <c r="BT76" s="29" t="str">
        <f>IF(OR($B76="",$A76&lt;=69),"",--MID('Key Analysis'!$C72,$A76-69,1))</f>
        <v/>
      </c>
      <c r="BU76" s="29" t="str">
        <f>IF(OR($B76="",$A76&lt;=70),"",--MID('Key Analysis'!$C72,$A76-70,1))</f>
        <v/>
      </c>
      <c r="BV76" s="29" t="str">
        <f>IF(OR($B76="",$A76&lt;=71),"",--MID('Key Analysis'!$C72,$A76-71,1))</f>
        <v/>
      </c>
      <c r="BW76" s="29" t="str">
        <f>IF(OR($B76="",$A76&lt;=72),"",--MID('Key Analysis'!$C72,$A76-72,1))</f>
        <v/>
      </c>
      <c r="BX76" s="29" t="str">
        <f>IF(OR($B76="",$A76&lt;=73),"",--MID('Key Analysis'!$C72,$A76-73,1))</f>
        <v/>
      </c>
      <c r="BY76" s="29" t="str">
        <f>IF(OR($B76="",$A76&lt;=74),"",--MID('Key Analysis'!$C72,$A76-74,1))</f>
        <v/>
      </c>
      <c r="BZ76" s="29" t="str">
        <f>IF(OR($B76="",$A76&lt;=75),"",--MID('Key Analysis'!$C72,$A76-75,1))</f>
        <v/>
      </c>
      <c r="CA76" s="29" t="str">
        <f>IF(OR($B76="",$A76&lt;=76),"",--MID('Key Analysis'!$C72,$A76-76,1))</f>
        <v/>
      </c>
      <c r="CB76" s="29" t="str">
        <f>IF(OR($B76="",$A76&lt;=77),"",--MID('Key Analysis'!$C72,$A76-77,1))</f>
        <v/>
      </c>
      <c r="CC76" s="29" t="str">
        <f>IF(OR($B76="",$A76&lt;=78),"",--MID('Key Analysis'!$C72,$A76-78,1))</f>
        <v/>
      </c>
      <c r="CD76" s="29" t="str">
        <f>IF(OR($B76="",$A76&lt;=79),"",--MID('Key Analysis'!$C72,$A76-79,1))</f>
        <v/>
      </c>
      <c r="CE76" s="29" t="str">
        <f>IF(OR($B76="",$A76&lt;=80),"",--MID('Key Analysis'!$C72,$A76-80,1))</f>
        <v/>
      </c>
      <c r="CF76" s="29" t="str">
        <f>IF(OR($B76="",$A76&lt;=81),"",--MID('Key Analysis'!$C72,$A76-81,1))</f>
        <v/>
      </c>
      <c r="CG76" s="29" t="str">
        <f>IF(OR($B76="",$A76&lt;=82),"",--MID('Key Analysis'!$C72,$A76-82,1))</f>
        <v/>
      </c>
      <c r="CH76" s="29" t="str">
        <f>IF(OR($B76="",$A76&lt;=83),"",--MID('Key Analysis'!$C72,$A76-83,1))</f>
        <v/>
      </c>
      <c r="CI76" s="29" t="str">
        <f>IF(OR($B76="",$A76&lt;=84),"",--MID('Key Analysis'!$C72,$A76-84,1))</f>
        <v/>
      </c>
      <c r="CJ76" s="29" t="str">
        <f>IF(OR($B76="",$A76&lt;=85),"",--MID('Key Analysis'!$C72,$A76-85,1))</f>
        <v/>
      </c>
      <c r="CK76" s="29" t="str">
        <f>IF(OR($B76="",$A76&lt;=86),"",--MID('Key Analysis'!$C72,$A76-86,1))</f>
        <v/>
      </c>
      <c r="CL76" s="29" t="str">
        <f>IF(OR($B76="",$A76&lt;=87),"",--MID('Key Analysis'!$C72,$A76-87,1))</f>
        <v/>
      </c>
      <c r="CM76" s="29" t="str">
        <f>IF(OR($B76="",$A76&lt;=88),"",--MID('Key Analysis'!$C72,$A76-88,1))</f>
        <v/>
      </c>
      <c r="CN76" s="29" t="str">
        <f>IF(OR($B76="",$A76&lt;=89),"",--MID('Key Analysis'!$C72,$A76-89,1))</f>
        <v/>
      </c>
      <c r="CO76" s="29" t="str">
        <f>IF(OR($B76="",$A76&lt;=90),"",--MID('Key Analysis'!$C72,$A76-90,1))</f>
        <v/>
      </c>
      <c r="CP76" s="29" t="str">
        <f>IF(OR($B76="",$A76&lt;=91),"",--MID('Key Analysis'!$C72,$A76-91,1))</f>
        <v/>
      </c>
      <c r="CQ76" s="29" t="str">
        <f>IF(OR($B76="",$A76&lt;=92),"",--MID('Key Analysis'!$C72,$A76-92,1))</f>
        <v/>
      </c>
      <c r="CR76" s="29" t="str">
        <f>IF(OR($B76="",$A76&lt;=93),"",--MID('Key Analysis'!$C72,$A76-93,1))</f>
        <v/>
      </c>
      <c r="CS76" s="29" t="str">
        <f>IF(OR($B76="",$A76&lt;=94),"",--MID('Key Analysis'!$C72,$A76-94,1))</f>
        <v/>
      </c>
      <c r="CT76" s="29" t="str">
        <f>IF(OR($B76="",$A76&lt;=95),"",--MID('Key Analysis'!$C72,$A76-95,1))</f>
        <v/>
      </c>
      <c r="CU76" s="29" t="str">
        <f>IF(OR($B76="",$A76&lt;=96),"",--MID('Key Analysis'!$C72,$A76-96,1))</f>
        <v/>
      </c>
      <c r="CV76" s="29" t="str">
        <f>IF(OR($B76="",$A76&lt;=97),"",--MID('Key Analysis'!$C72,$A76-97,1))</f>
        <v/>
      </c>
      <c r="CW76" s="29" t="str">
        <f>IF(OR($B76="",$A76&lt;=98),"",--MID('Key Analysis'!$C72,$A76-98,1))</f>
        <v/>
      </c>
      <c r="CX76" s="29" t="str">
        <f>IF(OR($B76="",$A76&lt;=99),"",--MID('Key Analysis'!$C72,$A76-99,1))</f>
        <v/>
      </c>
      <c r="CY76" s="29" t="str">
        <f>IF(OR($B76="",$A76&lt;=100),"",--MID('Key Analysis'!$C72,$A76-100,1))</f>
        <v/>
      </c>
      <c r="CZ76" s="29" t="str">
        <f>IF(OR($B76="",$A76&lt;=101),"",--MID('Key Analysis'!$C72,$A76-101,1))</f>
        <v/>
      </c>
      <c r="DA76" s="29" t="str">
        <f>IF(OR($B76="",$A76&lt;=102),"",--MID('Key Analysis'!$C72,$A76-102,1))</f>
        <v/>
      </c>
      <c r="DB76" s="29" t="str">
        <f>IF(OR($B76="",$A76&lt;=103),"",--MID('Key Analysis'!$C72,$A76-103,1))</f>
        <v/>
      </c>
      <c r="DC76" s="29" t="str">
        <f>IF(OR($B76="",$A76&lt;=104),"",--MID('Key Analysis'!$C72,$A76-104,1))</f>
        <v/>
      </c>
      <c r="DD76" s="29" t="str">
        <f>IF(OR($B76="",$A76&lt;=105),"",--MID('Key Analysis'!$C72,$A76-105,1))</f>
        <v/>
      </c>
      <c r="DE76" s="29" t="str">
        <f>IF(OR($B76="",$A76&lt;=106),"",--MID('Key Analysis'!$C72,$A76-106,1))</f>
        <v/>
      </c>
      <c r="DF76" s="29" t="str">
        <f>IF(OR($B76="",$A76&lt;=107),"",--MID('Key Analysis'!$C72,$A76-107,1))</f>
        <v/>
      </c>
      <c r="DG76" s="29" t="str">
        <f>IF(OR($B76="",$A76&lt;=108),"",--MID('Key Analysis'!$C72,$A76-108,1))</f>
        <v/>
      </c>
      <c r="DH76" s="29" t="str">
        <f>IF(OR($B76="",$A76&lt;=109),"",--MID('Key Analysis'!$C72,$A76-109,1))</f>
        <v/>
      </c>
      <c r="DI76" s="29" t="str">
        <f>IF(OR($B76="",$A76&lt;=110),"",--MID('Key Analysis'!$C72,$A76-110,1))</f>
        <v/>
      </c>
      <c r="DJ76" s="29" t="str">
        <f>IF(OR($B76="",$A76&lt;=111),"",--MID('Key Analysis'!$C72,$A76-111,1))</f>
        <v/>
      </c>
      <c r="DK76" s="29" t="str">
        <f>IF(OR($B76="",$A76&lt;=112),"",--MID('Key Analysis'!$C72,$A76-112,1))</f>
        <v/>
      </c>
      <c r="DL76" s="29" t="str">
        <f>IF(OR($B76="",$A76&lt;=113),"",--MID('Key Analysis'!$C72,$A76-113,1))</f>
        <v/>
      </c>
      <c r="DM76" s="29" t="str">
        <f>IF(OR($B76="",$A76&lt;=114),"",--MID('Key Analysis'!$C72,$A76-114,1))</f>
        <v/>
      </c>
      <c r="DN76" s="29" t="str">
        <f>IF(OR($B76="",$A76&lt;=115),"",--MID('Key Analysis'!$C72,$A76-115,1))</f>
        <v/>
      </c>
      <c r="DO76" s="29" t="str">
        <f>IF(OR($B76="",$A76&lt;=116),"",--MID('Key Analysis'!$C72,$A76-116,1))</f>
        <v/>
      </c>
      <c r="DP76" s="29" t="str">
        <f>IF(OR($B76="",$A76&lt;=117),"",--MID('Key Analysis'!$C72,$A76-117,1))</f>
        <v/>
      </c>
      <c r="DQ76" s="29" t="str">
        <f>IF(OR($B76="",$A76&lt;=118),"",--MID('Key Analysis'!$C72,$A76-118,1))</f>
        <v/>
      </c>
      <c r="DR76" s="29" t="str">
        <f>IF(OR($B76="",$A76&lt;=119),"",--MID('Key Analysis'!$C72,$A76-119,1))</f>
        <v/>
      </c>
      <c r="DS76" s="29" t="str">
        <f>IF(OR($B76="",$A76&lt;=120),"",--MID('Key Analysis'!$C72,$A76-120,1))</f>
        <v/>
      </c>
      <c r="DT76" s="29" t="str">
        <f>IF(OR($B76="",$A76&lt;=121),"",--MID('Key Analysis'!$C72,$A76-121,1))</f>
        <v/>
      </c>
      <c r="DU76" s="29" t="str">
        <f>IF(OR($B76="",$A76&lt;=122),"",--MID('Key Analysis'!$C72,$A76-122,1))</f>
        <v/>
      </c>
      <c r="DV76" s="29" t="str">
        <f>IF(OR($B76="",$A76&lt;=123),"",--MID('Key Analysis'!$C72,$A76-123,1))</f>
        <v/>
      </c>
      <c r="DW76" s="29" t="str">
        <f>IF(OR($B76="",$A76&lt;=124),"",--MID('Key Analysis'!$C72,$A76-124,1))</f>
        <v/>
      </c>
      <c r="DX76" s="29" t="str">
        <f>IF(OR($B76="",$A76&lt;=125),"",--MID('Key Analysis'!$C72,$A76-125,1))</f>
        <v/>
      </c>
      <c r="DY76" s="29" t="str">
        <f>IF(OR($B76="",$A76&lt;=126),"",--MID('Key Analysis'!$C72,$A76-126,1))</f>
        <v/>
      </c>
      <c r="DZ76" s="29" t="str">
        <f>IF(OR($B76="",$A76&lt;=127),"",--MID('Key Analysis'!$C72,$A76-127,1))</f>
        <v/>
      </c>
      <c r="EA76" s="29" t="str">
        <f>IF(OR($B76="",$A76&lt;=128),"",--MID('Key Analysis'!$C72,$A76-128,1))</f>
        <v/>
      </c>
      <c r="EB76" s="29" t="str">
        <f>IF(OR($B76="",$A76&lt;=129),"",--MID('Key Analysis'!$C72,$A76-129,1))</f>
        <v/>
      </c>
      <c r="EC76" s="29" t="str">
        <f>IF(OR($B76="",$A76&lt;=130),"",--MID('Key Analysis'!$C72,$A76-130,1))</f>
        <v/>
      </c>
      <c r="ED76" s="29" t="str">
        <f>IF(OR($B76="",$A76&lt;=131),"",--MID('Key Analysis'!$C72,$A76-131,1))</f>
        <v/>
      </c>
      <c r="EE76" s="29" t="str">
        <f>IF(OR($B76="",$A76&lt;=132),"",--MID('Key Analysis'!$C72,$A76-132,1))</f>
        <v/>
      </c>
      <c r="EF76" s="29" t="str">
        <f>IF(OR($B76="",$A76&lt;=133),"",--MID('Key Analysis'!$C72,$A76-133,1))</f>
        <v/>
      </c>
      <c r="EG76" s="29" t="str">
        <f>IF(OR($B76="",$A76&lt;=134),"",--MID('Key Analysis'!$C72,$A76-134,1))</f>
        <v/>
      </c>
      <c r="EH76" s="29"/>
      <c r="EI76" s="29" t="str">
        <f>IF(OR($B76="",$A76&lt;1),"",--MID('Key Analysis'!$C72,1,1))</f>
        <v/>
      </c>
      <c r="EJ76" s="29" t="str">
        <f>IF(OR($B76="",$A76&lt;2),"",--MID('Key Analysis'!$C72,2,1))</f>
        <v/>
      </c>
      <c r="EK76" s="29" t="str">
        <f>IF(OR($B76="",$A76&lt;3),"",--MID('Key Analysis'!$C72,3,1))</f>
        <v/>
      </c>
      <c r="EL76" s="29" t="str">
        <f>IF(OR($B76="",$A76&lt;4),"",--MID('Key Analysis'!$C72,4,1))</f>
        <v/>
      </c>
      <c r="EM76" s="29" t="str">
        <f>IF(OR($B76="",$A76&lt;5),"",--MID('Key Analysis'!$C72,5,1))</f>
        <v/>
      </c>
      <c r="EN76" s="29" t="str">
        <f>IF(OR($B76="",$A76&lt;6),"",--MID('Key Analysis'!$C72,6,1))</f>
        <v/>
      </c>
      <c r="EO76" s="29" t="str">
        <f>IF(OR($B76="",$A76&lt;7),"",--MID('Key Analysis'!$C72,7,1))</f>
        <v/>
      </c>
      <c r="EP76" s="29" t="str">
        <f>IF(OR($B76="",$A76&lt;8),"",--MID('Key Analysis'!$C72,8,1))</f>
        <v/>
      </c>
      <c r="EQ76" s="29" t="str">
        <f>IF(OR($B76="",$A76&lt;9),"",--MID('Key Analysis'!$C72,9,1))</f>
        <v/>
      </c>
      <c r="ER76" s="29" t="str">
        <f>IF(OR($B76="",$A76&lt;10),"",--MID('Key Analysis'!$C72,10,1))</f>
        <v/>
      </c>
      <c r="ES76" s="29" t="str">
        <f>IF(OR($B76="",$A76&lt;11),"",--MID('Key Analysis'!$C72,11,1))</f>
        <v/>
      </c>
      <c r="ET76" s="29" t="str">
        <f>IF(OR($B76="",$A76&lt;12),"",--MID('Key Analysis'!$C72,12,1))</f>
        <v/>
      </c>
      <c r="EU76" s="29" t="str">
        <f>IF(OR($B76="",$A76&lt;13),"",--MID('Key Analysis'!$C72,13,1))</f>
        <v/>
      </c>
      <c r="EV76" s="29" t="str">
        <f>IF(OR($B76="",$A76&lt;14),"",--MID('Key Analysis'!$C72,14,1))</f>
        <v/>
      </c>
      <c r="EW76" s="29" t="str">
        <f>IF(OR($B76="",$A76&lt;15),"",--MID('Key Analysis'!$C72,15,1))</f>
        <v/>
      </c>
      <c r="EX76" s="29" t="str">
        <f>IF(OR($B76="",$A76&lt;16),"",--MID('Key Analysis'!$C72,16,1))</f>
        <v/>
      </c>
      <c r="EY76" s="29" t="str">
        <f>IF(OR($B76="",$A76&lt;17),"",--MID('Key Analysis'!$C72,17,1))</f>
        <v/>
      </c>
      <c r="EZ76" s="29" t="str">
        <f>IF(OR($B76="",$A76&lt;18),"",--MID('Key Analysis'!$C72,18,1))</f>
        <v/>
      </c>
      <c r="FA76" s="29" t="str">
        <f>IF(OR($B76="",$A76&lt;19),"",--MID('Key Analysis'!$C72,19,1))</f>
        <v/>
      </c>
      <c r="FB76" s="29" t="str">
        <f>IF(OR($B76="",$A76&lt;20),"",--MID('Key Analysis'!$C72,20,1))</f>
        <v/>
      </c>
      <c r="FC76" s="29" t="str">
        <f>IF(OR($B76="",$A76&lt;21),"",--MID('Key Analysis'!$C72,21,1))</f>
        <v/>
      </c>
      <c r="FD76" s="29" t="str">
        <f>IF(OR($B76="",$A76&lt;22),"",--MID('Key Analysis'!$C72,22,1))</f>
        <v/>
      </c>
      <c r="FE76" s="29" t="str">
        <f>IF(OR($B76="",$A76&lt;23),"",--MID('Key Analysis'!$C72,23,1))</f>
        <v/>
      </c>
      <c r="FF76" s="29" t="str">
        <f>IF(OR($B76="",$A76&lt;24),"",--MID('Key Analysis'!$C72,24,1))</f>
        <v/>
      </c>
      <c r="FG76" s="29" t="str">
        <f>IF(OR($B76="",$A76&lt;25),"",--MID('Key Analysis'!$C72,25,1))</f>
        <v/>
      </c>
      <c r="FH76" s="29" t="str">
        <f>IF(OR($B76="",$A76&lt;26),"",--MID('Key Analysis'!$C72,26,1))</f>
        <v/>
      </c>
      <c r="FI76" s="29" t="str">
        <f>IF(OR($B76="",$A76&lt;27),"",--MID('Key Analysis'!$C72,27,1))</f>
        <v/>
      </c>
      <c r="FJ76" s="29" t="str">
        <f>IF(OR($B76="",$A76&lt;28),"",--MID('Key Analysis'!$C72,28,1))</f>
        <v/>
      </c>
      <c r="FK76" s="29" t="str">
        <f>IF(OR($B76="",$A76&lt;29),"",--MID('Key Analysis'!$C72,29,1))</f>
        <v/>
      </c>
      <c r="FL76" s="29" t="str">
        <f>IF(OR($B76="",$A76&lt;30),"",--MID('Key Analysis'!$C72,30,1))</f>
        <v/>
      </c>
      <c r="FM76" s="29" t="str">
        <f>IF(OR($B76="",$A76&lt;31),"",--MID('Key Analysis'!$C72,31,1))</f>
        <v/>
      </c>
      <c r="FN76" s="29" t="str">
        <f>IF(OR($B76="",$A76&lt;32),"",--MID('Key Analysis'!$C72,32,1))</f>
        <v/>
      </c>
      <c r="FO76" s="29" t="str">
        <f>IF(OR($B76="",$A76&lt;33),"",--MID('Key Analysis'!$C72,33,1))</f>
        <v/>
      </c>
      <c r="FP76" s="29" t="str">
        <f>IF(OR($B76="",$A76&lt;34),"",--MID('Key Analysis'!$C72,34,1))</f>
        <v/>
      </c>
      <c r="FQ76" s="29" t="str">
        <f>IF(OR($B76="",$A76&lt;35),"",--MID('Key Analysis'!$C72,35,1))</f>
        <v/>
      </c>
      <c r="FR76" s="29" t="str">
        <f>IF(OR($B76="",$A76&lt;36),"",--MID('Key Analysis'!$C72,36,1))</f>
        <v/>
      </c>
      <c r="FS76" s="29" t="str">
        <f>IF(OR($B76="",$A76&lt;37),"",--MID('Key Analysis'!$C72,37,1))</f>
        <v/>
      </c>
      <c r="FT76" s="29" t="str">
        <f>IF(OR($B76="",$A76&lt;38),"",--MID('Key Analysis'!$C72,38,1))</f>
        <v/>
      </c>
      <c r="FU76" s="29" t="str">
        <f>IF(OR($B76="",$A76&lt;39),"",--MID('Key Analysis'!$C72,39,1))</f>
        <v/>
      </c>
      <c r="FV76" s="29" t="str">
        <f>IF(OR($B76="",$A76&lt;40),"",--MID('Key Analysis'!$C72,40,1))</f>
        <v/>
      </c>
      <c r="FW76" s="29" t="str">
        <f>IF(OR($B76="",$A76&lt;41),"",--MID('Key Analysis'!$C72,41,1))</f>
        <v/>
      </c>
      <c r="FX76" s="29" t="str">
        <f>IF(OR($B76="",$A76&lt;42),"",--MID('Key Analysis'!$C72,42,1))</f>
        <v/>
      </c>
      <c r="FY76" s="29" t="str">
        <f>IF(OR($B76="",$A76&lt;43),"",--MID('Key Analysis'!$C72,43,1))</f>
        <v/>
      </c>
      <c r="FZ76" s="29" t="str">
        <f>IF(OR($B76="",$A76&lt;44),"",--MID('Key Analysis'!$C72,44,1))</f>
        <v/>
      </c>
      <c r="GA76" s="29" t="str">
        <f>IF(OR($B76="",$A76&lt;45),"",--MID('Key Analysis'!$C72,45,1))</f>
        <v/>
      </c>
      <c r="GB76" s="29" t="str">
        <f>IF(OR($B76="",$A76&lt;46),"",--MID('Key Analysis'!$C72,46,1))</f>
        <v/>
      </c>
      <c r="GC76" s="29" t="str">
        <f>IF(OR($B76="",$A76&lt;47),"",--MID('Key Analysis'!$C72,47,1))</f>
        <v/>
      </c>
      <c r="GD76" s="29" t="str">
        <f>IF(OR($B76="",$A76&lt;48),"",--MID('Key Analysis'!$C72,48,1))</f>
        <v/>
      </c>
      <c r="GE76" s="29" t="str">
        <f>IF(OR($B76="",$A76&lt;49),"",--MID('Key Analysis'!$C72,49,1))</f>
        <v/>
      </c>
      <c r="GF76" s="29" t="str">
        <f>IF(OR($B76="",$A76&lt;50),"",--MID('Key Analysis'!$C72,50,1))</f>
        <v/>
      </c>
      <c r="GG76" s="29" t="str">
        <f>IF(OR($B76="",$A76&lt;51),"",--MID('Key Analysis'!$C72,51,1))</f>
        <v/>
      </c>
      <c r="GH76" s="29" t="str">
        <f>IF(OR($B76="",$A76&lt;52),"",--MID('Key Analysis'!$C72,52,1))</f>
        <v/>
      </c>
      <c r="GI76" s="29" t="str">
        <f>IF(OR($B76="",$A76&lt;53),"",--MID('Key Analysis'!$C72,53,1))</f>
        <v/>
      </c>
      <c r="GJ76" s="29" t="str">
        <f>IF(OR($B76="",$A76&lt;54),"",--MID('Key Analysis'!$C72,54,1))</f>
        <v/>
      </c>
      <c r="GK76" s="29" t="str">
        <f>IF(OR($B76="",$A76&lt;55),"",--MID('Key Analysis'!$C72,55,1))</f>
        <v/>
      </c>
      <c r="GL76" s="29" t="str">
        <f>IF(OR($B76="",$A76&lt;56),"",--MID('Key Analysis'!$C72,56,1))</f>
        <v/>
      </c>
      <c r="GM76" s="29" t="str">
        <f>IF(OR($B76="",$A76&lt;57),"",--MID('Key Analysis'!$C72,57,1))</f>
        <v/>
      </c>
      <c r="GN76" s="29" t="str">
        <f>IF(OR($B76="",$A76&lt;58),"",--MID('Key Analysis'!$C72,58,1))</f>
        <v/>
      </c>
      <c r="GO76" s="29" t="str">
        <f>IF(OR($B76="",$A76&lt;59),"",--MID('Key Analysis'!$C72,59,1))</f>
        <v/>
      </c>
      <c r="GP76" s="29" t="str">
        <f>IF(OR($B76="",$A76&lt;60),"",--MID('Key Analysis'!$C72,60,1))</f>
        <v/>
      </c>
      <c r="GQ76" s="29" t="str">
        <f>IF(OR($B76="",$A76&lt;61),"",--MID('Key Analysis'!$C72,61,1))</f>
        <v/>
      </c>
      <c r="GR76" s="29" t="str">
        <f>IF(OR($B76="",$A76&lt;62),"",--MID('Key Analysis'!$C72,62,1))</f>
        <v/>
      </c>
      <c r="GS76" s="29" t="str">
        <f>IF(OR($B76="",$A76&lt;63),"",--MID('Key Analysis'!$C72,63,1))</f>
        <v/>
      </c>
      <c r="GT76" s="29" t="str">
        <f>IF(OR($B76="",$A76&lt;64),"",--MID('Key Analysis'!$C72,64,1))</f>
        <v/>
      </c>
      <c r="GU76" s="29" t="str">
        <f>IF(OR($B76="",$A76&lt;65),"",--MID('Key Analysis'!$C72,65,1))</f>
        <v/>
      </c>
      <c r="GV76" s="29" t="str">
        <f>IF(OR($B76="",$A76&lt;66),"",--MID('Key Analysis'!$C72,66,1))</f>
        <v/>
      </c>
      <c r="GW76" s="29" t="str">
        <f>IF(OR($B76="",$A76&lt;67),"",--MID('Key Analysis'!$C72,67,1))</f>
        <v/>
      </c>
      <c r="GX76" s="29" t="str">
        <f>IF(OR($B76="",$A76&lt;68),"",--MID('Key Analysis'!$C72,68,1))</f>
        <v/>
      </c>
      <c r="GY76" s="29" t="str">
        <f>IF(OR($B76="",$A76&lt;69),"",--MID('Key Analysis'!$C72,69,1))</f>
        <v/>
      </c>
      <c r="GZ76" s="29" t="str">
        <f>IF(OR($B76="",$A76&lt;70),"",--MID('Key Analysis'!$C72,70,1))</f>
        <v/>
      </c>
      <c r="HA76" s="29" t="str">
        <f>IF(OR($B76="",$A76&lt;71),"",--MID('Key Analysis'!$C72,71,1))</f>
        <v/>
      </c>
      <c r="HB76" s="29" t="str">
        <f>IF(OR($B76="",$A76&lt;72),"",--MID('Key Analysis'!$C72,72,1))</f>
        <v/>
      </c>
      <c r="HC76" s="29" t="str">
        <f>IF(OR($B76="",$A76&lt;73),"",--MID('Key Analysis'!$C72,73,1))</f>
        <v/>
      </c>
      <c r="HD76" s="29" t="str">
        <f>IF(OR($B76="",$A76&lt;74),"",--MID('Key Analysis'!$C72,74,1))</f>
        <v/>
      </c>
      <c r="HE76" s="29" t="str">
        <f>IF(OR($B76="",$A76&lt;75),"",--MID('Key Analysis'!$C72,75,1))</f>
        <v/>
      </c>
      <c r="HF76" s="29" t="str">
        <f>IF(OR($B76="",$A76&lt;76),"",--MID('Key Analysis'!$C72,76,1))</f>
        <v/>
      </c>
      <c r="HG76" s="29" t="str">
        <f>IF(OR($B76="",$A76&lt;77),"",--MID('Key Analysis'!$C72,77,1))</f>
        <v/>
      </c>
      <c r="HH76" s="29" t="str">
        <f>IF(OR($B76="",$A76&lt;78),"",--MID('Key Analysis'!$C72,78,1))</f>
        <v/>
      </c>
      <c r="HI76" s="29" t="str">
        <f>IF(OR($B76="",$A76&lt;79),"",--MID('Key Analysis'!$C72,79,1))</f>
        <v/>
      </c>
      <c r="HJ76" s="29" t="str">
        <f>IF(OR($B76="",$A76&lt;80),"",--MID('Key Analysis'!$C72,80,1))</f>
        <v/>
      </c>
      <c r="HK76" s="29" t="str">
        <f>IF(OR($B76="",$A76&lt;81),"",--MID('Key Analysis'!$C72,81,1))</f>
        <v/>
      </c>
      <c r="HL76" s="29" t="str">
        <f>IF(OR($B76="",$A76&lt;82),"",--MID('Key Analysis'!$C72,82,1))</f>
        <v/>
      </c>
      <c r="HM76" s="29" t="str">
        <f>IF(OR($B76="",$A76&lt;83),"",--MID('Key Analysis'!$C72,83,1))</f>
        <v/>
      </c>
      <c r="HN76" s="29" t="str">
        <f>IF(OR($B76="",$A76&lt;84),"",--MID('Key Analysis'!$C72,84,1))</f>
        <v/>
      </c>
      <c r="HO76" s="29" t="str">
        <f>IF(OR($B76="",$A76&lt;85),"",--MID('Key Analysis'!$C72,85,1))</f>
        <v/>
      </c>
      <c r="HP76" s="29" t="str">
        <f>IF(OR($B76="",$A76&lt;86),"",--MID('Key Analysis'!$C72,86,1))</f>
        <v/>
      </c>
      <c r="HQ76" s="29" t="str">
        <f>IF(OR($B76="",$A76&lt;87),"",--MID('Key Analysis'!$C72,87,1))</f>
        <v/>
      </c>
      <c r="HR76" s="29" t="str">
        <f>IF(OR($B76="",$A76&lt;88),"",--MID('Key Analysis'!$C72,88,1))</f>
        <v/>
      </c>
      <c r="HS76" s="29" t="str">
        <f>IF(OR($B76="",$A76&lt;89),"",--MID('Key Analysis'!$C72,89,1))</f>
        <v/>
      </c>
      <c r="HT76" s="29" t="str">
        <f>IF(OR($B76="",$A76&lt;90),"",--MID('Key Analysis'!$C72,90,1))</f>
        <v/>
      </c>
      <c r="HU76" s="29" t="str">
        <f>IF(OR($B76="",$A76&lt;91),"",--MID('Key Analysis'!$C72,91,1))</f>
        <v/>
      </c>
      <c r="HV76" s="29" t="str">
        <f>IF(OR($B76="",$A76&lt;92),"",--MID('Key Analysis'!$C72,92,1))</f>
        <v/>
      </c>
      <c r="HW76" s="29" t="str">
        <f>IF(OR($B76="",$A76&lt;93),"",--MID('Key Analysis'!$C72,93,1))</f>
        <v/>
      </c>
      <c r="HX76" s="29" t="str">
        <f>IF(OR($B76="",$A76&lt;94),"",--MID('Key Analysis'!$C72,94,1))</f>
        <v/>
      </c>
      <c r="HY76" s="29" t="str">
        <f>IF(OR($B76="",$A76&lt;95),"",--MID('Key Analysis'!$C72,95,1))</f>
        <v/>
      </c>
      <c r="HZ76" s="29" t="str">
        <f>IF(OR($B76="",$A76&lt;96),"",--MID('Key Analysis'!$C72,96,1))</f>
        <v/>
      </c>
      <c r="IA76" s="29" t="str">
        <f>IF(OR($B76="",$A76&lt;97),"",--MID('Key Analysis'!$C72,97,1))</f>
        <v/>
      </c>
      <c r="IB76" s="29" t="str">
        <f>IF(OR($B76="",$A76&lt;98),"",--MID('Key Analysis'!$C72,98,1))</f>
        <v/>
      </c>
      <c r="IC76" s="29" t="str">
        <f>IF(OR($B76="",$A76&lt;99),"",--MID('Key Analysis'!$C72,99,1))</f>
        <v/>
      </c>
      <c r="ID76" s="29" t="str">
        <f>IF(OR($B76="",$A76&lt;100),"",--MID('Key Analysis'!$C72,100,1))</f>
        <v/>
      </c>
      <c r="IE76" s="29" t="str">
        <f>IF(OR($B76="",$A76&lt;101),"",--MID('Key Analysis'!$C72,101,1))</f>
        <v/>
      </c>
      <c r="IF76" s="29" t="str">
        <f>IF(OR($B76="",$A76&lt;102),"",--MID('Key Analysis'!$C72,102,1))</f>
        <v/>
      </c>
      <c r="IG76" s="29" t="str">
        <f>IF(OR($B76="",$A76&lt;103),"",--MID('Key Analysis'!$C72,103,1))</f>
        <v/>
      </c>
      <c r="IH76" s="29" t="str">
        <f>IF(OR($B76="",$A76&lt;104),"",--MID('Key Analysis'!$C72,104,1))</f>
        <v/>
      </c>
      <c r="II76" s="29" t="str">
        <f>IF(OR($B76="",$A76&lt;105),"",--MID('Key Analysis'!$C72,105,1))</f>
        <v/>
      </c>
      <c r="IJ76" s="29" t="str">
        <f>IF(OR($B76="",$A76&lt;106),"",--MID('Key Analysis'!$C72,106,1))</f>
        <v/>
      </c>
      <c r="IK76" s="29" t="str">
        <f>IF(OR($B76="",$A76&lt;107),"",--MID('Key Analysis'!$C72,107,1))</f>
        <v/>
      </c>
      <c r="IL76" s="29" t="str">
        <f>IF(OR($B76="",$A76&lt;108),"",--MID('Key Analysis'!$C72,108,1))</f>
        <v/>
      </c>
      <c r="IM76" s="29" t="str">
        <f>IF(OR($B76="",$A76&lt;109),"",--MID('Key Analysis'!$C72,109,1))</f>
        <v/>
      </c>
      <c r="IN76" s="29" t="str">
        <f>IF(OR($B76="",$A76&lt;110),"",--MID('Key Analysis'!$C72,110,1))</f>
        <v/>
      </c>
      <c r="IO76" s="29" t="str">
        <f>IF(OR($B76="",$A76&lt;111),"",--MID('Key Analysis'!$C72,111,1))</f>
        <v/>
      </c>
      <c r="IP76" s="29" t="str">
        <f>IF(OR($B76="",$A76&lt;112),"",--MID('Key Analysis'!$C72,112,1))</f>
        <v/>
      </c>
      <c r="IQ76" s="29" t="str">
        <f>IF(OR($B76="",$A76&lt;113),"",--MID('Key Analysis'!$C72,113,1))</f>
        <v/>
      </c>
      <c r="IR76" s="29" t="str">
        <f>IF(OR($B76="",$A76&lt;114),"",--MID('Key Analysis'!$C72,114,1))</f>
        <v/>
      </c>
      <c r="IS76" s="29" t="str">
        <f>IF(OR($B76="",$A76&lt;115),"",--MID('Key Analysis'!$C72,115,1))</f>
        <v/>
      </c>
      <c r="IT76" s="29" t="str">
        <f>IF(OR($B76="",$A76&lt;116),"",--MID('Key Analysis'!$C72,116,1))</f>
        <v/>
      </c>
      <c r="IU76" s="29" t="str">
        <f>IF(OR($B76="",$A76&lt;117),"",--MID('Key Analysis'!$C72,117,1))</f>
        <v/>
      </c>
      <c r="IV76" s="29" t="str">
        <f>IF(OR($B76="",$A76&lt;118),"",--MID('Key Analysis'!$C72,118,1))</f>
        <v/>
      </c>
      <c r="IW76" s="29" t="str">
        <f>IF(OR($B76="",$A76&lt;119),"",--MID('Key Analysis'!$C72,119,1))</f>
        <v/>
      </c>
      <c r="IX76" s="29" t="str">
        <f>IF(OR($B76="",$A76&lt;120),"",--MID('Key Analysis'!$C72,120,1))</f>
        <v/>
      </c>
      <c r="IY76" s="29" t="str">
        <f>IF(OR($B76="",$A76&lt;121),"",--MID('Key Analysis'!$C72,121,1))</f>
        <v/>
      </c>
      <c r="IZ76" s="29" t="str">
        <f>IF(OR($B76="",$A76&lt;122),"",--MID('Key Analysis'!$C72,122,1))</f>
        <v/>
      </c>
      <c r="JA76" s="29" t="str">
        <f>IF(OR($B76="",$A76&lt;123),"",--MID('Key Analysis'!$C72,123,1))</f>
        <v/>
      </c>
      <c r="JB76" s="29" t="str">
        <f>IF(OR($B76="",$A76&lt;124),"",--MID('Key Analysis'!$C72,124,1))</f>
        <v/>
      </c>
      <c r="JC76" s="29" t="str">
        <f>IF(OR($B76="",$A76&lt;125),"",--MID('Key Analysis'!$C72,125,1))</f>
        <v/>
      </c>
      <c r="JD76" s="29" t="str">
        <f>IF(OR($B76="",$A76&lt;126),"",--MID('Key Analysis'!$C72,126,1))</f>
        <v/>
      </c>
      <c r="JE76" s="29" t="str">
        <f>IF(OR($B76="",$A76&lt;127),"",--MID('Key Analysis'!$C72,127,1))</f>
        <v/>
      </c>
      <c r="JF76" s="29" t="str">
        <f>IF(OR($B76="",$A76&lt;128),"",--MID('Key Analysis'!$C72,128,1))</f>
        <v/>
      </c>
      <c r="JG76" s="29" t="str">
        <f>IF(OR($B76="",$A76&lt;129),"",--MID('Key Analysis'!$C72,129,1))</f>
        <v/>
      </c>
      <c r="JH76" s="29" t="str">
        <f>IF(OR($B76="",$A76&lt;130),"",--MID('Key Analysis'!$C72,130,1))</f>
        <v/>
      </c>
      <c r="JI76" s="29" t="str">
        <f>IF(OR($B76="",$A76&lt;131),"",--MID('Key Analysis'!$C72,131,1))</f>
        <v/>
      </c>
      <c r="JJ76" s="29" t="str">
        <f>IF(OR($B76="",$A76&lt;132),"",--MID('Key Analysis'!$C72,132,1))</f>
        <v/>
      </c>
      <c r="JK76" s="29" t="str">
        <f>IF(OR($B76="",$A76&lt;133),"",--MID('Key Analysis'!$C72,133,1))</f>
        <v/>
      </c>
      <c r="JL76" s="29" t="str">
        <f>IF(OR($B76="",$A76&lt;134),"",--MID('Key Analysis'!$C72,134,1))</f>
        <v/>
      </c>
      <c r="JM76" s="29" t="str">
        <f>IF(OR($B76="",$A76&lt;135),"",--MID('Key Analysis'!$C72,135,1))</f>
        <v/>
      </c>
    </row>
    <row r="77" spans="1:273" x14ac:dyDescent="0.25">
      <c r="A77" s="21">
        <f>'Key Analysis'!A73</f>
        <v>72</v>
      </c>
      <c r="B77" s="30" t="str">
        <f>'Key Analysis'!B73</f>
        <v/>
      </c>
      <c r="C77" s="29" t="str">
        <f>IF(OR($B77="",$A77&lt;=0),"",--MID('Key Analysis'!$C73,$A77-0,1))</f>
        <v/>
      </c>
      <c r="D77" s="29" t="str">
        <f>IF(OR($B77="",$A77&lt;=1),"",--MID('Key Analysis'!$C73,$A77-1,1))</f>
        <v/>
      </c>
      <c r="E77" s="29" t="str">
        <f>IF(OR($B77="",$A77&lt;=2),"",--MID('Key Analysis'!$C73,$A77-2,1))</f>
        <v/>
      </c>
      <c r="F77" s="29" t="str">
        <f>IF(OR($B77="",$A77&lt;=3),"",--MID('Key Analysis'!$C73,$A77-3,1))</f>
        <v/>
      </c>
      <c r="G77" s="29" t="str">
        <f>IF(OR($B77="",$A77&lt;=4),"",--MID('Key Analysis'!$C73,$A77-4,1))</f>
        <v/>
      </c>
      <c r="H77" s="29" t="str">
        <f>IF(OR($B77="",$A77&lt;=5),"",--MID('Key Analysis'!$C73,$A77-5,1))</f>
        <v/>
      </c>
      <c r="I77" s="29" t="str">
        <f>IF(OR($B77="",$A77&lt;=6),"",--MID('Key Analysis'!$C73,$A77-6,1))</f>
        <v/>
      </c>
      <c r="J77" s="29" t="str">
        <f>IF(OR($B77="",$A77&lt;=7),"",--MID('Key Analysis'!$C73,$A77-7,1))</f>
        <v/>
      </c>
      <c r="K77" s="29" t="str">
        <f>IF(OR($B77="",$A77&lt;=8),"",--MID('Key Analysis'!$C73,$A77-8,1))</f>
        <v/>
      </c>
      <c r="L77" s="29" t="str">
        <f>IF(OR($B77="",$A77&lt;=9),"",--MID('Key Analysis'!$C73,$A77-9,1))</f>
        <v/>
      </c>
      <c r="M77" s="29" t="str">
        <f>IF(OR($B77="",$A77&lt;=10),"",--MID('Key Analysis'!$C73,$A77-10,1))</f>
        <v/>
      </c>
      <c r="N77" s="29" t="str">
        <f>IF(OR($B77="",$A77&lt;=11),"",--MID('Key Analysis'!$C73,$A77-11,1))</f>
        <v/>
      </c>
      <c r="O77" s="29" t="str">
        <f>IF(OR($B77="",$A77&lt;=12),"",--MID('Key Analysis'!$C73,$A77-12,1))</f>
        <v/>
      </c>
      <c r="P77" s="29" t="str">
        <f>IF(OR($B77="",$A77&lt;=13),"",--MID('Key Analysis'!$C73,$A77-13,1))</f>
        <v/>
      </c>
      <c r="Q77" s="29" t="str">
        <f>IF(OR($B77="",$A77&lt;=14),"",--MID('Key Analysis'!$C73,$A77-14,1))</f>
        <v/>
      </c>
      <c r="R77" s="29" t="str">
        <f>IF(OR($B77="",$A77&lt;=15),"",--MID('Key Analysis'!$C73,$A77-15,1))</f>
        <v/>
      </c>
      <c r="S77" s="29" t="str">
        <f>IF(OR($B77="",$A77&lt;=16),"",--MID('Key Analysis'!$C73,$A77-16,1))</f>
        <v/>
      </c>
      <c r="T77" s="29" t="str">
        <f>IF(OR($B77="",$A77&lt;=17),"",--MID('Key Analysis'!$C73,$A77-17,1))</f>
        <v/>
      </c>
      <c r="U77" s="29" t="str">
        <f>IF(OR($B77="",$A77&lt;=18),"",--MID('Key Analysis'!$C73,$A77-18,1))</f>
        <v/>
      </c>
      <c r="V77" s="29" t="str">
        <f>IF(OR($B77="",$A77&lt;=19),"",--MID('Key Analysis'!$C73,$A77-19,1))</f>
        <v/>
      </c>
      <c r="W77" s="29" t="str">
        <f>IF(OR($B77="",$A77&lt;=20),"",--MID('Key Analysis'!$C73,$A77-20,1))</f>
        <v/>
      </c>
      <c r="X77" s="29" t="str">
        <f>IF(OR($B77="",$A77&lt;=21),"",--MID('Key Analysis'!$C73,$A77-21,1))</f>
        <v/>
      </c>
      <c r="Y77" s="29" t="str">
        <f>IF(OR($B77="",$A77&lt;=22),"",--MID('Key Analysis'!$C73,$A77-22,1))</f>
        <v/>
      </c>
      <c r="Z77" s="29" t="str">
        <f>IF(OR($B77="",$A77&lt;=23),"",--MID('Key Analysis'!$C73,$A77-23,1))</f>
        <v/>
      </c>
      <c r="AA77" s="29" t="str">
        <f>IF(OR($B77="",$A77&lt;=24),"",--MID('Key Analysis'!$C73,$A77-24,1))</f>
        <v/>
      </c>
      <c r="AB77" s="29" t="str">
        <f>IF(OR($B77="",$A77&lt;=25),"",--MID('Key Analysis'!$C73,$A77-25,1))</f>
        <v/>
      </c>
      <c r="AC77" s="29" t="str">
        <f>IF(OR($B77="",$A77&lt;=26),"",--MID('Key Analysis'!$C73,$A77-26,1))</f>
        <v/>
      </c>
      <c r="AD77" s="29" t="str">
        <f>IF(OR($B77="",$A77&lt;=27),"",--MID('Key Analysis'!$C73,$A77-27,1))</f>
        <v/>
      </c>
      <c r="AE77" s="29" t="str">
        <f>IF(OR($B77="",$A77&lt;=28),"",--MID('Key Analysis'!$C73,$A77-28,1))</f>
        <v/>
      </c>
      <c r="AF77" s="29" t="str">
        <f>IF(OR($B77="",$A77&lt;=29),"",--MID('Key Analysis'!$C73,$A77-29,1))</f>
        <v/>
      </c>
      <c r="AG77" s="29" t="str">
        <f>IF(OR($B77="",$A77&lt;=30),"",--MID('Key Analysis'!$C73,$A77-30,1))</f>
        <v/>
      </c>
      <c r="AH77" s="29" t="str">
        <f>IF(OR($B77="",$A77&lt;=31),"",--MID('Key Analysis'!$C73,$A77-31,1))</f>
        <v/>
      </c>
      <c r="AI77" s="29" t="str">
        <f>IF(OR($B77="",$A77&lt;=32),"",--MID('Key Analysis'!$C73,$A77-32,1))</f>
        <v/>
      </c>
      <c r="AJ77" s="29" t="str">
        <f>IF(OR($B77="",$A77&lt;=33),"",--MID('Key Analysis'!$C73,$A77-33,1))</f>
        <v/>
      </c>
      <c r="AK77" s="29" t="str">
        <f>IF(OR($B77="",$A77&lt;=34),"",--MID('Key Analysis'!$C73,$A77-34,1))</f>
        <v/>
      </c>
      <c r="AL77" s="29" t="str">
        <f>IF(OR($B77="",$A77&lt;=35),"",--MID('Key Analysis'!$C73,$A77-35,1))</f>
        <v/>
      </c>
      <c r="AM77" s="29" t="str">
        <f>IF(OR($B77="",$A77&lt;=36),"",--MID('Key Analysis'!$C73,$A77-36,1))</f>
        <v/>
      </c>
      <c r="AN77" s="29" t="str">
        <f>IF(OR($B77="",$A77&lt;=37),"",--MID('Key Analysis'!$C73,$A77-37,1))</f>
        <v/>
      </c>
      <c r="AO77" s="29" t="str">
        <f>IF(OR($B77="",$A77&lt;=38),"",--MID('Key Analysis'!$C73,$A77-38,1))</f>
        <v/>
      </c>
      <c r="AP77" s="29" t="str">
        <f>IF(OR($B77="",$A77&lt;=39),"",--MID('Key Analysis'!$C73,$A77-39,1))</f>
        <v/>
      </c>
      <c r="AQ77" s="29" t="str">
        <f>IF(OR($B77="",$A77&lt;=40),"",--MID('Key Analysis'!$C73,$A77-40,1))</f>
        <v/>
      </c>
      <c r="AR77" s="29" t="str">
        <f>IF(OR($B77="",$A77&lt;=41),"",--MID('Key Analysis'!$C73,$A77-41,1))</f>
        <v/>
      </c>
      <c r="AS77" s="29" t="str">
        <f>IF(OR($B77="",$A77&lt;=42),"",--MID('Key Analysis'!$C73,$A77-42,1))</f>
        <v/>
      </c>
      <c r="AT77" s="29" t="str">
        <f>IF(OR($B77="",$A77&lt;=43),"",--MID('Key Analysis'!$C73,$A77-43,1))</f>
        <v/>
      </c>
      <c r="AU77" s="29" t="str">
        <f>IF(OR($B77="",$A77&lt;=44),"",--MID('Key Analysis'!$C73,$A77-44,1))</f>
        <v/>
      </c>
      <c r="AV77" s="29" t="str">
        <f>IF(OR($B77="",$A77&lt;=45),"",--MID('Key Analysis'!$C73,$A77-45,1))</f>
        <v/>
      </c>
      <c r="AW77" s="29" t="str">
        <f>IF(OR($B77="",$A77&lt;=46),"",--MID('Key Analysis'!$C73,$A77-46,1))</f>
        <v/>
      </c>
      <c r="AX77" s="29" t="str">
        <f>IF(OR($B77="",$A77&lt;=47),"",--MID('Key Analysis'!$C73,$A77-47,1))</f>
        <v/>
      </c>
      <c r="AY77" s="29" t="str">
        <f>IF(OR($B77="",$A77&lt;=48),"",--MID('Key Analysis'!$C73,$A77-48,1))</f>
        <v/>
      </c>
      <c r="AZ77" s="29" t="str">
        <f>IF(OR($B77="",$A77&lt;=49),"",--MID('Key Analysis'!$C73,$A77-49,1))</f>
        <v/>
      </c>
      <c r="BA77" s="29" t="str">
        <f>IF(OR($B77="",$A77&lt;=50),"",--MID('Key Analysis'!$C73,$A77-50,1))</f>
        <v/>
      </c>
      <c r="BB77" s="29" t="str">
        <f>IF(OR($B77="",$A77&lt;=51),"",--MID('Key Analysis'!$C73,$A77-51,1))</f>
        <v/>
      </c>
      <c r="BC77" s="29" t="str">
        <f>IF(OR($B77="",$A77&lt;=52),"",--MID('Key Analysis'!$C73,$A77-52,1))</f>
        <v/>
      </c>
      <c r="BD77" s="29" t="str">
        <f>IF(OR($B77="",$A77&lt;=53),"",--MID('Key Analysis'!$C73,$A77-53,1))</f>
        <v/>
      </c>
      <c r="BE77" s="29" t="str">
        <f>IF(OR($B77="",$A77&lt;=54),"",--MID('Key Analysis'!$C73,$A77-54,1))</f>
        <v/>
      </c>
      <c r="BF77" s="29" t="str">
        <f>IF(OR($B77="",$A77&lt;=55),"",--MID('Key Analysis'!$C73,$A77-55,1))</f>
        <v/>
      </c>
      <c r="BG77" s="29" t="str">
        <f>IF(OR($B77="",$A77&lt;=56),"",--MID('Key Analysis'!$C73,$A77-56,1))</f>
        <v/>
      </c>
      <c r="BH77" s="29" t="str">
        <f>IF(OR($B77="",$A77&lt;=57),"",--MID('Key Analysis'!$C73,$A77-57,1))</f>
        <v/>
      </c>
      <c r="BI77" s="29" t="str">
        <f>IF(OR($B77="",$A77&lt;=58),"",--MID('Key Analysis'!$C73,$A77-58,1))</f>
        <v/>
      </c>
      <c r="BJ77" s="29" t="str">
        <f>IF(OR($B77="",$A77&lt;=59),"",--MID('Key Analysis'!$C73,$A77-59,1))</f>
        <v/>
      </c>
      <c r="BK77" s="29" t="str">
        <f>IF(OR($B77="",$A77&lt;=60),"",--MID('Key Analysis'!$C73,$A77-60,1))</f>
        <v/>
      </c>
      <c r="BL77" s="29" t="str">
        <f>IF(OR($B77="",$A77&lt;=61),"",--MID('Key Analysis'!$C73,$A77-61,1))</f>
        <v/>
      </c>
      <c r="BM77" s="29" t="str">
        <f>IF(OR($B77="",$A77&lt;=62),"",--MID('Key Analysis'!$C73,$A77-62,1))</f>
        <v/>
      </c>
      <c r="BN77" s="29" t="str">
        <f>IF(OR($B77="",$A77&lt;=63),"",--MID('Key Analysis'!$C73,$A77-63,1))</f>
        <v/>
      </c>
      <c r="BO77" s="29" t="str">
        <f>IF(OR($B77="",$A77&lt;=64),"",--MID('Key Analysis'!$C73,$A77-64,1))</f>
        <v/>
      </c>
      <c r="BP77" s="29" t="str">
        <f>IF(OR($B77="",$A77&lt;=65),"",--MID('Key Analysis'!$C73,$A77-65,1))</f>
        <v/>
      </c>
      <c r="BQ77" s="29" t="str">
        <f>IF(OR($B77="",$A77&lt;=66),"",--MID('Key Analysis'!$C73,$A77-66,1))</f>
        <v/>
      </c>
      <c r="BR77" s="29" t="str">
        <f>IF(OR($B77="",$A77&lt;=67),"",--MID('Key Analysis'!$C73,$A77-67,1))</f>
        <v/>
      </c>
      <c r="BS77" s="29" t="str">
        <f>IF(OR($B77="",$A77&lt;=68),"",--MID('Key Analysis'!$C73,$A77-68,1))</f>
        <v/>
      </c>
      <c r="BT77" s="29" t="str">
        <f>IF(OR($B77="",$A77&lt;=69),"",--MID('Key Analysis'!$C73,$A77-69,1))</f>
        <v/>
      </c>
      <c r="BU77" s="29" t="str">
        <f>IF(OR($B77="",$A77&lt;=70),"",--MID('Key Analysis'!$C73,$A77-70,1))</f>
        <v/>
      </c>
      <c r="BV77" s="29" t="str">
        <f>IF(OR($B77="",$A77&lt;=71),"",--MID('Key Analysis'!$C73,$A77-71,1))</f>
        <v/>
      </c>
      <c r="BW77" s="29" t="str">
        <f>IF(OR($B77="",$A77&lt;=72),"",--MID('Key Analysis'!$C73,$A77-72,1))</f>
        <v/>
      </c>
      <c r="BX77" s="29" t="str">
        <f>IF(OR($B77="",$A77&lt;=73),"",--MID('Key Analysis'!$C73,$A77-73,1))</f>
        <v/>
      </c>
      <c r="BY77" s="29" t="str">
        <f>IF(OR($B77="",$A77&lt;=74),"",--MID('Key Analysis'!$C73,$A77-74,1))</f>
        <v/>
      </c>
      <c r="BZ77" s="29" t="str">
        <f>IF(OR($B77="",$A77&lt;=75),"",--MID('Key Analysis'!$C73,$A77-75,1))</f>
        <v/>
      </c>
      <c r="CA77" s="29" t="str">
        <f>IF(OR($B77="",$A77&lt;=76),"",--MID('Key Analysis'!$C73,$A77-76,1))</f>
        <v/>
      </c>
      <c r="CB77" s="29" t="str">
        <f>IF(OR($B77="",$A77&lt;=77),"",--MID('Key Analysis'!$C73,$A77-77,1))</f>
        <v/>
      </c>
      <c r="CC77" s="29" t="str">
        <f>IF(OR($B77="",$A77&lt;=78),"",--MID('Key Analysis'!$C73,$A77-78,1))</f>
        <v/>
      </c>
      <c r="CD77" s="29" t="str">
        <f>IF(OR($B77="",$A77&lt;=79),"",--MID('Key Analysis'!$C73,$A77-79,1))</f>
        <v/>
      </c>
      <c r="CE77" s="29" t="str">
        <f>IF(OR($B77="",$A77&lt;=80),"",--MID('Key Analysis'!$C73,$A77-80,1))</f>
        <v/>
      </c>
      <c r="CF77" s="29" t="str">
        <f>IF(OR($B77="",$A77&lt;=81),"",--MID('Key Analysis'!$C73,$A77-81,1))</f>
        <v/>
      </c>
      <c r="CG77" s="29" t="str">
        <f>IF(OR($B77="",$A77&lt;=82),"",--MID('Key Analysis'!$C73,$A77-82,1))</f>
        <v/>
      </c>
      <c r="CH77" s="29" t="str">
        <f>IF(OR($B77="",$A77&lt;=83),"",--MID('Key Analysis'!$C73,$A77-83,1))</f>
        <v/>
      </c>
      <c r="CI77" s="29" t="str">
        <f>IF(OR($B77="",$A77&lt;=84),"",--MID('Key Analysis'!$C73,$A77-84,1))</f>
        <v/>
      </c>
      <c r="CJ77" s="29" t="str">
        <f>IF(OR($B77="",$A77&lt;=85),"",--MID('Key Analysis'!$C73,$A77-85,1))</f>
        <v/>
      </c>
      <c r="CK77" s="29" t="str">
        <f>IF(OR($B77="",$A77&lt;=86),"",--MID('Key Analysis'!$C73,$A77-86,1))</f>
        <v/>
      </c>
      <c r="CL77" s="29" t="str">
        <f>IF(OR($B77="",$A77&lt;=87),"",--MID('Key Analysis'!$C73,$A77-87,1))</f>
        <v/>
      </c>
      <c r="CM77" s="29" t="str">
        <f>IF(OR($B77="",$A77&lt;=88),"",--MID('Key Analysis'!$C73,$A77-88,1))</f>
        <v/>
      </c>
      <c r="CN77" s="29" t="str">
        <f>IF(OR($B77="",$A77&lt;=89),"",--MID('Key Analysis'!$C73,$A77-89,1))</f>
        <v/>
      </c>
      <c r="CO77" s="29" t="str">
        <f>IF(OR($B77="",$A77&lt;=90),"",--MID('Key Analysis'!$C73,$A77-90,1))</f>
        <v/>
      </c>
      <c r="CP77" s="29" t="str">
        <f>IF(OR($B77="",$A77&lt;=91),"",--MID('Key Analysis'!$C73,$A77-91,1))</f>
        <v/>
      </c>
      <c r="CQ77" s="29" t="str">
        <f>IF(OR($B77="",$A77&lt;=92),"",--MID('Key Analysis'!$C73,$A77-92,1))</f>
        <v/>
      </c>
      <c r="CR77" s="29" t="str">
        <f>IF(OR($B77="",$A77&lt;=93),"",--MID('Key Analysis'!$C73,$A77-93,1))</f>
        <v/>
      </c>
      <c r="CS77" s="29" t="str">
        <f>IF(OR($B77="",$A77&lt;=94),"",--MID('Key Analysis'!$C73,$A77-94,1))</f>
        <v/>
      </c>
      <c r="CT77" s="29" t="str">
        <f>IF(OR($B77="",$A77&lt;=95),"",--MID('Key Analysis'!$C73,$A77-95,1))</f>
        <v/>
      </c>
      <c r="CU77" s="29" t="str">
        <f>IF(OR($B77="",$A77&lt;=96),"",--MID('Key Analysis'!$C73,$A77-96,1))</f>
        <v/>
      </c>
      <c r="CV77" s="29" t="str">
        <f>IF(OR($B77="",$A77&lt;=97),"",--MID('Key Analysis'!$C73,$A77-97,1))</f>
        <v/>
      </c>
      <c r="CW77" s="29" t="str">
        <f>IF(OR($B77="",$A77&lt;=98),"",--MID('Key Analysis'!$C73,$A77-98,1))</f>
        <v/>
      </c>
      <c r="CX77" s="29" t="str">
        <f>IF(OR($B77="",$A77&lt;=99),"",--MID('Key Analysis'!$C73,$A77-99,1))</f>
        <v/>
      </c>
      <c r="CY77" s="29" t="str">
        <f>IF(OR($B77="",$A77&lt;=100),"",--MID('Key Analysis'!$C73,$A77-100,1))</f>
        <v/>
      </c>
      <c r="CZ77" s="29" t="str">
        <f>IF(OR($B77="",$A77&lt;=101),"",--MID('Key Analysis'!$C73,$A77-101,1))</f>
        <v/>
      </c>
      <c r="DA77" s="29" t="str">
        <f>IF(OR($B77="",$A77&lt;=102),"",--MID('Key Analysis'!$C73,$A77-102,1))</f>
        <v/>
      </c>
      <c r="DB77" s="29" t="str">
        <f>IF(OR($B77="",$A77&lt;=103),"",--MID('Key Analysis'!$C73,$A77-103,1))</f>
        <v/>
      </c>
      <c r="DC77" s="29" t="str">
        <f>IF(OR($B77="",$A77&lt;=104),"",--MID('Key Analysis'!$C73,$A77-104,1))</f>
        <v/>
      </c>
      <c r="DD77" s="29" t="str">
        <f>IF(OR($B77="",$A77&lt;=105),"",--MID('Key Analysis'!$C73,$A77-105,1))</f>
        <v/>
      </c>
      <c r="DE77" s="29" t="str">
        <f>IF(OR($B77="",$A77&lt;=106),"",--MID('Key Analysis'!$C73,$A77-106,1))</f>
        <v/>
      </c>
      <c r="DF77" s="29" t="str">
        <f>IF(OR($B77="",$A77&lt;=107),"",--MID('Key Analysis'!$C73,$A77-107,1))</f>
        <v/>
      </c>
      <c r="DG77" s="29" t="str">
        <f>IF(OR($B77="",$A77&lt;=108),"",--MID('Key Analysis'!$C73,$A77-108,1))</f>
        <v/>
      </c>
      <c r="DH77" s="29" t="str">
        <f>IF(OR($B77="",$A77&lt;=109),"",--MID('Key Analysis'!$C73,$A77-109,1))</f>
        <v/>
      </c>
      <c r="DI77" s="29" t="str">
        <f>IF(OR($B77="",$A77&lt;=110),"",--MID('Key Analysis'!$C73,$A77-110,1))</f>
        <v/>
      </c>
      <c r="DJ77" s="29" t="str">
        <f>IF(OR($B77="",$A77&lt;=111),"",--MID('Key Analysis'!$C73,$A77-111,1))</f>
        <v/>
      </c>
      <c r="DK77" s="29" t="str">
        <f>IF(OR($B77="",$A77&lt;=112),"",--MID('Key Analysis'!$C73,$A77-112,1))</f>
        <v/>
      </c>
      <c r="DL77" s="29" t="str">
        <f>IF(OR($B77="",$A77&lt;=113),"",--MID('Key Analysis'!$C73,$A77-113,1))</f>
        <v/>
      </c>
      <c r="DM77" s="29" t="str">
        <f>IF(OR($B77="",$A77&lt;=114),"",--MID('Key Analysis'!$C73,$A77-114,1))</f>
        <v/>
      </c>
      <c r="DN77" s="29" t="str">
        <f>IF(OR($B77="",$A77&lt;=115),"",--MID('Key Analysis'!$C73,$A77-115,1))</f>
        <v/>
      </c>
      <c r="DO77" s="29" t="str">
        <f>IF(OR($B77="",$A77&lt;=116),"",--MID('Key Analysis'!$C73,$A77-116,1))</f>
        <v/>
      </c>
      <c r="DP77" s="29" t="str">
        <f>IF(OR($B77="",$A77&lt;=117),"",--MID('Key Analysis'!$C73,$A77-117,1))</f>
        <v/>
      </c>
      <c r="DQ77" s="29" t="str">
        <f>IF(OR($B77="",$A77&lt;=118),"",--MID('Key Analysis'!$C73,$A77-118,1))</f>
        <v/>
      </c>
      <c r="DR77" s="29" t="str">
        <f>IF(OR($B77="",$A77&lt;=119),"",--MID('Key Analysis'!$C73,$A77-119,1))</f>
        <v/>
      </c>
      <c r="DS77" s="29" t="str">
        <f>IF(OR($B77="",$A77&lt;=120),"",--MID('Key Analysis'!$C73,$A77-120,1))</f>
        <v/>
      </c>
      <c r="DT77" s="29" t="str">
        <f>IF(OR($B77="",$A77&lt;=121),"",--MID('Key Analysis'!$C73,$A77-121,1))</f>
        <v/>
      </c>
      <c r="DU77" s="29" t="str">
        <f>IF(OR($B77="",$A77&lt;=122),"",--MID('Key Analysis'!$C73,$A77-122,1))</f>
        <v/>
      </c>
      <c r="DV77" s="29" t="str">
        <f>IF(OR($B77="",$A77&lt;=123),"",--MID('Key Analysis'!$C73,$A77-123,1))</f>
        <v/>
      </c>
      <c r="DW77" s="29" t="str">
        <f>IF(OR($B77="",$A77&lt;=124),"",--MID('Key Analysis'!$C73,$A77-124,1))</f>
        <v/>
      </c>
      <c r="DX77" s="29" t="str">
        <f>IF(OR($B77="",$A77&lt;=125),"",--MID('Key Analysis'!$C73,$A77-125,1))</f>
        <v/>
      </c>
      <c r="DY77" s="29" t="str">
        <f>IF(OR($B77="",$A77&lt;=126),"",--MID('Key Analysis'!$C73,$A77-126,1))</f>
        <v/>
      </c>
      <c r="DZ77" s="29" t="str">
        <f>IF(OR($B77="",$A77&lt;=127),"",--MID('Key Analysis'!$C73,$A77-127,1))</f>
        <v/>
      </c>
      <c r="EA77" s="29" t="str">
        <f>IF(OR($B77="",$A77&lt;=128),"",--MID('Key Analysis'!$C73,$A77-128,1))</f>
        <v/>
      </c>
      <c r="EB77" s="29" t="str">
        <f>IF(OR($B77="",$A77&lt;=129),"",--MID('Key Analysis'!$C73,$A77-129,1))</f>
        <v/>
      </c>
      <c r="EC77" s="29" t="str">
        <f>IF(OR($B77="",$A77&lt;=130),"",--MID('Key Analysis'!$C73,$A77-130,1))</f>
        <v/>
      </c>
      <c r="ED77" s="29" t="str">
        <f>IF(OR($B77="",$A77&lt;=131),"",--MID('Key Analysis'!$C73,$A77-131,1))</f>
        <v/>
      </c>
      <c r="EE77" s="29" t="str">
        <f>IF(OR($B77="",$A77&lt;=132),"",--MID('Key Analysis'!$C73,$A77-132,1))</f>
        <v/>
      </c>
      <c r="EF77" s="29" t="str">
        <f>IF(OR($B77="",$A77&lt;=133),"",--MID('Key Analysis'!$C73,$A77-133,1))</f>
        <v/>
      </c>
      <c r="EG77" s="29" t="str">
        <f>IF(OR($B77="",$A77&lt;=134),"",--MID('Key Analysis'!$C73,$A77-134,1))</f>
        <v/>
      </c>
      <c r="EH77" s="29"/>
      <c r="EI77" s="29" t="str">
        <f>IF(OR($B77="",$A77&lt;1),"",--MID('Key Analysis'!$C73,1,1))</f>
        <v/>
      </c>
      <c r="EJ77" s="29" t="str">
        <f>IF(OR($B77="",$A77&lt;2),"",--MID('Key Analysis'!$C73,2,1))</f>
        <v/>
      </c>
      <c r="EK77" s="29" t="str">
        <f>IF(OR($B77="",$A77&lt;3),"",--MID('Key Analysis'!$C73,3,1))</f>
        <v/>
      </c>
      <c r="EL77" s="29" t="str">
        <f>IF(OR($B77="",$A77&lt;4),"",--MID('Key Analysis'!$C73,4,1))</f>
        <v/>
      </c>
      <c r="EM77" s="29" t="str">
        <f>IF(OR($B77="",$A77&lt;5),"",--MID('Key Analysis'!$C73,5,1))</f>
        <v/>
      </c>
      <c r="EN77" s="29" t="str">
        <f>IF(OR($B77="",$A77&lt;6),"",--MID('Key Analysis'!$C73,6,1))</f>
        <v/>
      </c>
      <c r="EO77" s="29" t="str">
        <f>IF(OR($B77="",$A77&lt;7),"",--MID('Key Analysis'!$C73,7,1))</f>
        <v/>
      </c>
      <c r="EP77" s="29" t="str">
        <f>IF(OR($B77="",$A77&lt;8),"",--MID('Key Analysis'!$C73,8,1))</f>
        <v/>
      </c>
      <c r="EQ77" s="29" t="str">
        <f>IF(OR($B77="",$A77&lt;9),"",--MID('Key Analysis'!$C73,9,1))</f>
        <v/>
      </c>
      <c r="ER77" s="29" t="str">
        <f>IF(OR($B77="",$A77&lt;10),"",--MID('Key Analysis'!$C73,10,1))</f>
        <v/>
      </c>
      <c r="ES77" s="29" t="str">
        <f>IF(OR($B77="",$A77&lt;11),"",--MID('Key Analysis'!$C73,11,1))</f>
        <v/>
      </c>
      <c r="ET77" s="29" t="str">
        <f>IF(OR($B77="",$A77&lt;12),"",--MID('Key Analysis'!$C73,12,1))</f>
        <v/>
      </c>
      <c r="EU77" s="29" t="str">
        <f>IF(OR($B77="",$A77&lt;13),"",--MID('Key Analysis'!$C73,13,1))</f>
        <v/>
      </c>
      <c r="EV77" s="29" t="str">
        <f>IF(OR($B77="",$A77&lt;14),"",--MID('Key Analysis'!$C73,14,1))</f>
        <v/>
      </c>
      <c r="EW77" s="29" t="str">
        <f>IF(OR($B77="",$A77&lt;15),"",--MID('Key Analysis'!$C73,15,1))</f>
        <v/>
      </c>
      <c r="EX77" s="29" t="str">
        <f>IF(OR($B77="",$A77&lt;16),"",--MID('Key Analysis'!$C73,16,1))</f>
        <v/>
      </c>
      <c r="EY77" s="29" t="str">
        <f>IF(OR($B77="",$A77&lt;17),"",--MID('Key Analysis'!$C73,17,1))</f>
        <v/>
      </c>
      <c r="EZ77" s="29" t="str">
        <f>IF(OR($B77="",$A77&lt;18),"",--MID('Key Analysis'!$C73,18,1))</f>
        <v/>
      </c>
      <c r="FA77" s="29" t="str">
        <f>IF(OR($B77="",$A77&lt;19),"",--MID('Key Analysis'!$C73,19,1))</f>
        <v/>
      </c>
      <c r="FB77" s="29" t="str">
        <f>IF(OR($B77="",$A77&lt;20),"",--MID('Key Analysis'!$C73,20,1))</f>
        <v/>
      </c>
      <c r="FC77" s="29" t="str">
        <f>IF(OR($B77="",$A77&lt;21),"",--MID('Key Analysis'!$C73,21,1))</f>
        <v/>
      </c>
      <c r="FD77" s="29" t="str">
        <f>IF(OR($B77="",$A77&lt;22),"",--MID('Key Analysis'!$C73,22,1))</f>
        <v/>
      </c>
      <c r="FE77" s="29" t="str">
        <f>IF(OR($B77="",$A77&lt;23),"",--MID('Key Analysis'!$C73,23,1))</f>
        <v/>
      </c>
      <c r="FF77" s="29" t="str">
        <f>IF(OR($B77="",$A77&lt;24),"",--MID('Key Analysis'!$C73,24,1))</f>
        <v/>
      </c>
      <c r="FG77" s="29" t="str">
        <f>IF(OR($B77="",$A77&lt;25),"",--MID('Key Analysis'!$C73,25,1))</f>
        <v/>
      </c>
      <c r="FH77" s="29" t="str">
        <f>IF(OR($B77="",$A77&lt;26),"",--MID('Key Analysis'!$C73,26,1))</f>
        <v/>
      </c>
      <c r="FI77" s="29" t="str">
        <f>IF(OR($B77="",$A77&lt;27),"",--MID('Key Analysis'!$C73,27,1))</f>
        <v/>
      </c>
      <c r="FJ77" s="29" t="str">
        <f>IF(OR($B77="",$A77&lt;28),"",--MID('Key Analysis'!$C73,28,1))</f>
        <v/>
      </c>
      <c r="FK77" s="29" t="str">
        <f>IF(OR($B77="",$A77&lt;29),"",--MID('Key Analysis'!$C73,29,1))</f>
        <v/>
      </c>
      <c r="FL77" s="29" t="str">
        <f>IF(OR($B77="",$A77&lt;30),"",--MID('Key Analysis'!$C73,30,1))</f>
        <v/>
      </c>
      <c r="FM77" s="29" t="str">
        <f>IF(OR($B77="",$A77&lt;31),"",--MID('Key Analysis'!$C73,31,1))</f>
        <v/>
      </c>
      <c r="FN77" s="29" t="str">
        <f>IF(OR($B77="",$A77&lt;32),"",--MID('Key Analysis'!$C73,32,1))</f>
        <v/>
      </c>
      <c r="FO77" s="29" t="str">
        <f>IF(OR($B77="",$A77&lt;33),"",--MID('Key Analysis'!$C73,33,1))</f>
        <v/>
      </c>
      <c r="FP77" s="29" t="str">
        <f>IF(OR($B77="",$A77&lt;34),"",--MID('Key Analysis'!$C73,34,1))</f>
        <v/>
      </c>
      <c r="FQ77" s="29" t="str">
        <f>IF(OR($B77="",$A77&lt;35),"",--MID('Key Analysis'!$C73,35,1))</f>
        <v/>
      </c>
      <c r="FR77" s="29" t="str">
        <f>IF(OR($B77="",$A77&lt;36),"",--MID('Key Analysis'!$C73,36,1))</f>
        <v/>
      </c>
      <c r="FS77" s="29" t="str">
        <f>IF(OR($B77="",$A77&lt;37),"",--MID('Key Analysis'!$C73,37,1))</f>
        <v/>
      </c>
      <c r="FT77" s="29" t="str">
        <f>IF(OR($B77="",$A77&lt;38),"",--MID('Key Analysis'!$C73,38,1))</f>
        <v/>
      </c>
      <c r="FU77" s="29" t="str">
        <f>IF(OR($B77="",$A77&lt;39),"",--MID('Key Analysis'!$C73,39,1))</f>
        <v/>
      </c>
      <c r="FV77" s="29" t="str">
        <f>IF(OR($B77="",$A77&lt;40),"",--MID('Key Analysis'!$C73,40,1))</f>
        <v/>
      </c>
      <c r="FW77" s="29" t="str">
        <f>IF(OR($B77="",$A77&lt;41),"",--MID('Key Analysis'!$C73,41,1))</f>
        <v/>
      </c>
      <c r="FX77" s="29" t="str">
        <f>IF(OR($B77="",$A77&lt;42),"",--MID('Key Analysis'!$C73,42,1))</f>
        <v/>
      </c>
      <c r="FY77" s="29" t="str">
        <f>IF(OR($B77="",$A77&lt;43),"",--MID('Key Analysis'!$C73,43,1))</f>
        <v/>
      </c>
      <c r="FZ77" s="29" t="str">
        <f>IF(OR($B77="",$A77&lt;44),"",--MID('Key Analysis'!$C73,44,1))</f>
        <v/>
      </c>
      <c r="GA77" s="29" t="str">
        <f>IF(OR($B77="",$A77&lt;45),"",--MID('Key Analysis'!$C73,45,1))</f>
        <v/>
      </c>
      <c r="GB77" s="29" t="str">
        <f>IF(OR($B77="",$A77&lt;46),"",--MID('Key Analysis'!$C73,46,1))</f>
        <v/>
      </c>
      <c r="GC77" s="29" t="str">
        <f>IF(OR($B77="",$A77&lt;47),"",--MID('Key Analysis'!$C73,47,1))</f>
        <v/>
      </c>
      <c r="GD77" s="29" t="str">
        <f>IF(OR($B77="",$A77&lt;48),"",--MID('Key Analysis'!$C73,48,1))</f>
        <v/>
      </c>
      <c r="GE77" s="29" t="str">
        <f>IF(OR($B77="",$A77&lt;49),"",--MID('Key Analysis'!$C73,49,1))</f>
        <v/>
      </c>
      <c r="GF77" s="29" t="str">
        <f>IF(OR($B77="",$A77&lt;50),"",--MID('Key Analysis'!$C73,50,1))</f>
        <v/>
      </c>
      <c r="GG77" s="29" t="str">
        <f>IF(OR($B77="",$A77&lt;51),"",--MID('Key Analysis'!$C73,51,1))</f>
        <v/>
      </c>
      <c r="GH77" s="29" t="str">
        <f>IF(OR($B77="",$A77&lt;52),"",--MID('Key Analysis'!$C73,52,1))</f>
        <v/>
      </c>
      <c r="GI77" s="29" t="str">
        <f>IF(OR($B77="",$A77&lt;53),"",--MID('Key Analysis'!$C73,53,1))</f>
        <v/>
      </c>
      <c r="GJ77" s="29" t="str">
        <f>IF(OR($B77="",$A77&lt;54),"",--MID('Key Analysis'!$C73,54,1))</f>
        <v/>
      </c>
      <c r="GK77" s="29" t="str">
        <f>IF(OR($B77="",$A77&lt;55),"",--MID('Key Analysis'!$C73,55,1))</f>
        <v/>
      </c>
      <c r="GL77" s="29" t="str">
        <f>IF(OR($B77="",$A77&lt;56),"",--MID('Key Analysis'!$C73,56,1))</f>
        <v/>
      </c>
      <c r="GM77" s="29" t="str">
        <f>IF(OR($B77="",$A77&lt;57),"",--MID('Key Analysis'!$C73,57,1))</f>
        <v/>
      </c>
      <c r="GN77" s="29" t="str">
        <f>IF(OR($B77="",$A77&lt;58),"",--MID('Key Analysis'!$C73,58,1))</f>
        <v/>
      </c>
      <c r="GO77" s="29" t="str">
        <f>IF(OR($B77="",$A77&lt;59),"",--MID('Key Analysis'!$C73,59,1))</f>
        <v/>
      </c>
      <c r="GP77" s="29" t="str">
        <f>IF(OR($B77="",$A77&lt;60),"",--MID('Key Analysis'!$C73,60,1))</f>
        <v/>
      </c>
      <c r="GQ77" s="29" t="str">
        <f>IF(OR($B77="",$A77&lt;61),"",--MID('Key Analysis'!$C73,61,1))</f>
        <v/>
      </c>
      <c r="GR77" s="29" t="str">
        <f>IF(OR($B77="",$A77&lt;62),"",--MID('Key Analysis'!$C73,62,1))</f>
        <v/>
      </c>
      <c r="GS77" s="29" t="str">
        <f>IF(OR($B77="",$A77&lt;63),"",--MID('Key Analysis'!$C73,63,1))</f>
        <v/>
      </c>
      <c r="GT77" s="29" t="str">
        <f>IF(OR($B77="",$A77&lt;64),"",--MID('Key Analysis'!$C73,64,1))</f>
        <v/>
      </c>
      <c r="GU77" s="29" t="str">
        <f>IF(OR($B77="",$A77&lt;65),"",--MID('Key Analysis'!$C73,65,1))</f>
        <v/>
      </c>
      <c r="GV77" s="29" t="str">
        <f>IF(OR($B77="",$A77&lt;66),"",--MID('Key Analysis'!$C73,66,1))</f>
        <v/>
      </c>
      <c r="GW77" s="29" t="str">
        <f>IF(OR($B77="",$A77&lt;67),"",--MID('Key Analysis'!$C73,67,1))</f>
        <v/>
      </c>
      <c r="GX77" s="29" t="str">
        <f>IF(OR($B77="",$A77&lt;68),"",--MID('Key Analysis'!$C73,68,1))</f>
        <v/>
      </c>
      <c r="GY77" s="29" t="str">
        <f>IF(OR($B77="",$A77&lt;69),"",--MID('Key Analysis'!$C73,69,1))</f>
        <v/>
      </c>
      <c r="GZ77" s="29" t="str">
        <f>IF(OR($B77="",$A77&lt;70),"",--MID('Key Analysis'!$C73,70,1))</f>
        <v/>
      </c>
      <c r="HA77" s="29" t="str">
        <f>IF(OR($B77="",$A77&lt;71),"",--MID('Key Analysis'!$C73,71,1))</f>
        <v/>
      </c>
      <c r="HB77" s="29" t="str">
        <f>IF(OR($B77="",$A77&lt;72),"",--MID('Key Analysis'!$C73,72,1))</f>
        <v/>
      </c>
      <c r="HC77" s="29" t="str">
        <f>IF(OR($B77="",$A77&lt;73),"",--MID('Key Analysis'!$C73,73,1))</f>
        <v/>
      </c>
      <c r="HD77" s="29" t="str">
        <f>IF(OR($B77="",$A77&lt;74),"",--MID('Key Analysis'!$C73,74,1))</f>
        <v/>
      </c>
      <c r="HE77" s="29" t="str">
        <f>IF(OR($B77="",$A77&lt;75),"",--MID('Key Analysis'!$C73,75,1))</f>
        <v/>
      </c>
      <c r="HF77" s="29" t="str">
        <f>IF(OR($B77="",$A77&lt;76),"",--MID('Key Analysis'!$C73,76,1))</f>
        <v/>
      </c>
      <c r="HG77" s="29" t="str">
        <f>IF(OR($B77="",$A77&lt;77),"",--MID('Key Analysis'!$C73,77,1))</f>
        <v/>
      </c>
      <c r="HH77" s="29" t="str">
        <f>IF(OR($B77="",$A77&lt;78),"",--MID('Key Analysis'!$C73,78,1))</f>
        <v/>
      </c>
      <c r="HI77" s="29" t="str">
        <f>IF(OR($B77="",$A77&lt;79),"",--MID('Key Analysis'!$C73,79,1))</f>
        <v/>
      </c>
      <c r="HJ77" s="29" t="str">
        <f>IF(OR($B77="",$A77&lt;80),"",--MID('Key Analysis'!$C73,80,1))</f>
        <v/>
      </c>
      <c r="HK77" s="29" t="str">
        <f>IF(OR($B77="",$A77&lt;81),"",--MID('Key Analysis'!$C73,81,1))</f>
        <v/>
      </c>
      <c r="HL77" s="29" t="str">
        <f>IF(OR($B77="",$A77&lt;82),"",--MID('Key Analysis'!$C73,82,1))</f>
        <v/>
      </c>
      <c r="HM77" s="29" t="str">
        <f>IF(OR($B77="",$A77&lt;83),"",--MID('Key Analysis'!$C73,83,1))</f>
        <v/>
      </c>
      <c r="HN77" s="29" t="str">
        <f>IF(OR($B77="",$A77&lt;84),"",--MID('Key Analysis'!$C73,84,1))</f>
        <v/>
      </c>
      <c r="HO77" s="29" t="str">
        <f>IF(OR($B77="",$A77&lt;85),"",--MID('Key Analysis'!$C73,85,1))</f>
        <v/>
      </c>
      <c r="HP77" s="29" t="str">
        <f>IF(OR($B77="",$A77&lt;86),"",--MID('Key Analysis'!$C73,86,1))</f>
        <v/>
      </c>
      <c r="HQ77" s="29" t="str">
        <f>IF(OR($B77="",$A77&lt;87),"",--MID('Key Analysis'!$C73,87,1))</f>
        <v/>
      </c>
      <c r="HR77" s="29" t="str">
        <f>IF(OR($B77="",$A77&lt;88),"",--MID('Key Analysis'!$C73,88,1))</f>
        <v/>
      </c>
      <c r="HS77" s="29" t="str">
        <f>IF(OR($B77="",$A77&lt;89),"",--MID('Key Analysis'!$C73,89,1))</f>
        <v/>
      </c>
      <c r="HT77" s="29" t="str">
        <f>IF(OR($B77="",$A77&lt;90),"",--MID('Key Analysis'!$C73,90,1))</f>
        <v/>
      </c>
      <c r="HU77" s="29" t="str">
        <f>IF(OR($B77="",$A77&lt;91),"",--MID('Key Analysis'!$C73,91,1))</f>
        <v/>
      </c>
      <c r="HV77" s="29" t="str">
        <f>IF(OR($B77="",$A77&lt;92),"",--MID('Key Analysis'!$C73,92,1))</f>
        <v/>
      </c>
      <c r="HW77" s="29" t="str">
        <f>IF(OR($B77="",$A77&lt;93),"",--MID('Key Analysis'!$C73,93,1))</f>
        <v/>
      </c>
      <c r="HX77" s="29" t="str">
        <f>IF(OR($B77="",$A77&lt;94),"",--MID('Key Analysis'!$C73,94,1))</f>
        <v/>
      </c>
      <c r="HY77" s="29" t="str">
        <f>IF(OR($B77="",$A77&lt;95),"",--MID('Key Analysis'!$C73,95,1))</f>
        <v/>
      </c>
      <c r="HZ77" s="29" t="str">
        <f>IF(OR($B77="",$A77&lt;96),"",--MID('Key Analysis'!$C73,96,1))</f>
        <v/>
      </c>
      <c r="IA77" s="29" t="str">
        <f>IF(OR($B77="",$A77&lt;97),"",--MID('Key Analysis'!$C73,97,1))</f>
        <v/>
      </c>
      <c r="IB77" s="29" t="str">
        <f>IF(OR($B77="",$A77&lt;98),"",--MID('Key Analysis'!$C73,98,1))</f>
        <v/>
      </c>
      <c r="IC77" s="29" t="str">
        <f>IF(OR($B77="",$A77&lt;99),"",--MID('Key Analysis'!$C73,99,1))</f>
        <v/>
      </c>
      <c r="ID77" s="29" t="str">
        <f>IF(OR($B77="",$A77&lt;100),"",--MID('Key Analysis'!$C73,100,1))</f>
        <v/>
      </c>
      <c r="IE77" s="29" t="str">
        <f>IF(OR($B77="",$A77&lt;101),"",--MID('Key Analysis'!$C73,101,1))</f>
        <v/>
      </c>
      <c r="IF77" s="29" t="str">
        <f>IF(OR($B77="",$A77&lt;102),"",--MID('Key Analysis'!$C73,102,1))</f>
        <v/>
      </c>
      <c r="IG77" s="29" t="str">
        <f>IF(OR($B77="",$A77&lt;103),"",--MID('Key Analysis'!$C73,103,1))</f>
        <v/>
      </c>
      <c r="IH77" s="29" t="str">
        <f>IF(OR($B77="",$A77&lt;104),"",--MID('Key Analysis'!$C73,104,1))</f>
        <v/>
      </c>
      <c r="II77" s="29" t="str">
        <f>IF(OR($B77="",$A77&lt;105),"",--MID('Key Analysis'!$C73,105,1))</f>
        <v/>
      </c>
      <c r="IJ77" s="29" t="str">
        <f>IF(OR($B77="",$A77&lt;106),"",--MID('Key Analysis'!$C73,106,1))</f>
        <v/>
      </c>
      <c r="IK77" s="29" t="str">
        <f>IF(OR($B77="",$A77&lt;107),"",--MID('Key Analysis'!$C73,107,1))</f>
        <v/>
      </c>
      <c r="IL77" s="29" t="str">
        <f>IF(OR($B77="",$A77&lt;108),"",--MID('Key Analysis'!$C73,108,1))</f>
        <v/>
      </c>
      <c r="IM77" s="29" t="str">
        <f>IF(OR($B77="",$A77&lt;109),"",--MID('Key Analysis'!$C73,109,1))</f>
        <v/>
      </c>
      <c r="IN77" s="29" t="str">
        <f>IF(OR($B77="",$A77&lt;110),"",--MID('Key Analysis'!$C73,110,1))</f>
        <v/>
      </c>
      <c r="IO77" s="29" t="str">
        <f>IF(OR($B77="",$A77&lt;111),"",--MID('Key Analysis'!$C73,111,1))</f>
        <v/>
      </c>
      <c r="IP77" s="29" t="str">
        <f>IF(OR($B77="",$A77&lt;112),"",--MID('Key Analysis'!$C73,112,1))</f>
        <v/>
      </c>
      <c r="IQ77" s="29" t="str">
        <f>IF(OR($B77="",$A77&lt;113),"",--MID('Key Analysis'!$C73,113,1))</f>
        <v/>
      </c>
      <c r="IR77" s="29" t="str">
        <f>IF(OR($B77="",$A77&lt;114),"",--MID('Key Analysis'!$C73,114,1))</f>
        <v/>
      </c>
      <c r="IS77" s="29" t="str">
        <f>IF(OR($B77="",$A77&lt;115),"",--MID('Key Analysis'!$C73,115,1))</f>
        <v/>
      </c>
      <c r="IT77" s="29" t="str">
        <f>IF(OR($B77="",$A77&lt;116),"",--MID('Key Analysis'!$C73,116,1))</f>
        <v/>
      </c>
      <c r="IU77" s="29" t="str">
        <f>IF(OR($B77="",$A77&lt;117),"",--MID('Key Analysis'!$C73,117,1))</f>
        <v/>
      </c>
      <c r="IV77" s="29" t="str">
        <f>IF(OR($B77="",$A77&lt;118),"",--MID('Key Analysis'!$C73,118,1))</f>
        <v/>
      </c>
      <c r="IW77" s="29" t="str">
        <f>IF(OR($B77="",$A77&lt;119),"",--MID('Key Analysis'!$C73,119,1))</f>
        <v/>
      </c>
      <c r="IX77" s="29" t="str">
        <f>IF(OR($B77="",$A77&lt;120),"",--MID('Key Analysis'!$C73,120,1))</f>
        <v/>
      </c>
      <c r="IY77" s="29" t="str">
        <f>IF(OR($B77="",$A77&lt;121),"",--MID('Key Analysis'!$C73,121,1))</f>
        <v/>
      </c>
      <c r="IZ77" s="29" t="str">
        <f>IF(OR($B77="",$A77&lt;122),"",--MID('Key Analysis'!$C73,122,1))</f>
        <v/>
      </c>
      <c r="JA77" s="29" t="str">
        <f>IF(OR($B77="",$A77&lt;123),"",--MID('Key Analysis'!$C73,123,1))</f>
        <v/>
      </c>
      <c r="JB77" s="29" t="str">
        <f>IF(OR($B77="",$A77&lt;124),"",--MID('Key Analysis'!$C73,124,1))</f>
        <v/>
      </c>
      <c r="JC77" s="29" t="str">
        <f>IF(OR($B77="",$A77&lt;125),"",--MID('Key Analysis'!$C73,125,1))</f>
        <v/>
      </c>
      <c r="JD77" s="29" t="str">
        <f>IF(OR($B77="",$A77&lt;126),"",--MID('Key Analysis'!$C73,126,1))</f>
        <v/>
      </c>
      <c r="JE77" s="29" t="str">
        <f>IF(OR($B77="",$A77&lt;127),"",--MID('Key Analysis'!$C73,127,1))</f>
        <v/>
      </c>
      <c r="JF77" s="29" t="str">
        <f>IF(OR($B77="",$A77&lt;128),"",--MID('Key Analysis'!$C73,128,1))</f>
        <v/>
      </c>
      <c r="JG77" s="29" t="str">
        <f>IF(OR($B77="",$A77&lt;129),"",--MID('Key Analysis'!$C73,129,1))</f>
        <v/>
      </c>
      <c r="JH77" s="29" t="str">
        <f>IF(OR($B77="",$A77&lt;130),"",--MID('Key Analysis'!$C73,130,1))</f>
        <v/>
      </c>
      <c r="JI77" s="29" t="str">
        <f>IF(OR($B77="",$A77&lt;131),"",--MID('Key Analysis'!$C73,131,1))</f>
        <v/>
      </c>
      <c r="JJ77" s="29" t="str">
        <f>IF(OR($B77="",$A77&lt;132),"",--MID('Key Analysis'!$C73,132,1))</f>
        <v/>
      </c>
      <c r="JK77" s="29" t="str">
        <f>IF(OR($B77="",$A77&lt;133),"",--MID('Key Analysis'!$C73,133,1))</f>
        <v/>
      </c>
      <c r="JL77" s="29" t="str">
        <f>IF(OR($B77="",$A77&lt;134),"",--MID('Key Analysis'!$C73,134,1))</f>
        <v/>
      </c>
      <c r="JM77" s="29" t="str">
        <f>IF(OR($B77="",$A77&lt;135),"",--MID('Key Analysis'!$C73,135,1))</f>
        <v/>
      </c>
    </row>
    <row r="78" spans="1:273" x14ac:dyDescent="0.25">
      <c r="A78" s="21">
        <f>'Key Analysis'!A74</f>
        <v>73</v>
      </c>
      <c r="B78" s="30" t="str">
        <f>'Key Analysis'!B74</f>
        <v/>
      </c>
      <c r="C78" s="29" t="str">
        <f>IF(OR($B78="",$A78&lt;=0),"",--MID('Key Analysis'!$C74,$A78-0,1))</f>
        <v/>
      </c>
      <c r="D78" s="29" t="str">
        <f>IF(OR($B78="",$A78&lt;=1),"",--MID('Key Analysis'!$C74,$A78-1,1))</f>
        <v/>
      </c>
      <c r="E78" s="29" t="str">
        <f>IF(OR($B78="",$A78&lt;=2),"",--MID('Key Analysis'!$C74,$A78-2,1))</f>
        <v/>
      </c>
      <c r="F78" s="29" t="str">
        <f>IF(OR($B78="",$A78&lt;=3),"",--MID('Key Analysis'!$C74,$A78-3,1))</f>
        <v/>
      </c>
      <c r="G78" s="29" t="str">
        <f>IF(OR($B78="",$A78&lt;=4),"",--MID('Key Analysis'!$C74,$A78-4,1))</f>
        <v/>
      </c>
      <c r="H78" s="29" t="str">
        <f>IF(OR($B78="",$A78&lt;=5),"",--MID('Key Analysis'!$C74,$A78-5,1))</f>
        <v/>
      </c>
      <c r="I78" s="29" t="str">
        <f>IF(OR($B78="",$A78&lt;=6),"",--MID('Key Analysis'!$C74,$A78-6,1))</f>
        <v/>
      </c>
      <c r="J78" s="29" t="str">
        <f>IF(OR($B78="",$A78&lt;=7),"",--MID('Key Analysis'!$C74,$A78-7,1))</f>
        <v/>
      </c>
      <c r="K78" s="29" t="str">
        <f>IF(OR($B78="",$A78&lt;=8),"",--MID('Key Analysis'!$C74,$A78-8,1))</f>
        <v/>
      </c>
      <c r="L78" s="29" t="str">
        <f>IF(OR($B78="",$A78&lt;=9),"",--MID('Key Analysis'!$C74,$A78-9,1))</f>
        <v/>
      </c>
      <c r="M78" s="29" t="str">
        <f>IF(OR($B78="",$A78&lt;=10),"",--MID('Key Analysis'!$C74,$A78-10,1))</f>
        <v/>
      </c>
      <c r="N78" s="29" t="str">
        <f>IF(OR($B78="",$A78&lt;=11),"",--MID('Key Analysis'!$C74,$A78-11,1))</f>
        <v/>
      </c>
      <c r="O78" s="29" t="str">
        <f>IF(OR($B78="",$A78&lt;=12),"",--MID('Key Analysis'!$C74,$A78-12,1))</f>
        <v/>
      </c>
      <c r="P78" s="29" t="str">
        <f>IF(OR($B78="",$A78&lt;=13),"",--MID('Key Analysis'!$C74,$A78-13,1))</f>
        <v/>
      </c>
      <c r="Q78" s="29" t="str">
        <f>IF(OR($B78="",$A78&lt;=14),"",--MID('Key Analysis'!$C74,$A78-14,1))</f>
        <v/>
      </c>
      <c r="R78" s="29" t="str">
        <f>IF(OR($B78="",$A78&lt;=15),"",--MID('Key Analysis'!$C74,$A78-15,1))</f>
        <v/>
      </c>
      <c r="S78" s="29" t="str">
        <f>IF(OR($B78="",$A78&lt;=16),"",--MID('Key Analysis'!$C74,$A78-16,1))</f>
        <v/>
      </c>
      <c r="T78" s="29" t="str">
        <f>IF(OR($B78="",$A78&lt;=17),"",--MID('Key Analysis'!$C74,$A78-17,1))</f>
        <v/>
      </c>
      <c r="U78" s="29" t="str">
        <f>IF(OR($B78="",$A78&lt;=18),"",--MID('Key Analysis'!$C74,$A78-18,1))</f>
        <v/>
      </c>
      <c r="V78" s="29" t="str">
        <f>IF(OR($B78="",$A78&lt;=19),"",--MID('Key Analysis'!$C74,$A78-19,1))</f>
        <v/>
      </c>
      <c r="W78" s="29" t="str">
        <f>IF(OR($B78="",$A78&lt;=20),"",--MID('Key Analysis'!$C74,$A78-20,1))</f>
        <v/>
      </c>
      <c r="X78" s="29" t="str">
        <f>IF(OR($B78="",$A78&lt;=21),"",--MID('Key Analysis'!$C74,$A78-21,1))</f>
        <v/>
      </c>
      <c r="Y78" s="29" t="str">
        <f>IF(OR($B78="",$A78&lt;=22),"",--MID('Key Analysis'!$C74,$A78-22,1))</f>
        <v/>
      </c>
      <c r="Z78" s="29" t="str">
        <f>IF(OR($B78="",$A78&lt;=23),"",--MID('Key Analysis'!$C74,$A78-23,1))</f>
        <v/>
      </c>
      <c r="AA78" s="29" t="str">
        <f>IF(OR($B78="",$A78&lt;=24),"",--MID('Key Analysis'!$C74,$A78-24,1))</f>
        <v/>
      </c>
      <c r="AB78" s="29" t="str">
        <f>IF(OR($B78="",$A78&lt;=25),"",--MID('Key Analysis'!$C74,$A78-25,1))</f>
        <v/>
      </c>
      <c r="AC78" s="29" t="str">
        <f>IF(OR($B78="",$A78&lt;=26),"",--MID('Key Analysis'!$C74,$A78-26,1))</f>
        <v/>
      </c>
      <c r="AD78" s="29" t="str">
        <f>IF(OR($B78="",$A78&lt;=27),"",--MID('Key Analysis'!$C74,$A78-27,1))</f>
        <v/>
      </c>
      <c r="AE78" s="29" t="str">
        <f>IF(OR($B78="",$A78&lt;=28),"",--MID('Key Analysis'!$C74,$A78-28,1))</f>
        <v/>
      </c>
      <c r="AF78" s="29" t="str">
        <f>IF(OR($B78="",$A78&lt;=29),"",--MID('Key Analysis'!$C74,$A78-29,1))</f>
        <v/>
      </c>
      <c r="AG78" s="29" t="str">
        <f>IF(OR($B78="",$A78&lt;=30),"",--MID('Key Analysis'!$C74,$A78-30,1))</f>
        <v/>
      </c>
      <c r="AH78" s="29" t="str">
        <f>IF(OR($B78="",$A78&lt;=31),"",--MID('Key Analysis'!$C74,$A78-31,1))</f>
        <v/>
      </c>
      <c r="AI78" s="29" t="str">
        <f>IF(OR($B78="",$A78&lt;=32),"",--MID('Key Analysis'!$C74,$A78-32,1))</f>
        <v/>
      </c>
      <c r="AJ78" s="29" t="str">
        <f>IF(OR($B78="",$A78&lt;=33),"",--MID('Key Analysis'!$C74,$A78-33,1))</f>
        <v/>
      </c>
      <c r="AK78" s="29" t="str">
        <f>IF(OR($B78="",$A78&lt;=34),"",--MID('Key Analysis'!$C74,$A78-34,1))</f>
        <v/>
      </c>
      <c r="AL78" s="29" t="str">
        <f>IF(OR($B78="",$A78&lt;=35),"",--MID('Key Analysis'!$C74,$A78-35,1))</f>
        <v/>
      </c>
      <c r="AM78" s="29" t="str">
        <f>IF(OR($B78="",$A78&lt;=36),"",--MID('Key Analysis'!$C74,$A78-36,1))</f>
        <v/>
      </c>
      <c r="AN78" s="29" t="str">
        <f>IF(OR($B78="",$A78&lt;=37),"",--MID('Key Analysis'!$C74,$A78-37,1))</f>
        <v/>
      </c>
      <c r="AO78" s="29" t="str">
        <f>IF(OR($B78="",$A78&lt;=38),"",--MID('Key Analysis'!$C74,$A78-38,1))</f>
        <v/>
      </c>
      <c r="AP78" s="29" t="str">
        <f>IF(OR($B78="",$A78&lt;=39),"",--MID('Key Analysis'!$C74,$A78-39,1))</f>
        <v/>
      </c>
      <c r="AQ78" s="29" t="str">
        <f>IF(OR($B78="",$A78&lt;=40),"",--MID('Key Analysis'!$C74,$A78-40,1))</f>
        <v/>
      </c>
      <c r="AR78" s="29" t="str">
        <f>IF(OR($B78="",$A78&lt;=41),"",--MID('Key Analysis'!$C74,$A78-41,1))</f>
        <v/>
      </c>
      <c r="AS78" s="29" t="str">
        <f>IF(OR($B78="",$A78&lt;=42),"",--MID('Key Analysis'!$C74,$A78-42,1))</f>
        <v/>
      </c>
      <c r="AT78" s="29" t="str">
        <f>IF(OR($B78="",$A78&lt;=43),"",--MID('Key Analysis'!$C74,$A78-43,1))</f>
        <v/>
      </c>
      <c r="AU78" s="29" t="str">
        <f>IF(OR($B78="",$A78&lt;=44),"",--MID('Key Analysis'!$C74,$A78-44,1))</f>
        <v/>
      </c>
      <c r="AV78" s="29" t="str">
        <f>IF(OR($B78="",$A78&lt;=45),"",--MID('Key Analysis'!$C74,$A78-45,1))</f>
        <v/>
      </c>
      <c r="AW78" s="29" t="str">
        <f>IF(OR($B78="",$A78&lt;=46),"",--MID('Key Analysis'!$C74,$A78-46,1))</f>
        <v/>
      </c>
      <c r="AX78" s="29" t="str">
        <f>IF(OR($B78="",$A78&lt;=47),"",--MID('Key Analysis'!$C74,$A78-47,1))</f>
        <v/>
      </c>
      <c r="AY78" s="29" t="str">
        <f>IF(OR($B78="",$A78&lt;=48),"",--MID('Key Analysis'!$C74,$A78-48,1))</f>
        <v/>
      </c>
      <c r="AZ78" s="29" t="str">
        <f>IF(OR($B78="",$A78&lt;=49),"",--MID('Key Analysis'!$C74,$A78-49,1))</f>
        <v/>
      </c>
      <c r="BA78" s="29" t="str">
        <f>IF(OR($B78="",$A78&lt;=50),"",--MID('Key Analysis'!$C74,$A78-50,1))</f>
        <v/>
      </c>
      <c r="BB78" s="29" t="str">
        <f>IF(OR($B78="",$A78&lt;=51),"",--MID('Key Analysis'!$C74,$A78-51,1))</f>
        <v/>
      </c>
      <c r="BC78" s="29" t="str">
        <f>IF(OR($B78="",$A78&lt;=52),"",--MID('Key Analysis'!$C74,$A78-52,1))</f>
        <v/>
      </c>
      <c r="BD78" s="29" t="str">
        <f>IF(OR($B78="",$A78&lt;=53),"",--MID('Key Analysis'!$C74,$A78-53,1))</f>
        <v/>
      </c>
      <c r="BE78" s="29" t="str">
        <f>IF(OR($B78="",$A78&lt;=54),"",--MID('Key Analysis'!$C74,$A78-54,1))</f>
        <v/>
      </c>
      <c r="BF78" s="29" t="str">
        <f>IF(OR($B78="",$A78&lt;=55),"",--MID('Key Analysis'!$C74,$A78-55,1))</f>
        <v/>
      </c>
      <c r="BG78" s="29" t="str">
        <f>IF(OR($B78="",$A78&lt;=56),"",--MID('Key Analysis'!$C74,$A78-56,1))</f>
        <v/>
      </c>
      <c r="BH78" s="29" t="str">
        <f>IF(OR($B78="",$A78&lt;=57),"",--MID('Key Analysis'!$C74,$A78-57,1))</f>
        <v/>
      </c>
      <c r="BI78" s="29" t="str">
        <f>IF(OR($B78="",$A78&lt;=58),"",--MID('Key Analysis'!$C74,$A78-58,1))</f>
        <v/>
      </c>
      <c r="BJ78" s="29" t="str">
        <f>IF(OR($B78="",$A78&lt;=59),"",--MID('Key Analysis'!$C74,$A78-59,1))</f>
        <v/>
      </c>
      <c r="BK78" s="29" t="str">
        <f>IF(OR($B78="",$A78&lt;=60),"",--MID('Key Analysis'!$C74,$A78-60,1))</f>
        <v/>
      </c>
      <c r="BL78" s="29" t="str">
        <f>IF(OR($B78="",$A78&lt;=61),"",--MID('Key Analysis'!$C74,$A78-61,1))</f>
        <v/>
      </c>
      <c r="BM78" s="29" t="str">
        <f>IF(OR($B78="",$A78&lt;=62),"",--MID('Key Analysis'!$C74,$A78-62,1))</f>
        <v/>
      </c>
      <c r="BN78" s="29" t="str">
        <f>IF(OR($B78="",$A78&lt;=63),"",--MID('Key Analysis'!$C74,$A78-63,1))</f>
        <v/>
      </c>
      <c r="BO78" s="29" t="str">
        <f>IF(OR($B78="",$A78&lt;=64),"",--MID('Key Analysis'!$C74,$A78-64,1))</f>
        <v/>
      </c>
      <c r="BP78" s="29" t="str">
        <f>IF(OR($B78="",$A78&lt;=65),"",--MID('Key Analysis'!$C74,$A78-65,1))</f>
        <v/>
      </c>
      <c r="BQ78" s="29" t="str">
        <f>IF(OR($B78="",$A78&lt;=66),"",--MID('Key Analysis'!$C74,$A78-66,1))</f>
        <v/>
      </c>
      <c r="BR78" s="29" t="str">
        <f>IF(OR($B78="",$A78&lt;=67),"",--MID('Key Analysis'!$C74,$A78-67,1))</f>
        <v/>
      </c>
      <c r="BS78" s="29" t="str">
        <f>IF(OR($B78="",$A78&lt;=68),"",--MID('Key Analysis'!$C74,$A78-68,1))</f>
        <v/>
      </c>
      <c r="BT78" s="29" t="str">
        <f>IF(OR($B78="",$A78&lt;=69),"",--MID('Key Analysis'!$C74,$A78-69,1))</f>
        <v/>
      </c>
      <c r="BU78" s="29" t="str">
        <f>IF(OR($B78="",$A78&lt;=70),"",--MID('Key Analysis'!$C74,$A78-70,1))</f>
        <v/>
      </c>
      <c r="BV78" s="29" t="str">
        <f>IF(OR($B78="",$A78&lt;=71),"",--MID('Key Analysis'!$C74,$A78-71,1))</f>
        <v/>
      </c>
      <c r="BW78" s="29" t="str">
        <f>IF(OR($B78="",$A78&lt;=72),"",--MID('Key Analysis'!$C74,$A78-72,1))</f>
        <v/>
      </c>
      <c r="BX78" s="29" t="str">
        <f>IF(OR($B78="",$A78&lt;=73),"",--MID('Key Analysis'!$C74,$A78-73,1))</f>
        <v/>
      </c>
      <c r="BY78" s="29" t="str">
        <f>IF(OR($B78="",$A78&lt;=74),"",--MID('Key Analysis'!$C74,$A78-74,1))</f>
        <v/>
      </c>
      <c r="BZ78" s="29" t="str">
        <f>IF(OR($B78="",$A78&lt;=75),"",--MID('Key Analysis'!$C74,$A78-75,1))</f>
        <v/>
      </c>
      <c r="CA78" s="29" t="str">
        <f>IF(OR($B78="",$A78&lt;=76),"",--MID('Key Analysis'!$C74,$A78-76,1))</f>
        <v/>
      </c>
      <c r="CB78" s="29" t="str">
        <f>IF(OR($B78="",$A78&lt;=77),"",--MID('Key Analysis'!$C74,$A78-77,1))</f>
        <v/>
      </c>
      <c r="CC78" s="29" t="str">
        <f>IF(OR($B78="",$A78&lt;=78),"",--MID('Key Analysis'!$C74,$A78-78,1))</f>
        <v/>
      </c>
      <c r="CD78" s="29" t="str">
        <f>IF(OR($B78="",$A78&lt;=79),"",--MID('Key Analysis'!$C74,$A78-79,1))</f>
        <v/>
      </c>
      <c r="CE78" s="29" t="str">
        <f>IF(OR($B78="",$A78&lt;=80),"",--MID('Key Analysis'!$C74,$A78-80,1))</f>
        <v/>
      </c>
      <c r="CF78" s="29" t="str">
        <f>IF(OR($B78="",$A78&lt;=81),"",--MID('Key Analysis'!$C74,$A78-81,1))</f>
        <v/>
      </c>
      <c r="CG78" s="29" t="str">
        <f>IF(OR($B78="",$A78&lt;=82),"",--MID('Key Analysis'!$C74,$A78-82,1))</f>
        <v/>
      </c>
      <c r="CH78" s="29" t="str">
        <f>IF(OR($B78="",$A78&lt;=83),"",--MID('Key Analysis'!$C74,$A78-83,1))</f>
        <v/>
      </c>
      <c r="CI78" s="29" t="str">
        <f>IF(OR($B78="",$A78&lt;=84),"",--MID('Key Analysis'!$C74,$A78-84,1))</f>
        <v/>
      </c>
      <c r="CJ78" s="29" t="str">
        <f>IF(OR($B78="",$A78&lt;=85),"",--MID('Key Analysis'!$C74,$A78-85,1))</f>
        <v/>
      </c>
      <c r="CK78" s="29" t="str">
        <f>IF(OR($B78="",$A78&lt;=86),"",--MID('Key Analysis'!$C74,$A78-86,1))</f>
        <v/>
      </c>
      <c r="CL78" s="29" t="str">
        <f>IF(OR($B78="",$A78&lt;=87),"",--MID('Key Analysis'!$C74,$A78-87,1))</f>
        <v/>
      </c>
      <c r="CM78" s="29" t="str">
        <f>IF(OR($B78="",$A78&lt;=88),"",--MID('Key Analysis'!$C74,$A78-88,1))</f>
        <v/>
      </c>
      <c r="CN78" s="29" t="str">
        <f>IF(OR($B78="",$A78&lt;=89),"",--MID('Key Analysis'!$C74,$A78-89,1))</f>
        <v/>
      </c>
      <c r="CO78" s="29" t="str">
        <f>IF(OR($B78="",$A78&lt;=90),"",--MID('Key Analysis'!$C74,$A78-90,1))</f>
        <v/>
      </c>
      <c r="CP78" s="29" t="str">
        <f>IF(OR($B78="",$A78&lt;=91),"",--MID('Key Analysis'!$C74,$A78-91,1))</f>
        <v/>
      </c>
      <c r="CQ78" s="29" t="str">
        <f>IF(OR($B78="",$A78&lt;=92),"",--MID('Key Analysis'!$C74,$A78-92,1))</f>
        <v/>
      </c>
      <c r="CR78" s="29" t="str">
        <f>IF(OR($B78="",$A78&lt;=93),"",--MID('Key Analysis'!$C74,$A78-93,1))</f>
        <v/>
      </c>
      <c r="CS78" s="29" t="str">
        <f>IF(OR($B78="",$A78&lt;=94),"",--MID('Key Analysis'!$C74,$A78-94,1))</f>
        <v/>
      </c>
      <c r="CT78" s="29" t="str">
        <f>IF(OR($B78="",$A78&lt;=95),"",--MID('Key Analysis'!$C74,$A78-95,1))</f>
        <v/>
      </c>
      <c r="CU78" s="29" t="str">
        <f>IF(OR($B78="",$A78&lt;=96),"",--MID('Key Analysis'!$C74,$A78-96,1))</f>
        <v/>
      </c>
      <c r="CV78" s="29" t="str">
        <f>IF(OR($B78="",$A78&lt;=97),"",--MID('Key Analysis'!$C74,$A78-97,1))</f>
        <v/>
      </c>
      <c r="CW78" s="29" t="str">
        <f>IF(OR($B78="",$A78&lt;=98),"",--MID('Key Analysis'!$C74,$A78-98,1))</f>
        <v/>
      </c>
      <c r="CX78" s="29" t="str">
        <f>IF(OR($B78="",$A78&lt;=99),"",--MID('Key Analysis'!$C74,$A78-99,1))</f>
        <v/>
      </c>
      <c r="CY78" s="29" t="str">
        <f>IF(OR($B78="",$A78&lt;=100),"",--MID('Key Analysis'!$C74,$A78-100,1))</f>
        <v/>
      </c>
      <c r="CZ78" s="29" t="str">
        <f>IF(OR($B78="",$A78&lt;=101),"",--MID('Key Analysis'!$C74,$A78-101,1))</f>
        <v/>
      </c>
      <c r="DA78" s="29" t="str">
        <f>IF(OR($B78="",$A78&lt;=102),"",--MID('Key Analysis'!$C74,$A78-102,1))</f>
        <v/>
      </c>
      <c r="DB78" s="29" t="str">
        <f>IF(OR($B78="",$A78&lt;=103),"",--MID('Key Analysis'!$C74,$A78-103,1))</f>
        <v/>
      </c>
      <c r="DC78" s="29" t="str">
        <f>IF(OR($B78="",$A78&lt;=104),"",--MID('Key Analysis'!$C74,$A78-104,1))</f>
        <v/>
      </c>
      <c r="DD78" s="29" t="str">
        <f>IF(OR($B78="",$A78&lt;=105),"",--MID('Key Analysis'!$C74,$A78-105,1))</f>
        <v/>
      </c>
      <c r="DE78" s="29" t="str">
        <f>IF(OR($B78="",$A78&lt;=106),"",--MID('Key Analysis'!$C74,$A78-106,1))</f>
        <v/>
      </c>
      <c r="DF78" s="29" t="str">
        <f>IF(OR($B78="",$A78&lt;=107),"",--MID('Key Analysis'!$C74,$A78-107,1))</f>
        <v/>
      </c>
      <c r="DG78" s="29" t="str">
        <f>IF(OR($B78="",$A78&lt;=108),"",--MID('Key Analysis'!$C74,$A78-108,1))</f>
        <v/>
      </c>
      <c r="DH78" s="29" t="str">
        <f>IF(OR($B78="",$A78&lt;=109),"",--MID('Key Analysis'!$C74,$A78-109,1))</f>
        <v/>
      </c>
      <c r="DI78" s="29" t="str">
        <f>IF(OR($B78="",$A78&lt;=110),"",--MID('Key Analysis'!$C74,$A78-110,1))</f>
        <v/>
      </c>
      <c r="DJ78" s="29" t="str">
        <f>IF(OR($B78="",$A78&lt;=111),"",--MID('Key Analysis'!$C74,$A78-111,1))</f>
        <v/>
      </c>
      <c r="DK78" s="29" t="str">
        <f>IF(OR($B78="",$A78&lt;=112),"",--MID('Key Analysis'!$C74,$A78-112,1))</f>
        <v/>
      </c>
      <c r="DL78" s="29" t="str">
        <f>IF(OR($B78="",$A78&lt;=113),"",--MID('Key Analysis'!$C74,$A78-113,1))</f>
        <v/>
      </c>
      <c r="DM78" s="29" t="str">
        <f>IF(OR($B78="",$A78&lt;=114),"",--MID('Key Analysis'!$C74,$A78-114,1))</f>
        <v/>
      </c>
      <c r="DN78" s="29" t="str">
        <f>IF(OR($B78="",$A78&lt;=115),"",--MID('Key Analysis'!$C74,$A78-115,1))</f>
        <v/>
      </c>
      <c r="DO78" s="29" t="str">
        <f>IF(OR($B78="",$A78&lt;=116),"",--MID('Key Analysis'!$C74,$A78-116,1))</f>
        <v/>
      </c>
      <c r="DP78" s="29" t="str">
        <f>IF(OR($B78="",$A78&lt;=117),"",--MID('Key Analysis'!$C74,$A78-117,1))</f>
        <v/>
      </c>
      <c r="DQ78" s="29" t="str">
        <f>IF(OR($B78="",$A78&lt;=118),"",--MID('Key Analysis'!$C74,$A78-118,1))</f>
        <v/>
      </c>
      <c r="DR78" s="29" t="str">
        <f>IF(OR($B78="",$A78&lt;=119),"",--MID('Key Analysis'!$C74,$A78-119,1))</f>
        <v/>
      </c>
      <c r="DS78" s="29" t="str">
        <f>IF(OR($B78="",$A78&lt;=120),"",--MID('Key Analysis'!$C74,$A78-120,1))</f>
        <v/>
      </c>
      <c r="DT78" s="29" t="str">
        <f>IF(OR($B78="",$A78&lt;=121),"",--MID('Key Analysis'!$C74,$A78-121,1))</f>
        <v/>
      </c>
      <c r="DU78" s="29" t="str">
        <f>IF(OR($B78="",$A78&lt;=122),"",--MID('Key Analysis'!$C74,$A78-122,1))</f>
        <v/>
      </c>
      <c r="DV78" s="29" t="str">
        <f>IF(OR($B78="",$A78&lt;=123),"",--MID('Key Analysis'!$C74,$A78-123,1))</f>
        <v/>
      </c>
      <c r="DW78" s="29" t="str">
        <f>IF(OR($B78="",$A78&lt;=124),"",--MID('Key Analysis'!$C74,$A78-124,1))</f>
        <v/>
      </c>
      <c r="DX78" s="29" t="str">
        <f>IF(OR($B78="",$A78&lt;=125),"",--MID('Key Analysis'!$C74,$A78-125,1))</f>
        <v/>
      </c>
      <c r="DY78" s="29" t="str">
        <f>IF(OR($B78="",$A78&lt;=126),"",--MID('Key Analysis'!$C74,$A78-126,1))</f>
        <v/>
      </c>
      <c r="DZ78" s="29" t="str">
        <f>IF(OR($B78="",$A78&lt;=127),"",--MID('Key Analysis'!$C74,$A78-127,1))</f>
        <v/>
      </c>
      <c r="EA78" s="29" t="str">
        <f>IF(OR($B78="",$A78&lt;=128),"",--MID('Key Analysis'!$C74,$A78-128,1))</f>
        <v/>
      </c>
      <c r="EB78" s="29" t="str">
        <f>IF(OR($B78="",$A78&lt;=129),"",--MID('Key Analysis'!$C74,$A78-129,1))</f>
        <v/>
      </c>
      <c r="EC78" s="29" t="str">
        <f>IF(OR($B78="",$A78&lt;=130),"",--MID('Key Analysis'!$C74,$A78-130,1))</f>
        <v/>
      </c>
      <c r="ED78" s="29" t="str">
        <f>IF(OR($B78="",$A78&lt;=131),"",--MID('Key Analysis'!$C74,$A78-131,1))</f>
        <v/>
      </c>
      <c r="EE78" s="29" t="str">
        <f>IF(OR($B78="",$A78&lt;=132),"",--MID('Key Analysis'!$C74,$A78-132,1))</f>
        <v/>
      </c>
      <c r="EF78" s="29" t="str">
        <f>IF(OR($B78="",$A78&lt;=133),"",--MID('Key Analysis'!$C74,$A78-133,1))</f>
        <v/>
      </c>
      <c r="EG78" s="29" t="str">
        <f>IF(OR($B78="",$A78&lt;=134),"",--MID('Key Analysis'!$C74,$A78-134,1))</f>
        <v/>
      </c>
      <c r="EH78" s="29"/>
      <c r="EI78" s="29" t="str">
        <f>IF(OR($B78="",$A78&lt;1),"",--MID('Key Analysis'!$C74,1,1))</f>
        <v/>
      </c>
      <c r="EJ78" s="29" t="str">
        <f>IF(OR($B78="",$A78&lt;2),"",--MID('Key Analysis'!$C74,2,1))</f>
        <v/>
      </c>
      <c r="EK78" s="29" t="str">
        <f>IF(OR($B78="",$A78&lt;3),"",--MID('Key Analysis'!$C74,3,1))</f>
        <v/>
      </c>
      <c r="EL78" s="29" t="str">
        <f>IF(OR($B78="",$A78&lt;4),"",--MID('Key Analysis'!$C74,4,1))</f>
        <v/>
      </c>
      <c r="EM78" s="29" t="str">
        <f>IF(OR($B78="",$A78&lt;5),"",--MID('Key Analysis'!$C74,5,1))</f>
        <v/>
      </c>
      <c r="EN78" s="29" t="str">
        <f>IF(OR($B78="",$A78&lt;6),"",--MID('Key Analysis'!$C74,6,1))</f>
        <v/>
      </c>
      <c r="EO78" s="29" t="str">
        <f>IF(OR($B78="",$A78&lt;7),"",--MID('Key Analysis'!$C74,7,1))</f>
        <v/>
      </c>
      <c r="EP78" s="29" t="str">
        <f>IF(OR($B78="",$A78&lt;8),"",--MID('Key Analysis'!$C74,8,1))</f>
        <v/>
      </c>
      <c r="EQ78" s="29" t="str">
        <f>IF(OR($B78="",$A78&lt;9),"",--MID('Key Analysis'!$C74,9,1))</f>
        <v/>
      </c>
      <c r="ER78" s="29" t="str">
        <f>IF(OR($B78="",$A78&lt;10),"",--MID('Key Analysis'!$C74,10,1))</f>
        <v/>
      </c>
      <c r="ES78" s="29" t="str">
        <f>IF(OR($B78="",$A78&lt;11),"",--MID('Key Analysis'!$C74,11,1))</f>
        <v/>
      </c>
      <c r="ET78" s="29" t="str">
        <f>IF(OR($B78="",$A78&lt;12),"",--MID('Key Analysis'!$C74,12,1))</f>
        <v/>
      </c>
      <c r="EU78" s="29" t="str">
        <f>IF(OR($B78="",$A78&lt;13),"",--MID('Key Analysis'!$C74,13,1))</f>
        <v/>
      </c>
      <c r="EV78" s="29" t="str">
        <f>IF(OR($B78="",$A78&lt;14),"",--MID('Key Analysis'!$C74,14,1))</f>
        <v/>
      </c>
      <c r="EW78" s="29" t="str">
        <f>IF(OR($B78="",$A78&lt;15),"",--MID('Key Analysis'!$C74,15,1))</f>
        <v/>
      </c>
      <c r="EX78" s="29" t="str">
        <f>IF(OR($B78="",$A78&lt;16),"",--MID('Key Analysis'!$C74,16,1))</f>
        <v/>
      </c>
      <c r="EY78" s="29" t="str">
        <f>IF(OR($B78="",$A78&lt;17),"",--MID('Key Analysis'!$C74,17,1))</f>
        <v/>
      </c>
      <c r="EZ78" s="29" t="str">
        <f>IF(OR($B78="",$A78&lt;18),"",--MID('Key Analysis'!$C74,18,1))</f>
        <v/>
      </c>
      <c r="FA78" s="29" t="str">
        <f>IF(OR($B78="",$A78&lt;19),"",--MID('Key Analysis'!$C74,19,1))</f>
        <v/>
      </c>
      <c r="FB78" s="29" t="str">
        <f>IF(OR($B78="",$A78&lt;20),"",--MID('Key Analysis'!$C74,20,1))</f>
        <v/>
      </c>
      <c r="FC78" s="29" t="str">
        <f>IF(OR($B78="",$A78&lt;21),"",--MID('Key Analysis'!$C74,21,1))</f>
        <v/>
      </c>
      <c r="FD78" s="29" t="str">
        <f>IF(OR($B78="",$A78&lt;22),"",--MID('Key Analysis'!$C74,22,1))</f>
        <v/>
      </c>
      <c r="FE78" s="29" t="str">
        <f>IF(OR($B78="",$A78&lt;23),"",--MID('Key Analysis'!$C74,23,1))</f>
        <v/>
      </c>
      <c r="FF78" s="29" t="str">
        <f>IF(OR($B78="",$A78&lt;24),"",--MID('Key Analysis'!$C74,24,1))</f>
        <v/>
      </c>
      <c r="FG78" s="29" t="str">
        <f>IF(OR($B78="",$A78&lt;25),"",--MID('Key Analysis'!$C74,25,1))</f>
        <v/>
      </c>
      <c r="FH78" s="29" t="str">
        <f>IF(OR($B78="",$A78&lt;26),"",--MID('Key Analysis'!$C74,26,1))</f>
        <v/>
      </c>
      <c r="FI78" s="29" t="str">
        <f>IF(OR($B78="",$A78&lt;27),"",--MID('Key Analysis'!$C74,27,1))</f>
        <v/>
      </c>
      <c r="FJ78" s="29" t="str">
        <f>IF(OR($B78="",$A78&lt;28),"",--MID('Key Analysis'!$C74,28,1))</f>
        <v/>
      </c>
      <c r="FK78" s="29" t="str">
        <f>IF(OR($B78="",$A78&lt;29),"",--MID('Key Analysis'!$C74,29,1))</f>
        <v/>
      </c>
      <c r="FL78" s="29" t="str">
        <f>IF(OR($B78="",$A78&lt;30),"",--MID('Key Analysis'!$C74,30,1))</f>
        <v/>
      </c>
      <c r="FM78" s="29" t="str">
        <f>IF(OR($B78="",$A78&lt;31),"",--MID('Key Analysis'!$C74,31,1))</f>
        <v/>
      </c>
      <c r="FN78" s="29" t="str">
        <f>IF(OR($B78="",$A78&lt;32),"",--MID('Key Analysis'!$C74,32,1))</f>
        <v/>
      </c>
      <c r="FO78" s="29" t="str">
        <f>IF(OR($B78="",$A78&lt;33),"",--MID('Key Analysis'!$C74,33,1))</f>
        <v/>
      </c>
      <c r="FP78" s="29" t="str">
        <f>IF(OR($B78="",$A78&lt;34),"",--MID('Key Analysis'!$C74,34,1))</f>
        <v/>
      </c>
      <c r="FQ78" s="29" t="str">
        <f>IF(OR($B78="",$A78&lt;35),"",--MID('Key Analysis'!$C74,35,1))</f>
        <v/>
      </c>
      <c r="FR78" s="29" t="str">
        <f>IF(OR($B78="",$A78&lt;36),"",--MID('Key Analysis'!$C74,36,1))</f>
        <v/>
      </c>
      <c r="FS78" s="29" t="str">
        <f>IF(OR($B78="",$A78&lt;37),"",--MID('Key Analysis'!$C74,37,1))</f>
        <v/>
      </c>
      <c r="FT78" s="29" t="str">
        <f>IF(OR($B78="",$A78&lt;38),"",--MID('Key Analysis'!$C74,38,1))</f>
        <v/>
      </c>
      <c r="FU78" s="29" t="str">
        <f>IF(OR($B78="",$A78&lt;39),"",--MID('Key Analysis'!$C74,39,1))</f>
        <v/>
      </c>
      <c r="FV78" s="29" t="str">
        <f>IF(OR($B78="",$A78&lt;40),"",--MID('Key Analysis'!$C74,40,1))</f>
        <v/>
      </c>
      <c r="FW78" s="29" t="str">
        <f>IF(OR($B78="",$A78&lt;41),"",--MID('Key Analysis'!$C74,41,1))</f>
        <v/>
      </c>
      <c r="FX78" s="29" t="str">
        <f>IF(OR($B78="",$A78&lt;42),"",--MID('Key Analysis'!$C74,42,1))</f>
        <v/>
      </c>
      <c r="FY78" s="29" t="str">
        <f>IF(OR($B78="",$A78&lt;43),"",--MID('Key Analysis'!$C74,43,1))</f>
        <v/>
      </c>
      <c r="FZ78" s="29" t="str">
        <f>IF(OR($B78="",$A78&lt;44),"",--MID('Key Analysis'!$C74,44,1))</f>
        <v/>
      </c>
      <c r="GA78" s="29" t="str">
        <f>IF(OR($B78="",$A78&lt;45),"",--MID('Key Analysis'!$C74,45,1))</f>
        <v/>
      </c>
      <c r="GB78" s="29" t="str">
        <f>IF(OR($B78="",$A78&lt;46),"",--MID('Key Analysis'!$C74,46,1))</f>
        <v/>
      </c>
      <c r="GC78" s="29" t="str">
        <f>IF(OR($B78="",$A78&lt;47),"",--MID('Key Analysis'!$C74,47,1))</f>
        <v/>
      </c>
      <c r="GD78" s="29" t="str">
        <f>IF(OR($B78="",$A78&lt;48),"",--MID('Key Analysis'!$C74,48,1))</f>
        <v/>
      </c>
      <c r="GE78" s="29" t="str">
        <f>IF(OR($B78="",$A78&lt;49),"",--MID('Key Analysis'!$C74,49,1))</f>
        <v/>
      </c>
      <c r="GF78" s="29" t="str">
        <f>IF(OR($B78="",$A78&lt;50),"",--MID('Key Analysis'!$C74,50,1))</f>
        <v/>
      </c>
      <c r="GG78" s="29" t="str">
        <f>IF(OR($B78="",$A78&lt;51),"",--MID('Key Analysis'!$C74,51,1))</f>
        <v/>
      </c>
      <c r="GH78" s="29" t="str">
        <f>IF(OR($B78="",$A78&lt;52),"",--MID('Key Analysis'!$C74,52,1))</f>
        <v/>
      </c>
      <c r="GI78" s="29" t="str">
        <f>IF(OR($B78="",$A78&lt;53),"",--MID('Key Analysis'!$C74,53,1))</f>
        <v/>
      </c>
      <c r="GJ78" s="29" t="str">
        <f>IF(OR($B78="",$A78&lt;54),"",--MID('Key Analysis'!$C74,54,1))</f>
        <v/>
      </c>
      <c r="GK78" s="29" t="str">
        <f>IF(OR($B78="",$A78&lt;55),"",--MID('Key Analysis'!$C74,55,1))</f>
        <v/>
      </c>
      <c r="GL78" s="29" t="str">
        <f>IF(OR($B78="",$A78&lt;56),"",--MID('Key Analysis'!$C74,56,1))</f>
        <v/>
      </c>
      <c r="GM78" s="29" t="str">
        <f>IF(OR($B78="",$A78&lt;57),"",--MID('Key Analysis'!$C74,57,1))</f>
        <v/>
      </c>
      <c r="GN78" s="29" t="str">
        <f>IF(OR($B78="",$A78&lt;58),"",--MID('Key Analysis'!$C74,58,1))</f>
        <v/>
      </c>
      <c r="GO78" s="29" t="str">
        <f>IF(OR($B78="",$A78&lt;59),"",--MID('Key Analysis'!$C74,59,1))</f>
        <v/>
      </c>
      <c r="GP78" s="29" t="str">
        <f>IF(OR($B78="",$A78&lt;60),"",--MID('Key Analysis'!$C74,60,1))</f>
        <v/>
      </c>
      <c r="GQ78" s="29" t="str">
        <f>IF(OR($B78="",$A78&lt;61),"",--MID('Key Analysis'!$C74,61,1))</f>
        <v/>
      </c>
      <c r="GR78" s="29" t="str">
        <f>IF(OR($B78="",$A78&lt;62),"",--MID('Key Analysis'!$C74,62,1))</f>
        <v/>
      </c>
      <c r="GS78" s="29" t="str">
        <f>IF(OR($B78="",$A78&lt;63),"",--MID('Key Analysis'!$C74,63,1))</f>
        <v/>
      </c>
      <c r="GT78" s="29" t="str">
        <f>IF(OR($B78="",$A78&lt;64),"",--MID('Key Analysis'!$C74,64,1))</f>
        <v/>
      </c>
      <c r="GU78" s="29" t="str">
        <f>IF(OR($B78="",$A78&lt;65),"",--MID('Key Analysis'!$C74,65,1))</f>
        <v/>
      </c>
      <c r="GV78" s="29" t="str">
        <f>IF(OR($B78="",$A78&lt;66),"",--MID('Key Analysis'!$C74,66,1))</f>
        <v/>
      </c>
      <c r="GW78" s="29" t="str">
        <f>IF(OR($B78="",$A78&lt;67),"",--MID('Key Analysis'!$C74,67,1))</f>
        <v/>
      </c>
      <c r="GX78" s="29" t="str">
        <f>IF(OR($B78="",$A78&lt;68),"",--MID('Key Analysis'!$C74,68,1))</f>
        <v/>
      </c>
      <c r="GY78" s="29" t="str">
        <f>IF(OR($B78="",$A78&lt;69),"",--MID('Key Analysis'!$C74,69,1))</f>
        <v/>
      </c>
      <c r="GZ78" s="29" t="str">
        <f>IF(OR($B78="",$A78&lt;70),"",--MID('Key Analysis'!$C74,70,1))</f>
        <v/>
      </c>
      <c r="HA78" s="29" t="str">
        <f>IF(OR($B78="",$A78&lt;71),"",--MID('Key Analysis'!$C74,71,1))</f>
        <v/>
      </c>
      <c r="HB78" s="29" t="str">
        <f>IF(OR($B78="",$A78&lt;72),"",--MID('Key Analysis'!$C74,72,1))</f>
        <v/>
      </c>
      <c r="HC78" s="29" t="str">
        <f>IF(OR($B78="",$A78&lt;73),"",--MID('Key Analysis'!$C74,73,1))</f>
        <v/>
      </c>
      <c r="HD78" s="29" t="str">
        <f>IF(OR($B78="",$A78&lt;74),"",--MID('Key Analysis'!$C74,74,1))</f>
        <v/>
      </c>
      <c r="HE78" s="29" t="str">
        <f>IF(OR($B78="",$A78&lt;75),"",--MID('Key Analysis'!$C74,75,1))</f>
        <v/>
      </c>
      <c r="HF78" s="29" t="str">
        <f>IF(OR($B78="",$A78&lt;76),"",--MID('Key Analysis'!$C74,76,1))</f>
        <v/>
      </c>
      <c r="HG78" s="29" t="str">
        <f>IF(OR($B78="",$A78&lt;77),"",--MID('Key Analysis'!$C74,77,1))</f>
        <v/>
      </c>
      <c r="HH78" s="29" t="str">
        <f>IF(OR($B78="",$A78&lt;78),"",--MID('Key Analysis'!$C74,78,1))</f>
        <v/>
      </c>
      <c r="HI78" s="29" t="str">
        <f>IF(OR($B78="",$A78&lt;79),"",--MID('Key Analysis'!$C74,79,1))</f>
        <v/>
      </c>
      <c r="HJ78" s="29" t="str">
        <f>IF(OR($B78="",$A78&lt;80),"",--MID('Key Analysis'!$C74,80,1))</f>
        <v/>
      </c>
      <c r="HK78" s="29" t="str">
        <f>IF(OR($B78="",$A78&lt;81),"",--MID('Key Analysis'!$C74,81,1))</f>
        <v/>
      </c>
      <c r="HL78" s="29" t="str">
        <f>IF(OR($B78="",$A78&lt;82),"",--MID('Key Analysis'!$C74,82,1))</f>
        <v/>
      </c>
      <c r="HM78" s="29" t="str">
        <f>IF(OR($B78="",$A78&lt;83),"",--MID('Key Analysis'!$C74,83,1))</f>
        <v/>
      </c>
      <c r="HN78" s="29" t="str">
        <f>IF(OR($B78="",$A78&lt;84),"",--MID('Key Analysis'!$C74,84,1))</f>
        <v/>
      </c>
      <c r="HO78" s="29" t="str">
        <f>IF(OR($B78="",$A78&lt;85),"",--MID('Key Analysis'!$C74,85,1))</f>
        <v/>
      </c>
      <c r="HP78" s="29" t="str">
        <f>IF(OR($B78="",$A78&lt;86),"",--MID('Key Analysis'!$C74,86,1))</f>
        <v/>
      </c>
      <c r="HQ78" s="29" t="str">
        <f>IF(OR($B78="",$A78&lt;87),"",--MID('Key Analysis'!$C74,87,1))</f>
        <v/>
      </c>
      <c r="HR78" s="29" t="str">
        <f>IF(OR($B78="",$A78&lt;88),"",--MID('Key Analysis'!$C74,88,1))</f>
        <v/>
      </c>
      <c r="HS78" s="29" t="str">
        <f>IF(OR($B78="",$A78&lt;89),"",--MID('Key Analysis'!$C74,89,1))</f>
        <v/>
      </c>
      <c r="HT78" s="29" t="str">
        <f>IF(OR($B78="",$A78&lt;90),"",--MID('Key Analysis'!$C74,90,1))</f>
        <v/>
      </c>
      <c r="HU78" s="29" t="str">
        <f>IF(OR($B78="",$A78&lt;91),"",--MID('Key Analysis'!$C74,91,1))</f>
        <v/>
      </c>
      <c r="HV78" s="29" t="str">
        <f>IF(OR($B78="",$A78&lt;92),"",--MID('Key Analysis'!$C74,92,1))</f>
        <v/>
      </c>
      <c r="HW78" s="29" t="str">
        <f>IF(OR($B78="",$A78&lt;93),"",--MID('Key Analysis'!$C74,93,1))</f>
        <v/>
      </c>
      <c r="HX78" s="29" t="str">
        <f>IF(OR($B78="",$A78&lt;94),"",--MID('Key Analysis'!$C74,94,1))</f>
        <v/>
      </c>
      <c r="HY78" s="29" t="str">
        <f>IF(OR($B78="",$A78&lt;95),"",--MID('Key Analysis'!$C74,95,1))</f>
        <v/>
      </c>
      <c r="HZ78" s="29" t="str">
        <f>IF(OR($B78="",$A78&lt;96),"",--MID('Key Analysis'!$C74,96,1))</f>
        <v/>
      </c>
      <c r="IA78" s="29" t="str">
        <f>IF(OR($B78="",$A78&lt;97),"",--MID('Key Analysis'!$C74,97,1))</f>
        <v/>
      </c>
      <c r="IB78" s="29" t="str">
        <f>IF(OR($B78="",$A78&lt;98),"",--MID('Key Analysis'!$C74,98,1))</f>
        <v/>
      </c>
      <c r="IC78" s="29" t="str">
        <f>IF(OR($B78="",$A78&lt;99),"",--MID('Key Analysis'!$C74,99,1))</f>
        <v/>
      </c>
      <c r="ID78" s="29" t="str">
        <f>IF(OR($B78="",$A78&lt;100),"",--MID('Key Analysis'!$C74,100,1))</f>
        <v/>
      </c>
      <c r="IE78" s="29" t="str">
        <f>IF(OR($B78="",$A78&lt;101),"",--MID('Key Analysis'!$C74,101,1))</f>
        <v/>
      </c>
      <c r="IF78" s="29" t="str">
        <f>IF(OR($B78="",$A78&lt;102),"",--MID('Key Analysis'!$C74,102,1))</f>
        <v/>
      </c>
      <c r="IG78" s="29" t="str">
        <f>IF(OR($B78="",$A78&lt;103),"",--MID('Key Analysis'!$C74,103,1))</f>
        <v/>
      </c>
      <c r="IH78" s="29" t="str">
        <f>IF(OR($B78="",$A78&lt;104),"",--MID('Key Analysis'!$C74,104,1))</f>
        <v/>
      </c>
      <c r="II78" s="29" t="str">
        <f>IF(OR($B78="",$A78&lt;105),"",--MID('Key Analysis'!$C74,105,1))</f>
        <v/>
      </c>
      <c r="IJ78" s="29" t="str">
        <f>IF(OR($B78="",$A78&lt;106),"",--MID('Key Analysis'!$C74,106,1))</f>
        <v/>
      </c>
      <c r="IK78" s="29" t="str">
        <f>IF(OR($B78="",$A78&lt;107),"",--MID('Key Analysis'!$C74,107,1))</f>
        <v/>
      </c>
      <c r="IL78" s="29" t="str">
        <f>IF(OR($B78="",$A78&lt;108),"",--MID('Key Analysis'!$C74,108,1))</f>
        <v/>
      </c>
      <c r="IM78" s="29" t="str">
        <f>IF(OR($B78="",$A78&lt;109),"",--MID('Key Analysis'!$C74,109,1))</f>
        <v/>
      </c>
      <c r="IN78" s="29" t="str">
        <f>IF(OR($B78="",$A78&lt;110),"",--MID('Key Analysis'!$C74,110,1))</f>
        <v/>
      </c>
      <c r="IO78" s="29" t="str">
        <f>IF(OR($B78="",$A78&lt;111),"",--MID('Key Analysis'!$C74,111,1))</f>
        <v/>
      </c>
      <c r="IP78" s="29" t="str">
        <f>IF(OR($B78="",$A78&lt;112),"",--MID('Key Analysis'!$C74,112,1))</f>
        <v/>
      </c>
      <c r="IQ78" s="29" t="str">
        <f>IF(OR($B78="",$A78&lt;113),"",--MID('Key Analysis'!$C74,113,1))</f>
        <v/>
      </c>
      <c r="IR78" s="29" t="str">
        <f>IF(OR($B78="",$A78&lt;114),"",--MID('Key Analysis'!$C74,114,1))</f>
        <v/>
      </c>
      <c r="IS78" s="29" t="str">
        <f>IF(OR($B78="",$A78&lt;115),"",--MID('Key Analysis'!$C74,115,1))</f>
        <v/>
      </c>
      <c r="IT78" s="29" t="str">
        <f>IF(OR($B78="",$A78&lt;116),"",--MID('Key Analysis'!$C74,116,1))</f>
        <v/>
      </c>
      <c r="IU78" s="29" t="str">
        <f>IF(OR($B78="",$A78&lt;117),"",--MID('Key Analysis'!$C74,117,1))</f>
        <v/>
      </c>
      <c r="IV78" s="29" t="str">
        <f>IF(OR($B78="",$A78&lt;118),"",--MID('Key Analysis'!$C74,118,1))</f>
        <v/>
      </c>
      <c r="IW78" s="29" t="str">
        <f>IF(OR($B78="",$A78&lt;119),"",--MID('Key Analysis'!$C74,119,1))</f>
        <v/>
      </c>
      <c r="IX78" s="29" t="str">
        <f>IF(OR($B78="",$A78&lt;120),"",--MID('Key Analysis'!$C74,120,1))</f>
        <v/>
      </c>
      <c r="IY78" s="29" t="str">
        <f>IF(OR($B78="",$A78&lt;121),"",--MID('Key Analysis'!$C74,121,1))</f>
        <v/>
      </c>
      <c r="IZ78" s="29" t="str">
        <f>IF(OR($B78="",$A78&lt;122),"",--MID('Key Analysis'!$C74,122,1))</f>
        <v/>
      </c>
      <c r="JA78" s="29" t="str">
        <f>IF(OR($B78="",$A78&lt;123),"",--MID('Key Analysis'!$C74,123,1))</f>
        <v/>
      </c>
      <c r="JB78" s="29" t="str">
        <f>IF(OR($B78="",$A78&lt;124),"",--MID('Key Analysis'!$C74,124,1))</f>
        <v/>
      </c>
      <c r="JC78" s="29" t="str">
        <f>IF(OR($B78="",$A78&lt;125),"",--MID('Key Analysis'!$C74,125,1))</f>
        <v/>
      </c>
      <c r="JD78" s="29" t="str">
        <f>IF(OR($B78="",$A78&lt;126),"",--MID('Key Analysis'!$C74,126,1))</f>
        <v/>
      </c>
      <c r="JE78" s="29" t="str">
        <f>IF(OR($B78="",$A78&lt;127),"",--MID('Key Analysis'!$C74,127,1))</f>
        <v/>
      </c>
      <c r="JF78" s="29" t="str">
        <f>IF(OR($B78="",$A78&lt;128),"",--MID('Key Analysis'!$C74,128,1))</f>
        <v/>
      </c>
      <c r="JG78" s="29" t="str">
        <f>IF(OR($B78="",$A78&lt;129),"",--MID('Key Analysis'!$C74,129,1))</f>
        <v/>
      </c>
      <c r="JH78" s="29" t="str">
        <f>IF(OR($B78="",$A78&lt;130),"",--MID('Key Analysis'!$C74,130,1))</f>
        <v/>
      </c>
      <c r="JI78" s="29" t="str">
        <f>IF(OR($B78="",$A78&lt;131),"",--MID('Key Analysis'!$C74,131,1))</f>
        <v/>
      </c>
      <c r="JJ78" s="29" t="str">
        <f>IF(OR($B78="",$A78&lt;132),"",--MID('Key Analysis'!$C74,132,1))</f>
        <v/>
      </c>
      <c r="JK78" s="29" t="str">
        <f>IF(OR($B78="",$A78&lt;133),"",--MID('Key Analysis'!$C74,133,1))</f>
        <v/>
      </c>
      <c r="JL78" s="29" t="str">
        <f>IF(OR($B78="",$A78&lt;134),"",--MID('Key Analysis'!$C74,134,1))</f>
        <v/>
      </c>
      <c r="JM78" s="29" t="str">
        <f>IF(OR($B78="",$A78&lt;135),"",--MID('Key Analysis'!$C74,135,1))</f>
        <v/>
      </c>
    </row>
    <row r="79" spans="1:273" x14ac:dyDescent="0.25">
      <c r="A79" s="21">
        <f>'Key Analysis'!A75</f>
        <v>74</v>
      </c>
      <c r="B79" s="30" t="str">
        <f>'Key Analysis'!B75</f>
        <v/>
      </c>
      <c r="C79" s="29" t="str">
        <f>IF(OR($B79="",$A79&lt;=0),"",--MID('Key Analysis'!$C75,$A79-0,1))</f>
        <v/>
      </c>
      <c r="D79" s="29" t="str">
        <f>IF(OR($B79="",$A79&lt;=1),"",--MID('Key Analysis'!$C75,$A79-1,1))</f>
        <v/>
      </c>
      <c r="E79" s="29" t="str">
        <f>IF(OR($B79="",$A79&lt;=2),"",--MID('Key Analysis'!$C75,$A79-2,1))</f>
        <v/>
      </c>
      <c r="F79" s="29" t="str">
        <f>IF(OR($B79="",$A79&lt;=3),"",--MID('Key Analysis'!$C75,$A79-3,1))</f>
        <v/>
      </c>
      <c r="G79" s="29" t="str">
        <f>IF(OR($B79="",$A79&lt;=4),"",--MID('Key Analysis'!$C75,$A79-4,1))</f>
        <v/>
      </c>
      <c r="H79" s="29" t="str">
        <f>IF(OR($B79="",$A79&lt;=5),"",--MID('Key Analysis'!$C75,$A79-5,1))</f>
        <v/>
      </c>
      <c r="I79" s="29" t="str">
        <f>IF(OR($B79="",$A79&lt;=6),"",--MID('Key Analysis'!$C75,$A79-6,1))</f>
        <v/>
      </c>
      <c r="J79" s="29" t="str">
        <f>IF(OR($B79="",$A79&lt;=7),"",--MID('Key Analysis'!$C75,$A79-7,1))</f>
        <v/>
      </c>
      <c r="K79" s="29" t="str">
        <f>IF(OR($B79="",$A79&lt;=8),"",--MID('Key Analysis'!$C75,$A79-8,1))</f>
        <v/>
      </c>
      <c r="L79" s="29" t="str">
        <f>IF(OR($B79="",$A79&lt;=9),"",--MID('Key Analysis'!$C75,$A79-9,1))</f>
        <v/>
      </c>
      <c r="M79" s="29" t="str">
        <f>IF(OR($B79="",$A79&lt;=10),"",--MID('Key Analysis'!$C75,$A79-10,1))</f>
        <v/>
      </c>
      <c r="N79" s="29" t="str">
        <f>IF(OR($B79="",$A79&lt;=11),"",--MID('Key Analysis'!$C75,$A79-11,1))</f>
        <v/>
      </c>
      <c r="O79" s="29" t="str">
        <f>IF(OR($B79="",$A79&lt;=12),"",--MID('Key Analysis'!$C75,$A79-12,1))</f>
        <v/>
      </c>
      <c r="P79" s="29" t="str">
        <f>IF(OR($B79="",$A79&lt;=13),"",--MID('Key Analysis'!$C75,$A79-13,1))</f>
        <v/>
      </c>
      <c r="Q79" s="29" t="str">
        <f>IF(OR($B79="",$A79&lt;=14),"",--MID('Key Analysis'!$C75,$A79-14,1))</f>
        <v/>
      </c>
      <c r="R79" s="29" t="str">
        <f>IF(OR($B79="",$A79&lt;=15),"",--MID('Key Analysis'!$C75,$A79-15,1))</f>
        <v/>
      </c>
      <c r="S79" s="29" t="str">
        <f>IF(OR($B79="",$A79&lt;=16),"",--MID('Key Analysis'!$C75,$A79-16,1))</f>
        <v/>
      </c>
      <c r="T79" s="29" t="str">
        <f>IF(OR($B79="",$A79&lt;=17),"",--MID('Key Analysis'!$C75,$A79-17,1))</f>
        <v/>
      </c>
      <c r="U79" s="29" t="str">
        <f>IF(OR($B79="",$A79&lt;=18),"",--MID('Key Analysis'!$C75,$A79-18,1))</f>
        <v/>
      </c>
      <c r="V79" s="29" t="str">
        <f>IF(OR($B79="",$A79&lt;=19),"",--MID('Key Analysis'!$C75,$A79-19,1))</f>
        <v/>
      </c>
      <c r="W79" s="29" t="str">
        <f>IF(OR($B79="",$A79&lt;=20),"",--MID('Key Analysis'!$C75,$A79-20,1))</f>
        <v/>
      </c>
      <c r="X79" s="29" t="str">
        <f>IF(OR($B79="",$A79&lt;=21),"",--MID('Key Analysis'!$C75,$A79-21,1))</f>
        <v/>
      </c>
      <c r="Y79" s="29" t="str">
        <f>IF(OR($B79="",$A79&lt;=22),"",--MID('Key Analysis'!$C75,$A79-22,1))</f>
        <v/>
      </c>
      <c r="Z79" s="29" t="str">
        <f>IF(OR($B79="",$A79&lt;=23),"",--MID('Key Analysis'!$C75,$A79-23,1))</f>
        <v/>
      </c>
      <c r="AA79" s="29" t="str">
        <f>IF(OR($B79="",$A79&lt;=24),"",--MID('Key Analysis'!$C75,$A79-24,1))</f>
        <v/>
      </c>
      <c r="AB79" s="29" t="str">
        <f>IF(OR($B79="",$A79&lt;=25),"",--MID('Key Analysis'!$C75,$A79-25,1))</f>
        <v/>
      </c>
      <c r="AC79" s="29" t="str">
        <f>IF(OR($B79="",$A79&lt;=26),"",--MID('Key Analysis'!$C75,$A79-26,1))</f>
        <v/>
      </c>
      <c r="AD79" s="29" t="str">
        <f>IF(OR($B79="",$A79&lt;=27),"",--MID('Key Analysis'!$C75,$A79-27,1))</f>
        <v/>
      </c>
      <c r="AE79" s="29" t="str">
        <f>IF(OR($B79="",$A79&lt;=28),"",--MID('Key Analysis'!$C75,$A79-28,1))</f>
        <v/>
      </c>
      <c r="AF79" s="29" t="str">
        <f>IF(OR($B79="",$A79&lt;=29),"",--MID('Key Analysis'!$C75,$A79-29,1))</f>
        <v/>
      </c>
      <c r="AG79" s="29" t="str">
        <f>IF(OR($B79="",$A79&lt;=30),"",--MID('Key Analysis'!$C75,$A79-30,1))</f>
        <v/>
      </c>
      <c r="AH79" s="29" t="str">
        <f>IF(OR($B79="",$A79&lt;=31),"",--MID('Key Analysis'!$C75,$A79-31,1))</f>
        <v/>
      </c>
      <c r="AI79" s="29" t="str">
        <f>IF(OR($B79="",$A79&lt;=32),"",--MID('Key Analysis'!$C75,$A79-32,1))</f>
        <v/>
      </c>
      <c r="AJ79" s="29" t="str">
        <f>IF(OR($B79="",$A79&lt;=33),"",--MID('Key Analysis'!$C75,$A79-33,1))</f>
        <v/>
      </c>
      <c r="AK79" s="29" t="str">
        <f>IF(OR($B79="",$A79&lt;=34),"",--MID('Key Analysis'!$C75,$A79-34,1))</f>
        <v/>
      </c>
      <c r="AL79" s="29" t="str">
        <f>IF(OR($B79="",$A79&lt;=35),"",--MID('Key Analysis'!$C75,$A79-35,1))</f>
        <v/>
      </c>
      <c r="AM79" s="29" t="str">
        <f>IF(OR($B79="",$A79&lt;=36),"",--MID('Key Analysis'!$C75,$A79-36,1))</f>
        <v/>
      </c>
      <c r="AN79" s="29" t="str">
        <f>IF(OR($B79="",$A79&lt;=37),"",--MID('Key Analysis'!$C75,$A79-37,1))</f>
        <v/>
      </c>
      <c r="AO79" s="29" t="str">
        <f>IF(OR($B79="",$A79&lt;=38),"",--MID('Key Analysis'!$C75,$A79-38,1))</f>
        <v/>
      </c>
      <c r="AP79" s="29" t="str">
        <f>IF(OR($B79="",$A79&lt;=39),"",--MID('Key Analysis'!$C75,$A79-39,1))</f>
        <v/>
      </c>
      <c r="AQ79" s="29" t="str">
        <f>IF(OR($B79="",$A79&lt;=40),"",--MID('Key Analysis'!$C75,$A79-40,1))</f>
        <v/>
      </c>
      <c r="AR79" s="29" t="str">
        <f>IF(OR($B79="",$A79&lt;=41),"",--MID('Key Analysis'!$C75,$A79-41,1))</f>
        <v/>
      </c>
      <c r="AS79" s="29" t="str">
        <f>IF(OR($B79="",$A79&lt;=42),"",--MID('Key Analysis'!$C75,$A79-42,1))</f>
        <v/>
      </c>
      <c r="AT79" s="29" t="str">
        <f>IF(OR($B79="",$A79&lt;=43),"",--MID('Key Analysis'!$C75,$A79-43,1))</f>
        <v/>
      </c>
      <c r="AU79" s="29" t="str">
        <f>IF(OR($B79="",$A79&lt;=44),"",--MID('Key Analysis'!$C75,$A79-44,1))</f>
        <v/>
      </c>
      <c r="AV79" s="29" t="str">
        <f>IF(OR($B79="",$A79&lt;=45),"",--MID('Key Analysis'!$C75,$A79-45,1))</f>
        <v/>
      </c>
      <c r="AW79" s="29" t="str">
        <f>IF(OR($B79="",$A79&lt;=46),"",--MID('Key Analysis'!$C75,$A79-46,1))</f>
        <v/>
      </c>
      <c r="AX79" s="29" t="str">
        <f>IF(OR($B79="",$A79&lt;=47),"",--MID('Key Analysis'!$C75,$A79-47,1))</f>
        <v/>
      </c>
      <c r="AY79" s="29" t="str">
        <f>IF(OR($B79="",$A79&lt;=48),"",--MID('Key Analysis'!$C75,$A79-48,1))</f>
        <v/>
      </c>
      <c r="AZ79" s="29" t="str">
        <f>IF(OR($B79="",$A79&lt;=49),"",--MID('Key Analysis'!$C75,$A79-49,1))</f>
        <v/>
      </c>
      <c r="BA79" s="29" t="str">
        <f>IF(OR($B79="",$A79&lt;=50),"",--MID('Key Analysis'!$C75,$A79-50,1))</f>
        <v/>
      </c>
      <c r="BB79" s="29" t="str">
        <f>IF(OR($B79="",$A79&lt;=51),"",--MID('Key Analysis'!$C75,$A79-51,1))</f>
        <v/>
      </c>
      <c r="BC79" s="29" t="str">
        <f>IF(OR($B79="",$A79&lt;=52),"",--MID('Key Analysis'!$C75,$A79-52,1))</f>
        <v/>
      </c>
      <c r="BD79" s="29" t="str">
        <f>IF(OR($B79="",$A79&lt;=53),"",--MID('Key Analysis'!$C75,$A79-53,1))</f>
        <v/>
      </c>
      <c r="BE79" s="29" t="str">
        <f>IF(OR($B79="",$A79&lt;=54),"",--MID('Key Analysis'!$C75,$A79-54,1))</f>
        <v/>
      </c>
      <c r="BF79" s="29" t="str">
        <f>IF(OR($B79="",$A79&lt;=55),"",--MID('Key Analysis'!$C75,$A79-55,1))</f>
        <v/>
      </c>
      <c r="BG79" s="29" t="str">
        <f>IF(OR($B79="",$A79&lt;=56),"",--MID('Key Analysis'!$C75,$A79-56,1))</f>
        <v/>
      </c>
      <c r="BH79" s="29" t="str">
        <f>IF(OR($B79="",$A79&lt;=57),"",--MID('Key Analysis'!$C75,$A79-57,1))</f>
        <v/>
      </c>
      <c r="BI79" s="29" t="str">
        <f>IF(OR($B79="",$A79&lt;=58),"",--MID('Key Analysis'!$C75,$A79-58,1))</f>
        <v/>
      </c>
      <c r="BJ79" s="29" t="str">
        <f>IF(OR($B79="",$A79&lt;=59),"",--MID('Key Analysis'!$C75,$A79-59,1))</f>
        <v/>
      </c>
      <c r="BK79" s="29" t="str">
        <f>IF(OR($B79="",$A79&lt;=60),"",--MID('Key Analysis'!$C75,$A79-60,1))</f>
        <v/>
      </c>
      <c r="BL79" s="29" t="str">
        <f>IF(OR($B79="",$A79&lt;=61),"",--MID('Key Analysis'!$C75,$A79-61,1))</f>
        <v/>
      </c>
      <c r="BM79" s="29" t="str">
        <f>IF(OR($B79="",$A79&lt;=62),"",--MID('Key Analysis'!$C75,$A79-62,1))</f>
        <v/>
      </c>
      <c r="BN79" s="29" t="str">
        <f>IF(OR($B79="",$A79&lt;=63),"",--MID('Key Analysis'!$C75,$A79-63,1))</f>
        <v/>
      </c>
      <c r="BO79" s="29" t="str">
        <f>IF(OR($B79="",$A79&lt;=64),"",--MID('Key Analysis'!$C75,$A79-64,1))</f>
        <v/>
      </c>
      <c r="BP79" s="29" t="str">
        <f>IF(OR($B79="",$A79&lt;=65),"",--MID('Key Analysis'!$C75,$A79-65,1))</f>
        <v/>
      </c>
      <c r="BQ79" s="29" t="str">
        <f>IF(OR($B79="",$A79&lt;=66),"",--MID('Key Analysis'!$C75,$A79-66,1))</f>
        <v/>
      </c>
      <c r="BR79" s="29" t="str">
        <f>IF(OR($B79="",$A79&lt;=67),"",--MID('Key Analysis'!$C75,$A79-67,1))</f>
        <v/>
      </c>
      <c r="BS79" s="29" t="str">
        <f>IF(OR($B79="",$A79&lt;=68),"",--MID('Key Analysis'!$C75,$A79-68,1))</f>
        <v/>
      </c>
      <c r="BT79" s="29" t="str">
        <f>IF(OR($B79="",$A79&lt;=69),"",--MID('Key Analysis'!$C75,$A79-69,1))</f>
        <v/>
      </c>
      <c r="BU79" s="29" t="str">
        <f>IF(OR($B79="",$A79&lt;=70),"",--MID('Key Analysis'!$C75,$A79-70,1))</f>
        <v/>
      </c>
      <c r="BV79" s="29" t="str">
        <f>IF(OR($B79="",$A79&lt;=71),"",--MID('Key Analysis'!$C75,$A79-71,1))</f>
        <v/>
      </c>
      <c r="BW79" s="29" t="str">
        <f>IF(OR($B79="",$A79&lt;=72),"",--MID('Key Analysis'!$C75,$A79-72,1))</f>
        <v/>
      </c>
      <c r="BX79" s="29" t="str">
        <f>IF(OR($B79="",$A79&lt;=73),"",--MID('Key Analysis'!$C75,$A79-73,1))</f>
        <v/>
      </c>
      <c r="BY79" s="29" t="str">
        <f>IF(OR($B79="",$A79&lt;=74),"",--MID('Key Analysis'!$C75,$A79-74,1))</f>
        <v/>
      </c>
      <c r="BZ79" s="29" t="str">
        <f>IF(OR($B79="",$A79&lt;=75),"",--MID('Key Analysis'!$C75,$A79-75,1))</f>
        <v/>
      </c>
      <c r="CA79" s="29" t="str">
        <f>IF(OR($B79="",$A79&lt;=76),"",--MID('Key Analysis'!$C75,$A79-76,1))</f>
        <v/>
      </c>
      <c r="CB79" s="29" t="str">
        <f>IF(OR($B79="",$A79&lt;=77),"",--MID('Key Analysis'!$C75,$A79-77,1))</f>
        <v/>
      </c>
      <c r="CC79" s="29" t="str">
        <f>IF(OR($B79="",$A79&lt;=78),"",--MID('Key Analysis'!$C75,$A79-78,1))</f>
        <v/>
      </c>
      <c r="CD79" s="29" t="str">
        <f>IF(OR($B79="",$A79&lt;=79),"",--MID('Key Analysis'!$C75,$A79-79,1))</f>
        <v/>
      </c>
      <c r="CE79" s="29" t="str">
        <f>IF(OR($B79="",$A79&lt;=80),"",--MID('Key Analysis'!$C75,$A79-80,1))</f>
        <v/>
      </c>
      <c r="CF79" s="29" t="str">
        <f>IF(OR($B79="",$A79&lt;=81),"",--MID('Key Analysis'!$C75,$A79-81,1))</f>
        <v/>
      </c>
      <c r="CG79" s="29" t="str">
        <f>IF(OR($B79="",$A79&lt;=82),"",--MID('Key Analysis'!$C75,$A79-82,1))</f>
        <v/>
      </c>
      <c r="CH79" s="29" t="str">
        <f>IF(OR($B79="",$A79&lt;=83),"",--MID('Key Analysis'!$C75,$A79-83,1))</f>
        <v/>
      </c>
      <c r="CI79" s="29" t="str">
        <f>IF(OR($B79="",$A79&lt;=84),"",--MID('Key Analysis'!$C75,$A79-84,1))</f>
        <v/>
      </c>
      <c r="CJ79" s="29" t="str">
        <f>IF(OR($B79="",$A79&lt;=85),"",--MID('Key Analysis'!$C75,$A79-85,1))</f>
        <v/>
      </c>
      <c r="CK79" s="29" t="str">
        <f>IF(OR($B79="",$A79&lt;=86),"",--MID('Key Analysis'!$C75,$A79-86,1))</f>
        <v/>
      </c>
      <c r="CL79" s="29" t="str">
        <f>IF(OR($B79="",$A79&lt;=87),"",--MID('Key Analysis'!$C75,$A79-87,1))</f>
        <v/>
      </c>
      <c r="CM79" s="29" t="str">
        <f>IF(OR($B79="",$A79&lt;=88),"",--MID('Key Analysis'!$C75,$A79-88,1))</f>
        <v/>
      </c>
      <c r="CN79" s="29" t="str">
        <f>IF(OR($B79="",$A79&lt;=89),"",--MID('Key Analysis'!$C75,$A79-89,1))</f>
        <v/>
      </c>
      <c r="CO79" s="29" t="str">
        <f>IF(OR($B79="",$A79&lt;=90),"",--MID('Key Analysis'!$C75,$A79-90,1))</f>
        <v/>
      </c>
      <c r="CP79" s="29" t="str">
        <f>IF(OR($B79="",$A79&lt;=91),"",--MID('Key Analysis'!$C75,$A79-91,1))</f>
        <v/>
      </c>
      <c r="CQ79" s="29" t="str">
        <f>IF(OR($B79="",$A79&lt;=92),"",--MID('Key Analysis'!$C75,$A79-92,1))</f>
        <v/>
      </c>
      <c r="CR79" s="29" t="str">
        <f>IF(OR($B79="",$A79&lt;=93),"",--MID('Key Analysis'!$C75,$A79-93,1))</f>
        <v/>
      </c>
      <c r="CS79" s="29" t="str">
        <f>IF(OR($B79="",$A79&lt;=94),"",--MID('Key Analysis'!$C75,$A79-94,1))</f>
        <v/>
      </c>
      <c r="CT79" s="29" t="str">
        <f>IF(OR($B79="",$A79&lt;=95),"",--MID('Key Analysis'!$C75,$A79-95,1))</f>
        <v/>
      </c>
      <c r="CU79" s="29" t="str">
        <f>IF(OR($B79="",$A79&lt;=96),"",--MID('Key Analysis'!$C75,$A79-96,1))</f>
        <v/>
      </c>
      <c r="CV79" s="29" t="str">
        <f>IF(OR($B79="",$A79&lt;=97),"",--MID('Key Analysis'!$C75,$A79-97,1))</f>
        <v/>
      </c>
      <c r="CW79" s="29" t="str">
        <f>IF(OR($B79="",$A79&lt;=98),"",--MID('Key Analysis'!$C75,$A79-98,1))</f>
        <v/>
      </c>
      <c r="CX79" s="29" t="str">
        <f>IF(OR($B79="",$A79&lt;=99),"",--MID('Key Analysis'!$C75,$A79-99,1))</f>
        <v/>
      </c>
      <c r="CY79" s="29" t="str">
        <f>IF(OR($B79="",$A79&lt;=100),"",--MID('Key Analysis'!$C75,$A79-100,1))</f>
        <v/>
      </c>
      <c r="CZ79" s="29" t="str">
        <f>IF(OR($B79="",$A79&lt;=101),"",--MID('Key Analysis'!$C75,$A79-101,1))</f>
        <v/>
      </c>
      <c r="DA79" s="29" t="str">
        <f>IF(OR($B79="",$A79&lt;=102),"",--MID('Key Analysis'!$C75,$A79-102,1))</f>
        <v/>
      </c>
      <c r="DB79" s="29" t="str">
        <f>IF(OR($B79="",$A79&lt;=103),"",--MID('Key Analysis'!$C75,$A79-103,1))</f>
        <v/>
      </c>
      <c r="DC79" s="29" t="str">
        <f>IF(OR($B79="",$A79&lt;=104),"",--MID('Key Analysis'!$C75,$A79-104,1))</f>
        <v/>
      </c>
      <c r="DD79" s="29" t="str">
        <f>IF(OR($B79="",$A79&lt;=105),"",--MID('Key Analysis'!$C75,$A79-105,1))</f>
        <v/>
      </c>
      <c r="DE79" s="29" t="str">
        <f>IF(OR($B79="",$A79&lt;=106),"",--MID('Key Analysis'!$C75,$A79-106,1))</f>
        <v/>
      </c>
      <c r="DF79" s="29" t="str">
        <f>IF(OR($B79="",$A79&lt;=107),"",--MID('Key Analysis'!$C75,$A79-107,1))</f>
        <v/>
      </c>
      <c r="DG79" s="29" t="str">
        <f>IF(OR($B79="",$A79&lt;=108),"",--MID('Key Analysis'!$C75,$A79-108,1))</f>
        <v/>
      </c>
      <c r="DH79" s="29" t="str">
        <f>IF(OR($B79="",$A79&lt;=109),"",--MID('Key Analysis'!$C75,$A79-109,1))</f>
        <v/>
      </c>
      <c r="DI79" s="29" t="str">
        <f>IF(OR($B79="",$A79&lt;=110),"",--MID('Key Analysis'!$C75,$A79-110,1))</f>
        <v/>
      </c>
      <c r="DJ79" s="29" t="str">
        <f>IF(OR($B79="",$A79&lt;=111),"",--MID('Key Analysis'!$C75,$A79-111,1))</f>
        <v/>
      </c>
      <c r="DK79" s="29" t="str">
        <f>IF(OR($B79="",$A79&lt;=112),"",--MID('Key Analysis'!$C75,$A79-112,1))</f>
        <v/>
      </c>
      <c r="DL79" s="29" t="str">
        <f>IF(OR($B79="",$A79&lt;=113),"",--MID('Key Analysis'!$C75,$A79-113,1))</f>
        <v/>
      </c>
      <c r="DM79" s="29" t="str">
        <f>IF(OR($B79="",$A79&lt;=114),"",--MID('Key Analysis'!$C75,$A79-114,1))</f>
        <v/>
      </c>
      <c r="DN79" s="29" t="str">
        <f>IF(OR($B79="",$A79&lt;=115),"",--MID('Key Analysis'!$C75,$A79-115,1))</f>
        <v/>
      </c>
      <c r="DO79" s="29" t="str">
        <f>IF(OR($B79="",$A79&lt;=116),"",--MID('Key Analysis'!$C75,$A79-116,1))</f>
        <v/>
      </c>
      <c r="DP79" s="29" t="str">
        <f>IF(OR($B79="",$A79&lt;=117),"",--MID('Key Analysis'!$C75,$A79-117,1))</f>
        <v/>
      </c>
      <c r="DQ79" s="29" t="str">
        <f>IF(OR($B79="",$A79&lt;=118),"",--MID('Key Analysis'!$C75,$A79-118,1))</f>
        <v/>
      </c>
      <c r="DR79" s="29" t="str">
        <f>IF(OR($B79="",$A79&lt;=119),"",--MID('Key Analysis'!$C75,$A79-119,1))</f>
        <v/>
      </c>
      <c r="DS79" s="29" t="str">
        <f>IF(OR($B79="",$A79&lt;=120),"",--MID('Key Analysis'!$C75,$A79-120,1))</f>
        <v/>
      </c>
      <c r="DT79" s="29" t="str">
        <f>IF(OR($B79="",$A79&lt;=121),"",--MID('Key Analysis'!$C75,$A79-121,1))</f>
        <v/>
      </c>
      <c r="DU79" s="29" t="str">
        <f>IF(OR($B79="",$A79&lt;=122),"",--MID('Key Analysis'!$C75,$A79-122,1))</f>
        <v/>
      </c>
      <c r="DV79" s="29" t="str">
        <f>IF(OR($B79="",$A79&lt;=123),"",--MID('Key Analysis'!$C75,$A79-123,1))</f>
        <v/>
      </c>
      <c r="DW79" s="29" t="str">
        <f>IF(OR($B79="",$A79&lt;=124),"",--MID('Key Analysis'!$C75,$A79-124,1))</f>
        <v/>
      </c>
      <c r="DX79" s="29" t="str">
        <f>IF(OR($B79="",$A79&lt;=125),"",--MID('Key Analysis'!$C75,$A79-125,1))</f>
        <v/>
      </c>
      <c r="DY79" s="29" t="str">
        <f>IF(OR($B79="",$A79&lt;=126),"",--MID('Key Analysis'!$C75,$A79-126,1))</f>
        <v/>
      </c>
      <c r="DZ79" s="29" t="str">
        <f>IF(OR($B79="",$A79&lt;=127),"",--MID('Key Analysis'!$C75,$A79-127,1))</f>
        <v/>
      </c>
      <c r="EA79" s="29" t="str">
        <f>IF(OR($B79="",$A79&lt;=128),"",--MID('Key Analysis'!$C75,$A79-128,1))</f>
        <v/>
      </c>
      <c r="EB79" s="29" t="str">
        <f>IF(OR($B79="",$A79&lt;=129),"",--MID('Key Analysis'!$C75,$A79-129,1))</f>
        <v/>
      </c>
      <c r="EC79" s="29" t="str">
        <f>IF(OR($B79="",$A79&lt;=130),"",--MID('Key Analysis'!$C75,$A79-130,1))</f>
        <v/>
      </c>
      <c r="ED79" s="29" t="str">
        <f>IF(OR($B79="",$A79&lt;=131),"",--MID('Key Analysis'!$C75,$A79-131,1))</f>
        <v/>
      </c>
      <c r="EE79" s="29" t="str">
        <f>IF(OR($B79="",$A79&lt;=132),"",--MID('Key Analysis'!$C75,$A79-132,1))</f>
        <v/>
      </c>
      <c r="EF79" s="29" t="str">
        <f>IF(OR($B79="",$A79&lt;=133),"",--MID('Key Analysis'!$C75,$A79-133,1))</f>
        <v/>
      </c>
      <c r="EG79" s="29" t="str">
        <f>IF(OR($B79="",$A79&lt;=134),"",--MID('Key Analysis'!$C75,$A79-134,1))</f>
        <v/>
      </c>
      <c r="EH79" s="29"/>
      <c r="EI79" s="29" t="str">
        <f>IF(OR($B79="",$A79&lt;1),"",--MID('Key Analysis'!$C75,1,1))</f>
        <v/>
      </c>
      <c r="EJ79" s="29" t="str">
        <f>IF(OR($B79="",$A79&lt;2),"",--MID('Key Analysis'!$C75,2,1))</f>
        <v/>
      </c>
      <c r="EK79" s="29" t="str">
        <f>IF(OR($B79="",$A79&lt;3),"",--MID('Key Analysis'!$C75,3,1))</f>
        <v/>
      </c>
      <c r="EL79" s="29" t="str">
        <f>IF(OR($B79="",$A79&lt;4),"",--MID('Key Analysis'!$C75,4,1))</f>
        <v/>
      </c>
      <c r="EM79" s="29" t="str">
        <f>IF(OR($B79="",$A79&lt;5),"",--MID('Key Analysis'!$C75,5,1))</f>
        <v/>
      </c>
      <c r="EN79" s="29" t="str">
        <f>IF(OR($B79="",$A79&lt;6),"",--MID('Key Analysis'!$C75,6,1))</f>
        <v/>
      </c>
      <c r="EO79" s="29" t="str">
        <f>IF(OR($B79="",$A79&lt;7),"",--MID('Key Analysis'!$C75,7,1))</f>
        <v/>
      </c>
      <c r="EP79" s="29" t="str">
        <f>IF(OR($B79="",$A79&lt;8),"",--MID('Key Analysis'!$C75,8,1))</f>
        <v/>
      </c>
      <c r="EQ79" s="29" t="str">
        <f>IF(OR($B79="",$A79&lt;9),"",--MID('Key Analysis'!$C75,9,1))</f>
        <v/>
      </c>
      <c r="ER79" s="29" t="str">
        <f>IF(OR($B79="",$A79&lt;10),"",--MID('Key Analysis'!$C75,10,1))</f>
        <v/>
      </c>
      <c r="ES79" s="29" t="str">
        <f>IF(OR($B79="",$A79&lt;11),"",--MID('Key Analysis'!$C75,11,1))</f>
        <v/>
      </c>
      <c r="ET79" s="29" t="str">
        <f>IF(OR($B79="",$A79&lt;12),"",--MID('Key Analysis'!$C75,12,1))</f>
        <v/>
      </c>
      <c r="EU79" s="29" t="str">
        <f>IF(OR($B79="",$A79&lt;13),"",--MID('Key Analysis'!$C75,13,1))</f>
        <v/>
      </c>
      <c r="EV79" s="29" t="str">
        <f>IF(OR($B79="",$A79&lt;14),"",--MID('Key Analysis'!$C75,14,1))</f>
        <v/>
      </c>
      <c r="EW79" s="29" t="str">
        <f>IF(OR($B79="",$A79&lt;15),"",--MID('Key Analysis'!$C75,15,1))</f>
        <v/>
      </c>
      <c r="EX79" s="29" t="str">
        <f>IF(OR($B79="",$A79&lt;16),"",--MID('Key Analysis'!$C75,16,1))</f>
        <v/>
      </c>
      <c r="EY79" s="29" t="str">
        <f>IF(OR($B79="",$A79&lt;17),"",--MID('Key Analysis'!$C75,17,1))</f>
        <v/>
      </c>
      <c r="EZ79" s="29" t="str">
        <f>IF(OR($B79="",$A79&lt;18),"",--MID('Key Analysis'!$C75,18,1))</f>
        <v/>
      </c>
      <c r="FA79" s="29" t="str">
        <f>IF(OR($B79="",$A79&lt;19),"",--MID('Key Analysis'!$C75,19,1))</f>
        <v/>
      </c>
      <c r="FB79" s="29" t="str">
        <f>IF(OR($B79="",$A79&lt;20),"",--MID('Key Analysis'!$C75,20,1))</f>
        <v/>
      </c>
      <c r="FC79" s="29" t="str">
        <f>IF(OR($B79="",$A79&lt;21),"",--MID('Key Analysis'!$C75,21,1))</f>
        <v/>
      </c>
      <c r="FD79" s="29" t="str">
        <f>IF(OR($B79="",$A79&lt;22),"",--MID('Key Analysis'!$C75,22,1))</f>
        <v/>
      </c>
      <c r="FE79" s="29" t="str">
        <f>IF(OR($B79="",$A79&lt;23),"",--MID('Key Analysis'!$C75,23,1))</f>
        <v/>
      </c>
      <c r="FF79" s="29" t="str">
        <f>IF(OR($B79="",$A79&lt;24),"",--MID('Key Analysis'!$C75,24,1))</f>
        <v/>
      </c>
      <c r="FG79" s="29" t="str">
        <f>IF(OR($B79="",$A79&lt;25),"",--MID('Key Analysis'!$C75,25,1))</f>
        <v/>
      </c>
      <c r="FH79" s="29" t="str">
        <f>IF(OR($B79="",$A79&lt;26),"",--MID('Key Analysis'!$C75,26,1))</f>
        <v/>
      </c>
      <c r="FI79" s="29" t="str">
        <f>IF(OR($B79="",$A79&lt;27),"",--MID('Key Analysis'!$C75,27,1))</f>
        <v/>
      </c>
      <c r="FJ79" s="29" t="str">
        <f>IF(OR($B79="",$A79&lt;28),"",--MID('Key Analysis'!$C75,28,1))</f>
        <v/>
      </c>
      <c r="FK79" s="29" t="str">
        <f>IF(OR($B79="",$A79&lt;29),"",--MID('Key Analysis'!$C75,29,1))</f>
        <v/>
      </c>
      <c r="FL79" s="29" t="str">
        <f>IF(OR($B79="",$A79&lt;30),"",--MID('Key Analysis'!$C75,30,1))</f>
        <v/>
      </c>
      <c r="FM79" s="29" t="str">
        <f>IF(OR($B79="",$A79&lt;31),"",--MID('Key Analysis'!$C75,31,1))</f>
        <v/>
      </c>
      <c r="FN79" s="29" t="str">
        <f>IF(OR($B79="",$A79&lt;32),"",--MID('Key Analysis'!$C75,32,1))</f>
        <v/>
      </c>
      <c r="FO79" s="29" t="str">
        <f>IF(OR($B79="",$A79&lt;33),"",--MID('Key Analysis'!$C75,33,1))</f>
        <v/>
      </c>
      <c r="FP79" s="29" t="str">
        <f>IF(OR($B79="",$A79&lt;34),"",--MID('Key Analysis'!$C75,34,1))</f>
        <v/>
      </c>
      <c r="FQ79" s="29" t="str">
        <f>IF(OR($B79="",$A79&lt;35),"",--MID('Key Analysis'!$C75,35,1))</f>
        <v/>
      </c>
      <c r="FR79" s="29" t="str">
        <f>IF(OR($B79="",$A79&lt;36),"",--MID('Key Analysis'!$C75,36,1))</f>
        <v/>
      </c>
      <c r="FS79" s="29" t="str">
        <f>IF(OR($B79="",$A79&lt;37),"",--MID('Key Analysis'!$C75,37,1))</f>
        <v/>
      </c>
      <c r="FT79" s="29" t="str">
        <f>IF(OR($B79="",$A79&lt;38),"",--MID('Key Analysis'!$C75,38,1))</f>
        <v/>
      </c>
      <c r="FU79" s="29" t="str">
        <f>IF(OR($B79="",$A79&lt;39),"",--MID('Key Analysis'!$C75,39,1))</f>
        <v/>
      </c>
      <c r="FV79" s="29" t="str">
        <f>IF(OR($B79="",$A79&lt;40),"",--MID('Key Analysis'!$C75,40,1))</f>
        <v/>
      </c>
      <c r="FW79" s="29" t="str">
        <f>IF(OR($B79="",$A79&lt;41),"",--MID('Key Analysis'!$C75,41,1))</f>
        <v/>
      </c>
      <c r="FX79" s="29" t="str">
        <f>IF(OR($B79="",$A79&lt;42),"",--MID('Key Analysis'!$C75,42,1))</f>
        <v/>
      </c>
      <c r="FY79" s="29" t="str">
        <f>IF(OR($B79="",$A79&lt;43),"",--MID('Key Analysis'!$C75,43,1))</f>
        <v/>
      </c>
      <c r="FZ79" s="29" t="str">
        <f>IF(OR($B79="",$A79&lt;44),"",--MID('Key Analysis'!$C75,44,1))</f>
        <v/>
      </c>
      <c r="GA79" s="29" t="str">
        <f>IF(OR($B79="",$A79&lt;45),"",--MID('Key Analysis'!$C75,45,1))</f>
        <v/>
      </c>
      <c r="GB79" s="29" t="str">
        <f>IF(OR($B79="",$A79&lt;46),"",--MID('Key Analysis'!$C75,46,1))</f>
        <v/>
      </c>
      <c r="GC79" s="29" t="str">
        <f>IF(OR($B79="",$A79&lt;47),"",--MID('Key Analysis'!$C75,47,1))</f>
        <v/>
      </c>
      <c r="GD79" s="29" t="str">
        <f>IF(OR($B79="",$A79&lt;48),"",--MID('Key Analysis'!$C75,48,1))</f>
        <v/>
      </c>
      <c r="GE79" s="29" t="str">
        <f>IF(OR($B79="",$A79&lt;49),"",--MID('Key Analysis'!$C75,49,1))</f>
        <v/>
      </c>
      <c r="GF79" s="29" t="str">
        <f>IF(OR($B79="",$A79&lt;50),"",--MID('Key Analysis'!$C75,50,1))</f>
        <v/>
      </c>
      <c r="GG79" s="29" t="str">
        <f>IF(OR($B79="",$A79&lt;51),"",--MID('Key Analysis'!$C75,51,1))</f>
        <v/>
      </c>
      <c r="GH79" s="29" t="str">
        <f>IF(OR($B79="",$A79&lt;52),"",--MID('Key Analysis'!$C75,52,1))</f>
        <v/>
      </c>
      <c r="GI79" s="29" t="str">
        <f>IF(OR($B79="",$A79&lt;53),"",--MID('Key Analysis'!$C75,53,1))</f>
        <v/>
      </c>
      <c r="GJ79" s="29" t="str">
        <f>IF(OR($B79="",$A79&lt;54),"",--MID('Key Analysis'!$C75,54,1))</f>
        <v/>
      </c>
      <c r="GK79" s="29" t="str">
        <f>IF(OR($B79="",$A79&lt;55),"",--MID('Key Analysis'!$C75,55,1))</f>
        <v/>
      </c>
      <c r="GL79" s="29" t="str">
        <f>IF(OR($B79="",$A79&lt;56),"",--MID('Key Analysis'!$C75,56,1))</f>
        <v/>
      </c>
      <c r="GM79" s="29" t="str">
        <f>IF(OR($B79="",$A79&lt;57),"",--MID('Key Analysis'!$C75,57,1))</f>
        <v/>
      </c>
      <c r="GN79" s="29" t="str">
        <f>IF(OR($B79="",$A79&lt;58),"",--MID('Key Analysis'!$C75,58,1))</f>
        <v/>
      </c>
      <c r="GO79" s="29" t="str">
        <f>IF(OR($B79="",$A79&lt;59),"",--MID('Key Analysis'!$C75,59,1))</f>
        <v/>
      </c>
      <c r="GP79" s="29" t="str">
        <f>IF(OR($B79="",$A79&lt;60),"",--MID('Key Analysis'!$C75,60,1))</f>
        <v/>
      </c>
      <c r="GQ79" s="29" t="str">
        <f>IF(OR($B79="",$A79&lt;61),"",--MID('Key Analysis'!$C75,61,1))</f>
        <v/>
      </c>
      <c r="GR79" s="29" t="str">
        <f>IF(OR($B79="",$A79&lt;62),"",--MID('Key Analysis'!$C75,62,1))</f>
        <v/>
      </c>
      <c r="GS79" s="29" t="str">
        <f>IF(OR($B79="",$A79&lt;63),"",--MID('Key Analysis'!$C75,63,1))</f>
        <v/>
      </c>
      <c r="GT79" s="29" t="str">
        <f>IF(OR($B79="",$A79&lt;64),"",--MID('Key Analysis'!$C75,64,1))</f>
        <v/>
      </c>
      <c r="GU79" s="29" t="str">
        <f>IF(OR($B79="",$A79&lt;65),"",--MID('Key Analysis'!$C75,65,1))</f>
        <v/>
      </c>
      <c r="GV79" s="29" t="str">
        <f>IF(OR($B79="",$A79&lt;66),"",--MID('Key Analysis'!$C75,66,1))</f>
        <v/>
      </c>
      <c r="GW79" s="29" t="str">
        <f>IF(OR($B79="",$A79&lt;67),"",--MID('Key Analysis'!$C75,67,1))</f>
        <v/>
      </c>
      <c r="GX79" s="29" t="str">
        <f>IF(OR($B79="",$A79&lt;68),"",--MID('Key Analysis'!$C75,68,1))</f>
        <v/>
      </c>
      <c r="GY79" s="29" t="str">
        <f>IF(OR($B79="",$A79&lt;69),"",--MID('Key Analysis'!$C75,69,1))</f>
        <v/>
      </c>
      <c r="GZ79" s="29" t="str">
        <f>IF(OR($B79="",$A79&lt;70),"",--MID('Key Analysis'!$C75,70,1))</f>
        <v/>
      </c>
      <c r="HA79" s="29" t="str">
        <f>IF(OR($B79="",$A79&lt;71),"",--MID('Key Analysis'!$C75,71,1))</f>
        <v/>
      </c>
      <c r="HB79" s="29" t="str">
        <f>IF(OR($B79="",$A79&lt;72),"",--MID('Key Analysis'!$C75,72,1))</f>
        <v/>
      </c>
      <c r="HC79" s="29" t="str">
        <f>IF(OR($B79="",$A79&lt;73),"",--MID('Key Analysis'!$C75,73,1))</f>
        <v/>
      </c>
      <c r="HD79" s="29" t="str">
        <f>IF(OR($B79="",$A79&lt;74),"",--MID('Key Analysis'!$C75,74,1))</f>
        <v/>
      </c>
      <c r="HE79" s="29" t="str">
        <f>IF(OR($B79="",$A79&lt;75),"",--MID('Key Analysis'!$C75,75,1))</f>
        <v/>
      </c>
      <c r="HF79" s="29" t="str">
        <f>IF(OR($B79="",$A79&lt;76),"",--MID('Key Analysis'!$C75,76,1))</f>
        <v/>
      </c>
      <c r="HG79" s="29" t="str">
        <f>IF(OR($B79="",$A79&lt;77),"",--MID('Key Analysis'!$C75,77,1))</f>
        <v/>
      </c>
      <c r="HH79" s="29" t="str">
        <f>IF(OR($B79="",$A79&lt;78),"",--MID('Key Analysis'!$C75,78,1))</f>
        <v/>
      </c>
      <c r="HI79" s="29" t="str">
        <f>IF(OR($B79="",$A79&lt;79),"",--MID('Key Analysis'!$C75,79,1))</f>
        <v/>
      </c>
      <c r="HJ79" s="29" t="str">
        <f>IF(OR($B79="",$A79&lt;80),"",--MID('Key Analysis'!$C75,80,1))</f>
        <v/>
      </c>
      <c r="HK79" s="29" t="str">
        <f>IF(OR($B79="",$A79&lt;81),"",--MID('Key Analysis'!$C75,81,1))</f>
        <v/>
      </c>
      <c r="HL79" s="29" t="str">
        <f>IF(OR($B79="",$A79&lt;82),"",--MID('Key Analysis'!$C75,82,1))</f>
        <v/>
      </c>
      <c r="HM79" s="29" t="str">
        <f>IF(OR($B79="",$A79&lt;83),"",--MID('Key Analysis'!$C75,83,1))</f>
        <v/>
      </c>
      <c r="HN79" s="29" t="str">
        <f>IF(OR($B79="",$A79&lt;84),"",--MID('Key Analysis'!$C75,84,1))</f>
        <v/>
      </c>
      <c r="HO79" s="29" t="str">
        <f>IF(OR($B79="",$A79&lt;85),"",--MID('Key Analysis'!$C75,85,1))</f>
        <v/>
      </c>
      <c r="HP79" s="29" t="str">
        <f>IF(OR($B79="",$A79&lt;86),"",--MID('Key Analysis'!$C75,86,1))</f>
        <v/>
      </c>
      <c r="HQ79" s="29" t="str">
        <f>IF(OR($B79="",$A79&lt;87),"",--MID('Key Analysis'!$C75,87,1))</f>
        <v/>
      </c>
      <c r="HR79" s="29" t="str">
        <f>IF(OR($B79="",$A79&lt;88),"",--MID('Key Analysis'!$C75,88,1))</f>
        <v/>
      </c>
      <c r="HS79" s="29" t="str">
        <f>IF(OR($B79="",$A79&lt;89),"",--MID('Key Analysis'!$C75,89,1))</f>
        <v/>
      </c>
      <c r="HT79" s="29" t="str">
        <f>IF(OR($B79="",$A79&lt;90),"",--MID('Key Analysis'!$C75,90,1))</f>
        <v/>
      </c>
      <c r="HU79" s="29" t="str">
        <f>IF(OR($B79="",$A79&lt;91),"",--MID('Key Analysis'!$C75,91,1))</f>
        <v/>
      </c>
      <c r="HV79" s="29" t="str">
        <f>IF(OR($B79="",$A79&lt;92),"",--MID('Key Analysis'!$C75,92,1))</f>
        <v/>
      </c>
      <c r="HW79" s="29" t="str">
        <f>IF(OR($B79="",$A79&lt;93),"",--MID('Key Analysis'!$C75,93,1))</f>
        <v/>
      </c>
      <c r="HX79" s="29" t="str">
        <f>IF(OR($B79="",$A79&lt;94),"",--MID('Key Analysis'!$C75,94,1))</f>
        <v/>
      </c>
      <c r="HY79" s="29" t="str">
        <f>IF(OR($B79="",$A79&lt;95),"",--MID('Key Analysis'!$C75,95,1))</f>
        <v/>
      </c>
      <c r="HZ79" s="29" t="str">
        <f>IF(OR($B79="",$A79&lt;96),"",--MID('Key Analysis'!$C75,96,1))</f>
        <v/>
      </c>
      <c r="IA79" s="29" t="str">
        <f>IF(OR($B79="",$A79&lt;97),"",--MID('Key Analysis'!$C75,97,1))</f>
        <v/>
      </c>
      <c r="IB79" s="29" t="str">
        <f>IF(OR($B79="",$A79&lt;98),"",--MID('Key Analysis'!$C75,98,1))</f>
        <v/>
      </c>
      <c r="IC79" s="29" t="str">
        <f>IF(OR($B79="",$A79&lt;99),"",--MID('Key Analysis'!$C75,99,1))</f>
        <v/>
      </c>
      <c r="ID79" s="29" t="str">
        <f>IF(OR($B79="",$A79&lt;100),"",--MID('Key Analysis'!$C75,100,1))</f>
        <v/>
      </c>
      <c r="IE79" s="29" t="str">
        <f>IF(OR($B79="",$A79&lt;101),"",--MID('Key Analysis'!$C75,101,1))</f>
        <v/>
      </c>
      <c r="IF79" s="29" t="str">
        <f>IF(OR($B79="",$A79&lt;102),"",--MID('Key Analysis'!$C75,102,1))</f>
        <v/>
      </c>
      <c r="IG79" s="29" t="str">
        <f>IF(OR($B79="",$A79&lt;103),"",--MID('Key Analysis'!$C75,103,1))</f>
        <v/>
      </c>
      <c r="IH79" s="29" t="str">
        <f>IF(OR($B79="",$A79&lt;104),"",--MID('Key Analysis'!$C75,104,1))</f>
        <v/>
      </c>
      <c r="II79" s="29" t="str">
        <f>IF(OR($B79="",$A79&lt;105),"",--MID('Key Analysis'!$C75,105,1))</f>
        <v/>
      </c>
      <c r="IJ79" s="29" t="str">
        <f>IF(OR($B79="",$A79&lt;106),"",--MID('Key Analysis'!$C75,106,1))</f>
        <v/>
      </c>
      <c r="IK79" s="29" t="str">
        <f>IF(OR($B79="",$A79&lt;107),"",--MID('Key Analysis'!$C75,107,1))</f>
        <v/>
      </c>
      <c r="IL79" s="29" t="str">
        <f>IF(OR($B79="",$A79&lt;108),"",--MID('Key Analysis'!$C75,108,1))</f>
        <v/>
      </c>
      <c r="IM79" s="29" t="str">
        <f>IF(OR($B79="",$A79&lt;109),"",--MID('Key Analysis'!$C75,109,1))</f>
        <v/>
      </c>
      <c r="IN79" s="29" t="str">
        <f>IF(OR($B79="",$A79&lt;110),"",--MID('Key Analysis'!$C75,110,1))</f>
        <v/>
      </c>
      <c r="IO79" s="29" t="str">
        <f>IF(OR($B79="",$A79&lt;111),"",--MID('Key Analysis'!$C75,111,1))</f>
        <v/>
      </c>
      <c r="IP79" s="29" t="str">
        <f>IF(OR($B79="",$A79&lt;112),"",--MID('Key Analysis'!$C75,112,1))</f>
        <v/>
      </c>
      <c r="IQ79" s="29" t="str">
        <f>IF(OR($B79="",$A79&lt;113),"",--MID('Key Analysis'!$C75,113,1))</f>
        <v/>
      </c>
      <c r="IR79" s="29" t="str">
        <f>IF(OR($B79="",$A79&lt;114),"",--MID('Key Analysis'!$C75,114,1))</f>
        <v/>
      </c>
      <c r="IS79" s="29" t="str">
        <f>IF(OR($B79="",$A79&lt;115),"",--MID('Key Analysis'!$C75,115,1))</f>
        <v/>
      </c>
      <c r="IT79" s="29" t="str">
        <f>IF(OR($B79="",$A79&lt;116),"",--MID('Key Analysis'!$C75,116,1))</f>
        <v/>
      </c>
      <c r="IU79" s="29" t="str">
        <f>IF(OR($B79="",$A79&lt;117),"",--MID('Key Analysis'!$C75,117,1))</f>
        <v/>
      </c>
      <c r="IV79" s="29" t="str">
        <f>IF(OR($B79="",$A79&lt;118),"",--MID('Key Analysis'!$C75,118,1))</f>
        <v/>
      </c>
      <c r="IW79" s="29" t="str">
        <f>IF(OR($B79="",$A79&lt;119),"",--MID('Key Analysis'!$C75,119,1))</f>
        <v/>
      </c>
      <c r="IX79" s="29" t="str">
        <f>IF(OR($B79="",$A79&lt;120),"",--MID('Key Analysis'!$C75,120,1))</f>
        <v/>
      </c>
      <c r="IY79" s="29" t="str">
        <f>IF(OR($B79="",$A79&lt;121),"",--MID('Key Analysis'!$C75,121,1))</f>
        <v/>
      </c>
      <c r="IZ79" s="29" t="str">
        <f>IF(OR($B79="",$A79&lt;122),"",--MID('Key Analysis'!$C75,122,1))</f>
        <v/>
      </c>
      <c r="JA79" s="29" t="str">
        <f>IF(OR($B79="",$A79&lt;123),"",--MID('Key Analysis'!$C75,123,1))</f>
        <v/>
      </c>
      <c r="JB79" s="29" t="str">
        <f>IF(OR($B79="",$A79&lt;124),"",--MID('Key Analysis'!$C75,124,1))</f>
        <v/>
      </c>
      <c r="JC79" s="29" t="str">
        <f>IF(OR($B79="",$A79&lt;125),"",--MID('Key Analysis'!$C75,125,1))</f>
        <v/>
      </c>
      <c r="JD79" s="29" t="str">
        <f>IF(OR($B79="",$A79&lt;126),"",--MID('Key Analysis'!$C75,126,1))</f>
        <v/>
      </c>
      <c r="JE79" s="29" t="str">
        <f>IF(OR($B79="",$A79&lt;127),"",--MID('Key Analysis'!$C75,127,1))</f>
        <v/>
      </c>
      <c r="JF79" s="29" t="str">
        <f>IF(OR($B79="",$A79&lt;128),"",--MID('Key Analysis'!$C75,128,1))</f>
        <v/>
      </c>
      <c r="JG79" s="29" t="str">
        <f>IF(OR($B79="",$A79&lt;129),"",--MID('Key Analysis'!$C75,129,1))</f>
        <v/>
      </c>
      <c r="JH79" s="29" t="str">
        <f>IF(OR($B79="",$A79&lt;130),"",--MID('Key Analysis'!$C75,130,1))</f>
        <v/>
      </c>
      <c r="JI79" s="29" t="str">
        <f>IF(OR($B79="",$A79&lt;131),"",--MID('Key Analysis'!$C75,131,1))</f>
        <v/>
      </c>
      <c r="JJ79" s="29" t="str">
        <f>IF(OR($B79="",$A79&lt;132),"",--MID('Key Analysis'!$C75,132,1))</f>
        <v/>
      </c>
      <c r="JK79" s="29" t="str">
        <f>IF(OR($B79="",$A79&lt;133),"",--MID('Key Analysis'!$C75,133,1))</f>
        <v/>
      </c>
      <c r="JL79" s="29" t="str">
        <f>IF(OR($B79="",$A79&lt;134),"",--MID('Key Analysis'!$C75,134,1))</f>
        <v/>
      </c>
      <c r="JM79" s="29" t="str">
        <f>IF(OR($B79="",$A79&lt;135),"",--MID('Key Analysis'!$C75,135,1))</f>
        <v/>
      </c>
    </row>
    <row r="80" spans="1:273" x14ac:dyDescent="0.25">
      <c r="A80" s="21">
        <f>'Key Analysis'!A76</f>
        <v>75</v>
      </c>
      <c r="B80" s="30" t="str">
        <f>'Key Analysis'!B76</f>
        <v>4c5ce114686a1336e07</v>
      </c>
      <c r="C80" s="29">
        <f>IF(OR($B80="",$A80&lt;=0),"",--MID('Key Analysis'!$C76,$A80-0,1))</f>
        <v>1</v>
      </c>
      <c r="D80" s="29">
        <f>IF(OR($B80="",$A80&lt;=1),"",--MID('Key Analysis'!$C76,$A80-1,1))</f>
        <v>1</v>
      </c>
      <c r="E80" s="29">
        <f>IF(OR($B80="",$A80&lt;=2),"",--MID('Key Analysis'!$C76,$A80-2,1))</f>
        <v>1</v>
      </c>
      <c r="F80" s="29">
        <f>IF(OR($B80="",$A80&lt;=3),"",--MID('Key Analysis'!$C76,$A80-3,1))</f>
        <v>0</v>
      </c>
      <c r="G80" s="29">
        <f>IF(OR($B80="",$A80&lt;=4),"",--MID('Key Analysis'!$C76,$A80-4,1))</f>
        <v>0</v>
      </c>
      <c r="H80" s="29">
        <f>IF(OR($B80="",$A80&lt;=5),"",--MID('Key Analysis'!$C76,$A80-5,1))</f>
        <v>0</v>
      </c>
      <c r="I80" s="29">
        <f>IF(OR($B80="",$A80&lt;=6),"",--MID('Key Analysis'!$C76,$A80-6,1))</f>
        <v>0</v>
      </c>
      <c r="J80" s="29">
        <f>IF(OR($B80="",$A80&lt;=7),"",--MID('Key Analysis'!$C76,$A80-7,1))</f>
        <v>0</v>
      </c>
      <c r="K80" s="29">
        <f>IF(OR($B80="",$A80&lt;=8),"",--MID('Key Analysis'!$C76,$A80-8,1))</f>
        <v>0</v>
      </c>
      <c r="L80" s="29">
        <f>IF(OR($B80="",$A80&lt;=9),"",--MID('Key Analysis'!$C76,$A80-9,1))</f>
        <v>1</v>
      </c>
      <c r="M80" s="29">
        <f>IF(OR($B80="",$A80&lt;=10),"",--MID('Key Analysis'!$C76,$A80-10,1))</f>
        <v>1</v>
      </c>
      <c r="N80" s="29">
        <f>IF(OR($B80="",$A80&lt;=11),"",--MID('Key Analysis'!$C76,$A80-11,1))</f>
        <v>1</v>
      </c>
      <c r="O80" s="29">
        <f>IF(OR($B80="",$A80&lt;=12),"",--MID('Key Analysis'!$C76,$A80-12,1))</f>
        <v>0</v>
      </c>
      <c r="P80" s="29">
        <f>IF(OR($B80="",$A80&lt;=13),"",--MID('Key Analysis'!$C76,$A80-13,1))</f>
        <v>1</v>
      </c>
      <c r="Q80" s="29">
        <f>IF(OR($B80="",$A80&lt;=14),"",--MID('Key Analysis'!$C76,$A80-14,1))</f>
        <v>1</v>
      </c>
      <c r="R80" s="29">
        <f>IF(OR($B80="",$A80&lt;=15),"",--MID('Key Analysis'!$C76,$A80-15,1))</f>
        <v>0</v>
      </c>
      <c r="S80" s="29">
        <f>IF(OR($B80="",$A80&lt;=16),"",--MID('Key Analysis'!$C76,$A80-16,1))</f>
        <v>1</v>
      </c>
      <c r="T80" s="29">
        <f>IF(OR($B80="",$A80&lt;=17),"",--MID('Key Analysis'!$C76,$A80-17,1))</f>
        <v>1</v>
      </c>
      <c r="U80" s="29">
        <f>IF(OR($B80="",$A80&lt;=18),"",--MID('Key Analysis'!$C76,$A80-18,1))</f>
        <v>0</v>
      </c>
      <c r="V80" s="29">
        <f>IF(OR($B80="",$A80&lt;=19),"",--MID('Key Analysis'!$C76,$A80-19,1))</f>
        <v>0</v>
      </c>
      <c r="W80" s="29">
        <f>IF(OR($B80="",$A80&lt;=20),"",--MID('Key Analysis'!$C76,$A80-20,1))</f>
        <v>1</v>
      </c>
      <c r="X80" s="29">
        <f>IF(OR($B80="",$A80&lt;=21),"",--MID('Key Analysis'!$C76,$A80-21,1))</f>
        <v>1</v>
      </c>
      <c r="Y80" s="29">
        <f>IF(OR($B80="",$A80&lt;=22),"",--MID('Key Analysis'!$C76,$A80-22,1))</f>
        <v>0</v>
      </c>
      <c r="Z80" s="29">
        <f>IF(OR($B80="",$A80&lt;=23),"",--MID('Key Analysis'!$C76,$A80-23,1))</f>
        <v>0</v>
      </c>
      <c r="AA80" s="29">
        <f>IF(OR($B80="",$A80&lt;=24),"",--MID('Key Analysis'!$C76,$A80-24,1))</f>
        <v>1</v>
      </c>
      <c r="AB80" s="29">
        <f>IF(OR($B80="",$A80&lt;=25),"",--MID('Key Analysis'!$C76,$A80-25,1))</f>
        <v>0</v>
      </c>
      <c r="AC80" s="29">
        <f>IF(OR($B80="",$A80&lt;=26),"",--MID('Key Analysis'!$C76,$A80-26,1))</f>
        <v>0</v>
      </c>
      <c r="AD80" s="29">
        <f>IF(OR($B80="",$A80&lt;=27),"",--MID('Key Analysis'!$C76,$A80-27,1))</f>
        <v>0</v>
      </c>
      <c r="AE80" s="29">
        <f>IF(OR($B80="",$A80&lt;=28),"",--MID('Key Analysis'!$C76,$A80-28,1))</f>
        <v>0</v>
      </c>
      <c r="AF80" s="29">
        <f>IF(OR($B80="",$A80&lt;=29),"",--MID('Key Analysis'!$C76,$A80-29,1))</f>
        <v>1</v>
      </c>
      <c r="AG80" s="29">
        <f>IF(OR($B80="",$A80&lt;=30),"",--MID('Key Analysis'!$C76,$A80-30,1))</f>
        <v>0</v>
      </c>
      <c r="AH80" s="29">
        <f>IF(OR($B80="",$A80&lt;=31),"",--MID('Key Analysis'!$C76,$A80-31,1))</f>
        <v>1</v>
      </c>
      <c r="AI80" s="29">
        <f>IF(OR($B80="",$A80&lt;=32),"",--MID('Key Analysis'!$C76,$A80-32,1))</f>
        <v>0</v>
      </c>
      <c r="AJ80" s="29">
        <f>IF(OR($B80="",$A80&lt;=33),"",--MID('Key Analysis'!$C76,$A80-33,1))</f>
        <v>1</v>
      </c>
      <c r="AK80" s="29">
        <f>IF(OR($B80="",$A80&lt;=34),"",--MID('Key Analysis'!$C76,$A80-34,1))</f>
        <v>1</v>
      </c>
      <c r="AL80" s="29">
        <f>IF(OR($B80="",$A80&lt;=35),"",--MID('Key Analysis'!$C76,$A80-35,1))</f>
        <v>0</v>
      </c>
      <c r="AM80" s="29">
        <f>IF(OR($B80="",$A80&lt;=36),"",--MID('Key Analysis'!$C76,$A80-36,1))</f>
        <v>0</v>
      </c>
      <c r="AN80" s="29">
        <f>IF(OR($B80="",$A80&lt;=37),"",--MID('Key Analysis'!$C76,$A80-37,1))</f>
        <v>0</v>
      </c>
      <c r="AO80" s="29">
        <f>IF(OR($B80="",$A80&lt;=38),"",--MID('Key Analysis'!$C76,$A80-38,1))</f>
        <v>0</v>
      </c>
      <c r="AP80" s="29">
        <f>IF(OR($B80="",$A80&lt;=39),"",--MID('Key Analysis'!$C76,$A80-39,1))</f>
        <v>1</v>
      </c>
      <c r="AQ80" s="29">
        <f>IF(OR($B80="",$A80&lt;=40),"",--MID('Key Analysis'!$C76,$A80-40,1))</f>
        <v>0</v>
      </c>
      <c r="AR80" s="29">
        <f>IF(OR($B80="",$A80&lt;=41),"",--MID('Key Analysis'!$C76,$A80-41,1))</f>
        <v>1</v>
      </c>
      <c r="AS80" s="29">
        <f>IF(OR($B80="",$A80&lt;=42),"",--MID('Key Analysis'!$C76,$A80-42,1))</f>
        <v>1</v>
      </c>
      <c r="AT80" s="29">
        <f>IF(OR($B80="",$A80&lt;=43),"",--MID('Key Analysis'!$C76,$A80-43,1))</f>
        <v>0</v>
      </c>
      <c r="AU80" s="29">
        <f>IF(OR($B80="",$A80&lt;=44),"",--MID('Key Analysis'!$C76,$A80-44,1))</f>
        <v>0</v>
      </c>
      <c r="AV80" s="29">
        <f>IF(OR($B80="",$A80&lt;=45),"",--MID('Key Analysis'!$C76,$A80-45,1))</f>
        <v>0</v>
      </c>
      <c r="AW80" s="29">
        <f>IF(OR($B80="",$A80&lt;=46),"",--MID('Key Analysis'!$C76,$A80-46,1))</f>
        <v>1</v>
      </c>
      <c r="AX80" s="29">
        <f>IF(OR($B80="",$A80&lt;=47),"",--MID('Key Analysis'!$C76,$A80-47,1))</f>
        <v>0</v>
      </c>
      <c r="AY80" s="29">
        <f>IF(OR($B80="",$A80&lt;=48),"",--MID('Key Analysis'!$C76,$A80-48,1))</f>
        <v>1</v>
      </c>
      <c r="AZ80" s="29">
        <f>IF(OR($B80="",$A80&lt;=49),"",--MID('Key Analysis'!$C76,$A80-49,1))</f>
        <v>0</v>
      </c>
      <c r="BA80" s="29">
        <f>IF(OR($B80="",$A80&lt;=50),"",--MID('Key Analysis'!$C76,$A80-50,1))</f>
        <v>0</v>
      </c>
      <c r="BB80" s="29">
        <f>IF(OR($B80="",$A80&lt;=51),"",--MID('Key Analysis'!$C76,$A80-51,1))</f>
        <v>0</v>
      </c>
      <c r="BC80" s="29">
        <f>IF(OR($B80="",$A80&lt;=52),"",--MID('Key Analysis'!$C76,$A80-52,1))</f>
        <v>1</v>
      </c>
      <c r="BD80" s="29">
        <f>IF(OR($B80="",$A80&lt;=53),"",--MID('Key Analysis'!$C76,$A80-53,1))</f>
        <v>0</v>
      </c>
      <c r="BE80" s="29">
        <f>IF(OR($B80="",$A80&lt;=54),"",--MID('Key Analysis'!$C76,$A80-54,1))</f>
        <v>0</v>
      </c>
      <c r="BF80" s="29">
        <f>IF(OR($B80="",$A80&lt;=55),"",--MID('Key Analysis'!$C76,$A80-55,1))</f>
        <v>0</v>
      </c>
      <c r="BG80" s="29">
        <f>IF(OR($B80="",$A80&lt;=56),"",--MID('Key Analysis'!$C76,$A80-56,1))</f>
        <v>0</v>
      </c>
      <c r="BH80" s="29">
        <f>IF(OR($B80="",$A80&lt;=57),"",--MID('Key Analysis'!$C76,$A80-57,1))</f>
        <v>1</v>
      </c>
      <c r="BI80" s="29">
        <f>IF(OR($B80="",$A80&lt;=58),"",--MID('Key Analysis'!$C76,$A80-58,1))</f>
        <v>1</v>
      </c>
      <c r="BJ80" s="29">
        <f>IF(OR($B80="",$A80&lt;=59),"",--MID('Key Analysis'!$C76,$A80-59,1))</f>
        <v>1</v>
      </c>
      <c r="BK80" s="29">
        <f>IF(OR($B80="",$A80&lt;=60),"",--MID('Key Analysis'!$C76,$A80-60,1))</f>
        <v>0</v>
      </c>
      <c r="BL80" s="29">
        <f>IF(OR($B80="",$A80&lt;=61),"",--MID('Key Analysis'!$C76,$A80-61,1))</f>
        <v>0</v>
      </c>
      <c r="BM80" s="29">
        <f>IF(OR($B80="",$A80&lt;=62),"",--MID('Key Analysis'!$C76,$A80-62,1))</f>
        <v>1</v>
      </c>
      <c r="BN80" s="29">
        <f>IF(OR($B80="",$A80&lt;=63),"",--MID('Key Analysis'!$C76,$A80-63,1))</f>
        <v>1</v>
      </c>
      <c r="BO80" s="29">
        <f>IF(OR($B80="",$A80&lt;=64),"",--MID('Key Analysis'!$C76,$A80-64,1))</f>
        <v>1</v>
      </c>
      <c r="BP80" s="29">
        <f>IF(OR($B80="",$A80&lt;=65),"",--MID('Key Analysis'!$C76,$A80-65,1))</f>
        <v>0</v>
      </c>
      <c r="BQ80" s="29">
        <f>IF(OR($B80="",$A80&lt;=66),"",--MID('Key Analysis'!$C76,$A80-66,1))</f>
        <v>1</v>
      </c>
      <c r="BR80" s="29">
        <f>IF(OR($B80="",$A80&lt;=67),"",--MID('Key Analysis'!$C76,$A80-67,1))</f>
        <v>0</v>
      </c>
      <c r="BS80" s="29">
        <f>IF(OR($B80="",$A80&lt;=68),"",--MID('Key Analysis'!$C76,$A80-68,1))</f>
        <v>0</v>
      </c>
      <c r="BT80" s="29">
        <f>IF(OR($B80="",$A80&lt;=69),"",--MID('Key Analysis'!$C76,$A80-69,1))</f>
        <v>0</v>
      </c>
      <c r="BU80" s="29">
        <f>IF(OR($B80="",$A80&lt;=70),"",--MID('Key Analysis'!$C76,$A80-70,1))</f>
        <v>1</v>
      </c>
      <c r="BV80" s="29">
        <f>IF(OR($B80="",$A80&lt;=71),"",--MID('Key Analysis'!$C76,$A80-71,1))</f>
        <v>1</v>
      </c>
      <c r="BW80" s="29">
        <f>IF(OR($B80="",$A80&lt;=72),"",--MID('Key Analysis'!$C76,$A80-72,1))</f>
        <v>0</v>
      </c>
      <c r="BX80" s="29">
        <f>IF(OR($B80="",$A80&lt;=73),"",--MID('Key Analysis'!$C76,$A80-73,1))</f>
        <v>0</v>
      </c>
      <c r="BY80" s="29">
        <f>IF(OR($B80="",$A80&lt;=74),"",--MID('Key Analysis'!$C76,$A80-74,1))</f>
        <v>1</v>
      </c>
      <c r="BZ80" s="29" t="str">
        <f>IF(OR($B80="",$A80&lt;=75),"",--MID('Key Analysis'!$C76,$A80-75,1))</f>
        <v/>
      </c>
      <c r="CA80" s="29" t="str">
        <f>IF(OR($B80="",$A80&lt;=76),"",--MID('Key Analysis'!$C76,$A80-76,1))</f>
        <v/>
      </c>
      <c r="CB80" s="29" t="str">
        <f>IF(OR($B80="",$A80&lt;=77),"",--MID('Key Analysis'!$C76,$A80-77,1))</f>
        <v/>
      </c>
      <c r="CC80" s="29" t="str">
        <f>IF(OR($B80="",$A80&lt;=78),"",--MID('Key Analysis'!$C76,$A80-78,1))</f>
        <v/>
      </c>
      <c r="CD80" s="29" t="str">
        <f>IF(OR($B80="",$A80&lt;=79),"",--MID('Key Analysis'!$C76,$A80-79,1))</f>
        <v/>
      </c>
      <c r="CE80" s="29" t="str">
        <f>IF(OR($B80="",$A80&lt;=80),"",--MID('Key Analysis'!$C76,$A80-80,1))</f>
        <v/>
      </c>
      <c r="CF80" s="29" t="str">
        <f>IF(OR($B80="",$A80&lt;=81),"",--MID('Key Analysis'!$C76,$A80-81,1))</f>
        <v/>
      </c>
      <c r="CG80" s="29" t="str">
        <f>IF(OR($B80="",$A80&lt;=82),"",--MID('Key Analysis'!$C76,$A80-82,1))</f>
        <v/>
      </c>
      <c r="CH80" s="29" t="str">
        <f>IF(OR($B80="",$A80&lt;=83),"",--MID('Key Analysis'!$C76,$A80-83,1))</f>
        <v/>
      </c>
      <c r="CI80" s="29" t="str">
        <f>IF(OR($B80="",$A80&lt;=84),"",--MID('Key Analysis'!$C76,$A80-84,1))</f>
        <v/>
      </c>
      <c r="CJ80" s="29" t="str">
        <f>IF(OR($B80="",$A80&lt;=85),"",--MID('Key Analysis'!$C76,$A80-85,1))</f>
        <v/>
      </c>
      <c r="CK80" s="29" t="str">
        <f>IF(OR($B80="",$A80&lt;=86),"",--MID('Key Analysis'!$C76,$A80-86,1))</f>
        <v/>
      </c>
      <c r="CL80" s="29" t="str">
        <f>IF(OR($B80="",$A80&lt;=87),"",--MID('Key Analysis'!$C76,$A80-87,1))</f>
        <v/>
      </c>
      <c r="CM80" s="29" t="str">
        <f>IF(OR($B80="",$A80&lt;=88),"",--MID('Key Analysis'!$C76,$A80-88,1))</f>
        <v/>
      </c>
      <c r="CN80" s="29" t="str">
        <f>IF(OR($B80="",$A80&lt;=89),"",--MID('Key Analysis'!$C76,$A80-89,1))</f>
        <v/>
      </c>
      <c r="CO80" s="29" t="str">
        <f>IF(OR($B80="",$A80&lt;=90),"",--MID('Key Analysis'!$C76,$A80-90,1))</f>
        <v/>
      </c>
      <c r="CP80" s="29" t="str">
        <f>IF(OR($B80="",$A80&lt;=91),"",--MID('Key Analysis'!$C76,$A80-91,1))</f>
        <v/>
      </c>
      <c r="CQ80" s="29" t="str">
        <f>IF(OR($B80="",$A80&lt;=92),"",--MID('Key Analysis'!$C76,$A80-92,1))</f>
        <v/>
      </c>
      <c r="CR80" s="29" t="str">
        <f>IF(OR($B80="",$A80&lt;=93),"",--MID('Key Analysis'!$C76,$A80-93,1))</f>
        <v/>
      </c>
      <c r="CS80" s="29" t="str">
        <f>IF(OR($B80="",$A80&lt;=94),"",--MID('Key Analysis'!$C76,$A80-94,1))</f>
        <v/>
      </c>
      <c r="CT80" s="29" t="str">
        <f>IF(OR($B80="",$A80&lt;=95),"",--MID('Key Analysis'!$C76,$A80-95,1))</f>
        <v/>
      </c>
      <c r="CU80" s="29" t="str">
        <f>IF(OR($B80="",$A80&lt;=96),"",--MID('Key Analysis'!$C76,$A80-96,1))</f>
        <v/>
      </c>
      <c r="CV80" s="29" t="str">
        <f>IF(OR($B80="",$A80&lt;=97),"",--MID('Key Analysis'!$C76,$A80-97,1))</f>
        <v/>
      </c>
      <c r="CW80" s="29" t="str">
        <f>IF(OR($B80="",$A80&lt;=98),"",--MID('Key Analysis'!$C76,$A80-98,1))</f>
        <v/>
      </c>
      <c r="CX80" s="29" t="str">
        <f>IF(OR($B80="",$A80&lt;=99),"",--MID('Key Analysis'!$C76,$A80-99,1))</f>
        <v/>
      </c>
      <c r="CY80" s="29" t="str">
        <f>IF(OR($B80="",$A80&lt;=100),"",--MID('Key Analysis'!$C76,$A80-100,1))</f>
        <v/>
      </c>
      <c r="CZ80" s="29" t="str">
        <f>IF(OR($B80="",$A80&lt;=101),"",--MID('Key Analysis'!$C76,$A80-101,1))</f>
        <v/>
      </c>
      <c r="DA80" s="29" t="str">
        <f>IF(OR($B80="",$A80&lt;=102),"",--MID('Key Analysis'!$C76,$A80-102,1))</f>
        <v/>
      </c>
      <c r="DB80" s="29" t="str">
        <f>IF(OR($B80="",$A80&lt;=103),"",--MID('Key Analysis'!$C76,$A80-103,1))</f>
        <v/>
      </c>
      <c r="DC80" s="29" t="str">
        <f>IF(OR($B80="",$A80&lt;=104),"",--MID('Key Analysis'!$C76,$A80-104,1))</f>
        <v/>
      </c>
      <c r="DD80" s="29" t="str">
        <f>IF(OR($B80="",$A80&lt;=105),"",--MID('Key Analysis'!$C76,$A80-105,1))</f>
        <v/>
      </c>
      <c r="DE80" s="29" t="str">
        <f>IF(OR($B80="",$A80&lt;=106),"",--MID('Key Analysis'!$C76,$A80-106,1))</f>
        <v/>
      </c>
      <c r="DF80" s="29" t="str">
        <f>IF(OR($B80="",$A80&lt;=107),"",--MID('Key Analysis'!$C76,$A80-107,1))</f>
        <v/>
      </c>
      <c r="DG80" s="29" t="str">
        <f>IF(OR($B80="",$A80&lt;=108),"",--MID('Key Analysis'!$C76,$A80-108,1))</f>
        <v/>
      </c>
      <c r="DH80" s="29" t="str">
        <f>IF(OR($B80="",$A80&lt;=109),"",--MID('Key Analysis'!$C76,$A80-109,1))</f>
        <v/>
      </c>
      <c r="DI80" s="29" t="str">
        <f>IF(OR($B80="",$A80&lt;=110),"",--MID('Key Analysis'!$C76,$A80-110,1))</f>
        <v/>
      </c>
      <c r="DJ80" s="29" t="str">
        <f>IF(OR($B80="",$A80&lt;=111),"",--MID('Key Analysis'!$C76,$A80-111,1))</f>
        <v/>
      </c>
      <c r="DK80" s="29" t="str">
        <f>IF(OR($B80="",$A80&lt;=112),"",--MID('Key Analysis'!$C76,$A80-112,1))</f>
        <v/>
      </c>
      <c r="DL80" s="29" t="str">
        <f>IF(OR($B80="",$A80&lt;=113),"",--MID('Key Analysis'!$C76,$A80-113,1))</f>
        <v/>
      </c>
      <c r="DM80" s="29" t="str">
        <f>IF(OR($B80="",$A80&lt;=114),"",--MID('Key Analysis'!$C76,$A80-114,1))</f>
        <v/>
      </c>
      <c r="DN80" s="29" t="str">
        <f>IF(OR($B80="",$A80&lt;=115),"",--MID('Key Analysis'!$C76,$A80-115,1))</f>
        <v/>
      </c>
      <c r="DO80" s="29" t="str">
        <f>IF(OR($B80="",$A80&lt;=116),"",--MID('Key Analysis'!$C76,$A80-116,1))</f>
        <v/>
      </c>
      <c r="DP80" s="29" t="str">
        <f>IF(OR($B80="",$A80&lt;=117),"",--MID('Key Analysis'!$C76,$A80-117,1))</f>
        <v/>
      </c>
      <c r="DQ80" s="29" t="str">
        <f>IF(OR($B80="",$A80&lt;=118),"",--MID('Key Analysis'!$C76,$A80-118,1))</f>
        <v/>
      </c>
      <c r="DR80" s="29" t="str">
        <f>IF(OR($B80="",$A80&lt;=119),"",--MID('Key Analysis'!$C76,$A80-119,1))</f>
        <v/>
      </c>
      <c r="DS80" s="29" t="str">
        <f>IF(OR($B80="",$A80&lt;=120),"",--MID('Key Analysis'!$C76,$A80-120,1))</f>
        <v/>
      </c>
      <c r="DT80" s="29" t="str">
        <f>IF(OR($B80="",$A80&lt;=121),"",--MID('Key Analysis'!$C76,$A80-121,1))</f>
        <v/>
      </c>
      <c r="DU80" s="29" t="str">
        <f>IF(OR($B80="",$A80&lt;=122),"",--MID('Key Analysis'!$C76,$A80-122,1))</f>
        <v/>
      </c>
      <c r="DV80" s="29" t="str">
        <f>IF(OR($B80="",$A80&lt;=123),"",--MID('Key Analysis'!$C76,$A80-123,1))</f>
        <v/>
      </c>
      <c r="DW80" s="29" t="str">
        <f>IF(OR($B80="",$A80&lt;=124),"",--MID('Key Analysis'!$C76,$A80-124,1))</f>
        <v/>
      </c>
      <c r="DX80" s="29" t="str">
        <f>IF(OR($B80="",$A80&lt;=125),"",--MID('Key Analysis'!$C76,$A80-125,1))</f>
        <v/>
      </c>
      <c r="DY80" s="29" t="str">
        <f>IF(OR($B80="",$A80&lt;=126),"",--MID('Key Analysis'!$C76,$A80-126,1))</f>
        <v/>
      </c>
      <c r="DZ80" s="29" t="str">
        <f>IF(OR($B80="",$A80&lt;=127),"",--MID('Key Analysis'!$C76,$A80-127,1))</f>
        <v/>
      </c>
      <c r="EA80" s="29" t="str">
        <f>IF(OR($B80="",$A80&lt;=128),"",--MID('Key Analysis'!$C76,$A80-128,1))</f>
        <v/>
      </c>
      <c r="EB80" s="29" t="str">
        <f>IF(OR($B80="",$A80&lt;=129),"",--MID('Key Analysis'!$C76,$A80-129,1))</f>
        <v/>
      </c>
      <c r="EC80" s="29" t="str">
        <f>IF(OR($B80="",$A80&lt;=130),"",--MID('Key Analysis'!$C76,$A80-130,1))</f>
        <v/>
      </c>
      <c r="ED80" s="29" t="str">
        <f>IF(OR($B80="",$A80&lt;=131),"",--MID('Key Analysis'!$C76,$A80-131,1))</f>
        <v/>
      </c>
      <c r="EE80" s="29" t="str">
        <f>IF(OR($B80="",$A80&lt;=132),"",--MID('Key Analysis'!$C76,$A80-132,1))</f>
        <v/>
      </c>
      <c r="EF80" s="29" t="str">
        <f>IF(OR($B80="",$A80&lt;=133),"",--MID('Key Analysis'!$C76,$A80-133,1))</f>
        <v/>
      </c>
      <c r="EG80" s="29" t="str">
        <f>IF(OR($B80="",$A80&lt;=134),"",--MID('Key Analysis'!$C76,$A80-134,1))</f>
        <v/>
      </c>
      <c r="EH80" s="29"/>
      <c r="EI80" s="29">
        <f>IF(OR($B80="",$A80&lt;1),"",--MID('Key Analysis'!$C76,1,1))</f>
        <v>1</v>
      </c>
      <c r="EJ80" s="29">
        <f>IF(OR($B80="",$A80&lt;2),"",--MID('Key Analysis'!$C76,2,1))</f>
        <v>0</v>
      </c>
      <c r="EK80" s="29">
        <f>IF(OR($B80="",$A80&lt;3),"",--MID('Key Analysis'!$C76,3,1))</f>
        <v>0</v>
      </c>
      <c r="EL80" s="29">
        <f>IF(OR($B80="",$A80&lt;4),"",--MID('Key Analysis'!$C76,4,1))</f>
        <v>1</v>
      </c>
      <c r="EM80" s="29">
        <f>IF(OR($B80="",$A80&lt;5),"",--MID('Key Analysis'!$C76,5,1))</f>
        <v>1</v>
      </c>
      <c r="EN80" s="29">
        <f>IF(OR($B80="",$A80&lt;6),"",--MID('Key Analysis'!$C76,6,1))</f>
        <v>0</v>
      </c>
      <c r="EO80" s="29">
        <f>IF(OR($B80="",$A80&lt;7),"",--MID('Key Analysis'!$C76,7,1))</f>
        <v>0</v>
      </c>
      <c r="EP80" s="29">
        <f>IF(OR($B80="",$A80&lt;8),"",--MID('Key Analysis'!$C76,8,1))</f>
        <v>0</v>
      </c>
      <c r="EQ80" s="29">
        <f>IF(OR($B80="",$A80&lt;9),"",--MID('Key Analysis'!$C76,9,1))</f>
        <v>1</v>
      </c>
      <c r="ER80" s="29">
        <f>IF(OR($B80="",$A80&lt;10),"",--MID('Key Analysis'!$C76,10,1))</f>
        <v>0</v>
      </c>
      <c r="ES80" s="29">
        <f>IF(OR($B80="",$A80&lt;11),"",--MID('Key Analysis'!$C76,11,1))</f>
        <v>1</v>
      </c>
      <c r="ET80" s="29">
        <f>IF(OR($B80="",$A80&lt;12),"",--MID('Key Analysis'!$C76,12,1))</f>
        <v>1</v>
      </c>
      <c r="EU80" s="29">
        <f>IF(OR($B80="",$A80&lt;13),"",--MID('Key Analysis'!$C76,13,1))</f>
        <v>1</v>
      </c>
      <c r="EV80" s="29">
        <f>IF(OR($B80="",$A80&lt;14),"",--MID('Key Analysis'!$C76,14,1))</f>
        <v>0</v>
      </c>
      <c r="EW80" s="29">
        <f>IF(OR($B80="",$A80&lt;15),"",--MID('Key Analysis'!$C76,15,1))</f>
        <v>0</v>
      </c>
      <c r="EX80" s="29">
        <f>IF(OR($B80="",$A80&lt;16),"",--MID('Key Analysis'!$C76,16,1))</f>
        <v>1</v>
      </c>
      <c r="EY80" s="29">
        <f>IF(OR($B80="",$A80&lt;17),"",--MID('Key Analysis'!$C76,17,1))</f>
        <v>1</v>
      </c>
      <c r="EZ80" s="29">
        <f>IF(OR($B80="",$A80&lt;18),"",--MID('Key Analysis'!$C76,18,1))</f>
        <v>1</v>
      </c>
      <c r="FA80" s="29">
        <f>IF(OR($B80="",$A80&lt;19),"",--MID('Key Analysis'!$C76,19,1))</f>
        <v>0</v>
      </c>
      <c r="FB80" s="29">
        <f>IF(OR($B80="",$A80&lt;20),"",--MID('Key Analysis'!$C76,20,1))</f>
        <v>0</v>
      </c>
      <c r="FC80" s="29">
        <f>IF(OR($B80="",$A80&lt;21),"",--MID('Key Analysis'!$C76,21,1))</f>
        <v>0</v>
      </c>
      <c r="FD80" s="29">
        <f>IF(OR($B80="",$A80&lt;22),"",--MID('Key Analysis'!$C76,22,1))</f>
        <v>0</v>
      </c>
      <c r="FE80" s="29">
        <f>IF(OR($B80="",$A80&lt;23),"",--MID('Key Analysis'!$C76,23,1))</f>
        <v>1</v>
      </c>
      <c r="FF80" s="29">
        <f>IF(OR($B80="",$A80&lt;24),"",--MID('Key Analysis'!$C76,24,1))</f>
        <v>0</v>
      </c>
      <c r="FG80" s="29">
        <f>IF(OR($B80="",$A80&lt;25),"",--MID('Key Analysis'!$C76,25,1))</f>
        <v>0</v>
      </c>
      <c r="FH80" s="29">
        <f>IF(OR($B80="",$A80&lt;26),"",--MID('Key Analysis'!$C76,26,1))</f>
        <v>0</v>
      </c>
      <c r="FI80" s="29">
        <f>IF(OR($B80="",$A80&lt;27),"",--MID('Key Analysis'!$C76,27,1))</f>
        <v>1</v>
      </c>
      <c r="FJ80" s="29">
        <f>IF(OR($B80="",$A80&lt;28),"",--MID('Key Analysis'!$C76,28,1))</f>
        <v>0</v>
      </c>
      <c r="FK80" s="29">
        <f>IF(OR($B80="",$A80&lt;29),"",--MID('Key Analysis'!$C76,29,1))</f>
        <v>1</v>
      </c>
      <c r="FL80" s="29">
        <f>IF(OR($B80="",$A80&lt;30),"",--MID('Key Analysis'!$C76,30,1))</f>
        <v>0</v>
      </c>
      <c r="FM80" s="29">
        <f>IF(OR($B80="",$A80&lt;31),"",--MID('Key Analysis'!$C76,31,1))</f>
        <v>0</v>
      </c>
      <c r="FN80" s="29">
        <f>IF(OR($B80="",$A80&lt;32),"",--MID('Key Analysis'!$C76,32,1))</f>
        <v>0</v>
      </c>
      <c r="FO80" s="29">
        <f>IF(OR($B80="",$A80&lt;33),"",--MID('Key Analysis'!$C76,33,1))</f>
        <v>1</v>
      </c>
      <c r="FP80" s="29">
        <f>IF(OR($B80="",$A80&lt;34),"",--MID('Key Analysis'!$C76,34,1))</f>
        <v>1</v>
      </c>
      <c r="FQ80" s="29">
        <f>IF(OR($B80="",$A80&lt;35),"",--MID('Key Analysis'!$C76,35,1))</f>
        <v>0</v>
      </c>
      <c r="FR80" s="29">
        <f>IF(OR($B80="",$A80&lt;36),"",--MID('Key Analysis'!$C76,36,1))</f>
        <v>1</v>
      </c>
      <c r="FS80" s="29">
        <f>IF(OR($B80="",$A80&lt;37),"",--MID('Key Analysis'!$C76,37,1))</f>
        <v>0</v>
      </c>
      <c r="FT80" s="29">
        <f>IF(OR($B80="",$A80&lt;38),"",--MID('Key Analysis'!$C76,38,1))</f>
        <v>0</v>
      </c>
      <c r="FU80" s="29">
        <f>IF(OR($B80="",$A80&lt;39),"",--MID('Key Analysis'!$C76,39,1))</f>
        <v>0</v>
      </c>
      <c r="FV80" s="29">
        <f>IF(OR($B80="",$A80&lt;40),"",--MID('Key Analysis'!$C76,40,1))</f>
        <v>0</v>
      </c>
      <c r="FW80" s="29">
        <f>IF(OR($B80="",$A80&lt;41),"",--MID('Key Analysis'!$C76,41,1))</f>
        <v>1</v>
      </c>
      <c r="FX80" s="29">
        <f>IF(OR($B80="",$A80&lt;42),"",--MID('Key Analysis'!$C76,42,1))</f>
        <v>1</v>
      </c>
      <c r="FY80" s="29">
        <f>IF(OR($B80="",$A80&lt;43),"",--MID('Key Analysis'!$C76,43,1))</f>
        <v>0</v>
      </c>
      <c r="FZ80" s="29">
        <f>IF(OR($B80="",$A80&lt;44),"",--MID('Key Analysis'!$C76,44,1))</f>
        <v>1</v>
      </c>
      <c r="GA80" s="29">
        <f>IF(OR($B80="",$A80&lt;45),"",--MID('Key Analysis'!$C76,45,1))</f>
        <v>0</v>
      </c>
      <c r="GB80" s="29">
        <f>IF(OR($B80="",$A80&lt;46),"",--MID('Key Analysis'!$C76,46,1))</f>
        <v>1</v>
      </c>
      <c r="GC80" s="29">
        <f>IF(OR($B80="",$A80&lt;47),"",--MID('Key Analysis'!$C76,47,1))</f>
        <v>0</v>
      </c>
      <c r="GD80" s="29">
        <f>IF(OR($B80="",$A80&lt;48),"",--MID('Key Analysis'!$C76,48,1))</f>
        <v>0</v>
      </c>
      <c r="GE80" s="29">
        <f>IF(OR($B80="",$A80&lt;49),"",--MID('Key Analysis'!$C76,49,1))</f>
        <v>0</v>
      </c>
      <c r="GF80" s="29">
        <f>IF(OR($B80="",$A80&lt;50),"",--MID('Key Analysis'!$C76,50,1))</f>
        <v>0</v>
      </c>
      <c r="GG80" s="29">
        <f>IF(OR($B80="",$A80&lt;51),"",--MID('Key Analysis'!$C76,51,1))</f>
        <v>1</v>
      </c>
      <c r="GH80" s="29">
        <f>IF(OR($B80="",$A80&lt;52),"",--MID('Key Analysis'!$C76,52,1))</f>
        <v>0</v>
      </c>
      <c r="GI80" s="29">
        <f>IF(OR($B80="",$A80&lt;53),"",--MID('Key Analysis'!$C76,53,1))</f>
        <v>0</v>
      </c>
      <c r="GJ80" s="29">
        <f>IF(OR($B80="",$A80&lt;54),"",--MID('Key Analysis'!$C76,54,1))</f>
        <v>1</v>
      </c>
      <c r="GK80" s="29">
        <f>IF(OR($B80="",$A80&lt;55),"",--MID('Key Analysis'!$C76,55,1))</f>
        <v>1</v>
      </c>
      <c r="GL80" s="29">
        <f>IF(OR($B80="",$A80&lt;56),"",--MID('Key Analysis'!$C76,56,1))</f>
        <v>0</v>
      </c>
      <c r="GM80" s="29">
        <f>IF(OR($B80="",$A80&lt;57),"",--MID('Key Analysis'!$C76,57,1))</f>
        <v>0</v>
      </c>
      <c r="GN80" s="29">
        <f>IF(OR($B80="",$A80&lt;58),"",--MID('Key Analysis'!$C76,58,1))</f>
        <v>1</v>
      </c>
      <c r="GO80" s="29">
        <f>IF(OR($B80="",$A80&lt;59),"",--MID('Key Analysis'!$C76,59,1))</f>
        <v>1</v>
      </c>
      <c r="GP80" s="29">
        <f>IF(OR($B80="",$A80&lt;60),"",--MID('Key Analysis'!$C76,60,1))</f>
        <v>0</v>
      </c>
      <c r="GQ80" s="29">
        <f>IF(OR($B80="",$A80&lt;61),"",--MID('Key Analysis'!$C76,61,1))</f>
        <v>1</v>
      </c>
      <c r="GR80" s="29">
        <f>IF(OR($B80="",$A80&lt;62),"",--MID('Key Analysis'!$C76,62,1))</f>
        <v>1</v>
      </c>
      <c r="GS80" s="29">
        <f>IF(OR($B80="",$A80&lt;63),"",--MID('Key Analysis'!$C76,63,1))</f>
        <v>0</v>
      </c>
      <c r="GT80" s="29">
        <f>IF(OR($B80="",$A80&lt;64),"",--MID('Key Analysis'!$C76,64,1))</f>
        <v>1</v>
      </c>
      <c r="GU80" s="29">
        <f>IF(OR($B80="",$A80&lt;65),"",--MID('Key Analysis'!$C76,65,1))</f>
        <v>1</v>
      </c>
      <c r="GV80" s="29">
        <f>IF(OR($B80="",$A80&lt;66),"",--MID('Key Analysis'!$C76,66,1))</f>
        <v>1</v>
      </c>
      <c r="GW80" s="29">
        <f>IF(OR($B80="",$A80&lt;67),"",--MID('Key Analysis'!$C76,67,1))</f>
        <v>0</v>
      </c>
      <c r="GX80" s="29">
        <f>IF(OR($B80="",$A80&lt;68),"",--MID('Key Analysis'!$C76,68,1))</f>
        <v>0</v>
      </c>
      <c r="GY80" s="29">
        <f>IF(OR($B80="",$A80&lt;69),"",--MID('Key Analysis'!$C76,69,1))</f>
        <v>0</v>
      </c>
      <c r="GZ80" s="29">
        <f>IF(OR($B80="",$A80&lt;70),"",--MID('Key Analysis'!$C76,70,1))</f>
        <v>0</v>
      </c>
      <c r="HA80" s="29">
        <f>IF(OR($B80="",$A80&lt;71),"",--MID('Key Analysis'!$C76,71,1))</f>
        <v>0</v>
      </c>
      <c r="HB80" s="29">
        <f>IF(OR($B80="",$A80&lt;72),"",--MID('Key Analysis'!$C76,72,1))</f>
        <v>0</v>
      </c>
      <c r="HC80" s="29">
        <f>IF(OR($B80="",$A80&lt;73),"",--MID('Key Analysis'!$C76,73,1))</f>
        <v>1</v>
      </c>
      <c r="HD80" s="29">
        <f>IF(OR($B80="",$A80&lt;74),"",--MID('Key Analysis'!$C76,74,1))</f>
        <v>1</v>
      </c>
      <c r="HE80" s="29">
        <f>IF(OR($B80="",$A80&lt;75),"",--MID('Key Analysis'!$C76,75,1))</f>
        <v>1</v>
      </c>
      <c r="HF80" s="29" t="str">
        <f>IF(OR($B80="",$A80&lt;76),"",--MID('Key Analysis'!$C76,76,1))</f>
        <v/>
      </c>
      <c r="HG80" s="29" t="str">
        <f>IF(OR($B80="",$A80&lt;77),"",--MID('Key Analysis'!$C76,77,1))</f>
        <v/>
      </c>
      <c r="HH80" s="29" t="str">
        <f>IF(OR($B80="",$A80&lt;78),"",--MID('Key Analysis'!$C76,78,1))</f>
        <v/>
      </c>
      <c r="HI80" s="29" t="str">
        <f>IF(OR($B80="",$A80&lt;79),"",--MID('Key Analysis'!$C76,79,1))</f>
        <v/>
      </c>
      <c r="HJ80" s="29" t="str">
        <f>IF(OR($B80="",$A80&lt;80),"",--MID('Key Analysis'!$C76,80,1))</f>
        <v/>
      </c>
      <c r="HK80" s="29" t="str">
        <f>IF(OR($B80="",$A80&lt;81),"",--MID('Key Analysis'!$C76,81,1))</f>
        <v/>
      </c>
      <c r="HL80" s="29" t="str">
        <f>IF(OR($B80="",$A80&lt;82),"",--MID('Key Analysis'!$C76,82,1))</f>
        <v/>
      </c>
      <c r="HM80" s="29" t="str">
        <f>IF(OR($B80="",$A80&lt;83),"",--MID('Key Analysis'!$C76,83,1))</f>
        <v/>
      </c>
      <c r="HN80" s="29" t="str">
        <f>IF(OR($B80="",$A80&lt;84),"",--MID('Key Analysis'!$C76,84,1))</f>
        <v/>
      </c>
      <c r="HO80" s="29" t="str">
        <f>IF(OR($B80="",$A80&lt;85),"",--MID('Key Analysis'!$C76,85,1))</f>
        <v/>
      </c>
      <c r="HP80" s="29" t="str">
        <f>IF(OR($B80="",$A80&lt;86),"",--MID('Key Analysis'!$C76,86,1))</f>
        <v/>
      </c>
      <c r="HQ80" s="29" t="str">
        <f>IF(OR($B80="",$A80&lt;87),"",--MID('Key Analysis'!$C76,87,1))</f>
        <v/>
      </c>
      <c r="HR80" s="29" t="str">
        <f>IF(OR($B80="",$A80&lt;88),"",--MID('Key Analysis'!$C76,88,1))</f>
        <v/>
      </c>
      <c r="HS80" s="29" t="str">
        <f>IF(OR($B80="",$A80&lt;89),"",--MID('Key Analysis'!$C76,89,1))</f>
        <v/>
      </c>
      <c r="HT80" s="29" t="str">
        <f>IF(OR($B80="",$A80&lt;90),"",--MID('Key Analysis'!$C76,90,1))</f>
        <v/>
      </c>
      <c r="HU80" s="29" t="str">
        <f>IF(OR($B80="",$A80&lt;91),"",--MID('Key Analysis'!$C76,91,1))</f>
        <v/>
      </c>
      <c r="HV80" s="29" t="str">
        <f>IF(OR($B80="",$A80&lt;92),"",--MID('Key Analysis'!$C76,92,1))</f>
        <v/>
      </c>
      <c r="HW80" s="29" t="str">
        <f>IF(OR($B80="",$A80&lt;93),"",--MID('Key Analysis'!$C76,93,1))</f>
        <v/>
      </c>
      <c r="HX80" s="29" t="str">
        <f>IF(OR($B80="",$A80&lt;94),"",--MID('Key Analysis'!$C76,94,1))</f>
        <v/>
      </c>
      <c r="HY80" s="29" t="str">
        <f>IF(OR($B80="",$A80&lt;95),"",--MID('Key Analysis'!$C76,95,1))</f>
        <v/>
      </c>
      <c r="HZ80" s="29" t="str">
        <f>IF(OR($B80="",$A80&lt;96),"",--MID('Key Analysis'!$C76,96,1))</f>
        <v/>
      </c>
      <c r="IA80" s="29" t="str">
        <f>IF(OR($B80="",$A80&lt;97),"",--MID('Key Analysis'!$C76,97,1))</f>
        <v/>
      </c>
      <c r="IB80" s="29" t="str">
        <f>IF(OR($B80="",$A80&lt;98),"",--MID('Key Analysis'!$C76,98,1))</f>
        <v/>
      </c>
      <c r="IC80" s="29" t="str">
        <f>IF(OR($B80="",$A80&lt;99),"",--MID('Key Analysis'!$C76,99,1))</f>
        <v/>
      </c>
      <c r="ID80" s="29" t="str">
        <f>IF(OR($B80="",$A80&lt;100),"",--MID('Key Analysis'!$C76,100,1))</f>
        <v/>
      </c>
      <c r="IE80" s="29" t="str">
        <f>IF(OR($B80="",$A80&lt;101),"",--MID('Key Analysis'!$C76,101,1))</f>
        <v/>
      </c>
      <c r="IF80" s="29" t="str">
        <f>IF(OR($B80="",$A80&lt;102),"",--MID('Key Analysis'!$C76,102,1))</f>
        <v/>
      </c>
      <c r="IG80" s="29" t="str">
        <f>IF(OR($B80="",$A80&lt;103),"",--MID('Key Analysis'!$C76,103,1))</f>
        <v/>
      </c>
      <c r="IH80" s="29" t="str">
        <f>IF(OR($B80="",$A80&lt;104),"",--MID('Key Analysis'!$C76,104,1))</f>
        <v/>
      </c>
      <c r="II80" s="29" t="str">
        <f>IF(OR($B80="",$A80&lt;105),"",--MID('Key Analysis'!$C76,105,1))</f>
        <v/>
      </c>
      <c r="IJ80" s="29" t="str">
        <f>IF(OR($B80="",$A80&lt;106),"",--MID('Key Analysis'!$C76,106,1))</f>
        <v/>
      </c>
      <c r="IK80" s="29" t="str">
        <f>IF(OR($B80="",$A80&lt;107),"",--MID('Key Analysis'!$C76,107,1))</f>
        <v/>
      </c>
      <c r="IL80" s="29" t="str">
        <f>IF(OR($B80="",$A80&lt;108),"",--MID('Key Analysis'!$C76,108,1))</f>
        <v/>
      </c>
      <c r="IM80" s="29" t="str">
        <f>IF(OR($B80="",$A80&lt;109),"",--MID('Key Analysis'!$C76,109,1))</f>
        <v/>
      </c>
      <c r="IN80" s="29" t="str">
        <f>IF(OR($B80="",$A80&lt;110),"",--MID('Key Analysis'!$C76,110,1))</f>
        <v/>
      </c>
      <c r="IO80" s="29" t="str">
        <f>IF(OR($B80="",$A80&lt;111),"",--MID('Key Analysis'!$C76,111,1))</f>
        <v/>
      </c>
      <c r="IP80" s="29" t="str">
        <f>IF(OR($B80="",$A80&lt;112),"",--MID('Key Analysis'!$C76,112,1))</f>
        <v/>
      </c>
      <c r="IQ80" s="29" t="str">
        <f>IF(OR($B80="",$A80&lt;113),"",--MID('Key Analysis'!$C76,113,1))</f>
        <v/>
      </c>
      <c r="IR80" s="29" t="str">
        <f>IF(OR($B80="",$A80&lt;114),"",--MID('Key Analysis'!$C76,114,1))</f>
        <v/>
      </c>
      <c r="IS80" s="29" t="str">
        <f>IF(OR($B80="",$A80&lt;115),"",--MID('Key Analysis'!$C76,115,1))</f>
        <v/>
      </c>
      <c r="IT80" s="29" t="str">
        <f>IF(OR($B80="",$A80&lt;116),"",--MID('Key Analysis'!$C76,116,1))</f>
        <v/>
      </c>
      <c r="IU80" s="29" t="str">
        <f>IF(OR($B80="",$A80&lt;117),"",--MID('Key Analysis'!$C76,117,1))</f>
        <v/>
      </c>
      <c r="IV80" s="29" t="str">
        <f>IF(OR($B80="",$A80&lt;118),"",--MID('Key Analysis'!$C76,118,1))</f>
        <v/>
      </c>
      <c r="IW80" s="29" t="str">
        <f>IF(OR($B80="",$A80&lt;119),"",--MID('Key Analysis'!$C76,119,1))</f>
        <v/>
      </c>
      <c r="IX80" s="29" t="str">
        <f>IF(OR($B80="",$A80&lt;120),"",--MID('Key Analysis'!$C76,120,1))</f>
        <v/>
      </c>
      <c r="IY80" s="29" t="str">
        <f>IF(OR($B80="",$A80&lt;121),"",--MID('Key Analysis'!$C76,121,1))</f>
        <v/>
      </c>
      <c r="IZ80" s="29" t="str">
        <f>IF(OR($B80="",$A80&lt;122),"",--MID('Key Analysis'!$C76,122,1))</f>
        <v/>
      </c>
      <c r="JA80" s="29" t="str">
        <f>IF(OR($B80="",$A80&lt;123),"",--MID('Key Analysis'!$C76,123,1))</f>
        <v/>
      </c>
      <c r="JB80" s="29" t="str">
        <f>IF(OR($B80="",$A80&lt;124),"",--MID('Key Analysis'!$C76,124,1))</f>
        <v/>
      </c>
      <c r="JC80" s="29" t="str">
        <f>IF(OR($B80="",$A80&lt;125),"",--MID('Key Analysis'!$C76,125,1))</f>
        <v/>
      </c>
      <c r="JD80" s="29" t="str">
        <f>IF(OR($B80="",$A80&lt;126),"",--MID('Key Analysis'!$C76,126,1))</f>
        <v/>
      </c>
      <c r="JE80" s="29" t="str">
        <f>IF(OR($B80="",$A80&lt;127),"",--MID('Key Analysis'!$C76,127,1))</f>
        <v/>
      </c>
      <c r="JF80" s="29" t="str">
        <f>IF(OR($B80="",$A80&lt;128),"",--MID('Key Analysis'!$C76,128,1))</f>
        <v/>
      </c>
      <c r="JG80" s="29" t="str">
        <f>IF(OR($B80="",$A80&lt;129),"",--MID('Key Analysis'!$C76,129,1))</f>
        <v/>
      </c>
      <c r="JH80" s="29" t="str">
        <f>IF(OR($B80="",$A80&lt;130),"",--MID('Key Analysis'!$C76,130,1))</f>
        <v/>
      </c>
      <c r="JI80" s="29" t="str">
        <f>IF(OR($B80="",$A80&lt;131),"",--MID('Key Analysis'!$C76,131,1))</f>
        <v/>
      </c>
      <c r="JJ80" s="29" t="str">
        <f>IF(OR($B80="",$A80&lt;132),"",--MID('Key Analysis'!$C76,132,1))</f>
        <v/>
      </c>
      <c r="JK80" s="29" t="str">
        <f>IF(OR($B80="",$A80&lt;133),"",--MID('Key Analysis'!$C76,133,1))</f>
        <v/>
      </c>
      <c r="JL80" s="29" t="str">
        <f>IF(OR($B80="",$A80&lt;134),"",--MID('Key Analysis'!$C76,134,1))</f>
        <v/>
      </c>
      <c r="JM80" s="29" t="str">
        <f>IF(OR($B80="",$A80&lt;135),"",--MID('Key Analysis'!$C76,135,1))</f>
        <v/>
      </c>
    </row>
    <row r="81" spans="1:273" x14ac:dyDescent="0.25">
      <c r="A81" s="21">
        <f>'Key Analysis'!A77</f>
        <v>76</v>
      </c>
      <c r="B81" s="30" t="str">
        <f>'Key Analysis'!B77</f>
        <v/>
      </c>
      <c r="C81" s="29" t="str">
        <f>IF(OR($B81="",$A81&lt;=0),"",--MID('Key Analysis'!$C77,$A81-0,1))</f>
        <v/>
      </c>
      <c r="D81" s="29" t="str">
        <f>IF(OR($B81="",$A81&lt;=1),"",--MID('Key Analysis'!$C77,$A81-1,1))</f>
        <v/>
      </c>
      <c r="E81" s="29" t="str">
        <f>IF(OR($B81="",$A81&lt;=2),"",--MID('Key Analysis'!$C77,$A81-2,1))</f>
        <v/>
      </c>
      <c r="F81" s="29" t="str">
        <f>IF(OR($B81="",$A81&lt;=3),"",--MID('Key Analysis'!$C77,$A81-3,1))</f>
        <v/>
      </c>
      <c r="G81" s="29" t="str">
        <f>IF(OR($B81="",$A81&lt;=4),"",--MID('Key Analysis'!$C77,$A81-4,1))</f>
        <v/>
      </c>
      <c r="H81" s="29" t="str">
        <f>IF(OR($B81="",$A81&lt;=5),"",--MID('Key Analysis'!$C77,$A81-5,1))</f>
        <v/>
      </c>
      <c r="I81" s="29" t="str">
        <f>IF(OR($B81="",$A81&lt;=6),"",--MID('Key Analysis'!$C77,$A81-6,1))</f>
        <v/>
      </c>
      <c r="J81" s="29" t="str">
        <f>IF(OR($B81="",$A81&lt;=7),"",--MID('Key Analysis'!$C77,$A81-7,1))</f>
        <v/>
      </c>
      <c r="K81" s="29" t="str">
        <f>IF(OR($B81="",$A81&lt;=8),"",--MID('Key Analysis'!$C77,$A81-8,1))</f>
        <v/>
      </c>
      <c r="L81" s="29" t="str">
        <f>IF(OR($B81="",$A81&lt;=9),"",--MID('Key Analysis'!$C77,$A81-9,1))</f>
        <v/>
      </c>
      <c r="M81" s="29" t="str">
        <f>IF(OR($B81="",$A81&lt;=10),"",--MID('Key Analysis'!$C77,$A81-10,1))</f>
        <v/>
      </c>
      <c r="N81" s="29" t="str">
        <f>IF(OR($B81="",$A81&lt;=11),"",--MID('Key Analysis'!$C77,$A81-11,1))</f>
        <v/>
      </c>
      <c r="O81" s="29" t="str">
        <f>IF(OR($B81="",$A81&lt;=12),"",--MID('Key Analysis'!$C77,$A81-12,1))</f>
        <v/>
      </c>
      <c r="P81" s="29" t="str">
        <f>IF(OR($B81="",$A81&lt;=13),"",--MID('Key Analysis'!$C77,$A81-13,1))</f>
        <v/>
      </c>
      <c r="Q81" s="29" t="str">
        <f>IF(OR($B81="",$A81&lt;=14),"",--MID('Key Analysis'!$C77,$A81-14,1))</f>
        <v/>
      </c>
      <c r="R81" s="29" t="str">
        <f>IF(OR($B81="",$A81&lt;=15),"",--MID('Key Analysis'!$C77,$A81-15,1))</f>
        <v/>
      </c>
      <c r="S81" s="29" t="str">
        <f>IF(OR($B81="",$A81&lt;=16),"",--MID('Key Analysis'!$C77,$A81-16,1))</f>
        <v/>
      </c>
      <c r="T81" s="29" t="str">
        <f>IF(OR($B81="",$A81&lt;=17),"",--MID('Key Analysis'!$C77,$A81-17,1))</f>
        <v/>
      </c>
      <c r="U81" s="29" t="str">
        <f>IF(OR($B81="",$A81&lt;=18),"",--MID('Key Analysis'!$C77,$A81-18,1))</f>
        <v/>
      </c>
      <c r="V81" s="29" t="str">
        <f>IF(OR($B81="",$A81&lt;=19),"",--MID('Key Analysis'!$C77,$A81-19,1))</f>
        <v/>
      </c>
      <c r="W81" s="29" t="str">
        <f>IF(OR($B81="",$A81&lt;=20),"",--MID('Key Analysis'!$C77,$A81-20,1))</f>
        <v/>
      </c>
      <c r="X81" s="29" t="str">
        <f>IF(OR($B81="",$A81&lt;=21),"",--MID('Key Analysis'!$C77,$A81-21,1))</f>
        <v/>
      </c>
      <c r="Y81" s="29" t="str">
        <f>IF(OR($B81="",$A81&lt;=22),"",--MID('Key Analysis'!$C77,$A81-22,1))</f>
        <v/>
      </c>
      <c r="Z81" s="29" t="str">
        <f>IF(OR($B81="",$A81&lt;=23),"",--MID('Key Analysis'!$C77,$A81-23,1))</f>
        <v/>
      </c>
      <c r="AA81" s="29" t="str">
        <f>IF(OR($B81="",$A81&lt;=24),"",--MID('Key Analysis'!$C77,$A81-24,1))</f>
        <v/>
      </c>
      <c r="AB81" s="29" t="str">
        <f>IF(OR($B81="",$A81&lt;=25),"",--MID('Key Analysis'!$C77,$A81-25,1))</f>
        <v/>
      </c>
      <c r="AC81" s="29" t="str">
        <f>IF(OR($B81="",$A81&lt;=26),"",--MID('Key Analysis'!$C77,$A81-26,1))</f>
        <v/>
      </c>
      <c r="AD81" s="29" t="str">
        <f>IF(OR($B81="",$A81&lt;=27),"",--MID('Key Analysis'!$C77,$A81-27,1))</f>
        <v/>
      </c>
      <c r="AE81" s="29" t="str">
        <f>IF(OR($B81="",$A81&lt;=28),"",--MID('Key Analysis'!$C77,$A81-28,1))</f>
        <v/>
      </c>
      <c r="AF81" s="29" t="str">
        <f>IF(OR($B81="",$A81&lt;=29),"",--MID('Key Analysis'!$C77,$A81-29,1))</f>
        <v/>
      </c>
      <c r="AG81" s="29" t="str">
        <f>IF(OR($B81="",$A81&lt;=30),"",--MID('Key Analysis'!$C77,$A81-30,1))</f>
        <v/>
      </c>
      <c r="AH81" s="29" t="str">
        <f>IF(OR($B81="",$A81&lt;=31),"",--MID('Key Analysis'!$C77,$A81-31,1))</f>
        <v/>
      </c>
      <c r="AI81" s="29" t="str">
        <f>IF(OR($B81="",$A81&lt;=32),"",--MID('Key Analysis'!$C77,$A81-32,1))</f>
        <v/>
      </c>
      <c r="AJ81" s="29" t="str">
        <f>IF(OR($B81="",$A81&lt;=33),"",--MID('Key Analysis'!$C77,$A81-33,1))</f>
        <v/>
      </c>
      <c r="AK81" s="29" t="str">
        <f>IF(OR($B81="",$A81&lt;=34),"",--MID('Key Analysis'!$C77,$A81-34,1))</f>
        <v/>
      </c>
      <c r="AL81" s="29" t="str">
        <f>IF(OR($B81="",$A81&lt;=35),"",--MID('Key Analysis'!$C77,$A81-35,1))</f>
        <v/>
      </c>
      <c r="AM81" s="29" t="str">
        <f>IF(OR($B81="",$A81&lt;=36),"",--MID('Key Analysis'!$C77,$A81-36,1))</f>
        <v/>
      </c>
      <c r="AN81" s="29" t="str">
        <f>IF(OR($B81="",$A81&lt;=37),"",--MID('Key Analysis'!$C77,$A81-37,1))</f>
        <v/>
      </c>
      <c r="AO81" s="29" t="str">
        <f>IF(OR($B81="",$A81&lt;=38),"",--MID('Key Analysis'!$C77,$A81-38,1))</f>
        <v/>
      </c>
      <c r="AP81" s="29" t="str">
        <f>IF(OR($B81="",$A81&lt;=39),"",--MID('Key Analysis'!$C77,$A81-39,1))</f>
        <v/>
      </c>
      <c r="AQ81" s="29" t="str">
        <f>IF(OR($B81="",$A81&lt;=40),"",--MID('Key Analysis'!$C77,$A81-40,1))</f>
        <v/>
      </c>
      <c r="AR81" s="29" t="str">
        <f>IF(OR($B81="",$A81&lt;=41),"",--MID('Key Analysis'!$C77,$A81-41,1))</f>
        <v/>
      </c>
      <c r="AS81" s="29" t="str">
        <f>IF(OR($B81="",$A81&lt;=42),"",--MID('Key Analysis'!$C77,$A81-42,1))</f>
        <v/>
      </c>
      <c r="AT81" s="29" t="str">
        <f>IF(OR($B81="",$A81&lt;=43),"",--MID('Key Analysis'!$C77,$A81-43,1))</f>
        <v/>
      </c>
      <c r="AU81" s="29" t="str">
        <f>IF(OR($B81="",$A81&lt;=44),"",--MID('Key Analysis'!$C77,$A81-44,1))</f>
        <v/>
      </c>
      <c r="AV81" s="29" t="str">
        <f>IF(OR($B81="",$A81&lt;=45),"",--MID('Key Analysis'!$C77,$A81-45,1))</f>
        <v/>
      </c>
      <c r="AW81" s="29" t="str">
        <f>IF(OR($B81="",$A81&lt;=46),"",--MID('Key Analysis'!$C77,$A81-46,1))</f>
        <v/>
      </c>
      <c r="AX81" s="29" t="str">
        <f>IF(OR($B81="",$A81&lt;=47),"",--MID('Key Analysis'!$C77,$A81-47,1))</f>
        <v/>
      </c>
      <c r="AY81" s="29" t="str">
        <f>IF(OR($B81="",$A81&lt;=48),"",--MID('Key Analysis'!$C77,$A81-48,1))</f>
        <v/>
      </c>
      <c r="AZ81" s="29" t="str">
        <f>IF(OR($B81="",$A81&lt;=49),"",--MID('Key Analysis'!$C77,$A81-49,1))</f>
        <v/>
      </c>
      <c r="BA81" s="29" t="str">
        <f>IF(OR($B81="",$A81&lt;=50),"",--MID('Key Analysis'!$C77,$A81-50,1))</f>
        <v/>
      </c>
      <c r="BB81" s="29" t="str">
        <f>IF(OR($B81="",$A81&lt;=51),"",--MID('Key Analysis'!$C77,$A81-51,1))</f>
        <v/>
      </c>
      <c r="BC81" s="29" t="str">
        <f>IF(OR($B81="",$A81&lt;=52),"",--MID('Key Analysis'!$C77,$A81-52,1))</f>
        <v/>
      </c>
      <c r="BD81" s="29" t="str">
        <f>IF(OR($B81="",$A81&lt;=53),"",--MID('Key Analysis'!$C77,$A81-53,1))</f>
        <v/>
      </c>
      <c r="BE81" s="29" t="str">
        <f>IF(OR($B81="",$A81&lt;=54),"",--MID('Key Analysis'!$C77,$A81-54,1))</f>
        <v/>
      </c>
      <c r="BF81" s="29" t="str">
        <f>IF(OR($B81="",$A81&lt;=55),"",--MID('Key Analysis'!$C77,$A81-55,1))</f>
        <v/>
      </c>
      <c r="BG81" s="29" t="str">
        <f>IF(OR($B81="",$A81&lt;=56),"",--MID('Key Analysis'!$C77,$A81-56,1))</f>
        <v/>
      </c>
      <c r="BH81" s="29" t="str">
        <f>IF(OR($B81="",$A81&lt;=57),"",--MID('Key Analysis'!$C77,$A81-57,1))</f>
        <v/>
      </c>
      <c r="BI81" s="29" t="str">
        <f>IF(OR($B81="",$A81&lt;=58),"",--MID('Key Analysis'!$C77,$A81-58,1))</f>
        <v/>
      </c>
      <c r="BJ81" s="29" t="str">
        <f>IF(OR($B81="",$A81&lt;=59),"",--MID('Key Analysis'!$C77,$A81-59,1))</f>
        <v/>
      </c>
      <c r="BK81" s="29" t="str">
        <f>IF(OR($B81="",$A81&lt;=60),"",--MID('Key Analysis'!$C77,$A81-60,1))</f>
        <v/>
      </c>
      <c r="BL81" s="29" t="str">
        <f>IF(OR($B81="",$A81&lt;=61),"",--MID('Key Analysis'!$C77,$A81-61,1))</f>
        <v/>
      </c>
      <c r="BM81" s="29" t="str">
        <f>IF(OR($B81="",$A81&lt;=62),"",--MID('Key Analysis'!$C77,$A81-62,1))</f>
        <v/>
      </c>
      <c r="BN81" s="29" t="str">
        <f>IF(OR($B81="",$A81&lt;=63),"",--MID('Key Analysis'!$C77,$A81-63,1))</f>
        <v/>
      </c>
      <c r="BO81" s="29" t="str">
        <f>IF(OR($B81="",$A81&lt;=64),"",--MID('Key Analysis'!$C77,$A81-64,1))</f>
        <v/>
      </c>
      <c r="BP81" s="29" t="str">
        <f>IF(OR($B81="",$A81&lt;=65),"",--MID('Key Analysis'!$C77,$A81-65,1))</f>
        <v/>
      </c>
      <c r="BQ81" s="29" t="str">
        <f>IF(OR($B81="",$A81&lt;=66),"",--MID('Key Analysis'!$C77,$A81-66,1))</f>
        <v/>
      </c>
      <c r="BR81" s="29" t="str">
        <f>IF(OR($B81="",$A81&lt;=67),"",--MID('Key Analysis'!$C77,$A81-67,1))</f>
        <v/>
      </c>
      <c r="BS81" s="29" t="str">
        <f>IF(OR($B81="",$A81&lt;=68),"",--MID('Key Analysis'!$C77,$A81-68,1))</f>
        <v/>
      </c>
      <c r="BT81" s="29" t="str">
        <f>IF(OR($B81="",$A81&lt;=69),"",--MID('Key Analysis'!$C77,$A81-69,1))</f>
        <v/>
      </c>
      <c r="BU81" s="29" t="str">
        <f>IF(OR($B81="",$A81&lt;=70),"",--MID('Key Analysis'!$C77,$A81-70,1))</f>
        <v/>
      </c>
      <c r="BV81" s="29" t="str">
        <f>IF(OR($B81="",$A81&lt;=71),"",--MID('Key Analysis'!$C77,$A81-71,1))</f>
        <v/>
      </c>
      <c r="BW81" s="29" t="str">
        <f>IF(OR($B81="",$A81&lt;=72),"",--MID('Key Analysis'!$C77,$A81-72,1))</f>
        <v/>
      </c>
      <c r="BX81" s="29" t="str">
        <f>IF(OR($B81="",$A81&lt;=73),"",--MID('Key Analysis'!$C77,$A81-73,1))</f>
        <v/>
      </c>
      <c r="BY81" s="29" t="str">
        <f>IF(OR($B81="",$A81&lt;=74),"",--MID('Key Analysis'!$C77,$A81-74,1))</f>
        <v/>
      </c>
      <c r="BZ81" s="29" t="str">
        <f>IF(OR($B81="",$A81&lt;=75),"",--MID('Key Analysis'!$C77,$A81-75,1))</f>
        <v/>
      </c>
      <c r="CA81" s="29" t="str">
        <f>IF(OR($B81="",$A81&lt;=76),"",--MID('Key Analysis'!$C77,$A81-76,1))</f>
        <v/>
      </c>
      <c r="CB81" s="29" t="str">
        <f>IF(OR($B81="",$A81&lt;=77),"",--MID('Key Analysis'!$C77,$A81-77,1))</f>
        <v/>
      </c>
      <c r="CC81" s="29" t="str">
        <f>IF(OR($B81="",$A81&lt;=78),"",--MID('Key Analysis'!$C77,$A81-78,1))</f>
        <v/>
      </c>
      <c r="CD81" s="29" t="str">
        <f>IF(OR($B81="",$A81&lt;=79),"",--MID('Key Analysis'!$C77,$A81-79,1))</f>
        <v/>
      </c>
      <c r="CE81" s="29" t="str">
        <f>IF(OR($B81="",$A81&lt;=80),"",--MID('Key Analysis'!$C77,$A81-80,1))</f>
        <v/>
      </c>
      <c r="CF81" s="29" t="str">
        <f>IF(OR($B81="",$A81&lt;=81),"",--MID('Key Analysis'!$C77,$A81-81,1))</f>
        <v/>
      </c>
      <c r="CG81" s="29" t="str">
        <f>IF(OR($B81="",$A81&lt;=82),"",--MID('Key Analysis'!$C77,$A81-82,1))</f>
        <v/>
      </c>
      <c r="CH81" s="29" t="str">
        <f>IF(OR($B81="",$A81&lt;=83),"",--MID('Key Analysis'!$C77,$A81-83,1))</f>
        <v/>
      </c>
      <c r="CI81" s="29" t="str">
        <f>IF(OR($B81="",$A81&lt;=84),"",--MID('Key Analysis'!$C77,$A81-84,1))</f>
        <v/>
      </c>
      <c r="CJ81" s="29" t="str">
        <f>IF(OR($B81="",$A81&lt;=85),"",--MID('Key Analysis'!$C77,$A81-85,1))</f>
        <v/>
      </c>
      <c r="CK81" s="29" t="str">
        <f>IF(OR($B81="",$A81&lt;=86),"",--MID('Key Analysis'!$C77,$A81-86,1))</f>
        <v/>
      </c>
      <c r="CL81" s="29" t="str">
        <f>IF(OR($B81="",$A81&lt;=87),"",--MID('Key Analysis'!$C77,$A81-87,1))</f>
        <v/>
      </c>
      <c r="CM81" s="29" t="str">
        <f>IF(OR($B81="",$A81&lt;=88),"",--MID('Key Analysis'!$C77,$A81-88,1))</f>
        <v/>
      </c>
      <c r="CN81" s="29" t="str">
        <f>IF(OR($B81="",$A81&lt;=89),"",--MID('Key Analysis'!$C77,$A81-89,1))</f>
        <v/>
      </c>
      <c r="CO81" s="29" t="str">
        <f>IF(OR($B81="",$A81&lt;=90),"",--MID('Key Analysis'!$C77,$A81-90,1))</f>
        <v/>
      </c>
      <c r="CP81" s="29" t="str">
        <f>IF(OR($B81="",$A81&lt;=91),"",--MID('Key Analysis'!$C77,$A81-91,1))</f>
        <v/>
      </c>
      <c r="CQ81" s="29" t="str">
        <f>IF(OR($B81="",$A81&lt;=92),"",--MID('Key Analysis'!$C77,$A81-92,1))</f>
        <v/>
      </c>
      <c r="CR81" s="29" t="str">
        <f>IF(OR($B81="",$A81&lt;=93),"",--MID('Key Analysis'!$C77,$A81-93,1))</f>
        <v/>
      </c>
      <c r="CS81" s="29" t="str">
        <f>IF(OR($B81="",$A81&lt;=94),"",--MID('Key Analysis'!$C77,$A81-94,1))</f>
        <v/>
      </c>
      <c r="CT81" s="29" t="str">
        <f>IF(OR($B81="",$A81&lt;=95),"",--MID('Key Analysis'!$C77,$A81-95,1))</f>
        <v/>
      </c>
      <c r="CU81" s="29" t="str">
        <f>IF(OR($B81="",$A81&lt;=96),"",--MID('Key Analysis'!$C77,$A81-96,1))</f>
        <v/>
      </c>
      <c r="CV81" s="29" t="str">
        <f>IF(OR($B81="",$A81&lt;=97),"",--MID('Key Analysis'!$C77,$A81-97,1))</f>
        <v/>
      </c>
      <c r="CW81" s="29" t="str">
        <f>IF(OR($B81="",$A81&lt;=98),"",--MID('Key Analysis'!$C77,$A81-98,1))</f>
        <v/>
      </c>
      <c r="CX81" s="29" t="str">
        <f>IF(OR($B81="",$A81&lt;=99),"",--MID('Key Analysis'!$C77,$A81-99,1))</f>
        <v/>
      </c>
      <c r="CY81" s="29" t="str">
        <f>IF(OR($B81="",$A81&lt;=100),"",--MID('Key Analysis'!$C77,$A81-100,1))</f>
        <v/>
      </c>
      <c r="CZ81" s="29" t="str">
        <f>IF(OR($B81="",$A81&lt;=101),"",--MID('Key Analysis'!$C77,$A81-101,1))</f>
        <v/>
      </c>
      <c r="DA81" s="29" t="str">
        <f>IF(OR($B81="",$A81&lt;=102),"",--MID('Key Analysis'!$C77,$A81-102,1))</f>
        <v/>
      </c>
      <c r="DB81" s="29" t="str">
        <f>IF(OR($B81="",$A81&lt;=103),"",--MID('Key Analysis'!$C77,$A81-103,1))</f>
        <v/>
      </c>
      <c r="DC81" s="29" t="str">
        <f>IF(OR($B81="",$A81&lt;=104),"",--MID('Key Analysis'!$C77,$A81-104,1))</f>
        <v/>
      </c>
      <c r="DD81" s="29" t="str">
        <f>IF(OR($B81="",$A81&lt;=105),"",--MID('Key Analysis'!$C77,$A81-105,1))</f>
        <v/>
      </c>
      <c r="DE81" s="29" t="str">
        <f>IF(OR($B81="",$A81&lt;=106),"",--MID('Key Analysis'!$C77,$A81-106,1))</f>
        <v/>
      </c>
      <c r="DF81" s="29" t="str">
        <f>IF(OR($B81="",$A81&lt;=107),"",--MID('Key Analysis'!$C77,$A81-107,1))</f>
        <v/>
      </c>
      <c r="DG81" s="29" t="str">
        <f>IF(OR($B81="",$A81&lt;=108),"",--MID('Key Analysis'!$C77,$A81-108,1))</f>
        <v/>
      </c>
      <c r="DH81" s="29" t="str">
        <f>IF(OR($B81="",$A81&lt;=109),"",--MID('Key Analysis'!$C77,$A81-109,1))</f>
        <v/>
      </c>
      <c r="DI81" s="29" t="str">
        <f>IF(OR($B81="",$A81&lt;=110),"",--MID('Key Analysis'!$C77,$A81-110,1))</f>
        <v/>
      </c>
      <c r="DJ81" s="29" t="str">
        <f>IF(OR($B81="",$A81&lt;=111),"",--MID('Key Analysis'!$C77,$A81-111,1))</f>
        <v/>
      </c>
      <c r="DK81" s="29" t="str">
        <f>IF(OR($B81="",$A81&lt;=112),"",--MID('Key Analysis'!$C77,$A81-112,1))</f>
        <v/>
      </c>
      <c r="DL81" s="29" t="str">
        <f>IF(OR($B81="",$A81&lt;=113),"",--MID('Key Analysis'!$C77,$A81-113,1))</f>
        <v/>
      </c>
      <c r="DM81" s="29" t="str">
        <f>IF(OR($B81="",$A81&lt;=114),"",--MID('Key Analysis'!$C77,$A81-114,1))</f>
        <v/>
      </c>
      <c r="DN81" s="29" t="str">
        <f>IF(OR($B81="",$A81&lt;=115),"",--MID('Key Analysis'!$C77,$A81-115,1))</f>
        <v/>
      </c>
      <c r="DO81" s="29" t="str">
        <f>IF(OR($B81="",$A81&lt;=116),"",--MID('Key Analysis'!$C77,$A81-116,1))</f>
        <v/>
      </c>
      <c r="DP81" s="29" t="str">
        <f>IF(OR($B81="",$A81&lt;=117),"",--MID('Key Analysis'!$C77,$A81-117,1))</f>
        <v/>
      </c>
      <c r="DQ81" s="29" t="str">
        <f>IF(OR($B81="",$A81&lt;=118),"",--MID('Key Analysis'!$C77,$A81-118,1))</f>
        <v/>
      </c>
      <c r="DR81" s="29" t="str">
        <f>IF(OR($B81="",$A81&lt;=119),"",--MID('Key Analysis'!$C77,$A81-119,1))</f>
        <v/>
      </c>
      <c r="DS81" s="29" t="str">
        <f>IF(OR($B81="",$A81&lt;=120),"",--MID('Key Analysis'!$C77,$A81-120,1))</f>
        <v/>
      </c>
      <c r="DT81" s="29" t="str">
        <f>IF(OR($B81="",$A81&lt;=121),"",--MID('Key Analysis'!$C77,$A81-121,1))</f>
        <v/>
      </c>
      <c r="DU81" s="29" t="str">
        <f>IF(OR($B81="",$A81&lt;=122),"",--MID('Key Analysis'!$C77,$A81-122,1))</f>
        <v/>
      </c>
      <c r="DV81" s="29" t="str">
        <f>IF(OR($B81="",$A81&lt;=123),"",--MID('Key Analysis'!$C77,$A81-123,1))</f>
        <v/>
      </c>
      <c r="DW81" s="29" t="str">
        <f>IF(OR($B81="",$A81&lt;=124),"",--MID('Key Analysis'!$C77,$A81-124,1))</f>
        <v/>
      </c>
      <c r="DX81" s="29" t="str">
        <f>IF(OR($B81="",$A81&lt;=125),"",--MID('Key Analysis'!$C77,$A81-125,1))</f>
        <v/>
      </c>
      <c r="DY81" s="29" t="str">
        <f>IF(OR($B81="",$A81&lt;=126),"",--MID('Key Analysis'!$C77,$A81-126,1))</f>
        <v/>
      </c>
      <c r="DZ81" s="29" t="str">
        <f>IF(OR($B81="",$A81&lt;=127),"",--MID('Key Analysis'!$C77,$A81-127,1))</f>
        <v/>
      </c>
      <c r="EA81" s="29" t="str">
        <f>IF(OR($B81="",$A81&lt;=128),"",--MID('Key Analysis'!$C77,$A81-128,1))</f>
        <v/>
      </c>
      <c r="EB81" s="29" t="str">
        <f>IF(OR($B81="",$A81&lt;=129),"",--MID('Key Analysis'!$C77,$A81-129,1))</f>
        <v/>
      </c>
      <c r="EC81" s="29" t="str">
        <f>IF(OR($B81="",$A81&lt;=130),"",--MID('Key Analysis'!$C77,$A81-130,1))</f>
        <v/>
      </c>
      <c r="ED81" s="29" t="str">
        <f>IF(OR($B81="",$A81&lt;=131),"",--MID('Key Analysis'!$C77,$A81-131,1))</f>
        <v/>
      </c>
      <c r="EE81" s="29" t="str">
        <f>IF(OR($B81="",$A81&lt;=132),"",--MID('Key Analysis'!$C77,$A81-132,1))</f>
        <v/>
      </c>
      <c r="EF81" s="29" t="str">
        <f>IF(OR($B81="",$A81&lt;=133),"",--MID('Key Analysis'!$C77,$A81-133,1))</f>
        <v/>
      </c>
      <c r="EG81" s="29" t="str">
        <f>IF(OR($B81="",$A81&lt;=134),"",--MID('Key Analysis'!$C77,$A81-134,1))</f>
        <v/>
      </c>
      <c r="EH81" s="29"/>
      <c r="EI81" s="29" t="str">
        <f>IF(OR($B81="",$A81&lt;1),"",--MID('Key Analysis'!$C77,1,1))</f>
        <v/>
      </c>
      <c r="EJ81" s="29" t="str">
        <f>IF(OR($B81="",$A81&lt;2),"",--MID('Key Analysis'!$C77,2,1))</f>
        <v/>
      </c>
      <c r="EK81" s="29" t="str">
        <f>IF(OR($B81="",$A81&lt;3),"",--MID('Key Analysis'!$C77,3,1))</f>
        <v/>
      </c>
      <c r="EL81" s="29" t="str">
        <f>IF(OR($B81="",$A81&lt;4),"",--MID('Key Analysis'!$C77,4,1))</f>
        <v/>
      </c>
      <c r="EM81" s="29" t="str">
        <f>IF(OR($B81="",$A81&lt;5),"",--MID('Key Analysis'!$C77,5,1))</f>
        <v/>
      </c>
      <c r="EN81" s="29" t="str">
        <f>IF(OR($B81="",$A81&lt;6),"",--MID('Key Analysis'!$C77,6,1))</f>
        <v/>
      </c>
      <c r="EO81" s="29" t="str">
        <f>IF(OR($B81="",$A81&lt;7),"",--MID('Key Analysis'!$C77,7,1))</f>
        <v/>
      </c>
      <c r="EP81" s="29" t="str">
        <f>IF(OR($B81="",$A81&lt;8),"",--MID('Key Analysis'!$C77,8,1))</f>
        <v/>
      </c>
      <c r="EQ81" s="29" t="str">
        <f>IF(OR($B81="",$A81&lt;9),"",--MID('Key Analysis'!$C77,9,1))</f>
        <v/>
      </c>
      <c r="ER81" s="29" t="str">
        <f>IF(OR($B81="",$A81&lt;10),"",--MID('Key Analysis'!$C77,10,1))</f>
        <v/>
      </c>
      <c r="ES81" s="29" t="str">
        <f>IF(OR($B81="",$A81&lt;11),"",--MID('Key Analysis'!$C77,11,1))</f>
        <v/>
      </c>
      <c r="ET81" s="29" t="str">
        <f>IF(OR($B81="",$A81&lt;12),"",--MID('Key Analysis'!$C77,12,1))</f>
        <v/>
      </c>
      <c r="EU81" s="29" t="str">
        <f>IF(OR($B81="",$A81&lt;13),"",--MID('Key Analysis'!$C77,13,1))</f>
        <v/>
      </c>
      <c r="EV81" s="29" t="str">
        <f>IF(OR($B81="",$A81&lt;14),"",--MID('Key Analysis'!$C77,14,1))</f>
        <v/>
      </c>
      <c r="EW81" s="29" t="str">
        <f>IF(OR($B81="",$A81&lt;15),"",--MID('Key Analysis'!$C77,15,1))</f>
        <v/>
      </c>
      <c r="EX81" s="29" t="str">
        <f>IF(OR($B81="",$A81&lt;16),"",--MID('Key Analysis'!$C77,16,1))</f>
        <v/>
      </c>
      <c r="EY81" s="29" t="str">
        <f>IF(OR($B81="",$A81&lt;17),"",--MID('Key Analysis'!$C77,17,1))</f>
        <v/>
      </c>
      <c r="EZ81" s="29" t="str">
        <f>IF(OR($B81="",$A81&lt;18),"",--MID('Key Analysis'!$C77,18,1))</f>
        <v/>
      </c>
      <c r="FA81" s="29" t="str">
        <f>IF(OR($B81="",$A81&lt;19),"",--MID('Key Analysis'!$C77,19,1))</f>
        <v/>
      </c>
      <c r="FB81" s="29" t="str">
        <f>IF(OR($B81="",$A81&lt;20),"",--MID('Key Analysis'!$C77,20,1))</f>
        <v/>
      </c>
      <c r="FC81" s="29" t="str">
        <f>IF(OR($B81="",$A81&lt;21),"",--MID('Key Analysis'!$C77,21,1))</f>
        <v/>
      </c>
      <c r="FD81" s="29" t="str">
        <f>IF(OR($B81="",$A81&lt;22),"",--MID('Key Analysis'!$C77,22,1))</f>
        <v/>
      </c>
      <c r="FE81" s="29" t="str">
        <f>IF(OR($B81="",$A81&lt;23),"",--MID('Key Analysis'!$C77,23,1))</f>
        <v/>
      </c>
      <c r="FF81" s="29" t="str">
        <f>IF(OR($B81="",$A81&lt;24),"",--MID('Key Analysis'!$C77,24,1))</f>
        <v/>
      </c>
      <c r="FG81" s="29" t="str">
        <f>IF(OR($B81="",$A81&lt;25),"",--MID('Key Analysis'!$C77,25,1))</f>
        <v/>
      </c>
      <c r="FH81" s="29" t="str">
        <f>IF(OR($B81="",$A81&lt;26),"",--MID('Key Analysis'!$C77,26,1))</f>
        <v/>
      </c>
      <c r="FI81" s="29" t="str">
        <f>IF(OR($B81="",$A81&lt;27),"",--MID('Key Analysis'!$C77,27,1))</f>
        <v/>
      </c>
      <c r="FJ81" s="29" t="str">
        <f>IF(OR($B81="",$A81&lt;28),"",--MID('Key Analysis'!$C77,28,1))</f>
        <v/>
      </c>
      <c r="FK81" s="29" t="str">
        <f>IF(OR($B81="",$A81&lt;29),"",--MID('Key Analysis'!$C77,29,1))</f>
        <v/>
      </c>
      <c r="FL81" s="29" t="str">
        <f>IF(OR($B81="",$A81&lt;30),"",--MID('Key Analysis'!$C77,30,1))</f>
        <v/>
      </c>
      <c r="FM81" s="29" t="str">
        <f>IF(OR($B81="",$A81&lt;31),"",--MID('Key Analysis'!$C77,31,1))</f>
        <v/>
      </c>
      <c r="FN81" s="29" t="str">
        <f>IF(OR($B81="",$A81&lt;32),"",--MID('Key Analysis'!$C77,32,1))</f>
        <v/>
      </c>
      <c r="FO81" s="29" t="str">
        <f>IF(OR($B81="",$A81&lt;33),"",--MID('Key Analysis'!$C77,33,1))</f>
        <v/>
      </c>
      <c r="FP81" s="29" t="str">
        <f>IF(OR($B81="",$A81&lt;34),"",--MID('Key Analysis'!$C77,34,1))</f>
        <v/>
      </c>
      <c r="FQ81" s="29" t="str">
        <f>IF(OR($B81="",$A81&lt;35),"",--MID('Key Analysis'!$C77,35,1))</f>
        <v/>
      </c>
      <c r="FR81" s="29" t="str">
        <f>IF(OR($B81="",$A81&lt;36),"",--MID('Key Analysis'!$C77,36,1))</f>
        <v/>
      </c>
      <c r="FS81" s="29" t="str">
        <f>IF(OR($B81="",$A81&lt;37),"",--MID('Key Analysis'!$C77,37,1))</f>
        <v/>
      </c>
      <c r="FT81" s="29" t="str">
        <f>IF(OR($B81="",$A81&lt;38),"",--MID('Key Analysis'!$C77,38,1))</f>
        <v/>
      </c>
      <c r="FU81" s="29" t="str">
        <f>IF(OR($B81="",$A81&lt;39),"",--MID('Key Analysis'!$C77,39,1))</f>
        <v/>
      </c>
      <c r="FV81" s="29" t="str">
        <f>IF(OR($B81="",$A81&lt;40),"",--MID('Key Analysis'!$C77,40,1))</f>
        <v/>
      </c>
      <c r="FW81" s="29" t="str">
        <f>IF(OR($B81="",$A81&lt;41),"",--MID('Key Analysis'!$C77,41,1))</f>
        <v/>
      </c>
      <c r="FX81" s="29" t="str">
        <f>IF(OR($B81="",$A81&lt;42),"",--MID('Key Analysis'!$C77,42,1))</f>
        <v/>
      </c>
      <c r="FY81" s="29" t="str">
        <f>IF(OR($B81="",$A81&lt;43),"",--MID('Key Analysis'!$C77,43,1))</f>
        <v/>
      </c>
      <c r="FZ81" s="29" t="str">
        <f>IF(OR($B81="",$A81&lt;44),"",--MID('Key Analysis'!$C77,44,1))</f>
        <v/>
      </c>
      <c r="GA81" s="29" t="str">
        <f>IF(OR($B81="",$A81&lt;45),"",--MID('Key Analysis'!$C77,45,1))</f>
        <v/>
      </c>
      <c r="GB81" s="29" t="str">
        <f>IF(OR($B81="",$A81&lt;46),"",--MID('Key Analysis'!$C77,46,1))</f>
        <v/>
      </c>
      <c r="GC81" s="29" t="str">
        <f>IF(OR($B81="",$A81&lt;47),"",--MID('Key Analysis'!$C77,47,1))</f>
        <v/>
      </c>
      <c r="GD81" s="29" t="str">
        <f>IF(OR($B81="",$A81&lt;48),"",--MID('Key Analysis'!$C77,48,1))</f>
        <v/>
      </c>
      <c r="GE81" s="29" t="str">
        <f>IF(OR($B81="",$A81&lt;49),"",--MID('Key Analysis'!$C77,49,1))</f>
        <v/>
      </c>
      <c r="GF81" s="29" t="str">
        <f>IF(OR($B81="",$A81&lt;50),"",--MID('Key Analysis'!$C77,50,1))</f>
        <v/>
      </c>
      <c r="GG81" s="29" t="str">
        <f>IF(OR($B81="",$A81&lt;51),"",--MID('Key Analysis'!$C77,51,1))</f>
        <v/>
      </c>
      <c r="GH81" s="29" t="str">
        <f>IF(OR($B81="",$A81&lt;52),"",--MID('Key Analysis'!$C77,52,1))</f>
        <v/>
      </c>
      <c r="GI81" s="29" t="str">
        <f>IF(OR($B81="",$A81&lt;53),"",--MID('Key Analysis'!$C77,53,1))</f>
        <v/>
      </c>
      <c r="GJ81" s="29" t="str">
        <f>IF(OR($B81="",$A81&lt;54),"",--MID('Key Analysis'!$C77,54,1))</f>
        <v/>
      </c>
      <c r="GK81" s="29" t="str">
        <f>IF(OR($B81="",$A81&lt;55),"",--MID('Key Analysis'!$C77,55,1))</f>
        <v/>
      </c>
      <c r="GL81" s="29" t="str">
        <f>IF(OR($B81="",$A81&lt;56),"",--MID('Key Analysis'!$C77,56,1))</f>
        <v/>
      </c>
      <c r="GM81" s="29" t="str">
        <f>IF(OR($B81="",$A81&lt;57),"",--MID('Key Analysis'!$C77,57,1))</f>
        <v/>
      </c>
      <c r="GN81" s="29" t="str">
        <f>IF(OR($B81="",$A81&lt;58),"",--MID('Key Analysis'!$C77,58,1))</f>
        <v/>
      </c>
      <c r="GO81" s="29" t="str">
        <f>IF(OR($B81="",$A81&lt;59),"",--MID('Key Analysis'!$C77,59,1))</f>
        <v/>
      </c>
      <c r="GP81" s="29" t="str">
        <f>IF(OR($B81="",$A81&lt;60),"",--MID('Key Analysis'!$C77,60,1))</f>
        <v/>
      </c>
      <c r="GQ81" s="29" t="str">
        <f>IF(OR($B81="",$A81&lt;61),"",--MID('Key Analysis'!$C77,61,1))</f>
        <v/>
      </c>
      <c r="GR81" s="29" t="str">
        <f>IF(OR($B81="",$A81&lt;62),"",--MID('Key Analysis'!$C77,62,1))</f>
        <v/>
      </c>
      <c r="GS81" s="29" t="str">
        <f>IF(OR($B81="",$A81&lt;63),"",--MID('Key Analysis'!$C77,63,1))</f>
        <v/>
      </c>
      <c r="GT81" s="29" t="str">
        <f>IF(OR($B81="",$A81&lt;64),"",--MID('Key Analysis'!$C77,64,1))</f>
        <v/>
      </c>
      <c r="GU81" s="29" t="str">
        <f>IF(OR($B81="",$A81&lt;65),"",--MID('Key Analysis'!$C77,65,1))</f>
        <v/>
      </c>
      <c r="GV81" s="29" t="str">
        <f>IF(OR($B81="",$A81&lt;66),"",--MID('Key Analysis'!$C77,66,1))</f>
        <v/>
      </c>
      <c r="GW81" s="29" t="str">
        <f>IF(OR($B81="",$A81&lt;67),"",--MID('Key Analysis'!$C77,67,1))</f>
        <v/>
      </c>
      <c r="GX81" s="29" t="str">
        <f>IF(OR($B81="",$A81&lt;68),"",--MID('Key Analysis'!$C77,68,1))</f>
        <v/>
      </c>
      <c r="GY81" s="29" t="str">
        <f>IF(OR($B81="",$A81&lt;69),"",--MID('Key Analysis'!$C77,69,1))</f>
        <v/>
      </c>
      <c r="GZ81" s="29" t="str">
        <f>IF(OR($B81="",$A81&lt;70),"",--MID('Key Analysis'!$C77,70,1))</f>
        <v/>
      </c>
      <c r="HA81" s="29" t="str">
        <f>IF(OR($B81="",$A81&lt;71),"",--MID('Key Analysis'!$C77,71,1))</f>
        <v/>
      </c>
      <c r="HB81" s="29" t="str">
        <f>IF(OR($B81="",$A81&lt;72),"",--MID('Key Analysis'!$C77,72,1))</f>
        <v/>
      </c>
      <c r="HC81" s="29" t="str">
        <f>IF(OR($B81="",$A81&lt;73),"",--MID('Key Analysis'!$C77,73,1))</f>
        <v/>
      </c>
      <c r="HD81" s="29" t="str">
        <f>IF(OR($B81="",$A81&lt;74),"",--MID('Key Analysis'!$C77,74,1))</f>
        <v/>
      </c>
      <c r="HE81" s="29" t="str">
        <f>IF(OR($B81="",$A81&lt;75),"",--MID('Key Analysis'!$C77,75,1))</f>
        <v/>
      </c>
      <c r="HF81" s="29" t="str">
        <f>IF(OR($B81="",$A81&lt;76),"",--MID('Key Analysis'!$C77,76,1))</f>
        <v/>
      </c>
      <c r="HG81" s="29" t="str">
        <f>IF(OR($B81="",$A81&lt;77),"",--MID('Key Analysis'!$C77,77,1))</f>
        <v/>
      </c>
      <c r="HH81" s="29" t="str">
        <f>IF(OR($B81="",$A81&lt;78),"",--MID('Key Analysis'!$C77,78,1))</f>
        <v/>
      </c>
      <c r="HI81" s="29" t="str">
        <f>IF(OR($B81="",$A81&lt;79),"",--MID('Key Analysis'!$C77,79,1))</f>
        <v/>
      </c>
      <c r="HJ81" s="29" t="str">
        <f>IF(OR($B81="",$A81&lt;80),"",--MID('Key Analysis'!$C77,80,1))</f>
        <v/>
      </c>
      <c r="HK81" s="29" t="str">
        <f>IF(OR($B81="",$A81&lt;81),"",--MID('Key Analysis'!$C77,81,1))</f>
        <v/>
      </c>
      <c r="HL81" s="29" t="str">
        <f>IF(OR($B81="",$A81&lt;82),"",--MID('Key Analysis'!$C77,82,1))</f>
        <v/>
      </c>
      <c r="HM81" s="29" t="str">
        <f>IF(OR($B81="",$A81&lt;83),"",--MID('Key Analysis'!$C77,83,1))</f>
        <v/>
      </c>
      <c r="HN81" s="29" t="str">
        <f>IF(OR($B81="",$A81&lt;84),"",--MID('Key Analysis'!$C77,84,1))</f>
        <v/>
      </c>
      <c r="HO81" s="29" t="str">
        <f>IF(OR($B81="",$A81&lt;85),"",--MID('Key Analysis'!$C77,85,1))</f>
        <v/>
      </c>
      <c r="HP81" s="29" t="str">
        <f>IF(OR($B81="",$A81&lt;86),"",--MID('Key Analysis'!$C77,86,1))</f>
        <v/>
      </c>
      <c r="HQ81" s="29" t="str">
        <f>IF(OR($B81="",$A81&lt;87),"",--MID('Key Analysis'!$C77,87,1))</f>
        <v/>
      </c>
      <c r="HR81" s="29" t="str">
        <f>IF(OR($B81="",$A81&lt;88),"",--MID('Key Analysis'!$C77,88,1))</f>
        <v/>
      </c>
      <c r="HS81" s="29" t="str">
        <f>IF(OR($B81="",$A81&lt;89),"",--MID('Key Analysis'!$C77,89,1))</f>
        <v/>
      </c>
      <c r="HT81" s="29" t="str">
        <f>IF(OR($B81="",$A81&lt;90),"",--MID('Key Analysis'!$C77,90,1))</f>
        <v/>
      </c>
      <c r="HU81" s="29" t="str">
        <f>IF(OR($B81="",$A81&lt;91),"",--MID('Key Analysis'!$C77,91,1))</f>
        <v/>
      </c>
      <c r="HV81" s="29" t="str">
        <f>IF(OR($B81="",$A81&lt;92),"",--MID('Key Analysis'!$C77,92,1))</f>
        <v/>
      </c>
      <c r="HW81" s="29" t="str">
        <f>IF(OR($B81="",$A81&lt;93),"",--MID('Key Analysis'!$C77,93,1))</f>
        <v/>
      </c>
      <c r="HX81" s="29" t="str">
        <f>IF(OR($B81="",$A81&lt;94),"",--MID('Key Analysis'!$C77,94,1))</f>
        <v/>
      </c>
      <c r="HY81" s="29" t="str">
        <f>IF(OR($B81="",$A81&lt;95),"",--MID('Key Analysis'!$C77,95,1))</f>
        <v/>
      </c>
      <c r="HZ81" s="29" t="str">
        <f>IF(OR($B81="",$A81&lt;96),"",--MID('Key Analysis'!$C77,96,1))</f>
        <v/>
      </c>
      <c r="IA81" s="29" t="str">
        <f>IF(OR($B81="",$A81&lt;97),"",--MID('Key Analysis'!$C77,97,1))</f>
        <v/>
      </c>
      <c r="IB81" s="29" t="str">
        <f>IF(OR($B81="",$A81&lt;98),"",--MID('Key Analysis'!$C77,98,1))</f>
        <v/>
      </c>
      <c r="IC81" s="29" t="str">
        <f>IF(OR($B81="",$A81&lt;99),"",--MID('Key Analysis'!$C77,99,1))</f>
        <v/>
      </c>
      <c r="ID81" s="29" t="str">
        <f>IF(OR($B81="",$A81&lt;100),"",--MID('Key Analysis'!$C77,100,1))</f>
        <v/>
      </c>
      <c r="IE81" s="29" t="str">
        <f>IF(OR($B81="",$A81&lt;101),"",--MID('Key Analysis'!$C77,101,1))</f>
        <v/>
      </c>
      <c r="IF81" s="29" t="str">
        <f>IF(OR($B81="",$A81&lt;102),"",--MID('Key Analysis'!$C77,102,1))</f>
        <v/>
      </c>
      <c r="IG81" s="29" t="str">
        <f>IF(OR($B81="",$A81&lt;103),"",--MID('Key Analysis'!$C77,103,1))</f>
        <v/>
      </c>
      <c r="IH81" s="29" t="str">
        <f>IF(OR($B81="",$A81&lt;104),"",--MID('Key Analysis'!$C77,104,1))</f>
        <v/>
      </c>
      <c r="II81" s="29" t="str">
        <f>IF(OR($B81="",$A81&lt;105),"",--MID('Key Analysis'!$C77,105,1))</f>
        <v/>
      </c>
      <c r="IJ81" s="29" t="str">
        <f>IF(OR($B81="",$A81&lt;106),"",--MID('Key Analysis'!$C77,106,1))</f>
        <v/>
      </c>
      <c r="IK81" s="29" t="str">
        <f>IF(OR($B81="",$A81&lt;107),"",--MID('Key Analysis'!$C77,107,1))</f>
        <v/>
      </c>
      <c r="IL81" s="29" t="str">
        <f>IF(OR($B81="",$A81&lt;108),"",--MID('Key Analysis'!$C77,108,1))</f>
        <v/>
      </c>
      <c r="IM81" s="29" t="str">
        <f>IF(OR($B81="",$A81&lt;109),"",--MID('Key Analysis'!$C77,109,1))</f>
        <v/>
      </c>
      <c r="IN81" s="29" t="str">
        <f>IF(OR($B81="",$A81&lt;110),"",--MID('Key Analysis'!$C77,110,1))</f>
        <v/>
      </c>
      <c r="IO81" s="29" t="str">
        <f>IF(OR($B81="",$A81&lt;111),"",--MID('Key Analysis'!$C77,111,1))</f>
        <v/>
      </c>
      <c r="IP81" s="29" t="str">
        <f>IF(OR($B81="",$A81&lt;112),"",--MID('Key Analysis'!$C77,112,1))</f>
        <v/>
      </c>
      <c r="IQ81" s="29" t="str">
        <f>IF(OR($B81="",$A81&lt;113),"",--MID('Key Analysis'!$C77,113,1))</f>
        <v/>
      </c>
      <c r="IR81" s="29" t="str">
        <f>IF(OR($B81="",$A81&lt;114),"",--MID('Key Analysis'!$C77,114,1))</f>
        <v/>
      </c>
      <c r="IS81" s="29" t="str">
        <f>IF(OR($B81="",$A81&lt;115),"",--MID('Key Analysis'!$C77,115,1))</f>
        <v/>
      </c>
      <c r="IT81" s="29" t="str">
        <f>IF(OR($B81="",$A81&lt;116),"",--MID('Key Analysis'!$C77,116,1))</f>
        <v/>
      </c>
      <c r="IU81" s="29" t="str">
        <f>IF(OR($B81="",$A81&lt;117),"",--MID('Key Analysis'!$C77,117,1))</f>
        <v/>
      </c>
      <c r="IV81" s="29" t="str">
        <f>IF(OR($B81="",$A81&lt;118),"",--MID('Key Analysis'!$C77,118,1))</f>
        <v/>
      </c>
      <c r="IW81" s="29" t="str">
        <f>IF(OR($B81="",$A81&lt;119),"",--MID('Key Analysis'!$C77,119,1))</f>
        <v/>
      </c>
      <c r="IX81" s="29" t="str">
        <f>IF(OR($B81="",$A81&lt;120),"",--MID('Key Analysis'!$C77,120,1))</f>
        <v/>
      </c>
      <c r="IY81" s="29" t="str">
        <f>IF(OR($B81="",$A81&lt;121),"",--MID('Key Analysis'!$C77,121,1))</f>
        <v/>
      </c>
      <c r="IZ81" s="29" t="str">
        <f>IF(OR($B81="",$A81&lt;122),"",--MID('Key Analysis'!$C77,122,1))</f>
        <v/>
      </c>
      <c r="JA81" s="29" t="str">
        <f>IF(OR($B81="",$A81&lt;123),"",--MID('Key Analysis'!$C77,123,1))</f>
        <v/>
      </c>
      <c r="JB81" s="29" t="str">
        <f>IF(OR($B81="",$A81&lt;124),"",--MID('Key Analysis'!$C77,124,1))</f>
        <v/>
      </c>
      <c r="JC81" s="29" t="str">
        <f>IF(OR($B81="",$A81&lt;125),"",--MID('Key Analysis'!$C77,125,1))</f>
        <v/>
      </c>
      <c r="JD81" s="29" t="str">
        <f>IF(OR($B81="",$A81&lt;126),"",--MID('Key Analysis'!$C77,126,1))</f>
        <v/>
      </c>
      <c r="JE81" s="29" t="str">
        <f>IF(OR($B81="",$A81&lt;127),"",--MID('Key Analysis'!$C77,127,1))</f>
        <v/>
      </c>
      <c r="JF81" s="29" t="str">
        <f>IF(OR($B81="",$A81&lt;128),"",--MID('Key Analysis'!$C77,128,1))</f>
        <v/>
      </c>
      <c r="JG81" s="29" t="str">
        <f>IF(OR($B81="",$A81&lt;129),"",--MID('Key Analysis'!$C77,129,1))</f>
        <v/>
      </c>
      <c r="JH81" s="29" t="str">
        <f>IF(OR($B81="",$A81&lt;130),"",--MID('Key Analysis'!$C77,130,1))</f>
        <v/>
      </c>
      <c r="JI81" s="29" t="str">
        <f>IF(OR($B81="",$A81&lt;131),"",--MID('Key Analysis'!$C77,131,1))</f>
        <v/>
      </c>
      <c r="JJ81" s="29" t="str">
        <f>IF(OR($B81="",$A81&lt;132),"",--MID('Key Analysis'!$C77,132,1))</f>
        <v/>
      </c>
      <c r="JK81" s="29" t="str">
        <f>IF(OR($B81="",$A81&lt;133),"",--MID('Key Analysis'!$C77,133,1))</f>
        <v/>
      </c>
      <c r="JL81" s="29" t="str">
        <f>IF(OR($B81="",$A81&lt;134),"",--MID('Key Analysis'!$C77,134,1))</f>
        <v/>
      </c>
      <c r="JM81" s="29" t="str">
        <f>IF(OR($B81="",$A81&lt;135),"",--MID('Key Analysis'!$C77,135,1))</f>
        <v/>
      </c>
    </row>
    <row r="82" spans="1:273" x14ac:dyDescent="0.25">
      <c r="A82" s="21">
        <f>'Key Analysis'!A78</f>
        <v>77</v>
      </c>
      <c r="B82" s="30" t="str">
        <f>'Key Analysis'!B78</f>
        <v/>
      </c>
      <c r="C82" s="29" t="str">
        <f>IF(OR($B82="",$A82&lt;=0),"",--MID('Key Analysis'!$C78,$A82-0,1))</f>
        <v/>
      </c>
      <c r="D82" s="29" t="str">
        <f>IF(OR($B82="",$A82&lt;=1),"",--MID('Key Analysis'!$C78,$A82-1,1))</f>
        <v/>
      </c>
      <c r="E82" s="29" t="str">
        <f>IF(OR($B82="",$A82&lt;=2),"",--MID('Key Analysis'!$C78,$A82-2,1))</f>
        <v/>
      </c>
      <c r="F82" s="29" t="str">
        <f>IF(OR($B82="",$A82&lt;=3),"",--MID('Key Analysis'!$C78,$A82-3,1))</f>
        <v/>
      </c>
      <c r="G82" s="29" t="str">
        <f>IF(OR($B82="",$A82&lt;=4),"",--MID('Key Analysis'!$C78,$A82-4,1))</f>
        <v/>
      </c>
      <c r="H82" s="29" t="str">
        <f>IF(OR($B82="",$A82&lt;=5),"",--MID('Key Analysis'!$C78,$A82-5,1))</f>
        <v/>
      </c>
      <c r="I82" s="29" t="str">
        <f>IF(OR($B82="",$A82&lt;=6),"",--MID('Key Analysis'!$C78,$A82-6,1))</f>
        <v/>
      </c>
      <c r="J82" s="29" t="str">
        <f>IF(OR($B82="",$A82&lt;=7),"",--MID('Key Analysis'!$C78,$A82-7,1))</f>
        <v/>
      </c>
      <c r="K82" s="29" t="str">
        <f>IF(OR($B82="",$A82&lt;=8),"",--MID('Key Analysis'!$C78,$A82-8,1))</f>
        <v/>
      </c>
      <c r="L82" s="29" t="str">
        <f>IF(OR($B82="",$A82&lt;=9),"",--MID('Key Analysis'!$C78,$A82-9,1))</f>
        <v/>
      </c>
      <c r="M82" s="29" t="str">
        <f>IF(OR($B82="",$A82&lt;=10),"",--MID('Key Analysis'!$C78,$A82-10,1))</f>
        <v/>
      </c>
      <c r="N82" s="29" t="str">
        <f>IF(OR($B82="",$A82&lt;=11),"",--MID('Key Analysis'!$C78,$A82-11,1))</f>
        <v/>
      </c>
      <c r="O82" s="29" t="str">
        <f>IF(OR($B82="",$A82&lt;=12),"",--MID('Key Analysis'!$C78,$A82-12,1))</f>
        <v/>
      </c>
      <c r="P82" s="29" t="str">
        <f>IF(OR($B82="",$A82&lt;=13),"",--MID('Key Analysis'!$C78,$A82-13,1))</f>
        <v/>
      </c>
      <c r="Q82" s="29" t="str">
        <f>IF(OR($B82="",$A82&lt;=14),"",--MID('Key Analysis'!$C78,$A82-14,1))</f>
        <v/>
      </c>
      <c r="R82" s="29" t="str">
        <f>IF(OR($B82="",$A82&lt;=15),"",--MID('Key Analysis'!$C78,$A82-15,1))</f>
        <v/>
      </c>
      <c r="S82" s="29" t="str">
        <f>IF(OR($B82="",$A82&lt;=16),"",--MID('Key Analysis'!$C78,$A82-16,1))</f>
        <v/>
      </c>
      <c r="T82" s="29" t="str">
        <f>IF(OR($B82="",$A82&lt;=17),"",--MID('Key Analysis'!$C78,$A82-17,1))</f>
        <v/>
      </c>
      <c r="U82" s="29" t="str">
        <f>IF(OR($B82="",$A82&lt;=18),"",--MID('Key Analysis'!$C78,$A82-18,1))</f>
        <v/>
      </c>
      <c r="V82" s="29" t="str">
        <f>IF(OR($B82="",$A82&lt;=19),"",--MID('Key Analysis'!$C78,$A82-19,1))</f>
        <v/>
      </c>
      <c r="W82" s="29" t="str">
        <f>IF(OR($B82="",$A82&lt;=20),"",--MID('Key Analysis'!$C78,$A82-20,1))</f>
        <v/>
      </c>
      <c r="X82" s="29" t="str">
        <f>IF(OR($B82="",$A82&lt;=21),"",--MID('Key Analysis'!$C78,$A82-21,1))</f>
        <v/>
      </c>
      <c r="Y82" s="29" t="str">
        <f>IF(OR($B82="",$A82&lt;=22),"",--MID('Key Analysis'!$C78,$A82-22,1))</f>
        <v/>
      </c>
      <c r="Z82" s="29" t="str">
        <f>IF(OR($B82="",$A82&lt;=23),"",--MID('Key Analysis'!$C78,$A82-23,1))</f>
        <v/>
      </c>
      <c r="AA82" s="29" t="str">
        <f>IF(OR($B82="",$A82&lt;=24),"",--MID('Key Analysis'!$C78,$A82-24,1))</f>
        <v/>
      </c>
      <c r="AB82" s="29" t="str">
        <f>IF(OR($B82="",$A82&lt;=25),"",--MID('Key Analysis'!$C78,$A82-25,1))</f>
        <v/>
      </c>
      <c r="AC82" s="29" t="str">
        <f>IF(OR($B82="",$A82&lt;=26),"",--MID('Key Analysis'!$C78,$A82-26,1))</f>
        <v/>
      </c>
      <c r="AD82" s="29" t="str">
        <f>IF(OR($B82="",$A82&lt;=27),"",--MID('Key Analysis'!$C78,$A82-27,1))</f>
        <v/>
      </c>
      <c r="AE82" s="29" t="str">
        <f>IF(OR($B82="",$A82&lt;=28),"",--MID('Key Analysis'!$C78,$A82-28,1))</f>
        <v/>
      </c>
      <c r="AF82" s="29" t="str">
        <f>IF(OR($B82="",$A82&lt;=29),"",--MID('Key Analysis'!$C78,$A82-29,1))</f>
        <v/>
      </c>
      <c r="AG82" s="29" t="str">
        <f>IF(OR($B82="",$A82&lt;=30),"",--MID('Key Analysis'!$C78,$A82-30,1))</f>
        <v/>
      </c>
      <c r="AH82" s="29" t="str">
        <f>IF(OR($B82="",$A82&lt;=31),"",--MID('Key Analysis'!$C78,$A82-31,1))</f>
        <v/>
      </c>
      <c r="AI82" s="29" t="str">
        <f>IF(OR($B82="",$A82&lt;=32),"",--MID('Key Analysis'!$C78,$A82-32,1))</f>
        <v/>
      </c>
      <c r="AJ82" s="29" t="str">
        <f>IF(OR($B82="",$A82&lt;=33),"",--MID('Key Analysis'!$C78,$A82-33,1))</f>
        <v/>
      </c>
      <c r="AK82" s="29" t="str">
        <f>IF(OR($B82="",$A82&lt;=34),"",--MID('Key Analysis'!$C78,$A82-34,1))</f>
        <v/>
      </c>
      <c r="AL82" s="29" t="str">
        <f>IF(OR($B82="",$A82&lt;=35),"",--MID('Key Analysis'!$C78,$A82-35,1))</f>
        <v/>
      </c>
      <c r="AM82" s="29" t="str">
        <f>IF(OR($B82="",$A82&lt;=36),"",--MID('Key Analysis'!$C78,$A82-36,1))</f>
        <v/>
      </c>
      <c r="AN82" s="29" t="str">
        <f>IF(OR($B82="",$A82&lt;=37),"",--MID('Key Analysis'!$C78,$A82-37,1))</f>
        <v/>
      </c>
      <c r="AO82" s="29" t="str">
        <f>IF(OR($B82="",$A82&lt;=38),"",--MID('Key Analysis'!$C78,$A82-38,1))</f>
        <v/>
      </c>
      <c r="AP82" s="29" t="str">
        <f>IF(OR($B82="",$A82&lt;=39),"",--MID('Key Analysis'!$C78,$A82-39,1))</f>
        <v/>
      </c>
      <c r="AQ82" s="29" t="str">
        <f>IF(OR($B82="",$A82&lt;=40),"",--MID('Key Analysis'!$C78,$A82-40,1))</f>
        <v/>
      </c>
      <c r="AR82" s="29" t="str">
        <f>IF(OR($B82="",$A82&lt;=41),"",--MID('Key Analysis'!$C78,$A82-41,1))</f>
        <v/>
      </c>
      <c r="AS82" s="29" t="str">
        <f>IF(OR($B82="",$A82&lt;=42),"",--MID('Key Analysis'!$C78,$A82-42,1))</f>
        <v/>
      </c>
      <c r="AT82" s="29" t="str">
        <f>IF(OR($B82="",$A82&lt;=43),"",--MID('Key Analysis'!$C78,$A82-43,1))</f>
        <v/>
      </c>
      <c r="AU82" s="29" t="str">
        <f>IF(OR($B82="",$A82&lt;=44),"",--MID('Key Analysis'!$C78,$A82-44,1))</f>
        <v/>
      </c>
      <c r="AV82" s="29" t="str">
        <f>IF(OR($B82="",$A82&lt;=45),"",--MID('Key Analysis'!$C78,$A82-45,1))</f>
        <v/>
      </c>
      <c r="AW82" s="29" t="str">
        <f>IF(OR($B82="",$A82&lt;=46),"",--MID('Key Analysis'!$C78,$A82-46,1))</f>
        <v/>
      </c>
      <c r="AX82" s="29" t="str">
        <f>IF(OR($B82="",$A82&lt;=47),"",--MID('Key Analysis'!$C78,$A82-47,1))</f>
        <v/>
      </c>
      <c r="AY82" s="29" t="str">
        <f>IF(OR($B82="",$A82&lt;=48),"",--MID('Key Analysis'!$C78,$A82-48,1))</f>
        <v/>
      </c>
      <c r="AZ82" s="29" t="str">
        <f>IF(OR($B82="",$A82&lt;=49),"",--MID('Key Analysis'!$C78,$A82-49,1))</f>
        <v/>
      </c>
      <c r="BA82" s="29" t="str">
        <f>IF(OR($B82="",$A82&lt;=50),"",--MID('Key Analysis'!$C78,$A82-50,1))</f>
        <v/>
      </c>
      <c r="BB82" s="29" t="str">
        <f>IF(OR($B82="",$A82&lt;=51),"",--MID('Key Analysis'!$C78,$A82-51,1))</f>
        <v/>
      </c>
      <c r="BC82" s="29" t="str">
        <f>IF(OR($B82="",$A82&lt;=52),"",--MID('Key Analysis'!$C78,$A82-52,1))</f>
        <v/>
      </c>
      <c r="BD82" s="29" t="str">
        <f>IF(OR($B82="",$A82&lt;=53),"",--MID('Key Analysis'!$C78,$A82-53,1))</f>
        <v/>
      </c>
      <c r="BE82" s="29" t="str">
        <f>IF(OR($B82="",$A82&lt;=54),"",--MID('Key Analysis'!$C78,$A82-54,1))</f>
        <v/>
      </c>
      <c r="BF82" s="29" t="str">
        <f>IF(OR($B82="",$A82&lt;=55),"",--MID('Key Analysis'!$C78,$A82-55,1))</f>
        <v/>
      </c>
      <c r="BG82" s="29" t="str">
        <f>IF(OR($B82="",$A82&lt;=56),"",--MID('Key Analysis'!$C78,$A82-56,1))</f>
        <v/>
      </c>
      <c r="BH82" s="29" t="str">
        <f>IF(OR($B82="",$A82&lt;=57),"",--MID('Key Analysis'!$C78,$A82-57,1))</f>
        <v/>
      </c>
      <c r="BI82" s="29" t="str">
        <f>IF(OR($B82="",$A82&lt;=58),"",--MID('Key Analysis'!$C78,$A82-58,1))</f>
        <v/>
      </c>
      <c r="BJ82" s="29" t="str">
        <f>IF(OR($B82="",$A82&lt;=59),"",--MID('Key Analysis'!$C78,$A82-59,1))</f>
        <v/>
      </c>
      <c r="BK82" s="29" t="str">
        <f>IF(OR($B82="",$A82&lt;=60),"",--MID('Key Analysis'!$C78,$A82-60,1))</f>
        <v/>
      </c>
      <c r="BL82" s="29" t="str">
        <f>IF(OR($B82="",$A82&lt;=61),"",--MID('Key Analysis'!$C78,$A82-61,1))</f>
        <v/>
      </c>
      <c r="BM82" s="29" t="str">
        <f>IF(OR($B82="",$A82&lt;=62),"",--MID('Key Analysis'!$C78,$A82-62,1))</f>
        <v/>
      </c>
      <c r="BN82" s="29" t="str">
        <f>IF(OR($B82="",$A82&lt;=63),"",--MID('Key Analysis'!$C78,$A82-63,1))</f>
        <v/>
      </c>
      <c r="BO82" s="29" t="str">
        <f>IF(OR($B82="",$A82&lt;=64),"",--MID('Key Analysis'!$C78,$A82-64,1))</f>
        <v/>
      </c>
      <c r="BP82" s="29" t="str">
        <f>IF(OR($B82="",$A82&lt;=65),"",--MID('Key Analysis'!$C78,$A82-65,1))</f>
        <v/>
      </c>
      <c r="BQ82" s="29" t="str">
        <f>IF(OR($B82="",$A82&lt;=66),"",--MID('Key Analysis'!$C78,$A82-66,1))</f>
        <v/>
      </c>
      <c r="BR82" s="29" t="str">
        <f>IF(OR($B82="",$A82&lt;=67),"",--MID('Key Analysis'!$C78,$A82-67,1))</f>
        <v/>
      </c>
      <c r="BS82" s="29" t="str">
        <f>IF(OR($B82="",$A82&lt;=68),"",--MID('Key Analysis'!$C78,$A82-68,1))</f>
        <v/>
      </c>
      <c r="BT82" s="29" t="str">
        <f>IF(OR($B82="",$A82&lt;=69),"",--MID('Key Analysis'!$C78,$A82-69,1))</f>
        <v/>
      </c>
      <c r="BU82" s="29" t="str">
        <f>IF(OR($B82="",$A82&lt;=70),"",--MID('Key Analysis'!$C78,$A82-70,1))</f>
        <v/>
      </c>
      <c r="BV82" s="29" t="str">
        <f>IF(OR($B82="",$A82&lt;=71),"",--MID('Key Analysis'!$C78,$A82-71,1))</f>
        <v/>
      </c>
      <c r="BW82" s="29" t="str">
        <f>IF(OR($B82="",$A82&lt;=72),"",--MID('Key Analysis'!$C78,$A82-72,1))</f>
        <v/>
      </c>
      <c r="BX82" s="29" t="str">
        <f>IF(OR($B82="",$A82&lt;=73),"",--MID('Key Analysis'!$C78,$A82-73,1))</f>
        <v/>
      </c>
      <c r="BY82" s="29" t="str">
        <f>IF(OR($B82="",$A82&lt;=74),"",--MID('Key Analysis'!$C78,$A82-74,1))</f>
        <v/>
      </c>
      <c r="BZ82" s="29" t="str">
        <f>IF(OR($B82="",$A82&lt;=75),"",--MID('Key Analysis'!$C78,$A82-75,1))</f>
        <v/>
      </c>
      <c r="CA82" s="29" t="str">
        <f>IF(OR($B82="",$A82&lt;=76),"",--MID('Key Analysis'!$C78,$A82-76,1))</f>
        <v/>
      </c>
      <c r="CB82" s="29" t="str">
        <f>IF(OR($B82="",$A82&lt;=77),"",--MID('Key Analysis'!$C78,$A82-77,1))</f>
        <v/>
      </c>
      <c r="CC82" s="29" t="str">
        <f>IF(OR($B82="",$A82&lt;=78),"",--MID('Key Analysis'!$C78,$A82-78,1))</f>
        <v/>
      </c>
      <c r="CD82" s="29" t="str">
        <f>IF(OR($B82="",$A82&lt;=79),"",--MID('Key Analysis'!$C78,$A82-79,1))</f>
        <v/>
      </c>
      <c r="CE82" s="29" t="str">
        <f>IF(OR($B82="",$A82&lt;=80),"",--MID('Key Analysis'!$C78,$A82-80,1))</f>
        <v/>
      </c>
      <c r="CF82" s="29" t="str">
        <f>IF(OR($B82="",$A82&lt;=81),"",--MID('Key Analysis'!$C78,$A82-81,1))</f>
        <v/>
      </c>
      <c r="CG82" s="29" t="str">
        <f>IF(OR($B82="",$A82&lt;=82),"",--MID('Key Analysis'!$C78,$A82-82,1))</f>
        <v/>
      </c>
      <c r="CH82" s="29" t="str">
        <f>IF(OR($B82="",$A82&lt;=83),"",--MID('Key Analysis'!$C78,$A82-83,1))</f>
        <v/>
      </c>
      <c r="CI82" s="29" t="str">
        <f>IF(OR($B82="",$A82&lt;=84),"",--MID('Key Analysis'!$C78,$A82-84,1))</f>
        <v/>
      </c>
      <c r="CJ82" s="29" t="str">
        <f>IF(OR($B82="",$A82&lt;=85),"",--MID('Key Analysis'!$C78,$A82-85,1))</f>
        <v/>
      </c>
      <c r="CK82" s="29" t="str">
        <f>IF(OR($B82="",$A82&lt;=86),"",--MID('Key Analysis'!$C78,$A82-86,1))</f>
        <v/>
      </c>
      <c r="CL82" s="29" t="str">
        <f>IF(OR($B82="",$A82&lt;=87),"",--MID('Key Analysis'!$C78,$A82-87,1))</f>
        <v/>
      </c>
      <c r="CM82" s="29" t="str">
        <f>IF(OR($B82="",$A82&lt;=88),"",--MID('Key Analysis'!$C78,$A82-88,1))</f>
        <v/>
      </c>
      <c r="CN82" s="29" t="str">
        <f>IF(OR($B82="",$A82&lt;=89),"",--MID('Key Analysis'!$C78,$A82-89,1))</f>
        <v/>
      </c>
      <c r="CO82" s="29" t="str">
        <f>IF(OR($B82="",$A82&lt;=90),"",--MID('Key Analysis'!$C78,$A82-90,1))</f>
        <v/>
      </c>
      <c r="CP82" s="29" t="str">
        <f>IF(OR($B82="",$A82&lt;=91),"",--MID('Key Analysis'!$C78,$A82-91,1))</f>
        <v/>
      </c>
      <c r="CQ82" s="29" t="str">
        <f>IF(OR($B82="",$A82&lt;=92),"",--MID('Key Analysis'!$C78,$A82-92,1))</f>
        <v/>
      </c>
      <c r="CR82" s="29" t="str">
        <f>IF(OR($B82="",$A82&lt;=93),"",--MID('Key Analysis'!$C78,$A82-93,1))</f>
        <v/>
      </c>
      <c r="CS82" s="29" t="str">
        <f>IF(OR($B82="",$A82&lt;=94),"",--MID('Key Analysis'!$C78,$A82-94,1))</f>
        <v/>
      </c>
      <c r="CT82" s="29" t="str">
        <f>IF(OR($B82="",$A82&lt;=95),"",--MID('Key Analysis'!$C78,$A82-95,1))</f>
        <v/>
      </c>
      <c r="CU82" s="29" t="str">
        <f>IF(OR($B82="",$A82&lt;=96),"",--MID('Key Analysis'!$C78,$A82-96,1))</f>
        <v/>
      </c>
      <c r="CV82" s="29" t="str">
        <f>IF(OR($B82="",$A82&lt;=97),"",--MID('Key Analysis'!$C78,$A82-97,1))</f>
        <v/>
      </c>
      <c r="CW82" s="29" t="str">
        <f>IF(OR($B82="",$A82&lt;=98),"",--MID('Key Analysis'!$C78,$A82-98,1))</f>
        <v/>
      </c>
      <c r="CX82" s="29" t="str">
        <f>IF(OR($B82="",$A82&lt;=99),"",--MID('Key Analysis'!$C78,$A82-99,1))</f>
        <v/>
      </c>
      <c r="CY82" s="29" t="str">
        <f>IF(OR($B82="",$A82&lt;=100),"",--MID('Key Analysis'!$C78,$A82-100,1))</f>
        <v/>
      </c>
      <c r="CZ82" s="29" t="str">
        <f>IF(OR($B82="",$A82&lt;=101),"",--MID('Key Analysis'!$C78,$A82-101,1))</f>
        <v/>
      </c>
      <c r="DA82" s="29" t="str">
        <f>IF(OR($B82="",$A82&lt;=102),"",--MID('Key Analysis'!$C78,$A82-102,1))</f>
        <v/>
      </c>
      <c r="DB82" s="29" t="str">
        <f>IF(OR($B82="",$A82&lt;=103),"",--MID('Key Analysis'!$C78,$A82-103,1))</f>
        <v/>
      </c>
      <c r="DC82" s="29" t="str">
        <f>IF(OR($B82="",$A82&lt;=104),"",--MID('Key Analysis'!$C78,$A82-104,1))</f>
        <v/>
      </c>
      <c r="DD82" s="29" t="str">
        <f>IF(OR($B82="",$A82&lt;=105),"",--MID('Key Analysis'!$C78,$A82-105,1))</f>
        <v/>
      </c>
      <c r="DE82" s="29" t="str">
        <f>IF(OR($B82="",$A82&lt;=106),"",--MID('Key Analysis'!$C78,$A82-106,1))</f>
        <v/>
      </c>
      <c r="DF82" s="29" t="str">
        <f>IF(OR($B82="",$A82&lt;=107),"",--MID('Key Analysis'!$C78,$A82-107,1))</f>
        <v/>
      </c>
      <c r="DG82" s="29" t="str">
        <f>IF(OR($B82="",$A82&lt;=108),"",--MID('Key Analysis'!$C78,$A82-108,1))</f>
        <v/>
      </c>
      <c r="DH82" s="29" t="str">
        <f>IF(OR($B82="",$A82&lt;=109),"",--MID('Key Analysis'!$C78,$A82-109,1))</f>
        <v/>
      </c>
      <c r="DI82" s="29" t="str">
        <f>IF(OR($B82="",$A82&lt;=110),"",--MID('Key Analysis'!$C78,$A82-110,1))</f>
        <v/>
      </c>
      <c r="DJ82" s="29" t="str">
        <f>IF(OR($B82="",$A82&lt;=111),"",--MID('Key Analysis'!$C78,$A82-111,1))</f>
        <v/>
      </c>
      <c r="DK82" s="29" t="str">
        <f>IF(OR($B82="",$A82&lt;=112),"",--MID('Key Analysis'!$C78,$A82-112,1))</f>
        <v/>
      </c>
      <c r="DL82" s="29" t="str">
        <f>IF(OR($B82="",$A82&lt;=113),"",--MID('Key Analysis'!$C78,$A82-113,1))</f>
        <v/>
      </c>
      <c r="DM82" s="29" t="str">
        <f>IF(OR($B82="",$A82&lt;=114),"",--MID('Key Analysis'!$C78,$A82-114,1))</f>
        <v/>
      </c>
      <c r="DN82" s="29" t="str">
        <f>IF(OR($B82="",$A82&lt;=115),"",--MID('Key Analysis'!$C78,$A82-115,1))</f>
        <v/>
      </c>
      <c r="DO82" s="29" t="str">
        <f>IF(OR($B82="",$A82&lt;=116),"",--MID('Key Analysis'!$C78,$A82-116,1))</f>
        <v/>
      </c>
      <c r="DP82" s="29" t="str">
        <f>IF(OR($B82="",$A82&lt;=117),"",--MID('Key Analysis'!$C78,$A82-117,1))</f>
        <v/>
      </c>
      <c r="DQ82" s="29" t="str">
        <f>IF(OR($B82="",$A82&lt;=118),"",--MID('Key Analysis'!$C78,$A82-118,1))</f>
        <v/>
      </c>
      <c r="DR82" s="29" t="str">
        <f>IF(OR($B82="",$A82&lt;=119),"",--MID('Key Analysis'!$C78,$A82-119,1))</f>
        <v/>
      </c>
      <c r="DS82" s="29" t="str">
        <f>IF(OR($B82="",$A82&lt;=120),"",--MID('Key Analysis'!$C78,$A82-120,1))</f>
        <v/>
      </c>
      <c r="DT82" s="29" t="str">
        <f>IF(OR($B82="",$A82&lt;=121),"",--MID('Key Analysis'!$C78,$A82-121,1))</f>
        <v/>
      </c>
      <c r="DU82" s="29" t="str">
        <f>IF(OR($B82="",$A82&lt;=122),"",--MID('Key Analysis'!$C78,$A82-122,1))</f>
        <v/>
      </c>
      <c r="DV82" s="29" t="str">
        <f>IF(OR($B82="",$A82&lt;=123),"",--MID('Key Analysis'!$C78,$A82-123,1))</f>
        <v/>
      </c>
      <c r="DW82" s="29" t="str">
        <f>IF(OR($B82="",$A82&lt;=124),"",--MID('Key Analysis'!$C78,$A82-124,1))</f>
        <v/>
      </c>
      <c r="DX82" s="29" t="str">
        <f>IF(OR($B82="",$A82&lt;=125),"",--MID('Key Analysis'!$C78,$A82-125,1))</f>
        <v/>
      </c>
      <c r="DY82" s="29" t="str">
        <f>IF(OR($B82="",$A82&lt;=126),"",--MID('Key Analysis'!$C78,$A82-126,1))</f>
        <v/>
      </c>
      <c r="DZ82" s="29" t="str">
        <f>IF(OR($B82="",$A82&lt;=127),"",--MID('Key Analysis'!$C78,$A82-127,1))</f>
        <v/>
      </c>
      <c r="EA82" s="29" t="str">
        <f>IF(OR($B82="",$A82&lt;=128),"",--MID('Key Analysis'!$C78,$A82-128,1))</f>
        <v/>
      </c>
      <c r="EB82" s="29" t="str">
        <f>IF(OR($B82="",$A82&lt;=129),"",--MID('Key Analysis'!$C78,$A82-129,1))</f>
        <v/>
      </c>
      <c r="EC82" s="29" t="str">
        <f>IF(OR($B82="",$A82&lt;=130),"",--MID('Key Analysis'!$C78,$A82-130,1))</f>
        <v/>
      </c>
      <c r="ED82" s="29" t="str">
        <f>IF(OR($B82="",$A82&lt;=131),"",--MID('Key Analysis'!$C78,$A82-131,1))</f>
        <v/>
      </c>
      <c r="EE82" s="29" t="str">
        <f>IF(OR($B82="",$A82&lt;=132),"",--MID('Key Analysis'!$C78,$A82-132,1))</f>
        <v/>
      </c>
      <c r="EF82" s="29" t="str">
        <f>IF(OR($B82="",$A82&lt;=133),"",--MID('Key Analysis'!$C78,$A82-133,1))</f>
        <v/>
      </c>
      <c r="EG82" s="29" t="str">
        <f>IF(OR($B82="",$A82&lt;=134),"",--MID('Key Analysis'!$C78,$A82-134,1))</f>
        <v/>
      </c>
      <c r="EH82" s="29"/>
      <c r="EI82" s="29" t="str">
        <f>IF(OR($B82="",$A82&lt;1),"",--MID('Key Analysis'!$C78,1,1))</f>
        <v/>
      </c>
      <c r="EJ82" s="29" t="str">
        <f>IF(OR($B82="",$A82&lt;2),"",--MID('Key Analysis'!$C78,2,1))</f>
        <v/>
      </c>
      <c r="EK82" s="29" t="str">
        <f>IF(OR($B82="",$A82&lt;3),"",--MID('Key Analysis'!$C78,3,1))</f>
        <v/>
      </c>
      <c r="EL82" s="29" t="str">
        <f>IF(OR($B82="",$A82&lt;4),"",--MID('Key Analysis'!$C78,4,1))</f>
        <v/>
      </c>
      <c r="EM82" s="29" t="str">
        <f>IF(OR($B82="",$A82&lt;5),"",--MID('Key Analysis'!$C78,5,1))</f>
        <v/>
      </c>
      <c r="EN82" s="29" t="str">
        <f>IF(OR($B82="",$A82&lt;6),"",--MID('Key Analysis'!$C78,6,1))</f>
        <v/>
      </c>
      <c r="EO82" s="29" t="str">
        <f>IF(OR($B82="",$A82&lt;7),"",--MID('Key Analysis'!$C78,7,1))</f>
        <v/>
      </c>
      <c r="EP82" s="29" t="str">
        <f>IF(OR($B82="",$A82&lt;8),"",--MID('Key Analysis'!$C78,8,1))</f>
        <v/>
      </c>
      <c r="EQ82" s="29" t="str">
        <f>IF(OR($B82="",$A82&lt;9),"",--MID('Key Analysis'!$C78,9,1))</f>
        <v/>
      </c>
      <c r="ER82" s="29" t="str">
        <f>IF(OR($B82="",$A82&lt;10),"",--MID('Key Analysis'!$C78,10,1))</f>
        <v/>
      </c>
      <c r="ES82" s="29" t="str">
        <f>IF(OR($B82="",$A82&lt;11),"",--MID('Key Analysis'!$C78,11,1))</f>
        <v/>
      </c>
      <c r="ET82" s="29" t="str">
        <f>IF(OR($B82="",$A82&lt;12),"",--MID('Key Analysis'!$C78,12,1))</f>
        <v/>
      </c>
      <c r="EU82" s="29" t="str">
        <f>IF(OR($B82="",$A82&lt;13),"",--MID('Key Analysis'!$C78,13,1))</f>
        <v/>
      </c>
      <c r="EV82" s="29" t="str">
        <f>IF(OR($B82="",$A82&lt;14),"",--MID('Key Analysis'!$C78,14,1))</f>
        <v/>
      </c>
      <c r="EW82" s="29" t="str">
        <f>IF(OR($B82="",$A82&lt;15),"",--MID('Key Analysis'!$C78,15,1))</f>
        <v/>
      </c>
      <c r="EX82" s="29" t="str">
        <f>IF(OR($B82="",$A82&lt;16),"",--MID('Key Analysis'!$C78,16,1))</f>
        <v/>
      </c>
      <c r="EY82" s="29" t="str">
        <f>IF(OR($B82="",$A82&lt;17),"",--MID('Key Analysis'!$C78,17,1))</f>
        <v/>
      </c>
      <c r="EZ82" s="29" t="str">
        <f>IF(OR($B82="",$A82&lt;18),"",--MID('Key Analysis'!$C78,18,1))</f>
        <v/>
      </c>
      <c r="FA82" s="29" t="str">
        <f>IF(OR($B82="",$A82&lt;19),"",--MID('Key Analysis'!$C78,19,1))</f>
        <v/>
      </c>
      <c r="FB82" s="29" t="str">
        <f>IF(OR($B82="",$A82&lt;20),"",--MID('Key Analysis'!$C78,20,1))</f>
        <v/>
      </c>
      <c r="FC82" s="29" t="str">
        <f>IF(OR($B82="",$A82&lt;21),"",--MID('Key Analysis'!$C78,21,1))</f>
        <v/>
      </c>
      <c r="FD82" s="29" t="str">
        <f>IF(OR($B82="",$A82&lt;22),"",--MID('Key Analysis'!$C78,22,1))</f>
        <v/>
      </c>
      <c r="FE82" s="29" t="str">
        <f>IF(OR($B82="",$A82&lt;23),"",--MID('Key Analysis'!$C78,23,1))</f>
        <v/>
      </c>
      <c r="FF82" s="29" t="str">
        <f>IF(OR($B82="",$A82&lt;24),"",--MID('Key Analysis'!$C78,24,1))</f>
        <v/>
      </c>
      <c r="FG82" s="29" t="str">
        <f>IF(OR($B82="",$A82&lt;25),"",--MID('Key Analysis'!$C78,25,1))</f>
        <v/>
      </c>
      <c r="FH82" s="29" t="str">
        <f>IF(OR($B82="",$A82&lt;26),"",--MID('Key Analysis'!$C78,26,1))</f>
        <v/>
      </c>
      <c r="FI82" s="29" t="str">
        <f>IF(OR($B82="",$A82&lt;27),"",--MID('Key Analysis'!$C78,27,1))</f>
        <v/>
      </c>
      <c r="FJ82" s="29" t="str">
        <f>IF(OR($B82="",$A82&lt;28),"",--MID('Key Analysis'!$C78,28,1))</f>
        <v/>
      </c>
      <c r="FK82" s="29" t="str">
        <f>IF(OR($B82="",$A82&lt;29),"",--MID('Key Analysis'!$C78,29,1))</f>
        <v/>
      </c>
      <c r="FL82" s="29" t="str">
        <f>IF(OR($B82="",$A82&lt;30),"",--MID('Key Analysis'!$C78,30,1))</f>
        <v/>
      </c>
      <c r="FM82" s="29" t="str">
        <f>IF(OR($B82="",$A82&lt;31),"",--MID('Key Analysis'!$C78,31,1))</f>
        <v/>
      </c>
      <c r="FN82" s="29" t="str">
        <f>IF(OR($B82="",$A82&lt;32),"",--MID('Key Analysis'!$C78,32,1))</f>
        <v/>
      </c>
      <c r="FO82" s="29" t="str">
        <f>IF(OR($B82="",$A82&lt;33),"",--MID('Key Analysis'!$C78,33,1))</f>
        <v/>
      </c>
      <c r="FP82" s="29" t="str">
        <f>IF(OR($B82="",$A82&lt;34),"",--MID('Key Analysis'!$C78,34,1))</f>
        <v/>
      </c>
      <c r="FQ82" s="29" t="str">
        <f>IF(OR($B82="",$A82&lt;35),"",--MID('Key Analysis'!$C78,35,1))</f>
        <v/>
      </c>
      <c r="FR82" s="29" t="str">
        <f>IF(OR($B82="",$A82&lt;36),"",--MID('Key Analysis'!$C78,36,1))</f>
        <v/>
      </c>
      <c r="FS82" s="29" t="str">
        <f>IF(OR($B82="",$A82&lt;37),"",--MID('Key Analysis'!$C78,37,1))</f>
        <v/>
      </c>
      <c r="FT82" s="29" t="str">
        <f>IF(OR($B82="",$A82&lt;38),"",--MID('Key Analysis'!$C78,38,1))</f>
        <v/>
      </c>
      <c r="FU82" s="29" t="str">
        <f>IF(OR($B82="",$A82&lt;39),"",--MID('Key Analysis'!$C78,39,1))</f>
        <v/>
      </c>
      <c r="FV82" s="29" t="str">
        <f>IF(OR($B82="",$A82&lt;40),"",--MID('Key Analysis'!$C78,40,1))</f>
        <v/>
      </c>
      <c r="FW82" s="29" t="str">
        <f>IF(OR($B82="",$A82&lt;41),"",--MID('Key Analysis'!$C78,41,1))</f>
        <v/>
      </c>
      <c r="FX82" s="29" t="str">
        <f>IF(OR($B82="",$A82&lt;42),"",--MID('Key Analysis'!$C78,42,1))</f>
        <v/>
      </c>
      <c r="FY82" s="29" t="str">
        <f>IF(OR($B82="",$A82&lt;43),"",--MID('Key Analysis'!$C78,43,1))</f>
        <v/>
      </c>
      <c r="FZ82" s="29" t="str">
        <f>IF(OR($B82="",$A82&lt;44),"",--MID('Key Analysis'!$C78,44,1))</f>
        <v/>
      </c>
      <c r="GA82" s="29" t="str">
        <f>IF(OR($B82="",$A82&lt;45),"",--MID('Key Analysis'!$C78,45,1))</f>
        <v/>
      </c>
      <c r="GB82" s="29" t="str">
        <f>IF(OR($B82="",$A82&lt;46),"",--MID('Key Analysis'!$C78,46,1))</f>
        <v/>
      </c>
      <c r="GC82" s="29" t="str">
        <f>IF(OR($B82="",$A82&lt;47),"",--MID('Key Analysis'!$C78,47,1))</f>
        <v/>
      </c>
      <c r="GD82" s="29" t="str">
        <f>IF(OR($B82="",$A82&lt;48),"",--MID('Key Analysis'!$C78,48,1))</f>
        <v/>
      </c>
      <c r="GE82" s="29" t="str">
        <f>IF(OR($B82="",$A82&lt;49),"",--MID('Key Analysis'!$C78,49,1))</f>
        <v/>
      </c>
      <c r="GF82" s="29" t="str">
        <f>IF(OR($B82="",$A82&lt;50),"",--MID('Key Analysis'!$C78,50,1))</f>
        <v/>
      </c>
      <c r="GG82" s="29" t="str">
        <f>IF(OR($B82="",$A82&lt;51),"",--MID('Key Analysis'!$C78,51,1))</f>
        <v/>
      </c>
      <c r="GH82" s="29" t="str">
        <f>IF(OR($B82="",$A82&lt;52),"",--MID('Key Analysis'!$C78,52,1))</f>
        <v/>
      </c>
      <c r="GI82" s="29" t="str">
        <f>IF(OR($B82="",$A82&lt;53),"",--MID('Key Analysis'!$C78,53,1))</f>
        <v/>
      </c>
      <c r="GJ82" s="29" t="str">
        <f>IF(OR($B82="",$A82&lt;54),"",--MID('Key Analysis'!$C78,54,1))</f>
        <v/>
      </c>
      <c r="GK82" s="29" t="str">
        <f>IF(OR($B82="",$A82&lt;55),"",--MID('Key Analysis'!$C78,55,1))</f>
        <v/>
      </c>
      <c r="GL82" s="29" t="str">
        <f>IF(OR($B82="",$A82&lt;56),"",--MID('Key Analysis'!$C78,56,1))</f>
        <v/>
      </c>
      <c r="GM82" s="29" t="str">
        <f>IF(OR($B82="",$A82&lt;57),"",--MID('Key Analysis'!$C78,57,1))</f>
        <v/>
      </c>
      <c r="GN82" s="29" t="str">
        <f>IF(OR($B82="",$A82&lt;58),"",--MID('Key Analysis'!$C78,58,1))</f>
        <v/>
      </c>
      <c r="GO82" s="29" t="str">
        <f>IF(OR($B82="",$A82&lt;59),"",--MID('Key Analysis'!$C78,59,1))</f>
        <v/>
      </c>
      <c r="GP82" s="29" t="str">
        <f>IF(OR($B82="",$A82&lt;60),"",--MID('Key Analysis'!$C78,60,1))</f>
        <v/>
      </c>
      <c r="GQ82" s="29" t="str">
        <f>IF(OR($B82="",$A82&lt;61),"",--MID('Key Analysis'!$C78,61,1))</f>
        <v/>
      </c>
      <c r="GR82" s="29" t="str">
        <f>IF(OR($B82="",$A82&lt;62),"",--MID('Key Analysis'!$C78,62,1))</f>
        <v/>
      </c>
      <c r="GS82" s="29" t="str">
        <f>IF(OR($B82="",$A82&lt;63),"",--MID('Key Analysis'!$C78,63,1))</f>
        <v/>
      </c>
      <c r="GT82" s="29" t="str">
        <f>IF(OR($B82="",$A82&lt;64),"",--MID('Key Analysis'!$C78,64,1))</f>
        <v/>
      </c>
      <c r="GU82" s="29" t="str">
        <f>IF(OR($B82="",$A82&lt;65),"",--MID('Key Analysis'!$C78,65,1))</f>
        <v/>
      </c>
      <c r="GV82" s="29" t="str">
        <f>IF(OR($B82="",$A82&lt;66),"",--MID('Key Analysis'!$C78,66,1))</f>
        <v/>
      </c>
      <c r="GW82" s="29" t="str">
        <f>IF(OR($B82="",$A82&lt;67),"",--MID('Key Analysis'!$C78,67,1))</f>
        <v/>
      </c>
      <c r="GX82" s="29" t="str">
        <f>IF(OR($B82="",$A82&lt;68),"",--MID('Key Analysis'!$C78,68,1))</f>
        <v/>
      </c>
      <c r="GY82" s="29" t="str">
        <f>IF(OR($B82="",$A82&lt;69),"",--MID('Key Analysis'!$C78,69,1))</f>
        <v/>
      </c>
      <c r="GZ82" s="29" t="str">
        <f>IF(OR($B82="",$A82&lt;70),"",--MID('Key Analysis'!$C78,70,1))</f>
        <v/>
      </c>
      <c r="HA82" s="29" t="str">
        <f>IF(OR($B82="",$A82&lt;71),"",--MID('Key Analysis'!$C78,71,1))</f>
        <v/>
      </c>
      <c r="HB82" s="29" t="str">
        <f>IF(OR($B82="",$A82&lt;72),"",--MID('Key Analysis'!$C78,72,1))</f>
        <v/>
      </c>
      <c r="HC82" s="29" t="str">
        <f>IF(OR($B82="",$A82&lt;73),"",--MID('Key Analysis'!$C78,73,1))</f>
        <v/>
      </c>
      <c r="HD82" s="29" t="str">
        <f>IF(OR($B82="",$A82&lt;74),"",--MID('Key Analysis'!$C78,74,1))</f>
        <v/>
      </c>
      <c r="HE82" s="29" t="str">
        <f>IF(OR($B82="",$A82&lt;75),"",--MID('Key Analysis'!$C78,75,1))</f>
        <v/>
      </c>
      <c r="HF82" s="29" t="str">
        <f>IF(OR($B82="",$A82&lt;76),"",--MID('Key Analysis'!$C78,76,1))</f>
        <v/>
      </c>
      <c r="HG82" s="29" t="str">
        <f>IF(OR($B82="",$A82&lt;77),"",--MID('Key Analysis'!$C78,77,1))</f>
        <v/>
      </c>
      <c r="HH82" s="29" t="str">
        <f>IF(OR($B82="",$A82&lt;78),"",--MID('Key Analysis'!$C78,78,1))</f>
        <v/>
      </c>
      <c r="HI82" s="29" t="str">
        <f>IF(OR($B82="",$A82&lt;79),"",--MID('Key Analysis'!$C78,79,1))</f>
        <v/>
      </c>
      <c r="HJ82" s="29" t="str">
        <f>IF(OR($B82="",$A82&lt;80),"",--MID('Key Analysis'!$C78,80,1))</f>
        <v/>
      </c>
      <c r="HK82" s="29" t="str">
        <f>IF(OR($B82="",$A82&lt;81),"",--MID('Key Analysis'!$C78,81,1))</f>
        <v/>
      </c>
      <c r="HL82" s="29" t="str">
        <f>IF(OR($B82="",$A82&lt;82),"",--MID('Key Analysis'!$C78,82,1))</f>
        <v/>
      </c>
      <c r="HM82" s="29" t="str">
        <f>IF(OR($B82="",$A82&lt;83),"",--MID('Key Analysis'!$C78,83,1))</f>
        <v/>
      </c>
      <c r="HN82" s="29" t="str">
        <f>IF(OR($B82="",$A82&lt;84),"",--MID('Key Analysis'!$C78,84,1))</f>
        <v/>
      </c>
      <c r="HO82" s="29" t="str">
        <f>IF(OR($B82="",$A82&lt;85),"",--MID('Key Analysis'!$C78,85,1))</f>
        <v/>
      </c>
      <c r="HP82" s="29" t="str">
        <f>IF(OR($B82="",$A82&lt;86),"",--MID('Key Analysis'!$C78,86,1))</f>
        <v/>
      </c>
      <c r="HQ82" s="29" t="str">
        <f>IF(OR($B82="",$A82&lt;87),"",--MID('Key Analysis'!$C78,87,1))</f>
        <v/>
      </c>
      <c r="HR82" s="29" t="str">
        <f>IF(OR($B82="",$A82&lt;88),"",--MID('Key Analysis'!$C78,88,1))</f>
        <v/>
      </c>
      <c r="HS82" s="29" t="str">
        <f>IF(OR($B82="",$A82&lt;89),"",--MID('Key Analysis'!$C78,89,1))</f>
        <v/>
      </c>
      <c r="HT82" s="29" t="str">
        <f>IF(OR($B82="",$A82&lt;90),"",--MID('Key Analysis'!$C78,90,1))</f>
        <v/>
      </c>
      <c r="HU82" s="29" t="str">
        <f>IF(OR($B82="",$A82&lt;91),"",--MID('Key Analysis'!$C78,91,1))</f>
        <v/>
      </c>
      <c r="HV82" s="29" t="str">
        <f>IF(OR($B82="",$A82&lt;92),"",--MID('Key Analysis'!$C78,92,1))</f>
        <v/>
      </c>
      <c r="HW82" s="29" t="str">
        <f>IF(OR($B82="",$A82&lt;93),"",--MID('Key Analysis'!$C78,93,1))</f>
        <v/>
      </c>
      <c r="HX82" s="29" t="str">
        <f>IF(OR($B82="",$A82&lt;94),"",--MID('Key Analysis'!$C78,94,1))</f>
        <v/>
      </c>
      <c r="HY82" s="29" t="str">
        <f>IF(OR($B82="",$A82&lt;95),"",--MID('Key Analysis'!$C78,95,1))</f>
        <v/>
      </c>
      <c r="HZ82" s="29" t="str">
        <f>IF(OR($B82="",$A82&lt;96),"",--MID('Key Analysis'!$C78,96,1))</f>
        <v/>
      </c>
      <c r="IA82" s="29" t="str">
        <f>IF(OR($B82="",$A82&lt;97),"",--MID('Key Analysis'!$C78,97,1))</f>
        <v/>
      </c>
      <c r="IB82" s="29" t="str">
        <f>IF(OR($B82="",$A82&lt;98),"",--MID('Key Analysis'!$C78,98,1))</f>
        <v/>
      </c>
      <c r="IC82" s="29" t="str">
        <f>IF(OR($B82="",$A82&lt;99),"",--MID('Key Analysis'!$C78,99,1))</f>
        <v/>
      </c>
      <c r="ID82" s="29" t="str">
        <f>IF(OR($B82="",$A82&lt;100),"",--MID('Key Analysis'!$C78,100,1))</f>
        <v/>
      </c>
      <c r="IE82" s="29" t="str">
        <f>IF(OR($B82="",$A82&lt;101),"",--MID('Key Analysis'!$C78,101,1))</f>
        <v/>
      </c>
      <c r="IF82" s="29" t="str">
        <f>IF(OR($B82="",$A82&lt;102),"",--MID('Key Analysis'!$C78,102,1))</f>
        <v/>
      </c>
      <c r="IG82" s="29" t="str">
        <f>IF(OR($B82="",$A82&lt;103),"",--MID('Key Analysis'!$C78,103,1))</f>
        <v/>
      </c>
      <c r="IH82" s="29" t="str">
        <f>IF(OR($B82="",$A82&lt;104),"",--MID('Key Analysis'!$C78,104,1))</f>
        <v/>
      </c>
      <c r="II82" s="29" t="str">
        <f>IF(OR($B82="",$A82&lt;105),"",--MID('Key Analysis'!$C78,105,1))</f>
        <v/>
      </c>
      <c r="IJ82" s="29" t="str">
        <f>IF(OR($B82="",$A82&lt;106),"",--MID('Key Analysis'!$C78,106,1))</f>
        <v/>
      </c>
      <c r="IK82" s="29" t="str">
        <f>IF(OR($B82="",$A82&lt;107),"",--MID('Key Analysis'!$C78,107,1))</f>
        <v/>
      </c>
      <c r="IL82" s="29" t="str">
        <f>IF(OR($B82="",$A82&lt;108),"",--MID('Key Analysis'!$C78,108,1))</f>
        <v/>
      </c>
      <c r="IM82" s="29" t="str">
        <f>IF(OR($B82="",$A82&lt;109),"",--MID('Key Analysis'!$C78,109,1))</f>
        <v/>
      </c>
      <c r="IN82" s="29" t="str">
        <f>IF(OR($B82="",$A82&lt;110),"",--MID('Key Analysis'!$C78,110,1))</f>
        <v/>
      </c>
      <c r="IO82" s="29" t="str">
        <f>IF(OR($B82="",$A82&lt;111),"",--MID('Key Analysis'!$C78,111,1))</f>
        <v/>
      </c>
      <c r="IP82" s="29" t="str">
        <f>IF(OR($B82="",$A82&lt;112),"",--MID('Key Analysis'!$C78,112,1))</f>
        <v/>
      </c>
      <c r="IQ82" s="29" t="str">
        <f>IF(OR($B82="",$A82&lt;113),"",--MID('Key Analysis'!$C78,113,1))</f>
        <v/>
      </c>
      <c r="IR82" s="29" t="str">
        <f>IF(OR($B82="",$A82&lt;114),"",--MID('Key Analysis'!$C78,114,1))</f>
        <v/>
      </c>
      <c r="IS82" s="29" t="str">
        <f>IF(OR($B82="",$A82&lt;115),"",--MID('Key Analysis'!$C78,115,1))</f>
        <v/>
      </c>
      <c r="IT82" s="29" t="str">
        <f>IF(OR($B82="",$A82&lt;116),"",--MID('Key Analysis'!$C78,116,1))</f>
        <v/>
      </c>
      <c r="IU82" s="29" t="str">
        <f>IF(OR($B82="",$A82&lt;117),"",--MID('Key Analysis'!$C78,117,1))</f>
        <v/>
      </c>
      <c r="IV82" s="29" t="str">
        <f>IF(OR($B82="",$A82&lt;118),"",--MID('Key Analysis'!$C78,118,1))</f>
        <v/>
      </c>
      <c r="IW82" s="29" t="str">
        <f>IF(OR($B82="",$A82&lt;119),"",--MID('Key Analysis'!$C78,119,1))</f>
        <v/>
      </c>
      <c r="IX82" s="29" t="str">
        <f>IF(OR($B82="",$A82&lt;120),"",--MID('Key Analysis'!$C78,120,1))</f>
        <v/>
      </c>
      <c r="IY82" s="29" t="str">
        <f>IF(OR($B82="",$A82&lt;121),"",--MID('Key Analysis'!$C78,121,1))</f>
        <v/>
      </c>
      <c r="IZ82" s="29" t="str">
        <f>IF(OR($B82="",$A82&lt;122),"",--MID('Key Analysis'!$C78,122,1))</f>
        <v/>
      </c>
      <c r="JA82" s="29" t="str">
        <f>IF(OR($B82="",$A82&lt;123),"",--MID('Key Analysis'!$C78,123,1))</f>
        <v/>
      </c>
      <c r="JB82" s="29" t="str">
        <f>IF(OR($B82="",$A82&lt;124),"",--MID('Key Analysis'!$C78,124,1))</f>
        <v/>
      </c>
      <c r="JC82" s="29" t="str">
        <f>IF(OR($B82="",$A82&lt;125),"",--MID('Key Analysis'!$C78,125,1))</f>
        <v/>
      </c>
      <c r="JD82" s="29" t="str">
        <f>IF(OR($B82="",$A82&lt;126),"",--MID('Key Analysis'!$C78,126,1))</f>
        <v/>
      </c>
      <c r="JE82" s="29" t="str">
        <f>IF(OR($B82="",$A82&lt;127),"",--MID('Key Analysis'!$C78,127,1))</f>
        <v/>
      </c>
      <c r="JF82" s="29" t="str">
        <f>IF(OR($B82="",$A82&lt;128),"",--MID('Key Analysis'!$C78,128,1))</f>
        <v/>
      </c>
      <c r="JG82" s="29" t="str">
        <f>IF(OR($B82="",$A82&lt;129),"",--MID('Key Analysis'!$C78,129,1))</f>
        <v/>
      </c>
      <c r="JH82" s="29" t="str">
        <f>IF(OR($B82="",$A82&lt;130),"",--MID('Key Analysis'!$C78,130,1))</f>
        <v/>
      </c>
      <c r="JI82" s="29" t="str">
        <f>IF(OR($B82="",$A82&lt;131),"",--MID('Key Analysis'!$C78,131,1))</f>
        <v/>
      </c>
      <c r="JJ82" s="29" t="str">
        <f>IF(OR($B82="",$A82&lt;132),"",--MID('Key Analysis'!$C78,132,1))</f>
        <v/>
      </c>
      <c r="JK82" s="29" t="str">
        <f>IF(OR($B82="",$A82&lt;133),"",--MID('Key Analysis'!$C78,133,1))</f>
        <v/>
      </c>
      <c r="JL82" s="29" t="str">
        <f>IF(OR($B82="",$A82&lt;134),"",--MID('Key Analysis'!$C78,134,1))</f>
        <v/>
      </c>
      <c r="JM82" s="29" t="str">
        <f>IF(OR($B82="",$A82&lt;135),"",--MID('Key Analysis'!$C78,135,1))</f>
        <v/>
      </c>
    </row>
    <row r="83" spans="1:273" x14ac:dyDescent="0.25">
      <c r="A83" s="21">
        <f>'Key Analysis'!A79</f>
        <v>78</v>
      </c>
      <c r="B83" s="30" t="str">
        <f>'Key Analysis'!B79</f>
        <v/>
      </c>
      <c r="C83" s="29" t="str">
        <f>IF(OR($B83="",$A83&lt;=0),"",--MID('Key Analysis'!$C79,$A83-0,1))</f>
        <v/>
      </c>
      <c r="D83" s="29" t="str">
        <f>IF(OR($B83="",$A83&lt;=1),"",--MID('Key Analysis'!$C79,$A83-1,1))</f>
        <v/>
      </c>
      <c r="E83" s="29" t="str">
        <f>IF(OR($B83="",$A83&lt;=2),"",--MID('Key Analysis'!$C79,$A83-2,1))</f>
        <v/>
      </c>
      <c r="F83" s="29" t="str">
        <f>IF(OR($B83="",$A83&lt;=3),"",--MID('Key Analysis'!$C79,$A83-3,1))</f>
        <v/>
      </c>
      <c r="G83" s="29" t="str">
        <f>IF(OR($B83="",$A83&lt;=4),"",--MID('Key Analysis'!$C79,$A83-4,1))</f>
        <v/>
      </c>
      <c r="H83" s="29" t="str">
        <f>IF(OR($B83="",$A83&lt;=5),"",--MID('Key Analysis'!$C79,$A83-5,1))</f>
        <v/>
      </c>
      <c r="I83" s="29" t="str">
        <f>IF(OR($B83="",$A83&lt;=6),"",--MID('Key Analysis'!$C79,$A83-6,1))</f>
        <v/>
      </c>
      <c r="J83" s="29" t="str">
        <f>IF(OR($B83="",$A83&lt;=7),"",--MID('Key Analysis'!$C79,$A83-7,1))</f>
        <v/>
      </c>
      <c r="K83" s="29" t="str">
        <f>IF(OR($B83="",$A83&lt;=8),"",--MID('Key Analysis'!$C79,$A83-8,1))</f>
        <v/>
      </c>
      <c r="L83" s="29" t="str">
        <f>IF(OR($B83="",$A83&lt;=9),"",--MID('Key Analysis'!$C79,$A83-9,1))</f>
        <v/>
      </c>
      <c r="M83" s="29" t="str">
        <f>IF(OR($B83="",$A83&lt;=10),"",--MID('Key Analysis'!$C79,$A83-10,1))</f>
        <v/>
      </c>
      <c r="N83" s="29" t="str">
        <f>IF(OR($B83="",$A83&lt;=11),"",--MID('Key Analysis'!$C79,$A83-11,1))</f>
        <v/>
      </c>
      <c r="O83" s="29" t="str">
        <f>IF(OR($B83="",$A83&lt;=12),"",--MID('Key Analysis'!$C79,$A83-12,1))</f>
        <v/>
      </c>
      <c r="P83" s="29" t="str">
        <f>IF(OR($B83="",$A83&lt;=13),"",--MID('Key Analysis'!$C79,$A83-13,1))</f>
        <v/>
      </c>
      <c r="Q83" s="29" t="str">
        <f>IF(OR($B83="",$A83&lt;=14),"",--MID('Key Analysis'!$C79,$A83-14,1))</f>
        <v/>
      </c>
      <c r="R83" s="29" t="str">
        <f>IF(OR($B83="",$A83&lt;=15),"",--MID('Key Analysis'!$C79,$A83-15,1))</f>
        <v/>
      </c>
      <c r="S83" s="29" t="str">
        <f>IF(OR($B83="",$A83&lt;=16),"",--MID('Key Analysis'!$C79,$A83-16,1))</f>
        <v/>
      </c>
      <c r="T83" s="29" t="str">
        <f>IF(OR($B83="",$A83&lt;=17),"",--MID('Key Analysis'!$C79,$A83-17,1))</f>
        <v/>
      </c>
      <c r="U83" s="29" t="str">
        <f>IF(OR($B83="",$A83&lt;=18),"",--MID('Key Analysis'!$C79,$A83-18,1))</f>
        <v/>
      </c>
      <c r="V83" s="29" t="str">
        <f>IF(OR($B83="",$A83&lt;=19),"",--MID('Key Analysis'!$C79,$A83-19,1))</f>
        <v/>
      </c>
      <c r="W83" s="29" t="str">
        <f>IF(OR($B83="",$A83&lt;=20),"",--MID('Key Analysis'!$C79,$A83-20,1))</f>
        <v/>
      </c>
      <c r="X83" s="29" t="str">
        <f>IF(OR($B83="",$A83&lt;=21),"",--MID('Key Analysis'!$C79,$A83-21,1))</f>
        <v/>
      </c>
      <c r="Y83" s="29" t="str">
        <f>IF(OR($B83="",$A83&lt;=22),"",--MID('Key Analysis'!$C79,$A83-22,1))</f>
        <v/>
      </c>
      <c r="Z83" s="29" t="str">
        <f>IF(OR($B83="",$A83&lt;=23),"",--MID('Key Analysis'!$C79,$A83-23,1))</f>
        <v/>
      </c>
      <c r="AA83" s="29" t="str">
        <f>IF(OR($B83="",$A83&lt;=24),"",--MID('Key Analysis'!$C79,$A83-24,1))</f>
        <v/>
      </c>
      <c r="AB83" s="29" t="str">
        <f>IF(OR($B83="",$A83&lt;=25),"",--MID('Key Analysis'!$C79,$A83-25,1))</f>
        <v/>
      </c>
      <c r="AC83" s="29" t="str">
        <f>IF(OR($B83="",$A83&lt;=26),"",--MID('Key Analysis'!$C79,$A83-26,1))</f>
        <v/>
      </c>
      <c r="AD83" s="29" t="str">
        <f>IF(OR($B83="",$A83&lt;=27),"",--MID('Key Analysis'!$C79,$A83-27,1))</f>
        <v/>
      </c>
      <c r="AE83" s="29" t="str">
        <f>IF(OR($B83="",$A83&lt;=28),"",--MID('Key Analysis'!$C79,$A83-28,1))</f>
        <v/>
      </c>
      <c r="AF83" s="29" t="str">
        <f>IF(OR($B83="",$A83&lt;=29),"",--MID('Key Analysis'!$C79,$A83-29,1))</f>
        <v/>
      </c>
      <c r="AG83" s="29" t="str">
        <f>IF(OR($B83="",$A83&lt;=30),"",--MID('Key Analysis'!$C79,$A83-30,1))</f>
        <v/>
      </c>
      <c r="AH83" s="29" t="str">
        <f>IF(OR($B83="",$A83&lt;=31),"",--MID('Key Analysis'!$C79,$A83-31,1))</f>
        <v/>
      </c>
      <c r="AI83" s="29" t="str">
        <f>IF(OR($B83="",$A83&lt;=32),"",--MID('Key Analysis'!$C79,$A83-32,1))</f>
        <v/>
      </c>
      <c r="AJ83" s="29" t="str">
        <f>IF(OR($B83="",$A83&lt;=33),"",--MID('Key Analysis'!$C79,$A83-33,1))</f>
        <v/>
      </c>
      <c r="AK83" s="29" t="str">
        <f>IF(OR($B83="",$A83&lt;=34),"",--MID('Key Analysis'!$C79,$A83-34,1))</f>
        <v/>
      </c>
      <c r="AL83" s="29" t="str">
        <f>IF(OR($B83="",$A83&lt;=35),"",--MID('Key Analysis'!$C79,$A83-35,1))</f>
        <v/>
      </c>
      <c r="AM83" s="29" t="str">
        <f>IF(OR($B83="",$A83&lt;=36),"",--MID('Key Analysis'!$C79,$A83-36,1))</f>
        <v/>
      </c>
      <c r="AN83" s="29" t="str">
        <f>IF(OR($B83="",$A83&lt;=37),"",--MID('Key Analysis'!$C79,$A83-37,1))</f>
        <v/>
      </c>
      <c r="AO83" s="29" t="str">
        <f>IF(OR($B83="",$A83&lt;=38),"",--MID('Key Analysis'!$C79,$A83-38,1))</f>
        <v/>
      </c>
      <c r="AP83" s="29" t="str">
        <f>IF(OR($B83="",$A83&lt;=39),"",--MID('Key Analysis'!$C79,$A83-39,1))</f>
        <v/>
      </c>
      <c r="AQ83" s="29" t="str">
        <f>IF(OR($B83="",$A83&lt;=40),"",--MID('Key Analysis'!$C79,$A83-40,1))</f>
        <v/>
      </c>
      <c r="AR83" s="29" t="str">
        <f>IF(OR($B83="",$A83&lt;=41),"",--MID('Key Analysis'!$C79,$A83-41,1))</f>
        <v/>
      </c>
      <c r="AS83" s="29" t="str">
        <f>IF(OR($B83="",$A83&lt;=42),"",--MID('Key Analysis'!$C79,$A83-42,1))</f>
        <v/>
      </c>
      <c r="AT83" s="29" t="str">
        <f>IF(OR($B83="",$A83&lt;=43),"",--MID('Key Analysis'!$C79,$A83-43,1))</f>
        <v/>
      </c>
      <c r="AU83" s="29" t="str">
        <f>IF(OR($B83="",$A83&lt;=44),"",--MID('Key Analysis'!$C79,$A83-44,1))</f>
        <v/>
      </c>
      <c r="AV83" s="29" t="str">
        <f>IF(OR($B83="",$A83&lt;=45),"",--MID('Key Analysis'!$C79,$A83-45,1))</f>
        <v/>
      </c>
      <c r="AW83" s="29" t="str">
        <f>IF(OR($B83="",$A83&lt;=46),"",--MID('Key Analysis'!$C79,$A83-46,1))</f>
        <v/>
      </c>
      <c r="AX83" s="29" t="str">
        <f>IF(OR($B83="",$A83&lt;=47),"",--MID('Key Analysis'!$C79,$A83-47,1))</f>
        <v/>
      </c>
      <c r="AY83" s="29" t="str">
        <f>IF(OR($B83="",$A83&lt;=48),"",--MID('Key Analysis'!$C79,$A83-48,1))</f>
        <v/>
      </c>
      <c r="AZ83" s="29" t="str">
        <f>IF(OR($B83="",$A83&lt;=49),"",--MID('Key Analysis'!$C79,$A83-49,1))</f>
        <v/>
      </c>
      <c r="BA83" s="29" t="str">
        <f>IF(OR($B83="",$A83&lt;=50),"",--MID('Key Analysis'!$C79,$A83-50,1))</f>
        <v/>
      </c>
      <c r="BB83" s="29" t="str">
        <f>IF(OR($B83="",$A83&lt;=51),"",--MID('Key Analysis'!$C79,$A83-51,1))</f>
        <v/>
      </c>
      <c r="BC83" s="29" t="str">
        <f>IF(OR($B83="",$A83&lt;=52),"",--MID('Key Analysis'!$C79,$A83-52,1))</f>
        <v/>
      </c>
      <c r="BD83" s="29" t="str">
        <f>IF(OR($B83="",$A83&lt;=53),"",--MID('Key Analysis'!$C79,$A83-53,1))</f>
        <v/>
      </c>
      <c r="BE83" s="29" t="str">
        <f>IF(OR($B83="",$A83&lt;=54),"",--MID('Key Analysis'!$C79,$A83-54,1))</f>
        <v/>
      </c>
      <c r="BF83" s="29" t="str">
        <f>IF(OR($B83="",$A83&lt;=55),"",--MID('Key Analysis'!$C79,$A83-55,1))</f>
        <v/>
      </c>
      <c r="BG83" s="29" t="str">
        <f>IF(OR($B83="",$A83&lt;=56),"",--MID('Key Analysis'!$C79,$A83-56,1))</f>
        <v/>
      </c>
      <c r="BH83" s="29" t="str">
        <f>IF(OR($B83="",$A83&lt;=57),"",--MID('Key Analysis'!$C79,$A83-57,1))</f>
        <v/>
      </c>
      <c r="BI83" s="29" t="str">
        <f>IF(OR($B83="",$A83&lt;=58),"",--MID('Key Analysis'!$C79,$A83-58,1))</f>
        <v/>
      </c>
      <c r="BJ83" s="29" t="str">
        <f>IF(OR($B83="",$A83&lt;=59),"",--MID('Key Analysis'!$C79,$A83-59,1))</f>
        <v/>
      </c>
      <c r="BK83" s="29" t="str">
        <f>IF(OR($B83="",$A83&lt;=60),"",--MID('Key Analysis'!$C79,$A83-60,1))</f>
        <v/>
      </c>
      <c r="BL83" s="29" t="str">
        <f>IF(OR($B83="",$A83&lt;=61),"",--MID('Key Analysis'!$C79,$A83-61,1))</f>
        <v/>
      </c>
      <c r="BM83" s="29" t="str">
        <f>IF(OR($B83="",$A83&lt;=62),"",--MID('Key Analysis'!$C79,$A83-62,1))</f>
        <v/>
      </c>
      <c r="BN83" s="29" t="str">
        <f>IF(OR($B83="",$A83&lt;=63),"",--MID('Key Analysis'!$C79,$A83-63,1))</f>
        <v/>
      </c>
      <c r="BO83" s="29" t="str">
        <f>IF(OR($B83="",$A83&lt;=64),"",--MID('Key Analysis'!$C79,$A83-64,1))</f>
        <v/>
      </c>
      <c r="BP83" s="29" t="str">
        <f>IF(OR($B83="",$A83&lt;=65),"",--MID('Key Analysis'!$C79,$A83-65,1))</f>
        <v/>
      </c>
      <c r="BQ83" s="29" t="str">
        <f>IF(OR($B83="",$A83&lt;=66),"",--MID('Key Analysis'!$C79,$A83-66,1))</f>
        <v/>
      </c>
      <c r="BR83" s="29" t="str">
        <f>IF(OR($B83="",$A83&lt;=67),"",--MID('Key Analysis'!$C79,$A83-67,1))</f>
        <v/>
      </c>
      <c r="BS83" s="29" t="str">
        <f>IF(OR($B83="",$A83&lt;=68),"",--MID('Key Analysis'!$C79,$A83-68,1))</f>
        <v/>
      </c>
      <c r="BT83" s="29" t="str">
        <f>IF(OR($B83="",$A83&lt;=69),"",--MID('Key Analysis'!$C79,$A83-69,1))</f>
        <v/>
      </c>
      <c r="BU83" s="29" t="str">
        <f>IF(OR($B83="",$A83&lt;=70),"",--MID('Key Analysis'!$C79,$A83-70,1))</f>
        <v/>
      </c>
      <c r="BV83" s="29" t="str">
        <f>IF(OR($B83="",$A83&lt;=71),"",--MID('Key Analysis'!$C79,$A83-71,1))</f>
        <v/>
      </c>
      <c r="BW83" s="29" t="str">
        <f>IF(OR($B83="",$A83&lt;=72),"",--MID('Key Analysis'!$C79,$A83-72,1))</f>
        <v/>
      </c>
      <c r="BX83" s="29" t="str">
        <f>IF(OR($B83="",$A83&lt;=73),"",--MID('Key Analysis'!$C79,$A83-73,1))</f>
        <v/>
      </c>
      <c r="BY83" s="29" t="str">
        <f>IF(OR($B83="",$A83&lt;=74),"",--MID('Key Analysis'!$C79,$A83-74,1))</f>
        <v/>
      </c>
      <c r="BZ83" s="29" t="str">
        <f>IF(OR($B83="",$A83&lt;=75),"",--MID('Key Analysis'!$C79,$A83-75,1))</f>
        <v/>
      </c>
      <c r="CA83" s="29" t="str">
        <f>IF(OR($B83="",$A83&lt;=76),"",--MID('Key Analysis'!$C79,$A83-76,1))</f>
        <v/>
      </c>
      <c r="CB83" s="29" t="str">
        <f>IF(OR($B83="",$A83&lt;=77),"",--MID('Key Analysis'!$C79,$A83-77,1))</f>
        <v/>
      </c>
      <c r="CC83" s="29" t="str">
        <f>IF(OR($B83="",$A83&lt;=78),"",--MID('Key Analysis'!$C79,$A83-78,1))</f>
        <v/>
      </c>
      <c r="CD83" s="29" t="str">
        <f>IF(OR($B83="",$A83&lt;=79),"",--MID('Key Analysis'!$C79,$A83-79,1))</f>
        <v/>
      </c>
      <c r="CE83" s="29" t="str">
        <f>IF(OR($B83="",$A83&lt;=80),"",--MID('Key Analysis'!$C79,$A83-80,1))</f>
        <v/>
      </c>
      <c r="CF83" s="29" t="str">
        <f>IF(OR($B83="",$A83&lt;=81),"",--MID('Key Analysis'!$C79,$A83-81,1))</f>
        <v/>
      </c>
      <c r="CG83" s="29" t="str">
        <f>IF(OR($B83="",$A83&lt;=82),"",--MID('Key Analysis'!$C79,$A83-82,1))</f>
        <v/>
      </c>
      <c r="CH83" s="29" t="str">
        <f>IF(OR($B83="",$A83&lt;=83),"",--MID('Key Analysis'!$C79,$A83-83,1))</f>
        <v/>
      </c>
      <c r="CI83" s="29" t="str">
        <f>IF(OR($B83="",$A83&lt;=84),"",--MID('Key Analysis'!$C79,$A83-84,1))</f>
        <v/>
      </c>
      <c r="CJ83" s="29" t="str">
        <f>IF(OR($B83="",$A83&lt;=85),"",--MID('Key Analysis'!$C79,$A83-85,1))</f>
        <v/>
      </c>
      <c r="CK83" s="29" t="str">
        <f>IF(OR($B83="",$A83&lt;=86),"",--MID('Key Analysis'!$C79,$A83-86,1))</f>
        <v/>
      </c>
      <c r="CL83" s="29" t="str">
        <f>IF(OR($B83="",$A83&lt;=87),"",--MID('Key Analysis'!$C79,$A83-87,1))</f>
        <v/>
      </c>
      <c r="CM83" s="29" t="str">
        <f>IF(OR($B83="",$A83&lt;=88),"",--MID('Key Analysis'!$C79,$A83-88,1))</f>
        <v/>
      </c>
      <c r="CN83" s="29" t="str">
        <f>IF(OR($B83="",$A83&lt;=89),"",--MID('Key Analysis'!$C79,$A83-89,1))</f>
        <v/>
      </c>
      <c r="CO83" s="29" t="str">
        <f>IF(OR($B83="",$A83&lt;=90),"",--MID('Key Analysis'!$C79,$A83-90,1))</f>
        <v/>
      </c>
      <c r="CP83" s="29" t="str">
        <f>IF(OR($B83="",$A83&lt;=91),"",--MID('Key Analysis'!$C79,$A83-91,1))</f>
        <v/>
      </c>
      <c r="CQ83" s="29" t="str">
        <f>IF(OR($B83="",$A83&lt;=92),"",--MID('Key Analysis'!$C79,$A83-92,1))</f>
        <v/>
      </c>
      <c r="CR83" s="29" t="str">
        <f>IF(OR($B83="",$A83&lt;=93),"",--MID('Key Analysis'!$C79,$A83-93,1))</f>
        <v/>
      </c>
      <c r="CS83" s="29" t="str">
        <f>IF(OR($B83="",$A83&lt;=94),"",--MID('Key Analysis'!$C79,$A83-94,1))</f>
        <v/>
      </c>
      <c r="CT83" s="29" t="str">
        <f>IF(OR($B83="",$A83&lt;=95),"",--MID('Key Analysis'!$C79,$A83-95,1))</f>
        <v/>
      </c>
      <c r="CU83" s="29" t="str">
        <f>IF(OR($B83="",$A83&lt;=96),"",--MID('Key Analysis'!$C79,$A83-96,1))</f>
        <v/>
      </c>
      <c r="CV83" s="29" t="str">
        <f>IF(OR($B83="",$A83&lt;=97),"",--MID('Key Analysis'!$C79,$A83-97,1))</f>
        <v/>
      </c>
      <c r="CW83" s="29" t="str">
        <f>IF(OR($B83="",$A83&lt;=98),"",--MID('Key Analysis'!$C79,$A83-98,1))</f>
        <v/>
      </c>
      <c r="CX83" s="29" t="str">
        <f>IF(OR($B83="",$A83&lt;=99),"",--MID('Key Analysis'!$C79,$A83-99,1))</f>
        <v/>
      </c>
      <c r="CY83" s="29" t="str">
        <f>IF(OR($B83="",$A83&lt;=100),"",--MID('Key Analysis'!$C79,$A83-100,1))</f>
        <v/>
      </c>
      <c r="CZ83" s="29" t="str">
        <f>IF(OR($B83="",$A83&lt;=101),"",--MID('Key Analysis'!$C79,$A83-101,1))</f>
        <v/>
      </c>
      <c r="DA83" s="29" t="str">
        <f>IF(OR($B83="",$A83&lt;=102),"",--MID('Key Analysis'!$C79,$A83-102,1))</f>
        <v/>
      </c>
      <c r="DB83" s="29" t="str">
        <f>IF(OR($B83="",$A83&lt;=103),"",--MID('Key Analysis'!$C79,$A83-103,1))</f>
        <v/>
      </c>
      <c r="DC83" s="29" t="str">
        <f>IF(OR($B83="",$A83&lt;=104),"",--MID('Key Analysis'!$C79,$A83-104,1))</f>
        <v/>
      </c>
      <c r="DD83" s="29" t="str">
        <f>IF(OR($B83="",$A83&lt;=105),"",--MID('Key Analysis'!$C79,$A83-105,1))</f>
        <v/>
      </c>
      <c r="DE83" s="29" t="str">
        <f>IF(OR($B83="",$A83&lt;=106),"",--MID('Key Analysis'!$C79,$A83-106,1))</f>
        <v/>
      </c>
      <c r="DF83" s="29" t="str">
        <f>IF(OR($B83="",$A83&lt;=107),"",--MID('Key Analysis'!$C79,$A83-107,1))</f>
        <v/>
      </c>
      <c r="DG83" s="29" t="str">
        <f>IF(OR($B83="",$A83&lt;=108),"",--MID('Key Analysis'!$C79,$A83-108,1))</f>
        <v/>
      </c>
      <c r="DH83" s="29" t="str">
        <f>IF(OR($B83="",$A83&lt;=109),"",--MID('Key Analysis'!$C79,$A83-109,1))</f>
        <v/>
      </c>
      <c r="DI83" s="29" t="str">
        <f>IF(OR($B83="",$A83&lt;=110),"",--MID('Key Analysis'!$C79,$A83-110,1))</f>
        <v/>
      </c>
      <c r="DJ83" s="29" t="str">
        <f>IF(OR($B83="",$A83&lt;=111),"",--MID('Key Analysis'!$C79,$A83-111,1))</f>
        <v/>
      </c>
      <c r="DK83" s="29" t="str">
        <f>IF(OR($B83="",$A83&lt;=112),"",--MID('Key Analysis'!$C79,$A83-112,1))</f>
        <v/>
      </c>
      <c r="DL83" s="29" t="str">
        <f>IF(OR($B83="",$A83&lt;=113),"",--MID('Key Analysis'!$C79,$A83-113,1))</f>
        <v/>
      </c>
      <c r="DM83" s="29" t="str">
        <f>IF(OR($B83="",$A83&lt;=114),"",--MID('Key Analysis'!$C79,$A83-114,1))</f>
        <v/>
      </c>
      <c r="DN83" s="29" t="str">
        <f>IF(OR($B83="",$A83&lt;=115),"",--MID('Key Analysis'!$C79,$A83-115,1))</f>
        <v/>
      </c>
      <c r="DO83" s="29" t="str">
        <f>IF(OR($B83="",$A83&lt;=116),"",--MID('Key Analysis'!$C79,$A83-116,1))</f>
        <v/>
      </c>
      <c r="DP83" s="29" t="str">
        <f>IF(OR($B83="",$A83&lt;=117),"",--MID('Key Analysis'!$C79,$A83-117,1))</f>
        <v/>
      </c>
      <c r="DQ83" s="29" t="str">
        <f>IF(OR($B83="",$A83&lt;=118),"",--MID('Key Analysis'!$C79,$A83-118,1))</f>
        <v/>
      </c>
      <c r="DR83" s="29" t="str">
        <f>IF(OR($B83="",$A83&lt;=119),"",--MID('Key Analysis'!$C79,$A83-119,1))</f>
        <v/>
      </c>
      <c r="DS83" s="29" t="str">
        <f>IF(OR($B83="",$A83&lt;=120),"",--MID('Key Analysis'!$C79,$A83-120,1))</f>
        <v/>
      </c>
      <c r="DT83" s="29" t="str">
        <f>IF(OR($B83="",$A83&lt;=121),"",--MID('Key Analysis'!$C79,$A83-121,1))</f>
        <v/>
      </c>
      <c r="DU83" s="29" t="str">
        <f>IF(OR($B83="",$A83&lt;=122),"",--MID('Key Analysis'!$C79,$A83-122,1))</f>
        <v/>
      </c>
      <c r="DV83" s="29" t="str">
        <f>IF(OR($B83="",$A83&lt;=123),"",--MID('Key Analysis'!$C79,$A83-123,1))</f>
        <v/>
      </c>
      <c r="DW83" s="29" t="str">
        <f>IF(OR($B83="",$A83&lt;=124),"",--MID('Key Analysis'!$C79,$A83-124,1))</f>
        <v/>
      </c>
      <c r="DX83" s="29" t="str">
        <f>IF(OR($B83="",$A83&lt;=125),"",--MID('Key Analysis'!$C79,$A83-125,1))</f>
        <v/>
      </c>
      <c r="DY83" s="29" t="str">
        <f>IF(OR($B83="",$A83&lt;=126),"",--MID('Key Analysis'!$C79,$A83-126,1))</f>
        <v/>
      </c>
      <c r="DZ83" s="29" t="str">
        <f>IF(OR($B83="",$A83&lt;=127),"",--MID('Key Analysis'!$C79,$A83-127,1))</f>
        <v/>
      </c>
      <c r="EA83" s="29" t="str">
        <f>IF(OR($B83="",$A83&lt;=128),"",--MID('Key Analysis'!$C79,$A83-128,1))</f>
        <v/>
      </c>
      <c r="EB83" s="29" t="str">
        <f>IF(OR($B83="",$A83&lt;=129),"",--MID('Key Analysis'!$C79,$A83-129,1))</f>
        <v/>
      </c>
      <c r="EC83" s="29" t="str">
        <f>IF(OR($B83="",$A83&lt;=130),"",--MID('Key Analysis'!$C79,$A83-130,1))</f>
        <v/>
      </c>
      <c r="ED83" s="29" t="str">
        <f>IF(OR($B83="",$A83&lt;=131),"",--MID('Key Analysis'!$C79,$A83-131,1))</f>
        <v/>
      </c>
      <c r="EE83" s="29" t="str">
        <f>IF(OR($B83="",$A83&lt;=132),"",--MID('Key Analysis'!$C79,$A83-132,1))</f>
        <v/>
      </c>
      <c r="EF83" s="29" t="str">
        <f>IF(OR($B83="",$A83&lt;=133),"",--MID('Key Analysis'!$C79,$A83-133,1))</f>
        <v/>
      </c>
      <c r="EG83" s="29" t="str">
        <f>IF(OR($B83="",$A83&lt;=134),"",--MID('Key Analysis'!$C79,$A83-134,1))</f>
        <v/>
      </c>
      <c r="EH83" s="29"/>
      <c r="EI83" s="29" t="str">
        <f>IF(OR($B83="",$A83&lt;1),"",--MID('Key Analysis'!$C79,1,1))</f>
        <v/>
      </c>
      <c r="EJ83" s="29" t="str">
        <f>IF(OR($B83="",$A83&lt;2),"",--MID('Key Analysis'!$C79,2,1))</f>
        <v/>
      </c>
      <c r="EK83" s="29" t="str">
        <f>IF(OR($B83="",$A83&lt;3),"",--MID('Key Analysis'!$C79,3,1))</f>
        <v/>
      </c>
      <c r="EL83" s="29" t="str">
        <f>IF(OR($B83="",$A83&lt;4),"",--MID('Key Analysis'!$C79,4,1))</f>
        <v/>
      </c>
      <c r="EM83" s="29" t="str">
        <f>IF(OR($B83="",$A83&lt;5),"",--MID('Key Analysis'!$C79,5,1))</f>
        <v/>
      </c>
      <c r="EN83" s="29" t="str">
        <f>IF(OR($B83="",$A83&lt;6),"",--MID('Key Analysis'!$C79,6,1))</f>
        <v/>
      </c>
      <c r="EO83" s="29" t="str">
        <f>IF(OR($B83="",$A83&lt;7),"",--MID('Key Analysis'!$C79,7,1))</f>
        <v/>
      </c>
      <c r="EP83" s="29" t="str">
        <f>IF(OR($B83="",$A83&lt;8),"",--MID('Key Analysis'!$C79,8,1))</f>
        <v/>
      </c>
      <c r="EQ83" s="29" t="str">
        <f>IF(OR($B83="",$A83&lt;9),"",--MID('Key Analysis'!$C79,9,1))</f>
        <v/>
      </c>
      <c r="ER83" s="29" t="str">
        <f>IF(OR($B83="",$A83&lt;10),"",--MID('Key Analysis'!$C79,10,1))</f>
        <v/>
      </c>
      <c r="ES83" s="29" t="str">
        <f>IF(OR($B83="",$A83&lt;11),"",--MID('Key Analysis'!$C79,11,1))</f>
        <v/>
      </c>
      <c r="ET83" s="29" t="str">
        <f>IF(OR($B83="",$A83&lt;12),"",--MID('Key Analysis'!$C79,12,1))</f>
        <v/>
      </c>
      <c r="EU83" s="29" t="str">
        <f>IF(OR($B83="",$A83&lt;13),"",--MID('Key Analysis'!$C79,13,1))</f>
        <v/>
      </c>
      <c r="EV83" s="29" t="str">
        <f>IF(OR($B83="",$A83&lt;14),"",--MID('Key Analysis'!$C79,14,1))</f>
        <v/>
      </c>
      <c r="EW83" s="29" t="str">
        <f>IF(OR($B83="",$A83&lt;15),"",--MID('Key Analysis'!$C79,15,1))</f>
        <v/>
      </c>
      <c r="EX83" s="29" t="str">
        <f>IF(OR($B83="",$A83&lt;16),"",--MID('Key Analysis'!$C79,16,1))</f>
        <v/>
      </c>
      <c r="EY83" s="29" t="str">
        <f>IF(OR($B83="",$A83&lt;17),"",--MID('Key Analysis'!$C79,17,1))</f>
        <v/>
      </c>
      <c r="EZ83" s="29" t="str">
        <f>IF(OR($B83="",$A83&lt;18),"",--MID('Key Analysis'!$C79,18,1))</f>
        <v/>
      </c>
      <c r="FA83" s="29" t="str">
        <f>IF(OR($B83="",$A83&lt;19),"",--MID('Key Analysis'!$C79,19,1))</f>
        <v/>
      </c>
      <c r="FB83" s="29" t="str">
        <f>IF(OR($B83="",$A83&lt;20),"",--MID('Key Analysis'!$C79,20,1))</f>
        <v/>
      </c>
      <c r="FC83" s="29" t="str">
        <f>IF(OR($B83="",$A83&lt;21),"",--MID('Key Analysis'!$C79,21,1))</f>
        <v/>
      </c>
      <c r="FD83" s="29" t="str">
        <f>IF(OR($B83="",$A83&lt;22),"",--MID('Key Analysis'!$C79,22,1))</f>
        <v/>
      </c>
      <c r="FE83" s="29" t="str">
        <f>IF(OR($B83="",$A83&lt;23),"",--MID('Key Analysis'!$C79,23,1))</f>
        <v/>
      </c>
      <c r="FF83" s="29" t="str">
        <f>IF(OR($B83="",$A83&lt;24),"",--MID('Key Analysis'!$C79,24,1))</f>
        <v/>
      </c>
      <c r="FG83" s="29" t="str">
        <f>IF(OR($B83="",$A83&lt;25),"",--MID('Key Analysis'!$C79,25,1))</f>
        <v/>
      </c>
      <c r="FH83" s="29" t="str">
        <f>IF(OR($B83="",$A83&lt;26),"",--MID('Key Analysis'!$C79,26,1))</f>
        <v/>
      </c>
      <c r="FI83" s="29" t="str">
        <f>IF(OR($B83="",$A83&lt;27),"",--MID('Key Analysis'!$C79,27,1))</f>
        <v/>
      </c>
      <c r="FJ83" s="29" t="str">
        <f>IF(OR($B83="",$A83&lt;28),"",--MID('Key Analysis'!$C79,28,1))</f>
        <v/>
      </c>
      <c r="FK83" s="29" t="str">
        <f>IF(OR($B83="",$A83&lt;29),"",--MID('Key Analysis'!$C79,29,1))</f>
        <v/>
      </c>
      <c r="FL83" s="29" t="str">
        <f>IF(OR($B83="",$A83&lt;30),"",--MID('Key Analysis'!$C79,30,1))</f>
        <v/>
      </c>
      <c r="FM83" s="29" t="str">
        <f>IF(OR($B83="",$A83&lt;31),"",--MID('Key Analysis'!$C79,31,1))</f>
        <v/>
      </c>
      <c r="FN83" s="29" t="str">
        <f>IF(OR($B83="",$A83&lt;32),"",--MID('Key Analysis'!$C79,32,1))</f>
        <v/>
      </c>
      <c r="FO83" s="29" t="str">
        <f>IF(OR($B83="",$A83&lt;33),"",--MID('Key Analysis'!$C79,33,1))</f>
        <v/>
      </c>
      <c r="FP83" s="29" t="str">
        <f>IF(OR($B83="",$A83&lt;34),"",--MID('Key Analysis'!$C79,34,1))</f>
        <v/>
      </c>
      <c r="FQ83" s="29" t="str">
        <f>IF(OR($B83="",$A83&lt;35),"",--MID('Key Analysis'!$C79,35,1))</f>
        <v/>
      </c>
      <c r="FR83" s="29" t="str">
        <f>IF(OR($B83="",$A83&lt;36),"",--MID('Key Analysis'!$C79,36,1))</f>
        <v/>
      </c>
      <c r="FS83" s="29" t="str">
        <f>IF(OR($B83="",$A83&lt;37),"",--MID('Key Analysis'!$C79,37,1))</f>
        <v/>
      </c>
      <c r="FT83" s="29" t="str">
        <f>IF(OR($B83="",$A83&lt;38),"",--MID('Key Analysis'!$C79,38,1))</f>
        <v/>
      </c>
      <c r="FU83" s="29" t="str">
        <f>IF(OR($B83="",$A83&lt;39),"",--MID('Key Analysis'!$C79,39,1))</f>
        <v/>
      </c>
      <c r="FV83" s="29" t="str">
        <f>IF(OR($B83="",$A83&lt;40),"",--MID('Key Analysis'!$C79,40,1))</f>
        <v/>
      </c>
      <c r="FW83" s="29" t="str">
        <f>IF(OR($B83="",$A83&lt;41),"",--MID('Key Analysis'!$C79,41,1))</f>
        <v/>
      </c>
      <c r="FX83" s="29" t="str">
        <f>IF(OR($B83="",$A83&lt;42),"",--MID('Key Analysis'!$C79,42,1))</f>
        <v/>
      </c>
      <c r="FY83" s="29" t="str">
        <f>IF(OR($B83="",$A83&lt;43),"",--MID('Key Analysis'!$C79,43,1))</f>
        <v/>
      </c>
      <c r="FZ83" s="29" t="str">
        <f>IF(OR($B83="",$A83&lt;44),"",--MID('Key Analysis'!$C79,44,1))</f>
        <v/>
      </c>
      <c r="GA83" s="29" t="str">
        <f>IF(OR($B83="",$A83&lt;45),"",--MID('Key Analysis'!$C79,45,1))</f>
        <v/>
      </c>
      <c r="GB83" s="29" t="str">
        <f>IF(OR($B83="",$A83&lt;46),"",--MID('Key Analysis'!$C79,46,1))</f>
        <v/>
      </c>
      <c r="GC83" s="29" t="str">
        <f>IF(OR($B83="",$A83&lt;47),"",--MID('Key Analysis'!$C79,47,1))</f>
        <v/>
      </c>
      <c r="GD83" s="29" t="str">
        <f>IF(OR($B83="",$A83&lt;48),"",--MID('Key Analysis'!$C79,48,1))</f>
        <v/>
      </c>
      <c r="GE83" s="29" t="str">
        <f>IF(OR($B83="",$A83&lt;49),"",--MID('Key Analysis'!$C79,49,1))</f>
        <v/>
      </c>
      <c r="GF83" s="29" t="str">
        <f>IF(OR($B83="",$A83&lt;50),"",--MID('Key Analysis'!$C79,50,1))</f>
        <v/>
      </c>
      <c r="GG83" s="29" t="str">
        <f>IF(OR($B83="",$A83&lt;51),"",--MID('Key Analysis'!$C79,51,1))</f>
        <v/>
      </c>
      <c r="GH83" s="29" t="str">
        <f>IF(OR($B83="",$A83&lt;52),"",--MID('Key Analysis'!$C79,52,1))</f>
        <v/>
      </c>
      <c r="GI83" s="29" t="str">
        <f>IF(OR($B83="",$A83&lt;53),"",--MID('Key Analysis'!$C79,53,1))</f>
        <v/>
      </c>
      <c r="GJ83" s="29" t="str">
        <f>IF(OR($B83="",$A83&lt;54),"",--MID('Key Analysis'!$C79,54,1))</f>
        <v/>
      </c>
      <c r="GK83" s="29" t="str">
        <f>IF(OR($B83="",$A83&lt;55),"",--MID('Key Analysis'!$C79,55,1))</f>
        <v/>
      </c>
      <c r="GL83" s="29" t="str">
        <f>IF(OR($B83="",$A83&lt;56),"",--MID('Key Analysis'!$C79,56,1))</f>
        <v/>
      </c>
      <c r="GM83" s="29" t="str">
        <f>IF(OR($B83="",$A83&lt;57),"",--MID('Key Analysis'!$C79,57,1))</f>
        <v/>
      </c>
      <c r="GN83" s="29" t="str">
        <f>IF(OR($B83="",$A83&lt;58),"",--MID('Key Analysis'!$C79,58,1))</f>
        <v/>
      </c>
      <c r="GO83" s="29" t="str">
        <f>IF(OR($B83="",$A83&lt;59),"",--MID('Key Analysis'!$C79,59,1))</f>
        <v/>
      </c>
      <c r="GP83" s="29" t="str">
        <f>IF(OR($B83="",$A83&lt;60),"",--MID('Key Analysis'!$C79,60,1))</f>
        <v/>
      </c>
      <c r="GQ83" s="29" t="str">
        <f>IF(OR($B83="",$A83&lt;61),"",--MID('Key Analysis'!$C79,61,1))</f>
        <v/>
      </c>
      <c r="GR83" s="29" t="str">
        <f>IF(OR($B83="",$A83&lt;62),"",--MID('Key Analysis'!$C79,62,1))</f>
        <v/>
      </c>
      <c r="GS83" s="29" t="str">
        <f>IF(OR($B83="",$A83&lt;63),"",--MID('Key Analysis'!$C79,63,1))</f>
        <v/>
      </c>
      <c r="GT83" s="29" t="str">
        <f>IF(OR($B83="",$A83&lt;64),"",--MID('Key Analysis'!$C79,64,1))</f>
        <v/>
      </c>
      <c r="GU83" s="29" t="str">
        <f>IF(OR($B83="",$A83&lt;65),"",--MID('Key Analysis'!$C79,65,1))</f>
        <v/>
      </c>
      <c r="GV83" s="29" t="str">
        <f>IF(OR($B83="",$A83&lt;66),"",--MID('Key Analysis'!$C79,66,1))</f>
        <v/>
      </c>
      <c r="GW83" s="29" t="str">
        <f>IF(OR($B83="",$A83&lt;67),"",--MID('Key Analysis'!$C79,67,1))</f>
        <v/>
      </c>
      <c r="GX83" s="29" t="str">
        <f>IF(OR($B83="",$A83&lt;68),"",--MID('Key Analysis'!$C79,68,1))</f>
        <v/>
      </c>
      <c r="GY83" s="29" t="str">
        <f>IF(OR($B83="",$A83&lt;69),"",--MID('Key Analysis'!$C79,69,1))</f>
        <v/>
      </c>
      <c r="GZ83" s="29" t="str">
        <f>IF(OR($B83="",$A83&lt;70),"",--MID('Key Analysis'!$C79,70,1))</f>
        <v/>
      </c>
      <c r="HA83" s="29" t="str">
        <f>IF(OR($B83="",$A83&lt;71),"",--MID('Key Analysis'!$C79,71,1))</f>
        <v/>
      </c>
      <c r="HB83" s="29" t="str">
        <f>IF(OR($B83="",$A83&lt;72),"",--MID('Key Analysis'!$C79,72,1))</f>
        <v/>
      </c>
      <c r="HC83" s="29" t="str">
        <f>IF(OR($B83="",$A83&lt;73),"",--MID('Key Analysis'!$C79,73,1))</f>
        <v/>
      </c>
      <c r="HD83" s="29" t="str">
        <f>IF(OR($B83="",$A83&lt;74),"",--MID('Key Analysis'!$C79,74,1))</f>
        <v/>
      </c>
      <c r="HE83" s="29" t="str">
        <f>IF(OR($B83="",$A83&lt;75),"",--MID('Key Analysis'!$C79,75,1))</f>
        <v/>
      </c>
      <c r="HF83" s="29" t="str">
        <f>IF(OR($B83="",$A83&lt;76),"",--MID('Key Analysis'!$C79,76,1))</f>
        <v/>
      </c>
      <c r="HG83" s="29" t="str">
        <f>IF(OR($B83="",$A83&lt;77),"",--MID('Key Analysis'!$C79,77,1))</f>
        <v/>
      </c>
      <c r="HH83" s="29" t="str">
        <f>IF(OR($B83="",$A83&lt;78),"",--MID('Key Analysis'!$C79,78,1))</f>
        <v/>
      </c>
      <c r="HI83" s="29" t="str">
        <f>IF(OR($B83="",$A83&lt;79),"",--MID('Key Analysis'!$C79,79,1))</f>
        <v/>
      </c>
      <c r="HJ83" s="29" t="str">
        <f>IF(OR($B83="",$A83&lt;80),"",--MID('Key Analysis'!$C79,80,1))</f>
        <v/>
      </c>
      <c r="HK83" s="29" t="str">
        <f>IF(OR($B83="",$A83&lt;81),"",--MID('Key Analysis'!$C79,81,1))</f>
        <v/>
      </c>
      <c r="HL83" s="29" t="str">
        <f>IF(OR($B83="",$A83&lt;82),"",--MID('Key Analysis'!$C79,82,1))</f>
        <v/>
      </c>
      <c r="HM83" s="29" t="str">
        <f>IF(OR($B83="",$A83&lt;83),"",--MID('Key Analysis'!$C79,83,1))</f>
        <v/>
      </c>
      <c r="HN83" s="29" t="str">
        <f>IF(OR($B83="",$A83&lt;84),"",--MID('Key Analysis'!$C79,84,1))</f>
        <v/>
      </c>
      <c r="HO83" s="29" t="str">
        <f>IF(OR($B83="",$A83&lt;85),"",--MID('Key Analysis'!$C79,85,1))</f>
        <v/>
      </c>
      <c r="HP83" s="29" t="str">
        <f>IF(OR($B83="",$A83&lt;86),"",--MID('Key Analysis'!$C79,86,1))</f>
        <v/>
      </c>
      <c r="HQ83" s="29" t="str">
        <f>IF(OR($B83="",$A83&lt;87),"",--MID('Key Analysis'!$C79,87,1))</f>
        <v/>
      </c>
      <c r="HR83" s="29" t="str">
        <f>IF(OR($B83="",$A83&lt;88),"",--MID('Key Analysis'!$C79,88,1))</f>
        <v/>
      </c>
      <c r="HS83" s="29" t="str">
        <f>IF(OR($B83="",$A83&lt;89),"",--MID('Key Analysis'!$C79,89,1))</f>
        <v/>
      </c>
      <c r="HT83" s="29" t="str">
        <f>IF(OR($B83="",$A83&lt;90),"",--MID('Key Analysis'!$C79,90,1))</f>
        <v/>
      </c>
      <c r="HU83" s="29" t="str">
        <f>IF(OR($B83="",$A83&lt;91),"",--MID('Key Analysis'!$C79,91,1))</f>
        <v/>
      </c>
      <c r="HV83" s="29" t="str">
        <f>IF(OR($B83="",$A83&lt;92),"",--MID('Key Analysis'!$C79,92,1))</f>
        <v/>
      </c>
      <c r="HW83" s="29" t="str">
        <f>IF(OR($B83="",$A83&lt;93),"",--MID('Key Analysis'!$C79,93,1))</f>
        <v/>
      </c>
      <c r="HX83" s="29" t="str">
        <f>IF(OR($B83="",$A83&lt;94),"",--MID('Key Analysis'!$C79,94,1))</f>
        <v/>
      </c>
      <c r="HY83" s="29" t="str">
        <f>IF(OR($B83="",$A83&lt;95),"",--MID('Key Analysis'!$C79,95,1))</f>
        <v/>
      </c>
      <c r="HZ83" s="29" t="str">
        <f>IF(OR($B83="",$A83&lt;96),"",--MID('Key Analysis'!$C79,96,1))</f>
        <v/>
      </c>
      <c r="IA83" s="29" t="str">
        <f>IF(OR($B83="",$A83&lt;97),"",--MID('Key Analysis'!$C79,97,1))</f>
        <v/>
      </c>
      <c r="IB83" s="29" t="str">
        <f>IF(OR($B83="",$A83&lt;98),"",--MID('Key Analysis'!$C79,98,1))</f>
        <v/>
      </c>
      <c r="IC83" s="29" t="str">
        <f>IF(OR($B83="",$A83&lt;99),"",--MID('Key Analysis'!$C79,99,1))</f>
        <v/>
      </c>
      <c r="ID83" s="29" t="str">
        <f>IF(OR($B83="",$A83&lt;100),"",--MID('Key Analysis'!$C79,100,1))</f>
        <v/>
      </c>
      <c r="IE83" s="29" t="str">
        <f>IF(OR($B83="",$A83&lt;101),"",--MID('Key Analysis'!$C79,101,1))</f>
        <v/>
      </c>
      <c r="IF83" s="29" t="str">
        <f>IF(OR($B83="",$A83&lt;102),"",--MID('Key Analysis'!$C79,102,1))</f>
        <v/>
      </c>
      <c r="IG83" s="29" t="str">
        <f>IF(OR($B83="",$A83&lt;103),"",--MID('Key Analysis'!$C79,103,1))</f>
        <v/>
      </c>
      <c r="IH83" s="29" t="str">
        <f>IF(OR($B83="",$A83&lt;104),"",--MID('Key Analysis'!$C79,104,1))</f>
        <v/>
      </c>
      <c r="II83" s="29" t="str">
        <f>IF(OR($B83="",$A83&lt;105),"",--MID('Key Analysis'!$C79,105,1))</f>
        <v/>
      </c>
      <c r="IJ83" s="29" t="str">
        <f>IF(OR($B83="",$A83&lt;106),"",--MID('Key Analysis'!$C79,106,1))</f>
        <v/>
      </c>
      <c r="IK83" s="29" t="str">
        <f>IF(OR($B83="",$A83&lt;107),"",--MID('Key Analysis'!$C79,107,1))</f>
        <v/>
      </c>
      <c r="IL83" s="29" t="str">
        <f>IF(OR($B83="",$A83&lt;108),"",--MID('Key Analysis'!$C79,108,1))</f>
        <v/>
      </c>
      <c r="IM83" s="29" t="str">
        <f>IF(OR($B83="",$A83&lt;109),"",--MID('Key Analysis'!$C79,109,1))</f>
        <v/>
      </c>
      <c r="IN83" s="29" t="str">
        <f>IF(OR($B83="",$A83&lt;110),"",--MID('Key Analysis'!$C79,110,1))</f>
        <v/>
      </c>
      <c r="IO83" s="29" t="str">
        <f>IF(OR($B83="",$A83&lt;111),"",--MID('Key Analysis'!$C79,111,1))</f>
        <v/>
      </c>
      <c r="IP83" s="29" t="str">
        <f>IF(OR($B83="",$A83&lt;112),"",--MID('Key Analysis'!$C79,112,1))</f>
        <v/>
      </c>
      <c r="IQ83" s="29" t="str">
        <f>IF(OR($B83="",$A83&lt;113),"",--MID('Key Analysis'!$C79,113,1))</f>
        <v/>
      </c>
      <c r="IR83" s="29" t="str">
        <f>IF(OR($B83="",$A83&lt;114),"",--MID('Key Analysis'!$C79,114,1))</f>
        <v/>
      </c>
      <c r="IS83" s="29" t="str">
        <f>IF(OR($B83="",$A83&lt;115),"",--MID('Key Analysis'!$C79,115,1))</f>
        <v/>
      </c>
      <c r="IT83" s="29" t="str">
        <f>IF(OR($B83="",$A83&lt;116),"",--MID('Key Analysis'!$C79,116,1))</f>
        <v/>
      </c>
      <c r="IU83" s="29" t="str">
        <f>IF(OR($B83="",$A83&lt;117),"",--MID('Key Analysis'!$C79,117,1))</f>
        <v/>
      </c>
      <c r="IV83" s="29" t="str">
        <f>IF(OR($B83="",$A83&lt;118),"",--MID('Key Analysis'!$C79,118,1))</f>
        <v/>
      </c>
      <c r="IW83" s="29" t="str">
        <f>IF(OR($B83="",$A83&lt;119),"",--MID('Key Analysis'!$C79,119,1))</f>
        <v/>
      </c>
      <c r="IX83" s="29" t="str">
        <f>IF(OR($B83="",$A83&lt;120),"",--MID('Key Analysis'!$C79,120,1))</f>
        <v/>
      </c>
      <c r="IY83" s="29" t="str">
        <f>IF(OR($B83="",$A83&lt;121),"",--MID('Key Analysis'!$C79,121,1))</f>
        <v/>
      </c>
      <c r="IZ83" s="29" t="str">
        <f>IF(OR($B83="",$A83&lt;122),"",--MID('Key Analysis'!$C79,122,1))</f>
        <v/>
      </c>
      <c r="JA83" s="29" t="str">
        <f>IF(OR($B83="",$A83&lt;123),"",--MID('Key Analysis'!$C79,123,1))</f>
        <v/>
      </c>
      <c r="JB83" s="29" t="str">
        <f>IF(OR($B83="",$A83&lt;124),"",--MID('Key Analysis'!$C79,124,1))</f>
        <v/>
      </c>
      <c r="JC83" s="29" t="str">
        <f>IF(OR($B83="",$A83&lt;125),"",--MID('Key Analysis'!$C79,125,1))</f>
        <v/>
      </c>
      <c r="JD83" s="29" t="str">
        <f>IF(OR($B83="",$A83&lt;126),"",--MID('Key Analysis'!$C79,126,1))</f>
        <v/>
      </c>
      <c r="JE83" s="29" t="str">
        <f>IF(OR($B83="",$A83&lt;127),"",--MID('Key Analysis'!$C79,127,1))</f>
        <v/>
      </c>
      <c r="JF83" s="29" t="str">
        <f>IF(OR($B83="",$A83&lt;128),"",--MID('Key Analysis'!$C79,128,1))</f>
        <v/>
      </c>
      <c r="JG83" s="29" t="str">
        <f>IF(OR($B83="",$A83&lt;129),"",--MID('Key Analysis'!$C79,129,1))</f>
        <v/>
      </c>
      <c r="JH83" s="29" t="str">
        <f>IF(OR($B83="",$A83&lt;130),"",--MID('Key Analysis'!$C79,130,1))</f>
        <v/>
      </c>
      <c r="JI83" s="29" t="str">
        <f>IF(OR($B83="",$A83&lt;131),"",--MID('Key Analysis'!$C79,131,1))</f>
        <v/>
      </c>
      <c r="JJ83" s="29" t="str">
        <f>IF(OR($B83="",$A83&lt;132),"",--MID('Key Analysis'!$C79,132,1))</f>
        <v/>
      </c>
      <c r="JK83" s="29" t="str">
        <f>IF(OR($B83="",$A83&lt;133),"",--MID('Key Analysis'!$C79,133,1))</f>
        <v/>
      </c>
      <c r="JL83" s="29" t="str">
        <f>IF(OR($B83="",$A83&lt;134),"",--MID('Key Analysis'!$C79,134,1))</f>
        <v/>
      </c>
      <c r="JM83" s="29" t="str">
        <f>IF(OR($B83="",$A83&lt;135),"",--MID('Key Analysis'!$C79,135,1))</f>
        <v/>
      </c>
    </row>
    <row r="84" spans="1:273" x14ac:dyDescent="0.25">
      <c r="A84" s="21">
        <f>'Key Analysis'!A80</f>
        <v>79</v>
      </c>
      <c r="B84" s="30" t="str">
        <f>'Key Analysis'!B80</f>
        <v/>
      </c>
      <c r="C84" s="29" t="str">
        <f>IF(OR($B84="",$A84&lt;=0),"",--MID('Key Analysis'!$C80,$A84-0,1))</f>
        <v/>
      </c>
      <c r="D84" s="29" t="str">
        <f>IF(OR($B84="",$A84&lt;=1),"",--MID('Key Analysis'!$C80,$A84-1,1))</f>
        <v/>
      </c>
      <c r="E84" s="29" t="str">
        <f>IF(OR($B84="",$A84&lt;=2),"",--MID('Key Analysis'!$C80,$A84-2,1))</f>
        <v/>
      </c>
      <c r="F84" s="29" t="str">
        <f>IF(OR($B84="",$A84&lt;=3),"",--MID('Key Analysis'!$C80,$A84-3,1))</f>
        <v/>
      </c>
      <c r="G84" s="29" t="str">
        <f>IF(OR($B84="",$A84&lt;=4),"",--MID('Key Analysis'!$C80,$A84-4,1))</f>
        <v/>
      </c>
      <c r="H84" s="29" t="str">
        <f>IF(OR($B84="",$A84&lt;=5),"",--MID('Key Analysis'!$C80,$A84-5,1))</f>
        <v/>
      </c>
      <c r="I84" s="29" t="str">
        <f>IF(OR($B84="",$A84&lt;=6),"",--MID('Key Analysis'!$C80,$A84-6,1))</f>
        <v/>
      </c>
      <c r="J84" s="29" t="str">
        <f>IF(OR($B84="",$A84&lt;=7),"",--MID('Key Analysis'!$C80,$A84-7,1))</f>
        <v/>
      </c>
      <c r="K84" s="29" t="str">
        <f>IF(OR($B84="",$A84&lt;=8),"",--MID('Key Analysis'!$C80,$A84-8,1))</f>
        <v/>
      </c>
      <c r="L84" s="29" t="str">
        <f>IF(OR($B84="",$A84&lt;=9),"",--MID('Key Analysis'!$C80,$A84-9,1))</f>
        <v/>
      </c>
      <c r="M84" s="29" t="str">
        <f>IF(OR($B84="",$A84&lt;=10),"",--MID('Key Analysis'!$C80,$A84-10,1))</f>
        <v/>
      </c>
      <c r="N84" s="29" t="str">
        <f>IF(OR($B84="",$A84&lt;=11),"",--MID('Key Analysis'!$C80,$A84-11,1))</f>
        <v/>
      </c>
      <c r="O84" s="29" t="str">
        <f>IF(OR($B84="",$A84&lt;=12),"",--MID('Key Analysis'!$C80,$A84-12,1))</f>
        <v/>
      </c>
      <c r="P84" s="29" t="str">
        <f>IF(OR($B84="",$A84&lt;=13),"",--MID('Key Analysis'!$C80,$A84-13,1))</f>
        <v/>
      </c>
      <c r="Q84" s="29" t="str">
        <f>IF(OR($B84="",$A84&lt;=14),"",--MID('Key Analysis'!$C80,$A84-14,1))</f>
        <v/>
      </c>
      <c r="R84" s="29" t="str">
        <f>IF(OR($B84="",$A84&lt;=15),"",--MID('Key Analysis'!$C80,$A84-15,1))</f>
        <v/>
      </c>
      <c r="S84" s="29" t="str">
        <f>IF(OR($B84="",$A84&lt;=16),"",--MID('Key Analysis'!$C80,$A84-16,1))</f>
        <v/>
      </c>
      <c r="T84" s="29" t="str">
        <f>IF(OR($B84="",$A84&lt;=17),"",--MID('Key Analysis'!$C80,$A84-17,1))</f>
        <v/>
      </c>
      <c r="U84" s="29" t="str">
        <f>IF(OR($B84="",$A84&lt;=18),"",--MID('Key Analysis'!$C80,$A84-18,1))</f>
        <v/>
      </c>
      <c r="V84" s="29" t="str">
        <f>IF(OR($B84="",$A84&lt;=19),"",--MID('Key Analysis'!$C80,$A84-19,1))</f>
        <v/>
      </c>
      <c r="W84" s="29" t="str">
        <f>IF(OR($B84="",$A84&lt;=20),"",--MID('Key Analysis'!$C80,$A84-20,1))</f>
        <v/>
      </c>
      <c r="X84" s="29" t="str">
        <f>IF(OR($B84="",$A84&lt;=21),"",--MID('Key Analysis'!$C80,$A84-21,1))</f>
        <v/>
      </c>
      <c r="Y84" s="29" t="str">
        <f>IF(OR($B84="",$A84&lt;=22),"",--MID('Key Analysis'!$C80,$A84-22,1))</f>
        <v/>
      </c>
      <c r="Z84" s="29" t="str">
        <f>IF(OR($B84="",$A84&lt;=23),"",--MID('Key Analysis'!$C80,$A84-23,1))</f>
        <v/>
      </c>
      <c r="AA84" s="29" t="str">
        <f>IF(OR($B84="",$A84&lt;=24),"",--MID('Key Analysis'!$C80,$A84-24,1))</f>
        <v/>
      </c>
      <c r="AB84" s="29" t="str">
        <f>IF(OR($B84="",$A84&lt;=25),"",--MID('Key Analysis'!$C80,$A84-25,1))</f>
        <v/>
      </c>
      <c r="AC84" s="29" t="str">
        <f>IF(OR($B84="",$A84&lt;=26),"",--MID('Key Analysis'!$C80,$A84-26,1))</f>
        <v/>
      </c>
      <c r="AD84" s="29" t="str">
        <f>IF(OR($B84="",$A84&lt;=27),"",--MID('Key Analysis'!$C80,$A84-27,1))</f>
        <v/>
      </c>
      <c r="AE84" s="29" t="str">
        <f>IF(OR($B84="",$A84&lt;=28),"",--MID('Key Analysis'!$C80,$A84-28,1))</f>
        <v/>
      </c>
      <c r="AF84" s="29" t="str">
        <f>IF(OR($B84="",$A84&lt;=29),"",--MID('Key Analysis'!$C80,$A84-29,1))</f>
        <v/>
      </c>
      <c r="AG84" s="29" t="str">
        <f>IF(OR($B84="",$A84&lt;=30),"",--MID('Key Analysis'!$C80,$A84-30,1))</f>
        <v/>
      </c>
      <c r="AH84" s="29" t="str">
        <f>IF(OR($B84="",$A84&lt;=31),"",--MID('Key Analysis'!$C80,$A84-31,1))</f>
        <v/>
      </c>
      <c r="AI84" s="29" t="str">
        <f>IF(OR($B84="",$A84&lt;=32),"",--MID('Key Analysis'!$C80,$A84-32,1))</f>
        <v/>
      </c>
      <c r="AJ84" s="29" t="str">
        <f>IF(OR($B84="",$A84&lt;=33),"",--MID('Key Analysis'!$C80,$A84-33,1))</f>
        <v/>
      </c>
      <c r="AK84" s="29" t="str">
        <f>IF(OR($B84="",$A84&lt;=34),"",--MID('Key Analysis'!$C80,$A84-34,1))</f>
        <v/>
      </c>
      <c r="AL84" s="29" t="str">
        <f>IF(OR($B84="",$A84&lt;=35),"",--MID('Key Analysis'!$C80,$A84-35,1))</f>
        <v/>
      </c>
      <c r="AM84" s="29" t="str">
        <f>IF(OR($B84="",$A84&lt;=36),"",--MID('Key Analysis'!$C80,$A84-36,1))</f>
        <v/>
      </c>
      <c r="AN84" s="29" t="str">
        <f>IF(OR($B84="",$A84&lt;=37),"",--MID('Key Analysis'!$C80,$A84-37,1))</f>
        <v/>
      </c>
      <c r="AO84" s="29" t="str">
        <f>IF(OR($B84="",$A84&lt;=38),"",--MID('Key Analysis'!$C80,$A84-38,1))</f>
        <v/>
      </c>
      <c r="AP84" s="29" t="str">
        <f>IF(OR($B84="",$A84&lt;=39),"",--MID('Key Analysis'!$C80,$A84-39,1))</f>
        <v/>
      </c>
      <c r="AQ84" s="29" t="str">
        <f>IF(OR($B84="",$A84&lt;=40),"",--MID('Key Analysis'!$C80,$A84-40,1))</f>
        <v/>
      </c>
      <c r="AR84" s="29" t="str">
        <f>IF(OR($B84="",$A84&lt;=41),"",--MID('Key Analysis'!$C80,$A84-41,1))</f>
        <v/>
      </c>
      <c r="AS84" s="29" t="str">
        <f>IF(OR($B84="",$A84&lt;=42),"",--MID('Key Analysis'!$C80,$A84-42,1))</f>
        <v/>
      </c>
      <c r="AT84" s="29" t="str">
        <f>IF(OR($B84="",$A84&lt;=43),"",--MID('Key Analysis'!$C80,$A84-43,1))</f>
        <v/>
      </c>
      <c r="AU84" s="29" t="str">
        <f>IF(OR($B84="",$A84&lt;=44),"",--MID('Key Analysis'!$C80,$A84-44,1))</f>
        <v/>
      </c>
      <c r="AV84" s="29" t="str">
        <f>IF(OR($B84="",$A84&lt;=45),"",--MID('Key Analysis'!$C80,$A84-45,1))</f>
        <v/>
      </c>
      <c r="AW84" s="29" t="str">
        <f>IF(OR($B84="",$A84&lt;=46),"",--MID('Key Analysis'!$C80,$A84-46,1))</f>
        <v/>
      </c>
      <c r="AX84" s="29" t="str">
        <f>IF(OR($B84="",$A84&lt;=47),"",--MID('Key Analysis'!$C80,$A84-47,1))</f>
        <v/>
      </c>
      <c r="AY84" s="29" t="str">
        <f>IF(OR($B84="",$A84&lt;=48),"",--MID('Key Analysis'!$C80,$A84-48,1))</f>
        <v/>
      </c>
      <c r="AZ84" s="29" t="str">
        <f>IF(OR($B84="",$A84&lt;=49),"",--MID('Key Analysis'!$C80,$A84-49,1))</f>
        <v/>
      </c>
      <c r="BA84" s="29" t="str">
        <f>IF(OR($B84="",$A84&lt;=50),"",--MID('Key Analysis'!$C80,$A84-50,1))</f>
        <v/>
      </c>
      <c r="BB84" s="29" t="str">
        <f>IF(OR($B84="",$A84&lt;=51),"",--MID('Key Analysis'!$C80,$A84-51,1))</f>
        <v/>
      </c>
      <c r="BC84" s="29" t="str">
        <f>IF(OR($B84="",$A84&lt;=52),"",--MID('Key Analysis'!$C80,$A84-52,1))</f>
        <v/>
      </c>
      <c r="BD84" s="29" t="str">
        <f>IF(OR($B84="",$A84&lt;=53),"",--MID('Key Analysis'!$C80,$A84-53,1))</f>
        <v/>
      </c>
      <c r="BE84" s="29" t="str">
        <f>IF(OR($B84="",$A84&lt;=54),"",--MID('Key Analysis'!$C80,$A84-54,1))</f>
        <v/>
      </c>
      <c r="BF84" s="29" t="str">
        <f>IF(OR($B84="",$A84&lt;=55),"",--MID('Key Analysis'!$C80,$A84-55,1))</f>
        <v/>
      </c>
      <c r="BG84" s="29" t="str">
        <f>IF(OR($B84="",$A84&lt;=56),"",--MID('Key Analysis'!$C80,$A84-56,1))</f>
        <v/>
      </c>
      <c r="BH84" s="29" t="str">
        <f>IF(OR($B84="",$A84&lt;=57),"",--MID('Key Analysis'!$C80,$A84-57,1))</f>
        <v/>
      </c>
      <c r="BI84" s="29" t="str">
        <f>IF(OR($B84="",$A84&lt;=58),"",--MID('Key Analysis'!$C80,$A84-58,1))</f>
        <v/>
      </c>
      <c r="BJ84" s="29" t="str">
        <f>IF(OR($B84="",$A84&lt;=59),"",--MID('Key Analysis'!$C80,$A84-59,1))</f>
        <v/>
      </c>
      <c r="BK84" s="29" t="str">
        <f>IF(OR($B84="",$A84&lt;=60),"",--MID('Key Analysis'!$C80,$A84-60,1))</f>
        <v/>
      </c>
      <c r="BL84" s="29" t="str">
        <f>IF(OR($B84="",$A84&lt;=61),"",--MID('Key Analysis'!$C80,$A84-61,1))</f>
        <v/>
      </c>
      <c r="BM84" s="29" t="str">
        <f>IF(OR($B84="",$A84&lt;=62),"",--MID('Key Analysis'!$C80,$A84-62,1))</f>
        <v/>
      </c>
      <c r="BN84" s="29" t="str">
        <f>IF(OR($B84="",$A84&lt;=63),"",--MID('Key Analysis'!$C80,$A84-63,1))</f>
        <v/>
      </c>
      <c r="BO84" s="29" t="str">
        <f>IF(OR($B84="",$A84&lt;=64),"",--MID('Key Analysis'!$C80,$A84-64,1))</f>
        <v/>
      </c>
      <c r="BP84" s="29" t="str">
        <f>IF(OR($B84="",$A84&lt;=65),"",--MID('Key Analysis'!$C80,$A84-65,1))</f>
        <v/>
      </c>
      <c r="BQ84" s="29" t="str">
        <f>IF(OR($B84="",$A84&lt;=66),"",--MID('Key Analysis'!$C80,$A84-66,1))</f>
        <v/>
      </c>
      <c r="BR84" s="29" t="str">
        <f>IF(OR($B84="",$A84&lt;=67),"",--MID('Key Analysis'!$C80,$A84-67,1))</f>
        <v/>
      </c>
      <c r="BS84" s="29" t="str">
        <f>IF(OR($B84="",$A84&lt;=68),"",--MID('Key Analysis'!$C80,$A84-68,1))</f>
        <v/>
      </c>
      <c r="BT84" s="29" t="str">
        <f>IF(OR($B84="",$A84&lt;=69),"",--MID('Key Analysis'!$C80,$A84-69,1))</f>
        <v/>
      </c>
      <c r="BU84" s="29" t="str">
        <f>IF(OR($B84="",$A84&lt;=70),"",--MID('Key Analysis'!$C80,$A84-70,1))</f>
        <v/>
      </c>
      <c r="BV84" s="29" t="str">
        <f>IF(OR($B84="",$A84&lt;=71),"",--MID('Key Analysis'!$C80,$A84-71,1))</f>
        <v/>
      </c>
      <c r="BW84" s="29" t="str">
        <f>IF(OR($B84="",$A84&lt;=72),"",--MID('Key Analysis'!$C80,$A84-72,1))</f>
        <v/>
      </c>
      <c r="BX84" s="29" t="str">
        <f>IF(OR($B84="",$A84&lt;=73),"",--MID('Key Analysis'!$C80,$A84-73,1))</f>
        <v/>
      </c>
      <c r="BY84" s="29" t="str">
        <f>IF(OR($B84="",$A84&lt;=74),"",--MID('Key Analysis'!$C80,$A84-74,1))</f>
        <v/>
      </c>
      <c r="BZ84" s="29" t="str">
        <f>IF(OR($B84="",$A84&lt;=75),"",--MID('Key Analysis'!$C80,$A84-75,1))</f>
        <v/>
      </c>
      <c r="CA84" s="29" t="str">
        <f>IF(OR($B84="",$A84&lt;=76),"",--MID('Key Analysis'!$C80,$A84-76,1))</f>
        <v/>
      </c>
      <c r="CB84" s="29" t="str">
        <f>IF(OR($B84="",$A84&lt;=77),"",--MID('Key Analysis'!$C80,$A84-77,1))</f>
        <v/>
      </c>
      <c r="CC84" s="29" t="str">
        <f>IF(OR($B84="",$A84&lt;=78),"",--MID('Key Analysis'!$C80,$A84-78,1))</f>
        <v/>
      </c>
      <c r="CD84" s="29" t="str">
        <f>IF(OR($B84="",$A84&lt;=79),"",--MID('Key Analysis'!$C80,$A84-79,1))</f>
        <v/>
      </c>
      <c r="CE84" s="29" t="str">
        <f>IF(OR($B84="",$A84&lt;=80),"",--MID('Key Analysis'!$C80,$A84-80,1))</f>
        <v/>
      </c>
      <c r="CF84" s="29" t="str">
        <f>IF(OR($B84="",$A84&lt;=81),"",--MID('Key Analysis'!$C80,$A84-81,1))</f>
        <v/>
      </c>
      <c r="CG84" s="29" t="str">
        <f>IF(OR($B84="",$A84&lt;=82),"",--MID('Key Analysis'!$C80,$A84-82,1))</f>
        <v/>
      </c>
      <c r="CH84" s="29" t="str">
        <f>IF(OR($B84="",$A84&lt;=83),"",--MID('Key Analysis'!$C80,$A84-83,1))</f>
        <v/>
      </c>
      <c r="CI84" s="29" t="str">
        <f>IF(OR($B84="",$A84&lt;=84),"",--MID('Key Analysis'!$C80,$A84-84,1))</f>
        <v/>
      </c>
      <c r="CJ84" s="29" t="str">
        <f>IF(OR($B84="",$A84&lt;=85),"",--MID('Key Analysis'!$C80,$A84-85,1))</f>
        <v/>
      </c>
      <c r="CK84" s="29" t="str">
        <f>IF(OR($B84="",$A84&lt;=86),"",--MID('Key Analysis'!$C80,$A84-86,1))</f>
        <v/>
      </c>
      <c r="CL84" s="29" t="str">
        <f>IF(OR($B84="",$A84&lt;=87),"",--MID('Key Analysis'!$C80,$A84-87,1))</f>
        <v/>
      </c>
      <c r="CM84" s="29" t="str">
        <f>IF(OR($B84="",$A84&lt;=88),"",--MID('Key Analysis'!$C80,$A84-88,1))</f>
        <v/>
      </c>
      <c r="CN84" s="29" t="str">
        <f>IF(OR($B84="",$A84&lt;=89),"",--MID('Key Analysis'!$C80,$A84-89,1))</f>
        <v/>
      </c>
      <c r="CO84" s="29" t="str">
        <f>IF(OR($B84="",$A84&lt;=90),"",--MID('Key Analysis'!$C80,$A84-90,1))</f>
        <v/>
      </c>
      <c r="CP84" s="29" t="str">
        <f>IF(OR($B84="",$A84&lt;=91),"",--MID('Key Analysis'!$C80,$A84-91,1))</f>
        <v/>
      </c>
      <c r="CQ84" s="29" t="str">
        <f>IF(OR($B84="",$A84&lt;=92),"",--MID('Key Analysis'!$C80,$A84-92,1))</f>
        <v/>
      </c>
      <c r="CR84" s="29" t="str">
        <f>IF(OR($B84="",$A84&lt;=93),"",--MID('Key Analysis'!$C80,$A84-93,1))</f>
        <v/>
      </c>
      <c r="CS84" s="29" t="str">
        <f>IF(OR($B84="",$A84&lt;=94),"",--MID('Key Analysis'!$C80,$A84-94,1))</f>
        <v/>
      </c>
      <c r="CT84" s="29" t="str">
        <f>IF(OR($B84="",$A84&lt;=95),"",--MID('Key Analysis'!$C80,$A84-95,1))</f>
        <v/>
      </c>
      <c r="CU84" s="29" t="str">
        <f>IF(OR($B84="",$A84&lt;=96),"",--MID('Key Analysis'!$C80,$A84-96,1))</f>
        <v/>
      </c>
      <c r="CV84" s="29" t="str">
        <f>IF(OR($B84="",$A84&lt;=97),"",--MID('Key Analysis'!$C80,$A84-97,1))</f>
        <v/>
      </c>
      <c r="CW84" s="29" t="str">
        <f>IF(OR($B84="",$A84&lt;=98),"",--MID('Key Analysis'!$C80,$A84-98,1))</f>
        <v/>
      </c>
      <c r="CX84" s="29" t="str">
        <f>IF(OR($B84="",$A84&lt;=99),"",--MID('Key Analysis'!$C80,$A84-99,1))</f>
        <v/>
      </c>
      <c r="CY84" s="29" t="str">
        <f>IF(OR($B84="",$A84&lt;=100),"",--MID('Key Analysis'!$C80,$A84-100,1))</f>
        <v/>
      </c>
      <c r="CZ84" s="29" t="str">
        <f>IF(OR($B84="",$A84&lt;=101),"",--MID('Key Analysis'!$C80,$A84-101,1))</f>
        <v/>
      </c>
      <c r="DA84" s="29" t="str">
        <f>IF(OR($B84="",$A84&lt;=102),"",--MID('Key Analysis'!$C80,$A84-102,1))</f>
        <v/>
      </c>
      <c r="DB84" s="29" t="str">
        <f>IF(OR($B84="",$A84&lt;=103),"",--MID('Key Analysis'!$C80,$A84-103,1))</f>
        <v/>
      </c>
      <c r="DC84" s="29" t="str">
        <f>IF(OR($B84="",$A84&lt;=104),"",--MID('Key Analysis'!$C80,$A84-104,1))</f>
        <v/>
      </c>
      <c r="DD84" s="29" t="str">
        <f>IF(OR($B84="",$A84&lt;=105),"",--MID('Key Analysis'!$C80,$A84-105,1))</f>
        <v/>
      </c>
      <c r="DE84" s="29" t="str">
        <f>IF(OR($B84="",$A84&lt;=106),"",--MID('Key Analysis'!$C80,$A84-106,1))</f>
        <v/>
      </c>
      <c r="DF84" s="29" t="str">
        <f>IF(OR($B84="",$A84&lt;=107),"",--MID('Key Analysis'!$C80,$A84-107,1))</f>
        <v/>
      </c>
      <c r="DG84" s="29" t="str">
        <f>IF(OR($B84="",$A84&lt;=108),"",--MID('Key Analysis'!$C80,$A84-108,1))</f>
        <v/>
      </c>
      <c r="DH84" s="29" t="str">
        <f>IF(OR($B84="",$A84&lt;=109),"",--MID('Key Analysis'!$C80,$A84-109,1))</f>
        <v/>
      </c>
      <c r="DI84" s="29" t="str">
        <f>IF(OR($B84="",$A84&lt;=110),"",--MID('Key Analysis'!$C80,$A84-110,1))</f>
        <v/>
      </c>
      <c r="DJ84" s="29" t="str">
        <f>IF(OR($B84="",$A84&lt;=111),"",--MID('Key Analysis'!$C80,$A84-111,1))</f>
        <v/>
      </c>
      <c r="DK84" s="29" t="str">
        <f>IF(OR($B84="",$A84&lt;=112),"",--MID('Key Analysis'!$C80,$A84-112,1))</f>
        <v/>
      </c>
      <c r="DL84" s="29" t="str">
        <f>IF(OR($B84="",$A84&lt;=113),"",--MID('Key Analysis'!$C80,$A84-113,1))</f>
        <v/>
      </c>
      <c r="DM84" s="29" t="str">
        <f>IF(OR($B84="",$A84&lt;=114),"",--MID('Key Analysis'!$C80,$A84-114,1))</f>
        <v/>
      </c>
      <c r="DN84" s="29" t="str">
        <f>IF(OR($B84="",$A84&lt;=115),"",--MID('Key Analysis'!$C80,$A84-115,1))</f>
        <v/>
      </c>
      <c r="DO84" s="29" t="str">
        <f>IF(OR($B84="",$A84&lt;=116),"",--MID('Key Analysis'!$C80,$A84-116,1))</f>
        <v/>
      </c>
      <c r="DP84" s="29" t="str">
        <f>IF(OR($B84="",$A84&lt;=117),"",--MID('Key Analysis'!$C80,$A84-117,1))</f>
        <v/>
      </c>
      <c r="DQ84" s="29" t="str">
        <f>IF(OR($B84="",$A84&lt;=118),"",--MID('Key Analysis'!$C80,$A84-118,1))</f>
        <v/>
      </c>
      <c r="DR84" s="29" t="str">
        <f>IF(OR($B84="",$A84&lt;=119),"",--MID('Key Analysis'!$C80,$A84-119,1))</f>
        <v/>
      </c>
      <c r="DS84" s="29" t="str">
        <f>IF(OR($B84="",$A84&lt;=120),"",--MID('Key Analysis'!$C80,$A84-120,1))</f>
        <v/>
      </c>
      <c r="DT84" s="29" t="str">
        <f>IF(OR($B84="",$A84&lt;=121),"",--MID('Key Analysis'!$C80,$A84-121,1))</f>
        <v/>
      </c>
      <c r="DU84" s="29" t="str">
        <f>IF(OR($B84="",$A84&lt;=122),"",--MID('Key Analysis'!$C80,$A84-122,1))</f>
        <v/>
      </c>
      <c r="DV84" s="29" t="str">
        <f>IF(OR($B84="",$A84&lt;=123),"",--MID('Key Analysis'!$C80,$A84-123,1))</f>
        <v/>
      </c>
      <c r="DW84" s="29" t="str">
        <f>IF(OR($B84="",$A84&lt;=124),"",--MID('Key Analysis'!$C80,$A84-124,1))</f>
        <v/>
      </c>
      <c r="DX84" s="29" t="str">
        <f>IF(OR($B84="",$A84&lt;=125),"",--MID('Key Analysis'!$C80,$A84-125,1))</f>
        <v/>
      </c>
      <c r="DY84" s="29" t="str">
        <f>IF(OR($B84="",$A84&lt;=126),"",--MID('Key Analysis'!$C80,$A84-126,1))</f>
        <v/>
      </c>
      <c r="DZ84" s="29" t="str">
        <f>IF(OR($B84="",$A84&lt;=127),"",--MID('Key Analysis'!$C80,$A84-127,1))</f>
        <v/>
      </c>
      <c r="EA84" s="29" t="str">
        <f>IF(OR($B84="",$A84&lt;=128),"",--MID('Key Analysis'!$C80,$A84-128,1))</f>
        <v/>
      </c>
      <c r="EB84" s="29" t="str">
        <f>IF(OR($B84="",$A84&lt;=129),"",--MID('Key Analysis'!$C80,$A84-129,1))</f>
        <v/>
      </c>
      <c r="EC84" s="29" t="str">
        <f>IF(OR($B84="",$A84&lt;=130),"",--MID('Key Analysis'!$C80,$A84-130,1))</f>
        <v/>
      </c>
      <c r="ED84" s="29" t="str">
        <f>IF(OR($B84="",$A84&lt;=131),"",--MID('Key Analysis'!$C80,$A84-131,1))</f>
        <v/>
      </c>
      <c r="EE84" s="29" t="str">
        <f>IF(OR($B84="",$A84&lt;=132),"",--MID('Key Analysis'!$C80,$A84-132,1))</f>
        <v/>
      </c>
      <c r="EF84" s="29" t="str">
        <f>IF(OR($B84="",$A84&lt;=133),"",--MID('Key Analysis'!$C80,$A84-133,1))</f>
        <v/>
      </c>
      <c r="EG84" s="29" t="str">
        <f>IF(OR($B84="",$A84&lt;=134),"",--MID('Key Analysis'!$C80,$A84-134,1))</f>
        <v/>
      </c>
      <c r="EH84" s="29"/>
      <c r="EI84" s="29" t="str">
        <f>IF(OR($B84="",$A84&lt;1),"",--MID('Key Analysis'!$C80,1,1))</f>
        <v/>
      </c>
      <c r="EJ84" s="29" t="str">
        <f>IF(OR($B84="",$A84&lt;2),"",--MID('Key Analysis'!$C80,2,1))</f>
        <v/>
      </c>
      <c r="EK84" s="29" t="str">
        <f>IF(OR($B84="",$A84&lt;3),"",--MID('Key Analysis'!$C80,3,1))</f>
        <v/>
      </c>
      <c r="EL84" s="29" t="str">
        <f>IF(OR($B84="",$A84&lt;4),"",--MID('Key Analysis'!$C80,4,1))</f>
        <v/>
      </c>
      <c r="EM84" s="29" t="str">
        <f>IF(OR($B84="",$A84&lt;5),"",--MID('Key Analysis'!$C80,5,1))</f>
        <v/>
      </c>
      <c r="EN84" s="29" t="str">
        <f>IF(OR($B84="",$A84&lt;6),"",--MID('Key Analysis'!$C80,6,1))</f>
        <v/>
      </c>
      <c r="EO84" s="29" t="str">
        <f>IF(OR($B84="",$A84&lt;7),"",--MID('Key Analysis'!$C80,7,1))</f>
        <v/>
      </c>
      <c r="EP84" s="29" t="str">
        <f>IF(OR($B84="",$A84&lt;8),"",--MID('Key Analysis'!$C80,8,1))</f>
        <v/>
      </c>
      <c r="EQ84" s="29" t="str">
        <f>IF(OR($B84="",$A84&lt;9),"",--MID('Key Analysis'!$C80,9,1))</f>
        <v/>
      </c>
      <c r="ER84" s="29" t="str">
        <f>IF(OR($B84="",$A84&lt;10),"",--MID('Key Analysis'!$C80,10,1))</f>
        <v/>
      </c>
      <c r="ES84" s="29" t="str">
        <f>IF(OR($B84="",$A84&lt;11),"",--MID('Key Analysis'!$C80,11,1))</f>
        <v/>
      </c>
      <c r="ET84" s="29" t="str">
        <f>IF(OR($B84="",$A84&lt;12),"",--MID('Key Analysis'!$C80,12,1))</f>
        <v/>
      </c>
      <c r="EU84" s="29" t="str">
        <f>IF(OR($B84="",$A84&lt;13),"",--MID('Key Analysis'!$C80,13,1))</f>
        <v/>
      </c>
      <c r="EV84" s="29" t="str">
        <f>IF(OR($B84="",$A84&lt;14),"",--MID('Key Analysis'!$C80,14,1))</f>
        <v/>
      </c>
      <c r="EW84" s="29" t="str">
        <f>IF(OR($B84="",$A84&lt;15),"",--MID('Key Analysis'!$C80,15,1))</f>
        <v/>
      </c>
      <c r="EX84" s="29" t="str">
        <f>IF(OR($B84="",$A84&lt;16),"",--MID('Key Analysis'!$C80,16,1))</f>
        <v/>
      </c>
      <c r="EY84" s="29" t="str">
        <f>IF(OR($B84="",$A84&lt;17),"",--MID('Key Analysis'!$C80,17,1))</f>
        <v/>
      </c>
      <c r="EZ84" s="29" t="str">
        <f>IF(OR($B84="",$A84&lt;18),"",--MID('Key Analysis'!$C80,18,1))</f>
        <v/>
      </c>
      <c r="FA84" s="29" t="str">
        <f>IF(OR($B84="",$A84&lt;19),"",--MID('Key Analysis'!$C80,19,1))</f>
        <v/>
      </c>
      <c r="FB84" s="29" t="str">
        <f>IF(OR($B84="",$A84&lt;20),"",--MID('Key Analysis'!$C80,20,1))</f>
        <v/>
      </c>
      <c r="FC84" s="29" t="str">
        <f>IF(OR($B84="",$A84&lt;21),"",--MID('Key Analysis'!$C80,21,1))</f>
        <v/>
      </c>
      <c r="FD84" s="29" t="str">
        <f>IF(OR($B84="",$A84&lt;22),"",--MID('Key Analysis'!$C80,22,1))</f>
        <v/>
      </c>
      <c r="FE84" s="29" t="str">
        <f>IF(OR($B84="",$A84&lt;23),"",--MID('Key Analysis'!$C80,23,1))</f>
        <v/>
      </c>
      <c r="FF84" s="29" t="str">
        <f>IF(OR($B84="",$A84&lt;24),"",--MID('Key Analysis'!$C80,24,1))</f>
        <v/>
      </c>
      <c r="FG84" s="29" t="str">
        <f>IF(OR($B84="",$A84&lt;25),"",--MID('Key Analysis'!$C80,25,1))</f>
        <v/>
      </c>
      <c r="FH84" s="29" t="str">
        <f>IF(OR($B84="",$A84&lt;26),"",--MID('Key Analysis'!$C80,26,1))</f>
        <v/>
      </c>
      <c r="FI84" s="29" t="str">
        <f>IF(OR($B84="",$A84&lt;27),"",--MID('Key Analysis'!$C80,27,1))</f>
        <v/>
      </c>
      <c r="FJ84" s="29" t="str">
        <f>IF(OR($B84="",$A84&lt;28),"",--MID('Key Analysis'!$C80,28,1))</f>
        <v/>
      </c>
      <c r="FK84" s="29" t="str">
        <f>IF(OR($B84="",$A84&lt;29),"",--MID('Key Analysis'!$C80,29,1))</f>
        <v/>
      </c>
      <c r="FL84" s="29" t="str">
        <f>IF(OR($B84="",$A84&lt;30),"",--MID('Key Analysis'!$C80,30,1))</f>
        <v/>
      </c>
      <c r="FM84" s="29" t="str">
        <f>IF(OR($B84="",$A84&lt;31),"",--MID('Key Analysis'!$C80,31,1))</f>
        <v/>
      </c>
      <c r="FN84" s="29" t="str">
        <f>IF(OR($B84="",$A84&lt;32),"",--MID('Key Analysis'!$C80,32,1))</f>
        <v/>
      </c>
      <c r="FO84" s="29" t="str">
        <f>IF(OR($B84="",$A84&lt;33),"",--MID('Key Analysis'!$C80,33,1))</f>
        <v/>
      </c>
      <c r="FP84" s="29" t="str">
        <f>IF(OR($B84="",$A84&lt;34),"",--MID('Key Analysis'!$C80,34,1))</f>
        <v/>
      </c>
      <c r="FQ84" s="29" t="str">
        <f>IF(OR($B84="",$A84&lt;35),"",--MID('Key Analysis'!$C80,35,1))</f>
        <v/>
      </c>
      <c r="FR84" s="29" t="str">
        <f>IF(OR($B84="",$A84&lt;36),"",--MID('Key Analysis'!$C80,36,1))</f>
        <v/>
      </c>
      <c r="FS84" s="29" t="str">
        <f>IF(OR($B84="",$A84&lt;37),"",--MID('Key Analysis'!$C80,37,1))</f>
        <v/>
      </c>
      <c r="FT84" s="29" t="str">
        <f>IF(OR($B84="",$A84&lt;38),"",--MID('Key Analysis'!$C80,38,1))</f>
        <v/>
      </c>
      <c r="FU84" s="29" t="str">
        <f>IF(OR($B84="",$A84&lt;39),"",--MID('Key Analysis'!$C80,39,1))</f>
        <v/>
      </c>
      <c r="FV84" s="29" t="str">
        <f>IF(OR($B84="",$A84&lt;40),"",--MID('Key Analysis'!$C80,40,1))</f>
        <v/>
      </c>
      <c r="FW84" s="29" t="str">
        <f>IF(OR($B84="",$A84&lt;41),"",--MID('Key Analysis'!$C80,41,1))</f>
        <v/>
      </c>
      <c r="FX84" s="29" t="str">
        <f>IF(OR($B84="",$A84&lt;42),"",--MID('Key Analysis'!$C80,42,1))</f>
        <v/>
      </c>
      <c r="FY84" s="29" t="str">
        <f>IF(OR($B84="",$A84&lt;43),"",--MID('Key Analysis'!$C80,43,1))</f>
        <v/>
      </c>
      <c r="FZ84" s="29" t="str">
        <f>IF(OR($B84="",$A84&lt;44),"",--MID('Key Analysis'!$C80,44,1))</f>
        <v/>
      </c>
      <c r="GA84" s="29" t="str">
        <f>IF(OR($B84="",$A84&lt;45),"",--MID('Key Analysis'!$C80,45,1))</f>
        <v/>
      </c>
      <c r="GB84" s="29" t="str">
        <f>IF(OR($B84="",$A84&lt;46),"",--MID('Key Analysis'!$C80,46,1))</f>
        <v/>
      </c>
      <c r="GC84" s="29" t="str">
        <f>IF(OR($B84="",$A84&lt;47),"",--MID('Key Analysis'!$C80,47,1))</f>
        <v/>
      </c>
      <c r="GD84" s="29" t="str">
        <f>IF(OR($B84="",$A84&lt;48),"",--MID('Key Analysis'!$C80,48,1))</f>
        <v/>
      </c>
      <c r="GE84" s="29" t="str">
        <f>IF(OR($B84="",$A84&lt;49),"",--MID('Key Analysis'!$C80,49,1))</f>
        <v/>
      </c>
      <c r="GF84" s="29" t="str">
        <f>IF(OR($B84="",$A84&lt;50),"",--MID('Key Analysis'!$C80,50,1))</f>
        <v/>
      </c>
      <c r="GG84" s="29" t="str">
        <f>IF(OR($B84="",$A84&lt;51),"",--MID('Key Analysis'!$C80,51,1))</f>
        <v/>
      </c>
      <c r="GH84" s="29" t="str">
        <f>IF(OR($B84="",$A84&lt;52),"",--MID('Key Analysis'!$C80,52,1))</f>
        <v/>
      </c>
      <c r="GI84" s="29" t="str">
        <f>IF(OR($B84="",$A84&lt;53),"",--MID('Key Analysis'!$C80,53,1))</f>
        <v/>
      </c>
      <c r="GJ84" s="29" t="str">
        <f>IF(OR($B84="",$A84&lt;54),"",--MID('Key Analysis'!$C80,54,1))</f>
        <v/>
      </c>
      <c r="GK84" s="29" t="str">
        <f>IF(OR($B84="",$A84&lt;55),"",--MID('Key Analysis'!$C80,55,1))</f>
        <v/>
      </c>
      <c r="GL84" s="29" t="str">
        <f>IF(OR($B84="",$A84&lt;56),"",--MID('Key Analysis'!$C80,56,1))</f>
        <v/>
      </c>
      <c r="GM84" s="29" t="str">
        <f>IF(OR($B84="",$A84&lt;57),"",--MID('Key Analysis'!$C80,57,1))</f>
        <v/>
      </c>
      <c r="GN84" s="29" t="str">
        <f>IF(OR($B84="",$A84&lt;58),"",--MID('Key Analysis'!$C80,58,1))</f>
        <v/>
      </c>
      <c r="GO84" s="29" t="str">
        <f>IF(OR($B84="",$A84&lt;59),"",--MID('Key Analysis'!$C80,59,1))</f>
        <v/>
      </c>
      <c r="GP84" s="29" t="str">
        <f>IF(OR($B84="",$A84&lt;60),"",--MID('Key Analysis'!$C80,60,1))</f>
        <v/>
      </c>
      <c r="GQ84" s="29" t="str">
        <f>IF(OR($B84="",$A84&lt;61),"",--MID('Key Analysis'!$C80,61,1))</f>
        <v/>
      </c>
      <c r="GR84" s="29" t="str">
        <f>IF(OR($B84="",$A84&lt;62),"",--MID('Key Analysis'!$C80,62,1))</f>
        <v/>
      </c>
      <c r="GS84" s="29" t="str">
        <f>IF(OR($B84="",$A84&lt;63),"",--MID('Key Analysis'!$C80,63,1))</f>
        <v/>
      </c>
      <c r="GT84" s="29" t="str">
        <f>IF(OR($B84="",$A84&lt;64),"",--MID('Key Analysis'!$C80,64,1))</f>
        <v/>
      </c>
      <c r="GU84" s="29" t="str">
        <f>IF(OR($B84="",$A84&lt;65),"",--MID('Key Analysis'!$C80,65,1))</f>
        <v/>
      </c>
      <c r="GV84" s="29" t="str">
        <f>IF(OR($B84="",$A84&lt;66),"",--MID('Key Analysis'!$C80,66,1))</f>
        <v/>
      </c>
      <c r="GW84" s="29" t="str">
        <f>IF(OR($B84="",$A84&lt;67),"",--MID('Key Analysis'!$C80,67,1))</f>
        <v/>
      </c>
      <c r="GX84" s="29" t="str">
        <f>IF(OR($B84="",$A84&lt;68),"",--MID('Key Analysis'!$C80,68,1))</f>
        <v/>
      </c>
      <c r="GY84" s="29" t="str">
        <f>IF(OR($B84="",$A84&lt;69),"",--MID('Key Analysis'!$C80,69,1))</f>
        <v/>
      </c>
      <c r="GZ84" s="29" t="str">
        <f>IF(OR($B84="",$A84&lt;70),"",--MID('Key Analysis'!$C80,70,1))</f>
        <v/>
      </c>
      <c r="HA84" s="29" t="str">
        <f>IF(OR($B84="",$A84&lt;71),"",--MID('Key Analysis'!$C80,71,1))</f>
        <v/>
      </c>
      <c r="HB84" s="29" t="str">
        <f>IF(OR($B84="",$A84&lt;72),"",--MID('Key Analysis'!$C80,72,1))</f>
        <v/>
      </c>
      <c r="HC84" s="29" t="str">
        <f>IF(OR($B84="",$A84&lt;73),"",--MID('Key Analysis'!$C80,73,1))</f>
        <v/>
      </c>
      <c r="HD84" s="29" t="str">
        <f>IF(OR($B84="",$A84&lt;74),"",--MID('Key Analysis'!$C80,74,1))</f>
        <v/>
      </c>
      <c r="HE84" s="29" t="str">
        <f>IF(OR($B84="",$A84&lt;75),"",--MID('Key Analysis'!$C80,75,1))</f>
        <v/>
      </c>
      <c r="HF84" s="29" t="str">
        <f>IF(OR($B84="",$A84&lt;76),"",--MID('Key Analysis'!$C80,76,1))</f>
        <v/>
      </c>
      <c r="HG84" s="29" t="str">
        <f>IF(OR($B84="",$A84&lt;77),"",--MID('Key Analysis'!$C80,77,1))</f>
        <v/>
      </c>
      <c r="HH84" s="29" t="str">
        <f>IF(OR($B84="",$A84&lt;78),"",--MID('Key Analysis'!$C80,78,1))</f>
        <v/>
      </c>
      <c r="HI84" s="29" t="str">
        <f>IF(OR($B84="",$A84&lt;79),"",--MID('Key Analysis'!$C80,79,1))</f>
        <v/>
      </c>
      <c r="HJ84" s="29" t="str">
        <f>IF(OR($B84="",$A84&lt;80),"",--MID('Key Analysis'!$C80,80,1))</f>
        <v/>
      </c>
      <c r="HK84" s="29" t="str">
        <f>IF(OR($B84="",$A84&lt;81),"",--MID('Key Analysis'!$C80,81,1))</f>
        <v/>
      </c>
      <c r="HL84" s="29" t="str">
        <f>IF(OR($B84="",$A84&lt;82),"",--MID('Key Analysis'!$C80,82,1))</f>
        <v/>
      </c>
      <c r="HM84" s="29" t="str">
        <f>IF(OR($B84="",$A84&lt;83),"",--MID('Key Analysis'!$C80,83,1))</f>
        <v/>
      </c>
      <c r="HN84" s="29" t="str">
        <f>IF(OR($B84="",$A84&lt;84),"",--MID('Key Analysis'!$C80,84,1))</f>
        <v/>
      </c>
      <c r="HO84" s="29" t="str">
        <f>IF(OR($B84="",$A84&lt;85),"",--MID('Key Analysis'!$C80,85,1))</f>
        <v/>
      </c>
      <c r="HP84" s="29" t="str">
        <f>IF(OR($B84="",$A84&lt;86),"",--MID('Key Analysis'!$C80,86,1))</f>
        <v/>
      </c>
      <c r="HQ84" s="29" t="str">
        <f>IF(OR($B84="",$A84&lt;87),"",--MID('Key Analysis'!$C80,87,1))</f>
        <v/>
      </c>
      <c r="HR84" s="29" t="str">
        <f>IF(OR($B84="",$A84&lt;88),"",--MID('Key Analysis'!$C80,88,1))</f>
        <v/>
      </c>
      <c r="HS84" s="29" t="str">
        <f>IF(OR($B84="",$A84&lt;89),"",--MID('Key Analysis'!$C80,89,1))</f>
        <v/>
      </c>
      <c r="HT84" s="29" t="str">
        <f>IF(OR($B84="",$A84&lt;90),"",--MID('Key Analysis'!$C80,90,1))</f>
        <v/>
      </c>
      <c r="HU84" s="29" t="str">
        <f>IF(OR($B84="",$A84&lt;91),"",--MID('Key Analysis'!$C80,91,1))</f>
        <v/>
      </c>
      <c r="HV84" s="29" t="str">
        <f>IF(OR($B84="",$A84&lt;92),"",--MID('Key Analysis'!$C80,92,1))</f>
        <v/>
      </c>
      <c r="HW84" s="29" t="str">
        <f>IF(OR($B84="",$A84&lt;93),"",--MID('Key Analysis'!$C80,93,1))</f>
        <v/>
      </c>
      <c r="HX84" s="29" t="str">
        <f>IF(OR($B84="",$A84&lt;94),"",--MID('Key Analysis'!$C80,94,1))</f>
        <v/>
      </c>
      <c r="HY84" s="29" t="str">
        <f>IF(OR($B84="",$A84&lt;95),"",--MID('Key Analysis'!$C80,95,1))</f>
        <v/>
      </c>
      <c r="HZ84" s="29" t="str">
        <f>IF(OR($B84="",$A84&lt;96),"",--MID('Key Analysis'!$C80,96,1))</f>
        <v/>
      </c>
      <c r="IA84" s="29" t="str">
        <f>IF(OR($B84="",$A84&lt;97),"",--MID('Key Analysis'!$C80,97,1))</f>
        <v/>
      </c>
      <c r="IB84" s="29" t="str">
        <f>IF(OR($B84="",$A84&lt;98),"",--MID('Key Analysis'!$C80,98,1))</f>
        <v/>
      </c>
      <c r="IC84" s="29" t="str">
        <f>IF(OR($B84="",$A84&lt;99),"",--MID('Key Analysis'!$C80,99,1))</f>
        <v/>
      </c>
      <c r="ID84" s="29" t="str">
        <f>IF(OR($B84="",$A84&lt;100),"",--MID('Key Analysis'!$C80,100,1))</f>
        <v/>
      </c>
      <c r="IE84" s="29" t="str">
        <f>IF(OR($B84="",$A84&lt;101),"",--MID('Key Analysis'!$C80,101,1))</f>
        <v/>
      </c>
      <c r="IF84" s="29" t="str">
        <f>IF(OR($B84="",$A84&lt;102),"",--MID('Key Analysis'!$C80,102,1))</f>
        <v/>
      </c>
      <c r="IG84" s="29" t="str">
        <f>IF(OR($B84="",$A84&lt;103),"",--MID('Key Analysis'!$C80,103,1))</f>
        <v/>
      </c>
      <c r="IH84" s="29" t="str">
        <f>IF(OR($B84="",$A84&lt;104),"",--MID('Key Analysis'!$C80,104,1))</f>
        <v/>
      </c>
      <c r="II84" s="29" t="str">
        <f>IF(OR($B84="",$A84&lt;105),"",--MID('Key Analysis'!$C80,105,1))</f>
        <v/>
      </c>
      <c r="IJ84" s="29" t="str">
        <f>IF(OR($B84="",$A84&lt;106),"",--MID('Key Analysis'!$C80,106,1))</f>
        <v/>
      </c>
      <c r="IK84" s="29" t="str">
        <f>IF(OR($B84="",$A84&lt;107),"",--MID('Key Analysis'!$C80,107,1))</f>
        <v/>
      </c>
      <c r="IL84" s="29" t="str">
        <f>IF(OR($B84="",$A84&lt;108),"",--MID('Key Analysis'!$C80,108,1))</f>
        <v/>
      </c>
      <c r="IM84" s="29" t="str">
        <f>IF(OR($B84="",$A84&lt;109),"",--MID('Key Analysis'!$C80,109,1))</f>
        <v/>
      </c>
      <c r="IN84" s="29" t="str">
        <f>IF(OR($B84="",$A84&lt;110),"",--MID('Key Analysis'!$C80,110,1))</f>
        <v/>
      </c>
      <c r="IO84" s="29" t="str">
        <f>IF(OR($B84="",$A84&lt;111),"",--MID('Key Analysis'!$C80,111,1))</f>
        <v/>
      </c>
      <c r="IP84" s="29" t="str">
        <f>IF(OR($B84="",$A84&lt;112),"",--MID('Key Analysis'!$C80,112,1))</f>
        <v/>
      </c>
      <c r="IQ84" s="29" t="str">
        <f>IF(OR($B84="",$A84&lt;113),"",--MID('Key Analysis'!$C80,113,1))</f>
        <v/>
      </c>
      <c r="IR84" s="29" t="str">
        <f>IF(OR($B84="",$A84&lt;114),"",--MID('Key Analysis'!$C80,114,1))</f>
        <v/>
      </c>
      <c r="IS84" s="29" t="str">
        <f>IF(OR($B84="",$A84&lt;115),"",--MID('Key Analysis'!$C80,115,1))</f>
        <v/>
      </c>
      <c r="IT84" s="29" t="str">
        <f>IF(OR($B84="",$A84&lt;116),"",--MID('Key Analysis'!$C80,116,1))</f>
        <v/>
      </c>
      <c r="IU84" s="29" t="str">
        <f>IF(OR($B84="",$A84&lt;117),"",--MID('Key Analysis'!$C80,117,1))</f>
        <v/>
      </c>
      <c r="IV84" s="29" t="str">
        <f>IF(OR($B84="",$A84&lt;118),"",--MID('Key Analysis'!$C80,118,1))</f>
        <v/>
      </c>
      <c r="IW84" s="29" t="str">
        <f>IF(OR($B84="",$A84&lt;119),"",--MID('Key Analysis'!$C80,119,1))</f>
        <v/>
      </c>
      <c r="IX84" s="29" t="str">
        <f>IF(OR($B84="",$A84&lt;120),"",--MID('Key Analysis'!$C80,120,1))</f>
        <v/>
      </c>
      <c r="IY84" s="29" t="str">
        <f>IF(OR($B84="",$A84&lt;121),"",--MID('Key Analysis'!$C80,121,1))</f>
        <v/>
      </c>
      <c r="IZ84" s="29" t="str">
        <f>IF(OR($B84="",$A84&lt;122),"",--MID('Key Analysis'!$C80,122,1))</f>
        <v/>
      </c>
      <c r="JA84" s="29" t="str">
        <f>IF(OR($B84="",$A84&lt;123),"",--MID('Key Analysis'!$C80,123,1))</f>
        <v/>
      </c>
      <c r="JB84" s="29" t="str">
        <f>IF(OR($B84="",$A84&lt;124),"",--MID('Key Analysis'!$C80,124,1))</f>
        <v/>
      </c>
      <c r="JC84" s="29" t="str">
        <f>IF(OR($B84="",$A84&lt;125),"",--MID('Key Analysis'!$C80,125,1))</f>
        <v/>
      </c>
      <c r="JD84" s="29" t="str">
        <f>IF(OR($B84="",$A84&lt;126),"",--MID('Key Analysis'!$C80,126,1))</f>
        <v/>
      </c>
      <c r="JE84" s="29" t="str">
        <f>IF(OR($B84="",$A84&lt;127),"",--MID('Key Analysis'!$C80,127,1))</f>
        <v/>
      </c>
      <c r="JF84" s="29" t="str">
        <f>IF(OR($B84="",$A84&lt;128),"",--MID('Key Analysis'!$C80,128,1))</f>
        <v/>
      </c>
      <c r="JG84" s="29" t="str">
        <f>IF(OR($B84="",$A84&lt;129),"",--MID('Key Analysis'!$C80,129,1))</f>
        <v/>
      </c>
      <c r="JH84" s="29" t="str">
        <f>IF(OR($B84="",$A84&lt;130),"",--MID('Key Analysis'!$C80,130,1))</f>
        <v/>
      </c>
      <c r="JI84" s="29" t="str">
        <f>IF(OR($B84="",$A84&lt;131),"",--MID('Key Analysis'!$C80,131,1))</f>
        <v/>
      </c>
      <c r="JJ84" s="29" t="str">
        <f>IF(OR($B84="",$A84&lt;132),"",--MID('Key Analysis'!$C80,132,1))</f>
        <v/>
      </c>
      <c r="JK84" s="29" t="str">
        <f>IF(OR($B84="",$A84&lt;133),"",--MID('Key Analysis'!$C80,133,1))</f>
        <v/>
      </c>
      <c r="JL84" s="29" t="str">
        <f>IF(OR($B84="",$A84&lt;134),"",--MID('Key Analysis'!$C80,134,1))</f>
        <v/>
      </c>
      <c r="JM84" s="29" t="str">
        <f>IF(OR($B84="",$A84&lt;135),"",--MID('Key Analysis'!$C80,135,1))</f>
        <v/>
      </c>
    </row>
    <row r="85" spans="1:273" x14ac:dyDescent="0.25">
      <c r="A85" s="21">
        <f>'Key Analysis'!A81</f>
        <v>80</v>
      </c>
      <c r="B85" s="30" t="str">
        <f>'Key Analysis'!B81</f>
        <v>ea1a5c66dcc11b5ad180</v>
      </c>
      <c r="C85" s="29">
        <f>IF(OR($B85="",$A85&lt;=0),"",--MID('Key Analysis'!$C81,$A85-0,1))</f>
        <v>0</v>
      </c>
      <c r="D85" s="29">
        <f>IF(OR($B85="",$A85&lt;=1),"",--MID('Key Analysis'!$C81,$A85-1,1))</f>
        <v>0</v>
      </c>
      <c r="E85" s="29">
        <f>IF(OR($B85="",$A85&lt;=2),"",--MID('Key Analysis'!$C81,$A85-2,1))</f>
        <v>0</v>
      </c>
      <c r="F85" s="29">
        <f>IF(OR($B85="",$A85&lt;=3),"",--MID('Key Analysis'!$C81,$A85-3,1))</f>
        <v>0</v>
      </c>
      <c r="G85" s="29">
        <f>IF(OR($B85="",$A85&lt;=4),"",--MID('Key Analysis'!$C81,$A85-4,1))</f>
        <v>0</v>
      </c>
      <c r="H85" s="29">
        <f>IF(OR($B85="",$A85&lt;=5),"",--MID('Key Analysis'!$C81,$A85-5,1))</f>
        <v>0</v>
      </c>
      <c r="I85" s="29">
        <f>IF(OR($B85="",$A85&lt;=6),"",--MID('Key Analysis'!$C81,$A85-6,1))</f>
        <v>0</v>
      </c>
      <c r="J85" s="29">
        <f>IF(OR($B85="",$A85&lt;=7),"",--MID('Key Analysis'!$C81,$A85-7,1))</f>
        <v>1</v>
      </c>
      <c r="K85" s="29">
        <f>IF(OR($B85="",$A85&lt;=8),"",--MID('Key Analysis'!$C81,$A85-8,1))</f>
        <v>1</v>
      </c>
      <c r="L85" s="29">
        <f>IF(OR($B85="",$A85&lt;=9),"",--MID('Key Analysis'!$C81,$A85-9,1))</f>
        <v>0</v>
      </c>
      <c r="M85" s="29">
        <f>IF(OR($B85="",$A85&lt;=10),"",--MID('Key Analysis'!$C81,$A85-10,1))</f>
        <v>0</v>
      </c>
      <c r="N85" s="29">
        <f>IF(OR($B85="",$A85&lt;=11),"",--MID('Key Analysis'!$C81,$A85-11,1))</f>
        <v>0</v>
      </c>
      <c r="O85" s="29">
        <f>IF(OR($B85="",$A85&lt;=12),"",--MID('Key Analysis'!$C81,$A85-12,1))</f>
        <v>1</v>
      </c>
      <c r="P85" s="29">
        <f>IF(OR($B85="",$A85&lt;=13),"",--MID('Key Analysis'!$C81,$A85-13,1))</f>
        <v>0</v>
      </c>
      <c r="Q85" s="29">
        <f>IF(OR($B85="",$A85&lt;=14),"",--MID('Key Analysis'!$C81,$A85-14,1))</f>
        <v>1</v>
      </c>
      <c r="R85" s="29">
        <f>IF(OR($B85="",$A85&lt;=15),"",--MID('Key Analysis'!$C81,$A85-15,1))</f>
        <v>1</v>
      </c>
      <c r="S85" s="29">
        <f>IF(OR($B85="",$A85&lt;=16),"",--MID('Key Analysis'!$C81,$A85-16,1))</f>
        <v>0</v>
      </c>
      <c r="T85" s="29">
        <f>IF(OR($B85="",$A85&lt;=17),"",--MID('Key Analysis'!$C81,$A85-17,1))</f>
        <v>1</v>
      </c>
      <c r="U85" s="29">
        <f>IF(OR($B85="",$A85&lt;=18),"",--MID('Key Analysis'!$C81,$A85-18,1))</f>
        <v>0</v>
      </c>
      <c r="V85" s="29">
        <f>IF(OR($B85="",$A85&lt;=19),"",--MID('Key Analysis'!$C81,$A85-19,1))</f>
        <v>1</v>
      </c>
      <c r="W85" s="29">
        <f>IF(OR($B85="",$A85&lt;=20),"",--MID('Key Analysis'!$C81,$A85-20,1))</f>
        <v>1</v>
      </c>
      <c r="X85" s="29">
        <f>IF(OR($B85="",$A85&lt;=21),"",--MID('Key Analysis'!$C81,$A85-21,1))</f>
        <v>0</v>
      </c>
      <c r="Y85" s="29">
        <f>IF(OR($B85="",$A85&lt;=22),"",--MID('Key Analysis'!$C81,$A85-22,1))</f>
        <v>1</v>
      </c>
      <c r="Z85" s="29">
        <f>IF(OR($B85="",$A85&lt;=23),"",--MID('Key Analysis'!$C81,$A85-23,1))</f>
        <v>0</v>
      </c>
      <c r="AA85" s="29">
        <f>IF(OR($B85="",$A85&lt;=24),"",--MID('Key Analysis'!$C81,$A85-24,1))</f>
        <v>1</v>
      </c>
      <c r="AB85" s="29">
        <f>IF(OR($B85="",$A85&lt;=25),"",--MID('Key Analysis'!$C81,$A85-25,1))</f>
        <v>1</v>
      </c>
      <c r="AC85" s="29">
        <f>IF(OR($B85="",$A85&lt;=26),"",--MID('Key Analysis'!$C81,$A85-26,1))</f>
        <v>0</v>
      </c>
      <c r="AD85" s="29">
        <f>IF(OR($B85="",$A85&lt;=27),"",--MID('Key Analysis'!$C81,$A85-27,1))</f>
        <v>1</v>
      </c>
      <c r="AE85" s="29">
        <f>IF(OR($B85="",$A85&lt;=28),"",--MID('Key Analysis'!$C81,$A85-28,1))</f>
        <v>1</v>
      </c>
      <c r="AF85" s="29">
        <f>IF(OR($B85="",$A85&lt;=29),"",--MID('Key Analysis'!$C81,$A85-29,1))</f>
        <v>0</v>
      </c>
      <c r="AG85" s="29">
        <f>IF(OR($B85="",$A85&lt;=30),"",--MID('Key Analysis'!$C81,$A85-30,1))</f>
        <v>0</v>
      </c>
      <c r="AH85" s="29">
        <f>IF(OR($B85="",$A85&lt;=31),"",--MID('Key Analysis'!$C81,$A85-31,1))</f>
        <v>0</v>
      </c>
      <c r="AI85" s="29">
        <f>IF(OR($B85="",$A85&lt;=32),"",--MID('Key Analysis'!$C81,$A85-32,1))</f>
        <v>1</v>
      </c>
      <c r="AJ85" s="29">
        <f>IF(OR($B85="",$A85&lt;=33),"",--MID('Key Analysis'!$C81,$A85-33,1))</f>
        <v>0</v>
      </c>
      <c r="AK85" s="29">
        <f>IF(OR($B85="",$A85&lt;=34),"",--MID('Key Analysis'!$C81,$A85-34,1))</f>
        <v>0</v>
      </c>
      <c r="AL85" s="29">
        <f>IF(OR($B85="",$A85&lt;=35),"",--MID('Key Analysis'!$C81,$A85-35,1))</f>
        <v>0</v>
      </c>
      <c r="AM85" s="29">
        <f>IF(OR($B85="",$A85&lt;=36),"",--MID('Key Analysis'!$C81,$A85-36,1))</f>
        <v>0</v>
      </c>
      <c r="AN85" s="29">
        <f>IF(OR($B85="",$A85&lt;=37),"",--MID('Key Analysis'!$C81,$A85-37,1))</f>
        <v>0</v>
      </c>
      <c r="AO85" s="29">
        <f>IF(OR($B85="",$A85&lt;=38),"",--MID('Key Analysis'!$C81,$A85-38,1))</f>
        <v>1</v>
      </c>
      <c r="AP85" s="29">
        <f>IF(OR($B85="",$A85&lt;=39),"",--MID('Key Analysis'!$C81,$A85-39,1))</f>
        <v>1</v>
      </c>
      <c r="AQ85" s="29">
        <f>IF(OR($B85="",$A85&lt;=40),"",--MID('Key Analysis'!$C81,$A85-40,1))</f>
        <v>0</v>
      </c>
      <c r="AR85" s="29">
        <f>IF(OR($B85="",$A85&lt;=41),"",--MID('Key Analysis'!$C81,$A85-41,1))</f>
        <v>0</v>
      </c>
      <c r="AS85" s="29">
        <f>IF(OR($B85="",$A85&lt;=42),"",--MID('Key Analysis'!$C81,$A85-42,1))</f>
        <v>1</v>
      </c>
      <c r="AT85" s="29">
        <f>IF(OR($B85="",$A85&lt;=43),"",--MID('Key Analysis'!$C81,$A85-43,1))</f>
        <v>1</v>
      </c>
      <c r="AU85" s="29">
        <f>IF(OR($B85="",$A85&lt;=44),"",--MID('Key Analysis'!$C81,$A85-44,1))</f>
        <v>1</v>
      </c>
      <c r="AV85" s="29">
        <f>IF(OR($B85="",$A85&lt;=45),"",--MID('Key Analysis'!$C81,$A85-45,1))</f>
        <v>0</v>
      </c>
      <c r="AW85" s="29">
        <f>IF(OR($B85="",$A85&lt;=46),"",--MID('Key Analysis'!$C81,$A85-46,1))</f>
        <v>1</v>
      </c>
      <c r="AX85" s="29">
        <f>IF(OR($B85="",$A85&lt;=47),"",--MID('Key Analysis'!$C81,$A85-47,1))</f>
        <v>1</v>
      </c>
      <c r="AY85" s="29">
        <f>IF(OR($B85="",$A85&lt;=48),"",--MID('Key Analysis'!$C81,$A85-48,1))</f>
        <v>0</v>
      </c>
      <c r="AZ85" s="29">
        <f>IF(OR($B85="",$A85&lt;=49),"",--MID('Key Analysis'!$C81,$A85-49,1))</f>
        <v>1</v>
      </c>
      <c r="BA85" s="29">
        <f>IF(OR($B85="",$A85&lt;=50),"",--MID('Key Analysis'!$C81,$A85-50,1))</f>
        <v>1</v>
      </c>
      <c r="BB85" s="29">
        <f>IF(OR($B85="",$A85&lt;=51),"",--MID('Key Analysis'!$C81,$A85-51,1))</f>
        <v>0</v>
      </c>
      <c r="BC85" s="29">
        <f>IF(OR($B85="",$A85&lt;=52),"",--MID('Key Analysis'!$C81,$A85-52,1))</f>
        <v>0</v>
      </c>
      <c r="BD85" s="29">
        <f>IF(OR($B85="",$A85&lt;=53),"",--MID('Key Analysis'!$C81,$A85-53,1))</f>
        <v>1</v>
      </c>
      <c r="BE85" s="29">
        <f>IF(OR($B85="",$A85&lt;=54),"",--MID('Key Analysis'!$C81,$A85-54,1))</f>
        <v>1</v>
      </c>
      <c r="BF85" s="29">
        <f>IF(OR($B85="",$A85&lt;=55),"",--MID('Key Analysis'!$C81,$A85-55,1))</f>
        <v>0</v>
      </c>
      <c r="BG85" s="29">
        <f>IF(OR($B85="",$A85&lt;=56),"",--MID('Key Analysis'!$C81,$A85-56,1))</f>
        <v>0</v>
      </c>
      <c r="BH85" s="29">
        <f>IF(OR($B85="",$A85&lt;=57),"",--MID('Key Analysis'!$C81,$A85-57,1))</f>
        <v>0</v>
      </c>
      <c r="BI85" s="29">
        <f>IF(OR($B85="",$A85&lt;=58),"",--MID('Key Analysis'!$C81,$A85-58,1))</f>
        <v>1</v>
      </c>
      <c r="BJ85" s="29">
        <f>IF(OR($B85="",$A85&lt;=59),"",--MID('Key Analysis'!$C81,$A85-59,1))</f>
        <v>1</v>
      </c>
      <c r="BK85" s="29">
        <f>IF(OR($B85="",$A85&lt;=60),"",--MID('Key Analysis'!$C81,$A85-60,1))</f>
        <v>1</v>
      </c>
      <c r="BL85" s="29">
        <f>IF(OR($B85="",$A85&lt;=61),"",--MID('Key Analysis'!$C81,$A85-61,1))</f>
        <v>0</v>
      </c>
      <c r="BM85" s="29">
        <f>IF(OR($B85="",$A85&lt;=62),"",--MID('Key Analysis'!$C81,$A85-62,1))</f>
        <v>1</v>
      </c>
      <c r="BN85" s="29">
        <f>IF(OR($B85="",$A85&lt;=63),"",--MID('Key Analysis'!$C81,$A85-63,1))</f>
        <v>0</v>
      </c>
      <c r="BO85" s="29">
        <f>IF(OR($B85="",$A85&lt;=64),"",--MID('Key Analysis'!$C81,$A85-64,1))</f>
        <v>0</v>
      </c>
      <c r="BP85" s="29">
        <f>IF(OR($B85="",$A85&lt;=65),"",--MID('Key Analysis'!$C81,$A85-65,1))</f>
        <v>1</v>
      </c>
      <c r="BQ85" s="29">
        <f>IF(OR($B85="",$A85&lt;=66),"",--MID('Key Analysis'!$C81,$A85-66,1))</f>
        <v>0</v>
      </c>
      <c r="BR85" s="29">
        <f>IF(OR($B85="",$A85&lt;=67),"",--MID('Key Analysis'!$C81,$A85-67,1))</f>
        <v>1</v>
      </c>
      <c r="BS85" s="29">
        <f>IF(OR($B85="",$A85&lt;=68),"",--MID('Key Analysis'!$C81,$A85-68,1))</f>
        <v>1</v>
      </c>
      <c r="BT85" s="29">
        <f>IF(OR($B85="",$A85&lt;=69),"",--MID('Key Analysis'!$C81,$A85-69,1))</f>
        <v>0</v>
      </c>
      <c r="BU85" s="29">
        <f>IF(OR($B85="",$A85&lt;=70),"",--MID('Key Analysis'!$C81,$A85-70,1))</f>
        <v>0</v>
      </c>
      <c r="BV85" s="29">
        <f>IF(OR($B85="",$A85&lt;=71),"",--MID('Key Analysis'!$C81,$A85-71,1))</f>
        <v>0</v>
      </c>
      <c r="BW85" s="29">
        <f>IF(OR($B85="",$A85&lt;=72),"",--MID('Key Analysis'!$C81,$A85-72,1))</f>
        <v>0</v>
      </c>
      <c r="BX85" s="29">
        <f>IF(OR($B85="",$A85&lt;=73),"",--MID('Key Analysis'!$C81,$A85-73,1))</f>
        <v>1</v>
      </c>
      <c r="BY85" s="29">
        <f>IF(OR($B85="",$A85&lt;=74),"",--MID('Key Analysis'!$C81,$A85-74,1))</f>
        <v>0</v>
      </c>
      <c r="BZ85" s="29">
        <f>IF(OR($B85="",$A85&lt;=75),"",--MID('Key Analysis'!$C81,$A85-75,1))</f>
        <v>1</v>
      </c>
      <c r="CA85" s="29">
        <f>IF(OR($B85="",$A85&lt;=76),"",--MID('Key Analysis'!$C81,$A85-76,1))</f>
        <v>0</v>
      </c>
      <c r="CB85" s="29">
        <f>IF(OR($B85="",$A85&lt;=77),"",--MID('Key Analysis'!$C81,$A85-77,1))</f>
        <v>1</v>
      </c>
      <c r="CC85" s="29">
        <f>IF(OR($B85="",$A85&lt;=78),"",--MID('Key Analysis'!$C81,$A85-78,1))</f>
        <v>1</v>
      </c>
      <c r="CD85" s="29">
        <f>IF(OR($B85="",$A85&lt;=79),"",--MID('Key Analysis'!$C81,$A85-79,1))</f>
        <v>1</v>
      </c>
      <c r="CE85" s="29" t="str">
        <f>IF(OR($B85="",$A85&lt;=80),"",--MID('Key Analysis'!$C81,$A85-80,1))</f>
        <v/>
      </c>
      <c r="CF85" s="29" t="str">
        <f>IF(OR($B85="",$A85&lt;=81),"",--MID('Key Analysis'!$C81,$A85-81,1))</f>
        <v/>
      </c>
      <c r="CG85" s="29" t="str">
        <f>IF(OR($B85="",$A85&lt;=82),"",--MID('Key Analysis'!$C81,$A85-82,1))</f>
        <v/>
      </c>
      <c r="CH85" s="29" t="str">
        <f>IF(OR($B85="",$A85&lt;=83),"",--MID('Key Analysis'!$C81,$A85-83,1))</f>
        <v/>
      </c>
      <c r="CI85" s="29" t="str">
        <f>IF(OR($B85="",$A85&lt;=84),"",--MID('Key Analysis'!$C81,$A85-84,1))</f>
        <v/>
      </c>
      <c r="CJ85" s="29" t="str">
        <f>IF(OR($B85="",$A85&lt;=85),"",--MID('Key Analysis'!$C81,$A85-85,1))</f>
        <v/>
      </c>
      <c r="CK85" s="29" t="str">
        <f>IF(OR($B85="",$A85&lt;=86),"",--MID('Key Analysis'!$C81,$A85-86,1))</f>
        <v/>
      </c>
      <c r="CL85" s="29" t="str">
        <f>IF(OR($B85="",$A85&lt;=87),"",--MID('Key Analysis'!$C81,$A85-87,1))</f>
        <v/>
      </c>
      <c r="CM85" s="29" t="str">
        <f>IF(OR($B85="",$A85&lt;=88),"",--MID('Key Analysis'!$C81,$A85-88,1))</f>
        <v/>
      </c>
      <c r="CN85" s="29" t="str">
        <f>IF(OR($B85="",$A85&lt;=89),"",--MID('Key Analysis'!$C81,$A85-89,1))</f>
        <v/>
      </c>
      <c r="CO85" s="29" t="str">
        <f>IF(OR($B85="",$A85&lt;=90),"",--MID('Key Analysis'!$C81,$A85-90,1))</f>
        <v/>
      </c>
      <c r="CP85" s="29" t="str">
        <f>IF(OR($B85="",$A85&lt;=91),"",--MID('Key Analysis'!$C81,$A85-91,1))</f>
        <v/>
      </c>
      <c r="CQ85" s="29" t="str">
        <f>IF(OR($B85="",$A85&lt;=92),"",--MID('Key Analysis'!$C81,$A85-92,1))</f>
        <v/>
      </c>
      <c r="CR85" s="29" t="str">
        <f>IF(OR($B85="",$A85&lt;=93),"",--MID('Key Analysis'!$C81,$A85-93,1))</f>
        <v/>
      </c>
      <c r="CS85" s="29" t="str">
        <f>IF(OR($B85="",$A85&lt;=94),"",--MID('Key Analysis'!$C81,$A85-94,1))</f>
        <v/>
      </c>
      <c r="CT85" s="29" t="str">
        <f>IF(OR($B85="",$A85&lt;=95),"",--MID('Key Analysis'!$C81,$A85-95,1))</f>
        <v/>
      </c>
      <c r="CU85" s="29" t="str">
        <f>IF(OR($B85="",$A85&lt;=96),"",--MID('Key Analysis'!$C81,$A85-96,1))</f>
        <v/>
      </c>
      <c r="CV85" s="29" t="str">
        <f>IF(OR($B85="",$A85&lt;=97),"",--MID('Key Analysis'!$C81,$A85-97,1))</f>
        <v/>
      </c>
      <c r="CW85" s="29" t="str">
        <f>IF(OR($B85="",$A85&lt;=98),"",--MID('Key Analysis'!$C81,$A85-98,1))</f>
        <v/>
      </c>
      <c r="CX85" s="29" t="str">
        <f>IF(OR($B85="",$A85&lt;=99),"",--MID('Key Analysis'!$C81,$A85-99,1))</f>
        <v/>
      </c>
      <c r="CY85" s="29" t="str">
        <f>IF(OR($B85="",$A85&lt;=100),"",--MID('Key Analysis'!$C81,$A85-100,1))</f>
        <v/>
      </c>
      <c r="CZ85" s="29" t="str">
        <f>IF(OR($B85="",$A85&lt;=101),"",--MID('Key Analysis'!$C81,$A85-101,1))</f>
        <v/>
      </c>
      <c r="DA85" s="29" t="str">
        <f>IF(OR($B85="",$A85&lt;=102),"",--MID('Key Analysis'!$C81,$A85-102,1))</f>
        <v/>
      </c>
      <c r="DB85" s="29" t="str">
        <f>IF(OR($B85="",$A85&lt;=103),"",--MID('Key Analysis'!$C81,$A85-103,1))</f>
        <v/>
      </c>
      <c r="DC85" s="29" t="str">
        <f>IF(OR($B85="",$A85&lt;=104),"",--MID('Key Analysis'!$C81,$A85-104,1))</f>
        <v/>
      </c>
      <c r="DD85" s="29" t="str">
        <f>IF(OR($B85="",$A85&lt;=105),"",--MID('Key Analysis'!$C81,$A85-105,1))</f>
        <v/>
      </c>
      <c r="DE85" s="29" t="str">
        <f>IF(OR($B85="",$A85&lt;=106),"",--MID('Key Analysis'!$C81,$A85-106,1))</f>
        <v/>
      </c>
      <c r="DF85" s="29" t="str">
        <f>IF(OR($B85="",$A85&lt;=107),"",--MID('Key Analysis'!$C81,$A85-107,1))</f>
        <v/>
      </c>
      <c r="DG85" s="29" t="str">
        <f>IF(OR($B85="",$A85&lt;=108),"",--MID('Key Analysis'!$C81,$A85-108,1))</f>
        <v/>
      </c>
      <c r="DH85" s="29" t="str">
        <f>IF(OR($B85="",$A85&lt;=109),"",--MID('Key Analysis'!$C81,$A85-109,1))</f>
        <v/>
      </c>
      <c r="DI85" s="29" t="str">
        <f>IF(OR($B85="",$A85&lt;=110),"",--MID('Key Analysis'!$C81,$A85-110,1))</f>
        <v/>
      </c>
      <c r="DJ85" s="29" t="str">
        <f>IF(OR($B85="",$A85&lt;=111),"",--MID('Key Analysis'!$C81,$A85-111,1))</f>
        <v/>
      </c>
      <c r="DK85" s="29" t="str">
        <f>IF(OR($B85="",$A85&lt;=112),"",--MID('Key Analysis'!$C81,$A85-112,1))</f>
        <v/>
      </c>
      <c r="DL85" s="29" t="str">
        <f>IF(OR($B85="",$A85&lt;=113),"",--MID('Key Analysis'!$C81,$A85-113,1))</f>
        <v/>
      </c>
      <c r="DM85" s="29" t="str">
        <f>IF(OR($B85="",$A85&lt;=114),"",--MID('Key Analysis'!$C81,$A85-114,1))</f>
        <v/>
      </c>
      <c r="DN85" s="29" t="str">
        <f>IF(OR($B85="",$A85&lt;=115),"",--MID('Key Analysis'!$C81,$A85-115,1))</f>
        <v/>
      </c>
      <c r="DO85" s="29" t="str">
        <f>IF(OR($B85="",$A85&lt;=116),"",--MID('Key Analysis'!$C81,$A85-116,1))</f>
        <v/>
      </c>
      <c r="DP85" s="29" t="str">
        <f>IF(OR($B85="",$A85&lt;=117),"",--MID('Key Analysis'!$C81,$A85-117,1))</f>
        <v/>
      </c>
      <c r="DQ85" s="29" t="str">
        <f>IF(OR($B85="",$A85&lt;=118),"",--MID('Key Analysis'!$C81,$A85-118,1))</f>
        <v/>
      </c>
      <c r="DR85" s="29" t="str">
        <f>IF(OR($B85="",$A85&lt;=119),"",--MID('Key Analysis'!$C81,$A85-119,1))</f>
        <v/>
      </c>
      <c r="DS85" s="29" t="str">
        <f>IF(OR($B85="",$A85&lt;=120),"",--MID('Key Analysis'!$C81,$A85-120,1))</f>
        <v/>
      </c>
      <c r="DT85" s="29" t="str">
        <f>IF(OR($B85="",$A85&lt;=121),"",--MID('Key Analysis'!$C81,$A85-121,1))</f>
        <v/>
      </c>
      <c r="DU85" s="29" t="str">
        <f>IF(OR($B85="",$A85&lt;=122),"",--MID('Key Analysis'!$C81,$A85-122,1))</f>
        <v/>
      </c>
      <c r="DV85" s="29" t="str">
        <f>IF(OR($B85="",$A85&lt;=123),"",--MID('Key Analysis'!$C81,$A85-123,1))</f>
        <v/>
      </c>
      <c r="DW85" s="29" t="str">
        <f>IF(OR($B85="",$A85&lt;=124),"",--MID('Key Analysis'!$C81,$A85-124,1))</f>
        <v/>
      </c>
      <c r="DX85" s="29" t="str">
        <f>IF(OR($B85="",$A85&lt;=125),"",--MID('Key Analysis'!$C81,$A85-125,1))</f>
        <v/>
      </c>
      <c r="DY85" s="29" t="str">
        <f>IF(OR($B85="",$A85&lt;=126),"",--MID('Key Analysis'!$C81,$A85-126,1))</f>
        <v/>
      </c>
      <c r="DZ85" s="29" t="str">
        <f>IF(OR($B85="",$A85&lt;=127),"",--MID('Key Analysis'!$C81,$A85-127,1))</f>
        <v/>
      </c>
      <c r="EA85" s="29" t="str">
        <f>IF(OR($B85="",$A85&lt;=128),"",--MID('Key Analysis'!$C81,$A85-128,1))</f>
        <v/>
      </c>
      <c r="EB85" s="29" t="str">
        <f>IF(OR($B85="",$A85&lt;=129),"",--MID('Key Analysis'!$C81,$A85-129,1))</f>
        <v/>
      </c>
      <c r="EC85" s="29" t="str">
        <f>IF(OR($B85="",$A85&lt;=130),"",--MID('Key Analysis'!$C81,$A85-130,1))</f>
        <v/>
      </c>
      <c r="ED85" s="29" t="str">
        <f>IF(OR($B85="",$A85&lt;=131),"",--MID('Key Analysis'!$C81,$A85-131,1))</f>
        <v/>
      </c>
      <c r="EE85" s="29" t="str">
        <f>IF(OR($B85="",$A85&lt;=132),"",--MID('Key Analysis'!$C81,$A85-132,1))</f>
        <v/>
      </c>
      <c r="EF85" s="29" t="str">
        <f>IF(OR($B85="",$A85&lt;=133),"",--MID('Key Analysis'!$C81,$A85-133,1))</f>
        <v/>
      </c>
      <c r="EG85" s="29" t="str">
        <f>IF(OR($B85="",$A85&lt;=134),"",--MID('Key Analysis'!$C81,$A85-134,1))</f>
        <v/>
      </c>
      <c r="EH85" s="29"/>
      <c r="EI85" s="29">
        <f>IF(OR($B85="",$A85&lt;1),"",--MID('Key Analysis'!$C81,1,1))</f>
        <v>1</v>
      </c>
      <c r="EJ85" s="29">
        <f>IF(OR($B85="",$A85&lt;2),"",--MID('Key Analysis'!$C81,2,1))</f>
        <v>1</v>
      </c>
      <c r="EK85" s="29">
        <f>IF(OR($B85="",$A85&lt;3),"",--MID('Key Analysis'!$C81,3,1))</f>
        <v>1</v>
      </c>
      <c r="EL85" s="29">
        <f>IF(OR($B85="",$A85&lt;4),"",--MID('Key Analysis'!$C81,4,1))</f>
        <v>0</v>
      </c>
      <c r="EM85" s="29">
        <f>IF(OR($B85="",$A85&lt;5),"",--MID('Key Analysis'!$C81,5,1))</f>
        <v>1</v>
      </c>
      <c r="EN85" s="29">
        <f>IF(OR($B85="",$A85&lt;6),"",--MID('Key Analysis'!$C81,6,1))</f>
        <v>0</v>
      </c>
      <c r="EO85" s="29">
        <f>IF(OR($B85="",$A85&lt;7),"",--MID('Key Analysis'!$C81,7,1))</f>
        <v>1</v>
      </c>
      <c r="EP85" s="29">
        <f>IF(OR($B85="",$A85&lt;8),"",--MID('Key Analysis'!$C81,8,1))</f>
        <v>0</v>
      </c>
      <c r="EQ85" s="29">
        <f>IF(OR($B85="",$A85&lt;9),"",--MID('Key Analysis'!$C81,9,1))</f>
        <v>0</v>
      </c>
      <c r="ER85" s="29">
        <f>IF(OR($B85="",$A85&lt;10),"",--MID('Key Analysis'!$C81,10,1))</f>
        <v>0</v>
      </c>
      <c r="ES85" s="29">
        <f>IF(OR($B85="",$A85&lt;11),"",--MID('Key Analysis'!$C81,11,1))</f>
        <v>0</v>
      </c>
      <c r="ET85" s="29">
        <f>IF(OR($B85="",$A85&lt;12),"",--MID('Key Analysis'!$C81,12,1))</f>
        <v>1</v>
      </c>
      <c r="EU85" s="29">
        <f>IF(OR($B85="",$A85&lt;13),"",--MID('Key Analysis'!$C81,13,1))</f>
        <v>1</v>
      </c>
      <c r="EV85" s="29">
        <f>IF(OR($B85="",$A85&lt;14),"",--MID('Key Analysis'!$C81,14,1))</f>
        <v>0</v>
      </c>
      <c r="EW85" s="29">
        <f>IF(OR($B85="",$A85&lt;15),"",--MID('Key Analysis'!$C81,15,1))</f>
        <v>1</v>
      </c>
      <c r="EX85" s="29">
        <f>IF(OR($B85="",$A85&lt;16),"",--MID('Key Analysis'!$C81,16,1))</f>
        <v>0</v>
      </c>
      <c r="EY85" s="29">
        <f>IF(OR($B85="",$A85&lt;17),"",--MID('Key Analysis'!$C81,17,1))</f>
        <v>0</v>
      </c>
      <c r="EZ85" s="29">
        <f>IF(OR($B85="",$A85&lt;18),"",--MID('Key Analysis'!$C81,18,1))</f>
        <v>1</v>
      </c>
      <c r="FA85" s="29">
        <f>IF(OR($B85="",$A85&lt;19),"",--MID('Key Analysis'!$C81,19,1))</f>
        <v>0</v>
      </c>
      <c r="FB85" s="29">
        <f>IF(OR($B85="",$A85&lt;20),"",--MID('Key Analysis'!$C81,20,1))</f>
        <v>1</v>
      </c>
      <c r="FC85" s="29">
        <f>IF(OR($B85="",$A85&lt;21),"",--MID('Key Analysis'!$C81,21,1))</f>
        <v>1</v>
      </c>
      <c r="FD85" s="29">
        <f>IF(OR($B85="",$A85&lt;22),"",--MID('Key Analysis'!$C81,22,1))</f>
        <v>1</v>
      </c>
      <c r="FE85" s="29">
        <f>IF(OR($B85="",$A85&lt;23),"",--MID('Key Analysis'!$C81,23,1))</f>
        <v>0</v>
      </c>
      <c r="FF85" s="29">
        <f>IF(OR($B85="",$A85&lt;24),"",--MID('Key Analysis'!$C81,24,1))</f>
        <v>0</v>
      </c>
      <c r="FG85" s="29">
        <f>IF(OR($B85="",$A85&lt;25),"",--MID('Key Analysis'!$C81,25,1))</f>
        <v>0</v>
      </c>
      <c r="FH85" s="29">
        <f>IF(OR($B85="",$A85&lt;26),"",--MID('Key Analysis'!$C81,26,1))</f>
        <v>1</v>
      </c>
      <c r="FI85" s="29">
        <f>IF(OR($B85="",$A85&lt;27),"",--MID('Key Analysis'!$C81,27,1))</f>
        <v>1</v>
      </c>
      <c r="FJ85" s="29">
        <f>IF(OR($B85="",$A85&lt;28),"",--MID('Key Analysis'!$C81,28,1))</f>
        <v>0</v>
      </c>
      <c r="FK85" s="29">
        <f>IF(OR($B85="",$A85&lt;29),"",--MID('Key Analysis'!$C81,29,1))</f>
        <v>0</v>
      </c>
      <c r="FL85" s="29">
        <f>IF(OR($B85="",$A85&lt;30),"",--MID('Key Analysis'!$C81,30,1))</f>
        <v>1</v>
      </c>
      <c r="FM85" s="29">
        <f>IF(OR($B85="",$A85&lt;31),"",--MID('Key Analysis'!$C81,31,1))</f>
        <v>1</v>
      </c>
      <c r="FN85" s="29">
        <f>IF(OR($B85="",$A85&lt;32),"",--MID('Key Analysis'!$C81,32,1))</f>
        <v>0</v>
      </c>
      <c r="FO85" s="29">
        <f>IF(OR($B85="",$A85&lt;33),"",--MID('Key Analysis'!$C81,33,1))</f>
        <v>1</v>
      </c>
      <c r="FP85" s="29">
        <f>IF(OR($B85="",$A85&lt;34),"",--MID('Key Analysis'!$C81,34,1))</f>
        <v>1</v>
      </c>
      <c r="FQ85" s="29">
        <f>IF(OR($B85="",$A85&lt;35),"",--MID('Key Analysis'!$C81,35,1))</f>
        <v>0</v>
      </c>
      <c r="FR85" s="29">
        <f>IF(OR($B85="",$A85&lt;36),"",--MID('Key Analysis'!$C81,36,1))</f>
        <v>1</v>
      </c>
      <c r="FS85" s="29">
        <f>IF(OR($B85="",$A85&lt;37),"",--MID('Key Analysis'!$C81,37,1))</f>
        <v>1</v>
      </c>
      <c r="FT85" s="29">
        <f>IF(OR($B85="",$A85&lt;38),"",--MID('Key Analysis'!$C81,38,1))</f>
        <v>1</v>
      </c>
      <c r="FU85" s="29">
        <f>IF(OR($B85="",$A85&lt;39),"",--MID('Key Analysis'!$C81,39,1))</f>
        <v>0</v>
      </c>
      <c r="FV85" s="29">
        <f>IF(OR($B85="",$A85&lt;40),"",--MID('Key Analysis'!$C81,40,1))</f>
        <v>0</v>
      </c>
      <c r="FW85" s="29">
        <f>IF(OR($B85="",$A85&lt;41),"",--MID('Key Analysis'!$C81,41,1))</f>
        <v>1</v>
      </c>
      <c r="FX85" s="29">
        <f>IF(OR($B85="",$A85&lt;42),"",--MID('Key Analysis'!$C81,42,1))</f>
        <v>1</v>
      </c>
      <c r="FY85" s="29">
        <f>IF(OR($B85="",$A85&lt;43),"",--MID('Key Analysis'!$C81,43,1))</f>
        <v>0</v>
      </c>
      <c r="FZ85" s="29">
        <f>IF(OR($B85="",$A85&lt;44),"",--MID('Key Analysis'!$C81,44,1))</f>
        <v>0</v>
      </c>
      <c r="GA85" s="29">
        <f>IF(OR($B85="",$A85&lt;45),"",--MID('Key Analysis'!$C81,45,1))</f>
        <v>0</v>
      </c>
      <c r="GB85" s="29">
        <f>IF(OR($B85="",$A85&lt;46),"",--MID('Key Analysis'!$C81,46,1))</f>
        <v>0</v>
      </c>
      <c r="GC85" s="29">
        <f>IF(OR($B85="",$A85&lt;47),"",--MID('Key Analysis'!$C81,47,1))</f>
        <v>0</v>
      </c>
      <c r="GD85" s="29">
        <f>IF(OR($B85="",$A85&lt;48),"",--MID('Key Analysis'!$C81,48,1))</f>
        <v>1</v>
      </c>
      <c r="GE85" s="29">
        <f>IF(OR($B85="",$A85&lt;49),"",--MID('Key Analysis'!$C81,49,1))</f>
        <v>0</v>
      </c>
      <c r="GF85" s="29">
        <f>IF(OR($B85="",$A85&lt;50),"",--MID('Key Analysis'!$C81,50,1))</f>
        <v>0</v>
      </c>
      <c r="GG85" s="29">
        <f>IF(OR($B85="",$A85&lt;51),"",--MID('Key Analysis'!$C81,51,1))</f>
        <v>0</v>
      </c>
      <c r="GH85" s="29">
        <f>IF(OR($B85="",$A85&lt;52),"",--MID('Key Analysis'!$C81,52,1))</f>
        <v>1</v>
      </c>
      <c r="GI85" s="29">
        <f>IF(OR($B85="",$A85&lt;53),"",--MID('Key Analysis'!$C81,53,1))</f>
        <v>1</v>
      </c>
      <c r="GJ85" s="29">
        <f>IF(OR($B85="",$A85&lt;54),"",--MID('Key Analysis'!$C81,54,1))</f>
        <v>0</v>
      </c>
      <c r="GK85" s="29">
        <f>IF(OR($B85="",$A85&lt;55),"",--MID('Key Analysis'!$C81,55,1))</f>
        <v>1</v>
      </c>
      <c r="GL85" s="29">
        <f>IF(OR($B85="",$A85&lt;56),"",--MID('Key Analysis'!$C81,56,1))</f>
        <v>1</v>
      </c>
      <c r="GM85" s="29">
        <f>IF(OR($B85="",$A85&lt;57),"",--MID('Key Analysis'!$C81,57,1))</f>
        <v>0</v>
      </c>
      <c r="GN85" s="29">
        <f>IF(OR($B85="",$A85&lt;58),"",--MID('Key Analysis'!$C81,58,1))</f>
        <v>1</v>
      </c>
      <c r="GO85" s="29">
        <f>IF(OR($B85="",$A85&lt;59),"",--MID('Key Analysis'!$C81,59,1))</f>
        <v>0</v>
      </c>
      <c r="GP85" s="29">
        <f>IF(OR($B85="",$A85&lt;60),"",--MID('Key Analysis'!$C81,60,1))</f>
        <v>1</v>
      </c>
      <c r="GQ85" s="29">
        <f>IF(OR($B85="",$A85&lt;61),"",--MID('Key Analysis'!$C81,61,1))</f>
        <v>1</v>
      </c>
      <c r="GR85" s="29">
        <f>IF(OR($B85="",$A85&lt;62),"",--MID('Key Analysis'!$C81,62,1))</f>
        <v>0</v>
      </c>
      <c r="GS85" s="29">
        <f>IF(OR($B85="",$A85&lt;63),"",--MID('Key Analysis'!$C81,63,1))</f>
        <v>1</v>
      </c>
      <c r="GT85" s="29">
        <f>IF(OR($B85="",$A85&lt;64),"",--MID('Key Analysis'!$C81,64,1))</f>
        <v>0</v>
      </c>
      <c r="GU85" s="29">
        <f>IF(OR($B85="",$A85&lt;65),"",--MID('Key Analysis'!$C81,65,1))</f>
        <v>1</v>
      </c>
      <c r="GV85" s="29">
        <f>IF(OR($B85="",$A85&lt;66),"",--MID('Key Analysis'!$C81,66,1))</f>
        <v>1</v>
      </c>
      <c r="GW85" s="29">
        <f>IF(OR($B85="",$A85&lt;67),"",--MID('Key Analysis'!$C81,67,1))</f>
        <v>0</v>
      </c>
      <c r="GX85" s="29">
        <f>IF(OR($B85="",$A85&lt;68),"",--MID('Key Analysis'!$C81,68,1))</f>
        <v>1</v>
      </c>
      <c r="GY85" s="29">
        <f>IF(OR($B85="",$A85&lt;69),"",--MID('Key Analysis'!$C81,69,1))</f>
        <v>0</v>
      </c>
      <c r="GZ85" s="29">
        <f>IF(OR($B85="",$A85&lt;70),"",--MID('Key Analysis'!$C81,70,1))</f>
        <v>0</v>
      </c>
      <c r="HA85" s="29">
        <f>IF(OR($B85="",$A85&lt;71),"",--MID('Key Analysis'!$C81,71,1))</f>
        <v>0</v>
      </c>
      <c r="HB85" s="29">
        <f>IF(OR($B85="",$A85&lt;72),"",--MID('Key Analysis'!$C81,72,1))</f>
        <v>1</v>
      </c>
      <c r="HC85" s="29">
        <f>IF(OR($B85="",$A85&lt;73),"",--MID('Key Analysis'!$C81,73,1))</f>
        <v>1</v>
      </c>
      <c r="HD85" s="29">
        <f>IF(OR($B85="",$A85&lt;74),"",--MID('Key Analysis'!$C81,74,1))</f>
        <v>0</v>
      </c>
      <c r="HE85" s="29">
        <f>IF(OR($B85="",$A85&lt;75),"",--MID('Key Analysis'!$C81,75,1))</f>
        <v>0</v>
      </c>
      <c r="HF85" s="29">
        <f>IF(OR($B85="",$A85&lt;76),"",--MID('Key Analysis'!$C81,76,1))</f>
        <v>0</v>
      </c>
      <c r="HG85" s="29">
        <f>IF(OR($B85="",$A85&lt;77),"",--MID('Key Analysis'!$C81,77,1))</f>
        <v>0</v>
      </c>
      <c r="HH85" s="29">
        <f>IF(OR($B85="",$A85&lt;78),"",--MID('Key Analysis'!$C81,78,1))</f>
        <v>0</v>
      </c>
      <c r="HI85" s="29">
        <f>IF(OR($B85="",$A85&lt;79),"",--MID('Key Analysis'!$C81,79,1))</f>
        <v>0</v>
      </c>
      <c r="HJ85" s="29">
        <f>IF(OR($B85="",$A85&lt;80),"",--MID('Key Analysis'!$C81,80,1))</f>
        <v>0</v>
      </c>
      <c r="HK85" s="29" t="str">
        <f>IF(OR($B85="",$A85&lt;81),"",--MID('Key Analysis'!$C81,81,1))</f>
        <v/>
      </c>
      <c r="HL85" s="29" t="str">
        <f>IF(OR($B85="",$A85&lt;82),"",--MID('Key Analysis'!$C81,82,1))</f>
        <v/>
      </c>
      <c r="HM85" s="29" t="str">
        <f>IF(OR($B85="",$A85&lt;83),"",--MID('Key Analysis'!$C81,83,1))</f>
        <v/>
      </c>
      <c r="HN85" s="29" t="str">
        <f>IF(OR($B85="",$A85&lt;84),"",--MID('Key Analysis'!$C81,84,1))</f>
        <v/>
      </c>
      <c r="HO85" s="29" t="str">
        <f>IF(OR($B85="",$A85&lt;85),"",--MID('Key Analysis'!$C81,85,1))</f>
        <v/>
      </c>
      <c r="HP85" s="29" t="str">
        <f>IF(OR($B85="",$A85&lt;86),"",--MID('Key Analysis'!$C81,86,1))</f>
        <v/>
      </c>
      <c r="HQ85" s="29" t="str">
        <f>IF(OR($B85="",$A85&lt;87),"",--MID('Key Analysis'!$C81,87,1))</f>
        <v/>
      </c>
      <c r="HR85" s="29" t="str">
        <f>IF(OR($B85="",$A85&lt;88),"",--MID('Key Analysis'!$C81,88,1))</f>
        <v/>
      </c>
      <c r="HS85" s="29" t="str">
        <f>IF(OR($B85="",$A85&lt;89),"",--MID('Key Analysis'!$C81,89,1))</f>
        <v/>
      </c>
      <c r="HT85" s="29" t="str">
        <f>IF(OR($B85="",$A85&lt;90),"",--MID('Key Analysis'!$C81,90,1))</f>
        <v/>
      </c>
      <c r="HU85" s="29" t="str">
        <f>IF(OR($B85="",$A85&lt;91),"",--MID('Key Analysis'!$C81,91,1))</f>
        <v/>
      </c>
      <c r="HV85" s="29" t="str">
        <f>IF(OR($B85="",$A85&lt;92),"",--MID('Key Analysis'!$C81,92,1))</f>
        <v/>
      </c>
      <c r="HW85" s="29" t="str">
        <f>IF(OR($B85="",$A85&lt;93),"",--MID('Key Analysis'!$C81,93,1))</f>
        <v/>
      </c>
      <c r="HX85" s="29" t="str">
        <f>IF(OR($B85="",$A85&lt;94),"",--MID('Key Analysis'!$C81,94,1))</f>
        <v/>
      </c>
      <c r="HY85" s="29" t="str">
        <f>IF(OR($B85="",$A85&lt;95),"",--MID('Key Analysis'!$C81,95,1))</f>
        <v/>
      </c>
      <c r="HZ85" s="29" t="str">
        <f>IF(OR($B85="",$A85&lt;96),"",--MID('Key Analysis'!$C81,96,1))</f>
        <v/>
      </c>
      <c r="IA85" s="29" t="str">
        <f>IF(OR($B85="",$A85&lt;97),"",--MID('Key Analysis'!$C81,97,1))</f>
        <v/>
      </c>
      <c r="IB85" s="29" t="str">
        <f>IF(OR($B85="",$A85&lt;98),"",--MID('Key Analysis'!$C81,98,1))</f>
        <v/>
      </c>
      <c r="IC85" s="29" t="str">
        <f>IF(OR($B85="",$A85&lt;99),"",--MID('Key Analysis'!$C81,99,1))</f>
        <v/>
      </c>
      <c r="ID85" s="29" t="str">
        <f>IF(OR($B85="",$A85&lt;100),"",--MID('Key Analysis'!$C81,100,1))</f>
        <v/>
      </c>
      <c r="IE85" s="29" t="str">
        <f>IF(OR($B85="",$A85&lt;101),"",--MID('Key Analysis'!$C81,101,1))</f>
        <v/>
      </c>
      <c r="IF85" s="29" t="str">
        <f>IF(OR($B85="",$A85&lt;102),"",--MID('Key Analysis'!$C81,102,1))</f>
        <v/>
      </c>
      <c r="IG85" s="29" t="str">
        <f>IF(OR($B85="",$A85&lt;103),"",--MID('Key Analysis'!$C81,103,1))</f>
        <v/>
      </c>
      <c r="IH85" s="29" t="str">
        <f>IF(OR($B85="",$A85&lt;104),"",--MID('Key Analysis'!$C81,104,1))</f>
        <v/>
      </c>
      <c r="II85" s="29" t="str">
        <f>IF(OR($B85="",$A85&lt;105),"",--MID('Key Analysis'!$C81,105,1))</f>
        <v/>
      </c>
      <c r="IJ85" s="29" t="str">
        <f>IF(OR($B85="",$A85&lt;106),"",--MID('Key Analysis'!$C81,106,1))</f>
        <v/>
      </c>
      <c r="IK85" s="29" t="str">
        <f>IF(OR($B85="",$A85&lt;107),"",--MID('Key Analysis'!$C81,107,1))</f>
        <v/>
      </c>
      <c r="IL85" s="29" t="str">
        <f>IF(OR($B85="",$A85&lt;108),"",--MID('Key Analysis'!$C81,108,1))</f>
        <v/>
      </c>
      <c r="IM85" s="29" t="str">
        <f>IF(OR($B85="",$A85&lt;109),"",--MID('Key Analysis'!$C81,109,1))</f>
        <v/>
      </c>
      <c r="IN85" s="29" t="str">
        <f>IF(OR($B85="",$A85&lt;110),"",--MID('Key Analysis'!$C81,110,1))</f>
        <v/>
      </c>
      <c r="IO85" s="29" t="str">
        <f>IF(OR($B85="",$A85&lt;111),"",--MID('Key Analysis'!$C81,111,1))</f>
        <v/>
      </c>
      <c r="IP85" s="29" t="str">
        <f>IF(OR($B85="",$A85&lt;112),"",--MID('Key Analysis'!$C81,112,1))</f>
        <v/>
      </c>
      <c r="IQ85" s="29" t="str">
        <f>IF(OR($B85="",$A85&lt;113),"",--MID('Key Analysis'!$C81,113,1))</f>
        <v/>
      </c>
      <c r="IR85" s="29" t="str">
        <f>IF(OR($B85="",$A85&lt;114),"",--MID('Key Analysis'!$C81,114,1))</f>
        <v/>
      </c>
      <c r="IS85" s="29" t="str">
        <f>IF(OR($B85="",$A85&lt;115),"",--MID('Key Analysis'!$C81,115,1))</f>
        <v/>
      </c>
      <c r="IT85" s="29" t="str">
        <f>IF(OR($B85="",$A85&lt;116),"",--MID('Key Analysis'!$C81,116,1))</f>
        <v/>
      </c>
      <c r="IU85" s="29" t="str">
        <f>IF(OR($B85="",$A85&lt;117),"",--MID('Key Analysis'!$C81,117,1))</f>
        <v/>
      </c>
      <c r="IV85" s="29" t="str">
        <f>IF(OR($B85="",$A85&lt;118),"",--MID('Key Analysis'!$C81,118,1))</f>
        <v/>
      </c>
      <c r="IW85" s="29" t="str">
        <f>IF(OR($B85="",$A85&lt;119),"",--MID('Key Analysis'!$C81,119,1))</f>
        <v/>
      </c>
      <c r="IX85" s="29" t="str">
        <f>IF(OR($B85="",$A85&lt;120),"",--MID('Key Analysis'!$C81,120,1))</f>
        <v/>
      </c>
      <c r="IY85" s="29" t="str">
        <f>IF(OR($B85="",$A85&lt;121),"",--MID('Key Analysis'!$C81,121,1))</f>
        <v/>
      </c>
      <c r="IZ85" s="29" t="str">
        <f>IF(OR($B85="",$A85&lt;122),"",--MID('Key Analysis'!$C81,122,1))</f>
        <v/>
      </c>
      <c r="JA85" s="29" t="str">
        <f>IF(OR($B85="",$A85&lt;123),"",--MID('Key Analysis'!$C81,123,1))</f>
        <v/>
      </c>
      <c r="JB85" s="29" t="str">
        <f>IF(OR($B85="",$A85&lt;124),"",--MID('Key Analysis'!$C81,124,1))</f>
        <v/>
      </c>
      <c r="JC85" s="29" t="str">
        <f>IF(OR($B85="",$A85&lt;125),"",--MID('Key Analysis'!$C81,125,1))</f>
        <v/>
      </c>
      <c r="JD85" s="29" t="str">
        <f>IF(OR($B85="",$A85&lt;126),"",--MID('Key Analysis'!$C81,126,1))</f>
        <v/>
      </c>
      <c r="JE85" s="29" t="str">
        <f>IF(OR($B85="",$A85&lt;127),"",--MID('Key Analysis'!$C81,127,1))</f>
        <v/>
      </c>
      <c r="JF85" s="29" t="str">
        <f>IF(OR($B85="",$A85&lt;128),"",--MID('Key Analysis'!$C81,128,1))</f>
        <v/>
      </c>
      <c r="JG85" s="29" t="str">
        <f>IF(OR($B85="",$A85&lt;129),"",--MID('Key Analysis'!$C81,129,1))</f>
        <v/>
      </c>
      <c r="JH85" s="29" t="str">
        <f>IF(OR($B85="",$A85&lt;130),"",--MID('Key Analysis'!$C81,130,1))</f>
        <v/>
      </c>
      <c r="JI85" s="29" t="str">
        <f>IF(OR($B85="",$A85&lt;131),"",--MID('Key Analysis'!$C81,131,1))</f>
        <v/>
      </c>
      <c r="JJ85" s="29" t="str">
        <f>IF(OR($B85="",$A85&lt;132),"",--MID('Key Analysis'!$C81,132,1))</f>
        <v/>
      </c>
      <c r="JK85" s="29" t="str">
        <f>IF(OR($B85="",$A85&lt;133),"",--MID('Key Analysis'!$C81,133,1))</f>
        <v/>
      </c>
      <c r="JL85" s="29" t="str">
        <f>IF(OR($B85="",$A85&lt;134),"",--MID('Key Analysis'!$C81,134,1))</f>
        <v/>
      </c>
      <c r="JM85" s="29" t="str">
        <f>IF(OR($B85="",$A85&lt;135),"",--MID('Key Analysis'!$C81,135,1))</f>
        <v/>
      </c>
    </row>
    <row r="86" spans="1:273" x14ac:dyDescent="0.25">
      <c r="A86" s="21">
        <f>'Key Analysis'!A82</f>
        <v>81</v>
      </c>
      <c r="B86" s="30" t="str">
        <f>'Key Analysis'!B82</f>
        <v/>
      </c>
      <c r="C86" s="29" t="str">
        <f>IF(OR($B86="",$A86&lt;=0),"",--MID('Key Analysis'!$C82,$A86-0,1))</f>
        <v/>
      </c>
      <c r="D86" s="29" t="str">
        <f>IF(OR($B86="",$A86&lt;=1),"",--MID('Key Analysis'!$C82,$A86-1,1))</f>
        <v/>
      </c>
      <c r="E86" s="29" t="str">
        <f>IF(OR($B86="",$A86&lt;=2),"",--MID('Key Analysis'!$C82,$A86-2,1))</f>
        <v/>
      </c>
      <c r="F86" s="29" t="str">
        <f>IF(OR($B86="",$A86&lt;=3),"",--MID('Key Analysis'!$C82,$A86-3,1))</f>
        <v/>
      </c>
      <c r="G86" s="29" t="str">
        <f>IF(OR($B86="",$A86&lt;=4),"",--MID('Key Analysis'!$C82,$A86-4,1))</f>
        <v/>
      </c>
      <c r="H86" s="29" t="str">
        <f>IF(OR($B86="",$A86&lt;=5),"",--MID('Key Analysis'!$C82,$A86-5,1))</f>
        <v/>
      </c>
      <c r="I86" s="29" t="str">
        <f>IF(OR($B86="",$A86&lt;=6),"",--MID('Key Analysis'!$C82,$A86-6,1))</f>
        <v/>
      </c>
      <c r="J86" s="29" t="str">
        <f>IF(OR($B86="",$A86&lt;=7),"",--MID('Key Analysis'!$C82,$A86-7,1))</f>
        <v/>
      </c>
      <c r="K86" s="29" t="str">
        <f>IF(OR($B86="",$A86&lt;=8),"",--MID('Key Analysis'!$C82,$A86-8,1))</f>
        <v/>
      </c>
      <c r="L86" s="29" t="str">
        <f>IF(OR($B86="",$A86&lt;=9),"",--MID('Key Analysis'!$C82,$A86-9,1))</f>
        <v/>
      </c>
      <c r="M86" s="29" t="str">
        <f>IF(OR($B86="",$A86&lt;=10),"",--MID('Key Analysis'!$C82,$A86-10,1))</f>
        <v/>
      </c>
      <c r="N86" s="29" t="str">
        <f>IF(OR($B86="",$A86&lt;=11),"",--MID('Key Analysis'!$C82,$A86-11,1))</f>
        <v/>
      </c>
      <c r="O86" s="29" t="str">
        <f>IF(OR($B86="",$A86&lt;=12),"",--MID('Key Analysis'!$C82,$A86-12,1))</f>
        <v/>
      </c>
      <c r="P86" s="29" t="str">
        <f>IF(OR($B86="",$A86&lt;=13),"",--MID('Key Analysis'!$C82,$A86-13,1))</f>
        <v/>
      </c>
      <c r="Q86" s="29" t="str">
        <f>IF(OR($B86="",$A86&lt;=14),"",--MID('Key Analysis'!$C82,$A86-14,1))</f>
        <v/>
      </c>
      <c r="R86" s="29" t="str">
        <f>IF(OR($B86="",$A86&lt;=15),"",--MID('Key Analysis'!$C82,$A86-15,1))</f>
        <v/>
      </c>
      <c r="S86" s="29" t="str">
        <f>IF(OR($B86="",$A86&lt;=16),"",--MID('Key Analysis'!$C82,$A86-16,1))</f>
        <v/>
      </c>
      <c r="T86" s="29" t="str">
        <f>IF(OR($B86="",$A86&lt;=17),"",--MID('Key Analysis'!$C82,$A86-17,1))</f>
        <v/>
      </c>
      <c r="U86" s="29" t="str">
        <f>IF(OR($B86="",$A86&lt;=18),"",--MID('Key Analysis'!$C82,$A86-18,1))</f>
        <v/>
      </c>
      <c r="V86" s="29" t="str">
        <f>IF(OR($B86="",$A86&lt;=19),"",--MID('Key Analysis'!$C82,$A86-19,1))</f>
        <v/>
      </c>
      <c r="W86" s="29" t="str">
        <f>IF(OR($B86="",$A86&lt;=20),"",--MID('Key Analysis'!$C82,$A86-20,1))</f>
        <v/>
      </c>
      <c r="X86" s="29" t="str">
        <f>IF(OR($B86="",$A86&lt;=21),"",--MID('Key Analysis'!$C82,$A86-21,1))</f>
        <v/>
      </c>
      <c r="Y86" s="29" t="str">
        <f>IF(OR($B86="",$A86&lt;=22),"",--MID('Key Analysis'!$C82,$A86-22,1))</f>
        <v/>
      </c>
      <c r="Z86" s="29" t="str">
        <f>IF(OR($B86="",$A86&lt;=23),"",--MID('Key Analysis'!$C82,$A86-23,1))</f>
        <v/>
      </c>
      <c r="AA86" s="29" t="str">
        <f>IF(OR($B86="",$A86&lt;=24),"",--MID('Key Analysis'!$C82,$A86-24,1))</f>
        <v/>
      </c>
      <c r="AB86" s="29" t="str">
        <f>IF(OR($B86="",$A86&lt;=25),"",--MID('Key Analysis'!$C82,$A86-25,1))</f>
        <v/>
      </c>
      <c r="AC86" s="29" t="str">
        <f>IF(OR($B86="",$A86&lt;=26),"",--MID('Key Analysis'!$C82,$A86-26,1))</f>
        <v/>
      </c>
      <c r="AD86" s="29" t="str">
        <f>IF(OR($B86="",$A86&lt;=27),"",--MID('Key Analysis'!$C82,$A86-27,1))</f>
        <v/>
      </c>
      <c r="AE86" s="29" t="str">
        <f>IF(OR($B86="",$A86&lt;=28),"",--MID('Key Analysis'!$C82,$A86-28,1))</f>
        <v/>
      </c>
      <c r="AF86" s="29" t="str">
        <f>IF(OR($B86="",$A86&lt;=29),"",--MID('Key Analysis'!$C82,$A86-29,1))</f>
        <v/>
      </c>
      <c r="AG86" s="29" t="str">
        <f>IF(OR($B86="",$A86&lt;=30),"",--MID('Key Analysis'!$C82,$A86-30,1))</f>
        <v/>
      </c>
      <c r="AH86" s="29" t="str">
        <f>IF(OR($B86="",$A86&lt;=31),"",--MID('Key Analysis'!$C82,$A86-31,1))</f>
        <v/>
      </c>
      <c r="AI86" s="29" t="str">
        <f>IF(OR($B86="",$A86&lt;=32),"",--MID('Key Analysis'!$C82,$A86-32,1))</f>
        <v/>
      </c>
      <c r="AJ86" s="29" t="str">
        <f>IF(OR($B86="",$A86&lt;=33),"",--MID('Key Analysis'!$C82,$A86-33,1))</f>
        <v/>
      </c>
      <c r="AK86" s="29" t="str">
        <f>IF(OR($B86="",$A86&lt;=34),"",--MID('Key Analysis'!$C82,$A86-34,1))</f>
        <v/>
      </c>
      <c r="AL86" s="29" t="str">
        <f>IF(OR($B86="",$A86&lt;=35),"",--MID('Key Analysis'!$C82,$A86-35,1))</f>
        <v/>
      </c>
      <c r="AM86" s="29" t="str">
        <f>IF(OR($B86="",$A86&lt;=36),"",--MID('Key Analysis'!$C82,$A86-36,1))</f>
        <v/>
      </c>
      <c r="AN86" s="29" t="str">
        <f>IF(OR($B86="",$A86&lt;=37),"",--MID('Key Analysis'!$C82,$A86-37,1))</f>
        <v/>
      </c>
      <c r="AO86" s="29" t="str">
        <f>IF(OR($B86="",$A86&lt;=38),"",--MID('Key Analysis'!$C82,$A86-38,1))</f>
        <v/>
      </c>
      <c r="AP86" s="29" t="str">
        <f>IF(OR($B86="",$A86&lt;=39),"",--MID('Key Analysis'!$C82,$A86-39,1))</f>
        <v/>
      </c>
      <c r="AQ86" s="29" t="str">
        <f>IF(OR($B86="",$A86&lt;=40),"",--MID('Key Analysis'!$C82,$A86-40,1))</f>
        <v/>
      </c>
      <c r="AR86" s="29" t="str">
        <f>IF(OR($B86="",$A86&lt;=41),"",--MID('Key Analysis'!$C82,$A86-41,1))</f>
        <v/>
      </c>
      <c r="AS86" s="29" t="str">
        <f>IF(OR($B86="",$A86&lt;=42),"",--MID('Key Analysis'!$C82,$A86-42,1))</f>
        <v/>
      </c>
      <c r="AT86" s="29" t="str">
        <f>IF(OR($B86="",$A86&lt;=43),"",--MID('Key Analysis'!$C82,$A86-43,1))</f>
        <v/>
      </c>
      <c r="AU86" s="29" t="str">
        <f>IF(OR($B86="",$A86&lt;=44),"",--MID('Key Analysis'!$C82,$A86-44,1))</f>
        <v/>
      </c>
      <c r="AV86" s="29" t="str">
        <f>IF(OR($B86="",$A86&lt;=45),"",--MID('Key Analysis'!$C82,$A86-45,1))</f>
        <v/>
      </c>
      <c r="AW86" s="29" t="str">
        <f>IF(OR($B86="",$A86&lt;=46),"",--MID('Key Analysis'!$C82,$A86-46,1))</f>
        <v/>
      </c>
      <c r="AX86" s="29" t="str">
        <f>IF(OR($B86="",$A86&lt;=47),"",--MID('Key Analysis'!$C82,$A86-47,1))</f>
        <v/>
      </c>
      <c r="AY86" s="29" t="str">
        <f>IF(OR($B86="",$A86&lt;=48),"",--MID('Key Analysis'!$C82,$A86-48,1))</f>
        <v/>
      </c>
      <c r="AZ86" s="29" t="str">
        <f>IF(OR($B86="",$A86&lt;=49),"",--MID('Key Analysis'!$C82,$A86-49,1))</f>
        <v/>
      </c>
      <c r="BA86" s="29" t="str">
        <f>IF(OR($B86="",$A86&lt;=50),"",--MID('Key Analysis'!$C82,$A86-50,1))</f>
        <v/>
      </c>
      <c r="BB86" s="29" t="str">
        <f>IF(OR($B86="",$A86&lt;=51),"",--MID('Key Analysis'!$C82,$A86-51,1))</f>
        <v/>
      </c>
      <c r="BC86" s="29" t="str">
        <f>IF(OR($B86="",$A86&lt;=52),"",--MID('Key Analysis'!$C82,$A86-52,1))</f>
        <v/>
      </c>
      <c r="BD86" s="29" t="str">
        <f>IF(OR($B86="",$A86&lt;=53),"",--MID('Key Analysis'!$C82,$A86-53,1))</f>
        <v/>
      </c>
      <c r="BE86" s="29" t="str">
        <f>IF(OR($B86="",$A86&lt;=54),"",--MID('Key Analysis'!$C82,$A86-54,1))</f>
        <v/>
      </c>
      <c r="BF86" s="29" t="str">
        <f>IF(OR($B86="",$A86&lt;=55),"",--MID('Key Analysis'!$C82,$A86-55,1))</f>
        <v/>
      </c>
      <c r="BG86" s="29" t="str">
        <f>IF(OR($B86="",$A86&lt;=56),"",--MID('Key Analysis'!$C82,$A86-56,1))</f>
        <v/>
      </c>
      <c r="BH86" s="29" t="str">
        <f>IF(OR($B86="",$A86&lt;=57),"",--MID('Key Analysis'!$C82,$A86-57,1))</f>
        <v/>
      </c>
      <c r="BI86" s="29" t="str">
        <f>IF(OR($B86="",$A86&lt;=58),"",--MID('Key Analysis'!$C82,$A86-58,1))</f>
        <v/>
      </c>
      <c r="BJ86" s="29" t="str">
        <f>IF(OR($B86="",$A86&lt;=59),"",--MID('Key Analysis'!$C82,$A86-59,1))</f>
        <v/>
      </c>
      <c r="BK86" s="29" t="str">
        <f>IF(OR($B86="",$A86&lt;=60),"",--MID('Key Analysis'!$C82,$A86-60,1))</f>
        <v/>
      </c>
      <c r="BL86" s="29" t="str">
        <f>IF(OR($B86="",$A86&lt;=61),"",--MID('Key Analysis'!$C82,$A86-61,1))</f>
        <v/>
      </c>
      <c r="BM86" s="29" t="str">
        <f>IF(OR($B86="",$A86&lt;=62),"",--MID('Key Analysis'!$C82,$A86-62,1))</f>
        <v/>
      </c>
      <c r="BN86" s="29" t="str">
        <f>IF(OR($B86="",$A86&lt;=63),"",--MID('Key Analysis'!$C82,$A86-63,1))</f>
        <v/>
      </c>
      <c r="BO86" s="29" t="str">
        <f>IF(OR($B86="",$A86&lt;=64),"",--MID('Key Analysis'!$C82,$A86-64,1))</f>
        <v/>
      </c>
      <c r="BP86" s="29" t="str">
        <f>IF(OR($B86="",$A86&lt;=65),"",--MID('Key Analysis'!$C82,$A86-65,1))</f>
        <v/>
      </c>
      <c r="BQ86" s="29" t="str">
        <f>IF(OR($B86="",$A86&lt;=66),"",--MID('Key Analysis'!$C82,$A86-66,1))</f>
        <v/>
      </c>
      <c r="BR86" s="29" t="str">
        <f>IF(OR($B86="",$A86&lt;=67),"",--MID('Key Analysis'!$C82,$A86-67,1))</f>
        <v/>
      </c>
      <c r="BS86" s="29" t="str">
        <f>IF(OR($B86="",$A86&lt;=68),"",--MID('Key Analysis'!$C82,$A86-68,1))</f>
        <v/>
      </c>
      <c r="BT86" s="29" t="str">
        <f>IF(OR($B86="",$A86&lt;=69),"",--MID('Key Analysis'!$C82,$A86-69,1))</f>
        <v/>
      </c>
      <c r="BU86" s="29" t="str">
        <f>IF(OR($B86="",$A86&lt;=70),"",--MID('Key Analysis'!$C82,$A86-70,1))</f>
        <v/>
      </c>
      <c r="BV86" s="29" t="str">
        <f>IF(OR($B86="",$A86&lt;=71),"",--MID('Key Analysis'!$C82,$A86-71,1))</f>
        <v/>
      </c>
      <c r="BW86" s="29" t="str">
        <f>IF(OR($B86="",$A86&lt;=72),"",--MID('Key Analysis'!$C82,$A86-72,1))</f>
        <v/>
      </c>
      <c r="BX86" s="29" t="str">
        <f>IF(OR($B86="",$A86&lt;=73),"",--MID('Key Analysis'!$C82,$A86-73,1))</f>
        <v/>
      </c>
      <c r="BY86" s="29" t="str">
        <f>IF(OR($B86="",$A86&lt;=74),"",--MID('Key Analysis'!$C82,$A86-74,1))</f>
        <v/>
      </c>
      <c r="BZ86" s="29" t="str">
        <f>IF(OR($B86="",$A86&lt;=75),"",--MID('Key Analysis'!$C82,$A86-75,1))</f>
        <v/>
      </c>
      <c r="CA86" s="29" t="str">
        <f>IF(OR($B86="",$A86&lt;=76),"",--MID('Key Analysis'!$C82,$A86-76,1))</f>
        <v/>
      </c>
      <c r="CB86" s="29" t="str">
        <f>IF(OR($B86="",$A86&lt;=77),"",--MID('Key Analysis'!$C82,$A86-77,1))</f>
        <v/>
      </c>
      <c r="CC86" s="29" t="str">
        <f>IF(OR($B86="",$A86&lt;=78),"",--MID('Key Analysis'!$C82,$A86-78,1))</f>
        <v/>
      </c>
      <c r="CD86" s="29" t="str">
        <f>IF(OR($B86="",$A86&lt;=79),"",--MID('Key Analysis'!$C82,$A86-79,1))</f>
        <v/>
      </c>
      <c r="CE86" s="29" t="str">
        <f>IF(OR($B86="",$A86&lt;=80),"",--MID('Key Analysis'!$C82,$A86-80,1))</f>
        <v/>
      </c>
      <c r="CF86" s="29" t="str">
        <f>IF(OR($B86="",$A86&lt;=81),"",--MID('Key Analysis'!$C82,$A86-81,1))</f>
        <v/>
      </c>
      <c r="CG86" s="29" t="str">
        <f>IF(OR($B86="",$A86&lt;=82),"",--MID('Key Analysis'!$C82,$A86-82,1))</f>
        <v/>
      </c>
      <c r="CH86" s="29" t="str">
        <f>IF(OR($B86="",$A86&lt;=83),"",--MID('Key Analysis'!$C82,$A86-83,1))</f>
        <v/>
      </c>
      <c r="CI86" s="29" t="str">
        <f>IF(OR($B86="",$A86&lt;=84),"",--MID('Key Analysis'!$C82,$A86-84,1))</f>
        <v/>
      </c>
      <c r="CJ86" s="29" t="str">
        <f>IF(OR($B86="",$A86&lt;=85),"",--MID('Key Analysis'!$C82,$A86-85,1))</f>
        <v/>
      </c>
      <c r="CK86" s="29" t="str">
        <f>IF(OR($B86="",$A86&lt;=86),"",--MID('Key Analysis'!$C82,$A86-86,1))</f>
        <v/>
      </c>
      <c r="CL86" s="29" t="str">
        <f>IF(OR($B86="",$A86&lt;=87),"",--MID('Key Analysis'!$C82,$A86-87,1))</f>
        <v/>
      </c>
      <c r="CM86" s="29" t="str">
        <f>IF(OR($B86="",$A86&lt;=88),"",--MID('Key Analysis'!$C82,$A86-88,1))</f>
        <v/>
      </c>
      <c r="CN86" s="29" t="str">
        <f>IF(OR($B86="",$A86&lt;=89),"",--MID('Key Analysis'!$C82,$A86-89,1))</f>
        <v/>
      </c>
      <c r="CO86" s="29" t="str">
        <f>IF(OR($B86="",$A86&lt;=90),"",--MID('Key Analysis'!$C82,$A86-90,1))</f>
        <v/>
      </c>
      <c r="CP86" s="29" t="str">
        <f>IF(OR($B86="",$A86&lt;=91),"",--MID('Key Analysis'!$C82,$A86-91,1))</f>
        <v/>
      </c>
      <c r="CQ86" s="29" t="str">
        <f>IF(OR($B86="",$A86&lt;=92),"",--MID('Key Analysis'!$C82,$A86-92,1))</f>
        <v/>
      </c>
      <c r="CR86" s="29" t="str">
        <f>IF(OR($B86="",$A86&lt;=93),"",--MID('Key Analysis'!$C82,$A86-93,1))</f>
        <v/>
      </c>
      <c r="CS86" s="29" t="str">
        <f>IF(OR($B86="",$A86&lt;=94),"",--MID('Key Analysis'!$C82,$A86-94,1))</f>
        <v/>
      </c>
      <c r="CT86" s="29" t="str">
        <f>IF(OR($B86="",$A86&lt;=95),"",--MID('Key Analysis'!$C82,$A86-95,1))</f>
        <v/>
      </c>
      <c r="CU86" s="29" t="str">
        <f>IF(OR($B86="",$A86&lt;=96),"",--MID('Key Analysis'!$C82,$A86-96,1))</f>
        <v/>
      </c>
      <c r="CV86" s="29" t="str">
        <f>IF(OR($B86="",$A86&lt;=97),"",--MID('Key Analysis'!$C82,$A86-97,1))</f>
        <v/>
      </c>
      <c r="CW86" s="29" t="str">
        <f>IF(OR($B86="",$A86&lt;=98),"",--MID('Key Analysis'!$C82,$A86-98,1))</f>
        <v/>
      </c>
      <c r="CX86" s="29" t="str">
        <f>IF(OR($B86="",$A86&lt;=99),"",--MID('Key Analysis'!$C82,$A86-99,1))</f>
        <v/>
      </c>
      <c r="CY86" s="29" t="str">
        <f>IF(OR($B86="",$A86&lt;=100),"",--MID('Key Analysis'!$C82,$A86-100,1))</f>
        <v/>
      </c>
      <c r="CZ86" s="29" t="str">
        <f>IF(OR($B86="",$A86&lt;=101),"",--MID('Key Analysis'!$C82,$A86-101,1))</f>
        <v/>
      </c>
      <c r="DA86" s="29" t="str">
        <f>IF(OR($B86="",$A86&lt;=102),"",--MID('Key Analysis'!$C82,$A86-102,1))</f>
        <v/>
      </c>
      <c r="DB86" s="29" t="str">
        <f>IF(OR($B86="",$A86&lt;=103),"",--MID('Key Analysis'!$C82,$A86-103,1))</f>
        <v/>
      </c>
      <c r="DC86" s="29" t="str">
        <f>IF(OR($B86="",$A86&lt;=104),"",--MID('Key Analysis'!$C82,$A86-104,1))</f>
        <v/>
      </c>
      <c r="DD86" s="29" t="str">
        <f>IF(OR($B86="",$A86&lt;=105),"",--MID('Key Analysis'!$C82,$A86-105,1))</f>
        <v/>
      </c>
      <c r="DE86" s="29" t="str">
        <f>IF(OR($B86="",$A86&lt;=106),"",--MID('Key Analysis'!$C82,$A86-106,1))</f>
        <v/>
      </c>
      <c r="DF86" s="29" t="str">
        <f>IF(OR($B86="",$A86&lt;=107),"",--MID('Key Analysis'!$C82,$A86-107,1))</f>
        <v/>
      </c>
      <c r="DG86" s="29" t="str">
        <f>IF(OR($B86="",$A86&lt;=108),"",--MID('Key Analysis'!$C82,$A86-108,1))</f>
        <v/>
      </c>
      <c r="DH86" s="29" t="str">
        <f>IF(OR($B86="",$A86&lt;=109),"",--MID('Key Analysis'!$C82,$A86-109,1))</f>
        <v/>
      </c>
      <c r="DI86" s="29" t="str">
        <f>IF(OR($B86="",$A86&lt;=110),"",--MID('Key Analysis'!$C82,$A86-110,1))</f>
        <v/>
      </c>
      <c r="DJ86" s="29" t="str">
        <f>IF(OR($B86="",$A86&lt;=111),"",--MID('Key Analysis'!$C82,$A86-111,1))</f>
        <v/>
      </c>
      <c r="DK86" s="29" t="str">
        <f>IF(OR($B86="",$A86&lt;=112),"",--MID('Key Analysis'!$C82,$A86-112,1))</f>
        <v/>
      </c>
      <c r="DL86" s="29" t="str">
        <f>IF(OR($B86="",$A86&lt;=113),"",--MID('Key Analysis'!$C82,$A86-113,1))</f>
        <v/>
      </c>
      <c r="DM86" s="29" t="str">
        <f>IF(OR($B86="",$A86&lt;=114),"",--MID('Key Analysis'!$C82,$A86-114,1))</f>
        <v/>
      </c>
      <c r="DN86" s="29" t="str">
        <f>IF(OR($B86="",$A86&lt;=115),"",--MID('Key Analysis'!$C82,$A86-115,1))</f>
        <v/>
      </c>
      <c r="DO86" s="29" t="str">
        <f>IF(OR($B86="",$A86&lt;=116),"",--MID('Key Analysis'!$C82,$A86-116,1))</f>
        <v/>
      </c>
      <c r="DP86" s="29" t="str">
        <f>IF(OR($B86="",$A86&lt;=117),"",--MID('Key Analysis'!$C82,$A86-117,1))</f>
        <v/>
      </c>
      <c r="DQ86" s="29" t="str">
        <f>IF(OR($B86="",$A86&lt;=118),"",--MID('Key Analysis'!$C82,$A86-118,1))</f>
        <v/>
      </c>
      <c r="DR86" s="29" t="str">
        <f>IF(OR($B86="",$A86&lt;=119),"",--MID('Key Analysis'!$C82,$A86-119,1))</f>
        <v/>
      </c>
      <c r="DS86" s="29" t="str">
        <f>IF(OR($B86="",$A86&lt;=120),"",--MID('Key Analysis'!$C82,$A86-120,1))</f>
        <v/>
      </c>
      <c r="DT86" s="29" t="str">
        <f>IF(OR($B86="",$A86&lt;=121),"",--MID('Key Analysis'!$C82,$A86-121,1))</f>
        <v/>
      </c>
      <c r="DU86" s="29" t="str">
        <f>IF(OR($B86="",$A86&lt;=122),"",--MID('Key Analysis'!$C82,$A86-122,1))</f>
        <v/>
      </c>
      <c r="DV86" s="29" t="str">
        <f>IF(OR($B86="",$A86&lt;=123),"",--MID('Key Analysis'!$C82,$A86-123,1))</f>
        <v/>
      </c>
      <c r="DW86" s="29" t="str">
        <f>IF(OR($B86="",$A86&lt;=124),"",--MID('Key Analysis'!$C82,$A86-124,1))</f>
        <v/>
      </c>
      <c r="DX86" s="29" t="str">
        <f>IF(OR($B86="",$A86&lt;=125),"",--MID('Key Analysis'!$C82,$A86-125,1))</f>
        <v/>
      </c>
      <c r="DY86" s="29" t="str">
        <f>IF(OR($B86="",$A86&lt;=126),"",--MID('Key Analysis'!$C82,$A86-126,1))</f>
        <v/>
      </c>
      <c r="DZ86" s="29" t="str">
        <f>IF(OR($B86="",$A86&lt;=127),"",--MID('Key Analysis'!$C82,$A86-127,1))</f>
        <v/>
      </c>
      <c r="EA86" s="29" t="str">
        <f>IF(OR($B86="",$A86&lt;=128),"",--MID('Key Analysis'!$C82,$A86-128,1))</f>
        <v/>
      </c>
      <c r="EB86" s="29" t="str">
        <f>IF(OR($B86="",$A86&lt;=129),"",--MID('Key Analysis'!$C82,$A86-129,1))</f>
        <v/>
      </c>
      <c r="EC86" s="29" t="str">
        <f>IF(OR($B86="",$A86&lt;=130),"",--MID('Key Analysis'!$C82,$A86-130,1))</f>
        <v/>
      </c>
      <c r="ED86" s="29" t="str">
        <f>IF(OR($B86="",$A86&lt;=131),"",--MID('Key Analysis'!$C82,$A86-131,1))</f>
        <v/>
      </c>
      <c r="EE86" s="29" t="str">
        <f>IF(OR($B86="",$A86&lt;=132),"",--MID('Key Analysis'!$C82,$A86-132,1))</f>
        <v/>
      </c>
      <c r="EF86" s="29" t="str">
        <f>IF(OR($B86="",$A86&lt;=133),"",--MID('Key Analysis'!$C82,$A86-133,1))</f>
        <v/>
      </c>
      <c r="EG86" s="29" t="str">
        <f>IF(OR($B86="",$A86&lt;=134),"",--MID('Key Analysis'!$C82,$A86-134,1))</f>
        <v/>
      </c>
      <c r="EH86" s="29"/>
      <c r="EI86" s="29" t="str">
        <f>IF(OR($B86="",$A86&lt;1),"",--MID('Key Analysis'!$C82,1,1))</f>
        <v/>
      </c>
      <c r="EJ86" s="29" t="str">
        <f>IF(OR($B86="",$A86&lt;2),"",--MID('Key Analysis'!$C82,2,1))</f>
        <v/>
      </c>
      <c r="EK86" s="29" t="str">
        <f>IF(OR($B86="",$A86&lt;3),"",--MID('Key Analysis'!$C82,3,1))</f>
        <v/>
      </c>
      <c r="EL86" s="29" t="str">
        <f>IF(OR($B86="",$A86&lt;4),"",--MID('Key Analysis'!$C82,4,1))</f>
        <v/>
      </c>
      <c r="EM86" s="29" t="str">
        <f>IF(OR($B86="",$A86&lt;5),"",--MID('Key Analysis'!$C82,5,1))</f>
        <v/>
      </c>
      <c r="EN86" s="29" t="str">
        <f>IF(OR($B86="",$A86&lt;6),"",--MID('Key Analysis'!$C82,6,1))</f>
        <v/>
      </c>
      <c r="EO86" s="29" t="str">
        <f>IF(OR($B86="",$A86&lt;7),"",--MID('Key Analysis'!$C82,7,1))</f>
        <v/>
      </c>
      <c r="EP86" s="29" t="str">
        <f>IF(OR($B86="",$A86&lt;8),"",--MID('Key Analysis'!$C82,8,1))</f>
        <v/>
      </c>
      <c r="EQ86" s="29" t="str">
        <f>IF(OR($B86="",$A86&lt;9),"",--MID('Key Analysis'!$C82,9,1))</f>
        <v/>
      </c>
      <c r="ER86" s="29" t="str">
        <f>IF(OR($B86="",$A86&lt;10),"",--MID('Key Analysis'!$C82,10,1))</f>
        <v/>
      </c>
      <c r="ES86" s="29" t="str">
        <f>IF(OR($B86="",$A86&lt;11),"",--MID('Key Analysis'!$C82,11,1))</f>
        <v/>
      </c>
      <c r="ET86" s="29" t="str">
        <f>IF(OR($B86="",$A86&lt;12),"",--MID('Key Analysis'!$C82,12,1))</f>
        <v/>
      </c>
      <c r="EU86" s="29" t="str">
        <f>IF(OR($B86="",$A86&lt;13),"",--MID('Key Analysis'!$C82,13,1))</f>
        <v/>
      </c>
      <c r="EV86" s="29" t="str">
        <f>IF(OR($B86="",$A86&lt;14),"",--MID('Key Analysis'!$C82,14,1))</f>
        <v/>
      </c>
      <c r="EW86" s="29" t="str">
        <f>IF(OR($B86="",$A86&lt;15),"",--MID('Key Analysis'!$C82,15,1))</f>
        <v/>
      </c>
      <c r="EX86" s="29" t="str">
        <f>IF(OR($B86="",$A86&lt;16),"",--MID('Key Analysis'!$C82,16,1))</f>
        <v/>
      </c>
      <c r="EY86" s="29" t="str">
        <f>IF(OR($B86="",$A86&lt;17),"",--MID('Key Analysis'!$C82,17,1))</f>
        <v/>
      </c>
      <c r="EZ86" s="29" t="str">
        <f>IF(OR($B86="",$A86&lt;18),"",--MID('Key Analysis'!$C82,18,1))</f>
        <v/>
      </c>
      <c r="FA86" s="29" t="str">
        <f>IF(OR($B86="",$A86&lt;19),"",--MID('Key Analysis'!$C82,19,1))</f>
        <v/>
      </c>
      <c r="FB86" s="29" t="str">
        <f>IF(OR($B86="",$A86&lt;20),"",--MID('Key Analysis'!$C82,20,1))</f>
        <v/>
      </c>
      <c r="FC86" s="29" t="str">
        <f>IF(OR($B86="",$A86&lt;21),"",--MID('Key Analysis'!$C82,21,1))</f>
        <v/>
      </c>
      <c r="FD86" s="29" t="str">
        <f>IF(OR($B86="",$A86&lt;22),"",--MID('Key Analysis'!$C82,22,1))</f>
        <v/>
      </c>
      <c r="FE86" s="29" t="str">
        <f>IF(OR($B86="",$A86&lt;23),"",--MID('Key Analysis'!$C82,23,1))</f>
        <v/>
      </c>
      <c r="FF86" s="29" t="str">
        <f>IF(OR($B86="",$A86&lt;24),"",--MID('Key Analysis'!$C82,24,1))</f>
        <v/>
      </c>
      <c r="FG86" s="29" t="str">
        <f>IF(OR($B86="",$A86&lt;25),"",--MID('Key Analysis'!$C82,25,1))</f>
        <v/>
      </c>
      <c r="FH86" s="29" t="str">
        <f>IF(OR($B86="",$A86&lt;26),"",--MID('Key Analysis'!$C82,26,1))</f>
        <v/>
      </c>
      <c r="FI86" s="29" t="str">
        <f>IF(OR($B86="",$A86&lt;27),"",--MID('Key Analysis'!$C82,27,1))</f>
        <v/>
      </c>
      <c r="FJ86" s="29" t="str">
        <f>IF(OR($B86="",$A86&lt;28),"",--MID('Key Analysis'!$C82,28,1))</f>
        <v/>
      </c>
      <c r="FK86" s="29" t="str">
        <f>IF(OR($B86="",$A86&lt;29),"",--MID('Key Analysis'!$C82,29,1))</f>
        <v/>
      </c>
      <c r="FL86" s="29" t="str">
        <f>IF(OR($B86="",$A86&lt;30),"",--MID('Key Analysis'!$C82,30,1))</f>
        <v/>
      </c>
      <c r="FM86" s="29" t="str">
        <f>IF(OR($B86="",$A86&lt;31),"",--MID('Key Analysis'!$C82,31,1))</f>
        <v/>
      </c>
      <c r="FN86" s="29" t="str">
        <f>IF(OR($B86="",$A86&lt;32),"",--MID('Key Analysis'!$C82,32,1))</f>
        <v/>
      </c>
      <c r="FO86" s="29" t="str">
        <f>IF(OR($B86="",$A86&lt;33),"",--MID('Key Analysis'!$C82,33,1))</f>
        <v/>
      </c>
      <c r="FP86" s="29" t="str">
        <f>IF(OR($B86="",$A86&lt;34),"",--MID('Key Analysis'!$C82,34,1))</f>
        <v/>
      </c>
      <c r="FQ86" s="29" t="str">
        <f>IF(OR($B86="",$A86&lt;35),"",--MID('Key Analysis'!$C82,35,1))</f>
        <v/>
      </c>
      <c r="FR86" s="29" t="str">
        <f>IF(OR($B86="",$A86&lt;36),"",--MID('Key Analysis'!$C82,36,1))</f>
        <v/>
      </c>
      <c r="FS86" s="29" t="str">
        <f>IF(OR($B86="",$A86&lt;37),"",--MID('Key Analysis'!$C82,37,1))</f>
        <v/>
      </c>
      <c r="FT86" s="29" t="str">
        <f>IF(OR($B86="",$A86&lt;38),"",--MID('Key Analysis'!$C82,38,1))</f>
        <v/>
      </c>
      <c r="FU86" s="29" t="str">
        <f>IF(OR($B86="",$A86&lt;39),"",--MID('Key Analysis'!$C82,39,1))</f>
        <v/>
      </c>
      <c r="FV86" s="29" t="str">
        <f>IF(OR($B86="",$A86&lt;40),"",--MID('Key Analysis'!$C82,40,1))</f>
        <v/>
      </c>
      <c r="FW86" s="29" t="str">
        <f>IF(OR($B86="",$A86&lt;41),"",--MID('Key Analysis'!$C82,41,1))</f>
        <v/>
      </c>
      <c r="FX86" s="29" t="str">
        <f>IF(OR($B86="",$A86&lt;42),"",--MID('Key Analysis'!$C82,42,1))</f>
        <v/>
      </c>
      <c r="FY86" s="29" t="str">
        <f>IF(OR($B86="",$A86&lt;43),"",--MID('Key Analysis'!$C82,43,1))</f>
        <v/>
      </c>
      <c r="FZ86" s="29" t="str">
        <f>IF(OR($B86="",$A86&lt;44),"",--MID('Key Analysis'!$C82,44,1))</f>
        <v/>
      </c>
      <c r="GA86" s="29" t="str">
        <f>IF(OR($B86="",$A86&lt;45),"",--MID('Key Analysis'!$C82,45,1))</f>
        <v/>
      </c>
      <c r="GB86" s="29" t="str">
        <f>IF(OR($B86="",$A86&lt;46),"",--MID('Key Analysis'!$C82,46,1))</f>
        <v/>
      </c>
      <c r="GC86" s="29" t="str">
        <f>IF(OR($B86="",$A86&lt;47),"",--MID('Key Analysis'!$C82,47,1))</f>
        <v/>
      </c>
      <c r="GD86" s="29" t="str">
        <f>IF(OR($B86="",$A86&lt;48),"",--MID('Key Analysis'!$C82,48,1))</f>
        <v/>
      </c>
      <c r="GE86" s="29" t="str">
        <f>IF(OR($B86="",$A86&lt;49),"",--MID('Key Analysis'!$C82,49,1))</f>
        <v/>
      </c>
      <c r="GF86" s="29" t="str">
        <f>IF(OR($B86="",$A86&lt;50),"",--MID('Key Analysis'!$C82,50,1))</f>
        <v/>
      </c>
      <c r="GG86" s="29" t="str">
        <f>IF(OR($B86="",$A86&lt;51),"",--MID('Key Analysis'!$C82,51,1))</f>
        <v/>
      </c>
      <c r="GH86" s="29" t="str">
        <f>IF(OR($B86="",$A86&lt;52),"",--MID('Key Analysis'!$C82,52,1))</f>
        <v/>
      </c>
      <c r="GI86" s="29" t="str">
        <f>IF(OR($B86="",$A86&lt;53),"",--MID('Key Analysis'!$C82,53,1))</f>
        <v/>
      </c>
      <c r="GJ86" s="29" t="str">
        <f>IF(OR($B86="",$A86&lt;54),"",--MID('Key Analysis'!$C82,54,1))</f>
        <v/>
      </c>
      <c r="GK86" s="29" t="str">
        <f>IF(OR($B86="",$A86&lt;55),"",--MID('Key Analysis'!$C82,55,1))</f>
        <v/>
      </c>
      <c r="GL86" s="29" t="str">
        <f>IF(OR($B86="",$A86&lt;56),"",--MID('Key Analysis'!$C82,56,1))</f>
        <v/>
      </c>
      <c r="GM86" s="29" t="str">
        <f>IF(OR($B86="",$A86&lt;57),"",--MID('Key Analysis'!$C82,57,1))</f>
        <v/>
      </c>
      <c r="GN86" s="29" t="str">
        <f>IF(OR($B86="",$A86&lt;58),"",--MID('Key Analysis'!$C82,58,1))</f>
        <v/>
      </c>
      <c r="GO86" s="29" t="str">
        <f>IF(OR($B86="",$A86&lt;59),"",--MID('Key Analysis'!$C82,59,1))</f>
        <v/>
      </c>
      <c r="GP86" s="29" t="str">
        <f>IF(OR($B86="",$A86&lt;60),"",--MID('Key Analysis'!$C82,60,1))</f>
        <v/>
      </c>
      <c r="GQ86" s="29" t="str">
        <f>IF(OR($B86="",$A86&lt;61),"",--MID('Key Analysis'!$C82,61,1))</f>
        <v/>
      </c>
      <c r="GR86" s="29" t="str">
        <f>IF(OR($B86="",$A86&lt;62),"",--MID('Key Analysis'!$C82,62,1))</f>
        <v/>
      </c>
      <c r="GS86" s="29" t="str">
        <f>IF(OR($B86="",$A86&lt;63),"",--MID('Key Analysis'!$C82,63,1))</f>
        <v/>
      </c>
      <c r="GT86" s="29" t="str">
        <f>IF(OR($B86="",$A86&lt;64),"",--MID('Key Analysis'!$C82,64,1))</f>
        <v/>
      </c>
      <c r="GU86" s="29" t="str">
        <f>IF(OR($B86="",$A86&lt;65),"",--MID('Key Analysis'!$C82,65,1))</f>
        <v/>
      </c>
      <c r="GV86" s="29" t="str">
        <f>IF(OR($B86="",$A86&lt;66),"",--MID('Key Analysis'!$C82,66,1))</f>
        <v/>
      </c>
      <c r="GW86" s="29" t="str">
        <f>IF(OR($B86="",$A86&lt;67),"",--MID('Key Analysis'!$C82,67,1))</f>
        <v/>
      </c>
      <c r="GX86" s="29" t="str">
        <f>IF(OR($B86="",$A86&lt;68),"",--MID('Key Analysis'!$C82,68,1))</f>
        <v/>
      </c>
      <c r="GY86" s="29" t="str">
        <f>IF(OR($B86="",$A86&lt;69),"",--MID('Key Analysis'!$C82,69,1))</f>
        <v/>
      </c>
      <c r="GZ86" s="29" t="str">
        <f>IF(OR($B86="",$A86&lt;70),"",--MID('Key Analysis'!$C82,70,1))</f>
        <v/>
      </c>
      <c r="HA86" s="29" t="str">
        <f>IF(OR($B86="",$A86&lt;71),"",--MID('Key Analysis'!$C82,71,1))</f>
        <v/>
      </c>
      <c r="HB86" s="29" t="str">
        <f>IF(OR($B86="",$A86&lt;72),"",--MID('Key Analysis'!$C82,72,1))</f>
        <v/>
      </c>
      <c r="HC86" s="29" t="str">
        <f>IF(OR($B86="",$A86&lt;73),"",--MID('Key Analysis'!$C82,73,1))</f>
        <v/>
      </c>
      <c r="HD86" s="29" t="str">
        <f>IF(OR($B86="",$A86&lt;74),"",--MID('Key Analysis'!$C82,74,1))</f>
        <v/>
      </c>
      <c r="HE86" s="29" t="str">
        <f>IF(OR($B86="",$A86&lt;75),"",--MID('Key Analysis'!$C82,75,1))</f>
        <v/>
      </c>
      <c r="HF86" s="29" t="str">
        <f>IF(OR($B86="",$A86&lt;76),"",--MID('Key Analysis'!$C82,76,1))</f>
        <v/>
      </c>
      <c r="HG86" s="29" t="str">
        <f>IF(OR($B86="",$A86&lt;77),"",--MID('Key Analysis'!$C82,77,1))</f>
        <v/>
      </c>
      <c r="HH86" s="29" t="str">
        <f>IF(OR($B86="",$A86&lt;78),"",--MID('Key Analysis'!$C82,78,1))</f>
        <v/>
      </c>
      <c r="HI86" s="29" t="str">
        <f>IF(OR($B86="",$A86&lt;79),"",--MID('Key Analysis'!$C82,79,1))</f>
        <v/>
      </c>
      <c r="HJ86" s="29" t="str">
        <f>IF(OR($B86="",$A86&lt;80),"",--MID('Key Analysis'!$C82,80,1))</f>
        <v/>
      </c>
      <c r="HK86" s="29" t="str">
        <f>IF(OR($B86="",$A86&lt;81),"",--MID('Key Analysis'!$C82,81,1))</f>
        <v/>
      </c>
      <c r="HL86" s="29" t="str">
        <f>IF(OR($B86="",$A86&lt;82),"",--MID('Key Analysis'!$C82,82,1))</f>
        <v/>
      </c>
      <c r="HM86" s="29" t="str">
        <f>IF(OR($B86="",$A86&lt;83),"",--MID('Key Analysis'!$C82,83,1))</f>
        <v/>
      </c>
      <c r="HN86" s="29" t="str">
        <f>IF(OR($B86="",$A86&lt;84),"",--MID('Key Analysis'!$C82,84,1))</f>
        <v/>
      </c>
      <c r="HO86" s="29" t="str">
        <f>IF(OR($B86="",$A86&lt;85),"",--MID('Key Analysis'!$C82,85,1))</f>
        <v/>
      </c>
      <c r="HP86" s="29" t="str">
        <f>IF(OR($B86="",$A86&lt;86),"",--MID('Key Analysis'!$C82,86,1))</f>
        <v/>
      </c>
      <c r="HQ86" s="29" t="str">
        <f>IF(OR($B86="",$A86&lt;87),"",--MID('Key Analysis'!$C82,87,1))</f>
        <v/>
      </c>
      <c r="HR86" s="29" t="str">
        <f>IF(OR($B86="",$A86&lt;88),"",--MID('Key Analysis'!$C82,88,1))</f>
        <v/>
      </c>
      <c r="HS86" s="29" t="str">
        <f>IF(OR($B86="",$A86&lt;89),"",--MID('Key Analysis'!$C82,89,1))</f>
        <v/>
      </c>
      <c r="HT86" s="29" t="str">
        <f>IF(OR($B86="",$A86&lt;90),"",--MID('Key Analysis'!$C82,90,1))</f>
        <v/>
      </c>
      <c r="HU86" s="29" t="str">
        <f>IF(OR($B86="",$A86&lt;91),"",--MID('Key Analysis'!$C82,91,1))</f>
        <v/>
      </c>
      <c r="HV86" s="29" t="str">
        <f>IF(OR($B86="",$A86&lt;92),"",--MID('Key Analysis'!$C82,92,1))</f>
        <v/>
      </c>
      <c r="HW86" s="29" t="str">
        <f>IF(OR($B86="",$A86&lt;93),"",--MID('Key Analysis'!$C82,93,1))</f>
        <v/>
      </c>
      <c r="HX86" s="29" t="str">
        <f>IF(OR($B86="",$A86&lt;94),"",--MID('Key Analysis'!$C82,94,1))</f>
        <v/>
      </c>
      <c r="HY86" s="29" t="str">
        <f>IF(OR($B86="",$A86&lt;95),"",--MID('Key Analysis'!$C82,95,1))</f>
        <v/>
      </c>
      <c r="HZ86" s="29" t="str">
        <f>IF(OR($B86="",$A86&lt;96),"",--MID('Key Analysis'!$C82,96,1))</f>
        <v/>
      </c>
      <c r="IA86" s="29" t="str">
        <f>IF(OR($B86="",$A86&lt;97),"",--MID('Key Analysis'!$C82,97,1))</f>
        <v/>
      </c>
      <c r="IB86" s="29" t="str">
        <f>IF(OR($B86="",$A86&lt;98),"",--MID('Key Analysis'!$C82,98,1))</f>
        <v/>
      </c>
      <c r="IC86" s="29" t="str">
        <f>IF(OR($B86="",$A86&lt;99),"",--MID('Key Analysis'!$C82,99,1))</f>
        <v/>
      </c>
      <c r="ID86" s="29" t="str">
        <f>IF(OR($B86="",$A86&lt;100),"",--MID('Key Analysis'!$C82,100,1))</f>
        <v/>
      </c>
      <c r="IE86" s="29" t="str">
        <f>IF(OR($B86="",$A86&lt;101),"",--MID('Key Analysis'!$C82,101,1))</f>
        <v/>
      </c>
      <c r="IF86" s="29" t="str">
        <f>IF(OR($B86="",$A86&lt;102),"",--MID('Key Analysis'!$C82,102,1))</f>
        <v/>
      </c>
      <c r="IG86" s="29" t="str">
        <f>IF(OR($B86="",$A86&lt;103),"",--MID('Key Analysis'!$C82,103,1))</f>
        <v/>
      </c>
      <c r="IH86" s="29" t="str">
        <f>IF(OR($B86="",$A86&lt;104),"",--MID('Key Analysis'!$C82,104,1))</f>
        <v/>
      </c>
      <c r="II86" s="29" t="str">
        <f>IF(OR($B86="",$A86&lt;105),"",--MID('Key Analysis'!$C82,105,1))</f>
        <v/>
      </c>
      <c r="IJ86" s="29" t="str">
        <f>IF(OR($B86="",$A86&lt;106),"",--MID('Key Analysis'!$C82,106,1))</f>
        <v/>
      </c>
      <c r="IK86" s="29" t="str">
        <f>IF(OR($B86="",$A86&lt;107),"",--MID('Key Analysis'!$C82,107,1))</f>
        <v/>
      </c>
      <c r="IL86" s="29" t="str">
        <f>IF(OR($B86="",$A86&lt;108),"",--MID('Key Analysis'!$C82,108,1))</f>
        <v/>
      </c>
      <c r="IM86" s="29" t="str">
        <f>IF(OR($B86="",$A86&lt;109),"",--MID('Key Analysis'!$C82,109,1))</f>
        <v/>
      </c>
      <c r="IN86" s="29" t="str">
        <f>IF(OR($B86="",$A86&lt;110),"",--MID('Key Analysis'!$C82,110,1))</f>
        <v/>
      </c>
      <c r="IO86" s="29" t="str">
        <f>IF(OR($B86="",$A86&lt;111),"",--MID('Key Analysis'!$C82,111,1))</f>
        <v/>
      </c>
      <c r="IP86" s="29" t="str">
        <f>IF(OR($B86="",$A86&lt;112),"",--MID('Key Analysis'!$C82,112,1))</f>
        <v/>
      </c>
      <c r="IQ86" s="29" t="str">
        <f>IF(OR($B86="",$A86&lt;113),"",--MID('Key Analysis'!$C82,113,1))</f>
        <v/>
      </c>
      <c r="IR86" s="29" t="str">
        <f>IF(OR($B86="",$A86&lt;114),"",--MID('Key Analysis'!$C82,114,1))</f>
        <v/>
      </c>
      <c r="IS86" s="29" t="str">
        <f>IF(OR($B86="",$A86&lt;115),"",--MID('Key Analysis'!$C82,115,1))</f>
        <v/>
      </c>
      <c r="IT86" s="29" t="str">
        <f>IF(OR($B86="",$A86&lt;116),"",--MID('Key Analysis'!$C82,116,1))</f>
        <v/>
      </c>
      <c r="IU86" s="29" t="str">
        <f>IF(OR($B86="",$A86&lt;117),"",--MID('Key Analysis'!$C82,117,1))</f>
        <v/>
      </c>
      <c r="IV86" s="29" t="str">
        <f>IF(OR($B86="",$A86&lt;118),"",--MID('Key Analysis'!$C82,118,1))</f>
        <v/>
      </c>
      <c r="IW86" s="29" t="str">
        <f>IF(OR($B86="",$A86&lt;119),"",--MID('Key Analysis'!$C82,119,1))</f>
        <v/>
      </c>
      <c r="IX86" s="29" t="str">
        <f>IF(OR($B86="",$A86&lt;120),"",--MID('Key Analysis'!$C82,120,1))</f>
        <v/>
      </c>
      <c r="IY86" s="29" t="str">
        <f>IF(OR($B86="",$A86&lt;121),"",--MID('Key Analysis'!$C82,121,1))</f>
        <v/>
      </c>
      <c r="IZ86" s="29" t="str">
        <f>IF(OR($B86="",$A86&lt;122),"",--MID('Key Analysis'!$C82,122,1))</f>
        <v/>
      </c>
      <c r="JA86" s="29" t="str">
        <f>IF(OR($B86="",$A86&lt;123),"",--MID('Key Analysis'!$C82,123,1))</f>
        <v/>
      </c>
      <c r="JB86" s="29" t="str">
        <f>IF(OR($B86="",$A86&lt;124),"",--MID('Key Analysis'!$C82,124,1))</f>
        <v/>
      </c>
      <c r="JC86" s="29" t="str">
        <f>IF(OR($B86="",$A86&lt;125),"",--MID('Key Analysis'!$C82,125,1))</f>
        <v/>
      </c>
      <c r="JD86" s="29" t="str">
        <f>IF(OR($B86="",$A86&lt;126),"",--MID('Key Analysis'!$C82,126,1))</f>
        <v/>
      </c>
      <c r="JE86" s="29" t="str">
        <f>IF(OR($B86="",$A86&lt;127),"",--MID('Key Analysis'!$C82,127,1))</f>
        <v/>
      </c>
      <c r="JF86" s="29" t="str">
        <f>IF(OR($B86="",$A86&lt;128),"",--MID('Key Analysis'!$C82,128,1))</f>
        <v/>
      </c>
      <c r="JG86" s="29" t="str">
        <f>IF(OR($B86="",$A86&lt;129),"",--MID('Key Analysis'!$C82,129,1))</f>
        <v/>
      </c>
      <c r="JH86" s="29" t="str">
        <f>IF(OR($B86="",$A86&lt;130),"",--MID('Key Analysis'!$C82,130,1))</f>
        <v/>
      </c>
      <c r="JI86" s="29" t="str">
        <f>IF(OR($B86="",$A86&lt;131),"",--MID('Key Analysis'!$C82,131,1))</f>
        <v/>
      </c>
      <c r="JJ86" s="29" t="str">
        <f>IF(OR($B86="",$A86&lt;132),"",--MID('Key Analysis'!$C82,132,1))</f>
        <v/>
      </c>
      <c r="JK86" s="29" t="str">
        <f>IF(OR($B86="",$A86&lt;133),"",--MID('Key Analysis'!$C82,133,1))</f>
        <v/>
      </c>
      <c r="JL86" s="29" t="str">
        <f>IF(OR($B86="",$A86&lt;134),"",--MID('Key Analysis'!$C82,134,1))</f>
        <v/>
      </c>
      <c r="JM86" s="29" t="str">
        <f>IF(OR($B86="",$A86&lt;135),"",--MID('Key Analysis'!$C82,135,1))</f>
        <v/>
      </c>
    </row>
    <row r="87" spans="1:273" x14ac:dyDescent="0.25">
      <c r="A87" s="21">
        <f>'Key Analysis'!A83</f>
        <v>82</v>
      </c>
      <c r="B87" s="30" t="str">
        <f>'Key Analysis'!B83</f>
        <v/>
      </c>
      <c r="C87" s="29" t="str">
        <f>IF(OR($B87="",$A87&lt;=0),"",--MID('Key Analysis'!$C83,$A87-0,1))</f>
        <v/>
      </c>
      <c r="D87" s="29" t="str">
        <f>IF(OR($B87="",$A87&lt;=1),"",--MID('Key Analysis'!$C83,$A87-1,1))</f>
        <v/>
      </c>
      <c r="E87" s="29" t="str">
        <f>IF(OR($B87="",$A87&lt;=2),"",--MID('Key Analysis'!$C83,$A87-2,1))</f>
        <v/>
      </c>
      <c r="F87" s="29" t="str">
        <f>IF(OR($B87="",$A87&lt;=3),"",--MID('Key Analysis'!$C83,$A87-3,1))</f>
        <v/>
      </c>
      <c r="G87" s="29" t="str">
        <f>IF(OR($B87="",$A87&lt;=4),"",--MID('Key Analysis'!$C83,$A87-4,1))</f>
        <v/>
      </c>
      <c r="H87" s="29" t="str">
        <f>IF(OR($B87="",$A87&lt;=5),"",--MID('Key Analysis'!$C83,$A87-5,1))</f>
        <v/>
      </c>
      <c r="I87" s="29" t="str">
        <f>IF(OR($B87="",$A87&lt;=6),"",--MID('Key Analysis'!$C83,$A87-6,1))</f>
        <v/>
      </c>
      <c r="J87" s="29" t="str">
        <f>IF(OR($B87="",$A87&lt;=7),"",--MID('Key Analysis'!$C83,$A87-7,1))</f>
        <v/>
      </c>
      <c r="K87" s="29" t="str">
        <f>IF(OR($B87="",$A87&lt;=8),"",--MID('Key Analysis'!$C83,$A87-8,1))</f>
        <v/>
      </c>
      <c r="L87" s="29" t="str">
        <f>IF(OR($B87="",$A87&lt;=9),"",--MID('Key Analysis'!$C83,$A87-9,1))</f>
        <v/>
      </c>
      <c r="M87" s="29" t="str">
        <f>IF(OR($B87="",$A87&lt;=10),"",--MID('Key Analysis'!$C83,$A87-10,1))</f>
        <v/>
      </c>
      <c r="N87" s="29" t="str">
        <f>IF(OR($B87="",$A87&lt;=11),"",--MID('Key Analysis'!$C83,$A87-11,1))</f>
        <v/>
      </c>
      <c r="O87" s="29" t="str">
        <f>IF(OR($B87="",$A87&lt;=12),"",--MID('Key Analysis'!$C83,$A87-12,1))</f>
        <v/>
      </c>
      <c r="P87" s="29" t="str">
        <f>IF(OR($B87="",$A87&lt;=13),"",--MID('Key Analysis'!$C83,$A87-13,1))</f>
        <v/>
      </c>
      <c r="Q87" s="29" t="str">
        <f>IF(OR($B87="",$A87&lt;=14),"",--MID('Key Analysis'!$C83,$A87-14,1))</f>
        <v/>
      </c>
      <c r="R87" s="29" t="str">
        <f>IF(OR($B87="",$A87&lt;=15),"",--MID('Key Analysis'!$C83,$A87-15,1))</f>
        <v/>
      </c>
      <c r="S87" s="29" t="str">
        <f>IF(OR($B87="",$A87&lt;=16),"",--MID('Key Analysis'!$C83,$A87-16,1))</f>
        <v/>
      </c>
      <c r="T87" s="29" t="str">
        <f>IF(OR($B87="",$A87&lt;=17),"",--MID('Key Analysis'!$C83,$A87-17,1))</f>
        <v/>
      </c>
      <c r="U87" s="29" t="str">
        <f>IF(OR($B87="",$A87&lt;=18),"",--MID('Key Analysis'!$C83,$A87-18,1))</f>
        <v/>
      </c>
      <c r="V87" s="29" t="str">
        <f>IF(OR($B87="",$A87&lt;=19),"",--MID('Key Analysis'!$C83,$A87-19,1))</f>
        <v/>
      </c>
      <c r="W87" s="29" t="str">
        <f>IF(OR($B87="",$A87&lt;=20),"",--MID('Key Analysis'!$C83,$A87-20,1))</f>
        <v/>
      </c>
      <c r="X87" s="29" t="str">
        <f>IF(OR($B87="",$A87&lt;=21),"",--MID('Key Analysis'!$C83,$A87-21,1))</f>
        <v/>
      </c>
      <c r="Y87" s="29" t="str">
        <f>IF(OR($B87="",$A87&lt;=22),"",--MID('Key Analysis'!$C83,$A87-22,1))</f>
        <v/>
      </c>
      <c r="Z87" s="29" t="str">
        <f>IF(OR($B87="",$A87&lt;=23),"",--MID('Key Analysis'!$C83,$A87-23,1))</f>
        <v/>
      </c>
      <c r="AA87" s="29" t="str">
        <f>IF(OR($B87="",$A87&lt;=24),"",--MID('Key Analysis'!$C83,$A87-24,1))</f>
        <v/>
      </c>
      <c r="AB87" s="29" t="str">
        <f>IF(OR($B87="",$A87&lt;=25),"",--MID('Key Analysis'!$C83,$A87-25,1))</f>
        <v/>
      </c>
      <c r="AC87" s="29" t="str">
        <f>IF(OR($B87="",$A87&lt;=26),"",--MID('Key Analysis'!$C83,$A87-26,1))</f>
        <v/>
      </c>
      <c r="AD87" s="29" t="str">
        <f>IF(OR($B87="",$A87&lt;=27),"",--MID('Key Analysis'!$C83,$A87-27,1))</f>
        <v/>
      </c>
      <c r="AE87" s="29" t="str">
        <f>IF(OR($B87="",$A87&lt;=28),"",--MID('Key Analysis'!$C83,$A87-28,1))</f>
        <v/>
      </c>
      <c r="AF87" s="29" t="str">
        <f>IF(OR($B87="",$A87&lt;=29),"",--MID('Key Analysis'!$C83,$A87-29,1))</f>
        <v/>
      </c>
      <c r="AG87" s="29" t="str">
        <f>IF(OR($B87="",$A87&lt;=30),"",--MID('Key Analysis'!$C83,$A87-30,1))</f>
        <v/>
      </c>
      <c r="AH87" s="29" t="str">
        <f>IF(OR($B87="",$A87&lt;=31),"",--MID('Key Analysis'!$C83,$A87-31,1))</f>
        <v/>
      </c>
      <c r="AI87" s="29" t="str">
        <f>IF(OR($B87="",$A87&lt;=32),"",--MID('Key Analysis'!$C83,$A87-32,1))</f>
        <v/>
      </c>
      <c r="AJ87" s="29" t="str">
        <f>IF(OR($B87="",$A87&lt;=33),"",--MID('Key Analysis'!$C83,$A87-33,1))</f>
        <v/>
      </c>
      <c r="AK87" s="29" t="str">
        <f>IF(OR($B87="",$A87&lt;=34),"",--MID('Key Analysis'!$C83,$A87-34,1))</f>
        <v/>
      </c>
      <c r="AL87" s="29" t="str">
        <f>IF(OR($B87="",$A87&lt;=35),"",--MID('Key Analysis'!$C83,$A87-35,1))</f>
        <v/>
      </c>
      <c r="AM87" s="29" t="str">
        <f>IF(OR($B87="",$A87&lt;=36),"",--MID('Key Analysis'!$C83,$A87-36,1))</f>
        <v/>
      </c>
      <c r="AN87" s="29" t="str">
        <f>IF(OR($B87="",$A87&lt;=37),"",--MID('Key Analysis'!$C83,$A87-37,1))</f>
        <v/>
      </c>
      <c r="AO87" s="29" t="str">
        <f>IF(OR($B87="",$A87&lt;=38),"",--MID('Key Analysis'!$C83,$A87-38,1))</f>
        <v/>
      </c>
      <c r="AP87" s="29" t="str">
        <f>IF(OR($B87="",$A87&lt;=39),"",--MID('Key Analysis'!$C83,$A87-39,1))</f>
        <v/>
      </c>
      <c r="AQ87" s="29" t="str">
        <f>IF(OR($B87="",$A87&lt;=40),"",--MID('Key Analysis'!$C83,$A87-40,1))</f>
        <v/>
      </c>
      <c r="AR87" s="29" t="str">
        <f>IF(OR($B87="",$A87&lt;=41),"",--MID('Key Analysis'!$C83,$A87-41,1))</f>
        <v/>
      </c>
      <c r="AS87" s="29" t="str">
        <f>IF(OR($B87="",$A87&lt;=42),"",--MID('Key Analysis'!$C83,$A87-42,1))</f>
        <v/>
      </c>
      <c r="AT87" s="29" t="str">
        <f>IF(OR($B87="",$A87&lt;=43),"",--MID('Key Analysis'!$C83,$A87-43,1))</f>
        <v/>
      </c>
      <c r="AU87" s="29" t="str">
        <f>IF(OR($B87="",$A87&lt;=44),"",--MID('Key Analysis'!$C83,$A87-44,1))</f>
        <v/>
      </c>
      <c r="AV87" s="29" t="str">
        <f>IF(OR($B87="",$A87&lt;=45),"",--MID('Key Analysis'!$C83,$A87-45,1))</f>
        <v/>
      </c>
      <c r="AW87" s="29" t="str">
        <f>IF(OR($B87="",$A87&lt;=46),"",--MID('Key Analysis'!$C83,$A87-46,1))</f>
        <v/>
      </c>
      <c r="AX87" s="29" t="str">
        <f>IF(OR($B87="",$A87&lt;=47),"",--MID('Key Analysis'!$C83,$A87-47,1))</f>
        <v/>
      </c>
      <c r="AY87" s="29" t="str">
        <f>IF(OR($B87="",$A87&lt;=48),"",--MID('Key Analysis'!$C83,$A87-48,1))</f>
        <v/>
      </c>
      <c r="AZ87" s="29" t="str">
        <f>IF(OR($B87="",$A87&lt;=49),"",--MID('Key Analysis'!$C83,$A87-49,1))</f>
        <v/>
      </c>
      <c r="BA87" s="29" t="str">
        <f>IF(OR($B87="",$A87&lt;=50),"",--MID('Key Analysis'!$C83,$A87-50,1))</f>
        <v/>
      </c>
      <c r="BB87" s="29" t="str">
        <f>IF(OR($B87="",$A87&lt;=51),"",--MID('Key Analysis'!$C83,$A87-51,1))</f>
        <v/>
      </c>
      <c r="BC87" s="29" t="str">
        <f>IF(OR($B87="",$A87&lt;=52),"",--MID('Key Analysis'!$C83,$A87-52,1))</f>
        <v/>
      </c>
      <c r="BD87" s="29" t="str">
        <f>IF(OR($B87="",$A87&lt;=53),"",--MID('Key Analysis'!$C83,$A87-53,1))</f>
        <v/>
      </c>
      <c r="BE87" s="29" t="str">
        <f>IF(OR($B87="",$A87&lt;=54),"",--MID('Key Analysis'!$C83,$A87-54,1))</f>
        <v/>
      </c>
      <c r="BF87" s="29" t="str">
        <f>IF(OR($B87="",$A87&lt;=55),"",--MID('Key Analysis'!$C83,$A87-55,1))</f>
        <v/>
      </c>
      <c r="BG87" s="29" t="str">
        <f>IF(OR($B87="",$A87&lt;=56),"",--MID('Key Analysis'!$C83,$A87-56,1))</f>
        <v/>
      </c>
      <c r="BH87" s="29" t="str">
        <f>IF(OR($B87="",$A87&lt;=57),"",--MID('Key Analysis'!$C83,$A87-57,1))</f>
        <v/>
      </c>
      <c r="BI87" s="29" t="str">
        <f>IF(OR($B87="",$A87&lt;=58),"",--MID('Key Analysis'!$C83,$A87-58,1))</f>
        <v/>
      </c>
      <c r="BJ87" s="29" t="str">
        <f>IF(OR($B87="",$A87&lt;=59),"",--MID('Key Analysis'!$C83,$A87-59,1))</f>
        <v/>
      </c>
      <c r="BK87" s="29" t="str">
        <f>IF(OR($B87="",$A87&lt;=60),"",--MID('Key Analysis'!$C83,$A87-60,1))</f>
        <v/>
      </c>
      <c r="BL87" s="29" t="str">
        <f>IF(OR($B87="",$A87&lt;=61),"",--MID('Key Analysis'!$C83,$A87-61,1))</f>
        <v/>
      </c>
      <c r="BM87" s="29" t="str">
        <f>IF(OR($B87="",$A87&lt;=62),"",--MID('Key Analysis'!$C83,$A87-62,1))</f>
        <v/>
      </c>
      <c r="BN87" s="29" t="str">
        <f>IF(OR($B87="",$A87&lt;=63),"",--MID('Key Analysis'!$C83,$A87-63,1))</f>
        <v/>
      </c>
      <c r="BO87" s="29" t="str">
        <f>IF(OR($B87="",$A87&lt;=64),"",--MID('Key Analysis'!$C83,$A87-64,1))</f>
        <v/>
      </c>
      <c r="BP87" s="29" t="str">
        <f>IF(OR($B87="",$A87&lt;=65),"",--MID('Key Analysis'!$C83,$A87-65,1))</f>
        <v/>
      </c>
      <c r="BQ87" s="29" t="str">
        <f>IF(OR($B87="",$A87&lt;=66),"",--MID('Key Analysis'!$C83,$A87-66,1))</f>
        <v/>
      </c>
      <c r="BR87" s="29" t="str">
        <f>IF(OR($B87="",$A87&lt;=67),"",--MID('Key Analysis'!$C83,$A87-67,1))</f>
        <v/>
      </c>
      <c r="BS87" s="29" t="str">
        <f>IF(OR($B87="",$A87&lt;=68),"",--MID('Key Analysis'!$C83,$A87-68,1))</f>
        <v/>
      </c>
      <c r="BT87" s="29" t="str">
        <f>IF(OR($B87="",$A87&lt;=69),"",--MID('Key Analysis'!$C83,$A87-69,1))</f>
        <v/>
      </c>
      <c r="BU87" s="29" t="str">
        <f>IF(OR($B87="",$A87&lt;=70),"",--MID('Key Analysis'!$C83,$A87-70,1))</f>
        <v/>
      </c>
      <c r="BV87" s="29" t="str">
        <f>IF(OR($B87="",$A87&lt;=71),"",--MID('Key Analysis'!$C83,$A87-71,1))</f>
        <v/>
      </c>
      <c r="BW87" s="29" t="str">
        <f>IF(OR($B87="",$A87&lt;=72),"",--MID('Key Analysis'!$C83,$A87-72,1))</f>
        <v/>
      </c>
      <c r="BX87" s="29" t="str">
        <f>IF(OR($B87="",$A87&lt;=73),"",--MID('Key Analysis'!$C83,$A87-73,1))</f>
        <v/>
      </c>
      <c r="BY87" s="29" t="str">
        <f>IF(OR($B87="",$A87&lt;=74),"",--MID('Key Analysis'!$C83,$A87-74,1))</f>
        <v/>
      </c>
      <c r="BZ87" s="29" t="str">
        <f>IF(OR($B87="",$A87&lt;=75),"",--MID('Key Analysis'!$C83,$A87-75,1))</f>
        <v/>
      </c>
      <c r="CA87" s="29" t="str">
        <f>IF(OR($B87="",$A87&lt;=76),"",--MID('Key Analysis'!$C83,$A87-76,1))</f>
        <v/>
      </c>
      <c r="CB87" s="29" t="str">
        <f>IF(OR($B87="",$A87&lt;=77),"",--MID('Key Analysis'!$C83,$A87-77,1))</f>
        <v/>
      </c>
      <c r="CC87" s="29" t="str">
        <f>IF(OR($B87="",$A87&lt;=78),"",--MID('Key Analysis'!$C83,$A87-78,1))</f>
        <v/>
      </c>
      <c r="CD87" s="29" t="str">
        <f>IF(OR($B87="",$A87&lt;=79),"",--MID('Key Analysis'!$C83,$A87-79,1))</f>
        <v/>
      </c>
      <c r="CE87" s="29" t="str">
        <f>IF(OR($B87="",$A87&lt;=80),"",--MID('Key Analysis'!$C83,$A87-80,1))</f>
        <v/>
      </c>
      <c r="CF87" s="29" t="str">
        <f>IF(OR($B87="",$A87&lt;=81),"",--MID('Key Analysis'!$C83,$A87-81,1))</f>
        <v/>
      </c>
      <c r="CG87" s="29" t="str">
        <f>IF(OR($B87="",$A87&lt;=82),"",--MID('Key Analysis'!$C83,$A87-82,1))</f>
        <v/>
      </c>
      <c r="CH87" s="29" t="str">
        <f>IF(OR($B87="",$A87&lt;=83),"",--MID('Key Analysis'!$C83,$A87-83,1))</f>
        <v/>
      </c>
      <c r="CI87" s="29" t="str">
        <f>IF(OR($B87="",$A87&lt;=84),"",--MID('Key Analysis'!$C83,$A87-84,1))</f>
        <v/>
      </c>
      <c r="CJ87" s="29" t="str">
        <f>IF(OR($B87="",$A87&lt;=85),"",--MID('Key Analysis'!$C83,$A87-85,1))</f>
        <v/>
      </c>
      <c r="CK87" s="29" t="str">
        <f>IF(OR($B87="",$A87&lt;=86),"",--MID('Key Analysis'!$C83,$A87-86,1))</f>
        <v/>
      </c>
      <c r="CL87" s="29" t="str">
        <f>IF(OR($B87="",$A87&lt;=87),"",--MID('Key Analysis'!$C83,$A87-87,1))</f>
        <v/>
      </c>
      <c r="CM87" s="29" t="str">
        <f>IF(OR($B87="",$A87&lt;=88),"",--MID('Key Analysis'!$C83,$A87-88,1))</f>
        <v/>
      </c>
      <c r="CN87" s="29" t="str">
        <f>IF(OR($B87="",$A87&lt;=89),"",--MID('Key Analysis'!$C83,$A87-89,1))</f>
        <v/>
      </c>
      <c r="CO87" s="29" t="str">
        <f>IF(OR($B87="",$A87&lt;=90),"",--MID('Key Analysis'!$C83,$A87-90,1))</f>
        <v/>
      </c>
      <c r="CP87" s="29" t="str">
        <f>IF(OR($B87="",$A87&lt;=91),"",--MID('Key Analysis'!$C83,$A87-91,1))</f>
        <v/>
      </c>
      <c r="CQ87" s="29" t="str">
        <f>IF(OR($B87="",$A87&lt;=92),"",--MID('Key Analysis'!$C83,$A87-92,1))</f>
        <v/>
      </c>
      <c r="CR87" s="29" t="str">
        <f>IF(OR($B87="",$A87&lt;=93),"",--MID('Key Analysis'!$C83,$A87-93,1))</f>
        <v/>
      </c>
      <c r="CS87" s="29" t="str">
        <f>IF(OR($B87="",$A87&lt;=94),"",--MID('Key Analysis'!$C83,$A87-94,1))</f>
        <v/>
      </c>
      <c r="CT87" s="29" t="str">
        <f>IF(OR($B87="",$A87&lt;=95),"",--MID('Key Analysis'!$C83,$A87-95,1))</f>
        <v/>
      </c>
      <c r="CU87" s="29" t="str">
        <f>IF(OR($B87="",$A87&lt;=96),"",--MID('Key Analysis'!$C83,$A87-96,1))</f>
        <v/>
      </c>
      <c r="CV87" s="29" t="str">
        <f>IF(OR($B87="",$A87&lt;=97),"",--MID('Key Analysis'!$C83,$A87-97,1))</f>
        <v/>
      </c>
      <c r="CW87" s="29" t="str">
        <f>IF(OR($B87="",$A87&lt;=98),"",--MID('Key Analysis'!$C83,$A87-98,1))</f>
        <v/>
      </c>
      <c r="CX87" s="29" t="str">
        <f>IF(OR($B87="",$A87&lt;=99),"",--MID('Key Analysis'!$C83,$A87-99,1))</f>
        <v/>
      </c>
      <c r="CY87" s="29" t="str">
        <f>IF(OR($B87="",$A87&lt;=100),"",--MID('Key Analysis'!$C83,$A87-100,1))</f>
        <v/>
      </c>
      <c r="CZ87" s="29" t="str">
        <f>IF(OR($B87="",$A87&lt;=101),"",--MID('Key Analysis'!$C83,$A87-101,1))</f>
        <v/>
      </c>
      <c r="DA87" s="29" t="str">
        <f>IF(OR($B87="",$A87&lt;=102),"",--MID('Key Analysis'!$C83,$A87-102,1))</f>
        <v/>
      </c>
      <c r="DB87" s="29" t="str">
        <f>IF(OR($B87="",$A87&lt;=103),"",--MID('Key Analysis'!$C83,$A87-103,1))</f>
        <v/>
      </c>
      <c r="DC87" s="29" t="str">
        <f>IF(OR($B87="",$A87&lt;=104),"",--MID('Key Analysis'!$C83,$A87-104,1))</f>
        <v/>
      </c>
      <c r="DD87" s="29" t="str">
        <f>IF(OR($B87="",$A87&lt;=105),"",--MID('Key Analysis'!$C83,$A87-105,1))</f>
        <v/>
      </c>
      <c r="DE87" s="29" t="str">
        <f>IF(OR($B87="",$A87&lt;=106),"",--MID('Key Analysis'!$C83,$A87-106,1))</f>
        <v/>
      </c>
      <c r="DF87" s="29" t="str">
        <f>IF(OR($B87="",$A87&lt;=107),"",--MID('Key Analysis'!$C83,$A87-107,1))</f>
        <v/>
      </c>
      <c r="DG87" s="29" t="str">
        <f>IF(OR($B87="",$A87&lt;=108),"",--MID('Key Analysis'!$C83,$A87-108,1))</f>
        <v/>
      </c>
      <c r="DH87" s="29" t="str">
        <f>IF(OR($B87="",$A87&lt;=109),"",--MID('Key Analysis'!$C83,$A87-109,1))</f>
        <v/>
      </c>
      <c r="DI87" s="29" t="str">
        <f>IF(OR($B87="",$A87&lt;=110),"",--MID('Key Analysis'!$C83,$A87-110,1))</f>
        <v/>
      </c>
      <c r="DJ87" s="29" t="str">
        <f>IF(OR($B87="",$A87&lt;=111),"",--MID('Key Analysis'!$C83,$A87-111,1))</f>
        <v/>
      </c>
      <c r="DK87" s="29" t="str">
        <f>IF(OR($B87="",$A87&lt;=112),"",--MID('Key Analysis'!$C83,$A87-112,1))</f>
        <v/>
      </c>
      <c r="DL87" s="29" t="str">
        <f>IF(OR($B87="",$A87&lt;=113),"",--MID('Key Analysis'!$C83,$A87-113,1))</f>
        <v/>
      </c>
      <c r="DM87" s="29" t="str">
        <f>IF(OR($B87="",$A87&lt;=114),"",--MID('Key Analysis'!$C83,$A87-114,1))</f>
        <v/>
      </c>
      <c r="DN87" s="29" t="str">
        <f>IF(OR($B87="",$A87&lt;=115),"",--MID('Key Analysis'!$C83,$A87-115,1))</f>
        <v/>
      </c>
      <c r="DO87" s="29" t="str">
        <f>IF(OR($B87="",$A87&lt;=116),"",--MID('Key Analysis'!$C83,$A87-116,1))</f>
        <v/>
      </c>
      <c r="DP87" s="29" t="str">
        <f>IF(OR($B87="",$A87&lt;=117),"",--MID('Key Analysis'!$C83,$A87-117,1))</f>
        <v/>
      </c>
      <c r="DQ87" s="29" t="str">
        <f>IF(OR($B87="",$A87&lt;=118),"",--MID('Key Analysis'!$C83,$A87-118,1))</f>
        <v/>
      </c>
      <c r="DR87" s="29" t="str">
        <f>IF(OR($B87="",$A87&lt;=119),"",--MID('Key Analysis'!$C83,$A87-119,1))</f>
        <v/>
      </c>
      <c r="DS87" s="29" t="str">
        <f>IF(OR($B87="",$A87&lt;=120),"",--MID('Key Analysis'!$C83,$A87-120,1))</f>
        <v/>
      </c>
      <c r="DT87" s="29" t="str">
        <f>IF(OR($B87="",$A87&lt;=121),"",--MID('Key Analysis'!$C83,$A87-121,1))</f>
        <v/>
      </c>
      <c r="DU87" s="29" t="str">
        <f>IF(OR($B87="",$A87&lt;=122),"",--MID('Key Analysis'!$C83,$A87-122,1))</f>
        <v/>
      </c>
      <c r="DV87" s="29" t="str">
        <f>IF(OR($B87="",$A87&lt;=123),"",--MID('Key Analysis'!$C83,$A87-123,1))</f>
        <v/>
      </c>
      <c r="DW87" s="29" t="str">
        <f>IF(OR($B87="",$A87&lt;=124),"",--MID('Key Analysis'!$C83,$A87-124,1))</f>
        <v/>
      </c>
      <c r="DX87" s="29" t="str">
        <f>IF(OR($B87="",$A87&lt;=125),"",--MID('Key Analysis'!$C83,$A87-125,1))</f>
        <v/>
      </c>
      <c r="DY87" s="29" t="str">
        <f>IF(OR($B87="",$A87&lt;=126),"",--MID('Key Analysis'!$C83,$A87-126,1))</f>
        <v/>
      </c>
      <c r="DZ87" s="29" t="str">
        <f>IF(OR($B87="",$A87&lt;=127),"",--MID('Key Analysis'!$C83,$A87-127,1))</f>
        <v/>
      </c>
      <c r="EA87" s="29" t="str">
        <f>IF(OR($B87="",$A87&lt;=128),"",--MID('Key Analysis'!$C83,$A87-128,1))</f>
        <v/>
      </c>
      <c r="EB87" s="29" t="str">
        <f>IF(OR($B87="",$A87&lt;=129),"",--MID('Key Analysis'!$C83,$A87-129,1))</f>
        <v/>
      </c>
      <c r="EC87" s="29" t="str">
        <f>IF(OR($B87="",$A87&lt;=130),"",--MID('Key Analysis'!$C83,$A87-130,1))</f>
        <v/>
      </c>
      <c r="ED87" s="29" t="str">
        <f>IF(OR($B87="",$A87&lt;=131),"",--MID('Key Analysis'!$C83,$A87-131,1))</f>
        <v/>
      </c>
      <c r="EE87" s="29" t="str">
        <f>IF(OR($B87="",$A87&lt;=132),"",--MID('Key Analysis'!$C83,$A87-132,1))</f>
        <v/>
      </c>
      <c r="EF87" s="29" t="str">
        <f>IF(OR($B87="",$A87&lt;=133),"",--MID('Key Analysis'!$C83,$A87-133,1))</f>
        <v/>
      </c>
      <c r="EG87" s="29" t="str">
        <f>IF(OR($B87="",$A87&lt;=134),"",--MID('Key Analysis'!$C83,$A87-134,1))</f>
        <v/>
      </c>
      <c r="EH87" s="29"/>
      <c r="EI87" s="29" t="str">
        <f>IF(OR($B87="",$A87&lt;1),"",--MID('Key Analysis'!$C83,1,1))</f>
        <v/>
      </c>
      <c r="EJ87" s="29" t="str">
        <f>IF(OR($B87="",$A87&lt;2),"",--MID('Key Analysis'!$C83,2,1))</f>
        <v/>
      </c>
      <c r="EK87" s="29" t="str">
        <f>IF(OR($B87="",$A87&lt;3),"",--MID('Key Analysis'!$C83,3,1))</f>
        <v/>
      </c>
      <c r="EL87" s="29" t="str">
        <f>IF(OR($B87="",$A87&lt;4),"",--MID('Key Analysis'!$C83,4,1))</f>
        <v/>
      </c>
      <c r="EM87" s="29" t="str">
        <f>IF(OR($B87="",$A87&lt;5),"",--MID('Key Analysis'!$C83,5,1))</f>
        <v/>
      </c>
      <c r="EN87" s="29" t="str">
        <f>IF(OR($B87="",$A87&lt;6),"",--MID('Key Analysis'!$C83,6,1))</f>
        <v/>
      </c>
      <c r="EO87" s="29" t="str">
        <f>IF(OR($B87="",$A87&lt;7),"",--MID('Key Analysis'!$C83,7,1))</f>
        <v/>
      </c>
      <c r="EP87" s="29" t="str">
        <f>IF(OR($B87="",$A87&lt;8),"",--MID('Key Analysis'!$C83,8,1))</f>
        <v/>
      </c>
      <c r="EQ87" s="29" t="str">
        <f>IF(OR($B87="",$A87&lt;9),"",--MID('Key Analysis'!$C83,9,1))</f>
        <v/>
      </c>
      <c r="ER87" s="29" t="str">
        <f>IF(OR($B87="",$A87&lt;10),"",--MID('Key Analysis'!$C83,10,1))</f>
        <v/>
      </c>
      <c r="ES87" s="29" t="str">
        <f>IF(OR($B87="",$A87&lt;11),"",--MID('Key Analysis'!$C83,11,1))</f>
        <v/>
      </c>
      <c r="ET87" s="29" t="str">
        <f>IF(OR($B87="",$A87&lt;12),"",--MID('Key Analysis'!$C83,12,1))</f>
        <v/>
      </c>
      <c r="EU87" s="29" t="str">
        <f>IF(OR($B87="",$A87&lt;13),"",--MID('Key Analysis'!$C83,13,1))</f>
        <v/>
      </c>
      <c r="EV87" s="29" t="str">
        <f>IF(OR($B87="",$A87&lt;14),"",--MID('Key Analysis'!$C83,14,1))</f>
        <v/>
      </c>
      <c r="EW87" s="29" t="str">
        <f>IF(OR($B87="",$A87&lt;15),"",--MID('Key Analysis'!$C83,15,1))</f>
        <v/>
      </c>
      <c r="EX87" s="29" t="str">
        <f>IF(OR($B87="",$A87&lt;16),"",--MID('Key Analysis'!$C83,16,1))</f>
        <v/>
      </c>
      <c r="EY87" s="29" t="str">
        <f>IF(OR($B87="",$A87&lt;17),"",--MID('Key Analysis'!$C83,17,1))</f>
        <v/>
      </c>
      <c r="EZ87" s="29" t="str">
        <f>IF(OR($B87="",$A87&lt;18),"",--MID('Key Analysis'!$C83,18,1))</f>
        <v/>
      </c>
      <c r="FA87" s="29" t="str">
        <f>IF(OR($B87="",$A87&lt;19),"",--MID('Key Analysis'!$C83,19,1))</f>
        <v/>
      </c>
      <c r="FB87" s="29" t="str">
        <f>IF(OR($B87="",$A87&lt;20),"",--MID('Key Analysis'!$C83,20,1))</f>
        <v/>
      </c>
      <c r="FC87" s="29" t="str">
        <f>IF(OR($B87="",$A87&lt;21),"",--MID('Key Analysis'!$C83,21,1))</f>
        <v/>
      </c>
      <c r="FD87" s="29" t="str">
        <f>IF(OR($B87="",$A87&lt;22),"",--MID('Key Analysis'!$C83,22,1))</f>
        <v/>
      </c>
      <c r="FE87" s="29" t="str">
        <f>IF(OR($B87="",$A87&lt;23),"",--MID('Key Analysis'!$C83,23,1))</f>
        <v/>
      </c>
      <c r="FF87" s="29" t="str">
        <f>IF(OR($B87="",$A87&lt;24),"",--MID('Key Analysis'!$C83,24,1))</f>
        <v/>
      </c>
      <c r="FG87" s="29" t="str">
        <f>IF(OR($B87="",$A87&lt;25),"",--MID('Key Analysis'!$C83,25,1))</f>
        <v/>
      </c>
      <c r="FH87" s="29" t="str">
        <f>IF(OR($B87="",$A87&lt;26),"",--MID('Key Analysis'!$C83,26,1))</f>
        <v/>
      </c>
      <c r="FI87" s="29" t="str">
        <f>IF(OR($B87="",$A87&lt;27),"",--MID('Key Analysis'!$C83,27,1))</f>
        <v/>
      </c>
      <c r="FJ87" s="29" t="str">
        <f>IF(OR($B87="",$A87&lt;28),"",--MID('Key Analysis'!$C83,28,1))</f>
        <v/>
      </c>
      <c r="FK87" s="29" t="str">
        <f>IF(OR($B87="",$A87&lt;29),"",--MID('Key Analysis'!$C83,29,1))</f>
        <v/>
      </c>
      <c r="FL87" s="29" t="str">
        <f>IF(OR($B87="",$A87&lt;30),"",--MID('Key Analysis'!$C83,30,1))</f>
        <v/>
      </c>
      <c r="FM87" s="29" t="str">
        <f>IF(OR($B87="",$A87&lt;31),"",--MID('Key Analysis'!$C83,31,1))</f>
        <v/>
      </c>
      <c r="FN87" s="29" t="str">
        <f>IF(OR($B87="",$A87&lt;32),"",--MID('Key Analysis'!$C83,32,1))</f>
        <v/>
      </c>
      <c r="FO87" s="29" t="str">
        <f>IF(OR($B87="",$A87&lt;33),"",--MID('Key Analysis'!$C83,33,1))</f>
        <v/>
      </c>
      <c r="FP87" s="29" t="str">
        <f>IF(OR($B87="",$A87&lt;34),"",--MID('Key Analysis'!$C83,34,1))</f>
        <v/>
      </c>
      <c r="FQ87" s="29" t="str">
        <f>IF(OR($B87="",$A87&lt;35),"",--MID('Key Analysis'!$C83,35,1))</f>
        <v/>
      </c>
      <c r="FR87" s="29" t="str">
        <f>IF(OR($B87="",$A87&lt;36),"",--MID('Key Analysis'!$C83,36,1))</f>
        <v/>
      </c>
      <c r="FS87" s="29" t="str">
        <f>IF(OR($B87="",$A87&lt;37),"",--MID('Key Analysis'!$C83,37,1))</f>
        <v/>
      </c>
      <c r="FT87" s="29" t="str">
        <f>IF(OR($B87="",$A87&lt;38),"",--MID('Key Analysis'!$C83,38,1))</f>
        <v/>
      </c>
      <c r="FU87" s="29" t="str">
        <f>IF(OR($B87="",$A87&lt;39),"",--MID('Key Analysis'!$C83,39,1))</f>
        <v/>
      </c>
      <c r="FV87" s="29" t="str">
        <f>IF(OR($B87="",$A87&lt;40),"",--MID('Key Analysis'!$C83,40,1))</f>
        <v/>
      </c>
      <c r="FW87" s="29" t="str">
        <f>IF(OR($B87="",$A87&lt;41),"",--MID('Key Analysis'!$C83,41,1))</f>
        <v/>
      </c>
      <c r="FX87" s="29" t="str">
        <f>IF(OR($B87="",$A87&lt;42),"",--MID('Key Analysis'!$C83,42,1))</f>
        <v/>
      </c>
      <c r="FY87" s="29" t="str">
        <f>IF(OR($B87="",$A87&lt;43),"",--MID('Key Analysis'!$C83,43,1))</f>
        <v/>
      </c>
      <c r="FZ87" s="29" t="str">
        <f>IF(OR($B87="",$A87&lt;44),"",--MID('Key Analysis'!$C83,44,1))</f>
        <v/>
      </c>
      <c r="GA87" s="29" t="str">
        <f>IF(OR($B87="",$A87&lt;45),"",--MID('Key Analysis'!$C83,45,1))</f>
        <v/>
      </c>
      <c r="GB87" s="29" t="str">
        <f>IF(OR($B87="",$A87&lt;46),"",--MID('Key Analysis'!$C83,46,1))</f>
        <v/>
      </c>
      <c r="GC87" s="29" t="str">
        <f>IF(OR($B87="",$A87&lt;47),"",--MID('Key Analysis'!$C83,47,1))</f>
        <v/>
      </c>
      <c r="GD87" s="29" t="str">
        <f>IF(OR($B87="",$A87&lt;48),"",--MID('Key Analysis'!$C83,48,1))</f>
        <v/>
      </c>
      <c r="GE87" s="29" t="str">
        <f>IF(OR($B87="",$A87&lt;49),"",--MID('Key Analysis'!$C83,49,1))</f>
        <v/>
      </c>
      <c r="GF87" s="29" t="str">
        <f>IF(OR($B87="",$A87&lt;50),"",--MID('Key Analysis'!$C83,50,1))</f>
        <v/>
      </c>
      <c r="GG87" s="29" t="str">
        <f>IF(OR($B87="",$A87&lt;51),"",--MID('Key Analysis'!$C83,51,1))</f>
        <v/>
      </c>
      <c r="GH87" s="29" t="str">
        <f>IF(OR($B87="",$A87&lt;52),"",--MID('Key Analysis'!$C83,52,1))</f>
        <v/>
      </c>
      <c r="GI87" s="29" t="str">
        <f>IF(OR($B87="",$A87&lt;53),"",--MID('Key Analysis'!$C83,53,1))</f>
        <v/>
      </c>
      <c r="GJ87" s="29" t="str">
        <f>IF(OR($B87="",$A87&lt;54),"",--MID('Key Analysis'!$C83,54,1))</f>
        <v/>
      </c>
      <c r="GK87" s="29" t="str">
        <f>IF(OR($B87="",$A87&lt;55),"",--MID('Key Analysis'!$C83,55,1))</f>
        <v/>
      </c>
      <c r="GL87" s="29" t="str">
        <f>IF(OR($B87="",$A87&lt;56),"",--MID('Key Analysis'!$C83,56,1))</f>
        <v/>
      </c>
      <c r="GM87" s="29" t="str">
        <f>IF(OR($B87="",$A87&lt;57),"",--MID('Key Analysis'!$C83,57,1))</f>
        <v/>
      </c>
      <c r="GN87" s="29" t="str">
        <f>IF(OR($B87="",$A87&lt;58),"",--MID('Key Analysis'!$C83,58,1))</f>
        <v/>
      </c>
      <c r="GO87" s="29" t="str">
        <f>IF(OR($B87="",$A87&lt;59),"",--MID('Key Analysis'!$C83,59,1))</f>
        <v/>
      </c>
      <c r="GP87" s="29" t="str">
        <f>IF(OR($B87="",$A87&lt;60),"",--MID('Key Analysis'!$C83,60,1))</f>
        <v/>
      </c>
      <c r="GQ87" s="29" t="str">
        <f>IF(OR($B87="",$A87&lt;61),"",--MID('Key Analysis'!$C83,61,1))</f>
        <v/>
      </c>
      <c r="GR87" s="29" t="str">
        <f>IF(OR($B87="",$A87&lt;62),"",--MID('Key Analysis'!$C83,62,1))</f>
        <v/>
      </c>
      <c r="GS87" s="29" t="str">
        <f>IF(OR($B87="",$A87&lt;63),"",--MID('Key Analysis'!$C83,63,1))</f>
        <v/>
      </c>
      <c r="GT87" s="29" t="str">
        <f>IF(OR($B87="",$A87&lt;64),"",--MID('Key Analysis'!$C83,64,1))</f>
        <v/>
      </c>
      <c r="GU87" s="29" t="str">
        <f>IF(OR($B87="",$A87&lt;65),"",--MID('Key Analysis'!$C83,65,1))</f>
        <v/>
      </c>
      <c r="GV87" s="29" t="str">
        <f>IF(OR($B87="",$A87&lt;66),"",--MID('Key Analysis'!$C83,66,1))</f>
        <v/>
      </c>
      <c r="GW87" s="29" t="str">
        <f>IF(OR($B87="",$A87&lt;67),"",--MID('Key Analysis'!$C83,67,1))</f>
        <v/>
      </c>
      <c r="GX87" s="29" t="str">
        <f>IF(OR($B87="",$A87&lt;68),"",--MID('Key Analysis'!$C83,68,1))</f>
        <v/>
      </c>
      <c r="GY87" s="29" t="str">
        <f>IF(OR($B87="",$A87&lt;69),"",--MID('Key Analysis'!$C83,69,1))</f>
        <v/>
      </c>
      <c r="GZ87" s="29" t="str">
        <f>IF(OR($B87="",$A87&lt;70),"",--MID('Key Analysis'!$C83,70,1))</f>
        <v/>
      </c>
      <c r="HA87" s="29" t="str">
        <f>IF(OR($B87="",$A87&lt;71),"",--MID('Key Analysis'!$C83,71,1))</f>
        <v/>
      </c>
      <c r="HB87" s="29" t="str">
        <f>IF(OR($B87="",$A87&lt;72),"",--MID('Key Analysis'!$C83,72,1))</f>
        <v/>
      </c>
      <c r="HC87" s="29" t="str">
        <f>IF(OR($B87="",$A87&lt;73),"",--MID('Key Analysis'!$C83,73,1))</f>
        <v/>
      </c>
      <c r="HD87" s="29" t="str">
        <f>IF(OR($B87="",$A87&lt;74),"",--MID('Key Analysis'!$C83,74,1))</f>
        <v/>
      </c>
      <c r="HE87" s="29" t="str">
        <f>IF(OR($B87="",$A87&lt;75),"",--MID('Key Analysis'!$C83,75,1))</f>
        <v/>
      </c>
      <c r="HF87" s="29" t="str">
        <f>IF(OR($B87="",$A87&lt;76),"",--MID('Key Analysis'!$C83,76,1))</f>
        <v/>
      </c>
      <c r="HG87" s="29" t="str">
        <f>IF(OR($B87="",$A87&lt;77),"",--MID('Key Analysis'!$C83,77,1))</f>
        <v/>
      </c>
      <c r="HH87" s="29" t="str">
        <f>IF(OR($B87="",$A87&lt;78),"",--MID('Key Analysis'!$C83,78,1))</f>
        <v/>
      </c>
      <c r="HI87" s="29" t="str">
        <f>IF(OR($B87="",$A87&lt;79),"",--MID('Key Analysis'!$C83,79,1))</f>
        <v/>
      </c>
      <c r="HJ87" s="29" t="str">
        <f>IF(OR($B87="",$A87&lt;80),"",--MID('Key Analysis'!$C83,80,1))</f>
        <v/>
      </c>
      <c r="HK87" s="29" t="str">
        <f>IF(OR($B87="",$A87&lt;81),"",--MID('Key Analysis'!$C83,81,1))</f>
        <v/>
      </c>
      <c r="HL87" s="29" t="str">
        <f>IF(OR($B87="",$A87&lt;82),"",--MID('Key Analysis'!$C83,82,1))</f>
        <v/>
      </c>
      <c r="HM87" s="29" t="str">
        <f>IF(OR($B87="",$A87&lt;83),"",--MID('Key Analysis'!$C83,83,1))</f>
        <v/>
      </c>
      <c r="HN87" s="29" t="str">
        <f>IF(OR($B87="",$A87&lt;84),"",--MID('Key Analysis'!$C83,84,1))</f>
        <v/>
      </c>
      <c r="HO87" s="29" t="str">
        <f>IF(OR($B87="",$A87&lt;85),"",--MID('Key Analysis'!$C83,85,1))</f>
        <v/>
      </c>
      <c r="HP87" s="29" t="str">
        <f>IF(OR($B87="",$A87&lt;86),"",--MID('Key Analysis'!$C83,86,1))</f>
        <v/>
      </c>
      <c r="HQ87" s="29" t="str">
        <f>IF(OR($B87="",$A87&lt;87),"",--MID('Key Analysis'!$C83,87,1))</f>
        <v/>
      </c>
      <c r="HR87" s="29" t="str">
        <f>IF(OR($B87="",$A87&lt;88),"",--MID('Key Analysis'!$C83,88,1))</f>
        <v/>
      </c>
      <c r="HS87" s="29" t="str">
        <f>IF(OR($B87="",$A87&lt;89),"",--MID('Key Analysis'!$C83,89,1))</f>
        <v/>
      </c>
      <c r="HT87" s="29" t="str">
        <f>IF(OR($B87="",$A87&lt;90),"",--MID('Key Analysis'!$C83,90,1))</f>
        <v/>
      </c>
      <c r="HU87" s="29" t="str">
        <f>IF(OR($B87="",$A87&lt;91),"",--MID('Key Analysis'!$C83,91,1))</f>
        <v/>
      </c>
      <c r="HV87" s="29" t="str">
        <f>IF(OR($B87="",$A87&lt;92),"",--MID('Key Analysis'!$C83,92,1))</f>
        <v/>
      </c>
      <c r="HW87" s="29" t="str">
        <f>IF(OR($B87="",$A87&lt;93),"",--MID('Key Analysis'!$C83,93,1))</f>
        <v/>
      </c>
      <c r="HX87" s="29" t="str">
        <f>IF(OR($B87="",$A87&lt;94),"",--MID('Key Analysis'!$C83,94,1))</f>
        <v/>
      </c>
      <c r="HY87" s="29" t="str">
        <f>IF(OR($B87="",$A87&lt;95),"",--MID('Key Analysis'!$C83,95,1))</f>
        <v/>
      </c>
      <c r="HZ87" s="29" t="str">
        <f>IF(OR($B87="",$A87&lt;96),"",--MID('Key Analysis'!$C83,96,1))</f>
        <v/>
      </c>
      <c r="IA87" s="29" t="str">
        <f>IF(OR($B87="",$A87&lt;97),"",--MID('Key Analysis'!$C83,97,1))</f>
        <v/>
      </c>
      <c r="IB87" s="29" t="str">
        <f>IF(OR($B87="",$A87&lt;98),"",--MID('Key Analysis'!$C83,98,1))</f>
        <v/>
      </c>
      <c r="IC87" s="29" t="str">
        <f>IF(OR($B87="",$A87&lt;99),"",--MID('Key Analysis'!$C83,99,1))</f>
        <v/>
      </c>
      <c r="ID87" s="29" t="str">
        <f>IF(OR($B87="",$A87&lt;100),"",--MID('Key Analysis'!$C83,100,1))</f>
        <v/>
      </c>
      <c r="IE87" s="29" t="str">
        <f>IF(OR($B87="",$A87&lt;101),"",--MID('Key Analysis'!$C83,101,1))</f>
        <v/>
      </c>
      <c r="IF87" s="29" t="str">
        <f>IF(OR($B87="",$A87&lt;102),"",--MID('Key Analysis'!$C83,102,1))</f>
        <v/>
      </c>
      <c r="IG87" s="29" t="str">
        <f>IF(OR($B87="",$A87&lt;103),"",--MID('Key Analysis'!$C83,103,1))</f>
        <v/>
      </c>
      <c r="IH87" s="29" t="str">
        <f>IF(OR($B87="",$A87&lt;104),"",--MID('Key Analysis'!$C83,104,1))</f>
        <v/>
      </c>
      <c r="II87" s="29" t="str">
        <f>IF(OR($B87="",$A87&lt;105),"",--MID('Key Analysis'!$C83,105,1))</f>
        <v/>
      </c>
      <c r="IJ87" s="29" t="str">
        <f>IF(OR($B87="",$A87&lt;106),"",--MID('Key Analysis'!$C83,106,1))</f>
        <v/>
      </c>
      <c r="IK87" s="29" t="str">
        <f>IF(OR($B87="",$A87&lt;107),"",--MID('Key Analysis'!$C83,107,1))</f>
        <v/>
      </c>
      <c r="IL87" s="29" t="str">
        <f>IF(OR($B87="",$A87&lt;108),"",--MID('Key Analysis'!$C83,108,1))</f>
        <v/>
      </c>
      <c r="IM87" s="29" t="str">
        <f>IF(OR($B87="",$A87&lt;109),"",--MID('Key Analysis'!$C83,109,1))</f>
        <v/>
      </c>
      <c r="IN87" s="29" t="str">
        <f>IF(OR($B87="",$A87&lt;110),"",--MID('Key Analysis'!$C83,110,1))</f>
        <v/>
      </c>
      <c r="IO87" s="29" t="str">
        <f>IF(OR($B87="",$A87&lt;111),"",--MID('Key Analysis'!$C83,111,1))</f>
        <v/>
      </c>
      <c r="IP87" s="29" t="str">
        <f>IF(OR($B87="",$A87&lt;112),"",--MID('Key Analysis'!$C83,112,1))</f>
        <v/>
      </c>
      <c r="IQ87" s="29" t="str">
        <f>IF(OR($B87="",$A87&lt;113),"",--MID('Key Analysis'!$C83,113,1))</f>
        <v/>
      </c>
      <c r="IR87" s="29" t="str">
        <f>IF(OR($B87="",$A87&lt;114),"",--MID('Key Analysis'!$C83,114,1))</f>
        <v/>
      </c>
      <c r="IS87" s="29" t="str">
        <f>IF(OR($B87="",$A87&lt;115),"",--MID('Key Analysis'!$C83,115,1))</f>
        <v/>
      </c>
      <c r="IT87" s="29" t="str">
        <f>IF(OR($B87="",$A87&lt;116),"",--MID('Key Analysis'!$C83,116,1))</f>
        <v/>
      </c>
      <c r="IU87" s="29" t="str">
        <f>IF(OR($B87="",$A87&lt;117),"",--MID('Key Analysis'!$C83,117,1))</f>
        <v/>
      </c>
      <c r="IV87" s="29" t="str">
        <f>IF(OR($B87="",$A87&lt;118),"",--MID('Key Analysis'!$C83,118,1))</f>
        <v/>
      </c>
      <c r="IW87" s="29" t="str">
        <f>IF(OR($B87="",$A87&lt;119),"",--MID('Key Analysis'!$C83,119,1))</f>
        <v/>
      </c>
      <c r="IX87" s="29" t="str">
        <f>IF(OR($B87="",$A87&lt;120),"",--MID('Key Analysis'!$C83,120,1))</f>
        <v/>
      </c>
      <c r="IY87" s="29" t="str">
        <f>IF(OR($B87="",$A87&lt;121),"",--MID('Key Analysis'!$C83,121,1))</f>
        <v/>
      </c>
      <c r="IZ87" s="29" t="str">
        <f>IF(OR($B87="",$A87&lt;122),"",--MID('Key Analysis'!$C83,122,1))</f>
        <v/>
      </c>
      <c r="JA87" s="29" t="str">
        <f>IF(OR($B87="",$A87&lt;123),"",--MID('Key Analysis'!$C83,123,1))</f>
        <v/>
      </c>
      <c r="JB87" s="29" t="str">
        <f>IF(OR($B87="",$A87&lt;124),"",--MID('Key Analysis'!$C83,124,1))</f>
        <v/>
      </c>
      <c r="JC87" s="29" t="str">
        <f>IF(OR($B87="",$A87&lt;125),"",--MID('Key Analysis'!$C83,125,1))</f>
        <v/>
      </c>
      <c r="JD87" s="29" t="str">
        <f>IF(OR($B87="",$A87&lt;126),"",--MID('Key Analysis'!$C83,126,1))</f>
        <v/>
      </c>
      <c r="JE87" s="29" t="str">
        <f>IF(OR($B87="",$A87&lt;127),"",--MID('Key Analysis'!$C83,127,1))</f>
        <v/>
      </c>
      <c r="JF87" s="29" t="str">
        <f>IF(OR($B87="",$A87&lt;128),"",--MID('Key Analysis'!$C83,128,1))</f>
        <v/>
      </c>
      <c r="JG87" s="29" t="str">
        <f>IF(OR($B87="",$A87&lt;129),"",--MID('Key Analysis'!$C83,129,1))</f>
        <v/>
      </c>
      <c r="JH87" s="29" t="str">
        <f>IF(OR($B87="",$A87&lt;130),"",--MID('Key Analysis'!$C83,130,1))</f>
        <v/>
      </c>
      <c r="JI87" s="29" t="str">
        <f>IF(OR($B87="",$A87&lt;131),"",--MID('Key Analysis'!$C83,131,1))</f>
        <v/>
      </c>
      <c r="JJ87" s="29" t="str">
        <f>IF(OR($B87="",$A87&lt;132),"",--MID('Key Analysis'!$C83,132,1))</f>
        <v/>
      </c>
      <c r="JK87" s="29" t="str">
        <f>IF(OR($B87="",$A87&lt;133),"",--MID('Key Analysis'!$C83,133,1))</f>
        <v/>
      </c>
      <c r="JL87" s="29" t="str">
        <f>IF(OR($B87="",$A87&lt;134),"",--MID('Key Analysis'!$C83,134,1))</f>
        <v/>
      </c>
      <c r="JM87" s="29" t="str">
        <f>IF(OR($B87="",$A87&lt;135),"",--MID('Key Analysis'!$C83,135,1))</f>
        <v/>
      </c>
    </row>
    <row r="88" spans="1:273" x14ac:dyDescent="0.25">
      <c r="A88" s="21">
        <f>'Key Analysis'!A84</f>
        <v>83</v>
      </c>
      <c r="B88" s="30" t="str">
        <f>'Key Analysis'!B84</f>
        <v/>
      </c>
      <c r="C88" s="29" t="str">
        <f>IF(OR($B88="",$A88&lt;=0),"",--MID('Key Analysis'!$C84,$A88-0,1))</f>
        <v/>
      </c>
      <c r="D88" s="29" t="str">
        <f>IF(OR($B88="",$A88&lt;=1),"",--MID('Key Analysis'!$C84,$A88-1,1))</f>
        <v/>
      </c>
      <c r="E88" s="29" t="str">
        <f>IF(OR($B88="",$A88&lt;=2),"",--MID('Key Analysis'!$C84,$A88-2,1))</f>
        <v/>
      </c>
      <c r="F88" s="29" t="str">
        <f>IF(OR($B88="",$A88&lt;=3),"",--MID('Key Analysis'!$C84,$A88-3,1))</f>
        <v/>
      </c>
      <c r="G88" s="29" t="str">
        <f>IF(OR($B88="",$A88&lt;=4),"",--MID('Key Analysis'!$C84,$A88-4,1))</f>
        <v/>
      </c>
      <c r="H88" s="29" t="str">
        <f>IF(OR($B88="",$A88&lt;=5),"",--MID('Key Analysis'!$C84,$A88-5,1))</f>
        <v/>
      </c>
      <c r="I88" s="29" t="str">
        <f>IF(OR($B88="",$A88&lt;=6),"",--MID('Key Analysis'!$C84,$A88-6,1))</f>
        <v/>
      </c>
      <c r="J88" s="29" t="str">
        <f>IF(OR($B88="",$A88&lt;=7),"",--MID('Key Analysis'!$C84,$A88-7,1))</f>
        <v/>
      </c>
      <c r="K88" s="29" t="str">
        <f>IF(OR($B88="",$A88&lt;=8),"",--MID('Key Analysis'!$C84,$A88-8,1))</f>
        <v/>
      </c>
      <c r="L88" s="29" t="str">
        <f>IF(OR($B88="",$A88&lt;=9),"",--MID('Key Analysis'!$C84,$A88-9,1))</f>
        <v/>
      </c>
      <c r="M88" s="29" t="str">
        <f>IF(OR($B88="",$A88&lt;=10),"",--MID('Key Analysis'!$C84,$A88-10,1))</f>
        <v/>
      </c>
      <c r="N88" s="29" t="str">
        <f>IF(OR($B88="",$A88&lt;=11),"",--MID('Key Analysis'!$C84,$A88-11,1))</f>
        <v/>
      </c>
      <c r="O88" s="29" t="str">
        <f>IF(OR($B88="",$A88&lt;=12),"",--MID('Key Analysis'!$C84,$A88-12,1))</f>
        <v/>
      </c>
      <c r="P88" s="29" t="str">
        <f>IF(OR($B88="",$A88&lt;=13),"",--MID('Key Analysis'!$C84,$A88-13,1))</f>
        <v/>
      </c>
      <c r="Q88" s="29" t="str">
        <f>IF(OR($B88="",$A88&lt;=14),"",--MID('Key Analysis'!$C84,$A88-14,1))</f>
        <v/>
      </c>
      <c r="R88" s="29" t="str">
        <f>IF(OR($B88="",$A88&lt;=15),"",--MID('Key Analysis'!$C84,$A88-15,1))</f>
        <v/>
      </c>
      <c r="S88" s="29" t="str">
        <f>IF(OR($B88="",$A88&lt;=16),"",--MID('Key Analysis'!$C84,$A88-16,1))</f>
        <v/>
      </c>
      <c r="T88" s="29" t="str">
        <f>IF(OR($B88="",$A88&lt;=17),"",--MID('Key Analysis'!$C84,$A88-17,1))</f>
        <v/>
      </c>
      <c r="U88" s="29" t="str">
        <f>IF(OR($B88="",$A88&lt;=18),"",--MID('Key Analysis'!$C84,$A88-18,1))</f>
        <v/>
      </c>
      <c r="V88" s="29" t="str">
        <f>IF(OR($B88="",$A88&lt;=19),"",--MID('Key Analysis'!$C84,$A88-19,1))</f>
        <v/>
      </c>
      <c r="W88" s="29" t="str">
        <f>IF(OR($B88="",$A88&lt;=20),"",--MID('Key Analysis'!$C84,$A88-20,1))</f>
        <v/>
      </c>
      <c r="X88" s="29" t="str">
        <f>IF(OR($B88="",$A88&lt;=21),"",--MID('Key Analysis'!$C84,$A88-21,1))</f>
        <v/>
      </c>
      <c r="Y88" s="29" t="str">
        <f>IF(OR($B88="",$A88&lt;=22),"",--MID('Key Analysis'!$C84,$A88-22,1))</f>
        <v/>
      </c>
      <c r="Z88" s="29" t="str">
        <f>IF(OR($B88="",$A88&lt;=23),"",--MID('Key Analysis'!$C84,$A88-23,1))</f>
        <v/>
      </c>
      <c r="AA88" s="29" t="str">
        <f>IF(OR($B88="",$A88&lt;=24),"",--MID('Key Analysis'!$C84,$A88-24,1))</f>
        <v/>
      </c>
      <c r="AB88" s="29" t="str">
        <f>IF(OR($B88="",$A88&lt;=25),"",--MID('Key Analysis'!$C84,$A88-25,1))</f>
        <v/>
      </c>
      <c r="AC88" s="29" t="str">
        <f>IF(OR($B88="",$A88&lt;=26),"",--MID('Key Analysis'!$C84,$A88-26,1))</f>
        <v/>
      </c>
      <c r="AD88" s="29" t="str">
        <f>IF(OR($B88="",$A88&lt;=27),"",--MID('Key Analysis'!$C84,$A88-27,1))</f>
        <v/>
      </c>
      <c r="AE88" s="29" t="str">
        <f>IF(OR($B88="",$A88&lt;=28),"",--MID('Key Analysis'!$C84,$A88-28,1))</f>
        <v/>
      </c>
      <c r="AF88" s="29" t="str">
        <f>IF(OR($B88="",$A88&lt;=29),"",--MID('Key Analysis'!$C84,$A88-29,1))</f>
        <v/>
      </c>
      <c r="AG88" s="29" t="str">
        <f>IF(OR($B88="",$A88&lt;=30),"",--MID('Key Analysis'!$C84,$A88-30,1))</f>
        <v/>
      </c>
      <c r="AH88" s="29" t="str">
        <f>IF(OR($B88="",$A88&lt;=31),"",--MID('Key Analysis'!$C84,$A88-31,1))</f>
        <v/>
      </c>
      <c r="AI88" s="29" t="str">
        <f>IF(OR($B88="",$A88&lt;=32),"",--MID('Key Analysis'!$C84,$A88-32,1))</f>
        <v/>
      </c>
      <c r="AJ88" s="29" t="str">
        <f>IF(OR($B88="",$A88&lt;=33),"",--MID('Key Analysis'!$C84,$A88-33,1))</f>
        <v/>
      </c>
      <c r="AK88" s="29" t="str">
        <f>IF(OR($B88="",$A88&lt;=34),"",--MID('Key Analysis'!$C84,$A88-34,1))</f>
        <v/>
      </c>
      <c r="AL88" s="29" t="str">
        <f>IF(OR($B88="",$A88&lt;=35),"",--MID('Key Analysis'!$C84,$A88-35,1))</f>
        <v/>
      </c>
      <c r="AM88" s="29" t="str">
        <f>IF(OR($B88="",$A88&lt;=36),"",--MID('Key Analysis'!$C84,$A88-36,1))</f>
        <v/>
      </c>
      <c r="AN88" s="29" t="str">
        <f>IF(OR($B88="",$A88&lt;=37),"",--MID('Key Analysis'!$C84,$A88-37,1))</f>
        <v/>
      </c>
      <c r="AO88" s="29" t="str">
        <f>IF(OR($B88="",$A88&lt;=38),"",--MID('Key Analysis'!$C84,$A88-38,1))</f>
        <v/>
      </c>
      <c r="AP88" s="29" t="str">
        <f>IF(OR($B88="",$A88&lt;=39),"",--MID('Key Analysis'!$C84,$A88-39,1))</f>
        <v/>
      </c>
      <c r="AQ88" s="29" t="str">
        <f>IF(OR($B88="",$A88&lt;=40),"",--MID('Key Analysis'!$C84,$A88-40,1))</f>
        <v/>
      </c>
      <c r="AR88" s="29" t="str">
        <f>IF(OR($B88="",$A88&lt;=41),"",--MID('Key Analysis'!$C84,$A88-41,1))</f>
        <v/>
      </c>
      <c r="AS88" s="29" t="str">
        <f>IF(OR($B88="",$A88&lt;=42),"",--MID('Key Analysis'!$C84,$A88-42,1))</f>
        <v/>
      </c>
      <c r="AT88" s="29" t="str">
        <f>IF(OR($B88="",$A88&lt;=43),"",--MID('Key Analysis'!$C84,$A88-43,1))</f>
        <v/>
      </c>
      <c r="AU88" s="29" t="str">
        <f>IF(OR($B88="",$A88&lt;=44),"",--MID('Key Analysis'!$C84,$A88-44,1))</f>
        <v/>
      </c>
      <c r="AV88" s="29" t="str">
        <f>IF(OR($B88="",$A88&lt;=45),"",--MID('Key Analysis'!$C84,$A88-45,1))</f>
        <v/>
      </c>
      <c r="AW88" s="29" t="str">
        <f>IF(OR($B88="",$A88&lt;=46),"",--MID('Key Analysis'!$C84,$A88-46,1))</f>
        <v/>
      </c>
      <c r="AX88" s="29" t="str">
        <f>IF(OR($B88="",$A88&lt;=47),"",--MID('Key Analysis'!$C84,$A88-47,1))</f>
        <v/>
      </c>
      <c r="AY88" s="29" t="str">
        <f>IF(OR($B88="",$A88&lt;=48),"",--MID('Key Analysis'!$C84,$A88-48,1))</f>
        <v/>
      </c>
      <c r="AZ88" s="29" t="str">
        <f>IF(OR($B88="",$A88&lt;=49),"",--MID('Key Analysis'!$C84,$A88-49,1))</f>
        <v/>
      </c>
      <c r="BA88" s="29" t="str">
        <f>IF(OR($B88="",$A88&lt;=50),"",--MID('Key Analysis'!$C84,$A88-50,1))</f>
        <v/>
      </c>
      <c r="BB88" s="29" t="str">
        <f>IF(OR($B88="",$A88&lt;=51),"",--MID('Key Analysis'!$C84,$A88-51,1))</f>
        <v/>
      </c>
      <c r="BC88" s="29" t="str">
        <f>IF(OR($B88="",$A88&lt;=52),"",--MID('Key Analysis'!$C84,$A88-52,1))</f>
        <v/>
      </c>
      <c r="BD88" s="29" t="str">
        <f>IF(OR($B88="",$A88&lt;=53),"",--MID('Key Analysis'!$C84,$A88-53,1))</f>
        <v/>
      </c>
      <c r="BE88" s="29" t="str">
        <f>IF(OR($B88="",$A88&lt;=54),"",--MID('Key Analysis'!$C84,$A88-54,1))</f>
        <v/>
      </c>
      <c r="BF88" s="29" t="str">
        <f>IF(OR($B88="",$A88&lt;=55),"",--MID('Key Analysis'!$C84,$A88-55,1))</f>
        <v/>
      </c>
      <c r="BG88" s="29" t="str">
        <f>IF(OR($B88="",$A88&lt;=56),"",--MID('Key Analysis'!$C84,$A88-56,1))</f>
        <v/>
      </c>
      <c r="BH88" s="29" t="str">
        <f>IF(OR($B88="",$A88&lt;=57),"",--MID('Key Analysis'!$C84,$A88-57,1))</f>
        <v/>
      </c>
      <c r="BI88" s="29" t="str">
        <f>IF(OR($B88="",$A88&lt;=58),"",--MID('Key Analysis'!$C84,$A88-58,1))</f>
        <v/>
      </c>
      <c r="BJ88" s="29" t="str">
        <f>IF(OR($B88="",$A88&lt;=59),"",--MID('Key Analysis'!$C84,$A88-59,1))</f>
        <v/>
      </c>
      <c r="BK88" s="29" t="str">
        <f>IF(OR($B88="",$A88&lt;=60),"",--MID('Key Analysis'!$C84,$A88-60,1))</f>
        <v/>
      </c>
      <c r="BL88" s="29" t="str">
        <f>IF(OR($B88="",$A88&lt;=61),"",--MID('Key Analysis'!$C84,$A88-61,1))</f>
        <v/>
      </c>
      <c r="BM88" s="29" t="str">
        <f>IF(OR($B88="",$A88&lt;=62),"",--MID('Key Analysis'!$C84,$A88-62,1))</f>
        <v/>
      </c>
      <c r="BN88" s="29" t="str">
        <f>IF(OR($B88="",$A88&lt;=63),"",--MID('Key Analysis'!$C84,$A88-63,1))</f>
        <v/>
      </c>
      <c r="BO88" s="29" t="str">
        <f>IF(OR($B88="",$A88&lt;=64),"",--MID('Key Analysis'!$C84,$A88-64,1))</f>
        <v/>
      </c>
      <c r="BP88" s="29" t="str">
        <f>IF(OR($B88="",$A88&lt;=65),"",--MID('Key Analysis'!$C84,$A88-65,1))</f>
        <v/>
      </c>
      <c r="BQ88" s="29" t="str">
        <f>IF(OR($B88="",$A88&lt;=66),"",--MID('Key Analysis'!$C84,$A88-66,1))</f>
        <v/>
      </c>
      <c r="BR88" s="29" t="str">
        <f>IF(OR($B88="",$A88&lt;=67),"",--MID('Key Analysis'!$C84,$A88-67,1))</f>
        <v/>
      </c>
      <c r="BS88" s="29" t="str">
        <f>IF(OR($B88="",$A88&lt;=68),"",--MID('Key Analysis'!$C84,$A88-68,1))</f>
        <v/>
      </c>
      <c r="BT88" s="29" t="str">
        <f>IF(OR($B88="",$A88&lt;=69),"",--MID('Key Analysis'!$C84,$A88-69,1))</f>
        <v/>
      </c>
      <c r="BU88" s="29" t="str">
        <f>IF(OR($B88="",$A88&lt;=70),"",--MID('Key Analysis'!$C84,$A88-70,1))</f>
        <v/>
      </c>
      <c r="BV88" s="29" t="str">
        <f>IF(OR($B88="",$A88&lt;=71),"",--MID('Key Analysis'!$C84,$A88-71,1))</f>
        <v/>
      </c>
      <c r="BW88" s="29" t="str">
        <f>IF(OR($B88="",$A88&lt;=72),"",--MID('Key Analysis'!$C84,$A88-72,1))</f>
        <v/>
      </c>
      <c r="BX88" s="29" t="str">
        <f>IF(OR($B88="",$A88&lt;=73),"",--MID('Key Analysis'!$C84,$A88-73,1))</f>
        <v/>
      </c>
      <c r="BY88" s="29" t="str">
        <f>IF(OR($B88="",$A88&lt;=74),"",--MID('Key Analysis'!$C84,$A88-74,1))</f>
        <v/>
      </c>
      <c r="BZ88" s="29" t="str">
        <f>IF(OR($B88="",$A88&lt;=75),"",--MID('Key Analysis'!$C84,$A88-75,1))</f>
        <v/>
      </c>
      <c r="CA88" s="29" t="str">
        <f>IF(OR($B88="",$A88&lt;=76),"",--MID('Key Analysis'!$C84,$A88-76,1))</f>
        <v/>
      </c>
      <c r="CB88" s="29" t="str">
        <f>IF(OR($B88="",$A88&lt;=77),"",--MID('Key Analysis'!$C84,$A88-77,1))</f>
        <v/>
      </c>
      <c r="CC88" s="29" t="str">
        <f>IF(OR($B88="",$A88&lt;=78),"",--MID('Key Analysis'!$C84,$A88-78,1))</f>
        <v/>
      </c>
      <c r="CD88" s="29" t="str">
        <f>IF(OR($B88="",$A88&lt;=79),"",--MID('Key Analysis'!$C84,$A88-79,1))</f>
        <v/>
      </c>
      <c r="CE88" s="29" t="str">
        <f>IF(OR($B88="",$A88&lt;=80),"",--MID('Key Analysis'!$C84,$A88-80,1))</f>
        <v/>
      </c>
      <c r="CF88" s="29" t="str">
        <f>IF(OR($B88="",$A88&lt;=81),"",--MID('Key Analysis'!$C84,$A88-81,1))</f>
        <v/>
      </c>
      <c r="CG88" s="29" t="str">
        <f>IF(OR($B88="",$A88&lt;=82),"",--MID('Key Analysis'!$C84,$A88-82,1))</f>
        <v/>
      </c>
      <c r="CH88" s="29" t="str">
        <f>IF(OR($B88="",$A88&lt;=83),"",--MID('Key Analysis'!$C84,$A88-83,1))</f>
        <v/>
      </c>
      <c r="CI88" s="29" t="str">
        <f>IF(OR($B88="",$A88&lt;=84),"",--MID('Key Analysis'!$C84,$A88-84,1))</f>
        <v/>
      </c>
      <c r="CJ88" s="29" t="str">
        <f>IF(OR($B88="",$A88&lt;=85),"",--MID('Key Analysis'!$C84,$A88-85,1))</f>
        <v/>
      </c>
      <c r="CK88" s="29" t="str">
        <f>IF(OR($B88="",$A88&lt;=86),"",--MID('Key Analysis'!$C84,$A88-86,1))</f>
        <v/>
      </c>
      <c r="CL88" s="29" t="str">
        <f>IF(OR($B88="",$A88&lt;=87),"",--MID('Key Analysis'!$C84,$A88-87,1))</f>
        <v/>
      </c>
      <c r="CM88" s="29" t="str">
        <f>IF(OR($B88="",$A88&lt;=88),"",--MID('Key Analysis'!$C84,$A88-88,1))</f>
        <v/>
      </c>
      <c r="CN88" s="29" t="str">
        <f>IF(OR($B88="",$A88&lt;=89),"",--MID('Key Analysis'!$C84,$A88-89,1))</f>
        <v/>
      </c>
      <c r="CO88" s="29" t="str">
        <f>IF(OR($B88="",$A88&lt;=90),"",--MID('Key Analysis'!$C84,$A88-90,1))</f>
        <v/>
      </c>
      <c r="CP88" s="29" t="str">
        <f>IF(OR($B88="",$A88&lt;=91),"",--MID('Key Analysis'!$C84,$A88-91,1))</f>
        <v/>
      </c>
      <c r="CQ88" s="29" t="str">
        <f>IF(OR($B88="",$A88&lt;=92),"",--MID('Key Analysis'!$C84,$A88-92,1))</f>
        <v/>
      </c>
      <c r="CR88" s="29" t="str">
        <f>IF(OR($B88="",$A88&lt;=93),"",--MID('Key Analysis'!$C84,$A88-93,1))</f>
        <v/>
      </c>
      <c r="CS88" s="29" t="str">
        <f>IF(OR($B88="",$A88&lt;=94),"",--MID('Key Analysis'!$C84,$A88-94,1))</f>
        <v/>
      </c>
      <c r="CT88" s="29" t="str">
        <f>IF(OR($B88="",$A88&lt;=95),"",--MID('Key Analysis'!$C84,$A88-95,1))</f>
        <v/>
      </c>
      <c r="CU88" s="29" t="str">
        <f>IF(OR($B88="",$A88&lt;=96),"",--MID('Key Analysis'!$C84,$A88-96,1))</f>
        <v/>
      </c>
      <c r="CV88" s="29" t="str">
        <f>IF(OR($B88="",$A88&lt;=97),"",--MID('Key Analysis'!$C84,$A88-97,1))</f>
        <v/>
      </c>
      <c r="CW88" s="29" t="str">
        <f>IF(OR($B88="",$A88&lt;=98),"",--MID('Key Analysis'!$C84,$A88-98,1))</f>
        <v/>
      </c>
      <c r="CX88" s="29" t="str">
        <f>IF(OR($B88="",$A88&lt;=99),"",--MID('Key Analysis'!$C84,$A88-99,1))</f>
        <v/>
      </c>
      <c r="CY88" s="29" t="str">
        <f>IF(OR($B88="",$A88&lt;=100),"",--MID('Key Analysis'!$C84,$A88-100,1))</f>
        <v/>
      </c>
      <c r="CZ88" s="29" t="str">
        <f>IF(OR($B88="",$A88&lt;=101),"",--MID('Key Analysis'!$C84,$A88-101,1))</f>
        <v/>
      </c>
      <c r="DA88" s="29" t="str">
        <f>IF(OR($B88="",$A88&lt;=102),"",--MID('Key Analysis'!$C84,$A88-102,1))</f>
        <v/>
      </c>
      <c r="DB88" s="29" t="str">
        <f>IF(OR($B88="",$A88&lt;=103),"",--MID('Key Analysis'!$C84,$A88-103,1))</f>
        <v/>
      </c>
      <c r="DC88" s="29" t="str">
        <f>IF(OR($B88="",$A88&lt;=104),"",--MID('Key Analysis'!$C84,$A88-104,1))</f>
        <v/>
      </c>
      <c r="DD88" s="29" t="str">
        <f>IF(OR($B88="",$A88&lt;=105),"",--MID('Key Analysis'!$C84,$A88-105,1))</f>
        <v/>
      </c>
      <c r="DE88" s="29" t="str">
        <f>IF(OR($B88="",$A88&lt;=106),"",--MID('Key Analysis'!$C84,$A88-106,1))</f>
        <v/>
      </c>
      <c r="DF88" s="29" t="str">
        <f>IF(OR($B88="",$A88&lt;=107),"",--MID('Key Analysis'!$C84,$A88-107,1))</f>
        <v/>
      </c>
      <c r="DG88" s="29" t="str">
        <f>IF(OR($B88="",$A88&lt;=108),"",--MID('Key Analysis'!$C84,$A88-108,1))</f>
        <v/>
      </c>
      <c r="DH88" s="29" t="str">
        <f>IF(OR($B88="",$A88&lt;=109),"",--MID('Key Analysis'!$C84,$A88-109,1))</f>
        <v/>
      </c>
      <c r="DI88" s="29" t="str">
        <f>IF(OR($B88="",$A88&lt;=110),"",--MID('Key Analysis'!$C84,$A88-110,1))</f>
        <v/>
      </c>
      <c r="DJ88" s="29" t="str">
        <f>IF(OR($B88="",$A88&lt;=111),"",--MID('Key Analysis'!$C84,$A88-111,1))</f>
        <v/>
      </c>
      <c r="DK88" s="29" t="str">
        <f>IF(OR($B88="",$A88&lt;=112),"",--MID('Key Analysis'!$C84,$A88-112,1))</f>
        <v/>
      </c>
      <c r="DL88" s="29" t="str">
        <f>IF(OR($B88="",$A88&lt;=113),"",--MID('Key Analysis'!$C84,$A88-113,1))</f>
        <v/>
      </c>
      <c r="DM88" s="29" t="str">
        <f>IF(OR($B88="",$A88&lt;=114),"",--MID('Key Analysis'!$C84,$A88-114,1))</f>
        <v/>
      </c>
      <c r="DN88" s="29" t="str">
        <f>IF(OR($B88="",$A88&lt;=115),"",--MID('Key Analysis'!$C84,$A88-115,1))</f>
        <v/>
      </c>
      <c r="DO88" s="29" t="str">
        <f>IF(OR($B88="",$A88&lt;=116),"",--MID('Key Analysis'!$C84,$A88-116,1))</f>
        <v/>
      </c>
      <c r="DP88" s="29" t="str">
        <f>IF(OR($B88="",$A88&lt;=117),"",--MID('Key Analysis'!$C84,$A88-117,1))</f>
        <v/>
      </c>
      <c r="DQ88" s="29" t="str">
        <f>IF(OR($B88="",$A88&lt;=118),"",--MID('Key Analysis'!$C84,$A88-118,1))</f>
        <v/>
      </c>
      <c r="DR88" s="29" t="str">
        <f>IF(OR($B88="",$A88&lt;=119),"",--MID('Key Analysis'!$C84,$A88-119,1))</f>
        <v/>
      </c>
      <c r="DS88" s="29" t="str">
        <f>IF(OR($B88="",$A88&lt;=120),"",--MID('Key Analysis'!$C84,$A88-120,1))</f>
        <v/>
      </c>
      <c r="DT88" s="29" t="str">
        <f>IF(OR($B88="",$A88&lt;=121),"",--MID('Key Analysis'!$C84,$A88-121,1))</f>
        <v/>
      </c>
      <c r="DU88" s="29" t="str">
        <f>IF(OR($B88="",$A88&lt;=122),"",--MID('Key Analysis'!$C84,$A88-122,1))</f>
        <v/>
      </c>
      <c r="DV88" s="29" t="str">
        <f>IF(OR($B88="",$A88&lt;=123),"",--MID('Key Analysis'!$C84,$A88-123,1))</f>
        <v/>
      </c>
      <c r="DW88" s="29" t="str">
        <f>IF(OR($B88="",$A88&lt;=124),"",--MID('Key Analysis'!$C84,$A88-124,1))</f>
        <v/>
      </c>
      <c r="DX88" s="29" t="str">
        <f>IF(OR($B88="",$A88&lt;=125),"",--MID('Key Analysis'!$C84,$A88-125,1))</f>
        <v/>
      </c>
      <c r="DY88" s="29" t="str">
        <f>IF(OR($B88="",$A88&lt;=126),"",--MID('Key Analysis'!$C84,$A88-126,1))</f>
        <v/>
      </c>
      <c r="DZ88" s="29" t="str">
        <f>IF(OR($B88="",$A88&lt;=127),"",--MID('Key Analysis'!$C84,$A88-127,1))</f>
        <v/>
      </c>
      <c r="EA88" s="29" t="str">
        <f>IF(OR($B88="",$A88&lt;=128),"",--MID('Key Analysis'!$C84,$A88-128,1))</f>
        <v/>
      </c>
      <c r="EB88" s="29" t="str">
        <f>IF(OR($B88="",$A88&lt;=129),"",--MID('Key Analysis'!$C84,$A88-129,1))</f>
        <v/>
      </c>
      <c r="EC88" s="29" t="str">
        <f>IF(OR($B88="",$A88&lt;=130),"",--MID('Key Analysis'!$C84,$A88-130,1))</f>
        <v/>
      </c>
      <c r="ED88" s="29" t="str">
        <f>IF(OR($B88="",$A88&lt;=131),"",--MID('Key Analysis'!$C84,$A88-131,1))</f>
        <v/>
      </c>
      <c r="EE88" s="29" t="str">
        <f>IF(OR($B88="",$A88&lt;=132),"",--MID('Key Analysis'!$C84,$A88-132,1))</f>
        <v/>
      </c>
      <c r="EF88" s="29" t="str">
        <f>IF(OR($B88="",$A88&lt;=133),"",--MID('Key Analysis'!$C84,$A88-133,1))</f>
        <v/>
      </c>
      <c r="EG88" s="29" t="str">
        <f>IF(OR($B88="",$A88&lt;=134),"",--MID('Key Analysis'!$C84,$A88-134,1))</f>
        <v/>
      </c>
      <c r="EH88" s="29"/>
      <c r="EI88" s="29" t="str">
        <f>IF(OR($B88="",$A88&lt;1),"",--MID('Key Analysis'!$C84,1,1))</f>
        <v/>
      </c>
      <c r="EJ88" s="29" t="str">
        <f>IF(OR($B88="",$A88&lt;2),"",--MID('Key Analysis'!$C84,2,1))</f>
        <v/>
      </c>
      <c r="EK88" s="29" t="str">
        <f>IF(OR($B88="",$A88&lt;3),"",--MID('Key Analysis'!$C84,3,1))</f>
        <v/>
      </c>
      <c r="EL88" s="29" t="str">
        <f>IF(OR($B88="",$A88&lt;4),"",--MID('Key Analysis'!$C84,4,1))</f>
        <v/>
      </c>
      <c r="EM88" s="29" t="str">
        <f>IF(OR($B88="",$A88&lt;5),"",--MID('Key Analysis'!$C84,5,1))</f>
        <v/>
      </c>
      <c r="EN88" s="29" t="str">
        <f>IF(OR($B88="",$A88&lt;6),"",--MID('Key Analysis'!$C84,6,1))</f>
        <v/>
      </c>
      <c r="EO88" s="29" t="str">
        <f>IF(OR($B88="",$A88&lt;7),"",--MID('Key Analysis'!$C84,7,1))</f>
        <v/>
      </c>
      <c r="EP88" s="29" t="str">
        <f>IF(OR($B88="",$A88&lt;8),"",--MID('Key Analysis'!$C84,8,1))</f>
        <v/>
      </c>
      <c r="EQ88" s="29" t="str">
        <f>IF(OR($B88="",$A88&lt;9),"",--MID('Key Analysis'!$C84,9,1))</f>
        <v/>
      </c>
      <c r="ER88" s="29" t="str">
        <f>IF(OR($B88="",$A88&lt;10),"",--MID('Key Analysis'!$C84,10,1))</f>
        <v/>
      </c>
      <c r="ES88" s="29" t="str">
        <f>IF(OR($B88="",$A88&lt;11),"",--MID('Key Analysis'!$C84,11,1))</f>
        <v/>
      </c>
      <c r="ET88" s="29" t="str">
        <f>IF(OR($B88="",$A88&lt;12),"",--MID('Key Analysis'!$C84,12,1))</f>
        <v/>
      </c>
      <c r="EU88" s="29" t="str">
        <f>IF(OR($B88="",$A88&lt;13),"",--MID('Key Analysis'!$C84,13,1))</f>
        <v/>
      </c>
      <c r="EV88" s="29" t="str">
        <f>IF(OR($B88="",$A88&lt;14),"",--MID('Key Analysis'!$C84,14,1))</f>
        <v/>
      </c>
      <c r="EW88" s="29" t="str">
        <f>IF(OR($B88="",$A88&lt;15),"",--MID('Key Analysis'!$C84,15,1))</f>
        <v/>
      </c>
      <c r="EX88" s="29" t="str">
        <f>IF(OR($B88="",$A88&lt;16),"",--MID('Key Analysis'!$C84,16,1))</f>
        <v/>
      </c>
      <c r="EY88" s="29" t="str">
        <f>IF(OR($B88="",$A88&lt;17),"",--MID('Key Analysis'!$C84,17,1))</f>
        <v/>
      </c>
      <c r="EZ88" s="29" t="str">
        <f>IF(OR($B88="",$A88&lt;18),"",--MID('Key Analysis'!$C84,18,1))</f>
        <v/>
      </c>
      <c r="FA88" s="29" t="str">
        <f>IF(OR($B88="",$A88&lt;19),"",--MID('Key Analysis'!$C84,19,1))</f>
        <v/>
      </c>
      <c r="FB88" s="29" t="str">
        <f>IF(OR($B88="",$A88&lt;20),"",--MID('Key Analysis'!$C84,20,1))</f>
        <v/>
      </c>
      <c r="FC88" s="29" t="str">
        <f>IF(OR($B88="",$A88&lt;21),"",--MID('Key Analysis'!$C84,21,1))</f>
        <v/>
      </c>
      <c r="FD88" s="29" t="str">
        <f>IF(OR($B88="",$A88&lt;22),"",--MID('Key Analysis'!$C84,22,1))</f>
        <v/>
      </c>
      <c r="FE88" s="29" t="str">
        <f>IF(OR($B88="",$A88&lt;23),"",--MID('Key Analysis'!$C84,23,1))</f>
        <v/>
      </c>
      <c r="FF88" s="29" t="str">
        <f>IF(OR($B88="",$A88&lt;24),"",--MID('Key Analysis'!$C84,24,1))</f>
        <v/>
      </c>
      <c r="FG88" s="29" t="str">
        <f>IF(OR($B88="",$A88&lt;25),"",--MID('Key Analysis'!$C84,25,1))</f>
        <v/>
      </c>
      <c r="FH88" s="29" t="str">
        <f>IF(OR($B88="",$A88&lt;26),"",--MID('Key Analysis'!$C84,26,1))</f>
        <v/>
      </c>
      <c r="FI88" s="29" t="str">
        <f>IF(OR($B88="",$A88&lt;27),"",--MID('Key Analysis'!$C84,27,1))</f>
        <v/>
      </c>
      <c r="FJ88" s="29" t="str">
        <f>IF(OR($B88="",$A88&lt;28),"",--MID('Key Analysis'!$C84,28,1))</f>
        <v/>
      </c>
      <c r="FK88" s="29" t="str">
        <f>IF(OR($B88="",$A88&lt;29),"",--MID('Key Analysis'!$C84,29,1))</f>
        <v/>
      </c>
      <c r="FL88" s="29" t="str">
        <f>IF(OR($B88="",$A88&lt;30),"",--MID('Key Analysis'!$C84,30,1))</f>
        <v/>
      </c>
      <c r="FM88" s="29" t="str">
        <f>IF(OR($B88="",$A88&lt;31),"",--MID('Key Analysis'!$C84,31,1))</f>
        <v/>
      </c>
      <c r="FN88" s="29" t="str">
        <f>IF(OR($B88="",$A88&lt;32),"",--MID('Key Analysis'!$C84,32,1))</f>
        <v/>
      </c>
      <c r="FO88" s="29" t="str">
        <f>IF(OR($B88="",$A88&lt;33),"",--MID('Key Analysis'!$C84,33,1))</f>
        <v/>
      </c>
      <c r="FP88" s="29" t="str">
        <f>IF(OR($B88="",$A88&lt;34),"",--MID('Key Analysis'!$C84,34,1))</f>
        <v/>
      </c>
      <c r="FQ88" s="29" t="str">
        <f>IF(OR($B88="",$A88&lt;35),"",--MID('Key Analysis'!$C84,35,1))</f>
        <v/>
      </c>
      <c r="FR88" s="29" t="str">
        <f>IF(OR($B88="",$A88&lt;36),"",--MID('Key Analysis'!$C84,36,1))</f>
        <v/>
      </c>
      <c r="FS88" s="29" t="str">
        <f>IF(OR($B88="",$A88&lt;37),"",--MID('Key Analysis'!$C84,37,1))</f>
        <v/>
      </c>
      <c r="FT88" s="29" t="str">
        <f>IF(OR($B88="",$A88&lt;38),"",--MID('Key Analysis'!$C84,38,1))</f>
        <v/>
      </c>
      <c r="FU88" s="29" t="str">
        <f>IF(OR($B88="",$A88&lt;39),"",--MID('Key Analysis'!$C84,39,1))</f>
        <v/>
      </c>
      <c r="FV88" s="29" t="str">
        <f>IF(OR($B88="",$A88&lt;40),"",--MID('Key Analysis'!$C84,40,1))</f>
        <v/>
      </c>
      <c r="FW88" s="29" t="str">
        <f>IF(OR($B88="",$A88&lt;41),"",--MID('Key Analysis'!$C84,41,1))</f>
        <v/>
      </c>
      <c r="FX88" s="29" t="str">
        <f>IF(OR($B88="",$A88&lt;42),"",--MID('Key Analysis'!$C84,42,1))</f>
        <v/>
      </c>
      <c r="FY88" s="29" t="str">
        <f>IF(OR($B88="",$A88&lt;43),"",--MID('Key Analysis'!$C84,43,1))</f>
        <v/>
      </c>
      <c r="FZ88" s="29" t="str">
        <f>IF(OR($B88="",$A88&lt;44),"",--MID('Key Analysis'!$C84,44,1))</f>
        <v/>
      </c>
      <c r="GA88" s="29" t="str">
        <f>IF(OR($B88="",$A88&lt;45),"",--MID('Key Analysis'!$C84,45,1))</f>
        <v/>
      </c>
      <c r="GB88" s="29" t="str">
        <f>IF(OR($B88="",$A88&lt;46),"",--MID('Key Analysis'!$C84,46,1))</f>
        <v/>
      </c>
      <c r="GC88" s="29" t="str">
        <f>IF(OR($B88="",$A88&lt;47),"",--MID('Key Analysis'!$C84,47,1))</f>
        <v/>
      </c>
      <c r="GD88" s="29" t="str">
        <f>IF(OR($B88="",$A88&lt;48),"",--MID('Key Analysis'!$C84,48,1))</f>
        <v/>
      </c>
      <c r="GE88" s="29" t="str">
        <f>IF(OR($B88="",$A88&lt;49),"",--MID('Key Analysis'!$C84,49,1))</f>
        <v/>
      </c>
      <c r="GF88" s="29" t="str">
        <f>IF(OR($B88="",$A88&lt;50),"",--MID('Key Analysis'!$C84,50,1))</f>
        <v/>
      </c>
      <c r="GG88" s="29" t="str">
        <f>IF(OR($B88="",$A88&lt;51),"",--MID('Key Analysis'!$C84,51,1))</f>
        <v/>
      </c>
      <c r="GH88" s="29" t="str">
        <f>IF(OR($B88="",$A88&lt;52),"",--MID('Key Analysis'!$C84,52,1))</f>
        <v/>
      </c>
      <c r="GI88" s="29" t="str">
        <f>IF(OR($B88="",$A88&lt;53),"",--MID('Key Analysis'!$C84,53,1))</f>
        <v/>
      </c>
      <c r="GJ88" s="29" t="str">
        <f>IF(OR($B88="",$A88&lt;54),"",--MID('Key Analysis'!$C84,54,1))</f>
        <v/>
      </c>
      <c r="GK88" s="29" t="str">
        <f>IF(OR($B88="",$A88&lt;55),"",--MID('Key Analysis'!$C84,55,1))</f>
        <v/>
      </c>
      <c r="GL88" s="29" t="str">
        <f>IF(OR($B88="",$A88&lt;56),"",--MID('Key Analysis'!$C84,56,1))</f>
        <v/>
      </c>
      <c r="GM88" s="29" t="str">
        <f>IF(OR($B88="",$A88&lt;57),"",--MID('Key Analysis'!$C84,57,1))</f>
        <v/>
      </c>
      <c r="GN88" s="29" t="str">
        <f>IF(OR($B88="",$A88&lt;58),"",--MID('Key Analysis'!$C84,58,1))</f>
        <v/>
      </c>
      <c r="GO88" s="29" t="str">
        <f>IF(OR($B88="",$A88&lt;59),"",--MID('Key Analysis'!$C84,59,1))</f>
        <v/>
      </c>
      <c r="GP88" s="29" t="str">
        <f>IF(OR($B88="",$A88&lt;60),"",--MID('Key Analysis'!$C84,60,1))</f>
        <v/>
      </c>
      <c r="GQ88" s="29" t="str">
        <f>IF(OR($B88="",$A88&lt;61),"",--MID('Key Analysis'!$C84,61,1))</f>
        <v/>
      </c>
      <c r="GR88" s="29" t="str">
        <f>IF(OR($B88="",$A88&lt;62),"",--MID('Key Analysis'!$C84,62,1))</f>
        <v/>
      </c>
      <c r="GS88" s="29" t="str">
        <f>IF(OR($B88="",$A88&lt;63),"",--MID('Key Analysis'!$C84,63,1))</f>
        <v/>
      </c>
      <c r="GT88" s="29" t="str">
        <f>IF(OR($B88="",$A88&lt;64),"",--MID('Key Analysis'!$C84,64,1))</f>
        <v/>
      </c>
      <c r="GU88" s="29" t="str">
        <f>IF(OR($B88="",$A88&lt;65),"",--MID('Key Analysis'!$C84,65,1))</f>
        <v/>
      </c>
      <c r="GV88" s="29" t="str">
        <f>IF(OR($B88="",$A88&lt;66),"",--MID('Key Analysis'!$C84,66,1))</f>
        <v/>
      </c>
      <c r="GW88" s="29" t="str">
        <f>IF(OR($B88="",$A88&lt;67),"",--MID('Key Analysis'!$C84,67,1))</f>
        <v/>
      </c>
      <c r="GX88" s="29" t="str">
        <f>IF(OR($B88="",$A88&lt;68),"",--MID('Key Analysis'!$C84,68,1))</f>
        <v/>
      </c>
      <c r="GY88" s="29" t="str">
        <f>IF(OR($B88="",$A88&lt;69),"",--MID('Key Analysis'!$C84,69,1))</f>
        <v/>
      </c>
      <c r="GZ88" s="29" t="str">
        <f>IF(OR($B88="",$A88&lt;70),"",--MID('Key Analysis'!$C84,70,1))</f>
        <v/>
      </c>
      <c r="HA88" s="29" t="str">
        <f>IF(OR($B88="",$A88&lt;71),"",--MID('Key Analysis'!$C84,71,1))</f>
        <v/>
      </c>
      <c r="HB88" s="29" t="str">
        <f>IF(OR($B88="",$A88&lt;72),"",--MID('Key Analysis'!$C84,72,1))</f>
        <v/>
      </c>
      <c r="HC88" s="29" t="str">
        <f>IF(OR($B88="",$A88&lt;73),"",--MID('Key Analysis'!$C84,73,1))</f>
        <v/>
      </c>
      <c r="HD88" s="29" t="str">
        <f>IF(OR($B88="",$A88&lt;74),"",--MID('Key Analysis'!$C84,74,1))</f>
        <v/>
      </c>
      <c r="HE88" s="29" t="str">
        <f>IF(OR($B88="",$A88&lt;75),"",--MID('Key Analysis'!$C84,75,1))</f>
        <v/>
      </c>
      <c r="HF88" s="29" t="str">
        <f>IF(OR($B88="",$A88&lt;76),"",--MID('Key Analysis'!$C84,76,1))</f>
        <v/>
      </c>
      <c r="HG88" s="29" t="str">
        <f>IF(OR($B88="",$A88&lt;77),"",--MID('Key Analysis'!$C84,77,1))</f>
        <v/>
      </c>
      <c r="HH88" s="29" t="str">
        <f>IF(OR($B88="",$A88&lt;78),"",--MID('Key Analysis'!$C84,78,1))</f>
        <v/>
      </c>
      <c r="HI88" s="29" t="str">
        <f>IF(OR($B88="",$A88&lt;79),"",--MID('Key Analysis'!$C84,79,1))</f>
        <v/>
      </c>
      <c r="HJ88" s="29" t="str">
        <f>IF(OR($B88="",$A88&lt;80),"",--MID('Key Analysis'!$C84,80,1))</f>
        <v/>
      </c>
      <c r="HK88" s="29" t="str">
        <f>IF(OR($B88="",$A88&lt;81),"",--MID('Key Analysis'!$C84,81,1))</f>
        <v/>
      </c>
      <c r="HL88" s="29" t="str">
        <f>IF(OR($B88="",$A88&lt;82),"",--MID('Key Analysis'!$C84,82,1))</f>
        <v/>
      </c>
      <c r="HM88" s="29" t="str">
        <f>IF(OR($B88="",$A88&lt;83),"",--MID('Key Analysis'!$C84,83,1))</f>
        <v/>
      </c>
      <c r="HN88" s="29" t="str">
        <f>IF(OR($B88="",$A88&lt;84),"",--MID('Key Analysis'!$C84,84,1))</f>
        <v/>
      </c>
      <c r="HO88" s="29" t="str">
        <f>IF(OR($B88="",$A88&lt;85),"",--MID('Key Analysis'!$C84,85,1))</f>
        <v/>
      </c>
      <c r="HP88" s="29" t="str">
        <f>IF(OR($B88="",$A88&lt;86),"",--MID('Key Analysis'!$C84,86,1))</f>
        <v/>
      </c>
      <c r="HQ88" s="29" t="str">
        <f>IF(OR($B88="",$A88&lt;87),"",--MID('Key Analysis'!$C84,87,1))</f>
        <v/>
      </c>
      <c r="HR88" s="29" t="str">
        <f>IF(OR($B88="",$A88&lt;88),"",--MID('Key Analysis'!$C84,88,1))</f>
        <v/>
      </c>
      <c r="HS88" s="29" t="str">
        <f>IF(OR($B88="",$A88&lt;89),"",--MID('Key Analysis'!$C84,89,1))</f>
        <v/>
      </c>
      <c r="HT88" s="29" t="str">
        <f>IF(OR($B88="",$A88&lt;90),"",--MID('Key Analysis'!$C84,90,1))</f>
        <v/>
      </c>
      <c r="HU88" s="29" t="str">
        <f>IF(OR($B88="",$A88&lt;91),"",--MID('Key Analysis'!$C84,91,1))</f>
        <v/>
      </c>
      <c r="HV88" s="29" t="str">
        <f>IF(OR($B88="",$A88&lt;92),"",--MID('Key Analysis'!$C84,92,1))</f>
        <v/>
      </c>
      <c r="HW88" s="29" t="str">
        <f>IF(OR($B88="",$A88&lt;93),"",--MID('Key Analysis'!$C84,93,1))</f>
        <v/>
      </c>
      <c r="HX88" s="29" t="str">
        <f>IF(OR($B88="",$A88&lt;94),"",--MID('Key Analysis'!$C84,94,1))</f>
        <v/>
      </c>
      <c r="HY88" s="29" t="str">
        <f>IF(OR($B88="",$A88&lt;95),"",--MID('Key Analysis'!$C84,95,1))</f>
        <v/>
      </c>
      <c r="HZ88" s="29" t="str">
        <f>IF(OR($B88="",$A88&lt;96),"",--MID('Key Analysis'!$C84,96,1))</f>
        <v/>
      </c>
      <c r="IA88" s="29" t="str">
        <f>IF(OR($B88="",$A88&lt;97),"",--MID('Key Analysis'!$C84,97,1))</f>
        <v/>
      </c>
      <c r="IB88" s="29" t="str">
        <f>IF(OR($B88="",$A88&lt;98),"",--MID('Key Analysis'!$C84,98,1))</f>
        <v/>
      </c>
      <c r="IC88" s="29" t="str">
        <f>IF(OR($B88="",$A88&lt;99),"",--MID('Key Analysis'!$C84,99,1))</f>
        <v/>
      </c>
      <c r="ID88" s="29" t="str">
        <f>IF(OR($B88="",$A88&lt;100),"",--MID('Key Analysis'!$C84,100,1))</f>
        <v/>
      </c>
      <c r="IE88" s="29" t="str">
        <f>IF(OR($B88="",$A88&lt;101),"",--MID('Key Analysis'!$C84,101,1))</f>
        <v/>
      </c>
      <c r="IF88" s="29" t="str">
        <f>IF(OR($B88="",$A88&lt;102),"",--MID('Key Analysis'!$C84,102,1))</f>
        <v/>
      </c>
      <c r="IG88" s="29" t="str">
        <f>IF(OR($B88="",$A88&lt;103),"",--MID('Key Analysis'!$C84,103,1))</f>
        <v/>
      </c>
      <c r="IH88" s="29" t="str">
        <f>IF(OR($B88="",$A88&lt;104),"",--MID('Key Analysis'!$C84,104,1))</f>
        <v/>
      </c>
      <c r="II88" s="29" t="str">
        <f>IF(OR($B88="",$A88&lt;105),"",--MID('Key Analysis'!$C84,105,1))</f>
        <v/>
      </c>
      <c r="IJ88" s="29" t="str">
        <f>IF(OR($B88="",$A88&lt;106),"",--MID('Key Analysis'!$C84,106,1))</f>
        <v/>
      </c>
      <c r="IK88" s="29" t="str">
        <f>IF(OR($B88="",$A88&lt;107),"",--MID('Key Analysis'!$C84,107,1))</f>
        <v/>
      </c>
      <c r="IL88" s="29" t="str">
        <f>IF(OR($B88="",$A88&lt;108),"",--MID('Key Analysis'!$C84,108,1))</f>
        <v/>
      </c>
      <c r="IM88" s="29" t="str">
        <f>IF(OR($B88="",$A88&lt;109),"",--MID('Key Analysis'!$C84,109,1))</f>
        <v/>
      </c>
      <c r="IN88" s="29" t="str">
        <f>IF(OR($B88="",$A88&lt;110),"",--MID('Key Analysis'!$C84,110,1))</f>
        <v/>
      </c>
      <c r="IO88" s="29" t="str">
        <f>IF(OR($B88="",$A88&lt;111),"",--MID('Key Analysis'!$C84,111,1))</f>
        <v/>
      </c>
      <c r="IP88" s="29" t="str">
        <f>IF(OR($B88="",$A88&lt;112),"",--MID('Key Analysis'!$C84,112,1))</f>
        <v/>
      </c>
      <c r="IQ88" s="29" t="str">
        <f>IF(OR($B88="",$A88&lt;113),"",--MID('Key Analysis'!$C84,113,1))</f>
        <v/>
      </c>
      <c r="IR88" s="29" t="str">
        <f>IF(OR($B88="",$A88&lt;114),"",--MID('Key Analysis'!$C84,114,1))</f>
        <v/>
      </c>
      <c r="IS88" s="29" t="str">
        <f>IF(OR($B88="",$A88&lt;115),"",--MID('Key Analysis'!$C84,115,1))</f>
        <v/>
      </c>
      <c r="IT88" s="29" t="str">
        <f>IF(OR($B88="",$A88&lt;116),"",--MID('Key Analysis'!$C84,116,1))</f>
        <v/>
      </c>
      <c r="IU88" s="29" t="str">
        <f>IF(OR($B88="",$A88&lt;117),"",--MID('Key Analysis'!$C84,117,1))</f>
        <v/>
      </c>
      <c r="IV88" s="29" t="str">
        <f>IF(OR($B88="",$A88&lt;118),"",--MID('Key Analysis'!$C84,118,1))</f>
        <v/>
      </c>
      <c r="IW88" s="29" t="str">
        <f>IF(OR($B88="",$A88&lt;119),"",--MID('Key Analysis'!$C84,119,1))</f>
        <v/>
      </c>
      <c r="IX88" s="29" t="str">
        <f>IF(OR($B88="",$A88&lt;120),"",--MID('Key Analysis'!$C84,120,1))</f>
        <v/>
      </c>
      <c r="IY88" s="29" t="str">
        <f>IF(OR($B88="",$A88&lt;121),"",--MID('Key Analysis'!$C84,121,1))</f>
        <v/>
      </c>
      <c r="IZ88" s="29" t="str">
        <f>IF(OR($B88="",$A88&lt;122),"",--MID('Key Analysis'!$C84,122,1))</f>
        <v/>
      </c>
      <c r="JA88" s="29" t="str">
        <f>IF(OR($B88="",$A88&lt;123),"",--MID('Key Analysis'!$C84,123,1))</f>
        <v/>
      </c>
      <c r="JB88" s="29" t="str">
        <f>IF(OR($B88="",$A88&lt;124),"",--MID('Key Analysis'!$C84,124,1))</f>
        <v/>
      </c>
      <c r="JC88" s="29" t="str">
        <f>IF(OR($B88="",$A88&lt;125),"",--MID('Key Analysis'!$C84,125,1))</f>
        <v/>
      </c>
      <c r="JD88" s="29" t="str">
        <f>IF(OR($B88="",$A88&lt;126),"",--MID('Key Analysis'!$C84,126,1))</f>
        <v/>
      </c>
      <c r="JE88" s="29" t="str">
        <f>IF(OR($B88="",$A88&lt;127),"",--MID('Key Analysis'!$C84,127,1))</f>
        <v/>
      </c>
      <c r="JF88" s="29" t="str">
        <f>IF(OR($B88="",$A88&lt;128),"",--MID('Key Analysis'!$C84,128,1))</f>
        <v/>
      </c>
      <c r="JG88" s="29" t="str">
        <f>IF(OR($B88="",$A88&lt;129),"",--MID('Key Analysis'!$C84,129,1))</f>
        <v/>
      </c>
      <c r="JH88" s="29" t="str">
        <f>IF(OR($B88="",$A88&lt;130),"",--MID('Key Analysis'!$C84,130,1))</f>
        <v/>
      </c>
      <c r="JI88" s="29" t="str">
        <f>IF(OR($B88="",$A88&lt;131),"",--MID('Key Analysis'!$C84,131,1))</f>
        <v/>
      </c>
      <c r="JJ88" s="29" t="str">
        <f>IF(OR($B88="",$A88&lt;132),"",--MID('Key Analysis'!$C84,132,1))</f>
        <v/>
      </c>
      <c r="JK88" s="29" t="str">
        <f>IF(OR($B88="",$A88&lt;133),"",--MID('Key Analysis'!$C84,133,1))</f>
        <v/>
      </c>
      <c r="JL88" s="29" t="str">
        <f>IF(OR($B88="",$A88&lt;134),"",--MID('Key Analysis'!$C84,134,1))</f>
        <v/>
      </c>
      <c r="JM88" s="29" t="str">
        <f>IF(OR($B88="",$A88&lt;135),"",--MID('Key Analysis'!$C84,135,1))</f>
        <v/>
      </c>
    </row>
    <row r="89" spans="1:273" x14ac:dyDescent="0.25">
      <c r="A89" s="21">
        <f>'Key Analysis'!A85</f>
        <v>84</v>
      </c>
      <c r="B89" s="30" t="str">
        <f>'Key Analysis'!B85</f>
        <v/>
      </c>
      <c r="C89" s="29" t="str">
        <f>IF(OR($B89="",$A89&lt;=0),"",--MID('Key Analysis'!$C85,$A89-0,1))</f>
        <v/>
      </c>
      <c r="D89" s="29" t="str">
        <f>IF(OR($B89="",$A89&lt;=1),"",--MID('Key Analysis'!$C85,$A89-1,1))</f>
        <v/>
      </c>
      <c r="E89" s="29" t="str">
        <f>IF(OR($B89="",$A89&lt;=2),"",--MID('Key Analysis'!$C85,$A89-2,1))</f>
        <v/>
      </c>
      <c r="F89" s="29" t="str">
        <f>IF(OR($B89="",$A89&lt;=3),"",--MID('Key Analysis'!$C85,$A89-3,1))</f>
        <v/>
      </c>
      <c r="G89" s="29" t="str">
        <f>IF(OR($B89="",$A89&lt;=4),"",--MID('Key Analysis'!$C85,$A89-4,1))</f>
        <v/>
      </c>
      <c r="H89" s="29" t="str">
        <f>IF(OR($B89="",$A89&lt;=5),"",--MID('Key Analysis'!$C85,$A89-5,1))</f>
        <v/>
      </c>
      <c r="I89" s="29" t="str">
        <f>IF(OR($B89="",$A89&lt;=6),"",--MID('Key Analysis'!$C85,$A89-6,1))</f>
        <v/>
      </c>
      <c r="J89" s="29" t="str">
        <f>IF(OR($B89="",$A89&lt;=7),"",--MID('Key Analysis'!$C85,$A89-7,1))</f>
        <v/>
      </c>
      <c r="K89" s="29" t="str">
        <f>IF(OR($B89="",$A89&lt;=8),"",--MID('Key Analysis'!$C85,$A89-8,1))</f>
        <v/>
      </c>
      <c r="L89" s="29" t="str">
        <f>IF(OR($B89="",$A89&lt;=9),"",--MID('Key Analysis'!$C85,$A89-9,1))</f>
        <v/>
      </c>
      <c r="M89" s="29" t="str">
        <f>IF(OR($B89="",$A89&lt;=10),"",--MID('Key Analysis'!$C85,$A89-10,1))</f>
        <v/>
      </c>
      <c r="N89" s="29" t="str">
        <f>IF(OR($B89="",$A89&lt;=11),"",--MID('Key Analysis'!$C85,$A89-11,1))</f>
        <v/>
      </c>
      <c r="O89" s="29" t="str">
        <f>IF(OR($B89="",$A89&lt;=12),"",--MID('Key Analysis'!$C85,$A89-12,1))</f>
        <v/>
      </c>
      <c r="P89" s="29" t="str">
        <f>IF(OR($B89="",$A89&lt;=13),"",--MID('Key Analysis'!$C85,$A89-13,1))</f>
        <v/>
      </c>
      <c r="Q89" s="29" t="str">
        <f>IF(OR($B89="",$A89&lt;=14),"",--MID('Key Analysis'!$C85,$A89-14,1))</f>
        <v/>
      </c>
      <c r="R89" s="29" t="str">
        <f>IF(OR($B89="",$A89&lt;=15),"",--MID('Key Analysis'!$C85,$A89-15,1))</f>
        <v/>
      </c>
      <c r="S89" s="29" t="str">
        <f>IF(OR($B89="",$A89&lt;=16),"",--MID('Key Analysis'!$C85,$A89-16,1))</f>
        <v/>
      </c>
      <c r="T89" s="29" t="str">
        <f>IF(OR($B89="",$A89&lt;=17),"",--MID('Key Analysis'!$C85,$A89-17,1))</f>
        <v/>
      </c>
      <c r="U89" s="29" t="str">
        <f>IF(OR($B89="",$A89&lt;=18),"",--MID('Key Analysis'!$C85,$A89-18,1))</f>
        <v/>
      </c>
      <c r="V89" s="29" t="str">
        <f>IF(OR($B89="",$A89&lt;=19),"",--MID('Key Analysis'!$C85,$A89-19,1))</f>
        <v/>
      </c>
      <c r="W89" s="29" t="str">
        <f>IF(OR($B89="",$A89&lt;=20),"",--MID('Key Analysis'!$C85,$A89-20,1))</f>
        <v/>
      </c>
      <c r="X89" s="29" t="str">
        <f>IF(OR($B89="",$A89&lt;=21),"",--MID('Key Analysis'!$C85,$A89-21,1))</f>
        <v/>
      </c>
      <c r="Y89" s="29" t="str">
        <f>IF(OR($B89="",$A89&lt;=22),"",--MID('Key Analysis'!$C85,$A89-22,1))</f>
        <v/>
      </c>
      <c r="Z89" s="29" t="str">
        <f>IF(OR($B89="",$A89&lt;=23),"",--MID('Key Analysis'!$C85,$A89-23,1))</f>
        <v/>
      </c>
      <c r="AA89" s="29" t="str">
        <f>IF(OR($B89="",$A89&lt;=24),"",--MID('Key Analysis'!$C85,$A89-24,1))</f>
        <v/>
      </c>
      <c r="AB89" s="29" t="str">
        <f>IF(OR($B89="",$A89&lt;=25),"",--MID('Key Analysis'!$C85,$A89-25,1))</f>
        <v/>
      </c>
      <c r="AC89" s="29" t="str">
        <f>IF(OR($B89="",$A89&lt;=26),"",--MID('Key Analysis'!$C85,$A89-26,1))</f>
        <v/>
      </c>
      <c r="AD89" s="29" t="str">
        <f>IF(OR($B89="",$A89&lt;=27),"",--MID('Key Analysis'!$C85,$A89-27,1))</f>
        <v/>
      </c>
      <c r="AE89" s="29" t="str">
        <f>IF(OR($B89="",$A89&lt;=28),"",--MID('Key Analysis'!$C85,$A89-28,1))</f>
        <v/>
      </c>
      <c r="AF89" s="29" t="str">
        <f>IF(OR($B89="",$A89&lt;=29),"",--MID('Key Analysis'!$C85,$A89-29,1))</f>
        <v/>
      </c>
      <c r="AG89" s="29" t="str">
        <f>IF(OR($B89="",$A89&lt;=30),"",--MID('Key Analysis'!$C85,$A89-30,1))</f>
        <v/>
      </c>
      <c r="AH89" s="29" t="str">
        <f>IF(OR($B89="",$A89&lt;=31),"",--MID('Key Analysis'!$C85,$A89-31,1))</f>
        <v/>
      </c>
      <c r="AI89" s="29" t="str">
        <f>IF(OR($B89="",$A89&lt;=32),"",--MID('Key Analysis'!$C85,$A89-32,1))</f>
        <v/>
      </c>
      <c r="AJ89" s="29" t="str">
        <f>IF(OR($B89="",$A89&lt;=33),"",--MID('Key Analysis'!$C85,$A89-33,1))</f>
        <v/>
      </c>
      <c r="AK89" s="29" t="str">
        <f>IF(OR($B89="",$A89&lt;=34),"",--MID('Key Analysis'!$C85,$A89-34,1))</f>
        <v/>
      </c>
      <c r="AL89" s="29" t="str">
        <f>IF(OR($B89="",$A89&lt;=35),"",--MID('Key Analysis'!$C85,$A89-35,1))</f>
        <v/>
      </c>
      <c r="AM89" s="29" t="str">
        <f>IF(OR($B89="",$A89&lt;=36),"",--MID('Key Analysis'!$C85,$A89-36,1))</f>
        <v/>
      </c>
      <c r="AN89" s="29" t="str">
        <f>IF(OR($B89="",$A89&lt;=37),"",--MID('Key Analysis'!$C85,$A89-37,1))</f>
        <v/>
      </c>
      <c r="AO89" s="29" t="str">
        <f>IF(OR($B89="",$A89&lt;=38),"",--MID('Key Analysis'!$C85,$A89-38,1))</f>
        <v/>
      </c>
      <c r="AP89" s="29" t="str">
        <f>IF(OR($B89="",$A89&lt;=39),"",--MID('Key Analysis'!$C85,$A89-39,1))</f>
        <v/>
      </c>
      <c r="AQ89" s="29" t="str">
        <f>IF(OR($B89="",$A89&lt;=40),"",--MID('Key Analysis'!$C85,$A89-40,1))</f>
        <v/>
      </c>
      <c r="AR89" s="29" t="str">
        <f>IF(OR($B89="",$A89&lt;=41),"",--MID('Key Analysis'!$C85,$A89-41,1))</f>
        <v/>
      </c>
      <c r="AS89" s="29" t="str">
        <f>IF(OR($B89="",$A89&lt;=42),"",--MID('Key Analysis'!$C85,$A89-42,1))</f>
        <v/>
      </c>
      <c r="AT89" s="29" t="str">
        <f>IF(OR($B89="",$A89&lt;=43),"",--MID('Key Analysis'!$C85,$A89-43,1))</f>
        <v/>
      </c>
      <c r="AU89" s="29" t="str">
        <f>IF(OR($B89="",$A89&lt;=44),"",--MID('Key Analysis'!$C85,$A89-44,1))</f>
        <v/>
      </c>
      <c r="AV89" s="29" t="str">
        <f>IF(OR($B89="",$A89&lt;=45),"",--MID('Key Analysis'!$C85,$A89-45,1))</f>
        <v/>
      </c>
      <c r="AW89" s="29" t="str">
        <f>IF(OR($B89="",$A89&lt;=46),"",--MID('Key Analysis'!$C85,$A89-46,1))</f>
        <v/>
      </c>
      <c r="AX89" s="29" t="str">
        <f>IF(OR($B89="",$A89&lt;=47),"",--MID('Key Analysis'!$C85,$A89-47,1))</f>
        <v/>
      </c>
      <c r="AY89" s="29" t="str">
        <f>IF(OR($B89="",$A89&lt;=48),"",--MID('Key Analysis'!$C85,$A89-48,1))</f>
        <v/>
      </c>
      <c r="AZ89" s="29" t="str">
        <f>IF(OR($B89="",$A89&lt;=49),"",--MID('Key Analysis'!$C85,$A89-49,1))</f>
        <v/>
      </c>
      <c r="BA89" s="29" t="str">
        <f>IF(OR($B89="",$A89&lt;=50),"",--MID('Key Analysis'!$C85,$A89-50,1))</f>
        <v/>
      </c>
      <c r="BB89" s="29" t="str">
        <f>IF(OR($B89="",$A89&lt;=51),"",--MID('Key Analysis'!$C85,$A89-51,1))</f>
        <v/>
      </c>
      <c r="BC89" s="29" t="str">
        <f>IF(OR($B89="",$A89&lt;=52),"",--MID('Key Analysis'!$C85,$A89-52,1))</f>
        <v/>
      </c>
      <c r="BD89" s="29" t="str">
        <f>IF(OR($B89="",$A89&lt;=53),"",--MID('Key Analysis'!$C85,$A89-53,1))</f>
        <v/>
      </c>
      <c r="BE89" s="29" t="str">
        <f>IF(OR($B89="",$A89&lt;=54),"",--MID('Key Analysis'!$C85,$A89-54,1))</f>
        <v/>
      </c>
      <c r="BF89" s="29" t="str">
        <f>IF(OR($B89="",$A89&lt;=55),"",--MID('Key Analysis'!$C85,$A89-55,1))</f>
        <v/>
      </c>
      <c r="BG89" s="29" t="str">
        <f>IF(OR($B89="",$A89&lt;=56),"",--MID('Key Analysis'!$C85,$A89-56,1))</f>
        <v/>
      </c>
      <c r="BH89" s="29" t="str">
        <f>IF(OR($B89="",$A89&lt;=57),"",--MID('Key Analysis'!$C85,$A89-57,1))</f>
        <v/>
      </c>
      <c r="BI89" s="29" t="str">
        <f>IF(OR($B89="",$A89&lt;=58),"",--MID('Key Analysis'!$C85,$A89-58,1))</f>
        <v/>
      </c>
      <c r="BJ89" s="29" t="str">
        <f>IF(OR($B89="",$A89&lt;=59),"",--MID('Key Analysis'!$C85,$A89-59,1))</f>
        <v/>
      </c>
      <c r="BK89" s="29" t="str">
        <f>IF(OR($B89="",$A89&lt;=60),"",--MID('Key Analysis'!$C85,$A89-60,1))</f>
        <v/>
      </c>
      <c r="BL89" s="29" t="str">
        <f>IF(OR($B89="",$A89&lt;=61),"",--MID('Key Analysis'!$C85,$A89-61,1))</f>
        <v/>
      </c>
      <c r="BM89" s="29" t="str">
        <f>IF(OR($B89="",$A89&lt;=62),"",--MID('Key Analysis'!$C85,$A89-62,1))</f>
        <v/>
      </c>
      <c r="BN89" s="29" t="str">
        <f>IF(OR($B89="",$A89&lt;=63),"",--MID('Key Analysis'!$C85,$A89-63,1))</f>
        <v/>
      </c>
      <c r="BO89" s="29" t="str">
        <f>IF(OR($B89="",$A89&lt;=64),"",--MID('Key Analysis'!$C85,$A89-64,1))</f>
        <v/>
      </c>
      <c r="BP89" s="29" t="str">
        <f>IF(OR($B89="",$A89&lt;=65),"",--MID('Key Analysis'!$C85,$A89-65,1))</f>
        <v/>
      </c>
      <c r="BQ89" s="29" t="str">
        <f>IF(OR($B89="",$A89&lt;=66),"",--MID('Key Analysis'!$C85,$A89-66,1))</f>
        <v/>
      </c>
      <c r="BR89" s="29" t="str">
        <f>IF(OR($B89="",$A89&lt;=67),"",--MID('Key Analysis'!$C85,$A89-67,1))</f>
        <v/>
      </c>
      <c r="BS89" s="29" t="str">
        <f>IF(OR($B89="",$A89&lt;=68),"",--MID('Key Analysis'!$C85,$A89-68,1))</f>
        <v/>
      </c>
      <c r="BT89" s="29" t="str">
        <f>IF(OR($B89="",$A89&lt;=69),"",--MID('Key Analysis'!$C85,$A89-69,1))</f>
        <v/>
      </c>
      <c r="BU89" s="29" t="str">
        <f>IF(OR($B89="",$A89&lt;=70),"",--MID('Key Analysis'!$C85,$A89-70,1))</f>
        <v/>
      </c>
      <c r="BV89" s="29" t="str">
        <f>IF(OR($B89="",$A89&lt;=71),"",--MID('Key Analysis'!$C85,$A89-71,1))</f>
        <v/>
      </c>
      <c r="BW89" s="29" t="str">
        <f>IF(OR($B89="",$A89&lt;=72),"",--MID('Key Analysis'!$C85,$A89-72,1))</f>
        <v/>
      </c>
      <c r="BX89" s="29" t="str">
        <f>IF(OR($B89="",$A89&lt;=73),"",--MID('Key Analysis'!$C85,$A89-73,1))</f>
        <v/>
      </c>
      <c r="BY89" s="29" t="str">
        <f>IF(OR($B89="",$A89&lt;=74),"",--MID('Key Analysis'!$C85,$A89-74,1))</f>
        <v/>
      </c>
      <c r="BZ89" s="29" t="str">
        <f>IF(OR($B89="",$A89&lt;=75),"",--MID('Key Analysis'!$C85,$A89-75,1))</f>
        <v/>
      </c>
      <c r="CA89" s="29" t="str">
        <f>IF(OR($B89="",$A89&lt;=76),"",--MID('Key Analysis'!$C85,$A89-76,1))</f>
        <v/>
      </c>
      <c r="CB89" s="29" t="str">
        <f>IF(OR($B89="",$A89&lt;=77),"",--MID('Key Analysis'!$C85,$A89-77,1))</f>
        <v/>
      </c>
      <c r="CC89" s="29" t="str">
        <f>IF(OR($B89="",$A89&lt;=78),"",--MID('Key Analysis'!$C85,$A89-78,1))</f>
        <v/>
      </c>
      <c r="CD89" s="29" t="str">
        <f>IF(OR($B89="",$A89&lt;=79),"",--MID('Key Analysis'!$C85,$A89-79,1))</f>
        <v/>
      </c>
      <c r="CE89" s="29" t="str">
        <f>IF(OR($B89="",$A89&lt;=80),"",--MID('Key Analysis'!$C85,$A89-80,1))</f>
        <v/>
      </c>
      <c r="CF89" s="29" t="str">
        <f>IF(OR($B89="",$A89&lt;=81),"",--MID('Key Analysis'!$C85,$A89-81,1))</f>
        <v/>
      </c>
      <c r="CG89" s="29" t="str">
        <f>IF(OR($B89="",$A89&lt;=82),"",--MID('Key Analysis'!$C85,$A89-82,1))</f>
        <v/>
      </c>
      <c r="CH89" s="29" t="str">
        <f>IF(OR($B89="",$A89&lt;=83),"",--MID('Key Analysis'!$C85,$A89-83,1))</f>
        <v/>
      </c>
      <c r="CI89" s="29" t="str">
        <f>IF(OR($B89="",$A89&lt;=84),"",--MID('Key Analysis'!$C85,$A89-84,1))</f>
        <v/>
      </c>
      <c r="CJ89" s="29" t="str">
        <f>IF(OR($B89="",$A89&lt;=85),"",--MID('Key Analysis'!$C85,$A89-85,1))</f>
        <v/>
      </c>
      <c r="CK89" s="29" t="str">
        <f>IF(OR($B89="",$A89&lt;=86),"",--MID('Key Analysis'!$C85,$A89-86,1))</f>
        <v/>
      </c>
      <c r="CL89" s="29" t="str">
        <f>IF(OR($B89="",$A89&lt;=87),"",--MID('Key Analysis'!$C85,$A89-87,1))</f>
        <v/>
      </c>
      <c r="CM89" s="29" t="str">
        <f>IF(OR($B89="",$A89&lt;=88),"",--MID('Key Analysis'!$C85,$A89-88,1))</f>
        <v/>
      </c>
      <c r="CN89" s="29" t="str">
        <f>IF(OR($B89="",$A89&lt;=89),"",--MID('Key Analysis'!$C85,$A89-89,1))</f>
        <v/>
      </c>
      <c r="CO89" s="29" t="str">
        <f>IF(OR($B89="",$A89&lt;=90),"",--MID('Key Analysis'!$C85,$A89-90,1))</f>
        <v/>
      </c>
      <c r="CP89" s="29" t="str">
        <f>IF(OR($B89="",$A89&lt;=91),"",--MID('Key Analysis'!$C85,$A89-91,1))</f>
        <v/>
      </c>
      <c r="CQ89" s="29" t="str">
        <f>IF(OR($B89="",$A89&lt;=92),"",--MID('Key Analysis'!$C85,$A89-92,1))</f>
        <v/>
      </c>
      <c r="CR89" s="29" t="str">
        <f>IF(OR($B89="",$A89&lt;=93),"",--MID('Key Analysis'!$C85,$A89-93,1))</f>
        <v/>
      </c>
      <c r="CS89" s="29" t="str">
        <f>IF(OR($B89="",$A89&lt;=94),"",--MID('Key Analysis'!$C85,$A89-94,1))</f>
        <v/>
      </c>
      <c r="CT89" s="29" t="str">
        <f>IF(OR($B89="",$A89&lt;=95),"",--MID('Key Analysis'!$C85,$A89-95,1))</f>
        <v/>
      </c>
      <c r="CU89" s="29" t="str">
        <f>IF(OR($B89="",$A89&lt;=96),"",--MID('Key Analysis'!$C85,$A89-96,1))</f>
        <v/>
      </c>
      <c r="CV89" s="29" t="str">
        <f>IF(OR($B89="",$A89&lt;=97),"",--MID('Key Analysis'!$C85,$A89-97,1))</f>
        <v/>
      </c>
      <c r="CW89" s="29" t="str">
        <f>IF(OR($B89="",$A89&lt;=98),"",--MID('Key Analysis'!$C85,$A89-98,1))</f>
        <v/>
      </c>
      <c r="CX89" s="29" t="str">
        <f>IF(OR($B89="",$A89&lt;=99),"",--MID('Key Analysis'!$C85,$A89-99,1))</f>
        <v/>
      </c>
      <c r="CY89" s="29" t="str">
        <f>IF(OR($B89="",$A89&lt;=100),"",--MID('Key Analysis'!$C85,$A89-100,1))</f>
        <v/>
      </c>
      <c r="CZ89" s="29" t="str">
        <f>IF(OR($B89="",$A89&lt;=101),"",--MID('Key Analysis'!$C85,$A89-101,1))</f>
        <v/>
      </c>
      <c r="DA89" s="29" t="str">
        <f>IF(OR($B89="",$A89&lt;=102),"",--MID('Key Analysis'!$C85,$A89-102,1))</f>
        <v/>
      </c>
      <c r="DB89" s="29" t="str">
        <f>IF(OR($B89="",$A89&lt;=103),"",--MID('Key Analysis'!$C85,$A89-103,1))</f>
        <v/>
      </c>
      <c r="DC89" s="29" t="str">
        <f>IF(OR($B89="",$A89&lt;=104),"",--MID('Key Analysis'!$C85,$A89-104,1))</f>
        <v/>
      </c>
      <c r="DD89" s="29" t="str">
        <f>IF(OR($B89="",$A89&lt;=105),"",--MID('Key Analysis'!$C85,$A89-105,1))</f>
        <v/>
      </c>
      <c r="DE89" s="29" t="str">
        <f>IF(OR($B89="",$A89&lt;=106),"",--MID('Key Analysis'!$C85,$A89-106,1))</f>
        <v/>
      </c>
      <c r="DF89" s="29" t="str">
        <f>IF(OR($B89="",$A89&lt;=107),"",--MID('Key Analysis'!$C85,$A89-107,1))</f>
        <v/>
      </c>
      <c r="DG89" s="29" t="str">
        <f>IF(OR($B89="",$A89&lt;=108),"",--MID('Key Analysis'!$C85,$A89-108,1))</f>
        <v/>
      </c>
      <c r="DH89" s="29" t="str">
        <f>IF(OR($B89="",$A89&lt;=109),"",--MID('Key Analysis'!$C85,$A89-109,1))</f>
        <v/>
      </c>
      <c r="DI89" s="29" t="str">
        <f>IF(OR($B89="",$A89&lt;=110),"",--MID('Key Analysis'!$C85,$A89-110,1))</f>
        <v/>
      </c>
      <c r="DJ89" s="29" t="str">
        <f>IF(OR($B89="",$A89&lt;=111),"",--MID('Key Analysis'!$C85,$A89-111,1))</f>
        <v/>
      </c>
      <c r="DK89" s="29" t="str">
        <f>IF(OR($B89="",$A89&lt;=112),"",--MID('Key Analysis'!$C85,$A89-112,1))</f>
        <v/>
      </c>
      <c r="DL89" s="29" t="str">
        <f>IF(OR($B89="",$A89&lt;=113),"",--MID('Key Analysis'!$C85,$A89-113,1))</f>
        <v/>
      </c>
      <c r="DM89" s="29" t="str">
        <f>IF(OR($B89="",$A89&lt;=114),"",--MID('Key Analysis'!$C85,$A89-114,1))</f>
        <v/>
      </c>
      <c r="DN89" s="29" t="str">
        <f>IF(OR($B89="",$A89&lt;=115),"",--MID('Key Analysis'!$C85,$A89-115,1))</f>
        <v/>
      </c>
      <c r="DO89" s="29" t="str">
        <f>IF(OR($B89="",$A89&lt;=116),"",--MID('Key Analysis'!$C85,$A89-116,1))</f>
        <v/>
      </c>
      <c r="DP89" s="29" t="str">
        <f>IF(OR($B89="",$A89&lt;=117),"",--MID('Key Analysis'!$C85,$A89-117,1))</f>
        <v/>
      </c>
      <c r="DQ89" s="29" t="str">
        <f>IF(OR($B89="",$A89&lt;=118),"",--MID('Key Analysis'!$C85,$A89-118,1))</f>
        <v/>
      </c>
      <c r="DR89" s="29" t="str">
        <f>IF(OR($B89="",$A89&lt;=119),"",--MID('Key Analysis'!$C85,$A89-119,1))</f>
        <v/>
      </c>
      <c r="DS89" s="29" t="str">
        <f>IF(OR($B89="",$A89&lt;=120),"",--MID('Key Analysis'!$C85,$A89-120,1))</f>
        <v/>
      </c>
      <c r="DT89" s="29" t="str">
        <f>IF(OR($B89="",$A89&lt;=121),"",--MID('Key Analysis'!$C85,$A89-121,1))</f>
        <v/>
      </c>
      <c r="DU89" s="29" t="str">
        <f>IF(OR($B89="",$A89&lt;=122),"",--MID('Key Analysis'!$C85,$A89-122,1))</f>
        <v/>
      </c>
      <c r="DV89" s="29" t="str">
        <f>IF(OR($B89="",$A89&lt;=123),"",--MID('Key Analysis'!$C85,$A89-123,1))</f>
        <v/>
      </c>
      <c r="DW89" s="29" t="str">
        <f>IF(OR($B89="",$A89&lt;=124),"",--MID('Key Analysis'!$C85,$A89-124,1))</f>
        <v/>
      </c>
      <c r="DX89" s="29" t="str">
        <f>IF(OR($B89="",$A89&lt;=125),"",--MID('Key Analysis'!$C85,$A89-125,1))</f>
        <v/>
      </c>
      <c r="DY89" s="29" t="str">
        <f>IF(OR($B89="",$A89&lt;=126),"",--MID('Key Analysis'!$C85,$A89-126,1))</f>
        <v/>
      </c>
      <c r="DZ89" s="29" t="str">
        <f>IF(OR($B89="",$A89&lt;=127),"",--MID('Key Analysis'!$C85,$A89-127,1))</f>
        <v/>
      </c>
      <c r="EA89" s="29" t="str">
        <f>IF(OR($B89="",$A89&lt;=128),"",--MID('Key Analysis'!$C85,$A89-128,1))</f>
        <v/>
      </c>
      <c r="EB89" s="29" t="str">
        <f>IF(OR($B89="",$A89&lt;=129),"",--MID('Key Analysis'!$C85,$A89-129,1))</f>
        <v/>
      </c>
      <c r="EC89" s="29" t="str">
        <f>IF(OR($B89="",$A89&lt;=130),"",--MID('Key Analysis'!$C85,$A89-130,1))</f>
        <v/>
      </c>
      <c r="ED89" s="29" t="str">
        <f>IF(OR($B89="",$A89&lt;=131),"",--MID('Key Analysis'!$C85,$A89-131,1))</f>
        <v/>
      </c>
      <c r="EE89" s="29" t="str">
        <f>IF(OR($B89="",$A89&lt;=132),"",--MID('Key Analysis'!$C85,$A89-132,1))</f>
        <v/>
      </c>
      <c r="EF89" s="29" t="str">
        <f>IF(OR($B89="",$A89&lt;=133),"",--MID('Key Analysis'!$C85,$A89-133,1))</f>
        <v/>
      </c>
      <c r="EG89" s="29" t="str">
        <f>IF(OR($B89="",$A89&lt;=134),"",--MID('Key Analysis'!$C85,$A89-134,1))</f>
        <v/>
      </c>
      <c r="EH89" s="29"/>
      <c r="EI89" s="29" t="str">
        <f>IF(OR($B89="",$A89&lt;1),"",--MID('Key Analysis'!$C85,1,1))</f>
        <v/>
      </c>
      <c r="EJ89" s="29" t="str">
        <f>IF(OR($B89="",$A89&lt;2),"",--MID('Key Analysis'!$C85,2,1))</f>
        <v/>
      </c>
      <c r="EK89" s="29" t="str">
        <f>IF(OR($B89="",$A89&lt;3),"",--MID('Key Analysis'!$C85,3,1))</f>
        <v/>
      </c>
      <c r="EL89" s="29" t="str">
        <f>IF(OR($B89="",$A89&lt;4),"",--MID('Key Analysis'!$C85,4,1))</f>
        <v/>
      </c>
      <c r="EM89" s="29" t="str">
        <f>IF(OR($B89="",$A89&lt;5),"",--MID('Key Analysis'!$C85,5,1))</f>
        <v/>
      </c>
      <c r="EN89" s="29" t="str">
        <f>IF(OR($B89="",$A89&lt;6),"",--MID('Key Analysis'!$C85,6,1))</f>
        <v/>
      </c>
      <c r="EO89" s="29" t="str">
        <f>IF(OR($B89="",$A89&lt;7),"",--MID('Key Analysis'!$C85,7,1))</f>
        <v/>
      </c>
      <c r="EP89" s="29" t="str">
        <f>IF(OR($B89="",$A89&lt;8),"",--MID('Key Analysis'!$C85,8,1))</f>
        <v/>
      </c>
      <c r="EQ89" s="29" t="str">
        <f>IF(OR($B89="",$A89&lt;9),"",--MID('Key Analysis'!$C85,9,1))</f>
        <v/>
      </c>
      <c r="ER89" s="29" t="str">
        <f>IF(OR($B89="",$A89&lt;10),"",--MID('Key Analysis'!$C85,10,1))</f>
        <v/>
      </c>
      <c r="ES89" s="29" t="str">
        <f>IF(OR($B89="",$A89&lt;11),"",--MID('Key Analysis'!$C85,11,1))</f>
        <v/>
      </c>
      <c r="ET89" s="29" t="str">
        <f>IF(OR($B89="",$A89&lt;12),"",--MID('Key Analysis'!$C85,12,1))</f>
        <v/>
      </c>
      <c r="EU89" s="29" t="str">
        <f>IF(OR($B89="",$A89&lt;13),"",--MID('Key Analysis'!$C85,13,1))</f>
        <v/>
      </c>
      <c r="EV89" s="29" t="str">
        <f>IF(OR($B89="",$A89&lt;14),"",--MID('Key Analysis'!$C85,14,1))</f>
        <v/>
      </c>
      <c r="EW89" s="29" t="str">
        <f>IF(OR($B89="",$A89&lt;15),"",--MID('Key Analysis'!$C85,15,1))</f>
        <v/>
      </c>
      <c r="EX89" s="29" t="str">
        <f>IF(OR($B89="",$A89&lt;16),"",--MID('Key Analysis'!$C85,16,1))</f>
        <v/>
      </c>
      <c r="EY89" s="29" t="str">
        <f>IF(OR($B89="",$A89&lt;17),"",--MID('Key Analysis'!$C85,17,1))</f>
        <v/>
      </c>
      <c r="EZ89" s="29" t="str">
        <f>IF(OR($B89="",$A89&lt;18),"",--MID('Key Analysis'!$C85,18,1))</f>
        <v/>
      </c>
      <c r="FA89" s="29" t="str">
        <f>IF(OR($B89="",$A89&lt;19),"",--MID('Key Analysis'!$C85,19,1))</f>
        <v/>
      </c>
      <c r="FB89" s="29" t="str">
        <f>IF(OR($B89="",$A89&lt;20),"",--MID('Key Analysis'!$C85,20,1))</f>
        <v/>
      </c>
      <c r="FC89" s="29" t="str">
        <f>IF(OR($B89="",$A89&lt;21),"",--MID('Key Analysis'!$C85,21,1))</f>
        <v/>
      </c>
      <c r="FD89" s="29" t="str">
        <f>IF(OR($B89="",$A89&lt;22),"",--MID('Key Analysis'!$C85,22,1))</f>
        <v/>
      </c>
      <c r="FE89" s="29" t="str">
        <f>IF(OR($B89="",$A89&lt;23),"",--MID('Key Analysis'!$C85,23,1))</f>
        <v/>
      </c>
      <c r="FF89" s="29" t="str">
        <f>IF(OR($B89="",$A89&lt;24),"",--MID('Key Analysis'!$C85,24,1))</f>
        <v/>
      </c>
      <c r="FG89" s="29" t="str">
        <f>IF(OR($B89="",$A89&lt;25),"",--MID('Key Analysis'!$C85,25,1))</f>
        <v/>
      </c>
      <c r="FH89" s="29" t="str">
        <f>IF(OR($B89="",$A89&lt;26),"",--MID('Key Analysis'!$C85,26,1))</f>
        <v/>
      </c>
      <c r="FI89" s="29" t="str">
        <f>IF(OR($B89="",$A89&lt;27),"",--MID('Key Analysis'!$C85,27,1))</f>
        <v/>
      </c>
      <c r="FJ89" s="29" t="str">
        <f>IF(OR($B89="",$A89&lt;28),"",--MID('Key Analysis'!$C85,28,1))</f>
        <v/>
      </c>
      <c r="FK89" s="29" t="str">
        <f>IF(OR($B89="",$A89&lt;29),"",--MID('Key Analysis'!$C85,29,1))</f>
        <v/>
      </c>
      <c r="FL89" s="29" t="str">
        <f>IF(OR($B89="",$A89&lt;30),"",--MID('Key Analysis'!$C85,30,1))</f>
        <v/>
      </c>
      <c r="FM89" s="29" t="str">
        <f>IF(OR($B89="",$A89&lt;31),"",--MID('Key Analysis'!$C85,31,1))</f>
        <v/>
      </c>
      <c r="FN89" s="29" t="str">
        <f>IF(OR($B89="",$A89&lt;32),"",--MID('Key Analysis'!$C85,32,1))</f>
        <v/>
      </c>
      <c r="FO89" s="29" t="str">
        <f>IF(OR($B89="",$A89&lt;33),"",--MID('Key Analysis'!$C85,33,1))</f>
        <v/>
      </c>
      <c r="FP89" s="29" t="str">
        <f>IF(OR($B89="",$A89&lt;34),"",--MID('Key Analysis'!$C85,34,1))</f>
        <v/>
      </c>
      <c r="FQ89" s="29" t="str">
        <f>IF(OR($B89="",$A89&lt;35),"",--MID('Key Analysis'!$C85,35,1))</f>
        <v/>
      </c>
      <c r="FR89" s="29" t="str">
        <f>IF(OR($B89="",$A89&lt;36),"",--MID('Key Analysis'!$C85,36,1))</f>
        <v/>
      </c>
      <c r="FS89" s="29" t="str">
        <f>IF(OR($B89="",$A89&lt;37),"",--MID('Key Analysis'!$C85,37,1))</f>
        <v/>
      </c>
      <c r="FT89" s="29" t="str">
        <f>IF(OR($B89="",$A89&lt;38),"",--MID('Key Analysis'!$C85,38,1))</f>
        <v/>
      </c>
      <c r="FU89" s="29" t="str">
        <f>IF(OR($B89="",$A89&lt;39),"",--MID('Key Analysis'!$C85,39,1))</f>
        <v/>
      </c>
      <c r="FV89" s="29" t="str">
        <f>IF(OR($B89="",$A89&lt;40),"",--MID('Key Analysis'!$C85,40,1))</f>
        <v/>
      </c>
      <c r="FW89" s="29" t="str">
        <f>IF(OR($B89="",$A89&lt;41),"",--MID('Key Analysis'!$C85,41,1))</f>
        <v/>
      </c>
      <c r="FX89" s="29" t="str">
        <f>IF(OR($B89="",$A89&lt;42),"",--MID('Key Analysis'!$C85,42,1))</f>
        <v/>
      </c>
      <c r="FY89" s="29" t="str">
        <f>IF(OR($B89="",$A89&lt;43),"",--MID('Key Analysis'!$C85,43,1))</f>
        <v/>
      </c>
      <c r="FZ89" s="29" t="str">
        <f>IF(OR($B89="",$A89&lt;44),"",--MID('Key Analysis'!$C85,44,1))</f>
        <v/>
      </c>
      <c r="GA89" s="29" t="str">
        <f>IF(OR($B89="",$A89&lt;45),"",--MID('Key Analysis'!$C85,45,1))</f>
        <v/>
      </c>
      <c r="GB89" s="29" t="str">
        <f>IF(OR($B89="",$A89&lt;46),"",--MID('Key Analysis'!$C85,46,1))</f>
        <v/>
      </c>
      <c r="GC89" s="29" t="str">
        <f>IF(OR($B89="",$A89&lt;47),"",--MID('Key Analysis'!$C85,47,1))</f>
        <v/>
      </c>
      <c r="GD89" s="29" t="str">
        <f>IF(OR($B89="",$A89&lt;48),"",--MID('Key Analysis'!$C85,48,1))</f>
        <v/>
      </c>
      <c r="GE89" s="29" t="str">
        <f>IF(OR($B89="",$A89&lt;49),"",--MID('Key Analysis'!$C85,49,1))</f>
        <v/>
      </c>
      <c r="GF89" s="29" t="str">
        <f>IF(OR($B89="",$A89&lt;50),"",--MID('Key Analysis'!$C85,50,1))</f>
        <v/>
      </c>
      <c r="GG89" s="29" t="str">
        <f>IF(OR($B89="",$A89&lt;51),"",--MID('Key Analysis'!$C85,51,1))</f>
        <v/>
      </c>
      <c r="GH89" s="29" t="str">
        <f>IF(OR($B89="",$A89&lt;52),"",--MID('Key Analysis'!$C85,52,1))</f>
        <v/>
      </c>
      <c r="GI89" s="29" t="str">
        <f>IF(OR($B89="",$A89&lt;53),"",--MID('Key Analysis'!$C85,53,1))</f>
        <v/>
      </c>
      <c r="GJ89" s="29" t="str">
        <f>IF(OR($B89="",$A89&lt;54),"",--MID('Key Analysis'!$C85,54,1))</f>
        <v/>
      </c>
      <c r="GK89" s="29" t="str">
        <f>IF(OR($B89="",$A89&lt;55),"",--MID('Key Analysis'!$C85,55,1))</f>
        <v/>
      </c>
      <c r="GL89" s="29" t="str">
        <f>IF(OR($B89="",$A89&lt;56),"",--MID('Key Analysis'!$C85,56,1))</f>
        <v/>
      </c>
      <c r="GM89" s="29" t="str">
        <f>IF(OR($B89="",$A89&lt;57),"",--MID('Key Analysis'!$C85,57,1))</f>
        <v/>
      </c>
      <c r="GN89" s="29" t="str">
        <f>IF(OR($B89="",$A89&lt;58),"",--MID('Key Analysis'!$C85,58,1))</f>
        <v/>
      </c>
      <c r="GO89" s="29" t="str">
        <f>IF(OR($B89="",$A89&lt;59),"",--MID('Key Analysis'!$C85,59,1))</f>
        <v/>
      </c>
      <c r="GP89" s="29" t="str">
        <f>IF(OR($B89="",$A89&lt;60),"",--MID('Key Analysis'!$C85,60,1))</f>
        <v/>
      </c>
      <c r="GQ89" s="29" t="str">
        <f>IF(OR($B89="",$A89&lt;61),"",--MID('Key Analysis'!$C85,61,1))</f>
        <v/>
      </c>
      <c r="GR89" s="29" t="str">
        <f>IF(OR($B89="",$A89&lt;62),"",--MID('Key Analysis'!$C85,62,1))</f>
        <v/>
      </c>
      <c r="GS89" s="29" t="str">
        <f>IF(OR($B89="",$A89&lt;63),"",--MID('Key Analysis'!$C85,63,1))</f>
        <v/>
      </c>
      <c r="GT89" s="29" t="str">
        <f>IF(OR($B89="",$A89&lt;64),"",--MID('Key Analysis'!$C85,64,1))</f>
        <v/>
      </c>
      <c r="GU89" s="29" t="str">
        <f>IF(OR($B89="",$A89&lt;65),"",--MID('Key Analysis'!$C85,65,1))</f>
        <v/>
      </c>
      <c r="GV89" s="29" t="str">
        <f>IF(OR($B89="",$A89&lt;66),"",--MID('Key Analysis'!$C85,66,1))</f>
        <v/>
      </c>
      <c r="GW89" s="29" t="str">
        <f>IF(OR($B89="",$A89&lt;67),"",--MID('Key Analysis'!$C85,67,1))</f>
        <v/>
      </c>
      <c r="GX89" s="29" t="str">
        <f>IF(OR($B89="",$A89&lt;68),"",--MID('Key Analysis'!$C85,68,1))</f>
        <v/>
      </c>
      <c r="GY89" s="29" t="str">
        <f>IF(OR($B89="",$A89&lt;69),"",--MID('Key Analysis'!$C85,69,1))</f>
        <v/>
      </c>
      <c r="GZ89" s="29" t="str">
        <f>IF(OR($B89="",$A89&lt;70),"",--MID('Key Analysis'!$C85,70,1))</f>
        <v/>
      </c>
      <c r="HA89" s="29" t="str">
        <f>IF(OR($B89="",$A89&lt;71),"",--MID('Key Analysis'!$C85,71,1))</f>
        <v/>
      </c>
      <c r="HB89" s="29" t="str">
        <f>IF(OR($B89="",$A89&lt;72),"",--MID('Key Analysis'!$C85,72,1))</f>
        <v/>
      </c>
      <c r="HC89" s="29" t="str">
        <f>IF(OR($B89="",$A89&lt;73),"",--MID('Key Analysis'!$C85,73,1))</f>
        <v/>
      </c>
      <c r="HD89" s="29" t="str">
        <f>IF(OR($B89="",$A89&lt;74),"",--MID('Key Analysis'!$C85,74,1))</f>
        <v/>
      </c>
      <c r="HE89" s="29" t="str">
        <f>IF(OR($B89="",$A89&lt;75),"",--MID('Key Analysis'!$C85,75,1))</f>
        <v/>
      </c>
      <c r="HF89" s="29" t="str">
        <f>IF(OR($B89="",$A89&lt;76),"",--MID('Key Analysis'!$C85,76,1))</f>
        <v/>
      </c>
      <c r="HG89" s="29" t="str">
        <f>IF(OR($B89="",$A89&lt;77),"",--MID('Key Analysis'!$C85,77,1))</f>
        <v/>
      </c>
      <c r="HH89" s="29" t="str">
        <f>IF(OR($B89="",$A89&lt;78),"",--MID('Key Analysis'!$C85,78,1))</f>
        <v/>
      </c>
      <c r="HI89" s="29" t="str">
        <f>IF(OR($B89="",$A89&lt;79),"",--MID('Key Analysis'!$C85,79,1))</f>
        <v/>
      </c>
      <c r="HJ89" s="29" t="str">
        <f>IF(OR($B89="",$A89&lt;80),"",--MID('Key Analysis'!$C85,80,1))</f>
        <v/>
      </c>
      <c r="HK89" s="29" t="str">
        <f>IF(OR($B89="",$A89&lt;81),"",--MID('Key Analysis'!$C85,81,1))</f>
        <v/>
      </c>
      <c r="HL89" s="29" t="str">
        <f>IF(OR($B89="",$A89&lt;82),"",--MID('Key Analysis'!$C85,82,1))</f>
        <v/>
      </c>
      <c r="HM89" s="29" t="str">
        <f>IF(OR($B89="",$A89&lt;83),"",--MID('Key Analysis'!$C85,83,1))</f>
        <v/>
      </c>
      <c r="HN89" s="29" t="str">
        <f>IF(OR($B89="",$A89&lt;84),"",--MID('Key Analysis'!$C85,84,1))</f>
        <v/>
      </c>
      <c r="HO89" s="29" t="str">
        <f>IF(OR($B89="",$A89&lt;85),"",--MID('Key Analysis'!$C85,85,1))</f>
        <v/>
      </c>
      <c r="HP89" s="29" t="str">
        <f>IF(OR($B89="",$A89&lt;86),"",--MID('Key Analysis'!$C85,86,1))</f>
        <v/>
      </c>
      <c r="HQ89" s="29" t="str">
        <f>IF(OR($B89="",$A89&lt;87),"",--MID('Key Analysis'!$C85,87,1))</f>
        <v/>
      </c>
      <c r="HR89" s="29" t="str">
        <f>IF(OR($B89="",$A89&lt;88),"",--MID('Key Analysis'!$C85,88,1))</f>
        <v/>
      </c>
      <c r="HS89" s="29" t="str">
        <f>IF(OR($B89="",$A89&lt;89),"",--MID('Key Analysis'!$C85,89,1))</f>
        <v/>
      </c>
      <c r="HT89" s="29" t="str">
        <f>IF(OR($B89="",$A89&lt;90),"",--MID('Key Analysis'!$C85,90,1))</f>
        <v/>
      </c>
      <c r="HU89" s="29" t="str">
        <f>IF(OR($B89="",$A89&lt;91),"",--MID('Key Analysis'!$C85,91,1))</f>
        <v/>
      </c>
      <c r="HV89" s="29" t="str">
        <f>IF(OR($B89="",$A89&lt;92),"",--MID('Key Analysis'!$C85,92,1))</f>
        <v/>
      </c>
      <c r="HW89" s="29" t="str">
        <f>IF(OR($B89="",$A89&lt;93),"",--MID('Key Analysis'!$C85,93,1))</f>
        <v/>
      </c>
      <c r="HX89" s="29" t="str">
        <f>IF(OR($B89="",$A89&lt;94),"",--MID('Key Analysis'!$C85,94,1))</f>
        <v/>
      </c>
      <c r="HY89" s="29" t="str">
        <f>IF(OR($B89="",$A89&lt;95),"",--MID('Key Analysis'!$C85,95,1))</f>
        <v/>
      </c>
      <c r="HZ89" s="29" t="str">
        <f>IF(OR($B89="",$A89&lt;96),"",--MID('Key Analysis'!$C85,96,1))</f>
        <v/>
      </c>
      <c r="IA89" s="29" t="str">
        <f>IF(OR($B89="",$A89&lt;97),"",--MID('Key Analysis'!$C85,97,1))</f>
        <v/>
      </c>
      <c r="IB89" s="29" t="str">
        <f>IF(OR($B89="",$A89&lt;98),"",--MID('Key Analysis'!$C85,98,1))</f>
        <v/>
      </c>
      <c r="IC89" s="29" t="str">
        <f>IF(OR($B89="",$A89&lt;99),"",--MID('Key Analysis'!$C85,99,1))</f>
        <v/>
      </c>
      <c r="ID89" s="29" t="str">
        <f>IF(OR($B89="",$A89&lt;100),"",--MID('Key Analysis'!$C85,100,1))</f>
        <v/>
      </c>
      <c r="IE89" s="29" t="str">
        <f>IF(OR($B89="",$A89&lt;101),"",--MID('Key Analysis'!$C85,101,1))</f>
        <v/>
      </c>
      <c r="IF89" s="29" t="str">
        <f>IF(OR($B89="",$A89&lt;102),"",--MID('Key Analysis'!$C85,102,1))</f>
        <v/>
      </c>
      <c r="IG89" s="29" t="str">
        <f>IF(OR($B89="",$A89&lt;103),"",--MID('Key Analysis'!$C85,103,1))</f>
        <v/>
      </c>
      <c r="IH89" s="29" t="str">
        <f>IF(OR($B89="",$A89&lt;104),"",--MID('Key Analysis'!$C85,104,1))</f>
        <v/>
      </c>
      <c r="II89" s="29" t="str">
        <f>IF(OR($B89="",$A89&lt;105),"",--MID('Key Analysis'!$C85,105,1))</f>
        <v/>
      </c>
      <c r="IJ89" s="29" t="str">
        <f>IF(OR($B89="",$A89&lt;106),"",--MID('Key Analysis'!$C85,106,1))</f>
        <v/>
      </c>
      <c r="IK89" s="29" t="str">
        <f>IF(OR($B89="",$A89&lt;107),"",--MID('Key Analysis'!$C85,107,1))</f>
        <v/>
      </c>
      <c r="IL89" s="29" t="str">
        <f>IF(OR($B89="",$A89&lt;108),"",--MID('Key Analysis'!$C85,108,1))</f>
        <v/>
      </c>
      <c r="IM89" s="29" t="str">
        <f>IF(OR($B89="",$A89&lt;109),"",--MID('Key Analysis'!$C85,109,1))</f>
        <v/>
      </c>
      <c r="IN89" s="29" t="str">
        <f>IF(OR($B89="",$A89&lt;110),"",--MID('Key Analysis'!$C85,110,1))</f>
        <v/>
      </c>
      <c r="IO89" s="29" t="str">
        <f>IF(OR($B89="",$A89&lt;111),"",--MID('Key Analysis'!$C85,111,1))</f>
        <v/>
      </c>
      <c r="IP89" s="29" t="str">
        <f>IF(OR($B89="",$A89&lt;112),"",--MID('Key Analysis'!$C85,112,1))</f>
        <v/>
      </c>
      <c r="IQ89" s="29" t="str">
        <f>IF(OR($B89="",$A89&lt;113),"",--MID('Key Analysis'!$C85,113,1))</f>
        <v/>
      </c>
      <c r="IR89" s="29" t="str">
        <f>IF(OR($B89="",$A89&lt;114),"",--MID('Key Analysis'!$C85,114,1))</f>
        <v/>
      </c>
      <c r="IS89" s="29" t="str">
        <f>IF(OR($B89="",$A89&lt;115),"",--MID('Key Analysis'!$C85,115,1))</f>
        <v/>
      </c>
      <c r="IT89" s="29" t="str">
        <f>IF(OR($B89="",$A89&lt;116),"",--MID('Key Analysis'!$C85,116,1))</f>
        <v/>
      </c>
      <c r="IU89" s="29" t="str">
        <f>IF(OR($B89="",$A89&lt;117),"",--MID('Key Analysis'!$C85,117,1))</f>
        <v/>
      </c>
      <c r="IV89" s="29" t="str">
        <f>IF(OR($B89="",$A89&lt;118),"",--MID('Key Analysis'!$C85,118,1))</f>
        <v/>
      </c>
      <c r="IW89" s="29" t="str">
        <f>IF(OR($B89="",$A89&lt;119),"",--MID('Key Analysis'!$C85,119,1))</f>
        <v/>
      </c>
      <c r="IX89" s="29" t="str">
        <f>IF(OR($B89="",$A89&lt;120),"",--MID('Key Analysis'!$C85,120,1))</f>
        <v/>
      </c>
      <c r="IY89" s="29" t="str">
        <f>IF(OR($B89="",$A89&lt;121),"",--MID('Key Analysis'!$C85,121,1))</f>
        <v/>
      </c>
      <c r="IZ89" s="29" t="str">
        <f>IF(OR($B89="",$A89&lt;122),"",--MID('Key Analysis'!$C85,122,1))</f>
        <v/>
      </c>
      <c r="JA89" s="29" t="str">
        <f>IF(OR($B89="",$A89&lt;123),"",--MID('Key Analysis'!$C85,123,1))</f>
        <v/>
      </c>
      <c r="JB89" s="29" t="str">
        <f>IF(OR($B89="",$A89&lt;124),"",--MID('Key Analysis'!$C85,124,1))</f>
        <v/>
      </c>
      <c r="JC89" s="29" t="str">
        <f>IF(OR($B89="",$A89&lt;125),"",--MID('Key Analysis'!$C85,125,1))</f>
        <v/>
      </c>
      <c r="JD89" s="29" t="str">
        <f>IF(OR($B89="",$A89&lt;126),"",--MID('Key Analysis'!$C85,126,1))</f>
        <v/>
      </c>
      <c r="JE89" s="29" t="str">
        <f>IF(OR($B89="",$A89&lt;127),"",--MID('Key Analysis'!$C85,127,1))</f>
        <v/>
      </c>
      <c r="JF89" s="29" t="str">
        <f>IF(OR($B89="",$A89&lt;128),"",--MID('Key Analysis'!$C85,128,1))</f>
        <v/>
      </c>
      <c r="JG89" s="29" t="str">
        <f>IF(OR($B89="",$A89&lt;129),"",--MID('Key Analysis'!$C85,129,1))</f>
        <v/>
      </c>
      <c r="JH89" s="29" t="str">
        <f>IF(OR($B89="",$A89&lt;130),"",--MID('Key Analysis'!$C85,130,1))</f>
        <v/>
      </c>
      <c r="JI89" s="29" t="str">
        <f>IF(OR($B89="",$A89&lt;131),"",--MID('Key Analysis'!$C85,131,1))</f>
        <v/>
      </c>
      <c r="JJ89" s="29" t="str">
        <f>IF(OR($B89="",$A89&lt;132),"",--MID('Key Analysis'!$C85,132,1))</f>
        <v/>
      </c>
      <c r="JK89" s="29" t="str">
        <f>IF(OR($B89="",$A89&lt;133),"",--MID('Key Analysis'!$C85,133,1))</f>
        <v/>
      </c>
      <c r="JL89" s="29" t="str">
        <f>IF(OR($B89="",$A89&lt;134),"",--MID('Key Analysis'!$C85,134,1))</f>
        <v/>
      </c>
      <c r="JM89" s="29" t="str">
        <f>IF(OR($B89="",$A89&lt;135),"",--MID('Key Analysis'!$C85,135,1))</f>
        <v/>
      </c>
    </row>
    <row r="90" spans="1:273" x14ac:dyDescent="0.25">
      <c r="A90" s="21">
        <f>'Key Analysis'!A86</f>
        <v>85</v>
      </c>
      <c r="B90" s="30" t="str">
        <f>'Key Analysis'!B86</f>
        <v>11720c4f018d51b8cebba8</v>
      </c>
      <c r="C90" s="29">
        <f>IF(OR($B90="",$A90&lt;=0),"",--MID('Key Analysis'!$C86,$A90-0,1))</f>
        <v>0</v>
      </c>
      <c r="D90" s="29">
        <f>IF(OR($B90="",$A90&lt;=1),"",--MID('Key Analysis'!$C86,$A90-1,1))</f>
        <v>0</v>
      </c>
      <c r="E90" s="29">
        <f>IF(OR($B90="",$A90&lt;=2),"",--MID('Key Analysis'!$C86,$A90-2,1))</f>
        <v>0</v>
      </c>
      <c r="F90" s="29">
        <f>IF(OR($B90="",$A90&lt;=3),"",--MID('Key Analysis'!$C86,$A90-3,1))</f>
        <v>1</v>
      </c>
      <c r="G90" s="29">
        <f>IF(OR($B90="",$A90&lt;=4),"",--MID('Key Analysis'!$C86,$A90-4,1))</f>
        <v>0</v>
      </c>
      <c r="H90" s="29">
        <f>IF(OR($B90="",$A90&lt;=5),"",--MID('Key Analysis'!$C86,$A90-5,1))</f>
        <v>1</v>
      </c>
      <c r="I90" s="29">
        <f>IF(OR($B90="",$A90&lt;=6),"",--MID('Key Analysis'!$C86,$A90-6,1))</f>
        <v>0</v>
      </c>
      <c r="J90" s="29">
        <f>IF(OR($B90="",$A90&lt;=7),"",--MID('Key Analysis'!$C86,$A90-7,1))</f>
        <v>1</v>
      </c>
      <c r="K90" s="29">
        <f>IF(OR($B90="",$A90&lt;=8),"",--MID('Key Analysis'!$C86,$A90-8,1))</f>
        <v>1</v>
      </c>
      <c r="L90" s="29">
        <f>IF(OR($B90="",$A90&lt;=9),"",--MID('Key Analysis'!$C86,$A90-9,1))</f>
        <v>1</v>
      </c>
      <c r="M90" s="29">
        <f>IF(OR($B90="",$A90&lt;=10),"",--MID('Key Analysis'!$C86,$A90-10,1))</f>
        <v>0</v>
      </c>
      <c r="N90" s="29">
        <f>IF(OR($B90="",$A90&lt;=11),"",--MID('Key Analysis'!$C86,$A90-11,1))</f>
        <v>1</v>
      </c>
      <c r="O90" s="29">
        <f>IF(OR($B90="",$A90&lt;=12),"",--MID('Key Analysis'!$C86,$A90-12,1))</f>
        <v>1</v>
      </c>
      <c r="P90" s="29">
        <f>IF(OR($B90="",$A90&lt;=13),"",--MID('Key Analysis'!$C86,$A90-13,1))</f>
        <v>1</v>
      </c>
      <c r="Q90" s="29">
        <f>IF(OR($B90="",$A90&lt;=14),"",--MID('Key Analysis'!$C86,$A90-14,1))</f>
        <v>0</v>
      </c>
      <c r="R90" s="29">
        <f>IF(OR($B90="",$A90&lt;=15),"",--MID('Key Analysis'!$C86,$A90-15,1))</f>
        <v>1</v>
      </c>
      <c r="S90" s="29">
        <f>IF(OR($B90="",$A90&lt;=16),"",--MID('Key Analysis'!$C86,$A90-16,1))</f>
        <v>0</v>
      </c>
      <c r="T90" s="29">
        <f>IF(OR($B90="",$A90&lt;=17),"",--MID('Key Analysis'!$C86,$A90-17,1))</f>
        <v>1</v>
      </c>
      <c r="U90" s="29">
        <f>IF(OR($B90="",$A90&lt;=18),"",--MID('Key Analysis'!$C86,$A90-18,1))</f>
        <v>1</v>
      </c>
      <c r="V90" s="29">
        <f>IF(OR($B90="",$A90&lt;=19),"",--MID('Key Analysis'!$C86,$A90-19,1))</f>
        <v>1</v>
      </c>
      <c r="W90" s="29">
        <f>IF(OR($B90="",$A90&lt;=20),"",--MID('Key Analysis'!$C86,$A90-20,1))</f>
        <v>0</v>
      </c>
      <c r="X90" s="29">
        <f>IF(OR($B90="",$A90&lt;=21),"",--MID('Key Analysis'!$C86,$A90-21,1))</f>
        <v>0</v>
      </c>
      <c r="Y90" s="29">
        <f>IF(OR($B90="",$A90&lt;=22),"",--MID('Key Analysis'!$C86,$A90-22,1))</f>
        <v>1</v>
      </c>
      <c r="Z90" s="29">
        <f>IF(OR($B90="",$A90&lt;=23),"",--MID('Key Analysis'!$C86,$A90-23,1))</f>
        <v>1</v>
      </c>
      <c r="AA90" s="29">
        <f>IF(OR($B90="",$A90&lt;=24),"",--MID('Key Analysis'!$C86,$A90-24,1))</f>
        <v>0</v>
      </c>
      <c r="AB90" s="29">
        <f>IF(OR($B90="",$A90&lt;=25),"",--MID('Key Analysis'!$C86,$A90-25,1))</f>
        <v>0</v>
      </c>
      <c r="AC90" s="29">
        <f>IF(OR($B90="",$A90&lt;=26),"",--MID('Key Analysis'!$C86,$A90-26,1))</f>
        <v>0</v>
      </c>
      <c r="AD90" s="29">
        <f>IF(OR($B90="",$A90&lt;=27),"",--MID('Key Analysis'!$C86,$A90-27,1))</f>
        <v>1</v>
      </c>
      <c r="AE90" s="29">
        <f>IF(OR($B90="",$A90&lt;=28),"",--MID('Key Analysis'!$C86,$A90-28,1))</f>
        <v>1</v>
      </c>
      <c r="AF90" s="29">
        <f>IF(OR($B90="",$A90&lt;=29),"",--MID('Key Analysis'!$C86,$A90-29,1))</f>
        <v>1</v>
      </c>
      <c r="AG90" s="29">
        <f>IF(OR($B90="",$A90&lt;=30),"",--MID('Key Analysis'!$C86,$A90-30,1))</f>
        <v>0</v>
      </c>
      <c r="AH90" s="29">
        <f>IF(OR($B90="",$A90&lt;=31),"",--MID('Key Analysis'!$C86,$A90-31,1))</f>
        <v>1</v>
      </c>
      <c r="AI90" s="29">
        <f>IF(OR($B90="",$A90&lt;=32),"",--MID('Key Analysis'!$C86,$A90-32,1))</f>
        <v>1</v>
      </c>
      <c r="AJ90" s="29">
        <f>IF(OR($B90="",$A90&lt;=33),"",--MID('Key Analysis'!$C86,$A90-33,1))</f>
        <v>0</v>
      </c>
      <c r="AK90" s="29">
        <f>IF(OR($B90="",$A90&lt;=34),"",--MID('Key Analysis'!$C86,$A90-34,1))</f>
        <v>0</v>
      </c>
      <c r="AL90" s="29">
        <f>IF(OR($B90="",$A90&lt;=35),"",--MID('Key Analysis'!$C86,$A90-35,1))</f>
        <v>0</v>
      </c>
      <c r="AM90" s="29">
        <f>IF(OR($B90="",$A90&lt;=36),"",--MID('Key Analysis'!$C86,$A90-36,1))</f>
        <v>1</v>
      </c>
      <c r="AN90" s="29">
        <f>IF(OR($B90="",$A90&lt;=37),"",--MID('Key Analysis'!$C86,$A90-37,1))</f>
        <v>0</v>
      </c>
      <c r="AO90" s="29">
        <f>IF(OR($B90="",$A90&lt;=38),"",--MID('Key Analysis'!$C86,$A90-38,1))</f>
        <v>1</v>
      </c>
      <c r="AP90" s="29">
        <f>IF(OR($B90="",$A90&lt;=39),"",--MID('Key Analysis'!$C86,$A90-39,1))</f>
        <v>0</v>
      </c>
      <c r="AQ90" s="29">
        <f>IF(OR($B90="",$A90&lt;=40),"",--MID('Key Analysis'!$C86,$A90-40,1))</f>
        <v>1</v>
      </c>
      <c r="AR90" s="29">
        <f>IF(OR($B90="",$A90&lt;=41),"",--MID('Key Analysis'!$C86,$A90-41,1))</f>
        <v>0</v>
      </c>
      <c r="AS90" s="29">
        <f>IF(OR($B90="",$A90&lt;=42),"",--MID('Key Analysis'!$C86,$A90-42,1))</f>
        <v>1</v>
      </c>
      <c r="AT90" s="29">
        <f>IF(OR($B90="",$A90&lt;=43),"",--MID('Key Analysis'!$C86,$A90-43,1))</f>
        <v>1</v>
      </c>
      <c r="AU90" s="29">
        <f>IF(OR($B90="",$A90&lt;=44),"",--MID('Key Analysis'!$C86,$A90-44,1))</f>
        <v>0</v>
      </c>
      <c r="AV90" s="29">
        <f>IF(OR($B90="",$A90&lt;=45),"",--MID('Key Analysis'!$C86,$A90-45,1))</f>
        <v>0</v>
      </c>
      <c r="AW90" s="29">
        <f>IF(OR($B90="",$A90&lt;=46),"",--MID('Key Analysis'!$C86,$A90-46,1))</f>
        <v>0</v>
      </c>
      <c r="AX90" s="29">
        <f>IF(OR($B90="",$A90&lt;=47),"",--MID('Key Analysis'!$C86,$A90-47,1))</f>
        <v>1</v>
      </c>
      <c r="AY90" s="29">
        <f>IF(OR($B90="",$A90&lt;=48),"",--MID('Key Analysis'!$C86,$A90-48,1))</f>
        <v>1</v>
      </c>
      <c r="AZ90" s="29">
        <f>IF(OR($B90="",$A90&lt;=49),"",--MID('Key Analysis'!$C86,$A90-49,1))</f>
        <v>0</v>
      </c>
      <c r="BA90" s="29">
        <f>IF(OR($B90="",$A90&lt;=50),"",--MID('Key Analysis'!$C86,$A90-50,1))</f>
        <v>0</v>
      </c>
      <c r="BB90" s="29">
        <f>IF(OR($B90="",$A90&lt;=51),"",--MID('Key Analysis'!$C86,$A90-51,1))</f>
        <v>0</v>
      </c>
      <c r="BC90" s="29">
        <f>IF(OR($B90="",$A90&lt;=52),"",--MID('Key Analysis'!$C86,$A90-52,1))</f>
        <v>0</v>
      </c>
      <c r="BD90" s="29">
        <f>IF(OR($B90="",$A90&lt;=53),"",--MID('Key Analysis'!$C86,$A90-53,1))</f>
        <v>0</v>
      </c>
      <c r="BE90" s="29">
        <f>IF(OR($B90="",$A90&lt;=54),"",--MID('Key Analysis'!$C86,$A90-54,1))</f>
        <v>0</v>
      </c>
      <c r="BF90" s="29">
        <f>IF(OR($B90="",$A90&lt;=55),"",--MID('Key Analysis'!$C86,$A90-55,1))</f>
        <v>0</v>
      </c>
      <c r="BG90" s="29">
        <f>IF(OR($B90="",$A90&lt;=56),"",--MID('Key Analysis'!$C86,$A90-56,1))</f>
        <v>1</v>
      </c>
      <c r="BH90" s="29">
        <f>IF(OR($B90="",$A90&lt;=57),"",--MID('Key Analysis'!$C86,$A90-57,1))</f>
        <v>1</v>
      </c>
      <c r="BI90" s="29">
        <f>IF(OR($B90="",$A90&lt;=58),"",--MID('Key Analysis'!$C86,$A90-58,1))</f>
        <v>1</v>
      </c>
      <c r="BJ90" s="29">
        <f>IF(OR($B90="",$A90&lt;=59),"",--MID('Key Analysis'!$C86,$A90-59,1))</f>
        <v>1</v>
      </c>
      <c r="BK90" s="29">
        <f>IF(OR($B90="",$A90&lt;=60),"",--MID('Key Analysis'!$C86,$A90-60,1))</f>
        <v>0</v>
      </c>
      <c r="BL90" s="29">
        <f>IF(OR($B90="",$A90&lt;=61),"",--MID('Key Analysis'!$C86,$A90-61,1))</f>
        <v>0</v>
      </c>
      <c r="BM90" s="29">
        <f>IF(OR($B90="",$A90&lt;=62),"",--MID('Key Analysis'!$C86,$A90-62,1))</f>
        <v>1</v>
      </c>
      <c r="BN90" s="29">
        <f>IF(OR($B90="",$A90&lt;=63),"",--MID('Key Analysis'!$C86,$A90-63,1))</f>
        <v>0</v>
      </c>
      <c r="BO90" s="29">
        <f>IF(OR($B90="",$A90&lt;=64),"",--MID('Key Analysis'!$C86,$A90-64,1))</f>
        <v>0</v>
      </c>
      <c r="BP90" s="29">
        <f>IF(OR($B90="",$A90&lt;=65),"",--MID('Key Analysis'!$C86,$A90-65,1))</f>
        <v>0</v>
      </c>
      <c r="BQ90" s="29">
        <f>IF(OR($B90="",$A90&lt;=66),"",--MID('Key Analysis'!$C86,$A90-66,1))</f>
        <v>1</v>
      </c>
      <c r="BR90" s="29">
        <f>IF(OR($B90="",$A90&lt;=67),"",--MID('Key Analysis'!$C86,$A90-67,1))</f>
        <v>1</v>
      </c>
      <c r="BS90" s="29">
        <f>IF(OR($B90="",$A90&lt;=68),"",--MID('Key Analysis'!$C86,$A90-68,1))</f>
        <v>0</v>
      </c>
      <c r="BT90" s="29">
        <f>IF(OR($B90="",$A90&lt;=69),"",--MID('Key Analysis'!$C86,$A90-69,1))</f>
        <v>0</v>
      </c>
      <c r="BU90" s="29">
        <f>IF(OR($B90="",$A90&lt;=70),"",--MID('Key Analysis'!$C86,$A90-70,1))</f>
        <v>0</v>
      </c>
      <c r="BV90" s="29">
        <f>IF(OR($B90="",$A90&lt;=71),"",--MID('Key Analysis'!$C86,$A90-71,1))</f>
        <v>0</v>
      </c>
      <c r="BW90" s="29">
        <f>IF(OR($B90="",$A90&lt;=72),"",--MID('Key Analysis'!$C86,$A90-72,1))</f>
        <v>0</v>
      </c>
      <c r="BX90" s="29">
        <f>IF(OR($B90="",$A90&lt;=73),"",--MID('Key Analysis'!$C86,$A90-73,1))</f>
        <v>1</v>
      </c>
      <c r="BY90" s="29">
        <f>IF(OR($B90="",$A90&lt;=74),"",--MID('Key Analysis'!$C86,$A90-74,1))</f>
        <v>0</v>
      </c>
      <c r="BZ90" s="29">
        <f>IF(OR($B90="",$A90&lt;=75),"",--MID('Key Analysis'!$C86,$A90-75,1))</f>
        <v>0</v>
      </c>
      <c r="CA90" s="29">
        <f>IF(OR($B90="",$A90&lt;=76),"",--MID('Key Analysis'!$C86,$A90-76,1))</f>
        <v>1</v>
      </c>
      <c r="CB90" s="29">
        <f>IF(OR($B90="",$A90&lt;=77),"",--MID('Key Analysis'!$C86,$A90-77,1))</f>
        <v>1</v>
      </c>
      <c r="CC90" s="29">
        <f>IF(OR($B90="",$A90&lt;=78),"",--MID('Key Analysis'!$C86,$A90-78,1))</f>
        <v>1</v>
      </c>
      <c r="CD90" s="29">
        <f>IF(OR($B90="",$A90&lt;=79),"",--MID('Key Analysis'!$C86,$A90-79,1))</f>
        <v>0</v>
      </c>
      <c r="CE90" s="29">
        <f>IF(OR($B90="",$A90&lt;=80),"",--MID('Key Analysis'!$C86,$A90-80,1))</f>
        <v>1</v>
      </c>
      <c r="CF90" s="29">
        <f>IF(OR($B90="",$A90&lt;=81),"",--MID('Key Analysis'!$C86,$A90-81,1))</f>
        <v>0</v>
      </c>
      <c r="CG90" s="29">
        <f>IF(OR($B90="",$A90&lt;=82),"",--MID('Key Analysis'!$C86,$A90-82,1))</f>
        <v>0</v>
      </c>
      <c r="CH90" s="29">
        <f>IF(OR($B90="",$A90&lt;=83),"",--MID('Key Analysis'!$C86,$A90-83,1))</f>
        <v>0</v>
      </c>
      <c r="CI90" s="29">
        <f>IF(OR($B90="",$A90&lt;=84),"",--MID('Key Analysis'!$C86,$A90-84,1))</f>
        <v>1</v>
      </c>
      <c r="CJ90" s="29" t="str">
        <f>IF(OR($B90="",$A90&lt;=85),"",--MID('Key Analysis'!$C86,$A90-85,1))</f>
        <v/>
      </c>
      <c r="CK90" s="29" t="str">
        <f>IF(OR($B90="",$A90&lt;=86),"",--MID('Key Analysis'!$C86,$A90-86,1))</f>
        <v/>
      </c>
      <c r="CL90" s="29" t="str">
        <f>IF(OR($B90="",$A90&lt;=87),"",--MID('Key Analysis'!$C86,$A90-87,1))</f>
        <v/>
      </c>
      <c r="CM90" s="29" t="str">
        <f>IF(OR($B90="",$A90&lt;=88),"",--MID('Key Analysis'!$C86,$A90-88,1))</f>
        <v/>
      </c>
      <c r="CN90" s="29" t="str">
        <f>IF(OR($B90="",$A90&lt;=89),"",--MID('Key Analysis'!$C86,$A90-89,1))</f>
        <v/>
      </c>
      <c r="CO90" s="29" t="str">
        <f>IF(OR($B90="",$A90&lt;=90),"",--MID('Key Analysis'!$C86,$A90-90,1))</f>
        <v/>
      </c>
      <c r="CP90" s="29" t="str">
        <f>IF(OR($B90="",$A90&lt;=91),"",--MID('Key Analysis'!$C86,$A90-91,1))</f>
        <v/>
      </c>
      <c r="CQ90" s="29" t="str">
        <f>IF(OR($B90="",$A90&lt;=92),"",--MID('Key Analysis'!$C86,$A90-92,1))</f>
        <v/>
      </c>
      <c r="CR90" s="29" t="str">
        <f>IF(OR($B90="",$A90&lt;=93),"",--MID('Key Analysis'!$C86,$A90-93,1))</f>
        <v/>
      </c>
      <c r="CS90" s="29" t="str">
        <f>IF(OR($B90="",$A90&lt;=94),"",--MID('Key Analysis'!$C86,$A90-94,1))</f>
        <v/>
      </c>
      <c r="CT90" s="29" t="str">
        <f>IF(OR($B90="",$A90&lt;=95),"",--MID('Key Analysis'!$C86,$A90-95,1))</f>
        <v/>
      </c>
      <c r="CU90" s="29" t="str">
        <f>IF(OR($B90="",$A90&lt;=96),"",--MID('Key Analysis'!$C86,$A90-96,1))</f>
        <v/>
      </c>
      <c r="CV90" s="29" t="str">
        <f>IF(OR($B90="",$A90&lt;=97),"",--MID('Key Analysis'!$C86,$A90-97,1))</f>
        <v/>
      </c>
      <c r="CW90" s="29" t="str">
        <f>IF(OR($B90="",$A90&lt;=98),"",--MID('Key Analysis'!$C86,$A90-98,1))</f>
        <v/>
      </c>
      <c r="CX90" s="29" t="str">
        <f>IF(OR($B90="",$A90&lt;=99),"",--MID('Key Analysis'!$C86,$A90-99,1))</f>
        <v/>
      </c>
      <c r="CY90" s="29" t="str">
        <f>IF(OR($B90="",$A90&lt;=100),"",--MID('Key Analysis'!$C86,$A90-100,1))</f>
        <v/>
      </c>
      <c r="CZ90" s="29" t="str">
        <f>IF(OR($B90="",$A90&lt;=101),"",--MID('Key Analysis'!$C86,$A90-101,1))</f>
        <v/>
      </c>
      <c r="DA90" s="29" t="str">
        <f>IF(OR($B90="",$A90&lt;=102),"",--MID('Key Analysis'!$C86,$A90-102,1))</f>
        <v/>
      </c>
      <c r="DB90" s="29" t="str">
        <f>IF(OR($B90="",$A90&lt;=103),"",--MID('Key Analysis'!$C86,$A90-103,1))</f>
        <v/>
      </c>
      <c r="DC90" s="29" t="str">
        <f>IF(OR($B90="",$A90&lt;=104),"",--MID('Key Analysis'!$C86,$A90-104,1))</f>
        <v/>
      </c>
      <c r="DD90" s="29" t="str">
        <f>IF(OR($B90="",$A90&lt;=105),"",--MID('Key Analysis'!$C86,$A90-105,1))</f>
        <v/>
      </c>
      <c r="DE90" s="29" t="str">
        <f>IF(OR($B90="",$A90&lt;=106),"",--MID('Key Analysis'!$C86,$A90-106,1))</f>
        <v/>
      </c>
      <c r="DF90" s="29" t="str">
        <f>IF(OR($B90="",$A90&lt;=107),"",--MID('Key Analysis'!$C86,$A90-107,1))</f>
        <v/>
      </c>
      <c r="DG90" s="29" t="str">
        <f>IF(OR($B90="",$A90&lt;=108),"",--MID('Key Analysis'!$C86,$A90-108,1))</f>
        <v/>
      </c>
      <c r="DH90" s="29" t="str">
        <f>IF(OR($B90="",$A90&lt;=109),"",--MID('Key Analysis'!$C86,$A90-109,1))</f>
        <v/>
      </c>
      <c r="DI90" s="29" t="str">
        <f>IF(OR($B90="",$A90&lt;=110),"",--MID('Key Analysis'!$C86,$A90-110,1))</f>
        <v/>
      </c>
      <c r="DJ90" s="29" t="str">
        <f>IF(OR($B90="",$A90&lt;=111),"",--MID('Key Analysis'!$C86,$A90-111,1))</f>
        <v/>
      </c>
      <c r="DK90" s="29" t="str">
        <f>IF(OR($B90="",$A90&lt;=112),"",--MID('Key Analysis'!$C86,$A90-112,1))</f>
        <v/>
      </c>
      <c r="DL90" s="29" t="str">
        <f>IF(OR($B90="",$A90&lt;=113),"",--MID('Key Analysis'!$C86,$A90-113,1))</f>
        <v/>
      </c>
      <c r="DM90" s="29" t="str">
        <f>IF(OR($B90="",$A90&lt;=114),"",--MID('Key Analysis'!$C86,$A90-114,1))</f>
        <v/>
      </c>
      <c r="DN90" s="29" t="str">
        <f>IF(OR($B90="",$A90&lt;=115),"",--MID('Key Analysis'!$C86,$A90-115,1))</f>
        <v/>
      </c>
      <c r="DO90" s="29" t="str">
        <f>IF(OR($B90="",$A90&lt;=116),"",--MID('Key Analysis'!$C86,$A90-116,1))</f>
        <v/>
      </c>
      <c r="DP90" s="29" t="str">
        <f>IF(OR($B90="",$A90&lt;=117),"",--MID('Key Analysis'!$C86,$A90-117,1))</f>
        <v/>
      </c>
      <c r="DQ90" s="29" t="str">
        <f>IF(OR($B90="",$A90&lt;=118),"",--MID('Key Analysis'!$C86,$A90-118,1))</f>
        <v/>
      </c>
      <c r="DR90" s="29" t="str">
        <f>IF(OR($B90="",$A90&lt;=119),"",--MID('Key Analysis'!$C86,$A90-119,1))</f>
        <v/>
      </c>
      <c r="DS90" s="29" t="str">
        <f>IF(OR($B90="",$A90&lt;=120),"",--MID('Key Analysis'!$C86,$A90-120,1))</f>
        <v/>
      </c>
      <c r="DT90" s="29" t="str">
        <f>IF(OR($B90="",$A90&lt;=121),"",--MID('Key Analysis'!$C86,$A90-121,1))</f>
        <v/>
      </c>
      <c r="DU90" s="29" t="str">
        <f>IF(OR($B90="",$A90&lt;=122),"",--MID('Key Analysis'!$C86,$A90-122,1))</f>
        <v/>
      </c>
      <c r="DV90" s="29" t="str">
        <f>IF(OR($B90="",$A90&lt;=123),"",--MID('Key Analysis'!$C86,$A90-123,1))</f>
        <v/>
      </c>
      <c r="DW90" s="29" t="str">
        <f>IF(OR($B90="",$A90&lt;=124),"",--MID('Key Analysis'!$C86,$A90-124,1))</f>
        <v/>
      </c>
      <c r="DX90" s="29" t="str">
        <f>IF(OR($B90="",$A90&lt;=125),"",--MID('Key Analysis'!$C86,$A90-125,1))</f>
        <v/>
      </c>
      <c r="DY90" s="29" t="str">
        <f>IF(OR($B90="",$A90&lt;=126),"",--MID('Key Analysis'!$C86,$A90-126,1))</f>
        <v/>
      </c>
      <c r="DZ90" s="29" t="str">
        <f>IF(OR($B90="",$A90&lt;=127),"",--MID('Key Analysis'!$C86,$A90-127,1))</f>
        <v/>
      </c>
      <c r="EA90" s="29" t="str">
        <f>IF(OR($B90="",$A90&lt;=128),"",--MID('Key Analysis'!$C86,$A90-128,1))</f>
        <v/>
      </c>
      <c r="EB90" s="29" t="str">
        <f>IF(OR($B90="",$A90&lt;=129),"",--MID('Key Analysis'!$C86,$A90-129,1))</f>
        <v/>
      </c>
      <c r="EC90" s="29" t="str">
        <f>IF(OR($B90="",$A90&lt;=130),"",--MID('Key Analysis'!$C86,$A90-130,1))</f>
        <v/>
      </c>
      <c r="ED90" s="29" t="str">
        <f>IF(OR($B90="",$A90&lt;=131),"",--MID('Key Analysis'!$C86,$A90-131,1))</f>
        <v/>
      </c>
      <c r="EE90" s="29" t="str">
        <f>IF(OR($B90="",$A90&lt;=132),"",--MID('Key Analysis'!$C86,$A90-132,1))</f>
        <v/>
      </c>
      <c r="EF90" s="29" t="str">
        <f>IF(OR($B90="",$A90&lt;=133),"",--MID('Key Analysis'!$C86,$A90-133,1))</f>
        <v/>
      </c>
      <c r="EG90" s="29" t="str">
        <f>IF(OR($B90="",$A90&lt;=134),"",--MID('Key Analysis'!$C86,$A90-134,1))</f>
        <v/>
      </c>
      <c r="EH90" s="29"/>
      <c r="EI90" s="29">
        <f>IF(OR($B90="",$A90&lt;1),"",--MID('Key Analysis'!$C86,1,1))</f>
        <v>1</v>
      </c>
      <c r="EJ90" s="29">
        <f>IF(OR($B90="",$A90&lt;2),"",--MID('Key Analysis'!$C86,2,1))</f>
        <v>0</v>
      </c>
      <c r="EK90" s="29">
        <f>IF(OR($B90="",$A90&lt;3),"",--MID('Key Analysis'!$C86,3,1))</f>
        <v>0</v>
      </c>
      <c r="EL90" s="29">
        <f>IF(OR($B90="",$A90&lt;4),"",--MID('Key Analysis'!$C86,4,1))</f>
        <v>0</v>
      </c>
      <c r="EM90" s="29">
        <f>IF(OR($B90="",$A90&lt;5),"",--MID('Key Analysis'!$C86,5,1))</f>
        <v>1</v>
      </c>
      <c r="EN90" s="29">
        <f>IF(OR($B90="",$A90&lt;6),"",--MID('Key Analysis'!$C86,6,1))</f>
        <v>0</v>
      </c>
      <c r="EO90" s="29">
        <f>IF(OR($B90="",$A90&lt;7),"",--MID('Key Analysis'!$C86,7,1))</f>
        <v>1</v>
      </c>
      <c r="EP90" s="29">
        <f>IF(OR($B90="",$A90&lt;8),"",--MID('Key Analysis'!$C86,8,1))</f>
        <v>1</v>
      </c>
      <c r="EQ90" s="29">
        <f>IF(OR($B90="",$A90&lt;9),"",--MID('Key Analysis'!$C86,9,1))</f>
        <v>1</v>
      </c>
      <c r="ER90" s="29">
        <f>IF(OR($B90="",$A90&lt;10),"",--MID('Key Analysis'!$C86,10,1))</f>
        <v>0</v>
      </c>
      <c r="ES90" s="29">
        <f>IF(OR($B90="",$A90&lt;11),"",--MID('Key Analysis'!$C86,11,1))</f>
        <v>0</v>
      </c>
      <c r="ET90" s="29">
        <f>IF(OR($B90="",$A90&lt;12),"",--MID('Key Analysis'!$C86,12,1))</f>
        <v>1</v>
      </c>
      <c r="EU90" s="29">
        <f>IF(OR($B90="",$A90&lt;13),"",--MID('Key Analysis'!$C86,13,1))</f>
        <v>0</v>
      </c>
      <c r="EV90" s="29">
        <f>IF(OR($B90="",$A90&lt;14),"",--MID('Key Analysis'!$C86,14,1))</f>
        <v>0</v>
      </c>
      <c r="EW90" s="29">
        <f>IF(OR($B90="",$A90&lt;15),"",--MID('Key Analysis'!$C86,15,1))</f>
        <v>0</v>
      </c>
      <c r="EX90" s="29">
        <f>IF(OR($B90="",$A90&lt;16),"",--MID('Key Analysis'!$C86,16,1))</f>
        <v>0</v>
      </c>
      <c r="EY90" s="29">
        <f>IF(OR($B90="",$A90&lt;17),"",--MID('Key Analysis'!$C86,17,1))</f>
        <v>0</v>
      </c>
      <c r="EZ90" s="29">
        <f>IF(OR($B90="",$A90&lt;18),"",--MID('Key Analysis'!$C86,18,1))</f>
        <v>1</v>
      </c>
      <c r="FA90" s="29">
        <f>IF(OR($B90="",$A90&lt;19),"",--MID('Key Analysis'!$C86,19,1))</f>
        <v>1</v>
      </c>
      <c r="FB90" s="29">
        <f>IF(OR($B90="",$A90&lt;20),"",--MID('Key Analysis'!$C86,20,1))</f>
        <v>0</v>
      </c>
      <c r="FC90" s="29">
        <f>IF(OR($B90="",$A90&lt;21),"",--MID('Key Analysis'!$C86,21,1))</f>
        <v>0</v>
      </c>
      <c r="FD90" s="29">
        <f>IF(OR($B90="",$A90&lt;22),"",--MID('Key Analysis'!$C86,22,1))</f>
        <v>0</v>
      </c>
      <c r="FE90" s="29">
        <f>IF(OR($B90="",$A90&lt;23),"",--MID('Key Analysis'!$C86,23,1))</f>
        <v>1</v>
      </c>
      <c r="FF90" s="29">
        <f>IF(OR($B90="",$A90&lt;24),"",--MID('Key Analysis'!$C86,24,1))</f>
        <v>0</v>
      </c>
      <c r="FG90" s="29">
        <f>IF(OR($B90="",$A90&lt;25),"",--MID('Key Analysis'!$C86,25,1))</f>
        <v>0</v>
      </c>
      <c r="FH90" s="29">
        <f>IF(OR($B90="",$A90&lt;26),"",--MID('Key Analysis'!$C86,26,1))</f>
        <v>1</v>
      </c>
      <c r="FI90" s="29">
        <f>IF(OR($B90="",$A90&lt;27),"",--MID('Key Analysis'!$C86,27,1))</f>
        <v>1</v>
      </c>
      <c r="FJ90" s="29">
        <f>IF(OR($B90="",$A90&lt;28),"",--MID('Key Analysis'!$C86,28,1))</f>
        <v>1</v>
      </c>
      <c r="FK90" s="29">
        <f>IF(OR($B90="",$A90&lt;29),"",--MID('Key Analysis'!$C86,29,1))</f>
        <v>1</v>
      </c>
      <c r="FL90" s="29">
        <f>IF(OR($B90="",$A90&lt;30),"",--MID('Key Analysis'!$C86,30,1))</f>
        <v>0</v>
      </c>
      <c r="FM90" s="29">
        <f>IF(OR($B90="",$A90&lt;31),"",--MID('Key Analysis'!$C86,31,1))</f>
        <v>0</v>
      </c>
      <c r="FN90" s="29">
        <f>IF(OR($B90="",$A90&lt;32),"",--MID('Key Analysis'!$C86,32,1))</f>
        <v>0</v>
      </c>
      <c r="FO90" s="29">
        <f>IF(OR($B90="",$A90&lt;33),"",--MID('Key Analysis'!$C86,33,1))</f>
        <v>0</v>
      </c>
      <c r="FP90" s="29">
        <f>IF(OR($B90="",$A90&lt;34),"",--MID('Key Analysis'!$C86,34,1))</f>
        <v>0</v>
      </c>
      <c r="FQ90" s="29">
        <f>IF(OR($B90="",$A90&lt;35),"",--MID('Key Analysis'!$C86,35,1))</f>
        <v>0</v>
      </c>
      <c r="FR90" s="29">
        <f>IF(OR($B90="",$A90&lt;36),"",--MID('Key Analysis'!$C86,36,1))</f>
        <v>0</v>
      </c>
      <c r="FS90" s="29">
        <f>IF(OR($B90="",$A90&lt;37),"",--MID('Key Analysis'!$C86,37,1))</f>
        <v>1</v>
      </c>
      <c r="FT90" s="29">
        <f>IF(OR($B90="",$A90&lt;38),"",--MID('Key Analysis'!$C86,38,1))</f>
        <v>1</v>
      </c>
      <c r="FU90" s="29">
        <f>IF(OR($B90="",$A90&lt;39),"",--MID('Key Analysis'!$C86,39,1))</f>
        <v>0</v>
      </c>
      <c r="FV90" s="29">
        <f>IF(OR($B90="",$A90&lt;40),"",--MID('Key Analysis'!$C86,40,1))</f>
        <v>0</v>
      </c>
      <c r="FW90" s="29">
        <f>IF(OR($B90="",$A90&lt;41),"",--MID('Key Analysis'!$C86,41,1))</f>
        <v>0</v>
      </c>
      <c r="FX90" s="29">
        <f>IF(OR($B90="",$A90&lt;42),"",--MID('Key Analysis'!$C86,42,1))</f>
        <v>1</v>
      </c>
      <c r="FY90" s="29">
        <f>IF(OR($B90="",$A90&lt;43),"",--MID('Key Analysis'!$C86,43,1))</f>
        <v>1</v>
      </c>
      <c r="FZ90" s="29">
        <f>IF(OR($B90="",$A90&lt;44),"",--MID('Key Analysis'!$C86,44,1))</f>
        <v>0</v>
      </c>
      <c r="GA90" s="29">
        <f>IF(OR($B90="",$A90&lt;45),"",--MID('Key Analysis'!$C86,45,1))</f>
        <v>1</v>
      </c>
      <c r="GB90" s="29">
        <f>IF(OR($B90="",$A90&lt;46),"",--MID('Key Analysis'!$C86,46,1))</f>
        <v>0</v>
      </c>
      <c r="GC90" s="29">
        <f>IF(OR($B90="",$A90&lt;47),"",--MID('Key Analysis'!$C86,47,1))</f>
        <v>1</v>
      </c>
      <c r="GD90" s="29">
        <f>IF(OR($B90="",$A90&lt;48),"",--MID('Key Analysis'!$C86,48,1))</f>
        <v>0</v>
      </c>
      <c r="GE90" s="29">
        <f>IF(OR($B90="",$A90&lt;49),"",--MID('Key Analysis'!$C86,49,1))</f>
        <v>1</v>
      </c>
      <c r="GF90" s="29">
        <f>IF(OR($B90="",$A90&lt;50),"",--MID('Key Analysis'!$C86,50,1))</f>
        <v>0</v>
      </c>
      <c r="GG90" s="29">
        <f>IF(OR($B90="",$A90&lt;51),"",--MID('Key Analysis'!$C86,51,1))</f>
        <v>0</v>
      </c>
      <c r="GH90" s="29">
        <f>IF(OR($B90="",$A90&lt;52),"",--MID('Key Analysis'!$C86,52,1))</f>
        <v>0</v>
      </c>
      <c r="GI90" s="29">
        <f>IF(OR($B90="",$A90&lt;53),"",--MID('Key Analysis'!$C86,53,1))</f>
        <v>1</v>
      </c>
      <c r="GJ90" s="29">
        <f>IF(OR($B90="",$A90&lt;54),"",--MID('Key Analysis'!$C86,54,1))</f>
        <v>1</v>
      </c>
      <c r="GK90" s="29">
        <f>IF(OR($B90="",$A90&lt;55),"",--MID('Key Analysis'!$C86,55,1))</f>
        <v>0</v>
      </c>
      <c r="GL90" s="29">
        <f>IF(OR($B90="",$A90&lt;56),"",--MID('Key Analysis'!$C86,56,1))</f>
        <v>1</v>
      </c>
      <c r="GM90" s="29">
        <f>IF(OR($B90="",$A90&lt;57),"",--MID('Key Analysis'!$C86,57,1))</f>
        <v>1</v>
      </c>
      <c r="GN90" s="29">
        <f>IF(OR($B90="",$A90&lt;58),"",--MID('Key Analysis'!$C86,58,1))</f>
        <v>1</v>
      </c>
      <c r="GO90" s="29">
        <f>IF(OR($B90="",$A90&lt;59),"",--MID('Key Analysis'!$C86,59,1))</f>
        <v>0</v>
      </c>
      <c r="GP90" s="29">
        <f>IF(OR($B90="",$A90&lt;60),"",--MID('Key Analysis'!$C86,60,1))</f>
        <v>0</v>
      </c>
      <c r="GQ90" s="29">
        <f>IF(OR($B90="",$A90&lt;61),"",--MID('Key Analysis'!$C86,61,1))</f>
        <v>0</v>
      </c>
      <c r="GR90" s="29">
        <f>IF(OR($B90="",$A90&lt;62),"",--MID('Key Analysis'!$C86,62,1))</f>
        <v>1</v>
      </c>
      <c r="GS90" s="29">
        <f>IF(OR($B90="",$A90&lt;63),"",--MID('Key Analysis'!$C86,63,1))</f>
        <v>1</v>
      </c>
      <c r="GT90" s="29">
        <f>IF(OR($B90="",$A90&lt;64),"",--MID('Key Analysis'!$C86,64,1))</f>
        <v>0</v>
      </c>
      <c r="GU90" s="29">
        <f>IF(OR($B90="",$A90&lt;65),"",--MID('Key Analysis'!$C86,65,1))</f>
        <v>0</v>
      </c>
      <c r="GV90" s="29">
        <f>IF(OR($B90="",$A90&lt;66),"",--MID('Key Analysis'!$C86,66,1))</f>
        <v>1</v>
      </c>
      <c r="GW90" s="29">
        <f>IF(OR($B90="",$A90&lt;67),"",--MID('Key Analysis'!$C86,67,1))</f>
        <v>1</v>
      </c>
      <c r="GX90" s="29">
        <f>IF(OR($B90="",$A90&lt;68),"",--MID('Key Analysis'!$C86,68,1))</f>
        <v>1</v>
      </c>
      <c r="GY90" s="29">
        <f>IF(OR($B90="",$A90&lt;69),"",--MID('Key Analysis'!$C86,69,1))</f>
        <v>0</v>
      </c>
      <c r="GZ90" s="29">
        <f>IF(OR($B90="",$A90&lt;70),"",--MID('Key Analysis'!$C86,70,1))</f>
        <v>1</v>
      </c>
      <c r="HA90" s="29">
        <f>IF(OR($B90="",$A90&lt;71),"",--MID('Key Analysis'!$C86,71,1))</f>
        <v>0</v>
      </c>
      <c r="HB90" s="29">
        <f>IF(OR($B90="",$A90&lt;72),"",--MID('Key Analysis'!$C86,72,1))</f>
        <v>1</v>
      </c>
      <c r="HC90" s="29">
        <f>IF(OR($B90="",$A90&lt;73),"",--MID('Key Analysis'!$C86,73,1))</f>
        <v>1</v>
      </c>
      <c r="HD90" s="29">
        <f>IF(OR($B90="",$A90&lt;74),"",--MID('Key Analysis'!$C86,74,1))</f>
        <v>1</v>
      </c>
      <c r="HE90" s="29">
        <f>IF(OR($B90="",$A90&lt;75),"",--MID('Key Analysis'!$C86,75,1))</f>
        <v>0</v>
      </c>
      <c r="HF90" s="29">
        <f>IF(OR($B90="",$A90&lt;76),"",--MID('Key Analysis'!$C86,76,1))</f>
        <v>1</v>
      </c>
      <c r="HG90" s="29">
        <f>IF(OR($B90="",$A90&lt;77),"",--MID('Key Analysis'!$C86,77,1))</f>
        <v>1</v>
      </c>
      <c r="HH90" s="29">
        <f>IF(OR($B90="",$A90&lt;78),"",--MID('Key Analysis'!$C86,78,1))</f>
        <v>1</v>
      </c>
      <c r="HI90" s="29">
        <f>IF(OR($B90="",$A90&lt;79),"",--MID('Key Analysis'!$C86,79,1))</f>
        <v>0</v>
      </c>
      <c r="HJ90" s="29">
        <f>IF(OR($B90="",$A90&lt;80),"",--MID('Key Analysis'!$C86,80,1))</f>
        <v>1</v>
      </c>
      <c r="HK90" s="29">
        <f>IF(OR($B90="",$A90&lt;81),"",--MID('Key Analysis'!$C86,81,1))</f>
        <v>0</v>
      </c>
      <c r="HL90" s="29">
        <f>IF(OR($B90="",$A90&lt;82),"",--MID('Key Analysis'!$C86,82,1))</f>
        <v>1</v>
      </c>
      <c r="HM90" s="29">
        <f>IF(OR($B90="",$A90&lt;83),"",--MID('Key Analysis'!$C86,83,1))</f>
        <v>0</v>
      </c>
      <c r="HN90" s="29">
        <f>IF(OR($B90="",$A90&lt;84),"",--MID('Key Analysis'!$C86,84,1))</f>
        <v>0</v>
      </c>
      <c r="HO90" s="29">
        <f>IF(OR($B90="",$A90&lt;85),"",--MID('Key Analysis'!$C86,85,1))</f>
        <v>0</v>
      </c>
      <c r="HP90" s="29" t="str">
        <f>IF(OR($B90="",$A90&lt;86),"",--MID('Key Analysis'!$C86,86,1))</f>
        <v/>
      </c>
      <c r="HQ90" s="29" t="str">
        <f>IF(OR($B90="",$A90&lt;87),"",--MID('Key Analysis'!$C86,87,1))</f>
        <v/>
      </c>
      <c r="HR90" s="29" t="str">
        <f>IF(OR($B90="",$A90&lt;88),"",--MID('Key Analysis'!$C86,88,1))</f>
        <v/>
      </c>
      <c r="HS90" s="29" t="str">
        <f>IF(OR($B90="",$A90&lt;89),"",--MID('Key Analysis'!$C86,89,1))</f>
        <v/>
      </c>
      <c r="HT90" s="29" t="str">
        <f>IF(OR($B90="",$A90&lt;90),"",--MID('Key Analysis'!$C86,90,1))</f>
        <v/>
      </c>
      <c r="HU90" s="29" t="str">
        <f>IF(OR($B90="",$A90&lt;91),"",--MID('Key Analysis'!$C86,91,1))</f>
        <v/>
      </c>
      <c r="HV90" s="29" t="str">
        <f>IF(OR($B90="",$A90&lt;92),"",--MID('Key Analysis'!$C86,92,1))</f>
        <v/>
      </c>
      <c r="HW90" s="29" t="str">
        <f>IF(OR($B90="",$A90&lt;93),"",--MID('Key Analysis'!$C86,93,1))</f>
        <v/>
      </c>
      <c r="HX90" s="29" t="str">
        <f>IF(OR($B90="",$A90&lt;94),"",--MID('Key Analysis'!$C86,94,1))</f>
        <v/>
      </c>
      <c r="HY90" s="29" t="str">
        <f>IF(OR($B90="",$A90&lt;95),"",--MID('Key Analysis'!$C86,95,1))</f>
        <v/>
      </c>
      <c r="HZ90" s="29" t="str">
        <f>IF(OR($B90="",$A90&lt;96),"",--MID('Key Analysis'!$C86,96,1))</f>
        <v/>
      </c>
      <c r="IA90" s="29" t="str">
        <f>IF(OR($B90="",$A90&lt;97),"",--MID('Key Analysis'!$C86,97,1))</f>
        <v/>
      </c>
      <c r="IB90" s="29" t="str">
        <f>IF(OR($B90="",$A90&lt;98),"",--MID('Key Analysis'!$C86,98,1))</f>
        <v/>
      </c>
      <c r="IC90" s="29" t="str">
        <f>IF(OR($B90="",$A90&lt;99),"",--MID('Key Analysis'!$C86,99,1))</f>
        <v/>
      </c>
      <c r="ID90" s="29" t="str">
        <f>IF(OR($B90="",$A90&lt;100),"",--MID('Key Analysis'!$C86,100,1))</f>
        <v/>
      </c>
      <c r="IE90" s="29" t="str">
        <f>IF(OR($B90="",$A90&lt;101),"",--MID('Key Analysis'!$C86,101,1))</f>
        <v/>
      </c>
      <c r="IF90" s="29" t="str">
        <f>IF(OR($B90="",$A90&lt;102),"",--MID('Key Analysis'!$C86,102,1))</f>
        <v/>
      </c>
      <c r="IG90" s="29" t="str">
        <f>IF(OR($B90="",$A90&lt;103),"",--MID('Key Analysis'!$C86,103,1))</f>
        <v/>
      </c>
      <c r="IH90" s="29" t="str">
        <f>IF(OR($B90="",$A90&lt;104),"",--MID('Key Analysis'!$C86,104,1))</f>
        <v/>
      </c>
      <c r="II90" s="29" t="str">
        <f>IF(OR($B90="",$A90&lt;105),"",--MID('Key Analysis'!$C86,105,1))</f>
        <v/>
      </c>
      <c r="IJ90" s="29" t="str">
        <f>IF(OR($B90="",$A90&lt;106),"",--MID('Key Analysis'!$C86,106,1))</f>
        <v/>
      </c>
      <c r="IK90" s="29" t="str">
        <f>IF(OR($B90="",$A90&lt;107),"",--MID('Key Analysis'!$C86,107,1))</f>
        <v/>
      </c>
      <c r="IL90" s="29" t="str">
        <f>IF(OR($B90="",$A90&lt;108),"",--MID('Key Analysis'!$C86,108,1))</f>
        <v/>
      </c>
      <c r="IM90" s="29" t="str">
        <f>IF(OR($B90="",$A90&lt;109),"",--MID('Key Analysis'!$C86,109,1))</f>
        <v/>
      </c>
      <c r="IN90" s="29" t="str">
        <f>IF(OR($B90="",$A90&lt;110),"",--MID('Key Analysis'!$C86,110,1))</f>
        <v/>
      </c>
      <c r="IO90" s="29" t="str">
        <f>IF(OR($B90="",$A90&lt;111),"",--MID('Key Analysis'!$C86,111,1))</f>
        <v/>
      </c>
      <c r="IP90" s="29" t="str">
        <f>IF(OR($B90="",$A90&lt;112),"",--MID('Key Analysis'!$C86,112,1))</f>
        <v/>
      </c>
      <c r="IQ90" s="29" t="str">
        <f>IF(OR($B90="",$A90&lt;113),"",--MID('Key Analysis'!$C86,113,1))</f>
        <v/>
      </c>
      <c r="IR90" s="29" t="str">
        <f>IF(OR($B90="",$A90&lt;114),"",--MID('Key Analysis'!$C86,114,1))</f>
        <v/>
      </c>
      <c r="IS90" s="29" t="str">
        <f>IF(OR($B90="",$A90&lt;115),"",--MID('Key Analysis'!$C86,115,1))</f>
        <v/>
      </c>
      <c r="IT90" s="29" t="str">
        <f>IF(OR($B90="",$A90&lt;116),"",--MID('Key Analysis'!$C86,116,1))</f>
        <v/>
      </c>
      <c r="IU90" s="29" t="str">
        <f>IF(OR($B90="",$A90&lt;117),"",--MID('Key Analysis'!$C86,117,1))</f>
        <v/>
      </c>
      <c r="IV90" s="29" t="str">
        <f>IF(OR($B90="",$A90&lt;118),"",--MID('Key Analysis'!$C86,118,1))</f>
        <v/>
      </c>
      <c r="IW90" s="29" t="str">
        <f>IF(OR($B90="",$A90&lt;119),"",--MID('Key Analysis'!$C86,119,1))</f>
        <v/>
      </c>
      <c r="IX90" s="29" t="str">
        <f>IF(OR($B90="",$A90&lt;120),"",--MID('Key Analysis'!$C86,120,1))</f>
        <v/>
      </c>
      <c r="IY90" s="29" t="str">
        <f>IF(OR($B90="",$A90&lt;121),"",--MID('Key Analysis'!$C86,121,1))</f>
        <v/>
      </c>
      <c r="IZ90" s="29" t="str">
        <f>IF(OR($B90="",$A90&lt;122),"",--MID('Key Analysis'!$C86,122,1))</f>
        <v/>
      </c>
      <c r="JA90" s="29" t="str">
        <f>IF(OR($B90="",$A90&lt;123),"",--MID('Key Analysis'!$C86,123,1))</f>
        <v/>
      </c>
      <c r="JB90" s="29" t="str">
        <f>IF(OR($B90="",$A90&lt;124),"",--MID('Key Analysis'!$C86,124,1))</f>
        <v/>
      </c>
      <c r="JC90" s="29" t="str">
        <f>IF(OR($B90="",$A90&lt;125),"",--MID('Key Analysis'!$C86,125,1))</f>
        <v/>
      </c>
      <c r="JD90" s="29" t="str">
        <f>IF(OR($B90="",$A90&lt;126),"",--MID('Key Analysis'!$C86,126,1))</f>
        <v/>
      </c>
      <c r="JE90" s="29" t="str">
        <f>IF(OR($B90="",$A90&lt;127),"",--MID('Key Analysis'!$C86,127,1))</f>
        <v/>
      </c>
      <c r="JF90" s="29" t="str">
        <f>IF(OR($B90="",$A90&lt;128),"",--MID('Key Analysis'!$C86,128,1))</f>
        <v/>
      </c>
      <c r="JG90" s="29" t="str">
        <f>IF(OR($B90="",$A90&lt;129),"",--MID('Key Analysis'!$C86,129,1))</f>
        <v/>
      </c>
      <c r="JH90" s="29" t="str">
        <f>IF(OR($B90="",$A90&lt;130),"",--MID('Key Analysis'!$C86,130,1))</f>
        <v/>
      </c>
      <c r="JI90" s="29" t="str">
        <f>IF(OR($B90="",$A90&lt;131),"",--MID('Key Analysis'!$C86,131,1))</f>
        <v/>
      </c>
      <c r="JJ90" s="29" t="str">
        <f>IF(OR($B90="",$A90&lt;132),"",--MID('Key Analysis'!$C86,132,1))</f>
        <v/>
      </c>
      <c r="JK90" s="29" t="str">
        <f>IF(OR($B90="",$A90&lt;133),"",--MID('Key Analysis'!$C86,133,1))</f>
        <v/>
      </c>
      <c r="JL90" s="29" t="str">
        <f>IF(OR($B90="",$A90&lt;134),"",--MID('Key Analysis'!$C86,134,1))</f>
        <v/>
      </c>
      <c r="JM90" s="29" t="str">
        <f>IF(OR($B90="",$A90&lt;135),"",--MID('Key Analysis'!$C86,135,1))</f>
        <v/>
      </c>
    </row>
    <row r="91" spans="1:273" x14ac:dyDescent="0.25">
      <c r="A91" s="21">
        <f>'Key Analysis'!A87</f>
        <v>86</v>
      </c>
      <c r="B91" s="30" t="str">
        <f>'Key Analysis'!B87</f>
        <v/>
      </c>
      <c r="C91" s="29" t="str">
        <f>IF(OR($B91="",$A91&lt;=0),"",--MID('Key Analysis'!$C87,$A91-0,1))</f>
        <v/>
      </c>
      <c r="D91" s="29" t="str">
        <f>IF(OR($B91="",$A91&lt;=1),"",--MID('Key Analysis'!$C87,$A91-1,1))</f>
        <v/>
      </c>
      <c r="E91" s="29" t="str">
        <f>IF(OR($B91="",$A91&lt;=2),"",--MID('Key Analysis'!$C87,$A91-2,1))</f>
        <v/>
      </c>
      <c r="F91" s="29" t="str">
        <f>IF(OR($B91="",$A91&lt;=3),"",--MID('Key Analysis'!$C87,$A91-3,1))</f>
        <v/>
      </c>
      <c r="G91" s="29" t="str">
        <f>IF(OR($B91="",$A91&lt;=4),"",--MID('Key Analysis'!$C87,$A91-4,1))</f>
        <v/>
      </c>
      <c r="H91" s="29" t="str">
        <f>IF(OR($B91="",$A91&lt;=5),"",--MID('Key Analysis'!$C87,$A91-5,1))</f>
        <v/>
      </c>
      <c r="I91" s="29" t="str">
        <f>IF(OR($B91="",$A91&lt;=6),"",--MID('Key Analysis'!$C87,$A91-6,1))</f>
        <v/>
      </c>
      <c r="J91" s="29" t="str">
        <f>IF(OR($B91="",$A91&lt;=7),"",--MID('Key Analysis'!$C87,$A91-7,1))</f>
        <v/>
      </c>
      <c r="K91" s="29" t="str">
        <f>IF(OR($B91="",$A91&lt;=8),"",--MID('Key Analysis'!$C87,$A91-8,1))</f>
        <v/>
      </c>
      <c r="L91" s="29" t="str">
        <f>IF(OR($B91="",$A91&lt;=9),"",--MID('Key Analysis'!$C87,$A91-9,1))</f>
        <v/>
      </c>
      <c r="M91" s="29" t="str">
        <f>IF(OR($B91="",$A91&lt;=10),"",--MID('Key Analysis'!$C87,$A91-10,1))</f>
        <v/>
      </c>
      <c r="N91" s="29" t="str">
        <f>IF(OR($B91="",$A91&lt;=11),"",--MID('Key Analysis'!$C87,$A91-11,1))</f>
        <v/>
      </c>
      <c r="O91" s="29" t="str">
        <f>IF(OR($B91="",$A91&lt;=12),"",--MID('Key Analysis'!$C87,$A91-12,1))</f>
        <v/>
      </c>
      <c r="P91" s="29" t="str">
        <f>IF(OR($B91="",$A91&lt;=13),"",--MID('Key Analysis'!$C87,$A91-13,1))</f>
        <v/>
      </c>
      <c r="Q91" s="29" t="str">
        <f>IF(OR($B91="",$A91&lt;=14),"",--MID('Key Analysis'!$C87,$A91-14,1))</f>
        <v/>
      </c>
      <c r="R91" s="29" t="str">
        <f>IF(OR($B91="",$A91&lt;=15),"",--MID('Key Analysis'!$C87,$A91-15,1))</f>
        <v/>
      </c>
      <c r="S91" s="29" t="str">
        <f>IF(OR($B91="",$A91&lt;=16),"",--MID('Key Analysis'!$C87,$A91-16,1))</f>
        <v/>
      </c>
      <c r="T91" s="29" t="str">
        <f>IF(OR($B91="",$A91&lt;=17),"",--MID('Key Analysis'!$C87,$A91-17,1))</f>
        <v/>
      </c>
      <c r="U91" s="29" t="str">
        <f>IF(OR($B91="",$A91&lt;=18),"",--MID('Key Analysis'!$C87,$A91-18,1))</f>
        <v/>
      </c>
      <c r="V91" s="29" t="str">
        <f>IF(OR($B91="",$A91&lt;=19),"",--MID('Key Analysis'!$C87,$A91-19,1))</f>
        <v/>
      </c>
      <c r="W91" s="29" t="str">
        <f>IF(OR($B91="",$A91&lt;=20),"",--MID('Key Analysis'!$C87,$A91-20,1))</f>
        <v/>
      </c>
      <c r="X91" s="29" t="str">
        <f>IF(OR($B91="",$A91&lt;=21),"",--MID('Key Analysis'!$C87,$A91-21,1))</f>
        <v/>
      </c>
      <c r="Y91" s="29" t="str">
        <f>IF(OR($B91="",$A91&lt;=22),"",--MID('Key Analysis'!$C87,$A91-22,1))</f>
        <v/>
      </c>
      <c r="Z91" s="29" t="str">
        <f>IF(OR($B91="",$A91&lt;=23),"",--MID('Key Analysis'!$C87,$A91-23,1))</f>
        <v/>
      </c>
      <c r="AA91" s="29" t="str">
        <f>IF(OR($B91="",$A91&lt;=24),"",--MID('Key Analysis'!$C87,$A91-24,1))</f>
        <v/>
      </c>
      <c r="AB91" s="29" t="str">
        <f>IF(OR($B91="",$A91&lt;=25),"",--MID('Key Analysis'!$C87,$A91-25,1))</f>
        <v/>
      </c>
      <c r="AC91" s="29" t="str">
        <f>IF(OR($B91="",$A91&lt;=26),"",--MID('Key Analysis'!$C87,$A91-26,1))</f>
        <v/>
      </c>
      <c r="AD91" s="29" t="str">
        <f>IF(OR($B91="",$A91&lt;=27),"",--MID('Key Analysis'!$C87,$A91-27,1))</f>
        <v/>
      </c>
      <c r="AE91" s="29" t="str">
        <f>IF(OR($B91="",$A91&lt;=28),"",--MID('Key Analysis'!$C87,$A91-28,1))</f>
        <v/>
      </c>
      <c r="AF91" s="29" t="str">
        <f>IF(OR($B91="",$A91&lt;=29),"",--MID('Key Analysis'!$C87,$A91-29,1))</f>
        <v/>
      </c>
      <c r="AG91" s="29" t="str">
        <f>IF(OR($B91="",$A91&lt;=30),"",--MID('Key Analysis'!$C87,$A91-30,1))</f>
        <v/>
      </c>
      <c r="AH91" s="29" t="str">
        <f>IF(OR($B91="",$A91&lt;=31),"",--MID('Key Analysis'!$C87,$A91-31,1))</f>
        <v/>
      </c>
      <c r="AI91" s="29" t="str">
        <f>IF(OR($B91="",$A91&lt;=32),"",--MID('Key Analysis'!$C87,$A91-32,1))</f>
        <v/>
      </c>
      <c r="AJ91" s="29" t="str">
        <f>IF(OR($B91="",$A91&lt;=33),"",--MID('Key Analysis'!$C87,$A91-33,1))</f>
        <v/>
      </c>
      <c r="AK91" s="29" t="str">
        <f>IF(OR($B91="",$A91&lt;=34),"",--MID('Key Analysis'!$C87,$A91-34,1))</f>
        <v/>
      </c>
      <c r="AL91" s="29" t="str">
        <f>IF(OR($B91="",$A91&lt;=35),"",--MID('Key Analysis'!$C87,$A91-35,1))</f>
        <v/>
      </c>
      <c r="AM91" s="29" t="str">
        <f>IF(OR($B91="",$A91&lt;=36),"",--MID('Key Analysis'!$C87,$A91-36,1))</f>
        <v/>
      </c>
      <c r="AN91" s="29" t="str">
        <f>IF(OR($B91="",$A91&lt;=37),"",--MID('Key Analysis'!$C87,$A91-37,1))</f>
        <v/>
      </c>
      <c r="AO91" s="29" t="str">
        <f>IF(OR($B91="",$A91&lt;=38),"",--MID('Key Analysis'!$C87,$A91-38,1))</f>
        <v/>
      </c>
      <c r="AP91" s="29" t="str">
        <f>IF(OR($B91="",$A91&lt;=39),"",--MID('Key Analysis'!$C87,$A91-39,1))</f>
        <v/>
      </c>
      <c r="AQ91" s="29" t="str">
        <f>IF(OR($B91="",$A91&lt;=40),"",--MID('Key Analysis'!$C87,$A91-40,1))</f>
        <v/>
      </c>
      <c r="AR91" s="29" t="str">
        <f>IF(OR($B91="",$A91&lt;=41),"",--MID('Key Analysis'!$C87,$A91-41,1))</f>
        <v/>
      </c>
      <c r="AS91" s="29" t="str">
        <f>IF(OR($B91="",$A91&lt;=42),"",--MID('Key Analysis'!$C87,$A91-42,1))</f>
        <v/>
      </c>
      <c r="AT91" s="29" t="str">
        <f>IF(OR($B91="",$A91&lt;=43),"",--MID('Key Analysis'!$C87,$A91-43,1))</f>
        <v/>
      </c>
      <c r="AU91" s="29" t="str">
        <f>IF(OR($B91="",$A91&lt;=44),"",--MID('Key Analysis'!$C87,$A91-44,1))</f>
        <v/>
      </c>
      <c r="AV91" s="29" t="str">
        <f>IF(OR($B91="",$A91&lt;=45),"",--MID('Key Analysis'!$C87,$A91-45,1))</f>
        <v/>
      </c>
      <c r="AW91" s="29" t="str">
        <f>IF(OR($B91="",$A91&lt;=46),"",--MID('Key Analysis'!$C87,$A91-46,1))</f>
        <v/>
      </c>
      <c r="AX91" s="29" t="str">
        <f>IF(OR($B91="",$A91&lt;=47),"",--MID('Key Analysis'!$C87,$A91-47,1))</f>
        <v/>
      </c>
      <c r="AY91" s="29" t="str">
        <f>IF(OR($B91="",$A91&lt;=48),"",--MID('Key Analysis'!$C87,$A91-48,1))</f>
        <v/>
      </c>
      <c r="AZ91" s="29" t="str">
        <f>IF(OR($B91="",$A91&lt;=49),"",--MID('Key Analysis'!$C87,$A91-49,1))</f>
        <v/>
      </c>
      <c r="BA91" s="29" t="str">
        <f>IF(OR($B91="",$A91&lt;=50),"",--MID('Key Analysis'!$C87,$A91-50,1))</f>
        <v/>
      </c>
      <c r="BB91" s="29" t="str">
        <f>IF(OR($B91="",$A91&lt;=51),"",--MID('Key Analysis'!$C87,$A91-51,1))</f>
        <v/>
      </c>
      <c r="BC91" s="29" t="str">
        <f>IF(OR($B91="",$A91&lt;=52),"",--MID('Key Analysis'!$C87,$A91-52,1))</f>
        <v/>
      </c>
      <c r="BD91" s="29" t="str">
        <f>IF(OR($B91="",$A91&lt;=53),"",--MID('Key Analysis'!$C87,$A91-53,1))</f>
        <v/>
      </c>
      <c r="BE91" s="29" t="str">
        <f>IF(OR($B91="",$A91&lt;=54),"",--MID('Key Analysis'!$C87,$A91-54,1))</f>
        <v/>
      </c>
      <c r="BF91" s="29" t="str">
        <f>IF(OR($B91="",$A91&lt;=55),"",--MID('Key Analysis'!$C87,$A91-55,1))</f>
        <v/>
      </c>
      <c r="BG91" s="29" t="str">
        <f>IF(OR($B91="",$A91&lt;=56),"",--MID('Key Analysis'!$C87,$A91-56,1))</f>
        <v/>
      </c>
      <c r="BH91" s="29" t="str">
        <f>IF(OR($B91="",$A91&lt;=57),"",--MID('Key Analysis'!$C87,$A91-57,1))</f>
        <v/>
      </c>
      <c r="BI91" s="29" t="str">
        <f>IF(OR($B91="",$A91&lt;=58),"",--MID('Key Analysis'!$C87,$A91-58,1))</f>
        <v/>
      </c>
      <c r="BJ91" s="29" t="str">
        <f>IF(OR($B91="",$A91&lt;=59),"",--MID('Key Analysis'!$C87,$A91-59,1))</f>
        <v/>
      </c>
      <c r="BK91" s="29" t="str">
        <f>IF(OR($B91="",$A91&lt;=60),"",--MID('Key Analysis'!$C87,$A91-60,1))</f>
        <v/>
      </c>
      <c r="BL91" s="29" t="str">
        <f>IF(OR($B91="",$A91&lt;=61),"",--MID('Key Analysis'!$C87,$A91-61,1))</f>
        <v/>
      </c>
      <c r="BM91" s="29" t="str">
        <f>IF(OR($B91="",$A91&lt;=62),"",--MID('Key Analysis'!$C87,$A91-62,1))</f>
        <v/>
      </c>
      <c r="BN91" s="29" t="str">
        <f>IF(OR($B91="",$A91&lt;=63),"",--MID('Key Analysis'!$C87,$A91-63,1))</f>
        <v/>
      </c>
      <c r="BO91" s="29" t="str">
        <f>IF(OR($B91="",$A91&lt;=64),"",--MID('Key Analysis'!$C87,$A91-64,1))</f>
        <v/>
      </c>
      <c r="BP91" s="29" t="str">
        <f>IF(OR($B91="",$A91&lt;=65),"",--MID('Key Analysis'!$C87,$A91-65,1))</f>
        <v/>
      </c>
      <c r="BQ91" s="29" t="str">
        <f>IF(OR($B91="",$A91&lt;=66),"",--MID('Key Analysis'!$C87,$A91-66,1))</f>
        <v/>
      </c>
      <c r="BR91" s="29" t="str">
        <f>IF(OR($B91="",$A91&lt;=67),"",--MID('Key Analysis'!$C87,$A91-67,1))</f>
        <v/>
      </c>
      <c r="BS91" s="29" t="str">
        <f>IF(OR($B91="",$A91&lt;=68),"",--MID('Key Analysis'!$C87,$A91-68,1))</f>
        <v/>
      </c>
      <c r="BT91" s="29" t="str">
        <f>IF(OR($B91="",$A91&lt;=69),"",--MID('Key Analysis'!$C87,$A91-69,1))</f>
        <v/>
      </c>
      <c r="BU91" s="29" t="str">
        <f>IF(OR($B91="",$A91&lt;=70),"",--MID('Key Analysis'!$C87,$A91-70,1))</f>
        <v/>
      </c>
      <c r="BV91" s="29" t="str">
        <f>IF(OR($B91="",$A91&lt;=71),"",--MID('Key Analysis'!$C87,$A91-71,1))</f>
        <v/>
      </c>
      <c r="BW91" s="29" t="str">
        <f>IF(OR($B91="",$A91&lt;=72),"",--MID('Key Analysis'!$C87,$A91-72,1))</f>
        <v/>
      </c>
      <c r="BX91" s="29" t="str">
        <f>IF(OR($B91="",$A91&lt;=73),"",--MID('Key Analysis'!$C87,$A91-73,1))</f>
        <v/>
      </c>
      <c r="BY91" s="29" t="str">
        <f>IF(OR($B91="",$A91&lt;=74),"",--MID('Key Analysis'!$C87,$A91-74,1))</f>
        <v/>
      </c>
      <c r="BZ91" s="29" t="str">
        <f>IF(OR($B91="",$A91&lt;=75),"",--MID('Key Analysis'!$C87,$A91-75,1))</f>
        <v/>
      </c>
      <c r="CA91" s="29" t="str">
        <f>IF(OR($B91="",$A91&lt;=76),"",--MID('Key Analysis'!$C87,$A91-76,1))</f>
        <v/>
      </c>
      <c r="CB91" s="29" t="str">
        <f>IF(OR($B91="",$A91&lt;=77),"",--MID('Key Analysis'!$C87,$A91-77,1))</f>
        <v/>
      </c>
      <c r="CC91" s="29" t="str">
        <f>IF(OR($B91="",$A91&lt;=78),"",--MID('Key Analysis'!$C87,$A91-78,1))</f>
        <v/>
      </c>
      <c r="CD91" s="29" t="str">
        <f>IF(OR($B91="",$A91&lt;=79),"",--MID('Key Analysis'!$C87,$A91-79,1))</f>
        <v/>
      </c>
      <c r="CE91" s="29" t="str">
        <f>IF(OR($B91="",$A91&lt;=80),"",--MID('Key Analysis'!$C87,$A91-80,1))</f>
        <v/>
      </c>
      <c r="CF91" s="29" t="str">
        <f>IF(OR($B91="",$A91&lt;=81),"",--MID('Key Analysis'!$C87,$A91-81,1))</f>
        <v/>
      </c>
      <c r="CG91" s="29" t="str">
        <f>IF(OR($B91="",$A91&lt;=82),"",--MID('Key Analysis'!$C87,$A91-82,1))</f>
        <v/>
      </c>
      <c r="CH91" s="29" t="str">
        <f>IF(OR($B91="",$A91&lt;=83),"",--MID('Key Analysis'!$C87,$A91-83,1))</f>
        <v/>
      </c>
      <c r="CI91" s="29" t="str">
        <f>IF(OR($B91="",$A91&lt;=84),"",--MID('Key Analysis'!$C87,$A91-84,1))</f>
        <v/>
      </c>
      <c r="CJ91" s="29" t="str">
        <f>IF(OR($B91="",$A91&lt;=85),"",--MID('Key Analysis'!$C87,$A91-85,1))</f>
        <v/>
      </c>
      <c r="CK91" s="29" t="str">
        <f>IF(OR($B91="",$A91&lt;=86),"",--MID('Key Analysis'!$C87,$A91-86,1))</f>
        <v/>
      </c>
      <c r="CL91" s="29" t="str">
        <f>IF(OR($B91="",$A91&lt;=87),"",--MID('Key Analysis'!$C87,$A91-87,1))</f>
        <v/>
      </c>
      <c r="CM91" s="29" t="str">
        <f>IF(OR($B91="",$A91&lt;=88),"",--MID('Key Analysis'!$C87,$A91-88,1))</f>
        <v/>
      </c>
      <c r="CN91" s="29" t="str">
        <f>IF(OR($B91="",$A91&lt;=89),"",--MID('Key Analysis'!$C87,$A91-89,1))</f>
        <v/>
      </c>
      <c r="CO91" s="29" t="str">
        <f>IF(OR($B91="",$A91&lt;=90),"",--MID('Key Analysis'!$C87,$A91-90,1))</f>
        <v/>
      </c>
      <c r="CP91" s="29" t="str">
        <f>IF(OR($B91="",$A91&lt;=91),"",--MID('Key Analysis'!$C87,$A91-91,1))</f>
        <v/>
      </c>
      <c r="CQ91" s="29" t="str">
        <f>IF(OR($B91="",$A91&lt;=92),"",--MID('Key Analysis'!$C87,$A91-92,1))</f>
        <v/>
      </c>
      <c r="CR91" s="29" t="str">
        <f>IF(OR($B91="",$A91&lt;=93),"",--MID('Key Analysis'!$C87,$A91-93,1))</f>
        <v/>
      </c>
      <c r="CS91" s="29" t="str">
        <f>IF(OR($B91="",$A91&lt;=94),"",--MID('Key Analysis'!$C87,$A91-94,1))</f>
        <v/>
      </c>
      <c r="CT91" s="29" t="str">
        <f>IF(OR($B91="",$A91&lt;=95),"",--MID('Key Analysis'!$C87,$A91-95,1))</f>
        <v/>
      </c>
      <c r="CU91" s="29" t="str">
        <f>IF(OR($B91="",$A91&lt;=96),"",--MID('Key Analysis'!$C87,$A91-96,1))</f>
        <v/>
      </c>
      <c r="CV91" s="29" t="str">
        <f>IF(OR($B91="",$A91&lt;=97),"",--MID('Key Analysis'!$C87,$A91-97,1))</f>
        <v/>
      </c>
      <c r="CW91" s="29" t="str">
        <f>IF(OR($B91="",$A91&lt;=98),"",--MID('Key Analysis'!$C87,$A91-98,1))</f>
        <v/>
      </c>
      <c r="CX91" s="29" t="str">
        <f>IF(OR($B91="",$A91&lt;=99),"",--MID('Key Analysis'!$C87,$A91-99,1))</f>
        <v/>
      </c>
      <c r="CY91" s="29" t="str">
        <f>IF(OR($B91="",$A91&lt;=100),"",--MID('Key Analysis'!$C87,$A91-100,1))</f>
        <v/>
      </c>
      <c r="CZ91" s="29" t="str">
        <f>IF(OR($B91="",$A91&lt;=101),"",--MID('Key Analysis'!$C87,$A91-101,1))</f>
        <v/>
      </c>
      <c r="DA91" s="29" t="str">
        <f>IF(OR($B91="",$A91&lt;=102),"",--MID('Key Analysis'!$C87,$A91-102,1))</f>
        <v/>
      </c>
      <c r="DB91" s="29" t="str">
        <f>IF(OR($B91="",$A91&lt;=103),"",--MID('Key Analysis'!$C87,$A91-103,1))</f>
        <v/>
      </c>
      <c r="DC91" s="29" t="str">
        <f>IF(OR($B91="",$A91&lt;=104),"",--MID('Key Analysis'!$C87,$A91-104,1))</f>
        <v/>
      </c>
      <c r="DD91" s="29" t="str">
        <f>IF(OR($B91="",$A91&lt;=105),"",--MID('Key Analysis'!$C87,$A91-105,1))</f>
        <v/>
      </c>
      <c r="DE91" s="29" t="str">
        <f>IF(OR($B91="",$A91&lt;=106),"",--MID('Key Analysis'!$C87,$A91-106,1))</f>
        <v/>
      </c>
      <c r="DF91" s="29" t="str">
        <f>IF(OR($B91="",$A91&lt;=107),"",--MID('Key Analysis'!$C87,$A91-107,1))</f>
        <v/>
      </c>
      <c r="DG91" s="29" t="str">
        <f>IF(OR($B91="",$A91&lt;=108),"",--MID('Key Analysis'!$C87,$A91-108,1))</f>
        <v/>
      </c>
      <c r="DH91" s="29" t="str">
        <f>IF(OR($B91="",$A91&lt;=109),"",--MID('Key Analysis'!$C87,$A91-109,1))</f>
        <v/>
      </c>
      <c r="DI91" s="29" t="str">
        <f>IF(OR($B91="",$A91&lt;=110),"",--MID('Key Analysis'!$C87,$A91-110,1))</f>
        <v/>
      </c>
      <c r="DJ91" s="29" t="str">
        <f>IF(OR($B91="",$A91&lt;=111),"",--MID('Key Analysis'!$C87,$A91-111,1))</f>
        <v/>
      </c>
      <c r="DK91" s="29" t="str">
        <f>IF(OR($B91="",$A91&lt;=112),"",--MID('Key Analysis'!$C87,$A91-112,1))</f>
        <v/>
      </c>
      <c r="DL91" s="29" t="str">
        <f>IF(OR($B91="",$A91&lt;=113),"",--MID('Key Analysis'!$C87,$A91-113,1))</f>
        <v/>
      </c>
      <c r="DM91" s="29" t="str">
        <f>IF(OR($B91="",$A91&lt;=114),"",--MID('Key Analysis'!$C87,$A91-114,1))</f>
        <v/>
      </c>
      <c r="DN91" s="29" t="str">
        <f>IF(OR($B91="",$A91&lt;=115),"",--MID('Key Analysis'!$C87,$A91-115,1))</f>
        <v/>
      </c>
      <c r="DO91" s="29" t="str">
        <f>IF(OR($B91="",$A91&lt;=116),"",--MID('Key Analysis'!$C87,$A91-116,1))</f>
        <v/>
      </c>
      <c r="DP91" s="29" t="str">
        <f>IF(OR($B91="",$A91&lt;=117),"",--MID('Key Analysis'!$C87,$A91-117,1))</f>
        <v/>
      </c>
      <c r="DQ91" s="29" t="str">
        <f>IF(OR($B91="",$A91&lt;=118),"",--MID('Key Analysis'!$C87,$A91-118,1))</f>
        <v/>
      </c>
      <c r="DR91" s="29" t="str">
        <f>IF(OR($B91="",$A91&lt;=119),"",--MID('Key Analysis'!$C87,$A91-119,1))</f>
        <v/>
      </c>
      <c r="DS91" s="29" t="str">
        <f>IF(OR($B91="",$A91&lt;=120),"",--MID('Key Analysis'!$C87,$A91-120,1))</f>
        <v/>
      </c>
      <c r="DT91" s="29" t="str">
        <f>IF(OR($B91="",$A91&lt;=121),"",--MID('Key Analysis'!$C87,$A91-121,1))</f>
        <v/>
      </c>
      <c r="DU91" s="29" t="str">
        <f>IF(OR($B91="",$A91&lt;=122),"",--MID('Key Analysis'!$C87,$A91-122,1))</f>
        <v/>
      </c>
      <c r="DV91" s="29" t="str">
        <f>IF(OR($B91="",$A91&lt;=123),"",--MID('Key Analysis'!$C87,$A91-123,1))</f>
        <v/>
      </c>
      <c r="DW91" s="29" t="str">
        <f>IF(OR($B91="",$A91&lt;=124),"",--MID('Key Analysis'!$C87,$A91-124,1))</f>
        <v/>
      </c>
      <c r="DX91" s="29" t="str">
        <f>IF(OR($B91="",$A91&lt;=125),"",--MID('Key Analysis'!$C87,$A91-125,1))</f>
        <v/>
      </c>
      <c r="DY91" s="29" t="str">
        <f>IF(OR($B91="",$A91&lt;=126),"",--MID('Key Analysis'!$C87,$A91-126,1))</f>
        <v/>
      </c>
      <c r="DZ91" s="29" t="str">
        <f>IF(OR($B91="",$A91&lt;=127),"",--MID('Key Analysis'!$C87,$A91-127,1))</f>
        <v/>
      </c>
      <c r="EA91" s="29" t="str">
        <f>IF(OR($B91="",$A91&lt;=128),"",--MID('Key Analysis'!$C87,$A91-128,1))</f>
        <v/>
      </c>
      <c r="EB91" s="29" t="str">
        <f>IF(OR($B91="",$A91&lt;=129),"",--MID('Key Analysis'!$C87,$A91-129,1))</f>
        <v/>
      </c>
      <c r="EC91" s="29" t="str">
        <f>IF(OR($B91="",$A91&lt;=130),"",--MID('Key Analysis'!$C87,$A91-130,1))</f>
        <v/>
      </c>
      <c r="ED91" s="29" t="str">
        <f>IF(OR($B91="",$A91&lt;=131),"",--MID('Key Analysis'!$C87,$A91-131,1))</f>
        <v/>
      </c>
      <c r="EE91" s="29" t="str">
        <f>IF(OR($B91="",$A91&lt;=132),"",--MID('Key Analysis'!$C87,$A91-132,1))</f>
        <v/>
      </c>
      <c r="EF91" s="29" t="str">
        <f>IF(OR($B91="",$A91&lt;=133),"",--MID('Key Analysis'!$C87,$A91-133,1))</f>
        <v/>
      </c>
      <c r="EG91" s="29" t="str">
        <f>IF(OR($B91="",$A91&lt;=134),"",--MID('Key Analysis'!$C87,$A91-134,1))</f>
        <v/>
      </c>
      <c r="EH91" s="29"/>
      <c r="EI91" s="29" t="str">
        <f>IF(OR($B91="",$A91&lt;1),"",--MID('Key Analysis'!$C87,1,1))</f>
        <v/>
      </c>
      <c r="EJ91" s="29" t="str">
        <f>IF(OR($B91="",$A91&lt;2),"",--MID('Key Analysis'!$C87,2,1))</f>
        <v/>
      </c>
      <c r="EK91" s="29" t="str">
        <f>IF(OR($B91="",$A91&lt;3),"",--MID('Key Analysis'!$C87,3,1))</f>
        <v/>
      </c>
      <c r="EL91" s="29" t="str">
        <f>IF(OR($B91="",$A91&lt;4),"",--MID('Key Analysis'!$C87,4,1))</f>
        <v/>
      </c>
      <c r="EM91" s="29" t="str">
        <f>IF(OR($B91="",$A91&lt;5),"",--MID('Key Analysis'!$C87,5,1))</f>
        <v/>
      </c>
      <c r="EN91" s="29" t="str">
        <f>IF(OR($B91="",$A91&lt;6),"",--MID('Key Analysis'!$C87,6,1))</f>
        <v/>
      </c>
      <c r="EO91" s="29" t="str">
        <f>IF(OR($B91="",$A91&lt;7),"",--MID('Key Analysis'!$C87,7,1))</f>
        <v/>
      </c>
      <c r="EP91" s="29" t="str">
        <f>IF(OR($B91="",$A91&lt;8),"",--MID('Key Analysis'!$C87,8,1))</f>
        <v/>
      </c>
      <c r="EQ91" s="29" t="str">
        <f>IF(OR($B91="",$A91&lt;9),"",--MID('Key Analysis'!$C87,9,1))</f>
        <v/>
      </c>
      <c r="ER91" s="29" t="str">
        <f>IF(OR($B91="",$A91&lt;10),"",--MID('Key Analysis'!$C87,10,1))</f>
        <v/>
      </c>
      <c r="ES91" s="29" t="str">
        <f>IF(OR($B91="",$A91&lt;11),"",--MID('Key Analysis'!$C87,11,1))</f>
        <v/>
      </c>
      <c r="ET91" s="29" t="str">
        <f>IF(OR($B91="",$A91&lt;12),"",--MID('Key Analysis'!$C87,12,1))</f>
        <v/>
      </c>
      <c r="EU91" s="29" t="str">
        <f>IF(OR($B91="",$A91&lt;13),"",--MID('Key Analysis'!$C87,13,1))</f>
        <v/>
      </c>
      <c r="EV91" s="29" t="str">
        <f>IF(OR($B91="",$A91&lt;14),"",--MID('Key Analysis'!$C87,14,1))</f>
        <v/>
      </c>
      <c r="EW91" s="29" t="str">
        <f>IF(OR($B91="",$A91&lt;15),"",--MID('Key Analysis'!$C87,15,1))</f>
        <v/>
      </c>
      <c r="EX91" s="29" t="str">
        <f>IF(OR($B91="",$A91&lt;16),"",--MID('Key Analysis'!$C87,16,1))</f>
        <v/>
      </c>
      <c r="EY91" s="29" t="str">
        <f>IF(OR($B91="",$A91&lt;17),"",--MID('Key Analysis'!$C87,17,1))</f>
        <v/>
      </c>
      <c r="EZ91" s="29" t="str">
        <f>IF(OR($B91="",$A91&lt;18),"",--MID('Key Analysis'!$C87,18,1))</f>
        <v/>
      </c>
      <c r="FA91" s="29" t="str">
        <f>IF(OR($B91="",$A91&lt;19),"",--MID('Key Analysis'!$C87,19,1))</f>
        <v/>
      </c>
      <c r="FB91" s="29" t="str">
        <f>IF(OR($B91="",$A91&lt;20),"",--MID('Key Analysis'!$C87,20,1))</f>
        <v/>
      </c>
      <c r="FC91" s="29" t="str">
        <f>IF(OR($B91="",$A91&lt;21),"",--MID('Key Analysis'!$C87,21,1))</f>
        <v/>
      </c>
      <c r="FD91" s="29" t="str">
        <f>IF(OR($B91="",$A91&lt;22),"",--MID('Key Analysis'!$C87,22,1))</f>
        <v/>
      </c>
      <c r="FE91" s="29" t="str">
        <f>IF(OR($B91="",$A91&lt;23),"",--MID('Key Analysis'!$C87,23,1))</f>
        <v/>
      </c>
      <c r="FF91" s="29" t="str">
        <f>IF(OR($B91="",$A91&lt;24),"",--MID('Key Analysis'!$C87,24,1))</f>
        <v/>
      </c>
      <c r="FG91" s="29" t="str">
        <f>IF(OR($B91="",$A91&lt;25),"",--MID('Key Analysis'!$C87,25,1))</f>
        <v/>
      </c>
      <c r="FH91" s="29" t="str">
        <f>IF(OR($B91="",$A91&lt;26),"",--MID('Key Analysis'!$C87,26,1))</f>
        <v/>
      </c>
      <c r="FI91" s="29" t="str">
        <f>IF(OR($B91="",$A91&lt;27),"",--MID('Key Analysis'!$C87,27,1))</f>
        <v/>
      </c>
      <c r="FJ91" s="29" t="str">
        <f>IF(OR($B91="",$A91&lt;28),"",--MID('Key Analysis'!$C87,28,1))</f>
        <v/>
      </c>
      <c r="FK91" s="29" t="str">
        <f>IF(OR($B91="",$A91&lt;29),"",--MID('Key Analysis'!$C87,29,1))</f>
        <v/>
      </c>
      <c r="FL91" s="29" t="str">
        <f>IF(OR($B91="",$A91&lt;30),"",--MID('Key Analysis'!$C87,30,1))</f>
        <v/>
      </c>
      <c r="FM91" s="29" t="str">
        <f>IF(OR($B91="",$A91&lt;31),"",--MID('Key Analysis'!$C87,31,1))</f>
        <v/>
      </c>
      <c r="FN91" s="29" t="str">
        <f>IF(OR($B91="",$A91&lt;32),"",--MID('Key Analysis'!$C87,32,1))</f>
        <v/>
      </c>
      <c r="FO91" s="29" t="str">
        <f>IF(OR($B91="",$A91&lt;33),"",--MID('Key Analysis'!$C87,33,1))</f>
        <v/>
      </c>
      <c r="FP91" s="29" t="str">
        <f>IF(OR($B91="",$A91&lt;34),"",--MID('Key Analysis'!$C87,34,1))</f>
        <v/>
      </c>
      <c r="FQ91" s="29" t="str">
        <f>IF(OR($B91="",$A91&lt;35),"",--MID('Key Analysis'!$C87,35,1))</f>
        <v/>
      </c>
      <c r="FR91" s="29" t="str">
        <f>IF(OR($B91="",$A91&lt;36),"",--MID('Key Analysis'!$C87,36,1))</f>
        <v/>
      </c>
      <c r="FS91" s="29" t="str">
        <f>IF(OR($B91="",$A91&lt;37),"",--MID('Key Analysis'!$C87,37,1))</f>
        <v/>
      </c>
      <c r="FT91" s="29" t="str">
        <f>IF(OR($B91="",$A91&lt;38),"",--MID('Key Analysis'!$C87,38,1))</f>
        <v/>
      </c>
      <c r="FU91" s="29" t="str">
        <f>IF(OR($B91="",$A91&lt;39),"",--MID('Key Analysis'!$C87,39,1))</f>
        <v/>
      </c>
      <c r="FV91" s="29" t="str">
        <f>IF(OR($B91="",$A91&lt;40),"",--MID('Key Analysis'!$C87,40,1))</f>
        <v/>
      </c>
      <c r="FW91" s="29" t="str">
        <f>IF(OR($B91="",$A91&lt;41),"",--MID('Key Analysis'!$C87,41,1))</f>
        <v/>
      </c>
      <c r="FX91" s="29" t="str">
        <f>IF(OR($B91="",$A91&lt;42),"",--MID('Key Analysis'!$C87,42,1))</f>
        <v/>
      </c>
      <c r="FY91" s="29" t="str">
        <f>IF(OR($B91="",$A91&lt;43),"",--MID('Key Analysis'!$C87,43,1))</f>
        <v/>
      </c>
      <c r="FZ91" s="29" t="str">
        <f>IF(OR($B91="",$A91&lt;44),"",--MID('Key Analysis'!$C87,44,1))</f>
        <v/>
      </c>
      <c r="GA91" s="29" t="str">
        <f>IF(OR($B91="",$A91&lt;45),"",--MID('Key Analysis'!$C87,45,1))</f>
        <v/>
      </c>
      <c r="GB91" s="29" t="str">
        <f>IF(OR($B91="",$A91&lt;46),"",--MID('Key Analysis'!$C87,46,1))</f>
        <v/>
      </c>
      <c r="GC91" s="29" t="str">
        <f>IF(OR($B91="",$A91&lt;47),"",--MID('Key Analysis'!$C87,47,1))</f>
        <v/>
      </c>
      <c r="GD91" s="29" t="str">
        <f>IF(OR($B91="",$A91&lt;48),"",--MID('Key Analysis'!$C87,48,1))</f>
        <v/>
      </c>
      <c r="GE91" s="29" t="str">
        <f>IF(OR($B91="",$A91&lt;49),"",--MID('Key Analysis'!$C87,49,1))</f>
        <v/>
      </c>
      <c r="GF91" s="29" t="str">
        <f>IF(OR($B91="",$A91&lt;50),"",--MID('Key Analysis'!$C87,50,1))</f>
        <v/>
      </c>
      <c r="GG91" s="29" t="str">
        <f>IF(OR($B91="",$A91&lt;51),"",--MID('Key Analysis'!$C87,51,1))</f>
        <v/>
      </c>
      <c r="GH91" s="29" t="str">
        <f>IF(OR($B91="",$A91&lt;52),"",--MID('Key Analysis'!$C87,52,1))</f>
        <v/>
      </c>
      <c r="GI91" s="29" t="str">
        <f>IF(OR($B91="",$A91&lt;53),"",--MID('Key Analysis'!$C87,53,1))</f>
        <v/>
      </c>
      <c r="GJ91" s="29" t="str">
        <f>IF(OR($B91="",$A91&lt;54),"",--MID('Key Analysis'!$C87,54,1))</f>
        <v/>
      </c>
      <c r="GK91" s="29" t="str">
        <f>IF(OR($B91="",$A91&lt;55),"",--MID('Key Analysis'!$C87,55,1))</f>
        <v/>
      </c>
      <c r="GL91" s="29" t="str">
        <f>IF(OR($B91="",$A91&lt;56),"",--MID('Key Analysis'!$C87,56,1))</f>
        <v/>
      </c>
      <c r="GM91" s="29" t="str">
        <f>IF(OR($B91="",$A91&lt;57),"",--MID('Key Analysis'!$C87,57,1))</f>
        <v/>
      </c>
      <c r="GN91" s="29" t="str">
        <f>IF(OR($B91="",$A91&lt;58),"",--MID('Key Analysis'!$C87,58,1))</f>
        <v/>
      </c>
      <c r="GO91" s="29" t="str">
        <f>IF(OR($B91="",$A91&lt;59),"",--MID('Key Analysis'!$C87,59,1))</f>
        <v/>
      </c>
      <c r="GP91" s="29" t="str">
        <f>IF(OR($B91="",$A91&lt;60),"",--MID('Key Analysis'!$C87,60,1))</f>
        <v/>
      </c>
      <c r="GQ91" s="29" t="str">
        <f>IF(OR($B91="",$A91&lt;61),"",--MID('Key Analysis'!$C87,61,1))</f>
        <v/>
      </c>
      <c r="GR91" s="29" t="str">
        <f>IF(OR($B91="",$A91&lt;62),"",--MID('Key Analysis'!$C87,62,1))</f>
        <v/>
      </c>
      <c r="GS91" s="29" t="str">
        <f>IF(OR($B91="",$A91&lt;63),"",--MID('Key Analysis'!$C87,63,1))</f>
        <v/>
      </c>
      <c r="GT91" s="29" t="str">
        <f>IF(OR($B91="",$A91&lt;64),"",--MID('Key Analysis'!$C87,64,1))</f>
        <v/>
      </c>
      <c r="GU91" s="29" t="str">
        <f>IF(OR($B91="",$A91&lt;65),"",--MID('Key Analysis'!$C87,65,1))</f>
        <v/>
      </c>
      <c r="GV91" s="29" t="str">
        <f>IF(OR($B91="",$A91&lt;66),"",--MID('Key Analysis'!$C87,66,1))</f>
        <v/>
      </c>
      <c r="GW91" s="29" t="str">
        <f>IF(OR($B91="",$A91&lt;67),"",--MID('Key Analysis'!$C87,67,1))</f>
        <v/>
      </c>
      <c r="GX91" s="29" t="str">
        <f>IF(OR($B91="",$A91&lt;68),"",--MID('Key Analysis'!$C87,68,1))</f>
        <v/>
      </c>
      <c r="GY91" s="29" t="str">
        <f>IF(OR($B91="",$A91&lt;69),"",--MID('Key Analysis'!$C87,69,1))</f>
        <v/>
      </c>
      <c r="GZ91" s="29" t="str">
        <f>IF(OR($B91="",$A91&lt;70),"",--MID('Key Analysis'!$C87,70,1))</f>
        <v/>
      </c>
      <c r="HA91" s="29" t="str">
        <f>IF(OR($B91="",$A91&lt;71),"",--MID('Key Analysis'!$C87,71,1))</f>
        <v/>
      </c>
      <c r="HB91" s="29" t="str">
        <f>IF(OR($B91="",$A91&lt;72),"",--MID('Key Analysis'!$C87,72,1))</f>
        <v/>
      </c>
      <c r="HC91" s="29" t="str">
        <f>IF(OR($B91="",$A91&lt;73),"",--MID('Key Analysis'!$C87,73,1))</f>
        <v/>
      </c>
      <c r="HD91" s="29" t="str">
        <f>IF(OR($B91="",$A91&lt;74),"",--MID('Key Analysis'!$C87,74,1))</f>
        <v/>
      </c>
      <c r="HE91" s="29" t="str">
        <f>IF(OR($B91="",$A91&lt;75),"",--MID('Key Analysis'!$C87,75,1))</f>
        <v/>
      </c>
      <c r="HF91" s="29" t="str">
        <f>IF(OR($B91="",$A91&lt;76),"",--MID('Key Analysis'!$C87,76,1))</f>
        <v/>
      </c>
      <c r="HG91" s="29" t="str">
        <f>IF(OR($B91="",$A91&lt;77),"",--MID('Key Analysis'!$C87,77,1))</f>
        <v/>
      </c>
      <c r="HH91" s="29" t="str">
        <f>IF(OR($B91="",$A91&lt;78),"",--MID('Key Analysis'!$C87,78,1))</f>
        <v/>
      </c>
      <c r="HI91" s="29" t="str">
        <f>IF(OR($B91="",$A91&lt;79),"",--MID('Key Analysis'!$C87,79,1))</f>
        <v/>
      </c>
      <c r="HJ91" s="29" t="str">
        <f>IF(OR($B91="",$A91&lt;80),"",--MID('Key Analysis'!$C87,80,1))</f>
        <v/>
      </c>
      <c r="HK91" s="29" t="str">
        <f>IF(OR($B91="",$A91&lt;81),"",--MID('Key Analysis'!$C87,81,1))</f>
        <v/>
      </c>
      <c r="HL91" s="29" t="str">
        <f>IF(OR($B91="",$A91&lt;82),"",--MID('Key Analysis'!$C87,82,1))</f>
        <v/>
      </c>
      <c r="HM91" s="29" t="str">
        <f>IF(OR($B91="",$A91&lt;83),"",--MID('Key Analysis'!$C87,83,1))</f>
        <v/>
      </c>
      <c r="HN91" s="29" t="str">
        <f>IF(OR($B91="",$A91&lt;84),"",--MID('Key Analysis'!$C87,84,1))</f>
        <v/>
      </c>
      <c r="HO91" s="29" t="str">
        <f>IF(OR($B91="",$A91&lt;85),"",--MID('Key Analysis'!$C87,85,1))</f>
        <v/>
      </c>
      <c r="HP91" s="29" t="str">
        <f>IF(OR($B91="",$A91&lt;86),"",--MID('Key Analysis'!$C87,86,1))</f>
        <v/>
      </c>
      <c r="HQ91" s="29" t="str">
        <f>IF(OR($B91="",$A91&lt;87),"",--MID('Key Analysis'!$C87,87,1))</f>
        <v/>
      </c>
      <c r="HR91" s="29" t="str">
        <f>IF(OR($B91="",$A91&lt;88),"",--MID('Key Analysis'!$C87,88,1))</f>
        <v/>
      </c>
      <c r="HS91" s="29" t="str">
        <f>IF(OR($B91="",$A91&lt;89),"",--MID('Key Analysis'!$C87,89,1))</f>
        <v/>
      </c>
      <c r="HT91" s="29" t="str">
        <f>IF(OR($B91="",$A91&lt;90),"",--MID('Key Analysis'!$C87,90,1))</f>
        <v/>
      </c>
      <c r="HU91" s="29" t="str">
        <f>IF(OR($B91="",$A91&lt;91),"",--MID('Key Analysis'!$C87,91,1))</f>
        <v/>
      </c>
      <c r="HV91" s="29" t="str">
        <f>IF(OR($B91="",$A91&lt;92),"",--MID('Key Analysis'!$C87,92,1))</f>
        <v/>
      </c>
      <c r="HW91" s="29" t="str">
        <f>IF(OR($B91="",$A91&lt;93),"",--MID('Key Analysis'!$C87,93,1))</f>
        <v/>
      </c>
      <c r="HX91" s="29" t="str">
        <f>IF(OR($B91="",$A91&lt;94),"",--MID('Key Analysis'!$C87,94,1))</f>
        <v/>
      </c>
      <c r="HY91" s="29" t="str">
        <f>IF(OR($B91="",$A91&lt;95),"",--MID('Key Analysis'!$C87,95,1))</f>
        <v/>
      </c>
      <c r="HZ91" s="29" t="str">
        <f>IF(OR($B91="",$A91&lt;96),"",--MID('Key Analysis'!$C87,96,1))</f>
        <v/>
      </c>
      <c r="IA91" s="29" t="str">
        <f>IF(OR($B91="",$A91&lt;97),"",--MID('Key Analysis'!$C87,97,1))</f>
        <v/>
      </c>
      <c r="IB91" s="29" t="str">
        <f>IF(OR($B91="",$A91&lt;98),"",--MID('Key Analysis'!$C87,98,1))</f>
        <v/>
      </c>
      <c r="IC91" s="29" t="str">
        <f>IF(OR($B91="",$A91&lt;99),"",--MID('Key Analysis'!$C87,99,1))</f>
        <v/>
      </c>
      <c r="ID91" s="29" t="str">
        <f>IF(OR($B91="",$A91&lt;100),"",--MID('Key Analysis'!$C87,100,1))</f>
        <v/>
      </c>
      <c r="IE91" s="29" t="str">
        <f>IF(OR($B91="",$A91&lt;101),"",--MID('Key Analysis'!$C87,101,1))</f>
        <v/>
      </c>
      <c r="IF91" s="29" t="str">
        <f>IF(OR($B91="",$A91&lt;102),"",--MID('Key Analysis'!$C87,102,1))</f>
        <v/>
      </c>
      <c r="IG91" s="29" t="str">
        <f>IF(OR($B91="",$A91&lt;103),"",--MID('Key Analysis'!$C87,103,1))</f>
        <v/>
      </c>
      <c r="IH91" s="29" t="str">
        <f>IF(OR($B91="",$A91&lt;104),"",--MID('Key Analysis'!$C87,104,1))</f>
        <v/>
      </c>
      <c r="II91" s="29" t="str">
        <f>IF(OR($B91="",$A91&lt;105),"",--MID('Key Analysis'!$C87,105,1))</f>
        <v/>
      </c>
      <c r="IJ91" s="29" t="str">
        <f>IF(OR($B91="",$A91&lt;106),"",--MID('Key Analysis'!$C87,106,1))</f>
        <v/>
      </c>
      <c r="IK91" s="29" t="str">
        <f>IF(OR($B91="",$A91&lt;107),"",--MID('Key Analysis'!$C87,107,1))</f>
        <v/>
      </c>
      <c r="IL91" s="29" t="str">
        <f>IF(OR($B91="",$A91&lt;108),"",--MID('Key Analysis'!$C87,108,1))</f>
        <v/>
      </c>
      <c r="IM91" s="29" t="str">
        <f>IF(OR($B91="",$A91&lt;109),"",--MID('Key Analysis'!$C87,109,1))</f>
        <v/>
      </c>
      <c r="IN91" s="29" t="str">
        <f>IF(OR($B91="",$A91&lt;110),"",--MID('Key Analysis'!$C87,110,1))</f>
        <v/>
      </c>
      <c r="IO91" s="29" t="str">
        <f>IF(OR($B91="",$A91&lt;111),"",--MID('Key Analysis'!$C87,111,1))</f>
        <v/>
      </c>
      <c r="IP91" s="29" t="str">
        <f>IF(OR($B91="",$A91&lt;112),"",--MID('Key Analysis'!$C87,112,1))</f>
        <v/>
      </c>
      <c r="IQ91" s="29" t="str">
        <f>IF(OR($B91="",$A91&lt;113),"",--MID('Key Analysis'!$C87,113,1))</f>
        <v/>
      </c>
      <c r="IR91" s="29" t="str">
        <f>IF(OR($B91="",$A91&lt;114),"",--MID('Key Analysis'!$C87,114,1))</f>
        <v/>
      </c>
      <c r="IS91" s="29" t="str">
        <f>IF(OR($B91="",$A91&lt;115),"",--MID('Key Analysis'!$C87,115,1))</f>
        <v/>
      </c>
      <c r="IT91" s="29" t="str">
        <f>IF(OR($B91="",$A91&lt;116),"",--MID('Key Analysis'!$C87,116,1))</f>
        <v/>
      </c>
      <c r="IU91" s="29" t="str">
        <f>IF(OR($B91="",$A91&lt;117),"",--MID('Key Analysis'!$C87,117,1))</f>
        <v/>
      </c>
      <c r="IV91" s="29" t="str">
        <f>IF(OR($B91="",$A91&lt;118),"",--MID('Key Analysis'!$C87,118,1))</f>
        <v/>
      </c>
      <c r="IW91" s="29" t="str">
        <f>IF(OR($B91="",$A91&lt;119),"",--MID('Key Analysis'!$C87,119,1))</f>
        <v/>
      </c>
      <c r="IX91" s="29" t="str">
        <f>IF(OR($B91="",$A91&lt;120),"",--MID('Key Analysis'!$C87,120,1))</f>
        <v/>
      </c>
      <c r="IY91" s="29" t="str">
        <f>IF(OR($B91="",$A91&lt;121),"",--MID('Key Analysis'!$C87,121,1))</f>
        <v/>
      </c>
      <c r="IZ91" s="29" t="str">
        <f>IF(OR($B91="",$A91&lt;122),"",--MID('Key Analysis'!$C87,122,1))</f>
        <v/>
      </c>
      <c r="JA91" s="29" t="str">
        <f>IF(OR($B91="",$A91&lt;123),"",--MID('Key Analysis'!$C87,123,1))</f>
        <v/>
      </c>
      <c r="JB91" s="29" t="str">
        <f>IF(OR($B91="",$A91&lt;124),"",--MID('Key Analysis'!$C87,124,1))</f>
        <v/>
      </c>
      <c r="JC91" s="29" t="str">
        <f>IF(OR($B91="",$A91&lt;125),"",--MID('Key Analysis'!$C87,125,1))</f>
        <v/>
      </c>
      <c r="JD91" s="29" t="str">
        <f>IF(OR($B91="",$A91&lt;126),"",--MID('Key Analysis'!$C87,126,1))</f>
        <v/>
      </c>
      <c r="JE91" s="29" t="str">
        <f>IF(OR($B91="",$A91&lt;127),"",--MID('Key Analysis'!$C87,127,1))</f>
        <v/>
      </c>
      <c r="JF91" s="29" t="str">
        <f>IF(OR($B91="",$A91&lt;128),"",--MID('Key Analysis'!$C87,128,1))</f>
        <v/>
      </c>
      <c r="JG91" s="29" t="str">
        <f>IF(OR($B91="",$A91&lt;129),"",--MID('Key Analysis'!$C87,129,1))</f>
        <v/>
      </c>
      <c r="JH91" s="29" t="str">
        <f>IF(OR($B91="",$A91&lt;130),"",--MID('Key Analysis'!$C87,130,1))</f>
        <v/>
      </c>
      <c r="JI91" s="29" t="str">
        <f>IF(OR($B91="",$A91&lt;131),"",--MID('Key Analysis'!$C87,131,1))</f>
        <v/>
      </c>
      <c r="JJ91" s="29" t="str">
        <f>IF(OR($B91="",$A91&lt;132),"",--MID('Key Analysis'!$C87,132,1))</f>
        <v/>
      </c>
      <c r="JK91" s="29" t="str">
        <f>IF(OR($B91="",$A91&lt;133),"",--MID('Key Analysis'!$C87,133,1))</f>
        <v/>
      </c>
      <c r="JL91" s="29" t="str">
        <f>IF(OR($B91="",$A91&lt;134),"",--MID('Key Analysis'!$C87,134,1))</f>
        <v/>
      </c>
      <c r="JM91" s="29" t="str">
        <f>IF(OR($B91="",$A91&lt;135),"",--MID('Key Analysis'!$C87,135,1))</f>
        <v/>
      </c>
    </row>
    <row r="92" spans="1:273" x14ac:dyDescent="0.25">
      <c r="A92" s="21">
        <f>'Key Analysis'!A88</f>
        <v>87</v>
      </c>
      <c r="B92" s="30" t="str">
        <f>'Key Analysis'!B88</f>
        <v/>
      </c>
      <c r="C92" s="29" t="str">
        <f>IF(OR($B92="",$A92&lt;=0),"",--MID('Key Analysis'!$C88,$A92-0,1))</f>
        <v/>
      </c>
      <c r="D92" s="29" t="str">
        <f>IF(OR($B92="",$A92&lt;=1),"",--MID('Key Analysis'!$C88,$A92-1,1))</f>
        <v/>
      </c>
      <c r="E92" s="29" t="str">
        <f>IF(OR($B92="",$A92&lt;=2),"",--MID('Key Analysis'!$C88,$A92-2,1))</f>
        <v/>
      </c>
      <c r="F92" s="29" t="str">
        <f>IF(OR($B92="",$A92&lt;=3),"",--MID('Key Analysis'!$C88,$A92-3,1))</f>
        <v/>
      </c>
      <c r="G92" s="29" t="str">
        <f>IF(OR($B92="",$A92&lt;=4),"",--MID('Key Analysis'!$C88,$A92-4,1))</f>
        <v/>
      </c>
      <c r="H92" s="29" t="str">
        <f>IF(OR($B92="",$A92&lt;=5),"",--MID('Key Analysis'!$C88,$A92-5,1))</f>
        <v/>
      </c>
      <c r="I92" s="29" t="str">
        <f>IF(OR($B92="",$A92&lt;=6),"",--MID('Key Analysis'!$C88,$A92-6,1))</f>
        <v/>
      </c>
      <c r="J92" s="29" t="str">
        <f>IF(OR($B92="",$A92&lt;=7),"",--MID('Key Analysis'!$C88,$A92-7,1))</f>
        <v/>
      </c>
      <c r="K92" s="29" t="str">
        <f>IF(OR($B92="",$A92&lt;=8),"",--MID('Key Analysis'!$C88,$A92-8,1))</f>
        <v/>
      </c>
      <c r="L92" s="29" t="str">
        <f>IF(OR($B92="",$A92&lt;=9),"",--MID('Key Analysis'!$C88,$A92-9,1))</f>
        <v/>
      </c>
      <c r="M92" s="29" t="str">
        <f>IF(OR($B92="",$A92&lt;=10),"",--MID('Key Analysis'!$C88,$A92-10,1))</f>
        <v/>
      </c>
      <c r="N92" s="29" t="str">
        <f>IF(OR($B92="",$A92&lt;=11),"",--MID('Key Analysis'!$C88,$A92-11,1))</f>
        <v/>
      </c>
      <c r="O92" s="29" t="str">
        <f>IF(OR($B92="",$A92&lt;=12),"",--MID('Key Analysis'!$C88,$A92-12,1))</f>
        <v/>
      </c>
      <c r="P92" s="29" t="str">
        <f>IF(OR($B92="",$A92&lt;=13),"",--MID('Key Analysis'!$C88,$A92-13,1))</f>
        <v/>
      </c>
      <c r="Q92" s="29" t="str">
        <f>IF(OR($B92="",$A92&lt;=14),"",--MID('Key Analysis'!$C88,$A92-14,1))</f>
        <v/>
      </c>
      <c r="R92" s="29" t="str">
        <f>IF(OR($B92="",$A92&lt;=15),"",--MID('Key Analysis'!$C88,$A92-15,1))</f>
        <v/>
      </c>
      <c r="S92" s="29" t="str">
        <f>IF(OR($B92="",$A92&lt;=16),"",--MID('Key Analysis'!$C88,$A92-16,1))</f>
        <v/>
      </c>
      <c r="T92" s="29" t="str">
        <f>IF(OR($B92="",$A92&lt;=17),"",--MID('Key Analysis'!$C88,$A92-17,1))</f>
        <v/>
      </c>
      <c r="U92" s="29" t="str">
        <f>IF(OR($B92="",$A92&lt;=18),"",--MID('Key Analysis'!$C88,$A92-18,1))</f>
        <v/>
      </c>
      <c r="V92" s="29" t="str">
        <f>IF(OR($B92="",$A92&lt;=19),"",--MID('Key Analysis'!$C88,$A92-19,1))</f>
        <v/>
      </c>
      <c r="W92" s="29" t="str">
        <f>IF(OR($B92="",$A92&lt;=20),"",--MID('Key Analysis'!$C88,$A92-20,1))</f>
        <v/>
      </c>
      <c r="X92" s="29" t="str">
        <f>IF(OR($B92="",$A92&lt;=21),"",--MID('Key Analysis'!$C88,$A92-21,1))</f>
        <v/>
      </c>
      <c r="Y92" s="29" t="str">
        <f>IF(OR($B92="",$A92&lt;=22),"",--MID('Key Analysis'!$C88,$A92-22,1))</f>
        <v/>
      </c>
      <c r="Z92" s="29" t="str">
        <f>IF(OR($B92="",$A92&lt;=23),"",--MID('Key Analysis'!$C88,$A92-23,1))</f>
        <v/>
      </c>
      <c r="AA92" s="29" t="str">
        <f>IF(OR($B92="",$A92&lt;=24),"",--MID('Key Analysis'!$C88,$A92-24,1))</f>
        <v/>
      </c>
      <c r="AB92" s="29" t="str">
        <f>IF(OR($B92="",$A92&lt;=25),"",--MID('Key Analysis'!$C88,$A92-25,1))</f>
        <v/>
      </c>
      <c r="AC92" s="29" t="str">
        <f>IF(OR($B92="",$A92&lt;=26),"",--MID('Key Analysis'!$C88,$A92-26,1))</f>
        <v/>
      </c>
      <c r="AD92" s="29" t="str">
        <f>IF(OR($B92="",$A92&lt;=27),"",--MID('Key Analysis'!$C88,$A92-27,1))</f>
        <v/>
      </c>
      <c r="AE92" s="29" t="str">
        <f>IF(OR($B92="",$A92&lt;=28),"",--MID('Key Analysis'!$C88,$A92-28,1))</f>
        <v/>
      </c>
      <c r="AF92" s="29" t="str">
        <f>IF(OR($B92="",$A92&lt;=29),"",--MID('Key Analysis'!$C88,$A92-29,1))</f>
        <v/>
      </c>
      <c r="AG92" s="29" t="str">
        <f>IF(OR($B92="",$A92&lt;=30),"",--MID('Key Analysis'!$C88,$A92-30,1))</f>
        <v/>
      </c>
      <c r="AH92" s="29" t="str">
        <f>IF(OR($B92="",$A92&lt;=31),"",--MID('Key Analysis'!$C88,$A92-31,1))</f>
        <v/>
      </c>
      <c r="AI92" s="29" t="str">
        <f>IF(OR($B92="",$A92&lt;=32),"",--MID('Key Analysis'!$C88,$A92-32,1))</f>
        <v/>
      </c>
      <c r="AJ92" s="29" t="str">
        <f>IF(OR($B92="",$A92&lt;=33),"",--MID('Key Analysis'!$C88,$A92-33,1))</f>
        <v/>
      </c>
      <c r="AK92" s="29" t="str">
        <f>IF(OR($B92="",$A92&lt;=34),"",--MID('Key Analysis'!$C88,$A92-34,1))</f>
        <v/>
      </c>
      <c r="AL92" s="29" t="str">
        <f>IF(OR($B92="",$A92&lt;=35),"",--MID('Key Analysis'!$C88,$A92-35,1))</f>
        <v/>
      </c>
      <c r="AM92" s="29" t="str">
        <f>IF(OR($B92="",$A92&lt;=36),"",--MID('Key Analysis'!$C88,$A92-36,1))</f>
        <v/>
      </c>
      <c r="AN92" s="29" t="str">
        <f>IF(OR($B92="",$A92&lt;=37),"",--MID('Key Analysis'!$C88,$A92-37,1))</f>
        <v/>
      </c>
      <c r="AO92" s="29" t="str">
        <f>IF(OR($B92="",$A92&lt;=38),"",--MID('Key Analysis'!$C88,$A92-38,1))</f>
        <v/>
      </c>
      <c r="AP92" s="29" t="str">
        <f>IF(OR($B92="",$A92&lt;=39),"",--MID('Key Analysis'!$C88,$A92-39,1))</f>
        <v/>
      </c>
      <c r="AQ92" s="29" t="str">
        <f>IF(OR($B92="",$A92&lt;=40),"",--MID('Key Analysis'!$C88,$A92-40,1))</f>
        <v/>
      </c>
      <c r="AR92" s="29" t="str">
        <f>IF(OR($B92="",$A92&lt;=41),"",--MID('Key Analysis'!$C88,$A92-41,1))</f>
        <v/>
      </c>
      <c r="AS92" s="29" t="str">
        <f>IF(OR($B92="",$A92&lt;=42),"",--MID('Key Analysis'!$C88,$A92-42,1))</f>
        <v/>
      </c>
      <c r="AT92" s="29" t="str">
        <f>IF(OR($B92="",$A92&lt;=43),"",--MID('Key Analysis'!$C88,$A92-43,1))</f>
        <v/>
      </c>
      <c r="AU92" s="29" t="str">
        <f>IF(OR($B92="",$A92&lt;=44),"",--MID('Key Analysis'!$C88,$A92-44,1))</f>
        <v/>
      </c>
      <c r="AV92" s="29" t="str">
        <f>IF(OR($B92="",$A92&lt;=45),"",--MID('Key Analysis'!$C88,$A92-45,1))</f>
        <v/>
      </c>
      <c r="AW92" s="29" t="str">
        <f>IF(OR($B92="",$A92&lt;=46),"",--MID('Key Analysis'!$C88,$A92-46,1))</f>
        <v/>
      </c>
      <c r="AX92" s="29" t="str">
        <f>IF(OR($B92="",$A92&lt;=47),"",--MID('Key Analysis'!$C88,$A92-47,1))</f>
        <v/>
      </c>
      <c r="AY92" s="29" t="str">
        <f>IF(OR($B92="",$A92&lt;=48),"",--MID('Key Analysis'!$C88,$A92-48,1))</f>
        <v/>
      </c>
      <c r="AZ92" s="29" t="str">
        <f>IF(OR($B92="",$A92&lt;=49),"",--MID('Key Analysis'!$C88,$A92-49,1))</f>
        <v/>
      </c>
      <c r="BA92" s="29" t="str">
        <f>IF(OR($B92="",$A92&lt;=50),"",--MID('Key Analysis'!$C88,$A92-50,1))</f>
        <v/>
      </c>
      <c r="BB92" s="29" t="str">
        <f>IF(OR($B92="",$A92&lt;=51),"",--MID('Key Analysis'!$C88,$A92-51,1))</f>
        <v/>
      </c>
      <c r="BC92" s="29" t="str">
        <f>IF(OR($B92="",$A92&lt;=52),"",--MID('Key Analysis'!$C88,$A92-52,1))</f>
        <v/>
      </c>
      <c r="BD92" s="29" t="str">
        <f>IF(OR($B92="",$A92&lt;=53),"",--MID('Key Analysis'!$C88,$A92-53,1))</f>
        <v/>
      </c>
      <c r="BE92" s="29" t="str">
        <f>IF(OR($B92="",$A92&lt;=54),"",--MID('Key Analysis'!$C88,$A92-54,1))</f>
        <v/>
      </c>
      <c r="BF92" s="29" t="str">
        <f>IF(OR($B92="",$A92&lt;=55),"",--MID('Key Analysis'!$C88,$A92-55,1))</f>
        <v/>
      </c>
      <c r="BG92" s="29" t="str">
        <f>IF(OR($B92="",$A92&lt;=56),"",--MID('Key Analysis'!$C88,$A92-56,1))</f>
        <v/>
      </c>
      <c r="BH92" s="29" t="str">
        <f>IF(OR($B92="",$A92&lt;=57),"",--MID('Key Analysis'!$C88,$A92-57,1))</f>
        <v/>
      </c>
      <c r="BI92" s="29" t="str">
        <f>IF(OR($B92="",$A92&lt;=58),"",--MID('Key Analysis'!$C88,$A92-58,1))</f>
        <v/>
      </c>
      <c r="BJ92" s="29" t="str">
        <f>IF(OR($B92="",$A92&lt;=59),"",--MID('Key Analysis'!$C88,$A92-59,1))</f>
        <v/>
      </c>
      <c r="BK92" s="29" t="str">
        <f>IF(OR($B92="",$A92&lt;=60),"",--MID('Key Analysis'!$C88,$A92-60,1))</f>
        <v/>
      </c>
      <c r="BL92" s="29" t="str">
        <f>IF(OR($B92="",$A92&lt;=61),"",--MID('Key Analysis'!$C88,$A92-61,1))</f>
        <v/>
      </c>
      <c r="BM92" s="29" t="str">
        <f>IF(OR($B92="",$A92&lt;=62),"",--MID('Key Analysis'!$C88,$A92-62,1))</f>
        <v/>
      </c>
      <c r="BN92" s="29" t="str">
        <f>IF(OR($B92="",$A92&lt;=63),"",--MID('Key Analysis'!$C88,$A92-63,1))</f>
        <v/>
      </c>
      <c r="BO92" s="29" t="str">
        <f>IF(OR($B92="",$A92&lt;=64),"",--MID('Key Analysis'!$C88,$A92-64,1))</f>
        <v/>
      </c>
      <c r="BP92" s="29" t="str">
        <f>IF(OR($B92="",$A92&lt;=65),"",--MID('Key Analysis'!$C88,$A92-65,1))</f>
        <v/>
      </c>
      <c r="BQ92" s="29" t="str">
        <f>IF(OR($B92="",$A92&lt;=66),"",--MID('Key Analysis'!$C88,$A92-66,1))</f>
        <v/>
      </c>
      <c r="BR92" s="29" t="str">
        <f>IF(OR($B92="",$A92&lt;=67),"",--MID('Key Analysis'!$C88,$A92-67,1))</f>
        <v/>
      </c>
      <c r="BS92" s="29" t="str">
        <f>IF(OR($B92="",$A92&lt;=68),"",--MID('Key Analysis'!$C88,$A92-68,1))</f>
        <v/>
      </c>
      <c r="BT92" s="29" t="str">
        <f>IF(OR($B92="",$A92&lt;=69),"",--MID('Key Analysis'!$C88,$A92-69,1))</f>
        <v/>
      </c>
      <c r="BU92" s="29" t="str">
        <f>IF(OR($B92="",$A92&lt;=70),"",--MID('Key Analysis'!$C88,$A92-70,1))</f>
        <v/>
      </c>
      <c r="BV92" s="29" t="str">
        <f>IF(OR($B92="",$A92&lt;=71),"",--MID('Key Analysis'!$C88,$A92-71,1))</f>
        <v/>
      </c>
      <c r="BW92" s="29" t="str">
        <f>IF(OR($B92="",$A92&lt;=72),"",--MID('Key Analysis'!$C88,$A92-72,1))</f>
        <v/>
      </c>
      <c r="BX92" s="29" t="str">
        <f>IF(OR($B92="",$A92&lt;=73),"",--MID('Key Analysis'!$C88,$A92-73,1))</f>
        <v/>
      </c>
      <c r="BY92" s="29" t="str">
        <f>IF(OR($B92="",$A92&lt;=74),"",--MID('Key Analysis'!$C88,$A92-74,1))</f>
        <v/>
      </c>
      <c r="BZ92" s="29" t="str">
        <f>IF(OR($B92="",$A92&lt;=75),"",--MID('Key Analysis'!$C88,$A92-75,1))</f>
        <v/>
      </c>
      <c r="CA92" s="29" t="str">
        <f>IF(OR($B92="",$A92&lt;=76),"",--MID('Key Analysis'!$C88,$A92-76,1))</f>
        <v/>
      </c>
      <c r="CB92" s="29" t="str">
        <f>IF(OR($B92="",$A92&lt;=77),"",--MID('Key Analysis'!$C88,$A92-77,1))</f>
        <v/>
      </c>
      <c r="CC92" s="29" t="str">
        <f>IF(OR($B92="",$A92&lt;=78),"",--MID('Key Analysis'!$C88,$A92-78,1))</f>
        <v/>
      </c>
      <c r="CD92" s="29" t="str">
        <f>IF(OR($B92="",$A92&lt;=79),"",--MID('Key Analysis'!$C88,$A92-79,1))</f>
        <v/>
      </c>
      <c r="CE92" s="29" t="str">
        <f>IF(OR($B92="",$A92&lt;=80),"",--MID('Key Analysis'!$C88,$A92-80,1))</f>
        <v/>
      </c>
      <c r="CF92" s="29" t="str">
        <f>IF(OR($B92="",$A92&lt;=81),"",--MID('Key Analysis'!$C88,$A92-81,1))</f>
        <v/>
      </c>
      <c r="CG92" s="29" t="str">
        <f>IF(OR($B92="",$A92&lt;=82),"",--MID('Key Analysis'!$C88,$A92-82,1))</f>
        <v/>
      </c>
      <c r="CH92" s="29" t="str">
        <f>IF(OR($B92="",$A92&lt;=83),"",--MID('Key Analysis'!$C88,$A92-83,1))</f>
        <v/>
      </c>
      <c r="CI92" s="29" t="str">
        <f>IF(OR($B92="",$A92&lt;=84),"",--MID('Key Analysis'!$C88,$A92-84,1))</f>
        <v/>
      </c>
      <c r="CJ92" s="29" t="str">
        <f>IF(OR($B92="",$A92&lt;=85),"",--MID('Key Analysis'!$C88,$A92-85,1))</f>
        <v/>
      </c>
      <c r="CK92" s="29" t="str">
        <f>IF(OR($B92="",$A92&lt;=86),"",--MID('Key Analysis'!$C88,$A92-86,1))</f>
        <v/>
      </c>
      <c r="CL92" s="29" t="str">
        <f>IF(OR($B92="",$A92&lt;=87),"",--MID('Key Analysis'!$C88,$A92-87,1))</f>
        <v/>
      </c>
      <c r="CM92" s="29" t="str">
        <f>IF(OR($B92="",$A92&lt;=88),"",--MID('Key Analysis'!$C88,$A92-88,1))</f>
        <v/>
      </c>
      <c r="CN92" s="29" t="str">
        <f>IF(OR($B92="",$A92&lt;=89),"",--MID('Key Analysis'!$C88,$A92-89,1))</f>
        <v/>
      </c>
      <c r="CO92" s="29" t="str">
        <f>IF(OR($B92="",$A92&lt;=90),"",--MID('Key Analysis'!$C88,$A92-90,1))</f>
        <v/>
      </c>
      <c r="CP92" s="29" t="str">
        <f>IF(OR($B92="",$A92&lt;=91),"",--MID('Key Analysis'!$C88,$A92-91,1))</f>
        <v/>
      </c>
      <c r="CQ92" s="29" t="str">
        <f>IF(OR($B92="",$A92&lt;=92),"",--MID('Key Analysis'!$C88,$A92-92,1))</f>
        <v/>
      </c>
      <c r="CR92" s="29" t="str">
        <f>IF(OR($B92="",$A92&lt;=93),"",--MID('Key Analysis'!$C88,$A92-93,1))</f>
        <v/>
      </c>
      <c r="CS92" s="29" t="str">
        <f>IF(OR($B92="",$A92&lt;=94),"",--MID('Key Analysis'!$C88,$A92-94,1))</f>
        <v/>
      </c>
      <c r="CT92" s="29" t="str">
        <f>IF(OR($B92="",$A92&lt;=95),"",--MID('Key Analysis'!$C88,$A92-95,1))</f>
        <v/>
      </c>
      <c r="CU92" s="29" t="str">
        <f>IF(OR($B92="",$A92&lt;=96),"",--MID('Key Analysis'!$C88,$A92-96,1))</f>
        <v/>
      </c>
      <c r="CV92" s="29" t="str">
        <f>IF(OR($B92="",$A92&lt;=97),"",--MID('Key Analysis'!$C88,$A92-97,1))</f>
        <v/>
      </c>
      <c r="CW92" s="29" t="str">
        <f>IF(OR($B92="",$A92&lt;=98),"",--MID('Key Analysis'!$C88,$A92-98,1))</f>
        <v/>
      </c>
      <c r="CX92" s="29" t="str">
        <f>IF(OR($B92="",$A92&lt;=99),"",--MID('Key Analysis'!$C88,$A92-99,1))</f>
        <v/>
      </c>
      <c r="CY92" s="29" t="str">
        <f>IF(OR($B92="",$A92&lt;=100),"",--MID('Key Analysis'!$C88,$A92-100,1))</f>
        <v/>
      </c>
      <c r="CZ92" s="29" t="str">
        <f>IF(OR($B92="",$A92&lt;=101),"",--MID('Key Analysis'!$C88,$A92-101,1))</f>
        <v/>
      </c>
      <c r="DA92" s="29" t="str">
        <f>IF(OR($B92="",$A92&lt;=102),"",--MID('Key Analysis'!$C88,$A92-102,1))</f>
        <v/>
      </c>
      <c r="DB92" s="29" t="str">
        <f>IF(OR($B92="",$A92&lt;=103),"",--MID('Key Analysis'!$C88,$A92-103,1))</f>
        <v/>
      </c>
      <c r="DC92" s="29" t="str">
        <f>IF(OR($B92="",$A92&lt;=104),"",--MID('Key Analysis'!$C88,$A92-104,1))</f>
        <v/>
      </c>
      <c r="DD92" s="29" t="str">
        <f>IF(OR($B92="",$A92&lt;=105),"",--MID('Key Analysis'!$C88,$A92-105,1))</f>
        <v/>
      </c>
      <c r="DE92" s="29" t="str">
        <f>IF(OR($B92="",$A92&lt;=106),"",--MID('Key Analysis'!$C88,$A92-106,1))</f>
        <v/>
      </c>
      <c r="DF92" s="29" t="str">
        <f>IF(OR($B92="",$A92&lt;=107),"",--MID('Key Analysis'!$C88,$A92-107,1))</f>
        <v/>
      </c>
      <c r="DG92" s="29" t="str">
        <f>IF(OR($B92="",$A92&lt;=108),"",--MID('Key Analysis'!$C88,$A92-108,1))</f>
        <v/>
      </c>
      <c r="DH92" s="29" t="str">
        <f>IF(OR($B92="",$A92&lt;=109),"",--MID('Key Analysis'!$C88,$A92-109,1))</f>
        <v/>
      </c>
      <c r="DI92" s="29" t="str">
        <f>IF(OR($B92="",$A92&lt;=110),"",--MID('Key Analysis'!$C88,$A92-110,1))</f>
        <v/>
      </c>
      <c r="DJ92" s="29" t="str">
        <f>IF(OR($B92="",$A92&lt;=111),"",--MID('Key Analysis'!$C88,$A92-111,1))</f>
        <v/>
      </c>
      <c r="DK92" s="29" t="str">
        <f>IF(OR($B92="",$A92&lt;=112),"",--MID('Key Analysis'!$C88,$A92-112,1))</f>
        <v/>
      </c>
      <c r="DL92" s="29" t="str">
        <f>IF(OR($B92="",$A92&lt;=113),"",--MID('Key Analysis'!$C88,$A92-113,1))</f>
        <v/>
      </c>
      <c r="DM92" s="29" t="str">
        <f>IF(OR($B92="",$A92&lt;=114),"",--MID('Key Analysis'!$C88,$A92-114,1))</f>
        <v/>
      </c>
      <c r="DN92" s="29" t="str">
        <f>IF(OR($B92="",$A92&lt;=115),"",--MID('Key Analysis'!$C88,$A92-115,1))</f>
        <v/>
      </c>
      <c r="DO92" s="29" t="str">
        <f>IF(OR($B92="",$A92&lt;=116),"",--MID('Key Analysis'!$C88,$A92-116,1))</f>
        <v/>
      </c>
      <c r="DP92" s="29" t="str">
        <f>IF(OR($B92="",$A92&lt;=117),"",--MID('Key Analysis'!$C88,$A92-117,1))</f>
        <v/>
      </c>
      <c r="DQ92" s="29" t="str">
        <f>IF(OR($B92="",$A92&lt;=118),"",--MID('Key Analysis'!$C88,$A92-118,1))</f>
        <v/>
      </c>
      <c r="DR92" s="29" t="str">
        <f>IF(OR($B92="",$A92&lt;=119),"",--MID('Key Analysis'!$C88,$A92-119,1))</f>
        <v/>
      </c>
      <c r="DS92" s="29" t="str">
        <f>IF(OR($B92="",$A92&lt;=120),"",--MID('Key Analysis'!$C88,$A92-120,1))</f>
        <v/>
      </c>
      <c r="DT92" s="29" t="str">
        <f>IF(OR($B92="",$A92&lt;=121),"",--MID('Key Analysis'!$C88,$A92-121,1))</f>
        <v/>
      </c>
      <c r="DU92" s="29" t="str">
        <f>IF(OR($B92="",$A92&lt;=122),"",--MID('Key Analysis'!$C88,$A92-122,1))</f>
        <v/>
      </c>
      <c r="DV92" s="29" t="str">
        <f>IF(OR($B92="",$A92&lt;=123),"",--MID('Key Analysis'!$C88,$A92-123,1))</f>
        <v/>
      </c>
      <c r="DW92" s="29" t="str">
        <f>IF(OR($B92="",$A92&lt;=124),"",--MID('Key Analysis'!$C88,$A92-124,1))</f>
        <v/>
      </c>
      <c r="DX92" s="29" t="str">
        <f>IF(OR($B92="",$A92&lt;=125),"",--MID('Key Analysis'!$C88,$A92-125,1))</f>
        <v/>
      </c>
      <c r="DY92" s="29" t="str">
        <f>IF(OR($B92="",$A92&lt;=126),"",--MID('Key Analysis'!$C88,$A92-126,1))</f>
        <v/>
      </c>
      <c r="DZ92" s="29" t="str">
        <f>IF(OR($B92="",$A92&lt;=127),"",--MID('Key Analysis'!$C88,$A92-127,1))</f>
        <v/>
      </c>
      <c r="EA92" s="29" t="str">
        <f>IF(OR($B92="",$A92&lt;=128),"",--MID('Key Analysis'!$C88,$A92-128,1))</f>
        <v/>
      </c>
      <c r="EB92" s="29" t="str">
        <f>IF(OR($B92="",$A92&lt;=129),"",--MID('Key Analysis'!$C88,$A92-129,1))</f>
        <v/>
      </c>
      <c r="EC92" s="29" t="str">
        <f>IF(OR($B92="",$A92&lt;=130),"",--MID('Key Analysis'!$C88,$A92-130,1))</f>
        <v/>
      </c>
      <c r="ED92" s="29" t="str">
        <f>IF(OR($B92="",$A92&lt;=131),"",--MID('Key Analysis'!$C88,$A92-131,1))</f>
        <v/>
      </c>
      <c r="EE92" s="29" t="str">
        <f>IF(OR($B92="",$A92&lt;=132),"",--MID('Key Analysis'!$C88,$A92-132,1))</f>
        <v/>
      </c>
      <c r="EF92" s="29" t="str">
        <f>IF(OR($B92="",$A92&lt;=133),"",--MID('Key Analysis'!$C88,$A92-133,1))</f>
        <v/>
      </c>
      <c r="EG92" s="29" t="str">
        <f>IF(OR($B92="",$A92&lt;=134),"",--MID('Key Analysis'!$C88,$A92-134,1))</f>
        <v/>
      </c>
      <c r="EH92" s="29"/>
      <c r="EI92" s="29" t="str">
        <f>IF(OR($B92="",$A92&lt;1),"",--MID('Key Analysis'!$C88,1,1))</f>
        <v/>
      </c>
      <c r="EJ92" s="29" t="str">
        <f>IF(OR($B92="",$A92&lt;2),"",--MID('Key Analysis'!$C88,2,1))</f>
        <v/>
      </c>
      <c r="EK92" s="29" t="str">
        <f>IF(OR($B92="",$A92&lt;3),"",--MID('Key Analysis'!$C88,3,1))</f>
        <v/>
      </c>
      <c r="EL92" s="29" t="str">
        <f>IF(OR($B92="",$A92&lt;4),"",--MID('Key Analysis'!$C88,4,1))</f>
        <v/>
      </c>
      <c r="EM92" s="29" t="str">
        <f>IF(OR($B92="",$A92&lt;5),"",--MID('Key Analysis'!$C88,5,1))</f>
        <v/>
      </c>
      <c r="EN92" s="29" t="str">
        <f>IF(OR($B92="",$A92&lt;6),"",--MID('Key Analysis'!$C88,6,1))</f>
        <v/>
      </c>
      <c r="EO92" s="29" t="str">
        <f>IF(OR($B92="",$A92&lt;7),"",--MID('Key Analysis'!$C88,7,1))</f>
        <v/>
      </c>
      <c r="EP92" s="29" t="str">
        <f>IF(OR($B92="",$A92&lt;8),"",--MID('Key Analysis'!$C88,8,1))</f>
        <v/>
      </c>
      <c r="EQ92" s="29" t="str">
        <f>IF(OR($B92="",$A92&lt;9),"",--MID('Key Analysis'!$C88,9,1))</f>
        <v/>
      </c>
      <c r="ER92" s="29" t="str">
        <f>IF(OR($B92="",$A92&lt;10),"",--MID('Key Analysis'!$C88,10,1))</f>
        <v/>
      </c>
      <c r="ES92" s="29" t="str">
        <f>IF(OR($B92="",$A92&lt;11),"",--MID('Key Analysis'!$C88,11,1))</f>
        <v/>
      </c>
      <c r="ET92" s="29" t="str">
        <f>IF(OR($B92="",$A92&lt;12),"",--MID('Key Analysis'!$C88,12,1))</f>
        <v/>
      </c>
      <c r="EU92" s="29" t="str">
        <f>IF(OR($B92="",$A92&lt;13),"",--MID('Key Analysis'!$C88,13,1))</f>
        <v/>
      </c>
      <c r="EV92" s="29" t="str">
        <f>IF(OR($B92="",$A92&lt;14),"",--MID('Key Analysis'!$C88,14,1))</f>
        <v/>
      </c>
      <c r="EW92" s="29" t="str">
        <f>IF(OR($B92="",$A92&lt;15),"",--MID('Key Analysis'!$C88,15,1))</f>
        <v/>
      </c>
      <c r="EX92" s="29" t="str">
        <f>IF(OR($B92="",$A92&lt;16),"",--MID('Key Analysis'!$C88,16,1))</f>
        <v/>
      </c>
      <c r="EY92" s="29" t="str">
        <f>IF(OR($B92="",$A92&lt;17),"",--MID('Key Analysis'!$C88,17,1))</f>
        <v/>
      </c>
      <c r="EZ92" s="29" t="str">
        <f>IF(OR($B92="",$A92&lt;18),"",--MID('Key Analysis'!$C88,18,1))</f>
        <v/>
      </c>
      <c r="FA92" s="29" t="str">
        <f>IF(OR($B92="",$A92&lt;19),"",--MID('Key Analysis'!$C88,19,1))</f>
        <v/>
      </c>
      <c r="FB92" s="29" t="str">
        <f>IF(OR($B92="",$A92&lt;20),"",--MID('Key Analysis'!$C88,20,1))</f>
        <v/>
      </c>
      <c r="FC92" s="29" t="str">
        <f>IF(OR($B92="",$A92&lt;21),"",--MID('Key Analysis'!$C88,21,1))</f>
        <v/>
      </c>
      <c r="FD92" s="29" t="str">
        <f>IF(OR($B92="",$A92&lt;22),"",--MID('Key Analysis'!$C88,22,1))</f>
        <v/>
      </c>
      <c r="FE92" s="29" t="str">
        <f>IF(OR($B92="",$A92&lt;23),"",--MID('Key Analysis'!$C88,23,1))</f>
        <v/>
      </c>
      <c r="FF92" s="29" t="str">
        <f>IF(OR($B92="",$A92&lt;24),"",--MID('Key Analysis'!$C88,24,1))</f>
        <v/>
      </c>
      <c r="FG92" s="29" t="str">
        <f>IF(OR($B92="",$A92&lt;25),"",--MID('Key Analysis'!$C88,25,1))</f>
        <v/>
      </c>
      <c r="FH92" s="29" t="str">
        <f>IF(OR($B92="",$A92&lt;26),"",--MID('Key Analysis'!$C88,26,1))</f>
        <v/>
      </c>
      <c r="FI92" s="29" t="str">
        <f>IF(OR($B92="",$A92&lt;27),"",--MID('Key Analysis'!$C88,27,1))</f>
        <v/>
      </c>
      <c r="FJ92" s="29" t="str">
        <f>IF(OR($B92="",$A92&lt;28),"",--MID('Key Analysis'!$C88,28,1))</f>
        <v/>
      </c>
      <c r="FK92" s="29" t="str">
        <f>IF(OR($B92="",$A92&lt;29),"",--MID('Key Analysis'!$C88,29,1))</f>
        <v/>
      </c>
      <c r="FL92" s="29" t="str">
        <f>IF(OR($B92="",$A92&lt;30),"",--MID('Key Analysis'!$C88,30,1))</f>
        <v/>
      </c>
      <c r="FM92" s="29" t="str">
        <f>IF(OR($B92="",$A92&lt;31),"",--MID('Key Analysis'!$C88,31,1))</f>
        <v/>
      </c>
      <c r="FN92" s="29" t="str">
        <f>IF(OR($B92="",$A92&lt;32),"",--MID('Key Analysis'!$C88,32,1))</f>
        <v/>
      </c>
      <c r="FO92" s="29" t="str">
        <f>IF(OR($B92="",$A92&lt;33),"",--MID('Key Analysis'!$C88,33,1))</f>
        <v/>
      </c>
      <c r="FP92" s="29" t="str">
        <f>IF(OR($B92="",$A92&lt;34),"",--MID('Key Analysis'!$C88,34,1))</f>
        <v/>
      </c>
      <c r="FQ92" s="29" t="str">
        <f>IF(OR($B92="",$A92&lt;35),"",--MID('Key Analysis'!$C88,35,1))</f>
        <v/>
      </c>
      <c r="FR92" s="29" t="str">
        <f>IF(OR($B92="",$A92&lt;36),"",--MID('Key Analysis'!$C88,36,1))</f>
        <v/>
      </c>
      <c r="FS92" s="29" t="str">
        <f>IF(OR($B92="",$A92&lt;37),"",--MID('Key Analysis'!$C88,37,1))</f>
        <v/>
      </c>
      <c r="FT92" s="29" t="str">
        <f>IF(OR($B92="",$A92&lt;38),"",--MID('Key Analysis'!$C88,38,1))</f>
        <v/>
      </c>
      <c r="FU92" s="29" t="str">
        <f>IF(OR($B92="",$A92&lt;39),"",--MID('Key Analysis'!$C88,39,1))</f>
        <v/>
      </c>
      <c r="FV92" s="29" t="str">
        <f>IF(OR($B92="",$A92&lt;40),"",--MID('Key Analysis'!$C88,40,1))</f>
        <v/>
      </c>
      <c r="FW92" s="29" t="str">
        <f>IF(OR($B92="",$A92&lt;41),"",--MID('Key Analysis'!$C88,41,1))</f>
        <v/>
      </c>
      <c r="FX92" s="29" t="str">
        <f>IF(OR($B92="",$A92&lt;42),"",--MID('Key Analysis'!$C88,42,1))</f>
        <v/>
      </c>
      <c r="FY92" s="29" t="str">
        <f>IF(OR($B92="",$A92&lt;43),"",--MID('Key Analysis'!$C88,43,1))</f>
        <v/>
      </c>
      <c r="FZ92" s="29" t="str">
        <f>IF(OR($B92="",$A92&lt;44),"",--MID('Key Analysis'!$C88,44,1))</f>
        <v/>
      </c>
      <c r="GA92" s="29" t="str">
        <f>IF(OR($B92="",$A92&lt;45),"",--MID('Key Analysis'!$C88,45,1))</f>
        <v/>
      </c>
      <c r="GB92" s="29" t="str">
        <f>IF(OR($B92="",$A92&lt;46),"",--MID('Key Analysis'!$C88,46,1))</f>
        <v/>
      </c>
      <c r="GC92" s="29" t="str">
        <f>IF(OR($B92="",$A92&lt;47),"",--MID('Key Analysis'!$C88,47,1))</f>
        <v/>
      </c>
      <c r="GD92" s="29" t="str">
        <f>IF(OR($B92="",$A92&lt;48),"",--MID('Key Analysis'!$C88,48,1))</f>
        <v/>
      </c>
      <c r="GE92" s="29" t="str">
        <f>IF(OR($B92="",$A92&lt;49),"",--MID('Key Analysis'!$C88,49,1))</f>
        <v/>
      </c>
      <c r="GF92" s="29" t="str">
        <f>IF(OR($B92="",$A92&lt;50),"",--MID('Key Analysis'!$C88,50,1))</f>
        <v/>
      </c>
      <c r="GG92" s="29" t="str">
        <f>IF(OR($B92="",$A92&lt;51),"",--MID('Key Analysis'!$C88,51,1))</f>
        <v/>
      </c>
      <c r="GH92" s="29" t="str">
        <f>IF(OR($B92="",$A92&lt;52),"",--MID('Key Analysis'!$C88,52,1))</f>
        <v/>
      </c>
      <c r="GI92" s="29" t="str">
        <f>IF(OR($B92="",$A92&lt;53),"",--MID('Key Analysis'!$C88,53,1))</f>
        <v/>
      </c>
      <c r="GJ92" s="29" t="str">
        <f>IF(OR($B92="",$A92&lt;54),"",--MID('Key Analysis'!$C88,54,1))</f>
        <v/>
      </c>
      <c r="GK92" s="29" t="str">
        <f>IF(OR($B92="",$A92&lt;55),"",--MID('Key Analysis'!$C88,55,1))</f>
        <v/>
      </c>
      <c r="GL92" s="29" t="str">
        <f>IF(OR($B92="",$A92&lt;56),"",--MID('Key Analysis'!$C88,56,1))</f>
        <v/>
      </c>
      <c r="GM92" s="29" t="str">
        <f>IF(OR($B92="",$A92&lt;57),"",--MID('Key Analysis'!$C88,57,1))</f>
        <v/>
      </c>
      <c r="GN92" s="29" t="str">
        <f>IF(OR($B92="",$A92&lt;58),"",--MID('Key Analysis'!$C88,58,1))</f>
        <v/>
      </c>
      <c r="GO92" s="29" t="str">
        <f>IF(OR($B92="",$A92&lt;59),"",--MID('Key Analysis'!$C88,59,1))</f>
        <v/>
      </c>
      <c r="GP92" s="29" t="str">
        <f>IF(OR($B92="",$A92&lt;60),"",--MID('Key Analysis'!$C88,60,1))</f>
        <v/>
      </c>
      <c r="GQ92" s="29" t="str">
        <f>IF(OR($B92="",$A92&lt;61),"",--MID('Key Analysis'!$C88,61,1))</f>
        <v/>
      </c>
      <c r="GR92" s="29" t="str">
        <f>IF(OR($B92="",$A92&lt;62),"",--MID('Key Analysis'!$C88,62,1))</f>
        <v/>
      </c>
      <c r="GS92" s="29" t="str">
        <f>IF(OR($B92="",$A92&lt;63),"",--MID('Key Analysis'!$C88,63,1))</f>
        <v/>
      </c>
      <c r="GT92" s="29" t="str">
        <f>IF(OR($B92="",$A92&lt;64),"",--MID('Key Analysis'!$C88,64,1))</f>
        <v/>
      </c>
      <c r="GU92" s="29" t="str">
        <f>IF(OR($B92="",$A92&lt;65),"",--MID('Key Analysis'!$C88,65,1))</f>
        <v/>
      </c>
      <c r="GV92" s="29" t="str">
        <f>IF(OR($B92="",$A92&lt;66),"",--MID('Key Analysis'!$C88,66,1))</f>
        <v/>
      </c>
      <c r="GW92" s="29" t="str">
        <f>IF(OR($B92="",$A92&lt;67),"",--MID('Key Analysis'!$C88,67,1))</f>
        <v/>
      </c>
      <c r="GX92" s="29" t="str">
        <f>IF(OR($B92="",$A92&lt;68),"",--MID('Key Analysis'!$C88,68,1))</f>
        <v/>
      </c>
      <c r="GY92" s="29" t="str">
        <f>IF(OR($B92="",$A92&lt;69),"",--MID('Key Analysis'!$C88,69,1))</f>
        <v/>
      </c>
      <c r="GZ92" s="29" t="str">
        <f>IF(OR($B92="",$A92&lt;70),"",--MID('Key Analysis'!$C88,70,1))</f>
        <v/>
      </c>
      <c r="HA92" s="29" t="str">
        <f>IF(OR($B92="",$A92&lt;71),"",--MID('Key Analysis'!$C88,71,1))</f>
        <v/>
      </c>
      <c r="HB92" s="29" t="str">
        <f>IF(OR($B92="",$A92&lt;72),"",--MID('Key Analysis'!$C88,72,1))</f>
        <v/>
      </c>
      <c r="HC92" s="29" t="str">
        <f>IF(OR($B92="",$A92&lt;73),"",--MID('Key Analysis'!$C88,73,1))</f>
        <v/>
      </c>
      <c r="HD92" s="29" t="str">
        <f>IF(OR($B92="",$A92&lt;74),"",--MID('Key Analysis'!$C88,74,1))</f>
        <v/>
      </c>
      <c r="HE92" s="29" t="str">
        <f>IF(OR($B92="",$A92&lt;75),"",--MID('Key Analysis'!$C88,75,1))</f>
        <v/>
      </c>
      <c r="HF92" s="29" t="str">
        <f>IF(OR($B92="",$A92&lt;76),"",--MID('Key Analysis'!$C88,76,1))</f>
        <v/>
      </c>
      <c r="HG92" s="29" t="str">
        <f>IF(OR($B92="",$A92&lt;77),"",--MID('Key Analysis'!$C88,77,1))</f>
        <v/>
      </c>
      <c r="HH92" s="29" t="str">
        <f>IF(OR($B92="",$A92&lt;78),"",--MID('Key Analysis'!$C88,78,1))</f>
        <v/>
      </c>
      <c r="HI92" s="29" t="str">
        <f>IF(OR($B92="",$A92&lt;79),"",--MID('Key Analysis'!$C88,79,1))</f>
        <v/>
      </c>
      <c r="HJ92" s="29" t="str">
        <f>IF(OR($B92="",$A92&lt;80),"",--MID('Key Analysis'!$C88,80,1))</f>
        <v/>
      </c>
      <c r="HK92" s="29" t="str">
        <f>IF(OR($B92="",$A92&lt;81),"",--MID('Key Analysis'!$C88,81,1))</f>
        <v/>
      </c>
      <c r="HL92" s="29" t="str">
        <f>IF(OR($B92="",$A92&lt;82),"",--MID('Key Analysis'!$C88,82,1))</f>
        <v/>
      </c>
      <c r="HM92" s="29" t="str">
        <f>IF(OR($B92="",$A92&lt;83),"",--MID('Key Analysis'!$C88,83,1))</f>
        <v/>
      </c>
      <c r="HN92" s="29" t="str">
        <f>IF(OR($B92="",$A92&lt;84),"",--MID('Key Analysis'!$C88,84,1))</f>
        <v/>
      </c>
      <c r="HO92" s="29" t="str">
        <f>IF(OR($B92="",$A92&lt;85),"",--MID('Key Analysis'!$C88,85,1))</f>
        <v/>
      </c>
      <c r="HP92" s="29" t="str">
        <f>IF(OR($B92="",$A92&lt;86),"",--MID('Key Analysis'!$C88,86,1))</f>
        <v/>
      </c>
      <c r="HQ92" s="29" t="str">
        <f>IF(OR($B92="",$A92&lt;87),"",--MID('Key Analysis'!$C88,87,1))</f>
        <v/>
      </c>
      <c r="HR92" s="29" t="str">
        <f>IF(OR($B92="",$A92&lt;88),"",--MID('Key Analysis'!$C88,88,1))</f>
        <v/>
      </c>
      <c r="HS92" s="29" t="str">
        <f>IF(OR($B92="",$A92&lt;89),"",--MID('Key Analysis'!$C88,89,1))</f>
        <v/>
      </c>
      <c r="HT92" s="29" t="str">
        <f>IF(OR($B92="",$A92&lt;90),"",--MID('Key Analysis'!$C88,90,1))</f>
        <v/>
      </c>
      <c r="HU92" s="29" t="str">
        <f>IF(OR($B92="",$A92&lt;91),"",--MID('Key Analysis'!$C88,91,1))</f>
        <v/>
      </c>
      <c r="HV92" s="29" t="str">
        <f>IF(OR($B92="",$A92&lt;92),"",--MID('Key Analysis'!$C88,92,1))</f>
        <v/>
      </c>
      <c r="HW92" s="29" t="str">
        <f>IF(OR($B92="",$A92&lt;93),"",--MID('Key Analysis'!$C88,93,1))</f>
        <v/>
      </c>
      <c r="HX92" s="29" t="str">
        <f>IF(OR($B92="",$A92&lt;94),"",--MID('Key Analysis'!$C88,94,1))</f>
        <v/>
      </c>
      <c r="HY92" s="29" t="str">
        <f>IF(OR($B92="",$A92&lt;95),"",--MID('Key Analysis'!$C88,95,1))</f>
        <v/>
      </c>
      <c r="HZ92" s="29" t="str">
        <f>IF(OR($B92="",$A92&lt;96),"",--MID('Key Analysis'!$C88,96,1))</f>
        <v/>
      </c>
      <c r="IA92" s="29" t="str">
        <f>IF(OR($B92="",$A92&lt;97),"",--MID('Key Analysis'!$C88,97,1))</f>
        <v/>
      </c>
      <c r="IB92" s="29" t="str">
        <f>IF(OR($B92="",$A92&lt;98),"",--MID('Key Analysis'!$C88,98,1))</f>
        <v/>
      </c>
      <c r="IC92" s="29" t="str">
        <f>IF(OR($B92="",$A92&lt;99),"",--MID('Key Analysis'!$C88,99,1))</f>
        <v/>
      </c>
      <c r="ID92" s="29" t="str">
        <f>IF(OR($B92="",$A92&lt;100),"",--MID('Key Analysis'!$C88,100,1))</f>
        <v/>
      </c>
      <c r="IE92" s="29" t="str">
        <f>IF(OR($B92="",$A92&lt;101),"",--MID('Key Analysis'!$C88,101,1))</f>
        <v/>
      </c>
      <c r="IF92" s="29" t="str">
        <f>IF(OR($B92="",$A92&lt;102),"",--MID('Key Analysis'!$C88,102,1))</f>
        <v/>
      </c>
      <c r="IG92" s="29" t="str">
        <f>IF(OR($B92="",$A92&lt;103),"",--MID('Key Analysis'!$C88,103,1))</f>
        <v/>
      </c>
      <c r="IH92" s="29" t="str">
        <f>IF(OR($B92="",$A92&lt;104),"",--MID('Key Analysis'!$C88,104,1))</f>
        <v/>
      </c>
      <c r="II92" s="29" t="str">
        <f>IF(OR($B92="",$A92&lt;105),"",--MID('Key Analysis'!$C88,105,1))</f>
        <v/>
      </c>
      <c r="IJ92" s="29" t="str">
        <f>IF(OR($B92="",$A92&lt;106),"",--MID('Key Analysis'!$C88,106,1))</f>
        <v/>
      </c>
      <c r="IK92" s="29" t="str">
        <f>IF(OR($B92="",$A92&lt;107),"",--MID('Key Analysis'!$C88,107,1))</f>
        <v/>
      </c>
      <c r="IL92" s="29" t="str">
        <f>IF(OR($B92="",$A92&lt;108),"",--MID('Key Analysis'!$C88,108,1))</f>
        <v/>
      </c>
      <c r="IM92" s="29" t="str">
        <f>IF(OR($B92="",$A92&lt;109),"",--MID('Key Analysis'!$C88,109,1))</f>
        <v/>
      </c>
      <c r="IN92" s="29" t="str">
        <f>IF(OR($B92="",$A92&lt;110),"",--MID('Key Analysis'!$C88,110,1))</f>
        <v/>
      </c>
      <c r="IO92" s="29" t="str">
        <f>IF(OR($B92="",$A92&lt;111),"",--MID('Key Analysis'!$C88,111,1))</f>
        <v/>
      </c>
      <c r="IP92" s="29" t="str">
        <f>IF(OR($B92="",$A92&lt;112),"",--MID('Key Analysis'!$C88,112,1))</f>
        <v/>
      </c>
      <c r="IQ92" s="29" t="str">
        <f>IF(OR($B92="",$A92&lt;113),"",--MID('Key Analysis'!$C88,113,1))</f>
        <v/>
      </c>
      <c r="IR92" s="29" t="str">
        <f>IF(OR($B92="",$A92&lt;114),"",--MID('Key Analysis'!$C88,114,1))</f>
        <v/>
      </c>
      <c r="IS92" s="29" t="str">
        <f>IF(OR($B92="",$A92&lt;115),"",--MID('Key Analysis'!$C88,115,1))</f>
        <v/>
      </c>
      <c r="IT92" s="29" t="str">
        <f>IF(OR($B92="",$A92&lt;116),"",--MID('Key Analysis'!$C88,116,1))</f>
        <v/>
      </c>
      <c r="IU92" s="29" t="str">
        <f>IF(OR($B92="",$A92&lt;117),"",--MID('Key Analysis'!$C88,117,1))</f>
        <v/>
      </c>
      <c r="IV92" s="29" t="str">
        <f>IF(OR($B92="",$A92&lt;118),"",--MID('Key Analysis'!$C88,118,1))</f>
        <v/>
      </c>
      <c r="IW92" s="29" t="str">
        <f>IF(OR($B92="",$A92&lt;119),"",--MID('Key Analysis'!$C88,119,1))</f>
        <v/>
      </c>
      <c r="IX92" s="29" t="str">
        <f>IF(OR($B92="",$A92&lt;120),"",--MID('Key Analysis'!$C88,120,1))</f>
        <v/>
      </c>
      <c r="IY92" s="29" t="str">
        <f>IF(OR($B92="",$A92&lt;121),"",--MID('Key Analysis'!$C88,121,1))</f>
        <v/>
      </c>
      <c r="IZ92" s="29" t="str">
        <f>IF(OR($B92="",$A92&lt;122),"",--MID('Key Analysis'!$C88,122,1))</f>
        <v/>
      </c>
      <c r="JA92" s="29" t="str">
        <f>IF(OR($B92="",$A92&lt;123),"",--MID('Key Analysis'!$C88,123,1))</f>
        <v/>
      </c>
      <c r="JB92" s="29" t="str">
        <f>IF(OR($B92="",$A92&lt;124),"",--MID('Key Analysis'!$C88,124,1))</f>
        <v/>
      </c>
      <c r="JC92" s="29" t="str">
        <f>IF(OR($B92="",$A92&lt;125),"",--MID('Key Analysis'!$C88,125,1))</f>
        <v/>
      </c>
      <c r="JD92" s="29" t="str">
        <f>IF(OR($B92="",$A92&lt;126),"",--MID('Key Analysis'!$C88,126,1))</f>
        <v/>
      </c>
      <c r="JE92" s="29" t="str">
        <f>IF(OR($B92="",$A92&lt;127),"",--MID('Key Analysis'!$C88,127,1))</f>
        <v/>
      </c>
      <c r="JF92" s="29" t="str">
        <f>IF(OR($B92="",$A92&lt;128),"",--MID('Key Analysis'!$C88,128,1))</f>
        <v/>
      </c>
      <c r="JG92" s="29" t="str">
        <f>IF(OR($B92="",$A92&lt;129),"",--MID('Key Analysis'!$C88,129,1))</f>
        <v/>
      </c>
      <c r="JH92" s="29" t="str">
        <f>IF(OR($B92="",$A92&lt;130),"",--MID('Key Analysis'!$C88,130,1))</f>
        <v/>
      </c>
      <c r="JI92" s="29" t="str">
        <f>IF(OR($B92="",$A92&lt;131),"",--MID('Key Analysis'!$C88,131,1))</f>
        <v/>
      </c>
      <c r="JJ92" s="29" t="str">
        <f>IF(OR($B92="",$A92&lt;132),"",--MID('Key Analysis'!$C88,132,1))</f>
        <v/>
      </c>
      <c r="JK92" s="29" t="str">
        <f>IF(OR($B92="",$A92&lt;133),"",--MID('Key Analysis'!$C88,133,1))</f>
        <v/>
      </c>
      <c r="JL92" s="29" t="str">
        <f>IF(OR($B92="",$A92&lt;134),"",--MID('Key Analysis'!$C88,134,1))</f>
        <v/>
      </c>
      <c r="JM92" s="29" t="str">
        <f>IF(OR($B92="",$A92&lt;135),"",--MID('Key Analysis'!$C88,135,1))</f>
        <v/>
      </c>
    </row>
    <row r="93" spans="1:273" x14ac:dyDescent="0.25">
      <c r="A93" s="21">
        <f>'Key Analysis'!A89</f>
        <v>88</v>
      </c>
      <c r="B93" s="30" t="str">
        <f>'Key Analysis'!B89</f>
        <v/>
      </c>
      <c r="C93" s="29" t="str">
        <f>IF(OR($B93="",$A93&lt;=0),"",--MID('Key Analysis'!$C89,$A93-0,1))</f>
        <v/>
      </c>
      <c r="D93" s="29" t="str">
        <f>IF(OR($B93="",$A93&lt;=1),"",--MID('Key Analysis'!$C89,$A93-1,1))</f>
        <v/>
      </c>
      <c r="E93" s="29" t="str">
        <f>IF(OR($B93="",$A93&lt;=2),"",--MID('Key Analysis'!$C89,$A93-2,1))</f>
        <v/>
      </c>
      <c r="F93" s="29" t="str">
        <f>IF(OR($B93="",$A93&lt;=3),"",--MID('Key Analysis'!$C89,$A93-3,1))</f>
        <v/>
      </c>
      <c r="G93" s="29" t="str">
        <f>IF(OR($B93="",$A93&lt;=4),"",--MID('Key Analysis'!$C89,$A93-4,1))</f>
        <v/>
      </c>
      <c r="H93" s="29" t="str">
        <f>IF(OR($B93="",$A93&lt;=5),"",--MID('Key Analysis'!$C89,$A93-5,1))</f>
        <v/>
      </c>
      <c r="I93" s="29" t="str">
        <f>IF(OR($B93="",$A93&lt;=6),"",--MID('Key Analysis'!$C89,$A93-6,1))</f>
        <v/>
      </c>
      <c r="J93" s="29" t="str">
        <f>IF(OR($B93="",$A93&lt;=7),"",--MID('Key Analysis'!$C89,$A93-7,1))</f>
        <v/>
      </c>
      <c r="K93" s="29" t="str">
        <f>IF(OR($B93="",$A93&lt;=8),"",--MID('Key Analysis'!$C89,$A93-8,1))</f>
        <v/>
      </c>
      <c r="L93" s="29" t="str">
        <f>IF(OR($B93="",$A93&lt;=9),"",--MID('Key Analysis'!$C89,$A93-9,1))</f>
        <v/>
      </c>
      <c r="M93" s="29" t="str">
        <f>IF(OR($B93="",$A93&lt;=10),"",--MID('Key Analysis'!$C89,$A93-10,1))</f>
        <v/>
      </c>
      <c r="N93" s="29" t="str">
        <f>IF(OR($B93="",$A93&lt;=11),"",--MID('Key Analysis'!$C89,$A93-11,1))</f>
        <v/>
      </c>
      <c r="O93" s="29" t="str">
        <f>IF(OR($B93="",$A93&lt;=12),"",--MID('Key Analysis'!$C89,$A93-12,1))</f>
        <v/>
      </c>
      <c r="P93" s="29" t="str">
        <f>IF(OR($B93="",$A93&lt;=13),"",--MID('Key Analysis'!$C89,$A93-13,1))</f>
        <v/>
      </c>
      <c r="Q93" s="29" t="str">
        <f>IF(OR($B93="",$A93&lt;=14),"",--MID('Key Analysis'!$C89,$A93-14,1))</f>
        <v/>
      </c>
      <c r="R93" s="29" t="str">
        <f>IF(OR($B93="",$A93&lt;=15),"",--MID('Key Analysis'!$C89,$A93-15,1))</f>
        <v/>
      </c>
      <c r="S93" s="29" t="str">
        <f>IF(OR($B93="",$A93&lt;=16),"",--MID('Key Analysis'!$C89,$A93-16,1))</f>
        <v/>
      </c>
      <c r="T93" s="29" t="str">
        <f>IF(OR($B93="",$A93&lt;=17),"",--MID('Key Analysis'!$C89,$A93-17,1))</f>
        <v/>
      </c>
      <c r="U93" s="29" t="str">
        <f>IF(OR($B93="",$A93&lt;=18),"",--MID('Key Analysis'!$C89,$A93-18,1))</f>
        <v/>
      </c>
      <c r="V93" s="29" t="str">
        <f>IF(OR($B93="",$A93&lt;=19),"",--MID('Key Analysis'!$C89,$A93-19,1))</f>
        <v/>
      </c>
      <c r="W93" s="29" t="str">
        <f>IF(OR($B93="",$A93&lt;=20),"",--MID('Key Analysis'!$C89,$A93-20,1))</f>
        <v/>
      </c>
      <c r="X93" s="29" t="str">
        <f>IF(OR($B93="",$A93&lt;=21),"",--MID('Key Analysis'!$C89,$A93-21,1))</f>
        <v/>
      </c>
      <c r="Y93" s="29" t="str">
        <f>IF(OR($B93="",$A93&lt;=22),"",--MID('Key Analysis'!$C89,$A93-22,1))</f>
        <v/>
      </c>
      <c r="Z93" s="29" t="str">
        <f>IF(OR($B93="",$A93&lt;=23),"",--MID('Key Analysis'!$C89,$A93-23,1))</f>
        <v/>
      </c>
      <c r="AA93" s="29" t="str">
        <f>IF(OR($B93="",$A93&lt;=24),"",--MID('Key Analysis'!$C89,$A93-24,1))</f>
        <v/>
      </c>
      <c r="AB93" s="29" t="str">
        <f>IF(OR($B93="",$A93&lt;=25),"",--MID('Key Analysis'!$C89,$A93-25,1))</f>
        <v/>
      </c>
      <c r="AC93" s="29" t="str">
        <f>IF(OR($B93="",$A93&lt;=26),"",--MID('Key Analysis'!$C89,$A93-26,1))</f>
        <v/>
      </c>
      <c r="AD93" s="29" t="str">
        <f>IF(OR($B93="",$A93&lt;=27),"",--MID('Key Analysis'!$C89,$A93-27,1))</f>
        <v/>
      </c>
      <c r="AE93" s="29" t="str">
        <f>IF(OR($B93="",$A93&lt;=28),"",--MID('Key Analysis'!$C89,$A93-28,1))</f>
        <v/>
      </c>
      <c r="AF93" s="29" t="str">
        <f>IF(OR($B93="",$A93&lt;=29),"",--MID('Key Analysis'!$C89,$A93-29,1))</f>
        <v/>
      </c>
      <c r="AG93" s="29" t="str">
        <f>IF(OR($B93="",$A93&lt;=30),"",--MID('Key Analysis'!$C89,$A93-30,1))</f>
        <v/>
      </c>
      <c r="AH93" s="29" t="str">
        <f>IF(OR($B93="",$A93&lt;=31),"",--MID('Key Analysis'!$C89,$A93-31,1))</f>
        <v/>
      </c>
      <c r="AI93" s="29" t="str">
        <f>IF(OR($B93="",$A93&lt;=32),"",--MID('Key Analysis'!$C89,$A93-32,1))</f>
        <v/>
      </c>
      <c r="AJ93" s="29" t="str">
        <f>IF(OR($B93="",$A93&lt;=33),"",--MID('Key Analysis'!$C89,$A93-33,1))</f>
        <v/>
      </c>
      <c r="AK93" s="29" t="str">
        <f>IF(OR($B93="",$A93&lt;=34),"",--MID('Key Analysis'!$C89,$A93-34,1))</f>
        <v/>
      </c>
      <c r="AL93" s="29" t="str">
        <f>IF(OR($B93="",$A93&lt;=35),"",--MID('Key Analysis'!$C89,$A93-35,1))</f>
        <v/>
      </c>
      <c r="AM93" s="29" t="str">
        <f>IF(OR($B93="",$A93&lt;=36),"",--MID('Key Analysis'!$C89,$A93-36,1))</f>
        <v/>
      </c>
      <c r="AN93" s="29" t="str">
        <f>IF(OR($B93="",$A93&lt;=37),"",--MID('Key Analysis'!$C89,$A93-37,1))</f>
        <v/>
      </c>
      <c r="AO93" s="29" t="str">
        <f>IF(OR($B93="",$A93&lt;=38),"",--MID('Key Analysis'!$C89,$A93-38,1))</f>
        <v/>
      </c>
      <c r="AP93" s="29" t="str">
        <f>IF(OR($B93="",$A93&lt;=39),"",--MID('Key Analysis'!$C89,$A93-39,1))</f>
        <v/>
      </c>
      <c r="AQ93" s="29" t="str">
        <f>IF(OR($B93="",$A93&lt;=40),"",--MID('Key Analysis'!$C89,$A93-40,1))</f>
        <v/>
      </c>
      <c r="AR93" s="29" t="str">
        <f>IF(OR($B93="",$A93&lt;=41),"",--MID('Key Analysis'!$C89,$A93-41,1))</f>
        <v/>
      </c>
      <c r="AS93" s="29" t="str">
        <f>IF(OR($B93="",$A93&lt;=42),"",--MID('Key Analysis'!$C89,$A93-42,1))</f>
        <v/>
      </c>
      <c r="AT93" s="29" t="str">
        <f>IF(OR($B93="",$A93&lt;=43),"",--MID('Key Analysis'!$C89,$A93-43,1))</f>
        <v/>
      </c>
      <c r="AU93" s="29" t="str">
        <f>IF(OR($B93="",$A93&lt;=44),"",--MID('Key Analysis'!$C89,$A93-44,1))</f>
        <v/>
      </c>
      <c r="AV93" s="29" t="str">
        <f>IF(OR($B93="",$A93&lt;=45),"",--MID('Key Analysis'!$C89,$A93-45,1))</f>
        <v/>
      </c>
      <c r="AW93" s="29" t="str">
        <f>IF(OR($B93="",$A93&lt;=46),"",--MID('Key Analysis'!$C89,$A93-46,1))</f>
        <v/>
      </c>
      <c r="AX93" s="29" t="str">
        <f>IF(OR($B93="",$A93&lt;=47),"",--MID('Key Analysis'!$C89,$A93-47,1))</f>
        <v/>
      </c>
      <c r="AY93" s="29" t="str">
        <f>IF(OR($B93="",$A93&lt;=48),"",--MID('Key Analysis'!$C89,$A93-48,1))</f>
        <v/>
      </c>
      <c r="AZ93" s="29" t="str">
        <f>IF(OR($B93="",$A93&lt;=49),"",--MID('Key Analysis'!$C89,$A93-49,1))</f>
        <v/>
      </c>
      <c r="BA93" s="29" t="str">
        <f>IF(OR($B93="",$A93&lt;=50),"",--MID('Key Analysis'!$C89,$A93-50,1))</f>
        <v/>
      </c>
      <c r="BB93" s="29" t="str">
        <f>IF(OR($B93="",$A93&lt;=51),"",--MID('Key Analysis'!$C89,$A93-51,1))</f>
        <v/>
      </c>
      <c r="BC93" s="29" t="str">
        <f>IF(OR($B93="",$A93&lt;=52),"",--MID('Key Analysis'!$C89,$A93-52,1))</f>
        <v/>
      </c>
      <c r="BD93" s="29" t="str">
        <f>IF(OR($B93="",$A93&lt;=53),"",--MID('Key Analysis'!$C89,$A93-53,1))</f>
        <v/>
      </c>
      <c r="BE93" s="29" t="str">
        <f>IF(OR($B93="",$A93&lt;=54),"",--MID('Key Analysis'!$C89,$A93-54,1))</f>
        <v/>
      </c>
      <c r="BF93" s="29" t="str">
        <f>IF(OR($B93="",$A93&lt;=55),"",--MID('Key Analysis'!$C89,$A93-55,1))</f>
        <v/>
      </c>
      <c r="BG93" s="29" t="str">
        <f>IF(OR($B93="",$A93&lt;=56),"",--MID('Key Analysis'!$C89,$A93-56,1))</f>
        <v/>
      </c>
      <c r="BH93" s="29" t="str">
        <f>IF(OR($B93="",$A93&lt;=57),"",--MID('Key Analysis'!$C89,$A93-57,1))</f>
        <v/>
      </c>
      <c r="BI93" s="29" t="str">
        <f>IF(OR($B93="",$A93&lt;=58),"",--MID('Key Analysis'!$C89,$A93-58,1))</f>
        <v/>
      </c>
      <c r="BJ93" s="29" t="str">
        <f>IF(OR($B93="",$A93&lt;=59),"",--MID('Key Analysis'!$C89,$A93-59,1))</f>
        <v/>
      </c>
      <c r="BK93" s="29" t="str">
        <f>IF(OR($B93="",$A93&lt;=60),"",--MID('Key Analysis'!$C89,$A93-60,1))</f>
        <v/>
      </c>
      <c r="BL93" s="29" t="str">
        <f>IF(OR($B93="",$A93&lt;=61),"",--MID('Key Analysis'!$C89,$A93-61,1))</f>
        <v/>
      </c>
      <c r="BM93" s="29" t="str">
        <f>IF(OR($B93="",$A93&lt;=62),"",--MID('Key Analysis'!$C89,$A93-62,1))</f>
        <v/>
      </c>
      <c r="BN93" s="29" t="str">
        <f>IF(OR($B93="",$A93&lt;=63),"",--MID('Key Analysis'!$C89,$A93-63,1))</f>
        <v/>
      </c>
      <c r="BO93" s="29" t="str">
        <f>IF(OR($B93="",$A93&lt;=64),"",--MID('Key Analysis'!$C89,$A93-64,1))</f>
        <v/>
      </c>
      <c r="BP93" s="29" t="str">
        <f>IF(OR($B93="",$A93&lt;=65),"",--MID('Key Analysis'!$C89,$A93-65,1))</f>
        <v/>
      </c>
      <c r="BQ93" s="29" t="str">
        <f>IF(OR($B93="",$A93&lt;=66),"",--MID('Key Analysis'!$C89,$A93-66,1))</f>
        <v/>
      </c>
      <c r="BR93" s="29" t="str">
        <f>IF(OR($B93="",$A93&lt;=67),"",--MID('Key Analysis'!$C89,$A93-67,1))</f>
        <v/>
      </c>
      <c r="BS93" s="29" t="str">
        <f>IF(OR($B93="",$A93&lt;=68),"",--MID('Key Analysis'!$C89,$A93-68,1))</f>
        <v/>
      </c>
      <c r="BT93" s="29" t="str">
        <f>IF(OR($B93="",$A93&lt;=69),"",--MID('Key Analysis'!$C89,$A93-69,1))</f>
        <v/>
      </c>
      <c r="BU93" s="29" t="str">
        <f>IF(OR($B93="",$A93&lt;=70),"",--MID('Key Analysis'!$C89,$A93-70,1))</f>
        <v/>
      </c>
      <c r="BV93" s="29" t="str">
        <f>IF(OR($B93="",$A93&lt;=71),"",--MID('Key Analysis'!$C89,$A93-71,1))</f>
        <v/>
      </c>
      <c r="BW93" s="29" t="str">
        <f>IF(OR($B93="",$A93&lt;=72),"",--MID('Key Analysis'!$C89,$A93-72,1))</f>
        <v/>
      </c>
      <c r="BX93" s="29" t="str">
        <f>IF(OR($B93="",$A93&lt;=73),"",--MID('Key Analysis'!$C89,$A93-73,1))</f>
        <v/>
      </c>
      <c r="BY93" s="29" t="str">
        <f>IF(OR($B93="",$A93&lt;=74),"",--MID('Key Analysis'!$C89,$A93-74,1))</f>
        <v/>
      </c>
      <c r="BZ93" s="29" t="str">
        <f>IF(OR($B93="",$A93&lt;=75),"",--MID('Key Analysis'!$C89,$A93-75,1))</f>
        <v/>
      </c>
      <c r="CA93" s="29" t="str">
        <f>IF(OR($B93="",$A93&lt;=76),"",--MID('Key Analysis'!$C89,$A93-76,1))</f>
        <v/>
      </c>
      <c r="CB93" s="29" t="str">
        <f>IF(OR($B93="",$A93&lt;=77),"",--MID('Key Analysis'!$C89,$A93-77,1))</f>
        <v/>
      </c>
      <c r="CC93" s="29" t="str">
        <f>IF(OR($B93="",$A93&lt;=78),"",--MID('Key Analysis'!$C89,$A93-78,1))</f>
        <v/>
      </c>
      <c r="CD93" s="29" t="str">
        <f>IF(OR($B93="",$A93&lt;=79),"",--MID('Key Analysis'!$C89,$A93-79,1))</f>
        <v/>
      </c>
      <c r="CE93" s="29" t="str">
        <f>IF(OR($B93="",$A93&lt;=80),"",--MID('Key Analysis'!$C89,$A93-80,1))</f>
        <v/>
      </c>
      <c r="CF93" s="29" t="str">
        <f>IF(OR($B93="",$A93&lt;=81),"",--MID('Key Analysis'!$C89,$A93-81,1))</f>
        <v/>
      </c>
      <c r="CG93" s="29" t="str">
        <f>IF(OR($B93="",$A93&lt;=82),"",--MID('Key Analysis'!$C89,$A93-82,1))</f>
        <v/>
      </c>
      <c r="CH93" s="29" t="str">
        <f>IF(OR($B93="",$A93&lt;=83),"",--MID('Key Analysis'!$C89,$A93-83,1))</f>
        <v/>
      </c>
      <c r="CI93" s="29" t="str">
        <f>IF(OR($B93="",$A93&lt;=84),"",--MID('Key Analysis'!$C89,$A93-84,1))</f>
        <v/>
      </c>
      <c r="CJ93" s="29" t="str">
        <f>IF(OR($B93="",$A93&lt;=85),"",--MID('Key Analysis'!$C89,$A93-85,1))</f>
        <v/>
      </c>
      <c r="CK93" s="29" t="str">
        <f>IF(OR($B93="",$A93&lt;=86),"",--MID('Key Analysis'!$C89,$A93-86,1))</f>
        <v/>
      </c>
      <c r="CL93" s="29" t="str">
        <f>IF(OR($B93="",$A93&lt;=87),"",--MID('Key Analysis'!$C89,$A93-87,1))</f>
        <v/>
      </c>
      <c r="CM93" s="29" t="str">
        <f>IF(OR($B93="",$A93&lt;=88),"",--MID('Key Analysis'!$C89,$A93-88,1))</f>
        <v/>
      </c>
      <c r="CN93" s="29" t="str">
        <f>IF(OR($B93="",$A93&lt;=89),"",--MID('Key Analysis'!$C89,$A93-89,1))</f>
        <v/>
      </c>
      <c r="CO93" s="29" t="str">
        <f>IF(OR($B93="",$A93&lt;=90),"",--MID('Key Analysis'!$C89,$A93-90,1))</f>
        <v/>
      </c>
      <c r="CP93" s="29" t="str">
        <f>IF(OR($B93="",$A93&lt;=91),"",--MID('Key Analysis'!$C89,$A93-91,1))</f>
        <v/>
      </c>
      <c r="CQ93" s="29" t="str">
        <f>IF(OR($B93="",$A93&lt;=92),"",--MID('Key Analysis'!$C89,$A93-92,1))</f>
        <v/>
      </c>
      <c r="CR93" s="29" t="str">
        <f>IF(OR($B93="",$A93&lt;=93),"",--MID('Key Analysis'!$C89,$A93-93,1))</f>
        <v/>
      </c>
      <c r="CS93" s="29" t="str">
        <f>IF(OR($B93="",$A93&lt;=94),"",--MID('Key Analysis'!$C89,$A93-94,1))</f>
        <v/>
      </c>
      <c r="CT93" s="29" t="str">
        <f>IF(OR($B93="",$A93&lt;=95),"",--MID('Key Analysis'!$C89,$A93-95,1))</f>
        <v/>
      </c>
      <c r="CU93" s="29" t="str">
        <f>IF(OR($B93="",$A93&lt;=96),"",--MID('Key Analysis'!$C89,$A93-96,1))</f>
        <v/>
      </c>
      <c r="CV93" s="29" t="str">
        <f>IF(OR($B93="",$A93&lt;=97),"",--MID('Key Analysis'!$C89,$A93-97,1))</f>
        <v/>
      </c>
      <c r="CW93" s="29" t="str">
        <f>IF(OR($B93="",$A93&lt;=98),"",--MID('Key Analysis'!$C89,$A93-98,1))</f>
        <v/>
      </c>
      <c r="CX93" s="29" t="str">
        <f>IF(OR($B93="",$A93&lt;=99),"",--MID('Key Analysis'!$C89,$A93-99,1))</f>
        <v/>
      </c>
      <c r="CY93" s="29" t="str">
        <f>IF(OR($B93="",$A93&lt;=100),"",--MID('Key Analysis'!$C89,$A93-100,1))</f>
        <v/>
      </c>
      <c r="CZ93" s="29" t="str">
        <f>IF(OR($B93="",$A93&lt;=101),"",--MID('Key Analysis'!$C89,$A93-101,1))</f>
        <v/>
      </c>
      <c r="DA93" s="29" t="str">
        <f>IF(OR($B93="",$A93&lt;=102),"",--MID('Key Analysis'!$C89,$A93-102,1))</f>
        <v/>
      </c>
      <c r="DB93" s="29" t="str">
        <f>IF(OR($B93="",$A93&lt;=103),"",--MID('Key Analysis'!$C89,$A93-103,1))</f>
        <v/>
      </c>
      <c r="DC93" s="29" t="str">
        <f>IF(OR($B93="",$A93&lt;=104),"",--MID('Key Analysis'!$C89,$A93-104,1))</f>
        <v/>
      </c>
      <c r="DD93" s="29" t="str">
        <f>IF(OR($B93="",$A93&lt;=105),"",--MID('Key Analysis'!$C89,$A93-105,1))</f>
        <v/>
      </c>
      <c r="DE93" s="29" t="str">
        <f>IF(OR($B93="",$A93&lt;=106),"",--MID('Key Analysis'!$C89,$A93-106,1))</f>
        <v/>
      </c>
      <c r="DF93" s="29" t="str">
        <f>IF(OR($B93="",$A93&lt;=107),"",--MID('Key Analysis'!$C89,$A93-107,1))</f>
        <v/>
      </c>
      <c r="DG93" s="29" t="str">
        <f>IF(OR($B93="",$A93&lt;=108),"",--MID('Key Analysis'!$C89,$A93-108,1))</f>
        <v/>
      </c>
      <c r="DH93" s="29" t="str">
        <f>IF(OR($B93="",$A93&lt;=109),"",--MID('Key Analysis'!$C89,$A93-109,1))</f>
        <v/>
      </c>
      <c r="DI93" s="29" t="str">
        <f>IF(OR($B93="",$A93&lt;=110),"",--MID('Key Analysis'!$C89,$A93-110,1))</f>
        <v/>
      </c>
      <c r="DJ93" s="29" t="str">
        <f>IF(OR($B93="",$A93&lt;=111),"",--MID('Key Analysis'!$C89,$A93-111,1))</f>
        <v/>
      </c>
      <c r="DK93" s="29" t="str">
        <f>IF(OR($B93="",$A93&lt;=112),"",--MID('Key Analysis'!$C89,$A93-112,1))</f>
        <v/>
      </c>
      <c r="DL93" s="29" t="str">
        <f>IF(OR($B93="",$A93&lt;=113),"",--MID('Key Analysis'!$C89,$A93-113,1))</f>
        <v/>
      </c>
      <c r="DM93" s="29" t="str">
        <f>IF(OR($B93="",$A93&lt;=114),"",--MID('Key Analysis'!$C89,$A93-114,1))</f>
        <v/>
      </c>
      <c r="DN93" s="29" t="str">
        <f>IF(OR($B93="",$A93&lt;=115),"",--MID('Key Analysis'!$C89,$A93-115,1))</f>
        <v/>
      </c>
      <c r="DO93" s="29" t="str">
        <f>IF(OR($B93="",$A93&lt;=116),"",--MID('Key Analysis'!$C89,$A93-116,1))</f>
        <v/>
      </c>
      <c r="DP93" s="29" t="str">
        <f>IF(OR($B93="",$A93&lt;=117),"",--MID('Key Analysis'!$C89,$A93-117,1))</f>
        <v/>
      </c>
      <c r="DQ93" s="29" t="str">
        <f>IF(OR($B93="",$A93&lt;=118),"",--MID('Key Analysis'!$C89,$A93-118,1))</f>
        <v/>
      </c>
      <c r="DR93" s="29" t="str">
        <f>IF(OR($B93="",$A93&lt;=119),"",--MID('Key Analysis'!$C89,$A93-119,1))</f>
        <v/>
      </c>
      <c r="DS93" s="29" t="str">
        <f>IF(OR($B93="",$A93&lt;=120),"",--MID('Key Analysis'!$C89,$A93-120,1))</f>
        <v/>
      </c>
      <c r="DT93" s="29" t="str">
        <f>IF(OR($B93="",$A93&lt;=121),"",--MID('Key Analysis'!$C89,$A93-121,1))</f>
        <v/>
      </c>
      <c r="DU93" s="29" t="str">
        <f>IF(OR($B93="",$A93&lt;=122),"",--MID('Key Analysis'!$C89,$A93-122,1))</f>
        <v/>
      </c>
      <c r="DV93" s="29" t="str">
        <f>IF(OR($B93="",$A93&lt;=123),"",--MID('Key Analysis'!$C89,$A93-123,1))</f>
        <v/>
      </c>
      <c r="DW93" s="29" t="str">
        <f>IF(OR($B93="",$A93&lt;=124),"",--MID('Key Analysis'!$C89,$A93-124,1))</f>
        <v/>
      </c>
      <c r="DX93" s="29" t="str">
        <f>IF(OR($B93="",$A93&lt;=125),"",--MID('Key Analysis'!$C89,$A93-125,1))</f>
        <v/>
      </c>
      <c r="DY93" s="29" t="str">
        <f>IF(OR($B93="",$A93&lt;=126),"",--MID('Key Analysis'!$C89,$A93-126,1))</f>
        <v/>
      </c>
      <c r="DZ93" s="29" t="str">
        <f>IF(OR($B93="",$A93&lt;=127),"",--MID('Key Analysis'!$C89,$A93-127,1))</f>
        <v/>
      </c>
      <c r="EA93" s="29" t="str">
        <f>IF(OR($B93="",$A93&lt;=128),"",--MID('Key Analysis'!$C89,$A93-128,1))</f>
        <v/>
      </c>
      <c r="EB93" s="29" t="str">
        <f>IF(OR($B93="",$A93&lt;=129),"",--MID('Key Analysis'!$C89,$A93-129,1))</f>
        <v/>
      </c>
      <c r="EC93" s="29" t="str">
        <f>IF(OR($B93="",$A93&lt;=130),"",--MID('Key Analysis'!$C89,$A93-130,1))</f>
        <v/>
      </c>
      <c r="ED93" s="29" t="str">
        <f>IF(OR($B93="",$A93&lt;=131),"",--MID('Key Analysis'!$C89,$A93-131,1))</f>
        <v/>
      </c>
      <c r="EE93" s="29" t="str">
        <f>IF(OR($B93="",$A93&lt;=132),"",--MID('Key Analysis'!$C89,$A93-132,1))</f>
        <v/>
      </c>
      <c r="EF93" s="29" t="str">
        <f>IF(OR($B93="",$A93&lt;=133),"",--MID('Key Analysis'!$C89,$A93-133,1))</f>
        <v/>
      </c>
      <c r="EG93" s="29" t="str">
        <f>IF(OR($B93="",$A93&lt;=134),"",--MID('Key Analysis'!$C89,$A93-134,1))</f>
        <v/>
      </c>
      <c r="EH93" s="29"/>
      <c r="EI93" s="29" t="str">
        <f>IF(OR($B93="",$A93&lt;1),"",--MID('Key Analysis'!$C89,1,1))</f>
        <v/>
      </c>
      <c r="EJ93" s="29" t="str">
        <f>IF(OR($B93="",$A93&lt;2),"",--MID('Key Analysis'!$C89,2,1))</f>
        <v/>
      </c>
      <c r="EK93" s="29" t="str">
        <f>IF(OR($B93="",$A93&lt;3),"",--MID('Key Analysis'!$C89,3,1))</f>
        <v/>
      </c>
      <c r="EL93" s="29" t="str">
        <f>IF(OR($B93="",$A93&lt;4),"",--MID('Key Analysis'!$C89,4,1))</f>
        <v/>
      </c>
      <c r="EM93" s="29" t="str">
        <f>IF(OR($B93="",$A93&lt;5),"",--MID('Key Analysis'!$C89,5,1))</f>
        <v/>
      </c>
      <c r="EN93" s="29" t="str">
        <f>IF(OR($B93="",$A93&lt;6),"",--MID('Key Analysis'!$C89,6,1))</f>
        <v/>
      </c>
      <c r="EO93" s="29" t="str">
        <f>IF(OR($B93="",$A93&lt;7),"",--MID('Key Analysis'!$C89,7,1))</f>
        <v/>
      </c>
      <c r="EP93" s="29" t="str">
        <f>IF(OR($B93="",$A93&lt;8),"",--MID('Key Analysis'!$C89,8,1))</f>
        <v/>
      </c>
      <c r="EQ93" s="29" t="str">
        <f>IF(OR($B93="",$A93&lt;9),"",--MID('Key Analysis'!$C89,9,1))</f>
        <v/>
      </c>
      <c r="ER93" s="29" t="str">
        <f>IF(OR($B93="",$A93&lt;10),"",--MID('Key Analysis'!$C89,10,1))</f>
        <v/>
      </c>
      <c r="ES93" s="29" t="str">
        <f>IF(OR($B93="",$A93&lt;11),"",--MID('Key Analysis'!$C89,11,1))</f>
        <v/>
      </c>
      <c r="ET93" s="29" t="str">
        <f>IF(OR($B93="",$A93&lt;12),"",--MID('Key Analysis'!$C89,12,1))</f>
        <v/>
      </c>
      <c r="EU93" s="29" t="str">
        <f>IF(OR($B93="",$A93&lt;13),"",--MID('Key Analysis'!$C89,13,1))</f>
        <v/>
      </c>
      <c r="EV93" s="29" t="str">
        <f>IF(OR($B93="",$A93&lt;14),"",--MID('Key Analysis'!$C89,14,1))</f>
        <v/>
      </c>
      <c r="EW93" s="29" t="str">
        <f>IF(OR($B93="",$A93&lt;15),"",--MID('Key Analysis'!$C89,15,1))</f>
        <v/>
      </c>
      <c r="EX93" s="29" t="str">
        <f>IF(OR($B93="",$A93&lt;16),"",--MID('Key Analysis'!$C89,16,1))</f>
        <v/>
      </c>
      <c r="EY93" s="29" t="str">
        <f>IF(OR($B93="",$A93&lt;17),"",--MID('Key Analysis'!$C89,17,1))</f>
        <v/>
      </c>
      <c r="EZ93" s="29" t="str">
        <f>IF(OR($B93="",$A93&lt;18),"",--MID('Key Analysis'!$C89,18,1))</f>
        <v/>
      </c>
      <c r="FA93" s="29" t="str">
        <f>IF(OR($B93="",$A93&lt;19),"",--MID('Key Analysis'!$C89,19,1))</f>
        <v/>
      </c>
      <c r="FB93" s="29" t="str">
        <f>IF(OR($B93="",$A93&lt;20),"",--MID('Key Analysis'!$C89,20,1))</f>
        <v/>
      </c>
      <c r="FC93" s="29" t="str">
        <f>IF(OR($B93="",$A93&lt;21),"",--MID('Key Analysis'!$C89,21,1))</f>
        <v/>
      </c>
      <c r="FD93" s="29" t="str">
        <f>IF(OR($B93="",$A93&lt;22),"",--MID('Key Analysis'!$C89,22,1))</f>
        <v/>
      </c>
      <c r="FE93" s="29" t="str">
        <f>IF(OR($B93="",$A93&lt;23),"",--MID('Key Analysis'!$C89,23,1))</f>
        <v/>
      </c>
      <c r="FF93" s="29" t="str">
        <f>IF(OR($B93="",$A93&lt;24),"",--MID('Key Analysis'!$C89,24,1))</f>
        <v/>
      </c>
      <c r="FG93" s="29" t="str">
        <f>IF(OR($B93="",$A93&lt;25),"",--MID('Key Analysis'!$C89,25,1))</f>
        <v/>
      </c>
      <c r="FH93" s="29" t="str">
        <f>IF(OR($B93="",$A93&lt;26),"",--MID('Key Analysis'!$C89,26,1))</f>
        <v/>
      </c>
      <c r="FI93" s="29" t="str">
        <f>IF(OR($B93="",$A93&lt;27),"",--MID('Key Analysis'!$C89,27,1))</f>
        <v/>
      </c>
      <c r="FJ93" s="29" t="str">
        <f>IF(OR($B93="",$A93&lt;28),"",--MID('Key Analysis'!$C89,28,1))</f>
        <v/>
      </c>
      <c r="FK93" s="29" t="str">
        <f>IF(OR($B93="",$A93&lt;29),"",--MID('Key Analysis'!$C89,29,1))</f>
        <v/>
      </c>
      <c r="FL93" s="29" t="str">
        <f>IF(OR($B93="",$A93&lt;30),"",--MID('Key Analysis'!$C89,30,1))</f>
        <v/>
      </c>
      <c r="FM93" s="29" t="str">
        <f>IF(OR($B93="",$A93&lt;31),"",--MID('Key Analysis'!$C89,31,1))</f>
        <v/>
      </c>
      <c r="FN93" s="29" t="str">
        <f>IF(OR($B93="",$A93&lt;32),"",--MID('Key Analysis'!$C89,32,1))</f>
        <v/>
      </c>
      <c r="FO93" s="29" t="str">
        <f>IF(OR($B93="",$A93&lt;33),"",--MID('Key Analysis'!$C89,33,1))</f>
        <v/>
      </c>
      <c r="FP93" s="29" t="str">
        <f>IF(OR($B93="",$A93&lt;34),"",--MID('Key Analysis'!$C89,34,1))</f>
        <v/>
      </c>
      <c r="FQ93" s="29" t="str">
        <f>IF(OR($B93="",$A93&lt;35),"",--MID('Key Analysis'!$C89,35,1))</f>
        <v/>
      </c>
      <c r="FR93" s="29" t="str">
        <f>IF(OR($B93="",$A93&lt;36),"",--MID('Key Analysis'!$C89,36,1))</f>
        <v/>
      </c>
      <c r="FS93" s="29" t="str">
        <f>IF(OR($B93="",$A93&lt;37),"",--MID('Key Analysis'!$C89,37,1))</f>
        <v/>
      </c>
      <c r="FT93" s="29" t="str">
        <f>IF(OR($B93="",$A93&lt;38),"",--MID('Key Analysis'!$C89,38,1))</f>
        <v/>
      </c>
      <c r="FU93" s="29" t="str">
        <f>IF(OR($B93="",$A93&lt;39),"",--MID('Key Analysis'!$C89,39,1))</f>
        <v/>
      </c>
      <c r="FV93" s="29" t="str">
        <f>IF(OR($B93="",$A93&lt;40),"",--MID('Key Analysis'!$C89,40,1))</f>
        <v/>
      </c>
      <c r="FW93" s="29" t="str">
        <f>IF(OR($B93="",$A93&lt;41),"",--MID('Key Analysis'!$C89,41,1))</f>
        <v/>
      </c>
      <c r="FX93" s="29" t="str">
        <f>IF(OR($B93="",$A93&lt;42),"",--MID('Key Analysis'!$C89,42,1))</f>
        <v/>
      </c>
      <c r="FY93" s="29" t="str">
        <f>IF(OR($B93="",$A93&lt;43),"",--MID('Key Analysis'!$C89,43,1))</f>
        <v/>
      </c>
      <c r="FZ93" s="29" t="str">
        <f>IF(OR($B93="",$A93&lt;44),"",--MID('Key Analysis'!$C89,44,1))</f>
        <v/>
      </c>
      <c r="GA93" s="29" t="str">
        <f>IF(OR($B93="",$A93&lt;45),"",--MID('Key Analysis'!$C89,45,1))</f>
        <v/>
      </c>
      <c r="GB93" s="29" t="str">
        <f>IF(OR($B93="",$A93&lt;46),"",--MID('Key Analysis'!$C89,46,1))</f>
        <v/>
      </c>
      <c r="GC93" s="29" t="str">
        <f>IF(OR($B93="",$A93&lt;47),"",--MID('Key Analysis'!$C89,47,1))</f>
        <v/>
      </c>
      <c r="GD93" s="29" t="str">
        <f>IF(OR($B93="",$A93&lt;48),"",--MID('Key Analysis'!$C89,48,1))</f>
        <v/>
      </c>
      <c r="GE93" s="29" t="str">
        <f>IF(OR($B93="",$A93&lt;49),"",--MID('Key Analysis'!$C89,49,1))</f>
        <v/>
      </c>
      <c r="GF93" s="29" t="str">
        <f>IF(OR($B93="",$A93&lt;50),"",--MID('Key Analysis'!$C89,50,1))</f>
        <v/>
      </c>
      <c r="GG93" s="29" t="str">
        <f>IF(OR($B93="",$A93&lt;51),"",--MID('Key Analysis'!$C89,51,1))</f>
        <v/>
      </c>
      <c r="GH93" s="29" t="str">
        <f>IF(OR($B93="",$A93&lt;52),"",--MID('Key Analysis'!$C89,52,1))</f>
        <v/>
      </c>
      <c r="GI93" s="29" t="str">
        <f>IF(OR($B93="",$A93&lt;53),"",--MID('Key Analysis'!$C89,53,1))</f>
        <v/>
      </c>
      <c r="GJ93" s="29" t="str">
        <f>IF(OR($B93="",$A93&lt;54),"",--MID('Key Analysis'!$C89,54,1))</f>
        <v/>
      </c>
      <c r="GK93" s="29" t="str">
        <f>IF(OR($B93="",$A93&lt;55),"",--MID('Key Analysis'!$C89,55,1))</f>
        <v/>
      </c>
      <c r="GL93" s="29" t="str">
        <f>IF(OR($B93="",$A93&lt;56),"",--MID('Key Analysis'!$C89,56,1))</f>
        <v/>
      </c>
      <c r="GM93" s="29" t="str">
        <f>IF(OR($B93="",$A93&lt;57),"",--MID('Key Analysis'!$C89,57,1))</f>
        <v/>
      </c>
      <c r="GN93" s="29" t="str">
        <f>IF(OR($B93="",$A93&lt;58),"",--MID('Key Analysis'!$C89,58,1))</f>
        <v/>
      </c>
      <c r="GO93" s="29" t="str">
        <f>IF(OR($B93="",$A93&lt;59),"",--MID('Key Analysis'!$C89,59,1))</f>
        <v/>
      </c>
      <c r="GP93" s="29" t="str">
        <f>IF(OR($B93="",$A93&lt;60),"",--MID('Key Analysis'!$C89,60,1))</f>
        <v/>
      </c>
      <c r="GQ93" s="29" t="str">
        <f>IF(OR($B93="",$A93&lt;61),"",--MID('Key Analysis'!$C89,61,1))</f>
        <v/>
      </c>
      <c r="GR93" s="29" t="str">
        <f>IF(OR($B93="",$A93&lt;62),"",--MID('Key Analysis'!$C89,62,1))</f>
        <v/>
      </c>
      <c r="GS93" s="29" t="str">
        <f>IF(OR($B93="",$A93&lt;63),"",--MID('Key Analysis'!$C89,63,1))</f>
        <v/>
      </c>
      <c r="GT93" s="29" t="str">
        <f>IF(OR($B93="",$A93&lt;64),"",--MID('Key Analysis'!$C89,64,1))</f>
        <v/>
      </c>
      <c r="GU93" s="29" t="str">
        <f>IF(OR($B93="",$A93&lt;65),"",--MID('Key Analysis'!$C89,65,1))</f>
        <v/>
      </c>
      <c r="GV93" s="29" t="str">
        <f>IF(OR($B93="",$A93&lt;66),"",--MID('Key Analysis'!$C89,66,1))</f>
        <v/>
      </c>
      <c r="GW93" s="29" t="str">
        <f>IF(OR($B93="",$A93&lt;67),"",--MID('Key Analysis'!$C89,67,1))</f>
        <v/>
      </c>
      <c r="GX93" s="29" t="str">
        <f>IF(OR($B93="",$A93&lt;68),"",--MID('Key Analysis'!$C89,68,1))</f>
        <v/>
      </c>
      <c r="GY93" s="29" t="str">
        <f>IF(OR($B93="",$A93&lt;69),"",--MID('Key Analysis'!$C89,69,1))</f>
        <v/>
      </c>
      <c r="GZ93" s="29" t="str">
        <f>IF(OR($B93="",$A93&lt;70),"",--MID('Key Analysis'!$C89,70,1))</f>
        <v/>
      </c>
      <c r="HA93" s="29" t="str">
        <f>IF(OR($B93="",$A93&lt;71),"",--MID('Key Analysis'!$C89,71,1))</f>
        <v/>
      </c>
      <c r="HB93" s="29" t="str">
        <f>IF(OR($B93="",$A93&lt;72),"",--MID('Key Analysis'!$C89,72,1))</f>
        <v/>
      </c>
      <c r="HC93" s="29" t="str">
        <f>IF(OR($B93="",$A93&lt;73),"",--MID('Key Analysis'!$C89,73,1))</f>
        <v/>
      </c>
      <c r="HD93" s="29" t="str">
        <f>IF(OR($B93="",$A93&lt;74),"",--MID('Key Analysis'!$C89,74,1))</f>
        <v/>
      </c>
      <c r="HE93" s="29" t="str">
        <f>IF(OR($B93="",$A93&lt;75),"",--MID('Key Analysis'!$C89,75,1))</f>
        <v/>
      </c>
      <c r="HF93" s="29" t="str">
        <f>IF(OR($B93="",$A93&lt;76),"",--MID('Key Analysis'!$C89,76,1))</f>
        <v/>
      </c>
      <c r="HG93" s="29" t="str">
        <f>IF(OR($B93="",$A93&lt;77),"",--MID('Key Analysis'!$C89,77,1))</f>
        <v/>
      </c>
      <c r="HH93" s="29" t="str">
        <f>IF(OR($B93="",$A93&lt;78),"",--MID('Key Analysis'!$C89,78,1))</f>
        <v/>
      </c>
      <c r="HI93" s="29" t="str">
        <f>IF(OR($B93="",$A93&lt;79),"",--MID('Key Analysis'!$C89,79,1))</f>
        <v/>
      </c>
      <c r="HJ93" s="29" t="str">
        <f>IF(OR($B93="",$A93&lt;80),"",--MID('Key Analysis'!$C89,80,1))</f>
        <v/>
      </c>
      <c r="HK93" s="29" t="str">
        <f>IF(OR($B93="",$A93&lt;81),"",--MID('Key Analysis'!$C89,81,1))</f>
        <v/>
      </c>
      <c r="HL93" s="29" t="str">
        <f>IF(OR($B93="",$A93&lt;82),"",--MID('Key Analysis'!$C89,82,1))</f>
        <v/>
      </c>
      <c r="HM93" s="29" t="str">
        <f>IF(OR($B93="",$A93&lt;83),"",--MID('Key Analysis'!$C89,83,1))</f>
        <v/>
      </c>
      <c r="HN93" s="29" t="str">
        <f>IF(OR($B93="",$A93&lt;84),"",--MID('Key Analysis'!$C89,84,1))</f>
        <v/>
      </c>
      <c r="HO93" s="29" t="str">
        <f>IF(OR($B93="",$A93&lt;85),"",--MID('Key Analysis'!$C89,85,1))</f>
        <v/>
      </c>
      <c r="HP93" s="29" t="str">
        <f>IF(OR($B93="",$A93&lt;86),"",--MID('Key Analysis'!$C89,86,1))</f>
        <v/>
      </c>
      <c r="HQ93" s="29" t="str">
        <f>IF(OR($B93="",$A93&lt;87),"",--MID('Key Analysis'!$C89,87,1))</f>
        <v/>
      </c>
      <c r="HR93" s="29" t="str">
        <f>IF(OR($B93="",$A93&lt;88),"",--MID('Key Analysis'!$C89,88,1))</f>
        <v/>
      </c>
      <c r="HS93" s="29" t="str">
        <f>IF(OR($B93="",$A93&lt;89),"",--MID('Key Analysis'!$C89,89,1))</f>
        <v/>
      </c>
      <c r="HT93" s="29" t="str">
        <f>IF(OR($B93="",$A93&lt;90),"",--MID('Key Analysis'!$C89,90,1))</f>
        <v/>
      </c>
      <c r="HU93" s="29" t="str">
        <f>IF(OR($B93="",$A93&lt;91),"",--MID('Key Analysis'!$C89,91,1))</f>
        <v/>
      </c>
      <c r="HV93" s="29" t="str">
        <f>IF(OR($B93="",$A93&lt;92),"",--MID('Key Analysis'!$C89,92,1))</f>
        <v/>
      </c>
      <c r="HW93" s="29" t="str">
        <f>IF(OR($B93="",$A93&lt;93),"",--MID('Key Analysis'!$C89,93,1))</f>
        <v/>
      </c>
      <c r="HX93" s="29" t="str">
        <f>IF(OR($B93="",$A93&lt;94),"",--MID('Key Analysis'!$C89,94,1))</f>
        <v/>
      </c>
      <c r="HY93" s="29" t="str">
        <f>IF(OR($B93="",$A93&lt;95),"",--MID('Key Analysis'!$C89,95,1))</f>
        <v/>
      </c>
      <c r="HZ93" s="29" t="str">
        <f>IF(OR($B93="",$A93&lt;96),"",--MID('Key Analysis'!$C89,96,1))</f>
        <v/>
      </c>
      <c r="IA93" s="29" t="str">
        <f>IF(OR($B93="",$A93&lt;97),"",--MID('Key Analysis'!$C89,97,1))</f>
        <v/>
      </c>
      <c r="IB93" s="29" t="str">
        <f>IF(OR($B93="",$A93&lt;98),"",--MID('Key Analysis'!$C89,98,1))</f>
        <v/>
      </c>
      <c r="IC93" s="29" t="str">
        <f>IF(OR($B93="",$A93&lt;99),"",--MID('Key Analysis'!$C89,99,1))</f>
        <v/>
      </c>
      <c r="ID93" s="29" t="str">
        <f>IF(OR($B93="",$A93&lt;100),"",--MID('Key Analysis'!$C89,100,1))</f>
        <v/>
      </c>
      <c r="IE93" s="29" t="str">
        <f>IF(OR($B93="",$A93&lt;101),"",--MID('Key Analysis'!$C89,101,1))</f>
        <v/>
      </c>
      <c r="IF93" s="29" t="str">
        <f>IF(OR($B93="",$A93&lt;102),"",--MID('Key Analysis'!$C89,102,1))</f>
        <v/>
      </c>
      <c r="IG93" s="29" t="str">
        <f>IF(OR($B93="",$A93&lt;103),"",--MID('Key Analysis'!$C89,103,1))</f>
        <v/>
      </c>
      <c r="IH93" s="29" t="str">
        <f>IF(OR($B93="",$A93&lt;104),"",--MID('Key Analysis'!$C89,104,1))</f>
        <v/>
      </c>
      <c r="II93" s="29" t="str">
        <f>IF(OR($B93="",$A93&lt;105),"",--MID('Key Analysis'!$C89,105,1))</f>
        <v/>
      </c>
      <c r="IJ93" s="29" t="str">
        <f>IF(OR($B93="",$A93&lt;106),"",--MID('Key Analysis'!$C89,106,1))</f>
        <v/>
      </c>
      <c r="IK93" s="29" t="str">
        <f>IF(OR($B93="",$A93&lt;107),"",--MID('Key Analysis'!$C89,107,1))</f>
        <v/>
      </c>
      <c r="IL93" s="29" t="str">
        <f>IF(OR($B93="",$A93&lt;108),"",--MID('Key Analysis'!$C89,108,1))</f>
        <v/>
      </c>
      <c r="IM93" s="29" t="str">
        <f>IF(OR($B93="",$A93&lt;109),"",--MID('Key Analysis'!$C89,109,1))</f>
        <v/>
      </c>
      <c r="IN93" s="29" t="str">
        <f>IF(OR($B93="",$A93&lt;110),"",--MID('Key Analysis'!$C89,110,1))</f>
        <v/>
      </c>
      <c r="IO93" s="29" t="str">
        <f>IF(OR($B93="",$A93&lt;111),"",--MID('Key Analysis'!$C89,111,1))</f>
        <v/>
      </c>
      <c r="IP93" s="29" t="str">
        <f>IF(OR($B93="",$A93&lt;112),"",--MID('Key Analysis'!$C89,112,1))</f>
        <v/>
      </c>
      <c r="IQ93" s="29" t="str">
        <f>IF(OR($B93="",$A93&lt;113),"",--MID('Key Analysis'!$C89,113,1))</f>
        <v/>
      </c>
      <c r="IR93" s="29" t="str">
        <f>IF(OR($B93="",$A93&lt;114),"",--MID('Key Analysis'!$C89,114,1))</f>
        <v/>
      </c>
      <c r="IS93" s="29" t="str">
        <f>IF(OR($B93="",$A93&lt;115),"",--MID('Key Analysis'!$C89,115,1))</f>
        <v/>
      </c>
      <c r="IT93" s="29" t="str">
        <f>IF(OR($B93="",$A93&lt;116),"",--MID('Key Analysis'!$C89,116,1))</f>
        <v/>
      </c>
      <c r="IU93" s="29" t="str">
        <f>IF(OR($B93="",$A93&lt;117),"",--MID('Key Analysis'!$C89,117,1))</f>
        <v/>
      </c>
      <c r="IV93" s="29" t="str">
        <f>IF(OR($B93="",$A93&lt;118),"",--MID('Key Analysis'!$C89,118,1))</f>
        <v/>
      </c>
      <c r="IW93" s="29" t="str">
        <f>IF(OR($B93="",$A93&lt;119),"",--MID('Key Analysis'!$C89,119,1))</f>
        <v/>
      </c>
      <c r="IX93" s="29" t="str">
        <f>IF(OR($B93="",$A93&lt;120),"",--MID('Key Analysis'!$C89,120,1))</f>
        <v/>
      </c>
      <c r="IY93" s="29" t="str">
        <f>IF(OR($B93="",$A93&lt;121),"",--MID('Key Analysis'!$C89,121,1))</f>
        <v/>
      </c>
      <c r="IZ93" s="29" t="str">
        <f>IF(OR($B93="",$A93&lt;122),"",--MID('Key Analysis'!$C89,122,1))</f>
        <v/>
      </c>
      <c r="JA93" s="29" t="str">
        <f>IF(OR($B93="",$A93&lt;123),"",--MID('Key Analysis'!$C89,123,1))</f>
        <v/>
      </c>
      <c r="JB93" s="29" t="str">
        <f>IF(OR($B93="",$A93&lt;124),"",--MID('Key Analysis'!$C89,124,1))</f>
        <v/>
      </c>
      <c r="JC93" s="29" t="str">
        <f>IF(OR($B93="",$A93&lt;125),"",--MID('Key Analysis'!$C89,125,1))</f>
        <v/>
      </c>
      <c r="JD93" s="29" t="str">
        <f>IF(OR($B93="",$A93&lt;126),"",--MID('Key Analysis'!$C89,126,1))</f>
        <v/>
      </c>
      <c r="JE93" s="29" t="str">
        <f>IF(OR($B93="",$A93&lt;127),"",--MID('Key Analysis'!$C89,127,1))</f>
        <v/>
      </c>
      <c r="JF93" s="29" t="str">
        <f>IF(OR($B93="",$A93&lt;128),"",--MID('Key Analysis'!$C89,128,1))</f>
        <v/>
      </c>
      <c r="JG93" s="29" t="str">
        <f>IF(OR($B93="",$A93&lt;129),"",--MID('Key Analysis'!$C89,129,1))</f>
        <v/>
      </c>
      <c r="JH93" s="29" t="str">
        <f>IF(OR($B93="",$A93&lt;130),"",--MID('Key Analysis'!$C89,130,1))</f>
        <v/>
      </c>
      <c r="JI93" s="29" t="str">
        <f>IF(OR($B93="",$A93&lt;131),"",--MID('Key Analysis'!$C89,131,1))</f>
        <v/>
      </c>
      <c r="JJ93" s="29" t="str">
        <f>IF(OR($B93="",$A93&lt;132),"",--MID('Key Analysis'!$C89,132,1))</f>
        <v/>
      </c>
      <c r="JK93" s="29" t="str">
        <f>IF(OR($B93="",$A93&lt;133),"",--MID('Key Analysis'!$C89,133,1))</f>
        <v/>
      </c>
      <c r="JL93" s="29" t="str">
        <f>IF(OR($B93="",$A93&lt;134),"",--MID('Key Analysis'!$C89,134,1))</f>
        <v/>
      </c>
      <c r="JM93" s="29" t="str">
        <f>IF(OR($B93="",$A93&lt;135),"",--MID('Key Analysis'!$C89,135,1))</f>
        <v/>
      </c>
    </row>
    <row r="94" spans="1:273" x14ac:dyDescent="0.25">
      <c r="A94" s="21">
        <f>'Key Analysis'!A90</f>
        <v>89</v>
      </c>
      <c r="B94" s="30" t="str">
        <f>'Key Analysis'!B90</f>
        <v/>
      </c>
      <c r="C94" s="29" t="str">
        <f>IF(OR($B94="",$A94&lt;=0),"",--MID('Key Analysis'!$C90,$A94-0,1))</f>
        <v/>
      </c>
      <c r="D94" s="29" t="str">
        <f>IF(OR($B94="",$A94&lt;=1),"",--MID('Key Analysis'!$C90,$A94-1,1))</f>
        <v/>
      </c>
      <c r="E94" s="29" t="str">
        <f>IF(OR($B94="",$A94&lt;=2),"",--MID('Key Analysis'!$C90,$A94-2,1))</f>
        <v/>
      </c>
      <c r="F94" s="29" t="str">
        <f>IF(OR($B94="",$A94&lt;=3),"",--MID('Key Analysis'!$C90,$A94-3,1))</f>
        <v/>
      </c>
      <c r="G94" s="29" t="str">
        <f>IF(OR($B94="",$A94&lt;=4),"",--MID('Key Analysis'!$C90,$A94-4,1))</f>
        <v/>
      </c>
      <c r="H94" s="29" t="str">
        <f>IF(OR($B94="",$A94&lt;=5),"",--MID('Key Analysis'!$C90,$A94-5,1))</f>
        <v/>
      </c>
      <c r="I94" s="29" t="str">
        <f>IF(OR($B94="",$A94&lt;=6),"",--MID('Key Analysis'!$C90,$A94-6,1))</f>
        <v/>
      </c>
      <c r="J94" s="29" t="str">
        <f>IF(OR($B94="",$A94&lt;=7),"",--MID('Key Analysis'!$C90,$A94-7,1))</f>
        <v/>
      </c>
      <c r="K94" s="29" t="str">
        <f>IF(OR($B94="",$A94&lt;=8),"",--MID('Key Analysis'!$C90,$A94-8,1))</f>
        <v/>
      </c>
      <c r="L94" s="29" t="str">
        <f>IF(OR($B94="",$A94&lt;=9),"",--MID('Key Analysis'!$C90,$A94-9,1))</f>
        <v/>
      </c>
      <c r="M94" s="29" t="str">
        <f>IF(OR($B94="",$A94&lt;=10),"",--MID('Key Analysis'!$C90,$A94-10,1))</f>
        <v/>
      </c>
      <c r="N94" s="29" t="str">
        <f>IF(OR($B94="",$A94&lt;=11),"",--MID('Key Analysis'!$C90,$A94-11,1))</f>
        <v/>
      </c>
      <c r="O94" s="29" t="str">
        <f>IF(OR($B94="",$A94&lt;=12),"",--MID('Key Analysis'!$C90,$A94-12,1))</f>
        <v/>
      </c>
      <c r="P94" s="29" t="str">
        <f>IF(OR($B94="",$A94&lt;=13),"",--MID('Key Analysis'!$C90,$A94-13,1))</f>
        <v/>
      </c>
      <c r="Q94" s="29" t="str">
        <f>IF(OR($B94="",$A94&lt;=14),"",--MID('Key Analysis'!$C90,$A94-14,1))</f>
        <v/>
      </c>
      <c r="R94" s="29" t="str">
        <f>IF(OR($B94="",$A94&lt;=15),"",--MID('Key Analysis'!$C90,$A94-15,1))</f>
        <v/>
      </c>
      <c r="S94" s="29" t="str">
        <f>IF(OR($B94="",$A94&lt;=16),"",--MID('Key Analysis'!$C90,$A94-16,1))</f>
        <v/>
      </c>
      <c r="T94" s="29" t="str">
        <f>IF(OR($B94="",$A94&lt;=17),"",--MID('Key Analysis'!$C90,$A94-17,1))</f>
        <v/>
      </c>
      <c r="U94" s="29" t="str">
        <f>IF(OR($B94="",$A94&lt;=18),"",--MID('Key Analysis'!$C90,$A94-18,1))</f>
        <v/>
      </c>
      <c r="V94" s="29" t="str">
        <f>IF(OR($B94="",$A94&lt;=19),"",--MID('Key Analysis'!$C90,$A94-19,1))</f>
        <v/>
      </c>
      <c r="W94" s="29" t="str">
        <f>IF(OR($B94="",$A94&lt;=20),"",--MID('Key Analysis'!$C90,$A94-20,1))</f>
        <v/>
      </c>
      <c r="X94" s="29" t="str">
        <f>IF(OR($B94="",$A94&lt;=21),"",--MID('Key Analysis'!$C90,$A94-21,1))</f>
        <v/>
      </c>
      <c r="Y94" s="29" t="str">
        <f>IF(OR($B94="",$A94&lt;=22),"",--MID('Key Analysis'!$C90,$A94-22,1))</f>
        <v/>
      </c>
      <c r="Z94" s="29" t="str">
        <f>IF(OR($B94="",$A94&lt;=23),"",--MID('Key Analysis'!$C90,$A94-23,1))</f>
        <v/>
      </c>
      <c r="AA94" s="29" t="str">
        <f>IF(OR($B94="",$A94&lt;=24),"",--MID('Key Analysis'!$C90,$A94-24,1))</f>
        <v/>
      </c>
      <c r="AB94" s="29" t="str">
        <f>IF(OR($B94="",$A94&lt;=25),"",--MID('Key Analysis'!$C90,$A94-25,1))</f>
        <v/>
      </c>
      <c r="AC94" s="29" t="str">
        <f>IF(OR($B94="",$A94&lt;=26),"",--MID('Key Analysis'!$C90,$A94-26,1))</f>
        <v/>
      </c>
      <c r="AD94" s="29" t="str">
        <f>IF(OR($B94="",$A94&lt;=27),"",--MID('Key Analysis'!$C90,$A94-27,1))</f>
        <v/>
      </c>
      <c r="AE94" s="29" t="str">
        <f>IF(OR($B94="",$A94&lt;=28),"",--MID('Key Analysis'!$C90,$A94-28,1))</f>
        <v/>
      </c>
      <c r="AF94" s="29" t="str">
        <f>IF(OR($B94="",$A94&lt;=29),"",--MID('Key Analysis'!$C90,$A94-29,1))</f>
        <v/>
      </c>
      <c r="AG94" s="29" t="str">
        <f>IF(OR($B94="",$A94&lt;=30),"",--MID('Key Analysis'!$C90,$A94-30,1))</f>
        <v/>
      </c>
      <c r="AH94" s="29" t="str">
        <f>IF(OR($B94="",$A94&lt;=31),"",--MID('Key Analysis'!$C90,$A94-31,1))</f>
        <v/>
      </c>
      <c r="AI94" s="29" t="str">
        <f>IF(OR($B94="",$A94&lt;=32),"",--MID('Key Analysis'!$C90,$A94-32,1))</f>
        <v/>
      </c>
      <c r="AJ94" s="29" t="str">
        <f>IF(OR($B94="",$A94&lt;=33),"",--MID('Key Analysis'!$C90,$A94-33,1))</f>
        <v/>
      </c>
      <c r="AK94" s="29" t="str">
        <f>IF(OR($B94="",$A94&lt;=34),"",--MID('Key Analysis'!$C90,$A94-34,1))</f>
        <v/>
      </c>
      <c r="AL94" s="29" t="str">
        <f>IF(OR($B94="",$A94&lt;=35),"",--MID('Key Analysis'!$C90,$A94-35,1))</f>
        <v/>
      </c>
      <c r="AM94" s="29" t="str">
        <f>IF(OR($B94="",$A94&lt;=36),"",--MID('Key Analysis'!$C90,$A94-36,1))</f>
        <v/>
      </c>
      <c r="AN94" s="29" t="str">
        <f>IF(OR($B94="",$A94&lt;=37),"",--MID('Key Analysis'!$C90,$A94-37,1))</f>
        <v/>
      </c>
      <c r="AO94" s="29" t="str">
        <f>IF(OR($B94="",$A94&lt;=38),"",--MID('Key Analysis'!$C90,$A94-38,1))</f>
        <v/>
      </c>
      <c r="AP94" s="29" t="str">
        <f>IF(OR($B94="",$A94&lt;=39),"",--MID('Key Analysis'!$C90,$A94-39,1))</f>
        <v/>
      </c>
      <c r="AQ94" s="29" t="str">
        <f>IF(OR($B94="",$A94&lt;=40),"",--MID('Key Analysis'!$C90,$A94-40,1))</f>
        <v/>
      </c>
      <c r="AR94" s="29" t="str">
        <f>IF(OR($B94="",$A94&lt;=41),"",--MID('Key Analysis'!$C90,$A94-41,1))</f>
        <v/>
      </c>
      <c r="AS94" s="29" t="str">
        <f>IF(OR($B94="",$A94&lt;=42),"",--MID('Key Analysis'!$C90,$A94-42,1))</f>
        <v/>
      </c>
      <c r="AT94" s="29" t="str">
        <f>IF(OR($B94="",$A94&lt;=43),"",--MID('Key Analysis'!$C90,$A94-43,1))</f>
        <v/>
      </c>
      <c r="AU94" s="29" t="str">
        <f>IF(OR($B94="",$A94&lt;=44),"",--MID('Key Analysis'!$C90,$A94-44,1))</f>
        <v/>
      </c>
      <c r="AV94" s="29" t="str">
        <f>IF(OR($B94="",$A94&lt;=45),"",--MID('Key Analysis'!$C90,$A94-45,1))</f>
        <v/>
      </c>
      <c r="AW94" s="29" t="str">
        <f>IF(OR($B94="",$A94&lt;=46),"",--MID('Key Analysis'!$C90,$A94-46,1))</f>
        <v/>
      </c>
      <c r="AX94" s="29" t="str">
        <f>IF(OR($B94="",$A94&lt;=47),"",--MID('Key Analysis'!$C90,$A94-47,1))</f>
        <v/>
      </c>
      <c r="AY94" s="29" t="str">
        <f>IF(OR($B94="",$A94&lt;=48),"",--MID('Key Analysis'!$C90,$A94-48,1))</f>
        <v/>
      </c>
      <c r="AZ94" s="29" t="str">
        <f>IF(OR($B94="",$A94&lt;=49),"",--MID('Key Analysis'!$C90,$A94-49,1))</f>
        <v/>
      </c>
      <c r="BA94" s="29" t="str">
        <f>IF(OR($B94="",$A94&lt;=50),"",--MID('Key Analysis'!$C90,$A94-50,1))</f>
        <v/>
      </c>
      <c r="BB94" s="29" t="str">
        <f>IF(OR($B94="",$A94&lt;=51),"",--MID('Key Analysis'!$C90,$A94-51,1))</f>
        <v/>
      </c>
      <c r="BC94" s="29" t="str">
        <f>IF(OR($B94="",$A94&lt;=52),"",--MID('Key Analysis'!$C90,$A94-52,1))</f>
        <v/>
      </c>
      <c r="BD94" s="29" t="str">
        <f>IF(OR($B94="",$A94&lt;=53),"",--MID('Key Analysis'!$C90,$A94-53,1))</f>
        <v/>
      </c>
      <c r="BE94" s="29" t="str">
        <f>IF(OR($B94="",$A94&lt;=54),"",--MID('Key Analysis'!$C90,$A94-54,1))</f>
        <v/>
      </c>
      <c r="BF94" s="29" t="str">
        <f>IF(OR($B94="",$A94&lt;=55),"",--MID('Key Analysis'!$C90,$A94-55,1))</f>
        <v/>
      </c>
      <c r="BG94" s="29" t="str">
        <f>IF(OR($B94="",$A94&lt;=56),"",--MID('Key Analysis'!$C90,$A94-56,1))</f>
        <v/>
      </c>
      <c r="BH94" s="29" t="str">
        <f>IF(OR($B94="",$A94&lt;=57),"",--MID('Key Analysis'!$C90,$A94-57,1))</f>
        <v/>
      </c>
      <c r="BI94" s="29" t="str">
        <f>IF(OR($B94="",$A94&lt;=58),"",--MID('Key Analysis'!$C90,$A94-58,1))</f>
        <v/>
      </c>
      <c r="BJ94" s="29" t="str">
        <f>IF(OR($B94="",$A94&lt;=59),"",--MID('Key Analysis'!$C90,$A94-59,1))</f>
        <v/>
      </c>
      <c r="BK94" s="29" t="str">
        <f>IF(OR($B94="",$A94&lt;=60),"",--MID('Key Analysis'!$C90,$A94-60,1))</f>
        <v/>
      </c>
      <c r="BL94" s="29" t="str">
        <f>IF(OR($B94="",$A94&lt;=61),"",--MID('Key Analysis'!$C90,$A94-61,1))</f>
        <v/>
      </c>
      <c r="BM94" s="29" t="str">
        <f>IF(OR($B94="",$A94&lt;=62),"",--MID('Key Analysis'!$C90,$A94-62,1))</f>
        <v/>
      </c>
      <c r="BN94" s="29" t="str">
        <f>IF(OR($B94="",$A94&lt;=63),"",--MID('Key Analysis'!$C90,$A94-63,1))</f>
        <v/>
      </c>
      <c r="BO94" s="29" t="str">
        <f>IF(OR($B94="",$A94&lt;=64),"",--MID('Key Analysis'!$C90,$A94-64,1))</f>
        <v/>
      </c>
      <c r="BP94" s="29" t="str">
        <f>IF(OR($B94="",$A94&lt;=65),"",--MID('Key Analysis'!$C90,$A94-65,1))</f>
        <v/>
      </c>
      <c r="BQ94" s="29" t="str">
        <f>IF(OR($B94="",$A94&lt;=66),"",--MID('Key Analysis'!$C90,$A94-66,1))</f>
        <v/>
      </c>
      <c r="BR94" s="29" t="str">
        <f>IF(OR($B94="",$A94&lt;=67),"",--MID('Key Analysis'!$C90,$A94-67,1))</f>
        <v/>
      </c>
      <c r="BS94" s="29" t="str">
        <f>IF(OR($B94="",$A94&lt;=68),"",--MID('Key Analysis'!$C90,$A94-68,1))</f>
        <v/>
      </c>
      <c r="BT94" s="29" t="str">
        <f>IF(OR($B94="",$A94&lt;=69),"",--MID('Key Analysis'!$C90,$A94-69,1))</f>
        <v/>
      </c>
      <c r="BU94" s="29" t="str">
        <f>IF(OR($B94="",$A94&lt;=70),"",--MID('Key Analysis'!$C90,$A94-70,1))</f>
        <v/>
      </c>
      <c r="BV94" s="29" t="str">
        <f>IF(OR($B94="",$A94&lt;=71),"",--MID('Key Analysis'!$C90,$A94-71,1))</f>
        <v/>
      </c>
      <c r="BW94" s="29" t="str">
        <f>IF(OR($B94="",$A94&lt;=72),"",--MID('Key Analysis'!$C90,$A94-72,1))</f>
        <v/>
      </c>
      <c r="BX94" s="29" t="str">
        <f>IF(OR($B94="",$A94&lt;=73),"",--MID('Key Analysis'!$C90,$A94-73,1))</f>
        <v/>
      </c>
      <c r="BY94" s="29" t="str">
        <f>IF(OR($B94="",$A94&lt;=74),"",--MID('Key Analysis'!$C90,$A94-74,1))</f>
        <v/>
      </c>
      <c r="BZ94" s="29" t="str">
        <f>IF(OR($B94="",$A94&lt;=75),"",--MID('Key Analysis'!$C90,$A94-75,1))</f>
        <v/>
      </c>
      <c r="CA94" s="29" t="str">
        <f>IF(OR($B94="",$A94&lt;=76),"",--MID('Key Analysis'!$C90,$A94-76,1))</f>
        <v/>
      </c>
      <c r="CB94" s="29" t="str">
        <f>IF(OR($B94="",$A94&lt;=77),"",--MID('Key Analysis'!$C90,$A94-77,1))</f>
        <v/>
      </c>
      <c r="CC94" s="29" t="str">
        <f>IF(OR($B94="",$A94&lt;=78),"",--MID('Key Analysis'!$C90,$A94-78,1))</f>
        <v/>
      </c>
      <c r="CD94" s="29" t="str">
        <f>IF(OR($B94="",$A94&lt;=79),"",--MID('Key Analysis'!$C90,$A94-79,1))</f>
        <v/>
      </c>
      <c r="CE94" s="29" t="str">
        <f>IF(OR($B94="",$A94&lt;=80),"",--MID('Key Analysis'!$C90,$A94-80,1))</f>
        <v/>
      </c>
      <c r="CF94" s="29" t="str">
        <f>IF(OR($B94="",$A94&lt;=81),"",--MID('Key Analysis'!$C90,$A94-81,1))</f>
        <v/>
      </c>
      <c r="CG94" s="29" t="str">
        <f>IF(OR($B94="",$A94&lt;=82),"",--MID('Key Analysis'!$C90,$A94-82,1))</f>
        <v/>
      </c>
      <c r="CH94" s="29" t="str">
        <f>IF(OR($B94="",$A94&lt;=83),"",--MID('Key Analysis'!$C90,$A94-83,1))</f>
        <v/>
      </c>
      <c r="CI94" s="29" t="str">
        <f>IF(OR($B94="",$A94&lt;=84),"",--MID('Key Analysis'!$C90,$A94-84,1))</f>
        <v/>
      </c>
      <c r="CJ94" s="29" t="str">
        <f>IF(OR($B94="",$A94&lt;=85),"",--MID('Key Analysis'!$C90,$A94-85,1))</f>
        <v/>
      </c>
      <c r="CK94" s="29" t="str">
        <f>IF(OR($B94="",$A94&lt;=86),"",--MID('Key Analysis'!$C90,$A94-86,1))</f>
        <v/>
      </c>
      <c r="CL94" s="29" t="str">
        <f>IF(OR($B94="",$A94&lt;=87),"",--MID('Key Analysis'!$C90,$A94-87,1))</f>
        <v/>
      </c>
      <c r="CM94" s="29" t="str">
        <f>IF(OR($B94="",$A94&lt;=88),"",--MID('Key Analysis'!$C90,$A94-88,1))</f>
        <v/>
      </c>
      <c r="CN94" s="29" t="str">
        <f>IF(OR($B94="",$A94&lt;=89),"",--MID('Key Analysis'!$C90,$A94-89,1))</f>
        <v/>
      </c>
      <c r="CO94" s="29" t="str">
        <f>IF(OR($B94="",$A94&lt;=90),"",--MID('Key Analysis'!$C90,$A94-90,1))</f>
        <v/>
      </c>
      <c r="CP94" s="29" t="str">
        <f>IF(OR($B94="",$A94&lt;=91),"",--MID('Key Analysis'!$C90,$A94-91,1))</f>
        <v/>
      </c>
      <c r="CQ94" s="29" t="str">
        <f>IF(OR($B94="",$A94&lt;=92),"",--MID('Key Analysis'!$C90,$A94-92,1))</f>
        <v/>
      </c>
      <c r="CR94" s="29" t="str">
        <f>IF(OR($B94="",$A94&lt;=93),"",--MID('Key Analysis'!$C90,$A94-93,1))</f>
        <v/>
      </c>
      <c r="CS94" s="29" t="str">
        <f>IF(OR($B94="",$A94&lt;=94),"",--MID('Key Analysis'!$C90,$A94-94,1))</f>
        <v/>
      </c>
      <c r="CT94" s="29" t="str">
        <f>IF(OR($B94="",$A94&lt;=95),"",--MID('Key Analysis'!$C90,$A94-95,1))</f>
        <v/>
      </c>
      <c r="CU94" s="29" t="str">
        <f>IF(OR($B94="",$A94&lt;=96),"",--MID('Key Analysis'!$C90,$A94-96,1))</f>
        <v/>
      </c>
      <c r="CV94" s="29" t="str">
        <f>IF(OR($B94="",$A94&lt;=97),"",--MID('Key Analysis'!$C90,$A94-97,1))</f>
        <v/>
      </c>
      <c r="CW94" s="29" t="str">
        <f>IF(OR($B94="",$A94&lt;=98),"",--MID('Key Analysis'!$C90,$A94-98,1))</f>
        <v/>
      </c>
      <c r="CX94" s="29" t="str">
        <f>IF(OR($B94="",$A94&lt;=99),"",--MID('Key Analysis'!$C90,$A94-99,1))</f>
        <v/>
      </c>
      <c r="CY94" s="29" t="str">
        <f>IF(OR($B94="",$A94&lt;=100),"",--MID('Key Analysis'!$C90,$A94-100,1))</f>
        <v/>
      </c>
      <c r="CZ94" s="29" t="str">
        <f>IF(OR($B94="",$A94&lt;=101),"",--MID('Key Analysis'!$C90,$A94-101,1))</f>
        <v/>
      </c>
      <c r="DA94" s="29" t="str">
        <f>IF(OR($B94="",$A94&lt;=102),"",--MID('Key Analysis'!$C90,$A94-102,1))</f>
        <v/>
      </c>
      <c r="DB94" s="29" t="str">
        <f>IF(OR($B94="",$A94&lt;=103),"",--MID('Key Analysis'!$C90,$A94-103,1))</f>
        <v/>
      </c>
      <c r="DC94" s="29" t="str">
        <f>IF(OR($B94="",$A94&lt;=104),"",--MID('Key Analysis'!$C90,$A94-104,1))</f>
        <v/>
      </c>
      <c r="DD94" s="29" t="str">
        <f>IF(OR($B94="",$A94&lt;=105),"",--MID('Key Analysis'!$C90,$A94-105,1))</f>
        <v/>
      </c>
      <c r="DE94" s="29" t="str">
        <f>IF(OR($B94="",$A94&lt;=106),"",--MID('Key Analysis'!$C90,$A94-106,1))</f>
        <v/>
      </c>
      <c r="DF94" s="29" t="str">
        <f>IF(OR($B94="",$A94&lt;=107),"",--MID('Key Analysis'!$C90,$A94-107,1))</f>
        <v/>
      </c>
      <c r="DG94" s="29" t="str">
        <f>IF(OR($B94="",$A94&lt;=108),"",--MID('Key Analysis'!$C90,$A94-108,1))</f>
        <v/>
      </c>
      <c r="DH94" s="29" t="str">
        <f>IF(OR($B94="",$A94&lt;=109),"",--MID('Key Analysis'!$C90,$A94-109,1))</f>
        <v/>
      </c>
      <c r="DI94" s="29" t="str">
        <f>IF(OR($B94="",$A94&lt;=110),"",--MID('Key Analysis'!$C90,$A94-110,1))</f>
        <v/>
      </c>
      <c r="DJ94" s="29" t="str">
        <f>IF(OR($B94="",$A94&lt;=111),"",--MID('Key Analysis'!$C90,$A94-111,1))</f>
        <v/>
      </c>
      <c r="DK94" s="29" t="str">
        <f>IF(OR($B94="",$A94&lt;=112),"",--MID('Key Analysis'!$C90,$A94-112,1))</f>
        <v/>
      </c>
      <c r="DL94" s="29" t="str">
        <f>IF(OR($B94="",$A94&lt;=113),"",--MID('Key Analysis'!$C90,$A94-113,1))</f>
        <v/>
      </c>
      <c r="DM94" s="29" t="str">
        <f>IF(OR($B94="",$A94&lt;=114),"",--MID('Key Analysis'!$C90,$A94-114,1))</f>
        <v/>
      </c>
      <c r="DN94" s="29" t="str">
        <f>IF(OR($B94="",$A94&lt;=115),"",--MID('Key Analysis'!$C90,$A94-115,1))</f>
        <v/>
      </c>
      <c r="DO94" s="29" t="str">
        <f>IF(OR($B94="",$A94&lt;=116),"",--MID('Key Analysis'!$C90,$A94-116,1))</f>
        <v/>
      </c>
      <c r="DP94" s="29" t="str">
        <f>IF(OR($B94="",$A94&lt;=117),"",--MID('Key Analysis'!$C90,$A94-117,1))</f>
        <v/>
      </c>
      <c r="DQ94" s="29" t="str">
        <f>IF(OR($B94="",$A94&lt;=118),"",--MID('Key Analysis'!$C90,$A94-118,1))</f>
        <v/>
      </c>
      <c r="DR94" s="29" t="str">
        <f>IF(OR($B94="",$A94&lt;=119),"",--MID('Key Analysis'!$C90,$A94-119,1))</f>
        <v/>
      </c>
      <c r="DS94" s="29" t="str">
        <f>IF(OR($B94="",$A94&lt;=120),"",--MID('Key Analysis'!$C90,$A94-120,1))</f>
        <v/>
      </c>
      <c r="DT94" s="29" t="str">
        <f>IF(OR($B94="",$A94&lt;=121),"",--MID('Key Analysis'!$C90,$A94-121,1))</f>
        <v/>
      </c>
      <c r="DU94" s="29" t="str">
        <f>IF(OR($B94="",$A94&lt;=122),"",--MID('Key Analysis'!$C90,$A94-122,1))</f>
        <v/>
      </c>
      <c r="DV94" s="29" t="str">
        <f>IF(OR($B94="",$A94&lt;=123),"",--MID('Key Analysis'!$C90,$A94-123,1))</f>
        <v/>
      </c>
      <c r="DW94" s="29" t="str">
        <f>IF(OR($B94="",$A94&lt;=124),"",--MID('Key Analysis'!$C90,$A94-124,1))</f>
        <v/>
      </c>
      <c r="DX94" s="29" t="str">
        <f>IF(OR($B94="",$A94&lt;=125),"",--MID('Key Analysis'!$C90,$A94-125,1))</f>
        <v/>
      </c>
      <c r="DY94" s="29" t="str">
        <f>IF(OR($B94="",$A94&lt;=126),"",--MID('Key Analysis'!$C90,$A94-126,1))</f>
        <v/>
      </c>
      <c r="DZ94" s="29" t="str">
        <f>IF(OR($B94="",$A94&lt;=127),"",--MID('Key Analysis'!$C90,$A94-127,1))</f>
        <v/>
      </c>
      <c r="EA94" s="29" t="str">
        <f>IF(OR($B94="",$A94&lt;=128),"",--MID('Key Analysis'!$C90,$A94-128,1))</f>
        <v/>
      </c>
      <c r="EB94" s="29" t="str">
        <f>IF(OR($B94="",$A94&lt;=129),"",--MID('Key Analysis'!$C90,$A94-129,1))</f>
        <v/>
      </c>
      <c r="EC94" s="29" t="str">
        <f>IF(OR($B94="",$A94&lt;=130),"",--MID('Key Analysis'!$C90,$A94-130,1))</f>
        <v/>
      </c>
      <c r="ED94" s="29" t="str">
        <f>IF(OR($B94="",$A94&lt;=131),"",--MID('Key Analysis'!$C90,$A94-131,1))</f>
        <v/>
      </c>
      <c r="EE94" s="29" t="str">
        <f>IF(OR($B94="",$A94&lt;=132),"",--MID('Key Analysis'!$C90,$A94-132,1))</f>
        <v/>
      </c>
      <c r="EF94" s="29" t="str">
        <f>IF(OR($B94="",$A94&lt;=133),"",--MID('Key Analysis'!$C90,$A94-133,1))</f>
        <v/>
      </c>
      <c r="EG94" s="29" t="str">
        <f>IF(OR($B94="",$A94&lt;=134),"",--MID('Key Analysis'!$C90,$A94-134,1))</f>
        <v/>
      </c>
      <c r="EH94" s="29"/>
      <c r="EI94" s="29" t="str">
        <f>IF(OR($B94="",$A94&lt;1),"",--MID('Key Analysis'!$C90,1,1))</f>
        <v/>
      </c>
      <c r="EJ94" s="29" t="str">
        <f>IF(OR($B94="",$A94&lt;2),"",--MID('Key Analysis'!$C90,2,1))</f>
        <v/>
      </c>
      <c r="EK94" s="29" t="str">
        <f>IF(OR($B94="",$A94&lt;3),"",--MID('Key Analysis'!$C90,3,1))</f>
        <v/>
      </c>
      <c r="EL94" s="29" t="str">
        <f>IF(OR($B94="",$A94&lt;4),"",--MID('Key Analysis'!$C90,4,1))</f>
        <v/>
      </c>
      <c r="EM94" s="29" t="str">
        <f>IF(OR($B94="",$A94&lt;5),"",--MID('Key Analysis'!$C90,5,1))</f>
        <v/>
      </c>
      <c r="EN94" s="29" t="str">
        <f>IF(OR($B94="",$A94&lt;6),"",--MID('Key Analysis'!$C90,6,1))</f>
        <v/>
      </c>
      <c r="EO94" s="29" t="str">
        <f>IF(OR($B94="",$A94&lt;7),"",--MID('Key Analysis'!$C90,7,1))</f>
        <v/>
      </c>
      <c r="EP94" s="29" t="str">
        <f>IF(OR($B94="",$A94&lt;8),"",--MID('Key Analysis'!$C90,8,1))</f>
        <v/>
      </c>
      <c r="EQ94" s="29" t="str">
        <f>IF(OR($B94="",$A94&lt;9),"",--MID('Key Analysis'!$C90,9,1))</f>
        <v/>
      </c>
      <c r="ER94" s="29" t="str">
        <f>IF(OR($B94="",$A94&lt;10),"",--MID('Key Analysis'!$C90,10,1))</f>
        <v/>
      </c>
      <c r="ES94" s="29" t="str">
        <f>IF(OR($B94="",$A94&lt;11),"",--MID('Key Analysis'!$C90,11,1))</f>
        <v/>
      </c>
      <c r="ET94" s="29" t="str">
        <f>IF(OR($B94="",$A94&lt;12),"",--MID('Key Analysis'!$C90,12,1))</f>
        <v/>
      </c>
      <c r="EU94" s="29" t="str">
        <f>IF(OR($B94="",$A94&lt;13),"",--MID('Key Analysis'!$C90,13,1))</f>
        <v/>
      </c>
      <c r="EV94" s="29" t="str">
        <f>IF(OR($B94="",$A94&lt;14),"",--MID('Key Analysis'!$C90,14,1))</f>
        <v/>
      </c>
      <c r="EW94" s="29" t="str">
        <f>IF(OR($B94="",$A94&lt;15),"",--MID('Key Analysis'!$C90,15,1))</f>
        <v/>
      </c>
      <c r="EX94" s="29" t="str">
        <f>IF(OR($B94="",$A94&lt;16),"",--MID('Key Analysis'!$C90,16,1))</f>
        <v/>
      </c>
      <c r="EY94" s="29" t="str">
        <f>IF(OR($B94="",$A94&lt;17),"",--MID('Key Analysis'!$C90,17,1))</f>
        <v/>
      </c>
      <c r="EZ94" s="29" t="str">
        <f>IF(OR($B94="",$A94&lt;18),"",--MID('Key Analysis'!$C90,18,1))</f>
        <v/>
      </c>
      <c r="FA94" s="29" t="str">
        <f>IF(OR($B94="",$A94&lt;19),"",--MID('Key Analysis'!$C90,19,1))</f>
        <v/>
      </c>
      <c r="FB94" s="29" t="str">
        <f>IF(OR($B94="",$A94&lt;20),"",--MID('Key Analysis'!$C90,20,1))</f>
        <v/>
      </c>
      <c r="FC94" s="29" t="str">
        <f>IF(OR($B94="",$A94&lt;21),"",--MID('Key Analysis'!$C90,21,1))</f>
        <v/>
      </c>
      <c r="FD94" s="29" t="str">
        <f>IF(OR($B94="",$A94&lt;22),"",--MID('Key Analysis'!$C90,22,1))</f>
        <v/>
      </c>
      <c r="FE94" s="29" t="str">
        <f>IF(OR($B94="",$A94&lt;23),"",--MID('Key Analysis'!$C90,23,1))</f>
        <v/>
      </c>
      <c r="FF94" s="29" t="str">
        <f>IF(OR($B94="",$A94&lt;24),"",--MID('Key Analysis'!$C90,24,1))</f>
        <v/>
      </c>
      <c r="FG94" s="29" t="str">
        <f>IF(OR($B94="",$A94&lt;25),"",--MID('Key Analysis'!$C90,25,1))</f>
        <v/>
      </c>
      <c r="FH94" s="29" t="str">
        <f>IF(OR($B94="",$A94&lt;26),"",--MID('Key Analysis'!$C90,26,1))</f>
        <v/>
      </c>
      <c r="FI94" s="29" t="str">
        <f>IF(OR($B94="",$A94&lt;27),"",--MID('Key Analysis'!$C90,27,1))</f>
        <v/>
      </c>
      <c r="FJ94" s="29" t="str">
        <f>IF(OR($B94="",$A94&lt;28),"",--MID('Key Analysis'!$C90,28,1))</f>
        <v/>
      </c>
      <c r="FK94" s="29" t="str">
        <f>IF(OR($B94="",$A94&lt;29),"",--MID('Key Analysis'!$C90,29,1))</f>
        <v/>
      </c>
      <c r="FL94" s="29" t="str">
        <f>IF(OR($B94="",$A94&lt;30),"",--MID('Key Analysis'!$C90,30,1))</f>
        <v/>
      </c>
      <c r="FM94" s="29" t="str">
        <f>IF(OR($B94="",$A94&lt;31),"",--MID('Key Analysis'!$C90,31,1))</f>
        <v/>
      </c>
      <c r="FN94" s="29" t="str">
        <f>IF(OR($B94="",$A94&lt;32),"",--MID('Key Analysis'!$C90,32,1))</f>
        <v/>
      </c>
      <c r="FO94" s="29" t="str">
        <f>IF(OR($B94="",$A94&lt;33),"",--MID('Key Analysis'!$C90,33,1))</f>
        <v/>
      </c>
      <c r="FP94" s="29" t="str">
        <f>IF(OR($B94="",$A94&lt;34),"",--MID('Key Analysis'!$C90,34,1))</f>
        <v/>
      </c>
      <c r="FQ94" s="29" t="str">
        <f>IF(OR($B94="",$A94&lt;35),"",--MID('Key Analysis'!$C90,35,1))</f>
        <v/>
      </c>
      <c r="FR94" s="29" t="str">
        <f>IF(OR($B94="",$A94&lt;36),"",--MID('Key Analysis'!$C90,36,1))</f>
        <v/>
      </c>
      <c r="FS94" s="29" t="str">
        <f>IF(OR($B94="",$A94&lt;37),"",--MID('Key Analysis'!$C90,37,1))</f>
        <v/>
      </c>
      <c r="FT94" s="29" t="str">
        <f>IF(OR($B94="",$A94&lt;38),"",--MID('Key Analysis'!$C90,38,1))</f>
        <v/>
      </c>
      <c r="FU94" s="29" t="str">
        <f>IF(OR($B94="",$A94&lt;39),"",--MID('Key Analysis'!$C90,39,1))</f>
        <v/>
      </c>
      <c r="FV94" s="29" t="str">
        <f>IF(OR($B94="",$A94&lt;40),"",--MID('Key Analysis'!$C90,40,1))</f>
        <v/>
      </c>
      <c r="FW94" s="29" t="str">
        <f>IF(OR($B94="",$A94&lt;41),"",--MID('Key Analysis'!$C90,41,1))</f>
        <v/>
      </c>
      <c r="FX94" s="29" t="str">
        <f>IF(OR($B94="",$A94&lt;42),"",--MID('Key Analysis'!$C90,42,1))</f>
        <v/>
      </c>
      <c r="FY94" s="29" t="str">
        <f>IF(OR($B94="",$A94&lt;43),"",--MID('Key Analysis'!$C90,43,1))</f>
        <v/>
      </c>
      <c r="FZ94" s="29" t="str">
        <f>IF(OR($B94="",$A94&lt;44),"",--MID('Key Analysis'!$C90,44,1))</f>
        <v/>
      </c>
      <c r="GA94" s="29" t="str">
        <f>IF(OR($B94="",$A94&lt;45),"",--MID('Key Analysis'!$C90,45,1))</f>
        <v/>
      </c>
      <c r="GB94" s="29" t="str">
        <f>IF(OR($B94="",$A94&lt;46),"",--MID('Key Analysis'!$C90,46,1))</f>
        <v/>
      </c>
      <c r="GC94" s="29" t="str">
        <f>IF(OR($B94="",$A94&lt;47),"",--MID('Key Analysis'!$C90,47,1))</f>
        <v/>
      </c>
      <c r="GD94" s="29" t="str">
        <f>IF(OR($B94="",$A94&lt;48),"",--MID('Key Analysis'!$C90,48,1))</f>
        <v/>
      </c>
      <c r="GE94" s="29" t="str">
        <f>IF(OR($B94="",$A94&lt;49),"",--MID('Key Analysis'!$C90,49,1))</f>
        <v/>
      </c>
      <c r="GF94" s="29" t="str">
        <f>IF(OR($B94="",$A94&lt;50),"",--MID('Key Analysis'!$C90,50,1))</f>
        <v/>
      </c>
      <c r="GG94" s="29" t="str">
        <f>IF(OR($B94="",$A94&lt;51),"",--MID('Key Analysis'!$C90,51,1))</f>
        <v/>
      </c>
      <c r="GH94" s="29" t="str">
        <f>IF(OR($B94="",$A94&lt;52),"",--MID('Key Analysis'!$C90,52,1))</f>
        <v/>
      </c>
      <c r="GI94" s="29" t="str">
        <f>IF(OR($B94="",$A94&lt;53),"",--MID('Key Analysis'!$C90,53,1))</f>
        <v/>
      </c>
      <c r="GJ94" s="29" t="str">
        <f>IF(OR($B94="",$A94&lt;54),"",--MID('Key Analysis'!$C90,54,1))</f>
        <v/>
      </c>
      <c r="GK94" s="29" t="str">
        <f>IF(OR($B94="",$A94&lt;55),"",--MID('Key Analysis'!$C90,55,1))</f>
        <v/>
      </c>
      <c r="GL94" s="29" t="str">
        <f>IF(OR($B94="",$A94&lt;56),"",--MID('Key Analysis'!$C90,56,1))</f>
        <v/>
      </c>
      <c r="GM94" s="29" t="str">
        <f>IF(OR($B94="",$A94&lt;57),"",--MID('Key Analysis'!$C90,57,1))</f>
        <v/>
      </c>
      <c r="GN94" s="29" t="str">
        <f>IF(OR($B94="",$A94&lt;58),"",--MID('Key Analysis'!$C90,58,1))</f>
        <v/>
      </c>
      <c r="GO94" s="29" t="str">
        <f>IF(OR($B94="",$A94&lt;59),"",--MID('Key Analysis'!$C90,59,1))</f>
        <v/>
      </c>
      <c r="GP94" s="29" t="str">
        <f>IF(OR($B94="",$A94&lt;60),"",--MID('Key Analysis'!$C90,60,1))</f>
        <v/>
      </c>
      <c r="GQ94" s="29" t="str">
        <f>IF(OR($B94="",$A94&lt;61),"",--MID('Key Analysis'!$C90,61,1))</f>
        <v/>
      </c>
      <c r="GR94" s="29" t="str">
        <f>IF(OR($B94="",$A94&lt;62),"",--MID('Key Analysis'!$C90,62,1))</f>
        <v/>
      </c>
      <c r="GS94" s="29" t="str">
        <f>IF(OR($B94="",$A94&lt;63),"",--MID('Key Analysis'!$C90,63,1))</f>
        <v/>
      </c>
      <c r="GT94" s="29" t="str">
        <f>IF(OR($B94="",$A94&lt;64),"",--MID('Key Analysis'!$C90,64,1))</f>
        <v/>
      </c>
      <c r="GU94" s="29" t="str">
        <f>IF(OR($B94="",$A94&lt;65),"",--MID('Key Analysis'!$C90,65,1))</f>
        <v/>
      </c>
      <c r="GV94" s="29" t="str">
        <f>IF(OR($B94="",$A94&lt;66),"",--MID('Key Analysis'!$C90,66,1))</f>
        <v/>
      </c>
      <c r="GW94" s="29" t="str">
        <f>IF(OR($B94="",$A94&lt;67),"",--MID('Key Analysis'!$C90,67,1))</f>
        <v/>
      </c>
      <c r="GX94" s="29" t="str">
        <f>IF(OR($B94="",$A94&lt;68),"",--MID('Key Analysis'!$C90,68,1))</f>
        <v/>
      </c>
      <c r="GY94" s="29" t="str">
        <f>IF(OR($B94="",$A94&lt;69),"",--MID('Key Analysis'!$C90,69,1))</f>
        <v/>
      </c>
      <c r="GZ94" s="29" t="str">
        <f>IF(OR($B94="",$A94&lt;70),"",--MID('Key Analysis'!$C90,70,1))</f>
        <v/>
      </c>
      <c r="HA94" s="29" t="str">
        <f>IF(OR($B94="",$A94&lt;71),"",--MID('Key Analysis'!$C90,71,1))</f>
        <v/>
      </c>
      <c r="HB94" s="29" t="str">
        <f>IF(OR($B94="",$A94&lt;72),"",--MID('Key Analysis'!$C90,72,1))</f>
        <v/>
      </c>
      <c r="HC94" s="29" t="str">
        <f>IF(OR($B94="",$A94&lt;73),"",--MID('Key Analysis'!$C90,73,1))</f>
        <v/>
      </c>
      <c r="HD94" s="29" t="str">
        <f>IF(OR($B94="",$A94&lt;74),"",--MID('Key Analysis'!$C90,74,1))</f>
        <v/>
      </c>
      <c r="HE94" s="29" t="str">
        <f>IF(OR($B94="",$A94&lt;75),"",--MID('Key Analysis'!$C90,75,1))</f>
        <v/>
      </c>
      <c r="HF94" s="29" t="str">
        <f>IF(OR($B94="",$A94&lt;76),"",--MID('Key Analysis'!$C90,76,1))</f>
        <v/>
      </c>
      <c r="HG94" s="29" t="str">
        <f>IF(OR($B94="",$A94&lt;77),"",--MID('Key Analysis'!$C90,77,1))</f>
        <v/>
      </c>
      <c r="HH94" s="29" t="str">
        <f>IF(OR($B94="",$A94&lt;78),"",--MID('Key Analysis'!$C90,78,1))</f>
        <v/>
      </c>
      <c r="HI94" s="29" t="str">
        <f>IF(OR($B94="",$A94&lt;79),"",--MID('Key Analysis'!$C90,79,1))</f>
        <v/>
      </c>
      <c r="HJ94" s="29" t="str">
        <f>IF(OR($B94="",$A94&lt;80),"",--MID('Key Analysis'!$C90,80,1))</f>
        <v/>
      </c>
      <c r="HK94" s="29" t="str">
        <f>IF(OR($B94="",$A94&lt;81),"",--MID('Key Analysis'!$C90,81,1))</f>
        <v/>
      </c>
      <c r="HL94" s="29" t="str">
        <f>IF(OR($B94="",$A94&lt;82),"",--MID('Key Analysis'!$C90,82,1))</f>
        <v/>
      </c>
      <c r="HM94" s="29" t="str">
        <f>IF(OR($B94="",$A94&lt;83),"",--MID('Key Analysis'!$C90,83,1))</f>
        <v/>
      </c>
      <c r="HN94" s="29" t="str">
        <f>IF(OR($B94="",$A94&lt;84),"",--MID('Key Analysis'!$C90,84,1))</f>
        <v/>
      </c>
      <c r="HO94" s="29" t="str">
        <f>IF(OR($B94="",$A94&lt;85),"",--MID('Key Analysis'!$C90,85,1))</f>
        <v/>
      </c>
      <c r="HP94" s="29" t="str">
        <f>IF(OR($B94="",$A94&lt;86),"",--MID('Key Analysis'!$C90,86,1))</f>
        <v/>
      </c>
      <c r="HQ94" s="29" t="str">
        <f>IF(OR($B94="",$A94&lt;87),"",--MID('Key Analysis'!$C90,87,1))</f>
        <v/>
      </c>
      <c r="HR94" s="29" t="str">
        <f>IF(OR($B94="",$A94&lt;88),"",--MID('Key Analysis'!$C90,88,1))</f>
        <v/>
      </c>
      <c r="HS94" s="29" t="str">
        <f>IF(OR($B94="",$A94&lt;89),"",--MID('Key Analysis'!$C90,89,1))</f>
        <v/>
      </c>
      <c r="HT94" s="29" t="str">
        <f>IF(OR($B94="",$A94&lt;90),"",--MID('Key Analysis'!$C90,90,1))</f>
        <v/>
      </c>
      <c r="HU94" s="29" t="str">
        <f>IF(OR($B94="",$A94&lt;91),"",--MID('Key Analysis'!$C90,91,1))</f>
        <v/>
      </c>
      <c r="HV94" s="29" t="str">
        <f>IF(OR($B94="",$A94&lt;92),"",--MID('Key Analysis'!$C90,92,1))</f>
        <v/>
      </c>
      <c r="HW94" s="29" t="str">
        <f>IF(OR($B94="",$A94&lt;93),"",--MID('Key Analysis'!$C90,93,1))</f>
        <v/>
      </c>
      <c r="HX94" s="29" t="str">
        <f>IF(OR($B94="",$A94&lt;94),"",--MID('Key Analysis'!$C90,94,1))</f>
        <v/>
      </c>
      <c r="HY94" s="29" t="str">
        <f>IF(OR($B94="",$A94&lt;95),"",--MID('Key Analysis'!$C90,95,1))</f>
        <v/>
      </c>
      <c r="HZ94" s="29" t="str">
        <f>IF(OR($B94="",$A94&lt;96),"",--MID('Key Analysis'!$C90,96,1))</f>
        <v/>
      </c>
      <c r="IA94" s="29" t="str">
        <f>IF(OR($B94="",$A94&lt;97),"",--MID('Key Analysis'!$C90,97,1))</f>
        <v/>
      </c>
      <c r="IB94" s="29" t="str">
        <f>IF(OR($B94="",$A94&lt;98),"",--MID('Key Analysis'!$C90,98,1))</f>
        <v/>
      </c>
      <c r="IC94" s="29" t="str">
        <f>IF(OR($B94="",$A94&lt;99),"",--MID('Key Analysis'!$C90,99,1))</f>
        <v/>
      </c>
      <c r="ID94" s="29" t="str">
        <f>IF(OR($B94="",$A94&lt;100),"",--MID('Key Analysis'!$C90,100,1))</f>
        <v/>
      </c>
      <c r="IE94" s="29" t="str">
        <f>IF(OR($B94="",$A94&lt;101),"",--MID('Key Analysis'!$C90,101,1))</f>
        <v/>
      </c>
      <c r="IF94" s="29" t="str">
        <f>IF(OR($B94="",$A94&lt;102),"",--MID('Key Analysis'!$C90,102,1))</f>
        <v/>
      </c>
      <c r="IG94" s="29" t="str">
        <f>IF(OR($B94="",$A94&lt;103),"",--MID('Key Analysis'!$C90,103,1))</f>
        <v/>
      </c>
      <c r="IH94" s="29" t="str">
        <f>IF(OR($B94="",$A94&lt;104),"",--MID('Key Analysis'!$C90,104,1))</f>
        <v/>
      </c>
      <c r="II94" s="29" t="str">
        <f>IF(OR($B94="",$A94&lt;105),"",--MID('Key Analysis'!$C90,105,1))</f>
        <v/>
      </c>
      <c r="IJ94" s="29" t="str">
        <f>IF(OR($B94="",$A94&lt;106),"",--MID('Key Analysis'!$C90,106,1))</f>
        <v/>
      </c>
      <c r="IK94" s="29" t="str">
        <f>IF(OR($B94="",$A94&lt;107),"",--MID('Key Analysis'!$C90,107,1))</f>
        <v/>
      </c>
      <c r="IL94" s="29" t="str">
        <f>IF(OR($B94="",$A94&lt;108),"",--MID('Key Analysis'!$C90,108,1))</f>
        <v/>
      </c>
      <c r="IM94" s="29" t="str">
        <f>IF(OR($B94="",$A94&lt;109),"",--MID('Key Analysis'!$C90,109,1))</f>
        <v/>
      </c>
      <c r="IN94" s="29" t="str">
        <f>IF(OR($B94="",$A94&lt;110),"",--MID('Key Analysis'!$C90,110,1))</f>
        <v/>
      </c>
      <c r="IO94" s="29" t="str">
        <f>IF(OR($B94="",$A94&lt;111),"",--MID('Key Analysis'!$C90,111,1))</f>
        <v/>
      </c>
      <c r="IP94" s="29" t="str">
        <f>IF(OR($B94="",$A94&lt;112),"",--MID('Key Analysis'!$C90,112,1))</f>
        <v/>
      </c>
      <c r="IQ94" s="29" t="str">
        <f>IF(OR($B94="",$A94&lt;113),"",--MID('Key Analysis'!$C90,113,1))</f>
        <v/>
      </c>
      <c r="IR94" s="29" t="str">
        <f>IF(OR($B94="",$A94&lt;114),"",--MID('Key Analysis'!$C90,114,1))</f>
        <v/>
      </c>
      <c r="IS94" s="29" t="str">
        <f>IF(OR($B94="",$A94&lt;115),"",--MID('Key Analysis'!$C90,115,1))</f>
        <v/>
      </c>
      <c r="IT94" s="29" t="str">
        <f>IF(OR($B94="",$A94&lt;116),"",--MID('Key Analysis'!$C90,116,1))</f>
        <v/>
      </c>
      <c r="IU94" s="29" t="str">
        <f>IF(OR($B94="",$A94&lt;117),"",--MID('Key Analysis'!$C90,117,1))</f>
        <v/>
      </c>
      <c r="IV94" s="29" t="str">
        <f>IF(OR($B94="",$A94&lt;118),"",--MID('Key Analysis'!$C90,118,1))</f>
        <v/>
      </c>
      <c r="IW94" s="29" t="str">
        <f>IF(OR($B94="",$A94&lt;119),"",--MID('Key Analysis'!$C90,119,1))</f>
        <v/>
      </c>
      <c r="IX94" s="29" t="str">
        <f>IF(OR($B94="",$A94&lt;120),"",--MID('Key Analysis'!$C90,120,1))</f>
        <v/>
      </c>
      <c r="IY94" s="29" t="str">
        <f>IF(OR($B94="",$A94&lt;121),"",--MID('Key Analysis'!$C90,121,1))</f>
        <v/>
      </c>
      <c r="IZ94" s="29" t="str">
        <f>IF(OR($B94="",$A94&lt;122),"",--MID('Key Analysis'!$C90,122,1))</f>
        <v/>
      </c>
      <c r="JA94" s="29" t="str">
        <f>IF(OR($B94="",$A94&lt;123),"",--MID('Key Analysis'!$C90,123,1))</f>
        <v/>
      </c>
      <c r="JB94" s="29" t="str">
        <f>IF(OR($B94="",$A94&lt;124),"",--MID('Key Analysis'!$C90,124,1))</f>
        <v/>
      </c>
      <c r="JC94" s="29" t="str">
        <f>IF(OR($B94="",$A94&lt;125),"",--MID('Key Analysis'!$C90,125,1))</f>
        <v/>
      </c>
      <c r="JD94" s="29" t="str">
        <f>IF(OR($B94="",$A94&lt;126),"",--MID('Key Analysis'!$C90,126,1))</f>
        <v/>
      </c>
      <c r="JE94" s="29" t="str">
        <f>IF(OR($B94="",$A94&lt;127),"",--MID('Key Analysis'!$C90,127,1))</f>
        <v/>
      </c>
      <c r="JF94" s="29" t="str">
        <f>IF(OR($B94="",$A94&lt;128),"",--MID('Key Analysis'!$C90,128,1))</f>
        <v/>
      </c>
      <c r="JG94" s="29" t="str">
        <f>IF(OR($B94="",$A94&lt;129),"",--MID('Key Analysis'!$C90,129,1))</f>
        <v/>
      </c>
      <c r="JH94" s="29" t="str">
        <f>IF(OR($B94="",$A94&lt;130),"",--MID('Key Analysis'!$C90,130,1))</f>
        <v/>
      </c>
      <c r="JI94" s="29" t="str">
        <f>IF(OR($B94="",$A94&lt;131),"",--MID('Key Analysis'!$C90,131,1))</f>
        <v/>
      </c>
      <c r="JJ94" s="29" t="str">
        <f>IF(OR($B94="",$A94&lt;132),"",--MID('Key Analysis'!$C90,132,1))</f>
        <v/>
      </c>
      <c r="JK94" s="29" t="str">
        <f>IF(OR($B94="",$A94&lt;133),"",--MID('Key Analysis'!$C90,133,1))</f>
        <v/>
      </c>
      <c r="JL94" s="29" t="str">
        <f>IF(OR($B94="",$A94&lt;134),"",--MID('Key Analysis'!$C90,134,1))</f>
        <v/>
      </c>
      <c r="JM94" s="29" t="str">
        <f>IF(OR($B94="",$A94&lt;135),"",--MID('Key Analysis'!$C90,135,1))</f>
        <v/>
      </c>
    </row>
    <row r="95" spans="1:273" x14ac:dyDescent="0.25">
      <c r="A95" s="21">
        <f>'Key Analysis'!A91</f>
        <v>90</v>
      </c>
      <c r="B95" s="30" t="str">
        <f>'Key Analysis'!B91</f>
        <v>2ce00bb2136a445c71e85bf</v>
      </c>
      <c r="C95" s="29">
        <f>IF(OR($B95="",$A95&lt;=0),"",--MID('Key Analysis'!$C91,$A95-0,1))</f>
        <v>1</v>
      </c>
      <c r="D95" s="29">
        <f>IF(OR($B95="",$A95&lt;=1),"",--MID('Key Analysis'!$C91,$A95-1,1))</f>
        <v>1</v>
      </c>
      <c r="E95" s="29">
        <f>IF(OR($B95="",$A95&lt;=2),"",--MID('Key Analysis'!$C91,$A95-2,1))</f>
        <v>1</v>
      </c>
      <c r="F95" s="29">
        <f>IF(OR($B95="",$A95&lt;=3),"",--MID('Key Analysis'!$C91,$A95-3,1))</f>
        <v>1</v>
      </c>
      <c r="G95" s="29">
        <f>IF(OR($B95="",$A95&lt;=4),"",--MID('Key Analysis'!$C91,$A95-4,1))</f>
        <v>1</v>
      </c>
      <c r="H95" s="29">
        <f>IF(OR($B95="",$A95&lt;=5),"",--MID('Key Analysis'!$C91,$A95-5,1))</f>
        <v>1</v>
      </c>
      <c r="I95" s="29">
        <f>IF(OR($B95="",$A95&lt;=6),"",--MID('Key Analysis'!$C91,$A95-6,1))</f>
        <v>0</v>
      </c>
      <c r="J95" s="29">
        <f>IF(OR($B95="",$A95&lt;=7),"",--MID('Key Analysis'!$C91,$A95-7,1))</f>
        <v>1</v>
      </c>
      <c r="K95" s="29">
        <f>IF(OR($B95="",$A95&lt;=8),"",--MID('Key Analysis'!$C91,$A95-8,1))</f>
        <v>1</v>
      </c>
      <c r="L95" s="29">
        <f>IF(OR($B95="",$A95&lt;=9),"",--MID('Key Analysis'!$C91,$A95-9,1))</f>
        <v>0</v>
      </c>
      <c r="M95" s="29">
        <f>IF(OR($B95="",$A95&lt;=10),"",--MID('Key Analysis'!$C91,$A95-10,1))</f>
        <v>1</v>
      </c>
      <c r="N95" s="29">
        <f>IF(OR($B95="",$A95&lt;=11),"",--MID('Key Analysis'!$C91,$A95-11,1))</f>
        <v>0</v>
      </c>
      <c r="O95" s="29">
        <f>IF(OR($B95="",$A95&lt;=12),"",--MID('Key Analysis'!$C91,$A95-12,1))</f>
        <v>0</v>
      </c>
      <c r="P95" s="29">
        <f>IF(OR($B95="",$A95&lt;=13),"",--MID('Key Analysis'!$C91,$A95-13,1))</f>
        <v>0</v>
      </c>
      <c r="Q95" s="29">
        <f>IF(OR($B95="",$A95&lt;=14),"",--MID('Key Analysis'!$C91,$A95-14,1))</f>
        <v>0</v>
      </c>
      <c r="R95" s="29">
        <f>IF(OR($B95="",$A95&lt;=15),"",--MID('Key Analysis'!$C91,$A95-15,1))</f>
        <v>1</v>
      </c>
      <c r="S95" s="29">
        <f>IF(OR($B95="",$A95&lt;=16),"",--MID('Key Analysis'!$C91,$A95-16,1))</f>
        <v>0</v>
      </c>
      <c r="T95" s="29">
        <f>IF(OR($B95="",$A95&lt;=17),"",--MID('Key Analysis'!$C91,$A95-17,1))</f>
        <v>1</v>
      </c>
      <c r="U95" s="29">
        <f>IF(OR($B95="",$A95&lt;=18),"",--MID('Key Analysis'!$C91,$A95-18,1))</f>
        <v>1</v>
      </c>
      <c r="V95" s="29">
        <f>IF(OR($B95="",$A95&lt;=19),"",--MID('Key Analysis'!$C91,$A95-19,1))</f>
        <v>1</v>
      </c>
      <c r="W95" s="29">
        <f>IF(OR($B95="",$A95&lt;=20),"",--MID('Key Analysis'!$C91,$A95-20,1))</f>
        <v>1</v>
      </c>
      <c r="X95" s="29">
        <f>IF(OR($B95="",$A95&lt;=21),"",--MID('Key Analysis'!$C91,$A95-21,1))</f>
        <v>0</v>
      </c>
      <c r="Y95" s="29">
        <f>IF(OR($B95="",$A95&lt;=22),"",--MID('Key Analysis'!$C91,$A95-22,1))</f>
        <v>0</v>
      </c>
      <c r="Z95" s="29">
        <f>IF(OR($B95="",$A95&lt;=23),"",--MID('Key Analysis'!$C91,$A95-23,1))</f>
        <v>0</v>
      </c>
      <c r="AA95" s="29">
        <f>IF(OR($B95="",$A95&lt;=24),"",--MID('Key Analysis'!$C91,$A95-24,1))</f>
        <v>1</v>
      </c>
      <c r="AB95" s="29">
        <f>IF(OR($B95="",$A95&lt;=25),"",--MID('Key Analysis'!$C91,$A95-25,1))</f>
        <v>1</v>
      </c>
      <c r="AC95" s="29">
        <f>IF(OR($B95="",$A95&lt;=26),"",--MID('Key Analysis'!$C91,$A95-26,1))</f>
        <v>1</v>
      </c>
      <c r="AD95" s="29">
        <f>IF(OR($B95="",$A95&lt;=27),"",--MID('Key Analysis'!$C91,$A95-27,1))</f>
        <v>0</v>
      </c>
      <c r="AE95" s="29">
        <f>IF(OR($B95="",$A95&lt;=28),"",--MID('Key Analysis'!$C91,$A95-28,1))</f>
        <v>0</v>
      </c>
      <c r="AF95" s="29">
        <f>IF(OR($B95="",$A95&lt;=29),"",--MID('Key Analysis'!$C91,$A95-29,1))</f>
        <v>0</v>
      </c>
      <c r="AG95" s="29">
        <f>IF(OR($B95="",$A95&lt;=30),"",--MID('Key Analysis'!$C91,$A95-30,1))</f>
        <v>1</v>
      </c>
      <c r="AH95" s="29">
        <f>IF(OR($B95="",$A95&lt;=31),"",--MID('Key Analysis'!$C91,$A95-31,1))</f>
        <v>1</v>
      </c>
      <c r="AI95" s="29">
        <f>IF(OR($B95="",$A95&lt;=32),"",--MID('Key Analysis'!$C91,$A95-32,1))</f>
        <v>1</v>
      </c>
      <c r="AJ95" s="29">
        <f>IF(OR($B95="",$A95&lt;=33),"",--MID('Key Analysis'!$C91,$A95-33,1))</f>
        <v>0</v>
      </c>
      <c r="AK95" s="29">
        <f>IF(OR($B95="",$A95&lt;=34),"",--MID('Key Analysis'!$C91,$A95-34,1))</f>
        <v>1</v>
      </c>
      <c r="AL95" s="29">
        <f>IF(OR($B95="",$A95&lt;=35),"",--MID('Key Analysis'!$C91,$A95-35,1))</f>
        <v>0</v>
      </c>
      <c r="AM95" s="29">
        <f>IF(OR($B95="",$A95&lt;=36),"",--MID('Key Analysis'!$C91,$A95-36,1))</f>
        <v>0</v>
      </c>
      <c r="AN95" s="29">
        <f>IF(OR($B95="",$A95&lt;=37),"",--MID('Key Analysis'!$C91,$A95-37,1))</f>
        <v>0</v>
      </c>
      <c r="AO95" s="29">
        <f>IF(OR($B95="",$A95&lt;=38),"",--MID('Key Analysis'!$C91,$A95-38,1))</f>
        <v>1</v>
      </c>
      <c r="AP95" s="29">
        <f>IF(OR($B95="",$A95&lt;=39),"",--MID('Key Analysis'!$C91,$A95-39,1))</f>
        <v>0</v>
      </c>
      <c r="AQ95" s="29">
        <f>IF(OR($B95="",$A95&lt;=40),"",--MID('Key Analysis'!$C91,$A95-40,1))</f>
        <v>0</v>
      </c>
      <c r="AR95" s="29">
        <f>IF(OR($B95="",$A95&lt;=41),"",--MID('Key Analysis'!$C91,$A95-41,1))</f>
        <v>0</v>
      </c>
      <c r="AS95" s="29">
        <f>IF(OR($B95="",$A95&lt;=42),"",--MID('Key Analysis'!$C91,$A95-42,1))</f>
        <v>1</v>
      </c>
      <c r="AT95" s="29">
        <f>IF(OR($B95="",$A95&lt;=43),"",--MID('Key Analysis'!$C91,$A95-43,1))</f>
        <v>0</v>
      </c>
      <c r="AU95" s="29">
        <f>IF(OR($B95="",$A95&lt;=44),"",--MID('Key Analysis'!$C91,$A95-44,1))</f>
        <v>0</v>
      </c>
      <c r="AV95" s="29">
        <f>IF(OR($B95="",$A95&lt;=45),"",--MID('Key Analysis'!$C91,$A95-45,1))</f>
        <v>1</v>
      </c>
      <c r="AW95" s="29">
        <f>IF(OR($B95="",$A95&lt;=46),"",--MID('Key Analysis'!$C91,$A95-46,1))</f>
        <v>0</v>
      </c>
      <c r="AX95" s="29">
        <f>IF(OR($B95="",$A95&lt;=47),"",--MID('Key Analysis'!$C91,$A95-47,1))</f>
        <v>1</v>
      </c>
      <c r="AY95" s="29">
        <f>IF(OR($B95="",$A95&lt;=48),"",--MID('Key Analysis'!$C91,$A95-48,1))</f>
        <v>0</v>
      </c>
      <c r="AZ95" s="29">
        <f>IF(OR($B95="",$A95&lt;=49),"",--MID('Key Analysis'!$C91,$A95-49,1))</f>
        <v>1</v>
      </c>
      <c r="BA95" s="29">
        <f>IF(OR($B95="",$A95&lt;=50),"",--MID('Key Analysis'!$C91,$A95-50,1))</f>
        <v>1</v>
      </c>
      <c r="BB95" s="29">
        <f>IF(OR($B95="",$A95&lt;=51),"",--MID('Key Analysis'!$C91,$A95-51,1))</f>
        <v>0</v>
      </c>
      <c r="BC95" s="29">
        <f>IF(OR($B95="",$A95&lt;=52),"",--MID('Key Analysis'!$C91,$A95-52,1))</f>
        <v>1</v>
      </c>
      <c r="BD95" s="29">
        <f>IF(OR($B95="",$A95&lt;=53),"",--MID('Key Analysis'!$C91,$A95-53,1))</f>
        <v>1</v>
      </c>
      <c r="BE95" s="29">
        <f>IF(OR($B95="",$A95&lt;=54),"",--MID('Key Analysis'!$C91,$A95-54,1))</f>
        <v>0</v>
      </c>
      <c r="BF95" s="29">
        <f>IF(OR($B95="",$A95&lt;=55),"",--MID('Key Analysis'!$C91,$A95-55,1))</f>
        <v>0</v>
      </c>
      <c r="BG95" s="29">
        <f>IF(OR($B95="",$A95&lt;=56),"",--MID('Key Analysis'!$C91,$A95-56,1))</f>
        <v>1</v>
      </c>
      <c r="BH95" s="29">
        <f>IF(OR($B95="",$A95&lt;=57),"",--MID('Key Analysis'!$C91,$A95-57,1))</f>
        <v>0</v>
      </c>
      <c r="BI95" s="29">
        <f>IF(OR($B95="",$A95&lt;=58),"",--MID('Key Analysis'!$C91,$A95-58,1))</f>
        <v>0</v>
      </c>
      <c r="BJ95" s="29">
        <f>IF(OR($B95="",$A95&lt;=59),"",--MID('Key Analysis'!$C91,$A95-59,1))</f>
        <v>0</v>
      </c>
      <c r="BK95" s="29">
        <f>IF(OR($B95="",$A95&lt;=60),"",--MID('Key Analysis'!$C91,$A95-60,1))</f>
        <v>0</v>
      </c>
      <c r="BL95" s="29">
        <f>IF(OR($B95="",$A95&lt;=61),"",--MID('Key Analysis'!$C91,$A95-61,1))</f>
        <v>1</v>
      </c>
      <c r="BM95" s="29">
        <f>IF(OR($B95="",$A95&lt;=62),"",--MID('Key Analysis'!$C91,$A95-62,1))</f>
        <v>0</v>
      </c>
      <c r="BN95" s="29">
        <f>IF(OR($B95="",$A95&lt;=63),"",--MID('Key Analysis'!$C91,$A95-63,1))</f>
        <v>0</v>
      </c>
      <c r="BO95" s="29">
        <f>IF(OR($B95="",$A95&lt;=64),"",--MID('Key Analysis'!$C91,$A95-64,1))</f>
        <v>1</v>
      </c>
      <c r="BP95" s="29">
        <f>IF(OR($B95="",$A95&lt;=65),"",--MID('Key Analysis'!$C91,$A95-65,1))</f>
        <v>1</v>
      </c>
      <c r="BQ95" s="29">
        <f>IF(OR($B95="",$A95&lt;=66),"",--MID('Key Analysis'!$C91,$A95-66,1))</f>
        <v>0</v>
      </c>
      <c r="BR95" s="29">
        <f>IF(OR($B95="",$A95&lt;=67),"",--MID('Key Analysis'!$C91,$A95-67,1))</f>
        <v>1</v>
      </c>
      <c r="BS95" s="29">
        <f>IF(OR($B95="",$A95&lt;=68),"",--MID('Key Analysis'!$C91,$A95-68,1))</f>
        <v>1</v>
      </c>
      <c r="BT95" s="29">
        <f>IF(OR($B95="",$A95&lt;=69),"",--MID('Key Analysis'!$C91,$A95-69,1))</f>
        <v>1</v>
      </c>
      <c r="BU95" s="29">
        <f>IF(OR($B95="",$A95&lt;=70),"",--MID('Key Analysis'!$C91,$A95-70,1))</f>
        <v>0</v>
      </c>
      <c r="BV95" s="29">
        <f>IF(OR($B95="",$A95&lt;=71),"",--MID('Key Analysis'!$C91,$A95-71,1))</f>
        <v>1</v>
      </c>
      <c r="BW95" s="29">
        <f>IF(OR($B95="",$A95&lt;=72),"",--MID('Key Analysis'!$C91,$A95-72,1))</f>
        <v>0</v>
      </c>
      <c r="BX95" s="29">
        <f>IF(OR($B95="",$A95&lt;=73),"",--MID('Key Analysis'!$C91,$A95-73,1))</f>
        <v>0</v>
      </c>
      <c r="BY95" s="29">
        <f>IF(OR($B95="",$A95&lt;=74),"",--MID('Key Analysis'!$C91,$A95-74,1))</f>
        <v>0</v>
      </c>
      <c r="BZ95" s="29">
        <f>IF(OR($B95="",$A95&lt;=75),"",--MID('Key Analysis'!$C91,$A95-75,1))</f>
        <v>0</v>
      </c>
      <c r="CA95" s="29">
        <f>IF(OR($B95="",$A95&lt;=76),"",--MID('Key Analysis'!$C91,$A95-76,1))</f>
        <v>0</v>
      </c>
      <c r="CB95" s="29">
        <f>IF(OR($B95="",$A95&lt;=77),"",--MID('Key Analysis'!$C91,$A95-77,1))</f>
        <v>0</v>
      </c>
      <c r="CC95" s="29">
        <f>IF(OR($B95="",$A95&lt;=78),"",--MID('Key Analysis'!$C91,$A95-78,1))</f>
        <v>0</v>
      </c>
      <c r="CD95" s="29">
        <f>IF(OR($B95="",$A95&lt;=79),"",--MID('Key Analysis'!$C91,$A95-79,1))</f>
        <v>0</v>
      </c>
      <c r="CE95" s="29">
        <f>IF(OR($B95="",$A95&lt;=80),"",--MID('Key Analysis'!$C91,$A95-80,1))</f>
        <v>0</v>
      </c>
      <c r="CF95" s="29">
        <f>IF(OR($B95="",$A95&lt;=81),"",--MID('Key Analysis'!$C91,$A95-81,1))</f>
        <v>1</v>
      </c>
      <c r="CG95" s="29">
        <f>IF(OR($B95="",$A95&lt;=82),"",--MID('Key Analysis'!$C91,$A95-82,1))</f>
        <v>1</v>
      </c>
      <c r="CH95" s="29">
        <f>IF(OR($B95="",$A95&lt;=83),"",--MID('Key Analysis'!$C91,$A95-83,1))</f>
        <v>1</v>
      </c>
      <c r="CI95" s="29">
        <f>IF(OR($B95="",$A95&lt;=84),"",--MID('Key Analysis'!$C91,$A95-84,1))</f>
        <v>0</v>
      </c>
      <c r="CJ95" s="29">
        <f>IF(OR($B95="",$A95&lt;=85),"",--MID('Key Analysis'!$C91,$A95-85,1))</f>
        <v>0</v>
      </c>
      <c r="CK95" s="29">
        <f>IF(OR($B95="",$A95&lt;=86),"",--MID('Key Analysis'!$C91,$A95-86,1))</f>
        <v>1</v>
      </c>
      <c r="CL95" s="29">
        <f>IF(OR($B95="",$A95&lt;=87),"",--MID('Key Analysis'!$C91,$A95-87,1))</f>
        <v>1</v>
      </c>
      <c r="CM95" s="29">
        <f>IF(OR($B95="",$A95&lt;=88),"",--MID('Key Analysis'!$C91,$A95-88,1))</f>
        <v>0</v>
      </c>
      <c r="CN95" s="29">
        <f>IF(OR($B95="",$A95&lt;=89),"",--MID('Key Analysis'!$C91,$A95-89,1))</f>
        <v>1</v>
      </c>
      <c r="CO95" s="29" t="str">
        <f>IF(OR($B95="",$A95&lt;=90),"",--MID('Key Analysis'!$C91,$A95-90,1))</f>
        <v/>
      </c>
      <c r="CP95" s="29" t="str">
        <f>IF(OR($B95="",$A95&lt;=91),"",--MID('Key Analysis'!$C91,$A95-91,1))</f>
        <v/>
      </c>
      <c r="CQ95" s="29" t="str">
        <f>IF(OR($B95="",$A95&lt;=92),"",--MID('Key Analysis'!$C91,$A95-92,1))</f>
        <v/>
      </c>
      <c r="CR95" s="29" t="str">
        <f>IF(OR($B95="",$A95&lt;=93),"",--MID('Key Analysis'!$C91,$A95-93,1))</f>
        <v/>
      </c>
      <c r="CS95" s="29" t="str">
        <f>IF(OR($B95="",$A95&lt;=94),"",--MID('Key Analysis'!$C91,$A95-94,1))</f>
        <v/>
      </c>
      <c r="CT95" s="29" t="str">
        <f>IF(OR($B95="",$A95&lt;=95),"",--MID('Key Analysis'!$C91,$A95-95,1))</f>
        <v/>
      </c>
      <c r="CU95" s="29" t="str">
        <f>IF(OR($B95="",$A95&lt;=96),"",--MID('Key Analysis'!$C91,$A95-96,1))</f>
        <v/>
      </c>
      <c r="CV95" s="29" t="str">
        <f>IF(OR($B95="",$A95&lt;=97),"",--MID('Key Analysis'!$C91,$A95-97,1))</f>
        <v/>
      </c>
      <c r="CW95" s="29" t="str">
        <f>IF(OR($B95="",$A95&lt;=98),"",--MID('Key Analysis'!$C91,$A95-98,1))</f>
        <v/>
      </c>
      <c r="CX95" s="29" t="str">
        <f>IF(OR($B95="",$A95&lt;=99),"",--MID('Key Analysis'!$C91,$A95-99,1))</f>
        <v/>
      </c>
      <c r="CY95" s="29" t="str">
        <f>IF(OR($B95="",$A95&lt;=100),"",--MID('Key Analysis'!$C91,$A95-100,1))</f>
        <v/>
      </c>
      <c r="CZ95" s="29" t="str">
        <f>IF(OR($B95="",$A95&lt;=101),"",--MID('Key Analysis'!$C91,$A95-101,1))</f>
        <v/>
      </c>
      <c r="DA95" s="29" t="str">
        <f>IF(OR($B95="",$A95&lt;=102),"",--MID('Key Analysis'!$C91,$A95-102,1))</f>
        <v/>
      </c>
      <c r="DB95" s="29" t="str">
        <f>IF(OR($B95="",$A95&lt;=103),"",--MID('Key Analysis'!$C91,$A95-103,1))</f>
        <v/>
      </c>
      <c r="DC95" s="29" t="str">
        <f>IF(OR($B95="",$A95&lt;=104),"",--MID('Key Analysis'!$C91,$A95-104,1))</f>
        <v/>
      </c>
      <c r="DD95" s="29" t="str">
        <f>IF(OR($B95="",$A95&lt;=105),"",--MID('Key Analysis'!$C91,$A95-105,1))</f>
        <v/>
      </c>
      <c r="DE95" s="29" t="str">
        <f>IF(OR($B95="",$A95&lt;=106),"",--MID('Key Analysis'!$C91,$A95-106,1))</f>
        <v/>
      </c>
      <c r="DF95" s="29" t="str">
        <f>IF(OR($B95="",$A95&lt;=107),"",--MID('Key Analysis'!$C91,$A95-107,1))</f>
        <v/>
      </c>
      <c r="DG95" s="29" t="str">
        <f>IF(OR($B95="",$A95&lt;=108),"",--MID('Key Analysis'!$C91,$A95-108,1))</f>
        <v/>
      </c>
      <c r="DH95" s="29" t="str">
        <f>IF(OR($B95="",$A95&lt;=109),"",--MID('Key Analysis'!$C91,$A95-109,1))</f>
        <v/>
      </c>
      <c r="DI95" s="29" t="str">
        <f>IF(OR($B95="",$A95&lt;=110),"",--MID('Key Analysis'!$C91,$A95-110,1))</f>
        <v/>
      </c>
      <c r="DJ95" s="29" t="str">
        <f>IF(OR($B95="",$A95&lt;=111),"",--MID('Key Analysis'!$C91,$A95-111,1))</f>
        <v/>
      </c>
      <c r="DK95" s="29" t="str">
        <f>IF(OR($B95="",$A95&lt;=112),"",--MID('Key Analysis'!$C91,$A95-112,1))</f>
        <v/>
      </c>
      <c r="DL95" s="29" t="str">
        <f>IF(OR($B95="",$A95&lt;=113),"",--MID('Key Analysis'!$C91,$A95-113,1))</f>
        <v/>
      </c>
      <c r="DM95" s="29" t="str">
        <f>IF(OR($B95="",$A95&lt;=114),"",--MID('Key Analysis'!$C91,$A95-114,1))</f>
        <v/>
      </c>
      <c r="DN95" s="29" t="str">
        <f>IF(OR($B95="",$A95&lt;=115),"",--MID('Key Analysis'!$C91,$A95-115,1))</f>
        <v/>
      </c>
      <c r="DO95" s="29" t="str">
        <f>IF(OR($B95="",$A95&lt;=116),"",--MID('Key Analysis'!$C91,$A95-116,1))</f>
        <v/>
      </c>
      <c r="DP95" s="29" t="str">
        <f>IF(OR($B95="",$A95&lt;=117),"",--MID('Key Analysis'!$C91,$A95-117,1))</f>
        <v/>
      </c>
      <c r="DQ95" s="29" t="str">
        <f>IF(OR($B95="",$A95&lt;=118),"",--MID('Key Analysis'!$C91,$A95-118,1))</f>
        <v/>
      </c>
      <c r="DR95" s="29" t="str">
        <f>IF(OR($B95="",$A95&lt;=119),"",--MID('Key Analysis'!$C91,$A95-119,1))</f>
        <v/>
      </c>
      <c r="DS95" s="29" t="str">
        <f>IF(OR($B95="",$A95&lt;=120),"",--MID('Key Analysis'!$C91,$A95-120,1))</f>
        <v/>
      </c>
      <c r="DT95" s="29" t="str">
        <f>IF(OR($B95="",$A95&lt;=121),"",--MID('Key Analysis'!$C91,$A95-121,1))</f>
        <v/>
      </c>
      <c r="DU95" s="29" t="str">
        <f>IF(OR($B95="",$A95&lt;=122),"",--MID('Key Analysis'!$C91,$A95-122,1))</f>
        <v/>
      </c>
      <c r="DV95" s="29" t="str">
        <f>IF(OR($B95="",$A95&lt;=123),"",--MID('Key Analysis'!$C91,$A95-123,1))</f>
        <v/>
      </c>
      <c r="DW95" s="29" t="str">
        <f>IF(OR($B95="",$A95&lt;=124),"",--MID('Key Analysis'!$C91,$A95-124,1))</f>
        <v/>
      </c>
      <c r="DX95" s="29" t="str">
        <f>IF(OR($B95="",$A95&lt;=125),"",--MID('Key Analysis'!$C91,$A95-125,1))</f>
        <v/>
      </c>
      <c r="DY95" s="29" t="str">
        <f>IF(OR($B95="",$A95&lt;=126),"",--MID('Key Analysis'!$C91,$A95-126,1))</f>
        <v/>
      </c>
      <c r="DZ95" s="29" t="str">
        <f>IF(OR($B95="",$A95&lt;=127),"",--MID('Key Analysis'!$C91,$A95-127,1))</f>
        <v/>
      </c>
      <c r="EA95" s="29" t="str">
        <f>IF(OR($B95="",$A95&lt;=128),"",--MID('Key Analysis'!$C91,$A95-128,1))</f>
        <v/>
      </c>
      <c r="EB95" s="29" t="str">
        <f>IF(OR($B95="",$A95&lt;=129),"",--MID('Key Analysis'!$C91,$A95-129,1))</f>
        <v/>
      </c>
      <c r="EC95" s="29" t="str">
        <f>IF(OR($B95="",$A95&lt;=130),"",--MID('Key Analysis'!$C91,$A95-130,1))</f>
        <v/>
      </c>
      <c r="ED95" s="29" t="str">
        <f>IF(OR($B95="",$A95&lt;=131),"",--MID('Key Analysis'!$C91,$A95-131,1))</f>
        <v/>
      </c>
      <c r="EE95" s="29" t="str">
        <f>IF(OR($B95="",$A95&lt;=132),"",--MID('Key Analysis'!$C91,$A95-132,1))</f>
        <v/>
      </c>
      <c r="EF95" s="29" t="str">
        <f>IF(OR($B95="",$A95&lt;=133),"",--MID('Key Analysis'!$C91,$A95-133,1))</f>
        <v/>
      </c>
      <c r="EG95" s="29" t="str">
        <f>IF(OR($B95="",$A95&lt;=134),"",--MID('Key Analysis'!$C91,$A95-134,1))</f>
        <v/>
      </c>
      <c r="EH95" s="29"/>
      <c r="EI95" s="29">
        <f>IF(OR($B95="",$A95&lt;1),"",--MID('Key Analysis'!$C91,1,1))</f>
        <v>1</v>
      </c>
      <c r="EJ95" s="29">
        <f>IF(OR($B95="",$A95&lt;2),"",--MID('Key Analysis'!$C91,2,1))</f>
        <v>0</v>
      </c>
      <c r="EK95" s="29">
        <f>IF(OR($B95="",$A95&lt;3),"",--MID('Key Analysis'!$C91,3,1))</f>
        <v>1</v>
      </c>
      <c r="EL95" s="29">
        <f>IF(OR($B95="",$A95&lt;4),"",--MID('Key Analysis'!$C91,4,1))</f>
        <v>1</v>
      </c>
      <c r="EM95" s="29">
        <f>IF(OR($B95="",$A95&lt;5),"",--MID('Key Analysis'!$C91,5,1))</f>
        <v>0</v>
      </c>
      <c r="EN95" s="29">
        <f>IF(OR($B95="",$A95&lt;6),"",--MID('Key Analysis'!$C91,6,1))</f>
        <v>0</v>
      </c>
      <c r="EO95" s="29">
        <f>IF(OR($B95="",$A95&lt;7),"",--MID('Key Analysis'!$C91,7,1))</f>
        <v>1</v>
      </c>
      <c r="EP95" s="29">
        <f>IF(OR($B95="",$A95&lt;8),"",--MID('Key Analysis'!$C91,8,1))</f>
        <v>1</v>
      </c>
      <c r="EQ95" s="29">
        <f>IF(OR($B95="",$A95&lt;9),"",--MID('Key Analysis'!$C91,9,1))</f>
        <v>1</v>
      </c>
      <c r="ER95" s="29">
        <f>IF(OR($B95="",$A95&lt;10),"",--MID('Key Analysis'!$C91,10,1))</f>
        <v>0</v>
      </c>
      <c r="ES95" s="29">
        <f>IF(OR($B95="",$A95&lt;11),"",--MID('Key Analysis'!$C91,11,1))</f>
        <v>0</v>
      </c>
      <c r="ET95" s="29">
        <f>IF(OR($B95="",$A95&lt;12),"",--MID('Key Analysis'!$C91,12,1))</f>
        <v>0</v>
      </c>
      <c r="EU95" s="29">
        <f>IF(OR($B95="",$A95&lt;13),"",--MID('Key Analysis'!$C91,13,1))</f>
        <v>0</v>
      </c>
      <c r="EV95" s="29">
        <f>IF(OR($B95="",$A95&lt;14),"",--MID('Key Analysis'!$C91,14,1))</f>
        <v>0</v>
      </c>
      <c r="EW95" s="29">
        <f>IF(OR($B95="",$A95&lt;15),"",--MID('Key Analysis'!$C91,15,1))</f>
        <v>0</v>
      </c>
      <c r="EX95" s="29">
        <f>IF(OR($B95="",$A95&lt;16),"",--MID('Key Analysis'!$C91,16,1))</f>
        <v>0</v>
      </c>
      <c r="EY95" s="29">
        <f>IF(OR($B95="",$A95&lt;17),"",--MID('Key Analysis'!$C91,17,1))</f>
        <v>0</v>
      </c>
      <c r="EZ95" s="29">
        <f>IF(OR($B95="",$A95&lt;18),"",--MID('Key Analysis'!$C91,18,1))</f>
        <v>0</v>
      </c>
      <c r="FA95" s="29">
        <f>IF(OR($B95="",$A95&lt;19),"",--MID('Key Analysis'!$C91,19,1))</f>
        <v>1</v>
      </c>
      <c r="FB95" s="29">
        <f>IF(OR($B95="",$A95&lt;20),"",--MID('Key Analysis'!$C91,20,1))</f>
        <v>0</v>
      </c>
      <c r="FC95" s="29">
        <f>IF(OR($B95="",$A95&lt;21),"",--MID('Key Analysis'!$C91,21,1))</f>
        <v>1</v>
      </c>
      <c r="FD95" s="29">
        <f>IF(OR($B95="",$A95&lt;22),"",--MID('Key Analysis'!$C91,22,1))</f>
        <v>1</v>
      </c>
      <c r="FE95" s="29">
        <f>IF(OR($B95="",$A95&lt;23),"",--MID('Key Analysis'!$C91,23,1))</f>
        <v>1</v>
      </c>
      <c r="FF95" s="29">
        <f>IF(OR($B95="",$A95&lt;24),"",--MID('Key Analysis'!$C91,24,1))</f>
        <v>0</v>
      </c>
      <c r="FG95" s="29">
        <f>IF(OR($B95="",$A95&lt;25),"",--MID('Key Analysis'!$C91,25,1))</f>
        <v>1</v>
      </c>
      <c r="FH95" s="29">
        <f>IF(OR($B95="",$A95&lt;26),"",--MID('Key Analysis'!$C91,26,1))</f>
        <v>1</v>
      </c>
      <c r="FI95" s="29">
        <f>IF(OR($B95="",$A95&lt;27),"",--MID('Key Analysis'!$C91,27,1))</f>
        <v>0</v>
      </c>
      <c r="FJ95" s="29">
        <f>IF(OR($B95="",$A95&lt;28),"",--MID('Key Analysis'!$C91,28,1))</f>
        <v>0</v>
      </c>
      <c r="FK95" s="29">
        <f>IF(OR($B95="",$A95&lt;29),"",--MID('Key Analysis'!$C91,29,1))</f>
        <v>1</v>
      </c>
      <c r="FL95" s="29">
        <f>IF(OR($B95="",$A95&lt;30),"",--MID('Key Analysis'!$C91,30,1))</f>
        <v>0</v>
      </c>
      <c r="FM95" s="29">
        <f>IF(OR($B95="",$A95&lt;31),"",--MID('Key Analysis'!$C91,31,1))</f>
        <v>0</v>
      </c>
      <c r="FN95" s="29">
        <f>IF(OR($B95="",$A95&lt;32),"",--MID('Key Analysis'!$C91,32,1))</f>
        <v>0</v>
      </c>
      <c r="FO95" s="29">
        <f>IF(OR($B95="",$A95&lt;33),"",--MID('Key Analysis'!$C91,33,1))</f>
        <v>0</v>
      </c>
      <c r="FP95" s="29">
        <f>IF(OR($B95="",$A95&lt;34),"",--MID('Key Analysis'!$C91,34,1))</f>
        <v>1</v>
      </c>
      <c r="FQ95" s="29">
        <f>IF(OR($B95="",$A95&lt;35),"",--MID('Key Analysis'!$C91,35,1))</f>
        <v>0</v>
      </c>
      <c r="FR95" s="29">
        <f>IF(OR($B95="",$A95&lt;36),"",--MID('Key Analysis'!$C91,36,1))</f>
        <v>0</v>
      </c>
      <c r="FS95" s="29">
        <f>IF(OR($B95="",$A95&lt;37),"",--MID('Key Analysis'!$C91,37,1))</f>
        <v>1</v>
      </c>
      <c r="FT95" s="29">
        <f>IF(OR($B95="",$A95&lt;38),"",--MID('Key Analysis'!$C91,38,1))</f>
        <v>1</v>
      </c>
      <c r="FU95" s="29">
        <f>IF(OR($B95="",$A95&lt;39),"",--MID('Key Analysis'!$C91,39,1))</f>
        <v>0</v>
      </c>
      <c r="FV95" s="29">
        <f>IF(OR($B95="",$A95&lt;40),"",--MID('Key Analysis'!$C91,40,1))</f>
        <v>1</v>
      </c>
      <c r="FW95" s="29">
        <f>IF(OR($B95="",$A95&lt;41),"",--MID('Key Analysis'!$C91,41,1))</f>
        <v>1</v>
      </c>
      <c r="FX95" s="29">
        <f>IF(OR($B95="",$A95&lt;42),"",--MID('Key Analysis'!$C91,42,1))</f>
        <v>0</v>
      </c>
      <c r="FY95" s="29">
        <f>IF(OR($B95="",$A95&lt;43),"",--MID('Key Analysis'!$C91,43,1))</f>
        <v>1</v>
      </c>
      <c r="FZ95" s="29">
        <f>IF(OR($B95="",$A95&lt;44),"",--MID('Key Analysis'!$C91,44,1))</f>
        <v>0</v>
      </c>
      <c r="GA95" s="29">
        <f>IF(OR($B95="",$A95&lt;45),"",--MID('Key Analysis'!$C91,45,1))</f>
        <v>1</v>
      </c>
      <c r="GB95" s="29">
        <f>IF(OR($B95="",$A95&lt;46),"",--MID('Key Analysis'!$C91,46,1))</f>
        <v>0</v>
      </c>
      <c r="GC95" s="29">
        <f>IF(OR($B95="",$A95&lt;47),"",--MID('Key Analysis'!$C91,47,1))</f>
        <v>0</v>
      </c>
      <c r="GD95" s="29">
        <f>IF(OR($B95="",$A95&lt;48),"",--MID('Key Analysis'!$C91,48,1))</f>
        <v>1</v>
      </c>
      <c r="GE95" s="29">
        <f>IF(OR($B95="",$A95&lt;49),"",--MID('Key Analysis'!$C91,49,1))</f>
        <v>0</v>
      </c>
      <c r="GF95" s="29">
        <f>IF(OR($B95="",$A95&lt;50),"",--MID('Key Analysis'!$C91,50,1))</f>
        <v>0</v>
      </c>
      <c r="GG95" s="29">
        <f>IF(OR($B95="",$A95&lt;51),"",--MID('Key Analysis'!$C91,51,1))</f>
        <v>0</v>
      </c>
      <c r="GH95" s="29">
        <f>IF(OR($B95="",$A95&lt;52),"",--MID('Key Analysis'!$C91,52,1))</f>
        <v>1</v>
      </c>
      <c r="GI95" s="29">
        <f>IF(OR($B95="",$A95&lt;53),"",--MID('Key Analysis'!$C91,53,1))</f>
        <v>0</v>
      </c>
      <c r="GJ95" s="29">
        <f>IF(OR($B95="",$A95&lt;54),"",--MID('Key Analysis'!$C91,54,1))</f>
        <v>0</v>
      </c>
      <c r="GK95" s="29">
        <f>IF(OR($B95="",$A95&lt;55),"",--MID('Key Analysis'!$C91,55,1))</f>
        <v>0</v>
      </c>
      <c r="GL95" s="29">
        <f>IF(OR($B95="",$A95&lt;56),"",--MID('Key Analysis'!$C91,56,1))</f>
        <v>1</v>
      </c>
      <c r="GM95" s="29">
        <f>IF(OR($B95="",$A95&lt;57),"",--MID('Key Analysis'!$C91,57,1))</f>
        <v>0</v>
      </c>
      <c r="GN95" s="29">
        <f>IF(OR($B95="",$A95&lt;58),"",--MID('Key Analysis'!$C91,58,1))</f>
        <v>1</v>
      </c>
      <c r="GO95" s="29">
        <f>IF(OR($B95="",$A95&lt;59),"",--MID('Key Analysis'!$C91,59,1))</f>
        <v>1</v>
      </c>
      <c r="GP95" s="29">
        <f>IF(OR($B95="",$A95&lt;60),"",--MID('Key Analysis'!$C91,60,1))</f>
        <v>1</v>
      </c>
      <c r="GQ95" s="29">
        <f>IF(OR($B95="",$A95&lt;61),"",--MID('Key Analysis'!$C91,61,1))</f>
        <v>0</v>
      </c>
      <c r="GR95" s="29">
        <f>IF(OR($B95="",$A95&lt;62),"",--MID('Key Analysis'!$C91,62,1))</f>
        <v>0</v>
      </c>
      <c r="GS95" s="29">
        <f>IF(OR($B95="",$A95&lt;63),"",--MID('Key Analysis'!$C91,63,1))</f>
        <v>0</v>
      </c>
      <c r="GT95" s="29">
        <f>IF(OR($B95="",$A95&lt;64),"",--MID('Key Analysis'!$C91,64,1))</f>
        <v>1</v>
      </c>
      <c r="GU95" s="29">
        <f>IF(OR($B95="",$A95&lt;65),"",--MID('Key Analysis'!$C91,65,1))</f>
        <v>1</v>
      </c>
      <c r="GV95" s="29">
        <f>IF(OR($B95="",$A95&lt;66),"",--MID('Key Analysis'!$C91,66,1))</f>
        <v>1</v>
      </c>
      <c r="GW95" s="29">
        <f>IF(OR($B95="",$A95&lt;67),"",--MID('Key Analysis'!$C91,67,1))</f>
        <v>0</v>
      </c>
      <c r="GX95" s="29">
        <f>IF(OR($B95="",$A95&lt;68),"",--MID('Key Analysis'!$C91,68,1))</f>
        <v>0</v>
      </c>
      <c r="GY95" s="29">
        <f>IF(OR($B95="",$A95&lt;69),"",--MID('Key Analysis'!$C91,69,1))</f>
        <v>0</v>
      </c>
      <c r="GZ95" s="29">
        <f>IF(OR($B95="",$A95&lt;70),"",--MID('Key Analysis'!$C91,70,1))</f>
        <v>1</v>
      </c>
      <c r="HA95" s="29">
        <f>IF(OR($B95="",$A95&lt;71),"",--MID('Key Analysis'!$C91,71,1))</f>
        <v>1</v>
      </c>
      <c r="HB95" s="29">
        <f>IF(OR($B95="",$A95&lt;72),"",--MID('Key Analysis'!$C91,72,1))</f>
        <v>1</v>
      </c>
      <c r="HC95" s="29">
        <f>IF(OR($B95="",$A95&lt;73),"",--MID('Key Analysis'!$C91,73,1))</f>
        <v>1</v>
      </c>
      <c r="HD95" s="29">
        <f>IF(OR($B95="",$A95&lt;74),"",--MID('Key Analysis'!$C91,74,1))</f>
        <v>0</v>
      </c>
      <c r="HE95" s="29">
        <f>IF(OR($B95="",$A95&lt;75),"",--MID('Key Analysis'!$C91,75,1))</f>
        <v>1</v>
      </c>
      <c r="HF95" s="29">
        <f>IF(OR($B95="",$A95&lt;76),"",--MID('Key Analysis'!$C91,76,1))</f>
        <v>0</v>
      </c>
      <c r="HG95" s="29">
        <f>IF(OR($B95="",$A95&lt;77),"",--MID('Key Analysis'!$C91,77,1))</f>
        <v>0</v>
      </c>
      <c r="HH95" s="29">
        <f>IF(OR($B95="",$A95&lt;78),"",--MID('Key Analysis'!$C91,78,1))</f>
        <v>0</v>
      </c>
      <c r="HI95" s="29">
        <f>IF(OR($B95="",$A95&lt;79),"",--MID('Key Analysis'!$C91,79,1))</f>
        <v>0</v>
      </c>
      <c r="HJ95" s="29">
        <f>IF(OR($B95="",$A95&lt;80),"",--MID('Key Analysis'!$C91,80,1))</f>
        <v>1</v>
      </c>
      <c r="HK95" s="29">
        <f>IF(OR($B95="",$A95&lt;81),"",--MID('Key Analysis'!$C91,81,1))</f>
        <v>0</v>
      </c>
      <c r="HL95" s="29">
        <f>IF(OR($B95="",$A95&lt;82),"",--MID('Key Analysis'!$C91,82,1))</f>
        <v>1</v>
      </c>
      <c r="HM95" s="29">
        <f>IF(OR($B95="",$A95&lt;83),"",--MID('Key Analysis'!$C91,83,1))</f>
        <v>1</v>
      </c>
      <c r="HN95" s="29">
        <f>IF(OR($B95="",$A95&lt;84),"",--MID('Key Analysis'!$C91,84,1))</f>
        <v>0</v>
      </c>
      <c r="HO95" s="29">
        <f>IF(OR($B95="",$A95&lt;85),"",--MID('Key Analysis'!$C91,85,1))</f>
        <v>1</v>
      </c>
      <c r="HP95" s="29">
        <f>IF(OR($B95="",$A95&lt;86),"",--MID('Key Analysis'!$C91,86,1))</f>
        <v>1</v>
      </c>
      <c r="HQ95" s="29">
        <f>IF(OR($B95="",$A95&lt;87),"",--MID('Key Analysis'!$C91,87,1))</f>
        <v>1</v>
      </c>
      <c r="HR95" s="29">
        <f>IF(OR($B95="",$A95&lt;88),"",--MID('Key Analysis'!$C91,88,1))</f>
        <v>1</v>
      </c>
      <c r="HS95" s="29">
        <f>IF(OR($B95="",$A95&lt;89),"",--MID('Key Analysis'!$C91,89,1))</f>
        <v>1</v>
      </c>
      <c r="HT95" s="29">
        <f>IF(OR($B95="",$A95&lt;90),"",--MID('Key Analysis'!$C91,90,1))</f>
        <v>1</v>
      </c>
      <c r="HU95" s="29" t="str">
        <f>IF(OR($B95="",$A95&lt;91),"",--MID('Key Analysis'!$C91,91,1))</f>
        <v/>
      </c>
      <c r="HV95" s="29" t="str">
        <f>IF(OR($B95="",$A95&lt;92),"",--MID('Key Analysis'!$C91,92,1))</f>
        <v/>
      </c>
      <c r="HW95" s="29" t="str">
        <f>IF(OR($B95="",$A95&lt;93),"",--MID('Key Analysis'!$C91,93,1))</f>
        <v/>
      </c>
      <c r="HX95" s="29" t="str">
        <f>IF(OR($B95="",$A95&lt;94),"",--MID('Key Analysis'!$C91,94,1))</f>
        <v/>
      </c>
      <c r="HY95" s="29" t="str">
        <f>IF(OR($B95="",$A95&lt;95),"",--MID('Key Analysis'!$C91,95,1))</f>
        <v/>
      </c>
      <c r="HZ95" s="29" t="str">
        <f>IF(OR($B95="",$A95&lt;96),"",--MID('Key Analysis'!$C91,96,1))</f>
        <v/>
      </c>
      <c r="IA95" s="29" t="str">
        <f>IF(OR($B95="",$A95&lt;97),"",--MID('Key Analysis'!$C91,97,1))</f>
        <v/>
      </c>
      <c r="IB95" s="29" t="str">
        <f>IF(OR($B95="",$A95&lt;98),"",--MID('Key Analysis'!$C91,98,1))</f>
        <v/>
      </c>
      <c r="IC95" s="29" t="str">
        <f>IF(OR($B95="",$A95&lt;99),"",--MID('Key Analysis'!$C91,99,1))</f>
        <v/>
      </c>
      <c r="ID95" s="29" t="str">
        <f>IF(OR($B95="",$A95&lt;100),"",--MID('Key Analysis'!$C91,100,1))</f>
        <v/>
      </c>
      <c r="IE95" s="29" t="str">
        <f>IF(OR($B95="",$A95&lt;101),"",--MID('Key Analysis'!$C91,101,1))</f>
        <v/>
      </c>
      <c r="IF95" s="29" t="str">
        <f>IF(OR($B95="",$A95&lt;102),"",--MID('Key Analysis'!$C91,102,1))</f>
        <v/>
      </c>
      <c r="IG95" s="29" t="str">
        <f>IF(OR($B95="",$A95&lt;103),"",--MID('Key Analysis'!$C91,103,1))</f>
        <v/>
      </c>
      <c r="IH95" s="29" t="str">
        <f>IF(OR($B95="",$A95&lt;104),"",--MID('Key Analysis'!$C91,104,1))</f>
        <v/>
      </c>
      <c r="II95" s="29" t="str">
        <f>IF(OR($B95="",$A95&lt;105),"",--MID('Key Analysis'!$C91,105,1))</f>
        <v/>
      </c>
      <c r="IJ95" s="29" t="str">
        <f>IF(OR($B95="",$A95&lt;106),"",--MID('Key Analysis'!$C91,106,1))</f>
        <v/>
      </c>
      <c r="IK95" s="29" t="str">
        <f>IF(OR($B95="",$A95&lt;107),"",--MID('Key Analysis'!$C91,107,1))</f>
        <v/>
      </c>
      <c r="IL95" s="29" t="str">
        <f>IF(OR($B95="",$A95&lt;108),"",--MID('Key Analysis'!$C91,108,1))</f>
        <v/>
      </c>
      <c r="IM95" s="29" t="str">
        <f>IF(OR($B95="",$A95&lt;109),"",--MID('Key Analysis'!$C91,109,1))</f>
        <v/>
      </c>
      <c r="IN95" s="29" t="str">
        <f>IF(OR($B95="",$A95&lt;110),"",--MID('Key Analysis'!$C91,110,1))</f>
        <v/>
      </c>
      <c r="IO95" s="29" t="str">
        <f>IF(OR($B95="",$A95&lt;111),"",--MID('Key Analysis'!$C91,111,1))</f>
        <v/>
      </c>
      <c r="IP95" s="29" t="str">
        <f>IF(OR($B95="",$A95&lt;112),"",--MID('Key Analysis'!$C91,112,1))</f>
        <v/>
      </c>
      <c r="IQ95" s="29" t="str">
        <f>IF(OR($B95="",$A95&lt;113),"",--MID('Key Analysis'!$C91,113,1))</f>
        <v/>
      </c>
      <c r="IR95" s="29" t="str">
        <f>IF(OR($B95="",$A95&lt;114),"",--MID('Key Analysis'!$C91,114,1))</f>
        <v/>
      </c>
      <c r="IS95" s="29" t="str">
        <f>IF(OR($B95="",$A95&lt;115),"",--MID('Key Analysis'!$C91,115,1))</f>
        <v/>
      </c>
      <c r="IT95" s="29" t="str">
        <f>IF(OR($B95="",$A95&lt;116),"",--MID('Key Analysis'!$C91,116,1))</f>
        <v/>
      </c>
      <c r="IU95" s="29" t="str">
        <f>IF(OR($B95="",$A95&lt;117),"",--MID('Key Analysis'!$C91,117,1))</f>
        <v/>
      </c>
      <c r="IV95" s="29" t="str">
        <f>IF(OR($B95="",$A95&lt;118),"",--MID('Key Analysis'!$C91,118,1))</f>
        <v/>
      </c>
      <c r="IW95" s="29" t="str">
        <f>IF(OR($B95="",$A95&lt;119),"",--MID('Key Analysis'!$C91,119,1))</f>
        <v/>
      </c>
      <c r="IX95" s="29" t="str">
        <f>IF(OR($B95="",$A95&lt;120),"",--MID('Key Analysis'!$C91,120,1))</f>
        <v/>
      </c>
      <c r="IY95" s="29" t="str">
        <f>IF(OR($B95="",$A95&lt;121),"",--MID('Key Analysis'!$C91,121,1))</f>
        <v/>
      </c>
      <c r="IZ95" s="29" t="str">
        <f>IF(OR($B95="",$A95&lt;122),"",--MID('Key Analysis'!$C91,122,1))</f>
        <v/>
      </c>
      <c r="JA95" s="29" t="str">
        <f>IF(OR($B95="",$A95&lt;123),"",--MID('Key Analysis'!$C91,123,1))</f>
        <v/>
      </c>
      <c r="JB95" s="29" t="str">
        <f>IF(OR($B95="",$A95&lt;124),"",--MID('Key Analysis'!$C91,124,1))</f>
        <v/>
      </c>
      <c r="JC95" s="29" t="str">
        <f>IF(OR($B95="",$A95&lt;125),"",--MID('Key Analysis'!$C91,125,1))</f>
        <v/>
      </c>
      <c r="JD95" s="29" t="str">
        <f>IF(OR($B95="",$A95&lt;126),"",--MID('Key Analysis'!$C91,126,1))</f>
        <v/>
      </c>
      <c r="JE95" s="29" t="str">
        <f>IF(OR($B95="",$A95&lt;127),"",--MID('Key Analysis'!$C91,127,1))</f>
        <v/>
      </c>
      <c r="JF95" s="29" t="str">
        <f>IF(OR($B95="",$A95&lt;128),"",--MID('Key Analysis'!$C91,128,1))</f>
        <v/>
      </c>
      <c r="JG95" s="29" t="str">
        <f>IF(OR($B95="",$A95&lt;129),"",--MID('Key Analysis'!$C91,129,1))</f>
        <v/>
      </c>
      <c r="JH95" s="29" t="str">
        <f>IF(OR($B95="",$A95&lt;130),"",--MID('Key Analysis'!$C91,130,1))</f>
        <v/>
      </c>
      <c r="JI95" s="29" t="str">
        <f>IF(OR($B95="",$A95&lt;131),"",--MID('Key Analysis'!$C91,131,1))</f>
        <v/>
      </c>
      <c r="JJ95" s="29" t="str">
        <f>IF(OR($B95="",$A95&lt;132),"",--MID('Key Analysis'!$C91,132,1))</f>
        <v/>
      </c>
      <c r="JK95" s="29" t="str">
        <f>IF(OR($B95="",$A95&lt;133),"",--MID('Key Analysis'!$C91,133,1))</f>
        <v/>
      </c>
      <c r="JL95" s="29" t="str">
        <f>IF(OR($B95="",$A95&lt;134),"",--MID('Key Analysis'!$C91,134,1))</f>
        <v/>
      </c>
      <c r="JM95" s="29" t="str">
        <f>IF(OR($B95="",$A95&lt;135),"",--MID('Key Analysis'!$C91,135,1))</f>
        <v/>
      </c>
    </row>
    <row r="96" spans="1:273" x14ac:dyDescent="0.25">
      <c r="A96" s="21">
        <f>'Key Analysis'!A92</f>
        <v>91</v>
      </c>
      <c r="B96" s="30" t="str">
        <f>'Key Analysis'!B92</f>
        <v/>
      </c>
      <c r="C96" s="29" t="str">
        <f>IF(OR($B96="",$A96&lt;=0),"",--MID('Key Analysis'!$C92,$A96-0,1))</f>
        <v/>
      </c>
      <c r="D96" s="29" t="str">
        <f>IF(OR($B96="",$A96&lt;=1),"",--MID('Key Analysis'!$C92,$A96-1,1))</f>
        <v/>
      </c>
      <c r="E96" s="29" t="str">
        <f>IF(OR($B96="",$A96&lt;=2),"",--MID('Key Analysis'!$C92,$A96-2,1))</f>
        <v/>
      </c>
      <c r="F96" s="29" t="str">
        <f>IF(OR($B96="",$A96&lt;=3),"",--MID('Key Analysis'!$C92,$A96-3,1))</f>
        <v/>
      </c>
      <c r="G96" s="29" t="str">
        <f>IF(OR($B96="",$A96&lt;=4),"",--MID('Key Analysis'!$C92,$A96-4,1))</f>
        <v/>
      </c>
      <c r="H96" s="29" t="str">
        <f>IF(OR($B96="",$A96&lt;=5),"",--MID('Key Analysis'!$C92,$A96-5,1))</f>
        <v/>
      </c>
      <c r="I96" s="29" t="str">
        <f>IF(OR($B96="",$A96&lt;=6),"",--MID('Key Analysis'!$C92,$A96-6,1))</f>
        <v/>
      </c>
      <c r="J96" s="29" t="str">
        <f>IF(OR($B96="",$A96&lt;=7),"",--MID('Key Analysis'!$C92,$A96-7,1))</f>
        <v/>
      </c>
      <c r="K96" s="29" t="str">
        <f>IF(OR($B96="",$A96&lt;=8),"",--MID('Key Analysis'!$C92,$A96-8,1))</f>
        <v/>
      </c>
      <c r="L96" s="29" t="str">
        <f>IF(OR($B96="",$A96&lt;=9),"",--MID('Key Analysis'!$C92,$A96-9,1))</f>
        <v/>
      </c>
      <c r="M96" s="29" t="str">
        <f>IF(OR($B96="",$A96&lt;=10),"",--MID('Key Analysis'!$C92,$A96-10,1))</f>
        <v/>
      </c>
      <c r="N96" s="29" t="str">
        <f>IF(OR($B96="",$A96&lt;=11),"",--MID('Key Analysis'!$C92,$A96-11,1))</f>
        <v/>
      </c>
      <c r="O96" s="29" t="str">
        <f>IF(OR($B96="",$A96&lt;=12),"",--MID('Key Analysis'!$C92,$A96-12,1))</f>
        <v/>
      </c>
      <c r="P96" s="29" t="str">
        <f>IF(OR($B96="",$A96&lt;=13),"",--MID('Key Analysis'!$C92,$A96-13,1))</f>
        <v/>
      </c>
      <c r="Q96" s="29" t="str">
        <f>IF(OR($B96="",$A96&lt;=14),"",--MID('Key Analysis'!$C92,$A96-14,1))</f>
        <v/>
      </c>
      <c r="R96" s="29" t="str">
        <f>IF(OR($B96="",$A96&lt;=15),"",--MID('Key Analysis'!$C92,$A96-15,1))</f>
        <v/>
      </c>
      <c r="S96" s="29" t="str">
        <f>IF(OR($B96="",$A96&lt;=16),"",--MID('Key Analysis'!$C92,$A96-16,1))</f>
        <v/>
      </c>
      <c r="T96" s="29" t="str">
        <f>IF(OR($B96="",$A96&lt;=17),"",--MID('Key Analysis'!$C92,$A96-17,1))</f>
        <v/>
      </c>
      <c r="U96" s="29" t="str">
        <f>IF(OR($B96="",$A96&lt;=18),"",--MID('Key Analysis'!$C92,$A96-18,1))</f>
        <v/>
      </c>
      <c r="V96" s="29" t="str">
        <f>IF(OR($B96="",$A96&lt;=19),"",--MID('Key Analysis'!$C92,$A96-19,1))</f>
        <v/>
      </c>
      <c r="W96" s="29" t="str">
        <f>IF(OR($B96="",$A96&lt;=20),"",--MID('Key Analysis'!$C92,$A96-20,1))</f>
        <v/>
      </c>
      <c r="X96" s="29" t="str">
        <f>IF(OR($B96="",$A96&lt;=21),"",--MID('Key Analysis'!$C92,$A96-21,1))</f>
        <v/>
      </c>
      <c r="Y96" s="29" t="str">
        <f>IF(OR($B96="",$A96&lt;=22),"",--MID('Key Analysis'!$C92,$A96-22,1))</f>
        <v/>
      </c>
      <c r="Z96" s="29" t="str">
        <f>IF(OR($B96="",$A96&lt;=23),"",--MID('Key Analysis'!$C92,$A96-23,1))</f>
        <v/>
      </c>
      <c r="AA96" s="29" t="str">
        <f>IF(OR($B96="",$A96&lt;=24),"",--MID('Key Analysis'!$C92,$A96-24,1))</f>
        <v/>
      </c>
      <c r="AB96" s="29" t="str">
        <f>IF(OR($B96="",$A96&lt;=25),"",--MID('Key Analysis'!$C92,$A96-25,1))</f>
        <v/>
      </c>
      <c r="AC96" s="29" t="str">
        <f>IF(OR($B96="",$A96&lt;=26),"",--MID('Key Analysis'!$C92,$A96-26,1))</f>
        <v/>
      </c>
      <c r="AD96" s="29" t="str">
        <f>IF(OR($B96="",$A96&lt;=27),"",--MID('Key Analysis'!$C92,$A96-27,1))</f>
        <v/>
      </c>
      <c r="AE96" s="29" t="str">
        <f>IF(OR($B96="",$A96&lt;=28),"",--MID('Key Analysis'!$C92,$A96-28,1))</f>
        <v/>
      </c>
      <c r="AF96" s="29" t="str">
        <f>IF(OR($B96="",$A96&lt;=29),"",--MID('Key Analysis'!$C92,$A96-29,1))</f>
        <v/>
      </c>
      <c r="AG96" s="29" t="str">
        <f>IF(OR($B96="",$A96&lt;=30),"",--MID('Key Analysis'!$C92,$A96-30,1))</f>
        <v/>
      </c>
      <c r="AH96" s="29" t="str">
        <f>IF(OR($B96="",$A96&lt;=31),"",--MID('Key Analysis'!$C92,$A96-31,1))</f>
        <v/>
      </c>
      <c r="AI96" s="29" t="str">
        <f>IF(OR($B96="",$A96&lt;=32),"",--MID('Key Analysis'!$C92,$A96-32,1))</f>
        <v/>
      </c>
      <c r="AJ96" s="29" t="str">
        <f>IF(OR($B96="",$A96&lt;=33),"",--MID('Key Analysis'!$C92,$A96-33,1))</f>
        <v/>
      </c>
      <c r="AK96" s="29" t="str">
        <f>IF(OR($B96="",$A96&lt;=34),"",--MID('Key Analysis'!$C92,$A96-34,1))</f>
        <v/>
      </c>
      <c r="AL96" s="29" t="str">
        <f>IF(OR($B96="",$A96&lt;=35),"",--MID('Key Analysis'!$C92,$A96-35,1))</f>
        <v/>
      </c>
      <c r="AM96" s="29" t="str">
        <f>IF(OR($B96="",$A96&lt;=36),"",--MID('Key Analysis'!$C92,$A96-36,1))</f>
        <v/>
      </c>
      <c r="AN96" s="29" t="str">
        <f>IF(OR($B96="",$A96&lt;=37),"",--MID('Key Analysis'!$C92,$A96-37,1))</f>
        <v/>
      </c>
      <c r="AO96" s="29" t="str">
        <f>IF(OR($B96="",$A96&lt;=38),"",--MID('Key Analysis'!$C92,$A96-38,1))</f>
        <v/>
      </c>
      <c r="AP96" s="29" t="str">
        <f>IF(OR($B96="",$A96&lt;=39),"",--MID('Key Analysis'!$C92,$A96-39,1))</f>
        <v/>
      </c>
      <c r="AQ96" s="29" t="str">
        <f>IF(OR($B96="",$A96&lt;=40),"",--MID('Key Analysis'!$C92,$A96-40,1))</f>
        <v/>
      </c>
      <c r="AR96" s="29" t="str">
        <f>IF(OR($B96="",$A96&lt;=41),"",--MID('Key Analysis'!$C92,$A96-41,1))</f>
        <v/>
      </c>
      <c r="AS96" s="29" t="str">
        <f>IF(OR($B96="",$A96&lt;=42),"",--MID('Key Analysis'!$C92,$A96-42,1))</f>
        <v/>
      </c>
      <c r="AT96" s="29" t="str">
        <f>IF(OR($B96="",$A96&lt;=43),"",--MID('Key Analysis'!$C92,$A96-43,1))</f>
        <v/>
      </c>
      <c r="AU96" s="29" t="str">
        <f>IF(OR($B96="",$A96&lt;=44),"",--MID('Key Analysis'!$C92,$A96-44,1))</f>
        <v/>
      </c>
      <c r="AV96" s="29" t="str">
        <f>IF(OR($B96="",$A96&lt;=45),"",--MID('Key Analysis'!$C92,$A96-45,1))</f>
        <v/>
      </c>
      <c r="AW96" s="29" t="str">
        <f>IF(OR($B96="",$A96&lt;=46),"",--MID('Key Analysis'!$C92,$A96-46,1))</f>
        <v/>
      </c>
      <c r="AX96" s="29" t="str">
        <f>IF(OR($B96="",$A96&lt;=47),"",--MID('Key Analysis'!$C92,$A96-47,1))</f>
        <v/>
      </c>
      <c r="AY96" s="29" t="str">
        <f>IF(OR($B96="",$A96&lt;=48),"",--MID('Key Analysis'!$C92,$A96-48,1))</f>
        <v/>
      </c>
      <c r="AZ96" s="29" t="str">
        <f>IF(OR($B96="",$A96&lt;=49),"",--MID('Key Analysis'!$C92,$A96-49,1))</f>
        <v/>
      </c>
      <c r="BA96" s="29" t="str">
        <f>IF(OR($B96="",$A96&lt;=50),"",--MID('Key Analysis'!$C92,$A96-50,1))</f>
        <v/>
      </c>
      <c r="BB96" s="29" t="str">
        <f>IF(OR($B96="",$A96&lt;=51),"",--MID('Key Analysis'!$C92,$A96-51,1))</f>
        <v/>
      </c>
      <c r="BC96" s="29" t="str">
        <f>IF(OR($B96="",$A96&lt;=52),"",--MID('Key Analysis'!$C92,$A96-52,1))</f>
        <v/>
      </c>
      <c r="BD96" s="29" t="str">
        <f>IF(OR($B96="",$A96&lt;=53),"",--MID('Key Analysis'!$C92,$A96-53,1))</f>
        <v/>
      </c>
      <c r="BE96" s="29" t="str">
        <f>IF(OR($B96="",$A96&lt;=54),"",--MID('Key Analysis'!$C92,$A96-54,1))</f>
        <v/>
      </c>
      <c r="BF96" s="29" t="str">
        <f>IF(OR($B96="",$A96&lt;=55),"",--MID('Key Analysis'!$C92,$A96-55,1))</f>
        <v/>
      </c>
      <c r="BG96" s="29" t="str">
        <f>IF(OR($B96="",$A96&lt;=56),"",--MID('Key Analysis'!$C92,$A96-56,1))</f>
        <v/>
      </c>
      <c r="BH96" s="29" t="str">
        <f>IF(OR($B96="",$A96&lt;=57),"",--MID('Key Analysis'!$C92,$A96-57,1))</f>
        <v/>
      </c>
      <c r="BI96" s="29" t="str">
        <f>IF(OR($B96="",$A96&lt;=58),"",--MID('Key Analysis'!$C92,$A96-58,1))</f>
        <v/>
      </c>
      <c r="BJ96" s="29" t="str">
        <f>IF(OR($B96="",$A96&lt;=59),"",--MID('Key Analysis'!$C92,$A96-59,1))</f>
        <v/>
      </c>
      <c r="BK96" s="29" t="str">
        <f>IF(OR($B96="",$A96&lt;=60),"",--MID('Key Analysis'!$C92,$A96-60,1))</f>
        <v/>
      </c>
      <c r="BL96" s="29" t="str">
        <f>IF(OR($B96="",$A96&lt;=61),"",--MID('Key Analysis'!$C92,$A96-61,1))</f>
        <v/>
      </c>
      <c r="BM96" s="29" t="str">
        <f>IF(OR($B96="",$A96&lt;=62),"",--MID('Key Analysis'!$C92,$A96-62,1))</f>
        <v/>
      </c>
      <c r="BN96" s="29" t="str">
        <f>IF(OR($B96="",$A96&lt;=63),"",--MID('Key Analysis'!$C92,$A96-63,1))</f>
        <v/>
      </c>
      <c r="BO96" s="29" t="str">
        <f>IF(OR($B96="",$A96&lt;=64),"",--MID('Key Analysis'!$C92,$A96-64,1))</f>
        <v/>
      </c>
      <c r="BP96" s="29" t="str">
        <f>IF(OR($B96="",$A96&lt;=65),"",--MID('Key Analysis'!$C92,$A96-65,1))</f>
        <v/>
      </c>
      <c r="BQ96" s="29" t="str">
        <f>IF(OR($B96="",$A96&lt;=66),"",--MID('Key Analysis'!$C92,$A96-66,1))</f>
        <v/>
      </c>
      <c r="BR96" s="29" t="str">
        <f>IF(OR($B96="",$A96&lt;=67),"",--MID('Key Analysis'!$C92,$A96-67,1))</f>
        <v/>
      </c>
      <c r="BS96" s="29" t="str">
        <f>IF(OR($B96="",$A96&lt;=68),"",--MID('Key Analysis'!$C92,$A96-68,1))</f>
        <v/>
      </c>
      <c r="BT96" s="29" t="str">
        <f>IF(OR($B96="",$A96&lt;=69),"",--MID('Key Analysis'!$C92,$A96-69,1))</f>
        <v/>
      </c>
      <c r="BU96" s="29" t="str">
        <f>IF(OR($B96="",$A96&lt;=70),"",--MID('Key Analysis'!$C92,$A96-70,1))</f>
        <v/>
      </c>
      <c r="BV96" s="29" t="str">
        <f>IF(OR($B96="",$A96&lt;=71),"",--MID('Key Analysis'!$C92,$A96-71,1))</f>
        <v/>
      </c>
      <c r="BW96" s="29" t="str">
        <f>IF(OR($B96="",$A96&lt;=72),"",--MID('Key Analysis'!$C92,$A96-72,1))</f>
        <v/>
      </c>
      <c r="BX96" s="29" t="str">
        <f>IF(OR($B96="",$A96&lt;=73),"",--MID('Key Analysis'!$C92,$A96-73,1))</f>
        <v/>
      </c>
      <c r="BY96" s="29" t="str">
        <f>IF(OR($B96="",$A96&lt;=74),"",--MID('Key Analysis'!$C92,$A96-74,1))</f>
        <v/>
      </c>
      <c r="BZ96" s="29" t="str">
        <f>IF(OR($B96="",$A96&lt;=75),"",--MID('Key Analysis'!$C92,$A96-75,1))</f>
        <v/>
      </c>
      <c r="CA96" s="29" t="str">
        <f>IF(OR($B96="",$A96&lt;=76),"",--MID('Key Analysis'!$C92,$A96-76,1))</f>
        <v/>
      </c>
      <c r="CB96" s="29" t="str">
        <f>IF(OR($B96="",$A96&lt;=77),"",--MID('Key Analysis'!$C92,$A96-77,1))</f>
        <v/>
      </c>
      <c r="CC96" s="29" t="str">
        <f>IF(OR($B96="",$A96&lt;=78),"",--MID('Key Analysis'!$C92,$A96-78,1))</f>
        <v/>
      </c>
      <c r="CD96" s="29" t="str">
        <f>IF(OR($B96="",$A96&lt;=79),"",--MID('Key Analysis'!$C92,$A96-79,1))</f>
        <v/>
      </c>
      <c r="CE96" s="29" t="str">
        <f>IF(OR($B96="",$A96&lt;=80),"",--MID('Key Analysis'!$C92,$A96-80,1))</f>
        <v/>
      </c>
      <c r="CF96" s="29" t="str">
        <f>IF(OR($B96="",$A96&lt;=81),"",--MID('Key Analysis'!$C92,$A96-81,1))</f>
        <v/>
      </c>
      <c r="CG96" s="29" t="str">
        <f>IF(OR($B96="",$A96&lt;=82),"",--MID('Key Analysis'!$C92,$A96-82,1))</f>
        <v/>
      </c>
      <c r="CH96" s="29" t="str">
        <f>IF(OR($B96="",$A96&lt;=83),"",--MID('Key Analysis'!$C92,$A96-83,1))</f>
        <v/>
      </c>
      <c r="CI96" s="29" t="str">
        <f>IF(OR($B96="",$A96&lt;=84),"",--MID('Key Analysis'!$C92,$A96-84,1))</f>
        <v/>
      </c>
      <c r="CJ96" s="29" t="str">
        <f>IF(OR($B96="",$A96&lt;=85),"",--MID('Key Analysis'!$C92,$A96-85,1))</f>
        <v/>
      </c>
      <c r="CK96" s="29" t="str">
        <f>IF(OR($B96="",$A96&lt;=86),"",--MID('Key Analysis'!$C92,$A96-86,1))</f>
        <v/>
      </c>
      <c r="CL96" s="29" t="str">
        <f>IF(OR($B96="",$A96&lt;=87),"",--MID('Key Analysis'!$C92,$A96-87,1))</f>
        <v/>
      </c>
      <c r="CM96" s="29" t="str">
        <f>IF(OR($B96="",$A96&lt;=88),"",--MID('Key Analysis'!$C92,$A96-88,1))</f>
        <v/>
      </c>
      <c r="CN96" s="29" t="str">
        <f>IF(OR($B96="",$A96&lt;=89),"",--MID('Key Analysis'!$C92,$A96-89,1))</f>
        <v/>
      </c>
      <c r="CO96" s="29" t="str">
        <f>IF(OR($B96="",$A96&lt;=90),"",--MID('Key Analysis'!$C92,$A96-90,1))</f>
        <v/>
      </c>
      <c r="CP96" s="29" t="str">
        <f>IF(OR($B96="",$A96&lt;=91),"",--MID('Key Analysis'!$C92,$A96-91,1))</f>
        <v/>
      </c>
      <c r="CQ96" s="29" t="str">
        <f>IF(OR($B96="",$A96&lt;=92),"",--MID('Key Analysis'!$C92,$A96-92,1))</f>
        <v/>
      </c>
      <c r="CR96" s="29" t="str">
        <f>IF(OR($B96="",$A96&lt;=93),"",--MID('Key Analysis'!$C92,$A96-93,1))</f>
        <v/>
      </c>
      <c r="CS96" s="29" t="str">
        <f>IF(OR($B96="",$A96&lt;=94),"",--MID('Key Analysis'!$C92,$A96-94,1))</f>
        <v/>
      </c>
      <c r="CT96" s="29" t="str">
        <f>IF(OR($B96="",$A96&lt;=95),"",--MID('Key Analysis'!$C92,$A96-95,1))</f>
        <v/>
      </c>
      <c r="CU96" s="29" t="str">
        <f>IF(OR($B96="",$A96&lt;=96),"",--MID('Key Analysis'!$C92,$A96-96,1))</f>
        <v/>
      </c>
      <c r="CV96" s="29" t="str">
        <f>IF(OR($B96="",$A96&lt;=97),"",--MID('Key Analysis'!$C92,$A96-97,1))</f>
        <v/>
      </c>
      <c r="CW96" s="29" t="str">
        <f>IF(OR($B96="",$A96&lt;=98),"",--MID('Key Analysis'!$C92,$A96-98,1))</f>
        <v/>
      </c>
      <c r="CX96" s="29" t="str">
        <f>IF(OR($B96="",$A96&lt;=99),"",--MID('Key Analysis'!$C92,$A96-99,1))</f>
        <v/>
      </c>
      <c r="CY96" s="29" t="str">
        <f>IF(OR($B96="",$A96&lt;=100),"",--MID('Key Analysis'!$C92,$A96-100,1))</f>
        <v/>
      </c>
      <c r="CZ96" s="29" t="str">
        <f>IF(OR($B96="",$A96&lt;=101),"",--MID('Key Analysis'!$C92,$A96-101,1))</f>
        <v/>
      </c>
      <c r="DA96" s="29" t="str">
        <f>IF(OR($B96="",$A96&lt;=102),"",--MID('Key Analysis'!$C92,$A96-102,1))</f>
        <v/>
      </c>
      <c r="DB96" s="29" t="str">
        <f>IF(OR($B96="",$A96&lt;=103),"",--MID('Key Analysis'!$C92,$A96-103,1))</f>
        <v/>
      </c>
      <c r="DC96" s="29" t="str">
        <f>IF(OR($B96="",$A96&lt;=104),"",--MID('Key Analysis'!$C92,$A96-104,1))</f>
        <v/>
      </c>
      <c r="DD96" s="29" t="str">
        <f>IF(OR($B96="",$A96&lt;=105),"",--MID('Key Analysis'!$C92,$A96-105,1))</f>
        <v/>
      </c>
      <c r="DE96" s="29" t="str">
        <f>IF(OR($B96="",$A96&lt;=106),"",--MID('Key Analysis'!$C92,$A96-106,1))</f>
        <v/>
      </c>
      <c r="DF96" s="29" t="str">
        <f>IF(OR($B96="",$A96&lt;=107),"",--MID('Key Analysis'!$C92,$A96-107,1))</f>
        <v/>
      </c>
      <c r="DG96" s="29" t="str">
        <f>IF(OR($B96="",$A96&lt;=108),"",--MID('Key Analysis'!$C92,$A96-108,1))</f>
        <v/>
      </c>
      <c r="DH96" s="29" t="str">
        <f>IF(OR($B96="",$A96&lt;=109),"",--MID('Key Analysis'!$C92,$A96-109,1))</f>
        <v/>
      </c>
      <c r="DI96" s="29" t="str">
        <f>IF(OR($B96="",$A96&lt;=110),"",--MID('Key Analysis'!$C92,$A96-110,1))</f>
        <v/>
      </c>
      <c r="DJ96" s="29" t="str">
        <f>IF(OR($B96="",$A96&lt;=111),"",--MID('Key Analysis'!$C92,$A96-111,1))</f>
        <v/>
      </c>
      <c r="DK96" s="29" t="str">
        <f>IF(OR($B96="",$A96&lt;=112),"",--MID('Key Analysis'!$C92,$A96-112,1))</f>
        <v/>
      </c>
      <c r="DL96" s="29" t="str">
        <f>IF(OR($B96="",$A96&lt;=113),"",--MID('Key Analysis'!$C92,$A96-113,1))</f>
        <v/>
      </c>
      <c r="DM96" s="29" t="str">
        <f>IF(OR($B96="",$A96&lt;=114),"",--MID('Key Analysis'!$C92,$A96-114,1))</f>
        <v/>
      </c>
      <c r="DN96" s="29" t="str">
        <f>IF(OR($B96="",$A96&lt;=115),"",--MID('Key Analysis'!$C92,$A96-115,1))</f>
        <v/>
      </c>
      <c r="DO96" s="29" t="str">
        <f>IF(OR($B96="",$A96&lt;=116),"",--MID('Key Analysis'!$C92,$A96-116,1))</f>
        <v/>
      </c>
      <c r="DP96" s="29" t="str">
        <f>IF(OR($B96="",$A96&lt;=117),"",--MID('Key Analysis'!$C92,$A96-117,1))</f>
        <v/>
      </c>
      <c r="DQ96" s="29" t="str">
        <f>IF(OR($B96="",$A96&lt;=118),"",--MID('Key Analysis'!$C92,$A96-118,1))</f>
        <v/>
      </c>
      <c r="DR96" s="29" t="str">
        <f>IF(OR($B96="",$A96&lt;=119),"",--MID('Key Analysis'!$C92,$A96-119,1))</f>
        <v/>
      </c>
      <c r="DS96" s="29" t="str">
        <f>IF(OR($B96="",$A96&lt;=120),"",--MID('Key Analysis'!$C92,$A96-120,1))</f>
        <v/>
      </c>
      <c r="DT96" s="29" t="str">
        <f>IF(OR($B96="",$A96&lt;=121),"",--MID('Key Analysis'!$C92,$A96-121,1))</f>
        <v/>
      </c>
      <c r="DU96" s="29" t="str">
        <f>IF(OR($B96="",$A96&lt;=122),"",--MID('Key Analysis'!$C92,$A96-122,1))</f>
        <v/>
      </c>
      <c r="DV96" s="29" t="str">
        <f>IF(OR($B96="",$A96&lt;=123),"",--MID('Key Analysis'!$C92,$A96-123,1))</f>
        <v/>
      </c>
      <c r="DW96" s="29" t="str">
        <f>IF(OR($B96="",$A96&lt;=124),"",--MID('Key Analysis'!$C92,$A96-124,1))</f>
        <v/>
      </c>
      <c r="DX96" s="29" t="str">
        <f>IF(OR($B96="",$A96&lt;=125),"",--MID('Key Analysis'!$C92,$A96-125,1))</f>
        <v/>
      </c>
      <c r="DY96" s="29" t="str">
        <f>IF(OR($B96="",$A96&lt;=126),"",--MID('Key Analysis'!$C92,$A96-126,1))</f>
        <v/>
      </c>
      <c r="DZ96" s="29" t="str">
        <f>IF(OR($B96="",$A96&lt;=127),"",--MID('Key Analysis'!$C92,$A96-127,1))</f>
        <v/>
      </c>
      <c r="EA96" s="29" t="str">
        <f>IF(OR($B96="",$A96&lt;=128),"",--MID('Key Analysis'!$C92,$A96-128,1))</f>
        <v/>
      </c>
      <c r="EB96" s="29" t="str">
        <f>IF(OR($B96="",$A96&lt;=129),"",--MID('Key Analysis'!$C92,$A96-129,1))</f>
        <v/>
      </c>
      <c r="EC96" s="29" t="str">
        <f>IF(OR($B96="",$A96&lt;=130),"",--MID('Key Analysis'!$C92,$A96-130,1))</f>
        <v/>
      </c>
      <c r="ED96" s="29" t="str">
        <f>IF(OR($B96="",$A96&lt;=131),"",--MID('Key Analysis'!$C92,$A96-131,1))</f>
        <v/>
      </c>
      <c r="EE96" s="29" t="str">
        <f>IF(OR($B96="",$A96&lt;=132),"",--MID('Key Analysis'!$C92,$A96-132,1))</f>
        <v/>
      </c>
      <c r="EF96" s="29" t="str">
        <f>IF(OR($B96="",$A96&lt;=133),"",--MID('Key Analysis'!$C92,$A96-133,1))</f>
        <v/>
      </c>
      <c r="EG96" s="29" t="str">
        <f>IF(OR($B96="",$A96&lt;=134),"",--MID('Key Analysis'!$C92,$A96-134,1))</f>
        <v/>
      </c>
      <c r="EH96" s="29"/>
      <c r="EI96" s="29" t="str">
        <f>IF(OR($B96="",$A96&lt;1),"",--MID('Key Analysis'!$C92,1,1))</f>
        <v/>
      </c>
      <c r="EJ96" s="29" t="str">
        <f>IF(OR($B96="",$A96&lt;2),"",--MID('Key Analysis'!$C92,2,1))</f>
        <v/>
      </c>
      <c r="EK96" s="29" t="str">
        <f>IF(OR($B96="",$A96&lt;3),"",--MID('Key Analysis'!$C92,3,1))</f>
        <v/>
      </c>
      <c r="EL96" s="29" t="str">
        <f>IF(OR($B96="",$A96&lt;4),"",--MID('Key Analysis'!$C92,4,1))</f>
        <v/>
      </c>
      <c r="EM96" s="29" t="str">
        <f>IF(OR($B96="",$A96&lt;5),"",--MID('Key Analysis'!$C92,5,1))</f>
        <v/>
      </c>
      <c r="EN96" s="29" t="str">
        <f>IF(OR($B96="",$A96&lt;6),"",--MID('Key Analysis'!$C92,6,1))</f>
        <v/>
      </c>
      <c r="EO96" s="29" t="str">
        <f>IF(OR($B96="",$A96&lt;7),"",--MID('Key Analysis'!$C92,7,1))</f>
        <v/>
      </c>
      <c r="EP96" s="29" t="str">
        <f>IF(OR($B96="",$A96&lt;8),"",--MID('Key Analysis'!$C92,8,1))</f>
        <v/>
      </c>
      <c r="EQ96" s="29" t="str">
        <f>IF(OR($B96="",$A96&lt;9),"",--MID('Key Analysis'!$C92,9,1))</f>
        <v/>
      </c>
      <c r="ER96" s="29" t="str">
        <f>IF(OR($B96="",$A96&lt;10),"",--MID('Key Analysis'!$C92,10,1))</f>
        <v/>
      </c>
      <c r="ES96" s="29" t="str">
        <f>IF(OR($B96="",$A96&lt;11),"",--MID('Key Analysis'!$C92,11,1))</f>
        <v/>
      </c>
      <c r="ET96" s="29" t="str">
        <f>IF(OR($B96="",$A96&lt;12),"",--MID('Key Analysis'!$C92,12,1))</f>
        <v/>
      </c>
      <c r="EU96" s="29" t="str">
        <f>IF(OR($B96="",$A96&lt;13),"",--MID('Key Analysis'!$C92,13,1))</f>
        <v/>
      </c>
      <c r="EV96" s="29" t="str">
        <f>IF(OR($B96="",$A96&lt;14),"",--MID('Key Analysis'!$C92,14,1))</f>
        <v/>
      </c>
      <c r="EW96" s="29" t="str">
        <f>IF(OR($B96="",$A96&lt;15),"",--MID('Key Analysis'!$C92,15,1))</f>
        <v/>
      </c>
      <c r="EX96" s="29" t="str">
        <f>IF(OR($B96="",$A96&lt;16),"",--MID('Key Analysis'!$C92,16,1))</f>
        <v/>
      </c>
      <c r="EY96" s="29" t="str">
        <f>IF(OR($B96="",$A96&lt;17),"",--MID('Key Analysis'!$C92,17,1))</f>
        <v/>
      </c>
      <c r="EZ96" s="29" t="str">
        <f>IF(OR($B96="",$A96&lt;18),"",--MID('Key Analysis'!$C92,18,1))</f>
        <v/>
      </c>
      <c r="FA96" s="29" t="str">
        <f>IF(OR($B96="",$A96&lt;19),"",--MID('Key Analysis'!$C92,19,1))</f>
        <v/>
      </c>
      <c r="FB96" s="29" t="str">
        <f>IF(OR($B96="",$A96&lt;20),"",--MID('Key Analysis'!$C92,20,1))</f>
        <v/>
      </c>
      <c r="FC96" s="29" t="str">
        <f>IF(OR($B96="",$A96&lt;21),"",--MID('Key Analysis'!$C92,21,1))</f>
        <v/>
      </c>
      <c r="FD96" s="29" t="str">
        <f>IF(OR($B96="",$A96&lt;22),"",--MID('Key Analysis'!$C92,22,1))</f>
        <v/>
      </c>
      <c r="FE96" s="29" t="str">
        <f>IF(OR($B96="",$A96&lt;23),"",--MID('Key Analysis'!$C92,23,1))</f>
        <v/>
      </c>
      <c r="FF96" s="29" t="str">
        <f>IF(OR($B96="",$A96&lt;24),"",--MID('Key Analysis'!$C92,24,1))</f>
        <v/>
      </c>
      <c r="FG96" s="29" t="str">
        <f>IF(OR($B96="",$A96&lt;25),"",--MID('Key Analysis'!$C92,25,1))</f>
        <v/>
      </c>
      <c r="FH96" s="29" t="str">
        <f>IF(OR($B96="",$A96&lt;26),"",--MID('Key Analysis'!$C92,26,1))</f>
        <v/>
      </c>
      <c r="FI96" s="29" t="str">
        <f>IF(OR($B96="",$A96&lt;27),"",--MID('Key Analysis'!$C92,27,1))</f>
        <v/>
      </c>
      <c r="FJ96" s="29" t="str">
        <f>IF(OR($B96="",$A96&lt;28),"",--MID('Key Analysis'!$C92,28,1))</f>
        <v/>
      </c>
      <c r="FK96" s="29" t="str">
        <f>IF(OR($B96="",$A96&lt;29),"",--MID('Key Analysis'!$C92,29,1))</f>
        <v/>
      </c>
      <c r="FL96" s="29" t="str">
        <f>IF(OR($B96="",$A96&lt;30),"",--MID('Key Analysis'!$C92,30,1))</f>
        <v/>
      </c>
      <c r="FM96" s="29" t="str">
        <f>IF(OR($B96="",$A96&lt;31),"",--MID('Key Analysis'!$C92,31,1))</f>
        <v/>
      </c>
      <c r="FN96" s="29" t="str">
        <f>IF(OR($B96="",$A96&lt;32),"",--MID('Key Analysis'!$C92,32,1))</f>
        <v/>
      </c>
      <c r="FO96" s="29" t="str">
        <f>IF(OR($B96="",$A96&lt;33),"",--MID('Key Analysis'!$C92,33,1))</f>
        <v/>
      </c>
      <c r="FP96" s="29" t="str">
        <f>IF(OR($B96="",$A96&lt;34),"",--MID('Key Analysis'!$C92,34,1))</f>
        <v/>
      </c>
      <c r="FQ96" s="29" t="str">
        <f>IF(OR($B96="",$A96&lt;35),"",--MID('Key Analysis'!$C92,35,1))</f>
        <v/>
      </c>
      <c r="FR96" s="29" t="str">
        <f>IF(OR($B96="",$A96&lt;36),"",--MID('Key Analysis'!$C92,36,1))</f>
        <v/>
      </c>
      <c r="FS96" s="29" t="str">
        <f>IF(OR($B96="",$A96&lt;37),"",--MID('Key Analysis'!$C92,37,1))</f>
        <v/>
      </c>
      <c r="FT96" s="29" t="str">
        <f>IF(OR($B96="",$A96&lt;38),"",--MID('Key Analysis'!$C92,38,1))</f>
        <v/>
      </c>
      <c r="FU96" s="29" t="str">
        <f>IF(OR($B96="",$A96&lt;39),"",--MID('Key Analysis'!$C92,39,1))</f>
        <v/>
      </c>
      <c r="FV96" s="29" t="str">
        <f>IF(OR($B96="",$A96&lt;40),"",--MID('Key Analysis'!$C92,40,1))</f>
        <v/>
      </c>
      <c r="FW96" s="29" t="str">
        <f>IF(OR($B96="",$A96&lt;41),"",--MID('Key Analysis'!$C92,41,1))</f>
        <v/>
      </c>
      <c r="FX96" s="29" t="str">
        <f>IF(OR($B96="",$A96&lt;42),"",--MID('Key Analysis'!$C92,42,1))</f>
        <v/>
      </c>
      <c r="FY96" s="29" t="str">
        <f>IF(OR($B96="",$A96&lt;43),"",--MID('Key Analysis'!$C92,43,1))</f>
        <v/>
      </c>
      <c r="FZ96" s="29" t="str">
        <f>IF(OR($B96="",$A96&lt;44),"",--MID('Key Analysis'!$C92,44,1))</f>
        <v/>
      </c>
      <c r="GA96" s="29" t="str">
        <f>IF(OR($B96="",$A96&lt;45),"",--MID('Key Analysis'!$C92,45,1))</f>
        <v/>
      </c>
      <c r="GB96" s="29" t="str">
        <f>IF(OR($B96="",$A96&lt;46),"",--MID('Key Analysis'!$C92,46,1))</f>
        <v/>
      </c>
      <c r="GC96" s="29" t="str">
        <f>IF(OR($B96="",$A96&lt;47),"",--MID('Key Analysis'!$C92,47,1))</f>
        <v/>
      </c>
      <c r="GD96" s="29" t="str">
        <f>IF(OR($B96="",$A96&lt;48),"",--MID('Key Analysis'!$C92,48,1))</f>
        <v/>
      </c>
      <c r="GE96" s="29" t="str">
        <f>IF(OR($B96="",$A96&lt;49),"",--MID('Key Analysis'!$C92,49,1))</f>
        <v/>
      </c>
      <c r="GF96" s="29" t="str">
        <f>IF(OR($B96="",$A96&lt;50),"",--MID('Key Analysis'!$C92,50,1))</f>
        <v/>
      </c>
      <c r="GG96" s="29" t="str">
        <f>IF(OR($B96="",$A96&lt;51),"",--MID('Key Analysis'!$C92,51,1))</f>
        <v/>
      </c>
      <c r="GH96" s="29" t="str">
        <f>IF(OR($B96="",$A96&lt;52),"",--MID('Key Analysis'!$C92,52,1))</f>
        <v/>
      </c>
      <c r="GI96" s="29" t="str">
        <f>IF(OR($B96="",$A96&lt;53),"",--MID('Key Analysis'!$C92,53,1))</f>
        <v/>
      </c>
      <c r="GJ96" s="29" t="str">
        <f>IF(OR($B96="",$A96&lt;54),"",--MID('Key Analysis'!$C92,54,1))</f>
        <v/>
      </c>
      <c r="GK96" s="29" t="str">
        <f>IF(OR($B96="",$A96&lt;55),"",--MID('Key Analysis'!$C92,55,1))</f>
        <v/>
      </c>
      <c r="GL96" s="29" t="str">
        <f>IF(OR($B96="",$A96&lt;56),"",--MID('Key Analysis'!$C92,56,1))</f>
        <v/>
      </c>
      <c r="GM96" s="29" t="str">
        <f>IF(OR($B96="",$A96&lt;57),"",--MID('Key Analysis'!$C92,57,1))</f>
        <v/>
      </c>
      <c r="GN96" s="29" t="str">
        <f>IF(OR($B96="",$A96&lt;58),"",--MID('Key Analysis'!$C92,58,1))</f>
        <v/>
      </c>
      <c r="GO96" s="29" t="str">
        <f>IF(OR($B96="",$A96&lt;59),"",--MID('Key Analysis'!$C92,59,1))</f>
        <v/>
      </c>
      <c r="GP96" s="29" t="str">
        <f>IF(OR($B96="",$A96&lt;60),"",--MID('Key Analysis'!$C92,60,1))</f>
        <v/>
      </c>
      <c r="GQ96" s="29" t="str">
        <f>IF(OR($B96="",$A96&lt;61),"",--MID('Key Analysis'!$C92,61,1))</f>
        <v/>
      </c>
      <c r="GR96" s="29" t="str">
        <f>IF(OR($B96="",$A96&lt;62),"",--MID('Key Analysis'!$C92,62,1))</f>
        <v/>
      </c>
      <c r="GS96" s="29" t="str">
        <f>IF(OR($B96="",$A96&lt;63),"",--MID('Key Analysis'!$C92,63,1))</f>
        <v/>
      </c>
      <c r="GT96" s="29" t="str">
        <f>IF(OR($B96="",$A96&lt;64),"",--MID('Key Analysis'!$C92,64,1))</f>
        <v/>
      </c>
      <c r="GU96" s="29" t="str">
        <f>IF(OR($B96="",$A96&lt;65),"",--MID('Key Analysis'!$C92,65,1))</f>
        <v/>
      </c>
      <c r="GV96" s="29" t="str">
        <f>IF(OR($B96="",$A96&lt;66),"",--MID('Key Analysis'!$C92,66,1))</f>
        <v/>
      </c>
      <c r="GW96" s="29" t="str">
        <f>IF(OR($B96="",$A96&lt;67),"",--MID('Key Analysis'!$C92,67,1))</f>
        <v/>
      </c>
      <c r="GX96" s="29" t="str">
        <f>IF(OR($B96="",$A96&lt;68),"",--MID('Key Analysis'!$C92,68,1))</f>
        <v/>
      </c>
      <c r="GY96" s="29" t="str">
        <f>IF(OR($B96="",$A96&lt;69),"",--MID('Key Analysis'!$C92,69,1))</f>
        <v/>
      </c>
      <c r="GZ96" s="29" t="str">
        <f>IF(OR($B96="",$A96&lt;70),"",--MID('Key Analysis'!$C92,70,1))</f>
        <v/>
      </c>
      <c r="HA96" s="29" t="str">
        <f>IF(OR($B96="",$A96&lt;71),"",--MID('Key Analysis'!$C92,71,1))</f>
        <v/>
      </c>
      <c r="HB96" s="29" t="str">
        <f>IF(OR($B96="",$A96&lt;72),"",--MID('Key Analysis'!$C92,72,1))</f>
        <v/>
      </c>
      <c r="HC96" s="29" t="str">
        <f>IF(OR($B96="",$A96&lt;73),"",--MID('Key Analysis'!$C92,73,1))</f>
        <v/>
      </c>
      <c r="HD96" s="29" t="str">
        <f>IF(OR($B96="",$A96&lt;74),"",--MID('Key Analysis'!$C92,74,1))</f>
        <v/>
      </c>
      <c r="HE96" s="29" t="str">
        <f>IF(OR($B96="",$A96&lt;75),"",--MID('Key Analysis'!$C92,75,1))</f>
        <v/>
      </c>
      <c r="HF96" s="29" t="str">
        <f>IF(OR($B96="",$A96&lt;76),"",--MID('Key Analysis'!$C92,76,1))</f>
        <v/>
      </c>
      <c r="HG96" s="29" t="str">
        <f>IF(OR($B96="",$A96&lt;77),"",--MID('Key Analysis'!$C92,77,1))</f>
        <v/>
      </c>
      <c r="HH96" s="29" t="str">
        <f>IF(OR($B96="",$A96&lt;78),"",--MID('Key Analysis'!$C92,78,1))</f>
        <v/>
      </c>
      <c r="HI96" s="29" t="str">
        <f>IF(OR($B96="",$A96&lt;79),"",--MID('Key Analysis'!$C92,79,1))</f>
        <v/>
      </c>
      <c r="HJ96" s="29" t="str">
        <f>IF(OR($B96="",$A96&lt;80),"",--MID('Key Analysis'!$C92,80,1))</f>
        <v/>
      </c>
      <c r="HK96" s="29" t="str">
        <f>IF(OR($B96="",$A96&lt;81),"",--MID('Key Analysis'!$C92,81,1))</f>
        <v/>
      </c>
      <c r="HL96" s="29" t="str">
        <f>IF(OR($B96="",$A96&lt;82),"",--MID('Key Analysis'!$C92,82,1))</f>
        <v/>
      </c>
      <c r="HM96" s="29" t="str">
        <f>IF(OR($B96="",$A96&lt;83),"",--MID('Key Analysis'!$C92,83,1))</f>
        <v/>
      </c>
      <c r="HN96" s="29" t="str">
        <f>IF(OR($B96="",$A96&lt;84),"",--MID('Key Analysis'!$C92,84,1))</f>
        <v/>
      </c>
      <c r="HO96" s="29" t="str">
        <f>IF(OR($B96="",$A96&lt;85),"",--MID('Key Analysis'!$C92,85,1))</f>
        <v/>
      </c>
      <c r="HP96" s="29" t="str">
        <f>IF(OR($B96="",$A96&lt;86),"",--MID('Key Analysis'!$C92,86,1))</f>
        <v/>
      </c>
      <c r="HQ96" s="29" t="str">
        <f>IF(OR($B96="",$A96&lt;87),"",--MID('Key Analysis'!$C92,87,1))</f>
        <v/>
      </c>
      <c r="HR96" s="29" t="str">
        <f>IF(OR($B96="",$A96&lt;88),"",--MID('Key Analysis'!$C92,88,1))</f>
        <v/>
      </c>
      <c r="HS96" s="29" t="str">
        <f>IF(OR($B96="",$A96&lt;89),"",--MID('Key Analysis'!$C92,89,1))</f>
        <v/>
      </c>
      <c r="HT96" s="29" t="str">
        <f>IF(OR($B96="",$A96&lt;90),"",--MID('Key Analysis'!$C92,90,1))</f>
        <v/>
      </c>
      <c r="HU96" s="29" t="str">
        <f>IF(OR($B96="",$A96&lt;91),"",--MID('Key Analysis'!$C92,91,1))</f>
        <v/>
      </c>
      <c r="HV96" s="29" t="str">
        <f>IF(OR($B96="",$A96&lt;92),"",--MID('Key Analysis'!$C92,92,1))</f>
        <v/>
      </c>
      <c r="HW96" s="29" t="str">
        <f>IF(OR($B96="",$A96&lt;93),"",--MID('Key Analysis'!$C92,93,1))</f>
        <v/>
      </c>
      <c r="HX96" s="29" t="str">
        <f>IF(OR($B96="",$A96&lt;94),"",--MID('Key Analysis'!$C92,94,1))</f>
        <v/>
      </c>
      <c r="HY96" s="29" t="str">
        <f>IF(OR($B96="",$A96&lt;95),"",--MID('Key Analysis'!$C92,95,1))</f>
        <v/>
      </c>
      <c r="HZ96" s="29" t="str">
        <f>IF(OR($B96="",$A96&lt;96),"",--MID('Key Analysis'!$C92,96,1))</f>
        <v/>
      </c>
      <c r="IA96" s="29" t="str">
        <f>IF(OR($B96="",$A96&lt;97),"",--MID('Key Analysis'!$C92,97,1))</f>
        <v/>
      </c>
      <c r="IB96" s="29" t="str">
        <f>IF(OR($B96="",$A96&lt;98),"",--MID('Key Analysis'!$C92,98,1))</f>
        <v/>
      </c>
      <c r="IC96" s="29" t="str">
        <f>IF(OR($B96="",$A96&lt;99),"",--MID('Key Analysis'!$C92,99,1))</f>
        <v/>
      </c>
      <c r="ID96" s="29" t="str">
        <f>IF(OR($B96="",$A96&lt;100),"",--MID('Key Analysis'!$C92,100,1))</f>
        <v/>
      </c>
      <c r="IE96" s="29" t="str">
        <f>IF(OR($B96="",$A96&lt;101),"",--MID('Key Analysis'!$C92,101,1))</f>
        <v/>
      </c>
      <c r="IF96" s="29" t="str">
        <f>IF(OR($B96="",$A96&lt;102),"",--MID('Key Analysis'!$C92,102,1))</f>
        <v/>
      </c>
      <c r="IG96" s="29" t="str">
        <f>IF(OR($B96="",$A96&lt;103),"",--MID('Key Analysis'!$C92,103,1))</f>
        <v/>
      </c>
      <c r="IH96" s="29" t="str">
        <f>IF(OR($B96="",$A96&lt;104),"",--MID('Key Analysis'!$C92,104,1))</f>
        <v/>
      </c>
      <c r="II96" s="29" t="str">
        <f>IF(OR($B96="",$A96&lt;105),"",--MID('Key Analysis'!$C92,105,1))</f>
        <v/>
      </c>
      <c r="IJ96" s="29" t="str">
        <f>IF(OR($B96="",$A96&lt;106),"",--MID('Key Analysis'!$C92,106,1))</f>
        <v/>
      </c>
      <c r="IK96" s="29" t="str">
        <f>IF(OR($B96="",$A96&lt;107),"",--MID('Key Analysis'!$C92,107,1))</f>
        <v/>
      </c>
      <c r="IL96" s="29" t="str">
        <f>IF(OR($B96="",$A96&lt;108),"",--MID('Key Analysis'!$C92,108,1))</f>
        <v/>
      </c>
      <c r="IM96" s="29" t="str">
        <f>IF(OR($B96="",$A96&lt;109),"",--MID('Key Analysis'!$C92,109,1))</f>
        <v/>
      </c>
      <c r="IN96" s="29" t="str">
        <f>IF(OR($B96="",$A96&lt;110),"",--MID('Key Analysis'!$C92,110,1))</f>
        <v/>
      </c>
      <c r="IO96" s="29" t="str">
        <f>IF(OR($B96="",$A96&lt;111),"",--MID('Key Analysis'!$C92,111,1))</f>
        <v/>
      </c>
      <c r="IP96" s="29" t="str">
        <f>IF(OR($B96="",$A96&lt;112),"",--MID('Key Analysis'!$C92,112,1))</f>
        <v/>
      </c>
      <c r="IQ96" s="29" t="str">
        <f>IF(OR($B96="",$A96&lt;113),"",--MID('Key Analysis'!$C92,113,1))</f>
        <v/>
      </c>
      <c r="IR96" s="29" t="str">
        <f>IF(OR($B96="",$A96&lt;114),"",--MID('Key Analysis'!$C92,114,1))</f>
        <v/>
      </c>
      <c r="IS96" s="29" t="str">
        <f>IF(OR($B96="",$A96&lt;115),"",--MID('Key Analysis'!$C92,115,1))</f>
        <v/>
      </c>
      <c r="IT96" s="29" t="str">
        <f>IF(OR($B96="",$A96&lt;116),"",--MID('Key Analysis'!$C92,116,1))</f>
        <v/>
      </c>
      <c r="IU96" s="29" t="str">
        <f>IF(OR($B96="",$A96&lt;117),"",--MID('Key Analysis'!$C92,117,1))</f>
        <v/>
      </c>
      <c r="IV96" s="29" t="str">
        <f>IF(OR($B96="",$A96&lt;118),"",--MID('Key Analysis'!$C92,118,1))</f>
        <v/>
      </c>
      <c r="IW96" s="29" t="str">
        <f>IF(OR($B96="",$A96&lt;119),"",--MID('Key Analysis'!$C92,119,1))</f>
        <v/>
      </c>
      <c r="IX96" s="29" t="str">
        <f>IF(OR($B96="",$A96&lt;120),"",--MID('Key Analysis'!$C92,120,1))</f>
        <v/>
      </c>
      <c r="IY96" s="29" t="str">
        <f>IF(OR($B96="",$A96&lt;121),"",--MID('Key Analysis'!$C92,121,1))</f>
        <v/>
      </c>
      <c r="IZ96" s="29" t="str">
        <f>IF(OR($B96="",$A96&lt;122),"",--MID('Key Analysis'!$C92,122,1))</f>
        <v/>
      </c>
      <c r="JA96" s="29" t="str">
        <f>IF(OR($B96="",$A96&lt;123),"",--MID('Key Analysis'!$C92,123,1))</f>
        <v/>
      </c>
      <c r="JB96" s="29" t="str">
        <f>IF(OR($B96="",$A96&lt;124),"",--MID('Key Analysis'!$C92,124,1))</f>
        <v/>
      </c>
      <c r="JC96" s="29" t="str">
        <f>IF(OR($B96="",$A96&lt;125),"",--MID('Key Analysis'!$C92,125,1))</f>
        <v/>
      </c>
      <c r="JD96" s="29" t="str">
        <f>IF(OR($B96="",$A96&lt;126),"",--MID('Key Analysis'!$C92,126,1))</f>
        <v/>
      </c>
      <c r="JE96" s="29" t="str">
        <f>IF(OR($B96="",$A96&lt;127),"",--MID('Key Analysis'!$C92,127,1))</f>
        <v/>
      </c>
      <c r="JF96" s="29" t="str">
        <f>IF(OR($B96="",$A96&lt;128),"",--MID('Key Analysis'!$C92,128,1))</f>
        <v/>
      </c>
      <c r="JG96" s="29" t="str">
        <f>IF(OR($B96="",$A96&lt;129),"",--MID('Key Analysis'!$C92,129,1))</f>
        <v/>
      </c>
      <c r="JH96" s="29" t="str">
        <f>IF(OR($B96="",$A96&lt;130),"",--MID('Key Analysis'!$C92,130,1))</f>
        <v/>
      </c>
      <c r="JI96" s="29" t="str">
        <f>IF(OR($B96="",$A96&lt;131),"",--MID('Key Analysis'!$C92,131,1))</f>
        <v/>
      </c>
      <c r="JJ96" s="29" t="str">
        <f>IF(OR($B96="",$A96&lt;132),"",--MID('Key Analysis'!$C92,132,1))</f>
        <v/>
      </c>
      <c r="JK96" s="29" t="str">
        <f>IF(OR($B96="",$A96&lt;133),"",--MID('Key Analysis'!$C92,133,1))</f>
        <v/>
      </c>
      <c r="JL96" s="29" t="str">
        <f>IF(OR($B96="",$A96&lt;134),"",--MID('Key Analysis'!$C92,134,1))</f>
        <v/>
      </c>
      <c r="JM96" s="29" t="str">
        <f>IF(OR($B96="",$A96&lt;135),"",--MID('Key Analysis'!$C92,135,1))</f>
        <v/>
      </c>
    </row>
    <row r="97" spans="1:273" x14ac:dyDescent="0.25">
      <c r="A97" s="21">
        <f>'Key Analysis'!A93</f>
        <v>92</v>
      </c>
      <c r="B97" s="30" t="str">
        <f>'Key Analysis'!B93</f>
        <v/>
      </c>
      <c r="C97" s="29" t="str">
        <f>IF(OR($B97="",$A97&lt;=0),"",--MID('Key Analysis'!$C93,$A97-0,1))</f>
        <v/>
      </c>
      <c r="D97" s="29" t="str">
        <f>IF(OR($B97="",$A97&lt;=1),"",--MID('Key Analysis'!$C93,$A97-1,1))</f>
        <v/>
      </c>
      <c r="E97" s="29" t="str">
        <f>IF(OR($B97="",$A97&lt;=2),"",--MID('Key Analysis'!$C93,$A97-2,1))</f>
        <v/>
      </c>
      <c r="F97" s="29" t="str">
        <f>IF(OR($B97="",$A97&lt;=3),"",--MID('Key Analysis'!$C93,$A97-3,1))</f>
        <v/>
      </c>
      <c r="G97" s="29" t="str">
        <f>IF(OR($B97="",$A97&lt;=4),"",--MID('Key Analysis'!$C93,$A97-4,1))</f>
        <v/>
      </c>
      <c r="H97" s="29" t="str">
        <f>IF(OR($B97="",$A97&lt;=5),"",--MID('Key Analysis'!$C93,$A97-5,1))</f>
        <v/>
      </c>
      <c r="I97" s="29" t="str">
        <f>IF(OR($B97="",$A97&lt;=6),"",--MID('Key Analysis'!$C93,$A97-6,1))</f>
        <v/>
      </c>
      <c r="J97" s="29" t="str">
        <f>IF(OR($B97="",$A97&lt;=7),"",--MID('Key Analysis'!$C93,$A97-7,1))</f>
        <v/>
      </c>
      <c r="K97" s="29" t="str">
        <f>IF(OR($B97="",$A97&lt;=8),"",--MID('Key Analysis'!$C93,$A97-8,1))</f>
        <v/>
      </c>
      <c r="L97" s="29" t="str">
        <f>IF(OR($B97="",$A97&lt;=9),"",--MID('Key Analysis'!$C93,$A97-9,1))</f>
        <v/>
      </c>
      <c r="M97" s="29" t="str">
        <f>IF(OR($B97="",$A97&lt;=10),"",--MID('Key Analysis'!$C93,$A97-10,1))</f>
        <v/>
      </c>
      <c r="N97" s="29" t="str">
        <f>IF(OR($B97="",$A97&lt;=11),"",--MID('Key Analysis'!$C93,$A97-11,1))</f>
        <v/>
      </c>
      <c r="O97" s="29" t="str">
        <f>IF(OR($B97="",$A97&lt;=12),"",--MID('Key Analysis'!$C93,$A97-12,1))</f>
        <v/>
      </c>
      <c r="P97" s="29" t="str">
        <f>IF(OR($B97="",$A97&lt;=13),"",--MID('Key Analysis'!$C93,$A97-13,1))</f>
        <v/>
      </c>
      <c r="Q97" s="29" t="str">
        <f>IF(OR($B97="",$A97&lt;=14),"",--MID('Key Analysis'!$C93,$A97-14,1))</f>
        <v/>
      </c>
      <c r="R97" s="29" t="str">
        <f>IF(OR($B97="",$A97&lt;=15),"",--MID('Key Analysis'!$C93,$A97-15,1))</f>
        <v/>
      </c>
      <c r="S97" s="29" t="str">
        <f>IF(OR($B97="",$A97&lt;=16),"",--MID('Key Analysis'!$C93,$A97-16,1))</f>
        <v/>
      </c>
      <c r="T97" s="29" t="str">
        <f>IF(OR($B97="",$A97&lt;=17),"",--MID('Key Analysis'!$C93,$A97-17,1))</f>
        <v/>
      </c>
      <c r="U97" s="29" t="str">
        <f>IF(OR($B97="",$A97&lt;=18),"",--MID('Key Analysis'!$C93,$A97-18,1))</f>
        <v/>
      </c>
      <c r="V97" s="29" t="str">
        <f>IF(OR($B97="",$A97&lt;=19),"",--MID('Key Analysis'!$C93,$A97-19,1))</f>
        <v/>
      </c>
      <c r="W97" s="29" t="str">
        <f>IF(OR($B97="",$A97&lt;=20),"",--MID('Key Analysis'!$C93,$A97-20,1))</f>
        <v/>
      </c>
      <c r="X97" s="29" t="str">
        <f>IF(OR($B97="",$A97&lt;=21),"",--MID('Key Analysis'!$C93,$A97-21,1))</f>
        <v/>
      </c>
      <c r="Y97" s="29" t="str">
        <f>IF(OR($B97="",$A97&lt;=22),"",--MID('Key Analysis'!$C93,$A97-22,1))</f>
        <v/>
      </c>
      <c r="Z97" s="29" t="str">
        <f>IF(OR($B97="",$A97&lt;=23),"",--MID('Key Analysis'!$C93,$A97-23,1))</f>
        <v/>
      </c>
      <c r="AA97" s="29" t="str">
        <f>IF(OR($B97="",$A97&lt;=24),"",--MID('Key Analysis'!$C93,$A97-24,1))</f>
        <v/>
      </c>
      <c r="AB97" s="29" t="str">
        <f>IF(OR($B97="",$A97&lt;=25),"",--MID('Key Analysis'!$C93,$A97-25,1))</f>
        <v/>
      </c>
      <c r="AC97" s="29" t="str">
        <f>IF(OR($B97="",$A97&lt;=26),"",--MID('Key Analysis'!$C93,$A97-26,1))</f>
        <v/>
      </c>
      <c r="AD97" s="29" t="str">
        <f>IF(OR($B97="",$A97&lt;=27),"",--MID('Key Analysis'!$C93,$A97-27,1))</f>
        <v/>
      </c>
      <c r="AE97" s="29" t="str">
        <f>IF(OR($B97="",$A97&lt;=28),"",--MID('Key Analysis'!$C93,$A97-28,1))</f>
        <v/>
      </c>
      <c r="AF97" s="29" t="str">
        <f>IF(OR($B97="",$A97&lt;=29),"",--MID('Key Analysis'!$C93,$A97-29,1))</f>
        <v/>
      </c>
      <c r="AG97" s="29" t="str">
        <f>IF(OR($B97="",$A97&lt;=30),"",--MID('Key Analysis'!$C93,$A97-30,1))</f>
        <v/>
      </c>
      <c r="AH97" s="29" t="str">
        <f>IF(OR($B97="",$A97&lt;=31),"",--MID('Key Analysis'!$C93,$A97-31,1))</f>
        <v/>
      </c>
      <c r="AI97" s="29" t="str">
        <f>IF(OR($B97="",$A97&lt;=32),"",--MID('Key Analysis'!$C93,$A97-32,1))</f>
        <v/>
      </c>
      <c r="AJ97" s="29" t="str">
        <f>IF(OR($B97="",$A97&lt;=33),"",--MID('Key Analysis'!$C93,$A97-33,1))</f>
        <v/>
      </c>
      <c r="AK97" s="29" t="str">
        <f>IF(OR($B97="",$A97&lt;=34),"",--MID('Key Analysis'!$C93,$A97-34,1))</f>
        <v/>
      </c>
      <c r="AL97" s="29" t="str">
        <f>IF(OR($B97="",$A97&lt;=35),"",--MID('Key Analysis'!$C93,$A97-35,1))</f>
        <v/>
      </c>
      <c r="AM97" s="29" t="str">
        <f>IF(OR($B97="",$A97&lt;=36),"",--MID('Key Analysis'!$C93,$A97-36,1))</f>
        <v/>
      </c>
      <c r="AN97" s="29" t="str">
        <f>IF(OR($B97="",$A97&lt;=37),"",--MID('Key Analysis'!$C93,$A97-37,1))</f>
        <v/>
      </c>
      <c r="AO97" s="29" t="str">
        <f>IF(OR($B97="",$A97&lt;=38),"",--MID('Key Analysis'!$C93,$A97-38,1))</f>
        <v/>
      </c>
      <c r="AP97" s="29" t="str">
        <f>IF(OR($B97="",$A97&lt;=39),"",--MID('Key Analysis'!$C93,$A97-39,1))</f>
        <v/>
      </c>
      <c r="AQ97" s="29" t="str">
        <f>IF(OR($B97="",$A97&lt;=40),"",--MID('Key Analysis'!$C93,$A97-40,1))</f>
        <v/>
      </c>
      <c r="AR97" s="29" t="str">
        <f>IF(OR($B97="",$A97&lt;=41),"",--MID('Key Analysis'!$C93,$A97-41,1))</f>
        <v/>
      </c>
      <c r="AS97" s="29" t="str">
        <f>IF(OR($B97="",$A97&lt;=42),"",--MID('Key Analysis'!$C93,$A97-42,1))</f>
        <v/>
      </c>
      <c r="AT97" s="29" t="str">
        <f>IF(OR($B97="",$A97&lt;=43),"",--MID('Key Analysis'!$C93,$A97-43,1))</f>
        <v/>
      </c>
      <c r="AU97" s="29" t="str">
        <f>IF(OR($B97="",$A97&lt;=44),"",--MID('Key Analysis'!$C93,$A97-44,1))</f>
        <v/>
      </c>
      <c r="AV97" s="29" t="str">
        <f>IF(OR($B97="",$A97&lt;=45),"",--MID('Key Analysis'!$C93,$A97-45,1))</f>
        <v/>
      </c>
      <c r="AW97" s="29" t="str">
        <f>IF(OR($B97="",$A97&lt;=46),"",--MID('Key Analysis'!$C93,$A97-46,1))</f>
        <v/>
      </c>
      <c r="AX97" s="29" t="str">
        <f>IF(OR($B97="",$A97&lt;=47),"",--MID('Key Analysis'!$C93,$A97-47,1))</f>
        <v/>
      </c>
      <c r="AY97" s="29" t="str">
        <f>IF(OR($B97="",$A97&lt;=48),"",--MID('Key Analysis'!$C93,$A97-48,1))</f>
        <v/>
      </c>
      <c r="AZ97" s="29" t="str">
        <f>IF(OR($B97="",$A97&lt;=49),"",--MID('Key Analysis'!$C93,$A97-49,1))</f>
        <v/>
      </c>
      <c r="BA97" s="29" t="str">
        <f>IF(OR($B97="",$A97&lt;=50),"",--MID('Key Analysis'!$C93,$A97-50,1))</f>
        <v/>
      </c>
      <c r="BB97" s="29" t="str">
        <f>IF(OR($B97="",$A97&lt;=51),"",--MID('Key Analysis'!$C93,$A97-51,1))</f>
        <v/>
      </c>
      <c r="BC97" s="29" t="str">
        <f>IF(OR($B97="",$A97&lt;=52),"",--MID('Key Analysis'!$C93,$A97-52,1))</f>
        <v/>
      </c>
      <c r="BD97" s="29" t="str">
        <f>IF(OR($B97="",$A97&lt;=53),"",--MID('Key Analysis'!$C93,$A97-53,1))</f>
        <v/>
      </c>
      <c r="BE97" s="29" t="str">
        <f>IF(OR($B97="",$A97&lt;=54),"",--MID('Key Analysis'!$C93,$A97-54,1))</f>
        <v/>
      </c>
      <c r="BF97" s="29" t="str">
        <f>IF(OR($B97="",$A97&lt;=55),"",--MID('Key Analysis'!$C93,$A97-55,1))</f>
        <v/>
      </c>
      <c r="BG97" s="29" t="str">
        <f>IF(OR($B97="",$A97&lt;=56),"",--MID('Key Analysis'!$C93,$A97-56,1))</f>
        <v/>
      </c>
      <c r="BH97" s="29" t="str">
        <f>IF(OR($B97="",$A97&lt;=57),"",--MID('Key Analysis'!$C93,$A97-57,1))</f>
        <v/>
      </c>
      <c r="BI97" s="29" t="str">
        <f>IF(OR($B97="",$A97&lt;=58),"",--MID('Key Analysis'!$C93,$A97-58,1))</f>
        <v/>
      </c>
      <c r="BJ97" s="29" t="str">
        <f>IF(OR($B97="",$A97&lt;=59),"",--MID('Key Analysis'!$C93,$A97-59,1))</f>
        <v/>
      </c>
      <c r="BK97" s="29" t="str">
        <f>IF(OR($B97="",$A97&lt;=60),"",--MID('Key Analysis'!$C93,$A97-60,1))</f>
        <v/>
      </c>
      <c r="BL97" s="29" t="str">
        <f>IF(OR($B97="",$A97&lt;=61),"",--MID('Key Analysis'!$C93,$A97-61,1))</f>
        <v/>
      </c>
      <c r="BM97" s="29" t="str">
        <f>IF(OR($B97="",$A97&lt;=62),"",--MID('Key Analysis'!$C93,$A97-62,1))</f>
        <v/>
      </c>
      <c r="BN97" s="29" t="str">
        <f>IF(OR($B97="",$A97&lt;=63),"",--MID('Key Analysis'!$C93,$A97-63,1))</f>
        <v/>
      </c>
      <c r="BO97" s="29" t="str">
        <f>IF(OR($B97="",$A97&lt;=64),"",--MID('Key Analysis'!$C93,$A97-64,1))</f>
        <v/>
      </c>
      <c r="BP97" s="29" t="str">
        <f>IF(OR($B97="",$A97&lt;=65),"",--MID('Key Analysis'!$C93,$A97-65,1))</f>
        <v/>
      </c>
      <c r="BQ97" s="29" t="str">
        <f>IF(OR($B97="",$A97&lt;=66),"",--MID('Key Analysis'!$C93,$A97-66,1))</f>
        <v/>
      </c>
      <c r="BR97" s="29" t="str">
        <f>IF(OR($B97="",$A97&lt;=67),"",--MID('Key Analysis'!$C93,$A97-67,1))</f>
        <v/>
      </c>
      <c r="BS97" s="29" t="str">
        <f>IF(OR($B97="",$A97&lt;=68),"",--MID('Key Analysis'!$C93,$A97-68,1))</f>
        <v/>
      </c>
      <c r="BT97" s="29" t="str">
        <f>IF(OR($B97="",$A97&lt;=69),"",--MID('Key Analysis'!$C93,$A97-69,1))</f>
        <v/>
      </c>
      <c r="BU97" s="29" t="str">
        <f>IF(OR($B97="",$A97&lt;=70),"",--MID('Key Analysis'!$C93,$A97-70,1))</f>
        <v/>
      </c>
      <c r="BV97" s="29" t="str">
        <f>IF(OR($B97="",$A97&lt;=71),"",--MID('Key Analysis'!$C93,$A97-71,1))</f>
        <v/>
      </c>
      <c r="BW97" s="29" t="str">
        <f>IF(OR($B97="",$A97&lt;=72),"",--MID('Key Analysis'!$C93,$A97-72,1))</f>
        <v/>
      </c>
      <c r="BX97" s="29" t="str">
        <f>IF(OR($B97="",$A97&lt;=73),"",--MID('Key Analysis'!$C93,$A97-73,1))</f>
        <v/>
      </c>
      <c r="BY97" s="29" t="str">
        <f>IF(OR($B97="",$A97&lt;=74),"",--MID('Key Analysis'!$C93,$A97-74,1))</f>
        <v/>
      </c>
      <c r="BZ97" s="29" t="str">
        <f>IF(OR($B97="",$A97&lt;=75),"",--MID('Key Analysis'!$C93,$A97-75,1))</f>
        <v/>
      </c>
      <c r="CA97" s="29" t="str">
        <f>IF(OR($B97="",$A97&lt;=76),"",--MID('Key Analysis'!$C93,$A97-76,1))</f>
        <v/>
      </c>
      <c r="CB97" s="29" t="str">
        <f>IF(OR($B97="",$A97&lt;=77),"",--MID('Key Analysis'!$C93,$A97-77,1))</f>
        <v/>
      </c>
      <c r="CC97" s="29" t="str">
        <f>IF(OR($B97="",$A97&lt;=78),"",--MID('Key Analysis'!$C93,$A97-78,1))</f>
        <v/>
      </c>
      <c r="CD97" s="29" t="str">
        <f>IF(OR($B97="",$A97&lt;=79),"",--MID('Key Analysis'!$C93,$A97-79,1))</f>
        <v/>
      </c>
      <c r="CE97" s="29" t="str">
        <f>IF(OR($B97="",$A97&lt;=80),"",--MID('Key Analysis'!$C93,$A97-80,1))</f>
        <v/>
      </c>
      <c r="CF97" s="29" t="str">
        <f>IF(OR($B97="",$A97&lt;=81),"",--MID('Key Analysis'!$C93,$A97-81,1))</f>
        <v/>
      </c>
      <c r="CG97" s="29" t="str">
        <f>IF(OR($B97="",$A97&lt;=82),"",--MID('Key Analysis'!$C93,$A97-82,1))</f>
        <v/>
      </c>
      <c r="CH97" s="29" t="str">
        <f>IF(OR($B97="",$A97&lt;=83),"",--MID('Key Analysis'!$C93,$A97-83,1))</f>
        <v/>
      </c>
      <c r="CI97" s="29" t="str">
        <f>IF(OR($B97="",$A97&lt;=84),"",--MID('Key Analysis'!$C93,$A97-84,1))</f>
        <v/>
      </c>
      <c r="CJ97" s="29" t="str">
        <f>IF(OR($B97="",$A97&lt;=85),"",--MID('Key Analysis'!$C93,$A97-85,1))</f>
        <v/>
      </c>
      <c r="CK97" s="29" t="str">
        <f>IF(OR($B97="",$A97&lt;=86),"",--MID('Key Analysis'!$C93,$A97-86,1))</f>
        <v/>
      </c>
      <c r="CL97" s="29" t="str">
        <f>IF(OR($B97="",$A97&lt;=87),"",--MID('Key Analysis'!$C93,$A97-87,1))</f>
        <v/>
      </c>
      <c r="CM97" s="29" t="str">
        <f>IF(OR($B97="",$A97&lt;=88),"",--MID('Key Analysis'!$C93,$A97-88,1))</f>
        <v/>
      </c>
      <c r="CN97" s="29" t="str">
        <f>IF(OR($B97="",$A97&lt;=89),"",--MID('Key Analysis'!$C93,$A97-89,1))</f>
        <v/>
      </c>
      <c r="CO97" s="29" t="str">
        <f>IF(OR($B97="",$A97&lt;=90),"",--MID('Key Analysis'!$C93,$A97-90,1))</f>
        <v/>
      </c>
      <c r="CP97" s="29" t="str">
        <f>IF(OR($B97="",$A97&lt;=91),"",--MID('Key Analysis'!$C93,$A97-91,1))</f>
        <v/>
      </c>
      <c r="CQ97" s="29" t="str">
        <f>IF(OR($B97="",$A97&lt;=92),"",--MID('Key Analysis'!$C93,$A97-92,1))</f>
        <v/>
      </c>
      <c r="CR97" s="29" t="str">
        <f>IF(OR($B97="",$A97&lt;=93),"",--MID('Key Analysis'!$C93,$A97-93,1))</f>
        <v/>
      </c>
      <c r="CS97" s="29" t="str">
        <f>IF(OR($B97="",$A97&lt;=94),"",--MID('Key Analysis'!$C93,$A97-94,1))</f>
        <v/>
      </c>
      <c r="CT97" s="29" t="str">
        <f>IF(OR($B97="",$A97&lt;=95),"",--MID('Key Analysis'!$C93,$A97-95,1))</f>
        <v/>
      </c>
      <c r="CU97" s="29" t="str">
        <f>IF(OR($B97="",$A97&lt;=96),"",--MID('Key Analysis'!$C93,$A97-96,1))</f>
        <v/>
      </c>
      <c r="CV97" s="29" t="str">
        <f>IF(OR($B97="",$A97&lt;=97),"",--MID('Key Analysis'!$C93,$A97-97,1))</f>
        <v/>
      </c>
      <c r="CW97" s="29" t="str">
        <f>IF(OR($B97="",$A97&lt;=98),"",--MID('Key Analysis'!$C93,$A97-98,1))</f>
        <v/>
      </c>
      <c r="CX97" s="29" t="str">
        <f>IF(OR($B97="",$A97&lt;=99),"",--MID('Key Analysis'!$C93,$A97-99,1))</f>
        <v/>
      </c>
      <c r="CY97" s="29" t="str">
        <f>IF(OR($B97="",$A97&lt;=100),"",--MID('Key Analysis'!$C93,$A97-100,1))</f>
        <v/>
      </c>
      <c r="CZ97" s="29" t="str">
        <f>IF(OR($B97="",$A97&lt;=101),"",--MID('Key Analysis'!$C93,$A97-101,1))</f>
        <v/>
      </c>
      <c r="DA97" s="29" t="str">
        <f>IF(OR($B97="",$A97&lt;=102),"",--MID('Key Analysis'!$C93,$A97-102,1))</f>
        <v/>
      </c>
      <c r="DB97" s="29" t="str">
        <f>IF(OR($B97="",$A97&lt;=103),"",--MID('Key Analysis'!$C93,$A97-103,1))</f>
        <v/>
      </c>
      <c r="DC97" s="29" t="str">
        <f>IF(OR($B97="",$A97&lt;=104),"",--MID('Key Analysis'!$C93,$A97-104,1))</f>
        <v/>
      </c>
      <c r="DD97" s="29" t="str">
        <f>IF(OR($B97="",$A97&lt;=105),"",--MID('Key Analysis'!$C93,$A97-105,1))</f>
        <v/>
      </c>
      <c r="DE97" s="29" t="str">
        <f>IF(OR($B97="",$A97&lt;=106),"",--MID('Key Analysis'!$C93,$A97-106,1))</f>
        <v/>
      </c>
      <c r="DF97" s="29" t="str">
        <f>IF(OR($B97="",$A97&lt;=107),"",--MID('Key Analysis'!$C93,$A97-107,1))</f>
        <v/>
      </c>
      <c r="DG97" s="29" t="str">
        <f>IF(OR($B97="",$A97&lt;=108),"",--MID('Key Analysis'!$C93,$A97-108,1))</f>
        <v/>
      </c>
      <c r="DH97" s="29" t="str">
        <f>IF(OR($B97="",$A97&lt;=109),"",--MID('Key Analysis'!$C93,$A97-109,1))</f>
        <v/>
      </c>
      <c r="DI97" s="29" t="str">
        <f>IF(OR($B97="",$A97&lt;=110),"",--MID('Key Analysis'!$C93,$A97-110,1))</f>
        <v/>
      </c>
      <c r="DJ97" s="29" t="str">
        <f>IF(OR($B97="",$A97&lt;=111),"",--MID('Key Analysis'!$C93,$A97-111,1))</f>
        <v/>
      </c>
      <c r="DK97" s="29" t="str">
        <f>IF(OR($B97="",$A97&lt;=112),"",--MID('Key Analysis'!$C93,$A97-112,1))</f>
        <v/>
      </c>
      <c r="DL97" s="29" t="str">
        <f>IF(OR($B97="",$A97&lt;=113),"",--MID('Key Analysis'!$C93,$A97-113,1))</f>
        <v/>
      </c>
      <c r="DM97" s="29" t="str">
        <f>IF(OR($B97="",$A97&lt;=114),"",--MID('Key Analysis'!$C93,$A97-114,1))</f>
        <v/>
      </c>
      <c r="DN97" s="29" t="str">
        <f>IF(OR($B97="",$A97&lt;=115),"",--MID('Key Analysis'!$C93,$A97-115,1))</f>
        <v/>
      </c>
      <c r="DO97" s="29" t="str">
        <f>IF(OR($B97="",$A97&lt;=116),"",--MID('Key Analysis'!$C93,$A97-116,1))</f>
        <v/>
      </c>
      <c r="DP97" s="29" t="str">
        <f>IF(OR($B97="",$A97&lt;=117),"",--MID('Key Analysis'!$C93,$A97-117,1))</f>
        <v/>
      </c>
      <c r="DQ97" s="29" t="str">
        <f>IF(OR($B97="",$A97&lt;=118),"",--MID('Key Analysis'!$C93,$A97-118,1))</f>
        <v/>
      </c>
      <c r="DR97" s="29" t="str">
        <f>IF(OR($B97="",$A97&lt;=119),"",--MID('Key Analysis'!$C93,$A97-119,1))</f>
        <v/>
      </c>
      <c r="DS97" s="29" t="str">
        <f>IF(OR($B97="",$A97&lt;=120),"",--MID('Key Analysis'!$C93,$A97-120,1))</f>
        <v/>
      </c>
      <c r="DT97" s="29" t="str">
        <f>IF(OR($B97="",$A97&lt;=121),"",--MID('Key Analysis'!$C93,$A97-121,1))</f>
        <v/>
      </c>
      <c r="DU97" s="29" t="str">
        <f>IF(OR($B97="",$A97&lt;=122),"",--MID('Key Analysis'!$C93,$A97-122,1))</f>
        <v/>
      </c>
      <c r="DV97" s="29" t="str">
        <f>IF(OR($B97="",$A97&lt;=123),"",--MID('Key Analysis'!$C93,$A97-123,1))</f>
        <v/>
      </c>
      <c r="DW97" s="29" t="str">
        <f>IF(OR($B97="",$A97&lt;=124),"",--MID('Key Analysis'!$C93,$A97-124,1))</f>
        <v/>
      </c>
      <c r="DX97" s="29" t="str">
        <f>IF(OR($B97="",$A97&lt;=125),"",--MID('Key Analysis'!$C93,$A97-125,1))</f>
        <v/>
      </c>
      <c r="DY97" s="29" t="str">
        <f>IF(OR($B97="",$A97&lt;=126),"",--MID('Key Analysis'!$C93,$A97-126,1))</f>
        <v/>
      </c>
      <c r="DZ97" s="29" t="str">
        <f>IF(OR($B97="",$A97&lt;=127),"",--MID('Key Analysis'!$C93,$A97-127,1))</f>
        <v/>
      </c>
      <c r="EA97" s="29" t="str">
        <f>IF(OR($B97="",$A97&lt;=128),"",--MID('Key Analysis'!$C93,$A97-128,1))</f>
        <v/>
      </c>
      <c r="EB97" s="29" t="str">
        <f>IF(OR($B97="",$A97&lt;=129),"",--MID('Key Analysis'!$C93,$A97-129,1))</f>
        <v/>
      </c>
      <c r="EC97" s="29" t="str">
        <f>IF(OR($B97="",$A97&lt;=130),"",--MID('Key Analysis'!$C93,$A97-130,1))</f>
        <v/>
      </c>
      <c r="ED97" s="29" t="str">
        <f>IF(OR($B97="",$A97&lt;=131),"",--MID('Key Analysis'!$C93,$A97-131,1))</f>
        <v/>
      </c>
      <c r="EE97" s="29" t="str">
        <f>IF(OR($B97="",$A97&lt;=132),"",--MID('Key Analysis'!$C93,$A97-132,1))</f>
        <v/>
      </c>
      <c r="EF97" s="29" t="str">
        <f>IF(OR($B97="",$A97&lt;=133),"",--MID('Key Analysis'!$C93,$A97-133,1))</f>
        <v/>
      </c>
      <c r="EG97" s="29" t="str">
        <f>IF(OR($B97="",$A97&lt;=134),"",--MID('Key Analysis'!$C93,$A97-134,1))</f>
        <v/>
      </c>
      <c r="EH97" s="29"/>
      <c r="EI97" s="29" t="str">
        <f>IF(OR($B97="",$A97&lt;1),"",--MID('Key Analysis'!$C93,1,1))</f>
        <v/>
      </c>
      <c r="EJ97" s="29" t="str">
        <f>IF(OR($B97="",$A97&lt;2),"",--MID('Key Analysis'!$C93,2,1))</f>
        <v/>
      </c>
      <c r="EK97" s="29" t="str">
        <f>IF(OR($B97="",$A97&lt;3),"",--MID('Key Analysis'!$C93,3,1))</f>
        <v/>
      </c>
      <c r="EL97" s="29" t="str">
        <f>IF(OR($B97="",$A97&lt;4),"",--MID('Key Analysis'!$C93,4,1))</f>
        <v/>
      </c>
      <c r="EM97" s="29" t="str">
        <f>IF(OR($B97="",$A97&lt;5),"",--MID('Key Analysis'!$C93,5,1))</f>
        <v/>
      </c>
      <c r="EN97" s="29" t="str">
        <f>IF(OR($B97="",$A97&lt;6),"",--MID('Key Analysis'!$C93,6,1))</f>
        <v/>
      </c>
      <c r="EO97" s="29" t="str">
        <f>IF(OR($B97="",$A97&lt;7),"",--MID('Key Analysis'!$C93,7,1))</f>
        <v/>
      </c>
      <c r="EP97" s="29" t="str">
        <f>IF(OR($B97="",$A97&lt;8),"",--MID('Key Analysis'!$C93,8,1))</f>
        <v/>
      </c>
      <c r="EQ97" s="29" t="str">
        <f>IF(OR($B97="",$A97&lt;9),"",--MID('Key Analysis'!$C93,9,1))</f>
        <v/>
      </c>
      <c r="ER97" s="29" t="str">
        <f>IF(OR($B97="",$A97&lt;10),"",--MID('Key Analysis'!$C93,10,1))</f>
        <v/>
      </c>
      <c r="ES97" s="29" t="str">
        <f>IF(OR($B97="",$A97&lt;11),"",--MID('Key Analysis'!$C93,11,1))</f>
        <v/>
      </c>
      <c r="ET97" s="29" t="str">
        <f>IF(OR($B97="",$A97&lt;12),"",--MID('Key Analysis'!$C93,12,1))</f>
        <v/>
      </c>
      <c r="EU97" s="29" t="str">
        <f>IF(OR($B97="",$A97&lt;13),"",--MID('Key Analysis'!$C93,13,1))</f>
        <v/>
      </c>
      <c r="EV97" s="29" t="str">
        <f>IF(OR($B97="",$A97&lt;14),"",--MID('Key Analysis'!$C93,14,1))</f>
        <v/>
      </c>
      <c r="EW97" s="29" t="str">
        <f>IF(OR($B97="",$A97&lt;15),"",--MID('Key Analysis'!$C93,15,1))</f>
        <v/>
      </c>
      <c r="EX97" s="29" t="str">
        <f>IF(OR($B97="",$A97&lt;16),"",--MID('Key Analysis'!$C93,16,1))</f>
        <v/>
      </c>
      <c r="EY97" s="29" t="str">
        <f>IF(OR($B97="",$A97&lt;17),"",--MID('Key Analysis'!$C93,17,1))</f>
        <v/>
      </c>
      <c r="EZ97" s="29" t="str">
        <f>IF(OR($B97="",$A97&lt;18),"",--MID('Key Analysis'!$C93,18,1))</f>
        <v/>
      </c>
      <c r="FA97" s="29" t="str">
        <f>IF(OR($B97="",$A97&lt;19),"",--MID('Key Analysis'!$C93,19,1))</f>
        <v/>
      </c>
      <c r="FB97" s="29" t="str">
        <f>IF(OR($B97="",$A97&lt;20),"",--MID('Key Analysis'!$C93,20,1))</f>
        <v/>
      </c>
      <c r="FC97" s="29" t="str">
        <f>IF(OR($B97="",$A97&lt;21),"",--MID('Key Analysis'!$C93,21,1))</f>
        <v/>
      </c>
      <c r="FD97" s="29" t="str">
        <f>IF(OR($B97="",$A97&lt;22),"",--MID('Key Analysis'!$C93,22,1))</f>
        <v/>
      </c>
      <c r="FE97" s="29" t="str">
        <f>IF(OR($B97="",$A97&lt;23),"",--MID('Key Analysis'!$C93,23,1))</f>
        <v/>
      </c>
      <c r="FF97" s="29" t="str">
        <f>IF(OR($B97="",$A97&lt;24),"",--MID('Key Analysis'!$C93,24,1))</f>
        <v/>
      </c>
      <c r="FG97" s="29" t="str">
        <f>IF(OR($B97="",$A97&lt;25),"",--MID('Key Analysis'!$C93,25,1))</f>
        <v/>
      </c>
      <c r="FH97" s="29" t="str">
        <f>IF(OR($B97="",$A97&lt;26),"",--MID('Key Analysis'!$C93,26,1))</f>
        <v/>
      </c>
      <c r="FI97" s="29" t="str">
        <f>IF(OR($B97="",$A97&lt;27),"",--MID('Key Analysis'!$C93,27,1))</f>
        <v/>
      </c>
      <c r="FJ97" s="29" t="str">
        <f>IF(OR($B97="",$A97&lt;28),"",--MID('Key Analysis'!$C93,28,1))</f>
        <v/>
      </c>
      <c r="FK97" s="29" t="str">
        <f>IF(OR($B97="",$A97&lt;29),"",--MID('Key Analysis'!$C93,29,1))</f>
        <v/>
      </c>
      <c r="FL97" s="29" t="str">
        <f>IF(OR($B97="",$A97&lt;30),"",--MID('Key Analysis'!$C93,30,1))</f>
        <v/>
      </c>
      <c r="FM97" s="29" t="str">
        <f>IF(OR($B97="",$A97&lt;31),"",--MID('Key Analysis'!$C93,31,1))</f>
        <v/>
      </c>
      <c r="FN97" s="29" t="str">
        <f>IF(OR($B97="",$A97&lt;32),"",--MID('Key Analysis'!$C93,32,1))</f>
        <v/>
      </c>
      <c r="FO97" s="29" t="str">
        <f>IF(OR($B97="",$A97&lt;33),"",--MID('Key Analysis'!$C93,33,1))</f>
        <v/>
      </c>
      <c r="FP97" s="29" t="str">
        <f>IF(OR($B97="",$A97&lt;34),"",--MID('Key Analysis'!$C93,34,1))</f>
        <v/>
      </c>
      <c r="FQ97" s="29" t="str">
        <f>IF(OR($B97="",$A97&lt;35),"",--MID('Key Analysis'!$C93,35,1))</f>
        <v/>
      </c>
      <c r="FR97" s="29" t="str">
        <f>IF(OR($B97="",$A97&lt;36),"",--MID('Key Analysis'!$C93,36,1))</f>
        <v/>
      </c>
      <c r="FS97" s="29" t="str">
        <f>IF(OR($B97="",$A97&lt;37),"",--MID('Key Analysis'!$C93,37,1))</f>
        <v/>
      </c>
      <c r="FT97" s="29" t="str">
        <f>IF(OR($B97="",$A97&lt;38),"",--MID('Key Analysis'!$C93,38,1))</f>
        <v/>
      </c>
      <c r="FU97" s="29" t="str">
        <f>IF(OR($B97="",$A97&lt;39),"",--MID('Key Analysis'!$C93,39,1))</f>
        <v/>
      </c>
      <c r="FV97" s="29" t="str">
        <f>IF(OR($B97="",$A97&lt;40),"",--MID('Key Analysis'!$C93,40,1))</f>
        <v/>
      </c>
      <c r="FW97" s="29" t="str">
        <f>IF(OR($B97="",$A97&lt;41),"",--MID('Key Analysis'!$C93,41,1))</f>
        <v/>
      </c>
      <c r="FX97" s="29" t="str">
        <f>IF(OR($B97="",$A97&lt;42),"",--MID('Key Analysis'!$C93,42,1))</f>
        <v/>
      </c>
      <c r="FY97" s="29" t="str">
        <f>IF(OR($B97="",$A97&lt;43),"",--MID('Key Analysis'!$C93,43,1))</f>
        <v/>
      </c>
      <c r="FZ97" s="29" t="str">
        <f>IF(OR($B97="",$A97&lt;44),"",--MID('Key Analysis'!$C93,44,1))</f>
        <v/>
      </c>
      <c r="GA97" s="29" t="str">
        <f>IF(OR($B97="",$A97&lt;45),"",--MID('Key Analysis'!$C93,45,1))</f>
        <v/>
      </c>
      <c r="GB97" s="29" t="str">
        <f>IF(OR($B97="",$A97&lt;46),"",--MID('Key Analysis'!$C93,46,1))</f>
        <v/>
      </c>
      <c r="GC97" s="29" t="str">
        <f>IF(OR($B97="",$A97&lt;47),"",--MID('Key Analysis'!$C93,47,1))</f>
        <v/>
      </c>
      <c r="GD97" s="29" t="str">
        <f>IF(OR($B97="",$A97&lt;48),"",--MID('Key Analysis'!$C93,48,1))</f>
        <v/>
      </c>
      <c r="GE97" s="29" t="str">
        <f>IF(OR($B97="",$A97&lt;49),"",--MID('Key Analysis'!$C93,49,1))</f>
        <v/>
      </c>
      <c r="GF97" s="29" t="str">
        <f>IF(OR($B97="",$A97&lt;50),"",--MID('Key Analysis'!$C93,50,1))</f>
        <v/>
      </c>
      <c r="GG97" s="29" t="str">
        <f>IF(OR($B97="",$A97&lt;51),"",--MID('Key Analysis'!$C93,51,1))</f>
        <v/>
      </c>
      <c r="GH97" s="29" t="str">
        <f>IF(OR($B97="",$A97&lt;52),"",--MID('Key Analysis'!$C93,52,1))</f>
        <v/>
      </c>
      <c r="GI97" s="29" t="str">
        <f>IF(OR($B97="",$A97&lt;53),"",--MID('Key Analysis'!$C93,53,1))</f>
        <v/>
      </c>
      <c r="GJ97" s="29" t="str">
        <f>IF(OR($B97="",$A97&lt;54),"",--MID('Key Analysis'!$C93,54,1))</f>
        <v/>
      </c>
      <c r="GK97" s="29" t="str">
        <f>IF(OR($B97="",$A97&lt;55),"",--MID('Key Analysis'!$C93,55,1))</f>
        <v/>
      </c>
      <c r="GL97" s="29" t="str">
        <f>IF(OR($B97="",$A97&lt;56),"",--MID('Key Analysis'!$C93,56,1))</f>
        <v/>
      </c>
      <c r="GM97" s="29" t="str">
        <f>IF(OR($B97="",$A97&lt;57),"",--MID('Key Analysis'!$C93,57,1))</f>
        <v/>
      </c>
      <c r="GN97" s="29" t="str">
        <f>IF(OR($B97="",$A97&lt;58),"",--MID('Key Analysis'!$C93,58,1))</f>
        <v/>
      </c>
      <c r="GO97" s="29" t="str">
        <f>IF(OR($B97="",$A97&lt;59),"",--MID('Key Analysis'!$C93,59,1))</f>
        <v/>
      </c>
      <c r="GP97" s="29" t="str">
        <f>IF(OR($B97="",$A97&lt;60),"",--MID('Key Analysis'!$C93,60,1))</f>
        <v/>
      </c>
      <c r="GQ97" s="29" t="str">
        <f>IF(OR($B97="",$A97&lt;61),"",--MID('Key Analysis'!$C93,61,1))</f>
        <v/>
      </c>
      <c r="GR97" s="29" t="str">
        <f>IF(OR($B97="",$A97&lt;62),"",--MID('Key Analysis'!$C93,62,1))</f>
        <v/>
      </c>
      <c r="GS97" s="29" t="str">
        <f>IF(OR($B97="",$A97&lt;63),"",--MID('Key Analysis'!$C93,63,1))</f>
        <v/>
      </c>
      <c r="GT97" s="29" t="str">
        <f>IF(OR($B97="",$A97&lt;64),"",--MID('Key Analysis'!$C93,64,1))</f>
        <v/>
      </c>
      <c r="GU97" s="29" t="str">
        <f>IF(OR($B97="",$A97&lt;65),"",--MID('Key Analysis'!$C93,65,1))</f>
        <v/>
      </c>
      <c r="GV97" s="29" t="str">
        <f>IF(OR($B97="",$A97&lt;66),"",--MID('Key Analysis'!$C93,66,1))</f>
        <v/>
      </c>
      <c r="GW97" s="29" t="str">
        <f>IF(OR($B97="",$A97&lt;67),"",--MID('Key Analysis'!$C93,67,1))</f>
        <v/>
      </c>
      <c r="GX97" s="29" t="str">
        <f>IF(OR($B97="",$A97&lt;68),"",--MID('Key Analysis'!$C93,68,1))</f>
        <v/>
      </c>
      <c r="GY97" s="29" t="str">
        <f>IF(OR($B97="",$A97&lt;69),"",--MID('Key Analysis'!$C93,69,1))</f>
        <v/>
      </c>
      <c r="GZ97" s="29" t="str">
        <f>IF(OR($B97="",$A97&lt;70),"",--MID('Key Analysis'!$C93,70,1))</f>
        <v/>
      </c>
      <c r="HA97" s="29" t="str">
        <f>IF(OR($B97="",$A97&lt;71),"",--MID('Key Analysis'!$C93,71,1))</f>
        <v/>
      </c>
      <c r="HB97" s="29" t="str">
        <f>IF(OR($B97="",$A97&lt;72),"",--MID('Key Analysis'!$C93,72,1))</f>
        <v/>
      </c>
      <c r="HC97" s="29" t="str">
        <f>IF(OR($B97="",$A97&lt;73),"",--MID('Key Analysis'!$C93,73,1))</f>
        <v/>
      </c>
      <c r="HD97" s="29" t="str">
        <f>IF(OR($B97="",$A97&lt;74),"",--MID('Key Analysis'!$C93,74,1))</f>
        <v/>
      </c>
      <c r="HE97" s="29" t="str">
        <f>IF(OR($B97="",$A97&lt;75),"",--MID('Key Analysis'!$C93,75,1))</f>
        <v/>
      </c>
      <c r="HF97" s="29" t="str">
        <f>IF(OR($B97="",$A97&lt;76),"",--MID('Key Analysis'!$C93,76,1))</f>
        <v/>
      </c>
      <c r="HG97" s="29" t="str">
        <f>IF(OR($B97="",$A97&lt;77),"",--MID('Key Analysis'!$C93,77,1))</f>
        <v/>
      </c>
      <c r="HH97" s="29" t="str">
        <f>IF(OR($B97="",$A97&lt;78),"",--MID('Key Analysis'!$C93,78,1))</f>
        <v/>
      </c>
      <c r="HI97" s="29" t="str">
        <f>IF(OR($B97="",$A97&lt;79),"",--MID('Key Analysis'!$C93,79,1))</f>
        <v/>
      </c>
      <c r="HJ97" s="29" t="str">
        <f>IF(OR($B97="",$A97&lt;80),"",--MID('Key Analysis'!$C93,80,1))</f>
        <v/>
      </c>
      <c r="HK97" s="29" t="str">
        <f>IF(OR($B97="",$A97&lt;81),"",--MID('Key Analysis'!$C93,81,1))</f>
        <v/>
      </c>
      <c r="HL97" s="29" t="str">
        <f>IF(OR($B97="",$A97&lt;82),"",--MID('Key Analysis'!$C93,82,1))</f>
        <v/>
      </c>
      <c r="HM97" s="29" t="str">
        <f>IF(OR($B97="",$A97&lt;83),"",--MID('Key Analysis'!$C93,83,1))</f>
        <v/>
      </c>
      <c r="HN97" s="29" t="str">
        <f>IF(OR($B97="",$A97&lt;84),"",--MID('Key Analysis'!$C93,84,1))</f>
        <v/>
      </c>
      <c r="HO97" s="29" t="str">
        <f>IF(OR($B97="",$A97&lt;85),"",--MID('Key Analysis'!$C93,85,1))</f>
        <v/>
      </c>
      <c r="HP97" s="29" t="str">
        <f>IF(OR($B97="",$A97&lt;86),"",--MID('Key Analysis'!$C93,86,1))</f>
        <v/>
      </c>
      <c r="HQ97" s="29" t="str">
        <f>IF(OR($B97="",$A97&lt;87),"",--MID('Key Analysis'!$C93,87,1))</f>
        <v/>
      </c>
      <c r="HR97" s="29" t="str">
        <f>IF(OR($B97="",$A97&lt;88),"",--MID('Key Analysis'!$C93,88,1))</f>
        <v/>
      </c>
      <c r="HS97" s="29" t="str">
        <f>IF(OR($B97="",$A97&lt;89),"",--MID('Key Analysis'!$C93,89,1))</f>
        <v/>
      </c>
      <c r="HT97" s="29" t="str">
        <f>IF(OR($B97="",$A97&lt;90),"",--MID('Key Analysis'!$C93,90,1))</f>
        <v/>
      </c>
      <c r="HU97" s="29" t="str">
        <f>IF(OR($B97="",$A97&lt;91),"",--MID('Key Analysis'!$C93,91,1))</f>
        <v/>
      </c>
      <c r="HV97" s="29" t="str">
        <f>IF(OR($B97="",$A97&lt;92),"",--MID('Key Analysis'!$C93,92,1))</f>
        <v/>
      </c>
      <c r="HW97" s="29" t="str">
        <f>IF(OR($B97="",$A97&lt;93),"",--MID('Key Analysis'!$C93,93,1))</f>
        <v/>
      </c>
      <c r="HX97" s="29" t="str">
        <f>IF(OR($B97="",$A97&lt;94),"",--MID('Key Analysis'!$C93,94,1))</f>
        <v/>
      </c>
      <c r="HY97" s="29" t="str">
        <f>IF(OR($B97="",$A97&lt;95),"",--MID('Key Analysis'!$C93,95,1))</f>
        <v/>
      </c>
      <c r="HZ97" s="29" t="str">
        <f>IF(OR($B97="",$A97&lt;96),"",--MID('Key Analysis'!$C93,96,1))</f>
        <v/>
      </c>
      <c r="IA97" s="29" t="str">
        <f>IF(OR($B97="",$A97&lt;97),"",--MID('Key Analysis'!$C93,97,1))</f>
        <v/>
      </c>
      <c r="IB97" s="29" t="str">
        <f>IF(OR($B97="",$A97&lt;98),"",--MID('Key Analysis'!$C93,98,1))</f>
        <v/>
      </c>
      <c r="IC97" s="29" t="str">
        <f>IF(OR($B97="",$A97&lt;99),"",--MID('Key Analysis'!$C93,99,1))</f>
        <v/>
      </c>
      <c r="ID97" s="29" t="str">
        <f>IF(OR($B97="",$A97&lt;100),"",--MID('Key Analysis'!$C93,100,1))</f>
        <v/>
      </c>
      <c r="IE97" s="29" t="str">
        <f>IF(OR($B97="",$A97&lt;101),"",--MID('Key Analysis'!$C93,101,1))</f>
        <v/>
      </c>
      <c r="IF97" s="29" t="str">
        <f>IF(OR($B97="",$A97&lt;102),"",--MID('Key Analysis'!$C93,102,1))</f>
        <v/>
      </c>
      <c r="IG97" s="29" t="str">
        <f>IF(OR($B97="",$A97&lt;103),"",--MID('Key Analysis'!$C93,103,1))</f>
        <v/>
      </c>
      <c r="IH97" s="29" t="str">
        <f>IF(OR($B97="",$A97&lt;104),"",--MID('Key Analysis'!$C93,104,1))</f>
        <v/>
      </c>
      <c r="II97" s="29" t="str">
        <f>IF(OR($B97="",$A97&lt;105),"",--MID('Key Analysis'!$C93,105,1))</f>
        <v/>
      </c>
      <c r="IJ97" s="29" t="str">
        <f>IF(OR($B97="",$A97&lt;106),"",--MID('Key Analysis'!$C93,106,1))</f>
        <v/>
      </c>
      <c r="IK97" s="29" t="str">
        <f>IF(OR($B97="",$A97&lt;107),"",--MID('Key Analysis'!$C93,107,1))</f>
        <v/>
      </c>
      <c r="IL97" s="29" t="str">
        <f>IF(OR($B97="",$A97&lt;108),"",--MID('Key Analysis'!$C93,108,1))</f>
        <v/>
      </c>
      <c r="IM97" s="29" t="str">
        <f>IF(OR($B97="",$A97&lt;109),"",--MID('Key Analysis'!$C93,109,1))</f>
        <v/>
      </c>
      <c r="IN97" s="29" t="str">
        <f>IF(OR($B97="",$A97&lt;110),"",--MID('Key Analysis'!$C93,110,1))</f>
        <v/>
      </c>
      <c r="IO97" s="29" t="str">
        <f>IF(OR($B97="",$A97&lt;111),"",--MID('Key Analysis'!$C93,111,1))</f>
        <v/>
      </c>
      <c r="IP97" s="29" t="str">
        <f>IF(OR($B97="",$A97&lt;112),"",--MID('Key Analysis'!$C93,112,1))</f>
        <v/>
      </c>
      <c r="IQ97" s="29" t="str">
        <f>IF(OR($B97="",$A97&lt;113),"",--MID('Key Analysis'!$C93,113,1))</f>
        <v/>
      </c>
      <c r="IR97" s="29" t="str">
        <f>IF(OR($B97="",$A97&lt;114),"",--MID('Key Analysis'!$C93,114,1))</f>
        <v/>
      </c>
      <c r="IS97" s="29" t="str">
        <f>IF(OR($B97="",$A97&lt;115),"",--MID('Key Analysis'!$C93,115,1))</f>
        <v/>
      </c>
      <c r="IT97" s="29" t="str">
        <f>IF(OR($B97="",$A97&lt;116),"",--MID('Key Analysis'!$C93,116,1))</f>
        <v/>
      </c>
      <c r="IU97" s="29" t="str">
        <f>IF(OR($B97="",$A97&lt;117),"",--MID('Key Analysis'!$C93,117,1))</f>
        <v/>
      </c>
      <c r="IV97" s="29" t="str">
        <f>IF(OR($B97="",$A97&lt;118),"",--MID('Key Analysis'!$C93,118,1))</f>
        <v/>
      </c>
      <c r="IW97" s="29" t="str">
        <f>IF(OR($B97="",$A97&lt;119),"",--MID('Key Analysis'!$C93,119,1))</f>
        <v/>
      </c>
      <c r="IX97" s="29" t="str">
        <f>IF(OR($B97="",$A97&lt;120),"",--MID('Key Analysis'!$C93,120,1))</f>
        <v/>
      </c>
      <c r="IY97" s="29" t="str">
        <f>IF(OR($B97="",$A97&lt;121),"",--MID('Key Analysis'!$C93,121,1))</f>
        <v/>
      </c>
      <c r="IZ97" s="29" t="str">
        <f>IF(OR($B97="",$A97&lt;122),"",--MID('Key Analysis'!$C93,122,1))</f>
        <v/>
      </c>
      <c r="JA97" s="29" t="str">
        <f>IF(OR($B97="",$A97&lt;123),"",--MID('Key Analysis'!$C93,123,1))</f>
        <v/>
      </c>
      <c r="JB97" s="29" t="str">
        <f>IF(OR($B97="",$A97&lt;124),"",--MID('Key Analysis'!$C93,124,1))</f>
        <v/>
      </c>
      <c r="JC97" s="29" t="str">
        <f>IF(OR($B97="",$A97&lt;125),"",--MID('Key Analysis'!$C93,125,1))</f>
        <v/>
      </c>
      <c r="JD97" s="29" t="str">
        <f>IF(OR($B97="",$A97&lt;126),"",--MID('Key Analysis'!$C93,126,1))</f>
        <v/>
      </c>
      <c r="JE97" s="29" t="str">
        <f>IF(OR($B97="",$A97&lt;127),"",--MID('Key Analysis'!$C93,127,1))</f>
        <v/>
      </c>
      <c r="JF97" s="29" t="str">
        <f>IF(OR($B97="",$A97&lt;128),"",--MID('Key Analysis'!$C93,128,1))</f>
        <v/>
      </c>
      <c r="JG97" s="29" t="str">
        <f>IF(OR($B97="",$A97&lt;129),"",--MID('Key Analysis'!$C93,129,1))</f>
        <v/>
      </c>
      <c r="JH97" s="29" t="str">
        <f>IF(OR($B97="",$A97&lt;130),"",--MID('Key Analysis'!$C93,130,1))</f>
        <v/>
      </c>
      <c r="JI97" s="29" t="str">
        <f>IF(OR($B97="",$A97&lt;131),"",--MID('Key Analysis'!$C93,131,1))</f>
        <v/>
      </c>
      <c r="JJ97" s="29" t="str">
        <f>IF(OR($B97="",$A97&lt;132),"",--MID('Key Analysis'!$C93,132,1))</f>
        <v/>
      </c>
      <c r="JK97" s="29" t="str">
        <f>IF(OR($B97="",$A97&lt;133),"",--MID('Key Analysis'!$C93,133,1))</f>
        <v/>
      </c>
      <c r="JL97" s="29" t="str">
        <f>IF(OR($B97="",$A97&lt;134),"",--MID('Key Analysis'!$C93,134,1))</f>
        <v/>
      </c>
      <c r="JM97" s="29" t="str">
        <f>IF(OR($B97="",$A97&lt;135),"",--MID('Key Analysis'!$C93,135,1))</f>
        <v/>
      </c>
    </row>
    <row r="98" spans="1:273" x14ac:dyDescent="0.25">
      <c r="A98" s="21">
        <f>'Key Analysis'!A94</f>
        <v>93</v>
      </c>
      <c r="B98" s="30" t="str">
        <f>'Key Analysis'!B94</f>
        <v/>
      </c>
      <c r="C98" s="29" t="str">
        <f>IF(OR($B98="",$A98&lt;=0),"",--MID('Key Analysis'!$C94,$A98-0,1))</f>
        <v/>
      </c>
      <c r="D98" s="29" t="str">
        <f>IF(OR($B98="",$A98&lt;=1),"",--MID('Key Analysis'!$C94,$A98-1,1))</f>
        <v/>
      </c>
      <c r="E98" s="29" t="str">
        <f>IF(OR($B98="",$A98&lt;=2),"",--MID('Key Analysis'!$C94,$A98-2,1))</f>
        <v/>
      </c>
      <c r="F98" s="29" t="str">
        <f>IF(OR($B98="",$A98&lt;=3),"",--MID('Key Analysis'!$C94,$A98-3,1))</f>
        <v/>
      </c>
      <c r="G98" s="29" t="str">
        <f>IF(OR($B98="",$A98&lt;=4),"",--MID('Key Analysis'!$C94,$A98-4,1))</f>
        <v/>
      </c>
      <c r="H98" s="29" t="str">
        <f>IF(OR($B98="",$A98&lt;=5),"",--MID('Key Analysis'!$C94,$A98-5,1))</f>
        <v/>
      </c>
      <c r="I98" s="29" t="str">
        <f>IF(OR($B98="",$A98&lt;=6),"",--MID('Key Analysis'!$C94,$A98-6,1))</f>
        <v/>
      </c>
      <c r="J98" s="29" t="str">
        <f>IF(OR($B98="",$A98&lt;=7),"",--MID('Key Analysis'!$C94,$A98-7,1))</f>
        <v/>
      </c>
      <c r="K98" s="29" t="str">
        <f>IF(OR($B98="",$A98&lt;=8),"",--MID('Key Analysis'!$C94,$A98-8,1))</f>
        <v/>
      </c>
      <c r="L98" s="29" t="str">
        <f>IF(OR($B98="",$A98&lt;=9),"",--MID('Key Analysis'!$C94,$A98-9,1))</f>
        <v/>
      </c>
      <c r="M98" s="29" t="str">
        <f>IF(OR($B98="",$A98&lt;=10),"",--MID('Key Analysis'!$C94,$A98-10,1))</f>
        <v/>
      </c>
      <c r="N98" s="29" t="str">
        <f>IF(OR($B98="",$A98&lt;=11),"",--MID('Key Analysis'!$C94,$A98-11,1))</f>
        <v/>
      </c>
      <c r="O98" s="29" t="str">
        <f>IF(OR($B98="",$A98&lt;=12),"",--MID('Key Analysis'!$C94,$A98-12,1))</f>
        <v/>
      </c>
      <c r="P98" s="29" t="str">
        <f>IF(OR($B98="",$A98&lt;=13),"",--MID('Key Analysis'!$C94,$A98-13,1))</f>
        <v/>
      </c>
      <c r="Q98" s="29" t="str">
        <f>IF(OR($B98="",$A98&lt;=14),"",--MID('Key Analysis'!$C94,$A98-14,1))</f>
        <v/>
      </c>
      <c r="R98" s="29" t="str">
        <f>IF(OR($B98="",$A98&lt;=15),"",--MID('Key Analysis'!$C94,$A98-15,1))</f>
        <v/>
      </c>
      <c r="S98" s="29" t="str">
        <f>IF(OR($B98="",$A98&lt;=16),"",--MID('Key Analysis'!$C94,$A98-16,1))</f>
        <v/>
      </c>
      <c r="T98" s="29" t="str">
        <f>IF(OR($B98="",$A98&lt;=17),"",--MID('Key Analysis'!$C94,$A98-17,1))</f>
        <v/>
      </c>
      <c r="U98" s="29" t="str">
        <f>IF(OR($B98="",$A98&lt;=18),"",--MID('Key Analysis'!$C94,$A98-18,1))</f>
        <v/>
      </c>
      <c r="V98" s="29" t="str">
        <f>IF(OR($B98="",$A98&lt;=19),"",--MID('Key Analysis'!$C94,$A98-19,1))</f>
        <v/>
      </c>
      <c r="W98" s="29" t="str">
        <f>IF(OR($B98="",$A98&lt;=20),"",--MID('Key Analysis'!$C94,$A98-20,1))</f>
        <v/>
      </c>
      <c r="X98" s="29" t="str">
        <f>IF(OR($B98="",$A98&lt;=21),"",--MID('Key Analysis'!$C94,$A98-21,1))</f>
        <v/>
      </c>
      <c r="Y98" s="29" t="str">
        <f>IF(OR($B98="",$A98&lt;=22),"",--MID('Key Analysis'!$C94,$A98-22,1))</f>
        <v/>
      </c>
      <c r="Z98" s="29" t="str">
        <f>IF(OR($B98="",$A98&lt;=23),"",--MID('Key Analysis'!$C94,$A98-23,1))</f>
        <v/>
      </c>
      <c r="AA98" s="29" t="str">
        <f>IF(OR($B98="",$A98&lt;=24),"",--MID('Key Analysis'!$C94,$A98-24,1))</f>
        <v/>
      </c>
      <c r="AB98" s="29" t="str">
        <f>IF(OR($B98="",$A98&lt;=25),"",--MID('Key Analysis'!$C94,$A98-25,1))</f>
        <v/>
      </c>
      <c r="AC98" s="29" t="str">
        <f>IF(OR($B98="",$A98&lt;=26),"",--MID('Key Analysis'!$C94,$A98-26,1))</f>
        <v/>
      </c>
      <c r="AD98" s="29" t="str">
        <f>IF(OR($B98="",$A98&lt;=27),"",--MID('Key Analysis'!$C94,$A98-27,1))</f>
        <v/>
      </c>
      <c r="AE98" s="29" t="str">
        <f>IF(OR($B98="",$A98&lt;=28),"",--MID('Key Analysis'!$C94,$A98-28,1))</f>
        <v/>
      </c>
      <c r="AF98" s="29" t="str">
        <f>IF(OR($B98="",$A98&lt;=29),"",--MID('Key Analysis'!$C94,$A98-29,1))</f>
        <v/>
      </c>
      <c r="AG98" s="29" t="str">
        <f>IF(OR($B98="",$A98&lt;=30),"",--MID('Key Analysis'!$C94,$A98-30,1))</f>
        <v/>
      </c>
      <c r="AH98" s="29" t="str">
        <f>IF(OR($B98="",$A98&lt;=31),"",--MID('Key Analysis'!$C94,$A98-31,1))</f>
        <v/>
      </c>
      <c r="AI98" s="29" t="str">
        <f>IF(OR($B98="",$A98&lt;=32),"",--MID('Key Analysis'!$C94,$A98-32,1))</f>
        <v/>
      </c>
      <c r="AJ98" s="29" t="str">
        <f>IF(OR($B98="",$A98&lt;=33),"",--MID('Key Analysis'!$C94,$A98-33,1))</f>
        <v/>
      </c>
      <c r="AK98" s="29" t="str">
        <f>IF(OR($B98="",$A98&lt;=34),"",--MID('Key Analysis'!$C94,$A98-34,1))</f>
        <v/>
      </c>
      <c r="AL98" s="29" t="str">
        <f>IF(OR($B98="",$A98&lt;=35),"",--MID('Key Analysis'!$C94,$A98-35,1))</f>
        <v/>
      </c>
      <c r="AM98" s="29" t="str">
        <f>IF(OR($B98="",$A98&lt;=36),"",--MID('Key Analysis'!$C94,$A98-36,1))</f>
        <v/>
      </c>
      <c r="AN98" s="29" t="str">
        <f>IF(OR($B98="",$A98&lt;=37),"",--MID('Key Analysis'!$C94,$A98-37,1))</f>
        <v/>
      </c>
      <c r="AO98" s="29" t="str">
        <f>IF(OR($B98="",$A98&lt;=38),"",--MID('Key Analysis'!$C94,$A98-38,1))</f>
        <v/>
      </c>
      <c r="AP98" s="29" t="str">
        <f>IF(OR($B98="",$A98&lt;=39),"",--MID('Key Analysis'!$C94,$A98-39,1))</f>
        <v/>
      </c>
      <c r="AQ98" s="29" t="str">
        <f>IF(OR($B98="",$A98&lt;=40),"",--MID('Key Analysis'!$C94,$A98-40,1))</f>
        <v/>
      </c>
      <c r="AR98" s="29" t="str">
        <f>IF(OR($B98="",$A98&lt;=41),"",--MID('Key Analysis'!$C94,$A98-41,1))</f>
        <v/>
      </c>
      <c r="AS98" s="29" t="str">
        <f>IF(OR($B98="",$A98&lt;=42),"",--MID('Key Analysis'!$C94,$A98-42,1))</f>
        <v/>
      </c>
      <c r="AT98" s="29" t="str">
        <f>IF(OR($B98="",$A98&lt;=43),"",--MID('Key Analysis'!$C94,$A98-43,1))</f>
        <v/>
      </c>
      <c r="AU98" s="29" t="str">
        <f>IF(OR($B98="",$A98&lt;=44),"",--MID('Key Analysis'!$C94,$A98-44,1))</f>
        <v/>
      </c>
      <c r="AV98" s="29" t="str">
        <f>IF(OR($B98="",$A98&lt;=45),"",--MID('Key Analysis'!$C94,$A98-45,1))</f>
        <v/>
      </c>
      <c r="AW98" s="29" t="str">
        <f>IF(OR($B98="",$A98&lt;=46),"",--MID('Key Analysis'!$C94,$A98-46,1))</f>
        <v/>
      </c>
      <c r="AX98" s="29" t="str">
        <f>IF(OR($B98="",$A98&lt;=47),"",--MID('Key Analysis'!$C94,$A98-47,1))</f>
        <v/>
      </c>
      <c r="AY98" s="29" t="str">
        <f>IF(OR($B98="",$A98&lt;=48),"",--MID('Key Analysis'!$C94,$A98-48,1))</f>
        <v/>
      </c>
      <c r="AZ98" s="29" t="str">
        <f>IF(OR($B98="",$A98&lt;=49),"",--MID('Key Analysis'!$C94,$A98-49,1))</f>
        <v/>
      </c>
      <c r="BA98" s="29" t="str">
        <f>IF(OR($B98="",$A98&lt;=50),"",--MID('Key Analysis'!$C94,$A98-50,1))</f>
        <v/>
      </c>
      <c r="BB98" s="29" t="str">
        <f>IF(OR($B98="",$A98&lt;=51),"",--MID('Key Analysis'!$C94,$A98-51,1))</f>
        <v/>
      </c>
      <c r="BC98" s="29" t="str">
        <f>IF(OR($B98="",$A98&lt;=52),"",--MID('Key Analysis'!$C94,$A98-52,1))</f>
        <v/>
      </c>
      <c r="BD98" s="29" t="str">
        <f>IF(OR($B98="",$A98&lt;=53),"",--MID('Key Analysis'!$C94,$A98-53,1))</f>
        <v/>
      </c>
      <c r="BE98" s="29" t="str">
        <f>IF(OR($B98="",$A98&lt;=54),"",--MID('Key Analysis'!$C94,$A98-54,1))</f>
        <v/>
      </c>
      <c r="BF98" s="29" t="str">
        <f>IF(OR($B98="",$A98&lt;=55),"",--MID('Key Analysis'!$C94,$A98-55,1))</f>
        <v/>
      </c>
      <c r="BG98" s="29" t="str">
        <f>IF(OR($B98="",$A98&lt;=56),"",--MID('Key Analysis'!$C94,$A98-56,1))</f>
        <v/>
      </c>
      <c r="BH98" s="29" t="str">
        <f>IF(OR($B98="",$A98&lt;=57),"",--MID('Key Analysis'!$C94,$A98-57,1))</f>
        <v/>
      </c>
      <c r="BI98" s="29" t="str">
        <f>IF(OR($B98="",$A98&lt;=58),"",--MID('Key Analysis'!$C94,$A98-58,1))</f>
        <v/>
      </c>
      <c r="BJ98" s="29" t="str">
        <f>IF(OR($B98="",$A98&lt;=59),"",--MID('Key Analysis'!$C94,$A98-59,1))</f>
        <v/>
      </c>
      <c r="BK98" s="29" t="str">
        <f>IF(OR($B98="",$A98&lt;=60),"",--MID('Key Analysis'!$C94,$A98-60,1))</f>
        <v/>
      </c>
      <c r="BL98" s="29" t="str">
        <f>IF(OR($B98="",$A98&lt;=61),"",--MID('Key Analysis'!$C94,$A98-61,1))</f>
        <v/>
      </c>
      <c r="BM98" s="29" t="str">
        <f>IF(OR($B98="",$A98&lt;=62),"",--MID('Key Analysis'!$C94,$A98-62,1))</f>
        <v/>
      </c>
      <c r="BN98" s="29" t="str">
        <f>IF(OR($B98="",$A98&lt;=63),"",--MID('Key Analysis'!$C94,$A98-63,1))</f>
        <v/>
      </c>
      <c r="BO98" s="29" t="str">
        <f>IF(OR($B98="",$A98&lt;=64),"",--MID('Key Analysis'!$C94,$A98-64,1))</f>
        <v/>
      </c>
      <c r="BP98" s="29" t="str">
        <f>IF(OR($B98="",$A98&lt;=65),"",--MID('Key Analysis'!$C94,$A98-65,1))</f>
        <v/>
      </c>
      <c r="BQ98" s="29" t="str">
        <f>IF(OR($B98="",$A98&lt;=66),"",--MID('Key Analysis'!$C94,$A98-66,1))</f>
        <v/>
      </c>
      <c r="BR98" s="29" t="str">
        <f>IF(OR($B98="",$A98&lt;=67),"",--MID('Key Analysis'!$C94,$A98-67,1))</f>
        <v/>
      </c>
      <c r="BS98" s="29" t="str">
        <f>IF(OR($B98="",$A98&lt;=68),"",--MID('Key Analysis'!$C94,$A98-68,1))</f>
        <v/>
      </c>
      <c r="BT98" s="29" t="str">
        <f>IF(OR($B98="",$A98&lt;=69),"",--MID('Key Analysis'!$C94,$A98-69,1))</f>
        <v/>
      </c>
      <c r="BU98" s="29" t="str">
        <f>IF(OR($B98="",$A98&lt;=70),"",--MID('Key Analysis'!$C94,$A98-70,1))</f>
        <v/>
      </c>
      <c r="BV98" s="29" t="str">
        <f>IF(OR($B98="",$A98&lt;=71),"",--MID('Key Analysis'!$C94,$A98-71,1))</f>
        <v/>
      </c>
      <c r="BW98" s="29" t="str">
        <f>IF(OR($B98="",$A98&lt;=72),"",--MID('Key Analysis'!$C94,$A98-72,1))</f>
        <v/>
      </c>
      <c r="BX98" s="29" t="str">
        <f>IF(OR($B98="",$A98&lt;=73),"",--MID('Key Analysis'!$C94,$A98-73,1))</f>
        <v/>
      </c>
      <c r="BY98" s="29" t="str">
        <f>IF(OR($B98="",$A98&lt;=74),"",--MID('Key Analysis'!$C94,$A98-74,1))</f>
        <v/>
      </c>
      <c r="BZ98" s="29" t="str">
        <f>IF(OR($B98="",$A98&lt;=75),"",--MID('Key Analysis'!$C94,$A98-75,1))</f>
        <v/>
      </c>
      <c r="CA98" s="29" t="str">
        <f>IF(OR($B98="",$A98&lt;=76),"",--MID('Key Analysis'!$C94,$A98-76,1))</f>
        <v/>
      </c>
      <c r="CB98" s="29" t="str">
        <f>IF(OR($B98="",$A98&lt;=77),"",--MID('Key Analysis'!$C94,$A98-77,1))</f>
        <v/>
      </c>
      <c r="CC98" s="29" t="str">
        <f>IF(OR($B98="",$A98&lt;=78),"",--MID('Key Analysis'!$C94,$A98-78,1))</f>
        <v/>
      </c>
      <c r="CD98" s="29" t="str">
        <f>IF(OR($B98="",$A98&lt;=79),"",--MID('Key Analysis'!$C94,$A98-79,1))</f>
        <v/>
      </c>
      <c r="CE98" s="29" t="str">
        <f>IF(OR($B98="",$A98&lt;=80),"",--MID('Key Analysis'!$C94,$A98-80,1))</f>
        <v/>
      </c>
      <c r="CF98" s="29" t="str">
        <f>IF(OR($B98="",$A98&lt;=81),"",--MID('Key Analysis'!$C94,$A98-81,1))</f>
        <v/>
      </c>
      <c r="CG98" s="29" t="str">
        <f>IF(OR($B98="",$A98&lt;=82),"",--MID('Key Analysis'!$C94,$A98-82,1))</f>
        <v/>
      </c>
      <c r="CH98" s="29" t="str">
        <f>IF(OR($B98="",$A98&lt;=83),"",--MID('Key Analysis'!$C94,$A98-83,1))</f>
        <v/>
      </c>
      <c r="CI98" s="29" t="str">
        <f>IF(OR($B98="",$A98&lt;=84),"",--MID('Key Analysis'!$C94,$A98-84,1))</f>
        <v/>
      </c>
      <c r="CJ98" s="29" t="str">
        <f>IF(OR($B98="",$A98&lt;=85),"",--MID('Key Analysis'!$C94,$A98-85,1))</f>
        <v/>
      </c>
      <c r="CK98" s="29" t="str">
        <f>IF(OR($B98="",$A98&lt;=86),"",--MID('Key Analysis'!$C94,$A98-86,1))</f>
        <v/>
      </c>
      <c r="CL98" s="29" t="str">
        <f>IF(OR($B98="",$A98&lt;=87),"",--MID('Key Analysis'!$C94,$A98-87,1))</f>
        <v/>
      </c>
      <c r="CM98" s="29" t="str">
        <f>IF(OR($B98="",$A98&lt;=88),"",--MID('Key Analysis'!$C94,$A98-88,1))</f>
        <v/>
      </c>
      <c r="CN98" s="29" t="str">
        <f>IF(OR($B98="",$A98&lt;=89),"",--MID('Key Analysis'!$C94,$A98-89,1))</f>
        <v/>
      </c>
      <c r="CO98" s="29" t="str">
        <f>IF(OR($B98="",$A98&lt;=90),"",--MID('Key Analysis'!$C94,$A98-90,1))</f>
        <v/>
      </c>
      <c r="CP98" s="29" t="str">
        <f>IF(OR($B98="",$A98&lt;=91),"",--MID('Key Analysis'!$C94,$A98-91,1))</f>
        <v/>
      </c>
      <c r="CQ98" s="29" t="str">
        <f>IF(OR($B98="",$A98&lt;=92),"",--MID('Key Analysis'!$C94,$A98-92,1))</f>
        <v/>
      </c>
      <c r="CR98" s="29" t="str">
        <f>IF(OR($B98="",$A98&lt;=93),"",--MID('Key Analysis'!$C94,$A98-93,1))</f>
        <v/>
      </c>
      <c r="CS98" s="29" t="str">
        <f>IF(OR($B98="",$A98&lt;=94),"",--MID('Key Analysis'!$C94,$A98-94,1))</f>
        <v/>
      </c>
      <c r="CT98" s="29" t="str">
        <f>IF(OR($B98="",$A98&lt;=95),"",--MID('Key Analysis'!$C94,$A98-95,1))</f>
        <v/>
      </c>
      <c r="CU98" s="29" t="str">
        <f>IF(OR($B98="",$A98&lt;=96),"",--MID('Key Analysis'!$C94,$A98-96,1))</f>
        <v/>
      </c>
      <c r="CV98" s="29" t="str">
        <f>IF(OR($B98="",$A98&lt;=97),"",--MID('Key Analysis'!$C94,$A98-97,1))</f>
        <v/>
      </c>
      <c r="CW98" s="29" t="str">
        <f>IF(OR($B98="",$A98&lt;=98),"",--MID('Key Analysis'!$C94,$A98-98,1))</f>
        <v/>
      </c>
      <c r="CX98" s="29" t="str">
        <f>IF(OR($B98="",$A98&lt;=99),"",--MID('Key Analysis'!$C94,$A98-99,1))</f>
        <v/>
      </c>
      <c r="CY98" s="29" t="str">
        <f>IF(OR($B98="",$A98&lt;=100),"",--MID('Key Analysis'!$C94,$A98-100,1))</f>
        <v/>
      </c>
      <c r="CZ98" s="29" t="str">
        <f>IF(OR($B98="",$A98&lt;=101),"",--MID('Key Analysis'!$C94,$A98-101,1))</f>
        <v/>
      </c>
      <c r="DA98" s="29" t="str">
        <f>IF(OR($B98="",$A98&lt;=102),"",--MID('Key Analysis'!$C94,$A98-102,1))</f>
        <v/>
      </c>
      <c r="DB98" s="29" t="str">
        <f>IF(OR($B98="",$A98&lt;=103),"",--MID('Key Analysis'!$C94,$A98-103,1))</f>
        <v/>
      </c>
      <c r="DC98" s="29" t="str">
        <f>IF(OR($B98="",$A98&lt;=104),"",--MID('Key Analysis'!$C94,$A98-104,1))</f>
        <v/>
      </c>
      <c r="DD98" s="29" t="str">
        <f>IF(OR($B98="",$A98&lt;=105),"",--MID('Key Analysis'!$C94,$A98-105,1))</f>
        <v/>
      </c>
      <c r="DE98" s="29" t="str">
        <f>IF(OR($B98="",$A98&lt;=106),"",--MID('Key Analysis'!$C94,$A98-106,1))</f>
        <v/>
      </c>
      <c r="DF98" s="29" t="str">
        <f>IF(OR($B98="",$A98&lt;=107),"",--MID('Key Analysis'!$C94,$A98-107,1))</f>
        <v/>
      </c>
      <c r="DG98" s="29" t="str">
        <f>IF(OR($B98="",$A98&lt;=108),"",--MID('Key Analysis'!$C94,$A98-108,1))</f>
        <v/>
      </c>
      <c r="DH98" s="29" t="str">
        <f>IF(OR($B98="",$A98&lt;=109),"",--MID('Key Analysis'!$C94,$A98-109,1))</f>
        <v/>
      </c>
      <c r="DI98" s="29" t="str">
        <f>IF(OR($B98="",$A98&lt;=110),"",--MID('Key Analysis'!$C94,$A98-110,1))</f>
        <v/>
      </c>
      <c r="DJ98" s="29" t="str">
        <f>IF(OR($B98="",$A98&lt;=111),"",--MID('Key Analysis'!$C94,$A98-111,1))</f>
        <v/>
      </c>
      <c r="DK98" s="29" t="str">
        <f>IF(OR($B98="",$A98&lt;=112),"",--MID('Key Analysis'!$C94,$A98-112,1))</f>
        <v/>
      </c>
      <c r="DL98" s="29" t="str">
        <f>IF(OR($B98="",$A98&lt;=113),"",--MID('Key Analysis'!$C94,$A98-113,1))</f>
        <v/>
      </c>
      <c r="DM98" s="29" t="str">
        <f>IF(OR($B98="",$A98&lt;=114),"",--MID('Key Analysis'!$C94,$A98-114,1))</f>
        <v/>
      </c>
      <c r="DN98" s="29" t="str">
        <f>IF(OR($B98="",$A98&lt;=115),"",--MID('Key Analysis'!$C94,$A98-115,1))</f>
        <v/>
      </c>
      <c r="DO98" s="29" t="str">
        <f>IF(OR($B98="",$A98&lt;=116),"",--MID('Key Analysis'!$C94,$A98-116,1))</f>
        <v/>
      </c>
      <c r="DP98" s="29" t="str">
        <f>IF(OR($B98="",$A98&lt;=117),"",--MID('Key Analysis'!$C94,$A98-117,1))</f>
        <v/>
      </c>
      <c r="DQ98" s="29" t="str">
        <f>IF(OR($B98="",$A98&lt;=118),"",--MID('Key Analysis'!$C94,$A98-118,1))</f>
        <v/>
      </c>
      <c r="DR98" s="29" t="str">
        <f>IF(OR($B98="",$A98&lt;=119),"",--MID('Key Analysis'!$C94,$A98-119,1))</f>
        <v/>
      </c>
      <c r="DS98" s="29" t="str">
        <f>IF(OR($B98="",$A98&lt;=120),"",--MID('Key Analysis'!$C94,$A98-120,1))</f>
        <v/>
      </c>
      <c r="DT98" s="29" t="str">
        <f>IF(OR($B98="",$A98&lt;=121),"",--MID('Key Analysis'!$C94,$A98-121,1))</f>
        <v/>
      </c>
      <c r="DU98" s="29" t="str">
        <f>IF(OR($B98="",$A98&lt;=122),"",--MID('Key Analysis'!$C94,$A98-122,1))</f>
        <v/>
      </c>
      <c r="DV98" s="29" t="str">
        <f>IF(OR($B98="",$A98&lt;=123),"",--MID('Key Analysis'!$C94,$A98-123,1))</f>
        <v/>
      </c>
      <c r="DW98" s="29" t="str">
        <f>IF(OR($B98="",$A98&lt;=124),"",--MID('Key Analysis'!$C94,$A98-124,1))</f>
        <v/>
      </c>
      <c r="DX98" s="29" t="str">
        <f>IF(OR($B98="",$A98&lt;=125),"",--MID('Key Analysis'!$C94,$A98-125,1))</f>
        <v/>
      </c>
      <c r="DY98" s="29" t="str">
        <f>IF(OR($B98="",$A98&lt;=126),"",--MID('Key Analysis'!$C94,$A98-126,1))</f>
        <v/>
      </c>
      <c r="DZ98" s="29" t="str">
        <f>IF(OR($B98="",$A98&lt;=127),"",--MID('Key Analysis'!$C94,$A98-127,1))</f>
        <v/>
      </c>
      <c r="EA98" s="29" t="str">
        <f>IF(OR($B98="",$A98&lt;=128),"",--MID('Key Analysis'!$C94,$A98-128,1))</f>
        <v/>
      </c>
      <c r="EB98" s="29" t="str">
        <f>IF(OR($B98="",$A98&lt;=129),"",--MID('Key Analysis'!$C94,$A98-129,1))</f>
        <v/>
      </c>
      <c r="EC98" s="29" t="str">
        <f>IF(OR($B98="",$A98&lt;=130),"",--MID('Key Analysis'!$C94,$A98-130,1))</f>
        <v/>
      </c>
      <c r="ED98" s="29" t="str">
        <f>IF(OR($B98="",$A98&lt;=131),"",--MID('Key Analysis'!$C94,$A98-131,1))</f>
        <v/>
      </c>
      <c r="EE98" s="29" t="str">
        <f>IF(OR($B98="",$A98&lt;=132),"",--MID('Key Analysis'!$C94,$A98-132,1))</f>
        <v/>
      </c>
      <c r="EF98" s="29" t="str">
        <f>IF(OR($B98="",$A98&lt;=133),"",--MID('Key Analysis'!$C94,$A98-133,1))</f>
        <v/>
      </c>
      <c r="EG98" s="29" t="str">
        <f>IF(OR($B98="",$A98&lt;=134),"",--MID('Key Analysis'!$C94,$A98-134,1))</f>
        <v/>
      </c>
      <c r="EH98" s="29"/>
      <c r="EI98" s="29" t="str">
        <f>IF(OR($B98="",$A98&lt;1),"",--MID('Key Analysis'!$C94,1,1))</f>
        <v/>
      </c>
      <c r="EJ98" s="29" t="str">
        <f>IF(OR($B98="",$A98&lt;2),"",--MID('Key Analysis'!$C94,2,1))</f>
        <v/>
      </c>
      <c r="EK98" s="29" t="str">
        <f>IF(OR($B98="",$A98&lt;3),"",--MID('Key Analysis'!$C94,3,1))</f>
        <v/>
      </c>
      <c r="EL98" s="29" t="str">
        <f>IF(OR($B98="",$A98&lt;4),"",--MID('Key Analysis'!$C94,4,1))</f>
        <v/>
      </c>
      <c r="EM98" s="29" t="str">
        <f>IF(OR($B98="",$A98&lt;5),"",--MID('Key Analysis'!$C94,5,1))</f>
        <v/>
      </c>
      <c r="EN98" s="29" t="str">
        <f>IF(OR($B98="",$A98&lt;6),"",--MID('Key Analysis'!$C94,6,1))</f>
        <v/>
      </c>
      <c r="EO98" s="29" t="str">
        <f>IF(OR($B98="",$A98&lt;7),"",--MID('Key Analysis'!$C94,7,1))</f>
        <v/>
      </c>
      <c r="EP98" s="29" t="str">
        <f>IF(OR($B98="",$A98&lt;8),"",--MID('Key Analysis'!$C94,8,1))</f>
        <v/>
      </c>
      <c r="EQ98" s="29" t="str">
        <f>IF(OR($B98="",$A98&lt;9),"",--MID('Key Analysis'!$C94,9,1))</f>
        <v/>
      </c>
      <c r="ER98" s="29" t="str">
        <f>IF(OR($B98="",$A98&lt;10),"",--MID('Key Analysis'!$C94,10,1))</f>
        <v/>
      </c>
      <c r="ES98" s="29" t="str">
        <f>IF(OR($B98="",$A98&lt;11),"",--MID('Key Analysis'!$C94,11,1))</f>
        <v/>
      </c>
      <c r="ET98" s="29" t="str">
        <f>IF(OR($B98="",$A98&lt;12),"",--MID('Key Analysis'!$C94,12,1))</f>
        <v/>
      </c>
      <c r="EU98" s="29" t="str">
        <f>IF(OR($B98="",$A98&lt;13),"",--MID('Key Analysis'!$C94,13,1))</f>
        <v/>
      </c>
      <c r="EV98" s="29" t="str">
        <f>IF(OR($B98="",$A98&lt;14),"",--MID('Key Analysis'!$C94,14,1))</f>
        <v/>
      </c>
      <c r="EW98" s="29" t="str">
        <f>IF(OR($B98="",$A98&lt;15),"",--MID('Key Analysis'!$C94,15,1))</f>
        <v/>
      </c>
      <c r="EX98" s="29" t="str">
        <f>IF(OR($B98="",$A98&lt;16),"",--MID('Key Analysis'!$C94,16,1))</f>
        <v/>
      </c>
      <c r="EY98" s="29" t="str">
        <f>IF(OR($B98="",$A98&lt;17),"",--MID('Key Analysis'!$C94,17,1))</f>
        <v/>
      </c>
      <c r="EZ98" s="29" t="str">
        <f>IF(OR($B98="",$A98&lt;18),"",--MID('Key Analysis'!$C94,18,1))</f>
        <v/>
      </c>
      <c r="FA98" s="29" t="str">
        <f>IF(OR($B98="",$A98&lt;19),"",--MID('Key Analysis'!$C94,19,1))</f>
        <v/>
      </c>
      <c r="FB98" s="29" t="str">
        <f>IF(OR($B98="",$A98&lt;20),"",--MID('Key Analysis'!$C94,20,1))</f>
        <v/>
      </c>
      <c r="FC98" s="29" t="str">
        <f>IF(OR($B98="",$A98&lt;21),"",--MID('Key Analysis'!$C94,21,1))</f>
        <v/>
      </c>
      <c r="FD98" s="29" t="str">
        <f>IF(OR($B98="",$A98&lt;22),"",--MID('Key Analysis'!$C94,22,1))</f>
        <v/>
      </c>
      <c r="FE98" s="29" t="str">
        <f>IF(OR($B98="",$A98&lt;23),"",--MID('Key Analysis'!$C94,23,1))</f>
        <v/>
      </c>
      <c r="FF98" s="29" t="str">
        <f>IF(OR($B98="",$A98&lt;24),"",--MID('Key Analysis'!$C94,24,1))</f>
        <v/>
      </c>
      <c r="FG98" s="29" t="str">
        <f>IF(OR($B98="",$A98&lt;25),"",--MID('Key Analysis'!$C94,25,1))</f>
        <v/>
      </c>
      <c r="FH98" s="29" t="str">
        <f>IF(OR($B98="",$A98&lt;26),"",--MID('Key Analysis'!$C94,26,1))</f>
        <v/>
      </c>
      <c r="FI98" s="29" t="str">
        <f>IF(OR($B98="",$A98&lt;27),"",--MID('Key Analysis'!$C94,27,1))</f>
        <v/>
      </c>
      <c r="FJ98" s="29" t="str">
        <f>IF(OR($B98="",$A98&lt;28),"",--MID('Key Analysis'!$C94,28,1))</f>
        <v/>
      </c>
      <c r="FK98" s="29" t="str">
        <f>IF(OR($B98="",$A98&lt;29),"",--MID('Key Analysis'!$C94,29,1))</f>
        <v/>
      </c>
      <c r="FL98" s="29" t="str">
        <f>IF(OR($B98="",$A98&lt;30),"",--MID('Key Analysis'!$C94,30,1))</f>
        <v/>
      </c>
      <c r="FM98" s="29" t="str">
        <f>IF(OR($B98="",$A98&lt;31),"",--MID('Key Analysis'!$C94,31,1))</f>
        <v/>
      </c>
      <c r="FN98" s="29" t="str">
        <f>IF(OR($B98="",$A98&lt;32),"",--MID('Key Analysis'!$C94,32,1))</f>
        <v/>
      </c>
      <c r="FO98" s="29" t="str">
        <f>IF(OR($B98="",$A98&lt;33),"",--MID('Key Analysis'!$C94,33,1))</f>
        <v/>
      </c>
      <c r="FP98" s="29" t="str">
        <f>IF(OR($B98="",$A98&lt;34),"",--MID('Key Analysis'!$C94,34,1))</f>
        <v/>
      </c>
      <c r="FQ98" s="29" t="str">
        <f>IF(OR($B98="",$A98&lt;35),"",--MID('Key Analysis'!$C94,35,1))</f>
        <v/>
      </c>
      <c r="FR98" s="29" t="str">
        <f>IF(OR($B98="",$A98&lt;36),"",--MID('Key Analysis'!$C94,36,1))</f>
        <v/>
      </c>
      <c r="FS98" s="29" t="str">
        <f>IF(OR($B98="",$A98&lt;37),"",--MID('Key Analysis'!$C94,37,1))</f>
        <v/>
      </c>
      <c r="FT98" s="29" t="str">
        <f>IF(OR($B98="",$A98&lt;38),"",--MID('Key Analysis'!$C94,38,1))</f>
        <v/>
      </c>
      <c r="FU98" s="29" t="str">
        <f>IF(OR($B98="",$A98&lt;39),"",--MID('Key Analysis'!$C94,39,1))</f>
        <v/>
      </c>
      <c r="FV98" s="29" t="str">
        <f>IF(OR($B98="",$A98&lt;40),"",--MID('Key Analysis'!$C94,40,1))</f>
        <v/>
      </c>
      <c r="FW98" s="29" t="str">
        <f>IF(OR($B98="",$A98&lt;41),"",--MID('Key Analysis'!$C94,41,1))</f>
        <v/>
      </c>
      <c r="FX98" s="29" t="str">
        <f>IF(OR($B98="",$A98&lt;42),"",--MID('Key Analysis'!$C94,42,1))</f>
        <v/>
      </c>
      <c r="FY98" s="29" t="str">
        <f>IF(OR($B98="",$A98&lt;43),"",--MID('Key Analysis'!$C94,43,1))</f>
        <v/>
      </c>
      <c r="FZ98" s="29" t="str">
        <f>IF(OR($B98="",$A98&lt;44),"",--MID('Key Analysis'!$C94,44,1))</f>
        <v/>
      </c>
      <c r="GA98" s="29" t="str">
        <f>IF(OR($B98="",$A98&lt;45),"",--MID('Key Analysis'!$C94,45,1))</f>
        <v/>
      </c>
      <c r="GB98" s="29" t="str">
        <f>IF(OR($B98="",$A98&lt;46),"",--MID('Key Analysis'!$C94,46,1))</f>
        <v/>
      </c>
      <c r="GC98" s="29" t="str">
        <f>IF(OR($B98="",$A98&lt;47),"",--MID('Key Analysis'!$C94,47,1))</f>
        <v/>
      </c>
      <c r="GD98" s="29" t="str">
        <f>IF(OR($B98="",$A98&lt;48),"",--MID('Key Analysis'!$C94,48,1))</f>
        <v/>
      </c>
      <c r="GE98" s="29" t="str">
        <f>IF(OR($B98="",$A98&lt;49),"",--MID('Key Analysis'!$C94,49,1))</f>
        <v/>
      </c>
      <c r="GF98" s="29" t="str">
        <f>IF(OR($B98="",$A98&lt;50),"",--MID('Key Analysis'!$C94,50,1))</f>
        <v/>
      </c>
      <c r="GG98" s="29" t="str">
        <f>IF(OR($B98="",$A98&lt;51),"",--MID('Key Analysis'!$C94,51,1))</f>
        <v/>
      </c>
      <c r="GH98" s="29" t="str">
        <f>IF(OR($B98="",$A98&lt;52),"",--MID('Key Analysis'!$C94,52,1))</f>
        <v/>
      </c>
      <c r="GI98" s="29" t="str">
        <f>IF(OR($B98="",$A98&lt;53),"",--MID('Key Analysis'!$C94,53,1))</f>
        <v/>
      </c>
      <c r="GJ98" s="29" t="str">
        <f>IF(OR($B98="",$A98&lt;54),"",--MID('Key Analysis'!$C94,54,1))</f>
        <v/>
      </c>
      <c r="GK98" s="29" t="str">
        <f>IF(OR($B98="",$A98&lt;55),"",--MID('Key Analysis'!$C94,55,1))</f>
        <v/>
      </c>
      <c r="GL98" s="29" t="str">
        <f>IF(OR($B98="",$A98&lt;56),"",--MID('Key Analysis'!$C94,56,1))</f>
        <v/>
      </c>
      <c r="GM98" s="29" t="str">
        <f>IF(OR($B98="",$A98&lt;57),"",--MID('Key Analysis'!$C94,57,1))</f>
        <v/>
      </c>
      <c r="GN98" s="29" t="str">
        <f>IF(OR($B98="",$A98&lt;58),"",--MID('Key Analysis'!$C94,58,1))</f>
        <v/>
      </c>
      <c r="GO98" s="29" t="str">
        <f>IF(OR($B98="",$A98&lt;59),"",--MID('Key Analysis'!$C94,59,1))</f>
        <v/>
      </c>
      <c r="GP98" s="29" t="str">
        <f>IF(OR($B98="",$A98&lt;60),"",--MID('Key Analysis'!$C94,60,1))</f>
        <v/>
      </c>
      <c r="GQ98" s="29" t="str">
        <f>IF(OR($B98="",$A98&lt;61),"",--MID('Key Analysis'!$C94,61,1))</f>
        <v/>
      </c>
      <c r="GR98" s="29" t="str">
        <f>IF(OR($B98="",$A98&lt;62),"",--MID('Key Analysis'!$C94,62,1))</f>
        <v/>
      </c>
      <c r="GS98" s="29" t="str">
        <f>IF(OR($B98="",$A98&lt;63),"",--MID('Key Analysis'!$C94,63,1))</f>
        <v/>
      </c>
      <c r="GT98" s="29" t="str">
        <f>IF(OR($B98="",$A98&lt;64),"",--MID('Key Analysis'!$C94,64,1))</f>
        <v/>
      </c>
      <c r="GU98" s="29" t="str">
        <f>IF(OR($B98="",$A98&lt;65),"",--MID('Key Analysis'!$C94,65,1))</f>
        <v/>
      </c>
      <c r="GV98" s="29" t="str">
        <f>IF(OR($B98="",$A98&lt;66),"",--MID('Key Analysis'!$C94,66,1))</f>
        <v/>
      </c>
      <c r="GW98" s="29" t="str">
        <f>IF(OR($B98="",$A98&lt;67),"",--MID('Key Analysis'!$C94,67,1))</f>
        <v/>
      </c>
      <c r="GX98" s="29" t="str">
        <f>IF(OR($B98="",$A98&lt;68),"",--MID('Key Analysis'!$C94,68,1))</f>
        <v/>
      </c>
      <c r="GY98" s="29" t="str">
        <f>IF(OR($B98="",$A98&lt;69),"",--MID('Key Analysis'!$C94,69,1))</f>
        <v/>
      </c>
      <c r="GZ98" s="29" t="str">
        <f>IF(OR($B98="",$A98&lt;70),"",--MID('Key Analysis'!$C94,70,1))</f>
        <v/>
      </c>
      <c r="HA98" s="29" t="str">
        <f>IF(OR($B98="",$A98&lt;71),"",--MID('Key Analysis'!$C94,71,1))</f>
        <v/>
      </c>
      <c r="HB98" s="29" t="str">
        <f>IF(OR($B98="",$A98&lt;72),"",--MID('Key Analysis'!$C94,72,1))</f>
        <v/>
      </c>
      <c r="HC98" s="29" t="str">
        <f>IF(OR($B98="",$A98&lt;73),"",--MID('Key Analysis'!$C94,73,1))</f>
        <v/>
      </c>
      <c r="HD98" s="29" t="str">
        <f>IF(OR($B98="",$A98&lt;74),"",--MID('Key Analysis'!$C94,74,1))</f>
        <v/>
      </c>
      <c r="HE98" s="29" t="str">
        <f>IF(OR($B98="",$A98&lt;75),"",--MID('Key Analysis'!$C94,75,1))</f>
        <v/>
      </c>
      <c r="HF98" s="29" t="str">
        <f>IF(OR($B98="",$A98&lt;76),"",--MID('Key Analysis'!$C94,76,1))</f>
        <v/>
      </c>
      <c r="HG98" s="29" t="str">
        <f>IF(OR($B98="",$A98&lt;77),"",--MID('Key Analysis'!$C94,77,1))</f>
        <v/>
      </c>
      <c r="HH98" s="29" t="str">
        <f>IF(OR($B98="",$A98&lt;78),"",--MID('Key Analysis'!$C94,78,1))</f>
        <v/>
      </c>
      <c r="HI98" s="29" t="str">
        <f>IF(OR($B98="",$A98&lt;79),"",--MID('Key Analysis'!$C94,79,1))</f>
        <v/>
      </c>
      <c r="HJ98" s="29" t="str">
        <f>IF(OR($B98="",$A98&lt;80),"",--MID('Key Analysis'!$C94,80,1))</f>
        <v/>
      </c>
      <c r="HK98" s="29" t="str">
        <f>IF(OR($B98="",$A98&lt;81),"",--MID('Key Analysis'!$C94,81,1))</f>
        <v/>
      </c>
      <c r="HL98" s="29" t="str">
        <f>IF(OR($B98="",$A98&lt;82),"",--MID('Key Analysis'!$C94,82,1))</f>
        <v/>
      </c>
      <c r="HM98" s="29" t="str">
        <f>IF(OR($B98="",$A98&lt;83),"",--MID('Key Analysis'!$C94,83,1))</f>
        <v/>
      </c>
      <c r="HN98" s="29" t="str">
        <f>IF(OR($B98="",$A98&lt;84),"",--MID('Key Analysis'!$C94,84,1))</f>
        <v/>
      </c>
      <c r="HO98" s="29" t="str">
        <f>IF(OR($B98="",$A98&lt;85),"",--MID('Key Analysis'!$C94,85,1))</f>
        <v/>
      </c>
      <c r="HP98" s="29" t="str">
        <f>IF(OR($B98="",$A98&lt;86),"",--MID('Key Analysis'!$C94,86,1))</f>
        <v/>
      </c>
      <c r="HQ98" s="29" t="str">
        <f>IF(OR($B98="",$A98&lt;87),"",--MID('Key Analysis'!$C94,87,1))</f>
        <v/>
      </c>
      <c r="HR98" s="29" t="str">
        <f>IF(OR($B98="",$A98&lt;88),"",--MID('Key Analysis'!$C94,88,1))</f>
        <v/>
      </c>
      <c r="HS98" s="29" t="str">
        <f>IF(OR($B98="",$A98&lt;89),"",--MID('Key Analysis'!$C94,89,1))</f>
        <v/>
      </c>
      <c r="HT98" s="29" t="str">
        <f>IF(OR($B98="",$A98&lt;90),"",--MID('Key Analysis'!$C94,90,1))</f>
        <v/>
      </c>
      <c r="HU98" s="29" t="str">
        <f>IF(OR($B98="",$A98&lt;91),"",--MID('Key Analysis'!$C94,91,1))</f>
        <v/>
      </c>
      <c r="HV98" s="29" t="str">
        <f>IF(OR($B98="",$A98&lt;92),"",--MID('Key Analysis'!$C94,92,1))</f>
        <v/>
      </c>
      <c r="HW98" s="29" t="str">
        <f>IF(OR($B98="",$A98&lt;93),"",--MID('Key Analysis'!$C94,93,1))</f>
        <v/>
      </c>
      <c r="HX98" s="29" t="str">
        <f>IF(OR($B98="",$A98&lt;94),"",--MID('Key Analysis'!$C94,94,1))</f>
        <v/>
      </c>
      <c r="HY98" s="29" t="str">
        <f>IF(OR($B98="",$A98&lt;95),"",--MID('Key Analysis'!$C94,95,1))</f>
        <v/>
      </c>
      <c r="HZ98" s="29" t="str">
        <f>IF(OR($B98="",$A98&lt;96),"",--MID('Key Analysis'!$C94,96,1))</f>
        <v/>
      </c>
      <c r="IA98" s="29" t="str">
        <f>IF(OR($B98="",$A98&lt;97),"",--MID('Key Analysis'!$C94,97,1))</f>
        <v/>
      </c>
      <c r="IB98" s="29" t="str">
        <f>IF(OR($B98="",$A98&lt;98),"",--MID('Key Analysis'!$C94,98,1))</f>
        <v/>
      </c>
      <c r="IC98" s="29" t="str">
        <f>IF(OR($B98="",$A98&lt;99),"",--MID('Key Analysis'!$C94,99,1))</f>
        <v/>
      </c>
      <c r="ID98" s="29" t="str">
        <f>IF(OR($B98="",$A98&lt;100),"",--MID('Key Analysis'!$C94,100,1))</f>
        <v/>
      </c>
      <c r="IE98" s="29" t="str">
        <f>IF(OR($B98="",$A98&lt;101),"",--MID('Key Analysis'!$C94,101,1))</f>
        <v/>
      </c>
      <c r="IF98" s="29" t="str">
        <f>IF(OR($B98="",$A98&lt;102),"",--MID('Key Analysis'!$C94,102,1))</f>
        <v/>
      </c>
      <c r="IG98" s="29" t="str">
        <f>IF(OR($B98="",$A98&lt;103),"",--MID('Key Analysis'!$C94,103,1))</f>
        <v/>
      </c>
      <c r="IH98" s="29" t="str">
        <f>IF(OR($B98="",$A98&lt;104),"",--MID('Key Analysis'!$C94,104,1))</f>
        <v/>
      </c>
      <c r="II98" s="29" t="str">
        <f>IF(OR($B98="",$A98&lt;105),"",--MID('Key Analysis'!$C94,105,1))</f>
        <v/>
      </c>
      <c r="IJ98" s="29" t="str">
        <f>IF(OR($B98="",$A98&lt;106),"",--MID('Key Analysis'!$C94,106,1))</f>
        <v/>
      </c>
      <c r="IK98" s="29" t="str">
        <f>IF(OR($B98="",$A98&lt;107),"",--MID('Key Analysis'!$C94,107,1))</f>
        <v/>
      </c>
      <c r="IL98" s="29" t="str">
        <f>IF(OR($B98="",$A98&lt;108),"",--MID('Key Analysis'!$C94,108,1))</f>
        <v/>
      </c>
      <c r="IM98" s="29" t="str">
        <f>IF(OR($B98="",$A98&lt;109),"",--MID('Key Analysis'!$C94,109,1))</f>
        <v/>
      </c>
      <c r="IN98" s="29" t="str">
        <f>IF(OR($B98="",$A98&lt;110),"",--MID('Key Analysis'!$C94,110,1))</f>
        <v/>
      </c>
      <c r="IO98" s="29" t="str">
        <f>IF(OR($B98="",$A98&lt;111),"",--MID('Key Analysis'!$C94,111,1))</f>
        <v/>
      </c>
      <c r="IP98" s="29" t="str">
        <f>IF(OR($B98="",$A98&lt;112),"",--MID('Key Analysis'!$C94,112,1))</f>
        <v/>
      </c>
      <c r="IQ98" s="29" t="str">
        <f>IF(OR($B98="",$A98&lt;113),"",--MID('Key Analysis'!$C94,113,1))</f>
        <v/>
      </c>
      <c r="IR98" s="29" t="str">
        <f>IF(OR($B98="",$A98&lt;114),"",--MID('Key Analysis'!$C94,114,1))</f>
        <v/>
      </c>
      <c r="IS98" s="29" t="str">
        <f>IF(OR($B98="",$A98&lt;115),"",--MID('Key Analysis'!$C94,115,1))</f>
        <v/>
      </c>
      <c r="IT98" s="29" t="str">
        <f>IF(OR($B98="",$A98&lt;116),"",--MID('Key Analysis'!$C94,116,1))</f>
        <v/>
      </c>
      <c r="IU98" s="29" t="str">
        <f>IF(OR($B98="",$A98&lt;117),"",--MID('Key Analysis'!$C94,117,1))</f>
        <v/>
      </c>
      <c r="IV98" s="29" t="str">
        <f>IF(OR($B98="",$A98&lt;118),"",--MID('Key Analysis'!$C94,118,1))</f>
        <v/>
      </c>
      <c r="IW98" s="29" t="str">
        <f>IF(OR($B98="",$A98&lt;119),"",--MID('Key Analysis'!$C94,119,1))</f>
        <v/>
      </c>
      <c r="IX98" s="29" t="str">
        <f>IF(OR($B98="",$A98&lt;120),"",--MID('Key Analysis'!$C94,120,1))</f>
        <v/>
      </c>
      <c r="IY98" s="29" t="str">
        <f>IF(OR($B98="",$A98&lt;121),"",--MID('Key Analysis'!$C94,121,1))</f>
        <v/>
      </c>
      <c r="IZ98" s="29" t="str">
        <f>IF(OR($B98="",$A98&lt;122),"",--MID('Key Analysis'!$C94,122,1))</f>
        <v/>
      </c>
      <c r="JA98" s="29" t="str">
        <f>IF(OR($B98="",$A98&lt;123),"",--MID('Key Analysis'!$C94,123,1))</f>
        <v/>
      </c>
      <c r="JB98" s="29" t="str">
        <f>IF(OR($B98="",$A98&lt;124),"",--MID('Key Analysis'!$C94,124,1))</f>
        <v/>
      </c>
      <c r="JC98" s="29" t="str">
        <f>IF(OR($B98="",$A98&lt;125),"",--MID('Key Analysis'!$C94,125,1))</f>
        <v/>
      </c>
      <c r="JD98" s="29" t="str">
        <f>IF(OR($B98="",$A98&lt;126),"",--MID('Key Analysis'!$C94,126,1))</f>
        <v/>
      </c>
      <c r="JE98" s="29" t="str">
        <f>IF(OR($B98="",$A98&lt;127),"",--MID('Key Analysis'!$C94,127,1))</f>
        <v/>
      </c>
      <c r="JF98" s="29" t="str">
        <f>IF(OR($B98="",$A98&lt;128),"",--MID('Key Analysis'!$C94,128,1))</f>
        <v/>
      </c>
      <c r="JG98" s="29" t="str">
        <f>IF(OR($B98="",$A98&lt;129),"",--MID('Key Analysis'!$C94,129,1))</f>
        <v/>
      </c>
      <c r="JH98" s="29" t="str">
        <f>IF(OR($B98="",$A98&lt;130),"",--MID('Key Analysis'!$C94,130,1))</f>
        <v/>
      </c>
      <c r="JI98" s="29" t="str">
        <f>IF(OR($B98="",$A98&lt;131),"",--MID('Key Analysis'!$C94,131,1))</f>
        <v/>
      </c>
      <c r="JJ98" s="29" t="str">
        <f>IF(OR($B98="",$A98&lt;132),"",--MID('Key Analysis'!$C94,132,1))</f>
        <v/>
      </c>
      <c r="JK98" s="29" t="str">
        <f>IF(OR($B98="",$A98&lt;133),"",--MID('Key Analysis'!$C94,133,1))</f>
        <v/>
      </c>
      <c r="JL98" s="29" t="str">
        <f>IF(OR($B98="",$A98&lt;134),"",--MID('Key Analysis'!$C94,134,1))</f>
        <v/>
      </c>
      <c r="JM98" s="29" t="str">
        <f>IF(OR($B98="",$A98&lt;135),"",--MID('Key Analysis'!$C94,135,1))</f>
        <v/>
      </c>
    </row>
    <row r="99" spans="1:273" x14ac:dyDescent="0.25">
      <c r="A99" s="21">
        <f>'Key Analysis'!A95</f>
        <v>94</v>
      </c>
      <c r="B99" s="30" t="str">
        <f>'Key Analysis'!B95</f>
        <v/>
      </c>
      <c r="C99" s="29" t="str">
        <f>IF(OR($B99="",$A99&lt;=0),"",--MID('Key Analysis'!$C95,$A99-0,1))</f>
        <v/>
      </c>
      <c r="D99" s="29" t="str">
        <f>IF(OR($B99="",$A99&lt;=1),"",--MID('Key Analysis'!$C95,$A99-1,1))</f>
        <v/>
      </c>
      <c r="E99" s="29" t="str">
        <f>IF(OR($B99="",$A99&lt;=2),"",--MID('Key Analysis'!$C95,$A99-2,1))</f>
        <v/>
      </c>
      <c r="F99" s="29" t="str">
        <f>IF(OR($B99="",$A99&lt;=3),"",--MID('Key Analysis'!$C95,$A99-3,1))</f>
        <v/>
      </c>
      <c r="G99" s="29" t="str">
        <f>IF(OR($B99="",$A99&lt;=4),"",--MID('Key Analysis'!$C95,$A99-4,1))</f>
        <v/>
      </c>
      <c r="H99" s="29" t="str">
        <f>IF(OR($B99="",$A99&lt;=5),"",--MID('Key Analysis'!$C95,$A99-5,1))</f>
        <v/>
      </c>
      <c r="I99" s="29" t="str">
        <f>IF(OR($B99="",$A99&lt;=6),"",--MID('Key Analysis'!$C95,$A99-6,1))</f>
        <v/>
      </c>
      <c r="J99" s="29" t="str">
        <f>IF(OR($B99="",$A99&lt;=7),"",--MID('Key Analysis'!$C95,$A99-7,1))</f>
        <v/>
      </c>
      <c r="K99" s="29" t="str">
        <f>IF(OR($B99="",$A99&lt;=8),"",--MID('Key Analysis'!$C95,$A99-8,1))</f>
        <v/>
      </c>
      <c r="L99" s="29" t="str">
        <f>IF(OR($B99="",$A99&lt;=9),"",--MID('Key Analysis'!$C95,$A99-9,1))</f>
        <v/>
      </c>
      <c r="M99" s="29" t="str">
        <f>IF(OR($B99="",$A99&lt;=10),"",--MID('Key Analysis'!$C95,$A99-10,1))</f>
        <v/>
      </c>
      <c r="N99" s="29" t="str">
        <f>IF(OR($B99="",$A99&lt;=11),"",--MID('Key Analysis'!$C95,$A99-11,1))</f>
        <v/>
      </c>
      <c r="O99" s="29" t="str">
        <f>IF(OR($B99="",$A99&lt;=12),"",--MID('Key Analysis'!$C95,$A99-12,1))</f>
        <v/>
      </c>
      <c r="P99" s="29" t="str">
        <f>IF(OR($B99="",$A99&lt;=13),"",--MID('Key Analysis'!$C95,$A99-13,1))</f>
        <v/>
      </c>
      <c r="Q99" s="29" t="str">
        <f>IF(OR($B99="",$A99&lt;=14),"",--MID('Key Analysis'!$C95,$A99-14,1))</f>
        <v/>
      </c>
      <c r="R99" s="29" t="str">
        <f>IF(OR($B99="",$A99&lt;=15),"",--MID('Key Analysis'!$C95,$A99-15,1))</f>
        <v/>
      </c>
      <c r="S99" s="29" t="str">
        <f>IF(OR($B99="",$A99&lt;=16),"",--MID('Key Analysis'!$C95,$A99-16,1))</f>
        <v/>
      </c>
      <c r="T99" s="29" t="str">
        <f>IF(OR($B99="",$A99&lt;=17),"",--MID('Key Analysis'!$C95,$A99-17,1))</f>
        <v/>
      </c>
      <c r="U99" s="29" t="str">
        <f>IF(OR($B99="",$A99&lt;=18),"",--MID('Key Analysis'!$C95,$A99-18,1))</f>
        <v/>
      </c>
      <c r="V99" s="29" t="str">
        <f>IF(OR($B99="",$A99&lt;=19),"",--MID('Key Analysis'!$C95,$A99-19,1))</f>
        <v/>
      </c>
      <c r="W99" s="29" t="str">
        <f>IF(OR($B99="",$A99&lt;=20),"",--MID('Key Analysis'!$C95,$A99-20,1))</f>
        <v/>
      </c>
      <c r="X99" s="29" t="str">
        <f>IF(OR($B99="",$A99&lt;=21),"",--MID('Key Analysis'!$C95,$A99-21,1))</f>
        <v/>
      </c>
      <c r="Y99" s="29" t="str">
        <f>IF(OR($B99="",$A99&lt;=22),"",--MID('Key Analysis'!$C95,$A99-22,1))</f>
        <v/>
      </c>
      <c r="Z99" s="29" t="str">
        <f>IF(OR($B99="",$A99&lt;=23),"",--MID('Key Analysis'!$C95,$A99-23,1))</f>
        <v/>
      </c>
      <c r="AA99" s="29" t="str">
        <f>IF(OR($B99="",$A99&lt;=24),"",--MID('Key Analysis'!$C95,$A99-24,1))</f>
        <v/>
      </c>
      <c r="AB99" s="29" t="str">
        <f>IF(OR($B99="",$A99&lt;=25),"",--MID('Key Analysis'!$C95,$A99-25,1))</f>
        <v/>
      </c>
      <c r="AC99" s="29" t="str">
        <f>IF(OR($B99="",$A99&lt;=26),"",--MID('Key Analysis'!$C95,$A99-26,1))</f>
        <v/>
      </c>
      <c r="AD99" s="29" t="str">
        <f>IF(OR($B99="",$A99&lt;=27),"",--MID('Key Analysis'!$C95,$A99-27,1))</f>
        <v/>
      </c>
      <c r="AE99" s="29" t="str">
        <f>IF(OR($B99="",$A99&lt;=28),"",--MID('Key Analysis'!$C95,$A99-28,1))</f>
        <v/>
      </c>
      <c r="AF99" s="29" t="str">
        <f>IF(OR($B99="",$A99&lt;=29),"",--MID('Key Analysis'!$C95,$A99-29,1))</f>
        <v/>
      </c>
      <c r="AG99" s="29" t="str">
        <f>IF(OR($B99="",$A99&lt;=30),"",--MID('Key Analysis'!$C95,$A99-30,1))</f>
        <v/>
      </c>
      <c r="AH99" s="29" t="str">
        <f>IF(OR($B99="",$A99&lt;=31),"",--MID('Key Analysis'!$C95,$A99-31,1))</f>
        <v/>
      </c>
      <c r="AI99" s="29" t="str">
        <f>IF(OR($B99="",$A99&lt;=32),"",--MID('Key Analysis'!$C95,$A99-32,1))</f>
        <v/>
      </c>
      <c r="AJ99" s="29" t="str">
        <f>IF(OR($B99="",$A99&lt;=33),"",--MID('Key Analysis'!$C95,$A99-33,1))</f>
        <v/>
      </c>
      <c r="AK99" s="29" t="str">
        <f>IF(OR($B99="",$A99&lt;=34),"",--MID('Key Analysis'!$C95,$A99-34,1))</f>
        <v/>
      </c>
      <c r="AL99" s="29" t="str">
        <f>IF(OR($B99="",$A99&lt;=35),"",--MID('Key Analysis'!$C95,$A99-35,1))</f>
        <v/>
      </c>
      <c r="AM99" s="29" t="str">
        <f>IF(OR($B99="",$A99&lt;=36),"",--MID('Key Analysis'!$C95,$A99-36,1))</f>
        <v/>
      </c>
      <c r="AN99" s="29" t="str">
        <f>IF(OR($B99="",$A99&lt;=37),"",--MID('Key Analysis'!$C95,$A99-37,1))</f>
        <v/>
      </c>
      <c r="AO99" s="29" t="str">
        <f>IF(OR($B99="",$A99&lt;=38),"",--MID('Key Analysis'!$C95,$A99-38,1))</f>
        <v/>
      </c>
      <c r="AP99" s="29" t="str">
        <f>IF(OR($B99="",$A99&lt;=39),"",--MID('Key Analysis'!$C95,$A99-39,1))</f>
        <v/>
      </c>
      <c r="AQ99" s="29" t="str">
        <f>IF(OR($B99="",$A99&lt;=40),"",--MID('Key Analysis'!$C95,$A99-40,1))</f>
        <v/>
      </c>
      <c r="AR99" s="29" t="str">
        <f>IF(OR($B99="",$A99&lt;=41),"",--MID('Key Analysis'!$C95,$A99-41,1))</f>
        <v/>
      </c>
      <c r="AS99" s="29" t="str">
        <f>IF(OR($B99="",$A99&lt;=42),"",--MID('Key Analysis'!$C95,$A99-42,1))</f>
        <v/>
      </c>
      <c r="AT99" s="29" t="str">
        <f>IF(OR($B99="",$A99&lt;=43),"",--MID('Key Analysis'!$C95,$A99-43,1))</f>
        <v/>
      </c>
      <c r="AU99" s="29" t="str">
        <f>IF(OR($B99="",$A99&lt;=44),"",--MID('Key Analysis'!$C95,$A99-44,1))</f>
        <v/>
      </c>
      <c r="AV99" s="29" t="str">
        <f>IF(OR($B99="",$A99&lt;=45),"",--MID('Key Analysis'!$C95,$A99-45,1))</f>
        <v/>
      </c>
      <c r="AW99" s="29" t="str">
        <f>IF(OR($B99="",$A99&lt;=46),"",--MID('Key Analysis'!$C95,$A99-46,1))</f>
        <v/>
      </c>
      <c r="AX99" s="29" t="str">
        <f>IF(OR($B99="",$A99&lt;=47),"",--MID('Key Analysis'!$C95,$A99-47,1))</f>
        <v/>
      </c>
      <c r="AY99" s="29" t="str">
        <f>IF(OR($B99="",$A99&lt;=48),"",--MID('Key Analysis'!$C95,$A99-48,1))</f>
        <v/>
      </c>
      <c r="AZ99" s="29" t="str">
        <f>IF(OR($B99="",$A99&lt;=49),"",--MID('Key Analysis'!$C95,$A99-49,1))</f>
        <v/>
      </c>
      <c r="BA99" s="29" t="str">
        <f>IF(OR($B99="",$A99&lt;=50),"",--MID('Key Analysis'!$C95,$A99-50,1))</f>
        <v/>
      </c>
      <c r="BB99" s="29" t="str">
        <f>IF(OR($B99="",$A99&lt;=51),"",--MID('Key Analysis'!$C95,$A99-51,1))</f>
        <v/>
      </c>
      <c r="BC99" s="29" t="str">
        <f>IF(OR($B99="",$A99&lt;=52),"",--MID('Key Analysis'!$C95,$A99-52,1))</f>
        <v/>
      </c>
      <c r="BD99" s="29" t="str">
        <f>IF(OR($B99="",$A99&lt;=53),"",--MID('Key Analysis'!$C95,$A99-53,1))</f>
        <v/>
      </c>
      <c r="BE99" s="29" t="str">
        <f>IF(OR($B99="",$A99&lt;=54),"",--MID('Key Analysis'!$C95,$A99-54,1))</f>
        <v/>
      </c>
      <c r="BF99" s="29" t="str">
        <f>IF(OR($B99="",$A99&lt;=55),"",--MID('Key Analysis'!$C95,$A99-55,1))</f>
        <v/>
      </c>
      <c r="BG99" s="29" t="str">
        <f>IF(OR($B99="",$A99&lt;=56),"",--MID('Key Analysis'!$C95,$A99-56,1))</f>
        <v/>
      </c>
      <c r="BH99" s="29" t="str">
        <f>IF(OR($B99="",$A99&lt;=57),"",--MID('Key Analysis'!$C95,$A99-57,1))</f>
        <v/>
      </c>
      <c r="BI99" s="29" t="str">
        <f>IF(OR($B99="",$A99&lt;=58),"",--MID('Key Analysis'!$C95,$A99-58,1))</f>
        <v/>
      </c>
      <c r="BJ99" s="29" t="str">
        <f>IF(OR($B99="",$A99&lt;=59),"",--MID('Key Analysis'!$C95,$A99-59,1))</f>
        <v/>
      </c>
      <c r="BK99" s="29" t="str">
        <f>IF(OR($B99="",$A99&lt;=60),"",--MID('Key Analysis'!$C95,$A99-60,1))</f>
        <v/>
      </c>
      <c r="BL99" s="29" t="str">
        <f>IF(OR($B99="",$A99&lt;=61),"",--MID('Key Analysis'!$C95,$A99-61,1))</f>
        <v/>
      </c>
      <c r="BM99" s="29" t="str">
        <f>IF(OR($B99="",$A99&lt;=62),"",--MID('Key Analysis'!$C95,$A99-62,1))</f>
        <v/>
      </c>
      <c r="BN99" s="29" t="str">
        <f>IF(OR($B99="",$A99&lt;=63),"",--MID('Key Analysis'!$C95,$A99-63,1))</f>
        <v/>
      </c>
      <c r="BO99" s="29" t="str">
        <f>IF(OR($B99="",$A99&lt;=64),"",--MID('Key Analysis'!$C95,$A99-64,1))</f>
        <v/>
      </c>
      <c r="BP99" s="29" t="str">
        <f>IF(OR($B99="",$A99&lt;=65),"",--MID('Key Analysis'!$C95,$A99-65,1))</f>
        <v/>
      </c>
      <c r="BQ99" s="29" t="str">
        <f>IF(OR($B99="",$A99&lt;=66),"",--MID('Key Analysis'!$C95,$A99-66,1))</f>
        <v/>
      </c>
      <c r="BR99" s="29" t="str">
        <f>IF(OR($B99="",$A99&lt;=67),"",--MID('Key Analysis'!$C95,$A99-67,1))</f>
        <v/>
      </c>
      <c r="BS99" s="29" t="str">
        <f>IF(OR($B99="",$A99&lt;=68),"",--MID('Key Analysis'!$C95,$A99-68,1))</f>
        <v/>
      </c>
      <c r="BT99" s="29" t="str">
        <f>IF(OR($B99="",$A99&lt;=69),"",--MID('Key Analysis'!$C95,$A99-69,1))</f>
        <v/>
      </c>
      <c r="BU99" s="29" t="str">
        <f>IF(OR($B99="",$A99&lt;=70),"",--MID('Key Analysis'!$C95,$A99-70,1))</f>
        <v/>
      </c>
      <c r="BV99" s="29" t="str">
        <f>IF(OR($B99="",$A99&lt;=71),"",--MID('Key Analysis'!$C95,$A99-71,1))</f>
        <v/>
      </c>
      <c r="BW99" s="29" t="str">
        <f>IF(OR($B99="",$A99&lt;=72),"",--MID('Key Analysis'!$C95,$A99-72,1))</f>
        <v/>
      </c>
      <c r="BX99" s="29" t="str">
        <f>IF(OR($B99="",$A99&lt;=73),"",--MID('Key Analysis'!$C95,$A99-73,1))</f>
        <v/>
      </c>
      <c r="BY99" s="29" t="str">
        <f>IF(OR($B99="",$A99&lt;=74),"",--MID('Key Analysis'!$C95,$A99-74,1))</f>
        <v/>
      </c>
      <c r="BZ99" s="29" t="str">
        <f>IF(OR($B99="",$A99&lt;=75),"",--MID('Key Analysis'!$C95,$A99-75,1))</f>
        <v/>
      </c>
      <c r="CA99" s="29" t="str">
        <f>IF(OR($B99="",$A99&lt;=76),"",--MID('Key Analysis'!$C95,$A99-76,1))</f>
        <v/>
      </c>
      <c r="CB99" s="29" t="str">
        <f>IF(OR($B99="",$A99&lt;=77),"",--MID('Key Analysis'!$C95,$A99-77,1))</f>
        <v/>
      </c>
      <c r="CC99" s="29" t="str">
        <f>IF(OR($B99="",$A99&lt;=78),"",--MID('Key Analysis'!$C95,$A99-78,1))</f>
        <v/>
      </c>
      <c r="CD99" s="29" t="str">
        <f>IF(OR($B99="",$A99&lt;=79),"",--MID('Key Analysis'!$C95,$A99-79,1))</f>
        <v/>
      </c>
      <c r="CE99" s="29" t="str">
        <f>IF(OR($B99="",$A99&lt;=80),"",--MID('Key Analysis'!$C95,$A99-80,1))</f>
        <v/>
      </c>
      <c r="CF99" s="29" t="str">
        <f>IF(OR($B99="",$A99&lt;=81),"",--MID('Key Analysis'!$C95,$A99-81,1))</f>
        <v/>
      </c>
      <c r="CG99" s="29" t="str">
        <f>IF(OR($B99="",$A99&lt;=82),"",--MID('Key Analysis'!$C95,$A99-82,1))</f>
        <v/>
      </c>
      <c r="CH99" s="29" t="str">
        <f>IF(OR($B99="",$A99&lt;=83),"",--MID('Key Analysis'!$C95,$A99-83,1))</f>
        <v/>
      </c>
      <c r="CI99" s="29" t="str">
        <f>IF(OR($B99="",$A99&lt;=84),"",--MID('Key Analysis'!$C95,$A99-84,1))</f>
        <v/>
      </c>
      <c r="CJ99" s="29" t="str">
        <f>IF(OR($B99="",$A99&lt;=85),"",--MID('Key Analysis'!$C95,$A99-85,1))</f>
        <v/>
      </c>
      <c r="CK99" s="29" t="str">
        <f>IF(OR($B99="",$A99&lt;=86),"",--MID('Key Analysis'!$C95,$A99-86,1))</f>
        <v/>
      </c>
      <c r="CL99" s="29" t="str">
        <f>IF(OR($B99="",$A99&lt;=87),"",--MID('Key Analysis'!$C95,$A99-87,1))</f>
        <v/>
      </c>
      <c r="CM99" s="29" t="str">
        <f>IF(OR($B99="",$A99&lt;=88),"",--MID('Key Analysis'!$C95,$A99-88,1))</f>
        <v/>
      </c>
      <c r="CN99" s="29" t="str">
        <f>IF(OR($B99="",$A99&lt;=89),"",--MID('Key Analysis'!$C95,$A99-89,1))</f>
        <v/>
      </c>
      <c r="CO99" s="29" t="str">
        <f>IF(OR($B99="",$A99&lt;=90),"",--MID('Key Analysis'!$C95,$A99-90,1))</f>
        <v/>
      </c>
      <c r="CP99" s="29" t="str">
        <f>IF(OR($B99="",$A99&lt;=91),"",--MID('Key Analysis'!$C95,$A99-91,1))</f>
        <v/>
      </c>
      <c r="CQ99" s="29" t="str">
        <f>IF(OR($B99="",$A99&lt;=92),"",--MID('Key Analysis'!$C95,$A99-92,1))</f>
        <v/>
      </c>
      <c r="CR99" s="29" t="str">
        <f>IF(OR($B99="",$A99&lt;=93),"",--MID('Key Analysis'!$C95,$A99-93,1))</f>
        <v/>
      </c>
      <c r="CS99" s="29" t="str">
        <f>IF(OR($B99="",$A99&lt;=94),"",--MID('Key Analysis'!$C95,$A99-94,1))</f>
        <v/>
      </c>
      <c r="CT99" s="29" t="str">
        <f>IF(OR($B99="",$A99&lt;=95),"",--MID('Key Analysis'!$C95,$A99-95,1))</f>
        <v/>
      </c>
      <c r="CU99" s="29" t="str">
        <f>IF(OR($B99="",$A99&lt;=96),"",--MID('Key Analysis'!$C95,$A99-96,1))</f>
        <v/>
      </c>
      <c r="CV99" s="29" t="str">
        <f>IF(OR($B99="",$A99&lt;=97),"",--MID('Key Analysis'!$C95,$A99-97,1))</f>
        <v/>
      </c>
      <c r="CW99" s="29" t="str">
        <f>IF(OR($B99="",$A99&lt;=98),"",--MID('Key Analysis'!$C95,$A99-98,1))</f>
        <v/>
      </c>
      <c r="CX99" s="29" t="str">
        <f>IF(OR($B99="",$A99&lt;=99),"",--MID('Key Analysis'!$C95,$A99-99,1))</f>
        <v/>
      </c>
      <c r="CY99" s="29" t="str">
        <f>IF(OR($B99="",$A99&lt;=100),"",--MID('Key Analysis'!$C95,$A99-100,1))</f>
        <v/>
      </c>
      <c r="CZ99" s="29" t="str">
        <f>IF(OR($B99="",$A99&lt;=101),"",--MID('Key Analysis'!$C95,$A99-101,1))</f>
        <v/>
      </c>
      <c r="DA99" s="29" t="str">
        <f>IF(OR($B99="",$A99&lt;=102),"",--MID('Key Analysis'!$C95,$A99-102,1))</f>
        <v/>
      </c>
      <c r="DB99" s="29" t="str">
        <f>IF(OR($B99="",$A99&lt;=103),"",--MID('Key Analysis'!$C95,$A99-103,1))</f>
        <v/>
      </c>
      <c r="DC99" s="29" t="str">
        <f>IF(OR($B99="",$A99&lt;=104),"",--MID('Key Analysis'!$C95,$A99-104,1))</f>
        <v/>
      </c>
      <c r="DD99" s="29" t="str">
        <f>IF(OR($B99="",$A99&lt;=105),"",--MID('Key Analysis'!$C95,$A99-105,1))</f>
        <v/>
      </c>
      <c r="DE99" s="29" t="str">
        <f>IF(OR($B99="",$A99&lt;=106),"",--MID('Key Analysis'!$C95,$A99-106,1))</f>
        <v/>
      </c>
      <c r="DF99" s="29" t="str">
        <f>IF(OR($B99="",$A99&lt;=107),"",--MID('Key Analysis'!$C95,$A99-107,1))</f>
        <v/>
      </c>
      <c r="DG99" s="29" t="str">
        <f>IF(OR($B99="",$A99&lt;=108),"",--MID('Key Analysis'!$C95,$A99-108,1))</f>
        <v/>
      </c>
      <c r="DH99" s="29" t="str">
        <f>IF(OR($B99="",$A99&lt;=109),"",--MID('Key Analysis'!$C95,$A99-109,1))</f>
        <v/>
      </c>
      <c r="DI99" s="29" t="str">
        <f>IF(OR($B99="",$A99&lt;=110),"",--MID('Key Analysis'!$C95,$A99-110,1))</f>
        <v/>
      </c>
      <c r="DJ99" s="29" t="str">
        <f>IF(OR($B99="",$A99&lt;=111),"",--MID('Key Analysis'!$C95,$A99-111,1))</f>
        <v/>
      </c>
      <c r="DK99" s="29" t="str">
        <f>IF(OR($B99="",$A99&lt;=112),"",--MID('Key Analysis'!$C95,$A99-112,1))</f>
        <v/>
      </c>
      <c r="DL99" s="29" t="str">
        <f>IF(OR($B99="",$A99&lt;=113),"",--MID('Key Analysis'!$C95,$A99-113,1))</f>
        <v/>
      </c>
      <c r="DM99" s="29" t="str">
        <f>IF(OR($B99="",$A99&lt;=114),"",--MID('Key Analysis'!$C95,$A99-114,1))</f>
        <v/>
      </c>
      <c r="DN99" s="29" t="str">
        <f>IF(OR($B99="",$A99&lt;=115),"",--MID('Key Analysis'!$C95,$A99-115,1))</f>
        <v/>
      </c>
      <c r="DO99" s="29" t="str">
        <f>IF(OR($B99="",$A99&lt;=116),"",--MID('Key Analysis'!$C95,$A99-116,1))</f>
        <v/>
      </c>
      <c r="DP99" s="29" t="str">
        <f>IF(OR($B99="",$A99&lt;=117),"",--MID('Key Analysis'!$C95,$A99-117,1))</f>
        <v/>
      </c>
      <c r="DQ99" s="29" t="str">
        <f>IF(OR($B99="",$A99&lt;=118),"",--MID('Key Analysis'!$C95,$A99-118,1))</f>
        <v/>
      </c>
      <c r="DR99" s="29" t="str">
        <f>IF(OR($B99="",$A99&lt;=119),"",--MID('Key Analysis'!$C95,$A99-119,1))</f>
        <v/>
      </c>
      <c r="DS99" s="29" t="str">
        <f>IF(OR($B99="",$A99&lt;=120),"",--MID('Key Analysis'!$C95,$A99-120,1))</f>
        <v/>
      </c>
      <c r="DT99" s="29" t="str">
        <f>IF(OR($B99="",$A99&lt;=121),"",--MID('Key Analysis'!$C95,$A99-121,1))</f>
        <v/>
      </c>
      <c r="DU99" s="29" t="str">
        <f>IF(OR($B99="",$A99&lt;=122),"",--MID('Key Analysis'!$C95,$A99-122,1))</f>
        <v/>
      </c>
      <c r="DV99" s="29" t="str">
        <f>IF(OR($B99="",$A99&lt;=123),"",--MID('Key Analysis'!$C95,$A99-123,1))</f>
        <v/>
      </c>
      <c r="DW99" s="29" t="str">
        <f>IF(OR($B99="",$A99&lt;=124),"",--MID('Key Analysis'!$C95,$A99-124,1))</f>
        <v/>
      </c>
      <c r="DX99" s="29" t="str">
        <f>IF(OR($B99="",$A99&lt;=125),"",--MID('Key Analysis'!$C95,$A99-125,1))</f>
        <v/>
      </c>
      <c r="DY99" s="29" t="str">
        <f>IF(OR($B99="",$A99&lt;=126),"",--MID('Key Analysis'!$C95,$A99-126,1))</f>
        <v/>
      </c>
      <c r="DZ99" s="29" t="str">
        <f>IF(OR($B99="",$A99&lt;=127),"",--MID('Key Analysis'!$C95,$A99-127,1))</f>
        <v/>
      </c>
      <c r="EA99" s="29" t="str">
        <f>IF(OR($B99="",$A99&lt;=128),"",--MID('Key Analysis'!$C95,$A99-128,1))</f>
        <v/>
      </c>
      <c r="EB99" s="29" t="str">
        <f>IF(OR($B99="",$A99&lt;=129),"",--MID('Key Analysis'!$C95,$A99-129,1))</f>
        <v/>
      </c>
      <c r="EC99" s="29" t="str">
        <f>IF(OR($B99="",$A99&lt;=130),"",--MID('Key Analysis'!$C95,$A99-130,1))</f>
        <v/>
      </c>
      <c r="ED99" s="29" t="str">
        <f>IF(OR($B99="",$A99&lt;=131),"",--MID('Key Analysis'!$C95,$A99-131,1))</f>
        <v/>
      </c>
      <c r="EE99" s="29" t="str">
        <f>IF(OR($B99="",$A99&lt;=132),"",--MID('Key Analysis'!$C95,$A99-132,1))</f>
        <v/>
      </c>
      <c r="EF99" s="29" t="str">
        <f>IF(OR($B99="",$A99&lt;=133),"",--MID('Key Analysis'!$C95,$A99-133,1))</f>
        <v/>
      </c>
      <c r="EG99" s="29" t="str">
        <f>IF(OR($B99="",$A99&lt;=134),"",--MID('Key Analysis'!$C95,$A99-134,1))</f>
        <v/>
      </c>
      <c r="EH99" s="29"/>
      <c r="EI99" s="29" t="str">
        <f>IF(OR($B99="",$A99&lt;1),"",--MID('Key Analysis'!$C95,1,1))</f>
        <v/>
      </c>
      <c r="EJ99" s="29" t="str">
        <f>IF(OR($B99="",$A99&lt;2),"",--MID('Key Analysis'!$C95,2,1))</f>
        <v/>
      </c>
      <c r="EK99" s="29" t="str">
        <f>IF(OR($B99="",$A99&lt;3),"",--MID('Key Analysis'!$C95,3,1))</f>
        <v/>
      </c>
      <c r="EL99" s="29" t="str">
        <f>IF(OR($B99="",$A99&lt;4),"",--MID('Key Analysis'!$C95,4,1))</f>
        <v/>
      </c>
      <c r="EM99" s="29" t="str">
        <f>IF(OR($B99="",$A99&lt;5),"",--MID('Key Analysis'!$C95,5,1))</f>
        <v/>
      </c>
      <c r="EN99" s="29" t="str">
        <f>IF(OR($B99="",$A99&lt;6),"",--MID('Key Analysis'!$C95,6,1))</f>
        <v/>
      </c>
      <c r="EO99" s="29" t="str">
        <f>IF(OR($B99="",$A99&lt;7),"",--MID('Key Analysis'!$C95,7,1))</f>
        <v/>
      </c>
      <c r="EP99" s="29" t="str">
        <f>IF(OR($B99="",$A99&lt;8),"",--MID('Key Analysis'!$C95,8,1))</f>
        <v/>
      </c>
      <c r="EQ99" s="29" t="str">
        <f>IF(OR($B99="",$A99&lt;9),"",--MID('Key Analysis'!$C95,9,1))</f>
        <v/>
      </c>
      <c r="ER99" s="29" t="str">
        <f>IF(OR($B99="",$A99&lt;10),"",--MID('Key Analysis'!$C95,10,1))</f>
        <v/>
      </c>
      <c r="ES99" s="29" t="str">
        <f>IF(OR($B99="",$A99&lt;11),"",--MID('Key Analysis'!$C95,11,1))</f>
        <v/>
      </c>
      <c r="ET99" s="29" t="str">
        <f>IF(OR($B99="",$A99&lt;12),"",--MID('Key Analysis'!$C95,12,1))</f>
        <v/>
      </c>
      <c r="EU99" s="29" t="str">
        <f>IF(OR($B99="",$A99&lt;13),"",--MID('Key Analysis'!$C95,13,1))</f>
        <v/>
      </c>
      <c r="EV99" s="29" t="str">
        <f>IF(OR($B99="",$A99&lt;14),"",--MID('Key Analysis'!$C95,14,1))</f>
        <v/>
      </c>
      <c r="EW99" s="29" t="str">
        <f>IF(OR($B99="",$A99&lt;15),"",--MID('Key Analysis'!$C95,15,1))</f>
        <v/>
      </c>
      <c r="EX99" s="29" t="str">
        <f>IF(OR($B99="",$A99&lt;16),"",--MID('Key Analysis'!$C95,16,1))</f>
        <v/>
      </c>
      <c r="EY99" s="29" t="str">
        <f>IF(OR($B99="",$A99&lt;17),"",--MID('Key Analysis'!$C95,17,1))</f>
        <v/>
      </c>
      <c r="EZ99" s="29" t="str">
        <f>IF(OR($B99="",$A99&lt;18),"",--MID('Key Analysis'!$C95,18,1))</f>
        <v/>
      </c>
      <c r="FA99" s="29" t="str">
        <f>IF(OR($B99="",$A99&lt;19),"",--MID('Key Analysis'!$C95,19,1))</f>
        <v/>
      </c>
      <c r="FB99" s="29" t="str">
        <f>IF(OR($B99="",$A99&lt;20),"",--MID('Key Analysis'!$C95,20,1))</f>
        <v/>
      </c>
      <c r="FC99" s="29" t="str">
        <f>IF(OR($B99="",$A99&lt;21),"",--MID('Key Analysis'!$C95,21,1))</f>
        <v/>
      </c>
      <c r="FD99" s="29" t="str">
        <f>IF(OR($B99="",$A99&lt;22),"",--MID('Key Analysis'!$C95,22,1))</f>
        <v/>
      </c>
      <c r="FE99" s="29" t="str">
        <f>IF(OR($B99="",$A99&lt;23),"",--MID('Key Analysis'!$C95,23,1))</f>
        <v/>
      </c>
      <c r="FF99" s="29" t="str">
        <f>IF(OR($B99="",$A99&lt;24),"",--MID('Key Analysis'!$C95,24,1))</f>
        <v/>
      </c>
      <c r="FG99" s="29" t="str">
        <f>IF(OR($B99="",$A99&lt;25),"",--MID('Key Analysis'!$C95,25,1))</f>
        <v/>
      </c>
      <c r="FH99" s="29" t="str">
        <f>IF(OR($B99="",$A99&lt;26),"",--MID('Key Analysis'!$C95,26,1))</f>
        <v/>
      </c>
      <c r="FI99" s="29" t="str">
        <f>IF(OR($B99="",$A99&lt;27),"",--MID('Key Analysis'!$C95,27,1))</f>
        <v/>
      </c>
      <c r="FJ99" s="29" t="str">
        <f>IF(OR($B99="",$A99&lt;28),"",--MID('Key Analysis'!$C95,28,1))</f>
        <v/>
      </c>
      <c r="FK99" s="29" t="str">
        <f>IF(OR($B99="",$A99&lt;29),"",--MID('Key Analysis'!$C95,29,1))</f>
        <v/>
      </c>
      <c r="FL99" s="29" t="str">
        <f>IF(OR($B99="",$A99&lt;30),"",--MID('Key Analysis'!$C95,30,1))</f>
        <v/>
      </c>
      <c r="FM99" s="29" t="str">
        <f>IF(OR($B99="",$A99&lt;31),"",--MID('Key Analysis'!$C95,31,1))</f>
        <v/>
      </c>
      <c r="FN99" s="29" t="str">
        <f>IF(OR($B99="",$A99&lt;32),"",--MID('Key Analysis'!$C95,32,1))</f>
        <v/>
      </c>
      <c r="FO99" s="29" t="str">
        <f>IF(OR($B99="",$A99&lt;33),"",--MID('Key Analysis'!$C95,33,1))</f>
        <v/>
      </c>
      <c r="FP99" s="29" t="str">
        <f>IF(OR($B99="",$A99&lt;34),"",--MID('Key Analysis'!$C95,34,1))</f>
        <v/>
      </c>
      <c r="FQ99" s="29" t="str">
        <f>IF(OR($B99="",$A99&lt;35),"",--MID('Key Analysis'!$C95,35,1))</f>
        <v/>
      </c>
      <c r="FR99" s="29" t="str">
        <f>IF(OR($B99="",$A99&lt;36),"",--MID('Key Analysis'!$C95,36,1))</f>
        <v/>
      </c>
      <c r="FS99" s="29" t="str">
        <f>IF(OR($B99="",$A99&lt;37),"",--MID('Key Analysis'!$C95,37,1))</f>
        <v/>
      </c>
      <c r="FT99" s="29" t="str">
        <f>IF(OR($B99="",$A99&lt;38),"",--MID('Key Analysis'!$C95,38,1))</f>
        <v/>
      </c>
      <c r="FU99" s="29" t="str">
        <f>IF(OR($B99="",$A99&lt;39),"",--MID('Key Analysis'!$C95,39,1))</f>
        <v/>
      </c>
      <c r="FV99" s="29" t="str">
        <f>IF(OR($B99="",$A99&lt;40),"",--MID('Key Analysis'!$C95,40,1))</f>
        <v/>
      </c>
      <c r="FW99" s="29" t="str">
        <f>IF(OR($B99="",$A99&lt;41),"",--MID('Key Analysis'!$C95,41,1))</f>
        <v/>
      </c>
      <c r="FX99" s="29" t="str">
        <f>IF(OR($B99="",$A99&lt;42),"",--MID('Key Analysis'!$C95,42,1))</f>
        <v/>
      </c>
      <c r="FY99" s="29" t="str">
        <f>IF(OR($B99="",$A99&lt;43),"",--MID('Key Analysis'!$C95,43,1))</f>
        <v/>
      </c>
      <c r="FZ99" s="29" t="str">
        <f>IF(OR($B99="",$A99&lt;44),"",--MID('Key Analysis'!$C95,44,1))</f>
        <v/>
      </c>
      <c r="GA99" s="29" t="str">
        <f>IF(OR($B99="",$A99&lt;45),"",--MID('Key Analysis'!$C95,45,1))</f>
        <v/>
      </c>
      <c r="GB99" s="29" t="str">
        <f>IF(OR($B99="",$A99&lt;46),"",--MID('Key Analysis'!$C95,46,1))</f>
        <v/>
      </c>
      <c r="GC99" s="29" t="str">
        <f>IF(OR($B99="",$A99&lt;47),"",--MID('Key Analysis'!$C95,47,1))</f>
        <v/>
      </c>
      <c r="GD99" s="29" t="str">
        <f>IF(OR($B99="",$A99&lt;48),"",--MID('Key Analysis'!$C95,48,1))</f>
        <v/>
      </c>
      <c r="GE99" s="29" t="str">
        <f>IF(OR($B99="",$A99&lt;49),"",--MID('Key Analysis'!$C95,49,1))</f>
        <v/>
      </c>
      <c r="GF99" s="29" t="str">
        <f>IF(OR($B99="",$A99&lt;50),"",--MID('Key Analysis'!$C95,50,1))</f>
        <v/>
      </c>
      <c r="GG99" s="29" t="str">
        <f>IF(OR($B99="",$A99&lt;51),"",--MID('Key Analysis'!$C95,51,1))</f>
        <v/>
      </c>
      <c r="GH99" s="29" t="str">
        <f>IF(OR($B99="",$A99&lt;52),"",--MID('Key Analysis'!$C95,52,1))</f>
        <v/>
      </c>
      <c r="GI99" s="29" t="str">
        <f>IF(OR($B99="",$A99&lt;53),"",--MID('Key Analysis'!$C95,53,1))</f>
        <v/>
      </c>
      <c r="GJ99" s="29" t="str">
        <f>IF(OR($B99="",$A99&lt;54),"",--MID('Key Analysis'!$C95,54,1))</f>
        <v/>
      </c>
      <c r="GK99" s="29" t="str">
        <f>IF(OR($B99="",$A99&lt;55),"",--MID('Key Analysis'!$C95,55,1))</f>
        <v/>
      </c>
      <c r="GL99" s="29" t="str">
        <f>IF(OR($B99="",$A99&lt;56),"",--MID('Key Analysis'!$C95,56,1))</f>
        <v/>
      </c>
      <c r="GM99" s="29" t="str">
        <f>IF(OR($B99="",$A99&lt;57),"",--MID('Key Analysis'!$C95,57,1))</f>
        <v/>
      </c>
      <c r="GN99" s="29" t="str">
        <f>IF(OR($B99="",$A99&lt;58),"",--MID('Key Analysis'!$C95,58,1))</f>
        <v/>
      </c>
      <c r="GO99" s="29" t="str">
        <f>IF(OR($B99="",$A99&lt;59),"",--MID('Key Analysis'!$C95,59,1))</f>
        <v/>
      </c>
      <c r="GP99" s="29" t="str">
        <f>IF(OR($B99="",$A99&lt;60),"",--MID('Key Analysis'!$C95,60,1))</f>
        <v/>
      </c>
      <c r="GQ99" s="29" t="str">
        <f>IF(OR($B99="",$A99&lt;61),"",--MID('Key Analysis'!$C95,61,1))</f>
        <v/>
      </c>
      <c r="GR99" s="29" t="str">
        <f>IF(OR($B99="",$A99&lt;62),"",--MID('Key Analysis'!$C95,62,1))</f>
        <v/>
      </c>
      <c r="GS99" s="29" t="str">
        <f>IF(OR($B99="",$A99&lt;63),"",--MID('Key Analysis'!$C95,63,1))</f>
        <v/>
      </c>
      <c r="GT99" s="29" t="str">
        <f>IF(OR($B99="",$A99&lt;64),"",--MID('Key Analysis'!$C95,64,1))</f>
        <v/>
      </c>
      <c r="GU99" s="29" t="str">
        <f>IF(OR($B99="",$A99&lt;65),"",--MID('Key Analysis'!$C95,65,1))</f>
        <v/>
      </c>
      <c r="GV99" s="29" t="str">
        <f>IF(OR($B99="",$A99&lt;66),"",--MID('Key Analysis'!$C95,66,1))</f>
        <v/>
      </c>
      <c r="GW99" s="29" t="str">
        <f>IF(OR($B99="",$A99&lt;67),"",--MID('Key Analysis'!$C95,67,1))</f>
        <v/>
      </c>
      <c r="GX99" s="29" t="str">
        <f>IF(OR($B99="",$A99&lt;68),"",--MID('Key Analysis'!$C95,68,1))</f>
        <v/>
      </c>
      <c r="GY99" s="29" t="str">
        <f>IF(OR($B99="",$A99&lt;69),"",--MID('Key Analysis'!$C95,69,1))</f>
        <v/>
      </c>
      <c r="GZ99" s="29" t="str">
        <f>IF(OR($B99="",$A99&lt;70),"",--MID('Key Analysis'!$C95,70,1))</f>
        <v/>
      </c>
      <c r="HA99" s="29" t="str">
        <f>IF(OR($B99="",$A99&lt;71),"",--MID('Key Analysis'!$C95,71,1))</f>
        <v/>
      </c>
      <c r="HB99" s="29" t="str">
        <f>IF(OR($B99="",$A99&lt;72),"",--MID('Key Analysis'!$C95,72,1))</f>
        <v/>
      </c>
      <c r="HC99" s="29" t="str">
        <f>IF(OR($B99="",$A99&lt;73),"",--MID('Key Analysis'!$C95,73,1))</f>
        <v/>
      </c>
      <c r="HD99" s="29" t="str">
        <f>IF(OR($B99="",$A99&lt;74),"",--MID('Key Analysis'!$C95,74,1))</f>
        <v/>
      </c>
      <c r="HE99" s="29" t="str">
        <f>IF(OR($B99="",$A99&lt;75),"",--MID('Key Analysis'!$C95,75,1))</f>
        <v/>
      </c>
      <c r="HF99" s="29" t="str">
        <f>IF(OR($B99="",$A99&lt;76),"",--MID('Key Analysis'!$C95,76,1))</f>
        <v/>
      </c>
      <c r="HG99" s="29" t="str">
        <f>IF(OR($B99="",$A99&lt;77),"",--MID('Key Analysis'!$C95,77,1))</f>
        <v/>
      </c>
      <c r="HH99" s="29" t="str">
        <f>IF(OR($B99="",$A99&lt;78),"",--MID('Key Analysis'!$C95,78,1))</f>
        <v/>
      </c>
      <c r="HI99" s="29" t="str">
        <f>IF(OR($B99="",$A99&lt;79),"",--MID('Key Analysis'!$C95,79,1))</f>
        <v/>
      </c>
      <c r="HJ99" s="29" t="str">
        <f>IF(OR($B99="",$A99&lt;80),"",--MID('Key Analysis'!$C95,80,1))</f>
        <v/>
      </c>
      <c r="HK99" s="29" t="str">
        <f>IF(OR($B99="",$A99&lt;81),"",--MID('Key Analysis'!$C95,81,1))</f>
        <v/>
      </c>
      <c r="HL99" s="29" t="str">
        <f>IF(OR($B99="",$A99&lt;82),"",--MID('Key Analysis'!$C95,82,1))</f>
        <v/>
      </c>
      <c r="HM99" s="29" t="str">
        <f>IF(OR($B99="",$A99&lt;83),"",--MID('Key Analysis'!$C95,83,1))</f>
        <v/>
      </c>
      <c r="HN99" s="29" t="str">
        <f>IF(OR($B99="",$A99&lt;84),"",--MID('Key Analysis'!$C95,84,1))</f>
        <v/>
      </c>
      <c r="HO99" s="29" t="str">
        <f>IF(OR($B99="",$A99&lt;85),"",--MID('Key Analysis'!$C95,85,1))</f>
        <v/>
      </c>
      <c r="HP99" s="29" t="str">
        <f>IF(OR($B99="",$A99&lt;86),"",--MID('Key Analysis'!$C95,86,1))</f>
        <v/>
      </c>
      <c r="HQ99" s="29" t="str">
        <f>IF(OR($B99="",$A99&lt;87),"",--MID('Key Analysis'!$C95,87,1))</f>
        <v/>
      </c>
      <c r="HR99" s="29" t="str">
        <f>IF(OR($B99="",$A99&lt;88),"",--MID('Key Analysis'!$C95,88,1))</f>
        <v/>
      </c>
      <c r="HS99" s="29" t="str">
        <f>IF(OR($B99="",$A99&lt;89),"",--MID('Key Analysis'!$C95,89,1))</f>
        <v/>
      </c>
      <c r="HT99" s="29" t="str">
        <f>IF(OR($B99="",$A99&lt;90),"",--MID('Key Analysis'!$C95,90,1))</f>
        <v/>
      </c>
      <c r="HU99" s="29" t="str">
        <f>IF(OR($B99="",$A99&lt;91),"",--MID('Key Analysis'!$C95,91,1))</f>
        <v/>
      </c>
      <c r="HV99" s="29" t="str">
        <f>IF(OR($B99="",$A99&lt;92),"",--MID('Key Analysis'!$C95,92,1))</f>
        <v/>
      </c>
      <c r="HW99" s="29" t="str">
        <f>IF(OR($B99="",$A99&lt;93),"",--MID('Key Analysis'!$C95,93,1))</f>
        <v/>
      </c>
      <c r="HX99" s="29" t="str">
        <f>IF(OR($B99="",$A99&lt;94),"",--MID('Key Analysis'!$C95,94,1))</f>
        <v/>
      </c>
      <c r="HY99" s="29" t="str">
        <f>IF(OR($B99="",$A99&lt;95),"",--MID('Key Analysis'!$C95,95,1))</f>
        <v/>
      </c>
      <c r="HZ99" s="29" t="str">
        <f>IF(OR($B99="",$A99&lt;96),"",--MID('Key Analysis'!$C95,96,1))</f>
        <v/>
      </c>
      <c r="IA99" s="29" t="str">
        <f>IF(OR($B99="",$A99&lt;97),"",--MID('Key Analysis'!$C95,97,1))</f>
        <v/>
      </c>
      <c r="IB99" s="29" t="str">
        <f>IF(OR($B99="",$A99&lt;98),"",--MID('Key Analysis'!$C95,98,1))</f>
        <v/>
      </c>
      <c r="IC99" s="29" t="str">
        <f>IF(OR($B99="",$A99&lt;99),"",--MID('Key Analysis'!$C95,99,1))</f>
        <v/>
      </c>
      <c r="ID99" s="29" t="str">
        <f>IF(OR($B99="",$A99&lt;100),"",--MID('Key Analysis'!$C95,100,1))</f>
        <v/>
      </c>
      <c r="IE99" s="29" t="str">
        <f>IF(OR($B99="",$A99&lt;101),"",--MID('Key Analysis'!$C95,101,1))</f>
        <v/>
      </c>
      <c r="IF99" s="29" t="str">
        <f>IF(OR($B99="",$A99&lt;102),"",--MID('Key Analysis'!$C95,102,1))</f>
        <v/>
      </c>
      <c r="IG99" s="29" t="str">
        <f>IF(OR($B99="",$A99&lt;103),"",--MID('Key Analysis'!$C95,103,1))</f>
        <v/>
      </c>
      <c r="IH99" s="29" t="str">
        <f>IF(OR($B99="",$A99&lt;104),"",--MID('Key Analysis'!$C95,104,1))</f>
        <v/>
      </c>
      <c r="II99" s="29" t="str">
        <f>IF(OR($B99="",$A99&lt;105),"",--MID('Key Analysis'!$C95,105,1))</f>
        <v/>
      </c>
      <c r="IJ99" s="29" t="str">
        <f>IF(OR($B99="",$A99&lt;106),"",--MID('Key Analysis'!$C95,106,1))</f>
        <v/>
      </c>
      <c r="IK99" s="29" t="str">
        <f>IF(OR($B99="",$A99&lt;107),"",--MID('Key Analysis'!$C95,107,1))</f>
        <v/>
      </c>
      <c r="IL99" s="29" t="str">
        <f>IF(OR($B99="",$A99&lt;108),"",--MID('Key Analysis'!$C95,108,1))</f>
        <v/>
      </c>
      <c r="IM99" s="29" t="str">
        <f>IF(OR($B99="",$A99&lt;109),"",--MID('Key Analysis'!$C95,109,1))</f>
        <v/>
      </c>
      <c r="IN99" s="29" t="str">
        <f>IF(OR($B99="",$A99&lt;110),"",--MID('Key Analysis'!$C95,110,1))</f>
        <v/>
      </c>
      <c r="IO99" s="29" t="str">
        <f>IF(OR($B99="",$A99&lt;111),"",--MID('Key Analysis'!$C95,111,1))</f>
        <v/>
      </c>
      <c r="IP99" s="29" t="str">
        <f>IF(OR($B99="",$A99&lt;112),"",--MID('Key Analysis'!$C95,112,1))</f>
        <v/>
      </c>
      <c r="IQ99" s="29" t="str">
        <f>IF(OR($B99="",$A99&lt;113),"",--MID('Key Analysis'!$C95,113,1))</f>
        <v/>
      </c>
      <c r="IR99" s="29" t="str">
        <f>IF(OR($B99="",$A99&lt;114),"",--MID('Key Analysis'!$C95,114,1))</f>
        <v/>
      </c>
      <c r="IS99" s="29" t="str">
        <f>IF(OR($B99="",$A99&lt;115),"",--MID('Key Analysis'!$C95,115,1))</f>
        <v/>
      </c>
      <c r="IT99" s="29" t="str">
        <f>IF(OR($B99="",$A99&lt;116),"",--MID('Key Analysis'!$C95,116,1))</f>
        <v/>
      </c>
      <c r="IU99" s="29" t="str">
        <f>IF(OR($B99="",$A99&lt;117),"",--MID('Key Analysis'!$C95,117,1))</f>
        <v/>
      </c>
      <c r="IV99" s="29" t="str">
        <f>IF(OR($B99="",$A99&lt;118),"",--MID('Key Analysis'!$C95,118,1))</f>
        <v/>
      </c>
      <c r="IW99" s="29" t="str">
        <f>IF(OR($B99="",$A99&lt;119),"",--MID('Key Analysis'!$C95,119,1))</f>
        <v/>
      </c>
      <c r="IX99" s="29" t="str">
        <f>IF(OR($B99="",$A99&lt;120),"",--MID('Key Analysis'!$C95,120,1))</f>
        <v/>
      </c>
      <c r="IY99" s="29" t="str">
        <f>IF(OR($B99="",$A99&lt;121),"",--MID('Key Analysis'!$C95,121,1))</f>
        <v/>
      </c>
      <c r="IZ99" s="29" t="str">
        <f>IF(OR($B99="",$A99&lt;122),"",--MID('Key Analysis'!$C95,122,1))</f>
        <v/>
      </c>
      <c r="JA99" s="29" t="str">
        <f>IF(OR($B99="",$A99&lt;123),"",--MID('Key Analysis'!$C95,123,1))</f>
        <v/>
      </c>
      <c r="JB99" s="29" t="str">
        <f>IF(OR($B99="",$A99&lt;124),"",--MID('Key Analysis'!$C95,124,1))</f>
        <v/>
      </c>
      <c r="JC99" s="29" t="str">
        <f>IF(OR($B99="",$A99&lt;125),"",--MID('Key Analysis'!$C95,125,1))</f>
        <v/>
      </c>
      <c r="JD99" s="29" t="str">
        <f>IF(OR($B99="",$A99&lt;126),"",--MID('Key Analysis'!$C95,126,1))</f>
        <v/>
      </c>
      <c r="JE99" s="29" t="str">
        <f>IF(OR($B99="",$A99&lt;127),"",--MID('Key Analysis'!$C95,127,1))</f>
        <v/>
      </c>
      <c r="JF99" s="29" t="str">
        <f>IF(OR($B99="",$A99&lt;128),"",--MID('Key Analysis'!$C95,128,1))</f>
        <v/>
      </c>
      <c r="JG99" s="29" t="str">
        <f>IF(OR($B99="",$A99&lt;129),"",--MID('Key Analysis'!$C95,129,1))</f>
        <v/>
      </c>
      <c r="JH99" s="29" t="str">
        <f>IF(OR($B99="",$A99&lt;130),"",--MID('Key Analysis'!$C95,130,1))</f>
        <v/>
      </c>
      <c r="JI99" s="29" t="str">
        <f>IF(OR($B99="",$A99&lt;131),"",--MID('Key Analysis'!$C95,131,1))</f>
        <v/>
      </c>
      <c r="JJ99" s="29" t="str">
        <f>IF(OR($B99="",$A99&lt;132),"",--MID('Key Analysis'!$C95,132,1))</f>
        <v/>
      </c>
      <c r="JK99" s="29" t="str">
        <f>IF(OR($B99="",$A99&lt;133),"",--MID('Key Analysis'!$C95,133,1))</f>
        <v/>
      </c>
      <c r="JL99" s="29" t="str">
        <f>IF(OR($B99="",$A99&lt;134),"",--MID('Key Analysis'!$C95,134,1))</f>
        <v/>
      </c>
      <c r="JM99" s="29" t="str">
        <f>IF(OR($B99="",$A99&lt;135),"",--MID('Key Analysis'!$C95,135,1))</f>
        <v/>
      </c>
    </row>
    <row r="100" spans="1:273" x14ac:dyDescent="0.25">
      <c r="A100" s="21">
        <f>'Key Analysis'!A96</f>
        <v>95</v>
      </c>
      <c r="B100" s="30" t="str">
        <f>'Key Analysis'!B96</f>
        <v>527a792b183c7f64a0e8b1f4</v>
      </c>
      <c r="C100" s="29">
        <f>IF(OR($B100="",$A100&lt;=0),"",--MID('Key Analysis'!$C96,$A100-0,1))</f>
        <v>0</v>
      </c>
      <c r="D100" s="29">
        <f>IF(OR($B100="",$A100&lt;=1),"",--MID('Key Analysis'!$C96,$A100-1,1))</f>
        <v>0</v>
      </c>
      <c r="E100" s="29">
        <f>IF(OR($B100="",$A100&lt;=2),"",--MID('Key Analysis'!$C96,$A100-2,1))</f>
        <v>1</v>
      </c>
      <c r="F100" s="29">
        <f>IF(OR($B100="",$A100&lt;=3),"",--MID('Key Analysis'!$C96,$A100-3,1))</f>
        <v>0</v>
      </c>
      <c r="G100" s="29">
        <f>IF(OR($B100="",$A100&lt;=4),"",--MID('Key Analysis'!$C96,$A100-4,1))</f>
        <v>1</v>
      </c>
      <c r="H100" s="29">
        <f>IF(OR($B100="",$A100&lt;=5),"",--MID('Key Analysis'!$C96,$A100-5,1))</f>
        <v>1</v>
      </c>
      <c r="I100" s="29">
        <f>IF(OR($B100="",$A100&lt;=6),"",--MID('Key Analysis'!$C96,$A100-6,1))</f>
        <v>1</v>
      </c>
      <c r="J100" s="29">
        <f>IF(OR($B100="",$A100&lt;=7),"",--MID('Key Analysis'!$C96,$A100-7,1))</f>
        <v>1</v>
      </c>
      <c r="K100" s="29">
        <f>IF(OR($B100="",$A100&lt;=8),"",--MID('Key Analysis'!$C96,$A100-8,1))</f>
        <v>1</v>
      </c>
      <c r="L100" s="29">
        <f>IF(OR($B100="",$A100&lt;=9),"",--MID('Key Analysis'!$C96,$A100-9,1))</f>
        <v>0</v>
      </c>
      <c r="M100" s="29">
        <f>IF(OR($B100="",$A100&lt;=10),"",--MID('Key Analysis'!$C96,$A100-10,1))</f>
        <v>0</v>
      </c>
      <c r="N100" s="29">
        <f>IF(OR($B100="",$A100&lt;=11),"",--MID('Key Analysis'!$C96,$A100-11,1))</f>
        <v>0</v>
      </c>
      <c r="O100" s="29">
        <f>IF(OR($B100="",$A100&lt;=12),"",--MID('Key Analysis'!$C96,$A100-12,1))</f>
        <v>1</v>
      </c>
      <c r="P100" s="29">
        <f>IF(OR($B100="",$A100&lt;=13),"",--MID('Key Analysis'!$C96,$A100-13,1))</f>
        <v>1</v>
      </c>
      <c r="Q100" s="29">
        <f>IF(OR($B100="",$A100&lt;=14),"",--MID('Key Analysis'!$C96,$A100-14,1))</f>
        <v>0</v>
      </c>
      <c r="R100" s="29">
        <f>IF(OR($B100="",$A100&lt;=15),"",--MID('Key Analysis'!$C96,$A100-15,1))</f>
        <v>1</v>
      </c>
      <c r="S100" s="29">
        <f>IF(OR($B100="",$A100&lt;=16),"",--MID('Key Analysis'!$C96,$A100-16,1))</f>
        <v>0</v>
      </c>
      <c r="T100" s="29">
        <f>IF(OR($B100="",$A100&lt;=17),"",--MID('Key Analysis'!$C96,$A100-17,1))</f>
        <v>0</v>
      </c>
      <c r="U100" s="29">
        <f>IF(OR($B100="",$A100&lt;=18),"",--MID('Key Analysis'!$C96,$A100-18,1))</f>
        <v>0</v>
      </c>
      <c r="V100" s="29">
        <f>IF(OR($B100="",$A100&lt;=19),"",--MID('Key Analysis'!$C96,$A100-19,1))</f>
        <v>1</v>
      </c>
      <c r="W100" s="29">
        <f>IF(OR($B100="",$A100&lt;=20),"",--MID('Key Analysis'!$C96,$A100-20,1))</f>
        <v>0</v>
      </c>
      <c r="X100" s="29">
        <f>IF(OR($B100="",$A100&lt;=21),"",--MID('Key Analysis'!$C96,$A100-21,1))</f>
        <v>1</v>
      </c>
      <c r="Y100" s="29">
        <f>IF(OR($B100="",$A100&lt;=22),"",--MID('Key Analysis'!$C96,$A100-22,1))</f>
        <v>1</v>
      </c>
      <c r="Z100" s="29">
        <f>IF(OR($B100="",$A100&lt;=23),"",--MID('Key Analysis'!$C96,$A100-23,1))</f>
        <v>1</v>
      </c>
      <c r="AA100" s="29">
        <f>IF(OR($B100="",$A100&lt;=24),"",--MID('Key Analysis'!$C96,$A100-24,1))</f>
        <v>0</v>
      </c>
      <c r="AB100" s="29">
        <f>IF(OR($B100="",$A100&lt;=25),"",--MID('Key Analysis'!$C96,$A100-25,1))</f>
        <v>0</v>
      </c>
      <c r="AC100" s="29">
        <f>IF(OR($B100="",$A100&lt;=26),"",--MID('Key Analysis'!$C96,$A100-26,1))</f>
        <v>0</v>
      </c>
      <c r="AD100" s="29">
        <f>IF(OR($B100="",$A100&lt;=27),"",--MID('Key Analysis'!$C96,$A100-27,1))</f>
        <v>0</v>
      </c>
      <c r="AE100" s="29">
        <f>IF(OR($B100="",$A100&lt;=28),"",--MID('Key Analysis'!$C96,$A100-28,1))</f>
        <v>0</v>
      </c>
      <c r="AF100" s="29">
        <f>IF(OR($B100="",$A100&lt;=29),"",--MID('Key Analysis'!$C96,$A100-29,1))</f>
        <v>1</v>
      </c>
      <c r="AG100" s="29">
        <f>IF(OR($B100="",$A100&lt;=30),"",--MID('Key Analysis'!$C96,$A100-30,1))</f>
        <v>0</v>
      </c>
      <c r="AH100" s="29">
        <f>IF(OR($B100="",$A100&lt;=31),"",--MID('Key Analysis'!$C96,$A100-31,1))</f>
        <v>1</v>
      </c>
      <c r="AI100" s="29">
        <f>IF(OR($B100="",$A100&lt;=32),"",--MID('Key Analysis'!$C96,$A100-32,1))</f>
        <v>0</v>
      </c>
      <c r="AJ100" s="29">
        <f>IF(OR($B100="",$A100&lt;=33),"",--MID('Key Analysis'!$C96,$A100-33,1))</f>
        <v>0</v>
      </c>
      <c r="AK100" s="29">
        <f>IF(OR($B100="",$A100&lt;=34),"",--MID('Key Analysis'!$C96,$A100-34,1))</f>
        <v>1</v>
      </c>
      <c r="AL100" s="29">
        <f>IF(OR($B100="",$A100&lt;=35),"",--MID('Key Analysis'!$C96,$A100-35,1))</f>
        <v>0</v>
      </c>
      <c r="AM100" s="29">
        <f>IF(OR($B100="",$A100&lt;=36),"",--MID('Key Analysis'!$C96,$A100-36,1))</f>
        <v>0</v>
      </c>
      <c r="AN100" s="29">
        <f>IF(OR($B100="",$A100&lt;=37),"",--MID('Key Analysis'!$C96,$A100-37,1))</f>
        <v>1</v>
      </c>
      <c r="AO100" s="29">
        <f>IF(OR($B100="",$A100&lt;=38),"",--MID('Key Analysis'!$C96,$A100-38,1))</f>
        <v>1</v>
      </c>
      <c r="AP100" s="29">
        <f>IF(OR($B100="",$A100&lt;=39),"",--MID('Key Analysis'!$C96,$A100-39,1))</f>
        <v>0</v>
      </c>
      <c r="AQ100" s="29">
        <f>IF(OR($B100="",$A100&lt;=40),"",--MID('Key Analysis'!$C96,$A100-40,1))</f>
        <v>1</v>
      </c>
      <c r="AR100" s="29">
        <f>IF(OR($B100="",$A100&lt;=41),"",--MID('Key Analysis'!$C96,$A100-41,1))</f>
        <v>1</v>
      </c>
      <c r="AS100" s="29">
        <f>IF(OR($B100="",$A100&lt;=42),"",--MID('Key Analysis'!$C96,$A100-42,1))</f>
        <v>1</v>
      </c>
      <c r="AT100" s="29">
        <f>IF(OR($B100="",$A100&lt;=43),"",--MID('Key Analysis'!$C96,$A100-43,1))</f>
        <v>1</v>
      </c>
      <c r="AU100" s="29">
        <f>IF(OR($B100="",$A100&lt;=44),"",--MID('Key Analysis'!$C96,$A100-44,1))</f>
        <v>1</v>
      </c>
      <c r="AV100" s="29">
        <f>IF(OR($B100="",$A100&lt;=45),"",--MID('Key Analysis'!$C96,$A100-45,1))</f>
        <v>1</v>
      </c>
      <c r="AW100" s="29">
        <f>IF(OR($B100="",$A100&lt;=46),"",--MID('Key Analysis'!$C96,$A100-46,1))</f>
        <v>1</v>
      </c>
      <c r="AX100" s="29">
        <f>IF(OR($B100="",$A100&lt;=47),"",--MID('Key Analysis'!$C96,$A100-47,1))</f>
        <v>0</v>
      </c>
      <c r="AY100" s="29">
        <f>IF(OR($B100="",$A100&lt;=48),"",--MID('Key Analysis'!$C96,$A100-48,1))</f>
        <v>0</v>
      </c>
      <c r="AZ100" s="29">
        <f>IF(OR($B100="",$A100&lt;=49),"",--MID('Key Analysis'!$C96,$A100-49,1))</f>
        <v>0</v>
      </c>
      <c r="BA100" s="29">
        <f>IF(OR($B100="",$A100&lt;=50),"",--MID('Key Analysis'!$C96,$A100-50,1))</f>
        <v>1</v>
      </c>
      <c r="BB100" s="29">
        <f>IF(OR($B100="",$A100&lt;=51),"",--MID('Key Analysis'!$C96,$A100-51,1))</f>
        <v>1</v>
      </c>
      <c r="BC100" s="29">
        <f>IF(OR($B100="",$A100&lt;=52),"",--MID('Key Analysis'!$C96,$A100-52,1))</f>
        <v>1</v>
      </c>
      <c r="BD100" s="29">
        <f>IF(OR($B100="",$A100&lt;=53),"",--MID('Key Analysis'!$C96,$A100-53,1))</f>
        <v>1</v>
      </c>
      <c r="BE100" s="29">
        <f>IF(OR($B100="",$A100&lt;=54),"",--MID('Key Analysis'!$C96,$A100-54,1))</f>
        <v>0</v>
      </c>
      <c r="BF100" s="29">
        <f>IF(OR($B100="",$A100&lt;=55),"",--MID('Key Analysis'!$C96,$A100-55,1))</f>
        <v>0</v>
      </c>
      <c r="BG100" s="29">
        <f>IF(OR($B100="",$A100&lt;=56),"",--MID('Key Analysis'!$C96,$A100-56,1))</f>
        <v>0</v>
      </c>
      <c r="BH100" s="29">
        <f>IF(OR($B100="",$A100&lt;=57),"",--MID('Key Analysis'!$C96,$A100-57,1))</f>
        <v>0</v>
      </c>
      <c r="BI100" s="29">
        <f>IF(OR($B100="",$A100&lt;=58),"",--MID('Key Analysis'!$C96,$A100-58,1))</f>
        <v>0</v>
      </c>
      <c r="BJ100" s="29">
        <f>IF(OR($B100="",$A100&lt;=59),"",--MID('Key Analysis'!$C96,$A100-59,1))</f>
        <v>1</v>
      </c>
      <c r="BK100" s="29">
        <f>IF(OR($B100="",$A100&lt;=60),"",--MID('Key Analysis'!$C96,$A100-60,1))</f>
        <v>1</v>
      </c>
      <c r="BL100" s="29">
        <f>IF(OR($B100="",$A100&lt;=61),"",--MID('Key Analysis'!$C96,$A100-61,1))</f>
        <v>0</v>
      </c>
      <c r="BM100" s="29">
        <f>IF(OR($B100="",$A100&lt;=62),"",--MID('Key Analysis'!$C96,$A100-62,1))</f>
        <v>0</v>
      </c>
      <c r="BN100" s="29">
        <f>IF(OR($B100="",$A100&lt;=63),"",--MID('Key Analysis'!$C96,$A100-63,1))</f>
        <v>0</v>
      </c>
      <c r="BO100" s="29">
        <f>IF(OR($B100="",$A100&lt;=64),"",--MID('Key Analysis'!$C96,$A100-64,1))</f>
        <v>1</v>
      </c>
      <c r="BP100" s="29">
        <f>IF(OR($B100="",$A100&lt;=65),"",--MID('Key Analysis'!$C96,$A100-65,1))</f>
        <v>1</v>
      </c>
      <c r="BQ100" s="29">
        <f>IF(OR($B100="",$A100&lt;=66),"",--MID('Key Analysis'!$C96,$A100-66,1))</f>
        <v>0</v>
      </c>
      <c r="BR100" s="29">
        <f>IF(OR($B100="",$A100&lt;=67),"",--MID('Key Analysis'!$C96,$A100-67,1))</f>
        <v>1</v>
      </c>
      <c r="BS100" s="29">
        <f>IF(OR($B100="",$A100&lt;=68),"",--MID('Key Analysis'!$C96,$A100-68,1))</f>
        <v>0</v>
      </c>
      <c r="BT100" s="29">
        <f>IF(OR($B100="",$A100&lt;=69),"",--MID('Key Analysis'!$C96,$A100-69,1))</f>
        <v>1</v>
      </c>
      <c r="BU100" s="29">
        <f>IF(OR($B100="",$A100&lt;=70),"",--MID('Key Analysis'!$C96,$A100-70,1))</f>
        <v>0</v>
      </c>
      <c r="BV100" s="29">
        <f>IF(OR($B100="",$A100&lt;=71),"",--MID('Key Analysis'!$C96,$A100-71,1))</f>
        <v>0</v>
      </c>
      <c r="BW100" s="29">
        <f>IF(OR($B100="",$A100&lt;=72),"",--MID('Key Analysis'!$C96,$A100-72,1))</f>
        <v>1</v>
      </c>
      <c r="BX100" s="29">
        <f>IF(OR($B100="",$A100&lt;=73),"",--MID('Key Analysis'!$C96,$A100-73,1))</f>
        <v>0</v>
      </c>
      <c r="BY100" s="29">
        <f>IF(OR($B100="",$A100&lt;=74),"",--MID('Key Analysis'!$C96,$A100-74,1))</f>
        <v>0</v>
      </c>
      <c r="BZ100" s="29">
        <f>IF(OR($B100="",$A100&lt;=75),"",--MID('Key Analysis'!$C96,$A100-75,1))</f>
        <v>1</v>
      </c>
      <c r="CA100" s="29">
        <f>IF(OR($B100="",$A100&lt;=76),"",--MID('Key Analysis'!$C96,$A100-76,1))</f>
        <v>1</v>
      </c>
      <c r="CB100" s="29">
        <f>IF(OR($B100="",$A100&lt;=77),"",--MID('Key Analysis'!$C96,$A100-77,1))</f>
        <v>1</v>
      </c>
      <c r="CC100" s="29">
        <f>IF(OR($B100="",$A100&lt;=78),"",--MID('Key Analysis'!$C96,$A100-78,1))</f>
        <v>1</v>
      </c>
      <c r="CD100" s="29">
        <f>IF(OR($B100="",$A100&lt;=79),"",--MID('Key Analysis'!$C96,$A100-79,1))</f>
        <v>0</v>
      </c>
      <c r="CE100" s="29">
        <f>IF(OR($B100="",$A100&lt;=80),"",--MID('Key Analysis'!$C96,$A100-80,1))</f>
        <v>0</v>
      </c>
      <c r="CF100" s="29">
        <f>IF(OR($B100="",$A100&lt;=81),"",--MID('Key Analysis'!$C96,$A100-81,1))</f>
        <v>1</v>
      </c>
      <c r="CG100" s="29">
        <f>IF(OR($B100="",$A100&lt;=82),"",--MID('Key Analysis'!$C96,$A100-82,1))</f>
        <v>0</v>
      </c>
      <c r="CH100" s="29">
        <f>IF(OR($B100="",$A100&lt;=83),"",--MID('Key Analysis'!$C96,$A100-83,1))</f>
        <v>1</v>
      </c>
      <c r="CI100" s="29">
        <f>IF(OR($B100="",$A100&lt;=84),"",--MID('Key Analysis'!$C96,$A100-84,1))</f>
        <v>1</v>
      </c>
      <c r="CJ100" s="29">
        <f>IF(OR($B100="",$A100&lt;=85),"",--MID('Key Analysis'!$C96,$A100-85,1))</f>
        <v>1</v>
      </c>
      <c r="CK100" s="29">
        <f>IF(OR($B100="",$A100&lt;=86),"",--MID('Key Analysis'!$C96,$A100-86,1))</f>
        <v>1</v>
      </c>
      <c r="CL100" s="29">
        <f>IF(OR($B100="",$A100&lt;=87),"",--MID('Key Analysis'!$C96,$A100-87,1))</f>
        <v>0</v>
      </c>
      <c r="CM100" s="29">
        <f>IF(OR($B100="",$A100&lt;=88),"",--MID('Key Analysis'!$C96,$A100-88,1))</f>
        <v>0</v>
      </c>
      <c r="CN100" s="29">
        <f>IF(OR($B100="",$A100&lt;=89),"",--MID('Key Analysis'!$C96,$A100-89,1))</f>
        <v>1</v>
      </c>
      <c r="CO100" s="29">
        <f>IF(OR($B100="",$A100&lt;=90),"",--MID('Key Analysis'!$C96,$A100-90,1))</f>
        <v>0</v>
      </c>
      <c r="CP100" s="29">
        <f>IF(OR($B100="",$A100&lt;=91),"",--MID('Key Analysis'!$C96,$A100-91,1))</f>
        <v>0</v>
      </c>
      <c r="CQ100" s="29">
        <f>IF(OR($B100="",$A100&lt;=92),"",--MID('Key Analysis'!$C96,$A100-92,1))</f>
        <v>1</v>
      </c>
      <c r="CR100" s="29">
        <f>IF(OR($B100="",$A100&lt;=93),"",--MID('Key Analysis'!$C96,$A100-93,1))</f>
        <v>0</v>
      </c>
      <c r="CS100" s="29">
        <f>IF(OR($B100="",$A100&lt;=94),"",--MID('Key Analysis'!$C96,$A100-94,1))</f>
        <v>1</v>
      </c>
      <c r="CT100" s="29" t="str">
        <f>IF(OR($B100="",$A100&lt;=95),"",--MID('Key Analysis'!$C96,$A100-95,1))</f>
        <v/>
      </c>
      <c r="CU100" s="29" t="str">
        <f>IF(OR($B100="",$A100&lt;=96),"",--MID('Key Analysis'!$C96,$A100-96,1))</f>
        <v/>
      </c>
      <c r="CV100" s="29" t="str">
        <f>IF(OR($B100="",$A100&lt;=97),"",--MID('Key Analysis'!$C96,$A100-97,1))</f>
        <v/>
      </c>
      <c r="CW100" s="29" t="str">
        <f>IF(OR($B100="",$A100&lt;=98),"",--MID('Key Analysis'!$C96,$A100-98,1))</f>
        <v/>
      </c>
      <c r="CX100" s="29" t="str">
        <f>IF(OR($B100="",$A100&lt;=99),"",--MID('Key Analysis'!$C96,$A100-99,1))</f>
        <v/>
      </c>
      <c r="CY100" s="29" t="str">
        <f>IF(OR($B100="",$A100&lt;=100),"",--MID('Key Analysis'!$C96,$A100-100,1))</f>
        <v/>
      </c>
      <c r="CZ100" s="29" t="str">
        <f>IF(OR($B100="",$A100&lt;=101),"",--MID('Key Analysis'!$C96,$A100-101,1))</f>
        <v/>
      </c>
      <c r="DA100" s="29" t="str">
        <f>IF(OR($B100="",$A100&lt;=102),"",--MID('Key Analysis'!$C96,$A100-102,1))</f>
        <v/>
      </c>
      <c r="DB100" s="29" t="str">
        <f>IF(OR($B100="",$A100&lt;=103),"",--MID('Key Analysis'!$C96,$A100-103,1))</f>
        <v/>
      </c>
      <c r="DC100" s="29" t="str">
        <f>IF(OR($B100="",$A100&lt;=104),"",--MID('Key Analysis'!$C96,$A100-104,1))</f>
        <v/>
      </c>
      <c r="DD100" s="29" t="str">
        <f>IF(OR($B100="",$A100&lt;=105),"",--MID('Key Analysis'!$C96,$A100-105,1))</f>
        <v/>
      </c>
      <c r="DE100" s="29" t="str">
        <f>IF(OR($B100="",$A100&lt;=106),"",--MID('Key Analysis'!$C96,$A100-106,1))</f>
        <v/>
      </c>
      <c r="DF100" s="29" t="str">
        <f>IF(OR($B100="",$A100&lt;=107),"",--MID('Key Analysis'!$C96,$A100-107,1))</f>
        <v/>
      </c>
      <c r="DG100" s="29" t="str">
        <f>IF(OR($B100="",$A100&lt;=108),"",--MID('Key Analysis'!$C96,$A100-108,1))</f>
        <v/>
      </c>
      <c r="DH100" s="29" t="str">
        <f>IF(OR($B100="",$A100&lt;=109),"",--MID('Key Analysis'!$C96,$A100-109,1))</f>
        <v/>
      </c>
      <c r="DI100" s="29" t="str">
        <f>IF(OR($B100="",$A100&lt;=110),"",--MID('Key Analysis'!$C96,$A100-110,1))</f>
        <v/>
      </c>
      <c r="DJ100" s="29" t="str">
        <f>IF(OR($B100="",$A100&lt;=111),"",--MID('Key Analysis'!$C96,$A100-111,1))</f>
        <v/>
      </c>
      <c r="DK100" s="29" t="str">
        <f>IF(OR($B100="",$A100&lt;=112),"",--MID('Key Analysis'!$C96,$A100-112,1))</f>
        <v/>
      </c>
      <c r="DL100" s="29" t="str">
        <f>IF(OR($B100="",$A100&lt;=113),"",--MID('Key Analysis'!$C96,$A100-113,1))</f>
        <v/>
      </c>
      <c r="DM100" s="29" t="str">
        <f>IF(OR($B100="",$A100&lt;=114),"",--MID('Key Analysis'!$C96,$A100-114,1))</f>
        <v/>
      </c>
      <c r="DN100" s="29" t="str">
        <f>IF(OR($B100="",$A100&lt;=115),"",--MID('Key Analysis'!$C96,$A100-115,1))</f>
        <v/>
      </c>
      <c r="DO100" s="29" t="str">
        <f>IF(OR($B100="",$A100&lt;=116),"",--MID('Key Analysis'!$C96,$A100-116,1))</f>
        <v/>
      </c>
      <c r="DP100" s="29" t="str">
        <f>IF(OR($B100="",$A100&lt;=117),"",--MID('Key Analysis'!$C96,$A100-117,1))</f>
        <v/>
      </c>
      <c r="DQ100" s="29" t="str">
        <f>IF(OR($B100="",$A100&lt;=118),"",--MID('Key Analysis'!$C96,$A100-118,1))</f>
        <v/>
      </c>
      <c r="DR100" s="29" t="str">
        <f>IF(OR($B100="",$A100&lt;=119),"",--MID('Key Analysis'!$C96,$A100-119,1))</f>
        <v/>
      </c>
      <c r="DS100" s="29" t="str">
        <f>IF(OR($B100="",$A100&lt;=120),"",--MID('Key Analysis'!$C96,$A100-120,1))</f>
        <v/>
      </c>
      <c r="DT100" s="29" t="str">
        <f>IF(OR($B100="",$A100&lt;=121),"",--MID('Key Analysis'!$C96,$A100-121,1))</f>
        <v/>
      </c>
      <c r="DU100" s="29" t="str">
        <f>IF(OR($B100="",$A100&lt;=122),"",--MID('Key Analysis'!$C96,$A100-122,1))</f>
        <v/>
      </c>
      <c r="DV100" s="29" t="str">
        <f>IF(OR($B100="",$A100&lt;=123),"",--MID('Key Analysis'!$C96,$A100-123,1))</f>
        <v/>
      </c>
      <c r="DW100" s="29" t="str">
        <f>IF(OR($B100="",$A100&lt;=124),"",--MID('Key Analysis'!$C96,$A100-124,1))</f>
        <v/>
      </c>
      <c r="DX100" s="29" t="str">
        <f>IF(OR($B100="",$A100&lt;=125),"",--MID('Key Analysis'!$C96,$A100-125,1))</f>
        <v/>
      </c>
      <c r="DY100" s="29" t="str">
        <f>IF(OR($B100="",$A100&lt;=126),"",--MID('Key Analysis'!$C96,$A100-126,1))</f>
        <v/>
      </c>
      <c r="DZ100" s="29" t="str">
        <f>IF(OR($B100="",$A100&lt;=127),"",--MID('Key Analysis'!$C96,$A100-127,1))</f>
        <v/>
      </c>
      <c r="EA100" s="29" t="str">
        <f>IF(OR($B100="",$A100&lt;=128),"",--MID('Key Analysis'!$C96,$A100-128,1))</f>
        <v/>
      </c>
      <c r="EB100" s="29" t="str">
        <f>IF(OR($B100="",$A100&lt;=129),"",--MID('Key Analysis'!$C96,$A100-129,1))</f>
        <v/>
      </c>
      <c r="EC100" s="29" t="str">
        <f>IF(OR($B100="",$A100&lt;=130),"",--MID('Key Analysis'!$C96,$A100-130,1))</f>
        <v/>
      </c>
      <c r="ED100" s="29" t="str">
        <f>IF(OR($B100="",$A100&lt;=131),"",--MID('Key Analysis'!$C96,$A100-131,1))</f>
        <v/>
      </c>
      <c r="EE100" s="29" t="str">
        <f>IF(OR($B100="",$A100&lt;=132),"",--MID('Key Analysis'!$C96,$A100-132,1))</f>
        <v/>
      </c>
      <c r="EF100" s="29" t="str">
        <f>IF(OR($B100="",$A100&lt;=133),"",--MID('Key Analysis'!$C96,$A100-133,1))</f>
        <v/>
      </c>
      <c r="EG100" s="29" t="str">
        <f>IF(OR($B100="",$A100&lt;=134),"",--MID('Key Analysis'!$C96,$A100-134,1))</f>
        <v/>
      </c>
      <c r="EH100" s="29"/>
      <c r="EI100" s="29">
        <f>IF(OR($B100="",$A100&lt;1),"",--MID('Key Analysis'!$C96,1,1))</f>
        <v>1</v>
      </c>
      <c r="EJ100" s="29">
        <f>IF(OR($B100="",$A100&lt;2),"",--MID('Key Analysis'!$C96,2,1))</f>
        <v>0</v>
      </c>
      <c r="EK100" s="29">
        <f>IF(OR($B100="",$A100&lt;3),"",--MID('Key Analysis'!$C96,3,1))</f>
        <v>1</v>
      </c>
      <c r="EL100" s="29">
        <f>IF(OR($B100="",$A100&lt;4),"",--MID('Key Analysis'!$C96,4,1))</f>
        <v>0</v>
      </c>
      <c r="EM100" s="29">
        <f>IF(OR($B100="",$A100&lt;5),"",--MID('Key Analysis'!$C96,5,1))</f>
        <v>0</v>
      </c>
      <c r="EN100" s="29">
        <f>IF(OR($B100="",$A100&lt;6),"",--MID('Key Analysis'!$C96,6,1))</f>
        <v>1</v>
      </c>
      <c r="EO100" s="29">
        <f>IF(OR($B100="",$A100&lt;7),"",--MID('Key Analysis'!$C96,7,1))</f>
        <v>0</v>
      </c>
      <c r="EP100" s="29">
        <f>IF(OR($B100="",$A100&lt;8),"",--MID('Key Analysis'!$C96,8,1))</f>
        <v>0</v>
      </c>
      <c r="EQ100" s="29">
        <f>IF(OR($B100="",$A100&lt;9),"",--MID('Key Analysis'!$C96,9,1))</f>
        <v>1</v>
      </c>
      <c r="ER100" s="29">
        <f>IF(OR($B100="",$A100&lt;10),"",--MID('Key Analysis'!$C96,10,1))</f>
        <v>1</v>
      </c>
      <c r="ES100" s="29">
        <f>IF(OR($B100="",$A100&lt;11),"",--MID('Key Analysis'!$C96,11,1))</f>
        <v>1</v>
      </c>
      <c r="ET100" s="29">
        <f>IF(OR($B100="",$A100&lt;12),"",--MID('Key Analysis'!$C96,12,1))</f>
        <v>1</v>
      </c>
      <c r="EU100" s="29">
        <f>IF(OR($B100="",$A100&lt;13),"",--MID('Key Analysis'!$C96,13,1))</f>
        <v>0</v>
      </c>
      <c r="EV100" s="29">
        <f>IF(OR($B100="",$A100&lt;14),"",--MID('Key Analysis'!$C96,14,1))</f>
        <v>1</v>
      </c>
      <c r="EW100" s="29">
        <f>IF(OR($B100="",$A100&lt;15),"",--MID('Key Analysis'!$C96,15,1))</f>
        <v>0</v>
      </c>
      <c r="EX100" s="29">
        <f>IF(OR($B100="",$A100&lt;16),"",--MID('Key Analysis'!$C96,16,1))</f>
        <v>0</v>
      </c>
      <c r="EY100" s="29">
        <f>IF(OR($B100="",$A100&lt;17),"",--MID('Key Analysis'!$C96,17,1))</f>
        <v>1</v>
      </c>
      <c r="EZ100" s="29">
        <f>IF(OR($B100="",$A100&lt;18),"",--MID('Key Analysis'!$C96,18,1))</f>
        <v>1</v>
      </c>
      <c r="FA100" s="29">
        <f>IF(OR($B100="",$A100&lt;19),"",--MID('Key Analysis'!$C96,19,1))</f>
        <v>1</v>
      </c>
      <c r="FB100" s="29">
        <f>IF(OR($B100="",$A100&lt;20),"",--MID('Key Analysis'!$C96,20,1))</f>
        <v>1</v>
      </c>
      <c r="FC100" s="29">
        <f>IF(OR($B100="",$A100&lt;21),"",--MID('Key Analysis'!$C96,21,1))</f>
        <v>0</v>
      </c>
      <c r="FD100" s="29">
        <f>IF(OR($B100="",$A100&lt;22),"",--MID('Key Analysis'!$C96,22,1))</f>
        <v>0</v>
      </c>
      <c r="FE100" s="29">
        <f>IF(OR($B100="",$A100&lt;23),"",--MID('Key Analysis'!$C96,23,1))</f>
        <v>1</v>
      </c>
      <c r="FF100" s="29">
        <f>IF(OR($B100="",$A100&lt;24),"",--MID('Key Analysis'!$C96,24,1))</f>
        <v>0</v>
      </c>
      <c r="FG100" s="29">
        <f>IF(OR($B100="",$A100&lt;25),"",--MID('Key Analysis'!$C96,25,1))</f>
        <v>0</v>
      </c>
      <c r="FH100" s="29">
        <f>IF(OR($B100="",$A100&lt;26),"",--MID('Key Analysis'!$C96,26,1))</f>
        <v>1</v>
      </c>
      <c r="FI100" s="29">
        <f>IF(OR($B100="",$A100&lt;27),"",--MID('Key Analysis'!$C96,27,1))</f>
        <v>0</v>
      </c>
      <c r="FJ100" s="29">
        <f>IF(OR($B100="",$A100&lt;28),"",--MID('Key Analysis'!$C96,28,1))</f>
        <v>1</v>
      </c>
      <c r="FK100" s="29">
        <f>IF(OR($B100="",$A100&lt;29),"",--MID('Key Analysis'!$C96,29,1))</f>
        <v>0</v>
      </c>
      <c r="FL100" s="29">
        <f>IF(OR($B100="",$A100&lt;30),"",--MID('Key Analysis'!$C96,30,1))</f>
        <v>1</v>
      </c>
      <c r="FM100" s="29">
        <f>IF(OR($B100="",$A100&lt;31),"",--MID('Key Analysis'!$C96,31,1))</f>
        <v>1</v>
      </c>
      <c r="FN100" s="29">
        <f>IF(OR($B100="",$A100&lt;32),"",--MID('Key Analysis'!$C96,32,1))</f>
        <v>0</v>
      </c>
      <c r="FO100" s="29">
        <f>IF(OR($B100="",$A100&lt;33),"",--MID('Key Analysis'!$C96,33,1))</f>
        <v>0</v>
      </c>
      <c r="FP100" s="29">
        <f>IF(OR($B100="",$A100&lt;34),"",--MID('Key Analysis'!$C96,34,1))</f>
        <v>0</v>
      </c>
      <c r="FQ100" s="29">
        <f>IF(OR($B100="",$A100&lt;35),"",--MID('Key Analysis'!$C96,35,1))</f>
        <v>1</v>
      </c>
      <c r="FR100" s="29">
        <f>IF(OR($B100="",$A100&lt;36),"",--MID('Key Analysis'!$C96,36,1))</f>
        <v>1</v>
      </c>
      <c r="FS100" s="29">
        <f>IF(OR($B100="",$A100&lt;37),"",--MID('Key Analysis'!$C96,37,1))</f>
        <v>0</v>
      </c>
      <c r="FT100" s="29">
        <f>IF(OR($B100="",$A100&lt;38),"",--MID('Key Analysis'!$C96,38,1))</f>
        <v>0</v>
      </c>
      <c r="FU100" s="29">
        <f>IF(OR($B100="",$A100&lt;39),"",--MID('Key Analysis'!$C96,39,1))</f>
        <v>0</v>
      </c>
      <c r="FV100" s="29">
        <f>IF(OR($B100="",$A100&lt;40),"",--MID('Key Analysis'!$C96,40,1))</f>
        <v>0</v>
      </c>
      <c r="FW100" s="29">
        <f>IF(OR($B100="",$A100&lt;41),"",--MID('Key Analysis'!$C96,41,1))</f>
        <v>0</v>
      </c>
      <c r="FX100" s="29">
        <f>IF(OR($B100="",$A100&lt;42),"",--MID('Key Analysis'!$C96,42,1))</f>
        <v>1</v>
      </c>
      <c r="FY100" s="29">
        <f>IF(OR($B100="",$A100&lt;43),"",--MID('Key Analysis'!$C96,43,1))</f>
        <v>1</v>
      </c>
      <c r="FZ100" s="29">
        <f>IF(OR($B100="",$A100&lt;44),"",--MID('Key Analysis'!$C96,44,1))</f>
        <v>1</v>
      </c>
      <c r="GA100" s="29">
        <f>IF(OR($B100="",$A100&lt;45),"",--MID('Key Analysis'!$C96,45,1))</f>
        <v>1</v>
      </c>
      <c r="GB100" s="29">
        <f>IF(OR($B100="",$A100&lt;46),"",--MID('Key Analysis'!$C96,46,1))</f>
        <v>0</v>
      </c>
      <c r="GC100" s="29">
        <f>IF(OR($B100="",$A100&lt;47),"",--MID('Key Analysis'!$C96,47,1))</f>
        <v>0</v>
      </c>
      <c r="GD100" s="29">
        <f>IF(OR($B100="",$A100&lt;48),"",--MID('Key Analysis'!$C96,48,1))</f>
        <v>0</v>
      </c>
      <c r="GE100" s="29">
        <f>IF(OR($B100="",$A100&lt;49),"",--MID('Key Analysis'!$C96,49,1))</f>
        <v>1</v>
      </c>
      <c r="GF100" s="29">
        <f>IF(OR($B100="",$A100&lt;50),"",--MID('Key Analysis'!$C96,50,1))</f>
        <v>1</v>
      </c>
      <c r="GG100" s="29">
        <f>IF(OR($B100="",$A100&lt;51),"",--MID('Key Analysis'!$C96,51,1))</f>
        <v>1</v>
      </c>
      <c r="GH100" s="29">
        <f>IF(OR($B100="",$A100&lt;52),"",--MID('Key Analysis'!$C96,52,1))</f>
        <v>1</v>
      </c>
      <c r="GI100" s="29">
        <f>IF(OR($B100="",$A100&lt;53),"",--MID('Key Analysis'!$C96,53,1))</f>
        <v>1</v>
      </c>
      <c r="GJ100" s="29">
        <f>IF(OR($B100="",$A100&lt;54),"",--MID('Key Analysis'!$C96,54,1))</f>
        <v>1</v>
      </c>
      <c r="GK100" s="29">
        <f>IF(OR($B100="",$A100&lt;55),"",--MID('Key Analysis'!$C96,55,1))</f>
        <v>1</v>
      </c>
      <c r="GL100" s="29">
        <f>IF(OR($B100="",$A100&lt;56),"",--MID('Key Analysis'!$C96,56,1))</f>
        <v>0</v>
      </c>
      <c r="GM100" s="29">
        <f>IF(OR($B100="",$A100&lt;57),"",--MID('Key Analysis'!$C96,57,1))</f>
        <v>1</v>
      </c>
      <c r="GN100" s="29">
        <f>IF(OR($B100="",$A100&lt;58),"",--MID('Key Analysis'!$C96,58,1))</f>
        <v>1</v>
      </c>
      <c r="GO100" s="29">
        <f>IF(OR($B100="",$A100&lt;59),"",--MID('Key Analysis'!$C96,59,1))</f>
        <v>0</v>
      </c>
      <c r="GP100" s="29">
        <f>IF(OR($B100="",$A100&lt;60),"",--MID('Key Analysis'!$C96,60,1))</f>
        <v>0</v>
      </c>
      <c r="GQ100" s="29">
        <f>IF(OR($B100="",$A100&lt;61),"",--MID('Key Analysis'!$C96,61,1))</f>
        <v>1</v>
      </c>
      <c r="GR100" s="29">
        <f>IF(OR($B100="",$A100&lt;62),"",--MID('Key Analysis'!$C96,62,1))</f>
        <v>0</v>
      </c>
      <c r="GS100" s="29">
        <f>IF(OR($B100="",$A100&lt;63),"",--MID('Key Analysis'!$C96,63,1))</f>
        <v>0</v>
      </c>
      <c r="GT100" s="29">
        <f>IF(OR($B100="",$A100&lt;64),"",--MID('Key Analysis'!$C96,64,1))</f>
        <v>1</v>
      </c>
      <c r="GU100" s="29">
        <f>IF(OR($B100="",$A100&lt;65),"",--MID('Key Analysis'!$C96,65,1))</f>
        <v>0</v>
      </c>
      <c r="GV100" s="29">
        <f>IF(OR($B100="",$A100&lt;66),"",--MID('Key Analysis'!$C96,66,1))</f>
        <v>1</v>
      </c>
      <c r="GW100" s="29">
        <f>IF(OR($B100="",$A100&lt;67),"",--MID('Key Analysis'!$C96,67,1))</f>
        <v>0</v>
      </c>
      <c r="GX100" s="29">
        <f>IF(OR($B100="",$A100&lt;68),"",--MID('Key Analysis'!$C96,68,1))</f>
        <v>0</v>
      </c>
      <c r="GY100" s="29">
        <f>IF(OR($B100="",$A100&lt;69),"",--MID('Key Analysis'!$C96,69,1))</f>
        <v>0</v>
      </c>
      <c r="GZ100" s="29">
        <f>IF(OR($B100="",$A100&lt;70),"",--MID('Key Analysis'!$C96,70,1))</f>
        <v>0</v>
      </c>
      <c r="HA100" s="29">
        <f>IF(OR($B100="",$A100&lt;71),"",--MID('Key Analysis'!$C96,71,1))</f>
        <v>0</v>
      </c>
      <c r="HB100" s="29">
        <f>IF(OR($B100="",$A100&lt;72),"",--MID('Key Analysis'!$C96,72,1))</f>
        <v>1</v>
      </c>
      <c r="HC100" s="29">
        <f>IF(OR($B100="",$A100&lt;73),"",--MID('Key Analysis'!$C96,73,1))</f>
        <v>1</v>
      </c>
      <c r="HD100" s="29">
        <f>IF(OR($B100="",$A100&lt;74),"",--MID('Key Analysis'!$C96,74,1))</f>
        <v>1</v>
      </c>
      <c r="HE100" s="29">
        <f>IF(OR($B100="",$A100&lt;75),"",--MID('Key Analysis'!$C96,75,1))</f>
        <v>0</v>
      </c>
      <c r="HF100" s="29">
        <f>IF(OR($B100="",$A100&lt;76),"",--MID('Key Analysis'!$C96,76,1))</f>
        <v>1</v>
      </c>
      <c r="HG100" s="29">
        <f>IF(OR($B100="",$A100&lt;77),"",--MID('Key Analysis'!$C96,77,1))</f>
        <v>0</v>
      </c>
      <c r="HH100" s="29">
        <f>IF(OR($B100="",$A100&lt;78),"",--MID('Key Analysis'!$C96,78,1))</f>
        <v>0</v>
      </c>
      <c r="HI100" s="29">
        <f>IF(OR($B100="",$A100&lt;79),"",--MID('Key Analysis'!$C96,79,1))</f>
        <v>0</v>
      </c>
      <c r="HJ100" s="29">
        <f>IF(OR($B100="",$A100&lt;80),"",--MID('Key Analysis'!$C96,80,1))</f>
        <v>1</v>
      </c>
      <c r="HK100" s="29">
        <f>IF(OR($B100="",$A100&lt;81),"",--MID('Key Analysis'!$C96,81,1))</f>
        <v>0</v>
      </c>
      <c r="HL100" s="29">
        <f>IF(OR($B100="",$A100&lt;82),"",--MID('Key Analysis'!$C96,82,1))</f>
        <v>1</v>
      </c>
      <c r="HM100" s="29">
        <f>IF(OR($B100="",$A100&lt;83),"",--MID('Key Analysis'!$C96,83,1))</f>
        <v>1</v>
      </c>
      <c r="HN100" s="29">
        <f>IF(OR($B100="",$A100&lt;84),"",--MID('Key Analysis'!$C96,84,1))</f>
        <v>0</v>
      </c>
      <c r="HO100" s="29">
        <f>IF(OR($B100="",$A100&lt;85),"",--MID('Key Analysis'!$C96,85,1))</f>
        <v>0</v>
      </c>
      <c r="HP100" s="29">
        <f>IF(OR($B100="",$A100&lt;86),"",--MID('Key Analysis'!$C96,86,1))</f>
        <v>0</v>
      </c>
      <c r="HQ100" s="29">
        <f>IF(OR($B100="",$A100&lt;87),"",--MID('Key Analysis'!$C96,87,1))</f>
        <v>1</v>
      </c>
      <c r="HR100" s="29">
        <f>IF(OR($B100="",$A100&lt;88),"",--MID('Key Analysis'!$C96,88,1))</f>
        <v>1</v>
      </c>
      <c r="HS100" s="29">
        <f>IF(OR($B100="",$A100&lt;89),"",--MID('Key Analysis'!$C96,89,1))</f>
        <v>1</v>
      </c>
      <c r="HT100" s="29">
        <f>IF(OR($B100="",$A100&lt;90),"",--MID('Key Analysis'!$C96,90,1))</f>
        <v>1</v>
      </c>
      <c r="HU100" s="29">
        <f>IF(OR($B100="",$A100&lt;91),"",--MID('Key Analysis'!$C96,91,1))</f>
        <v>1</v>
      </c>
      <c r="HV100" s="29">
        <f>IF(OR($B100="",$A100&lt;92),"",--MID('Key Analysis'!$C96,92,1))</f>
        <v>0</v>
      </c>
      <c r="HW100" s="29">
        <f>IF(OR($B100="",$A100&lt;93),"",--MID('Key Analysis'!$C96,93,1))</f>
        <v>1</v>
      </c>
      <c r="HX100" s="29">
        <f>IF(OR($B100="",$A100&lt;94),"",--MID('Key Analysis'!$C96,94,1))</f>
        <v>0</v>
      </c>
      <c r="HY100" s="29">
        <f>IF(OR($B100="",$A100&lt;95),"",--MID('Key Analysis'!$C96,95,1))</f>
        <v>0</v>
      </c>
      <c r="HZ100" s="29" t="str">
        <f>IF(OR($B100="",$A100&lt;96),"",--MID('Key Analysis'!$C96,96,1))</f>
        <v/>
      </c>
      <c r="IA100" s="29" t="str">
        <f>IF(OR($B100="",$A100&lt;97),"",--MID('Key Analysis'!$C96,97,1))</f>
        <v/>
      </c>
      <c r="IB100" s="29" t="str">
        <f>IF(OR($B100="",$A100&lt;98),"",--MID('Key Analysis'!$C96,98,1))</f>
        <v/>
      </c>
      <c r="IC100" s="29" t="str">
        <f>IF(OR($B100="",$A100&lt;99),"",--MID('Key Analysis'!$C96,99,1))</f>
        <v/>
      </c>
      <c r="ID100" s="29" t="str">
        <f>IF(OR($B100="",$A100&lt;100),"",--MID('Key Analysis'!$C96,100,1))</f>
        <v/>
      </c>
      <c r="IE100" s="29" t="str">
        <f>IF(OR($B100="",$A100&lt;101),"",--MID('Key Analysis'!$C96,101,1))</f>
        <v/>
      </c>
      <c r="IF100" s="29" t="str">
        <f>IF(OR($B100="",$A100&lt;102),"",--MID('Key Analysis'!$C96,102,1))</f>
        <v/>
      </c>
      <c r="IG100" s="29" t="str">
        <f>IF(OR($B100="",$A100&lt;103),"",--MID('Key Analysis'!$C96,103,1))</f>
        <v/>
      </c>
      <c r="IH100" s="29" t="str">
        <f>IF(OR($B100="",$A100&lt;104),"",--MID('Key Analysis'!$C96,104,1))</f>
        <v/>
      </c>
      <c r="II100" s="29" t="str">
        <f>IF(OR($B100="",$A100&lt;105),"",--MID('Key Analysis'!$C96,105,1))</f>
        <v/>
      </c>
      <c r="IJ100" s="29" t="str">
        <f>IF(OR($B100="",$A100&lt;106),"",--MID('Key Analysis'!$C96,106,1))</f>
        <v/>
      </c>
      <c r="IK100" s="29" t="str">
        <f>IF(OR($B100="",$A100&lt;107),"",--MID('Key Analysis'!$C96,107,1))</f>
        <v/>
      </c>
      <c r="IL100" s="29" t="str">
        <f>IF(OR($B100="",$A100&lt;108),"",--MID('Key Analysis'!$C96,108,1))</f>
        <v/>
      </c>
      <c r="IM100" s="29" t="str">
        <f>IF(OR($B100="",$A100&lt;109),"",--MID('Key Analysis'!$C96,109,1))</f>
        <v/>
      </c>
      <c r="IN100" s="29" t="str">
        <f>IF(OR($B100="",$A100&lt;110),"",--MID('Key Analysis'!$C96,110,1))</f>
        <v/>
      </c>
      <c r="IO100" s="29" t="str">
        <f>IF(OR($B100="",$A100&lt;111),"",--MID('Key Analysis'!$C96,111,1))</f>
        <v/>
      </c>
      <c r="IP100" s="29" t="str">
        <f>IF(OR($B100="",$A100&lt;112),"",--MID('Key Analysis'!$C96,112,1))</f>
        <v/>
      </c>
      <c r="IQ100" s="29" t="str">
        <f>IF(OR($B100="",$A100&lt;113),"",--MID('Key Analysis'!$C96,113,1))</f>
        <v/>
      </c>
      <c r="IR100" s="29" t="str">
        <f>IF(OR($B100="",$A100&lt;114),"",--MID('Key Analysis'!$C96,114,1))</f>
        <v/>
      </c>
      <c r="IS100" s="29" t="str">
        <f>IF(OR($B100="",$A100&lt;115),"",--MID('Key Analysis'!$C96,115,1))</f>
        <v/>
      </c>
      <c r="IT100" s="29" t="str">
        <f>IF(OR($B100="",$A100&lt;116),"",--MID('Key Analysis'!$C96,116,1))</f>
        <v/>
      </c>
      <c r="IU100" s="29" t="str">
        <f>IF(OR($B100="",$A100&lt;117),"",--MID('Key Analysis'!$C96,117,1))</f>
        <v/>
      </c>
      <c r="IV100" s="29" t="str">
        <f>IF(OR($B100="",$A100&lt;118),"",--MID('Key Analysis'!$C96,118,1))</f>
        <v/>
      </c>
      <c r="IW100" s="29" t="str">
        <f>IF(OR($B100="",$A100&lt;119),"",--MID('Key Analysis'!$C96,119,1))</f>
        <v/>
      </c>
      <c r="IX100" s="29" t="str">
        <f>IF(OR($B100="",$A100&lt;120),"",--MID('Key Analysis'!$C96,120,1))</f>
        <v/>
      </c>
      <c r="IY100" s="29" t="str">
        <f>IF(OR($B100="",$A100&lt;121),"",--MID('Key Analysis'!$C96,121,1))</f>
        <v/>
      </c>
      <c r="IZ100" s="29" t="str">
        <f>IF(OR($B100="",$A100&lt;122),"",--MID('Key Analysis'!$C96,122,1))</f>
        <v/>
      </c>
      <c r="JA100" s="29" t="str">
        <f>IF(OR($B100="",$A100&lt;123),"",--MID('Key Analysis'!$C96,123,1))</f>
        <v/>
      </c>
      <c r="JB100" s="29" t="str">
        <f>IF(OR($B100="",$A100&lt;124),"",--MID('Key Analysis'!$C96,124,1))</f>
        <v/>
      </c>
      <c r="JC100" s="29" t="str">
        <f>IF(OR($B100="",$A100&lt;125),"",--MID('Key Analysis'!$C96,125,1))</f>
        <v/>
      </c>
      <c r="JD100" s="29" t="str">
        <f>IF(OR($B100="",$A100&lt;126),"",--MID('Key Analysis'!$C96,126,1))</f>
        <v/>
      </c>
      <c r="JE100" s="29" t="str">
        <f>IF(OR($B100="",$A100&lt;127),"",--MID('Key Analysis'!$C96,127,1))</f>
        <v/>
      </c>
      <c r="JF100" s="29" t="str">
        <f>IF(OR($B100="",$A100&lt;128),"",--MID('Key Analysis'!$C96,128,1))</f>
        <v/>
      </c>
      <c r="JG100" s="29" t="str">
        <f>IF(OR($B100="",$A100&lt;129),"",--MID('Key Analysis'!$C96,129,1))</f>
        <v/>
      </c>
      <c r="JH100" s="29" t="str">
        <f>IF(OR($B100="",$A100&lt;130),"",--MID('Key Analysis'!$C96,130,1))</f>
        <v/>
      </c>
      <c r="JI100" s="29" t="str">
        <f>IF(OR($B100="",$A100&lt;131),"",--MID('Key Analysis'!$C96,131,1))</f>
        <v/>
      </c>
      <c r="JJ100" s="29" t="str">
        <f>IF(OR($B100="",$A100&lt;132),"",--MID('Key Analysis'!$C96,132,1))</f>
        <v/>
      </c>
      <c r="JK100" s="29" t="str">
        <f>IF(OR($B100="",$A100&lt;133),"",--MID('Key Analysis'!$C96,133,1))</f>
        <v/>
      </c>
      <c r="JL100" s="29" t="str">
        <f>IF(OR($B100="",$A100&lt;134),"",--MID('Key Analysis'!$C96,134,1))</f>
        <v/>
      </c>
      <c r="JM100" s="29" t="str">
        <f>IF(OR($B100="",$A100&lt;135),"",--MID('Key Analysis'!$C96,135,1))</f>
        <v/>
      </c>
    </row>
    <row r="101" spans="1:273" x14ac:dyDescent="0.25">
      <c r="A101" s="21">
        <f>'Key Analysis'!A97</f>
        <v>96</v>
      </c>
      <c r="B101" s="30" t="str">
        <f>'Key Analysis'!B97</f>
        <v/>
      </c>
      <c r="C101" s="29" t="str">
        <f>IF(OR($B101="",$A101&lt;=0),"",--MID('Key Analysis'!$C97,$A101-0,1))</f>
        <v/>
      </c>
      <c r="D101" s="29" t="str">
        <f>IF(OR($B101="",$A101&lt;=1),"",--MID('Key Analysis'!$C97,$A101-1,1))</f>
        <v/>
      </c>
      <c r="E101" s="29" t="str">
        <f>IF(OR($B101="",$A101&lt;=2),"",--MID('Key Analysis'!$C97,$A101-2,1))</f>
        <v/>
      </c>
      <c r="F101" s="29" t="str">
        <f>IF(OR($B101="",$A101&lt;=3),"",--MID('Key Analysis'!$C97,$A101-3,1))</f>
        <v/>
      </c>
      <c r="G101" s="29" t="str">
        <f>IF(OR($B101="",$A101&lt;=4),"",--MID('Key Analysis'!$C97,$A101-4,1))</f>
        <v/>
      </c>
      <c r="H101" s="29" t="str">
        <f>IF(OR($B101="",$A101&lt;=5),"",--MID('Key Analysis'!$C97,$A101-5,1))</f>
        <v/>
      </c>
      <c r="I101" s="29" t="str">
        <f>IF(OR($B101="",$A101&lt;=6),"",--MID('Key Analysis'!$C97,$A101-6,1))</f>
        <v/>
      </c>
      <c r="J101" s="29" t="str">
        <f>IF(OR($B101="",$A101&lt;=7),"",--MID('Key Analysis'!$C97,$A101-7,1))</f>
        <v/>
      </c>
      <c r="K101" s="29" t="str">
        <f>IF(OR($B101="",$A101&lt;=8),"",--MID('Key Analysis'!$C97,$A101-8,1))</f>
        <v/>
      </c>
      <c r="L101" s="29" t="str">
        <f>IF(OR($B101="",$A101&lt;=9),"",--MID('Key Analysis'!$C97,$A101-9,1))</f>
        <v/>
      </c>
      <c r="M101" s="29" t="str">
        <f>IF(OR($B101="",$A101&lt;=10),"",--MID('Key Analysis'!$C97,$A101-10,1))</f>
        <v/>
      </c>
      <c r="N101" s="29" t="str">
        <f>IF(OR($B101="",$A101&lt;=11),"",--MID('Key Analysis'!$C97,$A101-11,1))</f>
        <v/>
      </c>
      <c r="O101" s="29" t="str">
        <f>IF(OR($B101="",$A101&lt;=12),"",--MID('Key Analysis'!$C97,$A101-12,1))</f>
        <v/>
      </c>
      <c r="P101" s="29" t="str">
        <f>IF(OR($B101="",$A101&lt;=13),"",--MID('Key Analysis'!$C97,$A101-13,1))</f>
        <v/>
      </c>
      <c r="Q101" s="29" t="str">
        <f>IF(OR($B101="",$A101&lt;=14),"",--MID('Key Analysis'!$C97,$A101-14,1))</f>
        <v/>
      </c>
      <c r="R101" s="29" t="str">
        <f>IF(OR($B101="",$A101&lt;=15),"",--MID('Key Analysis'!$C97,$A101-15,1))</f>
        <v/>
      </c>
      <c r="S101" s="29" t="str">
        <f>IF(OR($B101="",$A101&lt;=16),"",--MID('Key Analysis'!$C97,$A101-16,1))</f>
        <v/>
      </c>
      <c r="T101" s="29" t="str">
        <f>IF(OR($B101="",$A101&lt;=17),"",--MID('Key Analysis'!$C97,$A101-17,1))</f>
        <v/>
      </c>
      <c r="U101" s="29" t="str">
        <f>IF(OR($B101="",$A101&lt;=18),"",--MID('Key Analysis'!$C97,$A101-18,1))</f>
        <v/>
      </c>
      <c r="V101" s="29" t="str">
        <f>IF(OR($B101="",$A101&lt;=19),"",--MID('Key Analysis'!$C97,$A101-19,1))</f>
        <v/>
      </c>
      <c r="W101" s="29" t="str">
        <f>IF(OR($B101="",$A101&lt;=20),"",--MID('Key Analysis'!$C97,$A101-20,1))</f>
        <v/>
      </c>
      <c r="X101" s="29" t="str">
        <f>IF(OR($B101="",$A101&lt;=21),"",--MID('Key Analysis'!$C97,$A101-21,1))</f>
        <v/>
      </c>
      <c r="Y101" s="29" t="str">
        <f>IF(OR($B101="",$A101&lt;=22),"",--MID('Key Analysis'!$C97,$A101-22,1))</f>
        <v/>
      </c>
      <c r="Z101" s="29" t="str">
        <f>IF(OR($B101="",$A101&lt;=23),"",--MID('Key Analysis'!$C97,$A101-23,1))</f>
        <v/>
      </c>
      <c r="AA101" s="29" t="str">
        <f>IF(OR($B101="",$A101&lt;=24),"",--MID('Key Analysis'!$C97,$A101-24,1))</f>
        <v/>
      </c>
      <c r="AB101" s="29" t="str">
        <f>IF(OR($B101="",$A101&lt;=25),"",--MID('Key Analysis'!$C97,$A101-25,1))</f>
        <v/>
      </c>
      <c r="AC101" s="29" t="str">
        <f>IF(OR($B101="",$A101&lt;=26),"",--MID('Key Analysis'!$C97,$A101-26,1))</f>
        <v/>
      </c>
      <c r="AD101" s="29" t="str">
        <f>IF(OR($B101="",$A101&lt;=27),"",--MID('Key Analysis'!$C97,$A101-27,1))</f>
        <v/>
      </c>
      <c r="AE101" s="29" t="str">
        <f>IF(OR($B101="",$A101&lt;=28),"",--MID('Key Analysis'!$C97,$A101-28,1))</f>
        <v/>
      </c>
      <c r="AF101" s="29" t="str">
        <f>IF(OR($B101="",$A101&lt;=29),"",--MID('Key Analysis'!$C97,$A101-29,1))</f>
        <v/>
      </c>
      <c r="AG101" s="29" t="str">
        <f>IF(OR($B101="",$A101&lt;=30),"",--MID('Key Analysis'!$C97,$A101-30,1))</f>
        <v/>
      </c>
      <c r="AH101" s="29" t="str">
        <f>IF(OR($B101="",$A101&lt;=31),"",--MID('Key Analysis'!$C97,$A101-31,1))</f>
        <v/>
      </c>
      <c r="AI101" s="29" t="str">
        <f>IF(OR($B101="",$A101&lt;=32),"",--MID('Key Analysis'!$C97,$A101-32,1))</f>
        <v/>
      </c>
      <c r="AJ101" s="29" t="str">
        <f>IF(OR($B101="",$A101&lt;=33),"",--MID('Key Analysis'!$C97,$A101-33,1))</f>
        <v/>
      </c>
      <c r="AK101" s="29" t="str">
        <f>IF(OR($B101="",$A101&lt;=34),"",--MID('Key Analysis'!$C97,$A101-34,1))</f>
        <v/>
      </c>
      <c r="AL101" s="29" t="str">
        <f>IF(OR($B101="",$A101&lt;=35),"",--MID('Key Analysis'!$C97,$A101-35,1))</f>
        <v/>
      </c>
      <c r="AM101" s="29" t="str">
        <f>IF(OR($B101="",$A101&lt;=36),"",--MID('Key Analysis'!$C97,$A101-36,1))</f>
        <v/>
      </c>
      <c r="AN101" s="29" t="str">
        <f>IF(OR($B101="",$A101&lt;=37),"",--MID('Key Analysis'!$C97,$A101-37,1))</f>
        <v/>
      </c>
      <c r="AO101" s="29" t="str">
        <f>IF(OR($B101="",$A101&lt;=38),"",--MID('Key Analysis'!$C97,$A101-38,1))</f>
        <v/>
      </c>
      <c r="AP101" s="29" t="str">
        <f>IF(OR($B101="",$A101&lt;=39),"",--MID('Key Analysis'!$C97,$A101-39,1))</f>
        <v/>
      </c>
      <c r="AQ101" s="29" t="str">
        <f>IF(OR($B101="",$A101&lt;=40),"",--MID('Key Analysis'!$C97,$A101-40,1))</f>
        <v/>
      </c>
      <c r="AR101" s="29" t="str">
        <f>IF(OR($B101="",$A101&lt;=41),"",--MID('Key Analysis'!$C97,$A101-41,1))</f>
        <v/>
      </c>
      <c r="AS101" s="29" t="str">
        <f>IF(OR($B101="",$A101&lt;=42),"",--MID('Key Analysis'!$C97,$A101-42,1))</f>
        <v/>
      </c>
      <c r="AT101" s="29" t="str">
        <f>IF(OR($B101="",$A101&lt;=43),"",--MID('Key Analysis'!$C97,$A101-43,1))</f>
        <v/>
      </c>
      <c r="AU101" s="29" t="str">
        <f>IF(OR($B101="",$A101&lt;=44),"",--MID('Key Analysis'!$C97,$A101-44,1))</f>
        <v/>
      </c>
      <c r="AV101" s="29" t="str">
        <f>IF(OR($B101="",$A101&lt;=45),"",--MID('Key Analysis'!$C97,$A101-45,1))</f>
        <v/>
      </c>
      <c r="AW101" s="29" t="str">
        <f>IF(OR($B101="",$A101&lt;=46),"",--MID('Key Analysis'!$C97,$A101-46,1))</f>
        <v/>
      </c>
      <c r="AX101" s="29" t="str">
        <f>IF(OR($B101="",$A101&lt;=47),"",--MID('Key Analysis'!$C97,$A101-47,1))</f>
        <v/>
      </c>
      <c r="AY101" s="29" t="str">
        <f>IF(OR($B101="",$A101&lt;=48),"",--MID('Key Analysis'!$C97,$A101-48,1))</f>
        <v/>
      </c>
      <c r="AZ101" s="29" t="str">
        <f>IF(OR($B101="",$A101&lt;=49),"",--MID('Key Analysis'!$C97,$A101-49,1))</f>
        <v/>
      </c>
      <c r="BA101" s="29" t="str">
        <f>IF(OR($B101="",$A101&lt;=50),"",--MID('Key Analysis'!$C97,$A101-50,1))</f>
        <v/>
      </c>
      <c r="BB101" s="29" t="str">
        <f>IF(OR($B101="",$A101&lt;=51),"",--MID('Key Analysis'!$C97,$A101-51,1))</f>
        <v/>
      </c>
      <c r="BC101" s="29" t="str">
        <f>IF(OR($B101="",$A101&lt;=52),"",--MID('Key Analysis'!$C97,$A101-52,1))</f>
        <v/>
      </c>
      <c r="BD101" s="29" t="str">
        <f>IF(OR($B101="",$A101&lt;=53),"",--MID('Key Analysis'!$C97,$A101-53,1))</f>
        <v/>
      </c>
      <c r="BE101" s="29" t="str">
        <f>IF(OR($B101="",$A101&lt;=54),"",--MID('Key Analysis'!$C97,$A101-54,1))</f>
        <v/>
      </c>
      <c r="BF101" s="29" t="str">
        <f>IF(OR($B101="",$A101&lt;=55),"",--MID('Key Analysis'!$C97,$A101-55,1))</f>
        <v/>
      </c>
      <c r="BG101" s="29" t="str">
        <f>IF(OR($B101="",$A101&lt;=56),"",--MID('Key Analysis'!$C97,$A101-56,1))</f>
        <v/>
      </c>
      <c r="BH101" s="29" t="str">
        <f>IF(OR($B101="",$A101&lt;=57),"",--MID('Key Analysis'!$C97,$A101-57,1))</f>
        <v/>
      </c>
      <c r="BI101" s="29" t="str">
        <f>IF(OR($B101="",$A101&lt;=58),"",--MID('Key Analysis'!$C97,$A101-58,1))</f>
        <v/>
      </c>
      <c r="BJ101" s="29" t="str">
        <f>IF(OR($B101="",$A101&lt;=59),"",--MID('Key Analysis'!$C97,$A101-59,1))</f>
        <v/>
      </c>
      <c r="BK101" s="29" t="str">
        <f>IF(OR($B101="",$A101&lt;=60),"",--MID('Key Analysis'!$C97,$A101-60,1))</f>
        <v/>
      </c>
      <c r="BL101" s="29" t="str">
        <f>IF(OR($B101="",$A101&lt;=61),"",--MID('Key Analysis'!$C97,$A101-61,1))</f>
        <v/>
      </c>
      <c r="BM101" s="29" t="str">
        <f>IF(OR($B101="",$A101&lt;=62),"",--MID('Key Analysis'!$C97,$A101-62,1))</f>
        <v/>
      </c>
      <c r="BN101" s="29" t="str">
        <f>IF(OR($B101="",$A101&lt;=63),"",--MID('Key Analysis'!$C97,$A101-63,1))</f>
        <v/>
      </c>
      <c r="BO101" s="29" t="str">
        <f>IF(OR($B101="",$A101&lt;=64),"",--MID('Key Analysis'!$C97,$A101-64,1))</f>
        <v/>
      </c>
      <c r="BP101" s="29" t="str">
        <f>IF(OR($B101="",$A101&lt;=65),"",--MID('Key Analysis'!$C97,$A101-65,1))</f>
        <v/>
      </c>
      <c r="BQ101" s="29" t="str">
        <f>IF(OR($B101="",$A101&lt;=66),"",--MID('Key Analysis'!$C97,$A101-66,1))</f>
        <v/>
      </c>
      <c r="BR101" s="29" t="str">
        <f>IF(OR($B101="",$A101&lt;=67),"",--MID('Key Analysis'!$C97,$A101-67,1))</f>
        <v/>
      </c>
      <c r="BS101" s="29" t="str">
        <f>IF(OR($B101="",$A101&lt;=68),"",--MID('Key Analysis'!$C97,$A101-68,1))</f>
        <v/>
      </c>
      <c r="BT101" s="29" t="str">
        <f>IF(OR($B101="",$A101&lt;=69),"",--MID('Key Analysis'!$C97,$A101-69,1))</f>
        <v/>
      </c>
      <c r="BU101" s="29" t="str">
        <f>IF(OR($B101="",$A101&lt;=70),"",--MID('Key Analysis'!$C97,$A101-70,1))</f>
        <v/>
      </c>
      <c r="BV101" s="29" t="str">
        <f>IF(OR($B101="",$A101&lt;=71),"",--MID('Key Analysis'!$C97,$A101-71,1))</f>
        <v/>
      </c>
      <c r="BW101" s="29" t="str">
        <f>IF(OR($B101="",$A101&lt;=72),"",--MID('Key Analysis'!$C97,$A101-72,1))</f>
        <v/>
      </c>
      <c r="BX101" s="29" t="str">
        <f>IF(OR($B101="",$A101&lt;=73),"",--MID('Key Analysis'!$C97,$A101-73,1))</f>
        <v/>
      </c>
      <c r="BY101" s="29" t="str">
        <f>IF(OR($B101="",$A101&lt;=74),"",--MID('Key Analysis'!$C97,$A101-74,1))</f>
        <v/>
      </c>
      <c r="BZ101" s="29" t="str">
        <f>IF(OR($B101="",$A101&lt;=75),"",--MID('Key Analysis'!$C97,$A101-75,1))</f>
        <v/>
      </c>
      <c r="CA101" s="29" t="str">
        <f>IF(OR($B101="",$A101&lt;=76),"",--MID('Key Analysis'!$C97,$A101-76,1))</f>
        <v/>
      </c>
      <c r="CB101" s="29" t="str">
        <f>IF(OR($B101="",$A101&lt;=77),"",--MID('Key Analysis'!$C97,$A101-77,1))</f>
        <v/>
      </c>
      <c r="CC101" s="29" t="str">
        <f>IF(OR($B101="",$A101&lt;=78),"",--MID('Key Analysis'!$C97,$A101-78,1))</f>
        <v/>
      </c>
      <c r="CD101" s="29" t="str">
        <f>IF(OR($B101="",$A101&lt;=79),"",--MID('Key Analysis'!$C97,$A101-79,1))</f>
        <v/>
      </c>
      <c r="CE101" s="29" t="str">
        <f>IF(OR($B101="",$A101&lt;=80),"",--MID('Key Analysis'!$C97,$A101-80,1))</f>
        <v/>
      </c>
      <c r="CF101" s="29" t="str">
        <f>IF(OR($B101="",$A101&lt;=81),"",--MID('Key Analysis'!$C97,$A101-81,1))</f>
        <v/>
      </c>
      <c r="CG101" s="29" t="str">
        <f>IF(OR($B101="",$A101&lt;=82),"",--MID('Key Analysis'!$C97,$A101-82,1))</f>
        <v/>
      </c>
      <c r="CH101" s="29" t="str">
        <f>IF(OR($B101="",$A101&lt;=83),"",--MID('Key Analysis'!$C97,$A101-83,1))</f>
        <v/>
      </c>
      <c r="CI101" s="29" t="str">
        <f>IF(OR($B101="",$A101&lt;=84),"",--MID('Key Analysis'!$C97,$A101-84,1))</f>
        <v/>
      </c>
      <c r="CJ101" s="29" t="str">
        <f>IF(OR($B101="",$A101&lt;=85),"",--MID('Key Analysis'!$C97,$A101-85,1))</f>
        <v/>
      </c>
      <c r="CK101" s="29" t="str">
        <f>IF(OR($B101="",$A101&lt;=86),"",--MID('Key Analysis'!$C97,$A101-86,1))</f>
        <v/>
      </c>
      <c r="CL101" s="29" t="str">
        <f>IF(OR($B101="",$A101&lt;=87),"",--MID('Key Analysis'!$C97,$A101-87,1))</f>
        <v/>
      </c>
      <c r="CM101" s="29" t="str">
        <f>IF(OR($B101="",$A101&lt;=88),"",--MID('Key Analysis'!$C97,$A101-88,1))</f>
        <v/>
      </c>
      <c r="CN101" s="29" t="str">
        <f>IF(OR($B101="",$A101&lt;=89),"",--MID('Key Analysis'!$C97,$A101-89,1))</f>
        <v/>
      </c>
      <c r="CO101" s="29" t="str">
        <f>IF(OR($B101="",$A101&lt;=90),"",--MID('Key Analysis'!$C97,$A101-90,1))</f>
        <v/>
      </c>
      <c r="CP101" s="29" t="str">
        <f>IF(OR($B101="",$A101&lt;=91),"",--MID('Key Analysis'!$C97,$A101-91,1))</f>
        <v/>
      </c>
      <c r="CQ101" s="29" t="str">
        <f>IF(OR($B101="",$A101&lt;=92),"",--MID('Key Analysis'!$C97,$A101-92,1))</f>
        <v/>
      </c>
      <c r="CR101" s="29" t="str">
        <f>IF(OR($B101="",$A101&lt;=93),"",--MID('Key Analysis'!$C97,$A101-93,1))</f>
        <v/>
      </c>
      <c r="CS101" s="29" t="str">
        <f>IF(OR($B101="",$A101&lt;=94),"",--MID('Key Analysis'!$C97,$A101-94,1))</f>
        <v/>
      </c>
      <c r="CT101" s="29" t="str">
        <f>IF(OR($B101="",$A101&lt;=95),"",--MID('Key Analysis'!$C97,$A101-95,1))</f>
        <v/>
      </c>
      <c r="CU101" s="29" t="str">
        <f>IF(OR($B101="",$A101&lt;=96),"",--MID('Key Analysis'!$C97,$A101-96,1))</f>
        <v/>
      </c>
      <c r="CV101" s="29" t="str">
        <f>IF(OR($B101="",$A101&lt;=97),"",--MID('Key Analysis'!$C97,$A101-97,1))</f>
        <v/>
      </c>
      <c r="CW101" s="29" t="str">
        <f>IF(OR($B101="",$A101&lt;=98),"",--MID('Key Analysis'!$C97,$A101-98,1))</f>
        <v/>
      </c>
      <c r="CX101" s="29" t="str">
        <f>IF(OR($B101="",$A101&lt;=99),"",--MID('Key Analysis'!$C97,$A101-99,1))</f>
        <v/>
      </c>
      <c r="CY101" s="29" t="str">
        <f>IF(OR($B101="",$A101&lt;=100),"",--MID('Key Analysis'!$C97,$A101-100,1))</f>
        <v/>
      </c>
      <c r="CZ101" s="29" t="str">
        <f>IF(OR($B101="",$A101&lt;=101),"",--MID('Key Analysis'!$C97,$A101-101,1))</f>
        <v/>
      </c>
      <c r="DA101" s="29" t="str">
        <f>IF(OR($B101="",$A101&lt;=102),"",--MID('Key Analysis'!$C97,$A101-102,1))</f>
        <v/>
      </c>
      <c r="DB101" s="29" t="str">
        <f>IF(OR($B101="",$A101&lt;=103),"",--MID('Key Analysis'!$C97,$A101-103,1))</f>
        <v/>
      </c>
      <c r="DC101" s="29" t="str">
        <f>IF(OR($B101="",$A101&lt;=104),"",--MID('Key Analysis'!$C97,$A101-104,1))</f>
        <v/>
      </c>
      <c r="DD101" s="29" t="str">
        <f>IF(OR($B101="",$A101&lt;=105),"",--MID('Key Analysis'!$C97,$A101-105,1))</f>
        <v/>
      </c>
      <c r="DE101" s="29" t="str">
        <f>IF(OR($B101="",$A101&lt;=106),"",--MID('Key Analysis'!$C97,$A101-106,1))</f>
        <v/>
      </c>
      <c r="DF101" s="29" t="str">
        <f>IF(OR($B101="",$A101&lt;=107),"",--MID('Key Analysis'!$C97,$A101-107,1))</f>
        <v/>
      </c>
      <c r="DG101" s="29" t="str">
        <f>IF(OR($B101="",$A101&lt;=108),"",--MID('Key Analysis'!$C97,$A101-108,1))</f>
        <v/>
      </c>
      <c r="DH101" s="29" t="str">
        <f>IF(OR($B101="",$A101&lt;=109),"",--MID('Key Analysis'!$C97,$A101-109,1))</f>
        <v/>
      </c>
      <c r="DI101" s="29" t="str">
        <f>IF(OR($B101="",$A101&lt;=110),"",--MID('Key Analysis'!$C97,$A101-110,1))</f>
        <v/>
      </c>
      <c r="DJ101" s="29" t="str">
        <f>IF(OR($B101="",$A101&lt;=111),"",--MID('Key Analysis'!$C97,$A101-111,1))</f>
        <v/>
      </c>
      <c r="DK101" s="29" t="str">
        <f>IF(OR($B101="",$A101&lt;=112),"",--MID('Key Analysis'!$C97,$A101-112,1))</f>
        <v/>
      </c>
      <c r="DL101" s="29" t="str">
        <f>IF(OR($B101="",$A101&lt;=113),"",--MID('Key Analysis'!$C97,$A101-113,1))</f>
        <v/>
      </c>
      <c r="DM101" s="29" t="str">
        <f>IF(OR($B101="",$A101&lt;=114),"",--MID('Key Analysis'!$C97,$A101-114,1))</f>
        <v/>
      </c>
      <c r="DN101" s="29" t="str">
        <f>IF(OR($B101="",$A101&lt;=115),"",--MID('Key Analysis'!$C97,$A101-115,1))</f>
        <v/>
      </c>
      <c r="DO101" s="29" t="str">
        <f>IF(OR($B101="",$A101&lt;=116),"",--MID('Key Analysis'!$C97,$A101-116,1))</f>
        <v/>
      </c>
      <c r="DP101" s="29" t="str">
        <f>IF(OR($B101="",$A101&lt;=117),"",--MID('Key Analysis'!$C97,$A101-117,1))</f>
        <v/>
      </c>
      <c r="DQ101" s="29" t="str">
        <f>IF(OR($B101="",$A101&lt;=118),"",--MID('Key Analysis'!$C97,$A101-118,1))</f>
        <v/>
      </c>
      <c r="DR101" s="29" t="str">
        <f>IF(OR($B101="",$A101&lt;=119),"",--MID('Key Analysis'!$C97,$A101-119,1))</f>
        <v/>
      </c>
      <c r="DS101" s="29" t="str">
        <f>IF(OR($B101="",$A101&lt;=120),"",--MID('Key Analysis'!$C97,$A101-120,1))</f>
        <v/>
      </c>
      <c r="DT101" s="29" t="str">
        <f>IF(OR($B101="",$A101&lt;=121),"",--MID('Key Analysis'!$C97,$A101-121,1))</f>
        <v/>
      </c>
      <c r="DU101" s="29" t="str">
        <f>IF(OR($B101="",$A101&lt;=122),"",--MID('Key Analysis'!$C97,$A101-122,1))</f>
        <v/>
      </c>
      <c r="DV101" s="29" t="str">
        <f>IF(OR($B101="",$A101&lt;=123),"",--MID('Key Analysis'!$C97,$A101-123,1))</f>
        <v/>
      </c>
      <c r="DW101" s="29" t="str">
        <f>IF(OR($B101="",$A101&lt;=124),"",--MID('Key Analysis'!$C97,$A101-124,1))</f>
        <v/>
      </c>
      <c r="DX101" s="29" t="str">
        <f>IF(OR($B101="",$A101&lt;=125),"",--MID('Key Analysis'!$C97,$A101-125,1))</f>
        <v/>
      </c>
      <c r="DY101" s="29" t="str">
        <f>IF(OR($B101="",$A101&lt;=126),"",--MID('Key Analysis'!$C97,$A101-126,1))</f>
        <v/>
      </c>
      <c r="DZ101" s="29" t="str">
        <f>IF(OR($B101="",$A101&lt;=127),"",--MID('Key Analysis'!$C97,$A101-127,1))</f>
        <v/>
      </c>
      <c r="EA101" s="29" t="str">
        <f>IF(OR($B101="",$A101&lt;=128),"",--MID('Key Analysis'!$C97,$A101-128,1))</f>
        <v/>
      </c>
      <c r="EB101" s="29" t="str">
        <f>IF(OR($B101="",$A101&lt;=129),"",--MID('Key Analysis'!$C97,$A101-129,1))</f>
        <v/>
      </c>
      <c r="EC101" s="29" t="str">
        <f>IF(OR($B101="",$A101&lt;=130),"",--MID('Key Analysis'!$C97,$A101-130,1))</f>
        <v/>
      </c>
      <c r="ED101" s="29" t="str">
        <f>IF(OR($B101="",$A101&lt;=131),"",--MID('Key Analysis'!$C97,$A101-131,1))</f>
        <v/>
      </c>
      <c r="EE101" s="29" t="str">
        <f>IF(OR($B101="",$A101&lt;=132),"",--MID('Key Analysis'!$C97,$A101-132,1))</f>
        <v/>
      </c>
      <c r="EF101" s="29" t="str">
        <f>IF(OR($B101="",$A101&lt;=133),"",--MID('Key Analysis'!$C97,$A101-133,1))</f>
        <v/>
      </c>
      <c r="EG101" s="29" t="str">
        <f>IF(OR($B101="",$A101&lt;=134),"",--MID('Key Analysis'!$C97,$A101-134,1))</f>
        <v/>
      </c>
      <c r="EH101" s="29"/>
      <c r="EI101" s="29" t="str">
        <f>IF(OR($B101="",$A101&lt;1),"",--MID('Key Analysis'!$C97,1,1))</f>
        <v/>
      </c>
      <c r="EJ101" s="29" t="str">
        <f>IF(OR($B101="",$A101&lt;2),"",--MID('Key Analysis'!$C97,2,1))</f>
        <v/>
      </c>
      <c r="EK101" s="29" t="str">
        <f>IF(OR($B101="",$A101&lt;3),"",--MID('Key Analysis'!$C97,3,1))</f>
        <v/>
      </c>
      <c r="EL101" s="29" t="str">
        <f>IF(OR($B101="",$A101&lt;4),"",--MID('Key Analysis'!$C97,4,1))</f>
        <v/>
      </c>
      <c r="EM101" s="29" t="str">
        <f>IF(OR($B101="",$A101&lt;5),"",--MID('Key Analysis'!$C97,5,1))</f>
        <v/>
      </c>
      <c r="EN101" s="29" t="str">
        <f>IF(OR($B101="",$A101&lt;6),"",--MID('Key Analysis'!$C97,6,1))</f>
        <v/>
      </c>
      <c r="EO101" s="29" t="str">
        <f>IF(OR($B101="",$A101&lt;7),"",--MID('Key Analysis'!$C97,7,1))</f>
        <v/>
      </c>
      <c r="EP101" s="29" t="str">
        <f>IF(OR($B101="",$A101&lt;8),"",--MID('Key Analysis'!$C97,8,1))</f>
        <v/>
      </c>
      <c r="EQ101" s="29" t="str">
        <f>IF(OR($B101="",$A101&lt;9),"",--MID('Key Analysis'!$C97,9,1))</f>
        <v/>
      </c>
      <c r="ER101" s="29" t="str">
        <f>IF(OR($B101="",$A101&lt;10),"",--MID('Key Analysis'!$C97,10,1))</f>
        <v/>
      </c>
      <c r="ES101" s="29" t="str">
        <f>IF(OR($B101="",$A101&lt;11),"",--MID('Key Analysis'!$C97,11,1))</f>
        <v/>
      </c>
      <c r="ET101" s="29" t="str">
        <f>IF(OR($B101="",$A101&lt;12),"",--MID('Key Analysis'!$C97,12,1))</f>
        <v/>
      </c>
      <c r="EU101" s="29" t="str">
        <f>IF(OR($B101="",$A101&lt;13),"",--MID('Key Analysis'!$C97,13,1))</f>
        <v/>
      </c>
      <c r="EV101" s="29" t="str">
        <f>IF(OR($B101="",$A101&lt;14),"",--MID('Key Analysis'!$C97,14,1))</f>
        <v/>
      </c>
      <c r="EW101" s="29" t="str">
        <f>IF(OR($B101="",$A101&lt;15),"",--MID('Key Analysis'!$C97,15,1))</f>
        <v/>
      </c>
      <c r="EX101" s="29" t="str">
        <f>IF(OR($B101="",$A101&lt;16),"",--MID('Key Analysis'!$C97,16,1))</f>
        <v/>
      </c>
      <c r="EY101" s="29" t="str">
        <f>IF(OR($B101="",$A101&lt;17),"",--MID('Key Analysis'!$C97,17,1))</f>
        <v/>
      </c>
      <c r="EZ101" s="29" t="str">
        <f>IF(OR($B101="",$A101&lt;18),"",--MID('Key Analysis'!$C97,18,1))</f>
        <v/>
      </c>
      <c r="FA101" s="29" t="str">
        <f>IF(OR($B101="",$A101&lt;19),"",--MID('Key Analysis'!$C97,19,1))</f>
        <v/>
      </c>
      <c r="FB101" s="29" t="str">
        <f>IF(OR($B101="",$A101&lt;20),"",--MID('Key Analysis'!$C97,20,1))</f>
        <v/>
      </c>
      <c r="FC101" s="29" t="str">
        <f>IF(OR($B101="",$A101&lt;21),"",--MID('Key Analysis'!$C97,21,1))</f>
        <v/>
      </c>
      <c r="FD101" s="29" t="str">
        <f>IF(OR($B101="",$A101&lt;22),"",--MID('Key Analysis'!$C97,22,1))</f>
        <v/>
      </c>
      <c r="FE101" s="29" t="str">
        <f>IF(OR($B101="",$A101&lt;23),"",--MID('Key Analysis'!$C97,23,1))</f>
        <v/>
      </c>
      <c r="FF101" s="29" t="str">
        <f>IF(OR($B101="",$A101&lt;24),"",--MID('Key Analysis'!$C97,24,1))</f>
        <v/>
      </c>
      <c r="FG101" s="29" t="str">
        <f>IF(OR($B101="",$A101&lt;25),"",--MID('Key Analysis'!$C97,25,1))</f>
        <v/>
      </c>
      <c r="FH101" s="29" t="str">
        <f>IF(OR($B101="",$A101&lt;26),"",--MID('Key Analysis'!$C97,26,1))</f>
        <v/>
      </c>
      <c r="FI101" s="29" t="str">
        <f>IF(OR($B101="",$A101&lt;27),"",--MID('Key Analysis'!$C97,27,1))</f>
        <v/>
      </c>
      <c r="FJ101" s="29" t="str">
        <f>IF(OR($B101="",$A101&lt;28),"",--MID('Key Analysis'!$C97,28,1))</f>
        <v/>
      </c>
      <c r="FK101" s="29" t="str">
        <f>IF(OR($B101="",$A101&lt;29),"",--MID('Key Analysis'!$C97,29,1))</f>
        <v/>
      </c>
      <c r="FL101" s="29" t="str">
        <f>IF(OR($B101="",$A101&lt;30),"",--MID('Key Analysis'!$C97,30,1))</f>
        <v/>
      </c>
      <c r="FM101" s="29" t="str">
        <f>IF(OR($B101="",$A101&lt;31),"",--MID('Key Analysis'!$C97,31,1))</f>
        <v/>
      </c>
      <c r="FN101" s="29" t="str">
        <f>IF(OR($B101="",$A101&lt;32),"",--MID('Key Analysis'!$C97,32,1))</f>
        <v/>
      </c>
      <c r="FO101" s="29" t="str">
        <f>IF(OR($B101="",$A101&lt;33),"",--MID('Key Analysis'!$C97,33,1))</f>
        <v/>
      </c>
      <c r="FP101" s="29" t="str">
        <f>IF(OR($B101="",$A101&lt;34),"",--MID('Key Analysis'!$C97,34,1))</f>
        <v/>
      </c>
      <c r="FQ101" s="29" t="str">
        <f>IF(OR($B101="",$A101&lt;35),"",--MID('Key Analysis'!$C97,35,1))</f>
        <v/>
      </c>
      <c r="FR101" s="29" t="str">
        <f>IF(OR($B101="",$A101&lt;36),"",--MID('Key Analysis'!$C97,36,1))</f>
        <v/>
      </c>
      <c r="FS101" s="29" t="str">
        <f>IF(OR($B101="",$A101&lt;37),"",--MID('Key Analysis'!$C97,37,1))</f>
        <v/>
      </c>
      <c r="FT101" s="29" t="str">
        <f>IF(OR($B101="",$A101&lt;38),"",--MID('Key Analysis'!$C97,38,1))</f>
        <v/>
      </c>
      <c r="FU101" s="29" t="str">
        <f>IF(OR($B101="",$A101&lt;39),"",--MID('Key Analysis'!$C97,39,1))</f>
        <v/>
      </c>
      <c r="FV101" s="29" t="str">
        <f>IF(OR($B101="",$A101&lt;40),"",--MID('Key Analysis'!$C97,40,1))</f>
        <v/>
      </c>
      <c r="FW101" s="29" t="str">
        <f>IF(OR($B101="",$A101&lt;41),"",--MID('Key Analysis'!$C97,41,1))</f>
        <v/>
      </c>
      <c r="FX101" s="29" t="str">
        <f>IF(OR($B101="",$A101&lt;42),"",--MID('Key Analysis'!$C97,42,1))</f>
        <v/>
      </c>
      <c r="FY101" s="29" t="str">
        <f>IF(OR($B101="",$A101&lt;43),"",--MID('Key Analysis'!$C97,43,1))</f>
        <v/>
      </c>
      <c r="FZ101" s="29" t="str">
        <f>IF(OR($B101="",$A101&lt;44),"",--MID('Key Analysis'!$C97,44,1))</f>
        <v/>
      </c>
      <c r="GA101" s="29" t="str">
        <f>IF(OR($B101="",$A101&lt;45),"",--MID('Key Analysis'!$C97,45,1))</f>
        <v/>
      </c>
      <c r="GB101" s="29" t="str">
        <f>IF(OR($B101="",$A101&lt;46),"",--MID('Key Analysis'!$C97,46,1))</f>
        <v/>
      </c>
      <c r="GC101" s="29" t="str">
        <f>IF(OR($B101="",$A101&lt;47),"",--MID('Key Analysis'!$C97,47,1))</f>
        <v/>
      </c>
      <c r="GD101" s="29" t="str">
        <f>IF(OR($B101="",$A101&lt;48),"",--MID('Key Analysis'!$C97,48,1))</f>
        <v/>
      </c>
      <c r="GE101" s="29" t="str">
        <f>IF(OR($B101="",$A101&lt;49),"",--MID('Key Analysis'!$C97,49,1))</f>
        <v/>
      </c>
      <c r="GF101" s="29" t="str">
        <f>IF(OR($B101="",$A101&lt;50),"",--MID('Key Analysis'!$C97,50,1))</f>
        <v/>
      </c>
      <c r="GG101" s="29" t="str">
        <f>IF(OR($B101="",$A101&lt;51),"",--MID('Key Analysis'!$C97,51,1))</f>
        <v/>
      </c>
      <c r="GH101" s="29" t="str">
        <f>IF(OR($B101="",$A101&lt;52),"",--MID('Key Analysis'!$C97,52,1))</f>
        <v/>
      </c>
      <c r="GI101" s="29" t="str">
        <f>IF(OR($B101="",$A101&lt;53),"",--MID('Key Analysis'!$C97,53,1))</f>
        <v/>
      </c>
      <c r="GJ101" s="29" t="str">
        <f>IF(OR($B101="",$A101&lt;54),"",--MID('Key Analysis'!$C97,54,1))</f>
        <v/>
      </c>
      <c r="GK101" s="29" t="str">
        <f>IF(OR($B101="",$A101&lt;55),"",--MID('Key Analysis'!$C97,55,1))</f>
        <v/>
      </c>
      <c r="GL101" s="29" t="str">
        <f>IF(OR($B101="",$A101&lt;56),"",--MID('Key Analysis'!$C97,56,1))</f>
        <v/>
      </c>
      <c r="GM101" s="29" t="str">
        <f>IF(OR($B101="",$A101&lt;57),"",--MID('Key Analysis'!$C97,57,1))</f>
        <v/>
      </c>
      <c r="GN101" s="29" t="str">
        <f>IF(OR($B101="",$A101&lt;58),"",--MID('Key Analysis'!$C97,58,1))</f>
        <v/>
      </c>
      <c r="GO101" s="29" t="str">
        <f>IF(OR($B101="",$A101&lt;59),"",--MID('Key Analysis'!$C97,59,1))</f>
        <v/>
      </c>
      <c r="GP101" s="29" t="str">
        <f>IF(OR($B101="",$A101&lt;60),"",--MID('Key Analysis'!$C97,60,1))</f>
        <v/>
      </c>
      <c r="GQ101" s="29" t="str">
        <f>IF(OR($B101="",$A101&lt;61),"",--MID('Key Analysis'!$C97,61,1))</f>
        <v/>
      </c>
      <c r="GR101" s="29" t="str">
        <f>IF(OR($B101="",$A101&lt;62),"",--MID('Key Analysis'!$C97,62,1))</f>
        <v/>
      </c>
      <c r="GS101" s="29" t="str">
        <f>IF(OR($B101="",$A101&lt;63),"",--MID('Key Analysis'!$C97,63,1))</f>
        <v/>
      </c>
      <c r="GT101" s="29" t="str">
        <f>IF(OR($B101="",$A101&lt;64),"",--MID('Key Analysis'!$C97,64,1))</f>
        <v/>
      </c>
      <c r="GU101" s="29" t="str">
        <f>IF(OR($B101="",$A101&lt;65),"",--MID('Key Analysis'!$C97,65,1))</f>
        <v/>
      </c>
      <c r="GV101" s="29" t="str">
        <f>IF(OR($B101="",$A101&lt;66),"",--MID('Key Analysis'!$C97,66,1))</f>
        <v/>
      </c>
      <c r="GW101" s="29" t="str">
        <f>IF(OR($B101="",$A101&lt;67),"",--MID('Key Analysis'!$C97,67,1))</f>
        <v/>
      </c>
      <c r="GX101" s="29" t="str">
        <f>IF(OR($B101="",$A101&lt;68),"",--MID('Key Analysis'!$C97,68,1))</f>
        <v/>
      </c>
      <c r="GY101" s="29" t="str">
        <f>IF(OR($B101="",$A101&lt;69),"",--MID('Key Analysis'!$C97,69,1))</f>
        <v/>
      </c>
      <c r="GZ101" s="29" t="str">
        <f>IF(OR($B101="",$A101&lt;70),"",--MID('Key Analysis'!$C97,70,1))</f>
        <v/>
      </c>
      <c r="HA101" s="29" t="str">
        <f>IF(OR($B101="",$A101&lt;71),"",--MID('Key Analysis'!$C97,71,1))</f>
        <v/>
      </c>
      <c r="HB101" s="29" t="str">
        <f>IF(OR($B101="",$A101&lt;72),"",--MID('Key Analysis'!$C97,72,1))</f>
        <v/>
      </c>
      <c r="HC101" s="29" t="str">
        <f>IF(OR($B101="",$A101&lt;73),"",--MID('Key Analysis'!$C97,73,1))</f>
        <v/>
      </c>
      <c r="HD101" s="29" t="str">
        <f>IF(OR($B101="",$A101&lt;74),"",--MID('Key Analysis'!$C97,74,1))</f>
        <v/>
      </c>
      <c r="HE101" s="29" t="str">
        <f>IF(OR($B101="",$A101&lt;75),"",--MID('Key Analysis'!$C97,75,1))</f>
        <v/>
      </c>
      <c r="HF101" s="29" t="str">
        <f>IF(OR($B101="",$A101&lt;76),"",--MID('Key Analysis'!$C97,76,1))</f>
        <v/>
      </c>
      <c r="HG101" s="29" t="str">
        <f>IF(OR($B101="",$A101&lt;77),"",--MID('Key Analysis'!$C97,77,1))</f>
        <v/>
      </c>
      <c r="HH101" s="29" t="str">
        <f>IF(OR($B101="",$A101&lt;78),"",--MID('Key Analysis'!$C97,78,1))</f>
        <v/>
      </c>
      <c r="HI101" s="29" t="str">
        <f>IF(OR($B101="",$A101&lt;79),"",--MID('Key Analysis'!$C97,79,1))</f>
        <v/>
      </c>
      <c r="HJ101" s="29" t="str">
        <f>IF(OR($B101="",$A101&lt;80),"",--MID('Key Analysis'!$C97,80,1))</f>
        <v/>
      </c>
      <c r="HK101" s="29" t="str">
        <f>IF(OR($B101="",$A101&lt;81),"",--MID('Key Analysis'!$C97,81,1))</f>
        <v/>
      </c>
      <c r="HL101" s="29" t="str">
        <f>IF(OR($B101="",$A101&lt;82),"",--MID('Key Analysis'!$C97,82,1))</f>
        <v/>
      </c>
      <c r="HM101" s="29" t="str">
        <f>IF(OR($B101="",$A101&lt;83),"",--MID('Key Analysis'!$C97,83,1))</f>
        <v/>
      </c>
      <c r="HN101" s="29" t="str">
        <f>IF(OR($B101="",$A101&lt;84),"",--MID('Key Analysis'!$C97,84,1))</f>
        <v/>
      </c>
      <c r="HO101" s="29" t="str">
        <f>IF(OR($B101="",$A101&lt;85),"",--MID('Key Analysis'!$C97,85,1))</f>
        <v/>
      </c>
      <c r="HP101" s="29" t="str">
        <f>IF(OR($B101="",$A101&lt;86),"",--MID('Key Analysis'!$C97,86,1))</f>
        <v/>
      </c>
      <c r="HQ101" s="29" t="str">
        <f>IF(OR($B101="",$A101&lt;87),"",--MID('Key Analysis'!$C97,87,1))</f>
        <v/>
      </c>
      <c r="HR101" s="29" t="str">
        <f>IF(OR($B101="",$A101&lt;88),"",--MID('Key Analysis'!$C97,88,1))</f>
        <v/>
      </c>
      <c r="HS101" s="29" t="str">
        <f>IF(OR($B101="",$A101&lt;89),"",--MID('Key Analysis'!$C97,89,1))</f>
        <v/>
      </c>
      <c r="HT101" s="29" t="str">
        <f>IF(OR($B101="",$A101&lt;90),"",--MID('Key Analysis'!$C97,90,1))</f>
        <v/>
      </c>
      <c r="HU101" s="29" t="str">
        <f>IF(OR($B101="",$A101&lt;91),"",--MID('Key Analysis'!$C97,91,1))</f>
        <v/>
      </c>
      <c r="HV101" s="29" t="str">
        <f>IF(OR($B101="",$A101&lt;92),"",--MID('Key Analysis'!$C97,92,1))</f>
        <v/>
      </c>
      <c r="HW101" s="29" t="str">
        <f>IF(OR($B101="",$A101&lt;93),"",--MID('Key Analysis'!$C97,93,1))</f>
        <v/>
      </c>
      <c r="HX101" s="29" t="str">
        <f>IF(OR($B101="",$A101&lt;94),"",--MID('Key Analysis'!$C97,94,1))</f>
        <v/>
      </c>
      <c r="HY101" s="29" t="str">
        <f>IF(OR($B101="",$A101&lt;95),"",--MID('Key Analysis'!$C97,95,1))</f>
        <v/>
      </c>
      <c r="HZ101" s="29" t="str">
        <f>IF(OR($B101="",$A101&lt;96),"",--MID('Key Analysis'!$C97,96,1))</f>
        <v/>
      </c>
      <c r="IA101" s="29" t="str">
        <f>IF(OR($B101="",$A101&lt;97),"",--MID('Key Analysis'!$C97,97,1))</f>
        <v/>
      </c>
      <c r="IB101" s="29" t="str">
        <f>IF(OR($B101="",$A101&lt;98),"",--MID('Key Analysis'!$C97,98,1))</f>
        <v/>
      </c>
      <c r="IC101" s="29" t="str">
        <f>IF(OR($B101="",$A101&lt;99),"",--MID('Key Analysis'!$C97,99,1))</f>
        <v/>
      </c>
      <c r="ID101" s="29" t="str">
        <f>IF(OR($B101="",$A101&lt;100),"",--MID('Key Analysis'!$C97,100,1))</f>
        <v/>
      </c>
      <c r="IE101" s="29" t="str">
        <f>IF(OR($B101="",$A101&lt;101),"",--MID('Key Analysis'!$C97,101,1))</f>
        <v/>
      </c>
      <c r="IF101" s="29" t="str">
        <f>IF(OR($B101="",$A101&lt;102),"",--MID('Key Analysis'!$C97,102,1))</f>
        <v/>
      </c>
      <c r="IG101" s="29" t="str">
        <f>IF(OR($B101="",$A101&lt;103),"",--MID('Key Analysis'!$C97,103,1))</f>
        <v/>
      </c>
      <c r="IH101" s="29" t="str">
        <f>IF(OR($B101="",$A101&lt;104),"",--MID('Key Analysis'!$C97,104,1))</f>
        <v/>
      </c>
      <c r="II101" s="29" t="str">
        <f>IF(OR($B101="",$A101&lt;105),"",--MID('Key Analysis'!$C97,105,1))</f>
        <v/>
      </c>
      <c r="IJ101" s="29" t="str">
        <f>IF(OR($B101="",$A101&lt;106),"",--MID('Key Analysis'!$C97,106,1))</f>
        <v/>
      </c>
      <c r="IK101" s="29" t="str">
        <f>IF(OR($B101="",$A101&lt;107),"",--MID('Key Analysis'!$C97,107,1))</f>
        <v/>
      </c>
      <c r="IL101" s="29" t="str">
        <f>IF(OR($B101="",$A101&lt;108),"",--MID('Key Analysis'!$C97,108,1))</f>
        <v/>
      </c>
      <c r="IM101" s="29" t="str">
        <f>IF(OR($B101="",$A101&lt;109),"",--MID('Key Analysis'!$C97,109,1))</f>
        <v/>
      </c>
      <c r="IN101" s="29" t="str">
        <f>IF(OR($B101="",$A101&lt;110),"",--MID('Key Analysis'!$C97,110,1))</f>
        <v/>
      </c>
      <c r="IO101" s="29" t="str">
        <f>IF(OR($B101="",$A101&lt;111),"",--MID('Key Analysis'!$C97,111,1))</f>
        <v/>
      </c>
      <c r="IP101" s="29" t="str">
        <f>IF(OR($B101="",$A101&lt;112),"",--MID('Key Analysis'!$C97,112,1))</f>
        <v/>
      </c>
      <c r="IQ101" s="29" t="str">
        <f>IF(OR($B101="",$A101&lt;113),"",--MID('Key Analysis'!$C97,113,1))</f>
        <v/>
      </c>
      <c r="IR101" s="29" t="str">
        <f>IF(OR($B101="",$A101&lt;114),"",--MID('Key Analysis'!$C97,114,1))</f>
        <v/>
      </c>
      <c r="IS101" s="29" t="str">
        <f>IF(OR($B101="",$A101&lt;115),"",--MID('Key Analysis'!$C97,115,1))</f>
        <v/>
      </c>
      <c r="IT101" s="29" t="str">
        <f>IF(OR($B101="",$A101&lt;116),"",--MID('Key Analysis'!$C97,116,1))</f>
        <v/>
      </c>
      <c r="IU101" s="29" t="str">
        <f>IF(OR($B101="",$A101&lt;117),"",--MID('Key Analysis'!$C97,117,1))</f>
        <v/>
      </c>
      <c r="IV101" s="29" t="str">
        <f>IF(OR($B101="",$A101&lt;118),"",--MID('Key Analysis'!$C97,118,1))</f>
        <v/>
      </c>
      <c r="IW101" s="29" t="str">
        <f>IF(OR($B101="",$A101&lt;119),"",--MID('Key Analysis'!$C97,119,1))</f>
        <v/>
      </c>
      <c r="IX101" s="29" t="str">
        <f>IF(OR($B101="",$A101&lt;120),"",--MID('Key Analysis'!$C97,120,1))</f>
        <v/>
      </c>
      <c r="IY101" s="29" t="str">
        <f>IF(OR($B101="",$A101&lt;121),"",--MID('Key Analysis'!$C97,121,1))</f>
        <v/>
      </c>
      <c r="IZ101" s="29" t="str">
        <f>IF(OR($B101="",$A101&lt;122),"",--MID('Key Analysis'!$C97,122,1))</f>
        <v/>
      </c>
      <c r="JA101" s="29" t="str">
        <f>IF(OR($B101="",$A101&lt;123),"",--MID('Key Analysis'!$C97,123,1))</f>
        <v/>
      </c>
      <c r="JB101" s="29" t="str">
        <f>IF(OR($B101="",$A101&lt;124),"",--MID('Key Analysis'!$C97,124,1))</f>
        <v/>
      </c>
      <c r="JC101" s="29" t="str">
        <f>IF(OR($B101="",$A101&lt;125),"",--MID('Key Analysis'!$C97,125,1))</f>
        <v/>
      </c>
      <c r="JD101" s="29" t="str">
        <f>IF(OR($B101="",$A101&lt;126),"",--MID('Key Analysis'!$C97,126,1))</f>
        <v/>
      </c>
      <c r="JE101" s="29" t="str">
        <f>IF(OR($B101="",$A101&lt;127),"",--MID('Key Analysis'!$C97,127,1))</f>
        <v/>
      </c>
      <c r="JF101" s="29" t="str">
        <f>IF(OR($B101="",$A101&lt;128),"",--MID('Key Analysis'!$C97,128,1))</f>
        <v/>
      </c>
      <c r="JG101" s="29" t="str">
        <f>IF(OR($B101="",$A101&lt;129),"",--MID('Key Analysis'!$C97,129,1))</f>
        <v/>
      </c>
      <c r="JH101" s="29" t="str">
        <f>IF(OR($B101="",$A101&lt;130),"",--MID('Key Analysis'!$C97,130,1))</f>
        <v/>
      </c>
      <c r="JI101" s="29" t="str">
        <f>IF(OR($B101="",$A101&lt;131),"",--MID('Key Analysis'!$C97,131,1))</f>
        <v/>
      </c>
      <c r="JJ101" s="29" t="str">
        <f>IF(OR($B101="",$A101&lt;132),"",--MID('Key Analysis'!$C97,132,1))</f>
        <v/>
      </c>
      <c r="JK101" s="29" t="str">
        <f>IF(OR($B101="",$A101&lt;133),"",--MID('Key Analysis'!$C97,133,1))</f>
        <v/>
      </c>
      <c r="JL101" s="29" t="str">
        <f>IF(OR($B101="",$A101&lt;134),"",--MID('Key Analysis'!$C97,134,1))</f>
        <v/>
      </c>
      <c r="JM101" s="29" t="str">
        <f>IF(OR($B101="",$A101&lt;135),"",--MID('Key Analysis'!$C97,135,1))</f>
        <v/>
      </c>
    </row>
    <row r="102" spans="1:273" x14ac:dyDescent="0.25">
      <c r="A102" s="21">
        <f>'Key Analysis'!A98</f>
        <v>97</v>
      </c>
      <c r="B102" s="30" t="str">
        <f>'Key Analysis'!B98</f>
        <v/>
      </c>
      <c r="C102" s="29" t="str">
        <f>IF(OR($B102="",$A102&lt;=0),"",--MID('Key Analysis'!$C98,$A102-0,1))</f>
        <v/>
      </c>
      <c r="D102" s="29" t="str">
        <f>IF(OR($B102="",$A102&lt;=1),"",--MID('Key Analysis'!$C98,$A102-1,1))</f>
        <v/>
      </c>
      <c r="E102" s="29" t="str">
        <f>IF(OR($B102="",$A102&lt;=2),"",--MID('Key Analysis'!$C98,$A102-2,1))</f>
        <v/>
      </c>
      <c r="F102" s="29" t="str">
        <f>IF(OR($B102="",$A102&lt;=3),"",--MID('Key Analysis'!$C98,$A102-3,1))</f>
        <v/>
      </c>
      <c r="G102" s="29" t="str">
        <f>IF(OR($B102="",$A102&lt;=4),"",--MID('Key Analysis'!$C98,$A102-4,1))</f>
        <v/>
      </c>
      <c r="H102" s="29" t="str">
        <f>IF(OR($B102="",$A102&lt;=5),"",--MID('Key Analysis'!$C98,$A102-5,1))</f>
        <v/>
      </c>
      <c r="I102" s="29" t="str">
        <f>IF(OR($B102="",$A102&lt;=6),"",--MID('Key Analysis'!$C98,$A102-6,1))</f>
        <v/>
      </c>
      <c r="J102" s="29" t="str">
        <f>IF(OR($B102="",$A102&lt;=7),"",--MID('Key Analysis'!$C98,$A102-7,1))</f>
        <v/>
      </c>
      <c r="K102" s="29" t="str">
        <f>IF(OR($B102="",$A102&lt;=8),"",--MID('Key Analysis'!$C98,$A102-8,1))</f>
        <v/>
      </c>
      <c r="L102" s="29" t="str">
        <f>IF(OR($B102="",$A102&lt;=9),"",--MID('Key Analysis'!$C98,$A102-9,1))</f>
        <v/>
      </c>
      <c r="M102" s="29" t="str">
        <f>IF(OR($B102="",$A102&lt;=10),"",--MID('Key Analysis'!$C98,$A102-10,1))</f>
        <v/>
      </c>
      <c r="N102" s="29" t="str">
        <f>IF(OR($B102="",$A102&lt;=11),"",--MID('Key Analysis'!$C98,$A102-11,1))</f>
        <v/>
      </c>
      <c r="O102" s="29" t="str">
        <f>IF(OR($B102="",$A102&lt;=12),"",--MID('Key Analysis'!$C98,$A102-12,1))</f>
        <v/>
      </c>
      <c r="P102" s="29" t="str">
        <f>IF(OR($B102="",$A102&lt;=13),"",--MID('Key Analysis'!$C98,$A102-13,1))</f>
        <v/>
      </c>
      <c r="Q102" s="29" t="str">
        <f>IF(OR($B102="",$A102&lt;=14),"",--MID('Key Analysis'!$C98,$A102-14,1))</f>
        <v/>
      </c>
      <c r="R102" s="29" t="str">
        <f>IF(OR($B102="",$A102&lt;=15),"",--MID('Key Analysis'!$C98,$A102-15,1))</f>
        <v/>
      </c>
      <c r="S102" s="29" t="str">
        <f>IF(OR($B102="",$A102&lt;=16),"",--MID('Key Analysis'!$C98,$A102-16,1))</f>
        <v/>
      </c>
      <c r="T102" s="29" t="str">
        <f>IF(OR($B102="",$A102&lt;=17),"",--MID('Key Analysis'!$C98,$A102-17,1))</f>
        <v/>
      </c>
      <c r="U102" s="29" t="str">
        <f>IF(OR($B102="",$A102&lt;=18),"",--MID('Key Analysis'!$C98,$A102-18,1))</f>
        <v/>
      </c>
      <c r="V102" s="29" t="str">
        <f>IF(OR($B102="",$A102&lt;=19),"",--MID('Key Analysis'!$C98,$A102-19,1))</f>
        <v/>
      </c>
      <c r="W102" s="29" t="str">
        <f>IF(OR($B102="",$A102&lt;=20),"",--MID('Key Analysis'!$C98,$A102-20,1))</f>
        <v/>
      </c>
      <c r="X102" s="29" t="str">
        <f>IF(OR($B102="",$A102&lt;=21),"",--MID('Key Analysis'!$C98,$A102-21,1))</f>
        <v/>
      </c>
      <c r="Y102" s="29" t="str">
        <f>IF(OR($B102="",$A102&lt;=22),"",--MID('Key Analysis'!$C98,$A102-22,1))</f>
        <v/>
      </c>
      <c r="Z102" s="29" t="str">
        <f>IF(OR($B102="",$A102&lt;=23),"",--MID('Key Analysis'!$C98,$A102-23,1))</f>
        <v/>
      </c>
      <c r="AA102" s="29" t="str">
        <f>IF(OR($B102="",$A102&lt;=24),"",--MID('Key Analysis'!$C98,$A102-24,1))</f>
        <v/>
      </c>
      <c r="AB102" s="29" t="str">
        <f>IF(OR($B102="",$A102&lt;=25),"",--MID('Key Analysis'!$C98,$A102-25,1))</f>
        <v/>
      </c>
      <c r="AC102" s="29" t="str">
        <f>IF(OR($B102="",$A102&lt;=26),"",--MID('Key Analysis'!$C98,$A102-26,1))</f>
        <v/>
      </c>
      <c r="AD102" s="29" t="str">
        <f>IF(OR($B102="",$A102&lt;=27),"",--MID('Key Analysis'!$C98,$A102-27,1))</f>
        <v/>
      </c>
      <c r="AE102" s="29" t="str">
        <f>IF(OR($B102="",$A102&lt;=28),"",--MID('Key Analysis'!$C98,$A102-28,1))</f>
        <v/>
      </c>
      <c r="AF102" s="29" t="str">
        <f>IF(OR($B102="",$A102&lt;=29),"",--MID('Key Analysis'!$C98,$A102-29,1))</f>
        <v/>
      </c>
      <c r="AG102" s="29" t="str">
        <f>IF(OR($B102="",$A102&lt;=30),"",--MID('Key Analysis'!$C98,$A102-30,1))</f>
        <v/>
      </c>
      <c r="AH102" s="29" t="str">
        <f>IF(OR($B102="",$A102&lt;=31),"",--MID('Key Analysis'!$C98,$A102-31,1))</f>
        <v/>
      </c>
      <c r="AI102" s="29" t="str">
        <f>IF(OR($B102="",$A102&lt;=32),"",--MID('Key Analysis'!$C98,$A102-32,1))</f>
        <v/>
      </c>
      <c r="AJ102" s="29" t="str">
        <f>IF(OR($B102="",$A102&lt;=33),"",--MID('Key Analysis'!$C98,$A102-33,1))</f>
        <v/>
      </c>
      <c r="AK102" s="29" t="str">
        <f>IF(OR($B102="",$A102&lt;=34),"",--MID('Key Analysis'!$C98,$A102-34,1))</f>
        <v/>
      </c>
      <c r="AL102" s="29" t="str">
        <f>IF(OR($B102="",$A102&lt;=35),"",--MID('Key Analysis'!$C98,$A102-35,1))</f>
        <v/>
      </c>
      <c r="AM102" s="29" t="str">
        <f>IF(OR($B102="",$A102&lt;=36),"",--MID('Key Analysis'!$C98,$A102-36,1))</f>
        <v/>
      </c>
      <c r="AN102" s="29" t="str">
        <f>IF(OR($B102="",$A102&lt;=37),"",--MID('Key Analysis'!$C98,$A102-37,1))</f>
        <v/>
      </c>
      <c r="AO102" s="29" t="str">
        <f>IF(OR($B102="",$A102&lt;=38),"",--MID('Key Analysis'!$C98,$A102-38,1))</f>
        <v/>
      </c>
      <c r="AP102" s="29" t="str">
        <f>IF(OR($B102="",$A102&lt;=39),"",--MID('Key Analysis'!$C98,$A102-39,1))</f>
        <v/>
      </c>
      <c r="AQ102" s="29" t="str">
        <f>IF(OR($B102="",$A102&lt;=40),"",--MID('Key Analysis'!$C98,$A102-40,1))</f>
        <v/>
      </c>
      <c r="AR102" s="29" t="str">
        <f>IF(OR($B102="",$A102&lt;=41),"",--MID('Key Analysis'!$C98,$A102-41,1))</f>
        <v/>
      </c>
      <c r="AS102" s="29" t="str">
        <f>IF(OR($B102="",$A102&lt;=42),"",--MID('Key Analysis'!$C98,$A102-42,1))</f>
        <v/>
      </c>
      <c r="AT102" s="29" t="str">
        <f>IF(OR($B102="",$A102&lt;=43),"",--MID('Key Analysis'!$C98,$A102-43,1))</f>
        <v/>
      </c>
      <c r="AU102" s="29" t="str">
        <f>IF(OR($B102="",$A102&lt;=44),"",--MID('Key Analysis'!$C98,$A102-44,1))</f>
        <v/>
      </c>
      <c r="AV102" s="29" t="str">
        <f>IF(OR($B102="",$A102&lt;=45),"",--MID('Key Analysis'!$C98,$A102-45,1))</f>
        <v/>
      </c>
      <c r="AW102" s="29" t="str">
        <f>IF(OR($B102="",$A102&lt;=46),"",--MID('Key Analysis'!$C98,$A102-46,1))</f>
        <v/>
      </c>
      <c r="AX102" s="29" t="str">
        <f>IF(OR($B102="",$A102&lt;=47),"",--MID('Key Analysis'!$C98,$A102-47,1))</f>
        <v/>
      </c>
      <c r="AY102" s="29" t="str">
        <f>IF(OR($B102="",$A102&lt;=48),"",--MID('Key Analysis'!$C98,$A102-48,1))</f>
        <v/>
      </c>
      <c r="AZ102" s="29" t="str">
        <f>IF(OR($B102="",$A102&lt;=49),"",--MID('Key Analysis'!$C98,$A102-49,1))</f>
        <v/>
      </c>
      <c r="BA102" s="29" t="str">
        <f>IF(OR($B102="",$A102&lt;=50),"",--MID('Key Analysis'!$C98,$A102-50,1))</f>
        <v/>
      </c>
      <c r="BB102" s="29" t="str">
        <f>IF(OR($B102="",$A102&lt;=51),"",--MID('Key Analysis'!$C98,$A102-51,1))</f>
        <v/>
      </c>
      <c r="BC102" s="29" t="str">
        <f>IF(OR($B102="",$A102&lt;=52),"",--MID('Key Analysis'!$C98,$A102-52,1))</f>
        <v/>
      </c>
      <c r="BD102" s="29" t="str">
        <f>IF(OR($B102="",$A102&lt;=53),"",--MID('Key Analysis'!$C98,$A102-53,1))</f>
        <v/>
      </c>
      <c r="BE102" s="29" t="str">
        <f>IF(OR($B102="",$A102&lt;=54),"",--MID('Key Analysis'!$C98,$A102-54,1))</f>
        <v/>
      </c>
      <c r="BF102" s="29" t="str">
        <f>IF(OR($B102="",$A102&lt;=55),"",--MID('Key Analysis'!$C98,$A102-55,1))</f>
        <v/>
      </c>
      <c r="BG102" s="29" t="str">
        <f>IF(OR($B102="",$A102&lt;=56),"",--MID('Key Analysis'!$C98,$A102-56,1))</f>
        <v/>
      </c>
      <c r="BH102" s="29" t="str">
        <f>IF(OR($B102="",$A102&lt;=57),"",--MID('Key Analysis'!$C98,$A102-57,1))</f>
        <v/>
      </c>
      <c r="BI102" s="29" t="str">
        <f>IF(OR($B102="",$A102&lt;=58),"",--MID('Key Analysis'!$C98,$A102-58,1))</f>
        <v/>
      </c>
      <c r="BJ102" s="29" t="str">
        <f>IF(OR($B102="",$A102&lt;=59),"",--MID('Key Analysis'!$C98,$A102-59,1))</f>
        <v/>
      </c>
      <c r="BK102" s="29" t="str">
        <f>IF(OR($B102="",$A102&lt;=60),"",--MID('Key Analysis'!$C98,$A102-60,1))</f>
        <v/>
      </c>
      <c r="BL102" s="29" t="str">
        <f>IF(OR($B102="",$A102&lt;=61),"",--MID('Key Analysis'!$C98,$A102-61,1))</f>
        <v/>
      </c>
      <c r="BM102" s="29" t="str">
        <f>IF(OR($B102="",$A102&lt;=62),"",--MID('Key Analysis'!$C98,$A102-62,1))</f>
        <v/>
      </c>
      <c r="BN102" s="29" t="str">
        <f>IF(OR($B102="",$A102&lt;=63),"",--MID('Key Analysis'!$C98,$A102-63,1))</f>
        <v/>
      </c>
      <c r="BO102" s="29" t="str">
        <f>IF(OR($B102="",$A102&lt;=64),"",--MID('Key Analysis'!$C98,$A102-64,1))</f>
        <v/>
      </c>
      <c r="BP102" s="29" t="str">
        <f>IF(OR($B102="",$A102&lt;=65),"",--MID('Key Analysis'!$C98,$A102-65,1))</f>
        <v/>
      </c>
      <c r="BQ102" s="29" t="str">
        <f>IF(OR($B102="",$A102&lt;=66),"",--MID('Key Analysis'!$C98,$A102-66,1))</f>
        <v/>
      </c>
      <c r="BR102" s="29" t="str">
        <f>IF(OR($B102="",$A102&lt;=67),"",--MID('Key Analysis'!$C98,$A102-67,1))</f>
        <v/>
      </c>
      <c r="BS102" s="29" t="str">
        <f>IF(OR($B102="",$A102&lt;=68),"",--MID('Key Analysis'!$C98,$A102-68,1))</f>
        <v/>
      </c>
      <c r="BT102" s="29" t="str">
        <f>IF(OR($B102="",$A102&lt;=69),"",--MID('Key Analysis'!$C98,$A102-69,1))</f>
        <v/>
      </c>
      <c r="BU102" s="29" t="str">
        <f>IF(OR($B102="",$A102&lt;=70),"",--MID('Key Analysis'!$C98,$A102-70,1))</f>
        <v/>
      </c>
      <c r="BV102" s="29" t="str">
        <f>IF(OR($B102="",$A102&lt;=71),"",--MID('Key Analysis'!$C98,$A102-71,1))</f>
        <v/>
      </c>
      <c r="BW102" s="29" t="str">
        <f>IF(OR($B102="",$A102&lt;=72),"",--MID('Key Analysis'!$C98,$A102-72,1))</f>
        <v/>
      </c>
      <c r="BX102" s="29" t="str">
        <f>IF(OR($B102="",$A102&lt;=73),"",--MID('Key Analysis'!$C98,$A102-73,1))</f>
        <v/>
      </c>
      <c r="BY102" s="29" t="str">
        <f>IF(OR($B102="",$A102&lt;=74),"",--MID('Key Analysis'!$C98,$A102-74,1))</f>
        <v/>
      </c>
      <c r="BZ102" s="29" t="str">
        <f>IF(OR($B102="",$A102&lt;=75),"",--MID('Key Analysis'!$C98,$A102-75,1))</f>
        <v/>
      </c>
      <c r="CA102" s="29" t="str">
        <f>IF(OR($B102="",$A102&lt;=76),"",--MID('Key Analysis'!$C98,$A102-76,1))</f>
        <v/>
      </c>
      <c r="CB102" s="29" t="str">
        <f>IF(OR($B102="",$A102&lt;=77),"",--MID('Key Analysis'!$C98,$A102-77,1))</f>
        <v/>
      </c>
      <c r="CC102" s="29" t="str">
        <f>IF(OR($B102="",$A102&lt;=78),"",--MID('Key Analysis'!$C98,$A102-78,1))</f>
        <v/>
      </c>
      <c r="CD102" s="29" t="str">
        <f>IF(OR($B102="",$A102&lt;=79),"",--MID('Key Analysis'!$C98,$A102-79,1))</f>
        <v/>
      </c>
      <c r="CE102" s="29" t="str">
        <f>IF(OR($B102="",$A102&lt;=80),"",--MID('Key Analysis'!$C98,$A102-80,1))</f>
        <v/>
      </c>
      <c r="CF102" s="29" t="str">
        <f>IF(OR($B102="",$A102&lt;=81),"",--MID('Key Analysis'!$C98,$A102-81,1))</f>
        <v/>
      </c>
      <c r="CG102" s="29" t="str">
        <f>IF(OR($B102="",$A102&lt;=82),"",--MID('Key Analysis'!$C98,$A102-82,1))</f>
        <v/>
      </c>
      <c r="CH102" s="29" t="str">
        <f>IF(OR($B102="",$A102&lt;=83),"",--MID('Key Analysis'!$C98,$A102-83,1))</f>
        <v/>
      </c>
      <c r="CI102" s="29" t="str">
        <f>IF(OR($B102="",$A102&lt;=84),"",--MID('Key Analysis'!$C98,$A102-84,1))</f>
        <v/>
      </c>
      <c r="CJ102" s="29" t="str">
        <f>IF(OR($B102="",$A102&lt;=85),"",--MID('Key Analysis'!$C98,$A102-85,1))</f>
        <v/>
      </c>
      <c r="CK102" s="29" t="str">
        <f>IF(OR($B102="",$A102&lt;=86),"",--MID('Key Analysis'!$C98,$A102-86,1))</f>
        <v/>
      </c>
      <c r="CL102" s="29" t="str">
        <f>IF(OR($B102="",$A102&lt;=87),"",--MID('Key Analysis'!$C98,$A102-87,1))</f>
        <v/>
      </c>
      <c r="CM102" s="29" t="str">
        <f>IF(OR($B102="",$A102&lt;=88),"",--MID('Key Analysis'!$C98,$A102-88,1))</f>
        <v/>
      </c>
      <c r="CN102" s="29" t="str">
        <f>IF(OR($B102="",$A102&lt;=89),"",--MID('Key Analysis'!$C98,$A102-89,1))</f>
        <v/>
      </c>
      <c r="CO102" s="29" t="str">
        <f>IF(OR($B102="",$A102&lt;=90),"",--MID('Key Analysis'!$C98,$A102-90,1))</f>
        <v/>
      </c>
      <c r="CP102" s="29" t="str">
        <f>IF(OR($B102="",$A102&lt;=91),"",--MID('Key Analysis'!$C98,$A102-91,1))</f>
        <v/>
      </c>
      <c r="CQ102" s="29" t="str">
        <f>IF(OR($B102="",$A102&lt;=92),"",--MID('Key Analysis'!$C98,$A102-92,1))</f>
        <v/>
      </c>
      <c r="CR102" s="29" t="str">
        <f>IF(OR($B102="",$A102&lt;=93),"",--MID('Key Analysis'!$C98,$A102-93,1))</f>
        <v/>
      </c>
      <c r="CS102" s="29" t="str">
        <f>IF(OR($B102="",$A102&lt;=94),"",--MID('Key Analysis'!$C98,$A102-94,1))</f>
        <v/>
      </c>
      <c r="CT102" s="29" t="str">
        <f>IF(OR($B102="",$A102&lt;=95),"",--MID('Key Analysis'!$C98,$A102-95,1))</f>
        <v/>
      </c>
      <c r="CU102" s="29" t="str">
        <f>IF(OR($B102="",$A102&lt;=96),"",--MID('Key Analysis'!$C98,$A102-96,1))</f>
        <v/>
      </c>
      <c r="CV102" s="29" t="str">
        <f>IF(OR($B102="",$A102&lt;=97),"",--MID('Key Analysis'!$C98,$A102-97,1))</f>
        <v/>
      </c>
      <c r="CW102" s="29" t="str">
        <f>IF(OR($B102="",$A102&lt;=98),"",--MID('Key Analysis'!$C98,$A102-98,1))</f>
        <v/>
      </c>
      <c r="CX102" s="29" t="str">
        <f>IF(OR($B102="",$A102&lt;=99),"",--MID('Key Analysis'!$C98,$A102-99,1))</f>
        <v/>
      </c>
      <c r="CY102" s="29" t="str">
        <f>IF(OR($B102="",$A102&lt;=100),"",--MID('Key Analysis'!$C98,$A102-100,1))</f>
        <v/>
      </c>
      <c r="CZ102" s="29" t="str">
        <f>IF(OR($B102="",$A102&lt;=101),"",--MID('Key Analysis'!$C98,$A102-101,1))</f>
        <v/>
      </c>
      <c r="DA102" s="29" t="str">
        <f>IF(OR($B102="",$A102&lt;=102),"",--MID('Key Analysis'!$C98,$A102-102,1))</f>
        <v/>
      </c>
      <c r="DB102" s="29" t="str">
        <f>IF(OR($B102="",$A102&lt;=103),"",--MID('Key Analysis'!$C98,$A102-103,1))</f>
        <v/>
      </c>
      <c r="DC102" s="29" t="str">
        <f>IF(OR($B102="",$A102&lt;=104),"",--MID('Key Analysis'!$C98,$A102-104,1))</f>
        <v/>
      </c>
      <c r="DD102" s="29" t="str">
        <f>IF(OR($B102="",$A102&lt;=105),"",--MID('Key Analysis'!$C98,$A102-105,1))</f>
        <v/>
      </c>
      <c r="DE102" s="29" t="str">
        <f>IF(OR($B102="",$A102&lt;=106),"",--MID('Key Analysis'!$C98,$A102-106,1))</f>
        <v/>
      </c>
      <c r="DF102" s="29" t="str">
        <f>IF(OR($B102="",$A102&lt;=107),"",--MID('Key Analysis'!$C98,$A102-107,1))</f>
        <v/>
      </c>
      <c r="DG102" s="29" t="str">
        <f>IF(OR($B102="",$A102&lt;=108),"",--MID('Key Analysis'!$C98,$A102-108,1))</f>
        <v/>
      </c>
      <c r="DH102" s="29" t="str">
        <f>IF(OR($B102="",$A102&lt;=109),"",--MID('Key Analysis'!$C98,$A102-109,1))</f>
        <v/>
      </c>
      <c r="DI102" s="29" t="str">
        <f>IF(OR($B102="",$A102&lt;=110),"",--MID('Key Analysis'!$C98,$A102-110,1))</f>
        <v/>
      </c>
      <c r="DJ102" s="29" t="str">
        <f>IF(OR($B102="",$A102&lt;=111),"",--MID('Key Analysis'!$C98,$A102-111,1))</f>
        <v/>
      </c>
      <c r="DK102" s="29" t="str">
        <f>IF(OR($B102="",$A102&lt;=112),"",--MID('Key Analysis'!$C98,$A102-112,1))</f>
        <v/>
      </c>
      <c r="DL102" s="29" t="str">
        <f>IF(OR($B102="",$A102&lt;=113),"",--MID('Key Analysis'!$C98,$A102-113,1))</f>
        <v/>
      </c>
      <c r="DM102" s="29" t="str">
        <f>IF(OR($B102="",$A102&lt;=114),"",--MID('Key Analysis'!$C98,$A102-114,1))</f>
        <v/>
      </c>
      <c r="DN102" s="29" t="str">
        <f>IF(OR($B102="",$A102&lt;=115),"",--MID('Key Analysis'!$C98,$A102-115,1))</f>
        <v/>
      </c>
      <c r="DO102" s="29" t="str">
        <f>IF(OR($B102="",$A102&lt;=116),"",--MID('Key Analysis'!$C98,$A102-116,1))</f>
        <v/>
      </c>
      <c r="DP102" s="29" t="str">
        <f>IF(OR($B102="",$A102&lt;=117),"",--MID('Key Analysis'!$C98,$A102-117,1))</f>
        <v/>
      </c>
      <c r="DQ102" s="29" t="str">
        <f>IF(OR($B102="",$A102&lt;=118),"",--MID('Key Analysis'!$C98,$A102-118,1))</f>
        <v/>
      </c>
      <c r="DR102" s="29" t="str">
        <f>IF(OR($B102="",$A102&lt;=119),"",--MID('Key Analysis'!$C98,$A102-119,1))</f>
        <v/>
      </c>
      <c r="DS102" s="29" t="str">
        <f>IF(OR($B102="",$A102&lt;=120),"",--MID('Key Analysis'!$C98,$A102-120,1))</f>
        <v/>
      </c>
      <c r="DT102" s="29" t="str">
        <f>IF(OR($B102="",$A102&lt;=121),"",--MID('Key Analysis'!$C98,$A102-121,1))</f>
        <v/>
      </c>
      <c r="DU102" s="29" t="str">
        <f>IF(OR($B102="",$A102&lt;=122),"",--MID('Key Analysis'!$C98,$A102-122,1))</f>
        <v/>
      </c>
      <c r="DV102" s="29" t="str">
        <f>IF(OR($B102="",$A102&lt;=123),"",--MID('Key Analysis'!$C98,$A102-123,1))</f>
        <v/>
      </c>
      <c r="DW102" s="29" t="str">
        <f>IF(OR($B102="",$A102&lt;=124),"",--MID('Key Analysis'!$C98,$A102-124,1))</f>
        <v/>
      </c>
      <c r="DX102" s="29" t="str">
        <f>IF(OR($B102="",$A102&lt;=125),"",--MID('Key Analysis'!$C98,$A102-125,1))</f>
        <v/>
      </c>
      <c r="DY102" s="29" t="str">
        <f>IF(OR($B102="",$A102&lt;=126),"",--MID('Key Analysis'!$C98,$A102-126,1))</f>
        <v/>
      </c>
      <c r="DZ102" s="29" t="str">
        <f>IF(OR($B102="",$A102&lt;=127),"",--MID('Key Analysis'!$C98,$A102-127,1))</f>
        <v/>
      </c>
      <c r="EA102" s="29" t="str">
        <f>IF(OR($B102="",$A102&lt;=128),"",--MID('Key Analysis'!$C98,$A102-128,1))</f>
        <v/>
      </c>
      <c r="EB102" s="29" t="str">
        <f>IF(OR($B102="",$A102&lt;=129),"",--MID('Key Analysis'!$C98,$A102-129,1))</f>
        <v/>
      </c>
      <c r="EC102" s="29" t="str">
        <f>IF(OR($B102="",$A102&lt;=130),"",--MID('Key Analysis'!$C98,$A102-130,1))</f>
        <v/>
      </c>
      <c r="ED102" s="29" t="str">
        <f>IF(OR($B102="",$A102&lt;=131),"",--MID('Key Analysis'!$C98,$A102-131,1))</f>
        <v/>
      </c>
      <c r="EE102" s="29" t="str">
        <f>IF(OR($B102="",$A102&lt;=132),"",--MID('Key Analysis'!$C98,$A102-132,1))</f>
        <v/>
      </c>
      <c r="EF102" s="29" t="str">
        <f>IF(OR($B102="",$A102&lt;=133),"",--MID('Key Analysis'!$C98,$A102-133,1))</f>
        <v/>
      </c>
      <c r="EG102" s="29" t="str">
        <f>IF(OR($B102="",$A102&lt;=134),"",--MID('Key Analysis'!$C98,$A102-134,1))</f>
        <v/>
      </c>
      <c r="EH102" s="29"/>
      <c r="EI102" s="29" t="str">
        <f>IF(OR($B102="",$A102&lt;1),"",--MID('Key Analysis'!$C98,1,1))</f>
        <v/>
      </c>
      <c r="EJ102" s="29" t="str">
        <f>IF(OR($B102="",$A102&lt;2),"",--MID('Key Analysis'!$C98,2,1))</f>
        <v/>
      </c>
      <c r="EK102" s="29" t="str">
        <f>IF(OR($B102="",$A102&lt;3),"",--MID('Key Analysis'!$C98,3,1))</f>
        <v/>
      </c>
      <c r="EL102" s="29" t="str">
        <f>IF(OR($B102="",$A102&lt;4),"",--MID('Key Analysis'!$C98,4,1))</f>
        <v/>
      </c>
      <c r="EM102" s="29" t="str">
        <f>IF(OR($B102="",$A102&lt;5),"",--MID('Key Analysis'!$C98,5,1))</f>
        <v/>
      </c>
      <c r="EN102" s="29" t="str">
        <f>IF(OR($B102="",$A102&lt;6),"",--MID('Key Analysis'!$C98,6,1))</f>
        <v/>
      </c>
      <c r="EO102" s="29" t="str">
        <f>IF(OR($B102="",$A102&lt;7),"",--MID('Key Analysis'!$C98,7,1))</f>
        <v/>
      </c>
      <c r="EP102" s="29" t="str">
        <f>IF(OR($B102="",$A102&lt;8),"",--MID('Key Analysis'!$C98,8,1))</f>
        <v/>
      </c>
      <c r="EQ102" s="29" t="str">
        <f>IF(OR($B102="",$A102&lt;9),"",--MID('Key Analysis'!$C98,9,1))</f>
        <v/>
      </c>
      <c r="ER102" s="29" t="str">
        <f>IF(OR($B102="",$A102&lt;10),"",--MID('Key Analysis'!$C98,10,1))</f>
        <v/>
      </c>
      <c r="ES102" s="29" t="str">
        <f>IF(OR($B102="",$A102&lt;11),"",--MID('Key Analysis'!$C98,11,1))</f>
        <v/>
      </c>
      <c r="ET102" s="29" t="str">
        <f>IF(OR($B102="",$A102&lt;12),"",--MID('Key Analysis'!$C98,12,1))</f>
        <v/>
      </c>
      <c r="EU102" s="29" t="str">
        <f>IF(OR($B102="",$A102&lt;13),"",--MID('Key Analysis'!$C98,13,1))</f>
        <v/>
      </c>
      <c r="EV102" s="29" t="str">
        <f>IF(OR($B102="",$A102&lt;14),"",--MID('Key Analysis'!$C98,14,1))</f>
        <v/>
      </c>
      <c r="EW102" s="29" t="str">
        <f>IF(OR($B102="",$A102&lt;15),"",--MID('Key Analysis'!$C98,15,1))</f>
        <v/>
      </c>
      <c r="EX102" s="29" t="str">
        <f>IF(OR($B102="",$A102&lt;16),"",--MID('Key Analysis'!$C98,16,1))</f>
        <v/>
      </c>
      <c r="EY102" s="29" t="str">
        <f>IF(OR($B102="",$A102&lt;17),"",--MID('Key Analysis'!$C98,17,1))</f>
        <v/>
      </c>
      <c r="EZ102" s="29" t="str">
        <f>IF(OR($B102="",$A102&lt;18),"",--MID('Key Analysis'!$C98,18,1))</f>
        <v/>
      </c>
      <c r="FA102" s="29" t="str">
        <f>IF(OR($B102="",$A102&lt;19),"",--MID('Key Analysis'!$C98,19,1))</f>
        <v/>
      </c>
      <c r="FB102" s="29" t="str">
        <f>IF(OR($B102="",$A102&lt;20),"",--MID('Key Analysis'!$C98,20,1))</f>
        <v/>
      </c>
      <c r="FC102" s="29" t="str">
        <f>IF(OR($B102="",$A102&lt;21),"",--MID('Key Analysis'!$C98,21,1))</f>
        <v/>
      </c>
      <c r="FD102" s="29" t="str">
        <f>IF(OR($B102="",$A102&lt;22),"",--MID('Key Analysis'!$C98,22,1))</f>
        <v/>
      </c>
      <c r="FE102" s="29" t="str">
        <f>IF(OR($B102="",$A102&lt;23),"",--MID('Key Analysis'!$C98,23,1))</f>
        <v/>
      </c>
      <c r="FF102" s="29" t="str">
        <f>IF(OR($B102="",$A102&lt;24),"",--MID('Key Analysis'!$C98,24,1))</f>
        <v/>
      </c>
      <c r="FG102" s="29" t="str">
        <f>IF(OR($B102="",$A102&lt;25),"",--MID('Key Analysis'!$C98,25,1))</f>
        <v/>
      </c>
      <c r="FH102" s="29" t="str">
        <f>IF(OR($B102="",$A102&lt;26),"",--MID('Key Analysis'!$C98,26,1))</f>
        <v/>
      </c>
      <c r="FI102" s="29" t="str">
        <f>IF(OR($B102="",$A102&lt;27),"",--MID('Key Analysis'!$C98,27,1))</f>
        <v/>
      </c>
      <c r="FJ102" s="29" t="str">
        <f>IF(OR($B102="",$A102&lt;28),"",--MID('Key Analysis'!$C98,28,1))</f>
        <v/>
      </c>
      <c r="FK102" s="29" t="str">
        <f>IF(OR($B102="",$A102&lt;29),"",--MID('Key Analysis'!$C98,29,1))</f>
        <v/>
      </c>
      <c r="FL102" s="29" t="str">
        <f>IF(OR($B102="",$A102&lt;30),"",--MID('Key Analysis'!$C98,30,1))</f>
        <v/>
      </c>
      <c r="FM102" s="29" t="str">
        <f>IF(OR($B102="",$A102&lt;31),"",--MID('Key Analysis'!$C98,31,1))</f>
        <v/>
      </c>
      <c r="FN102" s="29" t="str">
        <f>IF(OR($B102="",$A102&lt;32),"",--MID('Key Analysis'!$C98,32,1))</f>
        <v/>
      </c>
      <c r="FO102" s="29" t="str">
        <f>IF(OR($B102="",$A102&lt;33),"",--MID('Key Analysis'!$C98,33,1))</f>
        <v/>
      </c>
      <c r="FP102" s="29" t="str">
        <f>IF(OR($B102="",$A102&lt;34),"",--MID('Key Analysis'!$C98,34,1))</f>
        <v/>
      </c>
      <c r="FQ102" s="29" t="str">
        <f>IF(OR($B102="",$A102&lt;35),"",--MID('Key Analysis'!$C98,35,1))</f>
        <v/>
      </c>
      <c r="FR102" s="29" t="str">
        <f>IF(OR($B102="",$A102&lt;36),"",--MID('Key Analysis'!$C98,36,1))</f>
        <v/>
      </c>
      <c r="FS102" s="29" t="str">
        <f>IF(OR($B102="",$A102&lt;37),"",--MID('Key Analysis'!$C98,37,1))</f>
        <v/>
      </c>
      <c r="FT102" s="29" t="str">
        <f>IF(OR($B102="",$A102&lt;38),"",--MID('Key Analysis'!$C98,38,1))</f>
        <v/>
      </c>
      <c r="FU102" s="29" t="str">
        <f>IF(OR($B102="",$A102&lt;39),"",--MID('Key Analysis'!$C98,39,1))</f>
        <v/>
      </c>
      <c r="FV102" s="29" t="str">
        <f>IF(OR($B102="",$A102&lt;40),"",--MID('Key Analysis'!$C98,40,1))</f>
        <v/>
      </c>
      <c r="FW102" s="29" t="str">
        <f>IF(OR($B102="",$A102&lt;41),"",--MID('Key Analysis'!$C98,41,1))</f>
        <v/>
      </c>
      <c r="FX102" s="29" t="str">
        <f>IF(OR($B102="",$A102&lt;42),"",--MID('Key Analysis'!$C98,42,1))</f>
        <v/>
      </c>
      <c r="FY102" s="29" t="str">
        <f>IF(OR($B102="",$A102&lt;43),"",--MID('Key Analysis'!$C98,43,1))</f>
        <v/>
      </c>
      <c r="FZ102" s="29" t="str">
        <f>IF(OR($B102="",$A102&lt;44),"",--MID('Key Analysis'!$C98,44,1))</f>
        <v/>
      </c>
      <c r="GA102" s="29" t="str">
        <f>IF(OR($B102="",$A102&lt;45),"",--MID('Key Analysis'!$C98,45,1))</f>
        <v/>
      </c>
      <c r="GB102" s="29" t="str">
        <f>IF(OR($B102="",$A102&lt;46),"",--MID('Key Analysis'!$C98,46,1))</f>
        <v/>
      </c>
      <c r="GC102" s="29" t="str">
        <f>IF(OR($B102="",$A102&lt;47),"",--MID('Key Analysis'!$C98,47,1))</f>
        <v/>
      </c>
      <c r="GD102" s="29" t="str">
        <f>IF(OR($B102="",$A102&lt;48),"",--MID('Key Analysis'!$C98,48,1))</f>
        <v/>
      </c>
      <c r="GE102" s="29" t="str">
        <f>IF(OR($B102="",$A102&lt;49),"",--MID('Key Analysis'!$C98,49,1))</f>
        <v/>
      </c>
      <c r="GF102" s="29" t="str">
        <f>IF(OR($B102="",$A102&lt;50),"",--MID('Key Analysis'!$C98,50,1))</f>
        <v/>
      </c>
      <c r="GG102" s="29" t="str">
        <f>IF(OR($B102="",$A102&lt;51),"",--MID('Key Analysis'!$C98,51,1))</f>
        <v/>
      </c>
      <c r="GH102" s="29" t="str">
        <f>IF(OR($B102="",$A102&lt;52),"",--MID('Key Analysis'!$C98,52,1))</f>
        <v/>
      </c>
      <c r="GI102" s="29" t="str">
        <f>IF(OR($B102="",$A102&lt;53),"",--MID('Key Analysis'!$C98,53,1))</f>
        <v/>
      </c>
      <c r="GJ102" s="29" t="str">
        <f>IF(OR($B102="",$A102&lt;54),"",--MID('Key Analysis'!$C98,54,1))</f>
        <v/>
      </c>
      <c r="GK102" s="29" t="str">
        <f>IF(OR($B102="",$A102&lt;55),"",--MID('Key Analysis'!$C98,55,1))</f>
        <v/>
      </c>
      <c r="GL102" s="29" t="str">
        <f>IF(OR($B102="",$A102&lt;56),"",--MID('Key Analysis'!$C98,56,1))</f>
        <v/>
      </c>
      <c r="GM102" s="29" t="str">
        <f>IF(OR($B102="",$A102&lt;57),"",--MID('Key Analysis'!$C98,57,1))</f>
        <v/>
      </c>
      <c r="GN102" s="29" t="str">
        <f>IF(OR($B102="",$A102&lt;58),"",--MID('Key Analysis'!$C98,58,1))</f>
        <v/>
      </c>
      <c r="GO102" s="29" t="str">
        <f>IF(OR($B102="",$A102&lt;59),"",--MID('Key Analysis'!$C98,59,1))</f>
        <v/>
      </c>
      <c r="GP102" s="29" t="str">
        <f>IF(OR($B102="",$A102&lt;60),"",--MID('Key Analysis'!$C98,60,1))</f>
        <v/>
      </c>
      <c r="GQ102" s="29" t="str">
        <f>IF(OR($B102="",$A102&lt;61),"",--MID('Key Analysis'!$C98,61,1))</f>
        <v/>
      </c>
      <c r="GR102" s="29" t="str">
        <f>IF(OR($B102="",$A102&lt;62),"",--MID('Key Analysis'!$C98,62,1))</f>
        <v/>
      </c>
      <c r="GS102" s="29" t="str">
        <f>IF(OR($B102="",$A102&lt;63),"",--MID('Key Analysis'!$C98,63,1))</f>
        <v/>
      </c>
      <c r="GT102" s="29" t="str">
        <f>IF(OR($B102="",$A102&lt;64),"",--MID('Key Analysis'!$C98,64,1))</f>
        <v/>
      </c>
      <c r="GU102" s="29" t="str">
        <f>IF(OR($B102="",$A102&lt;65),"",--MID('Key Analysis'!$C98,65,1))</f>
        <v/>
      </c>
      <c r="GV102" s="29" t="str">
        <f>IF(OR($B102="",$A102&lt;66),"",--MID('Key Analysis'!$C98,66,1))</f>
        <v/>
      </c>
      <c r="GW102" s="29" t="str">
        <f>IF(OR($B102="",$A102&lt;67),"",--MID('Key Analysis'!$C98,67,1))</f>
        <v/>
      </c>
      <c r="GX102" s="29" t="str">
        <f>IF(OR($B102="",$A102&lt;68),"",--MID('Key Analysis'!$C98,68,1))</f>
        <v/>
      </c>
      <c r="GY102" s="29" t="str">
        <f>IF(OR($B102="",$A102&lt;69),"",--MID('Key Analysis'!$C98,69,1))</f>
        <v/>
      </c>
      <c r="GZ102" s="29" t="str">
        <f>IF(OR($B102="",$A102&lt;70),"",--MID('Key Analysis'!$C98,70,1))</f>
        <v/>
      </c>
      <c r="HA102" s="29" t="str">
        <f>IF(OR($B102="",$A102&lt;71),"",--MID('Key Analysis'!$C98,71,1))</f>
        <v/>
      </c>
      <c r="HB102" s="29" t="str">
        <f>IF(OR($B102="",$A102&lt;72),"",--MID('Key Analysis'!$C98,72,1))</f>
        <v/>
      </c>
      <c r="HC102" s="29" t="str">
        <f>IF(OR($B102="",$A102&lt;73),"",--MID('Key Analysis'!$C98,73,1))</f>
        <v/>
      </c>
      <c r="HD102" s="29" t="str">
        <f>IF(OR($B102="",$A102&lt;74),"",--MID('Key Analysis'!$C98,74,1))</f>
        <v/>
      </c>
      <c r="HE102" s="29" t="str">
        <f>IF(OR($B102="",$A102&lt;75),"",--MID('Key Analysis'!$C98,75,1))</f>
        <v/>
      </c>
      <c r="HF102" s="29" t="str">
        <f>IF(OR($B102="",$A102&lt;76),"",--MID('Key Analysis'!$C98,76,1))</f>
        <v/>
      </c>
      <c r="HG102" s="29" t="str">
        <f>IF(OR($B102="",$A102&lt;77),"",--MID('Key Analysis'!$C98,77,1))</f>
        <v/>
      </c>
      <c r="HH102" s="29" t="str">
        <f>IF(OR($B102="",$A102&lt;78),"",--MID('Key Analysis'!$C98,78,1))</f>
        <v/>
      </c>
      <c r="HI102" s="29" t="str">
        <f>IF(OR($B102="",$A102&lt;79),"",--MID('Key Analysis'!$C98,79,1))</f>
        <v/>
      </c>
      <c r="HJ102" s="29" t="str">
        <f>IF(OR($B102="",$A102&lt;80),"",--MID('Key Analysis'!$C98,80,1))</f>
        <v/>
      </c>
      <c r="HK102" s="29" t="str">
        <f>IF(OR($B102="",$A102&lt;81),"",--MID('Key Analysis'!$C98,81,1))</f>
        <v/>
      </c>
      <c r="HL102" s="29" t="str">
        <f>IF(OR($B102="",$A102&lt;82),"",--MID('Key Analysis'!$C98,82,1))</f>
        <v/>
      </c>
      <c r="HM102" s="29" t="str">
        <f>IF(OR($B102="",$A102&lt;83),"",--MID('Key Analysis'!$C98,83,1))</f>
        <v/>
      </c>
      <c r="HN102" s="29" t="str">
        <f>IF(OR($B102="",$A102&lt;84),"",--MID('Key Analysis'!$C98,84,1))</f>
        <v/>
      </c>
      <c r="HO102" s="29" t="str">
        <f>IF(OR($B102="",$A102&lt;85),"",--MID('Key Analysis'!$C98,85,1))</f>
        <v/>
      </c>
      <c r="HP102" s="29" t="str">
        <f>IF(OR($B102="",$A102&lt;86),"",--MID('Key Analysis'!$C98,86,1))</f>
        <v/>
      </c>
      <c r="HQ102" s="29" t="str">
        <f>IF(OR($B102="",$A102&lt;87),"",--MID('Key Analysis'!$C98,87,1))</f>
        <v/>
      </c>
      <c r="HR102" s="29" t="str">
        <f>IF(OR($B102="",$A102&lt;88),"",--MID('Key Analysis'!$C98,88,1))</f>
        <v/>
      </c>
      <c r="HS102" s="29" t="str">
        <f>IF(OR($B102="",$A102&lt;89),"",--MID('Key Analysis'!$C98,89,1))</f>
        <v/>
      </c>
      <c r="HT102" s="29" t="str">
        <f>IF(OR($B102="",$A102&lt;90),"",--MID('Key Analysis'!$C98,90,1))</f>
        <v/>
      </c>
      <c r="HU102" s="29" t="str">
        <f>IF(OR($B102="",$A102&lt;91),"",--MID('Key Analysis'!$C98,91,1))</f>
        <v/>
      </c>
      <c r="HV102" s="29" t="str">
        <f>IF(OR($B102="",$A102&lt;92),"",--MID('Key Analysis'!$C98,92,1))</f>
        <v/>
      </c>
      <c r="HW102" s="29" t="str">
        <f>IF(OR($B102="",$A102&lt;93),"",--MID('Key Analysis'!$C98,93,1))</f>
        <v/>
      </c>
      <c r="HX102" s="29" t="str">
        <f>IF(OR($B102="",$A102&lt;94),"",--MID('Key Analysis'!$C98,94,1))</f>
        <v/>
      </c>
      <c r="HY102" s="29" t="str">
        <f>IF(OR($B102="",$A102&lt;95),"",--MID('Key Analysis'!$C98,95,1))</f>
        <v/>
      </c>
      <c r="HZ102" s="29" t="str">
        <f>IF(OR($B102="",$A102&lt;96),"",--MID('Key Analysis'!$C98,96,1))</f>
        <v/>
      </c>
      <c r="IA102" s="29" t="str">
        <f>IF(OR($B102="",$A102&lt;97),"",--MID('Key Analysis'!$C98,97,1))</f>
        <v/>
      </c>
      <c r="IB102" s="29" t="str">
        <f>IF(OR($B102="",$A102&lt;98),"",--MID('Key Analysis'!$C98,98,1))</f>
        <v/>
      </c>
      <c r="IC102" s="29" t="str">
        <f>IF(OR($B102="",$A102&lt;99),"",--MID('Key Analysis'!$C98,99,1))</f>
        <v/>
      </c>
      <c r="ID102" s="29" t="str">
        <f>IF(OR($B102="",$A102&lt;100),"",--MID('Key Analysis'!$C98,100,1))</f>
        <v/>
      </c>
      <c r="IE102" s="29" t="str">
        <f>IF(OR($B102="",$A102&lt;101),"",--MID('Key Analysis'!$C98,101,1))</f>
        <v/>
      </c>
      <c r="IF102" s="29" t="str">
        <f>IF(OR($B102="",$A102&lt;102),"",--MID('Key Analysis'!$C98,102,1))</f>
        <v/>
      </c>
      <c r="IG102" s="29" t="str">
        <f>IF(OR($B102="",$A102&lt;103),"",--MID('Key Analysis'!$C98,103,1))</f>
        <v/>
      </c>
      <c r="IH102" s="29" t="str">
        <f>IF(OR($B102="",$A102&lt;104),"",--MID('Key Analysis'!$C98,104,1))</f>
        <v/>
      </c>
      <c r="II102" s="29" t="str">
        <f>IF(OR($B102="",$A102&lt;105),"",--MID('Key Analysis'!$C98,105,1))</f>
        <v/>
      </c>
      <c r="IJ102" s="29" t="str">
        <f>IF(OR($B102="",$A102&lt;106),"",--MID('Key Analysis'!$C98,106,1))</f>
        <v/>
      </c>
      <c r="IK102" s="29" t="str">
        <f>IF(OR($B102="",$A102&lt;107),"",--MID('Key Analysis'!$C98,107,1))</f>
        <v/>
      </c>
      <c r="IL102" s="29" t="str">
        <f>IF(OR($B102="",$A102&lt;108),"",--MID('Key Analysis'!$C98,108,1))</f>
        <v/>
      </c>
      <c r="IM102" s="29" t="str">
        <f>IF(OR($B102="",$A102&lt;109),"",--MID('Key Analysis'!$C98,109,1))</f>
        <v/>
      </c>
      <c r="IN102" s="29" t="str">
        <f>IF(OR($B102="",$A102&lt;110),"",--MID('Key Analysis'!$C98,110,1))</f>
        <v/>
      </c>
      <c r="IO102" s="29" t="str">
        <f>IF(OR($B102="",$A102&lt;111),"",--MID('Key Analysis'!$C98,111,1))</f>
        <v/>
      </c>
      <c r="IP102" s="29" t="str">
        <f>IF(OR($B102="",$A102&lt;112),"",--MID('Key Analysis'!$C98,112,1))</f>
        <v/>
      </c>
      <c r="IQ102" s="29" t="str">
        <f>IF(OR($B102="",$A102&lt;113),"",--MID('Key Analysis'!$C98,113,1))</f>
        <v/>
      </c>
      <c r="IR102" s="29" t="str">
        <f>IF(OR($B102="",$A102&lt;114),"",--MID('Key Analysis'!$C98,114,1))</f>
        <v/>
      </c>
      <c r="IS102" s="29" t="str">
        <f>IF(OR($B102="",$A102&lt;115),"",--MID('Key Analysis'!$C98,115,1))</f>
        <v/>
      </c>
      <c r="IT102" s="29" t="str">
        <f>IF(OR($B102="",$A102&lt;116),"",--MID('Key Analysis'!$C98,116,1))</f>
        <v/>
      </c>
      <c r="IU102" s="29" t="str">
        <f>IF(OR($B102="",$A102&lt;117),"",--MID('Key Analysis'!$C98,117,1))</f>
        <v/>
      </c>
      <c r="IV102" s="29" t="str">
        <f>IF(OR($B102="",$A102&lt;118),"",--MID('Key Analysis'!$C98,118,1))</f>
        <v/>
      </c>
      <c r="IW102" s="29" t="str">
        <f>IF(OR($B102="",$A102&lt;119),"",--MID('Key Analysis'!$C98,119,1))</f>
        <v/>
      </c>
      <c r="IX102" s="29" t="str">
        <f>IF(OR($B102="",$A102&lt;120),"",--MID('Key Analysis'!$C98,120,1))</f>
        <v/>
      </c>
      <c r="IY102" s="29" t="str">
        <f>IF(OR($B102="",$A102&lt;121),"",--MID('Key Analysis'!$C98,121,1))</f>
        <v/>
      </c>
      <c r="IZ102" s="29" t="str">
        <f>IF(OR($B102="",$A102&lt;122),"",--MID('Key Analysis'!$C98,122,1))</f>
        <v/>
      </c>
      <c r="JA102" s="29" t="str">
        <f>IF(OR($B102="",$A102&lt;123),"",--MID('Key Analysis'!$C98,123,1))</f>
        <v/>
      </c>
      <c r="JB102" s="29" t="str">
        <f>IF(OR($B102="",$A102&lt;124),"",--MID('Key Analysis'!$C98,124,1))</f>
        <v/>
      </c>
      <c r="JC102" s="29" t="str">
        <f>IF(OR($B102="",$A102&lt;125),"",--MID('Key Analysis'!$C98,125,1))</f>
        <v/>
      </c>
      <c r="JD102" s="29" t="str">
        <f>IF(OR($B102="",$A102&lt;126),"",--MID('Key Analysis'!$C98,126,1))</f>
        <v/>
      </c>
      <c r="JE102" s="29" t="str">
        <f>IF(OR($B102="",$A102&lt;127),"",--MID('Key Analysis'!$C98,127,1))</f>
        <v/>
      </c>
      <c r="JF102" s="29" t="str">
        <f>IF(OR($B102="",$A102&lt;128),"",--MID('Key Analysis'!$C98,128,1))</f>
        <v/>
      </c>
      <c r="JG102" s="29" t="str">
        <f>IF(OR($B102="",$A102&lt;129),"",--MID('Key Analysis'!$C98,129,1))</f>
        <v/>
      </c>
      <c r="JH102" s="29" t="str">
        <f>IF(OR($B102="",$A102&lt;130),"",--MID('Key Analysis'!$C98,130,1))</f>
        <v/>
      </c>
      <c r="JI102" s="29" t="str">
        <f>IF(OR($B102="",$A102&lt;131),"",--MID('Key Analysis'!$C98,131,1))</f>
        <v/>
      </c>
      <c r="JJ102" s="29" t="str">
        <f>IF(OR($B102="",$A102&lt;132),"",--MID('Key Analysis'!$C98,132,1))</f>
        <v/>
      </c>
      <c r="JK102" s="29" t="str">
        <f>IF(OR($B102="",$A102&lt;133),"",--MID('Key Analysis'!$C98,133,1))</f>
        <v/>
      </c>
      <c r="JL102" s="29" t="str">
        <f>IF(OR($B102="",$A102&lt;134),"",--MID('Key Analysis'!$C98,134,1))</f>
        <v/>
      </c>
      <c r="JM102" s="29" t="str">
        <f>IF(OR($B102="",$A102&lt;135),"",--MID('Key Analysis'!$C98,135,1))</f>
        <v/>
      </c>
    </row>
    <row r="103" spans="1:273" x14ac:dyDescent="0.25">
      <c r="A103" s="21">
        <f>'Key Analysis'!A99</f>
        <v>98</v>
      </c>
      <c r="B103" s="30" t="str">
        <f>'Key Analysis'!B99</f>
        <v/>
      </c>
      <c r="C103" s="29" t="str">
        <f>IF(OR($B103="",$A103&lt;=0),"",--MID('Key Analysis'!$C99,$A103-0,1))</f>
        <v/>
      </c>
      <c r="D103" s="29" t="str">
        <f>IF(OR($B103="",$A103&lt;=1),"",--MID('Key Analysis'!$C99,$A103-1,1))</f>
        <v/>
      </c>
      <c r="E103" s="29" t="str">
        <f>IF(OR($B103="",$A103&lt;=2),"",--MID('Key Analysis'!$C99,$A103-2,1))</f>
        <v/>
      </c>
      <c r="F103" s="29" t="str">
        <f>IF(OR($B103="",$A103&lt;=3),"",--MID('Key Analysis'!$C99,$A103-3,1))</f>
        <v/>
      </c>
      <c r="G103" s="29" t="str">
        <f>IF(OR($B103="",$A103&lt;=4),"",--MID('Key Analysis'!$C99,$A103-4,1))</f>
        <v/>
      </c>
      <c r="H103" s="29" t="str">
        <f>IF(OR($B103="",$A103&lt;=5),"",--MID('Key Analysis'!$C99,$A103-5,1))</f>
        <v/>
      </c>
      <c r="I103" s="29" t="str">
        <f>IF(OR($B103="",$A103&lt;=6),"",--MID('Key Analysis'!$C99,$A103-6,1))</f>
        <v/>
      </c>
      <c r="J103" s="29" t="str">
        <f>IF(OR($B103="",$A103&lt;=7),"",--MID('Key Analysis'!$C99,$A103-7,1))</f>
        <v/>
      </c>
      <c r="K103" s="29" t="str">
        <f>IF(OR($B103="",$A103&lt;=8),"",--MID('Key Analysis'!$C99,$A103-8,1))</f>
        <v/>
      </c>
      <c r="L103" s="29" t="str">
        <f>IF(OR($B103="",$A103&lt;=9),"",--MID('Key Analysis'!$C99,$A103-9,1))</f>
        <v/>
      </c>
      <c r="M103" s="29" t="str">
        <f>IF(OR($B103="",$A103&lt;=10),"",--MID('Key Analysis'!$C99,$A103-10,1))</f>
        <v/>
      </c>
      <c r="N103" s="29" t="str">
        <f>IF(OR($B103="",$A103&lt;=11),"",--MID('Key Analysis'!$C99,$A103-11,1))</f>
        <v/>
      </c>
      <c r="O103" s="29" t="str">
        <f>IF(OR($B103="",$A103&lt;=12),"",--MID('Key Analysis'!$C99,$A103-12,1))</f>
        <v/>
      </c>
      <c r="P103" s="29" t="str">
        <f>IF(OR($B103="",$A103&lt;=13),"",--MID('Key Analysis'!$C99,$A103-13,1))</f>
        <v/>
      </c>
      <c r="Q103" s="29" t="str">
        <f>IF(OR($B103="",$A103&lt;=14),"",--MID('Key Analysis'!$C99,$A103-14,1))</f>
        <v/>
      </c>
      <c r="R103" s="29" t="str">
        <f>IF(OR($B103="",$A103&lt;=15),"",--MID('Key Analysis'!$C99,$A103-15,1))</f>
        <v/>
      </c>
      <c r="S103" s="29" t="str">
        <f>IF(OR($B103="",$A103&lt;=16),"",--MID('Key Analysis'!$C99,$A103-16,1))</f>
        <v/>
      </c>
      <c r="T103" s="29" t="str">
        <f>IF(OR($B103="",$A103&lt;=17),"",--MID('Key Analysis'!$C99,$A103-17,1))</f>
        <v/>
      </c>
      <c r="U103" s="29" t="str">
        <f>IF(OR($B103="",$A103&lt;=18),"",--MID('Key Analysis'!$C99,$A103-18,1))</f>
        <v/>
      </c>
      <c r="V103" s="29" t="str">
        <f>IF(OR($B103="",$A103&lt;=19),"",--MID('Key Analysis'!$C99,$A103-19,1))</f>
        <v/>
      </c>
      <c r="W103" s="29" t="str">
        <f>IF(OR($B103="",$A103&lt;=20),"",--MID('Key Analysis'!$C99,$A103-20,1))</f>
        <v/>
      </c>
      <c r="X103" s="29" t="str">
        <f>IF(OR($B103="",$A103&lt;=21),"",--MID('Key Analysis'!$C99,$A103-21,1))</f>
        <v/>
      </c>
      <c r="Y103" s="29" t="str">
        <f>IF(OR($B103="",$A103&lt;=22),"",--MID('Key Analysis'!$C99,$A103-22,1))</f>
        <v/>
      </c>
      <c r="Z103" s="29" t="str">
        <f>IF(OR($B103="",$A103&lt;=23),"",--MID('Key Analysis'!$C99,$A103-23,1))</f>
        <v/>
      </c>
      <c r="AA103" s="29" t="str">
        <f>IF(OR($B103="",$A103&lt;=24),"",--MID('Key Analysis'!$C99,$A103-24,1))</f>
        <v/>
      </c>
      <c r="AB103" s="29" t="str">
        <f>IF(OR($B103="",$A103&lt;=25),"",--MID('Key Analysis'!$C99,$A103-25,1))</f>
        <v/>
      </c>
      <c r="AC103" s="29" t="str">
        <f>IF(OR($B103="",$A103&lt;=26),"",--MID('Key Analysis'!$C99,$A103-26,1))</f>
        <v/>
      </c>
      <c r="AD103" s="29" t="str">
        <f>IF(OR($B103="",$A103&lt;=27),"",--MID('Key Analysis'!$C99,$A103-27,1))</f>
        <v/>
      </c>
      <c r="AE103" s="29" t="str">
        <f>IF(OR($B103="",$A103&lt;=28),"",--MID('Key Analysis'!$C99,$A103-28,1))</f>
        <v/>
      </c>
      <c r="AF103" s="29" t="str">
        <f>IF(OR($B103="",$A103&lt;=29),"",--MID('Key Analysis'!$C99,$A103-29,1))</f>
        <v/>
      </c>
      <c r="AG103" s="29" t="str">
        <f>IF(OR($B103="",$A103&lt;=30),"",--MID('Key Analysis'!$C99,$A103-30,1))</f>
        <v/>
      </c>
      <c r="AH103" s="29" t="str">
        <f>IF(OR($B103="",$A103&lt;=31),"",--MID('Key Analysis'!$C99,$A103-31,1))</f>
        <v/>
      </c>
      <c r="AI103" s="29" t="str">
        <f>IF(OR($B103="",$A103&lt;=32),"",--MID('Key Analysis'!$C99,$A103-32,1))</f>
        <v/>
      </c>
      <c r="AJ103" s="29" t="str">
        <f>IF(OR($B103="",$A103&lt;=33),"",--MID('Key Analysis'!$C99,$A103-33,1))</f>
        <v/>
      </c>
      <c r="AK103" s="29" t="str">
        <f>IF(OR($B103="",$A103&lt;=34),"",--MID('Key Analysis'!$C99,$A103-34,1))</f>
        <v/>
      </c>
      <c r="AL103" s="29" t="str">
        <f>IF(OR($B103="",$A103&lt;=35),"",--MID('Key Analysis'!$C99,$A103-35,1))</f>
        <v/>
      </c>
      <c r="AM103" s="29" t="str">
        <f>IF(OR($B103="",$A103&lt;=36),"",--MID('Key Analysis'!$C99,$A103-36,1))</f>
        <v/>
      </c>
      <c r="AN103" s="29" t="str">
        <f>IF(OR($B103="",$A103&lt;=37),"",--MID('Key Analysis'!$C99,$A103-37,1))</f>
        <v/>
      </c>
      <c r="AO103" s="29" t="str">
        <f>IF(OR($B103="",$A103&lt;=38),"",--MID('Key Analysis'!$C99,$A103-38,1))</f>
        <v/>
      </c>
      <c r="AP103" s="29" t="str">
        <f>IF(OR($B103="",$A103&lt;=39),"",--MID('Key Analysis'!$C99,$A103-39,1))</f>
        <v/>
      </c>
      <c r="AQ103" s="29" t="str">
        <f>IF(OR($B103="",$A103&lt;=40),"",--MID('Key Analysis'!$C99,$A103-40,1))</f>
        <v/>
      </c>
      <c r="AR103" s="29" t="str">
        <f>IF(OR($B103="",$A103&lt;=41),"",--MID('Key Analysis'!$C99,$A103-41,1))</f>
        <v/>
      </c>
      <c r="AS103" s="29" t="str">
        <f>IF(OR($B103="",$A103&lt;=42),"",--MID('Key Analysis'!$C99,$A103-42,1))</f>
        <v/>
      </c>
      <c r="AT103" s="29" t="str">
        <f>IF(OR($B103="",$A103&lt;=43),"",--MID('Key Analysis'!$C99,$A103-43,1))</f>
        <v/>
      </c>
      <c r="AU103" s="29" t="str">
        <f>IF(OR($B103="",$A103&lt;=44),"",--MID('Key Analysis'!$C99,$A103-44,1))</f>
        <v/>
      </c>
      <c r="AV103" s="29" t="str">
        <f>IF(OR($B103="",$A103&lt;=45),"",--MID('Key Analysis'!$C99,$A103-45,1))</f>
        <v/>
      </c>
      <c r="AW103" s="29" t="str">
        <f>IF(OR($B103="",$A103&lt;=46),"",--MID('Key Analysis'!$C99,$A103-46,1))</f>
        <v/>
      </c>
      <c r="AX103" s="29" t="str">
        <f>IF(OR($B103="",$A103&lt;=47),"",--MID('Key Analysis'!$C99,$A103-47,1))</f>
        <v/>
      </c>
      <c r="AY103" s="29" t="str">
        <f>IF(OR($B103="",$A103&lt;=48),"",--MID('Key Analysis'!$C99,$A103-48,1))</f>
        <v/>
      </c>
      <c r="AZ103" s="29" t="str">
        <f>IF(OR($B103="",$A103&lt;=49),"",--MID('Key Analysis'!$C99,$A103-49,1))</f>
        <v/>
      </c>
      <c r="BA103" s="29" t="str">
        <f>IF(OR($B103="",$A103&lt;=50),"",--MID('Key Analysis'!$C99,$A103-50,1))</f>
        <v/>
      </c>
      <c r="BB103" s="29" t="str">
        <f>IF(OR($B103="",$A103&lt;=51),"",--MID('Key Analysis'!$C99,$A103-51,1))</f>
        <v/>
      </c>
      <c r="BC103" s="29" t="str">
        <f>IF(OR($B103="",$A103&lt;=52),"",--MID('Key Analysis'!$C99,$A103-52,1))</f>
        <v/>
      </c>
      <c r="BD103" s="29" t="str">
        <f>IF(OR($B103="",$A103&lt;=53),"",--MID('Key Analysis'!$C99,$A103-53,1))</f>
        <v/>
      </c>
      <c r="BE103" s="29" t="str">
        <f>IF(OR($B103="",$A103&lt;=54),"",--MID('Key Analysis'!$C99,$A103-54,1))</f>
        <v/>
      </c>
      <c r="BF103" s="29" t="str">
        <f>IF(OR($B103="",$A103&lt;=55),"",--MID('Key Analysis'!$C99,$A103-55,1))</f>
        <v/>
      </c>
      <c r="BG103" s="29" t="str">
        <f>IF(OR($B103="",$A103&lt;=56),"",--MID('Key Analysis'!$C99,$A103-56,1))</f>
        <v/>
      </c>
      <c r="BH103" s="29" t="str">
        <f>IF(OR($B103="",$A103&lt;=57),"",--MID('Key Analysis'!$C99,$A103-57,1))</f>
        <v/>
      </c>
      <c r="BI103" s="29" t="str">
        <f>IF(OR($B103="",$A103&lt;=58),"",--MID('Key Analysis'!$C99,$A103-58,1))</f>
        <v/>
      </c>
      <c r="BJ103" s="29" t="str">
        <f>IF(OR($B103="",$A103&lt;=59),"",--MID('Key Analysis'!$C99,$A103-59,1))</f>
        <v/>
      </c>
      <c r="BK103" s="29" t="str">
        <f>IF(OR($B103="",$A103&lt;=60),"",--MID('Key Analysis'!$C99,$A103-60,1))</f>
        <v/>
      </c>
      <c r="BL103" s="29" t="str">
        <f>IF(OR($B103="",$A103&lt;=61),"",--MID('Key Analysis'!$C99,$A103-61,1))</f>
        <v/>
      </c>
      <c r="BM103" s="29" t="str">
        <f>IF(OR($B103="",$A103&lt;=62),"",--MID('Key Analysis'!$C99,$A103-62,1))</f>
        <v/>
      </c>
      <c r="BN103" s="29" t="str">
        <f>IF(OR($B103="",$A103&lt;=63),"",--MID('Key Analysis'!$C99,$A103-63,1))</f>
        <v/>
      </c>
      <c r="BO103" s="29" t="str">
        <f>IF(OR($B103="",$A103&lt;=64),"",--MID('Key Analysis'!$C99,$A103-64,1))</f>
        <v/>
      </c>
      <c r="BP103" s="29" t="str">
        <f>IF(OR($B103="",$A103&lt;=65),"",--MID('Key Analysis'!$C99,$A103-65,1))</f>
        <v/>
      </c>
      <c r="BQ103" s="29" t="str">
        <f>IF(OR($B103="",$A103&lt;=66),"",--MID('Key Analysis'!$C99,$A103-66,1))</f>
        <v/>
      </c>
      <c r="BR103" s="29" t="str">
        <f>IF(OR($B103="",$A103&lt;=67),"",--MID('Key Analysis'!$C99,$A103-67,1))</f>
        <v/>
      </c>
      <c r="BS103" s="29" t="str">
        <f>IF(OR($B103="",$A103&lt;=68),"",--MID('Key Analysis'!$C99,$A103-68,1))</f>
        <v/>
      </c>
      <c r="BT103" s="29" t="str">
        <f>IF(OR($B103="",$A103&lt;=69),"",--MID('Key Analysis'!$C99,$A103-69,1))</f>
        <v/>
      </c>
      <c r="BU103" s="29" t="str">
        <f>IF(OR($B103="",$A103&lt;=70),"",--MID('Key Analysis'!$C99,$A103-70,1))</f>
        <v/>
      </c>
      <c r="BV103" s="29" t="str">
        <f>IF(OR($B103="",$A103&lt;=71),"",--MID('Key Analysis'!$C99,$A103-71,1))</f>
        <v/>
      </c>
      <c r="BW103" s="29" t="str">
        <f>IF(OR($B103="",$A103&lt;=72),"",--MID('Key Analysis'!$C99,$A103-72,1))</f>
        <v/>
      </c>
      <c r="BX103" s="29" t="str">
        <f>IF(OR($B103="",$A103&lt;=73),"",--MID('Key Analysis'!$C99,$A103-73,1))</f>
        <v/>
      </c>
      <c r="BY103" s="29" t="str">
        <f>IF(OR($B103="",$A103&lt;=74),"",--MID('Key Analysis'!$C99,$A103-74,1))</f>
        <v/>
      </c>
      <c r="BZ103" s="29" t="str">
        <f>IF(OR($B103="",$A103&lt;=75),"",--MID('Key Analysis'!$C99,$A103-75,1))</f>
        <v/>
      </c>
      <c r="CA103" s="29" t="str">
        <f>IF(OR($B103="",$A103&lt;=76),"",--MID('Key Analysis'!$C99,$A103-76,1))</f>
        <v/>
      </c>
      <c r="CB103" s="29" t="str">
        <f>IF(OR($B103="",$A103&lt;=77),"",--MID('Key Analysis'!$C99,$A103-77,1))</f>
        <v/>
      </c>
      <c r="CC103" s="29" t="str">
        <f>IF(OR($B103="",$A103&lt;=78),"",--MID('Key Analysis'!$C99,$A103-78,1))</f>
        <v/>
      </c>
      <c r="CD103" s="29" t="str">
        <f>IF(OR($B103="",$A103&lt;=79),"",--MID('Key Analysis'!$C99,$A103-79,1))</f>
        <v/>
      </c>
      <c r="CE103" s="29" t="str">
        <f>IF(OR($B103="",$A103&lt;=80),"",--MID('Key Analysis'!$C99,$A103-80,1))</f>
        <v/>
      </c>
      <c r="CF103" s="29" t="str">
        <f>IF(OR($B103="",$A103&lt;=81),"",--MID('Key Analysis'!$C99,$A103-81,1))</f>
        <v/>
      </c>
      <c r="CG103" s="29" t="str">
        <f>IF(OR($B103="",$A103&lt;=82),"",--MID('Key Analysis'!$C99,$A103-82,1))</f>
        <v/>
      </c>
      <c r="CH103" s="29" t="str">
        <f>IF(OR($B103="",$A103&lt;=83),"",--MID('Key Analysis'!$C99,$A103-83,1))</f>
        <v/>
      </c>
      <c r="CI103" s="29" t="str">
        <f>IF(OR($B103="",$A103&lt;=84),"",--MID('Key Analysis'!$C99,$A103-84,1))</f>
        <v/>
      </c>
      <c r="CJ103" s="29" t="str">
        <f>IF(OR($B103="",$A103&lt;=85),"",--MID('Key Analysis'!$C99,$A103-85,1))</f>
        <v/>
      </c>
      <c r="CK103" s="29" t="str">
        <f>IF(OR($B103="",$A103&lt;=86),"",--MID('Key Analysis'!$C99,$A103-86,1))</f>
        <v/>
      </c>
      <c r="CL103" s="29" t="str">
        <f>IF(OR($B103="",$A103&lt;=87),"",--MID('Key Analysis'!$C99,$A103-87,1))</f>
        <v/>
      </c>
      <c r="CM103" s="29" t="str">
        <f>IF(OR($B103="",$A103&lt;=88),"",--MID('Key Analysis'!$C99,$A103-88,1))</f>
        <v/>
      </c>
      <c r="CN103" s="29" t="str">
        <f>IF(OR($B103="",$A103&lt;=89),"",--MID('Key Analysis'!$C99,$A103-89,1))</f>
        <v/>
      </c>
      <c r="CO103" s="29" t="str">
        <f>IF(OR($B103="",$A103&lt;=90),"",--MID('Key Analysis'!$C99,$A103-90,1))</f>
        <v/>
      </c>
      <c r="CP103" s="29" t="str">
        <f>IF(OR($B103="",$A103&lt;=91),"",--MID('Key Analysis'!$C99,$A103-91,1))</f>
        <v/>
      </c>
      <c r="CQ103" s="29" t="str">
        <f>IF(OR($B103="",$A103&lt;=92),"",--MID('Key Analysis'!$C99,$A103-92,1))</f>
        <v/>
      </c>
      <c r="CR103" s="29" t="str">
        <f>IF(OR($B103="",$A103&lt;=93),"",--MID('Key Analysis'!$C99,$A103-93,1))</f>
        <v/>
      </c>
      <c r="CS103" s="29" t="str">
        <f>IF(OR($B103="",$A103&lt;=94),"",--MID('Key Analysis'!$C99,$A103-94,1))</f>
        <v/>
      </c>
      <c r="CT103" s="29" t="str">
        <f>IF(OR($B103="",$A103&lt;=95),"",--MID('Key Analysis'!$C99,$A103-95,1))</f>
        <v/>
      </c>
      <c r="CU103" s="29" t="str">
        <f>IF(OR($B103="",$A103&lt;=96),"",--MID('Key Analysis'!$C99,$A103-96,1))</f>
        <v/>
      </c>
      <c r="CV103" s="29" t="str">
        <f>IF(OR($B103="",$A103&lt;=97),"",--MID('Key Analysis'!$C99,$A103-97,1))</f>
        <v/>
      </c>
      <c r="CW103" s="29" t="str">
        <f>IF(OR($B103="",$A103&lt;=98),"",--MID('Key Analysis'!$C99,$A103-98,1))</f>
        <v/>
      </c>
      <c r="CX103" s="29" t="str">
        <f>IF(OR($B103="",$A103&lt;=99),"",--MID('Key Analysis'!$C99,$A103-99,1))</f>
        <v/>
      </c>
      <c r="CY103" s="29" t="str">
        <f>IF(OR($B103="",$A103&lt;=100),"",--MID('Key Analysis'!$C99,$A103-100,1))</f>
        <v/>
      </c>
      <c r="CZ103" s="29" t="str">
        <f>IF(OR($B103="",$A103&lt;=101),"",--MID('Key Analysis'!$C99,$A103-101,1))</f>
        <v/>
      </c>
      <c r="DA103" s="29" t="str">
        <f>IF(OR($B103="",$A103&lt;=102),"",--MID('Key Analysis'!$C99,$A103-102,1))</f>
        <v/>
      </c>
      <c r="DB103" s="29" t="str">
        <f>IF(OR($B103="",$A103&lt;=103),"",--MID('Key Analysis'!$C99,$A103-103,1))</f>
        <v/>
      </c>
      <c r="DC103" s="29" t="str">
        <f>IF(OR($B103="",$A103&lt;=104),"",--MID('Key Analysis'!$C99,$A103-104,1))</f>
        <v/>
      </c>
      <c r="DD103" s="29" t="str">
        <f>IF(OR($B103="",$A103&lt;=105),"",--MID('Key Analysis'!$C99,$A103-105,1))</f>
        <v/>
      </c>
      <c r="DE103" s="29" t="str">
        <f>IF(OR($B103="",$A103&lt;=106),"",--MID('Key Analysis'!$C99,$A103-106,1))</f>
        <v/>
      </c>
      <c r="DF103" s="29" t="str">
        <f>IF(OR($B103="",$A103&lt;=107),"",--MID('Key Analysis'!$C99,$A103-107,1))</f>
        <v/>
      </c>
      <c r="DG103" s="29" t="str">
        <f>IF(OR($B103="",$A103&lt;=108),"",--MID('Key Analysis'!$C99,$A103-108,1))</f>
        <v/>
      </c>
      <c r="DH103" s="29" t="str">
        <f>IF(OR($B103="",$A103&lt;=109),"",--MID('Key Analysis'!$C99,$A103-109,1))</f>
        <v/>
      </c>
      <c r="DI103" s="29" t="str">
        <f>IF(OR($B103="",$A103&lt;=110),"",--MID('Key Analysis'!$C99,$A103-110,1))</f>
        <v/>
      </c>
      <c r="DJ103" s="29" t="str">
        <f>IF(OR($B103="",$A103&lt;=111),"",--MID('Key Analysis'!$C99,$A103-111,1))</f>
        <v/>
      </c>
      <c r="DK103" s="29" t="str">
        <f>IF(OR($B103="",$A103&lt;=112),"",--MID('Key Analysis'!$C99,$A103-112,1))</f>
        <v/>
      </c>
      <c r="DL103" s="29" t="str">
        <f>IF(OR($B103="",$A103&lt;=113),"",--MID('Key Analysis'!$C99,$A103-113,1))</f>
        <v/>
      </c>
      <c r="DM103" s="29" t="str">
        <f>IF(OR($B103="",$A103&lt;=114),"",--MID('Key Analysis'!$C99,$A103-114,1))</f>
        <v/>
      </c>
      <c r="DN103" s="29" t="str">
        <f>IF(OR($B103="",$A103&lt;=115),"",--MID('Key Analysis'!$C99,$A103-115,1))</f>
        <v/>
      </c>
      <c r="DO103" s="29" t="str">
        <f>IF(OR($B103="",$A103&lt;=116),"",--MID('Key Analysis'!$C99,$A103-116,1))</f>
        <v/>
      </c>
      <c r="DP103" s="29" t="str">
        <f>IF(OR($B103="",$A103&lt;=117),"",--MID('Key Analysis'!$C99,$A103-117,1))</f>
        <v/>
      </c>
      <c r="DQ103" s="29" t="str">
        <f>IF(OR($B103="",$A103&lt;=118),"",--MID('Key Analysis'!$C99,$A103-118,1))</f>
        <v/>
      </c>
      <c r="DR103" s="29" t="str">
        <f>IF(OR($B103="",$A103&lt;=119),"",--MID('Key Analysis'!$C99,$A103-119,1))</f>
        <v/>
      </c>
      <c r="DS103" s="29" t="str">
        <f>IF(OR($B103="",$A103&lt;=120),"",--MID('Key Analysis'!$C99,$A103-120,1))</f>
        <v/>
      </c>
      <c r="DT103" s="29" t="str">
        <f>IF(OR($B103="",$A103&lt;=121),"",--MID('Key Analysis'!$C99,$A103-121,1))</f>
        <v/>
      </c>
      <c r="DU103" s="29" t="str">
        <f>IF(OR($B103="",$A103&lt;=122),"",--MID('Key Analysis'!$C99,$A103-122,1))</f>
        <v/>
      </c>
      <c r="DV103" s="29" t="str">
        <f>IF(OR($B103="",$A103&lt;=123),"",--MID('Key Analysis'!$C99,$A103-123,1))</f>
        <v/>
      </c>
      <c r="DW103" s="29" t="str">
        <f>IF(OR($B103="",$A103&lt;=124),"",--MID('Key Analysis'!$C99,$A103-124,1))</f>
        <v/>
      </c>
      <c r="DX103" s="29" t="str">
        <f>IF(OR($B103="",$A103&lt;=125),"",--MID('Key Analysis'!$C99,$A103-125,1))</f>
        <v/>
      </c>
      <c r="DY103" s="29" t="str">
        <f>IF(OR($B103="",$A103&lt;=126),"",--MID('Key Analysis'!$C99,$A103-126,1))</f>
        <v/>
      </c>
      <c r="DZ103" s="29" t="str">
        <f>IF(OR($B103="",$A103&lt;=127),"",--MID('Key Analysis'!$C99,$A103-127,1))</f>
        <v/>
      </c>
      <c r="EA103" s="29" t="str">
        <f>IF(OR($B103="",$A103&lt;=128),"",--MID('Key Analysis'!$C99,$A103-128,1))</f>
        <v/>
      </c>
      <c r="EB103" s="29" t="str">
        <f>IF(OR($B103="",$A103&lt;=129),"",--MID('Key Analysis'!$C99,$A103-129,1))</f>
        <v/>
      </c>
      <c r="EC103" s="29" t="str">
        <f>IF(OR($B103="",$A103&lt;=130),"",--MID('Key Analysis'!$C99,$A103-130,1))</f>
        <v/>
      </c>
      <c r="ED103" s="29" t="str">
        <f>IF(OR($B103="",$A103&lt;=131),"",--MID('Key Analysis'!$C99,$A103-131,1))</f>
        <v/>
      </c>
      <c r="EE103" s="29" t="str">
        <f>IF(OR($B103="",$A103&lt;=132),"",--MID('Key Analysis'!$C99,$A103-132,1))</f>
        <v/>
      </c>
      <c r="EF103" s="29" t="str">
        <f>IF(OR($B103="",$A103&lt;=133),"",--MID('Key Analysis'!$C99,$A103-133,1))</f>
        <v/>
      </c>
      <c r="EG103" s="29" t="str">
        <f>IF(OR($B103="",$A103&lt;=134),"",--MID('Key Analysis'!$C99,$A103-134,1))</f>
        <v/>
      </c>
      <c r="EH103" s="29"/>
      <c r="EI103" s="29" t="str">
        <f>IF(OR($B103="",$A103&lt;1),"",--MID('Key Analysis'!$C99,1,1))</f>
        <v/>
      </c>
      <c r="EJ103" s="29" t="str">
        <f>IF(OR($B103="",$A103&lt;2),"",--MID('Key Analysis'!$C99,2,1))</f>
        <v/>
      </c>
      <c r="EK103" s="29" t="str">
        <f>IF(OR($B103="",$A103&lt;3),"",--MID('Key Analysis'!$C99,3,1))</f>
        <v/>
      </c>
      <c r="EL103" s="29" t="str">
        <f>IF(OR($B103="",$A103&lt;4),"",--MID('Key Analysis'!$C99,4,1))</f>
        <v/>
      </c>
      <c r="EM103" s="29" t="str">
        <f>IF(OR($B103="",$A103&lt;5),"",--MID('Key Analysis'!$C99,5,1))</f>
        <v/>
      </c>
      <c r="EN103" s="29" t="str">
        <f>IF(OR($B103="",$A103&lt;6),"",--MID('Key Analysis'!$C99,6,1))</f>
        <v/>
      </c>
      <c r="EO103" s="29" t="str">
        <f>IF(OR($B103="",$A103&lt;7),"",--MID('Key Analysis'!$C99,7,1))</f>
        <v/>
      </c>
      <c r="EP103" s="29" t="str">
        <f>IF(OR($B103="",$A103&lt;8),"",--MID('Key Analysis'!$C99,8,1))</f>
        <v/>
      </c>
      <c r="EQ103" s="29" t="str">
        <f>IF(OR($B103="",$A103&lt;9),"",--MID('Key Analysis'!$C99,9,1))</f>
        <v/>
      </c>
      <c r="ER103" s="29" t="str">
        <f>IF(OR($B103="",$A103&lt;10),"",--MID('Key Analysis'!$C99,10,1))</f>
        <v/>
      </c>
      <c r="ES103" s="29" t="str">
        <f>IF(OR($B103="",$A103&lt;11),"",--MID('Key Analysis'!$C99,11,1))</f>
        <v/>
      </c>
      <c r="ET103" s="29" t="str">
        <f>IF(OR($B103="",$A103&lt;12),"",--MID('Key Analysis'!$C99,12,1))</f>
        <v/>
      </c>
      <c r="EU103" s="29" t="str">
        <f>IF(OR($B103="",$A103&lt;13),"",--MID('Key Analysis'!$C99,13,1))</f>
        <v/>
      </c>
      <c r="EV103" s="29" t="str">
        <f>IF(OR($B103="",$A103&lt;14),"",--MID('Key Analysis'!$C99,14,1))</f>
        <v/>
      </c>
      <c r="EW103" s="29" t="str">
        <f>IF(OR($B103="",$A103&lt;15),"",--MID('Key Analysis'!$C99,15,1))</f>
        <v/>
      </c>
      <c r="EX103" s="29" t="str">
        <f>IF(OR($B103="",$A103&lt;16),"",--MID('Key Analysis'!$C99,16,1))</f>
        <v/>
      </c>
      <c r="EY103" s="29" t="str">
        <f>IF(OR($B103="",$A103&lt;17),"",--MID('Key Analysis'!$C99,17,1))</f>
        <v/>
      </c>
      <c r="EZ103" s="29" t="str">
        <f>IF(OR($B103="",$A103&lt;18),"",--MID('Key Analysis'!$C99,18,1))</f>
        <v/>
      </c>
      <c r="FA103" s="29" t="str">
        <f>IF(OR($B103="",$A103&lt;19),"",--MID('Key Analysis'!$C99,19,1))</f>
        <v/>
      </c>
      <c r="FB103" s="29" t="str">
        <f>IF(OR($B103="",$A103&lt;20),"",--MID('Key Analysis'!$C99,20,1))</f>
        <v/>
      </c>
      <c r="FC103" s="29" t="str">
        <f>IF(OR($B103="",$A103&lt;21),"",--MID('Key Analysis'!$C99,21,1))</f>
        <v/>
      </c>
      <c r="FD103" s="29" t="str">
        <f>IF(OR($B103="",$A103&lt;22),"",--MID('Key Analysis'!$C99,22,1))</f>
        <v/>
      </c>
      <c r="FE103" s="29" t="str">
        <f>IF(OR($B103="",$A103&lt;23),"",--MID('Key Analysis'!$C99,23,1))</f>
        <v/>
      </c>
      <c r="FF103" s="29" t="str">
        <f>IF(OR($B103="",$A103&lt;24),"",--MID('Key Analysis'!$C99,24,1))</f>
        <v/>
      </c>
      <c r="FG103" s="29" t="str">
        <f>IF(OR($B103="",$A103&lt;25),"",--MID('Key Analysis'!$C99,25,1))</f>
        <v/>
      </c>
      <c r="FH103" s="29" t="str">
        <f>IF(OR($B103="",$A103&lt;26),"",--MID('Key Analysis'!$C99,26,1))</f>
        <v/>
      </c>
      <c r="FI103" s="29" t="str">
        <f>IF(OR($B103="",$A103&lt;27),"",--MID('Key Analysis'!$C99,27,1))</f>
        <v/>
      </c>
      <c r="FJ103" s="29" t="str">
        <f>IF(OR($B103="",$A103&lt;28),"",--MID('Key Analysis'!$C99,28,1))</f>
        <v/>
      </c>
      <c r="FK103" s="29" t="str">
        <f>IF(OR($B103="",$A103&lt;29),"",--MID('Key Analysis'!$C99,29,1))</f>
        <v/>
      </c>
      <c r="FL103" s="29" t="str">
        <f>IF(OR($B103="",$A103&lt;30),"",--MID('Key Analysis'!$C99,30,1))</f>
        <v/>
      </c>
      <c r="FM103" s="29" t="str">
        <f>IF(OR($B103="",$A103&lt;31),"",--MID('Key Analysis'!$C99,31,1))</f>
        <v/>
      </c>
      <c r="FN103" s="29" t="str">
        <f>IF(OR($B103="",$A103&lt;32),"",--MID('Key Analysis'!$C99,32,1))</f>
        <v/>
      </c>
      <c r="FO103" s="29" t="str">
        <f>IF(OR($B103="",$A103&lt;33),"",--MID('Key Analysis'!$C99,33,1))</f>
        <v/>
      </c>
      <c r="FP103" s="29" t="str">
        <f>IF(OR($B103="",$A103&lt;34),"",--MID('Key Analysis'!$C99,34,1))</f>
        <v/>
      </c>
      <c r="FQ103" s="29" t="str">
        <f>IF(OR($B103="",$A103&lt;35),"",--MID('Key Analysis'!$C99,35,1))</f>
        <v/>
      </c>
      <c r="FR103" s="29" t="str">
        <f>IF(OR($B103="",$A103&lt;36),"",--MID('Key Analysis'!$C99,36,1))</f>
        <v/>
      </c>
      <c r="FS103" s="29" t="str">
        <f>IF(OR($B103="",$A103&lt;37),"",--MID('Key Analysis'!$C99,37,1))</f>
        <v/>
      </c>
      <c r="FT103" s="29" t="str">
        <f>IF(OR($B103="",$A103&lt;38),"",--MID('Key Analysis'!$C99,38,1))</f>
        <v/>
      </c>
      <c r="FU103" s="29" t="str">
        <f>IF(OR($B103="",$A103&lt;39),"",--MID('Key Analysis'!$C99,39,1))</f>
        <v/>
      </c>
      <c r="FV103" s="29" t="str">
        <f>IF(OR($B103="",$A103&lt;40),"",--MID('Key Analysis'!$C99,40,1))</f>
        <v/>
      </c>
      <c r="FW103" s="29" t="str">
        <f>IF(OR($B103="",$A103&lt;41),"",--MID('Key Analysis'!$C99,41,1))</f>
        <v/>
      </c>
      <c r="FX103" s="29" t="str">
        <f>IF(OR($B103="",$A103&lt;42),"",--MID('Key Analysis'!$C99,42,1))</f>
        <v/>
      </c>
      <c r="FY103" s="29" t="str">
        <f>IF(OR($B103="",$A103&lt;43),"",--MID('Key Analysis'!$C99,43,1))</f>
        <v/>
      </c>
      <c r="FZ103" s="29" t="str">
        <f>IF(OR($B103="",$A103&lt;44),"",--MID('Key Analysis'!$C99,44,1))</f>
        <v/>
      </c>
      <c r="GA103" s="29" t="str">
        <f>IF(OR($B103="",$A103&lt;45),"",--MID('Key Analysis'!$C99,45,1))</f>
        <v/>
      </c>
      <c r="GB103" s="29" t="str">
        <f>IF(OR($B103="",$A103&lt;46),"",--MID('Key Analysis'!$C99,46,1))</f>
        <v/>
      </c>
      <c r="GC103" s="29" t="str">
        <f>IF(OR($B103="",$A103&lt;47),"",--MID('Key Analysis'!$C99,47,1))</f>
        <v/>
      </c>
      <c r="GD103" s="29" t="str">
        <f>IF(OR($B103="",$A103&lt;48),"",--MID('Key Analysis'!$C99,48,1))</f>
        <v/>
      </c>
      <c r="GE103" s="29" t="str">
        <f>IF(OR($B103="",$A103&lt;49),"",--MID('Key Analysis'!$C99,49,1))</f>
        <v/>
      </c>
      <c r="GF103" s="29" t="str">
        <f>IF(OR($B103="",$A103&lt;50),"",--MID('Key Analysis'!$C99,50,1))</f>
        <v/>
      </c>
      <c r="GG103" s="29" t="str">
        <f>IF(OR($B103="",$A103&lt;51),"",--MID('Key Analysis'!$C99,51,1))</f>
        <v/>
      </c>
      <c r="GH103" s="29" t="str">
        <f>IF(OR($B103="",$A103&lt;52),"",--MID('Key Analysis'!$C99,52,1))</f>
        <v/>
      </c>
      <c r="GI103" s="29" t="str">
        <f>IF(OR($B103="",$A103&lt;53),"",--MID('Key Analysis'!$C99,53,1))</f>
        <v/>
      </c>
      <c r="GJ103" s="29" t="str">
        <f>IF(OR($B103="",$A103&lt;54),"",--MID('Key Analysis'!$C99,54,1))</f>
        <v/>
      </c>
      <c r="GK103" s="29" t="str">
        <f>IF(OR($B103="",$A103&lt;55),"",--MID('Key Analysis'!$C99,55,1))</f>
        <v/>
      </c>
      <c r="GL103" s="29" t="str">
        <f>IF(OR($B103="",$A103&lt;56),"",--MID('Key Analysis'!$C99,56,1))</f>
        <v/>
      </c>
      <c r="GM103" s="29" t="str">
        <f>IF(OR($B103="",$A103&lt;57),"",--MID('Key Analysis'!$C99,57,1))</f>
        <v/>
      </c>
      <c r="GN103" s="29" t="str">
        <f>IF(OR($B103="",$A103&lt;58),"",--MID('Key Analysis'!$C99,58,1))</f>
        <v/>
      </c>
      <c r="GO103" s="29" t="str">
        <f>IF(OR($B103="",$A103&lt;59),"",--MID('Key Analysis'!$C99,59,1))</f>
        <v/>
      </c>
      <c r="GP103" s="29" t="str">
        <f>IF(OR($B103="",$A103&lt;60),"",--MID('Key Analysis'!$C99,60,1))</f>
        <v/>
      </c>
      <c r="GQ103" s="29" t="str">
        <f>IF(OR($B103="",$A103&lt;61),"",--MID('Key Analysis'!$C99,61,1))</f>
        <v/>
      </c>
      <c r="GR103" s="29" t="str">
        <f>IF(OR($B103="",$A103&lt;62),"",--MID('Key Analysis'!$C99,62,1))</f>
        <v/>
      </c>
      <c r="GS103" s="29" t="str">
        <f>IF(OR($B103="",$A103&lt;63),"",--MID('Key Analysis'!$C99,63,1))</f>
        <v/>
      </c>
      <c r="GT103" s="29" t="str">
        <f>IF(OR($B103="",$A103&lt;64),"",--MID('Key Analysis'!$C99,64,1))</f>
        <v/>
      </c>
      <c r="GU103" s="29" t="str">
        <f>IF(OR($B103="",$A103&lt;65),"",--MID('Key Analysis'!$C99,65,1))</f>
        <v/>
      </c>
      <c r="GV103" s="29" t="str">
        <f>IF(OR($B103="",$A103&lt;66),"",--MID('Key Analysis'!$C99,66,1))</f>
        <v/>
      </c>
      <c r="GW103" s="29" t="str">
        <f>IF(OR($B103="",$A103&lt;67),"",--MID('Key Analysis'!$C99,67,1))</f>
        <v/>
      </c>
      <c r="GX103" s="29" t="str">
        <f>IF(OR($B103="",$A103&lt;68),"",--MID('Key Analysis'!$C99,68,1))</f>
        <v/>
      </c>
      <c r="GY103" s="29" t="str">
        <f>IF(OR($B103="",$A103&lt;69),"",--MID('Key Analysis'!$C99,69,1))</f>
        <v/>
      </c>
      <c r="GZ103" s="29" t="str">
        <f>IF(OR($B103="",$A103&lt;70),"",--MID('Key Analysis'!$C99,70,1))</f>
        <v/>
      </c>
      <c r="HA103" s="29" t="str">
        <f>IF(OR($B103="",$A103&lt;71),"",--MID('Key Analysis'!$C99,71,1))</f>
        <v/>
      </c>
      <c r="HB103" s="29" t="str">
        <f>IF(OR($B103="",$A103&lt;72),"",--MID('Key Analysis'!$C99,72,1))</f>
        <v/>
      </c>
      <c r="HC103" s="29" t="str">
        <f>IF(OR($B103="",$A103&lt;73),"",--MID('Key Analysis'!$C99,73,1))</f>
        <v/>
      </c>
      <c r="HD103" s="29" t="str">
        <f>IF(OR($B103="",$A103&lt;74),"",--MID('Key Analysis'!$C99,74,1))</f>
        <v/>
      </c>
      <c r="HE103" s="29" t="str">
        <f>IF(OR($B103="",$A103&lt;75),"",--MID('Key Analysis'!$C99,75,1))</f>
        <v/>
      </c>
      <c r="HF103" s="29" t="str">
        <f>IF(OR($B103="",$A103&lt;76),"",--MID('Key Analysis'!$C99,76,1))</f>
        <v/>
      </c>
      <c r="HG103" s="29" t="str">
        <f>IF(OR($B103="",$A103&lt;77),"",--MID('Key Analysis'!$C99,77,1))</f>
        <v/>
      </c>
      <c r="HH103" s="29" t="str">
        <f>IF(OR($B103="",$A103&lt;78),"",--MID('Key Analysis'!$C99,78,1))</f>
        <v/>
      </c>
      <c r="HI103" s="29" t="str">
        <f>IF(OR($B103="",$A103&lt;79),"",--MID('Key Analysis'!$C99,79,1))</f>
        <v/>
      </c>
      <c r="HJ103" s="29" t="str">
        <f>IF(OR($B103="",$A103&lt;80),"",--MID('Key Analysis'!$C99,80,1))</f>
        <v/>
      </c>
      <c r="HK103" s="29" t="str">
        <f>IF(OR($B103="",$A103&lt;81),"",--MID('Key Analysis'!$C99,81,1))</f>
        <v/>
      </c>
      <c r="HL103" s="29" t="str">
        <f>IF(OR($B103="",$A103&lt;82),"",--MID('Key Analysis'!$C99,82,1))</f>
        <v/>
      </c>
      <c r="HM103" s="29" t="str">
        <f>IF(OR($B103="",$A103&lt;83),"",--MID('Key Analysis'!$C99,83,1))</f>
        <v/>
      </c>
      <c r="HN103" s="29" t="str">
        <f>IF(OR($B103="",$A103&lt;84),"",--MID('Key Analysis'!$C99,84,1))</f>
        <v/>
      </c>
      <c r="HO103" s="29" t="str">
        <f>IF(OR($B103="",$A103&lt;85),"",--MID('Key Analysis'!$C99,85,1))</f>
        <v/>
      </c>
      <c r="HP103" s="29" t="str">
        <f>IF(OR($B103="",$A103&lt;86),"",--MID('Key Analysis'!$C99,86,1))</f>
        <v/>
      </c>
      <c r="HQ103" s="29" t="str">
        <f>IF(OR($B103="",$A103&lt;87),"",--MID('Key Analysis'!$C99,87,1))</f>
        <v/>
      </c>
      <c r="HR103" s="29" t="str">
        <f>IF(OR($B103="",$A103&lt;88),"",--MID('Key Analysis'!$C99,88,1))</f>
        <v/>
      </c>
      <c r="HS103" s="29" t="str">
        <f>IF(OR($B103="",$A103&lt;89),"",--MID('Key Analysis'!$C99,89,1))</f>
        <v/>
      </c>
      <c r="HT103" s="29" t="str">
        <f>IF(OR($B103="",$A103&lt;90),"",--MID('Key Analysis'!$C99,90,1))</f>
        <v/>
      </c>
      <c r="HU103" s="29" t="str">
        <f>IF(OR($B103="",$A103&lt;91),"",--MID('Key Analysis'!$C99,91,1))</f>
        <v/>
      </c>
      <c r="HV103" s="29" t="str">
        <f>IF(OR($B103="",$A103&lt;92),"",--MID('Key Analysis'!$C99,92,1))</f>
        <v/>
      </c>
      <c r="HW103" s="29" t="str">
        <f>IF(OR($B103="",$A103&lt;93),"",--MID('Key Analysis'!$C99,93,1))</f>
        <v/>
      </c>
      <c r="HX103" s="29" t="str">
        <f>IF(OR($B103="",$A103&lt;94),"",--MID('Key Analysis'!$C99,94,1))</f>
        <v/>
      </c>
      <c r="HY103" s="29" t="str">
        <f>IF(OR($B103="",$A103&lt;95),"",--MID('Key Analysis'!$C99,95,1))</f>
        <v/>
      </c>
      <c r="HZ103" s="29" t="str">
        <f>IF(OR($B103="",$A103&lt;96),"",--MID('Key Analysis'!$C99,96,1))</f>
        <v/>
      </c>
      <c r="IA103" s="29" t="str">
        <f>IF(OR($B103="",$A103&lt;97),"",--MID('Key Analysis'!$C99,97,1))</f>
        <v/>
      </c>
      <c r="IB103" s="29" t="str">
        <f>IF(OR($B103="",$A103&lt;98),"",--MID('Key Analysis'!$C99,98,1))</f>
        <v/>
      </c>
      <c r="IC103" s="29" t="str">
        <f>IF(OR($B103="",$A103&lt;99),"",--MID('Key Analysis'!$C99,99,1))</f>
        <v/>
      </c>
      <c r="ID103" s="29" t="str">
        <f>IF(OR($B103="",$A103&lt;100),"",--MID('Key Analysis'!$C99,100,1))</f>
        <v/>
      </c>
      <c r="IE103" s="29" t="str">
        <f>IF(OR($B103="",$A103&lt;101),"",--MID('Key Analysis'!$C99,101,1))</f>
        <v/>
      </c>
      <c r="IF103" s="29" t="str">
        <f>IF(OR($B103="",$A103&lt;102),"",--MID('Key Analysis'!$C99,102,1))</f>
        <v/>
      </c>
      <c r="IG103" s="29" t="str">
        <f>IF(OR($B103="",$A103&lt;103),"",--MID('Key Analysis'!$C99,103,1))</f>
        <v/>
      </c>
      <c r="IH103" s="29" t="str">
        <f>IF(OR($B103="",$A103&lt;104),"",--MID('Key Analysis'!$C99,104,1))</f>
        <v/>
      </c>
      <c r="II103" s="29" t="str">
        <f>IF(OR($B103="",$A103&lt;105),"",--MID('Key Analysis'!$C99,105,1))</f>
        <v/>
      </c>
      <c r="IJ103" s="29" t="str">
        <f>IF(OR($B103="",$A103&lt;106),"",--MID('Key Analysis'!$C99,106,1))</f>
        <v/>
      </c>
      <c r="IK103" s="29" t="str">
        <f>IF(OR($B103="",$A103&lt;107),"",--MID('Key Analysis'!$C99,107,1))</f>
        <v/>
      </c>
      <c r="IL103" s="29" t="str">
        <f>IF(OR($B103="",$A103&lt;108),"",--MID('Key Analysis'!$C99,108,1))</f>
        <v/>
      </c>
      <c r="IM103" s="29" t="str">
        <f>IF(OR($B103="",$A103&lt;109),"",--MID('Key Analysis'!$C99,109,1))</f>
        <v/>
      </c>
      <c r="IN103" s="29" t="str">
        <f>IF(OR($B103="",$A103&lt;110),"",--MID('Key Analysis'!$C99,110,1))</f>
        <v/>
      </c>
      <c r="IO103" s="29" t="str">
        <f>IF(OR($B103="",$A103&lt;111),"",--MID('Key Analysis'!$C99,111,1))</f>
        <v/>
      </c>
      <c r="IP103" s="29" t="str">
        <f>IF(OR($B103="",$A103&lt;112),"",--MID('Key Analysis'!$C99,112,1))</f>
        <v/>
      </c>
      <c r="IQ103" s="29" t="str">
        <f>IF(OR($B103="",$A103&lt;113),"",--MID('Key Analysis'!$C99,113,1))</f>
        <v/>
      </c>
      <c r="IR103" s="29" t="str">
        <f>IF(OR($B103="",$A103&lt;114),"",--MID('Key Analysis'!$C99,114,1))</f>
        <v/>
      </c>
      <c r="IS103" s="29" t="str">
        <f>IF(OR($B103="",$A103&lt;115),"",--MID('Key Analysis'!$C99,115,1))</f>
        <v/>
      </c>
      <c r="IT103" s="29" t="str">
        <f>IF(OR($B103="",$A103&lt;116),"",--MID('Key Analysis'!$C99,116,1))</f>
        <v/>
      </c>
      <c r="IU103" s="29" t="str">
        <f>IF(OR($B103="",$A103&lt;117),"",--MID('Key Analysis'!$C99,117,1))</f>
        <v/>
      </c>
      <c r="IV103" s="29" t="str">
        <f>IF(OR($B103="",$A103&lt;118),"",--MID('Key Analysis'!$C99,118,1))</f>
        <v/>
      </c>
      <c r="IW103" s="29" t="str">
        <f>IF(OR($B103="",$A103&lt;119),"",--MID('Key Analysis'!$C99,119,1))</f>
        <v/>
      </c>
      <c r="IX103" s="29" t="str">
        <f>IF(OR($B103="",$A103&lt;120),"",--MID('Key Analysis'!$C99,120,1))</f>
        <v/>
      </c>
      <c r="IY103" s="29" t="str">
        <f>IF(OR($B103="",$A103&lt;121),"",--MID('Key Analysis'!$C99,121,1))</f>
        <v/>
      </c>
      <c r="IZ103" s="29" t="str">
        <f>IF(OR($B103="",$A103&lt;122),"",--MID('Key Analysis'!$C99,122,1))</f>
        <v/>
      </c>
      <c r="JA103" s="29" t="str">
        <f>IF(OR($B103="",$A103&lt;123),"",--MID('Key Analysis'!$C99,123,1))</f>
        <v/>
      </c>
      <c r="JB103" s="29" t="str">
        <f>IF(OR($B103="",$A103&lt;124),"",--MID('Key Analysis'!$C99,124,1))</f>
        <v/>
      </c>
      <c r="JC103" s="29" t="str">
        <f>IF(OR($B103="",$A103&lt;125),"",--MID('Key Analysis'!$C99,125,1))</f>
        <v/>
      </c>
      <c r="JD103" s="29" t="str">
        <f>IF(OR($B103="",$A103&lt;126),"",--MID('Key Analysis'!$C99,126,1))</f>
        <v/>
      </c>
      <c r="JE103" s="29" t="str">
        <f>IF(OR($B103="",$A103&lt;127),"",--MID('Key Analysis'!$C99,127,1))</f>
        <v/>
      </c>
      <c r="JF103" s="29" t="str">
        <f>IF(OR($B103="",$A103&lt;128),"",--MID('Key Analysis'!$C99,128,1))</f>
        <v/>
      </c>
      <c r="JG103" s="29" t="str">
        <f>IF(OR($B103="",$A103&lt;129),"",--MID('Key Analysis'!$C99,129,1))</f>
        <v/>
      </c>
      <c r="JH103" s="29" t="str">
        <f>IF(OR($B103="",$A103&lt;130),"",--MID('Key Analysis'!$C99,130,1))</f>
        <v/>
      </c>
      <c r="JI103" s="29" t="str">
        <f>IF(OR($B103="",$A103&lt;131),"",--MID('Key Analysis'!$C99,131,1))</f>
        <v/>
      </c>
      <c r="JJ103" s="29" t="str">
        <f>IF(OR($B103="",$A103&lt;132),"",--MID('Key Analysis'!$C99,132,1))</f>
        <v/>
      </c>
      <c r="JK103" s="29" t="str">
        <f>IF(OR($B103="",$A103&lt;133),"",--MID('Key Analysis'!$C99,133,1))</f>
        <v/>
      </c>
      <c r="JL103" s="29" t="str">
        <f>IF(OR($B103="",$A103&lt;134),"",--MID('Key Analysis'!$C99,134,1))</f>
        <v/>
      </c>
      <c r="JM103" s="29" t="str">
        <f>IF(OR($B103="",$A103&lt;135),"",--MID('Key Analysis'!$C99,135,1))</f>
        <v/>
      </c>
    </row>
    <row r="104" spans="1:273" x14ac:dyDescent="0.25">
      <c r="A104" s="21">
        <f>'Key Analysis'!A100</f>
        <v>99</v>
      </c>
      <c r="B104" s="30" t="str">
        <f>'Key Analysis'!B100</f>
        <v/>
      </c>
      <c r="C104" s="29" t="str">
        <f>IF(OR($B104="",$A104&lt;=0),"",--MID('Key Analysis'!$C100,$A104-0,1))</f>
        <v/>
      </c>
      <c r="D104" s="29" t="str">
        <f>IF(OR($B104="",$A104&lt;=1),"",--MID('Key Analysis'!$C100,$A104-1,1))</f>
        <v/>
      </c>
      <c r="E104" s="29" t="str">
        <f>IF(OR($B104="",$A104&lt;=2),"",--MID('Key Analysis'!$C100,$A104-2,1))</f>
        <v/>
      </c>
      <c r="F104" s="29" t="str">
        <f>IF(OR($B104="",$A104&lt;=3),"",--MID('Key Analysis'!$C100,$A104-3,1))</f>
        <v/>
      </c>
      <c r="G104" s="29" t="str">
        <f>IF(OR($B104="",$A104&lt;=4),"",--MID('Key Analysis'!$C100,$A104-4,1))</f>
        <v/>
      </c>
      <c r="H104" s="29" t="str">
        <f>IF(OR($B104="",$A104&lt;=5),"",--MID('Key Analysis'!$C100,$A104-5,1))</f>
        <v/>
      </c>
      <c r="I104" s="29" t="str">
        <f>IF(OR($B104="",$A104&lt;=6),"",--MID('Key Analysis'!$C100,$A104-6,1))</f>
        <v/>
      </c>
      <c r="J104" s="29" t="str">
        <f>IF(OR($B104="",$A104&lt;=7),"",--MID('Key Analysis'!$C100,$A104-7,1))</f>
        <v/>
      </c>
      <c r="K104" s="29" t="str">
        <f>IF(OR($B104="",$A104&lt;=8),"",--MID('Key Analysis'!$C100,$A104-8,1))</f>
        <v/>
      </c>
      <c r="L104" s="29" t="str">
        <f>IF(OR($B104="",$A104&lt;=9),"",--MID('Key Analysis'!$C100,$A104-9,1))</f>
        <v/>
      </c>
      <c r="M104" s="29" t="str">
        <f>IF(OR($B104="",$A104&lt;=10),"",--MID('Key Analysis'!$C100,$A104-10,1))</f>
        <v/>
      </c>
      <c r="N104" s="29" t="str">
        <f>IF(OR($B104="",$A104&lt;=11),"",--MID('Key Analysis'!$C100,$A104-11,1))</f>
        <v/>
      </c>
      <c r="O104" s="29" t="str">
        <f>IF(OR($B104="",$A104&lt;=12),"",--MID('Key Analysis'!$C100,$A104-12,1))</f>
        <v/>
      </c>
      <c r="P104" s="29" t="str">
        <f>IF(OR($B104="",$A104&lt;=13),"",--MID('Key Analysis'!$C100,$A104-13,1))</f>
        <v/>
      </c>
      <c r="Q104" s="29" t="str">
        <f>IF(OR($B104="",$A104&lt;=14),"",--MID('Key Analysis'!$C100,$A104-14,1))</f>
        <v/>
      </c>
      <c r="R104" s="29" t="str">
        <f>IF(OR($B104="",$A104&lt;=15),"",--MID('Key Analysis'!$C100,$A104-15,1))</f>
        <v/>
      </c>
      <c r="S104" s="29" t="str">
        <f>IF(OR($B104="",$A104&lt;=16),"",--MID('Key Analysis'!$C100,$A104-16,1))</f>
        <v/>
      </c>
      <c r="T104" s="29" t="str">
        <f>IF(OR($B104="",$A104&lt;=17),"",--MID('Key Analysis'!$C100,$A104-17,1))</f>
        <v/>
      </c>
      <c r="U104" s="29" t="str">
        <f>IF(OR($B104="",$A104&lt;=18),"",--MID('Key Analysis'!$C100,$A104-18,1))</f>
        <v/>
      </c>
      <c r="V104" s="29" t="str">
        <f>IF(OR($B104="",$A104&lt;=19),"",--MID('Key Analysis'!$C100,$A104-19,1))</f>
        <v/>
      </c>
      <c r="W104" s="29" t="str">
        <f>IF(OR($B104="",$A104&lt;=20),"",--MID('Key Analysis'!$C100,$A104-20,1))</f>
        <v/>
      </c>
      <c r="X104" s="29" t="str">
        <f>IF(OR($B104="",$A104&lt;=21),"",--MID('Key Analysis'!$C100,$A104-21,1))</f>
        <v/>
      </c>
      <c r="Y104" s="29" t="str">
        <f>IF(OR($B104="",$A104&lt;=22),"",--MID('Key Analysis'!$C100,$A104-22,1))</f>
        <v/>
      </c>
      <c r="Z104" s="29" t="str">
        <f>IF(OR($B104="",$A104&lt;=23),"",--MID('Key Analysis'!$C100,$A104-23,1))</f>
        <v/>
      </c>
      <c r="AA104" s="29" t="str">
        <f>IF(OR($B104="",$A104&lt;=24),"",--MID('Key Analysis'!$C100,$A104-24,1))</f>
        <v/>
      </c>
      <c r="AB104" s="29" t="str">
        <f>IF(OR($B104="",$A104&lt;=25),"",--MID('Key Analysis'!$C100,$A104-25,1))</f>
        <v/>
      </c>
      <c r="AC104" s="29" t="str">
        <f>IF(OR($B104="",$A104&lt;=26),"",--MID('Key Analysis'!$C100,$A104-26,1))</f>
        <v/>
      </c>
      <c r="AD104" s="29" t="str">
        <f>IF(OR($B104="",$A104&lt;=27),"",--MID('Key Analysis'!$C100,$A104-27,1))</f>
        <v/>
      </c>
      <c r="AE104" s="29" t="str">
        <f>IF(OR($B104="",$A104&lt;=28),"",--MID('Key Analysis'!$C100,$A104-28,1))</f>
        <v/>
      </c>
      <c r="AF104" s="29" t="str">
        <f>IF(OR($B104="",$A104&lt;=29),"",--MID('Key Analysis'!$C100,$A104-29,1))</f>
        <v/>
      </c>
      <c r="AG104" s="29" t="str">
        <f>IF(OR($B104="",$A104&lt;=30),"",--MID('Key Analysis'!$C100,$A104-30,1))</f>
        <v/>
      </c>
      <c r="AH104" s="29" t="str">
        <f>IF(OR($B104="",$A104&lt;=31),"",--MID('Key Analysis'!$C100,$A104-31,1))</f>
        <v/>
      </c>
      <c r="AI104" s="29" t="str">
        <f>IF(OR($B104="",$A104&lt;=32),"",--MID('Key Analysis'!$C100,$A104-32,1))</f>
        <v/>
      </c>
      <c r="AJ104" s="29" t="str">
        <f>IF(OR($B104="",$A104&lt;=33),"",--MID('Key Analysis'!$C100,$A104-33,1))</f>
        <v/>
      </c>
      <c r="AK104" s="29" t="str">
        <f>IF(OR($B104="",$A104&lt;=34),"",--MID('Key Analysis'!$C100,$A104-34,1))</f>
        <v/>
      </c>
      <c r="AL104" s="29" t="str">
        <f>IF(OR($B104="",$A104&lt;=35),"",--MID('Key Analysis'!$C100,$A104-35,1))</f>
        <v/>
      </c>
      <c r="AM104" s="29" t="str">
        <f>IF(OR($B104="",$A104&lt;=36),"",--MID('Key Analysis'!$C100,$A104-36,1))</f>
        <v/>
      </c>
      <c r="AN104" s="29" t="str">
        <f>IF(OR($B104="",$A104&lt;=37),"",--MID('Key Analysis'!$C100,$A104-37,1))</f>
        <v/>
      </c>
      <c r="AO104" s="29" t="str">
        <f>IF(OR($B104="",$A104&lt;=38),"",--MID('Key Analysis'!$C100,$A104-38,1))</f>
        <v/>
      </c>
      <c r="AP104" s="29" t="str">
        <f>IF(OR($B104="",$A104&lt;=39),"",--MID('Key Analysis'!$C100,$A104-39,1))</f>
        <v/>
      </c>
      <c r="AQ104" s="29" t="str">
        <f>IF(OR($B104="",$A104&lt;=40),"",--MID('Key Analysis'!$C100,$A104-40,1))</f>
        <v/>
      </c>
      <c r="AR104" s="29" t="str">
        <f>IF(OR($B104="",$A104&lt;=41),"",--MID('Key Analysis'!$C100,$A104-41,1))</f>
        <v/>
      </c>
      <c r="AS104" s="29" t="str">
        <f>IF(OR($B104="",$A104&lt;=42),"",--MID('Key Analysis'!$C100,$A104-42,1))</f>
        <v/>
      </c>
      <c r="AT104" s="29" t="str">
        <f>IF(OR($B104="",$A104&lt;=43),"",--MID('Key Analysis'!$C100,$A104-43,1))</f>
        <v/>
      </c>
      <c r="AU104" s="29" t="str">
        <f>IF(OR($B104="",$A104&lt;=44),"",--MID('Key Analysis'!$C100,$A104-44,1))</f>
        <v/>
      </c>
      <c r="AV104" s="29" t="str">
        <f>IF(OR($B104="",$A104&lt;=45),"",--MID('Key Analysis'!$C100,$A104-45,1))</f>
        <v/>
      </c>
      <c r="AW104" s="29" t="str">
        <f>IF(OR($B104="",$A104&lt;=46),"",--MID('Key Analysis'!$C100,$A104-46,1))</f>
        <v/>
      </c>
      <c r="AX104" s="29" t="str">
        <f>IF(OR($B104="",$A104&lt;=47),"",--MID('Key Analysis'!$C100,$A104-47,1))</f>
        <v/>
      </c>
      <c r="AY104" s="29" t="str">
        <f>IF(OR($B104="",$A104&lt;=48),"",--MID('Key Analysis'!$C100,$A104-48,1))</f>
        <v/>
      </c>
      <c r="AZ104" s="29" t="str">
        <f>IF(OR($B104="",$A104&lt;=49),"",--MID('Key Analysis'!$C100,$A104-49,1))</f>
        <v/>
      </c>
      <c r="BA104" s="29" t="str">
        <f>IF(OR($B104="",$A104&lt;=50),"",--MID('Key Analysis'!$C100,$A104-50,1))</f>
        <v/>
      </c>
      <c r="BB104" s="29" t="str">
        <f>IF(OR($B104="",$A104&lt;=51),"",--MID('Key Analysis'!$C100,$A104-51,1))</f>
        <v/>
      </c>
      <c r="BC104" s="29" t="str">
        <f>IF(OR($B104="",$A104&lt;=52),"",--MID('Key Analysis'!$C100,$A104-52,1))</f>
        <v/>
      </c>
      <c r="BD104" s="29" t="str">
        <f>IF(OR($B104="",$A104&lt;=53),"",--MID('Key Analysis'!$C100,$A104-53,1))</f>
        <v/>
      </c>
      <c r="BE104" s="29" t="str">
        <f>IF(OR($B104="",$A104&lt;=54),"",--MID('Key Analysis'!$C100,$A104-54,1))</f>
        <v/>
      </c>
      <c r="BF104" s="29" t="str">
        <f>IF(OR($B104="",$A104&lt;=55),"",--MID('Key Analysis'!$C100,$A104-55,1))</f>
        <v/>
      </c>
      <c r="BG104" s="29" t="str">
        <f>IF(OR($B104="",$A104&lt;=56),"",--MID('Key Analysis'!$C100,$A104-56,1))</f>
        <v/>
      </c>
      <c r="BH104" s="29" t="str">
        <f>IF(OR($B104="",$A104&lt;=57),"",--MID('Key Analysis'!$C100,$A104-57,1))</f>
        <v/>
      </c>
      <c r="BI104" s="29" t="str">
        <f>IF(OR($B104="",$A104&lt;=58),"",--MID('Key Analysis'!$C100,$A104-58,1))</f>
        <v/>
      </c>
      <c r="BJ104" s="29" t="str">
        <f>IF(OR($B104="",$A104&lt;=59),"",--MID('Key Analysis'!$C100,$A104-59,1))</f>
        <v/>
      </c>
      <c r="BK104" s="29" t="str">
        <f>IF(OR($B104="",$A104&lt;=60),"",--MID('Key Analysis'!$C100,$A104-60,1))</f>
        <v/>
      </c>
      <c r="BL104" s="29" t="str">
        <f>IF(OR($B104="",$A104&lt;=61),"",--MID('Key Analysis'!$C100,$A104-61,1))</f>
        <v/>
      </c>
      <c r="BM104" s="29" t="str">
        <f>IF(OR($B104="",$A104&lt;=62),"",--MID('Key Analysis'!$C100,$A104-62,1))</f>
        <v/>
      </c>
      <c r="BN104" s="29" t="str">
        <f>IF(OR($B104="",$A104&lt;=63),"",--MID('Key Analysis'!$C100,$A104-63,1))</f>
        <v/>
      </c>
      <c r="BO104" s="29" t="str">
        <f>IF(OR($B104="",$A104&lt;=64),"",--MID('Key Analysis'!$C100,$A104-64,1))</f>
        <v/>
      </c>
      <c r="BP104" s="29" t="str">
        <f>IF(OR($B104="",$A104&lt;=65),"",--MID('Key Analysis'!$C100,$A104-65,1))</f>
        <v/>
      </c>
      <c r="BQ104" s="29" t="str">
        <f>IF(OR($B104="",$A104&lt;=66),"",--MID('Key Analysis'!$C100,$A104-66,1))</f>
        <v/>
      </c>
      <c r="BR104" s="29" t="str">
        <f>IF(OR($B104="",$A104&lt;=67),"",--MID('Key Analysis'!$C100,$A104-67,1))</f>
        <v/>
      </c>
      <c r="BS104" s="29" t="str">
        <f>IF(OR($B104="",$A104&lt;=68),"",--MID('Key Analysis'!$C100,$A104-68,1))</f>
        <v/>
      </c>
      <c r="BT104" s="29" t="str">
        <f>IF(OR($B104="",$A104&lt;=69),"",--MID('Key Analysis'!$C100,$A104-69,1))</f>
        <v/>
      </c>
      <c r="BU104" s="29" t="str">
        <f>IF(OR($B104="",$A104&lt;=70),"",--MID('Key Analysis'!$C100,$A104-70,1))</f>
        <v/>
      </c>
      <c r="BV104" s="29" t="str">
        <f>IF(OR($B104="",$A104&lt;=71),"",--MID('Key Analysis'!$C100,$A104-71,1))</f>
        <v/>
      </c>
      <c r="BW104" s="29" t="str">
        <f>IF(OR($B104="",$A104&lt;=72),"",--MID('Key Analysis'!$C100,$A104-72,1))</f>
        <v/>
      </c>
      <c r="BX104" s="29" t="str">
        <f>IF(OR($B104="",$A104&lt;=73),"",--MID('Key Analysis'!$C100,$A104-73,1))</f>
        <v/>
      </c>
      <c r="BY104" s="29" t="str">
        <f>IF(OR($B104="",$A104&lt;=74),"",--MID('Key Analysis'!$C100,$A104-74,1))</f>
        <v/>
      </c>
      <c r="BZ104" s="29" t="str">
        <f>IF(OR($B104="",$A104&lt;=75),"",--MID('Key Analysis'!$C100,$A104-75,1))</f>
        <v/>
      </c>
      <c r="CA104" s="29" t="str">
        <f>IF(OR($B104="",$A104&lt;=76),"",--MID('Key Analysis'!$C100,$A104-76,1))</f>
        <v/>
      </c>
      <c r="CB104" s="29" t="str">
        <f>IF(OR($B104="",$A104&lt;=77),"",--MID('Key Analysis'!$C100,$A104-77,1))</f>
        <v/>
      </c>
      <c r="CC104" s="29" t="str">
        <f>IF(OR($B104="",$A104&lt;=78),"",--MID('Key Analysis'!$C100,$A104-78,1))</f>
        <v/>
      </c>
      <c r="CD104" s="29" t="str">
        <f>IF(OR($B104="",$A104&lt;=79),"",--MID('Key Analysis'!$C100,$A104-79,1))</f>
        <v/>
      </c>
      <c r="CE104" s="29" t="str">
        <f>IF(OR($B104="",$A104&lt;=80),"",--MID('Key Analysis'!$C100,$A104-80,1))</f>
        <v/>
      </c>
      <c r="CF104" s="29" t="str">
        <f>IF(OR($B104="",$A104&lt;=81),"",--MID('Key Analysis'!$C100,$A104-81,1))</f>
        <v/>
      </c>
      <c r="CG104" s="29" t="str">
        <f>IF(OR($B104="",$A104&lt;=82),"",--MID('Key Analysis'!$C100,$A104-82,1))</f>
        <v/>
      </c>
      <c r="CH104" s="29" t="str">
        <f>IF(OR($B104="",$A104&lt;=83),"",--MID('Key Analysis'!$C100,$A104-83,1))</f>
        <v/>
      </c>
      <c r="CI104" s="29" t="str">
        <f>IF(OR($B104="",$A104&lt;=84),"",--MID('Key Analysis'!$C100,$A104-84,1))</f>
        <v/>
      </c>
      <c r="CJ104" s="29" t="str">
        <f>IF(OR($B104="",$A104&lt;=85),"",--MID('Key Analysis'!$C100,$A104-85,1))</f>
        <v/>
      </c>
      <c r="CK104" s="29" t="str">
        <f>IF(OR($B104="",$A104&lt;=86),"",--MID('Key Analysis'!$C100,$A104-86,1))</f>
        <v/>
      </c>
      <c r="CL104" s="29" t="str">
        <f>IF(OR($B104="",$A104&lt;=87),"",--MID('Key Analysis'!$C100,$A104-87,1))</f>
        <v/>
      </c>
      <c r="CM104" s="29" t="str">
        <f>IF(OR($B104="",$A104&lt;=88),"",--MID('Key Analysis'!$C100,$A104-88,1))</f>
        <v/>
      </c>
      <c r="CN104" s="29" t="str">
        <f>IF(OR($B104="",$A104&lt;=89),"",--MID('Key Analysis'!$C100,$A104-89,1))</f>
        <v/>
      </c>
      <c r="CO104" s="29" t="str">
        <f>IF(OR($B104="",$A104&lt;=90),"",--MID('Key Analysis'!$C100,$A104-90,1))</f>
        <v/>
      </c>
      <c r="CP104" s="29" t="str">
        <f>IF(OR($B104="",$A104&lt;=91),"",--MID('Key Analysis'!$C100,$A104-91,1))</f>
        <v/>
      </c>
      <c r="CQ104" s="29" t="str">
        <f>IF(OR($B104="",$A104&lt;=92),"",--MID('Key Analysis'!$C100,$A104-92,1))</f>
        <v/>
      </c>
      <c r="CR104" s="29" t="str">
        <f>IF(OR($B104="",$A104&lt;=93),"",--MID('Key Analysis'!$C100,$A104-93,1))</f>
        <v/>
      </c>
      <c r="CS104" s="29" t="str">
        <f>IF(OR($B104="",$A104&lt;=94),"",--MID('Key Analysis'!$C100,$A104-94,1))</f>
        <v/>
      </c>
      <c r="CT104" s="29" t="str">
        <f>IF(OR($B104="",$A104&lt;=95),"",--MID('Key Analysis'!$C100,$A104-95,1))</f>
        <v/>
      </c>
      <c r="CU104" s="29" t="str">
        <f>IF(OR($B104="",$A104&lt;=96),"",--MID('Key Analysis'!$C100,$A104-96,1))</f>
        <v/>
      </c>
      <c r="CV104" s="29" t="str">
        <f>IF(OR($B104="",$A104&lt;=97),"",--MID('Key Analysis'!$C100,$A104-97,1))</f>
        <v/>
      </c>
      <c r="CW104" s="29" t="str">
        <f>IF(OR($B104="",$A104&lt;=98),"",--MID('Key Analysis'!$C100,$A104-98,1))</f>
        <v/>
      </c>
      <c r="CX104" s="29" t="str">
        <f>IF(OR($B104="",$A104&lt;=99),"",--MID('Key Analysis'!$C100,$A104-99,1))</f>
        <v/>
      </c>
      <c r="CY104" s="29" t="str">
        <f>IF(OR($B104="",$A104&lt;=100),"",--MID('Key Analysis'!$C100,$A104-100,1))</f>
        <v/>
      </c>
      <c r="CZ104" s="29" t="str">
        <f>IF(OR($B104="",$A104&lt;=101),"",--MID('Key Analysis'!$C100,$A104-101,1))</f>
        <v/>
      </c>
      <c r="DA104" s="29" t="str">
        <f>IF(OR($B104="",$A104&lt;=102),"",--MID('Key Analysis'!$C100,$A104-102,1))</f>
        <v/>
      </c>
      <c r="DB104" s="29" t="str">
        <f>IF(OR($B104="",$A104&lt;=103),"",--MID('Key Analysis'!$C100,$A104-103,1))</f>
        <v/>
      </c>
      <c r="DC104" s="29" t="str">
        <f>IF(OR($B104="",$A104&lt;=104),"",--MID('Key Analysis'!$C100,$A104-104,1))</f>
        <v/>
      </c>
      <c r="DD104" s="29" t="str">
        <f>IF(OR($B104="",$A104&lt;=105),"",--MID('Key Analysis'!$C100,$A104-105,1))</f>
        <v/>
      </c>
      <c r="DE104" s="29" t="str">
        <f>IF(OR($B104="",$A104&lt;=106),"",--MID('Key Analysis'!$C100,$A104-106,1))</f>
        <v/>
      </c>
      <c r="DF104" s="29" t="str">
        <f>IF(OR($B104="",$A104&lt;=107),"",--MID('Key Analysis'!$C100,$A104-107,1))</f>
        <v/>
      </c>
      <c r="DG104" s="29" t="str">
        <f>IF(OR($B104="",$A104&lt;=108),"",--MID('Key Analysis'!$C100,$A104-108,1))</f>
        <v/>
      </c>
      <c r="DH104" s="29" t="str">
        <f>IF(OR($B104="",$A104&lt;=109),"",--MID('Key Analysis'!$C100,$A104-109,1))</f>
        <v/>
      </c>
      <c r="DI104" s="29" t="str">
        <f>IF(OR($B104="",$A104&lt;=110),"",--MID('Key Analysis'!$C100,$A104-110,1))</f>
        <v/>
      </c>
      <c r="DJ104" s="29" t="str">
        <f>IF(OR($B104="",$A104&lt;=111),"",--MID('Key Analysis'!$C100,$A104-111,1))</f>
        <v/>
      </c>
      <c r="DK104" s="29" t="str">
        <f>IF(OR($B104="",$A104&lt;=112),"",--MID('Key Analysis'!$C100,$A104-112,1))</f>
        <v/>
      </c>
      <c r="DL104" s="29" t="str">
        <f>IF(OR($B104="",$A104&lt;=113),"",--MID('Key Analysis'!$C100,$A104-113,1))</f>
        <v/>
      </c>
      <c r="DM104" s="29" t="str">
        <f>IF(OR($B104="",$A104&lt;=114),"",--MID('Key Analysis'!$C100,$A104-114,1))</f>
        <v/>
      </c>
      <c r="DN104" s="29" t="str">
        <f>IF(OR($B104="",$A104&lt;=115),"",--MID('Key Analysis'!$C100,$A104-115,1))</f>
        <v/>
      </c>
      <c r="DO104" s="29" t="str">
        <f>IF(OR($B104="",$A104&lt;=116),"",--MID('Key Analysis'!$C100,$A104-116,1))</f>
        <v/>
      </c>
      <c r="DP104" s="29" t="str">
        <f>IF(OR($B104="",$A104&lt;=117),"",--MID('Key Analysis'!$C100,$A104-117,1))</f>
        <v/>
      </c>
      <c r="DQ104" s="29" t="str">
        <f>IF(OR($B104="",$A104&lt;=118),"",--MID('Key Analysis'!$C100,$A104-118,1))</f>
        <v/>
      </c>
      <c r="DR104" s="29" t="str">
        <f>IF(OR($B104="",$A104&lt;=119),"",--MID('Key Analysis'!$C100,$A104-119,1))</f>
        <v/>
      </c>
      <c r="DS104" s="29" t="str">
        <f>IF(OR($B104="",$A104&lt;=120),"",--MID('Key Analysis'!$C100,$A104-120,1))</f>
        <v/>
      </c>
      <c r="DT104" s="29" t="str">
        <f>IF(OR($B104="",$A104&lt;=121),"",--MID('Key Analysis'!$C100,$A104-121,1))</f>
        <v/>
      </c>
      <c r="DU104" s="29" t="str">
        <f>IF(OR($B104="",$A104&lt;=122),"",--MID('Key Analysis'!$C100,$A104-122,1))</f>
        <v/>
      </c>
      <c r="DV104" s="29" t="str">
        <f>IF(OR($B104="",$A104&lt;=123),"",--MID('Key Analysis'!$C100,$A104-123,1))</f>
        <v/>
      </c>
      <c r="DW104" s="29" t="str">
        <f>IF(OR($B104="",$A104&lt;=124),"",--MID('Key Analysis'!$C100,$A104-124,1))</f>
        <v/>
      </c>
      <c r="DX104" s="29" t="str">
        <f>IF(OR($B104="",$A104&lt;=125),"",--MID('Key Analysis'!$C100,$A104-125,1))</f>
        <v/>
      </c>
      <c r="DY104" s="29" t="str">
        <f>IF(OR($B104="",$A104&lt;=126),"",--MID('Key Analysis'!$C100,$A104-126,1))</f>
        <v/>
      </c>
      <c r="DZ104" s="29" t="str">
        <f>IF(OR($B104="",$A104&lt;=127),"",--MID('Key Analysis'!$C100,$A104-127,1))</f>
        <v/>
      </c>
      <c r="EA104" s="29" t="str">
        <f>IF(OR($B104="",$A104&lt;=128),"",--MID('Key Analysis'!$C100,$A104-128,1))</f>
        <v/>
      </c>
      <c r="EB104" s="29" t="str">
        <f>IF(OR($B104="",$A104&lt;=129),"",--MID('Key Analysis'!$C100,$A104-129,1))</f>
        <v/>
      </c>
      <c r="EC104" s="29" t="str">
        <f>IF(OR($B104="",$A104&lt;=130),"",--MID('Key Analysis'!$C100,$A104-130,1))</f>
        <v/>
      </c>
      <c r="ED104" s="29" t="str">
        <f>IF(OR($B104="",$A104&lt;=131),"",--MID('Key Analysis'!$C100,$A104-131,1))</f>
        <v/>
      </c>
      <c r="EE104" s="29" t="str">
        <f>IF(OR($B104="",$A104&lt;=132),"",--MID('Key Analysis'!$C100,$A104-132,1))</f>
        <v/>
      </c>
      <c r="EF104" s="29" t="str">
        <f>IF(OR($B104="",$A104&lt;=133),"",--MID('Key Analysis'!$C100,$A104-133,1))</f>
        <v/>
      </c>
      <c r="EG104" s="29" t="str">
        <f>IF(OR($B104="",$A104&lt;=134),"",--MID('Key Analysis'!$C100,$A104-134,1))</f>
        <v/>
      </c>
      <c r="EH104" s="29"/>
      <c r="EI104" s="29" t="str">
        <f>IF(OR($B104="",$A104&lt;1),"",--MID('Key Analysis'!$C100,1,1))</f>
        <v/>
      </c>
      <c r="EJ104" s="29" t="str">
        <f>IF(OR($B104="",$A104&lt;2),"",--MID('Key Analysis'!$C100,2,1))</f>
        <v/>
      </c>
      <c r="EK104" s="29" t="str">
        <f>IF(OR($B104="",$A104&lt;3),"",--MID('Key Analysis'!$C100,3,1))</f>
        <v/>
      </c>
      <c r="EL104" s="29" t="str">
        <f>IF(OR($B104="",$A104&lt;4),"",--MID('Key Analysis'!$C100,4,1))</f>
        <v/>
      </c>
      <c r="EM104" s="29" t="str">
        <f>IF(OR($B104="",$A104&lt;5),"",--MID('Key Analysis'!$C100,5,1))</f>
        <v/>
      </c>
      <c r="EN104" s="29" t="str">
        <f>IF(OR($B104="",$A104&lt;6),"",--MID('Key Analysis'!$C100,6,1))</f>
        <v/>
      </c>
      <c r="EO104" s="29" t="str">
        <f>IF(OR($B104="",$A104&lt;7),"",--MID('Key Analysis'!$C100,7,1))</f>
        <v/>
      </c>
      <c r="EP104" s="29" t="str">
        <f>IF(OR($B104="",$A104&lt;8),"",--MID('Key Analysis'!$C100,8,1))</f>
        <v/>
      </c>
      <c r="EQ104" s="29" t="str">
        <f>IF(OR($B104="",$A104&lt;9),"",--MID('Key Analysis'!$C100,9,1))</f>
        <v/>
      </c>
      <c r="ER104" s="29" t="str">
        <f>IF(OR($B104="",$A104&lt;10),"",--MID('Key Analysis'!$C100,10,1))</f>
        <v/>
      </c>
      <c r="ES104" s="29" t="str">
        <f>IF(OR($B104="",$A104&lt;11),"",--MID('Key Analysis'!$C100,11,1))</f>
        <v/>
      </c>
      <c r="ET104" s="29" t="str">
        <f>IF(OR($B104="",$A104&lt;12),"",--MID('Key Analysis'!$C100,12,1))</f>
        <v/>
      </c>
      <c r="EU104" s="29" t="str">
        <f>IF(OR($B104="",$A104&lt;13),"",--MID('Key Analysis'!$C100,13,1))</f>
        <v/>
      </c>
      <c r="EV104" s="29" t="str">
        <f>IF(OR($B104="",$A104&lt;14),"",--MID('Key Analysis'!$C100,14,1))</f>
        <v/>
      </c>
      <c r="EW104" s="29" t="str">
        <f>IF(OR($B104="",$A104&lt;15),"",--MID('Key Analysis'!$C100,15,1))</f>
        <v/>
      </c>
      <c r="EX104" s="29" t="str">
        <f>IF(OR($B104="",$A104&lt;16),"",--MID('Key Analysis'!$C100,16,1))</f>
        <v/>
      </c>
      <c r="EY104" s="29" t="str">
        <f>IF(OR($B104="",$A104&lt;17),"",--MID('Key Analysis'!$C100,17,1))</f>
        <v/>
      </c>
      <c r="EZ104" s="29" t="str">
        <f>IF(OR($B104="",$A104&lt;18),"",--MID('Key Analysis'!$C100,18,1))</f>
        <v/>
      </c>
      <c r="FA104" s="29" t="str">
        <f>IF(OR($B104="",$A104&lt;19),"",--MID('Key Analysis'!$C100,19,1))</f>
        <v/>
      </c>
      <c r="FB104" s="29" t="str">
        <f>IF(OR($B104="",$A104&lt;20),"",--MID('Key Analysis'!$C100,20,1))</f>
        <v/>
      </c>
      <c r="FC104" s="29" t="str">
        <f>IF(OR($B104="",$A104&lt;21),"",--MID('Key Analysis'!$C100,21,1))</f>
        <v/>
      </c>
      <c r="FD104" s="29" t="str">
        <f>IF(OR($B104="",$A104&lt;22),"",--MID('Key Analysis'!$C100,22,1))</f>
        <v/>
      </c>
      <c r="FE104" s="29" t="str">
        <f>IF(OR($B104="",$A104&lt;23),"",--MID('Key Analysis'!$C100,23,1))</f>
        <v/>
      </c>
      <c r="FF104" s="29" t="str">
        <f>IF(OR($B104="",$A104&lt;24),"",--MID('Key Analysis'!$C100,24,1))</f>
        <v/>
      </c>
      <c r="FG104" s="29" t="str">
        <f>IF(OR($B104="",$A104&lt;25),"",--MID('Key Analysis'!$C100,25,1))</f>
        <v/>
      </c>
      <c r="FH104" s="29" t="str">
        <f>IF(OR($B104="",$A104&lt;26),"",--MID('Key Analysis'!$C100,26,1))</f>
        <v/>
      </c>
      <c r="FI104" s="29" t="str">
        <f>IF(OR($B104="",$A104&lt;27),"",--MID('Key Analysis'!$C100,27,1))</f>
        <v/>
      </c>
      <c r="FJ104" s="29" t="str">
        <f>IF(OR($B104="",$A104&lt;28),"",--MID('Key Analysis'!$C100,28,1))</f>
        <v/>
      </c>
      <c r="FK104" s="29" t="str">
        <f>IF(OR($B104="",$A104&lt;29),"",--MID('Key Analysis'!$C100,29,1))</f>
        <v/>
      </c>
      <c r="FL104" s="29" t="str">
        <f>IF(OR($B104="",$A104&lt;30),"",--MID('Key Analysis'!$C100,30,1))</f>
        <v/>
      </c>
      <c r="FM104" s="29" t="str">
        <f>IF(OR($B104="",$A104&lt;31),"",--MID('Key Analysis'!$C100,31,1))</f>
        <v/>
      </c>
      <c r="FN104" s="29" t="str">
        <f>IF(OR($B104="",$A104&lt;32),"",--MID('Key Analysis'!$C100,32,1))</f>
        <v/>
      </c>
      <c r="FO104" s="29" t="str">
        <f>IF(OR($B104="",$A104&lt;33),"",--MID('Key Analysis'!$C100,33,1))</f>
        <v/>
      </c>
      <c r="FP104" s="29" t="str">
        <f>IF(OR($B104="",$A104&lt;34),"",--MID('Key Analysis'!$C100,34,1))</f>
        <v/>
      </c>
      <c r="FQ104" s="29" t="str">
        <f>IF(OR($B104="",$A104&lt;35),"",--MID('Key Analysis'!$C100,35,1))</f>
        <v/>
      </c>
      <c r="FR104" s="29" t="str">
        <f>IF(OR($B104="",$A104&lt;36),"",--MID('Key Analysis'!$C100,36,1))</f>
        <v/>
      </c>
      <c r="FS104" s="29" t="str">
        <f>IF(OR($B104="",$A104&lt;37),"",--MID('Key Analysis'!$C100,37,1))</f>
        <v/>
      </c>
      <c r="FT104" s="29" t="str">
        <f>IF(OR($B104="",$A104&lt;38),"",--MID('Key Analysis'!$C100,38,1))</f>
        <v/>
      </c>
      <c r="FU104" s="29" t="str">
        <f>IF(OR($B104="",$A104&lt;39),"",--MID('Key Analysis'!$C100,39,1))</f>
        <v/>
      </c>
      <c r="FV104" s="29" t="str">
        <f>IF(OR($B104="",$A104&lt;40),"",--MID('Key Analysis'!$C100,40,1))</f>
        <v/>
      </c>
      <c r="FW104" s="29" t="str">
        <f>IF(OR($B104="",$A104&lt;41),"",--MID('Key Analysis'!$C100,41,1))</f>
        <v/>
      </c>
      <c r="FX104" s="29" t="str">
        <f>IF(OR($B104="",$A104&lt;42),"",--MID('Key Analysis'!$C100,42,1))</f>
        <v/>
      </c>
      <c r="FY104" s="29" t="str">
        <f>IF(OR($B104="",$A104&lt;43),"",--MID('Key Analysis'!$C100,43,1))</f>
        <v/>
      </c>
      <c r="FZ104" s="29" t="str">
        <f>IF(OR($B104="",$A104&lt;44),"",--MID('Key Analysis'!$C100,44,1))</f>
        <v/>
      </c>
      <c r="GA104" s="29" t="str">
        <f>IF(OR($B104="",$A104&lt;45),"",--MID('Key Analysis'!$C100,45,1))</f>
        <v/>
      </c>
      <c r="GB104" s="29" t="str">
        <f>IF(OR($B104="",$A104&lt;46),"",--MID('Key Analysis'!$C100,46,1))</f>
        <v/>
      </c>
      <c r="GC104" s="29" t="str">
        <f>IF(OR($B104="",$A104&lt;47),"",--MID('Key Analysis'!$C100,47,1))</f>
        <v/>
      </c>
      <c r="GD104" s="29" t="str">
        <f>IF(OR($B104="",$A104&lt;48),"",--MID('Key Analysis'!$C100,48,1))</f>
        <v/>
      </c>
      <c r="GE104" s="29" t="str">
        <f>IF(OR($B104="",$A104&lt;49),"",--MID('Key Analysis'!$C100,49,1))</f>
        <v/>
      </c>
      <c r="GF104" s="29" t="str">
        <f>IF(OR($B104="",$A104&lt;50),"",--MID('Key Analysis'!$C100,50,1))</f>
        <v/>
      </c>
      <c r="GG104" s="29" t="str">
        <f>IF(OR($B104="",$A104&lt;51),"",--MID('Key Analysis'!$C100,51,1))</f>
        <v/>
      </c>
      <c r="GH104" s="29" t="str">
        <f>IF(OR($B104="",$A104&lt;52),"",--MID('Key Analysis'!$C100,52,1))</f>
        <v/>
      </c>
      <c r="GI104" s="29" t="str">
        <f>IF(OR($B104="",$A104&lt;53),"",--MID('Key Analysis'!$C100,53,1))</f>
        <v/>
      </c>
      <c r="GJ104" s="29" t="str">
        <f>IF(OR($B104="",$A104&lt;54),"",--MID('Key Analysis'!$C100,54,1))</f>
        <v/>
      </c>
      <c r="GK104" s="29" t="str">
        <f>IF(OR($B104="",$A104&lt;55),"",--MID('Key Analysis'!$C100,55,1))</f>
        <v/>
      </c>
      <c r="GL104" s="29" t="str">
        <f>IF(OR($B104="",$A104&lt;56),"",--MID('Key Analysis'!$C100,56,1))</f>
        <v/>
      </c>
      <c r="GM104" s="29" t="str">
        <f>IF(OR($B104="",$A104&lt;57),"",--MID('Key Analysis'!$C100,57,1))</f>
        <v/>
      </c>
      <c r="GN104" s="29" t="str">
        <f>IF(OR($B104="",$A104&lt;58),"",--MID('Key Analysis'!$C100,58,1))</f>
        <v/>
      </c>
      <c r="GO104" s="29" t="str">
        <f>IF(OR($B104="",$A104&lt;59),"",--MID('Key Analysis'!$C100,59,1))</f>
        <v/>
      </c>
      <c r="GP104" s="29" t="str">
        <f>IF(OR($B104="",$A104&lt;60),"",--MID('Key Analysis'!$C100,60,1))</f>
        <v/>
      </c>
      <c r="GQ104" s="29" t="str">
        <f>IF(OR($B104="",$A104&lt;61),"",--MID('Key Analysis'!$C100,61,1))</f>
        <v/>
      </c>
      <c r="GR104" s="29" t="str">
        <f>IF(OR($B104="",$A104&lt;62),"",--MID('Key Analysis'!$C100,62,1))</f>
        <v/>
      </c>
      <c r="GS104" s="29" t="str">
        <f>IF(OR($B104="",$A104&lt;63),"",--MID('Key Analysis'!$C100,63,1))</f>
        <v/>
      </c>
      <c r="GT104" s="29" t="str">
        <f>IF(OR($B104="",$A104&lt;64),"",--MID('Key Analysis'!$C100,64,1))</f>
        <v/>
      </c>
      <c r="GU104" s="29" t="str">
        <f>IF(OR($B104="",$A104&lt;65),"",--MID('Key Analysis'!$C100,65,1))</f>
        <v/>
      </c>
      <c r="GV104" s="29" t="str">
        <f>IF(OR($B104="",$A104&lt;66),"",--MID('Key Analysis'!$C100,66,1))</f>
        <v/>
      </c>
      <c r="GW104" s="29" t="str">
        <f>IF(OR($B104="",$A104&lt;67),"",--MID('Key Analysis'!$C100,67,1))</f>
        <v/>
      </c>
      <c r="GX104" s="29" t="str">
        <f>IF(OR($B104="",$A104&lt;68),"",--MID('Key Analysis'!$C100,68,1))</f>
        <v/>
      </c>
      <c r="GY104" s="29" t="str">
        <f>IF(OR($B104="",$A104&lt;69),"",--MID('Key Analysis'!$C100,69,1))</f>
        <v/>
      </c>
      <c r="GZ104" s="29" t="str">
        <f>IF(OR($B104="",$A104&lt;70),"",--MID('Key Analysis'!$C100,70,1))</f>
        <v/>
      </c>
      <c r="HA104" s="29" t="str">
        <f>IF(OR($B104="",$A104&lt;71),"",--MID('Key Analysis'!$C100,71,1))</f>
        <v/>
      </c>
      <c r="HB104" s="29" t="str">
        <f>IF(OR($B104="",$A104&lt;72),"",--MID('Key Analysis'!$C100,72,1))</f>
        <v/>
      </c>
      <c r="HC104" s="29" t="str">
        <f>IF(OR($B104="",$A104&lt;73),"",--MID('Key Analysis'!$C100,73,1))</f>
        <v/>
      </c>
      <c r="HD104" s="29" t="str">
        <f>IF(OR($B104="",$A104&lt;74),"",--MID('Key Analysis'!$C100,74,1))</f>
        <v/>
      </c>
      <c r="HE104" s="29" t="str">
        <f>IF(OR($B104="",$A104&lt;75),"",--MID('Key Analysis'!$C100,75,1))</f>
        <v/>
      </c>
      <c r="HF104" s="29" t="str">
        <f>IF(OR($B104="",$A104&lt;76),"",--MID('Key Analysis'!$C100,76,1))</f>
        <v/>
      </c>
      <c r="HG104" s="29" t="str">
        <f>IF(OR($B104="",$A104&lt;77),"",--MID('Key Analysis'!$C100,77,1))</f>
        <v/>
      </c>
      <c r="HH104" s="29" t="str">
        <f>IF(OR($B104="",$A104&lt;78),"",--MID('Key Analysis'!$C100,78,1))</f>
        <v/>
      </c>
      <c r="HI104" s="29" t="str">
        <f>IF(OR($B104="",$A104&lt;79),"",--MID('Key Analysis'!$C100,79,1))</f>
        <v/>
      </c>
      <c r="HJ104" s="29" t="str">
        <f>IF(OR($B104="",$A104&lt;80),"",--MID('Key Analysis'!$C100,80,1))</f>
        <v/>
      </c>
      <c r="HK104" s="29" t="str">
        <f>IF(OR($B104="",$A104&lt;81),"",--MID('Key Analysis'!$C100,81,1))</f>
        <v/>
      </c>
      <c r="HL104" s="29" t="str">
        <f>IF(OR($B104="",$A104&lt;82),"",--MID('Key Analysis'!$C100,82,1))</f>
        <v/>
      </c>
      <c r="HM104" s="29" t="str">
        <f>IF(OR($B104="",$A104&lt;83),"",--MID('Key Analysis'!$C100,83,1))</f>
        <v/>
      </c>
      <c r="HN104" s="29" t="str">
        <f>IF(OR($B104="",$A104&lt;84),"",--MID('Key Analysis'!$C100,84,1))</f>
        <v/>
      </c>
      <c r="HO104" s="29" t="str">
        <f>IF(OR($B104="",$A104&lt;85),"",--MID('Key Analysis'!$C100,85,1))</f>
        <v/>
      </c>
      <c r="HP104" s="29" t="str">
        <f>IF(OR($B104="",$A104&lt;86),"",--MID('Key Analysis'!$C100,86,1))</f>
        <v/>
      </c>
      <c r="HQ104" s="29" t="str">
        <f>IF(OR($B104="",$A104&lt;87),"",--MID('Key Analysis'!$C100,87,1))</f>
        <v/>
      </c>
      <c r="HR104" s="29" t="str">
        <f>IF(OR($B104="",$A104&lt;88),"",--MID('Key Analysis'!$C100,88,1))</f>
        <v/>
      </c>
      <c r="HS104" s="29" t="str">
        <f>IF(OR($B104="",$A104&lt;89),"",--MID('Key Analysis'!$C100,89,1))</f>
        <v/>
      </c>
      <c r="HT104" s="29" t="str">
        <f>IF(OR($B104="",$A104&lt;90),"",--MID('Key Analysis'!$C100,90,1))</f>
        <v/>
      </c>
      <c r="HU104" s="29" t="str">
        <f>IF(OR($B104="",$A104&lt;91),"",--MID('Key Analysis'!$C100,91,1))</f>
        <v/>
      </c>
      <c r="HV104" s="29" t="str">
        <f>IF(OR($B104="",$A104&lt;92),"",--MID('Key Analysis'!$C100,92,1))</f>
        <v/>
      </c>
      <c r="HW104" s="29" t="str">
        <f>IF(OR($B104="",$A104&lt;93),"",--MID('Key Analysis'!$C100,93,1))</f>
        <v/>
      </c>
      <c r="HX104" s="29" t="str">
        <f>IF(OR($B104="",$A104&lt;94),"",--MID('Key Analysis'!$C100,94,1))</f>
        <v/>
      </c>
      <c r="HY104" s="29" t="str">
        <f>IF(OR($B104="",$A104&lt;95),"",--MID('Key Analysis'!$C100,95,1))</f>
        <v/>
      </c>
      <c r="HZ104" s="29" t="str">
        <f>IF(OR($B104="",$A104&lt;96),"",--MID('Key Analysis'!$C100,96,1))</f>
        <v/>
      </c>
      <c r="IA104" s="29" t="str">
        <f>IF(OR($B104="",$A104&lt;97),"",--MID('Key Analysis'!$C100,97,1))</f>
        <v/>
      </c>
      <c r="IB104" s="29" t="str">
        <f>IF(OR($B104="",$A104&lt;98),"",--MID('Key Analysis'!$C100,98,1))</f>
        <v/>
      </c>
      <c r="IC104" s="29" t="str">
        <f>IF(OR($B104="",$A104&lt;99),"",--MID('Key Analysis'!$C100,99,1))</f>
        <v/>
      </c>
      <c r="ID104" s="29" t="str">
        <f>IF(OR($B104="",$A104&lt;100),"",--MID('Key Analysis'!$C100,100,1))</f>
        <v/>
      </c>
      <c r="IE104" s="29" t="str">
        <f>IF(OR($B104="",$A104&lt;101),"",--MID('Key Analysis'!$C100,101,1))</f>
        <v/>
      </c>
      <c r="IF104" s="29" t="str">
        <f>IF(OR($B104="",$A104&lt;102),"",--MID('Key Analysis'!$C100,102,1))</f>
        <v/>
      </c>
      <c r="IG104" s="29" t="str">
        <f>IF(OR($B104="",$A104&lt;103),"",--MID('Key Analysis'!$C100,103,1))</f>
        <v/>
      </c>
      <c r="IH104" s="29" t="str">
        <f>IF(OR($B104="",$A104&lt;104),"",--MID('Key Analysis'!$C100,104,1))</f>
        <v/>
      </c>
      <c r="II104" s="29" t="str">
        <f>IF(OR($B104="",$A104&lt;105),"",--MID('Key Analysis'!$C100,105,1))</f>
        <v/>
      </c>
      <c r="IJ104" s="29" t="str">
        <f>IF(OR($B104="",$A104&lt;106),"",--MID('Key Analysis'!$C100,106,1))</f>
        <v/>
      </c>
      <c r="IK104" s="29" t="str">
        <f>IF(OR($B104="",$A104&lt;107),"",--MID('Key Analysis'!$C100,107,1))</f>
        <v/>
      </c>
      <c r="IL104" s="29" t="str">
        <f>IF(OR($B104="",$A104&lt;108),"",--MID('Key Analysis'!$C100,108,1))</f>
        <v/>
      </c>
      <c r="IM104" s="29" t="str">
        <f>IF(OR($B104="",$A104&lt;109),"",--MID('Key Analysis'!$C100,109,1))</f>
        <v/>
      </c>
      <c r="IN104" s="29" t="str">
        <f>IF(OR($B104="",$A104&lt;110),"",--MID('Key Analysis'!$C100,110,1))</f>
        <v/>
      </c>
      <c r="IO104" s="29" t="str">
        <f>IF(OR($B104="",$A104&lt;111),"",--MID('Key Analysis'!$C100,111,1))</f>
        <v/>
      </c>
      <c r="IP104" s="29" t="str">
        <f>IF(OR($B104="",$A104&lt;112),"",--MID('Key Analysis'!$C100,112,1))</f>
        <v/>
      </c>
      <c r="IQ104" s="29" t="str">
        <f>IF(OR($B104="",$A104&lt;113),"",--MID('Key Analysis'!$C100,113,1))</f>
        <v/>
      </c>
      <c r="IR104" s="29" t="str">
        <f>IF(OR($B104="",$A104&lt;114),"",--MID('Key Analysis'!$C100,114,1))</f>
        <v/>
      </c>
      <c r="IS104" s="29" t="str">
        <f>IF(OR($B104="",$A104&lt;115),"",--MID('Key Analysis'!$C100,115,1))</f>
        <v/>
      </c>
      <c r="IT104" s="29" t="str">
        <f>IF(OR($B104="",$A104&lt;116),"",--MID('Key Analysis'!$C100,116,1))</f>
        <v/>
      </c>
      <c r="IU104" s="29" t="str">
        <f>IF(OR($B104="",$A104&lt;117),"",--MID('Key Analysis'!$C100,117,1))</f>
        <v/>
      </c>
      <c r="IV104" s="29" t="str">
        <f>IF(OR($B104="",$A104&lt;118),"",--MID('Key Analysis'!$C100,118,1))</f>
        <v/>
      </c>
      <c r="IW104" s="29" t="str">
        <f>IF(OR($B104="",$A104&lt;119),"",--MID('Key Analysis'!$C100,119,1))</f>
        <v/>
      </c>
      <c r="IX104" s="29" t="str">
        <f>IF(OR($B104="",$A104&lt;120),"",--MID('Key Analysis'!$C100,120,1))</f>
        <v/>
      </c>
      <c r="IY104" s="29" t="str">
        <f>IF(OR($B104="",$A104&lt;121),"",--MID('Key Analysis'!$C100,121,1))</f>
        <v/>
      </c>
      <c r="IZ104" s="29" t="str">
        <f>IF(OR($B104="",$A104&lt;122),"",--MID('Key Analysis'!$C100,122,1))</f>
        <v/>
      </c>
      <c r="JA104" s="29" t="str">
        <f>IF(OR($B104="",$A104&lt;123),"",--MID('Key Analysis'!$C100,123,1))</f>
        <v/>
      </c>
      <c r="JB104" s="29" t="str">
        <f>IF(OR($B104="",$A104&lt;124),"",--MID('Key Analysis'!$C100,124,1))</f>
        <v/>
      </c>
      <c r="JC104" s="29" t="str">
        <f>IF(OR($B104="",$A104&lt;125),"",--MID('Key Analysis'!$C100,125,1))</f>
        <v/>
      </c>
      <c r="JD104" s="29" t="str">
        <f>IF(OR($B104="",$A104&lt;126),"",--MID('Key Analysis'!$C100,126,1))</f>
        <v/>
      </c>
      <c r="JE104" s="29" t="str">
        <f>IF(OR($B104="",$A104&lt;127),"",--MID('Key Analysis'!$C100,127,1))</f>
        <v/>
      </c>
      <c r="JF104" s="29" t="str">
        <f>IF(OR($B104="",$A104&lt;128),"",--MID('Key Analysis'!$C100,128,1))</f>
        <v/>
      </c>
      <c r="JG104" s="29" t="str">
        <f>IF(OR($B104="",$A104&lt;129),"",--MID('Key Analysis'!$C100,129,1))</f>
        <v/>
      </c>
      <c r="JH104" s="29" t="str">
        <f>IF(OR($B104="",$A104&lt;130),"",--MID('Key Analysis'!$C100,130,1))</f>
        <v/>
      </c>
      <c r="JI104" s="29" t="str">
        <f>IF(OR($B104="",$A104&lt;131),"",--MID('Key Analysis'!$C100,131,1))</f>
        <v/>
      </c>
      <c r="JJ104" s="29" t="str">
        <f>IF(OR($B104="",$A104&lt;132),"",--MID('Key Analysis'!$C100,132,1))</f>
        <v/>
      </c>
      <c r="JK104" s="29" t="str">
        <f>IF(OR($B104="",$A104&lt;133),"",--MID('Key Analysis'!$C100,133,1))</f>
        <v/>
      </c>
      <c r="JL104" s="29" t="str">
        <f>IF(OR($B104="",$A104&lt;134),"",--MID('Key Analysis'!$C100,134,1))</f>
        <v/>
      </c>
      <c r="JM104" s="29" t="str">
        <f>IF(OR($B104="",$A104&lt;135),"",--MID('Key Analysis'!$C100,135,1))</f>
        <v/>
      </c>
    </row>
    <row r="105" spans="1:273" x14ac:dyDescent="0.25">
      <c r="A105" s="21">
        <f>'Key Analysis'!A101</f>
        <v>100</v>
      </c>
      <c r="B105" s="30" t="str">
        <f>'Key Analysis'!B101</f>
        <v>af55fc59c335c8ec67ed24826</v>
      </c>
      <c r="C105" s="29">
        <f>IF(OR($B105="",$A105&lt;=0),"",--MID('Key Analysis'!$C101,$A105-0,1))</f>
        <v>0</v>
      </c>
      <c r="D105" s="29">
        <f>IF(OR($B105="",$A105&lt;=1),"",--MID('Key Analysis'!$C101,$A105-1,1))</f>
        <v>1</v>
      </c>
      <c r="E105" s="29">
        <f>IF(OR($B105="",$A105&lt;=2),"",--MID('Key Analysis'!$C101,$A105-2,1))</f>
        <v>1</v>
      </c>
      <c r="F105" s="29">
        <f>IF(OR($B105="",$A105&lt;=3),"",--MID('Key Analysis'!$C101,$A105-3,1))</f>
        <v>0</v>
      </c>
      <c r="G105" s="29">
        <f>IF(OR($B105="",$A105&lt;=4),"",--MID('Key Analysis'!$C101,$A105-4,1))</f>
        <v>0</v>
      </c>
      <c r="H105" s="29">
        <f>IF(OR($B105="",$A105&lt;=5),"",--MID('Key Analysis'!$C101,$A105-5,1))</f>
        <v>1</v>
      </c>
      <c r="I105" s="29">
        <f>IF(OR($B105="",$A105&lt;=6),"",--MID('Key Analysis'!$C101,$A105-6,1))</f>
        <v>0</v>
      </c>
      <c r="J105" s="29">
        <f>IF(OR($B105="",$A105&lt;=7),"",--MID('Key Analysis'!$C101,$A105-7,1))</f>
        <v>0</v>
      </c>
      <c r="K105" s="29">
        <f>IF(OR($B105="",$A105&lt;=8),"",--MID('Key Analysis'!$C101,$A105-8,1))</f>
        <v>0</v>
      </c>
      <c r="L105" s="29">
        <f>IF(OR($B105="",$A105&lt;=9),"",--MID('Key Analysis'!$C101,$A105-9,1))</f>
        <v>0</v>
      </c>
      <c r="M105" s="29">
        <f>IF(OR($B105="",$A105&lt;=10),"",--MID('Key Analysis'!$C101,$A105-10,1))</f>
        <v>0</v>
      </c>
      <c r="N105" s="29">
        <f>IF(OR($B105="",$A105&lt;=11),"",--MID('Key Analysis'!$C101,$A105-11,1))</f>
        <v>1</v>
      </c>
      <c r="O105" s="29">
        <f>IF(OR($B105="",$A105&lt;=12),"",--MID('Key Analysis'!$C101,$A105-12,1))</f>
        <v>0</v>
      </c>
      <c r="P105" s="29">
        <f>IF(OR($B105="",$A105&lt;=13),"",--MID('Key Analysis'!$C101,$A105-13,1))</f>
        <v>0</v>
      </c>
      <c r="Q105" s="29">
        <f>IF(OR($B105="",$A105&lt;=14),"",--MID('Key Analysis'!$C101,$A105-14,1))</f>
        <v>1</v>
      </c>
      <c r="R105" s="29">
        <f>IF(OR($B105="",$A105&lt;=15),"",--MID('Key Analysis'!$C101,$A105-15,1))</f>
        <v>0</v>
      </c>
      <c r="S105" s="29">
        <f>IF(OR($B105="",$A105&lt;=16),"",--MID('Key Analysis'!$C101,$A105-16,1))</f>
        <v>0</v>
      </c>
      <c r="T105" s="29">
        <f>IF(OR($B105="",$A105&lt;=17),"",--MID('Key Analysis'!$C101,$A105-17,1))</f>
        <v>1</v>
      </c>
      <c r="U105" s="29">
        <f>IF(OR($B105="",$A105&lt;=18),"",--MID('Key Analysis'!$C101,$A105-18,1))</f>
        <v>0</v>
      </c>
      <c r="V105" s="29">
        <f>IF(OR($B105="",$A105&lt;=19),"",--MID('Key Analysis'!$C101,$A105-19,1))</f>
        <v>0</v>
      </c>
      <c r="W105" s="29">
        <f>IF(OR($B105="",$A105&lt;=20),"",--MID('Key Analysis'!$C101,$A105-20,1))</f>
        <v>1</v>
      </c>
      <c r="X105" s="29">
        <f>IF(OR($B105="",$A105&lt;=21),"",--MID('Key Analysis'!$C101,$A105-21,1))</f>
        <v>0</v>
      </c>
      <c r="Y105" s="29">
        <f>IF(OR($B105="",$A105&lt;=22),"",--MID('Key Analysis'!$C101,$A105-22,1))</f>
        <v>1</v>
      </c>
      <c r="Z105" s="29">
        <f>IF(OR($B105="",$A105&lt;=23),"",--MID('Key Analysis'!$C101,$A105-23,1))</f>
        <v>1</v>
      </c>
      <c r="AA105" s="29">
        <f>IF(OR($B105="",$A105&lt;=24),"",--MID('Key Analysis'!$C101,$A105-24,1))</f>
        <v>0</v>
      </c>
      <c r="AB105" s="29">
        <f>IF(OR($B105="",$A105&lt;=25),"",--MID('Key Analysis'!$C101,$A105-25,1))</f>
        <v>1</v>
      </c>
      <c r="AC105" s="29">
        <f>IF(OR($B105="",$A105&lt;=26),"",--MID('Key Analysis'!$C101,$A105-26,1))</f>
        <v>1</v>
      </c>
      <c r="AD105" s="29">
        <f>IF(OR($B105="",$A105&lt;=27),"",--MID('Key Analysis'!$C101,$A105-27,1))</f>
        <v>1</v>
      </c>
      <c r="AE105" s="29">
        <f>IF(OR($B105="",$A105&lt;=28),"",--MID('Key Analysis'!$C101,$A105-28,1))</f>
        <v>1</v>
      </c>
      <c r="AF105" s="29">
        <f>IF(OR($B105="",$A105&lt;=29),"",--MID('Key Analysis'!$C101,$A105-29,1))</f>
        <v>1</v>
      </c>
      <c r="AG105" s="29">
        <f>IF(OR($B105="",$A105&lt;=30),"",--MID('Key Analysis'!$C101,$A105-30,1))</f>
        <v>1</v>
      </c>
      <c r="AH105" s="29">
        <f>IF(OR($B105="",$A105&lt;=31),"",--MID('Key Analysis'!$C101,$A105-31,1))</f>
        <v>0</v>
      </c>
      <c r="AI105" s="29">
        <f>IF(OR($B105="",$A105&lt;=32),"",--MID('Key Analysis'!$C101,$A105-32,1))</f>
        <v>0</v>
      </c>
      <c r="AJ105" s="29">
        <f>IF(OR($B105="",$A105&lt;=33),"",--MID('Key Analysis'!$C101,$A105-33,1))</f>
        <v>1</v>
      </c>
      <c r="AK105" s="29">
        <f>IF(OR($B105="",$A105&lt;=34),"",--MID('Key Analysis'!$C101,$A105-34,1))</f>
        <v>1</v>
      </c>
      <c r="AL105" s="29">
        <f>IF(OR($B105="",$A105&lt;=35),"",--MID('Key Analysis'!$C101,$A105-35,1))</f>
        <v>0</v>
      </c>
      <c r="AM105" s="29">
        <f>IF(OR($B105="",$A105&lt;=36),"",--MID('Key Analysis'!$C101,$A105-36,1))</f>
        <v>0</v>
      </c>
      <c r="AN105" s="29">
        <f>IF(OR($B105="",$A105&lt;=37),"",--MID('Key Analysis'!$C101,$A105-37,1))</f>
        <v>0</v>
      </c>
      <c r="AO105" s="29">
        <f>IF(OR($B105="",$A105&lt;=38),"",--MID('Key Analysis'!$C101,$A105-38,1))</f>
        <v>1</v>
      </c>
      <c r="AP105" s="29">
        <f>IF(OR($B105="",$A105&lt;=39),"",--MID('Key Analysis'!$C101,$A105-39,1))</f>
        <v>1</v>
      </c>
      <c r="AQ105" s="29">
        <f>IF(OR($B105="",$A105&lt;=40),"",--MID('Key Analysis'!$C101,$A105-40,1))</f>
        <v>0</v>
      </c>
      <c r="AR105" s="29">
        <f>IF(OR($B105="",$A105&lt;=41),"",--MID('Key Analysis'!$C101,$A105-41,1))</f>
        <v>1</v>
      </c>
      <c r="AS105" s="29">
        <f>IF(OR($B105="",$A105&lt;=42),"",--MID('Key Analysis'!$C101,$A105-42,1))</f>
        <v>1</v>
      </c>
      <c r="AT105" s="29">
        <f>IF(OR($B105="",$A105&lt;=43),"",--MID('Key Analysis'!$C101,$A105-43,1))</f>
        <v>1</v>
      </c>
      <c r="AU105" s="29">
        <f>IF(OR($B105="",$A105&lt;=44),"",--MID('Key Analysis'!$C101,$A105-44,1))</f>
        <v>0</v>
      </c>
      <c r="AV105" s="29">
        <f>IF(OR($B105="",$A105&lt;=45),"",--MID('Key Analysis'!$C101,$A105-45,1))</f>
        <v>0</v>
      </c>
      <c r="AW105" s="29">
        <f>IF(OR($B105="",$A105&lt;=46),"",--MID('Key Analysis'!$C101,$A105-46,1))</f>
        <v>0</v>
      </c>
      <c r="AX105" s="29">
        <f>IF(OR($B105="",$A105&lt;=47),"",--MID('Key Analysis'!$C101,$A105-47,1))</f>
        <v>1</v>
      </c>
      <c r="AY105" s="29">
        <f>IF(OR($B105="",$A105&lt;=48),"",--MID('Key Analysis'!$C101,$A105-48,1))</f>
        <v>0</v>
      </c>
      <c r="AZ105" s="29">
        <f>IF(OR($B105="",$A105&lt;=49),"",--MID('Key Analysis'!$C101,$A105-49,1))</f>
        <v>0</v>
      </c>
      <c r="BA105" s="29">
        <f>IF(OR($B105="",$A105&lt;=50),"",--MID('Key Analysis'!$C101,$A105-50,1))</f>
        <v>1</v>
      </c>
      <c r="BB105" s="29">
        <f>IF(OR($B105="",$A105&lt;=51),"",--MID('Key Analysis'!$C101,$A105-51,1))</f>
        <v>1</v>
      </c>
      <c r="BC105" s="29">
        <f>IF(OR($B105="",$A105&lt;=52),"",--MID('Key Analysis'!$C101,$A105-52,1))</f>
        <v>1</v>
      </c>
      <c r="BD105" s="29">
        <f>IF(OR($B105="",$A105&lt;=53),"",--MID('Key Analysis'!$C101,$A105-53,1))</f>
        <v>0</v>
      </c>
      <c r="BE105" s="29">
        <f>IF(OR($B105="",$A105&lt;=54),"",--MID('Key Analysis'!$C101,$A105-54,1))</f>
        <v>1</v>
      </c>
      <c r="BF105" s="29">
        <f>IF(OR($B105="",$A105&lt;=55),"",--MID('Key Analysis'!$C101,$A105-55,1))</f>
        <v>0</v>
      </c>
      <c r="BG105" s="29">
        <f>IF(OR($B105="",$A105&lt;=56),"",--MID('Key Analysis'!$C101,$A105-56,1))</f>
        <v>1</v>
      </c>
      <c r="BH105" s="29">
        <f>IF(OR($B105="",$A105&lt;=57),"",--MID('Key Analysis'!$C101,$A105-57,1))</f>
        <v>1</v>
      </c>
      <c r="BI105" s="29">
        <f>IF(OR($B105="",$A105&lt;=58),"",--MID('Key Analysis'!$C101,$A105-58,1))</f>
        <v>0</v>
      </c>
      <c r="BJ105" s="29">
        <f>IF(OR($B105="",$A105&lt;=59),"",--MID('Key Analysis'!$C101,$A105-59,1))</f>
        <v>0</v>
      </c>
      <c r="BK105" s="29">
        <f>IF(OR($B105="",$A105&lt;=60),"",--MID('Key Analysis'!$C101,$A105-60,1))</f>
        <v>1</v>
      </c>
      <c r="BL105" s="29">
        <f>IF(OR($B105="",$A105&lt;=61),"",--MID('Key Analysis'!$C101,$A105-61,1))</f>
        <v>1</v>
      </c>
      <c r="BM105" s="29">
        <f>IF(OR($B105="",$A105&lt;=62),"",--MID('Key Analysis'!$C101,$A105-62,1))</f>
        <v>0</v>
      </c>
      <c r="BN105" s="29">
        <f>IF(OR($B105="",$A105&lt;=63),"",--MID('Key Analysis'!$C101,$A105-63,1))</f>
        <v>0</v>
      </c>
      <c r="BO105" s="29">
        <f>IF(OR($B105="",$A105&lt;=64),"",--MID('Key Analysis'!$C101,$A105-64,1))</f>
        <v>0</v>
      </c>
      <c r="BP105" s="29">
        <f>IF(OR($B105="",$A105&lt;=65),"",--MID('Key Analysis'!$C101,$A105-65,1))</f>
        <v>0</v>
      </c>
      <c r="BQ105" s="29">
        <f>IF(OR($B105="",$A105&lt;=66),"",--MID('Key Analysis'!$C101,$A105-66,1))</f>
        <v>1</v>
      </c>
      <c r="BR105" s="29">
        <f>IF(OR($B105="",$A105&lt;=67),"",--MID('Key Analysis'!$C101,$A105-67,1))</f>
        <v>1</v>
      </c>
      <c r="BS105" s="29">
        <f>IF(OR($B105="",$A105&lt;=68),"",--MID('Key Analysis'!$C101,$A105-68,1))</f>
        <v>1</v>
      </c>
      <c r="BT105" s="29">
        <f>IF(OR($B105="",$A105&lt;=69),"",--MID('Key Analysis'!$C101,$A105-69,1))</f>
        <v>0</v>
      </c>
      <c r="BU105" s="29">
        <f>IF(OR($B105="",$A105&lt;=70),"",--MID('Key Analysis'!$C101,$A105-70,1))</f>
        <v>0</v>
      </c>
      <c r="BV105" s="29">
        <f>IF(OR($B105="",$A105&lt;=71),"",--MID('Key Analysis'!$C101,$A105-71,1))</f>
        <v>1</v>
      </c>
      <c r="BW105" s="29">
        <f>IF(OR($B105="",$A105&lt;=72),"",--MID('Key Analysis'!$C101,$A105-72,1))</f>
        <v>1</v>
      </c>
      <c r="BX105" s="29">
        <f>IF(OR($B105="",$A105&lt;=73),"",--MID('Key Analysis'!$C101,$A105-73,1))</f>
        <v>0</v>
      </c>
      <c r="BY105" s="29">
        <f>IF(OR($B105="",$A105&lt;=74),"",--MID('Key Analysis'!$C101,$A105-74,1))</f>
        <v>1</v>
      </c>
      <c r="BZ105" s="29">
        <f>IF(OR($B105="",$A105&lt;=75),"",--MID('Key Analysis'!$C101,$A105-75,1))</f>
        <v>0</v>
      </c>
      <c r="CA105" s="29">
        <f>IF(OR($B105="",$A105&lt;=76),"",--MID('Key Analysis'!$C101,$A105-76,1))</f>
        <v>0</v>
      </c>
      <c r="CB105" s="29">
        <f>IF(OR($B105="",$A105&lt;=77),"",--MID('Key Analysis'!$C101,$A105-77,1))</f>
        <v>0</v>
      </c>
      <c r="CC105" s="29">
        <f>IF(OR($B105="",$A105&lt;=78),"",--MID('Key Analysis'!$C101,$A105-78,1))</f>
        <v>1</v>
      </c>
      <c r="CD105" s="29">
        <f>IF(OR($B105="",$A105&lt;=79),"",--MID('Key Analysis'!$C101,$A105-79,1))</f>
        <v>1</v>
      </c>
      <c r="CE105" s="29">
        <f>IF(OR($B105="",$A105&lt;=80),"",--MID('Key Analysis'!$C101,$A105-80,1))</f>
        <v>1</v>
      </c>
      <c r="CF105" s="29">
        <f>IF(OR($B105="",$A105&lt;=81),"",--MID('Key Analysis'!$C101,$A105-81,1))</f>
        <v>1</v>
      </c>
      <c r="CG105" s="29">
        <f>IF(OR($B105="",$A105&lt;=82),"",--MID('Key Analysis'!$C101,$A105-82,1))</f>
        <v>1</v>
      </c>
      <c r="CH105" s="29">
        <f>IF(OR($B105="",$A105&lt;=83),"",--MID('Key Analysis'!$C101,$A105-83,1))</f>
        <v>1</v>
      </c>
      <c r="CI105" s="29">
        <f>IF(OR($B105="",$A105&lt;=84),"",--MID('Key Analysis'!$C101,$A105-84,1))</f>
        <v>1</v>
      </c>
      <c r="CJ105" s="29">
        <f>IF(OR($B105="",$A105&lt;=85),"",--MID('Key Analysis'!$C101,$A105-85,1))</f>
        <v>0</v>
      </c>
      <c r="CK105" s="29">
        <f>IF(OR($B105="",$A105&lt;=86),"",--MID('Key Analysis'!$C101,$A105-86,1))</f>
        <v>1</v>
      </c>
      <c r="CL105" s="29">
        <f>IF(OR($B105="",$A105&lt;=87),"",--MID('Key Analysis'!$C101,$A105-87,1))</f>
        <v>0</v>
      </c>
      <c r="CM105" s="29">
        <f>IF(OR($B105="",$A105&lt;=88),"",--MID('Key Analysis'!$C101,$A105-88,1))</f>
        <v>1</v>
      </c>
      <c r="CN105" s="29">
        <f>IF(OR($B105="",$A105&lt;=89),"",--MID('Key Analysis'!$C101,$A105-89,1))</f>
        <v>0</v>
      </c>
      <c r="CO105" s="29">
        <f>IF(OR($B105="",$A105&lt;=90),"",--MID('Key Analysis'!$C101,$A105-90,1))</f>
        <v>1</v>
      </c>
      <c r="CP105" s="29">
        <f>IF(OR($B105="",$A105&lt;=91),"",--MID('Key Analysis'!$C101,$A105-91,1))</f>
        <v>0</v>
      </c>
      <c r="CQ105" s="29">
        <f>IF(OR($B105="",$A105&lt;=92),"",--MID('Key Analysis'!$C101,$A105-92,1))</f>
        <v>1</v>
      </c>
      <c r="CR105" s="29">
        <f>IF(OR($B105="",$A105&lt;=93),"",--MID('Key Analysis'!$C101,$A105-93,1))</f>
        <v>1</v>
      </c>
      <c r="CS105" s="29">
        <f>IF(OR($B105="",$A105&lt;=94),"",--MID('Key Analysis'!$C101,$A105-94,1))</f>
        <v>1</v>
      </c>
      <c r="CT105" s="29">
        <f>IF(OR($B105="",$A105&lt;=95),"",--MID('Key Analysis'!$C101,$A105-95,1))</f>
        <v>1</v>
      </c>
      <c r="CU105" s="29">
        <f>IF(OR($B105="",$A105&lt;=96),"",--MID('Key Analysis'!$C101,$A105-96,1))</f>
        <v>0</v>
      </c>
      <c r="CV105" s="29">
        <f>IF(OR($B105="",$A105&lt;=97),"",--MID('Key Analysis'!$C101,$A105-97,1))</f>
        <v>1</v>
      </c>
      <c r="CW105" s="29">
        <f>IF(OR($B105="",$A105&lt;=98),"",--MID('Key Analysis'!$C101,$A105-98,1))</f>
        <v>0</v>
      </c>
      <c r="CX105" s="29">
        <f>IF(OR($B105="",$A105&lt;=99),"",--MID('Key Analysis'!$C101,$A105-99,1))</f>
        <v>1</v>
      </c>
      <c r="CY105" s="29" t="str">
        <f>IF(OR($B105="",$A105&lt;=100),"",--MID('Key Analysis'!$C101,$A105-100,1))</f>
        <v/>
      </c>
      <c r="CZ105" s="29" t="str">
        <f>IF(OR($B105="",$A105&lt;=101),"",--MID('Key Analysis'!$C101,$A105-101,1))</f>
        <v/>
      </c>
      <c r="DA105" s="29" t="str">
        <f>IF(OR($B105="",$A105&lt;=102),"",--MID('Key Analysis'!$C101,$A105-102,1))</f>
        <v/>
      </c>
      <c r="DB105" s="29" t="str">
        <f>IF(OR($B105="",$A105&lt;=103),"",--MID('Key Analysis'!$C101,$A105-103,1))</f>
        <v/>
      </c>
      <c r="DC105" s="29" t="str">
        <f>IF(OR($B105="",$A105&lt;=104),"",--MID('Key Analysis'!$C101,$A105-104,1))</f>
        <v/>
      </c>
      <c r="DD105" s="29" t="str">
        <f>IF(OR($B105="",$A105&lt;=105),"",--MID('Key Analysis'!$C101,$A105-105,1))</f>
        <v/>
      </c>
      <c r="DE105" s="29" t="str">
        <f>IF(OR($B105="",$A105&lt;=106),"",--MID('Key Analysis'!$C101,$A105-106,1))</f>
        <v/>
      </c>
      <c r="DF105" s="29" t="str">
        <f>IF(OR($B105="",$A105&lt;=107),"",--MID('Key Analysis'!$C101,$A105-107,1))</f>
        <v/>
      </c>
      <c r="DG105" s="29" t="str">
        <f>IF(OR($B105="",$A105&lt;=108),"",--MID('Key Analysis'!$C101,$A105-108,1))</f>
        <v/>
      </c>
      <c r="DH105" s="29" t="str">
        <f>IF(OR($B105="",$A105&lt;=109),"",--MID('Key Analysis'!$C101,$A105-109,1))</f>
        <v/>
      </c>
      <c r="DI105" s="29" t="str">
        <f>IF(OR($B105="",$A105&lt;=110),"",--MID('Key Analysis'!$C101,$A105-110,1))</f>
        <v/>
      </c>
      <c r="DJ105" s="29" t="str">
        <f>IF(OR($B105="",$A105&lt;=111),"",--MID('Key Analysis'!$C101,$A105-111,1))</f>
        <v/>
      </c>
      <c r="DK105" s="29" t="str">
        <f>IF(OR($B105="",$A105&lt;=112),"",--MID('Key Analysis'!$C101,$A105-112,1))</f>
        <v/>
      </c>
      <c r="DL105" s="29" t="str">
        <f>IF(OR($B105="",$A105&lt;=113),"",--MID('Key Analysis'!$C101,$A105-113,1))</f>
        <v/>
      </c>
      <c r="DM105" s="29" t="str">
        <f>IF(OR($B105="",$A105&lt;=114),"",--MID('Key Analysis'!$C101,$A105-114,1))</f>
        <v/>
      </c>
      <c r="DN105" s="29" t="str">
        <f>IF(OR($B105="",$A105&lt;=115),"",--MID('Key Analysis'!$C101,$A105-115,1))</f>
        <v/>
      </c>
      <c r="DO105" s="29" t="str">
        <f>IF(OR($B105="",$A105&lt;=116),"",--MID('Key Analysis'!$C101,$A105-116,1))</f>
        <v/>
      </c>
      <c r="DP105" s="29" t="str">
        <f>IF(OR($B105="",$A105&lt;=117),"",--MID('Key Analysis'!$C101,$A105-117,1))</f>
        <v/>
      </c>
      <c r="DQ105" s="29" t="str">
        <f>IF(OR($B105="",$A105&lt;=118),"",--MID('Key Analysis'!$C101,$A105-118,1))</f>
        <v/>
      </c>
      <c r="DR105" s="29" t="str">
        <f>IF(OR($B105="",$A105&lt;=119),"",--MID('Key Analysis'!$C101,$A105-119,1))</f>
        <v/>
      </c>
      <c r="DS105" s="29" t="str">
        <f>IF(OR($B105="",$A105&lt;=120),"",--MID('Key Analysis'!$C101,$A105-120,1))</f>
        <v/>
      </c>
      <c r="DT105" s="29" t="str">
        <f>IF(OR($B105="",$A105&lt;=121),"",--MID('Key Analysis'!$C101,$A105-121,1))</f>
        <v/>
      </c>
      <c r="DU105" s="29" t="str">
        <f>IF(OR($B105="",$A105&lt;=122),"",--MID('Key Analysis'!$C101,$A105-122,1))</f>
        <v/>
      </c>
      <c r="DV105" s="29" t="str">
        <f>IF(OR($B105="",$A105&lt;=123),"",--MID('Key Analysis'!$C101,$A105-123,1))</f>
        <v/>
      </c>
      <c r="DW105" s="29" t="str">
        <f>IF(OR($B105="",$A105&lt;=124),"",--MID('Key Analysis'!$C101,$A105-124,1))</f>
        <v/>
      </c>
      <c r="DX105" s="29" t="str">
        <f>IF(OR($B105="",$A105&lt;=125),"",--MID('Key Analysis'!$C101,$A105-125,1))</f>
        <v/>
      </c>
      <c r="DY105" s="29" t="str">
        <f>IF(OR($B105="",$A105&lt;=126),"",--MID('Key Analysis'!$C101,$A105-126,1))</f>
        <v/>
      </c>
      <c r="DZ105" s="29" t="str">
        <f>IF(OR($B105="",$A105&lt;=127),"",--MID('Key Analysis'!$C101,$A105-127,1))</f>
        <v/>
      </c>
      <c r="EA105" s="29" t="str">
        <f>IF(OR($B105="",$A105&lt;=128),"",--MID('Key Analysis'!$C101,$A105-128,1))</f>
        <v/>
      </c>
      <c r="EB105" s="29" t="str">
        <f>IF(OR($B105="",$A105&lt;=129),"",--MID('Key Analysis'!$C101,$A105-129,1))</f>
        <v/>
      </c>
      <c r="EC105" s="29" t="str">
        <f>IF(OR($B105="",$A105&lt;=130),"",--MID('Key Analysis'!$C101,$A105-130,1))</f>
        <v/>
      </c>
      <c r="ED105" s="29" t="str">
        <f>IF(OR($B105="",$A105&lt;=131),"",--MID('Key Analysis'!$C101,$A105-131,1))</f>
        <v/>
      </c>
      <c r="EE105" s="29" t="str">
        <f>IF(OR($B105="",$A105&lt;=132),"",--MID('Key Analysis'!$C101,$A105-132,1))</f>
        <v/>
      </c>
      <c r="EF105" s="29" t="str">
        <f>IF(OR($B105="",$A105&lt;=133),"",--MID('Key Analysis'!$C101,$A105-133,1))</f>
        <v/>
      </c>
      <c r="EG105" s="29" t="str">
        <f>IF(OR($B105="",$A105&lt;=134),"",--MID('Key Analysis'!$C101,$A105-134,1))</f>
        <v/>
      </c>
      <c r="EH105" s="29"/>
      <c r="EI105" s="29">
        <f>IF(OR($B105="",$A105&lt;1),"",--MID('Key Analysis'!$C101,1,1))</f>
        <v>1</v>
      </c>
      <c r="EJ105" s="29">
        <f>IF(OR($B105="",$A105&lt;2),"",--MID('Key Analysis'!$C101,2,1))</f>
        <v>0</v>
      </c>
      <c r="EK105" s="29">
        <f>IF(OR($B105="",$A105&lt;3),"",--MID('Key Analysis'!$C101,3,1))</f>
        <v>1</v>
      </c>
      <c r="EL105" s="29">
        <f>IF(OR($B105="",$A105&lt;4),"",--MID('Key Analysis'!$C101,4,1))</f>
        <v>0</v>
      </c>
      <c r="EM105" s="29">
        <f>IF(OR($B105="",$A105&lt;5),"",--MID('Key Analysis'!$C101,5,1))</f>
        <v>1</v>
      </c>
      <c r="EN105" s="29">
        <f>IF(OR($B105="",$A105&lt;6),"",--MID('Key Analysis'!$C101,6,1))</f>
        <v>1</v>
      </c>
      <c r="EO105" s="29">
        <f>IF(OR($B105="",$A105&lt;7),"",--MID('Key Analysis'!$C101,7,1))</f>
        <v>1</v>
      </c>
      <c r="EP105" s="29">
        <f>IF(OR($B105="",$A105&lt;8),"",--MID('Key Analysis'!$C101,8,1))</f>
        <v>1</v>
      </c>
      <c r="EQ105" s="29">
        <f>IF(OR($B105="",$A105&lt;9),"",--MID('Key Analysis'!$C101,9,1))</f>
        <v>0</v>
      </c>
      <c r="ER105" s="29">
        <f>IF(OR($B105="",$A105&lt;10),"",--MID('Key Analysis'!$C101,10,1))</f>
        <v>1</v>
      </c>
      <c r="ES105" s="29">
        <f>IF(OR($B105="",$A105&lt;11),"",--MID('Key Analysis'!$C101,11,1))</f>
        <v>0</v>
      </c>
      <c r="ET105" s="29">
        <f>IF(OR($B105="",$A105&lt;12),"",--MID('Key Analysis'!$C101,12,1))</f>
        <v>1</v>
      </c>
      <c r="EU105" s="29">
        <f>IF(OR($B105="",$A105&lt;13),"",--MID('Key Analysis'!$C101,13,1))</f>
        <v>0</v>
      </c>
      <c r="EV105" s="29">
        <f>IF(OR($B105="",$A105&lt;14),"",--MID('Key Analysis'!$C101,14,1))</f>
        <v>1</v>
      </c>
      <c r="EW105" s="29">
        <f>IF(OR($B105="",$A105&lt;15),"",--MID('Key Analysis'!$C101,15,1))</f>
        <v>0</v>
      </c>
      <c r="EX105" s="29">
        <f>IF(OR($B105="",$A105&lt;16),"",--MID('Key Analysis'!$C101,16,1))</f>
        <v>1</v>
      </c>
      <c r="EY105" s="29">
        <f>IF(OR($B105="",$A105&lt;17),"",--MID('Key Analysis'!$C101,17,1))</f>
        <v>1</v>
      </c>
      <c r="EZ105" s="29">
        <f>IF(OR($B105="",$A105&lt;18),"",--MID('Key Analysis'!$C101,18,1))</f>
        <v>1</v>
      </c>
      <c r="FA105" s="29">
        <f>IF(OR($B105="",$A105&lt;19),"",--MID('Key Analysis'!$C101,19,1))</f>
        <v>1</v>
      </c>
      <c r="FB105" s="29">
        <f>IF(OR($B105="",$A105&lt;20),"",--MID('Key Analysis'!$C101,20,1))</f>
        <v>1</v>
      </c>
      <c r="FC105" s="29">
        <f>IF(OR($B105="",$A105&lt;21),"",--MID('Key Analysis'!$C101,21,1))</f>
        <v>1</v>
      </c>
      <c r="FD105" s="29">
        <f>IF(OR($B105="",$A105&lt;22),"",--MID('Key Analysis'!$C101,22,1))</f>
        <v>1</v>
      </c>
      <c r="FE105" s="29">
        <f>IF(OR($B105="",$A105&lt;23),"",--MID('Key Analysis'!$C101,23,1))</f>
        <v>0</v>
      </c>
      <c r="FF105" s="29">
        <f>IF(OR($B105="",$A105&lt;24),"",--MID('Key Analysis'!$C101,24,1))</f>
        <v>0</v>
      </c>
      <c r="FG105" s="29">
        <f>IF(OR($B105="",$A105&lt;25),"",--MID('Key Analysis'!$C101,25,1))</f>
        <v>0</v>
      </c>
      <c r="FH105" s="29">
        <f>IF(OR($B105="",$A105&lt;26),"",--MID('Key Analysis'!$C101,26,1))</f>
        <v>1</v>
      </c>
      <c r="FI105" s="29">
        <f>IF(OR($B105="",$A105&lt;27),"",--MID('Key Analysis'!$C101,27,1))</f>
        <v>0</v>
      </c>
      <c r="FJ105" s="29">
        <f>IF(OR($B105="",$A105&lt;28),"",--MID('Key Analysis'!$C101,28,1))</f>
        <v>1</v>
      </c>
      <c r="FK105" s="29">
        <f>IF(OR($B105="",$A105&lt;29),"",--MID('Key Analysis'!$C101,29,1))</f>
        <v>1</v>
      </c>
      <c r="FL105" s="29">
        <f>IF(OR($B105="",$A105&lt;30),"",--MID('Key Analysis'!$C101,30,1))</f>
        <v>0</v>
      </c>
      <c r="FM105" s="29">
        <f>IF(OR($B105="",$A105&lt;31),"",--MID('Key Analysis'!$C101,31,1))</f>
        <v>0</v>
      </c>
      <c r="FN105" s="29">
        <f>IF(OR($B105="",$A105&lt;32),"",--MID('Key Analysis'!$C101,32,1))</f>
        <v>1</v>
      </c>
      <c r="FO105" s="29">
        <f>IF(OR($B105="",$A105&lt;33),"",--MID('Key Analysis'!$C101,33,1))</f>
        <v>1</v>
      </c>
      <c r="FP105" s="29">
        <f>IF(OR($B105="",$A105&lt;34),"",--MID('Key Analysis'!$C101,34,1))</f>
        <v>1</v>
      </c>
      <c r="FQ105" s="29">
        <f>IF(OR($B105="",$A105&lt;35),"",--MID('Key Analysis'!$C101,35,1))</f>
        <v>0</v>
      </c>
      <c r="FR105" s="29">
        <f>IF(OR($B105="",$A105&lt;36),"",--MID('Key Analysis'!$C101,36,1))</f>
        <v>0</v>
      </c>
      <c r="FS105" s="29">
        <f>IF(OR($B105="",$A105&lt;37),"",--MID('Key Analysis'!$C101,37,1))</f>
        <v>0</v>
      </c>
      <c r="FT105" s="29">
        <f>IF(OR($B105="",$A105&lt;38),"",--MID('Key Analysis'!$C101,38,1))</f>
        <v>0</v>
      </c>
      <c r="FU105" s="29">
        <f>IF(OR($B105="",$A105&lt;39),"",--MID('Key Analysis'!$C101,39,1))</f>
        <v>1</v>
      </c>
      <c r="FV105" s="29">
        <f>IF(OR($B105="",$A105&lt;40),"",--MID('Key Analysis'!$C101,40,1))</f>
        <v>1</v>
      </c>
      <c r="FW105" s="29">
        <f>IF(OR($B105="",$A105&lt;41),"",--MID('Key Analysis'!$C101,41,1))</f>
        <v>0</v>
      </c>
      <c r="FX105" s="29">
        <f>IF(OR($B105="",$A105&lt;42),"",--MID('Key Analysis'!$C101,42,1))</f>
        <v>0</v>
      </c>
      <c r="FY105" s="29">
        <f>IF(OR($B105="",$A105&lt;43),"",--MID('Key Analysis'!$C101,43,1))</f>
        <v>1</v>
      </c>
      <c r="FZ105" s="29">
        <f>IF(OR($B105="",$A105&lt;44),"",--MID('Key Analysis'!$C101,44,1))</f>
        <v>1</v>
      </c>
      <c r="GA105" s="29">
        <f>IF(OR($B105="",$A105&lt;45),"",--MID('Key Analysis'!$C101,45,1))</f>
        <v>0</v>
      </c>
      <c r="GB105" s="29">
        <f>IF(OR($B105="",$A105&lt;46),"",--MID('Key Analysis'!$C101,46,1))</f>
        <v>1</v>
      </c>
      <c r="GC105" s="29">
        <f>IF(OR($B105="",$A105&lt;47),"",--MID('Key Analysis'!$C101,47,1))</f>
        <v>0</v>
      </c>
      <c r="GD105" s="29">
        <f>IF(OR($B105="",$A105&lt;48),"",--MID('Key Analysis'!$C101,48,1))</f>
        <v>1</v>
      </c>
      <c r="GE105" s="29">
        <f>IF(OR($B105="",$A105&lt;49),"",--MID('Key Analysis'!$C101,49,1))</f>
        <v>1</v>
      </c>
      <c r="GF105" s="29">
        <f>IF(OR($B105="",$A105&lt;50),"",--MID('Key Analysis'!$C101,50,1))</f>
        <v>1</v>
      </c>
      <c r="GG105" s="29">
        <f>IF(OR($B105="",$A105&lt;51),"",--MID('Key Analysis'!$C101,51,1))</f>
        <v>0</v>
      </c>
      <c r="GH105" s="29">
        <f>IF(OR($B105="",$A105&lt;52),"",--MID('Key Analysis'!$C101,52,1))</f>
        <v>0</v>
      </c>
      <c r="GI105" s="29">
        <f>IF(OR($B105="",$A105&lt;53),"",--MID('Key Analysis'!$C101,53,1))</f>
        <v>1</v>
      </c>
      <c r="GJ105" s="29">
        <f>IF(OR($B105="",$A105&lt;54),"",--MID('Key Analysis'!$C101,54,1))</f>
        <v>0</v>
      </c>
      <c r="GK105" s="29">
        <f>IF(OR($B105="",$A105&lt;55),"",--MID('Key Analysis'!$C101,55,1))</f>
        <v>0</v>
      </c>
      <c r="GL105" s="29">
        <f>IF(OR($B105="",$A105&lt;56),"",--MID('Key Analysis'!$C101,56,1))</f>
        <v>0</v>
      </c>
      <c r="GM105" s="29">
        <f>IF(OR($B105="",$A105&lt;57),"",--MID('Key Analysis'!$C101,57,1))</f>
        <v>1</v>
      </c>
      <c r="GN105" s="29">
        <f>IF(OR($B105="",$A105&lt;58),"",--MID('Key Analysis'!$C101,58,1))</f>
        <v>1</v>
      </c>
      <c r="GO105" s="29">
        <f>IF(OR($B105="",$A105&lt;59),"",--MID('Key Analysis'!$C101,59,1))</f>
        <v>1</v>
      </c>
      <c r="GP105" s="29">
        <f>IF(OR($B105="",$A105&lt;60),"",--MID('Key Analysis'!$C101,60,1))</f>
        <v>0</v>
      </c>
      <c r="GQ105" s="29">
        <f>IF(OR($B105="",$A105&lt;61),"",--MID('Key Analysis'!$C101,61,1))</f>
        <v>1</v>
      </c>
      <c r="GR105" s="29">
        <f>IF(OR($B105="",$A105&lt;62),"",--MID('Key Analysis'!$C101,62,1))</f>
        <v>1</v>
      </c>
      <c r="GS105" s="29">
        <f>IF(OR($B105="",$A105&lt;63),"",--MID('Key Analysis'!$C101,63,1))</f>
        <v>0</v>
      </c>
      <c r="GT105" s="29">
        <f>IF(OR($B105="",$A105&lt;64),"",--MID('Key Analysis'!$C101,64,1))</f>
        <v>0</v>
      </c>
      <c r="GU105" s="29">
        <f>IF(OR($B105="",$A105&lt;65),"",--MID('Key Analysis'!$C101,65,1))</f>
        <v>0</v>
      </c>
      <c r="GV105" s="29">
        <f>IF(OR($B105="",$A105&lt;66),"",--MID('Key Analysis'!$C101,66,1))</f>
        <v>1</v>
      </c>
      <c r="GW105" s="29">
        <f>IF(OR($B105="",$A105&lt;67),"",--MID('Key Analysis'!$C101,67,1))</f>
        <v>1</v>
      </c>
      <c r="GX105" s="29">
        <f>IF(OR($B105="",$A105&lt;68),"",--MID('Key Analysis'!$C101,68,1))</f>
        <v>0</v>
      </c>
      <c r="GY105" s="29">
        <f>IF(OR($B105="",$A105&lt;69),"",--MID('Key Analysis'!$C101,69,1))</f>
        <v>0</v>
      </c>
      <c r="GZ105" s="29">
        <f>IF(OR($B105="",$A105&lt;70),"",--MID('Key Analysis'!$C101,70,1))</f>
        <v>1</v>
      </c>
      <c r="HA105" s="29">
        <f>IF(OR($B105="",$A105&lt;71),"",--MID('Key Analysis'!$C101,71,1))</f>
        <v>1</v>
      </c>
      <c r="HB105" s="29">
        <f>IF(OR($B105="",$A105&lt;72),"",--MID('Key Analysis'!$C101,72,1))</f>
        <v>1</v>
      </c>
      <c r="HC105" s="29">
        <f>IF(OR($B105="",$A105&lt;73),"",--MID('Key Analysis'!$C101,73,1))</f>
        <v>1</v>
      </c>
      <c r="HD105" s="29">
        <f>IF(OR($B105="",$A105&lt;74),"",--MID('Key Analysis'!$C101,74,1))</f>
        <v>1</v>
      </c>
      <c r="HE105" s="29">
        <f>IF(OR($B105="",$A105&lt;75),"",--MID('Key Analysis'!$C101,75,1))</f>
        <v>1</v>
      </c>
      <c r="HF105" s="29">
        <f>IF(OR($B105="",$A105&lt;76),"",--MID('Key Analysis'!$C101,76,1))</f>
        <v>0</v>
      </c>
      <c r="HG105" s="29">
        <f>IF(OR($B105="",$A105&lt;77),"",--MID('Key Analysis'!$C101,77,1))</f>
        <v>1</v>
      </c>
      <c r="HH105" s="29">
        <f>IF(OR($B105="",$A105&lt;78),"",--MID('Key Analysis'!$C101,78,1))</f>
        <v>1</v>
      </c>
      <c r="HI105" s="29">
        <f>IF(OR($B105="",$A105&lt;79),"",--MID('Key Analysis'!$C101,79,1))</f>
        <v>0</v>
      </c>
      <c r="HJ105" s="29">
        <f>IF(OR($B105="",$A105&lt;80),"",--MID('Key Analysis'!$C101,80,1))</f>
        <v>1</v>
      </c>
      <c r="HK105" s="29">
        <f>IF(OR($B105="",$A105&lt;81),"",--MID('Key Analysis'!$C101,81,1))</f>
        <v>0</v>
      </c>
      <c r="HL105" s="29">
        <f>IF(OR($B105="",$A105&lt;82),"",--MID('Key Analysis'!$C101,82,1))</f>
        <v>0</v>
      </c>
      <c r="HM105" s="29">
        <f>IF(OR($B105="",$A105&lt;83),"",--MID('Key Analysis'!$C101,83,1))</f>
        <v>1</v>
      </c>
      <c r="HN105" s="29">
        <f>IF(OR($B105="",$A105&lt;84),"",--MID('Key Analysis'!$C101,84,1))</f>
        <v>0</v>
      </c>
      <c r="HO105" s="29">
        <f>IF(OR($B105="",$A105&lt;85),"",--MID('Key Analysis'!$C101,85,1))</f>
        <v>0</v>
      </c>
      <c r="HP105" s="29">
        <f>IF(OR($B105="",$A105&lt;86),"",--MID('Key Analysis'!$C101,86,1))</f>
        <v>1</v>
      </c>
      <c r="HQ105" s="29">
        <f>IF(OR($B105="",$A105&lt;87),"",--MID('Key Analysis'!$C101,87,1))</f>
        <v>0</v>
      </c>
      <c r="HR105" s="29">
        <f>IF(OR($B105="",$A105&lt;88),"",--MID('Key Analysis'!$C101,88,1))</f>
        <v>0</v>
      </c>
      <c r="HS105" s="29">
        <f>IF(OR($B105="",$A105&lt;89),"",--MID('Key Analysis'!$C101,89,1))</f>
        <v>1</v>
      </c>
      <c r="HT105" s="29">
        <f>IF(OR($B105="",$A105&lt;90),"",--MID('Key Analysis'!$C101,90,1))</f>
        <v>0</v>
      </c>
      <c r="HU105" s="29">
        <f>IF(OR($B105="",$A105&lt;91),"",--MID('Key Analysis'!$C101,91,1))</f>
        <v>0</v>
      </c>
      <c r="HV105" s="29">
        <f>IF(OR($B105="",$A105&lt;92),"",--MID('Key Analysis'!$C101,92,1))</f>
        <v>0</v>
      </c>
      <c r="HW105" s="29">
        <f>IF(OR($B105="",$A105&lt;93),"",--MID('Key Analysis'!$C101,93,1))</f>
        <v>0</v>
      </c>
      <c r="HX105" s="29">
        <f>IF(OR($B105="",$A105&lt;94),"",--MID('Key Analysis'!$C101,94,1))</f>
        <v>0</v>
      </c>
      <c r="HY105" s="29">
        <f>IF(OR($B105="",$A105&lt;95),"",--MID('Key Analysis'!$C101,95,1))</f>
        <v>1</v>
      </c>
      <c r="HZ105" s="29">
        <f>IF(OR($B105="",$A105&lt;96),"",--MID('Key Analysis'!$C101,96,1))</f>
        <v>0</v>
      </c>
      <c r="IA105" s="29">
        <f>IF(OR($B105="",$A105&lt;97),"",--MID('Key Analysis'!$C101,97,1))</f>
        <v>0</v>
      </c>
      <c r="IB105" s="29">
        <f>IF(OR($B105="",$A105&lt;98),"",--MID('Key Analysis'!$C101,98,1))</f>
        <v>1</v>
      </c>
      <c r="IC105" s="29">
        <f>IF(OR($B105="",$A105&lt;99),"",--MID('Key Analysis'!$C101,99,1))</f>
        <v>1</v>
      </c>
      <c r="ID105" s="29">
        <f>IF(OR($B105="",$A105&lt;100),"",--MID('Key Analysis'!$C101,100,1))</f>
        <v>0</v>
      </c>
      <c r="IE105" s="29" t="str">
        <f>IF(OR($B105="",$A105&lt;101),"",--MID('Key Analysis'!$C101,101,1))</f>
        <v/>
      </c>
      <c r="IF105" s="29" t="str">
        <f>IF(OR($B105="",$A105&lt;102),"",--MID('Key Analysis'!$C101,102,1))</f>
        <v/>
      </c>
      <c r="IG105" s="29" t="str">
        <f>IF(OR($B105="",$A105&lt;103),"",--MID('Key Analysis'!$C101,103,1))</f>
        <v/>
      </c>
      <c r="IH105" s="29" t="str">
        <f>IF(OR($B105="",$A105&lt;104),"",--MID('Key Analysis'!$C101,104,1))</f>
        <v/>
      </c>
      <c r="II105" s="29" t="str">
        <f>IF(OR($B105="",$A105&lt;105),"",--MID('Key Analysis'!$C101,105,1))</f>
        <v/>
      </c>
      <c r="IJ105" s="29" t="str">
        <f>IF(OR($B105="",$A105&lt;106),"",--MID('Key Analysis'!$C101,106,1))</f>
        <v/>
      </c>
      <c r="IK105" s="29" t="str">
        <f>IF(OR($B105="",$A105&lt;107),"",--MID('Key Analysis'!$C101,107,1))</f>
        <v/>
      </c>
      <c r="IL105" s="29" t="str">
        <f>IF(OR($B105="",$A105&lt;108),"",--MID('Key Analysis'!$C101,108,1))</f>
        <v/>
      </c>
      <c r="IM105" s="29" t="str">
        <f>IF(OR($B105="",$A105&lt;109),"",--MID('Key Analysis'!$C101,109,1))</f>
        <v/>
      </c>
      <c r="IN105" s="29" t="str">
        <f>IF(OR($B105="",$A105&lt;110),"",--MID('Key Analysis'!$C101,110,1))</f>
        <v/>
      </c>
      <c r="IO105" s="29" t="str">
        <f>IF(OR($B105="",$A105&lt;111),"",--MID('Key Analysis'!$C101,111,1))</f>
        <v/>
      </c>
      <c r="IP105" s="29" t="str">
        <f>IF(OR($B105="",$A105&lt;112),"",--MID('Key Analysis'!$C101,112,1))</f>
        <v/>
      </c>
      <c r="IQ105" s="29" t="str">
        <f>IF(OR($B105="",$A105&lt;113),"",--MID('Key Analysis'!$C101,113,1))</f>
        <v/>
      </c>
      <c r="IR105" s="29" t="str">
        <f>IF(OR($B105="",$A105&lt;114),"",--MID('Key Analysis'!$C101,114,1))</f>
        <v/>
      </c>
      <c r="IS105" s="29" t="str">
        <f>IF(OR($B105="",$A105&lt;115),"",--MID('Key Analysis'!$C101,115,1))</f>
        <v/>
      </c>
      <c r="IT105" s="29" t="str">
        <f>IF(OR($B105="",$A105&lt;116),"",--MID('Key Analysis'!$C101,116,1))</f>
        <v/>
      </c>
      <c r="IU105" s="29" t="str">
        <f>IF(OR($B105="",$A105&lt;117),"",--MID('Key Analysis'!$C101,117,1))</f>
        <v/>
      </c>
      <c r="IV105" s="29" t="str">
        <f>IF(OR($B105="",$A105&lt;118),"",--MID('Key Analysis'!$C101,118,1))</f>
        <v/>
      </c>
      <c r="IW105" s="29" t="str">
        <f>IF(OR($B105="",$A105&lt;119),"",--MID('Key Analysis'!$C101,119,1))</f>
        <v/>
      </c>
      <c r="IX105" s="29" t="str">
        <f>IF(OR($B105="",$A105&lt;120),"",--MID('Key Analysis'!$C101,120,1))</f>
        <v/>
      </c>
      <c r="IY105" s="29" t="str">
        <f>IF(OR($B105="",$A105&lt;121),"",--MID('Key Analysis'!$C101,121,1))</f>
        <v/>
      </c>
      <c r="IZ105" s="29" t="str">
        <f>IF(OR($B105="",$A105&lt;122),"",--MID('Key Analysis'!$C101,122,1))</f>
        <v/>
      </c>
      <c r="JA105" s="29" t="str">
        <f>IF(OR($B105="",$A105&lt;123),"",--MID('Key Analysis'!$C101,123,1))</f>
        <v/>
      </c>
      <c r="JB105" s="29" t="str">
        <f>IF(OR($B105="",$A105&lt;124),"",--MID('Key Analysis'!$C101,124,1))</f>
        <v/>
      </c>
      <c r="JC105" s="29" t="str">
        <f>IF(OR($B105="",$A105&lt;125),"",--MID('Key Analysis'!$C101,125,1))</f>
        <v/>
      </c>
      <c r="JD105" s="29" t="str">
        <f>IF(OR($B105="",$A105&lt;126),"",--MID('Key Analysis'!$C101,126,1))</f>
        <v/>
      </c>
      <c r="JE105" s="29" t="str">
        <f>IF(OR($B105="",$A105&lt;127),"",--MID('Key Analysis'!$C101,127,1))</f>
        <v/>
      </c>
      <c r="JF105" s="29" t="str">
        <f>IF(OR($B105="",$A105&lt;128),"",--MID('Key Analysis'!$C101,128,1))</f>
        <v/>
      </c>
      <c r="JG105" s="29" t="str">
        <f>IF(OR($B105="",$A105&lt;129),"",--MID('Key Analysis'!$C101,129,1))</f>
        <v/>
      </c>
      <c r="JH105" s="29" t="str">
        <f>IF(OR($B105="",$A105&lt;130),"",--MID('Key Analysis'!$C101,130,1))</f>
        <v/>
      </c>
      <c r="JI105" s="29" t="str">
        <f>IF(OR($B105="",$A105&lt;131),"",--MID('Key Analysis'!$C101,131,1))</f>
        <v/>
      </c>
      <c r="JJ105" s="29" t="str">
        <f>IF(OR($B105="",$A105&lt;132),"",--MID('Key Analysis'!$C101,132,1))</f>
        <v/>
      </c>
      <c r="JK105" s="29" t="str">
        <f>IF(OR($B105="",$A105&lt;133),"",--MID('Key Analysis'!$C101,133,1))</f>
        <v/>
      </c>
      <c r="JL105" s="29" t="str">
        <f>IF(OR($B105="",$A105&lt;134),"",--MID('Key Analysis'!$C101,134,1))</f>
        <v/>
      </c>
      <c r="JM105" s="29" t="str">
        <f>IF(OR($B105="",$A105&lt;135),"",--MID('Key Analysis'!$C101,135,1))</f>
        <v/>
      </c>
    </row>
    <row r="106" spans="1:273" x14ac:dyDescent="0.25">
      <c r="A106" s="21">
        <f>'Key Analysis'!A102</f>
        <v>101</v>
      </c>
      <c r="B106" s="30" t="str">
        <f>'Key Analysis'!B102</f>
        <v/>
      </c>
      <c r="C106" s="29" t="str">
        <f>IF(OR($B106="",$A106&lt;=0),"",--MID('Key Analysis'!$C102,$A106-0,1))</f>
        <v/>
      </c>
      <c r="D106" s="29" t="str">
        <f>IF(OR($B106="",$A106&lt;=1),"",--MID('Key Analysis'!$C102,$A106-1,1))</f>
        <v/>
      </c>
      <c r="E106" s="29" t="str">
        <f>IF(OR($B106="",$A106&lt;=2),"",--MID('Key Analysis'!$C102,$A106-2,1))</f>
        <v/>
      </c>
      <c r="F106" s="29" t="str">
        <f>IF(OR($B106="",$A106&lt;=3),"",--MID('Key Analysis'!$C102,$A106-3,1))</f>
        <v/>
      </c>
      <c r="G106" s="29" t="str">
        <f>IF(OR($B106="",$A106&lt;=4),"",--MID('Key Analysis'!$C102,$A106-4,1))</f>
        <v/>
      </c>
      <c r="H106" s="29" t="str">
        <f>IF(OR($B106="",$A106&lt;=5),"",--MID('Key Analysis'!$C102,$A106-5,1))</f>
        <v/>
      </c>
      <c r="I106" s="29" t="str">
        <f>IF(OR($B106="",$A106&lt;=6),"",--MID('Key Analysis'!$C102,$A106-6,1))</f>
        <v/>
      </c>
      <c r="J106" s="29" t="str">
        <f>IF(OR($B106="",$A106&lt;=7),"",--MID('Key Analysis'!$C102,$A106-7,1))</f>
        <v/>
      </c>
      <c r="K106" s="29" t="str">
        <f>IF(OR($B106="",$A106&lt;=8),"",--MID('Key Analysis'!$C102,$A106-8,1))</f>
        <v/>
      </c>
      <c r="L106" s="29" t="str">
        <f>IF(OR($B106="",$A106&lt;=9),"",--MID('Key Analysis'!$C102,$A106-9,1))</f>
        <v/>
      </c>
      <c r="M106" s="29" t="str">
        <f>IF(OR($B106="",$A106&lt;=10),"",--MID('Key Analysis'!$C102,$A106-10,1))</f>
        <v/>
      </c>
      <c r="N106" s="29" t="str">
        <f>IF(OR($B106="",$A106&lt;=11),"",--MID('Key Analysis'!$C102,$A106-11,1))</f>
        <v/>
      </c>
      <c r="O106" s="29" t="str">
        <f>IF(OR($B106="",$A106&lt;=12),"",--MID('Key Analysis'!$C102,$A106-12,1))</f>
        <v/>
      </c>
      <c r="P106" s="29" t="str">
        <f>IF(OR($B106="",$A106&lt;=13),"",--MID('Key Analysis'!$C102,$A106-13,1))</f>
        <v/>
      </c>
      <c r="Q106" s="29" t="str">
        <f>IF(OR($B106="",$A106&lt;=14),"",--MID('Key Analysis'!$C102,$A106-14,1))</f>
        <v/>
      </c>
      <c r="R106" s="29" t="str">
        <f>IF(OR($B106="",$A106&lt;=15),"",--MID('Key Analysis'!$C102,$A106-15,1))</f>
        <v/>
      </c>
      <c r="S106" s="29" t="str">
        <f>IF(OR($B106="",$A106&lt;=16),"",--MID('Key Analysis'!$C102,$A106-16,1))</f>
        <v/>
      </c>
      <c r="T106" s="29" t="str">
        <f>IF(OR($B106="",$A106&lt;=17),"",--MID('Key Analysis'!$C102,$A106-17,1))</f>
        <v/>
      </c>
      <c r="U106" s="29" t="str">
        <f>IF(OR($B106="",$A106&lt;=18),"",--MID('Key Analysis'!$C102,$A106-18,1))</f>
        <v/>
      </c>
      <c r="V106" s="29" t="str">
        <f>IF(OR($B106="",$A106&lt;=19),"",--MID('Key Analysis'!$C102,$A106-19,1))</f>
        <v/>
      </c>
      <c r="W106" s="29" t="str">
        <f>IF(OR($B106="",$A106&lt;=20),"",--MID('Key Analysis'!$C102,$A106-20,1))</f>
        <v/>
      </c>
      <c r="X106" s="29" t="str">
        <f>IF(OR($B106="",$A106&lt;=21),"",--MID('Key Analysis'!$C102,$A106-21,1))</f>
        <v/>
      </c>
      <c r="Y106" s="29" t="str">
        <f>IF(OR($B106="",$A106&lt;=22),"",--MID('Key Analysis'!$C102,$A106-22,1))</f>
        <v/>
      </c>
      <c r="Z106" s="29" t="str">
        <f>IF(OR($B106="",$A106&lt;=23),"",--MID('Key Analysis'!$C102,$A106-23,1))</f>
        <v/>
      </c>
      <c r="AA106" s="29" t="str">
        <f>IF(OR($B106="",$A106&lt;=24),"",--MID('Key Analysis'!$C102,$A106-24,1))</f>
        <v/>
      </c>
      <c r="AB106" s="29" t="str">
        <f>IF(OR($B106="",$A106&lt;=25),"",--MID('Key Analysis'!$C102,$A106-25,1))</f>
        <v/>
      </c>
      <c r="AC106" s="29" t="str">
        <f>IF(OR($B106="",$A106&lt;=26),"",--MID('Key Analysis'!$C102,$A106-26,1))</f>
        <v/>
      </c>
      <c r="AD106" s="29" t="str">
        <f>IF(OR($B106="",$A106&lt;=27),"",--MID('Key Analysis'!$C102,$A106-27,1))</f>
        <v/>
      </c>
      <c r="AE106" s="29" t="str">
        <f>IF(OR($B106="",$A106&lt;=28),"",--MID('Key Analysis'!$C102,$A106-28,1))</f>
        <v/>
      </c>
      <c r="AF106" s="29" t="str">
        <f>IF(OR($B106="",$A106&lt;=29),"",--MID('Key Analysis'!$C102,$A106-29,1))</f>
        <v/>
      </c>
      <c r="AG106" s="29" t="str">
        <f>IF(OR($B106="",$A106&lt;=30),"",--MID('Key Analysis'!$C102,$A106-30,1))</f>
        <v/>
      </c>
      <c r="AH106" s="29" t="str">
        <f>IF(OR($B106="",$A106&lt;=31),"",--MID('Key Analysis'!$C102,$A106-31,1))</f>
        <v/>
      </c>
      <c r="AI106" s="29" t="str">
        <f>IF(OR($B106="",$A106&lt;=32),"",--MID('Key Analysis'!$C102,$A106-32,1))</f>
        <v/>
      </c>
      <c r="AJ106" s="29" t="str">
        <f>IF(OR($B106="",$A106&lt;=33),"",--MID('Key Analysis'!$C102,$A106-33,1))</f>
        <v/>
      </c>
      <c r="AK106" s="29" t="str">
        <f>IF(OR($B106="",$A106&lt;=34),"",--MID('Key Analysis'!$C102,$A106-34,1))</f>
        <v/>
      </c>
      <c r="AL106" s="29" t="str">
        <f>IF(OR($B106="",$A106&lt;=35),"",--MID('Key Analysis'!$C102,$A106-35,1))</f>
        <v/>
      </c>
      <c r="AM106" s="29" t="str">
        <f>IF(OR($B106="",$A106&lt;=36),"",--MID('Key Analysis'!$C102,$A106-36,1))</f>
        <v/>
      </c>
      <c r="AN106" s="29" t="str">
        <f>IF(OR($B106="",$A106&lt;=37),"",--MID('Key Analysis'!$C102,$A106-37,1))</f>
        <v/>
      </c>
      <c r="AO106" s="29" t="str">
        <f>IF(OR($B106="",$A106&lt;=38),"",--MID('Key Analysis'!$C102,$A106-38,1))</f>
        <v/>
      </c>
      <c r="AP106" s="29" t="str">
        <f>IF(OR($B106="",$A106&lt;=39),"",--MID('Key Analysis'!$C102,$A106-39,1))</f>
        <v/>
      </c>
      <c r="AQ106" s="29" t="str">
        <f>IF(OR($B106="",$A106&lt;=40),"",--MID('Key Analysis'!$C102,$A106-40,1))</f>
        <v/>
      </c>
      <c r="AR106" s="29" t="str">
        <f>IF(OR($B106="",$A106&lt;=41),"",--MID('Key Analysis'!$C102,$A106-41,1))</f>
        <v/>
      </c>
      <c r="AS106" s="29" t="str">
        <f>IF(OR($B106="",$A106&lt;=42),"",--MID('Key Analysis'!$C102,$A106-42,1))</f>
        <v/>
      </c>
      <c r="AT106" s="29" t="str">
        <f>IF(OR($B106="",$A106&lt;=43),"",--MID('Key Analysis'!$C102,$A106-43,1))</f>
        <v/>
      </c>
      <c r="AU106" s="29" t="str">
        <f>IF(OR($B106="",$A106&lt;=44),"",--MID('Key Analysis'!$C102,$A106-44,1))</f>
        <v/>
      </c>
      <c r="AV106" s="29" t="str">
        <f>IF(OR($B106="",$A106&lt;=45),"",--MID('Key Analysis'!$C102,$A106-45,1))</f>
        <v/>
      </c>
      <c r="AW106" s="29" t="str">
        <f>IF(OR($B106="",$A106&lt;=46),"",--MID('Key Analysis'!$C102,$A106-46,1))</f>
        <v/>
      </c>
      <c r="AX106" s="29" t="str">
        <f>IF(OR($B106="",$A106&lt;=47),"",--MID('Key Analysis'!$C102,$A106-47,1))</f>
        <v/>
      </c>
      <c r="AY106" s="29" t="str">
        <f>IF(OR($B106="",$A106&lt;=48),"",--MID('Key Analysis'!$C102,$A106-48,1))</f>
        <v/>
      </c>
      <c r="AZ106" s="29" t="str">
        <f>IF(OR($B106="",$A106&lt;=49),"",--MID('Key Analysis'!$C102,$A106-49,1))</f>
        <v/>
      </c>
      <c r="BA106" s="29" t="str">
        <f>IF(OR($B106="",$A106&lt;=50),"",--MID('Key Analysis'!$C102,$A106-50,1))</f>
        <v/>
      </c>
      <c r="BB106" s="29" t="str">
        <f>IF(OR($B106="",$A106&lt;=51),"",--MID('Key Analysis'!$C102,$A106-51,1))</f>
        <v/>
      </c>
      <c r="BC106" s="29" t="str">
        <f>IF(OR($B106="",$A106&lt;=52),"",--MID('Key Analysis'!$C102,$A106-52,1))</f>
        <v/>
      </c>
      <c r="BD106" s="29" t="str">
        <f>IF(OR($B106="",$A106&lt;=53),"",--MID('Key Analysis'!$C102,$A106-53,1))</f>
        <v/>
      </c>
      <c r="BE106" s="29" t="str">
        <f>IF(OR($B106="",$A106&lt;=54),"",--MID('Key Analysis'!$C102,$A106-54,1))</f>
        <v/>
      </c>
      <c r="BF106" s="29" t="str">
        <f>IF(OR($B106="",$A106&lt;=55),"",--MID('Key Analysis'!$C102,$A106-55,1))</f>
        <v/>
      </c>
      <c r="BG106" s="29" t="str">
        <f>IF(OR($B106="",$A106&lt;=56),"",--MID('Key Analysis'!$C102,$A106-56,1))</f>
        <v/>
      </c>
      <c r="BH106" s="29" t="str">
        <f>IF(OR($B106="",$A106&lt;=57),"",--MID('Key Analysis'!$C102,$A106-57,1))</f>
        <v/>
      </c>
      <c r="BI106" s="29" t="str">
        <f>IF(OR($B106="",$A106&lt;=58),"",--MID('Key Analysis'!$C102,$A106-58,1))</f>
        <v/>
      </c>
      <c r="BJ106" s="29" t="str">
        <f>IF(OR($B106="",$A106&lt;=59),"",--MID('Key Analysis'!$C102,$A106-59,1))</f>
        <v/>
      </c>
      <c r="BK106" s="29" t="str">
        <f>IF(OR($B106="",$A106&lt;=60),"",--MID('Key Analysis'!$C102,$A106-60,1))</f>
        <v/>
      </c>
      <c r="BL106" s="29" t="str">
        <f>IF(OR($B106="",$A106&lt;=61),"",--MID('Key Analysis'!$C102,$A106-61,1))</f>
        <v/>
      </c>
      <c r="BM106" s="29" t="str">
        <f>IF(OR($B106="",$A106&lt;=62),"",--MID('Key Analysis'!$C102,$A106-62,1))</f>
        <v/>
      </c>
      <c r="BN106" s="29" t="str">
        <f>IF(OR($B106="",$A106&lt;=63),"",--MID('Key Analysis'!$C102,$A106-63,1))</f>
        <v/>
      </c>
      <c r="BO106" s="29" t="str">
        <f>IF(OR($B106="",$A106&lt;=64),"",--MID('Key Analysis'!$C102,$A106-64,1))</f>
        <v/>
      </c>
      <c r="BP106" s="29" t="str">
        <f>IF(OR($B106="",$A106&lt;=65),"",--MID('Key Analysis'!$C102,$A106-65,1))</f>
        <v/>
      </c>
      <c r="BQ106" s="29" t="str">
        <f>IF(OR($B106="",$A106&lt;=66),"",--MID('Key Analysis'!$C102,$A106-66,1))</f>
        <v/>
      </c>
      <c r="BR106" s="29" t="str">
        <f>IF(OR($B106="",$A106&lt;=67),"",--MID('Key Analysis'!$C102,$A106-67,1))</f>
        <v/>
      </c>
      <c r="BS106" s="29" t="str">
        <f>IF(OR($B106="",$A106&lt;=68),"",--MID('Key Analysis'!$C102,$A106-68,1))</f>
        <v/>
      </c>
      <c r="BT106" s="29" t="str">
        <f>IF(OR($B106="",$A106&lt;=69),"",--MID('Key Analysis'!$C102,$A106-69,1))</f>
        <v/>
      </c>
      <c r="BU106" s="29" t="str">
        <f>IF(OR($B106="",$A106&lt;=70),"",--MID('Key Analysis'!$C102,$A106-70,1))</f>
        <v/>
      </c>
      <c r="BV106" s="29" t="str">
        <f>IF(OR($B106="",$A106&lt;=71),"",--MID('Key Analysis'!$C102,$A106-71,1))</f>
        <v/>
      </c>
      <c r="BW106" s="29" t="str">
        <f>IF(OR($B106="",$A106&lt;=72),"",--MID('Key Analysis'!$C102,$A106-72,1))</f>
        <v/>
      </c>
      <c r="BX106" s="29" t="str">
        <f>IF(OR($B106="",$A106&lt;=73),"",--MID('Key Analysis'!$C102,$A106-73,1))</f>
        <v/>
      </c>
      <c r="BY106" s="29" t="str">
        <f>IF(OR($B106="",$A106&lt;=74),"",--MID('Key Analysis'!$C102,$A106-74,1))</f>
        <v/>
      </c>
      <c r="BZ106" s="29" t="str">
        <f>IF(OR($B106="",$A106&lt;=75),"",--MID('Key Analysis'!$C102,$A106-75,1))</f>
        <v/>
      </c>
      <c r="CA106" s="29" t="str">
        <f>IF(OR($B106="",$A106&lt;=76),"",--MID('Key Analysis'!$C102,$A106-76,1))</f>
        <v/>
      </c>
      <c r="CB106" s="29" t="str">
        <f>IF(OR($B106="",$A106&lt;=77),"",--MID('Key Analysis'!$C102,$A106-77,1))</f>
        <v/>
      </c>
      <c r="CC106" s="29" t="str">
        <f>IF(OR($B106="",$A106&lt;=78),"",--MID('Key Analysis'!$C102,$A106-78,1))</f>
        <v/>
      </c>
      <c r="CD106" s="29" t="str">
        <f>IF(OR($B106="",$A106&lt;=79),"",--MID('Key Analysis'!$C102,$A106-79,1))</f>
        <v/>
      </c>
      <c r="CE106" s="29" t="str">
        <f>IF(OR($B106="",$A106&lt;=80),"",--MID('Key Analysis'!$C102,$A106-80,1))</f>
        <v/>
      </c>
      <c r="CF106" s="29" t="str">
        <f>IF(OR($B106="",$A106&lt;=81),"",--MID('Key Analysis'!$C102,$A106-81,1))</f>
        <v/>
      </c>
      <c r="CG106" s="29" t="str">
        <f>IF(OR($B106="",$A106&lt;=82),"",--MID('Key Analysis'!$C102,$A106-82,1))</f>
        <v/>
      </c>
      <c r="CH106" s="29" t="str">
        <f>IF(OR($B106="",$A106&lt;=83),"",--MID('Key Analysis'!$C102,$A106-83,1))</f>
        <v/>
      </c>
      <c r="CI106" s="29" t="str">
        <f>IF(OR($B106="",$A106&lt;=84),"",--MID('Key Analysis'!$C102,$A106-84,1))</f>
        <v/>
      </c>
      <c r="CJ106" s="29" t="str">
        <f>IF(OR($B106="",$A106&lt;=85),"",--MID('Key Analysis'!$C102,$A106-85,1))</f>
        <v/>
      </c>
      <c r="CK106" s="29" t="str">
        <f>IF(OR($B106="",$A106&lt;=86),"",--MID('Key Analysis'!$C102,$A106-86,1))</f>
        <v/>
      </c>
      <c r="CL106" s="29" t="str">
        <f>IF(OR($B106="",$A106&lt;=87),"",--MID('Key Analysis'!$C102,$A106-87,1))</f>
        <v/>
      </c>
      <c r="CM106" s="29" t="str">
        <f>IF(OR($B106="",$A106&lt;=88),"",--MID('Key Analysis'!$C102,$A106-88,1))</f>
        <v/>
      </c>
      <c r="CN106" s="29" t="str">
        <f>IF(OR($B106="",$A106&lt;=89),"",--MID('Key Analysis'!$C102,$A106-89,1))</f>
        <v/>
      </c>
      <c r="CO106" s="29" t="str">
        <f>IF(OR($B106="",$A106&lt;=90),"",--MID('Key Analysis'!$C102,$A106-90,1))</f>
        <v/>
      </c>
      <c r="CP106" s="29" t="str">
        <f>IF(OR($B106="",$A106&lt;=91),"",--MID('Key Analysis'!$C102,$A106-91,1))</f>
        <v/>
      </c>
      <c r="CQ106" s="29" t="str">
        <f>IF(OR($B106="",$A106&lt;=92),"",--MID('Key Analysis'!$C102,$A106-92,1))</f>
        <v/>
      </c>
      <c r="CR106" s="29" t="str">
        <f>IF(OR($B106="",$A106&lt;=93),"",--MID('Key Analysis'!$C102,$A106-93,1))</f>
        <v/>
      </c>
      <c r="CS106" s="29" t="str">
        <f>IF(OR($B106="",$A106&lt;=94),"",--MID('Key Analysis'!$C102,$A106-94,1))</f>
        <v/>
      </c>
      <c r="CT106" s="29" t="str">
        <f>IF(OR($B106="",$A106&lt;=95),"",--MID('Key Analysis'!$C102,$A106-95,1))</f>
        <v/>
      </c>
      <c r="CU106" s="29" t="str">
        <f>IF(OR($B106="",$A106&lt;=96),"",--MID('Key Analysis'!$C102,$A106-96,1))</f>
        <v/>
      </c>
      <c r="CV106" s="29" t="str">
        <f>IF(OR($B106="",$A106&lt;=97),"",--MID('Key Analysis'!$C102,$A106-97,1))</f>
        <v/>
      </c>
      <c r="CW106" s="29" t="str">
        <f>IF(OR($B106="",$A106&lt;=98),"",--MID('Key Analysis'!$C102,$A106-98,1))</f>
        <v/>
      </c>
      <c r="CX106" s="29" t="str">
        <f>IF(OR($B106="",$A106&lt;=99),"",--MID('Key Analysis'!$C102,$A106-99,1))</f>
        <v/>
      </c>
      <c r="CY106" s="29" t="str">
        <f>IF(OR($B106="",$A106&lt;=100),"",--MID('Key Analysis'!$C102,$A106-100,1))</f>
        <v/>
      </c>
      <c r="CZ106" s="29" t="str">
        <f>IF(OR($B106="",$A106&lt;=101),"",--MID('Key Analysis'!$C102,$A106-101,1))</f>
        <v/>
      </c>
      <c r="DA106" s="29" t="str">
        <f>IF(OR($B106="",$A106&lt;=102),"",--MID('Key Analysis'!$C102,$A106-102,1))</f>
        <v/>
      </c>
      <c r="DB106" s="29" t="str">
        <f>IF(OR($B106="",$A106&lt;=103),"",--MID('Key Analysis'!$C102,$A106-103,1))</f>
        <v/>
      </c>
      <c r="DC106" s="29" t="str">
        <f>IF(OR($B106="",$A106&lt;=104),"",--MID('Key Analysis'!$C102,$A106-104,1))</f>
        <v/>
      </c>
      <c r="DD106" s="29" t="str">
        <f>IF(OR($B106="",$A106&lt;=105),"",--MID('Key Analysis'!$C102,$A106-105,1))</f>
        <v/>
      </c>
      <c r="DE106" s="29" t="str">
        <f>IF(OR($B106="",$A106&lt;=106),"",--MID('Key Analysis'!$C102,$A106-106,1))</f>
        <v/>
      </c>
      <c r="DF106" s="29" t="str">
        <f>IF(OR($B106="",$A106&lt;=107),"",--MID('Key Analysis'!$C102,$A106-107,1))</f>
        <v/>
      </c>
      <c r="DG106" s="29" t="str">
        <f>IF(OR($B106="",$A106&lt;=108),"",--MID('Key Analysis'!$C102,$A106-108,1))</f>
        <v/>
      </c>
      <c r="DH106" s="29" t="str">
        <f>IF(OR($B106="",$A106&lt;=109),"",--MID('Key Analysis'!$C102,$A106-109,1))</f>
        <v/>
      </c>
      <c r="DI106" s="29" t="str">
        <f>IF(OR($B106="",$A106&lt;=110),"",--MID('Key Analysis'!$C102,$A106-110,1))</f>
        <v/>
      </c>
      <c r="DJ106" s="29" t="str">
        <f>IF(OR($B106="",$A106&lt;=111),"",--MID('Key Analysis'!$C102,$A106-111,1))</f>
        <v/>
      </c>
      <c r="DK106" s="29" t="str">
        <f>IF(OR($B106="",$A106&lt;=112),"",--MID('Key Analysis'!$C102,$A106-112,1))</f>
        <v/>
      </c>
      <c r="DL106" s="29" t="str">
        <f>IF(OR($B106="",$A106&lt;=113),"",--MID('Key Analysis'!$C102,$A106-113,1))</f>
        <v/>
      </c>
      <c r="DM106" s="29" t="str">
        <f>IF(OR($B106="",$A106&lt;=114),"",--MID('Key Analysis'!$C102,$A106-114,1))</f>
        <v/>
      </c>
      <c r="DN106" s="29" t="str">
        <f>IF(OR($B106="",$A106&lt;=115),"",--MID('Key Analysis'!$C102,$A106-115,1))</f>
        <v/>
      </c>
      <c r="DO106" s="29" t="str">
        <f>IF(OR($B106="",$A106&lt;=116),"",--MID('Key Analysis'!$C102,$A106-116,1))</f>
        <v/>
      </c>
      <c r="DP106" s="29" t="str">
        <f>IF(OR($B106="",$A106&lt;=117),"",--MID('Key Analysis'!$C102,$A106-117,1))</f>
        <v/>
      </c>
      <c r="DQ106" s="29" t="str">
        <f>IF(OR($B106="",$A106&lt;=118),"",--MID('Key Analysis'!$C102,$A106-118,1))</f>
        <v/>
      </c>
      <c r="DR106" s="29" t="str">
        <f>IF(OR($B106="",$A106&lt;=119),"",--MID('Key Analysis'!$C102,$A106-119,1))</f>
        <v/>
      </c>
      <c r="DS106" s="29" t="str">
        <f>IF(OR($B106="",$A106&lt;=120),"",--MID('Key Analysis'!$C102,$A106-120,1))</f>
        <v/>
      </c>
      <c r="DT106" s="29" t="str">
        <f>IF(OR($B106="",$A106&lt;=121),"",--MID('Key Analysis'!$C102,$A106-121,1))</f>
        <v/>
      </c>
      <c r="DU106" s="29" t="str">
        <f>IF(OR($B106="",$A106&lt;=122),"",--MID('Key Analysis'!$C102,$A106-122,1))</f>
        <v/>
      </c>
      <c r="DV106" s="29" t="str">
        <f>IF(OR($B106="",$A106&lt;=123),"",--MID('Key Analysis'!$C102,$A106-123,1))</f>
        <v/>
      </c>
      <c r="DW106" s="29" t="str">
        <f>IF(OR($B106="",$A106&lt;=124),"",--MID('Key Analysis'!$C102,$A106-124,1))</f>
        <v/>
      </c>
      <c r="DX106" s="29" t="str">
        <f>IF(OR($B106="",$A106&lt;=125),"",--MID('Key Analysis'!$C102,$A106-125,1))</f>
        <v/>
      </c>
      <c r="DY106" s="29" t="str">
        <f>IF(OR($B106="",$A106&lt;=126),"",--MID('Key Analysis'!$C102,$A106-126,1))</f>
        <v/>
      </c>
      <c r="DZ106" s="29" t="str">
        <f>IF(OR($B106="",$A106&lt;=127),"",--MID('Key Analysis'!$C102,$A106-127,1))</f>
        <v/>
      </c>
      <c r="EA106" s="29" t="str">
        <f>IF(OR($B106="",$A106&lt;=128),"",--MID('Key Analysis'!$C102,$A106-128,1))</f>
        <v/>
      </c>
      <c r="EB106" s="29" t="str">
        <f>IF(OR($B106="",$A106&lt;=129),"",--MID('Key Analysis'!$C102,$A106-129,1))</f>
        <v/>
      </c>
      <c r="EC106" s="29" t="str">
        <f>IF(OR($B106="",$A106&lt;=130),"",--MID('Key Analysis'!$C102,$A106-130,1))</f>
        <v/>
      </c>
      <c r="ED106" s="29" t="str">
        <f>IF(OR($B106="",$A106&lt;=131),"",--MID('Key Analysis'!$C102,$A106-131,1))</f>
        <v/>
      </c>
      <c r="EE106" s="29" t="str">
        <f>IF(OR($B106="",$A106&lt;=132),"",--MID('Key Analysis'!$C102,$A106-132,1))</f>
        <v/>
      </c>
      <c r="EF106" s="29" t="str">
        <f>IF(OR($B106="",$A106&lt;=133),"",--MID('Key Analysis'!$C102,$A106-133,1))</f>
        <v/>
      </c>
      <c r="EG106" s="29" t="str">
        <f>IF(OR($B106="",$A106&lt;=134),"",--MID('Key Analysis'!$C102,$A106-134,1))</f>
        <v/>
      </c>
      <c r="EH106" s="29"/>
      <c r="EI106" s="29" t="str">
        <f>IF(OR($B106="",$A106&lt;1),"",--MID('Key Analysis'!$C102,1,1))</f>
        <v/>
      </c>
      <c r="EJ106" s="29" t="str">
        <f>IF(OR($B106="",$A106&lt;2),"",--MID('Key Analysis'!$C102,2,1))</f>
        <v/>
      </c>
      <c r="EK106" s="29" t="str">
        <f>IF(OR($B106="",$A106&lt;3),"",--MID('Key Analysis'!$C102,3,1))</f>
        <v/>
      </c>
      <c r="EL106" s="29" t="str">
        <f>IF(OR($B106="",$A106&lt;4),"",--MID('Key Analysis'!$C102,4,1))</f>
        <v/>
      </c>
      <c r="EM106" s="29" t="str">
        <f>IF(OR($B106="",$A106&lt;5),"",--MID('Key Analysis'!$C102,5,1))</f>
        <v/>
      </c>
      <c r="EN106" s="29" t="str">
        <f>IF(OR($B106="",$A106&lt;6),"",--MID('Key Analysis'!$C102,6,1))</f>
        <v/>
      </c>
      <c r="EO106" s="29" t="str">
        <f>IF(OR($B106="",$A106&lt;7),"",--MID('Key Analysis'!$C102,7,1))</f>
        <v/>
      </c>
      <c r="EP106" s="29" t="str">
        <f>IF(OR($B106="",$A106&lt;8),"",--MID('Key Analysis'!$C102,8,1))</f>
        <v/>
      </c>
      <c r="EQ106" s="29" t="str">
        <f>IF(OR($B106="",$A106&lt;9),"",--MID('Key Analysis'!$C102,9,1))</f>
        <v/>
      </c>
      <c r="ER106" s="29" t="str">
        <f>IF(OR($B106="",$A106&lt;10),"",--MID('Key Analysis'!$C102,10,1))</f>
        <v/>
      </c>
      <c r="ES106" s="29" t="str">
        <f>IF(OR($B106="",$A106&lt;11),"",--MID('Key Analysis'!$C102,11,1))</f>
        <v/>
      </c>
      <c r="ET106" s="29" t="str">
        <f>IF(OR($B106="",$A106&lt;12),"",--MID('Key Analysis'!$C102,12,1))</f>
        <v/>
      </c>
      <c r="EU106" s="29" t="str">
        <f>IF(OR($B106="",$A106&lt;13),"",--MID('Key Analysis'!$C102,13,1))</f>
        <v/>
      </c>
      <c r="EV106" s="29" t="str">
        <f>IF(OR($B106="",$A106&lt;14),"",--MID('Key Analysis'!$C102,14,1))</f>
        <v/>
      </c>
      <c r="EW106" s="29" t="str">
        <f>IF(OR($B106="",$A106&lt;15),"",--MID('Key Analysis'!$C102,15,1))</f>
        <v/>
      </c>
      <c r="EX106" s="29" t="str">
        <f>IF(OR($B106="",$A106&lt;16),"",--MID('Key Analysis'!$C102,16,1))</f>
        <v/>
      </c>
      <c r="EY106" s="29" t="str">
        <f>IF(OR($B106="",$A106&lt;17),"",--MID('Key Analysis'!$C102,17,1))</f>
        <v/>
      </c>
      <c r="EZ106" s="29" t="str">
        <f>IF(OR($B106="",$A106&lt;18),"",--MID('Key Analysis'!$C102,18,1))</f>
        <v/>
      </c>
      <c r="FA106" s="29" t="str">
        <f>IF(OR($B106="",$A106&lt;19),"",--MID('Key Analysis'!$C102,19,1))</f>
        <v/>
      </c>
      <c r="FB106" s="29" t="str">
        <f>IF(OR($B106="",$A106&lt;20),"",--MID('Key Analysis'!$C102,20,1))</f>
        <v/>
      </c>
      <c r="FC106" s="29" t="str">
        <f>IF(OR($B106="",$A106&lt;21),"",--MID('Key Analysis'!$C102,21,1))</f>
        <v/>
      </c>
      <c r="FD106" s="29" t="str">
        <f>IF(OR($B106="",$A106&lt;22),"",--MID('Key Analysis'!$C102,22,1))</f>
        <v/>
      </c>
      <c r="FE106" s="29" t="str">
        <f>IF(OR($B106="",$A106&lt;23),"",--MID('Key Analysis'!$C102,23,1))</f>
        <v/>
      </c>
      <c r="FF106" s="29" t="str">
        <f>IF(OR($B106="",$A106&lt;24),"",--MID('Key Analysis'!$C102,24,1))</f>
        <v/>
      </c>
      <c r="FG106" s="29" t="str">
        <f>IF(OR($B106="",$A106&lt;25),"",--MID('Key Analysis'!$C102,25,1))</f>
        <v/>
      </c>
      <c r="FH106" s="29" t="str">
        <f>IF(OR($B106="",$A106&lt;26),"",--MID('Key Analysis'!$C102,26,1))</f>
        <v/>
      </c>
      <c r="FI106" s="29" t="str">
        <f>IF(OR($B106="",$A106&lt;27),"",--MID('Key Analysis'!$C102,27,1))</f>
        <v/>
      </c>
      <c r="FJ106" s="29" t="str">
        <f>IF(OR($B106="",$A106&lt;28),"",--MID('Key Analysis'!$C102,28,1))</f>
        <v/>
      </c>
      <c r="FK106" s="29" t="str">
        <f>IF(OR($B106="",$A106&lt;29),"",--MID('Key Analysis'!$C102,29,1))</f>
        <v/>
      </c>
      <c r="FL106" s="29" t="str">
        <f>IF(OR($B106="",$A106&lt;30),"",--MID('Key Analysis'!$C102,30,1))</f>
        <v/>
      </c>
      <c r="FM106" s="29" t="str">
        <f>IF(OR($B106="",$A106&lt;31),"",--MID('Key Analysis'!$C102,31,1))</f>
        <v/>
      </c>
      <c r="FN106" s="29" t="str">
        <f>IF(OR($B106="",$A106&lt;32),"",--MID('Key Analysis'!$C102,32,1))</f>
        <v/>
      </c>
      <c r="FO106" s="29" t="str">
        <f>IF(OR($B106="",$A106&lt;33),"",--MID('Key Analysis'!$C102,33,1))</f>
        <v/>
      </c>
      <c r="FP106" s="29" t="str">
        <f>IF(OR($B106="",$A106&lt;34),"",--MID('Key Analysis'!$C102,34,1))</f>
        <v/>
      </c>
      <c r="FQ106" s="29" t="str">
        <f>IF(OR($B106="",$A106&lt;35),"",--MID('Key Analysis'!$C102,35,1))</f>
        <v/>
      </c>
      <c r="FR106" s="29" t="str">
        <f>IF(OR($B106="",$A106&lt;36),"",--MID('Key Analysis'!$C102,36,1))</f>
        <v/>
      </c>
      <c r="FS106" s="29" t="str">
        <f>IF(OR($B106="",$A106&lt;37),"",--MID('Key Analysis'!$C102,37,1))</f>
        <v/>
      </c>
      <c r="FT106" s="29" t="str">
        <f>IF(OR($B106="",$A106&lt;38),"",--MID('Key Analysis'!$C102,38,1))</f>
        <v/>
      </c>
      <c r="FU106" s="29" t="str">
        <f>IF(OR($B106="",$A106&lt;39),"",--MID('Key Analysis'!$C102,39,1))</f>
        <v/>
      </c>
      <c r="FV106" s="29" t="str">
        <f>IF(OR($B106="",$A106&lt;40),"",--MID('Key Analysis'!$C102,40,1))</f>
        <v/>
      </c>
      <c r="FW106" s="29" t="str">
        <f>IF(OR($B106="",$A106&lt;41),"",--MID('Key Analysis'!$C102,41,1))</f>
        <v/>
      </c>
      <c r="FX106" s="29" t="str">
        <f>IF(OR($B106="",$A106&lt;42),"",--MID('Key Analysis'!$C102,42,1))</f>
        <v/>
      </c>
      <c r="FY106" s="29" t="str">
        <f>IF(OR($B106="",$A106&lt;43),"",--MID('Key Analysis'!$C102,43,1))</f>
        <v/>
      </c>
      <c r="FZ106" s="29" t="str">
        <f>IF(OR($B106="",$A106&lt;44),"",--MID('Key Analysis'!$C102,44,1))</f>
        <v/>
      </c>
      <c r="GA106" s="29" t="str">
        <f>IF(OR($B106="",$A106&lt;45),"",--MID('Key Analysis'!$C102,45,1))</f>
        <v/>
      </c>
      <c r="GB106" s="29" t="str">
        <f>IF(OR($B106="",$A106&lt;46),"",--MID('Key Analysis'!$C102,46,1))</f>
        <v/>
      </c>
      <c r="GC106" s="29" t="str">
        <f>IF(OR($B106="",$A106&lt;47),"",--MID('Key Analysis'!$C102,47,1))</f>
        <v/>
      </c>
      <c r="GD106" s="29" t="str">
        <f>IF(OR($B106="",$A106&lt;48),"",--MID('Key Analysis'!$C102,48,1))</f>
        <v/>
      </c>
      <c r="GE106" s="29" t="str">
        <f>IF(OR($B106="",$A106&lt;49),"",--MID('Key Analysis'!$C102,49,1))</f>
        <v/>
      </c>
      <c r="GF106" s="29" t="str">
        <f>IF(OR($B106="",$A106&lt;50),"",--MID('Key Analysis'!$C102,50,1))</f>
        <v/>
      </c>
      <c r="GG106" s="29" t="str">
        <f>IF(OR($B106="",$A106&lt;51),"",--MID('Key Analysis'!$C102,51,1))</f>
        <v/>
      </c>
      <c r="GH106" s="29" t="str">
        <f>IF(OR($B106="",$A106&lt;52),"",--MID('Key Analysis'!$C102,52,1))</f>
        <v/>
      </c>
      <c r="GI106" s="29" t="str">
        <f>IF(OR($B106="",$A106&lt;53),"",--MID('Key Analysis'!$C102,53,1))</f>
        <v/>
      </c>
      <c r="GJ106" s="29" t="str">
        <f>IF(OR($B106="",$A106&lt;54),"",--MID('Key Analysis'!$C102,54,1))</f>
        <v/>
      </c>
      <c r="GK106" s="29" t="str">
        <f>IF(OR($B106="",$A106&lt;55),"",--MID('Key Analysis'!$C102,55,1))</f>
        <v/>
      </c>
      <c r="GL106" s="29" t="str">
        <f>IF(OR($B106="",$A106&lt;56),"",--MID('Key Analysis'!$C102,56,1))</f>
        <v/>
      </c>
      <c r="GM106" s="29" t="str">
        <f>IF(OR($B106="",$A106&lt;57),"",--MID('Key Analysis'!$C102,57,1))</f>
        <v/>
      </c>
      <c r="GN106" s="29" t="str">
        <f>IF(OR($B106="",$A106&lt;58),"",--MID('Key Analysis'!$C102,58,1))</f>
        <v/>
      </c>
      <c r="GO106" s="29" t="str">
        <f>IF(OR($B106="",$A106&lt;59),"",--MID('Key Analysis'!$C102,59,1))</f>
        <v/>
      </c>
      <c r="GP106" s="29" t="str">
        <f>IF(OR($B106="",$A106&lt;60),"",--MID('Key Analysis'!$C102,60,1))</f>
        <v/>
      </c>
      <c r="GQ106" s="29" t="str">
        <f>IF(OR($B106="",$A106&lt;61),"",--MID('Key Analysis'!$C102,61,1))</f>
        <v/>
      </c>
      <c r="GR106" s="29" t="str">
        <f>IF(OR($B106="",$A106&lt;62),"",--MID('Key Analysis'!$C102,62,1))</f>
        <v/>
      </c>
      <c r="GS106" s="29" t="str">
        <f>IF(OR($B106="",$A106&lt;63),"",--MID('Key Analysis'!$C102,63,1))</f>
        <v/>
      </c>
      <c r="GT106" s="29" t="str">
        <f>IF(OR($B106="",$A106&lt;64),"",--MID('Key Analysis'!$C102,64,1))</f>
        <v/>
      </c>
      <c r="GU106" s="29" t="str">
        <f>IF(OR($B106="",$A106&lt;65),"",--MID('Key Analysis'!$C102,65,1))</f>
        <v/>
      </c>
      <c r="GV106" s="29" t="str">
        <f>IF(OR($B106="",$A106&lt;66),"",--MID('Key Analysis'!$C102,66,1))</f>
        <v/>
      </c>
      <c r="GW106" s="29" t="str">
        <f>IF(OR($B106="",$A106&lt;67),"",--MID('Key Analysis'!$C102,67,1))</f>
        <v/>
      </c>
      <c r="GX106" s="29" t="str">
        <f>IF(OR($B106="",$A106&lt;68),"",--MID('Key Analysis'!$C102,68,1))</f>
        <v/>
      </c>
      <c r="GY106" s="29" t="str">
        <f>IF(OR($B106="",$A106&lt;69),"",--MID('Key Analysis'!$C102,69,1))</f>
        <v/>
      </c>
      <c r="GZ106" s="29" t="str">
        <f>IF(OR($B106="",$A106&lt;70),"",--MID('Key Analysis'!$C102,70,1))</f>
        <v/>
      </c>
      <c r="HA106" s="29" t="str">
        <f>IF(OR($B106="",$A106&lt;71),"",--MID('Key Analysis'!$C102,71,1))</f>
        <v/>
      </c>
      <c r="HB106" s="29" t="str">
        <f>IF(OR($B106="",$A106&lt;72),"",--MID('Key Analysis'!$C102,72,1))</f>
        <v/>
      </c>
      <c r="HC106" s="29" t="str">
        <f>IF(OR($B106="",$A106&lt;73),"",--MID('Key Analysis'!$C102,73,1))</f>
        <v/>
      </c>
      <c r="HD106" s="29" t="str">
        <f>IF(OR($B106="",$A106&lt;74),"",--MID('Key Analysis'!$C102,74,1))</f>
        <v/>
      </c>
      <c r="HE106" s="29" t="str">
        <f>IF(OR($B106="",$A106&lt;75),"",--MID('Key Analysis'!$C102,75,1))</f>
        <v/>
      </c>
      <c r="HF106" s="29" t="str">
        <f>IF(OR($B106="",$A106&lt;76),"",--MID('Key Analysis'!$C102,76,1))</f>
        <v/>
      </c>
      <c r="HG106" s="29" t="str">
        <f>IF(OR($B106="",$A106&lt;77),"",--MID('Key Analysis'!$C102,77,1))</f>
        <v/>
      </c>
      <c r="HH106" s="29" t="str">
        <f>IF(OR($B106="",$A106&lt;78),"",--MID('Key Analysis'!$C102,78,1))</f>
        <v/>
      </c>
      <c r="HI106" s="29" t="str">
        <f>IF(OR($B106="",$A106&lt;79),"",--MID('Key Analysis'!$C102,79,1))</f>
        <v/>
      </c>
      <c r="HJ106" s="29" t="str">
        <f>IF(OR($B106="",$A106&lt;80),"",--MID('Key Analysis'!$C102,80,1))</f>
        <v/>
      </c>
      <c r="HK106" s="29" t="str">
        <f>IF(OR($B106="",$A106&lt;81),"",--MID('Key Analysis'!$C102,81,1))</f>
        <v/>
      </c>
      <c r="HL106" s="29" t="str">
        <f>IF(OR($B106="",$A106&lt;82),"",--MID('Key Analysis'!$C102,82,1))</f>
        <v/>
      </c>
      <c r="HM106" s="29" t="str">
        <f>IF(OR($B106="",$A106&lt;83),"",--MID('Key Analysis'!$C102,83,1))</f>
        <v/>
      </c>
      <c r="HN106" s="29" t="str">
        <f>IF(OR($B106="",$A106&lt;84),"",--MID('Key Analysis'!$C102,84,1))</f>
        <v/>
      </c>
      <c r="HO106" s="29" t="str">
        <f>IF(OR($B106="",$A106&lt;85),"",--MID('Key Analysis'!$C102,85,1))</f>
        <v/>
      </c>
      <c r="HP106" s="29" t="str">
        <f>IF(OR($B106="",$A106&lt;86),"",--MID('Key Analysis'!$C102,86,1))</f>
        <v/>
      </c>
      <c r="HQ106" s="29" t="str">
        <f>IF(OR($B106="",$A106&lt;87),"",--MID('Key Analysis'!$C102,87,1))</f>
        <v/>
      </c>
      <c r="HR106" s="29" t="str">
        <f>IF(OR($B106="",$A106&lt;88),"",--MID('Key Analysis'!$C102,88,1))</f>
        <v/>
      </c>
      <c r="HS106" s="29" t="str">
        <f>IF(OR($B106="",$A106&lt;89),"",--MID('Key Analysis'!$C102,89,1))</f>
        <v/>
      </c>
      <c r="HT106" s="29" t="str">
        <f>IF(OR($B106="",$A106&lt;90),"",--MID('Key Analysis'!$C102,90,1))</f>
        <v/>
      </c>
      <c r="HU106" s="29" t="str">
        <f>IF(OR($B106="",$A106&lt;91),"",--MID('Key Analysis'!$C102,91,1))</f>
        <v/>
      </c>
      <c r="HV106" s="29" t="str">
        <f>IF(OR($B106="",$A106&lt;92),"",--MID('Key Analysis'!$C102,92,1))</f>
        <v/>
      </c>
      <c r="HW106" s="29" t="str">
        <f>IF(OR($B106="",$A106&lt;93),"",--MID('Key Analysis'!$C102,93,1))</f>
        <v/>
      </c>
      <c r="HX106" s="29" t="str">
        <f>IF(OR($B106="",$A106&lt;94),"",--MID('Key Analysis'!$C102,94,1))</f>
        <v/>
      </c>
      <c r="HY106" s="29" t="str">
        <f>IF(OR($B106="",$A106&lt;95),"",--MID('Key Analysis'!$C102,95,1))</f>
        <v/>
      </c>
      <c r="HZ106" s="29" t="str">
        <f>IF(OR($B106="",$A106&lt;96),"",--MID('Key Analysis'!$C102,96,1))</f>
        <v/>
      </c>
      <c r="IA106" s="29" t="str">
        <f>IF(OR($B106="",$A106&lt;97),"",--MID('Key Analysis'!$C102,97,1))</f>
        <v/>
      </c>
      <c r="IB106" s="29" t="str">
        <f>IF(OR($B106="",$A106&lt;98),"",--MID('Key Analysis'!$C102,98,1))</f>
        <v/>
      </c>
      <c r="IC106" s="29" t="str">
        <f>IF(OR($B106="",$A106&lt;99),"",--MID('Key Analysis'!$C102,99,1))</f>
        <v/>
      </c>
      <c r="ID106" s="29" t="str">
        <f>IF(OR($B106="",$A106&lt;100),"",--MID('Key Analysis'!$C102,100,1))</f>
        <v/>
      </c>
      <c r="IE106" s="29" t="str">
        <f>IF(OR($B106="",$A106&lt;101),"",--MID('Key Analysis'!$C102,101,1))</f>
        <v/>
      </c>
      <c r="IF106" s="29" t="str">
        <f>IF(OR($B106="",$A106&lt;102),"",--MID('Key Analysis'!$C102,102,1))</f>
        <v/>
      </c>
      <c r="IG106" s="29" t="str">
        <f>IF(OR($B106="",$A106&lt;103),"",--MID('Key Analysis'!$C102,103,1))</f>
        <v/>
      </c>
      <c r="IH106" s="29" t="str">
        <f>IF(OR($B106="",$A106&lt;104),"",--MID('Key Analysis'!$C102,104,1))</f>
        <v/>
      </c>
      <c r="II106" s="29" t="str">
        <f>IF(OR($B106="",$A106&lt;105),"",--MID('Key Analysis'!$C102,105,1))</f>
        <v/>
      </c>
      <c r="IJ106" s="29" t="str">
        <f>IF(OR($B106="",$A106&lt;106),"",--MID('Key Analysis'!$C102,106,1))</f>
        <v/>
      </c>
      <c r="IK106" s="29" t="str">
        <f>IF(OR($B106="",$A106&lt;107),"",--MID('Key Analysis'!$C102,107,1))</f>
        <v/>
      </c>
      <c r="IL106" s="29" t="str">
        <f>IF(OR($B106="",$A106&lt;108),"",--MID('Key Analysis'!$C102,108,1))</f>
        <v/>
      </c>
      <c r="IM106" s="29" t="str">
        <f>IF(OR($B106="",$A106&lt;109),"",--MID('Key Analysis'!$C102,109,1))</f>
        <v/>
      </c>
      <c r="IN106" s="29" t="str">
        <f>IF(OR($B106="",$A106&lt;110),"",--MID('Key Analysis'!$C102,110,1))</f>
        <v/>
      </c>
      <c r="IO106" s="29" t="str">
        <f>IF(OR($B106="",$A106&lt;111),"",--MID('Key Analysis'!$C102,111,1))</f>
        <v/>
      </c>
      <c r="IP106" s="29" t="str">
        <f>IF(OR($B106="",$A106&lt;112),"",--MID('Key Analysis'!$C102,112,1))</f>
        <v/>
      </c>
      <c r="IQ106" s="29" t="str">
        <f>IF(OR($B106="",$A106&lt;113),"",--MID('Key Analysis'!$C102,113,1))</f>
        <v/>
      </c>
      <c r="IR106" s="29" t="str">
        <f>IF(OR($B106="",$A106&lt;114),"",--MID('Key Analysis'!$C102,114,1))</f>
        <v/>
      </c>
      <c r="IS106" s="29" t="str">
        <f>IF(OR($B106="",$A106&lt;115),"",--MID('Key Analysis'!$C102,115,1))</f>
        <v/>
      </c>
      <c r="IT106" s="29" t="str">
        <f>IF(OR($B106="",$A106&lt;116),"",--MID('Key Analysis'!$C102,116,1))</f>
        <v/>
      </c>
      <c r="IU106" s="29" t="str">
        <f>IF(OR($B106="",$A106&lt;117),"",--MID('Key Analysis'!$C102,117,1))</f>
        <v/>
      </c>
      <c r="IV106" s="29" t="str">
        <f>IF(OR($B106="",$A106&lt;118),"",--MID('Key Analysis'!$C102,118,1))</f>
        <v/>
      </c>
      <c r="IW106" s="29" t="str">
        <f>IF(OR($B106="",$A106&lt;119),"",--MID('Key Analysis'!$C102,119,1))</f>
        <v/>
      </c>
      <c r="IX106" s="29" t="str">
        <f>IF(OR($B106="",$A106&lt;120),"",--MID('Key Analysis'!$C102,120,1))</f>
        <v/>
      </c>
      <c r="IY106" s="29" t="str">
        <f>IF(OR($B106="",$A106&lt;121),"",--MID('Key Analysis'!$C102,121,1))</f>
        <v/>
      </c>
      <c r="IZ106" s="29" t="str">
        <f>IF(OR($B106="",$A106&lt;122),"",--MID('Key Analysis'!$C102,122,1))</f>
        <v/>
      </c>
      <c r="JA106" s="29" t="str">
        <f>IF(OR($B106="",$A106&lt;123),"",--MID('Key Analysis'!$C102,123,1))</f>
        <v/>
      </c>
      <c r="JB106" s="29" t="str">
        <f>IF(OR($B106="",$A106&lt;124),"",--MID('Key Analysis'!$C102,124,1))</f>
        <v/>
      </c>
      <c r="JC106" s="29" t="str">
        <f>IF(OR($B106="",$A106&lt;125),"",--MID('Key Analysis'!$C102,125,1))</f>
        <v/>
      </c>
      <c r="JD106" s="29" t="str">
        <f>IF(OR($B106="",$A106&lt;126),"",--MID('Key Analysis'!$C102,126,1))</f>
        <v/>
      </c>
      <c r="JE106" s="29" t="str">
        <f>IF(OR($B106="",$A106&lt;127),"",--MID('Key Analysis'!$C102,127,1))</f>
        <v/>
      </c>
      <c r="JF106" s="29" t="str">
        <f>IF(OR($B106="",$A106&lt;128),"",--MID('Key Analysis'!$C102,128,1))</f>
        <v/>
      </c>
      <c r="JG106" s="29" t="str">
        <f>IF(OR($B106="",$A106&lt;129),"",--MID('Key Analysis'!$C102,129,1))</f>
        <v/>
      </c>
      <c r="JH106" s="29" t="str">
        <f>IF(OR($B106="",$A106&lt;130),"",--MID('Key Analysis'!$C102,130,1))</f>
        <v/>
      </c>
      <c r="JI106" s="29" t="str">
        <f>IF(OR($B106="",$A106&lt;131),"",--MID('Key Analysis'!$C102,131,1))</f>
        <v/>
      </c>
      <c r="JJ106" s="29" t="str">
        <f>IF(OR($B106="",$A106&lt;132),"",--MID('Key Analysis'!$C102,132,1))</f>
        <v/>
      </c>
      <c r="JK106" s="29" t="str">
        <f>IF(OR($B106="",$A106&lt;133),"",--MID('Key Analysis'!$C102,133,1))</f>
        <v/>
      </c>
      <c r="JL106" s="29" t="str">
        <f>IF(OR($B106="",$A106&lt;134),"",--MID('Key Analysis'!$C102,134,1))</f>
        <v/>
      </c>
      <c r="JM106" s="29" t="str">
        <f>IF(OR($B106="",$A106&lt;135),"",--MID('Key Analysis'!$C102,135,1))</f>
        <v/>
      </c>
    </row>
    <row r="107" spans="1:273" x14ac:dyDescent="0.25">
      <c r="A107" s="21">
        <f>'Key Analysis'!A103</f>
        <v>102</v>
      </c>
      <c r="B107" s="30" t="str">
        <f>'Key Analysis'!B103</f>
        <v/>
      </c>
      <c r="C107" s="29" t="str">
        <f>IF(OR($B107="",$A107&lt;=0),"",--MID('Key Analysis'!$C103,$A107-0,1))</f>
        <v/>
      </c>
      <c r="D107" s="29" t="str">
        <f>IF(OR($B107="",$A107&lt;=1),"",--MID('Key Analysis'!$C103,$A107-1,1))</f>
        <v/>
      </c>
      <c r="E107" s="29" t="str">
        <f>IF(OR($B107="",$A107&lt;=2),"",--MID('Key Analysis'!$C103,$A107-2,1))</f>
        <v/>
      </c>
      <c r="F107" s="29" t="str">
        <f>IF(OR($B107="",$A107&lt;=3),"",--MID('Key Analysis'!$C103,$A107-3,1))</f>
        <v/>
      </c>
      <c r="G107" s="29" t="str">
        <f>IF(OR($B107="",$A107&lt;=4),"",--MID('Key Analysis'!$C103,$A107-4,1))</f>
        <v/>
      </c>
      <c r="H107" s="29" t="str">
        <f>IF(OR($B107="",$A107&lt;=5),"",--MID('Key Analysis'!$C103,$A107-5,1))</f>
        <v/>
      </c>
      <c r="I107" s="29" t="str">
        <f>IF(OR($B107="",$A107&lt;=6),"",--MID('Key Analysis'!$C103,$A107-6,1))</f>
        <v/>
      </c>
      <c r="J107" s="29" t="str">
        <f>IF(OR($B107="",$A107&lt;=7),"",--MID('Key Analysis'!$C103,$A107-7,1))</f>
        <v/>
      </c>
      <c r="K107" s="29" t="str">
        <f>IF(OR($B107="",$A107&lt;=8),"",--MID('Key Analysis'!$C103,$A107-8,1))</f>
        <v/>
      </c>
      <c r="L107" s="29" t="str">
        <f>IF(OR($B107="",$A107&lt;=9),"",--MID('Key Analysis'!$C103,$A107-9,1))</f>
        <v/>
      </c>
      <c r="M107" s="29" t="str">
        <f>IF(OR($B107="",$A107&lt;=10),"",--MID('Key Analysis'!$C103,$A107-10,1))</f>
        <v/>
      </c>
      <c r="N107" s="29" t="str">
        <f>IF(OR($B107="",$A107&lt;=11),"",--MID('Key Analysis'!$C103,$A107-11,1))</f>
        <v/>
      </c>
      <c r="O107" s="29" t="str">
        <f>IF(OR($B107="",$A107&lt;=12),"",--MID('Key Analysis'!$C103,$A107-12,1))</f>
        <v/>
      </c>
      <c r="P107" s="29" t="str">
        <f>IF(OR($B107="",$A107&lt;=13),"",--MID('Key Analysis'!$C103,$A107-13,1))</f>
        <v/>
      </c>
      <c r="Q107" s="29" t="str">
        <f>IF(OR($B107="",$A107&lt;=14),"",--MID('Key Analysis'!$C103,$A107-14,1))</f>
        <v/>
      </c>
      <c r="R107" s="29" t="str">
        <f>IF(OR($B107="",$A107&lt;=15),"",--MID('Key Analysis'!$C103,$A107-15,1))</f>
        <v/>
      </c>
      <c r="S107" s="29" t="str">
        <f>IF(OR($B107="",$A107&lt;=16),"",--MID('Key Analysis'!$C103,$A107-16,1))</f>
        <v/>
      </c>
      <c r="T107" s="29" t="str">
        <f>IF(OR($B107="",$A107&lt;=17),"",--MID('Key Analysis'!$C103,$A107-17,1))</f>
        <v/>
      </c>
      <c r="U107" s="29" t="str">
        <f>IF(OR($B107="",$A107&lt;=18),"",--MID('Key Analysis'!$C103,$A107-18,1))</f>
        <v/>
      </c>
      <c r="V107" s="29" t="str">
        <f>IF(OR($B107="",$A107&lt;=19),"",--MID('Key Analysis'!$C103,$A107-19,1))</f>
        <v/>
      </c>
      <c r="W107" s="29" t="str">
        <f>IF(OR($B107="",$A107&lt;=20),"",--MID('Key Analysis'!$C103,$A107-20,1))</f>
        <v/>
      </c>
      <c r="X107" s="29" t="str">
        <f>IF(OR($B107="",$A107&lt;=21),"",--MID('Key Analysis'!$C103,$A107-21,1))</f>
        <v/>
      </c>
      <c r="Y107" s="29" t="str">
        <f>IF(OR($B107="",$A107&lt;=22),"",--MID('Key Analysis'!$C103,$A107-22,1))</f>
        <v/>
      </c>
      <c r="Z107" s="29" t="str">
        <f>IF(OR($B107="",$A107&lt;=23),"",--MID('Key Analysis'!$C103,$A107-23,1))</f>
        <v/>
      </c>
      <c r="AA107" s="29" t="str">
        <f>IF(OR($B107="",$A107&lt;=24),"",--MID('Key Analysis'!$C103,$A107-24,1))</f>
        <v/>
      </c>
      <c r="AB107" s="29" t="str">
        <f>IF(OR($B107="",$A107&lt;=25),"",--MID('Key Analysis'!$C103,$A107-25,1))</f>
        <v/>
      </c>
      <c r="AC107" s="29" t="str">
        <f>IF(OR($B107="",$A107&lt;=26),"",--MID('Key Analysis'!$C103,$A107-26,1))</f>
        <v/>
      </c>
      <c r="AD107" s="29" t="str">
        <f>IF(OR($B107="",$A107&lt;=27),"",--MID('Key Analysis'!$C103,$A107-27,1))</f>
        <v/>
      </c>
      <c r="AE107" s="29" t="str">
        <f>IF(OR($B107="",$A107&lt;=28),"",--MID('Key Analysis'!$C103,$A107-28,1))</f>
        <v/>
      </c>
      <c r="AF107" s="29" t="str">
        <f>IF(OR($B107="",$A107&lt;=29),"",--MID('Key Analysis'!$C103,$A107-29,1))</f>
        <v/>
      </c>
      <c r="AG107" s="29" t="str">
        <f>IF(OR($B107="",$A107&lt;=30),"",--MID('Key Analysis'!$C103,$A107-30,1))</f>
        <v/>
      </c>
      <c r="AH107" s="29" t="str">
        <f>IF(OR($B107="",$A107&lt;=31),"",--MID('Key Analysis'!$C103,$A107-31,1))</f>
        <v/>
      </c>
      <c r="AI107" s="29" t="str">
        <f>IF(OR($B107="",$A107&lt;=32),"",--MID('Key Analysis'!$C103,$A107-32,1))</f>
        <v/>
      </c>
      <c r="AJ107" s="29" t="str">
        <f>IF(OR($B107="",$A107&lt;=33),"",--MID('Key Analysis'!$C103,$A107-33,1))</f>
        <v/>
      </c>
      <c r="AK107" s="29" t="str">
        <f>IF(OR($B107="",$A107&lt;=34),"",--MID('Key Analysis'!$C103,$A107-34,1))</f>
        <v/>
      </c>
      <c r="AL107" s="29" t="str">
        <f>IF(OR($B107="",$A107&lt;=35),"",--MID('Key Analysis'!$C103,$A107-35,1))</f>
        <v/>
      </c>
      <c r="AM107" s="29" t="str">
        <f>IF(OR($B107="",$A107&lt;=36),"",--MID('Key Analysis'!$C103,$A107-36,1))</f>
        <v/>
      </c>
      <c r="AN107" s="29" t="str">
        <f>IF(OR($B107="",$A107&lt;=37),"",--MID('Key Analysis'!$C103,$A107-37,1))</f>
        <v/>
      </c>
      <c r="AO107" s="29" t="str">
        <f>IF(OR($B107="",$A107&lt;=38),"",--MID('Key Analysis'!$C103,$A107-38,1))</f>
        <v/>
      </c>
      <c r="AP107" s="29" t="str">
        <f>IF(OR($B107="",$A107&lt;=39),"",--MID('Key Analysis'!$C103,$A107-39,1))</f>
        <v/>
      </c>
      <c r="AQ107" s="29" t="str">
        <f>IF(OR($B107="",$A107&lt;=40),"",--MID('Key Analysis'!$C103,$A107-40,1))</f>
        <v/>
      </c>
      <c r="AR107" s="29" t="str">
        <f>IF(OR($B107="",$A107&lt;=41),"",--MID('Key Analysis'!$C103,$A107-41,1))</f>
        <v/>
      </c>
      <c r="AS107" s="29" t="str">
        <f>IF(OR($B107="",$A107&lt;=42),"",--MID('Key Analysis'!$C103,$A107-42,1))</f>
        <v/>
      </c>
      <c r="AT107" s="29" t="str">
        <f>IF(OR($B107="",$A107&lt;=43),"",--MID('Key Analysis'!$C103,$A107-43,1))</f>
        <v/>
      </c>
      <c r="AU107" s="29" t="str">
        <f>IF(OR($B107="",$A107&lt;=44),"",--MID('Key Analysis'!$C103,$A107-44,1))</f>
        <v/>
      </c>
      <c r="AV107" s="29" t="str">
        <f>IF(OR($B107="",$A107&lt;=45),"",--MID('Key Analysis'!$C103,$A107-45,1))</f>
        <v/>
      </c>
      <c r="AW107" s="29" t="str">
        <f>IF(OR($B107="",$A107&lt;=46),"",--MID('Key Analysis'!$C103,$A107-46,1))</f>
        <v/>
      </c>
      <c r="AX107" s="29" t="str">
        <f>IF(OR($B107="",$A107&lt;=47),"",--MID('Key Analysis'!$C103,$A107-47,1))</f>
        <v/>
      </c>
      <c r="AY107" s="29" t="str">
        <f>IF(OR($B107="",$A107&lt;=48),"",--MID('Key Analysis'!$C103,$A107-48,1))</f>
        <v/>
      </c>
      <c r="AZ107" s="29" t="str">
        <f>IF(OR($B107="",$A107&lt;=49),"",--MID('Key Analysis'!$C103,$A107-49,1))</f>
        <v/>
      </c>
      <c r="BA107" s="29" t="str">
        <f>IF(OR($B107="",$A107&lt;=50),"",--MID('Key Analysis'!$C103,$A107-50,1))</f>
        <v/>
      </c>
      <c r="BB107" s="29" t="str">
        <f>IF(OR($B107="",$A107&lt;=51),"",--MID('Key Analysis'!$C103,$A107-51,1))</f>
        <v/>
      </c>
      <c r="BC107" s="29" t="str">
        <f>IF(OR($B107="",$A107&lt;=52),"",--MID('Key Analysis'!$C103,$A107-52,1))</f>
        <v/>
      </c>
      <c r="BD107" s="29" t="str">
        <f>IF(OR($B107="",$A107&lt;=53),"",--MID('Key Analysis'!$C103,$A107-53,1))</f>
        <v/>
      </c>
      <c r="BE107" s="29" t="str">
        <f>IF(OR($B107="",$A107&lt;=54),"",--MID('Key Analysis'!$C103,$A107-54,1))</f>
        <v/>
      </c>
      <c r="BF107" s="29" t="str">
        <f>IF(OR($B107="",$A107&lt;=55),"",--MID('Key Analysis'!$C103,$A107-55,1))</f>
        <v/>
      </c>
      <c r="BG107" s="29" t="str">
        <f>IF(OR($B107="",$A107&lt;=56),"",--MID('Key Analysis'!$C103,$A107-56,1))</f>
        <v/>
      </c>
      <c r="BH107" s="29" t="str">
        <f>IF(OR($B107="",$A107&lt;=57),"",--MID('Key Analysis'!$C103,$A107-57,1))</f>
        <v/>
      </c>
      <c r="BI107" s="29" t="str">
        <f>IF(OR($B107="",$A107&lt;=58),"",--MID('Key Analysis'!$C103,$A107-58,1))</f>
        <v/>
      </c>
      <c r="BJ107" s="29" t="str">
        <f>IF(OR($B107="",$A107&lt;=59),"",--MID('Key Analysis'!$C103,$A107-59,1))</f>
        <v/>
      </c>
      <c r="BK107" s="29" t="str">
        <f>IF(OR($B107="",$A107&lt;=60),"",--MID('Key Analysis'!$C103,$A107-60,1))</f>
        <v/>
      </c>
      <c r="BL107" s="29" t="str">
        <f>IF(OR($B107="",$A107&lt;=61),"",--MID('Key Analysis'!$C103,$A107-61,1))</f>
        <v/>
      </c>
      <c r="BM107" s="29" t="str">
        <f>IF(OR($B107="",$A107&lt;=62),"",--MID('Key Analysis'!$C103,$A107-62,1))</f>
        <v/>
      </c>
      <c r="BN107" s="29" t="str">
        <f>IF(OR($B107="",$A107&lt;=63),"",--MID('Key Analysis'!$C103,$A107-63,1))</f>
        <v/>
      </c>
      <c r="BO107" s="29" t="str">
        <f>IF(OR($B107="",$A107&lt;=64),"",--MID('Key Analysis'!$C103,$A107-64,1))</f>
        <v/>
      </c>
      <c r="BP107" s="29" t="str">
        <f>IF(OR($B107="",$A107&lt;=65),"",--MID('Key Analysis'!$C103,$A107-65,1))</f>
        <v/>
      </c>
      <c r="BQ107" s="29" t="str">
        <f>IF(OR($B107="",$A107&lt;=66),"",--MID('Key Analysis'!$C103,$A107-66,1))</f>
        <v/>
      </c>
      <c r="BR107" s="29" t="str">
        <f>IF(OR($B107="",$A107&lt;=67),"",--MID('Key Analysis'!$C103,$A107-67,1))</f>
        <v/>
      </c>
      <c r="BS107" s="29" t="str">
        <f>IF(OR($B107="",$A107&lt;=68),"",--MID('Key Analysis'!$C103,$A107-68,1))</f>
        <v/>
      </c>
      <c r="BT107" s="29" t="str">
        <f>IF(OR($B107="",$A107&lt;=69),"",--MID('Key Analysis'!$C103,$A107-69,1))</f>
        <v/>
      </c>
      <c r="BU107" s="29" t="str">
        <f>IF(OR($B107="",$A107&lt;=70),"",--MID('Key Analysis'!$C103,$A107-70,1))</f>
        <v/>
      </c>
      <c r="BV107" s="29" t="str">
        <f>IF(OR($B107="",$A107&lt;=71),"",--MID('Key Analysis'!$C103,$A107-71,1))</f>
        <v/>
      </c>
      <c r="BW107" s="29" t="str">
        <f>IF(OR($B107="",$A107&lt;=72),"",--MID('Key Analysis'!$C103,$A107-72,1))</f>
        <v/>
      </c>
      <c r="BX107" s="29" t="str">
        <f>IF(OR($B107="",$A107&lt;=73),"",--MID('Key Analysis'!$C103,$A107-73,1))</f>
        <v/>
      </c>
      <c r="BY107" s="29" t="str">
        <f>IF(OR($B107="",$A107&lt;=74),"",--MID('Key Analysis'!$C103,$A107-74,1))</f>
        <v/>
      </c>
      <c r="BZ107" s="29" t="str">
        <f>IF(OR($B107="",$A107&lt;=75),"",--MID('Key Analysis'!$C103,$A107-75,1))</f>
        <v/>
      </c>
      <c r="CA107" s="29" t="str">
        <f>IF(OR($B107="",$A107&lt;=76),"",--MID('Key Analysis'!$C103,$A107-76,1))</f>
        <v/>
      </c>
      <c r="CB107" s="29" t="str">
        <f>IF(OR($B107="",$A107&lt;=77),"",--MID('Key Analysis'!$C103,$A107-77,1))</f>
        <v/>
      </c>
      <c r="CC107" s="29" t="str">
        <f>IF(OR($B107="",$A107&lt;=78),"",--MID('Key Analysis'!$C103,$A107-78,1))</f>
        <v/>
      </c>
      <c r="CD107" s="29" t="str">
        <f>IF(OR($B107="",$A107&lt;=79),"",--MID('Key Analysis'!$C103,$A107-79,1))</f>
        <v/>
      </c>
      <c r="CE107" s="29" t="str">
        <f>IF(OR($B107="",$A107&lt;=80),"",--MID('Key Analysis'!$C103,$A107-80,1))</f>
        <v/>
      </c>
      <c r="CF107" s="29" t="str">
        <f>IF(OR($B107="",$A107&lt;=81),"",--MID('Key Analysis'!$C103,$A107-81,1))</f>
        <v/>
      </c>
      <c r="CG107" s="29" t="str">
        <f>IF(OR($B107="",$A107&lt;=82),"",--MID('Key Analysis'!$C103,$A107-82,1))</f>
        <v/>
      </c>
      <c r="CH107" s="29" t="str">
        <f>IF(OR($B107="",$A107&lt;=83),"",--MID('Key Analysis'!$C103,$A107-83,1))</f>
        <v/>
      </c>
      <c r="CI107" s="29" t="str">
        <f>IF(OR($B107="",$A107&lt;=84),"",--MID('Key Analysis'!$C103,$A107-84,1))</f>
        <v/>
      </c>
      <c r="CJ107" s="29" t="str">
        <f>IF(OR($B107="",$A107&lt;=85),"",--MID('Key Analysis'!$C103,$A107-85,1))</f>
        <v/>
      </c>
      <c r="CK107" s="29" t="str">
        <f>IF(OR($B107="",$A107&lt;=86),"",--MID('Key Analysis'!$C103,$A107-86,1))</f>
        <v/>
      </c>
      <c r="CL107" s="29" t="str">
        <f>IF(OR($B107="",$A107&lt;=87),"",--MID('Key Analysis'!$C103,$A107-87,1))</f>
        <v/>
      </c>
      <c r="CM107" s="29" t="str">
        <f>IF(OR($B107="",$A107&lt;=88),"",--MID('Key Analysis'!$C103,$A107-88,1))</f>
        <v/>
      </c>
      <c r="CN107" s="29" t="str">
        <f>IF(OR($B107="",$A107&lt;=89),"",--MID('Key Analysis'!$C103,$A107-89,1))</f>
        <v/>
      </c>
      <c r="CO107" s="29" t="str">
        <f>IF(OR($B107="",$A107&lt;=90),"",--MID('Key Analysis'!$C103,$A107-90,1))</f>
        <v/>
      </c>
      <c r="CP107" s="29" t="str">
        <f>IF(OR($B107="",$A107&lt;=91),"",--MID('Key Analysis'!$C103,$A107-91,1))</f>
        <v/>
      </c>
      <c r="CQ107" s="29" t="str">
        <f>IF(OR($B107="",$A107&lt;=92),"",--MID('Key Analysis'!$C103,$A107-92,1))</f>
        <v/>
      </c>
      <c r="CR107" s="29" t="str">
        <f>IF(OR($B107="",$A107&lt;=93),"",--MID('Key Analysis'!$C103,$A107-93,1))</f>
        <v/>
      </c>
      <c r="CS107" s="29" t="str">
        <f>IF(OR($B107="",$A107&lt;=94),"",--MID('Key Analysis'!$C103,$A107-94,1))</f>
        <v/>
      </c>
      <c r="CT107" s="29" t="str">
        <f>IF(OR($B107="",$A107&lt;=95),"",--MID('Key Analysis'!$C103,$A107-95,1))</f>
        <v/>
      </c>
      <c r="CU107" s="29" t="str">
        <f>IF(OR($B107="",$A107&lt;=96),"",--MID('Key Analysis'!$C103,$A107-96,1))</f>
        <v/>
      </c>
      <c r="CV107" s="29" t="str">
        <f>IF(OR($B107="",$A107&lt;=97),"",--MID('Key Analysis'!$C103,$A107-97,1))</f>
        <v/>
      </c>
      <c r="CW107" s="29" t="str">
        <f>IF(OR($B107="",$A107&lt;=98),"",--MID('Key Analysis'!$C103,$A107-98,1))</f>
        <v/>
      </c>
      <c r="CX107" s="29" t="str">
        <f>IF(OR($B107="",$A107&lt;=99),"",--MID('Key Analysis'!$C103,$A107-99,1))</f>
        <v/>
      </c>
      <c r="CY107" s="29" t="str">
        <f>IF(OR($B107="",$A107&lt;=100),"",--MID('Key Analysis'!$C103,$A107-100,1))</f>
        <v/>
      </c>
      <c r="CZ107" s="29" t="str">
        <f>IF(OR($B107="",$A107&lt;=101),"",--MID('Key Analysis'!$C103,$A107-101,1))</f>
        <v/>
      </c>
      <c r="DA107" s="29" t="str">
        <f>IF(OR($B107="",$A107&lt;=102),"",--MID('Key Analysis'!$C103,$A107-102,1))</f>
        <v/>
      </c>
      <c r="DB107" s="29" t="str">
        <f>IF(OR($B107="",$A107&lt;=103),"",--MID('Key Analysis'!$C103,$A107-103,1))</f>
        <v/>
      </c>
      <c r="DC107" s="29" t="str">
        <f>IF(OR($B107="",$A107&lt;=104),"",--MID('Key Analysis'!$C103,$A107-104,1))</f>
        <v/>
      </c>
      <c r="DD107" s="29" t="str">
        <f>IF(OR($B107="",$A107&lt;=105),"",--MID('Key Analysis'!$C103,$A107-105,1))</f>
        <v/>
      </c>
      <c r="DE107" s="29" t="str">
        <f>IF(OR($B107="",$A107&lt;=106),"",--MID('Key Analysis'!$C103,$A107-106,1))</f>
        <v/>
      </c>
      <c r="DF107" s="29" t="str">
        <f>IF(OR($B107="",$A107&lt;=107),"",--MID('Key Analysis'!$C103,$A107-107,1))</f>
        <v/>
      </c>
      <c r="DG107" s="29" t="str">
        <f>IF(OR($B107="",$A107&lt;=108),"",--MID('Key Analysis'!$C103,$A107-108,1))</f>
        <v/>
      </c>
      <c r="DH107" s="29" t="str">
        <f>IF(OR($B107="",$A107&lt;=109),"",--MID('Key Analysis'!$C103,$A107-109,1))</f>
        <v/>
      </c>
      <c r="DI107" s="29" t="str">
        <f>IF(OR($B107="",$A107&lt;=110),"",--MID('Key Analysis'!$C103,$A107-110,1))</f>
        <v/>
      </c>
      <c r="DJ107" s="29" t="str">
        <f>IF(OR($B107="",$A107&lt;=111),"",--MID('Key Analysis'!$C103,$A107-111,1))</f>
        <v/>
      </c>
      <c r="DK107" s="29" t="str">
        <f>IF(OR($B107="",$A107&lt;=112),"",--MID('Key Analysis'!$C103,$A107-112,1))</f>
        <v/>
      </c>
      <c r="DL107" s="29" t="str">
        <f>IF(OR($B107="",$A107&lt;=113),"",--MID('Key Analysis'!$C103,$A107-113,1))</f>
        <v/>
      </c>
      <c r="DM107" s="29" t="str">
        <f>IF(OR($B107="",$A107&lt;=114),"",--MID('Key Analysis'!$C103,$A107-114,1))</f>
        <v/>
      </c>
      <c r="DN107" s="29" t="str">
        <f>IF(OR($B107="",$A107&lt;=115),"",--MID('Key Analysis'!$C103,$A107-115,1))</f>
        <v/>
      </c>
      <c r="DO107" s="29" t="str">
        <f>IF(OR($B107="",$A107&lt;=116),"",--MID('Key Analysis'!$C103,$A107-116,1))</f>
        <v/>
      </c>
      <c r="DP107" s="29" t="str">
        <f>IF(OR($B107="",$A107&lt;=117),"",--MID('Key Analysis'!$C103,$A107-117,1))</f>
        <v/>
      </c>
      <c r="DQ107" s="29" t="str">
        <f>IF(OR($B107="",$A107&lt;=118),"",--MID('Key Analysis'!$C103,$A107-118,1))</f>
        <v/>
      </c>
      <c r="DR107" s="29" t="str">
        <f>IF(OR($B107="",$A107&lt;=119),"",--MID('Key Analysis'!$C103,$A107-119,1))</f>
        <v/>
      </c>
      <c r="DS107" s="29" t="str">
        <f>IF(OR($B107="",$A107&lt;=120),"",--MID('Key Analysis'!$C103,$A107-120,1))</f>
        <v/>
      </c>
      <c r="DT107" s="29" t="str">
        <f>IF(OR($B107="",$A107&lt;=121),"",--MID('Key Analysis'!$C103,$A107-121,1))</f>
        <v/>
      </c>
      <c r="DU107" s="29" t="str">
        <f>IF(OR($B107="",$A107&lt;=122),"",--MID('Key Analysis'!$C103,$A107-122,1))</f>
        <v/>
      </c>
      <c r="DV107" s="29" t="str">
        <f>IF(OR($B107="",$A107&lt;=123),"",--MID('Key Analysis'!$C103,$A107-123,1))</f>
        <v/>
      </c>
      <c r="DW107" s="29" t="str">
        <f>IF(OR($B107="",$A107&lt;=124),"",--MID('Key Analysis'!$C103,$A107-124,1))</f>
        <v/>
      </c>
      <c r="DX107" s="29" t="str">
        <f>IF(OR($B107="",$A107&lt;=125),"",--MID('Key Analysis'!$C103,$A107-125,1))</f>
        <v/>
      </c>
      <c r="DY107" s="29" t="str">
        <f>IF(OR($B107="",$A107&lt;=126),"",--MID('Key Analysis'!$C103,$A107-126,1))</f>
        <v/>
      </c>
      <c r="DZ107" s="29" t="str">
        <f>IF(OR($B107="",$A107&lt;=127),"",--MID('Key Analysis'!$C103,$A107-127,1))</f>
        <v/>
      </c>
      <c r="EA107" s="29" t="str">
        <f>IF(OR($B107="",$A107&lt;=128),"",--MID('Key Analysis'!$C103,$A107-128,1))</f>
        <v/>
      </c>
      <c r="EB107" s="29" t="str">
        <f>IF(OR($B107="",$A107&lt;=129),"",--MID('Key Analysis'!$C103,$A107-129,1))</f>
        <v/>
      </c>
      <c r="EC107" s="29" t="str">
        <f>IF(OR($B107="",$A107&lt;=130),"",--MID('Key Analysis'!$C103,$A107-130,1))</f>
        <v/>
      </c>
      <c r="ED107" s="29" t="str">
        <f>IF(OR($B107="",$A107&lt;=131),"",--MID('Key Analysis'!$C103,$A107-131,1))</f>
        <v/>
      </c>
      <c r="EE107" s="29" t="str">
        <f>IF(OR($B107="",$A107&lt;=132),"",--MID('Key Analysis'!$C103,$A107-132,1))</f>
        <v/>
      </c>
      <c r="EF107" s="29" t="str">
        <f>IF(OR($B107="",$A107&lt;=133),"",--MID('Key Analysis'!$C103,$A107-133,1))</f>
        <v/>
      </c>
      <c r="EG107" s="29" t="str">
        <f>IF(OR($B107="",$A107&lt;=134),"",--MID('Key Analysis'!$C103,$A107-134,1))</f>
        <v/>
      </c>
      <c r="EH107" s="29"/>
      <c r="EI107" s="29" t="str">
        <f>IF(OR($B107="",$A107&lt;1),"",--MID('Key Analysis'!$C103,1,1))</f>
        <v/>
      </c>
      <c r="EJ107" s="29" t="str">
        <f>IF(OR($B107="",$A107&lt;2),"",--MID('Key Analysis'!$C103,2,1))</f>
        <v/>
      </c>
      <c r="EK107" s="29" t="str">
        <f>IF(OR($B107="",$A107&lt;3),"",--MID('Key Analysis'!$C103,3,1))</f>
        <v/>
      </c>
      <c r="EL107" s="29" t="str">
        <f>IF(OR($B107="",$A107&lt;4),"",--MID('Key Analysis'!$C103,4,1))</f>
        <v/>
      </c>
      <c r="EM107" s="29" t="str">
        <f>IF(OR($B107="",$A107&lt;5),"",--MID('Key Analysis'!$C103,5,1))</f>
        <v/>
      </c>
      <c r="EN107" s="29" t="str">
        <f>IF(OR($B107="",$A107&lt;6),"",--MID('Key Analysis'!$C103,6,1))</f>
        <v/>
      </c>
      <c r="EO107" s="29" t="str">
        <f>IF(OR($B107="",$A107&lt;7),"",--MID('Key Analysis'!$C103,7,1))</f>
        <v/>
      </c>
      <c r="EP107" s="29" t="str">
        <f>IF(OR($B107="",$A107&lt;8),"",--MID('Key Analysis'!$C103,8,1))</f>
        <v/>
      </c>
      <c r="EQ107" s="29" t="str">
        <f>IF(OR($B107="",$A107&lt;9),"",--MID('Key Analysis'!$C103,9,1))</f>
        <v/>
      </c>
      <c r="ER107" s="29" t="str">
        <f>IF(OR($B107="",$A107&lt;10),"",--MID('Key Analysis'!$C103,10,1))</f>
        <v/>
      </c>
      <c r="ES107" s="29" t="str">
        <f>IF(OR($B107="",$A107&lt;11),"",--MID('Key Analysis'!$C103,11,1))</f>
        <v/>
      </c>
      <c r="ET107" s="29" t="str">
        <f>IF(OR($B107="",$A107&lt;12),"",--MID('Key Analysis'!$C103,12,1))</f>
        <v/>
      </c>
      <c r="EU107" s="29" t="str">
        <f>IF(OR($B107="",$A107&lt;13),"",--MID('Key Analysis'!$C103,13,1))</f>
        <v/>
      </c>
      <c r="EV107" s="29" t="str">
        <f>IF(OR($B107="",$A107&lt;14),"",--MID('Key Analysis'!$C103,14,1))</f>
        <v/>
      </c>
      <c r="EW107" s="29" t="str">
        <f>IF(OR($B107="",$A107&lt;15),"",--MID('Key Analysis'!$C103,15,1))</f>
        <v/>
      </c>
      <c r="EX107" s="29" t="str">
        <f>IF(OR($B107="",$A107&lt;16),"",--MID('Key Analysis'!$C103,16,1))</f>
        <v/>
      </c>
      <c r="EY107" s="29" t="str">
        <f>IF(OR($B107="",$A107&lt;17),"",--MID('Key Analysis'!$C103,17,1))</f>
        <v/>
      </c>
      <c r="EZ107" s="29" t="str">
        <f>IF(OR($B107="",$A107&lt;18),"",--MID('Key Analysis'!$C103,18,1))</f>
        <v/>
      </c>
      <c r="FA107" s="29" t="str">
        <f>IF(OR($B107="",$A107&lt;19),"",--MID('Key Analysis'!$C103,19,1))</f>
        <v/>
      </c>
      <c r="FB107" s="29" t="str">
        <f>IF(OR($B107="",$A107&lt;20),"",--MID('Key Analysis'!$C103,20,1))</f>
        <v/>
      </c>
      <c r="FC107" s="29" t="str">
        <f>IF(OR($B107="",$A107&lt;21),"",--MID('Key Analysis'!$C103,21,1))</f>
        <v/>
      </c>
      <c r="FD107" s="29" t="str">
        <f>IF(OR($B107="",$A107&lt;22),"",--MID('Key Analysis'!$C103,22,1))</f>
        <v/>
      </c>
      <c r="FE107" s="29" t="str">
        <f>IF(OR($B107="",$A107&lt;23),"",--MID('Key Analysis'!$C103,23,1))</f>
        <v/>
      </c>
      <c r="FF107" s="29" t="str">
        <f>IF(OR($B107="",$A107&lt;24),"",--MID('Key Analysis'!$C103,24,1))</f>
        <v/>
      </c>
      <c r="FG107" s="29" t="str">
        <f>IF(OR($B107="",$A107&lt;25),"",--MID('Key Analysis'!$C103,25,1))</f>
        <v/>
      </c>
      <c r="FH107" s="29" t="str">
        <f>IF(OR($B107="",$A107&lt;26),"",--MID('Key Analysis'!$C103,26,1))</f>
        <v/>
      </c>
      <c r="FI107" s="29" t="str">
        <f>IF(OR($B107="",$A107&lt;27),"",--MID('Key Analysis'!$C103,27,1))</f>
        <v/>
      </c>
      <c r="FJ107" s="29" t="str">
        <f>IF(OR($B107="",$A107&lt;28),"",--MID('Key Analysis'!$C103,28,1))</f>
        <v/>
      </c>
      <c r="FK107" s="29" t="str">
        <f>IF(OR($B107="",$A107&lt;29),"",--MID('Key Analysis'!$C103,29,1))</f>
        <v/>
      </c>
      <c r="FL107" s="29" t="str">
        <f>IF(OR($B107="",$A107&lt;30),"",--MID('Key Analysis'!$C103,30,1))</f>
        <v/>
      </c>
      <c r="FM107" s="29" t="str">
        <f>IF(OR($B107="",$A107&lt;31),"",--MID('Key Analysis'!$C103,31,1))</f>
        <v/>
      </c>
      <c r="FN107" s="29" t="str">
        <f>IF(OR($B107="",$A107&lt;32),"",--MID('Key Analysis'!$C103,32,1))</f>
        <v/>
      </c>
      <c r="FO107" s="29" t="str">
        <f>IF(OR($B107="",$A107&lt;33),"",--MID('Key Analysis'!$C103,33,1))</f>
        <v/>
      </c>
      <c r="FP107" s="29" t="str">
        <f>IF(OR($B107="",$A107&lt;34),"",--MID('Key Analysis'!$C103,34,1))</f>
        <v/>
      </c>
      <c r="FQ107" s="29" t="str">
        <f>IF(OR($B107="",$A107&lt;35),"",--MID('Key Analysis'!$C103,35,1))</f>
        <v/>
      </c>
      <c r="FR107" s="29" t="str">
        <f>IF(OR($B107="",$A107&lt;36),"",--MID('Key Analysis'!$C103,36,1))</f>
        <v/>
      </c>
      <c r="FS107" s="29" t="str">
        <f>IF(OR($B107="",$A107&lt;37),"",--MID('Key Analysis'!$C103,37,1))</f>
        <v/>
      </c>
      <c r="FT107" s="29" t="str">
        <f>IF(OR($B107="",$A107&lt;38),"",--MID('Key Analysis'!$C103,38,1))</f>
        <v/>
      </c>
      <c r="FU107" s="29" t="str">
        <f>IF(OR($B107="",$A107&lt;39),"",--MID('Key Analysis'!$C103,39,1))</f>
        <v/>
      </c>
      <c r="FV107" s="29" t="str">
        <f>IF(OR($B107="",$A107&lt;40),"",--MID('Key Analysis'!$C103,40,1))</f>
        <v/>
      </c>
      <c r="FW107" s="29" t="str">
        <f>IF(OR($B107="",$A107&lt;41),"",--MID('Key Analysis'!$C103,41,1))</f>
        <v/>
      </c>
      <c r="FX107" s="29" t="str">
        <f>IF(OR($B107="",$A107&lt;42),"",--MID('Key Analysis'!$C103,42,1))</f>
        <v/>
      </c>
      <c r="FY107" s="29" t="str">
        <f>IF(OR($B107="",$A107&lt;43),"",--MID('Key Analysis'!$C103,43,1))</f>
        <v/>
      </c>
      <c r="FZ107" s="29" t="str">
        <f>IF(OR($B107="",$A107&lt;44),"",--MID('Key Analysis'!$C103,44,1))</f>
        <v/>
      </c>
      <c r="GA107" s="29" t="str">
        <f>IF(OR($B107="",$A107&lt;45),"",--MID('Key Analysis'!$C103,45,1))</f>
        <v/>
      </c>
      <c r="GB107" s="29" t="str">
        <f>IF(OR($B107="",$A107&lt;46),"",--MID('Key Analysis'!$C103,46,1))</f>
        <v/>
      </c>
      <c r="GC107" s="29" t="str">
        <f>IF(OR($B107="",$A107&lt;47),"",--MID('Key Analysis'!$C103,47,1))</f>
        <v/>
      </c>
      <c r="GD107" s="29" t="str">
        <f>IF(OR($B107="",$A107&lt;48),"",--MID('Key Analysis'!$C103,48,1))</f>
        <v/>
      </c>
      <c r="GE107" s="29" t="str">
        <f>IF(OR($B107="",$A107&lt;49),"",--MID('Key Analysis'!$C103,49,1))</f>
        <v/>
      </c>
      <c r="GF107" s="29" t="str">
        <f>IF(OR($B107="",$A107&lt;50),"",--MID('Key Analysis'!$C103,50,1))</f>
        <v/>
      </c>
      <c r="GG107" s="29" t="str">
        <f>IF(OR($B107="",$A107&lt;51),"",--MID('Key Analysis'!$C103,51,1))</f>
        <v/>
      </c>
      <c r="GH107" s="29" t="str">
        <f>IF(OR($B107="",$A107&lt;52),"",--MID('Key Analysis'!$C103,52,1))</f>
        <v/>
      </c>
      <c r="GI107" s="29" t="str">
        <f>IF(OR($B107="",$A107&lt;53),"",--MID('Key Analysis'!$C103,53,1))</f>
        <v/>
      </c>
      <c r="GJ107" s="29" t="str">
        <f>IF(OR($B107="",$A107&lt;54),"",--MID('Key Analysis'!$C103,54,1))</f>
        <v/>
      </c>
      <c r="GK107" s="29" t="str">
        <f>IF(OR($B107="",$A107&lt;55),"",--MID('Key Analysis'!$C103,55,1))</f>
        <v/>
      </c>
      <c r="GL107" s="29" t="str">
        <f>IF(OR($B107="",$A107&lt;56),"",--MID('Key Analysis'!$C103,56,1))</f>
        <v/>
      </c>
      <c r="GM107" s="29" t="str">
        <f>IF(OR($B107="",$A107&lt;57),"",--MID('Key Analysis'!$C103,57,1))</f>
        <v/>
      </c>
      <c r="GN107" s="29" t="str">
        <f>IF(OR($B107="",$A107&lt;58),"",--MID('Key Analysis'!$C103,58,1))</f>
        <v/>
      </c>
      <c r="GO107" s="29" t="str">
        <f>IF(OR($B107="",$A107&lt;59),"",--MID('Key Analysis'!$C103,59,1))</f>
        <v/>
      </c>
      <c r="GP107" s="29" t="str">
        <f>IF(OR($B107="",$A107&lt;60),"",--MID('Key Analysis'!$C103,60,1))</f>
        <v/>
      </c>
      <c r="GQ107" s="29" t="str">
        <f>IF(OR($B107="",$A107&lt;61),"",--MID('Key Analysis'!$C103,61,1))</f>
        <v/>
      </c>
      <c r="GR107" s="29" t="str">
        <f>IF(OR($B107="",$A107&lt;62),"",--MID('Key Analysis'!$C103,62,1))</f>
        <v/>
      </c>
      <c r="GS107" s="29" t="str">
        <f>IF(OR($B107="",$A107&lt;63),"",--MID('Key Analysis'!$C103,63,1))</f>
        <v/>
      </c>
      <c r="GT107" s="29" t="str">
        <f>IF(OR($B107="",$A107&lt;64),"",--MID('Key Analysis'!$C103,64,1))</f>
        <v/>
      </c>
      <c r="GU107" s="29" t="str">
        <f>IF(OR($B107="",$A107&lt;65),"",--MID('Key Analysis'!$C103,65,1))</f>
        <v/>
      </c>
      <c r="GV107" s="29" t="str">
        <f>IF(OR($B107="",$A107&lt;66),"",--MID('Key Analysis'!$C103,66,1))</f>
        <v/>
      </c>
      <c r="GW107" s="29" t="str">
        <f>IF(OR($B107="",$A107&lt;67),"",--MID('Key Analysis'!$C103,67,1))</f>
        <v/>
      </c>
      <c r="GX107" s="29" t="str">
        <f>IF(OR($B107="",$A107&lt;68),"",--MID('Key Analysis'!$C103,68,1))</f>
        <v/>
      </c>
      <c r="GY107" s="29" t="str">
        <f>IF(OR($B107="",$A107&lt;69),"",--MID('Key Analysis'!$C103,69,1))</f>
        <v/>
      </c>
      <c r="GZ107" s="29" t="str">
        <f>IF(OR($B107="",$A107&lt;70),"",--MID('Key Analysis'!$C103,70,1))</f>
        <v/>
      </c>
      <c r="HA107" s="29" t="str">
        <f>IF(OR($B107="",$A107&lt;71),"",--MID('Key Analysis'!$C103,71,1))</f>
        <v/>
      </c>
      <c r="HB107" s="29" t="str">
        <f>IF(OR($B107="",$A107&lt;72),"",--MID('Key Analysis'!$C103,72,1))</f>
        <v/>
      </c>
      <c r="HC107" s="29" t="str">
        <f>IF(OR($B107="",$A107&lt;73),"",--MID('Key Analysis'!$C103,73,1))</f>
        <v/>
      </c>
      <c r="HD107" s="29" t="str">
        <f>IF(OR($B107="",$A107&lt;74),"",--MID('Key Analysis'!$C103,74,1))</f>
        <v/>
      </c>
      <c r="HE107" s="29" t="str">
        <f>IF(OR($B107="",$A107&lt;75),"",--MID('Key Analysis'!$C103,75,1))</f>
        <v/>
      </c>
      <c r="HF107" s="29" t="str">
        <f>IF(OR($B107="",$A107&lt;76),"",--MID('Key Analysis'!$C103,76,1))</f>
        <v/>
      </c>
      <c r="HG107" s="29" t="str">
        <f>IF(OR($B107="",$A107&lt;77),"",--MID('Key Analysis'!$C103,77,1))</f>
        <v/>
      </c>
      <c r="HH107" s="29" t="str">
        <f>IF(OR($B107="",$A107&lt;78),"",--MID('Key Analysis'!$C103,78,1))</f>
        <v/>
      </c>
      <c r="HI107" s="29" t="str">
        <f>IF(OR($B107="",$A107&lt;79),"",--MID('Key Analysis'!$C103,79,1))</f>
        <v/>
      </c>
      <c r="HJ107" s="29" t="str">
        <f>IF(OR($B107="",$A107&lt;80),"",--MID('Key Analysis'!$C103,80,1))</f>
        <v/>
      </c>
      <c r="HK107" s="29" t="str">
        <f>IF(OR($B107="",$A107&lt;81),"",--MID('Key Analysis'!$C103,81,1))</f>
        <v/>
      </c>
      <c r="HL107" s="29" t="str">
        <f>IF(OR($B107="",$A107&lt;82),"",--MID('Key Analysis'!$C103,82,1))</f>
        <v/>
      </c>
      <c r="HM107" s="29" t="str">
        <f>IF(OR($B107="",$A107&lt;83),"",--MID('Key Analysis'!$C103,83,1))</f>
        <v/>
      </c>
      <c r="HN107" s="29" t="str">
        <f>IF(OR($B107="",$A107&lt;84),"",--MID('Key Analysis'!$C103,84,1))</f>
        <v/>
      </c>
      <c r="HO107" s="29" t="str">
        <f>IF(OR($B107="",$A107&lt;85),"",--MID('Key Analysis'!$C103,85,1))</f>
        <v/>
      </c>
      <c r="HP107" s="29" t="str">
        <f>IF(OR($B107="",$A107&lt;86),"",--MID('Key Analysis'!$C103,86,1))</f>
        <v/>
      </c>
      <c r="HQ107" s="29" t="str">
        <f>IF(OR($B107="",$A107&lt;87),"",--MID('Key Analysis'!$C103,87,1))</f>
        <v/>
      </c>
      <c r="HR107" s="29" t="str">
        <f>IF(OR($B107="",$A107&lt;88),"",--MID('Key Analysis'!$C103,88,1))</f>
        <v/>
      </c>
      <c r="HS107" s="29" t="str">
        <f>IF(OR($B107="",$A107&lt;89),"",--MID('Key Analysis'!$C103,89,1))</f>
        <v/>
      </c>
      <c r="HT107" s="29" t="str">
        <f>IF(OR($B107="",$A107&lt;90),"",--MID('Key Analysis'!$C103,90,1))</f>
        <v/>
      </c>
      <c r="HU107" s="29" t="str">
        <f>IF(OR($B107="",$A107&lt;91),"",--MID('Key Analysis'!$C103,91,1))</f>
        <v/>
      </c>
      <c r="HV107" s="29" t="str">
        <f>IF(OR($B107="",$A107&lt;92),"",--MID('Key Analysis'!$C103,92,1))</f>
        <v/>
      </c>
      <c r="HW107" s="29" t="str">
        <f>IF(OR($B107="",$A107&lt;93),"",--MID('Key Analysis'!$C103,93,1))</f>
        <v/>
      </c>
      <c r="HX107" s="29" t="str">
        <f>IF(OR($B107="",$A107&lt;94),"",--MID('Key Analysis'!$C103,94,1))</f>
        <v/>
      </c>
      <c r="HY107" s="29" t="str">
        <f>IF(OR($B107="",$A107&lt;95),"",--MID('Key Analysis'!$C103,95,1))</f>
        <v/>
      </c>
      <c r="HZ107" s="29" t="str">
        <f>IF(OR($B107="",$A107&lt;96),"",--MID('Key Analysis'!$C103,96,1))</f>
        <v/>
      </c>
      <c r="IA107" s="29" t="str">
        <f>IF(OR($B107="",$A107&lt;97),"",--MID('Key Analysis'!$C103,97,1))</f>
        <v/>
      </c>
      <c r="IB107" s="29" t="str">
        <f>IF(OR($B107="",$A107&lt;98),"",--MID('Key Analysis'!$C103,98,1))</f>
        <v/>
      </c>
      <c r="IC107" s="29" t="str">
        <f>IF(OR($B107="",$A107&lt;99),"",--MID('Key Analysis'!$C103,99,1))</f>
        <v/>
      </c>
      <c r="ID107" s="29" t="str">
        <f>IF(OR($B107="",$A107&lt;100),"",--MID('Key Analysis'!$C103,100,1))</f>
        <v/>
      </c>
      <c r="IE107" s="29" t="str">
        <f>IF(OR($B107="",$A107&lt;101),"",--MID('Key Analysis'!$C103,101,1))</f>
        <v/>
      </c>
      <c r="IF107" s="29" t="str">
        <f>IF(OR($B107="",$A107&lt;102),"",--MID('Key Analysis'!$C103,102,1))</f>
        <v/>
      </c>
      <c r="IG107" s="29" t="str">
        <f>IF(OR($B107="",$A107&lt;103),"",--MID('Key Analysis'!$C103,103,1))</f>
        <v/>
      </c>
      <c r="IH107" s="29" t="str">
        <f>IF(OR($B107="",$A107&lt;104),"",--MID('Key Analysis'!$C103,104,1))</f>
        <v/>
      </c>
      <c r="II107" s="29" t="str">
        <f>IF(OR($B107="",$A107&lt;105),"",--MID('Key Analysis'!$C103,105,1))</f>
        <v/>
      </c>
      <c r="IJ107" s="29" t="str">
        <f>IF(OR($B107="",$A107&lt;106),"",--MID('Key Analysis'!$C103,106,1))</f>
        <v/>
      </c>
      <c r="IK107" s="29" t="str">
        <f>IF(OR($B107="",$A107&lt;107),"",--MID('Key Analysis'!$C103,107,1))</f>
        <v/>
      </c>
      <c r="IL107" s="29" t="str">
        <f>IF(OR($B107="",$A107&lt;108),"",--MID('Key Analysis'!$C103,108,1))</f>
        <v/>
      </c>
      <c r="IM107" s="29" t="str">
        <f>IF(OR($B107="",$A107&lt;109),"",--MID('Key Analysis'!$C103,109,1))</f>
        <v/>
      </c>
      <c r="IN107" s="29" t="str">
        <f>IF(OR($B107="",$A107&lt;110),"",--MID('Key Analysis'!$C103,110,1))</f>
        <v/>
      </c>
      <c r="IO107" s="29" t="str">
        <f>IF(OR($B107="",$A107&lt;111),"",--MID('Key Analysis'!$C103,111,1))</f>
        <v/>
      </c>
      <c r="IP107" s="29" t="str">
        <f>IF(OR($B107="",$A107&lt;112),"",--MID('Key Analysis'!$C103,112,1))</f>
        <v/>
      </c>
      <c r="IQ107" s="29" t="str">
        <f>IF(OR($B107="",$A107&lt;113),"",--MID('Key Analysis'!$C103,113,1))</f>
        <v/>
      </c>
      <c r="IR107" s="29" t="str">
        <f>IF(OR($B107="",$A107&lt;114),"",--MID('Key Analysis'!$C103,114,1))</f>
        <v/>
      </c>
      <c r="IS107" s="29" t="str">
        <f>IF(OR($B107="",$A107&lt;115),"",--MID('Key Analysis'!$C103,115,1))</f>
        <v/>
      </c>
      <c r="IT107" s="29" t="str">
        <f>IF(OR($B107="",$A107&lt;116),"",--MID('Key Analysis'!$C103,116,1))</f>
        <v/>
      </c>
      <c r="IU107" s="29" t="str">
        <f>IF(OR($B107="",$A107&lt;117),"",--MID('Key Analysis'!$C103,117,1))</f>
        <v/>
      </c>
      <c r="IV107" s="29" t="str">
        <f>IF(OR($B107="",$A107&lt;118),"",--MID('Key Analysis'!$C103,118,1))</f>
        <v/>
      </c>
      <c r="IW107" s="29" t="str">
        <f>IF(OR($B107="",$A107&lt;119),"",--MID('Key Analysis'!$C103,119,1))</f>
        <v/>
      </c>
      <c r="IX107" s="29" t="str">
        <f>IF(OR($B107="",$A107&lt;120),"",--MID('Key Analysis'!$C103,120,1))</f>
        <v/>
      </c>
      <c r="IY107" s="29" t="str">
        <f>IF(OR($B107="",$A107&lt;121),"",--MID('Key Analysis'!$C103,121,1))</f>
        <v/>
      </c>
      <c r="IZ107" s="29" t="str">
        <f>IF(OR($B107="",$A107&lt;122),"",--MID('Key Analysis'!$C103,122,1))</f>
        <v/>
      </c>
      <c r="JA107" s="29" t="str">
        <f>IF(OR($B107="",$A107&lt;123),"",--MID('Key Analysis'!$C103,123,1))</f>
        <v/>
      </c>
      <c r="JB107" s="29" t="str">
        <f>IF(OR($B107="",$A107&lt;124),"",--MID('Key Analysis'!$C103,124,1))</f>
        <v/>
      </c>
      <c r="JC107" s="29" t="str">
        <f>IF(OR($B107="",$A107&lt;125),"",--MID('Key Analysis'!$C103,125,1))</f>
        <v/>
      </c>
      <c r="JD107" s="29" t="str">
        <f>IF(OR($B107="",$A107&lt;126),"",--MID('Key Analysis'!$C103,126,1))</f>
        <v/>
      </c>
      <c r="JE107" s="29" t="str">
        <f>IF(OR($B107="",$A107&lt;127),"",--MID('Key Analysis'!$C103,127,1))</f>
        <v/>
      </c>
      <c r="JF107" s="29" t="str">
        <f>IF(OR($B107="",$A107&lt;128),"",--MID('Key Analysis'!$C103,128,1))</f>
        <v/>
      </c>
      <c r="JG107" s="29" t="str">
        <f>IF(OR($B107="",$A107&lt;129),"",--MID('Key Analysis'!$C103,129,1))</f>
        <v/>
      </c>
      <c r="JH107" s="29" t="str">
        <f>IF(OR($B107="",$A107&lt;130),"",--MID('Key Analysis'!$C103,130,1))</f>
        <v/>
      </c>
      <c r="JI107" s="29" t="str">
        <f>IF(OR($B107="",$A107&lt;131),"",--MID('Key Analysis'!$C103,131,1))</f>
        <v/>
      </c>
      <c r="JJ107" s="29" t="str">
        <f>IF(OR($B107="",$A107&lt;132),"",--MID('Key Analysis'!$C103,132,1))</f>
        <v/>
      </c>
      <c r="JK107" s="29" t="str">
        <f>IF(OR($B107="",$A107&lt;133),"",--MID('Key Analysis'!$C103,133,1))</f>
        <v/>
      </c>
      <c r="JL107" s="29" t="str">
        <f>IF(OR($B107="",$A107&lt;134),"",--MID('Key Analysis'!$C103,134,1))</f>
        <v/>
      </c>
      <c r="JM107" s="29" t="str">
        <f>IF(OR($B107="",$A107&lt;135),"",--MID('Key Analysis'!$C103,135,1))</f>
        <v/>
      </c>
    </row>
    <row r="108" spans="1:273" x14ac:dyDescent="0.25">
      <c r="A108" s="21">
        <f>'Key Analysis'!A104</f>
        <v>103</v>
      </c>
      <c r="B108" s="30" t="str">
        <f>'Key Analysis'!B104</f>
        <v/>
      </c>
      <c r="C108" s="29" t="str">
        <f>IF(OR($B108="",$A108&lt;=0),"",--MID('Key Analysis'!$C104,$A108-0,1))</f>
        <v/>
      </c>
      <c r="D108" s="29" t="str">
        <f>IF(OR($B108="",$A108&lt;=1),"",--MID('Key Analysis'!$C104,$A108-1,1))</f>
        <v/>
      </c>
      <c r="E108" s="29" t="str">
        <f>IF(OR($B108="",$A108&lt;=2),"",--MID('Key Analysis'!$C104,$A108-2,1))</f>
        <v/>
      </c>
      <c r="F108" s="29" t="str">
        <f>IF(OR($B108="",$A108&lt;=3),"",--MID('Key Analysis'!$C104,$A108-3,1))</f>
        <v/>
      </c>
      <c r="G108" s="29" t="str">
        <f>IF(OR($B108="",$A108&lt;=4),"",--MID('Key Analysis'!$C104,$A108-4,1))</f>
        <v/>
      </c>
      <c r="H108" s="29" t="str">
        <f>IF(OR($B108="",$A108&lt;=5),"",--MID('Key Analysis'!$C104,$A108-5,1))</f>
        <v/>
      </c>
      <c r="I108" s="29" t="str">
        <f>IF(OR($B108="",$A108&lt;=6),"",--MID('Key Analysis'!$C104,$A108-6,1))</f>
        <v/>
      </c>
      <c r="J108" s="29" t="str">
        <f>IF(OR($B108="",$A108&lt;=7),"",--MID('Key Analysis'!$C104,$A108-7,1))</f>
        <v/>
      </c>
      <c r="K108" s="29" t="str">
        <f>IF(OR($B108="",$A108&lt;=8),"",--MID('Key Analysis'!$C104,$A108-8,1))</f>
        <v/>
      </c>
      <c r="L108" s="29" t="str">
        <f>IF(OR($B108="",$A108&lt;=9),"",--MID('Key Analysis'!$C104,$A108-9,1))</f>
        <v/>
      </c>
      <c r="M108" s="29" t="str">
        <f>IF(OR($B108="",$A108&lt;=10),"",--MID('Key Analysis'!$C104,$A108-10,1))</f>
        <v/>
      </c>
      <c r="N108" s="29" t="str">
        <f>IF(OR($B108="",$A108&lt;=11),"",--MID('Key Analysis'!$C104,$A108-11,1))</f>
        <v/>
      </c>
      <c r="O108" s="29" t="str">
        <f>IF(OR($B108="",$A108&lt;=12),"",--MID('Key Analysis'!$C104,$A108-12,1))</f>
        <v/>
      </c>
      <c r="P108" s="29" t="str">
        <f>IF(OR($B108="",$A108&lt;=13),"",--MID('Key Analysis'!$C104,$A108-13,1))</f>
        <v/>
      </c>
      <c r="Q108" s="29" t="str">
        <f>IF(OR($B108="",$A108&lt;=14),"",--MID('Key Analysis'!$C104,$A108-14,1))</f>
        <v/>
      </c>
      <c r="R108" s="29" t="str">
        <f>IF(OR($B108="",$A108&lt;=15),"",--MID('Key Analysis'!$C104,$A108-15,1))</f>
        <v/>
      </c>
      <c r="S108" s="29" t="str">
        <f>IF(OR($B108="",$A108&lt;=16),"",--MID('Key Analysis'!$C104,$A108-16,1))</f>
        <v/>
      </c>
      <c r="T108" s="29" t="str">
        <f>IF(OR($B108="",$A108&lt;=17),"",--MID('Key Analysis'!$C104,$A108-17,1))</f>
        <v/>
      </c>
      <c r="U108" s="29" t="str">
        <f>IF(OR($B108="",$A108&lt;=18),"",--MID('Key Analysis'!$C104,$A108-18,1))</f>
        <v/>
      </c>
      <c r="V108" s="29" t="str">
        <f>IF(OR($B108="",$A108&lt;=19),"",--MID('Key Analysis'!$C104,$A108-19,1))</f>
        <v/>
      </c>
      <c r="W108" s="29" t="str">
        <f>IF(OR($B108="",$A108&lt;=20),"",--MID('Key Analysis'!$C104,$A108-20,1))</f>
        <v/>
      </c>
      <c r="X108" s="29" t="str">
        <f>IF(OR($B108="",$A108&lt;=21),"",--MID('Key Analysis'!$C104,$A108-21,1))</f>
        <v/>
      </c>
      <c r="Y108" s="29" t="str">
        <f>IF(OR($B108="",$A108&lt;=22),"",--MID('Key Analysis'!$C104,$A108-22,1))</f>
        <v/>
      </c>
      <c r="Z108" s="29" t="str">
        <f>IF(OR($B108="",$A108&lt;=23),"",--MID('Key Analysis'!$C104,$A108-23,1))</f>
        <v/>
      </c>
      <c r="AA108" s="29" t="str">
        <f>IF(OR($B108="",$A108&lt;=24),"",--MID('Key Analysis'!$C104,$A108-24,1))</f>
        <v/>
      </c>
      <c r="AB108" s="29" t="str">
        <f>IF(OR($B108="",$A108&lt;=25),"",--MID('Key Analysis'!$C104,$A108-25,1))</f>
        <v/>
      </c>
      <c r="AC108" s="29" t="str">
        <f>IF(OR($B108="",$A108&lt;=26),"",--MID('Key Analysis'!$C104,$A108-26,1))</f>
        <v/>
      </c>
      <c r="AD108" s="29" t="str">
        <f>IF(OR($B108="",$A108&lt;=27),"",--MID('Key Analysis'!$C104,$A108-27,1))</f>
        <v/>
      </c>
      <c r="AE108" s="29" t="str">
        <f>IF(OR($B108="",$A108&lt;=28),"",--MID('Key Analysis'!$C104,$A108-28,1))</f>
        <v/>
      </c>
      <c r="AF108" s="29" t="str">
        <f>IF(OR($B108="",$A108&lt;=29),"",--MID('Key Analysis'!$C104,$A108-29,1))</f>
        <v/>
      </c>
      <c r="AG108" s="29" t="str">
        <f>IF(OR($B108="",$A108&lt;=30),"",--MID('Key Analysis'!$C104,$A108-30,1))</f>
        <v/>
      </c>
      <c r="AH108" s="29" t="str">
        <f>IF(OR($B108="",$A108&lt;=31),"",--MID('Key Analysis'!$C104,$A108-31,1))</f>
        <v/>
      </c>
      <c r="AI108" s="29" t="str">
        <f>IF(OR($B108="",$A108&lt;=32),"",--MID('Key Analysis'!$C104,$A108-32,1))</f>
        <v/>
      </c>
      <c r="AJ108" s="29" t="str">
        <f>IF(OR($B108="",$A108&lt;=33),"",--MID('Key Analysis'!$C104,$A108-33,1))</f>
        <v/>
      </c>
      <c r="AK108" s="29" t="str">
        <f>IF(OR($B108="",$A108&lt;=34),"",--MID('Key Analysis'!$C104,$A108-34,1))</f>
        <v/>
      </c>
      <c r="AL108" s="29" t="str">
        <f>IF(OR($B108="",$A108&lt;=35),"",--MID('Key Analysis'!$C104,$A108-35,1))</f>
        <v/>
      </c>
      <c r="AM108" s="29" t="str">
        <f>IF(OR($B108="",$A108&lt;=36),"",--MID('Key Analysis'!$C104,$A108-36,1))</f>
        <v/>
      </c>
      <c r="AN108" s="29" t="str">
        <f>IF(OR($B108="",$A108&lt;=37),"",--MID('Key Analysis'!$C104,$A108-37,1))</f>
        <v/>
      </c>
      <c r="AO108" s="29" t="str">
        <f>IF(OR($B108="",$A108&lt;=38),"",--MID('Key Analysis'!$C104,$A108-38,1))</f>
        <v/>
      </c>
      <c r="AP108" s="29" t="str">
        <f>IF(OR($B108="",$A108&lt;=39),"",--MID('Key Analysis'!$C104,$A108-39,1))</f>
        <v/>
      </c>
      <c r="AQ108" s="29" t="str">
        <f>IF(OR($B108="",$A108&lt;=40),"",--MID('Key Analysis'!$C104,$A108-40,1))</f>
        <v/>
      </c>
      <c r="AR108" s="29" t="str">
        <f>IF(OR($B108="",$A108&lt;=41),"",--MID('Key Analysis'!$C104,$A108-41,1))</f>
        <v/>
      </c>
      <c r="AS108" s="29" t="str">
        <f>IF(OR($B108="",$A108&lt;=42),"",--MID('Key Analysis'!$C104,$A108-42,1))</f>
        <v/>
      </c>
      <c r="AT108" s="29" t="str">
        <f>IF(OR($B108="",$A108&lt;=43),"",--MID('Key Analysis'!$C104,$A108-43,1))</f>
        <v/>
      </c>
      <c r="AU108" s="29" t="str">
        <f>IF(OR($B108="",$A108&lt;=44),"",--MID('Key Analysis'!$C104,$A108-44,1))</f>
        <v/>
      </c>
      <c r="AV108" s="29" t="str">
        <f>IF(OR($B108="",$A108&lt;=45),"",--MID('Key Analysis'!$C104,$A108-45,1))</f>
        <v/>
      </c>
      <c r="AW108" s="29" t="str">
        <f>IF(OR($B108="",$A108&lt;=46),"",--MID('Key Analysis'!$C104,$A108-46,1))</f>
        <v/>
      </c>
      <c r="AX108" s="29" t="str">
        <f>IF(OR($B108="",$A108&lt;=47),"",--MID('Key Analysis'!$C104,$A108-47,1))</f>
        <v/>
      </c>
      <c r="AY108" s="29" t="str">
        <f>IF(OR($B108="",$A108&lt;=48),"",--MID('Key Analysis'!$C104,$A108-48,1))</f>
        <v/>
      </c>
      <c r="AZ108" s="29" t="str">
        <f>IF(OR($B108="",$A108&lt;=49),"",--MID('Key Analysis'!$C104,$A108-49,1))</f>
        <v/>
      </c>
      <c r="BA108" s="29" t="str">
        <f>IF(OR($B108="",$A108&lt;=50),"",--MID('Key Analysis'!$C104,$A108-50,1))</f>
        <v/>
      </c>
      <c r="BB108" s="29" t="str">
        <f>IF(OR($B108="",$A108&lt;=51),"",--MID('Key Analysis'!$C104,$A108-51,1))</f>
        <v/>
      </c>
      <c r="BC108" s="29" t="str">
        <f>IF(OR($B108="",$A108&lt;=52),"",--MID('Key Analysis'!$C104,$A108-52,1))</f>
        <v/>
      </c>
      <c r="BD108" s="29" t="str">
        <f>IF(OR($B108="",$A108&lt;=53),"",--MID('Key Analysis'!$C104,$A108-53,1))</f>
        <v/>
      </c>
      <c r="BE108" s="29" t="str">
        <f>IF(OR($B108="",$A108&lt;=54),"",--MID('Key Analysis'!$C104,$A108-54,1))</f>
        <v/>
      </c>
      <c r="BF108" s="29" t="str">
        <f>IF(OR($B108="",$A108&lt;=55),"",--MID('Key Analysis'!$C104,$A108-55,1))</f>
        <v/>
      </c>
      <c r="BG108" s="29" t="str">
        <f>IF(OR($B108="",$A108&lt;=56),"",--MID('Key Analysis'!$C104,$A108-56,1))</f>
        <v/>
      </c>
      <c r="BH108" s="29" t="str">
        <f>IF(OR($B108="",$A108&lt;=57),"",--MID('Key Analysis'!$C104,$A108-57,1))</f>
        <v/>
      </c>
      <c r="BI108" s="29" t="str">
        <f>IF(OR($B108="",$A108&lt;=58),"",--MID('Key Analysis'!$C104,$A108-58,1))</f>
        <v/>
      </c>
      <c r="BJ108" s="29" t="str">
        <f>IF(OR($B108="",$A108&lt;=59),"",--MID('Key Analysis'!$C104,$A108-59,1))</f>
        <v/>
      </c>
      <c r="BK108" s="29" t="str">
        <f>IF(OR($B108="",$A108&lt;=60),"",--MID('Key Analysis'!$C104,$A108-60,1))</f>
        <v/>
      </c>
      <c r="BL108" s="29" t="str">
        <f>IF(OR($B108="",$A108&lt;=61),"",--MID('Key Analysis'!$C104,$A108-61,1))</f>
        <v/>
      </c>
      <c r="BM108" s="29" t="str">
        <f>IF(OR($B108="",$A108&lt;=62),"",--MID('Key Analysis'!$C104,$A108-62,1))</f>
        <v/>
      </c>
      <c r="BN108" s="29" t="str">
        <f>IF(OR($B108="",$A108&lt;=63),"",--MID('Key Analysis'!$C104,$A108-63,1))</f>
        <v/>
      </c>
      <c r="BO108" s="29" t="str">
        <f>IF(OR($B108="",$A108&lt;=64),"",--MID('Key Analysis'!$C104,$A108-64,1))</f>
        <v/>
      </c>
      <c r="BP108" s="29" t="str">
        <f>IF(OR($B108="",$A108&lt;=65),"",--MID('Key Analysis'!$C104,$A108-65,1))</f>
        <v/>
      </c>
      <c r="BQ108" s="29" t="str">
        <f>IF(OR($B108="",$A108&lt;=66),"",--MID('Key Analysis'!$C104,$A108-66,1))</f>
        <v/>
      </c>
      <c r="BR108" s="29" t="str">
        <f>IF(OR($B108="",$A108&lt;=67),"",--MID('Key Analysis'!$C104,$A108-67,1))</f>
        <v/>
      </c>
      <c r="BS108" s="29" t="str">
        <f>IF(OR($B108="",$A108&lt;=68),"",--MID('Key Analysis'!$C104,$A108-68,1))</f>
        <v/>
      </c>
      <c r="BT108" s="29" t="str">
        <f>IF(OR($B108="",$A108&lt;=69),"",--MID('Key Analysis'!$C104,$A108-69,1))</f>
        <v/>
      </c>
      <c r="BU108" s="29" t="str">
        <f>IF(OR($B108="",$A108&lt;=70),"",--MID('Key Analysis'!$C104,$A108-70,1))</f>
        <v/>
      </c>
      <c r="BV108" s="29" t="str">
        <f>IF(OR($B108="",$A108&lt;=71),"",--MID('Key Analysis'!$C104,$A108-71,1))</f>
        <v/>
      </c>
      <c r="BW108" s="29" t="str">
        <f>IF(OR($B108="",$A108&lt;=72),"",--MID('Key Analysis'!$C104,$A108-72,1))</f>
        <v/>
      </c>
      <c r="BX108" s="29" t="str">
        <f>IF(OR($B108="",$A108&lt;=73),"",--MID('Key Analysis'!$C104,$A108-73,1))</f>
        <v/>
      </c>
      <c r="BY108" s="29" t="str">
        <f>IF(OR($B108="",$A108&lt;=74),"",--MID('Key Analysis'!$C104,$A108-74,1))</f>
        <v/>
      </c>
      <c r="BZ108" s="29" t="str">
        <f>IF(OR($B108="",$A108&lt;=75),"",--MID('Key Analysis'!$C104,$A108-75,1))</f>
        <v/>
      </c>
      <c r="CA108" s="29" t="str">
        <f>IF(OR($B108="",$A108&lt;=76),"",--MID('Key Analysis'!$C104,$A108-76,1))</f>
        <v/>
      </c>
      <c r="CB108" s="29" t="str">
        <f>IF(OR($B108="",$A108&lt;=77),"",--MID('Key Analysis'!$C104,$A108-77,1))</f>
        <v/>
      </c>
      <c r="CC108" s="29" t="str">
        <f>IF(OR($B108="",$A108&lt;=78),"",--MID('Key Analysis'!$C104,$A108-78,1))</f>
        <v/>
      </c>
      <c r="CD108" s="29" t="str">
        <f>IF(OR($B108="",$A108&lt;=79),"",--MID('Key Analysis'!$C104,$A108-79,1))</f>
        <v/>
      </c>
      <c r="CE108" s="29" t="str">
        <f>IF(OR($B108="",$A108&lt;=80),"",--MID('Key Analysis'!$C104,$A108-80,1))</f>
        <v/>
      </c>
      <c r="CF108" s="29" t="str">
        <f>IF(OR($B108="",$A108&lt;=81),"",--MID('Key Analysis'!$C104,$A108-81,1))</f>
        <v/>
      </c>
      <c r="CG108" s="29" t="str">
        <f>IF(OR($B108="",$A108&lt;=82),"",--MID('Key Analysis'!$C104,$A108-82,1))</f>
        <v/>
      </c>
      <c r="CH108" s="29" t="str">
        <f>IF(OR($B108="",$A108&lt;=83),"",--MID('Key Analysis'!$C104,$A108-83,1))</f>
        <v/>
      </c>
      <c r="CI108" s="29" t="str">
        <f>IF(OR($B108="",$A108&lt;=84),"",--MID('Key Analysis'!$C104,$A108-84,1))</f>
        <v/>
      </c>
      <c r="CJ108" s="29" t="str">
        <f>IF(OR($B108="",$A108&lt;=85),"",--MID('Key Analysis'!$C104,$A108-85,1))</f>
        <v/>
      </c>
      <c r="CK108" s="29" t="str">
        <f>IF(OR($B108="",$A108&lt;=86),"",--MID('Key Analysis'!$C104,$A108-86,1))</f>
        <v/>
      </c>
      <c r="CL108" s="29" t="str">
        <f>IF(OR($B108="",$A108&lt;=87),"",--MID('Key Analysis'!$C104,$A108-87,1))</f>
        <v/>
      </c>
      <c r="CM108" s="29" t="str">
        <f>IF(OR($B108="",$A108&lt;=88),"",--MID('Key Analysis'!$C104,$A108-88,1))</f>
        <v/>
      </c>
      <c r="CN108" s="29" t="str">
        <f>IF(OR($B108="",$A108&lt;=89),"",--MID('Key Analysis'!$C104,$A108-89,1))</f>
        <v/>
      </c>
      <c r="CO108" s="29" t="str">
        <f>IF(OR($B108="",$A108&lt;=90),"",--MID('Key Analysis'!$C104,$A108-90,1))</f>
        <v/>
      </c>
      <c r="CP108" s="29" t="str">
        <f>IF(OR($B108="",$A108&lt;=91),"",--MID('Key Analysis'!$C104,$A108-91,1))</f>
        <v/>
      </c>
      <c r="CQ108" s="29" t="str">
        <f>IF(OR($B108="",$A108&lt;=92),"",--MID('Key Analysis'!$C104,$A108-92,1))</f>
        <v/>
      </c>
      <c r="CR108" s="29" t="str">
        <f>IF(OR($B108="",$A108&lt;=93),"",--MID('Key Analysis'!$C104,$A108-93,1))</f>
        <v/>
      </c>
      <c r="CS108" s="29" t="str">
        <f>IF(OR($B108="",$A108&lt;=94),"",--MID('Key Analysis'!$C104,$A108-94,1))</f>
        <v/>
      </c>
      <c r="CT108" s="29" t="str">
        <f>IF(OR($B108="",$A108&lt;=95),"",--MID('Key Analysis'!$C104,$A108-95,1))</f>
        <v/>
      </c>
      <c r="CU108" s="29" t="str">
        <f>IF(OR($B108="",$A108&lt;=96),"",--MID('Key Analysis'!$C104,$A108-96,1))</f>
        <v/>
      </c>
      <c r="CV108" s="29" t="str">
        <f>IF(OR($B108="",$A108&lt;=97),"",--MID('Key Analysis'!$C104,$A108-97,1))</f>
        <v/>
      </c>
      <c r="CW108" s="29" t="str">
        <f>IF(OR($B108="",$A108&lt;=98),"",--MID('Key Analysis'!$C104,$A108-98,1))</f>
        <v/>
      </c>
      <c r="CX108" s="29" t="str">
        <f>IF(OR($B108="",$A108&lt;=99),"",--MID('Key Analysis'!$C104,$A108-99,1))</f>
        <v/>
      </c>
      <c r="CY108" s="29" t="str">
        <f>IF(OR($B108="",$A108&lt;=100),"",--MID('Key Analysis'!$C104,$A108-100,1))</f>
        <v/>
      </c>
      <c r="CZ108" s="29" t="str">
        <f>IF(OR($B108="",$A108&lt;=101),"",--MID('Key Analysis'!$C104,$A108-101,1))</f>
        <v/>
      </c>
      <c r="DA108" s="29" t="str">
        <f>IF(OR($B108="",$A108&lt;=102),"",--MID('Key Analysis'!$C104,$A108-102,1))</f>
        <v/>
      </c>
      <c r="DB108" s="29" t="str">
        <f>IF(OR($B108="",$A108&lt;=103),"",--MID('Key Analysis'!$C104,$A108-103,1))</f>
        <v/>
      </c>
      <c r="DC108" s="29" t="str">
        <f>IF(OR($B108="",$A108&lt;=104),"",--MID('Key Analysis'!$C104,$A108-104,1))</f>
        <v/>
      </c>
      <c r="DD108" s="29" t="str">
        <f>IF(OR($B108="",$A108&lt;=105),"",--MID('Key Analysis'!$C104,$A108-105,1))</f>
        <v/>
      </c>
      <c r="DE108" s="29" t="str">
        <f>IF(OR($B108="",$A108&lt;=106),"",--MID('Key Analysis'!$C104,$A108-106,1))</f>
        <v/>
      </c>
      <c r="DF108" s="29" t="str">
        <f>IF(OR($B108="",$A108&lt;=107),"",--MID('Key Analysis'!$C104,$A108-107,1))</f>
        <v/>
      </c>
      <c r="DG108" s="29" t="str">
        <f>IF(OR($B108="",$A108&lt;=108),"",--MID('Key Analysis'!$C104,$A108-108,1))</f>
        <v/>
      </c>
      <c r="DH108" s="29" t="str">
        <f>IF(OR($B108="",$A108&lt;=109),"",--MID('Key Analysis'!$C104,$A108-109,1))</f>
        <v/>
      </c>
      <c r="DI108" s="29" t="str">
        <f>IF(OR($B108="",$A108&lt;=110),"",--MID('Key Analysis'!$C104,$A108-110,1))</f>
        <v/>
      </c>
      <c r="DJ108" s="29" t="str">
        <f>IF(OR($B108="",$A108&lt;=111),"",--MID('Key Analysis'!$C104,$A108-111,1))</f>
        <v/>
      </c>
      <c r="DK108" s="29" t="str">
        <f>IF(OR($B108="",$A108&lt;=112),"",--MID('Key Analysis'!$C104,$A108-112,1))</f>
        <v/>
      </c>
      <c r="DL108" s="29" t="str">
        <f>IF(OR($B108="",$A108&lt;=113),"",--MID('Key Analysis'!$C104,$A108-113,1))</f>
        <v/>
      </c>
      <c r="DM108" s="29" t="str">
        <f>IF(OR($B108="",$A108&lt;=114),"",--MID('Key Analysis'!$C104,$A108-114,1))</f>
        <v/>
      </c>
      <c r="DN108" s="29" t="str">
        <f>IF(OR($B108="",$A108&lt;=115),"",--MID('Key Analysis'!$C104,$A108-115,1))</f>
        <v/>
      </c>
      <c r="DO108" s="29" t="str">
        <f>IF(OR($B108="",$A108&lt;=116),"",--MID('Key Analysis'!$C104,$A108-116,1))</f>
        <v/>
      </c>
      <c r="DP108" s="29" t="str">
        <f>IF(OR($B108="",$A108&lt;=117),"",--MID('Key Analysis'!$C104,$A108-117,1))</f>
        <v/>
      </c>
      <c r="DQ108" s="29" t="str">
        <f>IF(OR($B108="",$A108&lt;=118),"",--MID('Key Analysis'!$C104,$A108-118,1))</f>
        <v/>
      </c>
      <c r="DR108" s="29" t="str">
        <f>IF(OR($B108="",$A108&lt;=119),"",--MID('Key Analysis'!$C104,$A108-119,1))</f>
        <v/>
      </c>
      <c r="DS108" s="29" t="str">
        <f>IF(OR($B108="",$A108&lt;=120),"",--MID('Key Analysis'!$C104,$A108-120,1))</f>
        <v/>
      </c>
      <c r="DT108" s="29" t="str">
        <f>IF(OR($B108="",$A108&lt;=121),"",--MID('Key Analysis'!$C104,$A108-121,1))</f>
        <v/>
      </c>
      <c r="DU108" s="29" t="str">
        <f>IF(OR($B108="",$A108&lt;=122),"",--MID('Key Analysis'!$C104,$A108-122,1))</f>
        <v/>
      </c>
      <c r="DV108" s="29" t="str">
        <f>IF(OR($B108="",$A108&lt;=123),"",--MID('Key Analysis'!$C104,$A108-123,1))</f>
        <v/>
      </c>
      <c r="DW108" s="29" t="str">
        <f>IF(OR($B108="",$A108&lt;=124),"",--MID('Key Analysis'!$C104,$A108-124,1))</f>
        <v/>
      </c>
      <c r="DX108" s="29" t="str">
        <f>IF(OR($B108="",$A108&lt;=125),"",--MID('Key Analysis'!$C104,$A108-125,1))</f>
        <v/>
      </c>
      <c r="DY108" s="29" t="str">
        <f>IF(OR($B108="",$A108&lt;=126),"",--MID('Key Analysis'!$C104,$A108-126,1))</f>
        <v/>
      </c>
      <c r="DZ108" s="29" t="str">
        <f>IF(OR($B108="",$A108&lt;=127),"",--MID('Key Analysis'!$C104,$A108-127,1))</f>
        <v/>
      </c>
      <c r="EA108" s="29" t="str">
        <f>IF(OR($B108="",$A108&lt;=128),"",--MID('Key Analysis'!$C104,$A108-128,1))</f>
        <v/>
      </c>
      <c r="EB108" s="29" t="str">
        <f>IF(OR($B108="",$A108&lt;=129),"",--MID('Key Analysis'!$C104,$A108-129,1))</f>
        <v/>
      </c>
      <c r="EC108" s="29" t="str">
        <f>IF(OR($B108="",$A108&lt;=130),"",--MID('Key Analysis'!$C104,$A108-130,1))</f>
        <v/>
      </c>
      <c r="ED108" s="29" t="str">
        <f>IF(OR($B108="",$A108&lt;=131),"",--MID('Key Analysis'!$C104,$A108-131,1))</f>
        <v/>
      </c>
      <c r="EE108" s="29" t="str">
        <f>IF(OR($B108="",$A108&lt;=132),"",--MID('Key Analysis'!$C104,$A108-132,1))</f>
        <v/>
      </c>
      <c r="EF108" s="29" t="str">
        <f>IF(OR($B108="",$A108&lt;=133),"",--MID('Key Analysis'!$C104,$A108-133,1))</f>
        <v/>
      </c>
      <c r="EG108" s="29" t="str">
        <f>IF(OR($B108="",$A108&lt;=134),"",--MID('Key Analysis'!$C104,$A108-134,1))</f>
        <v/>
      </c>
      <c r="EH108" s="29"/>
      <c r="EI108" s="29" t="str">
        <f>IF(OR($B108="",$A108&lt;1),"",--MID('Key Analysis'!$C104,1,1))</f>
        <v/>
      </c>
      <c r="EJ108" s="29" t="str">
        <f>IF(OR($B108="",$A108&lt;2),"",--MID('Key Analysis'!$C104,2,1))</f>
        <v/>
      </c>
      <c r="EK108" s="29" t="str">
        <f>IF(OR($B108="",$A108&lt;3),"",--MID('Key Analysis'!$C104,3,1))</f>
        <v/>
      </c>
      <c r="EL108" s="29" t="str">
        <f>IF(OR($B108="",$A108&lt;4),"",--MID('Key Analysis'!$C104,4,1))</f>
        <v/>
      </c>
      <c r="EM108" s="29" t="str">
        <f>IF(OR($B108="",$A108&lt;5),"",--MID('Key Analysis'!$C104,5,1))</f>
        <v/>
      </c>
      <c r="EN108" s="29" t="str">
        <f>IF(OR($B108="",$A108&lt;6),"",--MID('Key Analysis'!$C104,6,1))</f>
        <v/>
      </c>
      <c r="EO108" s="29" t="str">
        <f>IF(OR($B108="",$A108&lt;7),"",--MID('Key Analysis'!$C104,7,1))</f>
        <v/>
      </c>
      <c r="EP108" s="29" t="str">
        <f>IF(OR($B108="",$A108&lt;8),"",--MID('Key Analysis'!$C104,8,1))</f>
        <v/>
      </c>
      <c r="EQ108" s="29" t="str">
        <f>IF(OR($B108="",$A108&lt;9),"",--MID('Key Analysis'!$C104,9,1))</f>
        <v/>
      </c>
      <c r="ER108" s="29" t="str">
        <f>IF(OR($B108="",$A108&lt;10),"",--MID('Key Analysis'!$C104,10,1))</f>
        <v/>
      </c>
      <c r="ES108" s="29" t="str">
        <f>IF(OR($B108="",$A108&lt;11),"",--MID('Key Analysis'!$C104,11,1))</f>
        <v/>
      </c>
      <c r="ET108" s="29" t="str">
        <f>IF(OR($B108="",$A108&lt;12),"",--MID('Key Analysis'!$C104,12,1))</f>
        <v/>
      </c>
      <c r="EU108" s="29" t="str">
        <f>IF(OR($B108="",$A108&lt;13),"",--MID('Key Analysis'!$C104,13,1))</f>
        <v/>
      </c>
      <c r="EV108" s="29" t="str">
        <f>IF(OR($B108="",$A108&lt;14),"",--MID('Key Analysis'!$C104,14,1))</f>
        <v/>
      </c>
      <c r="EW108" s="29" t="str">
        <f>IF(OR($B108="",$A108&lt;15),"",--MID('Key Analysis'!$C104,15,1))</f>
        <v/>
      </c>
      <c r="EX108" s="29" t="str">
        <f>IF(OR($B108="",$A108&lt;16),"",--MID('Key Analysis'!$C104,16,1))</f>
        <v/>
      </c>
      <c r="EY108" s="29" t="str">
        <f>IF(OR($B108="",$A108&lt;17),"",--MID('Key Analysis'!$C104,17,1))</f>
        <v/>
      </c>
      <c r="EZ108" s="29" t="str">
        <f>IF(OR($B108="",$A108&lt;18),"",--MID('Key Analysis'!$C104,18,1))</f>
        <v/>
      </c>
      <c r="FA108" s="29" t="str">
        <f>IF(OR($B108="",$A108&lt;19),"",--MID('Key Analysis'!$C104,19,1))</f>
        <v/>
      </c>
      <c r="FB108" s="29" t="str">
        <f>IF(OR($B108="",$A108&lt;20),"",--MID('Key Analysis'!$C104,20,1))</f>
        <v/>
      </c>
      <c r="FC108" s="29" t="str">
        <f>IF(OR($B108="",$A108&lt;21),"",--MID('Key Analysis'!$C104,21,1))</f>
        <v/>
      </c>
      <c r="FD108" s="29" t="str">
        <f>IF(OR($B108="",$A108&lt;22),"",--MID('Key Analysis'!$C104,22,1))</f>
        <v/>
      </c>
      <c r="FE108" s="29" t="str">
        <f>IF(OR($B108="",$A108&lt;23),"",--MID('Key Analysis'!$C104,23,1))</f>
        <v/>
      </c>
      <c r="FF108" s="29" t="str">
        <f>IF(OR($B108="",$A108&lt;24),"",--MID('Key Analysis'!$C104,24,1))</f>
        <v/>
      </c>
      <c r="FG108" s="29" t="str">
        <f>IF(OR($B108="",$A108&lt;25),"",--MID('Key Analysis'!$C104,25,1))</f>
        <v/>
      </c>
      <c r="FH108" s="29" t="str">
        <f>IF(OR($B108="",$A108&lt;26),"",--MID('Key Analysis'!$C104,26,1))</f>
        <v/>
      </c>
      <c r="FI108" s="29" t="str">
        <f>IF(OR($B108="",$A108&lt;27),"",--MID('Key Analysis'!$C104,27,1))</f>
        <v/>
      </c>
      <c r="FJ108" s="29" t="str">
        <f>IF(OR($B108="",$A108&lt;28),"",--MID('Key Analysis'!$C104,28,1))</f>
        <v/>
      </c>
      <c r="FK108" s="29" t="str">
        <f>IF(OR($B108="",$A108&lt;29),"",--MID('Key Analysis'!$C104,29,1))</f>
        <v/>
      </c>
      <c r="FL108" s="29" t="str">
        <f>IF(OR($B108="",$A108&lt;30),"",--MID('Key Analysis'!$C104,30,1))</f>
        <v/>
      </c>
      <c r="FM108" s="29" t="str">
        <f>IF(OR($B108="",$A108&lt;31),"",--MID('Key Analysis'!$C104,31,1))</f>
        <v/>
      </c>
      <c r="FN108" s="29" t="str">
        <f>IF(OR($B108="",$A108&lt;32),"",--MID('Key Analysis'!$C104,32,1))</f>
        <v/>
      </c>
      <c r="FO108" s="29" t="str">
        <f>IF(OR($B108="",$A108&lt;33),"",--MID('Key Analysis'!$C104,33,1))</f>
        <v/>
      </c>
      <c r="FP108" s="29" t="str">
        <f>IF(OR($B108="",$A108&lt;34),"",--MID('Key Analysis'!$C104,34,1))</f>
        <v/>
      </c>
      <c r="FQ108" s="29" t="str">
        <f>IF(OR($B108="",$A108&lt;35),"",--MID('Key Analysis'!$C104,35,1))</f>
        <v/>
      </c>
      <c r="FR108" s="29" t="str">
        <f>IF(OR($B108="",$A108&lt;36),"",--MID('Key Analysis'!$C104,36,1))</f>
        <v/>
      </c>
      <c r="FS108" s="29" t="str">
        <f>IF(OR($B108="",$A108&lt;37),"",--MID('Key Analysis'!$C104,37,1))</f>
        <v/>
      </c>
      <c r="FT108" s="29" t="str">
        <f>IF(OR($B108="",$A108&lt;38),"",--MID('Key Analysis'!$C104,38,1))</f>
        <v/>
      </c>
      <c r="FU108" s="29" t="str">
        <f>IF(OR($B108="",$A108&lt;39),"",--MID('Key Analysis'!$C104,39,1))</f>
        <v/>
      </c>
      <c r="FV108" s="29" t="str">
        <f>IF(OR($B108="",$A108&lt;40),"",--MID('Key Analysis'!$C104,40,1))</f>
        <v/>
      </c>
      <c r="FW108" s="29" t="str">
        <f>IF(OR($B108="",$A108&lt;41),"",--MID('Key Analysis'!$C104,41,1))</f>
        <v/>
      </c>
      <c r="FX108" s="29" t="str">
        <f>IF(OR($B108="",$A108&lt;42),"",--MID('Key Analysis'!$C104,42,1))</f>
        <v/>
      </c>
      <c r="FY108" s="29" t="str">
        <f>IF(OR($B108="",$A108&lt;43),"",--MID('Key Analysis'!$C104,43,1))</f>
        <v/>
      </c>
      <c r="FZ108" s="29" t="str">
        <f>IF(OR($B108="",$A108&lt;44),"",--MID('Key Analysis'!$C104,44,1))</f>
        <v/>
      </c>
      <c r="GA108" s="29" t="str">
        <f>IF(OR($B108="",$A108&lt;45),"",--MID('Key Analysis'!$C104,45,1))</f>
        <v/>
      </c>
      <c r="GB108" s="29" t="str">
        <f>IF(OR($B108="",$A108&lt;46),"",--MID('Key Analysis'!$C104,46,1))</f>
        <v/>
      </c>
      <c r="GC108" s="29" t="str">
        <f>IF(OR($B108="",$A108&lt;47),"",--MID('Key Analysis'!$C104,47,1))</f>
        <v/>
      </c>
      <c r="GD108" s="29" t="str">
        <f>IF(OR($B108="",$A108&lt;48),"",--MID('Key Analysis'!$C104,48,1))</f>
        <v/>
      </c>
      <c r="GE108" s="29" t="str">
        <f>IF(OR($B108="",$A108&lt;49),"",--MID('Key Analysis'!$C104,49,1))</f>
        <v/>
      </c>
      <c r="GF108" s="29" t="str">
        <f>IF(OR($B108="",$A108&lt;50),"",--MID('Key Analysis'!$C104,50,1))</f>
        <v/>
      </c>
      <c r="GG108" s="29" t="str">
        <f>IF(OR($B108="",$A108&lt;51),"",--MID('Key Analysis'!$C104,51,1))</f>
        <v/>
      </c>
      <c r="GH108" s="29" t="str">
        <f>IF(OR($B108="",$A108&lt;52),"",--MID('Key Analysis'!$C104,52,1))</f>
        <v/>
      </c>
      <c r="GI108" s="29" t="str">
        <f>IF(OR($B108="",$A108&lt;53),"",--MID('Key Analysis'!$C104,53,1))</f>
        <v/>
      </c>
      <c r="GJ108" s="29" t="str">
        <f>IF(OR($B108="",$A108&lt;54),"",--MID('Key Analysis'!$C104,54,1))</f>
        <v/>
      </c>
      <c r="GK108" s="29" t="str">
        <f>IF(OR($B108="",$A108&lt;55),"",--MID('Key Analysis'!$C104,55,1))</f>
        <v/>
      </c>
      <c r="GL108" s="29" t="str">
        <f>IF(OR($B108="",$A108&lt;56),"",--MID('Key Analysis'!$C104,56,1))</f>
        <v/>
      </c>
      <c r="GM108" s="29" t="str">
        <f>IF(OR($B108="",$A108&lt;57),"",--MID('Key Analysis'!$C104,57,1))</f>
        <v/>
      </c>
      <c r="GN108" s="29" t="str">
        <f>IF(OR($B108="",$A108&lt;58),"",--MID('Key Analysis'!$C104,58,1))</f>
        <v/>
      </c>
      <c r="GO108" s="29" t="str">
        <f>IF(OR($B108="",$A108&lt;59),"",--MID('Key Analysis'!$C104,59,1))</f>
        <v/>
      </c>
      <c r="GP108" s="29" t="str">
        <f>IF(OR($B108="",$A108&lt;60),"",--MID('Key Analysis'!$C104,60,1))</f>
        <v/>
      </c>
      <c r="GQ108" s="29" t="str">
        <f>IF(OR($B108="",$A108&lt;61),"",--MID('Key Analysis'!$C104,61,1))</f>
        <v/>
      </c>
      <c r="GR108" s="29" t="str">
        <f>IF(OR($B108="",$A108&lt;62),"",--MID('Key Analysis'!$C104,62,1))</f>
        <v/>
      </c>
      <c r="GS108" s="29" t="str">
        <f>IF(OR($B108="",$A108&lt;63),"",--MID('Key Analysis'!$C104,63,1))</f>
        <v/>
      </c>
      <c r="GT108" s="29" t="str">
        <f>IF(OR($B108="",$A108&lt;64),"",--MID('Key Analysis'!$C104,64,1))</f>
        <v/>
      </c>
      <c r="GU108" s="29" t="str">
        <f>IF(OR($B108="",$A108&lt;65),"",--MID('Key Analysis'!$C104,65,1))</f>
        <v/>
      </c>
      <c r="GV108" s="29" t="str">
        <f>IF(OR($B108="",$A108&lt;66),"",--MID('Key Analysis'!$C104,66,1))</f>
        <v/>
      </c>
      <c r="GW108" s="29" t="str">
        <f>IF(OR($B108="",$A108&lt;67),"",--MID('Key Analysis'!$C104,67,1))</f>
        <v/>
      </c>
      <c r="GX108" s="29" t="str">
        <f>IF(OR($B108="",$A108&lt;68),"",--MID('Key Analysis'!$C104,68,1))</f>
        <v/>
      </c>
      <c r="GY108" s="29" t="str">
        <f>IF(OR($B108="",$A108&lt;69),"",--MID('Key Analysis'!$C104,69,1))</f>
        <v/>
      </c>
      <c r="GZ108" s="29" t="str">
        <f>IF(OR($B108="",$A108&lt;70),"",--MID('Key Analysis'!$C104,70,1))</f>
        <v/>
      </c>
      <c r="HA108" s="29" t="str">
        <f>IF(OR($B108="",$A108&lt;71),"",--MID('Key Analysis'!$C104,71,1))</f>
        <v/>
      </c>
      <c r="HB108" s="29" t="str">
        <f>IF(OR($B108="",$A108&lt;72),"",--MID('Key Analysis'!$C104,72,1))</f>
        <v/>
      </c>
      <c r="HC108" s="29" t="str">
        <f>IF(OR($B108="",$A108&lt;73),"",--MID('Key Analysis'!$C104,73,1))</f>
        <v/>
      </c>
      <c r="HD108" s="29" t="str">
        <f>IF(OR($B108="",$A108&lt;74),"",--MID('Key Analysis'!$C104,74,1))</f>
        <v/>
      </c>
      <c r="HE108" s="29" t="str">
        <f>IF(OR($B108="",$A108&lt;75),"",--MID('Key Analysis'!$C104,75,1))</f>
        <v/>
      </c>
      <c r="HF108" s="29" t="str">
        <f>IF(OR($B108="",$A108&lt;76),"",--MID('Key Analysis'!$C104,76,1))</f>
        <v/>
      </c>
      <c r="HG108" s="29" t="str">
        <f>IF(OR($B108="",$A108&lt;77),"",--MID('Key Analysis'!$C104,77,1))</f>
        <v/>
      </c>
      <c r="HH108" s="29" t="str">
        <f>IF(OR($B108="",$A108&lt;78),"",--MID('Key Analysis'!$C104,78,1))</f>
        <v/>
      </c>
      <c r="HI108" s="29" t="str">
        <f>IF(OR($B108="",$A108&lt;79),"",--MID('Key Analysis'!$C104,79,1))</f>
        <v/>
      </c>
      <c r="HJ108" s="29" t="str">
        <f>IF(OR($B108="",$A108&lt;80),"",--MID('Key Analysis'!$C104,80,1))</f>
        <v/>
      </c>
      <c r="HK108" s="29" t="str">
        <f>IF(OR($B108="",$A108&lt;81),"",--MID('Key Analysis'!$C104,81,1))</f>
        <v/>
      </c>
      <c r="HL108" s="29" t="str">
        <f>IF(OR($B108="",$A108&lt;82),"",--MID('Key Analysis'!$C104,82,1))</f>
        <v/>
      </c>
      <c r="HM108" s="29" t="str">
        <f>IF(OR($B108="",$A108&lt;83),"",--MID('Key Analysis'!$C104,83,1))</f>
        <v/>
      </c>
      <c r="HN108" s="29" t="str">
        <f>IF(OR($B108="",$A108&lt;84),"",--MID('Key Analysis'!$C104,84,1))</f>
        <v/>
      </c>
      <c r="HO108" s="29" t="str">
        <f>IF(OR($B108="",$A108&lt;85),"",--MID('Key Analysis'!$C104,85,1))</f>
        <v/>
      </c>
      <c r="HP108" s="29" t="str">
        <f>IF(OR($B108="",$A108&lt;86),"",--MID('Key Analysis'!$C104,86,1))</f>
        <v/>
      </c>
      <c r="HQ108" s="29" t="str">
        <f>IF(OR($B108="",$A108&lt;87),"",--MID('Key Analysis'!$C104,87,1))</f>
        <v/>
      </c>
      <c r="HR108" s="29" t="str">
        <f>IF(OR($B108="",$A108&lt;88),"",--MID('Key Analysis'!$C104,88,1))</f>
        <v/>
      </c>
      <c r="HS108" s="29" t="str">
        <f>IF(OR($B108="",$A108&lt;89),"",--MID('Key Analysis'!$C104,89,1))</f>
        <v/>
      </c>
      <c r="HT108" s="29" t="str">
        <f>IF(OR($B108="",$A108&lt;90),"",--MID('Key Analysis'!$C104,90,1))</f>
        <v/>
      </c>
      <c r="HU108" s="29" t="str">
        <f>IF(OR($B108="",$A108&lt;91),"",--MID('Key Analysis'!$C104,91,1))</f>
        <v/>
      </c>
      <c r="HV108" s="29" t="str">
        <f>IF(OR($B108="",$A108&lt;92),"",--MID('Key Analysis'!$C104,92,1))</f>
        <v/>
      </c>
      <c r="HW108" s="29" t="str">
        <f>IF(OR($B108="",$A108&lt;93),"",--MID('Key Analysis'!$C104,93,1))</f>
        <v/>
      </c>
      <c r="HX108" s="29" t="str">
        <f>IF(OR($B108="",$A108&lt;94),"",--MID('Key Analysis'!$C104,94,1))</f>
        <v/>
      </c>
      <c r="HY108" s="29" t="str">
        <f>IF(OR($B108="",$A108&lt;95),"",--MID('Key Analysis'!$C104,95,1))</f>
        <v/>
      </c>
      <c r="HZ108" s="29" t="str">
        <f>IF(OR($B108="",$A108&lt;96),"",--MID('Key Analysis'!$C104,96,1))</f>
        <v/>
      </c>
      <c r="IA108" s="29" t="str">
        <f>IF(OR($B108="",$A108&lt;97),"",--MID('Key Analysis'!$C104,97,1))</f>
        <v/>
      </c>
      <c r="IB108" s="29" t="str">
        <f>IF(OR($B108="",$A108&lt;98),"",--MID('Key Analysis'!$C104,98,1))</f>
        <v/>
      </c>
      <c r="IC108" s="29" t="str">
        <f>IF(OR($B108="",$A108&lt;99),"",--MID('Key Analysis'!$C104,99,1))</f>
        <v/>
      </c>
      <c r="ID108" s="29" t="str">
        <f>IF(OR($B108="",$A108&lt;100),"",--MID('Key Analysis'!$C104,100,1))</f>
        <v/>
      </c>
      <c r="IE108" s="29" t="str">
        <f>IF(OR($B108="",$A108&lt;101),"",--MID('Key Analysis'!$C104,101,1))</f>
        <v/>
      </c>
      <c r="IF108" s="29" t="str">
        <f>IF(OR($B108="",$A108&lt;102),"",--MID('Key Analysis'!$C104,102,1))</f>
        <v/>
      </c>
      <c r="IG108" s="29" t="str">
        <f>IF(OR($B108="",$A108&lt;103),"",--MID('Key Analysis'!$C104,103,1))</f>
        <v/>
      </c>
      <c r="IH108" s="29" t="str">
        <f>IF(OR($B108="",$A108&lt;104),"",--MID('Key Analysis'!$C104,104,1))</f>
        <v/>
      </c>
      <c r="II108" s="29" t="str">
        <f>IF(OR($B108="",$A108&lt;105),"",--MID('Key Analysis'!$C104,105,1))</f>
        <v/>
      </c>
      <c r="IJ108" s="29" t="str">
        <f>IF(OR($B108="",$A108&lt;106),"",--MID('Key Analysis'!$C104,106,1))</f>
        <v/>
      </c>
      <c r="IK108" s="29" t="str">
        <f>IF(OR($B108="",$A108&lt;107),"",--MID('Key Analysis'!$C104,107,1))</f>
        <v/>
      </c>
      <c r="IL108" s="29" t="str">
        <f>IF(OR($B108="",$A108&lt;108),"",--MID('Key Analysis'!$C104,108,1))</f>
        <v/>
      </c>
      <c r="IM108" s="29" t="str">
        <f>IF(OR($B108="",$A108&lt;109),"",--MID('Key Analysis'!$C104,109,1))</f>
        <v/>
      </c>
      <c r="IN108" s="29" t="str">
        <f>IF(OR($B108="",$A108&lt;110),"",--MID('Key Analysis'!$C104,110,1))</f>
        <v/>
      </c>
      <c r="IO108" s="29" t="str">
        <f>IF(OR($B108="",$A108&lt;111),"",--MID('Key Analysis'!$C104,111,1))</f>
        <v/>
      </c>
      <c r="IP108" s="29" t="str">
        <f>IF(OR($B108="",$A108&lt;112),"",--MID('Key Analysis'!$C104,112,1))</f>
        <v/>
      </c>
      <c r="IQ108" s="29" t="str">
        <f>IF(OR($B108="",$A108&lt;113),"",--MID('Key Analysis'!$C104,113,1))</f>
        <v/>
      </c>
      <c r="IR108" s="29" t="str">
        <f>IF(OR($B108="",$A108&lt;114),"",--MID('Key Analysis'!$C104,114,1))</f>
        <v/>
      </c>
      <c r="IS108" s="29" t="str">
        <f>IF(OR($B108="",$A108&lt;115),"",--MID('Key Analysis'!$C104,115,1))</f>
        <v/>
      </c>
      <c r="IT108" s="29" t="str">
        <f>IF(OR($B108="",$A108&lt;116),"",--MID('Key Analysis'!$C104,116,1))</f>
        <v/>
      </c>
      <c r="IU108" s="29" t="str">
        <f>IF(OR($B108="",$A108&lt;117),"",--MID('Key Analysis'!$C104,117,1))</f>
        <v/>
      </c>
      <c r="IV108" s="29" t="str">
        <f>IF(OR($B108="",$A108&lt;118),"",--MID('Key Analysis'!$C104,118,1))</f>
        <v/>
      </c>
      <c r="IW108" s="29" t="str">
        <f>IF(OR($B108="",$A108&lt;119),"",--MID('Key Analysis'!$C104,119,1))</f>
        <v/>
      </c>
      <c r="IX108" s="29" t="str">
        <f>IF(OR($B108="",$A108&lt;120),"",--MID('Key Analysis'!$C104,120,1))</f>
        <v/>
      </c>
      <c r="IY108" s="29" t="str">
        <f>IF(OR($B108="",$A108&lt;121),"",--MID('Key Analysis'!$C104,121,1))</f>
        <v/>
      </c>
      <c r="IZ108" s="29" t="str">
        <f>IF(OR($B108="",$A108&lt;122),"",--MID('Key Analysis'!$C104,122,1))</f>
        <v/>
      </c>
      <c r="JA108" s="29" t="str">
        <f>IF(OR($B108="",$A108&lt;123),"",--MID('Key Analysis'!$C104,123,1))</f>
        <v/>
      </c>
      <c r="JB108" s="29" t="str">
        <f>IF(OR($B108="",$A108&lt;124),"",--MID('Key Analysis'!$C104,124,1))</f>
        <v/>
      </c>
      <c r="JC108" s="29" t="str">
        <f>IF(OR($B108="",$A108&lt;125),"",--MID('Key Analysis'!$C104,125,1))</f>
        <v/>
      </c>
      <c r="JD108" s="29" t="str">
        <f>IF(OR($B108="",$A108&lt;126),"",--MID('Key Analysis'!$C104,126,1))</f>
        <v/>
      </c>
      <c r="JE108" s="29" t="str">
        <f>IF(OR($B108="",$A108&lt;127),"",--MID('Key Analysis'!$C104,127,1))</f>
        <v/>
      </c>
      <c r="JF108" s="29" t="str">
        <f>IF(OR($B108="",$A108&lt;128),"",--MID('Key Analysis'!$C104,128,1))</f>
        <v/>
      </c>
      <c r="JG108" s="29" t="str">
        <f>IF(OR($B108="",$A108&lt;129),"",--MID('Key Analysis'!$C104,129,1))</f>
        <v/>
      </c>
      <c r="JH108" s="29" t="str">
        <f>IF(OR($B108="",$A108&lt;130),"",--MID('Key Analysis'!$C104,130,1))</f>
        <v/>
      </c>
      <c r="JI108" s="29" t="str">
        <f>IF(OR($B108="",$A108&lt;131),"",--MID('Key Analysis'!$C104,131,1))</f>
        <v/>
      </c>
      <c r="JJ108" s="29" t="str">
        <f>IF(OR($B108="",$A108&lt;132),"",--MID('Key Analysis'!$C104,132,1))</f>
        <v/>
      </c>
      <c r="JK108" s="29" t="str">
        <f>IF(OR($B108="",$A108&lt;133),"",--MID('Key Analysis'!$C104,133,1))</f>
        <v/>
      </c>
      <c r="JL108" s="29" t="str">
        <f>IF(OR($B108="",$A108&lt;134),"",--MID('Key Analysis'!$C104,134,1))</f>
        <v/>
      </c>
      <c r="JM108" s="29" t="str">
        <f>IF(OR($B108="",$A108&lt;135),"",--MID('Key Analysis'!$C104,135,1))</f>
        <v/>
      </c>
    </row>
    <row r="109" spans="1:273" x14ac:dyDescent="0.25">
      <c r="A109" s="21">
        <f>'Key Analysis'!A105</f>
        <v>104</v>
      </c>
      <c r="B109" s="30" t="str">
        <f>'Key Analysis'!B105</f>
        <v/>
      </c>
      <c r="C109" s="29" t="str">
        <f>IF(OR($B109="",$A109&lt;=0),"",--MID('Key Analysis'!$C105,$A109-0,1))</f>
        <v/>
      </c>
      <c r="D109" s="29" t="str">
        <f>IF(OR($B109="",$A109&lt;=1),"",--MID('Key Analysis'!$C105,$A109-1,1))</f>
        <v/>
      </c>
      <c r="E109" s="29" t="str">
        <f>IF(OR($B109="",$A109&lt;=2),"",--MID('Key Analysis'!$C105,$A109-2,1))</f>
        <v/>
      </c>
      <c r="F109" s="29" t="str">
        <f>IF(OR($B109="",$A109&lt;=3),"",--MID('Key Analysis'!$C105,$A109-3,1))</f>
        <v/>
      </c>
      <c r="G109" s="29" t="str">
        <f>IF(OR($B109="",$A109&lt;=4),"",--MID('Key Analysis'!$C105,$A109-4,1))</f>
        <v/>
      </c>
      <c r="H109" s="29" t="str">
        <f>IF(OR($B109="",$A109&lt;=5),"",--MID('Key Analysis'!$C105,$A109-5,1))</f>
        <v/>
      </c>
      <c r="I109" s="29" t="str">
        <f>IF(OR($B109="",$A109&lt;=6),"",--MID('Key Analysis'!$C105,$A109-6,1))</f>
        <v/>
      </c>
      <c r="J109" s="29" t="str">
        <f>IF(OR($B109="",$A109&lt;=7),"",--MID('Key Analysis'!$C105,$A109-7,1))</f>
        <v/>
      </c>
      <c r="K109" s="29" t="str">
        <f>IF(OR($B109="",$A109&lt;=8),"",--MID('Key Analysis'!$C105,$A109-8,1))</f>
        <v/>
      </c>
      <c r="L109" s="29" t="str">
        <f>IF(OR($B109="",$A109&lt;=9),"",--MID('Key Analysis'!$C105,$A109-9,1))</f>
        <v/>
      </c>
      <c r="M109" s="29" t="str">
        <f>IF(OR($B109="",$A109&lt;=10),"",--MID('Key Analysis'!$C105,$A109-10,1))</f>
        <v/>
      </c>
      <c r="N109" s="29" t="str">
        <f>IF(OR($B109="",$A109&lt;=11),"",--MID('Key Analysis'!$C105,$A109-11,1))</f>
        <v/>
      </c>
      <c r="O109" s="29" t="str">
        <f>IF(OR($B109="",$A109&lt;=12),"",--MID('Key Analysis'!$C105,$A109-12,1))</f>
        <v/>
      </c>
      <c r="P109" s="29" t="str">
        <f>IF(OR($B109="",$A109&lt;=13),"",--MID('Key Analysis'!$C105,$A109-13,1))</f>
        <v/>
      </c>
      <c r="Q109" s="29" t="str">
        <f>IF(OR($B109="",$A109&lt;=14),"",--MID('Key Analysis'!$C105,$A109-14,1))</f>
        <v/>
      </c>
      <c r="R109" s="29" t="str">
        <f>IF(OR($B109="",$A109&lt;=15),"",--MID('Key Analysis'!$C105,$A109-15,1))</f>
        <v/>
      </c>
      <c r="S109" s="29" t="str">
        <f>IF(OR($B109="",$A109&lt;=16),"",--MID('Key Analysis'!$C105,$A109-16,1))</f>
        <v/>
      </c>
      <c r="T109" s="29" t="str">
        <f>IF(OR($B109="",$A109&lt;=17),"",--MID('Key Analysis'!$C105,$A109-17,1))</f>
        <v/>
      </c>
      <c r="U109" s="29" t="str">
        <f>IF(OR($B109="",$A109&lt;=18),"",--MID('Key Analysis'!$C105,$A109-18,1))</f>
        <v/>
      </c>
      <c r="V109" s="29" t="str">
        <f>IF(OR($B109="",$A109&lt;=19),"",--MID('Key Analysis'!$C105,$A109-19,1))</f>
        <v/>
      </c>
      <c r="W109" s="29" t="str">
        <f>IF(OR($B109="",$A109&lt;=20),"",--MID('Key Analysis'!$C105,$A109-20,1))</f>
        <v/>
      </c>
      <c r="X109" s="29" t="str">
        <f>IF(OR($B109="",$A109&lt;=21),"",--MID('Key Analysis'!$C105,$A109-21,1))</f>
        <v/>
      </c>
      <c r="Y109" s="29" t="str">
        <f>IF(OR($B109="",$A109&lt;=22),"",--MID('Key Analysis'!$C105,$A109-22,1))</f>
        <v/>
      </c>
      <c r="Z109" s="29" t="str">
        <f>IF(OR($B109="",$A109&lt;=23),"",--MID('Key Analysis'!$C105,$A109-23,1))</f>
        <v/>
      </c>
      <c r="AA109" s="29" t="str">
        <f>IF(OR($B109="",$A109&lt;=24),"",--MID('Key Analysis'!$C105,$A109-24,1))</f>
        <v/>
      </c>
      <c r="AB109" s="29" t="str">
        <f>IF(OR($B109="",$A109&lt;=25),"",--MID('Key Analysis'!$C105,$A109-25,1))</f>
        <v/>
      </c>
      <c r="AC109" s="29" t="str">
        <f>IF(OR($B109="",$A109&lt;=26),"",--MID('Key Analysis'!$C105,$A109-26,1))</f>
        <v/>
      </c>
      <c r="AD109" s="29" t="str">
        <f>IF(OR($B109="",$A109&lt;=27),"",--MID('Key Analysis'!$C105,$A109-27,1))</f>
        <v/>
      </c>
      <c r="AE109" s="29" t="str">
        <f>IF(OR($B109="",$A109&lt;=28),"",--MID('Key Analysis'!$C105,$A109-28,1))</f>
        <v/>
      </c>
      <c r="AF109" s="29" t="str">
        <f>IF(OR($B109="",$A109&lt;=29),"",--MID('Key Analysis'!$C105,$A109-29,1))</f>
        <v/>
      </c>
      <c r="AG109" s="29" t="str">
        <f>IF(OR($B109="",$A109&lt;=30),"",--MID('Key Analysis'!$C105,$A109-30,1))</f>
        <v/>
      </c>
      <c r="AH109" s="29" t="str">
        <f>IF(OR($B109="",$A109&lt;=31),"",--MID('Key Analysis'!$C105,$A109-31,1))</f>
        <v/>
      </c>
      <c r="AI109" s="29" t="str">
        <f>IF(OR($B109="",$A109&lt;=32),"",--MID('Key Analysis'!$C105,$A109-32,1))</f>
        <v/>
      </c>
      <c r="AJ109" s="29" t="str">
        <f>IF(OR($B109="",$A109&lt;=33),"",--MID('Key Analysis'!$C105,$A109-33,1))</f>
        <v/>
      </c>
      <c r="AK109" s="29" t="str">
        <f>IF(OR($B109="",$A109&lt;=34),"",--MID('Key Analysis'!$C105,$A109-34,1))</f>
        <v/>
      </c>
      <c r="AL109" s="29" t="str">
        <f>IF(OR($B109="",$A109&lt;=35),"",--MID('Key Analysis'!$C105,$A109-35,1))</f>
        <v/>
      </c>
      <c r="AM109" s="29" t="str">
        <f>IF(OR($B109="",$A109&lt;=36),"",--MID('Key Analysis'!$C105,$A109-36,1))</f>
        <v/>
      </c>
      <c r="AN109" s="29" t="str">
        <f>IF(OR($B109="",$A109&lt;=37),"",--MID('Key Analysis'!$C105,$A109-37,1))</f>
        <v/>
      </c>
      <c r="AO109" s="29" t="str">
        <f>IF(OR($B109="",$A109&lt;=38),"",--MID('Key Analysis'!$C105,$A109-38,1))</f>
        <v/>
      </c>
      <c r="AP109" s="29" t="str">
        <f>IF(OR($B109="",$A109&lt;=39),"",--MID('Key Analysis'!$C105,$A109-39,1))</f>
        <v/>
      </c>
      <c r="AQ109" s="29" t="str">
        <f>IF(OR($B109="",$A109&lt;=40),"",--MID('Key Analysis'!$C105,$A109-40,1))</f>
        <v/>
      </c>
      <c r="AR109" s="29" t="str">
        <f>IF(OR($B109="",$A109&lt;=41),"",--MID('Key Analysis'!$C105,$A109-41,1))</f>
        <v/>
      </c>
      <c r="AS109" s="29" t="str">
        <f>IF(OR($B109="",$A109&lt;=42),"",--MID('Key Analysis'!$C105,$A109-42,1))</f>
        <v/>
      </c>
      <c r="AT109" s="29" t="str">
        <f>IF(OR($B109="",$A109&lt;=43),"",--MID('Key Analysis'!$C105,$A109-43,1))</f>
        <v/>
      </c>
      <c r="AU109" s="29" t="str">
        <f>IF(OR($B109="",$A109&lt;=44),"",--MID('Key Analysis'!$C105,$A109-44,1))</f>
        <v/>
      </c>
      <c r="AV109" s="29" t="str">
        <f>IF(OR($B109="",$A109&lt;=45),"",--MID('Key Analysis'!$C105,$A109-45,1))</f>
        <v/>
      </c>
      <c r="AW109" s="29" t="str">
        <f>IF(OR($B109="",$A109&lt;=46),"",--MID('Key Analysis'!$C105,$A109-46,1))</f>
        <v/>
      </c>
      <c r="AX109" s="29" t="str">
        <f>IF(OR($B109="",$A109&lt;=47),"",--MID('Key Analysis'!$C105,$A109-47,1))</f>
        <v/>
      </c>
      <c r="AY109" s="29" t="str">
        <f>IF(OR($B109="",$A109&lt;=48),"",--MID('Key Analysis'!$C105,$A109-48,1))</f>
        <v/>
      </c>
      <c r="AZ109" s="29" t="str">
        <f>IF(OR($B109="",$A109&lt;=49),"",--MID('Key Analysis'!$C105,$A109-49,1))</f>
        <v/>
      </c>
      <c r="BA109" s="29" t="str">
        <f>IF(OR($B109="",$A109&lt;=50),"",--MID('Key Analysis'!$C105,$A109-50,1))</f>
        <v/>
      </c>
      <c r="BB109" s="29" t="str">
        <f>IF(OR($B109="",$A109&lt;=51),"",--MID('Key Analysis'!$C105,$A109-51,1))</f>
        <v/>
      </c>
      <c r="BC109" s="29" t="str">
        <f>IF(OR($B109="",$A109&lt;=52),"",--MID('Key Analysis'!$C105,$A109-52,1))</f>
        <v/>
      </c>
      <c r="BD109" s="29" t="str">
        <f>IF(OR($B109="",$A109&lt;=53),"",--MID('Key Analysis'!$C105,$A109-53,1))</f>
        <v/>
      </c>
      <c r="BE109" s="29" t="str">
        <f>IF(OR($B109="",$A109&lt;=54),"",--MID('Key Analysis'!$C105,$A109-54,1))</f>
        <v/>
      </c>
      <c r="BF109" s="29" t="str">
        <f>IF(OR($B109="",$A109&lt;=55),"",--MID('Key Analysis'!$C105,$A109-55,1))</f>
        <v/>
      </c>
      <c r="BG109" s="29" t="str">
        <f>IF(OR($B109="",$A109&lt;=56),"",--MID('Key Analysis'!$C105,$A109-56,1))</f>
        <v/>
      </c>
      <c r="BH109" s="29" t="str">
        <f>IF(OR($B109="",$A109&lt;=57),"",--MID('Key Analysis'!$C105,$A109-57,1))</f>
        <v/>
      </c>
      <c r="BI109" s="29" t="str">
        <f>IF(OR($B109="",$A109&lt;=58),"",--MID('Key Analysis'!$C105,$A109-58,1))</f>
        <v/>
      </c>
      <c r="BJ109" s="29" t="str">
        <f>IF(OR($B109="",$A109&lt;=59),"",--MID('Key Analysis'!$C105,$A109-59,1))</f>
        <v/>
      </c>
      <c r="BK109" s="29" t="str">
        <f>IF(OR($B109="",$A109&lt;=60),"",--MID('Key Analysis'!$C105,$A109-60,1))</f>
        <v/>
      </c>
      <c r="BL109" s="29" t="str">
        <f>IF(OR($B109="",$A109&lt;=61),"",--MID('Key Analysis'!$C105,$A109-61,1))</f>
        <v/>
      </c>
      <c r="BM109" s="29" t="str">
        <f>IF(OR($B109="",$A109&lt;=62),"",--MID('Key Analysis'!$C105,$A109-62,1))</f>
        <v/>
      </c>
      <c r="BN109" s="29" t="str">
        <f>IF(OR($B109="",$A109&lt;=63),"",--MID('Key Analysis'!$C105,$A109-63,1))</f>
        <v/>
      </c>
      <c r="BO109" s="29" t="str">
        <f>IF(OR($B109="",$A109&lt;=64),"",--MID('Key Analysis'!$C105,$A109-64,1))</f>
        <v/>
      </c>
      <c r="BP109" s="29" t="str">
        <f>IF(OR($B109="",$A109&lt;=65),"",--MID('Key Analysis'!$C105,$A109-65,1))</f>
        <v/>
      </c>
      <c r="BQ109" s="29" t="str">
        <f>IF(OR($B109="",$A109&lt;=66),"",--MID('Key Analysis'!$C105,$A109-66,1))</f>
        <v/>
      </c>
      <c r="BR109" s="29" t="str">
        <f>IF(OR($B109="",$A109&lt;=67),"",--MID('Key Analysis'!$C105,$A109-67,1))</f>
        <v/>
      </c>
      <c r="BS109" s="29" t="str">
        <f>IF(OR($B109="",$A109&lt;=68),"",--MID('Key Analysis'!$C105,$A109-68,1))</f>
        <v/>
      </c>
      <c r="BT109" s="29" t="str">
        <f>IF(OR($B109="",$A109&lt;=69),"",--MID('Key Analysis'!$C105,$A109-69,1))</f>
        <v/>
      </c>
      <c r="BU109" s="29" t="str">
        <f>IF(OR($B109="",$A109&lt;=70),"",--MID('Key Analysis'!$C105,$A109-70,1))</f>
        <v/>
      </c>
      <c r="BV109" s="29" t="str">
        <f>IF(OR($B109="",$A109&lt;=71),"",--MID('Key Analysis'!$C105,$A109-71,1))</f>
        <v/>
      </c>
      <c r="BW109" s="29" t="str">
        <f>IF(OR($B109="",$A109&lt;=72),"",--MID('Key Analysis'!$C105,$A109-72,1))</f>
        <v/>
      </c>
      <c r="BX109" s="29" t="str">
        <f>IF(OR($B109="",$A109&lt;=73),"",--MID('Key Analysis'!$C105,$A109-73,1))</f>
        <v/>
      </c>
      <c r="BY109" s="29" t="str">
        <f>IF(OR($B109="",$A109&lt;=74),"",--MID('Key Analysis'!$C105,$A109-74,1))</f>
        <v/>
      </c>
      <c r="BZ109" s="29" t="str">
        <f>IF(OR($B109="",$A109&lt;=75),"",--MID('Key Analysis'!$C105,$A109-75,1))</f>
        <v/>
      </c>
      <c r="CA109" s="29" t="str">
        <f>IF(OR($B109="",$A109&lt;=76),"",--MID('Key Analysis'!$C105,$A109-76,1))</f>
        <v/>
      </c>
      <c r="CB109" s="29" t="str">
        <f>IF(OR($B109="",$A109&lt;=77),"",--MID('Key Analysis'!$C105,$A109-77,1))</f>
        <v/>
      </c>
      <c r="CC109" s="29" t="str">
        <f>IF(OR($B109="",$A109&lt;=78),"",--MID('Key Analysis'!$C105,$A109-78,1))</f>
        <v/>
      </c>
      <c r="CD109" s="29" t="str">
        <f>IF(OR($B109="",$A109&lt;=79),"",--MID('Key Analysis'!$C105,$A109-79,1))</f>
        <v/>
      </c>
      <c r="CE109" s="29" t="str">
        <f>IF(OR($B109="",$A109&lt;=80),"",--MID('Key Analysis'!$C105,$A109-80,1))</f>
        <v/>
      </c>
      <c r="CF109" s="29" t="str">
        <f>IF(OR($B109="",$A109&lt;=81),"",--MID('Key Analysis'!$C105,$A109-81,1))</f>
        <v/>
      </c>
      <c r="CG109" s="29" t="str">
        <f>IF(OR($B109="",$A109&lt;=82),"",--MID('Key Analysis'!$C105,$A109-82,1))</f>
        <v/>
      </c>
      <c r="CH109" s="29" t="str">
        <f>IF(OR($B109="",$A109&lt;=83),"",--MID('Key Analysis'!$C105,$A109-83,1))</f>
        <v/>
      </c>
      <c r="CI109" s="29" t="str">
        <f>IF(OR($B109="",$A109&lt;=84),"",--MID('Key Analysis'!$C105,$A109-84,1))</f>
        <v/>
      </c>
      <c r="CJ109" s="29" t="str">
        <f>IF(OR($B109="",$A109&lt;=85),"",--MID('Key Analysis'!$C105,$A109-85,1))</f>
        <v/>
      </c>
      <c r="CK109" s="29" t="str">
        <f>IF(OR($B109="",$A109&lt;=86),"",--MID('Key Analysis'!$C105,$A109-86,1))</f>
        <v/>
      </c>
      <c r="CL109" s="29" t="str">
        <f>IF(OR($B109="",$A109&lt;=87),"",--MID('Key Analysis'!$C105,$A109-87,1))</f>
        <v/>
      </c>
      <c r="CM109" s="29" t="str">
        <f>IF(OR($B109="",$A109&lt;=88),"",--MID('Key Analysis'!$C105,$A109-88,1))</f>
        <v/>
      </c>
      <c r="CN109" s="29" t="str">
        <f>IF(OR($B109="",$A109&lt;=89),"",--MID('Key Analysis'!$C105,$A109-89,1))</f>
        <v/>
      </c>
      <c r="CO109" s="29" t="str">
        <f>IF(OR($B109="",$A109&lt;=90),"",--MID('Key Analysis'!$C105,$A109-90,1))</f>
        <v/>
      </c>
      <c r="CP109" s="29" t="str">
        <f>IF(OR($B109="",$A109&lt;=91),"",--MID('Key Analysis'!$C105,$A109-91,1))</f>
        <v/>
      </c>
      <c r="CQ109" s="29" t="str">
        <f>IF(OR($B109="",$A109&lt;=92),"",--MID('Key Analysis'!$C105,$A109-92,1))</f>
        <v/>
      </c>
      <c r="CR109" s="29" t="str">
        <f>IF(OR($B109="",$A109&lt;=93),"",--MID('Key Analysis'!$C105,$A109-93,1))</f>
        <v/>
      </c>
      <c r="CS109" s="29" t="str">
        <f>IF(OR($B109="",$A109&lt;=94),"",--MID('Key Analysis'!$C105,$A109-94,1))</f>
        <v/>
      </c>
      <c r="CT109" s="29" t="str">
        <f>IF(OR($B109="",$A109&lt;=95),"",--MID('Key Analysis'!$C105,$A109-95,1))</f>
        <v/>
      </c>
      <c r="CU109" s="29" t="str">
        <f>IF(OR($B109="",$A109&lt;=96),"",--MID('Key Analysis'!$C105,$A109-96,1))</f>
        <v/>
      </c>
      <c r="CV109" s="29" t="str">
        <f>IF(OR($B109="",$A109&lt;=97),"",--MID('Key Analysis'!$C105,$A109-97,1))</f>
        <v/>
      </c>
      <c r="CW109" s="29" t="str">
        <f>IF(OR($B109="",$A109&lt;=98),"",--MID('Key Analysis'!$C105,$A109-98,1))</f>
        <v/>
      </c>
      <c r="CX109" s="29" t="str">
        <f>IF(OR($B109="",$A109&lt;=99),"",--MID('Key Analysis'!$C105,$A109-99,1))</f>
        <v/>
      </c>
      <c r="CY109" s="29" t="str">
        <f>IF(OR($B109="",$A109&lt;=100),"",--MID('Key Analysis'!$C105,$A109-100,1))</f>
        <v/>
      </c>
      <c r="CZ109" s="29" t="str">
        <f>IF(OR($B109="",$A109&lt;=101),"",--MID('Key Analysis'!$C105,$A109-101,1))</f>
        <v/>
      </c>
      <c r="DA109" s="29" t="str">
        <f>IF(OR($B109="",$A109&lt;=102),"",--MID('Key Analysis'!$C105,$A109-102,1))</f>
        <v/>
      </c>
      <c r="DB109" s="29" t="str">
        <f>IF(OR($B109="",$A109&lt;=103),"",--MID('Key Analysis'!$C105,$A109-103,1))</f>
        <v/>
      </c>
      <c r="DC109" s="29" t="str">
        <f>IF(OR($B109="",$A109&lt;=104),"",--MID('Key Analysis'!$C105,$A109-104,1))</f>
        <v/>
      </c>
      <c r="DD109" s="29" t="str">
        <f>IF(OR($B109="",$A109&lt;=105),"",--MID('Key Analysis'!$C105,$A109-105,1))</f>
        <v/>
      </c>
      <c r="DE109" s="29" t="str">
        <f>IF(OR($B109="",$A109&lt;=106),"",--MID('Key Analysis'!$C105,$A109-106,1))</f>
        <v/>
      </c>
      <c r="DF109" s="29" t="str">
        <f>IF(OR($B109="",$A109&lt;=107),"",--MID('Key Analysis'!$C105,$A109-107,1))</f>
        <v/>
      </c>
      <c r="DG109" s="29" t="str">
        <f>IF(OR($B109="",$A109&lt;=108),"",--MID('Key Analysis'!$C105,$A109-108,1))</f>
        <v/>
      </c>
      <c r="DH109" s="29" t="str">
        <f>IF(OR($B109="",$A109&lt;=109),"",--MID('Key Analysis'!$C105,$A109-109,1))</f>
        <v/>
      </c>
      <c r="DI109" s="29" t="str">
        <f>IF(OR($B109="",$A109&lt;=110),"",--MID('Key Analysis'!$C105,$A109-110,1))</f>
        <v/>
      </c>
      <c r="DJ109" s="29" t="str">
        <f>IF(OR($B109="",$A109&lt;=111),"",--MID('Key Analysis'!$C105,$A109-111,1))</f>
        <v/>
      </c>
      <c r="DK109" s="29" t="str">
        <f>IF(OR($B109="",$A109&lt;=112),"",--MID('Key Analysis'!$C105,$A109-112,1))</f>
        <v/>
      </c>
      <c r="DL109" s="29" t="str">
        <f>IF(OR($B109="",$A109&lt;=113),"",--MID('Key Analysis'!$C105,$A109-113,1))</f>
        <v/>
      </c>
      <c r="DM109" s="29" t="str">
        <f>IF(OR($B109="",$A109&lt;=114),"",--MID('Key Analysis'!$C105,$A109-114,1))</f>
        <v/>
      </c>
      <c r="DN109" s="29" t="str">
        <f>IF(OR($B109="",$A109&lt;=115),"",--MID('Key Analysis'!$C105,$A109-115,1))</f>
        <v/>
      </c>
      <c r="DO109" s="29" t="str">
        <f>IF(OR($B109="",$A109&lt;=116),"",--MID('Key Analysis'!$C105,$A109-116,1))</f>
        <v/>
      </c>
      <c r="DP109" s="29" t="str">
        <f>IF(OR($B109="",$A109&lt;=117),"",--MID('Key Analysis'!$C105,$A109-117,1))</f>
        <v/>
      </c>
      <c r="DQ109" s="29" t="str">
        <f>IF(OR($B109="",$A109&lt;=118),"",--MID('Key Analysis'!$C105,$A109-118,1))</f>
        <v/>
      </c>
      <c r="DR109" s="29" t="str">
        <f>IF(OR($B109="",$A109&lt;=119),"",--MID('Key Analysis'!$C105,$A109-119,1))</f>
        <v/>
      </c>
      <c r="DS109" s="29" t="str">
        <f>IF(OR($B109="",$A109&lt;=120),"",--MID('Key Analysis'!$C105,$A109-120,1))</f>
        <v/>
      </c>
      <c r="DT109" s="29" t="str">
        <f>IF(OR($B109="",$A109&lt;=121),"",--MID('Key Analysis'!$C105,$A109-121,1))</f>
        <v/>
      </c>
      <c r="DU109" s="29" t="str">
        <f>IF(OR($B109="",$A109&lt;=122),"",--MID('Key Analysis'!$C105,$A109-122,1))</f>
        <v/>
      </c>
      <c r="DV109" s="29" t="str">
        <f>IF(OR($B109="",$A109&lt;=123),"",--MID('Key Analysis'!$C105,$A109-123,1))</f>
        <v/>
      </c>
      <c r="DW109" s="29" t="str">
        <f>IF(OR($B109="",$A109&lt;=124),"",--MID('Key Analysis'!$C105,$A109-124,1))</f>
        <v/>
      </c>
      <c r="DX109" s="29" t="str">
        <f>IF(OR($B109="",$A109&lt;=125),"",--MID('Key Analysis'!$C105,$A109-125,1))</f>
        <v/>
      </c>
      <c r="DY109" s="29" t="str">
        <f>IF(OR($B109="",$A109&lt;=126),"",--MID('Key Analysis'!$C105,$A109-126,1))</f>
        <v/>
      </c>
      <c r="DZ109" s="29" t="str">
        <f>IF(OR($B109="",$A109&lt;=127),"",--MID('Key Analysis'!$C105,$A109-127,1))</f>
        <v/>
      </c>
      <c r="EA109" s="29" t="str">
        <f>IF(OR($B109="",$A109&lt;=128),"",--MID('Key Analysis'!$C105,$A109-128,1))</f>
        <v/>
      </c>
      <c r="EB109" s="29" t="str">
        <f>IF(OR($B109="",$A109&lt;=129),"",--MID('Key Analysis'!$C105,$A109-129,1))</f>
        <v/>
      </c>
      <c r="EC109" s="29" t="str">
        <f>IF(OR($B109="",$A109&lt;=130),"",--MID('Key Analysis'!$C105,$A109-130,1))</f>
        <v/>
      </c>
      <c r="ED109" s="29" t="str">
        <f>IF(OR($B109="",$A109&lt;=131),"",--MID('Key Analysis'!$C105,$A109-131,1))</f>
        <v/>
      </c>
      <c r="EE109" s="29" t="str">
        <f>IF(OR($B109="",$A109&lt;=132),"",--MID('Key Analysis'!$C105,$A109-132,1))</f>
        <v/>
      </c>
      <c r="EF109" s="29" t="str">
        <f>IF(OR($B109="",$A109&lt;=133),"",--MID('Key Analysis'!$C105,$A109-133,1))</f>
        <v/>
      </c>
      <c r="EG109" s="29" t="str">
        <f>IF(OR($B109="",$A109&lt;=134),"",--MID('Key Analysis'!$C105,$A109-134,1))</f>
        <v/>
      </c>
      <c r="EH109" s="29"/>
      <c r="EI109" s="29" t="str">
        <f>IF(OR($B109="",$A109&lt;1),"",--MID('Key Analysis'!$C105,1,1))</f>
        <v/>
      </c>
      <c r="EJ109" s="29" t="str">
        <f>IF(OR($B109="",$A109&lt;2),"",--MID('Key Analysis'!$C105,2,1))</f>
        <v/>
      </c>
      <c r="EK109" s="29" t="str">
        <f>IF(OR($B109="",$A109&lt;3),"",--MID('Key Analysis'!$C105,3,1))</f>
        <v/>
      </c>
      <c r="EL109" s="29" t="str">
        <f>IF(OR($B109="",$A109&lt;4),"",--MID('Key Analysis'!$C105,4,1))</f>
        <v/>
      </c>
      <c r="EM109" s="29" t="str">
        <f>IF(OR($B109="",$A109&lt;5),"",--MID('Key Analysis'!$C105,5,1))</f>
        <v/>
      </c>
      <c r="EN109" s="29" t="str">
        <f>IF(OR($B109="",$A109&lt;6),"",--MID('Key Analysis'!$C105,6,1))</f>
        <v/>
      </c>
      <c r="EO109" s="29" t="str">
        <f>IF(OR($B109="",$A109&lt;7),"",--MID('Key Analysis'!$C105,7,1))</f>
        <v/>
      </c>
      <c r="EP109" s="29" t="str">
        <f>IF(OR($B109="",$A109&lt;8),"",--MID('Key Analysis'!$C105,8,1))</f>
        <v/>
      </c>
      <c r="EQ109" s="29" t="str">
        <f>IF(OR($B109="",$A109&lt;9),"",--MID('Key Analysis'!$C105,9,1))</f>
        <v/>
      </c>
      <c r="ER109" s="29" t="str">
        <f>IF(OR($B109="",$A109&lt;10),"",--MID('Key Analysis'!$C105,10,1))</f>
        <v/>
      </c>
      <c r="ES109" s="29" t="str">
        <f>IF(OR($B109="",$A109&lt;11),"",--MID('Key Analysis'!$C105,11,1))</f>
        <v/>
      </c>
      <c r="ET109" s="29" t="str">
        <f>IF(OR($B109="",$A109&lt;12),"",--MID('Key Analysis'!$C105,12,1))</f>
        <v/>
      </c>
      <c r="EU109" s="29" t="str">
        <f>IF(OR($B109="",$A109&lt;13),"",--MID('Key Analysis'!$C105,13,1))</f>
        <v/>
      </c>
      <c r="EV109" s="29" t="str">
        <f>IF(OR($B109="",$A109&lt;14),"",--MID('Key Analysis'!$C105,14,1))</f>
        <v/>
      </c>
      <c r="EW109" s="29" t="str">
        <f>IF(OR($B109="",$A109&lt;15),"",--MID('Key Analysis'!$C105,15,1))</f>
        <v/>
      </c>
      <c r="EX109" s="29" t="str">
        <f>IF(OR($B109="",$A109&lt;16),"",--MID('Key Analysis'!$C105,16,1))</f>
        <v/>
      </c>
      <c r="EY109" s="29" t="str">
        <f>IF(OR($B109="",$A109&lt;17),"",--MID('Key Analysis'!$C105,17,1))</f>
        <v/>
      </c>
      <c r="EZ109" s="29" t="str">
        <f>IF(OR($B109="",$A109&lt;18),"",--MID('Key Analysis'!$C105,18,1))</f>
        <v/>
      </c>
      <c r="FA109" s="29" t="str">
        <f>IF(OR($B109="",$A109&lt;19),"",--MID('Key Analysis'!$C105,19,1))</f>
        <v/>
      </c>
      <c r="FB109" s="29" t="str">
        <f>IF(OR($B109="",$A109&lt;20),"",--MID('Key Analysis'!$C105,20,1))</f>
        <v/>
      </c>
      <c r="FC109" s="29" t="str">
        <f>IF(OR($B109="",$A109&lt;21),"",--MID('Key Analysis'!$C105,21,1))</f>
        <v/>
      </c>
      <c r="FD109" s="29" t="str">
        <f>IF(OR($B109="",$A109&lt;22),"",--MID('Key Analysis'!$C105,22,1))</f>
        <v/>
      </c>
      <c r="FE109" s="29" t="str">
        <f>IF(OR($B109="",$A109&lt;23),"",--MID('Key Analysis'!$C105,23,1))</f>
        <v/>
      </c>
      <c r="FF109" s="29" t="str">
        <f>IF(OR($B109="",$A109&lt;24),"",--MID('Key Analysis'!$C105,24,1))</f>
        <v/>
      </c>
      <c r="FG109" s="29" t="str">
        <f>IF(OR($B109="",$A109&lt;25),"",--MID('Key Analysis'!$C105,25,1))</f>
        <v/>
      </c>
      <c r="FH109" s="29" t="str">
        <f>IF(OR($B109="",$A109&lt;26),"",--MID('Key Analysis'!$C105,26,1))</f>
        <v/>
      </c>
      <c r="FI109" s="29" t="str">
        <f>IF(OR($B109="",$A109&lt;27),"",--MID('Key Analysis'!$C105,27,1))</f>
        <v/>
      </c>
      <c r="FJ109" s="29" t="str">
        <f>IF(OR($B109="",$A109&lt;28),"",--MID('Key Analysis'!$C105,28,1))</f>
        <v/>
      </c>
      <c r="FK109" s="29" t="str">
        <f>IF(OR($B109="",$A109&lt;29),"",--MID('Key Analysis'!$C105,29,1))</f>
        <v/>
      </c>
      <c r="FL109" s="29" t="str">
        <f>IF(OR($B109="",$A109&lt;30),"",--MID('Key Analysis'!$C105,30,1))</f>
        <v/>
      </c>
      <c r="FM109" s="29" t="str">
        <f>IF(OR($B109="",$A109&lt;31),"",--MID('Key Analysis'!$C105,31,1))</f>
        <v/>
      </c>
      <c r="FN109" s="29" t="str">
        <f>IF(OR($B109="",$A109&lt;32),"",--MID('Key Analysis'!$C105,32,1))</f>
        <v/>
      </c>
      <c r="FO109" s="29" t="str">
        <f>IF(OR($B109="",$A109&lt;33),"",--MID('Key Analysis'!$C105,33,1))</f>
        <v/>
      </c>
      <c r="FP109" s="29" t="str">
        <f>IF(OR($B109="",$A109&lt;34),"",--MID('Key Analysis'!$C105,34,1))</f>
        <v/>
      </c>
      <c r="FQ109" s="29" t="str">
        <f>IF(OR($B109="",$A109&lt;35),"",--MID('Key Analysis'!$C105,35,1))</f>
        <v/>
      </c>
      <c r="FR109" s="29" t="str">
        <f>IF(OR($B109="",$A109&lt;36),"",--MID('Key Analysis'!$C105,36,1))</f>
        <v/>
      </c>
      <c r="FS109" s="29" t="str">
        <f>IF(OR($B109="",$A109&lt;37),"",--MID('Key Analysis'!$C105,37,1))</f>
        <v/>
      </c>
      <c r="FT109" s="29" t="str">
        <f>IF(OR($B109="",$A109&lt;38),"",--MID('Key Analysis'!$C105,38,1))</f>
        <v/>
      </c>
      <c r="FU109" s="29" t="str">
        <f>IF(OR($B109="",$A109&lt;39),"",--MID('Key Analysis'!$C105,39,1))</f>
        <v/>
      </c>
      <c r="FV109" s="29" t="str">
        <f>IF(OR($B109="",$A109&lt;40),"",--MID('Key Analysis'!$C105,40,1))</f>
        <v/>
      </c>
      <c r="FW109" s="29" t="str">
        <f>IF(OR($B109="",$A109&lt;41),"",--MID('Key Analysis'!$C105,41,1))</f>
        <v/>
      </c>
      <c r="FX109" s="29" t="str">
        <f>IF(OR($B109="",$A109&lt;42),"",--MID('Key Analysis'!$C105,42,1))</f>
        <v/>
      </c>
      <c r="FY109" s="29" t="str">
        <f>IF(OR($B109="",$A109&lt;43),"",--MID('Key Analysis'!$C105,43,1))</f>
        <v/>
      </c>
      <c r="FZ109" s="29" t="str">
        <f>IF(OR($B109="",$A109&lt;44),"",--MID('Key Analysis'!$C105,44,1))</f>
        <v/>
      </c>
      <c r="GA109" s="29" t="str">
        <f>IF(OR($B109="",$A109&lt;45),"",--MID('Key Analysis'!$C105,45,1))</f>
        <v/>
      </c>
      <c r="GB109" s="29" t="str">
        <f>IF(OR($B109="",$A109&lt;46),"",--MID('Key Analysis'!$C105,46,1))</f>
        <v/>
      </c>
      <c r="GC109" s="29" t="str">
        <f>IF(OR($B109="",$A109&lt;47),"",--MID('Key Analysis'!$C105,47,1))</f>
        <v/>
      </c>
      <c r="GD109" s="29" t="str">
        <f>IF(OR($B109="",$A109&lt;48),"",--MID('Key Analysis'!$C105,48,1))</f>
        <v/>
      </c>
      <c r="GE109" s="29" t="str">
        <f>IF(OR($B109="",$A109&lt;49),"",--MID('Key Analysis'!$C105,49,1))</f>
        <v/>
      </c>
      <c r="GF109" s="29" t="str">
        <f>IF(OR($B109="",$A109&lt;50),"",--MID('Key Analysis'!$C105,50,1))</f>
        <v/>
      </c>
      <c r="GG109" s="29" t="str">
        <f>IF(OR($B109="",$A109&lt;51),"",--MID('Key Analysis'!$C105,51,1))</f>
        <v/>
      </c>
      <c r="GH109" s="29" t="str">
        <f>IF(OR($B109="",$A109&lt;52),"",--MID('Key Analysis'!$C105,52,1))</f>
        <v/>
      </c>
      <c r="GI109" s="29" t="str">
        <f>IF(OR($B109="",$A109&lt;53),"",--MID('Key Analysis'!$C105,53,1))</f>
        <v/>
      </c>
      <c r="GJ109" s="29" t="str">
        <f>IF(OR($B109="",$A109&lt;54),"",--MID('Key Analysis'!$C105,54,1))</f>
        <v/>
      </c>
      <c r="GK109" s="29" t="str">
        <f>IF(OR($B109="",$A109&lt;55),"",--MID('Key Analysis'!$C105,55,1))</f>
        <v/>
      </c>
      <c r="GL109" s="29" t="str">
        <f>IF(OR($B109="",$A109&lt;56),"",--MID('Key Analysis'!$C105,56,1))</f>
        <v/>
      </c>
      <c r="GM109" s="29" t="str">
        <f>IF(OR($B109="",$A109&lt;57),"",--MID('Key Analysis'!$C105,57,1))</f>
        <v/>
      </c>
      <c r="GN109" s="29" t="str">
        <f>IF(OR($B109="",$A109&lt;58),"",--MID('Key Analysis'!$C105,58,1))</f>
        <v/>
      </c>
      <c r="GO109" s="29" t="str">
        <f>IF(OR($B109="",$A109&lt;59),"",--MID('Key Analysis'!$C105,59,1))</f>
        <v/>
      </c>
      <c r="GP109" s="29" t="str">
        <f>IF(OR($B109="",$A109&lt;60),"",--MID('Key Analysis'!$C105,60,1))</f>
        <v/>
      </c>
      <c r="GQ109" s="29" t="str">
        <f>IF(OR($B109="",$A109&lt;61),"",--MID('Key Analysis'!$C105,61,1))</f>
        <v/>
      </c>
      <c r="GR109" s="29" t="str">
        <f>IF(OR($B109="",$A109&lt;62),"",--MID('Key Analysis'!$C105,62,1))</f>
        <v/>
      </c>
      <c r="GS109" s="29" t="str">
        <f>IF(OR($B109="",$A109&lt;63),"",--MID('Key Analysis'!$C105,63,1))</f>
        <v/>
      </c>
      <c r="GT109" s="29" t="str">
        <f>IF(OR($B109="",$A109&lt;64),"",--MID('Key Analysis'!$C105,64,1))</f>
        <v/>
      </c>
      <c r="GU109" s="29" t="str">
        <f>IF(OR($B109="",$A109&lt;65),"",--MID('Key Analysis'!$C105,65,1))</f>
        <v/>
      </c>
      <c r="GV109" s="29" t="str">
        <f>IF(OR($B109="",$A109&lt;66),"",--MID('Key Analysis'!$C105,66,1))</f>
        <v/>
      </c>
      <c r="GW109" s="29" t="str">
        <f>IF(OR($B109="",$A109&lt;67),"",--MID('Key Analysis'!$C105,67,1))</f>
        <v/>
      </c>
      <c r="GX109" s="29" t="str">
        <f>IF(OR($B109="",$A109&lt;68),"",--MID('Key Analysis'!$C105,68,1))</f>
        <v/>
      </c>
      <c r="GY109" s="29" t="str">
        <f>IF(OR($B109="",$A109&lt;69),"",--MID('Key Analysis'!$C105,69,1))</f>
        <v/>
      </c>
      <c r="GZ109" s="29" t="str">
        <f>IF(OR($B109="",$A109&lt;70),"",--MID('Key Analysis'!$C105,70,1))</f>
        <v/>
      </c>
      <c r="HA109" s="29" t="str">
        <f>IF(OR($B109="",$A109&lt;71),"",--MID('Key Analysis'!$C105,71,1))</f>
        <v/>
      </c>
      <c r="HB109" s="29" t="str">
        <f>IF(OR($B109="",$A109&lt;72),"",--MID('Key Analysis'!$C105,72,1))</f>
        <v/>
      </c>
      <c r="HC109" s="29" t="str">
        <f>IF(OR($B109="",$A109&lt;73),"",--MID('Key Analysis'!$C105,73,1))</f>
        <v/>
      </c>
      <c r="HD109" s="29" t="str">
        <f>IF(OR($B109="",$A109&lt;74),"",--MID('Key Analysis'!$C105,74,1))</f>
        <v/>
      </c>
      <c r="HE109" s="29" t="str">
        <f>IF(OR($B109="",$A109&lt;75),"",--MID('Key Analysis'!$C105,75,1))</f>
        <v/>
      </c>
      <c r="HF109" s="29" t="str">
        <f>IF(OR($B109="",$A109&lt;76),"",--MID('Key Analysis'!$C105,76,1))</f>
        <v/>
      </c>
      <c r="HG109" s="29" t="str">
        <f>IF(OR($B109="",$A109&lt;77),"",--MID('Key Analysis'!$C105,77,1))</f>
        <v/>
      </c>
      <c r="HH109" s="29" t="str">
        <f>IF(OR($B109="",$A109&lt;78),"",--MID('Key Analysis'!$C105,78,1))</f>
        <v/>
      </c>
      <c r="HI109" s="29" t="str">
        <f>IF(OR($B109="",$A109&lt;79),"",--MID('Key Analysis'!$C105,79,1))</f>
        <v/>
      </c>
      <c r="HJ109" s="29" t="str">
        <f>IF(OR($B109="",$A109&lt;80),"",--MID('Key Analysis'!$C105,80,1))</f>
        <v/>
      </c>
      <c r="HK109" s="29" t="str">
        <f>IF(OR($B109="",$A109&lt;81),"",--MID('Key Analysis'!$C105,81,1))</f>
        <v/>
      </c>
      <c r="HL109" s="29" t="str">
        <f>IF(OR($B109="",$A109&lt;82),"",--MID('Key Analysis'!$C105,82,1))</f>
        <v/>
      </c>
      <c r="HM109" s="29" t="str">
        <f>IF(OR($B109="",$A109&lt;83),"",--MID('Key Analysis'!$C105,83,1))</f>
        <v/>
      </c>
      <c r="HN109" s="29" t="str">
        <f>IF(OR($B109="",$A109&lt;84),"",--MID('Key Analysis'!$C105,84,1))</f>
        <v/>
      </c>
      <c r="HO109" s="29" t="str">
        <f>IF(OR($B109="",$A109&lt;85),"",--MID('Key Analysis'!$C105,85,1))</f>
        <v/>
      </c>
      <c r="HP109" s="29" t="str">
        <f>IF(OR($B109="",$A109&lt;86),"",--MID('Key Analysis'!$C105,86,1))</f>
        <v/>
      </c>
      <c r="HQ109" s="29" t="str">
        <f>IF(OR($B109="",$A109&lt;87),"",--MID('Key Analysis'!$C105,87,1))</f>
        <v/>
      </c>
      <c r="HR109" s="29" t="str">
        <f>IF(OR($B109="",$A109&lt;88),"",--MID('Key Analysis'!$C105,88,1))</f>
        <v/>
      </c>
      <c r="HS109" s="29" t="str">
        <f>IF(OR($B109="",$A109&lt;89),"",--MID('Key Analysis'!$C105,89,1))</f>
        <v/>
      </c>
      <c r="HT109" s="29" t="str">
        <f>IF(OR($B109="",$A109&lt;90),"",--MID('Key Analysis'!$C105,90,1))</f>
        <v/>
      </c>
      <c r="HU109" s="29" t="str">
        <f>IF(OR($B109="",$A109&lt;91),"",--MID('Key Analysis'!$C105,91,1))</f>
        <v/>
      </c>
      <c r="HV109" s="29" t="str">
        <f>IF(OR($B109="",$A109&lt;92),"",--MID('Key Analysis'!$C105,92,1))</f>
        <v/>
      </c>
      <c r="HW109" s="29" t="str">
        <f>IF(OR($B109="",$A109&lt;93),"",--MID('Key Analysis'!$C105,93,1))</f>
        <v/>
      </c>
      <c r="HX109" s="29" t="str">
        <f>IF(OR($B109="",$A109&lt;94),"",--MID('Key Analysis'!$C105,94,1))</f>
        <v/>
      </c>
      <c r="HY109" s="29" t="str">
        <f>IF(OR($B109="",$A109&lt;95),"",--MID('Key Analysis'!$C105,95,1))</f>
        <v/>
      </c>
      <c r="HZ109" s="29" t="str">
        <f>IF(OR($B109="",$A109&lt;96),"",--MID('Key Analysis'!$C105,96,1))</f>
        <v/>
      </c>
      <c r="IA109" s="29" t="str">
        <f>IF(OR($B109="",$A109&lt;97),"",--MID('Key Analysis'!$C105,97,1))</f>
        <v/>
      </c>
      <c r="IB109" s="29" t="str">
        <f>IF(OR($B109="",$A109&lt;98),"",--MID('Key Analysis'!$C105,98,1))</f>
        <v/>
      </c>
      <c r="IC109" s="29" t="str">
        <f>IF(OR($B109="",$A109&lt;99),"",--MID('Key Analysis'!$C105,99,1))</f>
        <v/>
      </c>
      <c r="ID109" s="29" t="str">
        <f>IF(OR($B109="",$A109&lt;100),"",--MID('Key Analysis'!$C105,100,1))</f>
        <v/>
      </c>
      <c r="IE109" s="29" t="str">
        <f>IF(OR($B109="",$A109&lt;101),"",--MID('Key Analysis'!$C105,101,1))</f>
        <v/>
      </c>
      <c r="IF109" s="29" t="str">
        <f>IF(OR($B109="",$A109&lt;102),"",--MID('Key Analysis'!$C105,102,1))</f>
        <v/>
      </c>
      <c r="IG109" s="29" t="str">
        <f>IF(OR($B109="",$A109&lt;103),"",--MID('Key Analysis'!$C105,103,1))</f>
        <v/>
      </c>
      <c r="IH109" s="29" t="str">
        <f>IF(OR($B109="",$A109&lt;104),"",--MID('Key Analysis'!$C105,104,1))</f>
        <v/>
      </c>
      <c r="II109" s="29" t="str">
        <f>IF(OR($B109="",$A109&lt;105),"",--MID('Key Analysis'!$C105,105,1))</f>
        <v/>
      </c>
      <c r="IJ109" s="29" t="str">
        <f>IF(OR($B109="",$A109&lt;106),"",--MID('Key Analysis'!$C105,106,1))</f>
        <v/>
      </c>
      <c r="IK109" s="29" t="str">
        <f>IF(OR($B109="",$A109&lt;107),"",--MID('Key Analysis'!$C105,107,1))</f>
        <v/>
      </c>
      <c r="IL109" s="29" t="str">
        <f>IF(OR($B109="",$A109&lt;108),"",--MID('Key Analysis'!$C105,108,1))</f>
        <v/>
      </c>
      <c r="IM109" s="29" t="str">
        <f>IF(OR($B109="",$A109&lt;109),"",--MID('Key Analysis'!$C105,109,1))</f>
        <v/>
      </c>
      <c r="IN109" s="29" t="str">
        <f>IF(OR($B109="",$A109&lt;110),"",--MID('Key Analysis'!$C105,110,1))</f>
        <v/>
      </c>
      <c r="IO109" s="29" t="str">
        <f>IF(OR($B109="",$A109&lt;111),"",--MID('Key Analysis'!$C105,111,1))</f>
        <v/>
      </c>
      <c r="IP109" s="29" t="str">
        <f>IF(OR($B109="",$A109&lt;112),"",--MID('Key Analysis'!$C105,112,1))</f>
        <v/>
      </c>
      <c r="IQ109" s="29" t="str">
        <f>IF(OR($B109="",$A109&lt;113),"",--MID('Key Analysis'!$C105,113,1))</f>
        <v/>
      </c>
      <c r="IR109" s="29" t="str">
        <f>IF(OR($B109="",$A109&lt;114),"",--MID('Key Analysis'!$C105,114,1))</f>
        <v/>
      </c>
      <c r="IS109" s="29" t="str">
        <f>IF(OR($B109="",$A109&lt;115),"",--MID('Key Analysis'!$C105,115,1))</f>
        <v/>
      </c>
      <c r="IT109" s="29" t="str">
        <f>IF(OR($B109="",$A109&lt;116),"",--MID('Key Analysis'!$C105,116,1))</f>
        <v/>
      </c>
      <c r="IU109" s="29" t="str">
        <f>IF(OR($B109="",$A109&lt;117),"",--MID('Key Analysis'!$C105,117,1))</f>
        <v/>
      </c>
      <c r="IV109" s="29" t="str">
        <f>IF(OR($B109="",$A109&lt;118),"",--MID('Key Analysis'!$C105,118,1))</f>
        <v/>
      </c>
      <c r="IW109" s="29" t="str">
        <f>IF(OR($B109="",$A109&lt;119),"",--MID('Key Analysis'!$C105,119,1))</f>
        <v/>
      </c>
      <c r="IX109" s="29" t="str">
        <f>IF(OR($B109="",$A109&lt;120),"",--MID('Key Analysis'!$C105,120,1))</f>
        <v/>
      </c>
      <c r="IY109" s="29" t="str">
        <f>IF(OR($B109="",$A109&lt;121),"",--MID('Key Analysis'!$C105,121,1))</f>
        <v/>
      </c>
      <c r="IZ109" s="29" t="str">
        <f>IF(OR($B109="",$A109&lt;122),"",--MID('Key Analysis'!$C105,122,1))</f>
        <v/>
      </c>
      <c r="JA109" s="29" t="str">
        <f>IF(OR($B109="",$A109&lt;123),"",--MID('Key Analysis'!$C105,123,1))</f>
        <v/>
      </c>
      <c r="JB109" s="29" t="str">
        <f>IF(OR($B109="",$A109&lt;124),"",--MID('Key Analysis'!$C105,124,1))</f>
        <v/>
      </c>
      <c r="JC109" s="29" t="str">
        <f>IF(OR($B109="",$A109&lt;125),"",--MID('Key Analysis'!$C105,125,1))</f>
        <v/>
      </c>
      <c r="JD109" s="29" t="str">
        <f>IF(OR($B109="",$A109&lt;126),"",--MID('Key Analysis'!$C105,126,1))</f>
        <v/>
      </c>
      <c r="JE109" s="29" t="str">
        <f>IF(OR($B109="",$A109&lt;127),"",--MID('Key Analysis'!$C105,127,1))</f>
        <v/>
      </c>
      <c r="JF109" s="29" t="str">
        <f>IF(OR($B109="",$A109&lt;128),"",--MID('Key Analysis'!$C105,128,1))</f>
        <v/>
      </c>
      <c r="JG109" s="29" t="str">
        <f>IF(OR($B109="",$A109&lt;129),"",--MID('Key Analysis'!$C105,129,1))</f>
        <v/>
      </c>
      <c r="JH109" s="29" t="str">
        <f>IF(OR($B109="",$A109&lt;130),"",--MID('Key Analysis'!$C105,130,1))</f>
        <v/>
      </c>
      <c r="JI109" s="29" t="str">
        <f>IF(OR($B109="",$A109&lt;131),"",--MID('Key Analysis'!$C105,131,1))</f>
        <v/>
      </c>
      <c r="JJ109" s="29" t="str">
        <f>IF(OR($B109="",$A109&lt;132),"",--MID('Key Analysis'!$C105,132,1))</f>
        <v/>
      </c>
      <c r="JK109" s="29" t="str">
        <f>IF(OR($B109="",$A109&lt;133),"",--MID('Key Analysis'!$C105,133,1))</f>
        <v/>
      </c>
      <c r="JL109" s="29" t="str">
        <f>IF(OR($B109="",$A109&lt;134),"",--MID('Key Analysis'!$C105,134,1))</f>
        <v/>
      </c>
      <c r="JM109" s="29" t="str">
        <f>IF(OR($B109="",$A109&lt;135),"",--MID('Key Analysis'!$C105,135,1))</f>
        <v/>
      </c>
    </row>
    <row r="110" spans="1:273" x14ac:dyDescent="0.25">
      <c r="A110" s="21">
        <f>'Key Analysis'!A106</f>
        <v>105</v>
      </c>
      <c r="B110" s="30" t="str">
        <f>'Key Analysis'!B106</f>
        <v>16f14fc2054cd87ee6396b33df3</v>
      </c>
      <c r="C110" s="29">
        <f>IF(OR($B110="",$A110&lt;=0),"",--MID('Key Analysis'!$C106,$A110-0,1))</f>
        <v>1</v>
      </c>
      <c r="D110" s="29">
        <f>IF(OR($B110="",$A110&lt;=1),"",--MID('Key Analysis'!$C106,$A110-1,1))</f>
        <v>1</v>
      </c>
      <c r="E110" s="29">
        <f>IF(OR($B110="",$A110&lt;=2),"",--MID('Key Analysis'!$C106,$A110-2,1))</f>
        <v>0</v>
      </c>
      <c r="F110" s="29">
        <f>IF(OR($B110="",$A110&lt;=3),"",--MID('Key Analysis'!$C106,$A110-3,1))</f>
        <v>0</v>
      </c>
      <c r="G110" s="29">
        <f>IF(OR($B110="",$A110&lt;=4),"",--MID('Key Analysis'!$C106,$A110-4,1))</f>
        <v>1</v>
      </c>
      <c r="H110" s="29">
        <f>IF(OR($B110="",$A110&lt;=5),"",--MID('Key Analysis'!$C106,$A110-5,1))</f>
        <v>1</v>
      </c>
      <c r="I110" s="29">
        <f>IF(OR($B110="",$A110&lt;=6),"",--MID('Key Analysis'!$C106,$A110-6,1))</f>
        <v>1</v>
      </c>
      <c r="J110" s="29">
        <f>IF(OR($B110="",$A110&lt;=7),"",--MID('Key Analysis'!$C106,$A110-7,1))</f>
        <v>1</v>
      </c>
      <c r="K110" s="29">
        <f>IF(OR($B110="",$A110&lt;=8),"",--MID('Key Analysis'!$C106,$A110-8,1))</f>
        <v>1</v>
      </c>
      <c r="L110" s="29">
        <f>IF(OR($B110="",$A110&lt;=9),"",--MID('Key Analysis'!$C106,$A110-9,1))</f>
        <v>0</v>
      </c>
      <c r="M110" s="29">
        <f>IF(OR($B110="",$A110&lt;=10),"",--MID('Key Analysis'!$C106,$A110-10,1))</f>
        <v>1</v>
      </c>
      <c r="N110" s="29">
        <f>IF(OR($B110="",$A110&lt;=11),"",--MID('Key Analysis'!$C106,$A110-11,1))</f>
        <v>1</v>
      </c>
      <c r="O110" s="29">
        <f>IF(OR($B110="",$A110&lt;=12),"",--MID('Key Analysis'!$C106,$A110-12,1))</f>
        <v>1</v>
      </c>
      <c r="P110" s="29">
        <f>IF(OR($B110="",$A110&lt;=13),"",--MID('Key Analysis'!$C106,$A110-13,1))</f>
        <v>1</v>
      </c>
      <c r="Q110" s="29">
        <f>IF(OR($B110="",$A110&lt;=14),"",--MID('Key Analysis'!$C106,$A110-14,1))</f>
        <v>0</v>
      </c>
      <c r="R110" s="29">
        <f>IF(OR($B110="",$A110&lt;=15),"",--MID('Key Analysis'!$C106,$A110-15,1))</f>
        <v>0</v>
      </c>
      <c r="S110" s="29">
        <f>IF(OR($B110="",$A110&lt;=16),"",--MID('Key Analysis'!$C106,$A110-16,1))</f>
        <v>1</v>
      </c>
      <c r="T110" s="29">
        <f>IF(OR($B110="",$A110&lt;=17),"",--MID('Key Analysis'!$C106,$A110-17,1))</f>
        <v>1</v>
      </c>
      <c r="U110" s="29">
        <f>IF(OR($B110="",$A110&lt;=18),"",--MID('Key Analysis'!$C106,$A110-18,1))</f>
        <v>0</v>
      </c>
      <c r="V110" s="29">
        <f>IF(OR($B110="",$A110&lt;=19),"",--MID('Key Analysis'!$C106,$A110-19,1))</f>
        <v>0</v>
      </c>
      <c r="W110" s="29">
        <f>IF(OR($B110="",$A110&lt;=20),"",--MID('Key Analysis'!$C106,$A110-20,1))</f>
        <v>1</v>
      </c>
      <c r="X110" s="29">
        <f>IF(OR($B110="",$A110&lt;=21),"",--MID('Key Analysis'!$C106,$A110-21,1))</f>
        <v>1</v>
      </c>
      <c r="Y110" s="29">
        <f>IF(OR($B110="",$A110&lt;=22),"",--MID('Key Analysis'!$C106,$A110-22,1))</f>
        <v>0</v>
      </c>
      <c r="Z110" s="29">
        <f>IF(OR($B110="",$A110&lt;=23),"",--MID('Key Analysis'!$C106,$A110-23,1))</f>
        <v>1</v>
      </c>
      <c r="AA110" s="29">
        <f>IF(OR($B110="",$A110&lt;=24),"",--MID('Key Analysis'!$C106,$A110-24,1))</f>
        <v>0</v>
      </c>
      <c r="AB110" s="29">
        <f>IF(OR($B110="",$A110&lt;=25),"",--MID('Key Analysis'!$C106,$A110-25,1))</f>
        <v>1</v>
      </c>
      <c r="AC110" s="29">
        <f>IF(OR($B110="",$A110&lt;=26),"",--MID('Key Analysis'!$C106,$A110-26,1))</f>
        <v>1</v>
      </c>
      <c r="AD110" s="29">
        <f>IF(OR($B110="",$A110&lt;=27),"",--MID('Key Analysis'!$C106,$A110-27,1))</f>
        <v>0</v>
      </c>
      <c r="AE110" s="29">
        <f>IF(OR($B110="",$A110&lt;=28),"",--MID('Key Analysis'!$C106,$A110-28,1))</f>
        <v>1</v>
      </c>
      <c r="AF110" s="29">
        <f>IF(OR($B110="",$A110&lt;=29),"",--MID('Key Analysis'!$C106,$A110-29,1))</f>
        <v>0</v>
      </c>
      <c r="AG110" s="29">
        <f>IF(OR($B110="",$A110&lt;=30),"",--MID('Key Analysis'!$C106,$A110-30,1))</f>
        <v>0</v>
      </c>
      <c r="AH110" s="29">
        <f>IF(OR($B110="",$A110&lt;=31),"",--MID('Key Analysis'!$C106,$A110-31,1))</f>
        <v>1</v>
      </c>
      <c r="AI110" s="29">
        <f>IF(OR($B110="",$A110&lt;=32),"",--MID('Key Analysis'!$C106,$A110-32,1))</f>
        <v>1</v>
      </c>
      <c r="AJ110" s="29">
        <f>IF(OR($B110="",$A110&lt;=33),"",--MID('Key Analysis'!$C106,$A110-33,1))</f>
        <v>1</v>
      </c>
      <c r="AK110" s="29">
        <f>IF(OR($B110="",$A110&lt;=34),"",--MID('Key Analysis'!$C106,$A110-34,1))</f>
        <v>0</v>
      </c>
      <c r="AL110" s="29">
        <f>IF(OR($B110="",$A110&lt;=35),"",--MID('Key Analysis'!$C106,$A110-35,1))</f>
        <v>0</v>
      </c>
      <c r="AM110" s="29">
        <f>IF(OR($B110="",$A110&lt;=36),"",--MID('Key Analysis'!$C106,$A110-36,1))</f>
        <v>0</v>
      </c>
      <c r="AN110" s="29">
        <f>IF(OR($B110="",$A110&lt;=37),"",--MID('Key Analysis'!$C106,$A110-37,1))</f>
        <v>1</v>
      </c>
      <c r="AO110" s="29">
        <f>IF(OR($B110="",$A110&lt;=38),"",--MID('Key Analysis'!$C106,$A110-38,1))</f>
        <v>1</v>
      </c>
      <c r="AP110" s="29">
        <f>IF(OR($B110="",$A110&lt;=39),"",--MID('Key Analysis'!$C106,$A110-39,1))</f>
        <v>0</v>
      </c>
      <c r="AQ110" s="29">
        <f>IF(OR($B110="",$A110&lt;=40),"",--MID('Key Analysis'!$C106,$A110-40,1))</f>
        <v>0</v>
      </c>
      <c r="AR110" s="29">
        <f>IF(OR($B110="",$A110&lt;=41),"",--MID('Key Analysis'!$C106,$A110-41,1))</f>
        <v>1</v>
      </c>
      <c r="AS110" s="29">
        <f>IF(OR($B110="",$A110&lt;=42),"",--MID('Key Analysis'!$C106,$A110-42,1))</f>
        <v>1</v>
      </c>
      <c r="AT110" s="29">
        <f>IF(OR($B110="",$A110&lt;=43),"",--MID('Key Analysis'!$C106,$A110-43,1))</f>
        <v>1</v>
      </c>
      <c r="AU110" s="29">
        <f>IF(OR($B110="",$A110&lt;=44),"",--MID('Key Analysis'!$C106,$A110-44,1))</f>
        <v>0</v>
      </c>
      <c r="AV110" s="29">
        <f>IF(OR($B110="",$A110&lt;=45),"",--MID('Key Analysis'!$C106,$A110-45,1))</f>
        <v>1</v>
      </c>
      <c r="AW110" s="29">
        <f>IF(OR($B110="",$A110&lt;=46),"",--MID('Key Analysis'!$C106,$A110-46,1))</f>
        <v>1</v>
      </c>
      <c r="AX110" s="29">
        <f>IF(OR($B110="",$A110&lt;=47),"",--MID('Key Analysis'!$C106,$A110-47,1))</f>
        <v>1</v>
      </c>
      <c r="AY110" s="29">
        <f>IF(OR($B110="",$A110&lt;=48),"",--MID('Key Analysis'!$C106,$A110-48,1))</f>
        <v>1</v>
      </c>
      <c r="AZ110" s="29">
        <f>IF(OR($B110="",$A110&lt;=49),"",--MID('Key Analysis'!$C106,$A110-49,1))</f>
        <v>1</v>
      </c>
      <c r="BA110" s="29">
        <f>IF(OR($B110="",$A110&lt;=50),"",--MID('Key Analysis'!$C106,$A110-50,1))</f>
        <v>1</v>
      </c>
      <c r="BB110" s="29">
        <f>IF(OR($B110="",$A110&lt;=51),"",--MID('Key Analysis'!$C106,$A110-51,1))</f>
        <v>0</v>
      </c>
      <c r="BC110" s="29">
        <f>IF(OR($B110="",$A110&lt;=52),"",--MID('Key Analysis'!$C106,$A110-52,1))</f>
        <v>0</v>
      </c>
      <c r="BD110" s="29">
        <f>IF(OR($B110="",$A110&lt;=53),"",--MID('Key Analysis'!$C106,$A110-53,1))</f>
        <v>0</v>
      </c>
      <c r="BE110" s="29">
        <f>IF(OR($B110="",$A110&lt;=54),"",--MID('Key Analysis'!$C106,$A110-54,1))</f>
        <v>0</v>
      </c>
      <c r="BF110" s="29">
        <f>IF(OR($B110="",$A110&lt;=55),"",--MID('Key Analysis'!$C106,$A110-55,1))</f>
        <v>1</v>
      </c>
      <c r="BG110" s="29">
        <f>IF(OR($B110="",$A110&lt;=56),"",--MID('Key Analysis'!$C106,$A110-56,1))</f>
        <v>1</v>
      </c>
      <c r="BH110" s="29">
        <f>IF(OR($B110="",$A110&lt;=57),"",--MID('Key Analysis'!$C106,$A110-57,1))</f>
        <v>0</v>
      </c>
      <c r="BI110" s="29">
        <f>IF(OR($B110="",$A110&lt;=58),"",--MID('Key Analysis'!$C106,$A110-58,1))</f>
        <v>1</v>
      </c>
      <c r="BJ110" s="29">
        <f>IF(OR($B110="",$A110&lt;=59),"",--MID('Key Analysis'!$C106,$A110-59,1))</f>
        <v>1</v>
      </c>
      <c r="BK110" s="29">
        <f>IF(OR($B110="",$A110&lt;=60),"",--MID('Key Analysis'!$C106,$A110-60,1))</f>
        <v>0</v>
      </c>
      <c r="BL110" s="29">
        <f>IF(OR($B110="",$A110&lt;=61),"",--MID('Key Analysis'!$C106,$A110-61,1))</f>
        <v>0</v>
      </c>
      <c r="BM110" s="29">
        <f>IF(OR($B110="",$A110&lt;=62),"",--MID('Key Analysis'!$C106,$A110-62,1))</f>
        <v>1</v>
      </c>
      <c r="BN110" s="29">
        <f>IF(OR($B110="",$A110&lt;=63),"",--MID('Key Analysis'!$C106,$A110-63,1))</f>
        <v>1</v>
      </c>
      <c r="BO110" s="29">
        <f>IF(OR($B110="",$A110&lt;=64),"",--MID('Key Analysis'!$C106,$A110-64,1))</f>
        <v>0</v>
      </c>
      <c r="BP110" s="29">
        <f>IF(OR($B110="",$A110&lt;=65),"",--MID('Key Analysis'!$C106,$A110-65,1))</f>
        <v>0</v>
      </c>
      <c r="BQ110" s="29">
        <f>IF(OR($B110="",$A110&lt;=66),"",--MID('Key Analysis'!$C106,$A110-66,1))</f>
        <v>1</v>
      </c>
      <c r="BR110" s="29">
        <f>IF(OR($B110="",$A110&lt;=67),"",--MID('Key Analysis'!$C106,$A110-67,1))</f>
        <v>0</v>
      </c>
      <c r="BS110" s="29">
        <f>IF(OR($B110="",$A110&lt;=68),"",--MID('Key Analysis'!$C106,$A110-68,1))</f>
        <v>1</v>
      </c>
      <c r="BT110" s="29">
        <f>IF(OR($B110="",$A110&lt;=69),"",--MID('Key Analysis'!$C106,$A110-69,1))</f>
        <v>0</v>
      </c>
      <c r="BU110" s="29">
        <f>IF(OR($B110="",$A110&lt;=70),"",--MID('Key Analysis'!$C106,$A110-70,1))</f>
        <v>1</v>
      </c>
      <c r="BV110" s="29">
        <f>IF(OR($B110="",$A110&lt;=71),"",--MID('Key Analysis'!$C106,$A110-71,1))</f>
        <v>0</v>
      </c>
      <c r="BW110" s="29">
        <f>IF(OR($B110="",$A110&lt;=72),"",--MID('Key Analysis'!$C106,$A110-72,1))</f>
        <v>0</v>
      </c>
      <c r="BX110" s="29">
        <f>IF(OR($B110="",$A110&lt;=73),"",--MID('Key Analysis'!$C106,$A110-73,1))</f>
        <v>0</v>
      </c>
      <c r="BY110" s="29">
        <f>IF(OR($B110="",$A110&lt;=74),"",--MID('Key Analysis'!$C106,$A110-74,1))</f>
        <v>0</v>
      </c>
      <c r="BZ110" s="29">
        <f>IF(OR($B110="",$A110&lt;=75),"",--MID('Key Analysis'!$C106,$A110-75,1))</f>
        <v>0</v>
      </c>
      <c r="CA110" s="29">
        <f>IF(OR($B110="",$A110&lt;=76),"",--MID('Key Analysis'!$C106,$A110-76,1))</f>
        <v>0</v>
      </c>
      <c r="CB110" s="29">
        <f>IF(OR($B110="",$A110&lt;=77),"",--MID('Key Analysis'!$C106,$A110-77,1))</f>
        <v>1</v>
      </c>
      <c r="CC110" s="29">
        <f>IF(OR($B110="",$A110&lt;=78),"",--MID('Key Analysis'!$C106,$A110-78,1))</f>
        <v>0</v>
      </c>
      <c r="CD110" s="29">
        <f>IF(OR($B110="",$A110&lt;=79),"",--MID('Key Analysis'!$C106,$A110-79,1))</f>
        <v>0</v>
      </c>
      <c r="CE110" s="29">
        <f>IF(OR($B110="",$A110&lt;=80),"",--MID('Key Analysis'!$C106,$A110-80,1))</f>
        <v>0</v>
      </c>
      <c r="CF110" s="29">
        <f>IF(OR($B110="",$A110&lt;=81),"",--MID('Key Analysis'!$C106,$A110-81,1))</f>
        <v>0</v>
      </c>
      <c r="CG110" s="29">
        <f>IF(OR($B110="",$A110&lt;=82),"",--MID('Key Analysis'!$C106,$A110-82,1))</f>
        <v>1</v>
      </c>
      <c r="CH110" s="29">
        <f>IF(OR($B110="",$A110&lt;=83),"",--MID('Key Analysis'!$C106,$A110-83,1))</f>
        <v>1</v>
      </c>
      <c r="CI110" s="29">
        <f>IF(OR($B110="",$A110&lt;=84),"",--MID('Key Analysis'!$C106,$A110-84,1))</f>
        <v>1</v>
      </c>
      <c r="CJ110" s="29">
        <f>IF(OR($B110="",$A110&lt;=85),"",--MID('Key Analysis'!$C106,$A110-85,1))</f>
        <v>1</v>
      </c>
      <c r="CK110" s="29">
        <f>IF(OR($B110="",$A110&lt;=86),"",--MID('Key Analysis'!$C106,$A110-86,1))</f>
        <v>1</v>
      </c>
      <c r="CL110" s="29">
        <f>IF(OR($B110="",$A110&lt;=87),"",--MID('Key Analysis'!$C106,$A110-87,1))</f>
        <v>1</v>
      </c>
      <c r="CM110" s="29">
        <f>IF(OR($B110="",$A110&lt;=88),"",--MID('Key Analysis'!$C106,$A110-88,1))</f>
        <v>0</v>
      </c>
      <c r="CN110" s="29">
        <f>IF(OR($B110="",$A110&lt;=89),"",--MID('Key Analysis'!$C106,$A110-89,1))</f>
        <v>0</v>
      </c>
      <c r="CO110" s="29">
        <f>IF(OR($B110="",$A110&lt;=90),"",--MID('Key Analysis'!$C106,$A110-90,1))</f>
        <v>1</v>
      </c>
      <c r="CP110" s="29">
        <f>IF(OR($B110="",$A110&lt;=91),"",--MID('Key Analysis'!$C106,$A110-91,1))</f>
        <v>0</v>
      </c>
      <c r="CQ110" s="29">
        <f>IF(OR($B110="",$A110&lt;=92),"",--MID('Key Analysis'!$C106,$A110-92,1))</f>
        <v>1</v>
      </c>
      <c r="CR110" s="29">
        <f>IF(OR($B110="",$A110&lt;=93),"",--MID('Key Analysis'!$C106,$A110-93,1))</f>
        <v>0</v>
      </c>
      <c r="CS110" s="29">
        <f>IF(OR($B110="",$A110&lt;=94),"",--MID('Key Analysis'!$C106,$A110-94,1))</f>
        <v>0</v>
      </c>
      <c r="CT110" s="29">
        <f>IF(OR($B110="",$A110&lt;=95),"",--MID('Key Analysis'!$C106,$A110-95,1))</f>
        <v>0</v>
      </c>
      <c r="CU110" s="29">
        <f>IF(OR($B110="",$A110&lt;=96),"",--MID('Key Analysis'!$C106,$A110-96,1))</f>
        <v>1</v>
      </c>
      <c r="CV110" s="29">
        <f>IF(OR($B110="",$A110&lt;=97),"",--MID('Key Analysis'!$C106,$A110-97,1))</f>
        <v>1</v>
      </c>
      <c r="CW110" s="29">
        <f>IF(OR($B110="",$A110&lt;=98),"",--MID('Key Analysis'!$C106,$A110-98,1))</f>
        <v>1</v>
      </c>
      <c r="CX110" s="29">
        <f>IF(OR($B110="",$A110&lt;=99),"",--MID('Key Analysis'!$C106,$A110-99,1))</f>
        <v>1</v>
      </c>
      <c r="CY110" s="29">
        <f>IF(OR($B110="",$A110&lt;=100),"",--MID('Key Analysis'!$C106,$A110-100,1))</f>
        <v>0</v>
      </c>
      <c r="CZ110" s="29">
        <f>IF(OR($B110="",$A110&lt;=101),"",--MID('Key Analysis'!$C106,$A110-101,1))</f>
        <v>1</v>
      </c>
      <c r="DA110" s="29">
        <f>IF(OR($B110="",$A110&lt;=102),"",--MID('Key Analysis'!$C106,$A110-102,1))</f>
        <v>1</v>
      </c>
      <c r="DB110" s="29">
        <f>IF(OR($B110="",$A110&lt;=103),"",--MID('Key Analysis'!$C106,$A110-103,1))</f>
        <v>0</v>
      </c>
      <c r="DC110" s="29">
        <f>IF(OR($B110="",$A110&lt;=104),"",--MID('Key Analysis'!$C106,$A110-104,1))</f>
        <v>1</v>
      </c>
      <c r="DD110" s="29" t="str">
        <f>IF(OR($B110="",$A110&lt;=105),"",--MID('Key Analysis'!$C106,$A110-105,1))</f>
        <v/>
      </c>
      <c r="DE110" s="29" t="str">
        <f>IF(OR($B110="",$A110&lt;=106),"",--MID('Key Analysis'!$C106,$A110-106,1))</f>
        <v/>
      </c>
      <c r="DF110" s="29" t="str">
        <f>IF(OR($B110="",$A110&lt;=107),"",--MID('Key Analysis'!$C106,$A110-107,1))</f>
        <v/>
      </c>
      <c r="DG110" s="29" t="str">
        <f>IF(OR($B110="",$A110&lt;=108),"",--MID('Key Analysis'!$C106,$A110-108,1))</f>
        <v/>
      </c>
      <c r="DH110" s="29" t="str">
        <f>IF(OR($B110="",$A110&lt;=109),"",--MID('Key Analysis'!$C106,$A110-109,1))</f>
        <v/>
      </c>
      <c r="DI110" s="29" t="str">
        <f>IF(OR($B110="",$A110&lt;=110),"",--MID('Key Analysis'!$C106,$A110-110,1))</f>
        <v/>
      </c>
      <c r="DJ110" s="29" t="str">
        <f>IF(OR($B110="",$A110&lt;=111),"",--MID('Key Analysis'!$C106,$A110-111,1))</f>
        <v/>
      </c>
      <c r="DK110" s="29" t="str">
        <f>IF(OR($B110="",$A110&lt;=112),"",--MID('Key Analysis'!$C106,$A110-112,1))</f>
        <v/>
      </c>
      <c r="DL110" s="29" t="str">
        <f>IF(OR($B110="",$A110&lt;=113),"",--MID('Key Analysis'!$C106,$A110-113,1))</f>
        <v/>
      </c>
      <c r="DM110" s="29" t="str">
        <f>IF(OR($B110="",$A110&lt;=114),"",--MID('Key Analysis'!$C106,$A110-114,1))</f>
        <v/>
      </c>
      <c r="DN110" s="29" t="str">
        <f>IF(OR($B110="",$A110&lt;=115),"",--MID('Key Analysis'!$C106,$A110-115,1))</f>
        <v/>
      </c>
      <c r="DO110" s="29" t="str">
        <f>IF(OR($B110="",$A110&lt;=116),"",--MID('Key Analysis'!$C106,$A110-116,1))</f>
        <v/>
      </c>
      <c r="DP110" s="29" t="str">
        <f>IF(OR($B110="",$A110&lt;=117),"",--MID('Key Analysis'!$C106,$A110-117,1))</f>
        <v/>
      </c>
      <c r="DQ110" s="29" t="str">
        <f>IF(OR($B110="",$A110&lt;=118),"",--MID('Key Analysis'!$C106,$A110-118,1))</f>
        <v/>
      </c>
      <c r="DR110" s="29" t="str">
        <f>IF(OR($B110="",$A110&lt;=119),"",--MID('Key Analysis'!$C106,$A110-119,1))</f>
        <v/>
      </c>
      <c r="DS110" s="29" t="str">
        <f>IF(OR($B110="",$A110&lt;=120),"",--MID('Key Analysis'!$C106,$A110-120,1))</f>
        <v/>
      </c>
      <c r="DT110" s="29" t="str">
        <f>IF(OR($B110="",$A110&lt;=121),"",--MID('Key Analysis'!$C106,$A110-121,1))</f>
        <v/>
      </c>
      <c r="DU110" s="29" t="str">
        <f>IF(OR($B110="",$A110&lt;=122),"",--MID('Key Analysis'!$C106,$A110-122,1))</f>
        <v/>
      </c>
      <c r="DV110" s="29" t="str">
        <f>IF(OR($B110="",$A110&lt;=123),"",--MID('Key Analysis'!$C106,$A110-123,1))</f>
        <v/>
      </c>
      <c r="DW110" s="29" t="str">
        <f>IF(OR($B110="",$A110&lt;=124),"",--MID('Key Analysis'!$C106,$A110-124,1))</f>
        <v/>
      </c>
      <c r="DX110" s="29" t="str">
        <f>IF(OR($B110="",$A110&lt;=125),"",--MID('Key Analysis'!$C106,$A110-125,1))</f>
        <v/>
      </c>
      <c r="DY110" s="29" t="str">
        <f>IF(OR($B110="",$A110&lt;=126),"",--MID('Key Analysis'!$C106,$A110-126,1))</f>
        <v/>
      </c>
      <c r="DZ110" s="29" t="str">
        <f>IF(OR($B110="",$A110&lt;=127),"",--MID('Key Analysis'!$C106,$A110-127,1))</f>
        <v/>
      </c>
      <c r="EA110" s="29" t="str">
        <f>IF(OR($B110="",$A110&lt;=128),"",--MID('Key Analysis'!$C106,$A110-128,1))</f>
        <v/>
      </c>
      <c r="EB110" s="29" t="str">
        <f>IF(OR($B110="",$A110&lt;=129),"",--MID('Key Analysis'!$C106,$A110-129,1))</f>
        <v/>
      </c>
      <c r="EC110" s="29" t="str">
        <f>IF(OR($B110="",$A110&lt;=130),"",--MID('Key Analysis'!$C106,$A110-130,1))</f>
        <v/>
      </c>
      <c r="ED110" s="29" t="str">
        <f>IF(OR($B110="",$A110&lt;=131),"",--MID('Key Analysis'!$C106,$A110-131,1))</f>
        <v/>
      </c>
      <c r="EE110" s="29" t="str">
        <f>IF(OR($B110="",$A110&lt;=132),"",--MID('Key Analysis'!$C106,$A110-132,1))</f>
        <v/>
      </c>
      <c r="EF110" s="29" t="str">
        <f>IF(OR($B110="",$A110&lt;=133),"",--MID('Key Analysis'!$C106,$A110-133,1))</f>
        <v/>
      </c>
      <c r="EG110" s="29" t="str">
        <f>IF(OR($B110="",$A110&lt;=134),"",--MID('Key Analysis'!$C106,$A110-134,1))</f>
        <v/>
      </c>
      <c r="EH110" s="29"/>
      <c r="EI110" s="29">
        <f>IF(OR($B110="",$A110&lt;1),"",--MID('Key Analysis'!$C106,1,1))</f>
        <v>1</v>
      </c>
      <c r="EJ110" s="29">
        <f>IF(OR($B110="",$A110&lt;2),"",--MID('Key Analysis'!$C106,2,1))</f>
        <v>0</v>
      </c>
      <c r="EK110" s="29">
        <f>IF(OR($B110="",$A110&lt;3),"",--MID('Key Analysis'!$C106,3,1))</f>
        <v>1</v>
      </c>
      <c r="EL110" s="29">
        <f>IF(OR($B110="",$A110&lt;4),"",--MID('Key Analysis'!$C106,4,1))</f>
        <v>1</v>
      </c>
      <c r="EM110" s="29">
        <f>IF(OR($B110="",$A110&lt;5),"",--MID('Key Analysis'!$C106,5,1))</f>
        <v>0</v>
      </c>
      <c r="EN110" s="29">
        <f>IF(OR($B110="",$A110&lt;6),"",--MID('Key Analysis'!$C106,6,1))</f>
        <v>1</v>
      </c>
      <c r="EO110" s="29">
        <f>IF(OR($B110="",$A110&lt;7),"",--MID('Key Analysis'!$C106,7,1))</f>
        <v>1</v>
      </c>
      <c r="EP110" s="29">
        <f>IF(OR($B110="",$A110&lt;8),"",--MID('Key Analysis'!$C106,8,1))</f>
        <v>1</v>
      </c>
      <c r="EQ110" s="29">
        <f>IF(OR($B110="",$A110&lt;9),"",--MID('Key Analysis'!$C106,9,1))</f>
        <v>1</v>
      </c>
      <c r="ER110" s="29">
        <f>IF(OR($B110="",$A110&lt;10),"",--MID('Key Analysis'!$C106,10,1))</f>
        <v>0</v>
      </c>
      <c r="ES110" s="29">
        <f>IF(OR($B110="",$A110&lt;11),"",--MID('Key Analysis'!$C106,11,1))</f>
        <v>0</v>
      </c>
      <c r="ET110" s="29">
        <f>IF(OR($B110="",$A110&lt;12),"",--MID('Key Analysis'!$C106,12,1))</f>
        <v>0</v>
      </c>
      <c r="EU110" s="29">
        <f>IF(OR($B110="",$A110&lt;13),"",--MID('Key Analysis'!$C106,13,1))</f>
        <v>1</v>
      </c>
      <c r="EV110" s="29">
        <f>IF(OR($B110="",$A110&lt;14),"",--MID('Key Analysis'!$C106,14,1))</f>
        <v>0</v>
      </c>
      <c r="EW110" s="29">
        <f>IF(OR($B110="",$A110&lt;15),"",--MID('Key Analysis'!$C106,15,1))</f>
        <v>1</v>
      </c>
      <c r="EX110" s="29">
        <f>IF(OR($B110="",$A110&lt;16),"",--MID('Key Analysis'!$C106,16,1))</f>
        <v>0</v>
      </c>
      <c r="EY110" s="29">
        <f>IF(OR($B110="",$A110&lt;17),"",--MID('Key Analysis'!$C106,17,1))</f>
        <v>0</v>
      </c>
      <c r="EZ110" s="29">
        <f>IF(OR($B110="",$A110&lt;18),"",--MID('Key Analysis'!$C106,18,1))</f>
        <v>1</v>
      </c>
      <c r="FA110" s="29">
        <f>IF(OR($B110="",$A110&lt;19),"",--MID('Key Analysis'!$C106,19,1))</f>
        <v>1</v>
      </c>
      <c r="FB110" s="29">
        <f>IF(OR($B110="",$A110&lt;20),"",--MID('Key Analysis'!$C106,20,1))</f>
        <v>1</v>
      </c>
      <c r="FC110" s="29">
        <f>IF(OR($B110="",$A110&lt;21),"",--MID('Key Analysis'!$C106,21,1))</f>
        <v>1</v>
      </c>
      <c r="FD110" s="29">
        <f>IF(OR($B110="",$A110&lt;22),"",--MID('Key Analysis'!$C106,22,1))</f>
        <v>1</v>
      </c>
      <c r="FE110" s="29">
        <f>IF(OR($B110="",$A110&lt;23),"",--MID('Key Analysis'!$C106,23,1))</f>
        <v>1</v>
      </c>
      <c r="FF110" s="29">
        <f>IF(OR($B110="",$A110&lt;24),"",--MID('Key Analysis'!$C106,24,1))</f>
        <v>0</v>
      </c>
      <c r="FG110" s="29">
        <f>IF(OR($B110="",$A110&lt;25),"",--MID('Key Analysis'!$C106,25,1))</f>
        <v>0</v>
      </c>
      <c r="FH110" s="29">
        <f>IF(OR($B110="",$A110&lt;26),"",--MID('Key Analysis'!$C106,26,1))</f>
        <v>0</v>
      </c>
      <c r="FI110" s="29">
        <f>IF(OR($B110="",$A110&lt;27),"",--MID('Key Analysis'!$C106,27,1))</f>
        <v>0</v>
      </c>
      <c r="FJ110" s="29">
        <f>IF(OR($B110="",$A110&lt;28),"",--MID('Key Analysis'!$C106,28,1))</f>
        <v>1</v>
      </c>
      <c r="FK110" s="29">
        <f>IF(OR($B110="",$A110&lt;29),"",--MID('Key Analysis'!$C106,29,1))</f>
        <v>0</v>
      </c>
      <c r="FL110" s="29">
        <f>IF(OR($B110="",$A110&lt;30),"",--MID('Key Analysis'!$C106,30,1))</f>
        <v>0</v>
      </c>
      <c r="FM110" s="29">
        <f>IF(OR($B110="",$A110&lt;31),"",--MID('Key Analysis'!$C106,31,1))</f>
        <v>0</v>
      </c>
      <c r="FN110" s="29">
        <f>IF(OR($B110="",$A110&lt;32),"",--MID('Key Analysis'!$C106,32,1))</f>
        <v>0</v>
      </c>
      <c r="FO110" s="29">
        <f>IF(OR($B110="",$A110&lt;33),"",--MID('Key Analysis'!$C106,33,1))</f>
        <v>0</v>
      </c>
      <c r="FP110" s="29">
        <f>IF(OR($B110="",$A110&lt;34),"",--MID('Key Analysis'!$C106,34,1))</f>
        <v>0</v>
      </c>
      <c r="FQ110" s="29">
        <f>IF(OR($B110="",$A110&lt;35),"",--MID('Key Analysis'!$C106,35,1))</f>
        <v>1</v>
      </c>
      <c r="FR110" s="29">
        <f>IF(OR($B110="",$A110&lt;36),"",--MID('Key Analysis'!$C106,36,1))</f>
        <v>0</v>
      </c>
      <c r="FS110" s="29">
        <f>IF(OR($B110="",$A110&lt;37),"",--MID('Key Analysis'!$C106,37,1))</f>
        <v>1</v>
      </c>
      <c r="FT110" s="29">
        <f>IF(OR($B110="",$A110&lt;38),"",--MID('Key Analysis'!$C106,38,1))</f>
        <v>0</v>
      </c>
      <c r="FU110" s="29">
        <f>IF(OR($B110="",$A110&lt;39),"",--MID('Key Analysis'!$C106,39,1))</f>
        <v>1</v>
      </c>
      <c r="FV110" s="29">
        <f>IF(OR($B110="",$A110&lt;40),"",--MID('Key Analysis'!$C106,40,1))</f>
        <v>0</v>
      </c>
      <c r="FW110" s="29">
        <f>IF(OR($B110="",$A110&lt;41),"",--MID('Key Analysis'!$C106,41,1))</f>
        <v>0</v>
      </c>
      <c r="FX110" s="29">
        <f>IF(OR($B110="",$A110&lt;42),"",--MID('Key Analysis'!$C106,42,1))</f>
        <v>1</v>
      </c>
      <c r="FY110" s="29">
        <f>IF(OR($B110="",$A110&lt;43),"",--MID('Key Analysis'!$C106,43,1))</f>
        <v>1</v>
      </c>
      <c r="FZ110" s="29">
        <f>IF(OR($B110="",$A110&lt;44),"",--MID('Key Analysis'!$C106,44,1))</f>
        <v>0</v>
      </c>
      <c r="GA110" s="29">
        <f>IF(OR($B110="",$A110&lt;45),"",--MID('Key Analysis'!$C106,45,1))</f>
        <v>0</v>
      </c>
      <c r="GB110" s="29">
        <f>IF(OR($B110="",$A110&lt;46),"",--MID('Key Analysis'!$C106,46,1))</f>
        <v>1</v>
      </c>
      <c r="GC110" s="29">
        <f>IF(OR($B110="",$A110&lt;47),"",--MID('Key Analysis'!$C106,47,1))</f>
        <v>1</v>
      </c>
      <c r="GD110" s="29">
        <f>IF(OR($B110="",$A110&lt;48),"",--MID('Key Analysis'!$C106,48,1))</f>
        <v>0</v>
      </c>
      <c r="GE110" s="29">
        <f>IF(OR($B110="",$A110&lt;49),"",--MID('Key Analysis'!$C106,49,1))</f>
        <v>1</v>
      </c>
      <c r="GF110" s="29">
        <f>IF(OR($B110="",$A110&lt;50),"",--MID('Key Analysis'!$C106,50,1))</f>
        <v>1</v>
      </c>
      <c r="GG110" s="29">
        <f>IF(OR($B110="",$A110&lt;51),"",--MID('Key Analysis'!$C106,51,1))</f>
        <v>0</v>
      </c>
      <c r="GH110" s="29">
        <f>IF(OR($B110="",$A110&lt;52),"",--MID('Key Analysis'!$C106,52,1))</f>
        <v>0</v>
      </c>
      <c r="GI110" s="29">
        <f>IF(OR($B110="",$A110&lt;53),"",--MID('Key Analysis'!$C106,53,1))</f>
        <v>0</v>
      </c>
      <c r="GJ110" s="29">
        <f>IF(OR($B110="",$A110&lt;54),"",--MID('Key Analysis'!$C106,54,1))</f>
        <v>0</v>
      </c>
      <c r="GK110" s="29">
        <f>IF(OR($B110="",$A110&lt;55),"",--MID('Key Analysis'!$C106,55,1))</f>
        <v>1</v>
      </c>
      <c r="GL110" s="29">
        <f>IF(OR($B110="",$A110&lt;56),"",--MID('Key Analysis'!$C106,56,1))</f>
        <v>1</v>
      </c>
      <c r="GM110" s="29">
        <f>IF(OR($B110="",$A110&lt;57),"",--MID('Key Analysis'!$C106,57,1))</f>
        <v>1</v>
      </c>
      <c r="GN110" s="29">
        <f>IF(OR($B110="",$A110&lt;58),"",--MID('Key Analysis'!$C106,58,1))</f>
        <v>1</v>
      </c>
      <c r="GO110" s="29">
        <f>IF(OR($B110="",$A110&lt;59),"",--MID('Key Analysis'!$C106,59,1))</f>
        <v>1</v>
      </c>
      <c r="GP110" s="29">
        <f>IF(OR($B110="",$A110&lt;60),"",--MID('Key Analysis'!$C106,60,1))</f>
        <v>1</v>
      </c>
      <c r="GQ110" s="29">
        <f>IF(OR($B110="",$A110&lt;61),"",--MID('Key Analysis'!$C106,61,1))</f>
        <v>0</v>
      </c>
      <c r="GR110" s="29">
        <f>IF(OR($B110="",$A110&lt;62),"",--MID('Key Analysis'!$C106,62,1))</f>
        <v>1</v>
      </c>
      <c r="GS110" s="29">
        <f>IF(OR($B110="",$A110&lt;63),"",--MID('Key Analysis'!$C106,63,1))</f>
        <v>1</v>
      </c>
      <c r="GT110" s="29">
        <f>IF(OR($B110="",$A110&lt;64),"",--MID('Key Analysis'!$C106,64,1))</f>
        <v>1</v>
      </c>
      <c r="GU110" s="29">
        <f>IF(OR($B110="",$A110&lt;65),"",--MID('Key Analysis'!$C106,65,1))</f>
        <v>0</v>
      </c>
      <c r="GV110" s="29">
        <f>IF(OR($B110="",$A110&lt;66),"",--MID('Key Analysis'!$C106,66,1))</f>
        <v>0</v>
      </c>
      <c r="GW110" s="29">
        <f>IF(OR($B110="",$A110&lt;67),"",--MID('Key Analysis'!$C106,67,1))</f>
        <v>1</v>
      </c>
      <c r="GX110" s="29">
        <f>IF(OR($B110="",$A110&lt;68),"",--MID('Key Analysis'!$C106,68,1))</f>
        <v>1</v>
      </c>
      <c r="GY110" s="29">
        <f>IF(OR($B110="",$A110&lt;69),"",--MID('Key Analysis'!$C106,69,1))</f>
        <v>0</v>
      </c>
      <c r="GZ110" s="29">
        <f>IF(OR($B110="",$A110&lt;70),"",--MID('Key Analysis'!$C106,70,1))</f>
        <v>0</v>
      </c>
      <c r="HA110" s="29">
        <f>IF(OR($B110="",$A110&lt;71),"",--MID('Key Analysis'!$C106,71,1))</f>
        <v>0</v>
      </c>
      <c r="HB110" s="29">
        <f>IF(OR($B110="",$A110&lt;72),"",--MID('Key Analysis'!$C106,72,1))</f>
        <v>1</v>
      </c>
      <c r="HC110" s="29">
        <f>IF(OR($B110="",$A110&lt;73),"",--MID('Key Analysis'!$C106,73,1))</f>
        <v>1</v>
      </c>
      <c r="HD110" s="29">
        <f>IF(OR($B110="",$A110&lt;74),"",--MID('Key Analysis'!$C106,74,1))</f>
        <v>1</v>
      </c>
      <c r="HE110" s="29">
        <f>IF(OR($B110="",$A110&lt;75),"",--MID('Key Analysis'!$C106,75,1))</f>
        <v>0</v>
      </c>
      <c r="HF110" s="29">
        <f>IF(OR($B110="",$A110&lt;76),"",--MID('Key Analysis'!$C106,76,1))</f>
        <v>0</v>
      </c>
      <c r="HG110" s="29">
        <f>IF(OR($B110="",$A110&lt;77),"",--MID('Key Analysis'!$C106,77,1))</f>
        <v>1</v>
      </c>
      <c r="HH110" s="29">
        <f>IF(OR($B110="",$A110&lt;78),"",--MID('Key Analysis'!$C106,78,1))</f>
        <v>0</v>
      </c>
      <c r="HI110" s="29">
        <f>IF(OR($B110="",$A110&lt;79),"",--MID('Key Analysis'!$C106,79,1))</f>
        <v>1</v>
      </c>
      <c r="HJ110" s="29">
        <f>IF(OR($B110="",$A110&lt;80),"",--MID('Key Analysis'!$C106,80,1))</f>
        <v>1</v>
      </c>
      <c r="HK110" s="29">
        <f>IF(OR($B110="",$A110&lt;81),"",--MID('Key Analysis'!$C106,81,1))</f>
        <v>0</v>
      </c>
      <c r="HL110" s="29">
        <f>IF(OR($B110="",$A110&lt;82),"",--MID('Key Analysis'!$C106,82,1))</f>
        <v>1</v>
      </c>
      <c r="HM110" s="29">
        <f>IF(OR($B110="",$A110&lt;83),"",--MID('Key Analysis'!$C106,83,1))</f>
        <v>0</v>
      </c>
      <c r="HN110" s="29">
        <f>IF(OR($B110="",$A110&lt;84),"",--MID('Key Analysis'!$C106,84,1))</f>
        <v>1</v>
      </c>
      <c r="HO110" s="29">
        <f>IF(OR($B110="",$A110&lt;85),"",--MID('Key Analysis'!$C106,85,1))</f>
        <v>1</v>
      </c>
      <c r="HP110" s="29">
        <f>IF(OR($B110="",$A110&lt;86),"",--MID('Key Analysis'!$C106,86,1))</f>
        <v>0</v>
      </c>
      <c r="HQ110" s="29">
        <f>IF(OR($B110="",$A110&lt;87),"",--MID('Key Analysis'!$C106,87,1))</f>
        <v>0</v>
      </c>
      <c r="HR110" s="29">
        <f>IF(OR($B110="",$A110&lt;88),"",--MID('Key Analysis'!$C106,88,1))</f>
        <v>1</v>
      </c>
      <c r="HS110" s="29">
        <f>IF(OR($B110="",$A110&lt;89),"",--MID('Key Analysis'!$C106,89,1))</f>
        <v>1</v>
      </c>
      <c r="HT110" s="29">
        <f>IF(OR($B110="",$A110&lt;90),"",--MID('Key Analysis'!$C106,90,1))</f>
        <v>0</v>
      </c>
      <c r="HU110" s="29">
        <f>IF(OR($B110="",$A110&lt;91),"",--MID('Key Analysis'!$C106,91,1))</f>
        <v>0</v>
      </c>
      <c r="HV110" s="29">
        <f>IF(OR($B110="",$A110&lt;92),"",--MID('Key Analysis'!$C106,92,1))</f>
        <v>1</v>
      </c>
      <c r="HW110" s="29">
        <f>IF(OR($B110="",$A110&lt;93),"",--MID('Key Analysis'!$C106,93,1))</f>
        <v>1</v>
      </c>
      <c r="HX110" s="29">
        <f>IF(OR($B110="",$A110&lt;94),"",--MID('Key Analysis'!$C106,94,1))</f>
        <v>1</v>
      </c>
      <c r="HY110" s="29">
        <f>IF(OR($B110="",$A110&lt;95),"",--MID('Key Analysis'!$C106,95,1))</f>
        <v>1</v>
      </c>
      <c r="HZ110" s="29">
        <f>IF(OR($B110="",$A110&lt;96),"",--MID('Key Analysis'!$C106,96,1))</f>
        <v>0</v>
      </c>
      <c r="IA110" s="29">
        <f>IF(OR($B110="",$A110&lt;97),"",--MID('Key Analysis'!$C106,97,1))</f>
        <v>1</v>
      </c>
      <c r="IB110" s="29">
        <f>IF(OR($B110="",$A110&lt;98),"",--MID('Key Analysis'!$C106,98,1))</f>
        <v>1</v>
      </c>
      <c r="IC110" s="29">
        <f>IF(OR($B110="",$A110&lt;99),"",--MID('Key Analysis'!$C106,99,1))</f>
        <v>1</v>
      </c>
      <c r="ID110" s="29">
        <f>IF(OR($B110="",$A110&lt;100),"",--MID('Key Analysis'!$C106,100,1))</f>
        <v>1</v>
      </c>
      <c r="IE110" s="29">
        <f>IF(OR($B110="",$A110&lt;101),"",--MID('Key Analysis'!$C106,101,1))</f>
        <v>1</v>
      </c>
      <c r="IF110" s="29">
        <f>IF(OR($B110="",$A110&lt;102),"",--MID('Key Analysis'!$C106,102,1))</f>
        <v>0</v>
      </c>
      <c r="IG110" s="29">
        <f>IF(OR($B110="",$A110&lt;103),"",--MID('Key Analysis'!$C106,103,1))</f>
        <v>0</v>
      </c>
      <c r="IH110" s="29">
        <f>IF(OR($B110="",$A110&lt;104),"",--MID('Key Analysis'!$C106,104,1))</f>
        <v>1</v>
      </c>
      <c r="II110" s="29">
        <f>IF(OR($B110="",$A110&lt;105),"",--MID('Key Analysis'!$C106,105,1))</f>
        <v>1</v>
      </c>
      <c r="IJ110" s="29" t="str">
        <f>IF(OR($B110="",$A110&lt;106),"",--MID('Key Analysis'!$C106,106,1))</f>
        <v/>
      </c>
      <c r="IK110" s="29" t="str">
        <f>IF(OR($B110="",$A110&lt;107),"",--MID('Key Analysis'!$C106,107,1))</f>
        <v/>
      </c>
      <c r="IL110" s="29" t="str">
        <f>IF(OR($B110="",$A110&lt;108),"",--MID('Key Analysis'!$C106,108,1))</f>
        <v/>
      </c>
      <c r="IM110" s="29" t="str">
        <f>IF(OR($B110="",$A110&lt;109),"",--MID('Key Analysis'!$C106,109,1))</f>
        <v/>
      </c>
      <c r="IN110" s="29" t="str">
        <f>IF(OR($B110="",$A110&lt;110),"",--MID('Key Analysis'!$C106,110,1))</f>
        <v/>
      </c>
      <c r="IO110" s="29" t="str">
        <f>IF(OR($B110="",$A110&lt;111),"",--MID('Key Analysis'!$C106,111,1))</f>
        <v/>
      </c>
      <c r="IP110" s="29" t="str">
        <f>IF(OR($B110="",$A110&lt;112),"",--MID('Key Analysis'!$C106,112,1))</f>
        <v/>
      </c>
      <c r="IQ110" s="29" t="str">
        <f>IF(OR($B110="",$A110&lt;113),"",--MID('Key Analysis'!$C106,113,1))</f>
        <v/>
      </c>
      <c r="IR110" s="29" t="str">
        <f>IF(OR($B110="",$A110&lt;114),"",--MID('Key Analysis'!$C106,114,1))</f>
        <v/>
      </c>
      <c r="IS110" s="29" t="str">
        <f>IF(OR($B110="",$A110&lt;115),"",--MID('Key Analysis'!$C106,115,1))</f>
        <v/>
      </c>
      <c r="IT110" s="29" t="str">
        <f>IF(OR($B110="",$A110&lt;116),"",--MID('Key Analysis'!$C106,116,1))</f>
        <v/>
      </c>
      <c r="IU110" s="29" t="str">
        <f>IF(OR($B110="",$A110&lt;117),"",--MID('Key Analysis'!$C106,117,1))</f>
        <v/>
      </c>
      <c r="IV110" s="29" t="str">
        <f>IF(OR($B110="",$A110&lt;118),"",--MID('Key Analysis'!$C106,118,1))</f>
        <v/>
      </c>
      <c r="IW110" s="29" t="str">
        <f>IF(OR($B110="",$A110&lt;119),"",--MID('Key Analysis'!$C106,119,1))</f>
        <v/>
      </c>
      <c r="IX110" s="29" t="str">
        <f>IF(OR($B110="",$A110&lt;120),"",--MID('Key Analysis'!$C106,120,1))</f>
        <v/>
      </c>
      <c r="IY110" s="29" t="str">
        <f>IF(OR($B110="",$A110&lt;121),"",--MID('Key Analysis'!$C106,121,1))</f>
        <v/>
      </c>
      <c r="IZ110" s="29" t="str">
        <f>IF(OR($B110="",$A110&lt;122),"",--MID('Key Analysis'!$C106,122,1))</f>
        <v/>
      </c>
      <c r="JA110" s="29" t="str">
        <f>IF(OR($B110="",$A110&lt;123),"",--MID('Key Analysis'!$C106,123,1))</f>
        <v/>
      </c>
      <c r="JB110" s="29" t="str">
        <f>IF(OR($B110="",$A110&lt;124),"",--MID('Key Analysis'!$C106,124,1))</f>
        <v/>
      </c>
      <c r="JC110" s="29" t="str">
        <f>IF(OR($B110="",$A110&lt;125),"",--MID('Key Analysis'!$C106,125,1))</f>
        <v/>
      </c>
      <c r="JD110" s="29" t="str">
        <f>IF(OR($B110="",$A110&lt;126),"",--MID('Key Analysis'!$C106,126,1))</f>
        <v/>
      </c>
      <c r="JE110" s="29" t="str">
        <f>IF(OR($B110="",$A110&lt;127),"",--MID('Key Analysis'!$C106,127,1))</f>
        <v/>
      </c>
      <c r="JF110" s="29" t="str">
        <f>IF(OR($B110="",$A110&lt;128),"",--MID('Key Analysis'!$C106,128,1))</f>
        <v/>
      </c>
      <c r="JG110" s="29" t="str">
        <f>IF(OR($B110="",$A110&lt;129),"",--MID('Key Analysis'!$C106,129,1))</f>
        <v/>
      </c>
      <c r="JH110" s="29" t="str">
        <f>IF(OR($B110="",$A110&lt;130),"",--MID('Key Analysis'!$C106,130,1))</f>
        <v/>
      </c>
      <c r="JI110" s="29" t="str">
        <f>IF(OR($B110="",$A110&lt;131),"",--MID('Key Analysis'!$C106,131,1))</f>
        <v/>
      </c>
      <c r="JJ110" s="29" t="str">
        <f>IF(OR($B110="",$A110&lt;132),"",--MID('Key Analysis'!$C106,132,1))</f>
        <v/>
      </c>
      <c r="JK110" s="29" t="str">
        <f>IF(OR($B110="",$A110&lt;133),"",--MID('Key Analysis'!$C106,133,1))</f>
        <v/>
      </c>
      <c r="JL110" s="29" t="str">
        <f>IF(OR($B110="",$A110&lt;134),"",--MID('Key Analysis'!$C106,134,1))</f>
        <v/>
      </c>
      <c r="JM110" s="29" t="str">
        <f>IF(OR($B110="",$A110&lt;135),"",--MID('Key Analysis'!$C106,135,1))</f>
        <v/>
      </c>
    </row>
    <row r="111" spans="1:273" x14ac:dyDescent="0.25">
      <c r="A111" s="21">
        <f>'Key Analysis'!A107</f>
        <v>106</v>
      </c>
      <c r="B111" s="30" t="str">
        <f>'Key Analysis'!B107</f>
        <v/>
      </c>
      <c r="C111" s="29" t="str">
        <f>IF(OR($B111="",$A111&lt;=0),"",--MID('Key Analysis'!$C107,$A111-0,1))</f>
        <v/>
      </c>
      <c r="D111" s="29" t="str">
        <f>IF(OR($B111="",$A111&lt;=1),"",--MID('Key Analysis'!$C107,$A111-1,1))</f>
        <v/>
      </c>
      <c r="E111" s="29" t="str">
        <f>IF(OR($B111="",$A111&lt;=2),"",--MID('Key Analysis'!$C107,$A111-2,1))</f>
        <v/>
      </c>
      <c r="F111" s="29" t="str">
        <f>IF(OR($B111="",$A111&lt;=3),"",--MID('Key Analysis'!$C107,$A111-3,1))</f>
        <v/>
      </c>
      <c r="G111" s="29" t="str">
        <f>IF(OR($B111="",$A111&lt;=4),"",--MID('Key Analysis'!$C107,$A111-4,1))</f>
        <v/>
      </c>
      <c r="H111" s="29" t="str">
        <f>IF(OR($B111="",$A111&lt;=5),"",--MID('Key Analysis'!$C107,$A111-5,1))</f>
        <v/>
      </c>
      <c r="I111" s="29" t="str">
        <f>IF(OR($B111="",$A111&lt;=6),"",--MID('Key Analysis'!$C107,$A111-6,1))</f>
        <v/>
      </c>
      <c r="J111" s="29" t="str">
        <f>IF(OR($B111="",$A111&lt;=7),"",--MID('Key Analysis'!$C107,$A111-7,1))</f>
        <v/>
      </c>
      <c r="K111" s="29" t="str">
        <f>IF(OR($B111="",$A111&lt;=8),"",--MID('Key Analysis'!$C107,$A111-8,1))</f>
        <v/>
      </c>
      <c r="L111" s="29" t="str">
        <f>IF(OR($B111="",$A111&lt;=9),"",--MID('Key Analysis'!$C107,$A111-9,1))</f>
        <v/>
      </c>
      <c r="M111" s="29" t="str">
        <f>IF(OR($B111="",$A111&lt;=10),"",--MID('Key Analysis'!$C107,$A111-10,1))</f>
        <v/>
      </c>
      <c r="N111" s="29" t="str">
        <f>IF(OR($B111="",$A111&lt;=11),"",--MID('Key Analysis'!$C107,$A111-11,1))</f>
        <v/>
      </c>
      <c r="O111" s="29" t="str">
        <f>IF(OR($B111="",$A111&lt;=12),"",--MID('Key Analysis'!$C107,$A111-12,1))</f>
        <v/>
      </c>
      <c r="P111" s="29" t="str">
        <f>IF(OR($B111="",$A111&lt;=13),"",--MID('Key Analysis'!$C107,$A111-13,1))</f>
        <v/>
      </c>
      <c r="Q111" s="29" t="str">
        <f>IF(OR($B111="",$A111&lt;=14),"",--MID('Key Analysis'!$C107,$A111-14,1))</f>
        <v/>
      </c>
      <c r="R111" s="29" t="str">
        <f>IF(OR($B111="",$A111&lt;=15),"",--MID('Key Analysis'!$C107,$A111-15,1))</f>
        <v/>
      </c>
      <c r="S111" s="29" t="str">
        <f>IF(OR($B111="",$A111&lt;=16),"",--MID('Key Analysis'!$C107,$A111-16,1))</f>
        <v/>
      </c>
      <c r="T111" s="29" t="str">
        <f>IF(OR($B111="",$A111&lt;=17),"",--MID('Key Analysis'!$C107,$A111-17,1))</f>
        <v/>
      </c>
      <c r="U111" s="29" t="str">
        <f>IF(OR($B111="",$A111&lt;=18),"",--MID('Key Analysis'!$C107,$A111-18,1))</f>
        <v/>
      </c>
      <c r="V111" s="29" t="str">
        <f>IF(OR($B111="",$A111&lt;=19),"",--MID('Key Analysis'!$C107,$A111-19,1))</f>
        <v/>
      </c>
      <c r="W111" s="29" t="str">
        <f>IF(OR($B111="",$A111&lt;=20),"",--MID('Key Analysis'!$C107,$A111-20,1))</f>
        <v/>
      </c>
      <c r="X111" s="29" t="str">
        <f>IF(OR($B111="",$A111&lt;=21),"",--MID('Key Analysis'!$C107,$A111-21,1))</f>
        <v/>
      </c>
      <c r="Y111" s="29" t="str">
        <f>IF(OR($B111="",$A111&lt;=22),"",--MID('Key Analysis'!$C107,$A111-22,1))</f>
        <v/>
      </c>
      <c r="Z111" s="29" t="str">
        <f>IF(OR($B111="",$A111&lt;=23),"",--MID('Key Analysis'!$C107,$A111-23,1))</f>
        <v/>
      </c>
      <c r="AA111" s="29" t="str">
        <f>IF(OR($B111="",$A111&lt;=24),"",--MID('Key Analysis'!$C107,$A111-24,1))</f>
        <v/>
      </c>
      <c r="AB111" s="29" t="str">
        <f>IF(OR($B111="",$A111&lt;=25),"",--MID('Key Analysis'!$C107,$A111-25,1))</f>
        <v/>
      </c>
      <c r="AC111" s="29" t="str">
        <f>IF(OR($B111="",$A111&lt;=26),"",--MID('Key Analysis'!$C107,$A111-26,1))</f>
        <v/>
      </c>
      <c r="AD111" s="29" t="str">
        <f>IF(OR($B111="",$A111&lt;=27),"",--MID('Key Analysis'!$C107,$A111-27,1))</f>
        <v/>
      </c>
      <c r="AE111" s="29" t="str">
        <f>IF(OR($B111="",$A111&lt;=28),"",--MID('Key Analysis'!$C107,$A111-28,1))</f>
        <v/>
      </c>
      <c r="AF111" s="29" t="str">
        <f>IF(OR($B111="",$A111&lt;=29),"",--MID('Key Analysis'!$C107,$A111-29,1))</f>
        <v/>
      </c>
      <c r="AG111" s="29" t="str">
        <f>IF(OR($B111="",$A111&lt;=30),"",--MID('Key Analysis'!$C107,$A111-30,1))</f>
        <v/>
      </c>
      <c r="AH111" s="29" t="str">
        <f>IF(OR($B111="",$A111&lt;=31),"",--MID('Key Analysis'!$C107,$A111-31,1))</f>
        <v/>
      </c>
      <c r="AI111" s="29" t="str">
        <f>IF(OR($B111="",$A111&lt;=32),"",--MID('Key Analysis'!$C107,$A111-32,1))</f>
        <v/>
      </c>
      <c r="AJ111" s="29" t="str">
        <f>IF(OR($B111="",$A111&lt;=33),"",--MID('Key Analysis'!$C107,$A111-33,1))</f>
        <v/>
      </c>
      <c r="AK111" s="29" t="str">
        <f>IF(OR($B111="",$A111&lt;=34),"",--MID('Key Analysis'!$C107,$A111-34,1))</f>
        <v/>
      </c>
      <c r="AL111" s="29" t="str">
        <f>IF(OR($B111="",$A111&lt;=35),"",--MID('Key Analysis'!$C107,$A111-35,1))</f>
        <v/>
      </c>
      <c r="AM111" s="29" t="str">
        <f>IF(OR($B111="",$A111&lt;=36),"",--MID('Key Analysis'!$C107,$A111-36,1))</f>
        <v/>
      </c>
      <c r="AN111" s="29" t="str">
        <f>IF(OR($B111="",$A111&lt;=37),"",--MID('Key Analysis'!$C107,$A111-37,1))</f>
        <v/>
      </c>
      <c r="AO111" s="29" t="str">
        <f>IF(OR($B111="",$A111&lt;=38),"",--MID('Key Analysis'!$C107,$A111-38,1))</f>
        <v/>
      </c>
      <c r="AP111" s="29" t="str">
        <f>IF(OR($B111="",$A111&lt;=39),"",--MID('Key Analysis'!$C107,$A111-39,1))</f>
        <v/>
      </c>
      <c r="AQ111" s="29" t="str">
        <f>IF(OR($B111="",$A111&lt;=40),"",--MID('Key Analysis'!$C107,$A111-40,1))</f>
        <v/>
      </c>
      <c r="AR111" s="29" t="str">
        <f>IF(OR($B111="",$A111&lt;=41),"",--MID('Key Analysis'!$C107,$A111-41,1))</f>
        <v/>
      </c>
      <c r="AS111" s="29" t="str">
        <f>IF(OR($B111="",$A111&lt;=42),"",--MID('Key Analysis'!$C107,$A111-42,1))</f>
        <v/>
      </c>
      <c r="AT111" s="29" t="str">
        <f>IF(OR($B111="",$A111&lt;=43),"",--MID('Key Analysis'!$C107,$A111-43,1))</f>
        <v/>
      </c>
      <c r="AU111" s="29" t="str">
        <f>IF(OR($B111="",$A111&lt;=44),"",--MID('Key Analysis'!$C107,$A111-44,1))</f>
        <v/>
      </c>
      <c r="AV111" s="29" t="str">
        <f>IF(OR($B111="",$A111&lt;=45),"",--MID('Key Analysis'!$C107,$A111-45,1))</f>
        <v/>
      </c>
      <c r="AW111" s="29" t="str">
        <f>IF(OR($B111="",$A111&lt;=46),"",--MID('Key Analysis'!$C107,$A111-46,1))</f>
        <v/>
      </c>
      <c r="AX111" s="29" t="str">
        <f>IF(OR($B111="",$A111&lt;=47),"",--MID('Key Analysis'!$C107,$A111-47,1))</f>
        <v/>
      </c>
      <c r="AY111" s="29" t="str">
        <f>IF(OR($B111="",$A111&lt;=48),"",--MID('Key Analysis'!$C107,$A111-48,1))</f>
        <v/>
      </c>
      <c r="AZ111" s="29" t="str">
        <f>IF(OR($B111="",$A111&lt;=49),"",--MID('Key Analysis'!$C107,$A111-49,1))</f>
        <v/>
      </c>
      <c r="BA111" s="29" t="str">
        <f>IF(OR($B111="",$A111&lt;=50),"",--MID('Key Analysis'!$C107,$A111-50,1))</f>
        <v/>
      </c>
      <c r="BB111" s="29" t="str">
        <f>IF(OR($B111="",$A111&lt;=51),"",--MID('Key Analysis'!$C107,$A111-51,1))</f>
        <v/>
      </c>
      <c r="BC111" s="29" t="str">
        <f>IF(OR($B111="",$A111&lt;=52),"",--MID('Key Analysis'!$C107,$A111-52,1))</f>
        <v/>
      </c>
      <c r="BD111" s="29" t="str">
        <f>IF(OR($B111="",$A111&lt;=53),"",--MID('Key Analysis'!$C107,$A111-53,1))</f>
        <v/>
      </c>
      <c r="BE111" s="29" t="str">
        <f>IF(OR($B111="",$A111&lt;=54),"",--MID('Key Analysis'!$C107,$A111-54,1))</f>
        <v/>
      </c>
      <c r="BF111" s="29" t="str">
        <f>IF(OR($B111="",$A111&lt;=55),"",--MID('Key Analysis'!$C107,$A111-55,1))</f>
        <v/>
      </c>
      <c r="BG111" s="29" t="str">
        <f>IF(OR($B111="",$A111&lt;=56),"",--MID('Key Analysis'!$C107,$A111-56,1))</f>
        <v/>
      </c>
      <c r="BH111" s="29" t="str">
        <f>IF(OR($B111="",$A111&lt;=57),"",--MID('Key Analysis'!$C107,$A111-57,1))</f>
        <v/>
      </c>
      <c r="BI111" s="29" t="str">
        <f>IF(OR($B111="",$A111&lt;=58),"",--MID('Key Analysis'!$C107,$A111-58,1))</f>
        <v/>
      </c>
      <c r="BJ111" s="29" t="str">
        <f>IF(OR($B111="",$A111&lt;=59),"",--MID('Key Analysis'!$C107,$A111-59,1))</f>
        <v/>
      </c>
      <c r="BK111" s="29" t="str">
        <f>IF(OR($B111="",$A111&lt;=60),"",--MID('Key Analysis'!$C107,$A111-60,1))</f>
        <v/>
      </c>
      <c r="BL111" s="29" t="str">
        <f>IF(OR($B111="",$A111&lt;=61),"",--MID('Key Analysis'!$C107,$A111-61,1))</f>
        <v/>
      </c>
      <c r="BM111" s="29" t="str">
        <f>IF(OR($B111="",$A111&lt;=62),"",--MID('Key Analysis'!$C107,$A111-62,1))</f>
        <v/>
      </c>
      <c r="BN111" s="29" t="str">
        <f>IF(OR($B111="",$A111&lt;=63),"",--MID('Key Analysis'!$C107,$A111-63,1))</f>
        <v/>
      </c>
      <c r="BO111" s="29" t="str">
        <f>IF(OR($B111="",$A111&lt;=64),"",--MID('Key Analysis'!$C107,$A111-64,1))</f>
        <v/>
      </c>
      <c r="BP111" s="29" t="str">
        <f>IF(OR($B111="",$A111&lt;=65),"",--MID('Key Analysis'!$C107,$A111-65,1))</f>
        <v/>
      </c>
      <c r="BQ111" s="29" t="str">
        <f>IF(OR($B111="",$A111&lt;=66),"",--MID('Key Analysis'!$C107,$A111-66,1))</f>
        <v/>
      </c>
      <c r="BR111" s="29" t="str">
        <f>IF(OR($B111="",$A111&lt;=67),"",--MID('Key Analysis'!$C107,$A111-67,1))</f>
        <v/>
      </c>
      <c r="BS111" s="29" t="str">
        <f>IF(OR($B111="",$A111&lt;=68),"",--MID('Key Analysis'!$C107,$A111-68,1))</f>
        <v/>
      </c>
      <c r="BT111" s="29" t="str">
        <f>IF(OR($B111="",$A111&lt;=69),"",--MID('Key Analysis'!$C107,$A111-69,1))</f>
        <v/>
      </c>
      <c r="BU111" s="29" t="str">
        <f>IF(OR($B111="",$A111&lt;=70),"",--MID('Key Analysis'!$C107,$A111-70,1))</f>
        <v/>
      </c>
      <c r="BV111" s="29" t="str">
        <f>IF(OR($B111="",$A111&lt;=71),"",--MID('Key Analysis'!$C107,$A111-71,1))</f>
        <v/>
      </c>
      <c r="BW111" s="29" t="str">
        <f>IF(OR($B111="",$A111&lt;=72),"",--MID('Key Analysis'!$C107,$A111-72,1))</f>
        <v/>
      </c>
      <c r="BX111" s="29" t="str">
        <f>IF(OR($B111="",$A111&lt;=73),"",--MID('Key Analysis'!$C107,$A111-73,1))</f>
        <v/>
      </c>
      <c r="BY111" s="29" t="str">
        <f>IF(OR($B111="",$A111&lt;=74),"",--MID('Key Analysis'!$C107,$A111-74,1))</f>
        <v/>
      </c>
      <c r="BZ111" s="29" t="str">
        <f>IF(OR($B111="",$A111&lt;=75),"",--MID('Key Analysis'!$C107,$A111-75,1))</f>
        <v/>
      </c>
      <c r="CA111" s="29" t="str">
        <f>IF(OR($B111="",$A111&lt;=76),"",--MID('Key Analysis'!$C107,$A111-76,1))</f>
        <v/>
      </c>
      <c r="CB111" s="29" t="str">
        <f>IF(OR($B111="",$A111&lt;=77),"",--MID('Key Analysis'!$C107,$A111-77,1))</f>
        <v/>
      </c>
      <c r="CC111" s="29" t="str">
        <f>IF(OR($B111="",$A111&lt;=78),"",--MID('Key Analysis'!$C107,$A111-78,1))</f>
        <v/>
      </c>
      <c r="CD111" s="29" t="str">
        <f>IF(OR($B111="",$A111&lt;=79),"",--MID('Key Analysis'!$C107,$A111-79,1))</f>
        <v/>
      </c>
      <c r="CE111" s="29" t="str">
        <f>IF(OR($B111="",$A111&lt;=80),"",--MID('Key Analysis'!$C107,$A111-80,1))</f>
        <v/>
      </c>
      <c r="CF111" s="29" t="str">
        <f>IF(OR($B111="",$A111&lt;=81),"",--MID('Key Analysis'!$C107,$A111-81,1))</f>
        <v/>
      </c>
      <c r="CG111" s="29" t="str">
        <f>IF(OR($B111="",$A111&lt;=82),"",--MID('Key Analysis'!$C107,$A111-82,1))</f>
        <v/>
      </c>
      <c r="CH111" s="29" t="str">
        <f>IF(OR($B111="",$A111&lt;=83),"",--MID('Key Analysis'!$C107,$A111-83,1))</f>
        <v/>
      </c>
      <c r="CI111" s="29" t="str">
        <f>IF(OR($B111="",$A111&lt;=84),"",--MID('Key Analysis'!$C107,$A111-84,1))</f>
        <v/>
      </c>
      <c r="CJ111" s="29" t="str">
        <f>IF(OR($B111="",$A111&lt;=85),"",--MID('Key Analysis'!$C107,$A111-85,1))</f>
        <v/>
      </c>
      <c r="CK111" s="29" t="str">
        <f>IF(OR($B111="",$A111&lt;=86),"",--MID('Key Analysis'!$C107,$A111-86,1))</f>
        <v/>
      </c>
      <c r="CL111" s="29" t="str">
        <f>IF(OR($B111="",$A111&lt;=87),"",--MID('Key Analysis'!$C107,$A111-87,1))</f>
        <v/>
      </c>
      <c r="CM111" s="29" t="str">
        <f>IF(OR($B111="",$A111&lt;=88),"",--MID('Key Analysis'!$C107,$A111-88,1))</f>
        <v/>
      </c>
      <c r="CN111" s="29" t="str">
        <f>IF(OR($B111="",$A111&lt;=89),"",--MID('Key Analysis'!$C107,$A111-89,1))</f>
        <v/>
      </c>
      <c r="CO111" s="29" t="str">
        <f>IF(OR($B111="",$A111&lt;=90),"",--MID('Key Analysis'!$C107,$A111-90,1))</f>
        <v/>
      </c>
      <c r="CP111" s="29" t="str">
        <f>IF(OR($B111="",$A111&lt;=91),"",--MID('Key Analysis'!$C107,$A111-91,1))</f>
        <v/>
      </c>
      <c r="CQ111" s="29" t="str">
        <f>IF(OR($B111="",$A111&lt;=92),"",--MID('Key Analysis'!$C107,$A111-92,1))</f>
        <v/>
      </c>
      <c r="CR111" s="29" t="str">
        <f>IF(OR($B111="",$A111&lt;=93),"",--MID('Key Analysis'!$C107,$A111-93,1))</f>
        <v/>
      </c>
      <c r="CS111" s="29" t="str">
        <f>IF(OR($B111="",$A111&lt;=94),"",--MID('Key Analysis'!$C107,$A111-94,1))</f>
        <v/>
      </c>
      <c r="CT111" s="29" t="str">
        <f>IF(OR($B111="",$A111&lt;=95),"",--MID('Key Analysis'!$C107,$A111-95,1))</f>
        <v/>
      </c>
      <c r="CU111" s="29" t="str">
        <f>IF(OR($B111="",$A111&lt;=96),"",--MID('Key Analysis'!$C107,$A111-96,1))</f>
        <v/>
      </c>
      <c r="CV111" s="29" t="str">
        <f>IF(OR($B111="",$A111&lt;=97),"",--MID('Key Analysis'!$C107,$A111-97,1))</f>
        <v/>
      </c>
      <c r="CW111" s="29" t="str">
        <f>IF(OR($B111="",$A111&lt;=98),"",--MID('Key Analysis'!$C107,$A111-98,1))</f>
        <v/>
      </c>
      <c r="CX111" s="29" t="str">
        <f>IF(OR($B111="",$A111&lt;=99),"",--MID('Key Analysis'!$C107,$A111-99,1))</f>
        <v/>
      </c>
      <c r="CY111" s="29" t="str">
        <f>IF(OR($B111="",$A111&lt;=100),"",--MID('Key Analysis'!$C107,$A111-100,1))</f>
        <v/>
      </c>
      <c r="CZ111" s="29" t="str">
        <f>IF(OR($B111="",$A111&lt;=101),"",--MID('Key Analysis'!$C107,$A111-101,1))</f>
        <v/>
      </c>
      <c r="DA111" s="29" t="str">
        <f>IF(OR($B111="",$A111&lt;=102),"",--MID('Key Analysis'!$C107,$A111-102,1))</f>
        <v/>
      </c>
      <c r="DB111" s="29" t="str">
        <f>IF(OR($B111="",$A111&lt;=103),"",--MID('Key Analysis'!$C107,$A111-103,1))</f>
        <v/>
      </c>
      <c r="DC111" s="29" t="str">
        <f>IF(OR($B111="",$A111&lt;=104),"",--MID('Key Analysis'!$C107,$A111-104,1))</f>
        <v/>
      </c>
      <c r="DD111" s="29" t="str">
        <f>IF(OR($B111="",$A111&lt;=105),"",--MID('Key Analysis'!$C107,$A111-105,1))</f>
        <v/>
      </c>
      <c r="DE111" s="29" t="str">
        <f>IF(OR($B111="",$A111&lt;=106),"",--MID('Key Analysis'!$C107,$A111-106,1))</f>
        <v/>
      </c>
      <c r="DF111" s="29" t="str">
        <f>IF(OR($B111="",$A111&lt;=107),"",--MID('Key Analysis'!$C107,$A111-107,1))</f>
        <v/>
      </c>
      <c r="DG111" s="29" t="str">
        <f>IF(OR($B111="",$A111&lt;=108),"",--MID('Key Analysis'!$C107,$A111-108,1))</f>
        <v/>
      </c>
      <c r="DH111" s="29" t="str">
        <f>IF(OR($B111="",$A111&lt;=109),"",--MID('Key Analysis'!$C107,$A111-109,1))</f>
        <v/>
      </c>
      <c r="DI111" s="29" t="str">
        <f>IF(OR($B111="",$A111&lt;=110),"",--MID('Key Analysis'!$C107,$A111-110,1))</f>
        <v/>
      </c>
      <c r="DJ111" s="29" t="str">
        <f>IF(OR($B111="",$A111&lt;=111),"",--MID('Key Analysis'!$C107,$A111-111,1))</f>
        <v/>
      </c>
      <c r="DK111" s="29" t="str">
        <f>IF(OR($B111="",$A111&lt;=112),"",--MID('Key Analysis'!$C107,$A111-112,1))</f>
        <v/>
      </c>
      <c r="DL111" s="29" t="str">
        <f>IF(OR($B111="",$A111&lt;=113),"",--MID('Key Analysis'!$C107,$A111-113,1))</f>
        <v/>
      </c>
      <c r="DM111" s="29" t="str">
        <f>IF(OR($B111="",$A111&lt;=114),"",--MID('Key Analysis'!$C107,$A111-114,1))</f>
        <v/>
      </c>
      <c r="DN111" s="29" t="str">
        <f>IF(OR($B111="",$A111&lt;=115),"",--MID('Key Analysis'!$C107,$A111-115,1))</f>
        <v/>
      </c>
      <c r="DO111" s="29" t="str">
        <f>IF(OR($B111="",$A111&lt;=116),"",--MID('Key Analysis'!$C107,$A111-116,1))</f>
        <v/>
      </c>
      <c r="DP111" s="29" t="str">
        <f>IF(OR($B111="",$A111&lt;=117),"",--MID('Key Analysis'!$C107,$A111-117,1))</f>
        <v/>
      </c>
      <c r="DQ111" s="29" t="str">
        <f>IF(OR($B111="",$A111&lt;=118),"",--MID('Key Analysis'!$C107,$A111-118,1))</f>
        <v/>
      </c>
      <c r="DR111" s="29" t="str">
        <f>IF(OR($B111="",$A111&lt;=119),"",--MID('Key Analysis'!$C107,$A111-119,1))</f>
        <v/>
      </c>
      <c r="DS111" s="29" t="str">
        <f>IF(OR($B111="",$A111&lt;=120),"",--MID('Key Analysis'!$C107,$A111-120,1))</f>
        <v/>
      </c>
      <c r="DT111" s="29" t="str">
        <f>IF(OR($B111="",$A111&lt;=121),"",--MID('Key Analysis'!$C107,$A111-121,1))</f>
        <v/>
      </c>
      <c r="DU111" s="29" t="str">
        <f>IF(OR($B111="",$A111&lt;=122),"",--MID('Key Analysis'!$C107,$A111-122,1))</f>
        <v/>
      </c>
      <c r="DV111" s="29" t="str">
        <f>IF(OR($B111="",$A111&lt;=123),"",--MID('Key Analysis'!$C107,$A111-123,1))</f>
        <v/>
      </c>
      <c r="DW111" s="29" t="str">
        <f>IF(OR($B111="",$A111&lt;=124),"",--MID('Key Analysis'!$C107,$A111-124,1))</f>
        <v/>
      </c>
      <c r="DX111" s="29" t="str">
        <f>IF(OR($B111="",$A111&lt;=125),"",--MID('Key Analysis'!$C107,$A111-125,1))</f>
        <v/>
      </c>
      <c r="DY111" s="29" t="str">
        <f>IF(OR($B111="",$A111&lt;=126),"",--MID('Key Analysis'!$C107,$A111-126,1))</f>
        <v/>
      </c>
      <c r="DZ111" s="29" t="str">
        <f>IF(OR($B111="",$A111&lt;=127),"",--MID('Key Analysis'!$C107,$A111-127,1))</f>
        <v/>
      </c>
      <c r="EA111" s="29" t="str">
        <f>IF(OR($B111="",$A111&lt;=128),"",--MID('Key Analysis'!$C107,$A111-128,1))</f>
        <v/>
      </c>
      <c r="EB111" s="29" t="str">
        <f>IF(OR($B111="",$A111&lt;=129),"",--MID('Key Analysis'!$C107,$A111-129,1))</f>
        <v/>
      </c>
      <c r="EC111" s="29" t="str">
        <f>IF(OR($B111="",$A111&lt;=130),"",--MID('Key Analysis'!$C107,$A111-130,1))</f>
        <v/>
      </c>
      <c r="ED111" s="29" t="str">
        <f>IF(OR($B111="",$A111&lt;=131),"",--MID('Key Analysis'!$C107,$A111-131,1))</f>
        <v/>
      </c>
      <c r="EE111" s="29" t="str">
        <f>IF(OR($B111="",$A111&lt;=132),"",--MID('Key Analysis'!$C107,$A111-132,1))</f>
        <v/>
      </c>
      <c r="EF111" s="29" t="str">
        <f>IF(OR($B111="",$A111&lt;=133),"",--MID('Key Analysis'!$C107,$A111-133,1))</f>
        <v/>
      </c>
      <c r="EG111" s="29" t="str">
        <f>IF(OR($B111="",$A111&lt;=134),"",--MID('Key Analysis'!$C107,$A111-134,1))</f>
        <v/>
      </c>
      <c r="EH111" s="29"/>
      <c r="EI111" s="29" t="str">
        <f>IF(OR($B111="",$A111&lt;1),"",--MID('Key Analysis'!$C107,1,1))</f>
        <v/>
      </c>
      <c r="EJ111" s="29" t="str">
        <f>IF(OR($B111="",$A111&lt;2),"",--MID('Key Analysis'!$C107,2,1))</f>
        <v/>
      </c>
      <c r="EK111" s="29" t="str">
        <f>IF(OR($B111="",$A111&lt;3),"",--MID('Key Analysis'!$C107,3,1))</f>
        <v/>
      </c>
      <c r="EL111" s="29" t="str">
        <f>IF(OR($B111="",$A111&lt;4),"",--MID('Key Analysis'!$C107,4,1))</f>
        <v/>
      </c>
      <c r="EM111" s="29" t="str">
        <f>IF(OR($B111="",$A111&lt;5),"",--MID('Key Analysis'!$C107,5,1))</f>
        <v/>
      </c>
      <c r="EN111" s="29" t="str">
        <f>IF(OR($B111="",$A111&lt;6),"",--MID('Key Analysis'!$C107,6,1))</f>
        <v/>
      </c>
      <c r="EO111" s="29" t="str">
        <f>IF(OR($B111="",$A111&lt;7),"",--MID('Key Analysis'!$C107,7,1))</f>
        <v/>
      </c>
      <c r="EP111" s="29" t="str">
        <f>IF(OR($B111="",$A111&lt;8),"",--MID('Key Analysis'!$C107,8,1))</f>
        <v/>
      </c>
      <c r="EQ111" s="29" t="str">
        <f>IF(OR($B111="",$A111&lt;9),"",--MID('Key Analysis'!$C107,9,1))</f>
        <v/>
      </c>
      <c r="ER111" s="29" t="str">
        <f>IF(OR($B111="",$A111&lt;10),"",--MID('Key Analysis'!$C107,10,1))</f>
        <v/>
      </c>
      <c r="ES111" s="29" t="str">
        <f>IF(OR($B111="",$A111&lt;11),"",--MID('Key Analysis'!$C107,11,1))</f>
        <v/>
      </c>
      <c r="ET111" s="29" t="str">
        <f>IF(OR($B111="",$A111&lt;12),"",--MID('Key Analysis'!$C107,12,1))</f>
        <v/>
      </c>
      <c r="EU111" s="29" t="str">
        <f>IF(OR($B111="",$A111&lt;13),"",--MID('Key Analysis'!$C107,13,1))</f>
        <v/>
      </c>
      <c r="EV111" s="29" t="str">
        <f>IF(OR($B111="",$A111&lt;14),"",--MID('Key Analysis'!$C107,14,1))</f>
        <v/>
      </c>
      <c r="EW111" s="29" t="str">
        <f>IF(OR($B111="",$A111&lt;15),"",--MID('Key Analysis'!$C107,15,1))</f>
        <v/>
      </c>
      <c r="EX111" s="29" t="str">
        <f>IF(OR($B111="",$A111&lt;16),"",--MID('Key Analysis'!$C107,16,1))</f>
        <v/>
      </c>
      <c r="EY111" s="29" t="str">
        <f>IF(OR($B111="",$A111&lt;17),"",--MID('Key Analysis'!$C107,17,1))</f>
        <v/>
      </c>
      <c r="EZ111" s="29" t="str">
        <f>IF(OR($B111="",$A111&lt;18),"",--MID('Key Analysis'!$C107,18,1))</f>
        <v/>
      </c>
      <c r="FA111" s="29" t="str">
        <f>IF(OR($B111="",$A111&lt;19),"",--MID('Key Analysis'!$C107,19,1))</f>
        <v/>
      </c>
      <c r="FB111" s="29" t="str">
        <f>IF(OR($B111="",$A111&lt;20),"",--MID('Key Analysis'!$C107,20,1))</f>
        <v/>
      </c>
      <c r="FC111" s="29" t="str">
        <f>IF(OR($B111="",$A111&lt;21),"",--MID('Key Analysis'!$C107,21,1))</f>
        <v/>
      </c>
      <c r="FD111" s="29" t="str">
        <f>IF(OR($B111="",$A111&lt;22),"",--MID('Key Analysis'!$C107,22,1))</f>
        <v/>
      </c>
      <c r="FE111" s="29" t="str">
        <f>IF(OR($B111="",$A111&lt;23),"",--MID('Key Analysis'!$C107,23,1))</f>
        <v/>
      </c>
      <c r="FF111" s="29" t="str">
        <f>IF(OR($B111="",$A111&lt;24),"",--MID('Key Analysis'!$C107,24,1))</f>
        <v/>
      </c>
      <c r="FG111" s="29" t="str">
        <f>IF(OR($B111="",$A111&lt;25),"",--MID('Key Analysis'!$C107,25,1))</f>
        <v/>
      </c>
      <c r="FH111" s="29" t="str">
        <f>IF(OR($B111="",$A111&lt;26),"",--MID('Key Analysis'!$C107,26,1))</f>
        <v/>
      </c>
      <c r="FI111" s="29" t="str">
        <f>IF(OR($B111="",$A111&lt;27),"",--MID('Key Analysis'!$C107,27,1))</f>
        <v/>
      </c>
      <c r="FJ111" s="29" t="str">
        <f>IF(OR($B111="",$A111&lt;28),"",--MID('Key Analysis'!$C107,28,1))</f>
        <v/>
      </c>
      <c r="FK111" s="29" t="str">
        <f>IF(OR($B111="",$A111&lt;29),"",--MID('Key Analysis'!$C107,29,1))</f>
        <v/>
      </c>
      <c r="FL111" s="29" t="str">
        <f>IF(OR($B111="",$A111&lt;30),"",--MID('Key Analysis'!$C107,30,1))</f>
        <v/>
      </c>
      <c r="FM111" s="29" t="str">
        <f>IF(OR($B111="",$A111&lt;31),"",--MID('Key Analysis'!$C107,31,1))</f>
        <v/>
      </c>
      <c r="FN111" s="29" t="str">
        <f>IF(OR($B111="",$A111&lt;32),"",--MID('Key Analysis'!$C107,32,1))</f>
        <v/>
      </c>
      <c r="FO111" s="29" t="str">
        <f>IF(OR($B111="",$A111&lt;33),"",--MID('Key Analysis'!$C107,33,1))</f>
        <v/>
      </c>
      <c r="FP111" s="29" t="str">
        <f>IF(OR($B111="",$A111&lt;34),"",--MID('Key Analysis'!$C107,34,1))</f>
        <v/>
      </c>
      <c r="FQ111" s="29" t="str">
        <f>IF(OR($B111="",$A111&lt;35),"",--MID('Key Analysis'!$C107,35,1))</f>
        <v/>
      </c>
      <c r="FR111" s="29" t="str">
        <f>IF(OR($B111="",$A111&lt;36),"",--MID('Key Analysis'!$C107,36,1))</f>
        <v/>
      </c>
      <c r="FS111" s="29" t="str">
        <f>IF(OR($B111="",$A111&lt;37),"",--MID('Key Analysis'!$C107,37,1))</f>
        <v/>
      </c>
      <c r="FT111" s="29" t="str">
        <f>IF(OR($B111="",$A111&lt;38),"",--MID('Key Analysis'!$C107,38,1))</f>
        <v/>
      </c>
      <c r="FU111" s="29" t="str">
        <f>IF(OR($B111="",$A111&lt;39),"",--MID('Key Analysis'!$C107,39,1))</f>
        <v/>
      </c>
      <c r="FV111" s="29" t="str">
        <f>IF(OR($B111="",$A111&lt;40),"",--MID('Key Analysis'!$C107,40,1))</f>
        <v/>
      </c>
      <c r="FW111" s="29" t="str">
        <f>IF(OR($B111="",$A111&lt;41),"",--MID('Key Analysis'!$C107,41,1))</f>
        <v/>
      </c>
      <c r="FX111" s="29" t="str">
        <f>IF(OR($B111="",$A111&lt;42),"",--MID('Key Analysis'!$C107,42,1))</f>
        <v/>
      </c>
      <c r="FY111" s="29" t="str">
        <f>IF(OR($B111="",$A111&lt;43),"",--MID('Key Analysis'!$C107,43,1))</f>
        <v/>
      </c>
      <c r="FZ111" s="29" t="str">
        <f>IF(OR($B111="",$A111&lt;44),"",--MID('Key Analysis'!$C107,44,1))</f>
        <v/>
      </c>
      <c r="GA111" s="29" t="str">
        <f>IF(OR($B111="",$A111&lt;45),"",--MID('Key Analysis'!$C107,45,1))</f>
        <v/>
      </c>
      <c r="GB111" s="29" t="str">
        <f>IF(OR($B111="",$A111&lt;46),"",--MID('Key Analysis'!$C107,46,1))</f>
        <v/>
      </c>
      <c r="GC111" s="29" t="str">
        <f>IF(OR($B111="",$A111&lt;47),"",--MID('Key Analysis'!$C107,47,1))</f>
        <v/>
      </c>
      <c r="GD111" s="29" t="str">
        <f>IF(OR($B111="",$A111&lt;48),"",--MID('Key Analysis'!$C107,48,1))</f>
        <v/>
      </c>
      <c r="GE111" s="29" t="str">
        <f>IF(OR($B111="",$A111&lt;49),"",--MID('Key Analysis'!$C107,49,1))</f>
        <v/>
      </c>
      <c r="GF111" s="29" t="str">
        <f>IF(OR($B111="",$A111&lt;50),"",--MID('Key Analysis'!$C107,50,1))</f>
        <v/>
      </c>
      <c r="GG111" s="29" t="str">
        <f>IF(OR($B111="",$A111&lt;51),"",--MID('Key Analysis'!$C107,51,1))</f>
        <v/>
      </c>
      <c r="GH111" s="29" t="str">
        <f>IF(OR($B111="",$A111&lt;52),"",--MID('Key Analysis'!$C107,52,1))</f>
        <v/>
      </c>
      <c r="GI111" s="29" t="str">
        <f>IF(OR($B111="",$A111&lt;53),"",--MID('Key Analysis'!$C107,53,1))</f>
        <v/>
      </c>
      <c r="GJ111" s="29" t="str">
        <f>IF(OR($B111="",$A111&lt;54),"",--MID('Key Analysis'!$C107,54,1))</f>
        <v/>
      </c>
      <c r="GK111" s="29" t="str">
        <f>IF(OR($B111="",$A111&lt;55),"",--MID('Key Analysis'!$C107,55,1))</f>
        <v/>
      </c>
      <c r="GL111" s="29" t="str">
        <f>IF(OR($B111="",$A111&lt;56),"",--MID('Key Analysis'!$C107,56,1))</f>
        <v/>
      </c>
      <c r="GM111" s="29" t="str">
        <f>IF(OR($B111="",$A111&lt;57),"",--MID('Key Analysis'!$C107,57,1))</f>
        <v/>
      </c>
      <c r="GN111" s="29" t="str">
        <f>IF(OR($B111="",$A111&lt;58),"",--MID('Key Analysis'!$C107,58,1))</f>
        <v/>
      </c>
      <c r="GO111" s="29" t="str">
        <f>IF(OR($B111="",$A111&lt;59),"",--MID('Key Analysis'!$C107,59,1))</f>
        <v/>
      </c>
      <c r="GP111" s="29" t="str">
        <f>IF(OR($B111="",$A111&lt;60),"",--MID('Key Analysis'!$C107,60,1))</f>
        <v/>
      </c>
      <c r="GQ111" s="29" t="str">
        <f>IF(OR($B111="",$A111&lt;61),"",--MID('Key Analysis'!$C107,61,1))</f>
        <v/>
      </c>
      <c r="GR111" s="29" t="str">
        <f>IF(OR($B111="",$A111&lt;62),"",--MID('Key Analysis'!$C107,62,1))</f>
        <v/>
      </c>
      <c r="GS111" s="29" t="str">
        <f>IF(OR($B111="",$A111&lt;63),"",--MID('Key Analysis'!$C107,63,1))</f>
        <v/>
      </c>
      <c r="GT111" s="29" t="str">
        <f>IF(OR($B111="",$A111&lt;64),"",--MID('Key Analysis'!$C107,64,1))</f>
        <v/>
      </c>
      <c r="GU111" s="29" t="str">
        <f>IF(OR($B111="",$A111&lt;65),"",--MID('Key Analysis'!$C107,65,1))</f>
        <v/>
      </c>
      <c r="GV111" s="29" t="str">
        <f>IF(OR($B111="",$A111&lt;66),"",--MID('Key Analysis'!$C107,66,1))</f>
        <v/>
      </c>
      <c r="GW111" s="29" t="str">
        <f>IF(OR($B111="",$A111&lt;67),"",--MID('Key Analysis'!$C107,67,1))</f>
        <v/>
      </c>
      <c r="GX111" s="29" t="str">
        <f>IF(OR($B111="",$A111&lt;68),"",--MID('Key Analysis'!$C107,68,1))</f>
        <v/>
      </c>
      <c r="GY111" s="29" t="str">
        <f>IF(OR($B111="",$A111&lt;69),"",--MID('Key Analysis'!$C107,69,1))</f>
        <v/>
      </c>
      <c r="GZ111" s="29" t="str">
        <f>IF(OR($B111="",$A111&lt;70),"",--MID('Key Analysis'!$C107,70,1))</f>
        <v/>
      </c>
      <c r="HA111" s="29" t="str">
        <f>IF(OR($B111="",$A111&lt;71),"",--MID('Key Analysis'!$C107,71,1))</f>
        <v/>
      </c>
      <c r="HB111" s="29" t="str">
        <f>IF(OR($B111="",$A111&lt;72),"",--MID('Key Analysis'!$C107,72,1))</f>
        <v/>
      </c>
      <c r="HC111" s="29" t="str">
        <f>IF(OR($B111="",$A111&lt;73),"",--MID('Key Analysis'!$C107,73,1))</f>
        <v/>
      </c>
      <c r="HD111" s="29" t="str">
        <f>IF(OR($B111="",$A111&lt;74),"",--MID('Key Analysis'!$C107,74,1))</f>
        <v/>
      </c>
      <c r="HE111" s="29" t="str">
        <f>IF(OR($B111="",$A111&lt;75),"",--MID('Key Analysis'!$C107,75,1))</f>
        <v/>
      </c>
      <c r="HF111" s="29" t="str">
        <f>IF(OR($B111="",$A111&lt;76),"",--MID('Key Analysis'!$C107,76,1))</f>
        <v/>
      </c>
      <c r="HG111" s="29" t="str">
        <f>IF(OR($B111="",$A111&lt;77),"",--MID('Key Analysis'!$C107,77,1))</f>
        <v/>
      </c>
      <c r="HH111" s="29" t="str">
        <f>IF(OR($B111="",$A111&lt;78),"",--MID('Key Analysis'!$C107,78,1))</f>
        <v/>
      </c>
      <c r="HI111" s="29" t="str">
        <f>IF(OR($B111="",$A111&lt;79),"",--MID('Key Analysis'!$C107,79,1))</f>
        <v/>
      </c>
      <c r="HJ111" s="29" t="str">
        <f>IF(OR($B111="",$A111&lt;80),"",--MID('Key Analysis'!$C107,80,1))</f>
        <v/>
      </c>
      <c r="HK111" s="29" t="str">
        <f>IF(OR($B111="",$A111&lt;81),"",--MID('Key Analysis'!$C107,81,1))</f>
        <v/>
      </c>
      <c r="HL111" s="29" t="str">
        <f>IF(OR($B111="",$A111&lt;82),"",--MID('Key Analysis'!$C107,82,1))</f>
        <v/>
      </c>
      <c r="HM111" s="29" t="str">
        <f>IF(OR($B111="",$A111&lt;83),"",--MID('Key Analysis'!$C107,83,1))</f>
        <v/>
      </c>
      <c r="HN111" s="29" t="str">
        <f>IF(OR($B111="",$A111&lt;84),"",--MID('Key Analysis'!$C107,84,1))</f>
        <v/>
      </c>
      <c r="HO111" s="29" t="str">
        <f>IF(OR($B111="",$A111&lt;85),"",--MID('Key Analysis'!$C107,85,1))</f>
        <v/>
      </c>
      <c r="HP111" s="29" t="str">
        <f>IF(OR($B111="",$A111&lt;86),"",--MID('Key Analysis'!$C107,86,1))</f>
        <v/>
      </c>
      <c r="HQ111" s="29" t="str">
        <f>IF(OR($B111="",$A111&lt;87),"",--MID('Key Analysis'!$C107,87,1))</f>
        <v/>
      </c>
      <c r="HR111" s="29" t="str">
        <f>IF(OR($B111="",$A111&lt;88),"",--MID('Key Analysis'!$C107,88,1))</f>
        <v/>
      </c>
      <c r="HS111" s="29" t="str">
        <f>IF(OR($B111="",$A111&lt;89),"",--MID('Key Analysis'!$C107,89,1))</f>
        <v/>
      </c>
      <c r="HT111" s="29" t="str">
        <f>IF(OR($B111="",$A111&lt;90),"",--MID('Key Analysis'!$C107,90,1))</f>
        <v/>
      </c>
      <c r="HU111" s="29" t="str">
        <f>IF(OR($B111="",$A111&lt;91),"",--MID('Key Analysis'!$C107,91,1))</f>
        <v/>
      </c>
      <c r="HV111" s="29" t="str">
        <f>IF(OR($B111="",$A111&lt;92),"",--MID('Key Analysis'!$C107,92,1))</f>
        <v/>
      </c>
      <c r="HW111" s="29" t="str">
        <f>IF(OR($B111="",$A111&lt;93),"",--MID('Key Analysis'!$C107,93,1))</f>
        <v/>
      </c>
      <c r="HX111" s="29" t="str">
        <f>IF(OR($B111="",$A111&lt;94),"",--MID('Key Analysis'!$C107,94,1))</f>
        <v/>
      </c>
      <c r="HY111" s="29" t="str">
        <f>IF(OR($B111="",$A111&lt;95),"",--MID('Key Analysis'!$C107,95,1))</f>
        <v/>
      </c>
      <c r="HZ111" s="29" t="str">
        <f>IF(OR($B111="",$A111&lt;96),"",--MID('Key Analysis'!$C107,96,1))</f>
        <v/>
      </c>
      <c r="IA111" s="29" t="str">
        <f>IF(OR($B111="",$A111&lt;97),"",--MID('Key Analysis'!$C107,97,1))</f>
        <v/>
      </c>
      <c r="IB111" s="29" t="str">
        <f>IF(OR($B111="",$A111&lt;98),"",--MID('Key Analysis'!$C107,98,1))</f>
        <v/>
      </c>
      <c r="IC111" s="29" t="str">
        <f>IF(OR($B111="",$A111&lt;99),"",--MID('Key Analysis'!$C107,99,1))</f>
        <v/>
      </c>
      <c r="ID111" s="29" t="str">
        <f>IF(OR($B111="",$A111&lt;100),"",--MID('Key Analysis'!$C107,100,1))</f>
        <v/>
      </c>
      <c r="IE111" s="29" t="str">
        <f>IF(OR($B111="",$A111&lt;101),"",--MID('Key Analysis'!$C107,101,1))</f>
        <v/>
      </c>
      <c r="IF111" s="29" t="str">
        <f>IF(OR($B111="",$A111&lt;102),"",--MID('Key Analysis'!$C107,102,1))</f>
        <v/>
      </c>
      <c r="IG111" s="29" t="str">
        <f>IF(OR($B111="",$A111&lt;103),"",--MID('Key Analysis'!$C107,103,1))</f>
        <v/>
      </c>
      <c r="IH111" s="29" t="str">
        <f>IF(OR($B111="",$A111&lt;104),"",--MID('Key Analysis'!$C107,104,1))</f>
        <v/>
      </c>
      <c r="II111" s="29" t="str">
        <f>IF(OR($B111="",$A111&lt;105),"",--MID('Key Analysis'!$C107,105,1))</f>
        <v/>
      </c>
      <c r="IJ111" s="29" t="str">
        <f>IF(OR($B111="",$A111&lt;106),"",--MID('Key Analysis'!$C107,106,1))</f>
        <v/>
      </c>
      <c r="IK111" s="29" t="str">
        <f>IF(OR($B111="",$A111&lt;107),"",--MID('Key Analysis'!$C107,107,1))</f>
        <v/>
      </c>
      <c r="IL111" s="29" t="str">
        <f>IF(OR($B111="",$A111&lt;108),"",--MID('Key Analysis'!$C107,108,1))</f>
        <v/>
      </c>
      <c r="IM111" s="29" t="str">
        <f>IF(OR($B111="",$A111&lt;109),"",--MID('Key Analysis'!$C107,109,1))</f>
        <v/>
      </c>
      <c r="IN111" s="29" t="str">
        <f>IF(OR($B111="",$A111&lt;110),"",--MID('Key Analysis'!$C107,110,1))</f>
        <v/>
      </c>
      <c r="IO111" s="29" t="str">
        <f>IF(OR($B111="",$A111&lt;111),"",--MID('Key Analysis'!$C107,111,1))</f>
        <v/>
      </c>
      <c r="IP111" s="29" t="str">
        <f>IF(OR($B111="",$A111&lt;112),"",--MID('Key Analysis'!$C107,112,1))</f>
        <v/>
      </c>
      <c r="IQ111" s="29" t="str">
        <f>IF(OR($B111="",$A111&lt;113),"",--MID('Key Analysis'!$C107,113,1))</f>
        <v/>
      </c>
      <c r="IR111" s="29" t="str">
        <f>IF(OR($B111="",$A111&lt;114),"",--MID('Key Analysis'!$C107,114,1))</f>
        <v/>
      </c>
      <c r="IS111" s="29" t="str">
        <f>IF(OR($B111="",$A111&lt;115),"",--MID('Key Analysis'!$C107,115,1))</f>
        <v/>
      </c>
      <c r="IT111" s="29" t="str">
        <f>IF(OR($B111="",$A111&lt;116),"",--MID('Key Analysis'!$C107,116,1))</f>
        <v/>
      </c>
      <c r="IU111" s="29" t="str">
        <f>IF(OR($B111="",$A111&lt;117),"",--MID('Key Analysis'!$C107,117,1))</f>
        <v/>
      </c>
      <c r="IV111" s="29" t="str">
        <f>IF(OR($B111="",$A111&lt;118),"",--MID('Key Analysis'!$C107,118,1))</f>
        <v/>
      </c>
      <c r="IW111" s="29" t="str">
        <f>IF(OR($B111="",$A111&lt;119),"",--MID('Key Analysis'!$C107,119,1))</f>
        <v/>
      </c>
      <c r="IX111" s="29" t="str">
        <f>IF(OR($B111="",$A111&lt;120),"",--MID('Key Analysis'!$C107,120,1))</f>
        <v/>
      </c>
      <c r="IY111" s="29" t="str">
        <f>IF(OR($B111="",$A111&lt;121),"",--MID('Key Analysis'!$C107,121,1))</f>
        <v/>
      </c>
      <c r="IZ111" s="29" t="str">
        <f>IF(OR($B111="",$A111&lt;122),"",--MID('Key Analysis'!$C107,122,1))</f>
        <v/>
      </c>
      <c r="JA111" s="29" t="str">
        <f>IF(OR($B111="",$A111&lt;123),"",--MID('Key Analysis'!$C107,123,1))</f>
        <v/>
      </c>
      <c r="JB111" s="29" t="str">
        <f>IF(OR($B111="",$A111&lt;124),"",--MID('Key Analysis'!$C107,124,1))</f>
        <v/>
      </c>
      <c r="JC111" s="29" t="str">
        <f>IF(OR($B111="",$A111&lt;125),"",--MID('Key Analysis'!$C107,125,1))</f>
        <v/>
      </c>
      <c r="JD111" s="29" t="str">
        <f>IF(OR($B111="",$A111&lt;126),"",--MID('Key Analysis'!$C107,126,1))</f>
        <v/>
      </c>
      <c r="JE111" s="29" t="str">
        <f>IF(OR($B111="",$A111&lt;127),"",--MID('Key Analysis'!$C107,127,1))</f>
        <v/>
      </c>
      <c r="JF111" s="29" t="str">
        <f>IF(OR($B111="",$A111&lt;128),"",--MID('Key Analysis'!$C107,128,1))</f>
        <v/>
      </c>
      <c r="JG111" s="29" t="str">
        <f>IF(OR($B111="",$A111&lt;129),"",--MID('Key Analysis'!$C107,129,1))</f>
        <v/>
      </c>
      <c r="JH111" s="29" t="str">
        <f>IF(OR($B111="",$A111&lt;130),"",--MID('Key Analysis'!$C107,130,1))</f>
        <v/>
      </c>
      <c r="JI111" s="29" t="str">
        <f>IF(OR($B111="",$A111&lt;131),"",--MID('Key Analysis'!$C107,131,1))</f>
        <v/>
      </c>
      <c r="JJ111" s="29" t="str">
        <f>IF(OR($B111="",$A111&lt;132),"",--MID('Key Analysis'!$C107,132,1))</f>
        <v/>
      </c>
      <c r="JK111" s="29" t="str">
        <f>IF(OR($B111="",$A111&lt;133),"",--MID('Key Analysis'!$C107,133,1))</f>
        <v/>
      </c>
      <c r="JL111" s="29" t="str">
        <f>IF(OR($B111="",$A111&lt;134),"",--MID('Key Analysis'!$C107,134,1))</f>
        <v/>
      </c>
      <c r="JM111" s="29" t="str">
        <f>IF(OR($B111="",$A111&lt;135),"",--MID('Key Analysis'!$C107,135,1))</f>
        <v/>
      </c>
    </row>
    <row r="112" spans="1:273" x14ac:dyDescent="0.25">
      <c r="A112" s="21">
        <f>'Key Analysis'!A108</f>
        <v>107</v>
      </c>
      <c r="B112" s="30" t="str">
        <f>'Key Analysis'!B108</f>
        <v/>
      </c>
      <c r="C112" s="29" t="str">
        <f>IF(OR($B112="",$A112&lt;=0),"",--MID('Key Analysis'!$C108,$A112-0,1))</f>
        <v/>
      </c>
      <c r="D112" s="29" t="str">
        <f>IF(OR($B112="",$A112&lt;=1),"",--MID('Key Analysis'!$C108,$A112-1,1))</f>
        <v/>
      </c>
      <c r="E112" s="29" t="str">
        <f>IF(OR($B112="",$A112&lt;=2),"",--MID('Key Analysis'!$C108,$A112-2,1))</f>
        <v/>
      </c>
      <c r="F112" s="29" t="str">
        <f>IF(OR($B112="",$A112&lt;=3),"",--MID('Key Analysis'!$C108,$A112-3,1))</f>
        <v/>
      </c>
      <c r="G112" s="29" t="str">
        <f>IF(OR($B112="",$A112&lt;=4),"",--MID('Key Analysis'!$C108,$A112-4,1))</f>
        <v/>
      </c>
      <c r="H112" s="29" t="str">
        <f>IF(OR($B112="",$A112&lt;=5),"",--MID('Key Analysis'!$C108,$A112-5,1))</f>
        <v/>
      </c>
      <c r="I112" s="29" t="str">
        <f>IF(OR($B112="",$A112&lt;=6),"",--MID('Key Analysis'!$C108,$A112-6,1))</f>
        <v/>
      </c>
      <c r="J112" s="29" t="str">
        <f>IF(OR($B112="",$A112&lt;=7),"",--MID('Key Analysis'!$C108,$A112-7,1))</f>
        <v/>
      </c>
      <c r="K112" s="29" t="str">
        <f>IF(OR($B112="",$A112&lt;=8),"",--MID('Key Analysis'!$C108,$A112-8,1))</f>
        <v/>
      </c>
      <c r="L112" s="29" t="str">
        <f>IF(OR($B112="",$A112&lt;=9),"",--MID('Key Analysis'!$C108,$A112-9,1))</f>
        <v/>
      </c>
      <c r="M112" s="29" t="str">
        <f>IF(OR($B112="",$A112&lt;=10),"",--MID('Key Analysis'!$C108,$A112-10,1))</f>
        <v/>
      </c>
      <c r="N112" s="29" t="str">
        <f>IF(OR($B112="",$A112&lt;=11),"",--MID('Key Analysis'!$C108,$A112-11,1))</f>
        <v/>
      </c>
      <c r="O112" s="29" t="str">
        <f>IF(OR($B112="",$A112&lt;=12),"",--MID('Key Analysis'!$C108,$A112-12,1))</f>
        <v/>
      </c>
      <c r="P112" s="29" t="str">
        <f>IF(OR($B112="",$A112&lt;=13),"",--MID('Key Analysis'!$C108,$A112-13,1))</f>
        <v/>
      </c>
      <c r="Q112" s="29" t="str">
        <f>IF(OR($B112="",$A112&lt;=14),"",--MID('Key Analysis'!$C108,$A112-14,1))</f>
        <v/>
      </c>
      <c r="R112" s="29" t="str">
        <f>IF(OR($B112="",$A112&lt;=15),"",--MID('Key Analysis'!$C108,$A112-15,1))</f>
        <v/>
      </c>
      <c r="S112" s="29" t="str">
        <f>IF(OR($B112="",$A112&lt;=16),"",--MID('Key Analysis'!$C108,$A112-16,1))</f>
        <v/>
      </c>
      <c r="T112" s="29" t="str">
        <f>IF(OR($B112="",$A112&lt;=17),"",--MID('Key Analysis'!$C108,$A112-17,1))</f>
        <v/>
      </c>
      <c r="U112" s="29" t="str">
        <f>IF(OR($B112="",$A112&lt;=18),"",--MID('Key Analysis'!$C108,$A112-18,1))</f>
        <v/>
      </c>
      <c r="V112" s="29" t="str">
        <f>IF(OR($B112="",$A112&lt;=19),"",--MID('Key Analysis'!$C108,$A112-19,1))</f>
        <v/>
      </c>
      <c r="W112" s="29" t="str">
        <f>IF(OR($B112="",$A112&lt;=20),"",--MID('Key Analysis'!$C108,$A112-20,1))</f>
        <v/>
      </c>
      <c r="X112" s="29" t="str">
        <f>IF(OR($B112="",$A112&lt;=21),"",--MID('Key Analysis'!$C108,$A112-21,1))</f>
        <v/>
      </c>
      <c r="Y112" s="29" t="str">
        <f>IF(OR($B112="",$A112&lt;=22),"",--MID('Key Analysis'!$C108,$A112-22,1))</f>
        <v/>
      </c>
      <c r="Z112" s="29" t="str">
        <f>IF(OR($B112="",$A112&lt;=23),"",--MID('Key Analysis'!$C108,$A112-23,1))</f>
        <v/>
      </c>
      <c r="AA112" s="29" t="str">
        <f>IF(OR($B112="",$A112&lt;=24),"",--MID('Key Analysis'!$C108,$A112-24,1))</f>
        <v/>
      </c>
      <c r="AB112" s="29" t="str">
        <f>IF(OR($B112="",$A112&lt;=25),"",--MID('Key Analysis'!$C108,$A112-25,1))</f>
        <v/>
      </c>
      <c r="AC112" s="29" t="str">
        <f>IF(OR($B112="",$A112&lt;=26),"",--MID('Key Analysis'!$C108,$A112-26,1))</f>
        <v/>
      </c>
      <c r="AD112" s="29" t="str">
        <f>IF(OR($B112="",$A112&lt;=27),"",--MID('Key Analysis'!$C108,$A112-27,1))</f>
        <v/>
      </c>
      <c r="AE112" s="29" t="str">
        <f>IF(OR($B112="",$A112&lt;=28),"",--MID('Key Analysis'!$C108,$A112-28,1))</f>
        <v/>
      </c>
      <c r="AF112" s="29" t="str">
        <f>IF(OR($B112="",$A112&lt;=29),"",--MID('Key Analysis'!$C108,$A112-29,1))</f>
        <v/>
      </c>
      <c r="AG112" s="29" t="str">
        <f>IF(OR($B112="",$A112&lt;=30),"",--MID('Key Analysis'!$C108,$A112-30,1))</f>
        <v/>
      </c>
      <c r="AH112" s="29" t="str">
        <f>IF(OR($B112="",$A112&lt;=31),"",--MID('Key Analysis'!$C108,$A112-31,1))</f>
        <v/>
      </c>
      <c r="AI112" s="29" t="str">
        <f>IF(OR($B112="",$A112&lt;=32),"",--MID('Key Analysis'!$C108,$A112-32,1))</f>
        <v/>
      </c>
      <c r="AJ112" s="29" t="str">
        <f>IF(OR($B112="",$A112&lt;=33),"",--MID('Key Analysis'!$C108,$A112-33,1))</f>
        <v/>
      </c>
      <c r="AK112" s="29" t="str">
        <f>IF(OR($B112="",$A112&lt;=34),"",--MID('Key Analysis'!$C108,$A112-34,1))</f>
        <v/>
      </c>
      <c r="AL112" s="29" t="str">
        <f>IF(OR($B112="",$A112&lt;=35),"",--MID('Key Analysis'!$C108,$A112-35,1))</f>
        <v/>
      </c>
      <c r="AM112" s="29" t="str">
        <f>IF(OR($B112="",$A112&lt;=36),"",--MID('Key Analysis'!$C108,$A112-36,1))</f>
        <v/>
      </c>
      <c r="AN112" s="29" t="str">
        <f>IF(OR($B112="",$A112&lt;=37),"",--MID('Key Analysis'!$C108,$A112-37,1))</f>
        <v/>
      </c>
      <c r="AO112" s="29" t="str">
        <f>IF(OR($B112="",$A112&lt;=38),"",--MID('Key Analysis'!$C108,$A112-38,1))</f>
        <v/>
      </c>
      <c r="AP112" s="29" t="str">
        <f>IF(OR($B112="",$A112&lt;=39),"",--MID('Key Analysis'!$C108,$A112-39,1))</f>
        <v/>
      </c>
      <c r="AQ112" s="29" t="str">
        <f>IF(OR($B112="",$A112&lt;=40),"",--MID('Key Analysis'!$C108,$A112-40,1))</f>
        <v/>
      </c>
      <c r="AR112" s="29" t="str">
        <f>IF(OR($B112="",$A112&lt;=41),"",--MID('Key Analysis'!$C108,$A112-41,1))</f>
        <v/>
      </c>
      <c r="AS112" s="29" t="str">
        <f>IF(OR($B112="",$A112&lt;=42),"",--MID('Key Analysis'!$C108,$A112-42,1))</f>
        <v/>
      </c>
      <c r="AT112" s="29" t="str">
        <f>IF(OR($B112="",$A112&lt;=43),"",--MID('Key Analysis'!$C108,$A112-43,1))</f>
        <v/>
      </c>
      <c r="AU112" s="29" t="str">
        <f>IF(OR($B112="",$A112&lt;=44),"",--MID('Key Analysis'!$C108,$A112-44,1))</f>
        <v/>
      </c>
      <c r="AV112" s="29" t="str">
        <f>IF(OR($B112="",$A112&lt;=45),"",--MID('Key Analysis'!$C108,$A112-45,1))</f>
        <v/>
      </c>
      <c r="AW112" s="29" t="str">
        <f>IF(OR($B112="",$A112&lt;=46),"",--MID('Key Analysis'!$C108,$A112-46,1))</f>
        <v/>
      </c>
      <c r="AX112" s="29" t="str">
        <f>IF(OR($B112="",$A112&lt;=47),"",--MID('Key Analysis'!$C108,$A112-47,1))</f>
        <v/>
      </c>
      <c r="AY112" s="29" t="str">
        <f>IF(OR($B112="",$A112&lt;=48),"",--MID('Key Analysis'!$C108,$A112-48,1))</f>
        <v/>
      </c>
      <c r="AZ112" s="29" t="str">
        <f>IF(OR($B112="",$A112&lt;=49),"",--MID('Key Analysis'!$C108,$A112-49,1))</f>
        <v/>
      </c>
      <c r="BA112" s="29" t="str">
        <f>IF(OR($B112="",$A112&lt;=50),"",--MID('Key Analysis'!$C108,$A112-50,1))</f>
        <v/>
      </c>
      <c r="BB112" s="29" t="str">
        <f>IF(OR($B112="",$A112&lt;=51),"",--MID('Key Analysis'!$C108,$A112-51,1))</f>
        <v/>
      </c>
      <c r="BC112" s="29" t="str">
        <f>IF(OR($B112="",$A112&lt;=52),"",--MID('Key Analysis'!$C108,$A112-52,1))</f>
        <v/>
      </c>
      <c r="BD112" s="29" t="str">
        <f>IF(OR($B112="",$A112&lt;=53),"",--MID('Key Analysis'!$C108,$A112-53,1))</f>
        <v/>
      </c>
      <c r="BE112" s="29" t="str">
        <f>IF(OR($B112="",$A112&lt;=54),"",--MID('Key Analysis'!$C108,$A112-54,1))</f>
        <v/>
      </c>
      <c r="BF112" s="29" t="str">
        <f>IF(OR($B112="",$A112&lt;=55),"",--MID('Key Analysis'!$C108,$A112-55,1))</f>
        <v/>
      </c>
      <c r="BG112" s="29" t="str">
        <f>IF(OR($B112="",$A112&lt;=56),"",--MID('Key Analysis'!$C108,$A112-56,1))</f>
        <v/>
      </c>
      <c r="BH112" s="29" t="str">
        <f>IF(OR($B112="",$A112&lt;=57),"",--MID('Key Analysis'!$C108,$A112-57,1))</f>
        <v/>
      </c>
      <c r="BI112" s="29" t="str">
        <f>IF(OR($B112="",$A112&lt;=58),"",--MID('Key Analysis'!$C108,$A112-58,1))</f>
        <v/>
      </c>
      <c r="BJ112" s="29" t="str">
        <f>IF(OR($B112="",$A112&lt;=59),"",--MID('Key Analysis'!$C108,$A112-59,1))</f>
        <v/>
      </c>
      <c r="BK112" s="29" t="str">
        <f>IF(OR($B112="",$A112&lt;=60),"",--MID('Key Analysis'!$C108,$A112-60,1))</f>
        <v/>
      </c>
      <c r="BL112" s="29" t="str">
        <f>IF(OR($B112="",$A112&lt;=61),"",--MID('Key Analysis'!$C108,$A112-61,1))</f>
        <v/>
      </c>
      <c r="BM112" s="29" t="str">
        <f>IF(OR($B112="",$A112&lt;=62),"",--MID('Key Analysis'!$C108,$A112-62,1))</f>
        <v/>
      </c>
      <c r="BN112" s="29" t="str">
        <f>IF(OR($B112="",$A112&lt;=63),"",--MID('Key Analysis'!$C108,$A112-63,1))</f>
        <v/>
      </c>
      <c r="BO112" s="29" t="str">
        <f>IF(OR($B112="",$A112&lt;=64),"",--MID('Key Analysis'!$C108,$A112-64,1))</f>
        <v/>
      </c>
      <c r="BP112" s="29" t="str">
        <f>IF(OR($B112="",$A112&lt;=65),"",--MID('Key Analysis'!$C108,$A112-65,1))</f>
        <v/>
      </c>
      <c r="BQ112" s="29" t="str">
        <f>IF(OR($B112="",$A112&lt;=66),"",--MID('Key Analysis'!$C108,$A112-66,1))</f>
        <v/>
      </c>
      <c r="BR112" s="29" t="str">
        <f>IF(OR($B112="",$A112&lt;=67),"",--MID('Key Analysis'!$C108,$A112-67,1))</f>
        <v/>
      </c>
      <c r="BS112" s="29" t="str">
        <f>IF(OR($B112="",$A112&lt;=68),"",--MID('Key Analysis'!$C108,$A112-68,1))</f>
        <v/>
      </c>
      <c r="BT112" s="29" t="str">
        <f>IF(OR($B112="",$A112&lt;=69),"",--MID('Key Analysis'!$C108,$A112-69,1))</f>
        <v/>
      </c>
      <c r="BU112" s="29" t="str">
        <f>IF(OR($B112="",$A112&lt;=70),"",--MID('Key Analysis'!$C108,$A112-70,1))</f>
        <v/>
      </c>
      <c r="BV112" s="29" t="str">
        <f>IF(OR($B112="",$A112&lt;=71),"",--MID('Key Analysis'!$C108,$A112-71,1))</f>
        <v/>
      </c>
      <c r="BW112" s="29" t="str">
        <f>IF(OR($B112="",$A112&lt;=72),"",--MID('Key Analysis'!$C108,$A112-72,1))</f>
        <v/>
      </c>
      <c r="BX112" s="29" t="str">
        <f>IF(OR($B112="",$A112&lt;=73),"",--MID('Key Analysis'!$C108,$A112-73,1))</f>
        <v/>
      </c>
      <c r="BY112" s="29" t="str">
        <f>IF(OR($B112="",$A112&lt;=74),"",--MID('Key Analysis'!$C108,$A112-74,1))</f>
        <v/>
      </c>
      <c r="BZ112" s="29" t="str">
        <f>IF(OR($B112="",$A112&lt;=75),"",--MID('Key Analysis'!$C108,$A112-75,1))</f>
        <v/>
      </c>
      <c r="CA112" s="29" t="str">
        <f>IF(OR($B112="",$A112&lt;=76),"",--MID('Key Analysis'!$C108,$A112-76,1))</f>
        <v/>
      </c>
      <c r="CB112" s="29" t="str">
        <f>IF(OR($B112="",$A112&lt;=77),"",--MID('Key Analysis'!$C108,$A112-77,1))</f>
        <v/>
      </c>
      <c r="CC112" s="29" t="str">
        <f>IF(OR($B112="",$A112&lt;=78),"",--MID('Key Analysis'!$C108,$A112-78,1))</f>
        <v/>
      </c>
      <c r="CD112" s="29" t="str">
        <f>IF(OR($B112="",$A112&lt;=79),"",--MID('Key Analysis'!$C108,$A112-79,1))</f>
        <v/>
      </c>
      <c r="CE112" s="29" t="str">
        <f>IF(OR($B112="",$A112&lt;=80),"",--MID('Key Analysis'!$C108,$A112-80,1))</f>
        <v/>
      </c>
      <c r="CF112" s="29" t="str">
        <f>IF(OR($B112="",$A112&lt;=81),"",--MID('Key Analysis'!$C108,$A112-81,1))</f>
        <v/>
      </c>
      <c r="CG112" s="29" t="str">
        <f>IF(OR($B112="",$A112&lt;=82),"",--MID('Key Analysis'!$C108,$A112-82,1))</f>
        <v/>
      </c>
      <c r="CH112" s="29" t="str">
        <f>IF(OR($B112="",$A112&lt;=83),"",--MID('Key Analysis'!$C108,$A112-83,1))</f>
        <v/>
      </c>
      <c r="CI112" s="29" t="str">
        <f>IF(OR($B112="",$A112&lt;=84),"",--MID('Key Analysis'!$C108,$A112-84,1))</f>
        <v/>
      </c>
      <c r="CJ112" s="29" t="str">
        <f>IF(OR($B112="",$A112&lt;=85),"",--MID('Key Analysis'!$C108,$A112-85,1))</f>
        <v/>
      </c>
      <c r="CK112" s="29" t="str">
        <f>IF(OR($B112="",$A112&lt;=86),"",--MID('Key Analysis'!$C108,$A112-86,1))</f>
        <v/>
      </c>
      <c r="CL112" s="29" t="str">
        <f>IF(OR($B112="",$A112&lt;=87),"",--MID('Key Analysis'!$C108,$A112-87,1))</f>
        <v/>
      </c>
      <c r="CM112" s="29" t="str">
        <f>IF(OR($B112="",$A112&lt;=88),"",--MID('Key Analysis'!$C108,$A112-88,1))</f>
        <v/>
      </c>
      <c r="CN112" s="29" t="str">
        <f>IF(OR($B112="",$A112&lt;=89),"",--MID('Key Analysis'!$C108,$A112-89,1))</f>
        <v/>
      </c>
      <c r="CO112" s="29" t="str">
        <f>IF(OR($B112="",$A112&lt;=90),"",--MID('Key Analysis'!$C108,$A112-90,1))</f>
        <v/>
      </c>
      <c r="CP112" s="29" t="str">
        <f>IF(OR($B112="",$A112&lt;=91),"",--MID('Key Analysis'!$C108,$A112-91,1))</f>
        <v/>
      </c>
      <c r="CQ112" s="29" t="str">
        <f>IF(OR($B112="",$A112&lt;=92),"",--MID('Key Analysis'!$C108,$A112-92,1))</f>
        <v/>
      </c>
      <c r="CR112" s="29" t="str">
        <f>IF(OR($B112="",$A112&lt;=93),"",--MID('Key Analysis'!$C108,$A112-93,1))</f>
        <v/>
      </c>
      <c r="CS112" s="29" t="str">
        <f>IF(OR($B112="",$A112&lt;=94),"",--MID('Key Analysis'!$C108,$A112-94,1))</f>
        <v/>
      </c>
      <c r="CT112" s="29" t="str">
        <f>IF(OR($B112="",$A112&lt;=95),"",--MID('Key Analysis'!$C108,$A112-95,1))</f>
        <v/>
      </c>
      <c r="CU112" s="29" t="str">
        <f>IF(OR($B112="",$A112&lt;=96),"",--MID('Key Analysis'!$C108,$A112-96,1))</f>
        <v/>
      </c>
      <c r="CV112" s="29" t="str">
        <f>IF(OR($B112="",$A112&lt;=97),"",--MID('Key Analysis'!$C108,$A112-97,1))</f>
        <v/>
      </c>
      <c r="CW112" s="29" t="str">
        <f>IF(OR($B112="",$A112&lt;=98),"",--MID('Key Analysis'!$C108,$A112-98,1))</f>
        <v/>
      </c>
      <c r="CX112" s="29" t="str">
        <f>IF(OR($B112="",$A112&lt;=99),"",--MID('Key Analysis'!$C108,$A112-99,1))</f>
        <v/>
      </c>
      <c r="CY112" s="29" t="str">
        <f>IF(OR($B112="",$A112&lt;=100),"",--MID('Key Analysis'!$C108,$A112-100,1))</f>
        <v/>
      </c>
      <c r="CZ112" s="29" t="str">
        <f>IF(OR($B112="",$A112&lt;=101),"",--MID('Key Analysis'!$C108,$A112-101,1))</f>
        <v/>
      </c>
      <c r="DA112" s="29" t="str">
        <f>IF(OR($B112="",$A112&lt;=102),"",--MID('Key Analysis'!$C108,$A112-102,1))</f>
        <v/>
      </c>
      <c r="DB112" s="29" t="str">
        <f>IF(OR($B112="",$A112&lt;=103),"",--MID('Key Analysis'!$C108,$A112-103,1))</f>
        <v/>
      </c>
      <c r="DC112" s="29" t="str">
        <f>IF(OR($B112="",$A112&lt;=104),"",--MID('Key Analysis'!$C108,$A112-104,1))</f>
        <v/>
      </c>
      <c r="DD112" s="29" t="str">
        <f>IF(OR($B112="",$A112&lt;=105),"",--MID('Key Analysis'!$C108,$A112-105,1))</f>
        <v/>
      </c>
      <c r="DE112" s="29" t="str">
        <f>IF(OR($B112="",$A112&lt;=106),"",--MID('Key Analysis'!$C108,$A112-106,1))</f>
        <v/>
      </c>
      <c r="DF112" s="29" t="str">
        <f>IF(OR($B112="",$A112&lt;=107),"",--MID('Key Analysis'!$C108,$A112-107,1))</f>
        <v/>
      </c>
      <c r="DG112" s="29" t="str">
        <f>IF(OR($B112="",$A112&lt;=108),"",--MID('Key Analysis'!$C108,$A112-108,1))</f>
        <v/>
      </c>
      <c r="DH112" s="29" t="str">
        <f>IF(OR($B112="",$A112&lt;=109),"",--MID('Key Analysis'!$C108,$A112-109,1))</f>
        <v/>
      </c>
      <c r="DI112" s="29" t="str">
        <f>IF(OR($B112="",$A112&lt;=110),"",--MID('Key Analysis'!$C108,$A112-110,1))</f>
        <v/>
      </c>
      <c r="DJ112" s="29" t="str">
        <f>IF(OR($B112="",$A112&lt;=111),"",--MID('Key Analysis'!$C108,$A112-111,1))</f>
        <v/>
      </c>
      <c r="DK112" s="29" t="str">
        <f>IF(OR($B112="",$A112&lt;=112),"",--MID('Key Analysis'!$C108,$A112-112,1))</f>
        <v/>
      </c>
      <c r="DL112" s="29" t="str">
        <f>IF(OR($B112="",$A112&lt;=113),"",--MID('Key Analysis'!$C108,$A112-113,1))</f>
        <v/>
      </c>
      <c r="DM112" s="29" t="str">
        <f>IF(OR($B112="",$A112&lt;=114),"",--MID('Key Analysis'!$C108,$A112-114,1))</f>
        <v/>
      </c>
      <c r="DN112" s="29" t="str">
        <f>IF(OR($B112="",$A112&lt;=115),"",--MID('Key Analysis'!$C108,$A112-115,1))</f>
        <v/>
      </c>
      <c r="DO112" s="29" t="str">
        <f>IF(OR($B112="",$A112&lt;=116),"",--MID('Key Analysis'!$C108,$A112-116,1))</f>
        <v/>
      </c>
      <c r="DP112" s="29" t="str">
        <f>IF(OR($B112="",$A112&lt;=117),"",--MID('Key Analysis'!$C108,$A112-117,1))</f>
        <v/>
      </c>
      <c r="DQ112" s="29" t="str">
        <f>IF(OR($B112="",$A112&lt;=118),"",--MID('Key Analysis'!$C108,$A112-118,1))</f>
        <v/>
      </c>
      <c r="DR112" s="29" t="str">
        <f>IF(OR($B112="",$A112&lt;=119),"",--MID('Key Analysis'!$C108,$A112-119,1))</f>
        <v/>
      </c>
      <c r="DS112" s="29" t="str">
        <f>IF(OR($B112="",$A112&lt;=120),"",--MID('Key Analysis'!$C108,$A112-120,1))</f>
        <v/>
      </c>
      <c r="DT112" s="29" t="str">
        <f>IF(OR($B112="",$A112&lt;=121),"",--MID('Key Analysis'!$C108,$A112-121,1))</f>
        <v/>
      </c>
      <c r="DU112" s="29" t="str">
        <f>IF(OR($B112="",$A112&lt;=122),"",--MID('Key Analysis'!$C108,$A112-122,1))</f>
        <v/>
      </c>
      <c r="DV112" s="29" t="str">
        <f>IF(OR($B112="",$A112&lt;=123),"",--MID('Key Analysis'!$C108,$A112-123,1))</f>
        <v/>
      </c>
      <c r="DW112" s="29" t="str">
        <f>IF(OR($B112="",$A112&lt;=124),"",--MID('Key Analysis'!$C108,$A112-124,1))</f>
        <v/>
      </c>
      <c r="DX112" s="29" t="str">
        <f>IF(OR($B112="",$A112&lt;=125),"",--MID('Key Analysis'!$C108,$A112-125,1))</f>
        <v/>
      </c>
      <c r="DY112" s="29" t="str">
        <f>IF(OR($B112="",$A112&lt;=126),"",--MID('Key Analysis'!$C108,$A112-126,1))</f>
        <v/>
      </c>
      <c r="DZ112" s="29" t="str">
        <f>IF(OR($B112="",$A112&lt;=127),"",--MID('Key Analysis'!$C108,$A112-127,1))</f>
        <v/>
      </c>
      <c r="EA112" s="29" t="str">
        <f>IF(OR($B112="",$A112&lt;=128),"",--MID('Key Analysis'!$C108,$A112-128,1))</f>
        <v/>
      </c>
      <c r="EB112" s="29" t="str">
        <f>IF(OR($B112="",$A112&lt;=129),"",--MID('Key Analysis'!$C108,$A112-129,1))</f>
        <v/>
      </c>
      <c r="EC112" s="29" t="str">
        <f>IF(OR($B112="",$A112&lt;=130),"",--MID('Key Analysis'!$C108,$A112-130,1))</f>
        <v/>
      </c>
      <c r="ED112" s="29" t="str">
        <f>IF(OR($B112="",$A112&lt;=131),"",--MID('Key Analysis'!$C108,$A112-131,1))</f>
        <v/>
      </c>
      <c r="EE112" s="29" t="str">
        <f>IF(OR($B112="",$A112&lt;=132),"",--MID('Key Analysis'!$C108,$A112-132,1))</f>
        <v/>
      </c>
      <c r="EF112" s="29" t="str">
        <f>IF(OR($B112="",$A112&lt;=133),"",--MID('Key Analysis'!$C108,$A112-133,1))</f>
        <v/>
      </c>
      <c r="EG112" s="29" t="str">
        <f>IF(OR($B112="",$A112&lt;=134),"",--MID('Key Analysis'!$C108,$A112-134,1))</f>
        <v/>
      </c>
      <c r="EH112" s="29"/>
      <c r="EI112" s="29" t="str">
        <f>IF(OR($B112="",$A112&lt;1),"",--MID('Key Analysis'!$C108,1,1))</f>
        <v/>
      </c>
      <c r="EJ112" s="29" t="str">
        <f>IF(OR($B112="",$A112&lt;2),"",--MID('Key Analysis'!$C108,2,1))</f>
        <v/>
      </c>
      <c r="EK112" s="29" t="str">
        <f>IF(OR($B112="",$A112&lt;3),"",--MID('Key Analysis'!$C108,3,1))</f>
        <v/>
      </c>
      <c r="EL112" s="29" t="str">
        <f>IF(OR($B112="",$A112&lt;4),"",--MID('Key Analysis'!$C108,4,1))</f>
        <v/>
      </c>
      <c r="EM112" s="29" t="str">
        <f>IF(OR($B112="",$A112&lt;5),"",--MID('Key Analysis'!$C108,5,1))</f>
        <v/>
      </c>
      <c r="EN112" s="29" t="str">
        <f>IF(OR($B112="",$A112&lt;6),"",--MID('Key Analysis'!$C108,6,1))</f>
        <v/>
      </c>
      <c r="EO112" s="29" t="str">
        <f>IF(OR($B112="",$A112&lt;7),"",--MID('Key Analysis'!$C108,7,1))</f>
        <v/>
      </c>
      <c r="EP112" s="29" t="str">
        <f>IF(OR($B112="",$A112&lt;8),"",--MID('Key Analysis'!$C108,8,1))</f>
        <v/>
      </c>
      <c r="EQ112" s="29" t="str">
        <f>IF(OR($B112="",$A112&lt;9),"",--MID('Key Analysis'!$C108,9,1))</f>
        <v/>
      </c>
      <c r="ER112" s="29" t="str">
        <f>IF(OR($B112="",$A112&lt;10),"",--MID('Key Analysis'!$C108,10,1))</f>
        <v/>
      </c>
      <c r="ES112" s="29" t="str">
        <f>IF(OR($B112="",$A112&lt;11),"",--MID('Key Analysis'!$C108,11,1))</f>
        <v/>
      </c>
      <c r="ET112" s="29" t="str">
        <f>IF(OR($B112="",$A112&lt;12),"",--MID('Key Analysis'!$C108,12,1))</f>
        <v/>
      </c>
      <c r="EU112" s="29" t="str">
        <f>IF(OR($B112="",$A112&lt;13),"",--MID('Key Analysis'!$C108,13,1))</f>
        <v/>
      </c>
      <c r="EV112" s="29" t="str">
        <f>IF(OR($B112="",$A112&lt;14),"",--MID('Key Analysis'!$C108,14,1))</f>
        <v/>
      </c>
      <c r="EW112" s="29" t="str">
        <f>IF(OR($B112="",$A112&lt;15),"",--MID('Key Analysis'!$C108,15,1))</f>
        <v/>
      </c>
      <c r="EX112" s="29" t="str">
        <f>IF(OR($B112="",$A112&lt;16),"",--MID('Key Analysis'!$C108,16,1))</f>
        <v/>
      </c>
      <c r="EY112" s="29" t="str">
        <f>IF(OR($B112="",$A112&lt;17),"",--MID('Key Analysis'!$C108,17,1))</f>
        <v/>
      </c>
      <c r="EZ112" s="29" t="str">
        <f>IF(OR($B112="",$A112&lt;18),"",--MID('Key Analysis'!$C108,18,1))</f>
        <v/>
      </c>
      <c r="FA112" s="29" t="str">
        <f>IF(OR($B112="",$A112&lt;19),"",--MID('Key Analysis'!$C108,19,1))</f>
        <v/>
      </c>
      <c r="FB112" s="29" t="str">
        <f>IF(OR($B112="",$A112&lt;20),"",--MID('Key Analysis'!$C108,20,1))</f>
        <v/>
      </c>
      <c r="FC112" s="29" t="str">
        <f>IF(OR($B112="",$A112&lt;21),"",--MID('Key Analysis'!$C108,21,1))</f>
        <v/>
      </c>
      <c r="FD112" s="29" t="str">
        <f>IF(OR($B112="",$A112&lt;22),"",--MID('Key Analysis'!$C108,22,1))</f>
        <v/>
      </c>
      <c r="FE112" s="29" t="str">
        <f>IF(OR($B112="",$A112&lt;23),"",--MID('Key Analysis'!$C108,23,1))</f>
        <v/>
      </c>
      <c r="FF112" s="29" t="str">
        <f>IF(OR($B112="",$A112&lt;24),"",--MID('Key Analysis'!$C108,24,1))</f>
        <v/>
      </c>
      <c r="FG112" s="29" t="str">
        <f>IF(OR($B112="",$A112&lt;25),"",--MID('Key Analysis'!$C108,25,1))</f>
        <v/>
      </c>
      <c r="FH112" s="29" t="str">
        <f>IF(OR($B112="",$A112&lt;26),"",--MID('Key Analysis'!$C108,26,1))</f>
        <v/>
      </c>
      <c r="FI112" s="29" t="str">
        <f>IF(OR($B112="",$A112&lt;27),"",--MID('Key Analysis'!$C108,27,1))</f>
        <v/>
      </c>
      <c r="FJ112" s="29" t="str">
        <f>IF(OR($B112="",$A112&lt;28),"",--MID('Key Analysis'!$C108,28,1))</f>
        <v/>
      </c>
      <c r="FK112" s="29" t="str">
        <f>IF(OR($B112="",$A112&lt;29),"",--MID('Key Analysis'!$C108,29,1))</f>
        <v/>
      </c>
      <c r="FL112" s="29" t="str">
        <f>IF(OR($B112="",$A112&lt;30),"",--MID('Key Analysis'!$C108,30,1))</f>
        <v/>
      </c>
      <c r="FM112" s="29" t="str">
        <f>IF(OR($B112="",$A112&lt;31),"",--MID('Key Analysis'!$C108,31,1))</f>
        <v/>
      </c>
      <c r="FN112" s="29" t="str">
        <f>IF(OR($B112="",$A112&lt;32),"",--MID('Key Analysis'!$C108,32,1))</f>
        <v/>
      </c>
      <c r="FO112" s="29" t="str">
        <f>IF(OR($B112="",$A112&lt;33),"",--MID('Key Analysis'!$C108,33,1))</f>
        <v/>
      </c>
      <c r="FP112" s="29" t="str">
        <f>IF(OR($B112="",$A112&lt;34),"",--MID('Key Analysis'!$C108,34,1))</f>
        <v/>
      </c>
      <c r="FQ112" s="29" t="str">
        <f>IF(OR($B112="",$A112&lt;35),"",--MID('Key Analysis'!$C108,35,1))</f>
        <v/>
      </c>
      <c r="FR112" s="29" t="str">
        <f>IF(OR($B112="",$A112&lt;36),"",--MID('Key Analysis'!$C108,36,1))</f>
        <v/>
      </c>
      <c r="FS112" s="29" t="str">
        <f>IF(OR($B112="",$A112&lt;37),"",--MID('Key Analysis'!$C108,37,1))</f>
        <v/>
      </c>
      <c r="FT112" s="29" t="str">
        <f>IF(OR($B112="",$A112&lt;38),"",--MID('Key Analysis'!$C108,38,1))</f>
        <v/>
      </c>
      <c r="FU112" s="29" t="str">
        <f>IF(OR($B112="",$A112&lt;39),"",--MID('Key Analysis'!$C108,39,1))</f>
        <v/>
      </c>
      <c r="FV112" s="29" t="str">
        <f>IF(OR($B112="",$A112&lt;40),"",--MID('Key Analysis'!$C108,40,1))</f>
        <v/>
      </c>
      <c r="FW112" s="29" t="str">
        <f>IF(OR($B112="",$A112&lt;41),"",--MID('Key Analysis'!$C108,41,1))</f>
        <v/>
      </c>
      <c r="FX112" s="29" t="str">
        <f>IF(OR($B112="",$A112&lt;42),"",--MID('Key Analysis'!$C108,42,1))</f>
        <v/>
      </c>
      <c r="FY112" s="29" t="str">
        <f>IF(OR($B112="",$A112&lt;43),"",--MID('Key Analysis'!$C108,43,1))</f>
        <v/>
      </c>
      <c r="FZ112" s="29" t="str">
        <f>IF(OR($B112="",$A112&lt;44),"",--MID('Key Analysis'!$C108,44,1))</f>
        <v/>
      </c>
      <c r="GA112" s="29" t="str">
        <f>IF(OR($B112="",$A112&lt;45),"",--MID('Key Analysis'!$C108,45,1))</f>
        <v/>
      </c>
      <c r="GB112" s="29" t="str">
        <f>IF(OR($B112="",$A112&lt;46),"",--MID('Key Analysis'!$C108,46,1))</f>
        <v/>
      </c>
      <c r="GC112" s="29" t="str">
        <f>IF(OR($B112="",$A112&lt;47),"",--MID('Key Analysis'!$C108,47,1))</f>
        <v/>
      </c>
      <c r="GD112" s="29" t="str">
        <f>IF(OR($B112="",$A112&lt;48),"",--MID('Key Analysis'!$C108,48,1))</f>
        <v/>
      </c>
      <c r="GE112" s="29" t="str">
        <f>IF(OR($B112="",$A112&lt;49),"",--MID('Key Analysis'!$C108,49,1))</f>
        <v/>
      </c>
      <c r="GF112" s="29" t="str">
        <f>IF(OR($B112="",$A112&lt;50),"",--MID('Key Analysis'!$C108,50,1))</f>
        <v/>
      </c>
      <c r="GG112" s="29" t="str">
        <f>IF(OR($B112="",$A112&lt;51),"",--MID('Key Analysis'!$C108,51,1))</f>
        <v/>
      </c>
      <c r="GH112" s="29" t="str">
        <f>IF(OR($B112="",$A112&lt;52),"",--MID('Key Analysis'!$C108,52,1))</f>
        <v/>
      </c>
      <c r="GI112" s="29" t="str">
        <f>IF(OR($B112="",$A112&lt;53),"",--MID('Key Analysis'!$C108,53,1))</f>
        <v/>
      </c>
      <c r="GJ112" s="29" t="str">
        <f>IF(OR($B112="",$A112&lt;54),"",--MID('Key Analysis'!$C108,54,1))</f>
        <v/>
      </c>
      <c r="GK112" s="29" t="str">
        <f>IF(OR($B112="",$A112&lt;55),"",--MID('Key Analysis'!$C108,55,1))</f>
        <v/>
      </c>
      <c r="GL112" s="29" t="str">
        <f>IF(OR($B112="",$A112&lt;56),"",--MID('Key Analysis'!$C108,56,1))</f>
        <v/>
      </c>
      <c r="GM112" s="29" t="str">
        <f>IF(OR($B112="",$A112&lt;57),"",--MID('Key Analysis'!$C108,57,1))</f>
        <v/>
      </c>
      <c r="GN112" s="29" t="str">
        <f>IF(OR($B112="",$A112&lt;58),"",--MID('Key Analysis'!$C108,58,1))</f>
        <v/>
      </c>
      <c r="GO112" s="29" t="str">
        <f>IF(OR($B112="",$A112&lt;59),"",--MID('Key Analysis'!$C108,59,1))</f>
        <v/>
      </c>
      <c r="GP112" s="29" t="str">
        <f>IF(OR($B112="",$A112&lt;60),"",--MID('Key Analysis'!$C108,60,1))</f>
        <v/>
      </c>
      <c r="GQ112" s="29" t="str">
        <f>IF(OR($B112="",$A112&lt;61),"",--MID('Key Analysis'!$C108,61,1))</f>
        <v/>
      </c>
      <c r="GR112" s="29" t="str">
        <f>IF(OR($B112="",$A112&lt;62),"",--MID('Key Analysis'!$C108,62,1))</f>
        <v/>
      </c>
      <c r="GS112" s="29" t="str">
        <f>IF(OR($B112="",$A112&lt;63),"",--MID('Key Analysis'!$C108,63,1))</f>
        <v/>
      </c>
      <c r="GT112" s="29" t="str">
        <f>IF(OR($B112="",$A112&lt;64),"",--MID('Key Analysis'!$C108,64,1))</f>
        <v/>
      </c>
      <c r="GU112" s="29" t="str">
        <f>IF(OR($B112="",$A112&lt;65),"",--MID('Key Analysis'!$C108,65,1))</f>
        <v/>
      </c>
      <c r="GV112" s="29" t="str">
        <f>IF(OR($B112="",$A112&lt;66),"",--MID('Key Analysis'!$C108,66,1))</f>
        <v/>
      </c>
      <c r="GW112" s="29" t="str">
        <f>IF(OR($B112="",$A112&lt;67),"",--MID('Key Analysis'!$C108,67,1))</f>
        <v/>
      </c>
      <c r="GX112" s="29" t="str">
        <f>IF(OR($B112="",$A112&lt;68),"",--MID('Key Analysis'!$C108,68,1))</f>
        <v/>
      </c>
      <c r="GY112" s="29" t="str">
        <f>IF(OR($B112="",$A112&lt;69),"",--MID('Key Analysis'!$C108,69,1))</f>
        <v/>
      </c>
      <c r="GZ112" s="29" t="str">
        <f>IF(OR($B112="",$A112&lt;70),"",--MID('Key Analysis'!$C108,70,1))</f>
        <v/>
      </c>
      <c r="HA112" s="29" t="str">
        <f>IF(OR($B112="",$A112&lt;71),"",--MID('Key Analysis'!$C108,71,1))</f>
        <v/>
      </c>
      <c r="HB112" s="29" t="str">
        <f>IF(OR($B112="",$A112&lt;72),"",--MID('Key Analysis'!$C108,72,1))</f>
        <v/>
      </c>
      <c r="HC112" s="29" t="str">
        <f>IF(OR($B112="",$A112&lt;73),"",--MID('Key Analysis'!$C108,73,1))</f>
        <v/>
      </c>
      <c r="HD112" s="29" t="str">
        <f>IF(OR($B112="",$A112&lt;74),"",--MID('Key Analysis'!$C108,74,1))</f>
        <v/>
      </c>
      <c r="HE112" s="29" t="str">
        <f>IF(OR($B112="",$A112&lt;75),"",--MID('Key Analysis'!$C108,75,1))</f>
        <v/>
      </c>
      <c r="HF112" s="29" t="str">
        <f>IF(OR($B112="",$A112&lt;76),"",--MID('Key Analysis'!$C108,76,1))</f>
        <v/>
      </c>
      <c r="HG112" s="29" t="str">
        <f>IF(OR($B112="",$A112&lt;77),"",--MID('Key Analysis'!$C108,77,1))</f>
        <v/>
      </c>
      <c r="HH112" s="29" t="str">
        <f>IF(OR($B112="",$A112&lt;78),"",--MID('Key Analysis'!$C108,78,1))</f>
        <v/>
      </c>
      <c r="HI112" s="29" t="str">
        <f>IF(OR($B112="",$A112&lt;79),"",--MID('Key Analysis'!$C108,79,1))</f>
        <v/>
      </c>
      <c r="HJ112" s="29" t="str">
        <f>IF(OR($B112="",$A112&lt;80),"",--MID('Key Analysis'!$C108,80,1))</f>
        <v/>
      </c>
      <c r="HK112" s="29" t="str">
        <f>IF(OR($B112="",$A112&lt;81),"",--MID('Key Analysis'!$C108,81,1))</f>
        <v/>
      </c>
      <c r="HL112" s="29" t="str">
        <f>IF(OR($B112="",$A112&lt;82),"",--MID('Key Analysis'!$C108,82,1))</f>
        <v/>
      </c>
      <c r="HM112" s="29" t="str">
        <f>IF(OR($B112="",$A112&lt;83),"",--MID('Key Analysis'!$C108,83,1))</f>
        <v/>
      </c>
      <c r="HN112" s="29" t="str">
        <f>IF(OR($B112="",$A112&lt;84),"",--MID('Key Analysis'!$C108,84,1))</f>
        <v/>
      </c>
      <c r="HO112" s="29" t="str">
        <f>IF(OR($B112="",$A112&lt;85),"",--MID('Key Analysis'!$C108,85,1))</f>
        <v/>
      </c>
      <c r="HP112" s="29" t="str">
        <f>IF(OR($B112="",$A112&lt;86),"",--MID('Key Analysis'!$C108,86,1))</f>
        <v/>
      </c>
      <c r="HQ112" s="29" t="str">
        <f>IF(OR($B112="",$A112&lt;87),"",--MID('Key Analysis'!$C108,87,1))</f>
        <v/>
      </c>
      <c r="HR112" s="29" t="str">
        <f>IF(OR($B112="",$A112&lt;88),"",--MID('Key Analysis'!$C108,88,1))</f>
        <v/>
      </c>
      <c r="HS112" s="29" t="str">
        <f>IF(OR($B112="",$A112&lt;89),"",--MID('Key Analysis'!$C108,89,1))</f>
        <v/>
      </c>
      <c r="HT112" s="29" t="str">
        <f>IF(OR($B112="",$A112&lt;90),"",--MID('Key Analysis'!$C108,90,1))</f>
        <v/>
      </c>
      <c r="HU112" s="29" t="str">
        <f>IF(OR($B112="",$A112&lt;91),"",--MID('Key Analysis'!$C108,91,1))</f>
        <v/>
      </c>
      <c r="HV112" s="29" t="str">
        <f>IF(OR($B112="",$A112&lt;92),"",--MID('Key Analysis'!$C108,92,1))</f>
        <v/>
      </c>
      <c r="HW112" s="29" t="str">
        <f>IF(OR($B112="",$A112&lt;93),"",--MID('Key Analysis'!$C108,93,1))</f>
        <v/>
      </c>
      <c r="HX112" s="29" t="str">
        <f>IF(OR($B112="",$A112&lt;94),"",--MID('Key Analysis'!$C108,94,1))</f>
        <v/>
      </c>
      <c r="HY112" s="29" t="str">
        <f>IF(OR($B112="",$A112&lt;95),"",--MID('Key Analysis'!$C108,95,1))</f>
        <v/>
      </c>
      <c r="HZ112" s="29" t="str">
        <f>IF(OR($B112="",$A112&lt;96),"",--MID('Key Analysis'!$C108,96,1))</f>
        <v/>
      </c>
      <c r="IA112" s="29" t="str">
        <f>IF(OR($B112="",$A112&lt;97),"",--MID('Key Analysis'!$C108,97,1))</f>
        <v/>
      </c>
      <c r="IB112" s="29" t="str">
        <f>IF(OR($B112="",$A112&lt;98),"",--MID('Key Analysis'!$C108,98,1))</f>
        <v/>
      </c>
      <c r="IC112" s="29" t="str">
        <f>IF(OR($B112="",$A112&lt;99),"",--MID('Key Analysis'!$C108,99,1))</f>
        <v/>
      </c>
      <c r="ID112" s="29" t="str">
        <f>IF(OR($B112="",$A112&lt;100),"",--MID('Key Analysis'!$C108,100,1))</f>
        <v/>
      </c>
      <c r="IE112" s="29" t="str">
        <f>IF(OR($B112="",$A112&lt;101),"",--MID('Key Analysis'!$C108,101,1))</f>
        <v/>
      </c>
      <c r="IF112" s="29" t="str">
        <f>IF(OR($B112="",$A112&lt;102),"",--MID('Key Analysis'!$C108,102,1))</f>
        <v/>
      </c>
      <c r="IG112" s="29" t="str">
        <f>IF(OR($B112="",$A112&lt;103),"",--MID('Key Analysis'!$C108,103,1))</f>
        <v/>
      </c>
      <c r="IH112" s="29" t="str">
        <f>IF(OR($B112="",$A112&lt;104),"",--MID('Key Analysis'!$C108,104,1))</f>
        <v/>
      </c>
      <c r="II112" s="29" t="str">
        <f>IF(OR($B112="",$A112&lt;105),"",--MID('Key Analysis'!$C108,105,1))</f>
        <v/>
      </c>
      <c r="IJ112" s="29" t="str">
        <f>IF(OR($B112="",$A112&lt;106),"",--MID('Key Analysis'!$C108,106,1))</f>
        <v/>
      </c>
      <c r="IK112" s="29" t="str">
        <f>IF(OR($B112="",$A112&lt;107),"",--MID('Key Analysis'!$C108,107,1))</f>
        <v/>
      </c>
      <c r="IL112" s="29" t="str">
        <f>IF(OR($B112="",$A112&lt;108),"",--MID('Key Analysis'!$C108,108,1))</f>
        <v/>
      </c>
      <c r="IM112" s="29" t="str">
        <f>IF(OR($B112="",$A112&lt;109),"",--MID('Key Analysis'!$C108,109,1))</f>
        <v/>
      </c>
      <c r="IN112" s="29" t="str">
        <f>IF(OR($B112="",$A112&lt;110),"",--MID('Key Analysis'!$C108,110,1))</f>
        <v/>
      </c>
      <c r="IO112" s="29" t="str">
        <f>IF(OR($B112="",$A112&lt;111),"",--MID('Key Analysis'!$C108,111,1))</f>
        <v/>
      </c>
      <c r="IP112" s="29" t="str">
        <f>IF(OR($B112="",$A112&lt;112),"",--MID('Key Analysis'!$C108,112,1))</f>
        <v/>
      </c>
      <c r="IQ112" s="29" t="str">
        <f>IF(OR($B112="",$A112&lt;113),"",--MID('Key Analysis'!$C108,113,1))</f>
        <v/>
      </c>
      <c r="IR112" s="29" t="str">
        <f>IF(OR($B112="",$A112&lt;114),"",--MID('Key Analysis'!$C108,114,1))</f>
        <v/>
      </c>
      <c r="IS112" s="29" t="str">
        <f>IF(OR($B112="",$A112&lt;115),"",--MID('Key Analysis'!$C108,115,1))</f>
        <v/>
      </c>
      <c r="IT112" s="29" t="str">
        <f>IF(OR($B112="",$A112&lt;116),"",--MID('Key Analysis'!$C108,116,1))</f>
        <v/>
      </c>
      <c r="IU112" s="29" t="str">
        <f>IF(OR($B112="",$A112&lt;117),"",--MID('Key Analysis'!$C108,117,1))</f>
        <v/>
      </c>
      <c r="IV112" s="29" t="str">
        <f>IF(OR($B112="",$A112&lt;118),"",--MID('Key Analysis'!$C108,118,1))</f>
        <v/>
      </c>
      <c r="IW112" s="29" t="str">
        <f>IF(OR($B112="",$A112&lt;119),"",--MID('Key Analysis'!$C108,119,1))</f>
        <v/>
      </c>
      <c r="IX112" s="29" t="str">
        <f>IF(OR($B112="",$A112&lt;120),"",--MID('Key Analysis'!$C108,120,1))</f>
        <v/>
      </c>
      <c r="IY112" s="29" t="str">
        <f>IF(OR($B112="",$A112&lt;121),"",--MID('Key Analysis'!$C108,121,1))</f>
        <v/>
      </c>
      <c r="IZ112" s="29" t="str">
        <f>IF(OR($B112="",$A112&lt;122),"",--MID('Key Analysis'!$C108,122,1))</f>
        <v/>
      </c>
      <c r="JA112" s="29" t="str">
        <f>IF(OR($B112="",$A112&lt;123),"",--MID('Key Analysis'!$C108,123,1))</f>
        <v/>
      </c>
      <c r="JB112" s="29" t="str">
        <f>IF(OR($B112="",$A112&lt;124),"",--MID('Key Analysis'!$C108,124,1))</f>
        <v/>
      </c>
      <c r="JC112" s="29" t="str">
        <f>IF(OR($B112="",$A112&lt;125),"",--MID('Key Analysis'!$C108,125,1))</f>
        <v/>
      </c>
      <c r="JD112" s="29" t="str">
        <f>IF(OR($B112="",$A112&lt;126),"",--MID('Key Analysis'!$C108,126,1))</f>
        <v/>
      </c>
      <c r="JE112" s="29" t="str">
        <f>IF(OR($B112="",$A112&lt;127),"",--MID('Key Analysis'!$C108,127,1))</f>
        <v/>
      </c>
      <c r="JF112" s="29" t="str">
        <f>IF(OR($B112="",$A112&lt;128),"",--MID('Key Analysis'!$C108,128,1))</f>
        <v/>
      </c>
      <c r="JG112" s="29" t="str">
        <f>IF(OR($B112="",$A112&lt;129),"",--MID('Key Analysis'!$C108,129,1))</f>
        <v/>
      </c>
      <c r="JH112" s="29" t="str">
        <f>IF(OR($B112="",$A112&lt;130),"",--MID('Key Analysis'!$C108,130,1))</f>
        <v/>
      </c>
      <c r="JI112" s="29" t="str">
        <f>IF(OR($B112="",$A112&lt;131),"",--MID('Key Analysis'!$C108,131,1))</f>
        <v/>
      </c>
      <c r="JJ112" s="29" t="str">
        <f>IF(OR($B112="",$A112&lt;132),"",--MID('Key Analysis'!$C108,132,1))</f>
        <v/>
      </c>
      <c r="JK112" s="29" t="str">
        <f>IF(OR($B112="",$A112&lt;133),"",--MID('Key Analysis'!$C108,133,1))</f>
        <v/>
      </c>
      <c r="JL112" s="29" t="str">
        <f>IF(OR($B112="",$A112&lt;134),"",--MID('Key Analysis'!$C108,134,1))</f>
        <v/>
      </c>
      <c r="JM112" s="29" t="str">
        <f>IF(OR($B112="",$A112&lt;135),"",--MID('Key Analysis'!$C108,135,1))</f>
        <v/>
      </c>
    </row>
    <row r="113" spans="1:273" x14ac:dyDescent="0.25">
      <c r="A113" s="21">
        <f>'Key Analysis'!A109</f>
        <v>108</v>
      </c>
      <c r="B113" s="30" t="str">
        <f>'Key Analysis'!B109</f>
        <v/>
      </c>
      <c r="C113" s="29" t="str">
        <f>IF(OR($B113="",$A113&lt;=0),"",--MID('Key Analysis'!$C109,$A113-0,1))</f>
        <v/>
      </c>
      <c r="D113" s="29" t="str">
        <f>IF(OR($B113="",$A113&lt;=1),"",--MID('Key Analysis'!$C109,$A113-1,1))</f>
        <v/>
      </c>
      <c r="E113" s="29" t="str">
        <f>IF(OR($B113="",$A113&lt;=2),"",--MID('Key Analysis'!$C109,$A113-2,1))</f>
        <v/>
      </c>
      <c r="F113" s="29" t="str">
        <f>IF(OR($B113="",$A113&lt;=3),"",--MID('Key Analysis'!$C109,$A113-3,1))</f>
        <v/>
      </c>
      <c r="G113" s="29" t="str">
        <f>IF(OR($B113="",$A113&lt;=4),"",--MID('Key Analysis'!$C109,$A113-4,1))</f>
        <v/>
      </c>
      <c r="H113" s="29" t="str">
        <f>IF(OR($B113="",$A113&lt;=5),"",--MID('Key Analysis'!$C109,$A113-5,1))</f>
        <v/>
      </c>
      <c r="I113" s="29" t="str">
        <f>IF(OR($B113="",$A113&lt;=6),"",--MID('Key Analysis'!$C109,$A113-6,1))</f>
        <v/>
      </c>
      <c r="J113" s="29" t="str">
        <f>IF(OR($B113="",$A113&lt;=7),"",--MID('Key Analysis'!$C109,$A113-7,1))</f>
        <v/>
      </c>
      <c r="K113" s="29" t="str">
        <f>IF(OR($B113="",$A113&lt;=8),"",--MID('Key Analysis'!$C109,$A113-8,1))</f>
        <v/>
      </c>
      <c r="L113" s="29" t="str">
        <f>IF(OR($B113="",$A113&lt;=9),"",--MID('Key Analysis'!$C109,$A113-9,1))</f>
        <v/>
      </c>
      <c r="M113" s="29" t="str">
        <f>IF(OR($B113="",$A113&lt;=10),"",--MID('Key Analysis'!$C109,$A113-10,1))</f>
        <v/>
      </c>
      <c r="N113" s="29" t="str">
        <f>IF(OR($B113="",$A113&lt;=11),"",--MID('Key Analysis'!$C109,$A113-11,1))</f>
        <v/>
      </c>
      <c r="O113" s="29" t="str">
        <f>IF(OR($B113="",$A113&lt;=12),"",--MID('Key Analysis'!$C109,$A113-12,1))</f>
        <v/>
      </c>
      <c r="P113" s="29" t="str">
        <f>IF(OR($B113="",$A113&lt;=13),"",--MID('Key Analysis'!$C109,$A113-13,1))</f>
        <v/>
      </c>
      <c r="Q113" s="29" t="str">
        <f>IF(OR($B113="",$A113&lt;=14),"",--MID('Key Analysis'!$C109,$A113-14,1))</f>
        <v/>
      </c>
      <c r="R113" s="29" t="str">
        <f>IF(OR($B113="",$A113&lt;=15),"",--MID('Key Analysis'!$C109,$A113-15,1))</f>
        <v/>
      </c>
      <c r="S113" s="29" t="str">
        <f>IF(OR($B113="",$A113&lt;=16),"",--MID('Key Analysis'!$C109,$A113-16,1))</f>
        <v/>
      </c>
      <c r="T113" s="29" t="str">
        <f>IF(OR($B113="",$A113&lt;=17),"",--MID('Key Analysis'!$C109,$A113-17,1))</f>
        <v/>
      </c>
      <c r="U113" s="29" t="str">
        <f>IF(OR($B113="",$A113&lt;=18),"",--MID('Key Analysis'!$C109,$A113-18,1))</f>
        <v/>
      </c>
      <c r="V113" s="29" t="str">
        <f>IF(OR($B113="",$A113&lt;=19),"",--MID('Key Analysis'!$C109,$A113-19,1))</f>
        <v/>
      </c>
      <c r="W113" s="29" t="str">
        <f>IF(OR($B113="",$A113&lt;=20),"",--MID('Key Analysis'!$C109,$A113-20,1))</f>
        <v/>
      </c>
      <c r="X113" s="29" t="str">
        <f>IF(OR($B113="",$A113&lt;=21),"",--MID('Key Analysis'!$C109,$A113-21,1))</f>
        <v/>
      </c>
      <c r="Y113" s="29" t="str">
        <f>IF(OR($B113="",$A113&lt;=22),"",--MID('Key Analysis'!$C109,$A113-22,1))</f>
        <v/>
      </c>
      <c r="Z113" s="29" t="str">
        <f>IF(OR($B113="",$A113&lt;=23),"",--MID('Key Analysis'!$C109,$A113-23,1))</f>
        <v/>
      </c>
      <c r="AA113" s="29" t="str">
        <f>IF(OR($B113="",$A113&lt;=24),"",--MID('Key Analysis'!$C109,$A113-24,1))</f>
        <v/>
      </c>
      <c r="AB113" s="29" t="str">
        <f>IF(OR($B113="",$A113&lt;=25),"",--MID('Key Analysis'!$C109,$A113-25,1))</f>
        <v/>
      </c>
      <c r="AC113" s="29" t="str">
        <f>IF(OR($B113="",$A113&lt;=26),"",--MID('Key Analysis'!$C109,$A113-26,1))</f>
        <v/>
      </c>
      <c r="AD113" s="29" t="str">
        <f>IF(OR($B113="",$A113&lt;=27),"",--MID('Key Analysis'!$C109,$A113-27,1))</f>
        <v/>
      </c>
      <c r="AE113" s="29" t="str">
        <f>IF(OR($B113="",$A113&lt;=28),"",--MID('Key Analysis'!$C109,$A113-28,1))</f>
        <v/>
      </c>
      <c r="AF113" s="29" t="str">
        <f>IF(OR($B113="",$A113&lt;=29),"",--MID('Key Analysis'!$C109,$A113-29,1))</f>
        <v/>
      </c>
      <c r="AG113" s="29" t="str">
        <f>IF(OR($B113="",$A113&lt;=30),"",--MID('Key Analysis'!$C109,$A113-30,1))</f>
        <v/>
      </c>
      <c r="AH113" s="29" t="str">
        <f>IF(OR($B113="",$A113&lt;=31),"",--MID('Key Analysis'!$C109,$A113-31,1))</f>
        <v/>
      </c>
      <c r="AI113" s="29" t="str">
        <f>IF(OR($B113="",$A113&lt;=32),"",--MID('Key Analysis'!$C109,$A113-32,1))</f>
        <v/>
      </c>
      <c r="AJ113" s="29" t="str">
        <f>IF(OR($B113="",$A113&lt;=33),"",--MID('Key Analysis'!$C109,$A113-33,1))</f>
        <v/>
      </c>
      <c r="AK113" s="29" t="str">
        <f>IF(OR($B113="",$A113&lt;=34),"",--MID('Key Analysis'!$C109,$A113-34,1))</f>
        <v/>
      </c>
      <c r="AL113" s="29" t="str">
        <f>IF(OR($B113="",$A113&lt;=35),"",--MID('Key Analysis'!$C109,$A113-35,1))</f>
        <v/>
      </c>
      <c r="AM113" s="29" t="str">
        <f>IF(OR($B113="",$A113&lt;=36),"",--MID('Key Analysis'!$C109,$A113-36,1))</f>
        <v/>
      </c>
      <c r="AN113" s="29" t="str">
        <f>IF(OR($B113="",$A113&lt;=37),"",--MID('Key Analysis'!$C109,$A113-37,1))</f>
        <v/>
      </c>
      <c r="AO113" s="29" t="str">
        <f>IF(OR($B113="",$A113&lt;=38),"",--MID('Key Analysis'!$C109,$A113-38,1))</f>
        <v/>
      </c>
      <c r="AP113" s="29" t="str">
        <f>IF(OR($B113="",$A113&lt;=39),"",--MID('Key Analysis'!$C109,$A113-39,1))</f>
        <v/>
      </c>
      <c r="AQ113" s="29" t="str">
        <f>IF(OR($B113="",$A113&lt;=40),"",--MID('Key Analysis'!$C109,$A113-40,1))</f>
        <v/>
      </c>
      <c r="AR113" s="29" t="str">
        <f>IF(OR($B113="",$A113&lt;=41),"",--MID('Key Analysis'!$C109,$A113-41,1))</f>
        <v/>
      </c>
      <c r="AS113" s="29" t="str">
        <f>IF(OR($B113="",$A113&lt;=42),"",--MID('Key Analysis'!$C109,$A113-42,1))</f>
        <v/>
      </c>
      <c r="AT113" s="29" t="str">
        <f>IF(OR($B113="",$A113&lt;=43),"",--MID('Key Analysis'!$C109,$A113-43,1))</f>
        <v/>
      </c>
      <c r="AU113" s="29" t="str">
        <f>IF(OR($B113="",$A113&lt;=44),"",--MID('Key Analysis'!$C109,$A113-44,1))</f>
        <v/>
      </c>
      <c r="AV113" s="29" t="str">
        <f>IF(OR($B113="",$A113&lt;=45),"",--MID('Key Analysis'!$C109,$A113-45,1))</f>
        <v/>
      </c>
      <c r="AW113" s="29" t="str">
        <f>IF(OR($B113="",$A113&lt;=46),"",--MID('Key Analysis'!$C109,$A113-46,1))</f>
        <v/>
      </c>
      <c r="AX113" s="29" t="str">
        <f>IF(OR($B113="",$A113&lt;=47),"",--MID('Key Analysis'!$C109,$A113-47,1))</f>
        <v/>
      </c>
      <c r="AY113" s="29" t="str">
        <f>IF(OR($B113="",$A113&lt;=48),"",--MID('Key Analysis'!$C109,$A113-48,1))</f>
        <v/>
      </c>
      <c r="AZ113" s="29" t="str">
        <f>IF(OR($B113="",$A113&lt;=49),"",--MID('Key Analysis'!$C109,$A113-49,1))</f>
        <v/>
      </c>
      <c r="BA113" s="29" t="str">
        <f>IF(OR($B113="",$A113&lt;=50),"",--MID('Key Analysis'!$C109,$A113-50,1))</f>
        <v/>
      </c>
      <c r="BB113" s="29" t="str">
        <f>IF(OR($B113="",$A113&lt;=51),"",--MID('Key Analysis'!$C109,$A113-51,1))</f>
        <v/>
      </c>
      <c r="BC113" s="29" t="str">
        <f>IF(OR($B113="",$A113&lt;=52),"",--MID('Key Analysis'!$C109,$A113-52,1))</f>
        <v/>
      </c>
      <c r="BD113" s="29" t="str">
        <f>IF(OR($B113="",$A113&lt;=53),"",--MID('Key Analysis'!$C109,$A113-53,1))</f>
        <v/>
      </c>
      <c r="BE113" s="29" t="str">
        <f>IF(OR($B113="",$A113&lt;=54),"",--MID('Key Analysis'!$C109,$A113-54,1))</f>
        <v/>
      </c>
      <c r="BF113" s="29" t="str">
        <f>IF(OR($B113="",$A113&lt;=55),"",--MID('Key Analysis'!$C109,$A113-55,1))</f>
        <v/>
      </c>
      <c r="BG113" s="29" t="str">
        <f>IF(OR($B113="",$A113&lt;=56),"",--MID('Key Analysis'!$C109,$A113-56,1))</f>
        <v/>
      </c>
      <c r="BH113" s="29" t="str">
        <f>IF(OR($B113="",$A113&lt;=57),"",--MID('Key Analysis'!$C109,$A113-57,1))</f>
        <v/>
      </c>
      <c r="BI113" s="29" t="str">
        <f>IF(OR($B113="",$A113&lt;=58),"",--MID('Key Analysis'!$C109,$A113-58,1))</f>
        <v/>
      </c>
      <c r="BJ113" s="29" t="str">
        <f>IF(OR($B113="",$A113&lt;=59),"",--MID('Key Analysis'!$C109,$A113-59,1))</f>
        <v/>
      </c>
      <c r="BK113" s="29" t="str">
        <f>IF(OR($B113="",$A113&lt;=60),"",--MID('Key Analysis'!$C109,$A113-60,1))</f>
        <v/>
      </c>
      <c r="BL113" s="29" t="str">
        <f>IF(OR($B113="",$A113&lt;=61),"",--MID('Key Analysis'!$C109,$A113-61,1))</f>
        <v/>
      </c>
      <c r="BM113" s="29" t="str">
        <f>IF(OR($B113="",$A113&lt;=62),"",--MID('Key Analysis'!$C109,$A113-62,1))</f>
        <v/>
      </c>
      <c r="BN113" s="29" t="str">
        <f>IF(OR($B113="",$A113&lt;=63),"",--MID('Key Analysis'!$C109,$A113-63,1))</f>
        <v/>
      </c>
      <c r="BO113" s="29" t="str">
        <f>IF(OR($B113="",$A113&lt;=64),"",--MID('Key Analysis'!$C109,$A113-64,1))</f>
        <v/>
      </c>
      <c r="BP113" s="29" t="str">
        <f>IF(OR($B113="",$A113&lt;=65),"",--MID('Key Analysis'!$C109,$A113-65,1))</f>
        <v/>
      </c>
      <c r="BQ113" s="29" t="str">
        <f>IF(OR($B113="",$A113&lt;=66),"",--MID('Key Analysis'!$C109,$A113-66,1))</f>
        <v/>
      </c>
      <c r="BR113" s="29" t="str">
        <f>IF(OR($B113="",$A113&lt;=67),"",--MID('Key Analysis'!$C109,$A113-67,1))</f>
        <v/>
      </c>
      <c r="BS113" s="29" t="str">
        <f>IF(OR($B113="",$A113&lt;=68),"",--MID('Key Analysis'!$C109,$A113-68,1))</f>
        <v/>
      </c>
      <c r="BT113" s="29" t="str">
        <f>IF(OR($B113="",$A113&lt;=69),"",--MID('Key Analysis'!$C109,$A113-69,1))</f>
        <v/>
      </c>
      <c r="BU113" s="29" t="str">
        <f>IF(OR($B113="",$A113&lt;=70),"",--MID('Key Analysis'!$C109,$A113-70,1))</f>
        <v/>
      </c>
      <c r="BV113" s="29" t="str">
        <f>IF(OR($B113="",$A113&lt;=71),"",--MID('Key Analysis'!$C109,$A113-71,1))</f>
        <v/>
      </c>
      <c r="BW113" s="29" t="str">
        <f>IF(OR($B113="",$A113&lt;=72),"",--MID('Key Analysis'!$C109,$A113-72,1))</f>
        <v/>
      </c>
      <c r="BX113" s="29" t="str">
        <f>IF(OR($B113="",$A113&lt;=73),"",--MID('Key Analysis'!$C109,$A113-73,1))</f>
        <v/>
      </c>
      <c r="BY113" s="29" t="str">
        <f>IF(OR($B113="",$A113&lt;=74),"",--MID('Key Analysis'!$C109,$A113-74,1))</f>
        <v/>
      </c>
      <c r="BZ113" s="29" t="str">
        <f>IF(OR($B113="",$A113&lt;=75),"",--MID('Key Analysis'!$C109,$A113-75,1))</f>
        <v/>
      </c>
      <c r="CA113" s="29" t="str">
        <f>IF(OR($B113="",$A113&lt;=76),"",--MID('Key Analysis'!$C109,$A113-76,1))</f>
        <v/>
      </c>
      <c r="CB113" s="29" t="str">
        <f>IF(OR($B113="",$A113&lt;=77),"",--MID('Key Analysis'!$C109,$A113-77,1))</f>
        <v/>
      </c>
      <c r="CC113" s="29" t="str">
        <f>IF(OR($B113="",$A113&lt;=78),"",--MID('Key Analysis'!$C109,$A113-78,1))</f>
        <v/>
      </c>
      <c r="CD113" s="29" t="str">
        <f>IF(OR($B113="",$A113&lt;=79),"",--MID('Key Analysis'!$C109,$A113-79,1))</f>
        <v/>
      </c>
      <c r="CE113" s="29" t="str">
        <f>IF(OR($B113="",$A113&lt;=80),"",--MID('Key Analysis'!$C109,$A113-80,1))</f>
        <v/>
      </c>
      <c r="CF113" s="29" t="str">
        <f>IF(OR($B113="",$A113&lt;=81),"",--MID('Key Analysis'!$C109,$A113-81,1))</f>
        <v/>
      </c>
      <c r="CG113" s="29" t="str">
        <f>IF(OR($B113="",$A113&lt;=82),"",--MID('Key Analysis'!$C109,$A113-82,1))</f>
        <v/>
      </c>
      <c r="CH113" s="29" t="str">
        <f>IF(OR($B113="",$A113&lt;=83),"",--MID('Key Analysis'!$C109,$A113-83,1))</f>
        <v/>
      </c>
      <c r="CI113" s="29" t="str">
        <f>IF(OR($B113="",$A113&lt;=84),"",--MID('Key Analysis'!$C109,$A113-84,1))</f>
        <v/>
      </c>
      <c r="CJ113" s="29" t="str">
        <f>IF(OR($B113="",$A113&lt;=85),"",--MID('Key Analysis'!$C109,$A113-85,1))</f>
        <v/>
      </c>
      <c r="CK113" s="29" t="str">
        <f>IF(OR($B113="",$A113&lt;=86),"",--MID('Key Analysis'!$C109,$A113-86,1))</f>
        <v/>
      </c>
      <c r="CL113" s="29" t="str">
        <f>IF(OR($B113="",$A113&lt;=87),"",--MID('Key Analysis'!$C109,$A113-87,1))</f>
        <v/>
      </c>
      <c r="CM113" s="29" t="str">
        <f>IF(OR($B113="",$A113&lt;=88),"",--MID('Key Analysis'!$C109,$A113-88,1))</f>
        <v/>
      </c>
      <c r="CN113" s="29" t="str">
        <f>IF(OR($B113="",$A113&lt;=89),"",--MID('Key Analysis'!$C109,$A113-89,1))</f>
        <v/>
      </c>
      <c r="CO113" s="29" t="str">
        <f>IF(OR($B113="",$A113&lt;=90),"",--MID('Key Analysis'!$C109,$A113-90,1))</f>
        <v/>
      </c>
      <c r="CP113" s="29" t="str">
        <f>IF(OR($B113="",$A113&lt;=91),"",--MID('Key Analysis'!$C109,$A113-91,1))</f>
        <v/>
      </c>
      <c r="CQ113" s="29" t="str">
        <f>IF(OR($B113="",$A113&lt;=92),"",--MID('Key Analysis'!$C109,$A113-92,1))</f>
        <v/>
      </c>
      <c r="CR113" s="29" t="str">
        <f>IF(OR($B113="",$A113&lt;=93),"",--MID('Key Analysis'!$C109,$A113-93,1))</f>
        <v/>
      </c>
      <c r="CS113" s="29" t="str">
        <f>IF(OR($B113="",$A113&lt;=94),"",--MID('Key Analysis'!$C109,$A113-94,1))</f>
        <v/>
      </c>
      <c r="CT113" s="29" t="str">
        <f>IF(OR($B113="",$A113&lt;=95),"",--MID('Key Analysis'!$C109,$A113-95,1))</f>
        <v/>
      </c>
      <c r="CU113" s="29" t="str">
        <f>IF(OR($B113="",$A113&lt;=96),"",--MID('Key Analysis'!$C109,$A113-96,1))</f>
        <v/>
      </c>
      <c r="CV113" s="29" t="str">
        <f>IF(OR($B113="",$A113&lt;=97),"",--MID('Key Analysis'!$C109,$A113-97,1))</f>
        <v/>
      </c>
      <c r="CW113" s="29" t="str">
        <f>IF(OR($B113="",$A113&lt;=98),"",--MID('Key Analysis'!$C109,$A113-98,1))</f>
        <v/>
      </c>
      <c r="CX113" s="29" t="str">
        <f>IF(OR($B113="",$A113&lt;=99),"",--MID('Key Analysis'!$C109,$A113-99,1))</f>
        <v/>
      </c>
      <c r="CY113" s="29" t="str">
        <f>IF(OR($B113="",$A113&lt;=100),"",--MID('Key Analysis'!$C109,$A113-100,1))</f>
        <v/>
      </c>
      <c r="CZ113" s="29" t="str">
        <f>IF(OR($B113="",$A113&lt;=101),"",--MID('Key Analysis'!$C109,$A113-101,1))</f>
        <v/>
      </c>
      <c r="DA113" s="29" t="str">
        <f>IF(OR($B113="",$A113&lt;=102),"",--MID('Key Analysis'!$C109,$A113-102,1))</f>
        <v/>
      </c>
      <c r="DB113" s="29" t="str">
        <f>IF(OR($B113="",$A113&lt;=103),"",--MID('Key Analysis'!$C109,$A113-103,1))</f>
        <v/>
      </c>
      <c r="DC113" s="29" t="str">
        <f>IF(OR($B113="",$A113&lt;=104),"",--MID('Key Analysis'!$C109,$A113-104,1))</f>
        <v/>
      </c>
      <c r="DD113" s="29" t="str">
        <f>IF(OR($B113="",$A113&lt;=105),"",--MID('Key Analysis'!$C109,$A113-105,1))</f>
        <v/>
      </c>
      <c r="DE113" s="29" t="str">
        <f>IF(OR($B113="",$A113&lt;=106),"",--MID('Key Analysis'!$C109,$A113-106,1))</f>
        <v/>
      </c>
      <c r="DF113" s="29" t="str">
        <f>IF(OR($B113="",$A113&lt;=107),"",--MID('Key Analysis'!$C109,$A113-107,1))</f>
        <v/>
      </c>
      <c r="DG113" s="29" t="str">
        <f>IF(OR($B113="",$A113&lt;=108),"",--MID('Key Analysis'!$C109,$A113-108,1))</f>
        <v/>
      </c>
      <c r="DH113" s="29" t="str">
        <f>IF(OR($B113="",$A113&lt;=109),"",--MID('Key Analysis'!$C109,$A113-109,1))</f>
        <v/>
      </c>
      <c r="DI113" s="29" t="str">
        <f>IF(OR($B113="",$A113&lt;=110),"",--MID('Key Analysis'!$C109,$A113-110,1))</f>
        <v/>
      </c>
      <c r="DJ113" s="29" t="str">
        <f>IF(OR($B113="",$A113&lt;=111),"",--MID('Key Analysis'!$C109,$A113-111,1))</f>
        <v/>
      </c>
      <c r="DK113" s="29" t="str">
        <f>IF(OR($B113="",$A113&lt;=112),"",--MID('Key Analysis'!$C109,$A113-112,1))</f>
        <v/>
      </c>
      <c r="DL113" s="29" t="str">
        <f>IF(OR($B113="",$A113&lt;=113),"",--MID('Key Analysis'!$C109,$A113-113,1))</f>
        <v/>
      </c>
      <c r="DM113" s="29" t="str">
        <f>IF(OR($B113="",$A113&lt;=114),"",--MID('Key Analysis'!$C109,$A113-114,1))</f>
        <v/>
      </c>
      <c r="DN113" s="29" t="str">
        <f>IF(OR($B113="",$A113&lt;=115),"",--MID('Key Analysis'!$C109,$A113-115,1))</f>
        <v/>
      </c>
      <c r="DO113" s="29" t="str">
        <f>IF(OR($B113="",$A113&lt;=116),"",--MID('Key Analysis'!$C109,$A113-116,1))</f>
        <v/>
      </c>
      <c r="DP113" s="29" t="str">
        <f>IF(OR($B113="",$A113&lt;=117),"",--MID('Key Analysis'!$C109,$A113-117,1))</f>
        <v/>
      </c>
      <c r="DQ113" s="29" t="str">
        <f>IF(OR($B113="",$A113&lt;=118),"",--MID('Key Analysis'!$C109,$A113-118,1))</f>
        <v/>
      </c>
      <c r="DR113" s="29" t="str">
        <f>IF(OR($B113="",$A113&lt;=119),"",--MID('Key Analysis'!$C109,$A113-119,1))</f>
        <v/>
      </c>
      <c r="DS113" s="29" t="str">
        <f>IF(OR($B113="",$A113&lt;=120),"",--MID('Key Analysis'!$C109,$A113-120,1))</f>
        <v/>
      </c>
      <c r="DT113" s="29" t="str">
        <f>IF(OR($B113="",$A113&lt;=121),"",--MID('Key Analysis'!$C109,$A113-121,1))</f>
        <v/>
      </c>
      <c r="DU113" s="29" t="str">
        <f>IF(OR($B113="",$A113&lt;=122),"",--MID('Key Analysis'!$C109,$A113-122,1))</f>
        <v/>
      </c>
      <c r="DV113" s="29" t="str">
        <f>IF(OR($B113="",$A113&lt;=123),"",--MID('Key Analysis'!$C109,$A113-123,1))</f>
        <v/>
      </c>
      <c r="DW113" s="29" t="str">
        <f>IF(OR($B113="",$A113&lt;=124),"",--MID('Key Analysis'!$C109,$A113-124,1))</f>
        <v/>
      </c>
      <c r="DX113" s="29" t="str">
        <f>IF(OR($B113="",$A113&lt;=125),"",--MID('Key Analysis'!$C109,$A113-125,1))</f>
        <v/>
      </c>
      <c r="DY113" s="29" t="str">
        <f>IF(OR($B113="",$A113&lt;=126),"",--MID('Key Analysis'!$C109,$A113-126,1))</f>
        <v/>
      </c>
      <c r="DZ113" s="29" t="str">
        <f>IF(OR($B113="",$A113&lt;=127),"",--MID('Key Analysis'!$C109,$A113-127,1))</f>
        <v/>
      </c>
      <c r="EA113" s="29" t="str">
        <f>IF(OR($B113="",$A113&lt;=128),"",--MID('Key Analysis'!$C109,$A113-128,1))</f>
        <v/>
      </c>
      <c r="EB113" s="29" t="str">
        <f>IF(OR($B113="",$A113&lt;=129),"",--MID('Key Analysis'!$C109,$A113-129,1))</f>
        <v/>
      </c>
      <c r="EC113" s="29" t="str">
        <f>IF(OR($B113="",$A113&lt;=130),"",--MID('Key Analysis'!$C109,$A113-130,1))</f>
        <v/>
      </c>
      <c r="ED113" s="29" t="str">
        <f>IF(OR($B113="",$A113&lt;=131),"",--MID('Key Analysis'!$C109,$A113-131,1))</f>
        <v/>
      </c>
      <c r="EE113" s="29" t="str">
        <f>IF(OR($B113="",$A113&lt;=132),"",--MID('Key Analysis'!$C109,$A113-132,1))</f>
        <v/>
      </c>
      <c r="EF113" s="29" t="str">
        <f>IF(OR($B113="",$A113&lt;=133),"",--MID('Key Analysis'!$C109,$A113-133,1))</f>
        <v/>
      </c>
      <c r="EG113" s="29" t="str">
        <f>IF(OR($B113="",$A113&lt;=134),"",--MID('Key Analysis'!$C109,$A113-134,1))</f>
        <v/>
      </c>
      <c r="EH113" s="29"/>
      <c r="EI113" s="29" t="str">
        <f>IF(OR($B113="",$A113&lt;1),"",--MID('Key Analysis'!$C109,1,1))</f>
        <v/>
      </c>
      <c r="EJ113" s="29" t="str">
        <f>IF(OR($B113="",$A113&lt;2),"",--MID('Key Analysis'!$C109,2,1))</f>
        <v/>
      </c>
      <c r="EK113" s="29" t="str">
        <f>IF(OR($B113="",$A113&lt;3),"",--MID('Key Analysis'!$C109,3,1))</f>
        <v/>
      </c>
      <c r="EL113" s="29" t="str">
        <f>IF(OR($B113="",$A113&lt;4),"",--MID('Key Analysis'!$C109,4,1))</f>
        <v/>
      </c>
      <c r="EM113" s="29" t="str">
        <f>IF(OR($B113="",$A113&lt;5),"",--MID('Key Analysis'!$C109,5,1))</f>
        <v/>
      </c>
      <c r="EN113" s="29" t="str">
        <f>IF(OR($B113="",$A113&lt;6),"",--MID('Key Analysis'!$C109,6,1))</f>
        <v/>
      </c>
      <c r="EO113" s="29" t="str">
        <f>IF(OR($B113="",$A113&lt;7),"",--MID('Key Analysis'!$C109,7,1))</f>
        <v/>
      </c>
      <c r="EP113" s="29" t="str">
        <f>IF(OR($B113="",$A113&lt;8),"",--MID('Key Analysis'!$C109,8,1))</f>
        <v/>
      </c>
      <c r="EQ113" s="29" t="str">
        <f>IF(OR($B113="",$A113&lt;9),"",--MID('Key Analysis'!$C109,9,1))</f>
        <v/>
      </c>
      <c r="ER113" s="29" t="str">
        <f>IF(OR($B113="",$A113&lt;10),"",--MID('Key Analysis'!$C109,10,1))</f>
        <v/>
      </c>
      <c r="ES113" s="29" t="str">
        <f>IF(OR($B113="",$A113&lt;11),"",--MID('Key Analysis'!$C109,11,1))</f>
        <v/>
      </c>
      <c r="ET113" s="29" t="str">
        <f>IF(OR($B113="",$A113&lt;12),"",--MID('Key Analysis'!$C109,12,1))</f>
        <v/>
      </c>
      <c r="EU113" s="29" t="str">
        <f>IF(OR($B113="",$A113&lt;13),"",--MID('Key Analysis'!$C109,13,1))</f>
        <v/>
      </c>
      <c r="EV113" s="29" t="str">
        <f>IF(OR($B113="",$A113&lt;14),"",--MID('Key Analysis'!$C109,14,1))</f>
        <v/>
      </c>
      <c r="EW113" s="29" t="str">
        <f>IF(OR($B113="",$A113&lt;15),"",--MID('Key Analysis'!$C109,15,1))</f>
        <v/>
      </c>
      <c r="EX113" s="29" t="str">
        <f>IF(OR($B113="",$A113&lt;16),"",--MID('Key Analysis'!$C109,16,1))</f>
        <v/>
      </c>
      <c r="EY113" s="29" t="str">
        <f>IF(OR($B113="",$A113&lt;17),"",--MID('Key Analysis'!$C109,17,1))</f>
        <v/>
      </c>
      <c r="EZ113" s="29" t="str">
        <f>IF(OR($B113="",$A113&lt;18),"",--MID('Key Analysis'!$C109,18,1))</f>
        <v/>
      </c>
      <c r="FA113" s="29" t="str">
        <f>IF(OR($B113="",$A113&lt;19),"",--MID('Key Analysis'!$C109,19,1))</f>
        <v/>
      </c>
      <c r="FB113" s="29" t="str">
        <f>IF(OR($B113="",$A113&lt;20),"",--MID('Key Analysis'!$C109,20,1))</f>
        <v/>
      </c>
      <c r="FC113" s="29" t="str">
        <f>IF(OR($B113="",$A113&lt;21),"",--MID('Key Analysis'!$C109,21,1))</f>
        <v/>
      </c>
      <c r="FD113" s="29" t="str">
        <f>IF(OR($B113="",$A113&lt;22),"",--MID('Key Analysis'!$C109,22,1))</f>
        <v/>
      </c>
      <c r="FE113" s="29" t="str">
        <f>IF(OR($B113="",$A113&lt;23),"",--MID('Key Analysis'!$C109,23,1))</f>
        <v/>
      </c>
      <c r="FF113" s="29" t="str">
        <f>IF(OR($B113="",$A113&lt;24),"",--MID('Key Analysis'!$C109,24,1))</f>
        <v/>
      </c>
      <c r="FG113" s="29" t="str">
        <f>IF(OR($B113="",$A113&lt;25),"",--MID('Key Analysis'!$C109,25,1))</f>
        <v/>
      </c>
      <c r="FH113" s="29" t="str">
        <f>IF(OR($B113="",$A113&lt;26),"",--MID('Key Analysis'!$C109,26,1))</f>
        <v/>
      </c>
      <c r="FI113" s="29" t="str">
        <f>IF(OR($B113="",$A113&lt;27),"",--MID('Key Analysis'!$C109,27,1))</f>
        <v/>
      </c>
      <c r="FJ113" s="29" t="str">
        <f>IF(OR($B113="",$A113&lt;28),"",--MID('Key Analysis'!$C109,28,1))</f>
        <v/>
      </c>
      <c r="FK113" s="29" t="str">
        <f>IF(OR($B113="",$A113&lt;29),"",--MID('Key Analysis'!$C109,29,1))</f>
        <v/>
      </c>
      <c r="FL113" s="29" t="str">
        <f>IF(OR($B113="",$A113&lt;30),"",--MID('Key Analysis'!$C109,30,1))</f>
        <v/>
      </c>
      <c r="FM113" s="29" t="str">
        <f>IF(OR($B113="",$A113&lt;31),"",--MID('Key Analysis'!$C109,31,1))</f>
        <v/>
      </c>
      <c r="FN113" s="29" t="str">
        <f>IF(OR($B113="",$A113&lt;32),"",--MID('Key Analysis'!$C109,32,1))</f>
        <v/>
      </c>
      <c r="FO113" s="29" t="str">
        <f>IF(OR($B113="",$A113&lt;33),"",--MID('Key Analysis'!$C109,33,1))</f>
        <v/>
      </c>
      <c r="FP113" s="29" t="str">
        <f>IF(OR($B113="",$A113&lt;34),"",--MID('Key Analysis'!$C109,34,1))</f>
        <v/>
      </c>
      <c r="FQ113" s="29" t="str">
        <f>IF(OR($B113="",$A113&lt;35),"",--MID('Key Analysis'!$C109,35,1))</f>
        <v/>
      </c>
      <c r="FR113" s="29" t="str">
        <f>IF(OR($B113="",$A113&lt;36),"",--MID('Key Analysis'!$C109,36,1))</f>
        <v/>
      </c>
      <c r="FS113" s="29" t="str">
        <f>IF(OR($B113="",$A113&lt;37),"",--MID('Key Analysis'!$C109,37,1))</f>
        <v/>
      </c>
      <c r="FT113" s="29" t="str">
        <f>IF(OR($B113="",$A113&lt;38),"",--MID('Key Analysis'!$C109,38,1))</f>
        <v/>
      </c>
      <c r="FU113" s="29" t="str">
        <f>IF(OR($B113="",$A113&lt;39),"",--MID('Key Analysis'!$C109,39,1))</f>
        <v/>
      </c>
      <c r="FV113" s="29" t="str">
        <f>IF(OR($B113="",$A113&lt;40),"",--MID('Key Analysis'!$C109,40,1))</f>
        <v/>
      </c>
      <c r="FW113" s="29" t="str">
        <f>IF(OR($B113="",$A113&lt;41),"",--MID('Key Analysis'!$C109,41,1))</f>
        <v/>
      </c>
      <c r="FX113" s="29" t="str">
        <f>IF(OR($B113="",$A113&lt;42),"",--MID('Key Analysis'!$C109,42,1))</f>
        <v/>
      </c>
      <c r="FY113" s="29" t="str">
        <f>IF(OR($B113="",$A113&lt;43),"",--MID('Key Analysis'!$C109,43,1))</f>
        <v/>
      </c>
      <c r="FZ113" s="29" t="str">
        <f>IF(OR($B113="",$A113&lt;44),"",--MID('Key Analysis'!$C109,44,1))</f>
        <v/>
      </c>
      <c r="GA113" s="29" t="str">
        <f>IF(OR($B113="",$A113&lt;45),"",--MID('Key Analysis'!$C109,45,1))</f>
        <v/>
      </c>
      <c r="GB113" s="29" t="str">
        <f>IF(OR($B113="",$A113&lt;46),"",--MID('Key Analysis'!$C109,46,1))</f>
        <v/>
      </c>
      <c r="GC113" s="29" t="str">
        <f>IF(OR($B113="",$A113&lt;47),"",--MID('Key Analysis'!$C109,47,1))</f>
        <v/>
      </c>
      <c r="GD113" s="29" t="str">
        <f>IF(OR($B113="",$A113&lt;48),"",--MID('Key Analysis'!$C109,48,1))</f>
        <v/>
      </c>
      <c r="GE113" s="29" t="str">
        <f>IF(OR($B113="",$A113&lt;49),"",--MID('Key Analysis'!$C109,49,1))</f>
        <v/>
      </c>
      <c r="GF113" s="29" t="str">
        <f>IF(OR($B113="",$A113&lt;50),"",--MID('Key Analysis'!$C109,50,1))</f>
        <v/>
      </c>
      <c r="GG113" s="29" t="str">
        <f>IF(OR($B113="",$A113&lt;51),"",--MID('Key Analysis'!$C109,51,1))</f>
        <v/>
      </c>
      <c r="GH113" s="29" t="str">
        <f>IF(OR($B113="",$A113&lt;52),"",--MID('Key Analysis'!$C109,52,1))</f>
        <v/>
      </c>
      <c r="GI113" s="29" t="str">
        <f>IF(OR($B113="",$A113&lt;53),"",--MID('Key Analysis'!$C109,53,1))</f>
        <v/>
      </c>
      <c r="GJ113" s="29" t="str">
        <f>IF(OR($B113="",$A113&lt;54),"",--MID('Key Analysis'!$C109,54,1))</f>
        <v/>
      </c>
      <c r="GK113" s="29" t="str">
        <f>IF(OR($B113="",$A113&lt;55),"",--MID('Key Analysis'!$C109,55,1))</f>
        <v/>
      </c>
      <c r="GL113" s="29" t="str">
        <f>IF(OR($B113="",$A113&lt;56),"",--MID('Key Analysis'!$C109,56,1))</f>
        <v/>
      </c>
      <c r="GM113" s="29" t="str">
        <f>IF(OR($B113="",$A113&lt;57),"",--MID('Key Analysis'!$C109,57,1))</f>
        <v/>
      </c>
      <c r="GN113" s="29" t="str">
        <f>IF(OR($B113="",$A113&lt;58),"",--MID('Key Analysis'!$C109,58,1))</f>
        <v/>
      </c>
      <c r="GO113" s="29" t="str">
        <f>IF(OR($B113="",$A113&lt;59),"",--MID('Key Analysis'!$C109,59,1))</f>
        <v/>
      </c>
      <c r="GP113" s="29" t="str">
        <f>IF(OR($B113="",$A113&lt;60),"",--MID('Key Analysis'!$C109,60,1))</f>
        <v/>
      </c>
      <c r="GQ113" s="29" t="str">
        <f>IF(OR($B113="",$A113&lt;61),"",--MID('Key Analysis'!$C109,61,1))</f>
        <v/>
      </c>
      <c r="GR113" s="29" t="str">
        <f>IF(OR($B113="",$A113&lt;62),"",--MID('Key Analysis'!$C109,62,1))</f>
        <v/>
      </c>
      <c r="GS113" s="29" t="str">
        <f>IF(OR($B113="",$A113&lt;63),"",--MID('Key Analysis'!$C109,63,1))</f>
        <v/>
      </c>
      <c r="GT113" s="29" t="str">
        <f>IF(OR($B113="",$A113&lt;64),"",--MID('Key Analysis'!$C109,64,1))</f>
        <v/>
      </c>
      <c r="GU113" s="29" t="str">
        <f>IF(OR($B113="",$A113&lt;65),"",--MID('Key Analysis'!$C109,65,1))</f>
        <v/>
      </c>
      <c r="GV113" s="29" t="str">
        <f>IF(OR($B113="",$A113&lt;66),"",--MID('Key Analysis'!$C109,66,1))</f>
        <v/>
      </c>
      <c r="GW113" s="29" t="str">
        <f>IF(OR($B113="",$A113&lt;67),"",--MID('Key Analysis'!$C109,67,1))</f>
        <v/>
      </c>
      <c r="GX113" s="29" t="str">
        <f>IF(OR($B113="",$A113&lt;68),"",--MID('Key Analysis'!$C109,68,1))</f>
        <v/>
      </c>
      <c r="GY113" s="29" t="str">
        <f>IF(OR($B113="",$A113&lt;69),"",--MID('Key Analysis'!$C109,69,1))</f>
        <v/>
      </c>
      <c r="GZ113" s="29" t="str">
        <f>IF(OR($B113="",$A113&lt;70),"",--MID('Key Analysis'!$C109,70,1))</f>
        <v/>
      </c>
      <c r="HA113" s="29" t="str">
        <f>IF(OR($B113="",$A113&lt;71),"",--MID('Key Analysis'!$C109,71,1))</f>
        <v/>
      </c>
      <c r="HB113" s="29" t="str">
        <f>IF(OR($B113="",$A113&lt;72),"",--MID('Key Analysis'!$C109,72,1))</f>
        <v/>
      </c>
      <c r="HC113" s="29" t="str">
        <f>IF(OR($B113="",$A113&lt;73),"",--MID('Key Analysis'!$C109,73,1))</f>
        <v/>
      </c>
      <c r="HD113" s="29" t="str">
        <f>IF(OR($B113="",$A113&lt;74),"",--MID('Key Analysis'!$C109,74,1))</f>
        <v/>
      </c>
      <c r="HE113" s="29" t="str">
        <f>IF(OR($B113="",$A113&lt;75),"",--MID('Key Analysis'!$C109,75,1))</f>
        <v/>
      </c>
      <c r="HF113" s="29" t="str">
        <f>IF(OR($B113="",$A113&lt;76),"",--MID('Key Analysis'!$C109,76,1))</f>
        <v/>
      </c>
      <c r="HG113" s="29" t="str">
        <f>IF(OR($B113="",$A113&lt;77),"",--MID('Key Analysis'!$C109,77,1))</f>
        <v/>
      </c>
      <c r="HH113" s="29" t="str">
        <f>IF(OR($B113="",$A113&lt;78),"",--MID('Key Analysis'!$C109,78,1))</f>
        <v/>
      </c>
      <c r="HI113" s="29" t="str">
        <f>IF(OR($B113="",$A113&lt;79),"",--MID('Key Analysis'!$C109,79,1))</f>
        <v/>
      </c>
      <c r="HJ113" s="29" t="str">
        <f>IF(OR($B113="",$A113&lt;80),"",--MID('Key Analysis'!$C109,80,1))</f>
        <v/>
      </c>
      <c r="HK113" s="29" t="str">
        <f>IF(OR($B113="",$A113&lt;81),"",--MID('Key Analysis'!$C109,81,1))</f>
        <v/>
      </c>
      <c r="HL113" s="29" t="str">
        <f>IF(OR($B113="",$A113&lt;82),"",--MID('Key Analysis'!$C109,82,1))</f>
        <v/>
      </c>
      <c r="HM113" s="29" t="str">
        <f>IF(OR($B113="",$A113&lt;83),"",--MID('Key Analysis'!$C109,83,1))</f>
        <v/>
      </c>
      <c r="HN113" s="29" t="str">
        <f>IF(OR($B113="",$A113&lt;84),"",--MID('Key Analysis'!$C109,84,1))</f>
        <v/>
      </c>
      <c r="HO113" s="29" t="str">
        <f>IF(OR($B113="",$A113&lt;85),"",--MID('Key Analysis'!$C109,85,1))</f>
        <v/>
      </c>
      <c r="HP113" s="29" t="str">
        <f>IF(OR($B113="",$A113&lt;86),"",--MID('Key Analysis'!$C109,86,1))</f>
        <v/>
      </c>
      <c r="HQ113" s="29" t="str">
        <f>IF(OR($B113="",$A113&lt;87),"",--MID('Key Analysis'!$C109,87,1))</f>
        <v/>
      </c>
      <c r="HR113" s="29" t="str">
        <f>IF(OR($B113="",$A113&lt;88),"",--MID('Key Analysis'!$C109,88,1))</f>
        <v/>
      </c>
      <c r="HS113" s="29" t="str">
        <f>IF(OR($B113="",$A113&lt;89),"",--MID('Key Analysis'!$C109,89,1))</f>
        <v/>
      </c>
      <c r="HT113" s="29" t="str">
        <f>IF(OR($B113="",$A113&lt;90),"",--MID('Key Analysis'!$C109,90,1))</f>
        <v/>
      </c>
      <c r="HU113" s="29" t="str">
        <f>IF(OR($B113="",$A113&lt;91),"",--MID('Key Analysis'!$C109,91,1))</f>
        <v/>
      </c>
      <c r="HV113" s="29" t="str">
        <f>IF(OR($B113="",$A113&lt;92),"",--MID('Key Analysis'!$C109,92,1))</f>
        <v/>
      </c>
      <c r="HW113" s="29" t="str">
        <f>IF(OR($B113="",$A113&lt;93),"",--MID('Key Analysis'!$C109,93,1))</f>
        <v/>
      </c>
      <c r="HX113" s="29" t="str">
        <f>IF(OR($B113="",$A113&lt;94),"",--MID('Key Analysis'!$C109,94,1))</f>
        <v/>
      </c>
      <c r="HY113" s="29" t="str">
        <f>IF(OR($B113="",$A113&lt;95),"",--MID('Key Analysis'!$C109,95,1))</f>
        <v/>
      </c>
      <c r="HZ113" s="29" t="str">
        <f>IF(OR($B113="",$A113&lt;96),"",--MID('Key Analysis'!$C109,96,1))</f>
        <v/>
      </c>
      <c r="IA113" s="29" t="str">
        <f>IF(OR($B113="",$A113&lt;97),"",--MID('Key Analysis'!$C109,97,1))</f>
        <v/>
      </c>
      <c r="IB113" s="29" t="str">
        <f>IF(OR($B113="",$A113&lt;98),"",--MID('Key Analysis'!$C109,98,1))</f>
        <v/>
      </c>
      <c r="IC113" s="29" t="str">
        <f>IF(OR($B113="",$A113&lt;99),"",--MID('Key Analysis'!$C109,99,1))</f>
        <v/>
      </c>
      <c r="ID113" s="29" t="str">
        <f>IF(OR($B113="",$A113&lt;100),"",--MID('Key Analysis'!$C109,100,1))</f>
        <v/>
      </c>
      <c r="IE113" s="29" t="str">
        <f>IF(OR($B113="",$A113&lt;101),"",--MID('Key Analysis'!$C109,101,1))</f>
        <v/>
      </c>
      <c r="IF113" s="29" t="str">
        <f>IF(OR($B113="",$A113&lt;102),"",--MID('Key Analysis'!$C109,102,1))</f>
        <v/>
      </c>
      <c r="IG113" s="29" t="str">
        <f>IF(OR($B113="",$A113&lt;103),"",--MID('Key Analysis'!$C109,103,1))</f>
        <v/>
      </c>
      <c r="IH113" s="29" t="str">
        <f>IF(OR($B113="",$A113&lt;104),"",--MID('Key Analysis'!$C109,104,1))</f>
        <v/>
      </c>
      <c r="II113" s="29" t="str">
        <f>IF(OR($B113="",$A113&lt;105),"",--MID('Key Analysis'!$C109,105,1))</f>
        <v/>
      </c>
      <c r="IJ113" s="29" t="str">
        <f>IF(OR($B113="",$A113&lt;106),"",--MID('Key Analysis'!$C109,106,1))</f>
        <v/>
      </c>
      <c r="IK113" s="29" t="str">
        <f>IF(OR($B113="",$A113&lt;107),"",--MID('Key Analysis'!$C109,107,1))</f>
        <v/>
      </c>
      <c r="IL113" s="29" t="str">
        <f>IF(OR($B113="",$A113&lt;108),"",--MID('Key Analysis'!$C109,108,1))</f>
        <v/>
      </c>
      <c r="IM113" s="29" t="str">
        <f>IF(OR($B113="",$A113&lt;109),"",--MID('Key Analysis'!$C109,109,1))</f>
        <v/>
      </c>
      <c r="IN113" s="29" t="str">
        <f>IF(OR($B113="",$A113&lt;110),"",--MID('Key Analysis'!$C109,110,1))</f>
        <v/>
      </c>
      <c r="IO113" s="29" t="str">
        <f>IF(OR($B113="",$A113&lt;111),"",--MID('Key Analysis'!$C109,111,1))</f>
        <v/>
      </c>
      <c r="IP113" s="29" t="str">
        <f>IF(OR($B113="",$A113&lt;112),"",--MID('Key Analysis'!$C109,112,1))</f>
        <v/>
      </c>
      <c r="IQ113" s="29" t="str">
        <f>IF(OR($B113="",$A113&lt;113),"",--MID('Key Analysis'!$C109,113,1))</f>
        <v/>
      </c>
      <c r="IR113" s="29" t="str">
        <f>IF(OR($B113="",$A113&lt;114),"",--MID('Key Analysis'!$C109,114,1))</f>
        <v/>
      </c>
      <c r="IS113" s="29" t="str">
        <f>IF(OR($B113="",$A113&lt;115),"",--MID('Key Analysis'!$C109,115,1))</f>
        <v/>
      </c>
      <c r="IT113" s="29" t="str">
        <f>IF(OR($B113="",$A113&lt;116),"",--MID('Key Analysis'!$C109,116,1))</f>
        <v/>
      </c>
      <c r="IU113" s="29" t="str">
        <f>IF(OR($B113="",$A113&lt;117),"",--MID('Key Analysis'!$C109,117,1))</f>
        <v/>
      </c>
      <c r="IV113" s="29" t="str">
        <f>IF(OR($B113="",$A113&lt;118),"",--MID('Key Analysis'!$C109,118,1))</f>
        <v/>
      </c>
      <c r="IW113" s="29" t="str">
        <f>IF(OR($B113="",$A113&lt;119),"",--MID('Key Analysis'!$C109,119,1))</f>
        <v/>
      </c>
      <c r="IX113" s="29" t="str">
        <f>IF(OR($B113="",$A113&lt;120),"",--MID('Key Analysis'!$C109,120,1))</f>
        <v/>
      </c>
      <c r="IY113" s="29" t="str">
        <f>IF(OR($B113="",$A113&lt;121),"",--MID('Key Analysis'!$C109,121,1))</f>
        <v/>
      </c>
      <c r="IZ113" s="29" t="str">
        <f>IF(OR($B113="",$A113&lt;122),"",--MID('Key Analysis'!$C109,122,1))</f>
        <v/>
      </c>
      <c r="JA113" s="29" t="str">
        <f>IF(OR($B113="",$A113&lt;123),"",--MID('Key Analysis'!$C109,123,1))</f>
        <v/>
      </c>
      <c r="JB113" s="29" t="str">
        <f>IF(OR($B113="",$A113&lt;124),"",--MID('Key Analysis'!$C109,124,1))</f>
        <v/>
      </c>
      <c r="JC113" s="29" t="str">
        <f>IF(OR($B113="",$A113&lt;125),"",--MID('Key Analysis'!$C109,125,1))</f>
        <v/>
      </c>
      <c r="JD113" s="29" t="str">
        <f>IF(OR($B113="",$A113&lt;126),"",--MID('Key Analysis'!$C109,126,1))</f>
        <v/>
      </c>
      <c r="JE113" s="29" t="str">
        <f>IF(OR($B113="",$A113&lt;127),"",--MID('Key Analysis'!$C109,127,1))</f>
        <v/>
      </c>
      <c r="JF113" s="29" t="str">
        <f>IF(OR($B113="",$A113&lt;128),"",--MID('Key Analysis'!$C109,128,1))</f>
        <v/>
      </c>
      <c r="JG113" s="29" t="str">
        <f>IF(OR($B113="",$A113&lt;129),"",--MID('Key Analysis'!$C109,129,1))</f>
        <v/>
      </c>
      <c r="JH113" s="29" t="str">
        <f>IF(OR($B113="",$A113&lt;130),"",--MID('Key Analysis'!$C109,130,1))</f>
        <v/>
      </c>
      <c r="JI113" s="29" t="str">
        <f>IF(OR($B113="",$A113&lt;131),"",--MID('Key Analysis'!$C109,131,1))</f>
        <v/>
      </c>
      <c r="JJ113" s="29" t="str">
        <f>IF(OR($B113="",$A113&lt;132),"",--MID('Key Analysis'!$C109,132,1))</f>
        <v/>
      </c>
      <c r="JK113" s="29" t="str">
        <f>IF(OR($B113="",$A113&lt;133),"",--MID('Key Analysis'!$C109,133,1))</f>
        <v/>
      </c>
      <c r="JL113" s="29" t="str">
        <f>IF(OR($B113="",$A113&lt;134),"",--MID('Key Analysis'!$C109,134,1))</f>
        <v/>
      </c>
      <c r="JM113" s="29" t="str">
        <f>IF(OR($B113="",$A113&lt;135),"",--MID('Key Analysis'!$C109,135,1))</f>
        <v/>
      </c>
    </row>
    <row r="114" spans="1:273" x14ac:dyDescent="0.25">
      <c r="A114" s="21">
        <f>'Key Analysis'!A110</f>
        <v>109</v>
      </c>
      <c r="B114" s="30" t="str">
        <f>'Key Analysis'!B110</f>
        <v/>
      </c>
      <c r="C114" s="29" t="str">
        <f>IF(OR($B114="",$A114&lt;=0),"",--MID('Key Analysis'!$C110,$A114-0,1))</f>
        <v/>
      </c>
      <c r="D114" s="29" t="str">
        <f>IF(OR($B114="",$A114&lt;=1),"",--MID('Key Analysis'!$C110,$A114-1,1))</f>
        <v/>
      </c>
      <c r="E114" s="29" t="str">
        <f>IF(OR($B114="",$A114&lt;=2),"",--MID('Key Analysis'!$C110,$A114-2,1))</f>
        <v/>
      </c>
      <c r="F114" s="29" t="str">
        <f>IF(OR($B114="",$A114&lt;=3),"",--MID('Key Analysis'!$C110,$A114-3,1))</f>
        <v/>
      </c>
      <c r="G114" s="29" t="str">
        <f>IF(OR($B114="",$A114&lt;=4),"",--MID('Key Analysis'!$C110,$A114-4,1))</f>
        <v/>
      </c>
      <c r="H114" s="29" t="str">
        <f>IF(OR($B114="",$A114&lt;=5),"",--MID('Key Analysis'!$C110,$A114-5,1))</f>
        <v/>
      </c>
      <c r="I114" s="29" t="str">
        <f>IF(OR($B114="",$A114&lt;=6),"",--MID('Key Analysis'!$C110,$A114-6,1))</f>
        <v/>
      </c>
      <c r="J114" s="29" t="str">
        <f>IF(OR($B114="",$A114&lt;=7),"",--MID('Key Analysis'!$C110,$A114-7,1))</f>
        <v/>
      </c>
      <c r="K114" s="29" t="str">
        <f>IF(OR($B114="",$A114&lt;=8),"",--MID('Key Analysis'!$C110,$A114-8,1))</f>
        <v/>
      </c>
      <c r="L114" s="29" t="str">
        <f>IF(OR($B114="",$A114&lt;=9),"",--MID('Key Analysis'!$C110,$A114-9,1))</f>
        <v/>
      </c>
      <c r="M114" s="29" t="str">
        <f>IF(OR($B114="",$A114&lt;=10),"",--MID('Key Analysis'!$C110,$A114-10,1))</f>
        <v/>
      </c>
      <c r="N114" s="29" t="str">
        <f>IF(OR($B114="",$A114&lt;=11),"",--MID('Key Analysis'!$C110,$A114-11,1))</f>
        <v/>
      </c>
      <c r="O114" s="29" t="str">
        <f>IF(OR($B114="",$A114&lt;=12),"",--MID('Key Analysis'!$C110,$A114-12,1))</f>
        <v/>
      </c>
      <c r="P114" s="29" t="str">
        <f>IF(OR($B114="",$A114&lt;=13),"",--MID('Key Analysis'!$C110,$A114-13,1))</f>
        <v/>
      </c>
      <c r="Q114" s="29" t="str">
        <f>IF(OR($B114="",$A114&lt;=14),"",--MID('Key Analysis'!$C110,$A114-14,1))</f>
        <v/>
      </c>
      <c r="R114" s="29" t="str">
        <f>IF(OR($B114="",$A114&lt;=15),"",--MID('Key Analysis'!$C110,$A114-15,1))</f>
        <v/>
      </c>
      <c r="S114" s="29" t="str">
        <f>IF(OR($B114="",$A114&lt;=16),"",--MID('Key Analysis'!$C110,$A114-16,1))</f>
        <v/>
      </c>
      <c r="T114" s="29" t="str">
        <f>IF(OR($B114="",$A114&lt;=17),"",--MID('Key Analysis'!$C110,$A114-17,1))</f>
        <v/>
      </c>
      <c r="U114" s="29" t="str">
        <f>IF(OR($B114="",$A114&lt;=18),"",--MID('Key Analysis'!$C110,$A114-18,1))</f>
        <v/>
      </c>
      <c r="V114" s="29" t="str">
        <f>IF(OR($B114="",$A114&lt;=19),"",--MID('Key Analysis'!$C110,$A114-19,1))</f>
        <v/>
      </c>
      <c r="W114" s="29" t="str">
        <f>IF(OR($B114="",$A114&lt;=20),"",--MID('Key Analysis'!$C110,$A114-20,1))</f>
        <v/>
      </c>
      <c r="X114" s="29" t="str">
        <f>IF(OR($B114="",$A114&lt;=21),"",--MID('Key Analysis'!$C110,$A114-21,1))</f>
        <v/>
      </c>
      <c r="Y114" s="29" t="str">
        <f>IF(OR($B114="",$A114&lt;=22),"",--MID('Key Analysis'!$C110,$A114-22,1))</f>
        <v/>
      </c>
      <c r="Z114" s="29" t="str">
        <f>IF(OR($B114="",$A114&lt;=23),"",--MID('Key Analysis'!$C110,$A114-23,1))</f>
        <v/>
      </c>
      <c r="AA114" s="29" t="str">
        <f>IF(OR($B114="",$A114&lt;=24),"",--MID('Key Analysis'!$C110,$A114-24,1))</f>
        <v/>
      </c>
      <c r="AB114" s="29" t="str">
        <f>IF(OR($B114="",$A114&lt;=25),"",--MID('Key Analysis'!$C110,$A114-25,1))</f>
        <v/>
      </c>
      <c r="AC114" s="29" t="str">
        <f>IF(OR($B114="",$A114&lt;=26),"",--MID('Key Analysis'!$C110,$A114-26,1))</f>
        <v/>
      </c>
      <c r="AD114" s="29" t="str">
        <f>IF(OR($B114="",$A114&lt;=27),"",--MID('Key Analysis'!$C110,$A114-27,1))</f>
        <v/>
      </c>
      <c r="AE114" s="29" t="str">
        <f>IF(OR($B114="",$A114&lt;=28),"",--MID('Key Analysis'!$C110,$A114-28,1))</f>
        <v/>
      </c>
      <c r="AF114" s="29" t="str">
        <f>IF(OR($B114="",$A114&lt;=29),"",--MID('Key Analysis'!$C110,$A114-29,1))</f>
        <v/>
      </c>
      <c r="AG114" s="29" t="str">
        <f>IF(OR($B114="",$A114&lt;=30),"",--MID('Key Analysis'!$C110,$A114-30,1))</f>
        <v/>
      </c>
      <c r="AH114" s="29" t="str">
        <f>IF(OR($B114="",$A114&lt;=31),"",--MID('Key Analysis'!$C110,$A114-31,1))</f>
        <v/>
      </c>
      <c r="AI114" s="29" t="str">
        <f>IF(OR($B114="",$A114&lt;=32),"",--MID('Key Analysis'!$C110,$A114-32,1))</f>
        <v/>
      </c>
      <c r="AJ114" s="29" t="str">
        <f>IF(OR($B114="",$A114&lt;=33),"",--MID('Key Analysis'!$C110,$A114-33,1))</f>
        <v/>
      </c>
      <c r="AK114" s="29" t="str">
        <f>IF(OR($B114="",$A114&lt;=34),"",--MID('Key Analysis'!$C110,$A114-34,1))</f>
        <v/>
      </c>
      <c r="AL114" s="29" t="str">
        <f>IF(OR($B114="",$A114&lt;=35),"",--MID('Key Analysis'!$C110,$A114-35,1))</f>
        <v/>
      </c>
      <c r="AM114" s="29" t="str">
        <f>IF(OR($B114="",$A114&lt;=36),"",--MID('Key Analysis'!$C110,$A114-36,1))</f>
        <v/>
      </c>
      <c r="AN114" s="29" t="str">
        <f>IF(OR($B114="",$A114&lt;=37),"",--MID('Key Analysis'!$C110,$A114-37,1))</f>
        <v/>
      </c>
      <c r="AO114" s="29" t="str">
        <f>IF(OR($B114="",$A114&lt;=38),"",--MID('Key Analysis'!$C110,$A114-38,1))</f>
        <v/>
      </c>
      <c r="AP114" s="29" t="str">
        <f>IF(OR($B114="",$A114&lt;=39),"",--MID('Key Analysis'!$C110,$A114-39,1))</f>
        <v/>
      </c>
      <c r="AQ114" s="29" t="str">
        <f>IF(OR($B114="",$A114&lt;=40),"",--MID('Key Analysis'!$C110,$A114-40,1))</f>
        <v/>
      </c>
      <c r="AR114" s="29" t="str">
        <f>IF(OR($B114="",$A114&lt;=41),"",--MID('Key Analysis'!$C110,$A114-41,1))</f>
        <v/>
      </c>
      <c r="AS114" s="29" t="str">
        <f>IF(OR($B114="",$A114&lt;=42),"",--MID('Key Analysis'!$C110,$A114-42,1))</f>
        <v/>
      </c>
      <c r="AT114" s="29" t="str">
        <f>IF(OR($B114="",$A114&lt;=43),"",--MID('Key Analysis'!$C110,$A114-43,1))</f>
        <v/>
      </c>
      <c r="AU114" s="29" t="str">
        <f>IF(OR($B114="",$A114&lt;=44),"",--MID('Key Analysis'!$C110,$A114-44,1))</f>
        <v/>
      </c>
      <c r="AV114" s="29" t="str">
        <f>IF(OR($B114="",$A114&lt;=45),"",--MID('Key Analysis'!$C110,$A114-45,1))</f>
        <v/>
      </c>
      <c r="AW114" s="29" t="str">
        <f>IF(OR($B114="",$A114&lt;=46),"",--MID('Key Analysis'!$C110,$A114-46,1))</f>
        <v/>
      </c>
      <c r="AX114" s="29" t="str">
        <f>IF(OR($B114="",$A114&lt;=47),"",--MID('Key Analysis'!$C110,$A114-47,1))</f>
        <v/>
      </c>
      <c r="AY114" s="29" t="str">
        <f>IF(OR($B114="",$A114&lt;=48),"",--MID('Key Analysis'!$C110,$A114-48,1))</f>
        <v/>
      </c>
      <c r="AZ114" s="29" t="str">
        <f>IF(OR($B114="",$A114&lt;=49),"",--MID('Key Analysis'!$C110,$A114-49,1))</f>
        <v/>
      </c>
      <c r="BA114" s="29" t="str">
        <f>IF(OR($B114="",$A114&lt;=50),"",--MID('Key Analysis'!$C110,$A114-50,1))</f>
        <v/>
      </c>
      <c r="BB114" s="29" t="str">
        <f>IF(OR($B114="",$A114&lt;=51),"",--MID('Key Analysis'!$C110,$A114-51,1))</f>
        <v/>
      </c>
      <c r="BC114" s="29" t="str">
        <f>IF(OR($B114="",$A114&lt;=52),"",--MID('Key Analysis'!$C110,$A114-52,1))</f>
        <v/>
      </c>
      <c r="BD114" s="29" t="str">
        <f>IF(OR($B114="",$A114&lt;=53),"",--MID('Key Analysis'!$C110,$A114-53,1))</f>
        <v/>
      </c>
      <c r="BE114" s="29" t="str">
        <f>IF(OR($B114="",$A114&lt;=54),"",--MID('Key Analysis'!$C110,$A114-54,1))</f>
        <v/>
      </c>
      <c r="BF114" s="29" t="str">
        <f>IF(OR($B114="",$A114&lt;=55),"",--MID('Key Analysis'!$C110,$A114-55,1))</f>
        <v/>
      </c>
      <c r="BG114" s="29" t="str">
        <f>IF(OR($B114="",$A114&lt;=56),"",--MID('Key Analysis'!$C110,$A114-56,1))</f>
        <v/>
      </c>
      <c r="BH114" s="29" t="str">
        <f>IF(OR($B114="",$A114&lt;=57),"",--MID('Key Analysis'!$C110,$A114-57,1))</f>
        <v/>
      </c>
      <c r="BI114" s="29" t="str">
        <f>IF(OR($B114="",$A114&lt;=58),"",--MID('Key Analysis'!$C110,$A114-58,1))</f>
        <v/>
      </c>
      <c r="BJ114" s="29" t="str">
        <f>IF(OR($B114="",$A114&lt;=59),"",--MID('Key Analysis'!$C110,$A114-59,1))</f>
        <v/>
      </c>
      <c r="BK114" s="29" t="str">
        <f>IF(OR($B114="",$A114&lt;=60),"",--MID('Key Analysis'!$C110,$A114-60,1))</f>
        <v/>
      </c>
      <c r="BL114" s="29" t="str">
        <f>IF(OR($B114="",$A114&lt;=61),"",--MID('Key Analysis'!$C110,$A114-61,1))</f>
        <v/>
      </c>
      <c r="BM114" s="29" t="str">
        <f>IF(OR($B114="",$A114&lt;=62),"",--MID('Key Analysis'!$C110,$A114-62,1))</f>
        <v/>
      </c>
      <c r="BN114" s="29" t="str">
        <f>IF(OR($B114="",$A114&lt;=63),"",--MID('Key Analysis'!$C110,$A114-63,1))</f>
        <v/>
      </c>
      <c r="BO114" s="29" t="str">
        <f>IF(OR($B114="",$A114&lt;=64),"",--MID('Key Analysis'!$C110,$A114-64,1))</f>
        <v/>
      </c>
      <c r="BP114" s="29" t="str">
        <f>IF(OR($B114="",$A114&lt;=65),"",--MID('Key Analysis'!$C110,$A114-65,1))</f>
        <v/>
      </c>
      <c r="BQ114" s="29" t="str">
        <f>IF(OR($B114="",$A114&lt;=66),"",--MID('Key Analysis'!$C110,$A114-66,1))</f>
        <v/>
      </c>
      <c r="BR114" s="29" t="str">
        <f>IF(OR($B114="",$A114&lt;=67),"",--MID('Key Analysis'!$C110,$A114-67,1))</f>
        <v/>
      </c>
      <c r="BS114" s="29" t="str">
        <f>IF(OR($B114="",$A114&lt;=68),"",--MID('Key Analysis'!$C110,$A114-68,1))</f>
        <v/>
      </c>
      <c r="BT114" s="29" t="str">
        <f>IF(OR($B114="",$A114&lt;=69),"",--MID('Key Analysis'!$C110,$A114-69,1))</f>
        <v/>
      </c>
      <c r="BU114" s="29" t="str">
        <f>IF(OR($B114="",$A114&lt;=70),"",--MID('Key Analysis'!$C110,$A114-70,1))</f>
        <v/>
      </c>
      <c r="BV114" s="29" t="str">
        <f>IF(OR($B114="",$A114&lt;=71),"",--MID('Key Analysis'!$C110,$A114-71,1))</f>
        <v/>
      </c>
      <c r="BW114" s="29" t="str">
        <f>IF(OR($B114="",$A114&lt;=72),"",--MID('Key Analysis'!$C110,$A114-72,1))</f>
        <v/>
      </c>
      <c r="BX114" s="29" t="str">
        <f>IF(OR($B114="",$A114&lt;=73),"",--MID('Key Analysis'!$C110,$A114-73,1))</f>
        <v/>
      </c>
      <c r="BY114" s="29" t="str">
        <f>IF(OR($B114="",$A114&lt;=74),"",--MID('Key Analysis'!$C110,$A114-74,1))</f>
        <v/>
      </c>
      <c r="BZ114" s="29" t="str">
        <f>IF(OR($B114="",$A114&lt;=75),"",--MID('Key Analysis'!$C110,$A114-75,1))</f>
        <v/>
      </c>
      <c r="CA114" s="29" t="str">
        <f>IF(OR($B114="",$A114&lt;=76),"",--MID('Key Analysis'!$C110,$A114-76,1))</f>
        <v/>
      </c>
      <c r="CB114" s="29" t="str">
        <f>IF(OR($B114="",$A114&lt;=77),"",--MID('Key Analysis'!$C110,$A114-77,1))</f>
        <v/>
      </c>
      <c r="CC114" s="29" t="str">
        <f>IF(OR($B114="",$A114&lt;=78),"",--MID('Key Analysis'!$C110,$A114-78,1))</f>
        <v/>
      </c>
      <c r="CD114" s="29" t="str">
        <f>IF(OR($B114="",$A114&lt;=79),"",--MID('Key Analysis'!$C110,$A114-79,1))</f>
        <v/>
      </c>
      <c r="CE114" s="29" t="str">
        <f>IF(OR($B114="",$A114&lt;=80),"",--MID('Key Analysis'!$C110,$A114-80,1))</f>
        <v/>
      </c>
      <c r="CF114" s="29" t="str">
        <f>IF(OR($B114="",$A114&lt;=81),"",--MID('Key Analysis'!$C110,$A114-81,1))</f>
        <v/>
      </c>
      <c r="CG114" s="29" t="str">
        <f>IF(OR($B114="",$A114&lt;=82),"",--MID('Key Analysis'!$C110,$A114-82,1))</f>
        <v/>
      </c>
      <c r="CH114" s="29" t="str">
        <f>IF(OR($B114="",$A114&lt;=83),"",--MID('Key Analysis'!$C110,$A114-83,1))</f>
        <v/>
      </c>
      <c r="CI114" s="29" t="str">
        <f>IF(OR($B114="",$A114&lt;=84),"",--MID('Key Analysis'!$C110,$A114-84,1))</f>
        <v/>
      </c>
      <c r="CJ114" s="29" t="str">
        <f>IF(OR($B114="",$A114&lt;=85),"",--MID('Key Analysis'!$C110,$A114-85,1))</f>
        <v/>
      </c>
      <c r="CK114" s="29" t="str">
        <f>IF(OR($B114="",$A114&lt;=86),"",--MID('Key Analysis'!$C110,$A114-86,1))</f>
        <v/>
      </c>
      <c r="CL114" s="29" t="str">
        <f>IF(OR($B114="",$A114&lt;=87),"",--MID('Key Analysis'!$C110,$A114-87,1))</f>
        <v/>
      </c>
      <c r="CM114" s="29" t="str">
        <f>IF(OR($B114="",$A114&lt;=88),"",--MID('Key Analysis'!$C110,$A114-88,1))</f>
        <v/>
      </c>
      <c r="CN114" s="29" t="str">
        <f>IF(OR($B114="",$A114&lt;=89),"",--MID('Key Analysis'!$C110,$A114-89,1))</f>
        <v/>
      </c>
      <c r="CO114" s="29" t="str">
        <f>IF(OR($B114="",$A114&lt;=90),"",--MID('Key Analysis'!$C110,$A114-90,1))</f>
        <v/>
      </c>
      <c r="CP114" s="29" t="str">
        <f>IF(OR($B114="",$A114&lt;=91),"",--MID('Key Analysis'!$C110,$A114-91,1))</f>
        <v/>
      </c>
      <c r="CQ114" s="29" t="str">
        <f>IF(OR($B114="",$A114&lt;=92),"",--MID('Key Analysis'!$C110,$A114-92,1))</f>
        <v/>
      </c>
      <c r="CR114" s="29" t="str">
        <f>IF(OR($B114="",$A114&lt;=93),"",--MID('Key Analysis'!$C110,$A114-93,1))</f>
        <v/>
      </c>
      <c r="CS114" s="29" t="str">
        <f>IF(OR($B114="",$A114&lt;=94),"",--MID('Key Analysis'!$C110,$A114-94,1))</f>
        <v/>
      </c>
      <c r="CT114" s="29" t="str">
        <f>IF(OR($B114="",$A114&lt;=95),"",--MID('Key Analysis'!$C110,$A114-95,1))</f>
        <v/>
      </c>
      <c r="CU114" s="29" t="str">
        <f>IF(OR($B114="",$A114&lt;=96),"",--MID('Key Analysis'!$C110,$A114-96,1))</f>
        <v/>
      </c>
      <c r="CV114" s="29" t="str">
        <f>IF(OR($B114="",$A114&lt;=97),"",--MID('Key Analysis'!$C110,$A114-97,1))</f>
        <v/>
      </c>
      <c r="CW114" s="29" t="str">
        <f>IF(OR($B114="",$A114&lt;=98),"",--MID('Key Analysis'!$C110,$A114-98,1))</f>
        <v/>
      </c>
      <c r="CX114" s="29" t="str">
        <f>IF(OR($B114="",$A114&lt;=99),"",--MID('Key Analysis'!$C110,$A114-99,1))</f>
        <v/>
      </c>
      <c r="CY114" s="29" t="str">
        <f>IF(OR($B114="",$A114&lt;=100),"",--MID('Key Analysis'!$C110,$A114-100,1))</f>
        <v/>
      </c>
      <c r="CZ114" s="29" t="str">
        <f>IF(OR($B114="",$A114&lt;=101),"",--MID('Key Analysis'!$C110,$A114-101,1))</f>
        <v/>
      </c>
      <c r="DA114" s="29" t="str">
        <f>IF(OR($B114="",$A114&lt;=102),"",--MID('Key Analysis'!$C110,$A114-102,1))</f>
        <v/>
      </c>
      <c r="DB114" s="29" t="str">
        <f>IF(OR($B114="",$A114&lt;=103),"",--MID('Key Analysis'!$C110,$A114-103,1))</f>
        <v/>
      </c>
      <c r="DC114" s="29" t="str">
        <f>IF(OR($B114="",$A114&lt;=104),"",--MID('Key Analysis'!$C110,$A114-104,1))</f>
        <v/>
      </c>
      <c r="DD114" s="29" t="str">
        <f>IF(OR($B114="",$A114&lt;=105),"",--MID('Key Analysis'!$C110,$A114-105,1))</f>
        <v/>
      </c>
      <c r="DE114" s="29" t="str">
        <f>IF(OR($B114="",$A114&lt;=106),"",--MID('Key Analysis'!$C110,$A114-106,1))</f>
        <v/>
      </c>
      <c r="DF114" s="29" t="str">
        <f>IF(OR($B114="",$A114&lt;=107),"",--MID('Key Analysis'!$C110,$A114-107,1))</f>
        <v/>
      </c>
      <c r="DG114" s="29" t="str">
        <f>IF(OR($B114="",$A114&lt;=108),"",--MID('Key Analysis'!$C110,$A114-108,1))</f>
        <v/>
      </c>
      <c r="DH114" s="29" t="str">
        <f>IF(OR($B114="",$A114&lt;=109),"",--MID('Key Analysis'!$C110,$A114-109,1))</f>
        <v/>
      </c>
      <c r="DI114" s="29" t="str">
        <f>IF(OR($B114="",$A114&lt;=110),"",--MID('Key Analysis'!$C110,$A114-110,1))</f>
        <v/>
      </c>
      <c r="DJ114" s="29" t="str">
        <f>IF(OR($B114="",$A114&lt;=111),"",--MID('Key Analysis'!$C110,$A114-111,1))</f>
        <v/>
      </c>
      <c r="DK114" s="29" t="str">
        <f>IF(OR($B114="",$A114&lt;=112),"",--MID('Key Analysis'!$C110,$A114-112,1))</f>
        <v/>
      </c>
      <c r="DL114" s="29" t="str">
        <f>IF(OR($B114="",$A114&lt;=113),"",--MID('Key Analysis'!$C110,$A114-113,1))</f>
        <v/>
      </c>
      <c r="DM114" s="29" t="str">
        <f>IF(OR($B114="",$A114&lt;=114),"",--MID('Key Analysis'!$C110,$A114-114,1))</f>
        <v/>
      </c>
      <c r="DN114" s="29" t="str">
        <f>IF(OR($B114="",$A114&lt;=115),"",--MID('Key Analysis'!$C110,$A114-115,1))</f>
        <v/>
      </c>
      <c r="DO114" s="29" t="str">
        <f>IF(OR($B114="",$A114&lt;=116),"",--MID('Key Analysis'!$C110,$A114-116,1))</f>
        <v/>
      </c>
      <c r="DP114" s="29" t="str">
        <f>IF(OR($B114="",$A114&lt;=117),"",--MID('Key Analysis'!$C110,$A114-117,1))</f>
        <v/>
      </c>
      <c r="DQ114" s="29" t="str">
        <f>IF(OR($B114="",$A114&lt;=118),"",--MID('Key Analysis'!$C110,$A114-118,1))</f>
        <v/>
      </c>
      <c r="DR114" s="29" t="str">
        <f>IF(OR($B114="",$A114&lt;=119),"",--MID('Key Analysis'!$C110,$A114-119,1))</f>
        <v/>
      </c>
      <c r="DS114" s="29" t="str">
        <f>IF(OR($B114="",$A114&lt;=120),"",--MID('Key Analysis'!$C110,$A114-120,1))</f>
        <v/>
      </c>
      <c r="DT114" s="29" t="str">
        <f>IF(OR($B114="",$A114&lt;=121),"",--MID('Key Analysis'!$C110,$A114-121,1))</f>
        <v/>
      </c>
      <c r="DU114" s="29" t="str">
        <f>IF(OR($B114="",$A114&lt;=122),"",--MID('Key Analysis'!$C110,$A114-122,1))</f>
        <v/>
      </c>
      <c r="DV114" s="29" t="str">
        <f>IF(OR($B114="",$A114&lt;=123),"",--MID('Key Analysis'!$C110,$A114-123,1))</f>
        <v/>
      </c>
      <c r="DW114" s="29" t="str">
        <f>IF(OR($B114="",$A114&lt;=124),"",--MID('Key Analysis'!$C110,$A114-124,1))</f>
        <v/>
      </c>
      <c r="DX114" s="29" t="str">
        <f>IF(OR($B114="",$A114&lt;=125),"",--MID('Key Analysis'!$C110,$A114-125,1))</f>
        <v/>
      </c>
      <c r="DY114" s="29" t="str">
        <f>IF(OR($B114="",$A114&lt;=126),"",--MID('Key Analysis'!$C110,$A114-126,1))</f>
        <v/>
      </c>
      <c r="DZ114" s="29" t="str">
        <f>IF(OR($B114="",$A114&lt;=127),"",--MID('Key Analysis'!$C110,$A114-127,1))</f>
        <v/>
      </c>
      <c r="EA114" s="29" t="str">
        <f>IF(OR($B114="",$A114&lt;=128),"",--MID('Key Analysis'!$C110,$A114-128,1))</f>
        <v/>
      </c>
      <c r="EB114" s="29" t="str">
        <f>IF(OR($B114="",$A114&lt;=129),"",--MID('Key Analysis'!$C110,$A114-129,1))</f>
        <v/>
      </c>
      <c r="EC114" s="29" t="str">
        <f>IF(OR($B114="",$A114&lt;=130),"",--MID('Key Analysis'!$C110,$A114-130,1))</f>
        <v/>
      </c>
      <c r="ED114" s="29" t="str">
        <f>IF(OR($B114="",$A114&lt;=131),"",--MID('Key Analysis'!$C110,$A114-131,1))</f>
        <v/>
      </c>
      <c r="EE114" s="29" t="str">
        <f>IF(OR($B114="",$A114&lt;=132),"",--MID('Key Analysis'!$C110,$A114-132,1))</f>
        <v/>
      </c>
      <c r="EF114" s="29" t="str">
        <f>IF(OR($B114="",$A114&lt;=133),"",--MID('Key Analysis'!$C110,$A114-133,1))</f>
        <v/>
      </c>
      <c r="EG114" s="29" t="str">
        <f>IF(OR($B114="",$A114&lt;=134),"",--MID('Key Analysis'!$C110,$A114-134,1))</f>
        <v/>
      </c>
      <c r="EH114" s="29"/>
      <c r="EI114" s="29" t="str">
        <f>IF(OR($B114="",$A114&lt;1),"",--MID('Key Analysis'!$C110,1,1))</f>
        <v/>
      </c>
      <c r="EJ114" s="29" t="str">
        <f>IF(OR($B114="",$A114&lt;2),"",--MID('Key Analysis'!$C110,2,1))</f>
        <v/>
      </c>
      <c r="EK114" s="29" t="str">
        <f>IF(OR($B114="",$A114&lt;3),"",--MID('Key Analysis'!$C110,3,1))</f>
        <v/>
      </c>
      <c r="EL114" s="29" t="str">
        <f>IF(OR($B114="",$A114&lt;4),"",--MID('Key Analysis'!$C110,4,1))</f>
        <v/>
      </c>
      <c r="EM114" s="29" t="str">
        <f>IF(OR($B114="",$A114&lt;5),"",--MID('Key Analysis'!$C110,5,1))</f>
        <v/>
      </c>
      <c r="EN114" s="29" t="str">
        <f>IF(OR($B114="",$A114&lt;6),"",--MID('Key Analysis'!$C110,6,1))</f>
        <v/>
      </c>
      <c r="EO114" s="29" t="str">
        <f>IF(OR($B114="",$A114&lt;7),"",--MID('Key Analysis'!$C110,7,1))</f>
        <v/>
      </c>
      <c r="EP114" s="29" t="str">
        <f>IF(OR($B114="",$A114&lt;8),"",--MID('Key Analysis'!$C110,8,1))</f>
        <v/>
      </c>
      <c r="EQ114" s="29" t="str">
        <f>IF(OR($B114="",$A114&lt;9),"",--MID('Key Analysis'!$C110,9,1))</f>
        <v/>
      </c>
      <c r="ER114" s="29" t="str">
        <f>IF(OR($B114="",$A114&lt;10),"",--MID('Key Analysis'!$C110,10,1))</f>
        <v/>
      </c>
      <c r="ES114" s="29" t="str">
        <f>IF(OR($B114="",$A114&lt;11),"",--MID('Key Analysis'!$C110,11,1))</f>
        <v/>
      </c>
      <c r="ET114" s="29" t="str">
        <f>IF(OR($B114="",$A114&lt;12),"",--MID('Key Analysis'!$C110,12,1))</f>
        <v/>
      </c>
      <c r="EU114" s="29" t="str">
        <f>IF(OR($B114="",$A114&lt;13),"",--MID('Key Analysis'!$C110,13,1))</f>
        <v/>
      </c>
      <c r="EV114" s="29" t="str">
        <f>IF(OR($B114="",$A114&lt;14),"",--MID('Key Analysis'!$C110,14,1))</f>
        <v/>
      </c>
      <c r="EW114" s="29" t="str">
        <f>IF(OR($B114="",$A114&lt;15),"",--MID('Key Analysis'!$C110,15,1))</f>
        <v/>
      </c>
      <c r="EX114" s="29" t="str">
        <f>IF(OR($B114="",$A114&lt;16),"",--MID('Key Analysis'!$C110,16,1))</f>
        <v/>
      </c>
      <c r="EY114" s="29" t="str">
        <f>IF(OR($B114="",$A114&lt;17),"",--MID('Key Analysis'!$C110,17,1))</f>
        <v/>
      </c>
      <c r="EZ114" s="29" t="str">
        <f>IF(OR($B114="",$A114&lt;18),"",--MID('Key Analysis'!$C110,18,1))</f>
        <v/>
      </c>
      <c r="FA114" s="29" t="str">
        <f>IF(OR($B114="",$A114&lt;19),"",--MID('Key Analysis'!$C110,19,1))</f>
        <v/>
      </c>
      <c r="FB114" s="29" t="str">
        <f>IF(OR($B114="",$A114&lt;20),"",--MID('Key Analysis'!$C110,20,1))</f>
        <v/>
      </c>
      <c r="FC114" s="29" t="str">
        <f>IF(OR($B114="",$A114&lt;21),"",--MID('Key Analysis'!$C110,21,1))</f>
        <v/>
      </c>
      <c r="FD114" s="29" t="str">
        <f>IF(OR($B114="",$A114&lt;22),"",--MID('Key Analysis'!$C110,22,1))</f>
        <v/>
      </c>
      <c r="FE114" s="29" t="str">
        <f>IF(OR($B114="",$A114&lt;23),"",--MID('Key Analysis'!$C110,23,1))</f>
        <v/>
      </c>
      <c r="FF114" s="29" t="str">
        <f>IF(OR($B114="",$A114&lt;24),"",--MID('Key Analysis'!$C110,24,1))</f>
        <v/>
      </c>
      <c r="FG114" s="29" t="str">
        <f>IF(OR($B114="",$A114&lt;25),"",--MID('Key Analysis'!$C110,25,1))</f>
        <v/>
      </c>
      <c r="FH114" s="29" t="str">
        <f>IF(OR($B114="",$A114&lt;26),"",--MID('Key Analysis'!$C110,26,1))</f>
        <v/>
      </c>
      <c r="FI114" s="29" t="str">
        <f>IF(OR($B114="",$A114&lt;27),"",--MID('Key Analysis'!$C110,27,1))</f>
        <v/>
      </c>
      <c r="FJ114" s="29" t="str">
        <f>IF(OR($B114="",$A114&lt;28),"",--MID('Key Analysis'!$C110,28,1))</f>
        <v/>
      </c>
      <c r="FK114" s="29" t="str">
        <f>IF(OR($B114="",$A114&lt;29),"",--MID('Key Analysis'!$C110,29,1))</f>
        <v/>
      </c>
      <c r="FL114" s="29" t="str">
        <f>IF(OR($B114="",$A114&lt;30),"",--MID('Key Analysis'!$C110,30,1))</f>
        <v/>
      </c>
      <c r="FM114" s="29" t="str">
        <f>IF(OR($B114="",$A114&lt;31),"",--MID('Key Analysis'!$C110,31,1))</f>
        <v/>
      </c>
      <c r="FN114" s="29" t="str">
        <f>IF(OR($B114="",$A114&lt;32),"",--MID('Key Analysis'!$C110,32,1))</f>
        <v/>
      </c>
      <c r="FO114" s="29" t="str">
        <f>IF(OR($B114="",$A114&lt;33),"",--MID('Key Analysis'!$C110,33,1))</f>
        <v/>
      </c>
      <c r="FP114" s="29" t="str">
        <f>IF(OR($B114="",$A114&lt;34),"",--MID('Key Analysis'!$C110,34,1))</f>
        <v/>
      </c>
      <c r="FQ114" s="29" t="str">
        <f>IF(OR($B114="",$A114&lt;35),"",--MID('Key Analysis'!$C110,35,1))</f>
        <v/>
      </c>
      <c r="FR114" s="29" t="str">
        <f>IF(OR($B114="",$A114&lt;36),"",--MID('Key Analysis'!$C110,36,1))</f>
        <v/>
      </c>
      <c r="FS114" s="29" t="str">
        <f>IF(OR($B114="",$A114&lt;37),"",--MID('Key Analysis'!$C110,37,1))</f>
        <v/>
      </c>
      <c r="FT114" s="29" t="str">
        <f>IF(OR($B114="",$A114&lt;38),"",--MID('Key Analysis'!$C110,38,1))</f>
        <v/>
      </c>
      <c r="FU114" s="29" t="str">
        <f>IF(OR($B114="",$A114&lt;39),"",--MID('Key Analysis'!$C110,39,1))</f>
        <v/>
      </c>
      <c r="FV114" s="29" t="str">
        <f>IF(OR($B114="",$A114&lt;40),"",--MID('Key Analysis'!$C110,40,1))</f>
        <v/>
      </c>
      <c r="FW114" s="29" t="str">
        <f>IF(OR($B114="",$A114&lt;41),"",--MID('Key Analysis'!$C110,41,1))</f>
        <v/>
      </c>
      <c r="FX114" s="29" t="str">
        <f>IF(OR($B114="",$A114&lt;42),"",--MID('Key Analysis'!$C110,42,1))</f>
        <v/>
      </c>
      <c r="FY114" s="29" t="str">
        <f>IF(OR($B114="",$A114&lt;43),"",--MID('Key Analysis'!$C110,43,1))</f>
        <v/>
      </c>
      <c r="FZ114" s="29" t="str">
        <f>IF(OR($B114="",$A114&lt;44),"",--MID('Key Analysis'!$C110,44,1))</f>
        <v/>
      </c>
      <c r="GA114" s="29" t="str">
        <f>IF(OR($B114="",$A114&lt;45),"",--MID('Key Analysis'!$C110,45,1))</f>
        <v/>
      </c>
      <c r="GB114" s="29" t="str">
        <f>IF(OR($B114="",$A114&lt;46),"",--MID('Key Analysis'!$C110,46,1))</f>
        <v/>
      </c>
      <c r="GC114" s="29" t="str">
        <f>IF(OR($B114="",$A114&lt;47),"",--MID('Key Analysis'!$C110,47,1))</f>
        <v/>
      </c>
      <c r="GD114" s="29" t="str">
        <f>IF(OR($B114="",$A114&lt;48),"",--MID('Key Analysis'!$C110,48,1))</f>
        <v/>
      </c>
      <c r="GE114" s="29" t="str">
        <f>IF(OR($B114="",$A114&lt;49),"",--MID('Key Analysis'!$C110,49,1))</f>
        <v/>
      </c>
      <c r="GF114" s="29" t="str">
        <f>IF(OR($B114="",$A114&lt;50),"",--MID('Key Analysis'!$C110,50,1))</f>
        <v/>
      </c>
      <c r="GG114" s="29" t="str">
        <f>IF(OR($B114="",$A114&lt;51),"",--MID('Key Analysis'!$C110,51,1))</f>
        <v/>
      </c>
      <c r="GH114" s="29" t="str">
        <f>IF(OR($B114="",$A114&lt;52),"",--MID('Key Analysis'!$C110,52,1))</f>
        <v/>
      </c>
      <c r="GI114" s="29" t="str">
        <f>IF(OR($B114="",$A114&lt;53),"",--MID('Key Analysis'!$C110,53,1))</f>
        <v/>
      </c>
      <c r="GJ114" s="29" t="str">
        <f>IF(OR($B114="",$A114&lt;54),"",--MID('Key Analysis'!$C110,54,1))</f>
        <v/>
      </c>
      <c r="GK114" s="29" t="str">
        <f>IF(OR($B114="",$A114&lt;55),"",--MID('Key Analysis'!$C110,55,1))</f>
        <v/>
      </c>
      <c r="GL114" s="29" t="str">
        <f>IF(OR($B114="",$A114&lt;56),"",--MID('Key Analysis'!$C110,56,1))</f>
        <v/>
      </c>
      <c r="GM114" s="29" t="str">
        <f>IF(OR($B114="",$A114&lt;57),"",--MID('Key Analysis'!$C110,57,1))</f>
        <v/>
      </c>
      <c r="GN114" s="29" t="str">
        <f>IF(OR($B114="",$A114&lt;58),"",--MID('Key Analysis'!$C110,58,1))</f>
        <v/>
      </c>
      <c r="GO114" s="29" t="str">
        <f>IF(OR($B114="",$A114&lt;59),"",--MID('Key Analysis'!$C110,59,1))</f>
        <v/>
      </c>
      <c r="GP114" s="29" t="str">
        <f>IF(OR($B114="",$A114&lt;60),"",--MID('Key Analysis'!$C110,60,1))</f>
        <v/>
      </c>
      <c r="GQ114" s="29" t="str">
        <f>IF(OR($B114="",$A114&lt;61),"",--MID('Key Analysis'!$C110,61,1))</f>
        <v/>
      </c>
      <c r="GR114" s="29" t="str">
        <f>IF(OR($B114="",$A114&lt;62),"",--MID('Key Analysis'!$C110,62,1))</f>
        <v/>
      </c>
      <c r="GS114" s="29" t="str">
        <f>IF(OR($B114="",$A114&lt;63),"",--MID('Key Analysis'!$C110,63,1))</f>
        <v/>
      </c>
      <c r="GT114" s="29" t="str">
        <f>IF(OR($B114="",$A114&lt;64),"",--MID('Key Analysis'!$C110,64,1))</f>
        <v/>
      </c>
      <c r="GU114" s="29" t="str">
        <f>IF(OR($B114="",$A114&lt;65),"",--MID('Key Analysis'!$C110,65,1))</f>
        <v/>
      </c>
      <c r="GV114" s="29" t="str">
        <f>IF(OR($B114="",$A114&lt;66),"",--MID('Key Analysis'!$C110,66,1))</f>
        <v/>
      </c>
      <c r="GW114" s="29" t="str">
        <f>IF(OR($B114="",$A114&lt;67),"",--MID('Key Analysis'!$C110,67,1))</f>
        <v/>
      </c>
      <c r="GX114" s="29" t="str">
        <f>IF(OR($B114="",$A114&lt;68),"",--MID('Key Analysis'!$C110,68,1))</f>
        <v/>
      </c>
      <c r="GY114" s="29" t="str">
        <f>IF(OR($B114="",$A114&lt;69),"",--MID('Key Analysis'!$C110,69,1))</f>
        <v/>
      </c>
      <c r="GZ114" s="29" t="str">
        <f>IF(OR($B114="",$A114&lt;70),"",--MID('Key Analysis'!$C110,70,1))</f>
        <v/>
      </c>
      <c r="HA114" s="29" t="str">
        <f>IF(OR($B114="",$A114&lt;71),"",--MID('Key Analysis'!$C110,71,1))</f>
        <v/>
      </c>
      <c r="HB114" s="29" t="str">
        <f>IF(OR($B114="",$A114&lt;72),"",--MID('Key Analysis'!$C110,72,1))</f>
        <v/>
      </c>
      <c r="HC114" s="29" t="str">
        <f>IF(OR($B114="",$A114&lt;73),"",--MID('Key Analysis'!$C110,73,1))</f>
        <v/>
      </c>
      <c r="HD114" s="29" t="str">
        <f>IF(OR($B114="",$A114&lt;74),"",--MID('Key Analysis'!$C110,74,1))</f>
        <v/>
      </c>
      <c r="HE114" s="29" t="str">
        <f>IF(OR($B114="",$A114&lt;75),"",--MID('Key Analysis'!$C110,75,1))</f>
        <v/>
      </c>
      <c r="HF114" s="29" t="str">
        <f>IF(OR($B114="",$A114&lt;76),"",--MID('Key Analysis'!$C110,76,1))</f>
        <v/>
      </c>
      <c r="HG114" s="29" t="str">
        <f>IF(OR($B114="",$A114&lt;77),"",--MID('Key Analysis'!$C110,77,1))</f>
        <v/>
      </c>
      <c r="HH114" s="29" t="str">
        <f>IF(OR($B114="",$A114&lt;78),"",--MID('Key Analysis'!$C110,78,1))</f>
        <v/>
      </c>
      <c r="HI114" s="29" t="str">
        <f>IF(OR($B114="",$A114&lt;79),"",--MID('Key Analysis'!$C110,79,1))</f>
        <v/>
      </c>
      <c r="HJ114" s="29" t="str">
        <f>IF(OR($B114="",$A114&lt;80),"",--MID('Key Analysis'!$C110,80,1))</f>
        <v/>
      </c>
      <c r="HK114" s="29" t="str">
        <f>IF(OR($B114="",$A114&lt;81),"",--MID('Key Analysis'!$C110,81,1))</f>
        <v/>
      </c>
      <c r="HL114" s="29" t="str">
        <f>IF(OR($B114="",$A114&lt;82),"",--MID('Key Analysis'!$C110,82,1))</f>
        <v/>
      </c>
      <c r="HM114" s="29" t="str">
        <f>IF(OR($B114="",$A114&lt;83),"",--MID('Key Analysis'!$C110,83,1))</f>
        <v/>
      </c>
      <c r="HN114" s="29" t="str">
        <f>IF(OR($B114="",$A114&lt;84),"",--MID('Key Analysis'!$C110,84,1))</f>
        <v/>
      </c>
      <c r="HO114" s="29" t="str">
        <f>IF(OR($B114="",$A114&lt;85),"",--MID('Key Analysis'!$C110,85,1))</f>
        <v/>
      </c>
      <c r="HP114" s="29" t="str">
        <f>IF(OR($B114="",$A114&lt;86),"",--MID('Key Analysis'!$C110,86,1))</f>
        <v/>
      </c>
      <c r="HQ114" s="29" t="str">
        <f>IF(OR($B114="",$A114&lt;87),"",--MID('Key Analysis'!$C110,87,1))</f>
        <v/>
      </c>
      <c r="HR114" s="29" t="str">
        <f>IF(OR($B114="",$A114&lt;88),"",--MID('Key Analysis'!$C110,88,1))</f>
        <v/>
      </c>
      <c r="HS114" s="29" t="str">
        <f>IF(OR($B114="",$A114&lt;89),"",--MID('Key Analysis'!$C110,89,1))</f>
        <v/>
      </c>
      <c r="HT114" s="29" t="str">
        <f>IF(OR($B114="",$A114&lt;90),"",--MID('Key Analysis'!$C110,90,1))</f>
        <v/>
      </c>
      <c r="HU114" s="29" t="str">
        <f>IF(OR($B114="",$A114&lt;91),"",--MID('Key Analysis'!$C110,91,1))</f>
        <v/>
      </c>
      <c r="HV114" s="29" t="str">
        <f>IF(OR($B114="",$A114&lt;92),"",--MID('Key Analysis'!$C110,92,1))</f>
        <v/>
      </c>
      <c r="HW114" s="29" t="str">
        <f>IF(OR($B114="",$A114&lt;93),"",--MID('Key Analysis'!$C110,93,1))</f>
        <v/>
      </c>
      <c r="HX114" s="29" t="str">
        <f>IF(OR($B114="",$A114&lt;94),"",--MID('Key Analysis'!$C110,94,1))</f>
        <v/>
      </c>
      <c r="HY114" s="29" t="str">
        <f>IF(OR($B114="",$A114&lt;95),"",--MID('Key Analysis'!$C110,95,1))</f>
        <v/>
      </c>
      <c r="HZ114" s="29" t="str">
        <f>IF(OR($B114="",$A114&lt;96),"",--MID('Key Analysis'!$C110,96,1))</f>
        <v/>
      </c>
      <c r="IA114" s="29" t="str">
        <f>IF(OR($B114="",$A114&lt;97),"",--MID('Key Analysis'!$C110,97,1))</f>
        <v/>
      </c>
      <c r="IB114" s="29" t="str">
        <f>IF(OR($B114="",$A114&lt;98),"",--MID('Key Analysis'!$C110,98,1))</f>
        <v/>
      </c>
      <c r="IC114" s="29" t="str">
        <f>IF(OR($B114="",$A114&lt;99),"",--MID('Key Analysis'!$C110,99,1))</f>
        <v/>
      </c>
      <c r="ID114" s="29" t="str">
        <f>IF(OR($B114="",$A114&lt;100),"",--MID('Key Analysis'!$C110,100,1))</f>
        <v/>
      </c>
      <c r="IE114" s="29" t="str">
        <f>IF(OR($B114="",$A114&lt;101),"",--MID('Key Analysis'!$C110,101,1))</f>
        <v/>
      </c>
      <c r="IF114" s="29" t="str">
        <f>IF(OR($B114="",$A114&lt;102),"",--MID('Key Analysis'!$C110,102,1))</f>
        <v/>
      </c>
      <c r="IG114" s="29" t="str">
        <f>IF(OR($B114="",$A114&lt;103),"",--MID('Key Analysis'!$C110,103,1))</f>
        <v/>
      </c>
      <c r="IH114" s="29" t="str">
        <f>IF(OR($B114="",$A114&lt;104),"",--MID('Key Analysis'!$C110,104,1))</f>
        <v/>
      </c>
      <c r="II114" s="29" t="str">
        <f>IF(OR($B114="",$A114&lt;105),"",--MID('Key Analysis'!$C110,105,1))</f>
        <v/>
      </c>
      <c r="IJ114" s="29" t="str">
        <f>IF(OR($B114="",$A114&lt;106),"",--MID('Key Analysis'!$C110,106,1))</f>
        <v/>
      </c>
      <c r="IK114" s="29" t="str">
        <f>IF(OR($B114="",$A114&lt;107),"",--MID('Key Analysis'!$C110,107,1))</f>
        <v/>
      </c>
      <c r="IL114" s="29" t="str">
        <f>IF(OR($B114="",$A114&lt;108),"",--MID('Key Analysis'!$C110,108,1))</f>
        <v/>
      </c>
      <c r="IM114" s="29" t="str">
        <f>IF(OR($B114="",$A114&lt;109),"",--MID('Key Analysis'!$C110,109,1))</f>
        <v/>
      </c>
      <c r="IN114" s="29" t="str">
        <f>IF(OR($B114="",$A114&lt;110),"",--MID('Key Analysis'!$C110,110,1))</f>
        <v/>
      </c>
      <c r="IO114" s="29" t="str">
        <f>IF(OR($B114="",$A114&lt;111),"",--MID('Key Analysis'!$C110,111,1))</f>
        <v/>
      </c>
      <c r="IP114" s="29" t="str">
        <f>IF(OR($B114="",$A114&lt;112),"",--MID('Key Analysis'!$C110,112,1))</f>
        <v/>
      </c>
      <c r="IQ114" s="29" t="str">
        <f>IF(OR($B114="",$A114&lt;113),"",--MID('Key Analysis'!$C110,113,1))</f>
        <v/>
      </c>
      <c r="IR114" s="29" t="str">
        <f>IF(OR($B114="",$A114&lt;114),"",--MID('Key Analysis'!$C110,114,1))</f>
        <v/>
      </c>
      <c r="IS114" s="29" t="str">
        <f>IF(OR($B114="",$A114&lt;115),"",--MID('Key Analysis'!$C110,115,1))</f>
        <v/>
      </c>
      <c r="IT114" s="29" t="str">
        <f>IF(OR($B114="",$A114&lt;116),"",--MID('Key Analysis'!$C110,116,1))</f>
        <v/>
      </c>
      <c r="IU114" s="29" t="str">
        <f>IF(OR($B114="",$A114&lt;117),"",--MID('Key Analysis'!$C110,117,1))</f>
        <v/>
      </c>
      <c r="IV114" s="29" t="str">
        <f>IF(OR($B114="",$A114&lt;118),"",--MID('Key Analysis'!$C110,118,1))</f>
        <v/>
      </c>
      <c r="IW114" s="29" t="str">
        <f>IF(OR($B114="",$A114&lt;119),"",--MID('Key Analysis'!$C110,119,1))</f>
        <v/>
      </c>
      <c r="IX114" s="29" t="str">
        <f>IF(OR($B114="",$A114&lt;120),"",--MID('Key Analysis'!$C110,120,1))</f>
        <v/>
      </c>
      <c r="IY114" s="29" t="str">
        <f>IF(OR($B114="",$A114&lt;121),"",--MID('Key Analysis'!$C110,121,1))</f>
        <v/>
      </c>
      <c r="IZ114" s="29" t="str">
        <f>IF(OR($B114="",$A114&lt;122),"",--MID('Key Analysis'!$C110,122,1))</f>
        <v/>
      </c>
      <c r="JA114" s="29" t="str">
        <f>IF(OR($B114="",$A114&lt;123),"",--MID('Key Analysis'!$C110,123,1))</f>
        <v/>
      </c>
      <c r="JB114" s="29" t="str">
        <f>IF(OR($B114="",$A114&lt;124),"",--MID('Key Analysis'!$C110,124,1))</f>
        <v/>
      </c>
      <c r="JC114" s="29" t="str">
        <f>IF(OR($B114="",$A114&lt;125),"",--MID('Key Analysis'!$C110,125,1))</f>
        <v/>
      </c>
      <c r="JD114" s="29" t="str">
        <f>IF(OR($B114="",$A114&lt;126),"",--MID('Key Analysis'!$C110,126,1))</f>
        <v/>
      </c>
      <c r="JE114" s="29" t="str">
        <f>IF(OR($B114="",$A114&lt;127),"",--MID('Key Analysis'!$C110,127,1))</f>
        <v/>
      </c>
      <c r="JF114" s="29" t="str">
        <f>IF(OR($B114="",$A114&lt;128),"",--MID('Key Analysis'!$C110,128,1))</f>
        <v/>
      </c>
      <c r="JG114" s="29" t="str">
        <f>IF(OR($B114="",$A114&lt;129),"",--MID('Key Analysis'!$C110,129,1))</f>
        <v/>
      </c>
      <c r="JH114" s="29" t="str">
        <f>IF(OR($B114="",$A114&lt;130),"",--MID('Key Analysis'!$C110,130,1))</f>
        <v/>
      </c>
      <c r="JI114" s="29" t="str">
        <f>IF(OR($B114="",$A114&lt;131),"",--MID('Key Analysis'!$C110,131,1))</f>
        <v/>
      </c>
      <c r="JJ114" s="29" t="str">
        <f>IF(OR($B114="",$A114&lt;132),"",--MID('Key Analysis'!$C110,132,1))</f>
        <v/>
      </c>
      <c r="JK114" s="29" t="str">
        <f>IF(OR($B114="",$A114&lt;133),"",--MID('Key Analysis'!$C110,133,1))</f>
        <v/>
      </c>
      <c r="JL114" s="29" t="str">
        <f>IF(OR($B114="",$A114&lt;134),"",--MID('Key Analysis'!$C110,134,1))</f>
        <v/>
      </c>
      <c r="JM114" s="29" t="str">
        <f>IF(OR($B114="",$A114&lt;135),"",--MID('Key Analysis'!$C110,135,1))</f>
        <v/>
      </c>
    </row>
    <row r="115" spans="1:273" x14ac:dyDescent="0.25">
      <c r="A115" s="21">
        <f>'Key Analysis'!A111</f>
        <v>110</v>
      </c>
      <c r="B115" s="30" t="str">
        <f>'Key Analysis'!B111</f>
        <v>35c0d7234df7deb0f20cf7062444</v>
      </c>
      <c r="C115" s="29">
        <f>IF(OR($B115="",$A115&lt;=0),"",--MID('Key Analysis'!$C111,$A115-0,1))</f>
        <v>0</v>
      </c>
      <c r="D115" s="29">
        <f>IF(OR($B115="",$A115&lt;=1),"",--MID('Key Analysis'!$C111,$A115-1,1))</f>
        <v>0</v>
      </c>
      <c r="E115" s="29">
        <f>IF(OR($B115="",$A115&lt;=2),"",--MID('Key Analysis'!$C111,$A115-2,1))</f>
        <v>1</v>
      </c>
      <c r="F115" s="29">
        <f>IF(OR($B115="",$A115&lt;=3),"",--MID('Key Analysis'!$C111,$A115-3,1))</f>
        <v>0</v>
      </c>
      <c r="G115" s="29">
        <f>IF(OR($B115="",$A115&lt;=4),"",--MID('Key Analysis'!$C111,$A115-4,1))</f>
        <v>0</v>
      </c>
      <c r="H115" s="29">
        <f>IF(OR($B115="",$A115&lt;=5),"",--MID('Key Analysis'!$C111,$A115-5,1))</f>
        <v>0</v>
      </c>
      <c r="I115" s="29">
        <f>IF(OR($B115="",$A115&lt;=6),"",--MID('Key Analysis'!$C111,$A115-6,1))</f>
        <v>1</v>
      </c>
      <c r="J115" s="29">
        <f>IF(OR($B115="",$A115&lt;=7),"",--MID('Key Analysis'!$C111,$A115-7,1))</f>
        <v>0</v>
      </c>
      <c r="K115" s="29">
        <f>IF(OR($B115="",$A115&lt;=8),"",--MID('Key Analysis'!$C111,$A115-8,1))</f>
        <v>0</v>
      </c>
      <c r="L115" s="29">
        <f>IF(OR($B115="",$A115&lt;=9),"",--MID('Key Analysis'!$C111,$A115-9,1))</f>
        <v>0</v>
      </c>
      <c r="M115" s="29">
        <f>IF(OR($B115="",$A115&lt;=10),"",--MID('Key Analysis'!$C111,$A115-10,1))</f>
        <v>1</v>
      </c>
      <c r="N115" s="29">
        <f>IF(OR($B115="",$A115&lt;=11),"",--MID('Key Analysis'!$C111,$A115-11,1))</f>
        <v>0</v>
      </c>
      <c r="O115" s="29">
        <f>IF(OR($B115="",$A115&lt;=12),"",--MID('Key Analysis'!$C111,$A115-12,1))</f>
        <v>0</v>
      </c>
      <c r="P115" s="29">
        <f>IF(OR($B115="",$A115&lt;=13),"",--MID('Key Analysis'!$C111,$A115-13,1))</f>
        <v>1</v>
      </c>
      <c r="Q115" s="29">
        <f>IF(OR($B115="",$A115&lt;=14),"",--MID('Key Analysis'!$C111,$A115-14,1))</f>
        <v>0</v>
      </c>
      <c r="R115" s="29">
        <f>IF(OR($B115="",$A115&lt;=15),"",--MID('Key Analysis'!$C111,$A115-15,1))</f>
        <v>0</v>
      </c>
      <c r="S115" s="29">
        <f>IF(OR($B115="",$A115&lt;=16),"",--MID('Key Analysis'!$C111,$A115-16,1))</f>
        <v>0</v>
      </c>
      <c r="T115" s="29">
        <f>IF(OR($B115="",$A115&lt;=17),"",--MID('Key Analysis'!$C111,$A115-17,1))</f>
        <v>1</v>
      </c>
      <c r="U115" s="29">
        <f>IF(OR($B115="",$A115&lt;=18),"",--MID('Key Analysis'!$C111,$A115-18,1))</f>
        <v>1</v>
      </c>
      <c r="V115" s="29">
        <f>IF(OR($B115="",$A115&lt;=19),"",--MID('Key Analysis'!$C111,$A115-19,1))</f>
        <v>0</v>
      </c>
      <c r="W115" s="29">
        <f>IF(OR($B115="",$A115&lt;=20),"",--MID('Key Analysis'!$C111,$A115-20,1))</f>
        <v>0</v>
      </c>
      <c r="X115" s="29">
        <f>IF(OR($B115="",$A115&lt;=21),"",--MID('Key Analysis'!$C111,$A115-21,1))</f>
        <v>0</v>
      </c>
      <c r="Y115" s="29">
        <f>IF(OR($B115="",$A115&lt;=22),"",--MID('Key Analysis'!$C111,$A115-22,1))</f>
        <v>0</v>
      </c>
      <c r="Z115" s="29">
        <f>IF(OR($B115="",$A115&lt;=23),"",--MID('Key Analysis'!$C111,$A115-23,1))</f>
        <v>0</v>
      </c>
      <c r="AA115" s="29">
        <f>IF(OR($B115="",$A115&lt;=24),"",--MID('Key Analysis'!$C111,$A115-24,1))</f>
        <v>1</v>
      </c>
      <c r="AB115" s="29">
        <f>IF(OR($B115="",$A115&lt;=25),"",--MID('Key Analysis'!$C111,$A115-25,1))</f>
        <v>1</v>
      </c>
      <c r="AC115" s="29">
        <f>IF(OR($B115="",$A115&lt;=26),"",--MID('Key Analysis'!$C111,$A115-26,1))</f>
        <v>1</v>
      </c>
      <c r="AD115" s="29">
        <f>IF(OR($B115="",$A115&lt;=27),"",--MID('Key Analysis'!$C111,$A115-27,1))</f>
        <v>0</v>
      </c>
      <c r="AE115" s="29">
        <f>IF(OR($B115="",$A115&lt;=28),"",--MID('Key Analysis'!$C111,$A115-28,1))</f>
        <v>1</v>
      </c>
      <c r="AF115" s="29">
        <f>IF(OR($B115="",$A115&lt;=29),"",--MID('Key Analysis'!$C111,$A115-29,1))</f>
        <v>1</v>
      </c>
      <c r="AG115" s="29">
        <f>IF(OR($B115="",$A115&lt;=30),"",--MID('Key Analysis'!$C111,$A115-30,1))</f>
        <v>1</v>
      </c>
      <c r="AH115" s="29">
        <f>IF(OR($B115="",$A115&lt;=31),"",--MID('Key Analysis'!$C111,$A115-31,1))</f>
        <v>1</v>
      </c>
      <c r="AI115" s="29">
        <f>IF(OR($B115="",$A115&lt;=32),"",--MID('Key Analysis'!$C111,$A115-32,1))</f>
        <v>0</v>
      </c>
      <c r="AJ115" s="29">
        <f>IF(OR($B115="",$A115&lt;=33),"",--MID('Key Analysis'!$C111,$A115-33,1))</f>
        <v>0</v>
      </c>
      <c r="AK115" s="29">
        <f>IF(OR($B115="",$A115&lt;=34),"",--MID('Key Analysis'!$C111,$A115-34,1))</f>
        <v>1</v>
      </c>
      <c r="AL115" s="29">
        <f>IF(OR($B115="",$A115&lt;=35),"",--MID('Key Analysis'!$C111,$A115-35,1))</f>
        <v>1</v>
      </c>
      <c r="AM115" s="29">
        <f>IF(OR($B115="",$A115&lt;=36),"",--MID('Key Analysis'!$C111,$A115-36,1))</f>
        <v>0</v>
      </c>
      <c r="AN115" s="29">
        <f>IF(OR($B115="",$A115&lt;=37),"",--MID('Key Analysis'!$C111,$A115-37,1))</f>
        <v>0</v>
      </c>
      <c r="AO115" s="29">
        <f>IF(OR($B115="",$A115&lt;=38),"",--MID('Key Analysis'!$C111,$A115-38,1))</f>
        <v>0</v>
      </c>
      <c r="AP115" s="29">
        <f>IF(OR($B115="",$A115&lt;=39),"",--MID('Key Analysis'!$C111,$A115-39,1))</f>
        <v>0</v>
      </c>
      <c r="AQ115" s="29">
        <f>IF(OR($B115="",$A115&lt;=40),"",--MID('Key Analysis'!$C111,$A115-40,1))</f>
        <v>0</v>
      </c>
      <c r="AR115" s="29">
        <f>IF(OR($B115="",$A115&lt;=41),"",--MID('Key Analysis'!$C111,$A115-41,1))</f>
        <v>1</v>
      </c>
      <c r="AS115" s="29">
        <f>IF(OR($B115="",$A115&lt;=42),"",--MID('Key Analysis'!$C111,$A115-42,1))</f>
        <v>0</v>
      </c>
      <c r="AT115" s="29">
        <f>IF(OR($B115="",$A115&lt;=43),"",--MID('Key Analysis'!$C111,$A115-43,1))</f>
        <v>0</v>
      </c>
      <c r="AU115" s="29">
        <f>IF(OR($B115="",$A115&lt;=44),"",--MID('Key Analysis'!$C111,$A115-44,1))</f>
        <v>1</v>
      </c>
      <c r="AV115" s="29">
        <f>IF(OR($B115="",$A115&lt;=45),"",--MID('Key Analysis'!$C111,$A115-45,1))</f>
        <v>1</v>
      </c>
      <c r="AW115" s="29">
        <f>IF(OR($B115="",$A115&lt;=46),"",--MID('Key Analysis'!$C111,$A115-46,1))</f>
        <v>1</v>
      </c>
      <c r="AX115" s="29">
        <f>IF(OR($B115="",$A115&lt;=47),"",--MID('Key Analysis'!$C111,$A115-47,1))</f>
        <v>1</v>
      </c>
      <c r="AY115" s="29">
        <f>IF(OR($B115="",$A115&lt;=48),"",--MID('Key Analysis'!$C111,$A115-48,1))</f>
        <v>0</v>
      </c>
      <c r="AZ115" s="29">
        <f>IF(OR($B115="",$A115&lt;=49),"",--MID('Key Analysis'!$C111,$A115-49,1))</f>
        <v>0</v>
      </c>
      <c r="BA115" s="29">
        <f>IF(OR($B115="",$A115&lt;=50),"",--MID('Key Analysis'!$C111,$A115-50,1))</f>
        <v>0</v>
      </c>
      <c r="BB115" s="29">
        <f>IF(OR($B115="",$A115&lt;=51),"",--MID('Key Analysis'!$C111,$A115-51,1))</f>
        <v>0</v>
      </c>
      <c r="BC115" s="29">
        <f>IF(OR($B115="",$A115&lt;=52),"",--MID('Key Analysis'!$C111,$A115-52,1))</f>
        <v>1</v>
      </c>
      <c r="BD115" s="29">
        <f>IF(OR($B115="",$A115&lt;=53),"",--MID('Key Analysis'!$C111,$A115-53,1))</f>
        <v>1</v>
      </c>
      <c r="BE115" s="29">
        <f>IF(OR($B115="",$A115&lt;=54),"",--MID('Key Analysis'!$C111,$A115-54,1))</f>
        <v>0</v>
      </c>
      <c r="BF115" s="29">
        <f>IF(OR($B115="",$A115&lt;=55),"",--MID('Key Analysis'!$C111,$A115-55,1))</f>
        <v>1</v>
      </c>
      <c r="BG115" s="29">
        <f>IF(OR($B115="",$A115&lt;=56),"",--MID('Key Analysis'!$C111,$A115-56,1))</f>
        <v>0</v>
      </c>
      <c r="BH115" s="29">
        <f>IF(OR($B115="",$A115&lt;=57),"",--MID('Key Analysis'!$C111,$A115-57,1))</f>
        <v>1</v>
      </c>
      <c r="BI115" s="29">
        <f>IF(OR($B115="",$A115&lt;=58),"",--MID('Key Analysis'!$C111,$A115-58,1))</f>
        <v>1</v>
      </c>
      <c r="BJ115" s="29">
        <f>IF(OR($B115="",$A115&lt;=59),"",--MID('Key Analysis'!$C111,$A115-59,1))</f>
        <v>1</v>
      </c>
      <c r="BK115" s="29">
        <f>IF(OR($B115="",$A115&lt;=60),"",--MID('Key Analysis'!$C111,$A115-60,1))</f>
        <v>1</v>
      </c>
      <c r="BL115" s="29">
        <f>IF(OR($B115="",$A115&lt;=61),"",--MID('Key Analysis'!$C111,$A115-61,1))</f>
        <v>0</v>
      </c>
      <c r="BM115" s="29">
        <f>IF(OR($B115="",$A115&lt;=62),"",--MID('Key Analysis'!$C111,$A115-62,1))</f>
        <v>1</v>
      </c>
      <c r="BN115" s="29">
        <f>IF(OR($B115="",$A115&lt;=63),"",--MID('Key Analysis'!$C111,$A115-63,1))</f>
        <v>1</v>
      </c>
      <c r="BO115" s="29">
        <f>IF(OR($B115="",$A115&lt;=64),"",--MID('Key Analysis'!$C111,$A115-64,1))</f>
        <v>1</v>
      </c>
      <c r="BP115" s="29">
        <f>IF(OR($B115="",$A115&lt;=65),"",--MID('Key Analysis'!$C111,$A115-65,1))</f>
        <v>1</v>
      </c>
      <c r="BQ115" s="29">
        <f>IF(OR($B115="",$A115&lt;=66),"",--MID('Key Analysis'!$C111,$A115-66,1))</f>
        <v>1</v>
      </c>
      <c r="BR115" s="29">
        <f>IF(OR($B115="",$A115&lt;=67),"",--MID('Key Analysis'!$C111,$A115-67,1))</f>
        <v>0</v>
      </c>
      <c r="BS115" s="29">
        <f>IF(OR($B115="",$A115&lt;=68),"",--MID('Key Analysis'!$C111,$A115-68,1))</f>
        <v>1</v>
      </c>
      <c r="BT115" s="29">
        <f>IF(OR($B115="",$A115&lt;=69),"",--MID('Key Analysis'!$C111,$A115-69,1))</f>
        <v>1</v>
      </c>
      <c r="BU115" s="29">
        <f>IF(OR($B115="",$A115&lt;=70),"",--MID('Key Analysis'!$C111,$A115-70,1))</f>
        <v>1</v>
      </c>
      <c r="BV115" s="29">
        <f>IF(OR($B115="",$A115&lt;=71),"",--MID('Key Analysis'!$C111,$A115-71,1))</f>
        <v>1</v>
      </c>
      <c r="BW115" s="29">
        <f>IF(OR($B115="",$A115&lt;=72),"",--MID('Key Analysis'!$C111,$A115-72,1))</f>
        <v>1</v>
      </c>
      <c r="BX115" s="29">
        <f>IF(OR($B115="",$A115&lt;=73),"",--MID('Key Analysis'!$C111,$A115-73,1))</f>
        <v>0</v>
      </c>
      <c r="BY115" s="29">
        <f>IF(OR($B115="",$A115&lt;=74),"",--MID('Key Analysis'!$C111,$A115-74,1))</f>
        <v>1</v>
      </c>
      <c r="BZ115" s="29">
        <f>IF(OR($B115="",$A115&lt;=75),"",--MID('Key Analysis'!$C111,$A115-75,1))</f>
        <v>1</v>
      </c>
      <c r="CA115" s="29">
        <f>IF(OR($B115="",$A115&lt;=76),"",--MID('Key Analysis'!$C111,$A115-76,1))</f>
        <v>0</v>
      </c>
      <c r="CB115" s="29">
        <f>IF(OR($B115="",$A115&lt;=77),"",--MID('Key Analysis'!$C111,$A115-77,1))</f>
        <v>0</v>
      </c>
      <c r="CC115" s="29">
        <f>IF(OR($B115="",$A115&lt;=78),"",--MID('Key Analysis'!$C111,$A115-78,1))</f>
        <v>1</v>
      </c>
      <c r="CD115" s="29">
        <f>IF(OR($B115="",$A115&lt;=79),"",--MID('Key Analysis'!$C111,$A115-79,1))</f>
        <v>0</v>
      </c>
      <c r="CE115" s="29">
        <f>IF(OR($B115="",$A115&lt;=80),"",--MID('Key Analysis'!$C111,$A115-80,1))</f>
        <v>1</v>
      </c>
      <c r="CF115" s="29">
        <f>IF(OR($B115="",$A115&lt;=81),"",--MID('Key Analysis'!$C111,$A115-81,1))</f>
        <v>1</v>
      </c>
      <c r="CG115" s="29">
        <f>IF(OR($B115="",$A115&lt;=82),"",--MID('Key Analysis'!$C111,$A115-82,1))</f>
        <v>0</v>
      </c>
      <c r="CH115" s="29">
        <f>IF(OR($B115="",$A115&lt;=83),"",--MID('Key Analysis'!$C111,$A115-83,1))</f>
        <v>0</v>
      </c>
      <c r="CI115" s="29">
        <f>IF(OR($B115="",$A115&lt;=84),"",--MID('Key Analysis'!$C111,$A115-84,1))</f>
        <v>0</v>
      </c>
      <c r="CJ115" s="29">
        <f>IF(OR($B115="",$A115&lt;=85),"",--MID('Key Analysis'!$C111,$A115-85,1))</f>
        <v>1</v>
      </c>
      <c r="CK115" s="29">
        <f>IF(OR($B115="",$A115&lt;=86),"",--MID('Key Analysis'!$C111,$A115-86,1))</f>
        <v>0</v>
      </c>
      <c r="CL115" s="29">
        <f>IF(OR($B115="",$A115&lt;=87),"",--MID('Key Analysis'!$C111,$A115-87,1))</f>
        <v>0</v>
      </c>
      <c r="CM115" s="29">
        <f>IF(OR($B115="",$A115&lt;=88),"",--MID('Key Analysis'!$C111,$A115-88,1))</f>
        <v>1</v>
      </c>
      <c r="CN115" s="29">
        <f>IF(OR($B115="",$A115&lt;=89),"",--MID('Key Analysis'!$C111,$A115-89,1))</f>
        <v>1</v>
      </c>
      <c r="CO115" s="29">
        <f>IF(OR($B115="",$A115&lt;=90),"",--MID('Key Analysis'!$C111,$A115-90,1))</f>
        <v>1</v>
      </c>
      <c r="CP115" s="29">
        <f>IF(OR($B115="",$A115&lt;=91),"",--MID('Key Analysis'!$C111,$A115-91,1))</f>
        <v>0</v>
      </c>
      <c r="CQ115" s="29">
        <f>IF(OR($B115="",$A115&lt;=92),"",--MID('Key Analysis'!$C111,$A115-92,1))</f>
        <v>1</v>
      </c>
      <c r="CR115" s="29">
        <f>IF(OR($B115="",$A115&lt;=93),"",--MID('Key Analysis'!$C111,$A115-93,1))</f>
        <v>0</v>
      </c>
      <c r="CS115" s="29">
        <f>IF(OR($B115="",$A115&lt;=94),"",--MID('Key Analysis'!$C111,$A115-94,1))</f>
        <v>1</v>
      </c>
      <c r="CT115" s="29">
        <f>IF(OR($B115="",$A115&lt;=95),"",--MID('Key Analysis'!$C111,$A115-95,1))</f>
        <v>1</v>
      </c>
      <c r="CU115" s="29">
        <f>IF(OR($B115="",$A115&lt;=96),"",--MID('Key Analysis'!$C111,$A115-96,1))</f>
        <v>0</v>
      </c>
      <c r="CV115" s="29">
        <f>IF(OR($B115="",$A115&lt;=97),"",--MID('Key Analysis'!$C111,$A115-97,1))</f>
        <v>0</v>
      </c>
      <c r="CW115" s="29">
        <f>IF(OR($B115="",$A115&lt;=98),"",--MID('Key Analysis'!$C111,$A115-98,1))</f>
        <v>0</v>
      </c>
      <c r="CX115" s="29">
        <f>IF(OR($B115="",$A115&lt;=99),"",--MID('Key Analysis'!$C111,$A115-99,1))</f>
        <v>0</v>
      </c>
      <c r="CY115" s="29">
        <f>IF(OR($B115="",$A115&lt;=100),"",--MID('Key Analysis'!$C111,$A115-100,1))</f>
        <v>0</v>
      </c>
      <c r="CZ115" s="29">
        <f>IF(OR($B115="",$A115&lt;=101),"",--MID('Key Analysis'!$C111,$A115-101,1))</f>
        <v>0</v>
      </c>
      <c r="DA115" s="29">
        <f>IF(OR($B115="",$A115&lt;=102),"",--MID('Key Analysis'!$C111,$A115-102,1))</f>
        <v>1</v>
      </c>
      <c r="DB115" s="29">
        <f>IF(OR($B115="",$A115&lt;=103),"",--MID('Key Analysis'!$C111,$A115-103,1))</f>
        <v>1</v>
      </c>
      <c r="DC115" s="29">
        <f>IF(OR($B115="",$A115&lt;=104),"",--MID('Key Analysis'!$C111,$A115-104,1))</f>
        <v>1</v>
      </c>
      <c r="DD115" s="29">
        <f>IF(OR($B115="",$A115&lt;=105),"",--MID('Key Analysis'!$C111,$A115-105,1))</f>
        <v>0</v>
      </c>
      <c r="DE115" s="29">
        <f>IF(OR($B115="",$A115&lt;=106),"",--MID('Key Analysis'!$C111,$A115-106,1))</f>
        <v>1</v>
      </c>
      <c r="DF115" s="29">
        <f>IF(OR($B115="",$A115&lt;=107),"",--MID('Key Analysis'!$C111,$A115-107,1))</f>
        <v>0</v>
      </c>
      <c r="DG115" s="29">
        <f>IF(OR($B115="",$A115&lt;=108),"",--MID('Key Analysis'!$C111,$A115-108,1))</f>
        <v>1</v>
      </c>
      <c r="DH115" s="29">
        <f>IF(OR($B115="",$A115&lt;=109),"",--MID('Key Analysis'!$C111,$A115-109,1))</f>
        <v>1</v>
      </c>
      <c r="DI115" s="29" t="str">
        <f>IF(OR($B115="",$A115&lt;=110),"",--MID('Key Analysis'!$C111,$A115-110,1))</f>
        <v/>
      </c>
      <c r="DJ115" s="29" t="str">
        <f>IF(OR($B115="",$A115&lt;=111),"",--MID('Key Analysis'!$C111,$A115-111,1))</f>
        <v/>
      </c>
      <c r="DK115" s="29" t="str">
        <f>IF(OR($B115="",$A115&lt;=112),"",--MID('Key Analysis'!$C111,$A115-112,1))</f>
        <v/>
      </c>
      <c r="DL115" s="29" t="str">
        <f>IF(OR($B115="",$A115&lt;=113),"",--MID('Key Analysis'!$C111,$A115-113,1))</f>
        <v/>
      </c>
      <c r="DM115" s="29" t="str">
        <f>IF(OR($B115="",$A115&lt;=114),"",--MID('Key Analysis'!$C111,$A115-114,1))</f>
        <v/>
      </c>
      <c r="DN115" s="29" t="str">
        <f>IF(OR($B115="",$A115&lt;=115),"",--MID('Key Analysis'!$C111,$A115-115,1))</f>
        <v/>
      </c>
      <c r="DO115" s="29" t="str">
        <f>IF(OR($B115="",$A115&lt;=116),"",--MID('Key Analysis'!$C111,$A115-116,1))</f>
        <v/>
      </c>
      <c r="DP115" s="29" t="str">
        <f>IF(OR($B115="",$A115&lt;=117),"",--MID('Key Analysis'!$C111,$A115-117,1))</f>
        <v/>
      </c>
      <c r="DQ115" s="29" t="str">
        <f>IF(OR($B115="",$A115&lt;=118),"",--MID('Key Analysis'!$C111,$A115-118,1))</f>
        <v/>
      </c>
      <c r="DR115" s="29" t="str">
        <f>IF(OR($B115="",$A115&lt;=119),"",--MID('Key Analysis'!$C111,$A115-119,1))</f>
        <v/>
      </c>
      <c r="DS115" s="29" t="str">
        <f>IF(OR($B115="",$A115&lt;=120),"",--MID('Key Analysis'!$C111,$A115-120,1))</f>
        <v/>
      </c>
      <c r="DT115" s="29" t="str">
        <f>IF(OR($B115="",$A115&lt;=121),"",--MID('Key Analysis'!$C111,$A115-121,1))</f>
        <v/>
      </c>
      <c r="DU115" s="29" t="str">
        <f>IF(OR($B115="",$A115&lt;=122),"",--MID('Key Analysis'!$C111,$A115-122,1))</f>
        <v/>
      </c>
      <c r="DV115" s="29" t="str">
        <f>IF(OR($B115="",$A115&lt;=123),"",--MID('Key Analysis'!$C111,$A115-123,1))</f>
        <v/>
      </c>
      <c r="DW115" s="29" t="str">
        <f>IF(OR($B115="",$A115&lt;=124),"",--MID('Key Analysis'!$C111,$A115-124,1))</f>
        <v/>
      </c>
      <c r="DX115" s="29" t="str">
        <f>IF(OR($B115="",$A115&lt;=125),"",--MID('Key Analysis'!$C111,$A115-125,1))</f>
        <v/>
      </c>
      <c r="DY115" s="29" t="str">
        <f>IF(OR($B115="",$A115&lt;=126),"",--MID('Key Analysis'!$C111,$A115-126,1))</f>
        <v/>
      </c>
      <c r="DZ115" s="29" t="str">
        <f>IF(OR($B115="",$A115&lt;=127),"",--MID('Key Analysis'!$C111,$A115-127,1))</f>
        <v/>
      </c>
      <c r="EA115" s="29" t="str">
        <f>IF(OR($B115="",$A115&lt;=128),"",--MID('Key Analysis'!$C111,$A115-128,1))</f>
        <v/>
      </c>
      <c r="EB115" s="29" t="str">
        <f>IF(OR($B115="",$A115&lt;=129),"",--MID('Key Analysis'!$C111,$A115-129,1))</f>
        <v/>
      </c>
      <c r="EC115" s="29" t="str">
        <f>IF(OR($B115="",$A115&lt;=130),"",--MID('Key Analysis'!$C111,$A115-130,1))</f>
        <v/>
      </c>
      <c r="ED115" s="29" t="str">
        <f>IF(OR($B115="",$A115&lt;=131),"",--MID('Key Analysis'!$C111,$A115-131,1))</f>
        <v/>
      </c>
      <c r="EE115" s="29" t="str">
        <f>IF(OR($B115="",$A115&lt;=132),"",--MID('Key Analysis'!$C111,$A115-132,1))</f>
        <v/>
      </c>
      <c r="EF115" s="29" t="str">
        <f>IF(OR($B115="",$A115&lt;=133),"",--MID('Key Analysis'!$C111,$A115-133,1))</f>
        <v/>
      </c>
      <c r="EG115" s="29" t="str">
        <f>IF(OR($B115="",$A115&lt;=134),"",--MID('Key Analysis'!$C111,$A115-134,1))</f>
        <v/>
      </c>
      <c r="EH115" s="29"/>
      <c r="EI115" s="29">
        <f>IF(OR($B115="",$A115&lt;1),"",--MID('Key Analysis'!$C111,1,1))</f>
        <v>1</v>
      </c>
      <c r="EJ115" s="29">
        <f>IF(OR($B115="",$A115&lt;2),"",--MID('Key Analysis'!$C111,2,1))</f>
        <v>1</v>
      </c>
      <c r="EK115" s="29">
        <f>IF(OR($B115="",$A115&lt;3),"",--MID('Key Analysis'!$C111,3,1))</f>
        <v>0</v>
      </c>
      <c r="EL115" s="29">
        <f>IF(OR($B115="",$A115&lt;4),"",--MID('Key Analysis'!$C111,4,1))</f>
        <v>1</v>
      </c>
      <c r="EM115" s="29">
        <f>IF(OR($B115="",$A115&lt;5),"",--MID('Key Analysis'!$C111,5,1))</f>
        <v>0</v>
      </c>
      <c r="EN115" s="29">
        <f>IF(OR($B115="",$A115&lt;6),"",--MID('Key Analysis'!$C111,6,1))</f>
        <v>1</v>
      </c>
      <c r="EO115" s="29">
        <f>IF(OR($B115="",$A115&lt;7),"",--MID('Key Analysis'!$C111,7,1))</f>
        <v>1</v>
      </c>
      <c r="EP115" s="29">
        <f>IF(OR($B115="",$A115&lt;8),"",--MID('Key Analysis'!$C111,8,1))</f>
        <v>1</v>
      </c>
      <c r="EQ115" s="29">
        <f>IF(OR($B115="",$A115&lt;9),"",--MID('Key Analysis'!$C111,9,1))</f>
        <v>0</v>
      </c>
      <c r="ER115" s="29">
        <f>IF(OR($B115="",$A115&lt;10),"",--MID('Key Analysis'!$C111,10,1))</f>
        <v>0</v>
      </c>
      <c r="ES115" s="29">
        <f>IF(OR($B115="",$A115&lt;11),"",--MID('Key Analysis'!$C111,11,1))</f>
        <v>0</v>
      </c>
      <c r="ET115" s="29">
        <f>IF(OR($B115="",$A115&lt;12),"",--MID('Key Analysis'!$C111,12,1))</f>
        <v>0</v>
      </c>
      <c r="EU115" s="29">
        <f>IF(OR($B115="",$A115&lt;13),"",--MID('Key Analysis'!$C111,13,1))</f>
        <v>0</v>
      </c>
      <c r="EV115" s="29">
        <f>IF(OR($B115="",$A115&lt;14),"",--MID('Key Analysis'!$C111,14,1))</f>
        <v>0</v>
      </c>
      <c r="EW115" s="29">
        <f>IF(OR($B115="",$A115&lt;15),"",--MID('Key Analysis'!$C111,15,1))</f>
        <v>1</v>
      </c>
      <c r="EX115" s="29">
        <f>IF(OR($B115="",$A115&lt;16),"",--MID('Key Analysis'!$C111,16,1))</f>
        <v>1</v>
      </c>
      <c r="EY115" s="29">
        <f>IF(OR($B115="",$A115&lt;17),"",--MID('Key Analysis'!$C111,17,1))</f>
        <v>0</v>
      </c>
      <c r="EZ115" s="29">
        <f>IF(OR($B115="",$A115&lt;18),"",--MID('Key Analysis'!$C111,18,1))</f>
        <v>1</v>
      </c>
      <c r="FA115" s="29">
        <f>IF(OR($B115="",$A115&lt;19),"",--MID('Key Analysis'!$C111,19,1))</f>
        <v>0</v>
      </c>
      <c r="FB115" s="29">
        <f>IF(OR($B115="",$A115&lt;20),"",--MID('Key Analysis'!$C111,20,1))</f>
        <v>1</v>
      </c>
      <c r="FC115" s="29">
        <f>IF(OR($B115="",$A115&lt;21),"",--MID('Key Analysis'!$C111,21,1))</f>
        <v>1</v>
      </c>
      <c r="FD115" s="29">
        <f>IF(OR($B115="",$A115&lt;22),"",--MID('Key Analysis'!$C111,22,1))</f>
        <v>1</v>
      </c>
      <c r="FE115" s="29">
        <f>IF(OR($B115="",$A115&lt;23),"",--MID('Key Analysis'!$C111,23,1))</f>
        <v>0</v>
      </c>
      <c r="FF115" s="29">
        <f>IF(OR($B115="",$A115&lt;24),"",--MID('Key Analysis'!$C111,24,1))</f>
        <v>0</v>
      </c>
      <c r="FG115" s="29">
        <f>IF(OR($B115="",$A115&lt;25),"",--MID('Key Analysis'!$C111,25,1))</f>
        <v>1</v>
      </c>
      <c r="FH115" s="29">
        <f>IF(OR($B115="",$A115&lt;26),"",--MID('Key Analysis'!$C111,26,1))</f>
        <v>0</v>
      </c>
      <c r="FI115" s="29">
        <f>IF(OR($B115="",$A115&lt;27),"",--MID('Key Analysis'!$C111,27,1))</f>
        <v>0</v>
      </c>
      <c r="FJ115" s="29">
        <f>IF(OR($B115="",$A115&lt;28),"",--MID('Key Analysis'!$C111,28,1))</f>
        <v>0</v>
      </c>
      <c r="FK115" s="29">
        <f>IF(OR($B115="",$A115&lt;29),"",--MID('Key Analysis'!$C111,29,1))</f>
        <v>1</v>
      </c>
      <c r="FL115" s="29">
        <f>IF(OR($B115="",$A115&lt;30),"",--MID('Key Analysis'!$C111,30,1))</f>
        <v>1</v>
      </c>
      <c r="FM115" s="29">
        <f>IF(OR($B115="",$A115&lt;31),"",--MID('Key Analysis'!$C111,31,1))</f>
        <v>0</v>
      </c>
      <c r="FN115" s="29">
        <f>IF(OR($B115="",$A115&lt;32),"",--MID('Key Analysis'!$C111,32,1))</f>
        <v>1</v>
      </c>
      <c r="FO115" s="29">
        <f>IF(OR($B115="",$A115&lt;33),"",--MID('Key Analysis'!$C111,33,1))</f>
        <v>0</v>
      </c>
      <c r="FP115" s="29">
        <f>IF(OR($B115="",$A115&lt;34),"",--MID('Key Analysis'!$C111,34,1))</f>
        <v>0</v>
      </c>
      <c r="FQ115" s="29">
        <f>IF(OR($B115="",$A115&lt;35),"",--MID('Key Analysis'!$C111,35,1))</f>
        <v>1</v>
      </c>
      <c r="FR115" s="29">
        <f>IF(OR($B115="",$A115&lt;36),"",--MID('Key Analysis'!$C111,36,1))</f>
        <v>1</v>
      </c>
      <c r="FS115" s="29">
        <f>IF(OR($B115="",$A115&lt;37),"",--MID('Key Analysis'!$C111,37,1))</f>
        <v>0</v>
      </c>
      <c r="FT115" s="29">
        <f>IF(OR($B115="",$A115&lt;38),"",--MID('Key Analysis'!$C111,38,1))</f>
        <v>1</v>
      </c>
      <c r="FU115" s="29">
        <f>IF(OR($B115="",$A115&lt;39),"",--MID('Key Analysis'!$C111,39,1))</f>
        <v>1</v>
      </c>
      <c r="FV115" s="29">
        <f>IF(OR($B115="",$A115&lt;40),"",--MID('Key Analysis'!$C111,40,1))</f>
        <v>1</v>
      </c>
      <c r="FW115" s="29">
        <f>IF(OR($B115="",$A115&lt;41),"",--MID('Key Analysis'!$C111,41,1))</f>
        <v>1</v>
      </c>
      <c r="FX115" s="29">
        <f>IF(OR($B115="",$A115&lt;42),"",--MID('Key Analysis'!$C111,42,1))</f>
        <v>1</v>
      </c>
      <c r="FY115" s="29">
        <f>IF(OR($B115="",$A115&lt;43),"",--MID('Key Analysis'!$C111,43,1))</f>
        <v>0</v>
      </c>
      <c r="FZ115" s="29">
        <f>IF(OR($B115="",$A115&lt;44),"",--MID('Key Analysis'!$C111,44,1))</f>
        <v>1</v>
      </c>
      <c r="GA115" s="29">
        <f>IF(OR($B115="",$A115&lt;45),"",--MID('Key Analysis'!$C111,45,1))</f>
        <v>1</v>
      </c>
      <c r="GB115" s="29">
        <f>IF(OR($B115="",$A115&lt;46),"",--MID('Key Analysis'!$C111,46,1))</f>
        <v>1</v>
      </c>
      <c r="GC115" s="29">
        <f>IF(OR($B115="",$A115&lt;47),"",--MID('Key Analysis'!$C111,47,1))</f>
        <v>1</v>
      </c>
      <c r="GD115" s="29">
        <f>IF(OR($B115="",$A115&lt;48),"",--MID('Key Analysis'!$C111,48,1))</f>
        <v>1</v>
      </c>
      <c r="GE115" s="29">
        <f>IF(OR($B115="",$A115&lt;49),"",--MID('Key Analysis'!$C111,49,1))</f>
        <v>0</v>
      </c>
      <c r="GF115" s="29">
        <f>IF(OR($B115="",$A115&lt;50),"",--MID('Key Analysis'!$C111,50,1))</f>
        <v>1</v>
      </c>
      <c r="GG115" s="29">
        <f>IF(OR($B115="",$A115&lt;51),"",--MID('Key Analysis'!$C111,51,1))</f>
        <v>1</v>
      </c>
      <c r="GH115" s="29">
        <f>IF(OR($B115="",$A115&lt;52),"",--MID('Key Analysis'!$C111,52,1))</f>
        <v>1</v>
      </c>
      <c r="GI115" s="29">
        <f>IF(OR($B115="",$A115&lt;53),"",--MID('Key Analysis'!$C111,53,1))</f>
        <v>1</v>
      </c>
      <c r="GJ115" s="29">
        <f>IF(OR($B115="",$A115&lt;54),"",--MID('Key Analysis'!$C111,54,1))</f>
        <v>0</v>
      </c>
      <c r="GK115" s="29">
        <f>IF(OR($B115="",$A115&lt;55),"",--MID('Key Analysis'!$C111,55,1))</f>
        <v>1</v>
      </c>
      <c r="GL115" s="29">
        <f>IF(OR($B115="",$A115&lt;56),"",--MID('Key Analysis'!$C111,56,1))</f>
        <v>0</v>
      </c>
      <c r="GM115" s="29">
        <f>IF(OR($B115="",$A115&lt;57),"",--MID('Key Analysis'!$C111,57,1))</f>
        <v>1</v>
      </c>
      <c r="GN115" s="29">
        <f>IF(OR($B115="",$A115&lt;58),"",--MID('Key Analysis'!$C111,58,1))</f>
        <v>1</v>
      </c>
      <c r="GO115" s="29">
        <f>IF(OR($B115="",$A115&lt;59),"",--MID('Key Analysis'!$C111,59,1))</f>
        <v>0</v>
      </c>
      <c r="GP115" s="29">
        <f>IF(OR($B115="",$A115&lt;60),"",--MID('Key Analysis'!$C111,60,1))</f>
        <v>0</v>
      </c>
      <c r="GQ115" s="29">
        <f>IF(OR($B115="",$A115&lt;61),"",--MID('Key Analysis'!$C111,61,1))</f>
        <v>0</v>
      </c>
      <c r="GR115" s="29">
        <f>IF(OR($B115="",$A115&lt;62),"",--MID('Key Analysis'!$C111,62,1))</f>
        <v>0</v>
      </c>
      <c r="GS115" s="29">
        <f>IF(OR($B115="",$A115&lt;63),"",--MID('Key Analysis'!$C111,63,1))</f>
        <v>1</v>
      </c>
      <c r="GT115" s="29">
        <f>IF(OR($B115="",$A115&lt;64),"",--MID('Key Analysis'!$C111,64,1))</f>
        <v>1</v>
      </c>
      <c r="GU115" s="29">
        <f>IF(OR($B115="",$A115&lt;65),"",--MID('Key Analysis'!$C111,65,1))</f>
        <v>1</v>
      </c>
      <c r="GV115" s="29">
        <f>IF(OR($B115="",$A115&lt;66),"",--MID('Key Analysis'!$C111,66,1))</f>
        <v>1</v>
      </c>
      <c r="GW115" s="29">
        <f>IF(OR($B115="",$A115&lt;67),"",--MID('Key Analysis'!$C111,67,1))</f>
        <v>0</v>
      </c>
      <c r="GX115" s="29">
        <f>IF(OR($B115="",$A115&lt;68),"",--MID('Key Analysis'!$C111,68,1))</f>
        <v>0</v>
      </c>
      <c r="GY115" s="29">
        <f>IF(OR($B115="",$A115&lt;69),"",--MID('Key Analysis'!$C111,69,1))</f>
        <v>1</v>
      </c>
      <c r="GZ115" s="29">
        <f>IF(OR($B115="",$A115&lt;70),"",--MID('Key Analysis'!$C111,70,1))</f>
        <v>0</v>
      </c>
      <c r="HA115" s="29">
        <f>IF(OR($B115="",$A115&lt;71),"",--MID('Key Analysis'!$C111,71,1))</f>
        <v>0</v>
      </c>
      <c r="HB115" s="29">
        <f>IF(OR($B115="",$A115&lt;72),"",--MID('Key Analysis'!$C111,72,1))</f>
        <v>0</v>
      </c>
      <c r="HC115" s="29">
        <f>IF(OR($B115="",$A115&lt;73),"",--MID('Key Analysis'!$C111,73,1))</f>
        <v>0</v>
      </c>
      <c r="HD115" s="29">
        <f>IF(OR($B115="",$A115&lt;74),"",--MID('Key Analysis'!$C111,74,1))</f>
        <v>0</v>
      </c>
      <c r="HE115" s="29">
        <f>IF(OR($B115="",$A115&lt;75),"",--MID('Key Analysis'!$C111,75,1))</f>
        <v>1</v>
      </c>
      <c r="HF115" s="29">
        <f>IF(OR($B115="",$A115&lt;76),"",--MID('Key Analysis'!$C111,76,1))</f>
        <v>1</v>
      </c>
      <c r="HG115" s="29">
        <f>IF(OR($B115="",$A115&lt;77),"",--MID('Key Analysis'!$C111,77,1))</f>
        <v>0</v>
      </c>
      <c r="HH115" s="29">
        <f>IF(OR($B115="",$A115&lt;78),"",--MID('Key Analysis'!$C111,78,1))</f>
        <v>0</v>
      </c>
      <c r="HI115" s="29">
        <f>IF(OR($B115="",$A115&lt;79),"",--MID('Key Analysis'!$C111,79,1))</f>
        <v>1</v>
      </c>
      <c r="HJ115" s="29">
        <f>IF(OR($B115="",$A115&lt;80),"",--MID('Key Analysis'!$C111,80,1))</f>
        <v>1</v>
      </c>
      <c r="HK115" s="29">
        <f>IF(OR($B115="",$A115&lt;81),"",--MID('Key Analysis'!$C111,81,1))</f>
        <v>1</v>
      </c>
      <c r="HL115" s="29">
        <f>IF(OR($B115="",$A115&lt;82),"",--MID('Key Analysis'!$C111,82,1))</f>
        <v>1</v>
      </c>
      <c r="HM115" s="29">
        <f>IF(OR($B115="",$A115&lt;83),"",--MID('Key Analysis'!$C111,83,1))</f>
        <v>0</v>
      </c>
      <c r="HN115" s="29">
        <f>IF(OR($B115="",$A115&lt;84),"",--MID('Key Analysis'!$C111,84,1))</f>
        <v>1</v>
      </c>
      <c r="HO115" s="29">
        <f>IF(OR($B115="",$A115&lt;85),"",--MID('Key Analysis'!$C111,85,1))</f>
        <v>1</v>
      </c>
      <c r="HP115" s="29">
        <f>IF(OR($B115="",$A115&lt;86),"",--MID('Key Analysis'!$C111,86,1))</f>
        <v>1</v>
      </c>
      <c r="HQ115" s="29">
        <f>IF(OR($B115="",$A115&lt;87),"",--MID('Key Analysis'!$C111,87,1))</f>
        <v>0</v>
      </c>
      <c r="HR115" s="29">
        <f>IF(OR($B115="",$A115&lt;88),"",--MID('Key Analysis'!$C111,88,1))</f>
        <v>0</v>
      </c>
      <c r="HS115" s="29">
        <f>IF(OR($B115="",$A115&lt;89),"",--MID('Key Analysis'!$C111,89,1))</f>
        <v>0</v>
      </c>
      <c r="HT115" s="29">
        <f>IF(OR($B115="",$A115&lt;90),"",--MID('Key Analysis'!$C111,90,1))</f>
        <v>0</v>
      </c>
      <c r="HU115" s="29">
        <f>IF(OR($B115="",$A115&lt;91),"",--MID('Key Analysis'!$C111,91,1))</f>
        <v>0</v>
      </c>
      <c r="HV115" s="29">
        <f>IF(OR($B115="",$A115&lt;92),"",--MID('Key Analysis'!$C111,92,1))</f>
        <v>1</v>
      </c>
      <c r="HW115" s="29">
        <f>IF(OR($B115="",$A115&lt;93),"",--MID('Key Analysis'!$C111,93,1))</f>
        <v>1</v>
      </c>
      <c r="HX115" s="29">
        <f>IF(OR($B115="",$A115&lt;94),"",--MID('Key Analysis'!$C111,94,1))</f>
        <v>0</v>
      </c>
      <c r="HY115" s="29">
        <f>IF(OR($B115="",$A115&lt;95),"",--MID('Key Analysis'!$C111,95,1))</f>
        <v>0</v>
      </c>
      <c r="HZ115" s="29">
        <f>IF(OR($B115="",$A115&lt;96),"",--MID('Key Analysis'!$C111,96,1))</f>
        <v>0</v>
      </c>
      <c r="IA115" s="29">
        <f>IF(OR($B115="",$A115&lt;97),"",--MID('Key Analysis'!$C111,97,1))</f>
        <v>1</v>
      </c>
      <c r="IB115" s="29">
        <f>IF(OR($B115="",$A115&lt;98),"",--MID('Key Analysis'!$C111,98,1))</f>
        <v>0</v>
      </c>
      <c r="IC115" s="29">
        <f>IF(OR($B115="",$A115&lt;99),"",--MID('Key Analysis'!$C111,99,1))</f>
        <v>0</v>
      </c>
      <c r="ID115" s="29">
        <f>IF(OR($B115="",$A115&lt;100),"",--MID('Key Analysis'!$C111,100,1))</f>
        <v>1</v>
      </c>
      <c r="IE115" s="29">
        <f>IF(OR($B115="",$A115&lt;101),"",--MID('Key Analysis'!$C111,101,1))</f>
        <v>0</v>
      </c>
      <c r="IF115" s="29">
        <f>IF(OR($B115="",$A115&lt;102),"",--MID('Key Analysis'!$C111,102,1))</f>
        <v>0</v>
      </c>
      <c r="IG115" s="29">
        <f>IF(OR($B115="",$A115&lt;103),"",--MID('Key Analysis'!$C111,103,1))</f>
        <v>0</v>
      </c>
      <c r="IH115" s="29">
        <f>IF(OR($B115="",$A115&lt;104),"",--MID('Key Analysis'!$C111,104,1))</f>
        <v>1</v>
      </c>
      <c r="II115" s="29">
        <f>IF(OR($B115="",$A115&lt;105),"",--MID('Key Analysis'!$C111,105,1))</f>
        <v>0</v>
      </c>
      <c r="IJ115" s="29">
        <f>IF(OR($B115="",$A115&lt;106),"",--MID('Key Analysis'!$C111,106,1))</f>
        <v>0</v>
      </c>
      <c r="IK115" s="29">
        <f>IF(OR($B115="",$A115&lt;107),"",--MID('Key Analysis'!$C111,107,1))</f>
        <v>0</v>
      </c>
      <c r="IL115" s="29">
        <f>IF(OR($B115="",$A115&lt;108),"",--MID('Key Analysis'!$C111,108,1))</f>
        <v>1</v>
      </c>
      <c r="IM115" s="29">
        <f>IF(OR($B115="",$A115&lt;109),"",--MID('Key Analysis'!$C111,109,1))</f>
        <v>0</v>
      </c>
      <c r="IN115" s="29">
        <f>IF(OR($B115="",$A115&lt;110),"",--MID('Key Analysis'!$C111,110,1))</f>
        <v>0</v>
      </c>
      <c r="IO115" s="29" t="str">
        <f>IF(OR($B115="",$A115&lt;111),"",--MID('Key Analysis'!$C111,111,1))</f>
        <v/>
      </c>
      <c r="IP115" s="29" t="str">
        <f>IF(OR($B115="",$A115&lt;112),"",--MID('Key Analysis'!$C111,112,1))</f>
        <v/>
      </c>
      <c r="IQ115" s="29" t="str">
        <f>IF(OR($B115="",$A115&lt;113),"",--MID('Key Analysis'!$C111,113,1))</f>
        <v/>
      </c>
      <c r="IR115" s="29" t="str">
        <f>IF(OR($B115="",$A115&lt;114),"",--MID('Key Analysis'!$C111,114,1))</f>
        <v/>
      </c>
      <c r="IS115" s="29" t="str">
        <f>IF(OR($B115="",$A115&lt;115),"",--MID('Key Analysis'!$C111,115,1))</f>
        <v/>
      </c>
      <c r="IT115" s="29" t="str">
        <f>IF(OR($B115="",$A115&lt;116),"",--MID('Key Analysis'!$C111,116,1))</f>
        <v/>
      </c>
      <c r="IU115" s="29" t="str">
        <f>IF(OR($B115="",$A115&lt;117),"",--MID('Key Analysis'!$C111,117,1))</f>
        <v/>
      </c>
      <c r="IV115" s="29" t="str">
        <f>IF(OR($B115="",$A115&lt;118),"",--MID('Key Analysis'!$C111,118,1))</f>
        <v/>
      </c>
      <c r="IW115" s="29" t="str">
        <f>IF(OR($B115="",$A115&lt;119),"",--MID('Key Analysis'!$C111,119,1))</f>
        <v/>
      </c>
      <c r="IX115" s="29" t="str">
        <f>IF(OR($B115="",$A115&lt;120),"",--MID('Key Analysis'!$C111,120,1))</f>
        <v/>
      </c>
      <c r="IY115" s="29" t="str">
        <f>IF(OR($B115="",$A115&lt;121),"",--MID('Key Analysis'!$C111,121,1))</f>
        <v/>
      </c>
      <c r="IZ115" s="29" t="str">
        <f>IF(OR($B115="",$A115&lt;122),"",--MID('Key Analysis'!$C111,122,1))</f>
        <v/>
      </c>
      <c r="JA115" s="29" t="str">
        <f>IF(OR($B115="",$A115&lt;123),"",--MID('Key Analysis'!$C111,123,1))</f>
        <v/>
      </c>
      <c r="JB115" s="29" t="str">
        <f>IF(OR($B115="",$A115&lt;124),"",--MID('Key Analysis'!$C111,124,1))</f>
        <v/>
      </c>
      <c r="JC115" s="29" t="str">
        <f>IF(OR($B115="",$A115&lt;125),"",--MID('Key Analysis'!$C111,125,1))</f>
        <v/>
      </c>
      <c r="JD115" s="29" t="str">
        <f>IF(OR($B115="",$A115&lt;126),"",--MID('Key Analysis'!$C111,126,1))</f>
        <v/>
      </c>
      <c r="JE115" s="29" t="str">
        <f>IF(OR($B115="",$A115&lt;127),"",--MID('Key Analysis'!$C111,127,1))</f>
        <v/>
      </c>
      <c r="JF115" s="29" t="str">
        <f>IF(OR($B115="",$A115&lt;128),"",--MID('Key Analysis'!$C111,128,1))</f>
        <v/>
      </c>
      <c r="JG115" s="29" t="str">
        <f>IF(OR($B115="",$A115&lt;129),"",--MID('Key Analysis'!$C111,129,1))</f>
        <v/>
      </c>
      <c r="JH115" s="29" t="str">
        <f>IF(OR($B115="",$A115&lt;130),"",--MID('Key Analysis'!$C111,130,1))</f>
        <v/>
      </c>
      <c r="JI115" s="29" t="str">
        <f>IF(OR($B115="",$A115&lt;131),"",--MID('Key Analysis'!$C111,131,1))</f>
        <v/>
      </c>
      <c r="JJ115" s="29" t="str">
        <f>IF(OR($B115="",$A115&lt;132),"",--MID('Key Analysis'!$C111,132,1))</f>
        <v/>
      </c>
      <c r="JK115" s="29" t="str">
        <f>IF(OR($B115="",$A115&lt;133),"",--MID('Key Analysis'!$C111,133,1))</f>
        <v/>
      </c>
      <c r="JL115" s="29" t="str">
        <f>IF(OR($B115="",$A115&lt;134),"",--MID('Key Analysis'!$C111,134,1))</f>
        <v/>
      </c>
      <c r="JM115" s="29" t="str">
        <f>IF(OR($B115="",$A115&lt;135),"",--MID('Key Analysis'!$C111,135,1))</f>
        <v/>
      </c>
    </row>
    <row r="116" spans="1:273" x14ac:dyDescent="0.25">
      <c r="A116" s="21">
        <f>'Key Analysis'!A112</f>
        <v>111</v>
      </c>
      <c r="B116" s="30" t="str">
        <f>'Key Analysis'!B112</f>
        <v/>
      </c>
      <c r="C116" s="29" t="str">
        <f>IF(OR($B116="",$A116&lt;=0),"",--MID('Key Analysis'!$C112,$A116-0,1))</f>
        <v/>
      </c>
      <c r="D116" s="29" t="str">
        <f>IF(OR($B116="",$A116&lt;=1),"",--MID('Key Analysis'!$C112,$A116-1,1))</f>
        <v/>
      </c>
      <c r="E116" s="29" t="str">
        <f>IF(OR($B116="",$A116&lt;=2),"",--MID('Key Analysis'!$C112,$A116-2,1))</f>
        <v/>
      </c>
      <c r="F116" s="29" t="str">
        <f>IF(OR($B116="",$A116&lt;=3),"",--MID('Key Analysis'!$C112,$A116-3,1))</f>
        <v/>
      </c>
      <c r="G116" s="29" t="str">
        <f>IF(OR($B116="",$A116&lt;=4),"",--MID('Key Analysis'!$C112,$A116-4,1))</f>
        <v/>
      </c>
      <c r="H116" s="29" t="str">
        <f>IF(OR($B116="",$A116&lt;=5),"",--MID('Key Analysis'!$C112,$A116-5,1))</f>
        <v/>
      </c>
      <c r="I116" s="29" t="str">
        <f>IF(OR($B116="",$A116&lt;=6),"",--MID('Key Analysis'!$C112,$A116-6,1))</f>
        <v/>
      </c>
      <c r="J116" s="29" t="str">
        <f>IF(OR($B116="",$A116&lt;=7),"",--MID('Key Analysis'!$C112,$A116-7,1))</f>
        <v/>
      </c>
      <c r="K116" s="29" t="str">
        <f>IF(OR($B116="",$A116&lt;=8),"",--MID('Key Analysis'!$C112,$A116-8,1))</f>
        <v/>
      </c>
      <c r="L116" s="29" t="str">
        <f>IF(OR($B116="",$A116&lt;=9),"",--MID('Key Analysis'!$C112,$A116-9,1))</f>
        <v/>
      </c>
      <c r="M116" s="29" t="str">
        <f>IF(OR($B116="",$A116&lt;=10),"",--MID('Key Analysis'!$C112,$A116-10,1))</f>
        <v/>
      </c>
      <c r="N116" s="29" t="str">
        <f>IF(OR($B116="",$A116&lt;=11),"",--MID('Key Analysis'!$C112,$A116-11,1))</f>
        <v/>
      </c>
      <c r="O116" s="29" t="str">
        <f>IF(OR($B116="",$A116&lt;=12),"",--MID('Key Analysis'!$C112,$A116-12,1))</f>
        <v/>
      </c>
      <c r="P116" s="29" t="str">
        <f>IF(OR($B116="",$A116&lt;=13),"",--MID('Key Analysis'!$C112,$A116-13,1))</f>
        <v/>
      </c>
      <c r="Q116" s="29" t="str">
        <f>IF(OR($B116="",$A116&lt;=14),"",--MID('Key Analysis'!$C112,$A116-14,1))</f>
        <v/>
      </c>
      <c r="R116" s="29" t="str">
        <f>IF(OR($B116="",$A116&lt;=15),"",--MID('Key Analysis'!$C112,$A116-15,1))</f>
        <v/>
      </c>
      <c r="S116" s="29" t="str">
        <f>IF(OR($B116="",$A116&lt;=16),"",--MID('Key Analysis'!$C112,$A116-16,1))</f>
        <v/>
      </c>
      <c r="T116" s="29" t="str">
        <f>IF(OR($B116="",$A116&lt;=17),"",--MID('Key Analysis'!$C112,$A116-17,1))</f>
        <v/>
      </c>
      <c r="U116" s="29" t="str">
        <f>IF(OR($B116="",$A116&lt;=18),"",--MID('Key Analysis'!$C112,$A116-18,1))</f>
        <v/>
      </c>
      <c r="V116" s="29" t="str">
        <f>IF(OR($B116="",$A116&lt;=19),"",--MID('Key Analysis'!$C112,$A116-19,1))</f>
        <v/>
      </c>
      <c r="W116" s="29" t="str">
        <f>IF(OR($B116="",$A116&lt;=20),"",--MID('Key Analysis'!$C112,$A116-20,1))</f>
        <v/>
      </c>
      <c r="X116" s="29" t="str">
        <f>IF(OR($B116="",$A116&lt;=21),"",--MID('Key Analysis'!$C112,$A116-21,1))</f>
        <v/>
      </c>
      <c r="Y116" s="29" t="str">
        <f>IF(OR($B116="",$A116&lt;=22),"",--MID('Key Analysis'!$C112,$A116-22,1))</f>
        <v/>
      </c>
      <c r="Z116" s="29" t="str">
        <f>IF(OR($B116="",$A116&lt;=23),"",--MID('Key Analysis'!$C112,$A116-23,1))</f>
        <v/>
      </c>
      <c r="AA116" s="29" t="str">
        <f>IF(OR($B116="",$A116&lt;=24),"",--MID('Key Analysis'!$C112,$A116-24,1))</f>
        <v/>
      </c>
      <c r="AB116" s="29" t="str">
        <f>IF(OR($B116="",$A116&lt;=25),"",--MID('Key Analysis'!$C112,$A116-25,1))</f>
        <v/>
      </c>
      <c r="AC116" s="29" t="str">
        <f>IF(OR($B116="",$A116&lt;=26),"",--MID('Key Analysis'!$C112,$A116-26,1))</f>
        <v/>
      </c>
      <c r="AD116" s="29" t="str">
        <f>IF(OR($B116="",$A116&lt;=27),"",--MID('Key Analysis'!$C112,$A116-27,1))</f>
        <v/>
      </c>
      <c r="AE116" s="29" t="str">
        <f>IF(OR($B116="",$A116&lt;=28),"",--MID('Key Analysis'!$C112,$A116-28,1))</f>
        <v/>
      </c>
      <c r="AF116" s="29" t="str">
        <f>IF(OR($B116="",$A116&lt;=29),"",--MID('Key Analysis'!$C112,$A116-29,1))</f>
        <v/>
      </c>
      <c r="AG116" s="29" t="str">
        <f>IF(OR($B116="",$A116&lt;=30),"",--MID('Key Analysis'!$C112,$A116-30,1))</f>
        <v/>
      </c>
      <c r="AH116" s="29" t="str">
        <f>IF(OR($B116="",$A116&lt;=31),"",--MID('Key Analysis'!$C112,$A116-31,1))</f>
        <v/>
      </c>
      <c r="AI116" s="29" t="str">
        <f>IF(OR($B116="",$A116&lt;=32),"",--MID('Key Analysis'!$C112,$A116-32,1))</f>
        <v/>
      </c>
      <c r="AJ116" s="29" t="str">
        <f>IF(OR($B116="",$A116&lt;=33),"",--MID('Key Analysis'!$C112,$A116-33,1))</f>
        <v/>
      </c>
      <c r="AK116" s="29" t="str">
        <f>IF(OR($B116="",$A116&lt;=34),"",--MID('Key Analysis'!$C112,$A116-34,1))</f>
        <v/>
      </c>
      <c r="AL116" s="29" t="str">
        <f>IF(OR($B116="",$A116&lt;=35),"",--MID('Key Analysis'!$C112,$A116-35,1))</f>
        <v/>
      </c>
      <c r="AM116" s="29" t="str">
        <f>IF(OR($B116="",$A116&lt;=36),"",--MID('Key Analysis'!$C112,$A116-36,1))</f>
        <v/>
      </c>
      <c r="AN116" s="29" t="str">
        <f>IF(OR($B116="",$A116&lt;=37),"",--MID('Key Analysis'!$C112,$A116-37,1))</f>
        <v/>
      </c>
      <c r="AO116" s="29" t="str">
        <f>IF(OR($B116="",$A116&lt;=38),"",--MID('Key Analysis'!$C112,$A116-38,1))</f>
        <v/>
      </c>
      <c r="AP116" s="29" t="str">
        <f>IF(OR($B116="",$A116&lt;=39),"",--MID('Key Analysis'!$C112,$A116-39,1))</f>
        <v/>
      </c>
      <c r="AQ116" s="29" t="str">
        <f>IF(OR($B116="",$A116&lt;=40),"",--MID('Key Analysis'!$C112,$A116-40,1))</f>
        <v/>
      </c>
      <c r="AR116" s="29" t="str">
        <f>IF(OR($B116="",$A116&lt;=41),"",--MID('Key Analysis'!$C112,$A116-41,1))</f>
        <v/>
      </c>
      <c r="AS116" s="29" t="str">
        <f>IF(OR($B116="",$A116&lt;=42),"",--MID('Key Analysis'!$C112,$A116-42,1))</f>
        <v/>
      </c>
      <c r="AT116" s="29" t="str">
        <f>IF(OR($B116="",$A116&lt;=43),"",--MID('Key Analysis'!$C112,$A116-43,1))</f>
        <v/>
      </c>
      <c r="AU116" s="29" t="str">
        <f>IF(OR($B116="",$A116&lt;=44),"",--MID('Key Analysis'!$C112,$A116-44,1))</f>
        <v/>
      </c>
      <c r="AV116" s="29" t="str">
        <f>IF(OR($B116="",$A116&lt;=45),"",--MID('Key Analysis'!$C112,$A116-45,1))</f>
        <v/>
      </c>
      <c r="AW116" s="29" t="str">
        <f>IF(OR($B116="",$A116&lt;=46),"",--MID('Key Analysis'!$C112,$A116-46,1))</f>
        <v/>
      </c>
      <c r="AX116" s="29" t="str">
        <f>IF(OR($B116="",$A116&lt;=47),"",--MID('Key Analysis'!$C112,$A116-47,1))</f>
        <v/>
      </c>
      <c r="AY116" s="29" t="str">
        <f>IF(OR($B116="",$A116&lt;=48),"",--MID('Key Analysis'!$C112,$A116-48,1))</f>
        <v/>
      </c>
      <c r="AZ116" s="29" t="str">
        <f>IF(OR($B116="",$A116&lt;=49),"",--MID('Key Analysis'!$C112,$A116-49,1))</f>
        <v/>
      </c>
      <c r="BA116" s="29" t="str">
        <f>IF(OR($B116="",$A116&lt;=50),"",--MID('Key Analysis'!$C112,$A116-50,1))</f>
        <v/>
      </c>
      <c r="BB116" s="29" t="str">
        <f>IF(OR($B116="",$A116&lt;=51),"",--MID('Key Analysis'!$C112,$A116-51,1))</f>
        <v/>
      </c>
      <c r="BC116" s="29" t="str">
        <f>IF(OR($B116="",$A116&lt;=52),"",--MID('Key Analysis'!$C112,$A116-52,1))</f>
        <v/>
      </c>
      <c r="BD116" s="29" t="str">
        <f>IF(OR($B116="",$A116&lt;=53),"",--MID('Key Analysis'!$C112,$A116-53,1))</f>
        <v/>
      </c>
      <c r="BE116" s="29" t="str">
        <f>IF(OR($B116="",$A116&lt;=54),"",--MID('Key Analysis'!$C112,$A116-54,1))</f>
        <v/>
      </c>
      <c r="BF116" s="29" t="str">
        <f>IF(OR($B116="",$A116&lt;=55),"",--MID('Key Analysis'!$C112,$A116-55,1))</f>
        <v/>
      </c>
      <c r="BG116" s="29" t="str">
        <f>IF(OR($B116="",$A116&lt;=56),"",--MID('Key Analysis'!$C112,$A116-56,1))</f>
        <v/>
      </c>
      <c r="BH116" s="29" t="str">
        <f>IF(OR($B116="",$A116&lt;=57),"",--MID('Key Analysis'!$C112,$A116-57,1))</f>
        <v/>
      </c>
      <c r="BI116" s="29" t="str">
        <f>IF(OR($B116="",$A116&lt;=58),"",--MID('Key Analysis'!$C112,$A116-58,1))</f>
        <v/>
      </c>
      <c r="BJ116" s="29" t="str">
        <f>IF(OR($B116="",$A116&lt;=59),"",--MID('Key Analysis'!$C112,$A116-59,1))</f>
        <v/>
      </c>
      <c r="BK116" s="29" t="str">
        <f>IF(OR($B116="",$A116&lt;=60),"",--MID('Key Analysis'!$C112,$A116-60,1))</f>
        <v/>
      </c>
      <c r="BL116" s="29" t="str">
        <f>IF(OR($B116="",$A116&lt;=61),"",--MID('Key Analysis'!$C112,$A116-61,1))</f>
        <v/>
      </c>
      <c r="BM116" s="29" t="str">
        <f>IF(OR($B116="",$A116&lt;=62),"",--MID('Key Analysis'!$C112,$A116-62,1))</f>
        <v/>
      </c>
      <c r="BN116" s="29" t="str">
        <f>IF(OR($B116="",$A116&lt;=63),"",--MID('Key Analysis'!$C112,$A116-63,1))</f>
        <v/>
      </c>
      <c r="BO116" s="29" t="str">
        <f>IF(OR($B116="",$A116&lt;=64),"",--MID('Key Analysis'!$C112,$A116-64,1))</f>
        <v/>
      </c>
      <c r="BP116" s="29" t="str">
        <f>IF(OR($B116="",$A116&lt;=65),"",--MID('Key Analysis'!$C112,$A116-65,1))</f>
        <v/>
      </c>
      <c r="BQ116" s="29" t="str">
        <f>IF(OR($B116="",$A116&lt;=66),"",--MID('Key Analysis'!$C112,$A116-66,1))</f>
        <v/>
      </c>
      <c r="BR116" s="29" t="str">
        <f>IF(OR($B116="",$A116&lt;=67),"",--MID('Key Analysis'!$C112,$A116-67,1))</f>
        <v/>
      </c>
      <c r="BS116" s="29" t="str">
        <f>IF(OR($B116="",$A116&lt;=68),"",--MID('Key Analysis'!$C112,$A116-68,1))</f>
        <v/>
      </c>
      <c r="BT116" s="29" t="str">
        <f>IF(OR($B116="",$A116&lt;=69),"",--MID('Key Analysis'!$C112,$A116-69,1))</f>
        <v/>
      </c>
      <c r="BU116" s="29" t="str">
        <f>IF(OR($B116="",$A116&lt;=70),"",--MID('Key Analysis'!$C112,$A116-70,1))</f>
        <v/>
      </c>
      <c r="BV116" s="29" t="str">
        <f>IF(OR($B116="",$A116&lt;=71),"",--MID('Key Analysis'!$C112,$A116-71,1))</f>
        <v/>
      </c>
      <c r="BW116" s="29" t="str">
        <f>IF(OR($B116="",$A116&lt;=72),"",--MID('Key Analysis'!$C112,$A116-72,1))</f>
        <v/>
      </c>
      <c r="BX116" s="29" t="str">
        <f>IF(OR($B116="",$A116&lt;=73),"",--MID('Key Analysis'!$C112,$A116-73,1))</f>
        <v/>
      </c>
      <c r="BY116" s="29" t="str">
        <f>IF(OR($B116="",$A116&lt;=74),"",--MID('Key Analysis'!$C112,$A116-74,1))</f>
        <v/>
      </c>
      <c r="BZ116" s="29" t="str">
        <f>IF(OR($B116="",$A116&lt;=75),"",--MID('Key Analysis'!$C112,$A116-75,1))</f>
        <v/>
      </c>
      <c r="CA116" s="29" t="str">
        <f>IF(OR($B116="",$A116&lt;=76),"",--MID('Key Analysis'!$C112,$A116-76,1))</f>
        <v/>
      </c>
      <c r="CB116" s="29" t="str">
        <f>IF(OR($B116="",$A116&lt;=77),"",--MID('Key Analysis'!$C112,$A116-77,1))</f>
        <v/>
      </c>
      <c r="CC116" s="29" t="str">
        <f>IF(OR($B116="",$A116&lt;=78),"",--MID('Key Analysis'!$C112,$A116-78,1))</f>
        <v/>
      </c>
      <c r="CD116" s="29" t="str">
        <f>IF(OR($B116="",$A116&lt;=79),"",--MID('Key Analysis'!$C112,$A116-79,1))</f>
        <v/>
      </c>
      <c r="CE116" s="29" t="str">
        <f>IF(OR($B116="",$A116&lt;=80),"",--MID('Key Analysis'!$C112,$A116-80,1))</f>
        <v/>
      </c>
      <c r="CF116" s="29" t="str">
        <f>IF(OR($B116="",$A116&lt;=81),"",--MID('Key Analysis'!$C112,$A116-81,1))</f>
        <v/>
      </c>
      <c r="CG116" s="29" t="str">
        <f>IF(OR($B116="",$A116&lt;=82),"",--MID('Key Analysis'!$C112,$A116-82,1))</f>
        <v/>
      </c>
      <c r="CH116" s="29" t="str">
        <f>IF(OR($B116="",$A116&lt;=83),"",--MID('Key Analysis'!$C112,$A116-83,1))</f>
        <v/>
      </c>
      <c r="CI116" s="29" t="str">
        <f>IF(OR($B116="",$A116&lt;=84),"",--MID('Key Analysis'!$C112,$A116-84,1))</f>
        <v/>
      </c>
      <c r="CJ116" s="29" t="str">
        <f>IF(OR($B116="",$A116&lt;=85),"",--MID('Key Analysis'!$C112,$A116-85,1))</f>
        <v/>
      </c>
      <c r="CK116" s="29" t="str">
        <f>IF(OR($B116="",$A116&lt;=86),"",--MID('Key Analysis'!$C112,$A116-86,1))</f>
        <v/>
      </c>
      <c r="CL116" s="29" t="str">
        <f>IF(OR($B116="",$A116&lt;=87),"",--MID('Key Analysis'!$C112,$A116-87,1))</f>
        <v/>
      </c>
      <c r="CM116" s="29" t="str">
        <f>IF(OR($B116="",$A116&lt;=88),"",--MID('Key Analysis'!$C112,$A116-88,1))</f>
        <v/>
      </c>
      <c r="CN116" s="29" t="str">
        <f>IF(OR($B116="",$A116&lt;=89),"",--MID('Key Analysis'!$C112,$A116-89,1))</f>
        <v/>
      </c>
      <c r="CO116" s="29" t="str">
        <f>IF(OR($B116="",$A116&lt;=90),"",--MID('Key Analysis'!$C112,$A116-90,1))</f>
        <v/>
      </c>
      <c r="CP116" s="29" t="str">
        <f>IF(OR($B116="",$A116&lt;=91),"",--MID('Key Analysis'!$C112,$A116-91,1))</f>
        <v/>
      </c>
      <c r="CQ116" s="29" t="str">
        <f>IF(OR($B116="",$A116&lt;=92),"",--MID('Key Analysis'!$C112,$A116-92,1))</f>
        <v/>
      </c>
      <c r="CR116" s="29" t="str">
        <f>IF(OR($B116="",$A116&lt;=93),"",--MID('Key Analysis'!$C112,$A116-93,1))</f>
        <v/>
      </c>
      <c r="CS116" s="29" t="str">
        <f>IF(OR($B116="",$A116&lt;=94),"",--MID('Key Analysis'!$C112,$A116-94,1))</f>
        <v/>
      </c>
      <c r="CT116" s="29" t="str">
        <f>IF(OR($B116="",$A116&lt;=95),"",--MID('Key Analysis'!$C112,$A116-95,1))</f>
        <v/>
      </c>
      <c r="CU116" s="29" t="str">
        <f>IF(OR($B116="",$A116&lt;=96),"",--MID('Key Analysis'!$C112,$A116-96,1))</f>
        <v/>
      </c>
      <c r="CV116" s="29" t="str">
        <f>IF(OR($B116="",$A116&lt;=97),"",--MID('Key Analysis'!$C112,$A116-97,1))</f>
        <v/>
      </c>
      <c r="CW116" s="29" t="str">
        <f>IF(OR($B116="",$A116&lt;=98),"",--MID('Key Analysis'!$C112,$A116-98,1))</f>
        <v/>
      </c>
      <c r="CX116" s="29" t="str">
        <f>IF(OR($B116="",$A116&lt;=99),"",--MID('Key Analysis'!$C112,$A116-99,1))</f>
        <v/>
      </c>
      <c r="CY116" s="29" t="str">
        <f>IF(OR($B116="",$A116&lt;=100),"",--MID('Key Analysis'!$C112,$A116-100,1))</f>
        <v/>
      </c>
      <c r="CZ116" s="29" t="str">
        <f>IF(OR($B116="",$A116&lt;=101),"",--MID('Key Analysis'!$C112,$A116-101,1))</f>
        <v/>
      </c>
      <c r="DA116" s="29" t="str">
        <f>IF(OR($B116="",$A116&lt;=102),"",--MID('Key Analysis'!$C112,$A116-102,1))</f>
        <v/>
      </c>
      <c r="DB116" s="29" t="str">
        <f>IF(OR($B116="",$A116&lt;=103),"",--MID('Key Analysis'!$C112,$A116-103,1))</f>
        <v/>
      </c>
      <c r="DC116" s="29" t="str">
        <f>IF(OR($B116="",$A116&lt;=104),"",--MID('Key Analysis'!$C112,$A116-104,1))</f>
        <v/>
      </c>
      <c r="DD116" s="29" t="str">
        <f>IF(OR($B116="",$A116&lt;=105),"",--MID('Key Analysis'!$C112,$A116-105,1))</f>
        <v/>
      </c>
      <c r="DE116" s="29" t="str">
        <f>IF(OR($B116="",$A116&lt;=106),"",--MID('Key Analysis'!$C112,$A116-106,1))</f>
        <v/>
      </c>
      <c r="DF116" s="29" t="str">
        <f>IF(OR($B116="",$A116&lt;=107),"",--MID('Key Analysis'!$C112,$A116-107,1))</f>
        <v/>
      </c>
      <c r="DG116" s="29" t="str">
        <f>IF(OR($B116="",$A116&lt;=108),"",--MID('Key Analysis'!$C112,$A116-108,1))</f>
        <v/>
      </c>
      <c r="DH116" s="29" t="str">
        <f>IF(OR($B116="",$A116&lt;=109),"",--MID('Key Analysis'!$C112,$A116-109,1))</f>
        <v/>
      </c>
      <c r="DI116" s="29" t="str">
        <f>IF(OR($B116="",$A116&lt;=110),"",--MID('Key Analysis'!$C112,$A116-110,1))</f>
        <v/>
      </c>
      <c r="DJ116" s="29" t="str">
        <f>IF(OR($B116="",$A116&lt;=111),"",--MID('Key Analysis'!$C112,$A116-111,1))</f>
        <v/>
      </c>
      <c r="DK116" s="29" t="str">
        <f>IF(OR($B116="",$A116&lt;=112),"",--MID('Key Analysis'!$C112,$A116-112,1))</f>
        <v/>
      </c>
      <c r="DL116" s="29" t="str">
        <f>IF(OR($B116="",$A116&lt;=113),"",--MID('Key Analysis'!$C112,$A116-113,1))</f>
        <v/>
      </c>
      <c r="DM116" s="29" t="str">
        <f>IF(OR($B116="",$A116&lt;=114),"",--MID('Key Analysis'!$C112,$A116-114,1))</f>
        <v/>
      </c>
      <c r="DN116" s="29" t="str">
        <f>IF(OR($B116="",$A116&lt;=115),"",--MID('Key Analysis'!$C112,$A116-115,1))</f>
        <v/>
      </c>
      <c r="DO116" s="29" t="str">
        <f>IF(OR($B116="",$A116&lt;=116),"",--MID('Key Analysis'!$C112,$A116-116,1))</f>
        <v/>
      </c>
      <c r="DP116" s="29" t="str">
        <f>IF(OR($B116="",$A116&lt;=117),"",--MID('Key Analysis'!$C112,$A116-117,1))</f>
        <v/>
      </c>
      <c r="DQ116" s="29" t="str">
        <f>IF(OR($B116="",$A116&lt;=118),"",--MID('Key Analysis'!$C112,$A116-118,1))</f>
        <v/>
      </c>
      <c r="DR116" s="29" t="str">
        <f>IF(OR($B116="",$A116&lt;=119),"",--MID('Key Analysis'!$C112,$A116-119,1))</f>
        <v/>
      </c>
      <c r="DS116" s="29" t="str">
        <f>IF(OR($B116="",$A116&lt;=120),"",--MID('Key Analysis'!$C112,$A116-120,1))</f>
        <v/>
      </c>
      <c r="DT116" s="29" t="str">
        <f>IF(OR($B116="",$A116&lt;=121),"",--MID('Key Analysis'!$C112,$A116-121,1))</f>
        <v/>
      </c>
      <c r="DU116" s="29" t="str">
        <f>IF(OR($B116="",$A116&lt;=122),"",--MID('Key Analysis'!$C112,$A116-122,1))</f>
        <v/>
      </c>
      <c r="DV116" s="29" t="str">
        <f>IF(OR($B116="",$A116&lt;=123),"",--MID('Key Analysis'!$C112,$A116-123,1))</f>
        <v/>
      </c>
      <c r="DW116" s="29" t="str">
        <f>IF(OR($B116="",$A116&lt;=124),"",--MID('Key Analysis'!$C112,$A116-124,1))</f>
        <v/>
      </c>
      <c r="DX116" s="29" t="str">
        <f>IF(OR($B116="",$A116&lt;=125),"",--MID('Key Analysis'!$C112,$A116-125,1))</f>
        <v/>
      </c>
      <c r="DY116" s="29" t="str">
        <f>IF(OR($B116="",$A116&lt;=126),"",--MID('Key Analysis'!$C112,$A116-126,1))</f>
        <v/>
      </c>
      <c r="DZ116" s="29" t="str">
        <f>IF(OR($B116="",$A116&lt;=127),"",--MID('Key Analysis'!$C112,$A116-127,1))</f>
        <v/>
      </c>
      <c r="EA116" s="29" t="str">
        <f>IF(OR($B116="",$A116&lt;=128),"",--MID('Key Analysis'!$C112,$A116-128,1))</f>
        <v/>
      </c>
      <c r="EB116" s="29" t="str">
        <f>IF(OR($B116="",$A116&lt;=129),"",--MID('Key Analysis'!$C112,$A116-129,1))</f>
        <v/>
      </c>
      <c r="EC116" s="29" t="str">
        <f>IF(OR($B116="",$A116&lt;=130),"",--MID('Key Analysis'!$C112,$A116-130,1))</f>
        <v/>
      </c>
      <c r="ED116" s="29" t="str">
        <f>IF(OR($B116="",$A116&lt;=131),"",--MID('Key Analysis'!$C112,$A116-131,1))</f>
        <v/>
      </c>
      <c r="EE116" s="29" t="str">
        <f>IF(OR($B116="",$A116&lt;=132),"",--MID('Key Analysis'!$C112,$A116-132,1))</f>
        <v/>
      </c>
      <c r="EF116" s="29" t="str">
        <f>IF(OR($B116="",$A116&lt;=133),"",--MID('Key Analysis'!$C112,$A116-133,1))</f>
        <v/>
      </c>
      <c r="EG116" s="29" t="str">
        <f>IF(OR($B116="",$A116&lt;=134),"",--MID('Key Analysis'!$C112,$A116-134,1))</f>
        <v/>
      </c>
      <c r="EH116" s="29"/>
      <c r="EI116" s="29" t="str">
        <f>IF(OR($B116="",$A116&lt;1),"",--MID('Key Analysis'!$C112,1,1))</f>
        <v/>
      </c>
      <c r="EJ116" s="29" t="str">
        <f>IF(OR($B116="",$A116&lt;2),"",--MID('Key Analysis'!$C112,2,1))</f>
        <v/>
      </c>
      <c r="EK116" s="29" t="str">
        <f>IF(OR($B116="",$A116&lt;3),"",--MID('Key Analysis'!$C112,3,1))</f>
        <v/>
      </c>
      <c r="EL116" s="29" t="str">
        <f>IF(OR($B116="",$A116&lt;4),"",--MID('Key Analysis'!$C112,4,1))</f>
        <v/>
      </c>
      <c r="EM116" s="29" t="str">
        <f>IF(OR($B116="",$A116&lt;5),"",--MID('Key Analysis'!$C112,5,1))</f>
        <v/>
      </c>
      <c r="EN116" s="29" t="str">
        <f>IF(OR($B116="",$A116&lt;6),"",--MID('Key Analysis'!$C112,6,1))</f>
        <v/>
      </c>
      <c r="EO116" s="29" t="str">
        <f>IF(OR($B116="",$A116&lt;7),"",--MID('Key Analysis'!$C112,7,1))</f>
        <v/>
      </c>
      <c r="EP116" s="29" t="str">
        <f>IF(OR($B116="",$A116&lt;8),"",--MID('Key Analysis'!$C112,8,1))</f>
        <v/>
      </c>
      <c r="EQ116" s="29" t="str">
        <f>IF(OR($B116="",$A116&lt;9),"",--MID('Key Analysis'!$C112,9,1))</f>
        <v/>
      </c>
      <c r="ER116" s="29" t="str">
        <f>IF(OR($B116="",$A116&lt;10),"",--MID('Key Analysis'!$C112,10,1))</f>
        <v/>
      </c>
      <c r="ES116" s="29" t="str">
        <f>IF(OR($B116="",$A116&lt;11),"",--MID('Key Analysis'!$C112,11,1))</f>
        <v/>
      </c>
      <c r="ET116" s="29" t="str">
        <f>IF(OR($B116="",$A116&lt;12),"",--MID('Key Analysis'!$C112,12,1))</f>
        <v/>
      </c>
      <c r="EU116" s="29" t="str">
        <f>IF(OR($B116="",$A116&lt;13),"",--MID('Key Analysis'!$C112,13,1))</f>
        <v/>
      </c>
      <c r="EV116" s="29" t="str">
        <f>IF(OR($B116="",$A116&lt;14),"",--MID('Key Analysis'!$C112,14,1))</f>
        <v/>
      </c>
      <c r="EW116" s="29" t="str">
        <f>IF(OR($B116="",$A116&lt;15),"",--MID('Key Analysis'!$C112,15,1))</f>
        <v/>
      </c>
      <c r="EX116" s="29" t="str">
        <f>IF(OR($B116="",$A116&lt;16),"",--MID('Key Analysis'!$C112,16,1))</f>
        <v/>
      </c>
      <c r="EY116" s="29" t="str">
        <f>IF(OR($B116="",$A116&lt;17),"",--MID('Key Analysis'!$C112,17,1))</f>
        <v/>
      </c>
      <c r="EZ116" s="29" t="str">
        <f>IF(OR($B116="",$A116&lt;18),"",--MID('Key Analysis'!$C112,18,1))</f>
        <v/>
      </c>
      <c r="FA116" s="29" t="str">
        <f>IF(OR($B116="",$A116&lt;19),"",--MID('Key Analysis'!$C112,19,1))</f>
        <v/>
      </c>
      <c r="FB116" s="29" t="str">
        <f>IF(OR($B116="",$A116&lt;20),"",--MID('Key Analysis'!$C112,20,1))</f>
        <v/>
      </c>
      <c r="FC116" s="29" t="str">
        <f>IF(OR($B116="",$A116&lt;21),"",--MID('Key Analysis'!$C112,21,1))</f>
        <v/>
      </c>
      <c r="FD116" s="29" t="str">
        <f>IF(OR($B116="",$A116&lt;22),"",--MID('Key Analysis'!$C112,22,1))</f>
        <v/>
      </c>
      <c r="FE116" s="29" t="str">
        <f>IF(OR($B116="",$A116&lt;23),"",--MID('Key Analysis'!$C112,23,1))</f>
        <v/>
      </c>
      <c r="FF116" s="29" t="str">
        <f>IF(OR($B116="",$A116&lt;24),"",--MID('Key Analysis'!$C112,24,1))</f>
        <v/>
      </c>
      <c r="FG116" s="29" t="str">
        <f>IF(OR($B116="",$A116&lt;25),"",--MID('Key Analysis'!$C112,25,1))</f>
        <v/>
      </c>
      <c r="FH116" s="29" t="str">
        <f>IF(OR($B116="",$A116&lt;26),"",--MID('Key Analysis'!$C112,26,1))</f>
        <v/>
      </c>
      <c r="FI116" s="29" t="str">
        <f>IF(OR($B116="",$A116&lt;27),"",--MID('Key Analysis'!$C112,27,1))</f>
        <v/>
      </c>
      <c r="FJ116" s="29" t="str">
        <f>IF(OR($B116="",$A116&lt;28),"",--MID('Key Analysis'!$C112,28,1))</f>
        <v/>
      </c>
      <c r="FK116" s="29" t="str">
        <f>IF(OR($B116="",$A116&lt;29),"",--MID('Key Analysis'!$C112,29,1))</f>
        <v/>
      </c>
      <c r="FL116" s="29" t="str">
        <f>IF(OR($B116="",$A116&lt;30),"",--MID('Key Analysis'!$C112,30,1))</f>
        <v/>
      </c>
      <c r="FM116" s="29" t="str">
        <f>IF(OR($B116="",$A116&lt;31),"",--MID('Key Analysis'!$C112,31,1))</f>
        <v/>
      </c>
      <c r="FN116" s="29" t="str">
        <f>IF(OR($B116="",$A116&lt;32),"",--MID('Key Analysis'!$C112,32,1))</f>
        <v/>
      </c>
      <c r="FO116" s="29" t="str">
        <f>IF(OR($B116="",$A116&lt;33),"",--MID('Key Analysis'!$C112,33,1))</f>
        <v/>
      </c>
      <c r="FP116" s="29" t="str">
        <f>IF(OR($B116="",$A116&lt;34),"",--MID('Key Analysis'!$C112,34,1))</f>
        <v/>
      </c>
      <c r="FQ116" s="29" t="str">
        <f>IF(OR($B116="",$A116&lt;35),"",--MID('Key Analysis'!$C112,35,1))</f>
        <v/>
      </c>
      <c r="FR116" s="29" t="str">
        <f>IF(OR($B116="",$A116&lt;36),"",--MID('Key Analysis'!$C112,36,1))</f>
        <v/>
      </c>
      <c r="FS116" s="29" t="str">
        <f>IF(OR($B116="",$A116&lt;37),"",--MID('Key Analysis'!$C112,37,1))</f>
        <v/>
      </c>
      <c r="FT116" s="29" t="str">
        <f>IF(OR($B116="",$A116&lt;38),"",--MID('Key Analysis'!$C112,38,1))</f>
        <v/>
      </c>
      <c r="FU116" s="29" t="str">
        <f>IF(OR($B116="",$A116&lt;39),"",--MID('Key Analysis'!$C112,39,1))</f>
        <v/>
      </c>
      <c r="FV116" s="29" t="str">
        <f>IF(OR($B116="",$A116&lt;40),"",--MID('Key Analysis'!$C112,40,1))</f>
        <v/>
      </c>
      <c r="FW116" s="29" t="str">
        <f>IF(OR($B116="",$A116&lt;41),"",--MID('Key Analysis'!$C112,41,1))</f>
        <v/>
      </c>
      <c r="FX116" s="29" t="str">
        <f>IF(OR($B116="",$A116&lt;42),"",--MID('Key Analysis'!$C112,42,1))</f>
        <v/>
      </c>
      <c r="FY116" s="29" t="str">
        <f>IF(OR($B116="",$A116&lt;43),"",--MID('Key Analysis'!$C112,43,1))</f>
        <v/>
      </c>
      <c r="FZ116" s="29" t="str">
        <f>IF(OR($B116="",$A116&lt;44),"",--MID('Key Analysis'!$C112,44,1))</f>
        <v/>
      </c>
      <c r="GA116" s="29" t="str">
        <f>IF(OR($B116="",$A116&lt;45),"",--MID('Key Analysis'!$C112,45,1))</f>
        <v/>
      </c>
      <c r="GB116" s="29" t="str">
        <f>IF(OR($B116="",$A116&lt;46),"",--MID('Key Analysis'!$C112,46,1))</f>
        <v/>
      </c>
      <c r="GC116" s="29" t="str">
        <f>IF(OR($B116="",$A116&lt;47),"",--MID('Key Analysis'!$C112,47,1))</f>
        <v/>
      </c>
      <c r="GD116" s="29" t="str">
        <f>IF(OR($B116="",$A116&lt;48),"",--MID('Key Analysis'!$C112,48,1))</f>
        <v/>
      </c>
      <c r="GE116" s="29" t="str">
        <f>IF(OR($B116="",$A116&lt;49),"",--MID('Key Analysis'!$C112,49,1))</f>
        <v/>
      </c>
      <c r="GF116" s="29" t="str">
        <f>IF(OR($B116="",$A116&lt;50),"",--MID('Key Analysis'!$C112,50,1))</f>
        <v/>
      </c>
      <c r="GG116" s="29" t="str">
        <f>IF(OR($B116="",$A116&lt;51),"",--MID('Key Analysis'!$C112,51,1))</f>
        <v/>
      </c>
      <c r="GH116" s="29" t="str">
        <f>IF(OR($B116="",$A116&lt;52),"",--MID('Key Analysis'!$C112,52,1))</f>
        <v/>
      </c>
      <c r="GI116" s="29" t="str">
        <f>IF(OR($B116="",$A116&lt;53),"",--MID('Key Analysis'!$C112,53,1))</f>
        <v/>
      </c>
      <c r="GJ116" s="29" t="str">
        <f>IF(OR($B116="",$A116&lt;54),"",--MID('Key Analysis'!$C112,54,1))</f>
        <v/>
      </c>
      <c r="GK116" s="29" t="str">
        <f>IF(OR($B116="",$A116&lt;55),"",--MID('Key Analysis'!$C112,55,1))</f>
        <v/>
      </c>
      <c r="GL116" s="29" t="str">
        <f>IF(OR($B116="",$A116&lt;56),"",--MID('Key Analysis'!$C112,56,1))</f>
        <v/>
      </c>
      <c r="GM116" s="29" t="str">
        <f>IF(OR($B116="",$A116&lt;57),"",--MID('Key Analysis'!$C112,57,1))</f>
        <v/>
      </c>
      <c r="GN116" s="29" t="str">
        <f>IF(OR($B116="",$A116&lt;58),"",--MID('Key Analysis'!$C112,58,1))</f>
        <v/>
      </c>
      <c r="GO116" s="29" t="str">
        <f>IF(OR($B116="",$A116&lt;59),"",--MID('Key Analysis'!$C112,59,1))</f>
        <v/>
      </c>
      <c r="GP116" s="29" t="str">
        <f>IF(OR($B116="",$A116&lt;60),"",--MID('Key Analysis'!$C112,60,1))</f>
        <v/>
      </c>
      <c r="GQ116" s="29" t="str">
        <f>IF(OR($B116="",$A116&lt;61),"",--MID('Key Analysis'!$C112,61,1))</f>
        <v/>
      </c>
      <c r="GR116" s="29" t="str">
        <f>IF(OR($B116="",$A116&lt;62),"",--MID('Key Analysis'!$C112,62,1))</f>
        <v/>
      </c>
      <c r="GS116" s="29" t="str">
        <f>IF(OR($B116="",$A116&lt;63),"",--MID('Key Analysis'!$C112,63,1))</f>
        <v/>
      </c>
      <c r="GT116" s="29" t="str">
        <f>IF(OR($B116="",$A116&lt;64),"",--MID('Key Analysis'!$C112,64,1))</f>
        <v/>
      </c>
      <c r="GU116" s="29" t="str">
        <f>IF(OR($B116="",$A116&lt;65),"",--MID('Key Analysis'!$C112,65,1))</f>
        <v/>
      </c>
      <c r="GV116" s="29" t="str">
        <f>IF(OR($B116="",$A116&lt;66),"",--MID('Key Analysis'!$C112,66,1))</f>
        <v/>
      </c>
      <c r="GW116" s="29" t="str">
        <f>IF(OR($B116="",$A116&lt;67),"",--MID('Key Analysis'!$C112,67,1))</f>
        <v/>
      </c>
      <c r="GX116" s="29" t="str">
        <f>IF(OR($B116="",$A116&lt;68),"",--MID('Key Analysis'!$C112,68,1))</f>
        <v/>
      </c>
      <c r="GY116" s="29" t="str">
        <f>IF(OR($B116="",$A116&lt;69),"",--MID('Key Analysis'!$C112,69,1))</f>
        <v/>
      </c>
      <c r="GZ116" s="29" t="str">
        <f>IF(OR($B116="",$A116&lt;70),"",--MID('Key Analysis'!$C112,70,1))</f>
        <v/>
      </c>
      <c r="HA116" s="29" t="str">
        <f>IF(OR($B116="",$A116&lt;71),"",--MID('Key Analysis'!$C112,71,1))</f>
        <v/>
      </c>
      <c r="HB116" s="29" t="str">
        <f>IF(OR($B116="",$A116&lt;72),"",--MID('Key Analysis'!$C112,72,1))</f>
        <v/>
      </c>
      <c r="HC116" s="29" t="str">
        <f>IF(OR($B116="",$A116&lt;73),"",--MID('Key Analysis'!$C112,73,1))</f>
        <v/>
      </c>
      <c r="HD116" s="29" t="str">
        <f>IF(OR($B116="",$A116&lt;74),"",--MID('Key Analysis'!$C112,74,1))</f>
        <v/>
      </c>
      <c r="HE116" s="29" t="str">
        <f>IF(OR($B116="",$A116&lt;75),"",--MID('Key Analysis'!$C112,75,1))</f>
        <v/>
      </c>
      <c r="HF116" s="29" t="str">
        <f>IF(OR($B116="",$A116&lt;76),"",--MID('Key Analysis'!$C112,76,1))</f>
        <v/>
      </c>
      <c r="HG116" s="29" t="str">
        <f>IF(OR($B116="",$A116&lt;77),"",--MID('Key Analysis'!$C112,77,1))</f>
        <v/>
      </c>
      <c r="HH116" s="29" t="str">
        <f>IF(OR($B116="",$A116&lt;78),"",--MID('Key Analysis'!$C112,78,1))</f>
        <v/>
      </c>
      <c r="HI116" s="29" t="str">
        <f>IF(OR($B116="",$A116&lt;79),"",--MID('Key Analysis'!$C112,79,1))</f>
        <v/>
      </c>
      <c r="HJ116" s="29" t="str">
        <f>IF(OR($B116="",$A116&lt;80),"",--MID('Key Analysis'!$C112,80,1))</f>
        <v/>
      </c>
      <c r="HK116" s="29" t="str">
        <f>IF(OR($B116="",$A116&lt;81),"",--MID('Key Analysis'!$C112,81,1))</f>
        <v/>
      </c>
      <c r="HL116" s="29" t="str">
        <f>IF(OR($B116="",$A116&lt;82),"",--MID('Key Analysis'!$C112,82,1))</f>
        <v/>
      </c>
      <c r="HM116" s="29" t="str">
        <f>IF(OR($B116="",$A116&lt;83),"",--MID('Key Analysis'!$C112,83,1))</f>
        <v/>
      </c>
      <c r="HN116" s="29" t="str">
        <f>IF(OR($B116="",$A116&lt;84),"",--MID('Key Analysis'!$C112,84,1))</f>
        <v/>
      </c>
      <c r="HO116" s="29" t="str">
        <f>IF(OR($B116="",$A116&lt;85),"",--MID('Key Analysis'!$C112,85,1))</f>
        <v/>
      </c>
      <c r="HP116" s="29" t="str">
        <f>IF(OR($B116="",$A116&lt;86),"",--MID('Key Analysis'!$C112,86,1))</f>
        <v/>
      </c>
      <c r="HQ116" s="29" t="str">
        <f>IF(OR($B116="",$A116&lt;87),"",--MID('Key Analysis'!$C112,87,1))</f>
        <v/>
      </c>
      <c r="HR116" s="29" t="str">
        <f>IF(OR($B116="",$A116&lt;88),"",--MID('Key Analysis'!$C112,88,1))</f>
        <v/>
      </c>
      <c r="HS116" s="29" t="str">
        <f>IF(OR($B116="",$A116&lt;89),"",--MID('Key Analysis'!$C112,89,1))</f>
        <v/>
      </c>
      <c r="HT116" s="29" t="str">
        <f>IF(OR($B116="",$A116&lt;90),"",--MID('Key Analysis'!$C112,90,1))</f>
        <v/>
      </c>
      <c r="HU116" s="29" t="str">
        <f>IF(OR($B116="",$A116&lt;91),"",--MID('Key Analysis'!$C112,91,1))</f>
        <v/>
      </c>
      <c r="HV116" s="29" t="str">
        <f>IF(OR($B116="",$A116&lt;92),"",--MID('Key Analysis'!$C112,92,1))</f>
        <v/>
      </c>
      <c r="HW116" s="29" t="str">
        <f>IF(OR($B116="",$A116&lt;93),"",--MID('Key Analysis'!$C112,93,1))</f>
        <v/>
      </c>
      <c r="HX116" s="29" t="str">
        <f>IF(OR($B116="",$A116&lt;94),"",--MID('Key Analysis'!$C112,94,1))</f>
        <v/>
      </c>
      <c r="HY116" s="29" t="str">
        <f>IF(OR($B116="",$A116&lt;95),"",--MID('Key Analysis'!$C112,95,1))</f>
        <v/>
      </c>
      <c r="HZ116" s="29" t="str">
        <f>IF(OR($B116="",$A116&lt;96),"",--MID('Key Analysis'!$C112,96,1))</f>
        <v/>
      </c>
      <c r="IA116" s="29" t="str">
        <f>IF(OR($B116="",$A116&lt;97),"",--MID('Key Analysis'!$C112,97,1))</f>
        <v/>
      </c>
      <c r="IB116" s="29" t="str">
        <f>IF(OR($B116="",$A116&lt;98),"",--MID('Key Analysis'!$C112,98,1))</f>
        <v/>
      </c>
      <c r="IC116" s="29" t="str">
        <f>IF(OR($B116="",$A116&lt;99),"",--MID('Key Analysis'!$C112,99,1))</f>
        <v/>
      </c>
      <c r="ID116" s="29" t="str">
        <f>IF(OR($B116="",$A116&lt;100),"",--MID('Key Analysis'!$C112,100,1))</f>
        <v/>
      </c>
      <c r="IE116" s="29" t="str">
        <f>IF(OR($B116="",$A116&lt;101),"",--MID('Key Analysis'!$C112,101,1))</f>
        <v/>
      </c>
      <c r="IF116" s="29" t="str">
        <f>IF(OR($B116="",$A116&lt;102),"",--MID('Key Analysis'!$C112,102,1))</f>
        <v/>
      </c>
      <c r="IG116" s="29" t="str">
        <f>IF(OR($B116="",$A116&lt;103),"",--MID('Key Analysis'!$C112,103,1))</f>
        <v/>
      </c>
      <c r="IH116" s="29" t="str">
        <f>IF(OR($B116="",$A116&lt;104),"",--MID('Key Analysis'!$C112,104,1))</f>
        <v/>
      </c>
      <c r="II116" s="29" t="str">
        <f>IF(OR($B116="",$A116&lt;105),"",--MID('Key Analysis'!$C112,105,1))</f>
        <v/>
      </c>
      <c r="IJ116" s="29" t="str">
        <f>IF(OR($B116="",$A116&lt;106),"",--MID('Key Analysis'!$C112,106,1))</f>
        <v/>
      </c>
      <c r="IK116" s="29" t="str">
        <f>IF(OR($B116="",$A116&lt;107),"",--MID('Key Analysis'!$C112,107,1))</f>
        <v/>
      </c>
      <c r="IL116" s="29" t="str">
        <f>IF(OR($B116="",$A116&lt;108),"",--MID('Key Analysis'!$C112,108,1))</f>
        <v/>
      </c>
      <c r="IM116" s="29" t="str">
        <f>IF(OR($B116="",$A116&lt;109),"",--MID('Key Analysis'!$C112,109,1))</f>
        <v/>
      </c>
      <c r="IN116" s="29" t="str">
        <f>IF(OR($B116="",$A116&lt;110),"",--MID('Key Analysis'!$C112,110,1))</f>
        <v/>
      </c>
      <c r="IO116" s="29" t="str">
        <f>IF(OR($B116="",$A116&lt;111),"",--MID('Key Analysis'!$C112,111,1))</f>
        <v/>
      </c>
      <c r="IP116" s="29" t="str">
        <f>IF(OR($B116="",$A116&lt;112),"",--MID('Key Analysis'!$C112,112,1))</f>
        <v/>
      </c>
      <c r="IQ116" s="29" t="str">
        <f>IF(OR($B116="",$A116&lt;113),"",--MID('Key Analysis'!$C112,113,1))</f>
        <v/>
      </c>
      <c r="IR116" s="29" t="str">
        <f>IF(OR($B116="",$A116&lt;114),"",--MID('Key Analysis'!$C112,114,1))</f>
        <v/>
      </c>
      <c r="IS116" s="29" t="str">
        <f>IF(OR($B116="",$A116&lt;115),"",--MID('Key Analysis'!$C112,115,1))</f>
        <v/>
      </c>
      <c r="IT116" s="29" t="str">
        <f>IF(OR($B116="",$A116&lt;116),"",--MID('Key Analysis'!$C112,116,1))</f>
        <v/>
      </c>
      <c r="IU116" s="29" t="str">
        <f>IF(OR($B116="",$A116&lt;117),"",--MID('Key Analysis'!$C112,117,1))</f>
        <v/>
      </c>
      <c r="IV116" s="29" t="str">
        <f>IF(OR($B116="",$A116&lt;118),"",--MID('Key Analysis'!$C112,118,1))</f>
        <v/>
      </c>
      <c r="IW116" s="29" t="str">
        <f>IF(OR($B116="",$A116&lt;119),"",--MID('Key Analysis'!$C112,119,1))</f>
        <v/>
      </c>
      <c r="IX116" s="29" t="str">
        <f>IF(OR($B116="",$A116&lt;120),"",--MID('Key Analysis'!$C112,120,1))</f>
        <v/>
      </c>
      <c r="IY116" s="29" t="str">
        <f>IF(OR($B116="",$A116&lt;121),"",--MID('Key Analysis'!$C112,121,1))</f>
        <v/>
      </c>
      <c r="IZ116" s="29" t="str">
        <f>IF(OR($B116="",$A116&lt;122),"",--MID('Key Analysis'!$C112,122,1))</f>
        <v/>
      </c>
      <c r="JA116" s="29" t="str">
        <f>IF(OR($B116="",$A116&lt;123),"",--MID('Key Analysis'!$C112,123,1))</f>
        <v/>
      </c>
      <c r="JB116" s="29" t="str">
        <f>IF(OR($B116="",$A116&lt;124),"",--MID('Key Analysis'!$C112,124,1))</f>
        <v/>
      </c>
      <c r="JC116" s="29" t="str">
        <f>IF(OR($B116="",$A116&lt;125),"",--MID('Key Analysis'!$C112,125,1))</f>
        <v/>
      </c>
      <c r="JD116" s="29" t="str">
        <f>IF(OR($B116="",$A116&lt;126),"",--MID('Key Analysis'!$C112,126,1))</f>
        <v/>
      </c>
      <c r="JE116" s="29" t="str">
        <f>IF(OR($B116="",$A116&lt;127),"",--MID('Key Analysis'!$C112,127,1))</f>
        <v/>
      </c>
      <c r="JF116" s="29" t="str">
        <f>IF(OR($B116="",$A116&lt;128),"",--MID('Key Analysis'!$C112,128,1))</f>
        <v/>
      </c>
      <c r="JG116" s="29" t="str">
        <f>IF(OR($B116="",$A116&lt;129),"",--MID('Key Analysis'!$C112,129,1))</f>
        <v/>
      </c>
      <c r="JH116" s="29" t="str">
        <f>IF(OR($B116="",$A116&lt;130),"",--MID('Key Analysis'!$C112,130,1))</f>
        <v/>
      </c>
      <c r="JI116" s="29" t="str">
        <f>IF(OR($B116="",$A116&lt;131),"",--MID('Key Analysis'!$C112,131,1))</f>
        <v/>
      </c>
      <c r="JJ116" s="29" t="str">
        <f>IF(OR($B116="",$A116&lt;132),"",--MID('Key Analysis'!$C112,132,1))</f>
        <v/>
      </c>
      <c r="JK116" s="29" t="str">
        <f>IF(OR($B116="",$A116&lt;133),"",--MID('Key Analysis'!$C112,133,1))</f>
        <v/>
      </c>
      <c r="JL116" s="29" t="str">
        <f>IF(OR($B116="",$A116&lt;134),"",--MID('Key Analysis'!$C112,134,1))</f>
        <v/>
      </c>
      <c r="JM116" s="29" t="str">
        <f>IF(OR($B116="",$A116&lt;135),"",--MID('Key Analysis'!$C112,135,1))</f>
        <v/>
      </c>
    </row>
    <row r="117" spans="1:273" x14ac:dyDescent="0.25">
      <c r="A117" s="21">
        <f>'Key Analysis'!A113</f>
        <v>112</v>
      </c>
      <c r="B117" s="30" t="str">
        <f>'Key Analysis'!B113</f>
        <v/>
      </c>
      <c r="C117" s="29" t="str">
        <f>IF(OR($B117="",$A117&lt;=0),"",--MID('Key Analysis'!$C113,$A117-0,1))</f>
        <v/>
      </c>
      <c r="D117" s="29" t="str">
        <f>IF(OR($B117="",$A117&lt;=1),"",--MID('Key Analysis'!$C113,$A117-1,1))</f>
        <v/>
      </c>
      <c r="E117" s="29" t="str">
        <f>IF(OR($B117="",$A117&lt;=2),"",--MID('Key Analysis'!$C113,$A117-2,1))</f>
        <v/>
      </c>
      <c r="F117" s="29" t="str">
        <f>IF(OR($B117="",$A117&lt;=3),"",--MID('Key Analysis'!$C113,$A117-3,1))</f>
        <v/>
      </c>
      <c r="G117" s="29" t="str">
        <f>IF(OR($B117="",$A117&lt;=4),"",--MID('Key Analysis'!$C113,$A117-4,1))</f>
        <v/>
      </c>
      <c r="H117" s="29" t="str">
        <f>IF(OR($B117="",$A117&lt;=5),"",--MID('Key Analysis'!$C113,$A117-5,1))</f>
        <v/>
      </c>
      <c r="I117" s="29" t="str">
        <f>IF(OR($B117="",$A117&lt;=6),"",--MID('Key Analysis'!$C113,$A117-6,1))</f>
        <v/>
      </c>
      <c r="J117" s="29" t="str">
        <f>IF(OR($B117="",$A117&lt;=7),"",--MID('Key Analysis'!$C113,$A117-7,1))</f>
        <v/>
      </c>
      <c r="K117" s="29" t="str">
        <f>IF(OR($B117="",$A117&lt;=8),"",--MID('Key Analysis'!$C113,$A117-8,1))</f>
        <v/>
      </c>
      <c r="L117" s="29" t="str">
        <f>IF(OR($B117="",$A117&lt;=9),"",--MID('Key Analysis'!$C113,$A117-9,1))</f>
        <v/>
      </c>
      <c r="M117" s="29" t="str">
        <f>IF(OR($B117="",$A117&lt;=10),"",--MID('Key Analysis'!$C113,$A117-10,1))</f>
        <v/>
      </c>
      <c r="N117" s="29" t="str">
        <f>IF(OR($B117="",$A117&lt;=11),"",--MID('Key Analysis'!$C113,$A117-11,1))</f>
        <v/>
      </c>
      <c r="O117" s="29" t="str">
        <f>IF(OR($B117="",$A117&lt;=12),"",--MID('Key Analysis'!$C113,$A117-12,1))</f>
        <v/>
      </c>
      <c r="P117" s="29" t="str">
        <f>IF(OR($B117="",$A117&lt;=13),"",--MID('Key Analysis'!$C113,$A117-13,1))</f>
        <v/>
      </c>
      <c r="Q117" s="29" t="str">
        <f>IF(OR($B117="",$A117&lt;=14),"",--MID('Key Analysis'!$C113,$A117-14,1))</f>
        <v/>
      </c>
      <c r="R117" s="29" t="str">
        <f>IF(OR($B117="",$A117&lt;=15),"",--MID('Key Analysis'!$C113,$A117-15,1))</f>
        <v/>
      </c>
      <c r="S117" s="29" t="str">
        <f>IF(OR($B117="",$A117&lt;=16),"",--MID('Key Analysis'!$C113,$A117-16,1))</f>
        <v/>
      </c>
      <c r="T117" s="29" t="str">
        <f>IF(OR($B117="",$A117&lt;=17),"",--MID('Key Analysis'!$C113,$A117-17,1))</f>
        <v/>
      </c>
      <c r="U117" s="29" t="str">
        <f>IF(OR($B117="",$A117&lt;=18),"",--MID('Key Analysis'!$C113,$A117-18,1))</f>
        <v/>
      </c>
      <c r="V117" s="29" t="str">
        <f>IF(OR($B117="",$A117&lt;=19),"",--MID('Key Analysis'!$C113,$A117-19,1))</f>
        <v/>
      </c>
      <c r="W117" s="29" t="str">
        <f>IF(OR($B117="",$A117&lt;=20),"",--MID('Key Analysis'!$C113,$A117-20,1))</f>
        <v/>
      </c>
      <c r="X117" s="29" t="str">
        <f>IF(OR($B117="",$A117&lt;=21),"",--MID('Key Analysis'!$C113,$A117-21,1))</f>
        <v/>
      </c>
      <c r="Y117" s="29" t="str">
        <f>IF(OR($B117="",$A117&lt;=22),"",--MID('Key Analysis'!$C113,$A117-22,1))</f>
        <v/>
      </c>
      <c r="Z117" s="29" t="str">
        <f>IF(OR($B117="",$A117&lt;=23),"",--MID('Key Analysis'!$C113,$A117-23,1))</f>
        <v/>
      </c>
      <c r="AA117" s="29" t="str">
        <f>IF(OR($B117="",$A117&lt;=24),"",--MID('Key Analysis'!$C113,$A117-24,1))</f>
        <v/>
      </c>
      <c r="AB117" s="29" t="str">
        <f>IF(OR($B117="",$A117&lt;=25),"",--MID('Key Analysis'!$C113,$A117-25,1))</f>
        <v/>
      </c>
      <c r="AC117" s="29" t="str">
        <f>IF(OR($B117="",$A117&lt;=26),"",--MID('Key Analysis'!$C113,$A117-26,1))</f>
        <v/>
      </c>
      <c r="AD117" s="29" t="str">
        <f>IF(OR($B117="",$A117&lt;=27),"",--MID('Key Analysis'!$C113,$A117-27,1))</f>
        <v/>
      </c>
      <c r="AE117" s="29" t="str">
        <f>IF(OR($B117="",$A117&lt;=28),"",--MID('Key Analysis'!$C113,$A117-28,1))</f>
        <v/>
      </c>
      <c r="AF117" s="29" t="str">
        <f>IF(OR($B117="",$A117&lt;=29),"",--MID('Key Analysis'!$C113,$A117-29,1))</f>
        <v/>
      </c>
      <c r="AG117" s="29" t="str">
        <f>IF(OR($B117="",$A117&lt;=30),"",--MID('Key Analysis'!$C113,$A117-30,1))</f>
        <v/>
      </c>
      <c r="AH117" s="29" t="str">
        <f>IF(OR($B117="",$A117&lt;=31),"",--MID('Key Analysis'!$C113,$A117-31,1))</f>
        <v/>
      </c>
      <c r="AI117" s="29" t="str">
        <f>IF(OR($B117="",$A117&lt;=32),"",--MID('Key Analysis'!$C113,$A117-32,1))</f>
        <v/>
      </c>
      <c r="AJ117" s="29" t="str">
        <f>IF(OR($B117="",$A117&lt;=33),"",--MID('Key Analysis'!$C113,$A117-33,1))</f>
        <v/>
      </c>
      <c r="AK117" s="29" t="str">
        <f>IF(OR($B117="",$A117&lt;=34),"",--MID('Key Analysis'!$C113,$A117-34,1))</f>
        <v/>
      </c>
      <c r="AL117" s="29" t="str">
        <f>IF(OR($B117="",$A117&lt;=35),"",--MID('Key Analysis'!$C113,$A117-35,1))</f>
        <v/>
      </c>
      <c r="AM117" s="29" t="str">
        <f>IF(OR($B117="",$A117&lt;=36),"",--MID('Key Analysis'!$C113,$A117-36,1))</f>
        <v/>
      </c>
      <c r="AN117" s="29" t="str">
        <f>IF(OR($B117="",$A117&lt;=37),"",--MID('Key Analysis'!$C113,$A117-37,1))</f>
        <v/>
      </c>
      <c r="AO117" s="29" t="str">
        <f>IF(OR($B117="",$A117&lt;=38),"",--MID('Key Analysis'!$C113,$A117-38,1))</f>
        <v/>
      </c>
      <c r="AP117" s="29" t="str">
        <f>IF(OR($B117="",$A117&lt;=39),"",--MID('Key Analysis'!$C113,$A117-39,1))</f>
        <v/>
      </c>
      <c r="AQ117" s="29" t="str">
        <f>IF(OR($B117="",$A117&lt;=40),"",--MID('Key Analysis'!$C113,$A117-40,1))</f>
        <v/>
      </c>
      <c r="AR117" s="29" t="str">
        <f>IF(OR($B117="",$A117&lt;=41),"",--MID('Key Analysis'!$C113,$A117-41,1))</f>
        <v/>
      </c>
      <c r="AS117" s="29" t="str">
        <f>IF(OR($B117="",$A117&lt;=42),"",--MID('Key Analysis'!$C113,$A117-42,1))</f>
        <v/>
      </c>
      <c r="AT117" s="29" t="str">
        <f>IF(OR($B117="",$A117&lt;=43),"",--MID('Key Analysis'!$C113,$A117-43,1))</f>
        <v/>
      </c>
      <c r="AU117" s="29" t="str">
        <f>IF(OR($B117="",$A117&lt;=44),"",--MID('Key Analysis'!$C113,$A117-44,1))</f>
        <v/>
      </c>
      <c r="AV117" s="29" t="str">
        <f>IF(OR($B117="",$A117&lt;=45),"",--MID('Key Analysis'!$C113,$A117-45,1))</f>
        <v/>
      </c>
      <c r="AW117" s="29" t="str">
        <f>IF(OR($B117="",$A117&lt;=46),"",--MID('Key Analysis'!$C113,$A117-46,1))</f>
        <v/>
      </c>
      <c r="AX117" s="29" t="str">
        <f>IF(OR($B117="",$A117&lt;=47),"",--MID('Key Analysis'!$C113,$A117-47,1))</f>
        <v/>
      </c>
      <c r="AY117" s="29" t="str">
        <f>IF(OR($B117="",$A117&lt;=48),"",--MID('Key Analysis'!$C113,$A117-48,1))</f>
        <v/>
      </c>
      <c r="AZ117" s="29" t="str">
        <f>IF(OR($B117="",$A117&lt;=49),"",--MID('Key Analysis'!$C113,$A117-49,1))</f>
        <v/>
      </c>
      <c r="BA117" s="29" t="str">
        <f>IF(OR($B117="",$A117&lt;=50),"",--MID('Key Analysis'!$C113,$A117-50,1))</f>
        <v/>
      </c>
      <c r="BB117" s="29" t="str">
        <f>IF(OR($B117="",$A117&lt;=51),"",--MID('Key Analysis'!$C113,$A117-51,1))</f>
        <v/>
      </c>
      <c r="BC117" s="29" t="str">
        <f>IF(OR($B117="",$A117&lt;=52),"",--MID('Key Analysis'!$C113,$A117-52,1))</f>
        <v/>
      </c>
      <c r="BD117" s="29" t="str">
        <f>IF(OR($B117="",$A117&lt;=53),"",--MID('Key Analysis'!$C113,$A117-53,1))</f>
        <v/>
      </c>
      <c r="BE117" s="29" t="str">
        <f>IF(OR($B117="",$A117&lt;=54),"",--MID('Key Analysis'!$C113,$A117-54,1))</f>
        <v/>
      </c>
      <c r="BF117" s="29" t="str">
        <f>IF(OR($B117="",$A117&lt;=55),"",--MID('Key Analysis'!$C113,$A117-55,1))</f>
        <v/>
      </c>
      <c r="BG117" s="29" t="str">
        <f>IF(OR($B117="",$A117&lt;=56),"",--MID('Key Analysis'!$C113,$A117-56,1))</f>
        <v/>
      </c>
      <c r="BH117" s="29" t="str">
        <f>IF(OR($B117="",$A117&lt;=57),"",--MID('Key Analysis'!$C113,$A117-57,1))</f>
        <v/>
      </c>
      <c r="BI117" s="29" t="str">
        <f>IF(OR($B117="",$A117&lt;=58),"",--MID('Key Analysis'!$C113,$A117-58,1))</f>
        <v/>
      </c>
      <c r="BJ117" s="29" t="str">
        <f>IF(OR($B117="",$A117&lt;=59),"",--MID('Key Analysis'!$C113,$A117-59,1))</f>
        <v/>
      </c>
      <c r="BK117" s="29" t="str">
        <f>IF(OR($B117="",$A117&lt;=60),"",--MID('Key Analysis'!$C113,$A117-60,1))</f>
        <v/>
      </c>
      <c r="BL117" s="29" t="str">
        <f>IF(OR($B117="",$A117&lt;=61),"",--MID('Key Analysis'!$C113,$A117-61,1))</f>
        <v/>
      </c>
      <c r="BM117" s="29" t="str">
        <f>IF(OR($B117="",$A117&lt;=62),"",--MID('Key Analysis'!$C113,$A117-62,1))</f>
        <v/>
      </c>
      <c r="BN117" s="29" t="str">
        <f>IF(OR($B117="",$A117&lt;=63),"",--MID('Key Analysis'!$C113,$A117-63,1))</f>
        <v/>
      </c>
      <c r="BO117" s="29" t="str">
        <f>IF(OR($B117="",$A117&lt;=64),"",--MID('Key Analysis'!$C113,$A117-64,1))</f>
        <v/>
      </c>
      <c r="BP117" s="29" t="str">
        <f>IF(OR($B117="",$A117&lt;=65),"",--MID('Key Analysis'!$C113,$A117-65,1))</f>
        <v/>
      </c>
      <c r="BQ117" s="29" t="str">
        <f>IF(OR($B117="",$A117&lt;=66),"",--MID('Key Analysis'!$C113,$A117-66,1))</f>
        <v/>
      </c>
      <c r="BR117" s="29" t="str">
        <f>IF(OR($B117="",$A117&lt;=67),"",--MID('Key Analysis'!$C113,$A117-67,1))</f>
        <v/>
      </c>
      <c r="BS117" s="29" t="str">
        <f>IF(OR($B117="",$A117&lt;=68),"",--MID('Key Analysis'!$C113,$A117-68,1))</f>
        <v/>
      </c>
      <c r="BT117" s="29" t="str">
        <f>IF(OR($B117="",$A117&lt;=69),"",--MID('Key Analysis'!$C113,$A117-69,1))</f>
        <v/>
      </c>
      <c r="BU117" s="29" t="str">
        <f>IF(OR($B117="",$A117&lt;=70),"",--MID('Key Analysis'!$C113,$A117-70,1))</f>
        <v/>
      </c>
      <c r="BV117" s="29" t="str">
        <f>IF(OR($B117="",$A117&lt;=71),"",--MID('Key Analysis'!$C113,$A117-71,1))</f>
        <v/>
      </c>
      <c r="BW117" s="29" t="str">
        <f>IF(OR($B117="",$A117&lt;=72),"",--MID('Key Analysis'!$C113,$A117-72,1))</f>
        <v/>
      </c>
      <c r="BX117" s="29" t="str">
        <f>IF(OR($B117="",$A117&lt;=73),"",--MID('Key Analysis'!$C113,$A117-73,1))</f>
        <v/>
      </c>
      <c r="BY117" s="29" t="str">
        <f>IF(OR($B117="",$A117&lt;=74),"",--MID('Key Analysis'!$C113,$A117-74,1))</f>
        <v/>
      </c>
      <c r="BZ117" s="29" t="str">
        <f>IF(OR($B117="",$A117&lt;=75),"",--MID('Key Analysis'!$C113,$A117-75,1))</f>
        <v/>
      </c>
      <c r="CA117" s="29" t="str">
        <f>IF(OR($B117="",$A117&lt;=76),"",--MID('Key Analysis'!$C113,$A117-76,1))</f>
        <v/>
      </c>
      <c r="CB117" s="29" t="str">
        <f>IF(OR($B117="",$A117&lt;=77),"",--MID('Key Analysis'!$C113,$A117-77,1))</f>
        <v/>
      </c>
      <c r="CC117" s="29" t="str">
        <f>IF(OR($B117="",$A117&lt;=78),"",--MID('Key Analysis'!$C113,$A117-78,1))</f>
        <v/>
      </c>
      <c r="CD117" s="29" t="str">
        <f>IF(OR($B117="",$A117&lt;=79),"",--MID('Key Analysis'!$C113,$A117-79,1))</f>
        <v/>
      </c>
      <c r="CE117" s="29" t="str">
        <f>IF(OR($B117="",$A117&lt;=80),"",--MID('Key Analysis'!$C113,$A117-80,1))</f>
        <v/>
      </c>
      <c r="CF117" s="29" t="str">
        <f>IF(OR($B117="",$A117&lt;=81),"",--MID('Key Analysis'!$C113,$A117-81,1))</f>
        <v/>
      </c>
      <c r="CG117" s="29" t="str">
        <f>IF(OR($B117="",$A117&lt;=82),"",--MID('Key Analysis'!$C113,$A117-82,1))</f>
        <v/>
      </c>
      <c r="CH117" s="29" t="str">
        <f>IF(OR($B117="",$A117&lt;=83),"",--MID('Key Analysis'!$C113,$A117-83,1))</f>
        <v/>
      </c>
      <c r="CI117" s="29" t="str">
        <f>IF(OR($B117="",$A117&lt;=84),"",--MID('Key Analysis'!$C113,$A117-84,1))</f>
        <v/>
      </c>
      <c r="CJ117" s="29" t="str">
        <f>IF(OR($B117="",$A117&lt;=85),"",--MID('Key Analysis'!$C113,$A117-85,1))</f>
        <v/>
      </c>
      <c r="CK117" s="29" t="str">
        <f>IF(OR($B117="",$A117&lt;=86),"",--MID('Key Analysis'!$C113,$A117-86,1))</f>
        <v/>
      </c>
      <c r="CL117" s="29" t="str">
        <f>IF(OR($B117="",$A117&lt;=87),"",--MID('Key Analysis'!$C113,$A117-87,1))</f>
        <v/>
      </c>
      <c r="CM117" s="29" t="str">
        <f>IF(OR($B117="",$A117&lt;=88),"",--MID('Key Analysis'!$C113,$A117-88,1))</f>
        <v/>
      </c>
      <c r="CN117" s="29" t="str">
        <f>IF(OR($B117="",$A117&lt;=89),"",--MID('Key Analysis'!$C113,$A117-89,1))</f>
        <v/>
      </c>
      <c r="CO117" s="29" t="str">
        <f>IF(OR($B117="",$A117&lt;=90),"",--MID('Key Analysis'!$C113,$A117-90,1))</f>
        <v/>
      </c>
      <c r="CP117" s="29" t="str">
        <f>IF(OR($B117="",$A117&lt;=91),"",--MID('Key Analysis'!$C113,$A117-91,1))</f>
        <v/>
      </c>
      <c r="CQ117" s="29" t="str">
        <f>IF(OR($B117="",$A117&lt;=92),"",--MID('Key Analysis'!$C113,$A117-92,1))</f>
        <v/>
      </c>
      <c r="CR117" s="29" t="str">
        <f>IF(OR($B117="",$A117&lt;=93),"",--MID('Key Analysis'!$C113,$A117-93,1))</f>
        <v/>
      </c>
      <c r="CS117" s="29" t="str">
        <f>IF(OR($B117="",$A117&lt;=94),"",--MID('Key Analysis'!$C113,$A117-94,1))</f>
        <v/>
      </c>
      <c r="CT117" s="29" t="str">
        <f>IF(OR($B117="",$A117&lt;=95),"",--MID('Key Analysis'!$C113,$A117-95,1))</f>
        <v/>
      </c>
      <c r="CU117" s="29" t="str">
        <f>IF(OR($B117="",$A117&lt;=96),"",--MID('Key Analysis'!$C113,$A117-96,1))</f>
        <v/>
      </c>
      <c r="CV117" s="29" t="str">
        <f>IF(OR($B117="",$A117&lt;=97),"",--MID('Key Analysis'!$C113,$A117-97,1))</f>
        <v/>
      </c>
      <c r="CW117" s="29" t="str">
        <f>IF(OR($B117="",$A117&lt;=98),"",--MID('Key Analysis'!$C113,$A117-98,1))</f>
        <v/>
      </c>
      <c r="CX117" s="29" t="str">
        <f>IF(OR($B117="",$A117&lt;=99),"",--MID('Key Analysis'!$C113,$A117-99,1))</f>
        <v/>
      </c>
      <c r="CY117" s="29" t="str">
        <f>IF(OR($B117="",$A117&lt;=100),"",--MID('Key Analysis'!$C113,$A117-100,1))</f>
        <v/>
      </c>
      <c r="CZ117" s="29" t="str">
        <f>IF(OR($B117="",$A117&lt;=101),"",--MID('Key Analysis'!$C113,$A117-101,1))</f>
        <v/>
      </c>
      <c r="DA117" s="29" t="str">
        <f>IF(OR($B117="",$A117&lt;=102),"",--MID('Key Analysis'!$C113,$A117-102,1))</f>
        <v/>
      </c>
      <c r="DB117" s="29" t="str">
        <f>IF(OR($B117="",$A117&lt;=103),"",--MID('Key Analysis'!$C113,$A117-103,1))</f>
        <v/>
      </c>
      <c r="DC117" s="29" t="str">
        <f>IF(OR($B117="",$A117&lt;=104),"",--MID('Key Analysis'!$C113,$A117-104,1))</f>
        <v/>
      </c>
      <c r="DD117" s="29" t="str">
        <f>IF(OR($B117="",$A117&lt;=105),"",--MID('Key Analysis'!$C113,$A117-105,1))</f>
        <v/>
      </c>
      <c r="DE117" s="29" t="str">
        <f>IF(OR($B117="",$A117&lt;=106),"",--MID('Key Analysis'!$C113,$A117-106,1))</f>
        <v/>
      </c>
      <c r="DF117" s="29" t="str">
        <f>IF(OR($B117="",$A117&lt;=107),"",--MID('Key Analysis'!$C113,$A117-107,1))</f>
        <v/>
      </c>
      <c r="DG117" s="29" t="str">
        <f>IF(OR($B117="",$A117&lt;=108),"",--MID('Key Analysis'!$C113,$A117-108,1))</f>
        <v/>
      </c>
      <c r="DH117" s="29" t="str">
        <f>IF(OR($B117="",$A117&lt;=109),"",--MID('Key Analysis'!$C113,$A117-109,1))</f>
        <v/>
      </c>
      <c r="DI117" s="29" t="str">
        <f>IF(OR($B117="",$A117&lt;=110),"",--MID('Key Analysis'!$C113,$A117-110,1))</f>
        <v/>
      </c>
      <c r="DJ117" s="29" t="str">
        <f>IF(OR($B117="",$A117&lt;=111),"",--MID('Key Analysis'!$C113,$A117-111,1))</f>
        <v/>
      </c>
      <c r="DK117" s="29" t="str">
        <f>IF(OR($B117="",$A117&lt;=112),"",--MID('Key Analysis'!$C113,$A117-112,1))</f>
        <v/>
      </c>
      <c r="DL117" s="29" t="str">
        <f>IF(OR($B117="",$A117&lt;=113),"",--MID('Key Analysis'!$C113,$A117-113,1))</f>
        <v/>
      </c>
      <c r="DM117" s="29" t="str">
        <f>IF(OR($B117="",$A117&lt;=114),"",--MID('Key Analysis'!$C113,$A117-114,1))</f>
        <v/>
      </c>
      <c r="DN117" s="29" t="str">
        <f>IF(OR($B117="",$A117&lt;=115),"",--MID('Key Analysis'!$C113,$A117-115,1))</f>
        <v/>
      </c>
      <c r="DO117" s="29" t="str">
        <f>IF(OR($B117="",$A117&lt;=116),"",--MID('Key Analysis'!$C113,$A117-116,1))</f>
        <v/>
      </c>
      <c r="DP117" s="29" t="str">
        <f>IF(OR($B117="",$A117&lt;=117),"",--MID('Key Analysis'!$C113,$A117-117,1))</f>
        <v/>
      </c>
      <c r="DQ117" s="29" t="str">
        <f>IF(OR($B117="",$A117&lt;=118),"",--MID('Key Analysis'!$C113,$A117-118,1))</f>
        <v/>
      </c>
      <c r="DR117" s="29" t="str">
        <f>IF(OR($B117="",$A117&lt;=119),"",--MID('Key Analysis'!$C113,$A117-119,1))</f>
        <v/>
      </c>
      <c r="DS117" s="29" t="str">
        <f>IF(OR($B117="",$A117&lt;=120),"",--MID('Key Analysis'!$C113,$A117-120,1))</f>
        <v/>
      </c>
      <c r="DT117" s="29" t="str">
        <f>IF(OR($B117="",$A117&lt;=121),"",--MID('Key Analysis'!$C113,$A117-121,1))</f>
        <v/>
      </c>
      <c r="DU117" s="29" t="str">
        <f>IF(OR($B117="",$A117&lt;=122),"",--MID('Key Analysis'!$C113,$A117-122,1))</f>
        <v/>
      </c>
      <c r="DV117" s="29" t="str">
        <f>IF(OR($B117="",$A117&lt;=123),"",--MID('Key Analysis'!$C113,$A117-123,1))</f>
        <v/>
      </c>
      <c r="DW117" s="29" t="str">
        <f>IF(OR($B117="",$A117&lt;=124),"",--MID('Key Analysis'!$C113,$A117-124,1))</f>
        <v/>
      </c>
      <c r="DX117" s="29" t="str">
        <f>IF(OR($B117="",$A117&lt;=125),"",--MID('Key Analysis'!$C113,$A117-125,1))</f>
        <v/>
      </c>
      <c r="DY117" s="29" t="str">
        <f>IF(OR($B117="",$A117&lt;=126),"",--MID('Key Analysis'!$C113,$A117-126,1))</f>
        <v/>
      </c>
      <c r="DZ117" s="29" t="str">
        <f>IF(OR($B117="",$A117&lt;=127),"",--MID('Key Analysis'!$C113,$A117-127,1))</f>
        <v/>
      </c>
      <c r="EA117" s="29" t="str">
        <f>IF(OR($B117="",$A117&lt;=128),"",--MID('Key Analysis'!$C113,$A117-128,1))</f>
        <v/>
      </c>
      <c r="EB117" s="29" t="str">
        <f>IF(OR($B117="",$A117&lt;=129),"",--MID('Key Analysis'!$C113,$A117-129,1))</f>
        <v/>
      </c>
      <c r="EC117" s="29" t="str">
        <f>IF(OR($B117="",$A117&lt;=130),"",--MID('Key Analysis'!$C113,$A117-130,1))</f>
        <v/>
      </c>
      <c r="ED117" s="29" t="str">
        <f>IF(OR($B117="",$A117&lt;=131),"",--MID('Key Analysis'!$C113,$A117-131,1))</f>
        <v/>
      </c>
      <c r="EE117" s="29" t="str">
        <f>IF(OR($B117="",$A117&lt;=132),"",--MID('Key Analysis'!$C113,$A117-132,1))</f>
        <v/>
      </c>
      <c r="EF117" s="29" t="str">
        <f>IF(OR($B117="",$A117&lt;=133),"",--MID('Key Analysis'!$C113,$A117-133,1))</f>
        <v/>
      </c>
      <c r="EG117" s="29" t="str">
        <f>IF(OR($B117="",$A117&lt;=134),"",--MID('Key Analysis'!$C113,$A117-134,1))</f>
        <v/>
      </c>
      <c r="EH117" s="29"/>
      <c r="EI117" s="29" t="str">
        <f>IF(OR($B117="",$A117&lt;1),"",--MID('Key Analysis'!$C113,1,1))</f>
        <v/>
      </c>
      <c r="EJ117" s="29" t="str">
        <f>IF(OR($B117="",$A117&lt;2),"",--MID('Key Analysis'!$C113,2,1))</f>
        <v/>
      </c>
      <c r="EK117" s="29" t="str">
        <f>IF(OR($B117="",$A117&lt;3),"",--MID('Key Analysis'!$C113,3,1))</f>
        <v/>
      </c>
      <c r="EL117" s="29" t="str">
        <f>IF(OR($B117="",$A117&lt;4),"",--MID('Key Analysis'!$C113,4,1))</f>
        <v/>
      </c>
      <c r="EM117" s="29" t="str">
        <f>IF(OR($B117="",$A117&lt;5),"",--MID('Key Analysis'!$C113,5,1))</f>
        <v/>
      </c>
      <c r="EN117" s="29" t="str">
        <f>IF(OR($B117="",$A117&lt;6),"",--MID('Key Analysis'!$C113,6,1))</f>
        <v/>
      </c>
      <c r="EO117" s="29" t="str">
        <f>IF(OR($B117="",$A117&lt;7),"",--MID('Key Analysis'!$C113,7,1))</f>
        <v/>
      </c>
      <c r="EP117" s="29" t="str">
        <f>IF(OR($B117="",$A117&lt;8),"",--MID('Key Analysis'!$C113,8,1))</f>
        <v/>
      </c>
      <c r="EQ117" s="29" t="str">
        <f>IF(OR($B117="",$A117&lt;9),"",--MID('Key Analysis'!$C113,9,1))</f>
        <v/>
      </c>
      <c r="ER117" s="29" t="str">
        <f>IF(OR($B117="",$A117&lt;10),"",--MID('Key Analysis'!$C113,10,1))</f>
        <v/>
      </c>
      <c r="ES117" s="29" t="str">
        <f>IF(OR($B117="",$A117&lt;11),"",--MID('Key Analysis'!$C113,11,1))</f>
        <v/>
      </c>
      <c r="ET117" s="29" t="str">
        <f>IF(OR($B117="",$A117&lt;12),"",--MID('Key Analysis'!$C113,12,1))</f>
        <v/>
      </c>
      <c r="EU117" s="29" t="str">
        <f>IF(OR($B117="",$A117&lt;13),"",--MID('Key Analysis'!$C113,13,1))</f>
        <v/>
      </c>
      <c r="EV117" s="29" t="str">
        <f>IF(OR($B117="",$A117&lt;14),"",--MID('Key Analysis'!$C113,14,1))</f>
        <v/>
      </c>
      <c r="EW117" s="29" t="str">
        <f>IF(OR($B117="",$A117&lt;15),"",--MID('Key Analysis'!$C113,15,1))</f>
        <v/>
      </c>
      <c r="EX117" s="29" t="str">
        <f>IF(OR($B117="",$A117&lt;16),"",--MID('Key Analysis'!$C113,16,1))</f>
        <v/>
      </c>
      <c r="EY117" s="29" t="str">
        <f>IF(OR($B117="",$A117&lt;17),"",--MID('Key Analysis'!$C113,17,1))</f>
        <v/>
      </c>
      <c r="EZ117" s="29" t="str">
        <f>IF(OR($B117="",$A117&lt;18),"",--MID('Key Analysis'!$C113,18,1))</f>
        <v/>
      </c>
      <c r="FA117" s="29" t="str">
        <f>IF(OR($B117="",$A117&lt;19),"",--MID('Key Analysis'!$C113,19,1))</f>
        <v/>
      </c>
      <c r="FB117" s="29" t="str">
        <f>IF(OR($B117="",$A117&lt;20),"",--MID('Key Analysis'!$C113,20,1))</f>
        <v/>
      </c>
      <c r="FC117" s="29" t="str">
        <f>IF(OR($B117="",$A117&lt;21),"",--MID('Key Analysis'!$C113,21,1))</f>
        <v/>
      </c>
      <c r="FD117" s="29" t="str">
        <f>IF(OR($B117="",$A117&lt;22),"",--MID('Key Analysis'!$C113,22,1))</f>
        <v/>
      </c>
      <c r="FE117" s="29" t="str">
        <f>IF(OR($B117="",$A117&lt;23),"",--MID('Key Analysis'!$C113,23,1))</f>
        <v/>
      </c>
      <c r="FF117" s="29" t="str">
        <f>IF(OR($B117="",$A117&lt;24),"",--MID('Key Analysis'!$C113,24,1))</f>
        <v/>
      </c>
      <c r="FG117" s="29" t="str">
        <f>IF(OR($B117="",$A117&lt;25),"",--MID('Key Analysis'!$C113,25,1))</f>
        <v/>
      </c>
      <c r="FH117" s="29" t="str">
        <f>IF(OR($B117="",$A117&lt;26),"",--MID('Key Analysis'!$C113,26,1))</f>
        <v/>
      </c>
      <c r="FI117" s="29" t="str">
        <f>IF(OR($B117="",$A117&lt;27),"",--MID('Key Analysis'!$C113,27,1))</f>
        <v/>
      </c>
      <c r="FJ117" s="29" t="str">
        <f>IF(OR($B117="",$A117&lt;28),"",--MID('Key Analysis'!$C113,28,1))</f>
        <v/>
      </c>
      <c r="FK117" s="29" t="str">
        <f>IF(OR($B117="",$A117&lt;29),"",--MID('Key Analysis'!$C113,29,1))</f>
        <v/>
      </c>
      <c r="FL117" s="29" t="str">
        <f>IF(OR($B117="",$A117&lt;30),"",--MID('Key Analysis'!$C113,30,1))</f>
        <v/>
      </c>
      <c r="FM117" s="29" t="str">
        <f>IF(OR($B117="",$A117&lt;31),"",--MID('Key Analysis'!$C113,31,1))</f>
        <v/>
      </c>
      <c r="FN117" s="29" t="str">
        <f>IF(OR($B117="",$A117&lt;32),"",--MID('Key Analysis'!$C113,32,1))</f>
        <v/>
      </c>
      <c r="FO117" s="29" t="str">
        <f>IF(OR($B117="",$A117&lt;33),"",--MID('Key Analysis'!$C113,33,1))</f>
        <v/>
      </c>
      <c r="FP117" s="29" t="str">
        <f>IF(OR($B117="",$A117&lt;34),"",--MID('Key Analysis'!$C113,34,1))</f>
        <v/>
      </c>
      <c r="FQ117" s="29" t="str">
        <f>IF(OR($B117="",$A117&lt;35),"",--MID('Key Analysis'!$C113,35,1))</f>
        <v/>
      </c>
      <c r="FR117" s="29" t="str">
        <f>IF(OR($B117="",$A117&lt;36),"",--MID('Key Analysis'!$C113,36,1))</f>
        <v/>
      </c>
      <c r="FS117" s="29" t="str">
        <f>IF(OR($B117="",$A117&lt;37),"",--MID('Key Analysis'!$C113,37,1))</f>
        <v/>
      </c>
      <c r="FT117" s="29" t="str">
        <f>IF(OR($B117="",$A117&lt;38),"",--MID('Key Analysis'!$C113,38,1))</f>
        <v/>
      </c>
      <c r="FU117" s="29" t="str">
        <f>IF(OR($B117="",$A117&lt;39),"",--MID('Key Analysis'!$C113,39,1))</f>
        <v/>
      </c>
      <c r="FV117" s="29" t="str">
        <f>IF(OR($B117="",$A117&lt;40),"",--MID('Key Analysis'!$C113,40,1))</f>
        <v/>
      </c>
      <c r="FW117" s="29" t="str">
        <f>IF(OR($B117="",$A117&lt;41),"",--MID('Key Analysis'!$C113,41,1))</f>
        <v/>
      </c>
      <c r="FX117" s="29" t="str">
        <f>IF(OR($B117="",$A117&lt;42),"",--MID('Key Analysis'!$C113,42,1))</f>
        <v/>
      </c>
      <c r="FY117" s="29" t="str">
        <f>IF(OR($B117="",$A117&lt;43),"",--MID('Key Analysis'!$C113,43,1))</f>
        <v/>
      </c>
      <c r="FZ117" s="29" t="str">
        <f>IF(OR($B117="",$A117&lt;44),"",--MID('Key Analysis'!$C113,44,1))</f>
        <v/>
      </c>
      <c r="GA117" s="29" t="str">
        <f>IF(OR($B117="",$A117&lt;45),"",--MID('Key Analysis'!$C113,45,1))</f>
        <v/>
      </c>
      <c r="GB117" s="29" t="str">
        <f>IF(OR($B117="",$A117&lt;46),"",--MID('Key Analysis'!$C113,46,1))</f>
        <v/>
      </c>
      <c r="GC117" s="29" t="str">
        <f>IF(OR($B117="",$A117&lt;47),"",--MID('Key Analysis'!$C113,47,1))</f>
        <v/>
      </c>
      <c r="GD117" s="29" t="str">
        <f>IF(OR($B117="",$A117&lt;48),"",--MID('Key Analysis'!$C113,48,1))</f>
        <v/>
      </c>
      <c r="GE117" s="29" t="str">
        <f>IF(OR($B117="",$A117&lt;49),"",--MID('Key Analysis'!$C113,49,1))</f>
        <v/>
      </c>
      <c r="GF117" s="29" t="str">
        <f>IF(OR($B117="",$A117&lt;50),"",--MID('Key Analysis'!$C113,50,1))</f>
        <v/>
      </c>
      <c r="GG117" s="29" t="str">
        <f>IF(OR($B117="",$A117&lt;51),"",--MID('Key Analysis'!$C113,51,1))</f>
        <v/>
      </c>
      <c r="GH117" s="29" t="str">
        <f>IF(OR($B117="",$A117&lt;52),"",--MID('Key Analysis'!$C113,52,1))</f>
        <v/>
      </c>
      <c r="GI117" s="29" t="str">
        <f>IF(OR($B117="",$A117&lt;53),"",--MID('Key Analysis'!$C113,53,1))</f>
        <v/>
      </c>
      <c r="GJ117" s="29" t="str">
        <f>IF(OR($B117="",$A117&lt;54),"",--MID('Key Analysis'!$C113,54,1))</f>
        <v/>
      </c>
      <c r="GK117" s="29" t="str">
        <f>IF(OR($B117="",$A117&lt;55),"",--MID('Key Analysis'!$C113,55,1))</f>
        <v/>
      </c>
      <c r="GL117" s="29" t="str">
        <f>IF(OR($B117="",$A117&lt;56),"",--MID('Key Analysis'!$C113,56,1))</f>
        <v/>
      </c>
      <c r="GM117" s="29" t="str">
        <f>IF(OR($B117="",$A117&lt;57),"",--MID('Key Analysis'!$C113,57,1))</f>
        <v/>
      </c>
      <c r="GN117" s="29" t="str">
        <f>IF(OR($B117="",$A117&lt;58),"",--MID('Key Analysis'!$C113,58,1))</f>
        <v/>
      </c>
      <c r="GO117" s="29" t="str">
        <f>IF(OR($B117="",$A117&lt;59),"",--MID('Key Analysis'!$C113,59,1))</f>
        <v/>
      </c>
      <c r="GP117" s="29" t="str">
        <f>IF(OR($B117="",$A117&lt;60),"",--MID('Key Analysis'!$C113,60,1))</f>
        <v/>
      </c>
      <c r="GQ117" s="29" t="str">
        <f>IF(OR($B117="",$A117&lt;61),"",--MID('Key Analysis'!$C113,61,1))</f>
        <v/>
      </c>
      <c r="GR117" s="29" t="str">
        <f>IF(OR($B117="",$A117&lt;62),"",--MID('Key Analysis'!$C113,62,1))</f>
        <v/>
      </c>
      <c r="GS117" s="29" t="str">
        <f>IF(OR($B117="",$A117&lt;63),"",--MID('Key Analysis'!$C113,63,1))</f>
        <v/>
      </c>
      <c r="GT117" s="29" t="str">
        <f>IF(OR($B117="",$A117&lt;64),"",--MID('Key Analysis'!$C113,64,1))</f>
        <v/>
      </c>
      <c r="GU117" s="29" t="str">
        <f>IF(OR($B117="",$A117&lt;65),"",--MID('Key Analysis'!$C113,65,1))</f>
        <v/>
      </c>
      <c r="GV117" s="29" t="str">
        <f>IF(OR($B117="",$A117&lt;66),"",--MID('Key Analysis'!$C113,66,1))</f>
        <v/>
      </c>
      <c r="GW117" s="29" t="str">
        <f>IF(OR($B117="",$A117&lt;67),"",--MID('Key Analysis'!$C113,67,1))</f>
        <v/>
      </c>
      <c r="GX117" s="29" t="str">
        <f>IF(OR($B117="",$A117&lt;68),"",--MID('Key Analysis'!$C113,68,1))</f>
        <v/>
      </c>
      <c r="GY117" s="29" t="str">
        <f>IF(OR($B117="",$A117&lt;69),"",--MID('Key Analysis'!$C113,69,1))</f>
        <v/>
      </c>
      <c r="GZ117" s="29" t="str">
        <f>IF(OR($B117="",$A117&lt;70),"",--MID('Key Analysis'!$C113,70,1))</f>
        <v/>
      </c>
      <c r="HA117" s="29" t="str">
        <f>IF(OR($B117="",$A117&lt;71),"",--MID('Key Analysis'!$C113,71,1))</f>
        <v/>
      </c>
      <c r="HB117" s="29" t="str">
        <f>IF(OR($B117="",$A117&lt;72),"",--MID('Key Analysis'!$C113,72,1))</f>
        <v/>
      </c>
      <c r="HC117" s="29" t="str">
        <f>IF(OR($B117="",$A117&lt;73),"",--MID('Key Analysis'!$C113,73,1))</f>
        <v/>
      </c>
      <c r="HD117" s="29" t="str">
        <f>IF(OR($B117="",$A117&lt;74),"",--MID('Key Analysis'!$C113,74,1))</f>
        <v/>
      </c>
      <c r="HE117" s="29" t="str">
        <f>IF(OR($B117="",$A117&lt;75),"",--MID('Key Analysis'!$C113,75,1))</f>
        <v/>
      </c>
      <c r="HF117" s="29" t="str">
        <f>IF(OR($B117="",$A117&lt;76),"",--MID('Key Analysis'!$C113,76,1))</f>
        <v/>
      </c>
      <c r="HG117" s="29" t="str">
        <f>IF(OR($B117="",$A117&lt;77),"",--MID('Key Analysis'!$C113,77,1))</f>
        <v/>
      </c>
      <c r="HH117" s="29" t="str">
        <f>IF(OR($B117="",$A117&lt;78),"",--MID('Key Analysis'!$C113,78,1))</f>
        <v/>
      </c>
      <c r="HI117" s="29" t="str">
        <f>IF(OR($B117="",$A117&lt;79),"",--MID('Key Analysis'!$C113,79,1))</f>
        <v/>
      </c>
      <c r="HJ117" s="29" t="str">
        <f>IF(OR($B117="",$A117&lt;80),"",--MID('Key Analysis'!$C113,80,1))</f>
        <v/>
      </c>
      <c r="HK117" s="29" t="str">
        <f>IF(OR($B117="",$A117&lt;81),"",--MID('Key Analysis'!$C113,81,1))</f>
        <v/>
      </c>
      <c r="HL117" s="29" t="str">
        <f>IF(OR($B117="",$A117&lt;82),"",--MID('Key Analysis'!$C113,82,1))</f>
        <v/>
      </c>
      <c r="HM117" s="29" t="str">
        <f>IF(OR($B117="",$A117&lt;83),"",--MID('Key Analysis'!$C113,83,1))</f>
        <v/>
      </c>
      <c r="HN117" s="29" t="str">
        <f>IF(OR($B117="",$A117&lt;84),"",--MID('Key Analysis'!$C113,84,1))</f>
        <v/>
      </c>
      <c r="HO117" s="29" t="str">
        <f>IF(OR($B117="",$A117&lt;85),"",--MID('Key Analysis'!$C113,85,1))</f>
        <v/>
      </c>
      <c r="HP117" s="29" t="str">
        <f>IF(OR($B117="",$A117&lt;86),"",--MID('Key Analysis'!$C113,86,1))</f>
        <v/>
      </c>
      <c r="HQ117" s="29" t="str">
        <f>IF(OR($B117="",$A117&lt;87),"",--MID('Key Analysis'!$C113,87,1))</f>
        <v/>
      </c>
      <c r="HR117" s="29" t="str">
        <f>IF(OR($B117="",$A117&lt;88),"",--MID('Key Analysis'!$C113,88,1))</f>
        <v/>
      </c>
      <c r="HS117" s="29" t="str">
        <f>IF(OR($B117="",$A117&lt;89),"",--MID('Key Analysis'!$C113,89,1))</f>
        <v/>
      </c>
      <c r="HT117" s="29" t="str">
        <f>IF(OR($B117="",$A117&lt;90),"",--MID('Key Analysis'!$C113,90,1))</f>
        <v/>
      </c>
      <c r="HU117" s="29" t="str">
        <f>IF(OR($B117="",$A117&lt;91),"",--MID('Key Analysis'!$C113,91,1))</f>
        <v/>
      </c>
      <c r="HV117" s="29" t="str">
        <f>IF(OR($B117="",$A117&lt;92),"",--MID('Key Analysis'!$C113,92,1))</f>
        <v/>
      </c>
      <c r="HW117" s="29" t="str">
        <f>IF(OR($B117="",$A117&lt;93),"",--MID('Key Analysis'!$C113,93,1))</f>
        <v/>
      </c>
      <c r="HX117" s="29" t="str">
        <f>IF(OR($B117="",$A117&lt;94),"",--MID('Key Analysis'!$C113,94,1))</f>
        <v/>
      </c>
      <c r="HY117" s="29" t="str">
        <f>IF(OR($B117="",$A117&lt;95),"",--MID('Key Analysis'!$C113,95,1))</f>
        <v/>
      </c>
      <c r="HZ117" s="29" t="str">
        <f>IF(OR($B117="",$A117&lt;96),"",--MID('Key Analysis'!$C113,96,1))</f>
        <v/>
      </c>
      <c r="IA117" s="29" t="str">
        <f>IF(OR($B117="",$A117&lt;97),"",--MID('Key Analysis'!$C113,97,1))</f>
        <v/>
      </c>
      <c r="IB117" s="29" t="str">
        <f>IF(OR($B117="",$A117&lt;98),"",--MID('Key Analysis'!$C113,98,1))</f>
        <v/>
      </c>
      <c r="IC117" s="29" t="str">
        <f>IF(OR($B117="",$A117&lt;99),"",--MID('Key Analysis'!$C113,99,1))</f>
        <v/>
      </c>
      <c r="ID117" s="29" t="str">
        <f>IF(OR($B117="",$A117&lt;100),"",--MID('Key Analysis'!$C113,100,1))</f>
        <v/>
      </c>
      <c r="IE117" s="29" t="str">
        <f>IF(OR($B117="",$A117&lt;101),"",--MID('Key Analysis'!$C113,101,1))</f>
        <v/>
      </c>
      <c r="IF117" s="29" t="str">
        <f>IF(OR($B117="",$A117&lt;102),"",--MID('Key Analysis'!$C113,102,1))</f>
        <v/>
      </c>
      <c r="IG117" s="29" t="str">
        <f>IF(OR($B117="",$A117&lt;103),"",--MID('Key Analysis'!$C113,103,1))</f>
        <v/>
      </c>
      <c r="IH117" s="29" t="str">
        <f>IF(OR($B117="",$A117&lt;104),"",--MID('Key Analysis'!$C113,104,1))</f>
        <v/>
      </c>
      <c r="II117" s="29" t="str">
        <f>IF(OR($B117="",$A117&lt;105),"",--MID('Key Analysis'!$C113,105,1))</f>
        <v/>
      </c>
      <c r="IJ117" s="29" t="str">
        <f>IF(OR($B117="",$A117&lt;106),"",--MID('Key Analysis'!$C113,106,1))</f>
        <v/>
      </c>
      <c r="IK117" s="29" t="str">
        <f>IF(OR($B117="",$A117&lt;107),"",--MID('Key Analysis'!$C113,107,1))</f>
        <v/>
      </c>
      <c r="IL117" s="29" t="str">
        <f>IF(OR($B117="",$A117&lt;108),"",--MID('Key Analysis'!$C113,108,1))</f>
        <v/>
      </c>
      <c r="IM117" s="29" t="str">
        <f>IF(OR($B117="",$A117&lt;109),"",--MID('Key Analysis'!$C113,109,1))</f>
        <v/>
      </c>
      <c r="IN117" s="29" t="str">
        <f>IF(OR($B117="",$A117&lt;110),"",--MID('Key Analysis'!$C113,110,1))</f>
        <v/>
      </c>
      <c r="IO117" s="29" t="str">
        <f>IF(OR($B117="",$A117&lt;111),"",--MID('Key Analysis'!$C113,111,1))</f>
        <v/>
      </c>
      <c r="IP117" s="29" t="str">
        <f>IF(OR($B117="",$A117&lt;112),"",--MID('Key Analysis'!$C113,112,1))</f>
        <v/>
      </c>
      <c r="IQ117" s="29" t="str">
        <f>IF(OR($B117="",$A117&lt;113),"",--MID('Key Analysis'!$C113,113,1))</f>
        <v/>
      </c>
      <c r="IR117" s="29" t="str">
        <f>IF(OR($B117="",$A117&lt;114),"",--MID('Key Analysis'!$C113,114,1))</f>
        <v/>
      </c>
      <c r="IS117" s="29" t="str">
        <f>IF(OR($B117="",$A117&lt;115),"",--MID('Key Analysis'!$C113,115,1))</f>
        <v/>
      </c>
      <c r="IT117" s="29" t="str">
        <f>IF(OR($B117="",$A117&lt;116),"",--MID('Key Analysis'!$C113,116,1))</f>
        <v/>
      </c>
      <c r="IU117" s="29" t="str">
        <f>IF(OR($B117="",$A117&lt;117),"",--MID('Key Analysis'!$C113,117,1))</f>
        <v/>
      </c>
      <c r="IV117" s="29" t="str">
        <f>IF(OR($B117="",$A117&lt;118),"",--MID('Key Analysis'!$C113,118,1))</f>
        <v/>
      </c>
      <c r="IW117" s="29" t="str">
        <f>IF(OR($B117="",$A117&lt;119),"",--MID('Key Analysis'!$C113,119,1))</f>
        <v/>
      </c>
      <c r="IX117" s="29" t="str">
        <f>IF(OR($B117="",$A117&lt;120),"",--MID('Key Analysis'!$C113,120,1))</f>
        <v/>
      </c>
      <c r="IY117" s="29" t="str">
        <f>IF(OR($B117="",$A117&lt;121),"",--MID('Key Analysis'!$C113,121,1))</f>
        <v/>
      </c>
      <c r="IZ117" s="29" t="str">
        <f>IF(OR($B117="",$A117&lt;122),"",--MID('Key Analysis'!$C113,122,1))</f>
        <v/>
      </c>
      <c r="JA117" s="29" t="str">
        <f>IF(OR($B117="",$A117&lt;123),"",--MID('Key Analysis'!$C113,123,1))</f>
        <v/>
      </c>
      <c r="JB117" s="29" t="str">
        <f>IF(OR($B117="",$A117&lt;124),"",--MID('Key Analysis'!$C113,124,1))</f>
        <v/>
      </c>
      <c r="JC117" s="29" t="str">
        <f>IF(OR($B117="",$A117&lt;125),"",--MID('Key Analysis'!$C113,125,1))</f>
        <v/>
      </c>
      <c r="JD117" s="29" t="str">
        <f>IF(OR($B117="",$A117&lt;126),"",--MID('Key Analysis'!$C113,126,1))</f>
        <v/>
      </c>
      <c r="JE117" s="29" t="str">
        <f>IF(OR($B117="",$A117&lt;127),"",--MID('Key Analysis'!$C113,127,1))</f>
        <v/>
      </c>
      <c r="JF117" s="29" t="str">
        <f>IF(OR($B117="",$A117&lt;128),"",--MID('Key Analysis'!$C113,128,1))</f>
        <v/>
      </c>
      <c r="JG117" s="29" t="str">
        <f>IF(OR($B117="",$A117&lt;129),"",--MID('Key Analysis'!$C113,129,1))</f>
        <v/>
      </c>
      <c r="JH117" s="29" t="str">
        <f>IF(OR($B117="",$A117&lt;130),"",--MID('Key Analysis'!$C113,130,1))</f>
        <v/>
      </c>
      <c r="JI117" s="29" t="str">
        <f>IF(OR($B117="",$A117&lt;131),"",--MID('Key Analysis'!$C113,131,1))</f>
        <v/>
      </c>
      <c r="JJ117" s="29" t="str">
        <f>IF(OR($B117="",$A117&lt;132),"",--MID('Key Analysis'!$C113,132,1))</f>
        <v/>
      </c>
      <c r="JK117" s="29" t="str">
        <f>IF(OR($B117="",$A117&lt;133),"",--MID('Key Analysis'!$C113,133,1))</f>
        <v/>
      </c>
      <c r="JL117" s="29" t="str">
        <f>IF(OR($B117="",$A117&lt;134),"",--MID('Key Analysis'!$C113,134,1))</f>
        <v/>
      </c>
      <c r="JM117" s="29" t="str">
        <f>IF(OR($B117="",$A117&lt;135),"",--MID('Key Analysis'!$C113,135,1))</f>
        <v/>
      </c>
    </row>
    <row r="118" spans="1:273" x14ac:dyDescent="0.25">
      <c r="A118" s="21">
        <f>'Key Analysis'!A114</f>
        <v>113</v>
      </c>
      <c r="B118" s="30" t="str">
        <f>'Key Analysis'!B114</f>
        <v/>
      </c>
      <c r="C118" s="29" t="str">
        <f>IF(OR($B118="",$A118&lt;=0),"",--MID('Key Analysis'!$C114,$A118-0,1))</f>
        <v/>
      </c>
      <c r="D118" s="29" t="str">
        <f>IF(OR($B118="",$A118&lt;=1),"",--MID('Key Analysis'!$C114,$A118-1,1))</f>
        <v/>
      </c>
      <c r="E118" s="29" t="str">
        <f>IF(OR($B118="",$A118&lt;=2),"",--MID('Key Analysis'!$C114,$A118-2,1))</f>
        <v/>
      </c>
      <c r="F118" s="29" t="str">
        <f>IF(OR($B118="",$A118&lt;=3),"",--MID('Key Analysis'!$C114,$A118-3,1))</f>
        <v/>
      </c>
      <c r="G118" s="29" t="str">
        <f>IF(OR($B118="",$A118&lt;=4),"",--MID('Key Analysis'!$C114,$A118-4,1))</f>
        <v/>
      </c>
      <c r="H118" s="29" t="str">
        <f>IF(OR($B118="",$A118&lt;=5),"",--MID('Key Analysis'!$C114,$A118-5,1))</f>
        <v/>
      </c>
      <c r="I118" s="29" t="str">
        <f>IF(OR($B118="",$A118&lt;=6),"",--MID('Key Analysis'!$C114,$A118-6,1))</f>
        <v/>
      </c>
      <c r="J118" s="29" t="str">
        <f>IF(OR($B118="",$A118&lt;=7),"",--MID('Key Analysis'!$C114,$A118-7,1))</f>
        <v/>
      </c>
      <c r="K118" s="29" t="str">
        <f>IF(OR($B118="",$A118&lt;=8),"",--MID('Key Analysis'!$C114,$A118-8,1))</f>
        <v/>
      </c>
      <c r="L118" s="29" t="str">
        <f>IF(OR($B118="",$A118&lt;=9),"",--MID('Key Analysis'!$C114,$A118-9,1))</f>
        <v/>
      </c>
      <c r="M118" s="29" t="str">
        <f>IF(OR($B118="",$A118&lt;=10),"",--MID('Key Analysis'!$C114,$A118-10,1))</f>
        <v/>
      </c>
      <c r="N118" s="29" t="str">
        <f>IF(OR($B118="",$A118&lt;=11),"",--MID('Key Analysis'!$C114,$A118-11,1))</f>
        <v/>
      </c>
      <c r="O118" s="29" t="str">
        <f>IF(OR($B118="",$A118&lt;=12),"",--MID('Key Analysis'!$C114,$A118-12,1))</f>
        <v/>
      </c>
      <c r="P118" s="29" t="str">
        <f>IF(OR($B118="",$A118&lt;=13),"",--MID('Key Analysis'!$C114,$A118-13,1))</f>
        <v/>
      </c>
      <c r="Q118" s="29" t="str">
        <f>IF(OR($B118="",$A118&lt;=14),"",--MID('Key Analysis'!$C114,$A118-14,1))</f>
        <v/>
      </c>
      <c r="R118" s="29" t="str">
        <f>IF(OR($B118="",$A118&lt;=15),"",--MID('Key Analysis'!$C114,$A118-15,1))</f>
        <v/>
      </c>
      <c r="S118" s="29" t="str">
        <f>IF(OR($B118="",$A118&lt;=16),"",--MID('Key Analysis'!$C114,$A118-16,1))</f>
        <v/>
      </c>
      <c r="T118" s="29" t="str">
        <f>IF(OR($B118="",$A118&lt;=17),"",--MID('Key Analysis'!$C114,$A118-17,1))</f>
        <v/>
      </c>
      <c r="U118" s="29" t="str">
        <f>IF(OR($B118="",$A118&lt;=18),"",--MID('Key Analysis'!$C114,$A118-18,1))</f>
        <v/>
      </c>
      <c r="V118" s="29" t="str">
        <f>IF(OR($B118="",$A118&lt;=19),"",--MID('Key Analysis'!$C114,$A118-19,1))</f>
        <v/>
      </c>
      <c r="W118" s="29" t="str">
        <f>IF(OR($B118="",$A118&lt;=20),"",--MID('Key Analysis'!$C114,$A118-20,1))</f>
        <v/>
      </c>
      <c r="X118" s="29" t="str">
        <f>IF(OR($B118="",$A118&lt;=21),"",--MID('Key Analysis'!$C114,$A118-21,1))</f>
        <v/>
      </c>
      <c r="Y118" s="29" t="str">
        <f>IF(OR($B118="",$A118&lt;=22),"",--MID('Key Analysis'!$C114,$A118-22,1))</f>
        <v/>
      </c>
      <c r="Z118" s="29" t="str">
        <f>IF(OR($B118="",$A118&lt;=23),"",--MID('Key Analysis'!$C114,$A118-23,1))</f>
        <v/>
      </c>
      <c r="AA118" s="29" t="str">
        <f>IF(OR($B118="",$A118&lt;=24),"",--MID('Key Analysis'!$C114,$A118-24,1))</f>
        <v/>
      </c>
      <c r="AB118" s="29" t="str">
        <f>IF(OR($B118="",$A118&lt;=25),"",--MID('Key Analysis'!$C114,$A118-25,1))</f>
        <v/>
      </c>
      <c r="AC118" s="29" t="str">
        <f>IF(OR($B118="",$A118&lt;=26),"",--MID('Key Analysis'!$C114,$A118-26,1))</f>
        <v/>
      </c>
      <c r="AD118" s="29" t="str">
        <f>IF(OR($B118="",$A118&lt;=27),"",--MID('Key Analysis'!$C114,$A118-27,1))</f>
        <v/>
      </c>
      <c r="AE118" s="29" t="str">
        <f>IF(OR($B118="",$A118&lt;=28),"",--MID('Key Analysis'!$C114,$A118-28,1))</f>
        <v/>
      </c>
      <c r="AF118" s="29" t="str">
        <f>IF(OR($B118="",$A118&lt;=29),"",--MID('Key Analysis'!$C114,$A118-29,1))</f>
        <v/>
      </c>
      <c r="AG118" s="29" t="str">
        <f>IF(OR($B118="",$A118&lt;=30),"",--MID('Key Analysis'!$C114,$A118-30,1))</f>
        <v/>
      </c>
      <c r="AH118" s="29" t="str">
        <f>IF(OR($B118="",$A118&lt;=31),"",--MID('Key Analysis'!$C114,$A118-31,1))</f>
        <v/>
      </c>
      <c r="AI118" s="29" t="str">
        <f>IF(OR($B118="",$A118&lt;=32),"",--MID('Key Analysis'!$C114,$A118-32,1))</f>
        <v/>
      </c>
      <c r="AJ118" s="29" t="str">
        <f>IF(OR($B118="",$A118&lt;=33),"",--MID('Key Analysis'!$C114,$A118-33,1))</f>
        <v/>
      </c>
      <c r="AK118" s="29" t="str">
        <f>IF(OR($B118="",$A118&lt;=34),"",--MID('Key Analysis'!$C114,$A118-34,1))</f>
        <v/>
      </c>
      <c r="AL118" s="29" t="str">
        <f>IF(OR($B118="",$A118&lt;=35),"",--MID('Key Analysis'!$C114,$A118-35,1))</f>
        <v/>
      </c>
      <c r="AM118" s="29" t="str">
        <f>IF(OR($B118="",$A118&lt;=36),"",--MID('Key Analysis'!$C114,$A118-36,1))</f>
        <v/>
      </c>
      <c r="AN118" s="29" t="str">
        <f>IF(OR($B118="",$A118&lt;=37),"",--MID('Key Analysis'!$C114,$A118-37,1))</f>
        <v/>
      </c>
      <c r="AO118" s="29" t="str">
        <f>IF(OR($B118="",$A118&lt;=38),"",--MID('Key Analysis'!$C114,$A118-38,1))</f>
        <v/>
      </c>
      <c r="AP118" s="29" t="str">
        <f>IF(OR($B118="",$A118&lt;=39),"",--MID('Key Analysis'!$C114,$A118-39,1))</f>
        <v/>
      </c>
      <c r="AQ118" s="29" t="str">
        <f>IF(OR($B118="",$A118&lt;=40),"",--MID('Key Analysis'!$C114,$A118-40,1))</f>
        <v/>
      </c>
      <c r="AR118" s="29" t="str">
        <f>IF(OR($B118="",$A118&lt;=41),"",--MID('Key Analysis'!$C114,$A118-41,1))</f>
        <v/>
      </c>
      <c r="AS118" s="29" t="str">
        <f>IF(OR($B118="",$A118&lt;=42),"",--MID('Key Analysis'!$C114,$A118-42,1))</f>
        <v/>
      </c>
      <c r="AT118" s="29" t="str">
        <f>IF(OR($B118="",$A118&lt;=43),"",--MID('Key Analysis'!$C114,$A118-43,1))</f>
        <v/>
      </c>
      <c r="AU118" s="29" t="str">
        <f>IF(OR($B118="",$A118&lt;=44),"",--MID('Key Analysis'!$C114,$A118-44,1))</f>
        <v/>
      </c>
      <c r="AV118" s="29" t="str">
        <f>IF(OR($B118="",$A118&lt;=45),"",--MID('Key Analysis'!$C114,$A118-45,1))</f>
        <v/>
      </c>
      <c r="AW118" s="29" t="str">
        <f>IF(OR($B118="",$A118&lt;=46),"",--MID('Key Analysis'!$C114,$A118-46,1))</f>
        <v/>
      </c>
      <c r="AX118" s="29" t="str">
        <f>IF(OR($B118="",$A118&lt;=47),"",--MID('Key Analysis'!$C114,$A118-47,1))</f>
        <v/>
      </c>
      <c r="AY118" s="29" t="str">
        <f>IF(OR($B118="",$A118&lt;=48),"",--MID('Key Analysis'!$C114,$A118-48,1))</f>
        <v/>
      </c>
      <c r="AZ118" s="29" t="str">
        <f>IF(OR($B118="",$A118&lt;=49),"",--MID('Key Analysis'!$C114,$A118-49,1))</f>
        <v/>
      </c>
      <c r="BA118" s="29" t="str">
        <f>IF(OR($B118="",$A118&lt;=50),"",--MID('Key Analysis'!$C114,$A118-50,1))</f>
        <v/>
      </c>
      <c r="BB118" s="29" t="str">
        <f>IF(OR($B118="",$A118&lt;=51),"",--MID('Key Analysis'!$C114,$A118-51,1))</f>
        <v/>
      </c>
      <c r="BC118" s="29" t="str">
        <f>IF(OR($B118="",$A118&lt;=52),"",--MID('Key Analysis'!$C114,$A118-52,1))</f>
        <v/>
      </c>
      <c r="BD118" s="29" t="str">
        <f>IF(OR($B118="",$A118&lt;=53),"",--MID('Key Analysis'!$C114,$A118-53,1))</f>
        <v/>
      </c>
      <c r="BE118" s="29" t="str">
        <f>IF(OR($B118="",$A118&lt;=54),"",--MID('Key Analysis'!$C114,$A118-54,1))</f>
        <v/>
      </c>
      <c r="BF118" s="29" t="str">
        <f>IF(OR($B118="",$A118&lt;=55),"",--MID('Key Analysis'!$C114,$A118-55,1))</f>
        <v/>
      </c>
      <c r="BG118" s="29" t="str">
        <f>IF(OR($B118="",$A118&lt;=56),"",--MID('Key Analysis'!$C114,$A118-56,1))</f>
        <v/>
      </c>
      <c r="BH118" s="29" t="str">
        <f>IF(OR($B118="",$A118&lt;=57),"",--MID('Key Analysis'!$C114,$A118-57,1))</f>
        <v/>
      </c>
      <c r="BI118" s="29" t="str">
        <f>IF(OR($B118="",$A118&lt;=58),"",--MID('Key Analysis'!$C114,$A118-58,1))</f>
        <v/>
      </c>
      <c r="BJ118" s="29" t="str">
        <f>IF(OR($B118="",$A118&lt;=59),"",--MID('Key Analysis'!$C114,$A118-59,1))</f>
        <v/>
      </c>
      <c r="BK118" s="29" t="str">
        <f>IF(OR($B118="",$A118&lt;=60),"",--MID('Key Analysis'!$C114,$A118-60,1))</f>
        <v/>
      </c>
      <c r="BL118" s="29" t="str">
        <f>IF(OR($B118="",$A118&lt;=61),"",--MID('Key Analysis'!$C114,$A118-61,1))</f>
        <v/>
      </c>
      <c r="BM118" s="29" t="str">
        <f>IF(OR($B118="",$A118&lt;=62),"",--MID('Key Analysis'!$C114,$A118-62,1))</f>
        <v/>
      </c>
      <c r="BN118" s="29" t="str">
        <f>IF(OR($B118="",$A118&lt;=63),"",--MID('Key Analysis'!$C114,$A118-63,1))</f>
        <v/>
      </c>
      <c r="BO118" s="29" t="str">
        <f>IF(OR($B118="",$A118&lt;=64),"",--MID('Key Analysis'!$C114,$A118-64,1))</f>
        <v/>
      </c>
      <c r="BP118" s="29" t="str">
        <f>IF(OR($B118="",$A118&lt;=65),"",--MID('Key Analysis'!$C114,$A118-65,1))</f>
        <v/>
      </c>
      <c r="BQ118" s="29" t="str">
        <f>IF(OR($B118="",$A118&lt;=66),"",--MID('Key Analysis'!$C114,$A118-66,1))</f>
        <v/>
      </c>
      <c r="BR118" s="29" t="str">
        <f>IF(OR($B118="",$A118&lt;=67),"",--MID('Key Analysis'!$C114,$A118-67,1))</f>
        <v/>
      </c>
      <c r="BS118" s="29" t="str">
        <f>IF(OR($B118="",$A118&lt;=68),"",--MID('Key Analysis'!$C114,$A118-68,1))</f>
        <v/>
      </c>
      <c r="BT118" s="29" t="str">
        <f>IF(OR($B118="",$A118&lt;=69),"",--MID('Key Analysis'!$C114,$A118-69,1))</f>
        <v/>
      </c>
      <c r="BU118" s="29" t="str">
        <f>IF(OR($B118="",$A118&lt;=70),"",--MID('Key Analysis'!$C114,$A118-70,1))</f>
        <v/>
      </c>
      <c r="BV118" s="29" t="str">
        <f>IF(OR($B118="",$A118&lt;=71),"",--MID('Key Analysis'!$C114,$A118-71,1))</f>
        <v/>
      </c>
      <c r="BW118" s="29" t="str">
        <f>IF(OR($B118="",$A118&lt;=72),"",--MID('Key Analysis'!$C114,$A118-72,1))</f>
        <v/>
      </c>
      <c r="BX118" s="29" t="str">
        <f>IF(OR($B118="",$A118&lt;=73),"",--MID('Key Analysis'!$C114,$A118-73,1))</f>
        <v/>
      </c>
      <c r="BY118" s="29" t="str">
        <f>IF(OR($B118="",$A118&lt;=74),"",--MID('Key Analysis'!$C114,$A118-74,1))</f>
        <v/>
      </c>
      <c r="BZ118" s="29" t="str">
        <f>IF(OR($B118="",$A118&lt;=75),"",--MID('Key Analysis'!$C114,$A118-75,1))</f>
        <v/>
      </c>
      <c r="CA118" s="29" t="str">
        <f>IF(OR($B118="",$A118&lt;=76),"",--MID('Key Analysis'!$C114,$A118-76,1))</f>
        <v/>
      </c>
      <c r="CB118" s="29" t="str">
        <f>IF(OR($B118="",$A118&lt;=77),"",--MID('Key Analysis'!$C114,$A118-77,1))</f>
        <v/>
      </c>
      <c r="CC118" s="29" t="str">
        <f>IF(OR($B118="",$A118&lt;=78),"",--MID('Key Analysis'!$C114,$A118-78,1))</f>
        <v/>
      </c>
      <c r="CD118" s="29" t="str">
        <f>IF(OR($B118="",$A118&lt;=79),"",--MID('Key Analysis'!$C114,$A118-79,1))</f>
        <v/>
      </c>
      <c r="CE118" s="29" t="str">
        <f>IF(OR($B118="",$A118&lt;=80),"",--MID('Key Analysis'!$C114,$A118-80,1))</f>
        <v/>
      </c>
      <c r="CF118" s="29" t="str">
        <f>IF(OR($B118="",$A118&lt;=81),"",--MID('Key Analysis'!$C114,$A118-81,1))</f>
        <v/>
      </c>
      <c r="CG118" s="29" t="str">
        <f>IF(OR($B118="",$A118&lt;=82),"",--MID('Key Analysis'!$C114,$A118-82,1))</f>
        <v/>
      </c>
      <c r="CH118" s="29" t="str">
        <f>IF(OR($B118="",$A118&lt;=83),"",--MID('Key Analysis'!$C114,$A118-83,1))</f>
        <v/>
      </c>
      <c r="CI118" s="29" t="str">
        <f>IF(OR($B118="",$A118&lt;=84),"",--MID('Key Analysis'!$C114,$A118-84,1))</f>
        <v/>
      </c>
      <c r="CJ118" s="29" t="str">
        <f>IF(OR($B118="",$A118&lt;=85),"",--MID('Key Analysis'!$C114,$A118-85,1))</f>
        <v/>
      </c>
      <c r="CK118" s="29" t="str">
        <f>IF(OR($B118="",$A118&lt;=86),"",--MID('Key Analysis'!$C114,$A118-86,1))</f>
        <v/>
      </c>
      <c r="CL118" s="29" t="str">
        <f>IF(OR($B118="",$A118&lt;=87),"",--MID('Key Analysis'!$C114,$A118-87,1))</f>
        <v/>
      </c>
      <c r="CM118" s="29" t="str">
        <f>IF(OR($B118="",$A118&lt;=88),"",--MID('Key Analysis'!$C114,$A118-88,1))</f>
        <v/>
      </c>
      <c r="CN118" s="29" t="str">
        <f>IF(OR($B118="",$A118&lt;=89),"",--MID('Key Analysis'!$C114,$A118-89,1))</f>
        <v/>
      </c>
      <c r="CO118" s="29" t="str">
        <f>IF(OR($B118="",$A118&lt;=90),"",--MID('Key Analysis'!$C114,$A118-90,1))</f>
        <v/>
      </c>
      <c r="CP118" s="29" t="str">
        <f>IF(OR($B118="",$A118&lt;=91),"",--MID('Key Analysis'!$C114,$A118-91,1))</f>
        <v/>
      </c>
      <c r="CQ118" s="29" t="str">
        <f>IF(OR($B118="",$A118&lt;=92),"",--MID('Key Analysis'!$C114,$A118-92,1))</f>
        <v/>
      </c>
      <c r="CR118" s="29" t="str">
        <f>IF(OR($B118="",$A118&lt;=93),"",--MID('Key Analysis'!$C114,$A118-93,1))</f>
        <v/>
      </c>
      <c r="CS118" s="29" t="str">
        <f>IF(OR($B118="",$A118&lt;=94),"",--MID('Key Analysis'!$C114,$A118-94,1))</f>
        <v/>
      </c>
      <c r="CT118" s="29" t="str">
        <f>IF(OR($B118="",$A118&lt;=95),"",--MID('Key Analysis'!$C114,$A118-95,1))</f>
        <v/>
      </c>
      <c r="CU118" s="29" t="str">
        <f>IF(OR($B118="",$A118&lt;=96),"",--MID('Key Analysis'!$C114,$A118-96,1))</f>
        <v/>
      </c>
      <c r="CV118" s="29" t="str">
        <f>IF(OR($B118="",$A118&lt;=97),"",--MID('Key Analysis'!$C114,$A118-97,1))</f>
        <v/>
      </c>
      <c r="CW118" s="29" t="str">
        <f>IF(OR($B118="",$A118&lt;=98),"",--MID('Key Analysis'!$C114,$A118-98,1))</f>
        <v/>
      </c>
      <c r="CX118" s="29" t="str">
        <f>IF(OR($B118="",$A118&lt;=99),"",--MID('Key Analysis'!$C114,$A118-99,1))</f>
        <v/>
      </c>
      <c r="CY118" s="29" t="str">
        <f>IF(OR($B118="",$A118&lt;=100),"",--MID('Key Analysis'!$C114,$A118-100,1))</f>
        <v/>
      </c>
      <c r="CZ118" s="29" t="str">
        <f>IF(OR($B118="",$A118&lt;=101),"",--MID('Key Analysis'!$C114,$A118-101,1))</f>
        <v/>
      </c>
      <c r="DA118" s="29" t="str">
        <f>IF(OR($B118="",$A118&lt;=102),"",--MID('Key Analysis'!$C114,$A118-102,1))</f>
        <v/>
      </c>
      <c r="DB118" s="29" t="str">
        <f>IF(OR($B118="",$A118&lt;=103),"",--MID('Key Analysis'!$C114,$A118-103,1))</f>
        <v/>
      </c>
      <c r="DC118" s="29" t="str">
        <f>IF(OR($B118="",$A118&lt;=104),"",--MID('Key Analysis'!$C114,$A118-104,1))</f>
        <v/>
      </c>
      <c r="DD118" s="29" t="str">
        <f>IF(OR($B118="",$A118&lt;=105),"",--MID('Key Analysis'!$C114,$A118-105,1))</f>
        <v/>
      </c>
      <c r="DE118" s="29" t="str">
        <f>IF(OR($B118="",$A118&lt;=106),"",--MID('Key Analysis'!$C114,$A118-106,1))</f>
        <v/>
      </c>
      <c r="DF118" s="29" t="str">
        <f>IF(OR($B118="",$A118&lt;=107),"",--MID('Key Analysis'!$C114,$A118-107,1))</f>
        <v/>
      </c>
      <c r="DG118" s="29" t="str">
        <f>IF(OR($B118="",$A118&lt;=108),"",--MID('Key Analysis'!$C114,$A118-108,1))</f>
        <v/>
      </c>
      <c r="DH118" s="29" t="str">
        <f>IF(OR($B118="",$A118&lt;=109),"",--MID('Key Analysis'!$C114,$A118-109,1))</f>
        <v/>
      </c>
      <c r="DI118" s="29" t="str">
        <f>IF(OR($B118="",$A118&lt;=110),"",--MID('Key Analysis'!$C114,$A118-110,1))</f>
        <v/>
      </c>
      <c r="DJ118" s="29" t="str">
        <f>IF(OR($B118="",$A118&lt;=111),"",--MID('Key Analysis'!$C114,$A118-111,1))</f>
        <v/>
      </c>
      <c r="DK118" s="29" t="str">
        <f>IF(OR($B118="",$A118&lt;=112),"",--MID('Key Analysis'!$C114,$A118-112,1))</f>
        <v/>
      </c>
      <c r="DL118" s="29" t="str">
        <f>IF(OR($B118="",$A118&lt;=113),"",--MID('Key Analysis'!$C114,$A118-113,1))</f>
        <v/>
      </c>
      <c r="DM118" s="29" t="str">
        <f>IF(OR($B118="",$A118&lt;=114),"",--MID('Key Analysis'!$C114,$A118-114,1))</f>
        <v/>
      </c>
      <c r="DN118" s="29" t="str">
        <f>IF(OR($B118="",$A118&lt;=115),"",--MID('Key Analysis'!$C114,$A118-115,1))</f>
        <v/>
      </c>
      <c r="DO118" s="29" t="str">
        <f>IF(OR($B118="",$A118&lt;=116),"",--MID('Key Analysis'!$C114,$A118-116,1))</f>
        <v/>
      </c>
      <c r="DP118" s="29" t="str">
        <f>IF(OR($B118="",$A118&lt;=117),"",--MID('Key Analysis'!$C114,$A118-117,1))</f>
        <v/>
      </c>
      <c r="DQ118" s="29" t="str">
        <f>IF(OR($B118="",$A118&lt;=118),"",--MID('Key Analysis'!$C114,$A118-118,1))</f>
        <v/>
      </c>
      <c r="DR118" s="29" t="str">
        <f>IF(OR($B118="",$A118&lt;=119),"",--MID('Key Analysis'!$C114,$A118-119,1))</f>
        <v/>
      </c>
      <c r="DS118" s="29" t="str">
        <f>IF(OR($B118="",$A118&lt;=120),"",--MID('Key Analysis'!$C114,$A118-120,1))</f>
        <v/>
      </c>
      <c r="DT118" s="29" t="str">
        <f>IF(OR($B118="",$A118&lt;=121),"",--MID('Key Analysis'!$C114,$A118-121,1))</f>
        <v/>
      </c>
      <c r="DU118" s="29" t="str">
        <f>IF(OR($B118="",$A118&lt;=122),"",--MID('Key Analysis'!$C114,$A118-122,1))</f>
        <v/>
      </c>
      <c r="DV118" s="29" t="str">
        <f>IF(OR($B118="",$A118&lt;=123),"",--MID('Key Analysis'!$C114,$A118-123,1))</f>
        <v/>
      </c>
      <c r="DW118" s="29" t="str">
        <f>IF(OR($B118="",$A118&lt;=124),"",--MID('Key Analysis'!$C114,$A118-124,1))</f>
        <v/>
      </c>
      <c r="DX118" s="29" t="str">
        <f>IF(OR($B118="",$A118&lt;=125),"",--MID('Key Analysis'!$C114,$A118-125,1))</f>
        <v/>
      </c>
      <c r="DY118" s="29" t="str">
        <f>IF(OR($B118="",$A118&lt;=126),"",--MID('Key Analysis'!$C114,$A118-126,1))</f>
        <v/>
      </c>
      <c r="DZ118" s="29" t="str">
        <f>IF(OR($B118="",$A118&lt;=127),"",--MID('Key Analysis'!$C114,$A118-127,1))</f>
        <v/>
      </c>
      <c r="EA118" s="29" t="str">
        <f>IF(OR($B118="",$A118&lt;=128),"",--MID('Key Analysis'!$C114,$A118-128,1))</f>
        <v/>
      </c>
      <c r="EB118" s="29" t="str">
        <f>IF(OR($B118="",$A118&lt;=129),"",--MID('Key Analysis'!$C114,$A118-129,1))</f>
        <v/>
      </c>
      <c r="EC118" s="29" t="str">
        <f>IF(OR($B118="",$A118&lt;=130),"",--MID('Key Analysis'!$C114,$A118-130,1))</f>
        <v/>
      </c>
      <c r="ED118" s="29" t="str">
        <f>IF(OR($B118="",$A118&lt;=131),"",--MID('Key Analysis'!$C114,$A118-131,1))</f>
        <v/>
      </c>
      <c r="EE118" s="29" t="str">
        <f>IF(OR($B118="",$A118&lt;=132),"",--MID('Key Analysis'!$C114,$A118-132,1))</f>
        <v/>
      </c>
      <c r="EF118" s="29" t="str">
        <f>IF(OR($B118="",$A118&lt;=133),"",--MID('Key Analysis'!$C114,$A118-133,1))</f>
        <v/>
      </c>
      <c r="EG118" s="29" t="str">
        <f>IF(OR($B118="",$A118&lt;=134),"",--MID('Key Analysis'!$C114,$A118-134,1))</f>
        <v/>
      </c>
      <c r="EH118" s="29"/>
      <c r="EI118" s="29" t="str">
        <f>IF(OR($B118="",$A118&lt;1),"",--MID('Key Analysis'!$C114,1,1))</f>
        <v/>
      </c>
      <c r="EJ118" s="29" t="str">
        <f>IF(OR($B118="",$A118&lt;2),"",--MID('Key Analysis'!$C114,2,1))</f>
        <v/>
      </c>
      <c r="EK118" s="29" t="str">
        <f>IF(OR($B118="",$A118&lt;3),"",--MID('Key Analysis'!$C114,3,1))</f>
        <v/>
      </c>
      <c r="EL118" s="29" t="str">
        <f>IF(OR($B118="",$A118&lt;4),"",--MID('Key Analysis'!$C114,4,1))</f>
        <v/>
      </c>
      <c r="EM118" s="29" t="str">
        <f>IF(OR($B118="",$A118&lt;5),"",--MID('Key Analysis'!$C114,5,1))</f>
        <v/>
      </c>
      <c r="EN118" s="29" t="str">
        <f>IF(OR($B118="",$A118&lt;6),"",--MID('Key Analysis'!$C114,6,1))</f>
        <v/>
      </c>
      <c r="EO118" s="29" t="str">
        <f>IF(OR($B118="",$A118&lt;7),"",--MID('Key Analysis'!$C114,7,1))</f>
        <v/>
      </c>
      <c r="EP118" s="29" t="str">
        <f>IF(OR($B118="",$A118&lt;8),"",--MID('Key Analysis'!$C114,8,1))</f>
        <v/>
      </c>
      <c r="EQ118" s="29" t="str">
        <f>IF(OR($B118="",$A118&lt;9),"",--MID('Key Analysis'!$C114,9,1))</f>
        <v/>
      </c>
      <c r="ER118" s="29" t="str">
        <f>IF(OR($B118="",$A118&lt;10),"",--MID('Key Analysis'!$C114,10,1))</f>
        <v/>
      </c>
      <c r="ES118" s="29" t="str">
        <f>IF(OR($B118="",$A118&lt;11),"",--MID('Key Analysis'!$C114,11,1))</f>
        <v/>
      </c>
      <c r="ET118" s="29" t="str">
        <f>IF(OR($B118="",$A118&lt;12),"",--MID('Key Analysis'!$C114,12,1))</f>
        <v/>
      </c>
      <c r="EU118" s="29" t="str">
        <f>IF(OR($B118="",$A118&lt;13),"",--MID('Key Analysis'!$C114,13,1))</f>
        <v/>
      </c>
      <c r="EV118" s="29" t="str">
        <f>IF(OR($B118="",$A118&lt;14),"",--MID('Key Analysis'!$C114,14,1))</f>
        <v/>
      </c>
      <c r="EW118" s="29" t="str">
        <f>IF(OR($B118="",$A118&lt;15),"",--MID('Key Analysis'!$C114,15,1))</f>
        <v/>
      </c>
      <c r="EX118" s="29" t="str">
        <f>IF(OR($B118="",$A118&lt;16),"",--MID('Key Analysis'!$C114,16,1))</f>
        <v/>
      </c>
      <c r="EY118" s="29" t="str">
        <f>IF(OR($B118="",$A118&lt;17),"",--MID('Key Analysis'!$C114,17,1))</f>
        <v/>
      </c>
      <c r="EZ118" s="29" t="str">
        <f>IF(OR($B118="",$A118&lt;18),"",--MID('Key Analysis'!$C114,18,1))</f>
        <v/>
      </c>
      <c r="FA118" s="29" t="str">
        <f>IF(OR($B118="",$A118&lt;19),"",--MID('Key Analysis'!$C114,19,1))</f>
        <v/>
      </c>
      <c r="FB118" s="29" t="str">
        <f>IF(OR($B118="",$A118&lt;20),"",--MID('Key Analysis'!$C114,20,1))</f>
        <v/>
      </c>
      <c r="FC118" s="29" t="str">
        <f>IF(OR($B118="",$A118&lt;21),"",--MID('Key Analysis'!$C114,21,1))</f>
        <v/>
      </c>
      <c r="FD118" s="29" t="str">
        <f>IF(OR($B118="",$A118&lt;22),"",--MID('Key Analysis'!$C114,22,1))</f>
        <v/>
      </c>
      <c r="FE118" s="29" t="str">
        <f>IF(OR($B118="",$A118&lt;23),"",--MID('Key Analysis'!$C114,23,1))</f>
        <v/>
      </c>
      <c r="FF118" s="29" t="str">
        <f>IF(OR($B118="",$A118&lt;24),"",--MID('Key Analysis'!$C114,24,1))</f>
        <v/>
      </c>
      <c r="FG118" s="29" t="str">
        <f>IF(OR($B118="",$A118&lt;25),"",--MID('Key Analysis'!$C114,25,1))</f>
        <v/>
      </c>
      <c r="FH118" s="29" t="str">
        <f>IF(OR($B118="",$A118&lt;26),"",--MID('Key Analysis'!$C114,26,1))</f>
        <v/>
      </c>
      <c r="FI118" s="29" t="str">
        <f>IF(OR($B118="",$A118&lt;27),"",--MID('Key Analysis'!$C114,27,1))</f>
        <v/>
      </c>
      <c r="FJ118" s="29" t="str">
        <f>IF(OR($B118="",$A118&lt;28),"",--MID('Key Analysis'!$C114,28,1))</f>
        <v/>
      </c>
      <c r="FK118" s="29" t="str">
        <f>IF(OR($B118="",$A118&lt;29),"",--MID('Key Analysis'!$C114,29,1))</f>
        <v/>
      </c>
      <c r="FL118" s="29" t="str">
        <f>IF(OR($B118="",$A118&lt;30),"",--MID('Key Analysis'!$C114,30,1))</f>
        <v/>
      </c>
      <c r="FM118" s="29" t="str">
        <f>IF(OR($B118="",$A118&lt;31),"",--MID('Key Analysis'!$C114,31,1))</f>
        <v/>
      </c>
      <c r="FN118" s="29" t="str">
        <f>IF(OR($B118="",$A118&lt;32),"",--MID('Key Analysis'!$C114,32,1))</f>
        <v/>
      </c>
      <c r="FO118" s="29" t="str">
        <f>IF(OR($B118="",$A118&lt;33),"",--MID('Key Analysis'!$C114,33,1))</f>
        <v/>
      </c>
      <c r="FP118" s="29" t="str">
        <f>IF(OR($B118="",$A118&lt;34),"",--MID('Key Analysis'!$C114,34,1))</f>
        <v/>
      </c>
      <c r="FQ118" s="29" t="str">
        <f>IF(OR($B118="",$A118&lt;35),"",--MID('Key Analysis'!$C114,35,1))</f>
        <v/>
      </c>
      <c r="FR118" s="29" t="str">
        <f>IF(OR($B118="",$A118&lt;36),"",--MID('Key Analysis'!$C114,36,1))</f>
        <v/>
      </c>
      <c r="FS118" s="29" t="str">
        <f>IF(OR($B118="",$A118&lt;37),"",--MID('Key Analysis'!$C114,37,1))</f>
        <v/>
      </c>
      <c r="FT118" s="29" t="str">
        <f>IF(OR($B118="",$A118&lt;38),"",--MID('Key Analysis'!$C114,38,1))</f>
        <v/>
      </c>
      <c r="FU118" s="29" t="str">
        <f>IF(OR($B118="",$A118&lt;39),"",--MID('Key Analysis'!$C114,39,1))</f>
        <v/>
      </c>
      <c r="FV118" s="29" t="str">
        <f>IF(OR($B118="",$A118&lt;40),"",--MID('Key Analysis'!$C114,40,1))</f>
        <v/>
      </c>
      <c r="FW118" s="29" t="str">
        <f>IF(OR($B118="",$A118&lt;41),"",--MID('Key Analysis'!$C114,41,1))</f>
        <v/>
      </c>
      <c r="FX118" s="29" t="str">
        <f>IF(OR($B118="",$A118&lt;42),"",--MID('Key Analysis'!$C114,42,1))</f>
        <v/>
      </c>
      <c r="FY118" s="29" t="str">
        <f>IF(OR($B118="",$A118&lt;43),"",--MID('Key Analysis'!$C114,43,1))</f>
        <v/>
      </c>
      <c r="FZ118" s="29" t="str">
        <f>IF(OR($B118="",$A118&lt;44),"",--MID('Key Analysis'!$C114,44,1))</f>
        <v/>
      </c>
      <c r="GA118" s="29" t="str">
        <f>IF(OR($B118="",$A118&lt;45),"",--MID('Key Analysis'!$C114,45,1))</f>
        <v/>
      </c>
      <c r="GB118" s="29" t="str">
        <f>IF(OR($B118="",$A118&lt;46),"",--MID('Key Analysis'!$C114,46,1))</f>
        <v/>
      </c>
      <c r="GC118" s="29" t="str">
        <f>IF(OR($B118="",$A118&lt;47),"",--MID('Key Analysis'!$C114,47,1))</f>
        <v/>
      </c>
      <c r="GD118" s="29" t="str">
        <f>IF(OR($B118="",$A118&lt;48),"",--MID('Key Analysis'!$C114,48,1))</f>
        <v/>
      </c>
      <c r="GE118" s="29" t="str">
        <f>IF(OR($B118="",$A118&lt;49),"",--MID('Key Analysis'!$C114,49,1))</f>
        <v/>
      </c>
      <c r="GF118" s="29" t="str">
        <f>IF(OR($B118="",$A118&lt;50),"",--MID('Key Analysis'!$C114,50,1))</f>
        <v/>
      </c>
      <c r="GG118" s="29" t="str">
        <f>IF(OR($B118="",$A118&lt;51),"",--MID('Key Analysis'!$C114,51,1))</f>
        <v/>
      </c>
      <c r="GH118" s="29" t="str">
        <f>IF(OR($B118="",$A118&lt;52),"",--MID('Key Analysis'!$C114,52,1))</f>
        <v/>
      </c>
      <c r="GI118" s="29" t="str">
        <f>IF(OR($B118="",$A118&lt;53),"",--MID('Key Analysis'!$C114,53,1))</f>
        <v/>
      </c>
      <c r="GJ118" s="29" t="str">
        <f>IF(OR($B118="",$A118&lt;54),"",--MID('Key Analysis'!$C114,54,1))</f>
        <v/>
      </c>
      <c r="GK118" s="29" t="str">
        <f>IF(OR($B118="",$A118&lt;55),"",--MID('Key Analysis'!$C114,55,1))</f>
        <v/>
      </c>
      <c r="GL118" s="29" t="str">
        <f>IF(OR($B118="",$A118&lt;56),"",--MID('Key Analysis'!$C114,56,1))</f>
        <v/>
      </c>
      <c r="GM118" s="29" t="str">
        <f>IF(OR($B118="",$A118&lt;57),"",--MID('Key Analysis'!$C114,57,1))</f>
        <v/>
      </c>
      <c r="GN118" s="29" t="str">
        <f>IF(OR($B118="",$A118&lt;58),"",--MID('Key Analysis'!$C114,58,1))</f>
        <v/>
      </c>
      <c r="GO118" s="29" t="str">
        <f>IF(OR($B118="",$A118&lt;59),"",--MID('Key Analysis'!$C114,59,1))</f>
        <v/>
      </c>
      <c r="GP118" s="29" t="str">
        <f>IF(OR($B118="",$A118&lt;60),"",--MID('Key Analysis'!$C114,60,1))</f>
        <v/>
      </c>
      <c r="GQ118" s="29" t="str">
        <f>IF(OR($B118="",$A118&lt;61),"",--MID('Key Analysis'!$C114,61,1))</f>
        <v/>
      </c>
      <c r="GR118" s="29" t="str">
        <f>IF(OR($B118="",$A118&lt;62),"",--MID('Key Analysis'!$C114,62,1))</f>
        <v/>
      </c>
      <c r="GS118" s="29" t="str">
        <f>IF(OR($B118="",$A118&lt;63),"",--MID('Key Analysis'!$C114,63,1))</f>
        <v/>
      </c>
      <c r="GT118" s="29" t="str">
        <f>IF(OR($B118="",$A118&lt;64),"",--MID('Key Analysis'!$C114,64,1))</f>
        <v/>
      </c>
      <c r="GU118" s="29" t="str">
        <f>IF(OR($B118="",$A118&lt;65),"",--MID('Key Analysis'!$C114,65,1))</f>
        <v/>
      </c>
      <c r="GV118" s="29" t="str">
        <f>IF(OR($B118="",$A118&lt;66),"",--MID('Key Analysis'!$C114,66,1))</f>
        <v/>
      </c>
      <c r="GW118" s="29" t="str">
        <f>IF(OR($B118="",$A118&lt;67),"",--MID('Key Analysis'!$C114,67,1))</f>
        <v/>
      </c>
      <c r="GX118" s="29" t="str">
        <f>IF(OR($B118="",$A118&lt;68),"",--MID('Key Analysis'!$C114,68,1))</f>
        <v/>
      </c>
      <c r="GY118" s="29" t="str">
        <f>IF(OR($B118="",$A118&lt;69),"",--MID('Key Analysis'!$C114,69,1))</f>
        <v/>
      </c>
      <c r="GZ118" s="29" t="str">
        <f>IF(OR($B118="",$A118&lt;70),"",--MID('Key Analysis'!$C114,70,1))</f>
        <v/>
      </c>
      <c r="HA118" s="29" t="str">
        <f>IF(OR($B118="",$A118&lt;71),"",--MID('Key Analysis'!$C114,71,1))</f>
        <v/>
      </c>
      <c r="HB118" s="29" t="str">
        <f>IF(OR($B118="",$A118&lt;72),"",--MID('Key Analysis'!$C114,72,1))</f>
        <v/>
      </c>
      <c r="HC118" s="29" t="str">
        <f>IF(OR($B118="",$A118&lt;73),"",--MID('Key Analysis'!$C114,73,1))</f>
        <v/>
      </c>
      <c r="HD118" s="29" t="str">
        <f>IF(OR($B118="",$A118&lt;74),"",--MID('Key Analysis'!$C114,74,1))</f>
        <v/>
      </c>
      <c r="HE118" s="29" t="str">
        <f>IF(OR($B118="",$A118&lt;75),"",--MID('Key Analysis'!$C114,75,1))</f>
        <v/>
      </c>
      <c r="HF118" s="29" t="str">
        <f>IF(OR($B118="",$A118&lt;76),"",--MID('Key Analysis'!$C114,76,1))</f>
        <v/>
      </c>
      <c r="HG118" s="29" t="str">
        <f>IF(OR($B118="",$A118&lt;77),"",--MID('Key Analysis'!$C114,77,1))</f>
        <v/>
      </c>
      <c r="HH118" s="29" t="str">
        <f>IF(OR($B118="",$A118&lt;78),"",--MID('Key Analysis'!$C114,78,1))</f>
        <v/>
      </c>
      <c r="HI118" s="29" t="str">
        <f>IF(OR($B118="",$A118&lt;79),"",--MID('Key Analysis'!$C114,79,1))</f>
        <v/>
      </c>
      <c r="HJ118" s="29" t="str">
        <f>IF(OR($B118="",$A118&lt;80),"",--MID('Key Analysis'!$C114,80,1))</f>
        <v/>
      </c>
      <c r="HK118" s="29" t="str">
        <f>IF(OR($B118="",$A118&lt;81),"",--MID('Key Analysis'!$C114,81,1))</f>
        <v/>
      </c>
      <c r="HL118" s="29" t="str">
        <f>IF(OR($B118="",$A118&lt;82),"",--MID('Key Analysis'!$C114,82,1))</f>
        <v/>
      </c>
      <c r="HM118" s="29" t="str">
        <f>IF(OR($B118="",$A118&lt;83),"",--MID('Key Analysis'!$C114,83,1))</f>
        <v/>
      </c>
      <c r="HN118" s="29" t="str">
        <f>IF(OR($B118="",$A118&lt;84),"",--MID('Key Analysis'!$C114,84,1))</f>
        <v/>
      </c>
      <c r="HO118" s="29" t="str">
        <f>IF(OR($B118="",$A118&lt;85),"",--MID('Key Analysis'!$C114,85,1))</f>
        <v/>
      </c>
      <c r="HP118" s="29" t="str">
        <f>IF(OR($B118="",$A118&lt;86),"",--MID('Key Analysis'!$C114,86,1))</f>
        <v/>
      </c>
      <c r="HQ118" s="29" t="str">
        <f>IF(OR($B118="",$A118&lt;87),"",--MID('Key Analysis'!$C114,87,1))</f>
        <v/>
      </c>
      <c r="HR118" s="29" t="str">
        <f>IF(OR($B118="",$A118&lt;88),"",--MID('Key Analysis'!$C114,88,1))</f>
        <v/>
      </c>
      <c r="HS118" s="29" t="str">
        <f>IF(OR($B118="",$A118&lt;89),"",--MID('Key Analysis'!$C114,89,1))</f>
        <v/>
      </c>
      <c r="HT118" s="29" t="str">
        <f>IF(OR($B118="",$A118&lt;90),"",--MID('Key Analysis'!$C114,90,1))</f>
        <v/>
      </c>
      <c r="HU118" s="29" t="str">
        <f>IF(OR($B118="",$A118&lt;91),"",--MID('Key Analysis'!$C114,91,1))</f>
        <v/>
      </c>
      <c r="HV118" s="29" t="str">
        <f>IF(OR($B118="",$A118&lt;92),"",--MID('Key Analysis'!$C114,92,1))</f>
        <v/>
      </c>
      <c r="HW118" s="29" t="str">
        <f>IF(OR($B118="",$A118&lt;93),"",--MID('Key Analysis'!$C114,93,1))</f>
        <v/>
      </c>
      <c r="HX118" s="29" t="str">
        <f>IF(OR($B118="",$A118&lt;94),"",--MID('Key Analysis'!$C114,94,1))</f>
        <v/>
      </c>
      <c r="HY118" s="29" t="str">
        <f>IF(OR($B118="",$A118&lt;95),"",--MID('Key Analysis'!$C114,95,1))</f>
        <v/>
      </c>
      <c r="HZ118" s="29" t="str">
        <f>IF(OR($B118="",$A118&lt;96),"",--MID('Key Analysis'!$C114,96,1))</f>
        <v/>
      </c>
      <c r="IA118" s="29" t="str">
        <f>IF(OR($B118="",$A118&lt;97),"",--MID('Key Analysis'!$C114,97,1))</f>
        <v/>
      </c>
      <c r="IB118" s="29" t="str">
        <f>IF(OR($B118="",$A118&lt;98),"",--MID('Key Analysis'!$C114,98,1))</f>
        <v/>
      </c>
      <c r="IC118" s="29" t="str">
        <f>IF(OR($B118="",$A118&lt;99),"",--MID('Key Analysis'!$C114,99,1))</f>
        <v/>
      </c>
      <c r="ID118" s="29" t="str">
        <f>IF(OR($B118="",$A118&lt;100),"",--MID('Key Analysis'!$C114,100,1))</f>
        <v/>
      </c>
      <c r="IE118" s="29" t="str">
        <f>IF(OR($B118="",$A118&lt;101),"",--MID('Key Analysis'!$C114,101,1))</f>
        <v/>
      </c>
      <c r="IF118" s="29" t="str">
        <f>IF(OR($B118="",$A118&lt;102),"",--MID('Key Analysis'!$C114,102,1))</f>
        <v/>
      </c>
      <c r="IG118" s="29" t="str">
        <f>IF(OR($B118="",$A118&lt;103),"",--MID('Key Analysis'!$C114,103,1))</f>
        <v/>
      </c>
      <c r="IH118" s="29" t="str">
        <f>IF(OR($B118="",$A118&lt;104),"",--MID('Key Analysis'!$C114,104,1))</f>
        <v/>
      </c>
      <c r="II118" s="29" t="str">
        <f>IF(OR($B118="",$A118&lt;105),"",--MID('Key Analysis'!$C114,105,1))</f>
        <v/>
      </c>
      <c r="IJ118" s="29" t="str">
        <f>IF(OR($B118="",$A118&lt;106),"",--MID('Key Analysis'!$C114,106,1))</f>
        <v/>
      </c>
      <c r="IK118" s="29" t="str">
        <f>IF(OR($B118="",$A118&lt;107),"",--MID('Key Analysis'!$C114,107,1))</f>
        <v/>
      </c>
      <c r="IL118" s="29" t="str">
        <f>IF(OR($B118="",$A118&lt;108),"",--MID('Key Analysis'!$C114,108,1))</f>
        <v/>
      </c>
      <c r="IM118" s="29" t="str">
        <f>IF(OR($B118="",$A118&lt;109),"",--MID('Key Analysis'!$C114,109,1))</f>
        <v/>
      </c>
      <c r="IN118" s="29" t="str">
        <f>IF(OR($B118="",$A118&lt;110),"",--MID('Key Analysis'!$C114,110,1))</f>
        <v/>
      </c>
      <c r="IO118" s="29" t="str">
        <f>IF(OR($B118="",$A118&lt;111),"",--MID('Key Analysis'!$C114,111,1))</f>
        <v/>
      </c>
      <c r="IP118" s="29" t="str">
        <f>IF(OR($B118="",$A118&lt;112),"",--MID('Key Analysis'!$C114,112,1))</f>
        <v/>
      </c>
      <c r="IQ118" s="29" t="str">
        <f>IF(OR($B118="",$A118&lt;113),"",--MID('Key Analysis'!$C114,113,1))</f>
        <v/>
      </c>
      <c r="IR118" s="29" t="str">
        <f>IF(OR($B118="",$A118&lt;114),"",--MID('Key Analysis'!$C114,114,1))</f>
        <v/>
      </c>
      <c r="IS118" s="29" t="str">
        <f>IF(OR($B118="",$A118&lt;115),"",--MID('Key Analysis'!$C114,115,1))</f>
        <v/>
      </c>
      <c r="IT118" s="29" t="str">
        <f>IF(OR($B118="",$A118&lt;116),"",--MID('Key Analysis'!$C114,116,1))</f>
        <v/>
      </c>
      <c r="IU118" s="29" t="str">
        <f>IF(OR($B118="",$A118&lt;117),"",--MID('Key Analysis'!$C114,117,1))</f>
        <v/>
      </c>
      <c r="IV118" s="29" t="str">
        <f>IF(OR($B118="",$A118&lt;118),"",--MID('Key Analysis'!$C114,118,1))</f>
        <v/>
      </c>
      <c r="IW118" s="29" t="str">
        <f>IF(OR($B118="",$A118&lt;119),"",--MID('Key Analysis'!$C114,119,1))</f>
        <v/>
      </c>
      <c r="IX118" s="29" t="str">
        <f>IF(OR($B118="",$A118&lt;120),"",--MID('Key Analysis'!$C114,120,1))</f>
        <v/>
      </c>
      <c r="IY118" s="29" t="str">
        <f>IF(OR($B118="",$A118&lt;121),"",--MID('Key Analysis'!$C114,121,1))</f>
        <v/>
      </c>
      <c r="IZ118" s="29" t="str">
        <f>IF(OR($B118="",$A118&lt;122),"",--MID('Key Analysis'!$C114,122,1))</f>
        <v/>
      </c>
      <c r="JA118" s="29" t="str">
        <f>IF(OR($B118="",$A118&lt;123),"",--MID('Key Analysis'!$C114,123,1))</f>
        <v/>
      </c>
      <c r="JB118" s="29" t="str">
        <f>IF(OR($B118="",$A118&lt;124),"",--MID('Key Analysis'!$C114,124,1))</f>
        <v/>
      </c>
      <c r="JC118" s="29" t="str">
        <f>IF(OR($B118="",$A118&lt;125),"",--MID('Key Analysis'!$C114,125,1))</f>
        <v/>
      </c>
      <c r="JD118" s="29" t="str">
        <f>IF(OR($B118="",$A118&lt;126),"",--MID('Key Analysis'!$C114,126,1))</f>
        <v/>
      </c>
      <c r="JE118" s="29" t="str">
        <f>IF(OR($B118="",$A118&lt;127),"",--MID('Key Analysis'!$C114,127,1))</f>
        <v/>
      </c>
      <c r="JF118" s="29" t="str">
        <f>IF(OR($B118="",$A118&lt;128),"",--MID('Key Analysis'!$C114,128,1))</f>
        <v/>
      </c>
      <c r="JG118" s="29" t="str">
        <f>IF(OR($B118="",$A118&lt;129),"",--MID('Key Analysis'!$C114,129,1))</f>
        <v/>
      </c>
      <c r="JH118" s="29" t="str">
        <f>IF(OR($B118="",$A118&lt;130),"",--MID('Key Analysis'!$C114,130,1))</f>
        <v/>
      </c>
      <c r="JI118" s="29" t="str">
        <f>IF(OR($B118="",$A118&lt;131),"",--MID('Key Analysis'!$C114,131,1))</f>
        <v/>
      </c>
      <c r="JJ118" s="29" t="str">
        <f>IF(OR($B118="",$A118&lt;132),"",--MID('Key Analysis'!$C114,132,1))</f>
        <v/>
      </c>
      <c r="JK118" s="29" t="str">
        <f>IF(OR($B118="",$A118&lt;133),"",--MID('Key Analysis'!$C114,133,1))</f>
        <v/>
      </c>
      <c r="JL118" s="29" t="str">
        <f>IF(OR($B118="",$A118&lt;134),"",--MID('Key Analysis'!$C114,134,1))</f>
        <v/>
      </c>
      <c r="JM118" s="29" t="str">
        <f>IF(OR($B118="",$A118&lt;135),"",--MID('Key Analysis'!$C114,135,1))</f>
        <v/>
      </c>
    </row>
    <row r="119" spans="1:273" x14ac:dyDescent="0.25">
      <c r="A119" s="21">
        <f>'Key Analysis'!A115</f>
        <v>114</v>
      </c>
      <c r="B119" s="30" t="str">
        <f>'Key Analysis'!B115</f>
        <v/>
      </c>
      <c r="C119" s="29" t="str">
        <f>IF(OR($B119="",$A119&lt;=0),"",--MID('Key Analysis'!$C115,$A119-0,1))</f>
        <v/>
      </c>
      <c r="D119" s="29" t="str">
        <f>IF(OR($B119="",$A119&lt;=1),"",--MID('Key Analysis'!$C115,$A119-1,1))</f>
        <v/>
      </c>
      <c r="E119" s="29" t="str">
        <f>IF(OR($B119="",$A119&lt;=2),"",--MID('Key Analysis'!$C115,$A119-2,1))</f>
        <v/>
      </c>
      <c r="F119" s="29" t="str">
        <f>IF(OR($B119="",$A119&lt;=3),"",--MID('Key Analysis'!$C115,$A119-3,1))</f>
        <v/>
      </c>
      <c r="G119" s="29" t="str">
        <f>IF(OR($B119="",$A119&lt;=4),"",--MID('Key Analysis'!$C115,$A119-4,1))</f>
        <v/>
      </c>
      <c r="H119" s="29" t="str">
        <f>IF(OR($B119="",$A119&lt;=5),"",--MID('Key Analysis'!$C115,$A119-5,1))</f>
        <v/>
      </c>
      <c r="I119" s="29" t="str">
        <f>IF(OR($B119="",$A119&lt;=6),"",--MID('Key Analysis'!$C115,$A119-6,1))</f>
        <v/>
      </c>
      <c r="J119" s="29" t="str">
        <f>IF(OR($B119="",$A119&lt;=7),"",--MID('Key Analysis'!$C115,$A119-7,1))</f>
        <v/>
      </c>
      <c r="K119" s="29" t="str">
        <f>IF(OR($B119="",$A119&lt;=8),"",--MID('Key Analysis'!$C115,$A119-8,1))</f>
        <v/>
      </c>
      <c r="L119" s="29" t="str">
        <f>IF(OR($B119="",$A119&lt;=9),"",--MID('Key Analysis'!$C115,$A119-9,1))</f>
        <v/>
      </c>
      <c r="M119" s="29" t="str">
        <f>IF(OR($B119="",$A119&lt;=10),"",--MID('Key Analysis'!$C115,$A119-10,1))</f>
        <v/>
      </c>
      <c r="N119" s="29" t="str">
        <f>IF(OR($B119="",$A119&lt;=11),"",--MID('Key Analysis'!$C115,$A119-11,1))</f>
        <v/>
      </c>
      <c r="O119" s="29" t="str">
        <f>IF(OR($B119="",$A119&lt;=12),"",--MID('Key Analysis'!$C115,$A119-12,1))</f>
        <v/>
      </c>
      <c r="P119" s="29" t="str">
        <f>IF(OR($B119="",$A119&lt;=13),"",--MID('Key Analysis'!$C115,$A119-13,1))</f>
        <v/>
      </c>
      <c r="Q119" s="29" t="str">
        <f>IF(OR($B119="",$A119&lt;=14),"",--MID('Key Analysis'!$C115,$A119-14,1))</f>
        <v/>
      </c>
      <c r="R119" s="29" t="str">
        <f>IF(OR($B119="",$A119&lt;=15),"",--MID('Key Analysis'!$C115,$A119-15,1))</f>
        <v/>
      </c>
      <c r="S119" s="29" t="str">
        <f>IF(OR($B119="",$A119&lt;=16),"",--MID('Key Analysis'!$C115,$A119-16,1))</f>
        <v/>
      </c>
      <c r="T119" s="29" t="str">
        <f>IF(OR($B119="",$A119&lt;=17),"",--MID('Key Analysis'!$C115,$A119-17,1))</f>
        <v/>
      </c>
      <c r="U119" s="29" t="str">
        <f>IF(OR($B119="",$A119&lt;=18),"",--MID('Key Analysis'!$C115,$A119-18,1))</f>
        <v/>
      </c>
      <c r="V119" s="29" t="str">
        <f>IF(OR($B119="",$A119&lt;=19),"",--MID('Key Analysis'!$C115,$A119-19,1))</f>
        <v/>
      </c>
      <c r="W119" s="29" t="str">
        <f>IF(OR($B119="",$A119&lt;=20),"",--MID('Key Analysis'!$C115,$A119-20,1))</f>
        <v/>
      </c>
      <c r="X119" s="29" t="str">
        <f>IF(OR($B119="",$A119&lt;=21),"",--MID('Key Analysis'!$C115,$A119-21,1))</f>
        <v/>
      </c>
      <c r="Y119" s="29" t="str">
        <f>IF(OR($B119="",$A119&lt;=22),"",--MID('Key Analysis'!$C115,$A119-22,1))</f>
        <v/>
      </c>
      <c r="Z119" s="29" t="str">
        <f>IF(OR($B119="",$A119&lt;=23),"",--MID('Key Analysis'!$C115,$A119-23,1))</f>
        <v/>
      </c>
      <c r="AA119" s="29" t="str">
        <f>IF(OR($B119="",$A119&lt;=24),"",--MID('Key Analysis'!$C115,$A119-24,1))</f>
        <v/>
      </c>
      <c r="AB119" s="29" t="str">
        <f>IF(OR($B119="",$A119&lt;=25),"",--MID('Key Analysis'!$C115,$A119-25,1))</f>
        <v/>
      </c>
      <c r="AC119" s="29" t="str">
        <f>IF(OR($B119="",$A119&lt;=26),"",--MID('Key Analysis'!$C115,$A119-26,1))</f>
        <v/>
      </c>
      <c r="AD119" s="29" t="str">
        <f>IF(OR($B119="",$A119&lt;=27),"",--MID('Key Analysis'!$C115,$A119-27,1))</f>
        <v/>
      </c>
      <c r="AE119" s="29" t="str">
        <f>IF(OR($B119="",$A119&lt;=28),"",--MID('Key Analysis'!$C115,$A119-28,1))</f>
        <v/>
      </c>
      <c r="AF119" s="29" t="str">
        <f>IF(OR($B119="",$A119&lt;=29),"",--MID('Key Analysis'!$C115,$A119-29,1))</f>
        <v/>
      </c>
      <c r="AG119" s="29" t="str">
        <f>IF(OR($B119="",$A119&lt;=30),"",--MID('Key Analysis'!$C115,$A119-30,1))</f>
        <v/>
      </c>
      <c r="AH119" s="29" t="str">
        <f>IF(OR($B119="",$A119&lt;=31),"",--MID('Key Analysis'!$C115,$A119-31,1))</f>
        <v/>
      </c>
      <c r="AI119" s="29" t="str">
        <f>IF(OR($B119="",$A119&lt;=32),"",--MID('Key Analysis'!$C115,$A119-32,1))</f>
        <v/>
      </c>
      <c r="AJ119" s="29" t="str">
        <f>IF(OR($B119="",$A119&lt;=33),"",--MID('Key Analysis'!$C115,$A119-33,1))</f>
        <v/>
      </c>
      <c r="AK119" s="29" t="str">
        <f>IF(OR($B119="",$A119&lt;=34),"",--MID('Key Analysis'!$C115,$A119-34,1))</f>
        <v/>
      </c>
      <c r="AL119" s="29" t="str">
        <f>IF(OR($B119="",$A119&lt;=35),"",--MID('Key Analysis'!$C115,$A119-35,1))</f>
        <v/>
      </c>
      <c r="AM119" s="29" t="str">
        <f>IF(OR($B119="",$A119&lt;=36),"",--MID('Key Analysis'!$C115,$A119-36,1))</f>
        <v/>
      </c>
      <c r="AN119" s="29" t="str">
        <f>IF(OR($B119="",$A119&lt;=37),"",--MID('Key Analysis'!$C115,$A119-37,1))</f>
        <v/>
      </c>
      <c r="AO119" s="29" t="str">
        <f>IF(OR($B119="",$A119&lt;=38),"",--MID('Key Analysis'!$C115,$A119-38,1))</f>
        <v/>
      </c>
      <c r="AP119" s="29" t="str">
        <f>IF(OR($B119="",$A119&lt;=39),"",--MID('Key Analysis'!$C115,$A119-39,1))</f>
        <v/>
      </c>
      <c r="AQ119" s="29" t="str">
        <f>IF(OR($B119="",$A119&lt;=40),"",--MID('Key Analysis'!$C115,$A119-40,1))</f>
        <v/>
      </c>
      <c r="AR119" s="29" t="str">
        <f>IF(OR($B119="",$A119&lt;=41),"",--MID('Key Analysis'!$C115,$A119-41,1))</f>
        <v/>
      </c>
      <c r="AS119" s="29" t="str">
        <f>IF(OR($B119="",$A119&lt;=42),"",--MID('Key Analysis'!$C115,$A119-42,1))</f>
        <v/>
      </c>
      <c r="AT119" s="29" t="str">
        <f>IF(OR($B119="",$A119&lt;=43),"",--MID('Key Analysis'!$C115,$A119-43,1))</f>
        <v/>
      </c>
      <c r="AU119" s="29" t="str">
        <f>IF(OR($B119="",$A119&lt;=44),"",--MID('Key Analysis'!$C115,$A119-44,1))</f>
        <v/>
      </c>
      <c r="AV119" s="29" t="str">
        <f>IF(OR($B119="",$A119&lt;=45),"",--MID('Key Analysis'!$C115,$A119-45,1))</f>
        <v/>
      </c>
      <c r="AW119" s="29" t="str">
        <f>IF(OR($B119="",$A119&lt;=46),"",--MID('Key Analysis'!$C115,$A119-46,1))</f>
        <v/>
      </c>
      <c r="AX119" s="29" t="str">
        <f>IF(OR($B119="",$A119&lt;=47),"",--MID('Key Analysis'!$C115,$A119-47,1))</f>
        <v/>
      </c>
      <c r="AY119" s="29" t="str">
        <f>IF(OR($B119="",$A119&lt;=48),"",--MID('Key Analysis'!$C115,$A119-48,1))</f>
        <v/>
      </c>
      <c r="AZ119" s="29" t="str">
        <f>IF(OR($B119="",$A119&lt;=49),"",--MID('Key Analysis'!$C115,$A119-49,1))</f>
        <v/>
      </c>
      <c r="BA119" s="29" t="str">
        <f>IF(OR($B119="",$A119&lt;=50),"",--MID('Key Analysis'!$C115,$A119-50,1))</f>
        <v/>
      </c>
      <c r="BB119" s="29" t="str">
        <f>IF(OR($B119="",$A119&lt;=51),"",--MID('Key Analysis'!$C115,$A119-51,1))</f>
        <v/>
      </c>
      <c r="BC119" s="29" t="str">
        <f>IF(OR($B119="",$A119&lt;=52),"",--MID('Key Analysis'!$C115,$A119-52,1))</f>
        <v/>
      </c>
      <c r="BD119" s="29" t="str">
        <f>IF(OR($B119="",$A119&lt;=53),"",--MID('Key Analysis'!$C115,$A119-53,1))</f>
        <v/>
      </c>
      <c r="BE119" s="29" t="str">
        <f>IF(OR($B119="",$A119&lt;=54),"",--MID('Key Analysis'!$C115,$A119-54,1))</f>
        <v/>
      </c>
      <c r="BF119" s="29" t="str">
        <f>IF(OR($B119="",$A119&lt;=55),"",--MID('Key Analysis'!$C115,$A119-55,1))</f>
        <v/>
      </c>
      <c r="BG119" s="29" t="str">
        <f>IF(OR($B119="",$A119&lt;=56),"",--MID('Key Analysis'!$C115,$A119-56,1))</f>
        <v/>
      </c>
      <c r="BH119" s="29" t="str">
        <f>IF(OR($B119="",$A119&lt;=57),"",--MID('Key Analysis'!$C115,$A119-57,1))</f>
        <v/>
      </c>
      <c r="BI119" s="29" t="str">
        <f>IF(OR($B119="",$A119&lt;=58),"",--MID('Key Analysis'!$C115,$A119-58,1))</f>
        <v/>
      </c>
      <c r="BJ119" s="29" t="str">
        <f>IF(OR($B119="",$A119&lt;=59),"",--MID('Key Analysis'!$C115,$A119-59,1))</f>
        <v/>
      </c>
      <c r="BK119" s="29" t="str">
        <f>IF(OR($B119="",$A119&lt;=60),"",--MID('Key Analysis'!$C115,$A119-60,1))</f>
        <v/>
      </c>
      <c r="BL119" s="29" t="str">
        <f>IF(OR($B119="",$A119&lt;=61),"",--MID('Key Analysis'!$C115,$A119-61,1))</f>
        <v/>
      </c>
      <c r="BM119" s="29" t="str">
        <f>IF(OR($B119="",$A119&lt;=62),"",--MID('Key Analysis'!$C115,$A119-62,1))</f>
        <v/>
      </c>
      <c r="BN119" s="29" t="str">
        <f>IF(OR($B119="",$A119&lt;=63),"",--MID('Key Analysis'!$C115,$A119-63,1))</f>
        <v/>
      </c>
      <c r="BO119" s="29" t="str">
        <f>IF(OR($B119="",$A119&lt;=64),"",--MID('Key Analysis'!$C115,$A119-64,1))</f>
        <v/>
      </c>
      <c r="BP119" s="29" t="str">
        <f>IF(OR($B119="",$A119&lt;=65),"",--MID('Key Analysis'!$C115,$A119-65,1))</f>
        <v/>
      </c>
      <c r="BQ119" s="29" t="str">
        <f>IF(OR($B119="",$A119&lt;=66),"",--MID('Key Analysis'!$C115,$A119-66,1))</f>
        <v/>
      </c>
      <c r="BR119" s="29" t="str">
        <f>IF(OR($B119="",$A119&lt;=67),"",--MID('Key Analysis'!$C115,$A119-67,1))</f>
        <v/>
      </c>
      <c r="BS119" s="29" t="str">
        <f>IF(OR($B119="",$A119&lt;=68),"",--MID('Key Analysis'!$C115,$A119-68,1))</f>
        <v/>
      </c>
      <c r="BT119" s="29" t="str">
        <f>IF(OR($B119="",$A119&lt;=69),"",--MID('Key Analysis'!$C115,$A119-69,1))</f>
        <v/>
      </c>
      <c r="BU119" s="29" t="str">
        <f>IF(OR($B119="",$A119&lt;=70),"",--MID('Key Analysis'!$C115,$A119-70,1))</f>
        <v/>
      </c>
      <c r="BV119" s="29" t="str">
        <f>IF(OR($B119="",$A119&lt;=71),"",--MID('Key Analysis'!$C115,$A119-71,1))</f>
        <v/>
      </c>
      <c r="BW119" s="29" t="str">
        <f>IF(OR($B119="",$A119&lt;=72),"",--MID('Key Analysis'!$C115,$A119-72,1))</f>
        <v/>
      </c>
      <c r="BX119" s="29" t="str">
        <f>IF(OR($B119="",$A119&lt;=73),"",--MID('Key Analysis'!$C115,$A119-73,1))</f>
        <v/>
      </c>
      <c r="BY119" s="29" t="str">
        <f>IF(OR($B119="",$A119&lt;=74),"",--MID('Key Analysis'!$C115,$A119-74,1))</f>
        <v/>
      </c>
      <c r="BZ119" s="29" t="str">
        <f>IF(OR($B119="",$A119&lt;=75),"",--MID('Key Analysis'!$C115,$A119-75,1))</f>
        <v/>
      </c>
      <c r="CA119" s="29" t="str">
        <f>IF(OR($B119="",$A119&lt;=76),"",--MID('Key Analysis'!$C115,$A119-76,1))</f>
        <v/>
      </c>
      <c r="CB119" s="29" t="str">
        <f>IF(OR($B119="",$A119&lt;=77),"",--MID('Key Analysis'!$C115,$A119-77,1))</f>
        <v/>
      </c>
      <c r="CC119" s="29" t="str">
        <f>IF(OR($B119="",$A119&lt;=78),"",--MID('Key Analysis'!$C115,$A119-78,1))</f>
        <v/>
      </c>
      <c r="CD119" s="29" t="str">
        <f>IF(OR($B119="",$A119&lt;=79),"",--MID('Key Analysis'!$C115,$A119-79,1))</f>
        <v/>
      </c>
      <c r="CE119" s="29" t="str">
        <f>IF(OR($B119="",$A119&lt;=80),"",--MID('Key Analysis'!$C115,$A119-80,1))</f>
        <v/>
      </c>
      <c r="CF119" s="29" t="str">
        <f>IF(OR($B119="",$A119&lt;=81),"",--MID('Key Analysis'!$C115,$A119-81,1))</f>
        <v/>
      </c>
      <c r="CG119" s="29" t="str">
        <f>IF(OR($B119="",$A119&lt;=82),"",--MID('Key Analysis'!$C115,$A119-82,1))</f>
        <v/>
      </c>
      <c r="CH119" s="29" t="str">
        <f>IF(OR($B119="",$A119&lt;=83),"",--MID('Key Analysis'!$C115,$A119-83,1))</f>
        <v/>
      </c>
      <c r="CI119" s="29" t="str">
        <f>IF(OR($B119="",$A119&lt;=84),"",--MID('Key Analysis'!$C115,$A119-84,1))</f>
        <v/>
      </c>
      <c r="CJ119" s="29" t="str">
        <f>IF(OR($B119="",$A119&lt;=85),"",--MID('Key Analysis'!$C115,$A119-85,1))</f>
        <v/>
      </c>
      <c r="CK119" s="29" t="str">
        <f>IF(OR($B119="",$A119&lt;=86),"",--MID('Key Analysis'!$C115,$A119-86,1))</f>
        <v/>
      </c>
      <c r="CL119" s="29" t="str">
        <f>IF(OR($B119="",$A119&lt;=87),"",--MID('Key Analysis'!$C115,$A119-87,1))</f>
        <v/>
      </c>
      <c r="CM119" s="29" t="str">
        <f>IF(OR($B119="",$A119&lt;=88),"",--MID('Key Analysis'!$C115,$A119-88,1))</f>
        <v/>
      </c>
      <c r="CN119" s="29" t="str">
        <f>IF(OR($B119="",$A119&lt;=89),"",--MID('Key Analysis'!$C115,$A119-89,1))</f>
        <v/>
      </c>
      <c r="CO119" s="29" t="str">
        <f>IF(OR($B119="",$A119&lt;=90),"",--MID('Key Analysis'!$C115,$A119-90,1))</f>
        <v/>
      </c>
      <c r="CP119" s="29" t="str">
        <f>IF(OR($B119="",$A119&lt;=91),"",--MID('Key Analysis'!$C115,$A119-91,1))</f>
        <v/>
      </c>
      <c r="CQ119" s="29" t="str">
        <f>IF(OR($B119="",$A119&lt;=92),"",--MID('Key Analysis'!$C115,$A119-92,1))</f>
        <v/>
      </c>
      <c r="CR119" s="29" t="str">
        <f>IF(OR($B119="",$A119&lt;=93),"",--MID('Key Analysis'!$C115,$A119-93,1))</f>
        <v/>
      </c>
      <c r="CS119" s="29" t="str">
        <f>IF(OR($B119="",$A119&lt;=94),"",--MID('Key Analysis'!$C115,$A119-94,1))</f>
        <v/>
      </c>
      <c r="CT119" s="29" t="str">
        <f>IF(OR($B119="",$A119&lt;=95),"",--MID('Key Analysis'!$C115,$A119-95,1))</f>
        <v/>
      </c>
      <c r="CU119" s="29" t="str">
        <f>IF(OR($B119="",$A119&lt;=96),"",--MID('Key Analysis'!$C115,$A119-96,1))</f>
        <v/>
      </c>
      <c r="CV119" s="29" t="str">
        <f>IF(OR($B119="",$A119&lt;=97),"",--MID('Key Analysis'!$C115,$A119-97,1))</f>
        <v/>
      </c>
      <c r="CW119" s="29" t="str">
        <f>IF(OR($B119="",$A119&lt;=98),"",--MID('Key Analysis'!$C115,$A119-98,1))</f>
        <v/>
      </c>
      <c r="CX119" s="29" t="str">
        <f>IF(OR($B119="",$A119&lt;=99),"",--MID('Key Analysis'!$C115,$A119-99,1))</f>
        <v/>
      </c>
      <c r="CY119" s="29" t="str">
        <f>IF(OR($B119="",$A119&lt;=100),"",--MID('Key Analysis'!$C115,$A119-100,1))</f>
        <v/>
      </c>
      <c r="CZ119" s="29" t="str">
        <f>IF(OR($B119="",$A119&lt;=101),"",--MID('Key Analysis'!$C115,$A119-101,1))</f>
        <v/>
      </c>
      <c r="DA119" s="29" t="str">
        <f>IF(OR($B119="",$A119&lt;=102),"",--MID('Key Analysis'!$C115,$A119-102,1))</f>
        <v/>
      </c>
      <c r="DB119" s="29" t="str">
        <f>IF(OR($B119="",$A119&lt;=103),"",--MID('Key Analysis'!$C115,$A119-103,1))</f>
        <v/>
      </c>
      <c r="DC119" s="29" t="str">
        <f>IF(OR($B119="",$A119&lt;=104),"",--MID('Key Analysis'!$C115,$A119-104,1))</f>
        <v/>
      </c>
      <c r="DD119" s="29" t="str">
        <f>IF(OR($B119="",$A119&lt;=105),"",--MID('Key Analysis'!$C115,$A119-105,1))</f>
        <v/>
      </c>
      <c r="DE119" s="29" t="str">
        <f>IF(OR($B119="",$A119&lt;=106),"",--MID('Key Analysis'!$C115,$A119-106,1))</f>
        <v/>
      </c>
      <c r="DF119" s="29" t="str">
        <f>IF(OR($B119="",$A119&lt;=107),"",--MID('Key Analysis'!$C115,$A119-107,1))</f>
        <v/>
      </c>
      <c r="DG119" s="29" t="str">
        <f>IF(OR($B119="",$A119&lt;=108),"",--MID('Key Analysis'!$C115,$A119-108,1))</f>
        <v/>
      </c>
      <c r="DH119" s="29" t="str">
        <f>IF(OR($B119="",$A119&lt;=109),"",--MID('Key Analysis'!$C115,$A119-109,1))</f>
        <v/>
      </c>
      <c r="DI119" s="29" t="str">
        <f>IF(OR($B119="",$A119&lt;=110),"",--MID('Key Analysis'!$C115,$A119-110,1))</f>
        <v/>
      </c>
      <c r="DJ119" s="29" t="str">
        <f>IF(OR($B119="",$A119&lt;=111),"",--MID('Key Analysis'!$C115,$A119-111,1))</f>
        <v/>
      </c>
      <c r="DK119" s="29" t="str">
        <f>IF(OR($B119="",$A119&lt;=112),"",--MID('Key Analysis'!$C115,$A119-112,1))</f>
        <v/>
      </c>
      <c r="DL119" s="29" t="str">
        <f>IF(OR($B119="",$A119&lt;=113),"",--MID('Key Analysis'!$C115,$A119-113,1))</f>
        <v/>
      </c>
      <c r="DM119" s="29" t="str">
        <f>IF(OR($B119="",$A119&lt;=114),"",--MID('Key Analysis'!$C115,$A119-114,1))</f>
        <v/>
      </c>
      <c r="DN119" s="29" t="str">
        <f>IF(OR($B119="",$A119&lt;=115),"",--MID('Key Analysis'!$C115,$A119-115,1))</f>
        <v/>
      </c>
      <c r="DO119" s="29" t="str">
        <f>IF(OR($B119="",$A119&lt;=116),"",--MID('Key Analysis'!$C115,$A119-116,1))</f>
        <v/>
      </c>
      <c r="DP119" s="29" t="str">
        <f>IF(OR($B119="",$A119&lt;=117),"",--MID('Key Analysis'!$C115,$A119-117,1))</f>
        <v/>
      </c>
      <c r="DQ119" s="29" t="str">
        <f>IF(OR($B119="",$A119&lt;=118),"",--MID('Key Analysis'!$C115,$A119-118,1))</f>
        <v/>
      </c>
      <c r="DR119" s="29" t="str">
        <f>IF(OR($B119="",$A119&lt;=119),"",--MID('Key Analysis'!$C115,$A119-119,1))</f>
        <v/>
      </c>
      <c r="DS119" s="29" t="str">
        <f>IF(OR($B119="",$A119&lt;=120),"",--MID('Key Analysis'!$C115,$A119-120,1))</f>
        <v/>
      </c>
      <c r="DT119" s="29" t="str">
        <f>IF(OR($B119="",$A119&lt;=121),"",--MID('Key Analysis'!$C115,$A119-121,1))</f>
        <v/>
      </c>
      <c r="DU119" s="29" t="str">
        <f>IF(OR($B119="",$A119&lt;=122),"",--MID('Key Analysis'!$C115,$A119-122,1))</f>
        <v/>
      </c>
      <c r="DV119" s="29" t="str">
        <f>IF(OR($B119="",$A119&lt;=123),"",--MID('Key Analysis'!$C115,$A119-123,1))</f>
        <v/>
      </c>
      <c r="DW119" s="29" t="str">
        <f>IF(OR($B119="",$A119&lt;=124),"",--MID('Key Analysis'!$C115,$A119-124,1))</f>
        <v/>
      </c>
      <c r="DX119" s="29" t="str">
        <f>IF(OR($B119="",$A119&lt;=125),"",--MID('Key Analysis'!$C115,$A119-125,1))</f>
        <v/>
      </c>
      <c r="DY119" s="29" t="str">
        <f>IF(OR($B119="",$A119&lt;=126),"",--MID('Key Analysis'!$C115,$A119-126,1))</f>
        <v/>
      </c>
      <c r="DZ119" s="29" t="str">
        <f>IF(OR($B119="",$A119&lt;=127),"",--MID('Key Analysis'!$C115,$A119-127,1))</f>
        <v/>
      </c>
      <c r="EA119" s="29" t="str">
        <f>IF(OR($B119="",$A119&lt;=128),"",--MID('Key Analysis'!$C115,$A119-128,1))</f>
        <v/>
      </c>
      <c r="EB119" s="29" t="str">
        <f>IF(OR($B119="",$A119&lt;=129),"",--MID('Key Analysis'!$C115,$A119-129,1))</f>
        <v/>
      </c>
      <c r="EC119" s="29" t="str">
        <f>IF(OR($B119="",$A119&lt;=130),"",--MID('Key Analysis'!$C115,$A119-130,1))</f>
        <v/>
      </c>
      <c r="ED119" s="29" t="str">
        <f>IF(OR($B119="",$A119&lt;=131),"",--MID('Key Analysis'!$C115,$A119-131,1))</f>
        <v/>
      </c>
      <c r="EE119" s="29" t="str">
        <f>IF(OR($B119="",$A119&lt;=132),"",--MID('Key Analysis'!$C115,$A119-132,1))</f>
        <v/>
      </c>
      <c r="EF119" s="29" t="str">
        <f>IF(OR($B119="",$A119&lt;=133),"",--MID('Key Analysis'!$C115,$A119-133,1))</f>
        <v/>
      </c>
      <c r="EG119" s="29" t="str">
        <f>IF(OR($B119="",$A119&lt;=134),"",--MID('Key Analysis'!$C115,$A119-134,1))</f>
        <v/>
      </c>
      <c r="EH119" s="29"/>
      <c r="EI119" s="29" t="str">
        <f>IF(OR($B119="",$A119&lt;1),"",--MID('Key Analysis'!$C115,1,1))</f>
        <v/>
      </c>
      <c r="EJ119" s="29" t="str">
        <f>IF(OR($B119="",$A119&lt;2),"",--MID('Key Analysis'!$C115,2,1))</f>
        <v/>
      </c>
      <c r="EK119" s="29" t="str">
        <f>IF(OR($B119="",$A119&lt;3),"",--MID('Key Analysis'!$C115,3,1))</f>
        <v/>
      </c>
      <c r="EL119" s="29" t="str">
        <f>IF(OR($B119="",$A119&lt;4),"",--MID('Key Analysis'!$C115,4,1))</f>
        <v/>
      </c>
      <c r="EM119" s="29" t="str">
        <f>IF(OR($B119="",$A119&lt;5),"",--MID('Key Analysis'!$C115,5,1))</f>
        <v/>
      </c>
      <c r="EN119" s="29" t="str">
        <f>IF(OR($B119="",$A119&lt;6),"",--MID('Key Analysis'!$C115,6,1))</f>
        <v/>
      </c>
      <c r="EO119" s="29" t="str">
        <f>IF(OR($B119="",$A119&lt;7),"",--MID('Key Analysis'!$C115,7,1))</f>
        <v/>
      </c>
      <c r="EP119" s="29" t="str">
        <f>IF(OR($B119="",$A119&lt;8),"",--MID('Key Analysis'!$C115,8,1))</f>
        <v/>
      </c>
      <c r="EQ119" s="29" t="str">
        <f>IF(OR($B119="",$A119&lt;9),"",--MID('Key Analysis'!$C115,9,1))</f>
        <v/>
      </c>
      <c r="ER119" s="29" t="str">
        <f>IF(OR($B119="",$A119&lt;10),"",--MID('Key Analysis'!$C115,10,1))</f>
        <v/>
      </c>
      <c r="ES119" s="29" t="str">
        <f>IF(OR($B119="",$A119&lt;11),"",--MID('Key Analysis'!$C115,11,1))</f>
        <v/>
      </c>
      <c r="ET119" s="29" t="str">
        <f>IF(OR($B119="",$A119&lt;12),"",--MID('Key Analysis'!$C115,12,1))</f>
        <v/>
      </c>
      <c r="EU119" s="29" t="str">
        <f>IF(OR($B119="",$A119&lt;13),"",--MID('Key Analysis'!$C115,13,1))</f>
        <v/>
      </c>
      <c r="EV119" s="29" t="str">
        <f>IF(OR($B119="",$A119&lt;14),"",--MID('Key Analysis'!$C115,14,1))</f>
        <v/>
      </c>
      <c r="EW119" s="29" t="str">
        <f>IF(OR($B119="",$A119&lt;15),"",--MID('Key Analysis'!$C115,15,1))</f>
        <v/>
      </c>
      <c r="EX119" s="29" t="str">
        <f>IF(OR($B119="",$A119&lt;16),"",--MID('Key Analysis'!$C115,16,1))</f>
        <v/>
      </c>
      <c r="EY119" s="29" t="str">
        <f>IF(OR($B119="",$A119&lt;17),"",--MID('Key Analysis'!$C115,17,1))</f>
        <v/>
      </c>
      <c r="EZ119" s="29" t="str">
        <f>IF(OR($B119="",$A119&lt;18),"",--MID('Key Analysis'!$C115,18,1))</f>
        <v/>
      </c>
      <c r="FA119" s="29" t="str">
        <f>IF(OR($B119="",$A119&lt;19),"",--MID('Key Analysis'!$C115,19,1))</f>
        <v/>
      </c>
      <c r="FB119" s="29" t="str">
        <f>IF(OR($B119="",$A119&lt;20),"",--MID('Key Analysis'!$C115,20,1))</f>
        <v/>
      </c>
      <c r="FC119" s="29" t="str">
        <f>IF(OR($B119="",$A119&lt;21),"",--MID('Key Analysis'!$C115,21,1))</f>
        <v/>
      </c>
      <c r="FD119" s="29" t="str">
        <f>IF(OR($B119="",$A119&lt;22),"",--MID('Key Analysis'!$C115,22,1))</f>
        <v/>
      </c>
      <c r="FE119" s="29" t="str">
        <f>IF(OR($B119="",$A119&lt;23),"",--MID('Key Analysis'!$C115,23,1))</f>
        <v/>
      </c>
      <c r="FF119" s="29" t="str">
        <f>IF(OR($B119="",$A119&lt;24),"",--MID('Key Analysis'!$C115,24,1))</f>
        <v/>
      </c>
      <c r="FG119" s="29" t="str">
        <f>IF(OR($B119="",$A119&lt;25),"",--MID('Key Analysis'!$C115,25,1))</f>
        <v/>
      </c>
      <c r="FH119" s="29" t="str">
        <f>IF(OR($B119="",$A119&lt;26),"",--MID('Key Analysis'!$C115,26,1))</f>
        <v/>
      </c>
      <c r="FI119" s="29" t="str">
        <f>IF(OR($B119="",$A119&lt;27),"",--MID('Key Analysis'!$C115,27,1))</f>
        <v/>
      </c>
      <c r="FJ119" s="29" t="str">
        <f>IF(OR($B119="",$A119&lt;28),"",--MID('Key Analysis'!$C115,28,1))</f>
        <v/>
      </c>
      <c r="FK119" s="29" t="str">
        <f>IF(OR($B119="",$A119&lt;29),"",--MID('Key Analysis'!$C115,29,1))</f>
        <v/>
      </c>
      <c r="FL119" s="29" t="str">
        <f>IF(OR($B119="",$A119&lt;30),"",--MID('Key Analysis'!$C115,30,1))</f>
        <v/>
      </c>
      <c r="FM119" s="29" t="str">
        <f>IF(OR($B119="",$A119&lt;31),"",--MID('Key Analysis'!$C115,31,1))</f>
        <v/>
      </c>
      <c r="FN119" s="29" t="str">
        <f>IF(OR($B119="",$A119&lt;32),"",--MID('Key Analysis'!$C115,32,1))</f>
        <v/>
      </c>
      <c r="FO119" s="29" t="str">
        <f>IF(OR($B119="",$A119&lt;33),"",--MID('Key Analysis'!$C115,33,1))</f>
        <v/>
      </c>
      <c r="FP119" s="29" t="str">
        <f>IF(OR($B119="",$A119&lt;34),"",--MID('Key Analysis'!$C115,34,1))</f>
        <v/>
      </c>
      <c r="FQ119" s="29" t="str">
        <f>IF(OR($B119="",$A119&lt;35),"",--MID('Key Analysis'!$C115,35,1))</f>
        <v/>
      </c>
      <c r="FR119" s="29" t="str">
        <f>IF(OR($B119="",$A119&lt;36),"",--MID('Key Analysis'!$C115,36,1))</f>
        <v/>
      </c>
      <c r="FS119" s="29" t="str">
        <f>IF(OR($B119="",$A119&lt;37),"",--MID('Key Analysis'!$C115,37,1))</f>
        <v/>
      </c>
      <c r="FT119" s="29" t="str">
        <f>IF(OR($B119="",$A119&lt;38),"",--MID('Key Analysis'!$C115,38,1))</f>
        <v/>
      </c>
      <c r="FU119" s="29" t="str">
        <f>IF(OR($B119="",$A119&lt;39),"",--MID('Key Analysis'!$C115,39,1))</f>
        <v/>
      </c>
      <c r="FV119" s="29" t="str">
        <f>IF(OR($B119="",$A119&lt;40),"",--MID('Key Analysis'!$C115,40,1))</f>
        <v/>
      </c>
      <c r="FW119" s="29" t="str">
        <f>IF(OR($B119="",$A119&lt;41),"",--MID('Key Analysis'!$C115,41,1))</f>
        <v/>
      </c>
      <c r="FX119" s="29" t="str">
        <f>IF(OR($B119="",$A119&lt;42),"",--MID('Key Analysis'!$C115,42,1))</f>
        <v/>
      </c>
      <c r="FY119" s="29" t="str">
        <f>IF(OR($B119="",$A119&lt;43),"",--MID('Key Analysis'!$C115,43,1))</f>
        <v/>
      </c>
      <c r="FZ119" s="29" t="str">
        <f>IF(OR($B119="",$A119&lt;44),"",--MID('Key Analysis'!$C115,44,1))</f>
        <v/>
      </c>
      <c r="GA119" s="29" t="str">
        <f>IF(OR($B119="",$A119&lt;45),"",--MID('Key Analysis'!$C115,45,1))</f>
        <v/>
      </c>
      <c r="GB119" s="29" t="str">
        <f>IF(OR($B119="",$A119&lt;46),"",--MID('Key Analysis'!$C115,46,1))</f>
        <v/>
      </c>
      <c r="GC119" s="29" t="str">
        <f>IF(OR($B119="",$A119&lt;47),"",--MID('Key Analysis'!$C115,47,1))</f>
        <v/>
      </c>
      <c r="GD119" s="29" t="str">
        <f>IF(OR($B119="",$A119&lt;48),"",--MID('Key Analysis'!$C115,48,1))</f>
        <v/>
      </c>
      <c r="GE119" s="29" t="str">
        <f>IF(OR($B119="",$A119&lt;49),"",--MID('Key Analysis'!$C115,49,1))</f>
        <v/>
      </c>
      <c r="GF119" s="29" t="str">
        <f>IF(OR($B119="",$A119&lt;50),"",--MID('Key Analysis'!$C115,50,1))</f>
        <v/>
      </c>
      <c r="GG119" s="29" t="str">
        <f>IF(OR($B119="",$A119&lt;51),"",--MID('Key Analysis'!$C115,51,1))</f>
        <v/>
      </c>
      <c r="GH119" s="29" t="str">
        <f>IF(OR($B119="",$A119&lt;52),"",--MID('Key Analysis'!$C115,52,1))</f>
        <v/>
      </c>
      <c r="GI119" s="29" t="str">
        <f>IF(OR($B119="",$A119&lt;53),"",--MID('Key Analysis'!$C115,53,1))</f>
        <v/>
      </c>
      <c r="GJ119" s="29" t="str">
        <f>IF(OR($B119="",$A119&lt;54),"",--MID('Key Analysis'!$C115,54,1))</f>
        <v/>
      </c>
      <c r="GK119" s="29" t="str">
        <f>IF(OR($B119="",$A119&lt;55),"",--MID('Key Analysis'!$C115,55,1))</f>
        <v/>
      </c>
      <c r="GL119" s="29" t="str">
        <f>IF(OR($B119="",$A119&lt;56),"",--MID('Key Analysis'!$C115,56,1))</f>
        <v/>
      </c>
      <c r="GM119" s="29" t="str">
        <f>IF(OR($B119="",$A119&lt;57),"",--MID('Key Analysis'!$C115,57,1))</f>
        <v/>
      </c>
      <c r="GN119" s="29" t="str">
        <f>IF(OR($B119="",$A119&lt;58),"",--MID('Key Analysis'!$C115,58,1))</f>
        <v/>
      </c>
      <c r="GO119" s="29" t="str">
        <f>IF(OR($B119="",$A119&lt;59),"",--MID('Key Analysis'!$C115,59,1))</f>
        <v/>
      </c>
      <c r="GP119" s="29" t="str">
        <f>IF(OR($B119="",$A119&lt;60),"",--MID('Key Analysis'!$C115,60,1))</f>
        <v/>
      </c>
      <c r="GQ119" s="29" t="str">
        <f>IF(OR($B119="",$A119&lt;61),"",--MID('Key Analysis'!$C115,61,1))</f>
        <v/>
      </c>
      <c r="GR119" s="29" t="str">
        <f>IF(OR($B119="",$A119&lt;62),"",--MID('Key Analysis'!$C115,62,1))</f>
        <v/>
      </c>
      <c r="GS119" s="29" t="str">
        <f>IF(OR($B119="",$A119&lt;63),"",--MID('Key Analysis'!$C115,63,1))</f>
        <v/>
      </c>
      <c r="GT119" s="29" t="str">
        <f>IF(OR($B119="",$A119&lt;64),"",--MID('Key Analysis'!$C115,64,1))</f>
        <v/>
      </c>
      <c r="GU119" s="29" t="str">
        <f>IF(OR($B119="",$A119&lt;65),"",--MID('Key Analysis'!$C115,65,1))</f>
        <v/>
      </c>
      <c r="GV119" s="29" t="str">
        <f>IF(OR($B119="",$A119&lt;66),"",--MID('Key Analysis'!$C115,66,1))</f>
        <v/>
      </c>
      <c r="GW119" s="29" t="str">
        <f>IF(OR($B119="",$A119&lt;67),"",--MID('Key Analysis'!$C115,67,1))</f>
        <v/>
      </c>
      <c r="GX119" s="29" t="str">
        <f>IF(OR($B119="",$A119&lt;68),"",--MID('Key Analysis'!$C115,68,1))</f>
        <v/>
      </c>
      <c r="GY119" s="29" t="str">
        <f>IF(OR($B119="",$A119&lt;69),"",--MID('Key Analysis'!$C115,69,1))</f>
        <v/>
      </c>
      <c r="GZ119" s="29" t="str">
        <f>IF(OR($B119="",$A119&lt;70),"",--MID('Key Analysis'!$C115,70,1))</f>
        <v/>
      </c>
      <c r="HA119" s="29" t="str">
        <f>IF(OR($B119="",$A119&lt;71),"",--MID('Key Analysis'!$C115,71,1))</f>
        <v/>
      </c>
      <c r="HB119" s="29" t="str">
        <f>IF(OR($B119="",$A119&lt;72),"",--MID('Key Analysis'!$C115,72,1))</f>
        <v/>
      </c>
      <c r="HC119" s="29" t="str">
        <f>IF(OR($B119="",$A119&lt;73),"",--MID('Key Analysis'!$C115,73,1))</f>
        <v/>
      </c>
      <c r="HD119" s="29" t="str">
        <f>IF(OR($B119="",$A119&lt;74),"",--MID('Key Analysis'!$C115,74,1))</f>
        <v/>
      </c>
      <c r="HE119" s="29" t="str">
        <f>IF(OR($B119="",$A119&lt;75),"",--MID('Key Analysis'!$C115,75,1))</f>
        <v/>
      </c>
      <c r="HF119" s="29" t="str">
        <f>IF(OR($B119="",$A119&lt;76),"",--MID('Key Analysis'!$C115,76,1))</f>
        <v/>
      </c>
      <c r="HG119" s="29" t="str">
        <f>IF(OR($B119="",$A119&lt;77),"",--MID('Key Analysis'!$C115,77,1))</f>
        <v/>
      </c>
      <c r="HH119" s="29" t="str">
        <f>IF(OR($B119="",$A119&lt;78),"",--MID('Key Analysis'!$C115,78,1))</f>
        <v/>
      </c>
      <c r="HI119" s="29" t="str">
        <f>IF(OR($B119="",$A119&lt;79),"",--MID('Key Analysis'!$C115,79,1))</f>
        <v/>
      </c>
      <c r="HJ119" s="29" t="str">
        <f>IF(OR($B119="",$A119&lt;80),"",--MID('Key Analysis'!$C115,80,1))</f>
        <v/>
      </c>
      <c r="HK119" s="29" t="str">
        <f>IF(OR($B119="",$A119&lt;81),"",--MID('Key Analysis'!$C115,81,1))</f>
        <v/>
      </c>
      <c r="HL119" s="29" t="str">
        <f>IF(OR($B119="",$A119&lt;82),"",--MID('Key Analysis'!$C115,82,1))</f>
        <v/>
      </c>
      <c r="HM119" s="29" t="str">
        <f>IF(OR($B119="",$A119&lt;83),"",--MID('Key Analysis'!$C115,83,1))</f>
        <v/>
      </c>
      <c r="HN119" s="29" t="str">
        <f>IF(OR($B119="",$A119&lt;84),"",--MID('Key Analysis'!$C115,84,1))</f>
        <v/>
      </c>
      <c r="HO119" s="29" t="str">
        <f>IF(OR($B119="",$A119&lt;85),"",--MID('Key Analysis'!$C115,85,1))</f>
        <v/>
      </c>
      <c r="HP119" s="29" t="str">
        <f>IF(OR($B119="",$A119&lt;86),"",--MID('Key Analysis'!$C115,86,1))</f>
        <v/>
      </c>
      <c r="HQ119" s="29" t="str">
        <f>IF(OR($B119="",$A119&lt;87),"",--MID('Key Analysis'!$C115,87,1))</f>
        <v/>
      </c>
      <c r="HR119" s="29" t="str">
        <f>IF(OR($B119="",$A119&lt;88),"",--MID('Key Analysis'!$C115,88,1))</f>
        <v/>
      </c>
      <c r="HS119" s="29" t="str">
        <f>IF(OR($B119="",$A119&lt;89),"",--MID('Key Analysis'!$C115,89,1))</f>
        <v/>
      </c>
      <c r="HT119" s="29" t="str">
        <f>IF(OR($B119="",$A119&lt;90),"",--MID('Key Analysis'!$C115,90,1))</f>
        <v/>
      </c>
      <c r="HU119" s="29" t="str">
        <f>IF(OR($B119="",$A119&lt;91),"",--MID('Key Analysis'!$C115,91,1))</f>
        <v/>
      </c>
      <c r="HV119" s="29" t="str">
        <f>IF(OR($B119="",$A119&lt;92),"",--MID('Key Analysis'!$C115,92,1))</f>
        <v/>
      </c>
      <c r="HW119" s="29" t="str">
        <f>IF(OR($B119="",$A119&lt;93),"",--MID('Key Analysis'!$C115,93,1))</f>
        <v/>
      </c>
      <c r="HX119" s="29" t="str">
        <f>IF(OR($B119="",$A119&lt;94),"",--MID('Key Analysis'!$C115,94,1))</f>
        <v/>
      </c>
      <c r="HY119" s="29" t="str">
        <f>IF(OR($B119="",$A119&lt;95),"",--MID('Key Analysis'!$C115,95,1))</f>
        <v/>
      </c>
      <c r="HZ119" s="29" t="str">
        <f>IF(OR($B119="",$A119&lt;96),"",--MID('Key Analysis'!$C115,96,1))</f>
        <v/>
      </c>
      <c r="IA119" s="29" t="str">
        <f>IF(OR($B119="",$A119&lt;97),"",--MID('Key Analysis'!$C115,97,1))</f>
        <v/>
      </c>
      <c r="IB119" s="29" t="str">
        <f>IF(OR($B119="",$A119&lt;98),"",--MID('Key Analysis'!$C115,98,1))</f>
        <v/>
      </c>
      <c r="IC119" s="29" t="str">
        <f>IF(OR($B119="",$A119&lt;99),"",--MID('Key Analysis'!$C115,99,1))</f>
        <v/>
      </c>
      <c r="ID119" s="29" t="str">
        <f>IF(OR($B119="",$A119&lt;100),"",--MID('Key Analysis'!$C115,100,1))</f>
        <v/>
      </c>
      <c r="IE119" s="29" t="str">
        <f>IF(OR($B119="",$A119&lt;101),"",--MID('Key Analysis'!$C115,101,1))</f>
        <v/>
      </c>
      <c r="IF119" s="29" t="str">
        <f>IF(OR($B119="",$A119&lt;102),"",--MID('Key Analysis'!$C115,102,1))</f>
        <v/>
      </c>
      <c r="IG119" s="29" t="str">
        <f>IF(OR($B119="",$A119&lt;103),"",--MID('Key Analysis'!$C115,103,1))</f>
        <v/>
      </c>
      <c r="IH119" s="29" t="str">
        <f>IF(OR($B119="",$A119&lt;104),"",--MID('Key Analysis'!$C115,104,1))</f>
        <v/>
      </c>
      <c r="II119" s="29" t="str">
        <f>IF(OR($B119="",$A119&lt;105),"",--MID('Key Analysis'!$C115,105,1))</f>
        <v/>
      </c>
      <c r="IJ119" s="29" t="str">
        <f>IF(OR($B119="",$A119&lt;106),"",--MID('Key Analysis'!$C115,106,1))</f>
        <v/>
      </c>
      <c r="IK119" s="29" t="str">
        <f>IF(OR($B119="",$A119&lt;107),"",--MID('Key Analysis'!$C115,107,1))</f>
        <v/>
      </c>
      <c r="IL119" s="29" t="str">
        <f>IF(OR($B119="",$A119&lt;108),"",--MID('Key Analysis'!$C115,108,1))</f>
        <v/>
      </c>
      <c r="IM119" s="29" t="str">
        <f>IF(OR($B119="",$A119&lt;109),"",--MID('Key Analysis'!$C115,109,1))</f>
        <v/>
      </c>
      <c r="IN119" s="29" t="str">
        <f>IF(OR($B119="",$A119&lt;110),"",--MID('Key Analysis'!$C115,110,1))</f>
        <v/>
      </c>
      <c r="IO119" s="29" t="str">
        <f>IF(OR($B119="",$A119&lt;111),"",--MID('Key Analysis'!$C115,111,1))</f>
        <v/>
      </c>
      <c r="IP119" s="29" t="str">
        <f>IF(OR($B119="",$A119&lt;112),"",--MID('Key Analysis'!$C115,112,1))</f>
        <v/>
      </c>
      <c r="IQ119" s="29" t="str">
        <f>IF(OR($B119="",$A119&lt;113),"",--MID('Key Analysis'!$C115,113,1))</f>
        <v/>
      </c>
      <c r="IR119" s="29" t="str">
        <f>IF(OR($B119="",$A119&lt;114),"",--MID('Key Analysis'!$C115,114,1))</f>
        <v/>
      </c>
      <c r="IS119" s="29" t="str">
        <f>IF(OR($B119="",$A119&lt;115),"",--MID('Key Analysis'!$C115,115,1))</f>
        <v/>
      </c>
      <c r="IT119" s="29" t="str">
        <f>IF(OR($B119="",$A119&lt;116),"",--MID('Key Analysis'!$C115,116,1))</f>
        <v/>
      </c>
      <c r="IU119" s="29" t="str">
        <f>IF(OR($B119="",$A119&lt;117),"",--MID('Key Analysis'!$C115,117,1))</f>
        <v/>
      </c>
      <c r="IV119" s="29" t="str">
        <f>IF(OR($B119="",$A119&lt;118),"",--MID('Key Analysis'!$C115,118,1))</f>
        <v/>
      </c>
      <c r="IW119" s="29" t="str">
        <f>IF(OR($B119="",$A119&lt;119),"",--MID('Key Analysis'!$C115,119,1))</f>
        <v/>
      </c>
      <c r="IX119" s="29" t="str">
        <f>IF(OR($B119="",$A119&lt;120),"",--MID('Key Analysis'!$C115,120,1))</f>
        <v/>
      </c>
      <c r="IY119" s="29" t="str">
        <f>IF(OR($B119="",$A119&lt;121),"",--MID('Key Analysis'!$C115,121,1))</f>
        <v/>
      </c>
      <c r="IZ119" s="29" t="str">
        <f>IF(OR($B119="",$A119&lt;122),"",--MID('Key Analysis'!$C115,122,1))</f>
        <v/>
      </c>
      <c r="JA119" s="29" t="str">
        <f>IF(OR($B119="",$A119&lt;123),"",--MID('Key Analysis'!$C115,123,1))</f>
        <v/>
      </c>
      <c r="JB119" s="29" t="str">
        <f>IF(OR($B119="",$A119&lt;124),"",--MID('Key Analysis'!$C115,124,1))</f>
        <v/>
      </c>
      <c r="JC119" s="29" t="str">
        <f>IF(OR($B119="",$A119&lt;125),"",--MID('Key Analysis'!$C115,125,1))</f>
        <v/>
      </c>
      <c r="JD119" s="29" t="str">
        <f>IF(OR($B119="",$A119&lt;126),"",--MID('Key Analysis'!$C115,126,1))</f>
        <v/>
      </c>
      <c r="JE119" s="29" t="str">
        <f>IF(OR($B119="",$A119&lt;127),"",--MID('Key Analysis'!$C115,127,1))</f>
        <v/>
      </c>
      <c r="JF119" s="29" t="str">
        <f>IF(OR($B119="",$A119&lt;128),"",--MID('Key Analysis'!$C115,128,1))</f>
        <v/>
      </c>
      <c r="JG119" s="29" t="str">
        <f>IF(OR($B119="",$A119&lt;129),"",--MID('Key Analysis'!$C115,129,1))</f>
        <v/>
      </c>
      <c r="JH119" s="29" t="str">
        <f>IF(OR($B119="",$A119&lt;130),"",--MID('Key Analysis'!$C115,130,1))</f>
        <v/>
      </c>
      <c r="JI119" s="29" t="str">
        <f>IF(OR($B119="",$A119&lt;131),"",--MID('Key Analysis'!$C115,131,1))</f>
        <v/>
      </c>
      <c r="JJ119" s="29" t="str">
        <f>IF(OR($B119="",$A119&lt;132),"",--MID('Key Analysis'!$C115,132,1))</f>
        <v/>
      </c>
      <c r="JK119" s="29" t="str">
        <f>IF(OR($B119="",$A119&lt;133),"",--MID('Key Analysis'!$C115,133,1))</f>
        <v/>
      </c>
      <c r="JL119" s="29" t="str">
        <f>IF(OR($B119="",$A119&lt;134),"",--MID('Key Analysis'!$C115,134,1))</f>
        <v/>
      </c>
      <c r="JM119" s="29" t="str">
        <f>IF(OR($B119="",$A119&lt;135),"",--MID('Key Analysis'!$C115,135,1))</f>
        <v/>
      </c>
    </row>
    <row r="120" spans="1:273" x14ac:dyDescent="0.25">
      <c r="A120" s="21">
        <f>'Key Analysis'!A116</f>
        <v>115</v>
      </c>
      <c r="B120" s="30" t="str">
        <f>'Key Analysis'!B116</f>
        <v>60f4d11574f5deee49961d9609ac6</v>
      </c>
      <c r="C120" s="29">
        <f>IF(OR($B120="",$A120&lt;=0),"",--MID('Key Analysis'!$C116,$A120-0,1))</f>
        <v>0</v>
      </c>
      <c r="D120" s="29">
        <f>IF(OR($B120="",$A120&lt;=1),"",--MID('Key Analysis'!$C116,$A120-1,1))</f>
        <v>1</v>
      </c>
      <c r="E120" s="29">
        <f>IF(OR($B120="",$A120&lt;=2),"",--MID('Key Analysis'!$C116,$A120-2,1))</f>
        <v>1</v>
      </c>
      <c r="F120" s="29">
        <f>IF(OR($B120="",$A120&lt;=3),"",--MID('Key Analysis'!$C116,$A120-3,1))</f>
        <v>0</v>
      </c>
      <c r="G120" s="29">
        <f>IF(OR($B120="",$A120&lt;=4),"",--MID('Key Analysis'!$C116,$A120-4,1))</f>
        <v>0</v>
      </c>
      <c r="H120" s="29">
        <f>IF(OR($B120="",$A120&lt;=5),"",--MID('Key Analysis'!$C116,$A120-5,1))</f>
        <v>0</v>
      </c>
      <c r="I120" s="29">
        <f>IF(OR($B120="",$A120&lt;=6),"",--MID('Key Analysis'!$C116,$A120-6,1))</f>
        <v>1</v>
      </c>
      <c r="J120" s="29">
        <f>IF(OR($B120="",$A120&lt;=7),"",--MID('Key Analysis'!$C116,$A120-7,1))</f>
        <v>1</v>
      </c>
      <c r="K120" s="29">
        <f>IF(OR($B120="",$A120&lt;=8),"",--MID('Key Analysis'!$C116,$A120-8,1))</f>
        <v>0</v>
      </c>
      <c r="L120" s="29">
        <f>IF(OR($B120="",$A120&lt;=9),"",--MID('Key Analysis'!$C116,$A120-9,1))</f>
        <v>1</v>
      </c>
      <c r="M120" s="29">
        <f>IF(OR($B120="",$A120&lt;=10),"",--MID('Key Analysis'!$C116,$A120-10,1))</f>
        <v>0</v>
      </c>
      <c r="N120" s="29">
        <f>IF(OR($B120="",$A120&lt;=11),"",--MID('Key Analysis'!$C116,$A120-11,1))</f>
        <v>1</v>
      </c>
      <c r="O120" s="29">
        <f>IF(OR($B120="",$A120&lt;=12),"",--MID('Key Analysis'!$C116,$A120-12,1))</f>
        <v>1</v>
      </c>
      <c r="P120" s="29">
        <f>IF(OR($B120="",$A120&lt;=13),"",--MID('Key Analysis'!$C116,$A120-13,1))</f>
        <v>0</v>
      </c>
      <c r="Q120" s="29">
        <f>IF(OR($B120="",$A120&lt;=14),"",--MID('Key Analysis'!$C116,$A120-14,1))</f>
        <v>0</v>
      </c>
      <c r="R120" s="29">
        <f>IF(OR($B120="",$A120&lt;=15),"",--MID('Key Analysis'!$C116,$A120-15,1))</f>
        <v>1</v>
      </c>
      <c r="S120" s="29">
        <f>IF(OR($B120="",$A120&lt;=16),"",--MID('Key Analysis'!$C116,$A120-16,1))</f>
        <v>0</v>
      </c>
      <c r="T120" s="29">
        <f>IF(OR($B120="",$A120&lt;=17),"",--MID('Key Analysis'!$C116,$A120-17,1))</f>
        <v>0</v>
      </c>
      <c r="U120" s="29">
        <f>IF(OR($B120="",$A120&lt;=18),"",--MID('Key Analysis'!$C116,$A120-18,1))</f>
        <v>0</v>
      </c>
      <c r="V120" s="29">
        <f>IF(OR($B120="",$A120&lt;=19),"",--MID('Key Analysis'!$C116,$A120-19,1))</f>
        <v>0</v>
      </c>
      <c r="W120" s="29">
        <f>IF(OR($B120="",$A120&lt;=20),"",--MID('Key Analysis'!$C116,$A120-20,1))</f>
        <v>0</v>
      </c>
      <c r="X120" s="29">
        <f>IF(OR($B120="",$A120&lt;=21),"",--MID('Key Analysis'!$C116,$A120-21,1))</f>
        <v>1</v>
      </c>
      <c r="Y120" s="29">
        <f>IF(OR($B120="",$A120&lt;=22),"",--MID('Key Analysis'!$C116,$A120-22,1))</f>
        <v>1</v>
      </c>
      <c r="Z120" s="29">
        <f>IF(OR($B120="",$A120&lt;=23),"",--MID('Key Analysis'!$C116,$A120-23,1))</f>
        <v>0</v>
      </c>
      <c r="AA120" s="29">
        <f>IF(OR($B120="",$A120&lt;=24),"",--MID('Key Analysis'!$C116,$A120-24,1))</f>
        <v>1</v>
      </c>
      <c r="AB120" s="29">
        <f>IF(OR($B120="",$A120&lt;=25),"",--MID('Key Analysis'!$C116,$A120-25,1))</f>
        <v>0</v>
      </c>
      <c r="AC120" s="29">
        <f>IF(OR($B120="",$A120&lt;=26),"",--MID('Key Analysis'!$C116,$A120-26,1))</f>
        <v>0</v>
      </c>
      <c r="AD120" s="29">
        <f>IF(OR($B120="",$A120&lt;=27),"",--MID('Key Analysis'!$C116,$A120-27,1))</f>
        <v>1</v>
      </c>
      <c r="AE120" s="29">
        <f>IF(OR($B120="",$A120&lt;=28),"",--MID('Key Analysis'!$C116,$A120-28,1))</f>
        <v>1</v>
      </c>
      <c r="AF120" s="29">
        <f>IF(OR($B120="",$A120&lt;=29),"",--MID('Key Analysis'!$C116,$A120-29,1))</f>
        <v>0</v>
      </c>
      <c r="AG120" s="29">
        <f>IF(OR($B120="",$A120&lt;=30),"",--MID('Key Analysis'!$C116,$A120-30,1))</f>
        <v>1</v>
      </c>
      <c r="AH120" s="29">
        <f>IF(OR($B120="",$A120&lt;=31),"",--MID('Key Analysis'!$C116,$A120-31,1))</f>
        <v>1</v>
      </c>
      <c r="AI120" s="29">
        <f>IF(OR($B120="",$A120&lt;=32),"",--MID('Key Analysis'!$C116,$A120-32,1))</f>
        <v>1</v>
      </c>
      <c r="AJ120" s="29">
        <f>IF(OR($B120="",$A120&lt;=33),"",--MID('Key Analysis'!$C116,$A120-33,1))</f>
        <v>0</v>
      </c>
      <c r="AK120" s="29">
        <f>IF(OR($B120="",$A120&lt;=34),"",--MID('Key Analysis'!$C116,$A120-34,1))</f>
        <v>0</v>
      </c>
      <c r="AL120" s="29">
        <f>IF(OR($B120="",$A120&lt;=35),"",--MID('Key Analysis'!$C116,$A120-35,1))</f>
        <v>0</v>
      </c>
      <c r="AM120" s="29">
        <f>IF(OR($B120="",$A120&lt;=36),"",--MID('Key Analysis'!$C116,$A120-36,1))</f>
        <v>0</v>
      </c>
      <c r="AN120" s="29">
        <f>IF(OR($B120="",$A120&lt;=37),"",--MID('Key Analysis'!$C116,$A120-37,1))</f>
        <v>1</v>
      </c>
      <c r="AO120" s="29">
        <f>IF(OR($B120="",$A120&lt;=38),"",--MID('Key Analysis'!$C116,$A120-38,1))</f>
        <v>1</v>
      </c>
      <c r="AP120" s="29">
        <f>IF(OR($B120="",$A120&lt;=39),"",--MID('Key Analysis'!$C116,$A120-39,1))</f>
        <v>0</v>
      </c>
      <c r="AQ120" s="29">
        <f>IF(OR($B120="",$A120&lt;=40),"",--MID('Key Analysis'!$C116,$A120-40,1))</f>
        <v>1</v>
      </c>
      <c r="AR120" s="29">
        <f>IF(OR($B120="",$A120&lt;=41),"",--MID('Key Analysis'!$C116,$A120-41,1))</f>
        <v>0</v>
      </c>
      <c r="AS120" s="29">
        <f>IF(OR($B120="",$A120&lt;=42),"",--MID('Key Analysis'!$C116,$A120-42,1))</f>
        <v>0</v>
      </c>
      <c r="AT120" s="29">
        <f>IF(OR($B120="",$A120&lt;=43),"",--MID('Key Analysis'!$C116,$A120-43,1))</f>
        <v>1</v>
      </c>
      <c r="AU120" s="29">
        <f>IF(OR($B120="",$A120&lt;=44),"",--MID('Key Analysis'!$C116,$A120-44,1))</f>
        <v>1</v>
      </c>
      <c r="AV120" s="29">
        <f>IF(OR($B120="",$A120&lt;=45),"",--MID('Key Analysis'!$C116,$A120-45,1))</f>
        <v>0</v>
      </c>
      <c r="AW120" s="29">
        <f>IF(OR($B120="",$A120&lt;=46),"",--MID('Key Analysis'!$C116,$A120-46,1))</f>
        <v>0</v>
      </c>
      <c r="AX120" s="29">
        <f>IF(OR($B120="",$A120&lt;=47),"",--MID('Key Analysis'!$C116,$A120-47,1))</f>
        <v>1</v>
      </c>
      <c r="AY120" s="29">
        <f>IF(OR($B120="",$A120&lt;=48),"",--MID('Key Analysis'!$C116,$A120-48,1))</f>
        <v>0</v>
      </c>
      <c r="AZ120" s="29">
        <f>IF(OR($B120="",$A120&lt;=49),"",--MID('Key Analysis'!$C116,$A120-49,1))</f>
        <v>0</v>
      </c>
      <c r="BA120" s="29">
        <f>IF(OR($B120="",$A120&lt;=50),"",--MID('Key Analysis'!$C116,$A120-50,1))</f>
        <v>1</v>
      </c>
      <c r="BB120" s="29">
        <f>IF(OR($B120="",$A120&lt;=51),"",--MID('Key Analysis'!$C116,$A120-51,1))</f>
        <v>0</v>
      </c>
      <c r="BC120" s="29">
        <f>IF(OR($B120="",$A120&lt;=52),"",--MID('Key Analysis'!$C116,$A120-52,1))</f>
        <v>0</v>
      </c>
      <c r="BD120" s="29">
        <f>IF(OR($B120="",$A120&lt;=53),"",--MID('Key Analysis'!$C116,$A120-53,1))</f>
        <v>1</v>
      </c>
      <c r="BE120" s="29">
        <f>IF(OR($B120="",$A120&lt;=54),"",--MID('Key Analysis'!$C116,$A120-54,1))</f>
        <v>1</v>
      </c>
      <c r="BF120" s="29">
        <f>IF(OR($B120="",$A120&lt;=55),"",--MID('Key Analysis'!$C116,$A120-55,1))</f>
        <v>1</v>
      </c>
      <c r="BG120" s="29">
        <f>IF(OR($B120="",$A120&lt;=56),"",--MID('Key Analysis'!$C116,$A120-56,1))</f>
        <v>0</v>
      </c>
      <c r="BH120" s="29">
        <f>IF(OR($B120="",$A120&lt;=57),"",--MID('Key Analysis'!$C116,$A120-57,1))</f>
        <v>1</v>
      </c>
      <c r="BI120" s="29">
        <f>IF(OR($B120="",$A120&lt;=58),"",--MID('Key Analysis'!$C116,$A120-58,1))</f>
        <v>1</v>
      </c>
      <c r="BJ120" s="29">
        <f>IF(OR($B120="",$A120&lt;=59),"",--MID('Key Analysis'!$C116,$A120-59,1))</f>
        <v>1</v>
      </c>
      <c r="BK120" s="29">
        <f>IF(OR($B120="",$A120&lt;=60),"",--MID('Key Analysis'!$C116,$A120-60,1))</f>
        <v>0</v>
      </c>
      <c r="BL120" s="29">
        <f>IF(OR($B120="",$A120&lt;=61),"",--MID('Key Analysis'!$C116,$A120-61,1))</f>
        <v>1</v>
      </c>
      <c r="BM120" s="29">
        <f>IF(OR($B120="",$A120&lt;=62),"",--MID('Key Analysis'!$C116,$A120-62,1))</f>
        <v>1</v>
      </c>
      <c r="BN120" s="29">
        <f>IF(OR($B120="",$A120&lt;=63),"",--MID('Key Analysis'!$C116,$A120-63,1))</f>
        <v>1</v>
      </c>
      <c r="BO120" s="29">
        <f>IF(OR($B120="",$A120&lt;=64),"",--MID('Key Analysis'!$C116,$A120-64,1))</f>
        <v>1</v>
      </c>
      <c r="BP120" s="29">
        <f>IF(OR($B120="",$A120&lt;=65),"",--MID('Key Analysis'!$C116,$A120-65,1))</f>
        <v>0</v>
      </c>
      <c r="BQ120" s="29">
        <f>IF(OR($B120="",$A120&lt;=66),"",--MID('Key Analysis'!$C116,$A120-66,1))</f>
        <v>1</v>
      </c>
      <c r="BR120" s="29">
        <f>IF(OR($B120="",$A120&lt;=67),"",--MID('Key Analysis'!$C116,$A120-67,1))</f>
        <v>1</v>
      </c>
      <c r="BS120" s="29">
        <f>IF(OR($B120="",$A120&lt;=68),"",--MID('Key Analysis'!$C116,$A120-68,1))</f>
        <v>1</v>
      </c>
      <c r="BT120" s="29">
        <f>IF(OR($B120="",$A120&lt;=69),"",--MID('Key Analysis'!$C116,$A120-69,1))</f>
        <v>0</v>
      </c>
      <c r="BU120" s="29">
        <f>IF(OR($B120="",$A120&lt;=70),"",--MID('Key Analysis'!$C116,$A120-70,1))</f>
        <v>1</v>
      </c>
      <c r="BV120" s="29">
        <f>IF(OR($B120="",$A120&lt;=71),"",--MID('Key Analysis'!$C116,$A120-71,1))</f>
        <v>0</v>
      </c>
      <c r="BW120" s="29">
        <f>IF(OR($B120="",$A120&lt;=72),"",--MID('Key Analysis'!$C116,$A120-72,1))</f>
        <v>1</v>
      </c>
      <c r="BX120" s="29">
        <f>IF(OR($B120="",$A120&lt;=73),"",--MID('Key Analysis'!$C116,$A120-73,1))</f>
        <v>1</v>
      </c>
      <c r="BY120" s="29">
        <f>IF(OR($B120="",$A120&lt;=74),"",--MID('Key Analysis'!$C116,$A120-74,1))</f>
        <v>1</v>
      </c>
      <c r="BZ120" s="29">
        <f>IF(OR($B120="",$A120&lt;=75),"",--MID('Key Analysis'!$C116,$A120-75,1))</f>
        <v>1</v>
      </c>
      <c r="CA120" s="29">
        <f>IF(OR($B120="",$A120&lt;=76),"",--MID('Key Analysis'!$C116,$A120-76,1))</f>
        <v>0</v>
      </c>
      <c r="CB120" s="29">
        <f>IF(OR($B120="",$A120&lt;=77),"",--MID('Key Analysis'!$C116,$A120-77,1))</f>
        <v>0</v>
      </c>
      <c r="CC120" s="29">
        <f>IF(OR($B120="",$A120&lt;=78),"",--MID('Key Analysis'!$C116,$A120-78,1))</f>
        <v>1</v>
      </c>
      <c r="CD120" s="29">
        <f>IF(OR($B120="",$A120&lt;=79),"",--MID('Key Analysis'!$C116,$A120-79,1))</f>
        <v>0</v>
      </c>
      <c r="CE120" s="29">
        <f>IF(OR($B120="",$A120&lt;=80),"",--MID('Key Analysis'!$C116,$A120-80,1))</f>
        <v>1</v>
      </c>
      <c r="CF120" s="29">
        <f>IF(OR($B120="",$A120&lt;=81),"",--MID('Key Analysis'!$C116,$A120-81,1))</f>
        <v>1</v>
      </c>
      <c r="CG120" s="29">
        <f>IF(OR($B120="",$A120&lt;=82),"",--MID('Key Analysis'!$C116,$A120-82,1))</f>
        <v>1</v>
      </c>
      <c r="CH120" s="29">
        <f>IF(OR($B120="",$A120&lt;=83),"",--MID('Key Analysis'!$C116,$A120-83,1))</f>
        <v>0</v>
      </c>
      <c r="CI120" s="29">
        <f>IF(OR($B120="",$A120&lt;=84),"",--MID('Key Analysis'!$C116,$A120-84,1))</f>
        <v>1</v>
      </c>
      <c r="CJ120" s="29">
        <f>IF(OR($B120="",$A120&lt;=85),"",--MID('Key Analysis'!$C116,$A120-85,1))</f>
        <v>0</v>
      </c>
      <c r="CK120" s="29">
        <f>IF(OR($B120="",$A120&lt;=86),"",--MID('Key Analysis'!$C116,$A120-86,1))</f>
        <v>1</v>
      </c>
      <c r="CL120" s="29">
        <f>IF(OR($B120="",$A120&lt;=87),"",--MID('Key Analysis'!$C116,$A120-87,1))</f>
        <v>0</v>
      </c>
      <c r="CM120" s="29">
        <f>IF(OR($B120="",$A120&lt;=88),"",--MID('Key Analysis'!$C116,$A120-88,1))</f>
        <v>1</v>
      </c>
      <c r="CN120" s="29">
        <f>IF(OR($B120="",$A120&lt;=89),"",--MID('Key Analysis'!$C116,$A120-89,1))</f>
        <v>0</v>
      </c>
      <c r="CO120" s="29">
        <f>IF(OR($B120="",$A120&lt;=90),"",--MID('Key Analysis'!$C116,$A120-90,1))</f>
        <v>0</v>
      </c>
      <c r="CP120" s="29">
        <f>IF(OR($B120="",$A120&lt;=91),"",--MID('Key Analysis'!$C116,$A120-91,1))</f>
        <v>0</v>
      </c>
      <c r="CQ120" s="29">
        <f>IF(OR($B120="",$A120&lt;=92),"",--MID('Key Analysis'!$C116,$A120-92,1))</f>
        <v>1</v>
      </c>
      <c r="CR120" s="29">
        <f>IF(OR($B120="",$A120&lt;=93),"",--MID('Key Analysis'!$C116,$A120-93,1))</f>
        <v>0</v>
      </c>
      <c r="CS120" s="29">
        <f>IF(OR($B120="",$A120&lt;=94),"",--MID('Key Analysis'!$C116,$A120-94,1))</f>
        <v>0</v>
      </c>
      <c r="CT120" s="29">
        <f>IF(OR($B120="",$A120&lt;=95),"",--MID('Key Analysis'!$C116,$A120-95,1))</f>
        <v>0</v>
      </c>
      <c r="CU120" s="29">
        <f>IF(OR($B120="",$A120&lt;=96),"",--MID('Key Analysis'!$C116,$A120-96,1))</f>
        <v>1</v>
      </c>
      <c r="CV120" s="29">
        <f>IF(OR($B120="",$A120&lt;=97),"",--MID('Key Analysis'!$C116,$A120-97,1))</f>
        <v>0</v>
      </c>
      <c r="CW120" s="29">
        <f>IF(OR($B120="",$A120&lt;=98),"",--MID('Key Analysis'!$C116,$A120-98,1))</f>
        <v>1</v>
      </c>
      <c r="CX120" s="29">
        <f>IF(OR($B120="",$A120&lt;=99),"",--MID('Key Analysis'!$C116,$A120-99,1))</f>
        <v>1</v>
      </c>
      <c r="CY120" s="29">
        <f>IF(OR($B120="",$A120&lt;=100),"",--MID('Key Analysis'!$C116,$A120-100,1))</f>
        <v>0</v>
      </c>
      <c r="CZ120" s="29">
        <f>IF(OR($B120="",$A120&lt;=101),"",--MID('Key Analysis'!$C116,$A120-101,1))</f>
        <v>0</v>
      </c>
      <c r="DA120" s="29">
        <f>IF(OR($B120="",$A120&lt;=102),"",--MID('Key Analysis'!$C116,$A120-102,1))</f>
        <v>1</v>
      </c>
      <c r="DB120" s="29">
        <f>IF(OR($B120="",$A120&lt;=103),"",--MID('Key Analysis'!$C116,$A120-103,1))</f>
        <v>0</v>
      </c>
      <c r="DC120" s="29">
        <f>IF(OR($B120="",$A120&lt;=104),"",--MID('Key Analysis'!$C116,$A120-104,1))</f>
        <v>1</v>
      </c>
      <c r="DD120" s="29">
        <f>IF(OR($B120="",$A120&lt;=105),"",--MID('Key Analysis'!$C116,$A120-105,1))</f>
        <v>1</v>
      </c>
      <c r="DE120" s="29">
        <f>IF(OR($B120="",$A120&lt;=106),"",--MID('Key Analysis'!$C116,$A120-106,1))</f>
        <v>1</v>
      </c>
      <c r="DF120" s="29">
        <f>IF(OR($B120="",$A120&lt;=107),"",--MID('Key Analysis'!$C116,$A120-107,1))</f>
        <v>1</v>
      </c>
      <c r="DG120" s="29">
        <f>IF(OR($B120="",$A120&lt;=108),"",--MID('Key Analysis'!$C116,$A120-108,1))</f>
        <v>0</v>
      </c>
      <c r="DH120" s="29">
        <f>IF(OR($B120="",$A120&lt;=109),"",--MID('Key Analysis'!$C116,$A120-109,1))</f>
        <v>0</v>
      </c>
      <c r="DI120" s="29">
        <f>IF(OR($B120="",$A120&lt;=110),"",--MID('Key Analysis'!$C116,$A120-110,1))</f>
        <v>0</v>
      </c>
      <c r="DJ120" s="29">
        <f>IF(OR($B120="",$A120&lt;=111),"",--MID('Key Analysis'!$C116,$A120-111,1))</f>
        <v>0</v>
      </c>
      <c r="DK120" s="29">
        <f>IF(OR($B120="",$A120&lt;=112),"",--MID('Key Analysis'!$C116,$A120-112,1))</f>
        <v>0</v>
      </c>
      <c r="DL120" s="29">
        <f>IF(OR($B120="",$A120&lt;=113),"",--MID('Key Analysis'!$C116,$A120-113,1))</f>
        <v>1</v>
      </c>
      <c r="DM120" s="29">
        <f>IF(OR($B120="",$A120&lt;=114),"",--MID('Key Analysis'!$C116,$A120-114,1))</f>
        <v>1</v>
      </c>
      <c r="DN120" s="29" t="str">
        <f>IF(OR($B120="",$A120&lt;=115),"",--MID('Key Analysis'!$C116,$A120-115,1))</f>
        <v/>
      </c>
      <c r="DO120" s="29" t="str">
        <f>IF(OR($B120="",$A120&lt;=116),"",--MID('Key Analysis'!$C116,$A120-116,1))</f>
        <v/>
      </c>
      <c r="DP120" s="29" t="str">
        <f>IF(OR($B120="",$A120&lt;=117),"",--MID('Key Analysis'!$C116,$A120-117,1))</f>
        <v/>
      </c>
      <c r="DQ120" s="29" t="str">
        <f>IF(OR($B120="",$A120&lt;=118),"",--MID('Key Analysis'!$C116,$A120-118,1))</f>
        <v/>
      </c>
      <c r="DR120" s="29" t="str">
        <f>IF(OR($B120="",$A120&lt;=119),"",--MID('Key Analysis'!$C116,$A120-119,1))</f>
        <v/>
      </c>
      <c r="DS120" s="29" t="str">
        <f>IF(OR($B120="",$A120&lt;=120),"",--MID('Key Analysis'!$C116,$A120-120,1))</f>
        <v/>
      </c>
      <c r="DT120" s="29" t="str">
        <f>IF(OR($B120="",$A120&lt;=121),"",--MID('Key Analysis'!$C116,$A120-121,1))</f>
        <v/>
      </c>
      <c r="DU120" s="29" t="str">
        <f>IF(OR($B120="",$A120&lt;=122),"",--MID('Key Analysis'!$C116,$A120-122,1))</f>
        <v/>
      </c>
      <c r="DV120" s="29" t="str">
        <f>IF(OR($B120="",$A120&lt;=123),"",--MID('Key Analysis'!$C116,$A120-123,1))</f>
        <v/>
      </c>
      <c r="DW120" s="29" t="str">
        <f>IF(OR($B120="",$A120&lt;=124),"",--MID('Key Analysis'!$C116,$A120-124,1))</f>
        <v/>
      </c>
      <c r="DX120" s="29" t="str">
        <f>IF(OR($B120="",$A120&lt;=125),"",--MID('Key Analysis'!$C116,$A120-125,1))</f>
        <v/>
      </c>
      <c r="DY120" s="29" t="str">
        <f>IF(OR($B120="",$A120&lt;=126),"",--MID('Key Analysis'!$C116,$A120-126,1))</f>
        <v/>
      </c>
      <c r="DZ120" s="29" t="str">
        <f>IF(OR($B120="",$A120&lt;=127),"",--MID('Key Analysis'!$C116,$A120-127,1))</f>
        <v/>
      </c>
      <c r="EA120" s="29" t="str">
        <f>IF(OR($B120="",$A120&lt;=128),"",--MID('Key Analysis'!$C116,$A120-128,1))</f>
        <v/>
      </c>
      <c r="EB120" s="29" t="str">
        <f>IF(OR($B120="",$A120&lt;=129),"",--MID('Key Analysis'!$C116,$A120-129,1))</f>
        <v/>
      </c>
      <c r="EC120" s="29" t="str">
        <f>IF(OR($B120="",$A120&lt;=130),"",--MID('Key Analysis'!$C116,$A120-130,1))</f>
        <v/>
      </c>
      <c r="ED120" s="29" t="str">
        <f>IF(OR($B120="",$A120&lt;=131),"",--MID('Key Analysis'!$C116,$A120-131,1))</f>
        <v/>
      </c>
      <c r="EE120" s="29" t="str">
        <f>IF(OR($B120="",$A120&lt;=132),"",--MID('Key Analysis'!$C116,$A120-132,1))</f>
        <v/>
      </c>
      <c r="EF120" s="29" t="str">
        <f>IF(OR($B120="",$A120&lt;=133),"",--MID('Key Analysis'!$C116,$A120-133,1))</f>
        <v/>
      </c>
      <c r="EG120" s="29" t="str">
        <f>IF(OR($B120="",$A120&lt;=134),"",--MID('Key Analysis'!$C116,$A120-134,1))</f>
        <v/>
      </c>
      <c r="EH120" s="29"/>
      <c r="EI120" s="29">
        <f>IF(OR($B120="",$A120&lt;1),"",--MID('Key Analysis'!$C116,1,1))</f>
        <v>1</v>
      </c>
      <c r="EJ120" s="29">
        <f>IF(OR($B120="",$A120&lt;2),"",--MID('Key Analysis'!$C116,2,1))</f>
        <v>1</v>
      </c>
      <c r="EK120" s="29">
        <f>IF(OR($B120="",$A120&lt;3),"",--MID('Key Analysis'!$C116,3,1))</f>
        <v>0</v>
      </c>
      <c r="EL120" s="29">
        <f>IF(OR($B120="",$A120&lt;4),"",--MID('Key Analysis'!$C116,4,1))</f>
        <v>0</v>
      </c>
      <c r="EM120" s="29">
        <f>IF(OR($B120="",$A120&lt;5),"",--MID('Key Analysis'!$C116,5,1))</f>
        <v>0</v>
      </c>
      <c r="EN120" s="29">
        <f>IF(OR($B120="",$A120&lt;6),"",--MID('Key Analysis'!$C116,6,1))</f>
        <v>0</v>
      </c>
      <c r="EO120" s="29">
        <f>IF(OR($B120="",$A120&lt;7),"",--MID('Key Analysis'!$C116,7,1))</f>
        <v>0</v>
      </c>
      <c r="EP120" s="29">
        <f>IF(OR($B120="",$A120&lt;8),"",--MID('Key Analysis'!$C116,8,1))</f>
        <v>1</v>
      </c>
      <c r="EQ120" s="29">
        <f>IF(OR($B120="",$A120&lt;9),"",--MID('Key Analysis'!$C116,9,1))</f>
        <v>1</v>
      </c>
      <c r="ER120" s="29">
        <f>IF(OR($B120="",$A120&lt;10),"",--MID('Key Analysis'!$C116,10,1))</f>
        <v>1</v>
      </c>
      <c r="ES120" s="29">
        <f>IF(OR($B120="",$A120&lt;11),"",--MID('Key Analysis'!$C116,11,1))</f>
        <v>1</v>
      </c>
      <c r="ET120" s="29">
        <f>IF(OR($B120="",$A120&lt;12),"",--MID('Key Analysis'!$C116,12,1))</f>
        <v>0</v>
      </c>
      <c r="EU120" s="29">
        <f>IF(OR($B120="",$A120&lt;13),"",--MID('Key Analysis'!$C116,13,1))</f>
        <v>1</v>
      </c>
      <c r="EV120" s="29">
        <f>IF(OR($B120="",$A120&lt;14),"",--MID('Key Analysis'!$C116,14,1))</f>
        <v>0</v>
      </c>
      <c r="EW120" s="29">
        <f>IF(OR($B120="",$A120&lt;15),"",--MID('Key Analysis'!$C116,15,1))</f>
        <v>0</v>
      </c>
      <c r="EX120" s="29">
        <f>IF(OR($B120="",$A120&lt;16),"",--MID('Key Analysis'!$C116,16,1))</f>
        <v>1</v>
      </c>
      <c r="EY120" s="29">
        <f>IF(OR($B120="",$A120&lt;17),"",--MID('Key Analysis'!$C116,17,1))</f>
        <v>1</v>
      </c>
      <c r="EZ120" s="29">
        <f>IF(OR($B120="",$A120&lt;18),"",--MID('Key Analysis'!$C116,18,1))</f>
        <v>0</v>
      </c>
      <c r="FA120" s="29">
        <f>IF(OR($B120="",$A120&lt;19),"",--MID('Key Analysis'!$C116,19,1))</f>
        <v>1</v>
      </c>
      <c r="FB120" s="29">
        <f>IF(OR($B120="",$A120&lt;20),"",--MID('Key Analysis'!$C116,20,1))</f>
        <v>0</v>
      </c>
      <c r="FC120" s="29">
        <f>IF(OR($B120="",$A120&lt;21),"",--MID('Key Analysis'!$C116,21,1))</f>
        <v>0</v>
      </c>
      <c r="FD120" s="29">
        <f>IF(OR($B120="",$A120&lt;22),"",--MID('Key Analysis'!$C116,22,1))</f>
        <v>0</v>
      </c>
      <c r="FE120" s="29">
        <f>IF(OR($B120="",$A120&lt;23),"",--MID('Key Analysis'!$C116,23,1))</f>
        <v>1</v>
      </c>
      <c r="FF120" s="29">
        <f>IF(OR($B120="",$A120&lt;24),"",--MID('Key Analysis'!$C116,24,1))</f>
        <v>0</v>
      </c>
      <c r="FG120" s="29">
        <f>IF(OR($B120="",$A120&lt;25),"",--MID('Key Analysis'!$C116,25,1))</f>
        <v>0</v>
      </c>
      <c r="FH120" s="29">
        <f>IF(OR($B120="",$A120&lt;26),"",--MID('Key Analysis'!$C116,26,1))</f>
        <v>0</v>
      </c>
      <c r="FI120" s="29">
        <f>IF(OR($B120="",$A120&lt;27),"",--MID('Key Analysis'!$C116,27,1))</f>
        <v>1</v>
      </c>
      <c r="FJ120" s="29">
        <f>IF(OR($B120="",$A120&lt;28),"",--MID('Key Analysis'!$C116,28,1))</f>
        <v>0</v>
      </c>
      <c r="FK120" s="29">
        <f>IF(OR($B120="",$A120&lt;29),"",--MID('Key Analysis'!$C116,29,1))</f>
        <v>1</v>
      </c>
      <c r="FL120" s="29">
        <f>IF(OR($B120="",$A120&lt;30),"",--MID('Key Analysis'!$C116,30,1))</f>
        <v>0</v>
      </c>
      <c r="FM120" s="29">
        <f>IF(OR($B120="",$A120&lt;31),"",--MID('Key Analysis'!$C116,31,1))</f>
        <v>1</v>
      </c>
      <c r="FN120" s="29">
        <f>IF(OR($B120="",$A120&lt;32),"",--MID('Key Analysis'!$C116,32,1))</f>
        <v>0</v>
      </c>
      <c r="FO120" s="29">
        <f>IF(OR($B120="",$A120&lt;33),"",--MID('Key Analysis'!$C116,33,1))</f>
        <v>1</v>
      </c>
      <c r="FP120" s="29">
        <f>IF(OR($B120="",$A120&lt;34),"",--MID('Key Analysis'!$C116,34,1))</f>
        <v>1</v>
      </c>
      <c r="FQ120" s="29">
        <f>IF(OR($B120="",$A120&lt;35),"",--MID('Key Analysis'!$C116,35,1))</f>
        <v>1</v>
      </c>
      <c r="FR120" s="29">
        <f>IF(OR($B120="",$A120&lt;36),"",--MID('Key Analysis'!$C116,36,1))</f>
        <v>0</v>
      </c>
      <c r="FS120" s="29">
        <f>IF(OR($B120="",$A120&lt;37),"",--MID('Key Analysis'!$C116,37,1))</f>
        <v>1</v>
      </c>
      <c r="FT120" s="29">
        <f>IF(OR($B120="",$A120&lt;38),"",--MID('Key Analysis'!$C116,38,1))</f>
        <v>0</v>
      </c>
      <c r="FU120" s="29">
        <f>IF(OR($B120="",$A120&lt;39),"",--MID('Key Analysis'!$C116,39,1))</f>
        <v>0</v>
      </c>
      <c r="FV120" s="29">
        <f>IF(OR($B120="",$A120&lt;40),"",--MID('Key Analysis'!$C116,40,1))</f>
        <v>1</v>
      </c>
      <c r="FW120" s="29">
        <f>IF(OR($B120="",$A120&lt;41),"",--MID('Key Analysis'!$C116,41,1))</f>
        <v>1</v>
      </c>
      <c r="FX120" s="29">
        <f>IF(OR($B120="",$A120&lt;42),"",--MID('Key Analysis'!$C116,42,1))</f>
        <v>1</v>
      </c>
      <c r="FY120" s="29">
        <f>IF(OR($B120="",$A120&lt;43),"",--MID('Key Analysis'!$C116,43,1))</f>
        <v>1</v>
      </c>
      <c r="FZ120" s="29">
        <f>IF(OR($B120="",$A120&lt;44),"",--MID('Key Analysis'!$C116,44,1))</f>
        <v>0</v>
      </c>
      <c r="GA120" s="29">
        <f>IF(OR($B120="",$A120&lt;45),"",--MID('Key Analysis'!$C116,45,1))</f>
        <v>1</v>
      </c>
      <c r="GB120" s="29">
        <f>IF(OR($B120="",$A120&lt;46),"",--MID('Key Analysis'!$C116,46,1))</f>
        <v>0</v>
      </c>
      <c r="GC120" s="29">
        <f>IF(OR($B120="",$A120&lt;47),"",--MID('Key Analysis'!$C116,47,1))</f>
        <v>1</v>
      </c>
      <c r="GD120" s="29">
        <f>IF(OR($B120="",$A120&lt;48),"",--MID('Key Analysis'!$C116,48,1))</f>
        <v>1</v>
      </c>
      <c r="GE120" s="29">
        <f>IF(OR($B120="",$A120&lt;49),"",--MID('Key Analysis'!$C116,49,1))</f>
        <v>1</v>
      </c>
      <c r="GF120" s="29">
        <f>IF(OR($B120="",$A120&lt;50),"",--MID('Key Analysis'!$C116,50,1))</f>
        <v>0</v>
      </c>
      <c r="GG120" s="29">
        <f>IF(OR($B120="",$A120&lt;51),"",--MID('Key Analysis'!$C116,51,1))</f>
        <v>1</v>
      </c>
      <c r="GH120" s="29">
        <f>IF(OR($B120="",$A120&lt;52),"",--MID('Key Analysis'!$C116,52,1))</f>
        <v>1</v>
      </c>
      <c r="GI120" s="29">
        <f>IF(OR($B120="",$A120&lt;53),"",--MID('Key Analysis'!$C116,53,1))</f>
        <v>1</v>
      </c>
      <c r="GJ120" s="29">
        <f>IF(OR($B120="",$A120&lt;54),"",--MID('Key Analysis'!$C116,54,1))</f>
        <v>1</v>
      </c>
      <c r="GK120" s="29">
        <f>IF(OR($B120="",$A120&lt;55),"",--MID('Key Analysis'!$C116,55,1))</f>
        <v>0</v>
      </c>
      <c r="GL120" s="29">
        <f>IF(OR($B120="",$A120&lt;56),"",--MID('Key Analysis'!$C116,56,1))</f>
        <v>1</v>
      </c>
      <c r="GM120" s="29">
        <f>IF(OR($B120="",$A120&lt;57),"",--MID('Key Analysis'!$C116,57,1))</f>
        <v>1</v>
      </c>
      <c r="GN120" s="29">
        <f>IF(OR($B120="",$A120&lt;58),"",--MID('Key Analysis'!$C116,58,1))</f>
        <v>1</v>
      </c>
      <c r="GO120" s="29">
        <f>IF(OR($B120="",$A120&lt;59),"",--MID('Key Analysis'!$C116,59,1))</f>
        <v>0</v>
      </c>
      <c r="GP120" s="29">
        <f>IF(OR($B120="",$A120&lt;60),"",--MID('Key Analysis'!$C116,60,1))</f>
        <v>1</v>
      </c>
      <c r="GQ120" s="29">
        <f>IF(OR($B120="",$A120&lt;61),"",--MID('Key Analysis'!$C116,61,1))</f>
        <v>1</v>
      </c>
      <c r="GR120" s="29">
        <f>IF(OR($B120="",$A120&lt;62),"",--MID('Key Analysis'!$C116,62,1))</f>
        <v>1</v>
      </c>
      <c r="GS120" s="29">
        <f>IF(OR($B120="",$A120&lt;63),"",--MID('Key Analysis'!$C116,63,1))</f>
        <v>0</v>
      </c>
      <c r="GT120" s="29">
        <f>IF(OR($B120="",$A120&lt;64),"",--MID('Key Analysis'!$C116,64,1))</f>
        <v>0</v>
      </c>
      <c r="GU120" s="29">
        <f>IF(OR($B120="",$A120&lt;65),"",--MID('Key Analysis'!$C116,65,1))</f>
        <v>1</v>
      </c>
      <c r="GV120" s="29">
        <f>IF(OR($B120="",$A120&lt;66),"",--MID('Key Analysis'!$C116,66,1))</f>
        <v>0</v>
      </c>
      <c r="GW120" s="29">
        <f>IF(OR($B120="",$A120&lt;67),"",--MID('Key Analysis'!$C116,67,1))</f>
        <v>0</v>
      </c>
      <c r="GX120" s="29">
        <f>IF(OR($B120="",$A120&lt;68),"",--MID('Key Analysis'!$C116,68,1))</f>
        <v>1</v>
      </c>
      <c r="GY120" s="29">
        <f>IF(OR($B120="",$A120&lt;69),"",--MID('Key Analysis'!$C116,69,1))</f>
        <v>0</v>
      </c>
      <c r="GZ120" s="29">
        <f>IF(OR($B120="",$A120&lt;70),"",--MID('Key Analysis'!$C116,70,1))</f>
        <v>0</v>
      </c>
      <c r="HA120" s="29">
        <f>IF(OR($B120="",$A120&lt;71),"",--MID('Key Analysis'!$C116,71,1))</f>
        <v>1</v>
      </c>
      <c r="HB120" s="29">
        <f>IF(OR($B120="",$A120&lt;72),"",--MID('Key Analysis'!$C116,72,1))</f>
        <v>1</v>
      </c>
      <c r="HC120" s="29">
        <f>IF(OR($B120="",$A120&lt;73),"",--MID('Key Analysis'!$C116,73,1))</f>
        <v>0</v>
      </c>
      <c r="HD120" s="29">
        <f>IF(OR($B120="",$A120&lt;74),"",--MID('Key Analysis'!$C116,74,1))</f>
        <v>0</v>
      </c>
      <c r="HE120" s="29">
        <f>IF(OR($B120="",$A120&lt;75),"",--MID('Key Analysis'!$C116,75,1))</f>
        <v>1</v>
      </c>
      <c r="HF120" s="29">
        <f>IF(OR($B120="",$A120&lt;76),"",--MID('Key Analysis'!$C116,76,1))</f>
        <v>0</v>
      </c>
      <c r="HG120" s="29">
        <f>IF(OR($B120="",$A120&lt;77),"",--MID('Key Analysis'!$C116,77,1))</f>
        <v>1</v>
      </c>
      <c r="HH120" s="29">
        <f>IF(OR($B120="",$A120&lt;78),"",--MID('Key Analysis'!$C116,78,1))</f>
        <v>1</v>
      </c>
      <c r="HI120" s="29">
        <f>IF(OR($B120="",$A120&lt;79),"",--MID('Key Analysis'!$C116,79,1))</f>
        <v>0</v>
      </c>
      <c r="HJ120" s="29">
        <f>IF(OR($B120="",$A120&lt;80),"",--MID('Key Analysis'!$C116,80,1))</f>
        <v>0</v>
      </c>
      <c r="HK120" s="29">
        <f>IF(OR($B120="",$A120&lt;81),"",--MID('Key Analysis'!$C116,81,1))</f>
        <v>0</v>
      </c>
      <c r="HL120" s="29">
        <f>IF(OR($B120="",$A120&lt;82),"",--MID('Key Analysis'!$C116,82,1))</f>
        <v>0</v>
      </c>
      <c r="HM120" s="29">
        <f>IF(OR($B120="",$A120&lt;83),"",--MID('Key Analysis'!$C116,83,1))</f>
        <v>1</v>
      </c>
      <c r="HN120" s="29">
        <f>IF(OR($B120="",$A120&lt;84),"",--MID('Key Analysis'!$C116,84,1))</f>
        <v>1</v>
      </c>
      <c r="HO120" s="29">
        <f>IF(OR($B120="",$A120&lt;85),"",--MID('Key Analysis'!$C116,85,1))</f>
        <v>1</v>
      </c>
      <c r="HP120" s="29">
        <f>IF(OR($B120="",$A120&lt;86),"",--MID('Key Analysis'!$C116,86,1))</f>
        <v>0</v>
      </c>
      <c r="HQ120" s="29">
        <f>IF(OR($B120="",$A120&lt;87),"",--MID('Key Analysis'!$C116,87,1))</f>
        <v>1</v>
      </c>
      <c r="HR120" s="29">
        <f>IF(OR($B120="",$A120&lt;88),"",--MID('Key Analysis'!$C116,88,1))</f>
        <v>1</v>
      </c>
      <c r="HS120" s="29">
        <f>IF(OR($B120="",$A120&lt;89),"",--MID('Key Analysis'!$C116,89,1))</f>
        <v>0</v>
      </c>
      <c r="HT120" s="29">
        <f>IF(OR($B120="",$A120&lt;90),"",--MID('Key Analysis'!$C116,90,1))</f>
        <v>0</v>
      </c>
      <c r="HU120" s="29">
        <f>IF(OR($B120="",$A120&lt;91),"",--MID('Key Analysis'!$C116,91,1))</f>
        <v>1</v>
      </c>
      <c r="HV120" s="29">
        <f>IF(OR($B120="",$A120&lt;92),"",--MID('Key Analysis'!$C116,92,1))</f>
        <v>0</v>
      </c>
      <c r="HW120" s="29">
        <f>IF(OR($B120="",$A120&lt;93),"",--MID('Key Analysis'!$C116,93,1))</f>
        <v>1</v>
      </c>
      <c r="HX120" s="29">
        <f>IF(OR($B120="",$A120&lt;94),"",--MID('Key Analysis'!$C116,94,1))</f>
        <v>1</v>
      </c>
      <c r="HY120" s="29">
        <f>IF(OR($B120="",$A120&lt;95),"",--MID('Key Analysis'!$C116,95,1))</f>
        <v>0</v>
      </c>
      <c r="HZ120" s="29">
        <f>IF(OR($B120="",$A120&lt;96),"",--MID('Key Analysis'!$C116,96,1))</f>
        <v>0</v>
      </c>
      <c r="IA120" s="29">
        <f>IF(OR($B120="",$A120&lt;97),"",--MID('Key Analysis'!$C116,97,1))</f>
        <v>0</v>
      </c>
      <c r="IB120" s="29">
        <f>IF(OR($B120="",$A120&lt;98),"",--MID('Key Analysis'!$C116,98,1))</f>
        <v>0</v>
      </c>
      <c r="IC120" s="29">
        <f>IF(OR($B120="",$A120&lt;99),"",--MID('Key Analysis'!$C116,99,1))</f>
        <v>0</v>
      </c>
      <c r="ID120" s="29">
        <f>IF(OR($B120="",$A120&lt;100),"",--MID('Key Analysis'!$C116,100,1))</f>
        <v>1</v>
      </c>
      <c r="IE120" s="29">
        <f>IF(OR($B120="",$A120&lt;101),"",--MID('Key Analysis'!$C116,101,1))</f>
        <v>0</v>
      </c>
      <c r="IF120" s="29">
        <f>IF(OR($B120="",$A120&lt;102),"",--MID('Key Analysis'!$C116,102,1))</f>
        <v>0</v>
      </c>
      <c r="IG120" s="29">
        <f>IF(OR($B120="",$A120&lt;103),"",--MID('Key Analysis'!$C116,103,1))</f>
        <v>1</v>
      </c>
      <c r="IH120" s="29">
        <f>IF(OR($B120="",$A120&lt;104),"",--MID('Key Analysis'!$C116,104,1))</f>
        <v>1</v>
      </c>
      <c r="II120" s="29">
        <f>IF(OR($B120="",$A120&lt;105),"",--MID('Key Analysis'!$C116,105,1))</f>
        <v>0</v>
      </c>
      <c r="IJ120" s="29">
        <f>IF(OR($B120="",$A120&lt;106),"",--MID('Key Analysis'!$C116,106,1))</f>
        <v>1</v>
      </c>
      <c r="IK120" s="29">
        <f>IF(OR($B120="",$A120&lt;107),"",--MID('Key Analysis'!$C116,107,1))</f>
        <v>0</v>
      </c>
      <c r="IL120" s="29">
        <f>IF(OR($B120="",$A120&lt;108),"",--MID('Key Analysis'!$C116,108,1))</f>
        <v>1</v>
      </c>
      <c r="IM120" s="29">
        <f>IF(OR($B120="",$A120&lt;109),"",--MID('Key Analysis'!$C116,109,1))</f>
        <v>1</v>
      </c>
      <c r="IN120" s="29">
        <f>IF(OR($B120="",$A120&lt;110),"",--MID('Key Analysis'!$C116,110,1))</f>
        <v>0</v>
      </c>
      <c r="IO120" s="29">
        <f>IF(OR($B120="",$A120&lt;111),"",--MID('Key Analysis'!$C116,111,1))</f>
        <v>0</v>
      </c>
      <c r="IP120" s="29">
        <f>IF(OR($B120="",$A120&lt;112),"",--MID('Key Analysis'!$C116,112,1))</f>
        <v>0</v>
      </c>
      <c r="IQ120" s="29">
        <f>IF(OR($B120="",$A120&lt;113),"",--MID('Key Analysis'!$C116,113,1))</f>
        <v>1</v>
      </c>
      <c r="IR120" s="29">
        <f>IF(OR($B120="",$A120&lt;114),"",--MID('Key Analysis'!$C116,114,1))</f>
        <v>1</v>
      </c>
      <c r="IS120" s="29">
        <f>IF(OR($B120="",$A120&lt;115),"",--MID('Key Analysis'!$C116,115,1))</f>
        <v>0</v>
      </c>
      <c r="IT120" s="29" t="str">
        <f>IF(OR($B120="",$A120&lt;116),"",--MID('Key Analysis'!$C116,116,1))</f>
        <v/>
      </c>
      <c r="IU120" s="29" t="str">
        <f>IF(OR($B120="",$A120&lt;117),"",--MID('Key Analysis'!$C116,117,1))</f>
        <v/>
      </c>
      <c r="IV120" s="29" t="str">
        <f>IF(OR($B120="",$A120&lt;118),"",--MID('Key Analysis'!$C116,118,1))</f>
        <v/>
      </c>
      <c r="IW120" s="29" t="str">
        <f>IF(OR($B120="",$A120&lt;119),"",--MID('Key Analysis'!$C116,119,1))</f>
        <v/>
      </c>
      <c r="IX120" s="29" t="str">
        <f>IF(OR($B120="",$A120&lt;120),"",--MID('Key Analysis'!$C116,120,1))</f>
        <v/>
      </c>
      <c r="IY120" s="29" t="str">
        <f>IF(OR($B120="",$A120&lt;121),"",--MID('Key Analysis'!$C116,121,1))</f>
        <v/>
      </c>
      <c r="IZ120" s="29" t="str">
        <f>IF(OR($B120="",$A120&lt;122),"",--MID('Key Analysis'!$C116,122,1))</f>
        <v/>
      </c>
      <c r="JA120" s="29" t="str">
        <f>IF(OR($B120="",$A120&lt;123),"",--MID('Key Analysis'!$C116,123,1))</f>
        <v/>
      </c>
      <c r="JB120" s="29" t="str">
        <f>IF(OR($B120="",$A120&lt;124),"",--MID('Key Analysis'!$C116,124,1))</f>
        <v/>
      </c>
      <c r="JC120" s="29" t="str">
        <f>IF(OR($B120="",$A120&lt;125),"",--MID('Key Analysis'!$C116,125,1))</f>
        <v/>
      </c>
      <c r="JD120" s="29" t="str">
        <f>IF(OR($B120="",$A120&lt;126),"",--MID('Key Analysis'!$C116,126,1))</f>
        <v/>
      </c>
      <c r="JE120" s="29" t="str">
        <f>IF(OR($B120="",$A120&lt;127),"",--MID('Key Analysis'!$C116,127,1))</f>
        <v/>
      </c>
      <c r="JF120" s="29" t="str">
        <f>IF(OR($B120="",$A120&lt;128),"",--MID('Key Analysis'!$C116,128,1))</f>
        <v/>
      </c>
      <c r="JG120" s="29" t="str">
        <f>IF(OR($B120="",$A120&lt;129),"",--MID('Key Analysis'!$C116,129,1))</f>
        <v/>
      </c>
      <c r="JH120" s="29" t="str">
        <f>IF(OR($B120="",$A120&lt;130),"",--MID('Key Analysis'!$C116,130,1))</f>
        <v/>
      </c>
      <c r="JI120" s="29" t="str">
        <f>IF(OR($B120="",$A120&lt;131),"",--MID('Key Analysis'!$C116,131,1))</f>
        <v/>
      </c>
      <c r="JJ120" s="29" t="str">
        <f>IF(OR($B120="",$A120&lt;132),"",--MID('Key Analysis'!$C116,132,1))</f>
        <v/>
      </c>
      <c r="JK120" s="29" t="str">
        <f>IF(OR($B120="",$A120&lt;133),"",--MID('Key Analysis'!$C116,133,1))</f>
        <v/>
      </c>
      <c r="JL120" s="29" t="str">
        <f>IF(OR($B120="",$A120&lt;134),"",--MID('Key Analysis'!$C116,134,1))</f>
        <v/>
      </c>
      <c r="JM120" s="29" t="str">
        <f>IF(OR($B120="",$A120&lt;135),"",--MID('Key Analysis'!$C116,135,1))</f>
        <v/>
      </c>
    </row>
    <row r="121" spans="1:273" x14ac:dyDescent="0.25">
      <c r="A121" s="21">
        <f>'Key Analysis'!A117</f>
        <v>116</v>
      </c>
      <c r="B121" s="30" t="str">
        <f>'Key Analysis'!B117</f>
        <v/>
      </c>
      <c r="C121" s="29" t="str">
        <f>IF(OR($B121="",$A121&lt;=0),"",--MID('Key Analysis'!$C117,$A121-0,1))</f>
        <v/>
      </c>
      <c r="D121" s="29" t="str">
        <f>IF(OR($B121="",$A121&lt;=1),"",--MID('Key Analysis'!$C117,$A121-1,1))</f>
        <v/>
      </c>
      <c r="E121" s="29" t="str">
        <f>IF(OR($B121="",$A121&lt;=2),"",--MID('Key Analysis'!$C117,$A121-2,1))</f>
        <v/>
      </c>
      <c r="F121" s="29" t="str">
        <f>IF(OR($B121="",$A121&lt;=3),"",--MID('Key Analysis'!$C117,$A121-3,1))</f>
        <v/>
      </c>
      <c r="G121" s="29" t="str">
        <f>IF(OR($B121="",$A121&lt;=4),"",--MID('Key Analysis'!$C117,$A121-4,1))</f>
        <v/>
      </c>
      <c r="H121" s="29" t="str">
        <f>IF(OR($B121="",$A121&lt;=5),"",--MID('Key Analysis'!$C117,$A121-5,1))</f>
        <v/>
      </c>
      <c r="I121" s="29" t="str">
        <f>IF(OR($B121="",$A121&lt;=6),"",--MID('Key Analysis'!$C117,$A121-6,1))</f>
        <v/>
      </c>
      <c r="J121" s="29" t="str">
        <f>IF(OR($B121="",$A121&lt;=7),"",--MID('Key Analysis'!$C117,$A121-7,1))</f>
        <v/>
      </c>
      <c r="K121" s="29" t="str">
        <f>IF(OR($B121="",$A121&lt;=8),"",--MID('Key Analysis'!$C117,$A121-8,1))</f>
        <v/>
      </c>
      <c r="L121" s="29" t="str">
        <f>IF(OR($B121="",$A121&lt;=9),"",--MID('Key Analysis'!$C117,$A121-9,1))</f>
        <v/>
      </c>
      <c r="M121" s="29" t="str">
        <f>IF(OR($B121="",$A121&lt;=10),"",--MID('Key Analysis'!$C117,$A121-10,1))</f>
        <v/>
      </c>
      <c r="N121" s="29" t="str">
        <f>IF(OR($B121="",$A121&lt;=11),"",--MID('Key Analysis'!$C117,$A121-11,1))</f>
        <v/>
      </c>
      <c r="O121" s="29" t="str">
        <f>IF(OR($B121="",$A121&lt;=12),"",--MID('Key Analysis'!$C117,$A121-12,1))</f>
        <v/>
      </c>
      <c r="P121" s="29" t="str">
        <f>IF(OR($B121="",$A121&lt;=13),"",--MID('Key Analysis'!$C117,$A121-13,1))</f>
        <v/>
      </c>
      <c r="Q121" s="29" t="str">
        <f>IF(OR($B121="",$A121&lt;=14),"",--MID('Key Analysis'!$C117,$A121-14,1))</f>
        <v/>
      </c>
      <c r="R121" s="29" t="str">
        <f>IF(OR($B121="",$A121&lt;=15),"",--MID('Key Analysis'!$C117,$A121-15,1))</f>
        <v/>
      </c>
      <c r="S121" s="29" t="str">
        <f>IF(OR($B121="",$A121&lt;=16),"",--MID('Key Analysis'!$C117,$A121-16,1))</f>
        <v/>
      </c>
      <c r="T121" s="29" t="str">
        <f>IF(OR($B121="",$A121&lt;=17),"",--MID('Key Analysis'!$C117,$A121-17,1))</f>
        <v/>
      </c>
      <c r="U121" s="29" t="str">
        <f>IF(OR($B121="",$A121&lt;=18),"",--MID('Key Analysis'!$C117,$A121-18,1))</f>
        <v/>
      </c>
      <c r="V121" s="29" t="str">
        <f>IF(OR($B121="",$A121&lt;=19),"",--MID('Key Analysis'!$C117,$A121-19,1))</f>
        <v/>
      </c>
      <c r="W121" s="29" t="str">
        <f>IF(OR($B121="",$A121&lt;=20),"",--MID('Key Analysis'!$C117,$A121-20,1))</f>
        <v/>
      </c>
      <c r="X121" s="29" t="str">
        <f>IF(OR($B121="",$A121&lt;=21),"",--MID('Key Analysis'!$C117,$A121-21,1))</f>
        <v/>
      </c>
      <c r="Y121" s="29" t="str">
        <f>IF(OR($B121="",$A121&lt;=22),"",--MID('Key Analysis'!$C117,$A121-22,1))</f>
        <v/>
      </c>
      <c r="Z121" s="29" t="str">
        <f>IF(OR($B121="",$A121&lt;=23),"",--MID('Key Analysis'!$C117,$A121-23,1))</f>
        <v/>
      </c>
      <c r="AA121" s="29" t="str">
        <f>IF(OR($B121="",$A121&lt;=24),"",--MID('Key Analysis'!$C117,$A121-24,1))</f>
        <v/>
      </c>
      <c r="AB121" s="29" t="str">
        <f>IF(OR($B121="",$A121&lt;=25),"",--MID('Key Analysis'!$C117,$A121-25,1))</f>
        <v/>
      </c>
      <c r="AC121" s="29" t="str">
        <f>IF(OR($B121="",$A121&lt;=26),"",--MID('Key Analysis'!$C117,$A121-26,1))</f>
        <v/>
      </c>
      <c r="AD121" s="29" t="str">
        <f>IF(OR($B121="",$A121&lt;=27),"",--MID('Key Analysis'!$C117,$A121-27,1))</f>
        <v/>
      </c>
      <c r="AE121" s="29" t="str">
        <f>IF(OR($B121="",$A121&lt;=28),"",--MID('Key Analysis'!$C117,$A121-28,1))</f>
        <v/>
      </c>
      <c r="AF121" s="29" t="str">
        <f>IF(OR($B121="",$A121&lt;=29),"",--MID('Key Analysis'!$C117,$A121-29,1))</f>
        <v/>
      </c>
      <c r="AG121" s="29" t="str">
        <f>IF(OR($B121="",$A121&lt;=30),"",--MID('Key Analysis'!$C117,$A121-30,1))</f>
        <v/>
      </c>
      <c r="AH121" s="29" t="str">
        <f>IF(OR($B121="",$A121&lt;=31),"",--MID('Key Analysis'!$C117,$A121-31,1))</f>
        <v/>
      </c>
      <c r="AI121" s="29" t="str">
        <f>IF(OR($B121="",$A121&lt;=32),"",--MID('Key Analysis'!$C117,$A121-32,1))</f>
        <v/>
      </c>
      <c r="AJ121" s="29" t="str">
        <f>IF(OR($B121="",$A121&lt;=33),"",--MID('Key Analysis'!$C117,$A121-33,1))</f>
        <v/>
      </c>
      <c r="AK121" s="29" t="str">
        <f>IF(OR($B121="",$A121&lt;=34),"",--MID('Key Analysis'!$C117,$A121-34,1))</f>
        <v/>
      </c>
      <c r="AL121" s="29" t="str">
        <f>IF(OR($B121="",$A121&lt;=35),"",--MID('Key Analysis'!$C117,$A121-35,1))</f>
        <v/>
      </c>
      <c r="AM121" s="29" t="str">
        <f>IF(OR($B121="",$A121&lt;=36),"",--MID('Key Analysis'!$C117,$A121-36,1))</f>
        <v/>
      </c>
      <c r="AN121" s="29" t="str">
        <f>IF(OR($B121="",$A121&lt;=37),"",--MID('Key Analysis'!$C117,$A121-37,1))</f>
        <v/>
      </c>
      <c r="AO121" s="29" t="str">
        <f>IF(OR($B121="",$A121&lt;=38),"",--MID('Key Analysis'!$C117,$A121-38,1))</f>
        <v/>
      </c>
      <c r="AP121" s="29" t="str">
        <f>IF(OR($B121="",$A121&lt;=39),"",--MID('Key Analysis'!$C117,$A121-39,1))</f>
        <v/>
      </c>
      <c r="AQ121" s="29" t="str">
        <f>IF(OR($B121="",$A121&lt;=40),"",--MID('Key Analysis'!$C117,$A121-40,1))</f>
        <v/>
      </c>
      <c r="AR121" s="29" t="str">
        <f>IF(OR($B121="",$A121&lt;=41),"",--MID('Key Analysis'!$C117,$A121-41,1))</f>
        <v/>
      </c>
      <c r="AS121" s="29" t="str">
        <f>IF(OR($B121="",$A121&lt;=42),"",--MID('Key Analysis'!$C117,$A121-42,1))</f>
        <v/>
      </c>
      <c r="AT121" s="29" t="str">
        <f>IF(OR($B121="",$A121&lt;=43),"",--MID('Key Analysis'!$C117,$A121-43,1))</f>
        <v/>
      </c>
      <c r="AU121" s="29" t="str">
        <f>IF(OR($B121="",$A121&lt;=44),"",--MID('Key Analysis'!$C117,$A121-44,1))</f>
        <v/>
      </c>
      <c r="AV121" s="29" t="str">
        <f>IF(OR($B121="",$A121&lt;=45),"",--MID('Key Analysis'!$C117,$A121-45,1))</f>
        <v/>
      </c>
      <c r="AW121" s="29" t="str">
        <f>IF(OR($B121="",$A121&lt;=46),"",--MID('Key Analysis'!$C117,$A121-46,1))</f>
        <v/>
      </c>
      <c r="AX121" s="29" t="str">
        <f>IF(OR($B121="",$A121&lt;=47),"",--MID('Key Analysis'!$C117,$A121-47,1))</f>
        <v/>
      </c>
      <c r="AY121" s="29" t="str">
        <f>IF(OR($B121="",$A121&lt;=48),"",--MID('Key Analysis'!$C117,$A121-48,1))</f>
        <v/>
      </c>
      <c r="AZ121" s="29" t="str">
        <f>IF(OR($B121="",$A121&lt;=49),"",--MID('Key Analysis'!$C117,$A121-49,1))</f>
        <v/>
      </c>
      <c r="BA121" s="29" t="str">
        <f>IF(OR($B121="",$A121&lt;=50),"",--MID('Key Analysis'!$C117,$A121-50,1))</f>
        <v/>
      </c>
      <c r="BB121" s="29" t="str">
        <f>IF(OR($B121="",$A121&lt;=51),"",--MID('Key Analysis'!$C117,$A121-51,1))</f>
        <v/>
      </c>
      <c r="BC121" s="29" t="str">
        <f>IF(OR($B121="",$A121&lt;=52),"",--MID('Key Analysis'!$C117,$A121-52,1))</f>
        <v/>
      </c>
      <c r="BD121" s="29" t="str">
        <f>IF(OR($B121="",$A121&lt;=53),"",--MID('Key Analysis'!$C117,$A121-53,1))</f>
        <v/>
      </c>
      <c r="BE121" s="29" t="str">
        <f>IF(OR($B121="",$A121&lt;=54),"",--MID('Key Analysis'!$C117,$A121-54,1))</f>
        <v/>
      </c>
      <c r="BF121" s="29" t="str">
        <f>IF(OR($B121="",$A121&lt;=55),"",--MID('Key Analysis'!$C117,$A121-55,1))</f>
        <v/>
      </c>
      <c r="BG121" s="29" t="str">
        <f>IF(OR($B121="",$A121&lt;=56),"",--MID('Key Analysis'!$C117,$A121-56,1))</f>
        <v/>
      </c>
      <c r="BH121" s="29" t="str">
        <f>IF(OR($B121="",$A121&lt;=57),"",--MID('Key Analysis'!$C117,$A121-57,1))</f>
        <v/>
      </c>
      <c r="BI121" s="29" t="str">
        <f>IF(OR($B121="",$A121&lt;=58),"",--MID('Key Analysis'!$C117,$A121-58,1))</f>
        <v/>
      </c>
      <c r="BJ121" s="29" t="str">
        <f>IF(OR($B121="",$A121&lt;=59),"",--MID('Key Analysis'!$C117,$A121-59,1))</f>
        <v/>
      </c>
      <c r="BK121" s="29" t="str">
        <f>IF(OR($B121="",$A121&lt;=60),"",--MID('Key Analysis'!$C117,$A121-60,1))</f>
        <v/>
      </c>
      <c r="BL121" s="29" t="str">
        <f>IF(OR($B121="",$A121&lt;=61),"",--MID('Key Analysis'!$C117,$A121-61,1))</f>
        <v/>
      </c>
      <c r="BM121" s="29" t="str">
        <f>IF(OR($B121="",$A121&lt;=62),"",--MID('Key Analysis'!$C117,$A121-62,1))</f>
        <v/>
      </c>
      <c r="BN121" s="29" t="str">
        <f>IF(OR($B121="",$A121&lt;=63),"",--MID('Key Analysis'!$C117,$A121-63,1))</f>
        <v/>
      </c>
      <c r="BO121" s="29" t="str">
        <f>IF(OR($B121="",$A121&lt;=64),"",--MID('Key Analysis'!$C117,$A121-64,1))</f>
        <v/>
      </c>
      <c r="BP121" s="29" t="str">
        <f>IF(OR($B121="",$A121&lt;=65),"",--MID('Key Analysis'!$C117,$A121-65,1))</f>
        <v/>
      </c>
      <c r="BQ121" s="29" t="str">
        <f>IF(OR($B121="",$A121&lt;=66),"",--MID('Key Analysis'!$C117,$A121-66,1))</f>
        <v/>
      </c>
      <c r="BR121" s="29" t="str">
        <f>IF(OR($B121="",$A121&lt;=67),"",--MID('Key Analysis'!$C117,$A121-67,1))</f>
        <v/>
      </c>
      <c r="BS121" s="29" t="str">
        <f>IF(OR($B121="",$A121&lt;=68),"",--MID('Key Analysis'!$C117,$A121-68,1))</f>
        <v/>
      </c>
      <c r="BT121" s="29" t="str">
        <f>IF(OR($B121="",$A121&lt;=69),"",--MID('Key Analysis'!$C117,$A121-69,1))</f>
        <v/>
      </c>
      <c r="BU121" s="29" t="str">
        <f>IF(OR($B121="",$A121&lt;=70),"",--MID('Key Analysis'!$C117,$A121-70,1))</f>
        <v/>
      </c>
      <c r="BV121" s="29" t="str">
        <f>IF(OR($B121="",$A121&lt;=71),"",--MID('Key Analysis'!$C117,$A121-71,1))</f>
        <v/>
      </c>
      <c r="BW121" s="29" t="str">
        <f>IF(OR($B121="",$A121&lt;=72),"",--MID('Key Analysis'!$C117,$A121-72,1))</f>
        <v/>
      </c>
      <c r="BX121" s="29" t="str">
        <f>IF(OR($B121="",$A121&lt;=73),"",--MID('Key Analysis'!$C117,$A121-73,1))</f>
        <v/>
      </c>
      <c r="BY121" s="29" t="str">
        <f>IF(OR($B121="",$A121&lt;=74),"",--MID('Key Analysis'!$C117,$A121-74,1))</f>
        <v/>
      </c>
      <c r="BZ121" s="29" t="str">
        <f>IF(OR($B121="",$A121&lt;=75),"",--MID('Key Analysis'!$C117,$A121-75,1))</f>
        <v/>
      </c>
      <c r="CA121" s="29" t="str">
        <f>IF(OR($B121="",$A121&lt;=76),"",--MID('Key Analysis'!$C117,$A121-76,1))</f>
        <v/>
      </c>
      <c r="CB121" s="29" t="str">
        <f>IF(OR($B121="",$A121&lt;=77),"",--MID('Key Analysis'!$C117,$A121-77,1))</f>
        <v/>
      </c>
      <c r="CC121" s="29" t="str">
        <f>IF(OR($B121="",$A121&lt;=78),"",--MID('Key Analysis'!$C117,$A121-78,1))</f>
        <v/>
      </c>
      <c r="CD121" s="29" t="str">
        <f>IF(OR($B121="",$A121&lt;=79),"",--MID('Key Analysis'!$C117,$A121-79,1))</f>
        <v/>
      </c>
      <c r="CE121" s="29" t="str">
        <f>IF(OR($B121="",$A121&lt;=80),"",--MID('Key Analysis'!$C117,$A121-80,1))</f>
        <v/>
      </c>
      <c r="CF121" s="29" t="str">
        <f>IF(OR($B121="",$A121&lt;=81),"",--MID('Key Analysis'!$C117,$A121-81,1))</f>
        <v/>
      </c>
      <c r="CG121" s="29" t="str">
        <f>IF(OR($B121="",$A121&lt;=82),"",--MID('Key Analysis'!$C117,$A121-82,1))</f>
        <v/>
      </c>
      <c r="CH121" s="29" t="str">
        <f>IF(OR($B121="",$A121&lt;=83),"",--MID('Key Analysis'!$C117,$A121-83,1))</f>
        <v/>
      </c>
      <c r="CI121" s="29" t="str">
        <f>IF(OR($B121="",$A121&lt;=84),"",--MID('Key Analysis'!$C117,$A121-84,1))</f>
        <v/>
      </c>
      <c r="CJ121" s="29" t="str">
        <f>IF(OR($B121="",$A121&lt;=85),"",--MID('Key Analysis'!$C117,$A121-85,1))</f>
        <v/>
      </c>
      <c r="CK121" s="29" t="str">
        <f>IF(OR($B121="",$A121&lt;=86),"",--MID('Key Analysis'!$C117,$A121-86,1))</f>
        <v/>
      </c>
      <c r="CL121" s="29" t="str">
        <f>IF(OR($B121="",$A121&lt;=87),"",--MID('Key Analysis'!$C117,$A121-87,1))</f>
        <v/>
      </c>
      <c r="CM121" s="29" t="str">
        <f>IF(OR($B121="",$A121&lt;=88),"",--MID('Key Analysis'!$C117,$A121-88,1))</f>
        <v/>
      </c>
      <c r="CN121" s="29" t="str">
        <f>IF(OR($B121="",$A121&lt;=89),"",--MID('Key Analysis'!$C117,$A121-89,1))</f>
        <v/>
      </c>
      <c r="CO121" s="29" t="str">
        <f>IF(OR($B121="",$A121&lt;=90),"",--MID('Key Analysis'!$C117,$A121-90,1))</f>
        <v/>
      </c>
      <c r="CP121" s="29" t="str">
        <f>IF(OR($B121="",$A121&lt;=91),"",--MID('Key Analysis'!$C117,$A121-91,1))</f>
        <v/>
      </c>
      <c r="CQ121" s="29" t="str">
        <f>IF(OR($B121="",$A121&lt;=92),"",--MID('Key Analysis'!$C117,$A121-92,1))</f>
        <v/>
      </c>
      <c r="CR121" s="29" t="str">
        <f>IF(OR($B121="",$A121&lt;=93),"",--MID('Key Analysis'!$C117,$A121-93,1))</f>
        <v/>
      </c>
      <c r="CS121" s="29" t="str">
        <f>IF(OR($B121="",$A121&lt;=94),"",--MID('Key Analysis'!$C117,$A121-94,1))</f>
        <v/>
      </c>
      <c r="CT121" s="29" t="str">
        <f>IF(OR($B121="",$A121&lt;=95),"",--MID('Key Analysis'!$C117,$A121-95,1))</f>
        <v/>
      </c>
      <c r="CU121" s="29" t="str">
        <f>IF(OR($B121="",$A121&lt;=96),"",--MID('Key Analysis'!$C117,$A121-96,1))</f>
        <v/>
      </c>
      <c r="CV121" s="29" t="str">
        <f>IF(OR($B121="",$A121&lt;=97),"",--MID('Key Analysis'!$C117,$A121-97,1))</f>
        <v/>
      </c>
      <c r="CW121" s="29" t="str">
        <f>IF(OR($B121="",$A121&lt;=98),"",--MID('Key Analysis'!$C117,$A121-98,1))</f>
        <v/>
      </c>
      <c r="CX121" s="29" t="str">
        <f>IF(OR($B121="",$A121&lt;=99),"",--MID('Key Analysis'!$C117,$A121-99,1))</f>
        <v/>
      </c>
      <c r="CY121" s="29" t="str">
        <f>IF(OR($B121="",$A121&lt;=100),"",--MID('Key Analysis'!$C117,$A121-100,1))</f>
        <v/>
      </c>
      <c r="CZ121" s="29" t="str">
        <f>IF(OR($B121="",$A121&lt;=101),"",--MID('Key Analysis'!$C117,$A121-101,1))</f>
        <v/>
      </c>
      <c r="DA121" s="29" t="str">
        <f>IF(OR($B121="",$A121&lt;=102),"",--MID('Key Analysis'!$C117,$A121-102,1))</f>
        <v/>
      </c>
      <c r="DB121" s="29" t="str">
        <f>IF(OR($B121="",$A121&lt;=103),"",--MID('Key Analysis'!$C117,$A121-103,1))</f>
        <v/>
      </c>
      <c r="DC121" s="29" t="str">
        <f>IF(OR($B121="",$A121&lt;=104),"",--MID('Key Analysis'!$C117,$A121-104,1))</f>
        <v/>
      </c>
      <c r="DD121" s="29" t="str">
        <f>IF(OR($B121="",$A121&lt;=105),"",--MID('Key Analysis'!$C117,$A121-105,1))</f>
        <v/>
      </c>
      <c r="DE121" s="29" t="str">
        <f>IF(OR($B121="",$A121&lt;=106),"",--MID('Key Analysis'!$C117,$A121-106,1))</f>
        <v/>
      </c>
      <c r="DF121" s="29" t="str">
        <f>IF(OR($B121="",$A121&lt;=107),"",--MID('Key Analysis'!$C117,$A121-107,1))</f>
        <v/>
      </c>
      <c r="DG121" s="29" t="str">
        <f>IF(OR($B121="",$A121&lt;=108),"",--MID('Key Analysis'!$C117,$A121-108,1))</f>
        <v/>
      </c>
      <c r="DH121" s="29" t="str">
        <f>IF(OR($B121="",$A121&lt;=109),"",--MID('Key Analysis'!$C117,$A121-109,1))</f>
        <v/>
      </c>
      <c r="DI121" s="29" t="str">
        <f>IF(OR($B121="",$A121&lt;=110),"",--MID('Key Analysis'!$C117,$A121-110,1))</f>
        <v/>
      </c>
      <c r="DJ121" s="29" t="str">
        <f>IF(OR($B121="",$A121&lt;=111),"",--MID('Key Analysis'!$C117,$A121-111,1))</f>
        <v/>
      </c>
      <c r="DK121" s="29" t="str">
        <f>IF(OR($B121="",$A121&lt;=112),"",--MID('Key Analysis'!$C117,$A121-112,1))</f>
        <v/>
      </c>
      <c r="DL121" s="29" t="str">
        <f>IF(OR($B121="",$A121&lt;=113),"",--MID('Key Analysis'!$C117,$A121-113,1))</f>
        <v/>
      </c>
      <c r="DM121" s="29" t="str">
        <f>IF(OR($B121="",$A121&lt;=114),"",--MID('Key Analysis'!$C117,$A121-114,1))</f>
        <v/>
      </c>
      <c r="DN121" s="29" t="str">
        <f>IF(OR($B121="",$A121&lt;=115),"",--MID('Key Analysis'!$C117,$A121-115,1))</f>
        <v/>
      </c>
      <c r="DO121" s="29" t="str">
        <f>IF(OR($B121="",$A121&lt;=116),"",--MID('Key Analysis'!$C117,$A121-116,1))</f>
        <v/>
      </c>
      <c r="DP121" s="29" t="str">
        <f>IF(OR($B121="",$A121&lt;=117),"",--MID('Key Analysis'!$C117,$A121-117,1))</f>
        <v/>
      </c>
      <c r="DQ121" s="29" t="str">
        <f>IF(OR($B121="",$A121&lt;=118),"",--MID('Key Analysis'!$C117,$A121-118,1))</f>
        <v/>
      </c>
      <c r="DR121" s="29" t="str">
        <f>IF(OR($B121="",$A121&lt;=119),"",--MID('Key Analysis'!$C117,$A121-119,1))</f>
        <v/>
      </c>
      <c r="DS121" s="29" t="str">
        <f>IF(OR($B121="",$A121&lt;=120),"",--MID('Key Analysis'!$C117,$A121-120,1))</f>
        <v/>
      </c>
      <c r="DT121" s="29" t="str">
        <f>IF(OR($B121="",$A121&lt;=121),"",--MID('Key Analysis'!$C117,$A121-121,1))</f>
        <v/>
      </c>
      <c r="DU121" s="29" t="str">
        <f>IF(OR($B121="",$A121&lt;=122),"",--MID('Key Analysis'!$C117,$A121-122,1))</f>
        <v/>
      </c>
      <c r="DV121" s="29" t="str">
        <f>IF(OR($B121="",$A121&lt;=123),"",--MID('Key Analysis'!$C117,$A121-123,1))</f>
        <v/>
      </c>
      <c r="DW121" s="29" t="str">
        <f>IF(OR($B121="",$A121&lt;=124),"",--MID('Key Analysis'!$C117,$A121-124,1))</f>
        <v/>
      </c>
      <c r="DX121" s="29" t="str">
        <f>IF(OR($B121="",$A121&lt;=125),"",--MID('Key Analysis'!$C117,$A121-125,1))</f>
        <v/>
      </c>
      <c r="DY121" s="29" t="str">
        <f>IF(OR($B121="",$A121&lt;=126),"",--MID('Key Analysis'!$C117,$A121-126,1))</f>
        <v/>
      </c>
      <c r="DZ121" s="29" t="str">
        <f>IF(OR($B121="",$A121&lt;=127),"",--MID('Key Analysis'!$C117,$A121-127,1))</f>
        <v/>
      </c>
      <c r="EA121" s="29" t="str">
        <f>IF(OR($B121="",$A121&lt;=128),"",--MID('Key Analysis'!$C117,$A121-128,1))</f>
        <v/>
      </c>
      <c r="EB121" s="29" t="str">
        <f>IF(OR($B121="",$A121&lt;=129),"",--MID('Key Analysis'!$C117,$A121-129,1))</f>
        <v/>
      </c>
      <c r="EC121" s="29" t="str">
        <f>IF(OR($B121="",$A121&lt;=130),"",--MID('Key Analysis'!$C117,$A121-130,1))</f>
        <v/>
      </c>
      <c r="ED121" s="29" t="str">
        <f>IF(OR($B121="",$A121&lt;=131),"",--MID('Key Analysis'!$C117,$A121-131,1))</f>
        <v/>
      </c>
      <c r="EE121" s="29" t="str">
        <f>IF(OR($B121="",$A121&lt;=132),"",--MID('Key Analysis'!$C117,$A121-132,1))</f>
        <v/>
      </c>
      <c r="EF121" s="29" t="str">
        <f>IF(OR($B121="",$A121&lt;=133),"",--MID('Key Analysis'!$C117,$A121-133,1))</f>
        <v/>
      </c>
      <c r="EG121" s="29" t="str">
        <f>IF(OR($B121="",$A121&lt;=134),"",--MID('Key Analysis'!$C117,$A121-134,1))</f>
        <v/>
      </c>
      <c r="EH121" s="29"/>
      <c r="EI121" s="29" t="str">
        <f>IF(OR($B121="",$A121&lt;1),"",--MID('Key Analysis'!$C117,1,1))</f>
        <v/>
      </c>
      <c r="EJ121" s="29" t="str">
        <f>IF(OR($B121="",$A121&lt;2),"",--MID('Key Analysis'!$C117,2,1))</f>
        <v/>
      </c>
      <c r="EK121" s="29" t="str">
        <f>IF(OR($B121="",$A121&lt;3),"",--MID('Key Analysis'!$C117,3,1))</f>
        <v/>
      </c>
      <c r="EL121" s="29" t="str">
        <f>IF(OR($B121="",$A121&lt;4),"",--MID('Key Analysis'!$C117,4,1))</f>
        <v/>
      </c>
      <c r="EM121" s="29" t="str">
        <f>IF(OR($B121="",$A121&lt;5),"",--MID('Key Analysis'!$C117,5,1))</f>
        <v/>
      </c>
      <c r="EN121" s="29" t="str">
        <f>IF(OR($B121="",$A121&lt;6),"",--MID('Key Analysis'!$C117,6,1))</f>
        <v/>
      </c>
      <c r="EO121" s="29" t="str">
        <f>IF(OR($B121="",$A121&lt;7),"",--MID('Key Analysis'!$C117,7,1))</f>
        <v/>
      </c>
      <c r="EP121" s="29" t="str">
        <f>IF(OR($B121="",$A121&lt;8),"",--MID('Key Analysis'!$C117,8,1))</f>
        <v/>
      </c>
      <c r="EQ121" s="29" t="str">
        <f>IF(OR($B121="",$A121&lt;9),"",--MID('Key Analysis'!$C117,9,1))</f>
        <v/>
      </c>
      <c r="ER121" s="29" t="str">
        <f>IF(OR($B121="",$A121&lt;10),"",--MID('Key Analysis'!$C117,10,1))</f>
        <v/>
      </c>
      <c r="ES121" s="29" t="str">
        <f>IF(OR($B121="",$A121&lt;11),"",--MID('Key Analysis'!$C117,11,1))</f>
        <v/>
      </c>
      <c r="ET121" s="29" t="str">
        <f>IF(OR($B121="",$A121&lt;12),"",--MID('Key Analysis'!$C117,12,1))</f>
        <v/>
      </c>
      <c r="EU121" s="29" t="str">
        <f>IF(OR($B121="",$A121&lt;13),"",--MID('Key Analysis'!$C117,13,1))</f>
        <v/>
      </c>
      <c r="EV121" s="29" t="str">
        <f>IF(OR($B121="",$A121&lt;14),"",--MID('Key Analysis'!$C117,14,1))</f>
        <v/>
      </c>
      <c r="EW121" s="29" t="str">
        <f>IF(OR($B121="",$A121&lt;15),"",--MID('Key Analysis'!$C117,15,1))</f>
        <v/>
      </c>
      <c r="EX121" s="29" t="str">
        <f>IF(OR($B121="",$A121&lt;16),"",--MID('Key Analysis'!$C117,16,1))</f>
        <v/>
      </c>
      <c r="EY121" s="29" t="str">
        <f>IF(OR($B121="",$A121&lt;17),"",--MID('Key Analysis'!$C117,17,1))</f>
        <v/>
      </c>
      <c r="EZ121" s="29" t="str">
        <f>IF(OR($B121="",$A121&lt;18),"",--MID('Key Analysis'!$C117,18,1))</f>
        <v/>
      </c>
      <c r="FA121" s="29" t="str">
        <f>IF(OR($B121="",$A121&lt;19),"",--MID('Key Analysis'!$C117,19,1))</f>
        <v/>
      </c>
      <c r="FB121" s="29" t="str">
        <f>IF(OR($B121="",$A121&lt;20),"",--MID('Key Analysis'!$C117,20,1))</f>
        <v/>
      </c>
      <c r="FC121" s="29" t="str">
        <f>IF(OR($B121="",$A121&lt;21),"",--MID('Key Analysis'!$C117,21,1))</f>
        <v/>
      </c>
      <c r="FD121" s="29" t="str">
        <f>IF(OR($B121="",$A121&lt;22),"",--MID('Key Analysis'!$C117,22,1))</f>
        <v/>
      </c>
      <c r="FE121" s="29" t="str">
        <f>IF(OR($B121="",$A121&lt;23),"",--MID('Key Analysis'!$C117,23,1))</f>
        <v/>
      </c>
      <c r="FF121" s="29" t="str">
        <f>IF(OR($B121="",$A121&lt;24),"",--MID('Key Analysis'!$C117,24,1))</f>
        <v/>
      </c>
      <c r="FG121" s="29" t="str">
        <f>IF(OR($B121="",$A121&lt;25),"",--MID('Key Analysis'!$C117,25,1))</f>
        <v/>
      </c>
      <c r="FH121" s="29" t="str">
        <f>IF(OR($B121="",$A121&lt;26),"",--MID('Key Analysis'!$C117,26,1))</f>
        <v/>
      </c>
      <c r="FI121" s="29" t="str">
        <f>IF(OR($B121="",$A121&lt;27),"",--MID('Key Analysis'!$C117,27,1))</f>
        <v/>
      </c>
      <c r="FJ121" s="29" t="str">
        <f>IF(OR($B121="",$A121&lt;28),"",--MID('Key Analysis'!$C117,28,1))</f>
        <v/>
      </c>
      <c r="FK121" s="29" t="str">
        <f>IF(OR($B121="",$A121&lt;29),"",--MID('Key Analysis'!$C117,29,1))</f>
        <v/>
      </c>
      <c r="FL121" s="29" t="str">
        <f>IF(OR($B121="",$A121&lt;30),"",--MID('Key Analysis'!$C117,30,1))</f>
        <v/>
      </c>
      <c r="FM121" s="29" t="str">
        <f>IF(OR($B121="",$A121&lt;31),"",--MID('Key Analysis'!$C117,31,1))</f>
        <v/>
      </c>
      <c r="FN121" s="29" t="str">
        <f>IF(OR($B121="",$A121&lt;32),"",--MID('Key Analysis'!$C117,32,1))</f>
        <v/>
      </c>
      <c r="FO121" s="29" t="str">
        <f>IF(OR($B121="",$A121&lt;33),"",--MID('Key Analysis'!$C117,33,1))</f>
        <v/>
      </c>
      <c r="FP121" s="29" t="str">
        <f>IF(OR($B121="",$A121&lt;34),"",--MID('Key Analysis'!$C117,34,1))</f>
        <v/>
      </c>
      <c r="FQ121" s="29" t="str">
        <f>IF(OR($B121="",$A121&lt;35),"",--MID('Key Analysis'!$C117,35,1))</f>
        <v/>
      </c>
      <c r="FR121" s="29" t="str">
        <f>IF(OR($B121="",$A121&lt;36),"",--MID('Key Analysis'!$C117,36,1))</f>
        <v/>
      </c>
      <c r="FS121" s="29" t="str">
        <f>IF(OR($B121="",$A121&lt;37),"",--MID('Key Analysis'!$C117,37,1))</f>
        <v/>
      </c>
      <c r="FT121" s="29" t="str">
        <f>IF(OR($B121="",$A121&lt;38),"",--MID('Key Analysis'!$C117,38,1))</f>
        <v/>
      </c>
      <c r="FU121" s="29" t="str">
        <f>IF(OR($B121="",$A121&lt;39),"",--MID('Key Analysis'!$C117,39,1))</f>
        <v/>
      </c>
      <c r="FV121" s="29" t="str">
        <f>IF(OR($B121="",$A121&lt;40),"",--MID('Key Analysis'!$C117,40,1))</f>
        <v/>
      </c>
      <c r="FW121" s="29" t="str">
        <f>IF(OR($B121="",$A121&lt;41),"",--MID('Key Analysis'!$C117,41,1))</f>
        <v/>
      </c>
      <c r="FX121" s="29" t="str">
        <f>IF(OR($B121="",$A121&lt;42),"",--MID('Key Analysis'!$C117,42,1))</f>
        <v/>
      </c>
      <c r="FY121" s="29" t="str">
        <f>IF(OR($B121="",$A121&lt;43),"",--MID('Key Analysis'!$C117,43,1))</f>
        <v/>
      </c>
      <c r="FZ121" s="29" t="str">
        <f>IF(OR($B121="",$A121&lt;44),"",--MID('Key Analysis'!$C117,44,1))</f>
        <v/>
      </c>
      <c r="GA121" s="29" t="str">
        <f>IF(OR($B121="",$A121&lt;45),"",--MID('Key Analysis'!$C117,45,1))</f>
        <v/>
      </c>
      <c r="GB121" s="29" t="str">
        <f>IF(OR($B121="",$A121&lt;46),"",--MID('Key Analysis'!$C117,46,1))</f>
        <v/>
      </c>
      <c r="GC121" s="29" t="str">
        <f>IF(OR($B121="",$A121&lt;47),"",--MID('Key Analysis'!$C117,47,1))</f>
        <v/>
      </c>
      <c r="GD121" s="29" t="str">
        <f>IF(OR($B121="",$A121&lt;48),"",--MID('Key Analysis'!$C117,48,1))</f>
        <v/>
      </c>
      <c r="GE121" s="29" t="str">
        <f>IF(OR($B121="",$A121&lt;49),"",--MID('Key Analysis'!$C117,49,1))</f>
        <v/>
      </c>
      <c r="GF121" s="29" t="str">
        <f>IF(OR($B121="",$A121&lt;50),"",--MID('Key Analysis'!$C117,50,1))</f>
        <v/>
      </c>
      <c r="GG121" s="29" t="str">
        <f>IF(OR($B121="",$A121&lt;51),"",--MID('Key Analysis'!$C117,51,1))</f>
        <v/>
      </c>
      <c r="GH121" s="29" t="str">
        <f>IF(OR($B121="",$A121&lt;52),"",--MID('Key Analysis'!$C117,52,1))</f>
        <v/>
      </c>
      <c r="GI121" s="29" t="str">
        <f>IF(OR($B121="",$A121&lt;53),"",--MID('Key Analysis'!$C117,53,1))</f>
        <v/>
      </c>
      <c r="GJ121" s="29" t="str">
        <f>IF(OR($B121="",$A121&lt;54),"",--MID('Key Analysis'!$C117,54,1))</f>
        <v/>
      </c>
      <c r="GK121" s="29" t="str">
        <f>IF(OR($B121="",$A121&lt;55),"",--MID('Key Analysis'!$C117,55,1))</f>
        <v/>
      </c>
      <c r="GL121" s="29" t="str">
        <f>IF(OR($B121="",$A121&lt;56),"",--MID('Key Analysis'!$C117,56,1))</f>
        <v/>
      </c>
      <c r="GM121" s="29" t="str">
        <f>IF(OR($B121="",$A121&lt;57),"",--MID('Key Analysis'!$C117,57,1))</f>
        <v/>
      </c>
      <c r="GN121" s="29" t="str">
        <f>IF(OR($B121="",$A121&lt;58),"",--MID('Key Analysis'!$C117,58,1))</f>
        <v/>
      </c>
      <c r="GO121" s="29" t="str">
        <f>IF(OR($B121="",$A121&lt;59),"",--MID('Key Analysis'!$C117,59,1))</f>
        <v/>
      </c>
      <c r="GP121" s="29" t="str">
        <f>IF(OR($B121="",$A121&lt;60),"",--MID('Key Analysis'!$C117,60,1))</f>
        <v/>
      </c>
      <c r="GQ121" s="29" t="str">
        <f>IF(OR($B121="",$A121&lt;61),"",--MID('Key Analysis'!$C117,61,1))</f>
        <v/>
      </c>
      <c r="GR121" s="29" t="str">
        <f>IF(OR($B121="",$A121&lt;62),"",--MID('Key Analysis'!$C117,62,1))</f>
        <v/>
      </c>
      <c r="GS121" s="29" t="str">
        <f>IF(OR($B121="",$A121&lt;63),"",--MID('Key Analysis'!$C117,63,1))</f>
        <v/>
      </c>
      <c r="GT121" s="29" t="str">
        <f>IF(OR($B121="",$A121&lt;64),"",--MID('Key Analysis'!$C117,64,1))</f>
        <v/>
      </c>
      <c r="GU121" s="29" t="str">
        <f>IF(OR($B121="",$A121&lt;65),"",--MID('Key Analysis'!$C117,65,1))</f>
        <v/>
      </c>
      <c r="GV121" s="29" t="str">
        <f>IF(OR($B121="",$A121&lt;66),"",--MID('Key Analysis'!$C117,66,1))</f>
        <v/>
      </c>
      <c r="GW121" s="29" t="str">
        <f>IF(OR($B121="",$A121&lt;67),"",--MID('Key Analysis'!$C117,67,1))</f>
        <v/>
      </c>
      <c r="GX121" s="29" t="str">
        <f>IF(OR($B121="",$A121&lt;68),"",--MID('Key Analysis'!$C117,68,1))</f>
        <v/>
      </c>
      <c r="GY121" s="29" t="str">
        <f>IF(OR($B121="",$A121&lt;69),"",--MID('Key Analysis'!$C117,69,1))</f>
        <v/>
      </c>
      <c r="GZ121" s="29" t="str">
        <f>IF(OR($B121="",$A121&lt;70),"",--MID('Key Analysis'!$C117,70,1))</f>
        <v/>
      </c>
      <c r="HA121" s="29" t="str">
        <f>IF(OR($B121="",$A121&lt;71),"",--MID('Key Analysis'!$C117,71,1))</f>
        <v/>
      </c>
      <c r="HB121" s="29" t="str">
        <f>IF(OR($B121="",$A121&lt;72),"",--MID('Key Analysis'!$C117,72,1))</f>
        <v/>
      </c>
      <c r="HC121" s="29" t="str">
        <f>IF(OR($B121="",$A121&lt;73),"",--MID('Key Analysis'!$C117,73,1))</f>
        <v/>
      </c>
      <c r="HD121" s="29" t="str">
        <f>IF(OR($B121="",$A121&lt;74),"",--MID('Key Analysis'!$C117,74,1))</f>
        <v/>
      </c>
      <c r="HE121" s="29" t="str">
        <f>IF(OR($B121="",$A121&lt;75),"",--MID('Key Analysis'!$C117,75,1))</f>
        <v/>
      </c>
      <c r="HF121" s="29" t="str">
        <f>IF(OR($B121="",$A121&lt;76),"",--MID('Key Analysis'!$C117,76,1))</f>
        <v/>
      </c>
      <c r="HG121" s="29" t="str">
        <f>IF(OR($B121="",$A121&lt;77),"",--MID('Key Analysis'!$C117,77,1))</f>
        <v/>
      </c>
      <c r="HH121" s="29" t="str">
        <f>IF(OR($B121="",$A121&lt;78),"",--MID('Key Analysis'!$C117,78,1))</f>
        <v/>
      </c>
      <c r="HI121" s="29" t="str">
        <f>IF(OR($B121="",$A121&lt;79),"",--MID('Key Analysis'!$C117,79,1))</f>
        <v/>
      </c>
      <c r="HJ121" s="29" t="str">
        <f>IF(OR($B121="",$A121&lt;80),"",--MID('Key Analysis'!$C117,80,1))</f>
        <v/>
      </c>
      <c r="HK121" s="29" t="str">
        <f>IF(OR($B121="",$A121&lt;81),"",--MID('Key Analysis'!$C117,81,1))</f>
        <v/>
      </c>
      <c r="HL121" s="29" t="str">
        <f>IF(OR($B121="",$A121&lt;82),"",--MID('Key Analysis'!$C117,82,1))</f>
        <v/>
      </c>
      <c r="HM121" s="29" t="str">
        <f>IF(OR($B121="",$A121&lt;83),"",--MID('Key Analysis'!$C117,83,1))</f>
        <v/>
      </c>
      <c r="HN121" s="29" t="str">
        <f>IF(OR($B121="",$A121&lt;84),"",--MID('Key Analysis'!$C117,84,1))</f>
        <v/>
      </c>
      <c r="HO121" s="29" t="str">
        <f>IF(OR($B121="",$A121&lt;85),"",--MID('Key Analysis'!$C117,85,1))</f>
        <v/>
      </c>
      <c r="HP121" s="29" t="str">
        <f>IF(OR($B121="",$A121&lt;86),"",--MID('Key Analysis'!$C117,86,1))</f>
        <v/>
      </c>
      <c r="HQ121" s="29" t="str">
        <f>IF(OR($B121="",$A121&lt;87),"",--MID('Key Analysis'!$C117,87,1))</f>
        <v/>
      </c>
      <c r="HR121" s="29" t="str">
        <f>IF(OR($B121="",$A121&lt;88),"",--MID('Key Analysis'!$C117,88,1))</f>
        <v/>
      </c>
      <c r="HS121" s="29" t="str">
        <f>IF(OR($B121="",$A121&lt;89),"",--MID('Key Analysis'!$C117,89,1))</f>
        <v/>
      </c>
      <c r="HT121" s="29" t="str">
        <f>IF(OR($B121="",$A121&lt;90),"",--MID('Key Analysis'!$C117,90,1))</f>
        <v/>
      </c>
      <c r="HU121" s="29" t="str">
        <f>IF(OR($B121="",$A121&lt;91),"",--MID('Key Analysis'!$C117,91,1))</f>
        <v/>
      </c>
      <c r="HV121" s="29" t="str">
        <f>IF(OR($B121="",$A121&lt;92),"",--MID('Key Analysis'!$C117,92,1))</f>
        <v/>
      </c>
      <c r="HW121" s="29" t="str">
        <f>IF(OR($B121="",$A121&lt;93),"",--MID('Key Analysis'!$C117,93,1))</f>
        <v/>
      </c>
      <c r="HX121" s="29" t="str">
        <f>IF(OR($B121="",$A121&lt;94),"",--MID('Key Analysis'!$C117,94,1))</f>
        <v/>
      </c>
      <c r="HY121" s="29" t="str">
        <f>IF(OR($B121="",$A121&lt;95),"",--MID('Key Analysis'!$C117,95,1))</f>
        <v/>
      </c>
      <c r="HZ121" s="29" t="str">
        <f>IF(OR($B121="",$A121&lt;96),"",--MID('Key Analysis'!$C117,96,1))</f>
        <v/>
      </c>
      <c r="IA121" s="29" t="str">
        <f>IF(OR($B121="",$A121&lt;97),"",--MID('Key Analysis'!$C117,97,1))</f>
        <v/>
      </c>
      <c r="IB121" s="29" t="str">
        <f>IF(OR($B121="",$A121&lt;98),"",--MID('Key Analysis'!$C117,98,1))</f>
        <v/>
      </c>
      <c r="IC121" s="29" t="str">
        <f>IF(OR($B121="",$A121&lt;99),"",--MID('Key Analysis'!$C117,99,1))</f>
        <v/>
      </c>
      <c r="ID121" s="29" t="str">
        <f>IF(OR($B121="",$A121&lt;100),"",--MID('Key Analysis'!$C117,100,1))</f>
        <v/>
      </c>
      <c r="IE121" s="29" t="str">
        <f>IF(OR($B121="",$A121&lt;101),"",--MID('Key Analysis'!$C117,101,1))</f>
        <v/>
      </c>
      <c r="IF121" s="29" t="str">
        <f>IF(OR($B121="",$A121&lt;102),"",--MID('Key Analysis'!$C117,102,1))</f>
        <v/>
      </c>
      <c r="IG121" s="29" t="str">
        <f>IF(OR($B121="",$A121&lt;103),"",--MID('Key Analysis'!$C117,103,1))</f>
        <v/>
      </c>
      <c r="IH121" s="29" t="str">
        <f>IF(OR($B121="",$A121&lt;104),"",--MID('Key Analysis'!$C117,104,1))</f>
        <v/>
      </c>
      <c r="II121" s="29" t="str">
        <f>IF(OR($B121="",$A121&lt;105),"",--MID('Key Analysis'!$C117,105,1))</f>
        <v/>
      </c>
      <c r="IJ121" s="29" t="str">
        <f>IF(OR($B121="",$A121&lt;106),"",--MID('Key Analysis'!$C117,106,1))</f>
        <v/>
      </c>
      <c r="IK121" s="29" t="str">
        <f>IF(OR($B121="",$A121&lt;107),"",--MID('Key Analysis'!$C117,107,1))</f>
        <v/>
      </c>
      <c r="IL121" s="29" t="str">
        <f>IF(OR($B121="",$A121&lt;108),"",--MID('Key Analysis'!$C117,108,1))</f>
        <v/>
      </c>
      <c r="IM121" s="29" t="str">
        <f>IF(OR($B121="",$A121&lt;109),"",--MID('Key Analysis'!$C117,109,1))</f>
        <v/>
      </c>
      <c r="IN121" s="29" t="str">
        <f>IF(OR($B121="",$A121&lt;110),"",--MID('Key Analysis'!$C117,110,1))</f>
        <v/>
      </c>
      <c r="IO121" s="29" t="str">
        <f>IF(OR($B121="",$A121&lt;111),"",--MID('Key Analysis'!$C117,111,1))</f>
        <v/>
      </c>
      <c r="IP121" s="29" t="str">
        <f>IF(OR($B121="",$A121&lt;112),"",--MID('Key Analysis'!$C117,112,1))</f>
        <v/>
      </c>
      <c r="IQ121" s="29" t="str">
        <f>IF(OR($B121="",$A121&lt;113),"",--MID('Key Analysis'!$C117,113,1))</f>
        <v/>
      </c>
      <c r="IR121" s="29" t="str">
        <f>IF(OR($B121="",$A121&lt;114),"",--MID('Key Analysis'!$C117,114,1))</f>
        <v/>
      </c>
      <c r="IS121" s="29" t="str">
        <f>IF(OR($B121="",$A121&lt;115),"",--MID('Key Analysis'!$C117,115,1))</f>
        <v/>
      </c>
      <c r="IT121" s="29" t="str">
        <f>IF(OR($B121="",$A121&lt;116),"",--MID('Key Analysis'!$C117,116,1))</f>
        <v/>
      </c>
      <c r="IU121" s="29" t="str">
        <f>IF(OR($B121="",$A121&lt;117),"",--MID('Key Analysis'!$C117,117,1))</f>
        <v/>
      </c>
      <c r="IV121" s="29" t="str">
        <f>IF(OR($B121="",$A121&lt;118),"",--MID('Key Analysis'!$C117,118,1))</f>
        <v/>
      </c>
      <c r="IW121" s="29" t="str">
        <f>IF(OR($B121="",$A121&lt;119),"",--MID('Key Analysis'!$C117,119,1))</f>
        <v/>
      </c>
      <c r="IX121" s="29" t="str">
        <f>IF(OR($B121="",$A121&lt;120),"",--MID('Key Analysis'!$C117,120,1))</f>
        <v/>
      </c>
      <c r="IY121" s="29" t="str">
        <f>IF(OR($B121="",$A121&lt;121),"",--MID('Key Analysis'!$C117,121,1))</f>
        <v/>
      </c>
      <c r="IZ121" s="29" t="str">
        <f>IF(OR($B121="",$A121&lt;122),"",--MID('Key Analysis'!$C117,122,1))</f>
        <v/>
      </c>
      <c r="JA121" s="29" t="str">
        <f>IF(OR($B121="",$A121&lt;123),"",--MID('Key Analysis'!$C117,123,1))</f>
        <v/>
      </c>
      <c r="JB121" s="29" t="str">
        <f>IF(OR($B121="",$A121&lt;124),"",--MID('Key Analysis'!$C117,124,1))</f>
        <v/>
      </c>
      <c r="JC121" s="29" t="str">
        <f>IF(OR($B121="",$A121&lt;125),"",--MID('Key Analysis'!$C117,125,1))</f>
        <v/>
      </c>
      <c r="JD121" s="29" t="str">
        <f>IF(OR($B121="",$A121&lt;126),"",--MID('Key Analysis'!$C117,126,1))</f>
        <v/>
      </c>
      <c r="JE121" s="29" t="str">
        <f>IF(OR($B121="",$A121&lt;127),"",--MID('Key Analysis'!$C117,127,1))</f>
        <v/>
      </c>
      <c r="JF121" s="29" t="str">
        <f>IF(OR($B121="",$A121&lt;128),"",--MID('Key Analysis'!$C117,128,1))</f>
        <v/>
      </c>
      <c r="JG121" s="29" t="str">
        <f>IF(OR($B121="",$A121&lt;129),"",--MID('Key Analysis'!$C117,129,1))</f>
        <v/>
      </c>
      <c r="JH121" s="29" t="str">
        <f>IF(OR($B121="",$A121&lt;130),"",--MID('Key Analysis'!$C117,130,1))</f>
        <v/>
      </c>
      <c r="JI121" s="29" t="str">
        <f>IF(OR($B121="",$A121&lt;131),"",--MID('Key Analysis'!$C117,131,1))</f>
        <v/>
      </c>
      <c r="JJ121" s="29" t="str">
        <f>IF(OR($B121="",$A121&lt;132),"",--MID('Key Analysis'!$C117,132,1))</f>
        <v/>
      </c>
      <c r="JK121" s="29" t="str">
        <f>IF(OR($B121="",$A121&lt;133),"",--MID('Key Analysis'!$C117,133,1))</f>
        <v/>
      </c>
      <c r="JL121" s="29" t="str">
        <f>IF(OR($B121="",$A121&lt;134),"",--MID('Key Analysis'!$C117,134,1))</f>
        <v/>
      </c>
      <c r="JM121" s="29" t="str">
        <f>IF(OR($B121="",$A121&lt;135),"",--MID('Key Analysis'!$C117,135,1))</f>
        <v/>
      </c>
    </row>
    <row r="122" spans="1:273" x14ac:dyDescent="0.25">
      <c r="A122" s="21">
        <f>'Key Analysis'!A118</f>
        <v>117</v>
      </c>
      <c r="B122" s="30" t="str">
        <f>'Key Analysis'!B118</f>
        <v/>
      </c>
      <c r="C122" s="29" t="str">
        <f>IF(OR($B122="",$A122&lt;=0),"",--MID('Key Analysis'!$C118,$A122-0,1))</f>
        <v/>
      </c>
      <c r="D122" s="29" t="str">
        <f>IF(OR($B122="",$A122&lt;=1),"",--MID('Key Analysis'!$C118,$A122-1,1))</f>
        <v/>
      </c>
      <c r="E122" s="29" t="str">
        <f>IF(OR($B122="",$A122&lt;=2),"",--MID('Key Analysis'!$C118,$A122-2,1))</f>
        <v/>
      </c>
      <c r="F122" s="29" t="str">
        <f>IF(OR($B122="",$A122&lt;=3),"",--MID('Key Analysis'!$C118,$A122-3,1))</f>
        <v/>
      </c>
      <c r="G122" s="29" t="str">
        <f>IF(OR($B122="",$A122&lt;=4),"",--MID('Key Analysis'!$C118,$A122-4,1))</f>
        <v/>
      </c>
      <c r="H122" s="29" t="str">
        <f>IF(OR($B122="",$A122&lt;=5),"",--MID('Key Analysis'!$C118,$A122-5,1))</f>
        <v/>
      </c>
      <c r="I122" s="29" t="str">
        <f>IF(OR($B122="",$A122&lt;=6),"",--MID('Key Analysis'!$C118,$A122-6,1))</f>
        <v/>
      </c>
      <c r="J122" s="29" t="str">
        <f>IF(OR($B122="",$A122&lt;=7),"",--MID('Key Analysis'!$C118,$A122-7,1))</f>
        <v/>
      </c>
      <c r="K122" s="29" t="str">
        <f>IF(OR($B122="",$A122&lt;=8),"",--MID('Key Analysis'!$C118,$A122-8,1))</f>
        <v/>
      </c>
      <c r="L122" s="29" t="str">
        <f>IF(OR($B122="",$A122&lt;=9),"",--MID('Key Analysis'!$C118,$A122-9,1))</f>
        <v/>
      </c>
      <c r="M122" s="29" t="str">
        <f>IF(OR($B122="",$A122&lt;=10),"",--MID('Key Analysis'!$C118,$A122-10,1))</f>
        <v/>
      </c>
      <c r="N122" s="29" t="str">
        <f>IF(OR($B122="",$A122&lt;=11),"",--MID('Key Analysis'!$C118,$A122-11,1))</f>
        <v/>
      </c>
      <c r="O122" s="29" t="str">
        <f>IF(OR($B122="",$A122&lt;=12),"",--MID('Key Analysis'!$C118,$A122-12,1))</f>
        <v/>
      </c>
      <c r="P122" s="29" t="str">
        <f>IF(OR($B122="",$A122&lt;=13),"",--MID('Key Analysis'!$C118,$A122-13,1))</f>
        <v/>
      </c>
      <c r="Q122" s="29" t="str">
        <f>IF(OR($B122="",$A122&lt;=14),"",--MID('Key Analysis'!$C118,$A122-14,1))</f>
        <v/>
      </c>
      <c r="R122" s="29" t="str">
        <f>IF(OR($B122="",$A122&lt;=15),"",--MID('Key Analysis'!$C118,$A122-15,1))</f>
        <v/>
      </c>
      <c r="S122" s="29" t="str">
        <f>IF(OR($B122="",$A122&lt;=16),"",--MID('Key Analysis'!$C118,$A122-16,1))</f>
        <v/>
      </c>
      <c r="T122" s="29" t="str">
        <f>IF(OR($B122="",$A122&lt;=17),"",--MID('Key Analysis'!$C118,$A122-17,1))</f>
        <v/>
      </c>
      <c r="U122" s="29" t="str">
        <f>IF(OR($B122="",$A122&lt;=18),"",--MID('Key Analysis'!$C118,$A122-18,1))</f>
        <v/>
      </c>
      <c r="V122" s="29" t="str">
        <f>IF(OR($B122="",$A122&lt;=19),"",--MID('Key Analysis'!$C118,$A122-19,1))</f>
        <v/>
      </c>
      <c r="W122" s="29" t="str">
        <f>IF(OR($B122="",$A122&lt;=20),"",--MID('Key Analysis'!$C118,$A122-20,1))</f>
        <v/>
      </c>
      <c r="X122" s="29" t="str">
        <f>IF(OR($B122="",$A122&lt;=21),"",--MID('Key Analysis'!$C118,$A122-21,1))</f>
        <v/>
      </c>
      <c r="Y122" s="29" t="str">
        <f>IF(OR($B122="",$A122&lt;=22),"",--MID('Key Analysis'!$C118,$A122-22,1))</f>
        <v/>
      </c>
      <c r="Z122" s="29" t="str">
        <f>IF(OR($B122="",$A122&lt;=23),"",--MID('Key Analysis'!$C118,$A122-23,1))</f>
        <v/>
      </c>
      <c r="AA122" s="29" t="str">
        <f>IF(OR($B122="",$A122&lt;=24),"",--MID('Key Analysis'!$C118,$A122-24,1))</f>
        <v/>
      </c>
      <c r="AB122" s="29" t="str">
        <f>IF(OR($B122="",$A122&lt;=25),"",--MID('Key Analysis'!$C118,$A122-25,1))</f>
        <v/>
      </c>
      <c r="AC122" s="29" t="str">
        <f>IF(OR($B122="",$A122&lt;=26),"",--MID('Key Analysis'!$C118,$A122-26,1))</f>
        <v/>
      </c>
      <c r="AD122" s="29" t="str">
        <f>IF(OR($B122="",$A122&lt;=27),"",--MID('Key Analysis'!$C118,$A122-27,1))</f>
        <v/>
      </c>
      <c r="AE122" s="29" t="str">
        <f>IF(OR($B122="",$A122&lt;=28),"",--MID('Key Analysis'!$C118,$A122-28,1))</f>
        <v/>
      </c>
      <c r="AF122" s="29" t="str">
        <f>IF(OR($B122="",$A122&lt;=29),"",--MID('Key Analysis'!$C118,$A122-29,1))</f>
        <v/>
      </c>
      <c r="AG122" s="29" t="str">
        <f>IF(OR($B122="",$A122&lt;=30),"",--MID('Key Analysis'!$C118,$A122-30,1))</f>
        <v/>
      </c>
      <c r="AH122" s="29" t="str">
        <f>IF(OR($B122="",$A122&lt;=31),"",--MID('Key Analysis'!$C118,$A122-31,1))</f>
        <v/>
      </c>
      <c r="AI122" s="29" t="str">
        <f>IF(OR($B122="",$A122&lt;=32),"",--MID('Key Analysis'!$C118,$A122-32,1))</f>
        <v/>
      </c>
      <c r="AJ122" s="29" t="str">
        <f>IF(OR($B122="",$A122&lt;=33),"",--MID('Key Analysis'!$C118,$A122-33,1))</f>
        <v/>
      </c>
      <c r="AK122" s="29" t="str">
        <f>IF(OR($B122="",$A122&lt;=34),"",--MID('Key Analysis'!$C118,$A122-34,1))</f>
        <v/>
      </c>
      <c r="AL122" s="29" t="str">
        <f>IF(OR($B122="",$A122&lt;=35),"",--MID('Key Analysis'!$C118,$A122-35,1))</f>
        <v/>
      </c>
      <c r="AM122" s="29" t="str">
        <f>IF(OR($B122="",$A122&lt;=36),"",--MID('Key Analysis'!$C118,$A122-36,1))</f>
        <v/>
      </c>
      <c r="AN122" s="29" t="str">
        <f>IF(OR($B122="",$A122&lt;=37),"",--MID('Key Analysis'!$C118,$A122-37,1))</f>
        <v/>
      </c>
      <c r="AO122" s="29" t="str">
        <f>IF(OR($B122="",$A122&lt;=38),"",--MID('Key Analysis'!$C118,$A122-38,1))</f>
        <v/>
      </c>
      <c r="AP122" s="29" t="str">
        <f>IF(OR($B122="",$A122&lt;=39),"",--MID('Key Analysis'!$C118,$A122-39,1))</f>
        <v/>
      </c>
      <c r="AQ122" s="29" t="str">
        <f>IF(OR($B122="",$A122&lt;=40),"",--MID('Key Analysis'!$C118,$A122-40,1))</f>
        <v/>
      </c>
      <c r="AR122" s="29" t="str">
        <f>IF(OR($B122="",$A122&lt;=41),"",--MID('Key Analysis'!$C118,$A122-41,1))</f>
        <v/>
      </c>
      <c r="AS122" s="29" t="str">
        <f>IF(OR($B122="",$A122&lt;=42),"",--MID('Key Analysis'!$C118,$A122-42,1))</f>
        <v/>
      </c>
      <c r="AT122" s="29" t="str">
        <f>IF(OR($B122="",$A122&lt;=43),"",--MID('Key Analysis'!$C118,$A122-43,1))</f>
        <v/>
      </c>
      <c r="AU122" s="29" t="str">
        <f>IF(OR($B122="",$A122&lt;=44),"",--MID('Key Analysis'!$C118,$A122-44,1))</f>
        <v/>
      </c>
      <c r="AV122" s="29" t="str">
        <f>IF(OR($B122="",$A122&lt;=45),"",--MID('Key Analysis'!$C118,$A122-45,1))</f>
        <v/>
      </c>
      <c r="AW122" s="29" t="str">
        <f>IF(OR($B122="",$A122&lt;=46),"",--MID('Key Analysis'!$C118,$A122-46,1))</f>
        <v/>
      </c>
      <c r="AX122" s="29" t="str">
        <f>IF(OR($B122="",$A122&lt;=47),"",--MID('Key Analysis'!$C118,$A122-47,1))</f>
        <v/>
      </c>
      <c r="AY122" s="29" t="str">
        <f>IF(OR($B122="",$A122&lt;=48),"",--MID('Key Analysis'!$C118,$A122-48,1))</f>
        <v/>
      </c>
      <c r="AZ122" s="29" t="str">
        <f>IF(OR($B122="",$A122&lt;=49),"",--MID('Key Analysis'!$C118,$A122-49,1))</f>
        <v/>
      </c>
      <c r="BA122" s="29" t="str">
        <f>IF(OR($B122="",$A122&lt;=50),"",--MID('Key Analysis'!$C118,$A122-50,1))</f>
        <v/>
      </c>
      <c r="BB122" s="29" t="str">
        <f>IF(OR($B122="",$A122&lt;=51),"",--MID('Key Analysis'!$C118,$A122-51,1))</f>
        <v/>
      </c>
      <c r="BC122" s="29" t="str">
        <f>IF(OR($B122="",$A122&lt;=52),"",--MID('Key Analysis'!$C118,$A122-52,1))</f>
        <v/>
      </c>
      <c r="BD122" s="29" t="str">
        <f>IF(OR($B122="",$A122&lt;=53),"",--MID('Key Analysis'!$C118,$A122-53,1))</f>
        <v/>
      </c>
      <c r="BE122" s="29" t="str">
        <f>IF(OR($B122="",$A122&lt;=54),"",--MID('Key Analysis'!$C118,$A122-54,1))</f>
        <v/>
      </c>
      <c r="BF122" s="29" t="str">
        <f>IF(OR($B122="",$A122&lt;=55),"",--MID('Key Analysis'!$C118,$A122-55,1))</f>
        <v/>
      </c>
      <c r="BG122" s="29" t="str">
        <f>IF(OR($B122="",$A122&lt;=56),"",--MID('Key Analysis'!$C118,$A122-56,1))</f>
        <v/>
      </c>
      <c r="BH122" s="29" t="str">
        <f>IF(OR($B122="",$A122&lt;=57),"",--MID('Key Analysis'!$C118,$A122-57,1))</f>
        <v/>
      </c>
      <c r="BI122" s="29" t="str">
        <f>IF(OR($B122="",$A122&lt;=58),"",--MID('Key Analysis'!$C118,$A122-58,1))</f>
        <v/>
      </c>
      <c r="BJ122" s="29" t="str">
        <f>IF(OR($B122="",$A122&lt;=59),"",--MID('Key Analysis'!$C118,$A122-59,1))</f>
        <v/>
      </c>
      <c r="BK122" s="29" t="str">
        <f>IF(OR($B122="",$A122&lt;=60),"",--MID('Key Analysis'!$C118,$A122-60,1))</f>
        <v/>
      </c>
      <c r="BL122" s="29" t="str">
        <f>IF(OR($B122="",$A122&lt;=61),"",--MID('Key Analysis'!$C118,$A122-61,1))</f>
        <v/>
      </c>
      <c r="BM122" s="29" t="str">
        <f>IF(OR($B122="",$A122&lt;=62),"",--MID('Key Analysis'!$C118,$A122-62,1))</f>
        <v/>
      </c>
      <c r="BN122" s="29" t="str">
        <f>IF(OR($B122="",$A122&lt;=63),"",--MID('Key Analysis'!$C118,$A122-63,1))</f>
        <v/>
      </c>
      <c r="BO122" s="29" t="str">
        <f>IF(OR($B122="",$A122&lt;=64),"",--MID('Key Analysis'!$C118,$A122-64,1))</f>
        <v/>
      </c>
      <c r="BP122" s="29" t="str">
        <f>IF(OR($B122="",$A122&lt;=65),"",--MID('Key Analysis'!$C118,$A122-65,1))</f>
        <v/>
      </c>
      <c r="BQ122" s="29" t="str">
        <f>IF(OR($B122="",$A122&lt;=66),"",--MID('Key Analysis'!$C118,$A122-66,1))</f>
        <v/>
      </c>
      <c r="BR122" s="29" t="str">
        <f>IF(OR($B122="",$A122&lt;=67),"",--MID('Key Analysis'!$C118,$A122-67,1))</f>
        <v/>
      </c>
      <c r="BS122" s="29" t="str">
        <f>IF(OR($B122="",$A122&lt;=68),"",--MID('Key Analysis'!$C118,$A122-68,1))</f>
        <v/>
      </c>
      <c r="BT122" s="29" t="str">
        <f>IF(OR($B122="",$A122&lt;=69),"",--MID('Key Analysis'!$C118,$A122-69,1))</f>
        <v/>
      </c>
      <c r="BU122" s="29" t="str">
        <f>IF(OR($B122="",$A122&lt;=70),"",--MID('Key Analysis'!$C118,$A122-70,1))</f>
        <v/>
      </c>
      <c r="BV122" s="29" t="str">
        <f>IF(OR($B122="",$A122&lt;=71),"",--MID('Key Analysis'!$C118,$A122-71,1))</f>
        <v/>
      </c>
      <c r="BW122" s="29" t="str">
        <f>IF(OR($B122="",$A122&lt;=72),"",--MID('Key Analysis'!$C118,$A122-72,1))</f>
        <v/>
      </c>
      <c r="BX122" s="29" t="str">
        <f>IF(OR($B122="",$A122&lt;=73),"",--MID('Key Analysis'!$C118,$A122-73,1))</f>
        <v/>
      </c>
      <c r="BY122" s="29" t="str">
        <f>IF(OR($B122="",$A122&lt;=74),"",--MID('Key Analysis'!$C118,$A122-74,1))</f>
        <v/>
      </c>
      <c r="BZ122" s="29" t="str">
        <f>IF(OR($B122="",$A122&lt;=75),"",--MID('Key Analysis'!$C118,$A122-75,1))</f>
        <v/>
      </c>
      <c r="CA122" s="29" t="str">
        <f>IF(OR($B122="",$A122&lt;=76),"",--MID('Key Analysis'!$C118,$A122-76,1))</f>
        <v/>
      </c>
      <c r="CB122" s="29" t="str">
        <f>IF(OR($B122="",$A122&lt;=77),"",--MID('Key Analysis'!$C118,$A122-77,1))</f>
        <v/>
      </c>
      <c r="CC122" s="29" t="str">
        <f>IF(OR($B122="",$A122&lt;=78),"",--MID('Key Analysis'!$C118,$A122-78,1))</f>
        <v/>
      </c>
      <c r="CD122" s="29" t="str">
        <f>IF(OR($B122="",$A122&lt;=79),"",--MID('Key Analysis'!$C118,$A122-79,1))</f>
        <v/>
      </c>
      <c r="CE122" s="29" t="str">
        <f>IF(OR($B122="",$A122&lt;=80),"",--MID('Key Analysis'!$C118,$A122-80,1))</f>
        <v/>
      </c>
      <c r="CF122" s="29" t="str">
        <f>IF(OR($B122="",$A122&lt;=81),"",--MID('Key Analysis'!$C118,$A122-81,1))</f>
        <v/>
      </c>
      <c r="CG122" s="29" t="str">
        <f>IF(OR($B122="",$A122&lt;=82),"",--MID('Key Analysis'!$C118,$A122-82,1))</f>
        <v/>
      </c>
      <c r="CH122" s="29" t="str">
        <f>IF(OR($B122="",$A122&lt;=83),"",--MID('Key Analysis'!$C118,$A122-83,1))</f>
        <v/>
      </c>
      <c r="CI122" s="29" t="str">
        <f>IF(OR($B122="",$A122&lt;=84),"",--MID('Key Analysis'!$C118,$A122-84,1))</f>
        <v/>
      </c>
      <c r="CJ122" s="29" t="str">
        <f>IF(OR($B122="",$A122&lt;=85),"",--MID('Key Analysis'!$C118,$A122-85,1))</f>
        <v/>
      </c>
      <c r="CK122" s="29" t="str">
        <f>IF(OR($B122="",$A122&lt;=86),"",--MID('Key Analysis'!$C118,$A122-86,1))</f>
        <v/>
      </c>
      <c r="CL122" s="29" t="str">
        <f>IF(OR($B122="",$A122&lt;=87),"",--MID('Key Analysis'!$C118,$A122-87,1))</f>
        <v/>
      </c>
      <c r="CM122" s="29" t="str">
        <f>IF(OR($B122="",$A122&lt;=88),"",--MID('Key Analysis'!$C118,$A122-88,1))</f>
        <v/>
      </c>
      <c r="CN122" s="29" t="str">
        <f>IF(OR($B122="",$A122&lt;=89),"",--MID('Key Analysis'!$C118,$A122-89,1))</f>
        <v/>
      </c>
      <c r="CO122" s="29" t="str">
        <f>IF(OR($B122="",$A122&lt;=90),"",--MID('Key Analysis'!$C118,$A122-90,1))</f>
        <v/>
      </c>
      <c r="CP122" s="29" t="str">
        <f>IF(OR($B122="",$A122&lt;=91),"",--MID('Key Analysis'!$C118,$A122-91,1))</f>
        <v/>
      </c>
      <c r="CQ122" s="29" t="str">
        <f>IF(OR($B122="",$A122&lt;=92),"",--MID('Key Analysis'!$C118,$A122-92,1))</f>
        <v/>
      </c>
      <c r="CR122" s="29" t="str">
        <f>IF(OR($B122="",$A122&lt;=93),"",--MID('Key Analysis'!$C118,$A122-93,1))</f>
        <v/>
      </c>
      <c r="CS122" s="29" t="str">
        <f>IF(OR($B122="",$A122&lt;=94),"",--MID('Key Analysis'!$C118,$A122-94,1))</f>
        <v/>
      </c>
      <c r="CT122" s="29" t="str">
        <f>IF(OR($B122="",$A122&lt;=95),"",--MID('Key Analysis'!$C118,$A122-95,1))</f>
        <v/>
      </c>
      <c r="CU122" s="29" t="str">
        <f>IF(OR($B122="",$A122&lt;=96),"",--MID('Key Analysis'!$C118,$A122-96,1))</f>
        <v/>
      </c>
      <c r="CV122" s="29" t="str">
        <f>IF(OR($B122="",$A122&lt;=97),"",--MID('Key Analysis'!$C118,$A122-97,1))</f>
        <v/>
      </c>
      <c r="CW122" s="29" t="str">
        <f>IF(OR($B122="",$A122&lt;=98),"",--MID('Key Analysis'!$C118,$A122-98,1))</f>
        <v/>
      </c>
      <c r="CX122" s="29" t="str">
        <f>IF(OR($B122="",$A122&lt;=99),"",--MID('Key Analysis'!$C118,$A122-99,1))</f>
        <v/>
      </c>
      <c r="CY122" s="29" t="str">
        <f>IF(OR($B122="",$A122&lt;=100),"",--MID('Key Analysis'!$C118,$A122-100,1))</f>
        <v/>
      </c>
      <c r="CZ122" s="29" t="str">
        <f>IF(OR($B122="",$A122&lt;=101),"",--MID('Key Analysis'!$C118,$A122-101,1))</f>
        <v/>
      </c>
      <c r="DA122" s="29" t="str">
        <f>IF(OR($B122="",$A122&lt;=102),"",--MID('Key Analysis'!$C118,$A122-102,1))</f>
        <v/>
      </c>
      <c r="DB122" s="29" t="str">
        <f>IF(OR($B122="",$A122&lt;=103),"",--MID('Key Analysis'!$C118,$A122-103,1))</f>
        <v/>
      </c>
      <c r="DC122" s="29" t="str">
        <f>IF(OR($B122="",$A122&lt;=104),"",--MID('Key Analysis'!$C118,$A122-104,1))</f>
        <v/>
      </c>
      <c r="DD122" s="29" t="str">
        <f>IF(OR($B122="",$A122&lt;=105),"",--MID('Key Analysis'!$C118,$A122-105,1))</f>
        <v/>
      </c>
      <c r="DE122" s="29" t="str">
        <f>IF(OR($B122="",$A122&lt;=106),"",--MID('Key Analysis'!$C118,$A122-106,1))</f>
        <v/>
      </c>
      <c r="DF122" s="29" t="str">
        <f>IF(OR($B122="",$A122&lt;=107),"",--MID('Key Analysis'!$C118,$A122-107,1))</f>
        <v/>
      </c>
      <c r="DG122" s="29" t="str">
        <f>IF(OR($B122="",$A122&lt;=108),"",--MID('Key Analysis'!$C118,$A122-108,1))</f>
        <v/>
      </c>
      <c r="DH122" s="29" t="str">
        <f>IF(OR($B122="",$A122&lt;=109),"",--MID('Key Analysis'!$C118,$A122-109,1))</f>
        <v/>
      </c>
      <c r="DI122" s="29" t="str">
        <f>IF(OR($B122="",$A122&lt;=110),"",--MID('Key Analysis'!$C118,$A122-110,1))</f>
        <v/>
      </c>
      <c r="DJ122" s="29" t="str">
        <f>IF(OR($B122="",$A122&lt;=111),"",--MID('Key Analysis'!$C118,$A122-111,1))</f>
        <v/>
      </c>
      <c r="DK122" s="29" t="str">
        <f>IF(OR($B122="",$A122&lt;=112),"",--MID('Key Analysis'!$C118,$A122-112,1))</f>
        <v/>
      </c>
      <c r="DL122" s="29" t="str">
        <f>IF(OR($B122="",$A122&lt;=113),"",--MID('Key Analysis'!$C118,$A122-113,1))</f>
        <v/>
      </c>
      <c r="DM122" s="29" t="str">
        <f>IF(OR($B122="",$A122&lt;=114),"",--MID('Key Analysis'!$C118,$A122-114,1))</f>
        <v/>
      </c>
      <c r="DN122" s="29" t="str">
        <f>IF(OR($B122="",$A122&lt;=115),"",--MID('Key Analysis'!$C118,$A122-115,1))</f>
        <v/>
      </c>
      <c r="DO122" s="29" t="str">
        <f>IF(OR($B122="",$A122&lt;=116),"",--MID('Key Analysis'!$C118,$A122-116,1))</f>
        <v/>
      </c>
      <c r="DP122" s="29" t="str">
        <f>IF(OR($B122="",$A122&lt;=117),"",--MID('Key Analysis'!$C118,$A122-117,1))</f>
        <v/>
      </c>
      <c r="DQ122" s="29" t="str">
        <f>IF(OR($B122="",$A122&lt;=118),"",--MID('Key Analysis'!$C118,$A122-118,1))</f>
        <v/>
      </c>
      <c r="DR122" s="29" t="str">
        <f>IF(OR($B122="",$A122&lt;=119),"",--MID('Key Analysis'!$C118,$A122-119,1))</f>
        <v/>
      </c>
      <c r="DS122" s="29" t="str">
        <f>IF(OR($B122="",$A122&lt;=120),"",--MID('Key Analysis'!$C118,$A122-120,1))</f>
        <v/>
      </c>
      <c r="DT122" s="29" t="str">
        <f>IF(OR($B122="",$A122&lt;=121),"",--MID('Key Analysis'!$C118,$A122-121,1))</f>
        <v/>
      </c>
      <c r="DU122" s="29" t="str">
        <f>IF(OR($B122="",$A122&lt;=122),"",--MID('Key Analysis'!$C118,$A122-122,1))</f>
        <v/>
      </c>
      <c r="DV122" s="29" t="str">
        <f>IF(OR($B122="",$A122&lt;=123),"",--MID('Key Analysis'!$C118,$A122-123,1))</f>
        <v/>
      </c>
      <c r="DW122" s="29" t="str">
        <f>IF(OR($B122="",$A122&lt;=124),"",--MID('Key Analysis'!$C118,$A122-124,1))</f>
        <v/>
      </c>
      <c r="DX122" s="29" t="str">
        <f>IF(OR($B122="",$A122&lt;=125),"",--MID('Key Analysis'!$C118,$A122-125,1))</f>
        <v/>
      </c>
      <c r="DY122" s="29" t="str">
        <f>IF(OR($B122="",$A122&lt;=126),"",--MID('Key Analysis'!$C118,$A122-126,1))</f>
        <v/>
      </c>
      <c r="DZ122" s="29" t="str">
        <f>IF(OR($B122="",$A122&lt;=127),"",--MID('Key Analysis'!$C118,$A122-127,1))</f>
        <v/>
      </c>
      <c r="EA122" s="29" t="str">
        <f>IF(OR($B122="",$A122&lt;=128),"",--MID('Key Analysis'!$C118,$A122-128,1))</f>
        <v/>
      </c>
      <c r="EB122" s="29" t="str">
        <f>IF(OR($B122="",$A122&lt;=129),"",--MID('Key Analysis'!$C118,$A122-129,1))</f>
        <v/>
      </c>
      <c r="EC122" s="29" t="str">
        <f>IF(OR($B122="",$A122&lt;=130),"",--MID('Key Analysis'!$C118,$A122-130,1))</f>
        <v/>
      </c>
      <c r="ED122" s="29" t="str">
        <f>IF(OR($B122="",$A122&lt;=131),"",--MID('Key Analysis'!$C118,$A122-131,1))</f>
        <v/>
      </c>
      <c r="EE122" s="29" t="str">
        <f>IF(OR($B122="",$A122&lt;=132),"",--MID('Key Analysis'!$C118,$A122-132,1))</f>
        <v/>
      </c>
      <c r="EF122" s="29" t="str">
        <f>IF(OR($B122="",$A122&lt;=133),"",--MID('Key Analysis'!$C118,$A122-133,1))</f>
        <v/>
      </c>
      <c r="EG122" s="29" t="str">
        <f>IF(OR($B122="",$A122&lt;=134),"",--MID('Key Analysis'!$C118,$A122-134,1))</f>
        <v/>
      </c>
      <c r="EH122" s="29"/>
      <c r="EI122" s="29" t="str">
        <f>IF(OR($B122="",$A122&lt;1),"",--MID('Key Analysis'!$C118,1,1))</f>
        <v/>
      </c>
      <c r="EJ122" s="29" t="str">
        <f>IF(OR($B122="",$A122&lt;2),"",--MID('Key Analysis'!$C118,2,1))</f>
        <v/>
      </c>
      <c r="EK122" s="29" t="str">
        <f>IF(OR($B122="",$A122&lt;3),"",--MID('Key Analysis'!$C118,3,1))</f>
        <v/>
      </c>
      <c r="EL122" s="29" t="str">
        <f>IF(OR($B122="",$A122&lt;4),"",--MID('Key Analysis'!$C118,4,1))</f>
        <v/>
      </c>
      <c r="EM122" s="29" t="str">
        <f>IF(OR($B122="",$A122&lt;5),"",--MID('Key Analysis'!$C118,5,1))</f>
        <v/>
      </c>
      <c r="EN122" s="29" t="str">
        <f>IF(OR($B122="",$A122&lt;6),"",--MID('Key Analysis'!$C118,6,1))</f>
        <v/>
      </c>
      <c r="EO122" s="29" t="str">
        <f>IF(OR($B122="",$A122&lt;7),"",--MID('Key Analysis'!$C118,7,1))</f>
        <v/>
      </c>
      <c r="EP122" s="29" t="str">
        <f>IF(OR($B122="",$A122&lt;8),"",--MID('Key Analysis'!$C118,8,1))</f>
        <v/>
      </c>
      <c r="EQ122" s="29" t="str">
        <f>IF(OR($B122="",$A122&lt;9),"",--MID('Key Analysis'!$C118,9,1))</f>
        <v/>
      </c>
      <c r="ER122" s="29" t="str">
        <f>IF(OR($B122="",$A122&lt;10),"",--MID('Key Analysis'!$C118,10,1))</f>
        <v/>
      </c>
      <c r="ES122" s="29" t="str">
        <f>IF(OR($B122="",$A122&lt;11),"",--MID('Key Analysis'!$C118,11,1))</f>
        <v/>
      </c>
      <c r="ET122" s="29" t="str">
        <f>IF(OR($B122="",$A122&lt;12),"",--MID('Key Analysis'!$C118,12,1))</f>
        <v/>
      </c>
      <c r="EU122" s="29" t="str">
        <f>IF(OR($B122="",$A122&lt;13),"",--MID('Key Analysis'!$C118,13,1))</f>
        <v/>
      </c>
      <c r="EV122" s="29" t="str">
        <f>IF(OR($B122="",$A122&lt;14),"",--MID('Key Analysis'!$C118,14,1))</f>
        <v/>
      </c>
      <c r="EW122" s="29" t="str">
        <f>IF(OR($B122="",$A122&lt;15),"",--MID('Key Analysis'!$C118,15,1))</f>
        <v/>
      </c>
      <c r="EX122" s="29" t="str">
        <f>IF(OR($B122="",$A122&lt;16),"",--MID('Key Analysis'!$C118,16,1))</f>
        <v/>
      </c>
      <c r="EY122" s="29" t="str">
        <f>IF(OR($B122="",$A122&lt;17),"",--MID('Key Analysis'!$C118,17,1))</f>
        <v/>
      </c>
      <c r="EZ122" s="29" t="str">
        <f>IF(OR($B122="",$A122&lt;18),"",--MID('Key Analysis'!$C118,18,1))</f>
        <v/>
      </c>
      <c r="FA122" s="29" t="str">
        <f>IF(OR($B122="",$A122&lt;19),"",--MID('Key Analysis'!$C118,19,1))</f>
        <v/>
      </c>
      <c r="FB122" s="29" t="str">
        <f>IF(OR($B122="",$A122&lt;20),"",--MID('Key Analysis'!$C118,20,1))</f>
        <v/>
      </c>
      <c r="FC122" s="29" t="str">
        <f>IF(OR($B122="",$A122&lt;21),"",--MID('Key Analysis'!$C118,21,1))</f>
        <v/>
      </c>
      <c r="FD122" s="29" t="str">
        <f>IF(OR($B122="",$A122&lt;22),"",--MID('Key Analysis'!$C118,22,1))</f>
        <v/>
      </c>
      <c r="FE122" s="29" t="str">
        <f>IF(OR($B122="",$A122&lt;23),"",--MID('Key Analysis'!$C118,23,1))</f>
        <v/>
      </c>
      <c r="FF122" s="29" t="str">
        <f>IF(OR($B122="",$A122&lt;24),"",--MID('Key Analysis'!$C118,24,1))</f>
        <v/>
      </c>
      <c r="FG122" s="29" t="str">
        <f>IF(OR($B122="",$A122&lt;25),"",--MID('Key Analysis'!$C118,25,1))</f>
        <v/>
      </c>
      <c r="FH122" s="29" t="str">
        <f>IF(OR($B122="",$A122&lt;26),"",--MID('Key Analysis'!$C118,26,1))</f>
        <v/>
      </c>
      <c r="FI122" s="29" t="str">
        <f>IF(OR($B122="",$A122&lt;27),"",--MID('Key Analysis'!$C118,27,1))</f>
        <v/>
      </c>
      <c r="FJ122" s="29" t="str">
        <f>IF(OR($B122="",$A122&lt;28),"",--MID('Key Analysis'!$C118,28,1))</f>
        <v/>
      </c>
      <c r="FK122" s="29" t="str">
        <f>IF(OR($B122="",$A122&lt;29),"",--MID('Key Analysis'!$C118,29,1))</f>
        <v/>
      </c>
      <c r="FL122" s="29" t="str">
        <f>IF(OR($B122="",$A122&lt;30),"",--MID('Key Analysis'!$C118,30,1))</f>
        <v/>
      </c>
      <c r="FM122" s="29" t="str">
        <f>IF(OR($B122="",$A122&lt;31),"",--MID('Key Analysis'!$C118,31,1))</f>
        <v/>
      </c>
      <c r="FN122" s="29" t="str">
        <f>IF(OR($B122="",$A122&lt;32),"",--MID('Key Analysis'!$C118,32,1))</f>
        <v/>
      </c>
      <c r="FO122" s="29" t="str">
        <f>IF(OR($B122="",$A122&lt;33),"",--MID('Key Analysis'!$C118,33,1))</f>
        <v/>
      </c>
      <c r="FP122" s="29" t="str">
        <f>IF(OR($B122="",$A122&lt;34),"",--MID('Key Analysis'!$C118,34,1))</f>
        <v/>
      </c>
      <c r="FQ122" s="29" t="str">
        <f>IF(OR($B122="",$A122&lt;35),"",--MID('Key Analysis'!$C118,35,1))</f>
        <v/>
      </c>
      <c r="FR122" s="29" t="str">
        <f>IF(OR($B122="",$A122&lt;36),"",--MID('Key Analysis'!$C118,36,1))</f>
        <v/>
      </c>
      <c r="FS122" s="29" t="str">
        <f>IF(OR($B122="",$A122&lt;37),"",--MID('Key Analysis'!$C118,37,1))</f>
        <v/>
      </c>
      <c r="FT122" s="29" t="str">
        <f>IF(OR($B122="",$A122&lt;38),"",--MID('Key Analysis'!$C118,38,1))</f>
        <v/>
      </c>
      <c r="FU122" s="29" t="str">
        <f>IF(OR($B122="",$A122&lt;39),"",--MID('Key Analysis'!$C118,39,1))</f>
        <v/>
      </c>
      <c r="FV122" s="29" t="str">
        <f>IF(OR($B122="",$A122&lt;40),"",--MID('Key Analysis'!$C118,40,1))</f>
        <v/>
      </c>
      <c r="FW122" s="29" t="str">
        <f>IF(OR($B122="",$A122&lt;41),"",--MID('Key Analysis'!$C118,41,1))</f>
        <v/>
      </c>
      <c r="FX122" s="29" t="str">
        <f>IF(OR($B122="",$A122&lt;42),"",--MID('Key Analysis'!$C118,42,1))</f>
        <v/>
      </c>
      <c r="FY122" s="29" t="str">
        <f>IF(OR($B122="",$A122&lt;43),"",--MID('Key Analysis'!$C118,43,1))</f>
        <v/>
      </c>
      <c r="FZ122" s="29" t="str">
        <f>IF(OR($B122="",$A122&lt;44),"",--MID('Key Analysis'!$C118,44,1))</f>
        <v/>
      </c>
      <c r="GA122" s="29" t="str">
        <f>IF(OR($B122="",$A122&lt;45),"",--MID('Key Analysis'!$C118,45,1))</f>
        <v/>
      </c>
      <c r="GB122" s="29" t="str">
        <f>IF(OR($B122="",$A122&lt;46),"",--MID('Key Analysis'!$C118,46,1))</f>
        <v/>
      </c>
      <c r="GC122" s="29" t="str">
        <f>IF(OR($B122="",$A122&lt;47),"",--MID('Key Analysis'!$C118,47,1))</f>
        <v/>
      </c>
      <c r="GD122" s="29" t="str">
        <f>IF(OR($B122="",$A122&lt;48),"",--MID('Key Analysis'!$C118,48,1))</f>
        <v/>
      </c>
      <c r="GE122" s="29" t="str">
        <f>IF(OR($B122="",$A122&lt;49),"",--MID('Key Analysis'!$C118,49,1))</f>
        <v/>
      </c>
      <c r="GF122" s="29" t="str">
        <f>IF(OR($B122="",$A122&lt;50),"",--MID('Key Analysis'!$C118,50,1))</f>
        <v/>
      </c>
      <c r="GG122" s="29" t="str">
        <f>IF(OR($B122="",$A122&lt;51),"",--MID('Key Analysis'!$C118,51,1))</f>
        <v/>
      </c>
      <c r="GH122" s="29" t="str">
        <f>IF(OR($B122="",$A122&lt;52),"",--MID('Key Analysis'!$C118,52,1))</f>
        <v/>
      </c>
      <c r="GI122" s="29" t="str">
        <f>IF(OR($B122="",$A122&lt;53),"",--MID('Key Analysis'!$C118,53,1))</f>
        <v/>
      </c>
      <c r="GJ122" s="29" t="str">
        <f>IF(OR($B122="",$A122&lt;54),"",--MID('Key Analysis'!$C118,54,1))</f>
        <v/>
      </c>
      <c r="GK122" s="29" t="str">
        <f>IF(OR($B122="",$A122&lt;55),"",--MID('Key Analysis'!$C118,55,1))</f>
        <v/>
      </c>
      <c r="GL122" s="29" t="str">
        <f>IF(OR($B122="",$A122&lt;56),"",--MID('Key Analysis'!$C118,56,1))</f>
        <v/>
      </c>
      <c r="GM122" s="29" t="str">
        <f>IF(OR($B122="",$A122&lt;57),"",--MID('Key Analysis'!$C118,57,1))</f>
        <v/>
      </c>
      <c r="GN122" s="29" t="str">
        <f>IF(OR($B122="",$A122&lt;58),"",--MID('Key Analysis'!$C118,58,1))</f>
        <v/>
      </c>
      <c r="GO122" s="29" t="str">
        <f>IF(OR($B122="",$A122&lt;59),"",--MID('Key Analysis'!$C118,59,1))</f>
        <v/>
      </c>
      <c r="GP122" s="29" t="str">
        <f>IF(OR($B122="",$A122&lt;60),"",--MID('Key Analysis'!$C118,60,1))</f>
        <v/>
      </c>
      <c r="GQ122" s="29" t="str">
        <f>IF(OR($B122="",$A122&lt;61),"",--MID('Key Analysis'!$C118,61,1))</f>
        <v/>
      </c>
      <c r="GR122" s="29" t="str">
        <f>IF(OR($B122="",$A122&lt;62),"",--MID('Key Analysis'!$C118,62,1))</f>
        <v/>
      </c>
      <c r="GS122" s="29" t="str">
        <f>IF(OR($B122="",$A122&lt;63),"",--MID('Key Analysis'!$C118,63,1))</f>
        <v/>
      </c>
      <c r="GT122" s="29" t="str">
        <f>IF(OR($B122="",$A122&lt;64),"",--MID('Key Analysis'!$C118,64,1))</f>
        <v/>
      </c>
      <c r="GU122" s="29" t="str">
        <f>IF(OR($B122="",$A122&lt;65),"",--MID('Key Analysis'!$C118,65,1))</f>
        <v/>
      </c>
      <c r="GV122" s="29" t="str">
        <f>IF(OR($B122="",$A122&lt;66),"",--MID('Key Analysis'!$C118,66,1))</f>
        <v/>
      </c>
      <c r="GW122" s="29" t="str">
        <f>IF(OR($B122="",$A122&lt;67),"",--MID('Key Analysis'!$C118,67,1))</f>
        <v/>
      </c>
      <c r="GX122" s="29" t="str">
        <f>IF(OR($B122="",$A122&lt;68),"",--MID('Key Analysis'!$C118,68,1))</f>
        <v/>
      </c>
      <c r="GY122" s="29" t="str">
        <f>IF(OR($B122="",$A122&lt;69),"",--MID('Key Analysis'!$C118,69,1))</f>
        <v/>
      </c>
      <c r="GZ122" s="29" t="str">
        <f>IF(OR($B122="",$A122&lt;70),"",--MID('Key Analysis'!$C118,70,1))</f>
        <v/>
      </c>
      <c r="HA122" s="29" t="str">
        <f>IF(OR($B122="",$A122&lt;71),"",--MID('Key Analysis'!$C118,71,1))</f>
        <v/>
      </c>
      <c r="HB122" s="29" t="str">
        <f>IF(OR($B122="",$A122&lt;72),"",--MID('Key Analysis'!$C118,72,1))</f>
        <v/>
      </c>
      <c r="HC122" s="29" t="str">
        <f>IF(OR($B122="",$A122&lt;73),"",--MID('Key Analysis'!$C118,73,1))</f>
        <v/>
      </c>
      <c r="HD122" s="29" t="str">
        <f>IF(OR($B122="",$A122&lt;74),"",--MID('Key Analysis'!$C118,74,1))</f>
        <v/>
      </c>
      <c r="HE122" s="29" t="str">
        <f>IF(OR($B122="",$A122&lt;75),"",--MID('Key Analysis'!$C118,75,1))</f>
        <v/>
      </c>
      <c r="HF122" s="29" t="str">
        <f>IF(OR($B122="",$A122&lt;76),"",--MID('Key Analysis'!$C118,76,1))</f>
        <v/>
      </c>
      <c r="HG122" s="29" t="str">
        <f>IF(OR($B122="",$A122&lt;77),"",--MID('Key Analysis'!$C118,77,1))</f>
        <v/>
      </c>
      <c r="HH122" s="29" t="str">
        <f>IF(OR($B122="",$A122&lt;78),"",--MID('Key Analysis'!$C118,78,1))</f>
        <v/>
      </c>
      <c r="HI122" s="29" t="str">
        <f>IF(OR($B122="",$A122&lt;79),"",--MID('Key Analysis'!$C118,79,1))</f>
        <v/>
      </c>
      <c r="HJ122" s="29" t="str">
        <f>IF(OR($B122="",$A122&lt;80),"",--MID('Key Analysis'!$C118,80,1))</f>
        <v/>
      </c>
      <c r="HK122" s="29" t="str">
        <f>IF(OR($B122="",$A122&lt;81),"",--MID('Key Analysis'!$C118,81,1))</f>
        <v/>
      </c>
      <c r="HL122" s="29" t="str">
        <f>IF(OR($B122="",$A122&lt;82),"",--MID('Key Analysis'!$C118,82,1))</f>
        <v/>
      </c>
      <c r="HM122" s="29" t="str">
        <f>IF(OR($B122="",$A122&lt;83),"",--MID('Key Analysis'!$C118,83,1))</f>
        <v/>
      </c>
      <c r="HN122" s="29" t="str">
        <f>IF(OR($B122="",$A122&lt;84),"",--MID('Key Analysis'!$C118,84,1))</f>
        <v/>
      </c>
      <c r="HO122" s="29" t="str">
        <f>IF(OR($B122="",$A122&lt;85),"",--MID('Key Analysis'!$C118,85,1))</f>
        <v/>
      </c>
      <c r="HP122" s="29" t="str">
        <f>IF(OR($B122="",$A122&lt;86),"",--MID('Key Analysis'!$C118,86,1))</f>
        <v/>
      </c>
      <c r="HQ122" s="29" t="str">
        <f>IF(OR($B122="",$A122&lt;87),"",--MID('Key Analysis'!$C118,87,1))</f>
        <v/>
      </c>
      <c r="HR122" s="29" t="str">
        <f>IF(OR($B122="",$A122&lt;88),"",--MID('Key Analysis'!$C118,88,1))</f>
        <v/>
      </c>
      <c r="HS122" s="29" t="str">
        <f>IF(OR($B122="",$A122&lt;89),"",--MID('Key Analysis'!$C118,89,1))</f>
        <v/>
      </c>
      <c r="HT122" s="29" t="str">
        <f>IF(OR($B122="",$A122&lt;90),"",--MID('Key Analysis'!$C118,90,1))</f>
        <v/>
      </c>
      <c r="HU122" s="29" t="str">
        <f>IF(OR($B122="",$A122&lt;91),"",--MID('Key Analysis'!$C118,91,1))</f>
        <v/>
      </c>
      <c r="HV122" s="29" t="str">
        <f>IF(OR($B122="",$A122&lt;92),"",--MID('Key Analysis'!$C118,92,1))</f>
        <v/>
      </c>
      <c r="HW122" s="29" t="str">
        <f>IF(OR($B122="",$A122&lt;93),"",--MID('Key Analysis'!$C118,93,1))</f>
        <v/>
      </c>
      <c r="HX122" s="29" t="str">
        <f>IF(OR($B122="",$A122&lt;94),"",--MID('Key Analysis'!$C118,94,1))</f>
        <v/>
      </c>
      <c r="HY122" s="29" t="str">
        <f>IF(OR($B122="",$A122&lt;95),"",--MID('Key Analysis'!$C118,95,1))</f>
        <v/>
      </c>
      <c r="HZ122" s="29" t="str">
        <f>IF(OR($B122="",$A122&lt;96),"",--MID('Key Analysis'!$C118,96,1))</f>
        <v/>
      </c>
      <c r="IA122" s="29" t="str">
        <f>IF(OR($B122="",$A122&lt;97),"",--MID('Key Analysis'!$C118,97,1))</f>
        <v/>
      </c>
      <c r="IB122" s="29" t="str">
        <f>IF(OR($B122="",$A122&lt;98),"",--MID('Key Analysis'!$C118,98,1))</f>
        <v/>
      </c>
      <c r="IC122" s="29" t="str">
        <f>IF(OR($B122="",$A122&lt;99),"",--MID('Key Analysis'!$C118,99,1))</f>
        <v/>
      </c>
      <c r="ID122" s="29" t="str">
        <f>IF(OR($B122="",$A122&lt;100),"",--MID('Key Analysis'!$C118,100,1))</f>
        <v/>
      </c>
      <c r="IE122" s="29" t="str">
        <f>IF(OR($B122="",$A122&lt;101),"",--MID('Key Analysis'!$C118,101,1))</f>
        <v/>
      </c>
      <c r="IF122" s="29" t="str">
        <f>IF(OR($B122="",$A122&lt;102),"",--MID('Key Analysis'!$C118,102,1))</f>
        <v/>
      </c>
      <c r="IG122" s="29" t="str">
        <f>IF(OR($B122="",$A122&lt;103),"",--MID('Key Analysis'!$C118,103,1))</f>
        <v/>
      </c>
      <c r="IH122" s="29" t="str">
        <f>IF(OR($B122="",$A122&lt;104),"",--MID('Key Analysis'!$C118,104,1))</f>
        <v/>
      </c>
      <c r="II122" s="29" t="str">
        <f>IF(OR($B122="",$A122&lt;105),"",--MID('Key Analysis'!$C118,105,1))</f>
        <v/>
      </c>
      <c r="IJ122" s="29" t="str">
        <f>IF(OR($B122="",$A122&lt;106),"",--MID('Key Analysis'!$C118,106,1))</f>
        <v/>
      </c>
      <c r="IK122" s="29" t="str">
        <f>IF(OR($B122="",$A122&lt;107),"",--MID('Key Analysis'!$C118,107,1))</f>
        <v/>
      </c>
      <c r="IL122" s="29" t="str">
        <f>IF(OR($B122="",$A122&lt;108),"",--MID('Key Analysis'!$C118,108,1))</f>
        <v/>
      </c>
      <c r="IM122" s="29" t="str">
        <f>IF(OR($B122="",$A122&lt;109),"",--MID('Key Analysis'!$C118,109,1))</f>
        <v/>
      </c>
      <c r="IN122" s="29" t="str">
        <f>IF(OR($B122="",$A122&lt;110),"",--MID('Key Analysis'!$C118,110,1))</f>
        <v/>
      </c>
      <c r="IO122" s="29" t="str">
        <f>IF(OR($B122="",$A122&lt;111),"",--MID('Key Analysis'!$C118,111,1))</f>
        <v/>
      </c>
      <c r="IP122" s="29" t="str">
        <f>IF(OR($B122="",$A122&lt;112),"",--MID('Key Analysis'!$C118,112,1))</f>
        <v/>
      </c>
      <c r="IQ122" s="29" t="str">
        <f>IF(OR($B122="",$A122&lt;113),"",--MID('Key Analysis'!$C118,113,1))</f>
        <v/>
      </c>
      <c r="IR122" s="29" t="str">
        <f>IF(OR($B122="",$A122&lt;114),"",--MID('Key Analysis'!$C118,114,1))</f>
        <v/>
      </c>
      <c r="IS122" s="29" t="str">
        <f>IF(OR($B122="",$A122&lt;115),"",--MID('Key Analysis'!$C118,115,1))</f>
        <v/>
      </c>
      <c r="IT122" s="29" t="str">
        <f>IF(OR($B122="",$A122&lt;116),"",--MID('Key Analysis'!$C118,116,1))</f>
        <v/>
      </c>
      <c r="IU122" s="29" t="str">
        <f>IF(OR($B122="",$A122&lt;117),"",--MID('Key Analysis'!$C118,117,1))</f>
        <v/>
      </c>
      <c r="IV122" s="29" t="str">
        <f>IF(OR($B122="",$A122&lt;118),"",--MID('Key Analysis'!$C118,118,1))</f>
        <v/>
      </c>
      <c r="IW122" s="29" t="str">
        <f>IF(OR($B122="",$A122&lt;119),"",--MID('Key Analysis'!$C118,119,1))</f>
        <v/>
      </c>
      <c r="IX122" s="29" t="str">
        <f>IF(OR($B122="",$A122&lt;120),"",--MID('Key Analysis'!$C118,120,1))</f>
        <v/>
      </c>
      <c r="IY122" s="29" t="str">
        <f>IF(OR($B122="",$A122&lt;121),"",--MID('Key Analysis'!$C118,121,1))</f>
        <v/>
      </c>
      <c r="IZ122" s="29" t="str">
        <f>IF(OR($B122="",$A122&lt;122),"",--MID('Key Analysis'!$C118,122,1))</f>
        <v/>
      </c>
      <c r="JA122" s="29" t="str">
        <f>IF(OR($B122="",$A122&lt;123),"",--MID('Key Analysis'!$C118,123,1))</f>
        <v/>
      </c>
      <c r="JB122" s="29" t="str">
        <f>IF(OR($B122="",$A122&lt;124),"",--MID('Key Analysis'!$C118,124,1))</f>
        <v/>
      </c>
      <c r="JC122" s="29" t="str">
        <f>IF(OR($B122="",$A122&lt;125),"",--MID('Key Analysis'!$C118,125,1))</f>
        <v/>
      </c>
      <c r="JD122" s="29" t="str">
        <f>IF(OR($B122="",$A122&lt;126),"",--MID('Key Analysis'!$C118,126,1))</f>
        <v/>
      </c>
      <c r="JE122" s="29" t="str">
        <f>IF(OR($B122="",$A122&lt;127),"",--MID('Key Analysis'!$C118,127,1))</f>
        <v/>
      </c>
      <c r="JF122" s="29" t="str">
        <f>IF(OR($B122="",$A122&lt;128),"",--MID('Key Analysis'!$C118,128,1))</f>
        <v/>
      </c>
      <c r="JG122" s="29" t="str">
        <f>IF(OR($B122="",$A122&lt;129),"",--MID('Key Analysis'!$C118,129,1))</f>
        <v/>
      </c>
      <c r="JH122" s="29" t="str">
        <f>IF(OR($B122="",$A122&lt;130),"",--MID('Key Analysis'!$C118,130,1))</f>
        <v/>
      </c>
      <c r="JI122" s="29" t="str">
        <f>IF(OR($B122="",$A122&lt;131),"",--MID('Key Analysis'!$C118,131,1))</f>
        <v/>
      </c>
      <c r="JJ122" s="29" t="str">
        <f>IF(OR($B122="",$A122&lt;132),"",--MID('Key Analysis'!$C118,132,1))</f>
        <v/>
      </c>
      <c r="JK122" s="29" t="str">
        <f>IF(OR($B122="",$A122&lt;133),"",--MID('Key Analysis'!$C118,133,1))</f>
        <v/>
      </c>
      <c r="JL122" s="29" t="str">
        <f>IF(OR($B122="",$A122&lt;134),"",--MID('Key Analysis'!$C118,134,1))</f>
        <v/>
      </c>
      <c r="JM122" s="29" t="str">
        <f>IF(OR($B122="",$A122&lt;135),"",--MID('Key Analysis'!$C118,135,1))</f>
        <v/>
      </c>
    </row>
    <row r="123" spans="1:273" x14ac:dyDescent="0.25">
      <c r="A123" s="21">
        <f>'Key Analysis'!A119</f>
        <v>118</v>
      </c>
      <c r="B123" s="30" t="str">
        <f>'Key Analysis'!B119</f>
        <v/>
      </c>
      <c r="C123" s="29" t="str">
        <f>IF(OR($B123="",$A123&lt;=0),"",--MID('Key Analysis'!$C119,$A123-0,1))</f>
        <v/>
      </c>
      <c r="D123" s="29" t="str">
        <f>IF(OR($B123="",$A123&lt;=1),"",--MID('Key Analysis'!$C119,$A123-1,1))</f>
        <v/>
      </c>
      <c r="E123" s="29" t="str">
        <f>IF(OR($B123="",$A123&lt;=2),"",--MID('Key Analysis'!$C119,$A123-2,1))</f>
        <v/>
      </c>
      <c r="F123" s="29" t="str">
        <f>IF(OR($B123="",$A123&lt;=3),"",--MID('Key Analysis'!$C119,$A123-3,1))</f>
        <v/>
      </c>
      <c r="G123" s="29" t="str">
        <f>IF(OR($B123="",$A123&lt;=4),"",--MID('Key Analysis'!$C119,$A123-4,1))</f>
        <v/>
      </c>
      <c r="H123" s="29" t="str">
        <f>IF(OR($B123="",$A123&lt;=5),"",--MID('Key Analysis'!$C119,$A123-5,1))</f>
        <v/>
      </c>
      <c r="I123" s="29" t="str">
        <f>IF(OR($B123="",$A123&lt;=6),"",--MID('Key Analysis'!$C119,$A123-6,1))</f>
        <v/>
      </c>
      <c r="J123" s="29" t="str">
        <f>IF(OR($B123="",$A123&lt;=7),"",--MID('Key Analysis'!$C119,$A123-7,1))</f>
        <v/>
      </c>
      <c r="K123" s="29" t="str">
        <f>IF(OR($B123="",$A123&lt;=8),"",--MID('Key Analysis'!$C119,$A123-8,1))</f>
        <v/>
      </c>
      <c r="L123" s="29" t="str">
        <f>IF(OR($B123="",$A123&lt;=9),"",--MID('Key Analysis'!$C119,$A123-9,1))</f>
        <v/>
      </c>
      <c r="M123" s="29" t="str">
        <f>IF(OR($B123="",$A123&lt;=10),"",--MID('Key Analysis'!$C119,$A123-10,1))</f>
        <v/>
      </c>
      <c r="N123" s="29" t="str">
        <f>IF(OR($B123="",$A123&lt;=11),"",--MID('Key Analysis'!$C119,$A123-11,1))</f>
        <v/>
      </c>
      <c r="O123" s="29" t="str">
        <f>IF(OR($B123="",$A123&lt;=12),"",--MID('Key Analysis'!$C119,$A123-12,1))</f>
        <v/>
      </c>
      <c r="P123" s="29" t="str">
        <f>IF(OR($B123="",$A123&lt;=13),"",--MID('Key Analysis'!$C119,$A123-13,1))</f>
        <v/>
      </c>
      <c r="Q123" s="29" t="str">
        <f>IF(OR($B123="",$A123&lt;=14),"",--MID('Key Analysis'!$C119,$A123-14,1))</f>
        <v/>
      </c>
      <c r="R123" s="29" t="str">
        <f>IF(OR($B123="",$A123&lt;=15),"",--MID('Key Analysis'!$C119,$A123-15,1))</f>
        <v/>
      </c>
      <c r="S123" s="29" t="str">
        <f>IF(OR($B123="",$A123&lt;=16),"",--MID('Key Analysis'!$C119,$A123-16,1))</f>
        <v/>
      </c>
      <c r="T123" s="29" t="str">
        <f>IF(OR($B123="",$A123&lt;=17),"",--MID('Key Analysis'!$C119,$A123-17,1))</f>
        <v/>
      </c>
      <c r="U123" s="29" t="str">
        <f>IF(OR($B123="",$A123&lt;=18),"",--MID('Key Analysis'!$C119,$A123-18,1))</f>
        <v/>
      </c>
      <c r="V123" s="29" t="str">
        <f>IF(OR($B123="",$A123&lt;=19),"",--MID('Key Analysis'!$C119,$A123-19,1))</f>
        <v/>
      </c>
      <c r="W123" s="29" t="str">
        <f>IF(OR($B123="",$A123&lt;=20),"",--MID('Key Analysis'!$C119,$A123-20,1))</f>
        <v/>
      </c>
      <c r="X123" s="29" t="str">
        <f>IF(OR($B123="",$A123&lt;=21),"",--MID('Key Analysis'!$C119,$A123-21,1))</f>
        <v/>
      </c>
      <c r="Y123" s="29" t="str">
        <f>IF(OR($B123="",$A123&lt;=22),"",--MID('Key Analysis'!$C119,$A123-22,1))</f>
        <v/>
      </c>
      <c r="Z123" s="29" t="str">
        <f>IF(OR($B123="",$A123&lt;=23),"",--MID('Key Analysis'!$C119,$A123-23,1))</f>
        <v/>
      </c>
      <c r="AA123" s="29" t="str">
        <f>IF(OR($B123="",$A123&lt;=24),"",--MID('Key Analysis'!$C119,$A123-24,1))</f>
        <v/>
      </c>
      <c r="AB123" s="29" t="str">
        <f>IF(OR($B123="",$A123&lt;=25),"",--MID('Key Analysis'!$C119,$A123-25,1))</f>
        <v/>
      </c>
      <c r="AC123" s="29" t="str">
        <f>IF(OR($B123="",$A123&lt;=26),"",--MID('Key Analysis'!$C119,$A123-26,1))</f>
        <v/>
      </c>
      <c r="AD123" s="29" t="str">
        <f>IF(OR($B123="",$A123&lt;=27),"",--MID('Key Analysis'!$C119,$A123-27,1))</f>
        <v/>
      </c>
      <c r="AE123" s="29" t="str">
        <f>IF(OR($B123="",$A123&lt;=28),"",--MID('Key Analysis'!$C119,$A123-28,1))</f>
        <v/>
      </c>
      <c r="AF123" s="29" t="str">
        <f>IF(OR($B123="",$A123&lt;=29),"",--MID('Key Analysis'!$C119,$A123-29,1))</f>
        <v/>
      </c>
      <c r="AG123" s="29" t="str">
        <f>IF(OR($B123="",$A123&lt;=30),"",--MID('Key Analysis'!$C119,$A123-30,1))</f>
        <v/>
      </c>
      <c r="AH123" s="29" t="str">
        <f>IF(OR($B123="",$A123&lt;=31),"",--MID('Key Analysis'!$C119,$A123-31,1))</f>
        <v/>
      </c>
      <c r="AI123" s="29" t="str">
        <f>IF(OR($B123="",$A123&lt;=32),"",--MID('Key Analysis'!$C119,$A123-32,1))</f>
        <v/>
      </c>
      <c r="AJ123" s="29" t="str">
        <f>IF(OR($B123="",$A123&lt;=33),"",--MID('Key Analysis'!$C119,$A123-33,1))</f>
        <v/>
      </c>
      <c r="AK123" s="29" t="str">
        <f>IF(OR($B123="",$A123&lt;=34),"",--MID('Key Analysis'!$C119,$A123-34,1))</f>
        <v/>
      </c>
      <c r="AL123" s="29" t="str">
        <f>IF(OR($B123="",$A123&lt;=35),"",--MID('Key Analysis'!$C119,$A123-35,1))</f>
        <v/>
      </c>
      <c r="AM123" s="29" t="str">
        <f>IF(OR($B123="",$A123&lt;=36),"",--MID('Key Analysis'!$C119,$A123-36,1))</f>
        <v/>
      </c>
      <c r="AN123" s="29" t="str">
        <f>IF(OR($B123="",$A123&lt;=37),"",--MID('Key Analysis'!$C119,$A123-37,1))</f>
        <v/>
      </c>
      <c r="AO123" s="29" t="str">
        <f>IF(OR($B123="",$A123&lt;=38),"",--MID('Key Analysis'!$C119,$A123-38,1))</f>
        <v/>
      </c>
      <c r="AP123" s="29" t="str">
        <f>IF(OR($B123="",$A123&lt;=39),"",--MID('Key Analysis'!$C119,$A123-39,1))</f>
        <v/>
      </c>
      <c r="AQ123" s="29" t="str">
        <f>IF(OR($B123="",$A123&lt;=40),"",--MID('Key Analysis'!$C119,$A123-40,1))</f>
        <v/>
      </c>
      <c r="AR123" s="29" t="str">
        <f>IF(OR($B123="",$A123&lt;=41),"",--MID('Key Analysis'!$C119,$A123-41,1))</f>
        <v/>
      </c>
      <c r="AS123" s="29" t="str">
        <f>IF(OR($B123="",$A123&lt;=42),"",--MID('Key Analysis'!$C119,$A123-42,1))</f>
        <v/>
      </c>
      <c r="AT123" s="29" t="str">
        <f>IF(OR($B123="",$A123&lt;=43),"",--MID('Key Analysis'!$C119,$A123-43,1))</f>
        <v/>
      </c>
      <c r="AU123" s="29" t="str">
        <f>IF(OR($B123="",$A123&lt;=44),"",--MID('Key Analysis'!$C119,$A123-44,1))</f>
        <v/>
      </c>
      <c r="AV123" s="29" t="str">
        <f>IF(OR($B123="",$A123&lt;=45),"",--MID('Key Analysis'!$C119,$A123-45,1))</f>
        <v/>
      </c>
      <c r="AW123" s="29" t="str">
        <f>IF(OR($B123="",$A123&lt;=46),"",--MID('Key Analysis'!$C119,$A123-46,1))</f>
        <v/>
      </c>
      <c r="AX123" s="29" t="str">
        <f>IF(OR($B123="",$A123&lt;=47),"",--MID('Key Analysis'!$C119,$A123-47,1))</f>
        <v/>
      </c>
      <c r="AY123" s="29" t="str">
        <f>IF(OR($B123="",$A123&lt;=48),"",--MID('Key Analysis'!$C119,$A123-48,1))</f>
        <v/>
      </c>
      <c r="AZ123" s="29" t="str">
        <f>IF(OR($B123="",$A123&lt;=49),"",--MID('Key Analysis'!$C119,$A123-49,1))</f>
        <v/>
      </c>
      <c r="BA123" s="29" t="str">
        <f>IF(OR($B123="",$A123&lt;=50),"",--MID('Key Analysis'!$C119,$A123-50,1))</f>
        <v/>
      </c>
      <c r="BB123" s="29" t="str">
        <f>IF(OR($B123="",$A123&lt;=51),"",--MID('Key Analysis'!$C119,$A123-51,1))</f>
        <v/>
      </c>
      <c r="BC123" s="29" t="str">
        <f>IF(OR($B123="",$A123&lt;=52),"",--MID('Key Analysis'!$C119,$A123-52,1))</f>
        <v/>
      </c>
      <c r="BD123" s="29" t="str">
        <f>IF(OR($B123="",$A123&lt;=53),"",--MID('Key Analysis'!$C119,$A123-53,1))</f>
        <v/>
      </c>
      <c r="BE123" s="29" t="str">
        <f>IF(OR($B123="",$A123&lt;=54),"",--MID('Key Analysis'!$C119,$A123-54,1))</f>
        <v/>
      </c>
      <c r="BF123" s="29" t="str">
        <f>IF(OR($B123="",$A123&lt;=55),"",--MID('Key Analysis'!$C119,$A123-55,1))</f>
        <v/>
      </c>
      <c r="BG123" s="29" t="str">
        <f>IF(OR($B123="",$A123&lt;=56),"",--MID('Key Analysis'!$C119,$A123-56,1))</f>
        <v/>
      </c>
      <c r="BH123" s="29" t="str">
        <f>IF(OR($B123="",$A123&lt;=57),"",--MID('Key Analysis'!$C119,$A123-57,1))</f>
        <v/>
      </c>
      <c r="BI123" s="29" t="str">
        <f>IF(OR($B123="",$A123&lt;=58),"",--MID('Key Analysis'!$C119,$A123-58,1))</f>
        <v/>
      </c>
      <c r="BJ123" s="29" t="str">
        <f>IF(OR($B123="",$A123&lt;=59),"",--MID('Key Analysis'!$C119,$A123-59,1))</f>
        <v/>
      </c>
      <c r="BK123" s="29" t="str">
        <f>IF(OR($B123="",$A123&lt;=60),"",--MID('Key Analysis'!$C119,$A123-60,1))</f>
        <v/>
      </c>
      <c r="BL123" s="29" t="str">
        <f>IF(OR($B123="",$A123&lt;=61),"",--MID('Key Analysis'!$C119,$A123-61,1))</f>
        <v/>
      </c>
      <c r="BM123" s="29" t="str">
        <f>IF(OR($B123="",$A123&lt;=62),"",--MID('Key Analysis'!$C119,$A123-62,1))</f>
        <v/>
      </c>
      <c r="BN123" s="29" t="str">
        <f>IF(OR($B123="",$A123&lt;=63),"",--MID('Key Analysis'!$C119,$A123-63,1))</f>
        <v/>
      </c>
      <c r="BO123" s="29" t="str">
        <f>IF(OR($B123="",$A123&lt;=64),"",--MID('Key Analysis'!$C119,$A123-64,1))</f>
        <v/>
      </c>
      <c r="BP123" s="29" t="str">
        <f>IF(OR($B123="",$A123&lt;=65),"",--MID('Key Analysis'!$C119,$A123-65,1))</f>
        <v/>
      </c>
      <c r="BQ123" s="29" t="str">
        <f>IF(OR($B123="",$A123&lt;=66),"",--MID('Key Analysis'!$C119,$A123-66,1))</f>
        <v/>
      </c>
      <c r="BR123" s="29" t="str">
        <f>IF(OR($B123="",$A123&lt;=67),"",--MID('Key Analysis'!$C119,$A123-67,1))</f>
        <v/>
      </c>
      <c r="BS123" s="29" t="str">
        <f>IF(OR($B123="",$A123&lt;=68),"",--MID('Key Analysis'!$C119,$A123-68,1))</f>
        <v/>
      </c>
      <c r="BT123" s="29" t="str">
        <f>IF(OR($B123="",$A123&lt;=69),"",--MID('Key Analysis'!$C119,$A123-69,1))</f>
        <v/>
      </c>
      <c r="BU123" s="29" t="str">
        <f>IF(OR($B123="",$A123&lt;=70),"",--MID('Key Analysis'!$C119,$A123-70,1))</f>
        <v/>
      </c>
      <c r="BV123" s="29" t="str">
        <f>IF(OR($B123="",$A123&lt;=71),"",--MID('Key Analysis'!$C119,$A123-71,1))</f>
        <v/>
      </c>
      <c r="BW123" s="29" t="str">
        <f>IF(OR($B123="",$A123&lt;=72),"",--MID('Key Analysis'!$C119,$A123-72,1))</f>
        <v/>
      </c>
      <c r="BX123" s="29" t="str">
        <f>IF(OR($B123="",$A123&lt;=73),"",--MID('Key Analysis'!$C119,$A123-73,1))</f>
        <v/>
      </c>
      <c r="BY123" s="29" t="str">
        <f>IF(OR($B123="",$A123&lt;=74),"",--MID('Key Analysis'!$C119,$A123-74,1))</f>
        <v/>
      </c>
      <c r="BZ123" s="29" t="str">
        <f>IF(OR($B123="",$A123&lt;=75),"",--MID('Key Analysis'!$C119,$A123-75,1))</f>
        <v/>
      </c>
      <c r="CA123" s="29" t="str">
        <f>IF(OR($B123="",$A123&lt;=76),"",--MID('Key Analysis'!$C119,$A123-76,1))</f>
        <v/>
      </c>
      <c r="CB123" s="29" t="str">
        <f>IF(OR($B123="",$A123&lt;=77),"",--MID('Key Analysis'!$C119,$A123-77,1))</f>
        <v/>
      </c>
      <c r="CC123" s="29" t="str">
        <f>IF(OR($B123="",$A123&lt;=78),"",--MID('Key Analysis'!$C119,$A123-78,1))</f>
        <v/>
      </c>
      <c r="CD123" s="29" t="str">
        <f>IF(OR($B123="",$A123&lt;=79),"",--MID('Key Analysis'!$C119,$A123-79,1))</f>
        <v/>
      </c>
      <c r="CE123" s="29" t="str">
        <f>IF(OR($B123="",$A123&lt;=80),"",--MID('Key Analysis'!$C119,$A123-80,1))</f>
        <v/>
      </c>
      <c r="CF123" s="29" t="str">
        <f>IF(OR($B123="",$A123&lt;=81),"",--MID('Key Analysis'!$C119,$A123-81,1))</f>
        <v/>
      </c>
      <c r="CG123" s="29" t="str">
        <f>IF(OR($B123="",$A123&lt;=82),"",--MID('Key Analysis'!$C119,$A123-82,1))</f>
        <v/>
      </c>
      <c r="CH123" s="29" t="str">
        <f>IF(OR($B123="",$A123&lt;=83),"",--MID('Key Analysis'!$C119,$A123-83,1))</f>
        <v/>
      </c>
      <c r="CI123" s="29" t="str">
        <f>IF(OR($B123="",$A123&lt;=84),"",--MID('Key Analysis'!$C119,$A123-84,1))</f>
        <v/>
      </c>
      <c r="CJ123" s="29" t="str">
        <f>IF(OR($B123="",$A123&lt;=85),"",--MID('Key Analysis'!$C119,$A123-85,1))</f>
        <v/>
      </c>
      <c r="CK123" s="29" t="str">
        <f>IF(OR($B123="",$A123&lt;=86),"",--MID('Key Analysis'!$C119,$A123-86,1))</f>
        <v/>
      </c>
      <c r="CL123" s="29" t="str">
        <f>IF(OR($B123="",$A123&lt;=87),"",--MID('Key Analysis'!$C119,$A123-87,1))</f>
        <v/>
      </c>
      <c r="CM123" s="29" t="str">
        <f>IF(OR($B123="",$A123&lt;=88),"",--MID('Key Analysis'!$C119,$A123-88,1))</f>
        <v/>
      </c>
      <c r="CN123" s="29" t="str">
        <f>IF(OR($B123="",$A123&lt;=89),"",--MID('Key Analysis'!$C119,$A123-89,1))</f>
        <v/>
      </c>
      <c r="CO123" s="29" t="str">
        <f>IF(OR($B123="",$A123&lt;=90),"",--MID('Key Analysis'!$C119,$A123-90,1))</f>
        <v/>
      </c>
      <c r="CP123" s="29" t="str">
        <f>IF(OR($B123="",$A123&lt;=91),"",--MID('Key Analysis'!$C119,$A123-91,1))</f>
        <v/>
      </c>
      <c r="CQ123" s="29" t="str">
        <f>IF(OR($B123="",$A123&lt;=92),"",--MID('Key Analysis'!$C119,$A123-92,1))</f>
        <v/>
      </c>
      <c r="CR123" s="29" t="str">
        <f>IF(OR($B123="",$A123&lt;=93),"",--MID('Key Analysis'!$C119,$A123-93,1))</f>
        <v/>
      </c>
      <c r="CS123" s="29" t="str">
        <f>IF(OR($B123="",$A123&lt;=94),"",--MID('Key Analysis'!$C119,$A123-94,1))</f>
        <v/>
      </c>
      <c r="CT123" s="29" t="str">
        <f>IF(OR($B123="",$A123&lt;=95),"",--MID('Key Analysis'!$C119,$A123-95,1))</f>
        <v/>
      </c>
      <c r="CU123" s="29" t="str">
        <f>IF(OR($B123="",$A123&lt;=96),"",--MID('Key Analysis'!$C119,$A123-96,1))</f>
        <v/>
      </c>
      <c r="CV123" s="29" t="str">
        <f>IF(OR($B123="",$A123&lt;=97),"",--MID('Key Analysis'!$C119,$A123-97,1))</f>
        <v/>
      </c>
      <c r="CW123" s="29" t="str">
        <f>IF(OR($B123="",$A123&lt;=98),"",--MID('Key Analysis'!$C119,$A123-98,1))</f>
        <v/>
      </c>
      <c r="CX123" s="29" t="str">
        <f>IF(OR($B123="",$A123&lt;=99),"",--MID('Key Analysis'!$C119,$A123-99,1))</f>
        <v/>
      </c>
      <c r="CY123" s="29" t="str">
        <f>IF(OR($B123="",$A123&lt;=100),"",--MID('Key Analysis'!$C119,$A123-100,1))</f>
        <v/>
      </c>
      <c r="CZ123" s="29" t="str">
        <f>IF(OR($B123="",$A123&lt;=101),"",--MID('Key Analysis'!$C119,$A123-101,1))</f>
        <v/>
      </c>
      <c r="DA123" s="29" t="str">
        <f>IF(OR($B123="",$A123&lt;=102),"",--MID('Key Analysis'!$C119,$A123-102,1))</f>
        <v/>
      </c>
      <c r="DB123" s="29" t="str">
        <f>IF(OR($B123="",$A123&lt;=103),"",--MID('Key Analysis'!$C119,$A123-103,1))</f>
        <v/>
      </c>
      <c r="DC123" s="29" t="str">
        <f>IF(OR($B123="",$A123&lt;=104),"",--MID('Key Analysis'!$C119,$A123-104,1))</f>
        <v/>
      </c>
      <c r="DD123" s="29" t="str">
        <f>IF(OR($B123="",$A123&lt;=105),"",--MID('Key Analysis'!$C119,$A123-105,1))</f>
        <v/>
      </c>
      <c r="DE123" s="29" t="str">
        <f>IF(OR($B123="",$A123&lt;=106),"",--MID('Key Analysis'!$C119,$A123-106,1))</f>
        <v/>
      </c>
      <c r="DF123" s="29" t="str">
        <f>IF(OR($B123="",$A123&lt;=107),"",--MID('Key Analysis'!$C119,$A123-107,1))</f>
        <v/>
      </c>
      <c r="DG123" s="29" t="str">
        <f>IF(OR($B123="",$A123&lt;=108),"",--MID('Key Analysis'!$C119,$A123-108,1))</f>
        <v/>
      </c>
      <c r="DH123" s="29" t="str">
        <f>IF(OR($B123="",$A123&lt;=109),"",--MID('Key Analysis'!$C119,$A123-109,1))</f>
        <v/>
      </c>
      <c r="DI123" s="29" t="str">
        <f>IF(OR($B123="",$A123&lt;=110),"",--MID('Key Analysis'!$C119,$A123-110,1))</f>
        <v/>
      </c>
      <c r="DJ123" s="29" t="str">
        <f>IF(OR($B123="",$A123&lt;=111),"",--MID('Key Analysis'!$C119,$A123-111,1))</f>
        <v/>
      </c>
      <c r="DK123" s="29" t="str">
        <f>IF(OR($B123="",$A123&lt;=112),"",--MID('Key Analysis'!$C119,$A123-112,1))</f>
        <v/>
      </c>
      <c r="DL123" s="29" t="str">
        <f>IF(OR($B123="",$A123&lt;=113),"",--MID('Key Analysis'!$C119,$A123-113,1))</f>
        <v/>
      </c>
      <c r="DM123" s="29" t="str">
        <f>IF(OR($B123="",$A123&lt;=114),"",--MID('Key Analysis'!$C119,$A123-114,1))</f>
        <v/>
      </c>
      <c r="DN123" s="29" t="str">
        <f>IF(OR($B123="",$A123&lt;=115),"",--MID('Key Analysis'!$C119,$A123-115,1))</f>
        <v/>
      </c>
      <c r="DO123" s="29" t="str">
        <f>IF(OR($B123="",$A123&lt;=116),"",--MID('Key Analysis'!$C119,$A123-116,1))</f>
        <v/>
      </c>
      <c r="DP123" s="29" t="str">
        <f>IF(OR($B123="",$A123&lt;=117),"",--MID('Key Analysis'!$C119,$A123-117,1))</f>
        <v/>
      </c>
      <c r="DQ123" s="29" t="str">
        <f>IF(OR($B123="",$A123&lt;=118),"",--MID('Key Analysis'!$C119,$A123-118,1))</f>
        <v/>
      </c>
      <c r="DR123" s="29" t="str">
        <f>IF(OR($B123="",$A123&lt;=119),"",--MID('Key Analysis'!$C119,$A123-119,1))</f>
        <v/>
      </c>
      <c r="DS123" s="29" t="str">
        <f>IF(OR($B123="",$A123&lt;=120),"",--MID('Key Analysis'!$C119,$A123-120,1))</f>
        <v/>
      </c>
      <c r="DT123" s="29" t="str">
        <f>IF(OR($B123="",$A123&lt;=121),"",--MID('Key Analysis'!$C119,$A123-121,1))</f>
        <v/>
      </c>
      <c r="DU123" s="29" t="str">
        <f>IF(OR($B123="",$A123&lt;=122),"",--MID('Key Analysis'!$C119,$A123-122,1))</f>
        <v/>
      </c>
      <c r="DV123" s="29" t="str">
        <f>IF(OR($B123="",$A123&lt;=123),"",--MID('Key Analysis'!$C119,$A123-123,1))</f>
        <v/>
      </c>
      <c r="DW123" s="29" t="str">
        <f>IF(OR($B123="",$A123&lt;=124),"",--MID('Key Analysis'!$C119,$A123-124,1))</f>
        <v/>
      </c>
      <c r="DX123" s="29" t="str">
        <f>IF(OR($B123="",$A123&lt;=125),"",--MID('Key Analysis'!$C119,$A123-125,1))</f>
        <v/>
      </c>
      <c r="DY123" s="29" t="str">
        <f>IF(OR($B123="",$A123&lt;=126),"",--MID('Key Analysis'!$C119,$A123-126,1))</f>
        <v/>
      </c>
      <c r="DZ123" s="29" t="str">
        <f>IF(OR($B123="",$A123&lt;=127),"",--MID('Key Analysis'!$C119,$A123-127,1))</f>
        <v/>
      </c>
      <c r="EA123" s="29" t="str">
        <f>IF(OR($B123="",$A123&lt;=128),"",--MID('Key Analysis'!$C119,$A123-128,1))</f>
        <v/>
      </c>
      <c r="EB123" s="29" t="str">
        <f>IF(OR($B123="",$A123&lt;=129),"",--MID('Key Analysis'!$C119,$A123-129,1))</f>
        <v/>
      </c>
      <c r="EC123" s="29" t="str">
        <f>IF(OR($B123="",$A123&lt;=130),"",--MID('Key Analysis'!$C119,$A123-130,1))</f>
        <v/>
      </c>
      <c r="ED123" s="29" t="str">
        <f>IF(OR($B123="",$A123&lt;=131),"",--MID('Key Analysis'!$C119,$A123-131,1))</f>
        <v/>
      </c>
      <c r="EE123" s="29" t="str">
        <f>IF(OR($B123="",$A123&lt;=132),"",--MID('Key Analysis'!$C119,$A123-132,1))</f>
        <v/>
      </c>
      <c r="EF123" s="29" t="str">
        <f>IF(OR($B123="",$A123&lt;=133),"",--MID('Key Analysis'!$C119,$A123-133,1))</f>
        <v/>
      </c>
      <c r="EG123" s="29" t="str">
        <f>IF(OR($B123="",$A123&lt;=134),"",--MID('Key Analysis'!$C119,$A123-134,1))</f>
        <v/>
      </c>
      <c r="EH123" s="29"/>
      <c r="EI123" s="29" t="str">
        <f>IF(OR($B123="",$A123&lt;1),"",--MID('Key Analysis'!$C119,1,1))</f>
        <v/>
      </c>
      <c r="EJ123" s="29" t="str">
        <f>IF(OR($B123="",$A123&lt;2),"",--MID('Key Analysis'!$C119,2,1))</f>
        <v/>
      </c>
      <c r="EK123" s="29" t="str">
        <f>IF(OR($B123="",$A123&lt;3),"",--MID('Key Analysis'!$C119,3,1))</f>
        <v/>
      </c>
      <c r="EL123" s="29" t="str">
        <f>IF(OR($B123="",$A123&lt;4),"",--MID('Key Analysis'!$C119,4,1))</f>
        <v/>
      </c>
      <c r="EM123" s="29" t="str">
        <f>IF(OR($B123="",$A123&lt;5),"",--MID('Key Analysis'!$C119,5,1))</f>
        <v/>
      </c>
      <c r="EN123" s="29" t="str">
        <f>IF(OR($B123="",$A123&lt;6),"",--MID('Key Analysis'!$C119,6,1))</f>
        <v/>
      </c>
      <c r="EO123" s="29" t="str">
        <f>IF(OR($B123="",$A123&lt;7),"",--MID('Key Analysis'!$C119,7,1))</f>
        <v/>
      </c>
      <c r="EP123" s="29" t="str">
        <f>IF(OR($B123="",$A123&lt;8),"",--MID('Key Analysis'!$C119,8,1))</f>
        <v/>
      </c>
      <c r="EQ123" s="29" t="str">
        <f>IF(OR($B123="",$A123&lt;9),"",--MID('Key Analysis'!$C119,9,1))</f>
        <v/>
      </c>
      <c r="ER123" s="29" t="str">
        <f>IF(OR($B123="",$A123&lt;10),"",--MID('Key Analysis'!$C119,10,1))</f>
        <v/>
      </c>
      <c r="ES123" s="29" t="str">
        <f>IF(OR($B123="",$A123&lt;11),"",--MID('Key Analysis'!$C119,11,1))</f>
        <v/>
      </c>
      <c r="ET123" s="29" t="str">
        <f>IF(OR($B123="",$A123&lt;12),"",--MID('Key Analysis'!$C119,12,1))</f>
        <v/>
      </c>
      <c r="EU123" s="29" t="str">
        <f>IF(OR($B123="",$A123&lt;13),"",--MID('Key Analysis'!$C119,13,1))</f>
        <v/>
      </c>
      <c r="EV123" s="29" t="str">
        <f>IF(OR($B123="",$A123&lt;14),"",--MID('Key Analysis'!$C119,14,1))</f>
        <v/>
      </c>
      <c r="EW123" s="29" t="str">
        <f>IF(OR($B123="",$A123&lt;15),"",--MID('Key Analysis'!$C119,15,1))</f>
        <v/>
      </c>
      <c r="EX123" s="29" t="str">
        <f>IF(OR($B123="",$A123&lt;16),"",--MID('Key Analysis'!$C119,16,1))</f>
        <v/>
      </c>
      <c r="EY123" s="29" t="str">
        <f>IF(OR($B123="",$A123&lt;17),"",--MID('Key Analysis'!$C119,17,1))</f>
        <v/>
      </c>
      <c r="EZ123" s="29" t="str">
        <f>IF(OR($B123="",$A123&lt;18),"",--MID('Key Analysis'!$C119,18,1))</f>
        <v/>
      </c>
      <c r="FA123" s="29" t="str">
        <f>IF(OR($B123="",$A123&lt;19),"",--MID('Key Analysis'!$C119,19,1))</f>
        <v/>
      </c>
      <c r="FB123" s="29" t="str">
        <f>IF(OR($B123="",$A123&lt;20),"",--MID('Key Analysis'!$C119,20,1))</f>
        <v/>
      </c>
      <c r="FC123" s="29" t="str">
        <f>IF(OR($B123="",$A123&lt;21),"",--MID('Key Analysis'!$C119,21,1))</f>
        <v/>
      </c>
      <c r="FD123" s="29" t="str">
        <f>IF(OR($B123="",$A123&lt;22),"",--MID('Key Analysis'!$C119,22,1))</f>
        <v/>
      </c>
      <c r="FE123" s="29" t="str">
        <f>IF(OR($B123="",$A123&lt;23),"",--MID('Key Analysis'!$C119,23,1))</f>
        <v/>
      </c>
      <c r="FF123" s="29" t="str">
        <f>IF(OR($B123="",$A123&lt;24),"",--MID('Key Analysis'!$C119,24,1))</f>
        <v/>
      </c>
      <c r="FG123" s="29" t="str">
        <f>IF(OR($B123="",$A123&lt;25),"",--MID('Key Analysis'!$C119,25,1))</f>
        <v/>
      </c>
      <c r="FH123" s="29" t="str">
        <f>IF(OR($B123="",$A123&lt;26),"",--MID('Key Analysis'!$C119,26,1))</f>
        <v/>
      </c>
      <c r="FI123" s="29" t="str">
        <f>IF(OR($B123="",$A123&lt;27),"",--MID('Key Analysis'!$C119,27,1))</f>
        <v/>
      </c>
      <c r="FJ123" s="29" t="str">
        <f>IF(OR($B123="",$A123&lt;28),"",--MID('Key Analysis'!$C119,28,1))</f>
        <v/>
      </c>
      <c r="FK123" s="29" t="str">
        <f>IF(OR($B123="",$A123&lt;29),"",--MID('Key Analysis'!$C119,29,1))</f>
        <v/>
      </c>
      <c r="FL123" s="29" t="str">
        <f>IF(OR($B123="",$A123&lt;30),"",--MID('Key Analysis'!$C119,30,1))</f>
        <v/>
      </c>
      <c r="FM123" s="29" t="str">
        <f>IF(OR($B123="",$A123&lt;31),"",--MID('Key Analysis'!$C119,31,1))</f>
        <v/>
      </c>
      <c r="FN123" s="29" t="str">
        <f>IF(OR($B123="",$A123&lt;32),"",--MID('Key Analysis'!$C119,32,1))</f>
        <v/>
      </c>
      <c r="FO123" s="29" t="str">
        <f>IF(OR($B123="",$A123&lt;33),"",--MID('Key Analysis'!$C119,33,1))</f>
        <v/>
      </c>
      <c r="FP123" s="29" t="str">
        <f>IF(OR($B123="",$A123&lt;34),"",--MID('Key Analysis'!$C119,34,1))</f>
        <v/>
      </c>
      <c r="FQ123" s="29" t="str">
        <f>IF(OR($B123="",$A123&lt;35),"",--MID('Key Analysis'!$C119,35,1))</f>
        <v/>
      </c>
      <c r="FR123" s="29" t="str">
        <f>IF(OR($B123="",$A123&lt;36),"",--MID('Key Analysis'!$C119,36,1))</f>
        <v/>
      </c>
      <c r="FS123" s="29" t="str">
        <f>IF(OR($B123="",$A123&lt;37),"",--MID('Key Analysis'!$C119,37,1))</f>
        <v/>
      </c>
      <c r="FT123" s="29" t="str">
        <f>IF(OR($B123="",$A123&lt;38),"",--MID('Key Analysis'!$C119,38,1))</f>
        <v/>
      </c>
      <c r="FU123" s="29" t="str">
        <f>IF(OR($B123="",$A123&lt;39),"",--MID('Key Analysis'!$C119,39,1))</f>
        <v/>
      </c>
      <c r="FV123" s="29" t="str">
        <f>IF(OR($B123="",$A123&lt;40),"",--MID('Key Analysis'!$C119,40,1))</f>
        <v/>
      </c>
      <c r="FW123" s="29" t="str">
        <f>IF(OR($B123="",$A123&lt;41),"",--MID('Key Analysis'!$C119,41,1))</f>
        <v/>
      </c>
      <c r="FX123" s="29" t="str">
        <f>IF(OR($B123="",$A123&lt;42),"",--MID('Key Analysis'!$C119,42,1))</f>
        <v/>
      </c>
      <c r="FY123" s="29" t="str">
        <f>IF(OR($B123="",$A123&lt;43),"",--MID('Key Analysis'!$C119,43,1))</f>
        <v/>
      </c>
      <c r="FZ123" s="29" t="str">
        <f>IF(OR($B123="",$A123&lt;44),"",--MID('Key Analysis'!$C119,44,1))</f>
        <v/>
      </c>
      <c r="GA123" s="29" t="str">
        <f>IF(OR($B123="",$A123&lt;45),"",--MID('Key Analysis'!$C119,45,1))</f>
        <v/>
      </c>
      <c r="GB123" s="29" t="str">
        <f>IF(OR($B123="",$A123&lt;46),"",--MID('Key Analysis'!$C119,46,1))</f>
        <v/>
      </c>
      <c r="GC123" s="29" t="str">
        <f>IF(OR($B123="",$A123&lt;47),"",--MID('Key Analysis'!$C119,47,1))</f>
        <v/>
      </c>
      <c r="GD123" s="29" t="str">
        <f>IF(OR($B123="",$A123&lt;48),"",--MID('Key Analysis'!$C119,48,1))</f>
        <v/>
      </c>
      <c r="GE123" s="29" t="str">
        <f>IF(OR($B123="",$A123&lt;49),"",--MID('Key Analysis'!$C119,49,1))</f>
        <v/>
      </c>
      <c r="GF123" s="29" t="str">
        <f>IF(OR($B123="",$A123&lt;50),"",--MID('Key Analysis'!$C119,50,1))</f>
        <v/>
      </c>
      <c r="GG123" s="29" t="str">
        <f>IF(OR($B123="",$A123&lt;51),"",--MID('Key Analysis'!$C119,51,1))</f>
        <v/>
      </c>
      <c r="GH123" s="29" t="str">
        <f>IF(OR($B123="",$A123&lt;52),"",--MID('Key Analysis'!$C119,52,1))</f>
        <v/>
      </c>
      <c r="GI123" s="29" t="str">
        <f>IF(OR($B123="",$A123&lt;53),"",--MID('Key Analysis'!$C119,53,1))</f>
        <v/>
      </c>
      <c r="GJ123" s="29" t="str">
        <f>IF(OR($B123="",$A123&lt;54),"",--MID('Key Analysis'!$C119,54,1))</f>
        <v/>
      </c>
      <c r="GK123" s="29" t="str">
        <f>IF(OR($B123="",$A123&lt;55),"",--MID('Key Analysis'!$C119,55,1))</f>
        <v/>
      </c>
      <c r="GL123" s="29" t="str">
        <f>IF(OR($B123="",$A123&lt;56),"",--MID('Key Analysis'!$C119,56,1))</f>
        <v/>
      </c>
      <c r="GM123" s="29" t="str">
        <f>IF(OR($B123="",$A123&lt;57),"",--MID('Key Analysis'!$C119,57,1))</f>
        <v/>
      </c>
      <c r="GN123" s="29" t="str">
        <f>IF(OR($B123="",$A123&lt;58),"",--MID('Key Analysis'!$C119,58,1))</f>
        <v/>
      </c>
      <c r="GO123" s="29" t="str">
        <f>IF(OR($B123="",$A123&lt;59),"",--MID('Key Analysis'!$C119,59,1))</f>
        <v/>
      </c>
      <c r="GP123" s="29" t="str">
        <f>IF(OR($B123="",$A123&lt;60),"",--MID('Key Analysis'!$C119,60,1))</f>
        <v/>
      </c>
      <c r="GQ123" s="29" t="str">
        <f>IF(OR($B123="",$A123&lt;61),"",--MID('Key Analysis'!$C119,61,1))</f>
        <v/>
      </c>
      <c r="GR123" s="29" t="str">
        <f>IF(OR($B123="",$A123&lt;62),"",--MID('Key Analysis'!$C119,62,1))</f>
        <v/>
      </c>
      <c r="GS123" s="29" t="str">
        <f>IF(OR($B123="",$A123&lt;63),"",--MID('Key Analysis'!$C119,63,1))</f>
        <v/>
      </c>
      <c r="GT123" s="29" t="str">
        <f>IF(OR($B123="",$A123&lt;64),"",--MID('Key Analysis'!$C119,64,1))</f>
        <v/>
      </c>
      <c r="GU123" s="29" t="str">
        <f>IF(OR($B123="",$A123&lt;65),"",--MID('Key Analysis'!$C119,65,1))</f>
        <v/>
      </c>
      <c r="GV123" s="29" t="str">
        <f>IF(OR($B123="",$A123&lt;66),"",--MID('Key Analysis'!$C119,66,1))</f>
        <v/>
      </c>
      <c r="GW123" s="29" t="str">
        <f>IF(OR($B123="",$A123&lt;67),"",--MID('Key Analysis'!$C119,67,1))</f>
        <v/>
      </c>
      <c r="GX123" s="29" t="str">
        <f>IF(OR($B123="",$A123&lt;68),"",--MID('Key Analysis'!$C119,68,1))</f>
        <v/>
      </c>
      <c r="GY123" s="29" t="str">
        <f>IF(OR($B123="",$A123&lt;69),"",--MID('Key Analysis'!$C119,69,1))</f>
        <v/>
      </c>
      <c r="GZ123" s="29" t="str">
        <f>IF(OR($B123="",$A123&lt;70),"",--MID('Key Analysis'!$C119,70,1))</f>
        <v/>
      </c>
      <c r="HA123" s="29" t="str">
        <f>IF(OR($B123="",$A123&lt;71),"",--MID('Key Analysis'!$C119,71,1))</f>
        <v/>
      </c>
      <c r="HB123" s="29" t="str">
        <f>IF(OR($B123="",$A123&lt;72),"",--MID('Key Analysis'!$C119,72,1))</f>
        <v/>
      </c>
      <c r="HC123" s="29" t="str">
        <f>IF(OR($B123="",$A123&lt;73),"",--MID('Key Analysis'!$C119,73,1))</f>
        <v/>
      </c>
      <c r="HD123" s="29" t="str">
        <f>IF(OR($B123="",$A123&lt;74),"",--MID('Key Analysis'!$C119,74,1))</f>
        <v/>
      </c>
      <c r="HE123" s="29" t="str">
        <f>IF(OR($B123="",$A123&lt;75),"",--MID('Key Analysis'!$C119,75,1))</f>
        <v/>
      </c>
      <c r="HF123" s="29" t="str">
        <f>IF(OR($B123="",$A123&lt;76),"",--MID('Key Analysis'!$C119,76,1))</f>
        <v/>
      </c>
      <c r="HG123" s="29" t="str">
        <f>IF(OR($B123="",$A123&lt;77),"",--MID('Key Analysis'!$C119,77,1))</f>
        <v/>
      </c>
      <c r="HH123" s="29" t="str">
        <f>IF(OR($B123="",$A123&lt;78),"",--MID('Key Analysis'!$C119,78,1))</f>
        <v/>
      </c>
      <c r="HI123" s="29" t="str">
        <f>IF(OR($B123="",$A123&lt;79),"",--MID('Key Analysis'!$C119,79,1))</f>
        <v/>
      </c>
      <c r="HJ123" s="29" t="str">
        <f>IF(OR($B123="",$A123&lt;80),"",--MID('Key Analysis'!$C119,80,1))</f>
        <v/>
      </c>
      <c r="HK123" s="29" t="str">
        <f>IF(OR($B123="",$A123&lt;81),"",--MID('Key Analysis'!$C119,81,1))</f>
        <v/>
      </c>
      <c r="HL123" s="29" t="str">
        <f>IF(OR($B123="",$A123&lt;82),"",--MID('Key Analysis'!$C119,82,1))</f>
        <v/>
      </c>
      <c r="HM123" s="29" t="str">
        <f>IF(OR($B123="",$A123&lt;83),"",--MID('Key Analysis'!$C119,83,1))</f>
        <v/>
      </c>
      <c r="HN123" s="29" t="str">
        <f>IF(OR($B123="",$A123&lt;84),"",--MID('Key Analysis'!$C119,84,1))</f>
        <v/>
      </c>
      <c r="HO123" s="29" t="str">
        <f>IF(OR($B123="",$A123&lt;85),"",--MID('Key Analysis'!$C119,85,1))</f>
        <v/>
      </c>
      <c r="HP123" s="29" t="str">
        <f>IF(OR($B123="",$A123&lt;86),"",--MID('Key Analysis'!$C119,86,1))</f>
        <v/>
      </c>
      <c r="HQ123" s="29" t="str">
        <f>IF(OR($B123="",$A123&lt;87),"",--MID('Key Analysis'!$C119,87,1))</f>
        <v/>
      </c>
      <c r="HR123" s="29" t="str">
        <f>IF(OR($B123="",$A123&lt;88),"",--MID('Key Analysis'!$C119,88,1))</f>
        <v/>
      </c>
      <c r="HS123" s="29" t="str">
        <f>IF(OR($B123="",$A123&lt;89),"",--MID('Key Analysis'!$C119,89,1))</f>
        <v/>
      </c>
      <c r="HT123" s="29" t="str">
        <f>IF(OR($B123="",$A123&lt;90),"",--MID('Key Analysis'!$C119,90,1))</f>
        <v/>
      </c>
      <c r="HU123" s="29" t="str">
        <f>IF(OR($B123="",$A123&lt;91),"",--MID('Key Analysis'!$C119,91,1))</f>
        <v/>
      </c>
      <c r="HV123" s="29" t="str">
        <f>IF(OR($B123="",$A123&lt;92),"",--MID('Key Analysis'!$C119,92,1))</f>
        <v/>
      </c>
      <c r="HW123" s="29" t="str">
        <f>IF(OR($B123="",$A123&lt;93),"",--MID('Key Analysis'!$C119,93,1))</f>
        <v/>
      </c>
      <c r="HX123" s="29" t="str">
        <f>IF(OR($B123="",$A123&lt;94),"",--MID('Key Analysis'!$C119,94,1))</f>
        <v/>
      </c>
      <c r="HY123" s="29" t="str">
        <f>IF(OR($B123="",$A123&lt;95),"",--MID('Key Analysis'!$C119,95,1))</f>
        <v/>
      </c>
      <c r="HZ123" s="29" t="str">
        <f>IF(OR($B123="",$A123&lt;96),"",--MID('Key Analysis'!$C119,96,1))</f>
        <v/>
      </c>
      <c r="IA123" s="29" t="str">
        <f>IF(OR($B123="",$A123&lt;97),"",--MID('Key Analysis'!$C119,97,1))</f>
        <v/>
      </c>
      <c r="IB123" s="29" t="str">
        <f>IF(OR($B123="",$A123&lt;98),"",--MID('Key Analysis'!$C119,98,1))</f>
        <v/>
      </c>
      <c r="IC123" s="29" t="str">
        <f>IF(OR($B123="",$A123&lt;99),"",--MID('Key Analysis'!$C119,99,1))</f>
        <v/>
      </c>
      <c r="ID123" s="29" t="str">
        <f>IF(OR($B123="",$A123&lt;100),"",--MID('Key Analysis'!$C119,100,1))</f>
        <v/>
      </c>
      <c r="IE123" s="29" t="str">
        <f>IF(OR($B123="",$A123&lt;101),"",--MID('Key Analysis'!$C119,101,1))</f>
        <v/>
      </c>
      <c r="IF123" s="29" t="str">
        <f>IF(OR($B123="",$A123&lt;102),"",--MID('Key Analysis'!$C119,102,1))</f>
        <v/>
      </c>
      <c r="IG123" s="29" t="str">
        <f>IF(OR($B123="",$A123&lt;103),"",--MID('Key Analysis'!$C119,103,1))</f>
        <v/>
      </c>
      <c r="IH123" s="29" t="str">
        <f>IF(OR($B123="",$A123&lt;104),"",--MID('Key Analysis'!$C119,104,1))</f>
        <v/>
      </c>
      <c r="II123" s="29" t="str">
        <f>IF(OR($B123="",$A123&lt;105),"",--MID('Key Analysis'!$C119,105,1))</f>
        <v/>
      </c>
      <c r="IJ123" s="29" t="str">
        <f>IF(OR($B123="",$A123&lt;106),"",--MID('Key Analysis'!$C119,106,1))</f>
        <v/>
      </c>
      <c r="IK123" s="29" t="str">
        <f>IF(OR($B123="",$A123&lt;107),"",--MID('Key Analysis'!$C119,107,1))</f>
        <v/>
      </c>
      <c r="IL123" s="29" t="str">
        <f>IF(OR($B123="",$A123&lt;108),"",--MID('Key Analysis'!$C119,108,1))</f>
        <v/>
      </c>
      <c r="IM123" s="29" t="str">
        <f>IF(OR($B123="",$A123&lt;109),"",--MID('Key Analysis'!$C119,109,1))</f>
        <v/>
      </c>
      <c r="IN123" s="29" t="str">
        <f>IF(OR($B123="",$A123&lt;110),"",--MID('Key Analysis'!$C119,110,1))</f>
        <v/>
      </c>
      <c r="IO123" s="29" t="str">
        <f>IF(OR($B123="",$A123&lt;111),"",--MID('Key Analysis'!$C119,111,1))</f>
        <v/>
      </c>
      <c r="IP123" s="29" t="str">
        <f>IF(OR($B123="",$A123&lt;112),"",--MID('Key Analysis'!$C119,112,1))</f>
        <v/>
      </c>
      <c r="IQ123" s="29" t="str">
        <f>IF(OR($B123="",$A123&lt;113),"",--MID('Key Analysis'!$C119,113,1))</f>
        <v/>
      </c>
      <c r="IR123" s="29" t="str">
        <f>IF(OR($B123="",$A123&lt;114),"",--MID('Key Analysis'!$C119,114,1))</f>
        <v/>
      </c>
      <c r="IS123" s="29" t="str">
        <f>IF(OR($B123="",$A123&lt;115),"",--MID('Key Analysis'!$C119,115,1))</f>
        <v/>
      </c>
      <c r="IT123" s="29" t="str">
        <f>IF(OR($B123="",$A123&lt;116),"",--MID('Key Analysis'!$C119,116,1))</f>
        <v/>
      </c>
      <c r="IU123" s="29" t="str">
        <f>IF(OR($B123="",$A123&lt;117),"",--MID('Key Analysis'!$C119,117,1))</f>
        <v/>
      </c>
      <c r="IV123" s="29" t="str">
        <f>IF(OR($B123="",$A123&lt;118),"",--MID('Key Analysis'!$C119,118,1))</f>
        <v/>
      </c>
      <c r="IW123" s="29" t="str">
        <f>IF(OR($B123="",$A123&lt;119),"",--MID('Key Analysis'!$C119,119,1))</f>
        <v/>
      </c>
      <c r="IX123" s="29" t="str">
        <f>IF(OR($B123="",$A123&lt;120),"",--MID('Key Analysis'!$C119,120,1))</f>
        <v/>
      </c>
      <c r="IY123" s="29" t="str">
        <f>IF(OR($B123="",$A123&lt;121),"",--MID('Key Analysis'!$C119,121,1))</f>
        <v/>
      </c>
      <c r="IZ123" s="29" t="str">
        <f>IF(OR($B123="",$A123&lt;122),"",--MID('Key Analysis'!$C119,122,1))</f>
        <v/>
      </c>
      <c r="JA123" s="29" t="str">
        <f>IF(OR($B123="",$A123&lt;123),"",--MID('Key Analysis'!$C119,123,1))</f>
        <v/>
      </c>
      <c r="JB123" s="29" t="str">
        <f>IF(OR($B123="",$A123&lt;124),"",--MID('Key Analysis'!$C119,124,1))</f>
        <v/>
      </c>
      <c r="JC123" s="29" t="str">
        <f>IF(OR($B123="",$A123&lt;125),"",--MID('Key Analysis'!$C119,125,1))</f>
        <v/>
      </c>
      <c r="JD123" s="29" t="str">
        <f>IF(OR($B123="",$A123&lt;126),"",--MID('Key Analysis'!$C119,126,1))</f>
        <v/>
      </c>
      <c r="JE123" s="29" t="str">
        <f>IF(OR($B123="",$A123&lt;127),"",--MID('Key Analysis'!$C119,127,1))</f>
        <v/>
      </c>
      <c r="JF123" s="29" t="str">
        <f>IF(OR($B123="",$A123&lt;128),"",--MID('Key Analysis'!$C119,128,1))</f>
        <v/>
      </c>
      <c r="JG123" s="29" t="str">
        <f>IF(OR($B123="",$A123&lt;129),"",--MID('Key Analysis'!$C119,129,1))</f>
        <v/>
      </c>
      <c r="JH123" s="29" t="str">
        <f>IF(OR($B123="",$A123&lt;130),"",--MID('Key Analysis'!$C119,130,1))</f>
        <v/>
      </c>
      <c r="JI123" s="29" t="str">
        <f>IF(OR($B123="",$A123&lt;131),"",--MID('Key Analysis'!$C119,131,1))</f>
        <v/>
      </c>
      <c r="JJ123" s="29" t="str">
        <f>IF(OR($B123="",$A123&lt;132),"",--MID('Key Analysis'!$C119,132,1))</f>
        <v/>
      </c>
      <c r="JK123" s="29" t="str">
        <f>IF(OR($B123="",$A123&lt;133),"",--MID('Key Analysis'!$C119,133,1))</f>
        <v/>
      </c>
      <c r="JL123" s="29" t="str">
        <f>IF(OR($B123="",$A123&lt;134),"",--MID('Key Analysis'!$C119,134,1))</f>
        <v/>
      </c>
      <c r="JM123" s="29" t="str">
        <f>IF(OR($B123="",$A123&lt;135),"",--MID('Key Analysis'!$C119,135,1))</f>
        <v/>
      </c>
    </row>
    <row r="124" spans="1:273" x14ac:dyDescent="0.25">
      <c r="A124" s="21">
        <f>'Key Analysis'!A120</f>
        <v>119</v>
      </c>
      <c r="B124" s="30" t="str">
        <f>'Key Analysis'!B120</f>
        <v/>
      </c>
      <c r="C124" s="29" t="str">
        <f>IF(OR($B124="",$A124&lt;=0),"",--MID('Key Analysis'!$C120,$A124-0,1))</f>
        <v/>
      </c>
      <c r="D124" s="29" t="str">
        <f>IF(OR($B124="",$A124&lt;=1),"",--MID('Key Analysis'!$C120,$A124-1,1))</f>
        <v/>
      </c>
      <c r="E124" s="29" t="str">
        <f>IF(OR($B124="",$A124&lt;=2),"",--MID('Key Analysis'!$C120,$A124-2,1))</f>
        <v/>
      </c>
      <c r="F124" s="29" t="str">
        <f>IF(OR($B124="",$A124&lt;=3),"",--MID('Key Analysis'!$C120,$A124-3,1))</f>
        <v/>
      </c>
      <c r="G124" s="29" t="str">
        <f>IF(OR($B124="",$A124&lt;=4),"",--MID('Key Analysis'!$C120,$A124-4,1))</f>
        <v/>
      </c>
      <c r="H124" s="29" t="str">
        <f>IF(OR($B124="",$A124&lt;=5),"",--MID('Key Analysis'!$C120,$A124-5,1))</f>
        <v/>
      </c>
      <c r="I124" s="29" t="str">
        <f>IF(OR($B124="",$A124&lt;=6),"",--MID('Key Analysis'!$C120,$A124-6,1))</f>
        <v/>
      </c>
      <c r="J124" s="29" t="str">
        <f>IF(OR($B124="",$A124&lt;=7),"",--MID('Key Analysis'!$C120,$A124-7,1))</f>
        <v/>
      </c>
      <c r="K124" s="29" t="str">
        <f>IF(OR($B124="",$A124&lt;=8),"",--MID('Key Analysis'!$C120,$A124-8,1))</f>
        <v/>
      </c>
      <c r="L124" s="29" t="str">
        <f>IF(OR($B124="",$A124&lt;=9),"",--MID('Key Analysis'!$C120,$A124-9,1))</f>
        <v/>
      </c>
      <c r="M124" s="29" t="str">
        <f>IF(OR($B124="",$A124&lt;=10),"",--MID('Key Analysis'!$C120,$A124-10,1))</f>
        <v/>
      </c>
      <c r="N124" s="29" t="str">
        <f>IF(OR($B124="",$A124&lt;=11),"",--MID('Key Analysis'!$C120,$A124-11,1))</f>
        <v/>
      </c>
      <c r="O124" s="29" t="str">
        <f>IF(OR($B124="",$A124&lt;=12),"",--MID('Key Analysis'!$C120,$A124-12,1))</f>
        <v/>
      </c>
      <c r="P124" s="29" t="str">
        <f>IF(OR($B124="",$A124&lt;=13),"",--MID('Key Analysis'!$C120,$A124-13,1))</f>
        <v/>
      </c>
      <c r="Q124" s="29" t="str">
        <f>IF(OR($B124="",$A124&lt;=14),"",--MID('Key Analysis'!$C120,$A124-14,1))</f>
        <v/>
      </c>
      <c r="R124" s="29" t="str">
        <f>IF(OR($B124="",$A124&lt;=15),"",--MID('Key Analysis'!$C120,$A124-15,1))</f>
        <v/>
      </c>
      <c r="S124" s="29" t="str">
        <f>IF(OR($B124="",$A124&lt;=16),"",--MID('Key Analysis'!$C120,$A124-16,1))</f>
        <v/>
      </c>
      <c r="T124" s="29" t="str">
        <f>IF(OR($B124="",$A124&lt;=17),"",--MID('Key Analysis'!$C120,$A124-17,1))</f>
        <v/>
      </c>
      <c r="U124" s="29" t="str">
        <f>IF(OR($B124="",$A124&lt;=18),"",--MID('Key Analysis'!$C120,$A124-18,1))</f>
        <v/>
      </c>
      <c r="V124" s="29" t="str">
        <f>IF(OR($B124="",$A124&lt;=19),"",--MID('Key Analysis'!$C120,$A124-19,1))</f>
        <v/>
      </c>
      <c r="W124" s="29" t="str">
        <f>IF(OR($B124="",$A124&lt;=20),"",--MID('Key Analysis'!$C120,$A124-20,1))</f>
        <v/>
      </c>
      <c r="X124" s="29" t="str">
        <f>IF(OR($B124="",$A124&lt;=21),"",--MID('Key Analysis'!$C120,$A124-21,1))</f>
        <v/>
      </c>
      <c r="Y124" s="29" t="str">
        <f>IF(OR($B124="",$A124&lt;=22),"",--MID('Key Analysis'!$C120,$A124-22,1))</f>
        <v/>
      </c>
      <c r="Z124" s="29" t="str">
        <f>IF(OR($B124="",$A124&lt;=23),"",--MID('Key Analysis'!$C120,$A124-23,1))</f>
        <v/>
      </c>
      <c r="AA124" s="29" t="str">
        <f>IF(OR($B124="",$A124&lt;=24),"",--MID('Key Analysis'!$C120,$A124-24,1))</f>
        <v/>
      </c>
      <c r="AB124" s="29" t="str">
        <f>IF(OR($B124="",$A124&lt;=25),"",--MID('Key Analysis'!$C120,$A124-25,1))</f>
        <v/>
      </c>
      <c r="AC124" s="29" t="str">
        <f>IF(OR($B124="",$A124&lt;=26),"",--MID('Key Analysis'!$C120,$A124-26,1))</f>
        <v/>
      </c>
      <c r="AD124" s="29" t="str">
        <f>IF(OR($B124="",$A124&lt;=27),"",--MID('Key Analysis'!$C120,$A124-27,1))</f>
        <v/>
      </c>
      <c r="AE124" s="29" t="str">
        <f>IF(OR($B124="",$A124&lt;=28),"",--MID('Key Analysis'!$C120,$A124-28,1))</f>
        <v/>
      </c>
      <c r="AF124" s="29" t="str">
        <f>IF(OR($B124="",$A124&lt;=29),"",--MID('Key Analysis'!$C120,$A124-29,1))</f>
        <v/>
      </c>
      <c r="AG124" s="29" t="str">
        <f>IF(OR($B124="",$A124&lt;=30),"",--MID('Key Analysis'!$C120,$A124-30,1))</f>
        <v/>
      </c>
      <c r="AH124" s="29" t="str">
        <f>IF(OR($B124="",$A124&lt;=31),"",--MID('Key Analysis'!$C120,$A124-31,1))</f>
        <v/>
      </c>
      <c r="AI124" s="29" t="str">
        <f>IF(OR($B124="",$A124&lt;=32),"",--MID('Key Analysis'!$C120,$A124-32,1))</f>
        <v/>
      </c>
      <c r="AJ124" s="29" t="str">
        <f>IF(OR($B124="",$A124&lt;=33),"",--MID('Key Analysis'!$C120,$A124-33,1))</f>
        <v/>
      </c>
      <c r="AK124" s="29" t="str">
        <f>IF(OR($B124="",$A124&lt;=34),"",--MID('Key Analysis'!$C120,$A124-34,1))</f>
        <v/>
      </c>
      <c r="AL124" s="29" t="str">
        <f>IF(OR($B124="",$A124&lt;=35),"",--MID('Key Analysis'!$C120,$A124-35,1))</f>
        <v/>
      </c>
      <c r="AM124" s="29" t="str">
        <f>IF(OR($B124="",$A124&lt;=36),"",--MID('Key Analysis'!$C120,$A124-36,1))</f>
        <v/>
      </c>
      <c r="AN124" s="29" t="str">
        <f>IF(OR($B124="",$A124&lt;=37),"",--MID('Key Analysis'!$C120,$A124-37,1))</f>
        <v/>
      </c>
      <c r="AO124" s="29" t="str">
        <f>IF(OR($B124="",$A124&lt;=38),"",--MID('Key Analysis'!$C120,$A124-38,1))</f>
        <v/>
      </c>
      <c r="AP124" s="29" t="str">
        <f>IF(OR($B124="",$A124&lt;=39),"",--MID('Key Analysis'!$C120,$A124-39,1))</f>
        <v/>
      </c>
      <c r="AQ124" s="29" t="str">
        <f>IF(OR($B124="",$A124&lt;=40),"",--MID('Key Analysis'!$C120,$A124-40,1))</f>
        <v/>
      </c>
      <c r="AR124" s="29" t="str">
        <f>IF(OR($B124="",$A124&lt;=41),"",--MID('Key Analysis'!$C120,$A124-41,1))</f>
        <v/>
      </c>
      <c r="AS124" s="29" t="str">
        <f>IF(OR($B124="",$A124&lt;=42),"",--MID('Key Analysis'!$C120,$A124-42,1))</f>
        <v/>
      </c>
      <c r="AT124" s="29" t="str">
        <f>IF(OR($B124="",$A124&lt;=43),"",--MID('Key Analysis'!$C120,$A124-43,1))</f>
        <v/>
      </c>
      <c r="AU124" s="29" t="str">
        <f>IF(OR($B124="",$A124&lt;=44),"",--MID('Key Analysis'!$C120,$A124-44,1))</f>
        <v/>
      </c>
      <c r="AV124" s="29" t="str">
        <f>IF(OR($B124="",$A124&lt;=45),"",--MID('Key Analysis'!$C120,$A124-45,1))</f>
        <v/>
      </c>
      <c r="AW124" s="29" t="str">
        <f>IF(OR($B124="",$A124&lt;=46),"",--MID('Key Analysis'!$C120,$A124-46,1))</f>
        <v/>
      </c>
      <c r="AX124" s="29" t="str">
        <f>IF(OR($B124="",$A124&lt;=47),"",--MID('Key Analysis'!$C120,$A124-47,1))</f>
        <v/>
      </c>
      <c r="AY124" s="29" t="str">
        <f>IF(OR($B124="",$A124&lt;=48),"",--MID('Key Analysis'!$C120,$A124-48,1))</f>
        <v/>
      </c>
      <c r="AZ124" s="29" t="str">
        <f>IF(OR($B124="",$A124&lt;=49),"",--MID('Key Analysis'!$C120,$A124-49,1))</f>
        <v/>
      </c>
      <c r="BA124" s="29" t="str">
        <f>IF(OR($B124="",$A124&lt;=50),"",--MID('Key Analysis'!$C120,$A124-50,1))</f>
        <v/>
      </c>
      <c r="BB124" s="29" t="str">
        <f>IF(OR($B124="",$A124&lt;=51),"",--MID('Key Analysis'!$C120,$A124-51,1))</f>
        <v/>
      </c>
      <c r="BC124" s="29" t="str">
        <f>IF(OR($B124="",$A124&lt;=52),"",--MID('Key Analysis'!$C120,$A124-52,1))</f>
        <v/>
      </c>
      <c r="BD124" s="29" t="str">
        <f>IF(OR($B124="",$A124&lt;=53),"",--MID('Key Analysis'!$C120,$A124-53,1))</f>
        <v/>
      </c>
      <c r="BE124" s="29" t="str">
        <f>IF(OR($B124="",$A124&lt;=54),"",--MID('Key Analysis'!$C120,$A124-54,1))</f>
        <v/>
      </c>
      <c r="BF124" s="29" t="str">
        <f>IF(OR($B124="",$A124&lt;=55),"",--MID('Key Analysis'!$C120,$A124-55,1))</f>
        <v/>
      </c>
      <c r="BG124" s="29" t="str">
        <f>IF(OR($B124="",$A124&lt;=56),"",--MID('Key Analysis'!$C120,$A124-56,1))</f>
        <v/>
      </c>
      <c r="BH124" s="29" t="str">
        <f>IF(OR($B124="",$A124&lt;=57),"",--MID('Key Analysis'!$C120,$A124-57,1))</f>
        <v/>
      </c>
      <c r="BI124" s="29" t="str">
        <f>IF(OR($B124="",$A124&lt;=58),"",--MID('Key Analysis'!$C120,$A124-58,1))</f>
        <v/>
      </c>
      <c r="BJ124" s="29" t="str">
        <f>IF(OR($B124="",$A124&lt;=59),"",--MID('Key Analysis'!$C120,$A124-59,1))</f>
        <v/>
      </c>
      <c r="BK124" s="29" t="str">
        <f>IF(OR($B124="",$A124&lt;=60),"",--MID('Key Analysis'!$C120,$A124-60,1))</f>
        <v/>
      </c>
      <c r="BL124" s="29" t="str">
        <f>IF(OR($B124="",$A124&lt;=61),"",--MID('Key Analysis'!$C120,$A124-61,1))</f>
        <v/>
      </c>
      <c r="BM124" s="29" t="str">
        <f>IF(OR($B124="",$A124&lt;=62),"",--MID('Key Analysis'!$C120,$A124-62,1))</f>
        <v/>
      </c>
      <c r="BN124" s="29" t="str">
        <f>IF(OR($B124="",$A124&lt;=63),"",--MID('Key Analysis'!$C120,$A124-63,1))</f>
        <v/>
      </c>
      <c r="BO124" s="29" t="str">
        <f>IF(OR($B124="",$A124&lt;=64),"",--MID('Key Analysis'!$C120,$A124-64,1))</f>
        <v/>
      </c>
      <c r="BP124" s="29" t="str">
        <f>IF(OR($B124="",$A124&lt;=65),"",--MID('Key Analysis'!$C120,$A124-65,1))</f>
        <v/>
      </c>
      <c r="BQ124" s="29" t="str">
        <f>IF(OR($B124="",$A124&lt;=66),"",--MID('Key Analysis'!$C120,$A124-66,1))</f>
        <v/>
      </c>
      <c r="BR124" s="29" t="str">
        <f>IF(OR($B124="",$A124&lt;=67),"",--MID('Key Analysis'!$C120,$A124-67,1))</f>
        <v/>
      </c>
      <c r="BS124" s="29" t="str">
        <f>IF(OR($B124="",$A124&lt;=68),"",--MID('Key Analysis'!$C120,$A124-68,1))</f>
        <v/>
      </c>
      <c r="BT124" s="29" t="str">
        <f>IF(OR($B124="",$A124&lt;=69),"",--MID('Key Analysis'!$C120,$A124-69,1))</f>
        <v/>
      </c>
      <c r="BU124" s="29" t="str">
        <f>IF(OR($B124="",$A124&lt;=70),"",--MID('Key Analysis'!$C120,$A124-70,1))</f>
        <v/>
      </c>
      <c r="BV124" s="29" t="str">
        <f>IF(OR($B124="",$A124&lt;=71),"",--MID('Key Analysis'!$C120,$A124-71,1))</f>
        <v/>
      </c>
      <c r="BW124" s="29" t="str">
        <f>IF(OR($B124="",$A124&lt;=72),"",--MID('Key Analysis'!$C120,$A124-72,1))</f>
        <v/>
      </c>
      <c r="BX124" s="29" t="str">
        <f>IF(OR($B124="",$A124&lt;=73),"",--MID('Key Analysis'!$C120,$A124-73,1))</f>
        <v/>
      </c>
      <c r="BY124" s="29" t="str">
        <f>IF(OR($B124="",$A124&lt;=74),"",--MID('Key Analysis'!$C120,$A124-74,1))</f>
        <v/>
      </c>
      <c r="BZ124" s="29" t="str">
        <f>IF(OR($B124="",$A124&lt;=75),"",--MID('Key Analysis'!$C120,$A124-75,1))</f>
        <v/>
      </c>
      <c r="CA124" s="29" t="str">
        <f>IF(OR($B124="",$A124&lt;=76),"",--MID('Key Analysis'!$C120,$A124-76,1))</f>
        <v/>
      </c>
      <c r="CB124" s="29" t="str">
        <f>IF(OR($B124="",$A124&lt;=77),"",--MID('Key Analysis'!$C120,$A124-77,1))</f>
        <v/>
      </c>
      <c r="CC124" s="29" t="str">
        <f>IF(OR($B124="",$A124&lt;=78),"",--MID('Key Analysis'!$C120,$A124-78,1))</f>
        <v/>
      </c>
      <c r="CD124" s="29" t="str">
        <f>IF(OR($B124="",$A124&lt;=79),"",--MID('Key Analysis'!$C120,$A124-79,1))</f>
        <v/>
      </c>
      <c r="CE124" s="29" t="str">
        <f>IF(OR($B124="",$A124&lt;=80),"",--MID('Key Analysis'!$C120,$A124-80,1))</f>
        <v/>
      </c>
      <c r="CF124" s="29" t="str">
        <f>IF(OR($B124="",$A124&lt;=81),"",--MID('Key Analysis'!$C120,$A124-81,1))</f>
        <v/>
      </c>
      <c r="CG124" s="29" t="str">
        <f>IF(OR($B124="",$A124&lt;=82),"",--MID('Key Analysis'!$C120,$A124-82,1))</f>
        <v/>
      </c>
      <c r="CH124" s="29" t="str">
        <f>IF(OR($B124="",$A124&lt;=83),"",--MID('Key Analysis'!$C120,$A124-83,1))</f>
        <v/>
      </c>
      <c r="CI124" s="29" t="str">
        <f>IF(OR($B124="",$A124&lt;=84),"",--MID('Key Analysis'!$C120,$A124-84,1))</f>
        <v/>
      </c>
      <c r="CJ124" s="29" t="str">
        <f>IF(OR($B124="",$A124&lt;=85),"",--MID('Key Analysis'!$C120,$A124-85,1))</f>
        <v/>
      </c>
      <c r="CK124" s="29" t="str">
        <f>IF(OR($B124="",$A124&lt;=86),"",--MID('Key Analysis'!$C120,$A124-86,1))</f>
        <v/>
      </c>
      <c r="CL124" s="29" t="str">
        <f>IF(OR($B124="",$A124&lt;=87),"",--MID('Key Analysis'!$C120,$A124-87,1))</f>
        <v/>
      </c>
      <c r="CM124" s="29" t="str">
        <f>IF(OR($B124="",$A124&lt;=88),"",--MID('Key Analysis'!$C120,$A124-88,1))</f>
        <v/>
      </c>
      <c r="CN124" s="29" t="str">
        <f>IF(OR($B124="",$A124&lt;=89),"",--MID('Key Analysis'!$C120,$A124-89,1))</f>
        <v/>
      </c>
      <c r="CO124" s="29" t="str">
        <f>IF(OR($B124="",$A124&lt;=90),"",--MID('Key Analysis'!$C120,$A124-90,1))</f>
        <v/>
      </c>
      <c r="CP124" s="29" t="str">
        <f>IF(OR($B124="",$A124&lt;=91),"",--MID('Key Analysis'!$C120,$A124-91,1))</f>
        <v/>
      </c>
      <c r="CQ124" s="29" t="str">
        <f>IF(OR($B124="",$A124&lt;=92),"",--MID('Key Analysis'!$C120,$A124-92,1))</f>
        <v/>
      </c>
      <c r="CR124" s="29" t="str">
        <f>IF(OR($B124="",$A124&lt;=93),"",--MID('Key Analysis'!$C120,$A124-93,1))</f>
        <v/>
      </c>
      <c r="CS124" s="29" t="str">
        <f>IF(OR($B124="",$A124&lt;=94),"",--MID('Key Analysis'!$C120,$A124-94,1))</f>
        <v/>
      </c>
      <c r="CT124" s="29" t="str">
        <f>IF(OR($B124="",$A124&lt;=95),"",--MID('Key Analysis'!$C120,$A124-95,1))</f>
        <v/>
      </c>
      <c r="CU124" s="29" t="str">
        <f>IF(OR($B124="",$A124&lt;=96),"",--MID('Key Analysis'!$C120,$A124-96,1))</f>
        <v/>
      </c>
      <c r="CV124" s="29" t="str">
        <f>IF(OR($B124="",$A124&lt;=97),"",--MID('Key Analysis'!$C120,$A124-97,1))</f>
        <v/>
      </c>
      <c r="CW124" s="29" t="str">
        <f>IF(OR($B124="",$A124&lt;=98),"",--MID('Key Analysis'!$C120,$A124-98,1))</f>
        <v/>
      </c>
      <c r="CX124" s="29" t="str">
        <f>IF(OR($B124="",$A124&lt;=99),"",--MID('Key Analysis'!$C120,$A124-99,1))</f>
        <v/>
      </c>
      <c r="CY124" s="29" t="str">
        <f>IF(OR($B124="",$A124&lt;=100),"",--MID('Key Analysis'!$C120,$A124-100,1))</f>
        <v/>
      </c>
      <c r="CZ124" s="29" t="str">
        <f>IF(OR($B124="",$A124&lt;=101),"",--MID('Key Analysis'!$C120,$A124-101,1))</f>
        <v/>
      </c>
      <c r="DA124" s="29" t="str">
        <f>IF(OR($B124="",$A124&lt;=102),"",--MID('Key Analysis'!$C120,$A124-102,1))</f>
        <v/>
      </c>
      <c r="DB124" s="29" t="str">
        <f>IF(OR($B124="",$A124&lt;=103),"",--MID('Key Analysis'!$C120,$A124-103,1))</f>
        <v/>
      </c>
      <c r="DC124" s="29" t="str">
        <f>IF(OR($B124="",$A124&lt;=104),"",--MID('Key Analysis'!$C120,$A124-104,1))</f>
        <v/>
      </c>
      <c r="DD124" s="29" t="str">
        <f>IF(OR($B124="",$A124&lt;=105),"",--MID('Key Analysis'!$C120,$A124-105,1))</f>
        <v/>
      </c>
      <c r="DE124" s="29" t="str">
        <f>IF(OR($B124="",$A124&lt;=106),"",--MID('Key Analysis'!$C120,$A124-106,1))</f>
        <v/>
      </c>
      <c r="DF124" s="29" t="str">
        <f>IF(OR($B124="",$A124&lt;=107),"",--MID('Key Analysis'!$C120,$A124-107,1))</f>
        <v/>
      </c>
      <c r="DG124" s="29" t="str">
        <f>IF(OR($B124="",$A124&lt;=108),"",--MID('Key Analysis'!$C120,$A124-108,1))</f>
        <v/>
      </c>
      <c r="DH124" s="29" t="str">
        <f>IF(OR($B124="",$A124&lt;=109),"",--MID('Key Analysis'!$C120,$A124-109,1))</f>
        <v/>
      </c>
      <c r="DI124" s="29" t="str">
        <f>IF(OR($B124="",$A124&lt;=110),"",--MID('Key Analysis'!$C120,$A124-110,1))</f>
        <v/>
      </c>
      <c r="DJ124" s="29" t="str">
        <f>IF(OR($B124="",$A124&lt;=111),"",--MID('Key Analysis'!$C120,$A124-111,1))</f>
        <v/>
      </c>
      <c r="DK124" s="29" t="str">
        <f>IF(OR($B124="",$A124&lt;=112),"",--MID('Key Analysis'!$C120,$A124-112,1))</f>
        <v/>
      </c>
      <c r="DL124" s="29" t="str">
        <f>IF(OR($B124="",$A124&lt;=113),"",--MID('Key Analysis'!$C120,$A124-113,1))</f>
        <v/>
      </c>
      <c r="DM124" s="29" t="str">
        <f>IF(OR($B124="",$A124&lt;=114),"",--MID('Key Analysis'!$C120,$A124-114,1))</f>
        <v/>
      </c>
      <c r="DN124" s="29" t="str">
        <f>IF(OR($B124="",$A124&lt;=115),"",--MID('Key Analysis'!$C120,$A124-115,1))</f>
        <v/>
      </c>
      <c r="DO124" s="29" t="str">
        <f>IF(OR($B124="",$A124&lt;=116),"",--MID('Key Analysis'!$C120,$A124-116,1))</f>
        <v/>
      </c>
      <c r="DP124" s="29" t="str">
        <f>IF(OR($B124="",$A124&lt;=117),"",--MID('Key Analysis'!$C120,$A124-117,1))</f>
        <v/>
      </c>
      <c r="DQ124" s="29" t="str">
        <f>IF(OR($B124="",$A124&lt;=118),"",--MID('Key Analysis'!$C120,$A124-118,1))</f>
        <v/>
      </c>
      <c r="DR124" s="29" t="str">
        <f>IF(OR($B124="",$A124&lt;=119),"",--MID('Key Analysis'!$C120,$A124-119,1))</f>
        <v/>
      </c>
      <c r="DS124" s="29" t="str">
        <f>IF(OR($B124="",$A124&lt;=120),"",--MID('Key Analysis'!$C120,$A124-120,1))</f>
        <v/>
      </c>
      <c r="DT124" s="29" t="str">
        <f>IF(OR($B124="",$A124&lt;=121),"",--MID('Key Analysis'!$C120,$A124-121,1))</f>
        <v/>
      </c>
      <c r="DU124" s="29" t="str">
        <f>IF(OR($B124="",$A124&lt;=122),"",--MID('Key Analysis'!$C120,$A124-122,1))</f>
        <v/>
      </c>
      <c r="DV124" s="29" t="str">
        <f>IF(OR($B124="",$A124&lt;=123),"",--MID('Key Analysis'!$C120,$A124-123,1))</f>
        <v/>
      </c>
      <c r="DW124" s="29" t="str">
        <f>IF(OR($B124="",$A124&lt;=124),"",--MID('Key Analysis'!$C120,$A124-124,1))</f>
        <v/>
      </c>
      <c r="DX124" s="29" t="str">
        <f>IF(OR($B124="",$A124&lt;=125),"",--MID('Key Analysis'!$C120,$A124-125,1))</f>
        <v/>
      </c>
      <c r="DY124" s="29" t="str">
        <f>IF(OR($B124="",$A124&lt;=126),"",--MID('Key Analysis'!$C120,$A124-126,1))</f>
        <v/>
      </c>
      <c r="DZ124" s="29" t="str">
        <f>IF(OR($B124="",$A124&lt;=127),"",--MID('Key Analysis'!$C120,$A124-127,1))</f>
        <v/>
      </c>
      <c r="EA124" s="29" t="str">
        <f>IF(OR($B124="",$A124&lt;=128),"",--MID('Key Analysis'!$C120,$A124-128,1))</f>
        <v/>
      </c>
      <c r="EB124" s="29" t="str">
        <f>IF(OR($B124="",$A124&lt;=129),"",--MID('Key Analysis'!$C120,$A124-129,1))</f>
        <v/>
      </c>
      <c r="EC124" s="29" t="str">
        <f>IF(OR($B124="",$A124&lt;=130),"",--MID('Key Analysis'!$C120,$A124-130,1))</f>
        <v/>
      </c>
      <c r="ED124" s="29" t="str">
        <f>IF(OR($B124="",$A124&lt;=131),"",--MID('Key Analysis'!$C120,$A124-131,1))</f>
        <v/>
      </c>
      <c r="EE124" s="29" t="str">
        <f>IF(OR($B124="",$A124&lt;=132),"",--MID('Key Analysis'!$C120,$A124-132,1))</f>
        <v/>
      </c>
      <c r="EF124" s="29" t="str">
        <f>IF(OR($B124="",$A124&lt;=133),"",--MID('Key Analysis'!$C120,$A124-133,1))</f>
        <v/>
      </c>
      <c r="EG124" s="29" t="str">
        <f>IF(OR($B124="",$A124&lt;=134),"",--MID('Key Analysis'!$C120,$A124-134,1))</f>
        <v/>
      </c>
      <c r="EH124" s="29"/>
      <c r="EI124" s="29" t="str">
        <f>IF(OR($B124="",$A124&lt;1),"",--MID('Key Analysis'!$C120,1,1))</f>
        <v/>
      </c>
      <c r="EJ124" s="29" t="str">
        <f>IF(OR($B124="",$A124&lt;2),"",--MID('Key Analysis'!$C120,2,1))</f>
        <v/>
      </c>
      <c r="EK124" s="29" t="str">
        <f>IF(OR($B124="",$A124&lt;3),"",--MID('Key Analysis'!$C120,3,1))</f>
        <v/>
      </c>
      <c r="EL124" s="29" t="str">
        <f>IF(OR($B124="",$A124&lt;4),"",--MID('Key Analysis'!$C120,4,1))</f>
        <v/>
      </c>
      <c r="EM124" s="29" t="str">
        <f>IF(OR($B124="",$A124&lt;5),"",--MID('Key Analysis'!$C120,5,1))</f>
        <v/>
      </c>
      <c r="EN124" s="29" t="str">
        <f>IF(OR($B124="",$A124&lt;6),"",--MID('Key Analysis'!$C120,6,1))</f>
        <v/>
      </c>
      <c r="EO124" s="29" t="str">
        <f>IF(OR($B124="",$A124&lt;7),"",--MID('Key Analysis'!$C120,7,1))</f>
        <v/>
      </c>
      <c r="EP124" s="29" t="str">
        <f>IF(OR($B124="",$A124&lt;8),"",--MID('Key Analysis'!$C120,8,1))</f>
        <v/>
      </c>
      <c r="EQ124" s="29" t="str">
        <f>IF(OR($B124="",$A124&lt;9),"",--MID('Key Analysis'!$C120,9,1))</f>
        <v/>
      </c>
      <c r="ER124" s="29" t="str">
        <f>IF(OR($B124="",$A124&lt;10),"",--MID('Key Analysis'!$C120,10,1))</f>
        <v/>
      </c>
      <c r="ES124" s="29" t="str">
        <f>IF(OR($B124="",$A124&lt;11),"",--MID('Key Analysis'!$C120,11,1))</f>
        <v/>
      </c>
      <c r="ET124" s="29" t="str">
        <f>IF(OR($B124="",$A124&lt;12),"",--MID('Key Analysis'!$C120,12,1))</f>
        <v/>
      </c>
      <c r="EU124" s="29" t="str">
        <f>IF(OR($B124="",$A124&lt;13),"",--MID('Key Analysis'!$C120,13,1))</f>
        <v/>
      </c>
      <c r="EV124" s="29" t="str">
        <f>IF(OR($B124="",$A124&lt;14),"",--MID('Key Analysis'!$C120,14,1))</f>
        <v/>
      </c>
      <c r="EW124" s="29" t="str">
        <f>IF(OR($B124="",$A124&lt;15),"",--MID('Key Analysis'!$C120,15,1))</f>
        <v/>
      </c>
      <c r="EX124" s="29" t="str">
        <f>IF(OR($B124="",$A124&lt;16),"",--MID('Key Analysis'!$C120,16,1))</f>
        <v/>
      </c>
      <c r="EY124" s="29" t="str">
        <f>IF(OR($B124="",$A124&lt;17),"",--MID('Key Analysis'!$C120,17,1))</f>
        <v/>
      </c>
      <c r="EZ124" s="29" t="str">
        <f>IF(OR($B124="",$A124&lt;18),"",--MID('Key Analysis'!$C120,18,1))</f>
        <v/>
      </c>
      <c r="FA124" s="29" t="str">
        <f>IF(OR($B124="",$A124&lt;19),"",--MID('Key Analysis'!$C120,19,1))</f>
        <v/>
      </c>
      <c r="FB124" s="29" t="str">
        <f>IF(OR($B124="",$A124&lt;20),"",--MID('Key Analysis'!$C120,20,1))</f>
        <v/>
      </c>
      <c r="FC124" s="29" t="str">
        <f>IF(OR($B124="",$A124&lt;21),"",--MID('Key Analysis'!$C120,21,1))</f>
        <v/>
      </c>
      <c r="FD124" s="29" t="str">
        <f>IF(OR($B124="",$A124&lt;22),"",--MID('Key Analysis'!$C120,22,1))</f>
        <v/>
      </c>
      <c r="FE124" s="29" t="str">
        <f>IF(OR($B124="",$A124&lt;23),"",--MID('Key Analysis'!$C120,23,1))</f>
        <v/>
      </c>
      <c r="FF124" s="29" t="str">
        <f>IF(OR($B124="",$A124&lt;24),"",--MID('Key Analysis'!$C120,24,1))</f>
        <v/>
      </c>
      <c r="FG124" s="29" t="str">
        <f>IF(OR($B124="",$A124&lt;25),"",--MID('Key Analysis'!$C120,25,1))</f>
        <v/>
      </c>
      <c r="FH124" s="29" t="str">
        <f>IF(OR($B124="",$A124&lt;26),"",--MID('Key Analysis'!$C120,26,1))</f>
        <v/>
      </c>
      <c r="FI124" s="29" t="str">
        <f>IF(OR($B124="",$A124&lt;27),"",--MID('Key Analysis'!$C120,27,1))</f>
        <v/>
      </c>
      <c r="FJ124" s="29" t="str">
        <f>IF(OR($B124="",$A124&lt;28),"",--MID('Key Analysis'!$C120,28,1))</f>
        <v/>
      </c>
      <c r="FK124" s="29" t="str">
        <f>IF(OR($B124="",$A124&lt;29),"",--MID('Key Analysis'!$C120,29,1))</f>
        <v/>
      </c>
      <c r="FL124" s="29" t="str">
        <f>IF(OR($B124="",$A124&lt;30),"",--MID('Key Analysis'!$C120,30,1))</f>
        <v/>
      </c>
      <c r="FM124" s="29" t="str">
        <f>IF(OR($B124="",$A124&lt;31),"",--MID('Key Analysis'!$C120,31,1))</f>
        <v/>
      </c>
      <c r="FN124" s="29" t="str">
        <f>IF(OR($B124="",$A124&lt;32),"",--MID('Key Analysis'!$C120,32,1))</f>
        <v/>
      </c>
      <c r="FO124" s="29" t="str">
        <f>IF(OR($B124="",$A124&lt;33),"",--MID('Key Analysis'!$C120,33,1))</f>
        <v/>
      </c>
      <c r="FP124" s="29" t="str">
        <f>IF(OR($B124="",$A124&lt;34),"",--MID('Key Analysis'!$C120,34,1))</f>
        <v/>
      </c>
      <c r="FQ124" s="29" t="str">
        <f>IF(OR($B124="",$A124&lt;35),"",--MID('Key Analysis'!$C120,35,1))</f>
        <v/>
      </c>
      <c r="FR124" s="29" t="str">
        <f>IF(OR($B124="",$A124&lt;36),"",--MID('Key Analysis'!$C120,36,1))</f>
        <v/>
      </c>
      <c r="FS124" s="29" t="str">
        <f>IF(OR($B124="",$A124&lt;37),"",--MID('Key Analysis'!$C120,37,1))</f>
        <v/>
      </c>
      <c r="FT124" s="29" t="str">
        <f>IF(OR($B124="",$A124&lt;38),"",--MID('Key Analysis'!$C120,38,1))</f>
        <v/>
      </c>
      <c r="FU124" s="29" t="str">
        <f>IF(OR($B124="",$A124&lt;39),"",--MID('Key Analysis'!$C120,39,1))</f>
        <v/>
      </c>
      <c r="FV124" s="29" t="str">
        <f>IF(OR($B124="",$A124&lt;40),"",--MID('Key Analysis'!$C120,40,1))</f>
        <v/>
      </c>
      <c r="FW124" s="29" t="str">
        <f>IF(OR($B124="",$A124&lt;41),"",--MID('Key Analysis'!$C120,41,1))</f>
        <v/>
      </c>
      <c r="FX124" s="29" t="str">
        <f>IF(OR($B124="",$A124&lt;42),"",--MID('Key Analysis'!$C120,42,1))</f>
        <v/>
      </c>
      <c r="FY124" s="29" t="str">
        <f>IF(OR($B124="",$A124&lt;43),"",--MID('Key Analysis'!$C120,43,1))</f>
        <v/>
      </c>
      <c r="FZ124" s="29" t="str">
        <f>IF(OR($B124="",$A124&lt;44),"",--MID('Key Analysis'!$C120,44,1))</f>
        <v/>
      </c>
      <c r="GA124" s="29" t="str">
        <f>IF(OR($B124="",$A124&lt;45),"",--MID('Key Analysis'!$C120,45,1))</f>
        <v/>
      </c>
      <c r="GB124" s="29" t="str">
        <f>IF(OR($B124="",$A124&lt;46),"",--MID('Key Analysis'!$C120,46,1))</f>
        <v/>
      </c>
      <c r="GC124" s="29" t="str">
        <f>IF(OR($B124="",$A124&lt;47),"",--MID('Key Analysis'!$C120,47,1))</f>
        <v/>
      </c>
      <c r="GD124" s="29" t="str">
        <f>IF(OR($B124="",$A124&lt;48),"",--MID('Key Analysis'!$C120,48,1))</f>
        <v/>
      </c>
      <c r="GE124" s="29" t="str">
        <f>IF(OR($B124="",$A124&lt;49),"",--MID('Key Analysis'!$C120,49,1))</f>
        <v/>
      </c>
      <c r="GF124" s="29" t="str">
        <f>IF(OR($B124="",$A124&lt;50),"",--MID('Key Analysis'!$C120,50,1))</f>
        <v/>
      </c>
      <c r="GG124" s="29" t="str">
        <f>IF(OR($B124="",$A124&lt;51),"",--MID('Key Analysis'!$C120,51,1))</f>
        <v/>
      </c>
      <c r="GH124" s="29" t="str">
        <f>IF(OR($B124="",$A124&lt;52),"",--MID('Key Analysis'!$C120,52,1))</f>
        <v/>
      </c>
      <c r="GI124" s="29" t="str">
        <f>IF(OR($B124="",$A124&lt;53),"",--MID('Key Analysis'!$C120,53,1))</f>
        <v/>
      </c>
      <c r="GJ124" s="29" t="str">
        <f>IF(OR($B124="",$A124&lt;54),"",--MID('Key Analysis'!$C120,54,1))</f>
        <v/>
      </c>
      <c r="GK124" s="29" t="str">
        <f>IF(OR($B124="",$A124&lt;55),"",--MID('Key Analysis'!$C120,55,1))</f>
        <v/>
      </c>
      <c r="GL124" s="29" t="str">
        <f>IF(OR($B124="",$A124&lt;56),"",--MID('Key Analysis'!$C120,56,1))</f>
        <v/>
      </c>
      <c r="GM124" s="29" t="str">
        <f>IF(OR($B124="",$A124&lt;57),"",--MID('Key Analysis'!$C120,57,1))</f>
        <v/>
      </c>
      <c r="GN124" s="29" t="str">
        <f>IF(OR($B124="",$A124&lt;58),"",--MID('Key Analysis'!$C120,58,1))</f>
        <v/>
      </c>
      <c r="GO124" s="29" t="str">
        <f>IF(OR($B124="",$A124&lt;59),"",--MID('Key Analysis'!$C120,59,1))</f>
        <v/>
      </c>
      <c r="GP124" s="29" t="str">
        <f>IF(OR($B124="",$A124&lt;60),"",--MID('Key Analysis'!$C120,60,1))</f>
        <v/>
      </c>
      <c r="GQ124" s="29" t="str">
        <f>IF(OR($B124="",$A124&lt;61),"",--MID('Key Analysis'!$C120,61,1))</f>
        <v/>
      </c>
      <c r="GR124" s="29" t="str">
        <f>IF(OR($B124="",$A124&lt;62),"",--MID('Key Analysis'!$C120,62,1))</f>
        <v/>
      </c>
      <c r="GS124" s="29" t="str">
        <f>IF(OR($B124="",$A124&lt;63),"",--MID('Key Analysis'!$C120,63,1))</f>
        <v/>
      </c>
      <c r="GT124" s="29" t="str">
        <f>IF(OR($B124="",$A124&lt;64),"",--MID('Key Analysis'!$C120,64,1))</f>
        <v/>
      </c>
      <c r="GU124" s="29" t="str">
        <f>IF(OR($B124="",$A124&lt;65),"",--MID('Key Analysis'!$C120,65,1))</f>
        <v/>
      </c>
      <c r="GV124" s="29" t="str">
        <f>IF(OR($B124="",$A124&lt;66),"",--MID('Key Analysis'!$C120,66,1))</f>
        <v/>
      </c>
      <c r="GW124" s="29" t="str">
        <f>IF(OR($B124="",$A124&lt;67),"",--MID('Key Analysis'!$C120,67,1))</f>
        <v/>
      </c>
      <c r="GX124" s="29" t="str">
        <f>IF(OR($B124="",$A124&lt;68),"",--MID('Key Analysis'!$C120,68,1))</f>
        <v/>
      </c>
      <c r="GY124" s="29" t="str">
        <f>IF(OR($B124="",$A124&lt;69),"",--MID('Key Analysis'!$C120,69,1))</f>
        <v/>
      </c>
      <c r="GZ124" s="29" t="str">
        <f>IF(OR($B124="",$A124&lt;70),"",--MID('Key Analysis'!$C120,70,1))</f>
        <v/>
      </c>
      <c r="HA124" s="29" t="str">
        <f>IF(OR($B124="",$A124&lt;71),"",--MID('Key Analysis'!$C120,71,1))</f>
        <v/>
      </c>
      <c r="HB124" s="29" t="str">
        <f>IF(OR($B124="",$A124&lt;72),"",--MID('Key Analysis'!$C120,72,1))</f>
        <v/>
      </c>
      <c r="HC124" s="29" t="str">
        <f>IF(OR($B124="",$A124&lt;73),"",--MID('Key Analysis'!$C120,73,1))</f>
        <v/>
      </c>
      <c r="HD124" s="29" t="str">
        <f>IF(OR($B124="",$A124&lt;74),"",--MID('Key Analysis'!$C120,74,1))</f>
        <v/>
      </c>
      <c r="HE124" s="29" t="str">
        <f>IF(OR($B124="",$A124&lt;75),"",--MID('Key Analysis'!$C120,75,1))</f>
        <v/>
      </c>
      <c r="HF124" s="29" t="str">
        <f>IF(OR($B124="",$A124&lt;76),"",--MID('Key Analysis'!$C120,76,1))</f>
        <v/>
      </c>
      <c r="HG124" s="29" t="str">
        <f>IF(OR($B124="",$A124&lt;77),"",--MID('Key Analysis'!$C120,77,1))</f>
        <v/>
      </c>
      <c r="HH124" s="29" t="str">
        <f>IF(OR($B124="",$A124&lt;78),"",--MID('Key Analysis'!$C120,78,1))</f>
        <v/>
      </c>
      <c r="HI124" s="29" t="str">
        <f>IF(OR($B124="",$A124&lt;79),"",--MID('Key Analysis'!$C120,79,1))</f>
        <v/>
      </c>
      <c r="HJ124" s="29" t="str">
        <f>IF(OR($B124="",$A124&lt;80),"",--MID('Key Analysis'!$C120,80,1))</f>
        <v/>
      </c>
      <c r="HK124" s="29" t="str">
        <f>IF(OR($B124="",$A124&lt;81),"",--MID('Key Analysis'!$C120,81,1))</f>
        <v/>
      </c>
      <c r="HL124" s="29" t="str">
        <f>IF(OR($B124="",$A124&lt;82),"",--MID('Key Analysis'!$C120,82,1))</f>
        <v/>
      </c>
      <c r="HM124" s="29" t="str">
        <f>IF(OR($B124="",$A124&lt;83),"",--MID('Key Analysis'!$C120,83,1))</f>
        <v/>
      </c>
      <c r="HN124" s="29" t="str">
        <f>IF(OR($B124="",$A124&lt;84),"",--MID('Key Analysis'!$C120,84,1))</f>
        <v/>
      </c>
      <c r="HO124" s="29" t="str">
        <f>IF(OR($B124="",$A124&lt;85),"",--MID('Key Analysis'!$C120,85,1))</f>
        <v/>
      </c>
      <c r="HP124" s="29" t="str">
        <f>IF(OR($B124="",$A124&lt;86),"",--MID('Key Analysis'!$C120,86,1))</f>
        <v/>
      </c>
      <c r="HQ124" s="29" t="str">
        <f>IF(OR($B124="",$A124&lt;87),"",--MID('Key Analysis'!$C120,87,1))</f>
        <v/>
      </c>
      <c r="HR124" s="29" t="str">
        <f>IF(OR($B124="",$A124&lt;88),"",--MID('Key Analysis'!$C120,88,1))</f>
        <v/>
      </c>
      <c r="HS124" s="29" t="str">
        <f>IF(OR($B124="",$A124&lt;89),"",--MID('Key Analysis'!$C120,89,1))</f>
        <v/>
      </c>
      <c r="HT124" s="29" t="str">
        <f>IF(OR($B124="",$A124&lt;90),"",--MID('Key Analysis'!$C120,90,1))</f>
        <v/>
      </c>
      <c r="HU124" s="29" t="str">
        <f>IF(OR($B124="",$A124&lt;91),"",--MID('Key Analysis'!$C120,91,1))</f>
        <v/>
      </c>
      <c r="HV124" s="29" t="str">
        <f>IF(OR($B124="",$A124&lt;92),"",--MID('Key Analysis'!$C120,92,1))</f>
        <v/>
      </c>
      <c r="HW124" s="29" t="str">
        <f>IF(OR($B124="",$A124&lt;93),"",--MID('Key Analysis'!$C120,93,1))</f>
        <v/>
      </c>
      <c r="HX124" s="29" t="str">
        <f>IF(OR($B124="",$A124&lt;94),"",--MID('Key Analysis'!$C120,94,1))</f>
        <v/>
      </c>
      <c r="HY124" s="29" t="str">
        <f>IF(OR($B124="",$A124&lt;95),"",--MID('Key Analysis'!$C120,95,1))</f>
        <v/>
      </c>
      <c r="HZ124" s="29" t="str">
        <f>IF(OR($B124="",$A124&lt;96),"",--MID('Key Analysis'!$C120,96,1))</f>
        <v/>
      </c>
      <c r="IA124" s="29" t="str">
        <f>IF(OR($B124="",$A124&lt;97),"",--MID('Key Analysis'!$C120,97,1))</f>
        <v/>
      </c>
      <c r="IB124" s="29" t="str">
        <f>IF(OR($B124="",$A124&lt;98),"",--MID('Key Analysis'!$C120,98,1))</f>
        <v/>
      </c>
      <c r="IC124" s="29" t="str">
        <f>IF(OR($B124="",$A124&lt;99),"",--MID('Key Analysis'!$C120,99,1))</f>
        <v/>
      </c>
      <c r="ID124" s="29" t="str">
        <f>IF(OR($B124="",$A124&lt;100),"",--MID('Key Analysis'!$C120,100,1))</f>
        <v/>
      </c>
      <c r="IE124" s="29" t="str">
        <f>IF(OR($B124="",$A124&lt;101),"",--MID('Key Analysis'!$C120,101,1))</f>
        <v/>
      </c>
      <c r="IF124" s="29" t="str">
        <f>IF(OR($B124="",$A124&lt;102),"",--MID('Key Analysis'!$C120,102,1))</f>
        <v/>
      </c>
      <c r="IG124" s="29" t="str">
        <f>IF(OR($B124="",$A124&lt;103),"",--MID('Key Analysis'!$C120,103,1))</f>
        <v/>
      </c>
      <c r="IH124" s="29" t="str">
        <f>IF(OR($B124="",$A124&lt;104),"",--MID('Key Analysis'!$C120,104,1))</f>
        <v/>
      </c>
      <c r="II124" s="29" t="str">
        <f>IF(OR($B124="",$A124&lt;105),"",--MID('Key Analysis'!$C120,105,1))</f>
        <v/>
      </c>
      <c r="IJ124" s="29" t="str">
        <f>IF(OR($B124="",$A124&lt;106),"",--MID('Key Analysis'!$C120,106,1))</f>
        <v/>
      </c>
      <c r="IK124" s="29" t="str">
        <f>IF(OR($B124="",$A124&lt;107),"",--MID('Key Analysis'!$C120,107,1))</f>
        <v/>
      </c>
      <c r="IL124" s="29" t="str">
        <f>IF(OR($B124="",$A124&lt;108),"",--MID('Key Analysis'!$C120,108,1))</f>
        <v/>
      </c>
      <c r="IM124" s="29" t="str">
        <f>IF(OR($B124="",$A124&lt;109),"",--MID('Key Analysis'!$C120,109,1))</f>
        <v/>
      </c>
      <c r="IN124" s="29" t="str">
        <f>IF(OR($B124="",$A124&lt;110),"",--MID('Key Analysis'!$C120,110,1))</f>
        <v/>
      </c>
      <c r="IO124" s="29" t="str">
        <f>IF(OR($B124="",$A124&lt;111),"",--MID('Key Analysis'!$C120,111,1))</f>
        <v/>
      </c>
      <c r="IP124" s="29" t="str">
        <f>IF(OR($B124="",$A124&lt;112),"",--MID('Key Analysis'!$C120,112,1))</f>
        <v/>
      </c>
      <c r="IQ124" s="29" t="str">
        <f>IF(OR($B124="",$A124&lt;113),"",--MID('Key Analysis'!$C120,113,1))</f>
        <v/>
      </c>
      <c r="IR124" s="29" t="str">
        <f>IF(OR($B124="",$A124&lt;114),"",--MID('Key Analysis'!$C120,114,1))</f>
        <v/>
      </c>
      <c r="IS124" s="29" t="str">
        <f>IF(OR($B124="",$A124&lt;115),"",--MID('Key Analysis'!$C120,115,1))</f>
        <v/>
      </c>
      <c r="IT124" s="29" t="str">
        <f>IF(OR($B124="",$A124&lt;116),"",--MID('Key Analysis'!$C120,116,1))</f>
        <v/>
      </c>
      <c r="IU124" s="29" t="str">
        <f>IF(OR($B124="",$A124&lt;117),"",--MID('Key Analysis'!$C120,117,1))</f>
        <v/>
      </c>
      <c r="IV124" s="29" t="str">
        <f>IF(OR($B124="",$A124&lt;118),"",--MID('Key Analysis'!$C120,118,1))</f>
        <v/>
      </c>
      <c r="IW124" s="29" t="str">
        <f>IF(OR($B124="",$A124&lt;119),"",--MID('Key Analysis'!$C120,119,1))</f>
        <v/>
      </c>
      <c r="IX124" s="29" t="str">
        <f>IF(OR($B124="",$A124&lt;120),"",--MID('Key Analysis'!$C120,120,1))</f>
        <v/>
      </c>
      <c r="IY124" s="29" t="str">
        <f>IF(OR($B124="",$A124&lt;121),"",--MID('Key Analysis'!$C120,121,1))</f>
        <v/>
      </c>
      <c r="IZ124" s="29" t="str">
        <f>IF(OR($B124="",$A124&lt;122),"",--MID('Key Analysis'!$C120,122,1))</f>
        <v/>
      </c>
      <c r="JA124" s="29" t="str">
        <f>IF(OR($B124="",$A124&lt;123),"",--MID('Key Analysis'!$C120,123,1))</f>
        <v/>
      </c>
      <c r="JB124" s="29" t="str">
        <f>IF(OR($B124="",$A124&lt;124),"",--MID('Key Analysis'!$C120,124,1))</f>
        <v/>
      </c>
      <c r="JC124" s="29" t="str">
        <f>IF(OR($B124="",$A124&lt;125),"",--MID('Key Analysis'!$C120,125,1))</f>
        <v/>
      </c>
      <c r="JD124" s="29" t="str">
        <f>IF(OR($B124="",$A124&lt;126),"",--MID('Key Analysis'!$C120,126,1))</f>
        <v/>
      </c>
      <c r="JE124" s="29" t="str">
        <f>IF(OR($B124="",$A124&lt;127),"",--MID('Key Analysis'!$C120,127,1))</f>
        <v/>
      </c>
      <c r="JF124" s="29" t="str">
        <f>IF(OR($B124="",$A124&lt;128),"",--MID('Key Analysis'!$C120,128,1))</f>
        <v/>
      </c>
      <c r="JG124" s="29" t="str">
        <f>IF(OR($B124="",$A124&lt;129),"",--MID('Key Analysis'!$C120,129,1))</f>
        <v/>
      </c>
      <c r="JH124" s="29" t="str">
        <f>IF(OR($B124="",$A124&lt;130),"",--MID('Key Analysis'!$C120,130,1))</f>
        <v/>
      </c>
      <c r="JI124" s="29" t="str">
        <f>IF(OR($B124="",$A124&lt;131),"",--MID('Key Analysis'!$C120,131,1))</f>
        <v/>
      </c>
      <c r="JJ124" s="29" t="str">
        <f>IF(OR($B124="",$A124&lt;132),"",--MID('Key Analysis'!$C120,132,1))</f>
        <v/>
      </c>
      <c r="JK124" s="29" t="str">
        <f>IF(OR($B124="",$A124&lt;133),"",--MID('Key Analysis'!$C120,133,1))</f>
        <v/>
      </c>
      <c r="JL124" s="29" t="str">
        <f>IF(OR($B124="",$A124&lt;134),"",--MID('Key Analysis'!$C120,134,1))</f>
        <v/>
      </c>
      <c r="JM124" s="29" t="str">
        <f>IF(OR($B124="",$A124&lt;135),"",--MID('Key Analysis'!$C120,135,1))</f>
        <v/>
      </c>
    </row>
    <row r="125" spans="1:273" x14ac:dyDescent="0.25">
      <c r="A125" s="21">
        <f>'Key Analysis'!A121</f>
        <v>120</v>
      </c>
      <c r="B125" s="30" t="str">
        <f>'Key Analysis'!B121</f>
        <v>b10f22572c497a836ea187f2e1fc23</v>
      </c>
      <c r="C125" s="29">
        <f>IF(OR($B125="",$A125&lt;=0),"",--MID('Key Analysis'!$C121,$A125-0,1))</f>
        <v>1</v>
      </c>
      <c r="D125" s="29">
        <f>IF(OR($B125="",$A125&lt;=1),"",--MID('Key Analysis'!$C121,$A125-1,1))</f>
        <v>1</v>
      </c>
      <c r="E125" s="29">
        <f>IF(OR($B125="",$A125&lt;=2),"",--MID('Key Analysis'!$C121,$A125-2,1))</f>
        <v>0</v>
      </c>
      <c r="F125" s="29">
        <f>IF(OR($B125="",$A125&lt;=3),"",--MID('Key Analysis'!$C121,$A125-3,1))</f>
        <v>0</v>
      </c>
      <c r="G125" s="29">
        <f>IF(OR($B125="",$A125&lt;=4),"",--MID('Key Analysis'!$C121,$A125-4,1))</f>
        <v>0</v>
      </c>
      <c r="H125" s="29">
        <f>IF(OR($B125="",$A125&lt;=5),"",--MID('Key Analysis'!$C121,$A125-5,1))</f>
        <v>1</v>
      </c>
      <c r="I125" s="29">
        <f>IF(OR($B125="",$A125&lt;=6),"",--MID('Key Analysis'!$C121,$A125-6,1))</f>
        <v>0</v>
      </c>
      <c r="J125" s="29">
        <f>IF(OR($B125="",$A125&lt;=7),"",--MID('Key Analysis'!$C121,$A125-7,1))</f>
        <v>0</v>
      </c>
      <c r="K125" s="29">
        <f>IF(OR($B125="",$A125&lt;=8),"",--MID('Key Analysis'!$C121,$A125-8,1))</f>
        <v>0</v>
      </c>
      <c r="L125" s="29">
        <f>IF(OR($B125="",$A125&lt;=9),"",--MID('Key Analysis'!$C121,$A125-9,1))</f>
        <v>0</v>
      </c>
      <c r="M125" s="29">
        <f>IF(OR($B125="",$A125&lt;=10),"",--MID('Key Analysis'!$C121,$A125-10,1))</f>
        <v>1</v>
      </c>
      <c r="N125" s="29">
        <f>IF(OR($B125="",$A125&lt;=11),"",--MID('Key Analysis'!$C121,$A125-11,1))</f>
        <v>1</v>
      </c>
      <c r="O125" s="29">
        <f>IF(OR($B125="",$A125&lt;=12),"",--MID('Key Analysis'!$C121,$A125-12,1))</f>
        <v>1</v>
      </c>
      <c r="P125" s="29">
        <f>IF(OR($B125="",$A125&lt;=13),"",--MID('Key Analysis'!$C121,$A125-13,1))</f>
        <v>1</v>
      </c>
      <c r="Q125" s="29">
        <f>IF(OR($B125="",$A125&lt;=14),"",--MID('Key Analysis'!$C121,$A125-14,1))</f>
        <v>1</v>
      </c>
      <c r="R125" s="29">
        <f>IF(OR($B125="",$A125&lt;=15),"",--MID('Key Analysis'!$C121,$A125-15,1))</f>
        <v>1</v>
      </c>
      <c r="S125" s="29">
        <f>IF(OR($B125="",$A125&lt;=16),"",--MID('Key Analysis'!$C121,$A125-16,1))</f>
        <v>1</v>
      </c>
      <c r="T125" s="29">
        <f>IF(OR($B125="",$A125&lt;=17),"",--MID('Key Analysis'!$C121,$A125-17,1))</f>
        <v>0</v>
      </c>
      <c r="U125" s="29">
        <f>IF(OR($B125="",$A125&lt;=18),"",--MID('Key Analysis'!$C121,$A125-18,1))</f>
        <v>0</v>
      </c>
      <c r="V125" s="29">
        <f>IF(OR($B125="",$A125&lt;=19),"",--MID('Key Analysis'!$C121,$A125-19,1))</f>
        <v>0</v>
      </c>
      <c r="W125" s="29">
        <f>IF(OR($B125="",$A125&lt;=20),"",--MID('Key Analysis'!$C121,$A125-20,1))</f>
        <v>0</v>
      </c>
      <c r="X125" s="29">
        <f>IF(OR($B125="",$A125&lt;=21),"",--MID('Key Analysis'!$C121,$A125-21,1))</f>
        <v>1</v>
      </c>
      <c r="Y125" s="29">
        <f>IF(OR($B125="",$A125&lt;=22),"",--MID('Key Analysis'!$C121,$A125-22,1))</f>
        <v>1</v>
      </c>
      <c r="Z125" s="29">
        <f>IF(OR($B125="",$A125&lt;=23),"",--MID('Key Analysis'!$C121,$A125-23,1))</f>
        <v>1</v>
      </c>
      <c r="AA125" s="29">
        <f>IF(OR($B125="",$A125&lt;=24),"",--MID('Key Analysis'!$C121,$A125-24,1))</f>
        <v>0</v>
      </c>
      <c r="AB125" s="29">
        <f>IF(OR($B125="",$A125&lt;=25),"",--MID('Key Analysis'!$C121,$A125-25,1))</f>
        <v>1</v>
      </c>
      <c r="AC125" s="29">
        <f>IF(OR($B125="",$A125&lt;=26),"",--MID('Key Analysis'!$C121,$A125-26,1))</f>
        <v>0</v>
      </c>
      <c r="AD125" s="29">
        <f>IF(OR($B125="",$A125&lt;=27),"",--MID('Key Analysis'!$C121,$A125-27,1))</f>
        <v>0</v>
      </c>
      <c r="AE125" s="29">
        <f>IF(OR($B125="",$A125&lt;=28),"",--MID('Key Analysis'!$C121,$A125-28,1))</f>
        <v>1</v>
      </c>
      <c r="AF125" s="29">
        <f>IF(OR($B125="",$A125&lt;=29),"",--MID('Key Analysis'!$C121,$A125-29,1))</f>
        <v>1</v>
      </c>
      <c r="AG125" s="29">
        <f>IF(OR($B125="",$A125&lt;=30),"",--MID('Key Analysis'!$C121,$A125-30,1))</f>
        <v>1</v>
      </c>
      <c r="AH125" s="29">
        <f>IF(OR($B125="",$A125&lt;=31),"",--MID('Key Analysis'!$C121,$A125-31,1))</f>
        <v>1</v>
      </c>
      <c r="AI125" s="29">
        <f>IF(OR($B125="",$A125&lt;=32),"",--MID('Key Analysis'!$C121,$A125-32,1))</f>
        <v>1</v>
      </c>
      <c r="AJ125" s="29">
        <f>IF(OR($B125="",$A125&lt;=33),"",--MID('Key Analysis'!$C121,$A125-33,1))</f>
        <v>1</v>
      </c>
      <c r="AK125" s="29">
        <f>IF(OR($B125="",$A125&lt;=34),"",--MID('Key Analysis'!$C121,$A125-34,1))</f>
        <v>1</v>
      </c>
      <c r="AL125" s="29">
        <f>IF(OR($B125="",$A125&lt;=35),"",--MID('Key Analysis'!$C121,$A125-35,1))</f>
        <v>0</v>
      </c>
      <c r="AM125" s="29">
        <f>IF(OR($B125="",$A125&lt;=36),"",--MID('Key Analysis'!$C121,$A125-36,1))</f>
        <v>0</v>
      </c>
      <c r="AN125" s="29">
        <f>IF(OR($B125="",$A125&lt;=37),"",--MID('Key Analysis'!$C121,$A125-37,1))</f>
        <v>0</v>
      </c>
      <c r="AO125" s="29">
        <f>IF(OR($B125="",$A125&lt;=38),"",--MID('Key Analysis'!$C121,$A125-38,1))</f>
        <v>0</v>
      </c>
      <c r="AP125" s="29">
        <f>IF(OR($B125="",$A125&lt;=39),"",--MID('Key Analysis'!$C121,$A125-39,1))</f>
        <v>1</v>
      </c>
      <c r="AQ125" s="29">
        <f>IF(OR($B125="",$A125&lt;=40),"",--MID('Key Analysis'!$C121,$A125-40,1))</f>
        <v>1</v>
      </c>
      <c r="AR125" s="29">
        <f>IF(OR($B125="",$A125&lt;=41),"",--MID('Key Analysis'!$C121,$A125-41,1))</f>
        <v>0</v>
      </c>
      <c r="AS125" s="29">
        <f>IF(OR($B125="",$A125&lt;=42),"",--MID('Key Analysis'!$C121,$A125-42,1))</f>
        <v>0</v>
      </c>
      <c r="AT125" s="29">
        <f>IF(OR($B125="",$A125&lt;=43),"",--MID('Key Analysis'!$C121,$A125-43,1))</f>
        <v>0</v>
      </c>
      <c r="AU125" s="29">
        <f>IF(OR($B125="",$A125&lt;=44),"",--MID('Key Analysis'!$C121,$A125-44,1))</f>
        <v>0</v>
      </c>
      <c r="AV125" s="29">
        <f>IF(OR($B125="",$A125&lt;=45),"",--MID('Key Analysis'!$C121,$A125-45,1))</f>
        <v>1</v>
      </c>
      <c r="AW125" s="29">
        <f>IF(OR($B125="",$A125&lt;=46),"",--MID('Key Analysis'!$C121,$A125-46,1))</f>
        <v>0</v>
      </c>
      <c r="AX125" s="29">
        <f>IF(OR($B125="",$A125&lt;=47),"",--MID('Key Analysis'!$C121,$A125-47,1))</f>
        <v>1</v>
      </c>
      <c r="AY125" s="29">
        <f>IF(OR($B125="",$A125&lt;=48),"",--MID('Key Analysis'!$C121,$A125-48,1))</f>
        <v>0</v>
      </c>
      <c r="AZ125" s="29">
        <f>IF(OR($B125="",$A125&lt;=49),"",--MID('Key Analysis'!$C121,$A125-49,1))</f>
        <v>1</v>
      </c>
      <c r="BA125" s="29">
        <f>IF(OR($B125="",$A125&lt;=50),"",--MID('Key Analysis'!$C121,$A125-50,1))</f>
        <v>1</v>
      </c>
      <c r="BB125" s="29">
        <f>IF(OR($B125="",$A125&lt;=51),"",--MID('Key Analysis'!$C121,$A125-51,1))</f>
        <v>1</v>
      </c>
      <c r="BC125" s="29">
        <f>IF(OR($B125="",$A125&lt;=52),"",--MID('Key Analysis'!$C121,$A125-52,1))</f>
        <v>0</v>
      </c>
      <c r="BD125" s="29">
        <f>IF(OR($B125="",$A125&lt;=53),"",--MID('Key Analysis'!$C121,$A125-53,1))</f>
        <v>1</v>
      </c>
      <c r="BE125" s="29">
        <f>IF(OR($B125="",$A125&lt;=54),"",--MID('Key Analysis'!$C121,$A125-54,1))</f>
        <v>1</v>
      </c>
      <c r="BF125" s="29">
        <f>IF(OR($B125="",$A125&lt;=55),"",--MID('Key Analysis'!$C121,$A125-55,1))</f>
        <v>0</v>
      </c>
      <c r="BG125" s="29">
        <f>IF(OR($B125="",$A125&lt;=56),"",--MID('Key Analysis'!$C121,$A125-56,1))</f>
        <v>1</v>
      </c>
      <c r="BH125" s="29">
        <f>IF(OR($B125="",$A125&lt;=57),"",--MID('Key Analysis'!$C121,$A125-57,1))</f>
        <v>1</v>
      </c>
      <c r="BI125" s="29">
        <f>IF(OR($B125="",$A125&lt;=58),"",--MID('Key Analysis'!$C121,$A125-58,1))</f>
        <v>0</v>
      </c>
      <c r="BJ125" s="29">
        <f>IF(OR($B125="",$A125&lt;=59),"",--MID('Key Analysis'!$C121,$A125-59,1))</f>
        <v>0</v>
      </c>
      <c r="BK125" s="29">
        <f>IF(OR($B125="",$A125&lt;=60),"",--MID('Key Analysis'!$C121,$A125-60,1))</f>
        <v>0</v>
      </c>
      <c r="BL125" s="29">
        <f>IF(OR($B125="",$A125&lt;=61),"",--MID('Key Analysis'!$C121,$A125-61,1))</f>
        <v>0</v>
      </c>
      <c r="BM125" s="29">
        <f>IF(OR($B125="",$A125&lt;=62),"",--MID('Key Analysis'!$C121,$A125-62,1))</f>
        <v>0</v>
      </c>
      <c r="BN125" s="29">
        <f>IF(OR($B125="",$A125&lt;=63),"",--MID('Key Analysis'!$C121,$A125-63,1))</f>
        <v>1</v>
      </c>
      <c r="BO125" s="29">
        <f>IF(OR($B125="",$A125&lt;=64),"",--MID('Key Analysis'!$C121,$A125-64,1))</f>
        <v>0</v>
      </c>
      <c r="BP125" s="29">
        <f>IF(OR($B125="",$A125&lt;=65),"",--MID('Key Analysis'!$C121,$A125-65,1))</f>
        <v>1</v>
      </c>
      <c r="BQ125" s="29">
        <f>IF(OR($B125="",$A125&lt;=66),"",--MID('Key Analysis'!$C121,$A125-66,1))</f>
        <v>0</v>
      </c>
      <c r="BR125" s="29">
        <f>IF(OR($B125="",$A125&lt;=67),"",--MID('Key Analysis'!$C121,$A125-67,1))</f>
        <v>1</v>
      </c>
      <c r="BS125" s="29">
        <f>IF(OR($B125="",$A125&lt;=68),"",--MID('Key Analysis'!$C121,$A125-68,1))</f>
        <v>1</v>
      </c>
      <c r="BT125" s="29">
        <f>IF(OR($B125="",$A125&lt;=69),"",--MID('Key Analysis'!$C121,$A125-69,1))</f>
        <v>1</v>
      </c>
      <c r="BU125" s="29">
        <f>IF(OR($B125="",$A125&lt;=70),"",--MID('Key Analysis'!$C121,$A125-70,1))</f>
        <v>1</v>
      </c>
      <c r="BV125" s="29">
        <f>IF(OR($B125="",$A125&lt;=71),"",--MID('Key Analysis'!$C121,$A125-71,1))</f>
        <v>0</v>
      </c>
      <c r="BW125" s="29">
        <f>IF(OR($B125="",$A125&lt;=72),"",--MID('Key Analysis'!$C121,$A125-72,1))</f>
        <v>1</v>
      </c>
      <c r="BX125" s="29">
        <f>IF(OR($B125="",$A125&lt;=73),"",--MID('Key Analysis'!$C121,$A125-73,1))</f>
        <v>0</v>
      </c>
      <c r="BY125" s="29">
        <f>IF(OR($B125="",$A125&lt;=74),"",--MID('Key Analysis'!$C121,$A125-74,1))</f>
        <v>0</v>
      </c>
      <c r="BZ125" s="29">
        <f>IF(OR($B125="",$A125&lt;=75),"",--MID('Key Analysis'!$C121,$A125-75,1))</f>
        <v>1</v>
      </c>
      <c r="CA125" s="29">
        <f>IF(OR($B125="",$A125&lt;=76),"",--MID('Key Analysis'!$C121,$A125-76,1))</f>
        <v>0</v>
      </c>
      <c r="CB125" s="29">
        <f>IF(OR($B125="",$A125&lt;=77),"",--MID('Key Analysis'!$C121,$A125-77,1))</f>
        <v>0</v>
      </c>
      <c r="CC125" s="29">
        <f>IF(OR($B125="",$A125&lt;=78),"",--MID('Key Analysis'!$C121,$A125-78,1))</f>
        <v>1</v>
      </c>
      <c r="CD125" s="29">
        <f>IF(OR($B125="",$A125&lt;=79),"",--MID('Key Analysis'!$C121,$A125-79,1))</f>
        <v>0</v>
      </c>
      <c r="CE125" s="29">
        <f>IF(OR($B125="",$A125&lt;=80),"",--MID('Key Analysis'!$C121,$A125-80,1))</f>
        <v>0</v>
      </c>
      <c r="CF125" s="29">
        <f>IF(OR($B125="",$A125&lt;=81),"",--MID('Key Analysis'!$C121,$A125-81,1))</f>
        <v>0</v>
      </c>
      <c r="CG125" s="29">
        <f>IF(OR($B125="",$A125&lt;=82),"",--MID('Key Analysis'!$C121,$A125-82,1))</f>
        <v>1</v>
      </c>
      <c r="CH125" s="29">
        <f>IF(OR($B125="",$A125&lt;=83),"",--MID('Key Analysis'!$C121,$A125-83,1))</f>
        <v>1</v>
      </c>
      <c r="CI125" s="29">
        <f>IF(OR($B125="",$A125&lt;=84),"",--MID('Key Analysis'!$C121,$A125-84,1))</f>
        <v>0</v>
      </c>
      <c r="CJ125" s="29">
        <f>IF(OR($B125="",$A125&lt;=85),"",--MID('Key Analysis'!$C121,$A125-85,1))</f>
        <v>1</v>
      </c>
      <c r="CK125" s="29">
        <f>IF(OR($B125="",$A125&lt;=86),"",--MID('Key Analysis'!$C121,$A125-86,1))</f>
        <v>0</v>
      </c>
      <c r="CL125" s="29">
        <f>IF(OR($B125="",$A125&lt;=87),"",--MID('Key Analysis'!$C121,$A125-87,1))</f>
        <v>0</v>
      </c>
      <c r="CM125" s="29">
        <f>IF(OR($B125="",$A125&lt;=88),"",--MID('Key Analysis'!$C121,$A125-88,1))</f>
        <v>1</v>
      </c>
      <c r="CN125" s="29">
        <f>IF(OR($B125="",$A125&lt;=89),"",--MID('Key Analysis'!$C121,$A125-89,1))</f>
        <v>1</v>
      </c>
      <c r="CO125" s="29">
        <f>IF(OR($B125="",$A125&lt;=90),"",--MID('Key Analysis'!$C121,$A125-90,1))</f>
        <v>1</v>
      </c>
      <c r="CP125" s="29">
        <f>IF(OR($B125="",$A125&lt;=91),"",--MID('Key Analysis'!$C121,$A125-91,1))</f>
        <v>0</v>
      </c>
      <c r="CQ125" s="29">
        <f>IF(OR($B125="",$A125&lt;=92),"",--MID('Key Analysis'!$C121,$A125-92,1))</f>
        <v>1</v>
      </c>
      <c r="CR125" s="29">
        <f>IF(OR($B125="",$A125&lt;=93),"",--MID('Key Analysis'!$C121,$A125-93,1))</f>
        <v>0</v>
      </c>
      <c r="CS125" s="29">
        <f>IF(OR($B125="",$A125&lt;=94),"",--MID('Key Analysis'!$C121,$A125-94,1))</f>
        <v>1</v>
      </c>
      <c r="CT125" s="29">
        <f>IF(OR($B125="",$A125&lt;=95),"",--MID('Key Analysis'!$C121,$A125-95,1))</f>
        <v>0</v>
      </c>
      <c r="CU125" s="29">
        <f>IF(OR($B125="",$A125&lt;=96),"",--MID('Key Analysis'!$C121,$A125-96,1))</f>
        <v>0</v>
      </c>
      <c r="CV125" s="29">
        <f>IF(OR($B125="",$A125&lt;=97),"",--MID('Key Analysis'!$C121,$A125-97,1))</f>
        <v>1</v>
      </c>
      <c r="CW125" s="29">
        <f>IF(OR($B125="",$A125&lt;=98),"",--MID('Key Analysis'!$C121,$A125-98,1))</f>
        <v>0</v>
      </c>
      <c r="CX125" s="29">
        <f>IF(OR($B125="",$A125&lt;=99),"",--MID('Key Analysis'!$C121,$A125-99,1))</f>
        <v>0</v>
      </c>
      <c r="CY125" s="29">
        <f>IF(OR($B125="",$A125&lt;=100),"",--MID('Key Analysis'!$C121,$A125-100,1))</f>
        <v>0</v>
      </c>
      <c r="CZ125" s="29">
        <f>IF(OR($B125="",$A125&lt;=101),"",--MID('Key Analysis'!$C121,$A125-101,1))</f>
        <v>1</v>
      </c>
      <c r="DA125" s="29">
        <f>IF(OR($B125="",$A125&lt;=102),"",--MID('Key Analysis'!$C121,$A125-102,1))</f>
        <v>0</v>
      </c>
      <c r="DB125" s="29">
        <f>IF(OR($B125="",$A125&lt;=103),"",--MID('Key Analysis'!$C121,$A125-103,1))</f>
        <v>0</v>
      </c>
      <c r="DC125" s="29">
        <f>IF(OR($B125="",$A125&lt;=104),"",--MID('Key Analysis'!$C121,$A125-104,1))</f>
        <v>1</v>
      </c>
      <c r="DD125" s="29">
        <f>IF(OR($B125="",$A125&lt;=105),"",--MID('Key Analysis'!$C121,$A125-105,1))</f>
        <v>1</v>
      </c>
      <c r="DE125" s="29">
        <f>IF(OR($B125="",$A125&lt;=106),"",--MID('Key Analysis'!$C121,$A125-106,1))</f>
        <v>1</v>
      </c>
      <c r="DF125" s="29">
        <f>IF(OR($B125="",$A125&lt;=107),"",--MID('Key Analysis'!$C121,$A125-107,1))</f>
        <v>1</v>
      </c>
      <c r="DG125" s="29">
        <f>IF(OR($B125="",$A125&lt;=108),"",--MID('Key Analysis'!$C121,$A125-108,1))</f>
        <v>0</v>
      </c>
      <c r="DH125" s="29">
        <f>IF(OR($B125="",$A125&lt;=109),"",--MID('Key Analysis'!$C121,$A125-109,1))</f>
        <v>0</v>
      </c>
      <c r="DI125" s="29">
        <f>IF(OR($B125="",$A125&lt;=110),"",--MID('Key Analysis'!$C121,$A125-110,1))</f>
        <v>0</v>
      </c>
      <c r="DJ125" s="29">
        <f>IF(OR($B125="",$A125&lt;=111),"",--MID('Key Analysis'!$C121,$A125-111,1))</f>
        <v>0</v>
      </c>
      <c r="DK125" s="29">
        <f>IF(OR($B125="",$A125&lt;=112),"",--MID('Key Analysis'!$C121,$A125-112,1))</f>
        <v>1</v>
      </c>
      <c r="DL125" s="29">
        <f>IF(OR($B125="",$A125&lt;=113),"",--MID('Key Analysis'!$C121,$A125-113,1))</f>
        <v>0</v>
      </c>
      <c r="DM125" s="29">
        <f>IF(OR($B125="",$A125&lt;=114),"",--MID('Key Analysis'!$C121,$A125-114,1))</f>
        <v>0</v>
      </c>
      <c r="DN125" s="29">
        <f>IF(OR($B125="",$A125&lt;=115),"",--MID('Key Analysis'!$C121,$A125-115,1))</f>
        <v>0</v>
      </c>
      <c r="DO125" s="29">
        <f>IF(OR($B125="",$A125&lt;=116),"",--MID('Key Analysis'!$C121,$A125-116,1))</f>
        <v>1</v>
      </c>
      <c r="DP125" s="29">
        <f>IF(OR($B125="",$A125&lt;=117),"",--MID('Key Analysis'!$C121,$A125-117,1))</f>
        <v>1</v>
      </c>
      <c r="DQ125" s="29">
        <f>IF(OR($B125="",$A125&lt;=118),"",--MID('Key Analysis'!$C121,$A125-118,1))</f>
        <v>0</v>
      </c>
      <c r="DR125" s="29">
        <f>IF(OR($B125="",$A125&lt;=119),"",--MID('Key Analysis'!$C121,$A125-119,1))</f>
        <v>1</v>
      </c>
      <c r="DS125" s="29" t="str">
        <f>IF(OR($B125="",$A125&lt;=120),"",--MID('Key Analysis'!$C121,$A125-120,1))</f>
        <v/>
      </c>
      <c r="DT125" s="29" t="str">
        <f>IF(OR($B125="",$A125&lt;=121),"",--MID('Key Analysis'!$C121,$A125-121,1))</f>
        <v/>
      </c>
      <c r="DU125" s="29" t="str">
        <f>IF(OR($B125="",$A125&lt;=122),"",--MID('Key Analysis'!$C121,$A125-122,1))</f>
        <v/>
      </c>
      <c r="DV125" s="29" t="str">
        <f>IF(OR($B125="",$A125&lt;=123),"",--MID('Key Analysis'!$C121,$A125-123,1))</f>
        <v/>
      </c>
      <c r="DW125" s="29" t="str">
        <f>IF(OR($B125="",$A125&lt;=124),"",--MID('Key Analysis'!$C121,$A125-124,1))</f>
        <v/>
      </c>
      <c r="DX125" s="29" t="str">
        <f>IF(OR($B125="",$A125&lt;=125),"",--MID('Key Analysis'!$C121,$A125-125,1))</f>
        <v/>
      </c>
      <c r="DY125" s="29" t="str">
        <f>IF(OR($B125="",$A125&lt;=126),"",--MID('Key Analysis'!$C121,$A125-126,1))</f>
        <v/>
      </c>
      <c r="DZ125" s="29" t="str">
        <f>IF(OR($B125="",$A125&lt;=127),"",--MID('Key Analysis'!$C121,$A125-127,1))</f>
        <v/>
      </c>
      <c r="EA125" s="29" t="str">
        <f>IF(OR($B125="",$A125&lt;=128),"",--MID('Key Analysis'!$C121,$A125-128,1))</f>
        <v/>
      </c>
      <c r="EB125" s="29" t="str">
        <f>IF(OR($B125="",$A125&lt;=129),"",--MID('Key Analysis'!$C121,$A125-129,1))</f>
        <v/>
      </c>
      <c r="EC125" s="29" t="str">
        <f>IF(OR($B125="",$A125&lt;=130),"",--MID('Key Analysis'!$C121,$A125-130,1))</f>
        <v/>
      </c>
      <c r="ED125" s="29" t="str">
        <f>IF(OR($B125="",$A125&lt;=131),"",--MID('Key Analysis'!$C121,$A125-131,1))</f>
        <v/>
      </c>
      <c r="EE125" s="29" t="str">
        <f>IF(OR($B125="",$A125&lt;=132),"",--MID('Key Analysis'!$C121,$A125-132,1))</f>
        <v/>
      </c>
      <c r="EF125" s="29" t="str">
        <f>IF(OR($B125="",$A125&lt;=133),"",--MID('Key Analysis'!$C121,$A125-133,1))</f>
        <v/>
      </c>
      <c r="EG125" s="29" t="str">
        <f>IF(OR($B125="",$A125&lt;=134),"",--MID('Key Analysis'!$C121,$A125-134,1))</f>
        <v/>
      </c>
      <c r="EH125" s="29"/>
      <c r="EI125" s="29">
        <f>IF(OR($B125="",$A125&lt;1),"",--MID('Key Analysis'!$C121,1,1))</f>
        <v>1</v>
      </c>
      <c r="EJ125" s="29">
        <f>IF(OR($B125="",$A125&lt;2),"",--MID('Key Analysis'!$C121,2,1))</f>
        <v>0</v>
      </c>
      <c r="EK125" s="29">
        <f>IF(OR($B125="",$A125&lt;3),"",--MID('Key Analysis'!$C121,3,1))</f>
        <v>1</v>
      </c>
      <c r="EL125" s="29">
        <f>IF(OR($B125="",$A125&lt;4),"",--MID('Key Analysis'!$C121,4,1))</f>
        <v>1</v>
      </c>
      <c r="EM125" s="29">
        <f>IF(OR($B125="",$A125&lt;5),"",--MID('Key Analysis'!$C121,5,1))</f>
        <v>0</v>
      </c>
      <c r="EN125" s="29">
        <f>IF(OR($B125="",$A125&lt;6),"",--MID('Key Analysis'!$C121,6,1))</f>
        <v>0</v>
      </c>
      <c r="EO125" s="29">
        <f>IF(OR($B125="",$A125&lt;7),"",--MID('Key Analysis'!$C121,7,1))</f>
        <v>0</v>
      </c>
      <c r="EP125" s="29">
        <f>IF(OR($B125="",$A125&lt;8),"",--MID('Key Analysis'!$C121,8,1))</f>
        <v>1</v>
      </c>
      <c r="EQ125" s="29">
        <f>IF(OR($B125="",$A125&lt;9),"",--MID('Key Analysis'!$C121,9,1))</f>
        <v>0</v>
      </c>
      <c r="ER125" s="29">
        <f>IF(OR($B125="",$A125&lt;10),"",--MID('Key Analysis'!$C121,10,1))</f>
        <v>0</v>
      </c>
      <c r="ES125" s="29">
        <f>IF(OR($B125="",$A125&lt;11),"",--MID('Key Analysis'!$C121,11,1))</f>
        <v>0</v>
      </c>
      <c r="ET125" s="29">
        <f>IF(OR($B125="",$A125&lt;12),"",--MID('Key Analysis'!$C121,12,1))</f>
        <v>0</v>
      </c>
      <c r="EU125" s="29">
        <f>IF(OR($B125="",$A125&lt;13),"",--MID('Key Analysis'!$C121,13,1))</f>
        <v>1</v>
      </c>
      <c r="EV125" s="29">
        <f>IF(OR($B125="",$A125&lt;14),"",--MID('Key Analysis'!$C121,14,1))</f>
        <v>1</v>
      </c>
      <c r="EW125" s="29">
        <f>IF(OR($B125="",$A125&lt;15),"",--MID('Key Analysis'!$C121,15,1))</f>
        <v>1</v>
      </c>
      <c r="EX125" s="29">
        <f>IF(OR($B125="",$A125&lt;16),"",--MID('Key Analysis'!$C121,16,1))</f>
        <v>1</v>
      </c>
      <c r="EY125" s="29">
        <f>IF(OR($B125="",$A125&lt;17),"",--MID('Key Analysis'!$C121,17,1))</f>
        <v>0</v>
      </c>
      <c r="EZ125" s="29">
        <f>IF(OR($B125="",$A125&lt;18),"",--MID('Key Analysis'!$C121,18,1))</f>
        <v>0</v>
      </c>
      <c r="FA125" s="29">
        <f>IF(OR($B125="",$A125&lt;19),"",--MID('Key Analysis'!$C121,19,1))</f>
        <v>1</v>
      </c>
      <c r="FB125" s="29">
        <f>IF(OR($B125="",$A125&lt;20),"",--MID('Key Analysis'!$C121,20,1))</f>
        <v>0</v>
      </c>
      <c r="FC125" s="29">
        <f>IF(OR($B125="",$A125&lt;21),"",--MID('Key Analysis'!$C121,21,1))</f>
        <v>0</v>
      </c>
      <c r="FD125" s="29">
        <f>IF(OR($B125="",$A125&lt;22),"",--MID('Key Analysis'!$C121,22,1))</f>
        <v>0</v>
      </c>
      <c r="FE125" s="29">
        <f>IF(OR($B125="",$A125&lt;23),"",--MID('Key Analysis'!$C121,23,1))</f>
        <v>1</v>
      </c>
      <c r="FF125" s="29">
        <f>IF(OR($B125="",$A125&lt;24),"",--MID('Key Analysis'!$C121,24,1))</f>
        <v>0</v>
      </c>
      <c r="FG125" s="29">
        <f>IF(OR($B125="",$A125&lt;25),"",--MID('Key Analysis'!$C121,25,1))</f>
        <v>0</v>
      </c>
      <c r="FH125" s="29">
        <f>IF(OR($B125="",$A125&lt;26),"",--MID('Key Analysis'!$C121,26,1))</f>
        <v>1</v>
      </c>
      <c r="FI125" s="29">
        <f>IF(OR($B125="",$A125&lt;27),"",--MID('Key Analysis'!$C121,27,1))</f>
        <v>0</v>
      </c>
      <c r="FJ125" s="29">
        <f>IF(OR($B125="",$A125&lt;28),"",--MID('Key Analysis'!$C121,28,1))</f>
        <v>1</v>
      </c>
      <c r="FK125" s="29">
        <f>IF(OR($B125="",$A125&lt;29),"",--MID('Key Analysis'!$C121,29,1))</f>
        <v>0</v>
      </c>
      <c r="FL125" s="29">
        <f>IF(OR($B125="",$A125&lt;30),"",--MID('Key Analysis'!$C121,30,1))</f>
        <v>1</v>
      </c>
      <c r="FM125" s="29">
        <f>IF(OR($B125="",$A125&lt;31),"",--MID('Key Analysis'!$C121,31,1))</f>
        <v>1</v>
      </c>
      <c r="FN125" s="29">
        <f>IF(OR($B125="",$A125&lt;32),"",--MID('Key Analysis'!$C121,32,1))</f>
        <v>1</v>
      </c>
      <c r="FO125" s="29">
        <f>IF(OR($B125="",$A125&lt;33),"",--MID('Key Analysis'!$C121,33,1))</f>
        <v>0</v>
      </c>
      <c r="FP125" s="29">
        <f>IF(OR($B125="",$A125&lt;34),"",--MID('Key Analysis'!$C121,34,1))</f>
        <v>0</v>
      </c>
      <c r="FQ125" s="29">
        <f>IF(OR($B125="",$A125&lt;35),"",--MID('Key Analysis'!$C121,35,1))</f>
        <v>1</v>
      </c>
      <c r="FR125" s="29">
        <f>IF(OR($B125="",$A125&lt;36),"",--MID('Key Analysis'!$C121,36,1))</f>
        <v>0</v>
      </c>
      <c r="FS125" s="29">
        <f>IF(OR($B125="",$A125&lt;37),"",--MID('Key Analysis'!$C121,37,1))</f>
        <v>1</v>
      </c>
      <c r="FT125" s="29">
        <f>IF(OR($B125="",$A125&lt;38),"",--MID('Key Analysis'!$C121,38,1))</f>
        <v>1</v>
      </c>
      <c r="FU125" s="29">
        <f>IF(OR($B125="",$A125&lt;39),"",--MID('Key Analysis'!$C121,39,1))</f>
        <v>0</v>
      </c>
      <c r="FV125" s="29">
        <f>IF(OR($B125="",$A125&lt;40),"",--MID('Key Analysis'!$C121,40,1))</f>
        <v>0</v>
      </c>
      <c r="FW125" s="29">
        <f>IF(OR($B125="",$A125&lt;41),"",--MID('Key Analysis'!$C121,41,1))</f>
        <v>0</v>
      </c>
      <c r="FX125" s="29">
        <f>IF(OR($B125="",$A125&lt;42),"",--MID('Key Analysis'!$C121,42,1))</f>
        <v>1</v>
      </c>
      <c r="FY125" s="29">
        <f>IF(OR($B125="",$A125&lt;43),"",--MID('Key Analysis'!$C121,43,1))</f>
        <v>0</v>
      </c>
      <c r="FZ125" s="29">
        <f>IF(OR($B125="",$A125&lt;44),"",--MID('Key Analysis'!$C121,44,1))</f>
        <v>0</v>
      </c>
      <c r="GA125" s="29">
        <f>IF(OR($B125="",$A125&lt;45),"",--MID('Key Analysis'!$C121,45,1))</f>
        <v>1</v>
      </c>
      <c r="GB125" s="29">
        <f>IF(OR($B125="",$A125&lt;46),"",--MID('Key Analysis'!$C121,46,1))</f>
        <v>0</v>
      </c>
      <c r="GC125" s="29">
        <f>IF(OR($B125="",$A125&lt;47),"",--MID('Key Analysis'!$C121,47,1))</f>
        <v>0</v>
      </c>
      <c r="GD125" s="29">
        <f>IF(OR($B125="",$A125&lt;48),"",--MID('Key Analysis'!$C121,48,1))</f>
        <v>1</v>
      </c>
      <c r="GE125" s="29">
        <f>IF(OR($B125="",$A125&lt;49),"",--MID('Key Analysis'!$C121,49,1))</f>
        <v>0</v>
      </c>
      <c r="GF125" s="29">
        <f>IF(OR($B125="",$A125&lt;50),"",--MID('Key Analysis'!$C121,50,1))</f>
        <v>1</v>
      </c>
      <c r="GG125" s="29">
        <f>IF(OR($B125="",$A125&lt;51),"",--MID('Key Analysis'!$C121,51,1))</f>
        <v>1</v>
      </c>
      <c r="GH125" s="29">
        <f>IF(OR($B125="",$A125&lt;52),"",--MID('Key Analysis'!$C121,52,1))</f>
        <v>1</v>
      </c>
      <c r="GI125" s="29">
        <f>IF(OR($B125="",$A125&lt;53),"",--MID('Key Analysis'!$C121,53,1))</f>
        <v>1</v>
      </c>
      <c r="GJ125" s="29">
        <f>IF(OR($B125="",$A125&lt;54),"",--MID('Key Analysis'!$C121,54,1))</f>
        <v>0</v>
      </c>
      <c r="GK125" s="29">
        <f>IF(OR($B125="",$A125&lt;55),"",--MID('Key Analysis'!$C121,55,1))</f>
        <v>1</v>
      </c>
      <c r="GL125" s="29">
        <f>IF(OR($B125="",$A125&lt;56),"",--MID('Key Analysis'!$C121,56,1))</f>
        <v>0</v>
      </c>
      <c r="GM125" s="29">
        <f>IF(OR($B125="",$A125&lt;57),"",--MID('Key Analysis'!$C121,57,1))</f>
        <v>1</v>
      </c>
      <c r="GN125" s="29">
        <f>IF(OR($B125="",$A125&lt;58),"",--MID('Key Analysis'!$C121,58,1))</f>
        <v>0</v>
      </c>
      <c r="GO125" s="29">
        <f>IF(OR($B125="",$A125&lt;59),"",--MID('Key Analysis'!$C121,59,1))</f>
        <v>0</v>
      </c>
      <c r="GP125" s="29">
        <f>IF(OR($B125="",$A125&lt;60),"",--MID('Key Analysis'!$C121,60,1))</f>
        <v>0</v>
      </c>
      <c r="GQ125" s="29">
        <f>IF(OR($B125="",$A125&lt;61),"",--MID('Key Analysis'!$C121,61,1))</f>
        <v>0</v>
      </c>
      <c r="GR125" s="29">
        <f>IF(OR($B125="",$A125&lt;62),"",--MID('Key Analysis'!$C121,62,1))</f>
        <v>0</v>
      </c>
      <c r="GS125" s="29">
        <f>IF(OR($B125="",$A125&lt;63),"",--MID('Key Analysis'!$C121,63,1))</f>
        <v>1</v>
      </c>
      <c r="GT125" s="29">
        <f>IF(OR($B125="",$A125&lt;64),"",--MID('Key Analysis'!$C121,64,1))</f>
        <v>1</v>
      </c>
      <c r="GU125" s="29">
        <f>IF(OR($B125="",$A125&lt;65),"",--MID('Key Analysis'!$C121,65,1))</f>
        <v>0</v>
      </c>
      <c r="GV125" s="29">
        <f>IF(OR($B125="",$A125&lt;66),"",--MID('Key Analysis'!$C121,66,1))</f>
        <v>1</v>
      </c>
      <c r="GW125" s="29">
        <f>IF(OR($B125="",$A125&lt;67),"",--MID('Key Analysis'!$C121,67,1))</f>
        <v>1</v>
      </c>
      <c r="GX125" s="29">
        <f>IF(OR($B125="",$A125&lt;68),"",--MID('Key Analysis'!$C121,68,1))</f>
        <v>0</v>
      </c>
      <c r="GY125" s="29">
        <f>IF(OR($B125="",$A125&lt;69),"",--MID('Key Analysis'!$C121,69,1))</f>
        <v>1</v>
      </c>
      <c r="GZ125" s="29">
        <f>IF(OR($B125="",$A125&lt;70),"",--MID('Key Analysis'!$C121,70,1))</f>
        <v>1</v>
      </c>
      <c r="HA125" s="29">
        <f>IF(OR($B125="",$A125&lt;71),"",--MID('Key Analysis'!$C121,71,1))</f>
        <v>1</v>
      </c>
      <c r="HB125" s="29">
        <f>IF(OR($B125="",$A125&lt;72),"",--MID('Key Analysis'!$C121,72,1))</f>
        <v>0</v>
      </c>
      <c r="HC125" s="29">
        <f>IF(OR($B125="",$A125&lt;73),"",--MID('Key Analysis'!$C121,73,1))</f>
        <v>1</v>
      </c>
      <c r="HD125" s="29">
        <f>IF(OR($B125="",$A125&lt;74),"",--MID('Key Analysis'!$C121,74,1))</f>
        <v>0</v>
      </c>
      <c r="HE125" s="29">
        <f>IF(OR($B125="",$A125&lt;75),"",--MID('Key Analysis'!$C121,75,1))</f>
        <v>1</v>
      </c>
      <c r="HF125" s="29">
        <f>IF(OR($B125="",$A125&lt;76),"",--MID('Key Analysis'!$C121,76,1))</f>
        <v>0</v>
      </c>
      <c r="HG125" s="29">
        <f>IF(OR($B125="",$A125&lt;77),"",--MID('Key Analysis'!$C121,77,1))</f>
        <v>0</v>
      </c>
      <c r="HH125" s="29">
        <f>IF(OR($B125="",$A125&lt;78),"",--MID('Key Analysis'!$C121,78,1))</f>
        <v>0</v>
      </c>
      <c r="HI125" s="29">
        <f>IF(OR($B125="",$A125&lt;79),"",--MID('Key Analysis'!$C121,79,1))</f>
        <v>0</v>
      </c>
      <c r="HJ125" s="29">
        <f>IF(OR($B125="",$A125&lt;80),"",--MID('Key Analysis'!$C121,80,1))</f>
        <v>1</v>
      </c>
      <c r="HK125" s="29">
        <f>IF(OR($B125="",$A125&lt;81),"",--MID('Key Analysis'!$C121,81,1))</f>
        <v>1</v>
      </c>
      <c r="HL125" s="29">
        <f>IF(OR($B125="",$A125&lt;82),"",--MID('Key Analysis'!$C121,82,1))</f>
        <v>0</v>
      </c>
      <c r="HM125" s="29">
        <f>IF(OR($B125="",$A125&lt;83),"",--MID('Key Analysis'!$C121,83,1))</f>
        <v>0</v>
      </c>
      <c r="HN125" s="29">
        <f>IF(OR($B125="",$A125&lt;84),"",--MID('Key Analysis'!$C121,84,1))</f>
        <v>0</v>
      </c>
      <c r="HO125" s="29">
        <f>IF(OR($B125="",$A125&lt;85),"",--MID('Key Analysis'!$C121,85,1))</f>
        <v>0</v>
      </c>
      <c r="HP125" s="29">
        <f>IF(OR($B125="",$A125&lt;86),"",--MID('Key Analysis'!$C121,86,1))</f>
        <v>1</v>
      </c>
      <c r="HQ125" s="29">
        <f>IF(OR($B125="",$A125&lt;87),"",--MID('Key Analysis'!$C121,87,1))</f>
        <v>1</v>
      </c>
      <c r="HR125" s="29">
        <f>IF(OR($B125="",$A125&lt;88),"",--MID('Key Analysis'!$C121,88,1))</f>
        <v>1</v>
      </c>
      <c r="HS125" s="29">
        <f>IF(OR($B125="",$A125&lt;89),"",--MID('Key Analysis'!$C121,89,1))</f>
        <v>1</v>
      </c>
      <c r="HT125" s="29">
        <f>IF(OR($B125="",$A125&lt;90),"",--MID('Key Analysis'!$C121,90,1))</f>
        <v>1</v>
      </c>
      <c r="HU125" s="29">
        <f>IF(OR($B125="",$A125&lt;91),"",--MID('Key Analysis'!$C121,91,1))</f>
        <v>1</v>
      </c>
      <c r="HV125" s="29">
        <f>IF(OR($B125="",$A125&lt;92),"",--MID('Key Analysis'!$C121,92,1))</f>
        <v>1</v>
      </c>
      <c r="HW125" s="29">
        <f>IF(OR($B125="",$A125&lt;93),"",--MID('Key Analysis'!$C121,93,1))</f>
        <v>0</v>
      </c>
      <c r="HX125" s="29">
        <f>IF(OR($B125="",$A125&lt;94),"",--MID('Key Analysis'!$C121,94,1))</f>
        <v>0</v>
      </c>
      <c r="HY125" s="29">
        <f>IF(OR($B125="",$A125&lt;95),"",--MID('Key Analysis'!$C121,95,1))</f>
        <v>1</v>
      </c>
      <c r="HZ125" s="29">
        <f>IF(OR($B125="",$A125&lt;96),"",--MID('Key Analysis'!$C121,96,1))</f>
        <v>0</v>
      </c>
      <c r="IA125" s="29">
        <f>IF(OR($B125="",$A125&lt;97),"",--MID('Key Analysis'!$C121,97,1))</f>
        <v>1</v>
      </c>
      <c r="IB125" s="29">
        <f>IF(OR($B125="",$A125&lt;98),"",--MID('Key Analysis'!$C121,98,1))</f>
        <v>1</v>
      </c>
      <c r="IC125" s="29">
        <f>IF(OR($B125="",$A125&lt;99),"",--MID('Key Analysis'!$C121,99,1))</f>
        <v>1</v>
      </c>
      <c r="ID125" s="29">
        <f>IF(OR($B125="",$A125&lt;100),"",--MID('Key Analysis'!$C121,100,1))</f>
        <v>0</v>
      </c>
      <c r="IE125" s="29">
        <f>IF(OR($B125="",$A125&lt;101),"",--MID('Key Analysis'!$C121,101,1))</f>
        <v>0</v>
      </c>
      <c r="IF125" s="29">
        <f>IF(OR($B125="",$A125&lt;102),"",--MID('Key Analysis'!$C121,102,1))</f>
        <v>0</v>
      </c>
      <c r="IG125" s="29">
        <f>IF(OR($B125="",$A125&lt;103),"",--MID('Key Analysis'!$C121,103,1))</f>
        <v>0</v>
      </c>
      <c r="IH125" s="29">
        <f>IF(OR($B125="",$A125&lt;104),"",--MID('Key Analysis'!$C121,104,1))</f>
        <v>1</v>
      </c>
      <c r="II125" s="29">
        <f>IF(OR($B125="",$A125&lt;105),"",--MID('Key Analysis'!$C121,105,1))</f>
        <v>1</v>
      </c>
      <c r="IJ125" s="29">
        <f>IF(OR($B125="",$A125&lt;106),"",--MID('Key Analysis'!$C121,106,1))</f>
        <v>1</v>
      </c>
      <c r="IK125" s="29">
        <f>IF(OR($B125="",$A125&lt;107),"",--MID('Key Analysis'!$C121,107,1))</f>
        <v>1</v>
      </c>
      <c r="IL125" s="29">
        <f>IF(OR($B125="",$A125&lt;108),"",--MID('Key Analysis'!$C121,108,1))</f>
        <v>1</v>
      </c>
      <c r="IM125" s="29">
        <f>IF(OR($B125="",$A125&lt;109),"",--MID('Key Analysis'!$C121,109,1))</f>
        <v>1</v>
      </c>
      <c r="IN125" s="29">
        <f>IF(OR($B125="",$A125&lt;110),"",--MID('Key Analysis'!$C121,110,1))</f>
        <v>1</v>
      </c>
      <c r="IO125" s="29">
        <f>IF(OR($B125="",$A125&lt;111),"",--MID('Key Analysis'!$C121,111,1))</f>
        <v>0</v>
      </c>
      <c r="IP125" s="29">
        <f>IF(OR($B125="",$A125&lt;112),"",--MID('Key Analysis'!$C121,112,1))</f>
        <v>0</v>
      </c>
      <c r="IQ125" s="29">
        <f>IF(OR($B125="",$A125&lt;113),"",--MID('Key Analysis'!$C121,113,1))</f>
        <v>0</v>
      </c>
      <c r="IR125" s="29">
        <f>IF(OR($B125="",$A125&lt;114),"",--MID('Key Analysis'!$C121,114,1))</f>
        <v>0</v>
      </c>
      <c r="IS125" s="29">
        <f>IF(OR($B125="",$A125&lt;115),"",--MID('Key Analysis'!$C121,115,1))</f>
        <v>1</v>
      </c>
      <c r="IT125" s="29">
        <f>IF(OR($B125="",$A125&lt;116),"",--MID('Key Analysis'!$C121,116,1))</f>
        <v>0</v>
      </c>
      <c r="IU125" s="29">
        <f>IF(OR($B125="",$A125&lt;117),"",--MID('Key Analysis'!$C121,117,1))</f>
        <v>0</v>
      </c>
      <c r="IV125" s="29">
        <f>IF(OR($B125="",$A125&lt;118),"",--MID('Key Analysis'!$C121,118,1))</f>
        <v>0</v>
      </c>
      <c r="IW125" s="29">
        <f>IF(OR($B125="",$A125&lt;119),"",--MID('Key Analysis'!$C121,119,1))</f>
        <v>1</v>
      </c>
      <c r="IX125" s="29">
        <f>IF(OR($B125="",$A125&lt;120),"",--MID('Key Analysis'!$C121,120,1))</f>
        <v>1</v>
      </c>
      <c r="IY125" s="29" t="str">
        <f>IF(OR($B125="",$A125&lt;121),"",--MID('Key Analysis'!$C121,121,1))</f>
        <v/>
      </c>
      <c r="IZ125" s="29" t="str">
        <f>IF(OR($B125="",$A125&lt;122),"",--MID('Key Analysis'!$C121,122,1))</f>
        <v/>
      </c>
      <c r="JA125" s="29" t="str">
        <f>IF(OR($B125="",$A125&lt;123),"",--MID('Key Analysis'!$C121,123,1))</f>
        <v/>
      </c>
      <c r="JB125" s="29" t="str">
        <f>IF(OR($B125="",$A125&lt;124),"",--MID('Key Analysis'!$C121,124,1))</f>
        <v/>
      </c>
      <c r="JC125" s="29" t="str">
        <f>IF(OR($B125="",$A125&lt;125),"",--MID('Key Analysis'!$C121,125,1))</f>
        <v/>
      </c>
      <c r="JD125" s="29" t="str">
        <f>IF(OR($B125="",$A125&lt;126),"",--MID('Key Analysis'!$C121,126,1))</f>
        <v/>
      </c>
      <c r="JE125" s="29" t="str">
        <f>IF(OR($B125="",$A125&lt;127),"",--MID('Key Analysis'!$C121,127,1))</f>
        <v/>
      </c>
      <c r="JF125" s="29" t="str">
        <f>IF(OR($B125="",$A125&lt;128),"",--MID('Key Analysis'!$C121,128,1))</f>
        <v/>
      </c>
      <c r="JG125" s="29" t="str">
        <f>IF(OR($B125="",$A125&lt;129),"",--MID('Key Analysis'!$C121,129,1))</f>
        <v/>
      </c>
      <c r="JH125" s="29" t="str">
        <f>IF(OR($B125="",$A125&lt;130),"",--MID('Key Analysis'!$C121,130,1))</f>
        <v/>
      </c>
      <c r="JI125" s="29" t="str">
        <f>IF(OR($B125="",$A125&lt;131),"",--MID('Key Analysis'!$C121,131,1))</f>
        <v/>
      </c>
      <c r="JJ125" s="29" t="str">
        <f>IF(OR($B125="",$A125&lt;132),"",--MID('Key Analysis'!$C121,132,1))</f>
        <v/>
      </c>
      <c r="JK125" s="29" t="str">
        <f>IF(OR($B125="",$A125&lt;133),"",--MID('Key Analysis'!$C121,133,1))</f>
        <v/>
      </c>
      <c r="JL125" s="29" t="str">
        <f>IF(OR($B125="",$A125&lt;134),"",--MID('Key Analysis'!$C121,134,1))</f>
        <v/>
      </c>
      <c r="JM125" s="29" t="str">
        <f>IF(OR($B125="",$A125&lt;135),"",--MID('Key Analysis'!$C121,135,1))</f>
        <v/>
      </c>
    </row>
    <row r="126" spans="1:273" x14ac:dyDescent="0.25">
      <c r="A126" s="21">
        <f>'Key Analysis'!A122</f>
        <v>121</v>
      </c>
      <c r="B126" s="30" t="str">
        <f>'Key Analysis'!B122</f>
        <v/>
      </c>
      <c r="C126" s="29" t="str">
        <f>IF(OR($B126="",$A126&lt;=0),"",--MID('Key Analysis'!$C122,$A126-0,1))</f>
        <v/>
      </c>
      <c r="D126" s="29" t="str">
        <f>IF(OR($B126="",$A126&lt;=1),"",--MID('Key Analysis'!$C122,$A126-1,1))</f>
        <v/>
      </c>
      <c r="E126" s="29" t="str">
        <f>IF(OR($B126="",$A126&lt;=2),"",--MID('Key Analysis'!$C122,$A126-2,1))</f>
        <v/>
      </c>
      <c r="F126" s="29" t="str">
        <f>IF(OR($B126="",$A126&lt;=3),"",--MID('Key Analysis'!$C122,$A126-3,1))</f>
        <v/>
      </c>
      <c r="G126" s="29" t="str">
        <f>IF(OR($B126="",$A126&lt;=4),"",--MID('Key Analysis'!$C122,$A126-4,1))</f>
        <v/>
      </c>
      <c r="H126" s="29" t="str">
        <f>IF(OR($B126="",$A126&lt;=5),"",--MID('Key Analysis'!$C122,$A126-5,1))</f>
        <v/>
      </c>
      <c r="I126" s="29" t="str">
        <f>IF(OR($B126="",$A126&lt;=6),"",--MID('Key Analysis'!$C122,$A126-6,1))</f>
        <v/>
      </c>
      <c r="J126" s="29" t="str">
        <f>IF(OR($B126="",$A126&lt;=7),"",--MID('Key Analysis'!$C122,$A126-7,1))</f>
        <v/>
      </c>
      <c r="K126" s="29" t="str">
        <f>IF(OR($B126="",$A126&lt;=8),"",--MID('Key Analysis'!$C122,$A126-8,1))</f>
        <v/>
      </c>
      <c r="L126" s="29" t="str">
        <f>IF(OR($B126="",$A126&lt;=9),"",--MID('Key Analysis'!$C122,$A126-9,1))</f>
        <v/>
      </c>
      <c r="M126" s="29" t="str">
        <f>IF(OR($B126="",$A126&lt;=10),"",--MID('Key Analysis'!$C122,$A126-10,1))</f>
        <v/>
      </c>
      <c r="N126" s="29" t="str">
        <f>IF(OR($B126="",$A126&lt;=11),"",--MID('Key Analysis'!$C122,$A126-11,1))</f>
        <v/>
      </c>
      <c r="O126" s="29" t="str">
        <f>IF(OR($B126="",$A126&lt;=12),"",--MID('Key Analysis'!$C122,$A126-12,1))</f>
        <v/>
      </c>
      <c r="P126" s="29" t="str">
        <f>IF(OR($B126="",$A126&lt;=13),"",--MID('Key Analysis'!$C122,$A126-13,1))</f>
        <v/>
      </c>
      <c r="Q126" s="29" t="str">
        <f>IF(OR($B126="",$A126&lt;=14),"",--MID('Key Analysis'!$C122,$A126-14,1))</f>
        <v/>
      </c>
      <c r="R126" s="29" t="str">
        <f>IF(OR($B126="",$A126&lt;=15),"",--MID('Key Analysis'!$C122,$A126-15,1))</f>
        <v/>
      </c>
      <c r="S126" s="29" t="str">
        <f>IF(OR($B126="",$A126&lt;=16),"",--MID('Key Analysis'!$C122,$A126-16,1))</f>
        <v/>
      </c>
      <c r="T126" s="29" t="str">
        <f>IF(OR($B126="",$A126&lt;=17),"",--MID('Key Analysis'!$C122,$A126-17,1))</f>
        <v/>
      </c>
      <c r="U126" s="29" t="str">
        <f>IF(OR($B126="",$A126&lt;=18),"",--MID('Key Analysis'!$C122,$A126-18,1))</f>
        <v/>
      </c>
      <c r="V126" s="29" t="str">
        <f>IF(OR($B126="",$A126&lt;=19),"",--MID('Key Analysis'!$C122,$A126-19,1))</f>
        <v/>
      </c>
      <c r="W126" s="29" t="str">
        <f>IF(OR($B126="",$A126&lt;=20),"",--MID('Key Analysis'!$C122,$A126-20,1))</f>
        <v/>
      </c>
      <c r="X126" s="29" t="str">
        <f>IF(OR($B126="",$A126&lt;=21),"",--MID('Key Analysis'!$C122,$A126-21,1))</f>
        <v/>
      </c>
      <c r="Y126" s="29" t="str">
        <f>IF(OR($B126="",$A126&lt;=22),"",--MID('Key Analysis'!$C122,$A126-22,1))</f>
        <v/>
      </c>
      <c r="Z126" s="29" t="str">
        <f>IF(OR($B126="",$A126&lt;=23),"",--MID('Key Analysis'!$C122,$A126-23,1))</f>
        <v/>
      </c>
      <c r="AA126" s="29" t="str">
        <f>IF(OR($B126="",$A126&lt;=24),"",--MID('Key Analysis'!$C122,$A126-24,1))</f>
        <v/>
      </c>
      <c r="AB126" s="29" t="str">
        <f>IF(OR($B126="",$A126&lt;=25),"",--MID('Key Analysis'!$C122,$A126-25,1))</f>
        <v/>
      </c>
      <c r="AC126" s="29" t="str">
        <f>IF(OR($B126="",$A126&lt;=26),"",--MID('Key Analysis'!$C122,$A126-26,1))</f>
        <v/>
      </c>
      <c r="AD126" s="29" t="str">
        <f>IF(OR($B126="",$A126&lt;=27),"",--MID('Key Analysis'!$C122,$A126-27,1))</f>
        <v/>
      </c>
      <c r="AE126" s="29" t="str">
        <f>IF(OR($B126="",$A126&lt;=28),"",--MID('Key Analysis'!$C122,$A126-28,1))</f>
        <v/>
      </c>
      <c r="AF126" s="29" t="str">
        <f>IF(OR($B126="",$A126&lt;=29),"",--MID('Key Analysis'!$C122,$A126-29,1))</f>
        <v/>
      </c>
      <c r="AG126" s="29" t="str">
        <f>IF(OR($B126="",$A126&lt;=30),"",--MID('Key Analysis'!$C122,$A126-30,1))</f>
        <v/>
      </c>
      <c r="AH126" s="29" t="str">
        <f>IF(OR($B126="",$A126&lt;=31),"",--MID('Key Analysis'!$C122,$A126-31,1))</f>
        <v/>
      </c>
      <c r="AI126" s="29" t="str">
        <f>IF(OR($B126="",$A126&lt;=32),"",--MID('Key Analysis'!$C122,$A126-32,1))</f>
        <v/>
      </c>
      <c r="AJ126" s="29" t="str">
        <f>IF(OR($B126="",$A126&lt;=33),"",--MID('Key Analysis'!$C122,$A126-33,1))</f>
        <v/>
      </c>
      <c r="AK126" s="29" t="str">
        <f>IF(OR($B126="",$A126&lt;=34),"",--MID('Key Analysis'!$C122,$A126-34,1))</f>
        <v/>
      </c>
      <c r="AL126" s="29" t="str">
        <f>IF(OR($B126="",$A126&lt;=35),"",--MID('Key Analysis'!$C122,$A126-35,1))</f>
        <v/>
      </c>
      <c r="AM126" s="29" t="str">
        <f>IF(OR($B126="",$A126&lt;=36),"",--MID('Key Analysis'!$C122,$A126-36,1))</f>
        <v/>
      </c>
      <c r="AN126" s="29" t="str">
        <f>IF(OR($B126="",$A126&lt;=37),"",--MID('Key Analysis'!$C122,$A126-37,1))</f>
        <v/>
      </c>
      <c r="AO126" s="29" t="str">
        <f>IF(OR($B126="",$A126&lt;=38),"",--MID('Key Analysis'!$C122,$A126-38,1))</f>
        <v/>
      </c>
      <c r="AP126" s="29" t="str">
        <f>IF(OR($B126="",$A126&lt;=39),"",--MID('Key Analysis'!$C122,$A126-39,1))</f>
        <v/>
      </c>
      <c r="AQ126" s="29" t="str">
        <f>IF(OR($B126="",$A126&lt;=40),"",--MID('Key Analysis'!$C122,$A126-40,1))</f>
        <v/>
      </c>
      <c r="AR126" s="29" t="str">
        <f>IF(OR($B126="",$A126&lt;=41),"",--MID('Key Analysis'!$C122,$A126-41,1))</f>
        <v/>
      </c>
      <c r="AS126" s="29" t="str">
        <f>IF(OR($B126="",$A126&lt;=42),"",--MID('Key Analysis'!$C122,$A126-42,1))</f>
        <v/>
      </c>
      <c r="AT126" s="29" t="str">
        <f>IF(OR($B126="",$A126&lt;=43),"",--MID('Key Analysis'!$C122,$A126-43,1))</f>
        <v/>
      </c>
      <c r="AU126" s="29" t="str">
        <f>IF(OR($B126="",$A126&lt;=44),"",--MID('Key Analysis'!$C122,$A126-44,1))</f>
        <v/>
      </c>
      <c r="AV126" s="29" t="str">
        <f>IF(OR($B126="",$A126&lt;=45),"",--MID('Key Analysis'!$C122,$A126-45,1))</f>
        <v/>
      </c>
      <c r="AW126" s="29" t="str">
        <f>IF(OR($B126="",$A126&lt;=46),"",--MID('Key Analysis'!$C122,$A126-46,1))</f>
        <v/>
      </c>
      <c r="AX126" s="29" t="str">
        <f>IF(OR($B126="",$A126&lt;=47),"",--MID('Key Analysis'!$C122,$A126-47,1))</f>
        <v/>
      </c>
      <c r="AY126" s="29" t="str">
        <f>IF(OR($B126="",$A126&lt;=48),"",--MID('Key Analysis'!$C122,$A126-48,1))</f>
        <v/>
      </c>
      <c r="AZ126" s="29" t="str">
        <f>IF(OR($B126="",$A126&lt;=49),"",--MID('Key Analysis'!$C122,$A126-49,1))</f>
        <v/>
      </c>
      <c r="BA126" s="29" t="str">
        <f>IF(OR($B126="",$A126&lt;=50),"",--MID('Key Analysis'!$C122,$A126-50,1))</f>
        <v/>
      </c>
      <c r="BB126" s="29" t="str">
        <f>IF(OR($B126="",$A126&lt;=51),"",--MID('Key Analysis'!$C122,$A126-51,1))</f>
        <v/>
      </c>
      <c r="BC126" s="29" t="str">
        <f>IF(OR($B126="",$A126&lt;=52),"",--MID('Key Analysis'!$C122,$A126-52,1))</f>
        <v/>
      </c>
      <c r="BD126" s="29" t="str">
        <f>IF(OR($B126="",$A126&lt;=53),"",--MID('Key Analysis'!$C122,$A126-53,1))</f>
        <v/>
      </c>
      <c r="BE126" s="29" t="str">
        <f>IF(OR($B126="",$A126&lt;=54),"",--MID('Key Analysis'!$C122,$A126-54,1))</f>
        <v/>
      </c>
      <c r="BF126" s="29" t="str">
        <f>IF(OR($B126="",$A126&lt;=55),"",--MID('Key Analysis'!$C122,$A126-55,1))</f>
        <v/>
      </c>
      <c r="BG126" s="29" t="str">
        <f>IF(OR($B126="",$A126&lt;=56),"",--MID('Key Analysis'!$C122,$A126-56,1))</f>
        <v/>
      </c>
      <c r="BH126" s="29" t="str">
        <f>IF(OR($B126="",$A126&lt;=57),"",--MID('Key Analysis'!$C122,$A126-57,1))</f>
        <v/>
      </c>
      <c r="BI126" s="29" t="str">
        <f>IF(OR($B126="",$A126&lt;=58),"",--MID('Key Analysis'!$C122,$A126-58,1))</f>
        <v/>
      </c>
      <c r="BJ126" s="29" t="str">
        <f>IF(OR($B126="",$A126&lt;=59),"",--MID('Key Analysis'!$C122,$A126-59,1))</f>
        <v/>
      </c>
      <c r="BK126" s="29" t="str">
        <f>IF(OR($B126="",$A126&lt;=60),"",--MID('Key Analysis'!$C122,$A126-60,1))</f>
        <v/>
      </c>
      <c r="BL126" s="29" t="str">
        <f>IF(OR($B126="",$A126&lt;=61),"",--MID('Key Analysis'!$C122,$A126-61,1))</f>
        <v/>
      </c>
      <c r="BM126" s="29" t="str">
        <f>IF(OR($B126="",$A126&lt;=62),"",--MID('Key Analysis'!$C122,$A126-62,1))</f>
        <v/>
      </c>
      <c r="BN126" s="29" t="str">
        <f>IF(OR($B126="",$A126&lt;=63),"",--MID('Key Analysis'!$C122,$A126-63,1))</f>
        <v/>
      </c>
      <c r="BO126" s="29" t="str">
        <f>IF(OR($B126="",$A126&lt;=64),"",--MID('Key Analysis'!$C122,$A126-64,1))</f>
        <v/>
      </c>
      <c r="BP126" s="29" t="str">
        <f>IF(OR($B126="",$A126&lt;=65),"",--MID('Key Analysis'!$C122,$A126-65,1))</f>
        <v/>
      </c>
      <c r="BQ126" s="29" t="str">
        <f>IF(OR($B126="",$A126&lt;=66),"",--MID('Key Analysis'!$C122,$A126-66,1))</f>
        <v/>
      </c>
      <c r="BR126" s="29" t="str">
        <f>IF(OR($B126="",$A126&lt;=67),"",--MID('Key Analysis'!$C122,$A126-67,1))</f>
        <v/>
      </c>
      <c r="BS126" s="29" t="str">
        <f>IF(OR($B126="",$A126&lt;=68),"",--MID('Key Analysis'!$C122,$A126-68,1))</f>
        <v/>
      </c>
      <c r="BT126" s="29" t="str">
        <f>IF(OR($B126="",$A126&lt;=69),"",--MID('Key Analysis'!$C122,$A126-69,1))</f>
        <v/>
      </c>
      <c r="BU126" s="29" t="str">
        <f>IF(OR($B126="",$A126&lt;=70),"",--MID('Key Analysis'!$C122,$A126-70,1))</f>
        <v/>
      </c>
      <c r="BV126" s="29" t="str">
        <f>IF(OR($B126="",$A126&lt;=71),"",--MID('Key Analysis'!$C122,$A126-71,1))</f>
        <v/>
      </c>
      <c r="BW126" s="29" t="str">
        <f>IF(OR($B126="",$A126&lt;=72),"",--MID('Key Analysis'!$C122,$A126-72,1))</f>
        <v/>
      </c>
      <c r="BX126" s="29" t="str">
        <f>IF(OR($B126="",$A126&lt;=73),"",--MID('Key Analysis'!$C122,$A126-73,1))</f>
        <v/>
      </c>
      <c r="BY126" s="29" t="str">
        <f>IF(OR($B126="",$A126&lt;=74),"",--MID('Key Analysis'!$C122,$A126-74,1))</f>
        <v/>
      </c>
      <c r="BZ126" s="29" t="str">
        <f>IF(OR($B126="",$A126&lt;=75),"",--MID('Key Analysis'!$C122,$A126-75,1))</f>
        <v/>
      </c>
      <c r="CA126" s="29" t="str">
        <f>IF(OR($B126="",$A126&lt;=76),"",--MID('Key Analysis'!$C122,$A126-76,1))</f>
        <v/>
      </c>
      <c r="CB126" s="29" t="str">
        <f>IF(OR($B126="",$A126&lt;=77),"",--MID('Key Analysis'!$C122,$A126-77,1))</f>
        <v/>
      </c>
      <c r="CC126" s="29" t="str">
        <f>IF(OR($B126="",$A126&lt;=78),"",--MID('Key Analysis'!$C122,$A126-78,1))</f>
        <v/>
      </c>
      <c r="CD126" s="29" t="str">
        <f>IF(OR($B126="",$A126&lt;=79),"",--MID('Key Analysis'!$C122,$A126-79,1))</f>
        <v/>
      </c>
      <c r="CE126" s="29" t="str">
        <f>IF(OR($B126="",$A126&lt;=80),"",--MID('Key Analysis'!$C122,$A126-80,1))</f>
        <v/>
      </c>
      <c r="CF126" s="29" t="str">
        <f>IF(OR($B126="",$A126&lt;=81),"",--MID('Key Analysis'!$C122,$A126-81,1))</f>
        <v/>
      </c>
      <c r="CG126" s="29" t="str">
        <f>IF(OR($B126="",$A126&lt;=82),"",--MID('Key Analysis'!$C122,$A126-82,1))</f>
        <v/>
      </c>
      <c r="CH126" s="29" t="str">
        <f>IF(OR($B126="",$A126&lt;=83),"",--MID('Key Analysis'!$C122,$A126-83,1))</f>
        <v/>
      </c>
      <c r="CI126" s="29" t="str">
        <f>IF(OR($B126="",$A126&lt;=84),"",--MID('Key Analysis'!$C122,$A126-84,1))</f>
        <v/>
      </c>
      <c r="CJ126" s="29" t="str">
        <f>IF(OR($B126="",$A126&lt;=85),"",--MID('Key Analysis'!$C122,$A126-85,1))</f>
        <v/>
      </c>
      <c r="CK126" s="29" t="str">
        <f>IF(OR($B126="",$A126&lt;=86),"",--MID('Key Analysis'!$C122,$A126-86,1))</f>
        <v/>
      </c>
      <c r="CL126" s="29" t="str">
        <f>IF(OR($B126="",$A126&lt;=87),"",--MID('Key Analysis'!$C122,$A126-87,1))</f>
        <v/>
      </c>
      <c r="CM126" s="29" t="str">
        <f>IF(OR($B126="",$A126&lt;=88),"",--MID('Key Analysis'!$C122,$A126-88,1))</f>
        <v/>
      </c>
      <c r="CN126" s="29" t="str">
        <f>IF(OR($B126="",$A126&lt;=89),"",--MID('Key Analysis'!$C122,$A126-89,1))</f>
        <v/>
      </c>
      <c r="CO126" s="29" t="str">
        <f>IF(OR($B126="",$A126&lt;=90),"",--MID('Key Analysis'!$C122,$A126-90,1))</f>
        <v/>
      </c>
      <c r="CP126" s="29" t="str">
        <f>IF(OR($B126="",$A126&lt;=91),"",--MID('Key Analysis'!$C122,$A126-91,1))</f>
        <v/>
      </c>
      <c r="CQ126" s="29" t="str">
        <f>IF(OR($B126="",$A126&lt;=92),"",--MID('Key Analysis'!$C122,$A126-92,1))</f>
        <v/>
      </c>
      <c r="CR126" s="29" t="str">
        <f>IF(OR($B126="",$A126&lt;=93),"",--MID('Key Analysis'!$C122,$A126-93,1))</f>
        <v/>
      </c>
      <c r="CS126" s="29" t="str">
        <f>IF(OR($B126="",$A126&lt;=94),"",--MID('Key Analysis'!$C122,$A126-94,1))</f>
        <v/>
      </c>
      <c r="CT126" s="29" t="str">
        <f>IF(OR($B126="",$A126&lt;=95),"",--MID('Key Analysis'!$C122,$A126-95,1))</f>
        <v/>
      </c>
      <c r="CU126" s="29" t="str">
        <f>IF(OR($B126="",$A126&lt;=96),"",--MID('Key Analysis'!$C122,$A126-96,1))</f>
        <v/>
      </c>
      <c r="CV126" s="29" t="str">
        <f>IF(OR($B126="",$A126&lt;=97),"",--MID('Key Analysis'!$C122,$A126-97,1))</f>
        <v/>
      </c>
      <c r="CW126" s="29" t="str">
        <f>IF(OR($B126="",$A126&lt;=98),"",--MID('Key Analysis'!$C122,$A126-98,1))</f>
        <v/>
      </c>
      <c r="CX126" s="29" t="str">
        <f>IF(OR($B126="",$A126&lt;=99),"",--MID('Key Analysis'!$C122,$A126-99,1))</f>
        <v/>
      </c>
      <c r="CY126" s="29" t="str">
        <f>IF(OR($B126="",$A126&lt;=100),"",--MID('Key Analysis'!$C122,$A126-100,1))</f>
        <v/>
      </c>
      <c r="CZ126" s="29" t="str">
        <f>IF(OR($B126="",$A126&lt;=101),"",--MID('Key Analysis'!$C122,$A126-101,1))</f>
        <v/>
      </c>
      <c r="DA126" s="29" t="str">
        <f>IF(OR($B126="",$A126&lt;=102),"",--MID('Key Analysis'!$C122,$A126-102,1))</f>
        <v/>
      </c>
      <c r="DB126" s="29" t="str">
        <f>IF(OR($B126="",$A126&lt;=103),"",--MID('Key Analysis'!$C122,$A126-103,1))</f>
        <v/>
      </c>
      <c r="DC126" s="29" t="str">
        <f>IF(OR($B126="",$A126&lt;=104),"",--MID('Key Analysis'!$C122,$A126-104,1))</f>
        <v/>
      </c>
      <c r="DD126" s="29" t="str">
        <f>IF(OR($B126="",$A126&lt;=105),"",--MID('Key Analysis'!$C122,$A126-105,1))</f>
        <v/>
      </c>
      <c r="DE126" s="29" t="str">
        <f>IF(OR($B126="",$A126&lt;=106),"",--MID('Key Analysis'!$C122,$A126-106,1))</f>
        <v/>
      </c>
      <c r="DF126" s="29" t="str">
        <f>IF(OR($B126="",$A126&lt;=107),"",--MID('Key Analysis'!$C122,$A126-107,1))</f>
        <v/>
      </c>
      <c r="DG126" s="29" t="str">
        <f>IF(OR($B126="",$A126&lt;=108),"",--MID('Key Analysis'!$C122,$A126-108,1))</f>
        <v/>
      </c>
      <c r="DH126" s="29" t="str">
        <f>IF(OR($B126="",$A126&lt;=109),"",--MID('Key Analysis'!$C122,$A126-109,1))</f>
        <v/>
      </c>
      <c r="DI126" s="29" t="str">
        <f>IF(OR($B126="",$A126&lt;=110),"",--MID('Key Analysis'!$C122,$A126-110,1))</f>
        <v/>
      </c>
      <c r="DJ126" s="29" t="str">
        <f>IF(OR($B126="",$A126&lt;=111),"",--MID('Key Analysis'!$C122,$A126-111,1))</f>
        <v/>
      </c>
      <c r="DK126" s="29" t="str">
        <f>IF(OR($B126="",$A126&lt;=112),"",--MID('Key Analysis'!$C122,$A126-112,1))</f>
        <v/>
      </c>
      <c r="DL126" s="29" t="str">
        <f>IF(OR($B126="",$A126&lt;=113),"",--MID('Key Analysis'!$C122,$A126-113,1))</f>
        <v/>
      </c>
      <c r="DM126" s="29" t="str">
        <f>IF(OR($B126="",$A126&lt;=114),"",--MID('Key Analysis'!$C122,$A126-114,1))</f>
        <v/>
      </c>
      <c r="DN126" s="29" t="str">
        <f>IF(OR($B126="",$A126&lt;=115),"",--MID('Key Analysis'!$C122,$A126-115,1))</f>
        <v/>
      </c>
      <c r="DO126" s="29" t="str">
        <f>IF(OR($B126="",$A126&lt;=116),"",--MID('Key Analysis'!$C122,$A126-116,1))</f>
        <v/>
      </c>
      <c r="DP126" s="29" t="str">
        <f>IF(OR($B126="",$A126&lt;=117),"",--MID('Key Analysis'!$C122,$A126-117,1))</f>
        <v/>
      </c>
      <c r="DQ126" s="29" t="str">
        <f>IF(OR($B126="",$A126&lt;=118),"",--MID('Key Analysis'!$C122,$A126-118,1))</f>
        <v/>
      </c>
      <c r="DR126" s="29" t="str">
        <f>IF(OR($B126="",$A126&lt;=119),"",--MID('Key Analysis'!$C122,$A126-119,1))</f>
        <v/>
      </c>
      <c r="DS126" s="29" t="str">
        <f>IF(OR($B126="",$A126&lt;=120),"",--MID('Key Analysis'!$C122,$A126-120,1))</f>
        <v/>
      </c>
      <c r="DT126" s="29" t="str">
        <f>IF(OR($B126="",$A126&lt;=121),"",--MID('Key Analysis'!$C122,$A126-121,1))</f>
        <v/>
      </c>
      <c r="DU126" s="29" t="str">
        <f>IF(OR($B126="",$A126&lt;=122),"",--MID('Key Analysis'!$C122,$A126-122,1))</f>
        <v/>
      </c>
      <c r="DV126" s="29" t="str">
        <f>IF(OR($B126="",$A126&lt;=123),"",--MID('Key Analysis'!$C122,$A126-123,1))</f>
        <v/>
      </c>
      <c r="DW126" s="29" t="str">
        <f>IF(OR($B126="",$A126&lt;=124),"",--MID('Key Analysis'!$C122,$A126-124,1))</f>
        <v/>
      </c>
      <c r="DX126" s="29" t="str">
        <f>IF(OR($B126="",$A126&lt;=125),"",--MID('Key Analysis'!$C122,$A126-125,1))</f>
        <v/>
      </c>
      <c r="DY126" s="29" t="str">
        <f>IF(OR($B126="",$A126&lt;=126),"",--MID('Key Analysis'!$C122,$A126-126,1))</f>
        <v/>
      </c>
      <c r="DZ126" s="29" t="str">
        <f>IF(OR($B126="",$A126&lt;=127),"",--MID('Key Analysis'!$C122,$A126-127,1))</f>
        <v/>
      </c>
      <c r="EA126" s="29" t="str">
        <f>IF(OR($B126="",$A126&lt;=128),"",--MID('Key Analysis'!$C122,$A126-128,1))</f>
        <v/>
      </c>
      <c r="EB126" s="29" t="str">
        <f>IF(OR($B126="",$A126&lt;=129),"",--MID('Key Analysis'!$C122,$A126-129,1))</f>
        <v/>
      </c>
      <c r="EC126" s="29" t="str">
        <f>IF(OR($B126="",$A126&lt;=130),"",--MID('Key Analysis'!$C122,$A126-130,1))</f>
        <v/>
      </c>
      <c r="ED126" s="29" t="str">
        <f>IF(OR($B126="",$A126&lt;=131),"",--MID('Key Analysis'!$C122,$A126-131,1))</f>
        <v/>
      </c>
      <c r="EE126" s="29" t="str">
        <f>IF(OR($B126="",$A126&lt;=132),"",--MID('Key Analysis'!$C122,$A126-132,1))</f>
        <v/>
      </c>
      <c r="EF126" s="29" t="str">
        <f>IF(OR($B126="",$A126&lt;=133),"",--MID('Key Analysis'!$C122,$A126-133,1))</f>
        <v/>
      </c>
      <c r="EG126" s="29" t="str">
        <f>IF(OR($B126="",$A126&lt;=134),"",--MID('Key Analysis'!$C122,$A126-134,1))</f>
        <v/>
      </c>
      <c r="EH126" s="29"/>
      <c r="EI126" s="29" t="str">
        <f>IF(OR($B126="",$A126&lt;1),"",--MID('Key Analysis'!$C122,1,1))</f>
        <v/>
      </c>
      <c r="EJ126" s="29" t="str">
        <f>IF(OR($B126="",$A126&lt;2),"",--MID('Key Analysis'!$C122,2,1))</f>
        <v/>
      </c>
      <c r="EK126" s="29" t="str">
        <f>IF(OR($B126="",$A126&lt;3),"",--MID('Key Analysis'!$C122,3,1))</f>
        <v/>
      </c>
      <c r="EL126" s="29" t="str">
        <f>IF(OR($B126="",$A126&lt;4),"",--MID('Key Analysis'!$C122,4,1))</f>
        <v/>
      </c>
      <c r="EM126" s="29" t="str">
        <f>IF(OR($B126="",$A126&lt;5),"",--MID('Key Analysis'!$C122,5,1))</f>
        <v/>
      </c>
      <c r="EN126" s="29" t="str">
        <f>IF(OR($B126="",$A126&lt;6),"",--MID('Key Analysis'!$C122,6,1))</f>
        <v/>
      </c>
      <c r="EO126" s="29" t="str">
        <f>IF(OR($B126="",$A126&lt;7),"",--MID('Key Analysis'!$C122,7,1))</f>
        <v/>
      </c>
      <c r="EP126" s="29" t="str">
        <f>IF(OR($B126="",$A126&lt;8),"",--MID('Key Analysis'!$C122,8,1))</f>
        <v/>
      </c>
      <c r="EQ126" s="29" t="str">
        <f>IF(OR($B126="",$A126&lt;9),"",--MID('Key Analysis'!$C122,9,1))</f>
        <v/>
      </c>
      <c r="ER126" s="29" t="str">
        <f>IF(OR($B126="",$A126&lt;10),"",--MID('Key Analysis'!$C122,10,1))</f>
        <v/>
      </c>
      <c r="ES126" s="29" t="str">
        <f>IF(OR($B126="",$A126&lt;11),"",--MID('Key Analysis'!$C122,11,1))</f>
        <v/>
      </c>
      <c r="ET126" s="29" t="str">
        <f>IF(OR($B126="",$A126&lt;12),"",--MID('Key Analysis'!$C122,12,1))</f>
        <v/>
      </c>
      <c r="EU126" s="29" t="str">
        <f>IF(OR($B126="",$A126&lt;13),"",--MID('Key Analysis'!$C122,13,1))</f>
        <v/>
      </c>
      <c r="EV126" s="29" t="str">
        <f>IF(OR($B126="",$A126&lt;14),"",--MID('Key Analysis'!$C122,14,1))</f>
        <v/>
      </c>
      <c r="EW126" s="29" t="str">
        <f>IF(OR($B126="",$A126&lt;15),"",--MID('Key Analysis'!$C122,15,1))</f>
        <v/>
      </c>
      <c r="EX126" s="29" t="str">
        <f>IF(OR($B126="",$A126&lt;16),"",--MID('Key Analysis'!$C122,16,1))</f>
        <v/>
      </c>
      <c r="EY126" s="29" t="str">
        <f>IF(OR($B126="",$A126&lt;17),"",--MID('Key Analysis'!$C122,17,1))</f>
        <v/>
      </c>
      <c r="EZ126" s="29" t="str">
        <f>IF(OR($B126="",$A126&lt;18),"",--MID('Key Analysis'!$C122,18,1))</f>
        <v/>
      </c>
      <c r="FA126" s="29" t="str">
        <f>IF(OR($B126="",$A126&lt;19),"",--MID('Key Analysis'!$C122,19,1))</f>
        <v/>
      </c>
      <c r="FB126" s="29" t="str">
        <f>IF(OR($B126="",$A126&lt;20),"",--MID('Key Analysis'!$C122,20,1))</f>
        <v/>
      </c>
      <c r="FC126" s="29" t="str">
        <f>IF(OR($B126="",$A126&lt;21),"",--MID('Key Analysis'!$C122,21,1))</f>
        <v/>
      </c>
      <c r="FD126" s="29" t="str">
        <f>IF(OR($B126="",$A126&lt;22),"",--MID('Key Analysis'!$C122,22,1))</f>
        <v/>
      </c>
      <c r="FE126" s="29" t="str">
        <f>IF(OR($B126="",$A126&lt;23),"",--MID('Key Analysis'!$C122,23,1))</f>
        <v/>
      </c>
      <c r="FF126" s="29" t="str">
        <f>IF(OR($B126="",$A126&lt;24),"",--MID('Key Analysis'!$C122,24,1))</f>
        <v/>
      </c>
      <c r="FG126" s="29" t="str">
        <f>IF(OR($B126="",$A126&lt;25),"",--MID('Key Analysis'!$C122,25,1))</f>
        <v/>
      </c>
      <c r="FH126" s="29" t="str">
        <f>IF(OR($B126="",$A126&lt;26),"",--MID('Key Analysis'!$C122,26,1))</f>
        <v/>
      </c>
      <c r="FI126" s="29" t="str">
        <f>IF(OR($B126="",$A126&lt;27),"",--MID('Key Analysis'!$C122,27,1))</f>
        <v/>
      </c>
      <c r="FJ126" s="29" t="str">
        <f>IF(OR($B126="",$A126&lt;28),"",--MID('Key Analysis'!$C122,28,1))</f>
        <v/>
      </c>
      <c r="FK126" s="29" t="str">
        <f>IF(OR($B126="",$A126&lt;29),"",--MID('Key Analysis'!$C122,29,1))</f>
        <v/>
      </c>
      <c r="FL126" s="29" t="str">
        <f>IF(OR($B126="",$A126&lt;30),"",--MID('Key Analysis'!$C122,30,1))</f>
        <v/>
      </c>
      <c r="FM126" s="29" t="str">
        <f>IF(OR($B126="",$A126&lt;31),"",--MID('Key Analysis'!$C122,31,1))</f>
        <v/>
      </c>
      <c r="FN126" s="29" t="str">
        <f>IF(OR($B126="",$A126&lt;32),"",--MID('Key Analysis'!$C122,32,1))</f>
        <v/>
      </c>
      <c r="FO126" s="29" t="str">
        <f>IF(OR($B126="",$A126&lt;33),"",--MID('Key Analysis'!$C122,33,1))</f>
        <v/>
      </c>
      <c r="FP126" s="29" t="str">
        <f>IF(OR($B126="",$A126&lt;34),"",--MID('Key Analysis'!$C122,34,1))</f>
        <v/>
      </c>
      <c r="FQ126" s="29" t="str">
        <f>IF(OR($B126="",$A126&lt;35),"",--MID('Key Analysis'!$C122,35,1))</f>
        <v/>
      </c>
      <c r="FR126" s="29" t="str">
        <f>IF(OR($B126="",$A126&lt;36),"",--MID('Key Analysis'!$C122,36,1))</f>
        <v/>
      </c>
      <c r="FS126" s="29" t="str">
        <f>IF(OR($B126="",$A126&lt;37),"",--MID('Key Analysis'!$C122,37,1))</f>
        <v/>
      </c>
      <c r="FT126" s="29" t="str">
        <f>IF(OR($B126="",$A126&lt;38),"",--MID('Key Analysis'!$C122,38,1))</f>
        <v/>
      </c>
      <c r="FU126" s="29" t="str">
        <f>IF(OR($B126="",$A126&lt;39),"",--MID('Key Analysis'!$C122,39,1))</f>
        <v/>
      </c>
      <c r="FV126" s="29" t="str">
        <f>IF(OR($B126="",$A126&lt;40),"",--MID('Key Analysis'!$C122,40,1))</f>
        <v/>
      </c>
      <c r="FW126" s="29" t="str">
        <f>IF(OR($B126="",$A126&lt;41),"",--MID('Key Analysis'!$C122,41,1))</f>
        <v/>
      </c>
      <c r="FX126" s="29" t="str">
        <f>IF(OR($B126="",$A126&lt;42),"",--MID('Key Analysis'!$C122,42,1))</f>
        <v/>
      </c>
      <c r="FY126" s="29" t="str">
        <f>IF(OR($B126="",$A126&lt;43),"",--MID('Key Analysis'!$C122,43,1))</f>
        <v/>
      </c>
      <c r="FZ126" s="29" t="str">
        <f>IF(OR($B126="",$A126&lt;44),"",--MID('Key Analysis'!$C122,44,1))</f>
        <v/>
      </c>
      <c r="GA126" s="29" t="str">
        <f>IF(OR($B126="",$A126&lt;45),"",--MID('Key Analysis'!$C122,45,1))</f>
        <v/>
      </c>
      <c r="GB126" s="29" t="str">
        <f>IF(OR($B126="",$A126&lt;46),"",--MID('Key Analysis'!$C122,46,1))</f>
        <v/>
      </c>
      <c r="GC126" s="29" t="str">
        <f>IF(OR($B126="",$A126&lt;47),"",--MID('Key Analysis'!$C122,47,1))</f>
        <v/>
      </c>
      <c r="GD126" s="29" t="str">
        <f>IF(OR($B126="",$A126&lt;48),"",--MID('Key Analysis'!$C122,48,1))</f>
        <v/>
      </c>
      <c r="GE126" s="29" t="str">
        <f>IF(OR($B126="",$A126&lt;49),"",--MID('Key Analysis'!$C122,49,1))</f>
        <v/>
      </c>
      <c r="GF126" s="29" t="str">
        <f>IF(OR($B126="",$A126&lt;50),"",--MID('Key Analysis'!$C122,50,1))</f>
        <v/>
      </c>
      <c r="GG126" s="29" t="str">
        <f>IF(OR($B126="",$A126&lt;51),"",--MID('Key Analysis'!$C122,51,1))</f>
        <v/>
      </c>
      <c r="GH126" s="29" t="str">
        <f>IF(OR($B126="",$A126&lt;52),"",--MID('Key Analysis'!$C122,52,1))</f>
        <v/>
      </c>
      <c r="GI126" s="29" t="str">
        <f>IF(OR($B126="",$A126&lt;53),"",--MID('Key Analysis'!$C122,53,1))</f>
        <v/>
      </c>
      <c r="GJ126" s="29" t="str">
        <f>IF(OR($B126="",$A126&lt;54),"",--MID('Key Analysis'!$C122,54,1))</f>
        <v/>
      </c>
      <c r="GK126" s="29" t="str">
        <f>IF(OR($B126="",$A126&lt;55),"",--MID('Key Analysis'!$C122,55,1))</f>
        <v/>
      </c>
      <c r="GL126" s="29" t="str">
        <f>IF(OR($B126="",$A126&lt;56),"",--MID('Key Analysis'!$C122,56,1))</f>
        <v/>
      </c>
      <c r="GM126" s="29" t="str">
        <f>IF(OR($B126="",$A126&lt;57),"",--MID('Key Analysis'!$C122,57,1))</f>
        <v/>
      </c>
      <c r="GN126" s="29" t="str">
        <f>IF(OR($B126="",$A126&lt;58),"",--MID('Key Analysis'!$C122,58,1))</f>
        <v/>
      </c>
      <c r="GO126" s="29" t="str">
        <f>IF(OR($B126="",$A126&lt;59),"",--MID('Key Analysis'!$C122,59,1))</f>
        <v/>
      </c>
      <c r="GP126" s="29" t="str">
        <f>IF(OR($B126="",$A126&lt;60),"",--MID('Key Analysis'!$C122,60,1))</f>
        <v/>
      </c>
      <c r="GQ126" s="29" t="str">
        <f>IF(OR($B126="",$A126&lt;61),"",--MID('Key Analysis'!$C122,61,1))</f>
        <v/>
      </c>
      <c r="GR126" s="29" t="str">
        <f>IF(OR($B126="",$A126&lt;62),"",--MID('Key Analysis'!$C122,62,1))</f>
        <v/>
      </c>
      <c r="GS126" s="29" t="str">
        <f>IF(OR($B126="",$A126&lt;63),"",--MID('Key Analysis'!$C122,63,1))</f>
        <v/>
      </c>
      <c r="GT126" s="29" t="str">
        <f>IF(OR($B126="",$A126&lt;64),"",--MID('Key Analysis'!$C122,64,1))</f>
        <v/>
      </c>
      <c r="GU126" s="29" t="str">
        <f>IF(OR($B126="",$A126&lt;65),"",--MID('Key Analysis'!$C122,65,1))</f>
        <v/>
      </c>
      <c r="GV126" s="29" t="str">
        <f>IF(OR($B126="",$A126&lt;66),"",--MID('Key Analysis'!$C122,66,1))</f>
        <v/>
      </c>
      <c r="GW126" s="29" t="str">
        <f>IF(OR($B126="",$A126&lt;67),"",--MID('Key Analysis'!$C122,67,1))</f>
        <v/>
      </c>
      <c r="GX126" s="29" t="str">
        <f>IF(OR($B126="",$A126&lt;68),"",--MID('Key Analysis'!$C122,68,1))</f>
        <v/>
      </c>
      <c r="GY126" s="29" t="str">
        <f>IF(OR($B126="",$A126&lt;69),"",--MID('Key Analysis'!$C122,69,1))</f>
        <v/>
      </c>
      <c r="GZ126" s="29" t="str">
        <f>IF(OR($B126="",$A126&lt;70),"",--MID('Key Analysis'!$C122,70,1))</f>
        <v/>
      </c>
      <c r="HA126" s="29" t="str">
        <f>IF(OR($B126="",$A126&lt;71),"",--MID('Key Analysis'!$C122,71,1))</f>
        <v/>
      </c>
      <c r="HB126" s="29" t="str">
        <f>IF(OR($B126="",$A126&lt;72),"",--MID('Key Analysis'!$C122,72,1))</f>
        <v/>
      </c>
      <c r="HC126" s="29" t="str">
        <f>IF(OR($B126="",$A126&lt;73),"",--MID('Key Analysis'!$C122,73,1))</f>
        <v/>
      </c>
      <c r="HD126" s="29" t="str">
        <f>IF(OR($B126="",$A126&lt;74),"",--MID('Key Analysis'!$C122,74,1))</f>
        <v/>
      </c>
      <c r="HE126" s="29" t="str">
        <f>IF(OR($B126="",$A126&lt;75),"",--MID('Key Analysis'!$C122,75,1))</f>
        <v/>
      </c>
      <c r="HF126" s="29" t="str">
        <f>IF(OR($B126="",$A126&lt;76),"",--MID('Key Analysis'!$C122,76,1))</f>
        <v/>
      </c>
      <c r="HG126" s="29" t="str">
        <f>IF(OR($B126="",$A126&lt;77),"",--MID('Key Analysis'!$C122,77,1))</f>
        <v/>
      </c>
      <c r="HH126" s="29" t="str">
        <f>IF(OR($B126="",$A126&lt;78),"",--MID('Key Analysis'!$C122,78,1))</f>
        <v/>
      </c>
      <c r="HI126" s="29" t="str">
        <f>IF(OR($B126="",$A126&lt;79),"",--MID('Key Analysis'!$C122,79,1))</f>
        <v/>
      </c>
      <c r="HJ126" s="29" t="str">
        <f>IF(OR($B126="",$A126&lt;80),"",--MID('Key Analysis'!$C122,80,1))</f>
        <v/>
      </c>
      <c r="HK126" s="29" t="str">
        <f>IF(OR($B126="",$A126&lt;81),"",--MID('Key Analysis'!$C122,81,1))</f>
        <v/>
      </c>
      <c r="HL126" s="29" t="str">
        <f>IF(OR($B126="",$A126&lt;82),"",--MID('Key Analysis'!$C122,82,1))</f>
        <v/>
      </c>
      <c r="HM126" s="29" t="str">
        <f>IF(OR($B126="",$A126&lt;83),"",--MID('Key Analysis'!$C122,83,1))</f>
        <v/>
      </c>
      <c r="HN126" s="29" t="str">
        <f>IF(OR($B126="",$A126&lt;84),"",--MID('Key Analysis'!$C122,84,1))</f>
        <v/>
      </c>
      <c r="HO126" s="29" t="str">
        <f>IF(OR($B126="",$A126&lt;85),"",--MID('Key Analysis'!$C122,85,1))</f>
        <v/>
      </c>
      <c r="HP126" s="29" t="str">
        <f>IF(OR($B126="",$A126&lt;86),"",--MID('Key Analysis'!$C122,86,1))</f>
        <v/>
      </c>
      <c r="HQ126" s="29" t="str">
        <f>IF(OR($B126="",$A126&lt;87),"",--MID('Key Analysis'!$C122,87,1))</f>
        <v/>
      </c>
      <c r="HR126" s="29" t="str">
        <f>IF(OR($B126="",$A126&lt;88),"",--MID('Key Analysis'!$C122,88,1))</f>
        <v/>
      </c>
      <c r="HS126" s="29" t="str">
        <f>IF(OR($B126="",$A126&lt;89),"",--MID('Key Analysis'!$C122,89,1))</f>
        <v/>
      </c>
      <c r="HT126" s="29" t="str">
        <f>IF(OR($B126="",$A126&lt;90),"",--MID('Key Analysis'!$C122,90,1))</f>
        <v/>
      </c>
      <c r="HU126" s="29" t="str">
        <f>IF(OR($B126="",$A126&lt;91),"",--MID('Key Analysis'!$C122,91,1))</f>
        <v/>
      </c>
      <c r="HV126" s="29" t="str">
        <f>IF(OR($B126="",$A126&lt;92),"",--MID('Key Analysis'!$C122,92,1))</f>
        <v/>
      </c>
      <c r="HW126" s="29" t="str">
        <f>IF(OR($B126="",$A126&lt;93),"",--MID('Key Analysis'!$C122,93,1))</f>
        <v/>
      </c>
      <c r="HX126" s="29" t="str">
        <f>IF(OR($B126="",$A126&lt;94),"",--MID('Key Analysis'!$C122,94,1))</f>
        <v/>
      </c>
      <c r="HY126" s="29" t="str">
        <f>IF(OR($B126="",$A126&lt;95),"",--MID('Key Analysis'!$C122,95,1))</f>
        <v/>
      </c>
      <c r="HZ126" s="29" t="str">
        <f>IF(OR($B126="",$A126&lt;96),"",--MID('Key Analysis'!$C122,96,1))</f>
        <v/>
      </c>
      <c r="IA126" s="29" t="str">
        <f>IF(OR($B126="",$A126&lt;97),"",--MID('Key Analysis'!$C122,97,1))</f>
        <v/>
      </c>
      <c r="IB126" s="29" t="str">
        <f>IF(OR($B126="",$A126&lt;98),"",--MID('Key Analysis'!$C122,98,1))</f>
        <v/>
      </c>
      <c r="IC126" s="29" t="str">
        <f>IF(OR($B126="",$A126&lt;99),"",--MID('Key Analysis'!$C122,99,1))</f>
        <v/>
      </c>
      <c r="ID126" s="29" t="str">
        <f>IF(OR($B126="",$A126&lt;100),"",--MID('Key Analysis'!$C122,100,1))</f>
        <v/>
      </c>
      <c r="IE126" s="29" t="str">
        <f>IF(OR($B126="",$A126&lt;101),"",--MID('Key Analysis'!$C122,101,1))</f>
        <v/>
      </c>
      <c r="IF126" s="29" t="str">
        <f>IF(OR($B126="",$A126&lt;102),"",--MID('Key Analysis'!$C122,102,1))</f>
        <v/>
      </c>
      <c r="IG126" s="29" t="str">
        <f>IF(OR($B126="",$A126&lt;103),"",--MID('Key Analysis'!$C122,103,1))</f>
        <v/>
      </c>
      <c r="IH126" s="29" t="str">
        <f>IF(OR($B126="",$A126&lt;104),"",--MID('Key Analysis'!$C122,104,1))</f>
        <v/>
      </c>
      <c r="II126" s="29" t="str">
        <f>IF(OR($B126="",$A126&lt;105),"",--MID('Key Analysis'!$C122,105,1))</f>
        <v/>
      </c>
      <c r="IJ126" s="29" t="str">
        <f>IF(OR($B126="",$A126&lt;106),"",--MID('Key Analysis'!$C122,106,1))</f>
        <v/>
      </c>
      <c r="IK126" s="29" t="str">
        <f>IF(OR($B126="",$A126&lt;107),"",--MID('Key Analysis'!$C122,107,1))</f>
        <v/>
      </c>
      <c r="IL126" s="29" t="str">
        <f>IF(OR($B126="",$A126&lt;108),"",--MID('Key Analysis'!$C122,108,1))</f>
        <v/>
      </c>
      <c r="IM126" s="29" t="str">
        <f>IF(OR($B126="",$A126&lt;109),"",--MID('Key Analysis'!$C122,109,1))</f>
        <v/>
      </c>
      <c r="IN126" s="29" t="str">
        <f>IF(OR($B126="",$A126&lt;110),"",--MID('Key Analysis'!$C122,110,1))</f>
        <v/>
      </c>
      <c r="IO126" s="29" t="str">
        <f>IF(OR($B126="",$A126&lt;111),"",--MID('Key Analysis'!$C122,111,1))</f>
        <v/>
      </c>
      <c r="IP126" s="29" t="str">
        <f>IF(OR($B126="",$A126&lt;112),"",--MID('Key Analysis'!$C122,112,1))</f>
        <v/>
      </c>
      <c r="IQ126" s="29" t="str">
        <f>IF(OR($B126="",$A126&lt;113),"",--MID('Key Analysis'!$C122,113,1))</f>
        <v/>
      </c>
      <c r="IR126" s="29" t="str">
        <f>IF(OR($B126="",$A126&lt;114),"",--MID('Key Analysis'!$C122,114,1))</f>
        <v/>
      </c>
      <c r="IS126" s="29" t="str">
        <f>IF(OR($B126="",$A126&lt;115),"",--MID('Key Analysis'!$C122,115,1))</f>
        <v/>
      </c>
      <c r="IT126" s="29" t="str">
        <f>IF(OR($B126="",$A126&lt;116),"",--MID('Key Analysis'!$C122,116,1))</f>
        <v/>
      </c>
      <c r="IU126" s="29" t="str">
        <f>IF(OR($B126="",$A126&lt;117),"",--MID('Key Analysis'!$C122,117,1))</f>
        <v/>
      </c>
      <c r="IV126" s="29" t="str">
        <f>IF(OR($B126="",$A126&lt;118),"",--MID('Key Analysis'!$C122,118,1))</f>
        <v/>
      </c>
      <c r="IW126" s="29" t="str">
        <f>IF(OR($B126="",$A126&lt;119),"",--MID('Key Analysis'!$C122,119,1))</f>
        <v/>
      </c>
      <c r="IX126" s="29" t="str">
        <f>IF(OR($B126="",$A126&lt;120),"",--MID('Key Analysis'!$C122,120,1))</f>
        <v/>
      </c>
      <c r="IY126" s="29" t="str">
        <f>IF(OR($B126="",$A126&lt;121),"",--MID('Key Analysis'!$C122,121,1))</f>
        <v/>
      </c>
      <c r="IZ126" s="29" t="str">
        <f>IF(OR($B126="",$A126&lt;122),"",--MID('Key Analysis'!$C122,122,1))</f>
        <v/>
      </c>
      <c r="JA126" s="29" t="str">
        <f>IF(OR($B126="",$A126&lt;123),"",--MID('Key Analysis'!$C122,123,1))</f>
        <v/>
      </c>
      <c r="JB126" s="29" t="str">
        <f>IF(OR($B126="",$A126&lt;124),"",--MID('Key Analysis'!$C122,124,1))</f>
        <v/>
      </c>
      <c r="JC126" s="29" t="str">
        <f>IF(OR($B126="",$A126&lt;125),"",--MID('Key Analysis'!$C122,125,1))</f>
        <v/>
      </c>
      <c r="JD126" s="29" t="str">
        <f>IF(OR($B126="",$A126&lt;126),"",--MID('Key Analysis'!$C122,126,1))</f>
        <v/>
      </c>
      <c r="JE126" s="29" t="str">
        <f>IF(OR($B126="",$A126&lt;127),"",--MID('Key Analysis'!$C122,127,1))</f>
        <v/>
      </c>
      <c r="JF126" s="29" t="str">
        <f>IF(OR($B126="",$A126&lt;128),"",--MID('Key Analysis'!$C122,128,1))</f>
        <v/>
      </c>
      <c r="JG126" s="29" t="str">
        <f>IF(OR($B126="",$A126&lt;129),"",--MID('Key Analysis'!$C122,129,1))</f>
        <v/>
      </c>
      <c r="JH126" s="29" t="str">
        <f>IF(OR($B126="",$A126&lt;130),"",--MID('Key Analysis'!$C122,130,1))</f>
        <v/>
      </c>
      <c r="JI126" s="29" t="str">
        <f>IF(OR($B126="",$A126&lt;131),"",--MID('Key Analysis'!$C122,131,1))</f>
        <v/>
      </c>
      <c r="JJ126" s="29" t="str">
        <f>IF(OR($B126="",$A126&lt;132),"",--MID('Key Analysis'!$C122,132,1))</f>
        <v/>
      </c>
      <c r="JK126" s="29" t="str">
        <f>IF(OR($B126="",$A126&lt;133),"",--MID('Key Analysis'!$C122,133,1))</f>
        <v/>
      </c>
      <c r="JL126" s="29" t="str">
        <f>IF(OR($B126="",$A126&lt;134),"",--MID('Key Analysis'!$C122,134,1))</f>
        <v/>
      </c>
      <c r="JM126" s="29" t="str">
        <f>IF(OR($B126="",$A126&lt;135),"",--MID('Key Analysis'!$C122,135,1))</f>
        <v/>
      </c>
    </row>
    <row r="127" spans="1:273" x14ac:dyDescent="0.25">
      <c r="A127" s="21">
        <f>'Key Analysis'!A123</f>
        <v>122</v>
      </c>
      <c r="B127" s="30" t="str">
        <f>'Key Analysis'!B123</f>
        <v/>
      </c>
      <c r="C127" s="29" t="str">
        <f>IF(OR($B127="",$A127&lt;=0),"",--MID('Key Analysis'!$C123,$A127-0,1))</f>
        <v/>
      </c>
      <c r="D127" s="29" t="str">
        <f>IF(OR($B127="",$A127&lt;=1),"",--MID('Key Analysis'!$C123,$A127-1,1))</f>
        <v/>
      </c>
      <c r="E127" s="29" t="str">
        <f>IF(OR($B127="",$A127&lt;=2),"",--MID('Key Analysis'!$C123,$A127-2,1))</f>
        <v/>
      </c>
      <c r="F127" s="29" t="str">
        <f>IF(OR($B127="",$A127&lt;=3),"",--MID('Key Analysis'!$C123,$A127-3,1))</f>
        <v/>
      </c>
      <c r="G127" s="29" t="str">
        <f>IF(OR($B127="",$A127&lt;=4),"",--MID('Key Analysis'!$C123,$A127-4,1))</f>
        <v/>
      </c>
      <c r="H127" s="29" t="str">
        <f>IF(OR($B127="",$A127&lt;=5),"",--MID('Key Analysis'!$C123,$A127-5,1))</f>
        <v/>
      </c>
      <c r="I127" s="29" t="str">
        <f>IF(OR($B127="",$A127&lt;=6),"",--MID('Key Analysis'!$C123,$A127-6,1))</f>
        <v/>
      </c>
      <c r="J127" s="29" t="str">
        <f>IF(OR($B127="",$A127&lt;=7),"",--MID('Key Analysis'!$C123,$A127-7,1))</f>
        <v/>
      </c>
      <c r="K127" s="29" t="str">
        <f>IF(OR($B127="",$A127&lt;=8),"",--MID('Key Analysis'!$C123,$A127-8,1))</f>
        <v/>
      </c>
      <c r="L127" s="29" t="str">
        <f>IF(OR($B127="",$A127&lt;=9),"",--MID('Key Analysis'!$C123,$A127-9,1))</f>
        <v/>
      </c>
      <c r="M127" s="29" t="str">
        <f>IF(OR($B127="",$A127&lt;=10),"",--MID('Key Analysis'!$C123,$A127-10,1))</f>
        <v/>
      </c>
      <c r="N127" s="29" t="str">
        <f>IF(OR($B127="",$A127&lt;=11),"",--MID('Key Analysis'!$C123,$A127-11,1))</f>
        <v/>
      </c>
      <c r="O127" s="29" t="str">
        <f>IF(OR($B127="",$A127&lt;=12),"",--MID('Key Analysis'!$C123,$A127-12,1))</f>
        <v/>
      </c>
      <c r="P127" s="29" t="str">
        <f>IF(OR($B127="",$A127&lt;=13),"",--MID('Key Analysis'!$C123,$A127-13,1))</f>
        <v/>
      </c>
      <c r="Q127" s="29" t="str">
        <f>IF(OR($B127="",$A127&lt;=14),"",--MID('Key Analysis'!$C123,$A127-14,1))</f>
        <v/>
      </c>
      <c r="R127" s="29" t="str">
        <f>IF(OR($B127="",$A127&lt;=15),"",--MID('Key Analysis'!$C123,$A127-15,1))</f>
        <v/>
      </c>
      <c r="S127" s="29" t="str">
        <f>IF(OR($B127="",$A127&lt;=16),"",--MID('Key Analysis'!$C123,$A127-16,1))</f>
        <v/>
      </c>
      <c r="T127" s="29" t="str">
        <f>IF(OR($B127="",$A127&lt;=17),"",--MID('Key Analysis'!$C123,$A127-17,1))</f>
        <v/>
      </c>
      <c r="U127" s="29" t="str">
        <f>IF(OR($B127="",$A127&lt;=18),"",--MID('Key Analysis'!$C123,$A127-18,1))</f>
        <v/>
      </c>
      <c r="V127" s="29" t="str">
        <f>IF(OR($B127="",$A127&lt;=19),"",--MID('Key Analysis'!$C123,$A127-19,1))</f>
        <v/>
      </c>
      <c r="W127" s="29" t="str">
        <f>IF(OR($B127="",$A127&lt;=20),"",--MID('Key Analysis'!$C123,$A127-20,1))</f>
        <v/>
      </c>
      <c r="X127" s="29" t="str">
        <f>IF(OR($B127="",$A127&lt;=21),"",--MID('Key Analysis'!$C123,$A127-21,1))</f>
        <v/>
      </c>
      <c r="Y127" s="29" t="str">
        <f>IF(OR($B127="",$A127&lt;=22),"",--MID('Key Analysis'!$C123,$A127-22,1))</f>
        <v/>
      </c>
      <c r="Z127" s="29" t="str">
        <f>IF(OR($B127="",$A127&lt;=23),"",--MID('Key Analysis'!$C123,$A127-23,1))</f>
        <v/>
      </c>
      <c r="AA127" s="29" t="str">
        <f>IF(OR($B127="",$A127&lt;=24),"",--MID('Key Analysis'!$C123,$A127-24,1))</f>
        <v/>
      </c>
      <c r="AB127" s="29" t="str">
        <f>IF(OR($B127="",$A127&lt;=25),"",--MID('Key Analysis'!$C123,$A127-25,1))</f>
        <v/>
      </c>
      <c r="AC127" s="29" t="str">
        <f>IF(OR($B127="",$A127&lt;=26),"",--MID('Key Analysis'!$C123,$A127-26,1))</f>
        <v/>
      </c>
      <c r="AD127" s="29" t="str">
        <f>IF(OR($B127="",$A127&lt;=27),"",--MID('Key Analysis'!$C123,$A127-27,1))</f>
        <v/>
      </c>
      <c r="AE127" s="29" t="str">
        <f>IF(OR($B127="",$A127&lt;=28),"",--MID('Key Analysis'!$C123,$A127-28,1))</f>
        <v/>
      </c>
      <c r="AF127" s="29" t="str">
        <f>IF(OR($B127="",$A127&lt;=29),"",--MID('Key Analysis'!$C123,$A127-29,1))</f>
        <v/>
      </c>
      <c r="AG127" s="29" t="str">
        <f>IF(OR($B127="",$A127&lt;=30),"",--MID('Key Analysis'!$C123,$A127-30,1))</f>
        <v/>
      </c>
      <c r="AH127" s="29" t="str">
        <f>IF(OR($B127="",$A127&lt;=31),"",--MID('Key Analysis'!$C123,$A127-31,1))</f>
        <v/>
      </c>
      <c r="AI127" s="29" t="str">
        <f>IF(OR($B127="",$A127&lt;=32),"",--MID('Key Analysis'!$C123,$A127-32,1))</f>
        <v/>
      </c>
      <c r="AJ127" s="29" t="str">
        <f>IF(OR($B127="",$A127&lt;=33),"",--MID('Key Analysis'!$C123,$A127-33,1))</f>
        <v/>
      </c>
      <c r="AK127" s="29" t="str">
        <f>IF(OR($B127="",$A127&lt;=34),"",--MID('Key Analysis'!$C123,$A127-34,1))</f>
        <v/>
      </c>
      <c r="AL127" s="29" t="str">
        <f>IF(OR($B127="",$A127&lt;=35),"",--MID('Key Analysis'!$C123,$A127-35,1))</f>
        <v/>
      </c>
      <c r="AM127" s="29" t="str">
        <f>IF(OR($B127="",$A127&lt;=36),"",--MID('Key Analysis'!$C123,$A127-36,1))</f>
        <v/>
      </c>
      <c r="AN127" s="29" t="str">
        <f>IF(OR($B127="",$A127&lt;=37),"",--MID('Key Analysis'!$C123,$A127-37,1))</f>
        <v/>
      </c>
      <c r="AO127" s="29" t="str">
        <f>IF(OR($B127="",$A127&lt;=38),"",--MID('Key Analysis'!$C123,$A127-38,1))</f>
        <v/>
      </c>
      <c r="AP127" s="29" t="str">
        <f>IF(OR($B127="",$A127&lt;=39),"",--MID('Key Analysis'!$C123,$A127-39,1))</f>
        <v/>
      </c>
      <c r="AQ127" s="29" t="str">
        <f>IF(OR($B127="",$A127&lt;=40),"",--MID('Key Analysis'!$C123,$A127-40,1))</f>
        <v/>
      </c>
      <c r="AR127" s="29" t="str">
        <f>IF(OR($B127="",$A127&lt;=41),"",--MID('Key Analysis'!$C123,$A127-41,1))</f>
        <v/>
      </c>
      <c r="AS127" s="29" t="str">
        <f>IF(OR($B127="",$A127&lt;=42),"",--MID('Key Analysis'!$C123,$A127-42,1))</f>
        <v/>
      </c>
      <c r="AT127" s="29" t="str">
        <f>IF(OR($B127="",$A127&lt;=43),"",--MID('Key Analysis'!$C123,$A127-43,1))</f>
        <v/>
      </c>
      <c r="AU127" s="29" t="str">
        <f>IF(OR($B127="",$A127&lt;=44),"",--MID('Key Analysis'!$C123,$A127-44,1))</f>
        <v/>
      </c>
      <c r="AV127" s="29" t="str">
        <f>IF(OR($B127="",$A127&lt;=45),"",--MID('Key Analysis'!$C123,$A127-45,1))</f>
        <v/>
      </c>
      <c r="AW127" s="29" t="str">
        <f>IF(OR($B127="",$A127&lt;=46),"",--MID('Key Analysis'!$C123,$A127-46,1))</f>
        <v/>
      </c>
      <c r="AX127" s="29" t="str">
        <f>IF(OR($B127="",$A127&lt;=47),"",--MID('Key Analysis'!$C123,$A127-47,1))</f>
        <v/>
      </c>
      <c r="AY127" s="29" t="str">
        <f>IF(OR($B127="",$A127&lt;=48),"",--MID('Key Analysis'!$C123,$A127-48,1))</f>
        <v/>
      </c>
      <c r="AZ127" s="29" t="str">
        <f>IF(OR($B127="",$A127&lt;=49),"",--MID('Key Analysis'!$C123,$A127-49,1))</f>
        <v/>
      </c>
      <c r="BA127" s="29" t="str">
        <f>IF(OR($B127="",$A127&lt;=50),"",--MID('Key Analysis'!$C123,$A127-50,1))</f>
        <v/>
      </c>
      <c r="BB127" s="29" t="str">
        <f>IF(OR($B127="",$A127&lt;=51),"",--MID('Key Analysis'!$C123,$A127-51,1))</f>
        <v/>
      </c>
      <c r="BC127" s="29" t="str">
        <f>IF(OR($B127="",$A127&lt;=52),"",--MID('Key Analysis'!$C123,$A127-52,1))</f>
        <v/>
      </c>
      <c r="BD127" s="29" t="str">
        <f>IF(OR($B127="",$A127&lt;=53),"",--MID('Key Analysis'!$C123,$A127-53,1))</f>
        <v/>
      </c>
      <c r="BE127" s="29" t="str">
        <f>IF(OR($B127="",$A127&lt;=54),"",--MID('Key Analysis'!$C123,$A127-54,1))</f>
        <v/>
      </c>
      <c r="BF127" s="29" t="str">
        <f>IF(OR($B127="",$A127&lt;=55),"",--MID('Key Analysis'!$C123,$A127-55,1))</f>
        <v/>
      </c>
      <c r="BG127" s="29" t="str">
        <f>IF(OR($B127="",$A127&lt;=56),"",--MID('Key Analysis'!$C123,$A127-56,1))</f>
        <v/>
      </c>
      <c r="BH127" s="29" t="str">
        <f>IF(OR($B127="",$A127&lt;=57),"",--MID('Key Analysis'!$C123,$A127-57,1))</f>
        <v/>
      </c>
      <c r="BI127" s="29" t="str">
        <f>IF(OR($B127="",$A127&lt;=58),"",--MID('Key Analysis'!$C123,$A127-58,1))</f>
        <v/>
      </c>
      <c r="BJ127" s="29" t="str">
        <f>IF(OR($B127="",$A127&lt;=59),"",--MID('Key Analysis'!$C123,$A127-59,1))</f>
        <v/>
      </c>
      <c r="BK127" s="29" t="str">
        <f>IF(OR($B127="",$A127&lt;=60),"",--MID('Key Analysis'!$C123,$A127-60,1))</f>
        <v/>
      </c>
      <c r="BL127" s="29" t="str">
        <f>IF(OR($B127="",$A127&lt;=61),"",--MID('Key Analysis'!$C123,$A127-61,1))</f>
        <v/>
      </c>
      <c r="BM127" s="29" t="str">
        <f>IF(OR($B127="",$A127&lt;=62),"",--MID('Key Analysis'!$C123,$A127-62,1))</f>
        <v/>
      </c>
      <c r="BN127" s="29" t="str">
        <f>IF(OR($B127="",$A127&lt;=63),"",--MID('Key Analysis'!$C123,$A127-63,1))</f>
        <v/>
      </c>
      <c r="BO127" s="29" t="str">
        <f>IF(OR($B127="",$A127&lt;=64),"",--MID('Key Analysis'!$C123,$A127-64,1))</f>
        <v/>
      </c>
      <c r="BP127" s="29" t="str">
        <f>IF(OR($B127="",$A127&lt;=65),"",--MID('Key Analysis'!$C123,$A127-65,1))</f>
        <v/>
      </c>
      <c r="BQ127" s="29" t="str">
        <f>IF(OR($B127="",$A127&lt;=66),"",--MID('Key Analysis'!$C123,$A127-66,1))</f>
        <v/>
      </c>
      <c r="BR127" s="29" t="str">
        <f>IF(OR($B127="",$A127&lt;=67),"",--MID('Key Analysis'!$C123,$A127-67,1))</f>
        <v/>
      </c>
      <c r="BS127" s="29" t="str">
        <f>IF(OR($B127="",$A127&lt;=68),"",--MID('Key Analysis'!$C123,$A127-68,1))</f>
        <v/>
      </c>
      <c r="BT127" s="29" t="str">
        <f>IF(OR($B127="",$A127&lt;=69),"",--MID('Key Analysis'!$C123,$A127-69,1))</f>
        <v/>
      </c>
      <c r="BU127" s="29" t="str">
        <f>IF(OR($B127="",$A127&lt;=70),"",--MID('Key Analysis'!$C123,$A127-70,1))</f>
        <v/>
      </c>
      <c r="BV127" s="29" t="str">
        <f>IF(OR($B127="",$A127&lt;=71),"",--MID('Key Analysis'!$C123,$A127-71,1))</f>
        <v/>
      </c>
      <c r="BW127" s="29" t="str">
        <f>IF(OR($B127="",$A127&lt;=72),"",--MID('Key Analysis'!$C123,$A127-72,1))</f>
        <v/>
      </c>
      <c r="BX127" s="29" t="str">
        <f>IF(OR($B127="",$A127&lt;=73),"",--MID('Key Analysis'!$C123,$A127-73,1))</f>
        <v/>
      </c>
      <c r="BY127" s="29" t="str">
        <f>IF(OR($B127="",$A127&lt;=74),"",--MID('Key Analysis'!$C123,$A127-74,1))</f>
        <v/>
      </c>
      <c r="BZ127" s="29" t="str">
        <f>IF(OR($B127="",$A127&lt;=75),"",--MID('Key Analysis'!$C123,$A127-75,1))</f>
        <v/>
      </c>
      <c r="CA127" s="29" t="str">
        <f>IF(OR($B127="",$A127&lt;=76),"",--MID('Key Analysis'!$C123,$A127-76,1))</f>
        <v/>
      </c>
      <c r="CB127" s="29" t="str">
        <f>IF(OR($B127="",$A127&lt;=77),"",--MID('Key Analysis'!$C123,$A127-77,1))</f>
        <v/>
      </c>
      <c r="CC127" s="29" t="str">
        <f>IF(OR($B127="",$A127&lt;=78),"",--MID('Key Analysis'!$C123,$A127-78,1))</f>
        <v/>
      </c>
      <c r="CD127" s="29" t="str">
        <f>IF(OR($B127="",$A127&lt;=79),"",--MID('Key Analysis'!$C123,$A127-79,1))</f>
        <v/>
      </c>
      <c r="CE127" s="29" t="str">
        <f>IF(OR($B127="",$A127&lt;=80),"",--MID('Key Analysis'!$C123,$A127-80,1))</f>
        <v/>
      </c>
      <c r="CF127" s="29" t="str">
        <f>IF(OR($B127="",$A127&lt;=81),"",--MID('Key Analysis'!$C123,$A127-81,1))</f>
        <v/>
      </c>
      <c r="CG127" s="29" t="str">
        <f>IF(OR($B127="",$A127&lt;=82),"",--MID('Key Analysis'!$C123,$A127-82,1))</f>
        <v/>
      </c>
      <c r="CH127" s="29" t="str">
        <f>IF(OR($B127="",$A127&lt;=83),"",--MID('Key Analysis'!$C123,$A127-83,1))</f>
        <v/>
      </c>
      <c r="CI127" s="29" t="str">
        <f>IF(OR($B127="",$A127&lt;=84),"",--MID('Key Analysis'!$C123,$A127-84,1))</f>
        <v/>
      </c>
      <c r="CJ127" s="29" t="str">
        <f>IF(OR($B127="",$A127&lt;=85),"",--MID('Key Analysis'!$C123,$A127-85,1))</f>
        <v/>
      </c>
      <c r="CK127" s="29" t="str">
        <f>IF(OR($B127="",$A127&lt;=86),"",--MID('Key Analysis'!$C123,$A127-86,1))</f>
        <v/>
      </c>
      <c r="CL127" s="29" t="str">
        <f>IF(OR($B127="",$A127&lt;=87),"",--MID('Key Analysis'!$C123,$A127-87,1))</f>
        <v/>
      </c>
      <c r="CM127" s="29" t="str">
        <f>IF(OR($B127="",$A127&lt;=88),"",--MID('Key Analysis'!$C123,$A127-88,1))</f>
        <v/>
      </c>
      <c r="CN127" s="29" t="str">
        <f>IF(OR($B127="",$A127&lt;=89),"",--MID('Key Analysis'!$C123,$A127-89,1))</f>
        <v/>
      </c>
      <c r="CO127" s="29" t="str">
        <f>IF(OR($B127="",$A127&lt;=90),"",--MID('Key Analysis'!$C123,$A127-90,1))</f>
        <v/>
      </c>
      <c r="CP127" s="29" t="str">
        <f>IF(OR($B127="",$A127&lt;=91),"",--MID('Key Analysis'!$C123,$A127-91,1))</f>
        <v/>
      </c>
      <c r="CQ127" s="29" t="str">
        <f>IF(OR($B127="",$A127&lt;=92),"",--MID('Key Analysis'!$C123,$A127-92,1))</f>
        <v/>
      </c>
      <c r="CR127" s="29" t="str">
        <f>IF(OR($B127="",$A127&lt;=93),"",--MID('Key Analysis'!$C123,$A127-93,1))</f>
        <v/>
      </c>
      <c r="CS127" s="29" t="str">
        <f>IF(OR($B127="",$A127&lt;=94),"",--MID('Key Analysis'!$C123,$A127-94,1))</f>
        <v/>
      </c>
      <c r="CT127" s="29" t="str">
        <f>IF(OR($B127="",$A127&lt;=95),"",--MID('Key Analysis'!$C123,$A127-95,1))</f>
        <v/>
      </c>
      <c r="CU127" s="29" t="str">
        <f>IF(OR($B127="",$A127&lt;=96),"",--MID('Key Analysis'!$C123,$A127-96,1))</f>
        <v/>
      </c>
      <c r="CV127" s="29" t="str">
        <f>IF(OR($B127="",$A127&lt;=97),"",--MID('Key Analysis'!$C123,$A127-97,1))</f>
        <v/>
      </c>
      <c r="CW127" s="29" t="str">
        <f>IF(OR($B127="",$A127&lt;=98),"",--MID('Key Analysis'!$C123,$A127-98,1))</f>
        <v/>
      </c>
      <c r="CX127" s="29" t="str">
        <f>IF(OR($B127="",$A127&lt;=99),"",--MID('Key Analysis'!$C123,$A127-99,1))</f>
        <v/>
      </c>
      <c r="CY127" s="29" t="str">
        <f>IF(OR($B127="",$A127&lt;=100),"",--MID('Key Analysis'!$C123,$A127-100,1))</f>
        <v/>
      </c>
      <c r="CZ127" s="29" t="str">
        <f>IF(OR($B127="",$A127&lt;=101),"",--MID('Key Analysis'!$C123,$A127-101,1))</f>
        <v/>
      </c>
      <c r="DA127" s="29" t="str">
        <f>IF(OR($B127="",$A127&lt;=102),"",--MID('Key Analysis'!$C123,$A127-102,1))</f>
        <v/>
      </c>
      <c r="DB127" s="29" t="str">
        <f>IF(OR($B127="",$A127&lt;=103),"",--MID('Key Analysis'!$C123,$A127-103,1))</f>
        <v/>
      </c>
      <c r="DC127" s="29" t="str">
        <f>IF(OR($B127="",$A127&lt;=104),"",--MID('Key Analysis'!$C123,$A127-104,1))</f>
        <v/>
      </c>
      <c r="DD127" s="29" t="str">
        <f>IF(OR($B127="",$A127&lt;=105),"",--MID('Key Analysis'!$C123,$A127-105,1))</f>
        <v/>
      </c>
      <c r="DE127" s="29" t="str">
        <f>IF(OR($B127="",$A127&lt;=106),"",--MID('Key Analysis'!$C123,$A127-106,1))</f>
        <v/>
      </c>
      <c r="DF127" s="29" t="str">
        <f>IF(OR($B127="",$A127&lt;=107),"",--MID('Key Analysis'!$C123,$A127-107,1))</f>
        <v/>
      </c>
      <c r="DG127" s="29" t="str">
        <f>IF(OR($B127="",$A127&lt;=108),"",--MID('Key Analysis'!$C123,$A127-108,1))</f>
        <v/>
      </c>
      <c r="DH127" s="29" t="str">
        <f>IF(OR($B127="",$A127&lt;=109),"",--MID('Key Analysis'!$C123,$A127-109,1))</f>
        <v/>
      </c>
      <c r="DI127" s="29" t="str">
        <f>IF(OR($B127="",$A127&lt;=110),"",--MID('Key Analysis'!$C123,$A127-110,1))</f>
        <v/>
      </c>
      <c r="DJ127" s="29" t="str">
        <f>IF(OR($B127="",$A127&lt;=111),"",--MID('Key Analysis'!$C123,$A127-111,1))</f>
        <v/>
      </c>
      <c r="DK127" s="29" t="str">
        <f>IF(OR($B127="",$A127&lt;=112),"",--MID('Key Analysis'!$C123,$A127-112,1))</f>
        <v/>
      </c>
      <c r="DL127" s="29" t="str">
        <f>IF(OR($B127="",$A127&lt;=113),"",--MID('Key Analysis'!$C123,$A127-113,1))</f>
        <v/>
      </c>
      <c r="DM127" s="29" t="str">
        <f>IF(OR($B127="",$A127&lt;=114),"",--MID('Key Analysis'!$C123,$A127-114,1))</f>
        <v/>
      </c>
      <c r="DN127" s="29" t="str">
        <f>IF(OR($B127="",$A127&lt;=115),"",--MID('Key Analysis'!$C123,$A127-115,1))</f>
        <v/>
      </c>
      <c r="DO127" s="29" t="str">
        <f>IF(OR($B127="",$A127&lt;=116),"",--MID('Key Analysis'!$C123,$A127-116,1))</f>
        <v/>
      </c>
      <c r="DP127" s="29" t="str">
        <f>IF(OR($B127="",$A127&lt;=117),"",--MID('Key Analysis'!$C123,$A127-117,1))</f>
        <v/>
      </c>
      <c r="DQ127" s="29" t="str">
        <f>IF(OR($B127="",$A127&lt;=118),"",--MID('Key Analysis'!$C123,$A127-118,1))</f>
        <v/>
      </c>
      <c r="DR127" s="29" t="str">
        <f>IF(OR($B127="",$A127&lt;=119),"",--MID('Key Analysis'!$C123,$A127-119,1))</f>
        <v/>
      </c>
      <c r="DS127" s="29" t="str">
        <f>IF(OR($B127="",$A127&lt;=120),"",--MID('Key Analysis'!$C123,$A127-120,1))</f>
        <v/>
      </c>
      <c r="DT127" s="29" t="str">
        <f>IF(OR($B127="",$A127&lt;=121),"",--MID('Key Analysis'!$C123,$A127-121,1))</f>
        <v/>
      </c>
      <c r="DU127" s="29" t="str">
        <f>IF(OR($B127="",$A127&lt;=122),"",--MID('Key Analysis'!$C123,$A127-122,1))</f>
        <v/>
      </c>
      <c r="DV127" s="29" t="str">
        <f>IF(OR($B127="",$A127&lt;=123),"",--MID('Key Analysis'!$C123,$A127-123,1))</f>
        <v/>
      </c>
      <c r="DW127" s="29" t="str">
        <f>IF(OR($B127="",$A127&lt;=124),"",--MID('Key Analysis'!$C123,$A127-124,1))</f>
        <v/>
      </c>
      <c r="DX127" s="29" t="str">
        <f>IF(OR($B127="",$A127&lt;=125),"",--MID('Key Analysis'!$C123,$A127-125,1))</f>
        <v/>
      </c>
      <c r="DY127" s="29" t="str">
        <f>IF(OR($B127="",$A127&lt;=126),"",--MID('Key Analysis'!$C123,$A127-126,1))</f>
        <v/>
      </c>
      <c r="DZ127" s="29" t="str">
        <f>IF(OR($B127="",$A127&lt;=127),"",--MID('Key Analysis'!$C123,$A127-127,1))</f>
        <v/>
      </c>
      <c r="EA127" s="29" t="str">
        <f>IF(OR($B127="",$A127&lt;=128),"",--MID('Key Analysis'!$C123,$A127-128,1))</f>
        <v/>
      </c>
      <c r="EB127" s="29" t="str">
        <f>IF(OR($B127="",$A127&lt;=129),"",--MID('Key Analysis'!$C123,$A127-129,1))</f>
        <v/>
      </c>
      <c r="EC127" s="29" t="str">
        <f>IF(OR($B127="",$A127&lt;=130),"",--MID('Key Analysis'!$C123,$A127-130,1))</f>
        <v/>
      </c>
      <c r="ED127" s="29" t="str">
        <f>IF(OR($B127="",$A127&lt;=131),"",--MID('Key Analysis'!$C123,$A127-131,1))</f>
        <v/>
      </c>
      <c r="EE127" s="29" t="str">
        <f>IF(OR($B127="",$A127&lt;=132),"",--MID('Key Analysis'!$C123,$A127-132,1))</f>
        <v/>
      </c>
      <c r="EF127" s="29" t="str">
        <f>IF(OR($B127="",$A127&lt;=133),"",--MID('Key Analysis'!$C123,$A127-133,1))</f>
        <v/>
      </c>
      <c r="EG127" s="29" t="str">
        <f>IF(OR($B127="",$A127&lt;=134),"",--MID('Key Analysis'!$C123,$A127-134,1))</f>
        <v/>
      </c>
      <c r="EH127" s="29"/>
      <c r="EI127" s="29" t="str">
        <f>IF(OR($B127="",$A127&lt;1),"",--MID('Key Analysis'!$C123,1,1))</f>
        <v/>
      </c>
      <c r="EJ127" s="29" t="str">
        <f>IF(OR($B127="",$A127&lt;2),"",--MID('Key Analysis'!$C123,2,1))</f>
        <v/>
      </c>
      <c r="EK127" s="29" t="str">
        <f>IF(OR($B127="",$A127&lt;3),"",--MID('Key Analysis'!$C123,3,1))</f>
        <v/>
      </c>
      <c r="EL127" s="29" t="str">
        <f>IF(OR($B127="",$A127&lt;4),"",--MID('Key Analysis'!$C123,4,1))</f>
        <v/>
      </c>
      <c r="EM127" s="29" t="str">
        <f>IF(OR($B127="",$A127&lt;5),"",--MID('Key Analysis'!$C123,5,1))</f>
        <v/>
      </c>
      <c r="EN127" s="29" t="str">
        <f>IF(OR($B127="",$A127&lt;6),"",--MID('Key Analysis'!$C123,6,1))</f>
        <v/>
      </c>
      <c r="EO127" s="29" t="str">
        <f>IF(OR($B127="",$A127&lt;7),"",--MID('Key Analysis'!$C123,7,1))</f>
        <v/>
      </c>
      <c r="EP127" s="29" t="str">
        <f>IF(OR($B127="",$A127&lt;8),"",--MID('Key Analysis'!$C123,8,1))</f>
        <v/>
      </c>
      <c r="EQ127" s="29" t="str">
        <f>IF(OR($B127="",$A127&lt;9),"",--MID('Key Analysis'!$C123,9,1))</f>
        <v/>
      </c>
      <c r="ER127" s="29" t="str">
        <f>IF(OR($B127="",$A127&lt;10),"",--MID('Key Analysis'!$C123,10,1))</f>
        <v/>
      </c>
      <c r="ES127" s="29" t="str">
        <f>IF(OR($B127="",$A127&lt;11),"",--MID('Key Analysis'!$C123,11,1))</f>
        <v/>
      </c>
      <c r="ET127" s="29" t="str">
        <f>IF(OR($B127="",$A127&lt;12),"",--MID('Key Analysis'!$C123,12,1))</f>
        <v/>
      </c>
      <c r="EU127" s="29" t="str">
        <f>IF(OR($B127="",$A127&lt;13),"",--MID('Key Analysis'!$C123,13,1))</f>
        <v/>
      </c>
      <c r="EV127" s="29" t="str">
        <f>IF(OR($B127="",$A127&lt;14),"",--MID('Key Analysis'!$C123,14,1))</f>
        <v/>
      </c>
      <c r="EW127" s="29" t="str">
        <f>IF(OR($B127="",$A127&lt;15),"",--MID('Key Analysis'!$C123,15,1))</f>
        <v/>
      </c>
      <c r="EX127" s="29" t="str">
        <f>IF(OR($B127="",$A127&lt;16),"",--MID('Key Analysis'!$C123,16,1))</f>
        <v/>
      </c>
      <c r="EY127" s="29" t="str">
        <f>IF(OR($B127="",$A127&lt;17),"",--MID('Key Analysis'!$C123,17,1))</f>
        <v/>
      </c>
      <c r="EZ127" s="29" t="str">
        <f>IF(OR($B127="",$A127&lt;18),"",--MID('Key Analysis'!$C123,18,1))</f>
        <v/>
      </c>
      <c r="FA127" s="29" t="str">
        <f>IF(OR($B127="",$A127&lt;19),"",--MID('Key Analysis'!$C123,19,1))</f>
        <v/>
      </c>
      <c r="FB127" s="29" t="str">
        <f>IF(OR($B127="",$A127&lt;20),"",--MID('Key Analysis'!$C123,20,1))</f>
        <v/>
      </c>
      <c r="FC127" s="29" t="str">
        <f>IF(OR($B127="",$A127&lt;21),"",--MID('Key Analysis'!$C123,21,1))</f>
        <v/>
      </c>
      <c r="FD127" s="29" t="str">
        <f>IF(OR($B127="",$A127&lt;22),"",--MID('Key Analysis'!$C123,22,1))</f>
        <v/>
      </c>
      <c r="FE127" s="29" t="str">
        <f>IF(OR($B127="",$A127&lt;23),"",--MID('Key Analysis'!$C123,23,1))</f>
        <v/>
      </c>
      <c r="FF127" s="29" t="str">
        <f>IF(OR($B127="",$A127&lt;24),"",--MID('Key Analysis'!$C123,24,1))</f>
        <v/>
      </c>
      <c r="FG127" s="29" t="str">
        <f>IF(OR($B127="",$A127&lt;25),"",--MID('Key Analysis'!$C123,25,1))</f>
        <v/>
      </c>
      <c r="FH127" s="29" t="str">
        <f>IF(OR($B127="",$A127&lt;26),"",--MID('Key Analysis'!$C123,26,1))</f>
        <v/>
      </c>
      <c r="FI127" s="29" t="str">
        <f>IF(OR($B127="",$A127&lt;27),"",--MID('Key Analysis'!$C123,27,1))</f>
        <v/>
      </c>
      <c r="FJ127" s="29" t="str">
        <f>IF(OR($B127="",$A127&lt;28),"",--MID('Key Analysis'!$C123,28,1))</f>
        <v/>
      </c>
      <c r="FK127" s="29" t="str">
        <f>IF(OR($B127="",$A127&lt;29),"",--MID('Key Analysis'!$C123,29,1))</f>
        <v/>
      </c>
      <c r="FL127" s="29" t="str">
        <f>IF(OR($B127="",$A127&lt;30),"",--MID('Key Analysis'!$C123,30,1))</f>
        <v/>
      </c>
      <c r="FM127" s="29" t="str">
        <f>IF(OR($B127="",$A127&lt;31),"",--MID('Key Analysis'!$C123,31,1))</f>
        <v/>
      </c>
      <c r="FN127" s="29" t="str">
        <f>IF(OR($B127="",$A127&lt;32),"",--MID('Key Analysis'!$C123,32,1))</f>
        <v/>
      </c>
      <c r="FO127" s="29" t="str">
        <f>IF(OR($B127="",$A127&lt;33),"",--MID('Key Analysis'!$C123,33,1))</f>
        <v/>
      </c>
      <c r="FP127" s="29" t="str">
        <f>IF(OR($B127="",$A127&lt;34),"",--MID('Key Analysis'!$C123,34,1))</f>
        <v/>
      </c>
      <c r="FQ127" s="29" t="str">
        <f>IF(OR($B127="",$A127&lt;35),"",--MID('Key Analysis'!$C123,35,1))</f>
        <v/>
      </c>
      <c r="FR127" s="29" t="str">
        <f>IF(OR($B127="",$A127&lt;36),"",--MID('Key Analysis'!$C123,36,1))</f>
        <v/>
      </c>
      <c r="FS127" s="29" t="str">
        <f>IF(OR($B127="",$A127&lt;37),"",--MID('Key Analysis'!$C123,37,1))</f>
        <v/>
      </c>
      <c r="FT127" s="29" t="str">
        <f>IF(OR($B127="",$A127&lt;38),"",--MID('Key Analysis'!$C123,38,1))</f>
        <v/>
      </c>
      <c r="FU127" s="29" t="str">
        <f>IF(OR($B127="",$A127&lt;39),"",--MID('Key Analysis'!$C123,39,1))</f>
        <v/>
      </c>
      <c r="FV127" s="29" t="str">
        <f>IF(OR($B127="",$A127&lt;40),"",--MID('Key Analysis'!$C123,40,1))</f>
        <v/>
      </c>
      <c r="FW127" s="29" t="str">
        <f>IF(OR($B127="",$A127&lt;41),"",--MID('Key Analysis'!$C123,41,1))</f>
        <v/>
      </c>
      <c r="FX127" s="29" t="str">
        <f>IF(OR($B127="",$A127&lt;42),"",--MID('Key Analysis'!$C123,42,1))</f>
        <v/>
      </c>
      <c r="FY127" s="29" t="str">
        <f>IF(OR($B127="",$A127&lt;43),"",--MID('Key Analysis'!$C123,43,1))</f>
        <v/>
      </c>
      <c r="FZ127" s="29" t="str">
        <f>IF(OR($B127="",$A127&lt;44),"",--MID('Key Analysis'!$C123,44,1))</f>
        <v/>
      </c>
      <c r="GA127" s="29" t="str">
        <f>IF(OR($B127="",$A127&lt;45),"",--MID('Key Analysis'!$C123,45,1))</f>
        <v/>
      </c>
      <c r="GB127" s="29" t="str">
        <f>IF(OR($B127="",$A127&lt;46),"",--MID('Key Analysis'!$C123,46,1))</f>
        <v/>
      </c>
      <c r="GC127" s="29" t="str">
        <f>IF(OR($B127="",$A127&lt;47),"",--MID('Key Analysis'!$C123,47,1))</f>
        <v/>
      </c>
      <c r="GD127" s="29" t="str">
        <f>IF(OR($B127="",$A127&lt;48),"",--MID('Key Analysis'!$C123,48,1))</f>
        <v/>
      </c>
      <c r="GE127" s="29" t="str">
        <f>IF(OR($B127="",$A127&lt;49),"",--MID('Key Analysis'!$C123,49,1))</f>
        <v/>
      </c>
      <c r="GF127" s="29" t="str">
        <f>IF(OR($B127="",$A127&lt;50),"",--MID('Key Analysis'!$C123,50,1))</f>
        <v/>
      </c>
      <c r="GG127" s="29" t="str">
        <f>IF(OR($B127="",$A127&lt;51),"",--MID('Key Analysis'!$C123,51,1))</f>
        <v/>
      </c>
      <c r="GH127" s="29" t="str">
        <f>IF(OR($B127="",$A127&lt;52),"",--MID('Key Analysis'!$C123,52,1))</f>
        <v/>
      </c>
      <c r="GI127" s="29" t="str">
        <f>IF(OR($B127="",$A127&lt;53),"",--MID('Key Analysis'!$C123,53,1))</f>
        <v/>
      </c>
      <c r="GJ127" s="29" t="str">
        <f>IF(OR($B127="",$A127&lt;54),"",--MID('Key Analysis'!$C123,54,1))</f>
        <v/>
      </c>
      <c r="GK127" s="29" t="str">
        <f>IF(OR($B127="",$A127&lt;55),"",--MID('Key Analysis'!$C123,55,1))</f>
        <v/>
      </c>
      <c r="GL127" s="29" t="str">
        <f>IF(OR($B127="",$A127&lt;56),"",--MID('Key Analysis'!$C123,56,1))</f>
        <v/>
      </c>
      <c r="GM127" s="29" t="str">
        <f>IF(OR($B127="",$A127&lt;57),"",--MID('Key Analysis'!$C123,57,1))</f>
        <v/>
      </c>
      <c r="GN127" s="29" t="str">
        <f>IF(OR($B127="",$A127&lt;58),"",--MID('Key Analysis'!$C123,58,1))</f>
        <v/>
      </c>
      <c r="GO127" s="29" t="str">
        <f>IF(OR($B127="",$A127&lt;59),"",--MID('Key Analysis'!$C123,59,1))</f>
        <v/>
      </c>
      <c r="GP127" s="29" t="str">
        <f>IF(OR($B127="",$A127&lt;60),"",--MID('Key Analysis'!$C123,60,1))</f>
        <v/>
      </c>
      <c r="GQ127" s="29" t="str">
        <f>IF(OR($B127="",$A127&lt;61),"",--MID('Key Analysis'!$C123,61,1))</f>
        <v/>
      </c>
      <c r="GR127" s="29" t="str">
        <f>IF(OR($B127="",$A127&lt;62),"",--MID('Key Analysis'!$C123,62,1))</f>
        <v/>
      </c>
      <c r="GS127" s="29" t="str">
        <f>IF(OR($B127="",$A127&lt;63),"",--MID('Key Analysis'!$C123,63,1))</f>
        <v/>
      </c>
      <c r="GT127" s="29" t="str">
        <f>IF(OR($B127="",$A127&lt;64),"",--MID('Key Analysis'!$C123,64,1))</f>
        <v/>
      </c>
      <c r="GU127" s="29" t="str">
        <f>IF(OR($B127="",$A127&lt;65),"",--MID('Key Analysis'!$C123,65,1))</f>
        <v/>
      </c>
      <c r="GV127" s="29" t="str">
        <f>IF(OR($B127="",$A127&lt;66),"",--MID('Key Analysis'!$C123,66,1))</f>
        <v/>
      </c>
      <c r="GW127" s="29" t="str">
        <f>IF(OR($B127="",$A127&lt;67),"",--MID('Key Analysis'!$C123,67,1))</f>
        <v/>
      </c>
      <c r="GX127" s="29" t="str">
        <f>IF(OR($B127="",$A127&lt;68),"",--MID('Key Analysis'!$C123,68,1))</f>
        <v/>
      </c>
      <c r="GY127" s="29" t="str">
        <f>IF(OR($B127="",$A127&lt;69),"",--MID('Key Analysis'!$C123,69,1))</f>
        <v/>
      </c>
      <c r="GZ127" s="29" t="str">
        <f>IF(OR($B127="",$A127&lt;70),"",--MID('Key Analysis'!$C123,70,1))</f>
        <v/>
      </c>
      <c r="HA127" s="29" t="str">
        <f>IF(OR($B127="",$A127&lt;71),"",--MID('Key Analysis'!$C123,71,1))</f>
        <v/>
      </c>
      <c r="HB127" s="29" t="str">
        <f>IF(OR($B127="",$A127&lt;72),"",--MID('Key Analysis'!$C123,72,1))</f>
        <v/>
      </c>
      <c r="HC127" s="29" t="str">
        <f>IF(OR($B127="",$A127&lt;73),"",--MID('Key Analysis'!$C123,73,1))</f>
        <v/>
      </c>
      <c r="HD127" s="29" t="str">
        <f>IF(OR($B127="",$A127&lt;74),"",--MID('Key Analysis'!$C123,74,1))</f>
        <v/>
      </c>
      <c r="HE127" s="29" t="str">
        <f>IF(OR($B127="",$A127&lt;75),"",--MID('Key Analysis'!$C123,75,1))</f>
        <v/>
      </c>
      <c r="HF127" s="29" t="str">
        <f>IF(OR($B127="",$A127&lt;76),"",--MID('Key Analysis'!$C123,76,1))</f>
        <v/>
      </c>
      <c r="HG127" s="29" t="str">
        <f>IF(OR($B127="",$A127&lt;77),"",--MID('Key Analysis'!$C123,77,1))</f>
        <v/>
      </c>
      <c r="HH127" s="29" t="str">
        <f>IF(OR($B127="",$A127&lt;78),"",--MID('Key Analysis'!$C123,78,1))</f>
        <v/>
      </c>
      <c r="HI127" s="29" t="str">
        <f>IF(OR($B127="",$A127&lt;79),"",--MID('Key Analysis'!$C123,79,1))</f>
        <v/>
      </c>
      <c r="HJ127" s="29" t="str">
        <f>IF(OR($B127="",$A127&lt;80),"",--MID('Key Analysis'!$C123,80,1))</f>
        <v/>
      </c>
      <c r="HK127" s="29" t="str">
        <f>IF(OR($B127="",$A127&lt;81),"",--MID('Key Analysis'!$C123,81,1))</f>
        <v/>
      </c>
      <c r="HL127" s="29" t="str">
        <f>IF(OR($B127="",$A127&lt;82),"",--MID('Key Analysis'!$C123,82,1))</f>
        <v/>
      </c>
      <c r="HM127" s="29" t="str">
        <f>IF(OR($B127="",$A127&lt;83),"",--MID('Key Analysis'!$C123,83,1))</f>
        <v/>
      </c>
      <c r="HN127" s="29" t="str">
        <f>IF(OR($B127="",$A127&lt;84),"",--MID('Key Analysis'!$C123,84,1))</f>
        <v/>
      </c>
      <c r="HO127" s="29" t="str">
        <f>IF(OR($B127="",$A127&lt;85),"",--MID('Key Analysis'!$C123,85,1))</f>
        <v/>
      </c>
      <c r="HP127" s="29" t="str">
        <f>IF(OR($B127="",$A127&lt;86),"",--MID('Key Analysis'!$C123,86,1))</f>
        <v/>
      </c>
      <c r="HQ127" s="29" t="str">
        <f>IF(OR($B127="",$A127&lt;87),"",--MID('Key Analysis'!$C123,87,1))</f>
        <v/>
      </c>
      <c r="HR127" s="29" t="str">
        <f>IF(OR($B127="",$A127&lt;88),"",--MID('Key Analysis'!$C123,88,1))</f>
        <v/>
      </c>
      <c r="HS127" s="29" t="str">
        <f>IF(OR($B127="",$A127&lt;89),"",--MID('Key Analysis'!$C123,89,1))</f>
        <v/>
      </c>
      <c r="HT127" s="29" t="str">
        <f>IF(OR($B127="",$A127&lt;90),"",--MID('Key Analysis'!$C123,90,1))</f>
        <v/>
      </c>
      <c r="HU127" s="29" t="str">
        <f>IF(OR($B127="",$A127&lt;91),"",--MID('Key Analysis'!$C123,91,1))</f>
        <v/>
      </c>
      <c r="HV127" s="29" t="str">
        <f>IF(OR($B127="",$A127&lt;92),"",--MID('Key Analysis'!$C123,92,1))</f>
        <v/>
      </c>
      <c r="HW127" s="29" t="str">
        <f>IF(OR($B127="",$A127&lt;93),"",--MID('Key Analysis'!$C123,93,1))</f>
        <v/>
      </c>
      <c r="HX127" s="29" t="str">
        <f>IF(OR($B127="",$A127&lt;94),"",--MID('Key Analysis'!$C123,94,1))</f>
        <v/>
      </c>
      <c r="HY127" s="29" t="str">
        <f>IF(OR($B127="",$A127&lt;95),"",--MID('Key Analysis'!$C123,95,1))</f>
        <v/>
      </c>
      <c r="HZ127" s="29" t="str">
        <f>IF(OR($B127="",$A127&lt;96),"",--MID('Key Analysis'!$C123,96,1))</f>
        <v/>
      </c>
      <c r="IA127" s="29" t="str">
        <f>IF(OR($B127="",$A127&lt;97),"",--MID('Key Analysis'!$C123,97,1))</f>
        <v/>
      </c>
      <c r="IB127" s="29" t="str">
        <f>IF(OR($B127="",$A127&lt;98),"",--MID('Key Analysis'!$C123,98,1))</f>
        <v/>
      </c>
      <c r="IC127" s="29" t="str">
        <f>IF(OR($B127="",$A127&lt;99),"",--MID('Key Analysis'!$C123,99,1))</f>
        <v/>
      </c>
      <c r="ID127" s="29" t="str">
        <f>IF(OR($B127="",$A127&lt;100),"",--MID('Key Analysis'!$C123,100,1))</f>
        <v/>
      </c>
      <c r="IE127" s="29" t="str">
        <f>IF(OR($B127="",$A127&lt;101),"",--MID('Key Analysis'!$C123,101,1))</f>
        <v/>
      </c>
      <c r="IF127" s="29" t="str">
        <f>IF(OR($B127="",$A127&lt;102),"",--MID('Key Analysis'!$C123,102,1))</f>
        <v/>
      </c>
      <c r="IG127" s="29" t="str">
        <f>IF(OR($B127="",$A127&lt;103),"",--MID('Key Analysis'!$C123,103,1))</f>
        <v/>
      </c>
      <c r="IH127" s="29" t="str">
        <f>IF(OR($B127="",$A127&lt;104),"",--MID('Key Analysis'!$C123,104,1))</f>
        <v/>
      </c>
      <c r="II127" s="29" t="str">
        <f>IF(OR($B127="",$A127&lt;105),"",--MID('Key Analysis'!$C123,105,1))</f>
        <v/>
      </c>
      <c r="IJ127" s="29" t="str">
        <f>IF(OR($B127="",$A127&lt;106),"",--MID('Key Analysis'!$C123,106,1))</f>
        <v/>
      </c>
      <c r="IK127" s="29" t="str">
        <f>IF(OR($B127="",$A127&lt;107),"",--MID('Key Analysis'!$C123,107,1))</f>
        <v/>
      </c>
      <c r="IL127" s="29" t="str">
        <f>IF(OR($B127="",$A127&lt;108),"",--MID('Key Analysis'!$C123,108,1))</f>
        <v/>
      </c>
      <c r="IM127" s="29" t="str">
        <f>IF(OR($B127="",$A127&lt;109),"",--MID('Key Analysis'!$C123,109,1))</f>
        <v/>
      </c>
      <c r="IN127" s="29" t="str">
        <f>IF(OR($B127="",$A127&lt;110),"",--MID('Key Analysis'!$C123,110,1))</f>
        <v/>
      </c>
      <c r="IO127" s="29" t="str">
        <f>IF(OR($B127="",$A127&lt;111),"",--MID('Key Analysis'!$C123,111,1))</f>
        <v/>
      </c>
      <c r="IP127" s="29" t="str">
        <f>IF(OR($B127="",$A127&lt;112),"",--MID('Key Analysis'!$C123,112,1))</f>
        <v/>
      </c>
      <c r="IQ127" s="29" t="str">
        <f>IF(OR($B127="",$A127&lt;113),"",--MID('Key Analysis'!$C123,113,1))</f>
        <v/>
      </c>
      <c r="IR127" s="29" t="str">
        <f>IF(OR($B127="",$A127&lt;114),"",--MID('Key Analysis'!$C123,114,1))</f>
        <v/>
      </c>
      <c r="IS127" s="29" t="str">
        <f>IF(OR($B127="",$A127&lt;115),"",--MID('Key Analysis'!$C123,115,1))</f>
        <v/>
      </c>
      <c r="IT127" s="29" t="str">
        <f>IF(OR($B127="",$A127&lt;116),"",--MID('Key Analysis'!$C123,116,1))</f>
        <v/>
      </c>
      <c r="IU127" s="29" t="str">
        <f>IF(OR($B127="",$A127&lt;117),"",--MID('Key Analysis'!$C123,117,1))</f>
        <v/>
      </c>
      <c r="IV127" s="29" t="str">
        <f>IF(OR($B127="",$A127&lt;118),"",--MID('Key Analysis'!$C123,118,1))</f>
        <v/>
      </c>
      <c r="IW127" s="29" t="str">
        <f>IF(OR($B127="",$A127&lt;119),"",--MID('Key Analysis'!$C123,119,1))</f>
        <v/>
      </c>
      <c r="IX127" s="29" t="str">
        <f>IF(OR($B127="",$A127&lt;120),"",--MID('Key Analysis'!$C123,120,1))</f>
        <v/>
      </c>
      <c r="IY127" s="29" t="str">
        <f>IF(OR($B127="",$A127&lt;121),"",--MID('Key Analysis'!$C123,121,1))</f>
        <v/>
      </c>
      <c r="IZ127" s="29" t="str">
        <f>IF(OR($B127="",$A127&lt;122),"",--MID('Key Analysis'!$C123,122,1))</f>
        <v/>
      </c>
      <c r="JA127" s="29" t="str">
        <f>IF(OR($B127="",$A127&lt;123),"",--MID('Key Analysis'!$C123,123,1))</f>
        <v/>
      </c>
      <c r="JB127" s="29" t="str">
        <f>IF(OR($B127="",$A127&lt;124),"",--MID('Key Analysis'!$C123,124,1))</f>
        <v/>
      </c>
      <c r="JC127" s="29" t="str">
        <f>IF(OR($B127="",$A127&lt;125),"",--MID('Key Analysis'!$C123,125,1))</f>
        <v/>
      </c>
      <c r="JD127" s="29" t="str">
        <f>IF(OR($B127="",$A127&lt;126),"",--MID('Key Analysis'!$C123,126,1))</f>
        <v/>
      </c>
      <c r="JE127" s="29" t="str">
        <f>IF(OR($B127="",$A127&lt;127),"",--MID('Key Analysis'!$C123,127,1))</f>
        <v/>
      </c>
      <c r="JF127" s="29" t="str">
        <f>IF(OR($B127="",$A127&lt;128),"",--MID('Key Analysis'!$C123,128,1))</f>
        <v/>
      </c>
      <c r="JG127" s="29" t="str">
        <f>IF(OR($B127="",$A127&lt;129),"",--MID('Key Analysis'!$C123,129,1))</f>
        <v/>
      </c>
      <c r="JH127" s="29" t="str">
        <f>IF(OR($B127="",$A127&lt;130),"",--MID('Key Analysis'!$C123,130,1))</f>
        <v/>
      </c>
      <c r="JI127" s="29" t="str">
        <f>IF(OR($B127="",$A127&lt;131),"",--MID('Key Analysis'!$C123,131,1))</f>
        <v/>
      </c>
      <c r="JJ127" s="29" t="str">
        <f>IF(OR($B127="",$A127&lt;132),"",--MID('Key Analysis'!$C123,132,1))</f>
        <v/>
      </c>
      <c r="JK127" s="29" t="str">
        <f>IF(OR($B127="",$A127&lt;133),"",--MID('Key Analysis'!$C123,133,1))</f>
        <v/>
      </c>
      <c r="JL127" s="29" t="str">
        <f>IF(OR($B127="",$A127&lt;134),"",--MID('Key Analysis'!$C123,134,1))</f>
        <v/>
      </c>
      <c r="JM127" s="29" t="str">
        <f>IF(OR($B127="",$A127&lt;135),"",--MID('Key Analysis'!$C123,135,1))</f>
        <v/>
      </c>
    </row>
    <row r="128" spans="1:273" x14ac:dyDescent="0.25">
      <c r="A128" s="21">
        <f>'Key Analysis'!A124</f>
        <v>123</v>
      </c>
      <c r="B128" s="30" t="str">
        <f>'Key Analysis'!B124</f>
        <v/>
      </c>
      <c r="C128" s="29" t="str">
        <f>IF(OR($B128="",$A128&lt;=0),"",--MID('Key Analysis'!$C124,$A128-0,1))</f>
        <v/>
      </c>
      <c r="D128" s="29" t="str">
        <f>IF(OR($B128="",$A128&lt;=1),"",--MID('Key Analysis'!$C124,$A128-1,1))</f>
        <v/>
      </c>
      <c r="E128" s="29" t="str">
        <f>IF(OR($B128="",$A128&lt;=2),"",--MID('Key Analysis'!$C124,$A128-2,1))</f>
        <v/>
      </c>
      <c r="F128" s="29" t="str">
        <f>IF(OR($B128="",$A128&lt;=3),"",--MID('Key Analysis'!$C124,$A128-3,1))</f>
        <v/>
      </c>
      <c r="G128" s="29" t="str">
        <f>IF(OR($B128="",$A128&lt;=4),"",--MID('Key Analysis'!$C124,$A128-4,1))</f>
        <v/>
      </c>
      <c r="H128" s="29" t="str">
        <f>IF(OR($B128="",$A128&lt;=5),"",--MID('Key Analysis'!$C124,$A128-5,1))</f>
        <v/>
      </c>
      <c r="I128" s="29" t="str">
        <f>IF(OR($B128="",$A128&lt;=6),"",--MID('Key Analysis'!$C124,$A128-6,1))</f>
        <v/>
      </c>
      <c r="J128" s="29" t="str">
        <f>IF(OR($B128="",$A128&lt;=7),"",--MID('Key Analysis'!$C124,$A128-7,1))</f>
        <v/>
      </c>
      <c r="K128" s="29" t="str">
        <f>IF(OR($B128="",$A128&lt;=8),"",--MID('Key Analysis'!$C124,$A128-8,1))</f>
        <v/>
      </c>
      <c r="L128" s="29" t="str">
        <f>IF(OR($B128="",$A128&lt;=9),"",--MID('Key Analysis'!$C124,$A128-9,1))</f>
        <v/>
      </c>
      <c r="M128" s="29" t="str">
        <f>IF(OR($B128="",$A128&lt;=10),"",--MID('Key Analysis'!$C124,$A128-10,1))</f>
        <v/>
      </c>
      <c r="N128" s="29" t="str">
        <f>IF(OR($B128="",$A128&lt;=11),"",--MID('Key Analysis'!$C124,$A128-11,1))</f>
        <v/>
      </c>
      <c r="O128" s="29" t="str">
        <f>IF(OR($B128="",$A128&lt;=12),"",--MID('Key Analysis'!$C124,$A128-12,1))</f>
        <v/>
      </c>
      <c r="P128" s="29" t="str">
        <f>IF(OR($B128="",$A128&lt;=13),"",--MID('Key Analysis'!$C124,$A128-13,1))</f>
        <v/>
      </c>
      <c r="Q128" s="29" t="str">
        <f>IF(OR($B128="",$A128&lt;=14),"",--MID('Key Analysis'!$C124,$A128-14,1))</f>
        <v/>
      </c>
      <c r="R128" s="29" t="str">
        <f>IF(OR($B128="",$A128&lt;=15),"",--MID('Key Analysis'!$C124,$A128-15,1))</f>
        <v/>
      </c>
      <c r="S128" s="29" t="str">
        <f>IF(OR($B128="",$A128&lt;=16),"",--MID('Key Analysis'!$C124,$A128-16,1))</f>
        <v/>
      </c>
      <c r="T128" s="29" t="str">
        <f>IF(OR($B128="",$A128&lt;=17),"",--MID('Key Analysis'!$C124,$A128-17,1))</f>
        <v/>
      </c>
      <c r="U128" s="29" t="str">
        <f>IF(OR($B128="",$A128&lt;=18),"",--MID('Key Analysis'!$C124,$A128-18,1))</f>
        <v/>
      </c>
      <c r="V128" s="29" t="str">
        <f>IF(OR($B128="",$A128&lt;=19),"",--MID('Key Analysis'!$C124,$A128-19,1))</f>
        <v/>
      </c>
      <c r="W128" s="29" t="str">
        <f>IF(OR($B128="",$A128&lt;=20),"",--MID('Key Analysis'!$C124,$A128-20,1))</f>
        <v/>
      </c>
      <c r="X128" s="29" t="str">
        <f>IF(OR($B128="",$A128&lt;=21),"",--MID('Key Analysis'!$C124,$A128-21,1))</f>
        <v/>
      </c>
      <c r="Y128" s="29" t="str">
        <f>IF(OR($B128="",$A128&lt;=22),"",--MID('Key Analysis'!$C124,$A128-22,1))</f>
        <v/>
      </c>
      <c r="Z128" s="29" t="str">
        <f>IF(OR($B128="",$A128&lt;=23),"",--MID('Key Analysis'!$C124,$A128-23,1))</f>
        <v/>
      </c>
      <c r="AA128" s="29" t="str">
        <f>IF(OR($B128="",$A128&lt;=24),"",--MID('Key Analysis'!$C124,$A128-24,1))</f>
        <v/>
      </c>
      <c r="AB128" s="29" t="str">
        <f>IF(OR($B128="",$A128&lt;=25),"",--MID('Key Analysis'!$C124,$A128-25,1))</f>
        <v/>
      </c>
      <c r="AC128" s="29" t="str">
        <f>IF(OR($B128="",$A128&lt;=26),"",--MID('Key Analysis'!$C124,$A128-26,1))</f>
        <v/>
      </c>
      <c r="AD128" s="29" t="str">
        <f>IF(OR($B128="",$A128&lt;=27),"",--MID('Key Analysis'!$C124,$A128-27,1))</f>
        <v/>
      </c>
      <c r="AE128" s="29" t="str">
        <f>IF(OR($B128="",$A128&lt;=28),"",--MID('Key Analysis'!$C124,$A128-28,1))</f>
        <v/>
      </c>
      <c r="AF128" s="29" t="str">
        <f>IF(OR($B128="",$A128&lt;=29),"",--MID('Key Analysis'!$C124,$A128-29,1))</f>
        <v/>
      </c>
      <c r="AG128" s="29" t="str">
        <f>IF(OR($B128="",$A128&lt;=30),"",--MID('Key Analysis'!$C124,$A128-30,1))</f>
        <v/>
      </c>
      <c r="AH128" s="29" t="str">
        <f>IF(OR($B128="",$A128&lt;=31),"",--MID('Key Analysis'!$C124,$A128-31,1))</f>
        <v/>
      </c>
      <c r="AI128" s="29" t="str">
        <f>IF(OR($B128="",$A128&lt;=32),"",--MID('Key Analysis'!$C124,$A128-32,1))</f>
        <v/>
      </c>
      <c r="AJ128" s="29" t="str">
        <f>IF(OR($B128="",$A128&lt;=33),"",--MID('Key Analysis'!$C124,$A128-33,1))</f>
        <v/>
      </c>
      <c r="AK128" s="29" t="str">
        <f>IF(OR($B128="",$A128&lt;=34),"",--MID('Key Analysis'!$C124,$A128-34,1))</f>
        <v/>
      </c>
      <c r="AL128" s="29" t="str">
        <f>IF(OR($B128="",$A128&lt;=35),"",--MID('Key Analysis'!$C124,$A128-35,1))</f>
        <v/>
      </c>
      <c r="AM128" s="29" t="str">
        <f>IF(OR($B128="",$A128&lt;=36),"",--MID('Key Analysis'!$C124,$A128-36,1))</f>
        <v/>
      </c>
      <c r="AN128" s="29" t="str">
        <f>IF(OR($B128="",$A128&lt;=37),"",--MID('Key Analysis'!$C124,$A128-37,1))</f>
        <v/>
      </c>
      <c r="AO128" s="29" t="str">
        <f>IF(OR($B128="",$A128&lt;=38),"",--MID('Key Analysis'!$C124,$A128-38,1))</f>
        <v/>
      </c>
      <c r="AP128" s="29" t="str">
        <f>IF(OR($B128="",$A128&lt;=39),"",--MID('Key Analysis'!$C124,$A128-39,1))</f>
        <v/>
      </c>
      <c r="AQ128" s="29" t="str">
        <f>IF(OR($B128="",$A128&lt;=40),"",--MID('Key Analysis'!$C124,$A128-40,1))</f>
        <v/>
      </c>
      <c r="AR128" s="29" t="str">
        <f>IF(OR($B128="",$A128&lt;=41),"",--MID('Key Analysis'!$C124,$A128-41,1))</f>
        <v/>
      </c>
      <c r="AS128" s="29" t="str">
        <f>IF(OR($B128="",$A128&lt;=42),"",--MID('Key Analysis'!$C124,$A128-42,1))</f>
        <v/>
      </c>
      <c r="AT128" s="29" t="str">
        <f>IF(OR($B128="",$A128&lt;=43),"",--MID('Key Analysis'!$C124,$A128-43,1))</f>
        <v/>
      </c>
      <c r="AU128" s="29" t="str">
        <f>IF(OR($B128="",$A128&lt;=44),"",--MID('Key Analysis'!$C124,$A128-44,1))</f>
        <v/>
      </c>
      <c r="AV128" s="29" t="str">
        <f>IF(OR($B128="",$A128&lt;=45),"",--MID('Key Analysis'!$C124,$A128-45,1))</f>
        <v/>
      </c>
      <c r="AW128" s="29" t="str">
        <f>IF(OR($B128="",$A128&lt;=46),"",--MID('Key Analysis'!$C124,$A128-46,1))</f>
        <v/>
      </c>
      <c r="AX128" s="29" t="str">
        <f>IF(OR($B128="",$A128&lt;=47),"",--MID('Key Analysis'!$C124,$A128-47,1))</f>
        <v/>
      </c>
      <c r="AY128" s="29" t="str">
        <f>IF(OR($B128="",$A128&lt;=48),"",--MID('Key Analysis'!$C124,$A128-48,1))</f>
        <v/>
      </c>
      <c r="AZ128" s="29" t="str">
        <f>IF(OR($B128="",$A128&lt;=49),"",--MID('Key Analysis'!$C124,$A128-49,1))</f>
        <v/>
      </c>
      <c r="BA128" s="29" t="str">
        <f>IF(OR($B128="",$A128&lt;=50),"",--MID('Key Analysis'!$C124,$A128-50,1))</f>
        <v/>
      </c>
      <c r="BB128" s="29" t="str">
        <f>IF(OR($B128="",$A128&lt;=51),"",--MID('Key Analysis'!$C124,$A128-51,1))</f>
        <v/>
      </c>
      <c r="BC128" s="29" t="str">
        <f>IF(OR($B128="",$A128&lt;=52),"",--MID('Key Analysis'!$C124,$A128-52,1))</f>
        <v/>
      </c>
      <c r="BD128" s="29" t="str">
        <f>IF(OR($B128="",$A128&lt;=53),"",--MID('Key Analysis'!$C124,$A128-53,1))</f>
        <v/>
      </c>
      <c r="BE128" s="29" t="str">
        <f>IF(OR($B128="",$A128&lt;=54),"",--MID('Key Analysis'!$C124,$A128-54,1))</f>
        <v/>
      </c>
      <c r="BF128" s="29" t="str">
        <f>IF(OR($B128="",$A128&lt;=55),"",--MID('Key Analysis'!$C124,$A128-55,1))</f>
        <v/>
      </c>
      <c r="BG128" s="29" t="str">
        <f>IF(OR($B128="",$A128&lt;=56),"",--MID('Key Analysis'!$C124,$A128-56,1))</f>
        <v/>
      </c>
      <c r="BH128" s="29" t="str">
        <f>IF(OR($B128="",$A128&lt;=57),"",--MID('Key Analysis'!$C124,$A128-57,1))</f>
        <v/>
      </c>
      <c r="BI128" s="29" t="str">
        <f>IF(OR($B128="",$A128&lt;=58),"",--MID('Key Analysis'!$C124,$A128-58,1))</f>
        <v/>
      </c>
      <c r="BJ128" s="29" t="str">
        <f>IF(OR($B128="",$A128&lt;=59),"",--MID('Key Analysis'!$C124,$A128-59,1))</f>
        <v/>
      </c>
      <c r="BK128" s="29" t="str">
        <f>IF(OR($B128="",$A128&lt;=60),"",--MID('Key Analysis'!$C124,$A128-60,1))</f>
        <v/>
      </c>
      <c r="BL128" s="29" t="str">
        <f>IF(OR($B128="",$A128&lt;=61),"",--MID('Key Analysis'!$C124,$A128-61,1))</f>
        <v/>
      </c>
      <c r="BM128" s="29" t="str">
        <f>IF(OR($B128="",$A128&lt;=62),"",--MID('Key Analysis'!$C124,$A128-62,1))</f>
        <v/>
      </c>
      <c r="BN128" s="29" t="str">
        <f>IF(OR($B128="",$A128&lt;=63),"",--MID('Key Analysis'!$C124,$A128-63,1))</f>
        <v/>
      </c>
      <c r="BO128" s="29" t="str">
        <f>IF(OR($B128="",$A128&lt;=64),"",--MID('Key Analysis'!$C124,$A128-64,1))</f>
        <v/>
      </c>
      <c r="BP128" s="29" t="str">
        <f>IF(OR($B128="",$A128&lt;=65),"",--MID('Key Analysis'!$C124,$A128-65,1))</f>
        <v/>
      </c>
      <c r="BQ128" s="29" t="str">
        <f>IF(OR($B128="",$A128&lt;=66),"",--MID('Key Analysis'!$C124,$A128-66,1))</f>
        <v/>
      </c>
      <c r="BR128" s="29" t="str">
        <f>IF(OR($B128="",$A128&lt;=67),"",--MID('Key Analysis'!$C124,$A128-67,1))</f>
        <v/>
      </c>
      <c r="BS128" s="29" t="str">
        <f>IF(OR($B128="",$A128&lt;=68),"",--MID('Key Analysis'!$C124,$A128-68,1))</f>
        <v/>
      </c>
      <c r="BT128" s="29" t="str">
        <f>IF(OR($B128="",$A128&lt;=69),"",--MID('Key Analysis'!$C124,$A128-69,1))</f>
        <v/>
      </c>
      <c r="BU128" s="29" t="str">
        <f>IF(OR($B128="",$A128&lt;=70),"",--MID('Key Analysis'!$C124,$A128-70,1))</f>
        <v/>
      </c>
      <c r="BV128" s="29" t="str">
        <f>IF(OR($B128="",$A128&lt;=71),"",--MID('Key Analysis'!$C124,$A128-71,1))</f>
        <v/>
      </c>
      <c r="BW128" s="29" t="str">
        <f>IF(OR($B128="",$A128&lt;=72),"",--MID('Key Analysis'!$C124,$A128-72,1))</f>
        <v/>
      </c>
      <c r="BX128" s="29" t="str">
        <f>IF(OR($B128="",$A128&lt;=73),"",--MID('Key Analysis'!$C124,$A128-73,1))</f>
        <v/>
      </c>
      <c r="BY128" s="29" t="str">
        <f>IF(OR($B128="",$A128&lt;=74),"",--MID('Key Analysis'!$C124,$A128-74,1))</f>
        <v/>
      </c>
      <c r="BZ128" s="29" t="str">
        <f>IF(OR($B128="",$A128&lt;=75),"",--MID('Key Analysis'!$C124,$A128-75,1))</f>
        <v/>
      </c>
      <c r="CA128" s="29" t="str">
        <f>IF(OR($B128="",$A128&lt;=76),"",--MID('Key Analysis'!$C124,$A128-76,1))</f>
        <v/>
      </c>
      <c r="CB128" s="29" t="str">
        <f>IF(OR($B128="",$A128&lt;=77),"",--MID('Key Analysis'!$C124,$A128-77,1))</f>
        <v/>
      </c>
      <c r="CC128" s="29" t="str">
        <f>IF(OR($B128="",$A128&lt;=78),"",--MID('Key Analysis'!$C124,$A128-78,1))</f>
        <v/>
      </c>
      <c r="CD128" s="29" t="str">
        <f>IF(OR($B128="",$A128&lt;=79),"",--MID('Key Analysis'!$C124,$A128-79,1))</f>
        <v/>
      </c>
      <c r="CE128" s="29" t="str">
        <f>IF(OR($B128="",$A128&lt;=80),"",--MID('Key Analysis'!$C124,$A128-80,1))</f>
        <v/>
      </c>
      <c r="CF128" s="29" t="str">
        <f>IF(OR($B128="",$A128&lt;=81),"",--MID('Key Analysis'!$C124,$A128-81,1))</f>
        <v/>
      </c>
      <c r="CG128" s="29" t="str">
        <f>IF(OR($B128="",$A128&lt;=82),"",--MID('Key Analysis'!$C124,$A128-82,1))</f>
        <v/>
      </c>
      <c r="CH128" s="29" t="str">
        <f>IF(OR($B128="",$A128&lt;=83),"",--MID('Key Analysis'!$C124,$A128-83,1))</f>
        <v/>
      </c>
      <c r="CI128" s="29" t="str">
        <f>IF(OR($B128="",$A128&lt;=84),"",--MID('Key Analysis'!$C124,$A128-84,1))</f>
        <v/>
      </c>
      <c r="CJ128" s="29" t="str">
        <f>IF(OR($B128="",$A128&lt;=85),"",--MID('Key Analysis'!$C124,$A128-85,1))</f>
        <v/>
      </c>
      <c r="CK128" s="29" t="str">
        <f>IF(OR($B128="",$A128&lt;=86),"",--MID('Key Analysis'!$C124,$A128-86,1))</f>
        <v/>
      </c>
      <c r="CL128" s="29" t="str">
        <f>IF(OR($B128="",$A128&lt;=87),"",--MID('Key Analysis'!$C124,$A128-87,1))</f>
        <v/>
      </c>
      <c r="CM128" s="29" t="str">
        <f>IF(OR($B128="",$A128&lt;=88),"",--MID('Key Analysis'!$C124,$A128-88,1))</f>
        <v/>
      </c>
      <c r="CN128" s="29" t="str">
        <f>IF(OR($B128="",$A128&lt;=89),"",--MID('Key Analysis'!$C124,$A128-89,1))</f>
        <v/>
      </c>
      <c r="CO128" s="29" t="str">
        <f>IF(OR($B128="",$A128&lt;=90),"",--MID('Key Analysis'!$C124,$A128-90,1))</f>
        <v/>
      </c>
      <c r="CP128" s="29" t="str">
        <f>IF(OR($B128="",$A128&lt;=91),"",--MID('Key Analysis'!$C124,$A128-91,1))</f>
        <v/>
      </c>
      <c r="CQ128" s="29" t="str">
        <f>IF(OR($B128="",$A128&lt;=92),"",--MID('Key Analysis'!$C124,$A128-92,1))</f>
        <v/>
      </c>
      <c r="CR128" s="29" t="str">
        <f>IF(OR($B128="",$A128&lt;=93),"",--MID('Key Analysis'!$C124,$A128-93,1))</f>
        <v/>
      </c>
      <c r="CS128" s="29" t="str">
        <f>IF(OR($B128="",$A128&lt;=94),"",--MID('Key Analysis'!$C124,$A128-94,1))</f>
        <v/>
      </c>
      <c r="CT128" s="29" t="str">
        <f>IF(OR($B128="",$A128&lt;=95),"",--MID('Key Analysis'!$C124,$A128-95,1))</f>
        <v/>
      </c>
      <c r="CU128" s="29" t="str">
        <f>IF(OR($B128="",$A128&lt;=96),"",--MID('Key Analysis'!$C124,$A128-96,1))</f>
        <v/>
      </c>
      <c r="CV128" s="29" t="str">
        <f>IF(OR($B128="",$A128&lt;=97),"",--MID('Key Analysis'!$C124,$A128-97,1))</f>
        <v/>
      </c>
      <c r="CW128" s="29" t="str">
        <f>IF(OR($B128="",$A128&lt;=98),"",--MID('Key Analysis'!$C124,$A128-98,1))</f>
        <v/>
      </c>
      <c r="CX128" s="29" t="str">
        <f>IF(OR($B128="",$A128&lt;=99),"",--MID('Key Analysis'!$C124,$A128-99,1))</f>
        <v/>
      </c>
      <c r="CY128" s="29" t="str">
        <f>IF(OR($B128="",$A128&lt;=100),"",--MID('Key Analysis'!$C124,$A128-100,1))</f>
        <v/>
      </c>
      <c r="CZ128" s="29" t="str">
        <f>IF(OR($B128="",$A128&lt;=101),"",--MID('Key Analysis'!$C124,$A128-101,1))</f>
        <v/>
      </c>
      <c r="DA128" s="29" t="str">
        <f>IF(OR($B128="",$A128&lt;=102),"",--MID('Key Analysis'!$C124,$A128-102,1))</f>
        <v/>
      </c>
      <c r="DB128" s="29" t="str">
        <f>IF(OR($B128="",$A128&lt;=103),"",--MID('Key Analysis'!$C124,$A128-103,1))</f>
        <v/>
      </c>
      <c r="DC128" s="29" t="str">
        <f>IF(OR($B128="",$A128&lt;=104),"",--MID('Key Analysis'!$C124,$A128-104,1))</f>
        <v/>
      </c>
      <c r="DD128" s="29" t="str">
        <f>IF(OR($B128="",$A128&lt;=105),"",--MID('Key Analysis'!$C124,$A128-105,1))</f>
        <v/>
      </c>
      <c r="DE128" s="29" t="str">
        <f>IF(OR($B128="",$A128&lt;=106),"",--MID('Key Analysis'!$C124,$A128-106,1))</f>
        <v/>
      </c>
      <c r="DF128" s="29" t="str">
        <f>IF(OR($B128="",$A128&lt;=107),"",--MID('Key Analysis'!$C124,$A128-107,1))</f>
        <v/>
      </c>
      <c r="DG128" s="29" t="str">
        <f>IF(OR($B128="",$A128&lt;=108),"",--MID('Key Analysis'!$C124,$A128-108,1))</f>
        <v/>
      </c>
      <c r="DH128" s="29" t="str">
        <f>IF(OR($B128="",$A128&lt;=109),"",--MID('Key Analysis'!$C124,$A128-109,1))</f>
        <v/>
      </c>
      <c r="DI128" s="29" t="str">
        <f>IF(OR($B128="",$A128&lt;=110),"",--MID('Key Analysis'!$C124,$A128-110,1))</f>
        <v/>
      </c>
      <c r="DJ128" s="29" t="str">
        <f>IF(OR($B128="",$A128&lt;=111),"",--MID('Key Analysis'!$C124,$A128-111,1))</f>
        <v/>
      </c>
      <c r="DK128" s="29" t="str">
        <f>IF(OR($B128="",$A128&lt;=112),"",--MID('Key Analysis'!$C124,$A128-112,1))</f>
        <v/>
      </c>
      <c r="DL128" s="29" t="str">
        <f>IF(OR($B128="",$A128&lt;=113),"",--MID('Key Analysis'!$C124,$A128-113,1))</f>
        <v/>
      </c>
      <c r="DM128" s="29" t="str">
        <f>IF(OR($B128="",$A128&lt;=114),"",--MID('Key Analysis'!$C124,$A128-114,1))</f>
        <v/>
      </c>
      <c r="DN128" s="29" t="str">
        <f>IF(OR($B128="",$A128&lt;=115),"",--MID('Key Analysis'!$C124,$A128-115,1))</f>
        <v/>
      </c>
      <c r="DO128" s="29" t="str">
        <f>IF(OR($B128="",$A128&lt;=116),"",--MID('Key Analysis'!$C124,$A128-116,1))</f>
        <v/>
      </c>
      <c r="DP128" s="29" t="str">
        <f>IF(OR($B128="",$A128&lt;=117),"",--MID('Key Analysis'!$C124,$A128-117,1))</f>
        <v/>
      </c>
      <c r="DQ128" s="29" t="str">
        <f>IF(OR($B128="",$A128&lt;=118),"",--MID('Key Analysis'!$C124,$A128-118,1))</f>
        <v/>
      </c>
      <c r="DR128" s="29" t="str">
        <f>IF(OR($B128="",$A128&lt;=119),"",--MID('Key Analysis'!$C124,$A128-119,1))</f>
        <v/>
      </c>
      <c r="DS128" s="29" t="str">
        <f>IF(OR($B128="",$A128&lt;=120),"",--MID('Key Analysis'!$C124,$A128-120,1))</f>
        <v/>
      </c>
      <c r="DT128" s="29" t="str">
        <f>IF(OR($B128="",$A128&lt;=121),"",--MID('Key Analysis'!$C124,$A128-121,1))</f>
        <v/>
      </c>
      <c r="DU128" s="29" t="str">
        <f>IF(OR($B128="",$A128&lt;=122),"",--MID('Key Analysis'!$C124,$A128-122,1))</f>
        <v/>
      </c>
      <c r="DV128" s="29" t="str">
        <f>IF(OR($B128="",$A128&lt;=123),"",--MID('Key Analysis'!$C124,$A128-123,1))</f>
        <v/>
      </c>
      <c r="DW128" s="29" t="str">
        <f>IF(OR($B128="",$A128&lt;=124),"",--MID('Key Analysis'!$C124,$A128-124,1))</f>
        <v/>
      </c>
      <c r="DX128" s="29" t="str">
        <f>IF(OR($B128="",$A128&lt;=125),"",--MID('Key Analysis'!$C124,$A128-125,1))</f>
        <v/>
      </c>
      <c r="DY128" s="29" t="str">
        <f>IF(OR($B128="",$A128&lt;=126),"",--MID('Key Analysis'!$C124,$A128-126,1))</f>
        <v/>
      </c>
      <c r="DZ128" s="29" t="str">
        <f>IF(OR($B128="",$A128&lt;=127),"",--MID('Key Analysis'!$C124,$A128-127,1))</f>
        <v/>
      </c>
      <c r="EA128" s="29" t="str">
        <f>IF(OR($B128="",$A128&lt;=128),"",--MID('Key Analysis'!$C124,$A128-128,1))</f>
        <v/>
      </c>
      <c r="EB128" s="29" t="str">
        <f>IF(OR($B128="",$A128&lt;=129),"",--MID('Key Analysis'!$C124,$A128-129,1))</f>
        <v/>
      </c>
      <c r="EC128" s="29" t="str">
        <f>IF(OR($B128="",$A128&lt;=130),"",--MID('Key Analysis'!$C124,$A128-130,1))</f>
        <v/>
      </c>
      <c r="ED128" s="29" t="str">
        <f>IF(OR($B128="",$A128&lt;=131),"",--MID('Key Analysis'!$C124,$A128-131,1))</f>
        <v/>
      </c>
      <c r="EE128" s="29" t="str">
        <f>IF(OR($B128="",$A128&lt;=132),"",--MID('Key Analysis'!$C124,$A128-132,1))</f>
        <v/>
      </c>
      <c r="EF128" s="29" t="str">
        <f>IF(OR($B128="",$A128&lt;=133),"",--MID('Key Analysis'!$C124,$A128-133,1))</f>
        <v/>
      </c>
      <c r="EG128" s="29" t="str">
        <f>IF(OR($B128="",$A128&lt;=134),"",--MID('Key Analysis'!$C124,$A128-134,1))</f>
        <v/>
      </c>
      <c r="EH128" s="29"/>
      <c r="EI128" s="29" t="str">
        <f>IF(OR($B128="",$A128&lt;1),"",--MID('Key Analysis'!$C124,1,1))</f>
        <v/>
      </c>
      <c r="EJ128" s="29" t="str">
        <f>IF(OR($B128="",$A128&lt;2),"",--MID('Key Analysis'!$C124,2,1))</f>
        <v/>
      </c>
      <c r="EK128" s="29" t="str">
        <f>IF(OR($B128="",$A128&lt;3),"",--MID('Key Analysis'!$C124,3,1))</f>
        <v/>
      </c>
      <c r="EL128" s="29" t="str">
        <f>IF(OR($B128="",$A128&lt;4),"",--MID('Key Analysis'!$C124,4,1))</f>
        <v/>
      </c>
      <c r="EM128" s="29" t="str">
        <f>IF(OR($B128="",$A128&lt;5),"",--MID('Key Analysis'!$C124,5,1))</f>
        <v/>
      </c>
      <c r="EN128" s="29" t="str">
        <f>IF(OR($B128="",$A128&lt;6),"",--MID('Key Analysis'!$C124,6,1))</f>
        <v/>
      </c>
      <c r="EO128" s="29" t="str">
        <f>IF(OR($B128="",$A128&lt;7),"",--MID('Key Analysis'!$C124,7,1))</f>
        <v/>
      </c>
      <c r="EP128" s="29" t="str">
        <f>IF(OR($B128="",$A128&lt;8),"",--MID('Key Analysis'!$C124,8,1))</f>
        <v/>
      </c>
      <c r="EQ128" s="29" t="str">
        <f>IF(OR($B128="",$A128&lt;9),"",--MID('Key Analysis'!$C124,9,1))</f>
        <v/>
      </c>
      <c r="ER128" s="29" t="str">
        <f>IF(OR($B128="",$A128&lt;10),"",--MID('Key Analysis'!$C124,10,1))</f>
        <v/>
      </c>
      <c r="ES128" s="29" t="str">
        <f>IF(OR($B128="",$A128&lt;11),"",--MID('Key Analysis'!$C124,11,1))</f>
        <v/>
      </c>
      <c r="ET128" s="29" t="str">
        <f>IF(OR($B128="",$A128&lt;12),"",--MID('Key Analysis'!$C124,12,1))</f>
        <v/>
      </c>
      <c r="EU128" s="29" t="str">
        <f>IF(OR($B128="",$A128&lt;13),"",--MID('Key Analysis'!$C124,13,1))</f>
        <v/>
      </c>
      <c r="EV128" s="29" t="str">
        <f>IF(OR($B128="",$A128&lt;14),"",--MID('Key Analysis'!$C124,14,1))</f>
        <v/>
      </c>
      <c r="EW128" s="29" t="str">
        <f>IF(OR($B128="",$A128&lt;15),"",--MID('Key Analysis'!$C124,15,1))</f>
        <v/>
      </c>
      <c r="EX128" s="29" t="str">
        <f>IF(OR($B128="",$A128&lt;16),"",--MID('Key Analysis'!$C124,16,1))</f>
        <v/>
      </c>
      <c r="EY128" s="29" t="str">
        <f>IF(OR($B128="",$A128&lt;17),"",--MID('Key Analysis'!$C124,17,1))</f>
        <v/>
      </c>
      <c r="EZ128" s="29" t="str">
        <f>IF(OR($B128="",$A128&lt;18),"",--MID('Key Analysis'!$C124,18,1))</f>
        <v/>
      </c>
      <c r="FA128" s="29" t="str">
        <f>IF(OR($B128="",$A128&lt;19),"",--MID('Key Analysis'!$C124,19,1))</f>
        <v/>
      </c>
      <c r="FB128" s="29" t="str">
        <f>IF(OR($B128="",$A128&lt;20),"",--MID('Key Analysis'!$C124,20,1))</f>
        <v/>
      </c>
      <c r="FC128" s="29" t="str">
        <f>IF(OR($B128="",$A128&lt;21),"",--MID('Key Analysis'!$C124,21,1))</f>
        <v/>
      </c>
      <c r="FD128" s="29" t="str">
        <f>IF(OR($B128="",$A128&lt;22),"",--MID('Key Analysis'!$C124,22,1))</f>
        <v/>
      </c>
      <c r="FE128" s="29" t="str">
        <f>IF(OR($B128="",$A128&lt;23),"",--MID('Key Analysis'!$C124,23,1))</f>
        <v/>
      </c>
      <c r="FF128" s="29" t="str">
        <f>IF(OR($B128="",$A128&lt;24),"",--MID('Key Analysis'!$C124,24,1))</f>
        <v/>
      </c>
      <c r="FG128" s="29" t="str">
        <f>IF(OR($B128="",$A128&lt;25),"",--MID('Key Analysis'!$C124,25,1))</f>
        <v/>
      </c>
      <c r="FH128" s="29" t="str">
        <f>IF(OR($B128="",$A128&lt;26),"",--MID('Key Analysis'!$C124,26,1))</f>
        <v/>
      </c>
      <c r="FI128" s="29" t="str">
        <f>IF(OR($B128="",$A128&lt;27),"",--MID('Key Analysis'!$C124,27,1))</f>
        <v/>
      </c>
      <c r="FJ128" s="29" t="str">
        <f>IF(OR($B128="",$A128&lt;28),"",--MID('Key Analysis'!$C124,28,1))</f>
        <v/>
      </c>
      <c r="FK128" s="29" t="str">
        <f>IF(OR($B128="",$A128&lt;29),"",--MID('Key Analysis'!$C124,29,1))</f>
        <v/>
      </c>
      <c r="FL128" s="29" t="str">
        <f>IF(OR($B128="",$A128&lt;30),"",--MID('Key Analysis'!$C124,30,1))</f>
        <v/>
      </c>
      <c r="FM128" s="29" t="str">
        <f>IF(OR($B128="",$A128&lt;31),"",--MID('Key Analysis'!$C124,31,1))</f>
        <v/>
      </c>
      <c r="FN128" s="29" t="str">
        <f>IF(OR($B128="",$A128&lt;32),"",--MID('Key Analysis'!$C124,32,1))</f>
        <v/>
      </c>
      <c r="FO128" s="29" t="str">
        <f>IF(OR($B128="",$A128&lt;33),"",--MID('Key Analysis'!$C124,33,1))</f>
        <v/>
      </c>
      <c r="FP128" s="29" t="str">
        <f>IF(OR($B128="",$A128&lt;34),"",--MID('Key Analysis'!$C124,34,1))</f>
        <v/>
      </c>
      <c r="FQ128" s="29" t="str">
        <f>IF(OR($B128="",$A128&lt;35),"",--MID('Key Analysis'!$C124,35,1))</f>
        <v/>
      </c>
      <c r="FR128" s="29" t="str">
        <f>IF(OR($B128="",$A128&lt;36),"",--MID('Key Analysis'!$C124,36,1))</f>
        <v/>
      </c>
      <c r="FS128" s="29" t="str">
        <f>IF(OR($B128="",$A128&lt;37),"",--MID('Key Analysis'!$C124,37,1))</f>
        <v/>
      </c>
      <c r="FT128" s="29" t="str">
        <f>IF(OR($B128="",$A128&lt;38),"",--MID('Key Analysis'!$C124,38,1))</f>
        <v/>
      </c>
      <c r="FU128" s="29" t="str">
        <f>IF(OR($B128="",$A128&lt;39),"",--MID('Key Analysis'!$C124,39,1))</f>
        <v/>
      </c>
      <c r="FV128" s="29" t="str">
        <f>IF(OR($B128="",$A128&lt;40),"",--MID('Key Analysis'!$C124,40,1))</f>
        <v/>
      </c>
      <c r="FW128" s="29" t="str">
        <f>IF(OR($B128="",$A128&lt;41),"",--MID('Key Analysis'!$C124,41,1))</f>
        <v/>
      </c>
      <c r="FX128" s="29" t="str">
        <f>IF(OR($B128="",$A128&lt;42),"",--MID('Key Analysis'!$C124,42,1))</f>
        <v/>
      </c>
      <c r="FY128" s="29" t="str">
        <f>IF(OR($B128="",$A128&lt;43),"",--MID('Key Analysis'!$C124,43,1))</f>
        <v/>
      </c>
      <c r="FZ128" s="29" t="str">
        <f>IF(OR($B128="",$A128&lt;44),"",--MID('Key Analysis'!$C124,44,1))</f>
        <v/>
      </c>
      <c r="GA128" s="29" t="str">
        <f>IF(OR($B128="",$A128&lt;45),"",--MID('Key Analysis'!$C124,45,1))</f>
        <v/>
      </c>
      <c r="GB128" s="29" t="str">
        <f>IF(OR($B128="",$A128&lt;46),"",--MID('Key Analysis'!$C124,46,1))</f>
        <v/>
      </c>
      <c r="GC128" s="29" t="str">
        <f>IF(OR($B128="",$A128&lt;47),"",--MID('Key Analysis'!$C124,47,1))</f>
        <v/>
      </c>
      <c r="GD128" s="29" t="str">
        <f>IF(OR($B128="",$A128&lt;48),"",--MID('Key Analysis'!$C124,48,1))</f>
        <v/>
      </c>
      <c r="GE128" s="29" t="str">
        <f>IF(OR($B128="",$A128&lt;49),"",--MID('Key Analysis'!$C124,49,1))</f>
        <v/>
      </c>
      <c r="GF128" s="29" t="str">
        <f>IF(OR($B128="",$A128&lt;50),"",--MID('Key Analysis'!$C124,50,1))</f>
        <v/>
      </c>
      <c r="GG128" s="29" t="str">
        <f>IF(OR($B128="",$A128&lt;51),"",--MID('Key Analysis'!$C124,51,1))</f>
        <v/>
      </c>
      <c r="GH128" s="29" t="str">
        <f>IF(OR($B128="",$A128&lt;52),"",--MID('Key Analysis'!$C124,52,1))</f>
        <v/>
      </c>
      <c r="GI128" s="29" t="str">
        <f>IF(OR($B128="",$A128&lt;53),"",--MID('Key Analysis'!$C124,53,1))</f>
        <v/>
      </c>
      <c r="GJ128" s="29" t="str">
        <f>IF(OR($B128="",$A128&lt;54),"",--MID('Key Analysis'!$C124,54,1))</f>
        <v/>
      </c>
      <c r="GK128" s="29" t="str">
        <f>IF(OR($B128="",$A128&lt;55),"",--MID('Key Analysis'!$C124,55,1))</f>
        <v/>
      </c>
      <c r="GL128" s="29" t="str">
        <f>IF(OR($B128="",$A128&lt;56),"",--MID('Key Analysis'!$C124,56,1))</f>
        <v/>
      </c>
      <c r="GM128" s="29" t="str">
        <f>IF(OR($B128="",$A128&lt;57),"",--MID('Key Analysis'!$C124,57,1))</f>
        <v/>
      </c>
      <c r="GN128" s="29" t="str">
        <f>IF(OR($B128="",$A128&lt;58),"",--MID('Key Analysis'!$C124,58,1))</f>
        <v/>
      </c>
      <c r="GO128" s="29" t="str">
        <f>IF(OR($B128="",$A128&lt;59),"",--MID('Key Analysis'!$C124,59,1))</f>
        <v/>
      </c>
      <c r="GP128" s="29" t="str">
        <f>IF(OR($B128="",$A128&lt;60),"",--MID('Key Analysis'!$C124,60,1))</f>
        <v/>
      </c>
      <c r="GQ128" s="29" t="str">
        <f>IF(OR($B128="",$A128&lt;61),"",--MID('Key Analysis'!$C124,61,1))</f>
        <v/>
      </c>
      <c r="GR128" s="29" t="str">
        <f>IF(OR($B128="",$A128&lt;62),"",--MID('Key Analysis'!$C124,62,1))</f>
        <v/>
      </c>
      <c r="GS128" s="29" t="str">
        <f>IF(OR($B128="",$A128&lt;63),"",--MID('Key Analysis'!$C124,63,1))</f>
        <v/>
      </c>
      <c r="GT128" s="29" t="str">
        <f>IF(OR($B128="",$A128&lt;64),"",--MID('Key Analysis'!$C124,64,1))</f>
        <v/>
      </c>
      <c r="GU128" s="29" t="str">
        <f>IF(OR($B128="",$A128&lt;65),"",--MID('Key Analysis'!$C124,65,1))</f>
        <v/>
      </c>
      <c r="GV128" s="29" t="str">
        <f>IF(OR($B128="",$A128&lt;66),"",--MID('Key Analysis'!$C124,66,1))</f>
        <v/>
      </c>
      <c r="GW128" s="29" t="str">
        <f>IF(OR($B128="",$A128&lt;67),"",--MID('Key Analysis'!$C124,67,1))</f>
        <v/>
      </c>
      <c r="GX128" s="29" t="str">
        <f>IF(OR($B128="",$A128&lt;68),"",--MID('Key Analysis'!$C124,68,1))</f>
        <v/>
      </c>
      <c r="GY128" s="29" t="str">
        <f>IF(OR($B128="",$A128&lt;69),"",--MID('Key Analysis'!$C124,69,1))</f>
        <v/>
      </c>
      <c r="GZ128" s="29" t="str">
        <f>IF(OR($B128="",$A128&lt;70),"",--MID('Key Analysis'!$C124,70,1))</f>
        <v/>
      </c>
      <c r="HA128" s="29" t="str">
        <f>IF(OR($B128="",$A128&lt;71),"",--MID('Key Analysis'!$C124,71,1))</f>
        <v/>
      </c>
      <c r="HB128" s="29" t="str">
        <f>IF(OR($B128="",$A128&lt;72),"",--MID('Key Analysis'!$C124,72,1))</f>
        <v/>
      </c>
      <c r="HC128" s="29" t="str">
        <f>IF(OR($B128="",$A128&lt;73),"",--MID('Key Analysis'!$C124,73,1))</f>
        <v/>
      </c>
      <c r="HD128" s="29" t="str">
        <f>IF(OR($B128="",$A128&lt;74),"",--MID('Key Analysis'!$C124,74,1))</f>
        <v/>
      </c>
      <c r="HE128" s="29" t="str">
        <f>IF(OR($B128="",$A128&lt;75),"",--MID('Key Analysis'!$C124,75,1))</f>
        <v/>
      </c>
      <c r="HF128" s="29" t="str">
        <f>IF(OR($B128="",$A128&lt;76),"",--MID('Key Analysis'!$C124,76,1))</f>
        <v/>
      </c>
      <c r="HG128" s="29" t="str">
        <f>IF(OR($B128="",$A128&lt;77),"",--MID('Key Analysis'!$C124,77,1))</f>
        <v/>
      </c>
      <c r="HH128" s="29" t="str">
        <f>IF(OR($B128="",$A128&lt;78),"",--MID('Key Analysis'!$C124,78,1))</f>
        <v/>
      </c>
      <c r="HI128" s="29" t="str">
        <f>IF(OR($B128="",$A128&lt;79),"",--MID('Key Analysis'!$C124,79,1))</f>
        <v/>
      </c>
      <c r="HJ128" s="29" t="str">
        <f>IF(OR($B128="",$A128&lt;80),"",--MID('Key Analysis'!$C124,80,1))</f>
        <v/>
      </c>
      <c r="HK128" s="29" t="str">
        <f>IF(OR($B128="",$A128&lt;81),"",--MID('Key Analysis'!$C124,81,1))</f>
        <v/>
      </c>
      <c r="HL128" s="29" t="str">
        <f>IF(OR($B128="",$A128&lt;82),"",--MID('Key Analysis'!$C124,82,1))</f>
        <v/>
      </c>
      <c r="HM128" s="29" t="str">
        <f>IF(OR($B128="",$A128&lt;83),"",--MID('Key Analysis'!$C124,83,1))</f>
        <v/>
      </c>
      <c r="HN128" s="29" t="str">
        <f>IF(OR($B128="",$A128&lt;84),"",--MID('Key Analysis'!$C124,84,1))</f>
        <v/>
      </c>
      <c r="HO128" s="29" t="str">
        <f>IF(OR($B128="",$A128&lt;85),"",--MID('Key Analysis'!$C124,85,1))</f>
        <v/>
      </c>
      <c r="HP128" s="29" t="str">
        <f>IF(OR($B128="",$A128&lt;86),"",--MID('Key Analysis'!$C124,86,1))</f>
        <v/>
      </c>
      <c r="HQ128" s="29" t="str">
        <f>IF(OR($B128="",$A128&lt;87),"",--MID('Key Analysis'!$C124,87,1))</f>
        <v/>
      </c>
      <c r="HR128" s="29" t="str">
        <f>IF(OR($B128="",$A128&lt;88),"",--MID('Key Analysis'!$C124,88,1))</f>
        <v/>
      </c>
      <c r="HS128" s="29" t="str">
        <f>IF(OR($B128="",$A128&lt;89),"",--MID('Key Analysis'!$C124,89,1))</f>
        <v/>
      </c>
      <c r="HT128" s="29" t="str">
        <f>IF(OR($B128="",$A128&lt;90),"",--MID('Key Analysis'!$C124,90,1))</f>
        <v/>
      </c>
      <c r="HU128" s="29" t="str">
        <f>IF(OR($B128="",$A128&lt;91),"",--MID('Key Analysis'!$C124,91,1))</f>
        <v/>
      </c>
      <c r="HV128" s="29" t="str">
        <f>IF(OR($B128="",$A128&lt;92),"",--MID('Key Analysis'!$C124,92,1))</f>
        <v/>
      </c>
      <c r="HW128" s="29" t="str">
        <f>IF(OR($B128="",$A128&lt;93),"",--MID('Key Analysis'!$C124,93,1))</f>
        <v/>
      </c>
      <c r="HX128" s="29" t="str">
        <f>IF(OR($B128="",$A128&lt;94),"",--MID('Key Analysis'!$C124,94,1))</f>
        <v/>
      </c>
      <c r="HY128" s="29" t="str">
        <f>IF(OR($B128="",$A128&lt;95),"",--MID('Key Analysis'!$C124,95,1))</f>
        <v/>
      </c>
      <c r="HZ128" s="29" t="str">
        <f>IF(OR($B128="",$A128&lt;96),"",--MID('Key Analysis'!$C124,96,1))</f>
        <v/>
      </c>
      <c r="IA128" s="29" t="str">
        <f>IF(OR($B128="",$A128&lt;97),"",--MID('Key Analysis'!$C124,97,1))</f>
        <v/>
      </c>
      <c r="IB128" s="29" t="str">
        <f>IF(OR($B128="",$A128&lt;98),"",--MID('Key Analysis'!$C124,98,1))</f>
        <v/>
      </c>
      <c r="IC128" s="29" t="str">
        <f>IF(OR($B128="",$A128&lt;99),"",--MID('Key Analysis'!$C124,99,1))</f>
        <v/>
      </c>
      <c r="ID128" s="29" t="str">
        <f>IF(OR($B128="",$A128&lt;100),"",--MID('Key Analysis'!$C124,100,1))</f>
        <v/>
      </c>
      <c r="IE128" s="29" t="str">
        <f>IF(OR($B128="",$A128&lt;101),"",--MID('Key Analysis'!$C124,101,1))</f>
        <v/>
      </c>
      <c r="IF128" s="29" t="str">
        <f>IF(OR($B128="",$A128&lt;102),"",--MID('Key Analysis'!$C124,102,1))</f>
        <v/>
      </c>
      <c r="IG128" s="29" t="str">
        <f>IF(OR($B128="",$A128&lt;103),"",--MID('Key Analysis'!$C124,103,1))</f>
        <v/>
      </c>
      <c r="IH128" s="29" t="str">
        <f>IF(OR($B128="",$A128&lt;104),"",--MID('Key Analysis'!$C124,104,1))</f>
        <v/>
      </c>
      <c r="II128" s="29" t="str">
        <f>IF(OR($B128="",$A128&lt;105),"",--MID('Key Analysis'!$C124,105,1))</f>
        <v/>
      </c>
      <c r="IJ128" s="29" t="str">
        <f>IF(OR($B128="",$A128&lt;106),"",--MID('Key Analysis'!$C124,106,1))</f>
        <v/>
      </c>
      <c r="IK128" s="29" t="str">
        <f>IF(OR($B128="",$A128&lt;107),"",--MID('Key Analysis'!$C124,107,1))</f>
        <v/>
      </c>
      <c r="IL128" s="29" t="str">
        <f>IF(OR($B128="",$A128&lt;108),"",--MID('Key Analysis'!$C124,108,1))</f>
        <v/>
      </c>
      <c r="IM128" s="29" t="str">
        <f>IF(OR($B128="",$A128&lt;109),"",--MID('Key Analysis'!$C124,109,1))</f>
        <v/>
      </c>
      <c r="IN128" s="29" t="str">
        <f>IF(OR($B128="",$A128&lt;110),"",--MID('Key Analysis'!$C124,110,1))</f>
        <v/>
      </c>
      <c r="IO128" s="29" t="str">
        <f>IF(OR($B128="",$A128&lt;111),"",--MID('Key Analysis'!$C124,111,1))</f>
        <v/>
      </c>
      <c r="IP128" s="29" t="str">
        <f>IF(OR($B128="",$A128&lt;112),"",--MID('Key Analysis'!$C124,112,1))</f>
        <v/>
      </c>
      <c r="IQ128" s="29" t="str">
        <f>IF(OR($B128="",$A128&lt;113),"",--MID('Key Analysis'!$C124,113,1))</f>
        <v/>
      </c>
      <c r="IR128" s="29" t="str">
        <f>IF(OR($B128="",$A128&lt;114),"",--MID('Key Analysis'!$C124,114,1))</f>
        <v/>
      </c>
      <c r="IS128" s="29" t="str">
        <f>IF(OR($B128="",$A128&lt;115),"",--MID('Key Analysis'!$C124,115,1))</f>
        <v/>
      </c>
      <c r="IT128" s="29" t="str">
        <f>IF(OR($B128="",$A128&lt;116),"",--MID('Key Analysis'!$C124,116,1))</f>
        <v/>
      </c>
      <c r="IU128" s="29" t="str">
        <f>IF(OR($B128="",$A128&lt;117),"",--MID('Key Analysis'!$C124,117,1))</f>
        <v/>
      </c>
      <c r="IV128" s="29" t="str">
        <f>IF(OR($B128="",$A128&lt;118),"",--MID('Key Analysis'!$C124,118,1))</f>
        <v/>
      </c>
      <c r="IW128" s="29" t="str">
        <f>IF(OR($B128="",$A128&lt;119),"",--MID('Key Analysis'!$C124,119,1))</f>
        <v/>
      </c>
      <c r="IX128" s="29" t="str">
        <f>IF(OR($B128="",$A128&lt;120),"",--MID('Key Analysis'!$C124,120,1))</f>
        <v/>
      </c>
      <c r="IY128" s="29" t="str">
        <f>IF(OR($B128="",$A128&lt;121),"",--MID('Key Analysis'!$C124,121,1))</f>
        <v/>
      </c>
      <c r="IZ128" s="29" t="str">
        <f>IF(OR($B128="",$A128&lt;122),"",--MID('Key Analysis'!$C124,122,1))</f>
        <v/>
      </c>
      <c r="JA128" s="29" t="str">
        <f>IF(OR($B128="",$A128&lt;123),"",--MID('Key Analysis'!$C124,123,1))</f>
        <v/>
      </c>
      <c r="JB128" s="29" t="str">
        <f>IF(OR($B128="",$A128&lt;124),"",--MID('Key Analysis'!$C124,124,1))</f>
        <v/>
      </c>
      <c r="JC128" s="29" t="str">
        <f>IF(OR($B128="",$A128&lt;125),"",--MID('Key Analysis'!$C124,125,1))</f>
        <v/>
      </c>
      <c r="JD128" s="29" t="str">
        <f>IF(OR($B128="",$A128&lt;126),"",--MID('Key Analysis'!$C124,126,1))</f>
        <v/>
      </c>
      <c r="JE128" s="29" t="str">
        <f>IF(OR($B128="",$A128&lt;127),"",--MID('Key Analysis'!$C124,127,1))</f>
        <v/>
      </c>
      <c r="JF128" s="29" t="str">
        <f>IF(OR($B128="",$A128&lt;128),"",--MID('Key Analysis'!$C124,128,1))</f>
        <v/>
      </c>
      <c r="JG128" s="29" t="str">
        <f>IF(OR($B128="",$A128&lt;129),"",--MID('Key Analysis'!$C124,129,1))</f>
        <v/>
      </c>
      <c r="JH128" s="29" t="str">
        <f>IF(OR($B128="",$A128&lt;130),"",--MID('Key Analysis'!$C124,130,1))</f>
        <v/>
      </c>
      <c r="JI128" s="29" t="str">
        <f>IF(OR($B128="",$A128&lt;131),"",--MID('Key Analysis'!$C124,131,1))</f>
        <v/>
      </c>
      <c r="JJ128" s="29" t="str">
        <f>IF(OR($B128="",$A128&lt;132),"",--MID('Key Analysis'!$C124,132,1))</f>
        <v/>
      </c>
      <c r="JK128" s="29" t="str">
        <f>IF(OR($B128="",$A128&lt;133),"",--MID('Key Analysis'!$C124,133,1))</f>
        <v/>
      </c>
      <c r="JL128" s="29" t="str">
        <f>IF(OR($B128="",$A128&lt;134),"",--MID('Key Analysis'!$C124,134,1))</f>
        <v/>
      </c>
      <c r="JM128" s="29" t="str">
        <f>IF(OR($B128="",$A128&lt;135),"",--MID('Key Analysis'!$C124,135,1))</f>
        <v/>
      </c>
    </row>
    <row r="129" spans="1:273" x14ac:dyDescent="0.25">
      <c r="A129" s="21">
        <f>'Key Analysis'!A125</f>
        <v>124</v>
      </c>
      <c r="B129" s="30" t="str">
        <f>'Key Analysis'!B125</f>
        <v/>
      </c>
      <c r="C129" s="29" t="str">
        <f>IF(OR($B129="",$A129&lt;=0),"",--MID('Key Analysis'!$C125,$A129-0,1))</f>
        <v/>
      </c>
      <c r="D129" s="29" t="str">
        <f>IF(OR($B129="",$A129&lt;=1),"",--MID('Key Analysis'!$C125,$A129-1,1))</f>
        <v/>
      </c>
      <c r="E129" s="29" t="str">
        <f>IF(OR($B129="",$A129&lt;=2),"",--MID('Key Analysis'!$C125,$A129-2,1))</f>
        <v/>
      </c>
      <c r="F129" s="29" t="str">
        <f>IF(OR($B129="",$A129&lt;=3),"",--MID('Key Analysis'!$C125,$A129-3,1))</f>
        <v/>
      </c>
      <c r="G129" s="29" t="str">
        <f>IF(OR($B129="",$A129&lt;=4),"",--MID('Key Analysis'!$C125,$A129-4,1))</f>
        <v/>
      </c>
      <c r="H129" s="29" t="str">
        <f>IF(OR($B129="",$A129&lt;=5),"",--MID('Key Analysis'!$C125,$A129-5,1))</f>
        <v/>
      </c>
      <c r="I129" s="29" t="str">
        <f>IF(OR($B129="",$A129&lt;=6),"",--MID('Key Analysis'!$C125,$A129-6,1))</f>
        <v/>
      </c>
      <c r="J129" s="29" t="str">
        <f>IF(OR($B129="",$A129&lt;=7),"",--MID('Key Analysis'!$C125,$A129-7,1))</f>
        <v/>
      </c>
      <c r="K129" s="29" t="str">
        <f>IF(OR($B129="",$A129&lt;=8),"",--MID('Key Analysis'!$C125,$A129-8,1))</f>
        <v/>
      </c>
      <c r="L129" s="29" t="str">
        <f>IF(OR($B129="",$A129&lt;=9),"",--MID('Key Analysis'!$C125,$A129-9,1))</f>
        <v/>
      </c>
      <c r="M129" s="29" t="str">
        <f>IF(OR($B129="",$A129&lt;=10),"",--MID('Key Analysis'!$C125,$A129-10,1))</f>
        <v/>
      </c>
      <c r="N129" s="29" t="str">
        <f>IF(OR($B129="",$A129&lt;=11),"",--MID('Key Analysis'!$C125,$A129-11,1))</f>
        <v/>
      </c>
      <c r="O129" s="29" t="str">
        <f>IF(OR($B129="",$A129&lt;=12),"",--MID('Key Analysis'!$C125,$A129-12,1))</f>
        <v/>
      </c>
      <c r="P129" s="29" t="str">
        <f>IF(OR($B129="",$A129&lt;=13),"",--MID('Key Analysis'!$C125,$A129-13,1))</f>
        <v/>
      </c>
      <c r="Q129" s="29" t="str">
        <f>IF(OR($B129="",$A129&lt;=14),"",--MID('Key Analysis'!$C125,$A129-14,1))</f>
        <v/>
      </c>
      <c r="R129" s="29" t="str">
        <f>IF(OR($B129="",$A129&lt;=15),"",--MID('Key Analysis'!$C125,$A129-15,1))</f>
        <v/>
      </c>
      <c r="S129" s="29" t="str">
        <f>IF(OR($B129="",$A129&lt;=16),"",--MID('Key Analysis'!$C125,$A129-16,1))</f>
        <v/>
      </c>
      <c r="T129" s="29" t="str">
        <f>IF(OR($B129="",$A129&lt;=17),"",--MID('Key Analysis'!$C125,$A129-17,1))</f>
        <v/>
      </c>
      <c r="U129" s="29" t="str">
        <f>IF(OR($B129="",$A129&lt;=18),"",--MID('Key Analysis'!$C125,$A129-18,1))</f>
        <v/>
      </c>
      <c r="V129" s="29" t="str">
        <f>IF(OR($B129="",$A129&lt;=19),"",--MID('Key Analysis'!$C125,$A129-19,1))</f>
        <v/>
      </c>
      <c r="W129" s="29" t="str">
        <f>IF(OR($B129="",$A129&lt;=20),"",--MID('Key Analysis'!$C125,$A129-20,1))</f>
        <v/>
      </c>
      <c r="X129" s="29" t="str">
        <f>IF(OR($B129="",$A129&lt;=21),"",--MID('Key Analysis'!$C125,$A129-21,1))</f>
        <v/>
      </c>
      <c r="Y129" s="29" t="str">
        <f>IF(OR($B129="",$A129&lt;=22),"",--MID('Key Analysis'!$C125,$A129-22,1))</f>
        <v/>
      </c>
      <c r="Z129" s="29" t="str">
        <f>IF(OR($B129="",$A129&lt;=23),"",--MID('Key Analysis'!$C125,$A129-23,1))</f>
        <v/>
      </c>
      <c r="AA129" s="29" t="str">
        <f>IF(OR($B129="",$A129&lt;=24),"",--MID('Key Analysis'!$C125,$A129-24,1))</f>
        <v/>
      </c>
      <c r="AB129" s="29" t="str">
        <f>IF(OR($B129="",$A129&lt;=25),"",--MID('Key Analysis'!$C125,$A129-25,1))</f>
        <v/>
      </c>
      <c r="AC129" s="29" t="str">
        <f>IF(OR($B129="",$A129&lt;=26),"",--MID('Key Analysis'!$C125,$A129-26,1))</f>
        <v/>
      </c>
      <c r="AD129" s="29" t="str">
        <f>IF(OR($B129="",$A129&lt;=27),"",--MID('Key Analysis'!$C125,$A129-27,1))</f>
        <v/>
      </c>
      <c r="AE129" s="29" t="str">
        <f>IF(OR($B129="",$A129&lt;=28),"",--MID('Key Analysis'!$C125,$A129-28,1))</f>
        <v/>
      </c>
      <c r="AF129" s="29" t="str">
        <f>IF(OR($B129="",$A129&lt;=29),"",--MID('Key Analysis'!$C125,$A129-29,1))</f>
        <v/>
      </c>
      <c r="AG129" s="29" t="str">
        <f>IF(OR($B129="",$A129&lt;=30),"",--MID('Key Analysis'!$C125,$A129-30,1))</f>
        <v/>
      </c>
      <c r="AH129" s="29" t="str">
        <f>IF(OR($B129="",$A129&lt;=31),"",--MID('Key Analysis'!$C125,$A129-31,1))</f>
        <v/>
      </c>
      <c r="AI129" s="29" t="str">
        <f>IF(OR($B129="",$A129&lt;=32),"",--MID('Key Analysis'!$C125,$A129-32,1))</f>
        <v/>
      </c>
      <c r="AJ129" s="29" t="str">
        <f>IF(OR($B129="",$A129&lt;=33),"",--MID('Key Analysis'!$C125,$A129-33,1))</f>
        <v/>
      </c>
      <c r="AK129" s="29" t="str">
        <f>IF(OR($B129="",$A129&lt;=34),"",--MID('Key Analysis'!$C125,$A129-34,1))</f>
        <v/>
      </c>
      <c r="AL129" s="29" t="str">
        <f>IF(OR($B129="",$A129&lt;=35),"",--MID('Key Analysis'!$C125,$A129-35,1))</f>
        <v/>
      </c>
      <c r="AM129" s="29" t="str">
        <f>IF(OR($B129="",$A129&lt;=36),"",--MID('Key Analysis'!$C125,$A129-36,1))</f>
        <v/>
      </c>
      <c r="AN129" s="29" t="str">
        <f>IF(OR($B129="",$A129&lt;=37),"",--MID('Key Analysis'!$C125,$A129-37,1))</f>
        <v/>
      </c>
      <c r="AO129" s="29" t="str">
        <f>IF(OR($B129="",$A129&lt;=38),"",--MID('Key Analysis'!$C125,$A129-38,1))</f>
        <v/>
      </c>
      <c r="AP129" s="29" t="str">
        <f>IF(OR($B129="",$A129&lt;=39),"",--MID('Key Analysis'!$C125,$A129-39,1))</f>
        <v/>
      </c>
      <c r="AQ129" s="29" t="str">
        <f>IF(OR($B129="",$A129&lt;=40),"",--MID('Key Analysis'!$C125,$A129-40,1))</f>
        <v/>
      </c>
      <c r="AR129" s="29" t="str">
        <f>IF(OR($B129="",$A129&lt;=41),"",--MID('Key Analysis'!$C125,$A129-41,1))</f>
        <v/>
      </c>
      <c r="AS129" s="29" t="str">
        <f>IF(OR($B129="",$A129&lt;=42),"",--MID('Key Analysis'!$C125,$A129-42,1))</f>
        <v/>
      </c>
      <c r="AT129" s="29" t="str">
        <f>IF(OR($B129="",$A129&lt;=43),"",--MID('Key Analysis'!$C125,$A129-43,1))</f>
        <v/>
      </c>
      <c r="AU129" s="29" t="str">
        <f>IF(OR($B129="",$A129&lt;=44),"",--MID('Key Analysis'!$C125,$A129-44,1))</f>
        <v/>
      </c>
      <c r="AV129" s="29" t="str">
        <f>IF(OR($B129="",$A129&lt;=45),"",--MID('Key Analysis'!$C125,$A129-45,1))</f>
        <v/>
      </c>
      <c r="AW129" s="29" t="str">
        <f>IF(OR($B129="",$A129&lt;=46),"",--MID('Key Analysis'!$C125,$A129-46,1))</f>
        <v/>
      </c>
      <c r="AX129" s="29" t="str">
        <f>IF(OR($B129="",$A129&lt;=47),"",--MID('Key Analysis'!$C125,$A129-47,1))</f>
        <v/>
      </c>
      <c r="AY129" s="29" t="str">
        <f>IF(OR($B129="",$A129&lt;=48),"",--MID('Key Analysis'!$C125,$A129-48,1))</f>
        <v/>
      </c>
      <c r="AZ129" s="29" t="str">
        <f>IF(OR($B129="",$A129&lt;=49),"",--MID('Key Analysis'!$C125,$A129-49,1))</f>
        <v/>
      </c>
      <c r="BA129" s="29" t="str">
        <f>IF(OR($B129="",$A129&lt;=50),"",--MID('Key Analysis'!$C125,$A129-50,1))</f>
        <v/>
      </c>
      <c r="BB129" s="29" t="str">
        <f>IF(OR($B129="",$A129&lt;=51),"",--MID('Key Analysis'!$C125,$A129-51,1))</f>
        <v/>
      </c>
      <c r="BC129" s="29" t="str">
        <f>IF(OR($B129="",$A129&lt;=52),"",--MID('Key Analysis'!$C125,$A129-52,1))</f>
        <v/>
      </c>
      <c r="BD129" s="29" t="str">
        <f>IF(OR($B129="",$A129&lt;=53),"",--MID('Key Analysis'!$C125,$A129-53,1))</f>
        <v/>
      </c>
      <c r="BE129" s="29" t="str">
        <f>IF(OR($B129="",$A129&lt;=54),"",--MID('Key Analysis'!$C125,$A129-54,1))</f>
        <v/>
      </c>
      <c r="BF129" s="29" t="str">
        <f>IF(OR($B129="",$A129&lt;=55),"",--MID('Key Analysis'!$C125,$A129-55,1))</f>
        <v/>
      </c>
      <c r="BG129" s="29" t="str">
        <f>IF(OR($B129="",$A129&lt;=56),"",--MID('Key Analysis'!$C125,$A129-56,1))</f>
        <v/>
      </c>
      <c r="BH129" s="29" t="str">
        <f>IF(OR($B129="",$A129&lt;=57),"",--MID('Key Analysis'!$C125,$A129-57,1))</f>
        <v/>
      </c>
      <c r="BI129" s="29" t="str">
        <f>IF(OR($B129="",$A129&lt;=58),"",--MID('Key Analysis'!$C125,$A129-58,1))</f>
        <v/>
      </c>
      <c r="BJ129" s="29" t="str">
        <f>IF(OR($B129="",$A129&lt;=59),"",--MID('Key Analysis'!$C125,$A129-59,1))</f>
        <v/>
      </c>
      <c r="BK129" s="29" t="str">
        <f>IF(OR($B129="",$A129&lt;=60),"",--MID('Key Analysis'!$C125,$A129-60,1))</f>
        <v/>
      </c>
      <c r="BL129" s="29" t="str">
        <f>IF(OR($B129="",$A129&lt;=61),"",--MID('Key Analysis'!$C125,$A129-61,1))</f>
        <v/>
      </c>
      <c r="BM129" s="29" t="str">
        <f>IF(OR($B129="",$A129&lt;=62),"",--MID('Key Analysis'!$C125,$A129-62,1))</f>
        <v/>
      </c>
      <c r="BN129" s="29" t="str">
        <f>IF(OR($B129="",$A129&lt;=63),"",--MID('Key Analysis'!$C125,$A129-63,1))</f>
        <v/>
      </c>
      <c r="BO129" s="29" t="str">
        <f>IF(OR($B129="",$A129&lt;=64),"",--MID('Key Analysis'!$C125,$A129-64,1))</f>
        <v/>
      </c>
      <c r="BP129" s="29" t="str">
        <f>IF(OR($B129="",$A129&lt;=65),"",--MID('Key Analysis'!$C125,$A129-65,1))</f>
        <v/>
      </c>
      <c r="BQ129" s="29" t="str">
        <f>IF(OR($B129="",$A129&lt;=66),"",--MID('Key Analysis'!$C125,$A129-66,1))</f>
        <v/>
      </c>
      <c r="BR129" s="29" t="str">
        <f>IF(OR($B129="",$A129&lt;=67),"",--MID('Key Analysis'!$C125,$A129-67,1))</f>
        <v/>
      </c>
      <c r="BS129" s="29" t="str">
        <f>IF(OR($B129="",$A129&lt;=68),"",--MID('Key Analysis'!$C125,$A129-68,1))</f>
        <v/>
      </c>
      <c r="BT129" s="29" t="str">
        <f>IF(OR($B129="",$A129&lt;=69),"",--MID('Key Analysis'!$C125,$A129-69,1))</f>
        <v/>
      </c>
      <c r="BU129" s="29" t="str">
        <f>IF(OR($B129="",$A129&lt;=70),"",--MID('Key Analysis'!$C125,$A129-70,1))</f>
        <v/>
      </c>
      <c r="BV129" s="29" t="str">
        <f>IF(OR($B129="",$A129&lt;=71),"",--MID('Key Analysis'!$C125,$A129-71,1))</f>
        <v/>
      </c>
      <c r="BW129" s="29" t="str">
        <f>IF(OR($B129="",$A129&lt;=72),"",--MID('Key Analysis'!$C125,$A129-72,1))</f>
        <v/>
      </c>
      <c r="BX129" s="29" t="str">
        <f>IF(OR($B129="",$A129&lt;=73),"",--MID('Key Analysis'!$C125,$A129-73,1))</f>
        <v/>
      </c>
      <c r="BY129" s="29" t="str">
        <f>IF(OR($B129="",$A129&lt;=74),"",--MID('Key Analysis'!$C125,$A129-74,1))</f>
        <v/>
      </c>
      <c r="BZ129" s="29" t="str">
        <f>IF(OR($B129="",$A129&lt;=75),"",--MID('Key Analysis'!$C125,$A129-75,1))</f>
        <v/>
      </c>
      <c r="CA129" s="29" t="str">
        <f>IF(OR($B129="",$A129&lt;=76),"",--MID('Key Analysis'!$C125,$A129-76,1))</f>
        <v/>
      </c>
      <c r="CB129" s="29" t="str">
        <f>IF(OR($B129="",$A129&lt;=77),"",--MID('Key Analysis'!$C125,$A129-77,1))</f>
        <v/>
      </c>
      <c r="CC129" s="29" t="str">
        <f>IF(OR($B129="",$A129&lt;=78),"",--MID('Key Analysis'!$C125,$A129-78,1))</f>
        <v/>
      </c>
      <c r="CD129" s="29" t="str">
        <f>IF(OR($B129="",$A129&lt;=79),"",--MID('Key Analysis'!$C125,$A129-79,1))</f>
        <v/>
      </c>
      <c r="CE129" s="29" t="str">
        <f>IF(OR($B129="",$A129&lt;=80),"",--MID('Key Analysis'!$C125,$A129-80,1))</f>
        <v/>
      </c>
      <c r="CF129" s="29" t="str">
        <f>IF(OR($B129="",$A129&lt;=81),"",--MID('Key Analysis'!$C125,$A129-81,1))</f>
        <v/>
      </c>
      <c r="CG129" s="29" t="str">
        <f>IF(OR($B129="",$A129&lt;=82),"",--MID('Key Analysis'!$C125,$A129-82,1))</f>
        <v/>
      </c>
      <c r="CH129" s="29" t="str">
        <f>IF(OR($B129="",$A129&lt;=83),"",--MID('Key Analysis'!$C125,$A129-83,1))</f>
        <v/>
      </c>
      <c r="CI129" s="29" t="str">
        <f>IF(OR($B129="",$A129&lt;=84),"",--MID('Key Analysis'!$C125,$A129-84,1))</f>
        <v/>
      </c>
      <c r="CJ129" s="29" t="str">
        <f>IF(OR($B129="",$A129&lt;=85),"",--MID('Key Analysis'!$C125,$A129-85,1))</f>
        <v/>
      </c>
      <c r="CK129" s="29" t="str">
        <f>IF(OR($B129="",$A129&lt;=86),"",--MID('Key Analysis'!$C125,$A129-86,1))</f>
        <v/>
      </c>
      <c r="CL129" s="29" t="str">
        <f>IF(OR($B129="",$A129&lt;=87),"",--MID('Key Analysis'!$C125,$A129-87,1))</f>
        <v/>
      </c>
      <c r="CM129" s="29" t="str">
        <f>IF(OR($B129="",$A129&lt;=88),"",--MID('Key Analysis'!$C125,$A129-88,1))</f>
        <v/>
      </c>
      <c r="CN129" s="29" t="str">
        <f>IF(OR($B129="",$A129&lt;=89),"",--MID('Key Analysis'!$C125,$A129-89,1))</f>
        <v/>
      </c>
      <c r="CO129" s="29" t="str">
        <f>IF(OR($B129="",$A129&lt;=90),"",--MID('Key Analysis'!$C125,$A129-90,1))</f>
        <v/>
      </c>
      <c r="CP129" s="29" t="str">
        <f>IF(OR($B129="",$A129&lt;=91),"",--MID('Key Analysis'!$C125,$A129-91,1))</f>
        <v/>
      </c>
      <c r="CQ129" s="29" t="str">
        <f>IF(OR($B129="",$A129&lt;=92),"",--MID('Key Analysis'!$C125,$A129-92,1))</f>
        <v/>
      </c>
      <c r="CR129" s="29" t="str">
        <f>IF(OR($B129="",$A129&lt;=93),"",--MID('Key Analysis'!$C125,$A129-93,1))</f>
        <v/>
      </c>
      <c r="CS129" s="29" t="str">
        <f>IF(OR($B129="",$A129&lt;=94),"",--MID('Key Analysis'!$C125,$A129-94,1))</f>
        <v/>
      </c>
      <c r="CT129" s="29" t="str">
        <f>IF(OR($B129="",$A129&lt;=95),"",--MID('Key Analysis'!$C125,$A129-95,1))</f>
        <v/>
      </c>
      <c r="CU129" s="29" t="str">
        <f>IF(OR($B129="",$A129&lt;=96),"",--MID('Key Analysis'!$C125,$A129-96,1))</f>
        <v/>
      </c>
      <c r="CV129" s="29" t="str">
        <f>IF(OR($B129="",$A129&lt;=97),"",--MID('Key Analysis'!$C125,$A129-97,1))</f>
        <v/>
      </c>
      <c r="CW129" s="29" t="str">
        <f>IF(OR($B129="",$A129&lt;=98),"",--MID('Key Analysis'!$C125,$A129-98,1))</f>
        <v/>
      </c>
      <c r="CX129" s="29" t="str">
        <f>IF(OR($B129="",$A129&lt;=99),"",--MID('Key Analysis'!$C125,$A129-99,1))</f>
        <v/>
      </c>
      <c r="CY129" s="29" t="str">
        <f>IF(OR($B129="",$A129&lt;=100),"",--MID('Key Analysis'!$C125,$A129-100,1))</f>
        <v/>
      </c>
      <c r="CZ129" s="29" t="str">
        <f>IF(OR($B129="",$A129&lt;=101),"",--MID('Key Analysis'!$C125,$A129-101,1))</f>
        <v/>
      </c>
      <c r="DA129" s="29" t="str">
        <f>IF(OR($B129="",$A129&lt;=102),"",--MID('Key Analysis'!$C125,$A129-102,1))</f>
        <v/>
      </c>
      <c r="DB129" s="29" t="str">
        <f>IF(OR($B129="",$A129&lt;=103),"",--MID('Key Analysis'!$C125,$A129-103,1))</f>
        <v/>
      </c>
      <c r="DC129" s="29" t="str">
        <f>IF(OR($B129="",$A129&lt;=104),"",--MID('Key Analysis'!$C125,$A129-104,1))</f>
        <v/>
      </c>
      <c r="DD129" s="29" t="str">
        <f>IF(OR($B129="",$A129&lt;=105),"",--MID('Key Analysis'!$C125,$A129-105,1))</f>
        <v/>
      </c>
      <c r="DE129" s="29" t="str">
        <f>IF(OR($B129="",$A129&lt;=106),"",--MID('Key Analysis'!$C125,$A129-106,1))</f>
        <v/>
      </c>
      <c r="DF129" s="29" t="str">
        <f>IF(OR($B129="",$A129&lt;=107),"",--MID('Key Analysis'!$C125,$A129-107,1))</f>
        <v/>
      </c>
      <c r="DG129" s="29" t="str">
        <f>IF(OR($B129="",$A129&lt;=108),"",--MID('Key Analysis'!$C125,$A129-108,1))</f>
        <v/>
      </c>
      <c r="DH129" s="29" t="str">
        <f>IF(OR($B129="",$A129&lt;=109),"",--MID('Key Analysis'!$C125,$A129-109,1))</f>
        <v/>
      </c>
      <c r="DI129" s="29" t="str">
        <f>IF(OR($B129="",$A129&lt;=110),"",--MID('Key Analysis'!$C125,$A129-110,1))</f>
        <v/>
      </c>
      <c r="DJ129" s="29" t="str">
        <f>IF(OR($B129="",$A129&lt;=111),"",--MID('Key Analysis'!$C125,$A129-111,1))</f>
        <v/>
      </c>
      <c r="DK129" s="29" t="str">
        <f>IF(OR($B129="",$A129&lt;=112),"",--MID('Key Analysis'!$C125,$A129-112,1))</f>
        <v/>
      </c>
      <c r="DL129" s="29" t="str">
        <f>IF(OR($B129="",$A129&lt;=113),"",--MID('Key Analysis'!$C125,$A129-113,1))</f>
        <v/>
      </c>
      <c r="DM129" s="29" t="str">
        <f>IF(OR($B129="",$A129&lt;=114),"",--MID('Key Analysis'!$C125,$A129-114,1))</f>
        <v/>
      </c>
      <c r="DN129" s="29" t="str">
        <f>IF(OR($B129="",$A129&lt;=115),"",--MID('Key Analysis'!$C125,$A129-115,1))</f>
        <v/>
      </c>
      <c r="DO129" s="29" t="str">
        <f>IF(OR($B129="",$A129&lt;=116),"",--MID('Key Analysis'!$C125,$A129-116,1))</f>
        <v/>
      </c>
      <c r="DP129" s="29" t="str">
        <f>IF(OR($B129="",$A129&lt;=117),"",--MID('Key Analysis'!$C125,$A129-117,1))</f>
        <v/>
      </c>
      <c r="DQ129" s="29" t="str">
        <f>IF(OR($B129="",$A129&lt;=118),"",--MID('Key Analysis'!$C125,$A129-118,1))</f>
        <v/>
      </c>
      <c r="DR129" s="29" t="str">
        <f>IF(OR($B129="",$A129&lt;=119),"",--MID('Key Analysis'!$C125,$A129-119,1))</f>
        <v/>
      </c>
      <c r="DS129" s="29" t="str">
        <f>IF(OR($B129="",$A129&lt;=120),"",--MID('Key Analysis'!$C125,$A129-120,1))</f>
        <v/>
      </c>
      <c r="DT129" s="29" t="str">
        <f>IF(OR($B129="",$A129&lt;=121),"",--MID('Key Analysis'!$C125,$A129-121,1))</f>
        <v/>
      </c>
      <c r="DU129" s="29" t="str">
        <f>IF(OR($B129="",$A129&lt;=122),"",--MID('Key Analysis'!$C125,$A129-122,1))</f>
        <v/>
      </c>
      <c r="DV129" s="29" t="str">
        <f>IF(OR($B129="",$A129&lt;=123),"",--MID('Key Analysis'!$C125,$A129-123,1))</f>
        <v/>
      </c>
      <c r="DW129" s="29" t="str">
        <f>IF(OR($B129="",$A129&lt;=124),"",--MID('Key Analysis'!$C125,$A129-124,1))</f>
        <v/>
      </c>
      <c r="DX129" s="29" t="str">
        <f>IF(OR($B129="",$A129&lt;=125),"",--MID('Key Analysis'!$C125,$A129-125,1))</f>
        <v/>
      </c>
      <c r="DY129" s="29" t="str">
        <f>IF(OR($B129="",$A129&lt;=126),"",--MID('Key Analysis'!$C125,$A129-126,1))</f>
        <v/>
      </c>
      <c r="DZ129" s="29" t="str">
        <f>IF(OR($B129="",$A129&lt;=127),"",--MID('Key Analysis'!$C125,$A129-127,1))</f>
        <v/>
      </c>
      <c r="EA129" s="29" t="str">
        <f>IF(OR($B129="",$A129&lt;=128),"",--MID('Key Analysis'!$C125,$A129-128,1))</f>
        <v/>
      </c>
      <c r="EB129" s="29" t="str">
        <f>IF(OR($B129="",$A129&lt;=129),"",--MID('Key Analysis'!$C125,$A129-129,1))</f>
        <v/>
      </c>
      <c r="EC129" s="29" t="str">
        <f>IF(OR($B129="",$A129&lt;=130),"",--MID('Key Analysis'!$C125,$A129-130,1))</f>
        <v/>
      </c>
      <c r="ED129" s="29" t="str">
        <f>IF(OR($B129="",$A129&lt;=131),"",--MID('Key Analysis'!$C125,$A129-131,1))</f>
        <v/>
      </c>
      <c r="EE129" s="29" t="str">
        <f>IF(OR($B129="",$A129&lt;=132),"",--MID('Key Analysis'!$C125,$A129-132,1))</f>
        <v/>
      </c>
      <c r="EF129" s="29" t="str">
        <f>IF(OR($B129="",$A129&lt;=133),"",--MID('Key Analysis'!$C125,$A129-133,1))</f>
        <v/>
      </c>
      <c r="EG129" s="29" t="str">
        <f>IF(OR($B129="",$A129&lt;=134),"",--MID('Key Analysis'!$C125,$A129-134,1))</f>
        <v/>
      </c>
      <c r="EH129" s="29"/>
      <c r="EI129" s="29" t="str">
        <f>IF(OR($B129="",$A129&lt;1),"",--MID('Key Analysis'!$C125,1,1))</f>
        <v/>
      </c>
      <c r="EJ129" s="29" t="str">
        <f>IF(OR($B129="",$A129&lt;2),"",--MID('Key Analysis'!$C125,2,1))</f>
        <v/>
      </c>
      <c r="EK129" s="29" t="str">
        <f>IF(OR($B129="",$A129&lt;3),"",--MID('Key Analysis'!$C125,3,1))</f>
        <v/>
      </c>
      <c r="EL129" s="29" t="str">
        <f>IF(OR($B129="",$A129&lt;4),"",--MID('Key Analysis'!$C125,4,1))</f>
        <v/>
      </c>
      <c r="EM129" s="29" t="str">
        <f>IF(OR($B129="",$A129&lt;5),"",--MID('Key Analysis'!$C125,5,1))</f>
        <v/>
      </c>
      <c r="EN129" s="29" t="str">
        <f>IF(OR($B129="",$A129&lt;6),"",--MID('Key Analysis'!$C125,6,1))</f>
        <v/>
      </c>
      <c r="EO129" s="29" t="str">
        <f>IF(OR($B129="",$A129&lt;7),"",--MID('Key Analysis'!$C125,7,1))</f>
        <v/>
      </c>
      <c r="EP129" s="29" t="str">
        <f>IF(OR($B129="",$A129&lt;8),"",--MID('Key Analysis'!$C125,8,1))</f>
        <v/>
      </c>
      <c r="EQ129" s="29" t="str">
        <f>IF(OR($B129="",$A129&lt;9),"",--MID('Key Analysis'!$C125,9,1))</f>
        <v/>
      </c>
      <c r="ER129" s="29" t="str">
        <f>IF(OR($B129="",$A129&lt;10),"",--MID('Key Analysis'!$C125,10,1))</f>
        <v/>
      </c>
      <c r="ES129" s="29" t="str">
        <f>IF(OR($B129="",$A129&lt;11),"",--MID('Key Analysis'!$C125,11,1))</f>
        <v/>
      </c>
      <c r="ET129" s="29" t="str">
        <f>IF(OR($B129="",$A129&lt;12),"",--MID('Key Analysis'!$C125,12,1))</f>
        <v/>
      </c>
      <c r="EU129" s="29" t="str">
        <f>IF(OR($B129="",$A129&lt;13),"",--MID('Key Analysis'!$C125,13,1))</f>
        <v/>
      </c>
      <c r="EV129" s="29" t="str">
        <f>IF(OR($B129="",$A129&lt;14),"",--MID('Key Analysis'!$C125,14,1))</f>
        <v/>
      </c>
      <c r="EW129" s="29" t="str">
        <f>IF(OR($B129="",$A129&lt;15),"",--MID('Key Analysis'!$C125,15,1))</f>
        <v/>
      </c>
      <c r="EX129" s="29" t="str">
        <f>IF(OR($B129="",$A129&lt;16),"",--MID('Key Analysis'!$C125,16,1))</f>
        <v/>
      </c>
      <c r="EY129" s="29" t="str">
        <f>IF(OR($B129="",$A129&lt;17),"",--MID('Key Analysis'!$C125,17,1))</f>
        <v/>
      </c>
      <c r="EZ129" s="29" t="str">
        <f>IF(OR($B129="",$A129&lt;18),"",--MID('Key Analysis'!$C125,18,1))</f>
        <v/>
      </c>
      <c r="FA129" s="29" t="str">
        <f>IF(OR($B129="",$A129&lt;19),"",--MID('Key Analysis'!$C125,19,1))</f>
        <v/>
      </c>
      <c r="FB129" s="29" t="str">
        <f>IF(OR($B129="",$A129&lt;20),"",--MID('Key Analysis'!$C125,20,1))</f>
        <v/>
      </c>
      <c r="FC129" s="29" t="str">
        <f>IF(OR($B129="",$A129&lt;21),"",--MID('Key Analysis'!$C125,21,1))</f>
        <v/>
      </c>
      <c r="FD129" s="29" t="str">
        <f>IF(OR($B129="",$A129&lt;22),"",--MID('Key Analysis'!$C125,22,1))</f>
        <v/>
      </c>
      <c r="FE129" s="29" t="str">
        <f>IF(OR($B129="",$A129&lt;23),"",--MID('Key Analysis'!$C125,23,1))</f>
        <v/>
      </c>
      <c r="FF129" s="29" t="str">
        <f>IF(OR($B129="",$A129&lt;24),"",--MID('Key Analysis'!$C125,24,1))</f>
        <v/>
      </c>
      <c r="FG129" s="29" t="str">
        <f>IF(OR($B129="",$A129&lt;25),"",--MID('Key Analysis'!$C125,25,1))</f>
        <v/>
      </c>
      <c r="FH129" s="29" t="str">
        <f>IF(OR($B129="",$A129&lt;26),"",--MID('Key Analysis'!$C125,26,1))</f>
        <v/>
      </c>
      <c r="FI129" s="29" t="str">
        <f>IF(OR($B129="",$A129&lt;27),"",--MID('Key Analysis'!$C125,27,1))</f>
        <v/>
      </c>
      <c r="FJ129" s="29" t="str">
        <f>IF(OR($B129="",$A129&lt;28),"",--MID('Key Analysis'!$C125,28,1))</f>
        <v/>
      </c>
      <c r="FK129" s="29" t="str">
        <f>IF(OR($B129="",$A129&lt;29),"",--MID('Key Analysis'!$C125,29,1))</f>
        <v/>
      </c>
      <c r="FL129" s="29" t="str">
        <f>IF(OR($B129="",$A129&lt;30),"",--MID('Key Analysis'!$C125,30,1))</f>
        <v/>
      </c>
      <c r="FM129" s="29" t="str">
        <f>IF(OR($B129="",$A129&lt;31),"",--MID('Key Analysis'!$C125,31,1))</f>
        <v/>
      </c>
      <c r="FN129" s="29" t="str">
        <f>IF(OR($B129="",$A129&lt;32),"",--MID('Key Analysis'!$C125,32,1))</f>
        <v/>
      </c>
      <c r="FO129" s="29" t="str">
        <f>IF(OR($B129="",$A129&lt;33),"",--MID('Key Analysis'!$C125,33,1))</f>
        <v/>
      </c>
      <c r="FP129" s="29" t="str">
        <f>IF(OR($B129="",$A129&lt;34),"",--MID('Key Analysis'!$C125,34,1))</f>
        <v/>
      </c>
      <c r="FQ129" s="29" t="str">
        <f>IF(OR($B129="",$A129&lt;35),"",--MID('Key Analysis'!$C125,35,1))</f>
        <v/>
      </c>
      <c r="FR129" s="29" t="str">
        <f>IF(OR($B129="",$A129&lt;36),"",--MID('Key Analysis'!$C125,36,1))</f>
        <v/>
      </c>
      <c r="FS129" s="29" t="str">
        <f>IF(OR($B129="",$A129&lt;37),"",--MID('Key Analysis'!$C125,37,1))</f>
        <v/>
      </c>
      <c r="FT129" s="29" t="str">
        <f>IF(OR($B129="",$A129&lt;38),"",--MID('Key Analysis'!$C125,38,1))</f>
        <v/>
      </c>
      <c r="FU129" s="29" t="str">
        <f>IF(OR($B129="",$A129&lt;39),"",--MID('Key Analysis'!$C125,39,1))</f>
        <v/>
      </c>
      <c r="FV129" s="29" t="str">
        <f>IF(OR($B129="",$A129&lt;40),"",--MID('Key Analysis'!$C125,40,1))</f>
        <v/>
      </c>
      <c r="FW129" s="29" t="str">
        <f>IF(OR($B129="",$A129&lt;41),"",--MID('Key Analysis'!$C125,41,1))</f>
        <v/>
      </c>
      <c r="FX129" s="29" t="str">
        <f>IF(OR($B129="",$A129&lt;42),"",--MID('Key Analysis'!$C125,42,1))</f>
        <v/>
      </c>
      <c r="FY129" s="29" t="str">
        <f>IF(OR($B129="",$A129&lt;43),"",--MID('Key Analysis'!$C125,43,1))</f>
        <v/>
      </c>
      <c r="FZ129" s="29" t="str">
        <f>IF(OR($B129="",$A129&lt;44),"",--MID('Key Analysis'!$C125,44,1))</f>
        <v/>
      </c>
      <c r="GA129" s="29" t="str">
        <f>IF(OR($B129="",$A129&lt;45),"",--MID('Key Analysis'!$C125,45,1))</f>
        <v/>
      </c>
      <c r="GB129" s="29" t="str">
        <f>IF(OR($B129="",$A129&lt;46),"",--MID('Key Analysis'!$C125,46,1))</f>
        <v/>
      </c>
      <c r="GC129" s="29" t="str">
        <f>IF(OR($B129="",$A129&lt;47),"",--MID('Key Analysis'!$C125,47,1))</f>
        <v/>
      </c>
      <c r="GD129" s="29" t="str">
        <f>IF(OR($B129="",$A129&lt;48),"",--MID('Key Analysis'!$C125,48,1))</f>
        <v/>
      </c>
      <c r="GE129" s="29" t="str">
        <f>IF(OR($B129="",$A129&lt;49),"",--MID('Key Analysis'!$C125,49,1))</f>
        <v/>
      </c>
      <c r="GF129" s="29" t="str">
        <f>IF(OR($B129="",$A129&lt;50),"",--MID('Key Analysis'!$C125,50,1))</f>
        <v/>
      </c>
      <c r="GG129" s="29" t="str">
        <f>IF(OR($B129="",$A129&lt;51),"",--MID('Key Analysis'!$C125,51,1))</f>
        <v/>
      </c>
      <c r="GH129" s="29" t="str">
        <f>IF(OR($B129="",$A129&lt;52),"",--MID('Key Analysis'!$C125,52,1))</f>
        <v/>
      </c>
      <c r="GI129" s="29" t="str">
        <f>IF(OR($B129="",$A129&lt;53),"",--MID('Key Analysis'!$C125,53,1))</f>
        <v/>
      </c>
      <c r="GJ129" s="29" t="str">
        <f>IF(OR($B129="",$A129&lt;54),"",--MID('Key Analysis'!$C125,54,1))</f>
        <v/>
      </c>
      <c r="GK129" s="29" t="str">
        <f>IF(OR($B129="",$A129&lt;55),"",--MID('Key Analysis'!$C125,55,1))</f>
        <v/>
      </c>
      <c r="GL129" s="29" t="str">
        <f>IF(OR($B129="",$A129&lt;56),"",--MID('Key Analysis'!$C125,56,1))</f>
        <v/>
      </c>
      <c r="GM129" s="29" t="str">
        <f>IF(OR($B129="",$A129&lt;57),"",--MID('Key Analysis'!$C125,57,1))</f>
        <v/>
      </c>
      <c r="GN129" s="29" t="str">
        <f>IF(OR($B129="",$A129&lt;58),"",--MID('Key Analysis'!$C125,58,1))</f>
        <v/>
      </c>
      <c r="GO129" s="29" t="str">
        <f>IF(OR($B129="",$A129&lt;59),"",--MID('Key Analysis'!$C125,59,1))</f>
        <v/>
      </c>
      <c r="GP129" s="29" t="str">
        <f>IF(OR($B129="",$A129&lt;60),"",--MID('Key Analysis'!$C125,60,1))</f>
        <v/>
      </c>
      <c r="GQ129" s="29" t="str">
        <f>IF(OR($B129="",$A129&lt;61),"",--MID('Key Analysis'!$C125,61,1))</f>
        <v/>
      </c>
      <c r="GR129" s="29" t="str">
        <f>IF(OR($B129="",$A129&lt;62),"",--MID('Key Analysis'!$C125,62,1))</f>
        <v/>
      </c>
      <c r="GS129" s="29" t="str">
        <f>IF(OR($B129="",$A129&lt;63),"",--MID('Key Analysis'!$C125,63,1))</f>
        <v/>
      </c>
      <c r="GT129" s="29" t="str">
        <f>IF(OR($B129="",$A129&lt;64),"",--MID('Key Analysis'!$C125,64,1))</f>
        <v/>
      </c>
      <c r="GU129" s="29" t="str">
        <f>IF(OR($B129="",$A129&lt;65),"",--MID('Key Analysis'!$C125,65,1))</f>
        <v/>
      </c>
      <c r="GV129" s="29" t="str">
        <f>IF(OR($B129="",$A129&lt;66),"",--MID('Key Analysis'!$C125,66,1))</f>
        <v/>
      </c>
      <c r="GW129" s="29" t="str">
        <f>IF(OR($B129="",$A129&lt;67),"",--MID('Key Analysis'!$C125,67,1))</f>
        <v/>
      </c>
      <c r="GX129" s="29" t="str">
        <f>IF(OR($B129="",$A129&lt;68),"",--MID('Key Analysis'!$C125,68,1))</f>
        <v/>
      </c>
      <c r="GY129" s="29" t="str">
        <f>IF(OR($B129="",$A129&lt;69),"",--MID('Key Analysis'!$C125,69,1))</f>
        <v/>
      </c>
      <c r="GZ129" s="29" t="str">
        <f>IF(OR($B129="",$A129&lt;70),"",--MID('Key Analysis'!$C125,70,1))</f>
        <v/>
      </c>
      <c r="HA129" s="29" t="str">
        <f>IF(OR($B129="",$A129&lt;71),"",--MID('Key Analysis'!$C125,71,1))</f>
        <v/>
      </c>
      <c r="HB129" s="29" t="str">
        <f>IF(OR($B129="",$A129&lt;72),"",--MID('Key Analysis'!$C125,72,1))</f>
        <v/>
      </c>
      <c r="HC129" s="29" t="str">
        <f>IF(OR($B129="",$A129&lt;73),"",--MID('Key Analysis'!$C125,73,1))</f>
        <v/>
      </c>
      <c r="HD129" s="29" t="str">
        <f>IF(OR($B129="",$A129&lt;74),"",--MID('Key Analysis'!$C125,74,1))</f>
        <v/>
      </c>
      <c r="HE129" s="29" t="str">
        <f>IF(OR($B129="",$A129&lt;75),"",--MID('Key Analysis'!$C125,75,1))</f>
        <v/>
      </c>
      <c r="HF129" s="29" t="str">
        <f>IF(OR($B129="",$A129&lt;76),"",--MID('Key Analysis'!$C125,76,1))</f>
        <v/>
      </c>
      <c r="HG129" s="29" t="str">
        <f>IF(OR($B129="",$A129&lt;77),"",--MID('Key Analysis'!$C125,77,1))</f>
        <v/>
      </c>
      <c r="HH129" s="29" t="str">
        <f>IF(OR($B129="",$A129&lt;78),"",--MID('Key Analysis'!$C125,78,1))</f>
        <v/>
      </c>
      <c r="HI129" s="29" t="str">
        <f>IF(OR($B129="",$A129&lt;79),"",--MID('Key Analysis'!$C125,79,1))</f>
        <v/>
      </c>
      <c r="HJ129" s="29" t="str">
        <f>IF(OR($B129="",$A129&lt;80),"",--MID('Key Analysis'!$C125,80,1))</f>
        <v/>
      </c>
      <c r="HK129" s="29" t="str">
        <f>IF(OR($B129="",$A129&lt;81),"",--MID('Key Analysis'!$C125,81,1))</f>
        <v/>
      </c>
      <c r="HL129" s="29" t="str">
        <f>IF(OR($B129="",$A129&lt;82),"",--MID('Key Analysis'!$C125,82,1))</f>
        <v/>
      </c>
      <c r="HM129" s="29" t="str">
        <f>IF(OR($B129="",$A129&lt;83),"",--MID('Key Analysis'!$C125,83,1))</f>
        <v/>
      </c>
      <c r="HN129" s="29" t="str">
        <f>IF(OR($B129="",$A129&lt;84),"",--MID('Key Analysis'!$C125,84,1))</f>
        <v/>
      </c>
      <c r="HO129" s="29" t="str">
        <f>IF(OR($B129="",$A129&lt;85),"",--MID('Key Analysis'!$C125,85,1))</f>
        <v/>
      </c>
      <c r="HP129" s="29" t="str">
        <f>IF(OR($B129="",$A129&lt;86),"",--MID('Key Analysis'!$C125,86,1))</f>
        <v/>
      </c>
      <c r="HQ129" s="29" t="str">
        <f>IF(OR($B129="",$A129&lt;87),"",--MID('Key Analysis'!$C125,87,1))</f>
        <v/>
      </c>
      <c r="HR129" s="29" t="str">
        <f>IF(OR($B129="",$A129&lt;88),"",--MID('Key Analysis'!$C125,88,1))</f>
        <v/>
      </c>
      <c r="HS129" s="29" t="str">
        <f>IF(OR($B129="",$A129&lt;89),"",--MID('Key Analysis'!$C125,89,1))</f>
        <v/>
      </c>
      <c r="HT129" s="29" t="str">
        <f>IF(OR($B129="",$A129&lt;90),"",--MID('Key Analysis'!$C125,90,1))</f>
        <v/>
      </c>
      <c r="HU129" s="29" t="str">
        <f>IF(OR($B129="",$A129&lt;91),"",--MID('Key Analysis'!$C125,91,1))</f>
        <v/>
      </c>
      <c r="HV129" s="29" t="str">
        <f>IF(OR($B129="",$A129&lt;92),"",--MID('Key Analysis'!$C125,92,1))</f>
        <v/>
      </c>
      <c r="HW129" s="29" t="str">
        <f>IF(OR($B129="",$A129&lt;93),"",--MID('Key Analysis'!$C125,93,1))</f>
        <v/>
      </c>
      <c r="HX129" s="29" t="str">
        <f>IF(OR($B129="",$A129&lt;94),"",--MID('Key Analysis'!$C125,94,1))</f>
        <v/>
      </c>
      <c r="HY129" s="29" t="str">
        <f>IF(OR($B129="",$A129&lt;95),"",--MID('Key Analysis'!$C125,95,1))</f>
        <v/>
      </c>
      <c r="HZ129" s="29" t="str">
        <f>IF(OR($B129="",$A129&lt;96),"",--MID('Key Analysis'!$C125,96,1))</f>
        <v/>
      </c>
      <c r="IA129" s="29" t="str">
        <f>IF(OR($B129="",$A129&lt;97),"",--MID('Key Analysis'!$C125,97,1))</f>
        <v/>
      </c>
      <c r="IB129" s="29" t="str">
        <f>IF(OR($B129="",$A129&lt;98),"",--MID('Key Analysis'!$C125,98,1))</f>
        <v/>
      </c>
      <c r="IC129" s="29" t="str">
        <f>IF(OR($B129="",$A129&lt;99),"",--MID('Key Analysis'!$C125,99,1))</f>
        <v/>
      </c>
      <c r="ID129" s="29" t="str">
        <f>IF(OR($B129="",$A129&lt;100),"",--MID('Key Analysis'!$C125,100,1))</f>
        <v/>
      </c>
      <c r="IE129" s="29" t="str">
        <f>IF(OR($B129="",$A129&lt;101),"",--MID('Key Analysis'!$C125,101,1))</f>
        <v/>
      </c>
      <c r="IF129" s="29" t="str">
        <f>IF(OR($B129="",$A129&lt;102),"",--MID('Key Analysis'!$C125,102,1))</f>
        <v/>
      </c>
      <c r="IG129" s="29" t="str">
        <f>IF(OR($B129="",$A129&lt;103),"",--MID('Key Analysis'!$C125,103,1))</f>
        <v/>
      </c>
      <c r="IH129" s="29" t="str">
        <f>IF(OR($B129="",$A129&lt;104),"",--MID('Key Analysis'!$C125,104,1))</f>
        <v/>
      </c>
      <c r="II129" s="29" t="str">
        <f>IF(OR($B129="",$A129&lt;105),"",--MID('Key Analysis'!$C125,105,1))</f>
        <v/>
      </c>
      <c r="IJ129" s="29" t="str">
        <f>IF(OR($B129="",$A129&lt;106),"",--MID('Key Analysis'!$C125,106,1))</f>
        <v/>
      </c>
      <c r="IK129" s="29" t="str">
        <f>IF(OR($B129="",$A129&lt;107),"",--MID('Key Analysis'!$C125,107,1))</f>
        <v/>
      </c>
      <c r="IL129" s="29" t="str">
        <f>IF(OR($B129="",$A129&lt;108),"",--MID('Key Analysis'!$C125,108,1))</f>
        <v/>
      </c>
      <c r="IM129" s="29" t="str">
        <f>IF(OR($B129="",$A129&lt;109),"",--MID('Key Analysis'!$C125,109,1))</f>
        <v/>
      </c>
      <c r="IN129" s="29" t="str">
        <f>IF(OR($B129="",$A129&lt;110),"",--MID('Key Analysis'!$C125,110,1))</f>
        <v/>
      </c>
      <c r="IO129" s="29" t="str">
        <f>IF(OR($B129="",$A129&lt;111),"",--MID('Key Analysis'!$C125,111,1))</f>
        <v/>
      </c>
      <c r="IP129" s="29" t="str">
        <f>IF(OR($B129="",$A129&lt;112),"",--MID('Key Analysis'!$C125,112,1))</f>
        <v/>
      </c>
      <c r="IQ129" s="29" t="str">
        <f>IF(OR($B129="",$A129&lt;113),"",--MID('Key Analysis'!$C125,113,1))</f>
        <v/>
      </c>
      <c r="IR129" s="29" t="str">
        <f>IF(OR($B129="",$A129&lt;114),"",--MID('Key Analysis'!$C125,114,1))</f>
        <v/>
      </c>
      <c r="IS129" s="29" t="str">
        <f>IF(OR($B129="",$A129&lt;115),"",--MID('Key Analysis'!$C125,115,1))</f>
        <v/>
      </c>
      <c r="IT129" s="29" t="str">
        <f>IF(OR($B129="",$A129&lt;116),"",--MID('Key Analysis'!$C125,116,1))</f>
        <v/>
      </c>
      <c r="IU129" s="29" t="str">
        <f>IF(OR($B129="",$A129&lt;117),"",--MID('Key Analysis'!$C125,117,1))</f>
        <v/>
      </c>
      <c r="IV129" s="29" t="str">
        <f>IF(OR($B129="",$A129&lt;118),"",--MID('Key Analysis'!$C125,118,1))</f>
        <v/>
      </c>
      <c r="IW129" s="29" t="str">
        <f>IF(OR($B129="",$A129&lt;119),"",--MID('Key Analysis'!$C125,119,1))</f>
        <v/>
      </c>
      <c r="IX129" s="29" t="str">
        <f>IF(OR($B129="",$A129&lt;120),"",--MID('Key Analysis'!$C125,120,1))</f>
        <v/>
      </c>
      <c r="IY129" s="29" t="str">
        <f>IF(OR($B129="",$A129&lt;121),"",--MID('Key Analysis'!$C125,121,1))</f>
        <v/>
      </c>
      <c r="IZ129" s="29" t="str">
        <f>IF(OR($B129="",$A129&lt;122),"",--MID('Key Analysis'!$C125,122,1))</f>
        <v/>
      </c>
      <c r="JA129" s="29" t="str">
        <f>IF(OR($B129="",$A129&lt;123),"",--MID('Key Analysis'!$C125,123,1))</f>
        <v/>
      </c>
      <c r="JB129" s="29" t="str">
        <f>IF(OR($B129="",$A129&lt;124),"",--MID('Key Analysis'!$C125,124,1))</f>
        <v/>
      </c>
      <c r="JC129" s="29" t="str">
        <f>IF(OR($B129="",$A129&lt;125),"",--MID('Key Analysis'!$C125,125,1))</f>
        <v/>
      </c>
      <c r="JD129" s="29" t="str">
        <f>IF(OR($B129="",$A129&lt;126),"",--MID('Key Analysis'!$C125,126,1))</f>
        <v/>
      </c>
      <c r="JE129" s="29" t="str">
        <f>IF(OR($B129="",$A129&lt;127),"",--MID('Key Analysis'!$C125,127,1))</f>
        <v/>
      </c>
      <c r="JF129" s="29" t="str">
        <f>IF(OR($B129="",$A129&lt;128),"",--MID('Key Analysis'!$C125,128,1))</f>
        <v/>
      </c>
      <c r="JG129" s="29" t="str">
        <f>IF(OR($B129="",$A129&lt;129),"",--MID('Key Analysis'!$C125,129,1))</f>
        <v/>
      </c>
      <c r="JH129" s="29" t="str">
        <f>IF(OR($B129="",$A129&lt;130),"",--MID('Key Analysis'!$C125,130,1))</f>
        <v/>
      </c>
      <c r="JI129" s="29" t="str">
        <f>IF(OR($B129="",$A129&lt;131),"",--MID('Key Analysis'!$C125,131,1))</f>
        <v/>
      </c>
      <c r="JJ129" s="29" t="str">
        <f>IF(OR($B129="",$A129&lt;132),"",--MID('Key Analysis'!$C125,132,1))</f>
        <v/>
      </c>
      <c r="JK129" s="29" t="str">
        <f>IF(OR($B129="",$A129&lt;133),"",--MID('Key Analysis'!$C125,133,1))</f>
        <v/>
      </c>
      <c r="JL129" s="29" t="str">
        <f>IF(OR($B129="",$A129&lt;134),"",--MID('Key Analysis'!$C125,134,1))</f>
        <v/>
      </c>
      <c r="JM129" s="29" t="str">
        <f>IF(OR($B129="",$A129&lt;135),"",--MID('Key Analysis'!$C125,135,1))</f>
        <v/>
      </c>
    </row>
    <row r="130" spans="1:273" x14ac:dyDescent="0.25">
      <c r="A130" s="21">
        <f>'Key Analysis'!A126</f>
        <v>125</v>
      </c>
      <c r="B130" s="30" t="str">
        <f>'Key Analysis'!B126</f>
        <v>1c533b6bb7f0804e09960225e44877ac</v>
      </c>
      <c r="C130" s="29">
        <f>IF(OR($B130="",$A130&lt;=0),"",--MID('Key Analysis'!$C126,$A130-0,1))</f>
        <v>0</v>
      </c>
      <c r="D130" s="29">
        <f>IF(OR($B130="",$A130&lt;=1),"",--MID('Key Analysis'!$C126,$A130-1,1))</f>
        <v>0</v>
      </c>
      <c r="E130" s="29">
        <f>IF(OR($B130="",$A130&lt;=2),"",--MID('Key Analysis'!$C126,$A130-2,1))</f>
        <v>1</v>
      </c>
      <c r="F130" s="29">
        <f>IF(OR($B130="",$A130&lt;=3),"",--MID('Key Analysis'!$C126,$A130-3,1))</f>
        <v>1</v>
      </c>
      <c r="G130" s="29">
        <f>IF(OR($B130="",$A130&lt;=4),"",--MID('Key Analysis'!$C126,$A130-4,1))</f>
        <v>0</v>
      </c>
      <c r="H130" s="29">
        <f>IF(OR($B130="",$A130&lt;=5),"",--MID('Key Analysis'!$C126,$A130-5,1))</f>
        <v>1</v>
      </c>
      <c r="I130" s="29">
        <f>IF(OR($B130="",$A130&lt;=6),"",--MID('Key Analysis'!$C126,$A130-6,1))</f>
        <v>0</v>
      </c>
      <c r="J130" s="29">
        <f>IF(OR($B130="",$A130&lt;=7),"",--MID('Key Analysis'!$C126,$A130-7,1))</f>
        <v>1</v>
      </c>
      <c r="K130" s="29">
        <f>IF(OR($B130="",$A130&lt;=8),"",--MID('Key Analysis'!$C126,$A130-8,1))</f>
        <v>1</v>
      </c>
      <c r="L130" s="29">
        <f>IF(OR($B130="",$A130&lt;=9),"",--MID('Key Analysis'!$C126,$A130-9,1))</f>
        <v>1</v>
      </c>
      <c r="M130" s="29">
        <f>IF(OR($B130="",$A130&lt;=10),"",--MID('Key Analysis'!$C126,$A130-10,1))</f>
        <v>1</v>
      </c>
      <c r="N130" s="29">
        <f>IF(OR($B130="",$A130&lt;=11),"",--MID('Key Analysis'!$C126,$A130-11,1))</f>
        <v>0</v>
      </c>
      <c r="O130" s="29">
        <f>IF(OR($B130="",$A130&lt;=12),"",--MID('Key Analysis'!$C126,$A130-12,1))</f>
        <v>1</v>
      </c>
      <c r="P130" s="29">
        <f>IF(OR($B130="",$A130&lt;=13),"",--MID('Key Analysis'!$C126,$A130-13,1))</f>
        <v>1</v>
      </c>
      <c r="Q130" s="29">
        <f>IF(OR($B130="",$A130&lt;=14),"",--MID('Key Analysis'!$C126,$A130-14,1))</f>
        <v>1</v>
      </c>
      <c r="R130" s="29">
        <f>IF(OR($B130="",$A130&lt;=15),"",--MID('Key Analysis'!$C126,$A130-15,1))</f>
        <v>0</v>
      </c>
      <c r="S130" s="29">
        <f>IF(OR($B130="",$A130&lt;=16),"",--MID('Key Analysis'!$C126,$A130-16,1))</f>
        <v>0</v>
      </c>
      <c r="T130" s="29">
        <f>IF(OR($B130="",$A130&lt;=17),"",--MID('Key Analysis'!$C126,$A130-17,1))</f>
        <v>0</v>
      </c>
      <c r="U130" s="29">
        <f>IF(OR($B130="",$A130&lt;=18),"",--MID('Key Analysis'!$C126,$A130-18,1))</f>
        <v>0</v>
      </c>
      <c r="V130" s="29">
        <f>IF(OR($B130="",$A130&lt;=19),"",--MID('Key Analysis'!$C126,$A130-19,1))</f>
        <v>1</v>
      </c>
      <c r="W130" s="29">
        <f>IF(OR($B130="",$A130&lt;=20),"",--MID('Key Analysis'!$C126,$A130-20,1))</f>
        <v>0</v>
      </c>
      <c r="X130" s="29">
        <f>IF(OR($B130="",$A130&lt;=21),"",--MID('Key Analysis'!$C126,$A130-21,1))</f>
        <v>0</v>
      </c>
      <c r="Y130" s="29">
        <f>IF(OR($B130="",$A130&lt;=22),"",--MID('Key Analysis'!$C126,$A130-22,1))</f>
        <v>1</v>
      </c>
      <c r="Z130" s="29">
        <f>IF(OR($B130="",$A130&lt;=23),"",--MID('Key Analysis'!$C126,$A130-23,1))</f>
        <v>0</v>
      </c>
      <c r="AA130" s="29">
        <f>IF(OR($B130="",$A130&lt;=24),"",--MID('Key Analysis'!$C126,$A130-24,1))</f>
        <v>0</v>
      </c>
      <c r="AB130" s="29">
        <f>IF(OR($B130="",$A130&lt;=25),"",--MID('Key Analysis'!$C126,$A130-25,1))</f>
        <v>0</v>
      </c>
      <c r="AC130" s="29">
        <f>IF(OR($B130="",$A130&lt;=26),"",--MID('Key Analysis'!$C126,$A130-26,1))</f>
        <v>1</v>
      </c>
      <c r="AD130" s="29">
        <f>IF(OR($B130="",$A130&lt;=27),"",--MID('Key Analysis'!$C126,$A130-27,1))</f>
        <v>0</v>
      </c>
      <c r="AE130" s="29">
        <f>IF(OR($B130="",$A130&lt;=28),"",--MID('Key Analysis'!$C126,$A130-28,1))</f>
        <v>0</v>
      </c>
      <c r="AF130" s="29">
        <f>IF(OR($B130="",$A130&lt;=29),"",--MID('Key Analysis'!$C126,$A130-29,1))</f>
        <v>1</v>
      </c>
      <c r="AG130" s="29">
        <f>IF(OR($B130="",$A130&lt;=30),"",--MID('Key Analysis'!$C126,$A130-30,1))</f>
        <v>1</v>
      </c>
      <c r="AH130" s="29">
        <f>IF(OR($B130="",$A130&lt;=31),"",--MID('Key Analysis'!$C126,$A130-31,1))</f>
        <v>1</v>
      </c>
      <c r="AI130" s="29">
        <f>IF(OR($B130="",$A130&lt;=32),"",--MID('Key Analysis'!$C126,$A130-32,1))</f>
        <v>1</v>
      </c>
      <c r="AJ130" s="29">
        <f>IF(OR($B130="",$A130&lt;=33),"",--MID('Key Analysis'!$C126,$A130-33,1))</f>
        <v>0</v>
      </c>
      <c r="AK130" s="29">
        <f>IF(OR($B130="",$A130&lt;=34),"",--MID('Key Analysis'!$C126,$A130-34,1))</f>
        <v>1</v>
      </c>
      <c r="AL130" s="29">
        <f>IF(OR($B130="",$A130&lt;=35),"",--MID('Key Analysis'!$C126,$A130-35,1))</f>
        <v>0</v>
      </c>
      <c r="AM130" s="29">
        <f>IF(OR($B130="",$A130&lt;=36),"",--MID('Key Analysis'!$C126,$A130-36,1))</f>
        <v>0</v>
      </c>
      <c r="AN130" s="29">
        <f>IF(OR($B130="",$A130&lt;=37),"",--MID('Key Analysis'!$C126,$A130-37,1))</f>
        <v>1</v>
      </c>
      <c r="AO130" s="29">
        <f>IF(OR($B130="",$A130&lt;=38),"",--MID('Key Analysis'!$C126,$A130-38,1))</f>
        <v>0</v>
      </c>
      <c r="AP130" s="29">
        <f>IF(OR($B130="",$A130&lt;=39),"",--MID('Key Analysis'!$C126,$A130-39,1))</f>
        <v>0</v>
      </c>
      <c r="AQ130" s="29">
        <f>IF(OR($B130="",$A130&lt;=40),"",--MID('Key Analysis'!$C126,$A130-40,1))</f>
        <v>0</v>
      </c>
      <c r="AR130" s="29">
        <f>IF(OR($B130="",$A130&lt;=41),"",--MID('Key Analysis'!$C126,$A130-41,1))</f>
        <v>1</v>
      </c>
      <c r="AS130" s="29">
        <f>IF(OR($B130="",$A130&lt;=42),"",--MID('Key Analysis'!$C126,$A130-42,1))</f>
        <v>0</v>
      </c>
      <c r="AT130" s="29">
        <f>IF(OR($B130="",$A130&lt;=43),"",--MID('Key Analysis'!$C126,$A130-43,1))</f>
        <v>0</v>
      </c>
      <c r="AU130" s="29">
        <f>IF(OR($B130="",$A130&lt;=44),"",--MID('Key Analysis'!$C126,$A130-44,1))</f>
        <v>0</v>
      </c>
      <c r="AV130" s="29">
        <f>IF(OR($B130="",$A130&lt;=45),"",--MID('Key Analysis'!$C126,$A130-45,1))</f>
        <v>0</v>
      </c>
      <c r="AW130" s="29">
        <f>IF(OR($B130="",$A130&lt;=46),"",--MID('Key Analysis'!$C126,$A130-46,1))</f>
        <v>0</v>
      </c>
      <c r="AX130" s="29">
        <f>IF(OR($B130="",$A130&lt;=47),"",--MID('Key Analysis'!$C126,$A130-47,1))</f>
        <v>0</v>
      </c>
      <c r="AY130" s="29">
        <f>IF(OR($B130="",$A130&lt;=48),"",--MID('Key Analysis'!$C126,$A130-48,1))</f>
        <v>0</v>
      </c>
      <c r="AZ130" s="29">
        <f>IF(OR($B130="",$A130&lt;=49),"",--MID('Key Analysis'!$C126,$A130-49,1))</f>
        <v>1</v>
      </c>
      <c r="BA130" s="29">
        <f>IF(OR($B130="",$A130&lt;=50),"",--MID('Key Analysis'!$C126,$A130-50,1))</f>
        <v>1</v>
      </c>
      <c r="BB130" s="29">
        <f>IF(OR($B130="",$A130&lt;=51),"",--MID('Key Analysis'!$C126,$A130-51,1))</f>
        <v>0</v>
      </c>
      <c r="BC130" s="29">
        <f>IF(OR($B130="",$A130&lt;=52),"",--MID('Key Analysis'!$C126,$A130-52,1))</f>
        <v>1</v>
      </c>
      <c r="BD130" s="29">
        <f>IF(OR($B130="",$A130&lt;=53),"",--MID('Key Analysis'!$C126,$A130-53,1))</f>
        <v>0</v>
      </c>
      <c r="BE130" s="29">
        <f>IF(OR($B130="",$A130&lt;=54),"",--MID('Key Analysis'!$C126,$A130-54,1))</f>
        <v>0</v>
      </c>
      <c r="BF130" s="29">
        <f>IF(OR($B130="",$A130&lt;=55),"",--MID('Key Analysis'!$C126,$A130-55,1))</f>
        <v>1</v>
      </c>
      <c r="BG130" s="29">
        <f>IF(OR($B130="",$A130&lt;=56),"",--MID('Key Analysis'!$C126,$A130-56,1))</f>
        <v>1</v>
      </c>
      <c r="BH130" s="29">
        <f>IF(OR($B130="",$A130&lt;=57),"",--MID('Key Analysis'!$C126,$A130-57,1))</f>
        <v>0</v>
      </c>
      <c r="BI130" s="29">
        <f>IF(OR($B130="",$A130&lt;=58),"",--MID('Key Analysis'!$C126,$A130-58,1))</f>
        <v>0</v>
      </c>
      <c r="BJ130" s="29">
        <f>IF(OR($B130="",$A130&lt;=59),"",--MID('Key Analysis'!$C126,$A130-59,1))</f>
        <v>1</v>
      </c>
      <c r="BK130" s="29">
        <f>IF(OR($B130="",$A130&lt;=60),"",--MID('Key Analysis'!$C126,$A130-60,1))</f>
        <v>0</v>
      </c>
      <c r="BL130" s="29">
        <f>IF(OR($B130="",$A130&lt;=61),"",--MID('Key Analysis'!$C126,$A130-61,1))</f>
        <v>0</v>
      </c>
      <c r="BM130" s="29">
        <f>IF(OR($B130="",$A130&lt;=62),"",--MID('Key Analysis'!$C126,$A130-62,1))</f>
        <v>0</v>
      </c>
      <c r="BN130" s="29">
        <f>IF(OR($B130="",$A130&lt;=63),"",--MID('Key Analysis'!$C126,$A130-63,1))</f>
        <v>0</v>
      </c>
      <c r="BO130" s="29">
        <f>IF(OR($B130="",$A130&lt;=64),"",--MID('Key Analysis'!$C126,$A130-64,1))</f>
        <v>0</v>
      </c>
      <c r="BP130" s="29">
        <f>IF(OR($B130="",$A130&lt;=65),"",--MID('Key Analysis'!$C126,$A130-65,1))</f>
        <v>1</v>
      </c>
      <c r="BQ130" s="29">
        <f>IF(OR($B130="",$A130&lt;=66),"",--MID('Key Analysis'!$C126,$A130-66,1))</f>
        <v>1</v>
      </c>
      <c r="BR130" s="29">
        <f>IF(OR($B130="",$A130&lt;=67),"",--MID('Key Analysis'!$C126,$A130-67,1))</f>
        <v>1</v>
      </c>
      <c r="BS130" s="29">
        <f>IF(OR($B130="",$A130&lt;=68),"",--MID('Key Analysis'!$C126,$A130-68,1))</f>
        <v>0</v>
      </c>
      <c r="BT130" s="29">
        <f>IF(OR($B130="",$A130&lt;=69),"",--MID('Key Analysis'!$C126,$A130-69,1))</f>
        <v>0</v>
      </c>
      <c r="BU130" s="29">
        <f>IF(OR($B130="",$A130&lt;=70),"",--MID('Key Analysis'!$C126,$A130-70,1))</f>
        <v>1</v>
      </c>
      <c r="BV130" s="29">
        <f>IF(OR($B130="",$A130&lt;=71),"",--MID('Key Analysis'!$C126,$A130-71,1))</f>
        <v>0</v>
      </c>
      <c r="BW130" s="29">
        <f>IF(OR($B130="",$A130&lt;=72),"",--MID('Key Analysis'!$C126,$A130-72,1))</f>
        <v>0</v>
      </c>
      <c r="BX130" s="29">
        <f>IF(OR($B130="",$A130&lt;=73),"",--MID('Key Analysis'!$C126,$A130-73,1))</f>
        <v>0</v>
      </c>
      <c r="BY130" s="29">
        <f>IF(OR($B130="",$A130&lt;=74),"",--MID('Key Analysis'!$C126,$A130-74,1))</f>
        <v>0</v>
      </c>
      <c r="BZ130" s="29">
        <f>IF(OR($B130="",$A130&lt;=75),"",--MID('Key Analysis'!$C126,$A130-75,1))</f>
        <v>0</v>
      </c>
      <c r="CA130" s="29">
        <f>IF(OR($B130="",$A130&lt;=76),"",--MID('Key Analysis'!$C126,$A130-76,1))</f>
        <v>0</v>
      </c>
      <c r="CB130" s="29">
        <f>IF(OR($B130="",$A130&lt;=77),"",--MID('Key Analysis'!$C126,$A130-77,1))</f>
        <v>0</v>
      </c>
      <c r="CC130" s="29">
        <f>IF(OR($B130="",$A130&lt;=78),"",--MID('Key Analysis'!$C126,$A130-78,1))</f>
        <v>0</v>
      </c>
      <c r="CD130" s="29">
        <f>IF(OR($B130="",$A130&lt;=79),"",--MID('Key Analysis'!$C126,$A130-79,1))</f>
        <v>1</v>
      </c>
      <c r="CE130" s="29">
        <f>IF(OR($B130="",$A130&lt;=80),"",--MID('Key Analysis'!$C126,$A130-80,1))</f>
        <v>0</v>
      </c>
      <c r="CF130" s="29">
        <f>IF(OR($B130="",$A130&lt;=81),"",--MID('Key Analysis'!$C126,$A130-81,1))</f>
        <v>0</v>
      </c>
      <c r="CG130" s="29">
        <f>IF(OR($B130="",$A130&lt;=82),"",--MID('Key Analysis'!$C126,$A130-82,1))</f>
        <v>0</v>
      </c>
      <c r="CH130" s="29">
        <f>IF(OR($B130="",$A130&lt;=83),"",--MID('Key Analysis'!$C126,$A130-83,1))</f>
        <v>0</v>
      </c>
      <c r="CI130" s="29">
        <f>IF(OR($B130="",$A130&lt;=84),"",--MID('Key Analysis'!$C126,$A130-84,1))</f>
        <v>1</v>
      </c>
      <c r="CJ130" s="29">
        <f>IF(OR($B130="",$A130&lt;=85),"",--MID('Key Analysis'!$C126,$A130-85,1))</f>
        <v>1</v>
      </c>
      <c r="CK130" s="29">
        <f>IF(OR($B130="",$A130&lt;=86),"",--MID('Key Analysis'!$C126,$A130-86,1))</f>
        <v>1</v>
      </c>
      <c r="CL130" s="29">
        <f>IF(OR($B130="",$A130&lt;=87),"",--MID('Key Analysis'!$C126,$A130-87,1))</f>
        <v>1</v>
      </c>
      <c r="CM130" s="29">
        <f>IF(OR($B130="",$A130&lt;=88),"",--MID('Key Analysis'!$C126,$A130-88,1))</f>
        <v>1</v>
      </c>
      <c r="CN130" s="29">
        <f>IF(OR($B130="",$A130&lt;=89),"",--MID('Key Analysis'!$C126,$A130-89,1))</f>
        <v>1</v>
      </c>
      <c r="CO130" s="29">
        <f>IF(OR($B130="",$A130&lt;=90),"",--MID('Key Analysis'!$C126,$A130-90,1))</f>
        <v>1</v>
      </c>
      <c r="CP130" s="29">
        <f>IF(OR($B130="",$A130&lt;=91),"",--MID('Key Analysis'!$C126,$A130-91,1))</f>
        <v>0</v>
      </c>
      <c r="CQ130" s="29">
        <f>IF(OR($B130="",$A130&lt;=92),"",--MID('Key Analysis'!$C126,$A130-92,1))</f>
        <v>1</v>
      </c>
      <c r="CR130" s="29">
        <f>IF(OR($B130="",$A130&lt;=93),"",--MID('Key Analysis'!$C126,$A130-93,1))</f>
        <v>1</v>
      </c>
      <c r="CS130" s="29">
        <f>IF(OR($B130="",$A130&lt;=94),"",--MID('Key Analysis'!$C126,$A130-94,1))</f>
        <v>0</v>
      </c>
      <c r="CT130" s="29">
        <f>IF(OR($B130="",$A130&lt;=95),"",--MID('Key Analysis'!$C126,$A130-95,1))</f>
        <v>1</v>
      </c>
      <c r="CU130" s="29">
        <f>IF(OR($B130="",$A130&lt;=96),"",--MID('Key Analysis'!$C126,$A130-96,1))</f>
        <v>1</v>
      </c>
      <c r="CV130" s="29">
        <f>IF(OR($B130="",$A130&lt;=97),"",--MID('Key Analysis'!$C126,$A130-97,1))</f>
        <v>1</v>
      </c>
      <c r="CW130" s="29">
        <f>IF(OR($B130="",$A130&lt;=98),"",--MID('Key Analysis'!$C126,$A130-98,1))</f>
        <v>0</v>
      </c>
      <c r="CX130" s="29">
        <f>IF(OR($B130="",$A130&lt;=99),"",--MID('Key Analysis'!$C126,$A130-99,1))</f>
        <v>1</v>
      </c>
      <c r="CY130" s="29">
        <f>IF(OR($B130="",$A130&lt;=100),"",--MID('Key Analysis'!$C126,$A130-100,1))</f>
        <v>0</v>
      </c>
      <c r="CZ130" s="29">
        <f>IF(OR($B130="",$A130&lt;=101),"",--MID('Key Analysis'!$C126,$A130-101,1))</f>
        <v>1</v>
      </c>
      <c r="DA130" s="29">
        <f>IF(OR($B130="",$A130&lt;=102),"",--MID('Key Analysis'!$C126,$A130-102,1))</f>
        <v>1</v>
      </c>
      <c r="DB130" s="29">
        <f>IF(OR($B130="",$A130&lt;=103),"",--MID('Key Analysis'!$C126,$A130-103,1))</f>
        <v>0</v>
      </c>
      <c r="DC130" s="29">
        <f>IF(OR($B130="",$A130&lt;=104),"",--MID('Key Analysis'!$C126,$A130-104,1))</f>
        <v>1</v>
      </c>
      <c r="DD130" s="29">
        <f>IF(OR($B130="",$A130&lt;=105),"",--MID('Key Analysis'!$C126,$A130-105,1))</f>
        <v>1</v>
      </c>
      <c r="DE130" s="29">
        <f>IF(OR($B130="",$A130&lt;=106),"",--MID('Key Analysis'!$C126,$A130-106,1))</f>
        <v>0</v>
      </c>
      <c r="DF130" s="29">
        <f>IF(OR($B130="",$A130&lt;=107),"",--MID('Key Analysis'!$C126,$A130-107,1))</f>
        <v>1</v>
      </c>
      <c r="DG130" s="29">
        <f>IF(OR($B130="",$A130&lt;=108),"",--MID('Key Analysis'!$C126,$A130-108,1))</f>
        <v>1</v>
      </c>
      <c r="DH130" s="29">
        <f>IF(OR($B130="",$A130&lt;=109),"",--MID('Key Analysis'!$C126,$A130-109,1))</f>
        <v>1</v>
      </c>
      <c r="DI130" s="29">
        <f>IF(OR($B130="",$A130&lt;=110),"",--MID('Key Analysis'!$C126,$A130-110,1))</f>
        <v>0</v>
      </c>
      <c r="DJ130" s="29">
        <f>IF(OR($B130="",$A130&lt;=111),"",--MID('Key Analysis'!$C126,$A130-111,1))</f>
        <v>0</v>
      </c>
      <c r="DK130" s="29">
        <f>IF(OR($B130="",$A130&lt;=112),"",--MID('Key Analysis'!$C126,$A130-112,1))</f>
        <v>1</v>
      </c>
      <c r="DL130" s="29">
        <f>IF(OR($B130="",$A130&lt;=113),"",--MID('Key Analysis'!$C126,$A130-113,1))</f>
        <v>1</v>
      </c>
      <c r="DM130" s="29">
        <f>IF(OR($B130="",$A130&lt;=114),"",--MID('Key Analysis'!$C126,$A130-114,1))</f>
        <v>0</v>
      </c>
      <c r="DN130" s="29">
        <f>IF(OR($B130="",$A130&lt;=115),"",--MID('Key Analysis'!$C126,$A130-115,1))</f>
        <v>0</v>
      </c>
      <c r="DO130" s="29">
        <f>IF(OR($B130="",$A130&lt;=116),"",--MID('Key Analysis'!$C126,$A130-116,1))</f>
        <v>1</v>
      </c>
      <c r="DP130" s="29">
        <f>IF(OR($B130="",$A130&lt;=117),"",--MID('Key Analysis'!$C126,$A130-117,1))</f>
        <v>0</v>
      </c>
      <c r="DQ130" s="29">
        <f>IF(OR($B130="",$A130&lt;=118),"",--MID('Key Analysis'!$C126,$A130-118,1))</f>
        <v>1</v>
      </c>
      <c r="DR130" s="29">
        <f>IF(OR($B130="",$A130&lt;=119),"",--MID('Key Analysis'!$C126,$A130-119,1))</f>
        <v>0</v>
      </c>
      <c r="DS130" s="29">
        <f>IF(OR($B130="",$A130&lt;=120),"",--MID('Key Analysis'!$C126,$A130-120,1))</f>
        <v>0</v>
      </c>
      <c r="DT130" s="29">
        <f>IF(OR($B130="",$A130&lt;=121),"",--MID('Key Analysis'!$C126,$A130-121,1))</f>
        <v>0</v>
      </c>
      <c r="DU130" s="29">
        <f>IF(OR($B130="",$A130&lt;=122),"",--MID('Key Analysis'!$C126,$A130-122,1))</f>
        <v>1</v>
      </c>
      <c r="DV130" s="29">
        <f>IF(OR($B130="",$A130&lt;=123),"",--MID('Key Analysis'!$C126,$A130-123,1))</f>
        <v>1</v>
      </c>
      <c r="DW130" s="29">
        <f>IF(OR($B130="",$A130&lt;=124),"",--MID('Key Analysis'!$C126,$A130-124,1))</f>
        <v>1</v>
      </c>
      <c r="DX130" s="29" t="str">
        <f>IF(OR($B130="",$A130&lt;=125),"",--MID('Key Analysis'!$C126,$A130-125,1))</f>
        <v/>
      </c>
      <c r="DY130" s="29" t="str">
        <f>IF(OR($B130="",$A130&lt;=126),"",--MID('Key Analysis'!$C126,$A130-126,1))</f>
        <v/>
      </c>
      <c r="DZ130" s="29" t="str">
        <f>IF(OR($B130="",$A130&lt;=127),"",--MID('Key Analysis'!$C126,$A130-127,1))</f>
        <v/>
      </c>
      <c r="EA130" s="29" t="str">
        <f>IF(OR($B130="",$A130&lt;=128),"",--MID('Key Analysis'!$C126,$A130-128,1))</f>
        <v/>
      </c>
      <c r="EB130" s="29" t="str">
        <f>IF(OR($B130="",$A130&lt;=129),"",--MID('Key Analysis'!$C126,$A130-129,1))</f>
        <v/>
      </c>
      <c r="EC130" s="29" t="str">
        <f>IF(OR($B130="",$A130&lt;=130),"",--MID('Key Analysis'!$C126,$A130-130,1))</f>
        <v/>
      </c>
      <c r="ED130" s="29" t="str">
        <f>IF(OR($B130="",$A130&lt;=131),"",--MID('Key Analysis'!$C126,$A130-131,1))</f>
        <v/>
      </c>
      <c r="EE130" s="29" t="str">
        <f>IF(OR($B130="",$A130&lt;=132),"",--MID('Key Analysis'!$C126,$A130-132,1))</f>
        <v/>
      </c>
      <c r="EF130" s="29" t="str">
        <f>IF(OR($B130="",$A130&lt;=133),"",--MID('Key Analysis'!$C126,$A130-133,1))</f>
        <v/>
      </c>
      <c r="EG130" s="29" t="str">
        <f>IF(OR($B130="",$A130&lt;=134),"",--MID('Key Analysis'!$C126,$A130-134,1))</f>
        <v/>
      </c>
      <c r="EH130" s="29"/>
      <c r="EI130" s="29">
        <f>IF(OR($B130="",$A130&lt;1),"",--MID('Key Analysis'!$C126,1,1))</f>
        <v>1</v>
      </c>
      <c r="EJ130" s="29">
        <f>IF(OR($B130="",$A130&lt;2),"",--MID('Key Analysis'!$C126,2,1))</f>
        <v>1</v>
      </c>
      <c r="EK130" s="29">
        <f>IF(OR($B130="",$A130&lt;3),"",--MID('Key Analysis'!$C126,3,1))</f>
        <v>1</v>
      </c>
      <c r="EL130" s="29">
        <f>IF(OR($B130="",$A130&lt;4),"",--MID('Key Analysis'!$C126,4,1))</f>
        <v>0</v>
      </c>
      <c r="EM130" s="29">
        <f>IF(OR($B130="",$A130&lt;5),"",--MID('Key Analysis'!$C126,5,1))</f>
        <v>0</v>
      </c>
      <c r="EN130" s="29">
        <f>IF(OR($B130="",$A130&lt;6),"",--MID('Key Analysis'!$C126,6,1))</f>
        <v>0</v>
      </c>
      <c r="EO130" s="29">
        <f>IF(OR($B130="",$A130&lt;7),"",--MID('Key Analysis'!$C126,7,1))</f>
        <v>1</v>
      </c>
      <c r="EP130" s="29">
        <f>IF(OR($B130="",$A130&lt;8),"",--MID('Key Analysis'!$C126,8,1))</f>
        <v>0</v>
      </c>
      <c r="EQ130" s="29">
        <f>IF(OR($B130="",$A130&lt;9),"",--MID('Key Analysis'!$C126,9,1))</f>
        <v>1</v>
      </c>
      <c r="ER130" s="29">
        <f>IF(OR($B130="",$A130&lt;10),"",--MID('Key Analysis'!$C126,10,1))</f>
        <v>0</v>
      </c>
      <c r="ES130" s="29">
        <f>IF(OR($B130="",$A130&lt;11),"",--MID('Key Analysis'!$C126,11,1))</f>
        <v>0</v>
      </c>
      <c r="ET130" s="29">
        <f>IF(OR($B130="",$A130&lt;12),"",--MID('Key Analysis'!$C126,12,1))</f>
        <v>1</v>
      </c>
      <c r="EU130" s="29">
        <f>IF(OR($B130="",$A130&lt;13),"",--MID('Key Analysis'!$C126,13,1))</f>
        <v>1</v>
      </c>
      <c r="EV130" s="29">
        <f>IF(OR($B130="",$A130&lt;14),"",--MID('Key Analysis'!$C126,14,1))</f>
        <v>0</v>
      </c>
      <c r="EW130" s="29">
        <f>IF(OR($B130="",$A130&lt;15),"",--MID('Key Analysis'!$C126,15,1))</f>
        <v>0</v>
      </c>
      <c r="EX130" s="29">
        <f>IF(OR($B130="",$A130&lt;16),"",--MID('Key Analysis'!$C126,16,1))</f>
        <v>1</v>
      </c>
      <c r="EY130" s="29">
        <f>IF(OR($B130="",$A130&lt;17),"",--MID('Key Analysis'!$C126,17,1))</f>
        <v>1</v>
      </c>
      <c r="EZ130" s="29">
        <f>IF(OR($B130="",$A130&lt;18),"",--MID('Key Analysis'!$C126,18,1))</f>
        <v>1</v>
      </c>
      <c r="FA130" s="29">
        <f>IF(OR($B130="",$A130&lt;19),"",--MID('Key Analysis'!$C126,19,1))</f>
        <v>0</v>
      </c>
      <c r="FB130" s="29">
        <f>IF(OR($B130="",$A130&lt;20),"",--MID('Key Analysis'!$C126,20,1))</f>
        <v>1</v>
      </c>
      <c r="FC130" s="29">
        <f>IF(OR($B130="",$A130&lt;21),"",--MID('Key Analysis'!$C126,21,1))</f>
        <v>1</v>
      </c>
      <c r="FD130" s="29">
        <f>IF(OR($B130="",$A130&lt;22),"",--MID('Key Analysis'!$C126,22,1))</f>
        <v>0</v>
      </c>
      <c r="FE130" s="29">
        <f>IF(OR($B130="",$A130&lt;23),"",--MID('Key Analysis'!$C126,23,1))</f>
        <v>1</v>
      </c>
      <c r="FF130" s="29">
        <f>IF(OR($B130="",$A130&lt;24),"",--MID('Key Analysis'!$C126,24,1))</f>
        <v>1</v>
      </c>
      <c r="FG130" s="29">
        <f>IF(OR($B130="",$A130&lt;25),"",--MID('Key Analysis'!$C126,25,1))</f>
        <v>0</v>
      </c>
      <c r="FH130" s="29">
        <f>IF(OR($B130="",$A130&lt;26),"",--MID('Key Analysis'!$C126,26,1))</f>
        <v>1</v>
      </c>
      <c r="FI130" s="29">
        <f>IF(OR($B130="",$A130&lt;27),"",--MID('Key Analysis'!$C126,27,1))</f>
        <v>0</v>
      </c>
      <c r="FJ130" s="29">
        <f>IF(OR($B130="",$A130&lt;28),"",--MID('Key Analysis'!$C126,28,1))</f>
        <v>1</v>
      </c>
      <c r="FK130" s="29">
        <f>IF(OR($B130="",$A130&lt;29),"",--MID('Key Analysis'!$C126,29,1))</f>
        <v>1</v>
      </c>
      <c r="FL130" s="29">
        <f>IF(OR($B130="",$A130&lt;30),"",--MID('Key Analysis'!$C126,30,1))</f>
        <v>1</v>
      </c>
      <c r="FM130" s="29">
        <f>IF(OR($B130="",$A130&lt;31),"",--MID('Key Analysis'!$C126,31,1))</f>
        <v>0</v>
      </c>
      <c r="FN130" s="29">
        <f>IF(OR($B130="",$A130&lt;32),"",--MID('Key Analysis'!$C126,32,1))</f>
        <v>1</v>
      </c>
      <c r="FO130" s="29">
        <f>IF(OR($B130="",$A130&lt;33),"",--MID('Key Analysis'!$C126,33,1))</f>
        <v>1</v>
      </c>
      <c r="FP130" s="29">
        <f>IF(OR($B130="",$A130&lt;34),"",--MID('Key Analysis'!$C126,34,1))</f>
        <v>0</v>
      </c>
      <c r="FQ130" s="29">
        <f>IF(OR($B130="",$A130&lt;35),"",--MID('Key Analysis'!$C126,35,1))</f>
        <v>1</v>
      </c>
      <c r="FR130" s="29">
        <f>IF(OR($B130="",$A130&lt;36),"",--MID('Key Analysis'!$C126,36,1))</f>
        <v>1</v>
      </c>
      <c r="FS130" s="29">
        <f>IF(OR($B130="",$A130&lt;37),"",--MID('Key Analysis'!$C126,37,1))</f>
        <v>1</v>
      </c>
      <c r="FT130" s="29">
        <f>IF(OR($B130="",$A130&lt;38),"",--MID('Key Analysis'!$C126,38,1))</f>
        <v>1</v>
      </c>
      <c r="FU130" s="29">
        <f>IF(OR($B130="",$A130&lt;39),"",--MID('Key Analysis'!$C126,39,1))</f>
        <v>1</v>
      </c>
      <c r="FV130" s="29">
        <f>IF(OR($B130="",$A130&lt;40),"",--MID('Key Analysis'!$C126,40,1))</f>
        <v>1</v>
      </c>
      <c r="FW130" s="29">
        <f>IF(OR($B130="",$A130&lt;41),"",--MID('Key Analysis'!$C126,41,1))</f>
        <v>1</v>
      </c>
      <c r="FX130" s="29">
        <f>IF(OR($B130="",$A130&lt;42),"",--MID('Key Analysis'!$C126,42,1))</f>
        <v>0</v>
      </c>
      <c r="FY130" s="29">
        <f>IF(OR($B130="",$A130&lt;43),"",--MID('Key Analysis'!$C126,43,1))</f>
        <v>0</v>
      </c>
      <c r="FZ130" s="29">
        <f>IF(OR($B130="",$A130&lt;44),"",--MID('Key Analysis'!$C126,44,1))</f>
        <v>0</v>
      </c>
      <c r="GA130" s="29">
        <f>IF(OR($B130="",$A130&lt;45),"",--MID('Key Analysis'!$C126,45,1))</f>
        <v>0</v>
      </c>
      <c r="GB130" s="29">
        <f>IF(OR($B130="",$A130&lt;46),"",--MID('Key Analysis'!$C126,46,1))</f>
        <v>1</v>
      </c>
      <c r="GC130" s="29">
        <f>IF(OR($B130="",$A130&lt;47),"",--MID('Key Analysis'!$C126,47,1))</f>
        <v>0</v>
      </c>
      <c r="GD130" s="29">
        <f>IF(OR($B130="",$A130&lt;48),"",--MID('Key Analysis'!$C126,48,1))</f>
        <v>0</v>
      </c>
      <c r="GE130" s="29">
        <f>IF(OR($B130="",$A130&lt;49),"",--MID('Key Analysis'!$C126,49,1))</f>
        <v>0</v>
      </c>
      <c r="GF130" s="29">
        <f>IF(OR($B130="",$A130&lt;50),"",--MID('Key Analysis'!$C126,50,1))</f>
        <v>0</v>
      </c>
      <c r="GG130" s="29">
        <f>IF(OR($B130="",$A130&lt;51),"",--MID('Key Analysis'!$C126,51,1))</f>
        <v>0</v>
      </c>
      <c r="GH130" s="29">
        <f>IF(OR($B130="",$A130&lt;52),"",--MID('Key Analysis'!$C126,52,1))</f>
        <v>0</v>
      </c>
      <c r="GI130" s="29">
        <f>IF(OR($B130="",$A130&lt;53),"",--MID('Key Analysis'!$C126,53,1))</f>
        <v>0</v>
      </c>
      <c r="GJ130" s="29">
        <f>IF(OR($B130="",$A130&lt;54),"",--MID('Key Analysis'!$C126,54,1))</f>
        <v>0</v>
      </c>
      <c r="GK130" s="29">
        <f>IF(OR($B130="",$A130&lt;55),"",--MID('Key Analysis'!$C126,55,1))</f>
        <v>1</v>
      </c>
      <c r="GL130" s="29">
        <f>IF(OR($B130="",$A130&lt;56),"",--MID('Key Analysis'!$C126,56,1))</f>
        <v>0</v>
      </c>
      <c r="GM130" s="29">
        <f>IF(OR($B130="",$A130&lt;57),"",--MID('Key Analysis'!$C126,57,1))</f>
        <v>0</v>
      </c>
      <c r="GN130" s="29">
        <f>IF(OR($B130="",$A130&lt;58),"",--MID('Key Analysis'!$C126,58,1))</f>
        <v>1</v>
      </c>
      <c r="GO130" s="29">
        <f>IF(OR($B130="",$A130&lt;59),"",--MID('Key Analysis'!$C126,59,1))</f>
        <v>1</v>
      </c>
      <c r="GP130" s="29">
        <f>IF(OR($B130="",$A130&lt;60),"",--MID('Key Analysis'!$C126,60,1))</f>
        <v>1</v>
      </c>
      <c r="GQ130" s="29">
        <f>IF(OR($B130="",$A130&lt;61),"",--MID('Key Analysis'!$C126,61,1))</f>
        <v>0</v>
      </c>
      <c r="GR130" s="29">
        <f>IF(OR($B130="",$A130&lt;62),"",--MID('Key Analysis'!$C126,62,1))</f>
        <v>0</v>
      </c>
      <c r="GS130" s="29">
        <f>IF(OR($B130="",$A130&lt;63),"",--MID('Key Analysis'!$C126,63,1))</f>
        <v>0</v>
      </c>
      <c r="GT130" s="29">
        <f>IF(OR($B130="",$A130&lt;64),"",--MID('Key Analysis'!$C126,64,1))</f>
        <v>0</v>
      </c>
      <c r="GU130" s="29">
        <f>IF(OR($B130="",$A130&lt;65),"",--MID('Key Analysis'!$C126,65,1))</f>
        <v>0</v>
      </c>
      <c r="GV130" s="29">
        <f>IF(OR($B130="",$A130&lt;66),"",--MID('Key Analysis'!$C126,66,1))</f>
        <v>1</v>
      </c>
      <c r="GW130" s="29">
        <f>IF(OR($B130="",$A130&lt;67),"",--MID('Key Analysis'!$C126,67,1))</f>
        <v>0</v>
      </c>
      <c r="GX130" s="29">
        <f>IF(OR($B130="",$A130&lt;68),"",--MID('Key Analysis'!$C126,68,1))</f>
        <v>0</v>
      </c>
      <c r="GY130" s="29">
        <f>IF(OR($B130="",$A130&lt;69),"",--MID('Key Analysis'!$C126,69,1))</f>
        <v>1</v>
      </c>
      <c r="GZ130" s="29">
        <f>IF(OR($B130="",$A130&lt;70),"",--MID('Key Analysis'!$C126,70,1))</f>
        <v>1</v>
      </c>
      <c r="HA130" s="29">
        <f>IF(OR($B130="",$A130&lt;71),"",--MID('Key Analysis'!$C126,71,1))</f>
        <v>0</v>
      </c>
      <c r="HB130" s="29">
        <f>IF(OR($B130="",$A130&lt;72),"",--MID('Key Analysis'!$C126,72,1))</f>
        <v>0</v>
      </c>
      <c r="HC130" s="29">
        <f>IF(OR($B130="",$A130&lt;73),"",--MID('Key Analysis'!$C126,73,1))</f>
        <v>1</v>
      </c>
      <c r="HD130" s="29">
        <f>IF(OR($B130="",$A130&lt;74),"",--MID('Key Analysis'!$C126,74,1))</f>
        <v>0</v>
      </c>
      <c r="HE130" s="29">
        <f>IF(OR($B130="",$A130&lt;75),"",--MID('Key Analysis'!$C126,75,1))</f>
        <v>1</v>
      </c>
      <c r="HF130" s="29">
        <f>IF(OR($B130="",$A130&lt;76),"",--MID('Key Analysis'!$C126,76,1))</f>
        <v>1</v>
      </c>
      <c r="HG130" s="29">
        <f>IF(OR($B130="",$A130&lt;77),"",--MID('Key Analysis'!$C126,77,1))</f>
        <v>0</v>
      </c>
      <c r="HH130" s="29">
        <f>IF(OR($B130="",$A130&lt;78),"",--MID('Key Analysis'!$C126,78,1))</f>
        <v>0</v>
      </c>
      <c r="HI130" s="29">
        <f>IF(OR($B130="",$A130&lt;79),"",--MID('Key Analysis'!$C126,79,1))</f>
        <v>0</v>
      </c>
      <c r="HJ130" s="29">
        <f>IF(OR($B130="",$A130&lt;80),"",--MID('Key Analysis'!$C126,80,1))</f>
        <v>0</v>
      </c>
      <c r="HK130" s="29">
        <f>IF(OR($B130="",$A130&lt;81),"",--MID('Key Analysis'!$C126,81,1))</f>
        <v>0</v>
      </c>
      <c r="HL130" s="29">
        <f>IF(OR($B130="",$A130&lt;82),"",--MID('Key Analysis'!$C126,82,1))</f>
        <v>0</v>
      </c>
      <c r="HM130" s="29">
        <f>IF(OR($B130="",$A130&lt;83),"",--MID('Key Analysis'!$C126,83,1))</f>
        <v>0</v>
      </c>
      <c r="HN130" s="29">
        <f>IF(OR($B130="",$A130&lt;84),"",--MID('Key Analysis'!$C126,84,1))</f>
        <v>1</v>
      </c>
      <c r="HO130" s="29">
        <f>IF(OR($B130="",$A130&lt;85),"",--MID('Key Analysis'!$C126,85,1))</f>
        <v>0</v>
      </c>
      <c r="HP130" s="29">
        <f>IF(OR($B130="",$A130&lt;86),"",--MID('Key Analysis'!$C126,86,1))</f>
        <v>0</v>
      </c>
      <c r="HQ130" s="29">
        <f>IF(OR($B130="",$A130&lt;87),"",--MID('Key Analysis'!$C126,87,1))</f>
        <v>0</v>
      </c>
      <c r="HR130" s="29">
        <f>IF(OR($B130="",$A130&lt;88),"",--MID('Key Analysis'!$C126,88,1))</f>
        <v>1</v>
      </c>
      <c r="HS130" s="29">
        <f>IF(OR($B130="",$A130&lt;89),"",--MID('Key Analysis'!$C126,89,1))</f>
        <v>0</v>
      </c>
      <c r="HT130" s="29">
        <f>IF(OR($B130="",$A130&lt;90),"",--MID('Key Analysis'!$C126,90,1))</f>
        <v>0</v>
      </c>
      <c r="HU130" s="29">
        <f>IF(OR($B130="",$A130&lt;91),"",--MID('Key Analysis'!$C126,91,1))</f>
        <v>1</v>
      </c>
      <c r="HV130" s="29">
        <f>IF(OR($B130="",$A130&lt;92),"",--MID('Key Analysis'!$C126,92,1))</f>
        <v>0</v>
      </c>
      <c r="HW130" s="29">
        <f>IF(OR($B130="",$A130&lt;93),"",--MID('Key Analysis'!$C126,93,1))</f>
        <v>1</v>
      </c>
      <c r="HX130" s="29">
        <f>IF(OR($B130="",$A130&lt;94),"",--MID('Key Analysis'!$C126,94,1))</f>
        <v>1</v>
      </c>
      <c r="HY130" s="29">
        <f>IF(OR($B130="",$A130&lt;95),"",--MID('Key Analysis'!$C126,95,1))</f>
        <v>1</v>
      </c>
      <c r="HZ130" s="29">
        <f>IF(OR($B130="",$A130&lt;96),"",--MID('Key Analysis'!$C126,96,1))</f>
        <v>1</v>
      </c>
      <c r="IA130" s="29">
        <f>IF(OR($B130="",$A130&lt;97),"",--MID('Key Analysis'!$C126,97,1))</f>
        <v>0</v>
      </c>
      <c r="IB130" s="29">
        <f>IF(OR($B130="",$A130&lt;98),"",--MID('Key Analysis'!$C126,98,1))</f>
        <v>0</v>
      </c>
      <c r="IC130" s="29">
        <f>IF(OR($B130="",$A130&lt;99),"",--MID('Key Analysis'!$C126,99,1))</f>
        <v>1</v>
      </c>
      <c r="ID130" s="29">
        <f>IF(OR($B130="",$A130&lt;100),"",--MID('Key Analysis'!$C126,100,1))</f>
        <v>0</v>
      </c>
      <c r="IE130" s="29">
        <f>IF(OR($B130="",$A130&lt;101),"",--MID('Key Analysis'!$C126,101,1))</f>
        <v>0</v>
      </c>
      <c r="IF130" s="29">
        <f>IF(OR($B130="",$A130&lt;102),"",--MID('Key Analysis'!$C126,102,1))</f>
        <v>0</v>
      </c>
      <c r="IG130" s="29">
        <f>IF(OR($B130="",$A130&lt;103),"",--MID('Key Analysis'!$C126,103,1))</f>
        <v>1</v>
      </c>
      <c r="IH130" s="29">
        <f>IF(OR($B130="",$A130&lt;104),"",--MID('Key Analysis'!$C126,104,1))</f>
        <v>0</v>
      </c>
      <c r="II130" s="29">
        <f>IF(OR($B130="",$A130&lt;105),"",--MID('Key Analysis'!$C126,105,1))</f>
        <v>0</v>
      </c>
      <c r="IJ130" s="29">
        <f>IF(OR($B130="",$A130&lt;106),"",--MID('Key Analysis'!$C126,106,1))</f>
        <v>1</v>
      </c>
      <c r="IK130" s="29">
        <f>IF(OR($B130="",$A130&lt;107),"",--MID('Key Analysis'!$C126,107,1))</f>
        <v>0</v>
      </c>
      <c r="IL130" s="29">
        <f>IF(OR($B130="",$A130&lt;108),"",--MID('Key Analysis'!$C126,108,1))</f>
        <v>0</v>
      </c>
      <c r="IM130" s="29">
        <f>IF(OR($B130="",$A130&lt;109),"",--MID('Key Analysis'!$C126,109,1))</f>
        <v>0</v>
      </c>
      <c r="IN130" s="29">
        <f>IF(OR($B130="",$A130&lt;110),"",--MID('Key Analysis'!$C126,110,1))</f>
        <v>0</v>
      </c>
      <c r="IO130" s="29">
        <f>IF(OR($B130="",$A130&lt;111),"",--MID('Key Analysis'!$C126,111,1))</f>
        <v>1</v>
      </c>
      <c r="IP130" s="29">
        <f>IF(OR($B130="",$A130&lt;112),"",--MID('Key Analysis'!$C126,112,1))</f>
        <v>1</v>
      </c>
      <c r="IQ130" s="29">
        <f>IF(OR($B130="",$A130&lt;113),"",--MID('Key Analysis'!$C126,113,1))</f>
        <v>1</v>
      </c>
      <c r="IR130" s="29">
        <f>IF(OR($B130="",$A130&lt;114),"",--MID('Key Analysis'!$C126,114,1))</f>
        <v>0</v>
      </c>
      <c r="IS130" s="29">
        <f>IF(OR($B130="",$A130&lt;115),"",--MID('Key Analysis'!$C126,115,1))</f>
        <v>1</v>
      </c>
      <c r="IT130" s="29">
        <f>IF(OR($B130="",$A130&lt;116),"",--MID('Key Analysis'!$C126,116,1))</f>
        <v>1</v>
      </c>
      <c r="IU130" s="29">
        <f>IF(OR($B130="",$A130&lt;117),"",--MID('Key Analysis'!$C126,117,1))</f>
        <v>1</v>
      </c>
      <c r="IV130" s="29">
        <f>IF(OR($B130="",$A130&lt;118),"",--MID('Key Analysis'!$C126,118,1))</f>
        <v>1</v>
      </c>
      <c r="IW130" s="29">
        <f>IF(OR($B130="",$A130&lt;119),"",--MID('Key Analysis'!$C126,119,1))</f>
        <v>0</v>
      </c>
      <c r="IX130" s="29">
        <f>IF(OR($B130="",$A130&lt;120),"",--MID('Key Analysis'!$C126,120,1))</f>
        <v>1</v>
      </c>
      <c r="IY130" s="29">
        <f>IF(OR($B130="",$A130&lt;121),"",--MID('Key Analysis'!$C126,121,1))</f>
        <v>0</v>
      </c>
      <c r="IZ130" s="29">
        <f>IF(OR($B130="",$A130&lt;122),"",--MID('Key Analysis'!$C126,122,1))</f>
        <v>1</v>
      </c>
      <c r="JA130" s="29">
        <f>IF(OR($B130="",$A130&lt;123),"",--MID('Key Analysis'!$C126,123,1))</f>
        <v>1</v>
      </c>
      <c r="JB130" s="29">
        <f>IF(OR($B130="",$A130&lt;124),"",--MID('Key Analysis'!$C126,124,1))</f>
        <v>0</v>
      </c>
      <c r="JC130" s="29">
        <f>IF(OR($B130="",$A130&lt;125),"",--MID('Key Analysis'!$C126,125,1))</f>
        <v>0</v>
      </c>
      <c r="JD130" s="29" t="str">
        <f>IF(OR($B130="",$A130&lt;126),"",--MID('Key Analysis'!$C126,126,1))</f>
        <v/>
      </c>
      <c r="JE130" s="29" t="str">
        <f>IF(OR($B130="",$A130&lt;127),"",--MID('Key Analysis'!$C126,127,1))</f>
        <v/>
      </c>
      <c r="JF130" s="29" t="str">
        <f>IF(OR($B130="",$A130&lt;128),"",--MID('Key Analysis'!$C126,128,1))</f>
        <v/>
      </c>
      <c r="JG130" s="29" t="str">
        <f>IF(OR($B130="",$A130&lt;129),"",--MID('Key Analysis'!$C126,129,1))</f>
        <v/>
      </c>
      <c r="JH130" s="29" t="str">
        <f>IF(OR($B130="",$A130&lt;130),"",--MID('Key Analysis'!$C126,130,1))</f>
        <v/>
      </c>
      <c r="JI130" s="29" t="str">
        <f>IF(OR($B130="",$A130&lt;131),"",--MID('Key Analysis'!$C126,131,1))</f>
        <v/>
      </c>
      <c r="JJ130" s="29" t="str">
        <f>IF(OR($B130="",$A130&lt;132),"",--MID('Key Analysis'!$C126,132,1))</f>
        <v/>
      </c>
      <c r="JK130" s="29" t="str">
        <f>IF(OR($B130="",$A130&lt;133),"",--MID('Key Analysis'!$C126,133,1))</f>
        <v/>
      </c>
      <c r="JL130" s="29" t="str">
        <f>IF(OR($B130="",$A130&lt;134),"",--MID('Key Analysis'!$C126,134,1))</f>
        <v/>
      </c>
      <c r="JM130" s="29" t="str">
        <f>IF(OR($B130="",$A130&lt;135),"",--MID('Key Analysis'!$C126,135,1))</f>
        <v/>
      </c>
    </row>
    <row r="131" spans="1:273" x14ac:dyDescent="0.25">
      <c r="A131" s="21">
        <f>'Key Analysis'!A127</f>
        <v>126</v>
      </c>
      <c r="B131" s="30" t="str">
        <f>'Key Analysis'!B127</f>
        <v/>
      </c>
      <c r="C131" s="29" t="str">
        <f>IF(OR($B131="",$A131&lt;=0),"",--MID('Key Analysis'!$C127,$A131-0,1))</f>
        <v/>
      </c>
      <c r="D131" s="29" t="str">
        <f>IF(OR($B131="",$A131&lt;=1),"",--MID('Key Analysis'!$C127,$A131-1,1))</f>
        <v/>
      </c>
      <c r="E131" s="29" t="str">
        <f>IF(OR($B131="",$A131&lt;=2),"",--MID('Key Analysis'!$C127,$A131-2,1))</f>
        <v/>
      </c>
      <c r="F131" s="29" t="str">
        <f>IF(OR($B131="",$A131&lt;=3),"",--MID('Key Analysis'!$C127,$A131-3,1))</f>
        <v/>
      </c>
      <c r="G131" s="29" t="str">
        <f>IF(OR($B131="",$A131&lt;=4),"",--MID('Key Analysis'!$C127,$A131-4,1))</f>
        <v/>
      </c>
      <c r="H131" s="29" t="str">
        <f>IF(OR($B131="",$A131&lt;=5),"",--MID('Key Analysis'!$C127,$A131-5,1))</f>
        <v/>
      </c>
      <c r="I131" s="29" t="str">
        <f>IF(OR($B131="",$A131&lt;=6),"",--MID('Key Analysis'!$C127,$A131-6,1))</f>
        <v/>
      </c>
      <c r="J131" s="29" t="str">
        <f>IF(OR($B131="",$A131&lt;=7),"",--MID('Key Analysis'!$C127,$A131-7,1))</f>
        <v/>
      </c>
      <c r="K131" s="29" t="str">
        <f>IF(OR($B131="",$A131&lt;=8),"",--MID('Key Analysis'!$C127,$A131-8,1))</f>
        <v/>
      </c>
      <c r="L131" s="29" t="str">
        <f>IF(OR($B131="",$A131&lt;=9),"",--MID('Key Analysis'!$C127,$A131-9,1))</f>
        <v/>
      </c>
      <c r="M131" s="29" t="str">
        <f>IF(OR($B131="",$A131&lt;=10),"",--MID('Key Analysis'!$C127,$A131-10,1))</f>
        <v/>
      </c>
      <c r="N131" s="29" t="str">
        <f>IF(OR($B131="",$A131&lt;=11),"",--MID('Key Analysis'!$C127,$A131-11,1))</f>
        <v/>
      </c>
      <c r="O131" s="29" t="str">
        <f>IF(OR($B131="",$A131&lt;=12),"",--MID('Key Analysis'!$C127,$A131-12,1))</f>
        <v/>
      </c>
      <c r="P131" s="29" t="str">
        <f>IF(OR($B131="",$A131&lt;=13),"",--MID('Key Analysis'!$C127,$A131-13,1))</f>
        <v/>
      </c>
      <c r="Q131" s="29" t="str">
        <f>IF(OR($B131="",$A131&lt;=14),"",--MID('Key Analysis'!$C127,$A131-14,1))</f>
        <v/>
      </c>
      <c r="R131" s="29" t="str">
        <f>IF(OR($B131="",$A131&lt;=15),"",--MID('Key Analysis'!$C127,$A131-15,1))</f>
        <v/>
      </c>
      <c r="S131" s="29" t="str">
        <f>IF(OR($B131="",$A131&lt;=16),"",--MID('Key Analysis'!$C127,$A131-16,1))</f>
        <v/>
      </c>
      <c r="T131" s="29" t="str">
        <f>IF(OR($B131="",$A131&lt;=17),"",--MID('Key Analysis'!$C127,$A131-17,1))</f>
        <v/>
      </c>
      <c r="U131" s="29" t="str">
        <f>IF(OR($B131="",$A131&lt;=18),"",--MID('Key Analysis'!$C127,$A131-18,1))</f>
        <v/>
      </c>
      <c r="V131" s="29" t="str">
        <f>IF(OR($B131="",$A131&lt;=19),"",--MID('Key Analysis'!$C127,$A131-19,1))</f>
        <v/>
      </c>
      <c r="W131" s="29" t="str">
        <f>IF(OR($B131="",$A131&lt;=20),"",--MID('Key Analysis'!$C127,$A131-20,1))</f>
        <v/>
      </c>
      <c r="X131" s="29" t="str">
        <f>IF(OR($B131="",$A131&lt;=21),"",--MID('Key Analysis'!$C127,$A131-21,1))</f>
        <v/>
      </c>
      <c r="Y131" s="29" t="str">
        <f>IF(OR($B131="",$A131&lt;=22),"",--MID('Key Analysis'!$C127,$A131-22,1))</f>
        <v/>
      </c>
      <c r="Z131" s="29" t="str">
        <f>IF(OR($B131="",$A131&lt;=23),"",--MID('Key Analysis'!$C127,$A131-23,1))</f>
        <v/>
      </c>
      <c r="AA131" s="29" t="str">
        <f>IF(OR($B131="",$A131&lt;=24),"",--MID('Key Analysis'!$C127,$A131-24,1))</f>
        <v/>
      </c>
      <c r="AB131" s="29" t="str">
        <f>IF(OR($B131="",$A131&lt;=25),"",--MID('Key Analysis'!$C127,$A131-25,1))</f>
        <v/>
      </c>
      <c r="AC131" s="29" t="str">
        <f>IF(OR($B131="",$A131&lt;=26),"",--MID('Key Analysis'!$C127,$A131-26,1))</f>
        <v/>
      </c>
      <c r="AD131" s="29" t="str">
        <f>IF(OR($B131="",$A131&lt;=27),"",--MID('Key Analysis'!$C127,$A131-27,1))</f>
        <v/>
      </c>
      <c r="AE131" s="29" t="str">
        <f>IF(OR($B131="",$A131&lt;=28),"",--MID('Key Analysis'!$C127,$A131-28,1))</f>
        <v/>
      </c>
      <c r="AF131" s="29" t="str">
        <f>IF(OR($B131="",$A131&lt;=29),"",--MID('Key Analysis'!$C127,$A131-29,1))</f>
        <v/>
      </c>
      <c r="AG131" s="29" t="str">
        <f>IF(OR($B131="",$A131&lt;=30),"",--MID('Key Analysis'!$C127,$A131-30,1))</f>
        <v/>
      </c>
      <c r="AH131" s="29" t="str">
        <f>IF(OR($B131="",$A131&lt;=31),"",--MID('Key Analysis'!$C127,$A131-31,1))</f>
        <v/>
      </c>
      <c r="AI131" s="29" t="str">
        <f>IF(OR($B131="",$A131&lt;=32),"",--MID('Key Analysis'!$C127,$A131-32,1))</f>
        <v/>
      </c>
      <c r="AJ131" s="29" t="str">
        <f>IF(OR($B131="",$A131&lt;=33),"",--MID('Key Analysis'!$C127,$A131-33,1))</f>
        <v/>
      </c>
      <c r="AK131" s="29" t="str">
        <f>IF(OR($B131="",$A131&lt;=34),"",--MID('Key Analysis'!$C127,$A131-34,1))</f>
        <v/>
      </c>
      <c r="AL131" s="29" t="str">
        <f>IF(OR($B131="",$A131&lt;=35),"",--MID('Key Analysis'!$C127,$A131-35,1))</f>
        <v/>
      </c>
      <c r="AM131" s="29" t="str">
        <f>IF(OR($B131="",$A131&lt;=36),"",--MID('Key Analysis'!$C127,$A131-36,1))</f>
        <v/>
      </c>
      <c r="AN131" s="29" t="str">
        <f>IF(OR($B131="",$A131&lt;=37),"",--MID('Key Analysis'!$C127,$A131-37,1))</f>
        <v/>
      </c>
      <c r="AO131" s="29" t="str">
        <f>IF(OR($B131="",$A131&lt;=38),"",--MID('Key Analysis'!$C127,$A131-38,1))</f>
        <v/>
      </c>
      <c r="AP131" s="29" t="str">
        <f>IF(OR($B131="",$A131&lt;=39),"",--MID('Key Analysis'!$C127,$A131-39,1))</f>
        <v/>
      </c>
      <c r="AQ131" s="29" t="str">
        <f>IF(OR($B131="",$A131&lt;=40),"",--MID('Key Analysis'!$C127,$A131-40,1))</f>
        <v/>
      </c>
      <c r="AR131" s="29" t="str">
        <f>IF(OR($B131="",$A131&lt;=41),"",--MID('Key Analysis'!$C127,$A131-41,1))</f>
        <v/>
      </c>
      <c r="AS131" s="29" t="str">
        <f>IF(OR($B131="",$A131&lt;=42),"",--MID('Key Analysis'!$C127,$A131-42,1))</f>
        <v/>
      </c>
      <c r="AT131" s="29" t="str">
        <f>IF(OR($B131="",$A131&lt;=43),"",--MID('Key Analysis'!$C127,$A131-43,1))</f>
        <v/>
      </c>
      <c r="AU131" s="29" t="str">
        <f>IF(OR($B131="",$A131&lt;=44),"",--MID('Key Analysis'!$C127,$A131-44,1))</f>
        <v/>
      </c>
      <c r="AV131" s="29" t="str">
        <f>IF(OR($B131="",$A131&lt;=45),"",--MID('Key Analysis'!$C127,$A131-45,1))</f>
        <v/>
      </c>
      <c r="AW131" s="29" t="str">
        <f>IF(OR($B131="",$A131&lt;=46),"",--MID('Key Analysis'!$C127,$A131-46,1))</f>
        <v/>
      </c>
      <c r="AX131" s="29" t="str">
        <f>IF(OR($B131="",$A131&lt;=47),"",--MID('Key Analysis'!$C127,$A131-47,1))</f>
        <v/>
      </c>
      <c r="AY131" s="29" t="str">
        <f>IF(OR($B131="",$A131&lt;=48),"",--MID('Key Analysis'!$C127,$A131-48,1))</f>
        <v/>
      </c>
      <c r="AZ131" s="29" t="str">
        <f>IF(OR($B131="",$A131&lt;=49),"",--MID('Key Analysis'!$C127,$A131-49,1))</f>
        <v/>
      </c>
      <c r="BA131" s="29" t="str">
        <f>IF(OR($B131="",$A131&lt;=50),"",--MID('Key Analysis'!$C127,$A131-50,1))</f>
        <v/>
      </c>
      <c r="BB131" s="29" t="str">
        <f>IF(OR($B131="",$A131&lt;=51),"",--MID('Key Analysis'!$C127,$A131-51,1))</f>
        <v/>
      </c>
      <c r="BC131" s="29" t="str">
        <f>IF(OR($B131="",$A131&lt;=52),"",--MID('Key Analysis'!$C127,$A131-52,1))</f>
        <v/>
      </c>
      <c r="BD131" s="29" t="str">
        <f>IF(OR($B131="",$A131&lt;=53),"",--MID('Key Analysis'!$C127,$A131-53,1))</f>
        <v/>
      </c>
      <c r="BE131" s="29" t="str">
        <f>IF(OR($B131="",$A131&lt;=54),"",--MID('Key Analysis'!$C127,$A131-54,1))</f>
        <v/>
      </c>
      <c r="BF131" s="29" t="str">
        <f>IF(OR($B131="",$A131&lt;=55),"",--MID('Key Analysis'!$C127,$A131-55,1))</f>
        <v/>
      </c>
      <c r="BG131" s="29" t="str">
        <f>IF(OR($B131="",$A131&lt;=56),"",--MID('Key Analysis'!$C127,$A131-56,1))</f>
        <v/>
      </c>
      <c r="BH131" s="29" t="str">
        <f>IF(OR($B131="",$A131&lt;=57),"",--MID('Key Analysis'!$C127,$A131-57,1))</f>
        <v/>
      </c>
      <c r="BI131" s="29" t="str">
        <f>IF(OR($B131="",$A131&lt;=58),"",--MID('Key Analysis'!$C127,$A131-58,1))</f>
        <v/>
      </c>
      <c r="BJ131" s="29" t="str">
        <f>IF(OR($B131="",$A131&lt;=59),"",--MID('Key Analysis'!$C127,$A131-59,1))</f>
        <v/>
      </c>
      <c r="BK131" s="29" t="str">
        <f>IF(OR($B131="",$A131&lt;=60),"",--MID('Key Analysis'!$C127,$A131-60,1))</f>
        <v/>
      </c>
      <c r="BL131" s="29" t="str">
        <f>IF(OR($B131="",$A131&lt;=61),"",--MID('Key Analysis'!$C127,$A131-61,1))</f>
        <v/>
      </c>
      <c r="BM131" s="29" t="str">
        <f>IF(OR($B131="",$A131&lt;=62),"",--MID('Key Analysis'!$C127,$A131-62,1))</f>
        <v/>
      </c>
      <c r="BN131" s="29" t="str">
        <f>IF(OR($B131="",$A131&lt;=63),"",--MID('Key Analysis'!$C127,$A131-63,1))</f>
        <v/>
      </c>
      <c r="BO131" s="29" t="str">
        <f>IF(OR($B131="",$A131&lt;=64),"",--MID('Key Analysis'!$C127,$A131-64,1))</f>
        <v/>
      </c>
      <c r="BP131" s="29" t="str">
        <f>IF(OR($B131="",$A131&lt;=65),"",--MID('Key Analysis'!$C127,$A131-65,1))</f>
        <v/>
      </c>
      <c r="BQ131" s="29" t="str">
        <f>IF(OR($B131="",$A131&lt;=66),"",--MID('Key Analysis'!$C127,$A131-66,1))</f>
        <v/>
      </c>
      <c r="BR131" s="29" t="str">
        <f>IF(OR($B131="",$A131&lt;=67),"",--MID('Key Analysis'!$C127,$A131-67,1))</f>
        <v/>
      </c>
      <c r="BS131" s="29" t="str">
        <f>IF(OR($B131="",$A131&lt;=68),"",--MID('Key Analysis'!$C127,$A131-68,1))</f>
        <v/>
      </c>
      <c r="BT131" s="29" t="str">
        <f>IF(OR($B131="",$A131&lt;=69),"",--MID('Key Analysis'!$C127,$A131-69,1))</f>
        <v/>
      </c>
      <c r="BU131" s="29" t="str">
        <f>IF(OR($B131="",$A131&lt;=70),"",--MID('Key Analysis'!$C127,$A131-70,1))</f>
        <v/>
      </c>
      <c r="BV131" s="29" t="str">
        <f>IF(OR($B131="",$A131&lt;=71),"",--MID('Key Analysis'!$C127,$A131-71,1))</f>
        <v/>
      </c>
      <c r="BW131" s="29" t="str">
        <f>IF(OR($B131="",$A131&lt;=72),"",--MID('Key Analysis'!$C127,$A131-72,1))</f>
        <v/>
      </c>
      <c r="BX131" s="29" t="str">
        <f>IF(OR($B131="",$A131&lt;=73),"",--MID('Key Analysis'!$C127,$A131-73,1))</f>
        <v/>
      </c>
      <c r="BY131" s="29" t="str">
        <f>IF(OR($B131="",$A131&lt;=74),"",--MID('Key Analysis'!$C127,$A131-74,1))</f>
        <v/>
      </c>
      <c r="BZ131" s="29" t="str">
        <f>IF(OR($B131="",$A131&lt;=75),"",--MID('Key Analysis'!$C127,$A131-75,1))</f>
        <v/>
      </c>
      <c r="CA131" s="29" t="str">
        <f>IF(OR($B131="",$A131&lt;=76),"",--MID('Key Analysis'!$C127,$A131-76,1))</f>
        <v/>
      </c>
      <c r="CB131" s="29" t="str">
        <f>IF(OR($B131="",$A131&lt;=77),"",--MID('Key Analysis'!$C127,$A131-77,1))</f>
        <v/>
      </c>
      <c r="CC131" s="29" t="str">
        <f>IF(OR($B131="",$A131&lt;=78),"",--MID('Key Analysis'!$C127,$A131-78,1))</f>
        <v/>
      </c>
      <c r="CD131" s="29" t="str">
        <f>IF(OR($B131="",$A131&lt;=79),"",--MID('Key Analysis'!$C127,$A131-79,1))</f>
        <v/>
      </c>
      <c r="CE131" s="29" t="str">
        <f>IF(OR($B131="",$A131&lt;=80),"",--MID('Key Analysis'!$C127,$A131-80,1))</f>
        <v/>
      </c>
      <c r="CF131" s="29" t="str">
        <f>IF(OR($B131="",$A131&lt;=81),"",--MID('Key Analysis'!$C127,$A131-81,1))</f>
        <v/>
      </c>
      <c r="CG131" s="29" t="str">
        <f>IF(OR($B131="",$A131&lt;=82),"",--MID('Key Analysis'!$C127,$A131-82,1))</f>
        <v/>
      </c>
      <c r="CH131" s="29" t="str">
        <f>IF(OR($B131="",$A131&lt;=83),"",--MID('Key Analysis'!$C127,$A131-83,1))</f>
        <v/>
      </c>
      <c r="CI131" s="29" t="str">
        <f>IF(OR($B131="",$A131&lt;=84),"",--MID('Key Analysis'!$C127,$A131-84,1))</f>
        <v/>
      </c>
      <c r="CJ131" s="29" t="str">
        <f>IF(OR($B131="",$A131&lt;=85),"",--MID('Key Analysis'!$C127,$A131-85,1))</f>
        <v/>
      </c>
      <c r="CK131" s="29" t="str">
        <f>IF(OR($B131="",$A131&lt;=86),"",--MID('Key Analysis'!$C127,$A131-86,1))</f>
        <v/>
      </c>
      <c r="CL131" s="29" t="str">
        <f>IF(OR($B131="",$A131&lt;=87),"",--MID('Key Analysis'!$C127,$A131-87,1))</f>
        <v/>
      </c>
      <c r="CM131" s="29" t="str">
        <f>IF(OR($B131="",$A131&lt;=88),"",--MID('Key Analysis'!$C127,$A131-88,1))</f>
        <v/>
      </c>
      <c r="CN131" s="29" t="str">
        <f>IF(OR($B131="",$A131&lt;=89),"",--MID('Key Analysis'!$C127,$A131-89,1))</f>
        <v/>
      </c>
      <c r="CO131" s="29" t="str">
        <f>IF(OR($B131="",$A131&lt;=90),"",--MID('Key Analysis'!$C127,$A131-90,1))</f>
        <v/>
      </c>
      <c r="CP131" s="29" t="str">
        <f>IF(OR($B131="",$A131&lt;=91),"",--MID('Key Analysis'!$C127,$A131-91,1))</f>
        <v/>
      </c>
      <c r="CQ131" s="29" t="str">
        <f>IF(OR($B131="",$A131&lt;=92),"",--MID('Key Analysis'!$C127,$A131-92,1))</f>
        <v/>
      </c>
      <c r="CR131" s="29" t="str">
        <f>IF(OR($B131="",$A131&lt;=93),"",--MID('Key Analysis'!$C127,$A131-93,1))</f>
        <v/>
      </c>
      <c r="CS131" s="29" t="str">
        <f>IF(OR($B131="",$A131&lt;=94),"",--MID('Key Analysis'!$C127,$A131-94,1))</f>
        <v/>
      </c>
      <c r="CT131" s="29" t="str">
        <f>IF(OR($B131="",$A131&lt;=95),"",--MID('Key Analysis'!$C127,$A131-95,1))</f>
        <v/>
      </c>
      <c r="CU131" s="29" t="str">
        <f>IF(OR($B131="",$A131&lt;=96),"",--MID('Key Analysis'!$C127,$A131-96,1))</f>
        <v/>
      </c>
      <c r="CV131" s="29" t="str">
        <f>IF(OR($B131="",$A131&lt;=97),"",--MID('Key Analysis'!$C127,$A131-97,1))</f>
        <v/>
      </c>
      <c r="CW131" s="29" t="str">
        <f>IF(OR($B131="",$A131&lt;=98),"",--MID('Key Analysis'!$C127,$A131-98,1))</f>
        <v/>
      </c>
      <c r="CX131" s="29" t="str">
        <f>IF(OR($B131="",$A131&lt;=99),"",--MID('Key Analysis'!$C127,$A131-99,1))</f>
        <v/>
      </c>
      <c r="CY131" s="29" t="str">
        <f>IF(OR($B131="",$A131&lt;=100),"",--MID('Key Analysis'!$C127,$A131-100,1))</f>
        <v/>
      </c>
      <c r="CZ131" s="29" t="str">
        <f>IF(OR($B131="",$A131&lt;=101),"",--MID('Key Analysis'!$C127,$A131-101,1))</f>
        <v/>
      </c>
      <c r="DA131" s="29" t="str">
        <f>IF(OR($B131="",$A131&lt;=102),"",--MID('Key Analysis'!$C127,$A131-102,1))</f>
        <v/>
      </c>
      <c r="DB131" s="29" t="str">
        <f>IF(OR($B131="",$A131&lt;=103),"",--MID('Key Analysis'!$C127,$A131-103,1))</f>
        <v/>
      </c>
      <c r="DC131" s="29" t="str">
        <f>IF(OR($B131="",$A131&lt;=104),"",--MID('Key Analysis'!$C127,$A131-104,1))</f>
        <v/>
      </c>
      <c r="DD131" s="29" t="str">
        <f>IF(OR($B131="",$A131&lt;=105),"",--MID('Key Analysis'!$C127,$A131-105,1))</f>
        <v/>
      </c>
      <c r="DE131" s="29" t="str">
        <f>IF(OR($B131="",$A131&lt;=106),"",--MID('Key Analysis'!$C127,$A131-106,1))</f>
        <v/>
      </c>
      <c r="DF131" s="29" t="str">
        <f>IF(OR($B131="",$A131&lt;=107),"",--MID('Key Analysis'!$C127,$A131-107,1))</f>
        <v/>
      </c>
      <c r="DG131" s="29" t="str">
        <f>IF(OR($B131="",$A131&lt;=108),"",--MID('Key Analysis'!$C127,$A131-108,1))</f>
        <v/>
      </c>
      <c r="DH131" s="29" t="str">
        <f>IF(OR($B131="",$A131&lt;=109),"",--MID('Key Analysis'!$C127,$A131-109,1))</f>
        <v/>
      </c>
      <c r="DI131" s="29" t="str">
        <f>IF(OR($B131="",$A131&lt;=110),"",--MID('Key Analysis'!$C127,$A131-110,1))</f>
        <v/>
      </c>
      <c r="DJ131" s="29" t="str">
        <f>IF(OR($B131="",$A131&lt;=111),"",--MID('Key Analysis'!$C127,$A131-111,1))</f>
        <v/>
      </c>
      <c r="DK131" s="29" t="str">
        <f>IF(OR($B131="",$A131&lt;=112),"",--MID('Key Analysis'!$C127,$A131-112,1))</f>
        <v/>
      </c>
      <c r="DL131" s="29" t="str">
        <f>IF(OR($B131="",$A131&lt;=113),"",--MID('Key Analysis'!$C127,$A131-113,1))</f>
        <v/>
      </c>
      <c r="DM131" s="29" t="str">
        <f>IF(OR($B131="",$A131&lt;=114),"",--MID('Key Analysis'!$C127,$A131-114,1))</f>
        <v/>
      </c>
      <c r="DN131" s="29" t="str">
        <f>IF(OR($B131="",$A131&lt;=115),"",--MID('Key Analysis'!$C127,$A131-115,1))</f>
        <v/>
      </c>
      <c r="DO131" s="29" t="str">
        <f>IF(OR($B131="",$A131&lt;=116),"",--MID('Key Analysis'!$C127,$A131-116,1))</f>
        <v/>
      </c>
      <c r="DP131" s="29" t="str">
        <f>IF(OR($B131="",$A131&lt;=117),"",--MID('Key Analysis'!$C127,$A131-117,1))</f>
        <v/>
      </c>
      <c r="DQ131" s="29" t="str">
        <f>IF(OR($B131="",$A131&lt;=118),"",--MID('Key Analysis'!$C127,$A131-118,1))</f>
        <v/>
      </c>
      <c r="DR131" s="29" t="str">
        <f>IF(OR($B131="",$A131&lt;=119),"",--MID('Key Analysis'!$C127,$A131-119,1))</f>
        <v/>
      </c>
      <c r="DS131" s="29" t="str">
        <f>IF(OR($B131="",$A131&lt;=120),"",--MID('Key Analysis'!$C127,$A131-120,1))</f>
        <v/>
      </c>
      <c r="DT131" s="29" t="str">
        <f>IF(OR($B131="",$A131&lt;=121),"",--MID('Key Analysis'!$C127,$A131-121,1))</f>
        <v/>
      </c>
      <c r="DU131" s="29" t="str">
        <f>IF(OR($B131="",$A131&lt;=122),"",--MID('Key Analysis'!$C127,$A131-122,1))</f>
        <v/>
      </c>
      <c r="DV131" s="29" t="str">
        <f>IF(OR($B131="",$A131&lt;=123),"",--MID('Key Analysis'!$C127,$A131-123,1))</f>
        <v/>
      </c>
      <c r="DW131" s="29" t="str">
        <f>IF(OR($B131="",$A131&lt;=124),"",--MID('Key Analysis'!$C127,$A131-124,1))</f>
        <v/>
      </c>
      <c r="DX131" s="29" t="str">
        <f>IF(OR($B131="",$A131&lt;=125),"",--MID('Key Analysis'!$C127,$A131-125,1))</f>
        <v/>
      </c>
      <c r="DY131" s="29" t="str">
        <f>IF(OR($B131="",$A131&lt;=126),"",--MID('Key Analysis'!$C127,$A131-126,1))</f>
        <v/>
      </c>
      <c r="DZ131" s="29" t="str">
        <f>IF(OR($B131="",$A131&lt;=127),"",--MID('Key Analysis'!$C127,$A131-127,1))</f>
        <v/>
      </c>
      <c r="EA131" s="29" t="str">
        <f>IF(OR($B131="",$A131&lt;=128),"",--MID('Key Analysis'!$C127,$A131-128,1))</f>
        <v/>
      </c>
      <c r="EB131" s="29" t="str">
        <f>IF(OR($B131="",$A131&lt;=129),"",--MID('Key Analysis'!$C127,$A131-129,1))</f>
        <v/>
      </c>
      <c r="EC131" s="29" t="str">
        <f>IF(OR($B131="",$A131&lt;=130),"",--MID('Key Analysis'!$C127,$A131-130,1))</f>
        <v/>
      </c>
      <c r="ED131" s="29" t="str">
        <f>IF(OR($B131="",$A131&lt;=131),"",--MID('Key Analysis'!$C127,$A131-131,1))</f>
        <v/>
      </c>
      <c r="EE131" s="29" t="str">
        <f>IF(OR($B131="",$A131&lt;=132),"",--MID('Key Analysis'!$C127,$A131-132,1))</f>
        <v/>
      </c>
      <c r="EF131" s="29" t="str">
        <f>IF(OR($B131="",$A131&lt;=133),"",--MID('Key Analysis'!$C127,$A131-133,1))</f>
        <v/>
      </c>
      <c r="EG131" s="29" t="str">
        <f>IF(OR($B131="",$A131&lt;=134),"",--MID('Key Analysis'!$C127,$A131-134,1))</f>
        <v/>
      </c>
      <c r="EH131" s="29"/>
      <c r="EI131" s="29" t="str">
        <f>IF(OR($B131="",$A131&lt;1),"",--MID('Key Analysis'!$C127,1,1))</f>
        <v/>
      </c>
      <c r="EJ131" s="29" t="str">
        <f>IF(OR($B131="",$A131&lt;2),"",--MID('Key Analysis'!$C127,2,1))</f>
        <v/>
      </c>
      <c r="EK131" s="29" t="str">
        <f>IF(OR($B131="",$A131&lt;3),"",--MID('Key Analysis'!$C127,3,1))</f>
        <v/>
      </c>
      <c r="EL131" s="29" t="str">
        <f>IF(OR($B131="",$A131&lt;4),"",--MID('Key Analysis'!$C127,4,1))</f>
        <v/>
      </c>
      <c r="EM131" s="29" t="str">
        <f>IF(OR($B131="",$A131&lt;5),"",--MID('Key Analysis'!$C127,5,1))</f>
        <v/>
      </c>
      <c r="EN131" s="29" t="str">
        <f>IF(OR($B131="",$A131&lt;6),"",--MID('Key Analysis'!$C127,6,1))</f>
        <v/>
      </c>
      <c r="EO131" s="29" t="str">
        <f>IF(OR($B131="",$A131&lt;7),"",--MID('Key Analysis'!$C127,7,1))</f>
        <v/>
      </c>
      <c r="EP131" s="29" t="str">
        <f>IF(OR($B131="",$A131&lt;8),"",--MID('Key Analysis'!$C127,8,1))</f>
        <v/>
      </c>
      <c r="EQ131" s="29" t="str">
        <f>IF(OR($B131="",$A131&lt;9),"",--MID('Key Analysis'!$C127,9,1))</f>
        <v/>
      </c>
      <c r="ER131" s="29" t="str">
        <f>IF(OR($B131="",$A131&lt;10),"",--MID('Key Analysis'!$C127,10,1))</f>
        <v/>
      </c>
      <c r="ES131" s="29" t="str">
        <f>IF(OR($B131="",$A131&lt;11),"",--MID('Key Analysis'!$C127,11,1))</f>
        <v/>
      </c>
      <c r="ET131" s="29" t="str">
        <f>IF(OR($B131="",$A131&lt;12),"",--MID('Key Analysis'!$C127,12,1))</f>
        <v/>
      </c>
      <c r="EU131" s="29" t="str">
        <f>IF(OR($B131="",$A131&lt;13),"",--MID('Key Analysis'!$C127,13,1))</f>
        <v/>
      </c>
      <c r="EV131" s="29" t="str">
        <f>IF(OR($B131="",$A131&lt;14),"",--MID('Key Analysis'!$C127,14,1))</f>
        <v/>
      </c>
      <c r="EW131" s="29" t="str">
        <f>IF(OR($B131="",$A131&lt;15),"",--MID('Key Analysis'!$C127,15,1))</f>
        <v/>
      </c>
      <c r="EX131" s="29" t="str">
        <f>IF(OR($B131="",$A131&lt;16),"",--MID('Key Analysis'!$C127,16,1))</f>
        <v/>
      </c>
      <c r="EY131" s="29" t="str">
        <f>IF(OR($B131="",$A131&lt;17),"",--MID('Key Analysis'!$C127,17,1))</f>
        <v/>
      </c>
      <c r="EZ131" s="29" t="str">
        <f>IF(OR($B131="",$A131&lt;18),"",--MID('Key Analysis'!$C127,18,1))</f>
        <v/>
      </c>
      <c r="FA131" s="29" t="str">
        <f>IF(OR($B131="",$A131&lt;19),"",--MID('Key Analysis'!$C127,19,1))</f>
        <v/>
      </c>
      <c r="FB131" s="29" t="str">
        <f>IF(OR($B131="",$A131&lt;20),"",--MID('Key Analysis'!$C127,20,1))</f>
        <v/>
      </c>
      <c r="FC131" s="29" t="str">
        <f>IF(OR($B131="",$A131&lt;21),"",--MID('Key Analysis'!$C127,21,1))</f>
        <v/>
      </c>
      <c r="FD131" s="29" t="str">
        <f>IF(OR($B131="",$A131&lt;22),"",--MID('Key Analysis'!$C127,22,1))</f>
        <v/>
      </c>
      <c r="FE131" s="29" t="str">
        <f>IF(OR($B131="",$A131&lt;23),"",--MID('Key Analysis'!$C127,23,1))</f>
        <v/>
      </c>
      <c r="FF131" s="29" t="str">
        <f>IF(OR($B131="",$A131&lt;24),"",--MID('Key Analysis'!$C127,24,1))</f>
        <v/>
      </c>
      <c r="FG131" s="29" t="str">
        <f>IF(OR($B131="",$A131&lt;25),"",--MID('Key Analysis'!$C127,25,1))</f>
        <v/>
      </c>
      <c r="FH131" s="29" t="str">
        <f>IF(OR($B131="",$A131&lt;26),"",--MID('Key Analysis'!$C127,26,1))</f>
        <v/>
      </c>
      <c r="FI131" s="29" t="str">
        <f>IF(OR($B131="",$A131&lt;27),"",--MID('Key Analysis'!$C127,27,1))</f>
        <v/>
      </c>
      <c r="FJ131" s="29" t="str">
        <f>IF(OR($B131="",$A131&lt;28),"",--MID('Key Analysis'!$C127,28,1))</f>
        <v/>
      </c>
      <c r="FK131" s="29" t="str">
        <f>IF(OR($B131="",$A131&lt;29),"",--MID('Key Analysis'!$C127,29,1))</f>
        <v/>
      </c>
      <c r="FL131" s="29" t="str">
        <f>IF(OR($B131="",$A131&lt;30),"",--MID('Key Analysis'!$C127,30,1))</f>
        <v/>
      </c>
      <c r="FM131" s="29" t="str">
        <f>IF(OR($B131="",$A131&lt;31),"",--MID('Key Analysis'!$C127,31,1))</f>
        <v/>
      </c>
      <c r="FN131" s="29" t="str">
        <f>IF(OR($B131="",$A131&lt;32),"",--MID('Key Analysis'!$C127,32,1))</f>
        <v/>
      </c>
      <c r="FO131" s="29" t="str">
        <f>IF(OR($B131="",$A131&lt;33),"",--MID('Key Analysis'!$C127,33,1))</f>
        <v/>
      </c>
      <c r="FP131" s="29" t="str">
        <f>IF(OR($B131="",$A131&lt;34),"",--MID('Key Analysis'!$C127,34,1))</f>
        <v/>
      </c>
      <c r="FQ131" s="29" t="str">
        <f>IF(OR($B131="",$A131&lt;35),"",--MID('Key Analysis'!$C127,35,1))</f>
        <v/>
      </c>
      <c r="FR131" s="29" t="str">
        <f>IF(OR($B131="",$A131&lt;36),"",--MID('Key Analysis'!$C127,36,1))</f>
        <v/>
      </c>
      <c r="FS131" s="29" t="str">
        <f>IF(OR($B131="",$A131&lt;37),"",--MID('Key Analysis'!$C127,37,1))</f>
        <v/>
      </c>
      <c r="FT131" s="29" t="str">
        <f>IF(OR($B131="",$A131&lt;38),"",--MID('Key Analysis'!$C127,38,1))</f>
        <v/>
      </c>
      <c r="FU131" s="29" t="str">
        <f>IF(OR($B131="",$A131&lt;39),"",--MID('Key Analysis'!$C127,39,1))</f>
        <v/>
      </c>
      <c r="FV131" s="29" t="str">
        <f>IF(OR($B131="",$A131&lt;40),"",--MID('Key Analysis'!$C127,40,1))</f>
        <v/>
      </c>
      <c r="FW131" s="29" t="str">
        <f>IF(OR($B131="",$A131&lt;41),"",--MID('Key Analysis'!$C127,41,1))</f>
        <v/>
      </c>
      <c r="FX131" s="29" t="str">
        <f>IF(OR($B131="",$A131&lt;42),"",--MID('Key Analysis'!$C127,42,1))</f>
        <v/>
      </c>
      <c r="FY131" s="29" t="str">
        <f>IF(OR($B131="",$A131&lt;43),"",--MID('Key Analysis'!$C127,43,1))</f>
        <v/>
      </c>
      <c r="FZ131" s="29" t="str">
        <f>IF(OR($B131="",$A131&lt;44),"",--MID('Key Analysis'!$C127,44,1))</f>
        <v/>
      </c>
      <c r="GA131" s="29" t="str">
        <f>IF(OR($B131="",$A131&lt;45),"",--MID('Key Analysis'!$C127,45,1))</f>
        <v/>
      </c>
      <c r="GB131" s="29" t="str">
        <f>IF(OR($B131="",$A131&lt;46),"",--MID('Key Analysis'!$C127,46,1))</f>
        <v/>
      </c>
      <c r="GC131" s="29" t="str">
        <f>IF(OR($B131="",$A131&lt;47),"",--MID('Key Analysis'!$C127,47,1))</f>
        <v/>
      </c>
      <c r="GD131" s="29" t="str">
        <f>IF(OR($B131="",$A131&lt;48),"",--MID('Key Analysis'!$C127,48,1))</f>
        <v/>
      </c>
      <c r="GE131" s="29" t="str">
        <f>IF(OR($B131="",$A131&lt;49),"",--MID('Key Analysis'!$C127,49,1))</f>
        <v/>
      </c>
      <c r="GF131" s="29" t="str">
        <f>IF(OR($B131="",$A131&lt;50),"",--MID('Key Analysis'!$C127,50,1))</f>
        <v/>
      </c>
      <c r="GG131" s="29" t="str">
        <f>IF(OR($B131="",$A131&lt;51),"",--MID('Key Analysis'!$C127,51,1))</f>
        <v/>
      </c>
      <c r="GH131" s="29" t="str">
        <f>IF(OR($B131="",$A131&lt;52),"",--MID('Key Analysis'!$C127,52,1))</f>
        <v/>
      </c>
      <c r="GI131" s="29" t="str">
        <f>IF(OR($B131="",$A131&lt;53),"",--MID('Key Analysis'!$C127,53,1))</f>
        <v/>
      </c>
      <c r="GJ131" s="29" t="str">
        <f>IF(OR($B131="",$A131&lt;54),"",--MID('Key Analysis'!$C127,54,1))</f>
        <v/>
      </c>
      <c r="GK131" s="29" t="str">
        <f>IF(OR($B131="",$A131&lt;55),"",--MID('Key Analysis'!$C127,55,1))</f>
        <v/>
      </c>
      <c r="GL131" s="29" t="str">
        <f>IF(OR($B131="",$A131&lt;56),"",--MID('Key Analysis'!$C127,56,1))</f>
        <v/>
      </c>
      <c r="GM131" s="29" t="str">
        <f>IF(OR($B131="",$A131&lt;57),"",--MID('Key Analysis'!$C127,57,1))</f>
        <v/>
      </c>
      <c r="GN131" s="29" t="str">
        <f>IF(OR($B131="",$A131&lt;58),"",--MID('Key Analysis'!$C127,58,1))</f>
        <v/>
      </c>
      <c r="GO131" s="29" t="str">
        <f>IF(OR($B131="",$A131&lt;59),"",--MID('Key Analysis'!$C127,59,1))</f>
        <v/>
      </c>
      <c r="GP131" s="29" t="str">
        <f>IF(OR($B131="",$A131&lt;60),"",--MID('Key Analysis'!$C127,60,1))</f>
        <v/>
      </c>
      <c r="GQ131" s="29" t="str">
        <f>IF(OR($B131="",$A131&lt;61),"",--MID('Key Analysis'!$C127,61,1))</f>
        <v/>
      </c>
      <c r="GR131" s="29" t="str">
        <f>IF(OR($B131="",$A131&lt;62),"",--MID('Key Analysis'!$C127,62,1))</f>
        <v/>
      </c>
      <c r="GS131" s="29" t="str">
        <f>IF(OR($B131="",$A131&lt;63),"",--MID('Key Analysis'!$C127,63,1))</f>
        <v/>
      </c>
      <c r="GT131" s="29" t="str">
        <f>IF(OR($B131="",$A131&lt;64),"",--MID('Key Analysis'!$C127,64,1))</f>
        <v/>
      </c>
      <c r="GU131" s="29" t="str">
        <f>IF(OR($B131="",$A131&lt;65),"",--MID('Key Analysis'!$C127,65,1))</f>
        <v/>
      </c>
      <c r="GV131" s="29" t="str">
        <f>IF(OR($B131="",$A131&lt;66),"",--MID('Key Analysis'!$C127,66,1))</f>
        <v/>
      </c>
      <c r="GW131" s="29" t="str">
        <f>IF(OR($B131="",$A131&lt;67),"",--MID('Key Analysis'!$C127,67,1))</f>
        <v/>
      </c>
      <c r="GX131" s="29" t="str">
        <f>IF(OR($B131="",$A131&lt;68),"",--MID('Key Analysis'!$C127,68,1))</f>
        <v/>
      </c>
      <c r="GY131" s="29" t="str">
        <f>IF(OR($B131="",$A131&lt;69),"",--MID('Key Analysis'!$C127,69,1))</f>
        <v/>
      </c>
      <c r="GZ131" s="29" t="str">
        <f>IF(OR($B131="",$A131&lt;70),"",--MID('Key Analysis'!$C127,70,1))</f>
        <v/>
      </c>
      <c r="HA131" s="29" t="str">
        <f>IF(OR($B131="",$A131&lt;71),"",--MID('Key Analysis'!$C127,71,1))</f>
        <v/>
      </c>
      <c r="HB131" s="29" t="str">
        <f>IF(OR($B131="",$A131&lt;72),"",--MID('Key Analysis'!$C127,72,1))</f>
        <v/>
      </c>
      <c r="HC131" s="29" t="str">
        <f>IF(OR($B131="",$A131&lt;73),"",--MID('Key Analysis'!$C127,73,1))</f>
        <v/>
      </c>
      <c r="HD131" s="29" t="str">
        <f>IF(OR($B131="",$A131&lt;74),"",--MID('Key Analysis'!$C127,74,1))</f>
        <v/>
      </c>
      <c r="HE131" s="29" t="str">
        <f>IF(OR($B131="",$A131&lt;75),"",--MID('Key Analysis'!$C127,75,1))</f>
        <v/>
      </c>
      <c r="HF131" s="29" t="str">
        <f>IF(OR($B131="",$A131&lt;76),"",--MID('Key Analysis'!$C127,76,1))</f>
        <v/>
      </c>
      <c r="HG131" s="29" t="str">
        <f>IF(OR($B131="",$A131&lt;77),"",--MID('Key Analysis'!$C127,77,1))</f>
        <v/>
      </c>
      <c r="HH131" s="29" t="str">
        <f>IF(OR($B131="",$A131&lt;78),"",--MID('Key Analysis'!$C127,78,1))</f>
        <v/>
      </c>
      <c r="HI131" s="29" t="str">
        <f>IF(OR($B131="",$A131&lt;79),"",--MID('Key Analysis'!$C127,79,1))</f>
        <v/>
      </c>
      <c r="HJ131" s="29" t="str">
        <f>IF(OR($B131="",$A131&lt;80),"",--MID('Key Analysis'!$C127,80,1))</f>
        <v/>
      </c>
      <c r="HK131" s="29" t="str">
        <f>IF(OR($B131="",$A131&lt;81),"",--MID('Key Analysis'!$C127,81,1))</f>
        <v/>
      </c>
      <c r="HL131" s="29" t="str">
        <f>IF(OR($B131="",$A131&lt;82),"",--MID('Key Analysis'!$C127,82,1))</f>
        <v/>
      </c>
      <c r="HM131" s="29" t="str">
        <f>IF(OR($B131="",$A131&lt;83),"",--MID('Key Analysis'!$C127,83,1))</f>
        <v/>
      </c>
      <c r="HN131" s="29" t="str">
        <f>IF(OR($B131="",$A131&lt;84),"",--MID('Key Analysis'!$C127,84,1))</f>
        <v/>
      </c>
      <c r="HO131" s="29" t="str">
        <f>IF(OR($B131="",$A131&lt;85),"",--MID('Key Analysis'!$C127,85,1))</f>
        <v/>
      </c>
      <c r="HP131" s="29" t="str">
        <f>IF(OR($B131="",$A131&lt;86),"",--MID('Key Analysis'!$C127,86,1))</f>
        <v/>
      </c>
      <c r="HQ131" s="29" t="str">
        <f>IF(OR($B131="",$A131&lt;87),"",--MID('Key Analysis'!$C127,87,1))</f>
        <v/>
      </c>
      <c r="HR131" s="29" t="str">
        <f>IF(OR($B131="",$A131&lt;88),"",--MID('Key Analysis'!$C127,88,1))</f>
        <v/>
      </c>
      <c r="HS131" s="29" t="str">
        <f>IF(OR($B131="",$A131&lt;89),"",--MID('Key Analysis'!$C127,89,1))</f>
        <v/>
      </c>
      <c r="HT131" s="29" t="str">
        <f>IF(OR($B131="",$A131&lt;90),"",--MID('Key Analysis'!$C127,90,1))</f>
        <v/>
      </c>
      <c r="HU131" s="29" t="str">
        <f>IF(OR($B131="",$A131&lt;91),"",--MID('Key Analysis'!$C127,91,1))</f>
        <v/>
      </c>
      <c r="HV131" s="29" t="str">
        <f>IF(OR($B131="",$A131&lt;92),"",--MID('Key Analysis'!$C127,92,1))</f>
        <v/>
      </c>
      <c r="HW131" s="29" t="str">
        <f>IF(OR($B131="",$A131&lt;93),"",--MID('Key Analysis'!$C127,93,1))</f>
        <v/>
      </c>
      <c r="HX131" s="29" t="str">
        <f>IF(OR($B131="",$A131&lt;94),"",--MID('Key Analysis'!$C127,94,1))</f>
        <v/>
      </c>
      <c r="HY131" s="29" t="str">
        <f>IF(OR($B131="",$A131&lt;95),"",--MID('Key Analysis'!$C127,95,1))</f>
        <v/>
      </c>
      <c r="HZ131" s="29" t="str">
        <f>IF(OR($B131="",$A131&lt;96),"",--MID('Key Analysis'!$C127,96,1))</f>
        <v/>
      </c>
      <c r="IA131" s="29" t="str">
        <f>IF(OR($B131="",$A131&lt;97),"",--MID('Key Analysis'!$C127,97,1))</f>
        <v/>
      </c>
      <c r="IB131" s="29" t="str">
        <f>IF(OR($B131="",$A131&lt;98),"",--MID('Key Analysis'!$C127,98,1))</f>
        <v/>
      </c>
      <c r="IC131" s="29" t="str">
        <f>IF(OR($B131="",$A131&lt;99),"",--MID('Key Analysis'!$C127,99,1))</f>
        <v/>
      </c>
      <c r="ID131" s="29" t="str">
        <f>IF(OR($B131="",$A131&lt;100),"",--MID('Key Analysis'!$C127,100,1))</f>
        <v/>
      </c>
      <c r="IE131" s="29" t="str">
        <f>IF(OR($B131="",$A131&lt;101),"",--MID('Key Analysis'!$C127,101,1))</f>
        <v/>
      </c>
      <c r="IF131" s="29" t="str">
        <f>IF(OR($B131="",$A131&lt;102),"",--MID('Key Analysis'!$C127,102,1))</f>
        <v/>
      </c>
      <c r="IG131" s="29" t="str">
        <f>IF(OR($B131="",$A131&lt;103),"",--MID('Key Analysis'!$C127,103,1))</f>
        <v/>
      </c>
      <c r="IH131" s="29" t="str">
        <f>IF(OR($B131="",$A131&lt;104),"",--MID('Key Analysis'!$C127,104,1))</f>
        <v/>
      </c>
      <c r="II131" s="29" t="str">
        <f>IF(OR($B131="",$A131&lt;105),"",--MID('Key Analysis'!$C127,105,1))</f>
        <v/>
      </c>
      <c r="IJ131" s="29" t="str">
        <f>IF(OR($B131="",$A131&lt;106),"",--MID('Key Analysis'!$C127,106,1))</f>
        <v/>
      </c>
      <c r="IK131" s="29" t="str">
        <f>IF(OR($B131="",$A131&lt;107),"",--MID('Key Analysis'!$C127,107,1))</f>
        <v/>
      </c>
      <c r="IL131" s="29" t="str">
        <f>IF(OR($B131="",$A131&lt;108),"",--MID('Key Analysis'!$C127,108,1))</f>
        <v/>
      </c>
      <c r="IM131" s="29" t="str">
        <f>IF(OR($B131="",$A131&lt;109),"",--MID('Key Analysis'!$C127,109,1))</f>
        <v/>
      </c>
      <c r="IN131" s="29" t="str">
        <f>IF(OR($B131="",$A131&lt;110),"",--MID('Key Analysis'!$C127,110,1))</f>
        <v/>
      </c>
      <c r="IO131" s="29" t="str">
        <f>IF(OR($B131="",$A131&lt;111),"",--MID('Key Analysis'!$C127,111,1))</f>
        <v/>
      </c>
      <c r="IP131" s="29" t="str">
        <f>IF(OR($B131="",$A131&lt;112),"",--MID('Key Analysis'!$C127,112,1))</f>
        <v/>
      </c>
      <c r="IQ131" s="29" t="str">
        <f>IF(OR($B131="",$A131&lt;113),"",--MID('Key Analysis'!$C127,113,1))</f>
        <v/>
      </c>
      <c r="IR131" s="29" t="str">
        <f>IF(OR($B131="",$A131&lt;114),"",--MID('Key Analysis'!$C127,114,1))</f>
        <v/>
      </c>
      <c r="IS131" s="29" t="str">
        <f>IF(OR($B131="",$A131&lt;115),"",--MID('Key Analysis'!$C127,115,1))</f>
        <v/>
      </c>
      <c r="IT131" s="29" t="str">
        <f>IF(OR($B131="",$A131&lt;116),"",--MID('Key Analysis'!$C127,116,1))</f>
        <v/>
      </c>
      <c r="IU131" s="29" t="str">
        <f>IF(OR($B131="",$A131&lt;117),"",--MID('Key Analysis'!$C127,117,1))</f>
        <v/>
      </c>
      <c r="IV131" s="29" t="str">
        <f>IF(OR($B131="",$A131&lt;118),"",--MID('Key Analysis'!$C127,118,1))</f>
        <v/>
      </c>
      <c r="IW131" s="29" t="str">
        <f>IF(OR($B131="",$A131&lt;119),"",--MID('Key Analysis'!$C127,119,1))</f>
        <v/>
      </c>
      <c r="IX131" s="29" t="str">
        <f>IF(OR($B131="",$A131&lt;120),"",--MID('Key Analysis'!$C127,120,1))</f>
        <v/>
      </c>
      <c r="IY131" s="29" t="str">
        <f>IF(OR($B131="",$A131&lt;121),"",--MID('Key Analysis'!$C127,121,1))</f>
        <v/>
      </c>
      <c r="IZ131" s="29" t="str">
        <f>IF(OR($B131="",$A131&lt;122),"",--MID('Key Analysis'!$C127,122,1))</f>
        <v/>
      </c>
      <c r="JA131" s="29" t="str">
        <f>IF(OR($B131="",$A131&lt;123),"",--MID('Key Analysis'!$C127,123,1))</f>
        <v/>
      </c>
      <c r="JB131" s="29" t="str">
        <f>IF(OR($B131="",$A131&lt;124),"",--MID('Key Analysis'!$C127,124,1))</f>
        <v/>
      </c>
      <c r="JC131" s="29" t="str">
        <f>IF(OR($B131="",$A131&lt;125),"",--MID('Key Analysis'!$C127,125,1))</f>
        <v/>
      </c>
      <c r="JD131" s="29" t="str">
        <f>IF(OR($B131="",$A131&lt;126),"",--MID('Key Analysis'!$C127,126,1))</f>
        <v/>
      </c>
      <c r="JE131" s="29" t="str">
        <f>IF(OR($B131="",$A131&lt;127),"",--MID('Key Analysis'!$C127,127,1))</f>
        <v/>
      </c>
      <c r="JF131" s="29" t="str">
        <f>IF(OR($B131="",$A131&lt;128),"",--MID('Key Analysis'!$C127,128,1))</f>
        <v/>
      </c>
      <c r="JG131" s="29" t="str">
        <f>IF(OR($B131="",$A131&lt;129),"",--MID('Key Analysis'!$C127,129,1))</f>
        <v/>
      </c>
      <c r="JH131" s="29" t="str">
        <f>IF(OR($B131="",$A131&lt;130),"",--MID('Key Analysis'!$C127,130,1))</f>
        <v/>
      </c>
      <c r="JI131" s="29" t="str">
        <f>IF(OR($B131="",$A131&lt;131),"",--MID('Key Analysis'!$C127,131,1))</f>
        <v/>
      </c>
      <c r="JJ131" s="29" t="str">
        <f>IF(OR($B131="",$A131&lt;132),"",--MID('Key Analysis'!$C127,132,1))</f>
        <v/>
      </c>
      <c r="JK131" s="29" t="str">
        <f>IF(OR($B131="",$A131&lt;133),"",--MID('Key Analysis'!$C127,133,1))</f>
        <v/>
      </c>
      <c r="JL131" s="29" t="str">
        <f>IF(OR($B131="",$A131&lt;134),"",--MID('Key Analysis'!$C127,134,1))</f>
        <v/>
      </c>
      <c r="JM131" s="29" t="str">
        <f>IF(OR($B131="",$A131&lt;135),"",--MID('Key Analysis'!$C127,135,1))</f>
        <v/>
      </c>
    </row>
    <row r="132" spans="1:273" x14ac:dyDescent="0.25">
      <c r="A132" s="21">
        <f>'Key Analysis'!A128</f>
        <v>127</v>
      </c>
      <c r="B132" s="30" t="str">
        <f>'Key Analysis'!B128</f>
        <v/>
      </c>
      <c r="C132" s="29" t="str">
        <f>IF(OR($B132="",$A132&lt;=0),"",--MID('Key Analysis'!$C128,$A132-0,1))</f>
        <v/>
      </c>
      <c r="D132" s="29" t="str">
        <f>IF(OR($B132="",$A132&lt;=1),"",--MID('Key Analysis'!$C128,$A132-1,1))</f>
        <v/>
      </c>
      <c r="E132" s="29" t="str">
        <f>IF(OR($B132="",$A132&lt;=2),"",--MID('Key Analysis'!$C128,$A132-2,1))</f>
        <v/>
      </c>
      <c r="F132" s="29" t="str">
        <f>IF(OR($B132="",$A132&lt;=3),"",--MID('Key Analysis'!$C128,$A132-3,1))</f>
        <v/>
      </c>
      <c r="G132" s="29" t="str">
        <f>IF(OR($B132="",$A132&lt;=4),"",--MID('Key Analysis'!$C128,$A132-4,1))</f>
        <v/>
      </c>
      <c r="H132" s="29" t="str">
        <f>IF(OR($B132="",$A132&lt;=5),"",--MID('Key Analysis'!$C128,$A132-5,1))</f>
        <v/>
      </c>
      <c r="I132" s="29" t="str">
        <f>IF(OR($B132="",$A132&lt;=6),"",--MID('Key Analysis'!$C128,$A132-6,1))</f>
        <v/>
      </c>
      <c r="J132" s="29" t="str">
        <f>IF(OR($B132="",$A132&lt;=7),"",--MID('Key Analysis'!$C128,$A132-7,1))</f>
        <v/>
      </c>
      <c r="K132" s="29" t="str">
        <f>IF(OR($B132="",$A132&lt;=8),"",--MID('Key Analysis'!$C128,$A132-8,1))</f>
        <v/>
      </c>
      <c r="L132" s="29" t="str">
        <f>IF(OR($B132="",$A132&lt;=9),"",--MID('Key Analysis'!$C128,$A132-9,1))</f>
        <v/>
      </c>
      <c r="M132" s="29" t="str">
        <f>IF(OR($B132="",$A132&lt;=10),"",--MID('Key Analysis'!$C128,$A132-10,1))</f>
        <v/>
      </c>
      <c r="N132" s="29" t="str">
        <f>IF(OR($B132="",$A132&lt;=11),"",--MID('Key Analysis'!$C128,$A132-11,1))</f>
        <v/>
      </c>
      <c r="O132" s="29" t="str">
        <f>IF(OR($B132="",$A132&lt;=12),"",--MID('Key Analysis'!$C128,$A132-12,1))</f>
        <v/>
      </c>
      <c r="P132" s="29" t="str">
        <f>IF(OR($B132="",$A132&lt;=13),"",--MID('Key Analysis'!$C128,$A132-13,1))</f>
        <v/>
      </c>
      <c r="Q132" s="29" t="str">
        <f>IF(OR($B132="",$A132&lt;=14),"",--MID('Key Analysis'!$C128,$A132-14,1))</f>
        <v/>
      </c>
      <c r="R132" s="29" t="str">
        <f>IF(OR($B132="",$A132&lt;=15),"",--MID('Key Analysis'!$C128,$A132-15,1))</f>
        <v/>
      </c>
      <c r="S132" s="29" t="str">
        <f>IF(OR($B132="",$A132&lt;=16),"",--MID('Key Analysis'!$C128,$A132-16,1))</f>
        <v/>
      </c>
      <c r="T132" s="29" t="str">
        <f>IF(OR($B132="",$A132&lt;=17),"",--MID('Key Analysis'!$C128,$A132-17,1))</f>
        <v/>
      </c>
      <c r="U132" s="29" t="str">
        <f>IF(OR($B132="",$A132&lt;=18),"",--MID('Key Analysis'!$C128,$A132-18,1))</f>
        <v/>
      </c>
      <c r="V132" s="29" t="str">
        <f>IF(OR($B132="",$A132&lt;=19),"",--MID('Key Analysis'!$C128,$A132-19,1))</f>
        <v/>
      </c>
      <c r="W132" s="29" t="str">
        <f>IF(OR($B132="",$A132&lt;=20),"",--MID('Key Analysis'!$C128,$A132-20,1))</f>
        <v/>
      </c>
      <c r="X132" s="29" t="str">
        <f>IF(OR($B132="",$A132&lt;=21),"",--MID('Key Analysis'!$C128,$A132-21,1))</f>
        <v/>
      </c>
      <c r="Y132" s="29" t="str">
        <f>IF(OR($B132="",$A132&lt;=22),"",--MID('Key Analysis'!$C128,$A132-22,1))</f>
        <v/>
      </c>
      <c r="Z132" s="29" t="str">
        <f>IF(OR($B132="",$A132&lt;=23),"",--MID('Key Analysis'!$C128,$A132-23,1))</f>
        <v/>
      </c>
      <c r="AA132" s="29" t="str">
        <f>IF(OR($B132="",$A132&lt;=24),"",--MID('Key Analysis'!$C128,$A132-24,1))</f>
        <v/>
      </c>
      <c r="AB132" s="29" t="str">
        <f>IF(OR($B132="",$A132&lt;=25),"",--MID('Key Analysis'!$C128,$A132-25,1))</f>
        <v/>
      </c>
      <c r="AC132" s="29" t="str">
        <f>IF(OR($B132="",$A132&lt;=26),"",--MID('Key Analysis'!$C128,$A132-26,1))</f>
        <v/>
      </c>
      <c r="AD132" s="29" t="str">
        <f>IF(OR($B132="",$A132&lt;=27),"",--MID('Key Analysis'!$C128,$A132-27,1))</f>
        <v/>
      </c>
      <c r="AE132" s="29" t="str">
        <f>IF(OR($B132="",$A132&lt;=28),"",--MID('Key Analysis'!$C128,$A132-28,1))</f>
        <v/>
      </c>
      <c r="AF132" s="29" t="str">
        <f>IF(OR($B132="",$A132&lt;=29),"",--MID('Key Analysis'!$C128,$A132-29,1))</f>
        <v/>
      </c>
      <c r="AG132" s="29" t="str">
        <f>IF(OR($B132="",$A132&lt;=30),"",--MID('Key Analysis'!$C128,$A132-30,1))</f>
        <v/>
      </c>
      <c r="AH132" s="29" t="str">
        <f>IF(OR($B132="",$A132&lt;=31),"",--MID('Key Analysis'!$C128,$A132-31,1))</f>
        <v/>
      </c>
      <c r="AI132" s="29" t="str">
        <f>IF(OR($B132="",$A132&lt;=32),"",--MID('Key Analysis'!$C128,$A132-32,1))</f>
        <v/>
      </c>
      <c r="AJ132" s="29" t="str">
        <f>IF(OR($B132="",$A132&lt;=33),"",--MID('Key Analysis'!$C128,$A132-33,1))</f>
        <v/>
      </c>
      <c r="AK132" s="29" t="str">
        <f>IF(OR($B132="",$A132&lt;=34),"",--MID('Key Analysis'!$C128,$A132-34,1))</f>
        <v/>
      </c>
      <c r="AL132" s="29" t="str">
        <f>IF(OR($B132="",$A132&lt;=35),"",--MID('Key Analysis'!$C128,$A132-35,1))</f>
        <v/>
      </c>
      <c r="AM132" s="29" t="str">
        <f>IF(OR($B132="",$A132&lt;=36),"",--MID('Key Analysis'!$C128,$A132-36,1))</f>
        <v/>
      </c>
      <c r="AN132" s="29" t="str">
        <f>IF(OR($B132="",$A132&lt;=37),"",--MID('Key Analysis'!$C128,$A132-37,1))</f>
        <v/>
      </c>
      <c r="AO132" s="29" t="str">
        <f>IF(OR($B132="",$A132&lt;=38),"",--MID('Key Analysis'!$C128,$A132-38,1))</f>
        <v/>
      </c>
      <c r="AP132" s="29" t="str">
        <f>IF(OR($B132="",$A132&lt;=39),"",--MID('Key Analysis'!$C128,$A132-39,1))</f>
        <v/>
      </c>
      <c r="AQ132" s="29" t="str">
        <f>IF(OR($B132="",$A132&lt;=40),"",--MID('Key Analysis'!$C128,$A132-40,1))</f>
        <v/>
      </c>
      <c r="AR132" s="29" t="str">
        <f>IF(OR($B132="",$A132&lt;=41),"",--MID('Key Analysis'!$C128,$A132-41,1))</f>
        <v/>
      </c>
      <c r="AS132" s="29" t="str">
        <f>IF(OR($B132="",$A132&lt;=42),"",--MID('Key Analysis'!$C128,$A132-42,1))</f>
        <v/>
      </c>
      <c r="AT132" s="29" t="str">
        <f>IF(OR($B132="",$A132&lt;=43),"",--MID('Key Analysis'!$C128,$A132-43,1))</f>
        <v/>
      </c>
      <c r="AU132" s="29" t="str">
        <f>IF(OR($B132="",$A132&lt;=44),"",--MID('Key Analysis'!$C128,$A132-44,1))</f>
        <v/>
      </c>
      <c r="AV132" s="29" t="str">
        <f>IF(OR($B132="",$A132&lt;=45),"",--MID('Key Analysis'!$C128,$A132-45,1))</f>
        <v/>
      </c>
      <c r="AW132" s="29" t="str">
        <f>IF(OR($B132="",$A132&lt;=46),"",--MID('Key Analysis'!$C128,$A132-46,1))</f>
        <v/>
      </c>
      <c r="AX132" s="29" t="str">
        <f>IF(OR($B132="",$A132&lt;=47),"",--MID('Key Analysis'!$C128,$A132-47,1))</f>
        <v/>
      </c>
      <c r="AY132" s="29" t="str">
        <f>IF(OR($B132="",$A132&lt;=48),"",--MID('Key Analysis'!$C128,$A132-48,1))</f>
        <v/>
      </c>
      <c r="AZ132" s="29" t="str">
        <f>IF(OR($B132="",$A132&lt;=49),"",--MID('Key Analysis'!$C128,$A132-49,1))</f>
        <v/>
      </c>
      <c r="BA132" s="29" t="str">
        <f>IF(OR($B132="",$A132&lt;=50),"",--MID('Key Analysis'!$C128,$A132-50,1))</f>
        <v/>
      </c>
      <c r="BB132" s="29" t="str">
        <f>IF(OR($B132="",$A132&lt;=51),"",--MID('Key Analysis'!$C128,$A132-51,1))</f>
        <v/>
      </c>
      <c r="BC132" s="29" t="str">
        <f>IF(OR($B132="",$A132&lt;=52),"",--MID('Key Analysis'!$C128,$A132-52,1))</f>
        <v/>
      </c>
      <c r="BD132" s="29" t="str">
        <f>IF(OR($B132="",$A132&lt;=53),"",--MID('Key Analysis'!$C128,$A132-53,1))</f>
        <v/>
      </c>
      <c r="BE132" s="29" t="str">
        <f>IF(OR($B132="",$A132&lt;=54),"",--MID('Key Analysis'!$C128,$A132-54,1))</f>
        <v/>
      </c>
      <c r="BF132" s="29" t="str">
        <f>IF(OR($B132="",$A132&lt;=55),"",--MID('Key Analysis'!$C128,$A132-55,1))</f>
        <v/>
      </c>
      <c r="BG132" s="29" t="str">
        <f>IF(OR($B132="",$A132&lt;=56),"",--MID('Key Analysis'!$C128,$A132-56,1))</f>
        <v/>
      </c>
      <c r="BH132" s="29" t="str">
        <f>IF(OR($B132="",$A132&lt;=57),"",--MID('Key Analysis'!$C128,$A132-57,1))</f>
        <v/>
      </c>
      <c r="BI132" s="29" t="str">
        <f>IF(OR($B132="",$A132&lt;=58),"",--MID('Key Analysis'!$C128,$A132-58,1))</f>
        <v/>
      </c>
      <c r="BJ132" s="29" t="str">
        <f>IF(OR($B132="",$A132&lt;=59),"",--MID('Key Analysis'!$C128,$A132-59,1))</f>
        <v/>
      </c>
      <c r="BK132" s="29" t="str">
        <f>IF(OR($B132="",$A132&lt;=60),"",--MID('Key Analysis'!$C128,$A132-60,1))</f>
        <v/>
      </c>
      <c r="BL132" s="29" t="str">
        <f>IF(OR($B132="",$A132&lt;=61),"",--MID('Key Analysis'!$C128,$A132-61,1))</f>
        <v/>
      </c>
      <c r="BM132" s="29" t="str">
        <f>IF(OR($B132="",$A132&lt;=62),"",--MID('Key Analysis'!$C128,$A132-62,1))</f>
        <v/>
      </c>
      <c r="BN132" s="29" t="str">
        <f>IF(OR($B132="",$A132&lt;=63),"",--MID('Key Analysis'!$C128,$A132-63,1))</f>
        <v/>
      </c>
      <c r="BO132" s="29" t="str">
        <f>IF(OR($B132="",$A132&lt;=64),"",--MID('Key Analysis'!$C128,$A132-64,1))</f>
        <v/>
      </c>
      <c r="BP132" s="29" t="str">
        <f>IF(OR($B132="",$A132&lt;=65),"",--MID('Key Analysis'!$C128,$A132-65,1))</f>
        <v/>
      </c>
      <c r="BQ132" s="29" t="str">
        <f>IF(OR($B132="",$A132&lt;=66),"",--MID('Key Analysis'!$C128,$A132-66,1))</f>
        <v/>
      </c>
      <c r="BR132" s="29" t="str">
        <f>IF(OR($B132="",$A132&lt;=67),"",--MID('Key Analysis'!$C128,$A132-67,1))</f>
        <v/>
      </c>
      <c r="BS132" s="29" t="str">
        <f>IF(OR($B132="",$A132&lt;=68),"",--MID('Key Analysis'!$C128,$A132-68,1))</f>
        <v/>
      </c>
      <c r="BT132" s="29" t="str">
        <f>IF(OR($B132="",$A132&lt;=69),"",--MID('Key Analysis'!$C128,$A132-69,1))</f>
        <v/>
      </c>
      <c r="BU132" s="29" t="str">
        <f>IF(OR($B132="",$A132&lt;=70),"",--MID('Key Analysis'!$C128,$A132-70,1))</f>
        <v/>
      </c>
      <c r="BV132" s="29" t="str">
        <f>IF(OR($B132="",$A132&lt;=71),"",--MID('Key Analysis'!$C128,$A132-71,1))</f>
        <v/>
      </c>
      <c r="BW132" s="29" t="str">
        <f>IF(OR($B132="",$A132&lt;=72),"",--MID('Key Analysis'!$C128,$A132-72,1))</f>
        <v/>
      </c>
      <c r="BX132" s="29" t="str">
        <f>IF(OR($B132="",$A132&lt;=73),"",--MID('Key Analysis'!$C128,$A132-73,1))</f>
        <v/>
      </c>
      <c r="BY132" s="29" t="str">
        <f>IF(OR($B132="",$A132&lt;=74),"",--MID('Key Analysis'!$C128,$A132-74,1))</f>
        <v/>
      </c>
      <c r="BZ132" s="29" t="str">
        <f>IF(OR($B132="",$A132&lt;=75),"",--MID('Key Analysis'!$C128,$A132-75,1))</f>
        <v/>
      </c>
      <c r="CA132" s="29" t="str">
        <f>IF(OR($B132="",$A132&lt;=76),"",--MID('Key Analysis'!$C128,$A132-76,1))</f>
        <v/>
      </c>
      <c r="CB132" s="29" t="str">
        <f>IF(OR($B132="",$A132&lt;=77),"",--MID('Key Analysis'!$C128,$A132-77,1))</f>
        <v/>
      </c>
      <c r="CC132" s="29" t="str">
        <f>IF(OR($B132="",$A132&lt;=78),"",--MID('Key Analysis'!$C128,$A132-78,1))</f>
        <v/>
      </c>
      <c r="CD132" s="29" t="str">
        <f>IF(OR($B132="",$A132&lt;=79),"",--MID('Key Analysis'!$C128,$A132-79,1))</f>
        <v/>
      </c>
      <c r="CE132" s="29" t="str">
        <f>IF(OR($B132="",$A132&lt;=80),"",--MID('Key Analysis'!$C128,$A132-80,1))</f>
        <v/>
      </c>
      <c r="CF132" s="29" t="str">
        <f>IF(OR($B132="",$A132&lt;=81),"",--MID('Key Analysis'!$C128,$A132-81,1))</f>
        <v/>
      </c>
      <c r="CG132" s="29" t="str">
        <f>IF(OR($B132="",$A132&lt;=82),"",--MID('Key Analysis'!$C128,$A132-82,1))</f>
        <v/>
      </c>
      <c r="CH132" s="29" t="str">
        <f>IF(OR($B132="",$A132&lt;=83),"",--MID('Key Analysis'!$C128,$A132-83,1))</f>
        <v/>
      </c>
      <c r="CI132" s="29" t="str">
        <f>IF(OR($B132="",$A132&lt;=84),"",--MID('Key Analysis'!$C128,$A132-84,1))</f>
        <v/>
      </c>
      <c r="CJ132" s="29" t="str">
        <f>IF(OR($B132="",$A132&lt;=85),"",--MID('Key Analysis'!$C128,$A132-85,1))</f>
        <v/>
      </c>
      <c r="CK132" s="29" t="str">
        <f>IF(OR($B132="",$A132&lt;=86),"",--MID('Key Analysis'!$C128,$A132-86,1))</f>
        <v/>
      </c>
      <c r="CL132" s="29" t="str">
        <f>IF(OR($B132="",$A132&lt;=87),"",--MID('Key Analysis'!$C128,$A132-87,1))</f>
        <v/>
      </c>
      <c r="CM132" s="29" t="str">
        <f>IF(OR($B132="",$A132&lt;=88),"",--MID('Key Analysis'!$C128,$A132-88,1))</f>
        <v/>
      </c>
      <c r="CN132" s="29" t="str">
        <f>IF(OR($B132="",$A132&lt;=89),"",--MID('Key Analysis'!$C128,$A132-89,1))</f>
        <v/>
      </c>
      <c r="CO132" s="29" t="str">
        <f>IF(OR($B132="",$A132&lt;=90),"",--MID('Key Analysis'!$C128,$A132-90,1))</f>
        <v/>
      </c>
      <c r="CP132" s="29" t="str">
        <f>IF(OR($B132="",$A132&lt;=91),"",--MID('Key Analysis'!$C128,$A132-91,1))</f>
        <v/>
      </c>
      <c r="CQ132" s="29" t="str">
        <f>IF(OR($B132="",$A132&lt;=92),"",--MID('Key Analysis'!$C128,$A132-92,1))</f>
        <v/>
      </c>
      <c r="CR132" s="29" t="str">
        <f>IF(OR($B132="",$A132&lt;=93),"",--MID('Key Analysis'!$C128,$A132-93,1))</f>
        <v/>
      </c>
      <c r="CS132" s="29" t="str">
        <f>IF(OR($B132="",$A132&lt;=94),"",--MID('Key Analysis'!$C128,$A132-94,1))</f>
        <v/>
      </c>
      <c r="CT132" s="29" t="str">
        <f>IF(OR($B132="",$A132&lt;=95),"",--MID('Key Analysis'!$C128,$A132-95,1))</f>
        <v/>
      </c>
      <c r="CU132" s="29" t="str">
        <f>IF(OR($B132="",$A132&lt;=96),"",--MID('Key Analysis'!$C128,$A132-96,1))</f>
        <v/>
      </c>
      <c r="CV132" s="29" t="str">
        <f>IF(OR($B132="",$A132&lt;=97),"",--MID('Key Analysis'!$C128,$A132-97,1))</f>
        <v/>
      </c>
      <c r="CW132" s="29" t="str">
        <f>IF(OR($B132="",$A132&lt;=98),"",--MID('Key Analysis'!$C128,$A132-98,1))</f>
        <v/>
      </c>
      <c r="CX132" s="29" t="str">
        <f>IF(OR($B132="",$A132&lt;=99),"",--MID('Key Analysis'!$C128,$A132-99,1))</f>
        <v/>
      </c>
      <c r="CY132" s="29" t="str">
        <f>IF(OR($B132="",$A132&lt;=100),"",--MID('Key Analysis'!$C128,$A132-100,1))</f>
        <v/>
      </c>
      <c r="CZ132" s="29" t="str">
        <f>IF(OR($B132="",$A132&lt;=101),"",--MID('Key Analysis'!$C128,$A132-101,1))</f>
        <v/>
      </c>
      <c r="DA132" s="29" t="str">
        <f>IF(OR($B132="",$A132&lt;=102),"",--MID('Key Analysis'!$C128,$A132-102,1))</f>
        <v/>
      </c>
      <c r="DB132" s="29" t="str">
        <f>IF(OR($B132="",$A132&lt;=103),"",--MID('Key Analysis'!$C128,$A132-103,1))</f>
        <v/>
      </c>
      <c r="DC132" s="29" t="str">
        <f>IF(OR($B132="",$A132&lt;=104),"",--MID('Key Analysis'!$C128,$A132-104,1))</f>
        <v/>
      </c>
      <c r="DD132" s="29" t="str">
        <f>IF(OR($B132="",$A132&lt;=105),"",--MID('Key Analysis'!$C128,$A132-105,1))</f>
        <v/>
      </c>
      <c r="DE132" s="29" t="str">
        <f>IF(OR($B132="",$A132&lt;=106),"",--MID('Key Analysis'!$C128,$A132-106,1))</f>
        <v/>
      </c>
      <c r="DF132" s="29" t="str">
        <f>IF(OR($B132="",$A132&lt;=107),"",--MID('Key Analysis'!$C128,$A132-107,1))</f>
        <v/>
      </c>
      <c r="DG132" s="29" t="str">
        <f>IF(OR($B132="",$A132&lt;=108),"",--MID('Key Analysis'!$C128,$A132-108,1))</f>
        <v/>
      </c>
      <c r="DH132" s="29" t="str">
        <f>IF(OR($B132="",$A132&lt;=109),"",--MID('Key Analysis'!$C128,$A132-109,1))</f>
        <v/>
      </c>
      <c r="DI132" s="29" t="str">
        <f>IF(OR($B132="",$A132&lt;=110),"",--MID('Key Analysis'!$C128,$A132-110,1))</f>
        <v/>
      </c>
      <c r="DJ132" s="29" t="str">
        <f>IF(OR($B132="",$A132&lt;=111),"",--MID('Key Analysis'!$C128,$A132-111,1))</f>
        <v/>
      </c>
      <c r="DK132" s="29" t="str">
        <f>IF(OR($B132="",$A132&lt;=112),"",--MID('Key Analysis'!$C128,$A132-112,1))</f>
        <v/>
      </c>
      <c r="DL132" s="29" t="str">
        <f>IF(OR($B132="",$A132&lt;=113),"",--MID('Key Analysis'!$C128,$A132-113,1))</f>
        <v/>
      </c>
      <c r="DM132" s="29" t="str">
        <f>IF(OR($B132="",$A132&lt;=114),"",--MID('Key Analysis'!$C128,$A132-114,1))</f>
        <v/>
      </c>
      <c r="DN132" s="29" t="str">
        <f>IF(OR($B132="",$A132&lt;=115),"",--MID('Key Analysis'!$C128,$A132-115,1))</f>
        <v/>
      </c>
      <c r="DO132" s="29" t="str">
        <f>IF(OR($B132="",$A132&lt;=116),"",--MID('Key Analysis'!$C128,$A132-116,1))</f>
        <v/>
      </c>
      <c r="DP132" s="29" t="str">
        <f>IF(OR($B132="",$A132&lt;=117),"",--MID('Key Analysis'!$C128,$A132-117,1))</f>
        <v/>
      </c>
      <c r="DQ132" s="29" t="str">
        <f>IF(OR($B132="",$A132&lt;=118),"",--MID('Key Analysis'!$C128,$A132-118,1))</f>
        <v/>
      </c>
      <c r="DR132" s="29" t="str">
        <f>IF(OR($B132="",$A132&lt;=119),"",--MID('Key Analysis'!$C128,$A132-119,1))</f>
        <v/>
      </c>
      <c r="DS132" s="29" t="str">
        <f>IF(OR($B132="",$A132&lt;=120),"",--MID('Key Analysis'!$C128,$A132-120,1))</f>
        <v/>
      </c>
      <c r="DT132" s="29" t="str">
        <f>IF(OR($B132="",$A132&lt;=121),"",--MID('Key Analysis'!$C128,$A132-121,1))</f>
        <v/>
      </c>
      <c r="DU132" s="29" t="str">
        <f>IF(OR($B132="",$A132&lt;=122),"",--MID('Key Analysis'!$C128,$A132-122,1))</f>
        <v/>
      </c>
      <c r="DV132" s="29" t="str">
        <f>IF(OR($B132="",$A132&lt;=123),"",--MID('Key Analysis'!$C128,$A132-123,1))</f>
        <v/>
      </c>
      <c r="DW132" s="29" t="str">
        <f>IF(OR($B132="",$A132&lt;=124),"",--MID('Key Analysis'!$C128,$A132-124,1))</f>
        <v/>
      </c>
      <c r="DX132" s="29" t="str">
        <f>IF(OR($B132="",$A132&lt;=125),"",--MID('Key Analysis'!$C128,$A132-125,1))</f>
        <v/>
      </c>
      <c r="DY132" s="29" t="str">
        <f>IF(OR($B132="",$A132&lt;=126),"",--MID('Key Analysis'!$C128,$A132-126,1))</f>
        <v/>
      </c>
      <c r="DZ132" s="29" t="str">
        <f>IF(OR($B132="",$A132&lt;=127),"",--MID('Key Analysis'!$C128,$A132-127,1))</f>
        <v/>
      </c>
      <c r="EA132" s="29" t="str">
        <f>IF(OR($B132="",$A132&lt;=128),"",--MID('Key Analysis'!$C128,$A132-128,1))</f>
        <v/>
      </c>
      <c r="EB132" s="29" t="str">
        <f>IF(OR($B132="",$A132&lt;=129),"",--MID('Key Analysis'!$C128,$A132-129,1))</f>
        <v/>
      </c>
      <c r="EC132" s="29" t="str">
        <f>IF(OR($B132="",$A132&lt;=130),"",--MID('Key Analysis'!$C128,$A132-130,1))</f>
        <v/>
      </c>
      <c r="ED132" s="29" t="str">
        <f>IF(OR($B132="",$A132&lt;=131),"",--MID('Key Analysis'!$C128,$A132-131,1))</f>
        <v/>
      </c>
      <c r="EE132" s="29" t="str">
        <f>IF(OR($B132="",$A132&lt;=132),"",--MID('Key Analysis'!$C128,$A132-132,1))</f>
        <v/>
      </c>
      <c r="EF132" s="29" t="str">
        <f>IF(OR($B132="",$A132&lt;=133),"",--MID('Key Analysis'!$C128,$A132-133,1))</f>
        <v/>
      </c>
      <c r="EG132" s="29" t="str">
        <f>IF(OR($B132="",$A132&lt;=134),"",--MID('Key Analysis'!$C128,$A132-134,1))</f>
        <v/>
      </c>
      <c r="EH132" s="29"/>
      <c r="EI132" s="29" t="str">
        <f>IF(OR($B132="",$A132&lt;1),"",--MID('Key Analysis'!$C128,1,1))</f>
        <v/>
      </c>
      <c r="EJ132" s="29" t="str">
        <f>IF(OR($B132="",$A132&lt;2),"",--MID('Key Analysis'!$C128,2,1))</f>
        <v/>
      </c>
      <c r="EK132" s="29" t="str">
        <f>IF(OR($B132="",$A132&lt;3),"",--MID('Key Analysis'!$C128,3,1))</f>
        <v/>
      </c>
      <c r="EL132" s="29" t="str">
        <f>IF(OR($B132="",$A132&lt;4),"",--MID('Key Analysis'!$C128,4,1))</f>
        <v/>
      </c>
      <c r="EM132" s="29" t="str">
        <f>IF(OR($B132="",$A132&lt;5),"",--MID('Key Analysis'!$C128,5,1))</f>
        <v/>
      </c>
      <c r="EN132" s="29" t="str">
        <f>IF(OR($B132="",$A132&lt;6),"",--MID('Key Analysis'!$C128,6,1))</f>
        <v/>
      </c>
      <c r="EO132" s="29" t="str">
        <f>IF(OR($B132="",$A132&lt;7),"",--MID('Key Analysis'!$C128,7,1))</f>
        <v/>
      </c>
      <c r="EP132" s="29" t="str">
        <f>IF(OR($B132="",$A132&lt;8),"",--MID('Key Analysis'!$C128,8,1))</f>
        <v/>
      </c>
      <c r="EQ132" s="29" t="str">
        <f>IF(OR($B132="",$A132&lt;9),"",--MID('Key Analysis'!$C128,9,1))</f>
        <v/>
      </c>
      <c r="ER132" s="29" t="str">
        <f>IF(OR($B132="",$A132&lt;10),"",--MID('Key Analysis'!$C128,10,1))</f>
        <v/>
      </c>
      <c r="ES132" s="29" t="str">
        <f>IF(OR($B132="",$A132&lt;11),"",--MID('Key Analysis'!$C128,11,1))</f>
        <v/>
      </c>
      <c r="ET132" s="29" t="str">
        <f>IF(OR($B132="",$A132&lt;12),"",--MID('Key Analysis'!$C128,12,1))</f>
        <v/>
      </c>
      <c r="EU132" s="29" t="str">
        <f>IF(OR($B132="",$A132&lt;13),"",--MID('Key Analysis'!$C128,13,1))</f>
        <v/>
      </c>
      <c r="EV132" s="29" t="str">
        <f>IF(OR($B132="",$A132&lt;14),"",--MID('Key Analysis'!$C128,14,1))</f>
        <v/>
      </c>
      <c r="EW132" s="29" t="str">
        <f>IF(OR($B132="",$A132&lt;15),"",--MID('Key Analysis'!$C128,15,1))</f>
        <v/>
      </c>
      <c r="EX132" s="29" t="str">
        <f>IF(OR($B132="",$A132&lt;16),"",--MID('Key Analysis'!$C128,16,1))</f>
        <v/>
      </c>
      <c r="EY132" s="29" t="str">
        <f>IF(OR($B132="",$A132&lt;17),"",--MID('Key Analysis'!$C128,17,1))</f>
        <v/>
      </c>
      <c r="EZ132" s="29" t="str">
        <f>IF(OR($B132="",$A132&lt;18),"",--MID('Key Analysis'!$C128,18,1))</f>
        <v/>
      </c>
      <c r="FA132" s="29" t="str">
        <f>IF(OR($B132="",$A132&lt;19),"",--MID('Key Analysis'!$C128,19,1))</f>
        <v/>
      </c>
      <c r="FB132" s="29" t="str">
        <f>IF(OR($B132="",$A132&lt;20),"",--MID('Key Analysis'!$C128,20,1))</f>
        <v/>
      </c>
      <c r="FC132" s="29" t="str">
        <f>IF(OR($B132="",$A132&lt;21),"",--MID('Key Analysis'!$C128,21,1))</f>
        <v/>
      </c>
      <c r="FD132" s="29" t="str">
        <f>IF(OR($B132="",$A132&lt;22),"",--MID('Key Analysis'!$C128,22,1))</f>
        <v/>
      </c>
      <c r="FE132" s="29" t="str">
        <f>IF(OR($B132="",$A132&lt;23),"",--MID('Key Analysis'!$C128,23,1))</f>
        <v/>
      </c>
      <c r="FF132" s="29" t="str">
        <f>IF(OR($B132="",$A132&lt;24),"",--MID('Key Analysis'!$C128,24,1))</f>
        <v/>
      </c>
      <c r="FG132" s="29" t="str">
        <f>IF(OR($B132="",$A132&lt;25),"",--MID('Key Analysis'!$C128,25,1))</f>
        <v/>
      </c>
      <c r="FH132" s="29" t="str">
        <f>IF(OR($B132="",$A132&lt;26),"",--MID('Key Analysis'!$C128,26,1))</f>
        <v/>
      </c>
      <c r="FI132" s="29" t="str">
        <f>IF(OR($B132="",$A132&lt;27),"",--MID('Key Analysis'!$C128,27,1))</f>
        <v/>
      </c>
      <c r="FJ132" s="29" t="str">
        <f>IF(OR($B132="",$A132&lt;28),"",--MID('Key Analysis'!$C128,28,1))</f>
        <v/>
      </c>
      <c r="FK132" s="29" t="str">
        <f>IF(OR($B132="",$A132&lt;29),"",--MID('Key Analysis'!$C128,29,1))</f>
        <v/>
      </c>
      <c r="FL132" s="29" t="str">
        <f>IF(OR($B132="",$A132&lt;30),"",--MID('Key Analysis'!$C128,30,1))</f>
        <v/>
      </c>
      <c r="FM132" s="29" t="str">
        <f>IF(OR($B132="",$A132&lt;31),"",--MID('Key Analysis'!$C128,31,1))</f>
        <v/>
      </c>
      <c r="FN132" s="29" t="str">
        <f>IF(OR($B132="",$A132&lt;32),"",--MID('Key Analysis'!$C128,32,1))</f>
        <v/>
      </c>
      <c r="FO132" s="29" t="str">
        <f>IF(OR($B132="",$A132&lt;33),"",--MID('Key Analysis'!$C128,33,1))</f>
        <v/>
      </c>
      <c r="FP132" s="29" t="str">
        <f>IF(OR($B132="",$A132&lt;34),"",--MID('Key Analysis'!$C128,34,1))</f>
        <v/>
      </c>
      <c r="FQ132" s="29" t="str">
        <f>IF(OR($B132="",$A132&lt;35),"",--MID('Key Analysis'!$C128,35,1))</f>
        <v/>
      </c>
      <c r="FR132" s="29" t="str">
        <f>IF(OR($B132="",$A132&lt;36),"",--MID('Key Analysis'!$C128,36,1))</f>
        <v/>
      </c>
      <c r="FS132" s="29" t="str">
        <f>IF(OR($B132="",$A132&lt;37),"",--MID('Key Analysis'!$C128,37,1))</f>
        <v/>
      </c>
      <c r="FT132" s="29" t="str">
        <f>IF(OR($B132="",$A132&lt;38),"",--MID('Key Analysis'!$C128,38,1))</f>
        <v/>
      </c>
      <c r="FU132" s="29" t="str">
        <f>IF(OR($B132="",$A132&lt;39),"",--MID('Key Analysis'!$C128,39,1))</f>
        <v/>
      </c>
      <c r="FV132" s="29" t="str">
        <f>IF(OR($B132="",$A132&lt;40),"",--MID('Key Analysis'!$C128,40,1))</f>
        <v/>
      </c>
      <c r="FW132" s="29" t="str">
        <f>IF(OR($B132="",$A132&lt;41),"",--MID('Key Analysis'!$C128,41,1))</f>
        <v/>
      </c>
      <c r="FX132" s="29" t="str">
        <f>IF(OR($B132="",$A132&lt;42),"",--MID('Key Analysis'!$C128,42,1))</f>
        <v/>
      </c>
      <c r="FY132" s="29" t="str">
        <f>IF(OR($B132="",$A132&lt;43),"",--MID('Key Analysis'!$C128,43,1))</f>
        <v/>
      </c>
      <c r="FZ132" s="29" t="str">
        <f>IF(OR($B132="",$A132&lt;44),"",--MID('Key Analysis'!$C128,44,1))</f>
        <v/>
      </c>
      <c r="GA132" s="29" t="str">
        <f>IF(OR($B132="",$A132&lt;45),"",--MID('Key Analysis'!$C128,45,1))</f>
        <v/>
      </c>
      <c r="GB132" s="29" t="str">
        <f>IF(OR($B132="",$A132&lt;46),"",--MID('Key Analysis'!$C128,46,1))</f>
        <v/>
      </c>
      <c r="GC132" s="29" t="str">
        <f>IF(OR($B132="",$A132&lt;47),"",--MID('Key Analysis'!$C128,47,1))</f>
        <v/>
      </c>
      <c r="GD132" s="29" t="str">
        <f>IF(OR($B132="",$A132&lt;48),"",--MID('Key Analysis'!$C128,48,1))</f>
        <v/>
      </c>
      <c r="GE132" s="29" t="str">
        <f>IF(OR($B132="",$A132&lt;49),"",--MID('Key Analysis'!$C128,49,1))</f>
        <v/>
      </c>
      <c r="GF132" s="29" t="str">
        <f>IF(OR($B132="",$A132&lt;50),"",--MID('Key Analysis'!$C128,50,1))</f>
        <v/>
      </c>
      <c r="GG132" s="29" t="str">
        <f>IF(OR($B132="",$A132&lt;51),"",--MID('Key Analysis'!$C128,51,1))</f>
        <v/>
      </c>
      <c r="GH132" s="29" t="str">
        <f>IF(OR($B132="",$A132&lt;52),"",--MID('Key Analysis'!$C128,52,1))</f>
        <v/>
      </c>
      <c r="GI132" s="29" t="str">
        <f>IF(OR($B132="",$A132&lt;53),"",--MID('Key Analysis'!$C128,53,1))</f>
        <v/>
      </c>
      <c r="GJ132" s="29" t="str">
        <f>IF(OR($B132="",$A132&lt;54),"",--MID('Key Analysis'!$C128,54,1))</f>
        <v/>
      </c>
      <c r="GK132" s="29" t="str">
        <f>IF(OR($B132="",$A132&lt;55),"",--MID('Key Analysis'!$C128,55,1))</f>
        <v/>
      </c>
      <c r="GL132" s="29" t="str">
        <f>IF(OR($B132="",$A132&lt;56),"",--MID('Key Analysis'!$C128,56,1))</f>
        <v/>
      </c>
      <c r="GM132" s="29" t="str">
        <f>IF(OR($B132="",$A132&lt;57),"",--MID('Key Analysis'!$C128,57,1))</f>
        <v/>
      </c>
      <c r="GN132" s="29" t="str">
        <f>IF(OR($B132="",$A132&lt;58),"",--MID('Key Analysis'!$C128,58,1))</f>
        <v/>
      </c>
      <c r="GO132" s="29" t="str">
        <f>IF(OR($B132="",$A132&lt;59),"",--MID('Key Analysis'!$C128,59,1))</f>
        <v/>
      </c>
      <c r="GP132" s="29" t="str">
        <f>IF(OR($B132="",$A132&lt;60),"",--MID('Key Analysis'!$C128,60,1))</f>
        <v/>
      </c>
      <c r="GQ132" s="29" t="str">
        <f>IF(OR($B132="",$A132&lt;61),"",--MID('Key Analysis'!$C128,61,1))</f>
        <v/>
      </c>
      <c r="GR132" s="29" t="str">
        <f>IF(OR($B132="",$A132&lt;62),"",--MID('Key Analysis'!$C128,62,1))</f>
        <v/>
      </c>
      <c r="GS132" s="29" t="str">
        <f>IF(OR($B132="",$A132&lt;63),"",--MID('Key Analysis'!$C128,63,1))</f>
        <v/>
      </c>
      <c r="GT132" s="29" t="str">
        <f>IF(OR($B132="",$A132&lt;64),"",--MID('Key Analysis'!$C128,64,1))</f>
        <v/>
      </c>
      <c r="GU132" s="29" t="str">
        <f>IF(OR($B132="",$A132&lt;65),"",--MID('Key Analysis'!$C128,65,1))</f>
        <v/>
      </c>
      <c r="GV132" s="29" t="str">
        <f>IF(OR($B132="",$A132&lt;66),"",--MID('Key Analysis'!$C128,66,1))</f>
        <v/>
      </c>
      <c r="GW132" s="29" t="str">
        <f>IF(OR($B132="",$A132&lt;67),"",--MID('Key Analysis'!$C128,67,1))</f>
        <v/>
      </c>
      <c r="GX132" s="29" t="str">
        <f>IF(OR($B132="",$A132&lt;68),"",--MID('Key Analysis'!$C128,68,1))</f>
        <v/>
      </c>
      <c r="GY132" s="29" t="str">
        <f>IF(OR($B132="",$A132&lt;69),"",--MID('Key Analysis'!$C128,69,1))</f>
        <v/>
      </c>
      <c r="GZ132" s="29" t="str">
        <f>IF(OR($B132="",$A132&lt;70),"",--MID('Key Analysis'!$C128,70,1))</f>
        <v/>
      </c>
      <c r="HA132" s="29" t="str">
        <f>IF(OR($B132="",$A132&lt;71),"",--MID('Key Analysis'!$C128,71,1))</f>
        <v/>
      </c>
      <c r="HB132" s="29" t="str">
        <f>IF(OR($B132="",$A132&lt;72),"",--MID('Key Analysis'!$C128,72,1))</f>
        <v/>
      </c>
      <c r="HC132" s="29" t="str">
        <f>IF(OR($B132="",$A132&lt;73),"",--MID('Key Analysis'!$C128,73,1))</f>
        <v/>
      </c>
      <c r="HD132" s="29" t="str">
        <f>IF(OR($B132="",$A132&lt;74),"",--MID('Key Analysis'!$C128,74,1))</f>
        <v/>
      </c>
      <c r="HE132" s="29" t="str">
        <f>IF(OR($B132="",$A132&lt;75),"",--MID('Key Analysis'!$C128,75,1))</f>
        <v/>
      </c>
      <c r="HF132" s="29" t="str">
        <f>IF(OR($B132="",$A132&lt;76),"",--MID('Key Analysis'!$C128,76,1))</f>
        <v/>
      </c>
      <c r="HG132" s="29" t="str">
        <f>IF(OR($B132="",$A132&lt;77),"",--MID('Key Analysis'!$C128,77,1))</f>
        <v/>
      </c>
      <c r="HH132" s="29" t="str">
        <f>IF(OR($B132="",$A132&lt;78),"",--MID('Key Analysis'!$C128,78,1))</f>
        <v/>
      </c>
      <c r="HI132" s="29" t="str">
        <f>IF(OR($B132="",$A132&lt;79),"",--MID('Key Analysis'!$C128,79,1))</f>
        <v/>
      </c>
      <c r="HJ132" s="29" t="str">
        <f>IF(OR($B132="",$A132&lt;80),"",--MID('Key Analysis'!$C128,80,1))</f>
        <v/>
      </c>
      <c r="HK132" s="29" t="str">
        <f>IF(OR($B132="",$A132&lt;81),"",--MID('Key Analysis'!$C128,81,1))</f>
        <v/>
      </c>
      <c r="HL132" s="29" t="str">
        <f>IF(OR($B132="",$A132&lt;82),"",--MID('Key Analysis'!$C128,82,1))</f>
        <v/>
      </c>
      <c r="HM132" s="29" t="str">
        <f>IF(OR($B132="",$A132&lt;83),"",--MID('Key Analysis'!$C128,83,1))</f>
        <v/>
      </c>
      <c r="HN132" s="29" t="str">
        <f>IF(OR($B132="",$A132&lt;84),"",--MID('Key Analysis'!$C128,84,1))</f>
        <v/>
      </c>
      <c r="HO132" s="29" t="str">
        <f>IF(OR($B132="",$A132&lt;85),"",--MID('Key Analysis'!$C128,85,1))</f>
        <v/>
      </c>
      <c r="HP132" s="29" t="str">
        <f>IF(OR($B132="",$A132&lt;86),"",--MID('Key Analysis'!$C128,86,1))</f>
        <v/>
      </c>
      <c r="HQ132" s="29" t="str">
        <f>IF(OR($B132="",$A132&lt;87),"",--MID('Key Analysis'!$C128,87,1))</f>
        <v/>
      </c>
      <c r="HR132" s="29" t="str">
        <f>IF(OR($B132="",$A132&lt;88),"",--MID('Key Analysis'!$C128,88,1))</f>
        <v/>
      </c>
      <c r="HS132" s="29" t="str">
        <f>IF(OR($B132="",$A132&lt;89),"",--MID('Key Analysis'!$C128,89,1))</f>
        <v/>
      </c>
      <c r="HT132" s="29" t="str">
        <f>IF(OR($B132="",$A132&lt;90),"",--MID('Key Analysis'!$C128,90,1))</f>
        <v/>
      </c>
      <c r="HU132" s="29" t="str">
        <f>IF(OR($B132="",$A132&lt;91),"",--MID('Key Analysis'!$C128,91,1))</f>
        <v/>
      </c>
      <c r="HV132" s="29" t="str">
        <f>IF(OR($B132="",$A132&lt;92),"",--MID('Key Analysis'!$C128,92,1))</f>
        <v/>
      </c>
      <c r="HW132" s="29" t="str">
        <f>IF(OR($B132="",$A132&lt;93),"",--MID('Key Analysis'!$C128,93,1))</f>
        <v/>
      </c>
      <c r="HX132" s="29" t="str">
        <f>IF(OR($B132="",$A132&lt;94),"",--MID('Key Analysis'!$C128,94,1))</f>
        <v/>
      </c>
      <c r="HY132" s="29" t="str">
        <f>IF(OR($B132="",$A132&lt;95),"",--MID('Key Analysis'!$C128,95,1))</f>
        <v/>
      </c>
      <c r="HZ132" s="29" t="str">
        <f>IF(OR($B132="",$A132&lt;96),"",--MID('Key Analysis'!$C128,96,1))</f>
        <v/>
      </c>
      <c r="IA132" s="29" t="str">
        <f>IF(OR($B132="",$A132&lt;97),"",--MID('Key Analysis'!$C128,97,1))</f>
        <v/>
      </c>
      <c r="IB132" s="29" t="str">
        <f>IF(OR($B132="",$A132&lt;98),"",--MID('Key Analysis'!$C128,98,1))</f>
        <v/>
      </c>
      <c r="IC132" s="29" t="str">
        <f>IF(OR($B132="",$A132&lt;99),"",--MID('Key Analysis'!$C128,99,1))</f>
        <v/>
      </c>
      <c r="ID132" s="29" t="str">
        <f>IF(OR($B132="",$A132&lt;100),"",--MID('Key Analysis'!$C128,100,1))</f>
        <v/>
      </c>
      <c r="IE132" s="29" t="str">
        <f>IF(OR($B132="",$A132&lt;101),"",--MID('Key Analysis'!$C128,101,1))</f>
        <v/>
      </c>
      <c r="IF132" s="29" t="str">
        <f>IF(OR($B132="",$A132&lt;102),"",--MID('Key Analysis'!$C128,102,1))</f>
        <v/>
      </c>
      <c r="IG132" s="29" t="str">
        <f>IF(OR($B132="",$A132&lt;103),"",--MID('Key Analysis'!$C128,103,1))</f>
        <v/>
      </c>
      <c r="IH132" s="29" t="str">
        <f>IF(OR($B132="",$A132&lt;104),"",--MID('Key Analysis'!$C128,104,1))</f>
        <v/>
      </c>
      <c r="II132" s="29" t="str">
        <f>IF(OR($B132="",$A132&lt;105),"",--MID('Key Analysis'!$C128,105,1))</f>
        <v/>
      </c>
      <c r="IJ132" s="29" t="str">
        <f>IF(OR($B132="",$A132&lt;106),"",--MID('Key Analysis'!$C128,106,1))</f>
        <v/>
      </c>
      <c r="IK132" s="29" t="str">
        <f>IF(OR($B132="",$A132&lt;107),"",--MID('Key Analysis'!$C128,107,1))</f>
        <v/>
      </c>
      <c r="IL132" s="29" t="str">
        <f>IF(OR($B132="",$A132&lt;108),"",--MID('Key Analysis'!$C128,108,1))</f>
        <v/>
      </c>
      <c r="IM132" s="29" t="str">
        <f>IF(OR($B132="",$A132&lt;109),"",--MID('Key Analysis'!$C128,109,1))</f>
        <v/>
      </c>
      <c r="IN132" s="29" t="str">
        <f>IF(OR($B132="",$A132&lt;110),"",--MID('Key Analysis'!$C128,110,1))</f>
        <v/>
      </c>
      <c r="IO132" s="29" t="str">
        <f>IF(OR($B132="",$A132&lt;111),"",--MID('Key Analysis'!$C128,111,1))</f>
        <v/>
      </c>
      <c r="IP132" s="29" t="str">
        <f>IF(OR($B132="",$A132&lt;112),"",--MID('Key Analysis'!$C128,112,1))</f>
        <v/>
      </c>
      <c r="IQ132" s="29" t="str">
        <f>IF(OR($B132="",$A132&lt;113),"",--MID('Key Analysis'!$C128,113,1))</f>
        <v/>
      </c>
      <c r="IR132" s="29" t="str">
        <f>IF(OR($B132="",$A132&lt;114),"",--MID('Key Analysis'!$C128,114,1))</f>
        <v/>
      </c>
      <c r="IS132" s="29" t="str">
        <f>IF(OR($B132="",$A132&lt;115),"",--MID('Key Analysis'!$C128,115,1))</f>
        <v/>
      </c>
      <c r="IT132" s="29" t="str">
        <f>IF(OR($B132="",$A132&lt;116),"",--MID('Key Analysis'!$C128,116,1))</f>
        <v/>
      </c>
      <c r="IU132" s="29" t="str">
        <f>IF(OR($B132="",$A132&lt;117),"",--MID('Key Analysis'!$C128,117,1))</f>
        <v/>
      </c>
      <c r="IV132" s="29" t="str">
        <f>IF(OR($B132="",$A132&lt;118),"",--MID('Key Analysis'!$C128,118,1))</f>
        <v/>
      </c>
      <c r="IW132" s="29" t="str">
        <f>IF(OR($B132="",$A132&lt;119),"",--MID('Key Analysis'!$C128,119,1))</f>
        <v/>
      </c>
      <c r="IX132" s="29" t="str">
        <f>IF(OR($B132="",$A132&lt;120),"",--MID('Key Analysis'!$C128,120,1))</f>
        <v/>
      </c>
      <c r="IY132" s="29" t="str">
        <f>IF(OR($B132="",$A132&lt;121),"",--MID('Key Analysis'!$C128,121,1))</f>
        <v/>
      </c>
      <c r="IZ132" s="29" t="str">
        <f>IF(OR($B132="",$A132&lt;122),"",--MID('Key Analysis'!$C128,122,1))</f>
        <v/>
      </c>
      <c r="JA132" s="29" t="str">
        <f>IF(OR($B132="",$A132&lt;123),"",--MID('Key Analysis'!$C128,123,1))</f>
        <v/>
      </c>
      <c r="JB132" s="29" t="str">
        <f>IF(OR($B132="",$A132&lt;124),"",--MID('Key Analysis'!$C128,124,1))</f>
        <v/>
      </c>
      <c r="JC132" s="29" t="str">
        <f>IF(OR($B132="",$A132&lt;125),"",--MID('Key Analysis'!$C128,125,1))</f>
        <v/>
      </c>
      <c r="JD132" s="29" t="str">
        <f>IF(OR($B132="",$A132&lt;126),"",--MID('Key Analysis'!$C128,126,1))</f>
        <v/>
      </c>
      <c r="JE132" s="29" t="str">
        <f>IF(OR($B132="",$A132&lt;127),"",--MID('Key Analysis'!$C128,127,1))</f>
        <v/>
      </c>
      <c r="JF132" s="29" t="str">
        <f>IF(OR($B132="",$A132&lt;128),"",--MID('Key Analysis'!$C128,128,1))</f>
        <v/>
      </c>
      <c r="JG132" s="29" t="str">
        <f>IF(OR($B132="",$A132&lt;129),"",--MID('Key Analysis'!$C128,129,1))</f>
        <v/>
      </c>
      <c r="JH132" s="29" t="str">
        <f>IF(OR($B132="",$A132&lt;130),"",--MID('Key Analysis'!$C128,130,1))</f>
        <v/>
      </c>
      <c r="JI132" s="29" t="str">
        <f>IF(OR($B132="",$A132&lt;131),"",--MID('Key Analysis'!$C128,131,1))</f>
        <v/>
      </c>
      <c r="JJ132" s="29" t="str">
        <f>IF(OR($B132="",$A132&lt;132),"",--MID('Key Analysis'!$C128,132,1))</f>
        <v/>
      </c>
      <c r="JK132" s="29" t="str">
        <f>IF(OR($B132="",$A132&lt;133),"",--MID('Key Analysis'!$C128,133,1))</f>
        <v/>
      </c>
      <c r="JL132" s="29" t="str">
        <f>IF(OR($B132="",$A132&lt;134),"",--MID('Key Analysis'!$C128,134,1))</f>
        <v/>
      </c>
      <c r="JM132" s="29" t="str">
        <f>IF(OR($B132="",$A132&lt;135),"",--MID('Key Analysis'!$C128,135,1))</f>
        <v/>
      </c>
    </row>
    <row r="133" spans="1:273" x14ac:dyDescent="0.25">
      <c r="A133" s="21">
        <f>'Key Analysis'!A129</f>
        <v>128</v>
      </c>
      <c r="B133" s="30" t="str">
        <f>'Key Analysis'!B129</f>
        <v/>
      </c>
      <c r="C133" s="29" t="str">
        <f>IF(OR($B133="",$A133&lt;=0),"",--MID('Key Analysis'!$C129,$A133-0,1))</f>
        <v/>
      </c>
      <c r="D133" s="29" t="str">
        <f>IF(OR($B133="",$A133&lt;=1),"",--MID('Key Analysis'!$C129,$A133-1,1))</f>
        <v/>
      </c>
      <c r="E133" s="29" t="str">
        <f>IF(OR($B133="",$A133&lt;=2),"",--MID('Key Analysis'!$C129,$A133-2,1))</f>
        <v/>
      </c>
      <c r="F133" s="29" t="str">
        <f>IF(OR($B133="",$A133&lt;=3),"",--MID('Key Analysis'!$C129,$A133-3,1))</f>
        <v/>
      </c>
      <c r="G133" s="29" t="str">
        <f>IF(OR($B133="",$A133&lt;=4),"",--MID('Key Analysis'!$C129,$A133-4,1))</f>
        <v/>
      </c>
      <c r="H133" s="29" t="str">
        <f>IF(OR($B133="",$A133&lt;=5),"",--MID('Key Analysis'!$C129,$A133-5,1))</f>
        <v/>
      </c>
      <c r="I133" s="29" t="str">
        <f>IF(OR($B133="",$A133&lt;=6),"",--MID('Key Analysis'!$C129,$A133-6,1))</f>
        <v/>
      </c>
      <c r="J133" s="29" t="str">
        <f>IF(OR($B133="",$A133&lt;=7),"",--MID('Key Analysis'!$C129,$A133-7,1))</f>
        <v/>
      </c>
      <c r="K133" s="29" t="str">
        <f>IF(OR($B133="",$A133&lt;=8),"",--MID('Key Analysis'!$C129,$A133-8,1))</f>
        <v/>
      </c>
      <c r="L133" s="29" t="str">
        <f>IF(OR($B133="",$A133&lt;=9),"",--MID('Key Analysis'!$C129,$A133-9,1))</f>
        <v/>
      </c>
      <c r="M133" s="29" t="str">
        <f>IF(OR($B133="",$A133&lt;=10),"",--MID('Key Analysis'!$C129,$A133-10,1))</f>
        <v/>
      </c>
      <c r="N133" s="29" t="str">
        <f>IF(OR($B133="",$A133&lt;=11),"",--MID('Key Analysis'!$C129,$A133-11,1))</f>
        <v/>
      </c>
      <c r="O133" s="29" t="str">
        <f>IF(OR($B133="",$A133&lt;=12),"",--MID('Key Analysis'!$C129,$A133-12,1))</f>
        <v/>
      </c>
      <c r="P133" s="29" t="str">
        <f>IF(OR($B133="",$A133&lt;=13),"",--MID('Key Analysis'!$C129,$A133-13,1))</f>
        <v/>
      </c>
      <c r="Q133" s="29" t="str">
        <f>IF(OR($B133="",$A133&lt;=14),"",--MID('Key Analysis'!$C129,$A133-14,1))</f>
        <v/>
      </c>
      <c r="R133" s="29" t="str">
        <f>IF(OR($B133="",$A133&lt;=15),"",--MID('Key Analysis'!$C129,$A133-15,1))</f>
        <v/>
      </c>
      <c r="S133" s="29" t="str">
        <f>IF(OR($B133="",$A133&lt;=16),"",--MID('Key Analysis'!$C129,$A133-16,1))</f>
        <v/>
      </c>
      <c r="T133" s="29" t="str">
        <f>IF(OR($B133="",$A133&lt;=17),"",--MID('Key Analysis'!$C129,$A133-17,1))</f>
        <v/>
      </c>
      <c r="U133" s="29" t="str">
        <f>IF(OR($B133="",$A133&lt;=18),"",--MID('Key Analysis'!$C129,$A133-18,1))</f>
        <v/>
      </c>
      <c r="V133" s="29" t="str">
        <f>IF(OR($B133="",$A133&lt;=19),"",--MID('Key Analysis'!$C129,$A133-19,1))</f>
        <v/>
      </c>
      <c r="W133" s="29" t="str">
        <f>IF(OR($B133="",$A133&lt;=20),"",--MID('Key Analysis'!$C129,$A133-20,1))</f>
        <v/>
      </c>
      <c r="X133" s="29" t="str">
        <f>IF(OR($B133="",$A133&lt;=21),"",--MID('Key Analysis'!$C129,$A133-21,1))</f>
        <v/>
      </c>
      <c r="Y133" s="29" t="str">
        <f>IF(OR($B133="",$A133&lt;=22),"",--MID('Key Analysis'!$C129,$A133-22,1))</f>
        <v/>
      </c>
      <c r="Z133" s="29" t="str">
        <f>IF(OR($B133="",$A133&lt;=23),"",--MID('Key Analysis'!$C129,$A133-23,1))</f>
        <v/>
      </c>
      <c r="AA133" s="29" t="str">
        <f>IF(OR($B133="",$A133&lt;=24),"",--MID('Key Analysis'!$C129,$A133-24,1))</f>
        <v/>
      </c>
      <c r="AB133" s="29" t="str">
        <f>IF(OR($B133="",$A133&lt;=25),"",--MID('Key Analysis'!$C129,$A133-25,1))</f>
        <v/>
      </c>
      <c r="AC133" s="29" t="str">
        <f>IF(OR($B133="",$A133&lt;=26),"",--MID('Key Analysis'!$C129,$A133-26,1))</f>
        <v/>
      </c>
      <c r="AD133" s="29" t="str">
        <f>IF(OR($B133="",$A133&lt;=27),"",--MID('Key Analysis'!$C129,$A133-27,1))</f>
        <v/>
      </c>
      <c r="AE133" s="29" t="str">
        <f>IF(OR($B133="",$A133&lt;=28),"",--MID('Key Analysis'!$C129,$A133-28,1))</f>
        <v/>
      </c>
      <c r="AF133" s="29" t="str">
        <f>IF(OR($B133="",$A133&lt;=29),"",--MID('Key Analysis'!$C129,$A133-29,1))</f>
        <v/>
      </c>
      <c r="AG133" s="29" t="str">
        <f>IF(OR($B133="",$A133&lt;=30),"",--MID('Key Analysis'!$C129,$A133-30,1))</f>
        <v/>
      </c>
      <c r="AH133" s="29" t="str">
        <f>IF(OR($B133="",$A133&lt;=31),"",--MID('Key Analysis'!$C129,$A133-31,1))</f>
        <v/>
      </c>
      <c r="AI133" s="29" t="str">
        <f>IF(OR($B133="",$A133&lt;=32),"",--MID('Key Analysis'!$C129,$A133-32,1))</f>
        <v/>
      </c>
      <c r="AJ133" s="29" t="str">
        <f>IF(OR($B133="",$A133&lt;=33),"",--MID('Key Analysis'!$C129,$A133-33,1))</f>
        <v/>
      </c>
      <c r="AK133" s="29" t="str">
        <f>IF(OR($B133="",$A133&lt;=34),"",--MID('Key Analysis'!$C129,$A133-34,1))</f>
        <v/>
      </c>
      <c r="AL133" s="29" t="str">
        <f>IF(OR($B133="",$A133&lt;=35),"",--MID('Key Analysis'!$C129,$A133-35,1))</f>
        <v/>
      </c>
      <c r="AM133" s="29" t="str">
        <f>IF(OR($B133="",$A133&lt;=36),"",--MID('Key Analysis'!$C129,$A133-36,1))</f>
        <v/>
      </c>
      <c r="AN133" s="29" t="str">
        <f>IF(OR($B133="",$A133&lt;=37),"",--MID('Key Analysis'!$C129,$A133-37,1))</f>
        <v/>
      </c>
      <c r="AO133" s="29" t="str">
        <f>IF(OR($B133="",$A133&lt;=38),"",--MID('Key Analysis'!$C129,$A133-38,1))</f>
        <v/>
      </c>
      <c r="AP133" s="29" t="str">
        <f>IF(OR($B133="",$A133&lt;=39),"",--MID('Key Analysis'!$C129,$A133-39,1))</f>
        <v/>
      </c>
      <c r="AQ133" s="29" t="str">
        <f>IF(OR($B133="",$A133&lt;=40),"",--MID('Key Analysis'!$C129,$A133-40,1))</f>
        <v/>
      </c>
      <c r="AR133" s="29" t="str">
        <f>IF(OR($B133="",$A133&lt;=41),"",--MID('Key Analysis'!$C129,$A133-41,1))</f>
        <v/>
      </c>
      <c r="AS133" s="29" t="str">
        <f>IF(OR($B133="",$A133&lt;=42),"",--MID('Key Analysis'!$C129,$A133-42,1))</f>
        <v/>
      </c>
      <c r="AT133" s="29" t="str">
        <f>IF(OR($B133="",$A133&lt;=43),"",--MID('Key Analysis'!$C129,$A133-43,1))</f>
        <v/>
      </c>
      <c r="AU133" s="29" t="str">
        <f>IF(OR($B133="",$A133&lt;=44),"",--MID('Key Analysis'!$C129,$A133-44,1))</f>
        <v/>
      </c>
      <c r="AV133" s="29" t="str">
        <f>IF(OR($B133="",$A133&lt;=45),"",--MID('Key Analysis'!$C129,$A133-45,1))</f>
        <v/>
      </c>
      <c r="AW133" s="29" t="str">
        <f>IF(OR($B133="",$A133&lt;=46),"",--MID('Key Analysis'!$C129,$A133-46,1))</f>
        <v/>
      </c>
      <c r="AX133" s="29" t="str">
        <f>IF(OR($B133="",$A133&lt;=47),"",--MID('Key Analysis'!$C129,$A133-47,1))</f>
        <v/>
      </c>
      <c r="AY133" s="29" t="str">
        <f>IF(OR($B133="",$A133&lt;=48),"",--MID('Key Analysis'!$C129,$A133-48,1))</f>
        <v/>
      </c>
      <c r="AZ133" s="29" t="str">
        <f>IF(OR($B133="",$A133&lt;=49),"",--MID('Key Analysis'!$C129,$A133-49,1))</f>
        <v/>
      </c>
      <c r="BA133" s="29" t="str">
        <f>IF(OR($B133="",$A133&lt;=50),"",--MID('Key Analysis'!$C129,$A133-50,1))</f>
        <v/>
      </c>
      <c r="BB133" s="29" t="str">
        <f>IF(OR($B133="",$A133&lt;=51),"",--MID('Key Analysis'!$C129,$A133-51,1))</f>
        <v/>
      </c>
      <c r="BC133" s="29" t="str">
        <f>IF(OR($B133="",$A133&lt;=52),"",--MID('Key Analysis'!$C129,$A133-52,1))</f>
        <v/>
      </c>
      <c r="BD133" s="29" t="str">
        <f>IF(OR($B133="",$A133&lt;=53),"",--MID('Key Analysis'!$C129,$A133-53,1))</f>
        <v/>
      </c>
      <c r="BE133" s="29" t="str">
        <f>IF(OR($B133="",$A133&lt;=54),"",--MID('Key Analysis'!$C129,$A133-54,1))</f>
        <v/>
      </c>
      <c r="BF133" s="29" t="str">
        <f>IF(OR($B133="",$A133&lt;=55),"",--MID('Key Analysis'!$C129,$A133-55,1))</f>
        <v/>
      </c>
      <c r="BG133" s="29" t="str">
        <f>IF(OR($B133="",$A133&lt;=56),"",--MID('Key Analysis'!$C129,$A133-56,1))</f>
        <v/>
      </c>
      <c r="BH133" s="29" t="str">
        <f>IF(OR($B133="",$A133&lt;=57),"",--MID('Key Analysis'!$C129,$A133-57,1))</f>
        <v/>
      </c>
      <c r="BI133" s="29" t="str">
        <f>IF(OR($B133="",$A133&lt;=58),"",--MID('Key Analysis'!$C129,$A133-58,1))</f>
        <v/>
      </c>
      <c r="BJ133" s="29" t="str">
        <f>IF(OR($B133="",$A133&lt;=59),"",--MID('Key Analysis'!$C129,$A133-59,1))</f>
        <v/>
      </c>
      <c r="BK133" s="29" t="str">
        <f>IF(OR($B133="",$A133&lt;=60),"",--MID('Key Analysis'!$C129,$A133-60,1))</f>
        <v/>
      </c>
      <c r="BL133" s="29" t="str">
        <f>IF(OR($B133="",$A133&lt;=61),"",--MID('Key Analysis'!$C129,$A133-61,1))</f>
        <v/>
      </c>
      <c r="BM133" s="29" t="str">
        <f>IF(OR($B133="",$A133&lt;=62),"",--MID('Key Analysis'!$C129,$A133-62,1))</f>
        <v/>
      </c>
      <c r="BN133" s="29" t="str">
        <f>IF(OR($B133="",$A133&lt;=63),"",--MID('Key Analysis'!$C129,$A133-63,1))</f>
        <v/>
      </c>
      <c r="BO133" s="29" t="str">
        <f>IF(OR($B133="",$A133&lt;=64),"",--MID('Key Analysis'!$C129,$A133-64,1))</f>
        <v/>
      </c>
      <c r="BP133" s="29" t="str">
        <f>IF(OR($B133="",$A133&lt;=65),"",--MID('Key Analysis'!$C129,$A133-65,1))</f>
        <v/>
      </c>
      <c r="BQ133" s="29" t="str">
        <f>IF(OR($B133="",$A133&lt;=66),"",--MID('Key Analysis'!$C129,$A133-66,1))</f>
        <v/>
      </c>
      <c r="BR133" s="29" t="str">
        <f>IF(OR($B133="",$A133&lt;=67),"",--MID('Key Analysis'!$C129,$A133-67,1))</f>
        <v/>
      </c>
      <c r="BS133" s="29" t="str">
        <f>IF(OR($B133="",$A133&lt;=68),"",--MID('Key Analysis'!$C129,$A133-68,1))</f>
        <v/>
      </c>
      <c r="BT133" s="29" t="str">
        <f>IF(OR($B133="",$A133&lt;=69),"",--MID('Key Analysis'!$C129,$A133-69,1))</f>
        <v/>
      </c>
      <c r="BU133" s="29" t="str">
        <f>IF(OR($B133="",$A133&lt;=70),"",--MID('Key Analysis'!$C129,$A133-70,1))</f>
        <v/>
      </c>
      <c r="BV133" s="29" t="str">
        <f>IF(OR($B133="",$A133&lt;=71),"",--MID('Key Analysis'!$C129,$A133-71,1))</f>
        <v/>
      </c>
      <c r="BW133" s="29" t="str">
        <f>IF(OR($B133="",$A133&lt;=72),"",--MID('Key Analysis'!$C129,$A133-72,1))</f>
        <v/>
      </c>
      <c r="BX133" s="29" t="str">
        <f>IF(OR($B133="",$A133&lt;=73),"",--MID('Key Analysis'!$C129,$A133-73,1))</f>
        <v/>
      </c>
      <c r="BY133" s="29" t="str">
        <f>IF(OR($B133="",$A133&lt;=74),"",--MID('Key Analysis'!$C129,$A133-74,1))</f>
        <v/>
      </c>
      <c r="BZ133" s="29" t="str">
        <f>IF(OR($B133="",$A133&lt;=75),"",--MID('Key Analysis'!$C129,$A133-75,1))</f>
        <v/>
      </c>
      <c r="CA133" s="29" t="str">
        <f>IF(OR($B133="",$A133&lt;=76),"",--MID('Key Analysis'!$C129,$A133-76,1))</f>
        <v/>
      </c>
      <c r="CB133" s="29" t="str">
        <f>IF(OR($B133="",$A133&lt;=77),"",--MID('Key Analysis'!$C129,$A133-77,1))</f>
        <v/>
      </c>
      <c r="CC133" s="29" t="str">
        <f>IF(OR($B133="",$A133&lt;=78),"",--MID('Key Analysis'!$C129,$A133-78,1))</f>
        <v/>
      </c>
      <c r="CD133" s="29" t="str">
        <f>IF(OR($B133="",$A133&lt;=79),"",--MID('Key Analysis'!$C129,$A133-79,1))</f>
        <v/>
      </c>
      <c r="CE133" s="29" t="str">
        <f>IF(OR($B133="",$A133&lt;=80),"",--MID('Key Analysis'!$C129,$A133-80,1))</f>
        <v/>
      </c>
      <c r="CF133" s="29" t="str">
        <f>IF(OR($B133="",$A133&lt;=81),"",--MID('Key Analysis'!$C129,$A133-81,1))</f>
        <v/>
      </c>
      <c r="CG133" s="29" t="str">
        <f>IF(OR($B133="",$A133&lt;=82),"",--MID('Key Analysis'!$C129,$A133-82,1))</f>
        <v/>
      </c>
      <c r="CH133" s="29" t="str">
        <f>IF(OR($B133="",$A133&lt;=83),"",--MID('Key Analysis'!$C129,$A133-83,1))</f>
        <v/>
      </c>
      <c r="CI133" s="29" t="str">
        <f>IF(OR($B133="",$A133&lt;=84),"",--MID('Key Analysis'!$C129,$A133-84,1))</f>
        <v/>
      </c>
      <c r="CJ133" s="29" t="str">
        <f>IF(OR($B133="",$A133&lt;=85),"",--MID('Key Analysis'!$C129,$A133-85,1))</f>
        <v/>
      </c>
      <c r="CK133" s="29" t="str">
        <f>IF(OR($B133="",$A133&lt;=86),"",--MID('Key Analysis'!$C129,$A133-86,1))</f>
        <v/>
      </c>
      <c r="CL133" s="29" t="str">
        <f>IF(OR($B133="",$A133&lt;=87),"",--MID('Key Analysis'!$C129,$A133-87,1))</f>
        <v/>
      </c>
      <c r="CM133" s="29" t="str">
        <f>IF(OR($B133="",$A133&lt;=88),"",--MID('Key Analysis'!$C129,$A133-88,1))</f>
        <v/>
      </c>
      <c r="CN133" s="29" t="str">
        <f>IF(OR($B133="",$A133&lt;=89),"",--MID('Key Analysis'!$C129,$A133-89,1))</f>
        <v/>
      </c>
      <c r="CO133" s="29" t="str">
        <f>IF(OR($B133="",$A133&lt;=90),"",--MID('Key Analysis'!$C129,$A133-90,1))</f>
        <v/>
      </c>
      <c r="CP133" s="29" t="str">
        <f>IF(OR($B133="",$A133&lt;=91),"",--MID('Key Analysis'!$C129,$A133-91,1))</f>
        <v/>
      </c>
      <c r="CQ133" s="29" t="str">
        <f>IF(OR($B133="",$A133&lt;=92),"",--MID('Key Analysis'!$C129,$A133-92,1))</f>
        <v/>
      </c>
      <c r="CR133" s="29" t="str">
        <f>IF(OR($B133="",$A133&lt;=93),"",--MID('Key Analysis'!$C129,$A133-93,1))</f>
        <v/>
      </c>
      <c r="CS133" s="29" t="str">
        <f>IF(OR($B133="",$A133&lt;=94),"",--MID('Key Analysis'!$C129,$A133-94,1))</f>
        <v/>
      </c>
      <c r="CT133" s="29" t="str">
        <f>IF(OR($B133="",$A133&lt;=95),"",--MID('Key Analysis'!$C129,$A133-95,1))</f>
        <v/>
      </c>
      <c r="CU133" s="29" t="str">
        <f>IF(OR($B133="",$A133&lt;=96),"",--MID('Key Analysis'!$C129,$A133-96,1))</f>
        <v/>
      </c>
      <c r="CV133" s="29" t="str">
        <f>IF(OR($B133="",$A133&lt;=97),"",--MID('Key Analysis'!$C129,$A133-97,1))</f>
        <v/>
      </c>
      <c r="CW133" s="29" t="str">
        <f>IF(OR($B133="",$A133&lt;=98),"",--MID('Key Analysis'!$C129,$A133-98,1))</f>
        <v/>
      </c>
      <c r="CX133" s="29" t="str">
        <f>IF(OR($B133="",$A133&lt;=99),"",--MID('Key Analysis'!$C129,$A133-99,1))</f>
        <v/>
      </c>
      <c r="CY133" s="29" t="str">
        <f>IF(OR($B133="",$A133&lt;=100),"",--MID('Key Analysis'!$C129,$A133-100,1))</f>
        <v/>
      </c>
      <c r="CZ133" s="29" t="str">
        <f>IF(OR($B133="",$A133&lt;=101),"",--MID('Key Analysis'!$C129,$A133-101,1))</f>
        <v/>
      </c>
      <c r="DA133" s="29" t="str">
        <f>IF(OR($B133="",$A133&lt;=102),"",--MID('Key Analysis'!$C129,$A133-102,1))</f>
        <v/>
      </c>
      <c r="DB133" s="29" t="str">
        <f>IF(OR($B133="",$A133&lt;=103),"",--MID('Key Analysis'!$C129,$A133-103,1))</f>
        <v/>
      </c>
      <c r="DC133" s="29" t="str">
        <f>IF(OR($B133="",$A133&lt;=104),"",--MID('Key Analysis'!$C129,$A133-104,1))</f>
        <v/>
      </c>
      <c r="DD133" s="29" t="str">
        <f>IF(OR($B133="",$A133&lt;=105),"",--MID('Key Analysis'!$C129,$A133-105,1))</f>
        <v/>
      </c>
      <c r="DE133" s="29" t="str">
        <f>IF(OR($B133="",$A133&lt;=106),"",--MID('Key Analysis'!$C129,$A133-106,1))</f>
        <v/>
      </c>
      <c r="DF133" s="29" t="str">
        <f>IF(OR($B133="",$A133&lt;=107),"",--MID('Key Analysis'!$C129,$A133-107,1))</f>
        <v/>
      </c>
      <c r="DG133" s="29" t="str">
        <f>IF(OR($B133="",$A133&lt;=108),"",--MID('Key Analysis'!$C129,$A133-108,1))</f>
        <v/>
      </c>
      <c r="DH133" s="29" t="str">
        <f>IF(OR($B133="",$A133&lt;=109),"",--MID('Key Analysis'!$C129,$A133-109,1))</f>
        <v/>
      </c>
      <c r="DI133" s="29" t="str">
        <f>IF(OR($B133="",$A133&lt;=110),"",--MID('Key Analysis'!$C129,$A133-110,1))</f>
        <v/>
      </c>
      <c r="DJ133" s="29" t="str">
        <f>IF(OR($B133="",$A133&lt;=111),"",--MID('Key Analysis'!$C129,$A133-111,1))</f>
        <v/>
      </c>
      <c r="DK133" s="29" t="str">
        <f>IF(OR($B133="",$A133&lt;=112),"",--MID('Key Analysis'!$C129,$A133-112,1))</f>
        <v/>
      </c>
      <c r="DL133" s="29" t="str">
        <f>IF(OR($B133="",$A133&lt;=113),"",--MID('Key Analysis'!$C129,$A133-113,1))</f>
        <v/>
      </c>
      <c r="DM133" s="29" t="str">
        <f>IF(OR($B133="",$A133&lt;=114),"",--MID('Key Analysis'!$C129,$A133-114,1))</f>
        <v/>
      </c>
      <c r="DN133" s="29" t="str">
        <f>IF(OR($B133="",$A133&lt;=115),"",--MID('Key Analysis'!$C129,$A133-115,1))</f>
        <v/>
      </c>
      <c r="DO133" s="29" t="str">
        <f>IF(OR($B133="",$A133&lt;=116),"",--MID('Key Analysis'!$C129,$A133-116,1))</f>
        <v/>
      </c>
      <c r="DP133" s="29" t="str">
        <f>IF(OR($B133="",$A133&lt;=117),"",--MID('Key Analysis'!$C129,$A133-117,1))</f>
        <v/>
      </c>
      <c r="DQ133" s="29" t="str">
        <f>IF(OR($B133="",$A133&lt;=118),"",--MID('Key Analysis'!$C129,$A133-118,1))</f>
        <v/>
      </c>
      <c r="DR133" s="29" t="str">
        <f>IF(OR($B133="",$A133&lt;=119),"",--MID('Key Analysis'!$C129,$A133-119,1))</f>
        <v/>
      </c>
      <c r="DS133" s="29" t="str">
        <f>IF(OR($B133="",$A133&lt;=120),"",--MID('Key Analysis'!$C129,$A133-120,1))</f>
        <v/>
      </c>
      <c r="DT133" s="29" t="str">
        <f>IF(OR($B133="",$A133&lt;=121),"",--MID('Key Analysis'!$C129,$A133-121,1))</f>
        <v/>
      </c>
      <c r="DU133" s="29" t="str">
        <f>IF(OR($B133="",$A133&lt;=122),"",--MID('Key Analysis'!$C129,$A133-122,1))</f>
        <v/>
      </c>
      <c r="DV133" s="29" t="str">
        <f>IF(OR($B133="",$A133&lt;=123),"",--MID('Key Analysis'!$C129,$A133-123,1))</f>
        <v/>
      </c>
      <c r="DW133" s="29" t="str">
        <f>IF(OR($B133="",$A133&lt;=124),"",--MID('Key Analysis'!$C129,$A133-124,1))</f>
        <v/>
      </c>
      <c r="DX133" s="29" t="str">
        <f>IF(OR($B133="",$A133&lt;=125),"",--MID('Key Analysis'!$C129,$A133-125,1))</f>
        <v/>
      </c>
      <c r="DY133" s="29" t="str">
        <f>IF(OR($B133="",$A133&lt;=126),"",--MID('Key Analysis'!$C129,$A133-126,1))</f>
        <v/>
      </c>
      <c r="DZ133" s="29" t="str">
        <f>IF(OR($B133="",$A133&lt;=127),"",--MID('Key Analysis'!$C129,$A133-127,1))</f>
        <v/>
      </c>
      <c r="EA133" s="29" t="str">
        <f>IF(OR($B133="",$A133&lt;=128),"",--MID('Key Analysis'!$C129,$A133-128,1))</f>
        <v/>
      </c>
      <c r="EB133" s="29" t="str">
        <f>IF(OR($B133="",$A133&lt;=129),"",--MID('Key Analysis'!$C129,$A133-129,1))</f>
        <v/>
      </c>
      <c r="EC133" s="29" t="str">
        <f>IF(OR($B133="",$A133&lt;=130),"",--MID('Key Analysis'!$C129,$A133-130,1))</f>
        <v/>
      </c>
      <c r="ED133" s="29" t="str">
        <f>IF(OR($B133="",$A133&lt;=131),"",--MID('Key Analysis'!$C129,$A133-131,1))</f>
        <v/>
      </c>
      <c r="EE133" s="29" t="str">
        <f>IF(OR($B133="",$A133&lt;=132),"",--MID('Key Analysis'!$C129,$A133-132,1))</f>
        <v/>
      </c>
      <c r="EF133" s="29" t="str">
        <f>IF(OR($B133="",$A133&lt;=133),"",--MID('Key Analysis'!$C129,$A133-133,1))</f>
        <v/>
      </c>
      <c r="EG133" s="29" t="str">
        <f>IF(OR($B133="",$A133&lt;=134),"",--MID('Key Analysis'!$C129,$A133-134,1))</f>
        <v/>
      </c>
      <c r="EH133" s="29"/>
      <c r="EI133" s="29" t="str">
        <f>IF(OR($B133="",$A133&lt;1),"",--MID('Key Analysis'!$C129,1,1))</f>
        <v/>
      </c>
      <c r="EJ133" s="29" t="str">
        <f>IF(OR($B133="",$A133&lt;2),"",--MID('Key Analysis'!$C129,2,1))</f>
        <v/>
      </c>
      <c r="EK133" s="29" t="str">
        <f>IF(OR($B133="",$A133&lt;3),"",--MID('Key Analysis'!$C129,3,1))</f>
        <v/>
      </c>
      <c r="EL133" s="29" t="str">
        <f>IF(OR($B133="",$A133&lt;4),"",--MID('Key Analysis'!$C129,4,1))</f>
        <v/>
      </c>
      <c r="EM133" s="29" t="str">
        <f>IF(OR($B133="",$A133&lt;5),"",--MID('Key Analysis'!$C129,5,1))</f>
        <v/>
      </c>
      <c r="EN133" s="29" t="str">
        <f>IF(OR($B133="",$A133&lt;6),"",--MID('Key Analysis'!$C129,6,1))</f>
        <v/>
      </c>
      <c r="EO133" s="29" t="str">
        <f>IF(OR($B133="",$A133&lt;7),"",--MID('Key Analysis'!$C129,7,1))</f>
        <v/>
      </c>
      <c r="EP133" s="29" t="str">
        <f>IF(OR($B133="",$A133&lt;8),"",--MID('Key Analysis'!$C129,8,1))</f>
        <v/>
      </c>
      <c r="EQ133" s="29" t="str">
        <f>IF(OR($B133="",$A133&lt;9),"",--MID('Key Analysis'!$C129,9,1))</f>
        <v/>
      </c>
      <c r="ER133" s="29" t="str">
        <f>IF(OR($B133="",$A133&lt;10),"",--MID('Key Analysis'!$C129,10,1))</f>
        <v/>
      </c>
      <c r="ES133" s="29" t="str">
        <f>IF(OR($B133="",$A133&lt;11),"",--MID('Key Analysis'!$C129,11,1))</f>
        <v/>
      </c>
      <c r="ET133" s="29" t="str">
        <f>IF(OR($B133="",$A133&lt;12),"",--MID('Key Analysis'!$C129,12,1))</f>
        <v/>
      </c>
      <c r="EU133" s="29" t="str">
        <f>IF(OR($B133="",$A133&lt;13),"",--MID('Key Analysis'!$C129,13,1))</f>
        <v/>
      </c>
      <c r="EV133" s="29" t="str">
        <f>IF(OR($B133="",$A133&lt;14),"",--MID('Key Analysis'!$C129,14,1))</f>
        <v/>
      </c>
      <c r="EW133" s="29" t="str">
        <f>IF(OR($B133="",$A133&lt;15),"",--MID('Key Analysis'!$C129,15,1))</f>
        <v/>
      </c>
      <c r="EX133" s="29" t="str">
        <f>IF(OR($B133="",$A133&lt;16),"",--MID('Key Analysis'!$C129,16,1))</f>
        <v/>
      </c>
      <c r="EY133" s="29" t="str">
        <f>IF(OR($B133="",$A133&lt;17),"",--MID('Key Analysis'!$C129,17,1))</f>
        <v/>
      </c>
      <c r="EZ133" s="29" t="str">
        <f>IF(OR($B133="",$A133&lt;18),"",--MID('Key Analysis'!$C129,18,1))</f>
        <v/>
      </c>
      <c r="FA133" s="29" t="str">
        <f>IF(OR($B133="",$A133&lt;19),"",--MID('Key Analysis'!$C129,19,1))</f>
        <v/>
      </c>
      <c r="FB133" s="29" t="str">
        <f>IF(OR($B133="",$A133&lt;20),"",--MID('Key Analysis'!$C129,20,1))</f>
        <v/>
      </c>
      <c r="FC133" s="29" t="str">
        <f>IF(OR($B133="",$A133&lt;21),"",--MID('Key Analysis'!$C129,21,1))</f>
        <v/>
      </c>
      <c r="FD133" s="29" t="str">
        <f>IF(OR($B133="",$A133&lt;22),"",--MID('Key Analysis'!$C129,22,1))</f>
        <v/>
      </c>
      <c r="FE133" s="29" t="str">
        <f>IF(OR($B133="",$A133&lt;23),"",--MID('Key Analysis'!$C129,23,1))</f>
        <v/>
      </c>
      <c r="FF133" s="29" t="str">
        <f>IF(OR($B133="",$A133&lt;24),"",--MID('Key Analysis'!$C129,24,1))</f>
        <v/>
      </c>
      <c r="FG133" s="29" t="str">
        <f>IF(OR($B133="",$A133&lt;25),"",--MID('Key Analysis'!$C129,25,1))</f>
        <v/>
      </c>
      <c r="FH133" s="29" t="str">
        <f>IF(OR($B133="",$A133&lt;26),"",--MID('Key Analysis'!$C129,26,1))</f>
        <v/>
      </c>
      <c r="FI133" s="29" t="str">
        <f>IF(OR($B133="",$A133&lt;27),"",--MID('Key Analysis'!$C129,27,1))</f>
        <v/>
      </c>
      <c r="FJ133" s="29" t="str">
        <f>IF(OR($B133="",$A133&lt;28),"",--MID('Key Analysis'!$C129,28,1))</f>
        <v/>
      </c>
      <c r="FK133" s="29" t="str">
        <f>IF(OR($B133="",$A133&lt;29),"",--MID('Key Analysis'!$C129,29,1))</f>
        <v/>
      </c>
      <c r="FL133" s="29" t="str">
        <f>IF(OR($B133="",$A133&lt;30),"",--MID('Key Analysis'!$C129,30,1))</f>
        <v/>
      </c>
      <c r="FM133" s="29" t="str">
        <f>IF(OR($B133="",$A133&lt;31),"",--MID('Key Analysis'!$C129,31,1))</f>
        <v/>
      </c>
      <c r="FN133" s="29" t="str">
        <f>IF(OR($B133="",$A133&lt;32),"",--MID('Key Analysis'!$C129,32,1))</f>
        <v/>
      </c>
      <c r="FO133" s="29" t="str">
        <f>IF(OR($B133="",$A133&lt;33),"",--MID('Key Analysis'!$C129,33,1))</f>
        <v/>
      </c>
      <c r="FP133" s="29" t="str">
        <f>IF(OR($B133="",$A133&lt;34),"",--MID('Key Analysis'!$C129,34,1))</f>
        <v/>
      </c>
      <c r="FQ133" s="29" t="str">
        <f>IF(OR($B133="",$A133&lt;35),"",--MID('Key Analysis'!$C129,35,1))</f>
        <v/>
      </c>
      <c r="FR133" s="29" t="str">
        <f>IF(OR($B133="",$A133&lt;36),"",--MID('Key Analysis'!$C129,36,1))</f>
        <v/>
      </c>
      <c r="FS133" s="29" t="str">
        <f>IF(OR($B133="",$A133&lt;37),"",--MID('Key Analysis'!$C129,37,1))</f>
        <v/>
      </c>
      <c r="FT133" s="29" t="str">
        <f>IF(OR($B133="",$A133&lt;38),"",--MID('Key Analysis'!$C129,38,1))</f>
        <v/>
      </c>
      <c r="FU133" s="29" t="str">
        <f>IF(OR($B133="",$A133&lt;39),"",--MID('Key Analysis'!$C129,39,1))</f>
        <v/>
      </c>
      <c r="FV133" s="29" t="str">
        <f>IF(OR($B133="",$A133&lt;40),"",--MID('Key Analysis'!$C129,40,1))</f>
        <v/>
      </c>
      <c r="FW133" s="29" t="str">
        <f>IF(OR($B133="",$A133&lt;41),"",--MID('Key Analysis'!$C129,41,1))</f>
        <v/>
      </c>
      <c r="FX133" s="29" t="str">
        <f>IF(OR($B133="",$A133&lt;42),"",--MID('Key Analysis'!$C129,42,1))</f>
        <v/>
      </c>
      <c r="FY133" s="29" t="str">
        <f>IF(OR($B133="",$A133&lt;43),"",--MID('Key Analysis'!$C129,43,1))</f>
        <v/>
      </c>
      <c r="FZ133" s="29" t="str">
        <f>IF(OR($B133="",$A133&lt;44),"",--MID('Key Analysis'!$C129,44,1))</f>
        <v/>
      </c>
      <c r="GA133" s="29" t="str">
        <f>IF(OR($B133="",$A133&lt;45),"",--MID('Key Analysis'!$C129,45,1))</f>
        <v/>
      </c>
      <c r="GB133" s="29" t="str">
        <f>IF(OR($B133="",$A133&lt;46),"",--MID('Key Analysis'!$C129,46,1))</f>
        <v/>
      </c>
      <c r="GC133" s="29" t="str">
        <f>IF(OR($B133="",$A133&lt;47),"",--MID('Key Analysis'!$C129,47,1))</f>
        <v/>
      </c>
      <c r="GD133" s="29" t="str">
        <f>IF(OR($B133="",$A133&lt;48),"",--MID('Key Analysis'!$C129,48,1))</f>
        <v/>
      </c>
      <c r="GE133" s="29" t="str">
        <f>IF(OR($B133="",$A133&lt;49),"",--MID('Key Analysis'!$C129,49,1))</f>
        <v/>
      </c>
      <c r="GF133" s="29" t="str">
        <f>IF(OR($B133="",$A133&lt;50),"",--MID('Key Analysis'!$C129,50,1))</f>
        <v/>
      </c>
      <c r="GG133" s="29" t="str">
        <f>IF(OR($B133="",$A133&lt;51),"",--MID('Key Analysis'!$C129,51,1))</f>
        <v/>
      </c>
      <c r="GH133" s="29" t="str">
        <f>IF(OR($B133="",$A133&lt;52),"",--MID('Key Analysis'!$C129,52,1))</f>
        <v/>
      </c>
      <c r="GI133" s="29" t="str">
        <f>IF(OR($B133="",$A133&lt;53),"",--MID('Key Analysis'!$C129,53,1))</f>
        <v/>
      </c>
      <c r="GJ133" s="29" t="str">
        <f>IF(OR($B133="",$A133&lt;54),"",--MID('Key Analysis'!$C129,54,1))</f>
        <v/>
      </c>
      <c r="GK133" s="29" t="str">
        <f>IF(OR($B133="",$A133&lt;55),"",--MID('Key Analysis'!$C129,55,1))</f>
        <v/>
      </c>
      <c r="GL133" s="29" t="str">
        <f>IF(OR($B133="",$A133&lt;56),"",--MID('Key Analysis'!$C129,56,1))</f>
        <v/>
      </c>
      <c r="GM133" s="29" t="str">
        <f>IF(OR($B133="",$A133&lt;57),"",--MID('Key Analysis'!$C129,57,1))</f>
        <v/>
      </c>
      <c r="GN133" s="29" t="str">
        <f>IF(OR($B133="",$A133&lt;58),"",--MID('Key Analysis'!$C129,58,1))</f>
        <v/>
      </c>
      <c r="GO133" s="29" t="str">
        <f>IF(OR($B133="",$A133&lt;59),"",--MID('Key Analysis'!$C129,59,1))</f>
        <v/>
      </c>
      <c r="GP133" s="29" t="str">
        <f>IF(OR($B133="",$A133&lt;60),"",--MID('Key Analysis'!$C129,60,1))</f>
        <v/>
      </c>
      <c r="GQ133" s="29" t="str">
        <f>IF(OR($B133="",$A133&lt;61),"",--MID('Key Analysis'!$C129,61,1))</f>
        <v/>
      </c>
      <c r="GR133" s="29" t="str">
        <f>IF(OR($B133="",$A133&lt;62),"",--MID('Key Analysis'!$C129,62,1))</f>
        <v/>
      </c>
      <c r="GS133" s="29" t="str">
        <f>IF(OR($B133="",$A133&lt;63),"",--MID('Key Analysis'!$C129,63,1))</f>
        <v/>
      </c>
      <c r="GT133" s="29" t="str">
        <f>IF(OR($B133="",$A133&lt;64),"",--MID('Key Analysis'!$C129,64,1))</f>
        <v/>
      </c>
      <c r="GU133" s="29" t="str">
        <f>IF(OR($B133="",$A133&lt;65),"",--MID('Key Analysis'!$C129,65,1))</f>
        <v/>
      </c>
      <c r="GV133" s="29" t="str">
        <f>IF(OR($B133="",$A133&lt;66),"",--MID('Key Analysis'!$C129,66,1))</f>
        <v/>
      </c>
      <c r="GW133" s="29" t="str">
        <f>IF(OR($B133="",$A133&lt;67),"",--MID('Key Analysis'!$C129,67,1))</f>
        <v/>
      </c>
      <c r="GX133" s="29" t="str">
        <f>IF(OR($B133="",$A133&lt;68),"",--MID('Key Analysis'!$C129,68,1))</f>
        <v/>
      </c>
      <c r="GY133" s="29" t="str">
        <f>IF(OR($B133="",$A133&lt;69),"",--MID('Key Analysis'!$C129,69,1))</f>
        <v/>
      </c>
      <c r="GZ133" s="29" t="str">
        <f>IF(OR($B133="",$A133&lt;70),"",--MID('Key Analysis'!$C129,70,1))</f>
        <v/>
      </c>
      <c r="HA133" s="29" t="str">
        <f>IF(OR($B133="",$A133&lt;71),"",--MID('Key Analysis'!$C129,71,1))</f>
        <v/>
      </c>
      <c r="HB133" s="29" t="str">
        <f>IF(OR($B133="",$A133&lt;72),"",--MID('Key Analysis'!$C129,72,1))</f>
        <v/>
      </c>
      <c r="HC133" s="29" t="str">
        <f>IF(OR($B133="",$A133&lt;73),"",--MID('Key Analysis'!$C129,73,1))</f>
        <v/>
      </c>
      <c r="HD133" s="29" t="str">
        <f>IF(OR($B133="",$A133&lt;74),"",--MID('Key Analysis'!$C129,74,1))</f>
        <v/>
      </c>
      <c r="HE133" s="29" t="str">
        <f>IF(OR($B133="",$A133&lt;75),"",--MID('Key Analysis'!$C129,75,1))</f>
        <v/>
      </c>
      <c r="HF133" s="29" t="str">
        <f>IF(OR($B133="",$A133&lt;76),"",--MID('Key Analysis'!$C129,76,1))</f>
        <v/>
      </c>
      <c r="HG133" s="29" t="str">
        <f>IF(OR($B133="",$A133&lt;77),"",--MID('Key Analysis'!$C129,77,1))</f>
        <v/>
      </c>
      <c r="HH133" s="29" t="str">
        <f>IF(OR($B133="",$A133&lt;78),"",--MID('Key Analysis'!$C129,78,1))</f>
        <v/>
      </c>
      <c r="HI133" s="29" t="str">
        <f>IF(OR($B133="",$A133&lt;79),"",--MID('Key Analysis'!$C129,79,1))</f>
        <v/>
      </c>
      <c r="HJ133" s="29" t="str">
        <f>IF(OR($B133="",$A133&lt;80),"",--MID('Key Analysis'!$C129,80,1))</f>
        <v/>
      </c>
      <c r="HK133" s="29" t="str">
        <f>IF(OR($B133="",$A133&lt;81),"",--MID('Key Analysis'!$C129,81,1))</f>
        <v/>
      </c>
      <c r="HL133" s="29" t="str">
        <f>IF(OR($B133="",$A133&lt;82),"",--MID('Key Analysis'!$C129,82,1))</f>
        <v/>
      </c>
      <c r="HM133" s="29" t="str">
        <f>IF(OR($B133="",$A133&lt;83),"",--MID('Key Analysis'!$C129,83,1))</f>
        <v/>
      </c>
      <c r="HN133" s="29" t="str">
        <f>IF(OR($B133="",$A133&lt;84),"",--MID('Key Analysis'!$C129,84,1))</f>
        <v/>
      </c>
      <c r="HO133" s="29" t="str">
        <f>IF(OR($B133="",$A133&lt;85),"",--MID('Key Analysis'!$C129,85,1))</f>
        <v/>
      </c>
      <c r="HP133" s="29" t="str">
        <f>IF(OR($B133="",$A133&lt;86),"",--MID('Key Analysis'!$C129,86,1))</f>
        <v/>
      </c>
      <c r="HQ133" s="29" t="str">
        <f>IF(OR($B133="",$A133&lt;87),"",--MID('Key Analysis'!$C129,87,1))</f>
        <v/>
      </c>
      <c r="HR133" s="29" t="str">
        <f>IF(OR($B133="",$A133&lt;88),"",--MID('Key Analysis'!$C129,88,1))</f>
        <v/>
      </c>
      <c r="HS133" s="29" t="str">
        <f>IF(OR($B133="",$A133&lt;89),"",--MID('Key Analysis'!$C129,89,1))</f>
        <v/>
      </c>
      <c r="HT133" s="29" t="str">
        <f>IF(OR($B133="",$A133&lt;90),"",--MID('Key Analysis'!$C129,90,1))</f>
        <v/>
      </c>
      <c r="HU133" s="29" t="str">
        <f>IF(OR($B133="",$A133&lt;91),"",--MID('Key Analysis'!$C129,91,1))</f>
        <v/>
      </c>
      <c r="HV133" s="29" t="str">
        <f>IF(OR($B133="",$A133&lt;92),"",--MID('Key Analysis'!$C129,92,1))</f>
        <v/>
      </c>
      <c r="HW133" s="29" t="str">
        <f>IF(OR($B133="",$A133&lt;93),"",--MID('Key Analysis'!$C129,93,1))</f>
        <v/>
      </c>
      <c r="HX133" s="29" t="str">
        <f>IF(OR($B133="",$A133&lt;94),"",--MID('Key Analysis'!$C129,94,1))</f>
        <v/>
      </c>
      <c r="HY133" s="29" t="str">
        <f>IF(OR($B133="",$A133&lt;95),"",--MID('Key Analysis'!$C129,95,1))</f>
        <v/>
      </c>
      <c r="HZ133" s="29" t="str">
        <f>IF(OR($B133="",$A133&lt;96),"",--MID('Key Analysis'!$C129,96,1))</f>
        <v/>
      </c>
      <c r="IA133" s="29" t="str">
        <f>IF(OR($B133="",$A133&lt;97),"",--MID('Key Analysis'!$C129,97,1))</f>
        <v/>
      </c>
      <c r="IB133" s="29" t="str">
        <f>IF(OR($B133="",$A133&lt;98),"",--MID('Key Analysis'!$C129,98,1))</f>
        <v/>
      </c>
      <c r="IC133" s="29" t="str">
        <f>IF(OR($B133="",$A133&lt;99),"",--MID('Key Analysis'!$C129,99,1))</f>
        <v/>
      </c>
      <c r="ID133" s="29" t="str">
        <f>IF(OR($B133="",$A133&lt;100),"",--MID('Key Analysis'!$C129,100,1))</f>
        <v/>
      </c>
      <c r="IE133" s="29" t="str">
        <f>IF(OR($B133="",$A133&lt;101),"",--MID('Key Analysis'!$C129,101,1))</f>
        <v/>
      </c>
      <c r="IF133" s="29" t="str">
        <f>IF(OR($B133="",$A133&lt;102),"",--MID('Key Analysis'!$C129,102,1))</f>
        <v/>
      </c>
      <c r="IG133" s="29" t="str">
        <f>IF(OR($B133="",$A133&lt;103),"",--MID('Key Analysis'!$C129,103,1))</f>
        <v/>
      </c>
      <c r="IH133" s="29" t="str">
        <f>IF(OR($B133="",$A133&lt;104),"",--MID('Key Analysis'!$C129,104,1))</f>
        <v/>
      </c>
      <c r="II133" s="29" t="str">
        <f>IF(OR($B133="",$A133&lt;105),"",--MID('Key Analysis'!$C129,105,1))</f>
        <v/>
      </c>
      <c r="IJ133" s="29" t="str">
        <f>IF(OR($B133="",$A133&lt;106),"",--MID('Key Analysis'!$C129,106,1))</f>
        <v/>
      </c>
      <c r="IK133" s="29" t="str">
        <f>IF(OR($B133="",$A133&lt;107),"",--MID('Key Analysis'!$C129,107,1))</f>
        <v/>
      </c>
      <c r="IL133" s="29" t="str">
        <f>IF(OR($B133="",$A133&lt;108),"",--MID('Key Analysis'!$C129,108,1))</f>
        <v/>
      </c>
      <c r="IM133" s="29" t="str">
        <f>IF(OR($B133="",$A133&lt;109),"",--MID('Key Analysis'!$C129,109,1))</f>
        <v/>
      </c>
      <c r="IN133" s="29" t="str">
        <f>IF(OR($B133="",$A133&lt;110),"",--MID('Key Analysis'!$C129,110,1))</f>
        <v/>
      </c>
      <c r="IO133" s="29" t="str">
        <f>IF(OR($B133="",$A133&lt;111),"",--MID('Key Analysis'!$C129,111,1))</f>
        <v/>
      </c>
      <c r="IP133" s="29" t="str">
        <f>IF(OR($B133="",$A133&lt;112),"",--MID('Key Analysis'!$C129,112,1))</f>
        <v/>
      </c>
      <c r="IQ133" s="29" t="str">
        <f>IF(OR($B133="",$A133&lt;113),"",--MID('Key Analysis'!$C129,113,1))</f>
        <v/>
      </c>
      <c r="IR133" s="29" t="str">
        <f>IF(OR($B133="",$A133&lt;114),"",--MID('Key Analysis'!$C129,114,1))</f>
        <v/>
      </c>
      <c r="IS133" s="29" t="str">
        <f>IF(OR($B133="",$A133&lt;115),"",--MID('Key Analysis'!$C129,115,1))</f>
        <v/>
      </c>
      <c r="IT133" s="29" t="str">
        <f>IF(OR($B133="",$A133&lt;116),"",--MID('Key Analysis'!$C129,116,1))</f>
        <v/>
      </c>
      <c r="IU133" s="29" t="str">
        <f>IF(OR($B133="",$A133&lt;117),"",--MID('Key Analysis'!$C129,117,1))</f>
        <v/>
      </c>
      <c r="IV133" s="29" t="str">
        <f>IF(OR($B133="",$A133&lt;118),"",--MID('Key Analysis'!$C129,118,1))</f>
        <v/>
      </c>
      <c r="IW133" s="29" t="str">
        <f>IF(OR($B133="",$A133&lt;119),"",--MID('Key Analysis'!$C129,119,1))</f>
        <v/>
      </c>
      <c r="IX133" s="29" t="str">
        <f>IF(OR($B133="",$A133&lt;120),"",--MID('Key Analysis'!$C129,120,1))</f>
        <v/>
      </c>
      <c r="IY133" s="29" t="str">
        <f>IF(OR($B133="",$A133&lt;121),"",--MID('Key Analysis'!$C129,121,1))</f>
        <v/>
      </c>
      <c r="IZ133" s="29" t="str">
        <f>IF(OR($B133="",$A133&lt;122),"",--MID('Key Analysis'!$C129,122,1))</f>
        <v/>
      </c>
      <c r="JA133" s="29" t="str">
        <f>IF(OR($B133="",$A133&lt;123),"",--MID('Key Analysis'!$C129,123,1))</f>
        <v/>
      </c>
      <c r="JB133" s="29" t="str">
        <f>IF(OR($B133="",$A133&lt;124),"",--MID('Key Analysis'!$C129,124,1))</f>
        <v/>
      </c>
      <c r="JC133" s="29" t="str">
        <f>IF(OR($B133="",$A133&lt;125),"",--MID('Key Analysis'!$C129,125,1))</f>
        <v/>
      </c>
      <c r="JD133" s="29" t="str">
        <f>IF(OR($B133="",$A133&lt;126),"",--MID('Key Analysis'!$C129,126,1))</f>
        <v/>
      </c>
      <c r="JE133" s="29" t="str">
        <f>IF(OR($B133="",$A133&lt;127),"",--MID('Key Analysis'!$C129,127,1))</f>
        <v/>
      </c>
      <c r="JF133" s="29" t="str">
        <f>IF(OR($B133="",$A133&lt;128),"",--MID('Key Analysis'!$C129,128,1))</f>
        <v/>
      </c>
      <c r="JG133" s="29" t="str">
        <f>IF(OR($B133="",$A133&lt;129),"",--MID('Key Analysis'!$C129,129,1))</f>
        <v/>
      </c>
      <c r="JH133" s="29" t="str">
        <f>IF(OR($B133="",$A133&lt;130),"",--MID('Key Analysis'!$C129,130,1))</f>
        <v/>
      </c>
      <c r="JI133" s="29" t="str">
        <f>IF(OR($B133="",$A133&lt;131),"",--MID('Key Analysis'!$C129,131,1))</f>
        <v/>
      </c>
      <c r="JJ133" s="29" t="str">
        <f>IF(OR($B133="",$A133&lt;132),"",--MID('Key Analysis'!$C129,132,1))</f>
        <v/>
      </c>
      <c r="JK133" s="29" t="str">
        <f>IF(OR($B133="",$A133&lt;133),"",--MID('Key Analysis'!$C129,133,1))</f>
        <v/>
      </c>
      <c r="JL133" s="29" t="str">
        <f>IF(OR($B133="",$A133&lt;134),"",--MID('Key Analysis'!$C129,134,1))</f>
        <v/>
      </c>
      <c r="JM133" s="29" t="str">
        <f>IF(OR($B133="",$A133&lt;135),"",--MID('Key Analysis'!$C129,135,1))</f>
        <v/>
      </c>
    </row>
    <row r="134" spans="1:273" x14ac:dyDescent="0.25">
      <c r="A134" s="21">
        <f>'Key Analysis'!A130</f>
        <v>129</v>
      </c>
      <c r="B134" s="30" t="str">
        <f>'Key Analysis'!B130</f>
        <v/>
      </c>
      <c r="C134" s="29" t="str">
        <f>IF(OR($B134="",$A134&lt;=0),"",--MID('Key Analysis'!$C130,$A134-0,1))</f>
        <v/>
      </c>
      <c r="D134" s="29" t="str">
        <f>IF(OR($B134="",$A134&lt;=1),"",--MID('Key Analysis'!$C130,$A134-1,1))</f>
        <v/>
      </c>
      <c r="E134" s="29" t="str">
        <f>IF(OR($B134="",$A134&lt;=2),"",--MID('Key Analysis'!$C130,$A134-2,1))</f>
        <v/>
      </c>
      <c r="F134" s="29" t="str">
        <f>IF(OR($B134="",$A134&lt;=3),"",--MID('Key Analysis'!$C130,$A134-3,1))</f>
        <v/>
      </c>
      <c r="G134" s="29" t="str">
        <f>IF(OR($B134="",$A134&lt;=4),"",--MID('Key Analysis'!$C130,$A134-4,1))</f>
        <v/>
      </c>
      <c r="H134" s="29" t="str">
        <f>IF(OR($B134="",$A134&lt;=5),"",--MID('Key Analysis'!$C130,$A134-5,1))</f>
        <v/>
      </c>
      <c r="I134" s="29" t="str">
        <f>IF(OR($B134="",$A134&lt;=6),"",--MID('Key Analysis'!$C130,$A134-6,1))</f>
        <v/>
      </c>
      <c r="J134" s="29" t="str">
        <f>IF(OR($B134="",$A134&lt;=7),"",--MID('Key Analysis'!$C130,$A134-7,1))</f>
        <v/>
      </c>
      <c r="K134" s="29" t="str">
        <f>IF(OR($B134="",$A134&lt;=8),"",--MID('Key Analysis'!$C130,$A134-8,1))</f>
        <v/>
      </c>
      <c r="L134" s="29" t="str">
        <f>IF(OR($B134="",$A134&lt;=9),"",--MID('Key Analysis'!$C130,$A134-9,1))</f>
        <v/>
      </c>
      <c r="M134" s="29" t="str">
        <f>IF(OR($B134="",$A134&lt;=10),"",--MID('Key Analysis'!$C130,$A134-10,1))</f>
        <v/>
      </c>
      <c r="N134" s="29" t="str">
        <f>IF(OR($B134="",$A134&lt;=11),"",--MID('Key Analysis'!$C130,$A134-11,1))</f>
        <v/>
      </c>
      <c r="O134" s="29" t="str">
        <f>IF(OR($B134="",$A134&lt;=12),"",--MID('Key Analysis'!$C130,$A134-12,1))</f>
        <v/>
      </c>
      <c r="P134" s="29" t="str">
        <f>IF(OR($B134="",$A134&lt;=13),"",--MID('Key Analysis'!$C130,$A134-13,1))</f>
        <v/>
      </c>
      <c r="Q134" s="29" t="str">
        <f>IF(OR($B134="",$A134&lt;=14),"",--MID('Key Analysis'!$C130,$A134-14,1))</f>
        <v/>
      </c>
      <c r="R134" s="29" t="str">
        <f>IF(OR($B134="",$A134&lt;=15),"",--MID('Key Analysis'!$C130,$A134-15,1))</f>
        <v/>
      </c>
      <c r="S134" s="29" t="str">
        <f>IF(OR($B134="",$A134&lt;=16),"",--MID('Key Analysis'!$C130,$A134-16,1))</f>
        <v/>
      </c>
      <c r="T134" s="29" t="str">
        <f>IF(OR($B134="",$A134&lt;=17),"",--MID('Key Analysis'!$C130,$A134-17,1))</f>
        <v/>
      </c>
      <c r="U134" s="29" t="str">
        <f>IF(OR($B134="",$A134&lt;=18),"",--MID('Key Analysis'!$C130,$A134-18,1))</f>
        <v/>
      </c>
      <c r="V134" s="29" t="str">
        <f>IF(OR($B134="",$A134&lt;=19),"",--MID('Key Analysis'!$C130,$A134-19,1))</f>
        <v/>
      </c>
      <c r="W134" s="29" t="str">
        <f>IF(OR($B134="",$A134&lt;=20),"",--MID('Key Analysis'!$C130,$A134-20,1))</f>
        <v/>
      </c>
      <c r="X134" s="29" t="str">
        <f>IF(OR($B134="",$A134&lt;=21),"",--MID('Key Analysis'!$C130,$A134-21,1))</f>
        <v/>
      </c>
      <c r="Y134" s="29" t="str">
        <f>IF(OR($B134="",$A134&lt;=22),"",--MID('Key Analysis'!$C130,$A134-22,1))</f>
        <v/>
      </c>
      <c r="Z134" s="29" t="str">
        <f>IF(OR($B134="",$A134&lt;=23),"",--MID('Key Analysis'!$C130,$A134-23,1))</f>
        <v/>
      </c>
      <c r="AA134" s="29" t="str">
        <f>IF(OR($B134="",$A134&lt;=24),"",--MID('Key Analysis'!$C130,$A134-24,1))</f>
        <v/>
      </c>
      <c r="AB134" s="29" t="str">
        <f>IF(OR($B134="",$A134&lt;=25),"",--MID('Key Analysis'!$C130,$A134-25,1))</f>
        <v/>
      </c>
      <c r="AC134" s="29" t="str">
        <f>IF(OR($B134="",$A134&lt;=26),"",--MID('Key Analysis'!$C130,$A134-26,1))</f>
        <v/>
      </c>
      <c r="AD134" s="29" t="str">
        <f>IF(OR($B134="",$A134&lt;=27),"",--MID('Key Analysis'!$C130,$A134-27,1))</f>
        <v/>
      </c>
      <c r="AE134" s="29" t="str">
        <f>IF(OR($B134="",$A134&lt;=28),"",--MID('Key Analysis'!$C130,$A134-28,1))</f>
        <v/>
      </c>
      <c r="AF134" s="29" t="str">
        <f>IF(OR($B134="",$A134&lt;=29),"",--MID('Key Analysis'!$C130,$A134-29,1))</f>
        <v/>
      </c>
      <c r="AG134" s="29" t="str">
        <f>IF(OR($B134="",$A134&lt;=30),"",--MID('Key Analysis'!$C130,$A134-30,1))</f>
        <v/>
      </c>
      <c r="AH134" s="29" t="str">
        <f>IF(OR($B134="",$A134&lt;=31),"",--MID('Key Analysis'!$C130,$A134-31,1))</f>
        <v/>
      </c>
      <c r="AI134" s="29" t="str">
        <f>IF(OR($B134="",$A134&lt;=32),"",--MID('Key Analysis'!$C130,$A134-32,1))</f>
        <v/>
      </c>
      <c r="AJ134" s="29" t="str">
        <f>IF(OR($B134="",$A134&lt;=33),"",--MID('Key Analysis'!$C130,$A134-33,1))</f>
        <v/>
      </c>
      <c r="AK134" s="29" t="str">
        <f>IF(OR($B134="",$A134&lt;=34),"",--MID('Key Analysis'!$C130,$A134-34,1))</f>
        <v/>
      </c>
      <c r="AL134" s="29" t="str">
        <f>IF(OR($B134="",$A134&lt;=35),"",--MID('Key Analysis'!$C130,$A134-35,1))</f>
        <v/>
      </c>
      <c r="AM134" s="29" t="str">
        <f>IF(OR($B134="",$A134&lt;=36),"",--MID('Key Analysis'!$C130,$A134-36,1))</f>
        <v/>
      </c>
      <c r="AN134" s="29" t="str">
        <f>IF(OR($B134="",$A134&lt;=37),"",--MID('Key Analysis'!$C130,$A134-37,1))</f>
        <v/>
      </c>
      <c r="AO134" s="29" t="str">
        <f>IF(OR($B134="",$A134&lt;=38),"",--MID('Key Analysis'!$C130,$A134-38,1))</f>
        <v/>
      </c>
      <c r="AP134" s="29" t="str">
        <f>IF(OR($B134="",$A134&lt;=39),"",--MID('Key Analysis'!$C130,$A134-39,1))</f>
        <v/>
      </c>
      <c r="AQ134" s="29" t="str">
        <f>IF(OR($B134="",$A134&lt;=40),"",--MID('Key Analysis'!$C130,$A134-40,1))</f>
        <v/>
      </c>
      <c r="AR134" s="29" t="str">
        <f>IF(OR($B134="",$A134&lt;=41),"",--MID('Key Analysis'!$C130,$A134-41,1))</f>
        <v/>
      </c>
      <c r="AS134" s="29" t="str">
        <f>IF(OR($B134="",$A134&lt;=42),"",--MID('Key Analysis'!$C130,$A134-42,1))</f>
        <v/>
      </c>
      <c r="AT134" s="29" t="str">
        <f>IF(OR($B134="",$A134&lt;=43),"",--MID('Key Analysis'!$C130,$A134-43,1))</f>
        <v/>
      </c>
      <c r="AU134" s="29" t="str">
        <f>IF(OR($B134="",$A134&lt;=44),"",--MID('Key Analysis'!$C130,$A134-44,1))</f>
        <v/>
      </c>
      <c r="AV134" s="29" t="str">
        <f>IF(OR($B134="",$A134&lt;=45),"",--MID('Key Analysis'!$C130,$A134-45,1))</f>
        <v/>
      </c>
      <c r="AW134" s="29" t="str">
        <f>IF(OR($B134="",$A134&lt;=46),"",--MID('Key Analysis'!$C130,$A134-46,1))</f>
        <v/>
      </c>
      <c r="AX134" s="29" t="str">
        <f>IF(OR($B134="",$A134&lt;=47),"",--MID('Key Analysis'!$C130,$A134-47,1))</f>
        <v/>
      </c>
      <c r="AY134" s="29" t="str">
        <f>IF(OR($B134="",$A134&lt;=48),"",--MID('Key Analysis'!$C130,$A134-48,1))</f>
        <v/>
      </c>
      <c r="AZ134" s="29" t="str">
        <f>IF(OR($B134="",$A134&lt;=49),"",--MID('Key Analysis'!$C130,$A134-49,1))</f>
        <v/>
      </c>
      <c r="BA134" s="29" t="str">
        <f>IF(OR($B134="",$A134&lt;=50),"",--MID('Key Analysis'!$C130,$A134-50,1))</f>
        <v/>
      </c>
      <c r="BB134" s="29" t="str">
        <f>IF(OR($B134="",$A134&lt;=51),"",--MID('Key Analysis'!$C130,$A134-51,1))</f>
        <v/>
      </c>
      <c r="BC134" s="29" t="str">
        <f>IF(OR($B134="",$A134&lt;=52),"",--MID('Key Analysis'!$C130,$A134-52,1))</f>
        <v/>
      </c>
      <c r="BD134" s="29" t="str">
        <f>IF(OR($B134="",$A134&lt;=53),"",--MID('Key Analysis'!$C130,$A134-53,1))</f>
        <v/>
      </c>
      <c r="BE134" s="29" t="str">
        <f>IF(OR($B134="",$A134&lt;=54),"",--MID('Key Analysis'!$C130,$A134-54,1))</f>
        <v/>
      </c>
      <c r="BF134" s="29" t="str">
        <f>IF(OR($B134="",$A134&lt;=55),"",--MID('Key Analysis'!$C130,$A134-55,1))</f>
        <v/>
      </c>
      <c r="BG134" s="29" t="str">
        <f>IF(OR($B134="",$A134&lt;=56),"",--MID('Key Analysis'!$C130,$A134-56,1))</f>
        <v/>
      </c>
      <c r="BH134" s="29" t="str">
        <f>IF(OR($B134="",$A134&lt;=57),"",--MID('Key Analysis'!$C130,$A134-57,1))</f>
        <v/>
      </c>
      <c r="BI134" s="29" t="str">
        <f>IF(OR($B134="",$A134&lt;=58),"",--MID('Key Analysis'!$C130,$A134-58,1))</f>
        <v/>
      </c>
      <c r="BJ134" s="29" t="str">
        <f>IF(OR($B134="",$A134&lt;=59),"",--MID('Key Analysis'!$C130,$A134-59,1))</f>
        <v/>
      </c>
      <c r="BK134" s="29" t="str">
        <f>IF(OR($B134="",$A134&lt;=60),"",--MID('Key Analysis'!$C130,$A134-60,1))</f>
        <v/>
      </c>
      <c r="BL134" s="29" t="str">
        <f>IF(OR($B134="",$A134&lt;=61),"",--MID('Key Analysis'!$C130,$A134-61,1))</f>
        <v/>
      </c>
      <c r="BM134" s="29" t="str">
        <f>IF(OR($B134="",$A134&lt;=62),"",--MID('Key Analysis'!$C130,$A134-62,1))</f>
        <v/>
      </c>
      <c r="BN134" s="29" t="str">
        <f>IF(OR($B134="",$A134&lt;=63),"",--MID('Key Analysis'!$C130,$A134-63,1))</f>
        <v/>
      </c>
      <c r="BO134" s="29" t="str">
        <f>IF(OR($B134="",$A134&lt;=64),"",--MID('Key Analysis'!$C130,$A134-64,1))</f>
        <v/>
      </c>
      <c r="BP134" s="29" t="str">
        <f>IF(OR($B134="",$A134&lt;=65),"",--MID('Key Analysis'!$C130,$A134-65,1))</f>
        <v/>
      </c>
      <c r="BQ134" s="29" t="str">
        <f>IF(OR($B134="",$A134&lt;=66),"",--MID('Key Analysis'!$C130,$A134-66,1))</f>
        <v/>
      </c>
      <c r="BR134" s="29" t="str">
        <f>IF(OR($B134="",$A134&lt;=67),"",--MID('Key Analysis'!$C130,$A134-67,1))</f>
        <v/>
      </c>
      <c r="BS134" s="29" t="str">
        <f>IF(OR($B134="",$A134&lt;=68),"",--MID('Key Analysis'!$C130,$A134-68,1))</f>
        <v/>
      </c>
      <c r="BT134" s="29" t="str">
        <f>IF(OR($B134="",$A134&lt;=69),"",--MID('Key Analysis'!$C130,$A134-69,1))</f>
        <v/>
      </c>
      <c r="BU134" s="29" t="str">
        <f>IF(OR($B134="",$A134&lt;=70),"",--MID('Key Analysis'!$C130,$A134-70,1))</f>
        <v/>
      </c>
      <c r="BV134" s="29" t="str">
        <f>IF(OR($B134="",$A134&lt;=71),"",--MID('Key Analysis'!$C130,$A134-71,1))</f>
        <v/>
      </c>
      <c r="BW134" s="29" t="str">
        <f>IF(OR($B134="",$A134&lt;=72),"",--MID('Key Analysis'!$C130,$A134-72,1))</f>
        <v/>
      </c>
      <c r="BX134" s="29" t="str">
        <f>IF(OR($B134="",$A134&lt;=73),"",--MID('Key Analysis'!$C130,$A134-73,1))</f>
        <v/>
      </c>
      <c r="BY134" s="29" t="str">
        <f>IF(OR($B134="",$A134&lt;=74),"",--MID('Key Analysis'!$C130,$A134-74,1))</f>
        <v/>
      </c>
      <c r="BZ134" s="29" t="str">
        <f>IF(OR($B134="",$A134&lt;=75),"",--MID('Key Analysis'!$C130,$A134-75,1))</f>
        <v/>
      </c>
      <c r="CA134" s="29" t="str">
        <f>IF(OR($B134="",$A134&lt;=76),"",--MID('Key Analysis'!$C130,$A134-76,1))</f>
        <v/>
      </c>
      <c r="CB134" s="29" t="str">
        <f>IF(OR($B134="",$A134&lt;=77),"",--MID('Key Analysis'!$C130,$A134-77,1))</f>
        <v/>
      </c>
      <c r="CC134" s="29" t="str">
        <f>IF(OR($B134="",$A134&lt;=78),"",--MID('Key Analysis'!$C130,$A134-78,1))</f>
        <v/>
      </c>
      <c r="CD134" s="29" t="str">
        <f>IF(OR($B134="",$A134&lt;=79),"",--MID('Key Analysis'!$C130,$A134-79,1))</f>
        <v/>
      </c>
      <c r="CE134" s="29" t="str">
        <f>IF(OR($B134="",$A134&lt;=80),"",--MID('Key Analysis'!$C130,$A134-80,1))</f>
        <v/>
      </c>
      <c r="CF134" s="29" t="str">
        <f>IF(OR($B134="",$A134&lt;=81),"",--MID('Key Analysis'!$C130,$A134-81,1))</f>
        <v/>
      </c>
      <c r="CG134" s="29" t="str">
        <f>IF(OR($B134="",$A134&lt;=82),"",--MID('Key Analysis'!$C130,$A134-82,1))</f>
        <v/>
      </c>
      <c r="CH134" s="29" t="str">
        <f>IF(OR($B134="",$A134&lt;=83),"",--MID('Key Analysis'!$C130,$A134-83,1))</f>
        <v/>
      </c>
      <c r="CI134" s="29" t="str">
        <f>IF(OR($B134="",$A134&lt;=84),"",--MID('Key Analysis'!$C130,$A134-84,1))</f>
        <v/>
      </c>
      <c r="CJ134" s="29" t="str">
        <f>IF(OR($B134="",$A134&lt;=85),"",--MID('Key Analysis'!$C130,$A134-85,1))</f>
        <v/>
      </c>
      <c r="CK134" s="29" t="str">
        <f>IF(OR($B134="",$A134&lt;=86),"",--MID('Key Analysis'!$C130,$A134-86,1))</f>
        <v/>
      </c>
      <c r="CL134" s="29" t="str">
        <f>IF(OR($B134="",$A134&lt;=87),"",--MID('Key Analysis'!$C130,$A134-87,1))</f>
        <v/>
      </c>
      <c r="CM134" s="29" t="str">
        <f>IF(OR($B134="",$A134&lt;=88),"",--MID('Key Analysis'!$C130,$A134-88,1))</f>
        <v/>
      </c>
      <c r="CN134" s="29" t="str">
        <f>IF(OR($B134="",$A134&lt;=89),"",--MID('Key Analysis'!$C130,$A134-89,1))</f>
        <v/>
      </c>
      <c r="CO134" s="29" t="str">
        <f>IF(OR($B134="",$A134&lt;=90),"",--MID('Key Analysis'!$C130,$A134-90,1))</f>
        <v/>
      </c>
      <c r="CP134" s="29" t="str">
        <f>IF(OR($B134="",$A134&lt;=91),"",--MID('Key Analysis'!$C130,$A134-91,1))</f>
        <v/>
      </c>
      <c r="CQ134" s="29" t="str">
        <f>IF(OR($B134="",$A134&lt;=92),"",--MID('Key Analysis'!$C130,$A134-92,1))</f>
        <v/>
      </c>
      <c r="CR134" s="29" t="str">
        <f>IF(OR($B134="",$A134&lt;=93),"",--MID('Key Analysis'!$C130,$A134-93,1))</f>
        <v/>
      </c>
      <c r="CS134" s="29" t="str">
        <f>IF(OR($B134="",$A134&lt;=94),"",--MID('Key Analysis'!$C130,$A134-94,1))</f>
        <v/>
      </c>
      <c r="CT134" s="29" t="str">
        <f>IF(OR($B134="",$A134&lt;=95),"",--MID('Key Analysis'!$C130,$A134-95,1))</f>
        <v/>
      </c>
      <c r="CU134" s="29" t="str">
        <f>IF(OR($B134="",$A134&lt;=96),"",--MID('Key Analysis'!$C130,$A134-96,1))</f>
        <v/>
      </c>
      <c r="CV134" s="29" t="str">
        <f>IF(OR($B134="",$A134&lt;=97),"",--MID('Key Analysis'!$C130,$A134-97,1))</f>
        <v/>
      </c>
      <c r="CW134" s="29" t="str">
        <f>IF(OR($B134="",$A134&lt;=98),"",--MID('Key Analysis'!$C130,$A134-98,1))</f>
        <v/>
      </c>
      <c r="CX134" s="29" t="str">
        <f>IF(OR($B134="",$A134&lt;=99),"",--MID('Key Analysis'!$C130,$A134-99,1))</f>
        <v/>
      </c>
      <c r="CY134" s="29" t="str">
        <f>IF(OR($B134="",$A134&lt;=100),"",--MID('Key Analysis'!$C130,$A134-100,1))</f>
        <v/>
      </c>
      <c r="CZ134" s="29" t="str">
        <f>IF(OR($B134="",$A134&lt;=101),"",--MID('Key Analysis'!$C130,$A134-101,1))</f>
        <v/>
      </c>
      <c r="DA134" s="29" t="str">
        <f>IF(OR($B134="",$A134&lt;=102),"",--MID('Key Analysis'!$C130,$A134-102,1))</f>
        <v/>
      </c>
      <c r="DB134" s="29" t="str">
        <f>IF(OR($B134="",$A134&lt;=103),"",--MID('Key Analysis'!$C130,$A134-103,1))</f>
        <v/>
      </c>
      <c r="DC134" s="29" t="str">
        <f>IF(OR($B134="",$A134&lt;=104),"",--MID('Key Analysis'!$C130,$A134-104,1))</f>
        <v/>
      </c>
      <c r="DD134" s="29" t="str">
        <f>IF(OR($B134="",$A134&lt;=105),"",--MID('Key Analysis'!$C130,$A134-105,1))</f>
        <v/>
      </c>
      <c r="DE134" s="29" t="str">
        <f>IF(OR($B134="",$A134&lt;=106),"",--MID('Key Analysis'!$C130,$A134-106,1))</f>
        <v/>
      </c>
      <c r="DF134" s="29" t="str">
        <f>IF(OR($B134="",$A134&lt;=107),"",--MID('Key Analysis'!$C130,$A134-107,1))</f>
        <v/>
      </c>
      <c r="DG134" s="29" t="str">
        <f>IF(OR($B134="",$A134&lt;=108),"",--MID('Key Analysis'!$C130,$A134-108,1))</f>
        <v/>
      </c>
      <c r="DH134" s="29" t="str">
        <f>IF(OR($B134="",$A134&lt;=109),"",--MID('Key Analysis'!$C130,$A134-109,1))</f>
        <v/>
      </c>
      <c r="DI134" s="29" t="str">
        <f>IF(OR($B134="",$A134&lt;=110),"",--MID('Key Analysis'!$C130,$A134-110,1))</f>
        <v/>
      </c>
      <c r="DJ134" s="29" t="str">
        <f>IF(OR($B134="",$A134&lt;=111),"",--MID('Key Analysis'!$C130,$A134-111,1))</f>
        <v/>
      </c>
      <c r="DK134" s="29" t="str">
        <f>IF(OR($B134="",$A134&lt;=112),"",--MID('Key Analysis'!$C130,$A134-112,1))</f>
        <v/>
      </c>
      <c r="DL134" s="29" t="str">
        <f>IF(OR($B134="",$A134&lt;=113),"",--MID('Key Analysis'!$C130,$A134-113,1))</f>
        <v/>
      </c>
      <c r="DM134" s="29" t="str">
        <f>IF(OR($B134="",$A134&lt;=114),"",--MID('Key Analysis'!$C130,$A134-114,1))</f>
        <v/>
      </c>
      <c r="DN134" s="29" t="str">
        <f>IF(OR($B134="",$A134&lt;=115),"",--MID('Key Analysis'!$C130,$A134-115,1))</f>
        <v/>
      </c>
      <c r="DO134" s="29" t="str">
        <f>IF(OR($B134="",$A134&lt;=116),"",--MID('Key Analysis'!$C130,$A134-116,1))</f>
        <v/>
      </c>
      <c r="DP134" s="29" t="str">
        <f>IF(OR($B134="",$A134&lt;=117),"",--MID('Key Analysis'!$C130,$A134-117,1))</f>
        <v/>
      </c>
      <c r="DQ134" s="29" t="str">
        <f>IF(OR($B134="",$A134&lt;=118),"",--MID('Key Analysis'!$C130,$A134-118,1))</f>
        <v/>
      </c>
      <c r="DR134" s="29" t="str">
        <f>IF(OR($B134="",$A134&lt;=119),"",--MID('Key Analysis'!$C130,$A134-119,1))</f>
        <v/>
      </c>
      <c r="DS134" s="29" t="str">
        <f>IF(OR($B134="",$A134&lt;=120),"",--MID('Key Analysis'!$C130,$A134-120,1))</f>
        <v/>
      </c>
      <c r="DT134" s="29" t="str">
        <f>IF(OR($B134="",$A134&lt;=121),"",--MID('Key Analysis'!$C130,$A134-121,1))</f>
        <v/>
      </c>
      <c r="DU134" s="29" t="str">
        <f>IF(OR($B134="",$A134&lt;=122),"",--MID('Key Analysis'!$C130,$A134-122,1))</f>
        <v/>
      </c>
      <c r="DV134" s="29" t="str">
        <f>IF(OR($B134="",$A134&lt;=123),"",--MID('Key Analysis'!$C130,$A134-123,1))</f>
        <v/>
      </c>
      <c r="DW134" s="29" t="str">
        <f>IF(OR($B134="",$A134&lt;=124),"",--MID('Key Analysis'!$C130,$A134-124,1))</f>
        <v/>
      </c>
      <c r="DX134" s="29" t="str">
        <f>IF(OR($B134="",$A134&lt;=125),"",--MID('Key Analysis'!$C130,$A134-125,1))</f>
        <v/>
      </c>
      <c r="DY134" s="29" t="str">
        <f>IF(OR($B134="",$A134&lt;=126),"",--MID('Key Analysis'!$C130,$A134-126,1))</f>
        <v/>
      </c>
      <c r="DZ134" s="29" t="str">
        <f>IF(OR($B134="",$A134&lt;=127),"",--MID('Key Analysis'!$C130,$A134-127,1))</f>
        <v/>
      </c>
      <c r="EA134" s="29" t="str">
        <f>IF(OR($B134="",$A134&lt;=128),"",--MID('Key Analysis'!$C130,$A134-128,1))</f>
        <v/>
      </c>
      <c r="EB134" s="29" t="str">
        <f>IF(OR($B134="",$A134&lt;=129),"",--MID('Key Analysis'!$C130,$A134-129,1))</f>
        <v/>
      </c>
      <c r="EC134" s="29" t="str">
        <f>IF(OR($B134="",$A134&lt;=130),"",--MID('Key Analysis'!$C130,$A134-130,1))</f>
        <v/>
      </c>
      <c r="ED134" s="29" t="str">
        <f>IF(OR($B134="",$A134&lt;=131),"",--MID('Key Analysis'!$C130,$A134-131,1))</f>
        <v/>
      </c>
      <c r="EE134" s="29" t="str">
        <f>IF(OR($B134="",$A134&lt;=132),"",--MID('Key Analysis'!$C130,$A134-132,1))</f>
        <v/>
      </c>
      <c r="EF134" s="29" t="str">
        <f>IF(OR($B134="",$A134&lt;=133),"",--MID('Key Analysis'!$C130,$A134-133,1))</f>
        <v/>
      </c>
      <c r="EG134" s="29" t="str">
        <f>IF(OR($B134="",$A134&lt;=134),"",--MID('Key Analysis'!$C130,$A134-134,1))</f>
        <v/>
      </c>
      <c r="EH134" s="29"/>
      <c r="EI134" s="29" t="str">
        <f>IF(OR($B134="",$A134&lt;1),"",--MID('Key Analysis'!$C130,1,1))</f>
        <v/>
      </c>
      <c r="EJ134" s="29" t="str">
        <f>IF(OR($B134="",$A134&lt;2),"",--MID('Key Analysis'!$C130,2,1))</f>
        <v/>
      </c>
      <c r="EK134" s="29" t="str">
        <f>IF(OR($B134="",$A134&lt;3),"",--MID('Key Analysis'!$C130,3,1))</f>
        <v/>
      </c>
      <c r="EL134" s="29" t="str">
        <f>IF(OR($B134="",$A134&lt;4),"",--MID('Key Analysis'!$C130,4,1))</f>
        <v/>
      </c>
      <c r="EM134" s="29" t="str">
        <f>IF(OR($B134="",$A134&lt;5),"",--MID('Key Analysis'!$C130,5,1))</f>
        <v/>
      </c>
      <c r="EN134" s="29" t="str">
        <f>IF(OR($B134="",$A134&lt;6),"",--MID('Key Analysis'!$C130,6,1))</f>
        <v/>
      </c>
      <c r="EO134" s="29" t="str">
        <f>IF(OR($B134="",$A134&lt;7),"",--MID('Key Analysis'!$C130,7,1))</f>
        <v/>
      </c>
      <c r="EP134" s="29" t="str">
        <f>IF(OR($B134="",$A134&lt;8),"",--MID('Key Analysis'!$C130,8,1))</f>
        <v/>
      </c>
      <c r="EQ134" s="29" t="str">
        <f>IF(OR($B134="",$A134&lt;9),"",--MID('Key Analysis'!$C130,9,1))</f>
        <v/>
      </c>
      <c r="ER134" s="29" t="str">
        <f>IF(OR($B134="",$A134&lt;10),"",--MID('Key Analysis'!$C130,10,1))</f>
        <v/>
      </c>
      <c r="ES134" s="29" t="str">
        <f>IF(OR($B134="",$A134&lt;11),"",--MID('Key Analysis'!$C130,11,1))</f>
        <v/>
      </c>
      <c r="ET134" s="29" t="str">
        <f>IF(OR($B134="",$A134&lt;12),"",--MID('Key Analysis'!$C130,12,1))</f>
        <v/>
      </c>
      <c r="EU134" s="29" t="str">
        <f>IF(OR($B134="",$A134&lt;13),"",--MID('Key Analysis'!$C130,13,1))</f>
        <v/>
      </c>
      <c r="EV134" s="29" t="str">
        <f>IF(OR($B134="",$A134&lt;14),"",--MID('Key Analysis'!$C130,14,1))</f>
        <v/>
      </c>
      <c r="EW134" s="29" t="str">
        <f>IF(OR($B134="",$A134&lt;15),"",--MID('Key Analysis'!$C130,15,1))</f>
        <v/>
      </c>
      <c r="EX134" s="29" t="str">
        <f>IF(OR($B134="",$A134&lt;16),"",--MID('Key Analysis'!$C130,16,1))</f>
        <v/>
      </c>
      <c r="EY134" s="29" t="str">
        <f>IF(OR($B134="",$A134&lt;17),"",--MID('Key Analysis'!$C130,17,1))</f>
        <v/>
      </c>
      <c r="EZ134" s="29" t="str">
        <f>IF(OR($B134="",$A134&lt;18),"",--MID('Key Analysis'!$C130,18,1))</f>
        <v/>
      </c>
      <c r="FA134" s="29" t="str">
        <f>IF(OR($B134="",$A134&lt;19),"",--MID('Key Analysis'!$C130,19,1))</f>
        <v/>
      </c>
      <c r="FB134" s="29" t="str">
        <f>IF(OR($B134="",$A134&lt;20),"",--MID('Key Analysis'!$C130,20,1))</f>
        <v/>
      </c>
      <c r="FC134" s="29" t="str">
        <f>IF(OR($B134="",$A134&lt;21),"",--MID('Key Analysis'!$C130,21,1))</f>
        <v/>
      </c>
      <c r="FD134" s="29" t="str">
        <f>IF(OR($B134="",$A134&lt;22),"",--MID('Key Analysis'!$C130,22,1))</f>
        <v/>
      </c>
      <c r="FE134" s="29" t="str">
        <f>IF(OR($B134="",$A134&lt;23),"",--MID('Key Analysis'!$C130,23,1))</f>
        <v/>
      </c>
      <c r="FF134" s="29" t="str">
        <f>IF(OR($B134="",$A134&lt;24),"",--MID('Key Analysis'!$C130,24,1))</f>
        <v/>
      </c>
      <c r="FG134" s="29" t="str">
        <f>IF(OR($B134="",$A134&lt;25),"",--MID('Key Analysis'!$C130,25,1))</f>
        <v/>
      </c>
      <c r="FH134" s="29" t="str">
        <f>IF(OR($B134="",$A134&lt;26),"",--MID('Key Analysis'!$C130,26,1))</f>
        <v/>
      </c>
      <c r="FI134" s="29" t="str">
        <f>IF(OR($B134="",$A134&lt;27),"",--MID('Key Analysis'!$C130,27,1))</f>
        <v/>
      </c>
      <c r="FJ134" s="29" t="str">
        <f>IF(OR($B134="",$A134&lt;28),"",--MID('Key Analysis'!$C130,28,1))</f>
        <v/>
      </c>
      <c r="FK134" s="29" t="str">
        <f>IF(OR($B134="",$A134&lt;29),"",--MID('Key Analysis'!$C130,29,1))</f>
        <v/>
      </c>
      <c r="FL134" s="29" t="str">
        <f>IF(OR($B134="",$A134&lt;30),"",--MID('Key Analysis'!$C130,30,1))</f>
        <v/>
      </c>
      <c r="FM134" s="29" t="str">
        <f>IF(OR($B134="",$A134&lt;31),"",--MID('Key Analysis'!$C130,31,1))</f>
        <v/>
      </c>
      <c r="FN134" s="29" t="str">
        <f>IF(OR($B134="",$A134&lt;32),"",--MID('Key Analysis'!$C130,32,1))</f>
        <v/>
      </c>
      <c r="FO134" s="29" t="str">
        <f>IF(OR($B134="",$A134&lt;33),"",--MID('Key Analysis'!$C130,33,1))</f>
        <v/>
      </c>
      <c r="FP134" s="29" t="str">
        <f>IF(OR($B134="",$A134&lt;34),"",--MID('Key Analysis'!$C130,34,1))</f>
        <v/>
      </c>
      <c r="FQ134" s="29" t="str">
        <f>IF(OR($B134="",$A134&lt;35),"",--MID('Key Analysis'!$C130,35,1))</f>
        <v/>
      </c>
      <c r="FR134" s="29" t="str">
        <f>IF(OR($B134="",$A134&lt;36),"",--MID('Key Analysis'!$C130,36,1))</f>
        <v/>
      </c>
      <c r="FS134" s="29" t="str">
        <f>IF(OR($B134="",$A134&lt;37),"",--MID('Key Analysis'!$C130,37,1))</f>
        <v/>
      </c>
      <c r="FT134" s="29" t="str">
        <f>IF(OR($B134="",$A134&lt;38),"",--MID('Key Analysis'!$C130,38,1))</f>
        <v/>
      </c>
      <c r="FU134" s="29" t="str">
        <f>IF(OR($B134="",$A134&lt;39),"",--MID('Key Analysis'!$C130,39,1))</f>
        <v/>
      </c>
      <c r="FV134" s="29" t="str">
        <f>IF(OR($B134="",$A134&lt;40),"",--MID('Key Analysis'!$C130,40,1))</f>
        <v/>
      </c>
      <c r="FW134" s="29" t="str">
        <f>IF(OR($B134="",$A134&lt;41),"",--MID('Key Analysis'!$C130,41,1))</f>
        <v/>
      </c>
      <c r="FX134" s="29" t="str">
        <f>IF(OR($B134="",$A134&lt;42),"",--MID('Key Analysis'!$C130,42,1))</f>
        <v/>
      </c>
      <c r="FY134" s="29" t="str">
        <f>IF(OR($B134="",$A134&lt;43),"",--MID('Key Analysis'!$C130,43,1))</f>
        <v/>
      </c>
      <c r="FZ134" s="29" t="str">
        <f>IF(OR($B134="",$A134&lt;44),"",--MID('Key Analysis'!$C130,44,1))</f>
        <v/>
      </c>
      <c r="GA134" s="29" t="str">
        <f>IF(OR($B134="",$A134&lt;45),"",--MID('Key Analysis'!$C130,45,1))</f>
        <v/>
      </c>
      <c r="GB134" s="29" t="str">
        <f>IF(OR($B134="",$A134&lt;46),"",--MID('Key Analysis'!$C130,46,1))</f>
        <v/>
      </c>
      <c r="GC134" s="29" t="str">
        <f>IF(OR($B134="",$A134&lt;47),"",--MID('Key Analysis'!$C130,47,1))</f>
        <v/>
      </c>
      <c r="GD134" s="29" t="str">
        <f>IF(OR($B134="",$A134&lt;48),"",--MID('Key Analysis'!$C130,48,1))</f>
        <v/>
      </c>
      <c r="GE134" s="29" t="str">
        <f>IF(OR($B134="",$A134&lt;49),"",--MID('Key Analysis'!$C130,49,1))</f>
        <v/>
      </c>
      <c r="GF134" s="29" t="str">
        <f>IF(OR($B134="",$A134&lt;50),"",--MID('Key Analysis'!$C130,50,1))</f>
        <v/>
      </c>
      <c r="GG134" s="29" t="str">
        <f>IF(OR($B134="",$A134&lt;51),"",--MID('Key Analysis'!$C130,51,1))</f>
        <v/>
      </c>
      <c r="GH134" s="29" t="str">
        <f>IF(OR($B134="",$A134&lt;52),"",--MID('Key Analysis'!$C130,52,1))</f>
        <v/>
      </c>
      <c r="GI134" s="29" t="str">
        <f>IF(OR($B134="",$A134&lt;53),"",--MID('Key Analysis'!$C130,53,1))</f>
        <v/>
      </c>
      <c r="GJ134" s="29" t="str">
        <f>IF(OR($B134="",$A134&lt;54),"",--MID('Key Analysis'!$C130,54,1))</f>
        <v/>
      </c>
      <c r="GK134" s="29" t="str">
        <f>IF(OR($B134="",$A134&lt;55),"",--MID('Key Analysis'!$C130,55,1))</f>
        <v/>
      </c>
      <c r="GL134" s="29" t="str">
        <f>IF(OR($B134="",$A134&lt;56),"",--MID('Key Analysis'!$C130,56,1))</f>
        <v/>
      </c>
      <c r="GM134" s="29" t="str">
        <f>IF(OR($B134="",$A134&lt;57),"",--MID('Key Analysis'!$C130,57,1))</f>
        <v/>
      </c>
      <c r="GN134" s="29" t="str">
        <f>IF(OR($B134="",$A134&lt;58),"",--MID('Key Analysis'!$C130,58,1))</f>
        <v/>
      </c>
      <c r="GO134" s="29" t="str">
        <f>IF(OR($B134="",$A134&lt;59),"",--MID('Key Analysis'!$C130,59,1))</f>
        <v/>
      </c>
      <c r="GP134" s="29" t="str">
        <f>IF(OR($B134="",$A134&lt;60),"",--MID('Key Analysis'!$C130,60,1))</f>
        <v/>
      </c>
      <c r="GQ134" s="29" t="str">
        <f>IF(OR($B134="",$A134&lt;61),"",--MID('Key Analysis'!$C130,61,1))</f>
        <v/>
      </c>
      <c r="GR134" s="29" t="str">
        <f>IF(OR($B134="",$A134&lt;62),"",--MID('Key Analysis'!$C130,62,1))</f>
        <v/>
      </c>
      <c r="GS134" s="29" t="str">
        <f>IF(OR($B134="",$A134&lt;63),"",--MID('Key Analysis'!$C130,63,1))</f>
        <v/>
      </c>
      <c r="GT134" s="29" t="str">
        <f>IF(OR($B134="",$A134&lt;64),"",--MID('Key Analysis'!$C130,64,1))</f>
        <v/>
      </c>
      <c r="GU134" s="29" t="str">
        <f>IF(OR($B134="",$A134&lt;65),"",--MID('Key Analysis'!$C130,65,1))</f>
        <v/>
      </c>
      <c r="GV134" s="29" t="str">
        <f>IF(OR($B134="",$A134&lt;66),"",--MID('Key Analysis'!$C130,66,1))</f>
        <v/>
      </c>
      <c r="GW134" s="29" t="str">
        <f>IF(OR($B134="",$A134&lt;67),"",--MID('Key Analysis'!$C130,67,1))</f>
        <v/>
      </c>
      <c r="GX134" s="29" t="str">
        <f>IF(OR($B134="",$A134&lt;68),"",--MID('Key Analysis'!$C130,68,1))</f>
        <v/>
      </c>
      <c r="GY134" s="29" t="str">
        <f>IF(OR($B134="",$A134&lt;69),"",--MID('Key Analysis'!$C130,69,1))</f>
        <v/>
      </c>
      <c r="GZ134" s="29" t="str">
        <f>IF(OR($B134="",$A134&lt;70),"",--MID('Key Analysis'!$C130,70,1))</f>
        <v/>
      </c>
      <c r="HA134" s="29" t="str">
        <f>IF(OR($B134="",$A134&lt;71),"",--MID('Key Analysis'!$C130,71,1))</f>
        <v/>
      </c>
      <c r="HB134" s="29" t="str">
        <f>IF(OR($B134="",$A134&lt;72),"",--MID('Key Analysis'!$C130,72,1))</f>
        <v/>
      </c>
      <c r="HC134" s="29" t="str">
        <f>IF(OR($B134="",$A134&lt;73),"",--MID('Key Analysis'!$C130,73,1))</f>
        <v/>
      </c>
      <c r="HD134" s="29" t="str">
        <f>IF(OR($B134="",$A134&lt;74),"",--MID('Key Analysis'!$C130,74,1))</f>
        <v/>
      </c>
      <c r="HE134" s="29" t="str">
        <f>IF(OR($B134="",$A134&lt;75),"",--MID('Key Analysis'!$C130,75,1))</f>
        <v/>
      </c>
      <c r="HF134" s="29" t="str">
        <f>IF(OR($B134="",$A134&lt;76),"",--MID('Key Analysis'!$C130,76,1))</f>
        <v/>
      </c>
      <c r="HG134" s="29" t="str">
        <f>IF(OR($B134="",$A134&lt;77),"",--MID('Key Analysis'!$C130,77,1))</f>
        <v/>
      </c>
      <c r="HH134" s="29" t="str">
        <f>IF(OR($B134="",$A134&lt;78),"",--MID('Key Analysis'!$C130,78,1))</f>
        <v/>
      </c>
      <c r="HI134" s="29" t="str">
        <f>IF(OR($B134="",$A134&lt;79),"",--MID('Key Analysis'!$C130,79,1))</f>
        <v/>
      </c>
      <c r="HJ134" s="29" t="str">
        <f>IF(OR($B134="",$A134&lt;80),"",--MID('Key Analysis'!$C130,80,1))</f>
        <v/>
      </c>
      <c r="HK134" s="29" t="str">
        <f>IF(OR($B134="",$A134&lt;81),"",--MID('Key Analysis'!$C130,81,1))</f>
        <v/>
      </c>
      <c r="HL134" s="29" t="str">
        <f>IF(OR($B134="",$A134&lt;82),"",--MID('Key Analysis'!$C130,82,1))</f>
        <v/>
      </c>
      <c r="HM134" s="29" t="str">
        <f>IF(OR($B134="",$A134&lt;83),"",--MID('Key Analysis'!$C130,83,1))</f>
        <v/>
      </c>
      <c r="HN134" s="29" t="str">
        <f>IF(OR($B134="",$A134&lt;84),"",--MID('Key Analysis'!$C130,84,1))</f>
        <v/>
      </c>
      <c r="HO134" s="29" t="str">
        <f>IF(OR($B134="",$A134&lt;85),"",--MID('Key Analysis'!$C130,85,1))</f>
        <v/>
      </c>
      <c r="HP134" s="29" t="str">
        <f>IF(OR($B134="",$A134&lt;86),"",--MID('Key Analysis'!$C130,86,1))</f>
        <v/>
      </c>
      <c r="HQ134" s="29" t="str">
        <f>IF(OR($B134="",$A134&lt;87),"",--MID('Key Analysis'!$C130,87,1))</f>
        <v/>
      </c>
      <c r="HR134" s="29" t="str">
        <f>IF(OR($B134="",$A134&lt;88),"",--MID('Key Analysis'!$C130,88,1))</f>
        <v/>
      </c>
      <c r="HS134" s="29" t="str">
        <f>IF(OR($B134="",$A134&lt;89),"",--MID('Key Analysis'!$C130,89,1))</f>
        <v/>
      </c>
      <c r="HT134" s="29" t="str">
        <f>IF(OR($B134="",$A134&lt;90),"",--MID('Key Analysis'!$C130,90,1))</f>
        <v/>
      </c>
      <c r="HU134" s="29" t="str">
        <f>IF(OR($B134="",$A134&lt;91),"",--MID('Key Analysis'!$C130,91,1))</f>
        <v/>
      </c>
      <c r="HV134" s="29" t="str">
        <f>IF(OR($B134="",$A134&lt;92),"",--MID('Key Analysis'!$C130,92,1))</f>
        <v/>
      </c>
      <c r="HW134" s="29" t="str">
        <f>IF(OR($B134="",$A134&lt;93),"",--MID('Key Analysis'!$C130,93,1))</f>
        <v/>
      </c>
      <c r="HX134" s="29" t="str">
        <f>IF(OR($B134="",$A134&lt;94),"",--MID('Key Analysis'!$C130,94,1))</f>
        <v/>
      </c>
      <c r="HY134" s="29" t="str">
        <f>IF(OR($B134="",$A134&lt;95),"",--MID('Key Analysis'!$C130,95,1))</f>
        <v/>
      </c>
      <c r="HZ134" s="29" t="str">
        <f>IF(OR($B134="",$A134&lt;96),"",--MID('Key Analysis'!$C130,96,1))</f>
        <v/>
      </c>
      <c r="IA134" s="29" t="str">
        <f>IF(OR($B134="",$A134&lt;97),"",--MID('Key Analysis'!$C130,97,1))</f>
        <v/>
      </c>
      <c r="IB134" s="29" t="str">
        <f>IF(OR($B134="",$A134&lt;98),"",--MID('Key Analysis'!$C130,98,1))</f>
        <v/>
      </c>
      <c r="IC134" s="29" t="str">
        <f>IF(OR($B134="",$A134&lt;99),"",--MID('Key Analysis'!$C130,99,1))</f>
        <v/>
      </c>
      <c r="ID134" s="29" t="str">
        <f>IF(OR($B134="",$A134&lt;100),"",--MID('Key Analysis'!$C130,100,1))</f>
        <v/>
      </c>
      <c r="IE134" s="29" t="str">
        <f>IF(OR($B134="",$A134&lt;101),"",--MID('Key Analysis'!$C130,101,1))</f>
        <v/>
      </c>
      <c r="IF134" s="29" t="str">
        <f>IF(OR($B134="",$A134&lt;102),"",--MID('Key Analysis'!$C130,102,1))</f>
        <v/>
      </c>
      <c r="IG134" s="29" t="str">
        <f>IF(OR($B134="",$A134&lt;103),"",--MID('Key Analysis'!$C130,103,1))</f>
        <v/>
      </c>
      <c r="IH134" s="29" t="str">
        <f>IF(OR($B134="",$A134&lt;104),"",--MID('Key Analysis'!$C130,104,1))</f>
        <v/>
      </c>
      <c r="II134" s="29" t="str">
        <f>IF(OR($B134="",$A134&lt;105),"",--MID('Key Analysis'!$C130,105,1))</f>
        <v/>
      </c>
      <c r="IJ134" s="29" t="str">
        <f>IF(OR($B134="",$A134&lt;106),"",--MID('Key Analysis'!$C130,106,1))</f>
        <v/>
      </c>
      <c r="IK134" s="29" t="str">
        <f>IF(OR($B134="",$A134&lt;107),"",--MID('Key Analysis'!$C130,107,1))</f>
        <v/>
      </c>
      <c r="IL134" s="29" t="str">
        <f>IF(OR($B134="",$A134&lt;108),"",--MID('Key Analysis'!$C130,108,1))</f>
        <v/>
      </c>
      <c r="IM134" s="29" t="str">
        <f>IF(OR($B134="",$A134&lt;109),"",--MID('Key Analysis'!$C130,109,1))</f>
        <v/>
      </c>
      <c r="IN134" s="29" t="str">
        <f>IF(OR($B134="",$A134&lt;110),"",--MID('Key Analysis'!$C130,110,1))</f>
        <v/>
      </c>
      <c r="IO134" s="29" t="str">
        <f>IF(OR($B134="",$A134&lt;111),"",--MID('Key Analysis'!$C130,111,1))</f>
        <v/>
      </c>
      <c r="IP134" s="29" t="str">
        <f>IF(OR($B134="",$A134&lt;112),"",--MID('Key Analysis'!$C130,112,1))</f>
        <v/>
      </c>
      <c r="IQ134" s="29" t="str">
        <f>IF(OR($B134="",$A134&lt;113),"",--MID('Key Analysis'!$C130,113,1))</f>
        <v/>
      </c>
      <c r="IR134" s="29" t="str">
        <f>IF(OR($B134="",$A134&lt;114),"",--MID('Key Analysis'!$C130,114,1))</f>
        <v/>
      </c>
      <c r="IS134" s="29" t="str">
        <f>IF(OR($B134="",$A134&lt;115),"",--MID('Key Analysis'!$C130,115,1))</f>
        <v/>
      </c>
      <c r="IT134" s="29" t="str">
        <f>IF(OR($B134="",$A134&lt;116),"",--MID('Key Analysis'!$C130,116,1))</f>
        <v/>
      </c>
      <c r="IU134" s="29" t="str">
        <f>IF(OR($B134="",$A134&lt;117),"",--MID('Key Analysis'!$C130,117,1))</f>
        <v/>
      </c>
      <c r="IV134" s="29" t="str">
        <f>IF(OR($B134="",$A134&lt;118),"",--MID('Key Analysis'!$C130,118,1))</f>
        <v/>
      </c>
      <c r="IW134" s="29" t="str">
        <f>IF(OR($B134="",$A134&lt;119),"",--MID('Key Analysis'!$C130,119,1))</f>
        <v/>
      </c>
      <c r="IX134" s="29" t="str">
        <f>IF(OR($B134="",$A134&lt;120),"",--MID('Key Analysis'!$C130,120,1))</f>
        <v/>
      </c>
      <c r="IY134" s="29" t="str">
        <f>IF(OR($B134="",$A134&lt;121),"",--MID('Key Analysis'!$C130,121,1))</f>
        <v/>
      </c>
      <c r="IZ134" s="29" t="str">
        <f>IF(OR($B134="",$A134&lt;122),"",--MID('Key Analysis'!$C130,122,1))</f>
        <v/>
      </c>
      <c r="JA134" s="29" t="str">
        <f>IF(OR($B134="",$A134&lt;123),"",--MID('Key Analysis'!$C130,123,1))</f>
        <v/>
      </c>
      <c r="JB134" s="29" t="str">
        <f>IF(OR($B134="",$A134&lt;124),"",--MID('Key Analysis'!$C130,124,1))</f>
        <v/>
      </c>
      <c r="JC134" s="29" t="str">
        <f>IF(OR($B134="",$A134&lt;125),"",--MID('Key Analysis'!$C130,125,1))</f>
        <v/>
      </c>
      <c r="JD134" s="29" t="str">
        <f>IF(OR($B134="",$A134&lt;126),"",--MID('Key Analysis'!$C130,126,1))</f>
        <v/>
      </c>
      <c r="JE134" s="29" t="str">
        <f>IF(OR($B134="",$A134&lt;127),"",--MID('Key Analysis'!$C130,127,1))</f>
        <v/>
      </c>
      <c r="JF134" s="29" t="str">
        <f>IF(OR($B134="",$A134&lt;128),"",--MID('Key Analysis'!$C130,128,1))</f>
        <v/>
      </c>
      <c r="JG134" s="29" t="str">
        <f>IF(OR($B134="",$A134&lt;129),"",--MID('Key Analysis'!$C130,129,1))</f>
        <v/>
      </c>
      <c r="JH134" s="29" t="str">
        <f>IF(OR($B134="",$A134&lt;130),"",--MID('Key Analysis'!$C130,130,1))</f>
        <v/>
      </c>
      <c r="JI134" s="29" t="str">
        <f>IF(OR($B134="",$A134&lt;131),"",--MID('Key Analysis'!$C130,131,1))</f>
        <v/>
      </c>
      <c r="JJ134" s="29" t="str">
        <f>IF(OR($B134="",$A134&lt;132),"",--MID('Key Analysis'!$C130,132,1))</f>
        <v/>
      </c>
      <c r="JK134" s="29" t="str">
        <f>IF(OR($B134="",$A134&lt;133),"",--MID('Key Analysis'!$C130,133,1))</f>
        <v/>
      </c>
      <c r="JL134" s="29" t="str">
        <f>IF(OR($B134="",$A134&lt;134),"",--MID('Key Analysis'!$C130,134,1))</f>
        <v/>
      </c>
      <c r="JM134" s="29" t="str">
        <f>IF(OR($B134="",$A134&lt;135),"",--MID('Key Analysis'!$C130,135,1))</f>
        <v/>
      </c>
    </row>
    <row r="135" spans="1:273" x14ac:dyDescent="0.25">
      <c r="A135" s="21">
        <f>'Key Analysis'!A131</f>
        <v>130</v>
      </c>
      <c r="B135" s="30" t="str">
        <f>'Key Analysis'!B131</f>
        <v>33e7665705359f04f28b88cf897c603c9</v>
      </c>
      <c r="C135" s="29">
        <f>IF(OR($B135="",$A135&lt;=0),"",--MID('Key Analysis'!$C131,$A135-0,1))</f>
        <v>1</v>
      </c>
      <c r="D135" s="29">
        <f>IF(OR($B135="",$A135&lt;=1),"",--MID('Key Analysis'!$C131,$A135-1,1))</f>
        <v>0</v>
      </c>
      <c r="E135" s="29">
        <f>IF(OR($B135="",$A135&lt;=2),"",--MID('Key Analysis'!$C131,$A135-2,1))</f>
        <v>0</v>
      </c>
      <c r="F135" s="29">
        <f>IF(OR($B135="",$A135&lt;=3),"",--MID('Key Analysis'!$C131,$A135-3,1))</f>
        <v>1</v>
      </c>
      <c r="G135" s="29">
        <f>IF(OR($B135="",$A135&lt;=4),"",--MID('Key Analysis'!$C131,$A135-4,1))</f>
        <v>0</v>
      </c>
      <c r="H135" s="29">
        <f>IF(OR($B135="",$A135&lt;=5),"",--MID('Key Analysis'!$C131,$A135-5,1))</f>
        <v>0</v>
      </c>
      <c r="I135" s="29">
        <f>IF(OR($B135="",$A135&lt;=6),"",--MID('Key Analysis'!$C131,$A135-6,1))</f>
        <v>1</v>
      </c>
      <c r="J135" s="29">
        <f>IF(OR($B135="",$A135&lt;=7),"",--MID('Key Analysis'!$C131,$A135-7,1))</f>
        <v>1</v>
      </c>
      <c r="K135" s="29">
        <f>IF(OR($B135="",$A135&lt;=8),"",--MID('Key Analysis'!$C131,$A135-8,1))</f>
        <v>1</v>
      </c>
      <c r="L135" s="29">
        <f>IF(OR($B135="",$A135&lt;=9),"",--MID('Key Analysis'!$C131,$A135-9,1))</f>
        <v>1</v>
      </c>
      <c r="M135" s="29">
        <f>IF(OR($B135="",$A135&lt;=10),"",--MID('Key Analysis'!$C131,$A135-10,1))</f>
        <v>0</v>
      </c>
      <c r="N135" s="29">
        <f>IF(OR($B135="",$A135&lt;=11),"",--MID('Key Analysis'!$C131,$A135-11,1))</f>
        <v>0</v>
      </c>
      <c r="O135" s="29">
        <f>IF(OR($B135="",$A135&lt;=12),"",--MID('Key Analysis'!$C131,$A135-12,1))</f>
        <v>0</v>
      </c>
      <c r="P135" s="29">
        <f>IF(OR($B135="",$A135&lt;=13),"",--MID('Key Analysis'!$C131,$A135-13,1))</f>
        <v>0</v>
      </c>
      <c r="Q135" s="29">
        <f>IF(OR($B135="",$A135&lt;=14),"",--MID('Key Analysis'!$C131,$A135-14,1))</f>
        <v>0</v>
      </c>
      <c r="R135" s="29">
        <f>IF(OR($B135="",$A135&lt;=15),"",--MID('Key Analysis'!$C131,$A135-15,1))</f>
        <v>0</v>
      </c>
      <c r="S135" s="29">
        <f>IF(OR($B135="",$A135&lt;=16),"",--MID('Key Analysis'!$C131,$A135-16,1))</f>
        <v>0</v>
      </c>
      <c r="T135" s="29">
        <f>IF(OR($B135="",$A135&lt;=17),"",--MID('Key Analysis'!$C131,$A135-17,1))</f>
        <v>1</v>
      </c>
      <c r="U135" s="29">
        <f>IF(OR($B135="",$A135&lt;=18),"",--MID('Key Analysis'!$C131,$A135-18,1))</f>
        <v>1</v>
      </c>
      <c r="V135" s="29">
        <f>IF(OR($B135="",$A135&lt;=19),"",--MID('Key Analysis'!$C131,$A135-19,1))</f>
        <v>0</v>
      </c>
      <c r="W135" s="29">
        <f>IF(OR($B135="",$A135&lt;=20),"",--MID('Key Analysis'!$C131,$A135-20,1))</f>
        <v>0</v>
      </c>
      <c r="X135" s="29">
        <f>IF(OR($B135="",$A135&lt;=21),"",--MID('Key Analysis'!$C131,$A135-21,1))</f>
        <v>0</v>
      </c>
      <c r="Y135" s="29">
        <f>IF(OR($B135="",$A135&lt;=22),"",--MID('Key Analysis'!$C131,$A135-22,1))</f>
        <v>1</v>
      </c>
      <c r="Z135" s="29">
        <f>IF(OR($B135="",$A135&lt;=23),"",--MID('Key Analysis'!$C131,$A135-23,1))</f>
        <v>1</v>
      </c>
      <c r="AA135" s="29">
        <f>IF(OR($B135="",$A135&lt;=24),"",--MID('Key Analysis'!$C131,$A135-24,1))</f>
        <v>1</v>
      </c>
      <c r="AB135" s="29">
        <f>IF(OR($B135="",$A135&lt;=25),"",--MID('Key Analysis'!$C131,$A135-25,1))</f>
        <v>1</v>
      </c>
      <c r="AC135" s="29">
        <f>IF(OR($B135="",$A135&lt;=26),"",--MID('Key Analysis'!$C131,$A135-26,1))</f>
        <v>1</v>
      </c>
      <c r="AD135" s="29">
        <f>IF(OR($B135="",$A135&lt;=27),"",--MID('Key Analysis'!$C131,$A135-27,1))</f>
        <v>0</v>
      </c>
      <c r="AE135" s="29">
        <f>IF(OR($B135="",$A135&lt;=28),"",--MID('Key Analysis'!$C131,$A135-28,1))</f>
        <v>1</v>
      </c>
      <c r="AF135" s="29">
        <f>IF(OR($B135="",$A135&lt;=29),"",--MID('Key Analysis'!$C131,$A135-29,1))</f>
        <v>0</v>
      </c>
      <c r="AG135" s="29">
        <f>IF(OR($B135="",$A135&lt;=30),"",--MID('Key Analysis'!$C131,$A135-30,1))</f>
        <v>0</v>
      </c>
      <c r="AH135" s="29">
        <f>IF(OR($B135="",$A135&lt;=31),"",--MID('Key Analysis'!$C131,$A135-31,1))</f>
        <v>1</v>
      </c>
      <c r="AI135" s="29">
        <f>IF(OR($B135="",$A135&lt;=32),"",--MID('Key Analysis'!$C131,$A135-32,1))</f>
        <v>0</v>
      </c>
      <c r="AJ135" s="29">
        <f>IF(OR($B135="",$A135&lt;=33),"",--MID('Key Analysis'!$C131,$A135-33,1))</f>
        <v>0</v>
      </c>
      <c r="AK135" s="29">
        <f>IF(OR($B135="",$A135&lt;=34),"",--MID('Key Analysis'!$C131,$A135-34,1))</f>
        <v>0</v>
      </c>
      <c r="AL135" s="29">
        <f>IF(OR($B135="",$A135&lt;=35),"",--MID('Key Analysis'!$C131,$A135-35,1))</f>
        <v>1</v>
      </c>
      <c r="AM135" s="29">
        <f>IF(OR($B135="",$A135&lt;=36),"",--MID('Key Analysis'!$C131,$A135-36,1))</f>
        <v>1</v>
      </c>
      <c r="AN135" s="29">
        <f>IF(OR($B135="",$A135&lt;=37),"",--MID('Key Analysis'!$C131,$A135-37,1))</f>
        <v>1</v>
      </c>
      <c r="AO135" s="29">
        <f>IF(OR($B135="",$A135&lt;=38),"",--MID('Key Analysis'!$C131,$A135-38,1))</f>
        <v>1</v>
      </c>
      <c r="AP135" s="29">
        <f>IF(OR($B135="",$A135&lt;=39),"",--MID('Key Analysis'!$C131,$A135-39,1))</f>
        <v>1</v>
      </c>
      <c r="AQ135" s="29">
        <f>IF(OR($B135="",$A135&lt;=40),"",--MID('Key Analysis'!$C131,$A135-40,1))</f>
        <v>0</v>
      </c>
      <c r="AR135" s="29">
        <f>IF(OR($B135="",$A135&lt;=41),"",--MID('Key Analysis'!$C131,$A135-41,1))</f>
        <v>0</v>
      </c>
      <c r="AS135" s="29">
        <f>IF(OR($B135="",$A135&lt;=42),"",--MID('Key Analysis'!$C131,$A135-42,1))</f>
        <v>1</v>
      </c>
      <c r="AT135" s="29">
        <f>IF(OR($B135="",$A135&lt;=43),"",--MID('Key Analysis'!$C131,$A135-43,1))</f>
        <v>1</v>
      </c>
      <c r="AU135" s="29">
        <f>IF(OR($B135="",$A135&lt;=44),"",--MID('Key Analysis'!$C131,$A135-44,1))</f>
        <v>0</v>
      </c>
      <c r="AV135" s="29">
        <f>IF(OR($B135="",$A135&lt;=45),"",--MID('Key Analysis'!$C131,$A135-45,1))</f>
        <v>0</v>
      </c>
      <c r="AW135" s="29">
        <f>IF(OR($B135="",$A135&lt;=46),"",--MID('Key Analysis'!$C131,$A135-46,1))</f>
        <v>0</v>
      </c>
      <c r="AX135" s="29">
        <f>IF(OR($B135="",$A135&lt;=47),"",--MID('Key Analysis'!$C131,$A135-47,1))</f>
        <v>1</v>
      </c>
      <c r="AY135" s="29">
        <f>IF(OR($B135="",$A135&lt;=48),"",--MID('Key Analysis'!$C131,$A135-48,1))</f>
        <v>0</v>
      </c>
      <c r="AZ135" s="29">
        <f>IF(OR($B135="",$A135&lt;=49),"",--MID('Key Analysis'!$C131,$A135-49,1))</f>
        <v>0</v>
      </c>
      <c r="BA135" s="29">
        <f>IF(OR($B135="",$A135&lt;=50),"",--MID('Key Analysis'!$C131,$A135-50,1))</f>
        <v>0</v>
      </c>
      <c r="BB135" s="29">
        <f>IF(OR($B135="",$A135&lt;=51),"",--MID('Key Analysis'!$C131,$A135-51,1))</f>
        <v>1</v>
      </c>
      <c r="BC135" s="29">
        <f>IF(OR($B135="",$A135&lt;=52),"",--MID('Key Analysis'!$C131,$A135-52,1))</f>
        <v>1</v>
      </c>
      <c r="BD135" s="29">
        <f>IF(OR($B135="",$A135&lt;=53),"",--MID('Key Analysis'!$C131,$A135-53,1))</f>
        <v>1</v>
      </c>
      <c r="BE135" s="29">
        <f>IF(OR($B135="",$A135&lt;=54),"",--MID('Key Analysis'!$C131,$A135-54,1))</f>
        <v>0</v>
      </c>
      <c r="BF135" s="29">
        <f>IF(OR($B135="",$A135&lt;=55),"",--MID('Key Analysis'!$C131,$A135-55,1))</f>
        <v>1</v>
      </c>
      <c r="BG135" s="29">
        <f>IF(OR($B135="",$A135&lt;=56),"",--MID('Key Analysis'!$C131,$A135-56,1))</f>
        <v>0</v>
      </c>
      <c r="BH135" s="29">
        <f>IF(OR($B135="",$A135&lt;=57),"",--MID('Key Analysis'!$C131,$A135-57,1))</f>
        <v>0</v>
      </c>
      <c r="BI135" s="29">
        <f>IF(OR($B135="",$A135&lt;=58),"",--MID('Key Analysis'!$C131,$A135-58,1))</f>
        <v>0</v>
      </c>
      <c r="BJ135" s="29">
        <f>IF(OR($B135="",$A135&lt;=59),"",--MID('Key Analysis'!$C131,$A135-59,1))</f>
        <v>1</v>
      </c>
      <c r="BK135" s="29">
        <f>IF(OR($B135="",$A135&lt;=60),"",--MID('Key Analysis'!$C131,$A135-60,1))</f>
        <v>0</v>
      </c>
      <c r="BL135" s="29">
        <f>IF(OR($B135="",$A135&lt;=61),"",--MID('Key Analysis'!$C131,$A135-61,1))</f>
        <v>1</v>
      </c>
      <c r="BM135" s="29">
        <f>IF(OR($B135="",$A135&lt;=62),"",--MID('Key Analysis'!$C131,$A135-62,1))</f>
        <v>0</v>
      </c>
      <c r="BN135" s="29">
        <f>IF(OR($B135="",$A135&lt;=63),"",--MID('Key Analysis'!$C131,$A135-63,1))</f>
        <v>0</v>
      </c>
      <c r="BO135" s="29">
        <f>IF(OR($B135="",$A135&lt;=64),"",--MID('Key Analysis'!$C131,$A135-64,1))</f>
        <v>1</v>
      </c>
      <c r="BP135" s="29">
        <f>IF(OR($B135="",$A135&lt;=65),"",--MID('Key Analysis'!$C131,$A135-65,1))</f>
        <v>1</v>
      </c>
      <c r="BQ135" s="29">
        <f>IF(OR($B135="",$A135&lt;=66),"",--MID('Key Analysis'!$C131,$A135-66,1))</f>
        <v>1</v>
      </c>
      <c r="BR135" s="29">
        <f>IF(OR($B135="",$A135&lt;=67),"",--MID('Key Analysis'!$C131,$A135-67,1))</f>
        <v>1</v>
      </c>
      <c r="BS135" s="29">
        <f>IF(OR($B135="",$A135&lt;=68),"",--MID('Key Analysis'!$C131,$A135-68,1))</f>
        <v>0</v>
      </c>
      <c r="BT135" s="29">
        <f>IF(OR($B135="",$A135&lt;=69),"",--MID('Key Analysis'!$C131,$A135-69,1))</f>
        <v>0</v>
      </c>
      <c r="BU135" s="29">
        <f>IF(OR($B135="",$A135&lt;=70),"",--MID('Key Analysis'!$C131,$A135-70,1))</f>
        <v>1</v>
      </c>
      <c r="BV135" s="29">
        <f>IF(OR($B135="",$A135&lt;=71),"",--MID('Key Analysis'!$C131,$A135-71,1))</f>
        <v>0</v>
      </c>
      <c r="BW135" s="29">
        <f>IF(OR($B135="",$A135&lt;=72),"",--MID('Key Analysis'!$C131,$A135-72,1))</f>
        <v>0</v>
      </c>
      <c r="BX135" s="29">
        <f>IF(OR($B135="",$A135&lt;=73),"",--MID('Key Analysis'!$C131,$A135-73,1))</f>
        <v>0</v>
      </c>
      <c r="BY135" s="29">
        <f>IF(OR($B135="",$A135&lt;=74),"",--MID('Key Analysis'!$C131,$A135-74,1))</f>
        <v>0</v>
      </c>
      <c r="BZ135" s="29">
        <f>IF(OR($B135="",$A135&lt;=75),"",--MID('Key Analysis'!$C131,$A135-75,1))</f>
        <v>0</v>
      </c>
      <c r="CA135" s="29">
        <f>IF(OR($B135="",$A135&lt;=76),"",--MID('Key Analysis'!$C131,$A135-76,1))</f>
        <v>1</v>
      </c>
      <c r="CB135" s="29">
        <f>IF(OR($B135="",$A135&lt;=77),"",--MID('Key Analysis'!$C131,$A135-77,1))</f>
        <v>1</v>
      </c>
      <c r="CC135" s="29">
        <f>IF(OR($B135="",$A135&lt;=78),"",--MID('Key Analysis'!$C131,$A135-78,1))</f>
        <v>1</v>
      </c>
      <c r="CD135" s="29">
        <f>IF(OR($B135="",$A135&lt;=79),"",--MID('Key Analysis'!$C131,$A135-79,1))</f>
        <v>1</v>
      </c>
      <c r="CE135" s="29">
        <f>IF(OR($B135="",$A135&lt;=80),"",--MID('Key Analysis'!$C131,$A135-80,1))</f>
        <v>1</v>
      </c>
      <c r="CF135" s="29">
        <f>IF(OR($B135="",$A135&lt;=81),"",--MID('Key Analysis'!$C131,$A135-81,1))</f>
        <v>0</v>
      </c>
      <c r="CG135" s="29">
        <f>IF(OR($B135="",$A135&lt;=82),"",--MID('Key Analysis'!$C131,$A135-82,1))</f>
        <v>0</v>
      </c>
      <c r="CH135" s="29">
        <f>IF(OR($B135="",$A135&lt;=83),"",--MID('Key Analysis'!$C131,$A135-83,1))</f>
        <v>1</v>
      </c>
      <c r="CI135" s="29">
        <f>IF(OR($B135="",$A135&lt;=84),"",--MID('Key Analysis'!$C131,$A135-84,1))</f>
        <v>1</v>
      </c>
      <c r="CJ135" s="29">
        <f>IF(OR($B135="",$A135&lt;=85),"",--MID('Key Analysis'!$C131,$A135-85,1))</f>
        <v>0</v>
      </c>
      <c r="CK135" s="29">
        <f>IF(OR($B135="",$A135&lt;=86),"",--MID('Key Analysis'!$C131,$A135-86,1))</f>
        <v>1</v>
      </c>
      <c r="CL135" s="29">
        <f>IF(OR($B135="",$A135&lt;=87),"",--MID('Key Analysis'!$C131,$A135-87,1))</f>
        <v>0</v>
      </c>
      <c r="CM135" s="29">
        <f>IF(OR($B135="",$A135&lt;=88),"",--MID('Key Analysis'!$C131,$A135-88,1))</f>
        <v>1</v>
      </c>
      <c r="CN135" s="29">
        <f>IF(OR($B135="",$A135&lt;=89),"",--MID('Key Analysis'!$C131,$A135-89,1))</f>
        <v>1</v>
      </c>
      <c r="CO135" s="29">
        <f>IF(OR($B135="",$A135&lt;=90),"",--MID('Key Analysis'!$C131,$A135-90,1))</f>
        <v>0</v>
      </c>
      <c r="CP135" s="29">
        <f>IF(OR($B135="",$A135&lt;=91),"",--MID('Key Analysis'!$C131,$A135-91,1))</f>
        <v>0</v>
      </c>
      <c r="CQ135" s="29">
        <f>IF(OR($B135="",$A135&lt;=92),"",--MID('Key Analysis'!$C131,$A135-92,1))</f>
        <v>1</v>
      </c>
      <c r="CR135" s="29">
        <f>IF(OR($B135="",$A135&lt;=93),"",--MID('Key Analysis'!$C131,$A135-93,1))</f>
        <v>0</v>
      </c>
      <c r="CS135" s="29">
        <f>IF(OR($B135="",$A135&lt;=94),"",--MID('Key Analysis'!$C131,$A135-94,1))</f>
        <v>1</v>
      </c>
      <c r="CT135" s="29">
        <f>IF(OR($B135="",$A135&lt;=95),"",--MID('Key Analysis'!$C131,$A135-95,1))</f>
        <v>0</v>
      </c>
      <c r="CU135" s="29">
        <f>IF(OR($B135="",$A135&lt;=96),"",--MID('Key Analysis'!$C131,$A135-96,1))</f>
        <v>0</v>
      </c>
      <c r="CV135" s="29">
        <f>IF(OR($B135="",$A135&lt;=97),"",--MID('Key Analysis'!$C131,$A135-97,1))</f>
        <v>0</v>
      </c>
      <c r="CW135" s="29">
        <f>IF(OR($B135="",$A135&lt;=98),"",--MID('Key Analysis'!$C131,$A135-98,1))</f>
        <v>0</v>
      </c>
      <c r="CX135" s="29">
        <f>IF(OR($B135="",$A135&lt;=99),"",--MID('Key Analysis'!$C131,$A135-99,1))</f>
        <v>0</v>
      </c>
      <c r="CY135" s="29">
        <f>IF(OR($B135="",$A135&lt;=100),"",--MID('Key Analysis'!$C131,$A135-100,1))</f>
        <v>1</v>
      </c>
      <c r="CZ135" s="29">
        <f>IF(OR($B135="",$A135&lt;=101),"",--MID('Key Analysis'!$C131,$A135-101,1))</f>
        <v>1</v>
      </c>
      <c r="DA135" s="29">
        <f>IF(OR($B135="",$A135&lt;=102),"",--MID('Key Analysis'!$C131,$A135-102,1))</f>
        <v>1</v>
      </c>
      <c r="DB135" s="29">
        <f>IF(OR($B135="",$A135&lt;=103),"",--MID('Key Analysis'!$C131,$A135-103,1))</f>
        <v>0</v>
      </c>
      <c r="DC135" s="29">
        <f>IF(OR($B135="",$A135&lt;=104),"",--MID('Key Analysis'!$C131,$A135-104,1))</f>
        <v>1</v>
      </c>
      <c r="DD135" s="29">
        <f>IF(OR($B135="",$A135&lt;=105),"",--MID('Key Analysis'!$C131,$A135-105,1))</f>
        <v>0</v>
      </c>
      <c r="DE135" s="29">
        <f>IF(OR($B135="",$A135&lt;=106),"",--MID('Key Analysis'!$C131,$A135-106,1))</f>
        <v>1</v>
      </c>
      <c r="DF135" s="29">
        <f>IF(OR($B135="",$A135&lt;=107),"",--MID('Key Analysis'!$C131,$A135-107,1))</f>
        <v>0</v>
      </c>
      <c r="DG135" s="29">
        <f>IF(OR($B135="",$A135&lt;=108),"",--MID('Key Analysis'!$C131,$A135-108,1))</f>
        <v>0</v>
      </c>
      <c r="DH135" s="29">
        <f>IF(OR($B135="",$A135&lt;=109),"",--MID('Key Analysis'!$C131,$A135-109,1))</f>
        <v>1</v>
      </c>
      <c r="DI135" s="29">
        <f>IF(OR($B135="",$A135&lt;=110),"",--MID('Key Analysis'!$C131,$A135-110,1))</f>
        <v>1</v>
      </c>
      <c r="DJ135" s="29">
        <f>IF(OR($B135="",$A135&lt;=111),"",--MID('Key Analysis'!$C131,$A135-111,1))</f>
        <v>0</v>
      </c>
      <c r="DK135" s="29">
        <f>IF(OR($B135="",$A135&lt;=112),"",--MID('Key Analysis'!$C131,$A135-112,1))</f>
        <v>0</v>
      </c>
      <c r="DL135" s="29">
        <f>IF(OR($B135="",$A135&lt;=113),"",--MID('Key Analysis'!$C131,$A135-113,1))</f>
        <v>1</v>
      </c>
      <c r="DM135" s="29">
        <f>IF(OR($B135="",$A135&lt;=114),"",--MID('Key Analysis'!$C131,$A135-114,1))</f>
        <v>1</v>
      </c>
      <c r="DN135" s="29">
        <f>IF(OR($B135="",$A135&lt;=115),"",--MID('Key Analysis'!$C131,$A135-115,1))</f>
        <v>0</v>
      </c>
      <c r="DO135" s="29">
        <f>IF(OR($B135="",$A135&lt;=116),"",--MID('Key Analysis'!$C131,$A135-116,1))</f>
        <v>1</v>
      </c>
      <c r="DP135" s="29">
        <f>IF(OR($B135="",$A135&lt;=117),"",--MID('Key Analysis'!$C131,$A135-117,1))</f>
        <v>1</v>
      </c>
      <c r="DQ135" s="29">
        <f>IF(OR($B135="",$A135&lt;=118),"",--MID('Key Analysis'!$C131,$A135-118,1))</f>
        <v>1</v>
      </c>
      <c r="DR135" s="29">
        <f>IF(OR($B135="",$A135&lt;=119),"",--MID('Key Analysis'!$C131,$A135-119,1))</f>
        <v>0</v>
      </c>
      <c r="DS135" s="29">
        <f>IF(OR($B135="",$A135&lt;=120),"",--MID('Key Analysis'!$C131,$A135-120,1))</f>
        <v>0</v>
      </c>
      <c r="DT135" s="29">
        <f>IF(OR($B135="",$A135&lt;=121),"",--MID('Key Analysis'!$C131,$A135-121,1))</f>
        <v>1</v>
      </c>
      <c r="DU135" s="29">
        <f>IF(OR($B135="",$A135&lt;=122),"",--MID('Key Analysis'!$C131,$A135-122,1))</f>
        <v>1</v>
      </c>
      <c r="DV135" s="29">
        <f>IF(OR($B135="",$A135&lt;=123),"",--MID('Key Analysis'!$C131,$A135-123,1))</f>
        <v>1</v>
      </c>
      <c r="DW135" s="29">
        <f>IF(OR($B135="",$A135&lt;=124),"",--MID('Key Analysis'!$C131,$A135-124,1))</f>
        <v>1</v>
      </c>
      <c r="DX135" s="29">
        <f>IF(OR($B135="",$A135&lt;=125),"",--MID('Key Analysis'!$C131,$A135-125,1))</f>
        <v>1</v>
      </c>
      <c r="DY135" s="29">
        <f>IF(OR($B135="",$A135&lt;=126),"",--MID('Key Analysis'!$C131,$A135-126,1))</f>
        <v>0</v>
      </c>
      <c r="DZ135" s="29">
        <f>IF(OR($B135="",$A135&lt;=127),"",--MID('Key Analysis'!$C131,$A135-127,1))</f>
        <v>0</v>
      </c>
      <c r="EA135" s="29">
        <f>IF(OR($B135="",$A135&lt;=128),"",--MID('Key Analysis'!$C131,$A135-128,1))</f>
        <v>1</v>
      </c>
      <c r="EB135" s="29">
        <f>IF(OR($B135="",$A135&lt;=129),"",--MID('Key Analysis'!$C131,$A135-129,1))</f>
        <v>1</v>
      </c>
      <c r="EC135" s="29" t="str">
        <f>IF(OR($B135="",$A135&lt;=130),"",--MID('Key Analysis'!$C131,$A135-130,1))</f>
        <v/>
      </c>
      <c r="ED135" s="29" t="str">
        <f>IF(OR($B135="",$A135&lt;=131),"",--MID('Key Analysis'!$C131,$A135-131,1))</f>
        <v/>
      </c>
      <c r="EE135" s="29" t="str">
        <f>IF(OR($B135="",$A135&lt;=132),"",--MID('Key Analysis'!$C131,$A135-132,1))</f>
        <v/>
      </c>
      <c r="EF135" s="29" t="str">
        <f>IF(OR($B135="",$A135&lt;=133),"",--MID('Key Analysis'!$C131,$A135-133,1))</f>
        <v/>
      </c>
      <c r="EG135" s="29" t="str">
        <f>IF(OR($B135="",$A135&lt;=134),"",--MID('Key Analysis'!$C131,$A135-134,1))</f>
        <v/>
      </c>
      <c r="EH135" s="29"/>
      <c r="EI135" s="29">
        <f>IF(OR($B135="",$A135&lt;1),"",--MID('Key Analysis'!$C131,1,1))</f>
        <v>1</v>
      </c>
      <c r="EJ135" s="29">
        <f>IF(OR($B135="",$A135&lt;2),"",--MID('Key Analysis'!$C131,2,1))</f>
        <v>1</v>
      </c>
      <c r="EK135" s="29">
        <f>IF(OR($B135="",$A135&lt;3),"",--MID('Key Analysis'!$C131,3,1))</f>
        <v>0</v>
      </c>
      <c r="EL135" s="29">
        <f>IF(OR($B135="",$A135&lt;4),"",--MID('Key Analysis'!$C131,4,1))</f>
        <v>0</v>
      </c>
      <c r="EM135" s="29">
        <f>IF(OR($B135="",$A135&lt;5),"",--MID('Key Analysis'!$C131,5,1))</f>
        <v>1</v>
      </c>
      <c r="EN135" s="29">
        <f>IF(OR($B135="",$A135&lt;6),"",--MID('Key Analysis'!$C131,6,1))</f>
        <v>1</v>
      </c>
      <c r="EO135" s="29">
        <f>IF(OR($B135="",$A135&lt;7),"",--MID('Key Analysis'!$C131,7,1))</f>
        <v>1</v>
      </c>
      <c r="EP135" s="29">
        <f>IF(OR($B135="",$A135&lt;8),"",--MID('Key Analysis'!$C131,8,1))</f>
        <v>1</v>
      </c>
      <c r="EQ135" s="29">
        <f>IF(OR($B135="",$A135&lt;9),"",--MID('Key Analysis'!$C131,9,1))</f>
        <v>1</v>
      </c>
      <c r="ER135" s="29">
        <f>IF(OR($B135="",$A135&lt;10),"",--MID('Key Analysis'!$C131,10,1))</f>
        <v>0</v>
      </c>
      <c r="ES135" s="29">
        <f>IF(OR($B135="",$A135&lt;11),"",--MID('Key Analysis'!$C131,11,1))</f>
        <v>0</v>
      </c>
      <c r="ET135" s="29">
        <f>IF(OR($B135="",$A135&lt;12),"",--MID('Key Analysis'!$C131,12,1))</f>
        <v>1</v>
      </c>
      <c r="EU135" s="29">
        <f>IF(OR($B135="",$A135&lt;13),"",--MID('Key Analysis'!$C131,13,1))</f>
        <v>1</v>
      </c>
      <c r="EV135" s="29">
        <f>IF(OR($B135="",$A135&lt;14),"",--MID('Key Analysis'!$C131,14,1))</f>
        <v>1</v>
      </c>
      <c r="EW135" s="29">
        <f>IF(OR($B135="",$A135&lt;15),"",--MID('Key Analysis'!$C131,15,1))</f>
        <v>0</v>
      </c>
      <c r="EX135" s="29">
        <f>IF(OR($B135="",$A135&lt;16),"",--MID('Key Analysis'!$C131,16,1))</f>
        <v>1</v>
      </c>
      <c r="EY135" s="29">
        <f>IF(OR($B135="",$A135&lt;17),"",--MID('Key Analysis'!$C131,17,1))</f>
        <v>1</v>
      </c>
      <c r="EZ135" s="29">
        <f>IF(OR($B135="",$A135&lt;18),"",--MID('Key Analysis'!$C131,18,1))</f>
        <v>0</v>
      </c>
      <c r="FA135" s="29">
        <f>IF(OR($B135="",$A135&lt;19),"",--MID('Key Analysis'!$C131,19,1))</f>
        <v>0</v>
      </c>
      <c r="FB135" s="29">
        <f>IF(OR($B135="",$A135&lt;20),"",--MID('Key Analysis'!$C131,20,1))</f>
        <v>1</v>
      </c>
      <c r="FC135" s="29">
        <f>IF(OR($B135="",$A135&lt;21),"",--MID('Key Analysis'!$C131,21,1))</f>
        <v>1</v>
      </c>
      <c r="FD135" s="29">
        <f>IF(OR($B135="",$A135&lt;22),"",--MID('Key Analysis'!$C131,22,1))</f>
        <v>0</v>
      </c>
      <c r="FE135" s="29">
        <f>IF(OR($B135="",$A135&lt;23),"",--MID('Key Analysis'!$C131,23,1))</f>
        <v>0</v>
      </c>
      <c r="FF135" s="29">
        <f>IF(OR($B135="",$A135&lt;24),"",--MID('Key Analysis'!$C131,24,1))</f>
        <v>1</v>
      </c>
      <c r="FG135" s="29">
        <f>IF(OR($B135="",$A135&lt;25),"",--MID('Key Analysis'!$C131,25,1))</f>
        <v>0</v>
      </c>
      <c r="FH135" s="29">
        <f>IF(OR($B135="",$A135&lt;26),"",--MID('Key Analysis'!$C131,26,1))</f>
        <v>1</v>
      </c>
      <c r="FI135" s="29">
        <f>IF(OR($B135="",$A135&lt;27),"",--MID('Key Analysis'!$C131,27,1))</f>
        <v>0</v>
      </c>
      <c r="FJ135" s="29">
        <f>IF(OR($B135="",$A135&lt;28),"",--MID('Key Analysis'!$C131,28,1))</f>
        <v>1</v>
      </c>
      <c r="FK135" s="29">
        <f>IF(OR($B135="",$A135&lt;29),"",--MID('Key Analysis'!$C131,29,1))</f>
        <v>1</v>
      </c>
      <c r="FL135" s="29">
        <f>IF(OR($B135="",$A135&lt;30),"",--MID('Key Analysis'!$C131,30,1))</f>
        <v>1</v>
      </c>
      <c r="FM135" s="29">
        <f>IF(OR($B135="",$A135&lt;31),"",--MID('Key Analysis'!$C131,31,1))</f>
        <v>0</v>
      </c>
      <c r="FN135" s="29">
        <f>IF(OR($B135="",$A135&lt;32),"",--MID('Key Analysis'!$C131,32,1))</f>
        <v>0</v>
      </c>
      <c r="FO135" s="29">
        <f>IF(OR($B135="",$A135&lt;33),"",--MID('Key Analysis'!$C131,33,1))</f>
        <v>0</v>
      </c>
      <c r="FP135" s="29">
        <f>IF(OR($B135="",$A135&lt;34),"",--MID('Key Analysis'!$C131,34,1))</f>
        <v>0</v>
      </c>
      <c r="FQ135" s="29">
        <f>IF(OR($B135="",$A135&lt;35),"",--MID('Key Analysis'!$C131,35,1))</f>
        <v>0</v>
      </c>
      <c r="FR135" s="29">
        <f>IF(OR($B135="",$A135&lt;36),"",--MID('Key Analysis'!$C131,36,1))</f>
        <v>1</v>
      </c>
      <c r="FS135" s="29">
        <f>IF(OR($B135="",$A135&lt;37),"",--MID('Key Analysis'!$C131,37,1))</f>
        <v>0</v>
      </c>
      <c r="FT135" s="29">
        <f>IF(OR($B135="",$A135&lt;38),"",--MID('Key Analysis'!$C131,38,1))</f>
        <v>1</v>
      </c>
      <c r="FU135" s="29">
        <f>IF(OR($B135="",$A135&lt;39),"",--MID('Key Analysis'!$C131,39,1))</f>
        <v>0</v>
      </c>
      <c r="FV135" s="29">
        <f>IF(OR($B135="",$A135&lt;40),"",--MID('Key Analysis'!$C131,40,1))</f>
        <v>0</v>
      </c>
      <c r="FW135" s="29">
        <f>IF(OR($B135="",$A135&lt;41),"",--MID('Key Analysis'!$C131,41,1))</f>
        <v>1</v>
      </c>
      <c r="FX135" s="29">
        <f>IF(OR($B135="",$A135&lt;42),"",--MID('Key Analysis'!$C131,42,1))</f>
        <v>1</v>
      </c>
      <c r="FY135" s="29">
        <f>IF(OR($B135="",$A135&lt;43),"",--MID('Key Analysis'!$C131,43,1))</f>
        <v>0</v>
      </c>
      <c r="FZ135" s="29">
        <f>IF(OR($B135="",$A135&lt;44),"",--MID('Key Analysis'!$C131,44,1))</f>
        <v>1</v>
      </c>
      <c r="GA135" s="29">
        <f>IF(OR($B135="",$A135&lt;45),"",--MID('Key Analysis'!$C131,45,1))</f>
        <v>0</v>
      </c>
      <c r="GB135" s="29">
        <f>IF(OR($B135="",$A135&lt;46),"",--MID('Key Analysis'!$C131,46,1))</f>
        <v>1</v>
      </c>
      <c r="GC135" s="29">
        <f>IF(OR($B135="",$A135&lt;47),"",--MID('Key Analysis'!$C131,47,1))</f>
        <v>1</v>
      </c>
      <c r="GD135" s="29">
        <f>IF(OR($B135="",$A135&lt;48),"",--MID('Key Analysis'!$C131,48,1))</f>
        <v>0</v>
      </c>
      <c r="GE135" s="29">
        <f>IF(OR($B135="",$A135&lt;49),"",--MID('Key Analysis'!$C131,49,1))</f>
        <v>0</v>
      </c>
      <c r="GF135" s="29">
        <f>IF(OR($B135="",$A135&lt;50),"",--MID('Key Analysis'!$C131,50,1))</f>
        <v>1</v>
      </c>
      <c r="GG135" s="29">
        <f>IF(OR($B135="",$A135&lt;51),"",--MID('Key Analysis'!$C131,51,1))</f>
        <v>1</v>
      </c>
      <c r="GH135" s="29">
        <f>IF(OR($B135="",$A135&lt;52),"",--MID('Key Analysis'!$C131,52,1))</f>
        <v>1</v>
      </c>
      <c r="GI135" s="29">
        <f>IF(OR($B135="",$A135&lt;53),"",--MID('Key Analysis'!$C131,53,1))</f>
        <v>1</v>
      </c>
      <c r="GJ135" s="29">
        <f>IF(OR($B135="",$A135&lt;54),"",--MID('Key Analysis'!$C131,54,1))</f>
        <v>1</v>
      </c>
      <c r="GK135" s="29">
        <f>IF(OR($B135="",$A135&lt;55),"",--MID('Key Analysis'!$C131,55,1))</f>
        <v>0</v>
      </c>
      <c r="GL135" s="29">
        <f>IF(OR($B135="",$A135&lt;56),"",--MID('Key Analysis'!$C131,56,1))</f>
        <v>0</v>
      </c>
      <c r="GM135" s="29">
        <f>IF(OR($B135="",$A135&lt;57),"",--MID('Key Analysis'!$C131,57,1))</f>
        <v>0</v>
      </c>
      <c r="GN135" s="29">
        <f>IF(OR($B135="",$A135&lt;58),"",--MID('Key Analysis'!$C131,58,1))</f>
        <v>0</v>
      </c>
      <c r="GO135" s="29">
        <f>IF(OR($B135="",$A135&lt;59),"",--MID('Key Analysis'!$C131,59,1))</f>
        <v>0</v>
      </c>
      <c r="GP135" s="29">
        <f>IF(OR($B135="",$A135&lt;60),"",--MID('Key Analysis'!$C131,60,1))</f>
        <v>1</v>
      </c>
      <c r="GQ135" s="29">
        <f>IF(OR($B135="",$A135&lt;61),"",--MID('Key Analysis'!$C131,61,1))</f>
        <v>0</v>
      </c>
      <c r="GR135" s="29">
        <f>IF(OR($B135="",$A135&lt;62),"",--MID('Key Analysis'!$C131,62,1))</f>
        <v>0</v>
      </c>
      <c r="GS135" s="29">
        <f>IF(OR($B135="",$A135&lt;63),"",--MID('Key Analysis'!$C131,63,1))</f>
        <v>1</v>
      </c>
      <c r="GT135" s="29">
        <f>IF(OR($B135="",$A135&lt;64),"",--MID('Key Analysis'!$C131,64,1))</f>
        <v>1</v>
      </c>
      <c r="GU135" s="29">
        <f>IF(OR($B135="",$A135&lt;65),"",--MID('Key Analysis'!$C131,65,1))</f>
        <v>1</v>
      </c>
      <c r="GV135" s="29">
        <f>IF(OR($B135="",$A135&lt;66),"",--MID('Key Analysis'!$C131,66,1))</f>
        <v>1</v>
      </c>
      <c r="GW135" s="29">
        <f>IF(OR($B135="",$A135&lt;67),"",--MID('Key Analysis'!$C131,67,1))</f>
        <v>0</v>
      </c>
      <c r="GX135" s="29">
        <f>IF(OR($B135="",$A135&lt;68),"",--MID('Key Analysis'!$C131,68,1))</f>
        <v>0</v>
      </c>
      <c r="GY135" s="29">
        <f>IF(OR($B135="",$A135&lt;69),"",--MID('Key Analysis'!$C131,69,1))</f>
        <v>1</v>
      </c>
      <c r="GZ135" s="29">
        <f>IF(OR($B135="",$A135&lt;70),"",--MID('Key Analysis'!$C131,70,1))</f>
        <v>0</v>
      </c>
      <c r="HA135" s="29">
        <f>IF(OR($B135="",$A135&lt;71),"",--MID('Key Analysis'!$C131,71,1))</f>
        <v>1</v>
      </c>
      <c r="HB135" s="29">
        <f>IF(OR($B135="",$A135&lt;72),"",--MID('Key Analysis'!$C131,72,1))</f>
        <v>0</v>
      </c>
      <c r="HC135" s="29">
        <f>IF(OR($B135="",$A135&lt;73),"",--MID('Key Analysis'!$C131,73,1))</f>
        <v>0</v>
      </c>
      <c r="HD135" s="29">
        <f>IF(OR($B135="",$A135&lt;74),"",--MID('Key Analysis'!$C131,74,1))</f>
        <v>0</v>
      </c>
      <c r="HE135" s="29">
        <f>IF(OR($B135="",$A135&lt;75),"",--MID('Key Analysis'!$C131,75,1))</f>
        <v>1</v>
      </c>
      <c r="HF135" s="29">
        <f>IF(OR($B135="",$A135&lt;76),"",--MID('Key Analysis'!$C131,76,1))</f>
        <v>0</v>
      </c>
      <c r="HG135" s="29">
        <f>IF(OR($B135="",$A135&lt;77),"",--MID('Key Analysis'!$C131,77,1))</f>
        <v>1</v>
      </c>
      <c r="HH135" s="29">
        <f>IF(OR($B135="",$A135&lt;78),"",--MID('Key Analysis'!$C131,78,1))</f>
        <v>1</v>
      </c>
      <c r="HI135" s="29">
        <f>IF(OR($B135="",$A135&lt;79),"",--MID('Key Analysis'!$C131,79,1))</f>
        <v>1</v>
      </c>
      <c r="HJ135" s="29">
        <f>IF(OR($B135="",$A135&lt;80),"",--MID('Key Analysis'!$C131,80,1))</f>
        <v>0</v>
      </c>
      <c r="HK135" s="29">
        <f>IF(OR($B135="",$A135&lt;81),"",--MID('Key Analysis'!$C131,81,1))</f>
        <v>0</v>
      </c>
      <c r="HL135" s="29">
        <f>IF(OR($B135="",$A135&lt;82),"",--MID('Key Analysis'!$C131,82,1))</f>
        <v>0</v>
      </c>
      <c r="HM135" s="29">
        <f>IF(OR($B135="",$A135&lt;83),"",--MID('Key Analysis'!$C131,83,1))</f>
        <v>1</v>
      </c>
      <c r="HN135" s="29">
        <f>IF(OR($B135="",$A135&lt;84),"",--MID('Key Analysis'!$C131,84,1))</f>
        <v>0</v>
      </c>
      <c r="HO135" s="29">
        <f>IF(OR($B135="",$A135&lt;85),"",--MID('Key Analysis'!$C131,85,1))</f>
        <v>0</v>
      </c>
      <c r="HP135" s="29">
        <f>IF(OR($B135="",$A135&lt;86),"",--MID('Key Analysis'!$C131,86,1))</f>
        <v>0</v>
      </c>
      <c r="HQ135" s="29">
        <f>IF(OR($B135="",$A135&lt;87),"",--MID('Key Analysis'!$C131,87,1))</f>
        <v>1</v>
      </c>
      <c r="HR135" s="29">
        <f>IF(OR($B135="",$A135&lt;88),"",--MID('Key Analysis'!$C131,88,1))</f>
        <v>1</v>
      </c>
      <c r="HS135" s="29">
        <f>IF(OR($B135="",$A135&lt;89),"",--MID('Key Analysis'!$C131,89,1))</f>
        <v>0</v>
      </c>
      <c r="HT135" s="29">
        <f>IF(OR($B135="",$A135&lt;90),"",--MID('Key Analysis'!$C131,90,1))</f>
        <v>0</v>
      </c>
      <c r="HU135" s="29">
        <f>IF(OR($B135="",$A135&lt;91),"",--MID('Key Analysis'!$C131,91,1))</f>
        <v>1</v>
      </c>
      <c r="HV135" s="29">
        <f>IF(OR($B135="",$A135&lt;92),"",--MID('Key Analysis'!$C131,92,1))</f>
        <v>1</v>
      </c>
      <c r="HW135" s="29">
        <f>IF(OR($B135="",$A135&lt;93),"",--MID('Key Analysis'!$C131,93,1))</f>
        <v>1</v>
      </c>
      <c r="HX135" s="29">
        <f>IF(OR($B135="",$A135&lt;94),"",--MID('Key Analysis'!$C131,94,1))</f>
        <v>1</v>
      </c>
      <c r="HY135" s="29">
        <f>IF(OR($B135="",$A135&lt;95),"",--MID('Key Analysis'!$C131,95,1))</f>
        <v>1</v>
      </c>
      <c r="HZ135" s="29">
        <f>IF(OR($B135="",$A135&lt;96),"",--MID('Key Analysis'!$C131,96,1))</f>
        <v>0</v>
      </c>
      <c r="IA135" s="29">
        <f>IF(OR($B135="",$A135&lt;97),"",--MID('Key Analysis'!$C131,97,1))</f>
        <v>0</v>
      </c>
      <c r="IB135" s="29">
        <f>IF(OR($B135="",$A135&lt;98),"",--MID('Key Analysis'!$C131,98,1))</f>
        <v>0</v>
      </c>
      <c r="IC135" s="29">
        <f>IF(OR($B135="",$A135&lt;99),"",--MID('Key Analysis'!$C131,99,1))</f>
        <v>1</v>
      </c>
      <c r="ID135" s="29">
        <f>IF(OR($B135="",$A135&lt;100),"",--MID('Key Analysis'!$C131,100,1))</f>
        <v>0</v>
      </c>
      <c r="IE135" s="29">
        <f>IF(OR($B135="",$A135&lt;101),"",--MID('Key Analysis'!$C131,101,1))</f>
        <v>0</v>
      </c>
      <c r="IF135" s="29">
        <f>IF(OR($B135="",$A135&lt;102),"",--MID('Key Analysis'!$C131,102,1))</f>
        <v>1</v>
      </c>
      <c r="IG135" s="29">
        <f>IF(OR($B135="",$A135&lt;103),"",--MID('Key Analysis'!$C131,103,1))</f>
        <v>0</v>
      </c>
      <c r="IH135" s="29">
        <f>IF(OR($B135="",$A135&lt;104),"",--MID('Key Analysis'!$C131,104,1))</f>
        <v>1</v>
      </c>
      <c r="II135" s="29">
        <f>IF(OR($B135="",$A135&lt;105),"",--MID('Key Analysis'!$C131,105,1))</f>
        <v>1</v>
      </c>
      <c r="IJ135" s="29">
        <f>IF(OR($B135="",$A135&lt;106),"",--MID('Key Analysis'!$C131,106,1))</f>
        <v>1</v>
      </c>
      <c r="IK135" s="29">
        <f>IF(OR($B135="",$A135&lt;107),"",--MID('Key Analysis'!$C131,107,1))</f>
        <v>1</v>
      </c>
      <c r="IL135" s="29">
        <f>IF(OR($B135="",$A135&lt;108),"",--MID('Key Analysis'!$C131,108,1))</f>
        <v>1</v>
      </c>
      <c r="IM135" s="29">
        <f>IF(OR($B135="",$A135&lt;109),"",--MID('Key Analysis'!$C131,109,1))</f>
        <v>0</v>
      </c>
      <c r="IN135" s="29">
        <f>IF(OR($B135="",$A135&lt;110),"",--MID('Key Analysis'!$C131,110,1))</f>
        <v>0</v>
      </c>
      <c r="IO135" s="29">
        <f>IF(OR($B135="",$A135&lt;111),"",--MID('Key Analysis'!$C131,111,1))</f>
        <v>0</v>
      </c>
      <c r="IP135" s="29">
        <f>IF(OR($B135="",$A135&lt;112),"",--MID('Key Analysis'!$C131,112,1))</f>
        <v>1</v>
      </c>
      <c r="IQ135" s="29">
        <f>IF(OR($B135="",$A135&lt;113),"",--MID('Key Analysis'!$C131,113,1))</f>
        <v>1</v>
      </c>
      <c r="IR135" s="29">
        <f>IF(OR($B135="",$A135&lt;114),"",--MID('Key Analysis'!$C131,114,1))</f>
        <v>0</v>
      </c>
      <c r="IS135" s="29">
        <f>IF(OR($B135="",$A135&lt;115),"",--MID('Key Analysis'!$C131,115,1))</f>
        <v>0</v>
      </c>
      <c r="IT135" s="29">
        <f>IF(OR($B135="",$A135&lt;116),"",--MID('Key Analysis'!$C131,116,1))</f>
        <v>0</v>
      </c>
      <c r="IU135" s="29">
        <f>IF(OR($B135="",$A135&lt;117),"",--MID('Key Analysis'!$C131,117,1))</f>
        <v>0</v>
      </c>
      <c r="IV135" s="29">
        <f>IF(OR($B135="",$A135&lt;118),"",--MID('Key Analysis'!$C131,118,1))</f>
        <v>0</v>
      </c>
      <c r="IW135" s="29">
        <f>IF(OR($B135="",$A135&lt;119),"",--MID('Key Analysis'!$C131,119,1))</f>
        <v>0</v>
      </c>
      <c r="IX135" s="29">
        <f>IF(OR($B135="",$A135&lt;120),"",--MID('Key Analysis'!$C131,120,1))</f>
        <v>0</v>
      </c>
      <c r="IY135" s="29">
        <f>IF(OR($B135="",$A135&lt;121),"",--MID('Key Analysis'!$C131,121,1))</f>
        <v>1</v>
      </c>
      <c r="IZ135" s="29">
        <f>IF(OR($B135="",$A135&lt;122),"",--MID('Key Analysis'!$C131,122,1))</f>
        <v>1</v>
      </c>
      <c r="JA135" s="29">
        <f>IF(OR($B135="",$A135&lt;123),"",--MID('Key Analysis'!$C131,123,1))</f>
        <v>1</v>
      </c>
      <c r="JB135" s="29">
        <f>IF(OR($B135="",$A135&lt;124),"",--MID('Key Analysis'!$C131,124,1))</f>
        <v>1</v>
      </c>
      <c r="JC135" s="29">
        <f>IF(OR($B135="",$A135&lt;125),"",--MID('Key Analysis'!$C131,125,1))</f>
        <v>0</v>
      </c>
      <c r="JD135" s="29">
        <f>IF(OR($B135="",$A135&lt;126),"",--MID('Key Analysis'!$C131,126,1))</f>
        <v>0</v>
      </c>
      <c r="JE135" s="29">
        <f>IF(OR($B135="",$A135&lt;127),"",--MID('Key Analysis'!$C131,127,1))</f>
        <v>1</v>
      </c>
      <c r="JF135" s="29">
        <f>IF(OR($B135="",$A135&lt;128),"",--MID('Key Analysis'!$C131,128,1))</f>
        <v>0</v>
      </c>
      <c r="JG135" s="29">
        <f>IF(OR($B135="",$A135&lt;129),"",--MID('Key Analysis'!$C131,129,1))</f>
        <v>0</v>
      </c>
      <c r="JH135" s="29">
        <f>IF(OR($B135="",$A135&lt;130),"",--MID('Key Analysis'!$C131,130,1))</f>
        <v>1</v>
      </c>
      <c r="JI135" s="29" t="str">
        <f>IF(OR($B135="",$A135&lt;131),"",--MID('Key Analysis'!$C131,131,1))</f>
        <v/>
      </c>
      <c r="JJ135" s="29" t="str">
        <f>IF(OR($B135="",$A135&lt;132),"",--MID('Key Analysis'!$C131,132,1))</f>
        <v/>
      </c>
      <c r="JK135" s="29" t="str">
        <f>IF(OR($B135="",$A135&lt;133),"",--MID('Key Analysis'!$C131,133,1))</f>
        <v/>
      </c>
      <c r="JL135" s="29" t="str">
        <f>IF(OR($B135="",$A135&lt;134),"",--MID('Key Analysis'!$C131,134,1))</f>
        <v/>
      </c>
      <c r="JM135" s="29" t="str">
        <f>IF(OR($B135="",$A135&lt;135),"",--MID('Key Analysis'!$C131,135,1))</f>
        <v/>
      </c>
    </row>
    <row r="136" spans="1:273" x14ac:dyDescent="0.25">
      <c r="A136" s="21">
        <f>'Key Analysis'!A132</f>
        <v>131</v>
      </c>
      <c r="B136" s="30" t="str">
        <f>'Key Analysis'!B132</f>
        <v/>
      </c>
      <c r="C136" s="29" t="str">
        <f>IF(OR($B136="",$A136&lt;=0),"",--MID('Key Analysis'!$C132,$A136-0,1))</f>
        <v/>
      </c>
      <c r="D136" s="29" t="str">
        <f>IF(OR($B136="",$A136&lt;=1),"",--MID('Key Analysis'!$C132,$A136-1,1))</f>
        <v/>
      </c>
      <c r="E136" s="29" t="str">
        <f>IF(OR($B136="",$A136&lt;=2),"",--MID('Key Analysis'!$C132,$A136-2,1))</f>
        <v/>
      </c>
      <c r="F136" s="29" t="str">
        <f>IF(OR($B136="",$A136&lt;=3),"",--MID('Key Analysis'!$C132,$A136-3,1))</f>
        <v/>
      </c>
      <c r="G136" s="29" t="str">
        <f>IF(OR($B136="",$A136&lt;=4),"",--MID('Key Analysis'!$C132,$A136-4,1))</f>
        <v/>
      </c>
      <c r="H136" s="29" t="str">
        <f>IF(OR($B136="",$A136&lt;=5),"",--MID('Key Analysis'!$C132,$A136-5,1))</f>
        <v/>
      </c>
      <c r="I136" s="29" t="str">
        <f>IF(OR($B136="",$A136&lt;=6),"",--MID('Key Analysis'!$C132,$A136-6,1))</f>
        <v/>
      </c>
      <c r="J136" s="29" t="str">
        <f>IF(OR($B136="",$A136&lt;=7),"",--MID('Key Analysis'!$C132,$A136-7,1))</f>
        <v/>
      </c>
      <c r="K136" s="29" t="str">
        <f>IF(OR($B136="",$A136&lt;=8),"",--MID('Key Analysis'!$C132,$A136-8,1))</f>
        <v/>
      </c>
      <c r="L136" s="29" t="str">
        <f>IF(OR($B136="",$A136&lt;=9),"",--MID('Key Analysis'!$C132,$A136-9,1))</f>
        <v/>
      </c>
      <c r="M136" s="29" t="str">
        <f>IF(OR($B136="",$A136&lt;=10),"",--MID('Key Analysis'!$C132,$A136-10,1))</f>
        <v/>
      </c>
      <c r="N136" s="29" t="str">
        <f>IF(OR($B136="",$A136&lt;=11),"",--MID('Key Analysis'!$C132,$A136-11,1))</f>
        <v/>
      </c>
      <c r="O136" s="29" t="str">
        <f>IF(OR($B136="",$A136&lt;=12),"",--MID('Key Analysis'!$C132,$A136-12,1))</f>
        <v/>
      </c>
      <c r="P136" s="29" t="str">
        <f>IF(OR($B136="",$A136&lt;=13),"",--MID('Key Analysis'!$C132,$A136-13,1))</f>
        <v/>
      </c>
      <c r="Q136" s="29" t="str">
        <f>IF(OR($B136="",$A136&lt;=14),"",--MID('Key Analysis'!$C132,$A136-14,1))</f>
        <v/>
      </c>
      <c r="R136" s="29" t="str">
        <f>IF(OR($B136="",$A136&lt;=15),"",--MID('Key Analysis'!$C132,$A136-15,1))</f>
        <v/>
      </c>
      <c r="S136" s="29" t="str">
        <f>IF(OR($B136="",$A136&lt;=16),"",--MID('Key Analysis'!$C132,$A136-16,1))</f>
        <v/>
      </c>
      <c r="T136" s="29" t="str">
        <f>IF(OR($B136="",$A136&lt;=17),"",--MID('Key Analysis'!$C132,$A136-17,1))</f>
        <v/>
      </c>
      <c r="U136" s="29" t="str">
        <f>IF(OR($B136="",$A136&lt;=18),"",--MID('Key Analysis'!$C132,$A136-18,1))</f>
        <v/>
      </c>
      <c r="V136" s="29" t="str">
        <f>IF(OR($B136="",$A136&lt;=19),"",--MID('Key Analysis'!$C132,$A136-19,1))</f>
        <v/>
      </c>
      <c r="W136" s="29" t="str">
        <f>IF(OR($B136="",$A136&lt;=20),"",--MID('Key Analysis'!$C132,$A136-20,1))</f>
        <v/>
      </c>
      <c r="X136" s="29" t="str">
        <f>IF(OR($B136="",$A136&lt;=21),"",--MID('Key Analysis'!$C132,$A136-21,1))</f>
        <v/>
      </c>
      <c r="Y136" s="29" t="str">
        <f>IF(OR($B136="",$A136&lt;=22),"",--MID('Key Analysis'!$C132,$A136-22,1))</f>
        <v/>
      </c>
      <c r="Z136" s="29" t="str">
        <f>IF(OR($B136="",$A136&lt;=23),"",--MID('Key Analysis'!$C132,$A136-23,1))</f>
        <v/>
      </c>
      <c r="AA136" s="29" t="str">
        <f>IF(OR($B136="",$A136&lt;=24),"",--MID('Key Analysis'!$C132,$A136-24,1))</f>
        <v/>
      </c>
      <c r="AB136" s="29" t="str">
        <f>IF(OR($B136="",$A136&lt;=25),"",--MID('Key Analysis'!$C132,$A136-25,1))</f>
        <v/>
      </c>
      <c r="AC136" s="29" t="str">
        <f>IF(OR($B136="",$A136&lt;=26),"",--MID('Key Analysis'!$C132,$A136-26,1))</f>
        <v/>
      </c>
      <c r="AD136" s="29" t="str">
        <f>IF(OR($B136="",$A136&lt;=27),"",--MID('Key Analysis'!$C132,$A136-27,1))</f>
        <v/>
      </c>
      <c r="AE136" s="29" t="str">
        <f>IF(OR($B136="",$A136&lt;=28),"",--MID('Key Analysis'!$C132,$A136-28,1))</f>
        <v/>
      </c>
      <c r="AF136" s="29" t="str">
        <f>IF(OR($B136="",$A136&lt;=29),"",--MID('Key Analysis'!$C132,$A136-29,1))</f>
        <v/>
      </c>
      <c r="AG136" s="29" t="str">
        <f>IF(OR($B136="",$A136&lt;=30),"",--MID('Key Analysis'!$C132,$A136-30,1))</f>
        <v/>
      </c>
      <c r="AH136" s="29" t="str">
        <f>IF(OR($B136="",$A136&lt;=31),"",--MID('Key Analysis'!$C132,$A136-31,1))</f>
        <v/>
      </c>
      <c r="AI136" s="29" t="str">
        <f>IF(OR($B136="",$A136&lt;=32),"",--MID('Key Analysis'!$C132,$A136-32,1))</f>
        <v/>
      </c>
      <c r="AJ136" s="29" t="str">
        <f>IF(OR($B136="",$A136&lt;=33),"",--MID('Key Analysis'!$C132,$A136-33,1))</f>
        <v/>
      </c>
      <c r="AK136" s="29" t="str">
        <f>IF(OR($B136="",$A136&lt;=34),"",--MID('Key Analysis'!$C132,$A136-34,1))</f>
        <v/>
      </c>
      <c r="AL136" s="29" t="str">
        <f>IF(OR($B136="",$A136&lt;=35),"",--MID('Key Analysis'!$C132,$A136-35,1))</f>
        <v/>
      </c>
      <c r="AM136" s="29" t="str">
        <f>IF(OR($B136="",$A136&lt;=36),"",--MID('Key Analysis'!$C132,$A136-36,1))</f>
        <v/>
      </c>
      <c r="AN136" s="29" t="str">
        <f>IF(OR($B136="",$A136&lt;=37),"",--MID('Key Analysis'!$C132,$A136-37,1))</f>
        <v/>
      </c>
      <c r="AO136" s="29" t="str">
        <f>IF(OR($B136="",$A136&lt;=38),"",--MID('Key Analysis'!$C132,$A136-38,1))</f>
        <v/>
      </c>
      <c r="AP136" s="29" t="str">
        <f>IF(OR($B136="",$A136&lt;=39),"",--MID('Key Analysis'!$C132,$A136-39,1))</f>
        <v/>
      </c>
      <c r="AQ136" s="29" t="str">
        <f>IF(OR($B136="",$A136&lt;=40),"",--MID('Key Analysis'!$C132,$A136-40,1))</f>
        <v/>
      </c>
      <c r="AR136" s="29" t="str">
        <f>IF(OR($B136="",$A136&lt;=41),"",--MID('Key Analysis'!$C132,$A136-41,1))</f>
        <v/>
      </c>
      <c r="AS136" s="29" t="str">
        <f>IF(OR($B136="",$A136&lt;=42),"",--MID('Key Analysis'!$C132,$A136-42,1))</f>
        <v/>
      </c>
      <c r="AT136" s="29" t="str">
        <f>IF(OR($B136="",$A136&lt;=43),"",--MID('Key Analysis'!$C132,$A136-43,1))</f>
        <v/>
      </c>
      <c r="AU136" s="29" t="str">
        <f>IF(OR($B136="",$A136&lt;=44),"",--MID('Key Analysis'!$C132,$A136-44,1))</f>
        <v/>
      </c>
      <c r="AV136" s="29" t="str">
        <f>IF(OR($B136="",$A136&lt;=45),"",--MID('Key Analysis'!$C132,$A136-45,1))</f>
        <v/>
      </c>
      <c r="AW136" s="29" t="str">
        <f>IF(OR($B136="",$A136&lt;=46),"",--MID('Key Analysis'!$C132,$A136-46,1))</f>
        <v/>
      </c>
      <c r="AX136" s="29" t="str">
        <f>IF(OR($B136="",$A136&lt;=47),"",--MID('Key Analysis'!$C132,$A136-47,1))</f>
        <v/>
      </c>
      <c r="AY136" s="29" t="str">
        <f>IF(OR($B136="",$A136&lt;=48),"",--MID('Key Analysis'!$C132,$A136-48,1))</f>
        <v/>
      </c>
      <c r="AZ136" s="29" t="str">
        <f>IF(OR($B136="",$A136&lt;=49),"",--MID('Key Analysis'!$C132,$A136-49,1))</f>
        <v/>
      </c>
      <c r="BA136" s="29" t="str">
        <f>IF(OR($B136="",$A136&lt;=50),"",--MID('Key Analysis'!$C132,$A136-50,1))</f>
        <v/>
      </c>
      <c r="BB136" s="29" t="str">
        <f>IF(OR($B136="",$A136&lt;=51),"",--MID('Key Analysis'!$C132,$A136-51,1))</f>
        <v/>
      </c>
      <c r="BC136" s="29" t="str">
        <f>IF(OR($B136="",$A136&lt;=52),"",--MID('Key Analysis'!$C132,$A136-52,1))</f>
        <v/>
      </c>
      <c r="BD136" s="29" t="str">
        <f>IF(OR($B136="",$A136&lt;=53),"",--MID('Key Analysis'!$C132,$A136-53,1))</f>
        <v/>
      </c>
      <c r="BE136" s="29" t="str">
        <f>IF(OR($B136="",$A136&lt;=54),"",--MID('Key Analysis'!$C132,$A136-54,1))</f>
        <v/>
      </c>
      <c r="BF136" s="29" t="str">
        <f>IF(OR($B136="",$A136&lt;=55),"",--MID('Key Analysis'!$C132,$A136-55,1))</f>
        <v/>
      </c>
      <c r="BG136" s="29" t="str">
        <f>IF(OR($B136="",$A136&lt;=56),"",--MID('Key Analysis'!$C132,$A136-56,1))</f>
        <v/>
      </c>
      <c r="BH136" s="29" t="str">
        <f>IF(OR($B136="",$A136&lt;=57),"",--MID('Key Analysis'!$C132,$A136-57,1))</f>
        <v/>
      </c>
      <c r="BI136" s="29" t="str">
        <f>IF(OR($B136="",$A136&lt;=58),"",--MID('Key Analysis'!$C132,$A136-58,1))</f>
        <v/>
      </c>
      <c r="BJ136" s="29" t="str">
        <f>IF(OR($B136="",$A136&lt;=59),"",--MID('Key Analysis'!$C132,$A136-59,1))</f>
        <v/>
      </c>
      <c r="BK136" s="29" t="str">
        <f>IF(OR($B136="",$A136&lt;=60),"",--MID('Key Analysis'!$C132,$A136-60,1))</f>
        <v/>
      </c>
      <c r="BL136" s="29" t="str">
        <f>IF(OR($B136="",$A136&lt;=61),"",--MID('Key Analysis'!$C132,$A136-61,1))</f>
        <v/>
      </c>
      <c r="BM136" s="29" t="str">
        <f>IF(OR($B136="",$A136&lt;=62),"",--MID('Key Analysis'!$C132,$A136-62,1))</f>
        <v/>
      </c>
      <c r="BN136" s="29" t="str">
        <f>IF(OR($B136="",$A136&lt;=63),"",--MID('Key Analysis'!$C132,$A136-63,1))</f>
        <v/>
      </c>
      <c r="BO136" s="29" t="str">
        <f>IF(OR($B136="",$A136&lt;=64),"",--MID('Key Analysis'!$C132,$A136-64,1))</f>
        <v/>
      </c>
      <c r="BP136" s="29" t="str">
        <f>IF(OR($B136="",$A136&lt;=65),"",--MID('Key Analysis'!$C132,$A136-65,1))</f>
        <v/>
      </c>
      <c r="BQ136" s="29" t="str">
        <f>IF(OR($B136="",$A136&lt;=66),"",--MID('Key Analysis'!$C132,$A136-66,1))</f>
        <v/>
      </c>
      <c r="BR136" s="29" t="str">
        <f>IF(OR($B136="",$A136&lt;=67),"",--MID('Key Analysis'!$C132,$A136-67,1))</f>
        <v/>
      </c>
      <c r="BS136" s="29" t="str">
        <f>IF(OR($B136="",$A136&lt;=68),"",--MID('Key Analysis'!$C132,$A136-68,1))</f>
        <v/>
      </c>
      <c r="BT136" s="29" t="str">
        <f>IF(OR($B136="",$A136&lt;=69),"",--MID('Key Analysis'!$C132,$A136-69,1))</f>
        <v/>
      </c>
      <c r="BU136" s="29" t="str">
        <f>IF(OR($B136="",$A136&lt;=70),"",--MID('Key Analysis'!$C132,$A136-70,1))</f>
        <v/>
      </c>
      <c r="BV136" s="29" t="str">
        <f>IF(OR($B136="",$A136&lt;=71),"",--MID('Key Analysis'!$C132,$A136-71,1))</f>
        <v/>
      </c>
      <c r="BW136" s="29" t="str">
        <f>IF(OR($B136="",$A136&lt;=72),"",--MID('Key Analysis'!$C132,$A136-72,1))</f>
        <v/>
      </c>
      <c r="BX136" s="29" t="str">
        <f>IF(OR($B136="",$A136&lt;=73),"",--MID('Key Analysis'!$C132,$A136-73,1))</f>
        <v/>
      </c>
      <c r="BY136" s="29" t="str">
        <f>IF(OR($B136="",$A136&lt;=74),"",--MID('Key Analysis'!$C132,$A136-74,1))</f>
        <v/>
      </c>
      <c r="BZ136" s="29" t="str">
        <f>IF(OR($B136="",$A136&lt;=75),"",--MID('Key Analysis'!$C132,$A136-75,1))</f>
        <v/>
      </c>
      <c r="CA136" s="29" t="str">
        <f>IF(OR($B136="",$A136&lt;=76),"",--MID('Key Analysis'!$C132,$A136-76,1))</f>
        <v/>
      </c>
      <c r="CB136" s="29" t="str">
        <f>IF(OR($B136="",$A136&lt;=77),"",--MID('Key Analysis'!$C132,$A136-77,1))</f>
        <v/>
      </c>
      <c r="CC136" s="29" t="str">
        <f>IF(OR($B136="",$A136&lt;=78),"",--MID('Key Analysis'!$C132,$A136-78,1))</f>
        <v/>
      </c>
      <c r="CD136" s="29" t="str">
        <f>IF(OR($B136="",$A136&lt;=79),"",--MID('Key Analysis'!$C132,$A136-79,1))</f>
        <v/>
      </c>
      <c r="CE136" s="29" t="str">
        <f>IF(OR($B136="",$A136&lt;=80),"",--MID('Key Analysis'!$C132,$A136-80,1))</f>
        <v/>
      </c>
      <c r="CF136" s="29" t="str">
        <f>IF(OR($B136="",$A136&lt;=81),"",--MID('Key Analysis'!$C132,$A136-81,1))</f>
        <v/>
      </c>
      <c r="CG136" s="29" t="str">
        <f>IF(OR($B136="",$A136&lt;=82),"",--MID('Key Analysis'!$C132,$A136-82,1))</f>
        <v/>
      </c>
      <c r="CH136" s="29" t="str">
        <f>IF(OR($B136="",$A136&lt;=83),"",--MID('Key Analysis'!$C132,$A136-83,1))</f>
        <v/>
      </c>
      <c r="CI136" s="29" t="str">
        <f>IF(OR($B136="",$A136&lt;=84),"",--MID('Key Analysis'!$C132,$A136-84,1))</f>
        <v/>
      </c>
      <c r="CJ136" s="29" t="str">
        <f>IF(OR($B136="",$A136&lt;=85),"",--MID('Key Analysis'!$C132,$A136-85,1))</f>
        <v/>
      </c>
      <c r="CK136" s="29" t="str">
        <f>IF(OR($B136="",$A136&lt;=86),"",--MID('Key Analysis'!$C132,$A136-86,1))</f>
        <v/>
      </c>
      <c r="CL136" s="29" t="str">
        <f>IF(OR($B136="",$A136&lt;=87),"",--MID('Key Analysis'!$C132,$A136-87,1))</f>
        <v/>
      </c>
      <c r="CM136" s="29" t="str">
        <f>IF(OR($B136="",$A136&lt;=88),"",--MID('Key Analysis'!$C132,$A136-88,1))</f>
        <v/>
      </c>
      <c r="CN136" s="29" t="str">
        <f>IF(OR($B136="",$A136&lt;=89),"",--MID('Key Analysis'!$C132,$A136-89,1))</f>
        <v/>
      </c>
      <c r="CO136" s="29" t="str">
        <f>IF(OR($B136="",$A136&lt;=90),"",--MID('Key Analysis'!$C132,$A136-90,1))</f>
        <v/>
      </c>
      <c r="CP136" s="29" t="str">
        <f>IF(OR($B136="",$A136&lt;=91),"",--MID('Key Analysis'!$C132,$A136-91,1))</f>
        <v/>
      </c>
      <c r="CQ136" s="29" t="str">
        <f>IF(OR($B136="",$A136&lt;=92),"",--MID('Key Analysis'!$C132,$A136-92,1))</f>
        <v/>
      </c>
      <c r="CR136" s="29" t="str">
        <f>IF(OR($B136="",$A136&lt;=93),"",--MID('Key Analysis'!$C132,$A136-93,1))</f>
        <v/>
      </c>
      <c r="CS136" s="29" t="str">
        <f>IF(OR($B136="",$A136&lt;=94),"",--MID('Key Analysis'!$C132,$A136-94,1))</f>
        <v/>
      </c>
      <c r="CT136" s="29" t="str">
        <f>IF(OR($B136="",$A136&lt;=95),"",--MID('Key Analysis'!$C132,$A136-95,1))</f>
        <v/>
      </c>
      <c r="CU136" s="29" t="str">
        <f>IF(OR($B136="",$A136&lt;=96),"",--MID('Key Analysis'!$C132,$A136-96,1))</f>
        <v/>
      </c>
      <c r="CV136" s="29" t="str">
        <f>IF(OR($B136="",$A136&lt;=97),"",--MID('Key Analysis'!$C132,$A136-97,1))</f>
        <v/>
      </c>
      <c r="CW136" s="29" t="str">
        <f>IF(OR($B136="",$A136&lt;=98),"",--MID('Key Analysis'!$C132,$A136-98,1))</f>
        <v/>
      </c>
      <c r="CX136" s="29" t="str">
        <f>IF(OR($B136="",$A136&lt;=99),"",--MID('Key Analysis'!$C132,$A136-99,1))</f>
        <v/>
      </c>
      <c r="CY136" s="29" t="str">
        <f>IF(OR($B136="",$A136&lt;=100),"",--MID('Key Analysis'!$C132,$A136-100,1))</f>
        <v/>
      </c>
      <c r="CZ136" s="29" t="str">
        <f>IF(OR($B136="",$A136&lt;=101),"",--MID('Key Analysis'!$C132,$A136-101,1))</f>
        <v/>
      </c>
      <c r="DA136" s="29" t="str">
        <f>IF(OR($B136="",$A136&lt;=102),"",--MID('Key Analysis'!$C132,$A136-102,1))</f>
        <v/>
      </c>
      <c r="DB136" s="29" t="str">
        <f>IF(OR($B136="",$A136&lt;=103),"",--MID('Key Analysis'!$C132,$A136-103,1))</f>
        <v/>
      </c>
      <c r="DC136" s="29" t="str">
        <f>IF(OR($B136="",$A136&lt;=104),"",--MID('Key Analysis'!$C132,$A136-104,1))</f>
        <v/>
      </c>
      <c r="DD136" s="29" t="str">
        <f>IF(OR($B136="",$A136&lt;=105),"",--MID('Key Analysis'!$C132,$A136-105,1))</f>
        <v/>
      </c>
      <c r="DE136" s="29" t="str">
        <f>IF(OR($B136="",$A136&lt;=106),"",--MID('Key Analysis'!$C132,$A136-106,1))</f>
        <v/>
      </c>
      <c r="DF136" s="29" t="str">
        <f>IF(OR($B136="",$A136&lt;=107),"",--MID('Key Analysis'!$C132,$A136-107,1))</f>
        <v/>
      </c>
      <c r="DG136" s="29" t="str">
        <f>IF(OR($B136="",$A136&lt;=108),"",--MID('Key Analysis'!$C132,$A136-108,1))</f>
        <v/>
      </c>
      <c r="DH136" s="29" t="str">
        <f>IF(OR($B136="",$A136&lt;=109),"",--MID('Key Analysis'!$C132,$A136-109,1))</f>
        <v/>
      </c>
      <c r="DI136" s="29" t="str">
        <f>IF(OR($B136="",$A136&lt;=110),"",--MID('Key Analysis'!$C132,$A136-110,1))</f>
        <v/>
      </c>
      <c r="DJ136" s="29" t="str">
        <f>IF(OR($B136="",$A136&lt;=111),"",--MID('Key Analysis'!$C132,$A136-111,1))</f>
        <v/>
      </c>
      <c r="DK136" s="29" t="str">
        <f>IF(OR($B136="",$A136&lt;=112),"",--MID('Key Analysis'!$C132,$A136-112,1))</f>
        <v/>
      </c>
      <c r="DL136" s="29" t="str">
        <f>IF(OR($B136="",$A136&lt;=113),"",--MID('Key Analysis'!$C132,$A136-113,1))</f>
        <v/>
      </c>
      <c r="DM136" s="29" t="str">
        <f>IF(OR($B136="",$A136&lt;=114),"",--MID('Key Analysis'!$C132,$A136-114,1))</f>
        <v/>
      </c>
      <c r="DN136" s="29" t="str">
        <f>IF(OR($B136="",$A136&lt;=115),"",--MID('Key Analysis'!$C132,$A136-115,1))</f>
        <v/>
      </c>
      <c r="DO136" s="29" t="str">
        <f>IF(OR($B136="",$A136&lt;=116),"",--MID('Key Analysis'!$C132,$A136-116,1))</f>
        <v/>
      </c>
      <c r="DP136" s="29" t="str">
        <f>IF(OR($B136="",$A136&lt;=117),"",--MID('Key Analysis'!$C132,$A136-117,1))</f>
        <v/>
      </c>
      <c r="DQ136" s="29" t="str">
        <f>IF(OR($B136="",$A136&lt;=118),"",--MID('Key Analysis'!$C132,$A136-118,1))</f>
        <v/>
      </c>
      <c r="DR136" s="29" t="str">
        <f>IF(OR($B136="",$A136&lt;=119),"",--MID('Key Analysis'!$C132,$A136-119,1))</f>
        <v/>
      </c>
      <c r="DS136" s="29" t="str">
        <f>IF(OR($B136="",$A136&lt;=120),"",--MID('Key Analysis'!$C132,$A136-120,1))</f>
        <v/>
      </c>
      <c r="DT136" s="29" t="str">
        <f>IF(OR($B136="",$A136&lt;=121),"",--MID('Key Analysis'!$C132,$A136-121,1))</f>
        <v/>
      </c>
      <c r="DU136" s="29" t="str">
        <f>IF(OR($B136="",$A136&lt;=122),"",--MID('Key Analysis'!$C132,$A136-122,1))</f>
        <v/>
      </c>
      <c r="DV136" s="29" t="str">
        <f>IF(OR($B136="",$A136&lt;=123),"",--MID('Key Analysis'!$C132,$A136-123,1))</f>
        <v/>
      </c>
      <c r="DW136" s="29" t="str">
        <f>IF(OR($B136="",$A136&lt;=124),"",--MID('Key Analysis'!$C132,$A136-124,1))</f>
        <v/>
      </c>
      <c r="DX136" s="29" t="str">
        <f>IF(OR($B136="",$A136&lt;=125),"",--MID('Key Analysis'!$C132,$A136-125,1))</f>
        <v/>
      </c>
      <c r="DY136" s="29" t="str">
        <f>IF(OR($B136="",$A136&lt;=126),"",--MID('Key Analysis'!$C132,$A136-126,1))</f>
        <v/>
      </c>
      <c r="DZ136" s="29" t="str">
        <f>IF(OR($B136="",$A136&lt;=127),"",--MID('Key Analysis'!$C132,$A136-127,1))</f>
        <v/>
      </c>
      <c r="EA136" s="29" t="str">
        <f>IF(OR($B136="",$A136&lt;=128),"",--MID('Key Analysis'!$C132,$A136-128,1))</f>
        <v/>
      </c>
      <c r="EB136" s="29" t="str">
        <f>IF(OR($B136="",$A136&lt;=129),"",--MID('Key Analysis'!$C132,$A136-129,1))</f>
        <v/>
      </c>
      <c r="EC136" s="29" t="str">
        <f>IF(OR($B136="",$A136&lt;=130),"",--MID('Key Analysis'!$C132,$A136-130,1))</f>
        <v/>
      </c>
      <c r="ED136" s="29" t="str">
        <f>IF(OR($B136="",$A136&lt;=131),"",--MID('Key Analysis'!$C132,$A136-131,1))</f>
        <v/>
      </c>
      <c r="EE136" s="29" t="str">
        <f>IF(OR($B136="",$A136&lt;=132),"",--MID('Key Analysis'!$C132,$A136-132,1))</f>
        <v/>
      </c>
      <c r="EF136" s="29" t="str">
        <f>IF(OR($B136="",$A136&lt;=133),"",--MID('Key Analysis'!$C132,$A136-133,1))</f>
        <v/>
      </c>
      <c r="EG136" s="29" t="str">
        <f>IF(OR($B136="",$A136&lt;=134),"",--MID('Key Analysis'!$C132,$A136-134,1))</f>
        <v/>
      </c>
      <c r="EH136" s="29"/>
      <c r="EI136" s="29" t="str">
        <f>IF(OR($B136="",$A136&lt;1),"",--MID('Key Analysis'!$C132,1,1))</f>
        <v/>
      </c>
      <c r="EJ136" s="29" t="str">
        <f>IF(OR($B136="",$A136&lt;2),"",--MID('Key Analysis'!$C132,2,1))</f>
        <v/>
      </c>
      <c r="EK136" s="29" t="str">
        <f>IF(OR($B136="",$A136&lt;3),"",--MID('Key Analysis'!$C132,3,1))</f>
        <v/>
      </c>
      <c r="EL136" s="29" t="str">
        <f>IF(OR($B136="",$A136&lt;4),"",--MID('Key Analysis'!$C132,4,1))</f>
        <v/>
      </c>
      <c r="EM136" s="29" t="str">
        <f>IF(OR($B136="",$A136&lt;5),"",--MID('Key Analysis'!$C132,5,1))</f>
        <v/>
      </c>
      <c r="EN136" s="29" t="str">
        <f>IF(OR($B136="",$A136&lt;6),"",--MID('Key Analysis'!$C132,6,1))</f>
        <v/>
      </c>
      <c r="EO136" s="29" t="str">
        <f>IF(OR($B136="",$A136&lt;7),"",--MID('Key Analysis'!$C132,7,1))</f>
        <v/>
      </c>
      <c r="EP136" s="29" t="str">
        <f>IF(OR($B136="",$A136&lt;8),"",--MID('Key Analysis'!$C132,8,1))</f>
        <v/>
      </c>
      <c r="EQ136" s="29" t="str">
        <f>IF(OR($B136="",$A136&lt;9),"",--MID('Key Analysis'!$C132,9,1))</f>
        <v/>
      </c>
      <c r="ER136" s="29" t="str">
        <f>IF(OR($B136="",$A136&lt;10),"",--MID('Key Analysis'!$C132,10,1))</f>
        <v/>
      </c>
      <c r="ES136" s="29" t="str">
        <f>IF(OR($B136="",$A136&lt;11),"",--MID('Key Analysis'!$C132,11,1))</f>
        <v/>
      </c>
      <c r="ET136" s="29" t="str">
        <f>IF(OR($B136="",$A136&lt;12),"",--MID('Key Analysis'!$C132,12,1))</f>
        <v/>
      </c>
      <c r="EU136" s="29" t="str">
        <f>IF(OR($B136="",$A136&lt;13),"",--MID('Key Analysis'!$C132,13,1))</f>
        <v/>
      </c>
      <c r="EV136" s="29" t="str">
        <f>IF(OR($B136="",$A136&lt;14),"",--MID('Key Analysis'!$C132,14,1))</f>
        <v/>
      </c>
      <c r="EW136" s="29" t="str">
        <f>IF(OR($B136="",$A136&lt;15),"",--MID('Key Analysis'!$C132,15,1))</f>
        <v/>
      </c>
      <c r="EX136" s="29" t="str">
        <f>IF(OR($B136="",$A136&lt;16),"",--MID('Key Analysis'!$C132,16,1))</f>
        <v/>
      </c>
      <c r="EY136" s="29" t="str">
        <f>IF(OR($B136="",$A136&lt;17),"",--MID('Key Analysis'!$C132,17,1))</f>
        <v/>
      </c>
      <c r="EZ136" s="29" t="str">
        <f>IF(OR($B136="",$A136&lt;18),"",--MID('Key Analysis'!$C132,18,1))</f>
        <v/>
      </c>
      <c r="FA136" s="29" t="str">
        <f>IF(OR($B136="",$A136&lt;19),"",--MID('Key Analysis'!$C132,19,1))</f>
        <v/>
      </c>
      <c r="FB136" s="29" t="str">
        <f>IF(OR($B136="",$A136&lt;20),"",--MID('Key Analysis'!$C132,20,1))</f>
        <v/>
      </c>
      <c r="FC136" s="29" t="str">
        <f>IF(OR($B136="",$A136&lt;21),"",--MID('Key Analysis'!$C132,21,1))</f>
        <v/>
      </c>
      <c r="FD136" s="29" t="str">
        <f>IF(OR($B136="",$A136&lt;22),"",--MID('Key Analysis'!$C132,22,1))</f>
        <v/>
      </c>
      <c r="FE136" s="29" t="str">
        <f>IF(OR($B136="",$A136&lt;23),"",--MID('Key Analysis'!$C132,23,1))</f>
        <v/>
      </c>
      <c r="FF136" s="29" t="str">
        <f>IF(OR($B136="",$A136&lt;24),"",--MID('Key Analysis'!$C132,24,1))</f>
        <v/>
      </c>
      <c r="FG136" s="29" t="str">
        <f>IF(OR($B136="",$A136&lt;25),"",--MID('Key Analysis'!$C132,25,1))</f>
        <v/>
      </c>
      <c r="FH136" s="29" t="str">
        <f>IF(OR($B136="",$A136&lt;26),"",--MID('Key Analysis'!$C132,26,1))</f>
        <v/>
      </c>
      <c r="FI136" s="29" t="str">
        <f>IF(OR($B136="",$A136&lt;27),"",--MID('Key Analysis'!$C132,27,1))</f>
        <v/>
      </c>
      <c r="FJ136" s="29" t="str">
        <f>IF(OR($B136="",$A136&lt;28),"",--MID('Key Analysis'!$C132,28,1))</f>
        <v/>
      </c>
      <c r="FK136" s="29" t="str">
        <f>IF(OR($B136="",$A136&lt;29),"",--MID('Key Analysis'!$C132,29,1))</f>
        <v/>
      </c>
      <c r="FL136" s="29" t="str">
        <f>IF(OR($B136="",$A136&lt;30),"",--MID('Key Analysis'!$C132,30,1))</f>
        <v/>
      </c>
      <c r="FM136" s="29" t="str">
        <f>IF(OR($B136="",$A136&lt;31),"",--MID('Key Analysis'!$C132,31,1))</f>
        <v/>
      </c>
      <c r="FN136" s="29" t="str">
        <f>IF(OR($B136="",$A136&lt;32),"",--MID('Key Analysis'!$C132,32,1))</f>
        <v/>
      </c>
      <c r="FO136" s="29" t="str">
        <f>IF(OR($B136="",$A136&lt;33),"",--MID('Key Analysis'!$C132,33,1))</f>
        <v/>
      </c>
      <c r="FP136" s="29" t="str">
        <f>IF(OR($B136="",$A136&lt;34),"",--MID('Key Analysis'!$C132,34,1))</f>
        <v/>
      </c>
      <c r="FQ136" s="29" t="str">
        <f>IF(OR($B136="",$A136&lt;35),"",--MID('Key Analysis'!$C132,35,1))</f>
        <v/>
      </c>
      <c r="FR136" s="29" t="str">
        <f>IF(OR($B136="",$A136&lt;36),"",--MID('Key Analysis'!$C132,36,1))</f>
        <v/>
      </c>
      <c r="FS136" s="29" t="str">
        <f>IF(OR($B136="",$A136&lt;37),"",--MID('Key Analysis'!$C132,37,1))</f>
        <v/>
      </c>
      <c r="FT136" s="29" t="str">
        <f>IF(OR($B136="",$A136&lt;38),"",--MID('Key Analysis'!$C132,38,1))</f>
        <v/>
      </c>
      <c r="FU136" s="29" t="str">
        <f>IF(OR($B136="",$A136&lt;39),"",--MID('Key Analysis'!$C132,39,1))</f>
        <v/>
      </c>
      <c r="FV136" s="29" t="str">
        <f>IF(OR($B136="",$A136&lt;40),"",--MID('Key Analysis'!$C132,40,1))</f>
        <v/>
      </c>
      <c r="FW136" s="29" t="str">
        <f>IF(OR($B136="",$A136&lt;41),"",--MID('Key Analysis'!$C132,41,1))</f>
        <v/>
      </c>
      <c r="FX136" s="29" t="str">
        <f>IF(OR($B136="",$A136&lt;42),"",--MID('Key Analysis'!$C132,42,1))</f>
        <v/>
      </c>
      <c r="FY136" s="29" t="str">
        <f>IF(OR($B136="",$A136&lt;43),"",--MID('Key Analysis'!$C132,43,1))</f>
        <v/>
      </c>
      <c r="FZ136" s="29" t="str">
        <f>IF(OR($B136="",$A136&lt;44),"",--MID('Key Analysis'!$C132,44,1))</f>
        <v/>
      </c>
      <c r="GA136" s="29" t="str">
        <f>IF(OR($B136="",$A136&lt;45),"",--MID('Key Analysis'!$C132,45,1))</f>
        <v/>
      </c>
      <c r="GB136" s="29" t="str">
        <f>IF(OR($B136="",$A136&lt;46),"",--MID('Key Analysis'!$C132,46,1))</f>
        <v/>
      </c>
      <c r="GC136" s="29" t="str">
        <f>IF(OR($B136="",$A136&lt;47),"",--MID('Key Analysis'!$C132,47,1))</f>
        <v/>
      </c>
      <c r="GD136" s="29" t="str">
        <f>IF(OR($B136="",$A136&lt;48),"",--MID('Key Analysis'!$C132,48,1))</f>
        <v/>
      </c>
      <c r="GE136" s="29" t="str">
        <f>IF(OR($B136="",$A136&lt;49),"",--MID('Key Analysis'!$C132,49,1))</f>
        <v/>
      </c>
      <c r="GF136" s="29" t="str">
        <f>IF(OR($B136="",$A136&lt;50),"",--MID('Key Analysis'!$C132,50,1))</f>
        <v/>
      </c>
      <c r="GG136" s="29" t="str">
        <f>IF(OR($B136="",$A136&lt;51),"",--MID('Key Analysis'!$C132,51,1))</f>
        <v/>
      </c>
      <c r="GH136" s="29" t="str">
        <f>IF(OR($B136="",$A136&lt;52),"",--MID('Key Analysis'!$C132,52,1))</f>
        <v/>
      </c>
      <c r="GI136" s="29" t="str">
        <f>IF(OR($B136="",$A136&lt;53),"",--MID('Key Analysis'!$C132,53,1))</f>
        <v/>
      </c>
      <c r="GJ136" s="29" t="str">
        <f>IF(OR($B136="",$A136&lt;54),"",--MID('Key Analysis'!$C132,54,1))</f>
        <v/>
      </c>
      <c r="GK136" s="29" t="str">
        <f>IF(OR($B136="",$A136&lt;55),"",--MID('Key Analysis'!$C132,55,1))</f>
        <v/>
      </c>
      <c r="GL136" s="29" t="str">
        <f>IF(OR($B136="",$A136&lt;56),"",--MID('Key Analysis'!$C132,56,1))</f>
        <v/>
      </c>
      <c r="GM136" s="29" t="str">
        <f>IF(OR($B136="",$A136&lt;57),"",--MID('Key Analysis'!$C132,57,1))</f>
        <v/>
      </c>
      <c r="GN136" s="29" t="str">
        <f>IF(OR($B136="",$A136&lt;58),"",--MID('Key Analysis'!$C132,58,1))</f>
        <v/>
      </c>
      <c r="GO136" s="29" t="str">
        <f>IF(OR($B136="",$A136&lt;59),"",--MID('Key Analysis'!$C132,59,1))</f>
        <v/>
      </c>
      <c r="GP136" s="29" t="str">
        <f>IF(OR($B136="",$A136&lt;60),"",--MID('Key Analysis'!$C132,60,1))</f>
        <v/>
      </c>
      <c r="GQ136" s="29" t="str">
        <f>IF(OR($B136="",$A136&lt;61),"",--MID('Key Analysis'!$C132,61,1))</f>
        <v/>
      </c>
      <c r="GR136" s="29" t="str">
        <f>IF(OR($B136="",$A136&lt;62),"",--MID('Key Analysis'!$C132,62,1))</f>
        <v/>
      </c>
      <c r="GS136" s="29" t="str">
        <f>IF(OR($B136="",$A136&lt;63),"",--MID('Key Analysis'!$C132,63,1))</f>
        <v/>
      </c>
      <c r="GT136" s="29" t="str">
        <f>IF(OR($B136="",$A136&lt;64),"",--MID('Key Analysis'!$C132,64,1))</f>
        <v/>
      </c>
      <c r="GU136" s="29" t="str">
        <f>IF(OR($B136="",$A136&lt;65),"",--MID('Key Analysis'!$C132,65,1))</f>
        <v/>
      </c>
      <c r="GV136" s="29" t="str">
        <f>IF(OR($B136="",$A136&lt;66),"",--MID('Key Analysis'!$C132,66,1))</f>
        <v/>
      </c>
      <c r="GW136" s="29" t="str">
        <f>IF(OR($B136="",$A136&lt;67),"",--MID('Key Analysis'!$C132,67,1))</f>
        <v/>
      </c>
      <c r="GX136" s="29" t="str">
        <f>IF(OR($B136="",$A136&lt;68),"",--MID('Key Analysis'!$C132,68,1))</f>
        <v/>
      </c>
      <c r="GY136" s="29" t="str">
        <f>IF(OR($B136="",$A136&lt;69),"",--MID('Key Analysis'!$C132,69,1))</f>
        <v/>
      </c>
      <c r="GZ136" s="29" t="str">
        <f>IF(OR($B136="",$A136&lt;70),"",--MID('Key Analysis'!$C132,70,1))</f>
        <v/>
      </c>
      <c r="HA136" s="29" t="str">
        <f>IF(OR($B136="",$A136&lt;71),"",--MID('Key Analysis'!$C132,71,1))</f>
        <v/>
      </c>
      <c r="HB136" s="29" t="str">
        <f>IF(OR($B136="",$A136&lt;72),"",--MID('Key Analysis'!$C132,72,1))</f>
        <v/>
      </c>
      <c r="HC136" s="29" t="str">
        <f>IF(OR($B136="",$A136&lt;73),"",--MID('Key Analysis'!$C132,73,1))</f>
        <v/>
      </c>
      <c r="HD136" s="29" t="str">
        <f>IF(OR($B136="",$A136&lt;74),"",--MID('Key Analysis'!$C132,74,1))</f>
        <v/>
      </c>
      <c r="HE136" s="29" t="str">
        <f>IF(OR($B136="",$A136&lt;75),"",--MID('Key Analysis'!$C132,75,1))</f>
        <v/>
      </c>
      <c r="HF136" s="29" t="str">
        <f>IF(OR($B136="",$A136&lt;76),"",--MID('Key Analysis'!$C132,76,1))</f>
        <v/>
      </c>
      <c r="HG136" s="29" t="str">
        <f>IF(OR($B136="",$A136&lt;77),"",--MID('Key Analysis'!$C132,77,1))</f>
        <v/>
      </c>
      <c r="HH136" s="29" t="str">
        <f>IF(OR($B136="",$A136&lt;78),"",--MID('Key Analysis'!$C132,78,1))</f>
        <v/>
      </c>
      <c r="HI136" s="29" t="str">
        <f>IF(OR($B136="",$A136&lt;79),"",--MID('Key Analysis'!$C132,79,1))</f>
        <v/>
      </c>
      <c r="HJ136" s="29" t="str">
        <f>IF(OR($B136="",$A136&lt;80),"",--MID('Key Analysis'!$C132,80,1))</f>
        <v/>
      </c>
      <c r="HK136" s="29" t="str">
        <f>IF(OR($B136="",$A136&lt;81),"",--MID('Key Analysis'!$C132,81,1))</f>
        <v/>
      </c>
      <c r="HL136" s="29" t="str">
        <f>IF(OR($B136="",$A136&lt;82),"",--MID('Key Analysis'!$C132,82,1))</f>
        <v/>
      </c>
      <c r="HM136" s="29" t="str">
        <f>IF(OR($B136="",$A136&lt;83),"",--MID('Key Analysis'!$C132,83,1))</f>
        <v/>
      </c>
      <c r="HN136" s="29" t="str">
        <f>IF(OR($B136="",$A136&lt;84),"",--MID('Key Analysis'!$C132,84,1))</f>
        <v/>
      </c>
      <c r="HO136" s="29" t="str">
        <f>IF(OR($B136="",$A136&lt;85),"",--MID('Key Analysis'!$C132,85,1))</f>
        <v/>
      </c>
      <c r="HP136" s="29" t="str">
        <f>IF(OR($B136="",$A136&lt;86),"",--MID('Key Analysis'!$C132,86,1))</f>
        <v/>
      </c>
      <c r="HQ136" s="29" t="str">
        <f>IF(OR($B136="",$A136&lt;87),"",--MID('Key Analysis'!$C132,87,1))</f>
        <v/>
      </c>
      <c r="HR136" s="29" t="str">
        <f>IF(OR($B136="",$A136&lt;88),"",--MID('Key Analysis'!$C132,88,1))</f>
        <v/>
      </c>
      <c r="HS136" s="29" t="str">
        <f>IF(OR($B136="",$A136&lt;89),"",--MID('Key Analysis'!$C132,89,1))</f>
        <v/>
      </c>
      <c r="HT136" s="29" t="str">
        <f>IF(OR($B136="",$A136&lt;90),"",--MID('Key Analysis'!$C132,90,1))</f>
        <v/>
      </c>
      <c r="HU136" s="29" t="str">
        <f>IF(OR($B136="",$A136&lt;91),"",--MID('Key Analysis'!$C132,91,1))</f>
        <v/>
      </c>
      <c r="HV136" s="29" t="str">
        <f>IF(OR($B136="",$A136&lt;92),"",--MID('Key Analysis'!$C132,92,1))</f>
        <v/>
      </c>
      <c r="HW136" s="29" t="str">
        <f>IF(OR($B136="",$A136&lt;93),"",--MID('Key Analysis'!$C132,93,1))</f>
        <v/>
      </c>
      <c r="HX136" s="29" t="str">
        <f>IF(OR($B136="",$A136&lt;94),"",--MID('Key Analysis'!$C132,94,1))</f>
        <v/>
      </c>
      <c r="HY136" s="29" t="str">
        <f>IF(OR($B136="",$A136&lt;95),"",--MID('Key Analysis'!$C132,95,1))</f>
        <v/>
      </c>
      <c r="HZ136" s="29" t="str">
        <f>IF(OR($B136="",$A136&lt;96),"",--MID('Key Analysis'!$C132,96,1))</f>
        <v/>
      </c>
      <c r="IA136" s="29" t="str">
        <f>IF(OR($B136="",$A136&lt;97),"",--MID('Key Analysis'!$C132,97,1))</f>
        <v/>
      </c>
      <c r="IB136" s="29" t="str">
        <f>IF(OR($B136="",$A136&lt;98),"",--MID('Key Analysis'!$C132,98,1))</f>
        <v/>
      </c>
      <c r="IC136" s="29" t="str">
        <f>IF(OR($B136="",$A136&lt;99),"",--MID('Key Analysis'!$C132,99,1))</f>
        <v/>
      </c>
      <c r="ID136" s="29" t="str">
        <f>IF(OR($B136="",$A136&lt;100),"",--MID('Key Analysis'!$C132,100,1))</f>
        <v/>
      </c>
      <c r="IE136" s="29" t="str">
        <f>IF(OR($B136="",$A136&lt;101),"",--MID('Key Analysis'!$C132,101,1))</f>
        <v/>
      </c>
      <c r="IF136" s="29" t="str">
        <f>IF(OR($B136="",$A136&lt;102),"",--MID('Key Analysis'!$C132,102,1))</f>
        <v/>
      </c>
      <c r="IG136" s="29" t="str">
        <f>IF(OR($B136="",$A136&lt;103),"",--MID('Key Analysis'!$C132,103,1))</f>
        <v/>
      </c>
      <c r="IH136" s="29" t="str">
        <f>IF(OR($B136="",$A136&lt;104),"",--MID('Key Analysis'!$C132,104,1))</f>
        <v/>
      </c>
      <c r="II136" s="29" t="str">
        <f>IF(OR($B136="",$A136&lt;105),"",--MID('Key Analysis'!$C132,105,1))</f>
        <v/>
      </c>
      <c r="IJ136" s="29" t="str">
        <f>IF(OR($B136="",$A136&lt;106),"",--MID('Key Analysis'!$C132,106,1))</f>
        <v/>
      </c>
      <c r="IK136" s="29" t="str">
        <f>IF(OR($B136="",$A136&lt;107),"",--MID('Key Analysis'!$C132,107,1))</f>
        <v/>
      </c>
      <c r="IL136" s="29" t="str">
        <f>IF(OR($B136="",$A136&lt;108),"",--MID('Key Analysis'!$C132,108,1))</f>
        <v/>
      </c>
      <c r="IM136" s="29" t="str">
        <f>IF(OR($B136="",$A136&lt;109),"",--MID('Key Analysis'!$C132,109,1))</f>
        <v/>
      </c>
      <c r="IN136" s="29" t="str">
        <f>IF(OR($B136="",$A136&lt;110),"",--MID('Key Analysis'!$C132,110,1))</f>
        <v/>
      </c>
      <c r="IO136" s="29" t="str">
        <f>IF(OR($B136="",$A136&lt;111),"",--MID('Key Analysis'!$C132,111,1))</f>
        <v/>
      </c>
      <c r="IP136" s="29" t="str">
        <f>IF(OR($B136="",$A136&lt;112),"",--MID('Key Analysis'!$C132,112,1))</f>
        <v/>
      </c>
      <c r="IQ136" s="29" t="str">
        <f>IF(OR($B136="",$A136&lt;113),"",--MID('Key Analysis'!$C132,113,1))</f>
        <v/>
      </c>
      <c r="IR136" s="29" t="str">
        <f>IF(OR($B136="",$A136&lt;114),"",--MID('Key Analysis'!$C132,114,1))</f>
        <v/>
      </c>
      <c r="IS136" s="29" t="str">
        <f>IF(OR($B136="",$A136&lt;115),"",--MID('Key Analysis'!$C132,115,1))</f>
        <v/>
      </c>
      <c r="IT136" s="29" t="str">
        <f>IF(OR($B136="",$A136&lt;116),"",--MID('Key Analysis'!$C132,116,1))</f>
        <v/>
      </c>
      <c r="IU136" s="29" t="str">
        <f>IF(OR($B136="",$A136&lt;117),"",--MID('Key Analysis'!$C132,117,1))</f>
        <v/>
      </c>
      <c r="IV136" s="29" t="str">
        <f>IF(OR($B136="",$A136&lt;118),"",--MID('Key Analysis'!$C132,118,1))</f>
        <v/>
      </c>
      <c r="IW136" s="29" t="str">
        <f>IF(OR($B136="",$A136&lt;119),"",--MID('Key Analysis'!$C132,119,1))</f>
        <v/>
      </c>
      <c r="IX136" s="29" t="str">
        <f>IF(OR($B136="",$A136&lt;120),"",--MID('Key Analysis'!$C132,120,1))</f>
        <v/>
      </c>
      <c r="IY136" s="29" t="str">
        <f>IF(OR($B136="",$A136&lt;121),"",--MID('Key Analysis'!$C132,121,1))</f>
        <v/>
      </c>
      <c r="IZ136" s="29" t="str">
        <f>IF(OR($B136="",$A136&lt;122),"",--MID('Key Analysis'!$C132,122,1))</f>
        <v/>
      </c>
      <c r="JA136" s="29" t="str">
        <f>IF(OR($B136="",$A136&lt;123),"",--MID('Key Analysis'!$C132,123,1))</f>
        <v/>
      </c>
      <c r="JB136" s="29" t="str">
        <f>IF(OR($B136="",$A136&lt;124),"",--MID('Key Analysis'!$C132,124,1))</f>
        <v/>
      </c>
      <c r="JC136" s="29" t="str">
        <f>IF(OR($B136="",$A136&lt;125),"",--MID('Key Analysis'!$C132,125,1))</f>
        <v/>
      </c>
      <c r="JD136" s="29" t="str">
        <f>IF(OR($B136="",$A136&lt;126),"",--MID('Key Analysis'!$C132,126,1))</f>
        <v/>
      </c>
      <c r="JE136" s="29" t="str">
        <f>IF(OR($B136="",$A136&lt;127),"",--MID('Key Analysis'!$C132,127,1))</f>
        <v/>
      </c>
      <c r="JF136" s="29" t="str">
        <f>IF(OR($B136="",$A136&lt;128),"",--MID('Key Analysis'!$C132,128,1))</f>
        <v/>
      </c>
      <c r="JG136" s="29" t="str">
        <f>IF(OR($B136="",$A136&lt;129),"",--MID('Key Analysis'!$C132,129,1))</f>
        <v/>
      </c>
      <c r="JH136" s="29" t="str">
        <f>IF(OR($B136="",$A136&lt;130),"",--MID('Key Analysis'!$C132,130,1))</f>
        <v/>
      </c>
      <c r="JI136" s="29" t="str">
        <f>IF(OR($B136="",$A136&lt;131),"",--MID('Key Analysis'!$C132,131,1))</f>
        <v/>
      </c>
      <c r="JJ136" s="29" t="str">
        <f>IF(OR($B136="",$A136&lt;132),"",--MID('Key Analysis'!$C132,132,1))</f>
        <v/>
      </c>
      <c r="JK136" s="29" t="str">
        <f>IF(OR($B136="",$A136&lt;133),"",--MID('Key Analysis'!$C132,133,1))</f>
        <v/>
      </c>
      <c r="JL136" s="29" t="str">
        <f>IF(OR($B136="",$A136&lt;134),"",--MID('Key Analysis'!$C132,134,1))</f>
        <v/>
      </c>
      <c r="JM136" s="29" t="str">
        <f>IF(OR($B136="",$A136&lt;135),"",--MID('Key Analysis'!$C132,135,1))</f>
        <v/>
      </c>
    </row>
    <row r="137" spans="1:273" x14ac:dyDescent="0.25">
      <c r="A137" s="21">
        <f>'Key Analysis'!A133</f>
        <v>132</v>
      </c>
      <c r="B137" s="30" t="str">
        <f>'Key Analysis'!B133</f>
        <v/>
      </c>
      <c r="C137" s="29" t="str">
        <f>IF(OR($B137="",$A137&lt;=0),"",--MID('Key Analysis'!$C133,$A137-0,1))</f>
        <v/>
      </c>
      <c r="D137" s="29" t="str">
        <f>IF(OR($B137="",$A137&lt;=1),"",--MID('Key Analysis'!$C133,$A137-1,1))</f>
        <v/>
      </c>
      <c r="E137" s="29" t="str">
        <f>IF(OR($B137="",$A137&lt;=2),"",--MID('Key Analysis'!$C133,$A137-2,1))</f>
        <v/>
      </c>
      <c r="F137" s="29" t="str">
        <f>IF(OR($B137="",$A137&lt;=3),"",--MID('Key Analysis'!$C133,$A137-3,1))</f>
        <v/>
      </c>
      <c r="G137" s="29" t="str">
        <f>IF(OR($B137="",$A137&lt;=4),"",--MID('Key Analysis'!$C133,$A137-4,1))</f>
        <v/>
      </c>
      <c r="H137" s="29" t="str">
        <f>IF(OR($B137="",$A137&lt;=5),"",--MID('Key Analysis'!$C133,$A137-5,1))</f>
        <v/>
      </c>
      <c r="I137" s="29" t="str">
        <f>IF(OR($B137="",$A137&lt;=6),"",--MID('Key Analysis'!$C133,$A137-6,1))</f>
        <v/>
      </c>
      <c r="J137" s="29" t="str">
        <f>IF(OR($B137="",$A137&lt;=7),"",--MID('Key Analysis'!$C133,$A137-7,1))</f>
        <v/>
      </c>
      <c r="K137" s="29" t="str">
        <f>IF(OR($B137="",$A137&lt;=8),"",--MID('Key Analysis'!$C133,$A137-8,1))</f>
        <v/>
      </c>
      <c r="L137" s="29" t="str">
        <f>IF(OR($B137="",$A137&lt;=9),"",--MID('Key Analysis'!$C133,$A137-9,1))</f>
        <v/>
      </c>
      <c r="M137" s="29" t="str">
        <f>IF(OR($B137="",$A137&lt;=10),"",--MID('Key Analysis'!$C133,$A137-10,1))</f>
        <v/>
      </c>
      <c r="N137" s="29" t="str">
        <f>IF(OR($B137="",$A137&lt;=11),"",--MID('Key Analysis'!$C133,$A137-11,1))</f>
        <v/>
      </c>
      <c r="O137" s="29" t="str">
        <f>IF(OR($B137="",$A137&lt;=12),"",--MID('Key Analysis'!$C133,$A137-12,1))</f>
        <v/>
      </c>
      <c r="P137" s="29" t="str">
        <f>IF(OR($B137="",$A137&lt;=13),"",--MID('Key Analysis'!$C133,$A137-13,1))</f>
        <v/>
      </c>
      <c r="Q137" s="29" t="str">
        <f>IF(OR($B137="",$A137&lt;=14),"",--MID('Key Analysis'!$C133,$A137-14,1))</f>
        <v/>
      </c>
      <c r="R137" s="29" t="str">
        <f>IF(OR($B137="",$A137&lt;=15),"",--MID('Key Analysis'!$C133,$A137-15,1))</f>
        <v/>
      </c>
      <c r="S137" s="29" t="str">
        <f>IF(OR($B137="",$A137&lt;=16),"",--MID('Key Analysis'!$C133,$A137-16,1))</f>
        <v/>
      </c>
      <c r="T137" s="29" t="str">
        <f>IF(OR($B137="",$A137&lt;=17),"",--MID('Key Analysis'!$C133,$A137-17,1))</f>
        <v/>
      </c>
      <c r="U137" s="29" t="str">
        <f>IF(OR($B137="",$A137&lt;=18),"",--MID('Key Analysis'!$C133,$A137-18,1))</f>
        <v/>
      </c>
      <c r="V137" s="29" t="str">
        <f>IF(OR($B137="",$A137&lt;=19),"",--MID('Key Analysis'!$C133,$A137-19,1))</f>
        <v/>
      </c>
      <c r="W137" s="29" t="str">
        <f>IF(OR($B137="",$A137&lt;=20),"",--MID('Key Analysis'!$C133,$A137-20,1))</f>
        <v/>
      </c>
      <c r="X137" s="29" t="str">
        <f>IF(OR($B137="",$A137&lt;=21),"",--MID('Key Analysis'!$C133,$A137-21,1))</f>
        <v/>
      </c>
      <c r="Y137" s="29" t="str">
        <f>IF(OR($B137="",$A137&lt;=22),"",--MID('Key Analysis'!$C133,$A137-22,1))</f>
        <v/>
      </c>
      <c r="Z137" s="29" t="str">
        <f>IF(OR($B137="",$A137&lt;=23),"",--MID('Key Analysis'!$C133,$A137-23,1))</f>
        <v/>
      </c>
      <c r="AA137" s="29" t="str">
        <f>IF(OR($B137="",$A137&lt;=24),"",--MID('Key Analysis'!$C133,$A137-24,1))</f>
        <v/>
      </c>
      <c r="AB137" s="29" t="str">
        <f>IF(OR($B137="",$A137&lt;=25),"",--MID('Key Analysis'!$C133,$A137-25,1))</f>
        <v/>
      </c>
      <c r="AC137" s="29" t="str">
        <f>IF(OR($B137="",$A137&lt;=26),"",--MID('Key Analysis'!$C133,$A137-26,1))</f>
        <v/>
      </c>
      <c r="AD137" s="29" t="str">
        <f>IF(OR($B137="",$A137&lt;=27),"",--MID('Key Analysis'!$C133,$A137-27,1))</f>
        <v/>
      </c>
      <c r="AE137" s="29" t="str">
        <f>IF(OR($B137="",$A137&lt;=28),"",--MID('Key Analysis'!$C133,$A137-28,1))</f>
        <v/>
      </c>
      <c r="AF137" s="29" t="str">
        <f>IF(OR($B137="",$A137&lt;=29),"",--MID('Key Analysis'!$C133,$A137-29,1))</f>
        <v/>
      </c>
      <c r="AG137" s="29" t="str">
        <f>IF(OR($B137="",$A137&lt;=30),"",--MID('Key Analysis'!$C133,$A137-30,1))</f>
        <v/>
      </c>
      <c r="AH137" s="29" t="str">
        <f>IF(OR($B137="",$A137&lt;=31),"",--MID('Key Analysis'!$C133,$A137-31,1))</f>
        <v/>
      </c>
      <c r="AI137" s="29" t="str">
        <f>IF(OR($B137="",$A137&lt;=32),"",--MID('Key Analysis'!$C133,$A137-32,1))</f>
        <v/>
      </c>
      <c r="AJ137" s="29" t="str">
        <f>IF(OR($B137="",$A137&lt;=33),"",--MID('Key Analysis'!$C133,$A137-33,1))</f>
        <v/>
      </c>
      <c r="AK137" s="29" t="str">
        <f>IF(OR($B137="",$A137&lt;=34),"",--MID('Key Analysis'!$C133,$A137-34,1))</f>
        <v/>
      </c>
      <c r="AL137" s="29" t="str">
        <f>IF(OR($B137="",$A137&lt;=35),"",--MID('Key Analysis'!$C133,$A137-35,1))</f>
        <v/>
      </c>
      <c r="AM137" s="29" t="str">
        <f>IF(OR($B137="",$A137&lt;=36),"",--MID('Key Analysis'!$C133,$A137-36,1))</f>
        <v/>
      </c>
      <c r="AN137" s="29" t="str">
        <f>IF(OR($B137="",$A137&lt;=37),"",--MID('Key Analysis'!$C133,$A137-37,1))</f>
        <v/>
      </c>
      <c r="AO137" s="29" t="str">
        <f>IF(OR($B137="",$A137&lt;=38),"",--MID('Key Analysis'!$C133,$A137-38,1))</f>
        <v/>
      </c>
      <c r="AP137" s="29" t="str">
        <f>IF(OR($B137="",$A137&lt;=39),"",--MID('Key Analysis'!$C133,$A137-39,1))</f>
        <v/>
      </c>
      <c r="AQ137" s="29" t="str">
        <f>IF(OR($B137="",$A137&lt;=40),"",--MID('Key Analysis'!$C133,$A137-40,1))</f>
        <v/>
      </c>
      <c r="AR137" s="29" t="str">
        <f>IF(OR($B137="",$A137&lt;=41),"",--MID('Key Analysis'!$C133,$A137-41,1))</f>
        <v/>
      </c>
      <c r="AS137" s="29" t="str">
        <f>IF(OR($B137="",$A137&lt;=42),"",--MID('Key Analysis'!$C133,$A137-42,1))</f>
        <v/>
      </c>
      <c r="AT137" s="29" t="str">
        <f>IF(OR($B137="",$A137&lt;=43),"",--MID('Key Analysis'!$C133,$A137-43,1))</f>
        <v/>
      </c>
      <c r="AU137" s="29" t="str">
        <f>IF(OR($B137="",$A137&lt;=44),"",--MID('Key Analysis'!$C133,$A137-44,1))</f>
        <v/>
      </c>
      <c r="AV137" s="29" t="str">
        <f>IF(OR($B137="",$A137&lt;=45),"",--MID('Key Analysis'!$C133,$A137-45,1))</f>
        <v/>
      </c>
      <c r="AW137" s="29" t="str">
        <f>IF(OR($B137="",$A137&lt;=46),"",--MID('Key Analysis'!$C133,$A137-46,1))</f>
        <v/>
      </c>
      <c r="AX137" s="29" t="str">
        <f>IF(OR($B137="",$A137&lt;=47),"",--MID('Key Analysis'!$C133,$A137-47,1))</f>
        <v/>
      </c>
      <c r="AY137" s="29" t="str">
        <f>IF(OR($B137="",$A137&lt;=48),"",--MID('Key Analysis'!$C133,$A137-48,1))</f>
        <v/>
      </c>
      <c r="AZ137" s="29" t="str">
        <f>IF(OR($B137="",$A137&lt;=49),"",--MID('Key Analysis'!$C133,$A137-49,1))</f>
        <v/>
      </c>
      <c r="BA137" s="29" t="str">
        <f>IF(OR($B137="",$A137&lt;=50),"",--MID('Key Analysis'!$C133,$A137-50,1))</f>
        <v/>
      </c>
      <c r="BB137" s="29" t="str">
        <f>IF(OR($B137="",$A137&lt;=51),"",--MID('Key Analysis'!$C133,$A137-51,1))</f>
        <v/>
      </c>
      <c r="BC137" s="29" t="str">
        <f>IF(OR($B137="",$A137&lt;=52),"",--MID('Key Analysis'!$C133,$A137-52,1))</f>
        <v/>
      </c>
      <c r="BD137" s="29" t="str">
        <f>IF(OR($B137="",$A137&lt;=53),"",--MID('Key Analysis'!$C133,$A137-53,1))</f>
        <v/>
      </c>
      <c r="BE137" s="29" t="str">
        <f>IF(OR($B137="",$A137&lt;=54),"",--MID('Key Analysis'!$C133,$A137-54,1))</f>
        <v/>
      </c>
      <c r="BF137" s="29" t="str">
        <f>IF(OR($B137="",$A137&lt;=55),"",--MID('Key Analysis'!$C133,$A137-55,1))</f>
        <v/>
      </c>
      <c r="BG137" s="29" t="str">
        <f>IF(OR($B137="",$A137&lt;=56),"",--MID('Key Analysis'!$C133,$A137-56,1))</f>
        <v/>
      </c>
      <c r="BH137" s="29" t="str">
        <f>IF(OR($B137="",$A137&lt;=57),"",--MID('Key Analysis'!$C133,$A137-57,1))</f>
        <v/>
      </c>
      <c r="BI137" s="29" t="str">
        <f>IF(OR($B137="",$A137&lt;=58),"",--MID('Key Analysis'!$C133,$A137-58,1))</f>
        <v/>
      </c>
      <c r="BJ137" s="29" t="str">
        <f>IF(OR($B137="",$A137&lt;=59),"",--MID('Key Analysis'!$C133,$A137-59,1))</f>
        <v/>
      </c>
      <c r="BK137" s="29" t="str">
        <f>IF(OR($B137="",$A137&lt;=60),"",--MID('Key Analysis'!$C133,$A137-60,1))</f>
        <v/>
      </c>
      <c r="BL137" s="29" t="str">
        <f>IF(OR($B137="",$A137&lt;=61),"",--MID('Key Analysis'!$C133,$A137-61,1))</f>
        <v/>
      </c>
      <c r="BM137" s="29" t="str">
        <f>IF(OR($B137="",$A137&lt;=62),"",--MID('Key Analysis'!$C133,$A137-62,1))</f>
        <v/>
      </c>
      <c r="BN137" s="29" t="str">
        <f>IF(OR($B137="",$A137&lt;=63),"",--MID('Key Analysis'!$C133,$A137-63,1))</f>
        <v/>
      </c>
      <c r="BO137" s="29" t="str">
        <f>IF(OR($B137="",$A137&lt;=64),"",--MID('Key Analysis'!$C133,$A137-64,1))</f>
        <v/>
      </c>
      <c r="BP137" s="29" t="str">
        <f>IF(OR($B137="",$A137&lt;=65),"",--MID('Key Analysis'!$C133,$A137-65,1))</f>
        <v/>
      </c>
      <c r="BQ137" s="29" t="str">
        <f>IF(OR($B137="",$A137&lt;=66),"",--MID('Key Analysis'!$C133,$A137-66,1))</f>
        <v/>
      </c>
      <c r="BR137" s="29" t="str">
        <f>IF(OR($B137="",$A137&lt;=67),"",--MID('Key Analysis'!$C133,$A137-67,1))</f>
        <v/>
      </c>
      <c r="BS137" s="29" t="str">
        <f>IF(OR($B137="",$A137&lt;=68),"",--MID('Key Analysis'!$C133,$A137-68,1))</f>
        <v/>
      </c>
      <c r="BT137" s="29" t="str">
        <f>IF(OR($B137="",$A137&lt;=69),"",--MID('Key Analysis'!$C133,$A137-69,1))</f>
        <v/>
      </c>
      <c r="BU137" s="29" t="str">
        <f>IF(OR($B137="",$A137&lt;=70),"",--MID('Key Analysis'!$C133,$A137-70,1))</f>
        <v/>
      </c>
      <c r="BV137" s="29" t="str">
        <f>IF(OR($B137="",$A137&lt;=71),"",--MID('Key Analysis'!$C133,$A137-71,1))</f>
        <v/>
      </c>
      <c r="BW137" s="29" t="str">
        <f>IF(OR($B137="",$A137&lt;=72),"",--MID('Key Analysis'!$C133,$A137-72,1))</f>
        <v/>
      </c>
      <c r="BX137" s="29" t="str">
        <f>IF(OR($B137="",$A137&lt;=73),"",--MID('Key Analysis'!$C133,$A137-73,1))</f>
        <v/>
      </c>
      <c r="BY137" s="29" t="str">
        <f>IF(OR($B137="",$A137&lt;=74),"",--MID('Key Analysis'!$C133,$A137-74,1))</f>
        <v/>
      </c>
      <c r="BZ137" s="29" t="str">
        <f>IF(OR($B137="",$A137&lt;=75),"",--MID('Key Analysis'!$C133,$A137-75,1))</f>
        <v/>
      </c>
      <c r="CA137" s="29" t="str">
        <f>IF(OR($B137="",$A137&lt;=76),"",--MID('Key Analysis'!$C133,$A137-76,1))</f>
        <v/>
      </c>
      <c r="CB137" s="29" t="str">
        <f>IF(OR($B137="",$A137&lt;=77),"",--MID('Key Analysis'!$C133,$A137-77,1))</f>
        <v/>
      </c>
      <c r="CC137" s="29" t="str">
        <f>IF(OR($B137="",$A137&lt;=78),"",--MID('Key Analysis'!$C133,$A137-78,1))</f>
        <v/>
      </c>
      <c r="CD137" s="29" t="str">
        <f>IF(OR($B137="",$A137&lt;=79),"",--MID('Key Analysis'!$C133,$A137-79,1))</f>
        <v/>
      </c>
      <c r="CE137" s="29" t="str">
        <f>IF(OR($B137="",$A137&lt;=80),"",--MID('Key Analysis'!$C133,$A137-80,1))</f>
        <v/>
      </c>
      <c r="CF137" s="29" t="str">
        <f>IF(OR($B137="",$A137&lt;=81),"",--MID('Key Analysis'!$C133,$A137-81,1))</f>
        <v/>
      </c>
      <c r="CG137" s="29" t="str">
        <f>IF(OR($B137="",$A137&lt;=82),"",--MID('Key Analysis'!$C133,$A137-82,1))</f>
        <v/>
      </c>
      <c r="CH137" s="29" t="str">
        <f>IF(OR($B137="",$A137&lt;=83),"",--MID('Key Analysis'!$C133,$A137-83,1))</f>
        <v/>
      </c>
      <c r="CI137" s="29" t="str">
        <f>IF(OR($B137="",$A137&lt;=84),"",--MID('Key Analysis'!$C133,$A137-84,1))</f>
        <v/>
      </c>
      <c r="CJ137" s="29" t="str">
        <f>IF(OR($B137="",$A137&lt;=85),"",--MID('Key Analysis'!$C133,$A137-85,1))</f>
        <v/>
      </c>
      <c r="CK137" s="29" t="str">
        <f>IF(OR($B137="",$A137&lt;=86),"",--MID('Key Analysis'!$C133,$A137-86,1))</f>
        <v/>
      </c>
      <c r="CL137" s="29" t="str">
        <f>IF(OR($B137="",$A137&lt;=87),"",--MID('Key Analysis'!$C133,$A137-87,1))</f>
        <v/>
      </c>
      <c r="CM137" s="29" t="str">
        <f>IF(OR($B137="",$A137&lt;=88),"",--MID('Key Analysis'!$C133,$A137-88,1))</f>
        <v/>
      </c>
      <c r="CN137" s="29" t="str">
        <f>IF(OR($B137="",$A137&lt;=89),"",--MID('Key Analysis'!$C133,$A137-89,1))</f>
        <v/>
      </c>
      <c r="CO137" s="29" t="str">
        <f>IF(OR($B137="",$A137&lt;=90),"",--MID('Key Analysis'!$C133,$A137-90,1))</f>
        <v/>
      </c>
      <c r="CP137" s="29" t="str">
        <f>IF(OR($B137="",$A137&lt;=91),"",--MID('Key Analysis'!$C133,$A137-91,1))</f>
        <v/>
      </c>
      <c r="CQ137" s="29" t="str">
        <f>IF(OR($B137="",$A137&lt;=92),"",--MID('Key Analysis'!$C133,$A137-92,1))</f>
        <v/>
      </c>
      <c r="CR137" s="29" t="str">
        <f>IF(OR($B137="",$A137&lt;=93),"",--MID('Key Analysis'!$C133,$A137-93,1))</f>
        <v/>
      </c>
      <c r="CS137" s="29" t="str">
        <f>IF(OR($B137="",$A137&lt;=94),"",--MID('Key Analysis'!$C133,$A137-94,1))</f>
        <v/>
      </c>
      <c r="CT137" s="29" t="str">
        <f>IF(OR($B137="",$A137&lt;=95),"",--MID('Key Analysis'!$C133,$A137-95,1))</f>
        <v/>
      </c>
      <c r="CU137" s="29" t="str">
        <f>IF(OR($B137="",$A137&lt;=96),"",--MID('Key Analysis'!$C133,$A137-96,1))</f>
        <v/>
      </c>
      <c r="CV137" s="29" t="str">
        <f>IF(OR($B137="",$A137&lt;=97),"",--MID('Key Analysis'!$C133,$A137-97,1))</f>
        <v/>
      </c>
      <c r="CW137" s="29" t="str">
        <f>IF(OR($B137="",$A137&lt;=98),"",--MID('Key Analysis'!$C133,$A137-98,1))</f>
        <v/>
      </c>
      <c r="CX137" s="29" t="str">
        <f>IF(OR($B137="",$A137&lt;=99),"",--MID('Key Analysis'!$C133,$A137-99,1))</f>
        <v/>
      </c>
      <c r="CY137" s="29" t="str">
        <f>IF(OR($B137="",$A137&lt;=100),"",--MID('Key Analysis'!$C133,$A137-100,1))</f>
        <v/>
      </c>
      <c r="CZ137" s="29" t="str">
        <f>IF(OR($B137="",$A137&lt;=101),"",--MID('Key Analysis'!$C133,$A137-101,1))</f>
        <v/>
      </c>
      <c r="DA137" s="29" t="str">
        <f>IF(OR($B137="",$A137&lt;=102),"",--MID('Key Analysis'!$C133,$A137-102,1))</f>
        <v/>
      </c>
      <c r="DB137" s="29" t="str">
        <f>IF(OR($B137="",$A137&lt;=103),"",--MID('Key Analysis'!$C133,$A137-103,1))</f>
        <v/>
      </c>
      <c r="DC137" s="29" t="str">
        <f>IF(OR($B137="",$A137&lt;=104),"",--MID('Key Analysis'!$C133,$A137-104,1))</f>
        <v/>
      </c>
      <c r="DD137" s="29" t="str">
        <f>IF(OR($B137="",$A137&lt;=105),"",--MID('Key Analysis'!$C133,$A137-105,1))</f>
        <v/>
      </c>
      <c r="DE137" s="29" t="str">
        <f>IF(OR($B137="",$A137&lt;=106),"",--MID('Key Analysis'!$C133,$A137-106,1))</f>
        <v/>
      </c>
      <c r="DF137" s="29" t="str">
        <f>IF(OR($B137="",$A137&lt;=107),"",--MID('Key Analysis'!$C133,$A137-107,1))</f>
        <v/>
      </c>
      <c r="DG137" s="29" t="str">
        <f>IF(OR($B137="",$A137&lt;=108),"",--MID('Key Analysis'!$C133,$A137-108,1))</f>
        <v/>
      </c>
      <c r="DH137" s="29" t="str">
        <f>IF(OR($B137="",$A137&lt;=109),"",--MID('Key Analysis'!$C133,$A137-109,1))</f>
        <v/>
      </c>
      <c r="DI137" s="29" t="str">
        <f>IF(OR($B137="",$A137&lt;=110),"",--MID('Key Analysis'!$C133,$A137-110,1))</f>
        <v/>
      </c>
      <c r="DJ137" s="29" t="str">
        <f>IF(OR($B137="",$A137&lt;=111),"",--MID('Key Analysis'!$C133,$A137-111,1))</f>
        <v/>
      </c>
      <c r="DK137" s="29" t="str">
        <f>IF(OR($B137="",$A137&lt;=112),"",--MID('Key Analysis'!$C133,$A137-112,1))</f>
        <v/>
      </c>
      <c r="DL137" s="29" t="str">
        <f>IF(OR($B137="",$A137&lt;=113),"",--MID('Key Analysis'!$C133,$A137-113,1))</f>
        <v/>
      </c>
      <c r="DM137" s="29" t="str">
        <f>IF(OR($B137="",$A137&lt;=114),"",--MID('Key Analysis'!$C133,$A137-114,1))</f>
        <v/>
      </c>
      <c r="DN137" s="29" t="str">
        <f>IF(OR($B137="",$A137&lt;=115),"",--MID('Key Analysis'!$C133,$A137-115,1))</f>
        <v/>
      </c>
      <c r="DO137" s="29" t="str">
        <f>IF(OR($B137="",$A137&lt;=116),"",--MID('Key Analysis'!$C133,$A137-116,1))</f>
        <v/>
      </c>
      <c r="DP137" s="29" t="str">
        <f>IF(OR($B137="",$A137&lt;=117),"",--MID('Key Analysis'!$C133,$A137-117,1))</f>
        <v/>
      </c>
      <c r="DQ137" s="29" t="str">
        <f>IF(OR($B137="",$A137&lt;=118),"",--MID('Key Analysis'!$C133,$A137-118,1))</f>
        <v/>
      </c>
      <c r="DR137" s="29" t="str">
        <f>IF(OR($B137="",$A137&lt;=119),"",--MID('Key Analysis'!$C133,$A137-119,1))</f>
        <v/>
      </c>
      <c r="DS137" s="29" t="str">
        <f>IF(OR($B137="",$A137&lt;=120),"",--MID('Key Analysis'!$C133,$A137-120,1))</f>
        <v/>
      </c>
      <c r="DT137" s="29" t="str">
        <f>IF(OR($B137="",$A137&lt;=121),"",--MID('Key Analysis'!$C133,$A137-121,1))</f>
        <v/>
      </c>
      <c r="DU137" s="29" t="str">
        <f>IF(OR($B137="",$A137&lt;=122),"",--MID('Key Analysis'!$C133,$A137-122,1))</f>
        <v/>
      </c>
      <c r="DV137" s="29" t="str">
        <f>IF(OR($B137="",$A137&lt;=123),"",--MID('Key Analysis'!$C133,$A137-123,1))</f>
        <v/>
      </c>
      <c r="DW137" s="29" t="str">
        <f>IF(OR($B137="",$A137&lt;=124),"",--MID('Key Analysis'!$C133,$A137-124,1))</f>
        <v/>
      </c>
      <c r="DX137" s="29" t="str">
        <f>IF(OR($B137="",$A137&lt;=125),"",--MID('Key Analysis'!$C133,$A137-125,1))</f>
        <v/>
      </c>
      <c r="DY137" s="29" t="str">
        <f>IF(OR($B137="",$A137&lt;=126),"",--MID('Key Analysis'!$C133,$A137-126,1))</f>
        <v/>
      </c>
      <c r="DZ137" s="29" t="str">
        <f>IF(OR($B137="",$A137&lt;=127),"",--MID('Key Analysis'!$C133,$A137-127,1))</f>
        <v/>
      </c>
      <c r="EA137" s="29" t="str">
        <f>IF(OR($B137="",$A137&lt;=128),"",--MID('Key Analysis'!$C133,$A137-128,1))</f>
        <v/>
      </c>
      <c r="EB137" s="29" t="str">
        <f>IF(OR($B137="",$A137&lt;=129),"",--MID('Key Analysis'!$C133,$A137-129,1))</f>
        <v/>
      </c>
      <c r="EC137" s="29" t="str">
        <f>IF(OR($B137="",$A137&lt;=130),"",--MID('Key Analysis'!$C133,$A137-130,1))</f>
        <v/>
      </c>
      <c r="ED137" s="29" t="str">
        <f>IF(OR($B137="",$A137&lt;=131),"",--MID('Key Analysis'!$C133,$A137-131,1))</f>
        <v/>
      </c>
      <c r="EE137" s="29" t="str">
        <f>IF(OR($B137="",$A137&lt;=132),"",--MID('Key Analysis'!$C133,$A137-132,1))</f>
        <v/>
      </c>
      <c r="EF137" s="29" t="str">
        <f>IF(OR($B137="",$A137&lt;=133),"",--MID('Key Analysis'!$C133,$A137-133,1))</f>
        <v/>
      </c>
      <c r="EG137" s="29" t="str">
        <f>IF(OR($B137="",$A137&lt;=134),"",--MID('Key Analysis'!$C133,$A137-134,1))</f>
        <v/>
      </c>
      <c r="EH137" s="29"/>
      <c r="EI137" s="29" t="str">
        <f>IF(OR($B137="",$A137&lt;1),"",--MID('Key Analysis'!$C133,1,1))</f>
        <v/>
      </c>
      <c r="EJ137" s="29" t="str">
        <f>IF(OR($B137="",$A137&lt;2),"",--MID('Key Analysis'!$C133,2,1))</f>
        <v/>
      </c>
      <c r="EK137" s="29" t="str">
        <f>IF(OR($B137="",$A137&lt;3),"",--MID('Key Analysis'!$C133,3,1))</f>
        <v/>
      </c>
      <c r="EL137" s="29" t="str">
        <f>IF(OR($B137="",$A137&lt;4),"",--MID('Key Analysis'!$C133,4,1))</f>
        <v/>
      </c>
      <c r="EM137" s="29" t="str">
        <f>IF(OR($B137="",$A137&lt;5),"",--MID('Key Analysis'!$C133,5,1))</f>
        <v/>
      </c>
      <c r="EN137" s="29" t="str">
        <f>IF(OR($B137="",$A137&lt;6),"",--MID('Key Analysis'!$C133,6,1))</f>
        <v/>
      </c>
      <c r="EO137" s="29" t="str">
        <f>IF(OR($B137="",$A137&lt;7),"",--MID('Key Analysis'!$C133,7,1))</f>
        <v/>
      </c>
      <c r="EP137" s="29" t="str">
        <f>IF(OR($B137="",$A137&lt;8),"",--MID('Key Analysis'!$C133,8,1))</f>
        <v/>
      </c>
      <c r="EQ137" s="29" t="str">
        <f>IF(OR($B137="",$A137&lt;9),"",--MID('Key Analysis'!$C133,9,1))</f>
        <v/>
      </c>
      <c r="ER137" s="29" t="str">
        <f>IF(OR($B137="",$A137&lt;10),"",--MID('Key Analysis'!$C133,10,1))</f>
        <v/>
      </c>
      <c r="ES137" s="29" t="str">
        <f>IF(OR($B137="",$A137&lt;11),"",--MID('Key Analysis'!$C133,11,1))</f>
        <v/>
      </c>
      <c r="ET137" s="29" t="str">
        <f>IF(OR($B137="",$A137&lt;12),"",--MID('Key Analysis'!$C133,12,1))</f>
        <v/>
      </c>
      <c r="EU137" s="29" t="str">
        <f>IF(OR($B137="",$A137&lt;13),"",--MID('Key Analysis'!$C133,13,1))</f>
        <v/>
      </c>
      <c r="EV137" s="29" t="str">
        <f>IF(OR($B137="",$A137&lt;14),"",--MID('Key Analysis'!$C133,14,1))</f>
        <v/>
      </c>
      <c r="EW137" s="29" t="str">
        <f>IF(OR($B137="",$A137&lt;15),"",--MID('Key Analysis'!$C133,15,1))</f>
        <v/>
      </c>
      <c r="EX137" s="29" t="str">
        <f>IF(OR($B137="",$A137&lt;16),"",--MID('Key Analysis'!$C133,16,1))</f>
        <v/>
      </c>
      <c r="EY137" s="29" t="str">
        <f>IF(OR($B137="",$A137&lt;17),"",--MID('Key Analysis'!$C133,17,1))</f>
        <v/>
      </c>
      <c r="EZ137" s="29" t="str">
        <f>IF(OR($B137="",$A137&lt;18),"",--MID('Key Analysis'!$C133,18,1))</f>
        <v/>
      </c>
      <c r="FA137" s="29" t="str">
        <f>IF(OR($B137="",$A137&lt;19),"",--MID('Key Analysis'!$C133,19,1))</f>
        <v/>
      </c>
      <c r="FB137" s="29" t="str">
        <f>IF(OR($B137="",$A137&lt;20),"",--MID('Key Analysis'!$C133,20,1))</f>
        <v/>
      </c>
      <c r="FC137" s="29" t="str">
        <f>IF(OR($B137="",$A137&lt;21),"",--MID('Key Analysis'!$C133,21,1))</f>
        <v/>
      </c>
      <c r="FD137" s="29" t="str">
        <f>IF(OR($B137="",$A137&lt;22),"",--MID('Key Analysis'!$C133,22,1))</f>
        <v/>
      </c>
      <c r="FE137" s="29" t="str">
        <f>IF(OR($B137="",$A137&lt;23),"",--MID('Key Analysis'!$C133,23,1))</f>
        <v/>
      </c>
      <c r="FF137" s="29" t="str">
        <f>IF(OR($B137="",$A137&lt;24),"",--MID('Key Analysis'!$C133,24,1))</f>
        <v/>
      </c>
      <c r="FG137" s="29" t="str">
        <f>IF(OR($B137="",$A137&lt;25),"",--MID('Key Analysis'!$C133,25,1))</f>
        <v/>
      </c>
      <c r="FH137" s="29" t="str">
        <f>IF(OR($B137="",$A137&lt;26),"",--MID('Key Analysis'!$C133,26,1))</f>
        <v/>
      </c>
      <c r="FI137" s="29" t="str">
        <f>IF(OR($B137="",$A137&lt;27),"",--MID('Key Analysis'!$C133,27,1))</f>
        <v/>
      </c>
      <c r="FJ137" s="29" t="str">
        <f>IF(OR($B137="",$A137&lt;28),"",--MID('Key Analysis'!$C133,28,1))</f>
        <v/>
      </c>
      <c r="FK137" s="29" t="str">
        <f>IF(OR($B137="",$A137&lt;29),"",--MID('Key Analysis'!$C133,29,1))</f>
        <v/>
      </c>
      <c r="FL137" s="29" t="str">
        <f>IF(OR($B137="",$A137&lt;30),"",--MID('Key Analysis'!$C133,30,1))</f>
        <v/>
      </c>
      <c r="FM137" s="29" t="str">
        <f>IF(OR($B137="",$A137&lt;31),"",--MID('Key Analysis'!$C133,31,1))</f>
        <v/>
      </c>
      <c r="FN137" s="29" t="str">
        <f>IF(OR($B137="",$A137&lt;32),"",--MID('Key Analysis'!$C133,32,1))</f>
        <v/>
      </c>
      <c r="FO137" s="29" t="str">
        <f>IF(OR($B137="",$A137&lt;33),"",--MID('Key Analysis'!$C133,33,1))</f>
        <v/>
      </c>
      <c r="FP137" s="29" t="str">
        <f>IF(OR($B137="",$A137&lt;34),"",--MID('Key Analysis'!$C133,34,1))</f>
        <v/>
      </c>
      <c r="FQ137" s="29" t="str">
        <f>IF(OR($B137="",$A137&lt;35),"",--MID('Key Analysis'!$C133,35,1))</f>
        <v/>
      </c>
      <c r="FR137" s="29" t="str">
        <f>IF(OR($B137="",$A137&lt;36),"",--MID('Key Analysis'!$C133,36,1))</f>
        <v/>
      </c>
      <c r="FS137" s="29" t="str">
        <f>IF(OR($B137="",$A137&lt;37),"",--MID('Key Analysis'!$C133,37,1))</f>
        <v/>
      </c>
      <c r="FT137" s="29" t="str">
        <f>IF(OR($B137="",$A137&lt;38),"",--MID('Key Analysis'!$C133,38,1))</f>
        <v/>
      </c>
      <c r="FU137" s="29" t="str">
        <f>IF(OR($B137="",$A137&lt;39),"",--MID('Key Analysis'!$C133,39,1))</f>
        <v/>
      </c>
      <c r="FV137" s="29" t="str">
        <f>IF(OR($B137="",$A137&lt;40),"",--MID('Key Analysis'!$C133,40,1))</f>
        <v/>
      </c>
      <c r="FW137" s="29" t="str">
        <f>IF(OR($B137="",$A137&lt;41),"",--MID('Key Analysis'!$C133,41,1))</f>
        <v/>
      </c>
      <c r="FX137" s="29" t="str">
        <f>IF(OR($B137="",$A137&lt;42),"",--MID('Key Analysis'!$C133,42,1))</f>
        <v/>
      </c>
      <c r="FY137" s="29" t="str">
        <f>IF(OR($B137="",$A137&lt;43),"",--MID('Key Analysis'!$C133,43,1))</f>
        <v/>
      </c>
      <c r="FZ137" s="29" t="str">
        <f>IF(OR($B137="",$A137&lt;44),"",--MID('Key Analysis'!$C133,44,1))</f>
        <v/>
      </c>
      <c r="GA137" s="29" t="str">
        <f>IF(OR($B137="",$A137&lt;45),"",--MID('Key Analysis'!$C133,45,1))</f>
        <v/>
      </c>
      <c r="GB137" s="29" t="str">
        <f>IF(OR($B137="",$A137&lt;46),"",--MID('Key Analysis'!$C133,46,1))</f>
        <v/>
      </c>
      <c r="GC137" s="29" t="str">
        <f>IF(OR($B137="",$A137&lt;47),"",--MID('Key Analysis'!$C133,47,1))</f>
        <v/>
      </c>
      <c r="GD137" s="29" t="str">
        <f>IF(OR($B137="",$A137&lt;48),"",--MID('Key Analysis'!$C133,48,1))</f>
        <v/>
      </c>
      <c r="GE137" s="29" t="str">
        <f>IF(OR($B137="",$A137&lt;49),"",--MID('Key Analysis'!$C133,49,1))</f>
        <v/>
      </c>
      <c r="GF137" s="29" t="str">
        <f>IF(OR($B137="",$A137&lt;50),"",--MID('Key Analysis'!$C133,50,1))</f>
        <v/>
      </c>
      <c r="GG137" s="29" t="str">
        <f>IF(OR($B137="",$A137&lt;51),"",--MID('Key Analysis'!$C133,51,1))</f>
        <v/>
      </c>
      <c r="GH137" s="29" t="str">
        <f>IF(OR($B137="",$A137&lt;52),"",--MID('Key Analysis'!$C133,52,1))</f>
        <v/>
      </c>
      <c r="GI137" s="29" t="str">
        <f>IF(OR($B137="",$A137&lt;53),"",--MID('Key Analysis'!$C133,53,1))</f>
        <v/>
      </c>
      <c r="GJ137" s="29" t="str">
        <f>IF(OR($B137="",$A137&lt;54),"",--MID('Key Analysis'!$C133,54,1))</f>
        <v/>
      </c>
      <c r="GK137" s="29" t="str">
        <f>IF(OR($B137="",$A137&lt;55),"",--MID('Key Analysis'!$C133,55,1))</f>
        <v/>
      </c>
      <c r="GL137" s="29" t="str">
        <f>IF(OR($B137="",$A137&lt;56),"",--MID('Key Analysis'!$C133,56,1))</f>
        <v/>
      </c>
      <c r="GM137" s="29" t="str">
        <f>IF(OR($B137="",$A137&lt;57),"",--MID('Key Analysis'!$C133,57,1))</f>
        <v/>
      </c>
      <c r="GN137" s="29" t="str">
        <f>IF(OR($B137="",$A137&lt;58),"",--MID('Key Analysis'!$C133,58,1))</f>
        <v/>
      </c>
      <c r="GO137" s="29" t="str">
        <f>IF(OR($B137="",$A137&lt;59),"",--MID('Key Analysis'!$C133,59,1))</f>
        <v/>
      </c>
      <c r="GP137" s="29" t="str">
        <f>IF(OR($B137="",$A137&lt;60),"",--MID('Key Analysis'!$C133,60,1))</f>
        <v/>
      </c>
      <c r="GQ137" s="29" t="str">
        <f>IF(OR($B137="",$A137&lt;61),"",--MID('Key Analysis'!$C133,61,1))</f>
        <v/>
      </c>
      <c r="GR137" s="29" t="str">
        <f>IF(OR($B137="",$A137&lt;62),"",--MID('Key Analysis'!$C133,62,1))</f>
        <v/>
      </c>
      <c r="GS137" s="29" t="str">
        <f>IF(OR($B137="",$A137&lt;63),"",--MID('Key Analysis'!$C133,63,1))</f>
        <v/>
      </c>
      <c r="GT137" s="29" t="str">
        <f>IF(OR($B137="",$A137&lt;64),"",--MID('Key Analysis'!$C133,64,1))</f>
        <v/>
      </c>
      <c r="GU137" s="29" t="str">
        <f>IF(OR($B137="",$A137&lt;65),"",--MID('Key Analysis'!$C133,65,1))</f>
        <v/>
      </c>
      <c r="GV137" s="29" t="str">
        <f>IF(OR($B137="",$A137&lt;66),"",--MID('Key Analysis'!$C133,66,1))</f>
        <v/>
      </c>
      <c r="GW137" s="29" t="str">
        <f>IF(OR($B137="",$A137&lt;67),"",--MID('Key Analysis'!$C133,67,1))</f>
        <v/>
      </c>
      <c r="GX137" s="29" t="str">
        <f>IF(OR($B137="",$A137&lt;68),"",--MID('Key Analysis'!$C133,68,1))</f>
        <v/>
      </c>
      <c r="GY137" s="29" t="str">
        <f>IF(OR($B137="",$A137&lt;69),"",--MID('Key Analysis'!$C133,69,1))</f>
        <v/>
      </c>
      <c r="GZ137" s="29" t="str">
        <f>IF(OR($B137="",$A137&lt;70),"",--MID('Key Analysis'!$C133,70,1))</f>
        <v/>
      </c>
      <c r="HA137" s="29" t="str">
        <f>IF(OR($B137="",$A137&lt;71),"",--MID('Key Analysis'!$C133,71,1))</f>
        <v/>
      </c>
      <c r="HB137" s="29" t="str">
        <f>IF(OR($B137="",$A137&lt;72),"",--MID('Key Analysis'!$C133,72,1))</f>
        <v/>
      </c>
      <c r="HC137" s="29" t="str">
        <f>IF(OR($B137="",$A137&lt;73),"",--MID('Key Analysis'!$C133,73,1))</f>
        <v/>
      </c>
      <c r="HD137" s="29" t="str">
        <f>IF(OR($B137="",$A137&lt;74),"",--MID('Key Analysis'!$C133,74,1))</f>
        <v/>
      </c>
      <c r="HE137" s="29" t="str">
        <f>IF(OR($B137="",$A137&lt;75),"",--MID('Key Analysis'!$C133,75,1))</f>
        <v/>
      </c>
      <c r="HF137" s="29" t="str">
        <f>IF(OR($B137="",$A137&lt;76),"",--MID('Key Analysis'!$C133,76,1))</f>
        <v/>
      </c>
      <c r="HG137" s="29" t="str">
        <f>IF(OR($B137="",$A137&lt;77),"",--MID('Key Analysis'!$C133,77,1))</f>
        <v/>
      </c>
      <c r="HH137" s="29" t="str">
        <f>IF(OR($B137="",$A137&lt;78),"",--MID('Key Analysis'!$C133,78,1))</f>
        <v/>
      </c>
      <c r="HI137" s="29" t="str">
        <f>IF(OR($B137="",$A137&lt;79),"",--MID('Key Analysis'!$C133,79,1))</f>
        <v/>
      </c>
      <c r="HJ137" s="29" t="str">
        <f>IF(OR($B137="",$A137&lt;80),"",--MID('Key Analysis'!$C133,80,1))</f>
        <v/>
      </c>
      <c r="HK137" s="29" t="str">
        <f>IF(OR($B137="",$A137&lt;81),"",--MID('Key Analysis'!$C133,81,1))</f>
        <v/>
      </c>
      <c r="HL137" s="29" t="str">
        <f>IF(OR($B137="",$A137&lt;82),"",--MID('Key Analysis'!$C133,82,1))</f>
        <v/>
      </c>
      <c r="HM137" s="29" t="str">
        <f>IF(OR($B137="",$A137&lt;83),"",--MID('Key Analysis'!$C133,83,1))</f>
        <v/>
      </c>
      <c r="HN137" s="29" t="str">
        <f>IF(OR($B137="",$A137&lt;84),"",--MID('Key Analysis'!$C133,84,1))</f>
        <v/>
      </c>
      <c r="HO137" s="29" t="str">
        <f>IF(OR($B137="",$A137&lt;85),"",--MID('Key Analysis'!$C133,85,1))</f>
        <v/>
      </c>
      <c r="HP137" s="29" t="str">
        <f>IF(OR($B137="",$A137&lt;86),"",--MID('Key Analysis'!$C133,86,1))</f>
        <v/>
      </c>
      <c r="HQ137" s="29" t="str">
        <f>IF(OR($B137="",$A137&lt;87),"",--MID('Key Analysis'!$C133,87,1))</f>
        <v/>
      </c>
      <c r="HR137" s="29" t="str">
        <f>IF(OR($B137="",$A137&lt;88),"",--MID('Key Analysis'!$C133,88,1))</f>
        <v/>
      </c>
      <c r="HS137" s="29" t="str">
        <f>IF(OR($B137="",$A137&lt;89),"",--MID('Key Analysis'!$C133,89,1))</f>
        <v/>
      </c>
      <c r="HT137" s="29" t="str">
        <f>IF(OR($B137="",$A137&lt;90),"",--MID('Key Analysis'!$C133,90,1))</f>
        <v/>
      </c>
      <c r="HU137" s="29" t="str">
        <f>IF(OR($B137="",$A137&lt;91),"",--MID('Key Analysis'!$C133,91,1))</f>
        <v/>
      </c>
      <c r="HV137" s="29" t="str">
        <f>IF(OR($B137="",$A137&lt;92),"",--MID('Key Analysis'!$C133,92,1))</f>
        <v/>
      </c>
      <c r="HW137" s="29" t="str">
        <f>IF(OR($B137="",$A137&lt;93),"",--MID('Key Analysis'!$C133,93,1))</f>
        <v/>
      </c>
      <c r="HX137" s="29" t="str">
        <f>IF(OR($B137="",$A137&lt;94),"",--MID('Key Analysis'!$C133,94,1))</f>
        <v/>
      </c>
      <c r="HY137" s="29" t="str">
        <f>IF(OR($B137="",$A137&lt;95),"",--MID('Key Analysis'!$C133,95,1))</f>
        <v/>
      </c>
      <c r="HZ137" s="29" t="str">
        <f>IF(OR($B137="",$A137&lt;96),"",--MID('Key Analysis'!$C133,96,1))</f>
        <v/>
      </c>
      <c r="IA137" s="29" t="str">
        <f>IF(OR($B137="",$A137&lt;97),"",--MID('Key Analysis'!$C133,97,1))</f>
        <v/>
      </c>
      <c r="IB137" s="29" t="str">
        <f>IF(OR($B137="",$A137&lt;98),"",--MID('Key Analysis'!$C133,98,1))</f>
        <v/>
      </c>
      <c r="IC137" s="29" t="str">
        <f>IF(OR($B137="",$A137&lt;99),"",--MID('Key Analysis'!$C133,99,1))</f>
        <v/>
      </c>
      <c r="ID137" s="29" t="str">
        <f>IF(OR($B137="",$A137&lt;100),"",--MID('Key Analysis'!$C133,100,1))</f>
        <v/>
      </c>
      <c r="IE137" s="29" t="str">
        <f>IF(OR($B137="",$A137&lt;101),"",--MID('Key Analysis'!$C133,101,1))</f>
        <v/>
      </c>
      <c r="IF137" s="29" t="str">
        <f>IF(OR($B137="",$A137&lt;102),"",--MID('Key Analysis'!$C133,102,1))</f>
        <v/>
      </c>
      <c r="IG137" s="29" t="str">
        <f>IF(OR($B137="",$A137&lt;103),"",--MID('Key Analysis'!$C133,103,1))</f>
        <v/>
      </c>
      <c r="IH137" s="29" t="str">
        <f>IF(OR($B137="",$A137&lt;104),"",--MID('Key Analysis'!$C133,104,1))</f>
        <v/>
      </c>
      <c r="II137" s="29" t="str">
        <f>IF(OR($B137="",$A137&lt;105),"",--MID('Key Analysis'!$C133,105,1))</f>
        <v/>
      </c>
      <c r="IJ137" s="29" t="str">
        <f>IF(OR($B137="",$A137&lt;106),"",--MID('Key Analysis'!$C133,106,1))</f>
        <v/>
      </c>
      <c r="IK137" s="29" t="str">
        <f>IF(OR($B137="",$A137&lt;107),"",--MID('Key Analysis'!$C133,107,1))</f>
        <v/>
      </c>
      <c r="IL137" s="29" t="str">
        <f>IF(OR($B137="",$A137&lt;108),"",--MID('Key Analysis'!$C133,108,1))</f>
        <v/>
      </c>
      <c r="IM137" s="29" t="str">
        <f>IF(OR($B137="",$A137&lt;109),"",--MID('Key Analysis'!$C133,109,1))</f>
        <v/>
      </c>
      <c r="IN137" s="29" t="str">
        <f>IF(OR($B137="",$A137&lt;110),"",--MID('Key Analysis'!$C133,110,1))</f>
        <v/>
      </c>
      <c r="IO137" s="29" t="str">
        <f>IF(OR($B137="",$A137&lt;111),"",--MID('Key Analysis'!$C133,111,1))</f>
        <v/>
      </c>
      <c r="IP137" s="29" t="str">
        <f>IF(OR($B137="",$A137&lt;112),"",--MID('Key Analysis'!$C133,112,1))</f>
        <v/>
      </c>
      <c r="IQ137" s="29" t="str">
        <f>IF(OR($B137="",$A137&lt;113),"",--MID('Key Analysis'!$C133,113,1))</f>
        <v/>
      </c>
      <c r="IR137" s="29" t="str">
        <f>IF(OR($B137="",$A137&lt;114),"",--MID('Key Analysis'!$C133,114,1))</f>
        <v/>
      </c>
      <c r="IS137" s="29" t="str">
        <f>IF(OR($B137="",$A137&lt;115),"",--MID('Key Analysis'!$C133,115,1))</f>
        <v/>
      </c>
      <c r="IT137" s="29" t="str">
        <f>IF(OR($B137="",$A137&lt;116),"",--MID('Key Analysis'!$C133,116,1))</f>
        <v/>
      </c>
      <c r="IU137" s="29" t="str">
        <f>IF(OR($B137="",$A137&lt;117),"",--MID('Key Analysis'!$C133,117,1))</f>
        <v/>
      </c>
      <c r="IV137" s="29" t="str">
        <f>IF(OR($B137="",$A137&lt;118),"",--MID('Key Analysis'!$C133,118,1))</f>
        <v/>
      </c>
      <c r="IW137" s="29" t="str">
        <f>IF(OR($B137="",$A137&lt;119),"",--MID('Key Analysis'!$C133,119,1))</f>
        <v/>
      </c>
      <c r="IX137" s="29" t="str">
        <f>IF(OR($B137="",$A137&lt;120),"",--MID('Key Analysis'!$C133,120,1))</f>
        <v/>
      </c>
      <c r="IY137" s="29" t="str">
        <f>IF(OR($B137="",$A137&lt;121),"",--MID('Key Analysis'!$C133,121,1))</f>
        <v/>
      </c>
      <c r="IZ137" s="29" t="str">
        <f>IF(OR($B137="",$A137&lt;122),"",--MID('Key Analysis'!$C133,122,1))</f>
        <v/>
      </c>
      <c r="JA137" s="29" t="str">
        <f>IF(OR($B137="",$A137&lt;123),"",--MID('Key Analysis'!$C133,123,1))</f>
        <v/>
      </c>
      <c r="JB137" s="29" t="str">
        <f>IF(OR($B137="",$A137&lt;124),"",--MID('Key Analysis'!$C133,124,1))</f>
        <v/>
      </c>
      <c r="JC137" s="29" t="str">
        <f>IF(OR($B137="",$A137&lt;125),"",--MID('Key Analysis'!$C133,125,1))</f>
        <v/>
      </c>
      <c r="JD137" s="29" t="str">
        <f>IF(OR($B137="",$A137&lt;126),"",--MID('Key Analysis'!$C133,126,1))</f>
        <v/>
      </c>
      <c r="JE137" s="29" t="str">
        <f>IF(OR($B137="",$A137&lt;127),"",--MID('Key Analysis'!$C133,127,1))</f>
        <v/>
      </c>
      <c r="JF137" s="29" t="str">
        <f>IF(OR($B137="",$A137&lt;128),"",--MID('Key Analysis'!$C133,128,1))</f>
        <v/>
      </c>
      <c r="JG137" s="29" t="str">
        <f>IF(OR($B137="",$A137&lt;129),"",--MID('Key Analysis'!$C133,129,1))</f>
        <v/>
      </c>
      <c r="JH137" s="29" t="str">
        <f>IF(OR($B137="",$A137&lt;130),"",--MID('Key Analysis'!$C133,130,1))</f>
        <v/>
      </c>
      <c r="JI137" s="29" t="str">
        <f>IF(OR($B137="",$A137&lt;131),"",--MID('Key Analysis'!$C133,131,1))</f>
        <v/>
      </c>
      <c r="JJ137" s="29" t="str">
        <f>IF(OR($B137="",$A137&lt;132),"",--MID('Key Analysis'!$C133,132,1))</f>
        <v/>
      </c>
      <c r="JK137" s="29" t="str">
        <f>IF(OR($B137="",$A137&lt;133),"",--MID('Key Analysis'!$C133,133,1))</f>
        <v/>
      </c>
      <c r="JL137" s="29" t="str">
        <f>IF(OR($B137="",$A137&lt;134),"",--MID('Key Analysis'!$C133,134,1))</f>
        <v/>
      </c>
      <c r="JM137" s="29" t="str">
        <f>IF(OR($B137="",$A137&lt;135),"",--MID('Key Analysis'!$C133,135,1))</f>
        <v/>
      </c>
    </row>
    <row r="138" spans="1:273" x14ac:dyDescent="0.25">
      <c r="A138" s="21">
        <f>'Key Analysis'!A134</f>
        <v>133</v>
      </c>
      <c r="B138" s="30" t="str">
        <f>'Key Analysis'!B134</f>
        <v/>
      </c>
      <c r="C138" s="29" t="str">
        <f>IF(OR($B138="",$A138&lt;=0),"",--MID('Key Analysis'!$C134,$A138-0,1))</f>
        <v/>
      </c>
      <c r="D138" s="29" t="str">
        <f>IF(OR($B138="",$A138&lt;=1),"",--MID('Key Analysis'!$C134,$A138-1,1))</f>
        <v/>
      </c>
      <c r="E138" s="29" t="str">
        <f>IF(OR($B138="",$A138&lt;=2),"",--MID('Key Analysis'!$C134,$A138-2,1))</f>
        <v/>
      </c>
      <c r="F138" s="29" t="str">
        <f>IF(OR($B138="",$A138&lt;=3),"",--MID('Key Analysis'!$C134,$A138-3,1))</f>
        <v/>
      </c>
      <c r="G138" s="29" t="str">
        <f>IF(OR($B138="",$A138&lt;=4),"",--MID('Key Analysis'!$C134,$A138-4,1))</f>
        <v/>
      </c>
      <c r="H138" s="29" t="str">
        <f>IF(OR($B138="",$A138&lt;=5),"",--MID('Key Analysis'!$C134,$A138-5,1))</f>
        <v/>
      </c>
      <c r="I138" s="29" t="str">
        <f>IF(OR($B138="",$A138&lt;=6),"",--MID('Key Analysis'!$C134,$A138-6,1))</f>
        <v/>
      </c>
      <c r="J138" s="29" t="str">
        <f>IF(OR($B138="",$A138&lt;=7),"",--MID('Key Analysis'!$C134,$A138-7,1))</f>
        <v/>
      </c>
      <c r="K138" s="29" t="str">
        <f>IF(OR($B138="",$A138&lt;=8),"",--MID('Key Analysis'!$C134,$A138-8,1))</f>
        <v/>
      </c>
      <c r="L138" s="29" t="str">
        <f>IF(OR($B138="",$A138&lt;=9),"",--MID('Key Analysis'!$C134,$A138-9,1))</f>
        <v/>
      </c>
      <c r="M138" s="29" t="str">
        <f>IF(OR($B138="",$A138&lt;=10),"",--MID('Key Analysis'!$C134,$A138-10,1))</f>
        <v/>
      </c>
      <c r="N138" s="29" t="str">
        <f>IF(OR($B138="",$A138&lt;=11),"",--MID('Key Analysis'!$C134,$A138-11,1))</f>
        <v/>
      </c>
      <c r="O138" s="29" t="str">
        <f>IF(OR($B138="",$A138&lt;=12),"",--MID('Key Analysis'!$C134,$A138-12,1))</f>
        <v/>
      </c>
      <c r="P138" s="29" t="str">
        <f>IF(OR($B138="",$A138&lt;=13),"",--MID('Key Analysis'!$C134,$A138-13,1))</f>
        <v/>
      </c>
      <c r="Q138" s="29" t="str">
        <f>IF(OR($B138="",$A138&lt;=14),"",--MID('Key Analysis'!$C134,$A138-14,1))</f>
        <v/>
      </c>
      <c r="R138" s="29" t="str">
        <f>IF(OR($B138="",$A138&lt;=15),"",--MID('Key Analysis'!$C134,$A138-15,1))</f>
        <v/>
      </c>
      <c r="S138" s="29" t="str">
        <f>IF(OR($B138="",$A138&lt;=16),"",--MID('Key Analysis'!$C134,$A138-16,1))</f>
        <v/>
      </c>
      <c r="T138" s="29" t="str">
        <f>IF(OR($B138="",$A138&lt;=17),"",--MID('Key Analysis'!$C134,$A138-17,1))</f>
        <v/>
      </c>
      <c r="U138" s="29" t="str">
        <f>IF(OR($B138="",$A138&lt;=18),"",--MID('Key Analysis'!$C134,$A138-18,1))</f>
        <v/>
      </c>
      <c r="V138" s="29" t="str">
        <f>IF(OR($B138="",$A138&lt;=19),"",--MID('Key Analysis'!$C134,$A138-19,1))</f>
        <v/>
      </c>
      <c r="W138" s="29" t="str">
        <f>IF(OR($B138="",$A138&lt;=20),"",--MID('Key Analysis'!$C134,$A138-20,1))</f>
        <v/>
      </c>
      <c r="X138" s="29" t="str">
        <f>IF(OR($B138="",$A138&lt;=21),"",--MID('Key Analysis'!$C134,$A138-21,1))</f>
        <v/>
      </c>
      <c r="Y138" s="29" t="str">
        <f>IF(OR($B138="",$A138&lt;=22),"",--MID('Key Analysis'!$C134,$A138-22,1))</f>
        <v/>
      </c>
      <c r="Z138" s="29" t="str">
        <f>IF(OR($B138="",$A138&lt;=23),"",--MID('Key Analysis'!$C134,$A138-23,1))</f>
        <v/>
      </c>
      <c r="AA138" s="29" t="str">
        <f>IF(OR($B138="",$A138&lt;=24),"",--MID('Key Analysis'!$C134,$A138-24,1))</f>
        <v/>
      </c>
      <c r="AB138" s="29" t="str">
        <f>IF(OR($B138="",$A138&lt;=25),"",--MID('Key Analysis'!$C134,$A138-25,1))</f>
        <v/>
      </c>
      <c r="AC138" s="29" t="str">
        <f>IF(OR($B138="",$A138&lt;=26),"",--MID('Key Analysis'!$C134,$A138-26,1))</f>
        <v/>
      </c>
      <c r="AD138" s="29" t="str">
        <f>IF(OR($B138="",$A138&lt;=27),"",--MID('Key Analysis'!$C134,$A138-27,1))</f>
        <v/>
      </c>
      <c r="AE138" s="29" t="str">
        <f>IF(OR($B138="",$A138&lt;=28),"",--MID('Key Analysis'!$C134,$A138-28,1))</f>
        <v/>
      </c>
      <c r="AF138" s="29" t="str">
        <f>IF(OR($B138="",$A138&lt;=29),"",--MID('Key Analysis'!$C134,$A138-29,1))</f>
        <v/>
      </c>
      <c r="AG138" s="29" t="str">
        <f>IF(OR($B138="",$A138&lt;=30),"",--MID('Key Analysis'!$C134,$A138-30,1))</f>
        <v/>
      </c>
      <c r="AH138" s="29" t="str">
        <f>IF(OR($B138="",$A138&lt;=31),"",--MID('Key Analysis'!$C134,$A138-31,1))</f>
        <v/>
      </c>
      <c r="AI138" s="29" t="str">
        <f>IF(OR($B138="",$A138&lt;=32),"",--MID('Key Analysis'!$C134,$A138-32,1))</f>
        <v/>
      </c>
      <c r="AJ138" s="29" t="str">
        <f>IF(OR($B138="",$A138&lt;=33),"",--MID('Key Analysis'!$C134,$A138-33,1))</f>
        <v/>
      </c>
      <c r="AK138" s="29" t="str">
        <f>IF(OR($B138="",$A138&lt;=34),"",--MID('Key Analysis'!$C134,$A138-34,1))</f>
        <v/>
      </c>
      <c r="AL138" s="29" t="str">
        <f>IF(OR($B138="",$A138&lt;=35),"",--MID('Key Analysis'!$C134,$A138-35,1))</f>
        <v/>
      </c>
      <c r="AM138" s="29" t="str">
        <f>IF(OR($B138="",$A138&lt;=36),"",--MID('Key Analysis'!$C134,$A138-36,1))</f>
        <v/>
      </c>
      <c r="AN138" s="29" t="str">
        <f>IF(OR($B138="",$A138&lt;=37),"",--MID('Key Analysis'!$C134,$A138-37,1))</f>
        <v/>
      </c>
      <c r="AO138" s="29" t="str">
        <f>IF(OR($B138="",$A138&lt;=38),"",--MID('Key Analysis'!$C134,$A138-38,1))</f>
        <v/>
      </c>
      <c r="AP138" s="29" t="str">
        <f>IF(OR($B138="",$A138&lt;=39),"",--MID('Key Analysis'!$C134,$A138-39,1))</f>
        <v/>
      </c>
      <c r="AQ138" s="29" t="str">
        <f>IF(OR($B138="",$A138&lt;=40),"",--MID('Key Analysis'!$C134,$A138-40,1))</f>
        <v/>
      </c>
      <c r="AR138" s="29" t="str">
        <f>IF(OR($B138="",$A138&lt;=41),"",--MID('Key Analysis'!$C134,$A138-41,1))</f>
        <v/>
      </c>
      <c r="AS138" s="29" t="str">
        <f>IF(OR($B138="",$A138&lt;=42),"",--MID('Key Analysis'!$C134,$A138-42,1))</f>
        <v/>
      </c>
      <c r="AT138" s="29" t="str">
        <f>IF(OR($B138="",$A138&lt;=43),"",--MID('Key Analysis'!$C134,$A138-43,1))</f>
        <v/>
      </c>
      <c r="AU138" s="29" t="str">
        <f>IF(OR($B138="",$A138&lt;=44),"",--MID('Key Analysis'!$C134,$A138-44,1))</f>
        <v/>
      </c>
      <c r="AV138" s="29" t="str">
        <f>IF(OR($B138="",$A138&lt;=45),"",--MID('Key Analysis'!$C134,$A138-45,1))</f>
        <v/>
      </c>
      <c r="AW138" s="29" t="str">
        <f>IF(OR($B138="",$A138&lt;=46),"",--MID('Key Analysis'!$C134,$A138-46,1))</f>
        <v/>
      </c>
      <c r="AX138" s="29" t="str">
        <f>IF(OR($B138="",$A138&lt;=47),"",--MID('Key Analysis'!$C134,$A138-47,1))</f>
        <v/>
      </c>
      <c r="AY138" s="29" t="str">
        <f>IF(OR($B138="",$A138&lt;=48),"",--MID('Key Analysis'!$C134,$A138-48,1))</f>
        <v/>
      </c>
      <c r="AZ138" s="29" t="str">
        <f>IF(OR($B138="",$A138&lt;=49),"",--MID('Key Analysis'!$C134,$A138-49,1))</f>
        <v/>
      </c>
      <c r="BA138" s="29" t="str">
        <f>IF(OR($B138="",$A138&lt;=50),"",--MID('Key Analysis'!$C134,$A138-50,1))</f>
        <v/>
      </c>
      <c r="BB138" s="29" t="str">
        <f>IF(OR($B138="",$A138&lt;=51),"",--MID('Key Analysis'!$C134,$A138-51,1))</f>
        <v/>
      </c>
      <c r="BC138" s="29" t="str">
        <f>IF(OR($B138="",$A138&lt;=52),"",--MID('Key Analysis'!$C134,$A138-52,1))</f>
        <v/>
      </c>
      <c r="BD138" s="29" t="str">
        <f>IF(OR($B138="",$A138&lt;=53),"",--MID('Key Analysis'!$C134,$A138-53,1))</f>
        <v/>
      </c>
      <c r="BE138" s="29" t="str">
        <f>IF(OR($B138="",$A138&lt;=54),"",--MID('Key Analysis'!$C134,$A138-54,1))</f>
        <v/>
      </c>
      <c r="BF138" s="29" t="str">
        <f>IF(OR($B138="",$A138&lt;=55),"",--MID('Key Analysis'!$C134,$A138-55,1))</f>
        <v/>
      </c>
      <c r="BG138" s="29" t="str">
        <f>IF(OR($B138="",$A138&lt;=56),"",--MID('Key Analysis'!$C134,$A138-56,1))</f>
        <v/>
      </c>
      <c r="BH138" s="29" t="str">
        <f>IF(OR($B138="",$A138&lt;=57),"",--MID('Key Analysis'!$C134,$A138-57,1))</f>
        <v/>
      </c>
      <c r="BI138" s="29" t="str">
        <f>IF(OR($B138="",$A138&lt;=58),"",--MID('Key Analysis'!$C134,$A138-58,1))</f>
        <v/>
      </c>
      <c r="BJ138" s="29" t="str">
        <f>IF(OR($B138="",$A138&lt;=59),"",--MID('Key Analysis'!$C134,$A138-59,1))</f>
        <v/>
      </c>
      <c r="BK138" s="29" t="str">
        <f>IF(OR($B138="",$A138&lt;=60),"",--MID('Key Analysis'!$C134,$A138-60,1))</f>
        <v/>
      </c>
      <c r="BL138" s="29" t="str">
        <f>IF(OR($B138="",$A138&lt;=61),"",--MID('Key Analysis'!$C134,$A138-61,1))</f>
        <v/>
      </c>
      <c r="BM138" s="29" t="str">
        <f>IF(OR($B138="",$A138&lt;=62),"",--MID('Key Analysis'!$C134,$A138-62,1))</f>
        <v/>
      </c>
      <c r="BN138" s="29" t="str">
        <f>IF(OR($B138="",$A138&lt;=63),"",--MID('Key Analysis'!$C134,$A138-63,1))</f>
        <v/>
      </c>
      <c r="BO138" s="29" t="str">
        <f>IF(OR($B138="",$A138&lt;=64),"",--MID('Key Analysis'!$C134,$A138-64,1))</f>
        <v/>
      </c>
      <c r="BP138" s="29" t="str">
        <f>IF(OR($B138="",$A138&lt;=65),"",--MID('Key Analysis'!$C134,$A138-65,1))</f>
        <v/>
      </c>
      <c r="BQ138" s="29" t="str">
        <f>IF(OR($B138="",$A138&lt;=66),"",--MID('Key Analysis'!$C134,$A138-66,1))</f>
        <v/>
      </c>
      <c r="BR138" s="29" t="str">
        <f>IF(OR($B138="",$A138&lt;=67),"",--MID('Key Analysis'!$C134,$A138-67,1))</f>
        <v/>
      </c>
      <c r="BS138" s="29" t="str">
        <f>IF(OR($B138="",$A138&lt;=68),"",--MID('Key Analysis'!$C134,$A138-68,1))</f>
        <v/>
      </c>
      <c r="BT138" s="29" t="str">
        <f>IF(OR($B138="",$A138&lt;=69),"",--MID('Key Analysis'!$C134,$A138-69,1))</f>
        <v/>
      </c>
      <c r="BU138" s="29" t="str">
        <f>IF(OR($B138="",$A138&lt;=70),"",--MID('Key Analysis'!$C134,$A138-70,1))</f>
        <v/>
      </c>
      <c r="BV138" s="29" t="str">
        <f>IF(OR($B138="",$A138&lt;=71),"",--MID('Key Analysis'!$C134,$A138-71,1))</f>
        <v/>
      </c>
      <c r="BW138" s="29" t="str">
        <f>IF(OR($B138="",$A138&lt;=72),"",--MID('Key Analysis'!$C134,$A138-72,1))</f>
        <v/>
      </c>
      <c r="BX138" s="29" t="str">
        <f>IF(OR($B138="",$A138&lt;=73),"",--MID('Key Analysis'!$C134,$A138-73,1))</f>
        <v/>
      </c>
      <c r="BY138" s="29" t="str">
        <f>IF(OR($B138="",$A138&lt;=74),"",--MID('Key Analysis'!$C134,$A138-74,1))</f>
        <v/>
      </c>
      <c r="BZ138" s="29" t="str">
        <f>IF(OR($B138="",$A138&lt;=75),"",--MID('Key Analysis'!$C134,$A138-75,1))</f>
        <v/>
      </c>
      <c r="CA138" s="29" t="str">
        <f>IF(OR($B138="",$A138&lt;=76),"",--MID('Key Analysis'!$C134,$A138-76,1))</f>
        <v/>
      </c>
      <c r="CB138" s="29" t="str">
        <f>IF(OR($B138="",$A138&lt;=77),"",--MID('Key Analysis'!$C134,$A138-77,1))</f>
        <v/>
      </c>
      <c r="CC138" s="29" t="str">
        <f>IF(OR($B138="",$A138&lt;=78),"",--MID('Key Analysis'!$C134,$A138-78,1))</f>
        <v/>
      </c>
      <c r="CD138" s="29" t="str">
        <f>IF(OR($B138="",$A138&lt;=79),"",--MID('Key Analysis'!$C134,$A138-79,1))</f>
        <v/>
      </c>
      <c r="CE138" s="29" t="str">
        <f>IF(OR($B138="",$A138&lt;=80),"",--MID('Key Analysis'!$C134,$A138-80,1))</f>
        <v/>
      </c>
      <c r="CF138" s="29" t="str">
        <f>IF(OR($B138="",$A138&lt;=81),"",--MID('Key Analysis'!$C134,$A138-81,1))</f>
        <v/>
      </c>
      <c r="CG138" s="29" t="str">
        <f>IF(OR($B138="",$A138&lt;=82),"",--MID('Key Analysis'!$C134,$A138-82,1))</f>
        <v/>
      </c>
      <c r="CH138" s="29" t="str">
        <f>IF(OR($B138="",$A138&lt;=83),"",--MID('Key Analysis'!$C134,$A138-83,1))</f>
        <v/>
      </c>
      <c r="CI138" s="29" t="str">
        <f>IF(OR($B138="",$A138&lt;=84),"",--MID('Key Analysis'!$C134,$A138-84,1))</f>
        <v/>
      </c>
      <c r="CJ138" s="29" t="str">
        <f>IF(OR($B138="",$A138&lt;=85),"",--MID('Key Analysis'!$C134,$A138-85,1))</f>
        <v/>
      </c>
      <c r="CK138" s="29" t="str">
        <f>IF(OR($B138="",$A138&lt;=86),"",--MID('Key Analysis'!$C134,$A138-86,1))</f>
        <v/>
      </c>
      <c r="CL138" s="29" t="str">
        <f>IF(OR($B138="",$A138&lt;=87),"",--MID('Key Analysis'!$C134,$A138-87,1))</f>
        <v/>
      </c>
      <c r="CM138" s="29" t="str">
        <f>IF(OR($B138="",$A138&lt;=88),"",--MID('Key Analysis'!$C134,$A138-88,1))</f>
        <v/>
      </c>
      <c r="CN138" s="29" t="str">
        <f>IF(OR($B138="",$A138&lt;=89),"",--MID('Key Analysis'!$C134,$A138-89,1))</f>
        <v/>
      </c>
      <c r="CO138" s="29" t="str">
        <f>IF(OR($B138="",$A138&lt;=90),"",--MID('Key Analysis'!$C134,$A138-90,1))</f>
        <v/>
      </c>
      <c r="CP138" s="29" t="str">
        <f>IF(OR($B138="",$A138&lt;=91),"",--MID('Key Analysis'!$C134,$A138-91,1))</f>
        <v/>
      </c>
      <c r="CQ138" s="29" t="str">
        <f>IF(OR($B138="",$A138&lt;=92),"",--MID('Key Analysis'!$C134,$A138-92,1))</f>
        <v/>
      </c>
      <c r="CR138" s="29" t="str">
        <f>IF(OR($B138="",$A138&lt;=93),"",--MID('Key Analysis'!$C134,$A138-93,1))</f>
        <v/>
      </c>
      <c r="CS138" s="29" t="str">
        <f>IF(OR($B138="",$A138&lt;=94),"",--MID('Key Analysis'!$C134,$A138-94,1))</f>
        <v/>
      </c>
      <c r="CT138" s="29" t="str">
        <f>IF(OR($B138="",$A138&lt;=95),"",--MID('Key Analysis'!$C134,$A138-95,1))</f>
        <v/>
      </c>
      <c r="CU138" s="29" t="str">
        <f>IF(OR($B138="",$A138&lt;=96),"",--MID('Key Analysis'!$C134,$A138-96,1))</f>
        <v/>
      </c>
      <c r="CV138" s="29" t="str">
        <f>IF(OR($B138="",$A138&lt;=97),"",--MID('Key Analysis'!$C134,$A138-97,1))</f>
        <v/>
      </c>
      <c r="CW138" s="29" t="str">
        <f>IF(OR($B138="",$A138&lt;=98),"",--MID('Key Analysis'!$C134,$A138-98,1))</f>
        <v/>
      </c>
      <c r="CX138" s="29" t="str">
        <f>IF(OR($B138="",$A138&lt;=99),"",--MID('Key Analysis'!$C134,$A138-99,1))</f>
        <v/>
      </c>
      <c r="CY138" s="29" t="str">
        <f>IF(OR($B138="",$A138&lt;=100),"",--MID('Key Analysis'!$C134,$A138-100,1))</f>
        <v/>
      </c>
      <c r="CZ138" s="29" t="str">
        <f>IF(OR($B138="",$A138&lt;=101),"",--MID('Key Analysis'!$C134,$A138-101,1))</f>
        <v/>
      </c>
      <c r="DA138" s="29" t="str">
        <f>IF(OR($B138="",$A138&lt;=102),"",--MID('Key Analysis'!$C134,$A138-102,1))</f>
        <v/>
      </c>
      <c r="DB138" s="29" t="str">
        <f>IF(OR($B138="",$A138&lt;=103),"",--MID('Key Analysis'!$C134,$A138-103,1))</f>
        <v/>
      </c>
      <c r="DC138" s="29" t="str">
        <f>IF(OR($B138="",$A138&lt;=104),"",--MID('Key Analysis'!$C134,$A138-104,1))</f>
        <v/>
      </c>
      <c r="DD138" s="29" t="str">
        <f>IF(OR($B138="",$A138&lt;=105),"",--MID('Key Analysis'!$C134,$A138-105,1))</f>
        <v/>
      </c>
      <c r="DE138" s="29" t="str">
        <f>IF(OR($B138="",$A138&lt;=106),"",--MID('Key Analysis'!$C134,$A138-106,1))</f>
        <v/>
      </c>
      <c r="DF138" s="29" t="str">
        <f>IF(OR($B138="",$A138&lt;=107),"",--MID('Key Analysis'!$C134,$A138-107,1))</f>
        <v/>
      </c>
      <c r="DG138" s="29" t="str">
        <f>IF(OR($B138="",$A138&lt;=108),"",--MID('Key Analysis'!$C134,$A138-108,1))</f>
        <v/>
      </c>
      <c r="DH138" s="29" t="str">
        <f>IF(OR($B138="",$A138&lt;=109),"",--MID('Key Analysis'!$C134,$A138-109,1))</f>
        <v/>
      </c>
      <c r="DI138" s="29" t="str">
        <f>IF(OR($B138="",$A138&lt;=110),"",--MID('Key Analysis'!$C134,$A138-110,1))</f>
        <v/>
      </c>
      <c r="DJ138" s="29" t="str">
        <f>IF(OR($B138="",$A138&lt;=111),"",--MID('Key Analysis'!$C134,$A138-111,1))</f>
        <v/>
      </c>
      <c r="DK138" s="29" t="str">
        <f>IF(OR($B138="",$A138&lt;=112),"",--MID('Key Analysis'!$C134,$A138-112,1))</f>
        <v/>
      </c>
      <c r="DL138" s="29" t="str">
        <f>IF(OR($B138="",$A138&lt;=113),"",--MID('Key Analysis'!$C134,$A138-113,1))</f>
        <v/>
      </c>
      <c r="DM138" s="29" t="str">
        <f>IF(OR($B138="",$A138&lt;=114),"",--MID('Key Analysis'!$C134,$A138-114,1))</f>
        <v/>
      </c>
      <c r="DN138" s="29" t="str">
        <f>IF(OR($B138="",$A138&lt;=115),"",--MID('Key Analysis'!$C134,$A138-115,1))</f>
        <v/>
      </c>
      <c r="DO138" s="29" t="str">
        <f>IF(OR($B138="",$A138&lt;=116),"",--MID('Key Analysis'!$C134,$A138-116,1))</f>
        <v/>
      </c>
      <c r="DP138" s="29" t="str">
        <f>IF(OR($B138="",$A138&lt;=117),"",--MID('Key Analysis'!$C134,$A138-117,1))</f>
        <v/>
      </c>
      <c r="DQ138" s="29" t="str">
        <f>IF(OR($B138="",$A138&lt;=118),"",--MID('Key Analysis'!$C134,$A138-118,1))</f>
        <v/>
      </c>
      <c r="DR138" s="29" t="str">
        <f>IF(OR($B138="",$A138&lt;=119),"",--MID('Key Analysis'!$C134,$A138-119,1))</f>
        <v/>
      </c>
      <c r="DS138" s="29" t="str">
        <f>IF(OR($B138="",$A138&lt;=120),"",--MID('Key Analysis'!$C134,$A138-120,1))</f>
        <v/>
      </c>
      <c r="DT138" s="29" t="str">
        <f>IF(OR($B138="",$A138&lt;=121),"",--MID('Key Analysis'!$C134,$A138-121,1))</f>
        <v/>
      </c>
      <c r="DU138" s="29" t="str">
        <f>IF(OR($B138="",$A138&lt;=122),"",--MID('Key Analysis'!$C134,$A138-122,1))</f>
        <v/>
      </c>
      <c r="DV138" s="29" t="str">
        <f>IF(OR($B138="",$A138&lt;=123),"",--MID('Key Analysis'!$C134,$A138-123,1))</f>
        <v/>
      </c>
      <c r="DW138" s="29" t="str">
        <f>IF(OR($B138="",$A138&lt;=124),"",--MID('Key Analysis'!$C134,$A138-124,1))</f>
        <v/>
      </c>
      <c r="DX138" s="29" t="str">
        <f>IF(OR($B138="",$A138&lt;=125),"",--MID('Key Analysis'!$C134,$A138-125,1))</f>
        <v/>
      </c>
      <c r="DY138" s="29" t="str">
        <f>IF(OR($B138="",$A138&lt;=126),"",--MID('Key Analysis'!$C134,$A138-126,1))</f>
        <v/>
      </c>
      <c r="DZ138" s="29" t="str">
        <f>IF(OR($B138="",$A138&lt;=127),"",--MID('Key Analysis'!$C134,$A138-127,1))</f>
        <v/>
      </c>
      <c r="EA138" s="29" t="str">
        <f>IF(OR($B138="",$A138&lt;=128),"",--MID('Key Analysis'!$C134,$A138-128,1))</f>
        <v/>
      </c>
      <c r="EB138" s="29" t="str">
        <f>IF(OR($B138="",$A138&lt;=129),"",--MID('Key Analysis'!$C134,$A138-129,1))</f>
        <v/>
      </c>
      <c r="EC138" s="29" t="str">
        <f>IF(OR($B138="",$A138&lt;=130),"",--MID('Key Analysis'!$C134,$A138-130,1))</f>
        <v/>
      </c>
      <c r="ED138" s="29" t="str">
        <f>IF(OR($B138="",$A138&lt;=131),"",--MID('Key Analysis'!$C134,$A138-131,1))</f>
        <v/>
      </c>
      <c r="EE138" s="29" t="str">
        <f>IF(OR($B138="",$A138&lt;=132),"",--MID('Key Analysis'!$C134,$A138-132,1))</f>
        <v/>
      </c>
      <c r="EF138" s="29" t="str">
        <f>IF(OR($B138="",$A138&lt;=133),"",--MID('Key Analysis'!$C134,$A138-133,1))</f>
        <v/>
      </c>
      <c r="EG138" s="29" t="str">
        <f>IF(OR($B138="",$A138&lt;=134),"",--MID('Key Analysis'!$C134,$A138-134,1))</f>
        <v/>
      </c>
      <c r="EH138" s="29"/>
      <c r="EI138" s="29" t="str">
        <f>IF(OR($B138="",$A138&lt;1),"",--MID('Key Analysis'!$C134,1,1))</f>
        <v/>
      </c>
      <c r="EJ138" s="29" t="str">
        <f>IF(OR($B138="",$A138&lt;2),"",--MID('Key Analysis'!$C134,2,1))</f>
        <v/>
      </c>
      <c r="EK138" s="29" t="str">
        <f>IF(OR($B138="",$A138&lt;3),"",--MID('Key Analysis'!$C134,3,1))</f>
        <v/>
      </c>
      <c r="EL138" s="29" t="str">
        <f>IF(OR($B138="",$A138&lt;4),"",--MID('Key Analysis'!$C134,4,1))</f>
        <v/>
      </c>
      <c r="EM138" s="29" t="str">
        <f>IF(OR($B138="",$A138&lt;5),"",--MID('Key Analysis'!$C134,5,1))</f>
        <v/>
      </c>
      <c r="EN138" s="29" t="str">
        <f>IF(OR($B138="",$A138&lt;6),"",--MID('Key Analysis'!$C134,6,1))</f>
        <v/>
      </c>
      <c r="EO138" s="29" t="str">
        <f>IF(OR($B138="",$A138&lt;7),"",--MID('Key Analysis'!$C134,7,1))</f>
        <v/>
      </c>
      <c r="EP138" s="29" t="str">
        <f>IF(OR($B138="",$A138&lt;8),"",--MID('Key Analysis'!$C134,8,1))</f>
        <v/>
      </c>
      <c r="EQ138" s="29" t="str">
        <f>IF(OR($B138="",$A138&lt;9),"",--MID('Key Analysis'!$C134,9,1))</f>
        <v/>
      </c>
      <c r="ER138" s="29" t="str">
        <f>IF(OR($B138="",$A138&lt;10),"",--MID('Key Analysis'!$C134,10,1))</f>
        <v/>
      </c>
      <c r="ES138" s="29" t="str">
        <f>IF(OR($B138="",$A138&lt;11),"",--MID('Key Analysis'!$C134,11,1))</f>
        <v/>
      </c>
      <c r="ET138" s="29" t="str">
        <f>IF(OR($B138="",$A138&lt;12),"",--MID('Key Analysis'!$C134,12,1))</f>
        <v/>
      </c>
      <c r="EU138" s="29" t="str">
        <f>IF(OR($B138="",$A138&lt;13),"",--MID('Key Analysis'!$C134,13,1))</f>
        <v/>
      </c>
      <c r="EV138" s="29" t="str">
        <f>IF(OR($B138="",$A138&lt;14),"",--MID('Key Analysis'!$C134,14,1))</f>
        <v/>
      </c>
      <c r="EW138" s="29" t="str">
        <f>IF(OR($B138="",$A138&lt;15),"",--MID('Key Analysis'!$C134,15,1))</f>
        <v/>
      </c>
      <c r="EX138" s="29" t="str">
        <f>IF(OR($B138="",$A138&lt;16),"",--MID('Key Analysis'!$C134,16,1))</f>
        <v/>
      </c>
      <c r="EY138" s="29" t="str">
        <f>IF(OR($B138="",$A138&lt;17),"",--MID('Key Analysis'!$C134,17,1))</f>
        <v/>
      </c>
      <c r="EZ138" s="29" t="str">
        <f>IF(OR($B138="",$A138&lt;18),"",--MID('Key Analysis'!$C134,18,1))</f>
        <v/>
      </c>
      <c r="FA138" s="29" t="str">
        <f>IF(OR($B138="",$A138&lt;19),"",--MID('Key Analysis'!$C134,19,1))</f>
        <v/>
      </c>
      <c r="FB138" s="29" t="str">
        <f>IF(OR($B138="",$A138&lt;20),"",--MID('Key Analysis'!$C134,20,1))</f>
        <v/>
      </c>
      <c r="FC138" s="29" t="str">
        <f>IF(OR($B138="",$A138&lt;21),"",--MID('Key Analysis'!$C134,21,1))</f>
        <v/>
      </c>
      <c r="FD138" s="29" t="str">
        <f>IF(OR($B138="",$A138&lt;22),"",--MID('Key Analysis'!$C134,22,1))</f>
        <v/>
      </c>
      <c r="FE138" s="29" t="str">
        <f>IF(OR($B138="",$A138&lt;23),"",--MID('Key Analysis'!$C134,23,1))</f>
        <v/>
      </c>
      <c r="FF138" s="29" t="str">
        <f>IF(OR($B138="",$A138&lt;24),"",--MID('Key Analysis'!$C134,24,1))</f>
        <v/>
      </c>
      <c r="FG138" s="29" t="str">
        <f>IF(OR($B138="",$A138&lt;25),"",--MID('Key Analysis'!$C134,25,1))</f>
        <v/>
      </c>
      <c r="FH138" s="29" t="str">
        <f>IF(OR($B138="",$A138&lt;26),"",--MID('Key Analysis'!$C134,26,1))</f>
        <v/>
      </c>
      <c r="FI138" s="29" t="str">
        <f>IF(OR($B138="",$A138&lt;27),"",--MID('Key Analysis'!$C134,27,1))</f>
        <v/>
      </c>
      <c r="FJ138" s="29" t="str">
        <f>IF(OR($B138="",$A138&lt;28),"",--MID('Key Analysis'!$C134,28,1))</f>
        <v/>
      </c>
      <c r="FK138" s="29" t="str">
        <f>IF(OR($B138="",$A138&lt;29),"",--MID('Key Analysis'!$C134,29,1))</f>
        <v/>
      </c>
      <c r="FL138" s="29" t="str">
        <f>IF(OR($B138="",$A138&lt;30),"",--MID('Key Analysis'!$C134,30,1))</f>
        <v/>
      </c>
      <c r="FM138" s="29" t="str">
        <f>IF(OR($B138="",$A138&lt;31),"",--MID('Key Analysis'!$C134,31,1))</f>
        <v/>
      </c>
      <c r="FN138" s="29" t="str">
        <f>IF(OR($B138="",$A138&lt;32),"",--MID('Key Analysis'!$C134,32,1))</f>
        <v/>
      </c>
      <c r="FO138" s="29" t="str">
        <f>IF(OR($B138="",$A138&lt;33),"",--MID('Key Analysis'!$C134,33,1))</f>
        <v/>
      </c>
      <c r="FP138" s="29" t="str">
        <f>IF(OR($B138="",$A138&lt;34),"",--MID('Key Analysis'!$C134,34,1))</f>
        <v/>
      </c>
      <c r="FQ138" s="29" t="str">
        <f>IF(OR($B138="",$A138&lt;35),"",--MID('Key Analysis'!$C134,35,1))</f>
        <v/>
      </c>
      <c r="FR138" s="29" t="str">
        <f>IF(OR($B138="",$A138&lt;36),"",--MID('Key Analysis'!$C134,36,1))</f>
        <v/>
      </c>
      <c r="FS138" s="29" t="str">
        <f>IF(OR($B138="",$A138&lt;37),"",--MID('Key Analysis'!$C134,37,1))</f>
        <v/>
      </c>
      <c r="FT138" s="29" t="str">
        <f>IF(OR($B138="",$A138&lt;38),"",--MID('Key Analysis'!$C134,38,1))</f>
        <v/>
      </c>
      <c r="FU138" s="29" t="str">
        <f>IF(OR($B138="",$A138&lt;39),"",--MID('Key Analysis'!$C134,39,1))</f>
        <v/>
      </c>
      <c r="FV138" s="29" t="str">
        <f>IF(OR($B138="",$A138&lt;40),"",--MID('Key Analysis'!$C134,40,1))</f>
        <v/>
      </c>
      <c r="FW138" s="29" t="str">
        <f>IF(OR($B138="",$A138&lt;41),"",--MID('Key Analysis'!$C134,41,1))</f>
        <v/>
      </c>
      <c r="FX138" s="29" t="str">
        <f>IF(OR($B138="",$A138&lt;42),"",--MID('Key Analysis'!$C134,42,1))</f>
        <v/>
      </c>
      <c r="FY138" s="29" t="str">
        <f>IF(OR($B138="",$A138&lt;43),"",--MID('Key Analysis'!$C134,43,1))</f>
        <v/>
      </c>
      <c r="FZ138" s="29" t="str">
        <f>IF(OR($B138="",$A138&lt;44),"",--MID('Key Analysis'!$C134,44,1))</f>
        <v/>
      </c>
      <c r="GA138" s="29" t="str">
        <f>IF(OR($B138="",$A138&lt;45),"",--MID('Key Analysis'!$C134,45,1))</f>
        <v/>
      </c>
      <c r="GB138" s="29" t="str">
        <f>IF(OR($B138="",$A138&lt;46),"",--MID('Key Analysis'!$C134,46,1))</f>
        <v/>
      </c>
      <c r="GC138" s="29" t="str">
        <f>IF(OR($B138="",$A138&lt;47),"",--MID('Key Analysis'!$C134,47,1))</f>
        <v/>
      </c>
      <c r="GD138" s="29" t="str">
        <f>IF(OR($B138="",$A138&lt;48),"",--MID('Key Analysis'!$C134,48,1))</f>
        <v/>
      </c>
      <c r="GE138" s="29" t="str">
        <f>IF(OR($B138="",$A138&lt;49),"",--MID('Key Analysis'!$C134,49,1))</f>
        <v/>
      </c>
      <c r="GF138" s="29" t="str">
        <f>IF(OR($B138="",$A138&lt;50),"",--MID('Key Analysis'!$C134,50,1))</f>
        <v/>
      </c>
      <c r="GG138" s="29" t="str">
        <f>IF(OR($B138="",$A138&lt;51),"",--MID('Key Analysis'!$C134,51,1))</f>
        <v/>
      </c>
      <c r="GH138" s="29" t="str">
        <f>IF(OR($B138="",$A138&lt;52),"",--MID('Key Analysis'!$C134,52,1))</f>
        <v/>
      </c>
      <c r="GI138" s="29" t="str">
        <f>IF(OR($B138="",$A138&lt;53),"",--MID('Key Analysis'!$C134,53,1))</f>
        <v/>
      </c>
      <c r="GJ138" s="29" t="str">
        <f>IF(OR($B138="",$A138&lt;54),"",--MID('Key Analysis'!$C134,54,1))</f>
        <v/>
      </c>
      <c r="GK138" s="29" t="str">
        <f>IF(OR($B138="",$A138&lt;55),"",--MID('Key Analysis'!$C134,55,1))</f>
        <v/>
      </c>
      <c r="GL138" s="29" t="str">
        <f>IF(OR($B138="",$A138&lt;56),"",--MID('Key Analysis'!$C134,56,1))</f>
        <v/>
      </c>
      <c r="GM138" s="29" t="str">
        <f>IF(OR($B138="",$A138&lt;57),"",--MID('Key Analysis'!$C134,57,1))</f>
        <v/>
      </c>
      <c r="GN138" s="29" t="str">
        <f>IF(OR($B138="",$A138&lt;58),"",--MID('Key Analysis'!$C134,58,1))</f>
        <v/>
      </c>
      <c r="GO138" s="29" t="str">
        <f>IF(OR($B138="",$A138&lt;59),"",--MID('Key Analysis'!$C134,59,1))</f>
        <v/>
      </c>
      <c r="GP138" s="29" t="str">
        <f>IF(OR($B138="",$A138&lt;60),"",--MID('Key Analysis'!$C134,60,1))</f>
        <v/>
      </c>
      <c r="GQ138" s="29" t="str">
        <f>IF(OR($B138="",$A138&lt;61),"",--MID('Key Analysis'!$C134,61,1))</f>
        <v/>
      </c>
      <c r="GR138" s="29" t="str">
        <f>IF(OR($B138="",$A138&lt;62),"",--MID('Key Analysis'!$C134,62,1))</f>
        <v/>
      </c>
      <c r="GS138" s="29" t="str">
        <f>IF(OR($B138="",$A138&lt;63),"",--MID('Key Analysis'!$C134,63,1))</f>
        <v/>
      </c>
      <c r="GT138" s="29" t="str">
        <f>IF(OR($B138="",$A138&lt;64),"",--MID('Key Analysis'!$C134,64,1))</f>
        <v/>
      </c>
      <c r="GU138" s="29" t="str">
        <f>IF(OR($B138="",$A138&lt;65),"",--MID('Key Analysis'!$C134,65,1))</f>
        <v/>
      </c>
      <c r="GV138" s="29" t="str">
        <f>IF(OR($B138="",$A138&lt;66),"",--MID('Key Analysis'!$C134,66,1))</f>
        <v/>
      </c>
      <c r="GW138" s="29" t="str">
        <f>IF(OR($B138="",$A138&lt;67),"",--MID('Key Analysis'!$C134,67,1))</f>
        <v/>
      </c>
      <c r="GX138" s="29" t="str">
        <f>IF(OR($B138="",$A138&lt;68),"",--MID('Key Analysis'!$C134,68,1))</f>
        <v/>
      </c>
      <c r="GY138" s="29" t="str">
        <f>IF(OR($B138="",$A138&lt;69),"",--MID('Key Analysis'!$C134,69,1))</f>
        <v/>
      </c>
      <c r="GZ138" s="29" t="str">
        <f>IF(OR($B138="",$A138&lt;70),"",--MID('Key Analysis'!$C134,70,1))</f>
        <v/>
      </c>
      <c r="HA138" s="29" t="str">
        <f>IF(OR($B138="",$A138&lt;71),"",--MID('Key Analysis'!$C134,71,1))</f>
        <v/>
      </c>
      <c r="HB138" s="29" t="str">
        <f>IF(OR($B138="",$A138&lt;72),"",--MID('Key Analysis'!$C134,72,1))</f>
        <v/>
      </c>
      <c r="HC138" s="29" t="str">
        <f>IF(OR($B138="",$A138&lt;73),"",--MID('Key Analysis'!$C134,73,1))</f>
        <v/>
      </c>
      <c r="HD138" s="29" t="str">
        <f>IF(OR($B138="",$A138&lt;74),"",--MID('Key Analysis'!$C134,74,1))</f>
        <v/>
      </c>
      <c r="HE138" s="29" t="str">
        <f>IF(OR($B138="",$A138&lt;75),"",--MID('Key Analysis'!$C134,75,1))</f>
        <v/>
      </c>
      <c r="HF138" s="29" t="str">
        <f>IF(OR($B138="",$A138&lt;76),"",--MID('Key Analysis'!$C134,76,1))</f>
        <v/>
      </c>
      <c r="HG138" s="29" t="str">
        <f>IF(OR($B138="",$A138&lt;77),"",--MID('Key Analysis'!$C134,77,1))</f>
        <v/>
      </c>
      <c r="HH138" s="29" t="str">
        <f>IF(OR($B138="",$A138&lt;78),"",--MID('Key Analysis'!$C134,78,1))</f>
        <v/>
      </c>
      <c r="HI138" s="29" t="str">
        <f>IF(OR($B138="",$A138&lt;79),"",--MID('Key Analysis'!$C134,79,1))</f>
        <v/>
      </c>
      <c r="HJ138" s="29" t="str">
        <f>IF(OR($B138="",$A138&lt;80),"",--MID('Key Analysis'!$C134,80,1))</f>
        <v/>
      </c>
      <c r="HK138" s="29" t="str">
        <f>IF(OR($B138="",$A138&lt;81),"",--MID('Key Analysis'!$C134,81,1))</f>
        <v/>
      </c>
      <c r="HL138" s="29" t="str">
        <f>IF(OR($B138="",$A138&lt;82),"",--MID('Key Analysis'!$C134,82,1))</f>
        <v/>
      </c>
      <c r="HM138" s="29" t="str">
        <f>IF(OR($B138="",$A138&lt;83),"",--MID('Key Analysis'!$C134,83,1))</f>
        <v/>
      </c>
      <c r="HN138" s="29" t="str">
        <f>IF(OR($B138="",$A138&lt;84),"",--MID('Key Analysis'!$C134,84,1))</f>
        <v/>
      </c>
      <c r="HO138" s="29" t="str">
        <f>IF(OR($B138="",$A138&lt;85),"",--MID('Key Analysis'!$C134,85,1))</f>
        <v/>
      </c>
      <c r="HP138" s="29" t="str">
        <f>IF(OR($B138="",$A138&lt;86),"",--MID('Key Analysis'!$C134,86,1))</f>
        <v/>
      </c>
      <c r="HQ138" s="29" t="str">
        <f>IF(OR($B138="",$A138&lt;87),"",--MID('Key Analysis'!$C134,87,1))</f>
        <v/>
      </c>
      <c r="HR138" s="29" t="str">
        <f>IF(OR($B138="",$A138&lt;88),"",--MID('Key Analysis'!$C134,88,1))</f>
        <v/>
      </c>
      <c r="HS138" s="29" t="str">
        <f>IF(OR($B138="",$A138&lt;89),"",--MID('Key Analysis'!$C134,89,1))</f>
        <v/>
      </c>
      <c r="HT138" s="29" t="str">
        <f>IF(OR($B138="",$A138&lt;90),"",--MID('Key Analysis'!$C134,90,1))</f>
        <v/>
      </c>
      <c r="HU138" s="29" t="str">
        <f>IF(OR($B138="",$A138&lt;91),"",--MID('Key Analysis'!$C134,91,1))</f>
        <v/>
      </c>
      <c r="HV138" s="29" t="str">
        <f>IF(OR($B138="",$A138&lt;92),"",--MID('Key Analysis'!$C134,92,1))</f>
        <v/>
      </c>
      <c r="HW138" s="29" t="str">
        <f>IF(OR($B138="",$A138&lt;93),"",--MID('Key Analysis'!$C134,93,1))</f>
        <v/>
      </c>
      <c r="HX138" s="29" t="str">
        <f>IF(OR($B138="",$A138&lt;94),"",--MID('Key Analysis'!$C134,94,1))</f>
        <v/>
      </c>
      <c r="HY138" s="29" t="str">
        <f>IF(OR($B138="",$A138&lt;95),"",--MID('Key Analysis'!$C134,95,1))</f>
        <v/>
      </c>
      <c r="HZ138" s="29" t="str">
        <f>IF(OR($B138="",$A138&lt;96),"",--MID('Key Analysis'!$C134,96,1))</f>
        <v/>
      </c>
      <c r="IA138" s="29" t="str">
        <f>IF(OR($B138="",$A138&lt;97),"",--MID('Key Analysis'!$C134,97,1))</f>
        <v/>
      </c>
      <c r="IB138" s="29" t="str">
        <f>IF(OR($B138="",$A138&lt;98),"",--MID('Key Analysis'!$C134,98,1))</f>
        <v/>
      </c>
      <c r="IC138" s="29" t="str">
        <f>IF(OR($B138="",$A138&lt;99),"",--MID('Key Analysis'!$C134,99,1))</f>
        <v/>
      </c>
      <c r="ID138" s="29" t="str">
        <f>IF(OR($B138="",$A138&lt;100),"",--MID('Key Analysis'!$C134,100,1))</f>
        <v/>
      </c>
      <c r="IE138" s="29" t="str">
        <f>IF(OR($B138="",$A138&lt;101),"",--MID('Key Analysis'!$C134,101,1))</f>
        <v/>
      </c>
      <c r="IF138" s="29" t="str">
        <f>IF(OR($B138="",$A138&lt;102),"",--MID('Key Analysis'!$C134,102,1))</f>
        <v/>
      </c>
      <c r="IG138" s="29" t="str">
        <f>IF(OR($B138="",$A138&lt;103),"",--MID('Key Analysis'!$C134,103,1))</f>
        <v/>
      </c>
      <c r="IH138" s="29" t="str">
        <f>IF(OR($B138="",$A138&lt;104),"",--MID('Key Analysis'!$C134,104,1))</f>
        <v/>
      </c>
      <c r="II138" s="29" t="str">
        <f>IF(OR($B138="",$A138&lt;105),"",--MID('Key Analysis'!$C134,105,1))</f>
        <v/>
      </c>
      <c r="IJ138" s="29" t="str">
        <f>IF(OR($B138="",$A138&lt;106),"",--MID('Key Analysis'!$C134,106,1))</f>
        <v/>
      </c>
      <c r="IK138" s="29" t="str">
        <f>IF(OR($B138="",$A138&lt;107),"",--MID('Key Analysis'!$C134,107,1))</f>
        <v/>
      </c>
      <c r="IL138" s="29" t="str">
        <f>IF(OR($B138="",$A138&lt;108),"",--MID('Key Analysis'!$C134,108,1))</f>
        <v/>
      </c>
      <c r="IM138" s="29" t="str">
        <f>IF(OR($B138="",$A138&lt;109),"",--MID('Key Analysis'!$C134,109,1))</f>
        <v/>
      </c>
      <c r="IN138" s="29" t="str">
        <f>IF(OR($B138="",$A138&lt;110),"",--MID('Key Analysis'!$C134,110,1))</f>
        <v/>
      </c>
      <c r="IO138" s="29" t="str">
        <f>IF(OR($B138="",$A138&lt;111),"",--MID('Key Analysis'!$C134,111,1))</f>
        <v/>
      </c>
      <c r="IP138" s="29" t="str">
        <f>IF(OR($B138="",$A138&lt;112),"",--MID('Key Analysis'!$C134,112,1))</f>
        <v/>
      </c>
      <c r="IQ138" s="29" t="str">
        <f>IF(OR($B138="",$A138&lt;113),"",--MID('Key Analysis'!$C134,113,1))</f>
        <v/>
      </c>
      <c r="IR138" s="29" t="str">
        <f>IF(OR($B138="",$A138&lt;114),"",--MID('Key Analysis'!$C134,114,1))</f>
        <v/>
      </c>
      <c r="IS138" s="29" t="str">
        <f>IF(OR($B138="",$A138&lt;115),"",--MID('Key Analysis'!$C134,115,1))</f>
        <v/>
      </c>
      <c r="IT138" s="29" t="str">
        <f>IF(OR($B138="",$A138&lt;116),"",--MID('Key Analysis'!$C134,116,1))</f>
        <v/>
      </c>
      <c r="IU138" s="29" t="str">
        <f>IF(OR($B138="",$A138&lt;117),"",--MID('Key Analysis'!$C134,117,1))</f>
        <v/>
      </c>
      <c r="IV138" s="29" t="str">
        <f>IF(OR($B138="",$A138&lt;118),"",--MID('Key Analysis'!$C134,118,1))</f>
        <v/>
      </c>
      <c r="IW138" s="29" t="str">
        <f>IF(OR($B138="",$A138&lt;119),"",--MID('Key Analysis'!$C134,119,1))</f>
        <v/>
      </c>
      <c r="IX138" s="29" t="str">
        <f>IF(OR($B138="",$A138&lt;120),"",--MID('Key Analysis'!$C134,120,1))</f>
        <v/>
      </c>
      <c r="IY138" s="29" t="str">
        <f>IF(OR($B138="",$A138&lt;121),"",--MID('Key Analysis'!$C134,121,1))</f>
        <v/>
      </c>
      <c r="IZ138" s="29" t="str">
        <f>IF(OR($B138="",$A138&lt;122),"",--MID('Key Analysis'!$C134,122,1))</f>
        <v/>
      </c>
      <c r="JA138" s="29" t="str">
        <f>IF(OR($B138="",$A138&lt;123),"",--MID('Key Analysis'!$C134,123,1))</f>
        <v/>
      </c>
      <c r="JB138" s="29" t="str">
        <f>IF(OR($B138="",$A138&lt;124),"",--MID('Key Analysis'!$C134,124,1))</f>
        <v/>
      </c>
      <c r="JC138" s="29" t="str">
        <f>IF(OR($B138="",$A138&lt;125),"",--MID('Key Analysis'!$C134,125,1))</f>
        <v/>
      </c>
      <c r="JD138" s="29" t="str">
        <f>IF(OR($B138="",$A138&lt;126),"",--MID('Key Analysis'!$C134,126,1))</f>
        <v/>
      </c>
      <c r="JE138" s="29" t="str">
        <f>IF(OR($B138="",$A138&lt;127),"",--MID('Key Analysis'!$C134,127,1))</f>
        <v/>
      </c>
      <c r="JF138" s="29" t="str">
        <f>IF(OR($B138="",$A138&lt;128),"",--MID('Key Analysis'!$C134,128,1))</f>
        <v/>
      </c>
      <c r="JG138" s="29" t="str">
        <f>IF(OR($B138="",$A138&lt;129),"",--MID('Key Analysis'!$C134,129,1))</f>
        <v/>
      </c>
      <c r="JH138" s="29" t="str">
        <f>IF(OR($B138="",$A138&lt;130),"",--MID('Key Analysis'!$C134,130,1))</f>
        <v/>
      </c>
      <c r="JI138" s="29" t="str">
        <f>IF(OR($B138="",$A138&lt;131),"",--MID('Key Analysis'!$C134,131,1))</f>
        <v/>
      </c>
      <c r="JJ138" s="29" t="str">
        <f>IF(OR($B138="",$A138&lt;132),"",--MID('Key Analysis'!$C134,132,1))</f>
        <v/>
      </c>
      <c r="JK138" s="29" t="str">
        <f>IF(OR($B138="",$A138&lt;133),"",--MID('Key Analysis'!$C134,133,1))</f>
        <v/>
      </c>
      <c r="JL138" s="29" t="str">
        <f>IF(OR($B138="",$A138&lt;134),"",--MID('Key Analysis'!$C134,134,1))</f>
        <v/>
      </c>
      <c r="JM138" s="29" t="str">
        <f>IF(OR($B138="",$A138&lt;135),"",--MID('Key Analysis'!$C134,135,1))</f>
        <v/>
      </c>
    </row>
    <row r="139" spans="1:273" x14ac:dyDescent="0.25">
      <c r="A139" s="21">
        <f>'Key Analysis'!A135</f>
        <v>134</v>
      </c>
      <c r="B139" s="30" t="str">
        <f>'Key Analysis'!B135</f>
        <v/>
      </c>
      <c r="C139" s="29" t="str">
        <f>IF(OR($B139="",$A139&lt;=0),"",--MID('Key Analysis'!$C135,$A139-0,1))</f>
        <v/>
      </c>
      <c r="D139" s="29" t="str">
        <f>IF(OR($B139="",$A139&lt;=1),"",--MID('Key Analysis'!$C135,$A139-1,1))</f>
        <v/>
      </c>
      <c r="E139" s="29" t="str">
        <f>IF(OR($B139="",$A139&lt;=2),"",--MID('Key Analysis'!$C135,$A139-2,1))</f>
        <v/>
      </c>
      <c r="F139" s="29" t="str">
        <f>IF(OR($B139="",$A139&lt;=3),"",--MID('Key Analysis'!$C135,$A139-3,1))</f>
        <v/>
      </c>
      <c r="G139" s="29" t="str">
        <f>IF(OR($B139="",$A139&lt;=4),"",--MID('Key Analysis'!$C135,$A139-4,1))</f>
        <v/>
      </c>
      <c r="H139" s="29" t="str">
        <f>IF(OR($B139="",$A139&lt;=5),"",--MID('Key Analysis'!$C135,$A139-5,1))</f>
        <v/>
      </c>
      <c r="I139" s="29" t="str">
        <f>IF(OR($B139="",$A139&lt;=6),"",--MID('Key Analysis'!$C135,$A139-6,1))</f>
        <v/>
      </c>
      <c r="J139" s="29" t="str">
        <f>IF(OR($B139="",$A139&lt;=7),"",--MID('Key Analysis'!$C135,$A139-7,1))</f>
        <v/>
      </c>
      <c r="K139" s="29" t="str">
        <f>IF(OR($B139="",$A139&lt;=8),"",--MID('Key Analysis'!$C135,$A139-8,1))</f>
        <v/>
      </c>
      <c r="L139" s="29" t="str">
        <f>IF(OR($B139="",$A139&lt;=9),"",--MID('Key Analysis'!$C135,$A139-9,1))</f>
        <v/>
      </c>
      <c r="M139" s="29" t="str">
        <f>IF(OR($B139="",$A139&lt;=10),"",--MID('Key Analysis'!$C135,$A139-10,1))</f>
        <v/>
      </c>
      <c r="N139" s="29" t="str">
        <f>IF(OR($B139="",$A139&lt;=11),"",--MID('Key Analysis'!$C135,$A139-11,1))</f>
        <v/>
      </c>
      <c r="O139" s="29" t="str">
        <f>IF(OR($B139="",$A139&lt;=12),"",--MID('Key Analysis'!$C135,$A139-12,1))</f>
        <v/>
      </c>
      <c r="P139" s="29" t="str">
        <f>IF(OR($B139="",$A139&lt;=13),"",--MID('Key Analysis'!$C135,$A139-13,1))</f>
        <v/>
      </c>
      <c r="Q139" s="29" t="str">
        <f>IF(OR($B139="",$A139&lt;=14),"",--MID('Key Analysis'!$C135,$A139-14,1))</f>
        <v/>
      </c>
      <c r="R139" s="29" t="str">
        <f>IF(OR($B139="",$A139&lt;=15),"",--MID('Key Analysis'!$C135,$A139-15,1))</f>
        <v/>
      </c>
      <c r="S139" s="29" t="str">
        <f>IF(OR($B139="",$A139&lt;=16),"",--MID('Key Analysis'!$C135,$A139-16,1))</f>
        <v/>
      </c>
      <c r="T139" s="29" t="str">
        <f>IF(OR($B139="",$A139&lt;=17),"",--MID('Key Analysis'!$C135,$A139-17,1))</f>
        <v/>
      </c>
      <c r="U139" s="29" t="str">
        <f>IF(OR($B139="",$A139&lt;=18),"",--MID('Key Analysis'!$C135,$A139-18,1))</f>
        <v/>
      </c>
      <c r="V139" s="29" t="str">
        <f>IF(OR($B139="",$A139&lt;=19),"",--MID('Key Analysis'!$C135,$A139-19,1))</f>
        <v/>
      </c>
      <c r="W139" s="29" t="str">
        <f>IF(OR($B139="",$A139&lt;=20),"",--MID('Key Analysis'!$C135,$A139-20,1))</f>
        <v/>
      </c>
      <c r="X139" s="29" t="str">
        <f>IF(OR($B139="",$A139&lt;=21),"",--MID('Key Analysis'!$C135,$A139-21,1))</f>
        <v/>
      </c>
      <c r="Y139" s="29" t="str">
        <f>IF(OR($B139="",$A139&lt;=22),"",--MID('Key Analysis'!$C135,$A139-22,1))</f>
        <v/>
      </c>
      <c r="Z139" s="29" t="str">
        <f>IF(OR($B139="",$A139&lt;=23),"",--MID('Key Analysis'!$C135,$A139-23,1))</f>
        <v/>
      </c>
      <c r="AA139" s="29" t="str">
        <f>IF(OR($B139="",$A139&lt;=24),"",--MID('Key Analysis'!$C135,$A139-24,1))</f>
        <v/>
      </c>
      <c r="AB139" s="29" t="str">
        <f>IF(OR($B139="",$A139&lt;=25),"",--MID('Key Analysis'!$C135,$A139-25,1))</f>
        <v/>
      </c>
      <c r="AC139" s="29" t="str">
        <f>IF(OR($B139="",$A139&lt;=26),"",--MID('Key Analysis'!$C135,$A139-26,1))</f>
        <v/>
      </c>
      <c r="AD139" s="29" t="str">
        <f>IF(OR($B139="",$A139&lt;=27),"",--MID('Key Analysis'!$C135,$A139-27,1))</f>
        <v/>
      </c>
      <c r="AE139" s="29" t="str">
        <f>IF(OR($B139="",$A139&lt;=28),"",--MID('Key Analysis'!$C135,$A139-28,1))</f>
        <v/>
      </c>
      <c r="AF139" s="29" t="str">
        <f>IF(OR($B139="",$A139&lt;=29),"",--MID('Key Analysis'!$C135,$A139-29,1))</f>
        <v/>
      </c>
      <c r="AG139" s="29" t="str">
        <f>IF(OR($B139="",$A139&lt;=30),"",--MID('Key Analysis'!$C135,$A139-30,1))</f>
        <v/>
      </c>
      <c r="AH139" s="29" t="str">
        <f>IF(OR($B139="",$A139&lt;=31),"",--MID('Key Analysis'!$C135,$A139-31,1))</f>
        <v/>
      </c>
      <c r="AI139" s="29" t="str">
        <f>IF(OR($B139="",$A139&lt;=32),"",--MID('Key Analysis'!$C135,$A139-32,1))</f>
        <v/>
      </c>
      <c r="AJ139" s="29" t="str">
        <f>IF(OR($B139="",$A139&lt;=33),"",--MID('Key Analysis'!$C135,$A139-33,1))</f>
        <v/>
      </c>
      <c r="AK139" s="29" t="str">
        <f>IF(OR($B139="",$A139&lt;=34),"",--MID('Key Analysis'!$C135,$A139-34,1))</f>
        <v/>
      </c>
      <c r="AL139" s="29" t="str">
        <f>IF(OR($B139="",$A139&lt;=35),"",--MID('Key Analysis'!$C135,$A139-35,1))</f>
        <v/>
      </c>
      <c r="AM139" s="29" t="str">
        <f>IF(OR($B139="",$A139&lt;=36),"",--MID('Key Analysis'!$C135,$A139-36,1))</f>
        <v/>
      </c>
      <c r="AN139" s="29" t="str">
        <f>IF(OR($B139="",$A139&lt;=37),"",--MID('Key Analysis'!$C135,$A139-37,1))</f>
        <v/>
      </c>
      <c r="AO139" s="29" t="str">
        <f>IF(OR($B139="",$A139&lt;=38),"",--MID('Key Analysis'!$C135,$A139-38,1))</f>
        <v/>
      </c>
      <c r="AP139" s="29" t="str">
        <f>IF(OR($B139="",$A139&lt;=39),"",--MID('Key Analysis'!$C135,$A139-39,1))</f>
        <v/>
      </c>
      <c r="AQ139" s="29" t="str">
        <f>IF(OR($B139="",$A139&lt;=40),"",--MID('Key Analysis'!$C135,$A139-40,1))</f>
        <v/>
      </c>
      <c r="AR139" s="29" t="str">
        <f>IF(OR($B139="",$A139&lt;=41),"",--MID('Key Analysis'!$C135,$A139-41,1))</f>
        <v/>
      </c>
      <c r="AS139" s="29" t="str">
        <f>IF(OR($B139="",$A139&lt;=42),"",--MID('Key Analysis'!$C135,$A139-42,1))</f>
        <v/>
      </c>
      <c r="AT139" s="29" t="str">
        <f>IF(OR($B139="",$A139&lt;=43),"",--MID('Key Analysis'!$C135,$A139-43,1))</f>
        <v/>
      </c>
      <c r="AU139" s="29" t="str">
        <f>IF(OR($B139="",$A139&lt;=44),"",--MID('Key Analysis'!$C135,$A139-44,1))</f>
        <v/>
      </c>
      <c r="AV139" s="29" t="str">
        <f>IF(OR($B139="",$A139&lt;=45),"",--MID('Key Analysis'!$C135,$A139-45,1))</f>
        <v/>
      </c>
      <c r="AW139" s="29" t="str">
        <f>IF(OR($B139="",$A139&lt;=46),"",--MID('Key Analysis'!$C135,$A139-46,1))</f>
        <v/>
      </c>
      <c r="AX139" s="29" t="str">
        <f>IF(OR($B139="",$A139&lt;=47),"",--MID('Key Analysis'!$C135,$A139-47,1))</f>
        <v/>
      </c>
      <c r="AY139" s="29" t="str">
        <f>IF(OR($B139="",$A139&lt;=48),"",--MID('Key Analysis'!$C135,$A139-48,1))</f>
        <v/>
      </c>
      <c r="AZ139" s="29" t="str">
        <f>IF(OR($B139="",$A139&lt;=49),"",--MID('Key Analysis'!$C135,$A139-49,1))</f>
        <v/>
      </c>
      <c r="BA139" s="29" t="str">
        <f>IF(OR($B139="",$A139&lt;=50),"",--MID('Key Analysis'!$C135,$A139-50,1))</f>
        <v/>
      </c>
      <c r="BB139" s="29" t="str">
        <f>IF(OR($B139="",$A139&lt;=51),"",--MID('Key Analysis'!$C135,$A139-51,1))</f>
        <v/>
      </c>
      <c r="BC139" s="29" t="str">
        <f>IF(OR($B139="",$A139&lt;=52),"",--MID('Key Analysis'!$C135,$A139-52,1))</f>
        <v/>
      </c>
      <c r="BD139" s="29" t="str">
        <f>IF(OR($B139="",$A139&lt;=53),"",--MID('Key Analysis'!$C135,$A139-53,1))</f>
        <v/>
      </c>
      <c r="BE139" s="29" t="str">
        <f>IF(OR($B139="",$A139&lt;=54),"",--MID('Key Analysis'!$C135,$A139-54,1))</f>
        <v/>
      </c>
      <c r="BF139" s="29" t="str">
        <f>IF(OR($B139="",$A139&lt;=55),"",--MID('Key Analysis'!$C135,$A139-55,1))</f>
        <v/>
      </c>
      <c r="BG139" s="29" t="str">
        <f>IF(OR($B139="",$A139&lt;=56),"",--MID('Key Analysis'!$C135,$A139-56,1))</f>
        <v/>
      </c>
      <c r="BH139" s="29" t="str">
        <f>IF(OR($B139="",$A139&lt;=57),"",--MID('Key Analysis'!$C135,$A139-57,1))</f>
        <v/>
      </c>
      <c r="BI139" s="29" t="str">
        <f>IF(OR($B139="",$A139&lt;=58),"",--MID('Key Analysis'!$C135,$A139-58,1))</f>
        <v/>
      </c>
      <c r="BJ139" s="29" t="str">
        <f>IF(OR($B139="",$A139&lt;=59),"",--MID('Key Analysis'!$C135,$A139-59,1))</f>
        <v/>
      </c>
      <c r="BK139" s="29" t="str">
        <f>IF(OR($B139="",$A139&lt;=60),"",--MID('Key Analysis'!$C135,$A139-60,1))</f>
        <v/>
      </c>
      <c r="BL139" s="29" t="str">
        <f>IF(OR($B139="",$A139&lt;=61),"",--MID('Key Analysis'!$C135,$A139-61,1))</f>
        <v/>
      </c>
      <c r="BM139" s="29" t="str">
        <f>IF(OR($B139="",$A139&lt;=62),"",--MID('Key Analysis'!$C135,$A139-62,1))</f>
        <v/>
      </c>
      <c r="BN139" s="29" t="str">
        <f>IF(OR($B139="",$A139&lt;=63),"",--MID('Key Analysis'!$C135,$A139-63,1))</f>
        <v/>
      </c>
      <c r="BO139" s="29" t="str">
        <f>IF(OR($B139="",$A139&lt;=64),"",--MID('Key Analysis'!$C135,$A139-64,1))</f>
        <v/>
      </c>
      <c r="BP139" s="29" t="str">
        <f>IF(OR($B139="",$A139&lt;=65),"",--MID('Key Analysis'!$C135,$A139-65,1))</f>
        <v/>
      </c>
      <c r="BQ139" s="29" t="str">
        <f>IF(OR($B139="",$A139&lt;=66),"",--MID('Key Analysis'!$C135,$A139-66,1))</f>
        <v/>
      </c>
      <c r="BR139" s="29" t="str">
        <f>IF(OR($B139="",$A139&lt;=67),"",--MID('Key Analysis'!$C135,$A139-67,1))</f>
        <v/>
      </c>
      <c r="BS139" s="29" t="str">
        <f>IF(OR($B139="",$A139&lt;=68),"",--MID('Key Analysis'!$C135,$A139-68,1))</f>
        <v/>
      </c>
      <c r="BT139" s="29" t="str">
        <f>IF(OR($B139="",$A139&lt;=69),"",--MID('Key Analysis'!$C135,$A139-69,1))</f>
        <v/>
      </c>
      <c r="BU139" s="29" t="str">
        <f>IF(OR($B139="",$A139&lt;=70),"",--MID('Key Analysis'!$C135,$A139-70,1))</f>
        <v/>
      </c>
      <c r="BV139" s="29" t="str">
        <f>IF(OR($B139="",$A139&lt;=71),"",--MID('Key Analysis'!$C135,$A139-71,1))</f>
        <v/>
      </c>
      <c r="BW139" s="29" t="str">
        <f>IF(OR($B139="",$A139&lt;=72),"",--MID('Key Analysis'!$C135,$A139-72,1))</f>
        <v/>
      </c>
      <c r="BX139" s="29" t="str">
        <f>IF(OR($B139="",$A139&lt;=73),"",--MID('Key Analysis'!$C135,$A139-73,1))</f>
        <v/>
      </c>
      <c r="BY139" s="29" t="str">
        <f>IF(OR($B139="",$A139&lt;=74),"",--MID('Key Analysis'!$C135,$A139-74,1))</f>
        <v/>
      </c>
      <c r="BZ139" s="29" t="str">
        <f>IF(OR($B139="",$A139&lt;=75),"",--MID('Key Analysis'!$C135,$A139-75,1))</f>
        <v/>
      </c>
      <c r="CA139" s="29" t="str">
        <f>IF(OR($B139="",$A139&lt;=76),"",--MID('Key Analysis'!$C135,$A139-76,1))</f>
        <v/>
      </c>
      <c r="CB139" s="29" t="str">
        <f>IF(OR($B139="",$A139&lt;=77),"",--MID('Key Analysis'!$C135,$A139-77,1))</f>
        <v/>
      </c>
      <c r="CC139" s="29" t="str">
        <f>IF(OR($B139="",$A139&lt;=78),"",--MID('Key Analysis'!$C135,$A139-78,1))</f>
        <v/>
      </c>
      <c r="CD139" s="29" t="str">
        <f>IF(OR($B139="",$A139&lt;=79),"",--MID('Key Analysis'!$C135,$A139-79,1))</f>
        <v/>
      </c>
      <c r="CE139" s="29" t="str">
        <f>IF(OR($B139="",$A139&lt;=80),"",--MID('Key Analysis'!$C135,$A139-80,1))</f>
        <v/>
      </c>
      <c r="CF139" s="29" t="str">
        <f>IF(OR($B139="",$A139&lt;=81),"",--MID('Key Analysis'!$C135,$A139-81,1))</f>
        <v/>
      </c>
      <c r="CG139" s="29" t="str">
        <f>IF(OR($B139="",$A139&lt;=82),"",--MID('Key Analysis'!$C135,$A139-82,1))</f>
        <v/>
      </c>
      <c r="CH139" s="29" t="str">
        <f>IF(OR($B139="",$A139&lt;=83),"",--MID('Key Analysis'!$C135,$A139-83,1))</f>
        <v/>
      </c>
      <c r="CI139" s="29" t="str">
        <f>IF(OR($B139="",$A139&lt;=84),"",--MID('Key Analysis'!$C135,$A139-84,1))</f>
        <v/>
      </c>
      <c r="CJ139" s="29" t="str">
        <f>IF(OR($B139="",$A139&lt;=85),"",--MID('Key Analysis'!$C135,$A139-85,1))</f>
        <v/>
      </c>
      <c r="CK139" s="29" t="str">
        <f>IF(OR($B139="",$A139&lt;=86),"",--MID('Key Analysis'!$C135,$A139-86,1))</f>
        <v/>
      </c>
      <c r="CL139" s="29" t="str">
        <f>IF(OR($B139="",$A139&lt;=87),"",--MID('Key Analysis'!$C135,$A139-87,1))</f>
        <v/>
      </c>
      <c r="CM139" s="29" t="str">
        <f>IF(OR($B139="",$A139&lt;=88),"",--MID('Key Analysis'!$C135,$A139-88,1))</f>
        <v/>
      </c>
      <c r="CN139" s="29" t="str">
        <f>IF(OR($B139="",$A139&lt;=89),"",--MID('Key Analysis'!$C135,$A139-89,1))</f>
        <v/>
      </c>
      <c r="CO139" s="29" t="str">
        <f>IF(OR($B139="",$A139&lt;=90),"",--MID('Key Analysis'!$C135,$A139-90,1))</f>
        <v/>
      </c>
      <c r="CP139" s="29" t="str">
        <f>IF(OR($B139="",$A139&lt;=91),"",--MID('Key Analysis'!$C135,$A139-91,1))</f>
        <v/>
      </c>
      <c r="CQ139" s="29" t="str">
        <f>IF(OR($B139="",$A139&lt;=92),"",--MID('Key Analysis'!$C135,$A139-92,1))</f>
        <v/>
      </c>
      <c r="CR139" s="29" t="str">
        <f>IF(OR($B139="",$A139&lt;=93),"",--MID('Key Analysis'!$C135,$A139-93,1))</f>
        <v/>
      </c>
      <c r="CS139" s="29" t="str">
        <f>IF(OR($B139="",$A139&lt;=94),"",--MID('Key Analysis'!$C135,$A139-94,1))</f>
        <v/>
      </c>
      <c r="CT139" s="29" t="str">
        <f>IF(OR($B139="",$A139&lt;=95),"",--MID('Key Analysis'!$C135,$A139-95,1))</f>
        <v/>
      </c>
      <c r="CU139" s="29" t="str">
        <f>IF(OR($B139="",$A139&lt;=96),"",--MID('Key Analysis'!$C135,$A139-96,1))</f>
        <v/>
      </c>
      <c r="CV139" s="29" t="str">
        <f>IF(OR($B139="",$A139&lt;=97),"",--MID('Key Analysis'!$C135,$A139-97,1))</f>
        <v/>
      </c>
      <c r="CW139" s="29" t="str">
        <f>IF(OR($B139="",$A139&lt;=98),"",--MID('Key Analysis'!$C135,$A139-98,1))</f>
        <v/>
      </c>
      <c r="CX139" s="29" t="str">
        <f>IF(OR($B139="",$A139&lt;=99),"",--MID('Key Analysis'!$C135,$A139-99,1))</f>
        <v/>
      </c>
      <c r="CY139" s="29" t="str">
        <f>IF(OR($B139="",$A139&lt;=100),"",--MID('Key Analysis'!$C135,$A139-100,1))</f>
        <v/>
      </c>
      <c r="CZ139" s="29" t="str">
        <f>IF(OR($B139="",$A139&lt;=101),"",--MID('Key Analysis'!$C135,$A139-101,1))</f>
        <v/>
      </c>
      <c r="DA139" s="29" t="str">
        <f>IF(OR($B139="",$A139&lt;=102),"",--MID('Key Analysis'!$C135,$A139-102,1))</f>
        <v/>
      </c>
      <c r="DB139" s="29" t="str">
        <f>IF(OR($B139="",$A139&lt;=103),"",--MID('Key Analysis'!$C135,$A139-103,1))</f>
        <v/>
      </c>
      <c r="DC139" s="29" t="str">
        <f>IF(OR($B139="",$A139&lt;=104),"",--MID('Key Analysis'!$C135,$A139-104,1))</f>
        <v/>
      </c>
      <c r="DD139" s="29" t="str">
        <f>IF(OR($B139="",$A139&lt;=105),"",--MID('Key Analysis'!$C135,$A139-105,1))</f>
        <v/>
      </c>
      <c r="DE139" s="29" t="str">
        <f>IF(OR($B139="",$A139&lt;=106),"",--MID('Key Analysis'!$C135,$A139-106,1))</f>
        <v/>
      </c>
      <c r="DF139" s="29" t="str">
        <f>IF(OR($B139="",$A139&lt;=107),"",--MID('Key Analysis'!$C135,$A139-107,1))</f>
        <v/>
      </c>
      <c r="DG139" s="29" t="str">
        <f>IF(OR($B139="",$A139&lt;=108),"",--MID('Key Analysis'!$C135,$A139-108,1))</f>
        <v/>
      </c>
      <c r="DH139" s="29" t="str">
        <f>IF(OR($B139="",$A139&lt;=109),"",--MID('Key Analysis'!$C135,$A139-109,1))</f>
        <v/>
      </c>
      <c r="DI139" s="29" t="str">
        <f>IF(OR($B139="",$A139&lt;=110),"",--MID('Key Analysis'!$C135,$A139-110,1))</f>
        <v/>
      </c>
      <c r="DJ139" s="29" t="str">
        <f>IF(OR($B139="",$A139&lt;=111),"",--MID('Key Analysis'!$C135,$A139-111,1))</f>
        <v/>
      </c>
      <c r="DK139" s="29" t="str">
        <f>IF(OR($B139="",$A139&lt;=112),"",--MID('Key Analysis'!$C135,$A139-112,1))</f>
        <v/>
      </c>
      <c r="DL139" s="29" t="str">
        <f>IF(OR($B139="",$A139&lt;=113),"",--MID('Key Analysis'!$C135,$A139-113,1))</f>
        <v/>
      </c>
      <c r="DM139" s="29" t="str">
        <f>IF(OR($B139="",$A139&lt;=114),"",--MID('Key Analysis'!$C135,$A139-114,1))</f>
        <v/>
      </c>
      <c r="DN139" s="29" t="str">
        <f>IF(OR($B139="",$A139&lt;=115),"",--MID('Key Analysis'!$C135,$A139-115,1))</f>
        <v/>
      </c>
      <c r="DO139" s="29" t="str">
        <f>IF(OR($B139="",$A139&lt;=116),"",--MID('Key Analysis'!$C135,$A139-116,1))</f>
        <v/>
      </c>
      <c r="DP139" s="29" t="str">
        <f>IF(OR($B139="",$A139&lt;=117),"",--MID('Key Analysis'!$C135,$A139-117,1))</f>
        <v/>
      </c>
      <c r="DQ139" s="29" t="str">
        <f>IF(OR($B139="",$A139&lt;=118),"",--MID('Key Analysis'!$C135,$A139-118,1))</f>
        <v/>
      </c>
      <c r="DR139" s="29" t="str">
        <f>IF(OR($B139="",$A139&lt;=119),"",--MID('Key Analysis'!$C135,$A139-119,1))</f>
        <v/>
      </c>
      <c r="DS139" s="29" t="str">
        <f>IF(OR($B139="",$A139&lt;=120),"",--MID('Key Analysis'!$C135,$A139-120,1))</f>
        <v/>
      </c>
      <c r="DT139" s="29" t="str">
        <f>IF(OR($B139="",$A139&lt;=121),"",--MID('Key Analysis'!$C135,$A139-121,1))</f>
        <v/>
      </c>
      <c r="DU139" s="29" t="str">
        <f>IF(OR($B139="",$A139&lt;=122),"",--MID('Key Analysis'!$C135,$A139-122,1))</f>
        <v/>
      </c>
      <c r="DV139" s="29" t="str">
        <f>IF(OR($B139="",$A139&lt;=123),"",--MID('Key Analysis'!$C135,$A139-123,1))</f>
        <v/>
      </c>
      <c r="DW139" s="29" t="str">
        <f>IF(OR($B139="",$A139&lt;=124),"",--MID('Key Analysis'!$C135,$A139-124,1))</f>
        <v/>
      </c>
      <c r="DX139" s="29" t="str">
        <f>IF(OR($B139="",$A139&lt;=125),"",--MID('Key Analysis'!$C135,$A139-125,1))</f>
        <v/>
      </c>
      <c r="DY139" s="29" t="str">
        <f>IF(OR($B139="",$A139&lt;=126),"",--MID('Key Analysis'!$C135,$A139-126,1))</f>
        <v/>
      </c>
      <c r="DZ139" s="29" t="str">
        <f>IF(OR($B139="",$A139&lt;=127),"",--MID('Key Analysis'!$C135,$A139-127,1))</f>
        <v/>
      </c>
      <c r="EA139" s="29" t="str">
        <f>IF(OR($B139="",$A139&lt;=128),"",--MID('Key Analysis'!$C135,$A139-128,1))</f>
        <v/>
      </c>
      <c r="EB139" s="29" t="str">
        <f>IF(OR($B139="",$A139&lt;=129),"",--MID('Key Analysis'!$C135,$A139-129,1))</f>
        <v/>
      </c>
      <c r="EC139" s="29" t="str">
        <f>IF(OR($B139="",$A139&lt;=130),"",--MID('Key Analysis'!$C135,$A139-130,1))</f>
        <v/>
      </c>
      <c r="ED139" s="29" t="str">
        <f>IF(OR($B139="",$A139&lt;=131),"",--MID('Key Analysis'!$C135,$A139-131,1))</f>
        <v/>
      </c>
      <c r="EE139" s="29" t="str">
        <f>IF(OR($B139="",$A139&lt;=132),"",--MID('Key Analysis'!$C135,$A139-132,1))</f>
        <v/>
      </c>
      <c r="EF139" s="29" t="str">
        <f>IF(OR($B139="",$A139&lt;=133),"",--MID('Key Analysis'!$C135,$A139-133,1))</f>
        <v/>
      </c>
      <c r="EG139" s="29" t="str">
        <f>IF(OR($B139="",$A139&lt;=134),"",--MID('Key Analysis'!$C135,$A139-134,1))</f>
        <v/>
      </c>
      <c r="EH139" s="29"/>
      <c r="EI139" s="29" t="str">
        <f>IF(OR($B139="",$A139&lt;1),"",--MID('Key Analysis'!$C135,1,1))</f>
        <v/>
      </c>
      <c r="EJ139" s="29" t="str">
        <f>IF(OR($B139="",$A139&lt;2),"",--MID('Key Analysis'!$C135,2,1))</f>
        <v/>
      </c>
      <c r="EK139" s="29" t="str">
        <f>IF(OR($B139="",$A139&lt;3),"",--MID('Key Analysis'!$C135,3,1))</f>
        <v/>
      </c>
      <c r="EL139" s="29" t="str">
        <f>IF(OR($B139="",$A139&lt;4),"",--MID('Key Analysis'!$C135,4,1))</f>
        <v/>
      </c>
      <c r="EM139" s="29" t="str">
        <f>IF(OR($B139="",$A139&lt;5),"",--MID('Key Analysis'!$C135,5,1))</f>
        <v/>
      </c>
      <c r="EN139" s="29" t="str">
        <f>IF(OR($B139="",$A139&lt;6),"",--MID('Key Analysis'!$C135,6,1))</f>
        <v/>
      </c>
      <c r="EO139" s="29" t="str">
        <f>IF(OR($B139="",$A139&lt;7),"",--MID('Key Analysis'!$C135,7,1))</f>
        <v/>
      </c>
      <c r="EP139" s="29" t="str">
        <f>IF(OR($B139="",$A139&lt;8),"",--MID('Key Analysis'!$C135,8,1))</f>
        <v/>
      </c>
      <c r="EQ139" s="29" t="str">
        <f>IF(OR($B139="",$A139&lt;9),"",--MID('Key Analysis'!$C135,9,1))</f>
        <v/>
      </c>
      <c r="ER139" s="29" t="str">
        <f>IF(OR($B139="",$A139&lt;10),"",--MID('Key Analysis'!$C135,10,1))</f>
        <v/>
      </c>
      <c r="ES139" s="29" t="str">
        <f>IF(OR($B139="",$A139&lt;11),"",--MID('Key Analysis'!$C135,11,1))</f>
        <v/>
      </c>
      <c r="ET139" s="29" t="str">
        <f>IF(OR($B139="",$A139&lt;12),"",--MID('Key Analysis'!$C135,12,1))</f>
        <v/>
      </c>
      <c r="EU139" s="29" t="str">
        <f>IF(OR($B139="",$A139&lt;13),"",--MID('Key Analysis'!$C135,13,1))</f>
        <v/>
      </c>
      <c r="EV139" s="29" t="str">
        <f>IF(OR($B139="",$A139&lt;14),"",--MID('Key Analysis'!$C135,14,1))</f>
        <v/>
      </c>
      <c r="EW139" s="29" t="str">
        <f>IF(OR($B139="",$A139&lt;15),"",--MID('Key Analysis'!$C135,15,1))</f>
        <v/>
      </c>
      <c r="EX139" s="29" t="str">
        <f>IF(OR($B139="",$A139&lt;16),"",--MID('Key Analysis'!$C135,16,1))</f>
        <v/>
      </c>
      <c r="EY139" s="29" t="str">
        <f>IF(OR($B139="",$A139&lt;17),"",--MID('Key Analysis'!$C135,17,1))</f>
        <v/>
      </c>
      <c r="EZ139" s="29" t="str">
        <f>IF(OR($B139="",$A139&lt;18),"",--MID('Key Analysis'!$C135,18,1))</f>
        <v/>
      </c>
      <c r="FA139" s="29" t="str">
        <f>IF(OR($B139="",$A139&lt;19),"",--MID('Key Analysis'!$C135,19,1))</f>
        <v/>
      </c>
      <c r="FB139" s="29" t="str">
        <f>IF(OR($B139="",$A139&lt;20),"",--MID('Key Analysis'!$C135,20,1))</f>
        <v/>
      </c>
      <c r="FC139" s="29" t="str">
        <f>IF(OR($B139="",$A139&lt;21),"",--MID('Key Analysis'!$C135,21,1))</f>
        <v/>
      </c>
      <c r="FD139" s="29" t="str">
        <f>IF(OR($B139="",$A139&lt;22),"",--MID('Key Analysis'!$C135,22,1))</f>
        <v/>
      </c>
      <c r="FE139" s="29" t="str">
        <f>IF(OR($B139="",$A139&lt;23),"",--MID('Key Analysis'!$C135,23,1))</f>
        <v/>
      </c>
      <c r="FF139" s="29" t="str">
        <f>IF(OR($B139="",$A139&lt;24),"",--MID('Key Analysis'!$C135,24,1))</f>
        <v/>
      </c>
      <c r="FG139" s="29" t="str">
        <f>IF(OR($B139="",$A139&lt;25),"",--MID('Key Analysis'!$C135,25,1))</f>
        <v/>
      </c>
      <c r="FH139" s="29" t="str">
        <f>IF(OR($B139="",$A139&lt;26),"",--MID('Key Analysis'!$C135,26,1))</f>
        <v/>
      </c>
      <c r="FI139" s="29" t="str">
        <f>IF(OR($B139="",$A139&lt;27),"",--MID('Key Analysis'!$C135,27,1))</f>
        <v/>
      </c>
      <c r="FJ139" s="29" t="str">
        <f>IF(OR($B139="",$A139&lt;28),"",--MID('Key Analysis'!$C135,28,1))</f>
        <v/>
      </c>
      <c r="FK139" s="29" t="str">
        <f>IF(OR($B139="",$A139&lt;29),"",--MID('Key Analysis'!$C135,29,1))</f>
        <v/>
      </c>
      <c r="FL139" s="29" t="str">
        <f>IF(OR($B139="",$A139&lt;30),"",--MID('Key Analysis'!$C135,30,1))</f>
        <v/>
      </c>
      <c r="FM139" s="29" t="str">
        <f>IF(OR($B139="",$A139&lt;31),"",--MID('Key Analysis'!$C135,31,1))</f>
        <v/>
      </c>
      <c r="FN139" s="29" t="str">
        <f>IF(OR($B139="",$A139&lt;32),"",--MID('Key Analysis'!$C135,32,1))</f>
        <v/>
      </c>
      <c r="FO139" s="29" t="str">
        <f>IF(OR($B139="",$A139&lt;33),"",--MID('Key Analysis'!$C135,33,1))</f>
        <v/>
      </c>
      <c r="FP139" s="29" t="str">
        <f>IF(OR($B139="",$A139&lt;34),"",--MID('Key Analysis'!$C135,34,1))</f>
        <v/>
      </c>
      <c r="FQ139" s="29" t="str">
        <f>IF(OR($B139="",$A139&lt;35),"",--MID('Key Analysis'!$C135,35,1))</f>
        <v/>
      </c>
      <c r="FR139" s="29" t="str">
        <f>IF(OR($B139="",$A139&lt;36),"",--MID('Key Analysis'!$C135,36,1))</f>
        <v/>
      </c>
      <c r="FS139" s="29" t="str">
        <f>IF(OR($B139="",$A139&lt;37),"",--MID('Key Analysis'!$C135,37,1))</f>
        <v/>
      </c>
      <c r="FT139" s="29" t="str">
        <f>IF(OR($B139="",$A139&lt;38),"",--MID('Key Analysis'!$C135,38,1))</f>
        <v/>
      </c>
      <c r="FU139" s="29" t="str">
        <f>IF(OR($B139="",$A139&lt;39),"",--MID('Key Analysis'!$C135,39,1))</f>
        <v/>
      </c>
      <c r="FV139" s="29" t="str">
        <f>IF(OR($B139="",$A139&lt;40),"",--MID('Key Analysis'!$C135,40,1))</f>
        <v/>
      </c>
      <c r="FW139" s="29" t="str">
        <f>IF(OR($B139="",$A139&lt;41),"",--MID('Key Analysis'!$C135,41,1))</f>
        <v/>
      </c>
      <c r="FX139" s="29" t="str">
        <f>IF(OR($B139="",$A139&lt;42),"",--MID('Key Analysis'!$C135,42,1))</f>
        <v/>
      </c>
      <c r="FY139" s="29" t="str">
        <f>IF(OR($B139="",$A139&lt;43),"",--MID('Key Analysis'!$C135,43,1))</f>
        <v/>
      </c>
      <c r="FZ139" s="29" t="str">
        <f>IF(OR($B139="",$A139&lt;44),"",--MID('Key Analysis'!$C135,44,1))</f>
        <v/>
      </c>
      <c r="GA139" s="29" t="str">
        <f>IF(OR($B139="",$A139&lt;45),"",--MID('Key Analysis'!$C135,45,1))</f>
        <v/>
      </c>
      <c r="GB139" s="29" t="str">
        <f>IF(OR($B139="",$A139&lt;46),"",--MID('Key Analysis'!$C135,46,1))</f>
        <v/>
      </c>
      <c r="GC139" s="29" t="str">
        <f>IF(OR($B139="",$A139&lt;47),"",--MID('Key Analysis'!$C135,47,1))</f>
        <v/>
      </c>
      <c r="GD139" s="29" t="str">
        <f>IF(OR($B139="",$A139&lt;48),"",--MID('Key Analysis'!$C135,48,1))</f>
        <v/>
      </c>
      <c r="GE139" s="29" t="str">
        <f>IF(OR($B139="",$A139&lt;49),"",--MID('Key Analysis'!$C135,49,1))</f>
        <v/>
      </c>
      <c r="GF139" s="29" t="str">
        <f>IF(OR($B139="",$A139&lt;50),"",--MID('Key Analysis'!$C135,50,1))</f>
        <v/>
      </c>
      <c r="GG139" s="29" t="str">
        <f>IF(OR($B139="",$A139&lt;51),"",--MID('Key Analysis'!$C135,51,1))</f>
        <v/>
      </c>
      <c r="GH139" s="29" t="str">
        <f>IF(OR($B139="",$A139&lt;52),"",--MID('Key Analysis'!$C135,52,1))</f>
        <v/>
      </c>
      <c r="GI139" s="29" t="str">
        <f>IF(OR($B139="",$A139&lt;53),"",--MID('Key Analysis'!$C135,53,1))</f>
        <v/>
      </c>
      <c r="GJ139" s="29" t="str">
        <f>IF(OR($B139="",$A139&lt;54),"",--MID('Key Analysis'!$C135,54,1))</f>
        <v/>
      </c>
      <c r="GK139" s="29" t="str">
        <f>IF(OR($B139="",$A139&lt;55),"",--MID('Key Analysis'!$C135,55,1))</f>
        <v/>
      </c>
      <c r="GL139" s="29" t="str">
        <f>IF(OR($B139="",$A139&lt;56),"",--MID('Key Analysis'!$C135,56,1))</f>
        <v/>
      </c>
      <c r="GM139" s="29" t="str">
        <f>IF(OR($B139="",$A139&lt;57),"",--MID('Key Analysis'!$C135,57,1))</f>
        <v/>
      </c>
      <c r="GN139" s="29" t="str">
        <f>IF(OR($B139="",$A139&lt;58),"",--MID('Key Analysis'!$C135,58,1))</f>
        <v/>
      </c>
      <c r="GO139" s="29" t="str">
        <f>IF(OR($B139="",$A139&lt;59),"",--MID('Key Analysis'!$C135,59,1))</f>
        <v/>
      </c>
      <c r="GP139" s="29" t="str">
        <f>IF(OR($B139="",$A139&lt;60),"",--MID('Key Analysis'!$C135,60,1))</f>
        <v/>
      </c>
      <c r="GQ139" s="29" t="str">
        <f>IF(OR($B139="",$A139&lt;61),"",--MID('Key Analysis'!$C135,61,1))</f>
        <v/>
      </c>
      <c r="GR139" s="29" t="str">
        <f>IF(OR($B139="",$A139&lt;62),"",--MID('Key Analysis'!$C135,62,1))</f>
        <v/>
      </c>
      <c r="GS139" s="29" t="str">
        <f>IF(OR($B139="",$A139&lt;63),"",--MID('Key Analysis'!$C135,63,1))</f>
        <v/>
      </c>
      <c r="GT139" s="29" t="str">
        <f>IF(OR($B139="",$A139&lt;64),"",--MID('Key Analysis'!$C135,64,1))</f>
        <v/>
      </c>
      <c r="GU139" s="29" t="str">
        <f>IF(OR($B139="",$A139&lt;65),"",--MID('Key Analysis'!$C135,65,1))</f>
        <v/>
      </c>
      <c r="GV139" s="29" t="str">
        <f>IF(OR($B139="",$A139&lt;66),"",--MID('Key Analysis'!$C135,66,1))</f>
        <v/>
      </c>
      <c r="GW139" s="29" t="str">
        <f>IF(OR($B139="",$A139&lt;67),"",--MID('Key Analysis'!$C135,67,1))</f>
        <v/>
      </c>
      <c r="GX139" s="29" t="str">
        <f>IF(OR($B139="",$A139&lt;68),"",--MID('Key Analysis'!$C135,68,1))</f>
        <v/>
      </c>
      <c r="GY139" s="29" t="str">
        <f>IF(OR($B139="",$A139&lt;69),"",--MID('Key Analysis'!$C135,69,1))</f>
        <v/>
      </c>
      <c r="GZ139" s="29" t="str">
        <f>IF(OR($B139="",$A139&lt;70),"",--MID('Key Analysis'!$C135,70,1))</f>
        <v/>
      </c>
      <c r="HA139" s="29" t="str">
        <f>IF(OR($B139="",$A139&lt;71),"",--MID('Key Analysis'!$C135,71,1))</f>
        <v/>
      </c>
      <c r="HB139" s="29" t="str">
        <f>IF(OR($B139="",$A139&lt;72),"",--MID('Key Analysis'!$C135,72,1))</f>
        <v/>
      </c>
      <c r="HC139" s="29" t="str">
        <f>IF(OR($B139="",$A139&lt;73),"",--MID('Key Analysis'!$C135,73,1))</f>
        <v/>
      </c>
      <c r="HD139" s="29" t="str">
        <f>IF(OR($B139="",$A139&lt;74),"",--MID('Key Analysis'!$C135,74,1))</f>
        <v/>
      </c>
      <c r="HE139" s="29" t="str">
        <f>IF(OR($B139="",$A139&lt;75),"",--MID('Key Analysis'!$C135,75,1))</f>
        <v/>
      </c>
      <c r="HF139" s="29" t="str">
        <f>IF(OR($B139="",$A139&lt;76),"",--MID('Key Analysis'!$C135,76,1))</f>
        <v/>
      </c>
      <c r="HG139" s="29" t="str">
        <f>IF(OR($B139="",$A139&lt;77),"",--MID('Key Analysis'!$C135,77,1))</f>
        <v/>
      </c>
      <c r="HH139" s="29" t="str">
        <f>IF(OR($B139="",$A139&lt;78),"",--MID('Key Analysis'!$C135,78,1))</f>
        <v/>
      </c>
      <c r="HI139" s="29" t="str">
        <f>IF(OR($B139="",$A139&lt;79),"",--MID('Key Analysis'!$C135,79,1))</f>
        <v/>
      </c>
      <c r="HJ139" s="29" t="str">
        <f>IF(OR($B139="",$A139&lt;80),"",--MID('Key Analysis'!$C135,80,1))</f>
        <v/>
      </c>
      <c r="HK139" s="29" t="str">
        <f>IF(OR($B139="",$A139&lt;81),"",--MID('Key Analysis'!$C135,81,1))</f>
        <v/>
      </c>
      <c r="HL139" s="29" t="str">
        <f>IF(OR($B139="",$A139&lt;82),"",--MID('Key Analysis'!$C135,82,1))</f>
        <v/>
      </c>
      <c r="HM139" s="29" t="str">
        <f>IF(OR($B139="",$A139&lt;83),"",--MID('Key Analysis'!$C135,83,1))</f>
        <v/>
      </c>
      <c r="HN139" s="29" t="str">
        <f>IF(OR($B139="",$A139&lt;84),"",--MID('Key Analysis'!$C135,84,1))</f>
        <v/>
      </c>
      <c r="HO139" s="29" t="str">
        <f>IF(OR($B139="",$A139&lt;85),"",--MID('Key Analysis'!$C135,85,1))</f>
        <v/>
      </c>
      <c r="HP139" s="29" t="str">
        <f>IF(OR($B139="",$A139&lt;86),"",--MID('Key Analysis'!$C135,86,1))</f>
        <v/>
      </c>
      <c r="HQ139" s="29" t="str">
        <f>IF(OR($B139="",$A139&lt;87),"",--MID('Key Analysis'!$C135,87,1))</f>
        <v/>
      </c>
      <c r="HR139" s="29" t="str">
        <f>IF(OR($B139="",$A139&lt;88),"",--MID('Key Analysis'!$C135,88,1))</f>
        <v/>
      </c>
      <c r="HS139" s="29" t="str">
        <f>IF(OR($B139="",$A139&lt;89),"",--MID('Key Analysis'!$C135,89,1))</f>
        <v/>
      </c>
      <c r="HT139" s="29" t="str">
        <f>IF(OR($B139="",$A139&lt;90),"",--MID('Key Analysis'!$C135,90,1))</f>
        <v/>
      </c>
      <c r="HU139" s="29" t="str">
        <f>IF(OR($B139="",$A139&lt;91),"",--MID('Key Analysis'!$C135,91,1))</f>
        <v/>
      </c>
      <c r="HV139" s="29" t="str">
        <f>IF(OR($B139="",$A139&lt;92),"",--MID('Key Analysis'!$C135,92,1))</f>
        <v/>
      </c>
      <c r="HW139" s="29" t="str">
        <f>IF(OR($B139="",$A139&lt;93),"",--MID('Key Analysis'!$C135,93,1))</f>
        <v/>
      </c>
      <c r="HX139" s="29" t="str">
        <f>IF(OR($B139="",$A139&lt;94),"",--MID('Key Analysis'!$C135,94,1))</f>
        <v/>
      </c>
      <c r="HY139" s="29" t="str">
        <f>IF(OR($B139="",$A139&lt;95),"",--MID('Key Analysis'!$C135,95,1))</f>
        <v/>
      </c>
      <c r="HZ139" s="29" t="str">
        <f>IF(OR($B139="",$A139&lt;96),"",--MID('Key Analysis'!$C135,96,1))</f>
        <v/>
      </c>
      <c r="IA139" s="29" t="str">
        <f>IF(OR($B139="",$A139&lt;97),"",--MID('Key Analysis'!$C135,97,1))</f>
        <v/>
      </c>
      <c r="IB139" s="29" t="str">
        <f>IF(OR($B139="",$A139&lt;98),"",--MID('Key Analysis'!$C135,98,1))</f>
        <v/>
      </c>
      <c r="IC139" s="29" t="str">
        <f>IF(OR($B139="",$A139&lt;99),"",--MID('Key Analysis'!$C135,99,1))</f>
        <v/>
      </c>
      <c r="ID139" s="29" t="str">
        <f>IF(OR($B139="",$A139&lt;100),"",--MID('Key Analysis'!$C135,100,1))</f>
        <v/>
      </c>
      <c r="IE139" s="29" t="str">
        <f>IF(OR($B139="",$A139&lt;101),"",--MID('Key Analysis'!$C135,101,1))</f>
        <v/>
      </c>
      <c r="IF139" s="29" t="str">
        <f>IF(OR($B139="",$A139&lt;102),"",--MID('Key Analysis'!$C135,102,1))</f>
        <v/>
      </c>
      <c r="IG139" s="29" t="str">
        <f>IF(OR($B139="",$A139&lt;103),"",--MID('Key Analysis'!$C135,103,1))</f>
        <v/>
      </c>
      <c r="IH139" s="29" t="str">
        <f>IF(OR($B139="",$A139&lt;104),"",--MID('Key Analysis'!$C135,104,1))</f>
        <v/>
      </c>
      <c r="II139" s="29" t="str">
        <f>IF(OR($B139="",$A139&lt;105),"",--MID('Key Analysis'!$C135,105,1))</f>
        <v/>
      </c>
      <c r="IJ139" s="29" t="str">
        <f>IF(OR($B139="",$A139&lt;106),"",--MID('Key Analysis'!$C135,106,1))</f>
        <v/>
      </c>
      <c r="IK139" s="29" t="str">
        <f>IF(OR($B139="",$A139&lt;107),"",--MID('Key Analysis'!$C135,107,1))</f>
        <v/>
      </c>
      <c r="IL139" s="29" t="str">
        <f>IF(OR($B139="",$A139&lt;108),"",--MID('Key Analysis'!$C135,108,1))</f>
        <v/>
      </c>
      <c r="IM139" s="29" t="str">
        <f>IF(OR($B139="",$A139&lt;109),"",--MID('Key Analysis'!$C135,109,1))</f>
        <v/>
      </c>
      <c r="IN139" s="29" t="str">
        <f>IF(OR($B139="",$A139&lt;110),"",--MID('Key Analysis'!$C135,110,1))</f>
        <v/>
      </c>
      <c r="IO139" s="29" t="str">
        <f>IF(OR($B139="",$A139&lt;111),"",--MID('Key Analysis'!$C135,111,1))</f>
        <v/>
      </c>
      <c r="IP139" s="29" t="str">
        <f>IF(OR($B139="",$A139&lt;112),"",--MID('Key Analysis'!$C135,112,1))</f>
        <v/>
      </c>
      <c r="IQ139" s="29" t="str">
        <f>IF(OR($B139="",$A139&lt;113),"",--MID('Key Analysis'!$C135,113,1))</f>
        <v/>
      </c>
      <c r="IR139" s="29" t="str">
        <f>IF(OR($B139="",$A139&lt;114),"",--MID('Key Analysis'!$C135,114,1))</f>
        <v/>
      </c>
      <c r="IS139" s="29" t="str">
        <f>IF(OR($B139="",$A139&lt;115),"",--MID('Key Analysis'!$C135,115,1))</f>
        <v/>
      </c>
      <c r="IT139" s="29" t="str">
        <f>IF(OR($B139="",$A139&lt;116),"",--MID('Key Analysis'!$C135,116,1))</f>
        <v/>
      </c>
      <c r="IU139" s="29" t="str">
        <f>IF(OR($B139="",$A139&lt;117),"",--MID('Key Analysis'!$C135,117,1))</f>
        <v/>
      </c>
      <c r="IV139" s="29" t="str">
        <f>IF(OR($B139="",$A139&lt;118),"",--MID('Key Analysis'!$C135,118,1))</f>
        <v/>
      </c>
      <c r="IW139" s="29" t="str">
        <f>IF(OR($B139="",$A139&lt;119),"",--MID('Key Analysis'!$C135,119,1))</f>
        <v/>
      </c>
      <c r="IX139" s="29" t="str">
        <f>IF(OR($B139="",$A139&lt;120),"",--MID('Key Analysis'!$C135,120,1))</f>
        <v/>
      </c>
      <c r="IY139" s="29" t="str">
        <f>IF(OR($B139="",$A139&lt;121),"",--MID('Key Analysis'!$C135,121,1))</f>
        <v/>
      </c>
      <c r="IZ139" s="29" t="str">
        <f>IF(OR($B139="",$A139&lt;122),"",--MID('Key Analysis'!$C135,122,1))</f>
        <v/>
      </c>
      <c r="JA139" s="29" t="str">
        <f>IF(OR($B139="",$A139&lt;123),"",--MID('Key Analysis'!$C135,123,1))</f>
        <v/>
      </c>
      <c r="JB139" s="29" t="str">
        <f>IF(OR($B139="",$A139&lt;124),"",--MID('Key Analysis'!$C135,124,1))</f>
        <v/>
      </c>
      <c r="JC139" s="29" t="str">
        <f>IF(OR($B139="",$A139&lt;125),"",--MID('Key Analysis'!$C135,125,1))</f>
        <v/>
      </c>
      <c r="JD139" s="29" t="str">
        <f>IF(OR($B139="",$A139&lt;126),"",--MID('Key Analysis'!$C135,126,1))</f>
        <v/>
      </c>
      <c r="JE139" s="29" t="str">
        <f>IF(OR($B139="",$A139&lt;127),"",--MID('Key Analysis'!$C135,127,1))</f>
        <v/>
      </c>
      <c r="JF139" s="29" t="str">
        <f>IF(OR($B139="",$A139&lt;128),"",--MID('Key Analysis'!$C135,128,1))</f>
        <v/>
      </c>
      <c r="JG139" s="29" t="str">
        <f>IF(OR($B139="",$A139&lt;129),"",--MID('Key Analysis'!$C135,129,1))</f>
        <v/>
      </c>
      <c r="JH139" s="29" t="str">
        <f>IF(OR($B139="",$A139&lt;130),"",--MID('Key Analysis'!$C135,130,1))</f>
        <v/>
      </c>
      <c r="JI139" s="29" t="str">
        <f>IF(OR($B139="",$A139&lt;131),"",--MID('Key Analysis'!$C135,131,1))</f>
        <v/>
      </c>
      <c r="JJ139" s="29" t="str">
        <f>IF(OR($B139="",$A139&lt;132),"",--MID('Key Analysis'!$C135,132,1))</f>
        <v/>
      </c>
      <c r="JK139" s="29" t="str">
        <f>IF(OR($B139="",$A139&lt;133),"",--MID('Key Analysis'!$C135,133,1))</f>
        <v/>
      </c>
      <c r="JL139" s="29" t="str">
        <f>IF(OR($B139="",$A139&lt;134),"",--MID('Key Analysis'!$C135,134,1))</f>
        <v/>
      </c>
      <c r="JM139" s="29" t="str">
        <f>IF(OR($B139="",$A139&lt;135),"",--MID('Key Analysis'!$C135,135,1))</f>
        <v/>
      </c>
    </row>
    <row r="140" spans="1:273" x14ac:dyDescent="0.25">
      <c r="A140" s="21">
        <f>'Key Analysis'!A136</f>
        <v>135</v>
      </c>
      <c r="B140" s="30" t="str">
        <f>'Key Analysis'!B136</f>
        <v>6d9392a16883f90903d5f78da57af07eb2</v>
      </c>
      <c r="C140" s="29">
        <f>IF(OR($B140="",$A140&lt;=0),"",--MID('Key Analysis'!$C136,$A140-0,1))</f>
        <v>0</v>
      </c>
      <c r="D140" s="29">
        <f>IF(OR($B140="",$A140&lt;=1),"",--MID('Key Analysis'!$C136,$A140-1,1))</f>
        <v>1</v>
      </c>
      <c r="E140" s="29">
        <f>IF(OR($B140="",$A140&lt;=2),"",--MID('Key Analysis'!$C136,$A140-2,1))</f>
        <v>0</v>
      </c>
      <c r="F140" s="29">
        <f>IF(OR($B140="",$A140&lt;=3),"",--MID('Key Analysis'!$C136,$A140-3,1))</f>
        <v>0</v>
      </c>
      <c r="G140" s="29">
        <f>IF(OR($B140="",$A140&lt;=4),"",--MID('Key Analysis'!$C136,$A140-4,1))</f>
        <v>1</v>
      </c>
      <c r="H140" s="29">
        <f>IF(OR($B140="",$A140&lt;=5),"",--MID('Key Analysis'!$C136,$A140-5,1))</f>
        <v>1</v>
      </c>
      <c r="I140" s="29">
        <f>IF(OR($B140="",$A140&lt;=6),"",--MID('Key Analysis'!$C136,$A140-6,1))</f>
        <v>0</v>
      </c>
      <c r="J140" s="29">
        <f>IF(OR($B140="",$A140&lt;=7),"",--MID('Key Analysis'!$C136,$A140-7,1))</f>
        <v>1</v>
      </c>
      <c r="K140" s="29">
        <f>IF(OR($B140="",$A140&lt;=8),"",--MID('Key Analysis'!$C136,$A140-8,1))</f>
        <v>0</v>
      </c>
      <c r="L140" s="29">
        <f>IF(OR($B140="",$A140&lt;=9),"",--MID('Key Analysis'!$C136,$A140-9,1))</f>
        <v>1</v>
      </c>
      <c r="M140" s="29">
        <f>IF(OR($B140="",$A140&lt;=10),"",--MID('Key Analysis'!$C136,$A140-10,1))</f>
        <v>1</v>
      </c>
      <c r="N140" s="29">
        <f>IF(OR($B140="",$A140&lt;=11),"",--MID('Key Analysis'!$C136,$A140-11,1))</f>
        <v>1</v>
      </c>
      <c r="O140" s="29">
        <f>IF(OR($B140="",$A140&lt;=12),"",--MID('Key Analysis'!$C136,$A140-12,1))</f>
        <v>1</v>
      </c>
      <c r="P140" s="29">
        <f>IF(OR($B140="",$A140&lt;=13),"",--MID('Key Analysis'!$C136,$A140-13,1))</f>
        <v>1</v>
      </c>
      <c r="Q140" s="29">
        <f>IF(OR($B140="",$A140&lt;=14),"",--MID('Key Analysis'!$C136,$A140-14,1))</f>
        <v>1</v>
      </c>
      <c r="R140" s="29">
        <f>IF(OR($B140="",$A140&lt;=15),"",--MID('Key Analysis'!$C136,$A140-15,1))</f>
        <v>0</v>
      </c>
      <c r="S140" s="29">
        <f>IF(OR($B140="",$A140&lt;=16),"",--MID('Key Analysis'!$C136,$A140-16,1))</f>
        <v>0</v>
      </c>
      <c r="T140" s="29">
        <f>IF(OR($B140="",$A140&lt;=17),"",--MID('Key Analysis'!$C136,$A140-17,1))</f>
        <v>0</v>
      </c>
      <c r="U140" s="29">
        <f>IF(OR($B140="",$A140&lt;=18),"",--MID('Key Analysis'!$C136,$A140-18,1))</f>
        <v>0</v>
      </c>
      <c r="V140" s="29">
        <f>IF(OR($B140="",$A140&lt;=19),"",--MID('Key Analysis'!$C136,$A140-19,1))</f>
        <v>0</v>
      </c>
      <c r="W140" s="29">
        <f>IF(OR($B140="",$A140&lt;=20),"",--MID('Key Analysis'!$C136,$A140-20,1))</f>
        <v>1</v>
      </c>
      <c r="X140" s="29">
        <f>IF(OR($B140="",$A140&lt;=21),"",--MID('Key Analysis'!$C136,$A140-21,1))</f>
        <v>1</v>
      </c>
      <c r="Y140" s="29">
        <f>IF(OR($B140="",$A140&lt;=22),"",--MID('Key Analysis'!$C136,$A140-22,1))</f>
        <v>1</v>
      </c>
      <c r="Z140" s="29">
        <f>IF(OR($B140="",$A140&lt;=23),"",--MID('Key Analysis'!$C136,$A140-23,1))</f>
        <v>1</v>
      </c>
      <c r="AA140" s="29">
        <f>IF(OR($B140="",$A140&lt;=24),"",--MID('Key Analysis'!$C136,$A140-24,1))</f>
        <v>0</v>
      </c>
      <c r="AB140" s="29">
        <f>IF(OR($B140="",$A140&lt;=25),"",--MID('Key Analysis'!$C136,$A140-25,1))</f>
        <v>1</v>
      </c>
      <c r="AC140" s="29">
        <f>IF(OR($B140="",$A140&lt;=26),"",--MID('Key Analysis'!$C136,$A140-26,1))</f>
        <v>0</v>
      </c>
      <c r="AD140" s="29">
        <f>IF(OR($B140="",$A140&lt;=27),"",--MID('Key Analysis'!$C136,$A140-27,1))</f>
        <v>1</v>
      </c>
      <c r="AE140" s="29">
        <f>IF(OR($B140="",$A140&lt;=28),"",--MID('Key Analysis'!$C136,$A140-28,1))</f>
        <v>1</v>
      </c>
      <c r="AF140" s="29">
        <f>IF(OR($B140="",$A140&lt;=29),"",--MID('Key Analysis'!$C136,$A140-29,1))</f>
        <v>1</v>
      </c>
      <c r="AG140" s="29">
        <f>IF(OR($B140="",$A140&lt;=30),"",--MID('Key Analysis'!$C136,$A140-30,1))</f>
        <v>1</v>
      </c>
      <c r="AH140" s="29">
        <f>IF(OR($B140="",$A140&lt;=31),"",--MID('Key Analysis'!$C136,$A140-31,1))</f>
        <v>0</v>
      </c>
      <c r="AI140" s="29">
        <f>IF(OR($B140="",$A140&lt;=32),"",--MID('Key Analysis'!$C136,$A140-32,1))</f>
        <v>1</v>
      </c>
      <c r="AJ140" s="29">
        <f>IF(OR($B140="",$A140&lt;=33),"",--MID('Key Analysis'!$C136,$A140-33,1))</f>
        <v>0</v>
      </c>
      <c r="AK140" s="29">
        <f>IF(OR($B140="",$A140&lt;=34),"",--MID('Key Analysis'!$C136,$A140-34,1))</f>
        <v>1</v>
      </c>
      <c r="AL140" s="29">
        <f>IF(OR($B140="",$A140&lt;=35),"",--MID('Key Analysis'!$C136,$A140-35,1))</f>
        <v>0</v>
      </c>
      <c r="AM140" s="29">
        <f>IF(OR($B140="",$A140&lt;=36),"",--MID('Key Analysis'!$C136,$A140-36,1))</f>
        <v>0</v>
      </c>
      <c r="AN140" s="29">
        <f>IF(OR($B140="",$A140&lt;=37),"",--MID('Key Analysis'!$C136,$A140-37,1))</f>
        <v>1</v>
      </c>
      <c r="AO140" s="29">
        <f>IF(OR($B140="",$A140&lt;=38),"",--MID('Key Analysis'!$C136,$A140-38,1))</f>
        <v>0</v>
      </c>
      <c r="AP140" s="29">
        <f>IF(OR($B140="",$A140&lt;=39),"",--MID('Key Analysis'!$C136,$A140-39,1))</f>
        <v>1</v>
      </c>
      <c r="AQ140" s="29">
        <f>IF(OR($B140="",$A140&lt;=40),"",--MID('Key Analysis'!$C136,$A140-40,1))</f>
        <v>1</v>
      </c>
      <c r="AR140" s="29">
        <f>IF(OR($B140="",$A140&lt;=41),"",--MID('Key Analysis'!$C136,$A140-41,1))</f>
        <v>0</v>
      </c>
      <c r="AS140" s="29">
        <f>IF(OR($B140="",$A140&lt;=42),"",--MID('Key Analysis'!$C136,$A140-42,1))</f>
        <v>1</v>
      </c>
      <c r="AT140" s="29">
        <f>IF(OR($B140="",$A140&lt;=43),"",--MID('Key Analysis'!$C136,$A140-43,1))</f>
        <v>1</v>
      </c>
      <c r="AU140" s="29">
        <f>IF(OR($B140="",$A140&lt;=44),"",--MID('Key Analysis'!$C136,$A140-44,1))</f>
        <v>0</v>
      </c>
      <c r="AV140" s="29">
        <f>IF(OR($B140="",$A140&lt;=45),"",--MID('Key Analysis'!$C136,$A140-45,1))</f>
        <v>0</v>
      </c>
      <c r="AW140" s="29">
        <f>IF(OR($B140="",$A140&lt;=46),"",--MID('Key Analysis'!$C136,$A140-46,1))</f>
        <v>0</v>
      </c>
      <c r="AX140" s="29">
        <f>IF(OR($B140="",$A140&lt;=47),"",--MID('Key Analysis'!$C136,$A140-47,1))</f>
        <v>1</v>
      </c>
      <c r="AY140" s="29">
        <f>IF(OR($B140="",$A140&lt;=48),"",--MID('Key Analysis'!$C136,$A140-48,1))</f>
        <v>1</v>
      </c>
      <c r="AZ140" s="29">
        <f>IF(OR($B140="",$A140&lt;=49),"",--MID('Key Analysis'!$C136,$A140-49,1))</f>
        <v>1</v>
      </c>
      <c r="BA140" s="29">
        <f>IF(OR($B140="",$A140&lt;=50),"",--MID('Key Analysis'!$C136,$A140-50,1))</f>
        <v>1</v>
      </c>
      <c r="BB140" s="29">
        <f>IF(OR($B140="",$A140&lt;=51),"",--MID('Key Analysis'!$C136,$A140-51,1))</f>
        <v>0</v>
      </c>
      <c r="BC140" s="29">
        <f>IF(OR($B140="",$A140&lt;=52),"",--MID('Key Analysis'!$C136,$A140-52,1))</f>
        <v>1</v>
      </c>
      <c r="BD140" s="29">
        <f>IF(OR($B140="",$A140&lt;=53),"",--MID('Key Analysis'!$C136,$A140-53,1))</f>
        <v>1</v>
      </c>
      <c r="BE140" s="29">
        <f>IF(OR($B140="",$A140&lt;=54),"",--MID('Key Analysis'!$C136,$A140-54,1))</f>
        <v>1</v>
      </c>
      <c r="BF140" s="29">
        <f>IF(OR($B140="",$A140&lt;=55),"",--MID('Key Analysis'!$C136,$A140-55,1))</f>
        <v>1</v>
      </c>
      <c r="BG140" s="29">
        <f>IF(OR($B140="",$A140&lt;=56),"",--MID('Key Analysis'!$C136,$A140-56,1))</f>
        <v>1</v>
      </c>
      <c r="BH140" s="29">
        <f>IF(OR($B140="",$A140&lt;=57),"",--MID('Key Analysis'!$C136,$A140-57,1))</f>
        <v>0</v>
      </c>
      <c r="BI140" s="29">
        <f>IF(OR($B140="",$A140&lt;=58),"",--MID('Key Analysis'!$C136,$A140-58,1))</f>
        <v>1</v>
      </c>
      <c r="BJ140" s="29">
        <f>IF(OR($B140="",$A140&lt;=59),"",--MID('Key Analysis'!$C136,$A140-59,1))</f>
        <v>0</v>
      </c>
      <c r="BK140" s="29">
        <f>IF(OR($B140="",$A140&lt;=60),"",--MID('Key Analysis'!$C136,$A140-60,1))</f>
        <v>1</v>
      </c>
      <c r="BL140" s="29">
        <f>IF(OR($B140="",$A140&lt;=61),"",--MID('Key Analysis'!$C136,$A140-61,1))</f>
        <v>0</v>
      </c>
      <c r="BM140" s="29">
        <f>IF(OR($B140="",$A140&lt;=62),"",--MID('Key Analysis'!$C136,$A140-62,1))</f>
        <v>1</v>
      </c>
      <c r="BN140" s="29">
        <f>IF(OR($B140="",$A140&lt;=63),"",--MID('Key Analysis'!$C136,$A140-63,1))</f>
        <v>1</v>
      </c>
      <c r="BO140" s="29">
        <f>IF(OR($B140="",$A140&lt;=64),"",--MID('Key Analysis'!$C136,$A140-64,1))</f>
        <v>1</v>
      </c>
      <c r="BP140" s="29">
        <f>IF(OR($B140="",$A140&lt;=65),"",--MID('Key Analysis'!$C136,$A140-65,1))</f>
        <v>1</v>
      </c>
      <c r="BQ140" s="29">
        <f>IF(OR($B140="",$A140&lt;=66),"",--MID('Key Analysis'!$C136,$A140-66,1))</f>
        <v>0</v>
      </c>
      <c r="BR140" s="29">
        <f>IF(OR($B140="",$A140&lt;=67),"",--MID('Key Analysis'!$C136,$A140-67,1))</f>
        <v>0</v>
      </c>
      <c r="BS140" s="29">
        <f>IF(OR($B140="",$A140&lt;=68),"",--MID('Key Analysis'!$C136,$A140-68,1))</f>
        <v>0</v>
      </c>
      <c r="BT140" s="29">
        <f>IF(OR($B140="",$A140&lt;=69),"",--MID('Key Analysis'!$C136,$A140-69,1))</f>
        <v>0</v>
      </c>
      <c r="BU140" s="29">
        <f>IF(OR($B140="",$A140&lt;=70),"",--MID('Key Analysis'!$C136,$A140-70,1))</f>
        <v>0</v>
      </c>
      <c r="BV140" s="29">
        <f>IF(OR($B140="",$A140&lt;=71),"",--MID('Key Analysis'!$C136,$A140-71,1))</f>
        <v>0</v>
      </c>
      <c r="BW140" s="29">
        <f>IF(OR($B140="",$A140&lt;=72),"",--MID('Key Analysis'!$C136,$A140-72,1))</f>
        <v>1</v>
      </c>
      <c r="BX140" s="29">
        <f>IF(OR($B140="",$A140&lt;=73),"",--MID('Key Analysis'!$C136,$A140-73,1))</f>
        <v>0</v>
      </c>
      <c r="BY140" s="29">
        <f>IF(OR($B140="",$A140&lt;=74),"",--MID('Key Analysis'!$C136,$A140-74,1))</f>
        <v>0</v>
      </c>
      <c r="BZ140" s="29">
        <f>IF(OR($B140="",$A140&lt;=75),"",--MID('Key Analysis'!$C136,$A140-75,1))</f>
        <v>1</v>
      </c>
      <c r="CA140" s="29">
        <f>IF(OR($B140="",$A140&lt;=76),"",--MID('Key Analysis'!$C136,$A140-76,1))</f>
        <v>0</v>
      </c>
      <c r="CB140" s="29">
        <f>IF(OR($B140="",$A140&lt;=77),"",--MID('Key Analysis'!$C136,$A140-77,1))</f>
        <v>0</v>
      </c>
      <c r="CC140" s="29">
        <f>IF(OR($B140="",$A140&lt;=78),"",--MID('Key Analysis'!$C136,$A140-78,1))</f>
        <v>0</v>
      </c>
      <c r="CD140" s="29">
        <f>IF(OR($B140="",$A140&lt;=79),"",--MID('Key Analysis'!$C136,$A140-79,1))</f>
        <v>0</v>
      </c>
      <c r="CE140" s="29">
        <f>IF(OR($B140="",$A140&lt;=80),"",--MID('Key Analysis'!$C136,$A140-80,1))</f>
        <v>1</v>
      </c>
      <c r="CF140" s="29">
        <f>IF(OR($B140="",$A140&lt;=81),"",--MID('Key Analysis'!$C136,$A140-81,1))</f>
        <v>0</v>
      </c>
      <c r="CG140" s="29">
        <f>IF(OR($B140="",$A140&lt;=82),"",--MID('Key Analysis'!$C136,$A140-82,1))</f>
        <v>0</v>
      </c>
      <c r="CH140" s="29">
        <f>IF(OR($B140="",$A140&lt;=83),"",--MID('Key Analysis'!$C136,$A140-83,1))</f>
        <v>1</v>
      </c>
      <c r="CI140" s="29">
        <f>IF(OR($B140="",$A140&lt;=84),"",--MID('Key Analysis'!$C136,$A140-84,1))</f>
        <v>1</v>
      </c>
      <c r="CJ140" s="29">
        <f>IF(OR($B140="",$A140&lt;=85),"",--MID('Key Analysis'!$C136,$A140-85,1))</f>
        <v>1</v>
      </c>
      <c r="CK140" s="29">
        <f>IF(OR($B140="",$A140&lt;=86),"",--MID('Key Analysis'!$C136,$A140-86,1))</f>
        <v>1</v>
      </c>
      <c r="CL140" s="29">
        <f>IF(OR($B140="",$A140&lt;=87),"",--MID('Key Analysis'!$C136,$A140-87,1))</f>
        <v>1</v>
      </c>
      <c r="CM140" s="29">
        <f>IF(OR($B140="",$A140&lt;=88),"",--MID('Key Analysis'!$C136,$A140-88,1))</f>
        <v>1</v>
      </c>
      <c r="CN140" s="29">
        <f>IF(OR($B140="",$A140&lt;=89),"",--MID('Key Analysis'!$C136,$A140-89,1))</f>
        <v>1</v>
      </c>
      <c r="CO140" s="29">
        <f>IF(OR($B140="",$A140&lt;=90),"",--MID('Key Analysis'!$C136,$A140-90,1))</f>
        <v>0</v>
      </c>
      <c r="CP140" s="29">
        <f>IF(OR($B140="",$A140&lt;=91),"",--MID('Key Analysis'!$C136,$A140-91,1))</f>
        <v>0</v>
      </c>
      <c r="CQ140" s="29">
        <f>IF(OR($B140="",$A140&lt;=92),"",--MID('Key Analysis'!$C136,$A140-92,1))</f>
        <v>0</v>
      </c>
      <c r="CR140" s="29">
        <f>IF(OR($B140="",$A140&lt;=93),"",--MID('Key Analysis'!$C136,$A140-93,1))</f>
        <v>0</v>
      </c>
      <c r="CS140" s="29">
        <f>IF(OR($B140="",$A140&lt;=94),"",--MID('Key Analysis'!$C136,$A140-94,1))</f>
        <v>0</v>
      </c>
      <c r="CT140" s="29">
        <f>IF(OR($B140="",$A140&lt;=95),"",--MID('Key Analysis'!$C136,$A140-95,1))</f>
        <v>1</v>
      </c>
      <c r="CU140" s="29">
        <f>IF(OR($B140="",$A140&lt;=96),"",--MID('Key Analysis'!$C136,$A140-96,1))</f>
        <v>0</v>
      </c>
      <c r="CV140" s="29">
        <f>IF(OR($B140="",$A140&lt;=97),"",--MID('Key Analysis'!$C136,$A140-97,1))</f>
        <v>0</v>
      </c>
      <c r="CW140" s="29">
        <f>IF(OR($B140="",$A140&lt;=98),"",--MID('Key Analysis'!$C136,$A140-98,1))</f>
        <v>0</v>
      </c>
      <c r="CX140" s="29">
        <f>IF(OR($B140="",$A140&lt;=99),"",--MID('Key Analysis'!$C136,$A140-99,1))</f>
        <v>1</v>
      </c>
      <c r="CY140" s="29">
        <f>IF(OR($B140="",$A140&lt;=100),"",--MID('Key Analysis'!$C136,$A140-100,1))</f>
        <v>0</v>
      </c>
      <c r="CZ140" s="29">
        <f>IF(OR($B140="",$A140&lt;=101),"",--MID('Key Analysis'!$C136,$A140-101,1))</f>
        <v>1</v>
      </c>
      <c r="DA140" s="29">
        <f>IF(OR($B140="",$A140&lt;=102),"",--MID('Key Analysis'!$C136,$A140-102,1))</f>
        <v>1</v>
      </c>
      <c r="DB140" s="29">
        <f>IF(OR($B140="",$A140&lt;=103),"",--MID('Key Analysis'!$C136,$A140-103,1))</f>
        <v>0</v>
      </c>
      <c r="DC140" s="29">
        <f>IF(OR($B140="",$A140&lt;=104),"",--MID('Key Analysis'!$C136,$A140-104,1))</f>
        <v>1</v>
      </c>
      <c r="DD140" s="29">
        <f>IF(OR($B140="",$A140&lt;=105),"",--MID('Key Analysis'!$C136,$A140-105,1))</f>
        <v>0</v>
      </c>
      <c r="DE140" s="29">
        <f>IF(OR($B140="",$A140&lt;=106),"",--MID('Key Analysis'!$C136,$A140-106,1))</f>
        <v>0</v>
      </c>
      <c r="DF140" s="29">
        <f>IF(OR($B140="",$A140&lt;=107),"",--MID('Key Analysis'!$C136,$A140-107,1))</f>
        <v>0</v>
      </c>
      <c r="DG140" s="29">
        <f>IF(OR($B140="",$A140&lt;=108),"",--MID('Key Analysis'!$C136,$A140-108,1))</f>
        <v>0</v>
      </c>
      <c r="DH140" s="29">
        <f>IF(OR($B140="",$A140&lt;=109),"",--MID('Key Analysis'!$C136,$A140-109,1))</f>
        <v>1</v>
      </c>
      <c r="DI140" s="29">
        <f>IF(OR($B140="",$A140&lt;=110),"",--MID('Key Analysis'!$C136,$A140-110,1))</f>
        <v>0</v>
      </c>
      <c r="DJ140" s="29">
        <f>IF(OR($B140="",$A140&lt;=111),"",--MID('Key Analysis'!$C136,$A140-111,1))</f>
        <v>1</v>
      </c>
      <c r="DK140" s="29">
        <f>IF(OR($B140="",$A140&lt;=112),"",--MID('Key Analysis'!$C136,$A140-112,1))</f>
        <v>0</v>
      </c>
      <c r="DL140" s="29">
        <f>IF(OR($B140="",$A140&lt;=113),"",--MID('Key Analysis'!$C136,$A140-113,1))</f>
        <v>1</v>
      </c>
      <c r="DM140" s="29">
        <f>IF(OR($B140="",$A140&lt;=114),"",--MID('Key Analysis'!$C136,$A140-114,1))</f>
        <v>0</v>
      </c>
      <c r="DN140" s="29">
        <f>IF(OR($B140="",$A140&lt;=115),"",--MID('Key Analysis'!$C136,$A140-115,1))</f>
        <v>0</v>
      </c>
      <c r="DO140" s="29">
        <f>IF(OR($B140="",$A140&lt;=116),"",--MID('Key Analysis'!$C136,$A140-116,1))</f>
        <v>1</v>
      </c>
      <c r="DP140" s="29">
        <f>IF(OR($B140="",$A140&lt;=117),"",--MID('Key Analysis'!$C136,$A140-117,1))</f>
        <v>0</v>
      </c>
      <c r="DQ140" s="29">
        <f>IF(OR($B140="",$A140&lt;=118),"",--MID('Key Analysis'!$C136,$A140-118,1))</f>
        <v>0</v>
      </c>
      <c r="DR140" s="29">
        <f>IF(OR($B140="",$A140&lt;=119),"",--MID('Key Analysis'!$C136,$A140-119,1))</f>
        <v>1</v>
      </c>
      <c r="DS140" s="29">
        <f>IF(OR($B140="",$A140&lt;=120),"",--MID('Key Analysis'!$C136,$A140-120,1))</f>
        <v>1</v>
      </c>
      <c r="DT140" s="29">
        <f>IF(OR($B140="",$A140&lt;=121),"",--MID('Key Analysis'!$C136,$A140-121,1))</f>
        <v>1</v>
      </c>
      <c r="DU140" s="29">
        <f>IF(OR($B140="",$A140&lt;=122),"",--MID('Key Analysis'!$C136,$A140-122,1))</f>
        <v>0</v>
      </c>
      <c r="DV140" s="29">
        <f>IF(OR($B140="",$A140&lt;=123),"",--MID('Key Analysis'!$C136,$A140-123,1))</f>
        <v>0</v>
      </c>
      <c r="DW140" s="29">
        <f>IF(OR($B140="",$A140&lt;=124),"",--MID('Key Analysis'!$C136,$A140-124,1))</f>
        <v>1</v>
      </c>
      <c r="DX140" s="29">
        <f>IF(OR($B140="",$A140&lt;=125),"",--MID('Key Analysis'!$C136,$A140-125,1))</f>
        <v>0</v>
      </c>
      <c r="DY140" s="29">
        <f>IF(OR($B140="",$A140&lt;=126),"",--MID('Key Analysis'!$C136,$A140-126,1))</f>
        <v>0</v>
      </c>
      <c r="DZ140" s="29">
        <f>IF(OR($B140="",$A140&lt;=127),"",--MID('Key Analysis'!$C136,$A140-127,1))</f>
        <v>1</v>
      </c>
      <c r="EA140" s="29">
        <f>IF(OR($B140="",$A140&lt;=128),"",--MID('Key Analysis'!$C136,$A140-128,1))</f>
        <v>1</v>
      </c>
      <c r="EB140" s="29">
        <f>IF(OR($B140="",$A140&lt;=129),"",--MID('Key Analysis'!$C136,$A140-129,1))</f>
        <v>0</v>
      </c>
      <c r="EC140" s="29">
        <f>IF(OR($B140="",$A140&lt;=130),"",--MID('Key Analysis'!$C136,$A140-130,1))</f>
        <v>1</v>
      </c>
      <c r="ED140" s="29">
        <f>IF(OR($B140="",$A140&lt;=131),"",--MID('Key Analysis'!$C136,$A140-131,1))</f>
        <v>1</v>
      </c>
      <c r="EE140" s="29">
        <f>IF(OR($B140="",$A140&lt;=132),"",--MID('Key Analysis'!$C136,$A140-132,1))</f>
        <v>0</v>
      </c>
      <c r="EF140" s="29">
        <f>IF(OR($B140="",$A140&lt;=133),"",--MID('Key Analysis'!$C136,$A140-133,1))</f>
        <v>1</v>
      </c>
      <c r="EG140" s="29">
        <f>IF(OR($B140="",$A140&lt;=134),"",--MID('Key Analysis'!$C136,$A140-134,1))</f>
        <v>1</v>
      </c>
      <c r="EH140" s="29"/>
      <c r="EI140" s="29">
        <f>IF(OR($B140="",$A140&lt;1),"",--MID('Key Analysis'!$C136,1,1))</f>
        <v>1</v>
      </c>
      <c r="EJ140" s="29">
        <f>IF(OR($B140="",$A140&lt;2),"",--MID('Key Analysis'!$C136,2,1))</f>
        <v>1</v>
      </c>
      <c r="EK140" s="29">
        <f>IF(OR($B140="",$A140&lt;3),"",--MID('Key Analysis'!$C136,3,1))</f>
        <v>0</v>
      </c>
      <c r="EL140" s="29">
        <f>IF(OR($B140="",$A140&lt;4),"",--MID('Key Analysis'!$C136,4,1))</f>
        <v>1</v>
      </c>
      <c r="EM140" s="29">
        <f>IF(OR($B140="",$A140&lt;5),"",--MID('Key Analysis'!$C136,5,1))</f>
        <v>1</v>
      </c>
      <c r="EN140" s="29">
        <f>IF(OR($B140="",$A140&lt;6),"",--MID('Key Analysis'!$C136,6,1))</f>
        <v>0</v>
      </c>
      <c r="EO140" s="29">
        <f>IF(OR($B140="",$A140&lt;7),"",--MID('Key Analysis'!$C136,7,1))</f>
        <v>1</v>
      </c>
      <c r="EP140" s="29">
        <f>IF(OR($B140="",$A140&lt;8),"",--MID('Key Analysis'!$C136,8,1))</f>
        <v>1</v>
      </c>
      <c r="EQ140" s="29">
        <f>IF(OR($B140="",$A140&lt;9),"",--MID('Key Analysis'!$C136,9,1))</f>
        <v>0</v>
      </c>
      <c r="ER140" s="29">
        <f>IF(OR($B140="",$A140&lt;10),"",--MID('Key Analysis'!$C136,10,1))</f>
        <v>0</v>
      </c>
      <c r="ES140" s="29">
        <f>IF(OR($B140="",$A140&lt;11),"",--MID('Key Analysis'!$C136,11,1))</f>
        <v>1</v>
      </c>
      <c r="ET140" s="29">
        <f>IF(OR($B140="",$A140&lt;12),"",--MID('Key Analysis'!$C136,12,1))</f>
        <v>0</v>
      </c>
      <c r="EU140" s="29">
        <f>IF(OR($B140="",$A140&lt;13),"",--MID('Key Analysis'!$C136,13,1))</f>
        <v>0</v>
      </c>
      <c r="EV140" s="29">
        <f>IF(OR($B140="",$A140&lt;14),"",--MID('Key Analysis'!$C136,14,1))</f>
        <v>1</v>
      </c>
      <c r="EW140" s="29">
        <f>IF(OR($B140="",$A140&lt;15),"",--MID('Key Analysis'!$C136,15,1))</f>
        <v>1</v>
      </c>
      <c r="EX140" s="29">
        <f>IF(OR($B140="",$A140&lt;16),"",--MID('Key Analysis'!$C136,16,1))</f>
        <v>1</v>
      </c>
      <c r="EY140" s="29">
        <f>IF(OR($B140="",$A140&lt;17),"",--MID('Key Analysis'!$C136,17,1))</f>
        <v>0</v>
      </c>
      <c r="EZ140" s="29">
        <f>IF(OR($B140="",$A140&lt;18),"",--MID('Key Analysis'!$C136,18,1))</f>
        <v>0</v>
      </c>
      <c r="FA140" s="29">
        <f>IF(OR($B140="",$A140&lt;19),"",--MID('Key Analysis'!$C136,19,1))</f>
        <v>1</v>
      </c>
      <c r="FB140" s="29">
        <f>IF(OR($B140="",$A140&lt;20),"",--MID('Key Analysis'!$C136,20,1))</f>
        <v>0</v>
      </c>
      <c r="FC140" s="29">
        <f>IF(OR($B140="",$A140&lt;21),"",--MID('Key Analysis'!$C136,21,1))</f>
        <v>0</v>
      </c>
      <c r="FD140" s="29">
        <f>IF(OR($B140="",$A140&lt;22),"",--MID('Key Analysis'!$C136,22,1))</f>
        <v>1</v>
      </c>
      <c r="FE140" s="29">
        <f>IF(OR($B140="",$A140&lt;23),"",--MID('Key Analysis'!$C136,23,1))</f>
        <v>0</v>
      </c>
      <c r="FF140" s="29">
        <f>IF(OR($B140="",$A140&lt;24),"",--MID('Key Analysis'!$C136,24,1))</f>
        <v>1</v>
      </c>
      <c r="FG140" s="29">
        <f>IF(OR($B140="",$A140&lt;25),"",--MID('Key Analysis'!$C136,25,1))</f>
        <v>0</v>
      </c>
      <c r="FH140" s="29">
        <f>IF(OR($B140="",$A140&lt;26),"",--MID('Key Analysis'!$C136,26,1))</f>
        <v>1</v>
      </c>
      <c r="FI140" s="29">
        <f>IF(OR($B140="",$A140&lt;27),"",--MID('Key Analysis'!$C136,27,1))</f>
        <v>0</v>
      </c>
      <c r="FJ140" s="29">
        <f>IF(OR($B140="",$A140&lt;28),"",--MID('Key Analysis'!$C136,28,1))</f>
        <v>0</v>
      </c>
      <c r="FK140" s="29">
        <f>IF(OR($B140="",$A140&lt;29),"",--MID('Key Analysis'!$C136,29,1))</f>
        <v>0</v>
      </c>
      <c r="FL140" s="29">
        <f>IF(OR($B140="",$A140&lt;30),"",--MID('Key Analysis'!$C136,30,1))</f>
        <v>0</v>
      </c>
      <c r="FM140" s="29">
        <f>IF(OR($B140="",$A140&lt;31),"",--MID('Key Analysis'!$C136,31,1))</f>
        <v>1</v>
      </c>
      <c r="FN140" s="29">
        <f>IF(OR($B140="",$A140&lt;32),"",--MID('Key Analysis'!$C136,32,1))</f>
        <v>0</v>
      </c>
      <c r="FO140" s="29">
        <f>IF(OR($B140="",$A140&lt;33),"",--MID('Key Analysis'!$C136,33,1))</f>
        <v>1</v>
      </c>
      <c r="FP140" s="29">
        <f>IF(OR($B140="",$A140&lt;34),"",--MID('Key Analysis'!$C136,34,1))</f>
        <v>1</v>
      </c>
      <c r="FQ140" s="29">
        <f>IF(OR($B140="",$A140&lt;35),"",--MID('Key Analysis'!$C136,35,1))</f>
        <v>0</v>
      </c>
      <c r="FR140" s="29">
        <f>IF(OR($B140="",$A140&lt;36),"",--MID('Key Analysis'!$C136,36,1))</f>
        <v>1</v>
      </c>
      <c r="FS140" s="29">
        <f>IF(OR($B140="",$A140&lt;37),"",--MID('Key Analysis'!$C136,37,1))</f>
        <v>0</v>
      </c>
      <c r="FT140" s="29">
        <f>IF(OR($B140="",$A140&lt;38),"",--MID('Key Analysis'!$C136,38,1))</f>
        <v>0</v>
      </c>
      <c r="FU140" s="29">
        <f>IF(OR($B140="",$A140&lt;39),"",--MID('Key Analysis'!$C136,39,1))</f>
        <v>0</v>
      </c>
      <c r="FV140" s="29">
        <f>IF(OR($B140="",$A140&lt;40),"",--MID('Key Analysis'!$C136,40,1))</f>
        <v>1</v>
      </c>
      <c r="FW140" s="29">
        <f>IF(OR($B140="",$A140&lt;41),"",--MID('Key Analysis'!$C136,41,1))</f>
        <v>0</v>
      </c>
      <c r="FX140" s="29">
        <f>IF(OR($B140="",$A140&lt;42),"",--MID('Key Analysis'!$C136,42,1))</f>
        <v>0</v>
      </c>
      <c r="FY140" s="29">
        <f>IF(OR($B140="",$A140&lt;43),"",--MID('Key Analysis'!$C136,43,1))</f>
        <v>0</v>
      </c>
      <c r="FZ140" s="29">
        <f>IF(OR($B140="",$A140&lt;44),"",--MID('Key Analysis'!$C136,44,1))</f>
        <v>0</v>
      </c>
      <c r="GA140" s="29">
        <f>IF(OR($B140="",$A140&lt;45),"",--MID('Key Analysis'!$C136,45,1))</f>
        <v>0</v>
      </c>
      <c r="GB140" s="29">
        <f>IF(OR($B140="",$A140&lt;46),"",--MID('Key Analysis'!$C136,46,1))</f>
        <v>1</v>
      </c>
      <c r="GC140" s="29">
        <f>IF(OR($B140="",$A140&lt;47),"",--MID('Key Analysis'!$C136,47,1))</f>
        <v>1</v>
      </c>
      <c r="GD140" s="29">
        <f>IF(OR($B140="",$A140&lt;48),"",--MID('Key Analysis'!$C136,48,1))</f>
        <v>1</v>
      </c>
      <c r="GE140" s="29">
        <f>IF(OR($B140="",$A140&lt;49),"",--MID('Key Analysis'!$C136,49,1))</f>
        <v>1</v>
      </c>
      <c r="GF140" s="29">
        <f>IF(OR($B140="",$A140&lt;50),"",--MID('Key Analysis'!$C136,50,1))</f>
        <v>1</v>
      </c>
      <c r="GG140" s="29">
        <f>IF(OR($B140="",$A140&lt;51),"",--MID('Key Analysis'!$C136,51,1))</f>
        <v>1</v>
      </c>
      <c r="GH140" s="29">
        <f>IF(OR($B140="",$A140&lt;52),"",--MID('Key Analysis'!$C136,52,1))</f>
        <v>1</v>
      </c>
      <c r="GI140" s="29">
        <f>IF(OR($B140="",$A140&lt;53),"",--MID('Key Analysis'!$C136,53,1))</f>
        <v>0</v>
      </c>
      <c r="GJ140" s="29">
        <f>IF(OR($B140="",$A140&lt;54),"",--MID('Key Analysis'!$C136,54,1))</f>
        <v>0</v>
      </c>
      <c r="GK140" s="29">
        <f>IF(OR($B140="",$A140&lt;55),"",--MID('Key Analysis'!$C136,55,1))</f>
        <v>1</v>
      </c>
      <c r="GL140" s="29">
        <f>IF(OR($B140="",$A140&lt;56),"",--MID('Key Analysis'!$C136,56,1))</f>
        <v>0</v>
      </c>
      <c r="GM140" s="29">
        <f>IF(OR($B140="",$A140&lt;57),"",--MID('Key Analysis'!$C136,57,1))</f>
        <v>0</v>
      </c>
      <c r="GN140" s="29">
        <f>IF(OR($B140="",$A140&lt;58),"",--MID('Key Analysis'!$C136,58,1))</f>
        <v>0</v>
      </c>
      <c r="GO140" s="29">
        <f>IF(OR($B140="",$A140&lt;59),"",--MID('Key Analysis'!$C136,59,1))</f>
        <v>0</v>
      </c>
      <c r="GP140" s="29">
        <f>IF(OR($B140="",$A140&lt;60),"",--MID('Key Analysis'!$C136,60,1))</f>
        <v>1</v>
      </c>
      <c r="GQ140" s="29">
        <f>IF(OR($B140="",$A140&lt;61),"",--MID('Key Analysis'!$C136,61,1))</f>
        <v>0</v>
      </c>
      <c r="GR140" s="29">
        <f>IF(OR($B140="",$A140&lt;62),"",--MID('Key Analysis'!$C136,62,1))</f>
        <v>0</v>
      </c>
      <c r="GS140" s="29">
        <f>IF(OR($B140="",$A140&lt;63),"",--MID('Key Analysis'!$C136,63,1))</f>
        <v>1</v>
      </c>
      <c r="GT140" s="29">
        <f>IF(OR($B140="",$A140&lt;64),"",--MID('Key Analysis'!$C136,64,1))</f>
        <v>0</v>
      </c>
      <c r="GU140" s="29">
        <f>IF(OR($B140="",$A140&lt;65),"",--MID('Key Analysis'!$C136,65,1))</f>
        <v>0</v>
      </c>
      <c r="GV140" s="29">
        <f>IF(OR($B140="",$A140&lt;66),"",--MID('Key Analysis'!$C136,66,1))</f>
        <v>0</v>
      </c>
      <c r="GW140" s="29">
        <f>IF(OR($B140="",$A140&lt;67),"",--MID('Key Analysis'!$C136,67,1))</f>
        <v>0</v>
      </c>
      <c r="GX140" s="29">
        <f>IF(OR($B140="",$A140&lt;68),"",--MID('Key Analysis'!$C136,68,1))</f>
        <v>0</v>
      </c>
      <c r="GY140" s="29">
        <f>IF(OR($B140="",$A140&lt;69),"",--MID('Key Analysis'!$C136,69,1))</f>
        <v>0</v>
      </c>
      <c r="GZ140" s="29">
        <f>IF(OR($B140="",$A140&lt;70),"",--MID('Key Analysis'!$C136,70,1))</f>
        <v>1</v>
      </c>
      <c r="HA140" s="29">
        <f>IF(OR($B140="",$A140&lt;71),"",--MID('Key Analysis'!$C136,71,1))</f>
        <v>1</v>
      </c>
      <c r="HB140" s="29">
        <f>IF(OR($B140="",$A140&lt;72),"",--MID('Key Analysis'!$C136,72,1))</f>
        <v>1</v>
      </c>
      <c r="HC140" s="29">
        <f>IF(OR($B140="",$A140&lt;73),"",--MID('Key Analysis'!$C136,73,1))</f>
        <v>1</v>
      </c>
      <c r="HD140" s="29">
        <f>IF(OR($B140="",$A140&lt;74),"",--MID('Key Analysis'!$C136,74,1))</f>
        <v>0</v>
      </c>
      <c r="HE140" s="29">
        <f>IF(OR($B140="",$A140&lt;75),"",--MID('Key Analysis'!$C136,75,1))</f>
        <v>1</v>
      </c>
      <c r="HF140" s="29">
        <f>IF(OR($B140="",$A140&lt;76),"",--MID('Key Analysis'!$C136,76,1))</f>
        <v>0</v>
      </c>
      <c r="HG140" s="29">
        <f>IF(OR($B140="",$A140&lt;77),"",--MID('Key Analysis'!$C136,77,1))</f>
        <v>1</v>
      </c>
      <c r="HH140" s="29">
        <f>IF(OR($B140="",$A140&lt;78),"",--MID('Key Analysis'!$C136,78,1))</f>
        <v>0</v>
      </c>
      <c r="HI140" s="29">
        <f>IF(OR($B140="",$A140&lt;79),"",--MID('Key Analysis'!$C136,79,1))</f>
        <v>1</v>
      </c>
      <c r="HJ140" s="29">
        <f>IF(OR($B140="",$A140&lt;80),"",--MID('Key Analysis'!$C136,80,1))</f>
        <v>1</v>
      </c>
      <c r="HK140" s="29">
        <f>IF(OR($B140="",$A140&lt;81),"",--MID('Key Analysis'!$C136,81,1))</f>
        <v>1</v>
      </c>
      <c r="HL140" s="29">
        <f>IF(OR($B140="",$A140&lt;82),"",--MID('Key Analysis'!$C136,82,1))</f>
        <v>1</v>
      </c>
      <c r="HM140" s="29">
        <f>IF(OR($B140="",$A140&lt;83),"",--MID('Key Analysis'!$C136,83,1))</f>
        <v>1</v>
      </c>
      <c r="HN140" s="29">
        <f>IF(OR($B140="",$A140&lt;84),"",--MID('Key Analysis'!$C136,84,1))</f>
        <v>0</v>
      </c>
      <c r="HO140" s="29">
        <f>IF(OR($B140="",$A140&lt;85),"",--MID('Key Analysis'!$C136,85,1))</f>
        <v>1</v>
      </c>
      <c r="HP140" s="29">
        <f>IF(OR($B140="",$A140&lt;86),"",--MID('Key Analysis'!$C136,86,1))</f>
        <v>1</v>
      </c>
      <c r="HQ140" s="29">
        <f>IF(OR($B140="",$A140&lt;87),"",--MID('Key Analysis'!$C136,87,1))</f>
        <v>1</v>
      </c>
      <c r="HR140" s="29">
        <f>IF(OR($B140="",$A140&lt;88),"",--MID('Key Analysis'!$C136,88,1))</f>
        <v>1</v>
      </c>
      <c r="HS140" s="29">
        <f>IF(OR($B140="",$A140&lt;89),"",--MID('Key Analysis'!$C136,89,1))</f>
        <v>0</v>
      </c>
      <c r="HT140" s="29">
        <f>IF(OR($B140="",$A140&lt;90),"",--MID('Key Analysis'!$C136,90,1))</f>
        <v>0</v>
      </c>
      <c r="HU140" s="29">
        <f>IF(OR($B140="",$A140&lt;91),"",--MID('Key Analysis'!$C136,91,1))</f>
        <v>0</v>
      </c>
      <c r="HV140" s="29">
        <f>IF(OR($B140="",$A140&lt;92),"",--MID('Key Analysis'!$C136,92,1))</f>
        <v>1</v>
      </c>
      <c r="HW140" s="29">
        <f>IF(OR($B140="",$A140&lt;93),"",--MID('Key Analysis'!$C136,93,1))</f>
        <v>1</v>
      </c>
      <c r="HX140" s="29">
        <f>IF(OR($B140="",$A140&lt;94),"",--MID('Key Analysis'!$C136,94,1))</f>
        <v>0</v>
      </c>
      <c r="HY140" s="29">
        <f>IF(OR($B140="",$A140&lt;95),"",--MID('Key Analysis'!$C136,95,1))</f>
        <v>1</v>
      </c>
      <c r="HZ140" s="29">
        <f>IF(OR($B140="",$A140&lt;96),"",--MID('Key Analysis'!$C136,96,1))</f>
        <v>1</v>
      </c>
      <c r="IA140" s="29">
        <f>IF(OR($B140="",$A140&lt;97),"",--MID('Key Analysis'!$C136,97,1))</f>
        <v>0</v>
      </c>
      <c r="IB140" s="29">
        <f>IF(OR($B140="",$A140&lt;98),"",--MID('Key Analysis'!$C136,98,1))</f>
        <v>1</v>
      </c>
      <c r="IC140" s="29">
        <f>IF(OR($B140="",$A140&lt;99),"",--MID('Key Analysis'!$C136,99,1))</f>
        <v>0</v>
      </c>
      <c r="ID140" s="29">
        <f>IF(OR($B140="",$A140&lt;100),"",--MID('Key Analysis'!$C136,100,1))</f>
        <v>0</v>
      </c>
      <c r="IE140" s="29">
        <f>IF(OR($B140="",$A140&lt;101),"",--MID('Key Analysis'!$C136,101,1))</f>
        <v>1</v>
      </c>
      <c r="IF140" s="29">
        <f>IF(OR($B140="",$A140&lt;102),"",--MID('Key Analysis'!$C136,102,1))</f>
        <v>0</v>
      </c>
      <c r="IG140" s="29">
        <f>IF(OR($B140="",$A140&lt;103),"",--MID('Key Analysis'!$C136,103,1))</f>
        <v>1</v>
      </c>
      <c r="IH140" s="29">
        <f>IF(OR($B140="",$A140&lt;104),"",--MID('Key Analysis'!$C136,104,1))</f>
        <v>0</v>
      </c>
      <c r="II140" s="29">
        <f>IF(OR($B140="",$A140&lt;105),"",--MID('Key Analysis'!$C136,105,1))</f>
        <v>1</v>
      </c>
      <c r="IJ140" s="29">
        <f>IF(OR($B140="",$A140&lt;106),"",--MID('Key Analysis'!$C136,106,1))</f>
        <v>1</v>
      </c>
      <c r="IK140" s="29">
        <f>IF(OR($B140="",$A140&lt;107),"",--MID('Key Analysis'!$C136,107,1))</f>
        <v>1</v>
      </c>
      <c r="IL140" s="29">
        <f>IF(OR($B140="",$A140&lt;108),"",--MID('Key Analysis'!$C136,108,1))</f>
        <v>1</v>
      </c>
      <c r="IM140" s="29">
        <f>IF(OR($B140="",$A140&lt;109),"",--MID('Key Analysis'!$C136,109,1))</f>
        <v>0</v>
      </c>
      <c r="IN140" s="29">
        <f>IF(OR($B140="",$A140&lt;110),"",--MID('Key Analysis'!$C136,110,1))</f>
        <v>1</v>
      </c>
      <c r="IO140" s="29">
        <f>IF(OR($B140="",$A140&lt;111),"",--MID('Key Analysis'!$C136,111,1))</f>
        <v>0</v>
      </c>
      <c r="IP140" s="29">
        <f>IF(OR($B140="",$A140&lt;112),"",--MID('Key Analysis'!$C136,112,1))</f>
        <v>1</v>
      </c>
      <c r="IQ140" s="29">
        <f>IF(OR($B140="",$A140&lt;113),"",--MID('Key Analysis'!$C136,113,1))</f>
        <v>1</v>
      </c>
      <c r="IR140" s="29">
        <f>IF(OR($B140="",$A140&lt;114),"",--MID('Key Analysis'!$C136,114,1))</f>
        <v>1</v>
      </c>
      <c r="IS140" s="29">
        <f>IF(OR($B140="",$A140&lt;115),"",--MID('Key Analysis'!$C136,115,1))</f>
        <v>1</v>
      </c>
      <c r="IT140" s="29">
        <f>IF(OR($B140="",$A140&lt;116),"",--MID('Key Analysis'!$C136,116,1))</f>
        <v>0</v>
      </c>
      <c r="IU140" s="29">
        <f>IF(OR($B140="",$A140&lt;117),"",--MID('Key Analysis'!$C136,117,1))</f>
        <v>0</v>
      </c>
      <c r="IV140" s="29">
        <f>IF(OR($B140="",$A140&lt;118),"",--MID('Key Analysis'!$C136,118,1))</f>
        <v>0</v>
      </c>
      <c r="IW140" s="29">
        <f>IF(OR($B140="",$A140&lt;119),"",--MID('Key Analysis'!$C136,119,1))</f>
        <v>0</v>
      </c>
      <c r="IX140" s="29">
        <f>IF(OR($B140="",$A140&lt;120),"",--MID('Key Analysis'!$C136,120,1))</f>
        <v>0</v>
      </c>
      <c r="IY140" s="29">
        <f>IF(OR($B140="",$A140&lt;121),"",--MID('Key Analysis'!$C136,121,1))</f>
        <v>1</v>
      </c>
      <c r="IZ140" s="29">
        <f>IF(OR($B140="",$A140&lt;122),"",--MID('Key Analysis'!$C136,122,1))</f>
        <v>1</v>
      </c>
      <c r="JA140" s="29">
        <f>IF(OR($B140="",$A140&lt;123),"",--MID('Key Analysis'!$C136,123,1))</f>
        <v>1</v>
      </c>
      <c r="JB140" s="29">
        <f>IF(OR($B140="",$A140&lt;124),"",--MID('Key Analysis'!$C136,124,1))</f>
        <v>1</v>
      </c>
      <c r="JC140" s="29">
        <f>IF(OR($B140="",$A140&lt;125),"",--MID('Key Analysis'!$C136,125,1))</f>
        <v>1</v>
      </c>
      <c r="JD140" s="29">
        <f>IF(OR($B140="",$A140&lt;126),"",--MID('Key Analysis'!$C136,126,1))</f>
        <v>1</v>
      </c>
      <c r="JE140" s="29">
        <f>IF(OR($B140="",$A140&lt;127),"",--MID('Key Analysis'!$C136,127,1))</f>
        <v>0</v>
      </c>
      <c r="JF140" s="29">
        <f>IF(OR($B140="",$A140&lt;128),"",--MID('Key Analysis'!$C136,128,1))</f>
        <v>1</v>
      </c>
      <c r="JG140" s="29">
        <f>IF(OR($B140="",$A140&lt;129),"",--MID('Key Analysis'!$C136,129,1))</f>
        <v>0</v>
      </c>
      <c r="JH140" s="29">
        <f>IF(OR($B140="",$A140&lt;130),"",--MID('Key Analysis'!$C136,130,1))</f>
        <v>1</v>
      </c>
      <c r="JI140" s="29">
        <f>IF(OR($B140="",$A140&lt;131),"",--MID('Key Analysis'!$C136,131,1))</f>
        <v>1</v>
      </c>
      <c r="JJ140" s="29">
        <f>IF(OR($B140="",$A140&lt;132),"",--MID('Key Analysis'!$C136,132,1))</f>
        <v>0</v>
      </c>
      <c r="JK140" s="29">
        <f>IF(OR($B140="",$A140&lt;133),"",--MID('Key Analysis'!$C136,133,1))</f>
        <v>0</v>
      </c>
      <c r="JL140" s="29">
        <f>IF(OR($B140="",$A140&lt;134),"",--MID('Key Analysis'!$C136,134,1))</f>
        <v>1</v>
      </c>
      <c r="JM140" s="29">
        <f>IF(OR($B140="",$A140&lt;135),"",--MID('Key Analysis'!$C136,135,1))</f>
        <v>0</v>
      </c>
    </row>
    <row r="141" spans="1:273" x14ac:dyDescent="0.25">
      <c r="A141" s="21">
        <f>'Key Analysis'!A137</f>
        <v>136</v>
      </c>
      <c r="B141" s="30" t="str">
        <f>'Key Analysis'!B137</f>
        <v/>
      </c>
      <c r="C141" s="29" t="str">
        <f>IF(OR($B141="",$A141&lt;=0),"",--MID('Key Analysis'!$C137,$A141-0,1))</f>
        <v/>
      </c>
      <c r="D141" s="29" t="str">
        <f>IF(OR($B141="",$A141&lt;=1),"",--MID('Key Analysis'!$C137,$A141-1,1))</f>
        <v/>
      </c>
      <c r="E141" s="29" t="str">
        <f>IF(OR($B141="",$A141&lt;=2),"",--MID('Key Analysis'!$C137,$A141-2,1))</f>
        <v/>
      </c>
      <c r="F141" s="29" t="str">
        <f>IF(OR($B141="",$A141&lt;=3),"",--MID('Key Analysis'!$C137,$A141-3,1))</f>
        <v/>
      </c>
      <c r="G141" s="29" t="str">
        <f>IF(OR($B141="",$A141&lt;=4),"",--MID('Key Analysis'!$C137,$A141-4,1))</f>
        <v/>
      </c>
      <c r="H141" s="29" t="str">
        <f>IF(OR($B141="",$A141&lt;=5),"",--MID('Key Analysis'!$C137,$A141-5,1))</f>
        <v/>
      </c>
      <c r="I141" s="29" t="str">
        <f>IF(OR($B141="",$A141&lt;=6),"",--MID('Key Analysis'!$C137,$A141-6,1))</f>
        <v/>
      </c>
      <c r="J141" s="29" t="str">
        <f>IF(OR($B141="",$A141&lt;=7),"",--MID('Key Analysis'!$C137,$A141-7,1))</f>
        <v/>
      </c>
      <c r="K141" s="29" t="str">
        <f>IF(OR($B141="",$A141&lt;=8),"",--MID('Key Analysis'!$C137,$A141-8,1))</f>
        <v/>
      </c>
      <c r="L141" s="29" t="str">
        <f>IF(OR($B141="",$A141&lt;=9),"",--MID('Key Analysis'!$C137,$A141-9,1))</f>
        <v/>
      </c>
      <c r="M141" s="29" t="str">
        <f>IF(OR($B141="",$A141&lt;=10),"",--MID('Key Analysis'!$C137,$A141-10,1))</f>
        <v/>
      </c>
      <c r="N141" s="29" t="str">
        <f>IF(OR($B141="",$A141&lt;=11),"",--MID('Key Analysis'!$C137,$A141-11,1))</f>
        <v/>
      </c>
      <c r="O141" s="29" t="str">
        <f>IF(OR($B141="",$A141&lt;=12),"",--MID('Key Analysis'!$C137,$A141-12,1))</f>
        <v/>
      </c>
      <c r="P141" s="29" t="str">
        <f>IF(OR($B141="",$A141&lt;=13),"",--MID('Key Analysis'!$C137,$A141-13,1))</f>
        <v/>
      </c>
      <c r="Q141" s="29" t="str">
        <f>IF(OR($B141="",$A141&lt;=14),"",--MID('Key Analysis'!$C137,$A141-14,1))</f>
        <v/>
      </c>
      <c r="R141" s="29" t="str">
        <f>IF(OR($B141="",$A141&lt;=15),"",--MID('Key Analysis'!$C137,$A141-15,1))</f>
        <v/>
      </c>
      <c r="S141" s="29" t="str">
        <f>IF(OR($B141="",$A141&lt;=16),"",--MID('Key Analysis'!$C137,$A141-16,1))</f>
        <v/>
      </c>
      <c r="T141" s="29" t="str">
        <f>IF(OR($B141="",$A141&lt;=17),"",--MID('Key Analysis'!$C137,$A141-17,1))</f>
        <v/>
      </c>
      <c r="U141" s="29" t="str">
        <f>IF(OR($B141="",$A141&lt;=18),"",--MID('Key Analysis'!$C137,$A141-18,1))</f>
        <v/>
      </c>
      <c r="V141" s="29" t="str">
        <f>IF(OR($B141="",$A141&lt;=19),"",--MID('Key Analysis'!$C137,$A141-19,1))</f>
        <v/>
      </c>
      <c r="W141" s="29" t="str">
        <f>IF(OR($B141="",$A141&lt;=20),"",--MID('Key Analysis'!$C137,$A141-20,1))</f>
        <v/>
      </c>
      <c r="X141" s="29" t="str">
        <f>IF(OR($B141="",$A141&lt;=21),"",--MID('Key Analysis'!$C137,$A141-21,1))</f>
        <v/>
      </c>
      <c r="Y141" s="29" t="str">
        <f>IF(OR($B141="",$A141&lt;=22),"",--MID('Key Analysis'!$C137,$A141-22,1))</f>
        <v/>
      </c>
      <c r="Z141" s="29" t="str">
        <f>IF(OR($B141="",$A141&lt;=23),"",--MID('Key Analysis'!$C137,$A141-23,1))</f>
        <v/>
      </c>
      <c r="AA141" s="29" t="str">
        <f>IF(OR($B141="",$A141&lt;=24),"",--MID('Key Analysis'!$C137,$A141-24,1))</f>
        <v/>
      </c>
      <c r="AB141" s="29" t="str">
        <f>IF(OR($B141="",$A141&lt;=25),"",--MID('Key Analysis'!$C137,$A141-25,1))</f>
        <v/>
      </c>
      <c r="AC141" s="29" t="str">
        <f>IF(OR($B141="",$A141&lt;=26),"",--MID('Key Analysis'!$C137,$A141-26,1))</f>
        <v/>
      </c>
      <c r="AD141" s="29" t="str">
        <f>IF(OR($B141="",$A141&lt;=27),"",--MID('Key Analysis'!$C137,$A141-27,1))</f>
        <v/>
      </c>
      <c r="AE141" s="29" t="str">
        <f>IF(OR($B141="",$A141&lt;=28),"",--MID('Key Analysis'!$C137,$A141-28,1))</f>
        <v/>
      </c>
      <c r="AF141" s="29" t="str">
        <f>IF(OR($B141="",$A141&lt;=29),"",--MID('Key Analysis'!$C137,$A141-29,1))</f>
        <v/>
      </c>
      <c r="AG141" s="29" t="str">
        <f>IF(OR($B141="",$A141&lt;=30),"",--MID('Key Analysis'!$C137,$A141-30,1))</f>
        <v/>
      </c>
      <c r="AH141" s="29" t="str">
        <f>IF(OR($B141="",$A141&lt;=31),"",--MID('Key Analysis'!$C137,$A141-31,1))</f>
        <v/>
      </c>
      <c r="AI141" s="29" t="str">
        <f>IF(OR($B141="",$A141&lt;=32),"",--MID('Key Analysis'!$C137,$A141-32,1))</f>
        <v/>
      </c>
      <c r="AJ141" s="29" t="str">
        <f>IF(OR($B141="",$A141&lt;=33),"",--MID('Key Analysis'!$C137,$A141-33,1))</f>
        <v/>
      </c>
      <c r="AK141" s="29" t="str">
        <f>IF(OR($B141="",$A141&lt;=34),"",--MID('Key Analysis'!$C137,$A141-34,1))</f>
        <v/>
      </c>
      <c r="AL141" s="29" t="str">
        <f>IF(OR($B141="",$A141&lt;=35),"",--MID('Key Analysis'!$C137,$A141-35,1))</f>
        <v/>
      </c>
      <c r="AM141" s="29" t="str">
        <f>IF(OR($B141="",$A141&lt;=36),"",--MID('Key Analysis'!$C137,$A141-36,1))</f>
        <v/>
      </c>
      <c r="AN141" s="29" t="str">
        <f>IF(OR($B141="",$A141&lt;=37),"",--MID('Key Analysis'!$C137,$A141-37,1))</f>
        <v/>
      </c>
      <c r="AO141" s="29" t="str">
        <f>IF(OR($B141="",$A141&lt;=38),"",--MID('Key Analysis'!$C137,$A141-38,1))</f>
        <v/>
      </c>
      <c r="AP141" s="29" t="str">
        <f>IF(OR($B141="",$A141&lt;=39),"",--MID('Key Analysis'!$C137,$A141-39,1))</f>
        <v/>
      </c>
      <c r="AQ141" s="29" t="str">
        <f>IF(OR($B141="",$A141&lt;=40),"",--MID('Key Analysis'!$C137,$A141-40,1))</f>
        <v/>
      </c>
      <c r="AR141" s="29" t="str">
        <f>IF(OR($B141="",$A141&lt;=41),"",--MID('Key Analysis'!$C137,$A141-41,1))</f>
        <v/>
      </c>
      <c r="AS141" s="29" t="str">
        <f>IF(OR($B141="",$A141&lt;=42),"",--MID('Key Analysis'!$C137,$A141-42,1))</f>
        <v/>
      </c>
      <c r="AT141" s="29" t="str">
        <f>IF(OR($B141="",$A141&lt;=43),"",--MID('Key Analysis'!$C137,$A141-43,1))</f>
        <v/>
      </c>
      <c r="AU141" s="29" t="str">
        <f>IF(OR($B141="",$A141&lt;=44),"",--MID('Key Analysis'!$C137,$A141-44,1))</f>
        <v/>
      </c>
      <c r="AV141" s="29" t="str">
        <f>IF(OR($B141="",$A141&lt;=45),"",--MID('Key Analysis'!$C137,$A141-45,1))</f>
        <v/>
      </c>
      <c r="AW141" s="29" t="str">
        <f>IF(OR($B141="",$A141&lt;=46),"",--MID('Key Analysis'!$C137,$A141-46,1))</f>
        <v/>
      </c>
      <c r="AX141" s="29" t="str">
        <f>IF(OR($B141="",$A141&lt;=47),"",--MID('Key Analysis'!$C137,$A141-47,1))</f>
        <v/>
      </c>
      <c r="AY141" s="29" t="str">
        <f>IF(OR($B141="",$A141&lt;=48),"",--MID('Key Analysis'!$C137,$A141-48,1))</f>
        <v/>
      </c>
      <c r="AZ141" s="29" t="str">
        <f>IF(OR($B141="",$A141&lt;=49),"",--MID('Key Analysis'!$C137,$A141-49,1))</f>
        <v/>
      </c>
      <c r="BA141" s="29" t="str">
        <f>IF(OR($B141="",$A141&lt;=50),"",--MID('Key Analysis'!$C137,$A141-50,1))</f>
        <v/>
      </c>
      <c r="BB141" s="29" t="str">
        <f>IF(OR($B141="",$A141&lt;=51),"",--MID('Key Analysis'!$C137,$A141-51,1))</f>
        <v/>
      </c>
      <c r="BC141" s="29" t="str">
        <f>IF(OR($B141="",$A141&lt;=52),"",--MID('Key Analysis'!$C137,$A141-52,1))</f>
        <v/>
      </c>
      <c r="BD141" s="29" t="str">
        <f>IF(OR($B141="",$A141&lt;=53),"",--MID('Key Analysis'!$C137,$A141-53,1))</f>
        <v/>
      </c>
      <c r="BE141" s="29" t="str">
        <f>IF(OR($B141="",$A141&lt;=54),"",--MID('Key Analysis'!$C137,$A141-54,1))</f>
        <v/>
      </c>
      <c r="BF141" s="29" t="str">
        <f>IF(OR($B141="",$A141&lt;=55),"",--MID('Key Analysis'!$C137,$A141-55,1))</f>
        <v/>
      </c>
      <c r="BG141" s="29" t="str">
        <f>IF(OR($B141="",$A141&lt;=56),"",--MID('Key Analysis'!$C137,$A141-56,1))</f>
        <v/>
      </c>
      <c r="BH141" s="29" t="str">
        <f>IF(OR($B141="",$A141&lt;=57),"",--MID('Key Analysis'!$C137,$A141-57,1))</f>
        <v/>
      </c>
      <c r="BI141" s="29" t="str">
        <f>IF(OR($B141="",$A141&lt;=58),"",--MID('Key Analysis'!$C137,$A141-58,1))</f>
        <v/>
      </c>
      <c r="BJ141" s="29" t="str">
        <f>IF(OR($B141="",$A141&lt;=59),"",--MID('Key Analysis'!$C137,$A141-59,1))</f>
        <v/>
      </c>
      <c r="BK141" s="29" t="str">
        <f>IF(OR($B141="",$A141&lt;=60),"",--MID('Key Analysis'!$C137,$A141-60,1))</f>
        <v/>
      </c>
      <c r="BL141" s="29" t="str">
        <f>IF(OR($B141="",$A141&lt;=61),"",--MID('Key Analysis'!$C137,$A141-61,1))</f>
        <v/>
      </c>
      <c r="BM141" s="29" t="str">
        <f>IF(OR($B141="",$A141&lt;=62),"",--MID('Key Analysis'!$C137,$A141-62,1))</f>
        <v/>
      </c>
      <c r="BN141" s="29" t="str">
        <f>IF(OR($B141="",$A141&lt;=63),"",--MID('Key Analysis'!$C137,$A141-63,1))</f>
        <v/>
      </c>
      <c r="BO141" s="29" t="str">
        <f>IF(OR($B141="",$A141&lt;=64),"",--MID('Key Analysis'!$C137,$A141-64,1))</f>
        <v/>
      </c>
      <c r="BP141" s="29" t="str">
        <f>IF(OR($B141="",$A141&lt;=65),"",--MID('Key Analysis'!$C137,$A141-65,1))</f>
        <v/>
      </c>
      <c r="BQ141" s="29" t="str">
        <f>IF(OR($B141="",$A141&lt;=66),"",--MID('Key Analysis'!$C137,$A141-66,1))</f>
        <v/>
      </c>
      <c r="BR141" s="29" t="str">
        <f>IF(OR($B141="",$A141&lt;=67),"",--MID('Key Analysis'!$C137,$A141-67,1))</f>
        <v/>
      </c>
      <c r="BS141" s="29" t="str">
        <f>IF(OR($B141="",$A141&lt;=68),"",--MID('Key Analysis'!$C137,$A141-68,1))</f>
        <v/>
      </c>
      <c r="BT141" s="29" t="str">
        <f>IF(OR($B141="",$A141&lt;=69),"",--MID('Key Analysis'!$C137,$A141-69,1))</f>
        <v/>
      </c>
      <c r="BU141" s="29" t="str">
        <f>IF(OR($B141="",$A141&lt;=70),"",--MID('Key Analysis'!$C137,$A141-70,1))</f>
        <v/>
      </c>
      <c r="BV141" s="29" t="str">
        <f>IF(OR($B141="",$A141&lt;=71),"",--MID('Key Analysis'!$C137,$A141-71,1))</f>
        <v/>
      </c>
      <c r="BW141" s="29" t="str">
        <f>IF(OR($B141="",$A141&lt;=72),"",--MID('Key Analysis'!$C137,$A141-72,1))</f>
        <v/>
      </c>
      <c r="BX141" s="29" t="str">
        <f>IF(OR($B141="",$A141&lt;=73),"",--MID('Key Analysis'!$C137,$A141-73,1))</f>
        <v/>
      </c>
      <c r="BY141" s="29" t="str">
        <f>IF(OR($B141="",$A141&lt;=74),"",--MID('Key Analysis'!$C137,$A141-74,1))</f>
        <v/>
      </c>
      <c r="BZ141" s="29" t="str">
        <f>IF(OR($B141="",$A141&lt;=75),"",--MID('Key Analysis'!$C137,$A141-75,1))</f>
        <v/>
      </c>
      <c r="CA141" s="29" t="str">
        <f>IF(OR($B141="",$A141&lt;=76),"",--MID('Key Analysis'!$C137,$A141-76,1))</f>
        <v/>
      </c>
      <c r="CB141" s="29" t="str">
        <f>IF(OR($B141="",$A141&lt;=77),"",--MID('Key Analysis'!$C137,$A141-77,1))</f>
        <v/>
      </c>
      <c r="CC141" s="29" t="str">
        <f>IF(OR($B141="",$A141&lt;=78),"",--MID('Key Analysis'!$C137,$A141-78,1))</f>
        <v/>
      </c>
      <c r="CD141" s="29" t="str">
        <f>IF(OR($B141="",$A141&lt;=79),"",--MID('Key Analysis'!$C137,$A141-79,1))</f>
        <v/>
      </c>
      <c r="CE141" s="29" t="str">
        <f>IF(OR($B141="",$A141&lt;=80),"",--MID('Key Analysis'!$C137,$A141-80,1))</f>
        <v/>
      </c>
      <c r="CF141" s="29" t="str">
        <f>IF(OR($B141="",$A141&lt;=81),"",--MID('Key Analysis'!$C137,$A141-81,1))</f>
        <v/>
      </c>
      <c r="CG141" s="29" t="str">
        <f>IF(OR($B141="",$A141&lt;=82),"",--MID('Key Analysis'!$C137,$A141-82,1))</f>
        <v/>
      </c>
      <c r="CH141" s="29" t="str">
        <f>IF(OR($B141="",$A141&lt;=83),"",--MID('Key Analysis'!$C137,$A141-83,1))</f>
        <v/>
      </c>
      <c r="CI141" s="29" t="str">
        <f>IF(OR($B141="",$A141&lt;=84),"",--MID('Key Analysis'!$C137,$A141-84,1))</f>
        <v/>
      </c>
      <c r="CJ141" s="29" t="str">
        <f>IF(OR($B141="",$A141&lt;=85),"",--MID('Key Analysis'!$C137,$A141-85,1))</f>
        <v/>
      </c>
      <c r="CK141" s="29" t="str">
        <f>IF(OR($B141="",$A141&lt;=86),"",--MID('Key Analysis'!$C137,$A141-86,1))</f>
        <v/>
      </c>
      <c r="CL141" s="29" t="str">
        <f>IF(OR($B141="",$A141&lt;=87),"",--MID('Key Analysis'!$C137,$A141-87,1))</f>
        <v/>
      </c>
      <c r="CM141" s="29" t="str">
        <f>IF(OR($B141="",$A141&lt;=88),"",--MID('Key Analysis'!$C137,$A141-88,1))</f>
        <v/>
      </c>
      <c r="CN141" s="29" t="str">
        <f>IF(OR($B141="",$A141&lt;=89),"",--MID('Key Analysis'!$C137,$A141-89,1))</f>
        <v/>
      </c>
      <c r="CO141" s="29" t="str">
        <f>IF(OR($B141="",$A141&lt;=90),"",--MID('Key Analysis'!$C137,$A141-90,1))</f>
        <v/>
      </c>
      <c r="CP141" s="29" t="str">
        <f>IF(OR($B141="",$A141&lt;=91),"",--MID('Key Analysis'!$C137,$A141-91,1))</f>
        <v/>
      </c>
      <c r="CQ141" s="29" t="str">
        <f>IF(OR($B141="",$A141&lt;=92),"",--MID('Key Analysis'!$C137,$A141-92,1))</f>
        <v/>
      </c>
      <c r="CR141" s="29" t="str">
        <f>IF(OR($B141="",$A141&lt;=93),"",--MID('Key Analysis'!$C137,$A141-93,1))</f>
        <v/>
      </c>
      <c r="CS141" s="29" t="str">
        <f>IF(OR($B141="",$A141&lt;=94),"",--MID('Key Analysis'!$C137,$A141-94,1))</f>
        <v/>
      </c>
      <c r="CT141" s="29" t="str">
        <f>IF(OR($B141="",$A141&lt;=95),"",--MID('Key Analysis'!$C137,$A141-95,1))</f>
        <v/>
      </c>
      <c r="CU141" s="29" t="str">
        <f>IF(OR($B141="",$A141&lt;=96),"",--MID('Key Analysis'!$C137,$A141-96,1))</f>
        <v/>
      </c>
      <c r="CV141" s="29" t="str">
        <f>IF(OR($B141="",$A141&lt;=97),"",--MID('Key Analysis'!$C137,$A141-97,1))</f>
        <v/>
      </c>
      <c r="CW141" s="29" t="str">
        <f>IF(OR($B141="",$A141&lt;=98),"",--MID('Key Analysis'!$C137,$A141-98,1))</f>
        <v/>
      </c>
      <c r="CX141" s="29" t="str">
        <f>IF(OR($B141="",$A141&lt;=99),"",--MID('Key Analysis'!$C137,$A141-99,1))</f>
        <v/>
      </c>
      <c r="CY141" s="29" t="str">
        <f>IF(OR($B141="",$A141&lt;=100),"",--MID('Key Analysis'!$C137,$A141-100,1))</f>
        <v/>
      </c>
      <c r="CZ141" s="29" t="str">
        <f>IF(OR($B141="",$A141&lt;=101),"",--MID('Key Analysis'!$C137,$A141-101,1))</f>
        <v/>
      </c>
      <c r="DA141" s="29" t="str">
        <f>IF(OR($B141="",$A141&lt;=102),"",--MID('Key Analysis'!$C137,$A141-102,1))</f>
        <v/>
      </c>
      <c r="DB141" s="29" t="str">
        <f>IF(OR($B141="",$A141&lt;=103),"",--MID('Key Analysis'!$C137,$A141-103,1))</f>
        <v/>
      </c>
      <c r="DC141" s="29" t="str">
        <f>IF(OR($B141="",$A141&lt;=104),"",--MID('Key Analysis'!$C137,$A141-104,1))</f>
        <v/>
      </c>
      <c r="DD141" s="29" t="str">
        <f>IF(OR($B141="",$A141&lt;=105),"",--MID('Key Analysis'!$C137,$A141-105,1))</f>
        <v/>
      </c>
      <c r="DE141" s="29" t="str">
        <f>IF(OR($B141="",$A141&lt;=106),"",--MID('Key Analysis'!$C137,$A141-106,1))</f>
        <v/>
      </c>
      <c r="DF141" s="29" t="str">
        <f>IF(OR($B141="",$A141&lt;=107),"",--MID('Key Analysis'!$C137,$A141-107,1))</f>
        <v/>
      </c>
      <c r="DG141" s="29" t="str">
        <f>IF(OR($B141="",$A141&lt;=108),"",--MID('Key Analysis'!$C137,$A141-108,1))</f>
        <v/>
      </c>
      <c r="DH141" s="29" t="str">
        <f>IF(OR($B141="",$A141&lt;=109),"",--MID('Key Analysis'!$C137,$A141-109,1))</f>
        <v/>
      </c>
      <c r="DI141" s="29" t="str">
        <f>IF(OR($B141="",$A141&lt;=110),"",--MID('Key Analysis'!$C137,$A141-110,1))</f>
        <v/>
      </c>
      <c r="DJ141" s="29" t="str">
        <f>IF(OR($B141="",$A141&lt;=111),"",--MID('Key Analysis'!$C137,$A141-111,1))</f>
        <v/>
      </c>
      <c r="DK141" s="29" t="str">
        <f>IF(OR($B141="",$A141&lt;=112),"",--MID('Key Analysis'!$C137,$A141-112,1))</f>
        <v/>
      </c>
      <c r="DL141" s="29" t="str">
        <f>IF(OR($B141="",$A141&lt;=113),"",--MID('Key Analysis'!$C137,$A141-113,1))</f>
        <v/>
      </c>
      <c r="DM141" s="29" t="str">
        <f>IF(OR($B141="",$A141&lt;=114),"",--MID('Key Analysis'!$C137,$A141-114,1))</f>
        <v/>
      </c>
      <c r="DN141" s="29" t="str">
        <f>IF(OR($B141="",$A141&lt;=115),"",--MID('Key Analysis'!$C137,$A141-115,1))</f>
        <v/>
      </c>
      <c r="DO141" s="29" t="str">
        <f>IF(OR($B141="",$A141&lt;=116),"",--MID('Key Analysis'!$C137,$A141-116,1))</f>
        <v/>
      </c>
      <c r="DP141" s="29" t="str">
        <f>IF(OR($B141="",$A141&lt;=117),"",--MID('Key Analysis'!$C137,$A141-117,1))</f>
        <v/>
      </c>
      <c r="DQ141" s="29" t="str">
        <f>IF(OR($B141="",$A141&lt;=118),"",--MID('Key Analysis'!$C137,$A141-118,1))</f>
        <v/>
      </c>
      <c r="DR141" s="29" t="str">
        <f>IF(OR($B141="",$A141&lt;=119),"",--MID('Key Analysis'!$C137,$A141-119,1))</f>
        <v/>
      </c>
      <c r="DS141" s="29" t="str">
        <f>IF(OR($B141="",$A141&lt;=120),"",--MID('Key Analysis'!$C137,$A141-120,1))</f>
        <v/>
      </c>
      <c r="DT141" s="29" t="str">
        <f>IF(OR($B141="",$A141&lt;=121),"",--MID('Key Analysis'!$C137,$A141-121,1))</f>
        <v/>
      </c>
      <c r="DU141" s="29" t="str">
        <f>IF(OR($B141="",$A141&lt;=122),"",--MID('Key Analysis'!$C137,$A141-122,1))</f>
        <v/>
      </c>
      <c r="DV141" s="29" t="str">
        <f>IF(OR($B141="",$A141&lt;=123),"",--MID('Key Analysis'!$C137,$A141-123,1))</f>
        <v/>
      </c>
      <c r="DW141" s="29" t="str">
        <f>IF(OR($B141="",$A141&lt;=124),"",--MID('Key Analysis'!$C137,$A141-124,1))</f>
        <v/>
      </c>
      <c r="DX141" s="29" t="str">
        <f>IF(OR($B141="",$A141&lt;=125),"",--MID('Key Analysis'!$C137,$A141-125,1))</f>
        <v/>
      </c>
      <c r="DY141" s="29" t="str">
        <f>IF(OR($B141="",$A141&lt;=126),"",--MID('Key Analysis'!$C137,$A141-126,1))</f>
        <v/>
      </c>
      <c r="DZ141" s="29" t="str">
        <f>IF(OR($B141="",$A141&lt;=127),"",--MID('Key Analysis'!$C137,$A141-127,1))</f>
        <v/>
      </c>
      <c r="EA141" s="29" t="str">
        <f>IF(OR($B141="",$A141&lt;=128),"",--MID('Key Analysis'!$C137,$A141-128,1))</f>
        <v/>
      </c>
      <c r="EB141" s="29" t="str">
        <f>IF(OR($B141="",$A141&lt;=129),"",--MID('Key Analysis'!$C137,$A141-129,1))</f>
        <v/>
      </c>
      <c r="EC141" s="29" t="str">
        <f>IF(OR($B141="",$A141&lt;=130),"",--MID('Key Analysis'!$C137,$A141-130,1))</f>
        <v/>
      </c>
      <c r="ED141" s="29" t="str">
        <f>IF(OR($B141="",$A141&lt;=131),"",--MID('Key Analysis'!$C137,$A141-131,1))</f>
        <v/>
      </c>
      <c r="EE141" s="29" t="str">
        <f>IF(OR($B141="",$A141&lt;=132),"",--MID('Key Analysis'!$C137,$A141-132,1))</f>
        <v/>
      </c>
      <c r="EF141" s="29" t="str">
        <f>IF(OR($B141="",$A141&lt;=133),"",--MID('Key Analysis'!$C137,$A141-133,1))</f>
        <v/>
      </c>
      <c r="EG141" s="29" t="str">
        <f>IF(OR($B141="",$A141&lt;=134),"",--MID('Key Analysis'!$C137,$A141-134,1))</f>
        <v/>
      </c>
      <c r="EH141" s="29"/>
      <c r="EI141" s="29" t="str">
        <f>IF(OR($B141="",$A141&lt;1),"",--MID('Key Analysis'!$C137,1,1))</f>
        <v/>
      </c>
      <c r="EJ141" s="29" t="str">
        <f>IF(OR($B141="",$A141&lt;2),"",--MID('Key Analysis'!$C137,2,1))</f>
        <v/>
      </c>
      <c r="EK141" s="29" t="str">
        <f>IF(OR($B141="",$A141&lt;3),"",--MID('Key Analysis'!$C137,3,1))</f>
        <v/>
      </c>
      <c r="EL141" s="29" t="str">
        <f>IF(OR($B141="",$A141&lt;4),"",--MID('Key Analysis'!$C137,4,1))</f>
        <v/>
      </c>
      <c r="EM141" s="29" t="str">
        <f>IF(OR($B141="",$A141&lt;5),"",--MID('Key Analysis'!$C137,5,1))</f>
        <v/>
      </c>
      <c r="EN141" s="29" t="str">
        <f>IF(OR($B141="",$A141&lt;6),"",--MID('Key Analysis'!$C137,6,1))</f>
        <v/>
      </c>
      <c r="EO141" s="29" t="str">
        <f>IF(OR($B141="",$A141&lt;7),"",--MID('Key Analysis'!$C137,7,1))</f>
        <v/>
      </c>
      <c r="EP141" s="29" t="str">
        <f>IF(OR($B141="",$A141&lt;8),"",--MID('Key Analysis'!$C137,8,1))</f>
        <v/>
      </c>
      <c r="EQ141" s="29" t="str">
        <f>IF(OR($B141="",$A141&lt;9),"",--MID('Key Analysis'!$C137,9,1))</f>
        <v/>
      </c>
      <c r="ER141" s="29" t="str">
        <f>IF(OR($B141="",$A141&lt;10),"",--MID('Key Analysis'!$C137,10,1))</f>
        <v/>
      </c>
      <c r="ES141" s="29" t="str">
        <f>IF(OR($B141="",$A141&lt;11),"",--MID('Key Analysis'!$C137,11,1))</f>
        <v/>
      </c>
      <c r="ET141" s="29" t="str">
        <f>IF(OR($B141="",$A141&lt;12),"",--MID('Key Analysis'!$C137,12,1))</f>
        <v/>
      </c>
      <c r="EU141" s="29" t="str">
        <f>IF(OR($B141="",$A141&lt;13),"",--MID('Key Analysis'!$C137,13,1))</f>
        <v/>
      </c>
      <c r="EV141" s="29" t="str">
        <f>IF(OR($B141="",$A141&lt;14),"",--MID('Key Analysis'!$C137,14,1))</f>
        <v/>
      </c>
      <c r="EW141" s="29" t="str">
        <f>IF(OR($B141="",$A141&lt;15),"",--MID('Key Analysis'!$C137,15,1))</f>
        <v/>
      </c>
      <c r="EX141" s="29" t="str">
        <f>IF(OR($B141="",$A141&lt;16),"",--MID('Key Analysis'!$C137,16,1))</f>
        <v/>
      </c>
      <c r="EY141" s="29" t="str">
        <f>IF(OR($B141="",$A141&lt;17),"",--MID('Key Analysis'!$C137,17,1))</f>
        <v/>
      </c>
      <c r="EZ141" s="29" t="str">
        <f>IF(OR($B141="",$A141&lt;18),"",--MID('Key Analysis'!$C137,18,1))</f>
        <v/>
      </c>
      <c r="FA141" s="29" t="str">
        <f>IF(OR($B141="",$A141&lt;19),"",--MID('Key Analysis'!$C137,19,1))</f>
        <v/>
      </c>
      <c r="FB141" s="29" t="str">
        <f>IF(OR($B141="",$A141&lt;20),"",--MID('Key Analysis'!$C137,20,1))</f>
        <v/>
      </c>
      <c r="FC141" s="29" t="str">
        <f>IF(OR($B141="",$A141&lt;21),"",--MID('Key Analysis'!$C137,21,1))</f>
        <v/>
      </c>
      <c r="FD141" s="29" t="str">
        <f>IF(OR($B141="",$A141&lt;22),"",--MID('Key Analysis'!$C137,22,1))</f>
        <v/>
      </c>
      <c r="FE141" s="29" t="str">
        <f>IF(OR($B141="",$A141&lt;23),"",--MID('Key Analysis'!$C137,23,1))</f>
        <v/>
      </c>
      <c r="FF141" s="29" t="str">
        <f>IF(OR($B141="",$A141&lt;24),"",--MID('Key Analysis'!$C137,24,1))</f>
        <v/>
      </c>
      <c r="FG141" s="29" t="str">
        <f>IF(OR($B141="",$A141&lt;25),"",--MID('Key Analysis'!$C137,25,1))</f>
        <v/>
      </c>
      <c r="FH141" s="29" t="str">
        <f>IF(OR($B141="",$A141&lt;26),"",--MID('Key Analysis'!$C137,26,1))</f>
        <v/>
      </c>
      <c r="FI141" s="29" t="str">
        <f>IF(OR($B141="",$A141&lt;27),"",--MID('Key Analysis'!$C137,27,1))</f>
        <v/>
      </c>
      <c r="FJ141" s="29" t="str">
        <f>IF(OR($B141="",$A141&lt;28),"",--MID('Key Analysis'!$C137,28,1))</f>
        <v/>
      </c>
      <c r="FK141" s="29" t="str">
        <f>IF(OR($B141="",$A141&lt;29),"",--MID('Key Analysis'!$C137,29,1))</f>
        <v/>
      </c>
      <c r="FL141" s="29" t="str">
        <f>IF(OR($B141="",$A141&lt;30),"",--MID('Key Analysis'!$C137,30,1))</f>
        <v/>
      </c>
      <c r="FM141" s="29" t="str">
        <f>IF(OR($B141="",$A141&lt;31),"",--MID('Key Analysis'!$C137,31,1))</f>
        <v/>
      </c>
      <c r="FN141" s="29" t="str">
        <f>IF(OR($B141="",$A141&lt;32),"",--MID('Key Analysis'!$C137,32,1))</f>
        <v/>
      </c>
      <c r="FO141" s="29" t="str">
        <f>IF(OR($B141="",$A141&lt;33),"",--MID('Key Analysis'!$C137,33,1))</f>
        <v/>
      </c>
      <c r="FP141" s="29" t="str">
        <f>IF(OR($B141="",$A141&lt;34),"",--MID('Key Analysis'!$C137,34,1))</f>
        <v/>
      </c>
      <c r="FQ141" s="29" t="str">
        <f>IF(OR($B141="",$A141&lt;35),"",--MID('Key Analysis'!$C137,35,1))</f>
        <v/>
      </c>
      <c r="FR141" s="29" t="str">
        <f>IF(OR($B141="",$A141&lt;36),"",--MID('Key Analysis'!$C137,36,1))</f>
        <v/>
      </c>
      <c r="FS141" s="29" t="str">
        <f>IF(OR($B141="",$A141&lt;37),"",--MID('Key Analysis'!$C137,37,1))</f>
        <v/>
      </c>
      <c r="FT141" s="29" t="str">
        <f>IF(OR($B141="",$A141&lt;38),"",--MID('Key Analysis'!$C137,38,1))</f>
        <v/>
      </c>
      <c r="FU141" s="29" t="str">
        <f>IF(OR($B141="",$A141&lt;39),"",--MID('Key Analysis'!$C137,39,1))</f>
        <v/>
      </c>
      <c r="FV141" s="29" t="str">
        <f>IF(OR($B141="",$A141&lt;40),"",--MID('Key Analysis'!$C137,40,1))</f>
        <v/>
      </c>
      <c r="FW141" s="29" t="str">
        <f>IF(OR($B141="",$A141&lt;41),"",--MID('Key Analysis'!$C137,41,1))</f>
        <v/>
      </c>
      <c r="FX141" s="29" t="str">
        <f>IF(OR($B141="",$A141&lt;42),"",--MID('Key Analysis'!$C137,42,1))</f>
        <v/>
      </c>
      <c r="FY141" s="29" t="str">
        <f>IF(OR($B141="",$A141&lt;43),"",--MID('Key Analysis'!$C137,43,1))</f>
        <v/>
      </c>
      <c r="FZ141" s="29" t="str">
        <f>IF(OR($B141="",$A141&lt;44),"",--MID('Key Analysis'!$C137,44,1))</f>
        <v/>
      </c>
      <c r="GA141" s="29" t="str">
        <f>IF(OR($B141="",$A141&lt;45),"",--MID('Key Analysis'!$C137,45,1))</f>
        <v/>
      </c>
      <c r="GB141" s="29" t="str">
        <f>IF(OR($B141="",$A141&lt;46),"",--MID('Key Analysis'!$C137,46,1))</f>
        <v/>
      </c>
      <c r="GC141" s="29" t="str">
        <f>IF(OR($B141="",$A141&lt;47),"",--MID('Key Analysis'!$C137,47,1))</f>
        <v/>
      </c>
      <c r="GD141" s="29" t="str">
        <f>IF(OR($B141="",$A141&lt;48),"",--MID('Key Analysis'!$C137,48,1))</f>
        <v/>
      </c>
      <c r="GE141" s="29" t="str">
        <f>IF(OR($B141="",$A141&lt;49),"",--MID('Key Analysis'!$C137,49,1))</f>
        <v/>
      </c>
      <c r="GF141" s="29" t="str">
        <f>IF(OR($B141="",$A141&lt;50),"",--MID('Key Analysis'!$C137,50,1))</f>
        <v/>
      </c>
      <c r="GG141" s="29" t="str">
        <f>IF(OR($B141="",$A141&lt;51),"",--MID('Key Analysis'!$C137,51,1))</f>
        <v/>
      </c>
      <c r="GH141" s="29" t="str">
        <f>IF(OR($B141="",$A141&lt;52),"",--MID('Key Analysis'!$C137,52,1))</f>
        <v/>
      </c>
      <c r="GI141" s="29" t="str">
        <f>IF(OR($B141="",$A141&lt;53),"",--MID('Key Analysis'!$C137,53,1))</f>
        <v/>
      </c>
      <c r="GJ141" s="29" t="str">
        <f>IF(OR($B141="",$A141&lt;54),"",--MID('Key Analysis'!$C137,54,1))</f>
        <v/>
      </c>
      <c r="GK141" s="29" t="str">
        <f>IF(OR($B141="",$A141&lt;55),"",--MID('Key Analysis'!$C137,55,1))</f>
        <v/>
      </c>
      <c r="GL141" s="29" t="str">
        <f>IF(OR($B141="",$A141&lt;56),"",--MID('Key Analysis'!$C137,56,1))</f>
        <v/>
      </c>
      <c r="GM141" s="29" t="str">
        <f>IF(OR($B141="",$A141&lt;57),"",--MID('Key Analysis'!$C137,57,1))</f>
        <v/>
      </c>
      <c r="GN141" s="29" t="str">
        <f>IF(OR($B141="",$A141&lt;58),"",--MID('Key Analysis'!$C137,58,1))</f>
        <v/>
      </c>
      <c r="GO141" s="29" t="str">
        <f>IF(OR($B141="",$A141&lt;59),"",--MID('Key Analysis'!$C137,59,1))</f>
        <v/>
      </c>
      <c r="GP141" s="29" t="str">
        <f>IF(OR($B141="",$A141&lt;60),"",--MID('Key Analysis'!$C137,60,1))</f>
        <v/>
      </c>
      <c r="GQ141" s="29" t="str">
        <f>IF(OR($B141="",$A141&lt;61),"",--MID('Key Analysis'!$C137,61,1))</f>
        <v/>
      </c>
      <c r="GR141" s="29" t="str">
        <f>IF(OR($B141="",$A141&lt;62),"",--MID('Key Analysis'!$C137,62,1))</f>
        <v/>
      </c>
      <c r="GS141" s="29" t="str">
        <f>IF(OR($B141="",$A141&lt;63),"",--MID('Key Analysis'!$C137,63,1))</f>
        <v/>
      </c>
      <c r="GT141" s="29" t="str">
        <f>IF(OR($B141="",$A141&lt;64),"",--MID('Key Analysis'!$C137,64,1))</f>
        <v/>
      </c>
      <c r="GU141" s="29" t="str">
        <f>IF(OR($B141="",$A141&lt;65),"",--MID('Key Analysis'!$C137,65,1))</f>
        <v/>
      </c>
      <c r="GV141" s="29" t="str">
        <f>IF(OR($B141="",$A141&lt;66),"",--MID('Key Analysis'!$C137,66,1))</f>
        <v/>
      </c>
      <c r="GW141" s="29" t="str">
        <f>IF(OR($B141="",$A141&lt;67),"",--MID('Key Analysis'!$C137,67,1))</f>
        <v/>
      </c>
      <c r="GX141" s="29" t="str">
        <f>IF(OR($B141="",$A141&lt;68),"",--MID('Key Analysis'!$C137,68,1))</f>
        <v/>
      </c>
      <c r="GY141" s="29" t="str">
        <f>IF(OR($B141="",$A141&lt;69),"",--MID('Key Analysis'!$C137,69,1))</f>
        <v/>
      </c>
      <c r="GZ141" s="29" t="str">
        <f>IF(OR($B141="",$A141&lt;70),"",--MID('Key Analysis'!$C137,70,1))</f>
        <v/>
      </c>
      <c r="HA141" s="29" t="str">
        <f>IF(OR($B141="",$A141&lt;71),"",--MID('Key Analysis'!$C137,71,1))</f>
        <v/>
      </c>
      <c r="HB141" s="29" t="str">
        <f>IF(OR($B141="",$A141&lt;72),"",--MID('Key Analysis'!$C137,72,1))</f>
        <v/>
      </c>
      <c r="HC141" s="29" t="str">
        <f>IF(OR($B141="",$A141&lt;73),"",--MID('Key Analysis'!$C137,73,1))</f>
        <v/>
      </c>
      <c r="HD141" s="29" t="str">
        <f>IF(OR($B141="",$A141&lt;74),"",--MID('Key Analysis'!$C137,74,1))</f>
        <v/>
      </c>
      <c r="HE141" s="29" t="str">
        <f>IF(OR($B141="",$A141&lt;75),"",--MID('Key Analysis'!$C137,75,1))</f>
        <v/>
      </c>
      <c r="HF141" s="29" t="str">
        <f>IF(OR($B141="",$A141&lt;76),"",--MID('Key Analysis'!$C137,76,1))</f>
        <v/>
      </c>
      <c r="HG141" s="29" t="str">
        <f>IF(OR($B141="",$A141&lt;77),"",--MID('Key Analysis'!$C137,77,1))</f>
        <v/>
      </c>
      <c r="HH141" s="29" t="str">
        <f>IF(OR($B141="",$A141&lt;78),"",--MID('Key Analysis'!$C137,78,1))</f>
        <v/>
      </c>
      <c r="HI141" s="29" t="str">
        <f>IF(OR($B141="",$A141&lt;79),"",--MID('Key Analysis'!$C137,79,1))</f>
        <v/>
      </c>
      <c r="HJ141" s="29" t="str">
        <f>IF(OR($B141="",$A141&lt;80),"",--MID('Key Analysis'!$C137,80,1))</f>
        <v/>
      </c>
      <c r="HK141" s="29" t="str">
        <f>IF(OR($B141="",$A141&lt;81),"",--MID('Key Analysis'!$C137,81,1))</f>
        <v/>
      </c>
      <c r="HL141" s="29" t="str">
        <f>IF(OR($B141="",$A141&lt;82),"",--MID('Key Analysis'!$C137,82,1))</f>
        <v/>
      </c>
      <c r="HM141" s="29" t="str">
        <f>IF(OR($B141="",$A141&lt;83),"",--MID('Key Analysis'!$C137,83,1))</f>
        <v/>
      </c>
      <c r="HN141" s="29" t="str">
        <f>IF(OR($B141="",$A141&lt;84),"",--MID('Key Analysis'!$C137,84,1))</f>
        <v/>
      </c>
      <c r="HO141" s="29" t="str">
        <f>IF(OR($B141="",$A141&lt;85),"",--MID('Key Analysis'!$C137,85,1))</f>
        <v/>
      </c>
      <c r="HP141" s="29" t="str">
        <f>IF(OR($B141="",$A141&lt;86),"",--MID('Key Analysis'!$C137,86,1))</f>
        <v/>
      </c>
      <c r="HQ141" s="29" t="str">
        <f>IF(OR($B141="",$A141&lt;87),"",--MID('Key Analysis'!$C137,87,1))</f>
        <v/>
      </c>
      <c r="HR141" s="29" t="str">
        <f>IF(OR($B141="",$A141&lt;88),"",--MID('Key Analysis'!$C137,88,1))</f>
        <v/>
      </c>
      <c r="HS141" s="29" t="str">
        <f>IF(OR($B141="",$A141&lt;89),"",--MID('Key Analysis'!$C137,89,1))</f>
        <v/>
      </c>
      <c r="HT141" s="29" t="str">
        <f>IF(OR($B141="",$A141&lt;90),"",--MID('Key Analysis'!$C137,90,1))</f>
        <v/>
      </c>
      <c r="HU141" s="29" t="str">
        <f>IF(OR($B141="",$A141&lt;91),"",--MID('Key Analysis'!$C137,91,1))</f>
        <v/>
      </c>
      <c r="HV141" s="29" t="str">
        <f>IF(OR($B141="",$A141&lt;92),"",--MID('Key Analysis'!$C137,92,1))</f>
        <v/>
      </c>
      <c r="HW141" s="29" t="str">
        <f>IF(OR($B141="",$A141&lt;93),"",--MID('Key Analysis'!$C137,93,1))</f>
        <v/>
      </c>
      <c r="HX141" s="29" t="str">
        <f>IF(OR($B141="",$A141&lt;94),"",--MID('Key Analysis'!$C137,94,1))</f>
        <v/>
      </c>
      <c r="HY141" s="29" t="str">
        <f>IF(OR($B141="",$A141&lt;95),"",--MID('Key Analysis'!$C137,95,1))</f>
        <v/>
      </c>
      <c r="HZ141" s="29" t="str">
        <f>IF(OR($B141="",$A141&lt;96),"",--MID('Key Analysis'!$C137,96,1))</f>
        <v/>
      </c>
      <c r="IA141" s="29" t="str">
        <f>IF(OR($B141="",$A141&lt;97),"",--MID('Key Analysis'!$C137,97,1))</f>
        <v/>
      </c>
      <c r="IB141" s="29" t="str">
        <f>IF(OR($B141="",$A141&lt;98),"",--MID('Key Analysis'!$C137,98,1))</f>
        <v/>
      </c>
      <c r="IC141" s="29" t="str">
        <f>IF(OR($B141="",$A141&lt;99),"",--MID('Key Analysis'!$C137,99,1))</f>
        <v/>
      </c>
      <c r="ID141" s="29" t="str">
        <f>IF(OR($B141="",$A141&lt;100),"",--MID('Key Analysis'!$C137,100,1))</f>
        <v/>
      </c>
      <c r="IE141" s="29" t="str">
        <f>IF(OR($B141="",$A141&lt;101),"",--MID('Key Analysis'!$C137,101,1))</f>
        <v/>
      </c>
      <c r="IF141" s="29" t="str">
        <f>IF(OR($B141="",$A141&lt;102),"",--MID('Key Analysis'!$C137,102,1))</f>
        <v/>
      </c>
      <c r="IG141" s="29" t="str">
        <f>IF(OR($B141="",$A141&lt;103),"",--MID('Key Analysis'!$C137,103,1))</f>
        <v/>
      </c>
      <c r="IH141" s="29" t="str">
        <f>IF(OR($B141="",$A141&lt;104),"",--MID('Key Analysis'!$C137,104,1))</f>
        <v/>
      </c>
      <c r="II141" s="29" t="str">
        <f>IF(OR($B141="",$A141&lt;105),"",--MID('Key Analysis'!$C137,105,1))</f>
        <v/>
      </c>
      <c r="IJ141" s="29" t="str">
        <f>IF(OR($B141="",$A141&lt;106),"",--MID('Key Analysis'!$C137,106,1))</f>
        <v/>
      </c>
      <c r="IK141" s="29" t="str">
        <f>IF(OR($B141="",$A141&lt;107),"",--MID('Key Analysis'!$C137,107,1))</f>
        <v/>
      </c>
      <c r="IL141" s="29" t="str">
        <f>IF(OR($B141="",$A141&lt;108),"",--MID('Key Analysis'!$C137,108,1))</f>
        <v/>
      </c>
      <c r="IM141" s="29" t="str">
        <f>IF(OR($B141="",$A141&lt;109),"",--MID('Key Analysis'!$C137,109,1))</f>
        <v/>
      </c>
      <c r="IN141" s="29" t="str">
        <f>IF(OR($B141="",$A141&lt;110),"",--MID('Key Analysis'!$C137,110,1))</f>
        <v/>
      </c>
      <c r="IO141" s="29" t="str">
        <f>IF(OR($B141="",$A141&lt;111),"",--MID('Key Analysis'!$C137,111,1))</f>
        <v/>
      </c>
      <c r="IP141" s="29" t="str">
        <f>IF(OR($B141="",$A141&lt;112),"",--MID('Key Analysis'!$C137,112,1))</f>
        <v/>
      </c>
      <c r="IQ141" s="29" t="str">
        <f>IF(OR($B141="",$A141&lt;113),"",--MID('Key Analysis'!$C137,113,1))</f>
        <v/>
      </c>
      <c r="IR141" s="29" t="str">
        <f>IF(OR($B141="",$A141&lt;114),"",--MID('Key Analysis'!$C137,114,1))</f>
        <v/>
      </c>
      <c r="IS141" s="29" t="str">
        <f>IF(OR($B141="",$A141&lt;115),"",--MID('Key Analysis'!$C137,115,1))</f>
        <v/>
      </c>
      <c r="IT141" s="29" t="str">
        <f>IF(OR($B141="",$A141&lt;116),"",--MID('Key Analysis'!$C137,116,1))</f>
        <v/>
      </c>
      <c r="IU141" s="29" t="str">
        <f>IF(OR($B141="",$A141&lt;117),"",--MID('Key Analysis'!$C137,117,1))</f>
        <v/>
      </c>
      <c r="IV141" s="29" t="str">
        <f>IF(OR($B141="",$A141&lt;118),"",--MID('Key Analysis'!$C137,118,1))</f>
        <v/>
      </c>
      <c r="IW141" s="29" t="str">
        <f>IF(OR($B141="",$A141&lt;119),"",--MID('Key Analysis'!$C137,119,1))</f>
        <v/>
      </c>
      <c r="IX141" s="29" t="str">
        <f>IF(OR($B141="",$A141&lt;120),"",--MID('Key Analysis'!$C137,120,1))</f>
        <v/>
      </c>
      <c r="IY141" s="29" t="str">
        <f>IF(OR($B141="",$A141&lt;121),"",--MID('Key Analysis'!$C137,121,1))</f>
        <v/>
      </c>
      <c r="IZ141" s="29" t="str">
        <f>IF(OR($B141="",$A141&lt;122),"",--MID('Key Analysis'!$C137,122,1))</f>
        <v/>
      </c>
      <c r="JA141" s="29" t="str">
        <f>IF(OR($B141="",$A141&lt;123),"",--MID('Key Analysis'!$C137,123,1))</f>
        <v/>
      </c>
      <c r="JB141" s="29" t="str">
        <f>IF(OR($B141="",$A141&lt;124),"",--MID('Key Analysis'!$C137,124,1))</f>
        <v/>
      </c>
      <c r="JC141" s="29" t="str">
        <f>IF(OR($B141="",$A141&lt;125),"",--MID('Key Analysis'!$C137,125,1))</f>
        <v/>
      </c>
      <c r="JD141" s="29" t="str">
        <f>IF(OR($B141="",$A141&lt;126),"",--MID('Key Analysis'!$C137,126,1))</f>
        <v/>
      </c>
      <c r="JE141" s="29" t="str">
        <f>IF(OR($B141="",$A141&lt;127),"",--MID('Key Analysis'!$C137,127,1))</f>
        <v/>
      </c>
      <c r="JF141" s="29" t="str">
        <f>IF(OR($B141="",$A141&lt;128),"",--MID('Key Analysis'!$C137,128,1))</f>
        <v/>
      </c>
      <c r="JG141" s="29" t="str">
        <f>IF(OR($B141="",$A141&lt;129),"",--MID('Key Analysis'!$C137,129,1))</f>
        <v/>
      </c>
      <c r="JH141" s="29" t="str">
        <f>IF(OR($B141="",$A141&lt;130),"",--MID('Key Analysis'!$C137,130,1))</f>
        <v/>
      </c>
      <c r="JI141" s="29" t="str">
        <f>IF(OR($B141="",$A141&lt;131),"",--MID('Key Analysis'!$C137,131,1))</f>
        <v/>
      </c>
      <c r="JJ141" s="29" t="str">
        <f>IF(OR($B141="",$A141&lt;132),"",--MID('Key Analysis'!$C137,132,1))</f>
        <v/>
      </c>
      <c r="JK141" s="29" t="str">
        <f>IF(OR($B141="",$A141&lt;133),"",--MID('Key Analysis'!$C137,133,1))</f>
        <v/>
      </c>
      <c r="JL141" s="29" t="str">
        <f>IF(OR($B141="",$A141&lt;134),"",--MID('Key Analysis'!$C137,134,1))</f>
        <v/>
      </c>
      <c r="JM141" s="29" t="str">
        <f>IF(OR($B141="",$A141&lt;135),"",--MID('Key Analysis'!$C137,135,1))</f>
        <v/>
      </c>
    </row>
    <row r="142" spans="1:273" x14ac:dyDescent="0.25">
      <c r="A142" s="21">
        <f>'Key Analysis'!A138</f>
        <v>137</v>
      </c>
      <c r="B142" s="30" t="str">
        <f>'Key Analysis'!B138</f>
        <v/>
      </c>
      <c r="C142" s="29" t="str">
        <f>IF(OR($B142="",$A142&lt;=0),"",--MID('Key Analysis'!$C138,$A142-0,1))</f>
        <v/>
      </c>
      <c r="D142" s="29" t="str">
        <f>IF(OR($B142="",$A142&lt;=1),"",--MID('Key Analysis'!$C138,$A142-1,1))</f>
        <v/>
      </c>
      <c r="E142" s="29" t="str">
        <f>IF(OR($B142="",$A142&lt;=2),"",--MID('Key Analysis'!$C138,$A142-2,1))</f>
        <v/>
      </c>
      <c r="F142" s="29" t="str">
        <f>IF(OR($B142="",$A142&lt;=3),"",--MID('Key Analysis'!$C138,$A142-3,1))</f>
        <v/>
      </c>
      <c r="G142" s="29" t="str">
        <f>IF(OR($B142="",$A142&lt;=4),"",--MID('Key Analysis'!$C138,$A142-4,1))</f>
        <v/>
      </c>
      <c r="H142" s="29" t="str">
        <f>IF(OR($B142="",$A142&lt;=5),"",--MID('Key Analysis'!$C138,$A142-5,1))</f>
        <v/>
      </c>
      <c r="I142" s="29" t="str">
        <f>IF(OR($B142="",$A142&lt;=6),"",--MID('Key Analysis'!$C138,$A142-6,1))</f>
        <v/>
      </c>
      <c r="J142" s="29" t="str">
        <f>IF(OR($B142="",$A142&lt;=7),"",--MID('Key Analysis'!$C138,$A142-7,1))</f>
        <v/>
      </c>
      <c r="K142" s="29" t="str">
        <f>IF(OR($B142="",$A142&lt;=8),"",--MID('Key Analysis'!$C138,$A142-8,1))</f>
        <v/>
      </c>
      <c r="L142" s="29" t="str">
        <f>IF(OR($B142="",$A142&lt;=9),"",--MID('Key Analysis'!$C138,$A142-9,1))</f>
        <v/>
      </c>
      <c r="M142" s="29" t="str">
        <f>IF(OR($B142="",$A142&lt;=10),"",--MID('Key Analysis'!$C138,$A142-10,1))</f>
        <v/>
      </c>
      <c r="N142" s="29" t="str">
        <f>IF(OR($B142="",$A142&lt;=11),"",--MID('Key Analysis'!$C138,$A142-11,1))</f>
        <v/>
      </c>
      <c r="O142" s="29" t="str">
        <f>IF(OR($B142="",$A142&lt;=12),"",--MID('Key Analysis'!$C138,$A142-12,1))</f>
        <v/>
      </c>
      <c r="P142" s="29" t="str">
        <f>IF(OR($B142="",$A142&lt;=13),"",--MID('Key Analysis'!$C138,$A142-13,1))</f>
        <v/>
      </c>
      <c r="Q142" s="29" t="str">
        <f>IF(OR($B142="",$A142&lt;=14),"",--MID('Key Analysis'!$C138,$A142-14,1))</f>
        <v/>
      </c>
      <c r="R142" s="29" t="str">
        <f>IF(OR($B142="",$A142&lt;=15),"",--MID('Key Analysis'!$C138,$A142-15,1))</f>
        <v/>
      </c>
      <c r="S142" s="29" t="str">
        <f>IF(OR($B142="",$A142&lt;=16),"",--MID('Key Analysis'!$C138,$A142-16,1))</f>
        <v/>
      </c>
      <c r="T142" s="29" t="str">
        <f>IF(OR($B142="",$A142&lt;=17),"",--MID('Key Analysis'!$C138,$A142-17,1))</f>
        <v/>
      </c>
      <c r="U142" s="29" t="str">
        <f>IF(OR($B142="",$A142&lt;=18),"",--MID('Key Analysis'!$C138,$A142-18,1))</f>
        <v/>
      </c>
      <c r="V142" s="29" t="str">
        <f>IF(OR($B142="",$A142&lt;=19),"",--MID('Key Analysis'!$C138,$A142-19,1))</f>
        <v/>
      </c>
      <c r="W142" s="29" t="str">
        <f>IF(OR($B142="",$A142&lt;=20),"",--MID('Key Analysis'!$C138,$A142-20,1))</f>
        <v/>
      </c>
      <c r="X142" s="29" t="str">
        <f>IF(OR($B142="",$A142&lt;=21),"",--MID('Key Analysis'!$C138,$A142-21,1))</f>
        <v/>
      </c>
      <c r="Y142" s="29" t="str">
        <f>IF(OR($B142="",$A142&lt;=22),"",--MID('Key Analysis'!$C138,$A142-22,1))</f>
        <v/>
      </c>
      <c r="Z142" s="29" t="str">
        <f>IF(OR($B142="",$A142&lt;=23),"",--MID('Key Analysis'!$C138,$A142-23,1))</f>
        <v/>
      </c>
      <c r="AA142" s="29" t="str">
        <f>IF(OR($B142="",$A142&lt;=24),"",--MID('Key Analysis'!$C138,$A142-24,1))</f>
        <v/>
      </c>
      <c r="AB142" s="29" t="str">
        <f>IF(OR($B142="",$A142&lt;=25),"",--MID('Key Analysis'!$C138,$A142-25,1))</f>
        <v/>
      </c>
      <c r="AC142" s="29" t="str">
        <f>IF(OR($B142="",$A142&lt;=26),"",--MID('Key Analysis'!$C138,$A142-26,1))</f>
        <v/>
      </c>
      <c r="AD142" s="29" t="str">
        <f>IF(OR($B142="",$A142&lt;=27),"",--MID('Key Analysis'!$C138,$A142-27,1))</f>
        <v/>
      </c>
      <c r="AE142" s="29" t="str">
        <f>IF(OR($B142="",$A142&lt;=28),"",--MID('Key Analysis'!$C138,$A142-28,1))</f>
        <v/>
      </c>
      <c r="AF142" s="29" t="str">
        <f>IF(OR($B142="",$A142&lt;=29),"",--MID('Key Analysis'!$C138,$A142-29,1))</f>
        <v/>
      </c>
      <c r="AG142" s="29" t="str">
        <f>IF(OR($B142="",$A142&lt;=30),"",--MID('Key Analysis'!$C138,$A142-30,1))</f>
        <v/>
      </c>
      <c r="AH142" s="29" t="str">
        <f>IF(OR($B142="",$A142&lt;=31),"",--MID('Key Analysis'!$C138,$A142-31,1))</f>
        <v/>
      </c>
      <c r="AI142" s="29" t="str">
        <f>IF(OR($B142="",$A142&lt;=32),"",--MID('Key Analysis'!$C138,$A142-32,1))</f>
        <v/>
      </c>
      <c r="AJ142" s="29" t="str">
        <f>IF(OR($B142="",$A142&lt;=33),"",--MID('Key Analysis'!$C138,$A142-33,1))</f>
        <v/>
      </c>
      <c r="AK142" s="29" t="str">
        <f>IF(OR($B142="",$A142&lt;=34),"",--MID('Key Analysis'!$C138,$A142-34,1))</f>
        <v/>
      </c>
      <c r="AL142" s="29" t="str">
        <f>IF(OR($B142="",$A142&lt;=35),"",--MID('Key Analysis'!$C138,$A142-35,1))</f>
        <v/>
      </c>
      <c r="AM142" s="29" t="str">
        <f>IF(OR($B142="",$A142&lt;=36),"",--MID('Key Analysis'!$C138,$A142-36,1))</f>
        <v/>
      </c>
      <c r="AN142" s="29" t="str">
        <f>IF(OR($B142="",$A142&lt;=37),"",--MID('Key Analysis'!$C138,$A142-37,1))</f>
        <v/>
      </c>
      <c r="AO142" s="29" t="str">
        <f>IF(OR($B142="",$A142&lt;=38),"",--MID('Key Analysis'!$C138,$A142-38,1))</f>
        <v/>
      </c>
      <c r="AP142" s="29" t="str">
        <f>IF(OR($B142="",$A142&lt;=39),"",--MID('Key Analysis'!$C138,$A142-39,1))</f>
        <v/>
      </c>
      <c r="AQ142" s="29" t="str">
        <f>IF(OR($B142="",$A142&lt;=40),"",--MID('Key Analysis'!$C138,$A142-40,1))</f>
        <v/>
      </c>
      <c r="AR142" s="29" t="str">
        <f>IF(OR($B142="",$A142&lt;=41),"",--MID('Key Analysis'!$C138,$A142-41,1))</f>
        <v/>
      </c>
      <c r="AS142" s="29" t="str">
        <f>IF(OR($B142="",$A142&lt;=42),"",--MID('Key Analysis'!$C138,$A142-42,1))</f>
        <v/>
      </c>
      <c r="AT142" s="29" t="str">
        <f>IF(OR($B142="",$A142&lt;=43),"",--MID('Key Analysis'!$C138,$A142-43,1))</f>
        <v/>
      </c>
      <c r="AU142" s="29" t="str">
        <f>IF(OR($B142="",$A142&lt;=44),"",--MID('Key Analysis'!$C138,$A142-44,1))</f>
        <v/>
      </c>
      <c r="AV142" s="29" t="str">
        <f>IF(OR($B142="",$A142&lt;=45),"",--MID('Key Analysis'!$C138,$A142-45,1))</f>
        <v/>
      </c>
      <c r="AW142" s="29" t="str">
        <f>IF(OR($B142="",$A142&lt;=46),"",--MID('Key Analysis'!$C138,$A142-46,1))</f>
        <v/>
      </c>
      <c r="AX142" s="29" t="str">
        <f>IF(OR($B142="",$A142&lt;=47),"",--MID('Key Analysis'!$C138,$A142-47,1))</f>
        <v/>
      </c>
      <c r="AY142" s="29" t="str">
        <f>IF(OR($B142="",$A142&lt;=48),"",--MID('Key Analysis'!$C138,$A142-48,1))</f>
        <v/>
      </c>
      <c r="AZ142" s="29" t="str">
        <f>IF(OR($B142="",$A142&lt;=49),"",--MID('Key Analysis'!$C138,$A142-49,1))</f>
        <v/>
      </c>
      <c r="BA142" s="29" t="str">
        <f>IF(OR($B142="",$A142&lt;=50),"",--MID('Key Analysis'!$C138,$A142-50,1))</f>
        <v/>
      </c>
      <c r="BB142" s="29" t="str">
        <f>IF(OR($B142="",$A142&lt;=51),"",--MID('Key Analysis'!$C138,$A142-51,1))</f>
        <v/>
      </c>
      <c r="BC142" s="29" t="str">
        <f>IF(OR($B142="",$A142&lt;=52),"",--MID('Key Analysis'!$C138,$A142-52,1))</f>
        <v/>
      </c>
      <c r="BD142" s="29" t="str">
        <f>IF(OR($B142="",$A142&lt;=53),"",--MID('Key Analysis'!$C138,$A142-53,1))</f>
        <v/>
      </c>
      <c r="BE142" s="29" t="str">
        <f>IF(OR($B142="",$A142&lt;=54),"",--MID('Key Analysis'!$C138,$A142-54,1))</f>
        <v/>
      </c>
      <c r="BF142" s="29" t="str">
        <f>IF(OR($B142="",$A142&lt;=55),"",--MID('Key Analysis'!$C138,$A142-55,1))</f>
        <v/>
      </c>
      <c r="BG142" s="29" t="str">
        <f>IF(OR($B142="",$A142&lt;=56),"",--MID('Key Analysis'!$C138,$A142-56,1))</f>
        <v/>
      </c>
      <c r="BH142" s="29" t="str">
        <f>IF(OR($B142="",$A142&lt;=57),"",--MID('Key Analysis'!$C138,$A142-57,1))</f>
        <v/>
      </c>
      <c r="BI142" s="29" t="str">
        <f>IF(OR($B142="",$A142&lt;=58),"",--MID('Key Analysis'!$C138,$A142-58,1))</f>
        <v/>
      </c>
      <c r="BJ142" s="29" t="str">
        <f>IF(OR($B142="",$A142&lt;=59),"",--MID('Key Analysis'!$C138,$A142-59,1))</f>
        <v/>
      </c>
      <c r="BK142" s="29" t="str">
        <f>IF(OR($B142="",$A142&lt;=60),"",--MID('Key Analysis'!$C138,$A142-60,1))</f>
        <v/>
      </c>
      <c r="BL142" s="29" t="str">
        <f>IF(OR($B142="",$A142&lt;=61),"",--MID('Key Analysis'!$C138,$A142-61,1))</f>
        <v/>
      </c>
      <c r="BM142" s="29" t="str">
        <f>IF(OR($B142="",$A142&lt;=62),"",--MID('Key Analysis'!$C138,$A142-62,1))</f>
        <v/>
      </c>
      <c r="BN142" s="29" t="str">
        <f>IF(OR($B142="",$A142&lt;=63),"",--MID('Key Analysis'!$C138,$A142-63,1))</f>
        <v/>
      </c>
      <c r="BO142" s="29" t="str">
        <f>IF(OR($B142="",$A142&lt;=64),"",--MID('Key Analysis'!$C138,$A142-64,1))</f>
        <v/>
      </c>
      <c r="BP142" s="29" t="str">
        <f>IF(OR($B142="",$A142&lt;=65),"",--MID('Key Analysis'!$C138,$A142-65,1))</f>
        <v/>
      </c>
      <c r="BQ142" s="29" t="str">
        <f>IF(OR($B142="",$A142&lt;=66),"",--MID('Key Analysis'!$C138,$A142-66,1))</f>
        <v/>
      </c>
      <c r="BR142" s="29" t="str">
        <f>IF(OR($B142="",$A142&lt;=67),"",--MID('Key Analysis'!$C138,$A142-67,1))</f>
        <v/>
      </c>
      <c r="BS142" s="29" t="str">
        <f>IF(OR($B142="",$A142&lt;=68),"",--MID('Key Analysis'!$C138,$A142-68,1))</f>
        <v/>
      </c>
      <c r="BT142" s="29" t="str">
        <f>IF(OR($B142="",$A142&lt;=69),"",--MID('Key Analysis'!$C138,$A142-69,1))</f>
        <v/>
      </c>
      <c r="BU142" s="29" t="str">
        <f>IF(OR($B142="",$A142&lt;=70),"",--MID('Key Analysis'!$C138,$A142-70,1))</f>
        <v/>
      </c>
      <c r="BV142" s="29" t="str">
        <f>IF(OR($B142="",$A142&lt;=71),"",--MID('Key Analysis'!$C138,$A142-71,1))</f>
        <v/>
      </c>
      <c r="BW142" s="29" t="str">
        <f>IF(OR($B142="",$A142&lt;=72),"",--MID('Key Analysis'!$C138,$A142-72,1))</f>
        <v/>
      </c>
      <c r="BX142" s="29" t="str">
        <f>IF(OR($B142="",$A142&lt;=73),"",--MID('Key Analysis'!$C138,$A142-73,1))</f>
        <v/>
      </c>
      <c r="BY142" s="29" t="str">
        <f>IF(OR($B142="",$A142&lt;=74),"",--MID('Key Analysis'!$C138,$A142-74,1))</f>
        <v/>
      </c>
      <c r="BZ142" s="29" t="str">
        <f>IF(OR($B142="",$A142&lt;=75),"",--MID('Key Analysis'!$C138,$A142-75,1))</f>
        <v/>
      </c>
      <c r="CA142" s="29" t="str">
        <f>IF(OR($B142="",$A142&lt;=76),"",--MID('Key Analysis'!$C138,$A142-76,1))</f>
        <v/>
      </c>
      <c r="CB142" s="29" t="str">
        <f>IF(OR($B142="",$A142&lt;=77),"",--MID('Key Analysis'!$C138,$A142-77,1))</f>
        <v/>
      </c>
      <c r="CC142" s="29" t="str">
        <f>IF(OR($B142="",$A142&lt;=78),"",--MID('Key Analysis'!$C138,$A142-78,1))</f>
        <v/>
      </c>
      <c r="CD142" s="29" t="str">
        <f>IF(OR($B142="",$A142&lt;=79),"",--MID('Key Analysis'!$C138,$A142-79,1))</f>
        <v/>
      </c>
      <c r="CE142" s="29" t="str">
        <f>IF(OR($B142="",$A142&lt;=80),"",--MID('Key Analysis'!$C138,$A142-80,1))</f>
        <v/>
      </c>
      <c r="CF142" s="29" t="str">
        <f>IF(OR($B142="",$A142&lt;=81),"",--MID('Key Analysis'!$C138,$A142-81,1))</f>
        <v/>
      </c>
      <c r="CG142" s="29" t="str">
        <f>IF(OR($B142="",$A142&lt;=82),"",--MID('Key Analysis'!$C138,$A142-82,1))</f>
        <v/>
      </c>
      <c r="CH142" s="29" t="str">
        <f>IF(OR($B142="",$A142&lt;=83),"",--MID('Key Analysis'!$C138,$A142-83,1))</f>
        <v/>
      </c>
      <c r="CI142" s="29" t="str">
        <f>IF(OR($B142="",$A142&lt;=84),"",--MID('Key Analysis'!$C138,$A142-84,1))</f>
        <v/>
      </c>
      <c r="CJ142" s="29" t="str">
        <f>IF(OR($B142="",$A142&lt;=85),"",--MID('Key Analysis'!$C138,$A142-85,1))</f>
        <v/>
      </c>
      <c r="CK142" s="29" t="str">
        <f>IF(OR($B142="",$A142&lt;=86),"",--MID('Key Analysis'!$C138,$A142-86,1))</f>
        <v/>
      </c>
      <c r="CL142" s="29" t="str">
        <f>IF(OR($B142="",$A142&lt;=87),"",--MID('Key Analysis'!$C138,$A142-87,1))</f>
        <v/>
      </c>
      <c r="CM142" s="29" t="str">
        <f>IF(OR($B142="",$A142&lt;=88),"",--MID('Key Analysis'!$C138,$A142-88,1))</f>
        <v/>
      </c>
      <c r="CN142" s="29" t="str">
        <f>IF(OR($B142="",$A142&lt;=89),"",--MID('Key Analysis'!$C138,$A142-89,1))</f>
        <v/>
      </c>
      <c r="CO142" s="29" t="str">
        <f>IF(OR($B142="",$A142&lt;=90),"",--MID('Key Analysis'!$C138,$A142-90,1))</f>
        <v/>
      </c>
      <c r="CP142" s="29" t="str">
        <f>IF(OR($B142="",$A142&lt;=91),"",--MID('Key Analysis'!$C138,$A142-91,1))</f>
        <v/>
      </c>
      <c r="CQ142" s="29" t="str">
        <f>IF(OR($B142="",$A142&lt;=92),"",--MID('Key Analysis'!$C138,$A142-92,1))</f>
        <v/>
      </c>
      <c r="CR142" s="29" t="str">
        <f>IF(OR($B142="",$A142&lt;=93),"",--MID('Key Analysis'!$C138,$A142-93,1))</f>
        <v/>
      </c>
      <c r="CS142" s="29" t="str">
        <f>IF(OR($B142="",$A142&lt;=94),"",--MID('Key Analysis'!$C138,$A142-94,1))</f>
        <v/>
      </c>
      <c r="CT142" s="29" t="str">
        <f>IF(OR($B142="",$A142&lt;=95),"",--MID('Key Analysis'!$C138,$A142-95,1))</f>
        <v/>
      </c>
      <c r="CU142" s="29" t="str">
        <f>IF(OR($B142="",$A142&lt;=96),"",--MID('Key Analysis'!$C138,$A142-96,1))</f>
        <v/>
      </c>
      <c r="CV142" s="29" t="str">
        <f>IF(OR($B142="",$A142&lt;=97),"",--MID('Key Analysis'!$C138,$A142-97,1))</f>
        <v/>
      </c>
      <c r="CW142" s="29" t="str">
        <f>IF(OR($B142="",$A142&lt;=98),"",--MID('Key Analysis'!$C138,$A142-98,1))</f>
        <v/>
      </c>
      <c r="CX142" s="29" t="str">
        <f>IF(OR($B142="",$A142&lt;=99),"",--MID('Key Analysis'!$C138,$A142-99,1))</f>
        <v/>
      </c>
      <c r="CY142" s="29" t="str">
        <f>IF(OR($B142="",$A142&lt;=100),"",--MID('Key Analysis'!$C138,$A142-100,1))</f>
        <v/>
      </c>
      <c r="CZ142" s="29" t="str">
        <f>IF(OR($B142="",$A142&lt;=101),"",--MID('Key Analysis'!$C138,$A142-101,1))</f>
        <v/>
      </c>
      <c r="DA142" s="29" t="str">
        <f>IF(OR($B142="",$A142&lt;=102),"",--MID('Key Analysis'!$C138,$A142-102,1))</f>
        <v/>
      </c>
      <c r="DB142" s="29" t="str">
        <f>IF(OR($B142="",$A142&lt;=103),"",--MID('Key Analysis'!$C138,$A142-103,1))</f>
        <v/>
      </c>
      <c r="DC142" s="29" t="str">
        <f>IF(OR($B142="",$A142&lt;=104),"",--MID('Key Analysis'!$C138,$A142-104,1))</f>
        <v/>
      </c>
      <c r="DD142" s="29" t="str">
        <f>IF(OR($B142="",$A142&lt;=105),"",--MID('Key Analysis'!$C138,$A142-105,1))</f>
        <v/>
      </c>
      <c r="DE142" s="29" t="str">
        <f>IF(OR($B142="",$A142&lt;=106),"",--MID('Key Analysis'!$C138,$A142-106,1))</f>
        <v/>
      </c>
      <c r="DF142" s="29" t="str">
        <f>IF(OR($B142="",$A142&lt;=107),"",--MID('Key Analysis'!$C138,$A142-107,1))</f>
        <v/>
      </c>
      <c r="DG142" s="29" t="str">
        <f>IF(OR($B142="",$A142&lt;=108),"",--MID('Key Analysis'!$C138,$A142-108,1))</f>
        <v/>
      </c>
      <c r="DH142" s="29" t="str">
        <f>IF(OR($B142="",$A142&lt;=109),"",--MID('Key Analysis'!$C138,$A142-109,1))</f>
        <v/>
      </c>
      <c r="DI142" s="29" t="str">
        <f>IF(OR($B142="",$A142&lt;=110),"",--MID('Key Analysis'!$C138,$A142-110,1))</f>
        <v/>
      </c>
      <c r="DJ142" s="29" t="str">
        <f>IF(OR($B142="",$A142&lt;=111),"",--MID('Key Analysis'!$C138,$A142-111,1))</f>
        <v/>
      </c>
      <c r="DK142" s="29" t="str">
        <f>IF(OR($B142="",$A142&lt;=112),"",--MID('Key Analysis'!$C138,$A142-112,1))</f>
        <v/>
      </c>
      <c r="DL142" s="29" t="str">
        <f>IF(OR($B142="",$A142&lt;=113),"",--MID('Key Analysis'!$C138,$A142-113,1))</f>
        <v/>
      </c>
      <c r="DM142" s="29" t="str">
        <f>IF(OR($B142="",$A142&lt;=114),"",--MID('Key Analysis'!$C138,$A142-114,1))</f>
        <v/>
      </c>
      <c r="DN142" s="29" t="str">
        <f>IF(OR($B142="",$A142&lt;=115),"",--MID('Key Analysis'!$C138,$A142-115,1))</f>
        <v/>
      </c>
      <c r="DO142" s="29" t="str">
        <f>IF(OR($B142="",$A142&lt;=116),"",--MID('Key Analysis'!$C138,$A142-116,1))</f>
        <v/>
      </c>
      <c r="DP142" s="29" t="str">
        <f>IF(OR($B142="",$A142&lt;=117),"",--MID('Key Analysis'!$C138,$A142-117,1))</f>
        <v/>
      </c>
      <c r="DQ142" s="29" t="str">
        <f>IF(OR($B142="",$A142&lt;=118),"",--MID('Key Analysis'!$C138,$A142-118,1))</f>
        <v/>
      </c>
      <c r="DR142" s="29" t="str">
        <f>IF(OR($B142="",$A142&lt;=119),"",--MID('Key Analysis'!$C138,$A142-119,1))</f>
        <v/>
      </c>
      <c r="DS142" s="29" t="str">
        <f>IF(OR($B142="",$A142&lt;=120),"",--MID('Key Analysis'!$C138,$A142-120,1))</f>
        <v/>
      </c>
      <c r="DT142" s="29" t="str">
        <f>IF(OR($B142="",$A142&lt;=121),"",--MID('Key Analysis'!$C138,$A142-121,1))</f>
        <v/>
      </c>
      <c r="DU142" s="29" t="str">
        <f>IF(OR($B142="",$A142&lt;=122),"",--MID('Key Analysis'!$C138,$A142-122,1))</f>
        <v/>
      </c>
      <c r="DV142" s="29" t="str">
        <f>IF(OR($B142="",$A142&lt;=123),"",--MID('Key Analysis'!$C138,$A142-123,1))</f>
        <v/>
      </c>
      <c r="DW142" s="29" t="str">
        <f>IF(OR($B142="",$A142&lt;=124),"",--MID('Key Analysis'!$C138,$A142-124,1))</f>
        <v/>
      </c>
      <c r="DX142" s="29" t="str">
        <f>IF(OR($B142="",$A142&lt;=125),"",--MID('Key Analysis'!$C138,$A142-125,1))</f>
        <v/>
      </c>
      <c r="DY142" s="29" t="str">
        <f>IF(OR($B142="",$A142&lt;=126),"",--MID('Key Analysis'!$C138,$A142-126,1))</f>
        <v/>
      </c>
      <c r="DZ142" s="29" t="str">
        <f>IF(OR($B142="",$A142&lt;=127),"",--MID('Key Analysis'!$C138,$A142-127,1))</f>
        <v/>
      </c>
      <c r="EA142" s="29" t="str">
        <f>IF(OR($B142="",$A142&lt;=128),"",--MID('Key Analysis'!$C138,$A142-128,1))</f>
        <v/>
      </c>
      <c r="EB142" s="29" t="str">
        <f>IF(OR($B142="",$A142&lt;=129),"",--MID('Key Analysis'!$C138,$A142-129,1))</f>
        <v/>
      </c>
      <c r="EC142" s="29" t="str">
        <f>IF(OR($B142="",$A142&lt;=130),"",--MID('Key Analysis'!$C138,$A142-130,1))</f>
        <v/>
      </c>
      <c r="ED142" s="29" t="str">
        <f>IF(OR($B142="",$A142&lt;=131),"",--MID('Key Analysis'!$C138,$A142-131,1))</f>
        <v/>
      </c>
      <c r="EE142" s="29" t="str">
        <f>IF(OR($B142="",$A142&lt;=132),"",--MID('Key Analysis'!$C138,$A142-132,1))</f>
        <v/>
      </c>
      <c r="EF142" s="29" t="str">
        <f>IF(OR($B142="",$A142&lt;=133),"",--MID('Key Analysis'!$C138,$A142-133,1))</f>
        <v/>
      </c>
      <c r="EG142" s="29" t="str">
        <f>IF(OR($B142="",$A142&lt;=134),"",--MID('Key Analysis'!$C138,$A142-134,1))</f>
        <v/>
      </c>
      <c r="EH142" s="29"/>
      <c r="EI142" s="29" t="str">
        <f>IF(OR($B142="",$A142&lt;1),"",--MID('Key Analysis'!$C138,1,1))</f>
        <v/>
      </c>
      <c r="EJ142" s="29" t="str">
        <f>IF(OR($B142="",$A142&lt;2),"",--MID('Key Analysis'!$C138,2,1))</f>
        <v/>
      </c>
      <c r="EK142" s="29" t="str">
        <f>IF(OR($B142="",$A142&lt;3),"",--MID('Key Analysis'!$C138,3,1))</f>
        <v/>
      </c>
      <c r="EL142" s="29" t="str">
        <f>IF(OR($B142="",$A142&lt;4),"",--MID('Key Analysis'!$C138,4,1))</f>
        <v/>
      </c>
      <c r="EM142" s="29" t="str">
        <f>IF(OR($B142="",$A142&lt;5),"",--MID('Key Analysis'!$C138,5,1))</f>
        <v/>
      </c>
      <c r="EN142" s="29" t="str">
        <f>IF(OR($B142="",$A142&lt;6),"",--MID('Key Analysis'!$C138,6,1))</f>
        <v/>
      </c>
      <c r="EO142" s="29" t="str">
        <f>IF(OR($B142="",$A142&lt;7),"",--MID('Key Analysis'!$C138,7,1))</f>
        <v/>
      </c>
      <c r="EP142" s="29" t="str">
        <f>IF(OR($B142="",$A142&lt;8),"",--MID('Key Analysis'!$C138,8,1))</f>
        <v/>
      </c>
      <c r="EQ142" s="29" t="str">
        <f>IF(OR($B142="",$A142&lt;9),"",--MID('Key Analysis'!$C138,9,1))</f>
        <v/>
      </c>
      <c r="ER142" s="29" t="str">
        <f>IF(OR($B142="",$A142&lt;10),"",--MID('Key Analysis'!$C138,10,1))</f>
        <v/>
      </c>
      <c r="ES142" s="29" t="str">
        <f>IF(OR($B142="",$A142&lt;11),"",--MID('Key Analysis'!$C138,11,1))</f>
        <v/>
      </c>
      <c r="ET142" s="29" t="str">
        <f>IF(OR($B142="",$A142&lt;12),"",--MID('Key Analysis'!$C138,12,1))</f>
        <v/>
      </c>
      <c r="EU142" s="29" t="str">
        <f>IF(OR($B142="",$A142&lt;13),"",--MID('Key Analysis'!$C138,13,1))</f>
        <v/>
      </c>
      <c r="EV142" s="29" t="str">
        <f>IF(OR($B142="",$A142&lt;14),"",--MID('Key Analysis'!$C138,14,1))</f>
        <v/>
      </c>
      <c r="EW142" s="29" t="str">
        <f>IF(OR($B142="",$A142&lt;15),"",--MID('Key Analysis'!$C138,15,1))</f>
        <v/>
      </c>
      <c r="EX142" s="29" t="str">
        <f>IF(OR($B142="",$A142&lt;16),"",--MID('Key Analysis'!$C138,16,1))</f>
        <v/>
      </c>
      <c r="EY142" s="29" t="str">
        <f>IF(OR($B142="",$A142&lt;17),"",--MID('Key Analysis'!$C138,17,1))</f>
        <v/>
      </c>
      <c r="EZ142" s="29" t="str">
        <f>IF(OR($B142="",$A142&lt;18),"",--MID('Key Analysis'!$C138,18,1))</f>
        <v/>
      </c>
      <c r="FA142" s="29" t="str">
        <f>IF(OR($B142="",$A142&lt;19),"",--MID('Key Analysis'!$C138,19,1))</f>
        <v/>
      </c>
      <c r="FB142" s="29" t="str">
        <f>IF(OR($B142="",$A142&lt;20),"",--MID('Key Analysis'!$C138,20,1))</f>
        <v/>
      </c>
      <c r="FC142" s="29" t="str">
        <f>IF(OR($B142="",$A142&lt;21),"",--MID('Key Analysis'!$C138,21,1))</f>
        <v/>
      </c>
      <c r="FD142" s="29" t="str">
        <f>IF(OR($B142="",$A142&lt;22),"",--MID('Key Analysis'!$C138,22,1))</f>
        <v/>
      </c>
      <c r="FE142" s="29" t="str">
        <f>IF(OR($B142="",$A142&lt;23),"",--MID('Key Analysis'!$C138,23,1))</f>
        <v/>
      </c>
      <c r="FF142" s="29" t="str">
        <f>IF(OR($B142="",$A142&lt;24),"",--MID('Key Analysis'!$C138,24,1))</f>
        <v/>
      </c>
      <c r="FG142" s="29" t="str">
        <f>IF(OR($B142="",$A142&lt;25),"",--MID('Key Analysis'!$C138,25,1))</f>
        <v/>
      </c>
      <c r="FH142" s="29" t="str">
        <f>IF(OR($B142="",$A142&lt;26),"",--MID('Key Analysis'!$C138,26,1))</f>
        <v/>
      </c>
      <c r="FI142" s="29" t="str">
        <f>IF(OR($B142="",$A142&lt;27),"",--MID('Key Analysis'!$C138,27,1))</f>
        <v/>
      </c>
      <c r="FJ142" s="29" t="str">
        <f>IF(OR($B142="",$A142&lt;28),"",--MID('Key Analysis'!$C138,28,1))</f>
        <v/>
      </c>
      <c r="FK142" s="29" t="str">
        <f>IF(OR($B142="",$A142&lt;29),"",--MID('Key Analysis'!$C138,29,1))</f>
        <v/>
      </c>
      <c r="FL142" s="29" t="str">
        <f>IF(OR($B142="",$A142&lt;30),"",--MID('Key Analysis'!$C138,30,1))</f>
        <v/>
      </c>
      <c r="FM142" s="29" t="str">
        <f>IF(OR($B142="",$A142&lt;31),"",--MID('Key Analysis'!$C138,31,1))</f>
        <v/>
      </c>
      <c r="FN142" s="29" t="str">
        <f>IF(OR($B142="",$A142&lt;32),"",--MID('Key Analysis'!$C138,32,1))</f>
        <v/>
      </c>
      <c r="FO142" s="29" t="str">
        <f>IF(OR($B142="",$A142&lt;33),"",--MID('Key Analysis'!$C138,33,1))</f>
        <v/>
      </c>
      <c r="FP142" s="29" t="str">
        <f>IF(OR($B142="",$A142&lt;34),"",--MID('Key Analysis'!$C138,34,1))</f>
        <v/>
      </c>
      <c r="FQ142" s="29" t="str">
        <f>IF(OR($B142="",$A142&lt;35),"",--MID('Key Analysis'!$C138,35,1))</f>
        <v/>
      </c>
      <c r="FR142" s="29" t="str">
        <f>IF(OR($B142="",$A142&lt;36),"",--MID('Key Analysis'!$C138,36,1))</f>
        <v/>
      </c>
      <c r="FS142" s="29" t="str">
        <f>IF(OR($B142="",$A142&lt;37),"",--MID('Key Analysis'!$C138,37,1))</f>
        <v/>
      </c>
      <c r="FT142" s="29" t="str">
        <f>IF(OR($B142="",$A142&lt;38),"",--MID('Key Analysis'!$C138,38,1))</f>
        <v/>
      </c>
      <c r="FU142" s="29" t="str">
        <f>IF(OR($B142="",$A142&lt;39),"",--MID('Key Analysis'!$C138,39,1))</f>
        <v/>
      </c>
      <c r="FV142" s="29" t="str">
        <f>IF(OR($B142="",$A142&lt;40),"",--MID('Key Analysis'!$C138,40,1))</f>
        <v/>
      </c>
      <c r="FW142" s="29" t="str">
        <f>IF(OR($B142="",$A142&lt;41),"",--MID('Key Analysis'!$C138,41,1))</f>
        <v/>
      </c>
      <c r="FX142" s="29" t="str">
        <f>IF(OR($B142="",$A142&lt;42),"",--MID('Key Analysis'!$C138,42,1))</f>
        <v/>
      </c>
      <c r="FY142" s="29" t="str">
        <f>IF(OR($B142="",$A142&lt;43),"",--MID('Key Analysis'!$C138,43,1))</f>
        <v/>
      </c>
      <c r="FZ142" s="29" t="str">
        <f>IF(OR($B142="",$A142&lt;44),"",--MID('Key Analysis'!$C138,44,1))</f>
        <v/>
      </c>
      <c r="GA142" s="29" t="str">
        <f>IF(OR($B142="",$A142&lt;45),"",--MID('Key Analysis'!$C138,45,1))</f>
        <v/>
      </c>
      <c r="GB142" s="29" t="str">
        <f>IF(OR($B142="",$A142&lt;46),"",--MID('Key Analysis'!$C138,46,1))</f>
        <v/>
      </c>
      <c r="GC142" s="29" t="str">
        <f>IF(OR($B142="",$A142&lt;47),"",--MID('Key Analysis'!$C138,47,1))</f>
        <v/>
      </c>
      <c r="GD142" s="29" t="str">
        <f>IF(OR($B142="",$A142&lt;48),"",--MID('Key Analysis'!$C138,48,1))</f>
        <v/>
      </c>
      <c r="GE142" s="29" t="str">
        <f>IF(OR($B142="",$A142&lt;49),"",--MID('Key Analysis'!$C138,49,1))</f>
        <v/>
      </c>
      <c r="GF142" s="29" t="str">
        <f>IF(OR($B142="",$A142&lt;50),"",--MID('Key Analysis'!$C138,50,1))</f>
        <v/>
      </c>
      <c r="GG142" s="29" t="str">
        <f>IF(OR($B142="",$A142&lt;51),"",--MID('Key Analysis'!$C138,51,1))</f>
        <v/>
      </c>
      <c r="GH142" s="29" t="str">
        <f>IF(OR($B142="",$A142&lt;52),"",--MID('Key Analysis'!$C138,52,1))</f>
        <v/>
      </c>
      <c r="GI142" s="29" t="str">
        <f>IF(OR($B142="",$A142&lt;53),"",--MID('Key Analysis'!$C138,53,1))</f>
        <v/>
      </c>
      <c r="GJ142" s="29" t="str">
        <f>IF(OR($B142="",$A142&lt;54),"",--MID('Key Analysis'!$C138,54,1))</f>
        <v/>
      </c>
      <c r="GK142" s="29" t="str">
        <f>IF(OR($B142="",$A142&lt;55),"",--MID('Key Analysis'!$C138,55,1))</f>
        <v/>
      </c>
      <c r="GL142" s="29" t="str">
        <f>IF(OR($B142="",$A142&lt;56),"",--MID('Key Analysis'!$C138,56,1))</f>
        <v/>
      </c>
      <c r="GM142" s="29" t="str">
        <f>IF(OR($B142="",$A142&lt;57),"",--MID('Key Analysis'!$C138,57,1))</f>
        <v/>
      </c>
      <c r="GN142" s="29" t="str">
        <f>IF(OR($B142="",$A142&lt;58),"",--MID('Key Analysis'!$C138,58,1))</f>
        <v/>
      </c>
      <c r="GO142" s="29" t="str">
        <f>IF(OR($B142="",$A142&lt;59),"",--MID('Key Analysis'!$C138,59,1))</f>
        <v/>
      </c>
      <c r="GP142" s="29" t="str">
        <f>IF(OR($B142="",$A142&lt;60),"",--MID('Key Analysis'!$C138,60,1))</f>
        <v/>
      </c>
      <c r="GQ142" s="29" t="str">
        <f>IF(OR($B142="",$A142&lt;61),"",--MID('Key Analysis'!$C138,61,1))</f>
        <v/>
      </c>
      <c r="GR142" s="29" t="str">
        <f>IF(OR($B142="",$A142&lt;62),"",--MID('Key Analysis'!$C138,62,1))</f>
        <v/>
      </c>
      <c r="GS142" s="29" t="str">
        <f>IF(OR($B142="",$A142&lt;63),"",--MID('Key Analysis'!$C138,63,1))</f>
        <v/>
      </c>
      <c r="GT142" s="29" t="str">
        <f>IF(OR($B142="",$A142&lt;64),"",--MID('Key Analysis'!$C138,64,1))</f>
        <v/>
      </c>
      <c r="GU142" s="29" t="str">
        <f>IF(OR($B142="",$A142&lt;65),"",--MID('Key Analysis'!$C138,65,1))</f>
        <v/>
      </c>
      <c r="GV142" s="29" t="str">
        <f>IF(OR($B142="",$A142&lt;66),"",--MID('Key Analysis'!$C138,66,1))</f>
        <v/>
      </c>
      <c r="GW142" s="29" t="str">
        <f>IF(OR($B142="",$A142&lt;67),"",--MID('Key Analysis'!$C138,67,1))</f>
        <v/>
      </c>
      <c r="GX142" s="29" t="str">
        <f>IF(OR($B142="",$A142&lt;68),"",--MID('Key Analysis'!$C138,68,1))</f>
        <v/>
      </c>
      <c r="GY142" s="29" t="str">
        <f>IF(OR($B142="",$A142&lt;69),"",--MID('Key Analysis'!$C138,69,1))</f>
        <v/>
      </c>
      <c r="GZ142" s="29" t="str">
        <f>IF(OR($B142="",$A142&lt;70),"",--MID('Key Analysis'!$C138,70,1))</f>
        <v/>
      </c>
      <c r="HA142" s="29" t="str">
        <f>IF(OR($B142="",$A142&lt;71),"",--MID('Key Analysis'!$C138,71,1))</f>
        <v/>
      </c>
      <c r="HB142" s="29" t="str">
        <f>IF(OR($B142="",$A142&lt;72),"",--MID('Key Analysis'!$C138,72,1))</f>
        <v/>
      </c>
      <c r="HC142" s="29" t="str">
        <f>IF(OR($B142="",$A142&lt;73),"",--MID('Key Analysis'!$C138,73,1))</f>
        <v/>
      </c>
      <c r="HD142" s="29" t="str">
        <f>IF(OR($B142="",$A142&lt;74),"",--MID('Key Analysis'!$C138,74,1))</f>
        <v/>
      </c>
      <c r="HE142" s="29" t="str">
        <f>IF(OR($B142="",$A142&lt;75),"",--MID('Key Analysis'!$C138,75,1))</f>
        <v/>
      </c>
      <c r="HF142" s="29" t="str">
        <f>IF(OR($B142="",$A142&lt;76),"",--MID('Key Analysis'!$C138,76,1))</f>
        <v/>
      </c>
      <c r="HG142" s="29" t="str">
        <f>IF(OR($B142="",$A142&lt;77),"",--MID('Key Analysis'!$C138,77,1))</f>
        <v/>
      </c>
      <c r="HH142" s="29" t="str">
        <f>IF(OR($B142="",$A142&lt;78),"",--MID('Key Analysis'!$C138,78,1))</f>
        <v/>
      </c>
      <c r="HI142" s="29" t="str">
        <f>IF(OR($B142="",$A142&lt;79),"",--MID('Key Analysis'!$C138,79,1))</f>
        <v/>
      </c>
      <c r="HJ142" s="29" t="str">
        <f>IF(OR($B142="",$A142&lt;80),"",--MID('Key Analysis'!$C138,80,1))</f>
        <v/>
      </c>
      <c r="HK142" s="29" t="str">
        <f>IF(OR($B142="",$A142&lt;81),"",--MID('Key Analysis'!$C138,81,1))</f>
        <v/>
      </c>
      <c r="HL142" s="29" t="str">
        <f>IF(OR($B142="",$A142&lt;82),"",--MID('Key Analysis'!$C138,82,1))</f>
        <v/>
      </c>
      <c r="HM142" s="29" t="str">
        <f>IF(OR($B142="",$A142&lt;83),"",--MID('Key Analysis'!$C138,83,1))</f>
        <v/>
      </c>
      <c r="HN142" s="29" t="str">
        <f>IF(OR($B142="",$A142&lt;84),"",--MID('Key Analysis'!$C138,84,1))</f>
        <v/>
      </c>
      <c r="HO142" s="29" t="str">
        <f>IF(OR($B142="",$A142&lt;85),"",--MID('Key Analysis'!$C138,85,1))</f>
        <v/>
      </c>
      <c r="HP142" s="29" t="str">
        <f>IF(OR($B142="",$A142&lt;86),"",--MID('Key Analysis'!$C138,86,1))</f>
        <v/>
      </c>
      <c r="HQ142" s="29" t="str">
        <f>IF(OR($B142="",$A142&lt;87),"",--MID('Key Analysis'!$C138,87,1))</f>
        <v/>
      </c>
      <c r="HR142" s="29" t="str">
        <f>IF(OR($B142="",$A142&lt;88),"",--MID('Key Analysis'!$C138,88,1))</f>
        <v/>
      </c>
      <c r="HS142" s="29" t="str">
        <f>IF(OR($B142="",$A142&lt;89),"",--MID('Key Analysis'!$C138,89,1))</f>
        <v/>
      </c>
      <c r="HT142" s="29" t="str">
        <f>IF(OR($B142="",$A142&lt;90),"",--MID('Key Analysis'!$C138,90,1))</f>
        <v/>
      </c>
      <c r="HU142" s="29" t="str">
        <f>IF(OR($B142="",$A142&lt;91),"",--MID('Key Analysis'!$C138,91,1))</f>
        <v/>
      </c>
      <c r="HV142" s="29" t="str">
        <f>IF(OR($B142="",$A142&lt;92),"",--MID('Key Analysis'!$C138,92,1))</f>
        <v/>
      </c>
      <c r="HW142" s="29" t="str">
        <f>IF(OR($B142="",$A142&lt;93),"",--MID('Key Analysis'!$C138,93,1))</f>
        <v/>
      </c>
      <c r="HX142" s="29" t="str">
        <f>IF(OR($B142="",$A142&lt;94),"",--MID('Key Analysis'!$C138,94,1))</f>
        <v/>
      </c>
      <c r="HY142" s="29" t="str">
        <f>IF(OR($B142="",$A142&lt;95),"",--MID('Key Analysis'!$C138,95,1))</f>
        <v/>
      </c>
      <c r="HZ142" s="29" t="str">
        <f>IF(OR($B142="",$A142&lt;96),"",--MID('Key Analysis'!$C138,96,1))</f>
        <v/>
      </c>
      <c r="IA142" s="29" t="str">
        <f>IF(OR($B142="",$A142&lt;97),"",--MID('Key Analysis'!$C138,97,1))</f>
        <v/>
      </c>
      <c r="IB142" s="29" t="str">
        <f>IF(OR($B142="",$A142&lt;98),"",--MID('Key Analysis'!$C138,98,1))</f>
        <v/>
      </c>
      <c r="IC142" s="29" t="str">
        <f>IF(OR($B142="",$A142&lt;99),"",--MID('Key Analysis'!$C138,99,1))</f>
        <v/>
      </c>
      <c r="ID142" s="29" t="str">
        <f>IF(OR($B142="",$A142&lt;100),"",--MID('Key Analysis'!$C138,100,1))</f>
        <v/>
      </c>
      <c r="IE142" s="29" t="str">
        <f>IF(OR($B142="",$A142&lt;101),"",--MID('Key Analysis'!$C138,101,1))</f>
        <v/>
      </c>
      <c r="IF142" s="29" t="str">
        <f>IF(OR($B142="",$A142&lt;102),"",--MID('Key Analysis'!$C138,102,1))</f>
        <v/>
      </c>
      <c r="IG142" s="29" t="str">
        <f>IF(OR($B142="",$A142&lt;103),"",--MID('Key Analysis'!$C138,103,1))</f>
        <v/>
      </c>
      <c r="IH142" s="29" t="str">
        <f>IF(OR($B142="",$A142&lt;104),"",--MID('Key Analysis'!$C138,104,1))</f>
        <v/>
      </c>
      <c r="II142" s="29" t="str">
        <f>IF(OR($B142="",$A142&lt;105),"",--MID('Key Analysis'!$C138,105,1))</f>
        <v/>
      </c>
      <c r="IJ142" s="29" t="str">
        <f>IF(OR($B142="",$A142&lt;106),"",--MID('Key Analysis'!$C138,106,1))</f>
        <v/>
      </c>
      <c r="IK142" s="29" t="str">
        <f>IF(OR($B142="",$A142&lt;107),"",--MID('Key Analysis'!$C138,107,1))</f>
        <v/>
      </c>
      <c r="IL142" s="29" t="str">
        <f>IF(OR($B142="",$A142&lt;108),"",--MID('Key Analysis'!$C138,108,1))</f>
        <v/>
      </c>
      <c r="IM142" s="29" t="str">
        <f>IF(OR($B142="",$A142&lt;109),"",--MID('Key Analysis'!$C138,109,1))</f>
        <v/>
      </c>
      <c r="IN142" s="29" t="str">
        <f>IF(OR($B142="",$A142&lt;110),"",--MID('Key Analysis'!$C138,110,1))</f>
        <v/>
      </c>
      <c r="IO142" s="29" t="str">
        <f>IF(OR($B142="",$A142&lt;111),"",--MID('Key Analysis'!$C138,111,1))</f>
        <v/>
      </c>
      <c r="IP142" s="29" t="str">
        <f>IF(OR($B142="",$A142&lt;112),"",--MID('Key Analysis'!$C138,112,1))</f>
        <v/>
      </c>
      <c r="IQ142" s="29" t="str">
        <f>IF(OR($B142="",$A142&lt;113),"",--MID('Key Analysis'!$C138,113,1))</f>
        <v/>
      </c>
      <c r="IR142" s="29" t="str">
        <f>IF(OR($B142="",$A142&lt;114),"",--MID('Key Analysis'!$C138,114,1))</f>
        <v/>
      </c>
      <c r="IS142" s="29" t="str">
        <f>IF(OR($B142="",$A142&lt;115),"",--MID('Key Analysis'!$C138,115,1))</f>
        <v/>
      </c>
      <c r="IT142" s="29" t="str">
        <f>IF(OR($B142="",$A142&lt;116),"",--MID('Key Analysis'!$C138,116,1))</f>
        <v/>
      </c>
      <c r="IU142" s="29" t="str">
        <f>IF(OR($B142="",$A142&lt;117),"",--MID('Key Analysis'!$C138,117,1))</f>
        <v/>
      </c>
      <c r="IV142" s="29" t="str">
        <f>IF(OR($B142="",$A142&lt;118),"",--MID('Key Analysis'!$C138,118,1))</f>
        <v/>
      </c>
      <c r="IW142" s="29" t="str">
        <f>IF(OR($B142="",$A142&lt;119),"",--MID('Key Analysis'!$C138,119,1))</f>
        <v/>
      </c>
      <c r="IX142" s="29" t="str">
        <f>IF(OR($B142="",$A142&lt;120),"",--MID('Key Analysis'!$C138,120,1))</f>
        <v/>
      </c>
      <c r="IY142" s="29" t="str">
        <f>IF(OR($B142="",$A142&lt;121),"",--MID('Key Analysis'!$C138,121,1))</f>
        <v/>
      </c>
      <c r="IZ142" s="29" t="str">
        <f>IF(OR($B142="",$A142&lt;122),"",--MID('Key Analysis'!$C138,122,1))</f>
        <v/>
      </c>
      <c r="JA142" s="29" t="str">
        <f>IF(OR($B142="",$A142&lt;123),"",--MID('Key Analysis'!$C138,123,1))</f>
        <v/>
      </c>
      <c r="JB142" s="29" t="str">
        <f>IF(OR($B142="",$A142&lt;124),"",--MID('Key Analysis'!$C138,124,1))</f>
        <v/>
      </c>
      <c r="JC142" s="29" t="str">
        <f>IF(OR($B142="",$A142&lt;125),"",--MID('Key Analysis'!$C138,125,1))</f>
        <v/>
      </c>
      <c r="JD142" s="29" t="str">
        <f>IF(OR($B142="",$A142&lt;126),"",--MID('Key Analysis'!$C138,126,1))</f>
        <v/>
      </c>
      <c r="JE142" s="29" t="str">
        <f>IF(OR($B142="",$A142&lt;127),"",--MID('Key Analysis'!$C138,127,1))</f>
        <v/>
      </c>
      <c r="JF142" s="29" t="str">
        <f>IF(OR($B142="",$A142&lt;128),"",--MID('Key Analysis'!$C138,128,1))</f>
        <v/>
      </c>
      <c r="JG142" s="29" t="str">
        <f>IF(OR($B142="",$A142&lt;129),"",--MID('Key Analysis'!$C138,129,1))</f>
        <v/>
      </c>
      <c r="JH142" s="29" t="str">
        <f>IF(OR($B142="",$A142&lt;130),"",--MID('Key Analysis'!$C138,130,1))</f>
        <v/>
      </c>
      <c r="JI142" s="29" t="str">
        <f>IF(OR($B142="",$A142&lt;131),"",--MID('Key Analysis'!$C138,131,1))</f>
        <v/>
      </c>
      <c r="JJ142" s="29" t="str">
        <f>IF(OR($B142="",$A142&lt;132),"",--MID('Key Analysis'!$C138,132,1))</f>
        <v/>
      </c>
      <c r="JK142" s="29" t="str">
        <f>IF(OR($B142="",$A142&lt;133),"",--MID('Key Analysis'!$C138,133,1))</f>
        <v/>
      </c>
      <c r="JL142" s="29" t="str">
        <f>IF(OR($B142="",$A142&lt;134),"",--MID('Key Analysis'!$C138,134,1))</f>
        <v/>
      </c>
      <c r="JM142" s="29" t="str">
        <f>IF(OR($B142="",$A142&lt;135),"",--MID('Key Analysis'!$C138,135,1))</f>
        <v/>
      </c>
    </row>
    <row r="143" spans="1:273" x14ac:dyDescent="0.25">
      <c r="A143" s="21">
        <f>'Key Analysis'!A139</f>
        <v>138</v>
      </c>
      <c r="B143" s="30" t="str">
        <f>'Key Analysis'!B139</f>
        <v/>
      </c>
      <c r="C143" s="29" t="str">
        <f>IF(OR($B143="",$A143&lt;=0),"",--MID('Key Analysis'!$C139,$A143-0,1))</f>
        <v/>
      </c>
      <c r="D143" s="29" t="str">
        <f>IF(OR($B143="",$A143&lt;=1),"",--MID('Key Analysis'!$C139,$A143-1,1))</f>
        <v/>
      </c>
      <c r="E143" s="29" t="str">
        <f>IF(OR($B143="",$A143&lt;=2),"",--MID('Key Analysis'!$C139,$A143-2,1))</f>
        <v/>
      </c>
      <c r="F143" s="29" t="str">
        <f>IF(OR($B143="",$A143&lt;=3),"",--MID('Key Analysis'!$C139,$A143-3,1))</f>
        <v/>
      </c>
      <c r="G143" s="29" t="str">
        <f>IF(OR($B143="",$A143&lt;=4),"",--MID('Key Analysis'!$C139,$A143-4,1))</f>
        <v/>
      </c>
      <c r="H143" s="29" t="str">
        <f>IF(OR($B143="",$A143&lt;=5),"",--MID('Key Analysis'!$C139,$A143-5,1))</f>
        <v/>
      </c>
      <c r="I143" s="29" t="str">
        <f>IF(OR($B143="",$A143&lt;=6),"",--MID('Key Analysis'!$C139,$A143-6,1))</f>
        <v/>
      </c>
      <c r="J143" s="29" t="str">
        <f>IF(OR($B143="",$A143&lt;=7),"",--MID('Key Analysis'!$C139,$A143-7,1))</f>
        <v/>
      </c>
      <c r="K143" s="29" t="str">
        <f>IF(OR($B143="",$A143&lt;=8),"",--MID('Key Analysis'!$C139,$A143-8,1))</f>
        <v/>
      </c>
      <c r="L143" s="29" t="str">
        <f>IF(OR($B143="",$A143&lt;=9),"",--MID('Key Analysis'!$C139,$A143-9,1))</f>
        <v/>
      </c>
      <c r="M143" s="29" t="str">
        <f>IF(OR($B143="",$A143&lt;=10),"",--MID('Key Analysis'!$C139,$A143-10,1))</f>
        <v/>
      </c>
      <c r="N143" s="29" t="str">
        <f>IF(OR($B143="",$A143&lt;=11),"",--MID('Key Analysis'!$C139,$A143-11,1))</f>
        <v/>
      </c>
      <c r="O143" s="29" t="str">
        <f>IF(OR($B143="",$A143&lt;=12),"",--MID('Key Analysis'!$C139,$A143-12,1))</f>
        <v/>
      </c>
      <c r="P143" s="29" t="str">
        <f>IF(OR($B143="",$A143&lt;=13),"",--MID('Key Analysis'!$C139,$A143-13,1))</f>
        <v/>
      </c>
      <c r="Q143" s="29" t="str">
        <f>IF(OR($B143="",$A143&lt;=14),"",--MID('Key Analysis'!$C139,$A143-14,1))</f>
        <v/>
      </c>
      <c r="R143" s="29" t="str">
        <f>IF(OR($B143="",$A143&lt;=15),"",--MID('Key Analysis'!$C139,$A143-15,1))</f>
        <v/>
      </c>
      <c r="S143" s="29" t="str">
        <f>IF(OR($B143="",$A143&lt;=16),"",--MID('Key Analysis'!$C139,$A143-16,1))</f>
        <v/>
      </c>
      <c r="T143" s="29" t="str">
        <f>IF(OR($B143="",$A143&lt;=17),"",--MID('Key Analysis'!$C139,$A143-17,1))</f>
        <v/>
      </c>
      <c r="U143" s="29" t="str">
        <f>IF(OR($B143="",$A143&lt;=18),"",--MID('Key Analysis'!$C139,$A143-18,1))</f>
        <v/>
      </c>
      <c r="V143" s="29" t="str">
        <f>IF(OR($B143="",$A143&lt;=19),"",--MID('Key Analysis'!$C139,$A143-19,1))</f>
        <v/>
      </c>
      <c r="W143" s="29" t="str">
        <f>IF(OR($B143="",$A143&lt;=20),"",--MID('Key Analysis'!$C139,$A143-20,1))</f>
        <v/>
      </c>
      <c r="X143" s="29" t="str">
        <f>IF(OR($B143="",$A143&lt;=21),"",--MID('Key Analysis'!$C139,$A143-21,1))</f>
        <v/>
      </c>
      <c r="Y143" s="29" t="str">
        <f>IF(OR($B143="",$A143&lt;=22),"",--MID('Key Analysis'!$C139,$A143-22,1))</f>
        <v/>
      </c>
      <c r="Z143" s="29" t="str">
        <f>IF(OR($B143="",$A143&lt;=23),"",--MID('Key Analysis'!$C139,$A143-23,1))</f>
        <v/>
      </c>
      <c r="AA143" s="29" t="str">
        <f>IF(OR($B143="",$A143&lt;=24),"",--MID('Key Analysis'!$C139,$A143-24,1))</f>
        <v/>
      </c>
      <c r="AB143" s="29" t="str">
        <f>IF(OR($B143="",$A143&lt;=25),"",--MID('Key Analysis'!$C139,$A143-25,1))</f>
        <v/>
      </c>
      <c r="AC143" s="29" t="str">
        <f>IF(OR($B143="",$A143&lt;=26),"",--MID('Key Analysis'!$C139,$A143-26,1))</f>
        <v/>
      </c>
      <c r="AD143" s="29" t="str">
        <f>IF(OR($B143="",$A143&lt;=27),"",--MID('Key Analysis'!$C139,$A143-27,1))</f>
        <v/>
      </c>
      <c r="AE143" s="29" t="str">
        <f>IF(OR($B143="",$A143&lt;=28),"",--MID('Key Analysis'!$C139,$A143-28,1))</f>
        <v/>
      </c>
      <c r="AF143" s="29" t="str">
        <f>IF(OR($B143="",$A143&lt;=29),"",--MID('Key Analysis'!$C139,$A143-29,1))</f>
        <v/>
      </c>
      <c r="AG143" s="29" t="str">
        <f>IF(OR($B143="",$A143&lt;=30),"",--MID('Key Analysis'!$C139,$A143-30,1))</f>
        <v/>
      </c>
      <c r="AH143" s="29" t="str">
        <f>IF(OR($B143="",$A143&lt;=31),"",--MID('Key Analysis'!$C139,$A143-31,1))</f>
        <v/>
      </c>
      <c r="AI143" s="29" t="str">
        <f>IF(OR($B143="",$A143&lt;=32),"",--MID('Key Analysis'!$C139,$A143-32,1))</f>
        <v/>
      </c>
      <c r="AJ143" s="29" t="str">
        <f>IF(OR($B143="",$A143&lt;=33),"",--MID('Key Analysis'!$C139,$A143-33,1))</f>
        <v/>
      </c>
      <c r="AK143" s="29" t="str">
        <f>IF(OR($B143="",$A143&lt;=34),"",--MID('Key Analysis'!$C139,$A143-34,1))</f>
        <v/>
      </c>
      <c r="AL143" s="29" t="str">
        <f>IF(OR($B143="",$A143&lt;=35),"",--MID('Key Analysis'!$C139,$A143-35,1))</f>
        <v/>
      </c>
      <c r="AM143" s="29" t="str">
        <f>IF(OR($B143="",$A143&lt;=36),"",--MID('Key Analysis'!$C139,$A143-36,1))</f>
        <v/>
      </c>
      <c r="AN143" s="29" t="str">
        <f>IF(OR($B143="",$A143&lt;=37),"",--MID('Key Analysis'!$C139,$A143-37,1))</f>
        <v/>
      </c>
      <c r="AO143" s="29" t="str">
        <f>IF(OR($B143="",$A143&lt;=38),"",--MID('Key Analysis'!$C139,$A143-38,1))</f>
        <v/>
      </c>
      <c r="AP143" s="29" t="str">
        <f>IF(OR($B143="",$A143&lt;=39),"",--MID('Key Analysis'!$C139,$A143-39,1))</f>
        <v/>
      </c>
      <c r="AQ143" s="29" t="str">
        <f>IF(OR($B143="",$A143&lt;=40),"",--MID('Key Analysis'!$C139,$A143-40,1))</f>
        <v/>
      </c>
      <c r="AR143" s="29" t="str">
        <f>IF(OR($B143="",$A143&lt;=41),"",--MID('Key Analysis'!$C139,$A143-41,1))</f>
        <v/>
      </c>
      <c r="AS143" s="29" t="str">
        <f>IF(OR($B143="",$A143&lt;=42),"",--MID('Key Analysis'!$C139,$A143-42,1))</f>
        <v/>
      </c>
      <c r="AT143" s="29" t="str">
        <f>IF(OR($B143="",$A143&lt;=43),"",--MID('Key Analysis'!$C139,$A143-43,1))</f>
        <v/>
      </c>
      <c r="AU143" s="29" t="str">
        <f>IF(OR($B143="",$A143&lt;=44),"",--MID('Key Analysis'!$C139,$A143-44,1))</f>
        <v/>
      </c>
      <c r="AV143" s="29" t="str">
        <f>IF(OR($B143="",$A143&lt;=45),"",--MID('Key Analysis'!$C139,$A143-45,1))</f>
        <v/>
      </c>
      <c r="AW143" s="29" t="str">
        <f>IF(OR($B143="",$A143&lt;=46),"",--MID('Key Analysis'!$C139,$A143-46,1))</f>
        <v/>
      </c>
      <c r="AX143" s="29" t="str">
        <f>IF(OR($B143="",$A143&lt;=47),"",--MID('Key Analysis'!$C139,$A143-47,1))</f>
        <v/>
      </c>
      <c r="AY143" s="29" t="str">
        <f>IF(OR($B143="",$A143&lt;=48),"",--MID('Key Analysis'!$C139,$A143-48,1))</f>
        <v/>
      </c>
      <c r="AZ143" s="29" t="str">
        <f>IF(OR($B143="",$A143&lt;=49),"",--MID('Key Analysis'!$C139,$A143-49,1))</f>
        <v/>
      </c>
      <c r="BA143" s="29" t="str">
        <f>IF(OR($B143="",$A143&lt;=50),"",--MID('Key Analysis'!$C139,$A143-50,1))</f>
        <v/>
      </c>
      <c r="BB143" s="29" t="str">
        <f>IF(OR($B143="",$A143&lt;=51),"",--MID('Key Analysis'!$C139,$A143-51,1))</f>
        <v/>
      </c>
      <c r="BC143" s="29" t="str">
        <f>IF(OR($B143="",$A143&lt;=52),"",--MID('Key Analysis'!$C139,$A143-52,1))</f>
        <v/>
      </c>
      <c r="BD143" s="29" t="str">
        <f>IF(OR($B143="",$A143&lt;=53),"",--MID('Key Analysis'!$C139,$A143-53,1))</f>
        <v/>
      </c>
      <c r="BE143" s="29" t="str">
        <f>IF(OR($B143="",$A143&lt;=54),"",--MID('Key Analysis'!$C139,$A143-54,1))</f>
        <v/>
      </c>
      <c r="BF143" s="29" t="str">
        <f>IF(OR($B143="",$A143&lt;=55),"",--MID('Key Analysis'!$C139,$A143-55,1))</f>
        <v/>
      </c>
      <c r="BG143" s="29" t="str">
        <f>IF(OR($B143="",$A143&lt;=56),"",--MID('Key Analysis'!$C139,$A143-56,1))</f>
        <v/>
      </c>
      <c r="BH143" s="29" t="str">
        <f>IF(OR($B143="",$A143&lt;=57),"",--MID('Key Analysis'!$C139,$A143-57,1))</f>
        <v/>
      </c>
      <c r="BI143" s="29" t="str">
        <f>IF(OR($B143="",$A143&lt;=58),"",--MID('Key Analysis'!$C139,$A143-58,1))</f>
        <v/>
      </c>
      <c r="BJ143" s="29" t="str">
        <f>IF(OR($B143="",$A143&lt;=59),"",--MID('Key Analysis'!$C139,$A143-59,1))</f>
        <v/>
      </c>
      <c r="BK143" s="29" t="str">
        <f>IF(OR($B143="",$A143&lt;=60),"",--MID('Key Analysis'!$C139,$A143-60,1))</f>
        <v/>
      </c>
      <c r="BL143" s="29" t="str">
        <f>IF(OR($B143="",$A143&lt;=61),"",--MID('Key Analysis'!$C139,$A143-61,1))</f>
        <v/>
      </c>
      <c r="BM143" s="29" t="str">
        <f>IF(OR($B143="",$A143&lt;=62),"",--MID('Key Analysis'!$C139,$A143-62,1))</f>
        <v/>
      </c>
      <c r="BN143" s="29" t="str">
        <f>IF(OR($B143="",$A143&lt;=63),"",--MID('Key Analysis'!$C139,$A143-63,1))</f>
        <v/>
      </c>
      <c r="BO143" s="29" t="str">
        <f>IF(OR($B143="",$A143&lt;=64),"",--MID('Key Analysis'!$C139,$A143-64,1))</f>
        <v/>
      </c>
      <c r="BP143" s="29" t="str">
        <f>IF(OR($B143="",$A143&lt;=65),"",--MID('Key Analysis'!$C139,$A143-65,1))</f>
        <v/>
      </c>
      <c r="BQ143" s="29" t="str">
        <f>IF(OR($B143="",$A143&lt;=66),"",--MID('Key Analysis'!$C139,$A143-66,1))</f>
        <v/>
      </c>
      <c r="BR143" s="29" t="str">
        <f>IF(OR($B143="",$A143&lt;=67),"",--MID('Key Analysis'!$C139,$A143-67,1))</f>
        <v/>
      </c>
      <c r="BS143" s="29" t="str">
        <f>IF(OR($B143="",$A143&lt;=68),"",--MID('Key Analysis'!$C139,$A143-68,1))</f>
        <v/>
      </c>
      <c r="BT143" s="29" t="str">
        <f>IF(OR($B143="",$A143&lt;=69),"",--MID('Key Analysis'!$C139,$A143-69,1))</f>
        <v/>
      </c>
      <c r="BU143" s="29" t="str">
        <f>IF(OR($B143="",$A143&lt;=70),"",--MID('Key Analysis'!$C139,$A143-70,1))</f>
        <v/>
      </c>
      <c r="BV143" s="29" t="str">
        <f>IF(OR($B143="",$A143&lt;=71),"",--MID('Key Analysis'!$C139,$A143-71,1))</f>
        <v/>
      </c>
      <c r="BW143" s="29" t="str">
        <f>IF(OR($B143="",$A143&lt;=72),"",--MID('Key Analysis'!$C139,$A143-72,1))</f>
        <v/>
      </c>
      <c r="BX143" s="29" t="str">
        <f>IF(OR($B143="",$A143&lt;=73),"",--MID('Key Analysis'!$C139,$A143-73,1))</f>
        <v/>
      </c>
      <c r="BY143" s="29" t="str">
        <f>IF(OR($B143="",$A143&lt;=74),"",--MID('Key Analysis'!$C139,$A143-74,1))</f>
        <v/>
      </c>
      <c r="BZ143" s="29" t="str">
        <f>IF(OR($B143="",$A143&lt;=75),"",--MID('Key Analysis'!$C139,$A143-75,1))</f>
        <v/>
      </c>
      <c r="CA143" s="29" t="str">
        <f>IF(OR($B143="",$A143&lt;=76),"",--MID('Key Analysis'!$C139,$A143-76,1))</f>
        <v/>
      </c>
      <c r="CB143" s="29" t="str">
        <f>IF(OR($B143="",$A143&lt;=77),"",--MID('Key Analysis'!$C139,$A143-77,1))</f>
        <v/>
      </c>
      <c r="CC143" s="29" t="str">
        <f>IF(OR($B143="",$A143&lt;=78),"",--MID('Key Analysis'!$C139,$A143-78,1))</f>
        <v/>
      </c>
      <c r="CD143" s="29" t="str">
        <f>IF(OR($B143="",$A143&lt;=79),"",--MID('Key Analysis'!$C139,$A143-79,1))</f>
        <v/>
      </c>
      <c r="CE143" s="29" t="str">
        <f>IF(OR($B143="",$A143&lt;=80),"",--MID('Key Analysis'!$C139,$A143-80,1))</f>
        <v/>
      </c>
      <c r="CF143" s="29" t="str">
        <f>IF(OR($B143="",$A143&lt;=81),"",--MID('Key Analysis'!$C139,$A143-81,1))</f>
        <v/>
      </c>
      <c r="CG143" s="29" t="str">
        <f>IF(OR($B143="",$A143&lt;=82),"",--MID('Key Analysis'!$C139,$A143-82,1))</f>
        <v/>
      </c>
      <c r="CH143" s="29" t="str">
        <f>IF(OR($B143="",$A143&lt;=83),"",--MID('Key Analysis'!$C139,$A143-83,1))</f>
        <v/>
      </c>
      <c r="CI143" s="29" t="str">
        <f>IF(OR($B143="",$A143&lt;=84),"",--MID('Key Analysis'!$C139,$A143-84,1))</f>
        <v/>
      </c>
      <c r="CJ143" s="29" t="str">
        <f>IF(OR($B143="",$A143&lt;=85),"",--MID('Key Analysis'!$C139,$A143-85,1))</f>
        <v/>
      </c>
      <c r="CK143" s="29" t="str">
        <f>IF(OR($B143="",$A143&lt;=86),"",--MID('Key Analysis'!$C139,$A143-86,1))</f>
        <v/>
      </c>
      <c r="CL143" s="29" t="str">
        <f>IF(OR($B143="",$A143&lt;=87),"",--MID('Key Analysis'!$C139,$A143-87,1))</f>
        <v/>
      </c>
      <c r="CM143" s="29" t="str">
        <f>IF(OR($B143="",$A143&lt;=88),"",--MID('Key Analysis'!$C139,$A143-88,1))</f>
        <v/>
      </c>
      <c r="CN143" s="29" t="str">
        <f>IF(OR($B143="",$A143&lt;=89),"",--MID('Key Analysis'!$C139,$A143-89,1))</f>
        <v/>
      </c>
      <c r="CO143" s="29" t="str">
        <f>IF(OR($B143="",$A143&lt;=90),"",--MID('Key Analysis'!$C139,$A143-90,1))</f>
        <v/>
      </c>
      <c r="CP143" s="29" t="str">
        <f>IF(OR($B143="",$A143&lt;=91),"",--MID('Key Analysis'!$C139,$A143-91,1))</f>
        <v/>
      </c>
      <c r="CQ143" s="29" t="str">
        <f>IF(OR($B143="",$A143&lt;=92),"",--MID('Key Analysis'!$C139,$A143-92,1))</f>
        <v/>
      </c>
      <c r="CR143" s="29" t="str">
        <f>IF(OR($B143="",$A143&lt;=93),"",--MID('Key Analysis'!$C139,$A143-93,1))</f>
        <v/>
      </c>
      <c r="CS143" s="29" t="str">
        <f>IF(OR($B143="",$A143&lt;=94),"",--MID('Key Analysis'!$C139,$A143-94,1))</f>
        <v/>
      </c>
      <c r="CT143" s="29" t="str">
        <f>IF(OR($B143="",$A143&lt;=95),"",--MID('Key Analysis'!$C139,$A143-95,1))</f>
        <v/>
      </c>
      <c r="CU143" s="29" t="str">
        <f>IF(OR($B143="",$A143&lt;=96),"",--MID('Key Analysis'!$C139,$A143-96,1))</f>
        <v/>
      </c>
      <c r="CV143" s="29" t="str">
        <f>IF(OR($B143="",$A143&lt;=97),"",--MID('Key Analysis'!$C139,$A143-97,1))</f>
        <v/>
      </c>
      <c r="CW143" s="29" t="str">
        <f>IF(OR($B143="",$A143&lt;=98),"",--MID('Key Analysis'!$C139,$A143-98,1))</f>
        <v/>
      </c>
      <c r="CX143" s="29" t="str">
        <f>IF(OR($B143="",$A143&lt;=99),"",--MID('Key Analysis'!$C139,$A143-99,1))</f>
        <v/>
      </c>
      <c r="CY143" s="29" t="str">
        <f>IF(OR($B143="",$A143&lt;=100),"",--MID('Key Analysis'!$C139,$A143-100,1))</f>
        <v/>
      </c>
      <c r="CZ143" s="29" t="str">
        <f>IF(OR($B143="",$A143&lt;=101),"",--MID('Key Analysis'!$C139,$A143-101,1))</f>
        <v/>
      </c>
      <c r="DA143" s="29" t="str">
        <f>IF(OR($B143="",$A143&lt;=102),"",--MID('Key Analysis'!$C139,$A143-102,1))</f>
        <v/>
      </c>
      <c r="DB143" s="29" t="str">
        <f>IF(OR($B143="",$A143&lt;=103),"",--MID('Key Analysis'!$C139,$A143-103,1))</f>
        <v/>
      </c>
      <c r="DC143" s="29" t="str">
        <f>IF(OR($B143="",$A143&lt;=104),"",--MID('Key Analysis'!$C139,$A143-104,1))</f>
        <v/>
      </c>
      <c r="DD143" s="29" t="str">
        <f>IF(OR($B143="",$A143&lt;=105),"",--MID('Key Analysis'!$C139,$A143-105,1))</f>
        <v/>
      </c>
      <c r="DE143" s="29" t="str">
        <f>IF(OR($B143="",$A143&lt;=106),"",--MID('Key Analysis'!$C139,$A143-106,1))</f>
        <v/>
      </c>
      <c r="DF143" s="29" t="str">
        <f>IF(OR($B143="",$A143&lt;=107),"",--MID('Key Analysis'!$C139,$A143-107,1))</f>
        <v/>
      </c>
      <c r="DG143" s="29" t="str">
        <f>IF(OR($B143="",$A143&lt;=108),"",--MID('Key Analysis'!$C139,$A143-108,1))</f>
        <v/>
      </c>
      <c r="DH143" s="29" t="str">
        <f>IF(OR($B143="",$A143&lt;=109),"",--MID('Key Analysis'!$C139,$A143-109,1))</f>
        <v/>
      </c>
      <c r="DI143" s="29" t="str">
        <f>IF(OR($B143="",$A143&lt;=110),"",--MID('Key Analysis'!$C139,$A143-110,1))</f>
        <v/>
      </c>
      <c r="DJ143" s="29" t="str">
        <f>IF(OR($B143="",$A143&lt;=111),"",--MID('Key Analysis'!$C139,$A143-111,1))</f>
        <v/>
      </c>
      <c r="DK143" s="29" t="str">
        <f>IF(OR($B143="",$A143&lt;=112),"",--MID('Key Analysis'!$C139,$A143-112,1))</f>
        <v/>
      </c>
      <c r="DL143" s="29" t="str">
        <f>IF(OR($B143="",$A143&lt;=113),"",--MID('Key Analysis'!$C139,$A143-113,1))</f>
        <v/>
      </c>
      <c r="DM143" s="29" t="str">
        <f>IF(OR($B143="",$A143&lt;=114),"",--MID('Key Analysis'!$C139,$A143-114,1))</f>
        <v/>
      </c>
      <c r="DN143" s="29" t="str">
        <f>IF(OR($B143="",$A143&lt;=115),"",--MID('Key Analysis'!$C139,$A143-115,1))</f>
        <v/>
      </c>
      <c r="DO143" s="29" t="str">
        <f>IF(OR($B143="",$A143&lt;=116),"",--MID('Key Analysis'!$C139,$A143-116,1))</f>
        <v/>
      </c>
      <c r="DP143" s="29" t="str">
        <f>IF(OR($B143="",$A143&lt;=117),"",--MID('Key Analysis'!$C139,$A143-117,1))</f>
        <v/>
      </c>
      <c r="DQ143" s="29" t="str">
        <f>IF(OR($B143="",$A143&lt;=118),"",--MID('Key Analysis'!$C139,$A143-118,1))</f>
        <v/>
      </c>
      <c r="DR143" s="29" t="str">
        <f>IF(OR($B143="",$A143&lt;=119),"",--MID('Key Analysis'!$C139,$A143-119,1))</f>
        <v/>
      </c>
      <c r="DS143" s="29" t="str">
        <f>IF(OR($B143="",$A143&lt;=120),"",--MID('Key Analysis'!$C139,$A143-120,1))</f>
        <v/>
      </c>
      <c r="DT143" s="29" t="str">
        <f>IF(OR($B143="",$A143&lt;=121),"",--MID('Key Analysis'!$C139,$A143-121,1))</f>
        <v/>
      </c>
      <c r="DU143" s="29" t="str">
        <f>IF(OR($B143="",$A143&lt;=122),"",--MID('Key Analysis'!$C139,$A143-122,1))</f>
        <v/>
      </c>
      <c r="DV143" s="29" t="str">
        <f>IF(OR($B143="",$A143&lt;=123),"",--MID('Key Analysis'!$C139,$A143-123,1))</f>
        <v/>
      </c>
      <c r="DW143" s="29" t="str">
        <f>IF(OR($B143="",$A143&lt;=124),"",--MID('Key Analysis'!$C139,$A143-124,1))</f>
        <v/>
      </c>
      <c r="DX143" s="29" t="str">
        <f>IF(OR($B143="",$A143&lt;=125),"",--MID('Key Analysis'!$C139,$A143-125,1))</f>
        <v/>
      </c>
      <c r="DY143" s="29" t="str">
        <f>IF(OR($B143="",$A143&lt;=126),"",--MID('Key Analysis'!$C139,$A143-126,1))</f>
        <v/>
      </c>
      <c r="DZ143" s="29" t="str">
        <f>IF(OR($B143="",$A143&lt;=127),"",--MID('Key Analysis'!$C139,$A143-127,1))</f>
        <v/>
      </c>
      <c r="EA143" s="29" t="str">
        <f>IF(OR($B143="",$A143&lt;=128),"",--MID('Key Analysis'!$C139,$A143-128,1))</f>
        <v/>
      </c>
      <c r="EB143" s="29" t="str">
        <f>IF(OR($B143="",$A143&lt;=129),"",--MID('Key Analysis'!$C139,$A143-129,1))</f>
        <v/>
      </c>
      <c r="EC143" s="29" t="str">
        <f>IF(OR($B143="",$A143&lt;=130),"",--MID('Key Analysis'!$C139,$A143-130,1))</f>
        <v/>
      </c>
      <c r="ED143" s="29" t="str">
        <f>IF(OR($B143="",$A143&lt;=131),"",--MID('Key Analysis'!$C139,$A143-131,1))</f>
        <v/>
      </c>
      <c r="EE143" s="29" t="str">
        <f>IF(OR($B143="",$A143&lt;=132),"",--MID('Key Analysis'!$C139,$A143-132,1))</f>
        <v/>
      </c>
      <c r="EF143" s="29" t="str">
        <f>IF(OR($B143="",$A143&lt;=133),"",--MID('Key Analysis'!$C139,$A143-133,1))</f>
        <v/>
      </c>
      <c r="EG143" s="29" t="str">
        <f>IF(OR($B143="",$A143&lt;=134),"",--MID('Key Analysis'!$C139,$A143-134,1))</f>
        <v/>
      </c>
      <c r="EH143" s="29"/>
      <c r="EI143" s="29" t="str">
        <f>IF(OR($B143="",$A143&lt;1),"",--MID('Key Analysis'!$C139,1,1))</f>
        <v/>
      </c>
      <c r="EJ143" s="29" t="str">
        <f>IF(OR($B143="",$A143&lt;2),"",--MID('Key Analysis'!$C139,2,1))</f>
        <v/>
      </c>
      <c r="EK143" s="29" t="str">
        <f>IF(OR($B143="",$A143&lt;3),"",--MID('Key Analysis'!$C139,3,1))</f>
        <v/>
      </c>
      <c r="EL143" s="29" t="str">
        <f>IF(OR($B143="",$A143&lt;4),"",--MID('Key Analysis'!$C139,4,1))</f>
        <v/>
      </c>
      <c r="EM143" s="29" t="str">
        <f>IF(OR($B143="",$A143&lt;5),"",--MID('Key Analysis'!$C139,5,1))</f>
        <v/>
      </c>
      <c r="EN143" s="29" t="str">
        <f>IF(OR($B143="",$A143&lt;6),"",--MID('Key Analysis'!$C139,6,1))</f>
        <v/>
      </c>
      <c r="EO143" s="29" t="str">
        <f>IF(OR($B143="",$A143&lt;7),"",--MID('Key Analysis'!$C139,7,1))</f>
        <v/>
      </c>
      <c r="EP143" s="29" t="str">
        <f>IF(OR($B143="",$A143&lt;8),"",--MID('Key Analysis'!$C139,8,1))</f>
        <v/>
      </c>
      <c r="EQ143" s="29" t="str">
        <f>IF(OR($B143="",$A143&lt;9),"",--MID('Key Analysis'!$C139,9,1))</f>
        <v/>
      </c>
      <c r="ER143" s="29" t="str">
        <f>IF(OR($B143="",$A143&lt;10),"",--MID('Key Analysis'!$C139,10,1))</f>
        <v/>
      </c>
      <c r="ES143" s="29" t="str">
        <f>IF(OR($B143="",$A143&lt;11),"",--MID('Key Analysis'!$C139,11,1))</f>
        <v/>
      </c>
      <c r="ET143" s="29" t="str">
        <f>IF(OR($B143="",$A143&lt;12),"",--MID('Key Analysis'!$C139,12,1))</f>
        <v/>
      </c>
      <c r="EU143" s="29" t="str">
        <f>IF(OR($B143="",$A143&lt;13),"",--MID('Key Analysis'!$C139,13,1))</f>
        <v/>
      </c>
      <c r="EV143" s="29" t="str">
        <f>IF(OR($B143="",$A143&lt;14),"",--MID('Key Analysis'!$C139,14,1))</f>
        <v/>
      </c>
      <c r="EW143" s="29" t="str">
        <f>IF(OR($B143="",$A143&lt;15),"",--MID('Key Analysis'!$C139,15,1))</f>
        <v/>
      </c>
      <c r="EX143" s="29" t="str">
        <f>IF(OR($B143="",$A143&lt;16),"",--MID('Key Analysis'!$C139,16,1))</f>
        <v/>
      </c>
      <c r="EY143" s="29" t="str">
        <f>IF(OR($B143="",$A143&lt;17),"",--MID('Key Analysis'!$C139,17,1))</f>
        <v/>
      </c>
      <c r="EZ143" s="29" t="str">
        <f>IF(OR($B143="",$A143&lt;18),"",--MID('Key Analysis'!$C139,18,1))</f>
        <v/>
      </c>
      <c r="FA143" s="29" t="str">
        <f>IF(OR($B143="",$A143&lt;19),"",--MID('Key Analysis'!$C139,19,1))</f>
        <v/>
      </c>
      <c r="FB143" s="29" t="str">
        <f>IF(OR($B143="",$A143&lt;20),"",--MID('Key Analysis'!$C139,20,1))</f>
        <v/>
      </c>
      <c r="FC143" s="29" t="str">
        <f>IF(OR($B143="",$A143&lt;21),"",--MID('Key Analysis'!$C139,21,1))</f>
        <v/>
      </c>
      <c r="FD143" s="29" t="str">
        <f>IF(OR($B143="",$A143&lt;22),"",--MID('Key Analysis'!$C139,22,1))</f>
        <v/>
      </c>
      <c r="FE143" s="29" t="str">
        <f>IF(OR($B143="",$A143&lt;23),"",--MID('Key Analysis'!$C139,23,1))</f>
        <v/>
      </c>
      <c r="FF143" s="29" t="str">
        <f>IF(OR($B143="",$A143&lt;24),"",--MID('Key Analysis'!$C139,24,1))</f>
        <v/>
      </c>
      <c r="FG143" s="29" t="str">
        <f>IF(OR($B143="",$A143&lt;25),"",--MID('Key Analysis'!$C139,25,1))</f>
        <v/>
      </c>
      <c r="FH143" s="29" t="str">
        <f>IF(OR($B143="",$A143&lt;26),"",--MID('Key Analysis'!$C139,26,1))</f>
        <v/>
      </c>
      <c r="FI143" s="29" t="str">
        <f>IF(OR($B143="",$A143&lt;27),"",--MID('Key Analysis'!$C139,27,1))</f>
        <v/>
      </c>
      <c r="FJ143" s="29" t="str">
        <f>IF(OR($B143="",$A143&lt;28),"",--MID('Key Analysis'!$C139,28,1))</f>
        <v/>
      </c>
      <c r="FK143" s="29" t="str">
        <f>IF(OR($B143="",$A143&lt;29),"",--MID('Key Analysis'!$C139,29,1))</f>
        <v/>
      </c>
      <c r="FL143" s="29" t="str">
        <f>IF(OR($B143="",$A143&lt;30),"",--MID('Key Analysis'!$C139,30,1))</f>
        <v/>
      </c>
      <c r="FM143" s="29" t="str">
        <f>IF(OR($B143="",$A143&lt;31),"",--MID('Key Analysis'!$C139,31,1))</f>
        <v/>
      </c>
      <c r="FN143" s="29" t="str">
        <f>IF(OR($B143="",$A143&lt;32),"",--MID('Key Analysis'!$C139,32,1))</f>
        <v/>
      </c>
      <c r="FO143" s="29" t="str">
        <f>IF(OR($B143="",$A143&lt;33),"",--MID('Key Analysis'!$C139,33,1))</f>
        <v/>
      </c>
      <c r="FP143" s="29" t="str">
        <f>IF(OR($B143="",$A143&lt;34),"",--MID('Key Analysis'!$C139,34,1))</f>
        <v/>
      </c>
      <c r="FQ143" s="29" t="str">
        <f>IF(OR($B143="",$A143&lt;35),"",--MID('Key Analysis'!$C139,35,1))</f>
        <v/>
      </c>
      <c r="FR143" s="29" t="str">
        <f>IF(OR($B143="",$A143&lt;36),"",--MID('Key Analysis'!$C139,36,1))</f>
        <v/>
      </c>
      <c r="FS143" s="29" t="str">
        <f>IF(OR($B143="",$A143&lt;37),"",--MID('Key Analysis'!$C139,37,1))</f>
        <v/>
      </c>
      <c r="FT143" s="29" t="str">
        <f>IF(OR($B143="",$A143&lt;38),"",--MID('Key Analysis'!$C139,38,1))</f>
        <v/>
      </c>
      <c r="FU143" s="29" t="str">
        <f>IF(OR($B143="",$A143&lt;39),"",--MID('Key Analysis'!$C139,39,1))</f>
        <v/>
      </c>
      <c r="FV143" s="29" t="str">
        <f>IF(OR($B143="",$A143&lt;40),"",--MID('Key Analysis'!$C139,40,1))</f>
        <v/>
      </c>
      <c r="FW143" s="29" t="str">
        <f>IF(OR($B143="",$A143&lt;41),"",--MID('Key Analysis'!$C139,41,1))</f>
        <v/>
      </c>
      <c r="FX143" s="29" t="str">
        <f>IF(OR($B143="",$A143&lt;42),"",--MID('Key Analysis'!$C139,42,1))</f>
        <v/>
      </c>
      <c r="FY143" s="29" t="str">
        <f>IF(OR($B143="",$A143&lt;43),"",--MID('Key Analysis'!$C139,43,1))</f>
        <v/>
      </c>
      <c r="FZ143" s="29" t="str">
        <f>IF(OR($B143="",$A143&lt;44),"",--MID('Key Analysis'!$C139,44,1))</f>
        <v/>
      </c>
      <c r="GA143" s="29" t="str">
        <f>IF(OR($B143="",$A143&lt;45),"",--MID('Key Analysis'!$C139,45,1))</f>
        <v/>
      </c>
      <c r="GB143" s="29" t="str">
        <f>IF(OR($B143="",$A143&lt;46),"",--MID('Key Analysis'!$C139,46,1))</f>
        <v/>
      </c>
      <c r="GC143" s="29" t="str">
        <f>IF(OR($B143="",$A143&lt;47),"",--MID('Key Analysis'!$C139,47,1))</f>
        <v/>
      </c>
      <c r="GD143" s="29" t="str">
        <f>IF(OR($B143="",$A143&lt;48),"",--MID('Key Analysis'!$C139,48,1))</f>
        <v/>
      </c>
      <c r="GE143" s="29" t="str">
        <f>IF(OR($B143="",$A143&lt;49),"",--MID('Key Analysis'!$C139,49,1))</f>
        <v/>
      </c>
      <c r="GF143" s="29" t="str">
        <f>IF(OR($B143="",$A143&lt;50),"",--MID('Key Analysis'!$C139,50,1))</f>
        <v/>
      </c>
      <c r="GG143" s="29" t="str">
        <f>IF(OR($B143="",$A143&lt;51),"",--MID('Key Analysis'!$C139,51,1))</f>
        <v/>
      </c>
      <c r="GH143" s="29" t="str">
        <f>IF(OR($B143="",$A143&lt;52),"",--MID('Key Analysis'!$C139,52,1))</f>
        <v/>
      </c>
      <c r="GI143" s="29" t="str">
        <f>IF(OR($B143="",$A143&lt;53),"",--MID('Key Analysis'!$C139,53,1))</f>
        <v/>
      </c>
      <c r="GJ143" s="29" t="str">
        <f>IF(OR($B143="",$A143&lt;54),"",--MID('Key Analysis'!$C139,54,1))</f>
        <v/>
      </c>
      <c r="GK143" s="29" t="str">
        <f>IF(OR($B143="",$A143&lt;55),"",--MID('Key Analysis'!$C139,55,1))</f>
        <v/>
      </c>
      <c r="GL143" s="29" t="str">
        <f>IF(OR($B143="",$A143&lt;56),"",--MID('Key Analysis'!$C139,56,1))</f>
        <v/>
      </c>
      <c r="GM143" s="29" t="str">
        <f>IF(OR($B143="",$A143&lt;57),"",--MID('Key Analysis'!$C139,57,1))</f>
        <v/>
      </c>
      <c r="GN143" s="29" t="str">
        <f>IF(OR($B143="",$A143&lt;58),"",--MID('Key Analysis'!$C139,58,1))</f>
        <v/>
      </c>
      <c r="GO143" s="29" t="str">
        <f>IF(OR($B143="",$A143&lt;59),"",--MID('Key Analysis'!$C139,59,1))</f>
        <v/>
      </c>
      <c r="GP143" s="29" t="str">
        <f>IF(OR($B143="",$A143&lt;60),"",--MID('Key Analysis'!$C139,60,1))</f>
        <v/>
      </c>
      <c r="GQ143" s="29" t="str">
        <f>IF(OR($B143="",$A143&lt;61),"",--MID('Key Analysis'!$C139,61,1))</f>
        <v/>
      </c>
      <c r="GR143" s="29" t="str">
        <f>IF(OR($B143="",$A143&lt;62),"",--MID('Key Analysis'!$C139,62,1))</f>
        <v/>
      </c>
      <c r="GS143" s="29" t="str">
        <f>IF(OR($B143="",$A143&lt;63),"",--MID('Key Analysis'!$C139,63,1))</f>
        <v/>
      </c>
      <c r="GT143" s="29" t="str">
        <f>IF(OR($B143="",$A143&lt;64),"",--MID('Key Analysis'!$C139,64,1))</f>
        <v/>
      </c>
      <c r="GU143" s="29" t="str">
        <f>IF(OR($B143="",$A143&lt;65),"",--MID('Key Analysis'!$C139,65,1))</f>
        <v/>
      </c>
      <c r="GV143" s="29" t="str">
        <f>IF(OR($B143="",$A143&lt;66),"",--MID('Key Analysis'!$C139,66,1))</f>
        <v/>
      </c>
      <c r="GW143" s="29" t="str">
        <f>IF(OR($B143="",$A143&lt;67),"",--MID('Key Analysis'!$C139,67,1))</f>
        <v/>
      </c>
      <c r="GX143" s="29" t="str">
        <f>IF(OR($B143="",$A143&lt;68),"",--MID('Key Analysis'!$C139,68,1))</f>
        <v/>
      </c>
      <c r="GY143" s="29" t="str">
        <f>IF(OR($B143="",$A143&lt;69),"",--MID('Key Analysis'!$C139,69,1))</f>
        <v/>
      </c>
      <c r="GZ143" s="29" t="str">
        <f>IF(OR($B143="",$A143&lt;70),"",--MID('Key Analysis'!$C139,70,1))</f>
        <v/>
      </c>
      <c r="HA143" s="29" t="str">
        <f>IF(OR($B143="",$A143&lt;71),"",--MID('Key Analysis'!$C139,71,1))</f>
        <v/>
      </c>
      <c r="HB143" s="29" t="str">
        <f>IF(OR($B143="",$A143&lt;72),"",--MID('Key Analysis'!$C139,72,1))</f>
        <v/>
      </c>
      <c r="HC143" s="29" t="str">
        <f>IF(OR($B143="",$A143&lt;73),"",--MID('Key Analysis'!$C139,73,1))</f>
        <v/>
      </c>
      <c r="HD143" s="29" t="str">
        <f>IF(OR($B143="",$A143&lt;74),"",--MID('Key Analysis'!$C139,74,1))</f>
        <v/>
      </c>
      <c r="HE143" s="29" t="str">
        <f>IF(OR($B143="",$A143&lt;75),"",--MID('Key Analysis'!$C139,75,1))</f>
        <v/>
      </c>
      <c r="HF143" s="29" t="str">
        <f>IF(OR($B143="",$A143&lt;76),"",--MID('Key Analysis'!$C139,76,1))</f>
        <v/>
      </c>
      <c r="HG143" s="29" t="str">
        <f>IF(OR($B143="",$A143&lt;77),"",--MID('Key Analysis'!$C139,77,1))</f>
        <v/>
      </c>
      <c r="HH143" s="29" t="str">
        <f>IF(OR($B143="",$A143&lt;78),"",--MID('Key Analysis'!$C139,78,1))</f>
        <v/>
      </c>
      <c r="HI143" s="29" t="str">
        <f>IF(OR($B143="",$A143&lt;79),"",--MID('Key Analysis'!$C139,79,1))</f>
        <v/>
      </c>
      <c r="HJ143" s="29" t="str">
        <f>IF(OR($B143="",$A143&lt;80),"",--MID('Key Analysis'!$C139,80,1))</f>
        <v/>
      </c>
      <c r="HK143" s="29" t="str">
        <f>IF(OR($B143="",$A143&lt;81),"",--MID('Key Analysis'!$C139,81,1))</f>
        <v/>
      </c>
      <c r="HL143" s="29" t="str">
        <f>IF(OR($B143="",$A143&lt;82),"",--MID('Key Analysis'!$C139,82,1))</f>
        <v/>
      </c>
      <c r="HM143" s="29" t="str">
        <f>IF(OR($B143="",$A143&lt;83),"",--MID('Key Analysis'!$C139,83,1))</f>
        <v/>
      </c>
      <c r="HN143" s="29" t="str">
        <f>IF(OR($B143="",$A143&lt;84),"",--MID('Key Analysis'!$C139,84,1))</f>
        <v/>
      </c>
      <c r="HO143" s="29" t="str">
        <f>IF(OR($B143="",$A143&lt;85),"",--MID('Key Analysis'!$C139,85,1))</f>
        <v/>
      </c>
      <c r="HP143" s="29" t="str">
        <f>IF(OR($B143="",$A143&lt;86),"",--MID('Key Analysis'!$C139,86,1))</f>
        <v/>
      </c>
      <c r="HQ143" s="29" t="str">
        <f>IF(OR($B143="",$A143&lt;87),"",--MID('Key Analysis'!$C139,87,1))</f>
        <v/>
      </c>
      <c r="HR143" s="29" t="str">
        <f>IF(OR($B143="",$A143&lt;88),"",--MID('Key Analysis'!$C139,88,1))</f>
        <v/>
      </c>
      <c r="HS143" s="29" t="str">
        <f>IF(OR($B143="",$A143&lt;89),"",--MID('Key Analysis'!$C139,89,1))</f>
        <v/>
      </c>
      <c r="HT143" s="29" t="str">
        <f>IF(OR($B143="",$A143&lt;90),"",--MID('Key Analysis'!$C139,90,1))</f>
        <v/>
      </c>
      <c r="HU143" s="29" t="str">
        <f>IF(OR($B143="",$A143&lt;91),"",--MID('Key Analysis'!$C139,91,1))</f>
        <v/>
      </c>
      <c r="HV143" s="29" t="str">
        <f>IF(OR($B143="",$A143&lt;92),"",--MID('Key Analysis'!$C139,92,1))</f>
        <v/>
      </c>
      <c r="HW143" s="29" t="str">
        <f>IF(OR($B143="",$A143&lt;93),"",--MID('Key Analysis'!$C139,93,1))</f>
        <v/>
      </c>
      <c r="HX143" s="29" t="str">
        <f>IF(OR($B143="",$A143&lt;94),"",--MID('Key Analysis'!$C139,94,1))</f>
        <v/>
      </c>
      <c r="HY143" s="29" t="str">
        <f>IF(OR($B143="",$A143&lt;95),"",--MID('Key Analysis'!$C139,95,1))</f>
        <v/>
      </c>
      <c r="HZ143" s="29" t="str">
        <f>IF(OR($B143="",$A143&lt;96),"",--MID('Key Analysis'!$C139,96,1))</f>
        <v/>
      </c>
      <c r="IA143" s="29" t="str">
        <f>IF(OR($B143="",$A143&lt;97),"",--MID('Key Analysis'!$C139,97,1))</f>
        <v/>
      </c>
      <c r="IB143" s="29" t="str">
        <f>IF(OR($B143="",$A143&lt;98),"",--MID('Key Analysis'!$C139,98,1))</f>
        <v/>
      </c>
      <c r="IC143" s="29" t="str">
        <f>IF(OR($B143="",$A143&lt;99),"",--MID('Key Analysis'!$C139,99,1))</f>
        <v/>
      </c>
      <c r="ID143" s="29" t="str">
        <f>IF(OR($B143="",$A143&lt;100),"",--MID('Key Analysis'!$C139,100,1))</f>
        <v/>
      </c>
      <c r="IE143" s="29" t="str">
        <f>IF(OR($B143="",$A143&lt;101),"",--MID('Key Analysis'!$C139,101,1))</f>
        <v/>
      </c>
      <c r="IF143" s="29" t="str">
        <f>IF(OR($B143="",$A143&lt;102),"",--MID('Key Analysis'!$C139,102,1))</f>
        <v/>
      </c>
      <c r="IG143" s="29" t="str">
        <f>IF(OR($B143="",$A143&lt;103),"",--MID('Key Analysis'!$C139,103,1))</f>
        <v/>
      </c>
      <c r="IH143" s="29" t="str">
        <f>IF(OR($B143="",$A143&lt;104),"",--MID('Key Analysis'!$C139,104,1))</f>
        <v/>
      </c>
      <c r="II143" s="29" t="str">
        <f>IF(OR($B143="",$A143&lt;105),"",--MID('Key Analysis'!$C139,105,1))</f>
        <v/>
      </c>
      <c r="IJ143" s="29" t="str">
        <f>IF(OR($B143="",$A143&lt;106),"",--MID('Key Analysis'!$C139,106,1))</f>
        <v/>
      </c>
      <c r="IK143" s="29" t="str">
        <f>IF(OR($B143="",$A143&lt;107),"",--MID('Key Analysis'!$C139,107,1))</f>
        <v/>
      </c>
      <c r="IL143" s="29" t="str">
        <f>IF(OR($B143="",$A143&lt;108),"",--MID('Key Analysis'!$C139,108,1))</f>
        <v/>
      </c>
      <c r="IM143" s="29" t="str">
        <f>IF(OR($B143="",$A143&lt;109),"",--MID('Key Analysis'!$C139,109,1))</f>
        <v/>
      </c>
      <c r="IN143" s="29" t="str">
        <f>IF(OR($B143="",$A143&lt;110),"",--MID('Key Analysis'!$C139,110,1))</f>
        <v/>
      </c>
      <c r="IO143" s="29" t="str">
        <f>IF(OR($B143="",$A143&lt;111),"",--MID('Key Analysis'!$C139,111,1))</f>
        <v/>
      </c>
      <c r="IP143" s="29" t="str">
        <f>IF(OR($B143="",$A143&lt;112),"",--MID('Key Analysis'!$C139,112,1))</f>
        <v/>
      </c>
      <c r="IQ143" s="29" t="str">
        <f>IF(OR($B143="",$A143&lt;113),"",--MID('Key Analysis'!$C139,113,1))</f>
        <v/>
      </c>
      <c r="IR143" s="29" t="str">
        <f>IF(OR($B143="",$A143&lt;114),"",--MID('Key Analysis'!$C139,114,1))</f>
        <v/>
      </c>
      <c r="IS143" s="29" t="str">
        <f>IF(OR($B143="",$A143&lt;115),"",--MID('Key Analysis'!$C139,115,1))</f>
        <v/>
      </c>
      <c r="IT143" s="29" t="str">
        <f>IF(OR($B143="",$A143&lt;116),"",--MID('Key Analysis'!$C139,116,1))</f>
        <v/>
      </c>
      <c r="IU143" s="29" t="str">
        <f>IF(OR($B143="",$A143&lt;117),"",--MID('Key Analysis'!$C139,117,1))</f>
        <v/>
      </c>
      <c r="IV143" s="29" t="str">
        <f>IF(OR($B143="",$A143&lt;118),"",--MID('Key Analysis'!$C139,118,1))</f>
        <v/>
      </c>
      <c r="IW143" s="29" t="str">
        <f>IF(OR($B143="",$A143&lt;119),"",--MID('Key Analysis'!$C139,119,1))</f>
        <v/>
      </c>
      <c r="IX143" s="29" t="str">
        <f>IF(OR($B143="",$A143&lt;120),"",--MID('Key Analysis'!$C139,120,1))</f>
        <v/>
      </c>
      <c r="IY143" s="29" t="str">
        <f>IF(OR($B143="",$A143&lt;121),"",--MID('Key Analysis'!$C139,121,1))</f>
        <v/>
      </c>
      <c r="IZ143" s="29" t="str">
        <f>IF(OR($B143="",$A143&lt;122),"",--MID('Key Analysis'!$C139,122,1))</f>
        <v/>
      </c>
      <c r="JA143" s="29" t="str">
        <f>IF(OR($B143="",$A143&lt;123),"",--MID('Key Analysis'!$C139,123,1))</f>
        <v/>
      </c>
      <c r="JB143" s="29" t="str">
        <f>IF(OR($B143="",$A143&lt;124),"",--MID('Key Analysis'!$C139,124,1))</f>
        <v/>
      </c>
      <c r="JC143" s="29" t="str">
        <f>IF(OR($B143="",$A143&lt;125),"",--MID('Key Analysis'!$C139,125,1))</f>
        <v/>
      </c>
      <c r="JD143" s="29" t="str">
        <f>IF(OR($B143="",$A143&lt;126),"",--MID('Key Analysis'!$C139,126,1))</f>
        <v/>
      </c>
      <c r="JE143" s="29" t="str">
        <f>IF(OR($B143="",$A143&lt;127),"",--MID('Key Analysis'!$C139,127,1))</f>
        <v/>
      </c>
      <c r="JF143" s="29" t="str">
        <f>IF(OR($B143="",$A143&lt;128),"",--MID('Key Analysis'!$C139,128,1))</f>
        <v/>
      </c>
      <c r="JG143" s="29" t="str">
        <f>IF(OR($B143="",$A143&lt;129),"",--MID('Key Analysis'!$C139,129,1))</f>
        <v/>
      </c>
      <c r="JH143" s="29" t="str">
        <f>IF(OR($B143="",$A143&lt;130),"",--MID('Key Analysis'!$C139,130,1))</f>
        <v/>
      </c>
      <c r="JI143" s="29" t="str">
        <f>IF(OR($B143="",$A143&lt;131),"",--MID('Key Analysis'!$C139,131,1))</f>
        <v/>
      </c>
      <c r="JJ143" s="29" t="str">
        <f>IF(OR($B143="",$A143&lt;132),"",--MID('Key Analysis'!$C139,132,1))</f>
        <v/>
      </c>
      <c r="JK143" s="29" t="str">
        <f>IF(OR($B143="",$A143&lt;133),"",--MID('Key Analysis'!$C139,133,1))</f>
        <v/>
      </c>
      <c r="JL143" s="29" t="str">
        <f>IF(OR($B143="",$A143&lt;134),"",--MID('Key Analysis'!$C139,134,1))</f>
        <v/>
      </c>
      <c r="JM143" s="29" t="str">
        <f>IF(OR($B143="",$A143&lt;135),"",--MID('Key Analysis'!$C139,135,1))</f>
        <v/>
      </c>
    </row>
    <row r="144" spans="1:273" x14ac:dyDescent="0.25">
      <c r="A144" s="21">
        <f>'Key Analysis'!A140</f>
        <v>139</v>
      </c>
      <c r="B144" s="30" t="str">
        <f>'Key Analysis'!B140</f>
        <v/>
      </c>
      <c r="C144" s="29" t="str">
        <f>IF(OR($B144="",$A144&lt;=0),"",--MID('Key Analysis'!$C140,$A144-0,1))</f>
        <v/>
      </c>
      <c r="D144" s="29" t="str">
        <f>IF(OR($B144="",$A144&lt;=1),"",--MID('Key Analysis'!$C140,$A144-1,1))</f>
        <v/>
      </c>
      <c r="E144" s="29" t="str">
        <f>IF(OR($B144="",$A144&lt;=2),"",--MID('Key Analysis'!$C140,$A144-2,1))</f>
        <v/>
      </c>
      <c r="F144" s="29" t="str">
        <f>IF(OR($B144="",$A144&lt;=3),"",--MID('Key Analysis'!$C140,$A144-3,1))</f>
        <v/>
      </c>
      <c r="G144" s="29" t="str">
        <f>IF(OR($B144="",$A144&lt;=4),"",--MID('Key Analysis'!$C140,$A144-4,1))</f>
        <v/>
      </c>
      <c r="H144" s="29" t="str">
        <f>IF(OR($B144="",$A144&lt;=5),"",--MID('Key Analysis'!$C140,$A144-5,1))</f>
        <v/>
      </c>
      <c r="I144" s="29" t="str">
        <f>IF(OR($B144="",$A144&lt;=6),"",--MID('Key Analysis'!$C140,$A144-6,1))</f>
        <v/>
      </c>
      <c r="J144" s="29" t="str">
        <f>IF(OR($B144="",$A144&lt;=7),"",--MID('Key Analysis'!$C140,$A144-7,1))</f>
        <v/>
      </c>
      <c r="K144" s="29" t="str">
        <f>IF(OR($B144="",$A144&lt;=8),"",--MID('Key Analysis'!$C140,$A144-8,1))</f>
        <v/>
      </c>
      <c r="L144" s="29" t="str">
        <f>IF(OR($B144="",$A144&lt;=9),"",--MID('Key Analysis'!$C140,$A144-9,1))</f>
        <v/>
      </c>
      <c r="M144" s="29" t="str">
        <f>IF(OR($B144="",$A144&lt;=10),"",--MID('Key Analysis'!$C140,$A144-10,1))</f>
        <v/>
      </c>
      <c r="N144" s="29" t="str">
        <f>IF(OR($B144="",$A144&lt;=11),"",--MID('Key Analysis'!$C140,$A144-11,1))</f>
        <v/>
      </c>
      <c r="O144" s="29" t="str">
        <f>IF(OR($B144="",$A144&lt;=12),"",--MID('Key Analysis'!$C140,$A144-12,1))</f>
        <v/>
      </c>
      <c r="P144" s="29" t="str">
        <f>IF(OR($B144="",$A144&lt;=13),"",--MID('Key Analysis'!$C140,$A144-13,1))</f>
        <v/>
      </c>
      <c r="Q144" s="29" t="str">
        <f>IF(OR($B144="",$A144&lt;=14),"",--MID('Key Analysis'!$C140,$A144-14,1))</f>
        <v/>
      </c>
      <c r="R144" s="29" t="str">
        <f>IF(OR($B144="",$A144&lt;=15),"",--MID('Key Analysis'!$C140,$A144-15,1))</f>
        <v/>
      </c>
      <c r="S144" s="29" t="str">
        <f>IF(OR($B144="",$A144&lt;=16),"",--MID('Key Analysis'!$C140,$A144-16,1))</f>
        <v/>
      </c>
      <c r="T144" s="29" t="str">
        <f>IF(OR($B144="",$A144&lt;=17),"",--MID('Key Analysis'!$C140,$A144-17,1))</f>
        <v/>
      </c>
      <c r="U144" s="29" t="str">
        <f>IF(OR($B144="",$A144&lt;=18),"",--MID('Key Analysis'!$C140,$A144-18,1))</f>
        <v/>
      </c>
      <c r="V144" s="29" t="str">
        <f>IF(OR($B144="",$A144&lt;=19),"",--MID('Key Analysis'!$C140,$A144-19,1))</f>
        <v/>
      </c>
      <c r="W144" s="29" t="str">
        <f>IF(OR($B144="",$A144&lt;=20),"",--MID('Key Analysis'!$C140,$A144-20,1))</f>
        <v/>
      </c>
      <c r="X144" s="29" t="str">
        <f>IF(OR($B144="",$A144&lt;=21),"",--MID('Key Analysis'!$C140,$A144-21,1))</f>
        <v/>
      </c>
      <c r="Y144" s="29" t="str">
        <f>IF(OR($B144="",$A144&lt;=22),"",--MID('Key Analysis'!$C140,$A144-22,1))</f>
        <v/>
      </c>
      <c r="Z144" s="29" t="str">
        <f>IF(OR($B144="",$A144&lt;=23),"",--MID('Key Analysis'!$C140,$A144-23,1))</f>
        <v/>
      </c>
      <c r="AA144" s="29" t="str">
        <f>IF(OR($B144="",$A144&lt;=24),"",--MID('Key Analysis'!$C140,$A144-24,1))</f>
        <v/>
      </c>
      <c r="AB144" s="29" t="str">
        <f>IF(OR($B144="",$A144&lt;=25),"",--MID('Key Analysis'!$C140,$A144-25,1))</f>
        <v/>
      </c>
      <c r="AC144" s="29" t="str">
        <f>IF(OR($B144="",$A144&lt;=26),"",--MID('Key Analysis'!$C140,$A144-26,1))</f>
        <v/>
      </c>
      <c r="AD144" s="29" t="str">
        <f>IF(OR($B144="",$A144&lt;=27),"",--MID('Key Analysis'!$C140,$A144-27,1))</f>
        <v/>
      </c>
      <c r="AE144" s="29" t="str">
        <f>IF(OR($B144="",$A144&lt;=28),"",--MID('Key Analysis'!$C140,$A144-28,1))</f>
        <v/>
      </c>
      <c r="AF144" s="29" t="str">
        <f>IF(OR($B144="",$A144&lt;=29),"",--MID('Key Analysis'!$C140,$A144-29,1))</f>
        <v/>
      </c>
      <c r="AG144" s="29" t="str">
        <f>IF(OR($B144="",$A144&lt;=30),"",--MID('Key Analysis'!$C140,$A144-30,1))</f>
        <v/>
      </c>
      <c r="AH144" s="29" t="str">
        <f>IF(OR($B144="",$A144&lt;=31),"",--MID('Key Analysis'!$C140,$A144-31,1))</f>
        <v/>
      </c>
      <c r="AI144" s="29" t="str">
        <f>IF(OR($B144="",$A144&lt;=32),"",--MID('Key Analysis'!$C140,$A144-32,1))</f>
        <v/>
      </c>
      <c r="AJ144" s="29" t="str">
        <f>IF(OR($B144="",$A144&lt;=33),"",--MID('Key Analysis'!$C140,$A144-33,1))</f>
        <v/>
      </c>
      <c r="AK144" s="29" t="str">
        <f>IF(OR($B144="",$A144&lt;=34),"",--MID('Key Analysis'!$C140,$A144-34,1))</f>
        <v/>
      </c>
      <c r="AL144" s="29" t="str">
        <f>IF(OR($B144="",$A144&lt;=35),"",--MID('Key Analysis'!$C140,$A144-35,1))</f>
        <v/>
      </c>
      <c r="AM144" s="29" t="str">
        <f>IF(OR($B144="",$A144&lt;=36),"",--MID('Key Analysis'!$C140,$A144-36,1))</f>
        <v/>
      </c>
      <c r="AN144" s="29" t="str">
        <f>IF(OR($B144="",$A144&lt;=37),"",--MID('Key Analysis'!$C140,$A144-37,1))</f>
        <v/>
      </c>
      <c r="AO144" s="29" t="str">
        <f>IF(OR($B144="",$A144&lt;=38),"",--MID('Key Analysis'!$C140,$A144-38,1))</f>
        <v/>
      </c>
      <c r="AP144" s="29" t="str">
        <f>IF(OR($B144="",$A144&lt;=39),"",--MID('Key Analysis'!$C140,$A144-39,1))</f>
        <v/>
      </c>
      <c r="AQ144" s="29" t="str">
        <f>IF(OR($B144="",$A144&lt;=40),"",--MID('Key Analysis'!$C140,$A144-40,1))</f>
        <v/>
      </c>
      <c r="AR144" s="29" t="str">
        <f>IF(OR($B144="",$A144&lt;=41),"",--MID('Key Analysis'!$C140,$A144-41,1))</f>
        <v/>
      </c>
      <c r="AS144" s="29" t="str">
        <f>IF(OR($B144="",$A144&lt;=42),"",--MID('Key Analysis'!$C140,$A144-42,1))</f>
        <v/>
      </c>
      <c r="AT144" s="29" t="str">
        <f>IF(OR($B144="",$A144&lt;=43),"",--MID('Key Analysis'!$C140,$A144-43,1))</f>
        <v/>
      </c>
      <c r="AU144" s="29" t="str">
        <f>IF(OR($B144="",$A144&lt;=44),"",--MID('Key Analysis'!$C140,$A144-44,1))</f>
        <v/>
      </c>
      <c r="AV144" s="29" t="str">
        <f>IF(OR($B144="",$A144&lt;=45),"",--MID('Key Analysis'!$C140,$A144-45,1))</f>
        <v/>
      </c>
      <c r="AW144" s="29" t="str">
        <f>IF(OR($B144="",$A144&lt;=46),"",--MID('Key Analysis'!$C140,$A144-46,1))</f>
        <v/>
      </c>
      <c r="AX144" s="29" t="str">
        <f>IF(OR($B144="",$A144&lt;=47),"",--MID('Key Analysis'!$C140,$A144-47,1))</f>
        <v/>
      </c>
      <c r="AY144" s="29" t="str">
        <f>IF(OR($B144="",$A144&lt;=48),"",--MID('Key Analysis'!$C140,$A144-48,1))</f>
        <v/>
      </c>
      <c r="AZ144" s="29" t="str">
        <f>IF(OR($B144="",$A144&lt;=49),"",--MID('Key Analysis'!$C140,$A144-49,1))</f>
        <v/>
      </c>
      <c r="BA144" s="29" t="str">
        <f>IF(OR($B144="",$A144&lt;=50),"",--MID('Key Analysis'!$C140,$A144-50,1))</f>
        <v/>
      </c>
      <c r="BB144" s="29" t="str">
        <f>IF(OR($B144="",$A144&lt;=51),"",--MID('Key Analysis'!$C140,$A144-51,1))</f>
        <v/>
      </c>
      <c r="BC144" s="29" t="str">
        <f>IF(OR($B144="",$A144&lt;=52),"",--MID('Key Analysis'!$C140,$A144-52,1))</f>
        <v/>
      </c>
      <c r="BD144" s="29" t="str">
        <f>IF(OR($B144="",$A144&lt;=53),"",--MID('Key Analysis'!$C140,$A144-53,1))</f>
        <v/>
      </c>
      <c r="BE144" s="29" t="str">
        <f>IF(OR($B144="",$A144&lt;=54),"",--MID('Key Analysis'!$C140,$A144-54,1))</f>
        <v/>
      </c>
      <c r="BF144" s="29" t="str">
        <f>IF(OR($B144="",$A144&lt;=55),"",--MID('Key Analysis'!$C140,$A144-55,1))</f>
        <v/>
      </c>
      <c r="BG144" s="29" t="str">
        <f>IF(OR($B144="",$A144&lt;=56),"",--MID('Key Analysis'!$C140,$A144-56,1))</f>
        <v/>
      </c>
      <c r="BH144" s="29" t="str">
        <f>IF(OR($B144="",$A144&lt;=57),"",--MID('Key Analysis'!$C140,$A144-57,1))</f>
        <v/>
      </c>
      <c r="BI144" s="29" t="str">
        <f>IF(OR($B144="",$A144&lt;=58),"",--MID('Key Analysis'!$C140,$A144-58,1))</f>
        <v/>
      </c>
      <c r="BJ144" s="29" t="str">
        <f>IF(OR($B144="",$A144&lt;=59),"",--MID('Key Analysis'!$C140,$A144-59,1))</f>
        <v/>
      </c>
      <c r="BK144" s="29" t="str">
        <f>IF(OR($B144="",$A144&lt;=60),"",--MID('Key Analysis'!$C140,$A144-60,1))</f>
        <v/>
      </c>
      <c r="BL144" s="29" t="str">
        <f>IF(OR($B144="",$A144&lt;=61),"",--MID('Key Analysis'!$C140,$A144-61,1))</f>
        <v/>
      </c>
      <c r="BM144" s="29" t="str">
        <f>IF(OR($B144="",$A144&lt;=62),"",--MID('Key Analysis'!$C140,$A144-62,1))</f>
        <v/>
      </c>
      <c r="BN144" s="29" t="str">
        <f>IF(OR($B144="",$A144&lt;=63),"",--MID('Key Analysis'!$C140,$A144-63,1))</f>
        <v/>
      </c>
      <c r="BO144" s="29" t="str">
        <f>IF(OR($B144="",$A144&lt;=64),"",--MID('Key Analysis'!$C140,$A144-64,1))</f>
        <v/>
      </c>
      <c r="BP144" s="29" t="str">
        <f>IF(OR($B144="",$A144&lt;=65),"",--MID('Key Analysis'!$C140,$A144-65,1))</f>
        <v/>
      </c>
      <c r="BQ144" s="29" t="str">
        <f>IF(OR($B144="",$A144&lt;=66),"",--MID('Key Analysis'!$C140,$A144-66,1))</f>
        <v/>
      </c>
      <c r="BR144" s="29" t="str">
        <f>IF(OR($B144="",$A144&lt;=67),"",--MID('Key Analysis'!$C140,$A144-67,1))</f>
        <v/>
      </c>
      <c r="BS144" s="29" t="str">
        <f>IF(OR($B144="",$A144&lt;=68),"",--MID('Key Analysis'!$C140,$A144-68,1))</f>
        <v/>
      </c>
      <c r="BT144" s="29" t="str">
        <f>IF(OR($B144="",$A144&lt;=69),"",--MID('Key Analysis'!$C140,$A144-69,1))</f>
        <v/>
      </c>
      <c r="BU144" s="29" t="str">
        <f>IF(OR($B144="",$A144&lt;=70),"",--MID('Key Analysis'!$C140,$A144-70,1))</f>
        <v/>
      </c>
      <c r="BV144" s="29" t="str">
        <f>IF(OR($B144="",$A144&lt;=71),"",--MID('Key Analysis'!$C140,$A144-71,1))</f>
        <v/>
      </c>
      <c r="BW144" s="29" t="str">
        <f>IF(OR($B144="",$A144&lt;=72),"",--MID('Key Analysis'!$C140,$A144-72,1))</f>
        <v/>
      </c>
      <c r="BX144" s="29" t="str">
        <f>IF(OR($B144="",$A144&lt;=73),"",--MID('Key Analysis'!$C140,$A144-73,1))</f>
        <v/>
      </c>
      <c r="BY144" s="29" t="str">
        <f>IF(OR($B144="",$A144&lt;=74),"",--MID('Key Analysis'!$C140,$A144-74,1))</f>
        <v/>
      </c>
      <c r="BZ144" s="29" t="str">
        <f>IF(OR($B144="",$A144&lt;=75),"",--MID('Key Analysis'!$C140,$A144-75,1))</f>
        <v/>
      </c>
      <c r="CA144" s="29" t="str">
        <f>IF(OR($B144="",$A144&lt;=76),"",--MID('Key Analysis'!$C140,$A144-76,1))</f>
        <v/>
      </c>
      <c r="CB144" s="29" t="str">
        <f>IF(OR($B144="",$A144&lt;=77),"",--MID('Key Analysis'!$C140,$A144-77,1))</f>
        <v/>
      </c>
      <c r="CC144" s="29" t="str">
        <f>IF(OR($B144="",$A144&lt;=78),"",--MID('Key Analysis'!$C140,$A144-78,1))</f>
        <v/>
      </c>
      <c r="CD144" s="29" t="str">
        <f>IF(OR($B144="",$A144&lt;=79),"",--MID('Key Analysis'!$C140,$A144-79,1))</f>
        <v/>
      </c>
      <c r="CE144" s="29" t="str">
        <f>IF(OR($B144="",$A144&lt;=80),"",--MID('Key Analysis'!$C140,$A144-80,1))</f>
        <v/>
      </c>
      <c r="CF144" s="29" t="str">
        <f>IF(OR($B144="",$A144&lt;=81),"",--MID('Key Analysis'!$C140,$A144-81,1))</f>
        <v/>
      </c>
      <c r="CG144" s="29" t="str">
        <f>IF(OR($B144="",$A144&lt;=82),"",--MID('Key Analysis'!$C140,$A144-82,1))</f>
        <v/>
      </c>
      <c r="CH144" s="29" t="str">
        <f>IF(OR($B144="",$A144&lt;=83),"",--MID('Key Analysis'!$C140,$A144-83,1))</f>
        <v/>
      </c>
      <c r="CI144" s="29" t="str">
        <f>IF(OR($B144="",$A144&lt;=84),"",--MID('Key Analysis'!$C140,$A144-84,1))</f>
        <v/>
      </c>
      <c r="CJ144" s="29" t="str">
        <f>IF(OR($B144="",$A144&lt;=85),"",--MID('Key Analysis'!$C140,$A144-85,1))</f>
        <v/>
      </c>
      <c r="CK144" s="29" t="str">
        <f>IF(OR($B144="",$A144&lt;=86),"",--MID('Key Analysis'!$C140,$A144-86,1))</f>
        <v/>
      </c>
      <c r="CL144" s="29" t="str">
        <f>IF(OR($B144="",$A144&lt;=87),"",--MID('Key Analysis'!$C140,$A144-87,1))</f>
        <v/>
      </c>
      <c r="CM144" s="29" t="str">
        <f>IF(OR($B144="",$A144&lt;=88),"",--MID('Key Analysis'!$C140,$A144-88,1))</f>
        <v/>
      </c>
      <c r="CN144" s="29" t="str">
        <f>IF(OR($B144="",$A144&lt;=89),"",--MID('Key Analysis'!$C140,$A144-89,1))</f>
        <v/>
      </c>
      <c r="CO144" s="29" t="str">
        <f>IF(OR($B144="",$A144&lt;=90),"",--MID('Key Analysis'!$C140,$A144-90,1))</f>
        <v/>
      </c>
      <c r="CP144" s="29" t="str">
        <f>IF(OR($B144="",$A144&lt;=91),"",--MID('Key Analysis'!$C140,$A144-91,1))</f>
        <v/>
      </c>
      <c r="CQ144" s="29" t="str">
        <f>IF(OR($B144="",$A144&lt;=92),"",--MID('Key Analysis'!$C140,$A144-92,1))</f>
        <v/>
      </c>
      <c r="CR144" s="29" t="str">
        <f>IF(OR($B144="",$A144&lt;=93),"",--MID('Key Analysis'!$C140,$A144-93,1))</f>
        <v/>
      </c>
      <c r="CS144" s="29" t="str">
        <f>IF(OR($B144="",$A144&lt;=94),"",--MID('Key Analysis'!$C140,$A144-94,1))</f>
        <v/>
      </c>
      <c r="CT144" s="29" t="str">
        <f>IF(OR($B144="",$A144&lt;=95),"",--MID('Key Analysis'!$C140,$A144-95,1))</f>
        <v/>
      </c>
      <c r="CU144" s="29" t="str">
        <f>IF(OR($B144="",$A144&lt;=96),"",--MID('Key Analysis'!$C140,$A144-96,1))</f>
        <v/>
      </c>
      <c r="CV144" s="29" t="str">
        <f>IF(OR($B144="",$A144&lt;=97),"",--MID('Key Analysis'!$C140,$A144-97,1))</f>
        <v/>
      </c>
      <c r="CW144" s="29" t="str">
        <f>IF(OR($B144="",$A144&lt;=98),"",--MID('Key Analysis'!$C140,$A144-98,1))</f>
        <v/>
      </c>
      <c r="CX144" s="29" t="str">
        <f>IF(OR($B144="",$A144&lt;=99),"",--MID('Key Analysis'!$C140,$A144-99,1))</f>
        <v/>
      </c>
      <c r="CY144" s="29" t="str">
        <f>IF(OR($B144="",$A144&lt;=100),"",--MID('Key Analysis'!$C140,$A144-100,1))</f>
        <v/>
      </c>
      <c r="CZ144" s="29" t="str">
        <f>IF(OR($B144="",$A144&lt;=101),"",--MID('Key Analysis'!$C140,$A144-101,1))</f>
        <v/>
      </c>
      <c r="DA144" s="29" t="str">
        <f>IF(OR($B144="",$A144&lt;=102),"",--MID('Key Analysis'!$C140,$A144-102,1))</f>
        <v/>
      </c>
      <c r="DB144" s="29" t="str">
        <f>IF(OR($B144="",$A144&lt;=103),"",--MID('Key Analysis'!$C140,$A144-103,1))</f>
        <v/>
      </c>
      <c r="DC144" s="29" t="str">
        <f>IF(OR($B144="",$A144&lt;=104),"",--MID('Key Analysis'!$C140,$A144-104,1))</f>
        <v/>
      </c>
      <c r="DD144" s="29" t="str">
        <f>IF(OR($B144="",$A144&lt;=105),"",--MID('Key Analysis'!$C140,$A144-105,1))</f>
        <v/>
      </c>
      <c r="DE144" s="29" t="str">
        <f>IF(OR($B144="",$A144&lt;=106),"",--MID('Key Analysis'!$C140,$A144-106,1))</f>
        <v/>
      </c>
      <c r="DF144" s="29" t="str">
        <f>IF(OR($B144="",$A144&lt;=107),"",--MID('Key Analysis'!$C140,$A144-107,1))</f>
        <v/>
      </c>
      <c r="DG144" s="29" t="str">
        <f>IF(OR($B144="",$A144&lt;=108),"",--MID('Key Analysis'!$C140,$A144-108,1))</f>
        <v/>
      </c>
      <c r="DH144" s="29" t="str">
        <f>IF(OR($B144="",$A144&lt;=109),"",--MID('Key Analysis'!$C140,$A144-109,1))</f>
        <v/>
      </c>
      <c r="DI144" s="29" t="str">
        <f>IF(OR($B144="",$A144&lt;=110),"",--MID('Key Analysis'!$C140,$A144-110,1))</f>
        <v/>
      </c>
      <c r="DJ144" s="29" t="str">
        <f>IF(OR($B144="",$A144&lt;=111),"",--MID('Key Analysis'!$C140,$A144-111,1))</f>
        <v/>
      </c>
      <c r="DK144" s="29" t="str">
        <f>IF(OR($B144="",$A144&lt;=112),"",--MID('Key Analysis'!$C140,$A144-112,1))</f>
        <v/>
      </c>
      <c r="DL144" s="29" t="str">
        <f>IF(OR($B144="",$A144&lt;=113),"",--MID('Key Analysis'!$C140,$A144-113,1))</f>
        <v/>
      </c>
      <c r="DM144" s="29" t="str">
        <f>IF(OR($B144="",$A144&lt;=114),"",--MID('Key Analysis'!$C140,$A144-114,1))</f>
        <v/>
      </c>
      <c r="DN144" s="29" t="str">
        <f>IF(OR($B144="",$A144&lt;=115),"",--MID('Key Analysis'!$C140,$A144-115,1))</f>
        <v/>
      </c>
      <c r="DO144" s="29" t="str">
        <f>IF(OR($B144="",$A144&lt;=116),"",--MID('Key Analysis'!$C140,$A144-116,1))</f>
        <v/>
      </c>
      <c r="DP144" s="29" t="str">
        <f>IF(OR($B144="",$A144&lt;=117),"",--MID('Key Analysis'!$C140,$A144-117,1))</f>
        <v/>
      </c>
      <c r="DQ144" s="29" t="str">
        <f>IF(OR($B144="",$A144&lt;=118),"",--MID('Key Analysis'!$C140,$A144-118,1))</f>
        <v/>
      </c>
      <c r="DR144" s="29" t="str">
        <f>IF(OR($B144="",$A144&lt;=119),"",--MID('Key Analysis'!$C140,$A144-119,1))</f>
        <v/>
      </c>
      <c r="DS144" s="29" t="str">
        <f>IF(OR($B144="",$A144&lt;=120),"",--MID('Key Analysis'!$C140,$A144-120,1))</f>
        <v/>
      </c>
      <c r="DT144" s="29" t="str">
        <f>IF(OR($B144="",$A144&lt;=121),"",--MID('Key Analysis'!$C140,$A144-121,1))</f>
        <v/>
      </c>
      <c r="DU144" s="29" t="str">
        <f>IF(OR($B144="",$A144&lt;=122),"",--MID('Key Analysis'!$C140,$A144-122,1))</f>
        <v/>
      </c>
      <c r="DV144" s="29" t="str">
        <f>IF(OR($B144="",$A144&lt;=123),"",--MID('Key Analysis'!$C140,$A144-123,1))</f>
        <v/>
      </c>
      <c r="DW144" s="29" t="str">
        <f>IF(OR($B144="",$A144&lt;=124),"",--MID('Key Analysis'!$C140,$A144-124,1))</f>
        <v/>
      </c>
      <c r="DX144" s="29" t="str">
        <f>IF(OR($B144="",$A144&lt;=125),"",--MID('Key Analysis'!$C140,$A144-125,1))</f>
        <v/>
      </c>
      <c r="DY144" s="29" t="str">
        <f>IF(OR($B144="",$A144&lt;=126),"",--MID('Key Analysis'!$C140,$A144-126,1))</f>
        <v/>
      </c>
      <c r="DZ144" s="29" t="str">
        <f>IF(OR($B144="",$A144&lt;=127),"",--MID('Key Analysis'!$C140,$A144-127,1))</f>
        <v/>
      </c>
      <c r="EA144" s="29" t="str">
        <f>IF(OR($B144="",$A144&lt;=128),"",--MID('Key Analysis'!$C140,$A144-128,1))</f>
        <v/>
      </c>
      <c r="EB144" s="29" t="str">
        <f>IF(OR($B144="",$A144&lt;=129),"",--MID('Key Analysis'!$C140,$A144-129,1))</f>
        <v/>
      </c>
      <c r="EC144" s="29" t="str">
        <f>IF(OR($B144="",$A144&lt;=130),"",--MID('Key Analysis'!$C140,$A144-130,1))</f>
        <v/>
      </c>
      <c r="ED144" s="29" t="str">
        <f>IF(OR($B144="",$A144&lt;=131),"",--MID('Key Analysis'!$C140,$A144-131,1))</f>
        <v/>
      </c>
      <c r="EE144" s="29" t="str">
        <f>IF(OR($B144="",$A144&lt;=132),"",--MID('Key Analysis'!$C140,$A144-132,1))</f>
        <v/>
      </c>
      <c r="EF144" s="29" t="str">
        <f>IF(OR($B144="",$A144&lt;=133),"",--MID('Key Analysis'!$C140,$A144-133,1))</f>
        <v/>
      </c>
      <c r="EG144" s="29" t="str">
        <f>IF(OR($B144="",$A144&lt;=134),"",--MID('Key Analysis'!$C140,$A144-134,1))</f>
        <v/>
      </c>
      <c r="EH144" s="29"/>
      <c r="EI144" s="29" t="str">
        <f>IF(OR($B144="",$A144&lt;1),"",--MID('Key Analysis'!$C140,1,1))</f>
        <v/>
      </c>
      <c r="EJ144" s="29" t="str">
        <f>IF(OR($B144="",$A144&lt;2),"",--MID('Key Analysis'!$C140,2,1))</f>
        <v/>
      </c>
      <c r="EK144" s="29" t="str">
        <f>IF(OR($B144="",$A144&lt;3),"",--MID('Key Analysis'!$C140,3,1))</f>
        <v/>
      </c>
      <c r="EL144" s="29" t="str">
        <f>IF(OR($B144="",$A144&lt;4),"",--MID('Key Analysis'!$C140,4,1))</f>
        <v/>
      </c>
      <c r="EM144" s="29" t="str">
        <f>IF(OR($B144="",$A144&lt;5),"",--MID('Key Analysis'!$C140,5,1))</f>
        <v/>
      </c>
      <c r="EN144" s="29" t="str">
        <f>IF(OR($B144="",$A144&lt;6),"",--MID('Key Analysis'!$C140,6,1))</f>
        <v/>
      </c>
      <c r="EO144" s="29" t="str">
        <f>IF(OR($B144="",$A144&lt;7),"",--MID('Key Analysis'!$C140,7,1))</f>
        <v/>
      </c>
      <c r="EP144" s="29" t="str">
        <f>IF(OR($B144="",$A144&lt;8),"",--MID('Key Analysis'!$C140,8,1))</f>
        <v/>
      </c>
      <c r="EQ144" s="29" t="str">
        <f>IF(OR($B144="",$A144&lt;9),"",--MID('Key Analysis'!$C140,9,1))</f>
        <v/>
      </c>
      <c r="ER144" s="29" t="str">
        <f>IF(OR($B144="",$A144&lt;10),"",--MID('Key Analysis'!$C140,10,1))</f>
        <v/>
      </c>
      <c r="ES144" s="29" t="str">
        <f>IF(OR($B144="",$A144&lt;11),"",--MID('Key Analysis'!$C140,11,1))</f>
        <v/>
      </c>
      <c r="ET144" s="29" t="str">
        <f>IF(OR($B144="",$A144&lt;12),"",--MID('Key Analysis'!$C140,12,1))</f>
        <v/>
      </c>
      <c r="EU144" s="29" t="str">
        <f>IF(OR($B144="",$A144&lt;13),"",--MID('Key Analysis'!$C140,13,1))</f>
        <v/>
      </c>
      <c r="EV144" s="29" t="str">
        <f>IF(OR($B144="",$A144&lt;14),"",--MID('Key Analysis'!$C140,14,1))</f>
        <v/>
      </c>
      <c r="EW144" s="29" t="str">
        <f>IF(OR($B144="",$A144&lt;15),"",--MID('Key Analysis'!$C140,15,1))</f>
        <v/>
      </c>
      <c r="EX144" s="29" t="str">
        <f>IF(OR($B144="",$A144&lt;16),"",--MID('Key Analysis'!$C140,16,1))</f>
        <v/>
      </c>
      <c r="EY144" s="29" t="str">
        <f>IF(OR($B144="",$A144&lt;17),"",--MID('Key Analysis'!$C140,17,1))</f>
        <v/>
      </c>
      <c r="EZ144" s="29" t="str">
        <f>IF(OR($B144="",$A144&lt;18),"",--MID('Key Analysis'!$C140,18,1))</f>
        <v/>
      </c>
      <c r="FA144" s="29" t="str">
        <f>IF(OR($B144="",$A144&lt;19),"",--MID('Key Analysis'!$C140,19,1))</f>
        <v/>
      </c>
      <c r="FB144" s="29" t="str">
        <f>IF(OR($B144="",$A144&lt;20),"",--MID('Key Analysis'!$C140,20,1))</f>
        <v/>
      </c>
      <c r="FC144" s="29" t="str">
        <f>IF(OR($B144="",$A144&lt;21),"",--MID('Key Analysis'!$C140,21,1))</f>
        <v/>
      </c>
      <c r="FD144" s="29" t="str">
        <f>IF(OR($B144="",$A144&lt;22),"",--MID('Key Analysis'!$C140,22,1))</f>
        <v/>
      </c>
      <c r="FE144" s="29" t="str">
        <f>IF(OR($B144="",$A144&lt;23),"",--MID('Key Analysis'!$C140,23,1))</f>
        <v/>
      </c>
      <c r="FF144" s="29" t="str">
        <f>IF(OR($B144="",$A144&lt;24),"",--MID('Key Analysis'!$C140,24,1))</f>
        <v/>
      </c>
      <c r="FG144" s="29" t="str">
        <f>IF(OR($B144="",$A144&lt;25),"",--MID('Key Analysis'!$C140,25,1))</f>
        <v/>
      </c>
      <c r="FH144" s="29" t="str">
        <f>IF(OR($B144="",$A144&lt;26),"",--MID('Key Analysis'!$C140,26,1))</f>
        <v/>
      </c>
      <c r="FI144" s="29" t="str">
        <f>IF(OR($B144="",$A144&lt;27),"",--MID('Key Analysis'!$C140,27,1))</f>
        <v/>
      </c>
      <c r="FJ144" s="29" t="str">
        <f>IF(OR($B144="",$A144&lt;28),"",--MID('Key Analysis'!$C140,28,1))</f>
        <v/>
      </c>
      <c r="FK144" s="29" t="str">
        <f>IF(OR($B144="",$A144&lt;29),"",--MID('Key Analysis'!$C140,29,1))</f>
        <v/>
      </c>
      <c r="FL144" s="29" t="str">
        <f>IF(OR($B144="",$A144&lt;30),"",--MID('Key Analysis'!$C140,30,1))</f>
        <v/>
      </c>
      <c r="FM144" s="29" t="str">
        <f>IF(OR($B144="",$A144&lt;31),"",--MID('Key Analysis'!$C140,31,1))</f>
        <v/>
      </c>
      <c r="FN144" s="29" t="str">
        <f>IF(OR($B144="",$A144&lt;32),"",--MID('Key Analysis'!$C140,32,1))</f>
        <v/>
      </c>
      <c r="FO144" s="29" t="str">
        <f>IF(OR($B144="",$A144&lt;33),"",--MID('Key Analysis'!$C140,33,1))</f>
        <v/>
      </c>
      <c r="FP144" s="29" t="str">
        <f>IF(OR($B144="",$A144&lt;34),"",--MID('Key Analysis'!$C140,34,1))</f>
        <v/>
      </c>
      <c r="FQ144" s="29" t="str">
        <f>IF(OR($B144="",$A144&lt;35),"",--MID('Key Analysis'!$C140,35,1))</f>
        <v/>
      </c>
      <c r="FR144" s="29" t="str">
        <f>IF(OR($B144="",$A144&lt;36),"",--MID('Key Analysis'!$C140,36,1))</f>
        <v/>
      </c>
      <c r="FS144" s="29" t="str">
        <f>IF(OR($B144="",$A144&lt;37),"",--MID('Key Analysis'!$C140,37,1))</f>
        <v/>
      </c>
      <c r="FT144" s="29" t="str">
        <f>IF(OR($B144="",$A144&lt;38),"",--MID('Key Analysis'!$C140,38,1))</f>
        <v/>
      </c>
      <c r="FU144" s="29" t="str">
        <f>IF(OR($B144="",$A144&lt;39),"",--MID('Key Analysis'!$C140,39,1))</f>
        <v/>
      </c>
      <c r="FV144" s="29" t="str">
        <f>IF(OR($B144="",$A144&lt;40),"",--MID('Key Analysis'!$C140,40,1))</f>
        <v/>
      </c>
      <c r="FW144" s="29" t="str">
        <f>IF(OR($B144="",$A144&lt;41),"",--MID('Key Analysis'!$C140,41,1))</f>
        <v/>
      </c>
      <c r="FX144" s="29" t="str">
        <f>IF(OR($B144="",$A144&lt;42),"",--MID('Key Analysis'!$C140,42,1))</f>
        <v/>
      </c>
      <c r="FY144" s="29" t="str">
        <f>IF(OR($B144="",$A144&lt;43),"",--MID('Key Analysis'!$C140,43,1))</f>
        <v/>
      </c>
      <c r="FZ144" s="29" t="str">
        <f>IF(OR($B144="",$A144&lt;44),"",--MID('Key Analysis'!$C140,44,1))</f>
        <v/>
      </c>
      <c r="GA144" s="29" t="str">
        <f>IF(OR($B144="",$A144&lt;45),"",--MID('Key Analysis'!$C140,45,1))</f>
        <v/>
      </c>
      <c r="GB144" s="29" t="str">
        <f>IF(OR($B144="",$A144&lt;46),"",--MID('Key Analysis'!$C140,46,1))</f>
        <v/>
      </c>
      <c r="GC144" s="29" t="str">
        <f>IF(OR($B144="",$A144&lt;47),"",--MID('Key Analysis'!$C140,47,1))</f>
        <v/>
      </c>
      <c r="GD144" s="29" t="str">
        <f>IF(OR($B144="",$A144&lt;48),"",--MID('Key Analysis'!$C140,48,1))</f>
        <v/>
      </c>
      <c r="GE144" s="29" t="str">
        <f>IF(OR($B144="",$A144&lt;49),"",--MID('Key Analysis'!$C140,49,1))</f>
        <v/>
      </c>
      <c r="GF144" s="29" t="str">
        <f>IF(OR($B144="",$A144&lt;50),"",--MID('Key Analysis'!$C140,50,1))</f>
        <v/>
      </c>
      <c r="GG144" s="29" t="str">
        <f>IF(OR($B144="",$A144&lt;51),"",--MID('Key Analysis'!$C140,51,1))</f>
        <v/>
      </c>
      <c r="GH144" s="29" t="str">
        <f>IF(OR($B144="",$A144&lt;52),"",--MID('Key Analysis'!$C140,52,1))</f>
        <v/>
      </c>
      <c r="GI144" s="29" t="str">
        <f>IF(OR($B144="",$A144&lt;53),"",--MID('Key Analysis'!$C140,53,1))</f>
        <v/>
      </c>
      <c r="GJ144" s="29" t="str">
        <f>IF(OR($B144="",$A144&lt;54),"",--MID('Key Analysis'!$C140,54,1))</f>
        <v/>
      </c>
      <c r="GK144" s="29" t="str">
        <f>IF(OR($B144="",$A144&lt;55),"",--MID('Key Analysis'!$C140,55,1))</f>
        <v/>
      </c>
      <c r="GL144" s="29" t="str">
        <f>IF(OR($B144="",$A144&lt;56),"",--MID('Key Analysis'!$C140,56,1))</f>
        <v/>
      </c>
      <c r="GM144" s="29" t="str">
        <f>IF(OR($B144="",$A144&lt;57),"",--MID('Key Analysis'!$C140,57,1))</f>
        <v/>
      </c>
      <c r="GN144" s="29" t="str">
        <f>IF(OR($B144="",$A144&lt;58),"",--MID('Key Analysis'!$C140,58,1))</f>
        <v/>
      </c>
      <c r="GO144" s="29" t="str">
        <f>IF(OR($B144="",$A144&lt;59),"",--MID('Key Analysis'!$C140,59,1))</f>
        <v/>
      </c>
      <c r="GP144" s="29" t="str">
        <f>IF(OR($B144="",$A144&lt;60),"",--MID('Key Analysis'!$C140,60,1))</f>
        <v/>
      </c>
      <c r="GQ144" s="29" t="str">
        <f>IF(OR($B144="",$A144&lt;61),"",--MID('Key Analysis'!$C140,61,1))</f>
        <v/>
      </c>
      <c r="GR144" s="29" t="str">
        <f>IF(OR($B144="",$A144&lt;62),"",--MID('Key Analysis'!$C140,62,1))</f>
        <v/>
      </c>
      <c r="GS144" s="29" t="str">
        <f>IF(OR($B144="",$A144&lt;63),"",--MID('Key Analysis'!$C140,63,1))</f>
        <v/>
      </c>
      <c r="GT144" s="29" t="str">
        <f>IF(OR($B144="",$A144&lt;64),"",--MID('Key Analysis'!$C140,64,1))</f>
        <v/>
      </c>
      <c r="GU144" s="29" t="str">
        <f>IF(OR($B144="",$A144&lt;65),"",--MID('Key Analysis'!$C140,65,1))</f>
        <v/>
      </c>
      <c r="GV144" s="29" t="str">
        <f>IF(OR($B144="",$A144&lt;66),"",--MID('Key Analysis'!$C140,66,1))</f>
        <v/>
      </c>
      <c r="GW144" s="29" t="str">
        <f>IF(OR($B144="",$A144&lt;67),"",--MID('Key Analysis'!$C140,67,1))</f>
        <v/>
      </c>
      <c r="GX144" s="29" t="str">
        <f>IF(OR($B144="",$A144&lt;68),"",--MID('Key Analysis'!$C140,68,1))</f>
        <v/>
      </c>
      <c r="GY144" s="29" t="str">
        <f>IF(OR($B144="",$A144&lt;69),"",--MID('Key Analysis'!$C140,69,1))</f>
        <v/>
      </c>
      <c r="GZ144" s="29" t="str">
        <f>IF(OR($B144="",$A144&lt;70),"",--MID('Key Analysis'!$C140,70,1))</f>
        <v/>
      </c>
      <c r="HA144" s="29" t="str">
        <f>IF(OR($B144="",$A144&lt;71),"",--MID('Key Analysis'!$C140,71,1))</f>
        <v/>
      </c>
      <c r="HB144" s="29" t="str">
        <f>IF(OR($B144="",$A144&lt;72),"",--MID('Key Analysis'!$C140,72,1))</f>
        <v/>
      </c>
      <c r="HC144" s="29" t="str">
        <f>IF(OR($B144="",$A144&lt;73),"",--MID('Key Analysis'!$C140,73,1))</f>
        <v/>
      </c>
      <c r="HD144" s="29" t="str">
        <f>IF(OR($B144="",$A144&lt;74),"",--MID('Key Analysis'!$C140,74,1))</f>
        <v/>
      </c>
      <c r="HE144" s="29" t="str">
        <f>IF(OR($B144="",$A144&lt;75),"",--MID('Key Analysis'!$C140,75,1))</f>
        <v/>
      </c>
      <c r="HF144" s="29" t="str">
        <f>IF(OR($B144="",$A144&lt;76),"",--MID('Key Analysis'!$C140,76,1))</f>
        <v/>
      </c>
      <c r="HG144" s="29" t="str">
        <f>IF(OR($B144="",$A144&lt;77),"",--MID('Key Analysis'!$C140,77,1))</f>
        <v/>
      </c>
      <c r="HH144" s="29" t="str">
        <f>IF(OR($B144="",$A144&lt;78),"",--MID('Key Analysis'!$C140,78,1))</f>
        <v/>
      </c>
      <c r="HI144" s="29" t="str">
        <f>IF(OR($B144="",$A144&lt;79),"",--MID('Key Analysis'!$C140,79,1))</f>
        <v/>
      </c>
      <c r="HJ144" s="29" t="str">
        <f>IF(OR($B144="",$A144&lt;80),"",--MID('Key Analysis'!$C140,80,1))</f>
        <v/>
      </c>
      <c r="HK144" s="29" t="str">
        <f>IF(OR($B144="",$A144&lt;81),"",--MID('Key Analysis'!$C140,81,1))</f>
        <v/>
      </c>
      <c r="HL144" s="29" t="str">
        <f>IF(OR($B144="",$A144&lt;82),"",--MID('Key Analysis'!$C140,82,1))</f>
        <v/>
      </c>
      <c r="HM144" s="29" t="str">
        <f>IF(OR($B144="",$A144&lt;83),"",--MID('Key Analysis'!$C140,83,1))</f>
        <v/>
      </c>
      <c r="HN144" s="29" t="str">
        <f>IF(OR($B144="",$A144&lt;84),"",--MID('Key Analysis'!$C140,84,1))</f>
        <v/>
      </c>
      <c r="HO144" s="29" t="str">
        <f>IF(OR($B144="",$A144&lt;85),"",--MID('Key Analysis'!$C140,85,1))</f>
        <v/>
      </c>
      <c r="HP144" s="29" t="str">
        <f>IF(OR($B144="",$A144&lt;86),"",--MID('Key Analysis'!$C140,86,1))</f>
        <v/>
      </c>
      <c r="HQ144" s="29" t="str">
        <f>IF(OR($B144="",$A144&lt;87),"",--MID('Key Analysis'!$C140,87,1))</f>
        <v/>
      </c>
      <c r="HR144" s="29" t="str">
        <f>IF(OR($B144="",$A144&lt;88),"",--MID('Key Analysis'!$C140,88,1))</f>
        <v/>
      </c>
      <c r="HS144" s="29" t="str">
        <f>IF(OR($B144="",$A144&lt;89),"",--MID('Key Analysis'!$C140,89,1))</f>
        <v/>
      </c>
      <c r="HT144" s="29" t="str">
        <f>IF(OR($B144="",$A144&lt;90),"",--MID('Key Analysis'!$C140,90,1))</f>
        <v/>
      </c>
      <c r="HU144" s="29" t="str">
        <f>IF(OR($B144="",$A144&lt;91),"",--MID('Key Analysis'!$C140,91,1))</f>
        <v/>
      </c>
      <c r="HV144" s="29" t="str">
        <f>IF(OR($B144="",$A144&lt;92),"",--MID('Key Analysis'!$C140,92,1))</f>
        <v/>
      </c>
      <c r="HW144" s="29" t="str">
        <f>IF(OR($B144="",$A144&lt;93),"",--MID('Key Analysis'!$C140,93,1))</f>
        <v/>
      </c>
      <c r="HX144" s="29" t="str">
        <f>IF(OR($B144="",$A144&lt;94),"",--MID('Key Analysis'!$C140,94,1))</f>
        <v/>
      </c>
      <c r="HY144" s="29" t="str">
        <f>IF(OR($B144="",$A144&lt;95),"",--MID('Key Analysis'!$C140,95,1))</f>
        <v/>
      </c>
      <c r="HZ144" s="29" t="str">
        <f>IF(OR($B144="",$A144&lt;96),"",--MID('Key Analysis'!$C140,96,1))</f>
        <v/>
      </c>
      <c r="IA144" s="29" t="str">
        <f>IF(OR($B144="",$A144&lt;97),"",--MID('Key Analysis'!$C140,97,1))</f>
        <v/>
      </c>
      <c r="IB144" s="29" t="str">
        <f>IF(OR($B144="",$A144&lt;98),"",--MID('Key Analysis'!$C140,98,1))</f>
        <v/>
      </c>
      <c r="IC144" s="29" t="str">
        <f>IF(OR($B144="",$A144&lt;99),"",--MID('Key Analysis'!$C140,99,1))</f>
        <v/>
      </c>
      <c r="ID144" s="29" t="str">
        <f>IF(OR($B144="",$A144&lt;100),"",--MID('Key Analysis'!$C140,100,1))</f>
        <v/>
      </c>
      <c r="IE144" s="29" t="str">
        <f>IF(OR($B144="",$A144&lt;101),"",--MID('Key Analysis'!$C140,101,1))</f>
        <v/>
      </c>
      <c r="IF144" s="29" t="str">
        <f>IF(OR($B144="",$A144&lt;102),"",--MID('Key Analysis'!$C140,102,1))</f>
        <v/>
      </c>
      <c r="IG144" s="29" t="str">
        <f>IF(OR($B144="",$A144&lt;103),"",--MID('Key Analysis'!$C140,103,1))</f>
        <v/>
      </c>
      <c r="IH144" s="29" t="str">
        <f>IF(OR($B144="",$A144&lt;104),"",--MID('Key Analysis'!$C140,104,1))</f>
        <v/>
      </c>
      <c r="II144" s="29" t="str">
        <f>IF(OR($B144="",$A144&lt;105),"",--MID('Key Analysis'!$C140,105,1))</f>
        <v/>
      </c>
      <c r="IJ144" s="29" t="str">
        <f>IF(OR($B144="",$A144&lt;106),"",--MID('Key Analysis'!$C140,106,1))</f>
        <v/>
      </c>
      <c r="IK144" s="29" t="str">
        <f>IF(OR($B144="",$A144&lt;107),"",--MID('Key Analysis'!$C140,107,1))</f>
        <v/>
      </c>
      <c r="IL144" s="29" t="str">
        <f>IF(OR($B144="",$A144&lt;108),"",--MID('Key Analysis'!$C140,108,1))</f>
        <v/>
      </c>
      <c r="IM144" s="29" t="str">
        <f>IF(OR($B144="",$A144&lt;109),"",--MID('Key Analysis'!$C140,109,1))</f>
        <v/>
      </c>
      <c r="IN144" s="29" t="str">
        <f>IF(OR($B144="",$A144&lt;110),"",--MID('Key Analysis'!$C140,110,1))</f>
        <v/>
      </c>
      <c r="IO144" s="29" t="str">
        <f>IF(OR($B144="",$A144&lt;111),"",--MID('Key Analysis'!$C140,111,1))</f>
        <v/>
      </c>
      <c r="IP144" s="29" t="str">
        <f>IF(OR($B144="",$A144&lt;112),"",--MID('Key Analysis'!$C140,112,1))</f>
        <v/>
      </c>
      <c r="IQ144" s="29" t="str">
        <f>IF(OR($B144="",$A144&lt;113),"",--MID('Key Analysis'!$C140,113,1))</f>
        <v/>
      </c>
      <c r="IR144" s="29" t="str">
        <f>IF(OR($B144="",$A144&lt;114),"",--MID('Key Analysis'!$C140,114,1))</f>
        <v/>
      </c>
      <c r="IS144" s="29" t="str">
        <f>IF(OR($B144="",$A144&lt;115),"",--MID('Key Analysis'!$C140,115,1))</f>
        <v/>
      </c>
      <c r="IT144" s="29" t="str">
        <f>IF(OR($B144="",$A144&lt;116),"",--MID('Key Analysis'!$C140,116,1))</f>
        <v/>
      </c>
      <c r="IU144" s="29" t="str">
        <f>IF(OR($B144="",$A144&lt;117),"",--MID('Key Analysis'!$C140,117,1))</f>
        <v/>
      </c>
      <c r="IV144" s="29" t="str">
        <f>IF(OR($B144="",$A144&lt;118),"",--MID('Key Analysis'!$C140,118,1))</f>
        <v/>
      </c>
      <c r="IW144" s="29" t="str">
        <f>IF(OR($B144="",$A144&lt;119),"",--MID('Key Analysis'!$C140,119,1))</f>
        <v/>
      </c>
      <c r="IX144" s="29" t="str">
        <f>IF(OR($B144="",$A144&lt;120),"",--MID('Key Analysis'!$C140,120,1))</f>
        <v/>
      </c>
      <c r="IY144" s="29" t="str">
        <f>IF(OR($B144="",$A144&lt;121),"",--MID('Key Analysis'!$C140,121,1))</f>
        <v/>
      </c>
      <c r="IZ144" s="29" t="str">
        <f>IF(OR($B144="",$A144&lt;122),"",--MID('Key Analysis'!$C140,122,1))</f>
        <v/>
      </c>
      <c r="JA144" s="29" t="str">
        <f>IF(OR($B144="",$A144&lt;123),"",--MID('Key Analysis'!$C140,123,1))</f>
        <v/>
      </c>
      <c r="JB144" s="29" t="str">
        <f>IF(OR($B144="",$A144&lt;124),"",--MID('Key Analysis'!$C140,124,1))</f>
        <v/>
      </c>
      <c r="JC144" s="29" t="str">
        <f>IF(OR($B144="",$A144&lt;125),"",--MID('Key Analysis'!$C140,125,1))</f>
        <v/>
      </c>
      <c r="JD144" s="29" t="str">
        <f>IF(OR($B144="",$A144&lt;126),"",--MID('Key Analysis'!$C140,126,1))</f>
        <v/>
      </c>
      <c r="JE144" s="29" t="str">
        <f>IF(OR($B144="",$A144&lt;127),"",--MID('Key Analysis'!$C140,127,1))</f>
        <v/>
      </c>
      <c r="JF144" s="29" t="str">
        <f>IF(OR($B144="",$A144&lt;128),"",--MID('Key Analysis'!$C140,128,1))</f>
        <v/>
      </c>
      <c r="JG144" s="29" t="str">
        <f>IF(OR($B144="",$A144&lt;129),"",--MID('Key Analysis'!$C140,129,1))</f>
        <v/>
      </c>
      <c r="JH144" s="29" t="str">
        <f>IF(OR($B144="",$A144&lt;130),"",--MID('Key Analysis'!$C140,130,1))</f>
        <v/>
      </c>
      <c r="JI144" s="29" t="str">
        <f>IF(OR($B144="",$A144&lt;131),"",--MID('Key Analysis'!$C140,131,1))</f>
        <v/>
      </c>
      <c r="JJ144" s="29" t="str">
        <f>IF(OR($B144="",$A144&lt;132),"",--MID('Key Analysis'!$C140,132,1))</f>
        <v/>
      </c>
      <c r="JK144" s="29" t="str">
        <f>IF(OR($B144="",$A144&lt;133),"",--MID('Key Analysis'!$C140,133,1))</f>
        <v/>
      </c>
      <c r="JL144" s="29" t="str">
        <f>IF(OR($B144="",$A144&lt;134),"",--MID('Key Analysis'!$C140,134,1))</f>
        <v/>
      </c>
      <c r="JM144" s="29" t="str">
        <f>IF(OR($B144="",$A144&lt;135),"",--MID('Key Analysis'!$C140,135,1))</f>
        <v/>
      </c>
    </row>
    <row r="145" spans="1:273" x14ac:dyDescent="0.25">
      <c r="A145" s="21">
        <f>'Key Analysis'!A141</f>
        <v>140</v>
      </c>
      <c r="B145" s="30" t="str">
        <f>'Key Analysis'!B141</f>
        <v/>
      </c>
      <c r="C145" s="29" t="str">
        <f>IF(OR($B145="",$A145&lt;=0),"",--MID('Key Analysis'!$C141,$A145-0,1))</f>
        <v/>
      </c>
      <c r="D145" s="29" t="str">
        <f>IF(OR($B145="",$A145&lt;=1),"",--MID('Key Analysis'!$C141,$A145-1,1))</f>
        <v/>
      </c>
      <c r="E145" s="29" t="str">
        <f>IF(OR($B145="",$A145&lt;=2),"",--MID('Key Analysis'!$C141,$A145-2,1))</f>
        <v/>
      </c>
      <c r="F145" s="29" t="str">
        <f>IF(OR($B145="",$A145&lt;=3),"",--MID('Key Analysis'!$C141,$A145-3,1))</f>
        <v/>
      </c>
      <c r="G145" s="29" t="str">
        <f>IF(OR($B145="",$A145&lt;=4),"",--MID('Key Analysis'!$C141,$A145-4,1))</f>
        <v/>
      </c>
      <c r="H145" s="29" t="str">
        <f>IF(OR($B145="",$A145&lt;=5),"",--MID('Key Analysis'!$C141,$A145-5,1))</f>
        <v/>
      </c>
      <c r="I145" s="29" t="str">
        <f>IF(OR($B145="",$A145&lt;=6),"",--MID('Key Analysis'!$C141,$A145-6,1))</f>
        <v/>
      </c>
      <c r="J145" s="29" t="str">
        <f>IF(OR($B145="",$A145&lt;=7),"",--MID('Key Analysis'!$C141,$A145-7,1))</f>
        <v/>
      </c>
      <c r="K145" s="29" t="str">
        <f>IF(OR($B145="",$A145&lt;=8),"",--MID('Key Analysis'!$C141,$A145-8,1))</f>
        <v/>
      </c>
      <c r="L145" s="29" t="str">
        <f>IF(OR($B145="",$A145&lt;=9),"",--MID('Key Analysis'!$C141,$A145-9,1))</f>
        <v/>
      </c>
      <c r="M145" s="29" t="str">
        <f>IF(OR($B145="",$A145&lt;=10),"",--MID('Key Analysis'!$C141,$A145-10,1))</f>
        <v/>
      </c>
      <c r="N145" s="29" t="str">
        <f>IF(OR($B145="",$A145&lt;=11),"",--MID('Key Analysis'!$C141,$A145-11,1))</f>
        <v/>
      </c>
      <c r="O145" s="29" t="str">
        <f>IF(OR($B145="",$A145&lt;=12),"",--MID('Key Analysis'!$C141,$A145-12,1))</f>
        <v/>
      </c>
      <c r="P145" s="29" t="str">
        <f>IF(OR($B145="",$A145&lt;=13),"",--MID('Key Analysis'!$C141,$A145-13,1))</f>
        <v/>
      </c>
      <c r="Q145" s="29" t="str">
        <f>IF(OR($B145="",$A145&lt;=14),"",--MID('Key Analysis'!$C141,$A145-14,1))</f>
        <v/>
      </c>
      <c r="R145" s="29" t="str">
        <f>IF(OR($B145="",$A145&lt;=15),"",--MID('Key Analysis'!$C141,$A145-15,1))</f>
        <v/>
      </c>
      <c r="S145" s="29" t="str">
        <f>IF(OR($B145="",$A145&lt;=16),"",--MID('Key Analysis'!$C141,$A145-16,1))</f>
        <v/>
      </c>
      <c r="T145" s="29" t="str">
        <f>IF(OR($B145="",$A145&lt;=17),"",--MID('Key Analysis'!$C141,$A145-17,1))</f>
        <v/>
      </c>
      <c r="U145" s="29" t="str">
        <f>IF(OR($B145="",$A145&lt;=18),"",--MID('Key Analysis'!$C141,$A145-18,1))</f>
        <v/>
      </c>
      <c r="V145" s="29" t="str">
        <f>IF(OR($B145="",$A145&lt;=19),"",--MID('Key Analysis'!$C141,$A145-19,1))</f>
        <v/>
      </c>
      <c r="W145" s="29" t="str">
        <f>IF(OR($B145="",$A145&lt;=20),"",--MID('Key Analysis'!$C141,$A145-20,1))</f>
        <v/>
      </c>
      <c r="X145" s="29" t="str">
        <f>IF(OR($B145="",$A145&lt;=21),"",--MID('Key Analysis'!$C141,$A145-21,1))</f>
        <v/>
      </c>
      <c r="Y145" s="29" t="str">
        <f>IF(OR($B145="",$A145&lt;=22),"",--MID('Key Analysis'!$C141,$A145-22,1))</f>
        <v/>
      </c>
      <c r="Z145" s="29" t="str">
        <f>IF(OR($B145="",$A145&lt;=23),"",--MID('Key Analysis'!$C141,$A145-23,1))</f>
        <v/>
      </c>
      <c r="AA145" s="29" t="str">
        <f>IF(OR($B145="",$A145&lt;=24),"",--MID('Key Analysis'!$C141,$A145-24,1))</f>
        <v/>
      </c>
      <c r="AB145" s="29" t="str">
        <f>IF(OR($B145="",$A145&lt;=25),"",--MID('Key Analysis'!$C141,$A145-25,1))</f>
        <v/>
      </c>
      <c r="AC145" s="29" t="str">
        <f>IF(OR($B145="",$A145&lt;=26),"",--MID('Key Analysis'!$C141,$A145-26,1))</f>
        <v/>
      </c>
      <c r="AD145" s="29" t="str">
        <f>IF(OR($B145="",$A145&lt;=27),"",--MID('Key Analysis'!$C141,$A145-27,1))</f>
        <v/>
      </c>
      <c r="AE145" s="29" t="str">
        <f>IF(OR($B145="",$A145&lt;=28),"",--MID('Key Analysis'!$C141,$A145-28,1))</f>
        <v/>
      </c>
      <c r="AF145" s="29" t="str">
        <f>IF(OR($B145="",$A145&lt;=29),"",--MID('Key Analysis'!$C141,$A145-29,1))</f>
        <v/>
      </c>
      <c r="AG145" s="29" t="str">
        <f>IF(OR($B145="",$A145&lt;=30),"",--MID('Key Analysis'!$C141,$A145-30,1))</f>
        <v/>
      </c>
      <c r="AH145" s="29" t="str">
        <f>IF(OR($B145="",$A145&lt;=31),"",--MID('Key Analysis'!$C141,$A145-31,1))</f>
        <v/>
      </c>
      <c r="AI145" s="29" t="str">
        <f>IF(OR($B145="",$A145&lt;=32),"",--MID('Key Analysis'!$C141,$A145-32,1))</f>
        <v/>
      </c>
      <c r="AJ145" s="29" t="str">
        <f>IF(OR($B145="",$A145&lt;=33),"",--MID('Key Analysis'!$C141,$A145-33,1))</f>
        <v/>
      </c>
      <c r="AK145" s="29" t="str">
        <f>IF(OR($B145="",$A145&lt;=34),"",--MID('Key Analysis'!$C141,$A145-34,1))</f>
        <v/>
      </c>
      <c r="AL145" s="29" t="str">
        <f>IF(OR($B145="",$A145&lt;=35),"",--MID('Key Analysis'!$C141,$A145-35,1))</f>
        <v/>
      </c>
      <c r="AM145" s="29" t="str">
        <f>IF(OR($B145="",$A145&lt;=36),"",--MID('Key Analysis'!$C141,$A145-36,1))</f>
        <v/>
      </c>
      <c r="AN145" s="29" t="str">
        <f>IF(OR($B145="",$A145&lt;=37),"",--MID('Key Analysis'!$C141,$A145-37,1))</f>
        <v/>
      </c>
      <c r="AO145" s="29" t="str">
        <f>IF(OR($B145="",$A145&lt;=38),"",--MID('Key Analysis'!$C141,$A145-38,1))</f>
        <v/>
      </c>
      <c r="AP145" s="29" t="str">
        <f>IF(OR($B145="",$A145&lt;=39),"",--MID('Key Analysis'!$C141,$A145-39,1))</f>
        <v/>
      </c>
      <c r="AQ145" s="29" t="str">
        <f>IF(OR($B145="",$A145&lt;=40),"",--MID('Key Analysis'!$C141,$A145-40,1))</f>
        <v/>
      </c>
      <c r="AR145" s="29" t="str">
        <f>IF(OR($B145="",$A145&lt;=41),"",--MID('Key Analysis'!$C141,$A145-41,1))</f>
        <v/>
      </c>
      <c r="AS145" s="29" t="str">
        <f>IF(OR($B145="",$A145&lt;=42),"",--MID('Key Analysis'!$C141,$A145-42,1))</f>
        <v/>
      </c>
      <c r="AT145" s="29" t="str">
        <f>IF(OR($B145="",$A145&lt;=43),"",--MID('Key Analysis'!$C141,$A145-43,1))</f>
        <v/>
      </c>
      <c r="AU145" s="29" t="str">
        <f>IF(OR($B145="",$A145&lt;=44),"",--MID('Key Analysis'!$C141,$A145-44,1))</f>
        <v/>
      </c>
      <c r="AV145" s="29" t="str">
        <f>IF(OR($B145="",$A145&lt;=45),"",--MID('Key Analysis'!$C141,$A145-45,1))</f>
        <v/>
      </c>
      <c r="AW145" s="29" t="str">
        <f>IF(OR($B145="",$A145&lt;=46),"",--MID('Key Analysis'!$C141,$A145-46,1))</f>
        <v/>
      </c>
      <c r="AX145" s="29" t="str">
        <f>IF(OR($B145="",$A145&lt;=47),"",--MID('Key Analysis'!$C141,$A145-47,1))</f>
        <v/>
      </c>
      <c r="AY145" s="29" t="str">
        <f>IF(OR($B145="",$A145&lt;=48),"",--MID('Key Analysis'!$C141,$A145-48,1))</f>
        <v/>
      </c>
      <c r="AZ145" s="29" t="str">
        <f>IF(OR($B145="",$A145&lt;=49),"",--MID('Key Analysis'!$C141,$A145-49,1))</f>
        <v/>
      </c>
      <c r="BA145" s="29" t="str">
        <f>IF(OR($B145="",$A145&lt;=50),"",--MID('Key Analysis'!$C141,$A145-50,1))</f>
        <v/>
      </c>
      <c r="BB145" s="29" t="str">
        <f>IF(OR($B145="",$A145&lt;=51),"",--MID('Key Analysis'!$C141,$A145-51,1))</f>
        <v/>
      </c>
      <c r="BC145" s="29" t="str">
        <f>IF(OR($B145="",$A145&lt;=52),"",--MID('Key Analysis'!$C141,$A145-52,1))</f>
        <v/>
      </c>
      <c r="BD145" s="29" t="str">
        <f>IF(OR($B145="",$A145&lt;=53),"",--MID('Key Analysis'!$C141,$A145-53,1))</f>
        <v/>
      </c>
      <c r="BE145" s="29" t="str">
        <f>IF(OR($B145="",$A145&lt;=54),"",--MID('Key Analysis'!$C141,$A145-54,1))</f>
        <v/>
      </c>
      <c r="BF145" s="29" t="str">
        <f>IF(OR($B145="",$A145&lt;=55),"",--MID('Key Analysis'!$C141,$A145-55,1))</f>
        <v/>
      </c>
      <c r="BG145" s="29" t="str">
        <f>IF(OR($B145="",$A145&lt;=56),"",--MID('Key Analysis'!$C141,$A145-56,1))</f>
        <v/>
      </c>
      <c r="BH145" s="29" t="str">
        <f>IF(OR($B145="",$A145&lt;=57),"",--MID('Key Analysis'!$C141,$A145-57,1))</f>
        <v/>
      </c>
      <c r="BI145" s="29" t="str">
        <f>IF(OR($B145="",$A145&lt;=58),"",--MID('Key Analysis'!$C141,$A145-58,1))</f>
        <v/>
      </c>
      <c r="BJ145" s="29" t="str">
        <f>IF(OR($B145="",$A145&lt;=59),"",--MID('Key Analysis'!$C141,$A145-59,1))</f>
        <v/>
      </c>
      <c r="BK145" s="29" t="str">
        <f>IF(OR($B145="",$A145&lt;=60),"",--MID('Key Analysis'!$C141,$A145-60,1))</f>
        <v/>
      </c>
      <c r="BL145" s="29" t="str">
        <f>IF(OR($B145="",$A145&lt;=61),"",--MID('Key Analysis'!$C141,$A145-61,1))</f>
        <v/>
      </c>
      <c r="BM145" s="29" t="str">
        <f>IF(OR($B145="",$A145&lt;=62),"",--MID('Key Analysis'!$C141,$A145-62,1))</f>
        <v/>
      </c>
      <c r="BN145" s="29" t="str">
        <f>IF(OR($B145="",$A145&lt;=63),"",--MID('Key Analysis'!$C141,$A145-63,1))</f>
        <v/>
      </c>
      <c r="BO145" s="29" t="str">
        <f>IF(OR($B145="",$A145&lt;=64),"",--MID('Key Analysis'!$C141,$A145-64,1))</f>
        <v/>
      </c>
      <c r="BP145" s="29" t="str">
        <f>IF(OR($B145="",$A145&lt;=65),"",--MID('Key Analysis'!$C141,$A145-65,1))</f>
        <v/>
      </c>
      <c r="BQ145" s="29" t="str">
        <f>IF(OR($B145="",$A145&lt;=66),"",--MID('Key Analysis'!$C141,$A145-66,1))</f>
        <v/>
      </c>
      <c r="BR145" s="29" t="str">
        <f>IF(OR($B145="",$A145&lt;=67),"",--MID('Key Analysis'!$C141,$A145-67,1))</f>
        <v/>
      </c>
      <c r="BS145" s="29" t="str">
        <f>IF(OR($B145="",$A145&lt;=68),"",--MID('Key Analysis'!$C141,$A145-68,1))</f>
        <v/>
      </c>
      <c r="BT145" s="29" t="str">
        <f>IF(OR($B145="",$A145&lt;=69),"",--MID('Key Analysis'!$C141,$A145-69,1))</f>
        <v/>
      </c>
      <c r="BU145" s="29" t="str">
        <f>IF(OR($B145="",$A145&lt;=70),"",--MID('Key Analysis'!$C141,$A145-70,1))</f>
        <v/>
      </c>
      <c r="BV145" s="29" t="str">
        <f>IF(OR($B145="",$A145&lt;=71),"",--MID('Key Analysis'!$C141,$A145-71,1))</f>
        <v/>
      </c>
      <c r="BW145" s="29" t="str">
        <f>IF(OR($B145="",$A145&lt;=72),"",--MID('Key Analysis'!$C141,$A145-72,1))</f>
        <v/>
      </c>
      <c r="BX145" s="29" t="str">
        <f>IF(OR($B145="",$A145&lt;=73),"",--MID('Key Analysis'!$C141,$A145-73,1))</f>
        <v/>
      </c>
      <c r="BY145" s="29" t="str">
        <f>IF(OR($B145="",$A145&lt;=74),"",--MID('Key Analysis'!$C141,$A145-74,1))</f>
        <v/>
      </c>
      <c r="BZ145" s="29" t="str">
        <f>IF(OR($B145="",$A145&lt;=75),"",--MID('Key Analysis'!$C141,$A145-75,1))</f>
        <v/>
      </c>
      <c r="CA145" s="29" t="str">
        <f>IF(OR($B145="",$A145&lt;=76),"",--MID('Key Analysis'!$C141,$A145-76,1))</f>
        <v/>
      </c>
      <c r="CB145" s="29" t="str">
        <f>IF(OR($B145="",$A145&lt;=77),"",--MID('Key Analysis'!$C141,$A145-77,1))</f>
        <v/>
      </c>
      <c r="CC145" s="29" t="str">
        <f>IF(OR($B145="",$A145&lt;=78),"",--MID('Key Analysis'!$C141,$A145-78,1))</f>
        <v/>
      </c>
      <c r="CD145" s="29" t="str">
        <f>IF(OR($B145="",$A145&lt;=79),"",--MID('Key Analysis'!$C141,$A145-79,1))</f>
        <v/>
      </c>
      <c r="CE145" s="29" t="str">
        <f>IF(OR($B145="",$A145&lt;=80),"",--MID('Key Analysis'!$C141,$A145-80,1))</f>
        <v/>
      </c>
      <c r="CF145" s="29" t="str">
        <f>IF(OR($B145="",$A145&lt;=81),"",--MID('Key Analysis'!$C141,$A145-81,1))</f>
        <v/>
      </c>
      <c r="CG145" s="29" t="str">
        <f>IF(OR($B145="",$A145&lt;=82),"",--MID('Key Analysis'!$C141,$A145-82,1))</f>
        <v/>
      </c>
      <c r="CH145" s="29" t="str">
        <f>IF(OR($B145="",$A145&lt;=83),"",--MID('Key Analysis'!$C141,$A145-83,1))</f>
        <v/>
      </c>
      <c r="CI145" s="29" t="str">
        <f>IF(OR($B145="",$A145&lt;=84),"",--MID('Key Analysis'!$C141,$A145-84,1))</f>
        <v/>
      </c>
      <c r="CJ145" s="29" t="str">
        <f>IF(OR($B145="",$A145&lt;=85),"",--MID('Key Analysis'!$C141,$A145-85,1))</f>
        <v/>
      </c>
      <c r="CK145" s="29" t="str">
        <f>IF(OR($B145="",$A145&lt;=86),"",--MID('Key Analysis'!$C141,$A145-86,1))</f>
        <v/>
      </c>
      <c r="CL145" s="29" t="str">
        <f>IF(OR($B145="",$A145&lt;=87),"",--MID('Key Analysis'!$C141,$A145-87,1))</f>
        <v/>
      </c>
      <c r="CM145" s="29" t="str">
        <f>IF(OR($B145="",$A145&lt;=88),"",--MID('Key Analysis'!$C141,$A145-88,1))</f>
        <v/>
      </c>
      <c r="CN145" s="29" t="str">
        <f>IF(OR($B145="",$A145&lt;=89),"",--MID('Key Analysis'!$C141,$A145-89,1))</f>
        <v/>
      </c>
      <c r="CO145" s="29" t="str">
        <f>IF(OR($B145="",$A145&lt;=90),"",--MID('Key Analysis'!$C141,$A145-90,1))</f>
        <v/>
      </c>
      <c r="CP145" s="29" t="str">
        <f>IF(OR($B145="",$A145&lt;=91),"",--MID('Key Analysis'!$C141,$A145-91,1))</f>
        <v/>
      </c>
      <c r="CQ145" s="29" t="str">
        <f>IF(OR($B145="",$A145&lt;=92),"",--MID('Key Analysis'!$C141,$A145-92,1))</f>
        <v/>
      </c>
      <c r="CR145" s="29" t="str">
        <f>IF(OR($B145="",$A145&lt;=93),"",--MID('Key Analysis'!$C141,$A145-93,1))</f>
        <v/>
      </c>
      <c r="CS145" s="29" t="str">
        <f>IF(OR($B145="",$A145&lt;=94),"",--MID('Key Analysis'!$C141,$A145-94,1))</f>
        <v/>
      </c>
      <c r="CT145" s="29" t="str">
        <f>IF(OR($B145="",$A145&lt;=95),"",--MID('Key Analysis'!$C141,$A145-95,1))</f>
        <v/>
      </c>
      <c r="CU145" s="29" t="str">
        <f>IF(OR($B145="",$A145&lt;=96),"",--MID('Key Analysis'!$C141,$A145-96,1))</f>
        <v/>
      </c>
      <c r="CV145" s="29" t="str">
        <f>IF(OR($B145="",$A145&lt;=97),"",--MID('Key Analysis'!$C141,$A145-97,1))</f>
        <v/>
      </c>
      <c r="CW145" s="29" t="str">
        <f>IF(OR($B145="",$A145&lt;=98),"",--MID('Key Analysis'!$C141,$A145-98,1))</f>
        <v/>
      </c>
      <c r="CX145" s="29" t="str">
        <f>IF(OR($B145="",$A145&lt;=99),"",--MID('Key Analysis'!$C141,$A145-99,1))</f>
        <v/>
      </c>
      <c r="CY145" s="29" t="str">
        <f>IF(OR($B145="",$A145&lt;=100),"",--MID('Key Analysis'!$C141,$A145-100,1))</f>
        <v/>
      </c>
      <c r="CZ145" s="29" t="str">
        <f>IF(OR($B145="",$A145&lt;=101),"",--MID('Key Analysis'!$C141,$A145-101,1))</f>
        <v/>
      </c>
      <c r="DA145" s="29" t="str">
        <f>IF(OR($B145="",$A145&lt;=102),"",--MID('Key Analysis'!$C141,$A145-102,1))</f>
        <v/>
      </c>
      <c r="DB145" s="29" t="str">
        <f>IF(OR($B145="",$A145&lt;=103),"",--MID('Key Analysis'!$C141,$A145-103,1))</f>
        <v/>
      </c>
      <c r="DC145" s="29" t="str">
        <f>IF(OR($B145="",$A145&lt;=104),"",--MID('Key Analysis'!$C141,$A145-104,1))</f>
        <v/>
      </c>
      <c r="DD145" s="29" t="str">
        <f>IF(OR($B145="",$A145&lt;=105),"",--MID('Key Analysis'!$C141,$A145-105,1))</f>
        <v/>
      </c>
      <c r="DE145" s="29" t="str">
        <f>IF(OR($B145="",$A145&lt;=106),"",--MID('Key Analysis'!$C141,$A145-106,1))</f>
        <v/>
      </c>
      <c r="DF145" s="29" t="str">
        <f>IF(OR($B145="",$A145&lt;=107),"",--MID('Key Analysis'!$C141,$A145-107,1))</f>
        <v/>
      </c>
      <c r="DG145" s="29" t="str">
        <f>IF(OR($B145="",$A145&lt;=108),"",--MID('Key Analysis'!$C141,$A145-108,1))</f>
        <v/>
      </c>
      <c r="DH145" s="29" t="str">
        <f>IF(OR($B145="",$A145&lt;=109),"",--MID('Key Analysis'!$C141,$A145-109,1))</f>
        <v/>
      </c>
      <c r="DI145" s="29" t="str">
        <f>IF(OR($B145="",$A145&lt;=110),"",--MID('Key Analysis'!$C141,$A145-110,1))</f>
        <v/>
      </c>
      <c r="DJ145" s="29" t="str">
        <f>IF(OR($B145="",$A145&lt;=111),"",--MID('Key Analysis'!$C141,$A145-111,1))</f>
        <v/>
      </c>
      <c r="DK145" s="29" t="str">
        <f>IF(OR($B145="",$A145&lt;=112),"",--MID('Key Analysis'!$C141,$A145-112,1))</f>
        <v/>
      </c>
      <c r="DL145" s="29" t="str">
        <f>IF(OR($B145="",$A145&lt;=113),"",--MID('Key Analysis'!$C141,$A145-113,1))</f>
        <v/>
      </c>
      <c r="DM145" s="29" t="str">
        <f>IF(OR($B145="",$A145&lt;=114),"",--MID('Key Analysis'!$C141,$A145-114,1))</f>
        <v/>
      </c>
      <c r="DN145" s="29" t="str">
        <f>IF(OR($B145="",$A145&lt;=115),"",--MID('Key Analysis'!$C141,$A145-115,1))</f>
        <v/>
      </c>
      <c r="DO145" s="29" t="str">
        <f>IF(OR($B145="",$A145&lt;=116),"",--MID('Key Analysis'!$C141,$A145-116,1))</f>
        <v/>
      </c>
      <c r="DP145" s="29" t="str">
        <f>IF(OR($B145="",$A145&lt;=117),"",--MID('Key Analysis'!$C141,$A145-117,1))</f>
        <v/>
      </c>
      <c r="DQ145" s="29" t="str">
        <f>IF(OR($B145="",$A145&lt;=118),"",--MID('Key Analysis'!$C141,$A145-118,1))</f>
        <v/>
      </c>
      <c r="DR145" s="29" t="str">
        <f>IF(OR($B145="",$A145&lt;=119),"",--MID('Key Analysis'!$C141,$A145-119,1))</f>
        <v/>
      </c>
      <c r="DS145" s="29" t="str">
        <f>IF(OR($B145="",$A145&lt;=120),"",--MID('Key Analysis'!$C141,$A145-120,1))</f>
        <v/>
      </c>
      <c r="DT145" s="29" t="str">
        <f>IF(OR($B145="",$A145&lt;=121),"",--MID('Key Analysis'!$C141,$A145-121,1))</f>
        <v/>
      </c>
      <c r="DU145" s="29" t="str">
        <f>IF(OR($B145="",$A145&lt;=122),"",--MID('Key Analysis'!$C141,$A145-122,1))</f>
        <v/>
      </c>
      <c r="DV145" s="29" t="str">
        <f>IF(OR($B145="",$A145&lt;=123),"",--MID('Key Analysis'!$C141,$A145-123,1))</f>
        <v/>
      </c>
      <c r="DW145" s="29" t="str">
        <f>IF(OR($B145="",$A145&lt;=124),"",--MID('Key Analysis'!$C141,$A145-124,1))</f>
        <v/>
      </c>
      <c r="DX145" s="29" t="str">
        <f>IF(OR($B145="",$A145&lt;=125),"",--MID('Key Analysis'!$C141,$A145-125,1))</f>
        <v/>
      </c>
      <c r="DY145" s="29" t="str">
        <f>IF(OR($B145="",$A145&lt;=126),"",--MID('Key Analysis'!$C141,$A145-126,1))</f>
        <v/>
      </c>
      <c r="DZ145" s="29" t="str">
        <f>IF(OR($B145="",$A145&lt;=127),"",--MID('Key Analysis'!$C141,$A145-127,1))</f>
        <v/>
      </c>
      <c r="EA145" s="29" t="str">
        <f>IF(OR($B145="",$A145&lt;=128),"",--MID('Key Analysis'!$C141,$A145-128,1))</f>
        <v/>
      </c>
      <c r="EB145" s="29" t="str">
        <f>IF(OR($B145="",$A145&lt;=129),"",--MID('Key Analysis'!$C141,$A145-129,1))</f>
        <v/>
      </c>
      <c r="EC145" s="29" t="str">
        <f>IF(OR($B145="",$A145&lt;=130),"",--MID('Key Analysis'!$C141,$A145-130,1))</f>
        <v/>
      </c>
      <c r="ED145" s="29" t="str">
        <f>IF(OR($B145="",$A145&lt;=131),"",--MID('Key Analysis'!$C141,$A145-131,1))</f>
        <v/>
      </c>
      <c r="EE145" s="29" t="str">
        <f>IF(OR($B145="",$A145&lt;=132),"",--MID('Key Analysis'!$C141,$A145-132,1))</f>
        <v/>
      </c>
      <c r="EF145" s="29" t="str">
        <f>IF(OR($B145="",$A145&lt;=133),"",--MID('Key Analysis'!$C141,$A145-133,1))</f>
        <v/>
      </c>
      <c r="EG145" s="29" t="str">
        <f>IF(OR($B145="",$A145&lt;=134),"",--MID('Key Analysis'!$C141,$A145-134,1))</f>
        <v/>
      </c>
      <c r="EH145" s="29"/>
      <c r="EI145" s="29" t="str">
        <f>IF(OR($B145="",$A145&lt;1),"",--MID('Key Analysis'!$C141,1,1))</f>
        <v/>
      </c>
      <c r="EJ145" s="29" t="str">
        <f>IF(OR($B145="",$A145&lt;2),"",--MID('Key Analysis'!$C141,2,1))</f>
        <v/>
      </c>
      <c r="EK145" s="29" t="str">
        <f>IF(OR($B145="",$A145&lt;3),"",--MID('Key Analysis'!$C141,3,1))</f>
        <v/>
      </c>
      <c r="EL145" s="29" t="str">
        <f>IF(OR($B145="",$A145&lt;4),"",--MID('Key Analysis'!$C141,4,1))</f>
        <v/>
      </c>
      <c r="EM145" s="29" t="str">
        <f>IF(OR($B145="",$A145&lt;5),"",--MID('Key Analysis'!$C141,5,1))</f>
        <v/>
      </c>
      <c r="EN145" s="29" t="str">
        <f>IF(OR($B145="",$A145&lt;6),"",--MID('Key Analysis'!$C141,6,1))</f>
        <v/>
      </c>
      <c r="EO145" s="29" t="str">
        <f>IF(OR($B145="",$A145&lt;7),"",--MID('Key Analysis'!$C141,7,1))</f>
        <v/>
      </c>
      <c r="EP145" s="29" t="str">
        <f>IF(OR($B145="",$A145&lt;8),"",--MID('Key Analysis'!$C141,8,1))</f>
        <v/>
      </c>
      <c r="EQ145" s="29" t="str">
        <f>IF(OR($B145="",$A145&lt;9),"",--MID('Key Analysis'!$C141,9,1))</f>
        <v/>
      </c>
      <c r="ER145" s="29" t="str">
        <f>IF(OR($B145="",$A145&lt;10),"",--MID('Key Analysis'!$C141,10,1))</f>
        <v/>
      </c>
      <c r="ES145" s="29" t="str">
        <f>IF(OR($B145="",$A145&lt;11),"",--MID('Key Analysis'!$C141,11,1))</f>
        <v/>
      </c>
      <c r="ET145" s="29" t="str">
        <f>IF(OR($B145="",$A145&lt;12),"",--MID('Key Analysis'!$C141,12,1))</f>
        <v/>
      </c>
      <c r="EU145" s="29" t="str">
        <f>IF(OR($B145="",$A145&lt;13),"",--MID('Key Analysis'!$C141,13,1))</f>
        <v/>
      </c>
      <c r="EV145" s="29" t="str">
        <f>IF(OR($B145="",$A145&lt;14),"",--MID('Key Analysis'!$C141,14,1))</f>
        <v/>
      </c>
      <c r="EW145" s="29" t="str">
        <f>IF(OR($B145="",$A145&lt;15),"",--MID('Key Analysis'!$C141,15,1))</f>
        <v/>
      </c>
      <c r="EX145" s="29" t="str">
        <f>IF(OR($B145="",$A145&lt;16),"",--MID('Key Analysis'!$C141,16,1))</f>
        <v/>
      </c>
      <c r="EY145" s="29" t="str">
        <f>IF(OR($B145="",$A145&lt;17),"",--MID('Key Analysis'!$C141,17,1))</f>
        <v/>
      </c>
      <c r="EZ145" s="29" t="str">
        <f>IF(OR($B145="",$A145&lt;18),"",--MID('Key Analysis'!$C141,18,1))</f>
        <v/>
      </c>
      <c r="FA145" s="29" t="str">
        <f>IF(OR($B145="",$A145&lt;19),"",--MID('Key Analysis'!$C141,19,1))</f>
        <v/>
      </c>
      <c r="FB145" s="29" t="str">
        <f>IF(OR($B145="",$A145&lt;20),"",--MID('Key Analysis'!$C141,20,1))</f>
        <v/>
      </c>
      <c r="FC145" s="29" t="str">
        <f>IF(OR($B145="",$A145&lt;21),"",--MID('Key Analysis'!$C141,21,1))</f>
        <v/>
      </c>
      <c r="FD145" s="29" t="str">
        <f>IF(OR($B145="",$A145&lt;22),"",--MID('Key Analysis'!$C141,22,1))</f>
        <v/>
      </c>
      <c r="FE145" s="29" t="str">
        <f>IF(OR($B145="",$A145&lt;23),"",--MID('Key Analysis'!$C141,23,1))</f>
        <v/>
      </c>
      <c r="FF145" s="29" t="str">
        <f>IF(OR($B145="",$A145&lt;24),"",--MID('Key Analysis'!$C141,24,1))</f>
        <v/>
      </c>
      <c r="FG145" s="29" t="str">
        <f>IF(OR($B145="",$A145&lt;25),"",--MID('Key Analysis'!$C141,25,1))</f>
        <v/>
      </c>
      <c r="FH145" s="29" t="str">
        <f>IF(OR($B145="",$A145&lt;26),"",--MID('Key Analysis'!$C141,26,1))</f>
        <v/>
      </c>
      <c r="FI145" s="29" t="str">
        <f>IF(OR($B145="",$A145&lt;27),"",--MID('Key Analysis'!$C141,27,1))</f>
        <v/>
      </c>
      <c r="FJ145" s="29" t="str">
        <f>IF(OR($B145="",$A145&lt;28),"",--MID('Key Analysis'!$C141,28,1))</f>
        <v/>
      </c>
      <c r="FK145" s="29" t="str">
        <f>IF(OR($B145="",$A145&lt;29),"",--MID('Key Analysis'!$C141,29,1))</f>
        <v/>
      </c>
      <c r="FL145" s="29" t="str">
        <f>IF(OR($B145="",$A145&lt;30),"",--MID('Key Analysis'!$C141,30,1))</f>
        <v/>
      </c>
      <c r="FM145" s="29" t="str">
        <f>IF(OR($B145="",$A145&lt;31),"",--MID('Key Analysis'!$C141,31,1))</f>
        <v/>
      </c>
      <c r="FN145" s="29" t="str">
        <f>IF(OR($B145="",$A145&lt;32),"",--MID('Key Analysis'!$C141,32,1))</f>
        <v/>
      </c>
      <c r="FO145" s="29" t="str">
        <f>IF(OR($B145="",$A145&lt;33),"",--MID('Key Analysis'!$C141,33,1))</f>
        <v/>
      </c>
      <c r="FP145" s="29" t="str">
        <f>IF(OR($B145="",$A145&lt;34),"",--MID('Key Analysis'!$C141,34,1))</f>
        <v/>
      </c>
      <c r="FQ145" s="29" t="str">
        <f>IF(OR($B145="",$A145&lt;35),"",--MID('Key Analysis'!$C141,35,1))</f>
        <v/>
      </c>
      <c r="FR145" s="29" t="str">
        <f>IF(OR($B145="",$A145&lt;36),"",--MID('Key Analysis'!$C141,36,1))</f>
        <v/>
      </c>
      <c r="FS145" s="29" t="str">
        <f>IF(OR($B145="",$A145&lt;37),"",--MID('Key Analysis'!$C141,37,1))</f>
        <v/>
      </c>
      <c r="FT145" s="29" t="str">
        <f>IF(OR($B145="",$A145&lt;38),"",--MID('Key Analysis'!$C141,38,1))</f>
        <v/>
      </c>
      <c r="FU145" s="29" t="str">
        <f>IF(OR($B145="",$A145&lt;39),"",--MID('Key Analysis'!$C141,39,1))</f>
        <v/>
      </c>
      <c r="FV145" s="29" t="str">
        <f>IF(OR($B145="",$A145&lt;40),"",--MID('Key Analysis'!$C141,40,1))</f>
        <v/>
      </c>
      <c r="FW145" s="29" t="str">
        <f>IF(OR($B145="",$A145&lt;41),"",--MID('Key Analysis'!$C141,41,1))</f>
        <v/>
      </c>
      <c r="FX145" s="29" t="str">
        <f>IF(OR($B145="",$A145&lt;42),"",--MID('Key Analysis'!$C141,42,1))</f>
        <v/>
      </c>
      <c r="FY145" s="29" t="str">
        <f>IF(OR($B145="",$A145&lt;43),"",--MID('Key Analysis'!$C141,43,1))</f>
        <v/>
      </c>
      <c r="FZ145" s="29" t="str">
        <f>IF(OR($B145="",$A145&lt;44),"",--MID('Key Analysis'!$C141,44,1))</f>
        <v/>
      </c>
      <c r="GA145" s="29" t="str">
        <f>IF(OR($B145="",$A145&lt;45),"",--MID('Key Analysis'!$C141,45,1))</f>
        <v/>
      </c>
      <c r="GB145" s="29" t="str">
        <f>IF(OR($B145="",$A145&lt;46),"",--MID('Key Analysis'!$C141,46,1))</f>
        <v/>
      </c>
      <c r="GC145" s="29" t="str">
        <f>IF(OR($B145="",$A145&lt;47),"",--MID('Key Analysis'!$C141,47,1))</f>
        <v/>
      </c>
      <c r="GD145" s="29" t="str">
        <f>IF(OR($B145="",$A145&lt;48),"",--MID('Key Analysis'!$C141,48,1))</f>
        <v/>
      </c>
      <c r="GE145" s="29" t="str">
        <f>IF(OR($B145="",$A145&lt;49),"",--MID('Key Analysis'!$C141,49,1))</f>
        <v/>
      </c>
      <c r="GF145" s="29" t="str">
        <f>IF(OR($B145="",$A145&lt;50),"",--MID('Key Analysis'!$C141,50,1))</f>
        <v/>
      </c>
      <c r="GG145" s="29" t="str">
        <f>IF(OR($B145="",$A145&lt;51),"",--MID('Key Analysis'!$C141,51,1))</f>
        <v/>
      </c>
      <c r="GH145" s="29" t="str">
        <f>IF(OR($B145="",$A145&lt;52),"",--MID('Key Analysis'!$C141,52,1))</f>
        <v/>
      </c>
      <c r="GI145" s="29" t="str">
        <f>IF(OR($B145="",$A145&lt;53),"",--MID('Key Analysis'!$C141,53,1))</f>
        <v/>
      </c>
      <c r="GJ145" s="29" t="str">
        <f>IF(OR($B145="",$A145&lt;54),"",--MID('Key Analysis'!$C141,54,1))</f>
        <v/>
      </c>
      <c r="GK145" s="29" t="str">
        <f>IF(OR($B145="",$A145&lt;55),"",--MID('Key Analysis'!$C141,55,1))</f>
        <v/>
      </c>
      <c r="GL145" s="29" t="str">
        <f>IF(OR($B145="",$A145&lt;56),"",--MID('Key Analysis'!$C141,56,1))</f>
        <v/>
      </c>
      <c r="GM145" s="29" t="str">
        <f>IF(OR($B145="",$A145&lt;57),"",--MID('Key Analysis'!$C141,57,1))</f>
        <v/>
      </c>
      <c r="GN145" s="29" t="str">
        <f>IF(OR($B145="",$A145&lt;58),"",--MID('Key Analysis'!$C141,58,1))</f>
        <v/>
      </c>
      <c r="GO145" s="29" t="str">
        <f>IF(OR($B145="",$A145&lt;59),"",--MID('Key Analysis'!$C141,59,1))</f>
        <v/>
      </c>
      <c r="GP145" s="29" t="str">
        <f>IF(OR($B145="",$A145&lt;60),"",--MID('Key Analysis'!$C141,60,1))</f>
        <v/>
      </c>
      <c r="GQ145" s="29" t="str">
        <f>IF(OR($B145="",$A145&lt;61),"",--MID('Key Analysis'!$C141,61,1))</f>
        <v/>
      </c>
      <c r="GR145" s="29" t="str">
        <f>IF(OR($B145="",$A145&lt;62),"",--MID('Key Analysis'!$C141,62,1))</f>
        <v/>
      </c>
      <c r="GS145" s="29" t="str">
        <f>IF(OR($B145="",$A145&lt;63),"",--MID('Key Analysis'!$C141,63,1))</f>
        <v/>
      </c>
      <c r="GT145" s="29" t="str">
        <f>IF(OR($B145="",$A145&lt;64),"",--MID('Key Analysis'!$C141,64,1))</f>
        <v/>
      </c>
      <c r="GU145" s="29" t="str">
        <f>IF(OR($B145="",$A145&lt;65),"",--MID('Key Analysis'!$C141,65,1))</f>
        <v/>
      </c>
      <c r="GV145" s="29" t="str">
        <f>IF(OR($B145="",$A145&lt;66),"",--MID('Key Analysis'!$C141,66,1))</f>
        <v/>
      </c>
      <c r="GW145" s="29" t="str">
        <f>IF(OR($B145="",$A145&lt;67),"",--MID('Key Analysis'!$C141,67,1))</f>
        <v/>
      </c>
      <c r="GX145" s="29" t="str">
        <f>IF(OR($B145="",$A145&lt;68),"",--MID('Key Analysis'!$C141,68,1))</f>
        <v/>
      </c>
      <c r="GY145" s="29" t="str">
        <f>IF(OR($B145="",$A145&lt;69),"",--MID('Key Analysis'!$C141,69,1))</f>
        <v/>
      </c>
      <c r="GZ145" s="29" t="str">
        <f>IF(OR($B145="",$A145&lt;70),"",--MID('Key Analysis'!$C141,70,1))</f>
        <v/>
      </c>
      <c r="HA145" s="29" t="str">
        <f>IF(OR($B145="",$A145&lt;71),"",--MID('Key Analysis'!$C141,71,1))</f>
        <v/>
      </c>
      <c r="HB145" s="29" t="str">
        <f>IF(OR($B145="",$A145&lt;72),"",--MID('Key Analysis'!$C141,72,1))</f>
        <v/>
      </c>
      <c r="HC145" s="29" t="str">
        <f>IF(OR($B145="",$A145&lt;73),"",--MID('Key Analysis'!$C141,73,1))</f>
        <v/>
      </c>
      <c r="HD145" s="29" t="str">
        <f>IF(OR($B145="",$A145&lt;74),"",--MID('Key Analysis'!$C141,74,1))</f>
        <v/>
      </c>
      <c r="HE145" s="29" t="str">
        <f>IF(OR($B145="",$A145&lt;75),"",--MID('Key Analysis'!$C141,75,1))</f>
        <v/>
      </c>
      <c r="HF145" s="29" t="str">
        <f>IF(OR($B145="",$A145&lt;76),"",--MID('Key Analysis'!$C141,76,1))</f>
        <v/>
      </c>
      <c r="HG145" s="29" t="str">
        <f>IF(OR($B145="",$A145&lt;77),"",--MID('Key Analysis'!$C141,77,1))</f>
        <v/>
      </c>
      <c r="HH145" s="29" t="str">
        <f>IF(OR($B145="",$A145&lt;78),"",--MID('Key Analysis'!$C141,78,1))</f>
        <v/>
      </c>
      <c r="HI145" s="29" t="str">
        <f>IF(OR($B145="",$A145&lt;79),"",--MID('Key Analysis'!$C141,79,1))</f>
        <v/>
      </c>
      <c r="HJ145" s="29" t="str">
        <f>IF(OR($B145="",$A145&lt;80),"",--MID('Key Analysis'!$C141,80,1))</f>
        <v/>
      </c>
      <c r="HK145" s="29" t="str">
        <f>IF(OR($B145="",$A145&lt;81),"",--MID('Key Analysis'!$C141,81,1))</f>
        <v/>
      </c>
      <c r="HL145" s="29" t="str">
        <f>IF(OR($B145="",$A145&lt;82),"",--MID('Key Analysis'!$C141,82,1))</f>
        <v/>
      </c>
      <c r="HM145" s="29" t="str">
        <f>IF(OR($B145="",$A145&lt;83),"",--MID('Key Analysis'!$C141,83,1))</f>
        <v/>
      </c>
      <c r="HN145" s="29" t="str">
        <f>IF(OR($B145="",$A145&lt;84),"",--MID('Key Analysis'!$C141,84,1))</f>
        <v/>
      </c>
      <c r="HO145" s="29" t="str">
        <f>IF(OR($B145="",$A145&lt;85),"",--MID('Key Analysis'!$C141,85,1))</f>
        <v/>
      </c>
      <c r="HP145" s="29" t="str">
        <f>IF(OR($B145="",$A145&lt;86),"",--MID('Key Analysis'!$C141,86,1))</f>
        <v/>
      </c>
      <c r="HQ145" s="29" t="str">
        <f>IF(OR($B145="",$A145&lt;87),"",--MID('Key Analysis'!$C141,87,1))</f>
        <v/>
      </c>
      <c r="HR145" s="29" t="str">
        <f>IF(OR($B145="",$A145&lt;88),"",--MID('Key Analysis'!$C141,88,1))</f>
        <v/>
      </c>
      <c r="HS145" s="29" t="str">
        <f>IF(OR($B145="",$A145&lt;89),"",--MID('Key Analysis'!$C141,89,1))</f>
        <v/>
      </c>
      <c r="HT145" s="29" t="str">
        <f>IF(OR($B145="",$A145&lt;90),"",--MID('Key Analysis'!$C141,90,1))</f>
        <v/>
      </c>
      <c r="HU145" s="29" t="str">
        <f>IF(OR($B145="",$A145&lt;91),"",--MID('Key Analysis'!$C141,91,1))</f>
        <v/>
      </c>
      <c r="HV145" s="29" t="str">
        <f>IF(OR($B145="",$A145&lt;92),"",--MID('Key Analysis'!$C141,92,1))</f>
        <v/>
      </c>
      <c r="HW145" s="29" t="str">
        <f>IF(OR($B145="",$A145&lt;93),"",--MID('Key Analysis'!$C141,93,1))</f>
        <v/>
      </c>
      <c r="HX145" s="29" t="str">
        <f>IF(OR($B145="",$A145&lt;94),"",--MID('Key Analysis'!$C141,94,1))</f>
        <v/>
      </c>
      <c r="HY145" s="29" t="str">
        <f>IF(OR($B145="",$A145&lt;95),"",--MID('Key Analysis'!$C141,95,1))</f>
        <v/>
      </c>
      <c r="HZ145" s="29" t="str">
        <f>IF(OR($B145="",$A145&lt;96),"",--MID('Key Analysis'!$C141,96,1))</f>
        <v/>
      </c>
      <c r="IA145" s="29" t="str">
        <f>IF(OR($B145="",$A145&lt;97),"",--MID('Key Analysis'!$C141,97,1))</f>
        <v/>
      </c>
      <c r="IB145" s="29" t="str">
        <f>IF(OR($B145="",$A145&lt;98),"",--MID('Key Analysis'!$C141,98,1))</f>
        <v/>
      </c>
      <c r="IC145" s="29" t="str">
        <f>IF(OR($B145="",$A145&lt;99),"",--MID('Key Analysis'!$C141,99,1))</f>
        <v/>
      </c>
      <c r="ID145" s="29" t="str">
        <f>IF(OR($B145="",$A145&lt;100),"",--MID('Key Analysis'!$C141,100,1))</f>
        <v/>
      </c>
      <c r="IE145" s="29" t="str">
        <f>IF(OR($B145="",$A145&lt;101),"",--MID('Key Analysis'!$C141,101,1))</f>
        <v/>
      </c>
      <c r="IF145" s="29" t="str">
        <f>IF(OR($B145="",$A145&lt;102),"",--MID('Key Analysis'!$C141,102,1))</f>
        <v/>
      </c>
      <c r="IG145" s="29" t="str">
        <f>IF(OR($B145="",$A145&lt;103),"",--MID('Key Analysis'!$C141,103,1))</f>
        <v/>
      </c>
      <c r="IH145" s="29" t="str">
        <f>IF(OR($B145="",$A145&lt;104),"",--MID('Key Analysis'!$C141,104,1))</f>
        <v/>
      </c>
      <c r="II145" s="29" t="str">
        <f>IF(OR($B145="",$A145&lt;105),"",--MID('Key Analysis'!$C141,105,1))</f>
        <v/>
      </c>
      <c r="IJ145" s="29" t="str">
        <f>IF(OR($B145="",$A145&lt;106),"",--MID('Key Analysis'!$C141,106,1))</f>
        <v/>
      </c>
      <c r="IK145" s="29" t="str">
        <f>IF(OR($B145="",$A145&lt;107),"",--MID('Key Analysis'!$C141,107,1))</f>
        <v/>
      </c>
      <c r="IL145" s="29" t="str">
        <f>IF(OR($B145="",$A145&lt;108),"",--MID('Key Analysis'!$C141,108,1))</f>
        <v/>
      </c>
      <c r="IM145" s="29" t="str">
        <f>IF(OR($B145="",$A145&lt;109),"",--MID('Key Analysis'!$C141,109,1))</f>
        <v/>
      </c>
      <c r="IN145" s="29" t="str">
        <f>IF(OR($B145="",$A145&lt;110),"",--MID('Key Analysis'!$C141,110,1))</f>
        <v/>
      </c>
      <c r="IO145" s="29" t="str">
        <f>IF(OR($B145="",$A145&lt;111),"",--MID('Key Analysis'!$C141,111,1))</f>
        <v/>
      </c>
      <c r="IP145" s="29" t="str">
        <f>IF(OR($B145="",$A145&lt;112),"",--MID('Key Analysis'!$C141,112,1))</f>
        <v/>
      </c>
      <c r="IQ145" s="29" t="str">
        <f>IF(OR($B145="",$A145&lt;113),"",--MID('Key Analysis'!$C141,113,1))</f>
        <v/>
      </c>
      <c r="IR145" s="29" t="str">
        <f>IF(OR($B145="",$A145&lt;114),"",--MID('Key Analysis'!$C141,114,1))</f>
        <v/>
      </c>
      <c r="IS145" s="29" t="str">
        <f>IF(OR($B145="",$A145&lt;115),"",--MID('Key Analysis'!$C141,115,1))</f>
        <v/>
      </c>
      <c r="IT145" s="29" t="str">
        <f>IF(OR($B145="",$A145&lt;116),"",--MID('Key Analysis'!$C141,116,1))</f>
        <v/>
      </c>
      <c r="IU145" s="29" t="str">
        <f>IF(OR($B145="",$A145&lt;117),"",--MID('Key Analysis'!$C141,117,1))</f>
        <v/>
      </c>
      <c r="IV145" s="29" t="str">
        <f>IF(OR($B145="",$A145&lt;118),"",--MID('Key Analysis'!$C141,118,1))</f>
        <v/>
      </c>
      <c r="IW145" s="29" t="str">
        <f>IF(OR($B145="",$A145&lt;119),"",--MID('Key Analysis'!$C141,119,1))</f>
        <v/>
      </c>
      <c r="IX145" s="29" t="str">
        <f>IF(OR($B145="",$A145&lt;120),"",--MID('Key Analysis'!$C141,120,1))</f>
        <v/>
      </c>
      <c r="IY145" s="29" t="str">
        <f>IF(OR($B145="",$A145&lt;121),"",--MID('Key Analysis'!$C141,121,1))</f>
        <v/>
      </c>
      <c r="IZ145" s="29" t="str">
        <f>IF(OR($B145="",$A145&lt;122),"",--MID('Key Analysis'!$C141,122,1))</f>
        <v/>
      </c>
      <c r="JA145" s="29" t="str">
        <f>IF(OR($B145="",$A145&lt;123),"",--MID('Key Analysis'!$C141,123,1))</f>
        <v/>
      </c>
      <c r="JB145" s="29" t="str">
        <f>IF(OR($B145="",$A145&lt;124),"",--MID('Key Analysis'!$C141,124,1))</f>
        <v/>
      </c>
      <c r="JC145" s="29" t="str">
        <f>IF(OR($B145="",$A145&lt;125),"",--MID('Key Analysis'!$C141,125,1))</f>
        <v/>
      </c>
      <c r="JD145" s="29" t="str">
        <f>IF(OR($B145="",$A145&lt;126),"",--MID('Key Analysis'!$C141,126,1))</f>
        <v/>
      </c>
      <c r="JE145" s="29" t="str">
        <f>IF(OR($B145="",$A145&lt;127),"",--MID('Key Analysis'!$C141,127,1))</f>
        <v/>
      </c>
      <c r="JF145" s="29" t="str">
        <f>IF(OR($B145="",$A145&lt;128),"",--MID('Key Analysis'!$C141,128,1))</f>
        <v/>
      </c>
      <c r="JG145" s="29" t="str">
        <f>IF(OR($B145="",$A145&lt;129),"",--MID('Key Analysis'!$C141,129,1))</f>
        <v/>
      </c>
      <c r="JH145" s="29" t="str">
        <f>IF(OR($B145="",$A145&lt;130),"",--MID('Key Analysis'!$C141,130,1))</f>
        <v/>
      </c>
      <c r="JI145" s="29" t="str">
        <f>IF(OR($B145="",$A145&lt;131),"",--MID('Key Analysis'!$C141,131,1))</f>
        <v/>
      </c>
      <c r="JJ145" s="29" t="str">
        <f>IF(OR($B145="",$A145&lt;132),"",--MID('Key Analysis'!$C141,132,1))</f>
        <v/>
      </c>
      <c r="JK145" s="29" t="str">
        <f>IF(OR($B145="",$A145&lt;133),"",--MID('Key Analysis'!$C141,133,1))</f>
        <v/>
      </c>
      <c r="JL145" s="29" t="str">
        <f>IF(OR($B145="",$A145&lt;134),"",--MID('Key Analysis'!$C141,134,1))</f>
        <v/>
      </c>
      <c r="JM145" s="29" t="str">
        <f>IF(OR($B145="",$A145&lt;135),"",--MID('Key Analysis'!$C141,135,1))</f>
        <v/>
      </c>
    </row>
    <row r="146" spans="1:273" x14ac:dyDescent="0.25">
      <c r="A146" s="21">
        <f>'Key Analysis'!A142</f>
        <v>141</v>
      </c>
      <c r="B146" s="30" t="str">
        <f>'Key Analysis'!B142</f>
        <v/>
      </c>
      <c r="C146" s="29" t="str">
        <f>IF(OR($B146="",$A146&lt;=0),"",--MID('Key Analysis'!$C142,$A146-0,1))</f>
        <v/>
      </c>
      <c r="D146" s="29" t="str">
        <f>IF(OR($B146="",$A146&lt;=1),"",--MID('Key Analysis'!$C142,$A146-1,1))</f>
        <v/>
      </c>
      <c r="E146" s="29" t="str">
        <f>IF(OR($B146="",$A146&lt;=2),"",--MID('Key Analysis'!$C142,$A146-2,1))</f>
        <v/>
      </c>
      <c r="F146" s="29" t="str">
        <f>IF(OR($B146="",$A146&lt;=3),"",--MID('Key Analysis'!$C142,$A146-3,1))</f>
        <v/>
      </c>
      <c r="G146" s="29" t="str">
        <f>IF(OR($B146="",$A146&lt;=4),"",--MID('Key Analysis'!$C142,$A146-4,1))</f>
        <v/>
      </c>
      <c r="H146" s="29" t="str">
        <f>IF(OR($B146="",$A146&lt;=5),"",--MID('Key Analysis'!$C142,$A146-5,1))</f>
        <v/>
      </c>
      <c r="I146" s="29" t="str">
        <f>IF(OR($B146="",$A146&lt;=6),"",--MID('Key Analysis'!$C142,$A146-6,1))</f>
        <v/>
      </c>
      <c r="J146" s="29" t="str">
        <f>IF(OR($B146="",$A146&lt;=7),"",--MID('Key Analysis'!$C142,$A146-7,1))</f>
        <v/>
      </c>
      <c r="K146" s="29" t="str">
        <f>IF(OR($B146="",$A146&lt;=8),"",--MID('Key Analysis'!$C142,$A146-8,1))</f>
        <v/>
      </c>
      <c r="L146" s="29" t="str">
        <f>IF(OR($B146="",$A146&lt;=9),"",--MID('Key Analysis'!$C142,$A146-9,1))</f>
        <v/>
      </c>
      <c r="M146" s="29" t="str">
        <f>IF(OR($B146="",$A146&lt;=10),"",--MID('Key Analysis'!$C142,$A146-10,1))</f>
        <v/>
      </c>
      <c r="N146" s="29" t="str">
        <f>IF(OR($B146="",$A146&lt;=11),"",--MID('Key Analysis'!$C142,$A146-11,1))</f>
        <v/>
      </c>
      <c r="O146" s="29" t="str">
        <f>IF(OR($B146="",$A146&lt;=12),"",--MID('Key Analysis'!$C142,$A146-12,1))</f>
        <v/>
      </c>
      <c r="P146" s="29" t="str">
        <f>IF(OR($B146="",$A146&lt;=13),"",--MID('Key Analysis'!$C142,$A146-13,1))</f>
        <v/>
      </c>
      <c r="Q146" s="29" t="str">
        <f>IF(OR($B146="",$A146&lt;=14),"",--MID('Key Analysis'!$C142,$A146-14,1))</f>
        <v/>
      </c>
      <c r="R146" s="29" t="str">
        <f>IF(OR($B146="",$A146&lt;=15),"",--MID('Key Analysis'!$C142,$A146-15,1))</f>
        <v/>
      </c>
      <c r="S146" s="29" t="str">
        <f>IF(OR($B146="",$A146&lt;=16),"",--MID('Key Analysis'!$C142,$A146-16,1))</f>
        <v/>
      </c>
      <c r="T146" s="29" t="str">
        <f>IF(OR($B146="",$A146&lt;=17),"",--MID('Key Analysis'!$C142,$A146-17,1))</f>
        <v/>
      </c>
      <c r="U146" s="29" t="str">
        <f>IF(OR($B146="",$A146&lt;=18),"",--MID('Key Analysis'!$C142,$A146-18,1))</f>
        <v/>
      </c>
      <c r="V146" s="29" t="str">
        <f>IF(OR($B146="",$A146&lt;=19),"",--MID('Key Analysis'!$C142,$A146-19,1))</f>
        <v/>
      </c>
      <c r="W146" s="29" t="str">
        <f>IF(OR($B146="",$A146&lt;=20),"",--MID('Key Analysis'!$C142,$A146-20,1))</f>
        <v/>
      </c>
      <c r="X146" s="29" t="str">
        <f>IF(OR($B146="",$A146&lt;=21),"",--MID('Key Analysis'!$C142,$A146-21,1))</f>
        <v/>
      </c>
      <c r="Y146" s="29" t="str">
        <f>IF(OR($B146="",$A146&lt;=22),"",--MID('Key Analysis'!$C142,$A146-22,1))</f>
        <v/>
      </c>
      <c r="Z146" s="29" t="str">
        <f>IF(OR($B146="",$A146&lt;=23),"",--MID('Key Analysis'!$C142,$A146-23,1))</f>
        <v/>
      </c>
      <c r="AA146" s="29" t="str">
        <f>IF(OR($B146="",$A146&lt;=24),"",--MID('Key Analysis'!$C142,$A146-24,1))</f>
        <v/>
      </c>
      <c r="AB146" s="29" t="str">
        <f>IF(OR($B146="",$A146&lt;=25),"",--MID('Key Analysis'!$C142,$A146-25,1))</f>
        <v/>
      </c>
      <c r="AC146" s="29" t="str">
        <f>IF(OR($B146="",$A146&lt;=26),"",--MID('Key Analysis'!$C142,$A146-26,1))</f>
        <v/>
      </c>
      <c r="AD146" s="29" t="str">
        <f>IF(OR($B146="",$A146&lt;=27),"",--MID('Key Analysis'!$C142,$A146-27,1))</f>
        <v/>
      </c>
      <c r="AE146" s="29" t="str">
        <f>IF(OR($B146="",$A146&lt;=28),"",--MID('Key Analysis'!$C142,$A146-28,1))</f>
        <v/>
      </c>
      <c r="AF146" s="29" t="str">
        <f>IF(OR($B146="",$A146&lt;=29),"",--MID('Key Analysis'!$C142,$A146-29,1))</f>
        <v/>
      </c>
      <c r="AG146" s="29" t="str">
        <f>IF(OR($B146="",$A146&lt;=30),"",--MID('Key Analysis'!$C142,$A146-30,1))</f>
        <v/>
      </c>
      <c r="AH146" s="29" t="str">
        <f>IF(OR($B146="",$A146&lt;=31),"",--MID('Key Analysis'!$C142,$A146-31,1))</f>
        <v/>
      </c>
      <c r="AI146" s="29" t="str">
        <f>IF(OR($B146="",$A146&lt;=32),"",--MID('Key Analysis'!$C142,$A146-32,1))</f>
        <v/>
      </c>
      <c r="AJ146" s="29" t="str">
        <f>IF(OR($B146="",$A146&lt;=33),"",--MID('Key Analysis'!$C142,$A146-33,1))</f>
        <v/>
      </c>
      <c r="AK146" s="29" t="str">
        <f>IF(OR($B146="",$A146&lt;=34),"",--MID('Key Analysis'!$C142,$A146-34,1))</f>
        <v/>
      </c>
      <c r="AL146" s="29" t="str">
        <f>IF(OR($B146="",$A146&lt;=35),"",--MID('Key Analysis'!$C142,$A146-35,1))</f>
        <v/>
      </c>
      <c r="AM146" s="29" t="str">
        <f>IF(OR($B146="",$A146&lt;=36),"",--MID('Key Analysis'!$C142,$A146-36,1))</f>
        <v/>
      </c>
      <c r="AN146" s="29" t="str">
        <f>IF(OR($B146="",$A146&lt;=37),"",--MID('Key Analysis'!$C142,$A146-37,1))</f>
        <v/>
      </c>
      <c r="AO146" s="29" t="str">
        <f>IF(OR($B146="",$A146&lt;=38),"",--MID('Key Analysis'!$C142,$A146-38,1))</f>
        <v/>
      </c>
      <c r="AP146" s="29" t="str">
        <f>IF(OR($B146="",$A146&lt;=39),"",--MID('Key Analysis'!$C142,$A146-39,1))</f>
        <v/>
      </c>
      <c r="AQ146" s="29" t="str">
        <f>IF(OR($B146="",$A146&lt;=40),"",--MID('Key Analysis'!$C142,$A146-40,1))</f>
        <v/>
      </c>
      <c r="AR146" s="29" t="str">
        <f>IF(OR($B146="",$A146&lt;=41),"",--MID('Key Analysis'!$C142,$A146-41,1))</f>
        <v/>
      </c>
      <c r="AS146" s="29" t="str">
        <f>IF(OR($B146="",$A146&lt;=42),"",--MID('Key Analysis'!$C142,$A146-42,1))</f>
        <v/>
      </c>
      <c r="AT146" s="29" t="str">
        <f>IF(OR($B146="",$A146&lt;=43),"",--MID('Key Analysis'!$C142,$A146-43,1))</f>
        <v/>
      </c>
      <c r="AU146" s="29" t="str">
        <f>IF(OR($B146="",$A146&lt;=44),"",--MID('Key Analysis'!$C142,$A146-44,1))</f>
        <v/>
      </c>
      <c r="AV146" s="29" t="str">
        <f>IF(OR($B146="",$A146&lt;=45),"",--MID('Key Analysis'!$C142,$A146-45,1))</f>
        <v/>
      </c>
      <c r="AW146" s="29" t="str">
        <f>IF(OR($B146="",$A146&lt;=46),"",--MID('Key Analysis'!$C142,$A146-46,1))</f>
        <v/>
      </c>
      <c r="AX146" s="29" t="str">
        <f>IF(OR($B146="",$A146&lt;=47),"",--MID('Key Analysis'!$C142,$A146-47,1))</f>
        <v/>
      </c>
      <c r="AY146" s="29" t="str">
        <f>IF(OR($B146="",$A146&lt;=48),"",--MID('Key Analysis'!$C142,$A146-48,1))</f>
        <v/>
      </c>
      <c r="AZ146" s="29" t="str">
        <f>IF(OR($B146="",$A146&lt;=49),"",--MID('Key Analysis'!$C142,$A146-49,1))</f>
        <v/>
      </c>
      <c r="BA146" s="29" t="str">
        <f>IF(OR($B146="",$A146&lt;=50),"",--MID('Key Analysis'!$C142,$A146-50,1))</f>
        <v/>
      </c>
      <c r="BB146" s="29" t="str">
        <f>IF(OR($B146="",$A146&lt;=51),"",--MID('Key Analysis'!$C142,$A146-51,1))</f>
        <v/>
      </c>
      <c r="BC146" s="29" t="str">
        <f>IF(OR($B146="",$A146&lt;=52),"",--MID('Key Analysis'!$C142,$A146-52,1))</f>
        <v/>
      </c>
      <c r="BD146" s="29" t="str">
        <f>IF(OR($B146="",$A146&lt;=53),"",--MID('Key Analysis'!$C142,$A146-53,1))</f>
        <v/>
      </c>
      <c r="BE146" s="29" t="str">
        <f>IF(OR($B146="",$A146&lt;=54),"",--MID('Key Analysis'!$C142,$A146-54,1))</f>
        <v/>
      </c>
      <c r="BF146" s="29" t="str">
        <f>IF(OR($B146="",$A146&lt;=55),"",--MID('Key Analysis'!$C142,$A146-55,1))</f>
        <v/>
      </c>
      <c r="BG146" s="29" t="str">
        <f>IF(OR($B146="",$A146&lt;=56),"",--MID('Key Analysis'!$C142,$A146-56,1))</f>
        <v/>
      </c>
      <c r="BH146" s="29" t="str">
        <f>IF(OR($B146="",$A146&lt;=57),"",--MID('Key Analysis'!$C142,$A146-57,1))</f>
        <v/>
      </c>
      <c r="BI146" s="29" t="str">
        <f>IF(OR($B146="",$A146&lt;=58),"",--MID('Key Analysis'!$C142,$A146-58,1))</f>
        <v/>
      </c>
      <c r="BJ146" s="29" t="str">
        <f>IF(OR($B146="",$A146&lt;=59),"",--MID('Key Analysis'!$C142,$A146-59,1))</f>
        <v/>
      </c>
      <c r="BK146" s="29" t="str">
        <f>IF(OR($B146="",$A146&lt;=60),"",--MID('Key Analysis'!$C142,$A146-60,1))</f>
        <v/>
      </c>
      <c r="BL146" s="29" t="str">
        <f>IF(OR($B146="",$A146&lt;=61),"",--MID('Key Analysis'!$C142,$A146-61,1))</f>
        <v/>
      </c>
      <c r="BM146" s="29" t="str">
        <f>IF(OR($B146="",$A146&lt;=62),"",--MID('Key Analysis'!$C142,$A146-62,1))</f>
        <v/>
      </c>
      <c r="BN146" s="29" t="str">
        <f>IF(OR($B146="",$A146&lt;=63),"",--MID('Key Analysis'!$C142,$A146-63,1))</f>
        <v/>
      </c>
      <c r="BO146" s="29" t="str">
        <f>IF(OR($B146="",$A146&lt;=64),"",--MID('Key Analysis'!$C142,$A146-64,1))</f>
        <v/>
      </c>
      <c r="BP146" s="29" t="str">
        <f>IF(OR($B146="",$A146&lt;=65),"",--MID('Key Analysis'!$C142,$A146-65,1))</f>
        <v/>
      </c>
      <c r="BQ146" s="29" t="str">
        <f>IF(OR($B146="",$A146&lt;=66),"",--MID('Key Analysis'!$C142,$A146-66,1))</f>
        <v/>
      </c>
      <c r="BR146" s="29" t="str">
        <f>IF(OR($B146="",$A146&lt;=67),"",--MID('Key Analysis'!$C142,$A146-67,1))</f>
        <v/>
      </c>
      <c r="BS146" s="29" t="str">
        <f>IF(OR($B146="",$A146&lt;=68),"",--MID('Key Analysis'!$C142,$A146-68,1))</f>
        <v/>
      </c>
      <c r="BT146" s="29" t="str">
        <f>IF(OR($B146="",$A146&lt;=69),"",--MID('Key Analysis'!$C142,$A146-69,1))</f>
        <v/>
      </c>
      <c r="BU146" s="29" t="str">
        <f>IF(OR($B146="",$A146&lt;=70),"",--MID('Key Analysis'!$C142,$A146-70,1))</f>
        <v/>
      </c>
      <c r="BV146" s="29" t="str">
        <f>IF(OR($B146="",$A146&lt;=71),"",--MID('Key Analysis'!$C142,$A146-71,1))</f>
        <v/>
      </c>
      <c r="BW146" s="29" t="str">
        <f>IF(OR($B146="",$A146&lt;=72),"",--MID('Key Analysis'!$C142,$A146-72,1))</f>
        <v/>
      </c>
      <c r="BX146" s="29" t="str">
        <f>IF(OR($B146="",$A146&lt;=73),"",--MID('Key Analysis'!$C142,$A146-73,1))</f>
        <v/>
      </c>
      <c r="BY146" s="29" t="str">
        <f>IF(OR($B146="",$A146&lt;=74),"",--MID('Key Analysis'!$C142,$A146-74,1))</f>
        <v/>
      </c>
      <c r="BZ146" s="29" t="str">
        <f>IF(OR($B146="",$A146&lt;=75),"",--MID('Key Analysis'!$C142,$A146-75,1))</f>
        <v/>
      </c>
      <c r="CA146" s="29" t="str">
        <f>IF(OR($B146="",$A146&lt;=76),"",--MID('Key Analysis'!$C142,$A146-76,1))</f>
        <v/>
      </c>
      <c r="CB146" s="29" t="str">
        <f>IF(OR($B146="",$A146&lt;=77),"",--MID('Key Analysis'!$C142,$A146-77,1))</f>
        <v/>
      </c>
      <c r="CC146" s="29" t="str">
        <f>IF(OR($B146="",$A146&lt;=78),"",--MID('Key Analysis'!$C142,$A146-78,1))</f>
        <v/>
      </c>
      <c r="CD146" s="29" t="str">
        <f>IF(OR($B146="",$A146&lt;=79),"",--MID('Key Analysis'!$C142,$A146-79,1))</f>
        <v/>
      </c>
      <c r="CE146" s="29" t="str">
        <f>IF(OR($B146="",$A146&lt;=80),"",--MID('Key Analysis'!$C142,$A146-80,1))</f>
        <v/>
      </c>
      <c r="CF146" s="29" t="str">
        <f>IF(OR($B146="",$A146&lt;=81),"",--MID('Key Analysis'!$C142,$A146-81,1))</f>
        <v/>
      </c>
      <c r="CG146" s="29" t="str">
        <f>IF(OR($B146="",$A146&lt;=82),"",--MID('Key Analysis'!$C142,$A146-82,1))</f>
        <v/>
      </c>
      <c r="CH146" s="29" t="str">
        <f>IF(OR($B146="",$A146&lt;=83),"",--MID('Key Analysis'!$C142,$A146-83,1))</f>
        <v/>
      </c>
      <c r="CI146" s="29" t="str">
        <f>IF(OR($B146="",$A146&lt;=84),"",--MID('Key Analysis'!$C142,$A146-84,1))</f>
        <v/>
      </c>
      <c r="CJ146" s="29" t="str">
        <f>IF(OR($B146="",$A146&lt;=85),"",--MID('Key Analysis'!$C142,$A146-85,1))</f>
        <v/>
      </c>
      <c r="CK146" s="29" t="str">
        <f>IF(OR($B146="",$A146&lt;=86),"",--MID('Key Analysis'!$C142,$A146-86,1))</f>
        <v/>
      </c>
      <c r="CL146" s="29" t="str">
        <f>IF(OR($B146="",$A146&lt;=87),"",--MID('Key Analysis'!$C142,$A146-87,1))</f>
        <v/>
      </c>
      <c r="CM146" s="29" t="str">
        <f>IF(OR($B146="",$A146&lt;=88),"",--MID('Key Analysis'!$C142,$A146-88,1))</f>
        <v/>
      </c>
      <c r="CN146" s="29" t="str">
        <f>IF(OR($B146="",$A146&lt;=89),"",--MID('Key Analysis'!$C142,$A146-89,1))</f>
        <v/>
      </c>
      <c r="CO146" s="29" t="str">
        <f>IF(OR($B146="",$A146&lt;=90),"",--MID('Key Analysis'!$C142,$A146-90,1))</f>
        <v/>
      </c>
      <c r="CP146" s="29" t="str">
        <f>IF(OR($B146="",$A146&lt;=91),"",--MID('Key Analysis'!$C142,$A146-91,1))</f>
        <v/>
      </c>
      <c r="CQ146" s="29" t="str">
        <f>IF(OR($B146="",$A146&lt;=92),"",--MID('Key Analysis'!$C142,$A146-92,1))</f>
        <v/>
      </c>
      <c r="CR146" s="29" t="str">
        <f>IF(OR($B146="",$A146&lt;=93),"",--MID('Key Analysis'!$C142,$A146-93,1))</f>
        <v/>
      </c>
      <c r="CS146" s="29" t="str">
        <f>IF(OR($B146="",$A146&lt;=94),"",--MID('Key Analysis'!$C142,$A146-94,1))</f>
        <v/>
      </c>
      <c r="CT146" s="29" t="str">
        <f>IF(OR($B146="",$A146&lt;=95),"",--MID('Key Analysis'!$C142,$A146-95,1))</f>
        <v/>
      </c>
      <c r="CU146" s="29" t="str">
        <f>IF(OR($B146="",$A146&lt;=96),"",--MID('Key Analysis'!$C142,$A146-96,1))</f>
        <v/>
      </c>
      <c r="CV146" s="29" t="str">
        <f>IF(OR($B146="",$A146&lt;=97),"",--MID('Key Analysis'!$C142,$A146-97,1))</f>
        <v/>
      </c>
      <c r="CW146" s="29" t="str">
        <f>IF(OR($B146="",$A146&lt;=98),"",--MID('Key Analysis'!$C142,$A146-98,1))</f>
        <v/>
      </c>
      <c r="CX146" s="29" t="str">
        <f>IF(OR($B146="",$A146&lt;=99),"",--MID('Key Analysis'!$C142,$A146-99,1))</f>
        <v/>
      </c>
      <c r="CY146" s="29" t="str">
        <f>IF(OR($B146="",$A146&lt;=100),"",--MID('Key Analysis'!$C142,$A146-100,1))</f>
        <v/>
      </c>
      <c r="CZ146" s="29" t="str">
        <f>IF(OR($B146="",$A146&lt;=101),"",--MID('Key Analysis'!$C142,$A146-101,1))</f>
        <v/>
      </c>
      <c r="DA146" s="29" t="str">
        <f>IF(OR($B146="",$A146&lt;=102),"",--MID('Key Analysis'!$C142,$A146-102,1))</f>
        <v/>
      </c>
      <c r="DB146" s="29" t="str">
        <f>IF(OR($B146="",$A146&lt;=103),"",--MID('Key Analysis'!$C142,$A146-103,1))</f>
        <v/>
      </c>
      <c r="DC146" s="29" t="str">
        <f>IF(OR($B146="",$A146&lt;=104),"",--MID('Key Analysis'!$C142,$A146-104,1))</f>
        <v/>
      </c>
      <c r="DD146" s="29" t="str">
        <f>IF(OR($B146="",$A146&lt;=105),"",--MID('Key Analysis'!$C142,$A146-105,1))</f>
        <v/>
      </c>
      <c r="DE146" s="29" t="str">
        <f>IF(OR($B146="",$A146&lt;=106),"",--MID('Key Analysis'!$C142,$A146-106,1))</f>
        <v/>
      </c>
      <c r="DF146" s="29" t="str">
        <f>IF(OR($B146="",$A146&lt;=107),"",--MID('Key Analysis'!$C142,$A146-107,1))</f>
        <v/>
      </c>
      <c r="DG146" s="29" t="str">
        <f>IF(OR($B146="",$A146&lt;=108),"",--MID('Key Analysis'!$C142,$A146-108,1))</f>
        <v/>
      </c>
      <c r="DH146" s="29" t="str">
        <f>IF(OR($B146="",$A146&lt;=109),"",--MID('Key Analysis'!$C142,$A146-109,1))</f>
        <v/>
      </c>
      <c r="DI146" s="29" t="str">
        <f>IF(OR($B146="",$A146&lt;=110),"",--MID('Key Analysis'!$C142,$A146-110,1))</f>
        <v/>
      </c>
      <c r="DJ146" s="29" t="str">
        <f>IF(OR($B146="",$A146&lt;=111),"",--MID('Key Analysis'!$C142,$A146-111,1))</f>
        <v/>
      </c>
      <c r="DK146" s="29" t="str">
        <f>IF(OR($B146="",$A146&lt;=112),"",--MID('Key Analysis'!$C142,$A146-112,1))</f>
        <v/>
      </c>
      <c r="DL146" s="29" t="str">
        <f>IF(OR($B146="",$A146&lt;=113),"",--MID('Key Analysis'!$C142,$A146-113,1))</f>
        <v/>
      </c>
      <c r="DM146" s="29" t="str">
        <f>IF(OR($B146="",$A146&lt;=114),"",--MID('Key Analysis'!$C142,$A146-114,1))</f>
        <v/>
      </c>
      <c r="DN146" s="29" t="str">
        <f>IF(OR($B146="",$A146&lt;=115),"",--MID('Key Analysis'!$C142,$A146-115,1))</f>
        <v/>
      </c>
      <c r="DO146" s="29" t="str">
        <f>IF(OR($B146="",$A146&lt;=116),"",--MID('Key Analysis'!$C142,$A146-116,1))</f>
        <v/>
      </c>
      <c r="DP146" s="29" t="str">
        <f>IF(OR($B146="",$A146&lt;=117),"",--MID('Key Analysis'!$C142,$A146-117,1))</f>
        <v/>
      </c>
      <c r="DQ146" s="29" t="str">
        <f>IF(OR($B146="",$A146&lt;=118),"",--MID('Key Analysis'!$C142,$A146-118,1))</f>
        <v/>
      </c>
      <c r="DR146" s="29" t="str">
        <f>IF(OR($B146="",$A146&lt;=119),"",--MID('Key Analysis'!$C142,$A146-119,1))</f>
        <v/>
      </c>
      <c r="DS146" s="29" t="str">
        <f>IF(OR($B146="",$A146&lt;=120),"",--MID('Key Analysis'!$C142,$A146-120,1))</f>
        <v/>
      </c>
      <c r="DT146" s="29" t="str">
        <f>IF(OR($B146="",$A146&lt;=121),"",--MID('Key Analysis'!$C142,$A146-121,1))</f>
        <v/>
      </c>
      <c r="DU146" s="29" t="str">
        <f>IF(OR($B146="",$A146&lt;=122),"",--MID('Key Analysis'!$C142,$A146-122,1))</f>
        <v/>
      </c>
      <c r="DV146" s="29" t="str">
        <f>IF(OR($B146="",$A146&lt;=123),"",--MID('Key Analysis'!$C142,$A146-123,1))</f>
        <v/>
      </c>
      <c r="DW146" s="29" t="str">
        <f>IF(OR($B146="",$A146&lt;=124),"",--MID('Key Analysis'!$C142,$A146-124,1))</f>
        <v/>
      </c>
      <c r="DX146" s="29" t="str">
        <f>IF(OR($B146="",$A146&lt;=125),"",--MID('Key Analysis'!$C142,$A146-125,1))</f>
        <v/>
      </c>
      <c r="DY146" s="29" t="str">
        <f>IF(OR($B146="",$A146&lt;=126),"",--MID('Key Analysis'!$C142,$A146-126,1))</f>
        <v/>
      </c>
      <c r="DZ146" s="29" t="str">
        <f>IF(OR($B146="",$A146&lt;=127),"",--MID('Key Analysis'!$C142,$A146-127,1))</f>
        <v/>
      </c>
      <c r="EA146" s="29" t="str">
        <f>IF(OR($B146="",$A146&lt;=128),"",--MID('Key Analysis'!$C142,$A146-128,1))</f>
        <v/>
      </c>
      <c r="EB146" s="29" t="str">
        <f>IF(OR($B146="",$A146&lt;=129),"",--MID('Key Analysis'!$C142,$A146-129,1))</f>
        <v/>
      </c>
      <c r="EC146" s="29" t="str">
        <f>IF(OR($B146="",$A146&lt;=130),"",--MID('Key Analysis'!$C142,$A146-130,1))</f>
        <v/>
      </c>
      <c r="ED146" s="29" t="str">
        <f>IF(OR($B146="",$A146&lt;=131),"",--MID('Key Analysis'!$C142,$A146-131,1))</f>
        <v/>
      </c>
      <c r="EE146" s="29" t="str">
        <f>IF(OR($B146="",$A146&lt;=132),"",--MID('Key Analysis'!$C142,$A146-132,1))</f>
        <v/>
      </c>
      <c r="EF146" s="29" t="str">
        <f>IF(OR($B146="",$A146&lt;=133),"",--MID('Key Analysis'!$C142,$A146-133,1))</f>
        <v/>
      </c>
      <c r="EG146" s="29" t="str">
        <f>IF(OR($B146="",$A146&lt;=134),"",--MID('Key Analysis'!$C142,$A146-134,1))</f>
        <v/>
      </c>
      <c r="EH146" s="29"/>
      <c r="EI146" s="29" t="str">
        <f>IF(OR($B146="",$A146&lt;1),"",--MID('Key Analysis'!$C142,1,1))</f>
        <v/>
      </c>
      <c r="EJ146" s="29" t="str">
        <f>IF(OR($B146="",$A146&lt;2),"",--MID('Key Analysis'!$C142,2,1))</f>
        <v/>
      </c>
      <c r="EK146" s="29" t="str">
        <f>IF(OR($B146="",$A146&lt;3),"",--MID('Key Analysis'!$C142,3,1))</f>
        <v/>
      </c>
      <c r="EL146" s="29" t="str">
        <f>IF(OR($B146="",$A146&lt;4),"",--MID('Key Analysis'!$C142,4,1))</f>
        <v/>
      </c>
      <c r="EM146" s="29" t="str">
        <f>IF(OR($B146="",$A146&lt;5),"",--MID('Key Analysis'!$C142,5,1))</f>
        <v/>
      </c>
      <c r="EN146" s="29" t="str">
        <f>IF(OR($B146="",$A146&lt;6),"",--MID('Key Analysis'!$C142,6,1))</f>
        <v/>
      </c>
      <c r="EO146" s="29" t="str">
        <f>IF(OR($B146="",$A146&lt;7),"",--MID('Key Analysis'!$C142,7,1))</f>
        <v/>
      </c>
      <c r="EP146" s="29" t="str">
        <f>IF(OR($B146="",$A146&lt;8),"",--MID('Key Analysis'!$C142,8,1))</f>
        <v/>
      </c>
      <c r="EQ146" s="29" t="str">
        <f>IF(OR($B146="",$A146&lt;9),"",--MID('Key Analysis'!$C142,9,1))</f>
        <v/>
      </c>
      <c r="ER146" s="29" t="str">
        <f>IF(OR($B146="",$A146&lt;10),"",--MID('Key Analysis'!$C142,10,1))</f>
        <v/>
      </c>
      <c r="ES146" s="29" t="str">
        <f>IF(OR($B146="",$A146&lt;11),"",--MID('Key Analysis'!$C142,11,1))</f>
        <v/>
      </c>
      <c r="ET146" s="29" t="str">
        <f>IF(OR($B146="",$A146&lt;12),"",--MID('Key Analysis'!$C142,12,1))</f>
        <v/>
      </c>
      <c r="EU146" s="29" t="str">
        <f>IF(OR($B146="",$A146&lt;13),"",--MID('Key Analysis'!$C142,13,1))</f>
        <v/>
      </c>
      <c r="EV146" s="29" t="str">
        <f>IF(OR($B146="",$A146&lt;14),"",--MID('Key Analysis'!$C142,14,1))</f>
        <v/>
      </c>
      <c r="EW146" s="29" t="str">
        <f>IF(OR($B146="",$A146&lt;15),"",--MID('Key Analysis'!$C142,15,1))</f>
        <v/>
      </c>
      <c r="EX146" s="29" t="str">
        <f>IF(OR($B146="",$A146&lt;16),"",--MID('Key Analysis'!$C142,16,1))</f>
        <v/>
      </c>
      <c r="EY146" s="29" t="str">
        <f>IF(OR($B146="",$A146&lt;17),"",--MID('Key Analysis'!$C142,17,1))</f>
        <v/>
      </c>
      <c r="EZ146" s="29" t="str">
        <f>IF(OR($B146="",$A146&lt;18),"",--MID('Key Analysis'!$C142,18,1))</f>
        <v/>
      </c>
      <c r="FA146" s="29" t="str">
        <f>IF(OR($B146="",$A146&lt;19),"",--MID('Key Analysis'!$C142,19,1))</f>
        <v/>
      </c>
      <c r="FB146" s="29" t="str">
        <f>IF(OR($B146="",$A146&lt;20),"",--MID('Key Analysis'!$C142,20,1))</f>
        <v/>
      </c>
      <c r="FC146" s="29" t="str">
        <f>IF(OR($B146="",$A146&lt;21),"",--MID('Key Analysis'!$C142,21,1))</f>
        <v/>
      </c>
      <c r="FD146" s="29" t="str">
        <f>IF(OR($B146="",$A146&lt;22),"",--MID('Key Analysis'!$C142,22,1))</f>
        <v/>
      </c>
      <c r="FE146" s="29" t="str">
        <f>IF(OR($B146="",$A146&lt;23),"",--MID('Key Analysis'!$C142,23,1))</f>
        <v/>
      </c>
      <c r="FF146" s="29" t="str">
        <f>IF(OR($B146="",$A146&lt;24),"",--MID('Key Analysis'!$C142,24,1))</f>
        <v/>
      </c>
      <c r="FG146" s="29" t="str">
        <f>IF(OR($B146="",$A146&lt;25),"",--MID('Key Analysis'!$C142,25,1))</f>
        <v/>
      </c>
      <c r="FH146" s="29" t="str">
        <f>IF(OR($B146="",$A146&lt;26),"",--MID('Key Analysis'!$C142,26,1))</f>
        <v/>
      </c>
      <c r="FI146" s="29" t="str">
        <f>IF(OR($B146="",$A146&lt;27),"",--MID('Key Analysis'!$C142,27,1))</f>
        <v/>
      </c>
      <c r="FJ146" s="29" t="str">
        <f>IF(OR($B146="",$A146&lt;28),"",--MID('Key Analysis'!$C142,28,1))</f>
        <v/>
      </c>
      <c r="FK146" s="29" t="str">
        <f>IF(OR($B146="",$A146&lt;29),"",--MID('Key Analysis'!$C142,29,1))</f>
        <v/>
      </c>
      <c r="FL146" s="29" t="str">
        <f>IF(OR($B146="",$A146&lt;30),"",--MID('Key Analysis'!$C142,30,1))</f>
        <v/>
      </c>
      <c r="FM146" s="29" t="str">
        <f>IF(OR($B146="",$A146&lt;31),"",--MID('Key Analysis'!$C142,31,1))</f>
        <v/>
      </c>
      <c r="FN146" s="29" t="str">
        <f>IF(OR($B146="",$A146&lt;32),"",--MID('Key Analysis'!$C142,32,1))</f>
        <v/>
      </c>
      <c r="FO146" s="29" t="str">
        <f>IF(OR($B146="",$A146&lt;33),"",--MID('Key Analysis'!$C142,33,1))</f>
        <v/>
      </c>
      <c r="FP146" s="29" t="str">
        <f>IF(OR($B146="",$A146&lt;34),"",--MID('Key Analysis'!$C142,34,1))</f>
        <v/>
      </c>
      <c r="FQ146" s="29" t="str">
        <f>IF(OR($B146="",$A146&lt;35),"",--MID('Key Analysis'!$C142,35,1))</f>
        <v/>
      </c>
      <c r="FR146" s="29" t="str">
        <f>IF(OR($B146="",$A146&lt;36),"",--MID('Key Analysis'!$C142,36,1))</f>
        <v/>
      </c>
      <c r="FS146" s="29" t="str">
        <f>IF(OR($B146="",$A146&lt;37),"",--MID('Key Analysis'!$C142,37,1))</f>
        <v/>
      </c>
      <c r="FT146" s="29" t="str">
        <f>IF(OR($B146="",$A146&lt;38),"",--MID('Key Analysis'!$C142,38,1))</f>
        <v/>
      </c>
      <c r="FU146" s="29" t="str">
        <f>IF(OR($B146="",$A146&lt;39),"",--MID('Key Analysis'!$C142,39,1))</f>
        <v/>
      </c>
      <c r="FV146" s="29" t="str">
        <f>IF(OR($B146="",$A146&lt;40),"",--MID('Key Analysis'!$C142,40,1))</f>
        <v/>
      </c>
      <c r="FW146" s="29" t="str">
        <f>IF(OR($B146="",$A146&lt;41),"",--MID('Key Analysis'!$C142,41,1))</f>
        <v/>
      </c>
      <c r="FX146" s="29" t="str">
        <f>IF(OR($B146="",$A146&lt;42),"",--MID('Key Analysis'!$C142,42,1))</f>
        <v/>
      </c>
      <c r="FY146" s="29" t="str">
        <f>IF(OR($B146="",$A146&lt;43),"",--MID('Key Analysis'!$C142,43,1))</f>
        <v/>
      </c>
      <c r="FZ146" s="29" t="str">
        <f>IF(OR($B146="",$A146&lt;44),"",--MID('Key Analysis'!$C142,44,1))</f>
        <v/>
      </c>
      <c r="GA146" s="29" t="str">
        <f>IF(OR($B146="",$A146&lt;45),"",--MID('Key Analysis'!$C142,45,1))</f>
        <v/>
      </c>
      <c r="GB146" s="29" t="str">
        <f>IF(OR($B146="",$A146&lt;46),"",--MID('Key Analysis'!$C142,46,1))</f>
        <v/>
      </c>
      <c r="GC146" s="29" t="str">
        <f>IF(OR($B146="",$A146&lt;47),"",--MID('Key Analysis'!$C142,47,1))</f>
        <v/>
      </c>
      <c r="GD146" s="29" t="str">
        <f>IF(OR($B146="",$A146&lt;48),"",--MID('Key Analysis'!$C142,48,1))</f>
        <v/>
      </c>
      <c r="GE146" s="29" t="str">
        <f>IF(OR($B146="",$A146&lt;49),"",--MID('Key Analysis'!$C142,49,1))</f>
        <v/>
      </c>
      <c r="GF146" s="29" t="str">
        <f>IF(OR($B146="",$A146&lt;50),"",--MID('Key Analysis'!$C142,50,1))</f>
        <v/>
      </c>
      <c r="GG146" s="29" t="str">
        <f>IF(OR($B146="",$A146&lt;51),"",--MID('Key Analysis'!$C142,51,1))</f>
        <v/>
      </c>
      <c r="GH146" s="29" t="str">
        <f>IF(OR($B146="",$A146&lt;52),"",--MID('Key Analysis'!$C142,52,1))</f>
        <v/>
      </c>
      <c r="GI146" s="29" t="str">
        <f>IF(OR($B146="",$A146&lt;53),"",--MID('Key Analysis'!$C142,53,1))</f>
        <v/>
      </c>
      <c r="GJ146" s="29" t="str">
        <f>IF(OR($B146="",$A146&lt;54),"",--MID('Key Analysis'!$C142,54,1))</f>
        <v/>
      </c>
      <c r="GK146" s="29" t="str">
        <f>IF(OR($B146="",$A146&lt;55),"",--MID('Key Analysis'!$C142,55,1))</f>
        <v/>
      </c>
      <c r="GL146" s="29" t="str">
        <f>IF(OR($B146="",$A146&lt;56),"",--MID('Key Analysis'!$C142,56,1))</f>
        <v/>
      </c>
      <c r="GM146" s="29" t="str">
        <f>IF(OR($B146="",$A146&lt;57),"",--MID('Key Analysis'!$C142,57,1))</f>
        <v/>
      </c>
      <c r="GN146" s="29" t="str">
        <f>IF(OR($B146="",$A146&lt;58),"",--MID('Key Analysis'!$C142,58,1))</f>
        <v/>
      </c>
      <c r="GO146" s="29" t="str">
        <f>IF(OR($B146="",$A146&lt;59),"",--MID('Key Analysis'!$C142,59,1))</f>
        <v/>
      </c>
      <c r="GP146" s="29" t="str">
        <f>IF(OR($B146="",$A146&lt;60),"",--MID('Key Analysis'!$C142,60,1))</f>
        <v/>
      </c>
      <c r="GQ146" s="29" t="str">
        <f>IF(OR($B146="",$A146&lt;61),"",--MID('Key Analysis'!$C142,61,1))</f>
        <v/>
      </c>
      <c r="GR146" s="29" t="str">
        <f>IF(OR($B146="",$A146&lt;62),"",--MID('Key Analysis'!$C142,62,1))</f>
        <v/>
      </c>
      <c r="GS146" s="29" t="str">
        <f>IF(OR($B146="",$A146&lt;63),"",--MID('Key Analysis'!$C142,63,1))</f>
        <v/>
      </c>
      <c r="GT146" s="29" t="str">
        <f>IF(OR($B146="",$A146&lt;64),"",--MID('Key Analysis'!$C142,64,1))</f>
        <v/>
      </c>
      <c r="GU146" s="29" t="str">
        <f>IF(OR($B146="",$A146&lt;65),"",--MID('Key Analysis'!$C142,65,1))</f>
        <v/>
      </c>
      <c r="GV146" s="29" t="str">
        <f>IF(OR($B146="",$A146&lt;66),"",--MID('Key Analysis'!$C142,66,1))</f>
        <v/>
      </c>
      <c r="GW146" s="29" t="str">
        <f>IF(OR($B146="",$A146&lt;67),"",--MID('Key Analysis'!$C142,67,1))</f>
        <v/>
      </c>
      <c r="GX146" s="29" t="str">
        <f>IF(OR($B146="",$A146&lt;68),"",--MID('Key Analysis'!$C142,68,1))</f>
        <v/>
      </c>
      <c r="GY146" s="29" t="str">
        <f>IF(OR($B146="",$A146&lt;69),"",--MID('Key Analysis'!$C142,69,1))</f>
        <v/>
      </c>
      <c r="GZ146" s="29" t="str">
        <f>IF(OR($B146="",$A146&lt;70),"",--MID('Key Analysis'!$C142,70,1))</f>
        <v/>
      </c>
      <c r="HA146" s="29" t="str">
        <f>IF(OR($B146="",$A146&lt;71),"",--MID('Key Analysis'!$C142,71,1))</f>
        <v/>
      </c>
      <c r="HB146" s="29" t="str">
        <f>IF(OR($B146="",$A146&lt;72),"",--MID('Key Analysis'!$C142,72,1))</f>
        <v/>
      </c>
      <c r="HC146" s="29" t="str">
        <f>IF(OR($B146="",$A146&lt;73),"",--MID('Key Analysis'!$C142,73,1))</f>
        <v/>
      </c>
      <c r="HD146" s="29" t="str">
        <f>IF(OR($B146="",$A146&lt;74),"",--MID('Key Analysis'!$C142,74,1))</f>
        <v/>
      </c>
      <c r="HE146" s="29" t="str">
        <f>IF(OR($B146="",$A146&lt;75),"",--MID('Key Analysis'!$C142,75,1))</f>
        <v/>
      </c>
      <c r="HF146" s="29" t="str">
        <f>IF(OR($B146="",$A146&lt;76),"",--MID('Key Analysis'!$C142,76,1))</f>
        <v/>
      </c>
      <c r="HG146" s="29" t="str">
        <f>IF(OR($B146="",$A146&lt;77),"",--MID('Key Analysis'!$C142,77,1))</f>
        <v/>
      </c>
      <c r="HH146" s="29" t="str">
        <f>IF(OR($B146="",$A146&lt;78),"",--MID('Key Analysis'!$C142,78,1))</f>
        <v/>
      </c>
      <c r="HI146" s="29" t="str">
        <f>IF(OR($B146="",$A146&lt;79),"",--MID('Key Analysis'!$C142,79,1))</f>
        <v/>
      </c>
      <c r="HJ146" s="29" t="str">
        <f>IF(OR($B146="",$A146&lt;80),"",--MID('Key Analysis'!$C142,80,1))</f>
        <v/>
      </c>
      <c r="HK146" s="29" t="str">
        <f>IF(OR($B146="",$A146&lt;81),"",--MID('Key Analysis'!$C142,81,1))</f>
        <v/>
      </c>
      <c r="HL146" s="29" t="str">
        <f>IF(OR($B146="",$A146&lt;82),"",--MID('Key Analysis'!$C142,82,1))</f>
        <v/>
      </c>
      <c r="HM146" s="29" t="str">
        <f>IF(OR($B146="",$A146&lt;83),"",--MID('Key Analysis'!$C142,83,1))</f>
        <v/>
      </c>
      <c r="HN146" s="29" t="str">
        <f>IF(OR($B146="",$A146&lt;84),"",--MID('Key Analysis'!$C142,84,1))</f>
        <v/>
      </c>
      <c r="HO146" s="29" t="str">
        <f>IF(OR($B146="",$A146&lt;85),"",--MID('Key Analysis'!$C142,85,1))</f>
        <v/>
      </c>
      <c r="HP146" s="29" t="str">
        <f>IF(OR($B146="",$A146&lt;86),"",--MID('Key Analysis'!$C142,86,1))</f>
        <v/>
      </c>
      <c r="HQ146" s="29" t="str">
        <f>IF(OR($B146="",$A146&lt;87),"",--MID('Key Analysis'!$C142,87,1))</f>
        <v/>
      </c>
      <c r="HR146" s="29" t="str">
        <f>IF(OR($B146="",$A146&lt;88),"",--MID('Key Analysis'!$C142,88,1))</f>
        <v/>
      </c>
      <c r="HS146" s="29" t="str">
        <f>IF(OR($B146="",$A146&lt;89),"",--MID('Key Analysis'!$C142,89,1))</f>
        <v/>
      </c>
      <c r="HT146" s="29" t="str">
        <f>IF(OR($B146="",$A146&lt;90),"",--MID('Key Analysis'!$C142,90,1))</f>
        <v/>
      </c>
      <c r="HU146" s="29" t="str">
        <f>IF(OR($B146="",$A146&lt;91),"",--MID('Key Analysis'!$C142,91,1))</f>
        <v/>
      </c>
      <c r="HV146" s="29" t="str">
        <f>IF(OR($B146="",$A146&lt;92),"",--MID('Key Analysis'!$C142,92,1))</f>
        <v/>
      </c>
      <c r="HW146" s="29" t="str">
        <f>IF(OR($B146="",$A146&lt;93),"",--MID('Key Analysis'!$C142,93,1))</f>
        <v/>
      </c>
      <c r="HX146" s="29" t="str">
        <f>IF(OR($B146="",$A146&lt;94),"",--MID('Key Analysis'!$C142,94,1))</f>
        <v/>
      </c>
      <c r="HY146" s="29" t="str">
        <f>IF(OR($B146="",$A146&lt;95),"",--MID('Key Analysis'!$C142,95,1))</f>
        <v/>
      </c>
      <c r="HZ146" s="29" t="str">
        <f>IF(OR($B146="",$A146&lt;96),"",--MID('Key Analysis'!$C142,96,1))</f>
        <v/>
      </c>
      <c r="IA146" s="29" t="str">
        <f>IF(OR($B146="",$A146&lt;97),"",--MID('Key Analysis'!$C142,97,1))</f>
        <v/>
      </c>
      <c r="IB146" s="29" t="str">
        <f>IF(OR($B146="",$A146&lt;98),"",--MID('Key Analysis'!$C142,98,1))</f>
        <v/>
      </c>
      <c r="IC146" s="29" t="str">
        <f>IF(OR($B146="",$A146&lt;99),"",--MID('Key Analysis'!$C142,99,1))</f>
        <v/>
      </c>
      <c r="ID146" s="29" t="str">
        <f>IF(OR($B146="",$A146&lt;100),"",--MID('Key Analysis'!$C142,100,1))</f>
        <v/>
      </c>
      <c r="IE146" s="29" t="str">
        <f>IF(OR($B146="",$A146&lt;101),"",--MID('Key Analysis'!$C142,101,1))</f>
        <v/>
      </c>
      <c r="IF146" s="29" t="str">
        <f>IF(OR($B146="",$A146&lt;102),"",--MID('Key Analysis'!$C142,102,1))</f>
        <v/>
      </c>
      <c r="IG146" s="29" t="str">
        <f>IF(OR($B146="",$A146&lt;103),"",--MID('Key Analysis'!$C142,103,1))</f>
        <v/>
      </c>
      <c r="IH146" s="29" t="str">
        <f>IF(OR($B146="",$A146&lt;104),"",--MID('Key Analysis'!$C142,104,1))</f>
        <v/>
      </c>
      <c r="II146" s="29" t="str">
        <f>IF(OR($B146="",$A146&lt;105),"",--MID('Key Analysis'!$C142,105,1))</f>
        <v/>
      </c>
      <c r="IJ146" s="29" t="str">
        <f>IF(OR($B146="",$A146&lt;106),"",--MID('Key Analysis'!$C142,106,1))</f>
        <v/>
      </c>
      <c r="IK146" s="29" t="str">
        <f>IF(OR($B146="",$A146&lt;107),"",--MID('Key Analysis'!$C142,107,1))</f>
        <v/>
      </c>
      <c r="IL146" s="29" t="str">
        <f>IF(OR($B146="",$A146&lt;108),"",--MID('Key Analysis'!$C142,108,1))</f>
        <v/>
      </c>
      <c r="IM146" s="29" t="str">
        <f>IF(OR($B146="",$A146&lt;109),"",--MID('Key Analysis'!$C142,109,1))</f>
        <v/>
      </c>
      <c r="IN146" s="29" t="str">
        <f>IF(OR($B146="",$A146&lt;110),"",--MID('Key Analysis'!$C142,110,1))</f>
        <v/>
      </c>
      <c r="IO146" s="29" t="str">
        <f>IF(OR($B146="",$A146&lt;111),"",--MID('Key Analysis'!$C142,111,1))</f>
        <v/>
      </c>
      <c r="IP146" s="29" t="str">
        <f>IF(OR($B146="",$A146&lt;112),"",--MID('Key Analysis'!$C142,112,1))</f>
        <v/>
      </c>
      <c r="IQ146" s="29" t="str">
        <f>IF(OR($B146="",$A146&lt;113),"",--MID('Key Analysis'!$C142,113,1))</f>
        <v/>
      </c>
      <c r="IR146" s="29" t="str">
        <f>IF(OR($B146="",$A146&lt;114),"",--MID('Key Analysis'!$C142,114,1))</f>
        <v/>
      </c>
      <c r="IS146" s="29" t="str">
        <f>IF(OR($B146="",$A146&lt;115),"",--MID('Key Analysis'!$C142,115,1))</f>
        <v/>
      </c>
      <c r="IT146" s="29" t="str">
        <f>IF(OR($B146="",$A146&lt;116),"",--MID('Key Analysis'!$C142,116,1))</f>
        <v/>
      </c>
      <c r="IU146" s="29" t="str">
        <f>IF(OR($B146="",$A146&lt;117),"",--MID('Key Analysis'!$C142,117,1))</f>
        <v/>
      </c>
      <c r="IV146" s="29" t="str">
        <f>IF(OR($B146="",$A146&lt;118),"",--MID('Key Analysis'!$C142,118,1))</f>
        <v/>
      </c>
      <c r="IW146" s="29" t="str">
        <f>IF(OR($B146="",$A146&lt;119),"",--MID('Key Analysis'!$C142,119,1))</f>
        <v/>
      </c>
      <c r="IX146" s="29" t="str">
        <f>IF(OR($B146="",$A146&lt;120),"",--MID('Key Analysis'!$C142,120,1))</f>
        <v/>
      </c>
      <c r="IY146" s="29" t="str">
        <f>IF(OR($B146="",$A146&lt;121),"",--MID('Key Analysis'!$C142,121,1))</f>
        <v/>
      </c>
      <c r="IZ146" s="29" t="str">
        <f>IF(OR($B146="",$A146&lt;122),"",--MID('Key Analysis'!$C142,122,1))</f>
        <v/>
      </c>
      <c r="JA146" s="29" t="str">
        <f>IF(OR($B146="",$A146&lt;123),"",--MID('Key Analysis'!$C142,123,1))</f>
        <v/>
      </c>
      <c r="JB146" s="29" t="str">
        <f>IF(OR($B146="",$A146&lt;124),"",--MID('Key Analysis'!$C142,124,1))</f>
        <v/>
      </c>
      <c r="JC146" s="29" t="str">
        <f>IF(OR($B146="",$A146&lt;125),"",--MID('Key Analysis'!$C142,125,1))</f>
        <v/>
      </c>
      <c r="JD146" s="29" t="str">
        <f>IF(OR($B146="",$A146&lt;126),"",--MID('Key Analysis'!$C142,126,1))</f>
        <v/>
      </c>
      <c r="JE146" s="29" t="str">
        <f>IF(OR($B146="",$A146&lt;127),"",--MID('Key Analysis'!$C142,127,1))</f>
        <v/>
      </c>
      <c r="JF146" s="29" t="str">
        <f>IF(OR($B146="",$A146&lt;128),"",--MID('Key Analysis'!$C142,128,1))</f>
        <v/>
      </c>
      <c r="JG146" s="29" t="str">
        <f>IF(OR($B146="",$A146&lt;129),"",--MID('Key Analysis'!$C142,129,1))</f>
        <v/>
      </c>
      <c r="JH146" s="29" t="str">
        <f>IF(OR($B146="",$A146&lt;130),"",--MID('Key Analysis'!$C142,130,1))</f>
        <v/>
      </c>
      <c r="JI146" s="29" t="str">
        <f>IF(OR($B146="",$A146&lt;131),"",--MID('Key Analysis'!$C142,131,1))</f>
        <v/>
      </c>
      <c r="JJ146" s="29" t="str">
        <f>IF(OR($B146="",$A146&lt;132),"",--MID('Key Analysis'!$C142,132,1))</f>
        <v/>
      </c>
      <c r="JK146" s="29" t="str">
        <f>IF(OR($B146="",$A146&lt;133),"",--MID('Key Analysis'!$C142,133,1))</f>
        <v/>
      </c>
      <c r="JL146" s="29" t="str">
        <f>IF(OR($B146="",$A146&lt;134),"",--MID('Key Analysis'!$C142,134,1))</f>
        <v/>
      </c>
      <c r="JM146" s="29" t="str">
        <f>IF(OR($B146="",$A146&lt;135),"",--MID('Key Analysis'!$C142,135,1))</f>
        <v/>
      </c>
    </row>
    <row r="147" spans="1:273" x14ac:dyDescent="0.25">
      <c r="A147" s="21">
        <f>'Key Analysis'!A143</f>
        <v>142</v>
      </c>
      <c r="B147" s="30" t="str">
        <f>'Key Analysis'!B143</f>
        <v/>
      </c>
      <c r="C147" s="29" t="str">
        <f>IF(OR($B147="",$A147&lt;=0),"",--MID('Key Analysis'!$C143,$A147-0,1))</f>
        <v/>
      </c>
      <c r="D147" s="29" t="str">
        <f>IF(OR($B147="",$A147&lt;=1),"",--MID('Key Analysis'!$C143,$A147-1,1))</f>
        <v/>
      </c>
      <c r="E147" s="29" t="str">
        <f>IF(OR($B147="",$A147&lt;=2),"",--MID('Key Analysis'!$C143,$A147-2,1))</f>
        <v/>
      </c>
      <c r="F147" s="29" t="str">
        <f>IF(OR($B147="",$A147&lt;=3),"",--MID('Key Analysis'!$C143,$A147-3,1))</f>
        <v/>
      </c>
      <c r="G147" s="29" t="str">
        <f>IF(OR($B147="",$A147&lt;=4),"",--MID('Key Analysis'!$C143,$A147-4,1))</f>
        <v/>
      </c>
      <c r="H147" s="29" t="str">
        <f>IF(OR($B147="",$A147&lt;=5),"",--MID('Key Analysis'!$C143,$A147-5,1))</f>
        <v/>
      </c>
      <c r="I147" s="29" t="str">
        <f>IF(OR($B147="",$A147&lt;=6),"",--MID('Key Analysis'!$C143,$A147-6,1))</f>
        <v/>
      </c>
      <c r="J147" s="29" t="str">
        <f>IF(OR($B147="",$A147&lt;=7),"",--MID('Key Analysis'!$C143,$A147-7,1))</f>
        <v/>
      </c>
      <c r="K147" s="29" t="str">
        <f>IF(OR($B147="",$A147&lt;=8),"",--MID('Key Analysis'!$C143,$A147-8,1))</f>
        <v/>
      </c>
      <c r="L147" s="29" t="str">
        <f>IF(OR($B147="",$A147&lt;=9),"",--MID('Key Analysis'!$C143,$A147-9,1))</f>
        <v/>
      </c>
      <c r="M147" s="29" t="str">
        <f>IF(OR($B147="",$A147&lt;=10),"",--MID('Key Analysis'!$C143,$A147-10,1))</f>
        <v/>
      </c>
      <c r="N147" s="29" t="str">
        <f>IF(OR($B147="",$A147&lt;=11),"",--MID('Key Analysis'!$C143,$A147-11,1))</f>
        <v/>
      </c>
      <c r="O147" s="29" t="str">
        <f>IF(OR($B147="",$A147&lt;=12),"",--MID('Key Analysis'!$C143,$A147-12,1))</f>
        <v/>
      </c>
      <c r="P147" s="29" t="str">
        <f>IF(OR($B147="",$A147&lt;=13),"",--MID('Key Analysis'!$C143,$A147-13,1))</f>
        <v/>
      </c>
      <c r="Q147" s="29" t="str">
        <f>IF(OR($B147="",$A147&lt;=14),"",--MID('Key Analysis'!$C143,$A147-14,1))</f>
        <v/>
      </c>
      <c r="R147" s="29" t="str">
        <f>IF(OR($B147="",$A147&lt;=15),"",--MID('Key Analysis'!$C143,$A147-15,1))</f>
        <v/>
      </c>
      <c r="S147" s="29" t="str">
        <f>IF(OR($B147="",$A147&lt;=16),"",--MID('Key Analysis'!$C143,$A147-16,1))</f>
        <v/>
      </c>
      <c r="T147" s="29" t="str">
        <f>IF(OR($B147="",$A147&lt;=17),"",--MID('Key Analysis'!$C143,$A147-17,1))</f>
        <v/>
      </c>
      <c r="U147" s="29" t="str">
        <f>IF(OR($B147="",$A147&lt;=18),"",--MID('Key Analysis'!$C143,$A147-18,1))</f>
        <v/>
      </c>
      <c r="V147" s="29" t="str">
        <f>IF(OR($B147="",$A147&lt;=19),"",--MID('Key Analysis'!$C143,$A147-19,1))</f>
        <v/>
      </c>
      <c r="W147" s="29" t="str">
        <f>IF(OR($B147="",$A147&lt;=20),"",--MID('Key Analysis'!$C143,$A147-20,1))</f>
        <v/>
      </c>
      <c r="X147" s="29" t="str">
        <f>IF(OR($B147="",$A147&lt;=21),"",--MID('Key Analysis'!$C143,$A147-21,1))</f>
        <v/>
      </c>
      <c r="Y147" s="29" t="str">
        <f>IF(OR($B147="",$A147&lt;=22),"",--MID('Key Analysis'!$C143,$A147-22,1))</f>
        <v/>
      </c>
      <c r="Z147" s="29" t="str">
        <f>IF(OR($B147="",$A147&lt;=23),"",--MID('Key Analysis'!$C143,$A147-23,1))</f>
        <v/>
      </c>
      <c r="AA147" s="29" t="str">
        <f>IF(OR($B147="",$A147&lt;=24),"",--MID('Key Analysis'!$C143,$A147-24,1))</f>
        <v/>
      </c>
      <c r="AB147" s="29" t="str">
        <f>IF(OR($B147="",$A147&lt;=25),"",--MID('Key Analysis'!$C143,$A147-25,1))</f>
        <v/>
      </c>
      <c r="AC147" s="29" t="str">
        <f>IF(OR($B147="",$A147&lt;=26),"",--MID('Key Analysis'!$C143,$A147-26,1))</f>
        <v/>
      </c>
      <c r="AD147" s="29" t="str">
        <f>IF(OR($B147="",$A147&lt;=27),"",--MID('Key Analysis'!$C143,$A147-27,1))</f>
        <v/>
      </c>
      <c r="AE147" s="29" t="str">
        <f>IF(OR($B147="",$A147&lt;=28),"",--MID('Key Analysis'!$C143,$A147-28,1))</f>
        <v/>
      </c>
      <c r="AF147" s="29" t="str">
        <f>IF(OR($B147="",$A147&lt;=29),"",--MID('Key Analysis'!$C143,$A147-29,1))</f>
        <v/>
      </c>
      <c r="AG147" s="29" t="str">
        <f>IF(OR($B147="",$A147&lt;=30),"",--MID('Key Analysis'!$C143,$A147-30,1))</f>
        <v/>
      </c>
      <c r="AH147" s="29" t="str">
        <f>IF(OR($B147="",$A147&lt;=31),"",--MID('Key Analysis'!$C143,$A147-31,1))</f>
        <v/>
      </c>
      <c r="AI147" s="29" t="str">
        <f>IF(OR($B147="",$A147&lt;=32),"",--MID('Key Analysis'!$C143,$A147-32,1))</f>
        <v/>
      </c>
      <c r="AJ147" s="29" t="str">
        <f>IF(OR($B147="",$A147&lt;=33),"",--MID('Key Analysis'!$C143,$A147-33,1))</f>
        <v/>
      </c>
      <c r="AK147" s="29" t="str">
        <f>IF(OR($B147="",$A147&lt;=34),"",--MID('Key Analysis'!$C143,$A147-34,1))</f>
        <v/>
      </c>
      <c r="AL147" s="29" t="str">
        <f>IF(OR($B147="",$A147&lt;=35),"",--MID('Key Analysis'!$C143,$A147-35,1))</f>
        <v/>
      </c>
      <c r="AM147" s="29" t="str">
        <f>IF(OR($B147="",$A147&lt;=36),"",--MID('Key Analysis'!$C143,$A147-36,1))</f>
        <v/>
      </c>
      <c r="AN147" s="29" t="str">
        <f>IF(OR($B147="",$A147&lt;=37),"",--MID('Key Analysis'!$C143,$A147-37,1))</f>
        <v/>
      </c>
      <c r="AO147" s="29" t="str">
        <f>IF(OR($B147="",$A147&lt;=38),"",--MID('Key Analysis'!$C143,$A147-38,1))</f>
        <v/>
      </c>
      <c r="AP147" s="29" t="str">
        <f>IF(OR($B147="",$A147&lt;=39),"",--MID('Key Analysis'!$C143,$A147-39,1))</f>
        <v/>
      </c>
      <c r="AQ147" s="29" t="str">
        <f>IF(OR($B147="",$A147&lt;=40),"",--MID('Key Analysis'!$C143,$A147-40,1))</f>
        <v/>
      </c>
      <c r="AR147" s="29" t="str">
        <f>IF(OR($B147="",$A147&lt;=41),"",--MID('Key Analysis'!$C143,$A147-41,1))</f>
        <v/>
      </c>
      <c r="AS147" s="29" t="str">
        <f>IF(OR($B147="",$A147&lt;=42),"",--MID('Key Analysis'!$C143,$A147-42,1))</f>
        <v/>
      </c>
      <c r="AT147" s="29" t="str">
        <f>IF(OR($B147="",$A147&lt;=43),"",--MID('Key Analysis'!$C143,$A147-43,1))</f>
        <v/>
      </c>
      <c r="AU147" s="29" t="str">
        <f>IF(OR($B147="",$A147&lt;=44),"",--MID('Key Analysis'!$C143,$A147-44,1))</f>
        <v/>
      </c>
      <c r="AV147" s="29" t="str">
        <f>IF(OR($B147="",$A147&lt;=45),"",--MID('Key Analysis'!$C143,$A147-45,1))</f>
        <v/>
      </c>
      <c r="AW147" s="29" t="str">
        <f>IF(OR($B147="",$A147&lt;=46),"",--MID('Key Analysis'!$C143,$A147-46,1))</f>
        <v/>
      </c>
      <c r="AX147" s="29" t="str">
        <f>IF(OR($B147="",$A147&lt;=47),"",--MID('Key Analysis'!$C143,$A147-47,1))</f>
        <v/>
      </c>
      <c r="AY147" s="29" t="str">
        <f>IF(OR($B147="",$A147&lt;=48),"",--MID('Key Analysis'!$C143,$A147-48,1))</f>
        <v/>
      </c>
      <c r="AZ147" s="29" t="str">
        <f>IF(OR($B147="",$A147&lt;=49),"",--MID('Key Analysis'!$C143,$A147-49,1))</f>
        <v/>
      </c>
      <c r="BA147" s="29" t="str">
        <f>IF(OR($B147="",$A147&lt;=50),"",--MID('Key Analysis'!$C143,$A147-50,1))</f>
        <v/>
      </c>
      <c r="BB147" s="29" t="str">
        <f>IF(OR($B147="",$A147&lt;=51),"",--MID('Key Analysis'!$C143,$A147-51,1))</f>
        <v/>
      </c>
      <c r="BC147" s="29" t="str">
        <f>IF(OR($B147="",$A147&lt;=52),"",--MID('Key Analysis'!$C143,$A147-52,1))</f>
        <v/>
      </c>
      <c r="BD147" s="29" t="str">
        <f>IF(OR($B147="",$A147&lt;=53),"",--MID('Key Analysis'!$C143,$A147-53,1))</f>
        <v/>
      </c>
      <c r="BE147" s="29" t="str">
        <f>IF(OR($B147="",$A147&lt;=54),"",--MID('Key Analysis'!$C143,$A147-54,1))</f>
        <v/>
      </c>
      <c r="BF147" s="29" t="str">
        <f>IF(OR($B147="",$A147&lt;=55),"",--MID('Key Analysis'!$C143,$A147-55,1))</f>
        <v/>
      </c>
      <c r="BG147" s="29" t="str">
        <f>IF(OR($B147="",$A147&lt;=56),"",--MID('Key Analysis'!$C143,$A147-56,1))</f>
        <v/>
      </c>
      <c r="BH147" s="29" t="str">
        <f>IF(OR($B147="",$A147&lt;=57),"",--MID('Key Analysis'!$C143,$A147-57,1))</f>
        <v/>
      </c>
      <c r="BI147" s="29" t="str">
        <f>IF(OR($B147="",$A147&lt;=58),"",--MID('Key Analysis'!$C143,$A147-58,1))</f>
        <v/>
      </c>
      <c r="BJ147" s="29" t="str">
        <f>IF(OR($B147="",$A147&lt;=59),"",--MID('Key Analysis'!$C143,$A147-59,1))</f>
        <v/>
      </c>
      <c r="BK147" s="29" t="str">
        <f>IF(OR($B147="",$A147&lt;=60),"",--MID('Key Analysis'!$C143,$A147-60,1))</f>
        <v/>
      </c>
      <c r="BL147" s="29" t="str">
        <f>IF(OR($B147="",$A147&lt;=61),"",--MID('Key Analysis'!$C143,$A147-61,1))</f>
        <v/>
      </c>
      <c r="BM147" s="29" t="str">
        <f>IF(OR($B147="",$A147&lt;=62),"",--MID('Key Analysis'!$C143,$A147-62,1))</f>
        <v/>
      </c>
      <c r="BN147" s="29" t="str">
        <f>IF(OR($B147="",$A147&lt;=63),"",--MID('Key Analysis'!$C143,$A147-63,1))</f>
        <v/>
      </c>
      <c r="BO147" s="29" t="str">
        <f>IF(OR($B147="",$A147&lt;=64),"",--MID('Key Analysis'!$C143,$A147-64,1))</f>
        <v/>
      </c>
      <c r="BP147" s="29" t="str">
        <f>IF(OR($B147="",$A147&lt;=65),"",--MID('Key Analysis'!$C143,$A147-65,1))</f>
        <v/>
      </c>
      <c r="BQ147" s="29" t="str">
        <f>IF(OR($B147="",$A147&lt;=66),"",--MID('Key Analysis'!$C143,$A147-66,1))</f>
        <v/>
      </c>
      <c r="BR147" s="29" t="str">
        <f>IF(OR($B147="",$A147&lt;=67),"",--MID('Key Analysis'!$C143,$A147-67,1))</f>
        <v/>
      </c>
      <c r="BS147" s="29" t="str">
        <f>IF(OR($B147="",$A147&lt;=68),"",--MID('Key Analysis'!$C143,$A147-68,1))</f>
        <v/>
      </c>
      <c r="BT147" s="29" t="str">
        <f>IF(OR($B147="",$A147&lt;=69),"",--MID('Key Analysis'!$C143,$A147-69,1))</f>
        <v/>
      </c>
      <c r="BU147" s="29" t="str">
        <f>IF(OR($B147="",$A147&lt;=70),"",--MID('Key Analysis'!$C143,$A147-70,1))</f>
        <v/>
      </c>
      <c r="BV147" s="29" t="str">
        <f>IF(OR($B147="",$A147&lt;=71),"",--MID('Key Analysis'!$C143,$A147-71,1))</f>
        <v/>
      </c>
      <c r="BW147" s="29" t="str">
        <f>IF(OR($B147="",$A147&lt;=72),"",--MID('Key Analysis'!$C143,$A147-72,1))</f>
        <v/>
      </c>
      <c r="BX147" s="29" t="str">
        <f>IF(OR($B147="",$A147&lt;=73),"",--MID('Key Analysis'!$C143,$A147-73,1))</f>
        <v/>
      </c>
      <c r="BY147" s="29" t="str">
        <f>IF(OR($B147="",$A147&lt;=74),"",--MID('Key Analysis'!$C143,$A147-74,1))</f>
        <v/>
      </c>
      <c r="BZ147" s="29" t="str">
        <f>IF(OR($B147="",$A147&lt;=75),"",--MID('Key Analysis'!$C143,$A147-75,1))</f>
        <v/>
      </c>
      <c r="CA147" s="29" t="str">
        <f>IF(OR($B147="",$A147&lt;=76),"",--MID('Key Analysis'!$C143,$A147-76,1))</f>
        <v/>
      </c>
      <c r="CB147" s="29" t="str">
        <f>IF(OR($B147="",$A147&lt;=77),"",--MID('Key Analysis'!$C143,$A147-77,1))</f>
        <v/>
      </c>
      <c r="CC147" s="29" t="str">
        <f>IF(OR($B147="",$A147&lt;=78),"",--MID('Key Analysis'!$C143,$A147-78,1))</f>
        <v/>
      </c>
      <c r="CD147" s="29" t="str">
        <f>IF(OR($B147="",$A147&lt;=79),"",--MID('Key Analysis'!$C143,$A147-79,1))</f>
        <v/>
      </c>
      <c r="CE147" s="29" t="str">
        <f>IF(OR($B147="",$A147&lt;=80),"",--MID('Key Analysis'!$C143,$A147-80,1))</f>
        <v/>
      </c>
      <c r="CF147" s="29" t="str">
        <f>IF(OR($B147="",$A147&lt;=81),"",--MID('Key Analysis'!$C143,$A147-81,1))</f>
        <v/>
      </c>
      <c r="CG147" s="29" t="str">
        <f>IF(OR($B147="",$A147&lt;=82),"",--MID('Key Analysis'!$C143,$A147-82,1))</f>
        <v/>
      </c>
      <c r="CH147" s="29" t="str">
        <f>IF(OR($B147="",$A147&lt;=83),"",--MID('Key Analysis'!$C143,$A147-83,1))</f>
        <v/>
      </c>
      <c r="CI147" s="29" t="str">
        <f>IF(OR($B147="",$A147&lt;=84),"",--MID('Key Analysis'!$C143,$A147-84,1))</f>
        <v/>
      </c>
      <c r="CJ147" s="29" t="str">
        <f>IF(OR($B147="",$A147&lt;=85),"",--MID('Key Analysis'!$C143,$A147-85,1))</f>
        <v/>
      </c>
      <c r="CK147" s="29" t="str">
        <f>IF(OR($B147="",$A147&lt;=86),"",--MID('Key Analysis'!$C143,$A147-86,1))</f>
        <v/>
      </c>
      <c r="CL147" s="29" t="str">
        <f>IF(OR($B147="",$A147&lt;=87),"",--MID('Key Analysis'!$C143,$A147-87,1))</f>
        <v/>
      </c>
      <c r="CM147" s="29" t="str">
        <f>IF(OR($B147="",$A147&lt;=88),"",--MID('Key Analysis'!$C143,$A147-88,1))</f>
        <v/>
      </c>
      <c r="CN147" s="29" t="str">
        <f>IF(OR($B147="",$A147&lt;=89),"",--MID('Key Analysis'!$C143,$A147-89,1))</f>
        <v/>
      </c>
      <c r="CO147" s="29" t="str">
        <f>IF(OR($B147="",$A147&lt;=90),"",--MID('Key Analysis'!$C143,$A147-90,1))</f>
        <v/>
      </c>
      <c r="CP147" s="29" t="str">
        <f>IF(OR($B147="",$A147&lt;=91),"",--MID('Key Analysis'!$C143,$A147-91,1))</f>
        <v/>
      </c>
      <c r="CQ147" s="29" t="str">
        <f>IF(OR($B147="",$A147&lt;=92),"",--MID('Key Analysis'!$C143,$A147-92,1))</f>
        <v/>
      </c>
      <c r="CR147" s="29" t="str">
        <f>IF(OR($B147="",$A147&lt;=93),"",--MID('Key Analysis'!$C143,$A147-93,1))</f>
        <v/>
      </c>
      <c r="CS147" s="29" t="str">
        <f>IF(OR($B147="",$A147&lt;=94),"",--MID('Key Analysis'!$C143,$A147-94,1))</f>
        <v/>
      </c>
      <c r="CT147" s="29" t="str">
        <f>IF(OR($B147="",$A147&lt;=95),"",--MID('Key Analysis'!$C143,$A147-95,1))</f>
        <v/>
      </c>
      <c r="CU147" s="29" t="str">
        <f>IF(OR($B147="",$A147&lt;=96),"",--MID('Key Analysis'!$C143,$A147-96,1))</f>
        <v/>
      </c>
      <c r="CV147" s="29" t="str">
        <f>IF(OR($B147="",$A147&lt;=97),"",--MID('Key Analysis'!$C143,$A147-97,1))</f>
        <v/>
      </c>
      <c r="CW147" s="29" t="str">
        <f>IF(OR($B147="",$A147&lt;=98),"",--MID('Key Analysis'!$C143,$A147-98,1))</f>
        <v/>
      </c>
      <c r="CX147" s="29" t="str">
        <f>IF(OR($B147="",$A147&lt;=99),"",--MID('Key Analysis'!$C143,$A147-99,1))</f>
        <v/>
      </c>
      <c r="CY147" s="29" t="str">
        <f>IF(OR($B147="",$A147&lt;=100),"",--MID('Key Analysis'!$C143,$A147-100,1))</f>
        <v/>
      </c>
      <c r="CZ147" s="29" t="str">
        <f>IF(OR($B147="",$A147&lt;=101),"",--MID('Key Analysis'!$C143,$A147-101,1))</f>
        <v/>
      </c>
      <c r="DA147" s="29" t="str">
        <f>IF(OR($B147="",$A147&lt;=102),"",--MID('Key Analysis'!$C143,$A147-102,1))</f>
        <v/>
      </c>
      <c r="DB147" s="29" t="str">
        <f>IF(OR($B147="",$A147&lt;=103),"",--MID('Key Analysis'!$C143,$A147-103,1))</f>
        <v/>
      </c>
      <c r="DC147" s="29" t="str">
        <f>IF(OR($B147="",$A147&lt;=104),"",--MID('Key Analysis'!$C143,$A147-104,1))</f>
        <v/>
      </c>
      <c r="DD147" s="29" t="str">
        <f>IF(OR($B147="",$A147&lt;=105),"",--MID('Key Analysis'!$C143,$A147-105,1))</f>
        <v/>
      </c>
      <c r="DE147" s="29" t="str">
        <f>IF(OR($B147="",$A147&lt;=106),"",--MID('Key Analysis'!$C143,$A147-106,1))</f>
        <v/>
      </c>
      <c r="DF147" s="29" t="str">
        <f>IF(OR($B147="",$A147&lt;=107),"",--MID('Key Analysis'!$C143,$A147-107,1))</f>
        <v/>
      </c>
      <c r="DG147" s="29" t="str">
        <f>IF(OR($B147="",$A147&lt;=108),"",--MID('Key Analysis'!$C143,$A147-108,1))</f>
        <v/>
      </c>
      <c r="DH147" s="29" t="str">
        <f>IF(OR($B147="",$A147&lt;=109),"",--MID('Key Analysis'!$C143,$A147-109,1))</f>
        <v/>
      </c>
      <c r="DI147" s="29" t="str">
        <f>IF(OR($B147="",$A147&lt;=110),"",--MID('Key Analysis'!$C143,$A147-110,1))</f>
        <v/>
      </c>
      <c r="DJ147" s="29" t="str">
        <f>IF(OR($B147="",$A147&lt;=111),"",--MID('Key Analysis'!$C143,$A147-111,1))</f>
        <v/>
      </c>
      <c r="DK147" s="29" t="str">
        <f>IF(OR($B147="",$A147&lt;=112),"",--MID('Key Analysis'!$C143,$A147-112,1))</f>
        <v/>
      </c>
      <c r="DL147" s="29" t="str">
        <f>IF(OR($B147="",$A147&lt;=113),"",--MID('Key Analysis'!$C143,$A147-113,1))</f>
        <v/>
      </c>
      <c r="DM147" s="29" t="str">
        <f>IF(OR($B147="",$A147&lt;=114),"",--MID('Key Analysis'!$C143,$A147-114,1))</f>
        <v/>
      </c>
      <c r="DN147" s="29" t="str">
        <f>IF(OR($B147="",$A147&lt;=115),"",--MID('Key Analysis'!$C143,$A147-115,1))</f>
        <v/>
      </c>
      <c r="DO147" s="29" t="str">
        <f>IF(OR($B147="",$A147&lt;=116),"",--MID('Key Analysis'!$C143,$A147-116,1))</f>
        <v/>
      </c>
      <c r="DP147" s="29" t="str">
        <f>IF(OR($B147="",$A147&lt;=117),"",--MID('Key Analysis'!$C143,$A147-117,1))</f>
        <v/>
      </c>
      <c r="DQ147" s="29" t="str">
        <f>IF(OR($B147="",$A147&lt;=118),"",--MID('Key Analysis'!$C143,$A147-118,1))</f>
        <v/>
      </c>
      <c r="DR147" s="29" t="str">
        <f>IF(OR($B147="",$A147&lt;=119),"",--MID('Key Analysis'!$C143,$A147-119,1))</f>
        <v/>
      </c>
      <c r="DS147" s="29" t="str">
        <f>IF(OR($B147="",$A147&lt;=120),"",--MID('Key Analysis'!$C143,$A147-120,1))</f>
        <v/>
      </c>
      <c r="DT147" s="29" t="str">
        <f>IF(OR($B147="",$A147&lt;=121),"",--MID('Key Analysis'!$C143,$A147-121,1))</f>
        <v/>
      </c>
      <c r="DU147" s="29" t="str">
        <f>IF(OR($B147="",$A147&lt;=122),"",--MID('Key Analysis'!$C143,$A147-122,1))</f>
        <v/>
      </c>
      <c r="DV147" s="29" t="str">
        <f>IF(OR($B147="",$A147&lt;=123),"",--MID('Key Analysis'!$C143,$A147-123,1))</f>
        <v/>
      </c>
      <c r="DW147" s="29" t="str">
        <f>IF(OR($B147="",$A147&lt;=124),"",--MID('Key Analysis'!$C143,$A147-124,1))</f>
        <v/>
      </c>
      <c r="DX147" s="29" t="str">
        <f>IF(OR($B147="",$A147&lt;=125),"",--MID('Key Analysis'!$C143,$A147-125,1))</f>
        <v/>
      </c>
      <c r="DY147" s="29" t="str">
        <f>IF(OR($B147="",$A147&lt;=126),"",--MID('Key Analysis'!$C143,$A147-126,1))</f>
        <v/>
      </c>
      <c r="DZ147" s="29" t="str">
        <f>IF(OR($B147="",$A147&lt;=127),"",--MID('Key Analysis'!$C143,$A147-127,1))</f>
        <v/>
      </c>
      <c r="EA147" s="29" t="str">
        <f>IF(OR($B147="",$A147&lt;=128),"",--MID('Key Analysis'!$C143,$A147-128,1))</f>
        <v/>
      </c>
      <c r="EB147" s="29" t="str">
        <f>IF(OR($B147="",$A147&lt;=129),"",--MID('Key Analysis'!$C143,$A147-129,1))</f>
        <v/>
      </c>
      <c r="EC147" s="29" t="str">
        <f>IF(OR($B147="",$A147&lt;=130),"",--MID('Key Analysis'!$C143,$A147-130,1))</f>
        <v/>
      </c>
      <c r="ED147" s="29" t="str">
        <f>IF(OR($B147="",$A147&lt;=131),"",--MID('Key Analysis'!$C143,$A147-131,1))</f>
        <v/>
      </c>
      <c r="EE147" s="29" t="str">
        <f>IF(OR($B147="",$A147&lt;=132),"",--MID('Key Analysis'!$C143,$A147-132,1))</f>
        <v/>
      </c>
      <c r="EF147" s="29" t="str">
        <f>IF(OR($B147="",$A147&lt;=133),"",--MID('Key Analysis'!$C143,$A147-133,1))</f>
        <v/>
      </c>
      <c r="EG147" s="29" t="str">
        <f>IF(OR($B147="",$A147&lt;=134),"",--MID('Key Analysis'!$C143,$A147-134,1))</f>
        <v/>
      </c>
      <c r="EH147" s="29"/>
      <c r="EI147" s="29" t="str">
        <f>IF(OR($B147="",$A147&lt;1),"",--MID('Key Analysis'!$C143,1,1))</f>
        <v/>
      </c>
      <c r="EJ147" s="29" t="str">
        <f>IF(OR($B147="",$A147&lt;2),"",--MID('Key Analysis'!$C143,2,1))</f>
        <v/>
      </c>
      <c r="EK147" s="29" t="str">
        <f>IF(OR($B147="",$A147&lt;3),"",--MID('Key Analysis'!$C143,3,1))</f>
        <v/>
      </c>
      <c r="EL147" s="29" t="str">
        <f>IF(OR($B147="",$A147&lt;4),"",--MID('Key Analysis'!$C143,4,1))</f>
        <v/>
      </c>
      <c r="EM147" s="29" t="str">
        <f>IF(OR($B147="",$A147&lt;5),"",--MID('Key Analysis'!$C143,5,1))</f>
        <v/>
      </c>
      <c r="EN147" s="29" t="str">
        <f>IF(OR($B147="",$A147&lt;6),"",--MID('Key Analysis'!$C143,6,1))</f>
        <v/>
      </c>
      <c r="EO147" s="29" t="str">
        <f>IF(OR($B147="",$A147&lt;7),"",--MID('Key Analysis'!$C143,7,1))</f>
        <v/>
      </c>
      <c r="EP147" s="29" t="str">
        <f>IF(OR($B147="",$A147&lt;8),"",--MID('Key Analysis'!$C143,8,1))</f>
        <v/>
      </c>
      <c r="EQ147" s="29" t="str">
        <f>IF(OR($B147="",$A147&lt;9),"",--MID('Key Analysis'!$C143,9,1))</f>
        <v/>
      </c>
      <c r="ER147" s="29" t="str">
        <f>IF(OR($B147="",$A147&lt;10),"",--MID('Key Analysis'!$C143,10,1))</f>
        <v/>
      </c>
      <c r="ES147" s="29" t="str">
        <f>IF(OR($B147="",$A147&lt;11),"",--MID('Key Analysis'!$C143,11,1))</f>
        <v/>
      </c>
      <c r="ET147" s="29" t="str">
        <f>IF(OR($B147="",$A147&lt;12),"",--MID('Key Analysis'!$C143,12,1))</f>
        <v/>
      </c>
      <c r="EU147" s="29" t="str">
        <f>IF(OR($B147="",$A147&lt;13),"",--MID('Key Analysis'!$C143,13,1))</f>
        <v/>
      </c>
      <c r="EV147" s="29" t="str">
        <f>IF(OR($B147="",$A147&lt;14),"",--MID('Key Analysis'!$C143,14,1))</f>
        <v/>
      </c>
      <c r="EW147" s="29" t="str">
        <f>IF(OR($B147="",$A147&lt;15),"",--MID('Key Analysis'!$C143,15,1))</f>
        <v/>
      </c>
      <c r="EX147" s="29" t="str">
        <f>IF(OR($B147="",$A147&lt;16),"",--MID('Key Analysis'!$C143,16,1))</f>
        <v/>
      </c>
      <c r="EY147" s="29" t="str">
        <f>IF(OR($B147="",$A147&lt;17),"",--MID('Key Analysis'!$C143,17,1))</f>
        <v/>
      </c>
      <c r="EZ147" s="29" t="str">
        <f>IF(OR($B147="",$A147&lt;18),"",--MID('Key Analysis'!$C143,18,1))</f>
        <v/>
      </c>
      <c r="FA147" s="29" t="str">
        <f>IF(OR($B147="",$A147&lt;19),"",--MID('Key Analysis'!$C143,19,1))</f>
        <v/>
      </c>
      <c r="FB147" s="29" t="str">
        <f>IF(OR($B147="",$A147&lt;20),"",--MID('Key Analysis'!$C143,20,1))</f>
        <v/>
      </c>
      <c r="FC147" s="29" t="str">
        <f>IF(OR($B147="",$A147&lt;21),"",--MID('Key Analysis'!$C143,21,1))</f>
        <v/>
      </c>
      <c r="FD147" s="29" t="str">
        <f>IF(OR($B147="",$A147&lt;22),"",--MID('Key Analysis'!$C143,22,1))</f>
        <v/>
      </c>
      <c r="FE147" s="29" t="str">
        <f>IF(OR($B147="",$A147&lt;23),"",--MID('Key Analysis'!$C143,23,1))</f>
        <v/>
      </c>
      <c r="FF147" s="29" t="str">
        <f>IF(OR($B147="",$A147&lt;24),"",--MID('Key Analysis'!$C143,24,1))</f>
        <v/>
      </c>
      <c r="FG147" s="29" t="str">
        <f>IF(OR($B147="",$A147&lt;25),"",--MID('Key Analysis'!$C143,25,1))</f>
        <v/>
      </c>
      <c r="FH147" s="29" t="str">
        <f>IF(OR($B147="",$A147&lt;26),"",--MID('Key Analysis'!$C143,26,1))</f>
        <v/>
      </c>
      <c r="FI147" s="29" t="str">
        <f>IF(OR($B147="",$A147&lt;27),"",--MID('Key Analysis'!$C143,27,1))</f>
        <v/>
      </c>
      <c r="FJ147" s="29" t="str">
        <f>IF(OR($B147="",$A147&lt;28),"",--MID('Key Analysis'!$C143,28,1))</f>
        <v/>
      </c>
      <c r="FK147" s="29" t="str">
        <f>IF(OR($B147="",$A147&lt;29),"",--MID('Key Analysis'!$C143,29,1))</f>
        <v/>
      </c>
      <c r="FL147" s="29" t="str">
        <f>IF(OR($B147="",$A147&lt;30),"",--MID('Key Analysis'!$C143,30,1))</f>
        <v/>
      </c>
      <c r="FM147" s="29" t="str">
        <f>IF(OR($B147="",$A147&lt;31),"",--MID('Key Analysis'!$C143,31,1))</f>
        <v/>
      </c>
      <c r="FN147" s="29" t="str">
        <f>IF(OR($B147="",$A147&lt;32),"",--MID('Key Analysis'!$C143,32,1))</f>
        <v/>
      </c>
      <c r="FO147" s="29" t="str">
        <f>IF(OR($B147="",$A147&lt;33),"",--MID('Key Analysis'!$C143,33,1))</f>
        <v/>
      </c>
      <c r="FP147" s="29" t="str">
        <f>IF(OR($B147="",$A147&lt;34),"",--MID('Key Analysis'!$C143,34,1))</f>
        <v/>
      </c>
      <c r="FQ147" s="29" t="str">
        <f>IF(OR($B147="",$A147&lt;35),"",--MID('Key Analysis'!$C143,35,1))</f>
        <v/>
      </c>
      <c r="FR147" s="29" t="str">
        <f>IF(OR($B147="",$A147&lt;36),"",--MID('Key Analysis'!$C143,36,1))</f>
        <v/>
      </c>
      <c r="FS147" s="29" t="str">
        <f>IF(OR($B147="",$A147&lt;37),"",--MID('Key Analysis'!$C143,37,1))</f>
        <v/>
      </c>
      <c r="FT147" s="29" t="str">
        <f>IF(OR($B147="",$A147&lt;38),"",--MID('Key Analysis'!$C143,38,1))</f>
        <v/>
      </c>
      <c r="FU147" s="29" t="str">
        <f>IF(OR($B147="",$A147&lt;39),"",--MID('Key Analysis'!$C143,39,1))</f>
        <v/>
      </c>
      <c r="FV147" s="29" t="str">
        <f>IF(OR($B147="",$A147&lt;40),"",--MID('Key Analysis'!$C143,40,1))</f>
        <v/>
      </c>
      <c r="FW147" s="29" t="str">
        <f>IF(OR($B147="",$A147&lt;41),"",--MID('Key Analysis'!$C143,41,1))</f>
        <v/>
      </c>
      <c r="FX147" s="29" t="str">
        <f>IF(OR($B147="",$A147&lt;42),"",--MID('Key Analysis'!$C143,42,1))</f>
        <v/>
      </c>
      <c r="FY147" s="29" t="str">
        <f>IF(OR($B147="",$A147&lt;43),"",--MID('Key Analysis'!$C143,43,1))</f>
        <v/>
      </c>
      <c r="FZ147" s="29" t="str">
        <f>IF(OR($B147="",$A147&lt;44),"",--MID('Key Analysis'!$C143,44,1))</f>
        <v/>
      </c>
      <c r="GA147" s="29" t="str">
        <f>IF(OR($B147="",$A147&lt;45),"",--MID('Key Analysis'!$C143,45,1))</f>
        <v/>
      </c>
      <c r="GB147" s="29" t="str">
        <f>IF(OR($B147="",$A147&lt;46),"",--MID('Key Analysis'!$C143,46,1))</f>
        <v/>
      </c>
      <c r="GC147" s="29" t="str">
        <f>IF(OR($B147="",$A147&lt;47),"",--MID('Key Analysis'!$C143,47,1))</f>
        <v/>
      </c>
      <c r="GD147" s="29" t="str">
        <f>IF(OR($B147="",$A147&lt;48),"",--MID('Key Analysis'!$C143,48,1))</f>
        <v/>
      </c>
      <c r="GE147" s="29" t="str">
        <f>IF(OR($B147="",$A147&lt;49),"",--MID('Key Analysis'!$C143,49,1))</f>
        <v/>
      </c>
      <c r="GF147" s="29" t="str">
        <f>IF(OR($B147="",$A147&lt;50),"",--MID('Key Analysis'!$C143,50,1))</f>
        <v/>
      </c>
      <c r="GG147" s="29" t="str">
        <f>IF(OR($B147="",$A147&lt;51),"",--MID('Key Analysis'!$C143,51,1))</f>
        <v/>
      </c>
      <c r="GH147" s="29" t="str">
        <f>IF(OR($B147="",$A147&lt;52),"",--MID('Key Analysis'!$C143,52,1))</f>
        <v/>
      </c>
      <c r="GI147" s="29" t="str">
        <f>IF(OR($B147="",$A147&lt;53),"",--MID('Key Analysis'!$C143,53,1))</f>
        <v/>
      </c>
      <c r="GJ147" s="29" t="str">
        <f>IF(OR($B147="",$A147&lt;54),"",--MID('Key Analysis'!$C143,54,1))</f>
        <v/>
      </c>
      <c r="GK147" s="29" t="str">
        <f>IF(OR($B147="",$A147&lt;55),"",--MID('Key Analysis'!$C143,55,1))</f>
        <v/>
      </c>
      <c r="GL147" s="29" t="str">
        <f>IF(OR($B147="",$A147&lt;56),"",--MID('Key Analysis'!$C143,56,1))</f>
        <v/>
      </c>
      <c r="GM147" s="29" t="str">
        <f>IF(OR($B147="",$A147&lt;57),"",--MID('Key Analysis'!$C143,57,1))</f>
        <v/>
      </c>
      <c r="GN147" s="29" t="str">
        <f>IF(OR($B147="",$A147&lt;58),"",--MID('Key Analysis'!$C143,58,1))</f>
        <v/>
      </c>
      <c r="GO147" s="29" t="str">
        <f>IF(OR($B147="",$A147&lt;59),"",--MID('Key Analysis'!$C143,59,1))</f>
        <v/>
      </c>
      <c r="GP147" s="29" t="str">
        <f>IF(OR($B147="",$A147&lt;60),"",--MID('Key Analysis'!$C143,60,1))</f>
        <v/>
      </c>
      <c r="GQ147" s="29" t="str">
        <f>IF(OR($B147="",$A147&lt;61),"",--MID('Key Analysis'!$C143,61,1))</f>
        <v/>
      </c>
      <c r="GR147" s="29" t="str">
        <f>IF(OR($B147="",$A147&lt;62),"",--MID('Key Analysis'!$C143,62,1))</f>
        <v/>
      </c>
      <c r="GS147" s="29" t="str">
        <f>IF(OR($B147="",$A147&lt;63),"",--MID('Key Analysis'!$C143,63,1))</f>
        <v/>
      </c>
      <c r="GT147" s="29" t="str">
        <f>IF(OR($B147="",$A147&lt;64),"",--MID('Key Analysis'!$C143,64,1))</f>
        <v/>
      </c>
      <c r="GU147" s="29" t="str">
        <f>IF(OR($B147="",$A147&lt;65),"",--MID('Key Analysis'!$C143,65,1))</f>
        <v/>
      </c>
      <c r="GV147" s="29" t="str">
        <f>IF(OR($B147="",$A147&lt;66),"",--MID('Key Analysis'!$C143,66,1))</f>
        <v/>
      </c>
      <c r="GW147" s="29" t="str">
        <f>IF(OR($B147="",$A147&lt;67),"",--MID('Key Analysis'!$C143,67,1))</f>
        <v/>
      </c>
      <c r="GX147" s="29" t="str">
        <f>IF(OR($B147="",$A147&lt;68),"",--MID('Key Analysis'!$C143,68,1))</f>
        <v/>
      </c>
      <c r="GY147" s="29" t="str">
        <f>IF(OR($B147="",$A147&lt;69),"",--MID('Key Analysis'!$C143,69,1))</f>
        <v/>
      </c>
      <c r="GZ147" s="29" t="str">
        <f>IF(OR($B147="",$A147&lt;70),"",--MID('Key Analysis'!$C143,70,1))</f>
        <v/>
      </c>
      <c r="HA147" s="29" t="str">
        <f>IF(OR($B147="",$A147&lt;71),"",--MID('Key Analysis'!$C143,71,1))</f>
        <v/>
      </c>
      <c r="HB147" s="29" t="str">
        <f>IF(OR($B147="",$A147&lt;72),"",--MID('Key Analysis'!$C143,72,1))</f>
        <v/>
      </c>
      <c r="HC147" s="29" t="str">
        <f>IF(OR($B147="",$A147&lt;73),"",--MID('Key Analysis'!$C143,73,1))</f>
        <v/>
      </c>
      <c r="HD147" s="29" t="str">
        <f>IF(OR($B147="",$A147&lt;74),"",--MID('Key Analysis'!$C143,74,1))</f>
        <v/>
      </c>
      <c r="HE147" s="29" t="str">
        <f>IF(OR($B147="",$A147&lt;75),"",--MID('Key Analysis'!$C143,75,1))</f>
        <v/>
      </c>
      <c r="HF147" s="29" t="str">
        <f>IF(OR($B147="",$A147&lt;76),"",--MID('Key Analysis'!$C143,76,1))</f>
        <v/>
      </c>
      <c r="HG147" s="29" t="str">
        <f>IF(OR($B147="",$A147&lt;77),"",--MID('Key Analysis'!$C143,77,1))</f>
        <v/>
      </c>
      <c r="HH147" s="29" t="str">
        <f>IF(OR($B147="",$A147&lt;78),"",--MID('Key Analysis'!$C143,78,1))</f>
        <v/>
      </c>
      <c r="HI147" s="29" t="str">
        <f>IF(OR($B147="",$A147&lt;79),"",--MID('Key Analysis'!$C143,79,1))</f>
        <v/>
      </c>
      <c r="HJ147" s="29" t="str">
        <f>IF(OR($B147="",$A147&lt;80),"",--MID('Key Analysis'!$C143,80,1))</f>
        <v/>
      </c>
      <c r="HK147" s="29" t="str">
        <f>IF(OR($B147="",$A147&lt;81),"",--MID('Key Analysis'!$C143,81,1))</f>
        <v/>
      </c>
      <c r="HL147" s="29" t="str">
        <f>IF(OR($B147="",$A147&lt;82),"",--MID('Key Analysis'!$C143,82,1))</f>
        <v/>
      </c>
      <c r="HM147" s="29" t="str">
        <f>IF(OR($B147="",$A147&lt;83),"",--MID('Key Analysis'!$C143,83,1))</f>
        <v/>
      </c>
      <c r="HN147" s="29" t="str">
        <f>IF(OR($B147="",$A147&lt;84),"",--MID('Key Analysis'!$C143,84,1))</f>
        <v/>
      </c>
      <c r="HO147" s="29" t="str">
        <f>IF(OR($B147="",$A147&lt;85),"",--MID('Key Analysis'!$C143,85,1))</f>
        <v/>
      </c>
      <c r="HP147" s="29" t="str">
        <f>IF(OR($B147="",$A147&lt;86),"",--MID('Key Analysis'!$C143,86,1))</f>
        <v/>
      </c>
      <c r="HQ147" s="29" t="str">
        <f>IF(OR($B147="",$A147&lt;87),"",--MID('Key Analysis'!$C143,87,1))</f>
        <v/>
      </c>
      <c r="HR147" s="29" t="str">
        <f>IF(OR($B147="",$A147&lt;88),"",--MID('Key Analysis'!$C143,88,1))</f>
        <v/>
      </c>
      <c r="HS147" s="29" t="str">
        <f>IF(OR($B147="",$A147&lt;89),"",--MID('Key Analysis'!$C143,89,1))</f>
        <v/>
      </c>
      <c r="HT147" s="29" t="str">
        <f>IF(OR($B147="",$A147&lt;90),"",--MID('Key Analysis'!$C143,90,1))</f>
        <v/>
      </c>
      <c r="HU147" s="29" t="str">
        <f>IF(OR($B147="",$A147&lt;91),"",--MID('Key Analysis'!$C143,91,1))</f>
        <v/>
      </c>
      <c r="HV147" s="29" t="str">
        <f>IF(OR($B147="",$A147&lt;92),"",--MID('Key Analysis'!$C143,92,1))</f>
        <v/>
      </c>
      <c r="HW147" s="29" t="str">
        <f>IF(OR($B147="",$A147&lt;93),"",--MID('Key Analysis'!$C143,93,1))</f>
        <v/>
      </c>
      <c r="HX147" s="29" t="str">
        <f>IF(OR($B147="",$A147&lt;94),"",--MID('Key Analysis'!$C143,94,1))</f>
        <v/>
      </c>
      <c r="HY147" s="29" t="str">
        <f>IF(OR($B147="",$A147&lt;95),"",--MID('Key Analysis'!$C143,95,1))</f>
        <v/>
      </c>
      <c r="HZ147" s="29" t="str">
        <f>IF(OR($B147="",$A147&lt;96),"",--MID('Key Analysis'!$C143,96,1))</f>
        <v/>
      </c>
      <c r="IA147" s="29" t="str">
        <f>IF(OR($B147="",$A147&lt;97),"",--MID('Key Analysis'!$C143,97,1))</f>
        <v/>
      </c>
      <c r="IB147" s="29" t="str">
        <f>IF(OR($B147="",$A147&lt;98),"",--MID('Key Analysis'!$C143,98,1))</f>
        <v/>
      </c>
      <c r="IC147" s="29" t="str">
        <f>IF(OR($B147="",$A147&lt;99),"",--MID('Key Analysis'!$C143,99,1))</f>
        <v/>
      </c>
      <c r="ID147" s="29" t="str">
        <f>IF(OR($B147="",$A147&lt;100),"",--MID('Key Analysis'!$C143,100,1))</f>
        <v/>
      </c>
      <c r="IE147" s="29" t="str">
        <f>IF(OR($B147="",$A147&lt;101),"",--MID('Key Analysis'!$C143,101,1))</f>
        <v/>
      </c>
      <c r="IF147" s="29" t="str">
        <f>IF(OR($B147="",$A147&lt;102),"",--MID('Key Analysis'!$C143,102,1))</f>
        <v/>
      </c>
      <c r="IG147" s="29" t="str">
        <f>IF(OR($B147="",$A147&lt;103),"",--MID('Key Analysis'!$C143,103,1))</f>
        <v/>
      </c>
      <c r="IH147" s="29" t="str">
        <f>IF(OR($B147="",$A147&lt;104),"",--MID('Key Analysis'!$C143,104,1))</f>
        <v/>
      </c>
      <c r="II147" s="29" t="str">
        <f>IF(OR($B147="",$A147&lt;105),"",--MID('Key Analysis'!$C143,105,1))</f>
        <v/>
      </c>
      <c r="IJ147" s="29" t="str">
        <f>IF(OR($B147="",$A147&lt;106),"",--MID('Key Analysis'!$C143,106,1))</f>
        <v/>
      </c>
      <c r="IK147" s="29" t="str">
        <f>IF(OR($B147="",$A147&lt;107),"",--MID('Key Analysis'!$C143,107,1))</f>
        <v/>
      </c>
      <c r="IL147" s="29" t="str">
        <f>IF(OR($B147="",$A147&lt;108),"",--MID('Key Analysis'!$C143,108,1))</f>
        <v/>
      </c>
      <c r="IM147" s="29" t="str">
        <f>IF(OR($B147="",$A147&lt;109),"",--MID('Key Analysis'!$C143,109,1))</f>
        <v/>
      </c>
      <c r="IN147" s="29" t="str">
        <f>IF(OR($B147="",$A147&lt;110),"",--MID('Key Analysis'!$C143,110,1))</f>
        <v/>
      </c>
      <c r="IO147" s="29" t="str">
        <f>IF(OR($B147="",$A147&lt;111),"",--MID('Key Analysis'!$C143,111,1))</f>
        <v/>
      </c>
      <c r="IP147" s="29" t="str">
        <f>IF(OR($B147="",$A147&lt;112),"",--MID('Key Analysis'!$C143,112,1))</f>
        <v/>
      </c>
      <c r="IQ147" s="29" t="str">
        <f>IF(OR($B147="",$A147&lt;113),"",--MID('Key Analysis'!$C143,113,1))</f>
        <v/>
      </c>
      <c r="IR147" s="29" t="str">
        <f>IF(OR($B147="",$A147&lt;114),"",--MID('Key Analysis'!$C143,114,1))</f>
        <v/>
      </c>
      <c r="IS147" s="29" t="str">
        <f>IF(OR($B147="",$A147&lt;115),"",--MID('Key Analysis'!$C143,115,1))</f>
        <v/>
      </c>
      <c r="IT147" s="29" t="str">
        <f>IF(OR($B147="",$A147&lt;116),"",--MID('Key Analysis'!$C143,116,1))</f>
        <v/>
      </c>
      <c r="IU147" s="29" t="str">
        <f>IF(OR($B147="",$A147&lt;117),"",--MID('Key Analysis'!$C143,117,1))</f>
        <v/>
      </c>
      <c r="IV147" s="29" t="str">
        <f>IF(OR($B147="",$A147&lt;118),"",--MID('Key Analysis'!$C143,118,1))</f>
        <v/>
      </c>
      <c r="IW147" s="29" t="str">
        <f>IF(OR($B147="",$A147&lt;119),"",--MID('Key Analysis'!$C143,119,1))</f>
        <v/>
      </c>
      <c r="IX147" s="29" t="str">
        <f>IF(OR($B147="",$A147&lt;120),"",--MID('Key Analysis'!$C143,120,1))</f>
        <v/>
      </c>
      <c r="IY147" s="29" t="str">
        <f>IF(OR($B147="",$A147&lt;121),"",--MID('Key Analysis'!$C143,121,1))</f>
        <v/>
      </c>
      <c r="IZ147" s="29" t="str">
        <f>IF(OR($B147="",$A147&lt;122),"",--MID('Key Analysis'!$C143,122,1))</f>
        <v/>
      </c>
      <c r="JA147" s="29" t="str">
        <f>IF(OR($B147="",$A147&lt;123),"",--MID('Key Analysis'!$C143,123,1))</f>
        <v/>
      </c>
      <c r="JB147" s="29" t="str">
        <f>IF(OR($B147="",$A147&lt;124),"",--MID('Key Analysis'!$C143,124,1))</f>
        <v/>
      </c>
      <c r="JC147" s="29" t="str">
        <f>IF(OR($B147="",$A147&lt;125),"",--MID('Key Analysis'!$C143,125,1))</f>
        <v/>
      </c>
      <c r="JD147" s="29" t="str">
        <f>IF(OR($B147="",$A147&lt;126),"",--MID('Key Analysis'!$C143,126,1))</f>
        <v/>
      </c>
      <c r="JE147" s="29" t="str">
        <f>IF(OR($B147="",$A147&lt;127),"",--MID('Key Analysis'!$C143,127,1))</f>
        <v/>
      </c>
      <c r="JF147" s="29" t="str">
        <f>IF(OR($B147="",$A147&lt;128),"",--MID('Key Analysis'!$C143,128,1))</f>
        <v/>
      </c>
      <c r="JG147" s="29" t="str">
        <f>IF(OR($B147="",$A147&lt;129),"",--MID('Key Analysis'!$C143,129,1))</f>
        <v/>
      </c>
      <c r="JH147" s="29" t="str">
        <f>IF(OR($B147="",$A147&lt;130),"",--MID('Key Analysis'!$C143,130,1))</f>
        <v/>
      </c>
      <c r="JI147" s="29" t="str">
        <f>IF(OR($B147="",$A147&lt;131),"",--MID('Key Analysis'!$C143,131,1))</f>
        <v/>
      </c>
      <c r="JJ147" s="29" t="str">
        <f>IF(OR($B147="",$A147&lt;132),"",--MID('Key Analysis'!$C143,132,1))</f>
        <v/>
      </c>
      <c r="JK147" s="29" t="str">
        <f>IF(OR($B147="",$A147&lt;133),"",--MID('Key Analysis'!$C143,133,1))</f>
        <v/>
      </c>
      <c r="JL147" s="29" t="str">
        <f>IF(OR($B147="",$A147&lt;134),"",--MID('Key Analysis'!$C143,134,1))</f>
        <v/>
      </c>
      <c r="JM147" s="29" t="str">
        <f>IF(OR($B147="",$A147&lt;135),"",--MID('Key Analysis'!$C143,135,1))</f>
        <v/>
      </c>
    </row>
    <row r="148" spans="1:273" x14ac:dyDescent="0.25">
      <c r="A148" s="21">
        <f>'Key Analysis'!A144</f>
        <v>143</v>
      </c>
      <c r="B148" s="30" t="str">
        <f>'Key Analysis'!B144</f>
        <v/>
      </c>
      <c r="C148" s="29" t="str">
        <f>IF(OR($B148="",$A148&lt;=0),"",--MID('Key Analysis'!$C144,$A148-0,1))</f>
        <v/>
      </c>
      <c r="D148" s="29" t="str">
        <f>IF(OR($B148="",$A148&lt;=1),"",--MID('Key Analysis'!$C144,$A148-1,1))</f>
        <v/>
      </c>
      <c r="E148" s="29" t="str">
        <f>IF(OR($B148="",$A148&lt;=2),"",--MID('Key Analysis'!$C144,$A148-2,1))</f>
        <v/>
      </c>
      <c r="F148" s="29" t="str">
        <f>IF(OR($B148="",$A148&lt;=3),"",--MID('Key Analysis'!$C144,$A148-3,1))</f>
        <v/>
      </c>
      <c r="G148" s="29" t="str">
        <f>IF(OR($B148="",$A148&lt;=4),"",--MID('Key Analysis'!$C144,$A148-4,1))</f>
        <v/>
      </c>
      <c r="H148" s="29" t="str">
        <f>IF(OR($B148="",$A148&lt;=5),"",--MID('Key Analysis'!$C144,$A148-5,1))</f>
        <v/>
      </c>
      <c r="I148" s="29" t="str">
        <f>IF(OR($B148="",$A148&lt;=6),"",--MID('Key Analysis'!$C144,$A148-6,1))</f>
        <v/>
      </c>
      <c r="J148" s="29" t="str">
        <f>IF(OR($B148="",$A148&lt;=7),"",--MID('Key Analysis'!$C144,$A148-7,1))</f>
        <v/>
      </c>
      <c r="K148" s="29" t="str">
        <f>IF(OR($B148="",$A148&lt;=8),"",--MID('Key Analysis'!$C144,$A148-8,1))</f>
        <v/>
      </c>
      <c r="L148" s="29" t="str">
        <f>IF(OR($B148="",$A148&lt;=9),"",--MID('Key Analysis'!$C144,$A148-9,1))</f>
        <v/>
      </c>
      <c r="M148" s="29" t="str">
        <f>IF(OR($B148="",$A148&lt;=10),"",--MID('Key Analysis'!$C144,$A148-10,1))</f>
        <v/>
      </c>
      <c r="N148" s="29" t="str">
        <f>IF(OR($B148="",$A148&lt;=11),"",--MID('Key Analysis'!$C144,$A148-11,1))</f>
        <v/>
      </c>
      <c r="O148" s="29" t="str">
        <f>IF(OR($B148="",$A148&lt;=12),"",--MID('Key Analysis'!$C144,$A148-12,1))</f>
        <v/>
      </c>
      <c r="P148" s="29" t="str">
        <f>IF(OR($B148="",$A148&lt;=13),"",--MID('Key Analysis'!$C144,$A148-13,1))</f>
        <v/>
      </c>
      <c r="Q148" s="29" t="str">
        <f>IF(OR($B148="",$A148&lt;=14),"",--MID('Key Analysis'!$C144,$A148-14,1))</f>
        <v/>
      </c>
      <c r="R148" s="29" t="str">
        <f>IF(OR($B148="",$A148&lt;=15),"",--MID('Key Analysis'!$C144,$A148-15,1))</f>
        <v/>
      </c>
      <c r="S148" s="29" t="str">
        <f>IF(OR($B148="",$A148&lt;=16),"",--MID('Key Analysis'!$C144,$A148-16,1))</f>
        <v/>
      </c>
      <c r="T148" s="29" t="str">
        <f>IF(OR($B148="",$A148&lt;=17),"",--MID('Key Analysis'!$C144,$A148-17,1))</f>
        <v/>
      </c>
      <c r="U148" s="29" t="str">
        <f>IF(OR($B148="",$A148&lt;=18),"",--MID('Key Analysis'!$C144,$A148-18,1))</f>
        <v/>
      </c>
      <c r="V148" s="29" t="str">
        <f>IF(OR($B148="",$A148&lt;=19),"",--MID('Key Analysis'!$C144,$A148-19,1))</f>
        <v/>
      </c>
      <c r="W148" s="29" t="str">
        <f>IF(OR($B148="",$A148&lt;=20),"",--MID('Key Analysis'!$C144,$A148-20,1))</f>
        <v/>
      </c>
      <c r="X148" s="29" t="str">
        <f>IF(OR($B148="",$A148&lt;=21),"",--MID('Key Analysis'!$C144,$A148-21,1))</f>
        <v/>
      </c>
      <c r="Y148" s="29" t="str">
        <f>IF(OR($B148="",$A148&lt;=22),"",--MID('Key Analysis'!$C144,$A148-22,1))</f>
        <v/>
      </c>
      <c r="Z148" s="29" t="str">
        <f>IF(OR($B148="",$A148&lt;=23),"",--MID('Key Analysis'!$C144,$A148-23,1))</f>
        <v/>
      </c>
      <c r="AA148" s="29" t="str">
        <f>IF(OR($B148="",$A148&lt;=24),"",--MID('Key Analysis'!$C144,$A148-24,1))</f>
        <v/>
      </c>
      <c r="AB148" s="29" t="str">
        <f>IF(OR($B148="",$A148&lt;=25),"",--MID('Key Analysis'!$C144,$A148-25,1))</f>
        <v/>
      </c>
      <c r="AC148" s="29" t="str">
        <f>IF(OR($B148="",$A148&lt;=26),"",--MID('Key Analysis'!$C144,$A148-26,1))</f>
        <v/>
      </c>
      <c r="AD148" s="29" t="str">
        <f>IF(OR($B148="",$A148&lt;=27),"",--MID('Key Analysis'!$C144,$A148-27,1))</f>
        <v/>
      </c>
      <c r="AE148" s="29" t="str">
        <f>IF(OR($B148="",$A148&lt;=28),"",--MID('Key Analysis'!$C144,$A148-28,1))</f>
        <v/>
      </c>
      <c r="AF148" s="29" t="str">
        <f>IF(OR($B148="",$A148&lt;=29),"",--MID('Key Analysis'!$C144,$A148-29,1))</f>
        <v/>
      </c>
      <c r="AG148" s="29" t="str">
        <f>IF(OR($B148="",$A148&lt;=30),"",--MID('Key Analysis'!$C144,$A148-30,1))</f>
        <v/>
      </c>
      <c r="AH148" s="29" t="str">
        <f>IF(OR($B148="",$A148&lt;=31),"",--MID('Key Analysis'!$C144,$A148-31,1))</f>
        <v/>
      </c>
      <c r="AI148" s="29" t="str">
        <f>IF(OR($B148="",$A148&lt;=32),"",--MID('Key Analysis'!$C144,$A148-32,1))</f>
        <v/>
      </c>
      <c r="AJ148" s="29" t="str">
        <f>IF(OR($B148="",$A148&lt;=33),"",--MID('Key Analysis'!$C144,$A148-33,1))</f>
        <v/>
      </c>
      <c r="AK148" s="29" t="str">
        <f>IF(OR($B148="",$A148&lt;=34),"",--MID('Key Analysis'!$C144,$A148-34,1))</f>
        <v/>
      </c>
      <c r="AL148" s="29" t="str">
        <f>IF(OR($B148="",$A148&lt;=35),"",--MID('Key Analysis'!$C144,$A148-35,1))</f>
        <v/>
      </c>
      <c r="AM148" s="29" t="str">
        <f>IF(OR($B148="",$A148&lt;=36),"",--MID('Key Analysis'!$C144,$A148-36,1))</f>
        <v/>
      </c>
      <c r="AN148" s="29" t="str">
        <f>IF(OR($B148="",$A148&lt;=37),"",--MID('Key Analysis'!$C144,$A148-37,1))</f>
        <v/>
      </c>
      <c r="AO148" s="29" t="str">
        <f>IF(OR($B148="",$A148&lt;=38),"",--MID('Key Analysis'!$C144,$A148-38,1))</f>
        <v/>
      </c>
      <c r="AP148" s="29" t="str">
        <f>IF(OR($B148="",$A148&lt;=39),"",--MID('Key Analysis'!$C144,$A148-39,1))</f>
        <v/>
      </c>
      <c r="AQ148" s="29" t="str">
        <f>IF(OR($B148="",$A148&lt;=40),"",--MID('Key Analysis'!$C144,$A148-40,1))</f>
        <v/>
      </c>
      <c r="AR148" s="29" t="str">
        <f>IF(OR($B148="",$A148&lt;=41),"",--MID('Key Analysis'!$C144,$A148-41,1))</f>
        <v/>
      </c>
      <c r="AS148" s="29" t="str">
        <f>IF(OR($B148="",$A148&lt;=42),"",--MID('Key Analysis'!$C144,$A148-42,1))</f>
        <v/>
      </c>
      <c r="AT148" s="29" t="str">
        <f>IF(OR($B148="",$A148&lt;=43),"",--MID('Key Analysis'!$C144,$A148-43,1))</f>
        <v/>
      </c>
      <c r="AU148" s="29" t="str">
        <f>IF(OR($B148="",$A148&lt;=44),"",--MID('Key Analysis'!$C144,$A148-44,1))</f>
        <v/>
      </c>
      <c r="AV148" s="29" t="str">
        <f>IF(OR($B148="",$A148&lt;=45),"",--MID('Key Analysis'!$C144,$A148-45,1))</f>
        <v/>
      </c>
      <c r="AW148" s="29" t="str">
        <f>IF(OR($B148="",$A148&lt;=46),"",--MID('Key Analysis'!$C144,$A148-46,1))</f>
        <v/>
      </c>
      <c r="AX148" s="29" t="str">
        <f>IF(OR($B148="",$A148&lt;=47),"",--MID('Key Analysis'!$C144,$A148-47,1))</f>
        <v/>
      </c>
      <c r="AY148" s="29" t="str">
        <f>IF(OR($B148="",$A148&lt;=48),"",--MID('Key Analysis'!$C144,$A148-48,1))</f>
        <v/>
      </c>
      <c r="AZ148" s="29" t="str">
        <f>IF(OR($B148="",$A148&lt;=49),"",--MID('Key Analysis'!$C144,$A148-49,1))</f>
        <v/>
      </c>
      <c r="BA148" s="29" t="str">
        <f>IF(OR($B148="",$A148&lt;=50),"",--MID('Key Analysis'!$C144,$A148-50,1))</f>
        <v/>
      </c>
      <c r="BB148" s="29" t="str">
        <f>IF(OR($B148="",$A148&lt;=51),"",--MID('Key Analysis'!$C144,$A148-51,1))</f>
        <v/>
      </c>
      <c r="BC148" s="29" t="str">
        <f>IF(OR($B148="",$A148&lt;=52),"",--MID('Key Analysis'!$C144,$A148-52,1))</f>
        <v/>
      </c>
      <c r="BD148" s="29" t="str">
        <f>IF(OR($B148="",$A148&lt;=53),"",--MID('Key Analysis'!$C144,$A148-53,1))</f>
        <v/>
      </c>
      <c r="BE148" s="29" t="str">
        <f>IF(OR($B148="",$A148&lt;=54),"",--MID('Key Analysis'!$C144,$A148-54,1))</f>
        <v/>
      </c>
      <c r="BF148" s="29" t="str">
        <f>IF(OR($B148="",$A148&lt;=55),"",--MID('Key Analysis'!$C144,$A148-55,1))</f>
        <v/>
      </c>
      <c r="BG148" s="29" t="str">
        <f>IF(OR($B148="",$A148&lt;=56),"",--MID('Key Analysis'!$C144,$A148-56,1))</f>
        <v/>
      </c>
      <c r="BH148" s="29" t="str">
        <f>IF(OR($B148="",$A148&lt;=57),"",--MID('Key Analysis'!$C144,$A148-57,1))</f>
        <v/>
      </c>
      <c r="BI148" s="29" t="str">
        <f>IF(OR($B148="",$A148&lt;=58),"",--MID('Key Analysis'!$C144,$A148-58,1))</f>
        <v/>
      </c>
      <c r="BJ148" s="29" t="str">
        <f>IF(OR($B148="",$A148&lt;=59),"",--MID('Key Analysis'!$C144,$A148-59,1))</f>
        <v/>
      </c>
      <c r="BK148" s="29" t="str">
        <f>IF(OR($B148="",$A148&lt;=60),"",--MID('Key Analysis'!$C144,$A148-60,1))</f>
        <v/>
      </c>
      <c r="BL148" s="29" t="str">
        <f>IF(OR($B148="",$A148&lt;=61),"",--MID('Key Analysis'!$C144,$A148-61,1))</f>
        <v/>
      </c>
      <c r="BM148" s="29" t="str">
        <f>IF(OR($B148="",$A148&lt;=62),"",--MID('Key Analysis'!$C144,$A148-62,1))</f>
        <v/>
      </c>
      <c r="BN148" s="29" t="str">
        <f>IF(OR($B148="",$A148&lt;=63),"",--MID('Key Analysis'!$C144,$A148-63,1))</f>
        <v/>
      </c>
      <c r="BO148" s="29" t="str">
        <f>IF(OR($B148="",$A148&lt;=64),"",--MID('Key Analysis'!$C144,$A148-64,1))</f>
        <v/>
      </c>
      <c r="BP148" s="29" t="str">
        <f>IF(OR($B148="",$A148&lt;=65),"",--MID('Key Analysis'!$C144,$A148-65,1))</f>
        <v/>
      </c>
      <c r="BQ148" s="29" t="str">
        <f>IF(OR($B148="",$A148&lt;=66),"",--MID('Key Analysis'!$C144,$A148-66,1))</f>
        <v/>
      </c>
      <c r="BR148" s="29" t="str">
        <f>IF(OR($B148="",$A148&lt;=67),"",--MID('Key Analysis'!$C144,$A148-67,1))</f>
        <v/>
      </c>
      <c r="BS148" s="29" t="str">
        <f>IF(OR($B148="",$A148&lt;=68),"",--MID('Key Analysis'!$C144,$A148-68,1))</f>
        <v/>
      </c>
      <c r="BT148" s="29" t="str">
        <f>IF(OR($B148="",$A148&lt;=69),"",--MID('Key Analysis'!$C144,$A148-69,1))</f>
        <v/>
      </c>
      <c r="BU148" s="29" t="str">
        <f>IF(OR($B148="",$A148&lt;=70),"",--MID('Key Analysis'!$C144,$A148-70,1))</f>
        <v/>
      </c>
      <c r="BV148" s="29" t="str">
        <f>IF(OR($B148="",$A148&lt;=71),"",--MID('Key Analysis'!$C144,$A148-71,1))</f>
        <v/>
      </c>
      <c r="BW148" s="29" t="str">
        <f>IF(OR($B148="",$A148&lt;=72),"",--MID('Key Analysis'!$C144,$A148-72,1))</f>
        <v/>
      </c>
      <c r="BX148" s="29" t="str">
        <f>IF(OR($B148="",$A148&lt;=73),"",--MID('Key Analysis'!$C144,$A148-73,1))</f>
        <v/>
      </c>
      <c r="BY148" s="29" t="str">
        <f>IF(OR($B148="",$A148&lt;=74),"",--MID('Key Analysis'!$C144,$A148-74,1))</f>
        <v/>
      </c>
      <c r="BZ148" s="29" t="str">
        <f>IF(OR($B148="",$A148&lt;=75),"",--MID('Key Analysis'!$C144,$A148-75,1))</f>
        <v/>
      </c>
      <c r="CA148" s="29" t="str">
        <f>IF(OR($B148="",$A148&lt;=76),"",--MID('Key Analysis'!$C144,$A148-76,1))</f>
        <v/>
      </c>
      <c r="CB148" s="29" t="str">
        <f>IF(OR($B148="",$A148&lt;=77),"",--MID('Key Analysis'!$C144,$A148-77,1))</f>
        <v/>
      </c>
      <c r="CC148" s="29" t="str">
        <f>IF(OR($B148="",$A148&lt;=78),"",--MID('Key Analysis'!$C144,$A148-78,1))</f>
        <v/>
      </c>
      <c r="CD148" s="29" t="str">
        <f>IF(OR($B148="",$A148&lt;=79),"",--MID('Key Analysis'!$C144,$A148-79,1))</f>
        <v/>
      </c>
      <c r="CE148" s="29" t="str">
        <f>IF(OR($B148="",$A148&lt;=80),"",--MID('Key Analysis'!$C144,$A148-80,1))</f>
        <v/>
      </c>
      <c r="CF148" s="29" t="str">
        <f>IF(OR($B148="",$A148&lt;=81),"",--MID('Key Analysis'!$C144,$A148-81,1))</f>
        <v/>
      </c>
      <c r="CG148" s="29" t="str">
        <f>IF(OR($B148="",$A148&lt;=82),"",--MID('Key Analysis'!$C144,$A148-82,1))</f>
        <v/>
      </c>
      <c r="CH148" s="29" t="str">
        <f>IF(OR($B148="",$A148&lt;=83),"",--MID('Key Analysis'!$C144,$A148-83,1))</f>
        <v/>
      </c>
      <c r="CI148" s="29" t="str">
        <f>IF(OR($B148="",$A148&lt;=84),"",--MID('Key Analysis'!$C144,$A148-84,1))</f>
        <v/>
      </c>
      <c r="CJ148" s="29" t="str">
        <f>IF(OR($B148="",$A148&lt;=85),"",--MID('Key Analysis'!$C144,$A148-85,1))</f>
        <v/>
      </c>
      <c r="CK148" s="29" t="str">
        <f>IF(OR($B148="",$A148&lt;=86),"",--MID('Key Analysis'!$C144,$A148-86,1))</f>
        <v/>
      </c>
      <c r="CL148" s="29" t="str">
        <f>IF(OR($B148="",$A148&lt;=87),"",--MID('Key Analysis'!$C144,$A148-87,1))</f>
        <v/>
      </c>
      <c r="CM148" s="29" t="str">
        <f>IF(OR($B148="",$A148&lt;=88),"",--MID('Key Analysis'!$C144,$A148-88,1))</f>
        <v/>
      </c>
      <c r="CN148" s="29" t="str">
        <f>IF(OR($B148="",$A148&lt;=89),"",--MID('Key Analysis'!$C144,$A148-89,1))</f>
        <v/>
      </c>
      <c r="CO148" s="29" t="str">
        <f>IF(OR($B148="",$A148&lt;=90),"",--MID('Key Analysis'!$C144,$A148-90,1))</f>
        <v/>
      </c>
      <c r="CP148" s="29" t="str">
        <f>IF(OR($B148="",$A148&lt;=91),"",--MID('Key Analysis'!$C144,$A148-91,1))</f>
        <v/>
      </c>
      <c r="CQ148" s="29" t="str">
        <f>IF(OR($B148="",$A148&lt;=92),"",--MID('Key Analysis'!$C144,$A148-92,1))</f>
        <v/>
      </c>
      <c r="CR148" s="29" t="str">
        <f>IF(OR($B148="",$A148&lt;=93),"",--MID('Key Analysis'!$C144,$A148-93,1))</f>
        <v/>
      </c>
      <c r="CS148" s="29" t="str">
        <f>IF(OR($B148="",$A148&lt;=94),"",--MID('Key Analysis'!$C144,$A148-94,1))</f>
        <v/>
      </c>
      <c r="CT148" s="29" t="str">
        <f>IF(OR($B148="",$A148&lt;=95),"",--MID('Key Analysis'!$C144,$A148-95,1))</f>
        <v/>
      </c>
      <c r="CU148" s="29" t="str">
        <f>IF(OR($B148="",$A148&lt;=96),"",--MID('Key Analysis'!$C144,$A148-96,1))</f>
        <v/>
      </c>
      <c r="CV148" s="29" t="str">
        <f>IF(OR($B148="",$A148&lt;=97),"",--MID('Key Analysis'!$C144,$A148-97,1))</f>
        <v/>
      </c>
      <c r="CW148" s="29" t="str">
        <f>IF(OR($B148="",$A148&lt;=98),"",--MID('Key Analysis'!$C144,$A148-98,1))</f>
        <v/>
      </c>
      <c r="CX148" s="29" t="str">
        <f>IF(OR($B148="",$A148&lt;=99),"",--MID('Key Analysis'!$C144,$A148-99,1))</f>
        <v/>
      </c>
      <c r="CY148" s="29" t="str">
        <f>IF(OR($B148="",$A148&lt;=100),"",--MID('Key Analysis'!$C144,$A148-100,1))</f>
        <v/>
      </c>
      <c r="CZ148" s="29" t="str">
        <f>IF(OR($B148="",$A148&lt;=101),"",--MID('Key Analysis'!$C144,$A148-101,1))</f>
        <v/>
      </c>
      <c r="DA148" s="29" t="str">
        <f>IF(OR($B148="",$A148&lt;=102),"",--MID('Key Analysis'!$C144,$A148-102,1))</f>
        <v/>
      </c>
      <c r="DB148" s="29" t="str">
        <f>IF(OR($B148="",$A148&lt;=103),"",--MID('Key Analysis'!$C144,$A148-103,1))</f>
        <v/>
      </c>
      <c r="DC148" s="29" t="str">
        <f>IF(OR($B148="",$A148&lt;=104),"",--MID('Key Analysis'!$C144,$A148-104,1))</f>
        <v/>
      </c>
      <c r="DD148" s="29" t="str">
        <f>IF(OR($B148="",$A148&lt;=105),"",--MID('Key Analysis'!$C144,$A148-105,1))</f>
        <v/>
      </c>
      <c r="DE148" s="29" t="str">
        <f>IF(OR($B148="",$A148&lt;=106),"",--MID('Key Analysis'!$C144,$A148-106,1))</f>
        <v/>
      </c>
      <c r="DF148" s="29" t="str">
        <f>IF(OR($B148="",$A148&lt;=107),"",--MID('Key Analysis'!$C144,$A148-107,1))</f>
        <v/>
      </c>
      <c r="DG148" s="29" t="str">
        <f>IF(OR($B148="",$A148&lt;=108),"",--MID('Key Analysis'!$C144,$A148-108,1))</f>
        <v/>
      </c>
      <c r="DH148" s="29" t="str">
        <f>IF(OR($B148="",$A148&lt;=109),"",--MID('Key Analysis'!$C144,$A148-109,1))</f>
        <v/>
      </c>
      <c r="DI148" s="29" t="str">
        <f>IF(OR($B148="",$A148&lt;=110),"",--MID('Key Analysis'!$C144,$A148-110,1))</f>
        <v/>
      </c>
      <c r="DJ148" s="29" t="str">
        <f>IF(OR($B148="",$A148&lt;=111),"",--MID('Key Analysis'!$C144,$A148-111,1))</f>
        <v/>
      </c>
      <c r="DK148" s="29" t="str">
        <f>IF(OR($B148="",$A148&lt;=112),"",--MID('Key Analysis'!$C144,$A148-112,1))</f>
        <v/>
      </c>
      <c r="DL148" s="29" t="str">
        <f>IF(OR($B148="",$A148&lt;=113),"",--MID('Key Analysis'!$C144,$A148-113,1))</f>
        <v/>
      </c>
      <c r="DM148" s="29" t="str">
        <f>IF(OR($B148="",$A148&lt;=114),"",--MID('Key Analysis'!$C144,$A148-114,1))</f>
        <v/>
      </c>
      <c r="DN148" s="29" t="str">
        <f>IF(OR($B148="",$A148&lt;=115),"",--MID('Key Analysis'!$C144,$A148-115,1))</f>
        <v/>
      </c>
      <c r="DO148" s="29" t="str">
        <f>IF(OR($B148="",$A148&lt;=116),"",--MID('Key Analysis'!$C144,$A148-116,1))</f>
        <v/>
      </c>
      <c r="DP148" s="29" t="str">
        <f>IF(OR($B148="",$A148&lt;=117),"",--MID('Key Analysis'!$C144,$A148-117,1))</f>
        <v/>
      </c>
      <c r="DQ148" s="29" t="str">
        <f>IF(OR($B148="",$A148&lt;=118),"",--MID('Key Analysis'!$C144,$A148-118,1))</f>
        <v/>
      </c>
      <c r="DR148" s="29" t="str">
        <f>IF(OR($B148="",$A148&lt;=119),"",--MID('Key Analysis'!$C144,$A148-119,1))</f>
        <v/>
      </c>
      <c r="DS148" s="29" t="str">
        <f>IF(OR($B148="",$A148&lt;=120),"",--MID('Key Analysis'!$C144,$A148-120,1))</f>
        <v/>
      </c>
      <c r="DT148" s="29" t="str">
        <f>IF(OR($B148="",$A148&lt;=121),"",--MID('Key Analysis'!$C144,$A148-121,1))</f>
        <v/>
      </c>
      <c r="DU148" s="29" t="str">
        <f>IF(OR($B148="",$A148&lt;=122),"",--MID('Key Analysis'!$C144,$A148-122,1))</f>
        <v/>
      </c>
      <c r="DV148" s="29" t="str">
        <f>IF(OR($B148="",$A148&lt;=123),"",--MID('Key Analysis'!$C144,$A148-123,1))</f>
        <v/>
      </c>
      <c r="DW148" s="29" t="str">
        <f>IF(OR($B148="",$A148&lt;=124),"",--MID('Key Analysis'!$C144,$A148-124,1))</f>
        <v/>
      </c>
      <c r="DX148" s="29" t="str">
        <f>IF(OR($B148="",$A148&lt;=125),"",--MID('Key Analysis'!$C144,$A148-125,1))</f>
        <v/>
      </c>
      <c r="DY148" s="29" t="str">
        <f>IF(OR($B148="",$A148&lt;=126),"",--MID('Key Analysis'!$C144,$A148-126,1))</f>
        <v/>
      </c>
      <c r="DZ148" s="29" t="str">
        <f>IF(OR($B148="",$A148&lt;=127),"",--MID('Key Analysis'!$C144,$A148-127,1))</f>
        <v/>
      </c>
      <c r="EA148" s="29" t="str">
        <f>IF(OR($B148="",$A148&lt;=128),"",--MID('Key Analysis'!$C144,$A148-128,1))</f>
        <v/>
      </c>
      <c r="EB148" s="29" t="str">
        <f>IF(OR($B148="",$A148&lt;=129),"",--MID('Key Analysis'!$C144,$A148-129,1))</f>
        <v/>
      </c>
      <c r="EC148" s="29" t="str">
        <f>IF(OR($B148="",$A148&lt;=130),"",--MID('Key Analysis'!$C144,$A148-130,1))</f>
        <v/>
      </c>
      <c r="ED148" s="29" t="str">
        <f>IF(OR($B148="",$A148&lt;=131),"",--MID('Key Analysis'!$C144,$A148-131,1))</f>
        <v/>
      </c>
      <c r="EE148" s="29" t="str">
        <f>IF(OR($B148="",$A148&lt;=132),"",--MID('Key Analysis'!$C144,$A148-132,1))</f>
        <v/>
      </c>
      <c r="EF148" s="29" t="str">
        <f>IF(OR($B148="",$A148&lt;=133),"",--MID('Key Analysis'!$C144,$A148-133,1))</f>
        <v/>
      </c>
      <c r="EG148" s="29" t="str">
        <f>IF(OR($B148="",$A148&lt;=134),"",--MID('Key Analysis'!$C144,$A148-134,1))</f>
        <v/>
      </c>
      <c r="EH148" s="29"/>
      <c r="EI148" s="29" t="str">
        <f>IF(OR($B148="",$A148&lt;1),"",--MID('Key Analysis'!$C144,1,1))</f>
        <v/>
      </c>
      <c r="EJ148" s="29" t="str">
        <f>IF(OR($B148="",$A148&lt;2),"",--MID('Key Analysis'!$C144,2,1))</f>
        <v/>
      </c>
      <c r="EK148" s="29" t="str">
        <f>IF(OR($B148="",$A148&lt;3),"",--MID('Key Analysis'!$C144,3,1))</f>
        <v/>
      </c>
      <c r="EL148" s="29" t="str">
        <f>IF(OR($B148="",$A148&lt;4),"",--MID('Key Analysis'!$C144,4,1))</f>
        <v/>
      </c>
      <c r="EM148" s="29" t="str">
        <f>IF(OR($B148="",$A148&lt;5),"",--MID('Key Analysis'!$C144,5,1))</f>
        <v/>
      </c>
      <c r="EN148" s="29" t="str">
        <f>IF(OR($B148="",$A148&lt;6),"",--MID('Key Analysis'!$C144,6,1))</f>
        <v/>
      </c>
      <c r="EO148" s="29" t="str">
        <f>IF(OR($B148="",$A148&lt;7),"",--MID('Key Analysis'!$C144,7,1))</f>
        <v/>
      </c>
      <c r="EP148" s="29" t="str">
        <f>IF(OR($B148="",$A148&lt;8),"",--MID('Key Analysis'!$C144,8,1))</f>
        <v/>
      </c>
      <c r="EQ148" s="29" t="str">
        <f>IF(OR($B148="",$A148&lt;9),"",--MID('Key Analysis'!$C144,9,1))</f>
        <v/>
      </c>
      <c r="ER148" s="29" t="str">
        <f>IF(OR($B148="",$A148&lt;10),"",--MID('Key Analysis'!$C144,10,1))</f>
        <v/>
      </c>
      <c r="ES148" s="29" t="str">
        <f>IF(OR($B148="",$A148&lt;11),"",--MID('Key Analysis'!$C144,11,1))</f>
        <v/>
      </c>
      <c r="ET148" s="29" t="str">
        <f>IF(OR($B148="",$A148&lt;12),"",--MID('Key Analysis'!$C144,12,1))</f>
        <v/>
      </c>
      <c r="EU148" s="29" t="str">
        <f>IF(OR($B148="",$A148&lt;13),"",--MID('Key Analysis'!$C144,13,1))</f>
        <v/>
      </c>
      <c r="EV148" s="29" t="str">
        <f>IF(OR($B148="",$A148&lt;14),"",--MID('Key Analysis'!$C144,14,1))</f>
        <v/>
      </c>
      <c r="EW148" s="29" t="str">
        <f>IF(OR($B148="",$A148&lt;15),"",--MID('Key Analysis'!$C144,15,1))</f>
        <v/>
      </c>
      <c r="EX148" s="29" t="str">
        <f>IF(OR($B148="",$A148&lt;16),"",--MID('Key Analysis'!$C144,16,1))</f>
        <v/>
      </c>
      <c r="EY148" s="29" t="str">
        <f>IF(OR($B148="",$A148&lt;17),"",--MID('Key Analysis'!$C144,17,1))</f>
        <v/>
      </c>
      <c r="EZ148" s="29" t="str">
        <f>IF(OR($B148="",$A148&lt;18),"",--MID('Key Analysis'!$C144,18,1))</f>
        <v/>
      </c>
      <c r="FA148" s="29" t="str">
        <f>IF(OR($B148="",$A148&lt;19),"",--MID('Key Analysis'!$C144,19,1))</f>
        <v/>
      </c>
      <c r="FB148" s="29" t="str">
        <f>IF(OR($B148="",$A148&lt;20),"",--MID('Key Analysis'!$C144,20,1))</f>
        <v/>
      </c>
      <c r="FC148" s="29" t="str">
        <f>IF(OR($B148="",$A148&lt;21),"",--MID('Key Analysis'!$C144,21,1))</f>
        <v/>
      </c>
      <c r="FD148" s="29" t="str">
        <f>IF(OR($B148="",$A148&lt;22),"",--MID('Key Analysis'!$C144,22,1))</f>
        <v/>
      </c>
      <c r="FE148" s="29" t="str">
        <f>IF(OR($B148="",$A148&lt;23),"",--MID('Key Analysis'!$C144,23,1))</f>
        <v/>
      </c>
      <c r="FF148" s="29" t="str">
        <f>IF(OR($B148="",$A148&lt;24),"",--MID('Key Analysis'!$C144,24,1))</f>
        <v/>
      </c>
      <c r="FG148" s="29" t="str">
        <f>IF(OR($B148="",$A148&lt;25),"",--MID('Key Analysis'!$C144,25,1))</f>
        <v/>
      </c>
      <c r="FH148" s="29" t="str">
        <f>IF(OR($B148="",$A148&lt;26),"",--MID('Key Analysis'!$C144,26,1))</f>
        <v/>
      </c>
      <c r="FI148" s="29" t="str">
        <f>IF(OR($B148="",$A148&lt;27),"",--MID('Key Analysis'!$C144,27,1))</f>
        <v/>
      </c>
      <c r="FJ148" s="29" t="str">
        <f>IF(OR($B148="",$A148&lt;28),"",--MID('Key Analysis'!$C144,28,1))</f>
        <v/>
      </c>
      <c r="FK148" s="29" t="str">
        <f>IF(OR($B148="",$A148&lt;29),"",--MID('Key Analysis'!$C144,29,1))</f>
        <v/>
      </c>
      <c r="FL148" s="29" t="str">
        <f>IF(OR($B148="",$A148&lt;30),"",--MID('Key Analysis'!$C144,30,1))</f>
        <v/>
      </c>
      <c r="FM148" s="29" t="str">
        <f>IF(OR($B148="",$A148&lt;31),"",--MID('Key Analysis'!$C144,31,1))</f>
        <v/>
      </c>
      <c r="FN148" s="29" t="str">
        <f>IF(OR($B148="",$A148&lt;32),"",--MID('Key Analysis'!$C144,32,1))</f>
        <v/>
      </c>
      <c r="FO148" s="29" t="str">
        <f>IF(OR($B148="",$A148&lt;33),"",--MID('Key Analysis'!$C144,33,1))</f>
        <v/>
      </c>
      <c r="FP148" s="29" t="str">
        <f>IF(OR($B148="",$A148&lt;34),"",--MID('Key Analysis'!$C144,34,1))</f>
        <v/>
      </c>
      <c r="FQ148" s="29" t="str">
        <f>IF(OR($B148="",$A148&lt;35),"",--MID('Key Analysis'!$C144,35,1))</f>
        <v/>
      </c>
      <c r="FR148" s="29" t="str">
        <f>IF(OR($B148="",$A148&lt;36),"",--MID('Key Analysis'!$C144,36,1))</f>
        <v/>
      </c>
      <c r="FS148" s="29" t="str">
        <f>IF(OR($B148="",$A148&lt;37),"",--MID('Key Analysis'!$C144,37,1))</f>
        <v/>
      </c>
      <c r="FT148" s="29" t="str">
        <f>IF(OR($B148="",$A148&lt;38),"",--MID('Key Analysis'!$C144,38,1))</f>
        <v/>
      </c>
      <c r="FU148" s="29" t="str">
        <f>IF(OR($B148="",$A148&lt;39),"",--MID('Key Analysis'!$C144,39,1))</f>
        <v/>
      </c>
      <c r="FV148" s="29" t="str">
        <f>IF(OR($B148="",$A148&lt;40),"",--MID('Key Analysis'!$C144,40,1))</f>
        <v/>
      </c>
      <c r="FW148" s="29" t="str">
        <f>IF(OR($B148="",$A148&lt;41),"",--MID('Key Analysis'!$C144,41,1))</f>
        <v/>
      </c>
      <c r="FX148" s="29" t="str">
        <f>IF(OR($B148="",$A148&lt;42),"",--MID('Key Analysis'!$C144,42,1))</f>
        <v/>
      </c>
      <c r="FY148" s="29" t="str">
        <f>IF(OR($B148="",$A148&lt;43),"",--MID('Key Analysis'!$C144,43,1))</f>
        <v/>
      </c>
      <c r="FZ148" s="29" t="str">
        <f>IF(OR($B148="",$A148&lt;44),"",--MID('Key Analysis'!$C144,44,1))</f>
        <v/>
      </c>
      <c r="GA148" s="29" t="str">
        <f>IF(OR($B148="",$A148&lt;45),"",--MID('Key Analysis'!$C144,45,1))</f>
        <v/>
      </c>
      <c r="GB148" s="29" t="str">
        <f>IF(OR($B148="",$A148&lt;46),"",--MID('Key Analysis'!$C144,46,1))</f>
        <v/>
      </c>
      <c r="GC148" s="29" t="str">
        <f>IF(OR($B148="",$A148&lt;47),"",--MID('Key Analysis'!$C144,47,1))</f>
        <v/>
      </c>
      <c r="GD148" s="29" t="str">
        <f>IF(OR($B148="",$A148&lt;48),"",--MID('Key Analysis'!$C144,48,1))</f>
        <v/>
      </c>
      <c r="GE148" s="29" t="str">
        <f>IF(OR($B148="",$A148&lt;49),"",--MID('Key Analysis'!$C144,49,1))</f>
        <v/>
      </c>
      <c r="GF148" s="29" t="str">
        <f>IF(OR($B148="",$A148&lt;50),"",--MID('Key Analysis'!$C144,50,1))</f>
        <v/>
      </c>
      <c r="GG148" s="29" t="str">
        <f>IF(OR($B148="",$A148&lt;51),"",--MID('Key Analysis'!$C144,51,1))</f>
        <v/>
      </c>
      <c r="GH148" s="29" t="str">
        <f>IF(OR($B148="",$A148&lt;52),"",--MID('Key Analysis'!$C144,52,1))</f>
        <v/>
      </c>
      <c r="GI148" s="29" t="str">
        <f>IF(OR($B148="",$A148&lt;53),"",--MID('Key Analysis'!$C144,53,1))</f>
        <v/>
      </c>
      <c r="GJ148" s="29" t="str">
        <f>IF(OR($B148="",$A148&lt;54),"",--MID('Key Analysis'!$C144,54,1))</f>
        <v/>
      </c>
      <c r="GK148" s="29" t="str">
        <f>IF(OR($B148="",$A148&lt;55),"",--MID('Key Analysis'!$C144,55,1))</f>
        <v/>
      </c>
      <c r="GL148" s="29" t="str">
        <f>IF(OR($B148="",$A148&lt;56),"",--MID('Key Analysis'!$C144,56,1))</f>
        <v/>
      </c>
      <c r="GM148" s="29" t="str">
        <f>IF(OR($B148="",$A148&lt;57),"",--MID('Key Analysis'!$C144,57,1))</f>
        <v/>
      </c>
      <c r="GN148" s="29" t="str">
        <f>IF(OR($B148="",$A148&lt;58),"",--MID('Key Analysis'!$C144,58,1))</f>
        <v/>
      </c>
      <c r="GO148" s="29" t="str">
        <f>IF(OR($B148="",$A148&lt;59),"",--MID('Key Analysis'!$C144,59,1))</f>
        <v/>
      </c>
      <c r="GP148" s="29" t="str">
        <f>IF(OR($B148="",$A148&lt;60),"",--MID('Key Analysis'!$C144,60,1))</f>
        <v/>
      </c>
      <c r="GQ148" s="29" t="str">
        <f>IF(OR($B148="",$A148&lt;61),"",--MID('Key Analysis'!$C144,61,1))</f>
        <v/>
      </c>
      <c r="GR148" s="29" t="str">
        <f>IF(OR($B148="",$A148&lt;62),"",--MID('Key Analysis'!$C144,62,1))</f>
        <v/>
      </c>
      <c r="GS148" s="29" t="str">
        <f>IF(OR($B148="",$A148&lt;63),"",--MID('Key Analysis'!$C144,63,1))</f>
        <v/>
      </c>
      <c r="GT148" s="29" t="str">
        <f>IF(OR($B148="",$A148&lt;64),"",--MID('Key Analysis'!$C144,64,1))</f>
        <v/>
      </c>
      <c r="GU148" s="29" t="str">
        <f>IF(OR($B148="",$A148&lt;65),"",--MID('Key Analysis'!$C144,65,1))</f>
        <v/>
      </c>
      <c r="GV148" s="29" t="str">
        <f>IF(OR($B148="",$A148&lt;66),"",--MID('Key Analysis'!$C144,66,1))</f>
        <v/>
      </c>
      <c r="GW148" s="29" t="str">
        <f>IF(OR($B148="",$A148&lt;67),"",--MID('Key Analysis'!$C144,67,1))</f>
        <v/>
      </c>
      <c r="GX148" s="29" t="str">
        <f>IF(OR($B148="",$A148&lt;68),"",--MID('Key Analysis'!$C144,68,1))</f>
        <v/>
      </c>
      <c r="GY148" s="29" t="str">
        <f>IF(OR($B148="",$A148&lt;69),"",--MID('Key Analysis'!$C144,69,1))</f>
        <v/>
      </c>
      <c r="GZ148" s="29" t="str">
        <f>IF(OR($B148="",$A148&lt;70),"",--MID('Key Analysis'!$C144,70,1))</f>
        <v/>
      </c>
      <c r="HA148" s="29" t="str">
        <f>IF(OR($B148="",$A148&lt;71),"",--MID('Key Analysis'!$C144,71,1))</f>
        <v/>
      </c>
      <c r="HB148" s="29" t="str">
        <f>IF(OR($B148="",$A148&lt;72),"",--MID('Key Analysis'!$C144,72,1))</f>
        <v/>
      </c>
      <c r="HC148" s="29" t="str">
        <f>IF(OR($B148="",$A148&lt;73),"",--MID('Key Analysis'!$C144,73,1))</f>
        <v/>
      </c>
      <c r="HD148" s="29" t="str">
        <f>IF(OR($B148="",$A148&lt;74),"",--MID('Key Analysis'!$C144,74,1))</f>
        <v/>
      </c>
      <c r="HE148" s="29" t="str">
        <f>IF(OR($B148="",$A148&lt;75),"",--MID('Key Analysis'!$C144,75,1))</f>
        <v/>
      </c>
      <c r="HF148" s="29" t="str">
        <f>IF(OR($B148="",$A148&lt;76),"",--MID('Key Analysis'!$C144,76,1))</f>
        <v/>
      </c>
      <c r="HG148" s="29" t="str">
        <f>IF(OR($B148="",$A148&lt;77),"",--MID('Key Analysis'!$C144,77,1))</f>
        <v/>
      </c>
      <c r="HH148" s="29" t="str">
        <f>IF(OR($B148="",$A148&lt;78),"",--MID('Key Analysis'!$C144,78,1))</f>
        <v/>
      </c>
      <c r="HI148" s="29" t="str">
        <f>IF(OR($B148="",$A148&lt;79),"",--MID('Key Analysis'!$C144,79,1))</f>
        <v/>
      </c>
      <c r="HJ148" s="29" t="str">
        <f>IF(OR($B148="",$A148&lt;80),"",--MID('Key Analysis'!$C144,80,1))</f>
        <v/>
      </c>
      <c r="HK148" s="29" t="str">
        <f>IF(OR($B148="",$A148&lt;81),"",--MID('Key Analysis'!$C144,81,1))</f>
        <v/>
      </c>
      <c r="HL148" s="29" t="str">
        <f>IF(OR($B148="",$A148&lt;82),"",--MID('Key Analysis'!$C144,82,1))</f>
        <v/>
      </c>
      <c r="HM148" s="29" t="str">
        <f>IF(OR($B148="",$A148&lt;83),"",--MID('Key Analysis'!$C144,83,1))</f>
        <v/>
      </c>
      <c r="HN148" s="29" t="str">
        <f>IF(OR($B148="",$A148&lt;84),"",--MID('Key Analysis'!$C144,84,1))</f>
        <v/>
      </c>
      <c r="HO148" s="29" t="str">
        <f>IF(OR($B148="",$A148&lt;85),"",--MID('Key Analysis'!$C144,85,1))</f>
        <v/>
      </c>
      <c r="HP148" s="29" t="str">
        <f>IF(OR($B148="",$A148&lt;86),"",--MID('Key Analysis'!$C144,86,1))</f>
        <v/>
      </c>
      <c r="HQ148" s="29" t="str">
        <f>IF(OR($B148="",$A148&lt;87),"",--MID('Key Analysis'!$C144,87,1))</f>
        <v/>
      </c>
      <c r="HR148" s="29" t="str">
        <f>IF(OR($B148="",$A148&lt;88),"",--MID('Key Analysis'!$C144,88,1))</f>
        <v/>
      </c>
      <c r="HS148" s="29" t="str">
        <f>IF(OR($B148="",$A148&lt;89),"",--MID('Key Analysis'!$C144,89,1))</f>
        <v/>
      </c>
      <c r="HT148" s="29" t="str">
        <f>IF(OR($B148="",$A148&lt;90),"",--MID('Key Analysis'!$C144,90,1))</f>
        <v/>
      </c>
      <c r="HU148" s="29" t="str">
        <f>IF(OR($B148="",$A148&lt;91),"",--MID('Key Analysis'!$C144,91,1))</f>
        <v/>
      </c>
      <c r="HV148" s="29" t="str">
        <f>IF(OR($B148="",$A148&lt;92),"",--MID('Key Analysis'!$C144,92,1))</f>
        <v/>
      </c>
      <c r="HW148" s="29" t="str">
        <f>IF(OR($B148="",$A148&lt;93),"",--MID('Key Analysis'!$C144,93,1))</f>
        <v/>
      </c>
      <c r="HX148" s="29" t="str">
        <f>IF(OR($B148="",$A148&lt;94),"",--MID('Key Analysis'!$C144,94,1))</f>
        <v/>
      </c>
      <c r="HY148" s="29" t="str">
        <f>IF(OR($B148="",$A148&lt;95),"",--MID('Key Analysis'!$C144,95,1))</f>
        <v/>
      </c>
      <c r="HZ148" s="29" t="str">
        <f>IF(OR($B148="",$A148&lt;96),"",--MID('Key Analysis'!$C144,96,1))</f>
        <v/>
      </c>
      <c r="IA148" s="29" t="str">
        <f>IF(OR($B148="",$A148&lt;97),"",--MID('Key Analysis'!$C144,97,1))</f>
        <v/>
      </c>
      <c r="IB148" s="29" t="str">
        <f>IF(OR($B148="",$A148&lt;98),"",--MID('Key Analysis'!$C144,98,1))</f>
        <v/>
      </c>
      <c r="IC148" s="29" t="str">
        <f>IF(OR($B148="",$A148&lt;99),"",--MID('Key Analysis'!$C144,99,1))</f>
        <v/>
      </c>
      <c r="ID148" s="29" t="str">
        <f>IF(OR($B148="",$A148&lt;100),"",--MID('Key Analysis'!$C144,100,1))</f>
        <v/>
      </c>
      <c r="IE148" s="29" t="str">
        <f>IF(OR($B148="",$A148&lt;101),"",--MID('Key Analysis'!$C144,101,1))</f>
        <v/>
      </c>
      <c r="IF148" s="29" t="str">
        <f>IF(OR($B148="",$A148&lt;102),"",--MID('Key Analysis'!$C144,102,1))</f>
        <v/>
      </c>
      <c r="IG148" s="29" t="str">
        <f>IF(OR($B148="",$A148&lt;103),"",--MID('Key Analysis'!$C144,103,1))</f>
        <v/>
      </c>
      <c r="IH148" s="29" t="str">
        <f>IF(OR($B148="",$A148&lt;104),"",--MID('Key Analysis'!$C144,104,1))</f>
        <v/>
      </c>
      <c r="II148" s="29" t="str">
        <f>IF(OR($B148="",$A148&lt;105),"",--MID('Key Analysis'!$C144,105,1))</f>
        <v/>
      </c>
      <c r="IJ148" s="29" t="str">
        <f>IF(OR($B148="",$A148&lt;106),"",--MID('Key Analysis'!$C144,106,1))</f>
        <v/>
      </c>
      <c r="IK148" s="29" t="str">
        <f>IF(OR($B148="",$A148&lt;107),"",--MID('Key Analysis'!$C144,107,1))</f>
        <v/>
      </c>
      <c r="IL148" s="29" t="str">
        <f>IF(OR($B148="",$A148&lt;108),"",--MID('Key Analysis'!$C144,108,1))</f>
        <v/>
      </c>
      <c r="IM148" s="29" t="str">
        <f>IF(OR($B148="",$A148&lt;109),"",--MID('Key Analysis'!$C144,109,1))</f>
        <v/>
      </c>
      <c r="IN148" s="29" t="str">
        <f>IF(OR($B148="",$A148&lt;110),"",--MID('Key Analysis'!$C144,110,1))</f>
        <v/>
      </c>
      <c r="IO148" s="29" t="str">
        <f>IF(OR($B148="",$A148&lt;111),"",--MID('Key Analysis'!$C144,111,1))</f>
        <v/>
      </c>
      <c r="IP148" s="29" t="str">
        <f>IF(OR($B148="",$A148&lt;112),"",--MID('Key Analysis'!$C144,112,1))</f>
        <v/>
      </c>
      <c r="IQ148" s="29" t="str">
        <f>IF(OR($B148="",$A148&lt;113),"",--MID('Key Analysis'!$C144,113,1))</f>
        <v/>
      </c>
      <c r="IR148" s="29" t="str">
        <f>IF(OR($B148="",$A148&lt;114),"",--MID('Key Analysis'!$C144,114,1))</f>
        <v/>
      </c>
      <c r="IS148" s="29" t="str">
        <f>IF(OR($B148="",$A148&lt;115),"",--MID('Key Analysis'!$C144,115,1))</f>
        <v/>
      </c>
      <c r="IT148" s="29" t="str">
        <f>IF(OR($B148="",$A148&lt;116),"",--MID('Key Analysis'!$C144,116,1))</f>
        <v/>
      </c>
      <c r="IU148" s="29" t="str">
        <f>IF(OR($B148="",$A148&lt;117),"",--MID('Key Analysis'!$C144,117,1))</f>
        <v/>
      </c>
      <c r="IV148" s="29" t="str">
        <f>IF(OR($B148="",$A148&lt;118),"",--MID('Key Analysis'!$C144,118,1))</f>
        <v/>
      </c>
      <c r="IW148" s="29" t="str">
        <f>IF(OR($B148="",$A148&lt;119),"",--MID('Key Analysis'!$C144,119,1))</f>
        <v/>
      </c>
      <c r="IX148" s="29" t="str">
        <f>IF(OR($B148="",$A148&lt;120),"",--MID('Key Analysis'!$C144,120,1))</f>
        <v/>
      </c>
      <c r="IY148" s="29" t="str">
        <f>IF(OR($B148="",$A148&lt;121),"",--MID('Key Analysis'!$C144,121,1))</f>
        <v/>
      </c>
      <c r="IZ148" s="29" t="str">
        <f>IF(OR($B148="",$A148&lt;122),"",--MID('Key Analysis'!$C144,122,1))</f>
        <v/>
      </c>
      <c r="JA148" s="29" t="str">
        <f>IF(OR($B148="",$A148&lt;123),"",--MID('Key Analysis'!$C144,123,1))</f>
        <v/>
      </c>
      <c r="JB148" s="29" t="str">
        <f>IF(OR($B148="",$A148&lt;124),"",--MID('Key Analysis'!$C144,124,1))</f>
        <v/>
      </c>
      <c r="JC148" s="29" t="str">
        <f>IF(OR($B148="",$A148&lt;125),"",--MID('Key Analysis'!$C144,125,1))</f>
        <v/>
      </c>
      <c r="JD148" s="29" t="str">
        <f>IF(OR($B148="",$A148&lt;126),"",--MID('Key Analysis'!$C144,126,1))</f>
        <v/>
      </c>
      <c r="JE148" s="29" t="str">
        <f>IF(OR($B148="",$A148&lt;127),"",--MID('Key Analysis'!$C144,127,1))</f>
        <v/>
      </c>
      <c r="JF148" s="29" t="str">
        <f>IF(OR($B148="",$A148&lt;128),"",--MID('Key Analysis'!$C144,128,1))</f>
        <v/>
      </c>
      <c r="JG148" s="29" t="str">
        <f>IF(OR($B148="",$A148&lt;129),"",--MID('Key Analysis'!$C144,129,1))</f>
        <v/>
      </c>
      <c r="JH148" s="29" t="str">
        <f>IF(OR($B148="",$A148&lt;130),"",--MID('Key Analysis'!$C144,130,1))</f>
        <v/>
      </c>
      <c r="JI148" s="29" t="str">
        <f>IF(OR($B148="",$A148&lt;131),"",--MID('Key Analysis'!$C144,131,1))</f>
        <v/>
      </c>
      <c r="JJ148" s="29" t="str">
        <f>IF(OR($B148="",$A148&lt;132),"",--MID('Key Analysis'!$C144,132,1))</f>
        <v/>
      </c>
      <c r="JK148" s="29" t="str">
        <f>IF(OR($B148="",$A148&lt;133),"",--MID('Key Analysis'!$C144,133,1))</f>
        <v/>
      </c>
      <c r="JL148" s="29" t="str">
        <f>IF(OR($B148="",$A148&lt;134),"",--MID('Key Analysis'!$C144,134,1))</f>
        <v/>
      </c>
      <c r="JM148" s="29" t="str">
        <f>IF(OR($B148="",$A148&lt;135),"",--MID('Key Analysis'!$C144,135,1))</f>
        <v/>
      </c>
    </row>
    <row r="149" spans="1:273" x14ac:dyDescent="0.25">
      <c r="A149" s="21">
        <f>'Key Analysis'!A145</f>
        <v>144</v>
      </c>
      <c r="B149" s="30" t="str">
        <f>'Key Analysis'!B145</f>
        <v/>
      </c>
      <c r="C149" s="29" t="str">
        <f>IF(OR($B149="",$A149&lt;=0),"",--MID('Key Analysis'!$C145,$A149-0,1))</f>
        <v/>
      </c>
      <c r="D149" s="29" t="str">
        <f>IF(OR($B149="",$A149&lt;=1),"",--MID('Key Analysis'!$C145,$A149-1,1))</f>
        <v/>
      </c>
      <c r="E149" s="29" t="str">
        <f>IF(OR($B149="",$A149&lt;=2),"",--MID('Key Analysis'!$C145,$A149-2,1))</f>
        <v/>
      </c>
      <c r="F149" s="29" t="str">
        <f>IF(OR($B149="",$A149&lt;=3),"",--MID('Key Analysis'!$C145,$A149-3,1))</f>
        <v/>
      </c>
      <c r="G149" s="29" t="str">
        <f>IF(OR($B149="",$A149&lt;=4),"",--MID('Key Analysis'!$C145,$A149-4,1))</f>
        <v/>
      </c>
      <c r="H149" s="29" t="str">
        <f>IF(OR($B149="",$A149&lt;=5),"",--MID('Key Analysis'!$C145,$A149-5,1))</f>
        <v/>
      </c>
      <c r="I149" s="29" t="str">
        <f>IF(OR($B149="",$A149&lt;=6),"",--MID('Key Analysis'!$C145,$A149-6,1))</f>
        <v/>
      </c>
      <c r="J149" s="29" t="str">
        <f>IF(OR($B149="",$A149&lt;=7),"",--MID('Key Analysis'!$C145,$A149-7,1))</f>
        <v/>
      </c>
      <c r="K149" s="29" t="str">
        <f>IF(OR($B149="",$A149&lt;=8),"",--MID('Key Analysis'!$C145,$A149-8,1))</f>
        <v/>
      </c>
      <c r="L149" s="29" t="str">
        <f>IF(OR($B149="",$A149&lt;=9),"",--MID('Key Analysis'!$C145,$A149-9,1))</f>
        <v/>
      </c>
      <c r="M149" s="29" t="str">
        <f>IF(OR($B149="",$A149&lt;=10),"",--MID('Key Analysis'!$C145,$A149-10,1))</f>
        <v/>
      </c>
      <c r="N149" s="29" t="str">
        <f>IF(OR($B149="",$A149&lt;=11),"",--MID('Key Analysis'!$C145,$A149-11,1))</f>
        <v/>
      </c>
      <c r="O149" s="29" t="str">
        <f>IF(OR($B149="",$A149&lt;=12),"",--MID('Key Analysis'!$C145,$A149-12,1))</f>
        <v/>
      </c>
      <c r="P149" s="29" t="str">
        <f>IF(OR($B149="",$A149&lt;=13),"",--MID('Key Analysis'!$C145,$A149-13,1))</f>
        <v/>
      </c>
      <c r="Q149" s="29" t="str">
        <f>IF(OR($B149="",$A149&lt;=14),"",--MID('Key Analysis'!$C145,$A149-14,1))</f>
        <v/>
      </c>
      <c r="R149" s="29" t="str">
        <f>IF(OR($B149="",$A149&lt;=15),"",--MID('Key Analysis'!$C145,$A149-15,1))</f>
        <v/>
      </c>
      <c r="S149" s="29" t="str">
        <f>IF(OR($B149="",$A149&lt;=16),"",--MID('Key Analysis'!$C145,$A149-16,1))</f>
        <v/>
      </c>
      <c r="T149" s="29" t="str">
        <f>IF(OR($B149="",$A149&lt;=17),"",--MID('Key Analysis'!$C145,$A149-17,1))</f>
        <v/>
      </c>
      <c r="U149" s="29" t="str">
        <f>IF(OR($B149="",$A149&lt;=18),"",--MID('Key Analysis'!$C145,$A149-18,1))</f>
        <v/>
      </c>
      <c r="V149" s="29" t="str">
        <f>IF(OR($B149="",$A149&lt;=19),"",--MID('Key Analysis'!$C145,$A149-19,1))</f>
        <v/>
      </c>
      <c r="W149" s="29" t="str">
        <f>IF(OR($B149="",$A149&lt;=20),"",--MID('Key Analysis'!$C145,$A149-20,1))</f>
        <v/>
      </c>
      <c r="X149" s="29" t="str">
        <f>IF(OR($B149="",$A149&lt;=21),"",--MID('Key Analysis'!$C145,$A149-21,1))</f>
        <v/>
      </c>
      <c r="Y149" s="29" t="str">
        <f>IF(OR($B149="",$A149&lt;=22),"",--MID('Key Analysis'!$C145,$A149-22,1))</f>
        <v/>
      </c>
      <c r="Z149" s="29" t="str">
        <f>IF(OR($B149="",$A149&lt;=23),"",--MID('Key Analysis'!$C145,$A149-23,1))</f>
        <v/>
      </c>
      <c r="AA149" s="29" t="str">
        <f>IF(OR($B149="",$A149&lt;=24),"",--MID('Key Analysis'!$C145,$A149-24,1))</f>
        <v/>
      </c>
      <c r="AB149" s="29" t="str">
        <f>IF(OR($B149="",$A149&lt;=25),"",--MID('Key Analysis'!$C145,$A149-25,1))</f>
        <v/>
      </c>
      <c r="AC149" s="29" t="str">
        <f>IF(OR($B149="",$A149&lt;=26),"",--MID('Key Analysis'!$C145,$A149-26,1))</f>
        <v/>
      </c>
      <c r="AD149" s="29" t="str">
        <f>IF(OR($B149="",$A149&lt;=27),"",--MID('Key Analysis'!$C145,$A149-27,1))</f>
        <v/>
      </c>
      <c r="AE149" s="29" t="str">
        <f>IF(OR($B149="",$A149&lt;=28),"",--MID('Key Analysis'!$C145,$A149-28,1))</f>
        <v/>
      </c>
      <c r="AF149" s="29" t="str">
        <f>IF(OR($B149="",$A149&lt;=29),"",--MID('Key Analysis'!$C145,$A149-29,1))</f>
        <v/>
      </c>
      <c r="AG149" s="29" t="str">
        <f>IF(OR($B149="",$A149&lt;=30),"",--MID('Key Analysis'!$C145,$A149-30,1))</f>
        <v/>
      </c>
      <c r="AH149" s="29" t="str">
        <f>IF(OR($B149="",$A149&lt;=31),"",--MID('Key Analysis'!$C145,$A149-31,1))</f>
        <v/>
      </c>
      <c r="AI149" s="29" t="str">
        <f>IF(OR($B149="",$A149&lt;=32),"",--MID('Key Analysis'!$C145,$A149-32,1))</f>
        <v/>
      </c>
      <c r="AJ149" s="29" t="str">
        <f>IF(OR($B149="",$A149&lt;=33),"",--MID('Key Analysis'!$C145,$A149-33,1))</f>
        <v/>
      </c>
      <c r="AK149" s="29" t="str">
        <f>IF(OR($B149="",$A149&lt;=34),"",--MID('Key Analysis'!$C145,$A149-34,1))</f>
        <v/>
      </c>
      <c r="AL149" s="29" t="str">
        <f>IF(OR($B149="",$A149&lt;=35),"",--MID('Key Analysis'!$C145,$A149-35,1))</f>
        <v/>
      </c>
      <c r="AM149" s="29" t="str">
        <f>IF(OR($B149="",$A149&lt;=36),"",--MID('Key Analysis'!$C145,$A149-36,1))</f>
        <v/>
      </c>
      <c r="AN149" s="29" t="str">
        <f>IF(OR($B149="",$A149&lt;=37),"",--MID('Key Analysis'!$C145,$A149-37,1))</f>
        <v/>
      </c>
      <c r="AO149" s="29" t="str">
        <f>IF(OR($B149="",$A149&lt;=38),"",--MID('Key Analysis'!$C145,$A149-38,1))</f>
        <v/>
      </c>
      <c r="AP149" s="29" t="str">
        <f>IF(OR($B149="",$A149&lt;=39),"",--MID('Key Analysis'!$C145,$A149-39,1))</f>
        <v/>
      </c>
      <c r="AQ149" s="29" t="str">
        <f>IF(OR($B149="",$A149&lt;=40),"",--MID('Key Analysis'!$C145,$A149-40,1))</f>
        <v/>
      </c>
      <c r="AR149" s="29" t="str">
        <f>IF(OR($B149="",$A149&lt;=41),"",--MID('Key Analysis'!$C145,$A149-41,1))</f>
        <v/>
      </c>
      <c r="AS149" s="29" t="str">
        <f>IF(OR($B149="",$A149&lt;=42),"",--MID('Key Analysis'!$C145,$A149-42,1))</f>
        <v/>
      </c>
      <c r="AT149" s="29" t="str">
        <f>IF(OR($B149="",$A149&lt;=43),"",--MID('Key Analysis'!$C145,$A149-43,1))</f>
        <v/>
      </c>
      <c r="AU149" s="29" t="str">
        <f>IF(OR($B149="",$A149&lt;=44),"",--MID('Key Analysis'!$C145,$A149-44,1))</f>
        <v/>
      </c>
      <c r="AV149" s="29" t="str">
        <f>IF(OR($B149="",$A149&lt;=45),"",--MID('Key Analysis'!$C145,$A149-45,1))</f>
        <v/>
      </c>
      <c r="AW149" s="29" t="str">
        <f>IF(OR($B149="",$A149&lt;=46),"",--MID('Key Analysis'!$C145,$A149-46,1))</f>
        <v/>
      </c>
      <c r="AX149" s="29" t="str">
        <f>IF(OR($B149="",$A149&lt;=47),"",--MID('Key Analysis'!$C145,$A149-47,1))</f>
        <v/>
      </c>
      <c r="AY149" s="29" t="str">
        <f>IF(OR($B149="",$A149&lt;=48),"",--MID('Key Analysis'!$C145,$A149-48,1))</f>
        <v/>
      </c>
      <c r="AZ149" s="29" t="str">
        <f>IF(OR($B149="",$A149&lt;=49),"",--MID('Key Analysis'!$C145,$A149-49,1))</f>
        <v/>
      </c>
      <c r="BA149" s="29" t="str">
        <f>IF(OR($B149="",$A149&lt;=50),"",--MID('Key Analysis'!$C145,$A149-50,1))</f>
        <v/>
      </c>
      <c r="BB149" s="29" t="str">
        <f>IF(OR($B149="",$A149&lt;=51),"",--MID('Key Analysis'!$C145,$A149-51,1))</f>
        <v/>
      </c>
      <c r="BC149" s="29" t="str">
        <f>IF(OR($B149="",$A149&lt;=52),"",--MID('Key Analysis'!$C145,$A149-52,1))</f>
        <v/>
      </c>
      <c r="BD149" s="29" t="str">
        <f>IF(OR($B149="",$A149&lt;=53),"",--MID('Key Analysis'!$C145,$A149-53,1))</f>
        <v/>
      </c>
      <c r="BE149" s="29" t="str">
        <f>IF(OR($B149="",$A149&lt;=54),"",--MID('Key Analysis'!$C145,$A149-54,1))</f>
        <v/>
      </c>
      <c r="BF149" s="29" t="str">
        <f>IF(OR($B149="",$A149&lt;=55),"",--MID('Key Analysis'!$C145,$A149-55,1))</f>
        <v/>
      </c>
      <c r="BG149" s="29" t="str">
        <f>IF(OR($B149="",$A149&lt;=56),"",--MID('Key Analysis'!$C145,$A149-56,1))</f>
        <v/>
      </c>
      <c r="BH149" s="29" t="str">
        <f>IF(OR($B149="",$A149&lt;=57),"",--MID('Key Analysis'!$C145,$A149-57,1))</f>
        <v/>
      </c>
      <c r="BI149" s="29" t="str">
        <f>IF(OR($B149="",$A149&lt;=58),"",--MID('Key Analysis'!$C145,$A149-58,1))</f>
        <v/>
      </c>
      <c r="BJ149" s="29" t="str">
        <f>IF(OR($B149="",$A149&lt;=59),"",--MID('Key Analysis'!$C145,$A149-59,1))</f>
        <v/>
      </c>
      <c r="BK149" s="29" t="str">
        <f>IF(OR($B149="",$A149&lt;=60),"",--MID('Key Analysis'!$C145,$A149-60,1))</f>
        <v/>
      </c>
      <c r="BL149" s="29" t="str">
        <f>IF(OR($B149="",$A149&lt;=61),"",--MID('Key Analysis'!$C145,$A149-61,1))</f>
        <v/>
      </c>
      <c r="BM149" s="29" t="str">
        <f>IF(OR($B149="",$A149&lt;=62),"",--MID('Key Analysis'!$C145,$A149-62,1))</f>
        <v/>
      </c>
      <c r="BN149" s="29" t="str">
        <f>IF(OR($B149="",$A149&lt;=63),"",--MID('Key Analysis'!$C145,$A149-63,1))</f>
        <v/>
      </c>
      <c r="BO149" s="29" t="str">
        <f>IF(OR($B149="",$A149&lt;=64),"",--MID('Key Analysis'!$C145,$A149-64,1))</f>
        <v/>
      </c>
      <c r="BP149" s="29" t="str">
        <f>IF(OR($B149="",$A149&lt;=65),"",--MID('Key Analysis'!$C145,$A149-65,1))</f>
        <v/>
      </c>
      <c r="BQ149" s="29" t="str">
        <f>IF(OR($B149="",$A149&lt;=66),"",--MID('Key Analysis'!$C145,$A149-66,1))</f>
        <v/>
      </c>
      <c r="BR149" s="29" t="str">
        <f>IF(OR($B149="",$A149&lt;=67),"",--MID('Key Analysis'!$C145,$A149-67,1))</f>
        <v/>
      </c>
      <c r="BS149" s="29" t="str">
        <f>IF(OR($B149="",$A149&lt;=68),"",--MID('Key Analysis'!$C145,$A149-68,1))</f>
        <v/>
      </c>
      <c r="BT149" s="29" t="str">
        <f>IF(OR($B149="",$A149&lt;=69),"",--MID('Key Analysis'!$C145,$A149-69,1))</f>
        <v/>
      </c>
      <c r="BU149" s="29" t="str">
        <f>IF(OR($B149="",$A149&lt;=70),"",--MID('Key Analysis'!$C145,$A149-70,1))</f>
        <v/>
      </c>
      <c r="BV149" s="29" t="str">
        <f>IF(OR($B149="",$A149&lt;=71),"",--MID('Key Analysis'!$C145,$A149-71,1))</f>
        <v/>
      </c>
      <c r="BW149" s="29" t="str">
        <f>IF(OR($B149="",$A149&lt;=72),"",--MID('Key Analysis'!$C145,$A149-72,1))</f>
        <v/>
      </c>
      <c r="BX149" s="29" t="str">
        <f>IF(OR($B149="",$A149&lt;=73),"",--MID('Key Analysis'!$C145,$A149-73,1))</f>
        <v/>
      </c>
      <c r="BY149" s="29" t="str">
        <f>IF(OR($B149="",$A149&lt;=74),"",--MID('Key Analysis'!$C145,$A149-74,1))</f>
        <v/>
      </c>
      <c r="BZ149" s="29" t="str">
        <f>IF(OR($B149="",$A149&lt;=75),"",--MID('Key Analysis'!$C145,$A149-75,1))</f>
        <v/>
      </c>
      <c r="CA149" s="29" t="str">
        <f>IF(OR($B149="",$A149&lt;=76),"",--MID('Key Analysis'!$C145,$A149-76,1))</f>
        <v/>
      </c>
      <c r="CB149" s="29" t="str">
        <f>IF(OR($B149="",$A149&lt;=77),"",--MID('Key Analysis'!$C145,$A149-77,1))</f>
        <v/>
      </c>
      <c r="CC149" s="29" t="str">
        <f>IF(OR($B149="",$A149&lt;=78),"",--MID('Key Analysis'!$C145,$A149-78,1))</f>
        <v/>
      </c>
      <c r="CD149" s="29" t="str">
        <f>IF(OR($B149="",$A149&lt;=79),"",--MID('Key Analysis'!$C145,$A149-79,1))</f>
        <v/>
      </c>
      <c r="CE149" s="29" t="str">
        <f>IF(OR($B149="",$A149&lt;=80),"",--MID('Key Analysis'!$C145,$A149-80,1))</f>
        <v/>
      </c>
      <c r="CF149" s="29" t="str">
        <f>IF(OR($B149="",$A149&lt;=81),"",--MID('Key Analysis'!$C145,$A149-81,1))</f>
        <v/>
      </c>
      <c r="CG149" s="29" t="str">
        <f>IF(OR($B149="",$A149&lt;=82),"",--MID('Key Analysis'!$C145,$A149-82,1))</f>
        <v/>
      </c>
      <c r="CH149" s="29" t="str">
        <f>IF(OR($B149="",$A149&lt;=83),"",--MID('Key Analysis'!$C145,$A149-83,1))</f>
        <v/>
      </c>
      <c r="CI149" s="29" t="str">
        <f>IF(OR($B149="",$A149&lt;=84),"",--MID('Key Analysis'!$C145,$A149-84,1))</f>
        <v/>
      </c>
      <c r="CJ149" s="29" t="str">
        <f>IF(OR($B149="",$A149&lt;=85),"",--MID('Key Analysis'!$C145,$A149-85,1))</f>
        <v/>
      </c>
      <c r="CK149" s="29" t="str">
        <f>IF(OR($B149="",$A149&lt;=86),"",--MID('Key Analysis'!$C145,$A149-86,1))</f>
        <v/>
      </c>
      <c r="CL149" s="29" t="str">
        <f>IF(OR($B149="",$A149&lt;=87),"",--MID('Key Analysis'!$C145,$A149-87,1))</f>
        <v/>
      </c>
      <c r="CM149" s="29" t="str">
        <f>IF(OR($B149="",$A149&lt;=88),"",--MID('Key Analysis'!$C145,$A149-88,1))</f>
        <v/>
      </c>
      <c r="CN149" s="29" t="str">
        <f>IF(OR($B149="",$A149&lt;=89),"",--MID('Key Analysis'!$C145,$A149-89,1))</f>
        <v/>
      </c>
      <c r="CO149" s="29" t="str">
        <f>IF(OR($B149="",$A149&lt;=90),"",--MID('Key Analysis'!$C145,$A149-90,1))</f>
        <v/>
      </c>
      <c r="CP149" s="29" t="str">
        <f>IF(OR($B149="",$A149&lt;=91),"",--MID('Key Analysis'!$C145,$A149-91,1))</f>
        <v/>
      </c>
      <c r="CQ149" s="29" t="str">
        <f>IF(OR($B149="",$A149&lt;=92),"",--MID('Key Analysis'!$C145,$A149-92,1))</f>
        <v/>
      </c>
      <c r="CR149" s="29" t="str">
        <f>IF(OR($B149="",$A149&lt;=93),"",--MID('Key Analysis'!$C145,$A149-93,1))</f>
        <v/>
      </c>
      <c r="CS149" s="29" t="str">
        <f>IF(OR($B149="",$A149&lt;=94),"",--MID('Key Analysis'!$C145,$A149-94,1))</f>
        <v/>
      </c>
      <c r="CT149" s="29" t="str">
        <f>IF(OR($B149="",$A149&lt;=95),"",--MID('Key Analysis'!$C145,$A149-95,1))</f>
        <v/>
      </c>
      <c r="CU149" s="29" t="str">
        <f>IF(OR($B149="",$A149&lt;=96),"",--MID('Key Analysis'!$C145,$A149-96,1))</f>
        <v/>
      </c>
      <c r="CV149" s="29" t="str">
        <f>IF(OR($B149="",$A149&lt;=97),"",--MID('Key Analysis'!$C145,$A149-97,1))</f>
        <v/>
      </c>
      <c r="CW149" s="29" t="str">
        <f>IF(OR($B149="",$A149&lt;=98),"",--MID('Key Analysis'!$C145,$A149-98,1))</f>
        <v/>
      </c>
      <c r="CX149" s="29" t="str">
        <f>IF(OR($B149="",$A149&lt;=99),"",--MID('Key Analysis'!$C145,$A149-99,1))</f>
        <v/>
      </c>
      <c r="CY149" s="29" t="str">
        <f>IF(OR($B149="",$A149&lt;=100),"",--MID('Key Analysis'!$C145,$A149-100,1))</f>
        <v/>
      </c>
      <c r="CZ149" s="29" t="str">
        <f>IF(OR($B149="",$A149&lt;=101),"",--MID('Key Analysis'!$C145,$A149-101,1))</f>
        <v/>
      </c>
      <c r="DA149" s="29" t="str">
        <f>IF(OR($B149="",$A149&lt;=102),"",--MID('Key Analysis'!$C145,$A149-102,1))</f>
        <v/>
      </c>
      <c r="DB149" s="29" t="str">
        <f>IF(OR($B149="",$A149&lt;=103),"",--MID('Key Analysis'!$C145,$A149-103,1))</f>
        <v/>
      </c>
      <c r="DC149" s="29" t="str">
        <f>IF(OR($B149="",$A149&lt;=104),"",--MID('Key Analysis'!$C145,$A149-104,1))</f>
        <v/>
      </c>
      <c r="DD149" s="29" t="str">
        <f>IF(OR($B149="",$A149&lt;=105),"",--MID('Key Analysis'!$C145,$A149-105,1))</f>
        <v/>
      </c>
      <c r="DE149" s="29" t="str">
        <f>IF(OR($B149="",$A149&lt;=106),"",--MID('Key Analysis'!$C145,$A149-106,1))</f>
        <v/>
      </c>
      <c r="DF149" s="29" t="str">
        <f>IF(OR($B149="",$A149&lt;=107),"",--MID('Key Analysis'!$C145,$A149-107,1))</f>
        <v/>
      </c>
      <c r="DG149" s="29" t="str">
        <f>IF(OR($B149="",$A149&lt;=108),"",--MID('Key Analysis'!$C145,$A149-108,1))</f>
        <v/>
      </c>
      <c r="DH149" s="29" t="str">
        <f>IF(OR($B149="",$A149&lt;=109),"",--MID('Key Analysis'!$C145,$A149-109,1))</f>
        <v/>
      </c>
      <c r="DI149" s="29" t="str">
        <f>IF(OR($B149="",$A149&lt;=110),"",--MID('Key Analysis'!$C145,$A149-110,1))</f>
        <v/>
      </c>
      <c r="DJ149" s="29" t="str">
        <f>IF(OR($B149="",$A149&lt;=111),"",--MID('Key Analysis'!$C145,$A149-111,1))</f>
        <v/>
      </c>
      <c r="DK149" s="29" t="str">
        <f>IF(OR($B149="",$A149&lt;=112),"",--MID('Key Analysis'!$C145,$A149-112,1))</f>
        <v/>
      </c>
      <c r="DL149" s="29" t="str">
        <f>IF(OR($B149="",$A149&lt;=113),"",--MID('Key Analysis'!$C145,$A149-113,1))</f>
        <v/>
      </c>
      <c r="DM149" s="29" t="str">
        <f>IF(OR($B149="",$A149&lt;=114),"",--MID('Key Analysis'!$C145,$A149-114,1))</f>
        <v/>
      </c>
      <c r="DN149" s="29" t="str">
        <f>IF(OR($B149="",$A149&lt;=115),"",--MID('Key Analysis'!$C145,$A149-115,1))</f>
        <v/>
      </c>
      <c r="DO149" s="29" t="str">
        <f>IF(OR($B149="",$A149&lt;=116),"",--MID('Key Analysis'!$C145,$A149-116,1))</f>
        <v/>
      </c>
      <c r="DP149" s="29" t="str">
        <f>IF(OR($B149="",$A149&lt;=117),"",--MID('Key Analysis'!$C145,$A149-117,1))</f>
        <v/>
      </c>
      <c r="DQ149" s="29" t="str">
        <f>IF(OR($B149="",$A149&lt;=118),"",--MID('Key Analysis'!$C145,$A149-118,1))</f>
        <v/>
      </c>
      <c r="DR149" s="29" t="str">
        <f>IF(OR($B149="",$A149&lt;=119),"",--MID('Key Analysis'!$C145,$A149-119,1))</f>
        <v/>
      </c>
      <c r="DS149" s="29" t="str">
        <f>IF(OR($B149="",$A149&lt;=120),"",--MID('Key Analysis'!$C145,$A149-120,1))</f>
        <v/>
      </c>
      <c r="DT149" s="29" t="str">
        <f>IF(OR($B149="",$A149&lt;=121),"",--MID('Key Analysis'!$C145,$A149-121,1))</f>
        <v/>
      </c>
      <c r="DU149" s="29" t="str">
        <f>IF(OR($B149="",$A149&lt;=122),"",--MID('Key Analysis'!$C145,$A149-122,1))</f>
        <v/>
      </c>
      <c r="DV149" s="29" t="str">
        <f>IF(OR($B149="",$A149&lt;=123),"",--MID('Key Analysis'!$C145,$A149-123,1))</f>
        <v/>
      </c>
      <c r="DW149" s="29" t="str">
        <f>IF(OR($B149="",$A149&lt;=124),"",--MID('Key Analysis'!$C145,$A149-124,1))</f>
        <v/>
      </c>
      <c r="DX149" s="29" t="str">
        <f>IF(OR($B149="",$A149&lt;=125),"",--MID('Key Analysis'!$C145,$A149-125,1))</f>
        <v/>
      </c>
      <c r="DY149" s="29" t="str">
        <f>IF(OR($B149="",$A149&lt;=126),"",--MID('Key Analysis'!$C145,$A149-126,1))</f>
        <v/>
      </c>
      <c r="DZ149" s="29" t="str">
        <f>IF(OR($B149="",$A149&lt;=127),"",--MID('Key Analysis'!$C145,$A149-127,1))</f>
        <v/>
      </c>
      <c r="EA149" s="29" t="str">
        <f>IF(OR($B149="",$A149&lt;=128),"",--MID('Key Analysis'!$C145,$A149-128,1))</f>
        <v/>
      </c>
      <c r="EB149" s="29" t="str">
        <f>IF(OR($B149="",$A149&lt;=129),"",--MID('Key Analysis'!$C145,$A149-129,1))</f>
        <v/>
      </c>
      <c r="EC149" s="29" t="str">
        <f>IF(OR($B149="",$A149&lt;=130),"",--MID('Key Analysis'!$C145,$A149-130,1))</f>
        <v/>
      </c>
      <c r="ED149" s="29" t="str">
        <f>IF(OR($B149="",$A149&lt;=131),"",--MID('Key Analysis'!$C145,$A149-131,1))</f>
        <v/>
      </c>
      <c r="EE149" s="29" t="str">
        <f>IF(OR($B149="",$A149&lt;=132),"",--MID('Key Analysis'!$C145,$A149-132,1))</f>
        <v/>
      </c>
      <c r="EF149" s="29" t="str">
        <f>IF(OR($B149="",$A149&lt;=133),"",--MID('Key Analysis'!$C145,$A149-133,1))</f>
        <v/>
      </c>
      <c r="EG149" s="29" t="str">
        <f>IF(OR($B149="",$A149&lt;=134),"",--MID('Key Analysis'!$C145,$A149-134,1))</f>
        <v/>
      </c>
      <c r="EH149" s="29"/>
      <c r="EI149" s="29" t="str">
        <f>IF(OR($B149="",$A149&lt;1),"",--MID('Key Analysis'!$C145,1,1))</f>
        <v/>
      </c>
      <c r="EJ149" s="29" t="str">
        <f>IF(OR($B149="",$A149&lt;2),"",--MID('Key Analysis'!$C145,2,1))</f>
        <v/>
      </c>
      <c r="EK149" s="29" t="str">
        <f>IF(OR($B149="",$A149&lt;3),"",--MID('Key Analysis'!$C145,3,1))</f>
        <v/>
      </c>
      <c r="EL149" s="29" t="str">
        <f>IF(OR($B149="",$A149&lt;4),"",--MID('Key Analysis'!$C145,4,1))</f>
        <v/>
      </c>
      <c r="EM149" s="29" t="str">
        <f>IF(OR($B149="",$A149&lt;5),"",--MID('Key Analysis'!$C145,5,1))</f>
        <v/>
      </c>
      <c r="EN149" s="29" t="str">
        <f>IF(OR($B149="",$A149&lt;6),"",--MID('Key Analysis'!$C145,6,1))</f>
        <v/>
      </c>
      <c r="EO149" s="29" t="str">
        <f>IF(OR($B149="",$A149&lt;7),"",--MID('Key Analysis'!$C145,7,1))</f>
        <v/>
      </c>
      <c r="EP149" s="29" t="str">
        <f>IF(OR($B149="",$A149&lt;8),"",--MID('Key Analysis'!$C145,8,1))</f>
        <v/>
      </c>
      <c r="EQ149" s="29" t="str">
        <f>IF(OR($B149="",$A149&lt;9),"",--MID('Key Analysis'!$C145,9,1))</f>
        <v/>
      </c>
      <c r="ER149" s="29" t="str">
        <f>IF(OR($B149="",$A149&lt;10),"",--MID('Key Analysis'!$C145,10,1))</f>
        <v/>
      </c>
      <c r="ES149" s="29" t="str">
        <f>IF(OR($B149="",$A149&lt;11),"",--MID('Key Analysis'!$C145,11,1))</f>
        <v/>
      </c>
      <c r="ET149" s="29" t="str">
        <f>IF(OR($B149="",$A149&lt;12),"",--MID('Key Analysis'!$C145,12,1))</f>
        <v/>
      </c>
      <c r="EU149" s="29" t="str">
        <f>IF(OR($B149="",$A149&lt;13),"",--MID('Key Analysis'!$C145,13,1))</f>
        <v/>
      </c>
      <c r="EV149" s="29" t="str">
        <f>IF(OR($B149="",$A149&lt;14),"",--MID('Key Analysis'!$C145,14,1))</f>
        <v/>
      </c>
      <c r="EW149" s="29" t="str">
        <f>IF(OR($B149="",$A149&lt;15),"",--MID('Key Analysis'!$C145,15,1))</f>
        <v/>
      </c>
      <c r="EX149" s="29" t="str">
        <f>IF(OR($B149="",$A149&lt;16),"",--MID('Key Analysis'!$C145,16,1))</f>
        <v/>
      </c>
      <c r="EY149" s="29" t="str">
        <f>IF(OR($B149="",$A149&lt;17),"",--MID('Key Analysis'!$C145,17,1))</f>
        <v/>
      </c>
      <c r="EZ149" s="29" t="str">
        <f>IF(OR($B149="",$A149&lt;18),"",--MID('Key Analysis'!$C145,18,1))</f>
        <v/>
      </c>
      <c r="FA149" s="29" t="str">
        <f>IF(OR($B149="",$A149&lt;19),"",--MID('Key Analysis'!$C145,19,1))</f>
        <v/>
      </c>
      <c r="FB149" s="29" t="str">
        <f>IF(OR($B149="",$A149&lt;20),"",--MID('Key Analysis'!$C145,20,1))</f>
        <v/>
      </c>
      <c r="FC149" s="29" t="str">
        <f>IF(OR($B149="",$A149&lt;21),"",--MID('Key Analysis'!$C145,21,1))</f>
        <v/>
      </c>
      <c r="FD149" s="29" t="str">
        <f>IF(OR($B149="",$A149&lt;22),"",--MID('Key Analysis'!$C145,22,1))</f>
        <v/>
      </c>
      <c r="FE149" s="29" t="str">
        <f>IF(OR($B149="",$A149&lt;23),"",--MID('Key Analysis'!$C145,23,1))</f>
        <v/>
      </c>
      <c r="FF149" s="29" t="str">
        <f>IF(OR($B149="",$A149&lt;24),"",--MID('Key Analysis'!$C145,24,1))</f>
        <v/>
      </c>
      <c r="FG149" s="29" t="str">
        <f>IF(OR($B149="",$A149&lt;25),"",--MID('Key Analysis'!$C145,25,1))</f>
        <v/>
      </c>
      <c r="FH149" s="29" t="str">
        <f>IF(OR($B149="",$A149&lt;26),"",--MID('Key Analysis'!$C145,26,1))</f>
        <v/>
      </c>
      <c r="FI149" s="29" t="str">
        <f>IF(OR($B149="",$A149&lt;27),"",--MID('Key Analysis'!$C145,27,1))</f>
        <v/>
      </c>
      <c r="FJ149" s="29" t="str">
        <f>IF(OR($B149="",$A149&lt;28),"",--MID('Key Analysis'!$C145,28,1))</f>
        <v/>
      </c>
      <c r="FK149" s="29" t="str">
        <f>IF(OR($B149="",$A149&lt;29),"",--MID('Key Analysis'!$C145,29,1))</f>
        <v/>
      </c>
      <c r="FL149" s="29" t="str">
        <f>IF(OR($B149="",$A149&lt;30),"",--MID('Key Analysis'!$C145,30,1))</f>
        <v/>
      </c>
      <c r="FM149" s="29" t="str">
        <f>IF(OR($B149="",$A149&lt;31),"",--MID('Key Analysis'!$C145,31,1))</f>
        <v/>
      </c>
      <c r="FN149" s="29" t="str">
        <f>IF(OR($B149="",$A149&lt;32),"",--MID('Key Analysis'!$C145,32,1))</f>
        <v/>
      </c>
      <c r="FO149" s="29" t="str">
        <f>IF(OR($B149="",$A149&lt;33),"",--MID('Key Analysis'!$C145,33,1))</f>
        <v/>
      </c>
      <c r="FP149" s="29" t="str">
        <f>IF(OR($B149="",$A149&lt;34),"",--MID('Key Analysis'!$C145,34,1))</f>
        <v/>
      </c>
      <c r="FQ149" s="29" t="str">
        <f>IF(OR($B149="",$A149&lt;35),"",--MID('Key Analysis'!$C145,35,1))</f>
        <v/>
      </c>
      <c r="FR149" s="29" t="str">
        <f>IF(OR($B149="",$A149&lt;36),"",--MID('Key Analysis'!$C145,36,1))</f>
        <v/>
      </c>
      <c r="FS149" s="29" t="str">
        <f>IF(OR($B149="",$A149&lt;37),"",--MID('Key Analysis'!$C145,37,1))</f>
        <v/>
      </c>
      <c r="FT149" s="29" t="str">
        <f>IF(OR($B149="",$A149&lt;38),"",--MID('Key Analysis'!$C145,38,1))</f>
        <v/>
      </c>
      <c r="FU149" s="29" t="str">
        <f>IF(OR($B149="",$A149&lt;39),"",--MID('Key Analysis'!$C145,39,1))</f>
        <v/>
      </c>
      <c r="FV149" s="29" t="str">
        <f>IF(OR($B149="",$A149&lt;40),"",--MID('Key Analysis'!$C145,40,1))</f>
        <v/>
      </c>
      <c r="FW149" s="29" t="str">
        <f>IF(OR($B149="",$A149&lt;41),"",--MID('Key Analysis'!$C145,41,1))</f>
        <v/>
      </c>
      <c r="FX149" s="29" t="str">
        <f>IF(OR($B149="",$A149&lt;42),"",--MID('Key Analysis'!$C145,42,1))</f>
        <v/>
      </c>
      <c r="FY149" s="29" t="str">
        <f>IF(OR($B149="",$A149&lt;43),"",--MID('Key Analysis'!$C145,43,1))</f>
        <v/>
      </c>
      <c r="FZ149" s="29" t="str">
        <f>IF(OR($B149="",$A149&lt;44),"",--MID('Key Analysis'!$C145,44,1))</f>
        <v/>
      </c>
      <c r="GA149" s="29" t="str">
        <f>IF(OR($B149="",$A149&lt;45),"",--MID('Key Analysis'!$C145,45,1))</f>
        <v/>
      </c>
      <c r="GB149" s="29" t="str">
        <f>IF(OR($B149="",$A149&lt;46),"",--MID('Key Analysis'!$C145,46,1))</f>
        <v/>
      </c>
      <c r="GC149" s="29" t="str">
        <f>IF(OR($B149="",$A149&lt;47),"",--MID('Key Analysis'!$C145,47,1))</f>
        <v/>
      </c>
      <c r="GD149" s="29" t="str">
        <f>IF(OR($B149="",$A149&lt;48),"",--MID('Key Analysis'!$C145,48,1))</f>
        <v/>
      </c>
      <c r="GE149" s="29" t="str">
        <f>IF(OR($B149="",$A149&lt;49),"",--MID('Key Analysis'!$C145,49,1))</f>
        <v/>
      </c>
      <c r="GF149" s="29" t="str">
        <f>IF(OR($B149="",$A149&lt;50),"",--MID('Key Analysis'!$C145,50,1))</f>
        <v/>
      </c>
      <c r="GG149" s="29" t="str">
        <f>IF(OR($B149="",$A149&lt;51),"",--MID('Key Analysis'!$C145,51,1))</f>
        <v/>
      </c>
      <c r="GH149" s="29" t="str">
        <f>IF(OR($B149="",$A149&lt;52),"",--MID('Key Analysis'!$C145,52,1))</f>
        <v/>
      </c>
      <c r="GI149" s="29" t="str">
        <f>IF(OR($B149="",$A149&lt;53),"",--MID('Key Analysis'!$C145,53,1))</f>
        <v/>
      </c>
      <c r="GJ149" s="29" t="str">
        <f>IF(OR($B149="",$A149&lt;54),"",--MID('Key Analysis'!$C145,54,1))</f>
        <v/>
      </c>
      <c r="GK149" s="29" t="str">
        <f>IF(OR($B149="",$A149&lt;55),"",--MID('Key Analysis'!$C145,55,1))</f>
        <v/>
      </c>
      <c r="GL149" s="29" t="str">
        <f>IF(OR($B149="",$A149&lt;56),"",--MID('Key Analysis'!$C145,56,1))</f>
        <v/>
      </c>
      <c r="GM149" s="29" t="str">
        <f>IF(OR($B149="",$A149&lt;57),"",--MID('Key Analysis'!$C145,57,1))</f>
        <v/>
      </c>
      <c r="GN149" s="29" t="str">
        <f>IF(OR($B149="",$A149&lt;58),"",--MID('Key Analysis'!$C145,58,1))</f>
        <v/>
      </c>
      <c r="GO149" s="29" t="str">
        <f>IF(OR($B149="",$A149&lt;59),"",--MID('Key Analysis'!$C145,59,1))</f>
        <v/>
      </c>
      <c r="GP149" s="29" t="str">
        <f>IF(OR($B149="",$A149&lt;60),"",--MID('Key Analysis'!$C145,60,1))</f>
        <v/>
      </c>
      <c r="GQ149" s="29" t="str">
        <f>IF(OR($B149="",$A149&lt;61),"",--MID('Key Analysis'!$C145,61,1))</f>
        <v/>
      </c>
      <c r="GR149" s="29" t="str">
        <f>IF(OR($B149="",$A149&lt;62),"",--MID('Key Analysis'!$C145,62,1))</f>
        <v/>
      </c>
      <c r="GS149" s="29" t="str">
        <f>IF(OR($B149="",$A149&lt;63),"",--MID('Key Analysis'!$C145,63,1))</f>
        <v/>
      </c>
      <c r="GT149" s="29" t="str">
        <f>IF(OR($B149="",$A149&lt;64),"",--MID('Key Analysis'!$C145,64,1))</f>
        <v/>
      </c>
      <c r="GU149" s="29" t="str">
        <f>IF(OR($B149="",$A149&lt;65),"",--MID('Key Analysis'!$C145,65,1))</f>
        <v/>
      </c>
      <c r="GV149" s="29" t="str">
        <f>IF(OR($B149="",$A149&lt;66),"",--MID('Key Analysis'!$C145,66,1))</f>
        <v/>
      </c>
      <c r="GW149" s="29" t="str">
        <f>IF(OR($B149="",$A149&lt;67),"",--MID('Key Analysis'!$C145,67,1))</f>
        <v/>
      </c>
      <c r="GX149" s="29" t="str">
        <f>IF(OR($B149="",$A149&lt;68),"",--MID('Key Analysis'!$C145,68,1))</f>
        <v/>
      </c>
      <c r="GY149" s="29" t="str">
        <f>IF(OR($B149="",$A149&lt;69),"",--MID('Key Analysis'!$C145,69,1))</f>
        <v/>
      </c>
      <c r="GZ149" s="29" t="str">
        <f>IF(OR($B149="",$A149&lt;70),"",--MID('Key Analysis'!$C145,70,1))</f>
        <v/>
      </c>
      <c r="HA149" s="29" t="str">
        <f>IF(OR($B149="",$A149&lt;71),"",--MID('Key Analysis'!$C145,71,1))</f>
        <v/>
      </c>
      <c r="HB149" s="29" t="str">
        <f>IF(OR($B149="",$A149&lt;72),"",--MID('Key Analysis'!$C145,72,1))</f>
        <v/>
      </c>
      <c r="HC149" s="29" t="str">
        <f>IF(OR($B149="",$A149&lt;73),"",--MID('Key Analysis'!$C145,73,1))</f>
        <v/>
      </c>
      <c r="HD149" s="29" t="str">
        <f>IF(OR($B149="",$A149&lt;74),"",--MID('Key Analysis'!$C145,74,1))</f>
        <v/>
      </c>
      <c r="HE149" s="29" t="str">
        <f>IF(OR($B149="",$A149&lt;75),"",--MID('Key Analysis'!$C145,75,1))</f>
        <v/>
      </c>
      <c r="HF149" s="29" t="str">
        <f>IF(OR($B149="",$A149&lt;76),"",--MID('Key Analysis'!$C145,76,1))</f>
        <v/>
      </c>
      <c r="HG149" s="29" t="str">
        <f>IF(OR($B149="",$A149&lt;77),"",--MID('Key Analysis'!$C145,77,1))</f>
        <v/>
      </c>
      <c r="HH149" s="29" t="str">
        <f>IF(OR($B149="",$A149&lt;78),"",--MID('Key Analysis'!$C145,78,1))</f>
        <v/>
      </c>
      <c r="HI149" s="29" t="str">
        <f>IF(OR($B149="",$A149&lt;79),"",--MID('Key Analysis'!$C145,79,1))</f>
        <v/>
      </c>
      <c r="HJ149" s="29" t="str">
        <f>IF(OR($B149="",$A149&lt;80),"",--MID('Key Analysis'!$C145,80,1))</f>
        <v/>
      </c>
      <c r="HK149" s="29" t="str">
        <f>IF(OR($B149="",$A149&lt;81),"",--MID('Key Analysis'!$C145,81,1))</f>
        <v/>
      </c>
      <c r="HL149" s="29" t="str">
        <f>IF(OR($B149="",$A149&lt;82),"",--MID('Key Analysis'!$C145,82,1))</f>
        <v/>
      </c>
      <c r="HM149" s="29" t="str">
        <f>IF(OR($B149="",$A149&lt;83),"",--MID('Key Analysis'!$C145,83,1))</f>
        <v/>
      </c>
      <c r="HN149" s="29" t="str">
        <f>IF(OR($B149="",$A149&lt;84),"",--MID('Key Analysis'!$C145,84,1))</f>
        <v/>
      </c>
      <c r="HO149" s="29" t="str">
        <f>IF(OR($B149="",$A149&lt;85),"",--MID('Key Analysis'!$C145,85,1))</f>
        <v/>
      </c>
      <c r="HP149" s="29" t="str">
        <f>IF(OR($B149="",$A149&lt;86),"",--MID('Key Analysis'!$C145,86,1))</f>
        <v/>
      </c>
      <c r="HQ149" s="29" t="str">
        <f>IF(OR($B149="",$A149&lt;87),"",--MID('Key Analysis'!$C145,87,1))</f>
        <v/>
      </c>
      <c r="HR149" s="29" t="str">
        <f>IF(OR($B149="",$A149&lt;88),"",--MID('Key Analysis'!$C145,88,1))</f>
        <v/>
      </c>
      <c r="HS149" s="29" t="str">
        <f>IF(OR($B149="",$A149&lt;89),"",--MID('Key Analysis'!$C145,89,1))</f>
        <v/>
      </c>
      <c r="HT149" s="29" t="str">
        <f>IF(OR($B149="",$A149&lt;90),"",--MID('Key Analysis'!$C145,90,1))</f>
        <v/>
      </c>
      <c r="HU149" s="29" t="str">
        <f>IF(OR($B149="",$A149&lt;91),"",--MID('Key Analysis'!$C145,91,1))</f>
        <v/>
      </c>
      <c r="HV149" s="29" t="str">
        <f>IF(OR($B149="",$A149&lt;92),"",--MID('Key Analysis'!$C145,92,1))</f>
        <v/>
      </c>
      <c r="HW149" s="29" t="str">
        <f>IF(OR($B149="",$A149&lt;93),"",--MID('Key Analysis'!$C145,93,1))</f>
        <v/>
      </c>
      <c r="HX149" s="29" t="str">
        <f>IF(OR($B149="",$A149&lt;94),"",--MID('Key Analysis'!$C145,94,1))</f>
        <v/>
      </c>
      <c r="HY149" s="29" t="str">
        <f>IF(OR($B149="",$A149&lt;95),"",--MID('Key Analysis'!$C145,95,1))</f>
        <v/>
      </c>
      <c r="HZ149" s="29" t="str">
        <f>IF(OR($B149="",$A149&lt;96),"",--MID('Key Analysis'!$C145,96,1))</f>
        <v/>
      </c>
      <c r="IA149" s="29" t="str">
        <f>IF(OR($B149="",$A149&lt;97),"",--MID('Key Analysis'!$C145,97,1))</f>
        <v/>
      </c>
      <c r="IB149" s="29" t="str">
        <f>IF(OR($B149="",$A149&lt;98),"",--MID('Key Analysis'!$C145,98,1))</f>
        <v/>
      </c>
      <c r="IC149" s="29" t="str">
        <f>IF(OR($B149="",$A149&lt;99),"",--MID('Key Analysis'!$C145,99,1))</f>
        <v/>
      </c>
      <c r="ID149" s="29" t="str">
        <f>IF(OR($B149="",$A149&lt;100),"",--MID('Key Analysis'!$C145,100,1))</f>
        <v/>
      </c>
      <c r="IE149" s="29" t="str">
        <f>IF(OR($B149="",$A149&lt;101),"",--MID('Key Analysis'!$C145,101,1))</f>
        <v/>
      </c>
      <c r="IF149" s="29" t="str">
        <f>IF(OR($B149="",$A149&lt;102),"",--MID('Key Analysis'!$C145,102,1))</f>
        <v/>
      </c>
      <c r="IG149" s="29" t="str">
        <f>IF(OR($B149="",$A149&lt;103),"",--MID('Key Analysis'!$C145,103,1))</f>
        <v/>
      </c>
      <c r="IH149" s="29" t="str">
        <f>IF(OR($B149="",$A149&lt;104),"",--MID('Key Analysis'!$C145,104,1))</f>
        <v/>
      </c>
      <c r="II149" s="29" t="str">
        <f>IF(OR($B149="",$A149&lt;105),"",--MID('Key Analysis'!$C145,105,1))</f>
        <v/>
      </c>
      <c r="IJ149" s="29" t="str">
        <f>IF(OR($B149="",$A149&lt;106),"",--MID('Key Analysis'!$C145,106,1))</f>
        <v/>
      </c>
      <c r="IK149" s="29" t="str">
        <f>IF(OR($B149="",$A149&lt;107),"",--MID('Key Analysis'!$C145,107,1))</f>
        <v/>
      </c>
      <c r="IL149" s="29" t="str">
        <f>IF(OR($B149="",$A149&lt;108),"",--MID('Key Analysis'!$C145,108,1))</f>
        <v/>
      </c>
      <c r="IM149" s="29" t="str">
        <f>IF(OR($B149="",$A149&lt;109),"",--MID('Key Analysis'!$C145,109,1))</f>
        <v/>
      </c>
      <c r="IN149" s="29" t="str">
        <f>IF(OR($B149="",$A149&lt;110),"",--MID('Key Analysis'!$C145,110,1))</f>
        <v/>
      </c>
      <c r="IO149" s="29" t="str">
        <f>IF(OR($B149="",$A149&lt;111),"",--MID('Key Analysis'!$C145,111,1))</f>
        <v/>
      </c>
      <c r="IP149" s="29" t="str">
        <f>IF(OR($B149="",$A149&lt;112),"",--MID('Key Analysis'!$C145,112,1))</f>
        <v/>
      </c>
      <c r="IQ149" s="29" t="str">
        <f>IF(OR($B149="",$A149&lt;113),"",--MID('Key Analysis'!$C145,113,1))</f>
        <v/>
      </c>
      <c r="IR149" s="29" t="str">
        <f>IF(OR($B149="",$A149&lt;114),"",--MID('Key Analysis'!$C145,114,1))</f>
        <v/>
      </c>
      <c r="IS149" s="29" t="str">
        <f>IF(OR($B149="",$A149&lt;115),"",--MID('Key Analysis'!$C145,115,1))</f>
        <v/>
      </c>
      <c r="IT149" s="29" t="str">
        <f>IF(OR($B149="",$A149&lt;116),"",--MID('Key Analysis'!$C145,116,1))</f>
        <v/>
      </c>
      <c r="IU149" s="29" t="str">
        <f>IF(OR($B149="",$A149&lt;117),"",--MID('Key Analysis'!$C145,117,1))</f>
        <v/>
      </c>
      <c r="IV149" s="29" t="str">
        <f>IF(OR($B149="",$A149&lt;118),"",--MID('Key Analysis'!$C145,118,1))</f>
        <v/>
      </c>
      <c r="IW149" s="29" t="str">
        <f>IF(OR($B149="",$A149&lt;119),"",--MID('Key Analysis'!$C145,119,1))</f>
        <v/>
      </c>
      <c r="IX149" s="29" t="str">
        <f>IF(OR($B149="",$A149&lt;120),"",--MID('Key Analysis'!$C145,120,1))</f>
        <v/>
      </c>
      <c r="IY149" s="29" t="str">
        <f>IF(OR($B149="",$A149&lt;121),"",--MID('Key Analysis'!$C145,121,1))</f>
        <v/>
      </c>
      <c r="IZ149" s="29" t="str">
        <f>IF(OR($B149="",$A149&lt;122),"",--MID('Key Analysis'!$C145,122,1))</f>
        <v/>
      </c>
      <c r="JA149" s="29" t="str">
        <f>IF(OR($B149="",$A149&lt;123),"",--MID('Key Analysis'!$C145,123,1))</f>
        <v/>
      </c>
      <c r="JB149" s="29" t="str">
        <f>IF(OR($B149="",$A149&lt;124),"",--MID('Key Analysis'!$C145,124,1))</f>
        <v/>
      </c>
      <c r="JC149" s="29" t="str">
        <f>IF(OR($B149="",$A149&lt;125),"",--MID('Key Analysis'!$C145,125,1))</f>
        <v/>
      </c>
      <c r="JD149" s="29" t="str">
        <f>IF(OR($B149="",$A149&lt;126),"",--MID('Key Analysis'!$C145,126,1))</f>
        <v/>
      </c>
      <c r="JE149" s="29" t="str">
        <f>IF(OR($B149="",$A149&lt;127),"",--MID('Key Analysis'!$C145,127,1))</f>
        <v/>
      </c>
      <c r="JF149" s="29" t="str">
        <f>IF(OR($B149="",$A149&lt;128),"",--MID('Key Analysis'!$C145,128,1))</f>
        <v/>
      </c>
      <c r="JG149" s="29" t="str">
        <f>IF(OR($B149="",$A149&lt;129),"",--MID('Key Analysis'!$C145,129,1))</f>
        <v/>
      </c>
      <c r="JH149" s="29" t="str">
        <f>IF(OR($B149="",$A149&lt;130),"",--MID('Key Analysis'!$C145,130,1))</f>
        <v/>
      </c>
      <c r="JI149" s="29" t="str">
        <f>IF(OR($B149="",$A149&lt;131),"",--MID('Key Analysis'!$C145,131,1))</f>
        <v/>
      </c>
      <c r="JJ149" s="29" t="str">
        <f>IF(OR($B149="",$A149&lt;132),"",--MID('Key Analysis'!$C145,132,1))</f>
        <v/>
      </c>
      <c r="JK149" s="29" t="str">
        <f>IF(OR($B149="",$A149&lt;133),"",--MID('Key Analysis'!$C145,133,1))</f>
        <v/>
      </c>
      <c r="JL149" s="29" t="str">
        <f>IF(OR($B149="",$A149&lt;134),"",--MID('Key Analysis'!$C145,134,1))</f>
        <v/>
      </c>
      <c r="JM149" s="29" t="str">
        <f>IF(OR($B149="",$A149&lt;135),"",--MID('Key Analysis'!$C145,135,1))</f>
        <v/>
      </c>
    </row>
    <row r="150" spans="1:273" x14ac:dyDescent="0.25">
      <c r="A150" s="21">
        <f>'Key Analysis'!A146</f>
        <v>145</v>
      </c>
      <c r="B150" s="30" t="str">
        <f>'Key Analysis'!B146</f>
        <v/>
      </c>
      <c r="C150" s="29" t="str">
        <f>IF(OR($B150="",$A150&lt;=0),"",--MID('Key Analysis'!$C146,$A150-0,1))</f>
        <v/>
      </c>
      <c r="D150" s="29" t="str">
        <f>IF(OR($B150="",$A150&lt;=1),"",--MID('Key Analysis'!$C146,$A150-1,1))</f>
        <v/>
      </c>
      <c r="E150" s="29" t="str">
        <f>IF(OR($B150="",$A150&lt;=2),"",--MID('Key Analysis'!$C146,$A150-2,1))</f>
        <v/>
      </c>
      <c r="F150" s="29" t="str">
        <f>IF(OR($B150="",$A150&lt;=3),"",--MID('Key Analysis'!$C146,$A150-3,1))</f>
        <v/>
      </c>
      <c r="G150" s="29" t="str">
        <f>IF(OR($B150="",$A150&lt;=4),"",--MID('Key Analysis'!$C146,$A150-4,1))</f>
        <v/>
      </c>
      <c r="H150" s="29" t="str">
        <f>IF(OR($B150="",$A150&lt;=5),"",--MID('Key Analysis'!$C146,$A150-5,1))</f>
        <v/>
      </c>
      <c r="I150" s="29" t="str">
        <f>IF(OR($B150="",$A150&lt;=6),"",--MID('Key Analysis'!$C146,$A150-6,1))</f>
        <v/>
      </c>
      <c r="J150" s="29" t="str">
        <f>IF(OR($B150="",$A150&lt;=7),"",--MID('Key Analysis'!$C146,$A150-7,1))</f>
        <v/>
      </c>
      <c r="K150" s="29" t="str">
        <f>IF(OR($B150="",$A150&lt;=8),"",--MID('Key Analysis'!$C146,$A150-8,1))</f>
        <v/>
      </c>
      <c r="L150" s="29" t="str">
        <f>IF(OR($B150="",$A150&lt;=9),"",--MID('Key Analysis'!$C146,$A150-9,1))</f>
        <v/>
      </c>
      <c r="M150" s="29" t="str">
        <f>IF(OR($B150="",$A150&lt;=10),"",--MID('Key Analysis'!$C146,$A150-10,1))</f>
        <v/>
      </c>
      <c r="N150" s="29" t="str">
        <f>IF(OR($B150="",$A150&lt;=11),"",--MID('Key Analysis'!$C146,$A150-11,1))</f>
        <v/>
      </c>
      <c r="O150" s="29" t="str">
        <f>IF(OR($B150="",$A150&lt;=12),"",--MID('Key Analysis'!$C146,$A150-12,1))</f>
        <v/>
      </c>
      <c r="P150" s="29" t="str">
        <f>IF(OR($B150="",$A150&lt;=13),"",--MID('Key Analysis'!$C146,$A150-13,1))</f>
        <v/>
      </c>
      <c r="Q150" s="29" t="str">
        <f>IF(OR($B150="",$A150&lt;=14),"",--MID('Key Analysis'!$C146,$A150-14,1))</f>
        <v/>
      </c>
      <c r="R150" s="29" t="str">
        <f>IF(OR($B150="",$A150&lt;=15),"",--MID('Key Analysis'!$C146,$A150-15,1))</f>
        <v/>
      </c>
      <c r="S150" s="29" t="str">
        <f>IF(OR($B150="",$A150&lt;=16),"",--MID('Key Analysis'!$C146,$A150-16,1))</f>
        <v/>
      </c>
      <c r="T150" s="29" t="str">
        <f>IF(OR($B150="",$A150&lt;=17),"",--MID('Key Analysis'!$C146,$A150-17,1))</f>
        <v/>
      </c>
      <c r="U150" s="29" t="str">
        <f>IF(OR($B150="",$A150&lt;=18),"",--MID('Key Analysis'!$C146,$A150-18,1))</f>
        <v/>
      </c>
      <c r="V150" s="29" t="str">
        <f>IF(OR($B150="",$A150&lt;=19),"",--MID('Key Analysis'!$C146,$A150-19,1))</f>
        <v/>
      </c>
      <c r="W150" s="29" t="str">
        <f>IF(OR($B150="",$A150&lt;=20),"",--MID('Key Analysis'!$C146,$A150-20,1))</f>
        <v/>
      </c>
      <c r="X150" s="29" t="str">
        <f>IF(OR($B150="",$A150&lt;=21),"",--MID('Key Analysis'!$C146,$A150-21,1))</f>
        <v/>
      </c>
      <c r="Y150" s="29" t="str">
        <f>IF(OR($B150="",$A150&lt;=22),"",--MID('Key Analysis'!$C146,$A150-22,1))</f>
        <v/>
      </c>
      <c r="Z150" s="29" t="str">
        <f>IF(OR($B150="",$A150&lt;=23),"",--MID('Key Analysis'!$C146,$A150-23,1))</f>
        <v/>
      </c>
      <c r="AA150" s="29" t="str">
        <f>IF(OR($B150="",$A150&lt;=24),"",--MID('Key Analysis'!$C146,$A150-24,1))</f>
        <v/>
      </c>
      <c r="AB150" s="29" t="str">
        <f>IF(OR($B150="",$A150&lt;=25),"",--MID('Key Analysis'!$C146,$A150-25,1))</f>
        <v/>
      </c>
      <c r="AC150" s="29" t="str">
        <f>IF(OR($B150="",$A150&lt;=26),"",--MID('Key Analysis'!$C146,$A150-26,1))</f>
        <v/>
      </c>
      <c r="AD150" s="29" t="str">
        <f>IF(OR($B150="",$A150&lt;=27),"",--MID('Key Analysis'!$C146,$A150-27,1))</f>
        <v/>
      </c>
      <c r="AE150" s="29" t="str">
        <f>IF(OR($B150="",$A150&lt;=28),"",--MID('Key Analysis'!$C146,$A150-28,1))</f>
        <v/>
      </c>
      <c r="AF150" s="29" t="str">
        <f>IF(OR($B150="",$A150&lt;=29),"",--MID('Key Analysis'!$C146,$A150-29,1))</f>
        <v/>
      </c>
      <c r="AG150" s="29" t="str">
        <f>IF(OR($B150="",$A150&lt;=30),"",--MID('Key Analysis'!$C146,$A150-30,1))</f>
        <v/>
      </c>
      <c r="AH150" s="29" t="str">
        <f>IF(OR($B150="",$A150&lt;=31),"",--MID('Key Analysis'!$C146,$A150-31,1))</f>
        <v/>
      </c>
      <c r="AI150" s="29" t="str">
        <f>IF(OR($B150="",$A150&lt;=32),"",--MID('Key Analysis'!$C146,$A150-32,1))</f>
        <v/>
      </c>
      <c r="AJ150" s="29" t="str">
        <f>IF(OR($B150="",$A150&lt;=33),"",--MID('Key Analysis'!$C146,$A150-33,1))</f>
        <v/>
      </c>
      <c r="AK150" s="29" t="str">
        <f>IF(OR($B150="",$A150&lt;=34),"",--MID('Key Analysis'!$C146,$A150-34,1))</f>
        <v/>
      </c>
      <c r="AL150" s="29" t="str">
        <f>IF(OR($B150="",$A150&lt;=35),"",--MID('Key Analysis'!$C146,$A150-35,1))</f>
        <v/>
      </c>
      <c r="AM150" s="29" t="str">
        <f>IF(OR($B150="",$A150&lt;=36),"",--MID('Key Analysis'!$C146,$A150-36,1))</f>
        <v/>
      </c>
      <c r="AN150" s="29" t="str">
        <f>IF(OR($B150="",$A150&lt;=37),"",--MID('Key Analysis'!$C146,$A150-37,1))</f>
        <v/>
      </c>
      <c r="AO150" s="29" t="str">
        <f>IF(OR($B150="",$A150&lt;=38),"",--MID('Key Analysis'!$C146,$A150-38,1))</f>
        <v/>
      </c>
      <c r="AP150" s="29" t="str">
        <f>IF(OR($B150="",$A150&lt;=39),"",--MID('Key Analysis'!$C146,$A150-39,1))</f>
        <v/>
      </c>
      <c r="AQ150" s="29" t="str">
        <f>IF(OR($B150="",$A150&lt;=40),"",--MID('Key Analysis'!$C146,$A150-40,1))</f>
        <v/>
      </c>
      <c r="AR150" s="29" t="str">
        <f>IF(OR($B150="",$A150&lt;=41),"",--MID('Key Analysis'!$C146,$A150-41,1))</f>
        <v/>
      </c>
      <c r="AS150" s="29" t="str">
        <f>IF(OR($B150="",$A150&lt;=42),"",--MID('Key Analysis'!$C146,$A150-42,1))</f>
        <v/>
      </c>
      <c r="AT150" s="29" t="str">
        <f>IF(OR($B150="",$A150&lt;=43),"",--MID('Key Analysis'!$C146,$A150-43,1))</f>
        <v/>
      </c>
      <c r="AU150" s="29" t="str">
        <f>IF(OR($B150="",$A150&lt;=44),"",--MID('Key Analysis'!$C146,$A150-44,1))</f>
        <v/>
      </c>
      <c r="AV150" s="29" t="str">
        <f>IF(OR($B150="",$A150&lt;=45),"",--MID('Key Analysis'!$C146,$A150-45,1))</f>
        <v/>
      </c>
      <c r="AW150" s="29" t="str">
        <f>IF(OR($B150="",$A150&lt;=46),"",--MID('Key Analysis'!$C146,$A150-46,1))</f>
        <v/>
      </c>
      <c r="AX150" s="29" t="str">
        <f>IF(OR($B150="",$A150&lt;=47),"",--MID('Key Analysis'!$C146,$A150-47,1))</f>
        <v/>
      </c>
      <c r="AY150" s="29" t="str">
        <f>IF(OR($B150="",$A150&lt;=48),"",--MID('Key Analysis'!$C146,$A150-48,1))</f>
        <v/>
      </c>
      <c r="AZ150" s="29" t="str">
        <f>IF(OR($B150="",$A150&lt;=49),"",--MID('Key Analysis'!$C146,$A150-49,1))</f>
        <v/>
      </c>
      <c r="BA150" s="29" t="str">
        <f>IF(OR($B150="",$A150&lt;=50),"",--MID('Key Analysis'!$C146,$A150-50,1))</f>
        <v/>
      </c>
      <c r="BB150" s="29" t="str">
        <f>IF(OR($B150="",$A150&lt;=51),"",--MID('Key Analysis'!$C146,$A150-51,1))</f>
        <v/>
      </c>
      <c r="BC150" s="29" t="str">
        <f>IF(OR($B150="",$A150&lt;=52),"",--MID('Key Analysis'!$C146,$A150-52,1))</f>
        <v/>
      </c>
      <c r="BD150" s="29" t="str">
        <f>IF(OR($B150="",$A150&lt;=53),"",--MID('Key Analysis'!$C146,$A150-53,1))</f>
        <v/>
      </c>
      <c r="BE150" s="29" t="str">
        <f>IF(OR($B150="",$A150&lt;=54),"",--MID('Key Analysis'!$C146,$A150-54,1))</f>
        <v/>
      </c>
      <c r="BF150" s="29" t="str">
        <f>IF(OR($B150="",$A150&lt;=55),"",--MID('Key Analysis'!$C146,$A150-55,1))</f>
        <v/>
      </c>
      <c r="BG150" s="29" t="str">
        <f>IF(OR($B150="",$A150&lt;=56),"",--MID('Key Analysis'!$C146,$A150-56,1))</f>
        <v/>
      </c>
      <c r="BH150" s="29" t="str">
        <f>IF(OR($B150="",$A150&lt;=57),"",--MID('Key Analysis'!$C146,$A150-57,1))</f>
        <v/>
      </c>
      <c r="BI150" s="29" t="str">
        <f>IF(OR($B150="",$A150&lt;=58),"",--MID('Key Analysis'!$C146,$A150-58,1))</f>
        <v/>
      </c>
      <c r="BJ150" s="29" t="str">
        <f>IF(OR($B150="",$A150&lt;=59),"",--MID('Key Analysis'!$C146,$A150-59,1))</f>
        <v/>
      </c>
      <c r="BK150" s="29" t="str">
        <f>IF(OR($B150="",$A150&lt;=60),"",--MID('Key Analysis'!$C146,$A150-60,1))</f>
        <v/>
      </c>
      <c r="BL150" s="29" t="str">
        <f>IF(OR($B150="",$A150&lt;=61),"",--MID('Key Analysis'!$C146,$A150-61,1))</f>
        <v/>
      </c>
      <c r="BM150" s="29" t="str">
        <f>IF(OR($B150="",$A150&lt;=62),"",--MID('Key Analysis'!$C146,$A150-62,1))</f>
        <v/>
      </c>
      <c r="BN150" s="29" t="str">
        <f>IF(OR($B150="",$A150&lt;=63),"",--MID('Key Analysis'!$C146,$A150-63,1))</f>
        <v/>
      </c>
      <c r="BO150" s="29" t="str">
        <f>IF(OR($B150="",$A150&lt;=64),"",--MID('Key Analysis'!$C146,$A150-64,1))</f>
        <v/>
      </c>
      <c r="BP150" s="29" t="str">
        <f>IF(OR($B150="",$A150&lt;=65),"",--MID('Key Analysis'!$C146,$A150-65,1))</f>
        <v/>
      </c>
      <c r="BQ150" s="29" t="str">
        <f>IF(OR($B150="",$A150&lt;=66),"",--MID('Key Analysis'!$C146,$A150-66,1))</f>
        <v/>
      </c>
      <c r="BR150" s="29" t="str">
        <f>IF(OR($B150="",$A150&lt;=67),"",--MID('Key Analysis'!$C146,$A150-67,1))</f>
        <v/>
      </c>
      <c r="BS150" s="29" t="str">
        <f>IF(OR($B150="",$A150&lt;=68),"",--MID('Key Analysis'!$C146,$A150-68,1))</f>
        <v/>
      </c>
      <c r="BT150" s="29" t="str">
        <f>IF(OR($B150="",$A150&lt;=69),"",--MID('Key Analysis'!$C146,$A150-69,1))</f>
        <v/>
      </c>
      <c r="BU150" s="29" t="str">
        <f>IF(OR($B150="",$A150&lt;=70),"",--MID('Key Analysis'!$C146,$A150-70,1))</f>
        <v/>
      </c>
      <c r="BV150" s="29" t="str">
        <f>IF(OR($B150="",$A150&lt;=71),"",--MID('Key Analysis'!$C146,$A150-71,1))</f>
        <v/>
      </c>
      <c r="BW150" s="29" t="str">
        <f>IF(OR($B150="",$A150&lt;=72),"",--MID('Key Analysis'!$C146,$A150-72,1))</f>
        <v/>
      </c>
      <c r="BX150" s="29" t="str">
        <f>IF(OR($B150="",$A150&lt;=73),"",--MID('Key Analysis'!$C146,$A150-73,1))</f>
        <v/>
      </c>
      <c r="BY150" s="29" t="str">
        <f>IF(OR($B150="",$A150&lt;=74),"",--MID('Key Analysis'!$C146,$A150-74,1))</f>
        <v/>
      </c>
      <c r="BZ150" s="29" t="str">
        <f>IF(OR($B150="",$A150&lt;=75),"",--MID('Key Analysis'!$C146,$A150-75,1))</f>
        <v/>
      </c>
      <c r="CA150" s="29" t="str">
        <f>IF(OR($B150="",$A150&lt;=76),"",--MID('Key Analysis'!$C146,$A150-76,1))</f>
        <v/>
      </c>
      <c r="CB150" s="29" t="str">
        <f>IF(OR($B150="",$A150&lt;=77),"",--MID('Key Analysis'!$C146,$A150-77,1))</f>
        <v/>
      </c>
      <c r="CC150" s="29" t="str">
        <f>IF(OR($B150="",$A150&lt;=78),"",--MID('Key Analysis'!$C146,$A150-78,1))</f>
        <v/>
      </c>
      <c r="CD150" s="29" t="str">
        <f>IF(OR($B150="",$A150&lt;=79),"",--MID('Key Analysis'!$C146,$A150-79,1))</f>
        <v/>
      </c>
      <c r="CE150" s="29" t="str">
        <f>IF(OR($B150="",$A150&lt;=80),"",--MID('Key Analysis'!$C146,$A150-80,1))</f>
        <v/>
      </c>
      <c r="CF150" s="29" t="str">
        <f>IF(OR($B150="",$A150&lt;=81),"",--MID('Key Analysis'!$C146,$A150-81,1))</f>
        <v/>
      </c>
      <c r="CG150" s="29" t="str">
        <f>IF(OR($B150="",$A150&lt;=82),"",--MID('Key Analysis'!$C146,$A150-82,1))</f>
        <v/>
      </c>
      <c r="CH150" s="29" t="str">
        <f>IF(OR($B150="",$A150&lt;=83),"",--MID('Key Analysis'!$C146,$A150-83,1))</f>
        <v/>
      </c>
      <c r="CI150" s="29" t="str">
        <f>IF(OR($B150="",$A150&lt;=84),"",--MID('Key Analysis'!$C146,$A150-84,1))</f>
        <v/>
      </c>
      <c r="CJ150" s="29" t="str">
        <f>IF(OR($B150="",$A150&lt;=85),"",--MID('Key Analysis'!$C146,$A150-85,1))</f>
        <v/>
      </c>
      <c r="CK150" s="29" t="str">
        <f>IF(OR($B150="",$A150&lt;=86),"",--MID('Key Analysis'!$C146,$A150-86,1))</f>
        <v/>
      </c>
      <c r="CL150" s="29" t="str">
        <f>IF(OR($B150="",$A150&lt;=87),"",--MID('Key Analysis'!$C146,$A150-87,1))</f>
        <v/>
      </c>
      <c r="CM150" s="29" t="str">
        <f>IF(OR($B150="",$A150&lt;=88),"",--MID('Key Analysis'!$C146,$A150-88,1))</f>
        <v/>
      </c>
      <c r="CN150" s="29" t="str">
        <f>IF(OR($B150="",$A150&lt;=89),"",--MID('Key Analysis'!$C146,$A150-89,1))</f>
        <v/>
      </c>
      <c r="CO150" s="29" t="str">
        <f>IF(OR($B150="",$A150&lt;=90),"",--MID('Key Analysis'!$C146,$A150-90,1))</f>
        <v/>
      </c>
      <c r="CP150" s="29" t="str">
        <f>IF(OR($B150="",$A150&lt;=91),"",--MID('Key Analysis'!$C146,$A150-91,1))</f>
        <v/>
      </c>
      <c r="CQ150" s="29" t="str">
        <f>IF(OR($B150="",$A150&lt;=92),"",--MID('Key Analysis'!$C146,$A150-92,1))</f>
        <v/>
      </c>
      <c r="CR150" s="29" t="str">
        <f>IF(OR($B150="",$A150&lt;=93),"",--MID('Key Analysis'!$C146,$A150-93,1))</f>
        <v/>
      </c>
      <c r="CS150" s="29" t="str">
        <f>IF(OR($B150="",$A150&lt;=94),"",--MID('Key Analysis'!$C146,$A150-94,1))</f>
        <v/>
      </c>
      <c r="CT150" s="29" t="str">
        <f>IF(OR($B150="",$A150&lt;=95),"",--MID('Key Analysis'!$C146,$A150-95,1))</f>
        <v/>
      </c>
      <c r="CU150" s="29" t="str">
        <f>IF(OR($B150="",$A150&lt;=96),"",--MID('Key Analysis'!$C146,$A150-96,1))</f>
        <v/>
      </c>
      <c r="CV150" s="29" t="str">
        <f>IF(OR($B150="",$A150&lt;=97),"",--MID('Key Analysis'!$C146,$A150-97,1))</f>
        <v/>
      </c>
      <c r="CW150" s="29" t="str">
        <f>IF(OR($B150="",$A150&lt;=98),"",--MID('Key Analysis'!$C146,$A150-98,1))</f>
        <v/>
      </c>
      <c r="CX150" s="29" t="str">
        <f>IF(OR($B150="",$A150&lt;=99),"",--MID('Key Analysis'!$C146,$A150-99,1))</f>
        <v/>
      </c>
      <c r="CY150" s="29" t="str">
        <f>IF(OR($B150="",$A150&lt;=100),"",--MID('Key Analysis'!$C146,$A150-100,1))</f>
        <v/>
      </c>
      <c r="CZ150" s="29" t="str">
        <f>IF(OR($B150="",$A150&lt;=101),"",--MID('Key Analysis'!$C146,$A150-101,1))</f>
        <v/>
      </c>
      <c r="DA150" s="29" t="str">
        <f>IF(OR($B150="",$A150&lt;=102),"",--MID('Key Analysis'!$C146,$A150-102,1))</f>
        <v/>
      </c>
      <c r="DB150" s="29" t="str">
        <f>IF(OR($B150="",$A150&lt;=103),"",--MID('Key Analysis'!$C146,$A150-103,1))</f>
        <v/>
      </c>
      <c r="DC150" s="29" t="str">
        <f>IF(OR($B150="",$A150&lt;=104),"",--MID('Key Analysis'!$C146,$A150-104,1))</f>
        <v/>
      </c>
      <c r="DD150" s="29" t="str">
        <f>IF(OR($B150="",$A150&lt;=105),"",--MID('Key Analysis'!$C146,$A150-105,1))</f>
        <v/>
      </c>
      <c r="DE150" s="29" t="str">
        <f>IF(OR($B150="",$A150&lt;=106),"",--MID('Key Analysis'!$C146,$A150-106,1))</f>
        <v/>
      </c>
      <c r="DF150" s="29" t="str">
        <f>IF(OR($B150="",$A150&lt;=107),"",--MID('Key Analysis'!$C146,$A150-107,1))</f>
        <v/>
      </c>
      <c r="DG150" s="29" t="str">
        <f>IF(OR($B150="",$A150&lt;=108),"",--MID('Key Analysis'!$C146,$A150-108,1))</f>
        <v/>
      </c>
      <c r="DH150" s="29" t="str">
        <f>IF(OR($B150="",$A150&lt;=109),"",--MID('Key Analysis'!$C146,$A150-109,1))</f>
        <v/>
      </c>
      <c r="DI150" s="29" t="str">
        <f>IF(OR($B150="",$A150&lt;=110),"",--MID('Key Analysis'!$C146,$A150-110,1))</f>
        <v/>
      </c>
      <c r="DJ150" s="29" t="str">
        <f>IF(OR($B150="",$A150&lt;=111),"",--MID('Key Analysis'!$C146,$A150-111,1))</f>
        <v/>
      </c>
      <c r="DK150" s="29" t="str">
        <f>IF(OR($B150="",$A150&lt;=112),"",--MID('Key Analysis'!$C146,$A150-112,1))</f>
        <v/>
      </c>
      <c r="DL150" s="29" t="str">
        <f>IF(OR($B150="",$A150&lt;=113),"",--MID('Key Analysis'!$C146,$A150-113,1))</f>
        <v/>
      </c>
      <c r="DM150" s="29" t="str">
        <f>IF(OR($B150="",$A150&lt;=114),"",--MID('Key Analysis'!$C146,$A150-114,1))</f>
        <v/>
      </c>
      <c r="DN150" s="29" t="str">
        <f>IF(OR($B150="",$A150&lt;=115),"",--MID('Key Analysis'!$C146,$A150-115,1))</f>
        <v/>
      </c>
      <c r="DO150" s="29" t="str">
        <f>IF(OR($B150="",$A150&lt;=116),"",--MID('Key Analysis'!$C146,$A150-116,1))</f>
        <v/>
      </c>
      <c r="DP150" s="29" t="str">
        <f>IF(OR($B150="",$A150&lt;=117),"",--MID('Key Analysis'!$C146,$A150-117,1))</f>
        <v/>
      </c>
      <c r="DQ150" s="29" t="str">
        <f>IF(OR($B150="",$A150&lt;=118),"",--MID('Key Analysis'!$C146,$A150-118,1))</f>
        <v/>
      </c>
      <c r="DR150" s="29" t="str">
        <f>IF(OR($B150="",$A150&lt;=119),"",--MID('Key Analysis'!$C146,$A150-119,1))</f>
        <v/>
      </c>
      <c r="DS150" s="29" t="str">
        <f>IF(OR($B150="",$A150&lt;=120),"",--MID('Key Analysis'!$C146,$A150-120,1))</f>
        <v/>
      </c>
      <c r="DT150" s="29" t="str">
        <f>IF(OR($B150="",$A150&lt;=121),"",--MID('Key Analysis'!$C146,$A150-121,1))</f>
        <v/>
      </c>
      <c r="DU150" s="29" t="str">
        <f>IF(OR($B150="",$A150&lt;=122),"",--MID('Key Analysis'!$C146,$A150-122,1))</f>
        <v/>
      </c>
      <c r="DV150" s="29" t="str">
        <f>IF(OR($B150="",$A150&lt;=123),"",--MID('Key Analysis'!$C146,$A150-123,1))</f>
        <v/>
      </c>
      <c r="DW150" s="29" t="str">
        <f>IF(OR($B150="",$A150&lt;=124),"",--MID('Key Analysis'!$C146,$A150-124,1))</f>
        <v/>
      </c>
      <c r="DX150" s="29" t="str">
        <f>IF(OR($B150="",$A150&lt;=125),"",--MID('Key Analysis'!$C146,$A150-125,1))</f>
        <v/>
      </c>
      <c r="DY150" s="29" t="str">
        <f>IF(OR($B150="",$A150&lt;=126),"",--MID('Key Analysis'!$C146,$A150-126,1))</f>
        <v/>
      </c>
      <c r="DZ150" s="29" t="str">
        <f>IF(OR($B150="",$A150&lt;=127),"",--MID('Key Analysis'!$C146,$A150-127,1))</f>
        <v/>
      </c>
      <c r="EA150" s="29" t="str">
        <f>IF(OR($B150="",$A150&lt;=128),"",--MID('Key Analysis'!$C146,$A150-128,1))</f>
        <v/>
      </c>
      <c r="EB150" s="29" t="str">
        <f>IF(OR($B150="",$A150&lt;=129),"",--MID('Key Analysis'!$C146,$A150-129,1))</f>
        <v/>
      </c>
      <c r="EC150" s="29" t="str">
        <f>IF(OR($B150="",$A150&lt;=130),"",--MID('Key Analysis'!$C146,$A150-130,1))</f>
        <v/>
      </c>
      <c r="ED150" s="29" t="str">
        <f>IF(OR($B150="",$A150&lt;=131),"",--MID('Key Analysis'!$C146,$A150-131,1))</f>
        <v/>
      </c>
      <c r="EE150" s="29" t="str">
        <f>IF(OR($B150="",$A150&lt;=132),"",--MID('Key Analysis'!$C146,$A150-132,1))</f>
        <v/>
      </c>
      <c r="EF150" s="29" t="str">
        <f>IF(OR($B150="",$A150&lt;=133),"",--MID('Key Analysis'!$C146,$A150-133,1))</f>
        <v/>
      </c>
      <c r="EG150" s="29" t="str">
        <f>IF(OR($B150="",$A150&lt;=134),"",--MID('Key Analysis'!$C146,$A150-134,1))</f>
        <v/>
      </c>
      <c r="EH150" s="29"/>
      <c r="EI150" s="29" t="str">
        <f>IF(OR($B150="",$A150&lt;1),"",--MID('Key Analysis'!$C146,1,1))</f>
        <v/>
      </c>
      <c r="EJ150" s="29" t="str">
        <f>IF(OR($B150="",$A150&lt;2),"",--MID('Key Analysis'!$C146,2,1))</f>
        <v/>
      </c>
      <c r="EK150" s="29" t="str">
        <f>IF(OR($B150="",$A150&lt;3),"",--MID('Key Analysis'!$C146,3,1))</f>
        <v/>
      </c>
      <c r="EL150" s="29" t="str">
        <f>IF(OR($B150="",$A150&lt;4),"",--MID('Key Analysis'!$C146,4,1))</f>
        <v/>
      </c>
      <c r="EM150" s="29" t="str">
        <f>IF(OR($B150="",$A150&lt;5),"",--MID('Key Analysis'!$C146,5,1))</f>
        <v/>
      </c>
      <c r="EN150" s="29" t="str">
        <f>IF(OR($B150="",$A150&lt;6),"",--MID('Key Analysis'!$C146,6,1))</f>
        <v/>
      </c>
      <c r="EO150" s="29" t="str">
        <f>IF(OR($B150="",$A150&lt;7),"",--MID('Key Analysis'!$C146,7,1))</f>
        <v/>
      </c>
      <c r="EP150" s="29" t="str">
        <f>IF(OR($B150="",$A150&lt;8),"",--MID('Key Analysis'!$C146,8,1))</f>
        <v/>
      </c>
      <c r="EQ150" s="29" t="str">
        <f>IF(OR($B150="",$A150&lt;9),"",--MID('Key Analysis'!$C146,9,1))</f>
        <v/>
      </c>
      <c r="ER150" s="29" t="str">
        <f>IF(OR($B150="",$A150&lt;10),"",--MID('Key Analysis'!$C146,10,1))</f>
        <v/>
      </c>
      <c r="ES150" s="29" t="str">
        <f>IF(OR($B150="",$A150&lt;11),"",--MID('Key Analysis'!$C146,11,1))</f>
        <v/>
      </c>
      <c r="ET150" s="29" t="str">
        <f>IF(OR($B150="",$A150&lt;12),"",--MID('Key Analysis'!$C146,12,1))</f>
        <v/>
      </c>
      <c r="EU150" s="29" t="str">
        <f>IF(OR($B150="",$A150&lt;13),"",--MID('Key Analysis'!$C146,13,1))</f>
        <v/>
      </c>
      <c r="EV150" s="29" t="str">
        <f>IF(OR($B150="",$A150&lt;14),"",--MID('Key Analysis'!$C146,14,1))</f>
        <v/>
      </c>
      <c r="EW150" s="29" t="str">
        <f>IF(OR($B150="",$A150&lt;15),"",--MID('Key Analysis'!$C146,15,1))</f>
        <v/>
      </c>
      <c r="EX150" s="29" t="str">
        <f>IF(OR($B150="",$A150&lt;16),"",--MID('Key Analysis'!$C146,16,1))</f>
        <v/>
      </c>
      <c r="EY150" s="29" t="str">
        <f>IF(OR($B150="",$A150&lt;17),"",--MID('Key Analysis'!$C146,17,1))</f>
        <v/>
      </c>
      <c r="EZ150" s="29" t="str">
        <f>IF(OR($B150="",$A150&lt;18),"",--MID('Key Analysis'!$C146,18,1))</f>
        <v/>
      </c>
      <c r="FA150" s="29" t="str">
        <f>IF(OR($B150="",$A150&lt;19),"",--MID('Key Analysis'!$C146,19,1))</f>
        <v/>
      </c>
      <c r="FB150" s="29" t="str">
        <f>IF(OR($B150="",$A150&lt;20),"",--MID('Key Analysis'!$C146,20,1))</f>
        <v/>
      </c>
      <c r="FC150" s="29" t="str">
        <f>IF(OR($B150="",$A150&lt;21),"",--MID('Key Analysis'!$C146,21,1))</f>
        <v/>
      </c>
      <c r="FD150" s="29" t="str">
        <f>IF(OR($B150="",$A150&lt;22),"",--MID('Key Analysis'!$C146,22,1))</f>
        <v/>
      </c>
      <c r="FE150" s="29" t="str">
        <f>IF(OR($B150="",$A150&lt;23),"",--MID('Key Analysis'!$C146,23,1))</f>
        <v/>
      </c>
      <c r="FF150" s="29" t="str">
        <f>IF(OR($B150="",$A150&lt;24),"",--MID('Key Analysis'!$C146,24,1))</f>
        <v/>
      </c>
      <c r="FG150" s="29" t="str">
        <f>IF(OR($B150="",$A150&lt;25),"",--MID('Key Analysis'!$C146,25,1))</f>
        <v/>
      </c>
      <c r="FH150" s="29" t="str">
        <f>IF(OR($B150="",$A150&lt;26),"",--MID('Key Analysis'!$C146,26,1))</f>
        <v/>
      </c>
      <c r="FI150" s="29" t="str">
        <f>IF(OR($B150="",$A150&lt;27),"",--MID('Key Analysis'!$C146,27,1))</f>
        <v/>
      </c>
      <c r="FJ150" s="29" t="str">
        <f>IF(OR($B150="",$A150&lt;28),"",--MID('Key Analysis'!$C146,28,1))</f>
        <v/>
      </c>
      <c r="FK150" s="29" t="str">
        <f>IF(OR($B150="",$A150&lt;29),"",--MID('Key Analysis'!$C146,29,1))</f>
        <v/>
      </c>
      <c r="FL150" s="29" t="str">
        <f>IF(OR($B150="",$A150&lt;30),"",--MID('Key Analysis'!$C146,30,1))</f>
        <v/>
      </c>
      <c r="FM150" s="29" t="str">
        <f>IF(OR($B150="",$A150&lt;31),"",--MID('Key Analysis'!$C146,31,1))</f>
        <v/>
      </c>
      <c r="FN150" s="29" t="str">
        <f>IF(OR($B150="",$A150&lt;32),"",--MID('Key Analysis'!$C146,32,1))</f>
        <v/>
      </c>
      <c r="FO150" s="29" t="str">
        <f>IF(OR($B150="",$A150&lt;33),"",--MID('Key Analysis'!$C146,33,1))</f>
        <v/>
      </c>
      <c r="FP150" s="29" t="str">
        <f>IF(OR($B150="",$A150&lt;34),"",--MID('Key Analysis'!$C146,34,1))</f>
        <v/>
      </c>
      <c r="FQ150" s="29" t="str">
        <f>IF(OR($B150="",$A150&lt;35),"",--MID('Key Analysis'!$C146,35,1))</f>
        <v/>
      </c>
      <c r="FR150" s="29" t="str">
        <f>IF(OR($B150="",$A150&lt;36),"",--MID('Key Analysis'!$C146,36,1))</f>
        <v/>
      </c>
      <c r="FS150" s="29" t="str">
        <f>IF(OR($B150="",$A150&lt;37),"",--MID('Key Analysis'!$C146,37,1))</f>
        <v/>
      </c>
      <c r="FT150" s="29" t="str">
        <f>IF(OR($B150="",$A150&lt;38),"",--MID('Key Analysis'!$C146,38,1))</f>
        <v/>
      </c>
      <c r="FU150" s="29" t="str">
        <f>IF(OR($B150="",$A150&lt;39),"",--MID('Key Analysis'!$C146,39,1))</f>
        <v/>
      </c>
      <c r="FV150" s="29" t="str">
        <f>IF(OR($B150="",$A150&lt;40),"",--MID('Key Analysis'!$C146,40,1))</f>
        <v/>
      </c>
      <c r="FW150" s="29" t="str">
        <f>IF(OR($B150="",$A150&lt;41),"",--MID('Key Analysis'!$C146,41,1))</f>
        <v/>
      </c>
      <c r="FX150" s="29" t="str">
        <f>IF(OR($B150="",$A150&lt;42),"",--MID('Key Analysis'!$C146,42,1))</f>
        <v/>
      </c>
      <c r="FY150" s="29" t="str">
        <f>IF(OR($B150="",$A150&lt;43),"",--MID('Key Analysis'!$C146,43,1))</f>
        <v/>
      </c>
      <c r="FZ150" s="29" t="str">
        <f>IF(OR($B150="",$A150&lt;44),"",--MID('Key Analysis'!$C146,44,1))</f>
        <v/>
      </c>
      <c r="GA150" s="29" t="str">
        <f>IF(OR($B150="",$A150&lt;45),"",--MID('Key Analysis'!$C146,45,1))</f>
        <v/>
      </c>
      <c r="GB150" s="29" t="str">
        <f>IF(OR($B150="",$A150&lt;46),"",--MID('Key Analysis'!$C146,46,1))</f>
        <v/>
      </c>
      <c r="GC150" s="29" t="str">
        <f>IF(OR($B150="",$A150&lt;47),"",--MID('Key Analysis'!$C146,47,1))</f>
        <v/>
      </c>
      <c r="GD150" s="29" t="str">
        <f>IF(OR($B150="",$A150&lt;48),"",--MID('Key Analysis'!$C146,48,1))</f>
        <v/>
      </c>
      <c r="GE150" s="29" t="str">
        <f>IF(OR($B150="",$A150&lt;49),"",--MID('Key Analysis'!$C146,49,1))</f>
        <v/>
      </c>
      <c r="GF150" s="29" t="str">
        <f>IF(OR($B150="",$A150&lt;50),"",--MID('Key Analysis'!$C146,50,1))</f>
        <v/>
      </c>
      <c r="GG150" s="29" t="str">
        <f>IF(OR($B150="",$A150&lt;51),"",--MID('Key Analysis'!$C146,51,1))</f>
        <v/>
      </c>
      <c r="GH150" s="29" t="str">
        <f>IF(OR($B150="",$A150&lt;52),"",--MID('Key Analysis'!$C146,52,1))</f>
        <v/>
      </c>
      <c r="GI150" s="29" t="str">
        <f>IF(OR($B150="",$A150&lt;53),"",--MID('Key Analysis'!$C146,53,1))</f>
        <v/>
      </c>
      <c r="GJ150" s="29" t="str">
        <f>IF(OR($B150="",$A150&lt;54),"",--MID('Key Analysis'!$C146,54,1))</f>
        <v/>
      </c>
      <c r="GK150" s="29" t="str">
        <f>IF(OR($B150="",$A150&lt;55),"",--MID('Key Analysis'!$C146,55,1))</f>
        <v/>
      </c>
      <c r="GL150" s="29" t="str">
        <f>IF(OR($B150="",$A150&lt;56),"",--MID('Key Analysis'!$C146,56,1))</f>
        <v/>
      </c>
      <c r="GM150" s="29" t="str">
        <f>IF(OR($B150="",$A150&lt;57),"",--MID('Key Analysis'!$C146,57,1))</f>
        <v/>
      </c>
      <c r="GN150" s="29" t="str">
        <f>IF(OR($B150="",$A150&lt;58),"",--MID('Key Analysis'!$C146,58,1))</f>
        <v/>
      </c>
      <c r="GO150" s="29" t="str">
        <f>IF(OR($B150="",$A150&lt;59),"",--MID('Key Analysis'!$C146,59,1))</f>
        <v/>
      </c>
      <c r="GP150" s="29" t="str">
        <f>IF(OR($B150="",$A150&lt;60),"",--MID('Key Analysis'!$C146,60,1))</f>
        <v/>
      </c>
      <c r="GQ150" s="29" t="str">
        <f>IF(OR($B150="",$A150&lt;61),"",--MID('Key Analysis'!$C146,61,1))</f>
        <v/>
      </c>
      <c r="GR150" s="29" t="str">
        <f>IF(OR($B150="",$A150&lt;62),"",--MID('Key Analysis'!$C146,62,1))</f>
        <v/>
      </c>
      <c r="GS150" s="29" t="str">
        <f>IF(OR($B150="",$A150&lt;63),"",--MID('Key Analysis'!$C146,63,1))</f>
        <v/>
      </c>
      <c r="GT150" s="29" t="str">
        <f>IF(OR($B150="",$A150&lt;64),"",--MID('Key Analysis'!$C146,64,1))</f>
        <v/>
      </c>
      <c r="GU150" s="29" t="str">
        <f>IF(OR($B150="",$A150&lt;65),"",--MID('Key Analysis'!$C146,65,1))</f>
        <v/>
      </c>
      <c r="GV150" s="29" t="str">
        <f>IF(OR($B150="",$A150&lt;66),"",--MID('Key Analysis'!$C146,66,1))</f>
        <v/>
      </c>
      <c r="GW150" s="29" t="str">
        <f>IF(OR($B150="",$A150&lt;67),"",--MID('Key Analysis'!$C146,67,1))</f>
        <v/>
      </c>
      <c r="GX150" s="29" t="str">
        <f>IF(OR($B150="",$A150&lt;68),"",--MID('Key Analysis'!$C146,68,1))</f>
        <v/>
      </c>
      <c r="GY150" s="29" t="str">
        <f>IF(OR($B150="",$A150&lt;69),"",--MID('Key Analysis'!$C146,69,1))</f>
        <v/>
      </c>
      <c r="GZ150" s="29" t="str">
        <f>IF(OR($B150="",$A150&lt;70),"",--MID('Key Analysis'!$C146,70,1))</f>
        <v/>
      </c>
      <c r="HA150" s="29" t="str">
        <f>IF(OR($B150="",$A150&lt;71),"",--MID('Key Analysis'!$C146,71,1))</f>
        <v/>
      </c>
      <c r="HB150" s="29" t="str">
        <f>IF(OR($B150="",$A150&lt;72),"",--MID('Key Analysis'!$C146,72,1))</f>
        <v/>
      </c>
      <c r="HC150" s="29" t="str">
        <f>IF(OR($B150="",$A150&lt;73),"",--MID('Key Analysis'!$C146,73,1))</f>
        <v/>
      </c>
      <c r="HD150" s="29" t="str">
        <f>IF(OR($B150="",$A150&lt;74),"",--MID('Key Analysis'!$C146,74,1))</f>
        <v/>
      </c>
      <c r="HE150" s="29" t="str">
        <f>IF(OR($B150="",$A150&lt;75),"",--MID('Key Analysis'!$C146,75,1))</f>
        <v/>
      </c>
      <c r="HF150" s="29" t="str">
        <f>IF(OR($B150="",$A150&lt;76),"",--MID('Key Analysis'!$C146,76,1))</f>
        <v/>
      </c>
      <c r="HG150" s="29" t="str">
        <f>IF(OR($B150="",$A150&lt;77),"",--MID('Key Analysis'!$C146,77,1))</f>
        <v/>
      </c>
      <c r="HH150" s="29" t="str">
        <f>IF(OR($B150="",$A150&lt;78),"",--MID('Key Analysis'!$C146,78,1))</f>
        <v/>
      </c>
      <c r="HI150" s="29" t="str">
        <f>IF(OR($B150="",$A150&lt;79),"",--MID('Key Analysis'!$C146,79,1))</f>
        <v/>
      </c>
      <c r="HJ150" s="29" t="str">
        <f>IF(OR($B150="",$A150&lt;80),"",--MID('Key Analysis'!$C146,80,1))</f>
        <v/>
      </c>
      <c r="HK150" s="29" t="str">
        <f>IF(OR($B150="",$A150&lt;81),"",--MID('Key Analysis'!$C146,81,1))</f>
        <v/>
      </c>
      <c r="HL150" s="29" t="str">
        <f>IF(OR($B150="",$A150&lt;82),"",--MID('Key Analysis'!$C146,82,1))</f>
        <v/>
      </c>
      <c r="HM150" s="29" t="str">
        <f>IF(OR($B150="",$A150&lt;83),"",--MID('Key Analysis'!$C146,83,1))</f>
        <v/>
      </c>
      <c r="HN150" s="29" t="str">
        <f>IF(OR($B150="",$A150&lt;84),"",--MID('Key Analysis'!$C146,84,1))</f>
        <v/>
      </c>
      <c r="HO150" s="29" t="str">
        <f>IF(OR($B150="",$A150&lt;85),"",--MID('Key Analysis'!$C146,85,1))</f>
        <v/>
      </c>
      <c r="HP150" s="29" t="str">
        <f>IF(OR($B150="",$A150&lt;86),"",--MID('Key Analysis'!$C146,86,1))</f>
        <v/>
      </c>
      <c r="HQ150" s="29" t="str">
        <f>IF(OR($B150="",$A150&lt;87),"",--MID('Key Analysis'!$C146,87,1))</f>
        <v/>
      </c>
      <c r="HR150" s="29" t="str">
        <f>IF(OR($B150="",$A150&lt;88),"",--MID('Key Analysis'!$C146,88,1))</f>
        <v/>
      </c>
      <c r="HS150" s="29" t="str">
        <f>IF(OR($B150="",$A150&lt;89),"",--MID('Key Analysis'!$C146,89,1))</f>
        <v/>
      </c>
      <c r="HT150" s="29" t="str">
        <f>IF(OR($B150="",$A150&lt;90),"",--MID('Key Analysis'!$C146,90,1))</f>
        <v/>
      </c>
      <c r="HU150" s="29" t="str">
        <f>IF(OR($B150="",$A150&lt;91),"",--MID('Key Analysis'!$C146,91,1))</f>
        <v/>
      </c>
      <c r="HV150" s="29" t="str">
        <f>IF(OR($B150="",$A150&lt;92),"",--MID('Key Analysis'!$C146,92,1))</f>
        <v/>
      </c>
      <c r="HW150" s="29" t="str">
        <f>IF(OR($B150="",$A150&lt;93),"",--MID('Key Analysis'!$C146,93,1))</f>
        <v/>
      </c>
      <c r="HX150" s="29" t="str">
        <f>IF(OR($B150="",$A150&lt;94),"",--MID('Key Analysis'!$C146,94,1))</f>
        <v/>
      </c>
      <c r="HY150" s="29" t="str">
        <f>IF(OR($B150="",$A150&lt;95),"",--MID('Key Analysis'!$C146,95,1))</f>
        <v/>
      </c>
      <c r="HZ150" s="29" t="str">
        <f>IF(OR($B150="",$A150&lt;96),"",--MID('Key Analysis'!$C146,96,1))</f>
        <v/>
      </c>
      <c r="IA150" s="29" t="str">
        <f>IF(OR($B150="",$A150&lt;97),"",--MID('Key Analysis'!$C146,97,1))</f>
        <v/>
      </c>
      <c r="IB150" s="29" t="str">
        <f>IF(OR($B150="",$A150&lt;98),"",--MID('Key Analysis'!$C146,98,1))</f>
        <v/>
      </c>
      <c r="IC150" s="29" t="str">
        <f>IF(OR($B150="",$A150&lt;99),"",--MID('Key Analysis'!$C146,99,1))</f>
        <v/>
      </c>
      <c r="ID150" s="29" t="str">
        <f>IF(OR($B150="",$A150&lt;100),"",--MID('Key Analysis'!$C146,100,1))</f>
        <v/>
      </c>
      <c r="IE150" s="29" t="str">
        <f>IF(OR($B150="",$A150&lt;101),"",--MID('Key Analysis'!$C146,101,1))</f>
        <v/>
      </c>
      <c r="IF150" s="29" t="str">
        <f>IF(OR($B150="",$A150&lt;102),"",--MID('Key Analysis'!$C146,102,1))</f>
        <v/>
      </c>
      <c r="IG150" s="29" t="str">
        <f>IF(OR($B150="",$A150&lt;103),"",--MID('Key Analysis'!$C146,103,1))</f>
        <v/>
      </c>
      <c r="IH150" s="29" t="str">
        <f>IF(OR($B150="",$A150&lt;104),"",--MID('Key Analysis'!$C146,104,1))</f>
        <v/>
      </c>
      <c r="II150" s="29" t="str">
        <f>IF(OR($B150="",$A150&lt;105),"",--MID('Key Analysis'!$C146,105,1))</f>
        <v/>
      </c>
      <c r="IJ150" s="29" t="str">
        <f>IF(OR($B150="",$A150&lt;106),"",--MID('Key Analysis'!$C146,106,1))</f>
        <v/>
      </c>
      <c r="IK150" s="29" t="str">
        <f>IF(OR($B150="",$A150&lt;107),"",--MID('Key Analysis'!$C146,107,1))</f>
        <v/>
      </c>
      <c r="IL150" s="29" t="str">
        <f>IF(OR($B150="",$A150&lt;108),"",--MID('Key Analysis'!$C146,108,1))</f>
        <v/>
      </c>
      <c r="IM150" s="29" t="str">
        <f>IF(OR($B150="",$A150&lt;109),"",--MID('Key Analysis'!$C146,109,1))</f>
        <v/>
      </c>
      <c r="IN150" s="29" t="str">
        <f>IF(OR($B150="",$A150&lt;110),"",--MID('Key Analysis'!$C146,110,1))</f>
        <v/>
      </c>
      <c r="IO150" s="29" t="str">
        <f>IF(OR($B150="",$A150&lt;111),"",--MID('Key Analysis'!$C146,111,1))</f>
        <v/>
      </c>
      <c r="IP150" s="29" t="str">
        <f>IF(OR($B150="",$A150&lt;112),"",--MID('Key Analysis'!$C146,112,1))</f>
        <v/>
      </c>
      <c r="IQ150" s="29" t="str">
        <f>IF(OR($B150="",$A150&lt;113),"",--MID('Key Analysis'!$C146,113,1))</f>
        <v/>
      </c>
      <c r="IR150" s="29" t="str">
        <f>IF(OR($B150="",$A150&lt;114),"",--MID('Key Analysis'!$C146,114,1))</f>
        <v/>
      </c>
      <c r="IS150" s="29" t="str">
        <f>IF(OR($B150="",$A150&lt;115),"",--MID('Key Analysis'!$C146,115,1))</f>
        <v/>
      </c>
      <c r="IT150" s="29" t="str">
        <f>IF(OR($B150="",$A150&lt;116),"",--MID('Key Analysis'!$C146,116,1))</f>
        <v/>
      </c>
      <c r="IU150" s="29" t="str">
        <f>IF(OR($B150="",$A150&lt;117),"",--MID('Key Analysis'!$C146,117,1))</f>
        <v/>
      </c>
      <c r="IV150" s="29" t="str">
        <f>IF(OR($B150="",$A150&lt;118),"",--MID('Key Analysis'!$C146,118,1))</f>
        <v/>
      </c>
      <c r="IW150" s="29" t="str">
        <f>IF(OR($B150="",$A150&lt;119),"",--MID('Key Analysis'!$C146,119,1))</f>
        <v/>
      </c>
      <c r="IX150" s="29" t="str">
        <f>IF(OR($B150="",$A150&lt;120),"",--MID('Key Analysis'!$C146,120,1))</f>
        <v/>
      </c>
      <c r="IY150" s="29" t="str">
        <f>IF(OR($B150="",$A150&lt;121),"",--MID('Key Analysis'!$C146,121,1))</f>
        <v/>
      </c>
      <c r="IZ150" s="29" t="str">
        <f>IF(OR($B150="",$A150&lt;122),"",--MID('Key Analysis'!$C146,122,1))</f>
        <v/>
      </c>
      <c r="JA150" s="29" t="str">
        <f>IF(OR($B150="",$A150&lt;123),"",--MID('Key Analysis'!$C146,123,1))</f>
        <v/>
      </c>
      <c r="JB150" s="29" t="str">
        <f>IF(OR($B150="",$A150&lt;124),"",--MID('Key Analysis'!$C146,124,1))</f>
        <v/>
      </c>
      <c r="JC150" s="29" t="str">
        <f>IF(OR($B150="",$A150&lt;125),"",--MID('Key Analysis'!$C146,125,1))</f>
        <v/>
      </c>
      <c r="JD150" s="29" t="str">
        <f>IF(OR($B150="",$A150&lt;126),"",--MID('Key Analysis'!$C146,126,1))</f>
        <v/>
      </c>
      <c r="JE150" s="29" t="str">
        <f>IF(OR($B150="",$A150&lt;127),"",--MID('Key Analysis'!$C146,127,1))</f>
        <v/>
      </c>
      <c r="JF150" s="29" t="str">
        <f>IF(OR($B150="",$A150&lt;128),"",--MID('Key Analysis'!$C146,128,1))</f>
        <v/>
      </c>
      <c r="JG150" s="29" t="str">
        <f>IF(OR($B150="",$A150&lt;129),"",--MID('Key Analysis'!$C146,129,1))</f>
        <v/>
      </c>
      <c r="JH150" s="29" t="str">
        <f>IF(OR($B150="",$A150&lt;130),"",--MID('Key Analysis'!$C146,130,1))</f>
        <v/>
      </c>
      <c r="JI150" s="29" t="str">
        <f>IF(OR($B150="",$A150&lt;131),"",--MID('Key Analysis'!$C146,131,1))</f>
        <v/>
      </c>
      <c r="JJ150" s="29" t="str">
        <f>IF(OR($B150="",$A150&lt;132),"",--MID('Key Analysis'!$C146,132,1))</f>
        <v/>
      </c>
      <c r="JK150" s="29" t="str">
        <f>IF(OR($B150="",$A150&lt;133),"",--MID('Key Analysis'!$C146,133,1))</f>
        <v/>
      </c>
      <c r="JL150" s="29" t="str">
        <f>IF(OR($B150="",$A150&lt;134),"",--MID('Key Analysis'!$C146,134,1))</f>
        <v/>
      </c>
      <c r="JM150" s="29" t="str">
        <f>IF(OR($B150="",$A150&lt;135),"",--MID('Key Analysis'!$C146,135,1))</f>
        <v/>
      </c>
    </row>
    <row r="151" spans="1:273" x14ac:dyDescent="0.25">
      <c r="A151" s="21">
        <f>'Key Analysis'!A147</f>
        <v>146</v>
      </c>
      <c r="B151" s="30" t="str">
        <f>'Key Analysis'!B147</f>
        <v/>
      </c>
      <c r="C151" s="29" t="str">
        <f>IF(OR($B151="",$A151&lt;=0),"",--MID('Key Analysis'!$C147,$A151-0,1))</f>
        <v/>
      </c>
      <c r="D151" s="29" t="str">
        <f>IF(OR($B151="",$A151&lt;=1),"",--MID('Key Analysis'!$C147,$A151-1,1))</f>
        <v/>
      </c>
      <c r="E151" s="29" t="str">
        <f>IF(OR($B151="",$A151&lt;=2),"",--MID('Key Analysis'!$C147,$A151-2,1))</f>
        <v/>
      </c>
      <c r="F151" s="29" t="str">
        <f>IF(OR($B151="",$A151&lt;=3),"",--MID('Key Analysis'!$C147,$A151-3,1))</f>
        <v/>
      </c>
      <c r="G151" s="29" t="str">
        <f>IF(OR($B151="",$A151&lt;=4),"",--MID('Key Analysis'!$C147,$A151-4,1))</f>
        <v/>
      </c>
      <c r="H151" s="29" t="str">
        <f>IF(OR($B151="",$A151&lt;=5),"",--MID('Key Analysis'!$C147,$A151-5,1))</f>
        <v/>
      </c>
      <c r="I151" s="29" t="str">
        <f>IF(OR($B151="",$A151&lt;=6),"",--MID('Key Analysis'!$C147,$A151-6,1))</f>
        <v/>
      </c>
      <c r="J151" s="29" t="str">
        <f>IF(OR($B151="",$A151&lt;=7),"",--MID('Key Analysis'!$C147,$A151-7,1))</f>
        <v/>
      </c>
      <c r="K151" s="29" t="str">
        <f>IF(OR($B151="",$A151&lt;=8),"",--MID('Key Analysis'!$C147,$A151-8,1))</f>
        <v/>
      </c>
      <c r="L151" s="29" t="str">
        <f>IF(OR($B151="",$A151&lt;=9),"",--MID('Key Analysis'!$C147,$A151-9,1))</f>
        <v/>
      </c>
      <c r="M151" s="29" t="str">
        <f>IF(OR($B151="",$A151&lt;=10),"",--MID('Key Analysis'!$C147,$A151-10,1))</f>
        <v/>
      </c>
      <c r="N151" s="29" t="str">
        <f>IF(OR($B151="",$A151&lt;=11),"",--MID('Key Analysis'!$C147,$A151-11,1))</f>
        <v/>
      </c>
      <c r="O151" s="29" t="str">
        <f>IF(OR($B151="",$A151&lt;=12),"",--MID('Key Analysis'!$C147,$A151-12,1))</f>
        <v/>
      </c>
      <c r="P151" s="29" t="str">
        <f>IF(OR($B151="",$A151&lt;=13),"",--MID('Key Analysis'!$C147,$A151-13,1))</f>
        <v/>
      </c>
      <c r="Q151" s="29" t="str">
        <f>IF(OR($B151="",$A151&lt;=14),"",--MID('Key Analysis'!$C147,$A151-14,1))</f>
        <v/>
      </c>
      <c r="R151" s="29" t="str">
        <f>IF(OR($B151="",$A151&lt;=15),"",--MID('Key Analysis'!$C147,$A151-15,1))</f>
        <v/>
      </c>
      <c r="S151" s="29" t="str">
        <f>IF(OR($B151="",$A151&lt;=16),"",--MID('Key Analysis'!$C147,$A151-16,1))</f>
        <v/>
      </c>
      <c r="T151" s="29" t="str">
        <f>IF(OR($B151="",$A151&lt;=17),"",--MID('Key Analysis'!$C147,$A151-17,1))</f>
        <v/>
      </c>
      <c r="U151" s="29" t="str">
        <f>IF(OR($B151="",$A151&lt;=18),"",--MID('Key Analysis'!$C147,$A151-18,1))</f>
        <v/>
      </c>
      <c r="V151" s="29" t="str">
        <f>IF(OR($B151="",$A151&lt;=19),"",--MID('Key Analysis'!$C147,$A151-19,1))</f>
        <v/>
      </c>
      <c r="W151" s="29" t="str">
        <f>IF(OR($B151="",$A151&lt;=20),"",--MID('Key Analysis'!$C147,$A151-20,1))</f>
        <v/>
      </c>
      <c r="X151" s="29" t="str">
        <f>IF(OR($B151="",$A151&lt;=21),"",--MID('Key Analysis'!$C147,$A151-21,1))</f>
        <v/>
      </c>
      <c r="Y151" s="29" t="str">
        <f>IF(OR($B151="",$A151&lt;=22),"",--MID('Key Analysis'!$C147,$A151-22,1))</f>
        <v/>
      </c>
      <c r="Z151" s="29" t="str">
        <f>IF(OR($B151="",$A151&lt;=23),"",--MID('Key Analysis'!$C147,$A151-23,1))</f>
        <v/>
      </c>
      <c r="AA151" s="29" t="str">
        <f>IF(OR($B151="",$A151&lt;=24),"",--MID('Key Analysis'!$C147,$A151-24,1))</f>
        <v/>
      </c>
      <c r="AB151" s="29" t="str">
        <f>IF(OR($B151="",$A151&lt;=25),"",--MID('Key Analysis'!$C147,$A151-25,1))</f>
        <v/>
      </c>
      <c r="AC151" s="29" t="str">
        <f>IF(OR($B151="",$A151&lt;=26),"",--MID('Key Analysis'!$C147,$A151-26,1))</f>
        <v/>
      </c>
      <c r="AD151" s="29" t="str">
        <f>IF(OR($B151="",$A151&lt;=27),"",--MID('Key Analysis'!$C147,$A151-27,1))</f>
        <v/>
      </c>
      <c r="AE151" s="29" t="str">
        <f>IF(OR($B151="",$A151&lt;=28),"",--MID('Key Analysis'!$C147,$A151-28,1))</f>
        <v/>
      </c>
      <c r="AF151" s="29" t="str">
        <f>IF(OR($B151="",$A151&lt;=29),"",--MID('Key Analysis'!$C147,$A151-29,1))</f>
        <v/>
      </c>
      <c r="AG151" s="29" t="str">
        <f>IF(OR($B151="",$A151&lt;=30),"",--MID('Key Analysis'!$C147,$A151-30,1))</f>
        <v/>
      </c>
      <c r="AH151" s="29" t="str">
        <f>IF(OR($B151="",$A151&lt;=31),"",--MID('Key Analysis'!$C147,$A151-31,1))</f>
        <v/>
      </c>
      <c r="AI151" s="29" t="str">
        <f>IF(OR($B151="",$A151&lt;=32),"",--MID('Key Analysis'!$C147,$A151-32,1))</f>
        <v/>
      </c>
      <c r="AJ151" s="29" t="str">
        <f>IF(OR($B151="",$A151&lt;=33),"",--MID('Key Analysis'!$C147,$A151-33,1))</f>
        <v/>
      </c>
      <c r="AK151" s="29" t="str">
        <f>IF(OR($B151="",$A151&lt;=34),"",--MID('Key Analysis'!$C147,$A151-34,1))</f>
        <v/>
      </c>
      <c r="AL151" s="29" t="str">
        <f>IF(OR($B151="",$A151&lt;=35),"",--MID('Key Analysis'!$C147,$A151-35,1))</f>
        <v/>
      </c>
      <c r="AM151" s="29" t="str">
        <f>IF(OR($B151="",$A151&lt;=36),"",--MID('Key Analysis'!$C147,$A151-36,1))</f>
        <v/>
      </c>
      <c r="AN151" s="29" t="str">
        <f>IF(OR($B151="",$A151&lt;=37),"",--MID('Key Analysis'!$C147,$A151-37,1))</f>
        <v/>
      </c>
      <c r="AO151" s="29" t="str">
        <f>IF(OR($B151="",$A151&lt;=38),"",--MID('Key Analysis'!$C147,$A151-38,1))</f>
        <v/>
      </c>
      <c r="AP151" s="29" t="str">
        <f>IF(OR($B151="",$A151&lt;=39),"",--MID('Key Analysis'!$C147,$A151-39,1))</f>
        <v/>
      </c>
      <c r="AQ151" s="29" t="str">
        <f>IF(OR($B151="",$A151&lt;=40),"",--MID('Key Analysis'!$C147,$A151-40,1))</f>
        <v/>
      </c>
      <c r="AR151" s="29" t="str">
        <f>IF(OR($B151="",$A151&lt;=41),"",--MID('Key Analysis'!$C147,$A151-41,1))</f>
        <v/>
      </c>
      <c r="AS151" s="29" t="str">
        <f>IF(OR($B151="",$A151&lt;=42),"",--MID('Key Analysis'!$C147,$A151-42,1))</f>
        <v/>
      </c>
      <c r="AT151" s="29" t="str">
        <f>IF(OR($B151="",$A151&lt;=43),"",--MID('Key Analysis'!$C147,$A151-43,1))</f>
        <v/>
      </c>
      <c r="AU151" s="29" t="str">
        <f>IF(OR($B151="",$A151&lt;=44),"",--MID('Key Analysis'!$C147,$A151-44,1))</f>
        <v/>
      </c>
      <c r="AV151" s="29" t="str">
        <f>IF(OR($B151="",$A151&lt;=45),"",--MID('Key Analysis'!$C147,$A151-45,1))</f>
        <v/>
      </c>
      <c r="AW151" s="29" t="str">
        <f>IF(OR($B151="",$A151&lt;=46),"",--MID('Key Analysis'!$C147,$A151-46,1))</f>
        <v/>
      </c>
      <c r="AX151" s="29" t="str">
        <f>IF(OR($B151="",$A151&lt;=47),"",--MID('Key Analysis'!$C147,$A151-47,1))</f>
        <v/>
      </c>
      <c r="AY151" s="29" t="str">
        <f>IF(OR($B151="",$A151&lt;=48),"",--MID('Key Analysis'!$C147,$A151-48,1))</f>
        <v/>
      </c>
      <c r="AZ151" s="29" t="str">
        <f>IF(OR($B151="",$A151&lt;=49),"",--MID('Key Analysis'!$C147,$A151-49,1))</f>
        <v/>
      </c>
      <c r="BA151" s="29" t="str">
        <f>IF(OR($B151="",$A151&lt;=50),"",--MID('Key Analysis'!$C147,$A151-50,1))</f>
        <v/>
      </c>
      <c r="BB151" s="29" t="str">
        <f>IF(OR($B151="",$A151&lt;=51),"",--MID('Key Analysis'!$C147,$A151-51,1))</f>
        <v/>
      </c>
      <c r="BC151" s="29" t="str">
        <f>IF(OR($B151="",$A151&lt;=52),"",--MID('Key Analysis'!$C147,$A151-52,1))</f>
        <v/>
      </c>
      <c r="BD151" s="29" t="str">
        <f>IF(OR($B151="",$A151&lt;=53),"",--MID('Key Analysis'!$C147,$A151-53,1))</f>
        <v/>
      </c>
      <c r="BE151" s="29" t="str">
        <f>IF(OR($B151="",$A151&lt;=54),"",--MID('Key Analysis'!$C147,$A151-54,1))</f>
        <v/>
      </c>
      <c r="BF151" s="29" t="str">
        <f>IF(OR($B151="",$A151&lt;=55),"",--MID('Key Analysis'!$C147,$A151-55,1))</f>
        <v/>
      </c>
      <c r="BG151" s="29" t="str">
        <f>IF(OR($B151="",$A151&lt;=56),"",--MID('Key Analysis'!$C147,$A151-56,1))</f>
        <v/>
      </c>
      <c r="BH151" s="29" t="str">
        <f>IF(OR($B151="",$A151&lt;=57),"",--MID('Key Analysis'!$C147,$A151-57,1))</f>
        <v/>
      </c>
      <c r="BI151" s="29" t="str">
        <f>IF(OR($B151="",$A151&lt;=58),"",--MID('Key Analysis'!$C147,$A151-58,1))</f>
        <v/>
      </c>
      <c r="BJ151" s="29" t="str">
        <f>IF(OR($B151="",$A151&lt;=59),"",--MID('Key Analysis'!$C147,$A151-59,1))</f>
        <v/>
      </c>
      <c r="BK151" s="29" t="str">
        <f>IF(OR($B151="",$A151&lt;=60),"",--MID('Key Analysis'!$C147,$A151-60,1))</f>
        <v/>
      </c>
      <c r="BL151" s="29" t="str">
        <f>IF(OR($B151="",$A151&lt;=61),"",--MID('Key Analysis'!$C147,$A151-61,1))</f>
        <v/>
      </c>
      <c r="BM151" s="29" t="str">
        <f>IF(OR($B151="",$A151&lt;=62),"",--MID('Key Analysis'!$C147,$A151-62,1))</f>
        <v/>
      </c>
      <c r="BN151" s="29" t="str">
        <f>IF(OR($B151="",$A151&lt;=63),"",--MID('Key Analysis'!$C147,$A151-63,1))</f>
        <v/>
      </c>
      <c r="BO151" s="29" t="str">
        <f>IF(OR($B151="",$A151&lt;=64),"",--MID('Key Analysis'!$C147,$A151-64,1))</f>
        <v/>
      </c>
      <c r="BP151" s="29" t="str">
        <f>IF(OR($B151="",$A151&lt;=65),"",--MID('Key Analysis'!$C147,$A151-65,1))</f>
        <v/>
      </c>
      <c r="BQ151" s="29" t="str">
        <f>IF(OR($B151="",$A151&lt;=66),"",--MID('Key Analysis'!$C147,$A151-66,1))</f>
        <v/>
      </c>
      <c r="BR151" s="29" t="str">
        <f>IF(OR($B151="",$A151&lt;=67),"",--MID('Key Analysis'!$C147,$A151-67,1))</f>
        <v/>
      </c>
      <c r="BS151" s="29" t="str">
        <f>IF(OR($B151="",$A151&lt;=68),"",--MID('Key Analysis'!$C147,$A151-68,1))</f>
        <v/>
      </c>
      <c r="BT151" s="29" t="str">
        <f>IF(OR($B151="",$A151&lt;=69),"",--MID('Key Analysis'!$C147,$A151-69,1))</f>
        <v/>
      </c>
      <c r="BU151" s="29" t="str">
        <f>IF(OR($B151="",$A151&lt;=70),"",--MID('Key Analysis'!$C147,$A151-70,1))</f>
        <v/>
      </c>
      <c r="BV151" s="29" t="str">
        <f>IF(OR($B151="",$A151&lt;=71),"",--MID('Key Analysis'!$C147,$A151-71,1))</f>
        <v/>
      </c>
      <c r="BW151" s="29" t="str">
        <f>IF(OR($B151="",$A151&lt;=72),"",--MID('Key Analysis'!$C147,$A151-72,1))</f>
        <v/>
      </c>
      <c r="BX151" s="29" t="str">
        <f>IF(OR($B151="",$A151&lt;=73),"",--MID('Key Analysis'!$C147,$A151-73,1))</f>
        <v/>
      </c>
      <c r="BY151" s="29" t="str">
        <f>IF(OR($B151="",$A151&lt;=74),"",--MID('Key Analysis'!$C147,$A151-74,1))</f>
        <v/>
      </c>
      <c r="BZ151" s="29" t="str">
        <f>IF(OR($B151="",$A151&lt;=75),"",--MID('Key Analysis'!$C147,$A151-75,1))</f>
        <v/>
      </c>
      <c r="CA151" s="29" t="str">
        <f>IF(OR($B151="",$A151&lt;=76),"",--MID('Key Analysis'!$C147,$A151-76,1))</f>
        <v/>
      </c>
      <c r="CB151" s="29" t="str">
        <f>IF(OR($B151="",$A151&lt;=77),"",--MID('Key Analysis'!$C147,$A151-77,1))</f>
        <v/>
      </c>
      <c r="CC151" s="29" t="str">
        <f>IF(OR($B151="",$A151&lt;=78),"",--MID('Key Analysis'!$C147,$A151-78,1))</f>
        <v/>
      </c>
      <c r="CD151" s="29" t="str">
        <f>IF(OR($B151="",$A151&lt;=79),"",--MID('Key Analysis'!$C147,$A151-79,1))</f>
        <v/>
      </c>
      <c r="CE151" s="29" t="str">
        <f>IF(OR($B151="",$A151&lt;=80),"",--MID('Key Analysis'!$C147,$A151-80,1))</f>
        <v/>
      </c>
      <c r="CF151" s="29" t="str">
        <f>IF(OR($B151="",$A151&lt;=81),"",--MID('Key Analysis'!$C147,$A151-81,1))</f>
        <v/>
      </c>
      <c r="CG151" s="29" t="str">
        <f>IF(OR($B151="",$A151&lt;=82),"",--MID('Key Analysis'!$C147,$A151-82,1))</f>
        <v/>
      </c>
      <c r="CH151" s="29" t="str">
        <f>IF(OR($B151="",$A151&lt;=83),"",--MID('Key Analysis'!$C147,$A151-83,1))</f>
        <v/>
      </c>
      <c r="CI151" s="29" t="str">
        <f>IF(OR($B151="",$A151&lt;=84),"",--MID('Key Analysis'!$C147,$A151-84,1))</f>
        <v/>
      </c>
      <c r="CJ151" s="29" t="str">
        <f>IF(OR($B151="",$A151&lt;=85),"",--MID('Key Analysis'!$C147,$A151-85,1))</f>
        <v/>
      </c>
      <c r="CK151" s="29" t="str">
        <f>IF(OR($B151="",$A151&lt;=86),"",--MID('Key Analysis'!$C147,$A151-86,1))</f>
        <v/>
      </c>
      <c r="CL151" s="29" t="str">
        <f>IF(OR($B151="",$A151&lt;=87),"",--MID('Key Analysis'!$C147,$A151-87,1))</f>
        <v/>
      </c>
      <c r="CM151" s="29" t="str">
        <f>IF(OR($B151="",$A151&lt;=88),"",--MID('Key Analysis'!$C147,$A151-88,1))</f>
        <v/>
      </c>
      <c r="CN151" s="29" t="str">
        <f>IF(OR($B151="",$A151&lt;=89),"",--MID('Key Analysis'!$C147,$A151-89,1))</f>
        <v/>
      </c>
      <c r="CO151" s="29" t="str">
        <f>IF(OR($B151="",$A151&lt;=90),"",--MID('Key Analysis'!$C147,$A151-90,1))</f>
        <v/>
      </c>
      <c r="CP151" s="29" t="str">
        <f>IF(OR($B151="",$A151&lt;=91),"",--MID('Key Analysis'!$C147,$A151-91,1))</f>
        <v/>
      </c>
      <c r="CQ151" s="29" t="str">
        <f>IF(OR($B151="",$A151&lt;=92),"",--MID('Key Analysis'!$C147,$A151-92,1))</f>
        <v/>
      </c>
      <c r="CR151" s="29" t="str">
        <f>IF(OR($B151="",$A151&lt;=93),"",--MID('Key Analysis'!$C147,$A151-93,1))</f>
        <v/>
      </c>
      <c r="CS151" s="29" t="str">
        <f>IF(OR($B151="",$A151&lt;=94),"",--MID('Key Analysis'!$C147,$A151-94,1))</f>
        <v/>
      </c>
      <c r="CT151" s="29" t="str">
        <f>IF(OR($B151="",$A151&lt;=95),"",--MID('Key Analysis'!$C147,$A151-95,1))</f>
        <v/>
      </c>
      <c r="CU151" s="29" t="str">
        <f>IF(OR($B151="",$A151&lt;=96),"",--MID('Key Analysis'!$C147,$A151-96,1))</f>
        <v/>
      </c>
      <c r="CV151" s="29" t="str">
        <f>IF(OR($B151="",$A151&lt;=97),"",--MID('Key Analysis'!$C147,$A151-97,1))</f>
        <v/>
      </c>
      <c r="CW151" s="29" t="str">
        <f>IF(OR($B151="",$A151&lt;=98),"",--MID('Key Analysis'!$C147,$A151-98,1))</f>
        <v/>
      </c>
      <c r="CX151" s="29" t="str">
        <f>IF(OR($B151="",$A151&lt;=99),"",--MID('Key Analysis'!$C147,$A151-99,1))</f>
        <v/>
      </c>
      <c r="CY151" s="29" t="str">
        <f>IF(OR($B151="",$A151&lt;=100),"",--MID('Key Analysis'!$C147,$A151-100,1))</f>
        <v/>
      </c>
      <c r="CZ151" s="29" t="str">
        <f>IF(OR($B151="",$A151&lt;=101),"",--MID('Key Analysis'!$C147,$A151-101,1))</f>
        <v/>
      </c>
      <c r="DA151" s="29" t="str">
        <f>IF(OR($B151="",$A151&lt;=102),"",--MID('Key Analysis'!$C147,$A151-102,1))</f>
        <v/>
      </c>
      <c r="DB151" s="29" t="str">
        <f>IF(OR($B151="",$A151&lt;=103),"",--MID('Key Analysis'!$C147,$A151-103,1))</f>
        <v/>
      </c>
      <c r="DC151" s="29" t="str">
        <f>IF(OR($B151="",$A151&lt;=104),"",--MID('Key Analysis'!$C147,$A151-104,1))</f>
        <v/>
      </c>
      <c r="DD151" s="29" t="str">
        <f>IF(OR($B151="",$A151&lt;=105),"",--MID('Key Analysis'!$C147,$A151-105,1))</f>
        <v/>
      </c>
      <c r="DE151" s="29" t="str">
        <f>IF(OR($B151="",$A151&lt;=106),"",--MID('Key Analysis'!$C147,$A151-106,1))</f>
        <v/>
      </c>
      <c r="DF151" s="29" t="str">
        <f>IF(OR($B151="",$A151&lt;=107),"",--MID('Key Analysis'!$C147,$A151-107,1))</f>
        <v/>
      </c>
      <c r="DG151" s="29" t="str">
        <f>IF(OR($B151="",$A151&lt;=108),"",--MID('Key Analysis'!$C147,$A151-108,1))</f>
        <v/>
      </c>
      <c r="DH151" s="29" t="str">
        <f>IF(OR($B151="",$A151&lt;=109),"",--MID('Key Analysis'!$C147,$A151-109,1))</f>
        <v/>
      </c>
      <c r="DI151" s="29" t="str">
        <f>IF(OR($B151="",$A151&lt;=110),"",--MID('Key Analysis'!$C147,$A151-110,1))</f>
        <v/>
      </c>
      <c r="DJ151" s="29" t="str">
        <f>IF(OR($B151="",$A151&lt;=111),"",--MID('Key Analysis'!$C147,$A151-111,1))</f>
        <v/>
      </c>
      <c r="DK151" s="29" t="str">
        <f>IF(OR($B151="",$A151&lt;=112),"",--MID('Key Analysis'!$C147,$A151-112,1))</f>
        <v/>
      </c>
      <c r="DL151" s="29" t="str">
        <f>IF(OR($B151="",$A151&lt;=113),"",--MID('Key Analysis'!$C147,$A151-113,1))</f>
        <v/>
      </c>
      <c r="DM151" s="29" t="str">
        <f>IF(OR($B151="",$A151&lt;=114),"",--MID('Key Analysis'!$C147,$A151-114,1))</f>
        <v/>
      </c>
      <c r="DN151" s="29" t="str">
        <f>IF(OR($B151="",$A151&lt;=115),"",--MID('Key Analysis'!$C147,$A151-115,1))</f>
        <v/>
      </c>
      <c r="DO151" s="29" t="str">
        <f>IF(OR($B151="",$A151&lt;=116),"",--MID('Key Analysis'!$C147,$A151-116,1))</f>
        <v/>
      </c>
      <c r="DP151" s="29" t="str">
        <f>IF(OR($B151="",$A151&lt;=117),"",--MID('Key Analysis'!$C147,$A151-117,1))</f>
        <v/>
      </c>
      <c r="DQ151" s="29" t="str">
        <f>IF(OR($B151="",$A151&lt;=118),"",--MID('Key Analysis'!$C147,$A151-118,1))</f>
        <v/>
      </c>
      <c r="DR151" s="29" t="str">
        <f>IF(OR($B151="",$A151&lt;=119),"",--MID('Key Analysis'!$C147,$A151-119,1))</f>
        <v/>
      </c>
      <c r="DS151" s="29" t="str">
        <f>IF(OR($B151="",$A151&lt;=120),"",--MID('Key Analysis'!$C147,$A151-120,1))</f>
        <v/>
      </c>
      <c r="DT151" s="29" t="str">
        <f>IF(OR($B151="",$A151&lt;=121),"",--MID('Key Analysis'!$C147,$A151-121,1))</f>
        <v/>
      </c>
      <c r="DU151" s="29" t="str">
        <f>IF(OR($B151="",$A151&lt;=122),"",--MID('Key Analysis'!$C147,$A151-122,1))</f>
        <v/>
      </c>
      <c r="DV151" s="29" t="str">
        <f>IF(OR($B151="",$A151&lt;=123),"",--MID('Key Analysis'!$C147,$A151-123,1))</f>
        <v/>
      </c>
      <c r="DW151" s="29" t="str">
        <f>IF(OR($B151="",$A151&lt;=124),"",--MID('Key Analysis'!$C147,$A151-124,1))</f>
        <v/>
      </c>
      <c r="DX151" s="29" t="str">
        <f>IF(OR($B151="",$A151&lt;=125),"",--MID('Key Analysis'!$C147,$A151-125,1))</f>
        <v/>
      </c>
      <c r="DY151" s="29" t="str">
        <f>IF(OR($B151="",$A151&lt;=126),"",--MID('Key Analysis'!$C147,$A151-126,1))</f>
        <v/>
      </c>
      <c r="DZ151" s="29" t="str">
        <f>IF(OR($B151="",$A151&lt;=127),"",--MID('Key Analysis'!$C147,$A151-127,1))</f>
        <v/>
      </c>
      <c r="EA151" s="29" t="str">
        <f>IF(OR($B151="",$A151&lt;=128),"",--MID('Key Analysis'!$C147,$A151-128,1))</f>
        <v/>
      </c>
      <c r="EB151" s="29" t="str">
        <f>IF(OR($B151="",$A151&lt;=129),"",--MID('Key Analysis'!$C147,$A151-129,1))</f>
        <v/>
      </c>
      <c r="EC151" s="29" t="str">
        <f>IF(OR($B151="",$A151&lt;=130),"",--MID('Key Analysis'!$C147,$A151-130,1))</f>
        <v/>
      </c>
      <c r="ED151" s="29" t="str">
        <f>IF(OR($B151="",$A151&lt;=131),"",--MID('Key Analysis'!$C147,$A151-131,1))</f>
        <v/>
      </c>
      <c r="EE151" s="29" t="str">
        <f>IF(OR($B151="",$A151&lt;=132),"",--MID('Key Analysis'!$C147,$A151-132,1))</f>
        <v/>
      </c>
      <c r="EF151" s="29" t="str">
        <f>IF(OR($B151="",$A151&lt;=133),"",--MID('Key Analysis'!$C147,$A151-133,1))</f>
        <v/>
      </c>
      <c r="EG151" s="29" t="str">
        <f>IF(OR($B151="",$A151&lt;=134),"",--MID('Key Analysis'!$C147,$A151-134,1))</f>
        <v/>
      </c>
      <c r="EH151" s="29"/>
      <c r="EI151" s="29" t="str">
        <f>IF(OR($B151="",$A151&lt;1),"",--MID('Key Analysis'!$C147,1,1))</f>
        <v/>
      </c>
      <c r="EJ151" s="29" t="str">
        <f>IF(OR($B151="",$A151&lt;2),"",--MID('Key Analysis'!$C147,2,1))</f>
        <v/>
      </c>
      <c r="EK151" s="29" t="str">
        <f>IF(OR($B151="",$A151&lt;3),"",--MID('Key Analysis'!$C147,3,1))</f>
        <v/>
      </c>
      <c r="EL151" s="29" t="str">
        <f>IF(OR($B151="",$A151&lt;4),"",--MID('Key Analysis'!$C147,4,1))</f>
        <v/>
      </c>
      <c r="EM151" s="29" t="str">
        <f>IF(OR($B151="",$A151&lt;5),"",--MID('Key Analysis'!$C147,5,1))</f>
        <v/>
      </c>
      <c r="EN151" s="29" t="str">
        <f>IF(OR($B151="",$A151&lt;6),"",--MID('Key Analysis'!$C147,6,1))</f>
        <v/>
      </c>
      <c r="EO151" s="29" t="str">
        <f>IF(OR($B151="",$A151&lt;7),"",--MID('Key Analysis'!$C147,7,1))</f>
        <v/>
      </c>
      <c r="EP151" s="29" t="str">
        <f>IF(OR($B151="",$A151&lt;8),"",--MID('Key Analysis'!$C147,8,1))</f>
        <v/>
      </c>
      <c r="EQ151" s="29" t="str">
        <f>IF(OR($B151="",$A151&lt;9),"",--MID('Key Analysis'!$C147,9,1))</f>
        <v/>
      </c>
      <c r="ER151" s="29" t="str">
        <f>IF(OR($B151="",$A151&lt;10),"",--MID('Key Analysis'!$C147,10,1))</f>
        <v/>
      </c>
      <c r="ES151" s="29" t="str">
        <f>IF(OR($B151="",$A151&lt;11),"",--MID('Key Analysis'!$C147,11,1))</f>
        <v/>
      </c>
      <c r="ET151" s="29" t="str">
        <f>IF(OR($B151="",$A151&lt;12),"",--MID('Key Analysis'!$C147,12,1))</f>
        <v/>
      </c>
      <c r="EU151" s="29" t="str">
        <f>IF(OR($B151="",$A151&lt;13),"",--MID('Key Analysis'!$C147,13,1))</f>
        <v/>
      </c>
      <c r="EV151" s="29" t="str">
        <f>IF(OR($B151="",$A151&lt;14),"",--MID('Key Analysis'!$C147,14,1))</f>
        <v/>
      </c>
      <c r="EW151" s="29" t="str">
        <f>IF(OR($B151="",$A151&lt;15),"",--MID('Key Analysis'!$C147,15,1))</f>
        <v/>
      </c>
      <c r="EX151" s="29" t="str">
        <f>IF(OR($B151="",$A151&lt;16),"",--MID('Key Analysis'!$C147,16,1))</f>
        <v/>
      </c>
      <c r="EY151" s="29" t="str">
        <f>IF(OR($B151="",$A151&lt;17),"",--MID('Key Analysis'!$C147,17,1))</f>
        <v/>
      </c>
      <c r="EZ151" s="29" t="str">
        <f>IF(OR($B151="",$A151&lt;18),"",--MID('Key Analysis'!$C147,18,1))</f>
        <v/>
      </c>
      <c r="FA151" s="29" t="str">
        <f>IF(OR($B151="",$A151&lt;19),"",--MID('Key Analysis'!$C147,19,1))</f>
        <v/>
      </c>
      <c r="FB151" s="29" t="str">
        <f>IF(OR($B151="",$A151&lt;20),"",--MID('Key Analysis'!$C147,20,1))</f>
        <v/>
      </c>
      <c r="FC151" s="29" t="str">
        <f>IF(OR($B151="",$A151&lt;21),"",--MID('Key Analysis'!$C147,21,1))</f>
        <v/>
      </c>
      <c r="FD151" s="29" t="str">
        <f>IF(OR($B151="",$A151&lt;22),"",--MID('Key Analysis'!$C147,22,1))</f>
        <v/>
      </c>
      <c r="FE151" s="29" t="str">
        <f>IF(OR($B151="",$A151&lt;23),"",--MID('Key Analysis'!$C147,23,1))</f>
        <v/>
      </c>
      <c r="FF151" s="29" t="str">
        <f>IF(OR($B151="",$A151&lt;24),"",--MID('Key Analysis'!$C147,24,1))</f>
        <v/>
      </c>
      <c r="FG151" s="29" t="str">
        <f>IF(OR($B151="",$A151&lt;25),"",--MID('Key Analysis'!$C147,25,1))</f>
        <v/>
      </c>
      <c r="FH151" s="29" t="str">
        <f>IF(OR($B151="",$A151&lt;26),"",--MID('Key Analysis'!$C147,26,1))</f>
        <v/>
      </c>
      <c r="FI151" s="29" t="str">
        <f>IF(OR($B151="",$A151&lt;27),"",--MID('Key Analysis'!$C147,27,1))</f>
        <v/>
      </c>
      <c r="FJ151" s="29" t="str">
        <f>IF(OR($B151="",$A151&lt;28),"",--MID('Key Analysis'!$C147,28,1))</f>
        <v/>
      </c>
      <c r="FK151" s="29" t="str">
        <f>IF(OR($B151="",$A151&lt;29),"",--MID('Key Analysis'!$C147,29,1))</f>
        <v/>
      </c>
      <c r="FL151" s="29" t="str">
        <f>IF(OR($B151="",$A151&lt;30),"",--MID('Key Analysis'!$C147,30,1))</f>
        <v/>
      </c>
      <c r="FM151" s="29" t="str">
        <f>IF(OR($B151="",$A151&lt;31),"",--MID('Key Analysis'!$C147,31,1))</f>
        <v/>
      </c>
      <c r="FN151" s="29" t="str">
        <f>IF(OR($B151="",$A151&lt;32),"",--MID('Key Analysis'!$C147,32,1))</f>
        <v/>
      </c>
      <c r="FO151" s="29" t="str">
        <f>IF(OR($B151="",$A151&lt;33),"",--MID('Key Analysis'!$C147,33,1))</f>
        <v/>
      </c>
      <c r="FP151" s="29" t="str">
        <f>IF(OR($B151="",$A151&lt;34),"",--MID('Key Analysis'!$C147,34,1))</f>
        <v/>
      </c>
      <c r="FQ151" s="29" t="str">
        <f>IF(OR($B151="",$A151&lt;35),"",--MID('Key Analysis'!$C147,35,1))</f>
        <v/>
      </c>
      <c r="FR151" s="29" t="str">
        <f>IF(OR($B151="",$A151&lt;36),"",--MID('Key Analysis'!$C147,36,1))</f>
        <v/>
      </c>
      <c r="FS151" s="29" t="str">
        <f>IF(OR($B151="",$A151&lt;37),"",--MID('Key Analysis'!$C147,37,1))</f>
        <v/>
      </c>
      <c r="FT151" s="29" t="str">
        <f>IF(OR($B151="",$A151&lt;38),"",--MID('Key Analysis'!$C147,38,1))</f>
        <v/>
      </c>
      <c r="FU151" s="29" t="str">
        <f>IF(OR($B151="",$A151&lt;39),"",--MID('Key Analysis'!$C147,39,1))</f>
        <v/>
      </c>
      <c r="FV151" s="29" t="str">
        <f>IF(OR($B151="",$A151&lt;40),"",--MID('Key Analysis'!$C147,40,1))</f>
        <v/>
      </c>
      <c r="FW151" s="29" t="str">
        <f>IF(OR($B151="",$A151&lt;41),"",--MID('Key Analysis'!$C147,41,1))</f>
        <v/>
      </c>
      <c r="FX151" s="29" t="str">
        <f>IF(OR($B151="",$A151&lt;42),"",--MID('Key Analysis'!$C147,42,1))</f>
        <v/>
      </c>
      <c r="FY151" s="29" t="str">
        <f>IF(OR($B151="",$A151&lt;43),"",--MID('Key Analysis'!$C147,43,1))</f>
        <v/>
      </c>
      <c r="FZ151" s="29" t="str">
        <f>IF(OR($B151="",$A151&lt;44),"",--MID('Key Analysis'!$C147,44,1))</f>
        <v/>
      </c>
      <c r="GA151" s="29" t="str">
        <f>IF(OR($B151="",$A151&lt;45),"",--MID('Key Analysis'!$C147,45,1))</f>
        <v/>
      </c>
      <c r="GB151" s="29" t="str">
        <f>IF(OR($B151="",$A151&lt;46),"",--MID('Key Analysis'!$C147,46,1))</f>
        <v/>
      </c>
      <c r="GC151" s="29" t="str">
        <f>IF(OR($B151="",$A151&lt;47),"",--MID('Key Analysis'!$C147,47,1))</f>
        <v/>
      </c>
      <c r="GD151" s="29" t="str">
        <f>IF(OR($B151="",$A151&lt;48),"",--MID('Key Analysis'!$C147,48,1))</f>
        <v/>
      </c>
      <c r="GE151" s="29" t="str">
        <f>IF(OR($B151="",$A151&lt;49),"",--MID('Key Analysis'!$C147,49,1))</f>
        <v/>
      </c>
      <c r="GF151" s="29" t="str">
        <f>IF(OR($B151="",$A151&lt;50),"",--MID('Key Analysis'!$C147,50,1))</f>
        <v/>
      </c>
      <c r="GG151" s="29" t="str">
        <f>IF(OR($B151="",$A151&lt;51),"",--MID('Key Analysis'!$C147,51,1))</f>
        <v/>
      </c>
      <c r="GH151" s="29" t="str">
        <f>IF(OR($B151="",$A151&lt;52),"",--MID('Key Analysis'!$C147,52,1))</f>
        <v/>
      </c>
      <c r="GI151" s="29" t="str">
        <f>IF(OR($B151="",$A151&lt;53),"",--MID('Key Analysis'!$C147,53,1))</f>
        <v/>
      </c>
      <c r="GJ151" s="29" t="str">
        <f>IF(OR($B151="",$A151&lt;54),"",--MID('Key Analysis'!$C147,54,1))</f>
        <v/>
      </c>
      <c r="GK151" s="29" t="str">
        <f>IF(OR($B151="",$A151&lt;55),"",--MID('Key Analysis'!$C147,55,1))</f>
        <v/>
      </c>
      <c r="GL151" s="29" t="str">
        <f>IF(OR($B151="",$A151&lt;56),"",--MID('Key Analysis'!$C147,56,1))</f>
        <v/>
      </c>
      <c r="GM151" s="29" t="str">
        <f>IF(OR($B151="",$A151&lt;57),"",--MID('Key Analysis'!$C147,57,1))</f>
        <v/>
      </c>
      <c r="GN151" s="29" t="str">
        <f>IF(OR($B151="",$A151&lt;58),"",--MID('Key Analysis'!$C147,58,1))</f>
        <v/>
      </c>
      <c r="GO151" s="29" t="str">
        <f>IF(OR($B151="",$A151&lt;59),"",--MID('Key Analysis'!$C147,59,1))</f>
        <v/>
      </c>
      <c r="GP151" s="29" t="str">
        <f>IF(OR($B151="",$A151&lt;60),"",--MID('Key Analysis'!$C147,60,1))</f>
        <v/>
      </c>
      <c r="GQ151" s="29" t="str">
        <f>IF(OR($B151="",$A151&lt;61),"",--MID('Key Analysis'!$C147,61,1))</f>
        <v/>
      </c>
      <c r="GR151" s="29" t="str">
        <f>IF(OR($B151="",$A151&lt;62),"",--MID('Key Analysis'!$C147,62,1))</f>
        <v/>
      </c>
      <c r="GS151" s="29" t="str">
        <f>IF(OR($B151="",$A151&lt;63),"",--MID('Key Analysis'!$C147,63,1))</f>
        <v/>
      </c>
      <c r="GT151" s="29" t="str">
        <f>IF(OR($B151="",$A151&lt;64),"",--MID('Key Analysis'!$C147,64,1))</f>
        <v/>
      </c>
      <c r="GU151" s="29" t="str">
        <f>IF(OR($B151="",$A151&lt;65),"",--MID('Key Analysis'!$C147,65,1))</f>
        <v/>
      </c>
      <c r="GV151" s="29" t="str">
        <f>IF(OR($B151="",$A151&lt;66),"",--MID('Key Analysis'!$C147,66,1))</f>
        <v/>
      </c>
      <c r="GW151" s="29" t="str">
        <f>IF(OR($B151="",$A151&lt;67),"",--MID('Key Analysis'!$C147,67,1))</f>
        <v/>
      </c>
      <c r="GX151" s="29" t="str">
        <f>IF(OR($B151="",$A151&lt;68),"",--MID('Key Analysis'!$C147,68,1))</f>
        <v/>
      </c>
      <c r="GY151" s="29" t="str">
        <f>IF(OR($B151="",$A151&lt;69),"",--MID('Key Analysis'!$C147,69,1))</f>
        <v/>
      </c>
      <c r="GZ151" s="29" t="str">
        <f>IF(OR($B151="",$A151&lt;70),"",--MID('Key Analysis'!$C147,70,1))</f>
        <v/>
      </c>
      <c r="HA151" s="29" t="str">
        <f>IF(OR($B151="",$A151&lt;71),"",--MID('Key Analysis'!$C147,71,1))</f>
        <v/>
      </c>
      <c r="HB151" s="29" t="str">
        <f>IF(OR($B151="",$A151&lt;72),"",--MID('Key Analysis'!$C147,72,1))</f>
        <v/>
      </c>
      <c r="HC151" s="29" t="str">
        <f>IF(OR($B151="",$A151&lt;73),"",--MID('Key Analysis'!$C147,73,1))</f>
        <v/>
      </c>
      <c r="HD151" s="29" t="str">
        <f>IF(OR($B151="",$A151&lt;74),"",--MID('Key Analysis'!$C147,74,1))</f>
        <v/>
      </c>
      <c r="HE151" s="29" t="str">
        <f>IF(OR($B151="",$A151&lt;75),"",--MID('Key Analysis'!$C147,75,1))</f>
        <v/>
      </c>
      <c r="HF151" s="29" t="str">
        <f>IF(OR($B151="",$A151&lt;76),"",--MID('Key Analysis'!$C147,76,1))</f>
        <v/>
      </c>
      <c r="HG151" s="29" t="str">
        <f>IF(OR($B151="",$A151&lt;77),"",--MID('Key Analysis'!$C147,77,1))</f>
        <v/>
      </c>
      <c r="HH151" s="29" t="str">
        <f>IF(OR($B151="",$A151&lt;78),"",--MID('Key Analysis'!$C147,78,1))</f>
        <v/>
      </c>
      <c r="HI151" s="29" t="str">
        <f>IF(OR($B151="",$A151&lt;79),"",--MID('Key Analysis'!$C147,79,1))</f>
        <v/>
      </c>
      <c r="HJ151" s="29" t="str">
        <f>IF(OR($B151="",$A151&lt;80),"",--MID('Key Analysis'!$C147,80,1))</f>
        <v/>
      </c>
      <c r="HK151" s="29" t="str">
        <f>IF(OR($B151="",$A151&lt;81),"",--MID('Key Analysis'!$C147,81,1))</f>
        <v/>
      </c>
      <c r="HL151" s="29" t="str">
        <f>IF(OR($B151="",$A151&lt;82),"",--MID('Key Analysis'!$C147,82,1))</f>
        <v/>
      </c>
      <c r="HM151" s="29" t="str">
        <f>IF(OR($B151="",$A151&lt;83),"",--MID('Key Analysis'!$C147,83,1))</f>
        <v/>
      </c>
      <c r="HN151" s="29" t="str">
        <f>IF(OR($B151="",$A151&lt;84),"",--MID('Key Analysis'!$C147,84,1))</f>
        <v/>
      </c>
      <c r="HO151" s="29" t="str">
        <f>IF(OR($B151="",$A151&lt;85),"",--MID('Key Analysis'!$C147,85,1))</f>
        <v/>
      </c>
      <c r="HP151" s="29" t="str">
        <f>IF(OR($B151="",$A151&lt;86),"",--MID('Key Analysis'!$C147,86,1))</f>
        <v/>
      </c>
      <c r="HQ151" s="29" t="str">
        <f>IF(OR($B151="",$A151&lt;87),"",--MID('Key Analysis'!$C147,87,1))</f>
        <v/>
      </c>
      <c r="HR151" s="29" t="str">
        <f>IF(OR($B151="",$A151&lt;88),"",--MID('Key Analysis'!$C147,88,1))</f>
        <v/>
      </c>
      <c r="HS151" s="29" t="str">
        <f>IF(OR($B151="",$A151&lt;89),"",--MID('Key Analysis'!$C147,89,1))</f>
        <v/>
      </c>
      <c r="HT151" s="29" t="str">
        <f>IF(OR($B151="",$A151&lt;90),"",--MID('Key Analysis'!$C147,90,1))</f>
        <v/>
      </c>
      <c r="HU151" s="29" t="str">
        <f>IF(OR($B151="",$A151&lt;91),"",--MID('Key Analysis'!$C147,91,1))</f>
        <v/>
      </c>
      <c r="HV151" s="29" t="str">
        <f>IF(OR($B151="",$A151&lt;92),"",--MID('Key Analysis'!$C147,92,1))</f>
        <v/>
      </c>
      <c r="HW151" s="29" t="str">
        <f>IF(OR($B151="",$A151&lt;93),"",--MID('Key Analysis'!$C147,93,1))</f>
        <v/>
      </c>
      <c r="HX151" s="29" t="str">
        <f>IF(OR($B151="",$A151&lt;94),"",--MID('Key Analysis'!$C147,94,1))</f>
        <v/>
      </c>
      <c r="HY151" s="29" t="str">
        <f>IF(OR($B151="",$A151&lt;95),"",--MID('Key Analysis'!$C147,95,1))</f>
        <v/>
      </c>
      <c r="HZ151" s="29" t="str">
        <f>IF(OR($B151="",$A151&lt;96),"",--MID('Key Analysis'!$C147,96,1))</f>
        <v/>
      </c>
      <c r="IA151" s="29" t="str">
        <f>IF(OR($B151="",$A151&lt;97),"",--MID('Key Analysis'!$C147,97,1))</f>
        <v/>
      </c>
      <c r="IB151" s="29" t="str">
        <f>IF(OR($B151="",$A151&lt;98),"",--MID('Key Analysis'!$C147,98,1))</f>
        <v/>
      </c>
      <c r="IC151" s="29" t="str">
        <f>IF(OR($B151="",$A151&lt;99),"",--MID('Key Analysis'!$C147,99,1))</f>
        <v/>
      </c>
      <c r="ID151" s="29" t="str">
        <f>IF(OR($B151="",$A151&lt;100),"",--MID('Key Analysis'!$C147,100,1))</f>
        <v/>
      </c>
      <c r="IE151" s="29" t="str">
        <f>IF(OR($B151="",$A151&lt;101),"",--MID('Key Analysis'!$C147,101,1))</f>
        <v/>
      </c>
      <c r="IF151" s="29" t="str">
        <f>IF(OR($B151="",$A151&lt;102),"",--MID('Key Analysis'!$C147,102,1))</f>
        <v/>
      </c>
      <c r="IG151" s="29" t="str">
        <f>IF(OR($B151="",$A151&lt;103),"",--MID('Key Analysis'!$C147,103,1))</f>
        <v/>
      </c>
      <c r="IH151" s="29" t="str">
        <f>IF(OR($B151="",$A151&lt;104),"",--MID('Key Analysis'!$C147,104,1))</f>
        <v/>
      </c>
      <c r="II151" s="29" t="str">
        <f>IF(OR($B151="",$A151&lt;105),"",--MID('Key Analysis'!$C147,105,1))</f>
        <v/>
      </c>
      <c r="IJ151" s="29" t="str">
        <f>IF(OR($B151="",$A151&lt;106),"",--MID('Key Analysis'!$C147,106,1))</f>
        <v/>
      </c>
      <c r="IK151" s="29" t="str">
        <f>IF(OR($B151="",$A151&lt;107),"",--MID('Key Analysis'!$C147,107,1))</f>
        <v/>
      </c>
      <c r="IL151" s="29" t="str">
        <f>IF(OR($B151="",$A151&lt;108),"",--MID('Key Analysis'!$C147,108,1))</f>
        <v/>
      </c>
      <c r="IM151" s="29" t="str">
        <f>IF(OR($B151="",$A151&lt;109),"",--MID('Key Analysis'!$C147,109,1))</f>
        <v/>
      </c>
      <c r="IN151" s="29" t="str">
        <f>IF(OR($B151="",$A151&lt;110),"",--MID('Key Analysis'!$C147,110,1))</f>
        <v/>
      </c>
      <c r="IO151" s="29" t="str">
        <f>IF(OR($B151="",$A151&lt;111),"",--MID('Key Analysis'!$C147,111,1))</f>
        <v/>
      </c>
      <c r="IP151" s="29" t="str">
        <f>IF(OR($B151="",$A151&lt;112),"",--MID('Key Analysis'!$C147,112,1))</f>
        <v/>
      </c>
      <c r="IQ151" s="29" t="str">
        <f>IF(OR($B151="",$A151&lt;113),"",--MID('Key Analysis'!$C147,113,1))</f>
        <v/>
      </c>
      <c r="IR151" s="29" t="str">
        <f>IF(OR($B151="",$A151&lt;114),"",--MID('Key Analysis'!$C147,114,1))</f>
        <v/>
      </c>
      <c r="IS151" s="29" t="str">
        <f>IF(OR($B151="",$A151&lt;115),"",--MID('Key Analysis'!$C147,115,1))</f>
        <v/>
      </c>
      <c r="IT151" s="29" t="str">
        <f>IF(OR($B151="",$A151&lt;116),"",--MID('Key Analysis'!$C147,116,1))</f>
        <v/>
      </c>
      <c r="IU151" s="29" t="str">
        <f>IF(OR($B151="",$A151&lt;117),"",--MID('Key Analysis'!$C147,117,1))</f>
        <v/>
      </c>
      <c r="IV151" s="29" t="str">
        <f>IF(OR($B151="",$A151&lt;118),"",--MID('Key Analysis'!$C147,118,1))</f>
        <v/>
      </c>
      <c r="IW151" s="29" t="str">
        <f>IF(OR($B151="",$A151&lt;119),"",--MID('Key Analysis'!$C147,119,1))</f>
        <v/>
      </c>
      <c r="IX151" s="29" t="str">
        <f>IF(OR($B151="",$A151&lt;120),"",--MID('Key Analysis'!$C147,120,1))</f>
        <v/>
      </c>
      <c r="IY151" s="29" t="str">
        <f>IF(OR($B151="",$A151&lt;121),"",--MID('Key Analysis'!$C147,121,1))</f>
        <v/>
      </c>
      <c r="IZ151" s="29" t="str">
        <f>IF(OR($B151="",$A151&lt;122),"",--MID('Key Analysis'!$C147,122,1))</f>
        <v/>
      </c>
      <c r="JA151" s="29" t="str">
        <f>IF(OR($B151="",$A151&lt;123),"",--MID('Key Analysis'!$C147,123,1))</f>
        <v/>
      </c>
      <c r="JB151" s="29" t="str">
        <f>IF(OR($B151="",$A151&lt;124),"",--MID('Key Analysis'!$C147,124,1))</f>
        <v/>
      </c>
      <c r="JC151" s="29" t="str">
        <f>IF(OR($B151="",$A151&lt;125),"",--MID('Key Analysis'!$C147,125,1))</f>
        <v/>
      </c>
      <c r="JD151" s="29" t="str">
        <f>IF(OR($B151="",$A151&lt;126),"",--MID('Key Analysis'!$C147,126,1))</f>
        <v/>
      </c>
      <c r="JE151" s="29" t="str">
        <f>IF(OR($B151="",$A151&lt;127),"",--MID('Key Analysis'!$C147,127,1))</f>
        <v/>
      </c>
      <c r="JF151" s="29" t="str">
        <f>IF(OR($B151="",$A151&lt;128),"",--MID('Key Analysis'!$C147,128,1))</f>
        <v/>
      </c>
      <c r="JG151" s="29" t="str">
        <f>IF(OR($B151="",$A151&lt;129),"",--MID('Key Analysis'!$C147,129,1))</f>
        <v/>
      </c>
      <c r="JH151" s="29" t="str">
        <f>IF(OR($B151="",$A151&lt;130),"",--MID('Key Analysis'!$C147,130,1))</f>
        <v/>
      </c>
      <c r="JI151" s="29" t="str">
        <f>IF(OR($B151="",$A151&lt;131),"",--MID('Key Analysis'!$C147,131,1))</f>
        <v/>
      </c>
      <c r="JJ151" s="29" t="str">
        <f>IF(OR($B151="",$A151&lt;132),"",--MID('Key Analysis'!$C147,132,1))</f>
        <v/>
      </c>
      <c r="JK151" s="29" t="str">
        <f>IF(OR($B151="",$A151&lt;133),"",--MID('Key Analysis'!$C147,133,1))</f>
        <v/>
      </c>
      <c r="JL151" s="29" t="str">
        <f>IF(OR($B151="",$A151&lt;134),"",--MID('Key Analysis'!$C147,134,1))</f>
        <v/>
      </c>
      <c r="JM151" s="29" t="str">
        <f>IF(OR($B151="",$A151&lt;135),"",--MID('Key Analysis'!$C147,135,1))</f>
        <v/>
      </c>
    </row>
    <row r="152" spans="1:273" x14ac:dyDescent="0.25">
      <c r="A152" s="21">
        <f>'Key Analysis'!A148</f>
        <v>147</v>
      </c>
      <c r="B152" s="30" t="str">
        <f>'Key Analysis'!B148</f>
        <v/>
      </c>
      <c r="C152" s="29" t="str">
        <f>IF(OR($B152="",$A152&lt;=0),"",--MID('Key Analysis'!$C148,$A152-0,1))</f>
        <v/>
      </c>
      <c r="D152" s="29" t="str">
        <f>IF(OR($B152="",$A152&lt;=1),"",--MID('Key Analysis'!$C148,$A152-1,1))</f>
        <v/>
      </c>
      <c r="E152" s="29" t="str">
        <f>IF(OR($B152="",$A152&lt;=2),"",--MID('Key Analysis'!$C148,$A152-2,1))</f>
        <v/>
      </c>
      <c r="F152" s="29" t="str">
        <f>IF(OR($B152="",$A152&lt;=3),"",--MID('Key Analysis'!$C148,$A152-3,1))</f>
        <v/>
      </c>
      <c r="G152" s="29" t="str">
        <f>IF(OR($B152="",$A152&lt;=4),"",--MID('Key Analysis'!$C148,$A152-4,1))</f>
        <v/>
      </c>
      <c r="H152" s="29" t="str">
        <f>IF(OR($B152="",$A152&lt;=5),"",--MID('Key Analysis'!$C148,$A152-5,1))</f>
        <v/>
      </c>
      <c r="I152" s="29" t="str">
        <f>IF(OR($B152="",$A152&lt;=6),"",--MID('Key Analysis'!$C148,$A152-6,1))</f>
        <v/>
      </c>
      <c r="J152" s="29" t="str">
        <f>IF(OR($B152="",$A152&lt;=7),"",--MID('Key Analysis'!$C148,$A152-7,1))</f>
        <v/>
      </c>
      <c r="K152" s="29" t="str">
        <f>IF(OR($B152="",$A152&lt;=8),"",--MID('Key Analysis'!$C148,$A152-8,1))</f>
        <v/>
      </c>
      <c r="L152" s="29" t="str">
        <f>IF(OR($B152="",$A152&lt;=9),"",--MID('Key Analysis'!$C148,$A152-9,1))</f>
        <v/>
      </c>
      <c r="M152" s="29" t="str">
        <f>IF(OR($B152="",$A152&lt;=10),"",--MID('Key Analysis'!$C148,$A152-10,1))</f>
        <v/>
      </c>
      <c r="N152" s="29" t="str">
        <f>IF(OR($B152="",$A152&lt;=11),"",--MID('Key Analysis'!$C148,$A152-11,1))</f>
        <v/>
      </c>
      <c r="O152" s="29" t="str">
        <f>IF(OR($B152="",$A152&lt;=12),"",--MID('Key Analysis'!$C148,$A152-12,1))</f>
        <v/>
      </c>
      <c r="P152" s="29" t="str">
        <f>IF(OR($B152="",$A152&lt;=13),"",--MID('Key Analysis'!$C148,$A152-13,1))</f>
        <v/>
      </c>
      <c r="Q152" s="29" t="str">
        <f>IF(OR($B152="",$A152&lt;=14),"",--MID('Key Analysis'!$C148,$A152-14,1))</f>
        <v/>
      </c>
      <c r="R152" s="29" t="str">
        <f>IF(OR($B152="",$A152&lt;=15),"",--MID('Key Analysis'!$C148,$A152-15,1))</f>
        <v/>
      </c>
      <c r="S152" s="29" t="str">
        <f>IF(OR($B152="",$A152&lt;=16),"",--MID('Key Analysis'!$C148,$A152-16,1))</f>
        <v/>
      </c>
      <c r="T152" s="29" t="str">
        <f>IF(OR($B152="",$A152&lt;=17),"",--MID('Key Analysis'!$C148,$A152-17,1))</f>
        <v/>
      </c>
      <c r="U152" s="29" t="str">
        <f>IF(OR($B152="",$A152&lt;=18),"",--MID('Key Analysis'!$C148,$A152-18,1))</f>
        <v/>
      </c>
      <c r="V152" s="29" t="str">
        <f>IF(OR($B152="",$A152&lt;=19),"",--MID('Key Analysis'!$C148,$A152-19,1))</f>
        <v/>
      </c>
      <c r="W152" s="29" t="str">
        <f>IF(OR($B152="",$A152&lt;=20),"",--MID('Key Analysis'!$C148,$A152-20,1))</f>
        <v/>
      </c>
      <c r="X152" s="29" t="str">
        <f>IF(OR($B152="",$A152&lt;=21),"",--MID('Key Analysis'!$C148,$A152-21,1))</f>
        <v/>
      </c>
      <c r="Y152" s="29" t="str">
        <f>IF(OR($B152="",$A152&lt;=22),"",--MID('Key Analysis'!$C148,$A152-22,1))</f>
        <v/>
      </c>
      <c r="Z152" s="29" t="str">
        <f>IF(OR($B152="",$A152&lt;=23),"",--MID('Key Analysis'!$C148,$A152-23,1))</f>
        <v/>
      </c>
      <c r="AA152" s="29" t="str">
        <f>IF(OR($B152="",$A152&lt;=24),"",--MID('Key Analysis'!$C148,$A152-24,1))</f>
        <v/>
      </c>
      <c r="AB152" s="29" t="str">
        <f>IF(OR($B152="",$A152&lt;=25),"",--MID('Key Analysis'!$C148,$A152-25,1))</f>
        <v/>
      </c>
      <c r="AC152" s="29" t="str">
        <f>IF(OR($B152="",$A152&lt;=26),"",--MID('Key Analysis'!$C148,$A152-26,1))</f>
        <v/>
      </c>
      <c r="AD152" s="29" t="str">
        <f>IF(OR($B152="",$A152&lt;=27),"",--MID('Key Analysis'!$C148,$A152-27,1))</f>
        <v/>
      </c>
      <c r="AE152" s="29" t="str">
        <f>IF(OR($B152="",$A152&lt;=28),"",--MID('Key Analysis'!$C148,$A152-28,1))</f>
        <v/>
      </c>
      <c r="AF152" s="29" t="str">
        <f>IF(OR($B152="",$A152&lt;=29),"",--MID('Key Analysis'!$C148,$A152-29,1))</f>
        <v/>
      </c>
      <c r="AG152" s="29" t="str">
        <f>IF(OR($B152="",$A152&lt;=30),"",--MID('Key Analysis'!$C148,$A152-30,1))</f>
        <v/>
      </c>
      <c r="AH152" s="29" t="str">
        <f>IF(OR($B152="",$A152&lt;=31),"",--MID('Key Analysis'!$C148,$A152-31,1))</f>
        <v/>
      </c>
      <c r="AI152" s="29" t="str">
        <f>IF(OR($B152="",$A152&lt;=32),"",--MID('Key Analysis'!$C148,$A152-32,1))</f>
        <v/>
      </c>
      <c r="AJ152" s="29" t="str">
        <f>IF(OR($B152="",$A152&lt;=33),"",--MID('Key Analysis'!$C148,$A152-33,1))</f>
        <v/>
      </c>
      <c r="AK152" s="29" t="str">
        <f>IF(OR($B152="",$A152&lt;=34),"",--MID('Key Analysis'!$C148,$A152-34,1))</f>
        <v/>
      </c>
      <c r="AL152" s="29" t="str">
        <f>IF(OR($B152="",$A152&lt;=35),"",--MID('Key Analysis'!$C148,$A152-35,1))</f>
        <v/>
      </c>
      <c r="AM152" s="29" t="str">
        <f>IF(OR($B152="",$A152&lt;=36),"",--MID('Key Analysis'!$C148,$A152-36,1))</f>
        <v/>
      </c>
      <c r="AN152" s="29" t="str">
        <f>IF(OR($B152="",$A152&lt;=37),"",--MID('Key Analysis'!$C148,$A152-37,1))</f>
        <v/>
      </c>
      <c r="AO152" s="29" t="str">
        <f>IF(OR($B152="",$A152&lt;=38),"",--MID('Key Analysis'!$C148,$A152-38,1))</f>
        <v/>
      </c>
      <c r="AP152" s="29" t="str">
        <f>IF(OR($B152="",$A152&lt;=39),"",--MID('Key Analysis'!$C148,$A152-39,1))</f>
        <v/>
      </c>
      <c r="AQ152" s="29" t="str">
        <f>IF(OR($B152="",$A152&lt;=40),"",--MID('Key Analysis'!$C148,$A152-40,1))</f>
        <v/>
      </c>
      <c r="AR152" s="29" t="str">
        <f>IF(OR($B152="",$A152&lt;=41),"",--MID('Key Analysis'!$C148,$A152-41,1))</f>
        <v/>
      </c>
      <c r="AS152" s="29" t="str">
        <f>IF(OR($B152="",$A152&lt;=42),"",--MID('Key Analysis'!$C148,$A152-42,1))</f>
        <v/>
      </c>
      <c r="AT152" s="29" t="str">
        <f>IF(OR($B152="",$A152&lt;=43),"",--MID('Key Analysis'!$C148,$A152-43,1))</f>
        <v/>
      </c>
      <c r="AU152" s="29" t="str">
        <f>IF(OR($B152="",$A152&lt;=44),"",--MID('Key Analysis'!$C148,$A152-44,1))</f>
        <v/>
      </c>
      <c r="AV152" s="29" t="str">
        <f>IF(OR($B152="",$A152&lt;=45),"",--MID('Key Analysis'!$C148,$A152-45,1))</f>
        <v/>
      </c>
      <c r="AW152" s="29" t="str">
        <f>IF(OR($B152="",$A152&lt;=46),"",--MID('Key Analysis'!$C148,$A152-46,1))</f>
        <v/>
      </c>
      <c r="AX152" s="29" t="str">
        <f>IF(OR($B152="",$A152&lt;=47),"",--MID('Key Analysis'!$C148,$A152-47,1))</f>
        <v/>
      </c>
      <c r="AY152" s="29" t="str">
        <f>IF(OR($B152="",$A152&lt;=48),"",--MID('Key Analysis'!$C148,$A152-48,1))</f>
        <v/>
      </c>
      <c r="AZ152" s="29" t="str">
        <f>IF(OR($B152="",$A152&lt;=49),"",--MID('Key Analysis'!$C148,$A152-49,1))</f>
        <v/>
      </c>
      <c r="BA152" s="29" t="str">
        <f>IF(OR($B152="",$A152&lt;=50),"",--MID('Key Analysis'!$C148,$A152-50,1))</f>
        <v/>
      </c>
      <c r="BB152" s="29" t="str">
        <f>IF(OR($B152="",$A152&lt;=51),"",--MID('Key Analysis'!$C148,$A152-51,1))</f>
        <v/>
      </c>
      <c r="BC152" s="29" t="str">
        <f>IF(OR($B152="",$A152&lt;=52),"",--MID('Key Analysis'!$C148,$A152-52,1))</f>
        <v/>
      </c>
      <c r="BD152" s="29" t="str">
        <f>IF(OR($B152="",$A152&lt;=53),"",--MID('Key Analysis'!$C148,$A152-53,1))</f>
        <v/>
      </c>
      <c r="BE152" s="29" t="str">
        <f>IF(OR($B152="",$A152&lt;=54),"",--MID('Key Analysis'!$C148,$A152-54,1))</f>
        <v/>
      </c>
      <c r="BF152" s="29" t="str">
        <f>IF(OR($B152="",$A152&lt;=55),"",--MID('Key Analysis'!$C148,$A152-55,1))</f>
        <v/>
      </c>
      <c r="BG152" s="29" t="str">
        <f>IF(OR($B152="",$A152&lt;=56),"",--MID('Key Analysis'!$C148,$A152-56,1))</f>
        <v/>
      </c>
      <c r="BH152" s="29" t="str">
        <f>IF(OR($B152="",$A152&lt;=57),"",--MID('Key Analysis'!$C148,$A152-57,1))</f>
        <v/>
      </c>
      <c r="BI152" s="29" t="str">
        <f>IF(OR($B152="",$A152&lt;=58),"",--MID('Key Analysis'!$C148,$A152-58,1))</f>
        <v/>
      </c>
      <c r="BJ152" s="29" t="str">
        <f>IF(OR($B152="",$A152&lt;=59),"",--MID('Key Analysis'!$C148,$A152-59,1))</f>
        <v/>
      </c>
      <c r="BK152" s="29" t="str">
        <f>IF(OR($B152="",$A152&lt;=60),"",--MID('Key Analysis'!$C148,$A152-60,1))</f>
        <v/>
      </c>
      <c r="BL152" s="29" t="str">
        <f>IF(OR($B152="",$A152&lt;=61),"",--MID('Key Analysis'!$C148,$A152-61,1))</f>
        <v/>
      </c>
      <c r="BM152" s="29" t="str">
        <f>IF(OR($B152="",$A152&lt;=62),"",--MID('Key Analysis'!$C148,$A152-62,1))</f>
        <v/>
      </c>
      <c r="BN152" s="29" t="str">
        <f>IF(OR($B152="",$A152&lt;=63),"",--MID('Key Analysis'!$C148,$A152-63,1))</f>
        <v/>
      </c>
      <c r="BO152" s="29" t="str">
        <f>IF(OR($B152="",$A152&lt;=64),"",--MID('Key Analysis'!$C148,$A152-64,1))</f>
        <v/>
      </c>
      <c r="BP152" s="29" t="str">
        <f>IF(OR($B152="",$A152&lt;=65),"",--MID('Key Analysis'!$C148,$A152-65,1))</f>
        <v/>
      </c>
      <c r="BQ152" s="29" t="str">
        <f>IF(OR($B152="",$A152&lt;=66),"",--MID('Key Analysis'!$C148,$A152-66,1))</f>
        <v/>
      </c>
      <c r="BR152" s="29" t="str">
        <f>IF(OR($B152="",$A152&lt;=67),"",--MID('Key Analysis'!$C148,$A152-67,1))</f>
        <v/>
      </c>
      <c r="BS152" s="29" t="str">
        <f>IF(OR($B152="",$A152&lt;=68),"",--MID('Key Analysis'!$C148,$A152-68,1))</f>
        <v/>
      </c>
      <c r="BT152" s="29" t="str">
        <f>IF(OR($B152="",$A152&lt;=69),"",--MID('Key Analysis'!$C148,$A152-69,1))</f>
        <v/>
      </c>
      <c r="BU152" s="29" t="str">
        <f>IF(OR($B152="",$A152&lt;=70),"",--MID('Key Analysis'!$C148,$A152-70,1))</f>
        <v/>
      </c>
      <c r="BV152" s="29" t="str">
        <f>IF(OR($B152="",$A152&lt;=71),"",--MID('Key Analysis'!$C148,$A152-71,1))</f>
        <v/>
      </c>
      <c r="BW152" s="29" t="str">
        <f>IF(OR($B152="",$A152&lt;=72),"",--MID('Key Analysis'!$C148,$A152-72,1))</f>
        <v/>
      </c>
      <c r="BX152" s="29" t="str">
        <f>IF(OR($B152="",$A152&lt;=73),"",--MID('Key Analysis'!$C148,$A152-73,1))</f>
        <v/>
      </c>
      <c r="BY152" s="29" t="str">
        <f>IF(OR($B152="",$A152&lt;=74),"",--MID('Key Analysis'!$C148,$A152-74,1))</f>
        <v/>
      </c>
      <c r="BZ152" s="29" t="str">
        <f>IF(OR($B152="",$A152&lt;=75),"",--MID('Key Analysis'!$C148,$A152-75,1))</f>
        <v/>
      </c>
      <c r="CA152" s="29" t="str">
        <f>IF(OR($B152="",$A152&lt;=76),"",--MID('Key Analysis'!$C148,$A152-76,1))</f>
        <v/>
      </c>
      <c r="CB152" s="29" t="str">
        <f>IF(OR($B152="",$A152&lt;=77),"",--MID('Key Analysis'!$C148,$A152-77,1))</f>
        <v/>
      </c>
      <c r="CC152" s="29" t="str">
        <f>IF(OR($B152="",$A152&lt;=78),"",--MID('Key Analysis'!$C148,$A152-78,1))</f>
        <v/>
      </c>
      <c r="CD152" s="29" t="str">
        <f>IF(OR($B152="",$A152&lt;=79),"",--MID('Key Analysis'!$C148,$A152-79,1))</f>
        <v/>
      </c>
      <c r="CE152" s="29" t="str">
        <f>IF(OR($B152="",$A152&lt;=80),"",--MID('Key Analysis'!$C148,$A152-80,1))</f>
        <v/>
      </c>
      <c r="CF152" s="29" t="str">
        <f>IF(OR($B152="",$A152&lt;=81),"",--MID('Key Analysis'!$C148,$A152-81,1))</f>
        <v/>
      </c>
      <c r="CG152" s="29" t="str">
        <f>IF(OR($B152="",$A152&lt;=82),"",--MID('Key Analysis'!$C148,$A152-82,1))</f>
        <v/>
      </c>
      <c r="CH152" s="29" t="str">
        <f>IF(OR($B152="",$A152&lt;=83),"",--MID('Key Analysis'!$C148,$A152-83,1))</f>
        <v/>
      </c>
      <c r="CI152" s="29" t="str">
        <f>IF(OR($B152="",$A152&lt;=84),"",--MID('Key Analysis'!$C148,$A152-84,1))</f>
        <v/>
      </c>
      <c r="CJ152" s="29" t="str">
        <f>IF(OR($B152="",$A152&lt;=85),"",--MID('Key Analysis'!$C148,$A152-85,1))</f>
        <v/>
      </c>
      <c r="CK152" s="29" t="str">
        <f>IF(OR($B152="",$A152&lt;=86),"",--MID('Key Analysis'!$C148,$A152-86,1))</f>
        <v/>
      </c>
      <c r="CL152" s="29" t="str">
        <f>IF(OR($B152="",$A152&lt;=87),"",--MID('Key Analysis'!$C148,$A152-87,1))</f>
        <v/>
      </c>
      <c r="CM152" s="29" t="str">
        <f>IF(OR($B152="",$A152&lt;=88),"",--MID('Key Analysis'!$C148,$A152-88,1))</f>
        <v/>
      </c>
      <c r="CN152" s="29" t="str">
        <f>IF(OR($B152="",$A152&lt;=89),"",--MID('Key Analysis'!$C148,$A152-89,1))</f>
        <v/>
      </c>
      <c r="CO152" s="29" t="str">
        <f>IF(OR($B152="",$A152&lt;=90),"",--MID('Key Analysis'!$C148,$A152-90,1))</f>
        <v/>
      </c>
      <c r="CP152" s="29" t="str">
        <f>IF(OR($B152="",$A152&lt;=91),"",--MID('Key Analysis'!$C148,$A152-91,1))</f>
        <v/>
      </c>
      <c r="CQ152" s="29" t="str">
        <f>IF(OR($B152="",$A152&lt;=92),"",--MID('Key Analysis'!$C148,$A152-92,1))</f>
        <v/>
      </c>
      <c r="CR152" s="29" t="str">
        <f>IF(OR($B152="",$A152&lt;=93),"",--MID('Key Analysis'!$C148,$A152-93,1))</f>
        <v/>
      </c>
      <c r="CS152" s="29" t="str">
        <f>IF(OR($B152="",$A152&lt;=94),"",--MID('Key Analysis'!$C148,$A152-94,1))</f>
        <v/>
      </c>
      <c r="CT152" s="29" t="str">
        <f>IF(OR($B152="",$A152&lt;=95),"",--MID('Key Analysis'!$C148,$A152-95,1))</f>
        <v/>
      </c>
      <c r="CU152" s="29" t="str">
        <f>IF(OR($B152="",$A152&lt;=96),"",--MID('Key Analysis'!$C148,$A152-96,1))</f>
        <v/>
      </c>
      <c r="CV152" s="29" t="str">
        <f>IF(OR($B152="",$A152&lt;=97),"",--MID('Key Analysis'!$C148,$A152-97,1))</f>
        <v/>
      </c>
      <c r="CW152" s="29" t="str">
        <f>IF(OR($B152="",$A152&lt;=98),"",--MID('Key Analysis'!$C148,$A152-98,1))</f>
        <v/>
      </c>
      <c r="CX152" s="29" t="str">
        <f>IF(OR($B152="",$A152&lt;=99),"",--MID('Key Analysis'!$C148,$A152-99,1))</f>
        <v/>
      </c>
      <c r="CY152" s="29" t="str">
        <f>IF(OR($B152="",$A152&lt;=100),"",--MID('Key Analysis'!$C148,$A152-100,1))</f>
        <v/>
      </c>
      <c r="CZ152" s="29" t="str">
        <f>IF(OR($B152="",$A152&lt;=101),"",--MID('Key Analysis'!$C148,$A152-101,1))</f>
        <v/>
      </c>
      <c r="DA152" s="29" t="str">
        <f>IF(OR($B152="",$A152&lt;=102),"",--MID('Key Analysis'!$C148,$A152-102,1))</f>
        <v/>
      </c>
      <c r="DB152" s="29" t="str">
        <f>IF(OR($B152="",$A152&lt;=103),"",--MID('Key Analysis'!$C148,$A152-103,1))</f>
        <v/>
      </c>
      <c r="DC152" s="29" t="str">
        <f>IF(OR($B152="",$A152&lt;=104),"",--MID('Key Analysis'!$C148,$A152-104,1))</f>
        <v/>
      </c>
      <c r="DD152" s="29" t="str">
        <f>IF(OR($B152="",$A152&lt;=105),"",--MID('Key Analysis'!$C148,$A152-105,1))</f>
        <v/>
      </c>
      <c r="DE152" s="29" t="str">
        <f>IF(OR($B152="",$A152&lt;=106),"",--MID('Key Analysis'!$C148,$A152-106,1))</f>
        <v/>
      </c>
      <c r="DF152" s="29" t="str">
        <f>IF(OR($B152="",$A152&lt;=107),"",--MID('Key Analysis'!$C148,$A152-107,1))</f>
        <v/>
      </c>
      <c r="DG152" s="29" t="str">
        <f>IF(OR($B152="",$A152&lt;=108),"",--MID('Key Analysis'!$C148,$A152-108,1))</f>
        <v/>
      </c>
      <c r="DH152" s="29" t="str">
        <f>IF(OR($B152="",$A152&lt;=109),"",--MID('Key Analysis'!$C148,$A152-109,1))</f>
        <v/>
      </c>
      <c r="DI152" s="29" t="str">
        <f>IF(OR($B152="",$A152&lt;=110),"",--MID('Key Analysis'!$C148,$A152-110,1))</f>
        <v/>
      </c>
      <c r="DJ152" s="29" t="str">
        <f>IF(OR($B152="",$A152&lt;=111),"",--MID('Key Analysis'!$C148,$A152-111,1))</f>
        <v/>
      </c>
      <c r="DK152" s="29" t="str">
        <f>IF(OR($B152="",$A152&lt;=112),"",--MID('Key Analysis'!$C148,$A152-112,1))</f>
        <v/>
      </c>
      <c r="DL152" s="29" t="str">
        <f>IF(OR($B152="",$A152&lt;=113),"",--MID('Key Analysis'!$C148,$A152-113,1))</f>
        <v/>
      </c>
      <c r="DM152" s="29" t="str">
        <f>IF(OR($B152="",$A152&lt;=114),"",--MID('Key Analysis'!$C148,$A152-114,1))</f>
        <v/>
      </c>
      <c r="DN152" s="29" t="str">
        <f>IF(OR($B152="",$A152&lt;=115),"",--MID('Key Analysis'!$C148,$A152-115,1))</f>
        <v/>
      </c>
      <c r="DO152" s="29" t="str">
        <f>IF(OR($B152="",$A152&lt;=116),"",--MID('Key Analysis'!$C148,$A152-116,1))</f>
        <v/>
      </c>
      <c r="DP152" s="29" t="str">
        <f>IF(OR($B152="",$A152&lt;=117),"",--MID('Key Analysis'!$C148,$A152-117,1))</f>
        <v/>
      </c>
      <c r="DQ152" s="29" t="str">
        <f>IF(OR($B152="",$A152&lt;=118),"",--MID('Key Analysis'!$C148,$A152-118,1))</f>
        <v/>
      </c>
      <c r="DR152" s="29" t="str">
        <f>IF(OR($B152="",$A152&lt;=119),"",--MID('Key Analysis'!$C148,$A152-119,1))</f>
        <v/>
      </c>
      <c r="DS152" s="29" t="str">
        <f>IF(OR($B152="",$A152&lt;=120),"",--MID('Key Analysis'!$C148,$A152-120,1))</f>
        <v/>
      </c>
      <c r="DT152" s="29" t="str">
        <f>IF(OR($B152="",$A152&lt;=121),"",--MID('Key Analysis'!$C148,$A152-121,1))</f>
        <v/>
      </c>
      <c r="DU152" s="29" t="str">
        <f>IF(OR($B152="",$A152&lt;=122),"",--MID('Key Analysis'!$C148,$A152-122,1))</f>
        <v/>
      </c>
      <c r="DV152" s="29" t="str">
        <f>IF(OR($B152="",$A152&lt;=123),"",--MID('Key Analysis'!$C148,$A152-123,1))</f>
        <v/>
      </c>
      <c r="DW152" s="29" t="str">
        <f>IF(OR($B152="",$A152&lt;=124),"",--MID('Key Analysis'!$C148,$A152-124,1))</f>
        <v/>
      </c>
      <c r="DX152" s="29" t="str">
        <f>IF(OR($B152="",$A152&lt;=125),"",--MID('Key Analysis'!$C148,$A152-125,1))</f>
        <v/>
      </c>
      <c r="DY152" s="29" t="str">
        <f>IF(OR($B152="",$A152&lt;=126),"",--MID('Key Analysis'!$C148,$A152-126,1))</f>
        <v/>
      </c>
      <c r="DZ152" s="29" t="str">
        <f>IF(OR($B152="",$A152&lt;=127),"",--MID('Key Analysis'!$C148,$A152-127,1))</f>
        <v/>
      </c>
      <c r="EA152" s="29" t="str">
        <f>IF(OR($B152="",$A152&lt;=128),"",--MID('Key Analysis'!$C148,$A152-128,1))</f>
        <v/>
      </c>
      <c r="EB152" s="29" t="str">
        <f>IF(OR($B152="",$A152&lt;=129),"",--MID('Key Analysis'!$C148,$A152-129,1))</f>
        <v/>
      </c>
      <c r="EC152" s="29" t="str">
        <f>IF(OR($B152="",$A152&lt;=130),"",--MID('Key Analysis'!$C148,$A152-130,1))</f>
        <v/>
      </c>
      <c r="ED152" s="29" t="str">
        <f>IF(OR($B152="",$A152&lt;=131),"",--MID('Key Analysis'!$C148,$A152-131,1))</f>
        <v/>
      </c>
      <c r="EE152" s="29" t="str">
        <f>IF(OR($B152="",$A152&lt;=132),"",--MID('Key Analysis'!$C148,$A152-132,1))</f>
        <v/>
      </c>
      <c r="EF152" s="29" t="str">
        <f>IF(OR($B152="",$A152&lt;=133),"",--MID('Key Analysis'!$C148,$A152-133,1))</f>
        <v/>
      </c>
      <c r="EG152" s="29" t="str">
        <f>IF(OR($B152="",$A152&lt;=134),"",--MID('Key Analysis'!$C148,$A152-134,1))</f>
        <v/>
      </c>
      <c r="EH152" s="29"/>
      <c r="EI152" s="29" t="str">
        <f>IF(OR($B152="",$A152&lt;1),"",--MID('Key Analysis'!$C148,1,1))</f>
        <v/>
      </c>
      <c r="EJ152" s="29" t="str">
        <f>IF(OR($B152="",$A152&lt;2),"",--MID('Key Analysis'!$C148,2,1))</f>
        <v/>
      </c>
      <c r="EK152" s="29" t="str">
        <f>IF(OR($B152="",$A152&lt;3),"",--MID('Key Analysis'!$C148,3,1))</f>
        <v/>
      </c>
      <c r="EL152" s="29" t="str">
        <f>IF(OR($B152="",$A152&lt;4),"",--MID('Key Analysis'!$C148,4,1))</f>
        <v/>
      </c>
      <c r="EM152" s="29" t="str">
        <f>IF(OR($B152="",$A152&lt;5),"",--MID('Key Analysis'!$C148,5,1))</f>
        <v/>
      </c>
      <c r="EN152" s="29" t="str">
        <f>IF(OR($B152="",$A152&lt;6),"",--MID('Key Analysis'!$C148,6,1))</f>
        <v/>
      </c>
      <c r="EO152" s="29" t="str">
        <f>IF(OR($B152="",$A152&lt;7),"",--MID('Key Analysis'!$C148,7,1))</f>
        <v/>
      </c>
      <c r="EP152" s="29" t="str">
        <f>IF(OR($B152="",$A152&lt;8),"",--MID('Key Analysis'!$C148,8,1))</f>
        <v/>
      </c>
      <c r="EQ152" s="29" t="str">
        <f>IF(OR($B152="",$A152&lt;9),"",--MID('Key Analysis'!$C148,9,1))</f>
        <v/>
      </c>
      <c r="ER152" s="29" t="str">
        <f>IF(OR($B152="",$A152&lt;10),"",--MID('Key Analysis'!$C148,10,1))</f>
        <v/>
      </c>
      <c r="ES152" s="29" t="str">
        <f>IF(OR($B152="",$A152&lt;11),"",--MID('Key Analysis'!$C148,11,1))</f>
        <v/>
      </c>
      <c r="ET152" s="29" t="str">
        <f>IF(OR($B152="",$A152&lt;12),"",--MID('Key Analysis'!$C148,12,1))</f>
        <v/>
      </c>
      <c r="EU152" s="29" t="str">
        <f>IF(OR($B152="",$A152&lt;13),"",--MID('Key Analysis'!$C148,13,1))</f>
        <v/>
      </c>
      <c r="EV152" s="29" t="str">
        <f>IF(OR($B152="",$A152&lt;14),"",--MID('Key Analysis'!$C148,14,1))</f>
        <v/>
      </c>
      <c r="EW152" s="29" t="str">
        <f>IF(OR($B152="",$A152&lt;15),"",--MID('Key Analysis'!$C148,15,1))</f>
        <v/>
      </c>
      <c r="EX152" s="29" t="str">
        <f>IF(OR($B152="",$A152&lt;16),"",--MID('Key Analysis'!$C148,16,1))</f>
        <v/>
      </c>
      <c r="EY152" s="29" t="str">
        <f>IF(OR($B152="",$A152&lt;17),"",--MID('Key Analysis'!$C148,17,1))</f>
        <v/>
      </c>
      <c r="EZ152" s="29" t="str">
        <f>IF(OR($B152="",$A152&lt;18),"",--MID('Key Analysis'!$C148,18,1))</f>
        <v/>
      </c>
      <c r="FA152" s="29" t="str">
        <f>IF(OR($B152="",$A152&lt;19),"",--MID('Key Analysis'!$C148,19,1))</f>
        <v/>
      </c>
      <c r="FB152" s="29" t="str">
        <f>IF(OR($B152="",$A152&lt;20),"",--MID('Key Analysis'!$C148,20,1))</f>
        <v/>
      </c>
      <c r="FC152" s="29" t="str">
        <f>IF(OR($B152="",$A152&lt;21),"",--MID('Key Analysis'!$C148,21,1))</f>
        <v/>
      </c>
      <c r="FD152" s="29" t="str">
        <f>IF(OR($B152="",$A152&lt;22),"",--MID('Key Analysis'!$C148,22,1))</f>
        <v/>
      </c>
      <c r="FE152" s="29" t="str">
        <f>IF(OR($B152="",$A152&lt;23),"",--MID('Key Analysis'!$C148,23,1))</f>
        <v/>
      </c>
      <c r="FF152" s="29" t="str">
        <f>IF(OR($B152="",$A152&lt;24),"",--MID('Key Analysis'!$C148,24,1))</f>
        <v/>
      </c>
      <c r="FG152" s="29" t="str">
        <f>IF(OR($B152="",$A152&lt;25),"",--MID('Key Analysis'!$C148,25,1))</f>
        <v/>
      </c>
      <c r="FH152" s="29" t="str">
        <f>IF(OR($B152="",$A152&lt;26),"",--MID('Key Analysis'!$C148,26,1))</f>
        <v/>
      </c>
      <c r="FI152" s="29" t="str">
        <f>IF(OR($B152="",$A152&lt;27),"",--MID('Key Analysis'!$C148,27,1))</f>
        <v/>
      </c>
      <c r="FJ152" s="29" t="str">
        <f>IF(OR($B152="",$A152&lt;28),"",--MID('Key Analysis'!$C148,28,1))</f>
        <v/>
      </c>
      <c r="FK152" s="29" t="str">
        <f>IF(OR($B152="",$A152&lt;29),"",--MID('Key Analysis'!$C148,29,1))</f>
        <v/>
      </c>
      <c r="FL152" s="29" t="str">
        <f>IF(OR($B152="",$A152&lt;30),"",--MID('Key Analysis'!$C148,30,1))</f>
        <v/>
      </c>
      <c r="FM152" s="29" t="str">
        <f>IF(OR($B152="",$A152&lt;31),"",--MID('Key Analysis'!$C148,31,1))</f>
        <v/>
      </c>
      <c r="FN152" s="29" t="str">
        <f>IF(OR($B152="",$A152&lt;32),"",--MID('Key Analysis'!$C148,32,1))</f>
        <v/>
      </c>
      <c r="FO152" s="29" t="str">
        <f>IF(OR($B152="",$A152&lt;33),"",--MID('Key Analysis'!$C148,33,1))</f>
        <v/>
      </c>
      <c r="FP152" s="29" t="str">
        <f>IF(OR($B152="",$A152&lt;34),"",--MID('Key Analysis'!$C148,34,1))</f>
        <v/>
      </c>
      <c r="FQ152" s="29" t="str">
        <f>IF(OR($B152="",$A152&lt;35),"",--MID('Key Analysis'!$C148,35,1))</f>
        <v/>
      </c>
      <c r="FR152" s="29" t="str">
        <f>IF(OR($B152="",$A152&lt;36),"",--MID('Key Analysis'!$C148,36,1))</f>
        <v/>
      </c>
      <c r="FS152" s="29" t="str">
        <f>IF(OR($B152="",$A152&lt;37),"",--MID('Key Analysis'!$C148,37,1))</f>
        <v/>
      </c>
      <c r="FT152" s="29" t="str">
        <f>IF(OR($B152="",$A152&lt;38),"",--MID('Key Analysis'!$C148,38,1))</f>
        <v/>
      </c>
      <c r="FU152" s="29" t="str">
        <f>IF(OR($B152="",$A152&lt;39),"",--MID('Key Analysis'!$C148,39,1))</f>
        <v/>
      </c>
      <c r="FV152" s="29" t="str">
        <f>IF(OR($B152="",$A152&lt;40),"",--MID('Key Analysis'!$C148,40,1))</f>
        <v/>
      </c>
      <c r="FW152" s="29" t="str">
        <f>IF(OR($B152="",$A152&lt;41),"",--MID('Key Analysis'!$C148,41,1))</f>
        <v/>
      </c>
      <c r="FX152" s="29" t="str">
        <f>IF(OR($B152="",$A152&lt;42),"",--MID('Key Analysis'!$C148,42,1))</f>
        <v/>
      </c>
      <c r="FY152" s="29" t="str">
        <f>IF(OR($B152="",$A152&lt;43),"",--MID('Key Analysis'!$C148,43,1))</f>
        <v/>
      </c>
      <c r="FZ152" s="29" t="str">
        <f>IF(OR($B152="",$A152&lt;44),"",--MID('Key Analysis'!$C148,44,1))</f>
        <v/>
      </c>
      <c r="GA152" s="29" t="str">
        <f>IF(OR($B152="",$A152&lt;45),"",--MID('Key Analysis'!$C148,45,1))</f>
        <v/>
      </c>
      <c r="GB152" s="29" t="str">
        <f>IF(OR($B152="",$A152&lt;46),"",--MID('Key Analysis'!$C148,46,1))</f>
        <v/>
      </c>
      <c r="GC152" s="29" t="str">
        <f>IF(OR($B152="",$A152&lt;47),"",--MID('Key Analysis'!$C148,47,1))</f>
        <v/>
      </c>
      <c r="GD152" s="29" t="str">
        <f>IF(OR($B152="",$A152&lt;48),"",--MID('Key Analysis'!$C148,48,1))</f>
        <v/>
      </c>
      <c r="GE152" s="29" t="str">
        <f>IF(OR($B152="",$A152&lt;49),"",--MID('Key Analysis'!$C148,49,1))</f>
        <v/>
      </c>
      <c r="GF152" s="29" t="str">
        <f>IF(OR($B152="",$A152&lt;50),"",--MID('Key Analysis'!$C148,50,1))</f>
        <v/>
      </c>
      <c r="GG152" s="29" t="str">
        <f>IF(OR($B152="",$A152&lt;51),"",--MID('Key Analysis'!$C148,51,1))</f>
        <v/>
      </c>
      <c r="GH152" s="29" t="str">
        <f>IF(OR($B152="",$A152&lt;52),"",--MID('Key Analysis'!$C148,52,1))</f>
        <v/>
      </c>
      <c r="GI152" s="29" t="str">
        <f>IF(OR($B152="",$A152&lt;53),"",--MID('Key Analysis'!$C148,53,1))</f>
        <v/>
      </c>
      <c r="GJ152" s="29" t="str">
        <f>IF(OR($B152="",$A152&lt;54),"",--MID('Key Analysis'!$C148,54,1))</f>
        <v/>
      </c>
      <c r="GK152" s="29" t="str">
        <f>IF(OR($B152="",$A152&lt;55),"",--MID('Key Analysis'!$C148,55,1))</f>
        <v/>
      </c>
      <c r="GL152" s="29" t="str">
        <f>IF(OR($B152="",$A152&lt;56),"",--MID('Key Analysis'!$C148,56,1))</f>
        <v/>
      </c>
      <c r="GM152" s="29" t="str">
        <f>IF(OR($B152="",$A152&lt;57),"",--MID('Key Analysis'!$C148,57,1))</f>
        <v/>
      </c>
      <c r="GN152" s="29" t="str">
        <f>IF(OR($B152="",$A152&lt;58),"",--MID('Key Analysis'!$C148,58,1))</f>
        <v/>
      </c>
      <c r="GO152" s="29" t="str">
        <f>IF(OR($B152="",$A152&lt;59),"",--MID('Key Analysis'!$C148,59,1))</f>
        <v/>
      </c>
      <c r="GP152" s="29" t="str">
        <f>IF(OR($B152="",$A152&lt;60),"",--MID('Key Analysis'!$C148,60,1))</f>
        <v/>
      </c>
      <c r="GQ152" s="29" t="str">
        <f>IF(OR($B152="",$A152&lt;61),"",--MID('Key Analysis'!$C148,61,1))</f>
        <v/>
      </c>
      <c r="GR152" s="29" t="str">
        <f>IF(OR($B152="",$A152&lt;62),"",--MID('Key Analysis'!$C148,62,1))</f>
        <v/>
      </c>
      <c r="GS152" s="29" t="str">
        <f>IF(OR($B152="",$A152&lt;63),"",--MID('Key Analysis'!$C148,63,1))</f>
        <v/>
      </c>
      <c r="GT152" s="29" t="str">
        <f>IF(OR($B152="",$A152&lt;64),"",--MID('Key Analysis'!$C148,64,1))</f>
        <v/>
      </c>
      <c r="GU152" s="29" t="str">
        <f>IF(OR($B152="",$A152&lt;65),"",--MID('Key Analysis'!$C148,65,1))</f>
        <v/>
      </c>
      <c r="GV152" s="29" t="str">
        <f>IF(OR($B152="",$A152&lt;66),"",--MID('Key Analysis'!$C148,66,1))</f>
        <v/>
      </c>
      <c r="GW152" s="29" t="str">
        <f>IF(OR($B152="",$A152&lt;67),"",--MID('Key Analysis'!$C148,67,1))</f>
        <v/>
      </c>
      <c r="GX152" s="29" t="str">
        <f>IF(OR($B152="",$A152&lt;68),"",--MID('Key Analysis'!$C148,68,1))</f>
        <v/>
      </c>
      <c r="GY152" s="29" t="str">
        <f>IF(OR($B152="",$A152&lt;69),"",--MID('Key Analysis'!$C148,69,1))</f>
        <v/>
      </c>
      <c r="GZ152" s="29" t="str">
        <f>IF(OR($B152="",$A152&lt;70),"",--MID('Key Analysis'!$C148,70,1))</f>
        <v/>
      </c>
      <c r="HA152" s="29" t="str">
        <f>IF(OR($B152="",$A152&lt;71),"",--MID('Key Analysis'!$C148,71,1))</f>
        <v/>
      </c>
      <c r="HB152" s="29" t="str">
        <f>IF(OR($B152="",$A152&lt;72),"",--MID('Key Analysis'!$C148,72,1))</f>
        <v/>
      </c>
      <c r="HC152" s="29" t="str">
        <f>IF(OR($B152="",$A152&lt;73),"",--MID('Key Analysis'!$C148,73,1))</f>
        <v/>
      </c>
      <c r="HD152" s="29" t="str">
        <f>IF(OR($B152="",$A152&lt;74),"",--MID('Key Analysis'!$C148,74,1))</f>
        <v/>
      </c>
      <c r="HE152" s="29" t="str">
        <f>IF(OR($B152="",$A152&lt;75),"",--MID('Key Analysis'!$C148,75,1))</f>
        <v/>
      </c>
      <c r="HF152" s="29" t="str">
        <f>IF(OR($B152="",$A152&lt;76),"",--MID('Key Analysis'!$C148,76,1))</f>
        <v/>
      </c>
      <c r="HG152" s="29" t="str">
        <f>IF(OR($B152="",$A152&lt;77),"",--MID('Key Analysis'!$C148,77,1))</f>
        <v/>
      </c>
      <c r="HH152" s="29" t="str">
        <f>IF(OR($B152="",$A152&lt;78),"",--MID('Key Analysis'!$C148,78,1))</f>
        <v/>
      </c>
      <c r="HI152" s="29" t="str">
        <f>IF(OR($B152="",$A152&lt;79),"",--MID('Key Analysis'!$C148,79,1))</f>
        <v/>
      </c>
      <c r="HJ152" s="29" t="str">
        <f>IF(OR($B152="",$A152&lt;80),"",--MID('Key Analysis'!$C148,80,1))</f>
        <v/>
      </c>
      <c r="HK152" s="29" t="str">
        <f>IF(OR($B152="",$A152&lt;81),"",--MID('Key Analysis'!$C148,81,1))</f>
        <v/>
      </c>
      <c r="HL152" s="29" t="str">
        <f>IF(OR($B152="",$A152&lt;82),"",--MID('Key Analysis'!$C148,82,1))</f>
        <v/>
      </c>
      <c r="HM152" s="29" t="str">
        <f>IF(OR($B152="",$A152&lt;83),"",--MID('Key Analysis'!$C148,83,1))</f>
        <v/>
      </c>
      <c r="HN152" s="29" t="str">
        <f>IF(OR($B152="",$A152&lt;84),"",--MID('Key Analysis'!$C148,84,1))</f>
        <v/>
      </c>
      <c r="HO152" s="29" t="str">
        <f>IF(OR($B152="",$A152&lt;85),"",--MID('Key Analysis'!$C148,85,1))</f>
        <v/>
      </c>
      <c r="HP152" s="29" t="str">
        <f>IF(OR($B152="",$A152&lt;86),"",--MID('Key Analysis'!$C148,86,1))</f>
        <v/>
      </c>
      <c r="HQ152" s="29" t="str">
        <f>IF(OR($B152="",$A152&lt;87),"",--MID('Key Analysis'!$C148,87,1))</f>
        <v/>
      </c>
      <c r="HR152" s="29" t="str">
        <f>IF(OR($B152="",$A152&lt;88),"",--MID('Key Analysis'!$C148,88,1))</f>
        <v/>
      </c>
      <c r="HS152" s="29" t="str">
        <f>IF(OR($B152="",$A152&lt;89),"",--MID('Key Analysis'!$C148,89,1))</f>
        <v/>
      </c>
      <c r="HT152" s="29" t="str">
        <f>IF(OR($B152="",$A152&lt;90),"",--MID('Key Analysis'!$C148,90,1))</f>
        <v/>
      </c>
      <c r="HU152" s="29" t="str">
        <f>IF(OR($B152="",$A152&lt;91),"",--MID('Key Analysis'!$C148,91,1))</f>
        <v/>
      </c>
      <c r="HV152" s="29" t="str">
        <f>IF(OR($B152="",$A152&lt;92),"",--MID('Key Analysis'!$C148,92,1))</f>
        <v/>
      </c>
      <c r="HW152" s="29" t="str">
        <f>IF(OR($B152="",$A152&lt;93),"",--MID('Key Analysis'!$C148,93,1))</f>
        <v/>
      </c>
      <c r="HX152" s="29" t="str">
        <f>IF(OR($B152="",$A152&lt;94),"",--MID('Key Analysis'!$C148,94,1))</f>
        <v/>
      </c>
      <c r="HY152" s="29" t="str">
        <f>IF(OR($B152="",$A152&lt;95),"",--MID('Key Analysis'!$C148,95,1))</f>
        <v/>
      </c>
      <c r="HZ152" s="29" t="str">
        <f>IF(OR($B152="",$A152&lt;96),"",--MID('Key Analysis'!$C148,96,1))</f>
        <v/>
      </c>
      <c r="IA152" s="29" t="str">
        <f>IF(OR($B152="",$A152&lt;97),"",--MID('Key Analysis'!$C148,97,1))</f>
        <v/>
      </c>
      <c r="IB152" s="29" t="str">
        <f>IF(OR($B152="",$A152&lt;98),"",--MID('Key Analysis'!$C148,98,1))</f>
        <v/>
      </c>
      <c r="IC152" s="29" t="str">
        <f>IF(OR($B152="",$A152&lt;99),"",--MID('Key Analysis'!$C148,99,1))</f>
        <v/>
      </c>
      <c r="ID152" s="29" t="str">
        <f>IF(OR($B152="",$A152&lt;100),"",--MID('Key Analysis'!$C148,100,1))</f>
        <v/>
      </c>
      <c r="IE152" s="29" t="str">
        <f>IF(OR($B152="",$A152&lt;101),"",--MID('Key Analysis'!$C148,101,1))</f>
        <v/>
      </c>
      <c r="IF152" s="29" t="str">
        <f>IF(OR($B152="",$A152&lt;102),"",--MID('Key Analysis'!$C148,102,1))</f>
        <v/>
      </c>
      <c r="IG152" s="29" t="str">
        <f>IF(OR($B152="",$A152&lt;103),"",--MID('Key Analysis'!$C148,103,1))</f>
        <v/>
      </c>
      <c r="IH152" s="29" t="str">
        <f>IF(OR($B152="",$A152&lt;104),"",--MID('Key Analysis'!$C148,104,1))</f>
        <v/>
      </c>
      <c r="II152" s="29" t="str">
        <f>IF(OR($B152="",$A152&lt;105),"",--MID('Key Analysis'!$C148,105,1))</f>
        <v/>
      </c>
      <c r="IJ152" s="29" t="str">
        <f>IF(OR($B152="",$A152&lt;106),"",--MID('Key Analysis'!$C148,106,1))</f>
        <v/>
      </c>
      <c r="IK152" s="29" t="str">
        <f>IF(OR($B152="",$A152&lt;107),"",--MID('Key Analysis'!$C148,107,1))</f>
        <v/>
      </c>
      <c r="IL152" s="29" t="str">
        <f>IF(OR($B152="",$A152&lt;108),"",--MID('Key Analysis'!$C148,108,1))</f>
        <v/>
      </c>
      <c r="IM152" s="29" t="str">
        <f>IF(OR($B152="",$A152&lt;109),"",--MID('Key Analysis'!$C148,109,1))</f>
        <v/>
      </c>
      <c r="IN152" s="29" t="str">
        <f>IF(OR($B152="",$A152&lt;110),"",--MID('Key Analysis'!$C148,110,1))</f>
        <v/>
      </c>
      <c r="IO152" s="29" t="str">
        <f>IF(OR($B152="",$A152&lt;111),"",--MID('Key Analysis'!$C148,111,1))</f>
        <v/>
      </c>
      <c r="IP152" s="29" t="str">
        <f>IF(OR($B152="",$A152&lt;112),"",--MID('Key Analysis'!$C148,112,1))</f>
        <v/>
      </c>
      <c r="IQ152" s="29" t="str">
        <f>IF(OR($B152="",$A152&lt;113),"",--MID('Key Analysis'!$C148,113,1))</f>
        <v/>
      </c>
      <c r="IR152" s="29" t="str">
        <f>IF(OR($B152="",$A152&lt;114),"",--MID('Key Analysis'!$C148,114,1))</f>
        <v/>
      </c>
      <c r="IS152" s="29" t="str">
        <f>IF(OR($B152="",$A152&lt;115),"",--MID('Key Analysis'!$C148,115,1))</f>
        <v/>
      </c>
      <c r="IT152" s="29" t="str">
        <f>IF(OR($B152="",$A152&lt;116),"",--MID('Key Analysis'!$C148,116,1))</f>
        <v/>
      </c>
      <c r="IU152" s="29" t="str">
        <f>IF(OR($B152="",$A152&lt;117),"",--MID('Key Analysis'!$C148,117,1))</f>
        <v/>
      </c>
      <c r="IV152" s="29" t="str">
        <f>IF(OR($B152="",$A152&lt;118),"",--MID('Key Analysis'!$C148,118,1))</f>
        <v/>
      </c>
      <c r="IW152" s="29" t="str">
        <f>IF(OR($B152="",$A152&lt;119),"",--MID('Key Analysis'!$C148,119,1))</f>
        <v/>
      </c>
      <c r="IX152" s="29" t="str">
        <f>IF(OR($B152="",$A152&lt;120),"",--MID('Key Analysis'!$C148,120,1))</f>
        <v/>
      </c>
      <c r="IY152" s="29" t="str">
        <f>IF(OR($B152="",$A152&lt;121),"",--MID('Key Analysis'!$C148,121,1))</f>
        <v/>
      </c>
      <c r="IZ152" s="29" t="str">
        <f>IF(OR($B152="",$A152&lt;122),"",--MID('Key Analysis'!$C148,122,1))</f>
        <v/>
      </c>
      <c r="JA152" s="29" t="str">
        <f>IF(OR($B152="",$A152&lt;123),"",--MID('Key Analysis'!$C148,123,1))</f>
        <v/>
      </c>
      <c r="JB152" s="29" t="str">
        <f>IF(OR($B152="",$A152&lt;124),"",--MID('Key Analysis'!$C148,124,1))</f>
        <v/>
      </c>
      <c r="JC152" s="29" t="str">
        <f>IF(OR($B152="",$A152&lt;125),"",--MID('Key Analysis'!$C148,125,1))</f>
        <v/>
      </c>
      <c r="JD152" s="29" t="str">
        <f>IF(OR($B152="",$A152&lt;126),"",--MID('Key Analysis'!$C148,126,1))</f>
        <v/>
      </c>
      <c r="JE152" s="29" t="str">
        <f>IF(OR($B152="",$A152&lt;127),"",--MID('Key Analysis'!$C148,127,1))</f>
        <v/>
      </c>
      <c r="JF152" s="29" t="str">
        <f>IF(OR($B152="",$A152&lt;128),"",--MID('Key Analysis'!$C148,128,1))</f>
        <v/>
      </c>
      <c r="JG152" s="29" t="str">
        <f>IF(OR($B152="",$A152&lt;129),"",--MID('Key Analysis'!$C148,129,1))</f>
        <v/>
      </c>
      <c r="JH152" s="29" t="str">
        <f>IF(OR($B152="",$A152&lt;130),"",--MID('Key Analysis'!$C148,130,1))</f>
        <v/>
      </c>
      <c r="JI152" s="29" t="str">
        <f>IF(OR($B152="",$A152&lt;131),"",--MID('Key Analysis'!$C148,131,1))</f>
        <v/>
      </c>
      <c r="JJ152" s="29" t="str">
        <f>IF(OR($B152="",$A152&lt;132),"",--MID('Key Analysis'!$C148,132,1))</f>
        <v/>
      </c>
      <c r="JK152" s="29" t="str">
        <f>IF(OR($B152="",$A152&lt;133),"",--MID('Key Analysis'!$C148,133,1))</f>
        <v/>
      </c>
      <c r="JL152" s="29" t="str">
        <f>IF(OR($B152="",$A152&lt;134),"",--MID('Key Analysis'!$C148,134,1))</f>
        <v/>
      </c>
      <c r="JM152" s="29" t="str">
        <f>IF(OR($B152="",$A152&lt;135),"",--MID('Key Analysis'!$C148,135,1))</f>
        <v/>
      </c>
    </row>
    <row r="153" spans="1:273" x14ac:dyDescent="0.25">
      <c r="A153" s="21">
        <f>'Key Analysis'!A149</f>
        <v>148</v>
      </c>
      <c r="B153" s="30" t="str">
        <f>'Key Analysis'!B149</f>
        <v/>
      </c>
      <c r="C153" s="29" t="str">
        <f>IF(OR($B153="",$A153&lt;=0),"",--MID('Key Analysis'!$C149,$A153-0,1))</f>
        <v/>
      </c>
      <c r="D153" s="29" t="str">
        <f>IF(OR($B153="",$A153&lt;=1),"",--MID('Key Analysis'!$C149,$A153-1,1))</f>
        <v/>
      </c>
      <c r="E153" s="29" t="str">
        <f>IF(OR($B153="",$A153&lt;=2),"",--MID('Key Analysis'!$C149,$A153-2,1))</f>
        <v/>
      </c>
      <c r="F153" s="29" t="str">
        <f>IF(OR($B153="",$A153&lt;=3),"",--MID('Key Analysis'!$C149,$A153-3,1))</f>
        <v/>
      </c>
      <c r="G153" s="29" t="str">
        <f>IF(OR($B153="",$A153&lt;=4),"",--MID('Key Analysis'!$C149,$A153-4,1))</f>
        <v/>
      </c>
      <c r="H153" s="29" t="str">
        <f>IF(OR($B153="",$A153&lt;=5),"",--MID('Key Analysis'!$C149,$A153-5,1))</f>
        <v/>
      </c>
      <c r="I153" s="29" t="str">
        <f>IF(OR($B153="",$A153&lt;=6),"",--MID('Key Analysis'!$C149,$A153-6,1))</f>
        <v/>
      </c>
      <c r="J153" s="29" t="str">
        <f>IF(OR($B153="",$A153&lt;=7),"",--MID('Key Analysis'!$C149,$A153-7,1))</f>
        <v/>
      </c>
      <c r="K153" s="29" t="str">
        <f>IF(OR($B153="",$A153&lt;=8),"",--MID('Key Analysis'!$C149,$A153-8,1))</f>
        <v/>
      </c>
      <c r="L153" s="29" t="str">
        <f>IF(OR($B153="",$A153&lt;=9),"",--MID('Key Analysis'!$C149,$A153-9,1))</f>
        <v/>
      </c>
      <c r="M153" s="29" t="str">
        <f>IF(OR($B153="",$A153&lt;=10),"",--MID('Key Analysis'!$C149,$A153-10,1))</f>
        <v/>
      </c>
      <c r="N153" s="29" t="str">
        <f>IF(OR($B153="",$A153&lt;=11),"",--MID('Key Analysis'!$C149,$A153-11,1))</f>
        <v/>
      </c>
      <c r="O153" s="29" t="str">
        <f>IF(OR($B153="",$A153&lt;=12),"",--MID('Key Analysis'!$C149,$A153-12,1))</f>
        <v/>
      </c>
      <c r="P153" s="29" t="str">
        <f>IF(OR($B153="",$A153&lt;=13),"",--MID('Key Analysis'!$C149,$A153-13,1))</f>
        <v/>
      </c>
      <c r="Q153" s="29" t="str">
        <f>IF(OR($B153="",$A153&lt;=14),"",--MID('Key Analysis'!$C149,$A153-14,1))</f>
        <v/>
      </c>
      <c r="R153" s="29" t="str">
        <f>IF(OR($B153="",$A153&lt;=15),"",--MID('Key Analysis'!$C149,$A153-15,1))</f>
        <v/>
      </c>
      <c r="S153" s="29" t="str">
        <f>IF(OR($B153="",$A153&lt;=16),"",--MID('Key Analysis'!$C149,$A153-16,1))</f>
        <v/>
      </c>
      <c r="T153" s="29" t="str">
        <f>IF(OR($B153="",$A153&lt;=17),"",--MID('Key Analysis'!$C149,$A153-17,1))</f>
        <v/>
      </c>
      <c r="U153" s="29" t="str">
        <f>IF(OR($B153="",$A153&lt;=18),"",--MID('Key Analysis'!$C149,$A153-18,1))</f>
        <v/>
      </c>
      <c r="V153" s="29" t="str">
        <f>IF(OR($B153="",$A153&lt;=19),"",--MID('Key Analysis'!$C149,$A153-19,1))</f>
        <v/>
      </c>
      <c r="W153" s="29" t="str">
        <f>IF(OR($B153="",$A153&lt;=20),"",--MID('Key Analysis'!$C149,$A153-20,1))</f>
        <v/>
      </c>
      <c r="X153" s="29" t="str">
        <f>IF(OR($B153="",$A153&lt;=21),"",--MID('Key Analysis'!$C149,$A153-21,1))</f>
        <v/>
      </c>
      <c r="Y153" s="29" t="str">
        <f>IF(OR($B153="",$A153&lt;=22),"",--MID('Key Analysis'!$C149,$A153-22,1))</f>
        <v/>
      </c>
      <c r="Z153" s="29" t="str">
        <f>IF(OR($B153="",$A153&lt;=23),"",--MID('Key Analysis'!$C149,$A153-23,1))</f>
        <v/>
      </c>
      <c r="AA153" s="29" t="str">
        <f>IF(OR($B153="",$A153&lt;=24),"",--MID('Key Analysis'!$C149,$A153-24,1))</f>
        <v/>
      </c>
      <c r="AB153" s="29" t="str">
        <f>IF(OR($B153="",$A153&lt;=25),"",--MID('Key Analysis'!$C149,$A153-25,1))</f>
        <v/>
      </c>
      <c r="AC153" s="29" t="str">
        <f>IF(OR($B153="",$A153&lt;=26),"",--MID('Key Analysis'!$C149,$A153-26,1))</f>
        <v/>
      </c>
      <c r="AD153" s="29" t="str">
        <f>IF(OR($B153="",$A153&lt;=27),"",--MID('Key Analysis'!$C149,$A153-27,1))</f>
        <v/>
      </c>
      <c r="AE153" s="29" t="str">
        <f>IF(OR($B153="",$A153&lt;=28),"",--MID('Key Analysis'!$C149,$A153-28,1))</f>
        <v/>
      </c>
      <c r="AF153" s="29" t="str">
        <f>IF(OR($B153="",$A153&lt;=29),"",--MID('Key Analysis'!$C149,$A153-29,1))</f>
        <v/>
      </c>
      <c r="AG153" s="29" t="str">
        <f>IF(OR($B153="",$A153&lt;=30),"",--MID('Key Analysis'!$C149,$A153-30,1))</f>
        <v/>
      </c>
      <c r="AH153" s="29" t="str">
        <f>IF(OR($B153="",$A153&lt;=31),"",--MID('Key Analysis'!$C149,$A153-31,1))</f>
        <v/>
      </c>
      <c r="AI153" s="29" t="str">
        <f>IF(OR($B153="",$A153&lt;=32),"",--MID('Key Analysis'!$C149,$A153-32,1))</f>
        <v/>
      </c>
      <c r="AJ153" s="29" t="str">
        <f>IF(OR($B153="",$A153&lt;=33),"",--MID('Key Analysis'!$C149,$A153-33,1))</f>
        <v/>
      </c>
      <c r="AK153" s="29" t="str">
        <f>IF(OR($B153="",$A153&lt;=34),"",--MID('Key Analysis'!$C149,$A153-34,1))</f>
        <v/>
      </c>
      <c r="AL153" s="29" t="str">
        <f>IF(OR($B153="",$A153&lt;=35),"",--MID('Key Analysis'!$C149,$A153-35,1))</f>
        <v/>
      </c>
      <c r="AM153" s="29" t="str">
        <f>IF(OR($B153="",$A153&lt;=36),"",--MID('Key Analysis'!$C149,$A153-36,1))</f>
        <v/>
      </c>
      <c r="AN153" s="29" t="str">
        <f>IF(OR($B153="",$A153&lt;=37),"",--MID('Key Analysis'!$C149,$A153-37,1))</f>
        <v/>
      </c>
      <c r="AO153" s="29" t="str">
        <f>IF(OR($B153="",$A153&lt;=38),"",--MID('Key Analysis'!$C149,$A153-38,1))</f>
        <v/>
      </c>
      <c r="AP153" s="29" t="str">
        <f>IF(OR($B153="",$A153&lt;=39),"",--MID('Key Analysis'!$C149,$A153-39,1))</f>
        <v/>
      </c>
      <c r="AQ153" s="29" t="str">
        <f>IF(OR($B153="",$A153&lt;=40),"",--MID('Key Analysis'!$C149,$A153-40,1))</f>
        <v/>
      </c>
      <c r="AR153" s="29" t="str">
        <f>IF(OR($B153="",$A153&lt;=41),"",--MID('Key Analysis'!$C149,$A153-41,1))</f>
        <v/>
      </c>
      <c r="AS153" s="29" t="str">
        <f>IF(OR($B153="",$A153&lt;=42),"",--MID('Key Analysis'!$C149,$A153-42,1))</f>
        <v/>
      </c>
      <c r="AT153" s="29" t="str">
        <f>IF(OR($B153="",$A153&lt;=43),"",--MID('Key Analysis'!$C149,$A153-43,1))</f>
        <v/>
      </c>
      <c r="AU153" s="29" t="str">
        <f>IF(OR($B153="",$A153&lt;=44),"",--MID('Key Analysis'!$C149,$A153-44,1))</f>
        <v/>
      </c>
      <c r="AV153" s="29" t="str">
        <f>IF(OR($B153="",$A153&lt;=45),"",--MID('Key Analysis'!$C149,$A153-45,1))</f>
        <v/>
      </c>
      <c r="AW153" s="29" t="str">
        <f>IF(OR($B153="",$A153&lt;=46),"",--MID('Key Analysis'!$C149,$A153-46,1))</f>
        <v/>
      </c>
      <c r="AX153" s="29" t="str">
        <f>IF(OR($B153="",$A153&lt;=47),"",--MID('Key Analysis'!$C149,$A153-47,1))</f>
        <v/>
      </c>
      <c r="AY153" s="29" t="str">
        <f>IF(OR($B153="",$A153&lt;=48),"",--MID('Key Analysis'!$C149,$A153-48,1))</f>
        <v/>
      </c>
      <c r="AZ153" s="29" t="str">
        <f>IF(OR($B153="",$A153&lt;=49),"",--MID('Key Analysis'!$C149,$A153-49,1))</f>
        <v/>
      </c>
      <c r="BA153" s="29" t="str">
        <f>IF(OR($B153="",$A153&lt;=50),"",--MID('Key Analysis'!$C149,$A153-50,1))</f>
        <v/>
      </c>
      <c r="BB153" s="29" t="str">
        <f>IF(OR($B153="",$A153&lt;=51),"",--MID('Key Analysis'!$C149,$A153-51,1))</f>
        <v/>
      </c>
      <c r="BC153" s="29" t="str">
        <f>IF(OR($B153="",$A153&lt;=52),"",--MID('Key Analysis'!$C149,$A153-52,1))</f>
        <v/>
      </c>
      <c r="BD153" s="29" t="str">
        <f>IF(OR($B153="",$A153&lt;=53),"",--MID('Key Analysis'!$C149,$A153-53,1))</f>
        <v/>
      </c>
      <c r="BE153" s="29" t="str">
        <f>IF(OR($B153="",$A153&lt;=54),"",--MID('Key Analysis'!$C149,$A153-54,1))</f>
        <v/>
      </c>
      <c r="BF153" s="29" t="str">
        <f>IF(OR($B153="",$A153&lt;=55),"",--MID('Key Analysis'!$C149,$A153-55,1))</f>
        <v/>
      </c>
      <c r="BG153" s="29" t="str">
        <f>IF(OR($B153="",$A153&lt;=56),"",--MID('Key Analysis'!$C149,$A153-56,1))</f>
        <v/>
      </c>
      <c r="BH153" s="29" t="str">
        <f>IF(OR($B153="",$A153&lt;=57),"",--MID('Key Analysis'!$C149,$A153-57,1))</f>
        <v/>
      </c>
      <c r="BI153" s="29" t="str">
        <f>IF(OR($B153="",$A153&lt;=58),"",--MID('Key Analysis'!$C149,$A153-58,1))</f>
        <v/>
      </c>
      <c r="BJ153" s="29" t="str">
        <f>IF(OR($B153="",$A153&lt;=59),"",--MID('Key Analysis'!$C149,$A153-59,1))</f>
        <v/>
      </c>
      <c r="BK153" s="29" t="str">
        <f>IF(OR($B153="",$A153&lt;=60),"",--MID('Key Analysis'!$C149,$A153-60,1))</f>
        <v/>
      </c>
      <c r="BL153" s="29" t="str">
        <f>IF(OR($B153="",$A153&lt;=61),"",--MID('Key Analysis'!$C149,$A153-61,1))</f>
        <v/>
      </c>
      <c r="BM153" s="29" t="str">
        <f>IF(OR($B153="",$A153&lt;=62),"",--MID('Key Analysis'!$C149,$A153-62,1))</f>
        <v/>
      </c>
      <c r="BN153" s="29" t="str">
        <f>IF(OR($B153="",$A153&lt;=63),"",--MID('Key Analysis'!$C149,$A153-63,1))</f>
        <v/>
      </c>
      <c r="BO153" s="29" t="str">
        <f>IF(OR($B153="",$A153&lt;=64),"",--MID('Key Analysis'!$C149,$A153-64,1))</f>
        <v/>
      </c>
      <c r="BP153" s="29" t="str">
        <f>IF(OR($B153="",$A153&lt;=65),"",--MID('Key Analysis'!$C149,$A153-65,1))</f>
        <v/>
      </c>
      <c r="BQ153" s="29" t="str">
        <f>IF(OR($B153="",$A153&lt;=66),"",--MID('Key Analysis'!$C149,$A153-66,1))</f>
        <v/>
      </c>
      <c r="BR153" s="29" t="str">
        <f>IF(OR($B153="",$A153&lt;=67),"",--MID('Key Analysis'!$C149,$A153-67,1))</f>
        <v/>
      </c>
      <c r="BS153" s="29" t="str">
        <f>IF(OR($B153="",$A153&lt;=68),"",--MID('Key Analysis'!$C149,$A153-68,1))</f>
        <v/>
      </c>
      <c r="BT153" s="29" t="str">
        <f>IF(OR($B153="",$A153&lt;=69),"",--MID('Key Analysis'!$C149,$A153-69,1))</f>
        <v/>
      </c>
      <c r="BU153" s="29" t="str">
        <f>IF(OR($B153="",$A153&lt;=70),"",--MID('Key Analysis'!$C149,$A153-70,1))</f>
        <v/>
      </c>
      <c r="BV153" s="29" t="str">
        <f>IF(OR($B153="",$A153&lt;=71),"",--MID('Key Analysis'!$C149,$A153-71,1))</f>
        <v/>
      </c>
      <c r="BW153" s="29" t="str">
        <f>IF(OR($B153="",$A153&lt;=72),"",--MID('Key Analysis'!$C149,$A153-72,1))</f>
        <v/>
      </c>
      <c r="BX153" s="29" t="str">
        <f>IF(OR($B153="",$A153&lt;=73),"",--MID('Key Analysis'!$C149,$A153-73,1))</f>
        <v/>
      </c>
      <c r="BY153" s="29" t="str">
        <f>IF(OR($B153="",$A153&lt;=74),"",--MID('Key Analysis'!$C149,$A153-74,1))</f>
        <v/>
      </c>
      <c r="BZ153" s="29" t="str">
        <f>IF(OR($B153="",$A153&lt;=75),"",--MID('Key Analysis'!$C149,$A153-75,1))</f>
        <v/>
      </c>
      <c r="CA153" s="29" t="str">
        <f>IF(OR($B153="",$A153&lt;=76),"",--MID('Key Analysis'!$C149,$A153-76,1))</f>
        <v/>
      </c>
      <c r="CB153" s="29" t="str">
        <f>IF(OR($B153="",$A153&lt;=77),"",--MID('Key Analysis'!$C149,$A153-77,1))</f>
        <v/>
      </c>
      <c r="CC153" s="29" t="str">
        <f>IF(OR($B153="",$A153&lt;=78),"",--MID('Key Analysis'!$C149,$A153-78,1))</f>
        <v/>
      </c>
      <c r="CD153" s="29" t="str">
        <f>IF(OR($B153="",$A153&lt;=79),"",--MID('Key Analysis'!$C149,$A153-79,1))</f>
        <v/>
      </c>
      <c r="CE153" s="29" t="str">
        <f>IF(OR($B153="",$A153&lt;=80),"",--MID('Key Analysis'!$C149,$A153-80,1))</f>
        <v/>
      </c>
      <c r="CF153" s="29" t="str">
        <f>IF(OR($B153="",$A153&lt;=81),"",--MID('Key Analysis'!$C149,$A153-81,1))</f>
        <v/>
      </c>
      <c r="CG153" s="29" t="str">
        <f>IF(OR($B153="",$A153&lt;=82),"",--MID('Key Analysis'!$C149,$A153-82,1))</f>
        <v/>
      </c>
      <c r="CH153" s="29" t="str">
        <f>IF(OR($B153="",$A153&lt;=83),"",--MID('Key Analysis'!$C149,$A153-83,1))</f>
        <v/>
      </c>
      <c r="CI153" s="29" t="str">
        <f>IF(OR($B153="",$A153&lt;=84),"",--MID('Key Analysis'!$C149,$A153-84,1))</f>
        <v/>
      </c>
      <c r="CJ153" s="29" t="str">
        <f>IF(OR($B153="",$A153&lt;=85),"",--MID('Key Analysis'!$C149,$A153-85,1))</f>
        <v/>
      </c>
      <c r="CK153" s="29" t="str">
        <f>IF(OR($B153="",$A153&lt;=86),"",--MID('Key Analysis'!$C149,$A153-86,1))</f>
        <v/>
      </c>
      <c r="CL153" s="29" t="str">
        <f>IF(OR($B153="",$A153&lt;=87),"",--MID('Key Analysis'!$C149,$A153-87,1))</f>
        <v/>
      </c>
      <c r="CM153" s="29" t="str">
        <f>IF(OR($B153="",$A153&lt;=88),"",--MID('Key Analysis'!$C149,$A153-88,1))</f>
        <v/>
      </c>
      <c r="CN153" s="29" t="str">
        <f>IF(OR($B153="",$A153&lt;=89),"",--MID('Key Analysis'!$C149,$A153-89,1))</f>
        <v/>
      </c>
      <c r="CO153" s="29" t="str">
        <f>IF(OR($B153="",$A153&lt;=90),"",--MID('Key Analysis'!$C149,$A153-90,1))</f>
        <v/>
      </c>
      <c r="CP153" s="29" t="str">
        <f>IF(OR($B153="",$A153&lt;=91),"",--MID('Key Analysis'!$C149,$A153-91,1))</f>
        <v/>
      </c>
      <c r="CQ153" s="29" t="str">
        <f>IF(OR($B153="",$A153&lt;=92),"",--MID('Key Analysis'!$C149,$A153-92,1))</f>
        <v/>
      </c>
      <c r="CR153" s="29" t="str">
        <f>IF(OR($B153="",$A153&lt;=93),"",--MID('Key Analysis'!$C149,$A153-93,1))</f>
        <v/>
      </c>
      <c r="CS153" s="29" t="str">
        <f>IF(OR($B153="",$A153&lt;=94),"",--MID('Key Analysis'!$C149,$A153-94,1))</f>
        <v/>
      </c>
      <c r="CT153" s="29" t="str">
        <f>IF(OR($B153="",$A153&lt;=95),"",--MID('Key Analysis'!$C149,$A153-95,1))</f>
        <v/>
      </c>
      <c r="CU153" s="29" t="str">
        <f>IF(OR($B153="",$A153&lt;=96),"",--MID('Key Analysis'!$C149,$A153-96,1))</f>
        <v/>
      </c>
      <c r="CV153" s="29" t="str">
        <f>IF(OR($B153="",$A153&lt;=97),"",--MID('Key Analysis'!$C149,$A153-97,1))</f>
        <v/>
      </c>
      <c r="CW153" s="29" t="str">
        <f>IF(OR($B153="",$A153&lt;=98),"",--MID('Key Analysis'!$C149,$A153-98,1))</f>
        <v/>
      </c>
      <c r="CX153" s="29" t="str">
        <f>IF(OR($B153="",$A153&lt;=99),"",--MID('Key Analysis'!$C149,$A153-99,1))</f>
        <v/>
      </c>
      <c r="CY153" s="29" t="str">
        <f>IF(OR($B153="",$A153&lt;=100),"",--MID('Key Analysis'!$C149,$A153-100,1))</f>
        <v/>
      </c>
      <c r="CZ153" s="29" t="str">
        <f>IF(OR($B153="",$A153&lt;=101),"",--MID('Key Analysis'!$C149,$A153-101,1))</f>
        <v/>
      </c>
      <c r="DA153" s="29" t="str">
        <f>IF(OR($B153="",$A153&lt;=102),"",--MID('Key Analysis'!$C149,$A153-102,1))</f>
        <v/>
      </c>
      <c r="DB153" s="29" t="str">
        <f>IF(OR($B153="",$A153&lt;=103),"",--MID('Key Analysis'!$C149,$A153-103,1))</f>
        <v/>
      </c>
      <c r="DC153" s="29" t="str">
        <f>IF(OR($B153="",$A153&lt;=104),"",--MID('Key Analysis'!$C149,$A153-104,1))</f>
        <v/>
      </c>
      <c r="DD153" s="29" t="str">
        <f>IF(OR($B153="",$A153&lt;=105),"",--MID('Key Analysis'!$C149,$A153-105,1))</f>
        <v/>
      </c>
      <c r="DE153" s="29" t="str">
        <f>IF(OR($B153="",$A153&lt;=106),"",--MID('Key Analysis'!$C149,$A153-106,1))</f>
        <v/>
      </c>
      <c r="DF153" s="29" t="str">
        <f>IF(OR($B153="",$A153&lt;=107),"",--MID('Key Analysis'!$C149,$A153-107,1))</f>
        <v/>
      </c>
      <c r="DG153" s="29" t="str">
        <f>IF(OR($B153="",$A153&lt;=108),"",--MID('Key Analysis'!$C149,$A153-108,1))</f>
        <v/>
      </c>
      <c r="DH153" s="29" t="str">
        <f>IF(OR($B153="",$A153&lt;=109),"",--MID('Key Analysis'!$C149,$A153-109,1))</f>
        <v/>
      </c>
      <c r="DI153" s="29" t="str">
        <f>IF(OR($B153="",$A153&lt;=110),"",--MID('Key Analysis'!$C149,$A153-110,1))</f>
        <v/>
      </c>
      <c r="DJ153" s="29" t="str">
        <f>IF(OR($B153="",$A153&lt;=111),"",--MID('Key Analysis'!$C149,$A153-111,1))</f>
        <v/>
      </c>
      <c r="DK153" s="29" t="str">
        <f>IF(OR($B153="",$A153&lt;=112),"",--MID('Key Analysis'!$C149,$A153-112,1))</f>
        <v/>
      </c>
      <c r="DL153" s="29" t="str">
        <f>IF(OR($B153="",$A153&lt;=113),"",--MID('Key Analysis'!$C149,$A153-113,1))</f>
        <v/>
      </c>
      <c r="DM153" s="29" t="str">
        <f>IF(OR($B153="",$A153&lt;=114),"",--MID('Key Analysis'!$C149,$A153-114,1))</f>
        <v/>
      </c>
      <c r="DN153" s="29" t="str">
        <f>IF(OR($B153="",$A153&lt;=115),"",--MID('Key Analysis'!$C149,$A153-115,1))</f>
        <v/>
      </c>
      <c r="DO153" s="29" t="str">
        <f>IF(OR($B153="",$A153&lt;=116),"",--MID('Key Analysis'!$C149,$A153-116,1))</f>
        <v/>
      </c>
      <c r="DP153" s="29" t="str">
        <f>IF(OR($B153="",$A153&lt;=117),"",--MID('Key Analysis'!$C149,$A153-117,1))</f>
        <v/>
      </c>
      <c r="DQ153" s="29" t="str">
        <f>IF(OR($B153="",$A153&lt;=118),"",--MID('Key Analysis'!$C149,$A153-118,1))</f>
        <v/>
      </c>
      <c r="DR153" s="29" t="str">
        <f>IF(OR($B153="",$A153&lt;=119),"",--MID('Key Analysis'!$C149,$A153-119,1))</f>
        <v/>
      </c>
      <c r="DS153" s="29" t="str">
        <f>IF(OR($B153="",$A153&lt;=120),"",--MID('Key Analysis'!$C149,$A153-120,1))</f>
        <v/>
      </c>
      <c r="DT153" s="29" t="str">
        <f>IF(OR($B153="",$A153&lt;=121),"",--MID('Key Analysis'!$C149,$A153-121,1))</f>
        <v/>
      </c>
      <c r="DU153" s="29" t="str">
        <f>IF(OR($B153="",$A153&lt;=122),"",--MID('Key Analysis'!$C149,$A153-122,1))</f>
        <v/>
      </c>
      <c r="DV153" s="29" t="str">
        <f>IF(OR($B153="",$A153&lt;=123),"",--MID('Key Analysis'!$C149,$A153-123,1))</f>
        <v/>
      </c>
      <c r="DW153" s="29" t="str">
        <f>IF(OR($B153="",$A153&lt;=124),"",--MID('Key Analysis'!$C149,$A153-124,1))</f>
        <v/>
      </c>
      <c r="DX153" s="29" t="str">
        <f>IF(OR($B153="",$A153&lt;=125),"",--MID('Key Analysis'!$C149,$A153-125,1))</f>
        <v/>
      </c>
      <c r="DY153" s="29" t="str">
        <f>IF(OR($B153="",$A153&lt;=126),"",--MID('Key Analysis'!$C149,$A153-126,1))</f>
        <v/>
      </c>
      <c r="DZ153" s="29" t="str">
        <f>IF(OR($B153="",$A153&lt;=127),"",--MID('Key Analysis'!$C149,$A153-127,1))</f>
        <v/>
      </c>
      <c r="EA153" s="29" t="str">
        <f>IF(OR($B153="",$A153&lt;=128),"",--MID('Key Analysis'!$C149,$A153-128,1))</f>
        <v/>
      </c>
      <c r="EB153" s="29" t="str">
        <f>IF(OR($B153="",$A153&lt;=129),"",--MID('Key Analysis'!$C149,$A153-129,1))</f>
        <v/>
      </c>
      <c r="EC153" s="29" t="str">
        <f>IF(OR($B153="",$A153&lt;=130),"",--MID('Key Analysis'!$C149,$A153-130,1))</f>
        <v/>
      </c>
      <c r="ED153" s="29" t="str">
        <f>IF(OR($B153="",$A153&lt;=131),"",--MID('Key Analysis'!$C149,$A153-131,1))</f>
        <v/>
      </c>
      <c r="EE153" s="29" t="str">
        <f>IF(OR($B153="",$A153&lt;=132),"",--MID('Key Analysis'!$C149,$A153-132,1))</f>
        <v/>
      </c>
      <c r="EF153" s="29" t="str">
        <f>IF(OR($B153="",$A153&lt;=133),"",--MID('Key Analysis'!$C149,$A153-133,1))</f>
        <v/>
      </c>
      <c r="EG153" s="29" t="str">
        <f>IF(OR($B153="",$A153&lt;=134),"",--MID('Key Analysis'!$C149,$A153-134,1))</f>
        <v/>
      </c>
      <c r="EH153" s="29"/>
      <c r="EI153" s="29" t="str">
        <f>IF(OR($B153="",$A153&lt;1),"",--MID('Key Analysis'!$C149,1,1))</f>
        <v/>
      </c>
      <c r="EJ153" s="29" t="str">
        <f>IF(OR($B153="",$A153&lt;2),"",--MID('Key Analysis'!$C149,2,1))</f>
        <v/>
      </c>
      <c r="EK153" s="29" t="str">
        <f>IF(OR($B153="",$A153&lt;3),"",--MID('Key Analysis'!$C149,3,1))</f>
        <v/>
      </c>
      <c r="EL153" s="29" t="str">
        <f>IF(OR($B153="",$A153&lt;4),"",--MID('Key Analysis'!$C149,4,1))</f>
        <v/>
      </c>
      <c r="EM153" s="29" t="str">
        <f>IF(OR($B153="",$A153&lt;5),"",--MID('Key Analysis'!$C149,5,1))</f>
        <v/>
      </c>
      <c r="EN153" s="29" t="str">
        <f>IF(OR($B153="",$A153&lt;6),"",--MID('Key Analysis'!$C149,6,1))</f>
        <v/>
      </c>
      <c r="EO153" s="29" t="str">
        <f>IF(OR($B153="",$A153&lt;7),"",--MID('Key Analysis'!$C149,7,1))</f>
        <v/>
      </c>
      <c r="EP153" s="29" t="str">
        <f>IF(OR($B153="",$A153&lt;8),"",--MID('Key Analysis'!$C149,8,1))</f>
        <v/>
      </c>
      <c r="EQ153" s="29" t="str">
        <f>IF(OR($B153="",$A153&lt;9),"",--MID('Key Analysis'!$C149,9,1))</f>
        <v/>
      </c>
      <c r="ER153" s="29" t="str">
        <f>IF(OR($B153="",$A153&lt;10),"",--MID('Key Analysis'!$C149,10,1))</f>
        <v/>
      </c>
      <c r="ES153" s="29" t="str">
        <f>IF(OR($B153="",$A153&lt;11),"",--MID('Key Analysis'!$C149,11,1))</f>
        <v/>
      </c>
      <c r="ET153" s="29" t="str">
        <f>IF(OR($B153="",$A153&lt;12),"",--MID('Key Analysis'!$C149,12,1))</f>
        <v/>
      </c>
      <c r="EU153" s="29" t="str">
        <f>IF(OR($B153="",$A153&lt;13),"",--MID('Key Analysis'!$C149,13,1))</f>
        <v/>
      </c>
      <c r="EV153" s="29" t="str">
        <f>IF(OR($B153="",$A153&lt;14),"",--MID('Key Analysis'!$C149,14,1))</f>
        <v/>
      </c>
      <c r="EW153" s="29" t="str">
        <f>IF(OR($B153="",$A153&lt;15),"",--MID('Key Analysis'!$C149,15,1))</f>
        <v/>
      </c>
      <c r="EX153" s="29" t="str">
        <f>IF(OR($B153="",$A153&lt;16),"",--MID('Key Analysis'!$C149,16,1))</f>
        <v/>
      </c>
      <c r="EY153" s="29" t="str">
        <f>IF(OR($B153="",$A153&lt;17),"",--MID('Key Analysis'!$C149,17,1))</f>
        <v/>
      </c>
      <c r="EZ153" s="29" t="str">
        <f>IF(OR($B153="",$A153&lt;18),"",--MID('Key Analysis'!$C149,18,1))</f>
        <v/>
      </c>
      <c r="FA153" s="29" t="str">
        <f>IF(OR($B153="",$A153&lt;19),"",--MID('Key Analysis'!$C149,19,1))</f>
        <v/>
      </c>
      <c r="FB153" s="29" t="str">
        <f>IF(OR($B153="",$A153&lt;20),"",--MID('Key Analysis'!$C149,20,1))</f>
        <v/>
      </c>
      <c r="FC153" s="29" t="str">
        <f>IF(OR($B153="",$A153&lt;21),"",--MID('Key Analysis'!$C149,21,1))</f>
        <v/>
      </c>
      <c r="FD153" s="29" t="str">
        <f>IF(OR($B153="",$A153&lt;22),"",--MID('Key Analysis'!$C149,22,1))</f>
        <v/>
      </c>
      <c r="FE153" s="29" t="str">
        <f>IF(OR($B153="",$A153&lt;23),"",--MID('Key Analysis'!$C149,23,1))</f>
        <v/>
      </c>
      <c r="FF153" s="29" t="str">
        <f>IF(OR($B153="",$A153&lt;24),"",--MID('Key Analysis'!$C149,24,1))</f>
        <v/>
      </c>
      <c r="FG153" s="29" t="str">
        <f>IF(OR($B153="",$A153&lt;25),"",--MID('Key Analysis'!$C149,25,1))</f>
        <v/>
      </c>
      <c r="FH153" s="29" t="str">
        <f>IF(OR($B153="",$A153&lt;26),"",--MID('Key Analysis'!$C149,26,1))</f>
        <v/>
      </c>
      <c r="FI153" s="29" t="str">
        <f>IF(OR($B153="",$A153&lt;27),"",--MID('Key Analysis'!$C149,27,1))</f>
        <v/>
      </c>
      <c r="FJ153" s="29" t="str">
        <f>IF(OR($B153="",$A153&lt;28),"",--MID('Key Analysis'!$C149,28,1))</f>
        <v/>
      </c>
      <c r="FK153" s="29" t="str">
        <f>IF(OR($B153="",$A153&lt;29),"",--MID('Key Analysis'!$C149,29,1))</f>
        <v/>
      </c>
      <c r="FL153" s="29" t="str">
        <f>IF(OR($B153="",$A153&lt;30),"",--MID('Key Analysis'!$C149,30,1))</f>
        <v/>
      </c>
      <c r="FM153" s="29" t="str">
        <f>IF(OR($B153="",$A153&lt;31),"",--MID('Key Analysis'!$C149,31,1))</f>
        <v/>
      </c>
      <c r="FN153" s="29" t="str">
        <f>IF(OR($B153="",$A153&lt;32),"",--MID('Key Analysis'!$C149,32,1))</f>
        <v/>
      </c>
      <c r="FO153" s="29" t="str">
        <f>IF(OR($B153="",$A153&lt;33),"",--MID('Key Analysis'!$C149,33,1))</f>
        <v/>
      </c>
      <c r="FP153" s="29" t="str">
        <f>IF(OR($B153="",$A153&lt;34),"",--MID('Key Analysis'!$C149,34,1))</f>
        <v/>
      </c>
      <c r="FQ153" s="29" t="str">
        <f>IF(OR($B153="",$A153&lt;35),"",--MID('Key Analysis'!$C149,35,1))</f>
        <v/>
      </c>
      <c r="FR153" s="29" t="str">
        <f>IF(OR($B153="",$A153&lt;36),"",--MID('Key Analysis'!$C149,36,1))</f>
        <v/>
      </c>
      <c r="FS153" s="29" t="str">
        <f>IF(OR($B153="",$A153&lt;37),"",--MID('Key Analysis'!$C149,37,1))</f>
        <v/>
      </c>
      <c r="FT153" s="29" t="str">
        <f>IF(OR($B153="",$A153&lt;38),"",--MID('Key Analysis'!$C149,38,1))</f>
        <v/>
      </c>
      <c r="FU153" s="29" t="str">
        <f>IF(OR($B153="",$A153&lt;39),"",--MID('Key Analysis'!$C149,39,1))</f>
        <v/>
      </c>
      <c r="FV153" s="29" t="str">
        <f>IF(OR($B153="",$A153&lt;40),"",--MID('Key Analysis'!$C149,40,1))</f>
        <v/>
      </c>
      <c r="FW153" s="29" t="str">
        <f>IF(OR($B153="",$A153&lt;41),"",--MID('Key Analysis'!$C149,41,1))</f>
        <v/>
      </c>
      <c r="FX153" s="29" t="str">
        <f>IF(OR($B153="",$A153&lt;42),"",--MID('Key Analysis'!$C149,42,1))</f>
        <v/>
      </c>
      <c r="FY153" s="29" t="str">
        <f>IF(OR($B153="",$A153&lt;43),"",--MID('Key Analysis'!$C149,43,1))</f>
        <v/>
      </c>
      <c r="FZ153" s="29" t="str">
        <f>IF(OR($B153="",$A153&lt;44),"",--MID('Key Analysis'!$C149,44,1))</f>
        <v/>
      </c>
      <c r="GA153" s="29" t="str">
        <f>IF(OR($B153="",$A153&lt;45),"",--MID('Key Analysis'!$C149,45,1))</f>
        <v/>
      </c>
      <c r="GB153" s="29" t="str">
        <f>IF(OR($B153="",$A153&lt;46),"",--MID('Key Analysis'!$C149,46,1))</f>
        <v/>
      </c>
      <c r="GC153" s="29" t="str">
        <f>IF(OR($B153="",$A153&lt;47),"",--MID('Key Analysis'!$C149,47,1))</f>
        <v/>
      </c>
      <c r="GD153" s="29" t="str">
        <f>IF(OR($B153="",$A153&lt;48),"",--MID('Key Analysis'!$C149,48,1))</f>
        <v/>
      </c>
      <c r="GE153" s="29" t="str">
        <f>IF(OR($B153="",$A153&lt;49),"",--MID('Key Analysis'!$C149,49,1))</f>
        <v/>
      </c>
      <c r="GF153" s="29" t="str">
        <f>IF(OR($B153="",$A153&lt;50),"",--MID('Key Analysis'!$C149,50,1))</f>
        <v/>
      </c>
      <c r="GG153" s="29" t="str">
        <f>IF(OR($B153="",$A153&lt;51),"",--MID('Key Analysis'!$C149,51,1))</f>
        <v/>
      </c>
      <c r="GH153" s="29" t="str">
        <f>IF(OR($B153="",$A153&lt;52),"",--MID('Key Analysis'!$C149,52,1))</f>
        <v/>
      </c>
      <c r="GI153" s="29" t="str">
        <f>IF(OR($B153="",$A153&lt;53),"",--MID('Key Analysis'!$C149,53,1))</f>
        <v/>
      </c>
      <c r="GJ153" s="29" t="str">
        <f>IF(OR($B153="",$A153&lt;54),"",--MID('Key Analysis'!$C149,54,1))</f>
        <v/>
      </c>
      <c r="GK153" s="29" t="str">
        <f>IF(OR($B153="",$A153&lt;55),"",--MID('Key Analysis'!$C149,55,1))</f>
        <v/>
      </c>
      <c r="GL153" s="29" t="str">
        <f>IF(OR($B153="",$A153&lt;56),"",--MID('Key Analysis'!$C149,56,1))</f>
        <v/>
      </c>
      <c r="GM153" s="29" t="str">
        <f>IF(OR($B153="",$A153&lt;57),"",--MID('Key Analysis'!$C149,57,1))</f>
        <v/>
      </c>
      <c r="GN153" s="29" t="str">
        <f>IF(OR($B153="",$A153&lt;58),"",--MID('Key Analysis'!$C149,58,1))</f>
        <v/>
      </c>
      <c r="GO153" s="29" t="str">
        <f>IF(OR($B153="",$A153&lt;59),"",--MID('Key Analysis'!$C149,59,1))</f>
        <v/>
      </c>
      <c r="GP153" s="29" t="str">
        <f>IF(OR($B153="",$A153&lt;60),"",--MID('Key Analysis'!$C149,60,1))</f>
        <v/>
      </c>
      <c r="GQ153" s="29" t="str">
        <f>IF(OR($B153="",$A153&lt;61),"",--MID('Key Analysis'!$C149,61,1))</f>
        <v/>
      </c>
      <c r="GR153" s="29" t="str">
        <f>IF(OR($B153="",$A153&lt;62),"",--MID('Key Analysis'!$C149,62,1))</f>
        <v/>
      </c>
      <c r="GS153" s="29" t="str">
        <f>IF(OR($B153="",$A153&lt;63),"",--MID('Key Analysis'!$C149,63,1))</f>
        <v/>
      </c>
      <c r="GT153" s="29" t="str">
        <f>IF(OR($B153="",$A153&lt;64),"",--MID('Key Analysis'!$C149,64,1))</f>
        <v/>
      </c>
      <c r="GU153" s="29" t="str">
        <f>IF(OR($B153="",$A153&lt;65),"",--MID('Key Analysis'!$C149,65,1))</f>
        <v/>
      </c>
      <c r="GV153" s="29" t="str">
        <f>IF(OR($B153="",$A153&lt;66),"",--MID('Key Analysis'!$C149,66,1))</f>
        <v/>
      </c>
      <c r="GW153" s="29" t="str">
        <f>IF(OR($B153="",$A153&lt;67),"",--MID('Key Analysis'!$C149,67,1))</f>
        <v/>
      </c>
      <c r="GX153" s="29" t="str">
        <f>IF(OR($B153="",$A153&lt;68),"",--MID('Key Analysis'!$C149,68,1))</f>
        <v/>
      </c>
      <c r="GY153" s="29" t="str">
        <f>IF(OR($B153="",$A153&lt;69),"",--MID('Key Analysis'!$C149,69,1))</f>
        <v/>
      </c>
      <c r="GZ153" s="29" t="str">
        <f>IF(OR($B153="",$A153&lt;70),"",--MID('Key Analysis'!$C149,70,1))</f>
        <v/>
      </c>
      <c r="HA153" s="29" t="str">
        <f>IF(OR($B153="",$A153&lt;71),"",--MID('Key Analysis'!$C149,71,1))</f>
        <v/>
      </c>
      <c r="HB153" s="29" t="str">
        <f>IF(OR($B153="",$A153&lt;72),"",--MID('Key Analysis'!$C149,72,1))</f>
        <v/>
      </c>
      <c r="HC153" s="29" t="str">
        <f>IF(OR($B153="",$A153&lt;73),"",--MID('Key Analysis'!$C149,73,1))</f>
        <v/>
      </c>
      <c r="HD153" s="29" t="str">
        <f>IF(OR($B153="",$A153&lt;74),"",--MID('Key Analysis'!$C149,74,1))</f>
        <v/>
      </c>
      <c r="HE153" s="29" t="str">
        <f>IF(OR($B153="",$A153&lt;75),"",--MID('Key Analysis'!$C149,75,1))</f>
        <v/>
      </c>
      <c r="HF153" s="29" t="str">
        <f>IF(OR($B153="",$A153&lt;76),"",--MID('Key Analysis'!$C149,76,1))</f>
        <v/>
      </c>
      <c r="HG153" s="29" t="str">
        <f>IF(OR($B153="",$A153&lt;77),"",--MID('Key Analysis'!$C149,77,1))</f>
        <v/>
      </c>
      <c r="HH153" s="29" t="str">
        <f>IF(OR($B153="",$A153&lt;78),"",--MID('Key Analysis'!$C149,78,1))</f>
        <v/>
      </c>
      <c r="HI153" s="29" t="str">
        <f>IF(OR($B153="",$A153&lt;79),"",--MID('Key Analysis'!$C149,79,1))</f>
        <v/>
      </c>
      <c r="HJ153" s="29" t="str">
        <f>IF(OR($B153="",$A153&lt;80),"",--MID('Key Analysis'!$C149,80,1))</f>
        <v/>
      </c>
      <c r="HK153" s="29" t="str">
        <f>IF(OR($B153="",$A153&lt;81),"",--MID('Key Analysis'!$C149,81,1))</f>
        <v/>
      </c>
      <c r="HL153" s="29" t="str">
        <f>IF(OR($B153="",$A153&lt;82),"",--MID('Key Analysis'!$C149,82,1))</f>
        <v/>
      </c>
      <c r="HM153" s="29" t="str">
        <f>IF(OR($B153="",$A153&lt;83),"",--MID('Key Analysis'!$C149,83,1))</f>
        <v/>
      </c>
      <c r="HN153" s="29" t="str">
        <f>IF(OR($B153="",$A153&lt;84),"",--MID('Key Analysis'!$C149,84,1))</f>
        <v/>
      </c>
      <c r="HO153" s="29" t="str">
        <f>IF(OR($B153="",$A153&lt;85),"",--MID('Key Analysis'!$C149,85,1))</f>
        <v/>
      </c>
      <c r="HP153" s="29" t="str">
        <f>IF(OR($B153="",$A153&lt;86),"",--MID('Key Analysis'!$C149,86,1))</f>
        <v/>
      </c>
      <c r="HQ153" s="29" t="str">
        <f>IF(OR($B153="",$A153&lt;87),"",--MID('Key Analysis'!$C149,87,1))</f>
        <v/>
      </c>
      <c r="HR153" s="29" t="str">
        <f>IF(OR($B153="",$A153&lt;88),"",--MID('Key Analysis'!$C149,88,1))</f>
        <v/>
      </c>
      <c r="HS153" s="29" t="str">
        <f>IF(OR($B153="",$A153&lt;89),"",--MID('Key Analysis'!$C149,89,1))</f>
        <v/>
      </c>
      <c r="HT153" s="29" t="str">
        <f>IF(OR($B153="",$A153&lt;90),"",--MID('Key Analysis'!$C149,90,1))</f>
        <v/>
      </c>
      <c r="HU153" s="29" t="str">
        <f>IF(OR($B153="",$A153&lt;91),"",--MID('Key Analysis'!$C149,91,1))</f>
        <v/>
      </c>
      <c r="HV153" s="29" t="str">
        <f>IF(OR($B153="",$A153&lt;92),"",--MID('Key Analysis'!$C149,92,1))</f>
        <v/>
      </c>
      <c r="HW153" s="29" t="str">
        <f>IF(OR($B153="",$A153&lt;93),"",--MID('Key Analysis'!$C149,93,1))</f>
        <v/>
      </c>
      <c r="HX153" s="29" t="str">
        <f>IF(OR($B153="",$A153&lt;94),"",--MID('Key Analysis'!$C149,94,1))</f>
        <v/>
      </c>
      <c r="HY153" s="29" t="str">
        <f>IF(OR($B153="",$A153&lt;95),"",--MID('Key Analysis'!$C149,95,1))</f>
        <v/>
      </c>
      <c r="HZ153" s="29" t="str">
        <f>IF(OR($B153="",$A153&lt;96),"",--MID('Key Analysis'!$C149,96,1))</f>
        <v/>
      </c>
      <c r="IA153" s="29" t="str">
        <f>IF(OR($B153="",$A153&lt;97),"",--MID('Key Analysis'!$C149,97,1))</f>
        <v/>
      </c>
      <c r="IB153" s="29" t="str">
        <f>IF(OR($B153="",$A153&lt;98),"",--MID('Key Analysis'!$C149,98,1))</f>
        <v/>
      </c>
      <c r="IC153" s="29" t="str">
        <f>IF(OR($B153="",$A153&lt;99),"",--MID('Key Analysis'!$C149,99,1))</f>
        <v/>
      </c>
      <c r="ID153" s="29" t="str">
        <f>IF(OR($B153="",$A153&lt;100),"",--MID('Key Analysis'!$C149,100,1))</f>
        <v/>
      </c>
      <c r="IE153" s="29" t="str">
        <f>IF(OR($B153="",$A153&lt;101),"",--MID('Key Analysis'!$C149,101,1))</f>
        <v/>
      </c>
      <c r="IF153" s="29" t="str">
        <f>IF(OR($B153="",$A153&lt;102),"",--MID('Key Analysis'!$C149,102,1))</f>
        <v/>
      </c>
      <c r="IG153" s="29" t="str">
        <f>IF(OR($B153="",$A153&lt;103),"",--MID('Key Analysis'!$C149,103,1))</f>
        <v/>
      </c>
      <c r="IH153" s="29" t="str">
        <f>IF(OR($B153="",$A153&lt;104),"",--MID('Key Analysis'!$C149,104,1))</f>
        <v/>
      </c>
      <c r="II153" s="29" t="str">
        <f>IF(OR($B153="",$A153&lt;105),"",--MID('Key Analysis'!$C149,105,1))</f>
        <v/>
      </c>
      <c r="IJ153" s="29" t="str">
        <f>IF(OR($B153="",$A153&lt;106),"",--MID('Key Analysis'!$C149,106,1))</f>
        <v/>
      </c>
      <c r="IK153" s="29" t="str">
        <f>IF(OR($B153="",$A153&lt;107),"",--MID('Key Analysis'!$C149,107,1))</f>
        <v/>
      </c>
      <c r="IL153" s="29" t="str">
        <f>IF(OR($B153="",$A153&lt;108),"",--MID('Key Analysis'!$C149,108,1))</f>
        <v/>
      </c>
      <c r="IM153" s="29" t="str">
        <f>IF(OR($B153="",$A153&lt;109),"",--MID('Key Analysis'!$C149,109,1))</f>
        <v/>
      </c>
      <c r="IN153" s="29" t="str">
        <f>IF(OR($B153="",$A153&lt;110),"",--MID('Key Analysis'!$C149,110,1))</f>
        <v/>
      </c>
      <c r="IO153" s="29" t="str">
        <f>IF(OR($B153="",$A153&lt;111),"",--MID('Key Analysis'!$C149,111,1))</f>
        <v/>
      </c>
      <c r="IP153" s="29" t="str">
        <f>IF(OR($B153="",$A153&lt;112),"",--MID('Key Analysis'!$C149,112,1))</f>
        <v/>
      </c>
      <c r="IQ153" s="29" t="str">
        <f>IF(OR($B153="",$A153&lt;113),"",--MID('Key Analysis'!$C149,113,1))</f>
        <v/>
      </c>
      <c r="IR153" s="29" t="str">
        <f>IF(OR($B153="",$A153&lt;114),"",--MID('Key Analysis'!$C149,114,1))</f>
        <v/>
      </c>
      <c r="IS153" s="29" t="str">
        <f>IF(OR($B153="",$A153&lt;115),"",--MID('Key Analysis'!$C149,115,1))</f>
        <v/>
      </c>
      <c r="IT153" s="29" t="str">
        <f>IF(OR($B153="",$A153&lt;116),"",--MID('Key Analysis'!$C149,116,1))</f>
        <v/>
      </c>
      <c r="IU153" s="29" t="str">
        <f>IF(OR($B153="",$A153&lt;117),"",--MID('Key Analysis'!$C149,117,1))</f>
        <v/>
      </c>
      <c r="IV153" s="29" t="str">
        <f>IF(OR($B153="",$A153&lt;118),"",--MID('Key Analysis'!$C149,118,1))</f>
        <v/>
      </c>
      <c r="IW153" s="29" t="str">
        <f>IF(OR($B153="",$A153&lt;119),"",--MID('Key Analysis'!$C149,119,1))</f>
        <v/>
      </c>
      <c r="IX153" s="29" t="str">
        <f>IF(OR($B153="",$A153&lt;120),"",--MID('Key Analysis'!$C149,120,1))</f>
        <v/>
      </c>
      <c r="IY153" s="29" t="str">
        <f>IF(OR($B153="",$A153&lt;121),"",--MID('Key Analysis'!$C149,121,1))</f>
        <v/>
      </c>
      <c r="IZ153" s="29" t="str">
        <f>IF(OR($B153="",$A153&lt;122),"",--MID('Key Analysis'!$C149,122,1))</f>
        <v/>
      </c>
      <c r="JA153" s="29" t="str">
        <f>IF(OR($B153="",$A153&lt;123),"",--MID('Key Analysis'!$C149,123,1))</f>
        <v/>
      </c>
      <c r="JB153" s="29" t="str">
        <f>IF(OR($B153="",$A153&lt;124),"",--MID('Key Analysis'!$C149,124,1))</f>
        <v/>
      </c>
      <c r="JC153" s="29" t="str">
        <f>IF(OR($B153="",$A153&lt;125),"",--MID('Key Analysis'!$C149,125,1))</f>
        <v/>
      </c>
      <c r="JD153" s="29" t="str">
        <f>IF(OR($B153="",$A153&lt;126),"",--MID('Key Analysis'!$C149,126,1))</f>
        <v/>
      </c>
      <c r="JE153" s="29" t="str">
        <f>IF(OR($B153="",$A153&lt;127),"",--MID('Key Analysis'!$C149,127,1))</f>
        <v/>
      </c>
      <c r="JF153" s="29" t="str">
        <f>IF(OR($B153="",$A153&lt;128),"",--MID('Key Analysis'!$C149,128,1))</f>
        <v/>
      </c>
      <c r="JG153" s="29" t="str">
        <f>IF(OR($B153="",$A153&lt;129),"",--MID('Key Analysis'!$C149,129,1))</f>
        <v/>
      </c>
      <c r="JH153" s="29" t="str">
        <f>IF(OR($B153="",$A153&lt;130),"",--MID('Key Analysis'!$C149,130,1))</f>
        <v/>
      </c>
      <c r="JI153" s="29" t="str">
        <f>IF(OR($B153="",$A153&lt;131),"",--MID('Key Analysis'!$C149,131,1))</f>
        <v/>
      </c>
      <c r="JJ153" s="29" t="str">
        <f>IF(OR($B153="",$A153&lt;132),"",--MID('Key Analysis'!$C149,132,1))</f>
        <v/>
      </c>
      <c r="JK153" s="29" t="str">
        <f>IF(OR($B153="",$A153&lt;133),"",--MID('Key Analysis'!$C149,133,1))</f>
        <v/>
      </c>
      <c r="JL153" s="29" t="str">
        <f>IF(OR($B153="",$A153&lt;134),"",--MID('Key Analysis'!$C149,134,1))</f>
        <v/>
      </c>
      <c r="JM153" s="29" t="str">
        <f>IF(OR($B153="",$A153&lt;135),"",--MID('Key Analysis'!$C149,135,1))</f>
        <v/>
      </c>
    </row>
    <row r="154" spans="1:273" x14ac:dyDescent="0.25">
      <c r="A154" s="21">
        <f>'Key Analysis'!A150</f>
        <v>149</v>
      </c>
      <c r="B154" s="30" t="str">
        <f>'Key Analysis'!B150</f>
        <v/>
      </c>
      <c r="C154" s="29" t="str">
        <f>IF(OR($B154="",$A154&lt;=0),"",--MID('Key Analysis'!$C150,$A154-0,1))</f>
        <v/>
      </c>
      <c r="D154" s="29" t="str">
        <f>IF(OR($B154="",$A154&lt;=1),"",--MID('Key Analysis'!$C150,$A154-1,1))</f>
        <v/>
      </c>
      <c r="E154" s="29" t="str">
        <f>IF(OR($B154="",$A154&lt;=2),"",--MID('Key Analysis'!$C150,$A154-2,1))</f>
        <v/>
      </c>
      <c r="F154" s="29" t="str">
        <f>IF(OR($B154="",$A154&lt;=3),"",--MID('Key Analysis'!$C150,$A154-3,1))</f>
        <v/>
      </c>
      <c r="G154" s="29" t="str">
        <f>IF(OR($B154="",$A154&lt;=4),"",--MID('Key Analysis'!$C150,$A154-4,1))</f>
        <v/>
      </c>
      <c r="H154" s="29" t="str">
        <f>IF(OR($B154="",$A154&lt;=5),"",--MID('Key Analysis'!$C150,$A154-5,1))</f>
        <v/>
      </c>
      <c r="I154" s="29" t="str">
        <f>IF(OR($B154="",$A154&lt;=6),"",--MID('Key Analysis'!$C150,$A154-6,1))</f>
        <v/>
      </c>
      <c r="J154" s="29" t="str">
        <f>IF(OR($B154="",$A154&lt;=7),"",--MID('Key Analysis'!$C150,$A154-7,1))</f>
        <v/>
      </c>
      <c r="K154" s="29" t="str">
        <f>IF(OR($B154="",$A154&lt;=8),"",--MID('Key Analysis'!$C150,$A154-8,1))</f>
        <v/>
      </c>
      <c r="L154" s="29" t="str">
        <f>IF(OR($B154="",$A154&lt;=9),"",--MID('Key Analysis'!$C150,$A154-9,1))</f>
        <v/>
      </c>
      <c r="M154" s="29" t="str">
        <f>IF(OR($B154="",$A154&lt;=10),"",--MID('Key Analysis'!$C150,$A154-10,1))</f>
        <v/>
      </c>
      <c r="N154" s="29" t="str">
        <f>IF(OR($B154="",$A154&lt;=11),"",--MID('Key Analysis'!$C150,$A154-11,1))</f>
        <v/>
      </c>
      <c r="O154" s="29" t="str">
        <f>IF(OR($B154="",$A154&lt;=12),"",--MID('Key Analysis'!$C150,$A154-12,1))</f>
        <v/>
      </c>
      <c r="P154" s="29" t="str">
        <f>IF(OR($B154="",$A154&lt;=13),"",--MID('Key Analysis'!$C150,$A154-13,1))</f>
        <v/>
      </c>
      <c r="Q154" s="29" t="str">
        <f>IF(OR($B154="",$A154&lt;=14),"",--MID('Key Analysis'!$C150,$A154-14,1))</f>
        <v/>
      </c>
      <c r="R154" s="29" t="str">
        <f>IF(OR($B154="",$A154&lt;=15),"",--MID('Key Analysis'!$C150,$A154-15,1))</f>
        <v/>
      </c>
      <c r="S154" s="29" t="str">
        <f>IF(OR($B154="",$A154&lt;=16),"",--MID('Key Analysis'!$C150,$A154-16,1))</f>
        <v/>
      </c>
      <c r="T154" s="29" t="str">
        <f>IF(OR($B154="",$A154&lt;=17),"",--MID('Key Analysis'!$C150,$A154-17,1))</f>
        <v/>
      </c>
      <c r="U154" s="29" t="str">
        <f>IF(OR($B154="",$A154&lt;=18),"",--MID('Key Analysis'!$C150,$A154-18,1))</f>
        <v/>
      </c>
      <c r="V154" s="29" t="str">
        <f>IF(OR($B154="",$A154&lt;=19),"",--MID('Key Analysis'!$C150,$A154-19,1))</f>
        <v/>
      </c>
      <c r="W154" s="29" t="str">
        <f>IF(OR($B154="",$A154&lt;=20),"",--MID('Key Analysis'!$C150,$A154-20,1))</f>
        <v/>
      </c>
      <c r="X154" s="29" t="str">
        <f>IF(OR($B154="",$A154&lt;=21),"",--MID('Key Analysis'!$C150,$A154-21,1))</f>
        <v/>
      </c>
      <c r="Y154" s="29" t="str">
        <f>IF(OR($B154="",$A154&lt;=22),"",--MID('Key Analysis'!$C150,$A154-22,1))</f>
        <v/>
      </c>
      <c r="Z154" s="29" t="str">
        <f>IF(OR($B154="",$A154&lt;=23),"",--MID('Key Analysis'!$C150,$A154-23,1))</f>
        <v/>
      </c>
      <c r="AA154" s="29" t="str">
        <f>IF(OR($B154="",$A154&lt;=24),"",--MID('Key Analysis'!$C150,$A154-24,1))</f>
        <v/>
      </c>
      <c r="AB154" s="29" t="str">
        <f>IF(OR($B154="",$A154&lt;=25),"",--MID('Key Analysis'!$C150,$A154-25,1))</f>
        <v/>
      </c>
      <c r="AC154" s="29" t="str">
        <f>IF(OR($B154="",$A154&lt;=26),"",--MID('Key Analysis'!$C150,$A154-26,1))</f>
        <v/>
      </c>
      <c r="AD154" s="29" t="str">
        <f>IF(OR($B154="",$A154&lt;=27),"",--MID('Key Analysis'!$C150,$A154-27,1))</f>
        <v/>
      </c>
      <c r="AE154" s="29" t="str">
        <f>IF(OR($B154="",$A154&lt;=28),"",--MID('Key Analysis'!$C150,$A154-28,1))</f>
        <v/>
      </c>
      <c r="AF154" s="29" t="str">
        <f>IF(OR($B154="",$A154&lt;=29),"",--MID('Key Analysis'!$C150,$A154-29,1))</f>
        <v/>
      </c>
      <c r="AG154" s="29" t="str">
        <f>IF(OR($B154="",$A154&lt;=30),"",--MID('Key Analysis'!$C150,$A154-30,1))</f>
        <v/>
      </c>
      <c r="AH154" s="29" t="str">
        <f>IF(OR($B154="",$A154&lt;=31),"",--MID('Key Analysis'!$C150,$A154-31,1))</f>
        <v/>
      </c>
      <c r="AI154" s="29" t="str">
        <f>IF(OR($B154="",$A154&lt;=32),"",--MID('Key Analysis'!$C150,$A154-32,1))</f>
        <v/>
      </c>
      <c r="AJ154" s="29" t="str">
        <f>IF(OR($B154="",$A154&lt;=33),"",--MID('Key Analysis'!$C150,$A154-33,1))</f>
        <v/>
      </c>
      <c r="AK154" s="29" t="str">
        <f>IF(OR($B154="",$A154&lt;=34),"",--MID('Key Analysis'!$C150,$A154-34,1))</f>
        <v/>
      </c>
      <c r="AL154" s="29" t="str">
        <f>IF(OR($B154="",$A154&lt;=35),"",--MID('Key Analysis'!$C150,$A154-35,1))</f>
        <v/>
      </c>
      <c r="AM154" s="29" t="str">
        <f>IF(OR($B154="",$A154&lt;=36),"",--MID('Key Analysis'!$C150,$A154-36,1))</f>
        <v/>
      </c>
      <c r="AN154" s="29" t="str">
        <f>IF(OR($B154="",$A154&lt;=37),"",--MID('Key Analysis'!$C150,$A154-37,1))</f>
        <v/>
      </c>
      <c r="AO154" s="29" t="str">
        <f>IF(OR($B154="",$A154&lt;=38),"",--MID('Key Analysis'!$C150,$A154-38,1))</f>
        <v/>
      </c>
      <c r="AP154" s="29" t="str">
        <f>IF(OR($B154="",$A154&lt;=39),"",--MID('Key Analysis'!$C150,$A154-39,1))</f>
        <v/>
      </c>
      <c r="AQ154" s="29" t="str">
        <f>IF(OR($B154="",$A154&lt;=40),"",--MID('Key Analysis'!$C150,$A154-40,1))</f>
        <v/>
      </c>
      <c r="AR154" s="29" t="str">
        <f>IF(OR($B154="",$A154&lt;=41),"",--MID('Key Analysis'!$C150,$A154-41,1))</f>
        <v/>
      </c>
      <c r="AS154" s="29" t="str">
        <f>IF(OR($B154="",$A154&lt;=42),"",--MID('Key Analysis'!$C150,$A154-42,1))</f>
        <v/>
      </c>
      <c r="AT154" s="29" t="str">
        <f>IF(OR($B154="",$A154&lt;=43),"",--MID('Key Analysis'!$C150,$A154-43,1))</f>
        <v/>
      </c>
      <c r="AU154" s="29" t="str">
        <f>IF(OR($B154="",$A154&lt;=44),"",--MID('Key Analysis'!$C150,$A154-44,1))</f>
        <v/>
      </c>
      <c r="AV154" s="29" t="str">
        <f>IF(OR($B154="",$A154&lt;=45),"",--MID('Key Analysis'!$C150,$A154-45,1))</f>
        <v/>
      </c>
      <c r="AW154" s="29" t="str">
        <f>IF(OR($B154="",$A154&lt;=46),"",--MID('Key Analysis'!$C150,$A154-46,1))</f>
        <v/>
      </c>
      <c r="AX154" s="29" t="str">
        <f>IF(OR($B154="",$A154&lt;=47),"",--MID('Key Analysis'!$C150,$A154-47,1))</f>
        <v/>
      </c>
      <c r="AY154" s="29" t="str">
        <f>IF(OR($B154="",$A154&lt;=48),"",--MID('Key Analysis'!$C150,$A154-48,1))</f>
        <v/>
      </c>
      <c r="AZ154" s="29" t="str">
        <f>IF(OR($B154="",$A154&lt;=49),"",--MID('Key Analysis'!$C150,$A154-49,1))</f>
        <v/>
      </c>
      <c r="BA154" s="29" t="str">
        <f>IF(OR($B154="",$A154&lt;=50),"",--MID('Key Analysis'!$C150,$A154-50,1))</f>
        <v/>
      </c>
      <c r="BB154" s="29" t="str">
        <f>IF(OR($B154="",$A154&lt;=51),"",--MID('Key Analysis'!$C150,$A154-51,1))</f>
        <v/>
      </c>
      <c r="BC154" s="29" t="str">
        <f>IF(OR($B154="",$A154&lt;=52),"",--MID('Key Analysis'!$C150,$A154-52,1))</f>
        <v/>
      </c>
      <c r="BD154" s="29" t="str">
        <f>IF(OR($B154="",$A154&lt;=53),"",--MID('Key Analysis'!$C150,$A154-53,1))</f>
        <v/>
      </c>
      <c r="BE154" s="29" t="str">
        <f>IF(OR($B154="",$A154&lt;=54),"",--MID('Key Analysis'!$C150,$A154-54,1))</f>
        <v/>
      </c>
      <c r="BF154" s="29" t="str">
        <f>IF(OR($B154="",$A154&lt;=55),"",--MID('Key Analysis'!$C150,$A154-55,1))</f>
        <v/>
      </c>
      <c r="BG154" s="29" t="str">
        <f>IF(OR($B154="",$A154&lt;=56),"",--MID('Key Analysis'!$C150,$A154-56,1))</f>
        <v/>
      </c>
      <c r="BH154" s="29" t="str">
        <f>IF(OR($B154="",$A154&lt;=57),"",--MID('Key Analysis'!$C150,$A154-57,1))</f>
        <v/>
      </c>
      <c r="BI154" s="29" t="str">
        <f>IF(OR($B154="",$A154&lt;=58),"",--MID('Key Analysis'!$C150,$A154-58,1))</f>
        <v/>
      </c>
      <c r="BJ154" s="29" t="str">
        <f>IF(OR($B154="",$A154&lt;=59),"",--MID('Key Analysis'!$C150,$A154-59,1))</f>
        <v/>
      </c>
      <c r="BK154" s="29" t="str">
        <f>IF(OR($B154="",$A154&lt;=60),"",--MID('Key Analysis'!$C150,$A154-60,1))</f>
        <v/>
      </c>
      <c r="BL154" s="29" t="str">
        <f>IF(OR($B154="",$A154&lt;=61),"",--MID('Key Analysis'!$C150,$A154-61,1))</f>
        <v/>
      </c>
      <c r="BM154" s="29" t="str">
        <f>IF(OR($B154="",$A154&lt;=62),"",--MID('Key Analysis'!$C150,$A154-62,1))</f>
        <v/>
      </c>
      <c r="BN154" s="29" t="str">
        <f>IF(OR($B154="",$A154&lt;=63),"",--MID('Key Analysis'!$C150,$A154-63,1))</f>
        <v/>
      </c>
      <c r="BO154" s="29" t="str">
        <f>IF(OR($B154="",$A154&lt;=64),"",--MID('Key Analysis'!$C150,$A154-64,1))</f>
        <v/>
      </c>
      <c r="BP154" s="29" t="str">
        <f>IF(OR($B154="",$A154&lt;=65),"",--MID('Key Analysis'!$C150,$A154-65,1))</f>
        <v/>
      </c>
      <c r="BQ154" s="29" t="str">
        <f>IF(OR($B154="",$A154&lt;=66),"",--MID('Key Analysis'!$C150,$A154-66,1))</f>
        <v/>
      </c>
      <c r="BR154" s="29" t="str">
        <f>IF(OR($B154="",$A154&lt;=67),"",--MID('Key Analysis'!$C150,$A154-67,1))</f>
        <v/>
      </c>
      <c r="BS154" s="29" t="str">
        <f>IF(OR($B154="",$A154&lt;=68),"",--MID('Key Analysis'!$C150,$A154-68,1))</f>
        <v/>
      </c>
      <c r="BT154" s="29" t="str">
        <f>IF(OR($B154="",$A154&lt;=69),"",--MID('Key Analysis'!$C150,$A154-69,1))</f>
        <v/>
      </c>
      <c r="BU154" s="29" t="str">
        <f>IF(OR($B154="",$A154&lt;=70),"",--MID('Key Analysis'!$C150,$A154-70,1))</f>
        <v/>
      </c>
      <c r="BV154" s="29" t="str">
        <f>IF(OR($B154="",$A154&lt;=71),"",--MID('Key Analysis'!$C150,$A154-71,1))</f>
        <v/>
      </c>
      <c r="BW154" s="29" t="str">
        <f>IF(OR($B154="",$A154&lt;=72),"",--MID('Key Analysis'!$C150,$A154-72,1))</f>
        <v/>
      </c>
      <c r="BX154" s="29" t="str">
        <f>IF(OR($B154="",$A154&lt;=73),"",--MID('Key Analysis'!$C150,$A154-73,1))</f>
        <v/>
      </c>
      <c r="BY154" s="29" t="str">
        <f>IF(OR($B154="",$A154&lt;=74),"",--MID('Key Analysis'!$C150,$A154-74,1))</f>
        <v/>
      </c>
      <c r="BZ154" s="29" t="str">
        <f>IF(OR($B154="",$A154&lt;=75),"",--MID('Key Analysis'!$C150,$A154-75,1))</f>
        <v/>
      </c>
      <c r="CA154" s="29" t="str">
        <f>IF(OR($B154="",$A154&lt;=76),"",--MID('Key Analysis'!$C150,$A154-76,1))</f>
        <v/>
      </c>
      <c r="CB154" s="29" t="str">
        <f>IF(OR($B154="",$A154&lt;=77),"",--MID('Key Analysis'!$C150,$A154-77,1))</f>
        <v/>
      </c>
      <c r="CC154" s="29" t="str">
        <f>IF(OR($B154="",$A154&lt;=78),"",--MID('Key Analysis'!$C150,$A154-78,1))</f>
        <v/>
      </c>
      <c r="CD154" s="29" t="str">
        <f>IF(OR($B154="",$A154&lt;=79),"",--MID('Key Analysis'!$C150,$A154-79,1))</f>
        <v/>
      </c>
      <c r="CE154" s="29" t="str">
        <f>IF(OR($B154="",$A154&lt;=80),"",--MID('Key Analysis'!$C150,$A154-80,1))</f>
        <v/>
      </c>
      <c r="CF154" s="29" t="str">
        <f>IF(OR($B154="",$A154&lt;=81),"",--MID('Key Analysis'!$C150,$A154-81,1))</f>
        <v/>
      </c>
      <c r="CG154" s="29" t="str">
        <f>IF(OR($B154="",$A154&lt;=82),"",--MID('Key Analysis'!$C150,$A154-82,1))</f>
        <v/>
      </c>
      <c r="CH154" s="29" t="str">
        <f>IF(OR($B154="",$A154&lt;=83),"",--MID('Key Analysis'!$C150,$A154-83,1))</f>
        <v/>
      </c>
      <c r="CI154" s="29" t="str">
        <f>IF(OR($B154="",$A154&lt;=84),"",--MID('Key Analysis'!$C150,$A154-84,1))</f>
        <v/>
      </c>
      <c r="CJ154" s="29" t="str">
        <f>IF(OR($B154="",$A154&lt;=85),"",--MID('Key Analysis'!$C150,$A154-85,1))</f>
        <v/>
      </c>
      <c r="CK154" s="29" t="str">
        <f>IF(OR($B154="",$A154&lt;=86),"",--MID('Key Analysis'!$C150,$A154-86,1))</f>
        <v/>
      </c>
      <c r="CL154" s="29" t="str">
        <f>IF(OR($B154="",$A154&lt;=87),"",--MID('Key Analysis'!$C150,$A154-87,1))</f>
        <v/>
      </c>
      <c r="CM154" s="29" t="str">
        <f>IF(OR($B154="",$A154&lt;=88),"",--MID('Key Analysis'!$C150,$A154-88,1))</f>
        <v/>
      </c>
      <c r="CN154" s="29" t="str">
        <f>IF(OR($B154="",$A154&lt;=89),"",--MID('Key Analysis'!$C150,$A154-89,1))</f>
        <v/>
      </c>
      <c r="CO154" s="29" t="str">
        <f>IF(OR($B154="",$A154&lt;=90),"",--MID('Key Analysis'!$C150,$A154-90,1))</f>
        <v/>
      </c>
      <c r="CP154" s="29" t="str">
        <f>IF(OR($B154="",$A154&lt;=91),"",--MID('Key Analysis'!$C150,$A154-91,1))</f>
        <v/>
      </c>
      <c r="CQ154" s="29" t="str">
        <f>IF(OR($B154="",$A154&lt;=92),"",--MID('Key Analysis'!$C150,$A154-92,1))</f>
        <v/>
      </c>
      <c r="CR154" s="29" t="str">
        <f>IF(OR($B154="",$A154&lt;=93),"",--MID('Key Analysis'!$C150,$A154-93,1))</f>
        <v/>
      </c>
      <c r="CS154" s="29" t="str">
        <f>IF(OR($B154="",$A154&lt;=94),"",--MID('Key Analysis'!$C150,$A154-94,1))</f>
        <v/>
      </c>
      <c r="CT154" s="29" t="str">
        <f>IF(OR($B154="",$A154&lt;=95),"",--MID('Key Analysis'!$C150,$A154-95,1))</f>
        <v/>
      </c>
      <c r="CU154" s="29" t="str">
        <f>IF(OR($B154="",$A154&lt;=96),"",--MID('Key Analysis'!$C150,$A154-96,1))</f>
        <v/>
      </c>
      <c r="CV154" s="29" t="str">
        <f>IF(OR($B154="",$A154&lt;=97),"",--MID('Key Analysis'!$C150,$A154-97,1))</f>
        <v/>
      </c>
      <c r="CW154" s="29" t="str">
        <f>IF(OR($B154="",$A154&lt;=98),"",--MID('Key Analysis'!$C150,$A154-98,1))</f>
        <v/>
      </c>
      <c r="CX154" s="29" t="str">
        <f>IF(OR($B154="",$A154&lt;=99),"",--MID('Key Analysis'!$C150,$A154-99,1))</f>
        <v/>
      </c>
      <c r="CY154" s="29" t="str">
        <f>IF(OR($B154="",$A154&lt;=100),"",--MID('Key Analysis'!$C150,$A154-100,1))</f>
        <v/>
      </c>
      <c r="CZ154" s="29" t="str">
        <f>IF(OR($B154="",$A154&lt;=101),"",--MID('Key Analysis'!$C150,$A154-101,1))</f>
        <v/>
      </c>
      <c r="DA154" s="29" t="str">
        <f>IF(OR($B154="",$A154&lt;=102),"",--MID('Key Analysis'!$C150,$A154-102,1))</f>
        <v/>
      </c>
      <c r="DB154" s="29" t="str">
        <f>IF(OR($B154="",$A154&lt;=103),"",--MID('Key Analysis'!$C150,$A154-103,1))</f>
        <v/>
      </c>
      <c r="DC154" s="29" t="str">
        <f>IF(OR($B154="",$A154&lt;=104),"",--MID('Key Analysis'!$C150,$A154-104,1))</f>
        <v/>
      </c>
      <c r="DD154" s="29" t="str">
        <f>IF(OR($B154="",$A154&lt;=105),"",--MID('Key Analysis'!$C150,$A154-105,1))</f>
        <v/>
      </c>
      <c r="DE154" s="29" t="str">
        <f>IF(OR($B154="",$A154&lt;=106),"",--MID('Key Analysis'!$C150,$A154-106,1))</f>
        <v/>
      </c>
      <c r="DF154" s="29" t="str">
        <f>IF(OR($B154="",$A154&lt;=107),"",--MID('Key Analysis'!$C150,$A154-107,1))</f>
        <v/>
      </c>
      <c r="DG154" s="29" t="str">
        <f>IF(OR($B154="",$A154&lt;=108),"",--MID('Key Analysis'!$C150,$A154-108,1))</f>
        <v/>
      </c>
      <c r="DH154" s="29" t="str">
        <f>IF(OR($B154="",$A154&lt;=109),"",--MID('Key Analysis'!$C150,$A154-109,1))</f>
        <v/>
      </c>
      <c r="DI154" s="29" t="str">
        <f>IF(OR($B154="",$A154&lt;=110),"",--MID('Key Analysis'!$C150,$A154-110,1))</f>
        <v/>
      </c>
      <c r="DJ154" s="29" t="str">
        <f>IF(OR($B154="",$A154&lt;=111),"",--MID('Key Analysis'!$C150,$A154-111,1))</f>
        <v/>
      </c>
      <c r="DK154" s="29" t="str">
        <f>IF(OR($B154="",$A154&lt;=112),"",--MID('Key Analysis'!$C150,$A154-112,1))</f>
        <v/>
      </c>
      <c r="DL154" s="29" t="str">
        <f>IF(OR($B154="",$A154&lt;=113),"",--MID('Key Analysis'!$C150,$A154-113,1))</f>
        <v/>
      </c>
      <c r="DM154" s="29" t="str">
        <f>IF(OR($B154="",$A154&lt;=114),"",--MID('Key Analysis'!$C150,$A154-114,1))</f>
        <v/>
      </c>
      <c r="DN154" s="29" t="str">
        <f>IF(OR($B154="",$A154&lt;=115),"",--MID('Key Analysis'!$C150,$A154-115,1))</f>
        <v/>
      </c>
      <c r="DO154" s="29" t="str">
        <f>IF(OR($B154="",$A154&lt;=116),"",--MID('Key Analysis'!$C150,$A154-116,1))</f>
        <v/>
      </c>
      <c r="DP154" s="29" t="str">
        <f>IF(OR($B154="",$A154&lt;=117),"",--MID('Key Analysis'!$C150,$A154-117,1))</f>
        <v/>
      </c>
      <c r="DQ154" s="29" t="str">
        <f>IF(OR($B154="",$A154&lt;=118),"",--MID('Key Analysis'!$C150,$A154-118,1))</f>
        <v/>
      </c>
      <c r="DR154" s="29" t="str">
        <f>IF(OR($B154="",$A154&lt;=119),"",--MID('Key Analysis'!$C150,$A154-119,1))</f>
        <v/>
      </c>
      <c r="DS154" s="29" t="str">
        <f>IF(OR($B154="",$A154&lt;=120),"",--MID('Key Analysis'!$C150,$A154-120,1))</f>
        <v/>
      </c>
      <c r="DT154" s="29" t="str">
        <f>IF(OR($B154="",$A154&lt;=121),"",--MID('Key Analysis'!$C150,$A154-121,1))</f>
        <v/>
      </c>
      <c r="DU154" s="29" t="str">
        <f>IF(OR($B154="",$A154&lt;=122),"",--MID('Key Analysis'!$C150,$A154-122,1))</f>
        <v/>
      </c>
      <c r="DV154" s="29" t="str">
        <f>IF(OR($B154="",$A154&lt;=123),"",--MID('Key Analysis'!$C150,$A154-123,1))</f>
        <v/>
      </c>
      <c r="DW154" s="29" t="str">
        <f>IF(OR($B154="",$A154&lt;=124),"",--MID('Key Analysis'!$C150,$A154-124,1))</f>
        <v/>
      </c>
      <c r="DX154" s="29" t="str">
        <f>IF(OR($B154="",$A154&lt;=125),"",--MID('Key Analysis'!$C150,$A154-125,1))</f>
        <v/>
      </c>
      <c r="DY154" s="29" t="str">
        <f>IF(OR($B154="",$A154&lt;=126),"",--MID('Key Analysis'!$C150,$A154-126,1))</f>
        <v/>
      </c>
      <c r="DZ154" s="29" t="str">
        <f>IF(OR($B154="",$A154&lt;=127),"",--MID('Key Analysis'!$C150,$A154-127,1))</f>
        <v/>
      </c>
      <c r="EA154" s="29" t="str">
        <f>IF(OR($B154="",$A154&lt;=128),"",--MID('Key Analysis'!$C150,$A154-128,1))</f>
        <v/>
      </c>
      <c r="EB154" s="29" t="str">
        <f>IF(OR($B154="",$A154&lt;=129),"",--MID('Key Analysis'!$C150,$A154-129,1))</f>
        <v/>
      </c>
      <c r="EC154" s="29" t="str">
        <f>IF(OR($B154="",$A154&lt;=130),"",--MID('Key Analysis'!$C150,$A154-130,1))</f>
        <v/>
      </c>
      <c r="ED154" s="29" t="str">
        <f>IF(OR($B154="",$A154&lt;=131),"",--MID('Key Analysis'!$C150,$A154-131,1))</f>
        <v/>
      </c>
      <c r="EE154" s="29" t="str">
        <f>IF(OR($B154="",$A154&lt;=132),"",--MID('Key Analysis'!$C150,$A154-132,1))</f>
        <v/>
      </c>
      <c r="EF154" s="29" t="str">
        <f>IF(OR($B154="",$A154&lt;=133),"",--MID('Key Analysis'!$C150,$A154-133,1))</f>
        <v/>
      </c>
      <c r="EG154" s="29" t="str">
        <f>IF(OR($B154="",$A154&lt;=134),"",--MID('Key Analysis'!$C150,$A154-134,1))</f>
        <v/>
      </c>
      <c r="EH154" s="29"/>
      <c r="EI154" s="29" t="str">
        <f>IF(OR($B154="",$A154&lt;1),"",--MID('Key Analysis'!$C150,1,1))</f>
        <v/>
      </c>
      <c r="EJ154" s="29" t="str">
        <f>IF(OR($B154="",$A154&lt;2),"",--MID('Key Analysis'!$C150,2,1))</f>
        <v/>
      </c>
      <c r="EK154" s="29" t="str">
        <f>IF(OR($B154="",$A154&lt;3),"",--MID('Key Analysis'!$C150,3,1))</f>
        <v/>
      </c>
      <c r="EL154" s="29" t="str">
        <f>IF(OR($B154="",$A154&lt;4),"",--MID('Key Analysis'!$C150,4,1))</f>
        <v/>
      </c>
      <c r="EM154" s="29" t="str">
        <f>IF(OR($B154="",$A154&lt;5),"",--MID('Key Analysis'!$C150,5,1))</f>
        <v/>
      </c>
      <c r="EN154" s="29" t="str">
        <f>IF(OR($B154="",$A154&lt;6),"",--MID('Key Analysis'!$C150,6,1))</f>
        <v/>
      </c>
      <c r="EO154" s="29" t="str">
        <f>IF(OR($B154="",$A154&lt;7),"",--MID('Key Analysis'!$C150,7,1))</f>
        <v/>
      </c>
      <c r="EP154" s="29" t="str">
        <f>IF(OR($B154="",$A154&lt;8),"",--MID('Key Analysis'!$C150,8,1))</f>
        <v/>
      </c>
      <c r="EQ154" s="29" t="str">
        <f>IF(OR($B154="",$A154&lt;9),"",--MID('Key Analysis'!$C150,9,1))</f>
        <v/>
      </c>
      <c r="ER154" s="29" t="str">
        <f>IF(OR($B154="",$A154&lt;10),"",--MID('Key Analysis'!$C150,10,1))</f>
        <v/>
      </c>
      <c r="ES154" s="29" t="str">
        <f>IF(OR($B154="",$A154&lt;11),"",--MID('Key Analysis'!$C150,11,1))</f>
        <v/>
      </c>
      <c r="ET154" s="29" t="str">
        <f>IF(OR($B154="",$A154&lt;12),"",--MID('Key Analysis'!$C150,12,1))</f>
        <v/>
      </c>
      <c r="EU154" s="29" t="str">
        <f>IF(OR($B154="",$A154&lt;13),"",--MID('Key Analysis'!$C150,13,1))</f>
        <v/>
      </c>
      <c r="EV154" s="29" t="str">
        <f>IF(OR($B154="",$A154&lt;14),"",--MID('Key Analysis'!$C150,14,1))</f>
        <v/>
      </c>
      <c r="EW154" s="29" t="str">
        <f>IF(OR($B154="",$A154&lt;15),"",--MID('Key Analysis'!$C150,15,1))</f>
        <v/>
      </c>
      <c r="EX154" s="29" t="str">
        <f>IF(OR($B154="",$A154&lt;16),"",--MID('Key Analysis'!$C150,16,1))</f>
        <v/>
      </c>
      <c r="EY154" s="29" t="str">
        <f>IF(OR($B154="",$A154&lt;17),"",--MID('Key Analysis'!$C150,17,1))</f>
        <v/>
      </c>
      <c r="EZ154" s="29" t="str">
        <f>IF(OR($B154="",$A154&lt;18),"",--MID('Key Analysis'!$C150,18,1))</f>
        <v/>
      </c>
      <c r="FA154" s="29" t="str">
        <f>IF(OR($B154="",$A154&lt;19),"",--MID('Key Analysis'!$C150,19,1))</f>
        <v/>
      </c>
      <c r="FB154" s="29" t="str">
        <f>IF(OR($B154="",$A154&lt;20),"",--MID('Key Analysis'!$C150,20,1))</f>
        <v/>
      </c>
      <c r="FC154" s="29" t="str">
        <f>IF(OR($B154="",$A154&lt;21),"",--MID('Key Analysis'!$C150,21,1))</f>
        <v/>
      </c>
      <c r="FD154" s="29" t="str">
        <f>IF(OR($B154="",$A154&lt;22),"",--MID('Key Analysis'!$C150,22,1))</f>
        <v/>
      </c>
      <c r="FE154" s="29" t="str">
        <f>IF(OR($B154="",$A154&lt;23),"",--MID('Key Analysis'!$C150,23,1))</f>
        <v/>
      </c>
      <c r="FF154" s="29" t="str">
        <f>IF(OR($B154="",$A154&lt;24),"",--MID('Key Analysis'!$C150,24,1))</f>
        <v/>
      </c>
      <c r="FG154" s="29" t="str">
        <f>IF(OR($B154="",$A154&lt;25),"",--MID('Key Analysis'!$C150,25,1))</f>
        <v/>
      </c>
      <c r="FH154" s="29" t="str">
        <f>IF(OR($B154="",$A154&lt;26),"",--MID('Key Analysis'!$C150,26,1))</f>
        <v/>
      </c>
      <c r="FI154" s="29" t="str">
        <f>IF(OR($B154="",$A154&lt;27),"",--MID('Key Analysis'!$C150,27,1))</f>
        <v/>
      </c>
      <c r="FJ154" s="29" t="str">
        <f>IF(OR($B154="",$A154&lt;28),"",--MID('Key Analysis'!$C150,28,1))</f>
        <v/>
      </c>
      <c r="FK154" s="29" t="str">
        <f>IF(OR($B154="",$A154&lt;29),"",--MID('Key Analysis'!$C150,29,1))</f>
        <v/>
      </c>
      <c r="FL154" s="29" t="str">
        <f>IF(OR($B154="",$A154&lt;30),"",--MID('Key Analysis'!$C150,30,1))</f>
        <v/>
      </c>
      <c r="FM154" s="29" t="str">
        <f>IF(OR($B154="",$A154&lt;31),"",--MID('Key Analysis'!$C150,31,1))</f>
        <v/>
      </c>
      <c r="FN154" s="29" t="str">
        <f>IF(OR($B154="",$A154&lt;32),"",--MID('Key Analysis'!$C150,32,1))</f>
        <v/>
      </c>
      <c r="FO154" s="29" t="str">
        <f>IF(OR($B154="",$A154&lt;33),"",--MID('Key Analysis'!$C150,33,1))</f>
        <v/>
      </c>
      <c r="FP154" s="29" t="str">
        <f>IF(OR($B154="",$A154&lt;34),"",--MID('Key Analysis'!$C150,34,1))</f>
        <v/>
      </c>
      <c r="FQ154" s="29" t="str">
        <f>IF(OR($B154="",$A154&lt;35),"",--MID('Key Analysis'!$C150,35,1))</f>
        <v/>
      </c>
      <c r="FR154" s="29" t="str">
        <f>IF(OR($B154="",$A154&lt;36),"",--MID('Key Analysis'!$C150,36,1))</f>
        <v/>
      </c>
      <c r="FS154" s="29" t="str">
        <f>IF(OR($B154="",$A154&lt;37),"",--MID('Key Analysis'!$C150,37,1))</f>
        <v/>
      </c>
      <c r="FT154" s="29" t="str">
        <f>IF(OR($B154="",$A154&lt;38),"",--MID('Key Analysis'!$C150,38,1))</f>
        <v/>
      </c>
      <c r="FU154" s="29" t="str">
        <f>IF(OR($B154="",$A154&lt;39),"",--MID('Key Analysis'!$C150,39,1))</f>
        <v/>
      </c>
      <c r="FV154" s="29" t="str">
        <f>IF(OR($B154="",$A154&lt;40),"",--MID('Key Analysis'!$C150,40,1))</f>
        <v/>
      </c>
      <c r="FW154" s="29" t="str">
        <f>IF(OR($B154="",$A154&lt;41),"",--MID('Key Analysis'!$C150,41,1))</f>
        <v/>
      </c>
      <c r="FX154" s="29" t="str">
        <f>IF(OR($B154="",$A154&lt;42),"",--MID('Key Analysis'!$C150,42,1))</f>
        <v/>
      </c>
      <c r="FY154" s="29" t="str">
        <f>IF(OR($B154="",$A154&lt;43),"",--MID('Key Analysis'!$C150,43,1))</f>
        <v/>
      </c>
      <c r="FZ154" s="29" t="str">
        <f>IF(OR($B154="",$A154&lt;44),"",--MID('Key Analysis'!$C150,44,1))</f>
        <v/>
      </c>
      <c r="GA154" s="29" t="str">
        <f>IF(OR($B154="",$A154&lt;45),"",--MID('Key Analysis'!$C150,45,1))</f>
        <v/>
      </c>
      <c r="GB154" s="29" t="str">
        <f>IF(OR($B154="",$A154&lt;46),"",--MID('Key Analysis'!$C150,46,1))</f>
        <v/>
      </c>
      <c r="GC154" s="29" t="str">
        <f>IF(OR($B154="",$A154&lt;47),"",--MID('Key Analysis'!$C150,47,1))</f>
        <v/>
      </c>
      <c r="GD154" s="29" t="str">
        <f>IF(OR($B154="",$A154&lt;48),"",--MID('Key Analysis'!$C150,48,1))</f>
        <v/>
      </c>
      <c r="GE154" s="29" t="str">
        <f>IF(OR($B154="",$A154&lt;49),"",--MID('Key Analysis'!$C150,49,1))</f>
        <v/>
      </c>
      <c r="GF154" s="29" t="str">
        <f>IF(OR($B154="",$A154&lt;50),"",--MID('Key Analysis'!$C150,50,1))</f>
        <v/>
      </c>
      <c r="GG154" s="29" t="str">
        <f>IF(OR($B154="",$A154&lt;51),"",--MID('Key Analysis'!$C150,51,1))</f>
        <v/>
      </c>
      <c r="GH154" s="29" t="str">
        <f>IF(OR($B154="",$A154&lt;52),"",--MID('Key Analysis'!$C150,52,1))</f>
        <v/>
      </c>
      <c r="GI154" s="29" t="str">
        <f>IF(OR($B154="",$A154&lt;53),"",--MID('Key Analysis'!$C150,53,1))</f>
        <v/>
      </c>
      <c r="GJ154" s="29" t="str">
        <f>IF(OR($B154="",$A154&lt;54),"",--MID('Key Analysis'!$C150,54,1))</f>
        <v/>
      </c>
      <c r="GK154" s="29" t="str">
        <f>IF(OR($B154="",$A154&lt;55),"",--MID('Key Analysis'!$C150,55,1))</f>
        <v/>
      </c>
      <c r="GL154" s="29" t="str">
        <f>IF(OR($B154="",$A154&lt;56),"",--MID('Key Analysis'!$C150,56,1))</f>
        <v/>
      </c>
      <c r="GM154" s="29" t="str">
        <f>IF(OR($B154="",$A154&lt;57),"",--MID('Key Analysis'!$C150,57,1))</f>
        <v/>
      </c>
      <c r="GN154" s="29" t="str">
        <f>IF(OR($B154="",$A154&lt;58),"",--MID('Key Analysis'!$C150,58,1))</f>
        <v/>
      </c>
      <c r="GO154" s="29" t="str">
        <f>IF(OR($B154="",$A154&lt;59),"",--MID('Key Analysis'!$C150,59,1))</f>
        <v/>
      </c>
      <c r="GP154" s="29" t="str">
        <f>IF(OR($B154="",$A154&lt;60),"",--MID('Key Analysis'!$C150,60,1))</f>
        <v/>
      </c>
      <c r="GQ154" s="29" t="str">
        <f>IF(OR($B154="",$A154&lt;61),"",--MID('Key Analysis'!$C150,61,1))</f>
        <v/>
      </c>
      <c r="GR154" s="29" t="str">
        <f>IF(OR($B154="",$A154&lt;62),"",--MID('Key Analysis'!$C150,62,1))</f>
        <v/>
      </c>
      <c r="GS154" s="29" t="str">
        <f>IF(OR($B154="",$A154&lt;63),"",--MID('Key Analysis'!$C150,63,1))</f>
        <v/>
      </c>
      <c r="GT154" s="29" t="str">
        <f>IF(OR($B154="",$A154&lt;64),"",--MID('Key Analysis'!$C150,64,1))</f>
        <v/>
      </c>
      <c r="GU154" s="29" t="str">
        <f>IF(OR($B154="",$A154&lt;65),"",--MID('Key Analysis'!$C150,65,1))</f>
        <v/>
      </c>
      <c r="GV154" s="29" t="str">
        <f>IF(OR($B154="",$A154&lt;66),"",--MID('Key Analysis'!$C150,66,1))</f>
        <v/>
      </c>
      <c r="GW154" s="29" t="str">
        <f>IF(OR($B154="",$A154&lt;67),"",--MID('Key Analysis'!$C150,67,1))</f>
        <v/>
      </c>
      <c r="GX154" s="29" t="str">
        <f>IF(OR($B154="",$A154&lt;68),"",--MID('Key Analysis'!$C150,68,1))</f>
        <v/>
      </c>
      <c r="GY154" s="29" t="str">
        <f>IF(OR($B154="",$A154&lt;69),"",--MID('Key Analysis'!$C150,69,1))</f>
        <v/>
      </c>
      <c r="GZ154" s="29" t="str">
        <f>IF(OR($B154="",$A154&lt;70),"",--MID('Key Analysis'!$C150,70,1))</f>
        <v/>
      </c>
      <c r="HA154" s="29" t="str">
        <f>IF(OR($B154="",$A154&lt;71),"",--MID('Key Analysis'!$C150,71,1))</f>
        <v/>
      </c>
      <c r="HB154" s="29" t="str">
        <f>IF(OR($B154="",$A154&lt;72),"",--MID('Key Analysis'!$C150,72,1))</f>
        <v/>
      </c>
      <c r="HC154" s="29" t="str">
        <f>IF(OR($B154="",$A154&lt;73),"",--MID('Key Analysis'!$C150,73,1))</f>
        <v/>
      </c>
      <c r="HD154" s="29" t="str">
        <f>IF(OR($B154="",$A154&lt;74),"",--MID('Key Analysis'!$C150,74,1))</f>
        <v/>
      </c>
      <c r="HE154" s="29" t="str">
        <f>IF(OR($B154="",$A154&lt;75),"",--MID('Key Analysis'!$C150,75,1))</f>
        <v/>
      </c>
      <c r="HF154" s="29" t="str">
        <f>IF(OR($B154="",$A154&lt;76),"",--MID('Key Analysis'!$C150,76,1))</f>
        <v/>
      </c>
      <c r="HG154" s="29" t="str">
        <f>IF(OR($B154="",$A154&lt;77),"",--MID('Key Analysis'!$C150,77,1))</f>
        <v/>
      </c>
      <c r="HH154" s="29" t="str">
        <f>IF(OR($B154="",$A154&lt;78),"",--MID('Key Analysis'!$C150,78,1))</f>
        <v/>
      </c>
      <c r="HI154" s="29" t="str">
        <f>IF(OR($B154="",$A154&lt;79),"",--MID('Key Analysis'!$C150,79,1))</f>
        <v/>
      </c>
      <c r="HJ154" s="29" t="str">
        <f>IF(OR($B154="",$A154&lt;80),"",--MID('Key Analysis'!$C150,80,1))</f>
        <v/>
      </c>
      <c r="HK154" s="29" t="str">
        <f>IF(OR($B154="",$A154&lt;81),"",--MID('Key Analysis'!$C150,81,1))</f>
        <v/>
      </c>
      <c r="HL154" s="29" t="str">
        <f>IF(OR($B154="",$A154&lt;82),"",--MID('Key Analysis'!$C150,82,1))</f>
        <v/>
      </c>
      <c r="HM154" s="29" t="str">
        <f>IF(OR($B154="",$A154&lt;83),"",--MID('Key Analysis'!$C150,83,1))</f>
        <v/>
      </c>
      <c r="HN154" s="29" t="str">
        <f>IF(OR($B154="",$A154&lt;84),"",--MID('Key Analysis'!$C150,84,1))</f>
        <v/>
      </c>
      <c r="HO154" s="29" t="str">
        <f>IF(OR($B154="",$A154&lt;85),"",--MID('Key Analysis'!$C150,85,1))</f>
        <v/>
      </c>
      <c r="HP154" s="29" t="str">
        <f>IF(OR($B154="",$A154&lt;86),"",--MID('Key Analysis'!$C150,86,1))</f>
        <v/>
      </c>
      <c r="HQ154" s="29" t="str">
        <f>IF(OR($B154="",$A154&lt;87),"",--MID('Key Analysis'!$C150,87,1))</f>
        <v/>
      </c>
      <c r="HR154" s="29" t="str">
        <f>IF(OR($B154="",$A154&lt;88),"",--MID('Key Analysis'!$C150,88,1))</f>
        <v/>
      </c>
      <c r="HS154" s="29" t="str">
        <f>IF(OR($B154="",$A154&lt;89),"",--MID('Key Analysis'!$C150,89,1))</f>
        <v/>
      </c>
      <c r="HT154" s="29" t="str">
        <f>IF(OR($B154="",$A154&lt;90),"",--MID('Key Analysis'!$C150,90,1))</f>
        <v/>
      </c>
      <c r="HU154" s="29" t="str">
        <f>IF(OR($B154="",$A154&lt;91),"",--MID('Key Analysis'!$C150,91,1))</f>
        <v/>
      </c>
      <c r="HV154" s="29" t="str">
        <f>IF(OR($B154="",$A154&lt;92),"",--MID('Key Analysis'!$C150,92,1))</f>
        <v/>
      </c>
      <c r="HW154" s="29" t="str">
        <f>IF(OR($B154="",$A154&lt;93),"",--MID('Key Analysis'!$C150,93,1))</f>
        <v/>
      </c>
      <c r="HX154" s="29" t="str">
        <f>IF(OR($B154="",$A154&lt;94),"",--MID('Key Analysis'!$C150,94,1))</f>
        <v/>
      </c>
      <c r="HY154" s="29" t="str">
        <f>IF(OR($B154="",$A154&lt;95),"",--MID('Key Analysis'!$C150,95,1))</f>
        <v/>
      </c>
      <c r="HZ154" s="29" t="str">
        <f>IF(OR($B154="",$A154&lt;96),"",--MID('Key Analysis'!$C150,96,1))</f>
        <v/>
      </c>
      <c r="IA154" s="29" t="str">
        <f>IF(OR($B154="",$A154&lt;97),"",--MID('Key Analysis'!$C150,97,1))</f>
        <v/>
      </c>
      <c r="IB154" s="29" t="str">
        <f>IF(OR($B154="",$A154&lt;98),"",--MID('Key Analysis'!$C150,98,1))</f>
        <v/>
      </c>
      <c r="IC154" s="29" t="str">
        <f>IF(OR($B154="",$A154&lt;99),"",--MID('Key Analysis'!$C150,99,1))</f>
        <v/>
      </c>
      <c r="ID154" s="29" t="str">
        <f>IF(OR($B154="",$A154&lt;100),"",--MID('Key Analysis'!$C150,100,1))</f>
        <v/>
      </c>
      <c r="IE154" s="29" t="str">
        <f>IF(OR($B154="",$A154&lt;101),"",--MID('Key Analysis'!$C150,101,1))</f>
        <v/>
      </c>
      <c r="IF154" s="29" t="str">
        <f>IF(OR($B154="",$A154&lt;102),"",--MID('Key Analysis'!$C150,102,1))</f>
        <v/>
      </c>
      <c r="IG154" s="29" t="str">
        <f>IF(OR($B154="",$A154&lt;103),"",--MID('Key Analysis'!$C150,103,1))</f>
        <v/>
      </c>
      <c r="IH154" s="29" t="str">
        <f>IF(OR($B154="",$A154&lt;104),"",--MID('Key Analysis'!$C150,104,1))</f>
        <v/>
      </c>
      <c r="II154" s="29" t="str">
        <f>IF(OR($B154="",$A154&lt;105),"",--MID('Key Analysis'!$C150,105,1))</f>
        <v/>
      </c>
      <c r="IJ154" s="29" t="str">
        <f>IF(OR($B154="",$A154&lt;106),"",--MID('Key Analysis'!$C150,106,1))</f>
        <v/>
      </c>
      <c r="IK154" s="29" t="str">
        <f>IF(OR($B154="",$A154&lt;107),"",--MID('Key Analysis'!$C150,107,1))</f>
        <v/>
      </c>
      <c r="IL154" s="29" t="str">
        <f>IF(OR($B154="",$A154&lt;108),"",--MID('Key Analysis'!$C150,108,1))</f>
        <v/>
      </c>
      <c r="IM154" s="29" t="str">
        <f>IF(OR($B154="",$A154&lt;109),"",--MID('Key Analysis'!$C150,109,1))</f>
        <v/>
      </c>
      <c r="IN154" s="29" t="str">
        <f>IF(OR($B154="",$A154&lt;110),"",--MID('Key Analysis'!$C150,110,1))</f>
        <v/>
      </c>
      <c r="IO154" s="29" t="str">
        <f>IF(OR($B154="",$A154&lt;111),"",--MID('Key Analysis'!$C150,111,1))</f>
        <v/>
      </c>
      <c r="IP154" s="29" t="str">
        <f>IF(OR($B154="",$A154&lt;112),"",--MID('Key Analysis'!$C150,112,1))</f>
        <v/>
      </c>
      <c r="IQ154" s="29" t="str">
        <f>IF(OR($B154="",$A154&lt;113),"",--MID('Key Analysis'!$C150,113,1))</f>
        <v/>
      </c>
      <c r="IR154" s="29" t="str">
        <f>IF(OR($B154="",$A154&lt;114),"",--MID('Key Analysis'!$C150,114,1))</f>
        <v/>
      </c>
      <c r="IS154" s="29" t="str">
        <f>IF(OR($B154="",$A154&lt;115),"",--MID('Key Analysis'!$C150,115,1))</f>
        <v/>
      </c>
      <c r="IT154" s="29" t="str">
        <f>IF(OR($B154="",$A154&lt;116),"",--MID('Key Analysis'!$C150,116,1))</f>
        <v/>
      </c>
      <c r="IU154" s="29" t="str">
        <f>IF(OR($B154="",$A154&lt;117),"",--MID('Key Analysis'!$C150,117,1))</f>
        <v/>
      </c>
      <c r="IV154" s="29" t="str">
        <f>IF(OR($B154="",$A154&lt;118),"",--MID('Key Analysis'!$C150,118,1))</f>
        <v/>
      </c>
      <c r="IW154" s="29" t="str">
        <f>IF(OR($B154="",$A154&lt;119),"",--MID('Key Analysis'!$C150,119,1))</f>
        <v/>
      </c>
      <c r="IX154" s="29" t="str">
        <f>IF(OR($B154="",$A154&lt;120),"",--MID('Key Analysis'!$C150,120,1))</f>
        <v/>
      </c>
      <c r="IY154" s="29" t="str">
        <f>IF(OR($B154="",$A154&lt;121),"",--MID('Key Analysis'!$C150,121,1))</f>
        <v/>
      </c>
      <c r="IZ154" s="29" t="str">
        <f>IF(OR($B154="",$A154&lt;122),"",--MID('Key Analysis'!$C150,122,1))</f>
        <v/>
      </c>
      <c r="JA154" s="29" t="str">
        <f>IF(OR($B154="",$A154&lt;123),"",--MID('Key Analysis'!$C150,123,1))</f>
        <v/>
      </c>
      <c r="JB154" s="29" t="str">
        <f>IF(OR($B154="",$A154&lt;124),"",--MID('Key Analysis'!$C150,124,1))</f>
        <v/>
      </c>
      <c r="JC154" s="29" t="str">
        <f>IF(OR($B154="",$A154&lt;125),"",--MID('Key Analysis'!$C150,125,1))</f>
        <v/>
      </c>
      <c r="JD154" s="29" t="str">
        <f>IF(OR($B154="",$A154&lt;126),"",--MID('Key Analysis'!$C150,126,1))</f>
        <v/>
      </c>
      <c r="JE154" s="29" t="str">
        <f>IF(OR($B154="",$A154&lt;127),"",--MID('Key Analysis'!$C150,127,1))</f>
        <v/>
      </c>
      <c r="JF154" s="29" t="str">
        <f>IF(OR($B154="",$A154&lt;128),"",--MID('Key Analysis'!$C150,128,1))</f>
        <v/>
      </c>
      <c r="JG154" s="29" t="str">
        <f>IF(OR($B154="",$A154&lt;129),"",--MID('Key Analysis'!$C150,129,1))</f>
        <v/>
      </c>
      <c r="JH154" s="29" t="str">
        <f>IF(OR($B154="",$A154&lt;130),"",--MID('Key Analysis'!$C150,130,1))</f>
        <v/>
      </c>
      <c r="JI154" s="29" t="str">
        <f>IF(OR($B154="",$A154&lt;131),"",--MID('Key Analysis'!$C150,131,1))</f>
        <v/>
      </c>
      <c r="JJ154" s="29" t="str">
        <f>IF(OR($B154="",$A154&lt;132),"",--MID('Key Analysis'!$C150,132,1))</f>
        <v/>
      </c>
      <c r="JK154" s="29" t="str">
        <f>IF(OR($B154="",$A154&lt;133),"",--MID('Key Analysis'!$C150,133,1))</f>
        <v/>
      </c>
      <c r="JL154" s="29" t="str">
        <f>IF(OR($B154="",$A154&lt;134),"",--MID('Key Analysis'!$C150,134,1))</f>
        <v/>
      </c>
      <c r="JM154" s="29" t="str">
        <f>IF(OR($B154="",$A154&lt;135),"",--MID('Key Analysis'!$C150,135,1))</f>
        <v/>
      </c>
    </row>
    <row r="155" spans="1:273" x14ac:dyDescent="0.25">
      <c r="A155" s="21">
        <f>'Key Analysis'!A151</f>
        <v>150</v>
      </c>
      <c r="B155" s="30" t="str">
        <f>'Key Analysis'!B151</f>
        <v/>
      </c>
      <c r="C155" s="29" t="str">
        <f>IF(OR($B155="",$A155&lt;=0),"",--MID('Key Analysis'!$C151,$A155-0,1))</f>
        <v/>
      </c>
      <c r="D155" s="29" t="str">
        <f>IF(OR($B155="",$A155&lt;=1),"",--MID('Key Analysis'!$C151,$A155-1,1))</f>
        <v/>
      </c>
      <c r="E155" s="29" t="str">
        <f>IF(OR($B155="",$A155&lt;=2),"",--MID('Key Analysis'!$C151,$A155-2,1))</f>
        <v/>
      </c>
      <c r="F155" s="29" t="str">
        <f>IF(OR($B155="",$A155&lt;=3),"",--MID('Key Analysis'!$C151,$A155-3,1))</f>
        <v/>
      </c>
      <c r="G155" s="29" t="str">
        <f>IF(OR($B155="",$A155&lt;=4),"",--MID('Key Analysis'!$C151,$A155-4,1))</f>
        <v/>
      </c>
      <c r="H155" s="29" t="str">
        <f>IF(OR($B155="",$A155&lt;=5),"",--MID('Key Analysis'!$C151,$A155-5,1))</f>
        <v/>
      </c>
      <c r="I155" s="29" t="str">
        <f>IF(OR($B155="",$A155&lt;=6),"",--MID('Key Analysis'!$C151,$A155-6,1))</f>
        <v/>
      </c>
      <c r="J155" s="29" t="str">
        <f>IF(OR($B155="",$A155&lt;=7),"",--MID('Key Analysis'!$C151,$A155-7,1))</f>
        <v/>
      </c>
      <c r="K155" s="29" t="str">
        <f>IF(OR($B155="",$A155&lt;=8),"",--MID('Key Analysis'!$C151,$A155-8,1))</f>
        <v/>
      </c>
      <c r="L155" s="29" t="str">
        <f>IF(OR($B155="",$A155&lt;=9),"",--MID('Key Analysis'!$C151,$A155-9,1))</f>
        <v/>
      </c>
      <c r="M155" s="29" t="str">
        <f>IF(OR($B155="",$A155&lt;=10),"",--MID('Key Analysis'!$C151,$A155-10,1))</f>
        <v/>
      </c>
      <c r="N155" s="29" t="str">
        <f>IF(OR($B155="",$A155&lt;=11),"",--MID('Key Analysis'!$C151,$A155-11,1))</f>
        <v/>
      </c>
      <c r="O155" s="29" t="str">
        <f>IF(OR($B155="",$A155&lt;=12),"",--MID('Key Analysis'!$C151,$A155-12,1))</f>
        <v/>
      </c>
      <c r="P155" s="29" t="str">
        <f>IF(OR($B155="",$A155&lt;=13),"",--MID('Key Analysis'!$C151,$A155-13,1))</f>
        <v/>
      </c>
      <c r="Q155" s="29" t="str">
        <f>IF(OR($B155="",$A155&lt;=14),"",--MID('Key Analysis'!$C151,$A155-14,1))</f>
        <v/>
      </c>
      <c r="R155" s="29" t="str">
        <f>IF(OR($B155="",$A155&lt;=15),"",--MID('Key Analysis'!$C151,$A155-15,1))</f>
        <v/>
      </c>
      <c r="S155" s="29" t="str">
        <f>IF(OR($B155="",$A155&lt;=16),"",--MID('Key Analysis'!$C151,$A155-16,1))</f>
        <v/>
      </c>
      <c r="T155" s="29" t="str">
        <f>IF(OR($B155="",$A155&lt;=17),"",--MID('Key Analysis'!$C151,$A155-17,1))</f>
        <v/>
      </c>
      <c r="U155" s="29" t="str">
        <f>IF(OR($B155="",$A155&lt;=18),"",--MID('Key Analysis'!$C151,$A155-18,1))</f>
        <v/>
      </c>
      <c r="V155" s="29" t="str">
        <f>IF(OR($B155="",$A155&lt;=19),"",--MID('Key Analysis'!$C151,$A155-19,1))</f>
        <v/>
      </c>
      <c r="W155" s="29" t="str">
        <f>IF(OR($B155="",$A155&lt;=20),"",--MID('Key Analysis'!$C151,$A155-20,1))</f>
        <v/>
      </c>
      <c r="X155" s="29" t="str">
        <f>IF(OR($B155="",$A155&lt;=21),"",--MID('Key Analysis'!$C151,$A155-21,1))</f>
        <v/>
      </c>
      <c r="Y155" s="29" t="str">
        <f>IF(OR($B155="",$A155&lt;=22),"",--MID('Key Analysis'!$C151,$A155-22,1))</f>
        <v/>
      </c>
      <c r="Z155" s="29" t="str">
        <f>IF(OR($B155="",$A155&lt;=23),"",--MID('Key Analysis'!$C151,$A155-23,1))</f>
        <v/>
      </c>
      <c r="AA155" s="29" t="str">
        <f>IF(OR($B155="",$A155&lt;=24),"",--MID('Key Analysis'!$C151,$A155-24,1))</f>
        <v/>
      </c>
      <c r="AB155" s="29" t="str">
        <f>IF(OR($B155="",$A155&lt;=25),"",--MID('Key Analysis'!$C151,$A155-25,1))</f>
        <v/>
      </c>
      <c r="AC155" s="29" t="str">
        <f>IF(OR($B155="",$A155&lt;=26),"",--MID('Key Analysis'!$C151,$A155-26,1))</f>
        <v/>
      </c>
      <c r="AD155" s="29" t="str">
        <f>IF(OR($B155="",$A155&lt;=27),"",--MID('Key Analysis'!$C151,$A155-27,1))</f>
        <v/>
      </c>
      <c r="AE155" s="29" t="str">
        <f>IF(OR($B155="",$A155&lt;=28),"",--MID('Key Analysis'!$C151,$A155-28,1))</f>
        <v/>
      </c>
      <c r="AF155" s="29" t="str">
        <f>IF(OR($B155="",$A155&lt;=29),"",--MID('Key Analysis'!$C151,$A155-29,1))</f>
        <v/>
      </c>
      <c r="AG155" s="29" t="str">
        <f>IF(OR($B155="",$A155&lt;=30),"",--MID('Key Analysis'!$C151,$A155-30,1))</f>
        <v/>
      </c>
      <c r="AH155" s="29" t="str">
        <f>IF(OR($B155="",$A155&lt;=31),"",--MID('Key Analysis'!$C151,$A155-31,1))</f>
        <v/>
      </c>
      <c r="AI155" s="29" t="str">
        <f>IF(OR($B155="",$A155&lt;=32),"",--MID('Key Analysis'!$C151,$A155-32,1))</f>
        <v/>
      </c>
      <c r="AJ155" s="29" t="str">
        <f>IF(OR($B155="",$A155&lt;=33),"",--MID('Key Analysis'!$C151,$A155-33,1))</f>
        <v/>
      </c>
      <c r="AK155" s="29" t="str">
        <f>IF(OR($B155="",$A155&lt;=34),"",--MID('Key Analysis'!$C151,$A155-34,1))</f>
        <v/>
      </c>
      <c r="AL155" s="29" t="str">
        <f>IF(OR($B155="",$A155&lt;=35),"",--MID('Key Analysis'!$C151,$A155-35,1))</f>
        <v/>
      </c>
      <c r="AM155" s="29" t="str">
        <f>IF(OR($B155="",$A155&lt;=36),"",--MID('Key Analysis'!$C151,$A155-36,1))</f>
        <v/>
      </c>
      <c r="AN155" s="29" t="str">
        <f>IF(OR($B155="",$A155&lt;=37),"",--MID('Key Analysis'!$C151,$A155-37,1))</f>
        <v/>
      </c>
      <c r="AO155" s="29" t="str">
        <f>IF(OR($B155="",$A155&lt;=38),"",--MID('Key Analysis'!$C151,$A155-38,1))</f>
        <v/>
      </c>
      <c r="AP155" s="29" t="str">
        <f>IF(OR($B155="",$A155&lt;=39),"",--MID('Key Analysis'!$C151,$A155-39,1))</f>
        <v/>
      </c>
      <c r="AQ155" s="29" t="str">
        <f>IF(OR($B155="",$A155&lt;=40),"",--MID('Key Analysis'!$C151,$A155-40,1))</f>
        <v/>
      </c>
      <c r="AR155" s="29" t="str">
        <f>IF(OR($B155="",$A155&lt;=41),"",--MID('Key Analysis'!$C151,$A155-41,1))</f>
        <v/>
      </c>
      <c r="AS155" s="29" t="str">
        <f>IF(OR($B155="",$A155&lt;=42),"",--MID('Key Analysis'!$C151,$A155-42,1))</f>
        <v/>
      </c>
      <c r="AT155" s="29" t="str">
        <f>IF(OR($B155="",$A155&lt;=43),"",--MID('Key Analysis'!$C151,$A155-43,1))</f>
        <v/>
      </c>
      <c r="AU155" s="29" t="str">
        <f>IF(OR($B155="",$A155&lt;=44),"",--MID('Key Analysis'!$C151,$A155-44,1))</f>
        <v/>
      </c>
      <c r="AV155" s="29" t="str">
        <f>IF(OR($B155="",$A155&lt;=45),"",--MID('Key Analysis'!$C151,$A155-45,1))</f>
        <v/>
      </c>
      <c r="AW155" s="29" t="str">
        <f>IF(OR($B155="",$A155&lt;=46),"",--MID('Key Analysis'!$C151,$A155-46,1))</f>
        <v/>
      </c>
      <c r="AX155" s="29" t="str">
        <f>IF(OR($B155="",$A155&lt;=47),"",--MID('Key Analysis'!$C151,$A155-47,1))</f>
        <v/>
      </c>
      <c r="AY155" s="29" t="str">
        <f>IF(OR($B155="",$A155&lt;=48),"",--MID('Key Analysis'!$C151,$A155-48,1))</f>
        <v/>
      </c>
      <c r="AZ155" s="29" t="str">
        <f>IF(OR($B155="",$A155&lt;=49),"",--MID('Key Analysis'!$C151,$A155-49,1))</f>
        <v/>
      </c>
      <c r="BA155" s="29" t="str">
        <f>IF(OR($B155="",$A155&lt;=50),"",--MID('Key Analysis'!$C151,$A155-50,1))</f>
        <v/>
      </c>
      <c r="BB155" s="29" t="str">
        <f>IF(OR($B155="",$A155&lt;=51),"",--MID('Key Analysis'!$C151,$A155-51,1))</f>
        <v/>
      </c>
      <c r="BC155" s="29" t="str">
        <f>IF(OR($B155="",$A155&lt;=52),"",--MID('Key Analysis'!$C151,$A155-52,1))</f>
        <v/>
      </c>
      <c r="BD155" s="29" t="str">
        <f>IF(OR($B155="",$A155&lt;=53),"",--MID('Key Analysis'!$C151,$A155-53,1))</f>
        <v/>
      </c>
      <c r="BE155" s="29" t="str">
        <f>IF(OR($B155="",$A155&lt;=54),"",--MID('Key Analysis'!$C151,$A155-54,1))</f>
        <v/>
      </c>
      <c r="BF155" s="29" t="str">
        <f>IF(OR($B155="",$A155&lt;=55),"",--MID('Key Analysis'!$C151,$A155-55,1))</f>
        <v/>
      </c>
      <c r="BG155" s="29" t="str">
        <f>IF(OR($B155="",$A155&lt;=56),"",--MID('Key Analysis'!$C151,$A155-56,1))</f>
        <v/>
      </c>
      <c r="BH155" s="29" t="str">
        <f>IF(OR($B155="",$A155&lt;=57),"",--MID('Key Analysis'!$C151,$A155-57,1))</f>
        <v/>
      </c>
      <c r="BI155" s="29" t="str">
        <f>IF(OR($B155="",$A155&lt;=58),"",--MID('Key Analysis'!$C151,$A155-58,1))</f>
        <v/>
      </c>
      <c r="BJ155" s="29" t="str">
        <f>IF(OR($B155="",$A155&lt;=59),"",--MID('Key Analysis'!$C151,$A155-59,1))</f>
        <v/>
      </c>
      <c r="BK155" s="29" t="str">
        <f>IF(OR($B155="",$A155&lt;=60),"",--MID('Key Analysis'!$C151,$A155-60,1))</f>
        <v/>
      </c>
      <c r="BL155" s="29" t="str">
        <f>IF(OR($B155="",$A155&lt;=61),"",--MID('Key Analysis'!$C151,$A155-61,1))</f>
        <v/>
      </c>
      <c r="BM155" s="29" t="str">
        <f>IF(OR($B155="",$A155&lt;=62),"",--MID('Key Analysis'!$C151,$A155-62,1))</f>
        <v/>
      </c>
      <c r="BN155" s="29" t="str">
        <f>IF(OR($B155="",$A155&lt;=63),"",--MID('Key Analysis'!$C151,$A155-63,1))</f>
        <v/>
      </c>
      <c r="BO155" s="29" t="str">
        <f>IF(OR($B155="",$A155&lt;=64),"",--MID('Key Analysis'!$C151,$A155-64,1))</f>
        <v/>
      </c>
      <c r="BP155" s="29" t="str">
        <f>IF(OR($B155="",$A155&lt;=65),"",--MID('Key Analysis'!$C151,$A155-65,1))</f>
        <v/>
      </c>
      <c r="BQ155" s="29" t="str">
        <f>IF(OR($B155="",$A155&lt;=66),"",--MID('Key Analysis'!$C151,$A155-66,1))</f>
        <v/>
      </c>
      <c r="BR155" s="29" t="str">
        <f>IF(OR($B155="",$A155&lt;=67),"",--MID('Key Analysis'!$C151,$A155-67,1))</f>
        <v/>
      </c>
      <c r="BS155" s="29" t="str">
        <f>IF(OR($B155="",$A155&lt;=68),"",--MID('Key Analysis'!$C151,$A155-68,1))</f>
        <v/>
      </c>
      <c r="BT155" s="29" t="str">
        <f>IF(OR($B155="",$A155&lt;=69),"",--MID('Key Analysis'!$C151,$A155-69,1))</f>
        <v/>
      </c>
      <c r="BU155" s="29" t="str">
        <f>IF(OR($B155="",$A155&lt;=70),"",--MID('Key Analysis'!$C151,$A155-70,1))</f>
        <v/>
      </c>
      <c r="BV155" s="29" t="str">
        <f>IF(OR($B155="",$A155&lt;=71),"",--MID('Key Analysis'!$C151,$A155-71,1))</f>
        <v/>
      </c>
      <c r="BW155" s="29" t="str">
        <f>IF(OR($B155="",$A155&lt;=72),"",--MID('Key Analysis'!$C151,$A155-72,1))</f>
        <v/>
      </c>
      <c r="BX155" s="29" t="str">
        <f>IF(OR($B155="",$A155&lt;=73),"",--MID('Key Analysis'!$C151,$A155-73,1))</f>
        <v/>
      </c>
      <c r="BY155" s="29" t="str">
        <f>IF(OR($B155="",$A155&lt;=74),"",--MID('Key Analysis'!$C151,$A155-74,1))</f>
        <v/>
      </c>
      <c r="BZ155" s="29" t="str">
        <f>IF(OR($B155="",$A155&lt;=75),"",--MID('Key Analysis'!$C151,$A155-75,1))</f>
        <v/>
      </c>
      <c r="CA155" s="29" t="str">
        <f>IF(OR($B155="",$A155&lt;=76),"",--MID('Key Analysis'!$C151,$A155-76,1))</f>
        <v/>
      </c>
      <c r="CB155" s="29" t="str">
        <f>IF(OR($B155="",$A155&lt;=77),"",--MID('Key Analysis'!$C151,$A155-77,1))</f>
        <v/>
      </c>
      <c r="CC155" s="29" t="str">
        <f>IF(OR($B155="",$A155&lt;=78),"",--MID('Key Analysis'!$C151,$A155-78,1))</f>
        <v/>
      </c>
      <c r="CD155" s="29" t="str">
        <f>IF(OR($B155="",$A155&lt;=79),"",--MID('Key Analysis'!$C151,$A155-79,1))</f>
        <v/>
      </c>
      <c r="CE155" s="29" t="str">
        <f>IF(OR($B155="",$A155&lt;=80),"",--MID('Key Analysis'!$C151,$A155-80,1))</f>
        <v/>
      </c>
      <c r="CF155" s="29" t="str">
        <f>IF(OR($B155="",$A155&lt;=81),"",--MID('Key Analysis'!$C151,$A155-81,1))</f>
        <v/>
      </c>
      <c r="CG155" s="29" t="str">
        <f>IF(OR($B155="",$A155&lt;=82),"",--MID('Key Analysis'!$C151,$A155-82,1))</f>
        <v/>
      </c>
      <c r="CH155" s="29" t="str">
        <f>IF(OR($B155="",$A155&lt;=83),"",--MID('Key Analysis'!$C151,$A155-83,1))</f>
        <v/>
      </c>
      <c r="CI155" s="29" t="str">
        <f>IF(OR($B155="",$A155&lt;=84),"",--MID('Key Analysis'!$C151,$A155-84,1))</f>
        <v/>
      </c>
      <c r="CJ155" s="29" t="str">
        <f>IF(OR($B155="",$A155&lt;=85),"",--MID('Key Analysis'!$C151,$A155-85,1))</f>
        <v/>
      </c>
      <c r="CK155" s="29" t="str">
        <f>IF(OR($B155="",$A155&lt;=86),"",--MID('Key Analysis'!$C151,$A155-86,1))</f>
        <v/>
      </c>
      <c r="CL155" s="29" t="str">
        <f>IF(OR($B155="",$A155&lt;=87),"",--MID('Key Analysis'!$C151,$A155-87,1))</f>
        <v/>
      </c>
      <c r="CM155" s="29" t="str">
        <f>IF(OR($B155="",$A155&lt;=88),"",--MID('Key Analysis'!$C151,$A155-88,1))</f>
        <v/>
      </c>
      <c r="CN155" s="29" t="str">
        <f>IF(OR($B155="",$A155&lt;=89),"",--MID('Key Analysis'!$C151,$A155-89,1))</f>
        <v/>
      </c>
      <c r="CO155" s="29" t="str">
        <f>IF(OR($B155="",$A155&lt;=90),"",--MID('Key Analysis'!$C151,$A155-90,1))</f>
        <v/>
      </c>
      <c r="CP155" s="29" t="str">
        <f>IF(OR($B155="",$A155&lt;=91),"",--MID('Key Analysis'!$C151,$A155-91,1))</f>
        <v/>
      </c>
      <c r="CQ155" s="29" t="str">
        <f>IF(OR($B155="",$A155&lt;=92),"",--MID('Key Analysis'!$C151,$A155-92,1))</f>
        <v/>
      </c>
      <c r="CR155" s="29" t="str">
        <f>IF(OR($B155="",$A155&lt;=93),"",--MID('Key Analysis'!$C151,$A155-93,1))</f>
        <v/>
      </c>
      <c r="CS155" s="29" t="str">
        <f>IF(OR($B155="",$A155&lt;=94),"",--MID('Key Analysis'!$C151,$A155-94,1))</f>
        <v/>
      </c>
      <c r="CT155" s="29" t="str">
        <f>IF(OR($B155="",$A155&lt;=95),"",--MID('Key Analysis'!$C151,$A155-95,1))</f>
        <v/>
      </c>
      <c r="CU155" s="29" t="str">
        <f>IF(OR($B155="",$A155&lt;=96),"",--MID('Key Analysis'!$C151,$A155-96,1))</f>
        <v/>
      </c>
      <c r="CV155" s="29" t="str">
        <f>IF(OR($B155="",$A155&lt;=97),"",--MID('Key Analysis'!$C151,$A155-97,1))</f>
        <v/>
      </c>
      <c r="CW155" s="29" t="str">
        <f>IF(OR($B155="",$A155&lt;=98),"",--MID('Key Analysis'!$C151,$A155-98,1))</f>
        <v/>
      </c>
      <c r="CX155" s="29" t="str">
        <f>IF(OR($B155="",$A155&lt;=99),"",--MID('Key Analysis'!$C151,$A155-99,1))</f>
        <v/>
      </c>
      <c r="CY155" s="29" t="str">
        <f>IF(OR($B155="",$A155&lt;=100),"",--MID('Key Analysis'!$C151,$A155-100,1))</f>
        <v/>
      </c>
      <c r="CZ155" s="29" t="str">
        <f>IF(OR($B155="",$A155&lt;=101),"",--MID('Key Analysis'!$C151,$A155-101,1))</f>
        <v/>
      </c>
      <c r="DA155" s="29" t="str">
        <f>IF(OR($B155="",$A155&lt;=102),"",--MID('Key Analysis'!$C151,$A155-102,1))</f>
        <v/>
      </c>
      <c r="DB155" s="29" t="str">
        <f>IF(OR($B155="",$A155&lt;=103),"",--MID('Key Analysis'!$C151,$A155-103,1))</f>
        <v/>
      </c>
      <c r="DC155" s="29" t="str">
        <f>IF(OR($B155="",$A155&lt;=104),"",--MID('Key Analysis'!$C151,$A155-104,1))</f>
        <v/>
      </c>
      <c r="DD155" s="29" t="str">
        <f>IF(OR($B155="",$A155&lt;=105),"",--MID('Key Analysis'!$C151,$A155-105,1))</f>
        <v/>
      </c>
      <c r="DE155" s="29" t="str">
        <f>IF(OR($B155="",$A155&lt;=106),"",--MID('Key Analysis'!$C151,$A155-106,1))</f>
        <v/>
      </c>
      <c r="DF155" s="29" t="str">
        <f>IF(OR($B155="",$A155&lt;=107),"",--MID('Key Analysis'!$C151,$A155-107,1))</f>
        <v/>
      </c>
      <c r="DG155" s="29" t="str">
        <f>IF(OR($B155="",$A155&lt;=108),"",--MID('Key Analysis'!$C151,$A155-108,1))</f>
        <v/>
      </c>
      <c r="DH155" s="29" t="str">
        <f>IF(OR($B155="",$A155&lt;=109),"",--MID('Key Analysis'!$C151,$A155-109,1))</f>
        <v/>
      </c>
      <c r="DI155" s="29" t="str">
        <f>IF(OR($B155="",$A155&lt;=110),"",--MID('Key Analysis'!$C151,$A155-110,1))</f>
        <v/>
      </c>
      <c r="DJ155" s="29" t="str">
        <f>IF(OR($B155="",$A155&lt;=111),"",--MID('Key Analysis'!$C151,$A155-111,1))</f>
        <v/>
      </c>
      <c r="DK155" s="29" t="str">
        <f>IF(OR($B155="",$A155&lt;=112),"",--MID('Key Analysis'!$C151,$A155-112,1))</f>
        <v/>
      </c>
      <c r="DL155" s="29" t="str">
        <f>IF(OR($B155="",$A155&lt;=113),"",--MID('Key Analysis'!$C151,$A155-113,1))</f>
        <v/>
      </c>
      <c r="DM155" s="29" t="str">
        <f>IF(OR($B155="",$A155&lt;=114),"",--MID('Key Analysis'!$C151,$A155-114,1))</f>
        <v/>
      </c>
      <c r="DN155" s="29" t="str">
        <f>IF(OR($B155="",$A155&lt;=115),"",--MID('Key Analysis'!$C151,$A155-115,1))</f>
        <v/>
      </c>
      <c r="DO155" s="29" t="str">
        <f>IF(OR($B155="",$A155&lt;=116),"",--MID('Key Analysis'!$C151,$A155-116,1))</f>
        <v/>
      </c>
      <c r="DP155" s="29" t="str">
        <f>IF(OR($B155="",$A155&lt;=117),"",--MID('Key Analysis'!$C151,$A155-117,1))</f>
        <v/>
      </c>
      <c r="DQ155" s="29" t="str">
        <f>IF(OR($B155="",$A155&lt;=118),"",--MID('Key Analysis'!$C151,$A155-118,1))</f>
        <v/>
      </c>
      <c r="DR155" s="29" t="str">
        <f>IF(OR($B155="",$A155&lt;=119),"",--MID('Key Analysis'!$C151,$A155-119,1))</f>
        <v/>
      </c>
      <c r="DS155" s="29" t="str">
        <f>IF(OR($B155="",$A155&lt;=120),"",--MID('Key Analysis'!$C151,$A155-120,1))</f>
        <v/>
      </c>
      <c r="DT155" s="29" t="str">
        <f>IF(OR($B155="",$A155&lt;=121),"",--MID('Key Analysis'!$C151,$A155-121,1))</f>
        <v/>
      </c>
      <c r="DU155" s="29" t="str">
        <f>IF(OR($B155="",$A155&lt;=122),"",--MID('Key Analysis'!$C151,$A155-122,1))</f>
        <v/>
      </c>
      <c r="DV155" s="29" t="str">
        <f>IF(OR($B155="",$A155&lt;=123),"",--MID('Key Analysis'!$C151,$A155-123,1))</f>
        <v/>
      </c>
      <c r="DW155" s="29" t="str">
        <f>IF(OR($B155="",$A155&lt;=124),"",--MID('Key Analysis'!$C151,$A155-124,1))</f>
        <v/>
      </c>
      <c r="DX155" s="29" t="str">
        <f>IF(OR($B155="",$A155&lt;=125),"",--MID('Key Analysis'!$C151,$A155-125,1))</f>
        <v/>
      </c>
      <c r="DY155" s="29" t="str">
        <f>IF(OR($B155="",$A155&lt;=126),"",--MID('Key Analysis'!$C151,$A155-126,1))</f>
        <v/>
      </c>
      <c r="DZ155" s="29" t="str">
        <f>IF(OR($B155="",$A155&lt;=127),"",--MID('Key Analysis'!$C151,$A155-127,1))</f>
        <v/>
      </c>
      <c r="EA155" s="29" t="str">
        <f>IF(OR($B155="",$A155&lt;=128),"",--MID('Key Analysis'!$C151,$A155-128,1))</f>
        <v/>
      </c>
      <c r="EB155" s="29" t="str">
        <f>IF(OR($B155="",$A155&lt;=129),"",--MID('Key Analysis'!$C151,$A155-129,1))</f>
        <v/>
      </c>
      <c r="EC155" s="29" t="str">
        <f>IF(OR($B155="",$A155&lt;=130),"",--MID('Key Analysis'!$C151,$A155-130,1))</f>
        <v/>
      </c>
      <c r="ED155" s="29" t="str">
        <f>IF(OR($B155="",$A155&lt;=131),"",--MID('Key Analysis'!$C151,$A155-131,1))</f>
        <v/>
      </c>
      <c r="EE155" s="29" t="str">
        <f>IF(OR($B155="",$A155&lt;=132),"",--MID('Key Analysis'!$C151,$A155-132,1))</f>
        <v/>
      </c>
      <c r="EF155" s="29" t="str">
        <f>IF(OR($B155="",$A155&lt;=133),"",--MID('Key Analysis'!$C151,$A155-133,1))</f>
        <v/>
      </c>
      <c r="EG155" s="29" t="str">
        <f>IF(OR($B155="",$A155&lt;=134),"",--MID('Key Analysis'!$C151,$A155-134,1))</f>
        <v/>
      </c>
      <c r="EH155" s="29"/>
      <c r="EI155" s="29" t="str">
        <f>IF(OR($B155="",$A155&lt;1),"",--MID('Key Analysis'!$C151,1,1))</f>
        <v/>
      </c>
      <c r="EJ155" s="29" t="str">
        <f>IF(OR($B155="",$A155&lt;2),"",--MID('Key Analysis'!$C151,2,1))</f>
        <v/>
      </c>
      <c r="EK155" s="29" t="str">
        <f>IF(OR($B155="",$A155&lt;3),"",--MID('Key Analysis'!$C151,3,1))</f>
        <v/>
      </c>
      <c r="EL155" s="29" t="str">
        <f>IF(OR($B155="",$A155&lt;4),"",--MID('Key Analysis'!$C151,4,1))</f>
        <v/>
      </c>
      <c r="EM155" s="29" t="str">
        <f>IF(OR($B155="",$A155&lt;5),"",--MID('Key Analysis'!$C151,5,1))</f>
        <v/>
      </c>
      <c r="EN155" s="29" t="str">
        <f>IF(OR($B155="",$A155&lt;6),"",--MID('Key Analysis'!$C151,6,1))</f>
        <v/>
      </c>
      <c r="EO155" s="29" t="str">
        <f>IF(OR($B155="",$A155&lt;7),"",--MID('Key Analysis'!$C151,7,1))</f>
        <v/>
      </c>
      <c r="EP155" s="29" t="str">
        <f>IF(OR($B155="",$A155&lt;8),"",--MID('Key Analysis'!$C151,8,1))</f>
        <v/>
      </c>
      <c r="EQ155" s="29" t="str">
        <f>IF(OR($B155="",$A155&lt;9),"",--MID('Key Analysis'!$C151,9,1))</f>
        <v/>
      </c>
      <c r="ER155" s="29" t="str">
        <f>IF(OR($B155="",$A155&lt;10),"",--MID('Key Analysis'!$C151,10,1))</f>
        <v/>
      </c>
      <c r="ES155" s="29" t="str">
        <f>IF(OR($B155="",$A155&lt;11),"",--MID('Key Analysis'!$C151,11,1))</f>
        <v/>
      </c>
      <c r="ET155" s="29" t="str">
        <f>IF(OR($B155="",$A155&lt;12),"",--MID('Key Analysis'!$C151,12,1))</f>
        <v/>
      </c>
      <c r="EU155" s="29" t="str">
        <f>IF(OR($B155="",$A155&lt;13),"",--MID('Key Analysis'!$C151,13,1))</f>
        <v/>
      </c>
      <c r="EV155" s="29" t="str">
        <f>IF(OR($B155="",$A155&lt;14),"",--MID('Key Analysis'!$C151,14,1))</f>
        <v/>
      </c>
      <c r="EW155" s="29" t="str">
        <f>IF(OR($B155="",$A155&lt;15),"",--MID('Key Analysis'!$C151,15,1))</f>
        <v/>
      </c>
      <c r="EX155" s="29" t="str">
        <f>IF(OR($B155="",$A155&lt;16),"",--MID('Key Analysis'!$C151,16,1))</f>
        <v/>
      </c>
      <c r="EY155" s="29" t="str">
        <f>IF(OR($B155="",$A155&lt;17),"",--MID('Key Analysis'!$C151,17,1))</f>
        <v/>
      </c>
      <c r="EZ155" s="29" t="str">
        <f>IF(OR($B155="",$A155&lt;18),"",--MID('Key Analysis'!$C151,18,1))</f>
        <v/>
      </c>
      <c r="FA155" s="29" t="str">
        <f>IF(OR($B155="",$A155&lt;19),"",--MID('Key Analysis'!$C151,19,1))</f>
        <v/>
      </c>
      <c r="FB155" s="29" t="str">
        <f>IF(OR($B155="",$A155&lt;20),"",--MID('Key Analysis'!$C151,20,1))</f>
        <v/>
      </c>
      <c r="FC155" s="29" t="str">
        <f>IF(OR($B155="",$A155&lt;21),"",--MID('Key Analysis'!$C151,21,1))</f>
        <v/>
      </c>
      <c r="FD155" s="29" t="str">
        <f>IF(OR($B155="",$A155&lt;22),"",--MID('Key Analysis'!$C151,22,1))</f>
        <v/>
      </c>
      <c r="FE155" s="29" t="str">
        <f>IF(OR($B155="",$A155&lt;23),"",--MID('Key Analysis'!$C151,23,1))</f>
        <v/>
      </c>
      <c r="FF155" s="29" t="str">
        <f>IF(OR($B155="",$A155&lt;24),"",--MID('Key Analysis'!$C151,24,1))</f>
        <v/>
      </c>
      <c r="FG155" s="29" t="str">
        <f>IF(OR($B155="",$A155&lt;25),"",--MID('Key Analysis'!$C151,25,1))</f>
        <v/>
      </c>
      <c r="FH155" s="29" t="str">
        <f>IF(OR($B155="",$A155&lt;26),"",--MID('Key Analysis'!$C151,26,1))</f>
        <v/>
      </c>
      <c r="FI155" s="29" t="str">
        <f>IF(OR($B155="",$A155&lt;27),"",--MID('Key Analysis'!$C151,27,1))</f>
        <v/>
      </c>
      <c r="FJ155" s="29" t="str">
        <f>IF(OR($B155="",$A155&lt;28),"",--MID('Key Analysis'!$C151,28,1))</f>
        <v/>
      </c>
      <c r="FK155" s="29" t="str">
        <f>IF(OR($B155="",$A155&lt;29),"",--MID('Key Analysis'!$C151,29,1))</f>
        <v/>
      </c>
      <c r="FL155" s="29" t="str">
        <f>IF(OR($B155="",$A155&lt;30),"",--MID('Key Analysis'!$C151,30,1))</f>
        <v/>
      </c>
      <c r="FM155" s="29" t="str">
        <f>IF(OR($B155="",$A155&lt;31),"",--MID('Key Analysis'!$C151,31,1))</f>
        <v/>
      </c>
      <c r="FN155" s="29" t="str">
        <f>IF(OR($B155="",$A155&lt;32),"",--MID('Key Analysis'!$C151,32,1))</f>
        <v/>
      </c>
      <c r="FO155" s="29" t="str">
        <f>IF(OR($B155="",$A155&lt;33),"",--MID('Key Analysis'!$C151,33,1))</f>
        <v/>
      </c>
      <c r="FP155" s="29" t="str">
        <f>IF(OR($B155="",$A155&lt;34),"",--MID('Key Analysis'!$C151,34,1))</f>
        <v/>
      </c>
      <c r="FQ155" s="29" t="str">
        <f>IF(OR($B155="",$A155&lt;35),"",--MID('Key Analysis'!$C151,35,1))</f>
        <v/>
      </c>
      <c r="FR155" s="29" t="str">
        <f>IF(OR($B155="",$A155&lt;36),"",--MID('Key Analysis'!$C151,36,1))</f>
        <v/>
      </c>
      <c r="FS155" s="29" t="str">
        <f>IF(OR($B155="",$A155&lt;37),"",--MID('Key Analysis'!$C151,37,1))</f>
        <v/>
      </c>
      <c r="FT155" s="29" t="str">
        <f>IF(OR($B155="",$A155&lt;38),"",--MID('Key Analysis'!$C151,38,1))</f>
        <v/>
      </c>
      <c r="FU155" s="29" t="str">
        <f>IF(OR($B155="",$A155&lt;39),"",--MID('Key Analysis'!$C151,39,1))</f>
        <v/>
      </c>
      <c r="FV155" s="29" t="str">
        <f>IF(OR($B155="",$A155&lt;40),"",--MID('Key Analysis'!$C151,40,1))</f>
        <v/>
      </c>
      <c r="FW155" s="29" t="str">
        <f>IF(OR($B155="",$A155&lt;41),"",--MID('Key Analysis'!$C151,41,1))</f>
        <v/>
      </c>
      <c r="FX155" s="29" t="str">
        <f>IF(OR($B155="",$A155&lt;42),"",--MID('Key Analysis'!$C151,42,1))</f>
        <v/>
      </c>
      <c r="FY155" s="29" t="str">
        <f>IF(OR($B155="",$A155&lt;43),"",--MID('Key Analysis'!$C151,43,1))</f>
        <v/>
      </c>
      <c r="FZ155" s="29" t="str">
        <f>IF(OR($B155="",$A155&lt;44),"",--MID('Key Analysis'!$C151,44,1))</f>
        <v/>
      </c>
      <c r="GA155" s="29" t="str">
        <f>IF(OR($B155="",$A155&lt;45),"",--MID('Key Analysis'!$C151,45,1))</f>
        <v/>
      </c>
      <c r="GB155" s="29" t="str">
        <f>IF(OR($B155="",$A155&lt;46),"",--MID('Key Analysis'!$C151,46,1))</f>
        <v/>
      </c>
      <c r="GC155" s="29" t="str">
        <f>IF(OR($B155="",$A155&lt;47),"",--MID('Key Analysis'!$C151,47,1))</f>
        <v/>
      </c>
      <c r="GD155" s="29" t="str">
        <f>IF(OR($B155="",$A155&lt;48),"",--MID('Key Analysis'!$C151,48,1))</f>
        <v/>
      </c>
      <c r="GE155" s="29" t="str">
        <f>IF(OR($B155="",$A155&lt;49),"",--MID('Key Analysis'!$C151,49,1))</f>
        <v/>
      </c>
      <c r="GF155" s="29" t="str">
        <f>IF(OR($B155="",$A155&lt;50),"",--MID('Key Analysis'!$C151,50,1))</f>
        <v/>
      </c>
      <c r="GG155" s="29" t="str">
        <f>IF(OR($B155="",$A155&lt;51),"",--MID('Key Analysis'!$C151,51,1))</f>
        <v/>
      </c>
      <c r="GH155" s="29" t="str">
        <f>IF(OR($B155="",$A155&lt;52),"",--MID('Key Analysis'!$C151,52,1))</f>
        <v/>
      </c>
      <c r="GI155" s="29" t="str">
        <f>IF(OR($B155="",$A155&lt;53),"",--MID('Key Analysis'!$C151,53,1))</f>
        <v/>
      </c>
      <c r="GJ155" s="29" t="str">
        <f>IF(OR($B155="",$A155&lt;54),"",--MID('Key Analysis'!$C151,54,1))</f>
        <v/>
      </c>
      <c r="GK155" s="29" t="str">
        <f>IF(OR($B155="",$A155&lt;55),"",--MID('Key Analysis'!$C151,55,1))</f>
        <v/>
      </c>
      <c r="GL155" s="29" t="str">
        <f>IF(OR($B155="",$A155&lt;56),"",--MID('Key Analysis'!$C151,56,1))</f>
        <v/>
      </c>
      <c r="GM155" s="29" t="str">
        <f>IF(OR($B155="",$A155&lt;57),"",--MID('Key Analysis'!$C151,57,1))</f>
        <v/>
      </c>
      <c r="GN155" s="29" t="str">
        <f>IF(OR($B155="",$A155&lt;58),"",--MID('Key Analysis'!$C151,58,1))</f>
        <v/>
      </c>
      <c r="GO155" s="29" t="str">
        <f>IF(OR($B155="",$A155&lt;59),"",--MID('Key Analysis'!$C151,59,1))</f>
        <v/>
      </c>
      <c r="GP155" s="29" t="str">
        <f>IF(OR($B155="",$A155&lt;60),"",--MID('Key Analysis'!$C151,60,1))</f>
        <v/>
      </c>
      <c r="GQ155" s="29" t="str">
        <f>IF(OR($B155="",$A155&lt;61),"",--MID('Key Analysis'!$C151,61,1))</f>
        <v/>
      </c>
      <c r="GR155" s="29" t="str">
        <f>IF(OR($B155="",$A155&lt;62),"",--MID('Key Analysis'!$C151,62,1))</f>
        <v/>
      </c>
      <c r="GS155" s="29" t="str">
        <f>IF(OR($B155="",$A155&lt;63),"",--MID('Key Analysis'!$C151,63,1))</f>
        <v/>
      </c>
      <c r="GT155" s="29" t="str">
        <f>IF(OR($B155="",$A155&lt;64),"",--MID('Key Analysis'!$C151,64,1))</f>
        <v/>
      </c>
      <c r="GU155" s="29" t="str">
        <f>IF(OR($B155="",$A155&lt;65),"",--MID('Key Analysis'!$C151,65,1))</f>
        <v/>
      </c>
      <c r="GV155" s="29" t="str">
        <f>IF(OR($B155="",$A155&lt;66),"",--MID('Key Analysis'!$C151,66,1))</f>
        <v/>
      </c>
      <c r="GW155" s="29" t="str">
        <f>IF(OR($B155="",$A155&lt;67),"",--MID('Key Analysis'!$C151,67,1))</f>
        <v/>
      </c>
      <c r="GX155" s="29" t="str">
        <f>IF(OR($B155="",$A155&lt;68),"",--MID('Key Analysis'!$C151,68,1))</f>
        <v/>
      </c>
      <c r="GY155" s="29" t="str">
        <f>IF(OR($B155="",$A155&lt;69),"",--MID('Key Analysis'!$C151,69,1))</f>
        <v/>
      </c>
      <c r="GZ155" s="29" t="str">
        <f>IF(OR($B155="",$A155&lt;70),"",--MID('Key Analysis'!$C151,70,1))</f>
        <v/>
      </c>
      <c r="HA155" s="29" t="str">
        <f>IF(OR($B155="",$A155&lt;71),"",--MID('Key Analysis'!$C151,71,1))</f>
        <v/>
      </c>
      <c r="HB155" s="29" t="str">
        <f>IF(OR($B155="",$A155&lt;72),"",--MID('Key Analysis'!$C151,72,1))</f>
        <v/>
      </c>
      <c r="HC155" s="29" t="str">
        <f>IF(OR($B155="",$A155&lt;73),"",--MID('Key Analysis'!$C151,73,1))</f>
        <v/>
      </c>
      <c r="HD155" s="29" t="str">
        <f>IF(OR($B155="",$A155&lt;74),"",--MID('Key Analysis'!$C151,74,1))</f>
        <v/>
      </c>
      <c r="HE155" s="29" t="str">
        <f>IF(OR($B155="",$A155&lt;75),"",--MID('Key Analysis'!$C151,75,1))</f>
        <v/>
      </c>
      <c r="HF155" s="29" t="str">
        <f>IF(OR($B155="",$A155&lt;76),"",--MID('Key Analysis'!$C151,76,1))</f>
        <v/>
      </c>
      <c r="HG155" s="29" t="str">
        <f>IF(OR($B155="",$A155&lt;77),"",--MID('Key Analysis'!$C151,77,1))</f>
        <v/>
      </c>
      <c r="HH155" s="29" t="str">
        <f>IF(OR($B155="",$A155&lt;78),"",--MID('Key Analysis'!$C151,78,1))</f>
        <v/>
      </c>
      <c r="HI155" s="29" t="str">
        <f>IF(OR($B155="",$A155&lt;79),"",--MID('Key Analysis'!$C151,79,1))</f>
        <v/>
      </c>
      <c r="HJ155" s="29" t="str">
        <f>IF(OR($B155="",$A155&lt;80),"",--MID('Key Analysis'!$C151,80,1))</f>
        <v/>
      </c>
      <c r="HK155" s="29" t="str">
        <f>IF(OR($B155="",$A155&lt;81),"",--MID('Key Analysis'!$C151,81,1))</f>
        <v/>
      </c>
      <c r="HL155" s="29" t="str">
        <f>IF(OR($B155="",$A155&lt;82),"",--MID('Key Analysis'!$C151,82,1))</f>
        <v/>
      </c>
      <c r="HM155" s="29" t="str">
        <f>IF(OR($B155="",$A155&lt;83),"",--MID('Key Analysis'!$C151,83,1))</f>
        <v/>
      </c>
      <c r="HN155" s="29" t="str">
        <f>IF(OR($B155="",$A155&lt;84),"",--MID('Key Analysis'!$C151,84,1))</f>
        <v/>
      </c>
      <c r="HO155" s="29" t="str">
        <f>IF(OR($B155="",$A155&lt;85),"",--MID('Key Analysis'!$C151,85,1))</f>
        <v/>
      </c>
      <c r="HP155" s="29" t="str">
        <f>IF(OR($B155="",$A155&lt;86),"",--MID('Key Analysis'!$C151,86,1))</f>
        <v/>
      </c>
      <c r="HQ155" s="29" t="str">
        <f>IF(OR($B155="",$A155&lt;87),"",--MID('Key Analysis'!$C151,87,1))</f>
        <v/>
      </c>
      <c r="HR155" s="29" t="str">
        <f>IF(OR($B155="",$A155&lt;88),"",--MID('Key Analysis'!$C151,88,1))</f>
        <v/>
      </c>
      <c r="HS155" s="29" t="str">
        <f>IF(OR($B155="",$A155&lt;89),"",--MID('Key Analysis'!$C151,89,1))</f>
        <v/>
      </c>
      <c r="HT155" s="29" t="str">
        <f>IF(OR($B155="",$A155&lt;90),"",--MID('Key Analysis'!$C151,90,1))</f>
        <v/>
      </c>
      <c r="HU155" s="29" t="str">
        <f>IF(OR($B155="",$A155&lt;91),"",--MID('Key Analysis'!$C151,91,1))</f>
        <v/>
      </c>
      <c r="HV155" s="29" t="str">
        <f>IF(OR($B155="",$A155&lt;92),"",--MID('Key Analysis'!$C151,92,1))</f>
        <v/>
      </c>
      <c r="HW155" s="29" t="str">
        <f>IF(OR($B155="",$A155&lt;93),"",--MID('Key Analysis'!$C151,93,1))</f>
        <v/>
      </c>
      <c r="HX155" s="29" t="str">
        <f>IF(OR($B155="",$A155&lt;94),"",--MID('Key Analysis'!$C151,94,1))</f>
        <v/>
      </c>
      <c r="HY155" s="29" t="str">
        <f>IF(OR($B155="",$A155&lt;95),"",--MID('Key Analysis'!$C151,95,1))</f>
        <v/>
      </c>
      <c r="HZ155" s="29" t="str">
        <f>IF(OR($B155="",$A155&lt;96),"",--MID('Key Analysis'!$C151,96,1))</f>
        <v/>
      </c>
      <c r="IA155" s="29" t="str">
        <f>IF(OR($B155="",$A155&lt;97),"",--MID('Key Analysis'!$C151,97,1))</f>
        <v/>
      </c>
      <c r="IB155" s="29" t="str">
        <f>IF(OR($B155="",$A155&lt;98),"",--MID('Key Analysis'!$C151,98,1))</f>
        <v/>
      </c>
      <c r="IC155" s="29" t="str">
        <f>IF(OR($B155="",$A155&lt;99),"",--MID('Key Analysis'!$C151,99,1))</f>
        <v/>
      </c>
      <c r="ID155" s="29" t="str">
        <f>IF(OR($B155="",$A155&lt;100),"",--MID('Key Analysis'!$C151,100,1))</f>
        <v/>
      </c>
      <c r="IE155" s="29" t="str">
        <f>IF(OR($B155="",$A155&lt;101),"",--MID('Key Analysis'!$C151,101,1))</f>
        <v/>
      </c>
      <c r="IF155" s="29" t="str">
        <f>IF(OR($B155="",$A155&lt;102),"",--MID('Key Analysis'!$C151,102,1))</f>
        <v/>
      </c>
      <c r="IG155" s="29" t="str">
        <f>IF(OR($B155="",$A155&lt;103),"",--MID('Key Analysis'!$C151,103,1))</f>
        <v/>
      </c>
      <c r="IH155" s="29" t="str">
        <f>IF(OR($B155="",$A155&lt;104),"",--MID('Key Analysis'!$C151,104,1))</f>
        <v/>
      </c>
      <c r="II155" s="29" t="str">
        <f>IF(OR($B155="",$A155&lt;105),"",--MID('Key Analysis'!$C151,105,1))</f>
        <v/>
      </c>
      <c r="IJ155" s="29" t="str">
        <f>IF(OR($B155="",$A155&lt;106),"",--MID('Key Analysis'!$C151,106,1))</f>
        <v/>
      </c>
      <c r="IK155" s="29" t="str">
        <f>IF(OR($B155="",$A155&lt;107),"",--MID('Key Analysis'!$C151,107,1))</f>
        <v/>
      </c>
      <c r="IL155" s="29" t="str">
        <f>IF(OR($B155="",$A155&lt;108),"",--MID('Key Analysis'!$C151,108,1))</f>
        <v/>
      </c>
      <c r="IM155" s="29" t="str">
        <f>IF(OR($B155="",$A155&lt;109),"",--MID('Key Analysis'!$C151,109,1))</f>
        <v/>
      </c>
      <c r="IN155" s="29" t="str">
        <f>IF(OR($B155="",$A155&lt;110),"",--MID('Key Analysis'!$C151,110,1))</f>
        <v/>
      </c>
      <c r="IO155" s="29" t="str">
        <f>IF(OR($B155="",$A155&lt;111),"",--MID('Key Analysis'!$C151,111,1))</f>
        <v/>
      </c>
      <c r="IP155" s="29" t="str">
        <f>IF(OR($B155="",$A155&lt;112),"",--MID('Key Analysis'!$C151,112,1))</f>
        <v/>
      </c>
      <c r="IQ155" s="29" t="str">
        <f>IF(OR($B155="",$A155&lt;113),"",--MID('Key Analysis'!$C151,113,1))</f>
        <v/>
      </c>
      <c r="IR155" s="29" t="str">
        <f>IF(OR($B155="",$A155&lt;114),"",--MID('Key Analysis'!$C151,114,1))</f>
        <v/>
      </c>
      <c r="IS155" s="29" t="str">
        <f>IF(OR($B155="",$A155&lt;115),"",--MID('Key Analysis'!$C151,115,1))</f>
        <v/>
      </c>
      <c r="IT155" s="29" t="str">
        <f>IF(OR($B155="",$A155&lt;116),"",--MID('Key Analysis'!$C151,116,1))</f>
        <v/>
      </c>
      <c r="IU155" s="29" t="str">
        <f>IF(OR($B155="",$A155&lt;117),"",--MID('Key Analysis'!$C151,117,1))</f>
        <v/>
      </c>
      <c r="IV155" s="29" t="str">
        <f>IF(OR($B155="",$A155&lt;118),"",--MID('Key Analysis'!$C151,118,1))</f>
        <v/>
      </c>
      <c r="IW155" s="29" t="str">
        <f>IF(OR($B155="",$A155&lt;119),"",--MID('Key Analysis'!$C151,119,1))</f>
        <v/>
      </c>
      <c r="IX155" s="29" t="str">
        <f>IF(OR($B155="",$A155&lt;120),"",--MID('Key Analysis'!$C151,120,1))</f>
        <v/>
      </c>
      <c r="IY155" s="29" t="str">
        <f>IF(OR($B155="",$A155&lt;121),"",--MID('Key Analysis'!$C151,121,1))</f>
        <v/>
      </c>
      <c r="IZ155" s="29" t="str">
        <f>IF(OR($B155="",$A155&lt;122),"",--MID('Key Analysis'!$C151,122,1))</f>
        <v/>
      </c>
      <c r="JA155" s="29" t="str">
        <f>IF(OR($B155="",$A155&lt;123),"",--MID('Key Analysis'!$C151,123,1))</f>
        <v/>
      </c>
      <c r="JB155" s="29" t="str">
        <f>IF(OR($B155="",$A155&lt;124),"",--MID('Key Analysis'!$C151,124,1))</f>
        <v/>
      </c>
      <c r="JC155" s="29" t="str">
        <f>IF(OR($B155="",$A155&lt;125),"",--MID('Key Analysis'!$C151,125,1))</f>
        <v/>
      </c>
      <c r="JD155" s="29" t="str">
        <f>IF(OR($B155="",$A155&lt;126),"",--MID('Key Analysis'!$C151,126,1))</f>
        <v/>
      </c>
      <c r="JE155" s="29" t="str">
        <f>IF(OR($B155="",$A155&lt;127),"",--MID('Key Analysis'!$C151,127,1))</f>
        <v/>
      </c>
      <c r="JF155" s="29" t="str">
        <f>IF(OR($B155="",$A155&lt;128),"",--MID('Key Analysis'!$C151,128,1))</f>
        <v/>
      </c>
      <c r="JG155" s="29" t="str">
        <f>IF(OR($B155="",$A155&lt;129),"",--MID('Key Analysis'!$C151,129,1))</f>
        <v/>
      </c>
      <c r="JH155" s="29" t="str">
        <f>IF(OR($B155="",$A155&lt;130),"",--MID('Key Analysis'!$C151,130,1))</f>
        <v/>
      </c>
      <c r="JI155" s="29" t="str">
        <f>IF(OR($B155="",$A155&lt;131),"",--MID('Key Analysis'!$C151,131,1))</f>
        <v/>
      </c>
      <c r="JJ155" s="29" t="str">
        <f>IF(OR($B155="",$A155&lt;132),"",--MID('Key Analysis'!$C151,132,1))</f>
        <v/>
      </c>
      <c r="JK155" s="29" t="str">
        <f>IF(OR($B155="",$A155&lt;133),"",--MID('Key Analysis'!$C151,133,1))</f>
        <v/>
      </c>
      <c r="JL155" s="29" t="str">
        <f>IF(OR($B155="",$A155&lt;134),"",--MID('Key Analysis'!$C151,134,1))</f>
        <v/>
      </c>
      <c r="JM155" s="29" t="str">
        <f>IF(OR($B155="",$A155&lt;135),"",--MID('Key Analysis'!$C151,135,1))</f>
        <v/>
      </c>
    </row>
    <row r="156" spans="1:273" x14ac:dyDescent="0.25">
      <c r="A156" s="21">
        <f>'Key Analysis'!A152</f>
        <v>151</v>
      </c>
      <c r="B156" s="30" t="str">
        <f>'Key Analysis'!B152</f>
        <v/>
      </c>
      <c r="C156" s="29" t="str">
        <f>IF(OR($B156="",$A156&lt;=0),"",--MID('Key Analysis'!$C152,$A156-0,1))</f>
        <v/>
      </c>
      <c r="D156" s="29" t="str">
        <f>IF(OR($B156="",$A156&lt;=1),"",--MID('Key Analysis'!$C152,$A156-1,1))</f>
        <v/>
      </c>
      <c r="E156" s="29" t="str">
        <f>IF(OR($B156="",$A156&lt;=2),"",--MID('Key Analysis'!$C152,$A156-2,1))</f>
        <v/>
      </c>
      <c r="F156" s="29" t="str">
        <f>IF(OR($B156="",$A156&lt;=3),"",--MID('Key Analysis'!$C152,$A156-3,1))</f>
        <v/>
      </c>
      <c r="G156" s="29" t="str">
        <f>IF(OR($B156="",$A156&lt;=4),"",--MID('Key Analysis'!$C152,$A156-4,1))</f>
        <v/>
      </c>
      <c r="H156" s="29" t="str">
        <f>IF(OR($B156="",$A156&lt;=5),"",--MID('Key Analysis'!$C152,$A156-5,1))</f>
        <v/>
      </c>
      <c r="I156" s="29" t="str">
        <f>IF(OR($B156="",$A156&lt;=6),"",--MID('Key Analysis'!$C152,$A156-6,1))</f>
        <v/>
      </c>
      <c r="J156" s="29" t="str">
        <f>IF(OR($B156="",$A156&lt;=7),"",--MID('Key Analysis'!$C152,$A156-7,1))</f>
        <v/>
      </c>
      <c r="K156" s="29" t="str">
        <f>IF(OR($B156="",$A156&lt;=8),"",--MID('Key Analysis'!$C152,$A156-8,1))</f>
        <v/>
      </c>
      <c r="L156" s="29" t="str">
        <f>IF(OR($B156="",$A156&lt;=9),"",--MID('Key Analysis'!$C152,$A156-9,1))</f>
        <v/>
      </c>
      <c r="M156" s="29" t="str">
        <f>IF(OR($B156="",$A156&lt;=10),"",--MID('Key Analysis'!$C152,$A156-10,1))</f>
        <v/>
      </c>
      <c r="N156" s="29" t="str">
        <f>IF(OR($B156="",$A156&lt;=11),"",--MID('Key Analysis'!$C152,$A156-11,1))</f>
        <v/>
      </c>
      <c r="O156" s="29" t="str">
        <f>IF(OR($B156="",$A156&lt;=12),"",--MID('Key Analysis'!$C152,$A156-12,1))</f>
        <v/>
      </c>
      <c r="P156" s="29" t="str">
        <f>IF(OR($B156="",$A156&lt;=13),"",--MID('Key Analysis'!$C152,$A156-13,1))</f>
        <v/>
      </c>
      <c r="Q156" s="29" t="str">
        <f>IF(OR($B156="",$A156&lt;=14),"",--MID('Key Analysis'!$C152,$A156-14,1))</f>
        <v/>
      </c>
      <c r="R156" s="29" t="str">
        <f>IF(OR($B156="",$A156&lt;=15),"",--MID('Key Analysis'!$C152,$A156-15,1))</f>
        <v/>
      </c>
      <c r="S156" s="29" t="str">
        <f>IF(OR($B156="",$A156&lt;=16),"",--MID('Key Analysis'!$C152,$A156-16,1))</f>
        <v/>
      </c>
      <c r="T156" s="29" t="str">
        <f>IF(OR($B156="",$A156&lt;=17),"",--MID('Key Analysis'!$C152,$A156-17,1))</f>
        <v/>
      </c>
      <c r="U156" s="29" t="str">
        <f>IF(OR($B156="",$A156&lt;=18),"",--MID('Key Analysis'!$C152,$A156-18,1))</f>
        <v/>
      </c>
      <c r="V156" s="29" t="str">
        <f>IF(OR($B156="",$A156&lt;=19),"",--MID('Key Analysis'!$C152,$A156-19,1))</f>
        <v/>
      </c>
      <c r="W156" s="29" t="str">
        <f>IF(OR($B156="",$A156&lt;=20),"",--MID('Key Analysis'!$C152,$A156-20,1))</f>
        <v/>
      </c>
      <c r="X156" s="29" t="str">
        <f>IF(OR($B156="",$A156&lt;=21),"",--MID('Key Analysis'!$C152,$A156-21,1))</f>
        <v/>
      </c>
      <c r="Y156" s="29" t="str">
        <f>IF(OR($B156="",$A156&lt;=22),"",--MID('Key Analysis'!$C152,$A156-22,1))</f>
        <v/>
      </c>
      <c r="Z156" s="29" t="str">
        <f>IF(OR($B156="",$A156&lt;=23),"",--MID('Key Analysis'!$C152,$A156-23,1))</f>
        <v/>
      </c>
      <c r="AA156" s="29" t="str">
        <f>IF(OR($B156="",$A156&lt;=24),"",--MID('Key Analysis'!$C152,$A156-24,1))</f>
        <v/>
      </c>
      <c r="AB156" s="29" t="str">
        <f>IF(OR($B156="",$A156&lt;=25),"",--MID('Key Analysis'!$C152,$A156-25,1))</f>
        <v/>
      </c>
      <c r="AC156" s="29" t="str">
        <f>IF(OR($B156="",$A156&lt;=26),"",--MID('Key Analysis'!$C152,$A156-26,1))</f>
        <v/>
      </c>
      <c r="AD156" s="29" t="str">
        <f>IF(OR($B156="",$A156&lt;=27),"",--MID('Key Analysis'!$C152,$A156-27,1))</f>
        <v/>
      </c>
      <c r="AE156" s="29" t="str">
        <f>IF(OR($B156="",$A156&lt;=28),"",--MID('Key Analysis'!$C152,$A156-28,1))</f>
        <v/>
      </c>
      <c r="AF156" s="29" t="str">
        <f>IF(OR($B156="",$A156&lt;=29),"",--MID('Key Analysis'!$C152,$A156-29,1))</f>
        <v/>
      </c>
      <c r="AG156" s="29" t="str">
        <f>IF(OR($B156="",$A156&lt;=30),"",--MID('Key Analysis'!$C152,$A156-30,1))</f>
        <v/>
      </c>
      <c r="AH156" s="29" t="str">
        <f>IF(OR($B156="",$A156&lt;=31),"",--MID('Key Analysis'!$C152,$A156-31,1))</f>
        <v/>
      </c>
      <c r="AI156" s="29" t="str">
        <f>IF(OR($B156="",$A156&lt;=32),"",--MID('Key Analysis'!$C152,$A156-32,1))</f>
        <v/>
      </c>
      <c r="AJ156" s="29" t="str">
        <f>IF(OR($B156="",$A156&lt;=33),"",--MID('Key Analysis'!$C152,$A156-33,1))</f>
        <v/>
      </c>
      <c r="AK156" s="29" t="str">
        <f>IF(OR($B156="",$A156&lt;=34),"",--MID('Key Analysis'!$C152,$A156-34,1))</f>
        <v/>
      </c>
      <c r="AL156" s="29" t="str">
        <f>IF(OR($B156="",$A156&lt;=35),"",--MID('Key Analysis'!$C152,$A156-35,1))</f>
        <v/>
      </c>
      <c r="AM156" s="29" t="str">
        <f>IF(OR($B156="",$A156&lt;=36),"",--MID('Key Analysis'!$C152,$A156-36,1))</f>
        <v/>
      </c>
      <c r="AN156" s="29" t="str">
        <f>IF(OR($B156="",$A156&lt;=37),"",--MID('Key Analysis'!$C152,$A156-37,1))</f>
        <v/>
      </c>
      <c r="AO156" s="29" t="str">
        <f>IF(OR($B156="",$A156&lt;=38),"",--MID('Key Analysis'!$C152,$A156-38,1))</f>
        <v/>
      </c>
      <c r="AP156" s="29" t="str">
        <f>IF(OR($B156="",$A156&lt;=39),"",--MID('Key Analysis'!$C152,$A156-39,1))</f>
        <v/>
      </c>
      <c r="AQ156" s="29" t="str">
        <f>IF(OR($B156="",$A156&lt;=40),"",--MID('Key Analysis'!$C152,$A156-40,1))</f>
        <v/>
      </c>
      <c r="AR156" s="29" t="str">
        <f>IF(OR($B156="",$A156&lt;=41),"",--MID('Key Analysis'!$C152,$A156-41,1))</f>
        <v/>
      </c>
      <c r="AS156" s="29" t="str">
        <f>IF(OR($B156="",$A156&lt;=42),"",--MID('Key Analysis'!$C152,$A156-42,1))</f>
        <v/>
      </c>
      <c r="AT156" s="29" t="str">
        <f>IF(OR($B156="",$A156&lt;=43),"",--MID('Key Analysis'!$C152,$A156-43,1))</f>
        <v/>
      </c>
      <c r="AU156" s="29" t="str">
        <f>IF(OR($B156="",$A156&lt;=44),"",--MID('Key Analysis'!$C152,$A156-44,1))</f>
        <v/>
      </c>
      <c r="AV156" s="29" t="str">
        <f>IF(OR($B156="",$A156&lt;=45),"",--MID('Key Analysis'!$C152,$A156-45,1))</f>
        <v/>
      </c>
      <c r="AW156" s="29" t="str">
        <f>IF(OR($B156="",$A156&lt;=46),"",--MID('Key Analysis'!$C152,$A156-46,1))</f>
        <v/>
      </c>
      <c r="AX156" s="29" t="str">
        <f>IF(OR($B156="",$A156&lt;=47),"",--MID('Key Analysis'!$C152,$A156-47,1))</f>
        <v/>
      </c>
      <c r="AY156" s="29" t="str">
        <f>IF(OR($B156="",$A156&lt;=48),"",--MID('Key Analysis'!$C152,$A156-48,1))</f>
        <v/>
      </c>
      <c r="AZ156" s="29" t="str">
        <f>IF(OR($B156="",$A156&lt;=49),"",--MID('Key Analysis'!$C152,$A156-49,1))</f>
        <v/>
      </c>
      <c r="BA156" s="29" t="str">
        <f>IF(OR($B156="",$A156&lt;=50),"",--MID('Key Analysis'!$C152,$A156-50,1))</f>
        <v/>
      </c>
      <c r="BB156" s="29" t="str">
        <f>IF(OR($B156="",$A156&lt;=51),"",--MID('Key Analysis'!$C152,$A156-51,1))</f>
        <v/>
      </c>
      <c r="BC156" s="29" t="str">
        <f>IF(OR($B156="",$A156&lt;=52),"",--MID('Key Analysis'!$C152,$A156-52,1))</f>
        <v/>
      </c>
      <c r="BD156" s="29" t="str">
        <f>IF(OR($B156="",$A156&lt;=53),"",--MID('Key Analysis'!$C152,$A156-53,1))</f>
        <v/>
      </c>
      <c r="BE156" s="29" t="str">
        <f>IF(OR($B156="",$A156&lt;=54),"",--MID('Key Analysis'!$C152,$A156-54,1))</f>
        <v/>
      </c>
      <c r="BF156" s="29" t="str">
        <f>IF(OR($B156="",$A156&lt;=55),"",--MID('Key Analysis'!$C152,$A156-55,1))</f>
        <v/>
      </c>
      <c r="BG156" s="29" t="str">
        <f>IF(OR($B156="",$A156&lt;=56),"",--MID('Key Analysis'!$C152,$A156-56,1))</f>
        <v/>
      </c>
      <c r="BH156" s="29" t="str">
        <f>IF(OR($B156="",$A156&lt;=57),"",--MID('Key Analysis'!$C152,$A156-57,1))</f>
        <v/>
      </c>
      <c r="BI156" s="29" t="str">
        <f>IF(OR($B156="",$A156&lt;=58),"",--MID('Key Analysis'!$C152,$A156-58,1))</f>
        <v/>
      </c>
      <c r="BJ156" s="29" t="str">
        <f>IF(OR($B156="",$A156&lt;=59),"",--MID('Key Analysis'!$C152,$A156-59,1))</f>
        <v/>
      </c>
      <c r="BK156" s="29" t="str">
        <f>IF(OR($B156="",$A156&lt;=60),"",--MID('Key Analysis'!$C152,$A156-60,1))</f>
        <v/>
      </c>
      <c r="BL156" s="29" t="str">
        <f>IF(OR($B156="",$A156&lt;=61),"",--MID('Key Analysis'!$C152,$A156-61,1))</f>
        <v/>
      </c>
      <c r="BM156" s="29" t="str">
        <f>IF(OR($B156="",$A156&lt;=62),"",--MID('Key Analysis'!$C152,$A156-62,1))</f>
        <v/>
      </c>
      <c r="BN156" s="29" t="str">
        <f>IF(OR($B156="",$A156&lt;=63),"",--MID('Key Analysis'!$C152,$A156-63,1))</f>
        <v/>
      </c>
      <c r="BO156" s="29" t="str">
        <f>IF(OR($B156="",$A156&lt;=64),"",--MID('Key Analysis'!$C152,$A156-64,1))</f>
        <v/>
      </c>
      <c r="BP156" s="29" t="str">
        <f>IF(OR($B156="",$A156&lt;=65),"",--MID('Key Analysis'!$C152,$A156-65,1))</f>
        <v/>
      </c>
      <c r="BQ156" s="29" t="str">
        <f>IF(OR($B156="",$A156&lt;=66),"",--MID('Key Analysis'!$C152,$A156-66,1))</f>
        <v/>
      </c>
      <c r="BR156" s="29" t="str">
        <f>IF(OR($B156="",$A156&lt;=67),"",--MID('Key Analysis'!$C152,$A156-67,1))</f>
        <v/>
      </c>
      <c r="BS156" s="29" t="str">
        <f>IF(OR($B156="",$A156&lt;=68),"",--MID('Key Analysis'!$C152,$A156-68,1))</f>
        <v/>
      </c>
      <c r="BT156" s="29" t="str">
        <f>IF(OR($B156="",$A156&lt;=69),"",--MID('Key Analysis'!$C152,$A156-69,1))</f>
        <v/>
      </c>
      <c r="BU156" s="29" t="str">
        <f>IF(OR($B156="",$A156&lt;=70),"",--MID('Key Analysis'!$C152,$A156-70,1))</f>
        <v/>
      </c>
      <c r="BV156" s="29" t="str">
        <f>IF(OR($B156="",$A156&lt;=71),"",--MID('Key Analysis'!$C152,$A156-71,1))</f>
        <v/>
      </c>
      <c r="BW156" s="29" t="str">
        <f>IF(OR($B156="",$A156&lt;=72),"",--MID('Key Analysis'!$C152,$A156-72,1))</f>
        <v/>
      </c>
      <c r="BX156" s="29" t="str">
        <f>IF(OR($B156="",$A156&lt;=73),"",--MID('Key Analysis'!$C152,$A156-73,1))</f>
        <v/>
      </c>
      <c r="BY156" s="29" t="str">
        <f>IF(OR($B156="",$A156&lt;=74),"",--MID('Key Analysis'!$C152,$A156-74,1))</f>
        <v/>
      </c>
      <c r="BZ156" s="29" t="str">
        <f>IF(OR($B156="",$A156&lt;=75),"",--MID('Key Analysis'!$C152,$A156-75,1))</f>
        <v/>
      </c>
      <c r="CA156" s="29" t="str">
        <f>IF(OR($B156="",$A156&lt;=76),"",--MID('Key Analysis'!$C152,$A156-76,1))</f>
        <v/>
      </c>
      <c r="CB156" s="29" t="str">
        <f>IF(OR($B156="",$A156&lt;=77),"",--MID('Key Analysis'!$C152,$A156-77,1))</f>
        <v/>
      </c>
      <c r="CC156" s="29" t="str">
        <f>IF(OR($B156="",$A156&lt;=78),"",--MID('Key Analysis'!$C152,$A156-78,1))</f>
        <v/>
      </c>
      <c r="CD156" s="29" t="str">
        <f>IF(OR($B156="",$A156&lt;=79),"",--MID('Key Analysis'!$C152,$A156-79,1))</f>
        <v/>
      </c>
      <c r="CE156" s="29" t="str">
        <f>IF(OR($B156="",$A156&lt;=80),"",--MID('Key Analysis'!$C152,$A156-80,1))</f>
        <v/>
      </c>
      <c r="CF156" s="29" t="str">
        <f>IF(OR($B156="",$A156&lt;=81),"",--MID('Key Analysis'!$C152,$A156-81,1))</f>
        <v/>
      </c>
      <c r="CG156" s="29" t="str">
        <f>IF(OR($B156="",$A156&lt;=82),"",--MID('Key Analysis'!$C152,$A156-82,1))</f>
        <v/>
      </c>
      <c r="CH156" s="29" t="str">
        <f>IF(OR($B156="",$A156&lt;=83),"",--MID('Key Analysis'!$C152,$A156-83,1))</f>
        <v/>
      </c>
      <c r="CI156" s="29" t="str">
        <f>IF(OR($B156="",$A156&lt;=84),"",--MID('Key Analysis'!$C152,$A156-84,1))</f>
        <v/>
      </c>
      <c r="CJ156" s="29" t="str">
        <f>IF(OR($B156="",$A156&lt;=85),"",--MID('Key Analysis'!$C152,$A156-85,1))</f>
        <v/>
      </c>
      <c r="CK156" s="29" t="str">
        <f>IF(OR($B156="",$A156&lt;=86),"",--MID('Key Analysis'!$C152,$A156-86,1))</f>
        <v/>
      </c>
      <c r="CL156" s="29" t="str">
        <f>IF(OR($B156="",$A156&lt;=87),"",--MID('Key Analysis'!$C152,$A156-87,1))</f>
        <v/>
      </c>
      <c r="CM156" s="29" t="str">
        <f>IF(OR($B156="",$A156&lt;=88),"",--MID('Key Analysis'!$C152,$A156-88,1))</f>
        <v/>
      </c>
      <c r="CN156" s="29" t="str">
        <f>IF(OR($B156="",$A156&lt;=89),"",--MID('Key Analysis'!$C152,$A156-89,1))</f>
        <v/>
      </c>
      <c r="CO156" s="29" t="str">
        <f>IF(OR($B156="",$A156&lt;=90),"",--MID('Key Analysis'!$C152,$A156-90,1))</f>
        <v/>
      </c>
      <c r="CP156" s="29" t="str">
        <f>IF(OR($B156="",$A156&lt;=91),"",--MID('Key Analysis'!$C152,$A156-91,1))</f>
        <v/>
      </c>
      <c r="CQ156" s="29" t="str">
        <f>IF(OR($B156="",$A156&lt;=92),"",--MID('Key Analysis'!$C152,$A156-92,1))</f>
        <v/>
      </c>
      <c r="CR156" s="29" t="str">
        <f>IF(OR($B156="",$A156&lt;=93),"",--MID('Key Analysis'!$C152,$A156-93,1))</f>
        <v/>
      </c>
      <c r="CS156" s="29" t="str">
        <f>IF(OR($B156="",$A156&lt;=94),"",--MID('Key Analysis'!$C152,$A156-94,1))</f>
        <v/>
      </c>
      <c r="CT156" s="29" t="str">
        <f>IF(OR($B156="",$A156&lt;=95),"",--MID('Key Analysis'!$C152,$A156-95,1))</f>
        <v/>
      </c>
      <c r="CU156" s="29" t="str">
        <f>IF(OR($B156="",$A156&lt;=96),"",--MID('Key Analysis'!$C152,$A156-96,1))</f>
        <v/>
      </c>
      <c r="CV156" s="29" t="str">
        <f>IF(OR($B156="",$A156&lt;=97),"",--MID('Key Analysis'!$C152,$A156-97,1))</f>
        <v/>
      </c>
      <c r="CW156" s="29" t="str">
        <f>IF(OR($B156="",$A156&lt;=98),"",--MID('Key Analysis'!$C152,$A156-98,1))</f>
        <v/>
      </c>
      <c r="CX156" s="29" t="str">
        <f>IF(OR($B156="",$A156&lt;=99),"",--MID('Key Analysis'!$C152,$A156-99,1))</f>
        <v/>
      </c>
      <c r="CY156" s="29" t="str">
        <f>IF(OR($B156="",$A156&lt;=100),"",--MID('Key Analysis'!$C152,$A156-100,1))</f>
        <v/>
      </c>
      <c r="CZ156" s="29" t="str">
        <f>IF(OR($B156="",$A156&lt;=101),"",--MID('Key Analysis'!$C152,$A156-101,1))</f>
        <v/>
      </c>
      <c r="DA156" s="29" t="str">
        <f>IF(OR($B156="",$A156&lt;=102),"",--MID('Key Analysis'!$C152,$A156-102,1))</f>
        <v/>
      </c>
      <c r="DB156" s="29" t="str">
        <f>IF(OR($B156="",$A156&lt;=103),"",--MID('Key Analysis'!$C152,$A156-103,1))</f>
        <v/>
      </c>
      <c r="DC156" s="29" t="str">
        <f>IF(OR($B156="",$A156&lt;=104),"",--MID('Key Analysis'!$C152,$A156-104,1))</f>
        <v/>
      </c>
      <c r="DD156" s="29" t="str">
        <f>IF(OR($B156="",$A156&lt;=105),"",--MID('Key Analysis'!$C152,$A156-105,1))</f>
        <v/>
      </c>
      <c r="DE156" s="29" t="str">
        <f>IF(OR($B156="",$A156&lt;=106),"",--MID('Key Analysis'!$C152,$A156-106,1))</f>
        <v/>
      </c>
      <c r="DF156" s="29" t="str">
        <f>IF(OR($B156="",$A156&lt;=107),"",--MID('Key Analysis'!$C152,$A156-107,1))</f>
        <v/>
      </c>
      <c r="DG156" s="29" t="str">
        <f>IF(OR($B156="",$A156&lt;=108),"",--MID('Key Analysis'!$C152,$A156-108,1))</f>
        <v/>
      </c>
      <c r="DH156" s="29" t="str">
        <f>IF(OR($B156="",$A156&lt;=109),"",--MID('Key Analysis'!$C152,$A156-109,1))</f>
        <v/>
      </c>
      <c r="DI156" s="29" t="str">
        <f>IF(OR($B156="",$A156&lt;=110),"",--MID('Key Analysis'!$C152,$A156-110,1))</f>
        <v/>
      </c>
      <c r="DJ156" s="29" t="str">
        <f>IF(OR($B156="",$A156&lt;=111),"",--MID('Key Analysis'!$C152,$A156-111,1))</f>
        <v/>
      </c>
      <c r="DK156" s="29" t="str">
        <f>IF(OR($B156="",$A156&lt;=112),"",--MID('Key Analysis'!$C152,$A156-112,1))</f>
        <v/>
      </c>
      <c r="DL156" s="29" t="str">
        <f>IF(OR($B156="",$A156&lt;=113),"",--MID('Key Analysis'!$C152,$A156-113,1))</f>
        <v/>
      </c>
      <c r="DM156" s="29" t="str">
        <f>IF(OR($B156="",$A156&lt;=114),"",--MID('Key Analysis'!$C152,$A156-114,1))</f>
        <v/>
      </c>
      <c r="DN156" s="29" t="str">
        <f>IF(OR($B156="",$A156&lt;=115),"",--MID('Key Analysis'!$C152,$A156-115,1))</f>
        <v/>
      </c>
      <c r="DO156" s="29" t="str">
        <f>IF(OR($B156="",$A156&lt;=116),"",--MID('Key Analysis'!$C152,$A156-116,1))</f>
        <v/>
      </c>
      <c r="DP156" s="29" t="str">
        <f>IF(OR($B156="",$A156&lt;=117),"",--MID('Key Analysis'!$C152,$A156-117,1))</f>
        <v/>
      </c>
      <c r="DQ156" s="29" t="str">
        <f>IF(OR($B156="",$A156&lt;=118),"",--MID('Key Analysis'!$C152,$A156-118,1))</f>
        <v/>
      </c>
      <c r="DR156" s="29" t="str">
        <f>IF(OR($B156="",$A156&lt;=119),"",--MID('Key Analysis'!$C152,$A156-119,1))</f>
        <v/>
      </c>
      <c r="DS156" s="29" t="str">
        <f>IF(OR($B156="",$A156&lt;=120),"",--MID('Key Analysis'!$C152,$A156-120,1))</f>
        <v/>
      </c>
      <c r="DT156" s="29" t="str">
        <f>IF(OR($B156="",$A156&lt;=121),"",--MID('Key Analysis'!$C152,$A156-121,1))</f>
        <v/>
      </c>
      <c r="DU156" s="29" t="str">
        <f>IF(OR($B156="",$A156&lt;=122),"",--MID('Key Analysis'!$C152,$A156-122,1))</f>
        <v/>
      </c>
      <c r="DV156" s="29" t="str">
        <f>IF(OR($B156="",$A156&lt;=123),"",--MID('Key Analysis'!$C152,$A156-123,1))</f>
        <v/>
      </c>
      <c r="DW156" s="29" t="str">
        <f>IF(OR($B156="",$A156&lt;=124),"",--MID('Key Analysis'!$C152,$A156-124,1))</f>
        <v/>
      </c>
      <c r="DX156" s="29" t="str">
        <f>IF(OR($B156="",$A156&lt;=125),"",--MID('Key Analysis'!$C152,$A156-125,1))</f>
        <v/>
      </c>
      <c r="DY156" s="29" t="str">
        <f>IF(OR($B156="",$A156&lt;=126),"",--MID('Key Analysis'!$C152,$A156-126,1))</f>
        <v/>
      </c>
      <c r="DZ156" s="29" t="str">
        <f>IF(OR($B156="",$A156&lt;=127),"",--MID('Key Analysis'!$C152,$A156-127,1))</f>
        <v/>
      </c>
      <c r="EA156" s="29" t="str">
        <f>IF(OR($B156="",$A156&lt;=128),"",--MID('Key Analysis'!$C152,$A156-128,1))</f>
        <v/>
      </c>
      <c r="EB156" s="29" t="str">
        <f>IF(OR($B156="",$A156&lt;=129),"",--MID('Key Analysis'!$C152,$A156-129,1))</f>
        <v/>
      </c>
      <c r="EC156" s="29" t="str">
        <f>IF(OR($B156="",$A156&lt;=130),"",--MID('Key Analysis'!$C152,$A156-130,1))</f>
        <v/>
      </c>
      <c r="ED156" s="29" t="str">
        <f>IF(OR($B156="",$A156&lt;=131),"",--MID('Key Analysis'!$C152,$A156-131,1))</f>
        <v/>
      </c>
      <c r="EE156" s="29" t="str">
        <f>IF(OR($B156="",$A156&lt;=132),"",--MID('Key Analysis'!$C152,$A156-132,1))</f>
        <v/>
      </c>
      <c r="EF156" s="29" t="str">
        <f>IF(OR($B156="",$A156&lt;=133),"",--MID('Key Analysis'!$C152,$A156-133,1))</f>
        <v/>
      </c>
      <c r="EG156" s="29" t="str">
        <f>IF(OR($B156="",$A156&lt;=134),"",--MID('Key Analysis'!$C152,$A156-134,1))</f>
        <v/>
      </c>
      <c r="EH156" s="29"/>
      <c r="EI156" s="29" t="str">
        <f>IF(OR($B156="",$A156&lt;1),"",--MID('Key Analysis'!$C152,1,1))</f>
        <v/>
      </c>
      <c r="EJ156" s="29" t="str">
        <f>IF(OR($B156="",$A156&lt;2),"",--MID('Key Analysis'!$C152,2,1))</f>
        <v/>
      </c>
      <c r="EK156" s="29" t="str">
        <f>IF(OR($B156="",$A156&lt;3),"",--MID('Key Analysis'!$C152,3,1))</f>
        <v/>
      </c>
      <c r="EL156" s="29" t="str">
        <f>IF(OR($B156="",$A156&lt;4),"",--MID('Key Analysis'!$C152,4,1))</f>
        <v/>
      </c>
      <c r="EM156" s="29" t="str">
        <f>IF(OR($B156="",$A156&lt;5),"",--MID('Key Analysis'!$C152,5,1))</f>
        <v/>
      </c>
      <c r="EN156" s="29" t="str">
        <f>IF(OR($B156="",$A156&lt;6),"",--MID('Key Analysis'!$C152,6,1))</f>
        <v/>
      </c>
      <c r="EO156" s="29" t="str">
        <f>IF(OR($B156="",$A156&lt;7),"",--MID('Key Analysis'!$C152,7,1))</f>
        <v/>
      </c>
      <c r="EP156" s="29" t="str">
        <f>IF(OR($B156="",$A156&lt;8),"",--MID('Key Analysis'!$C152,8,1))</f>
        <v/>
      </c>
      <c r="EQ156" s="29" t="str">
        <f>IF(OR($B156="",$A156&lt;9),"",--MID('Key Analysis'!$C152,9,1))</f>
        <v/>
      </c>
      <c r="ER156" s="29" t="str">
        <f>IF(OR($B156="",$A156&lt;10),"",--MID('Key Analysis'!$C152,10,1))</f>
        <v/>
      </c>
      <c r="ES156" s="29" t="str">
        <f>IF(OR($B156="",$A156&lt;11),"",--MID('Key Analysis'!$C152,11,1))</f>
        <v/>
      </c>
      <c r="ET156" s="29" t="str">
        <f>IF(OR($B156="",$A156&lt;12),"",--MID('Key Analysis'!$C152,12,1))</f>
        <v/>
      </c>
      <c r="EU156" s="29" t="str">
        <f>IF(OR($B156="",$A156&lt;13),"",--MID('Key Analysis'!$C152,13,1))</f>
        <v/>
      </c>
      <c r="EV156" s="29" t="str">
        <f>IF(OR($B156="",$A156&lt;14),"",--MID('Key Analysis'!$C152,14,1))</f>
        <v/>
      </c>
      <c r="EW156" s="29" t="str">
        <f>IF(OR($B156="",$A156&lt;15),"",--MID('Key Analysis'!$C152,15,1))</f>
        <v/>
      </c>
      <c r="EX156" s="29" t="str">
        <f>IF(OR($B156="",$A156&lt;16),"",--MID('Key Analysis'!$C152,16,1))</f>
        <v/>
      </c>
      <c r="EY156" s="29" t="str">
        <f>IF(OR($B156="",$A156&lt;17),"",--MID('Key Analysis'!$C152,17,1))</f>
        <v/>
      </c>
      <c r="EZ156" s="29" t="str">
        <f>IF(OR($B156="",$A156&lt;18),"",--MID('Key Analysis'!$C152,18,1))</f>
        <v/>
      </c>
      <c r="FA156" s="29" t="str">
        <f>IF(OR($B156="",$A156&lt;19),"",--MID('Key Analysis'!$C152,19,1))</f>
        <v/>
      </c>
      <c r="FB156" s="29" t="str">
        <f>IF(OR($B156="",$A156&lt;20),"",--MID('Key Analysis'!$C152,20,1))</f>
        <v/>
      </c>
      <c r="FC156" s="29" t="str">
        <f>IF(OR($B156="",$A156&lt;21),"",--MID('Key Analysis'!$C152,21,1))</f>
        <v/>
      </c>
      <c r="FD156" s="29" t="str">
        <f>IF(OR($B156="",$A156&lt;22),"",--MID('Key Analysis'!$C152,22,1))</f>
        <v/>
      </c>
      <c r="FE156" s="29" t="str">
        <f>IF(OR($B156="",$A156&lt;23),"",--MID('Key Analysis'!$C152,23,1))</f>
        <v/>
      </c>
      <c r="FF156" s="29" t="str">
        <f>IF(OR($B156="",$A156&lt;24),"",--MID('Key Analysis'!$C152,24,1))</f>
        <v/>
      </c>
      <c r="FG156" s="29" t="str">
        <f>IF(OR($B156="",$A156&lt;25),"",--MID('Key Analysis'!$C152,25,1))</f>
        <v/>
      </c>
      <c r="FH156" s="29" t="str">
        <f>IF(OR($B156="",$A156&lt;26),"",--MID('Key Analysis'!$C152,26,1))</f>
        <v/>
      </c>
      <c r="FI156" s="29" t="str">
        <f>IF(OR($B156="",$A156&lt;27),"",--MID('Key Analysis'!$C152,27,1))</f>
        <v/>
      </c>
      <c r="FJ156" s="29" t="str">
        <f>IF(OR($B156="",$A156&lt;28),"",--MID('Key Analysis'!$C152,28,1))</f>
        <v/>
      </c>
      <c r="FK156" s="29" t="str">
        <f>IF(OR($B156="",$A156&lt;29),"",--MID('Key Analysis'!$C152,29,1))</f>
        <v/>
      </c>
      <c r="FL156" s="29" t="str">
        <f>IF(OR($B156="",$A156&lt;30),"",--MID('Key Analysis'!$C152,30,1))</f>
        <v/>
      </c>
      <c r="FM156" s="29" t="str">
        <f>IF(OR($B156="",$A156&lt;31),"",--MID('Key Analysis'!$C152,31,1))</f>
        <v/>
      </c>
      <c r="FN156" s="29" t="str">
        <f>IF(OR($B156="",$A156&lt;32),"",--MID('Key Analysis'!$C152,32,1))</f>
        <v/>
      </c>
      <c r="FO156" s="29" t="str">
        <f>IF(OR($B156="",$A156&lt;33),"",--MID('Key Analysis'!$C152,33,1))</f>
        <v/>
      </c>
      <c r="FP156" s="29" t="str">
        <f>IF(OR($B156="",$A156&lt;34),"",--MID('Key Analysis'!$C152,34,1))</f>
        <v/>
      </c>
      <c r="FQ156" s="29" t="str">
        <f>IF(OR($B156="",$A156&lt;35),"",--MID('Key Analysis'!$C152,35,1))</f>
        <v/>
      </c>
      <c r="FR156" s="29" t="str">
        <f>IF(OR($B156="",$A156&lt;36),"",--MID('Key Analysis'!$C152,36,1))</f>
        <v/>
      </c>
      <c r="FS156" s="29" t="str">
        <f>IF(OR($B156="",$A156&lt;37),"",--MID('Key Analysis'!$C152,37,1))</f>
        <v/>
      </c>
      <c r="FT156" s="29" t="str">
        <f>IF(OR($B156="",$A156&lt;38),"",--MID('Key Analysis'!$C152,38,1))</f>
        <v/>
      </c>
      <c r="FU156" s="29" t="str">
        <f>IF(OR($B156="",$A156&lt;39),"",--MID('Key Analysis'!$C152,39,1))</f>
        <v/>
      </c>
      <c r="FV156" s="29" t="str">
        <f>IF(OR($B156="",$A156&lt;40),"",--MID('Key Analysis'!$C152,40,1))</f>
        <v/>
      </c>
      <c r="FW156" s="29" t="str">
        <f>IF(OR($B156="",$A156&lt;41),"",--MID('Key Analysis'!$C152,41,1))</f>
        <v/>
      </c>
      <c r="FX156" s="29" t="str">
        <f>IF(OR($B156="",$A156&lt;42),"",--MID('Key Analysis'!$C152,42,1))</f>
        <v/>
      </c>
      <c r="FY156" s="29" t="str">
        <f>IF(OR($B156="",$A156&lt;43),"",--MID('Key Analysis'!$C152,43,1))</f>
        <v/>
      </c>
      <c r="FZ156" s="29" t="str">
        <f>IF(OR($B156="",$A156&lt;44),"",--MID('Key Analysis'!$C152,44,1))</f>
        <v/>
      </c>
      <c r="GA156" s="29" t="str">
        <f>IF(OR($B156="",$A156&lt;45),"",--MID('Key Analysis'!$C152,45,1))</f>
        <v/>
      </c>
      <c r="GB156" s="29" t="str">
        <f>IF(OR($B156="",$A156&lt;46),"",--MID('Key Analysis'!$C152,46,1))</f>
        <v/>
      </c>
      <c r="GC156" s="29" t="str">
        <f>IF(OR($B156="",$A156&lt;47),"",--MID('Key Analysis'!$C152,47,1))</f>
        <v/>
      </c>
      <c r="GD156" s="29" t="str">
        <f>IF(OR($B156="",$A156&lt;48),"",--MID('Key Analysis'!$C152,48,1))</f>
        <v/>
      </c>
      <c r="GE156" s="29" t="str">
        <f>IF(OR($B156="",$A156&lt;49),"",--MID('Key Analysis'!$C152,49,1))</f>
        <v/>
      </c>
      <c r="GF156" s="29" t="str">
        <f>IF(OR($B156="",$A156&lt;50),"",--MID('Key Analysis'!$C152,50,1))</f>
        <v/>
      </c>
      <c r="GG156" s="29" t="str">
        <f>IF(OR($B156="",$A156&lt;51),"",--MID('Key Analysis'!$C152,51,1))</f>
        <v/>
      </c>
      <c r="GH156" s="29" t="str">
        <f>IF(OR($B156="",$A156&lt;52),"",--MID('Key Analysis'!$C152,52,1))</f>
        <v/>
      </c>
      <c r="GI156" s="29" t="str">
        <f>IF(OR($B156="",$A156&lt;53),"",--MID('Key Analysis'!$C152,53,1))</f>
        <v/>
      </c>
      <c r="GJ156" s="29" t="str">
        <f>IF(OR($B156="",$A156&lt;54),"",--MID('Key Analysis'!$C152,54,1))</f>
        <v/>
      </c>
      <c r="GK156" s="29" t="str">
        <f>IF(OR($B156="",$A156&lt;55),"",--MID('Key Analysis'!$C152,55,1))</f>
        <v/>
      </c>
      <c r="GL156" s="29" t="str">
        <f>IF(OR($B156="",$A156&lt;56),"",--MID('Key Analysis'!$C152,56,1))</f>
        <v/>
      </c>
      <c r="GM156" s="29" t="str">
        <f>IF(OR($B156="",$A156&lt;57),"",--MID('Key Analysis'!$C152,57,1))</f>
        <v/>
      </c>
      <c r="GN156" s="29" t="str">
        <f>IF(OR($B156="",$A156&lt;58),"",--MID('Key Analysis'!$C152,58,1))</f>
        <v/>
      </c>
      <c r="GO156" s="29" t="str">
        <f>IF(OR($B156="",$A156&lt;59),"",--MID('Key Analysis'!$C152,59,1))</f>
        <v/>
      </c>
      <c r="GP156" s="29" t="str">
        <f>IF(OR($B156="",$A156&lt;60),"",--MID('Key Analysis'!$C152,60,1))</f>
        <v/>
      </c>
      <c r="GQ156" s="29" t="str">
        <f>IF(OR($B156="",$A156&lt;61),"",--MID('Key Analysis'!$C152,61,1))</f>
        <v/>
      </c>
      <c r="GR156" s="29" t="str">
        <f>IF(OR($B156="",$A156&lt;62),"",--MID('Key Analysis'!$C152,62,1))</f>
        <v/>
      </c>
      <c r="GS156" s="29" t="str">
        <f>IF(OR($B156="",$A156&lt;63),"",--MID('Key Analysis'!$C152,63,1))</f>
        <v/>
      </c>
      <c r="GT156" s="29" t="str">
        <f>IF(OR($B156="",$A156&lt;64),"",--MID('Key Analysis'!$C152,64,1))</f>
        <v/>
      </c>
      <c r="GU156" s="29" t="str">
        <f>IF(OR($B156="",$A156&lt;65),"",--MID('Key Analysis'!$C152,65,1))</f>
        <v/>
      </c>
      <c r="GV156" s="29" t="str">
        <f>IF(OR($B156="",$A156&lt;66),"",--MID('Key Analysis'!$C152,66,1))</f>
        <v/>
      </c>
      <c r="GW156" s="29" t="str">
        <f>IF(OR($B156="",$A156&lt;67),"",--MID('Key Analysis'!$C152,67,1))</f>
        <v/>
      </c>
      <c r="GX156" s="29" t="str">
        <f>IF(OR($B156="",$A156&lt;68),"",--MID('Key Analysis'!$C152,68,1))</f>
        <v/>
      </c>
      <c r="GY156" s="29" t="str">
        <f>IF(OR($B156="",$A156&lt;69),"",--MID('Key Analysis'!$C152,69,1))</f>
        <v/>
      </c>
      <c r="GZ156" s="29" t="str">
        <f>IF(OR($B156="",$A156&lt;70),"",--MID('Key Analysis'!$C152,70,1))</f>
        <v/>
      </c>
      <c r="HA156" s="29" t="str">
        <f>IF(OR($B156="",$A156&lt;71),"",--MID('Key Analysis'!$C152,71,1))</f>
        <v/>
      </c>
      <c r="HB156" s="29" t="str">
        <f>IF(OR($B156="",$A156&lt;72),"",--MID('Key Analysis'!$C152,72,1))</f>
        <v/>
      </c>
      <c r="HC156" s="29" t="str">
        <f>IF(OR($B156="",$A156&lt;73),"",--MID('Key Analysis'!$C152,73,1))</f>
        <v/>
      </c>
      <c r="HD156" s="29" t="str">
        <f>IF(OR($B156="",$A156&lt;74),"",--MID('Key Analysis'!$C152,74,1))</f>
        <v/>
      </c>
      <c r="HE156" s="29" t="str">
        <f>IF(OR($B156="",$A156&lt;75),"",--MID('Key Analysis'!$C152,75,1))</f>
        <v/>
      </c>
      <c r="HF156" s="29" t="str">
        <f>IF(OR($B156="",$A156&lt;76),"",--MID('Key Analysis'!$C152,76,1))</f>
        <v/>
      </c>
      <c r="HG156" s="29" t="str">
        <f>IF(OR($B156="",$A156&lt;77),"",--MID('Key Analysis'!$C152,77,1))</f>
        <v/>
      </c>
      <c r="HH156" s="29" t="str">
        <f>IF(OR($B156="",$A156&lt;78),"",--MID('Key Analysis'!$C152,78,1))</f>
        <v/>
      </c>
      <c r="HI156" s="29" t="str">
        <f>IF(OR($B156="",$A156&lt;79),"",--MID('Key Analysis'!$C152,79,1))</f>
        <v/>
      </c>
      <c r="HJ156" s="29" t="str">
        <f>IF(OR($B156="",$A156&lt;80),"",--MID('Key Analysis'!$C152,80,1))</f>
        <v/>
      </c>
      <c r="HK156" s="29" t="str">
        <f>IF(OR($B156="",$A156&lt;81),"",--MID('Key Analysis'!$C152,81,1))</f>
        <v/>
      </c>
      <c r="HL156" s="29" t="str">
        <f>IF(OR($B156="",$A156&lt;82),"",--MID('Key Analysis'!$C152,82,1))</f>
        <v/>
      </c>
      <c r="HM156" s="29" t="str">
        <f>IF(OR($B156="",$A156&lt;83),"",--MID('Key Analysis'!$C152,83,1))</f>
        <v/>
      </c>
      <c r="HN156" s="29" t="str">
        <f>IF(OR($B156="",$A156&lt;84),"",--MID('Key Analysis'!$C152,84,1))</f>
        <v/>
      </c>
      <c r="HO156" s="29" t="str">
        <f>IF(OR($B156="",$A156&lt;85),"",--MID('Key Analysis'!$C152,85,1))</f>
        <v/>
      </c>
      <c r="HP156" s="29" t="str">
        <f>IF(OR($B156="",$A156&lt;86),"",--MID('Key Analysis'!$C152,86,1))</f>
        <v/>
      </c>
      <c r="HQ156" s="29" t="str">
        <f>IF(OR($B156="",$A156&lt;87),"",--MID('Key Analysis'!$C152,87,1))</f>
        <v/>
      </c>
      <c r="HR156" s="29" t="str">
        <f>IF(OR($B156="",$A156&lt;88),"",--MID('Key Analysis'!$C152,88,1))</f>
        <v/>
      </c>
      <c r="HS156" s="29" t="str">
        <f>IF(OR($B156="",$A156&lt;89),"",--MID('Key Analysis'!$C152,89,1))</f>
        <v/>
      </c>
      <c r="HT156" s="29" t="str">
        <f>IF(OR($B156="",$A156&lt;90),"",--MID('Key Analysis'!$C152,90,1))</f>
        <v/>
      </c>
      <c r="HU156" s="29" t="str">
        <f>IF(OR($B156="",$A156&lt;91),"",--MID('Key Analysis'!$C152,91,1))</f>
        <v/>
      </c>
      <c r="HV156" s="29" t="str">
        <f>IF(OR($B156="",$A156&lt;92),"",--MID('Key Analysis'!$C152,92,1))</f>
        <v/>
      </c>
      <c r="HW156" s="29" t="str">
        <f>IF(OR($B156="",$A156&lt;93),"",--MID('Key Analysis'!$C152,93,1))</f>
        <v/>
      </c>
      <c r="HX156" s="29" t="str">
        <f>IF(OR($B156="",$A156&lt;94),"",--MID('Key Analysis'!$C152,94,1))</f>
        <v/>
      </c>
      <c r="HY156" s="29" t="str">
        <f>IF(OR($B156="",$A156&lt;95),"",--MID('Key Analysis'!$C152,95,1))</f>
        <v/>
      </c>
      <c r="HZ156" s="29" t="str">
        <f>IF(OR($B156="",$A156&lt;96),"",--MID('Key Analysis'!$C152,96,1))</f>
        <v/>
      </c>
      <c r="IA156" s="29" t="str">
        <f>IF(OR($B156="",$A156&lt;97),"",--MID('Key Analysis'!$C152,97,1))</f>
        <v/>
      </c>
      <c r="IB156" s="29" t="str">
        <f>IF(OR($B156="",$A156&lt;98),"",--MID('Key Analysis'!$C152,98,1))</f>
        <v/>
      </c>
      <c r="IC156" s="29" t="str">
        <f>IF(OR($B156="",$A156&lt;99),"",--MID('Key Analysis'!$C152,99,1))</f>
        <v/>
      </c>
      <c r="ID156" s="29" t="str">
        <f>IF(OR($B156="",$A156&lt;100),"",--MID('Key Analysis'!$C152,100,1))</f>
        <v/>
      </c>
      <c r="IE156" s="29" t="str">
        <f>IF(OR($B156="",$A156&lt;101),"",--MID('Key Analysis'!$C152,101,1))</f>
        <v/>
      </c>
      <c r="IF156" s="29" t="str">
        <f>IF(OR($B156="",$A156&lt;102),"",--MID('Key Analysis'!$C152,102,1))</f>
        <v/>
      </c>
      <c r="IG156" s="29" t="str">
        <f>IF(OR($B156="",$A156&lt;103),"",--MID('Key Analysis'!$C152,103,1))</f>
        <v/>
      </c>
      <c r="IH156" s="29" t="str">
        <f>IF(OR($B156="",$A156&lt;104),"",--MID('Key Analysis'!$C152,104,1))</f>
        <v/>
      </c>
      <c r="II156" s="29" t="str">
        <f>IF(OR($B156="",$A156&lt;105),"",--MID('Key Analysis'!$C152,105,1))</f>
        <v/>
      </c>
      <c r="IJ156" s="29" t="str">
        <f>IF(OR($B156="",$A156&lt;106),"",--MID('Key Analysis'!$C152,106,1))</f>
        <v/>
      </c>
      <c r="IK156" s="29" t="str">
        <f>IF(OR($B156="",$A156&lt;107),"",--MID('Key Analysis'!$C152,107,1))</f>
        <v/>
      </c>
      <c r="IL156" s="29" t="str">
        <f>IF(OR($B156="",$A156&lt;108),"",--MID('Key Analysis'!$C152,108,1))</f>
        <v/>
      </c>
      <c r="IM156" s="29" t="str">
        <f>IF(OR($B156="",$A156&lt;109),"",--MID('Key Analysis'!$C152,109,1))</f>
        <v/>
      </c>
      <c r="IN156" s="29" t="str">
        <f>IF(OR($B156="",$A156&lt;110),"",--MID('Key Analysis'!$C152,110,1))</f>
        <v/>
      </c>
      <c r="IO156" s="29" t="str">
        <f>IF(OR($B156="",$A156&lt;111),"",--MID('Key Analysis'!$C152,111,1))</f>
        <v/>
      </c>
      <c r="IP156" s="29" t="str">
        <f>IF(OR($B156="",$A156&lt;112),"",--MID('Key Analysis'!$C152,112,1))</f>
        <v/>
      </c>
      <c r="IQ156" s="29" t="str">
        <f>IF(OR($B156="",$A156&lt;113),"",--MID('Key Analysis'!$C152,113,1))</f>
        <v/>
      </c>
      <c r="IR156" s="29" t="str">
        <f>IF(OR($B156="",$A156&lt;114),"",--MID('Key Analysis'!$C152,114,1))</f>
        <v/>
      </c>
      <c r="IS156" s="29" t="str">
        <f>IF(OR($B156="",$A156&lt;115),"",--MID('Key Analysis'!$C152,115,1))</f>
        <v/>
      </c>
      <c r="IT156" s="29" t="str">
        <f>IF(OR($B156="",$A156&lt;116),"",--MID('Key Analysis'!$C152,116,1))</f>
        <v/>
      </c>
      <c r="IU156" s="29" t="str">
        <f>IF(OR($B156="",$A156&lt;117),"",--MID('Key Analysis'!$C152,117,1))</f>
        <v/>
      </c>
      <c r="IV156" s="29" t="str">
        <f>IF(OR($B156="",$A156&lt;118),"",--MID('Key Analysis'!$C152,118,1))</f>
        <v/>
      </c>
      <c r="IW156" s="29" t="str">
        <f>IF(OR($B156="",$A156&lt;119),"",--MID('Key Analysis'!$C152,119,1))</f>
        <v/>
      </c>
      <c r="IX156" s="29" t="str">
        <f>IF(OR($B156="",$A156&lt;120),"",--MID('Key Analysis'!$C152,120,1))</f>
        <v/>
      </c>
      <c r="IY156" s="29" t="str">
        <f>IF(OR($B156="",$A156&lt;121),"",--MID('Key Analysis'!$C152,121,1))</f>
        <v/>
      </c>
      <c r="IZ156" s="29" t="str">
        <f>IF(OR($B156="",$A156&lt;122),"",--MID('Key Analysis'!$C152,122,1))</f>
        <v/>
      </c>
      <c r="JA156" s="29" t="str">
        <f>IF(OR($B156="",$A156&lt;123),"",--MID('Key Analysis'!$C152,123,1))</f>
        <v/>
      </c>
      <c r="JB156" s="29" t="str">
        <f>IF(OR($B156="",$A156&lt;124),"",--MID('Key Analysis'!$C152,124,1))</f>
        <v/>
      </c>
      <c r="JC156" s="29" t="str">
        <f>IF(OR($B156="",$A156&lt;125),"",--MID('Key Analysis'!$C152,125,1))</f>
        <v/>
      </c>
      <c r="JD156" s="29" t="str">
        <f>IF(OR($B156="",$A156&lt;126),"",--MID('Key Analysis'!$C152,126,1))</f>
        <v/>
      </c>
      <c r="JE156" s="29" t="str">
        <f>IF(OR($B156="",$A156&lt;127),"",--MID('Key Analysis'!$C152,127,1))</f>
        <v/>
      </c>
      <c r="JF156" s="29" t="str">
        <f>IF(OR($B156="",$A156&lt;128),"",--MID('Key Analysis'!$C152,128,1))</f>
        <v/>
      </c>
      <c r="JG156" s="29" t="str">
        <f>IF(OR($B156="",$A156&lt;129),"",--MID('Key Analysis'!$C152,129,1))</f>
        <v/>
      </c>
      <c r="JH156" s="29" t="str">
        <f>IF(OR($B156="",$A156&lt;130),"",--MID('Key Analysis'!$C152,130,1))</f>
        <v/>
      </c>
      <c r="JI156" s="29" t="str">
        <f>IF(OR($B156="",$A156&lt;131),"",--MID('Key Analysis'!$C152,131,1))</f>
        <v/>
      </c>
      <c r="JJ156" s="29" t="str">
        <f>IF(OR($B156="",$A156&lt;132),"",--MID('Key Analysis'!$C152,132,1))</f>
        <v/>
      </c>
      <c r="JK156" s="29" t="str">
        <f>IF(OR($B156="",$A156&lt;133),"",--MID('Key Analysis'!$C152,133,1))</f>
        <v/>
      </c>
      <c r="JL156" s="29" t="str">
        <f>IF(OR($B156="",$A156&lt;134),"",--MID('Key Analysis'!$C152,134,1))</f>
        <v/>
      </c>
      <c r="JM156" s="29" t="str">
        <f>IF(OR($B156="",$A156&lt;135),"",--MID('Key Analysis'!$C152,135,1))</f>
        <v/>
      </c>
    </row>
    <row r="157" spans="1:273" x14ac:dyDescent="0.25">
      <c r="A157" s="21">
        <f>'Key Analysis'!A153</f>
        <v>152</v>
      </c>
      <c r="B157" s="30" t="str">
        <f>'Key Analysis'!B153</f>
        <v/>
      </c>
      <c r="C157" s="29" t="str">
        <f>IF(OR($B157="",$A157&lt;=0),"",--MID('Key Analysis'!$C153,$A157-0,1))</f>
        <v/>
      </c>
      <c r="D157" s="29" t="str">
        <f>IF(OR($B157="",$A157&lt;=1),"",--MID('Key Analysis'!$C153,$A157-1,1))</f>
        <v/>
      </c>
      <c r="E157" s="29" t="str">
        <f>IF(OR($B157="",$A157&lt;=2),"",--MID('Key Analysis'!$C153,$A157-2,1))</f>
        <v/>
      </c>
      <c r="F157" s="29" t="str">
        <f>IF(OR($B157="",$A157&lt;=3),"",--MID('Key Analysis'!$C153,$A157-3,1))</f>
        <v/>
      </c>
      <c r="G157" s="29" t="str">
        <f>IF(OR($B157="",$A157&lt;=4),"",--MID('Key Analysis'!$C153,$A157-4,1))</f>
        <v/>
      </c>
      <c r="H157" s="29" t="str">
        <f>IF(OR($B157="",$A157&lt;=5),"",--MID('Key Analysis'!$C153,$A157-5,1))</f>
        <v/>
      </c>
      <c r="I157" s="29" t="str">
        <f>IF(OR($B157="",$A157&lt;=6),"",--MID('Key Analysis'!$C153,$A157-6,1))</f>
        <v/>
      </c>
      <c r="J157" s="29" t="str">
        <f>IF(OR($B157="",$A157&lt;=7),"",--MID('Key Analysis'!$C153,$A157-7,1))</f>
        <v/>
      </c>
      <c r="K157" s="29" t="str">
        <f>IF(OR($B157="",$A157&lt;=8),"",--MID('Key Analysis'!$C153,$A157-8,1))</f>
        <v/>
      </c>
      <c r="L157" s="29" t="str">
        <f>IF(OR($B157="",$A157&lt;=9),"",--MID('Key Analysis'!$C153,$A157-9,1))</f>
        <v/>
      </c>
      <c r="M157" s="29" t="str">
        <f>IF(OR($B157="",$A157&lt;=10),"",--MID('Key Analysis'!$C153,$A157-10,1))</f>
        <v/>
      </c>
      <c r="N157" s="29" t="str">
        <f>IF(OR($B157="",$A157&lt;=11),"",--MID('Key Analysis'!$C153,$A157-11,1))</f>
        <v/>
      </c>
      <c r="O157" s="29" t="str">
        <f>IF(OR($B157="",$A157&lt;=12),"",--MID('Key Analysis'!$C153,$A157-12,1))</f>
        <v/>
      </c>
      <c r="P157" s="29" t="str">
        <f>IF(OR($B157="",$A157&lt;=13),"",--MID('Key Analysis'!$C153,$A157-13,1))</f>
        <v/>
      </c>
      <c r="Q157" s="29" t="str">
        <f>IF(OR($B157="",$A157&lt;=14),"",--MID('Key Analysis'!$C153,$A157-14,1))</f>
        <v/>
      </c>
      <c r="R157" s="29" t="str">
        <f>IF(OR($B157="",$A157&lt;=15),"",--MID('Key Analysis'!$C153,$A157-15,1))</f>
        <v/>
      </c>
      <c r="S157" s="29" t="str">
        <f>IF(OR($B157="",$A157&lt;=16),"",--MID('Key Analysis'!$C153,$A157-16,1))</f>
        <v/>
      </c>
      <c r="T157" s="29" t="str">
        <f>IF(OR($B157="",$A157&lt;=17),"",--MID('Key Analysis'!$C153,$A157-17,1))</f>
        <v/>
      </c>
      <c r="U157" s="29" t="str">
        <f>IF(OR($B157="",$A157&lt;=18),"",--MID('Key Analysis'!$C153,$A157-18,1))</f>
        <v/>
      </c>
      <c r="V157" s="29" t="str">
        <f>IF(OR($B157="",$A157&lt;=19),"",--MID('Key Analysis'!$C153,$A157-19,1))</f>
        <v/>
      </c>
      <c r="W157" s="29" t="str">
        <f>IF(OR($B157="",$A157&lt;=20),"",--MID('Key Analysis'!$C153,$A157-20,1))</f>
        <v/>
      </c>
      <c r="X157" s="29" t="str">
        <f>IF(OR($B157="",$A157&lt;=21),"",--MID('Key Analysis'!$C153,$A157-21,1))</f>
        <v/>
      </c>
      <c r="Y157" s="29" t="str">
        <f>IF(OR($B157="",$A157&lt;=22),"",--MID('Key Analysis'!$C153,$A157-22,1))</f>
        <v/>
      </c>
      <c r="Z157" s="29" t="str">
        <f>IF(OR($B157="",$A157&lt;=23),"",--MID('Key Analysis'!$C153,$A157-23,1))</f>
        <v/>
      </c>
      <c r="AA157" s="29" t="str">
        <f>IF(OR($B157="",$A157&lt;=24),"",--MID('Key Analysis'!$C153,$A157-24,1))</f>
        <v/>
      </c>
      <c r="AB157" s="29" t="str">
        <f>IF(OR($B157="",$A157&lt;=25),"",--MID('Key Analysis'!$C153,$A157-25,1))</f>
        <v/>
      </c>
      <c r="AC157" s="29" t="str">
        <f>IF(OR($B157="",$A157&lt;=26),"",--MID('Key Analysis'!$C153,$A157-26,1))</f>
        <v/>
      </c>
      <c r="AD157" s="29" t="str">
        <f>IF(OR($B157="",$A157&lt;=27),"",--MID('Key Analysis'!$C153,$A157-27,1))</f>
        <v/>
      </c>
      <c r="AE157" s="29" t="str">
        <f>IF(OR($B157="",$A157&lt;=28),"",--MID('Key Analysis'!$C153,$A157-28,1))</f>
        <v/>
      </c>
      <c r="AF157" s="29" t="str">
        <f>IF(OR($B157="",$A157&lt;=29),"",--MID('Key Analysis'!$C153,$A157-29,1))</f>
        <v/>
      </c>
      <c r="AG157" s="29" t="str">
        <f>IF(OR($B157="",$A157&lt;=30),"",--MID('Key Analysis'!$C153,$A157-30,1))</f>
        <v/>
      </c>
      <c r="AH157" s="29" t="str">
        <f>IF(OR($B157="",$A157&lt;=31),"",--MID('Key Analysis'!$C153,$A157-31,1))</f>
        <v/>
      </c>
      <c r="AI157" s="29" t="str">
        <f>IF(OR($B157="",$A157&lt;=32),"",--MID('Key Analysis'!$C153,$A157-32,1))</f>
        <v/>
      </c>
      <c r="AJ157" s="29" t="str">
        <f>IF(OR($B157="",$A157&lt;=33),"",--MID('Key Analysis'!$C153,$A157-33,1))</f>
        <v/>
      </c>
      <c r="AK157" s="29" t="str">
        <f>IF(OR($B157="",$A157&lt;=34),"",--MID('Key Analysis'!$C153,$A157-34,1))</f>
        <v/>
      </c>
      <c r="AL157" s="29" t="str">
        <f>IF(OR($B157="",$A157&lt;=35),"",--MID('Key Analysis'!$C153,$A157-35,1))</f>
        <v/>
      </c>
      <c r="AM157" s="29" t="str">
        <f>IF(OR($B157="",$A157&lt;=36),"",--MID('Key Analysis'!$C153,$A157-36,1))</f>
        <v/>
      </c>
      <c r="AN157" s="29" t="str">
        <f>IF(OR($B157="",$A157&lt;=37),"",--MID('Key Analysis'!$C153,$A157-37,1))</f>
        <v/>
      </c>
      <c r="AO157" s="29" t="str">
        <f>IF(OR($B157="",$A157&lt;=38),"",--MID('Key Analysis'!$C153,$A157-38,1))</f>
        <v/>
      </c>
      <c r="AP157" s="29" t="str">
        <f>IF(OR($B157="",$A157&lt;=39),"",--MID('Key Analysis'!$C153,$A157-39,1))</f>
        <v/>
      </c>
      <c r="AQ157" s="29" t="str">
        <f>IF(OR($B157="",$A157&lt;=40),"",--MID('Key Analysis'!$C153,$A157-40,1))</f>
        <v/>
      </c>
      <c r="AR157" s="29" t="str">
        <f>IF(OR($B157="",$A157&lt;=41),"",--MID('Key Analysis'!$C153,$A157-41,1))</f>
        <v/>
      </c>
      <c r="AS157" s="29" t="str">
        <f>IF(OR($B157="",$A157&lt;=42),"",--MID('Key Analysis'!$C153,$A157-42,1))</f>
        <v/>
      </c>
      <c r="AT157" s="29" t="str">
        <f>IF(OR($B157="",$A157&lt;=43),"",--MID('Key Analysis'!$C153,$A157-43,1))</f>
        <v/>
      </c>
      <c r="AU157" s="29" t="str">
        <f>IF(OR($B157="",$A157&lt;=44),"",--MID('Key Analysis'!$C153,$A157-44,1))</f>
        <v/>
      </c>
      <c r="AV157" s="29" t="str">
        <f>IF(OR($B157="",$A157&lt;=45),"",--MID('Key Analysis'!$C153,$A157-45,1))</f>
        <v/>
      </c>
      <c r="AW157" s="29" t="str">
        <f>IF(OR($B157="",$A157&lt;=46),"",--MID('Key Analysis'!$C153,$A157-46,1))</f>
        <v/>
      </c>
      <c r="AX157" s="29" t="str">
        <f>IF(OR($B157="",$A157&lt;=47),"",--MID('Key Analysis'!$C153,$A157-47,1))</f>
        <v/>
      </c>
      <c r="AY157" s="29" t="str">
        <f>IF(OR($B157="",$A157&lt;=48),"",--MID('Key Analysis'!$C153,$A157-48,1))</f>
        <v/>
      </c>
      <c r="AZ157" s="29" t="str">
        <f>IF(OR($B157="",$A157&lt;=49),"",--MID('Key Analysis'!$C153,$A157-49,1))</f>
        <v/>
      </c>
      <c r="BA157" s="29" t="str">
        <f>IF(OR($B157="",$A157&lt;=50),"",--MID('Key Analysis'!$C153,$A157-50,1))</f>
        <v/>
      </c>
      <c r="BB157" s="29" t="str">
        <f>IF(OR($B157="",$A157&lt;=51),"",--MID('Key Analysis'!$C153,$A157-51,1))</f>
        <v/>
      </c>
      <c r="BC157" s="29" t="str">
        <f>IF(OR($B157="",$A157&lt;=52),"",--MID('Key Analysis'!$C153,$A157-52,1))</f>
        <v/>
      </c>
      <c r="BD157" s="29" t="str">
        <f>IF(OR($B157="",$A157&lt;=53),"",--MID('Key Analysis'!$C153,$A157-53,1))</f>
        <v/>
      </c>
      <c r="BE157" s="29" t="str">
        <f>IF(OR($B157="",$A157&lt;=54),"",--MID('Key Analysis'!$C153,$A157-54,1))</f>
        <v/>
      </c>
      <c r="BF157" s="29" t="str">
        <f>IF(OR($B157="",$A157&lt;=55),"",--MID('Key Analysis'!$C153,$A157-55,1))</f>
        <v/>
      </c>
      <c r="BG157" s="29" t="str">
        <f>IF(OR($B157="",$A157&lt;=56),"",--MID('Key Analysis'!$C153,$A157-56,1))</f>
        <v/>
      </c>
      <c r="BH157" s="29" t="str">
        <f>IF(OR($B157="",$A157&lt;=57),"",--MID('Key Analysis'!$C153,$A157-57,1))</f>
        <v/>
      </c>
      <c r="BI157" s="29" t="str">
        <f>IF(OR($B157="",$A157&lt;=58),"",--MID('Key Analysis'!$C153,$A157-58,1))</f>
        <v/>
      </c>
      <c r="BJ157" s="29" t="str">
        <f>IF(OR($B157="",$A157&lt;=59),"",--MID('Key Analysis'!$C153,$A157-59,1))</f>
        <v/>
      </c>
      <c r="BK157" s="29" t="str">
        <f>IF(OR($B157="",$A157&lt;=60),"",--MID('Key Analysis'!$C153,$A157-60,1))</f>
        <v/>
      </c>
      <c r="BL157" s="29" t="str">
        <f>IF(OR($B157="",$A157&lt;=61),"",--MID('Key Analysis'!$C153,$A157-61,1))</f>
        <v/>
      </c>
      <c r="BM157" s="29" t="str">
        <f>IF(OR($B157="",$A157&lt;=62),"",--MID('Key Analysis'!$C153,$A157-62,1))</f>
        <v/>
      </c>
      <c r="BN157" s="29" t="str">
        <f>IF(OR($B157="",$A157&lt;=63),"",--MID('Key Analysis'!$C153,$A157-63,1))</f>
        <v/>
      </c>
      <c r="BO157" s="29" t="str">
        <f>IF(OR($B157="",$A157&lt;=64),"",--MID('Key Analysis'!$C153,$A157-64,1))</f>
        <v/>
      </c>
      <c r="BP157" s="29" t="str">
        <f>IF(OR($B157="",$A157&lt;=65),"",--MID('Key Analysis'!$C153,$A157-65,1))</f>
        <v/>
      </c>
      <c r="BQ157" s="29" t="str">
        <f>IF(OR($B157="",$A157&lt;=66),"",--MID('Key Analysis'!$C153,$A157-66,1))</f>
        <v/>
      </c>
      <c r="BR157" s="29" t="str">
        <f>IF(OR($B157="",$A157&lt;=67),"",--MID('Key Analysis'!$C153,$A157-67,1))</f>
        <v/>
      </c>
      <c r="BS157" s="29" t="str">
        <f>IF(OR($B157="",$A157&lt;=68),"",--MID('Key Analysis'!$C153,$A157-68,1))</f>
        <v/>
      </c>
      <c r="BT157" s="29" t="str">
        <f>IF(OR($B157="",$A157&lt;=69),"",--MID('Key Analysis'!$C153,$A157-69,1))</f>
        <v/>
      </c>
      <c r="BU157" s="29" t="str">
        <f>IF(OR($B157="",$A157&lt;=70),"",--MID('Key Analysis'!$C153,$A157-70,1))</f>
        <v/>
      </c>
      <c r="BV157" s="29" t="str">
        <f>IF(OR($B157="",$A157&lt;=71),"",--MID('Key Analysis'!$C153,$A157-71,1))</f>
        <v/>
      </c>
      <c r="BW157" s="29" t="str">
        <f>IF(OR($B157="",$A157&lt;=72),"",--MID('Key Analysis'!$C153,$A157-72,1))</f>
        <v/>
      </c>
      <c r="BX157" s="29" t="str">
        <f>IF(OR($B157="",$A157&lt;=73),"",--MID('Key Analysis'!$C153,$A157-73,1))</f>
        <v/>
      </c>
      <c r="BY157" s="29" t="str">
        <f>IF(OR($B157="",$A157&lt;=74),"",--MID('Key Analysis'!$C153,$A157-74,1))</f>
        <v/>
      </c>
      <c r="BZ157" s="29" t="str">
        <f>IF(OR($B157="",$A157&lt;=75),"",--MID('Key Analysis'!$C153,$A157-75,1))</f>
        <v/>
      </c>
      <c r="CA157" s="29" t="str">
        <f>IF(OR($B157="",$A157&lt;=76),"",--MID('Key Analysis'!$C153,$A157-76,1))</f>
        <v/>
      </c>
      <c r="CB157" s="29" t="str">
        <f>IF(OR($B157="",$A157&lt;=77),"",--MID('Key Analysis'!$C153,$A157-77,1))</f>
        <v/>
      </c>
      <c r="CC157" s="29" t="str">
        <f>IF(OR($B157="",$A157&lt;=78),"",--MID('Key Analysis'!$C153,$A157-78,1))</f>
        <v/>
      </c>
      <c r="CD157" s="29" t="str">
        <f>IF(OR($B157="",$A157&lt;=79),"",--MID('Key Analysis'!$C153,$A157-79,1))</f>
        <v/>
      </c>
      <c r="CE157" s="29" t="str">
        <f>IF(OR($B157="",$A157&lt;=80),"",--MID('Key Analysis'!$C153,$A157-80,1))</f>
        <v/>
      </c>
      <c r="CF157" s="29" t="str">
        <f>IF(OR($B157="",$A157&lt;=81),"",--MID('Key Analysis'!$C153,$A157-81,1))</f>
        <v/>
      </c>
      <c r="CG157" s="29" t="str">
        <f>IF(OR($B157="",$A157&lt;=82),"",--MID('Key Analysis'!$C153,$A157-82,1))</f>
        <v/>
      </c>
      <c r="CH157" s="29" t="str">
        <f>IF(OR($B157="",$A157&lt;=83),"",--MID('Key Analysis'!$C153,$A157-83,1))</f>
        <v/>
      </c>
      <c r="CI157" s="29" t="str">
        <f>IF(OR($B157="",$A157&lt;=84),"",--MID('Key Analysis'!$C153,$A157-84,1))</f>
        <v/>
      </c>
      <c r="CJ157" s="29" t="str">
        <f>IF(OR($B157="",$A157&lt;=85),"",--MID('Key Analysis'!$C153,$A157-85,1))</f>
        <v/>
      </c>
      <c r="CK157" s="29" t="str">
        <f>IF(OR($B157="",$A157&lt;=86),"",--MID('Key Analysis'!$C153,$A157-86,1))</f>
        <v/>
      </c>
      <c r="CL157" s="29" t="str">
        <f>IF(OR($B157="",$A157&lt;=87),"",--MID('Key Analysis'!$C153,$A157-87,1))</f>
        <v/>
      </c>
      <c r="CM157" s="29" t="str">
        <f>IF(OR($B157="",$A157&lt;=88),"",--MID('Key Analysis'!$C153,$A157-88,1))</f>
        <v/>
      </c>
      <c r="CN157" s="29" t="str">
        <f>IF(OR($B157="",$A157&lt;=89),"",--MID('Key Analysis'!$C153,$A157-89,1))</f>
        <v/>
      </c>
      <c r="CO157" s="29" t="str">
        <f>IF(OR($B157="",$A157&lt;=90),"",--MID('Key Analysis'!$C153,$A157-90,1))</f>
        <v/>
      </c>
      <c r="CP157" s="29" t="str">
        <f>IF(OR($B157="",$A157&lt;=91),"",--MID('Key Analysis'!$C153,$A157-91,1))</f>
        <v/>
      </c>
      <c r="CQ157" s="29" t="str">
        <f>IF(OR($B157="",$A157&lt;=92),"",--MID('Key Analysis'!$C153,$A157-92,1))</f>
        <v/>
      </c>
      <c r="CR157" s="29" t="str">
        <f>IF(OR($B157="",$A157&lt;=93),"",--MID('Key Analysis'!$C153,$A157-93,1))</f>
        <v/>
      </c>
      <c r="CS157" s="29" t="str">
        <f>IF(OR($B157="",$A157&lt;=94),"",--MID('Key Analysis'!$C153,$A157-94,1))</f>
        <v/>
      </c>
      <c r="CT157" s="29" t="str">
        <f>IF(OR($B157="",$A157&lt;=95),"",--MID('Key Analysis'!$C153,$A157-95,1))</f>
        <v/>
      </c>
      <c r="CU157" s="29" t="str">
        <f>IF(OR($B157="",$A157&lt;=96),"",--MID('Key Analysis'!$C153,$A157-96,1))</f>
        <v/>
      </c>
      <c r="CV157" s="29" t="str">
        <f>IF(OR($B157="",$A157&lt;=97),"",--MID('Key Analysis'!$C153,$A157-97,1))</f>
        <v/>
      </c>
      <c r="CW157" s="29" t="str">
        <f>IF(OR($B157="",$A157&lt;=98),"",--MID('Key Analysis'!$C153,$A157-98,1))</f>
        <v/>
      </c>
      <c r="CX157" s="29" t="str">
        <f>IF(OR($B157="",$A157&lt;=99),"",--MID('Key Analysis'!$C153,$A157-99,1))</f>
        <v/>
      </c>
      <c r="CY157" s="29" t="str">
        <f>IF(OR($B157="",$A157&lt;=100),"",--MID('Key Analysis'!$C153,$A157-100,1))</f>
        <v/>
      </c>
      <c r="CZ157" s="29" t="str">
        <f>IF(OR($B157="",$A157&lt;=101),"",--MID('Key Analysis'!$C153,$A157-101,1))</f>
        <v/>
      </c>
      <c r="DA157" s="29" t="str">
        <f>IF(OR($B157="",$A157&lt;=102),"",--MID('Key Analysis'!$C153,$A157-102,1))</f>
        <v/>
      </c>
      <c r="DB157" s="29" t="str">
        <f>IF(OR($B157="",$A157&lt;=103),"",--MID('Key Analysis'!$C153,$A157-103,1))</f>
        <v/>
      </c>
      <c r="DC157" s="29" t="str">
        <f>IF(OR($B157="",$A157&lt;=104),"",--MID('Key Analysis'!$C153,$A157-104,1))</f>
        <v/>
      </c>
      <c r="DD157" s="29" t="str">
        <f>IF(OR($B157="",$A157&lt;=105),"",--MID('Key Analysis'!$C153,$A157-105,1))</f>
        <v/>
      </c>
      <c r="DE157" s="29" t="str">
        <f>IF(OR($B157="",$A157&lt;=106),"",--MID('Key Analysis'!$C153,$A157-106,1))</f>
        <v/>
      </c>
      <c r="DF157" s="29" t="str">
        <f>IF(OR($B157="",$A157&lt;=107),"",--MID('Key Analysis'!$C153,$A157-107,1))</f>
        <v/>
      </c>
      <c r="DG157" s="29" t="str">
        <f>IF(OR($B157="",$A157&lt;=108),"",--MID('Key Analysis'!$C153,$A157-108,1))</f>
        <v/>
      </c>
      <c r="DH157" s="29" t="str">
        <f>IF(OR($B157="",$A157&lt;=109),"",--MID('Key Analysis'!$C153,$A157-109,1))</f>
        <v/>
      </c>
      <c r="DI157" s="29" t="str">
        <f>IF(OR($B157="",$A157&lt;=110),"",--MID('Key Analysis'!$C153,$A157-110,1))</f>
        <v/>
      </c>
      <c r="DJ157" s="29" t="str">
        <f>IF(OR($B157="",$A157&lt;=111),"",--MID('Key Analysis'!$C153,$A157-111,1))</f>
        <v/>
      </c>
      <c r="DK157" s="29" t="str">
        <f>IF(OR($B157="",$A157&lt;=112),"",--MID('Key Analysis'!$C153,$A157-112,1))</f>
        <v/>
      </c>
      <c r="DL157" s="29" t="str">
        <f>IF(OR($B157="",$A157&lt;=113),"",--MID('Key Analysis'!$C153,$A157-113,1))</f>
        <v/>
      </c>
      <c r="DM157" s="29" t="str">
        <f>IF(OR($B157="",$A157&lt;=114),"",--MID('Key Analysis'!$C153,$A157-114,1))</f>
        <v/>
      </c>
      <c r="DN157" s="29" t="str">
        <f>IF(OR($B157="",$A157&lt;=115),"",--MID('Key Analysis'!$C153,$A157-115,1))</f>
        <v/>
      </c>
      <c r="DO157" s="29" t="str">
        <f>IF(OR($B157="",$A157&lt;=116),"",--MID('Key Analysis'!$C153,$A157-116,1))</f>
        <v/>
      </c>
      <c r="DP157" s="29" t="str">
        <f>IF(OR($B157="",$A157&lt;=117),"",--MID('Key Analysis'!$C153,$A157-117,1))</f>
        <v/>
      </c>
      <c r="DQ157" s="29" t="str">
        <f>IF(OR($B157="",$A157&lt;=118),"",--MID('Key Analysis'!$C153,$A157-118,1))</f>
        <v/>
      </c>
      <c r="DR157" s="29" t="str">
        <f>IF(OR($B157="",$A157&lt;=119),"",--MID('Key Analysis'!$C153,$A157-119,1))</f>
        <v/>
      </c>
      <c r="DS157" s="29" t="str">
        <f>IF(OR($B157="",$A157&lt;=120),"",--MID('Key Analysis'!$C153,$A157-120,1))</f>
        <v/>
      </c>
      <c r="DT157" s="29" t="str">
        <f>IF(OR($B157="",$A157&lt;=121),"",--MID('Key Analysis'!$C153,$A157-121,1))</f>
        <v/>
      </c>
      <c r="DU157" s="29" t="str">
        <f>IF(OR($B157="",$A157&lt;=122),"",--MID('Key Analysis'!$C153,$A157-122,1))</f>
        <v/>
      </c>
      <c r="DV157" s="29" t="str">
        <f>IF(OR($B157="",$A157&lt;=123),"",--MID('Key Analysis'!$C153,$A157-123,1))</f>
        <v/>
      </c>
      <c r="DW157" s="29" t="str">
        <f>IF(OR($B157="",$A157&lt;=124),"",--MID('Key Analysis'!$C153,$A157-124,1))</f>
        <v/>
      </c>
      <c r="DX157" s="29" t="str">
        <f>IF(OR($B157="",$A157&lt;=125),"",--MID('Key Analysis'!$C153,$A157-125,1))</f>
        <v/>
      </c>
      <c r="DY157" s="29" t="str">
        <f>IF(OR($B157="",$A157&lt;=126),"",--MID('Key Analysis'!$C153,$A157-126,1))</f>
        <v/>
      </c>
      <c r="DZ157" s="29" t="str">
        <f>IF(OR($B157="",$A157&lt;=127),"",--MID('Key Analysis'!$C153,$A157-127,1))</f>
        <v/>
      </c>
      <c r="EA157" s="29" t="str">
        <f>IF(OR($B157="",$A157&lt;=128),"",--MID('Key Analysis'!$C153,$A157-128,1))</f>
        <v/>
      </c>
      <c r="EB157" s="29" t="str">
        <f>IF(OR($B157="",$A157&lt;=129),"",--MID('Key Analysis'!$C153,$A157-129,1))</f>
        <v/>
      </c>
      <c r="EC157" s="29" t="str">
        <f>IF(OR($B157="",$A157&lt;=130),"",--MID('Key Analysis'!$C153,$A157-130,1))</f>
        <v/>
      </c>
      <c r="ED157" s="29" t="str">
        <f>IF(OR($B157="",$A157&lt;=131),"",--MID('Key Analysis'!$C153,$A157-131,1))</f>
        <v/>
      </c>
      <c r="EE157" s="29" t="str">
        <f>IF(OR($B157="",$A157&lt;=132),"",--MID('Key Analysis'!$C153,$A157-132,1))</f>
        <v/>
      </c>
      <c r="EF157" s="29" t="str">
        <f>IF(OR($B157="",$A157&lt;=133),"",--MID('Key Analysis'!$C153,$A157-133,1))</f>
        <v/>
      </c>
      <c r="EG157" s="29" t="str">
        <f>IF(OR($B157="",$A157&lt;=134),"",--MID('Key Analysis'!$C153,$A157-134,1))</f>
        <v/>
      </c>
      <c r="EH157" s="29"/>
      <c r="EI157" s="29" t="str">
        <f>IF(OR($B157="",$A157&lt;1),"",--MID('Key Analysis'!$C153,1,1))</f>
        <v/>
      </c>
      <c r="EJ157" s="29" t="str">
        <f>IF(OR($B157="",$A157&lt;2),"",--MID('Key Analysis'!$C153,2,1))</f>
        <v/>
      </c>
      <c r="EK157" s="29" t="str">
        <f>IF(OR($B157="",$A157&lt;3),"",--MID('Key Analysis'!$C153,3,1))</f>
        <v/>
      </c>
      <c r="EL157" s="29" t="str">
        <f>IF(OR($B157="",$A157&lt;4),"",--MID('Key Analysis'!$C153,4,1))</f>
        <v/>
      </c>
      <c r="EM157" s="29" t="str">
        <f>IF(OR($B157="",$A157&lt;5),"",--MID('Key Analysis'!$C153,5,1))</f>
        <v/>
      </c>
      <c r="EN157" s="29" t="str">
        <f>IF(OR($B157="",$A157&lt;6),"",--MID('Key Analysis'!$C153,6,1))</f>
        <v/>
      </c>
      <c r="EO157" s="29" t="str">
        <f>IF(OR($B157="",$A157&lt;7),"",--MID('Key Analysis'!$C153,7,1))</f>
        <v/>
      </c>
      <c r="EP157" s="29" t="str">
        <f>IF(OR($B157="",$A157&lt;8),"",--MID('Key Analysis'!$C153,8,1))</f>
        <v/>
      </c>
      <c r="EQ157" s="29" t="str">
        <f>IF(OR($B157="",$A157&lt;9),"",--MID('Key Analysis'!$C153,9,1))</f>
        <v/>
      </c>
      <c r="ER157" s="29" t="str">
        <f>IF(OR($B157="",$A157&lt;10),"",--MID('Key Analysis'!$C153,10,1))</f>
        <v/>
      </c>
      <c r="ES157" s="29" t="str">
        <f>IF(OR($B157="",$A157&lt;11),"",--MID('Key Analysis'!$C153,11,1))</f>
        <v/>
      </c>
      <c r="ET157" s="29" t="str">
        <f>IF(OR($B157="",$A157&lt;12),"",--MID('Key Analysis'!$C153,12,1))</f>
        <v/>
      </c>
      <c r="EU157" s="29" t="str">
        <f>IF(OR($B157="",$A157&lt;13),"",--MID('Key Analysis'!$C153,13,1))</f>
        <v/>
      </c>
      <c r="EV157" s="29" t="str">
        <f>IF(OR($B157="",$A157&lt;14),"",--MID('Key Analysis'!$C153,14,1))</f>
        <v/>
      </c>
      <c r="EW157" s="29" t="str">
        <f>IF(OR($B157="",$A157&lt;15),"",--MID('Key Analysis'!$C153,15,1))</f>
        <v/>
      </c>
      <c r="EX157" s="29" t="str">
        <f>IF(OR($B157="",$A157&lt;16),"",--MID('Key Analysis'!$C153,16,1))</f>
        <v/>
      </c>
      <c r="EY157" s="29" t="str">
        <f>IF(OR($B157="",$A157&lt;17),"",--MID('Key Analysis'!$C153,17,1))</f>
        <v/>
      </c>
      <c r="EZ157" s="29" t="str">
        <f>IF(OR($B157="",$A157&lt;18),"",--MID('Key Analysis'!$C153,18,1))</f>
        <v/>
      </c>
      <c r="FA157" s="29" t="str">
        <f>IF(OR($B157="",$A157&lt;19),"",--MID('Key Analysis'!$C153,19,1))</f>
        <v/>
      </c>
      <c r="FB157" s="29" t="str">
        <f>IF(OR($B157="",$A157&lt;20),"",--MID('Key Analysis'!$C153,20,1))</f>
        <v/>
      </c>
      <c r="FC157" s="29" t="str">
        <f>IF(OR($B157="",$A157&lt;21),"",--MID('Key Analysis'!$C153,21,1))</f>
        <v/>
      </c>
      <c r="FD157" s="29" t="str">
        <f>IF(OR($B157="",$A157&lt;22),"",--MID('Key Analysis'!$C153,22,1))</f>
        <v/>
      </c>
      <c r="FE157" s="29" t="str">
        <f>IF(OR($B157="",$A157&lt;23),"",--MID('Key Analysis'!$C153,23,1))</f>
        <v/>
      </c>
      <c r="FF157" s="29" t="str">
        <f>IF(OR($B157="",$A157&lt;24),"",--MID('Key Analysis'!$C153,24,1))</f>
        <v/>
      </c>
      <c r="FG157" s="29" t="str">
        <f>IF(OR($B157="",$A157&lt;25),"",--MID('Key Analysis'!$C153,25,1))</f>
        <v/>
      </c>
      <c r="FH157" s="29" t="str">
        <f>IF(OR($B157="",$A157&lt;26),"",--MID('Key Analysis'!$C153,26,1))</f>
        <v/>
      </c>
      <c r="FI157" s="29" t="str">
        <f>IF(OR($B157="",$A157&lt;27),"",--MID('Key Analysis'!$C153,27,1))</f>
        <v/>
      </c>
      <c r="FJ157" s="29" t="str">
        <f>IF(OR($B157="",$A157&lt;28),"",--MID('Key Analysis'!$C153,28,1))</f>
        <v/>
      </c>
      <c r="FK157" s="29" t="str">
        <f>IF(OR($B157="",$A157&lt;29),"",--MID('Key Analysis'!$C153,29,1))</f>
        <v/>
      </c>
      <c r="FL157" s="29" t="str">
        <f>IF(OR($B157="",$A157&lt;30),"",--MID('Key Analysis'!$C153,30,1))</f>
        <v/>
      </c>
      <c r="FM157" s="29" t="str">
        <f>IF(OR($B157="",$A157&lt;31),"",--MID('Key Analysis'!$C153,31,1))</f>
        <v/>
      </c>
      <c r="FN157" s="29" t="str">
        <f>IF(OR($B157="",$A157&lt;32),"",--MID('Key Analysis'!$C153,32,1))</f>
        <v/>
      </c>
      <c r="FO157" s="29" t="str">
        <f>IF(OR($B157="",$A157&lt;33),"",--MID('Key Analysis'!$C153,33,1))</f>
        <v/>
      </c>
      <c r="FP157" s="29" t="str">
        <f>IF(OR($B157="",$A157&lt;34),"",--MID('Key Analysis'!$C153,34,1))</f>
        <v/>
      </c>
      <c r="FQ157" s="29" t="str">
        <f>IF(OR($B157="",$A157&lt;35),"",--MID('Key Analysis'!$C153,35,1))</f>
        <v/>
      </c>
      <c r="FR157" s="29" t="str">
        <f>IF(OR($B157="",$A157&lt;36),"",--MID('Key Analysis'!$C153,36,1))</f>
        <v/>
      </c>
      <c r="FS157" s="29" t="str">
        <f>IF(OR($B157="",$A157&lt;37),"",--MID('Key Analysis'!$C153,37,1))</f>
        <v/>
      </c>
      <c r="FT157" s="29" t="str">
        <f>IF(OR($B157="",$A157&lt;38),"",--MID('Key Analysis'!$C153,38,1))</f>
        <v/>
      </c>
      <c r="FU157" s="29" t="str">
        <f>IF(OR($B157="",$A157&lt;39),"",--MID('Key Analysis'!$C153,39,1))</f>
        <v/>
      </c>
      <c r="FV157" s="29" t="str">
        <f>IF(OR($B157="",$A157&lt;40),"",--MID('Key Analysis'!$C153,40,1))</f>
        <v/>
      </c>
      <c r="FW157" s="29" t="str">
        <f>IF(OR($B157="",$A157&lt;41),"",--MID('Key Analysis'!$C153,41,1))</f>
        <v/>
      </c>
      <c r="FX157" s="29" t="str">
        <f>IF(OR($B157="",$A157&lt;42),"",--MID('Key Analysis'!$C153,42,1))</f>
        <v/>
      </c>
      <c r="FY157" s="29" t="str">
        <f>IF(OR($B157="",$A157&lt;43),"",--MID('Key Analysis'!$C153,43,1))</f>
        <v/>
      </c>
      <c r="FZ157" s="29" t="str">
        <f>IF(OR($B157="",$A157&lt;44),"",--MID('Key Analysis'!$C153,44,1))</f>
        <v/>
      </c>
      <c r="GA157" s="29" t="str">
        <f>IF(OR($B157="",$A157&lt;45),"",--MID('Key Analysis'!$C153,45,1))</f>
        <v/>
      </c>
      <c r="GB157" s="29" t="str">
        <f>IF(OR($B157="",$A157&lt;46),"",--MID('Key Analysis'!$C153,46,1))</f>
        <v/>
      </c>
      <c r="GC157" s="29" t="str">
        <f>IF(OR($B157="",$A157&lt;47),"",--MID('Key Analysis'!$C153,47,1))</f>
        <v/>
      </c>
      <c r="GD157" s="29" t="str">
        <f>IF(OR($B157="",$A157&lt;48),"",--MID('Key Analysis'!$C153,48,1))</f>
        <v/>
      </c>
      <c r="GE157" s="29" t="str">
        <f>IF(OR($B157="",$A157&lt;49),"",--MID('Key Analysis'!$C153,49,1))</f>
        <v/>
      </c>
      <c r="GF157" s="29" t="str">
        <f>IF(OR($B157="",$A157&lt;50),"",--MID('Key Analysis'!$C153,50,1))</f>
        <v/>
      </c>
      <c r="GG157" s="29" t="str">
        <f>IF(OR($B157="",$A157&lt;51),"",--MID('Key Analysis'!$C153,51,1))</f>
        <v/>
      </c>
      <c r="GH157" s="29" t="str">
        <f>IF(OR($B157="",$A157&lt;52),"",--MID('Key Analysis'!$C153,52,1))</f>
        <v/>
      </c>
      <c r="GI157" s="29" t="str">
        <f>IF(OR($B157="",$A157&lt;53),"",--MID('Key Analysis'!$C153,53,1))</f>
        <v/>
      </c>
      <c r="GJ157" s="29" t="str">
        <f>IF(OR($B157="",$A157&lt;54),"",--MID('Key Analysis'!$C153,54,1))</f>
        <v/>
      </c>
      <c r="GK157" s="29" t="str">
        <f>IF(OR($B157="",$A157&lt;55),"",--MID('Key Analysis'!$C153,55,1))</f>
        <v/>
      </c>
      <c r="GL157" s="29" t="str">
        <f>IF(OR($B157="",$A157&lt;56),"",--MID('Key Analysis'!$C153,56,1))</f>
        <v/>
      </c>
      <c r="GM157" s="29" t="str">
        <f>IF(OR($B157="",$A157&lt;57),"",--MID('Key Analysis'!$C153,57,1))</f>
        <v/>
      </c>
      <c r="GN157" s="29" t="str">
        <f>IF(OR($B157="",$A157&lt;58),"",--MID('Key Analysis'!$C153,58,1))</f>
        <v/>
      </c>
      <c r="GO157" s="29" t="str">
        <f>IF(OR($B157="",$A157&lt;59),"",--MID('Key Analysis'!$C153,59,1))</f>
        <v/>
      </c>
      <c r="GP157" s="29" t="str">
        <f>IF(OR($B157="",$A157&lt;60),"",--MID('Key Analysis'!$C153,60,1))</f>
        <v/>
      </c>
      <c r="GQ157" s="29" t="str">
        <f>IF(OR($B157="",$A157&lt;61),"",--MID('Key Analysis'!$C153,61,1))</f>
        <v/>
      </c>
      <c r="GR157" s="29" t="str">
        <f>IF(OR($B157="",$A157&lt;62),"",--MID('Key Analysis'!$C153,62,1))</f>
        <v/>
      </c>
      <c r="GS157" s="29" t="str">
        <f>IF(OR($B157="",$A157&lt;63),"",--MID('Key Analysis'!$C153,63,1))</f>
        <v/>
      </c>
      <c r="GT157" s="29" t="str">
        <f>IF(OR($B157="",$A157&lt;64),"",--MID('Key Analysis'!$C153,64,1))</f>
        <v/>
      </c>
      <c r="GU157" s="29" t="str">
        <f>IF(OR($B157="",$A157&lt;65),"",--MID('Key Analysis'!$C153,65,1))</f>
        <v/>
      </c>
      <c r="GV157" s="29" t="str">
        <f>IF(OR($B157="",$A157&lt;66),"",--MID('Key Analysis'!$C153,66,1))</f>
        <v/>
      </c>
      <c r="GW157" s="29" t="str">
        <f>IF(OR($B157="",$A157&lt;67),"",--MID('Key Analysis'!$C153,67,1))</f>
        <v/>
      </c>
      <c r="GX157" s="29" t="str">
        <f>IF(OR($B157="",$A157&lt;68),"",--MID('Key Analysis'!$C153,68,1))</f>
        <v/>
      </c>
      <c r="GY157" s="29" t="str">
        <f>IF(OR($B157="",$A157&lt;69),"",--MID('Key Analysis'!$C153,69,1))</f>
        <v/>
      </c>
      <c r="GZ157" s="29" t="str">
        <f>IF(OR($B157="",$A157&lt;70),"",--MID('Key Analysis'!$C153,70,1))</f>
        <v/>
      </c>
      <c r="HA157" s="29" t="str">
        <f>IF(OR($B157="",$A157&lt;71),"",--MID('Key Analysis'!$C153,71,1))</f>
        <v/>
      </c>
      <c r="HB157" s="29" t="str">
        <f>IF(OR($B157="",$A157&lt;72),"",--MID('Key Analysis'!$C153,72,1))</f>
        <v/>
      </c>
      <c r="HC157" s="29" t="str">
        <f>IF(OR($B157="",$A157&lt;73),"",--MID('Key Analysis'!$C153,73,1))</f>
        <v/>
      </c>
      <c r="HD157" s="29" t="str">
        <f>IF(OR($B157="",$A157&lt;74),"",--MID('Key Analysis'!$C153,74,1))</f>
        <v/>
      </c>
      <c r="HE157" s="29" t="str">
        <f>IF(OR($B157="",$A157&lt;75),"",--MID('Key Analysis'!$C153,75,1))</f>
        <v/>
      </c>
      <c r="HF157" s="29" t="str">
        <f>IF(OR($B157="",$A157&lt;76),"",--MID('Key Analysis'!$C153,76,1))</f>
        <v/>
      </c>
      <c r="HG157" s="29" t="str">
        <f>IF(OR($B157="",$A157&lt;77),"",--MID('Key Analysis'!$C153,77,1))</f>
        <v/>
      </c>
      <c r="HH157" s="29" t="str">
        <f>IF(OR($B157="",$A157&lt;78),"",--MID('Key Analysis'!$C153,78,1))</f>
        <v/>
      </c>
      <c r="HI157" s="29" t="str">
        <f>IF(OR($B157="",$A157&lt;79),"",--MID('Key Analysis'!$C153,79,1))</f>
        <v/>
      </c>
      <c r="HJ157" s="29" t="str">
        <f>IF(OR($B157="",$A157&lt;80),"",--MID('Key Analysis'!$C153,80,1))</f>
        <v/>
      </c>
      <c r="HK157" s="29" t="str">
        <f>IF(OR($B157="",$A157&lt;81),"",--MID('Key Analysis'!$C153,81,1))</f>
        <v/>
      </c>
      <c r="HL157" s="29" t="str">
        <f>IF(OR($B157="",$A157&lt;82),"",--MID('Key Analysis'!$C153,82,1))</f>
        <v/>
      </c>
      <c r="HM157" s="29" t="str">
        <f>IF(OR($B157="",$A157&lt;83),"",--MID('Key Analysis'!$C153,83,1))</f>
        <v/>
      </c>
      <c r="HN157" s="29" t="str">
        <f>IF(OR($B157="",$A157&lt;84),"",--MID('Key Analysis'!$C153,84,1))</f>
        <v/>
      </c>
      <c r="HO157" s="29" t="str">
        <f>IF(OR($B157="",$A157&lt;85),"",--MID('Key Analysis'!$C153,85,1))</f>
        <v/>
      </c>
      <c r="HP157" s="29" t="str">
        <f>IF(OR($B157="",$A157&lt;86),"",--MID('Key Analysis'!$C153,86,1))</f>
        <v/>
      </c>
      <c r="HQ157" s="29" t="str">
        <f>IF(OR($B157="",$A157&lt;87),"",--MID('Key Analysis'!$C153,87,1))</f>
        <v/>
      </c>
      <c r="HR157" s="29" t="str">
        <f>IF(OR($B157="",$A157&lt;88),"",--MID('Key Analysis'!$C153,88,1))</f>
        <v/>
      </c>
      <c r="HS157" s="29" t="str">
        <f>IF(OR($B157="",$A157&lt;89),"",--MID('Key Analysis'!$C153,89,1))</f>
        <v/>
      </c>
      <c r="HT157" s="29" t="str">
        <f>IF(OR($B157="",$A157&lt;90),"",--MID('Key Analysis'!$C153,90,1))</f>
        <v/>
      </c>
      <c r="HU157" s="29" t="str">
        <f>IF(OR($B157="",$A157&lt;91),"",--MID('Key Analysis'!$C153,91,1))</f>
        <v/>
      </c>
      <c r="HV157" s="29" t="str">
        <f>IF(OR($B157="",$A157&lt;92),"",--MID('Key Analysis'!$C153,92,1))</f>
        <v/>
      </c>
      <c r="HW157" s="29" t="str">
        <f>IF(OR($B157="",$A157&lt;93),"",--MID('Key Analysis'!$C153,93,1))</f>
        <v/>
      </c>
      <c r="HX157" s="29" t="str">
        <f>IF(OR($B157="",$A157&lt;94),"",--MID('Key Analysis'!$C153,94,1))</f>
        <v/>
      </c>
      <c r="HY157" s="29" t="str">
        <f>IF(OR($B157="",$A157&lt;95),"",--MID('Key Analysis'!$C153,95,1))</f>
        <v/>
      </c>
      <c r="HZ157" s="29" t="str">
        <f>IF(OR($B157="",$A157&lt;96),"",--MID('Key Analysis'!$C153,96,1))</f>
        <v/>
      </c>
      <c r="IA157" s="29" t="str">
        <f>IF(OR($B157="",$A157&lt;97),"",--MID('Key Analysis'!$C153,97,1))</f>
        <v/>
      </c>
      <c r="IB157" s="29" t="str">
        <f>IF(OR($B157="",$A157&lt;98),"",--MID('Key Analysis'!$C153,98,1))</f>
        <v/>
      </c>
      <c r="IC157" s="29" t="str">
        <f>IF(OR($B157="",$A157&lt;99),"",--MID('Key Analysis'!$C153,99,1))</f>
        <v/>
      </c>
      <c r="ID157" s="29" t="str">
        <f>IF(OR($B157="",$A157&lt;100),"",--MID('Key Analysis'!$C153,100,1))</f>
        <v/>
      </c>
      <c r="IE157" s="29" t="str">
        <f>IF(OR($B157="",$A157&lt;101),"",--MID('Key Analysis'!$C153,101,1))</f>
        <v/>
      </c>
      <c r="IF157" s="29" t="str">
        <f>IF(OR($B157="",$A157&lt;102),"",--MID('Key Analysis'!$C153,102,1))</f>
        <v/>
      </c>
      <c r="IG157" s="29" t="str">
        <f>IF(OR($B157="",$A157&lt;103),"",--MID('Key Analysis'!$C153,103,1))</f>
        <v/>
      </c>
      <c r="IH157" s="29" t="str">
        <f>IF(OR($B157="",$A157&lt;104),"",--MID('Key Analysis'!$C153,104,1))</f>
        <v/>
      </c>
      <c r="II157" s="29" t="str">
        <f>IF(OR($B157="",$A157&lt;105),"",--MID('Key Analysis'!$C153,105,1))</f>
        <v/>
      </c>
      <c r="IJ157" s="29" t="str">
        <f>IF(OR($B157="",$A157&lt;106),"",--MID('Key Analysis'!$C153,106,1))</f>
        <v/>
      </c>
      <c r="IK157" s="29" t="str">
        <f>IF(OR($B157="",$A157&lt;107),"",--MID('Key Analysis'!$C153,107,1))</f>
        <v/>
      </c>
      <c r="IL157" s="29" t="str">
        <f>IF(OR($B157="",$A157&lt;108),"",--MID('Key Analysis'!$C153,108,1))</f>
        <v/>
      </c>
      <c r="IM157" s="29" t="str">
        <f>IF(OR($B157="",$A157&lt;109),"",--MID('Key Analysis'!$C153,109,1))</f>
        <v/>
      </c>
      <c r="IN157" s="29" t="str">
        <f>IF(OR($B157="",$A157&lt;110),"",--MID('Key Analysis'!$C153,110,1))</f>
        <v/>
      </c>
      <c r="IO157" s="29" t="str">
        <f>IF(OR($B157="",$A157&lt;111),"",--MID('Key Analysis'!$C153,111,1))</f>
        <v/>
      </c>
      <c r="IP157" s="29" t="str">
        <f>IF(OR($B157="",$A157&lt;112),"",--MID('Key Analysis'!$C153,112,1))</f>
        <v/>
      </c>
      <c r="IQ157" s="29" t="str">
        <f>IF(OR($B157="",$A157&lt;113),"",--MID('Key Analysis'!$C153,113,1))</f>
        <v/>
      </c>
      <c r="IR157" s="29" t="str">
        <f>IF(OR($B157="",$A157&lt;114),"",--MID('Key Analysis'!$C153,114,1))</f>
        <v/>
      </c>
      <c r="IS157" s="29" t="str">
        <f>IF(OR($B157="",$A157&lt;115),"",--MID('Key Analysis'!$C153,115,1))</f>
        <v/>
      </c>
      <c r="IT157" s="29" t="str">
        <f>IF(OR($B157="",$A157&lt;116),"",--MID('Key Analysis'!$C153,116,1))</f>
        <v/>
      </c>
      <c r="IU157" s="29" t="str">
        <f>IF(OR($B157="",$A157&lt;117),"",--MID('Key Analysis'!$C153,117,1))</f>
        <v/>
      </c>
      <c r="IV157" s="29" t="str">
        <f>IF(OR($B157="",$A157&lt;118),"",--MID('Key Analysis'!$C153,118,1))</f>
        <v/>
      </c>
      <c r="IW157" s="29" t="str">
        <f>IF(OR($B157="",$A157&lt;119),"",--MID('Key Analysis'!$C153,119,1))</f>
        <v/>
      </c>
      <c r="IX157" s="29" t="str">
        <f>IF(OR($B157="",$A157&lt;120),"",--MID('Key Analysis'!$C153,120,1))</f>
        <v/>
      </c>
      <c r="IY157" s="29" t="str">
        <f>IF(OR($B157="",$A157&lt;121),"",--MID('Key Analysis'!$C153,121,1))</f>
        <v/>
      </c>
      <c r="IZ157" s="29" t="str">
        <f>IF(OR($B157="",$A157&lt;122),"",--MID('Key Analysis'!$C153,122,1))</f>
        <v/>
      </c>
      <c r="JA157" s="29" t="str">
        <f>IF(OR($B157="",$A157&lt;123),"",--MID('Key Analysis'!$C153,123,1))</f>
        <v/>
      </c>
      <c r="JB157" s="29" t="str">
        <f>IF(OR($B157="",$A157&lt;124),"",--MID('Key Analysis'!$C153,124,1))</f>
        <v/>
      </c>
      <c r="JC157" s="29" t="str">
        <f>IF(OR($B157="",$A157&lt;125),"",--MID('Key Analysis'!$C153,125,1))</f>
        <v/>
      </c>
      <c r="JD157" s="29" t="str">
        <f>IF(OR($B157="",$A157&lt;126),"",--MID('Key Analysis'!$C153,126,1))</f>
        <v/>
      </c>
      <c r="JE157" s="29" t="str">
        <f>IF(OR($B157="",$A157&lt;127),"",--MID('Key Analysis'!$C153,127,1))</f>
        <v/>
      </c>
      <c r="JF157" s="29" t="str">
        <f>IF(OR($B157="",$A157&lt;128),"",--MID('Key Analysis'!$C153,128,1))</f>
        <v/>
      </c>
      <c r="JG157" s="29" t="str">
        <f>IF(OR($B157="",$A157&lt;129),"",--MID('Key Analysis'!$C153,129,1))</f>
        <v/>
      </c>
      <c r="JH157" s="29" t="str">
        <f>IF(OR($B157="",$A157&lt;130),"",--MID('Key Analysis'!$C153,130,1))</f>
        <v/>
      </c>
      <c r="JI157" s="29" t="str">
        <f>IF(OR($B157="",$A157&lt;131),"",--MID('Key Analysis'!$C153,131,1))</f>
        <v/>
      </c>
      <c r="JJ157" s="29" t="str">
        <f>IF(OR($B157="",$A157&lt;132),"",--MID('Key Analysis'!$C153,132,1))</f>
        <v/>
      </c>
      <c r="JK157" s="29" t="str">
        <f>IF(OR($B157="",$A157&lt;133),"",--MID('Key Analysis'!$C153,133,1))</f>
        <v/>
      </c>
      <c r="JL157" s="29" t="str">
        <f>IF(OR($B157="",$A157&lt;134),"",--MID('Key Analysis'!$C153,134,1))</f>
        <v/>
      </c>
      <c r="JM157" s="29" t="str">
        <f>IF(OR($B157="",$A157&lt;135),"",--MID('Key Analysis'!$C153,135,1))</f>
        <v/>
      </c>
    </row>
    <row r="158" spans="1:273" x14ac:dyDescent="0.25">
      <c r="A158" s="21">
        <f>'Key Analysis'!A154</f>
        <v>153</v>
      </c>
      <c r="B158" s="30" t="str">
        <f>'Key Analysis'!B154</f>
        <v/>
      </c>
      <c r="C158" s="29" t="str">
        <f>IF(OR($B158="",$A158&lt;=0),"",--MID('Key Analysis'!$C154,$A158-0,1))</f>
        <v/>
      </c>
      <c r="D158" s="29" t="str">
        <f>IF(OR($B158="",$A158&lt;=1),"",--MID('Key Analysis'!$C154,$A158-1,1))</f>
        <v/>
      </c>
      <c r="E158" s="29" t="str">
        <f>IF(OR($B158="",$A158&lt;=2),"",--MID('Key Analysis'!$C154,$A158-2,1))</f>
        <v/>
      </c>
      <c r="F158" s="29" t="str">
        <f>IF(OR($B158="",$A158&lt;=3),"",--MID('Key Analysis'!$C154,$A158-3,1))</f>
        <v/>
      </c>
      <c r="G158" s="29" t="str">
        <f>IF(OR($B158="",$A158&lt;=4),"",--MID('Key Analysis'!$C154,$A158-4,1))</f>
        <v/>
      </c>
      <c r="H158" s="29" t="str">
        <f>IF(OR($B158="",$A158&lt;=5),"",--MID('Key Analysis'!$C154,$A158-5,1))</f>
        <v/>
      </c>
      <c r="I158" s="29" t="str">
        <f>IF(OR($B158="",$A158&lt;=6),"",--MID('Key Analysis'!$C154,$A158-6,1))</f>
        <v/>
      </c>
      <c r="J158" s="29" t="str">
        <f>IF(OR($B158="",$A158&lt;=7),"",--MID('Key Analysis'!$C154,$A158-7,1))</f>
        <v/>
      </c>
      <c r="K158" s="29" t="str">
        <f>IF(OR($B158="",$A158&lt;=8),"",--MID('Key Analysis'!$C154,$A158-8,1))</f>
        <v/>
      </c>
      <c r="L158" s="29" t="str">
        <f>IF(OR($B158="",$A158&lt;=9),"",--MID('Key Analysis'!$C154,$A158-9,1))</f>
        <v/>
      </c>
      <c r="M158" s="29" t="str">
        <f>IF(OR($B158="",$A158&lt;=10),"",--MID('Key Analysis'!$C154,$A158-10,1))</f>
        <v/>
      </c>
      <c r="N158" s="29" t="str">
        <f>IF(OR($B158="",$A158&lt;=11),"",--MID('Key Analysis'!$C154,$A158-11,1))</f>
        <v/>
      </c>
      <c r="O158" s="29" t="str">
        <f>IF(OR($B158="",$A158&lt;=12),"",--MID('Key Analysis'!$C154,$A158-12,1))</f>
        <v/>
      </c>
      <c r="P158" s="29" t="str">
        <f>IF(OR($B158="",$A158&lt;=13),"",--MID('Key Analysis'!$C154,$A158-13,1))</f>
        <v/>
      </c>
      <c r="Q158" s="29" t="str">
        <f>IF(OR($B158="",$A158&lt;=14),"",--MID('Key Analysis'!$C154,$A158-14,1))</f>
        <v/>
      </c>
      <c r="R158" s="29" t="str">
        <f>IF(OR($B158="",$A158&lt;=15),"",--MID('Key Analysis'!$C154,$A158-15,1))</f>
        <v/>
      </c>
      <c r="S158" s="29" t="str">
        <f>IF(OR($B158="",$A158&lt;=16),"",--MID('Key Analysis'!$C154,$A158-16,1))</f>
        <v/>
      </c>
      <c r="T158" s="29" t="str">
        <f>IF(OR($B158="",$A158&lt;=17),"",--MID('Key Analysis'!$C154,$A158-17,1))</f>
        <v/>
      </c>
      <c r="U158" s="29" t="str">
        <f>IF(OR($B158="",$A158&lt;=18),"",--MID('Key Analysis'!$C154,$A158-18,1))</f>
        <v/>
      </c>
      <c r="V158" s="29" t="str">
        <f>IF(OR($B158="",$A158&lt;=19),"",--MID('Key Analysis'!$C154,$A158-19,1))</f>
        <v/>
      </c>
      <c r="W158" s="29" t="str">
        <f>IF(OR($B158="",$A158&lt;=20),"",--MID('Key Analysis'!$C154,$A158-20,1))</f>
        <v/>
      </c>
      <c r="X158" s="29" t="str">
        <f>IF(OR($B158="",$A158&lt;=21),"",--MID('Key Analysis'!$C154,$A158-21,1))</f>
        <v/>
      </c>
      <c r="Y158" s="29" t="str">
        <f>IF(OR($B158="",$A158&lt;=22),"",--MID('Key Analysis'!$C154,$A158-22,1))</f>
        <v/>
      </c>
      <c r="Z158" s="29" t="str">
        <f>IF(OR($B158="",$A158&lt;=23),"",--MID('Key Analysis'!$C154,$A158-23,1))</f>
        <v/>
      </c>
      <c r="AA158" s="29" t="str">
        <f>IF(OR($B158="",$A158&lt;=24),"",--MID('Key Analysis'!$C154,$A158-24,1))</f>
        <v/>
      </c>
      <c r="AB158" s="29" t="str">
        <f>IF(OR($B158="",$A158&lt;=25),"",--MID('Key Analysis'!$C154,$A158-25,1))</f>
        <v/>
      </c>
      <c r="AC158" s="29" t="str">
        <f>IF(OR($B158="",$A158&lt;=26),"",--MID('Key Analysis'!$C154,$A158-26,1))</f>
        <v/>
      </c>
      <c r="AD158" s="29" t="str">
        <f>IF(OR($B158="",$A158&lt;=27),"",--MID('Key Analysis'!$C154,$A158-27,1))</f>
        <v/>
      </c>
      <c r="AE158" s="29" t="str">
        <f>IF(OR($B158="",$A158&lt;=28),"",--MID('Key Analysis'!$C154,$A158-28,1))</f>
        <v/>
      </c>
      <c r="AF158" s="29" t="str">
        <f>IF(OR($B158="",$A158&lt;=29),"",--MID('Key Analysis'!$C154,$A158-29,1))</f>
        <v/>
      </c>
      <c r="AG158" s="29" t="str">
        <f>IF(OR($B158="",$A158&lt;=30),"",--MID('Key Analysis'!$C154,$A158-30,1))</f>
        <v/>
      </c>
      <c r="AH158" s="29" t="str">
        <f>IF(OR($B158="",$A158&lt;=31),"",--MID('Key Analysis'!$C154,$A158-31,1))</f>
        <v/>
      </c>
      <c r="AI158" s="29" t="str">
        <f>IF(OR($B158="",$A158&lt;=32),"",--MID('Key Analysis'!$C154,$A158-32,1))</f>
        <v/>
      </c>
      <c r="AJ158" s="29" t="str">
        <f>IF(OR($B158="",$A158&lt;=33),"",--MID('Key Analysis'!$C154,$A158-33,1))</f>
        <v/>
      </c>
      <c r="AK158" s="29" t="str">
        <f>IF(OR($B158="",$A158&lt;=34),"",--MID('Key Analysis'!$C154,$A158-34,1))</f>
        <v/>
      </c>
      <c r="AL158" s="29" t="str">
        <f>IF(OR($B158="",$A158&lt;=35),"",--MID('Key Analysis'!$C154,$A158-35,1))</f>
        <v/>
      </c>
      <c r="AM158" s="29" t="str">
        <f>IF(OR($B158="",$A158&lt;=36),"",--MID('Key Analysis'!$C154,$A158-36,1))</f>
        <v/>
      </c>
      <c r="AN158" s="29" t="str">
        <f>IF(OR($B158="",$A158&lt;=37),"",--MID('Key Analysis'!$C154,$A158-37,1))</f>
        <v/>
      </c>
      <c r="AO158" s="29" t="str">
        <f>IF(OR($B158="",$A158&lt;=38),"",--MID('Key Analysis'!$C154,$A158-38,1))</f>
        <v/>
      </c>
      <c r="AP158" s="29" t="str">
        <f>IF(OR($B158="",$A158&lt;=39),"",--MID('Key Analysis'!$C154,$A158-39,1))</f>
        <v/>
      </c>
      <c r="AQ158" s="29" t="str">
        <f>IF(OR($B158="",$A158&lt;=40),"",--MID('Key Analysis'!$C154,$A158-40,1))</f>
        <v/>
      </c>
      <c r="AR158" s="29" t="str">
        <f>IF(OR($B158="",$A158&lt;=41),"",--MID('Key Analysis'!$C154,$A158-41,1))</f>
        <v/>
      </c>
      <c r="AS158" s="29" t="str">
        <f>IF(OR($B158="",$A158&lt;=42),"",--MID('Key Analysis'!$C154,$A158-42,1))</f>
        <v/>
      </c>
      <c r="AT158" s="29" t="str">
        <f>IF(OR($B158="",$A158&lt;=43),"",--MID('Key Analysis'!$C154,$A158-43,1))</f>
        <v/>
      </c>
      <c r="AU158" s="29" t="str">
        <f>IF(OR($B158="",$A158&lt;=44),"",--MID('Key Analysis'!$C154,$A158-44,1))</f>
        <v/>
      </c>
      <c r="AV158" s="29" t="str">
        <f>IF(OR($B158="",$A158&lt;=45),"",--MID('Key Analysis'!$C154,$A158-45,1))</f>
        <v/>
      </c>
      <c r="AW158" s="29" t="str">
        <f>IF(OR($B158="",$A158&lt;=46),"",--MID('Key Analysis'!$C154,$A158-46,1))</f>
        <v/>
      </c>
      <c r="AX158" s="29" t="str">
        <f>IF(OR($B158="",$A158&lt;=47),"",--MID('Key Analysis'!$C154,$A158-47,1))</f>
        <v/>
      </c>
      <c r="AY158" s="29" t="str">
        <f>IF(OR($B158="",$A158&lt;=48),"",--MID('Key Analysis'!$C154,$A158-48,1))</f>
        <v/>
      </c>
      <c r="AZ158" s="29" t="str">
        <f>IF(OR($B158="",$A158&lt;=49),"",--MID('Key Analysis'!$C154,$A158-49,1))</f>
        <v/>
      </c>
      <c r="BA158" s="29" t="str">
        <f>IF(OR($B158="",$A158&lt;=50),"",--MID('Key Analysis'!$C154,$A158-50,1))</f>
        <v/>
      </c>
      <c r="BB158" s="29" t="str">
        <f>IF(OR($B158="",$A158&lt;=51),"",--MID('Key Analysis'!$C154,$A158-51,1))</f>
        <v/>
      </c>
      <c r="BC158" s="29" t="str">
        <f>IF(OR($B158="",$A158&lt;=52),"",--MID('Key Analysis'!$C154,$A158-52,1))</f>
        <v/>
      </c>
      <c r="BD158" s="29" t="str">
        <f>IF(OR($B158="",$A158&lt;=53),"",--MID('Key Analysis'!$C154,$A158-53,1))</f>
        <v/>
      </c>
      <c r="BE158" s="29" t="str">
        <f>IF(OR($B158="",$A158&lt;=54),"",--MID('Key Analysis'!$C154,$A158-54,1))</f>
        <v/>
      </c>
      <c r="BF158" s="29" t="str">
        <f>IF(OR($B158="",$A158&lt;=55),"",--MID('Key Analysis'!$C154,$A158-55,1))</f>
        <v/>
      </c>
      <c r="BG158" s="29" t="str">
        <f>IF(OR($B158="",$A158&lt;=56),"",--MID('Key Analysis'!$C154,$A158-56,1))</f>
        <v/>
      </c>
      <c r="BH158" s="29" t="str">
        <f>IF(OR($B158="",$A158&lt;=57),"",--MID('Key Analysis'!$C154,$A158-57,1))</f>
        <v/>
      </c>
      <c r="BI158" s="29" t="str">
        <f>IF(OR($B158="",$A158&lt;=58),"",--MID('Key Analysis'!$C154,$A158-58,1))</f>
        <v/>
      </c>
      <c r="BJ158" s="29" t="str">
        <f>IF(OR($B158="",$A158&lt;=59),"",--MID('Key Analysis'!$C154,$A158-59,1))</f>
        <v/>
      </c>
      <c r="BK158" s="29" t="str">
        <f>IF(OR($B158="",$A158&lt;=60),"",--MID('Key Analysis'!$C154,$A158-60,1))</f>
        <v/>
      </c>
      <c r="BL158" s="29" t="str">
        <f>IF(OR($B158="",$A158&lt;=61),"",--MID('Key Analysis'!$C154,$A158-61,1))</f>
        <v/>
      </c>
      <c r="BM158" s="29" t="str">
        <f>IF(OR($B158="",$A158&lt;=62),"",--MID('Key Analysis'!$C154,$A158-62,1))</f>
        <v/>
      </c>
      <c r="BN158" s="29" t="str">
        <f>IF(OR($B158="",$A158&lt;=63),"",--MID('Key Analysis'!$C154,$A158-63,1))</f>
        <v/>
      </c>
      <c r="BO158" s="29" t="str">
        <f>IF(OR($B158="",$A158&lt;=64),"",--MID('Key Analysis'!$C154,$A158-64,1))</f>
        <v/>
      </c>
      <c r="BP158" s="29" t="str">
        <f>IF(OR($B158="",$A158&lt;=65),"",--MID('Key Analysis'!$C154,$A158-65,1))</f>
        <v/>
      </c>
      <c r="BQ158" s="29" t="str">
        <f>IF(OR($B158="",$A158&lt;=66),"",--MID('Key Analysis'!$C154,$A158-66,1))</f>
        <v/>
      </c>
      <c r="BR158" s="29" t="str">
        <f>IF(OR($B158="",$A158&lt;=67),"",--MID('Key Analysis'!$C154,$A158-67,1))</f>
        <v/>
      </c>
      <c r="BS158" s="29" t="str">
        <f>IF(OR($B158="",$A158&lt;=68),"",--MID('Key Analysis'!$C154,$A158-68,1))</f>
        <v/>
      </c>
      <c r="BT158" s="29" t="str">
        <f>IF(OR($B158="",$A158&lt;=69),"",--MID('Key Analysis'!$C154,$A158-69,1))</f>
        <v/>
      </c>
      <c r="BU158" s="29" t="str">
        <f>IF(OR($B158="",$A158&lt;=70),"",--MID('Key Analysis'!$C154,$A158-70,1))</f>
        <v/>
      </c>
      <c r="BV158" s="29" t="str">
        <f>IF(OR($B158="",$A158&lt;=71),"",--MID('Key Analysis'!$C154,$A158-71,1))</f>
        <v/>
      </c>
      <c r="BW158" s="29" t="str">
        <f>IF(OR($B158="",$A158&lt;=72),"",--MID('Key Analysis'!$C154,$A158-72,1))</f>
        <v/>
      </c>
      <c r="BX158" s="29" t="str">
        <f>IF(OR($B158="",$A158&lt;=73),"",--MID('Key Analysis'!$C154,$A158-73,1))</f>
        <v/>
      </c>
      <c r="BY158" s="29" t="str">
        <f>IF(OR($B158="",$A158&lt;=74),"",--MID('Key Analysis'!$C154,$A158-74,1))</f>
        <v/>
      </c>
      <c r="BZ158" s="29" t="str">
        <f>IF(OR($B158="",$A158&lt;=75),"",--MID('Key Analysis'!$C154,$A158-75,1))</f>
        <v/>
      </c>
      <c r="CA158" s="29" t="str">
        <f>IF(OR($B158="",$A158&lt;=76),"",--MID('Key Analysis'!$C154,$A158-76,1))</f>
        <v/>
      </c>
      <c r="CB158" s="29" t="str">
        <f>IF(OR($B158="",$A158&lt;=77),"",--MID('Key Analysis'!$C154,$A158-77,1))</f>
        <v/>
      </c>
      <c r="CC158" s="29" t="str">
        <f>IF(OR($B158="",$A158&lt;=78),"",--MID('Key Analysis'!$C154,$A158-78,1))</f>
        <v/>
      </c>
      <c r="CD158" s="29" t="str">
        <f>IF(OR($B158="",$A158&lt;=79),"",--MID('Key Analysis'!$C154,$A158-79,1))</f>
        <v/>
      </c>
      <c r="CE158" s="29" t="str">
        <f>IF(OR($B158="",$A158&lt;=80),"",--MID('Key Analysis'!$C154,$A158-80,1))</f>
        <v/>
      </c>
      <c r="CF158" s="29" t="str">
        <f>IF(OR($B158="",$A158&lt;=81),"",--MID('Key Analysis'!$C154,$A158-81,1))</f>
        <v/>
      </c>
      <c r="CG158" s="29" t="str">
        <f>IF(OR($B158="",$A158&lt;=82),"",--MID('Key Analysis'!$C154,$A158-82,1))</f>
        <v/>
      </c>
      <c r="CH158" s="29" t="str">
        <f>IF(OR($B158="",$A158&lt;=83),"",--MID('Key Analysis'!$C154,$A158-83,1))</f>
        <v/>
      </c>
      <c r="CI158" s="29" t="str">
        <f>IF(OR($B158="",$A158&lt;=84),"",--MID('Key Analysis'!$C154,$A158-84,1))</f>
        <v/>
      </c>
      <c r="CJ158" s="29" t="str">
        <f>IF(OR($B158="",$A158&lt;=85),"",--MID('Key Analysis'!$C154,$A158-85,1))</f>
        <v/>
      </c>
      <c r="CK158" s="29" t="str">
        <f>IF(OR($B158="",$A158&lt;=86),"",--MID('Key Analysis'!$C154,$A158-86,1))</f>
        <v/>
      </c>
      <c r="CL158" s="29" t="str">
        <f>IF(OR($B158="",$A158&lt;=87),"",--MID('Key Analysis'!$C154,$A158-87,1))</f>
        <v/>
      </c>
      <c r="CM158" s="29" t="str">
        <f>IF(OR($B158="",$A158&lt;=88),"",--MID('Key Analysis'!$C154,$A158-88,1))</f>
        <v/>
      </c>
      <c r="CN158" s="29" t="str">
        <f>IF(OR($B158="",$A158&lt;=89),"",--MID('Key Analysis'!$C154,$A158-89,1))</f>
        <v/>
      </c>
      <c r="CO158" s="29" t="str">
        <f>IF(OR($B158="",$A158&lt;=90),"",--MID('Key Analysis'!$C154,$A158-90,1))</f>
        <v/>
      </c>
      <c r="CP158" s="29" t="str">
        <f>IF(OR($B158="",$A158&lt;=91),"",--MID('Key Analysis'!$C154,$A158-91,1))</f>
        <v/>
      </c>
      <c r="CQ158" s="29" t="str">
        <f>IF(OR($B158="",$A158&lt;=92),"",--MID('Key Analysis'!$C154,$A158-92,1))</f>
        <v/>
      </c>
      <c r="CR158" s="29" t="str">
        <f>IF(OR($B158="",$A158&lt;=93),"",--MID('Key Analysis'!$C154,$A158-93,1))</f>
        <v/>
      </c>
      <c r="CS158" s="29" t="str">
        <f>IF(OR($B158="",$A158&lt;=94),"",--MID('Key Analysis'!$C154,$A158-94,1))</f>
        <v/>
      </c>
      <c r="CT158" s="29" t="str">
        <f>IF(OR($B158="",$A158&lt;=95),"",--MID('Key Analysis'!$C154,$A158-95,1))</f>
        <v/>
      </c>
      <c r="CU158" s="29" t="str">
        <f>IF(OR($B158="",$A158&lt;=96),"",--MID('Key Analysis'!$C154,$A158-96,1))</f>
        <v/>
      </c>
      <c r="CV158" s="29" t="str">
        <f>IF(OR($B158="",$A158&lt;=97),"",--MID('Key Analysis'!$C154,$A158-97,1))</f>
        <v/>
      </c>
      <c r="CW158" s="29" t="str">
        <f>IF(OR($B158="",$A158&lt;=98),"",--MID('Key Analysis'!$C154,$A158-98,1))</f>
        <v/>
      </c>
      <c r="CX158" s="29" t="str">
        <f>IF(OR($B158="",$A158&lt;=99),"",--MID('Key Analysis'!$C154,$A158-99,1))</f>
        <v/>
      </c>
      <c r="CY158" s="29" t="str">
        <f>IF(OR($B158="",$A158&lt;=100),"",--MID('Key Analysis'!$C154,$A158-100,1))</f>
        <v/>
      </c>
      <c r="CZ158" s="29" t="str">
        <f>IF(OR($B158="",$A158&lt;=101),"",--MID('Key Analysis'!$C154,$A158-101,1))</f>
        <v/>
      </c>
      <c r="DA158" s="29" t="str">
        <f>IF(OR($B158="",$A158&lt;=102),"",--MID('Key Analysis'!$C154,$A158-102,1))</f>
        <v/>
      </c>
      <c r="DB158" s="29" t="str">
        <f>IF(OR($B158="",$A158&lt;=103),"",--MID('Key Analysis'!$C154,$A158-103,1))</f>
        <v/>
      </c>
      <c r="DC158" s="29" t="str">
        <f>IF(OR($B158="",$A158&lt;=104),"",--MID('Key Analysis'!$C154,$A158-104,1))</f>
        <v/>
      </c>
      <c r="DD158" s="29" t="str">
        <f>IF(OR($B158="",$A158&lt;=105),"",--MID('Key Analysis'!$C154,$A158-105,1))</f>
        <v/>
      </c>
      <c r="DE158" s="29" t="str">
        <f>IF(OR($B158="",$A158&lt;=106),"",--MID('Key Analysis'!$C154,$A158-106,1))</f>
        <v/>
      </c>
      <c r="DF158" s="29" t="str">
        <f>IF(OR($B158="",$A158&lt;=107),"",--MID('Key Analysis'!$C154,$A158-107,1))</f>
        <v/>
      </c>
      <c r="DG158" s="29" t="str">
        <f>IF(OR($B158="",$A158&lt;=108),"",--MID('Key Analysis'!$C154,$A158-108,1))</f>
        <v/>
      </c>
      <c r="DH158" s="29" t="str">
        <f>IF(OR($B158="",$A158&lt;=109),"",--MID('Key Analysis'!$C154,$A158-109,1))</f>
        <v/>
      </c>
      <c r="DI158" s="29" t="str">
        <f>IF(OR($B158="",$A158&lt;=110),"",--MID('Key Analysis'!$C154,$A158-110,1))</f>
        <v/>
      </c>
      <c r="DJ158" s="29" t="str">
        <f>IF(OR($B158="",$A158&lt;=111),"",--MID('Key Analysis'!$C154,$A158-111,1))</f>
        <v/>
      </c>
      <c r="DK158" s="29" t="str">
        <f>IF(OR($B158="",$A158&lt;=112),"",--MID('Key Analysis'!$C154,$A158-112,1))</f>
        <v/>
      </c>
      <c r="DL158" s="29" t="str">
        <f>IF(OR($B158="",$A158&lt;=113),"",--MID('Key Analysis'!$C154,$A158-113,1))</f>
        <v/>
      </c>
      <c r="DM158" s="29" t="str">
        <f>IF(OR($B158="",$A158&lt;=114),"",--MID('Key Analysis'!$C154,$A158-114,1))</f>
        <v/>
      </c>
      <c r="DN158" s="29" t="str">
        <f>IF(OR($B158="",$A158&lt;=115),"",--MID('Key Analysis'!$C154,$A158-115,1))</f>
        <v/>
      </c>
      <c r="DO158" s="29" t="str">
        <f>IF(OR($B158="",$A158&lt;=116),"",--MID('Key Analysis'!$C154,$A158-116,1))</f>
        <v/>
      </c>
      <c r="DP158" s="29" t="str">
        <f>IF(OR($B158="",$A158&lt;=117),"",--MID('Key Analysis'!$C154,$A158-117,1))</f>
        <v/>
      </c>
      <c r="DQ158" s="29" t="str">
        <f>IF(OR($B158="",$A158&lt;=118),"",--MID('Key Analysis'!$C154,$A158-118,1))</f>
        <v/>
      </c>
      <c r="DR158" s="29" t="str">
        <f>IF(OR($B158="",$A158&lt;=119),"",--MID('Key Analysis'!$C154,$A158-119,1))</f>
        <v/>
      </c>
      <c r="DS158" s="29" t="str">
        <f>IF(OR($B158="",$A158&lt;=120),"",--MID('Key Analysis'!$C154,$A158-120,1))</f>
        <v/>
      </c>
      <c r="DT158" s="29" t="str">
        <f>IF(OR($B158="",$A158&lt;=121),"",--MID('Key Analysis'!$C154,$A158-121,1))</f>
        <v/>
      </c>
      <c r="DU158" s="29" t="str">
        <f>IF(OR($B158="",$A158&lt;=122),"",--MID('Key Analysis'!$C154,$A158-122,1))</f>
        <v/>
      </c>
      <c r="DV158" s="29" t="str">
        <f>IF(OR($B158="",$A158&lt;=123),"",--MID('Key Analysis'!$C154,$A158-123,1))</f>
        <v/>
      </c>
      <c r="DW158" s="29" t="str">
        <f>IF(OR($B158="",$A158&lt;=124),"",--MID('Key Analysis'!$C154,$A158-124,1))</f>
        <v/>
      </c>
      <c r="DX158" s="29" t="str">
        <f>IF(OR($B158="",$A158&lt;=125),"",--MID('Key Analysis'!$C154,$A158-125,1))</f>
        <v/>
      </c>
      <c r="DY158" s="29" t="str">
        <f>IF(OR($B158="",$A158&lt;=126),"",--MID('Key Analysis'!$C154,$A158-126,1))</f>
        <v/>
      </c>
      <c r="DZ158" s="29" t="str">
        <f>IF(OR($B158="",$A158&lt;=127),"",--MID('Key Analysis'!$C154,$A158-127,1))</f>
        <v/>
      </c>
      <c r="EA158" s="29" t="str">
        <f>IF(OR($B158="",$A158&lt;=128),"",--MID('Key Analysis'!$C154,$A158-128,1))</f>
        <v/>
      </c>
      <c r="EB158" s="29" t="str">
        <f>IF(OR($B158="",$A158&lt;=129),"",--MID('Key Analysis'!$C154,$A158-129,1))</f>
        <v/>
      </c>
      <c r="EC158" s="29" t="str">
        <f>IF(OR($B158="",$A158&lt;=130),"",--MID('Key Analysis'!$C154,$A158-130,1))</f>
        <v/>
      </c>
      <c r="ED158" s="29" t="str">
        <f>IF(OR($B158="",$A158&lt;=131),"",--MID('Key Analysis'!$C154,$A158-131,1))</f>
        <v/>
      </c>
      <c r="EE158" s="29" t="str">
        <f>IF(OR($B158="",$A158&lt;=132),"",--MID('Key Analysis'!$C154,$A158-132,1))</f>
        <v/>
      </c>
      <c r="EF158" s="29" t="str">
        <f>IF(OR($B158="",$A158&lt;=133),"",--MID('Key Analysis'!$C154,$A158-133,1))</f>
        <v/>
      </c>
      <c r="EG158" s="29" t="str">
        <f>IF(OR($B158="",$A158&lt;=134),"",--MID('Key Analysis'!$C154,$A158-134,1))</f>
        <v/>
      </c>
      <c r="EH158" s="29"/>
      <c r="EI158" s="29" t="str">
        <f>IF(OR($B158="",$A158&lt;1),"",--MID('Key Analysis'!$C154,1,1))</f>
        <v/>
      </c>
      <c r="EJ158" s="29" t="str">
        <f>IF(OR($B158="",$A158&lt;2),"",--MID('Key Analysis'!$C154,2,1))</f>
        <v/>
      </c>
      <c r="EK158" s="29" t="str">
        <f>IF(OR($B158="",$A158&lt;3),"",--MID('Key Analysis'!$C154,3,1))</f>
        <v/>
      </c>
      <c r="EL158" s="29" t="str">
        <f>IF(OR($B158="",$A158&lt;4),"",--MID('Key Analysis'!$C154,4,1))</f>
        <v/>
      </c>
      <c r="EM158" s="29" t="str">
        <f>IF(OR($B158="",$A158&lt;5),"",--MID('Key Analysis'!$C154,5,1))</f>
        <v/>
      </c>
      <c r="EN158" s="29" t="str">
        <f>IF(OR($B158="",$A158&lt;6),"",--MID('Key Analysis'!$C154,6,1))</f>
        <v/>
      </c>
      <c r="EO158" s="29" t="str">
        <f>IF(OR($B158="",$A158&lt;7),"",--MID('Key Analysis'!$C154,7,1))</f>
        <v/>
      </c>
      <c r="EP158" s="29" t="str">
        <f>IF(OR($B158="",$A158&lt;8),"",--MID('Key Analysis'!$C154,8,1))</f>
        <v/>
      </c>
      <c r="EQ158" s="29" t="str">
        <f>IF(OR($B158="",$A158&lt;9),"",--MID('Key Analysis'!$C154,9,1))</f>
        <v/>
      </c>
      <c r="ER158" s="29" t="str">
        <f>IF(OR($B158="",$A158&lt;10),"",--MID('Key Analysis'!$C154,10,1))</f>
        <v/>
      </c>
      <c r="ES158" s="29" t="str">
        <f>IF(OR($B158="",$A158&lt;11),"",--MID('Key Analysis'!$C154,11,1))</f>
        <v/>
      </c>
      <c r="ET158" s="29" t="str">
        <f>IF(OR($B158="",$A158&lt;12),"",--MID('Key Analysis'!$C154,12,1))</f>
        <v/>
      </c>
      <c r="EU158" s="29" t="str">
        <f>IF(OR($B158="",$A158&lt;13),"",--MID('Key Analysis'!$C154,13,1))</f>
        <v/>
      </c>
      <c r="EV158" s="29" t="str">
        <f>IF(OR($B158="",$A158&lt;14),"",--MID('Key Analysis'!$C154,14,1))</f>
        <v/>
      </c>
      <c r="EW158" s="29" t="str">
        <f>IF(OR($B158="",$A158&lt;15),"",--MID('Key Analysis'!$C154,15,1))</f>
        <v/>
      </c>
      <c r="EX158" s="29" t="str">
        <f>IF(OR($B158="",$A158&lt;16),"",--MID('Key Analysis'!$C154,16,1))</f>
        <v/>
      </c>
      <c r="EY158" s="29" t="str">
        <f>IF(OR($B158="",$A158&lt;17),"",--MID('Key Analysis'!$C154,17,1))</f>
        <v/>
      </c>
      <c r="EZ158" s="29" t="str">
        <f>IF(OR($B158="",$A158&lt;18),"",--MID('Key Analysis'!$C154,18,1))</f>
        <v/>
      </c>
      <c r="FA158" s="29" t="str">
        <f>IF(OR($B158="",$A158&lt;19),"",--MID('Key Analysis'!$C154,19,1))</f>
        <v/>
      </c>
      <c r="FB158" s="29" t="str">
        <f>IF(OR($B158="",$A158&lt;20),"",--MID('Key Analysis'!$C154,20,1))</f>
        <v/>
      </c>
      <c r="FC158" s="29" t="str">
        <f>IF(OR($B158="",$A158&lt;21),"",--MID('Key Analysis'!$C154,21,1))</f>
        <v/>
      </c>
      <c r="FD158" s="29" t="str">
        <f>IF(OR($B158="",$A158&lt;22),"",--MID('Key Analysis'!$C154,22,1))</f>
        <v/>
      </c>
      <c r="FE158" s="29" t="str">
        <f>IF(OR($B158="",$A158&lt;23),"",--MID('Key Analysis'!$C154,23,1))</f>
        <v/>
      </c>
      <c r="FF158" s="29" t="str">
        <f>IF(OR($B158="",$A158&lt;24),"",--MID('Key Analysis'!$C154,24,1))</f>
        <v/>
      </c>
      <c r="FG158" s="29" t="str">
        <f>IF(OR($B158="",$A158&lt;25),"",--MID('Key Analysis'!$C154,25,1))</f>
        <v/>
      </c>
      <c r="FH158" s="29" t="str">
        <f>IF(OR($B158="",$A158&lt;26),"",--MID('Key Analysis'!$C154,26,1))</f>
        <v/>
      </c>
      <c r="FI158" s="29" t="str">
        <f>IF(OR($B158="",$A158&lt;27),"",--MID('Key Analysis'!$C154,27,1))</f>
        <v/>
      </c>
      <c r="FJ158" s="29" t="str">
        <f>IF(OR($B158="",$A158&lt;28),"",--MID('Key Analysis'!$C154,28,1))</f>
        <v/>
      </c>
      <c r="FK158" s="29" t="str">
        <f>IF(OR($B158="",$A158&lt;29),"",--MID('Key Analysis'!$C154,29,1))</f>
        <v/>
      </c>
      <c r="FL158" s="29" t="str">
        <f>IF(OR($B158="",$A158&lt;30),"",--MID('Key Analysis'!$C154,30,1))</f>
        <v/>
      </c>
      <c r="FM158" s="29" t="str">
        <f>IF(OR($B158="",$A158&lt;31),"",--MID('Key Analysis'!$C154,31,1))</f>
        <v/>
      </c>
      <c r="FN158" s="29" t="str">
        <f>IF(OR($B158="",$A158&lt;32),"",--MID('Key Analysis'!$C154,32,1))</f>
        <v/>
      </c>
      <c r="FO158" s="29" t="str">
        <f>IF(OR($B158="",$A158&lt;33),"",--MID('Key Analysis'!$C154,33,1))</f>
        <v/>
      </c>
      <c r="FP158" s="29" t="str">
        <f>IF(OR($B158="",$A158&lt;34),"",--MID('Key Analysis'!$C154,34,1))</f>
        <v/>
      </c>
      <c r="FQ158" s="29" t="str">
        <f>IF(OR($B158="",$A158&lt;35),"",--MID('Key Analysis'!$C154,35,1))</f>
        <v/>
      </c>
      <c r="FR158" s="29" t="str">
        <f>IF(OR($B158="",$A158&lt;36),"",--MID('Key Analysis'!$C154,36,1))</f>
        <v/>
      </c>
      <c r="FS158" s="29" t="str">
        <f>IF(OR($B158="",$A158&lt;37),"",--MID('Key Analysis'!$C154,37,1))</f>
        <v/>
      </c>
      <c r="FT158" s="29" t="str">
        <f>IF(OR($B158="",$A158&lt;38),"",--MID('Key Analysis'!$C154,38,1))</f>
        <v/>
      </c>
      <c r="FU158" s="29" t="str">
        <f>IF(OR($B158="",$A158&lt;39),"",--MID('Key Analysis'!$C154,39,1))</f>
        <v/>
      </c>
      <c r="FV158" s="29" t="str">
        <f>IF(OR($B158="",$A158&lt;40),"",--MID('Key Analysis'!$C154,40,1))</f>
        <v/>
      </c>
      <c r="FW158" s="29" t="str">
        <f>IF(OR($B158="",$A158&lt;41),"",--MID('Key Analysis'!$C154,41,1))</f>
        <v/>
      </c>
      <c r="FX158" s="29" t="str">
        <f>IF(OR($B158="",$A158&lt;42),"",--MID('Key Analysis'!$C154,42,1))</f>
        <v/>
      </c>
      <c r="FY158" s="29" t="str">
        <f>IF(OR($B158="",$A158&lt;43),"",--MID('Key Analysis'!$C154,43,1))</f>
        <v/>
      </c>
      <c r="FZ158" s="29" t="str">
        <f>IF(OR($B158="",$A158&lt;44),"",--MID('Key Analysis'!$C154,44,1))</f>
        <v/>
      </c>
      <c r="GA158" s="29" t="str">
        <f>IF(OR($B158="",$A158&lt;45),"",--MID('Key Analysis'!$C154,45,1))</f>
        <v/>
      </c>
      <c r="GB158" s="29" t="str">
        <f>IF(OR($B158="",$A158&lt;46),"",--MID('Key Analysis'!$C154,46,1))</f>
        <v/>
      </c>
      <c r="GC158" s="29" t="str">
        <f>IF(OR($B158="",$A158&lt;47),"",--MID('Key Analysis'!$C154,47,1))</f>
        <v/>
      </c>
      <c r="GD158" s="29" t="str">
        <f>IF(OR($B158="",$A158&lt;48),"",--MID('Key Analysis'!$C154,48,1))</f>
        <v/>
      </c>
      <c r="GE158" s="29" t="str">
        <f>IF(OR($B158="",$A158&lt;49),"",--MID('Key Analysis'!$C154,49,1))</f>
        <v/>
      </c>
      <c r="GF158" s="29" t="str">
        <f>IF(OR($B158="",$A158&lt;50),"",--MID('Key Analysis'!$C154,50,1))</f>
        <v/>
      </c>
      <c r="GG158" s="29" t="str">
        <f>IF(OR($B158="",$A158&lt;51),"",--MID('Key Analysis'!$C154,51,1))</f>
        <v/>
      </c>
      <c r="GH158" s="29" t="str">
        <f>IF(OR($B158="",$A158&lt;52),"",--MID('Key Analysis'!$C154,52,1))</f>
        <v/>
      </c>
      <c r="GI158" s="29" t="str">
        <f>IF(OR($B158="",$A158&lt;53),"",--MID('Key Analysis'!$C154,53,1))</f>
        <v/>
      </c>
      <c r="GJ158" s="29" t="str">
        <f>IF(OR($B158="",$A158&lt;54),"",--MID('Key Analysis'!$C154,54,1))</f>
        <v/>
      </c>
      <c r="GK158" s="29" t="str">
        <f>IF(OR($B158="",$A158&lt;55),"",--MID('Key Analysis'!$C154,55,1))</f>
        <v/>
      </c>
      <c r="GL158" s="29" t="str">
        <f>IF(OR($B158="",$A158&lt;56),"",--MID('Key Analysis'!$C154,56,1))</f>
        <v/>
      </c>
      <c r="GM158" s="29" t="str">
        <f>IF(OR($B158="",$A158&lt;57),"",--MID('Key Analysis'!$C154,57,1))</f>
        <v/>
      </c>
      <c r="GN158" s="29" t="str">
        <f>IF(OR($B158="",$A158&lt;58),"",--MID('Key Analysis'!$C154,58,1))</f>
        <v/>
      </c>
      <c r="GO158" s="29" t="str">
        <f>IF(OR($B158="",$A158&lt;59),"",--MID('Key Analysis'!$C154,59,1))</f>
        <v/>
      </c>
      <c r="GP158" s="29" t="str">
        <f>IF(OR($B158="",$A158&lt;60),"",--MID('Key Analysis'!$C154,60,1))</f>
        <v/>
      </c>
      <c r="GQ158" s="29" t="str">
        <f>IF(OR($B158="",$A158&lt;61),"",--MID('Key Analysis'!$C154,61,1))</f>
        <v/>
      </c>
      <c r="GR158" s="29" t="str">
        <f>IF(OR($B158="",$A158&lt;62),"",--MID('Key Analysis'!$C154,62,1))</f>
        <v/>
      </c>
      <c r="GS158" s="29" t="str">
        <f>IF(OR($B158="",$A158&lt;63),"",--MID('Key Analysis'!$C154,63,1))</f>
        <v/>
      </c>
      <c r="GT158" s="29" t="str">
        <f>IF(OR($B158="",$A158&lt;64),"",--MID('Key Analysis'!$C154,64,1))</f>
        <v/>
      </c>
      <c r="GU158" s="29" t="str">
        <f>IF(OR($B158="",$A158&lt;65),"",--MID('Key Analysis'!$C154,65,1))</f>
        <v/>
      </c>
      <c r="GV158" s="29" t="str">
        <f>IF(OR($B158="",$A158&lt;66),"",--MID('Key Analysis'!$C154,66,1))</f>
        <v/>
      </c>
      <c r="GW158" s="29" t="str">
        <f>IF(OR($B158="",$A158&lt;67),"",--MID('Key Analysis'!$C154,67,1))</f>
        <v/>
      </c>
      <c r="GX158" s="29" t="str">
        <f>IF(OR($B158="",$A158&lt;68),"",--MID('Key Analysis'!$C154,68,1))</f>
        <v/>
      </c>
      <c r="GY158" s="29" t="str">
        <f>IF(OR($B158="",$A158&lt;69),"",--MID('Key Analysis'!$C154,69,1))</f>
        <v/>
      </c>
      <c r="GZ158" s="29" t="str">
        <f>IF(OR($B158="",$A158&lt;70),"",--MID('Key Analysis'!$C154,70,1))</f>
        <v/>
      </c>
      <c r="HA158" s="29" t="str">
        <f>IF(OR($B158="",$A158&lt;71),"",--MID('Key Analysis'!$C154,71,1))</f>
        <v/>
      </c>
      <c r="HB158" s="29" t="str">
        <f>IF(OR($B158="",$A158&lt;72),"",--MID('Key Analysis'!$C154,72,1))</f>
        <v/>
      </c>
      <c r="HC158" s="29" t="str">
        <f>IF(OR($B158="",$A158&lt;73),"",--MID('Key Analysis'!$C154,73,1))</f>
        <v/>
      </c>
      <c r="HD158" s="29" t="str">
        <f>IF(OR($B158="",$A158&lt;74),"",--MID('Key Analysis'!$C154,74,1))</f>
        <v/>
      </c>
      <c r="HE158" s="29" t="str">
        <f>IF(OR($B158="",$A158&lt;75),"",--MID('Key Analysis'!$C154,75,1))</f>
        <v/>
      </c>
      <c r="HF158" s="29" t="str">
        <f>IF(OR($B158="",$A158&lt;76),"",--MID('Key Analysis'!$C154,76,1))</f>
        <v/>
      </c>
      <c r="HG158" s="29" t="str">
        <f>IF(OR($B158="",$A158&lt;77),"",--MID('Key Analysis'!$C154,77,1))</f>
        <v/>
      </c>
      <c r="HH158" s="29" t="str">
        <f>IF(OR($B158="",$A158&lt;78),"",--MID('Key Analysis'!$C154,78,1))</f>
        <v/>
      </c>
      <c r="HI158" s="29" t="str">
        <f>IF(OR($B158="",$A158&lt;79),"",--MID('Key Analysis'!$C154,79,1))</f>
        <v/>
      </c>
      <c r="HJ158" s="29" t="str">
        <f>IF(OR($B158="",$A158&lt;80),"",--MID('Key Analysis'!$C154,80,1))</f>
        <v/>
      </c>
      <c r="HK158" s="29" t="str">
        <f>IF(OR($B158="",$A158&lt;81),"",--MID('Key Analysis'!$C154,81,1))</f>
        <v/>
      </c>
      <c r="HL158" s="29" t="str">
        <f>IF(OR($B158="",$A158&lt;82),"",--MID('Key Analysis'!$C154,82,1))</f>
        <v/>
      </c>
      <c r="HM158" s="29" t="str">
        <f>IF(OR($B158="",$A158&lt;83),"",--MID('Key Analysis'!$C154,83,1))</f>
        <v/>
      </c>
      <c r="HN158" s="29" t="str">
        <f>IF(OR($B158="",$A158&lt;84),"",--MID('Key Analysis'!$C154,84,1))</f>
        <v/>
      </c>
      <c r="HO158" s="29" t="str">
        <f>IF(OR($B158="",$A158&lt;85),"",--MID('Key Analysis'!$C154,85,1))</f>
        <v/>
      </c>
      <c r="HP158" s="29" t="str">
        <f>IF(OR($B158="",$A158&lt;86),"",--MID('Key Analysis'!$C154,86,1))</f>
        <v/>
      </c>
      <c r="HQ158" s="29" t="str">
        <f>IF(OR($B158="",$A158&lt;87),"",--MID('Key Analysis'!$C154,87,1))</f>
        <v/>
      </c>
      <c r="HR158" s="29" t="str">
        <f>IF(OR($B158="",$A158&lt;88),"",--MID('Key Analysis'!$C154,88,1))</f>
        <v/>
      </c>
      <c r="HS158" s="29" t="str">
        <f>IF(OR($B158="",$A158&lt;89),"",--MID('Key Analysis'!$C154,89,1))</f>
        <v/>
      </c>
      <c r="HT158" s="29" t="str">
        <f>IF(OR($B158="",$A158&lt;90),"",--MID('Key Analysis'!$C154,90,1))</f>
        <v/>
      </c>
      <c r="HU158" s="29" t="str">
        <f>IF(OR($B158="",$A158&lt;91),"",--MID('Key Analysis'!$C154,91,1))</f>
        <v/>
      </c>
      <c r="HV158" s="29" t="str">
        <f>IF(OR($B158="",$A158&lt;92),"",--MID('Key Analysis'!$C154,92,1))</f>
        <v/>
      </c>
      <c r="HW158" s="29" t="str">
        <f>IF(OR($B158="",$A158&lt;93),"",--MID('Key Analysis'!$C154,93,1))</f>
        <v/>
      </c>
      <c r="HX158" s="29" t="str">
        <f>IF(OR($B158="",$A158&lt;94),"",--MID('Key Analysis'!$C154,94,1))</f>
        <v/>
      </c>
      <c r="HY158" s="29" t="str">
        <f>IF(OR($B158="",$A158&lt;95),"",--MID('Key Analysis'!$C154,95,1))</f>
        <v/>
      </c>
      <c r="HZ158" s="29" t="str">
        <f>IF(OR($B158="",$A158&lt;96),"",--MID('Key Analysis'!$C154,96,1))</f>
        <v/>
      </c>
      <c r="IA158" s="29" t="str">
        <f>IF(OR($B158="",$A158&lt;97),"",--MID('Key Analysis'!$C154,97,1))</f>
        <v/>
      </c>
      <c r="IB158" s="29" t="str">
        <f>IF(OR($B158="",$A158&lt;98),"",--MID('Key Analysis'!$C154,98,1))</f>
        <v/>
      </c>
      <c r="IC158" s="29" t="str">
        <f>IF(OR($B158="",$A158&lt;99),"",--MID('Key Analysis'!$C154,99,1))</f>
        <v/>
      </c>
      <c r="ID158" s="29" t="str">
        <f>IF(OR($B158="",$A158&lt;100),"",--MID('Key Analysis'!$C154,100,1))</f>
        <v/>
      </c>
      <c r="IE158" s="29" t="str">
        <f>IF(OR($B158="",$A158&lt;101),"",--MID('Key Analysis'!$C154,101,1))</f>
        <v/>
      </c>
      <c r="IF158" s="29" t="str">
        <f>IF(OR($B158="",$A158&lt;102),"",--MID('Key Analysis'!$C154,102,1))</f>
        <v/>
      </c>
      <c r="IG158" s="29" t="str">
        <f>IF(OR($B158="",$A158&lt;103),"",--MID('Key Analysis'!$C154,103,1))</f>
        <v/>
      </c>
      <c r="IH158" s="29" t="str">
        <f>IF(OR($B158="",$A158&lt;104),"",--MID('Key Analysis'!$C154,104,1))</f>
        <v/>
      </c>
      <c r="II158" s="29" t="str">
        <f>IF(OR($B158="",$A158&lt;105),"",--MID('Key Analysis'!$C154,105,1))</f>
        <v/>
      </c>
      <c r="IJ158" s="29" t="str">
        <f>IF(OR($B158="",$A158&lt;106),"",--MID('Key Analysis'!$C154,106,1))</f>
        <v/>
      </c>
      <c r="IK158" s="29" t="str">
        <f>IF(OR($B158="",$A158&lt;107),"",--MID('Key Analysis'!$C154,107,1))</f>
        <v/>
      </c>
      <c r="IL158" s="29" t="str">
        <f>IF(OR($B158="",$A158&lt;108),"",--MID('Key Analysis'!$C154,108,1))</f>
        <v/>
      </c>
      <c r="IM158" s="29" t="str">
        <f>IF(OR($B158="",$A158&lt;109),"",--MID('Key Analysis'!$C154,109,1))</f>
        <v/>
      </c>
      <c r="IN158" s="29" t="str">
        <f>IF(OR($B158="",$A158&lt;110),"",--MID('Key Analysis'!$C154,110,1))</f>
        <v/>
      </c>
      <c r="IO158" s="29" t="str">
        <f>IF(OR($B158="",$A158&lt;111),"",--MID('Key Analysis'!$C154,111,1))</f>
        <v/>
      </c>
      <c r="IP158" s="29" t="str">
        <f>IF(OR($B158="",$A158&lt;112),"",--MID('Key Analysis'!$C154,112,1))</f>
        <v/>
      </c>
      <c r="IQ158" s="29" t="str">
        <f>IF(OR($B158="",$A158&lt;113),"",--MID('Key Analysis'!$C154,113,1))</f>
        <v/>
      </c>
      <c r="IR158" s="29" t="str">
        <f>IF(OR($B158="",$A158&lt;114),"",--MID('Key Analysis'!$C154,114,1))</f>
        <v/>
      </c>
      <c r="IS158" s="29" t="str">
        <f>IF(OR($B158="",$A158&lt;115),"",--MID('Key Analysis'!$C154,115,1))</f>
        <v/>
      </c>
      <c r="IT158" s="29" t="str">
        <f>IF(OR($B158="",$A158&lt;116),"",--MID('Key Analysis'!$C154,116,1))</f>
        <v/>
      </c>
      <c r="IU158" s="29" t="str">
        <f>IF(OR($B158="",$A158&lt;117),"",--MID('Key Analysis'!$C154,117,1))</f>
        <v/>
      </c>
      <c r="IV158" s="29" t="str">
        <f>IF(OR($B158="",$A158&lt;118),"",--MID('Key Analysis'!$C154,118,1))</f>
        <v/>
      </c>
      <c r="IW158" s="29" t="str">
        <f>IF(OR($B158="",$A158&lt;119),"",--MID('Key Analysis'!$C154,119,1))</f>
        <v/>
      </c>
      <c r="IX158" s="29" t="str">
        <f>IF(OR($B158="",$A158&lt;120),"",--MID('Key Analysis'!$C154,120,1))</f>
        <v/>
      </c>
      <c r="IY158" s="29" t="str">
        <f>IF(OR($B158="",$A158&lt;121),"",--MID('Key Analysis'!$C154,121,1))</f>
        <v/>
      </c>
      <c r="IZ158" s="29" t="str">
        <f>IF(OR($B158="",$A158&lt;122),"",--MID('Key Analysis'!$C154,122,1))</f>
        <v/>
      </c>
      <c r="JA158" s="29" t="str">
        <f>IF(OR($B158="",$A158&lt;123),"",--MID('Key Analysis'!$C154,123,1))</f>
        <v/>
      </c>
      <c r="JB158" s="29" t="str">
        <f>IF(OR($B158="",$A158&lt;124),"",--MID('Key Analysis'!$C154,124,1))</f>
        <v/>
      </c>
      <c r="JC158" s="29" t="str">
        <f>IF(OR($B158="",$A158&lt;125),"",--MID('Key Analysis'!$C154,125,1))</f>
        <v/>
      </c>
      <c r="JD158" s="29" t="str">
        <f>IF(OR($B158="",$A158&lt;126),"",--MID('Key Analysis'!$C154,126,1))</f>
        <v/>
      </c>
      <c r="JE158" s="29" t="str">
        <f>IF(OR($B158="",$A158&lt;127),"",--MID('Key Analysis'!$C154,127,1))</f>
        <v/>
      </c>
      <c r="JF158" s="29" t="str">
        <f>IF(OR($B158="",$A158&lt;128),"",--MID('Key Analysis'!$C154,128,1))</f>
        <v/>
      </c>
      <c r="JG158" s="29" t="str">
        <f>IF(OR($B158="",$A158&lt;129),"",--MID('Key Analysis'!$C154,129,1))</f>
        <v/>
      </c>
      <c r="JH158" s="29" t="str">
        <f>IF(OR($B158="",$A158&lt;130),"",--MID('Key Analysis'!$C154,130,1))</f>
        <v/>
      </c>
      <c r="JI158" s="29" t="str">
        <f>IF(OR($B158="",$A158&lt;131),"",--MID('Key Analysis'!$C154,131,1))</f>
        <v/>
      </c>
      <c r="JJ158" s="29" t="str">
        <f>IF(OR($B158="",$A158&lt;132),"",--MID('Key Analysis'!$C154,132,1))</f>
        <v/>
      </c>
      <c r="JK158" s="29" t="str">
        <f>IF(OR($B158="",$A158&lt;133),"",--MID('Key Analysis'!$C154,133,1))</f>
        <v/>
      </c>
      <c r="JL158" s="29" t="str">
        <f>IF(OR($B158="",$A158&lt;134),"",--MID('Key Analysis'!$C154,134,1))</f>
        <v/>
      </c>
      <c r="JM158" s="29" t="str">
        <f>IF(OR($B158="",$A158&lt;135),"",--MID('Key Analysis'!$C154,135,1))</f>
        <v/>
      </c>
    </row>
    <row r="159" spans="1:273" x14ac:dyDescent="0.25">
      <c r="A159" s="21">
        <f>'Key Analysis'!A155</f>
        <v>154</v>
      </c>
      <c r="B159" s="30" t="str">
        <f>'Key Analysis'!B155</f>
        <v/>
      </c>
      <c r="C159" s="29" t="str">
        <f>IF(OR($B159="",$A159&lt;=0),"",--MID('Key Analysis'!$C155,$A159-0,1))</f>
        <v/>
      </c>
      <c r="D159" s="29" t="str">
        <f>IF(OR($B159="",$A159&lt;=1),"",--MID('Key Analysis'!$C155,$A159-1,1))</f>
        <v/>
      </c>
      <c r="E159" s="29" t="str">
        <f>IF(OR($B159="",$A159&lt;=2),"",--MID('Key Analysis'!$C155,$A159-2,1))</f>
        <v/>
      </c>
      <c r="F159" s="29" t="str">
        <f>IF(OR($B159="",$A159&lt;=3),"",--MID('Key Analysis'!$C155,$A159-3,1))</f>
        <v/>
      </c>
      <c r="G159" s="29" t="str">
        <f>IF(OR($B159="",$A159&lt;=4),"",--MID('Key Analysis'!$C155,$A159-4,1))</f>
        <v/>
      </c>
      <c r="H159" s="29" t="str">
        <f>IF(OR($B159="",$A159&lt;=5),"",--MID('Key Analysis'!$C155,$A159-5,1))</f>
        <v/>
      </c>
      <c r="I159" s="29" t="str">
        <f>IF(OR($B159="",$A159&lt;=6),"",--MID('Key Analysis'!$C155,$A159-6,1))</f>
        <v/>
      </c>
      <c r="J159" s="29" t="str">
        <f>IF(OR($B159="",$A159&lt;=7),"",--MID('Key Analysis'!$C155,$A159-7,1))</f>
        <v/>
      </c>
      <c r="K159" s="29" t="str">
        <f>IF(OR($B159="",$A159&lt;=8),"",--MID('Key Analysis'!$C155,$A159-8,1))</f>
        <v/>
      </c>
      <c r="L159" s="29" t="str">
        <f>IF(OR($B159="",$A159&lt;=9),"",--MID('Key Analysis'!$C155,$A159-9,1))</f>
        <v/>
      </c>
      <c r="M159" s="29" t="str">
        <f>IF(OR($B159="",$A159&lt;=10),"",--MID('Key Analysis'!$C155,$A159-10,1))</f>
        <v/>
      </c>
      <c r="N159" s="29" t="str">
        <f>IF(OR($B159="",$A159&lt;=11),"",--MID('Key Analysis'!$C155,$A159-11,1))</f>
        <v/>
      </c>
      <c r="O159" s="29" t="str">
        <f>IF(OR($B159="",$A159&lt;=12),"",--MID('Key Analysis'!$C155,$A159-12,1))</f>
        <v/>
      </c>
      <c r="P159" s="29" t="str">
        <f>IF(OR($B159="",$A159&lt;=13),"",--MID('Key Analysis'!$C155,$A159-13,1))</f>
        <v/>
      </c>
      <c r="Q159" s="29" t="str">
        <f>IF(OR($B159="",$A159&lt;=14),"",--MID('Key Analysis'!$C155,$A159-14,1))</f>
        <v/>
      </c>
      <c r="R159" s="29" t="str">
        <f>IF(OR($B159="",$A159&lt;=15),"",--MID('Key Analysis'!$C155,$A159-15,1))</f>
        <v/>
      </c>
      <c r="S159" s="29" t="str">
        <f>IF(OR($B159="",$A159&lt;=16),"",--MID('Key Analysis'!$C155,$A159-16,1))</f>
        <v/>
      </c>
      <c r="T159" s="29" t="str">
        <f>IF(OR($B159="",$A159&lt;=17),"",--MID('Key Analysis'!$C155,$A159-17,1))</f>
        <v/>
      </c>
      <c r="U159" s="29" t="str">
        <f>IF(OR($B159="",$A159&lt;=18),"",--MID('Key Analysis'!$C155,$A159-18,1))</f>
        <v/>
      </c>
      <c r="V159" s="29" t="str">
        <f>IF(OR($B159="",$A159&lt;=19),"",--MID('Key Analysis'!$C155,$A159-19,1))</f>
        <v/>
      </c>
      <c r="W159" s="29" t="str">
        <f>IF(OR($B159="",$A159&lt;=20),"",--MID('Key Analysis'!$C155,$A159-20,1))</f>
        <v/>
      </c>
      <c r="X159" s="29" t="str">
        <f>IF(OR($B159="",$A159&lt;=21),"",--MID('Key Analysis'!$C155,$A159-21,1))</f>
        <v/>
      </c>
      <c r="Y159" s="29" t="str">
        <f>IF(OR($B159="",$A159&lt;=22),"",--MID('Key Analysis'!$C155,$A159-22,1))</f>
        <v/>
      </c>
      <c r="Z159" s="29" t="str">
        <f>IF(OR($B159="",$A159&lt;=23),"",--MID('Key Analysis'!$C155,$A159-23,1))</f>
        <v/>
      </c>
      <c r="AA159" s="29" t="str">
        <f>IF(OR($B159="",$A159&lt;=24),"",--MID('Key Analysis'!$C155,$A159-24,1))</f>
        <v/>
      </c>
      <c r="AB159" s="29" t="str">
        <f>IF(OR($B159="",$A159&lt;=25),"",--MID('Key Analysis'!$C155,$A159-25,1))</f>
        <v/>
      </c>
      <c r="AC159" s="29" t="str">
        <f>IF(OR($B159="",$A159&lt;=26),"",--MID('Key Analysis'!$C155,$A159-26,1))</f>
        <v/>
      </c>
      <c r="AD159" s="29" t="str">
        <f>IF(OR($B159="",$A159&lt;=27),"",--MID('Key Analysis'!$C155,$A159-27,1))</f>
        <v/>
      </c>
      <c r="AE159" s="29" t="str">
        <f>IF(OR($B159="",$A159&lt;=28),"",--MID('Key Analysis'!$C155,$A159-28,1))</f>
        <v/>
      </c>
      <c r="AF159" s="29" t="str">
        <f>IF(OR($B159="",$A159&lt;=29),"",--MID('Key Analysis'!$C155,$A159-29,1))</f>
        <v/>
      </c>
      <c r="AG159" s="29" t="str">
        <f>IF(OR($B159="",$A159&lt;=30),"",--MID('Key Analysis'!$C155,$A159-30,1))</f>
        <v/>
      </c>
      <c r="AH159" s="29" t="str">
        <f>IF(OR($B159="",$A159&lt;=31),"",--MID('Key Analysis'!$C155,$A159-31,1))</f>
        <v/>
      </c>
      <c r="AI159" s="29" t="str">
        <f>IF(OR($B159="",$A159&lt;=32),"",--MID('Key Analysis'!$C155,$A159-32,1))</f>
        <v/>
      </c>
      <c r="AJ159" s="29" t="str">
        <f>IF(OR($B159="",$A159&lt;=33),"",--MID('Key Analysis'!$C155,$A159-33,1))</f>
        <v/>
      </c>
      <c r="AK159" s="29" t="str">
        <f>IF(OR($B159="",$A159&lt;=34),"",--MID('Key Analysis'!$C155,$A159-34,1))</f>
        <v/>
      </c>
      <c r="AL159" s="29" t="str">
        <f>IF(OR($B159="",$A159&lt;=35),"",--MID('Key Analysis'!$C155,$A159-35,1))</f>
        <v/>
      </c>
      <c r="AM159" s="29" t="str">
        <f>IF(OR($B159="",$A159&lt;=36),"",--MID('Key Analysis'!$C155,$A159-36,1))</f>
        <v/>
      </c>
      <c r="AN159" s="29" t="str">
        <f>IF(OR($B159="",$A159&lt;=37),"",--MID('Key Analysis'!$C155,$A159-37,1))</f>
        <v/>
      </c>
      <c r="AO159" s="29" t="str">
        <f>IF(OR($B159="",$A159&lt;=38),"",--MID('Key Analysis'!$C155,$A159-38,1))</f>
        <v/>
      </c>
      <c r="AP159" s="29" t="str">
        <f>IF(OR($B159="",$A159&lt;=39),"",--MID('Key Analysis'!$C155,$A159-39,1))</f>
        <v/>
      </c>
      <c r="AQ159" s="29" t="str">
        <f>IF(OR($B159="",$A159&lt;=40),"",--MID('Key Analysis'!$C155,$A159-40,1))</f>
        <v/>
      </c>
      <c r="AR159" s="29" t="str">
        <f>IF(OR($B159="",$A159&lt;=41),"",--MID('Key Analysis'!$C155,$A159-41,1))</f>
        <v/>
      </c>
      <c r="AS159" s="29" t="str">
        <f>IF(OR($B159="",$A159&lt;=42),"",--MID('Key Analysis'!$C155,$A159-42,1))</f>
        <v/>
      </c>
      <c r="AT159" s="29" t="str">
        <f>IF(OR($B159="",$A159&lt;=43),"",--MID('Key Analysis'!$C155,$A159-43,1))</f>
        <v/>
      </c>
      <c r="AU159" s="29" t="str">
        <f>IF(OR($B159="",$A159&lt;=44),"",--MID('Key Analysis'!$C155,$A159-44,1))</f>
        <v/>
      </c>
      <c r="AV159" s="29" t="str">
        <f>IF(OR($B159="",$A159&lt;=45),"",--MID('Key Analysis'!$C155,$A159-45,1))</f>
        <v/>
      </c>
      <c r="AW159" s="29" t="str">
        <f>IF(OR($B159="",$A159&lt;=46),"",--MID('Key Analysis'!$C155,$A159-46,1))</f>
        <v/>
      </c>
      <c r="AX159" s="29" t="str">
        <f>IF(OR($B159="",$A159&lt;=47),"",--MID('Key Analysis'!$C155,$A159-47,1))</f>
        <v/>
      </c>
      <c r="AY159" s="29" t="str">
        <f>IF(OR($B159="",$A159&lt;=48),"",--MID('Key Analysis'!$C155,$A159-48,1))</f>
        <v/>
      </c>
      <c r="AZ159" s="29" t="str">
        <f>IF(OR($B159="",$A159&lt;=49),"",--MID('Key Analysis'!$C155,$A159-49,1))</f>
        <v/>
      </c>
      <c r="BA159" s="29" t="str">
        <f>IF(OR($B159="",$A159&lt;=50),"",--MID('Key Analysis'!$C155,$A159-50,1))</f>
        <v/>
      </c>
      <c r="BB159" s="29" t="str">
        <f>IF(OR($B159="",$A159&lt;=51),"",--MID('Key Analysis'!$C155,$A159-51,1))</f>
        <v/>
      </c>
      <c r="BC159" s="29" t="str">
        <f>IF(OR($B159="",$A159&lt;=52),"",--MID('Key Analysis'!$C155,$A159-52,1))</f>
        <v/>
      </c>
      <c r="BD159" s="29" t="str">
        <f>IF(OR($B159="",$A159&lt;=53),"",--MID('Key Analysis'!$C155,$A159-53,1))</f>
        <v/>
      </c>
      <c r="BE159" s="29" t="str">
        <f>IF(OR($B159="",$A159&lt;=54),"",--MID('Key Analysis'!$C155,$A159-54,1))</f>
        <v/>
      </c>
      <c r="BF159" s="29" t="str">
        <f>IF(OR($B159="",$A159&lt;=55),"",--MID('Key Analysis'!$C155,$A159-55,1))</f>
        <v/>
      </c>
      <c r="BG159" s="29" t="str">
        <f>IF(OR($B159="",$A159&lt;=56),"",--MID('Key Analysis'!$C155,$A159-56,1))</f>
        <v/>
      </c>
      <c r="BH159" s="29" t="str">
        <f>IF(OR($B159="",$A159&lt;=57),"",--MID('Key Analysis'!$C155,$A159-57,1))</f>
        <v/>
      </c>
      <c r="BI159" s="29" t="str">
        <f>IF(OR($B159="",$A159&lt;=58),"",--MID('Key Analysis'!$C155,$A159-58,1))</f>
        <v/>
      </c>
      <c r="BJ159" s="29" t="str">
        <f>IF(OR($B159="",$A159&lt;=59),"",--MID('Key Analysis'!$C155,$A159-59,1))</f>
        <v/>
      </c>
      <c r="BK159" s="29" t="str">
        <f>IF(OR($B159="",$A159&lt;=60),"",--MID('Key Analysis'!$C155,$A159-60,1))</f>
        <v/>
      </c>
      <c r="BL159" s="29" t="str">
        <f>IF(OR($B159="",$A159&lt;=61),"",--MID('Key Analysis'!$C155,$A159-61,1))</f>
        <v/>
      </c>
      <c r="BM159" s="29" t="str">
        <f>IF(OR($B159="",$A159&lt;=62),"",--MID('Key Analysis'!$C155,$A159-62,1))</f>
        <v/>
      </c>
      <c r="BN159" s="29" t="str">
        <f>IF(OR($B159="",$A159&lt;=63),"",--MID('Key Analysis'!$C155,$A159-63,1))</f>
        <v/>
      </c>
      <c r="BO159" s="29" t="str">
        <f>IF(OR($B159="",$A159&lt;=64),"",--MID('Key Analysis'!$C155,$A159-64,1))</f>
        <v/>
      </c>
      <c r="BP159" s="29" t="str">
        <f>IF(OR($B159="",$A159&lt;=65),"",--MID('Key Analysis'!$C155,$A159-65,1))</f>
        <v/>
      </c>
      <c r="BQ159" s="29" t="str">
        <f>IF(OR($B159="",$A159&lt;=66),"",--MID('Key Analysis'!$C155,$A159-66,1))</f>
        <v/>
      </c>
      <c r="BR159" s="29" t="str">
        <f>IF(OR($B159="",$A159&lt;=67),"",--MID('Key Analysis'!$C155,$A159-67,1))</f>
        <v/>
      </c>
      <c r="BS159" s="29" t="str">
        <f>IF(OR($B159="",$A159&lt;=68),"",--MID('Key Analysis'!$C155,$A159-68,1))</f>
        <v/>
      </c>
      <c r="BT159" s="29" t="str">
        <f>IF(OR($B159="",$A159&lt;=69),"",--MID('Key Analysis'!$C155,$A159-69,1))</f>
        <v/>
      </c>
      <c r="BU159" s="29" t="str">
        <f>IF(OR($B159="",$A159&lt;=70),"",--MID('Key Analysis'!$C155,$A159-70,1))</f>
        <v/>
      </c>
      <c r="BV159" s="29" t="str">
        <f>IF(OR($B159="",$A159&lt;=71),"",--MID('Key Analysis'!$C155,$A159-71,1))</f>
        <v/>
      </c>
      <c r="BW159" s="29" t="str">
        <f>IF(OR($B159="",$A159&lt;=72),"",--MID('Key Analysis'!$C155,$A159-72,1))</f>
        <v/>
      </c>
      <c r="BX159" s="29" t="str">
        <f>IF(OR($B159="",$A159&lt;=73),"",--MID('Key Analysis'!$C155,$A159-73,1))</f>
        <v/>
      </c>
      <c r="BY159" s="29" t="str">
        <f>IF(OR($B159="",$A159&lt;=74),"",--MID('Key Analysis'!$C155,$A159-74,1))</f>
        <v/>
      </c>
      <c r="BZ159" s="29" t="str">
        <f>IF(OR($B159="",$A159&lt;=75),"",--MID('Key Analysis'!$C155,$A159-75,1))</f>
        <v/>
      </c>
      <c r="CA159" s="29" t="str">
        <f>IF(OR($B159="",$A159&lt;=76),"",--MID('Key Analysis'!$C155,$A159-76,1))</f>
        <v/>
      </c>
      <c r="CB159" s="29" t="str">
        <f>IF(OR($B159="",$A159&lt;=77),"",--MID('Key Analysis'!$C155,$A159-77,1))</f>
        <v/>
      </c>
      <c r="CC159" s="29" t="str">
        <f>IF(OR($B159="",$A159&lt;=78),"",--MID('Key Analysis'!$C155,$A159-78,1))</f>
        <v/>
      </c>
      <c r="CD159" s="29" t="str">
        <f>IF(OR($B159="",$A159&lt;=79),"",--MID('Key Analysis'!$C155,$A159-79,1))</f>
        <v/>
      </c>
      <c r="CE159" s="29" t="str">
        <f>IF(OR($B159="",$A159&lt;=80),"",--MID('Key Analysis'!$C155,$A159-80,1))</f>
        <v/>
      </c>
      <c r="CF159" s="29" t="str">
        <f>IF(OR($B159="",$A159&lt;=81),"",--MID('Key Analysis'!$C155,$A159-81,1))</f>
        <v/>
      </c>
      <c r="CG159" s="29" t="str">
        <f>IF(OR($B159="",$A159&lt;=82),"",--MID('Key Analysis'!$C155,$A159-82,1))</f>
        <v/>
      </c>
      <c r="CH159" s="29" t="str">
        <f>IF(OR($B159="",$A159&lt;=83),"",--MID('Key Analysis'!$C155,$A159-83,1))</f>
        <v/>
      </c>
      <c r="CI159" s="29" t="str">
        <f>IF(OR($B159="",$A159&lt;=84),"",--MID('Key Analysis'!$C155,$A159-84,1))</f>
        <v/>
      </c>
      <c r="CJ159" s="29" t="str">
        <f>IF(OR($B159="",$A159&lt;=85),"",--MID('Key Analysis'!$C155,$A159-85,1))</f>
        <v/>
      </c>
      <c r="CK159" s="29" t="str">
        <f>IF(OR($B159="",$A159&lt;=86),"",--MID('Key Analysis'!$C155,$A159-86,1))</f>
        <v/>
      </c>
      <c r="CL159" s="29" t="str">
        <f>IF(OR($B159="",$A159&lt;=87),"",--MID('Key Analysis'!$C155,$A159-87,1))</f>
        <v/>
      </c>
      <c r="CM159" s="29" t="str">
        <f>IF(OR($B159="",$A159&lt;=88),"",--MID('Key Analysis'!$C155,$A159-88,1))</f>
        <v/>
      </c>
      <c r="CN159" s="29" t="str">
        <f>IF(OR($B159="",$A159&lt;=89),"",--MID('Key Analysis'!$C155,$A159-89,1))</f>
        <v/>
      </c>
      <c r="CO159" s="29" t="str">
        <f>IF(OR($B159="",$A159&lt;=90),"",--MID('Key Analysis'!$C155,$A159-90,1))</f>
        <v/>
      </c>
      <c r="CP159" s="29" t="str">
        <f>IF(OR($B159="",$A159&lt;=91),"",--MID('Key Analysis'!$C155,$A159-91,1))</f>
        <v/>
      </c>
      <c r="CQ159" s="29" t="str">
        <f>IF(OR($B159="",$A159&lt;=92),"",--MID('Key Analysis'!$C155,$A159-92,1))</f>
        <v/>
      </c>
      <c r="CR159" s="29" t="str">
        <f>IF(OR($B159="",$A159&lt;=93),"",--MID('Key Analysis'!$C155,$A159-93,1))</f>
        <v/>
      </c>
      <c r="CS159" s="29" t="str">
        <f>IF(OR($B159="",$A159&lt;=94),"",--MID('Key Analysis'!$C155,$A159-94,1))</f>
        <v/>
      </c>
      <c r="CT159" s="29" t="str">
        <f>IF(OR($B159="",$A159&lt;=95),"",--MID('Key Analysis'!$C155,$A159-95,1))</f>
        <v/>
      </c>
      <c r="CU159" s="29" t="str">
        <f>IF(OR($B159="",$A159&lt;=96),"",--MID('Key Analysis'!$C155,$A159-96,1))</f>
        <v/>
      </c>
      <c r="CV159" s="29" t="str">
        <f>IF(OR($B159="",$A159&lt;=97),"",--MID('Key Analysis'!$C155,$A159-97,1))</f>
        <v/>
      </c>
      <c r="CW159" s="29" t="str">
        <f>IF(OR($B159="",$A159&lt;=98),"",--MID('Key Analysis'!$C155,$A159-98,1))</f>
        <v/>
      </c>
      <c r="CX159" s="29" t="str">
        <f>IF(OR($B159="",$A159&lt;=99),"",--MID('Key Analysis'!$C155,$A159-99,1))</f>
        <v/>
      </c>
      <c r="CY159" s="29" t="str">
        <f>IF(OR($B159="",$A159&lt;=100),"",--MID('Key Analysis'!$C155,$A159-100,1))</f>
        <v/>
      </c>
      <c r="CZ159" s="29" t="str">
        <f>IF(OR($B159="",$A159&lt;=101),"",--MID('Key Analysis'!$C155,$A159-101,1))</f>
        <v/>
      </c>
      <c r="DA159" s="29" t="str">
        <f>IF(OR($B159="",$A159&lt;=102),"",--MID('Key Analysis'!$C155,$A159-102,1))</f>
        <v/>
      </c>
      <c r="DB159" s="29" t="str">
        <f>IF(OR($B159="",$A159&lt;=103),"",--MID('Key Analysis'!$C155,$A159-103,1))</f>
        <v/>
      </c>
      <c r="DC159" s="29" t="str">
        <f>IF(OR($B159="",$A159&lt;=104),"",--MID('Key Analysis'!$C155,$A159-104,1))</f>
        <v/>
      </c>
      <c r="DD159" s="29" t="str">
        <f>IF(OR($B159="",$A159&lt;=105),"",--MID('Key Analysis'!$C155,$A159-105,1))</f>
        <v/>
      </c>
      <c r="DE159" s="29" t="str">
        <f>IF(OR($B159="",$A159&lt;=106),"",--MID('Key Analysis'!$C155,$A159-106,1))</f>
        <v/>
      </c>
      <c r="DF159" s="29" t="str">
        <f>IF(OR($B159="",$A159&lt;=107),"",--MID('Key Analysis'!$C155,$A159-107,1))</f>
        <v/>
      </c>
      <c r="DG159" s="29" t="str">
        <f>IF(OR($B159="",$A159&lt;=108),"",--MID('Key Analysis'!$C155,$A159-108,1))</f>
        <v/>
      </c>
      <c r="DH159" s="29" t="str">
        <f>IF(OR($B159="",$A159&lt;=109),"",--MID('Key Analysis'!$C155,$A159-109,1))</f>
        <v/>
      </c>
      <c r="DI159" s="29" t="str">
        <f>IF(OR($B159="",$A159&lt;=110),"",--MID('Key Analysis'!$C155,$A159-110,1))</f>
        <v/>
      </c>
      <c r="DJ159" s="29" t="str">
        <f>IF(OR($B159="",$A159&lt;=111),"",--MID('Key Analysis'!$C155,$A159-111,1))</f>
        <v/>
      </c>
      <c r="DK159" s="29" t="str">
        <f>IF(OR($B159="",$A159&lt;=112),"",--MID('Key Analysis'!$C155,$A159-112,1))</f>
        <v/>
      </c>
      <c r="DL159" s="29" t="str">
        <f>IF(OR($B159="",$A159&lt;=113),"",--MID('Key Analysis'!$C155,$A159-113,1))</f>
        <v/>
      </c>
      <c r="DM159" s="29" t="str">
        <f>IF(OR($B159="",$A159&lt;=114),"",--MID('Key Analysis'!$C155,$A159-114,1))</f>
        <v/>
      </c>
      <c r="DN159" s="29" t="str">
        <f>IF(OR($B159="",$A159&lt;=115),"",--MID('Key Analysis'!$C155,$A159-115,1))</f>
        <v/>
      </c>
      <c r="DO159" s="29" t="str">
        <f>IF(OR($B159="",$A159&lt;=116),"",--MID('Key Analysis'!$C155,$A159-116,1))</f>
        <v/>
      </c>
      <c r="DP159" s="29" t="str">
        <f>IF(OR($B159="",$A159&lt;=117),"",--MID('Key Analysis'!$C155,$A159-117,1))</f>
        <v/>
      </c>
      <c r="DQ159" s="29" t="str">
        <f>IF(OR($B159="",$A159&lt;=118),"",--MID('Key Analysis'!$C155,$A159-118,1))</f>
        <v/>
      </c>
      <c r="DR159" s="29" t="str">
        <f>IF(OR($B159="",$A159&lt;=119),"",--MID('Key Analysis'!$C155,$A159-119,1))</f>
        <v/>
      </c>
      <c r="DS159" s="29" t="str">
        <f>IF(OR($B159="",$A159&lt;=120),"",--MID('Key Analysis'!$C155,$A159-120,1))</f>
        <v/>
      </c>
      <c r="DT159" s="29" t="str">
        <f>IF(OR($B159="",$A159&lt;=121),"",--MID('Key Analysis'!$C155,$A159-121,1))</f>
        <v/>
      </c>
      <c r="DU159" s="29" t="str">
        <f>IF(OR($B159="",$A159&lt;=122),"",--MID('Key Analysis'!$C155,$A159-122,1))</f>
        <v/>
      </c>
      <c r="DV159" s="29" t="str">
        <f>IF(OR($B159="",$A159&lt;=123),"",--MID('Key Analysis'!$C155,$A159-123,1))</f>
        <v/>
      </c>
      <c r="DW159" s="29" t="str">
        <f>IF(OR($B159="",$A159&lt;=124),"",--MID('Key Analysis'!$C155,$A159-124,1))</f>
        <v/>
      </c>
      <c r="DX159" s="29" t="str">
        <f>IF(OR($B159="",$A159&lt;=125),"",--MID('Key Analysis'!$C155,$A159-125,1))</f>
        <v/>
      </c>
      <c r="DY159" s="29" t="str">
        <f>IF(OR($B159="",$A159&lt;=126),"",--MID('Key Analysis'!$C155,$A159-126,1))</f>
        <v/>
      </c>
      <c r="DZ159" s="29" t="str">
        <f>IF(OR($B159="",$A159&lt;=127),"",--MID('Key Analysis'!$C155,$A159-127,1))</f>
        <v/>
      </c>
      <c r="EA159" s="29" t="str">
        <f>IF(OR($B159="",$A159&lt;=128),"",--MID('Key Analysis'!$C155,$A159-128,1))</f>
        <v/>
      </c>
      <c r="EB159" s="29" t="str">
        <f>IF(OR($B159="",$A159&lt;=129),"",--MID('Key Analysis'!$C155,$A159-129,1))</f>
        <v/>
      </c>
      <c r="EC159" s="29" t="str">
        <f>IF(OR($B159="",$A159&lt;=130),"",--MID('Key Analysis'!$C155,$A159-130,1))</f>
        <v/>
      </c>
      <c r="ED159" s="29" t="str">
        <f>IF(OR($B159="",$A159&lt;=131),"",--MID('Key Analysis'!$C155,$A159-131,1))</f>
        <v/>
      </c>
      <c r="EE159" s="29" t="str">
        <f>IF(OR($B159="",$A159&lt;=132),"",--MID('Key Analysis'!$C155,$A159-132,1))</f>
        <v/>
      </c>
      <c r="EF159" s="29" t="str">
        <f>IF(OR($B159="",$A159&lt;=133),"",--MID('Key Analysis'!$C155,$A159-133,1))</f>
        <v/>
      </c>
      <c r="EG159" s="29" t="str">
        <f>IF(OR($B159="",$A159&lt;=134),"",--MID('Key Analysis'!$C155,$A159-134,1))</f>
        <v/>
      </c>
      <c r="EH159" s="29"/>
      <c r="EI159" s="29" t="str">
        <f>IF(OR($B159="",$A159&lt;1),"",--MID('Key Analysis'!$C155,1,1))</f>
        <v/>
      </c>
      <c r="EJ159" s="29" t="str">
        <f>IF(OR($B159="",$A159&lt;2),"",--MID('Key Analysis'!$C155,2,1))</f>
        <v/>
      </c>
      <c r="EK159" s="29" t="str">
        <f>IF(OR($B159="",$A159&lt;3),"",--MID('Key Analysis'!$C155,3,1))</f>
        <v/>
      </c>
      <c r="EL159" s="29" t="str">
        <f>IF(OR($B159="",$A159&lt;4),"",--MID('Key Analysis'!$C155,4,1))</f>
        <v/>
      </c>
      <c r="EM159" s="29" t="str">
        <f>IF(OR($B159="",$A159&lt;5),"",--MID('Key Analysis'!$C155,5,1))</f>
        <v/>
      </c>
      <c r="EN159" s="29" t="str">
        <f>IF(OR($B159="",$A159&lt;6),"",--MID('Key Analysis'!$C155,6,1))</f>
        <v/>
      </c>
      <c r="EO159" s="29" t="str">
        <f>IF(OR($B159="",$A159&lt;7),"",--MID('Key Analysis'!$C155,7,1))</f>
        <v/>
      </c>
      <c r="EP159" s="29" t="str">
        <f>IF(OR($B159="",$A159&lt;8),"",--MID('Key Analysis'!$C155,8,1))</f>
        <v/>
      </c>
      <c r="EQ159" s="29" t="str">
        <f>IF(OR($B159="",$A159&lt;9),"",--MID('Key Analysis'!$C155,9,1))</f>
        <v/>
      </c>
      <c r="ER159" s="29" t="str">
        <f>IF(OR($B159="",$A159&lt;10),"",--MID('Key Analysis'!$C155,10,1))</f>
        <v/>
      </c>
      <c r="ES159" s="29" t="str">
        <f>IF(OR($B159="",$A159&lt;11),"",--MID('Key Analysis'!$C155,11,1))</f>
        <v/>
      </c>
      <c r="ET159" s="29" t="str">
        <f>IF(OR($B159="",$A159&lt;12),"",--MID('Key Analysis'!$C155,12,1))</f>
        <v/>
      </c>
      <c r="EU159" s="29" t="str">
        <f>IF(OR($B159="",$A159&lt;13),"",--MID('Key Analysis'!$C155,13,1))</f>
        <v/>
      </c>
      <c r="EV159" s="29" t="str">
        <f>IF(OR($B159="",$A159&lt;14),"",--MID('Key Analysis'!$C155,14,1))</f>
        <v/>
      </c>
      <c r="EW159" s="29" t="str">
        <f>IF(OR($B159="",$A159&lt;15),"",--MID('Key Analysis'!$C155,15,1))</f>
        <v/>
      </c>
      <c r="EX159" s="29" t="str">
        <f>IF(OR($B159="",$A159&lt;16),"",--MID('Key Analysis'!$C155,16,1))</f>
        <v/>
      </c>
      <c r="EY159" s="29" t="str">
        <f>IF(OR($B159="",$A159&lt;17),"",--MID('Key Analysis'!$C155,17,1))</f>
        <v/>
      </c>
      <c r="EZ159" s="29" t="str">
        <f>IF(OR($B159="",$A159&lt;18),"",--MID('Key Analysis'!$C155,18,1))</f>
        <v/>
      </c>
      <c r="FA159" s="29" t="str">
        <f>IF(OR($B159="",$A159&lt;19),"",--MID('Key Analysis'!$C155,19,1))</f>
        <v/>
      </c>
      <c r="FB159" s="29" t="str">
        <f>IF(OR($B159="",$A159&lt;20),"",--MID('Key Analysis'!$C155,20,1))</f>
        <v/>
      </c>
      <c r="FC159" s="29" t="str">
        <f>IF(OR($B159="",$A159&lt;21),"",--MID('Key Analysis'!$C155,21,1))</f>
        <v/>
      </c>
      <c r="FD159" s="29" t="str">
        <f>IF(OR($B159="",$A159&lt;22),"",--MID('Key Analysis'!$C155,22,1))</f>
        <v/>
      </c>
      <c r="FE159" s="29" t="str">
        <f>IF(OR($B159="",$A159&lt;23),"",--MID('Key Analysis'!$C155,23,1))</f>
        <v/>
      </c>
      <c r="FF159" s="29" t="str">
        <f>IF(OR($B159="",$A159&lt;24),"",--MID('Key Analysis'!$C155,24,1))</f>
        <v/>
      </c>
      <c r="FG159" s="29" t="str">
        <f>IF(OR($B159="",$A159&lt;25),"",--MID('Key Analysis'!$C155,25,1))</f>
        <v/>
      </c>
      <c r="FH159" s="29" t="str">
        <f>IF(OR($B159="",$A159&lt;26),"",--MID('Key Analysis'!$C155,26,1))</f>
        <v/>
      </c>
      <c r="FI159" s="29" t="str">
        <f>IF(OR($B159="",$A159&lt;27),"",--MID('Key Analysis'!$C155,27,1))</f>
        <v/>
      </c>
      <c r="FJ159" s="29" t="str">
        <f>IF(OR($B159="",$A159&lt;28),"",--MID('Key Analysis'!$C155,28,1))</f>
        <v/>
      </c>
      <c r="FK159" s="29" t="str">
        <f>IF(OR($B159="",$A159&lt;29),"",--MID('Key Analysis'!$C155,29,1))</f>
        <v/>
      </c>
      <c r="FL159" s="29" t="str">
        <f>IF(OR($B159="",$A159&lt;30),"",--MID('Key Analysis'!$C155,30,1))</f>
        <v/>
      </c>
      <c r="FM159" s="29" t="str">
        <f>IF(OR($B159="",$A159&lt;31),"",--MID('Key Analysis'!$C155,31,1))</f>
        <v/>
      </c>
      <c r="FN159" s="29" t="str">
        <f>IF(OR($B159="",$A159&lt;32),"",--MID('Key Analysis'!$C155,32,1))</f>
        <v/>
      </c>
      <c r="FO159" s="29" t="str">
        <f>IF(OR($B159="",$A159&lt;33),"",--MID('Key Analysis'!$C155,33,1))</f>
        <v/>
      </c>
      <c r="FP159" s="29" t="str">
        <f>IF(OR($B159="",$A159&lt;34),"",--MID('Key Analysis'!$C155,34,1))</f>
        <v/>
      </c>
      <c r="FQ159" s="29" t="str">
        <f>IF(OR($B159="",$A159&lt;35),"",--MID('Key Analysis'!$C155,35,1))</f>
        <v/>
      </c>
      <c r="FR159" s="29" t="str">
        <f>IF(OR($B159="",$A159&lt;36),"",--MID('Key Analysis'!$C155,36,1))</f>
        <v/>
      </c>
      <c r="FS159" s="29" t="str">
        <f>IF(OR($B159="",$A159&lt;37),"",--MID('Key Analysis'!$C155,37,1))</f>
        <v/>
      </c>
      <c r="FT159" s="29" t="str">
        <f>IF(OR($B159="",$A159&lt;38),"",--MID('Key Analysis'!$C155,38,1))</f>
        <v/>
      </c>
      <c r="FU159" s="29" t="str">
        <f>IF(OR($B159="",$A159&lt;39),"",--MID('Key Analysis'!$C155,39,1))</f>
        <v/>
      </c>
      <c r="FV159" s="29" t="str">
        <f>IF(OR($B159="",$A159&lt;40),"",--MID('Key Analysis'!$C155,40,1))</f>
        <v/>
      </c>
      <c r="FW159" s="29" t="str">
        <f>IF(OR($B159="",$A159&lt;41),"",--MID('Key Analysis'!$C155,41,1))</f>
        <v/>
      </c>
      <c r="FX159" s="29" t="str">
        <f>IF(OR($B159="",$A159&lt;42),"",--MID('Key Analysis'!$C155,42,1))</f>
        <v/>
      </c>
      <c r="FY159" s="29" t="str">
        <f>IF(OR($B159="",$A159&lt;43),"",--MID('Key Analysis'!$C155,43,1))</f>
        <v/>
      </c>
      <c r="FZ159" s="29" t="str">
        <f>IF(OR($B159="",$A159&lt;44),"",--MID('Key Analysis'!$C155,44,1))</f>
        <v/>
      </c>
      <c r="GA159" s="29" t="str">
        <f>IF(OR($B159="",$A159&lt;45),"",--MID('Key Analysis'!$C155,45,1))</f>
        <v/>
      </c>
      <c r="GB159" s="29" t="str">
        <f>IF(OR($B159="",$A159&lt;46),"",--MID('Key Analysis'!$C155,46,1))</f>
        <v/>
      </c>
      <c r="GC159" s="29" t="str">
        <f>IF(OR($B159="",$A159&lt;47),"",--MID('Key Analysis'!$C155,47,1))</f>
        <v/>
      </c>
      <c r="GD159" s="29" t="str">
        <f>IF(OR($B159="",$A159&lt;48),"",--MID('Key Analysis'!$C155,48,1))</f>
        <v/>
      </c>
      <c r="GE159" s="29" t="str">
        <f>IF(OR($B159="",$A159&lt;49),"",--MID('Key Analysis'!$C155,49,1))</f>
        <v/>
      </c>
      <c r="GF159" s="29" t="str">
        <f>IF(OR($B159="",$A159&lt;50),"",--MID('Key Analysis'!$C155,50,1))</f>
        <v/>
      </c>
      <c r="GG159" s="29" t="str">
        <f>IF(OR($B159="",$A159&lt;51),"",--MID('Key Analysis'!$C155,51,1))</f>
        <v/>
      </c>
      <c r="GH159" s="29" t="str">
        <f>IF(OR($B159="",$A159&lt;52),"",--MID('Key Analysis'!$C155,52,1))</f>
        <v/>
      </c>
      <c r="GI159" s="29" t="str">
        <f>IF(OR($B159="",$A159&lt;53),"",--MID('Key Analysis'!$C155,53,1))</f>
        <v/>
      </c>
      <c r="GJ159" s="29" t="str">
        <f>IF(OR($B159="",$A159&lt;54),"",--MID('Key Analysis'!$C155,54,1))</f>
        <v/>
      </c>
      <c r="GK159" s="29" t="str">
        <f>IF(OR($B159="",$A159&lt;55),"",--MID('Key Analysis'!$C155,55,1))</f>
        <v/>
      </c>
      <c r="GL159" s="29" t="str">
        <f>IF(OR($B159="",$A159&lt;56),"",--MID('Key Analysis'!$C155,56,1))</f>
        <v/>
      </c>
      <c r="GM159" s="29" t="str">
        <f>IF(OR($B159="",$A159&lt;57),"",--MID('Key Analysis'!$C155,57,1))</f>
        <v/>
      </c>
      <c r="GN159" s="29" t="str">
        <f>IF(OR($B159="",$A159&lt;58),"",--MID('Key Analysis'!$C155,58,1))</f>
        <v/>
      </c>
      <c r="GO159" s="29" t="str">
        <f>IF(OR($B159="",$A159&lt;59),"",--MID('Key Analysis'!$C155,59,1))</f>
        <v/>
      </c>
      <c r="GP159" s="29" t="str">
        <f>IF(OR($B159="",$A159&lt;60),"",--MID('Key Analysis'!$C155,60,1))</f>
        <v/>
      </c>
      <c r="GQ159" s="29" t="str">
        <f>IF(OR($B159="",$A159&lt;61),"",--MID('Key Analysis'!$C155,61,1))</f>
        <v/>
      </c>
      <c r="GR159" s="29" t="str">
        <f>IF(OR($B159="",$A159&lt;62),"",--MID('Key Analysis'!$C155,62,1))</f>
        <v/>
      </c>
      <c r="GS159" s="29" t="str">
        <f>IF(OR($B159="",$A159&lt;63),"",--MID('Key Analysis'!$C155,63,1))</f>
        <v/>
      </c>
      <c r="GT159" s="29" t="str">
        <f>IF(OR($B159="",$A159&lt;64),"",--MID('Key Analysis'!$C155,64,1))</f>
        <v/>
      </c>
      <c r="GU159" s="29" t="str">
        <f>IF(OR($B159="",$A159&lt;65),"",--MID('Key Analysis'!$C155,65,1))</f>
        <v/>
      </c>
      <c r="GV159" s="29" t="str">
        <f>IF(OR($B159="",$A159&lt;66),"",--MID('Key Analysis'!$C155,66,1))</f>
        <v/>
      </c>
      <c r="GW159" s="29" t="str">
        <f>IF(OR($B159="",$A159&lt;67),"",--MID('Key Analysis'!$C155,67,1))</f>
        <v/>
      </c>
      <c r="GX159" s="29" t="str">
        <f>IF(OR($B159="",$A159&lt;68),"",--MID('Key Analysis'!$C155,68,1))</f>
        <v/>
      </c>
      <c r="GY159" s="29" t="str">
        <f>IF(OR($B159="",$A159&lt;69),"",--MID('Key Analysis'!$C155,69,1))</f>
        <v/>
      </c>
      <c r="GZ159" s="29" t="str">
        <f>IF(OR($B159="",$A159&lt;70),"",--MID('Key Analysis'!$C155,70,1))</f>
        <v/>
      </c>
      <c r="HA159" s="29" t="str">
        <f>IF(OR($B159="",$A159&lt;71),"",--MID('Key Analysis'!$C155,71,1))</f>
        <v/>
      </c>
      <c r="HB159" s="29" t="str">
        <f>IF(OR($B159="",$A159&lt;72),"",--MID('Key Analysis'!$C155,72,1))</f>
        <v/>
      </c>
      <c r="HC159" s="29" t="str">
        <f>IF(OR($B159="",$A159&lt;73),"",--MID('Key Analysis'!$C155,73,1))</f>
        <v/>
      </c>
      <c r="HD159" s="29" t="str">
        <f>IF(OR($B159="",$A159&lt;74),"",--MID('Key Analysis'!$C155,74,1))</f>
        <v/>
      </c>
      <c r="HE159" s="29" t="str">
        <f>IF(OR($B159="",$A159&lt;75),"",--MID('Key Analysis'!$C155,75,1))</f>
        <v/>
      </c>
      <c r="HF159" s="29" t="str">
        <f>IF(OR($B159="",$A159&lt;76),"",--MID('Key Analysis'!$C155,76,1))</f>
        <v/>
      </c>
      <c r="HG159" s="29" t="str">
        <f>IF(OR($B159="",$A159&lt;77),"",--MID('Key Analysis'!$C155,77,1))</f>
        <v/>
      </c>
      <c r="HH159" s="29" t="str">
        <f>IF(OR($B159="",$A159&lt;78),"",--MID('Key Analysis'!$C155,78,1))</f>
        <v/>
      </c>
      <c r="HI159" s="29" t="str">
        <f>IF(OR($B159="",$A159&lt;79),"",--MID('Key Analysis'!$C155,79,1))</f>
        <v/>
      </c>
      <c r="HJ159" s="29" t="str">
        <f>IF(OR($B159="",$A159&lt;80),"",--MID('Key Analysis'!$C155,80,1))</f>
        <v/>
      </c>
      <c r="HK159" s="29" t="str">
        <f>IF(OR($B159="",$A159&lt;81),"",--MID('Key Analysis'!$C155,81,1))</f>
        <v/>
      </c>
      <c r="HL159" s="29" t="str">
        <f>IF(OR($B159="",$A159&lt;82),"",--MID('Key Analysis'!$C155,82,1))</f>
        <v/>
      </c>
      <c r="HM159" s="29" t="str">
        <f>IF(OR($B159="",$A159&lt;83),"",--MID('Key Analysis'!$C155,83,1))</f>
        <v/>
      </c>
      <c r="HN159" s="29" t="str">
        <f>IF(OR($B159="",$A159&lt;84),"",--MID('Key Analysis'!$C155,84,1))</f>
        <v/>
      </c>
      <c r="HO159" s="29" t="str">
        <f>IF(OR($B159="",$A159&lt;85),"",--MID('Key Analysis'!$C155,85,1))</f>
        <v/>
      </c>
      <c r="HP159" s="29" t="str">
        <f>IF(OR($B159="",$A159&lt;86),"",--MID('Key Analysis'!$C155,86,1))</f>
        <v/>
      </c>
      <c r="HQ159" s="29" t="str">
        <f>IF(OR($B159="",$A159&lt;87),"",--MID('Key Analysis'!$C155,87,1))</f>
        <v/>
      </c>
      <c r="HR159" s="29" t="str">
        <f>IF(OR($B159="",$A159&lt;88),"",--MID('Key Analysis'!$C155,88,1))</f>
        <v/>
      </c>
      <c r="HS159" s="29" t="str">
        <f>IF(OR($B159="",$A159&lt;89),"",--MID('Key Analysis'!$C155,89,1))</f>
        <v/>
      </c>
      <c r="HT159" s="29" t="str">
        <f>IF(OR($B159="",$A159&lt;90),"",--MID('Key Analysis'!$C155,90,1))</f>
        <v/>
      </c>
      <c r="HU159" s="29" t="str">
        <f>IF(OR($B159="",$A159&lt;91),"",--MID('Key Analysis'!$C155,91,1))</f>
        <v/>
      </c>
      <c r="HV159" s="29" t="str">
        <f>IF(OR($B159="",$A159&lt;92),"",--MID('Key Analysis'!$C155,92,1))</f>
        <v/>
      </c>
      <c r="HW159" s="29" t="str">
        <f>IF(OR($B159="",$A159&lt;93),"",--MID('Key Analysis'!$C155,93,1))</f>
        <v/>
      </c>
      <c r="HX159" s="29" t="str">
        <f>IF(OR($B159="",$A159&lt;94),"",--MID('Key Analysis'!$C155,94,1))</f>
        <v/>
      </c>
      <c r="HY159" s="29" t="str">
        <f>IF(OR($B159="",$A159&lt;95),"",--MID('Key Analysis'!$C155,95,1))</f>
        <v/>
      </c>
      <c r="HZ159" s="29" t="str">
        <f>IF(OR($B159="",$A159&lt;96),"",--MID('Key Analysis'!$C155,96,1))</f>
        <v/>
      </c>
      <c r="IA159" s="29" t="str">
        <f>IF(OR($B159="",$A159&lt;97),"",--MID('Key Analysis'!$C155,97,1))</f>
        <v/>
      </c>
      <c r="IB159" s="29" t="str">
        <f>IF(OR($B159="",$A159&lt;98),"",--MID('Key Analysis'!$C155,98,1))</f>
        <v/>
      </c>
      <c r="IC159" s="29" t="str">
        <f>IF(OR($B159="",$A159&lt;99),"",--MID('Key Analysis'!$C155,99,1))</f>
        <v/>
      </c>
      <c r="ID159" s="29" t="str">
        <f>IF(OR($B159="",$A159&lt;100),"",--MID('Key Analysis'!$C155,100,1))</f>
        <v/>
      </c>
      <c r="IE159" s="29" t="str">
        <f>IF(OR($B159="",$A159&lt;101),"",--MID('Key Analysis'!$C155,101,1))</f>
        <v/>
      </c>
      <c r="IF159" s="29" t="str">
        <f>IF(OR($B159="",$A159&lt;102),"",--MID('Key Analysis'!$C155,102,1))</f>
        <v/>
      </c>
      <c r="IG159" s="29" t="str">
        <f>IF(OR($B159="",$A159&lt;103),"",--MID('Key Analysis'!$C155,103,1))</f>
        <v/>
      </c>
      <c r="IH159" s="29" t="str">
        <f>IF(OR($B159="",$A159&lt;104),"",--MID('Key Analysis'!$C155,104,1))</f>
        <v/>
      </c>
      <c r="II159" s="29" t="str">
        <f>IF(OR($B159="",$A159&lt;105),"",--MID('Key Analysis'!$C155,105,1))</f>
        <v/>
      </c>
      <c r="IJ159" s="29" t="str">
        <f>IF(OR($B159="",$A159&lt;106),"",--MID('Key Analysis'!$C155,106,1))</f>
        <v/>
      </c>
      <c r="IK159" s="29" t="str">
        <f>IF(OR($B159="",$A159&lt;107),"",--MID('Key Analysis'!$C155,107,1))</f>
        <v/>
      </c>
      <c r="IL159" s="29" t="str">
        <f>IF(OR($B159="",$A159&lt;108),"",--MID('Key Analysis'!$C155,108,1))</f>
        <v/>
      </c>
      <c r="IM159" s="29" t="str">
        <f>IF(OR($B159="",$A159&lt;109),"",--MID('Key Analysis'!$C155,109,1))</f>
        <v/>
      </c>
      <c r="IN159" s="29" t="str">
        <f>IF(OR($B159="",$A159&lt;110),"",--MID('Key Analysis'!$C155,110,1))</f>
        <v/>
      </c>
      <c r="IO159" s="29" t="str">
        <f>IF(OR($B159="",$A159&lt;111),"",--MID('Key Analysis'!$C155,111,1))</f>
        <v/>
      </c>
      <c r="IP159" s="29" t="str">
        <f>IF(OR($B159="",$A159&lt;112),"",--MID('Key Analysis'!$C155,112,1))</f>
        <v/>
      </c>
      <c r="IQ159" s="29" t="str">
        <f>IF(OR($B159="",$A159&lt;113),"",--MID('Key Analysis'!$C155,113,1))</f>
        <v/>
      </c>
      <c r="IR159" s="29" t="str">
        <f>IF(OR($B159="",$A159&lt;114),"",--MID('Key Analysis'!$C155,114,1))</f>
        <v/>
      </c>
      <c r="IS159" s="29" t="str">
        <f>IF(OR($B159="",$A159&lt;115),"",--MID('Key Analysis'!$C155,115,1))</f>
        <v/>
      </c>
      <c r="IT159" s="29" t="str">
        <f>IF(OR($B159="",$A159&lt;116),"",--MID('Key Analysis'!$C155,116,1))</f>
        <v/>
      </c>
      <c r="IU159" s="29" t="str">
        <f>IF(OR($B159="",$A159&lt;117),"",--MID('Key Analysis'!$C155,117,1))</f>
        <v/>
      </c>
      <c r="IV159" s="29" t="str">
        <f>IF(OR($B159="",$A159&lt;118),"",--MID('Key Analysis'!$C155,118,1))</f>
        <v/>
      </c>
      <c r="IW159" s="29" t="str">
        <f>IF(OR($B159="",$A159&lt;119),"",--MID('Key Analysis'!$C155,119,1))</f>
        <v/>
      </c>
      <c r="IX159" s="29" t="str">
        <f>IF(OR($B159="",$A159&lt;120),"",--MID('Key Analysis'!$C155,120,1))</f>
        <v/>
      </c>
      <c r="IY159" s="29" t="str">
        <f>IF(OR($B159="",$A159&lt;121),"",--MID('Key Analysis'!$C155,121,1))</f>
        <v/>
      </c>
      <c r="IZ159" s="29" t="str">
        <f>IF(OR($B159="",$A159&lt;122),"",--MID('Key Analysis'!$C155,122,1))</f>
        <v/>
      </c>
      <c r="JA159" s="29" t="str">
        <f>IF(OR($B159="",$A159&lt;123),"",--MID('Key Analysis'!$C155,123,1))</f>
        <v/>
      </c>
      <c r="JB159" s="29" t="str">
        <f>IF(OR($B159="",$A159&lt;124),"",--MID('Key Analysis'!$C155,124,1))</f>
        <v/>
      </c>
      <c r="JC159" s="29" t="str">
        <f>IF(OR($B159="",$A159&lt;125),"",--MID('Key Analysis'!$C155,125,1))</f>
        <v/>
      </c>
      <c r="JD159" s="29" t="str">
        <f>IF(OR($B159="",$A159&lt;126),"",--MID('Key Analysis'!$C155,126,1))</f>
        <v/>
      </c>
      <c r="JE159" s="29" t="str">
        <f>IF(OR($B159="",$A159&lt;127),"",--MID('Key Analysis'!$C155,127,1))</f>
        <v/>
      </c>
      <c r="JF159" s="29" t="str">
        <f>IF(OR($B159="",$A159&lt;128),"",--MID('Key Analysis'!$C155,128,1))</f>
        <v/>
      </c>
      <c r="JG159" s="29" t="str">
        <f>IF(OR($B159="",$A159&lt;129),"",--MID('Key Analysis'!$C155,129,1))</f>
        <v/>
      </c>
      <c r="JH159" s="29" t="str">
        <f>IF(OR($B159="",$A159&lt;130),"",--MID('Key Analysis'!$C155,130,1))</f>
        <v/>
      </c>
      <c r="JI159" s="29" t="str">
        <f>IF(OR($B159="",$A159&lt;131),"",--MID('Key Analysis'!$C155,131,1))</f>
        <v/>
      </c>
      <c r="JJ159" s="29" t="str">
        <f>IF(OR($B159="",$A159&lt;132),"",--MID('Key Analysis'!$C155,132,1))</f>
        <v/>
      </c>
      <c r="JK159" s="29" t="str">
        <f>IF(OR($B159="",$A159&lt;133),"",--MID('Key Analysis'!$C155,133,1))</f>
        <v/>
      </c>
      <c r="JL159" s="29" t="str">
        <f>IF(OR($B159="",$A159&lt;134),"",--MID('Key Analysis'!$C155,134,1))</f>
        <v/>
      </c>
      <c r="JM159" s="29" t="str">
        <f>IF(OR($B159="",$A159&lt;135),"",--MID('Key Analysis'!$C155,135,1))</f>
        <v/>
      </c>
    </row>
    <row r="160" spans="1:273" x14ac:dyDescent="0.25">
      <c r="A160" s="21">
        <f>'Key Analysis'!A156</f>
        <v>155</v>
      </c>
      <c r="B160" s="30" t="str">
        <f>'Key Analysis'!B156</f>
        <v/>
      </c>
      <c r="C160" s="29" t="str">
        <f>IF(OR($B160="",$A160&lt;=0),"",--MID('Key Analysis'!$C156,$A160-0,1))</f>
        <v/>
      </c>
      <c r="D160" s="29" t="str">
        <f>IF(OR($B160="",$A160&lt;=1),"",--MID('Key Analysis'!$C156,$A160-1,1))</f>
        <v/>
      </c>
      <c r="E160" s="29" t="str">
        <f>IF(OR($B160="",$A160&lt;=2),"",--MID('Key Analysis'!$C156,$A160-2,1))</f>
        <v/>
      </c>
      <c r="F160" s="29" t="str">
        <f>IF(OR($B160="",$A160&lt;=3),"",--MID('Key Analysis'!$C156,$A160-3,1))</f>
        <v/>
      </c>
      <c r="G160" s="29" t="str">
        <f>IF(OR($B160="",$A160&lt;=4),"",--MID('Key Analysis'!$C156,$A160-4,1))</f>
        <v/>
      </c>
      <c r="H160" s="29" t="str">
        <f>IF(OR($B160="",$A160&lt;=5),"",--MID('Key Analysis'!$C156,$A160-5,1))</f>
        <v/>
      </c>
      <c r="I160" s="29" t="str">
        <f>IF(OR($B160="",$A160&lt;=6),"",--MID('Key Analysis'!$C156,$A160-6,1))</f>
        <v/>
      </c>
      <c r="J160" s="29" t="str">
        <f>IF(OR($B160="",$A160&lt;=7),"",--MID('Key Analysis'!$C156,$A160-7,1))</f>
        <v/>
      </c>
      <c r="K160" s="29" t="str">
        <f>IF(OR($B160="",$A160&lt;=8),"",--MID('Key Analysis'!$C156,$A160-8,1))</f>
        <v/>
      </c>
      <c r="L160" s="29" t="str">
        <f>IF(OR($B160="",$A160&lt;=9),"",--MID('Key Analysis'!$C156,$A160-9,1))</f>
        <v/>
      </c>
      <c r="M160" s="29" t="str">
        <f>IF(OR($B160="",$A160&lt;=10),"",--MID('Key Analysis'!$C156,$A160-10,1))</f>
        <v/>
      </c>
      <c r="N160" s="29" t="str">
        <f>IF(OR($B160="",$A160&lt;=11),"",--MID('Key Analysis'!$C156,$A160-11,1))</f>
        <v/>
      </c>
      <c r="O160" s="29" t="str">
        <f>IF(OR($B160="",$A160&lt;=12),"",--MID('Key Analysis'!$C156,$A160-12,1))</f>
        <v/>
      </c>
      <c r="P160" s="29" t="str">
        <f>IF(OR($B160="",$A160&lt;=13),"",--MID('Key Analysis'!$C156,$A160-13,1))</f>
        <v/>
      </c>
      <c r="Q160" s="29" t="str">
        <f>IF(OR($B160="",$A160&lt;=14),"",--MID('Key Analysis'!$C156,$A160-14,1))</f>
        <v/>
      </c>
      <c r="R160" s="29" t="str">
        <f>IF(OR($B160="",$A160&lt;=15),"",--MID('Key Analysis'!$C156,$A160-15,1))</f>
        <v/>
      </c>
      <c r="S160" s="29" t="str">
        <f>IF(OR($B160="",$A160&lt;=16),"",--MID('Key Analysis'!$C156,$A160-16,1))</f>
        <v/>
      </c>
      <c r="T160" s="29" t="str">
        <f>IF(OR($B160="",$A160&lt;=17),"",--MID('Key Analysis'!$C156,$A160-17,1))</f>
        <v/>
      </c>
      <c r="U160" s="29" t="str">
        <f>IF(OR($B160="",$A160&lt;=18),"",--MID('Key Analysis'!$C156,$A160-18,1))</f>
        <v/>
      </c>
      <c r="V160" s="29" t="str">
        <f>IF(OR($B160="",$A160&lt;=19),"",--MID('Key Analysis'!$C156,$A160-19,1))</f>
        <v/>
      </c>
      <c r="W160" s="29" t="str">
        <f>IF(OR($B160="",$A160&lt;=20),"",--MID('Key Analysis'!$C156,$A160-20,1))</f>
        <v/>
      </c>
      <c r="X160" s="29" t="str">
        <f>IF(OR($B160="",$A160&lt;=21),"",--MID('Key Analysis'!$C156,$A160-21,1))</f>
        <v/>
      </c>
      <c r="Y160" s="29" t="str">
        <f>IF(OR($B160="",$A160&lt;=22),"",--MID('Key Analysis'!$C156,$A160-22,1))</f>
        <v/>
      </c>
      <c r="Z160" s="29" t="str">
        <f>IF(OR($B160="",$A160&lt;=23),"",--MID('Key Analysis'!$C156,$A160-23,1))</f>
        <v/>
      </c>
      <c r="AA160" s="29" t="str">
        <f>IF(OR($B160="",$A160&lt;=24),"",--MID('Key Analysis'!$C156,$A160-24,1))</f>
        <v/>
      </c>
      <c r="AB160" s="29" t="str">
        <f>IF(OR($B160="",$A160&lt;=25),"",--MID('Key Analysis'!$C156,$A160-25,1))</f>
        <v/>
      </c>
      <c r="AC160" s="29" t="str">
        <f>IF(OR($B160="",$A160&lt;=26),"",--MID('Key Analysis'!$C156,$A160-26,1))</f>
        <v/>
      </c>
      <c r="AD160" s="29" t="str">
        <f>IF(OR($B160="",$A160&lt;=27),"",--MID('Key Analysis'!$C156,$A160-27,1))</f>
        <v/>
      </c>
      <c r="AE160" s="29" t="str">
        <f>IF(OR($B160="",$A160&lt;=28),"",--MID('Key Analysis'!$C156,$A160-28,1))</f>
        <v/>
      </c>
      <c r="AF160" s="29" t="str">
        <f>IF(OR($B160="",$A160&lt;=29),"",--MID('Key Analysis'!$C156,$A160-29,1))</f>
        <v/>
      </c>
      <c r="AG160" s="29" t="str">
        <f>IF(OR($B160="",$A160&lt;=30),"",--MID('Key Analysis'!$C156,$A160-30,1))</f>
        <v/>
      </c>
      <c r="AH160" s="29" t="str">
        <f>IF(OR($B160="",$A160&lt;=31),"",--MID('Key Analysis'!$C156,$A160-31,1))</f>
        <v/>
      </c>
      <c r="AI160" s="29" t="str">
        <f>IF(OR($B160="",$A160&lt;=32),"",--MID('Key Analysis'!$C156,$A160-32,1))</f>
        <v/>
      </c>
      <c r="AJ160" s="29" t="str">
        <f>IF(OR($B160="",$A160&lt;=33),"",--MID('Key Analysis'!$C156,$A160-33,1))</f>
        <v/>
      </c>
      <c r="AK160" s="29" t="str">
        <f>IF(OR($B160="",$A160&lt;=34),"",--MID('Key Analysis'!$C156,$A160-34,1))</f>
        <v/>
      </c>
      <c r="AL160" s="29" t="str">
        <f>IF(OR($B160="",$A160&lt;=35),"",--MID('Key Analysis'!$C156,$A160-35,1))</f>
        <v/>
      </c>
      <c r="AM160" s="29" t="str">
        <f>IF(OR($B160="",$A160&lt;=36),"",--MID('Key Analysis'!$C156,$A160-36,1))</f>
        <v/>
      </c>
      <c r="AN160" s="29" t="str">
        <f>IF(OR($B160="",$A160&lt;=37),"",--MID('Key Analysis'!$C156,$A160-37,1))</f>
        <v/>
      </c>
      <c r="AO160" s="29" t="str">
        <f>IF(OR($B160="",$A160&lt;=38),"",--MID('Key Analysis'!$C156,$A160-38,1))</f>
        <v/>
      </c>
      <c r="AP160" s="29" t="str">
        <f>IF(OR($B160="",$A160&lt;=39),"",--MID('Key Analysis'!$C156,$A160-39,1))</f>
        <v/>
      </c>
      <c r="AQ160" s="29" t="str">
        <f>IF(OR($B160="",$A160&lt;=40),"",--MID('Key Analysis'!$C156,$A160-40,1))</f>
        <v/>
      </c>
      <c r="AR160" s="29" t="str">
        <f>IF(OR($B160="",$A160&lt;=41),"",--MID('Key Analysis'!$C156,$A160-41,1))</f>
        <v/>
      </c>
      <c r="AS160" s="29" t="str">
        <f>IF(OR($B160="",$A160&lt;=42),"",--MID('Key Analysis'!$C156,$A160-42,1))</f>
        <v/>
      </c>
      <c r="AT160" s="29" t="str">
        <f>IF(OR($B160="",$A160&lt;=43),"",--MID('Key Analysis'!$C156,$A160-43,1))</f>
        <v/>
      </c>
      <c r="AU160" s="29" t="str">
        <f>IF(OR($B160="",$A160&lt;=44),"",--MID('Key Analysis'!$C156,$A160-44,1))</f>
        <v/>
      </c>
      <c r="AV160" s="29" t="str">
        <f>IF(OR($B160="",$A160&lt;=45),"",--MID('Key Analysis'!$C156,$A160-45,1))</f>
        <v/>
      </c>
      <c r="AW160" s="29" t="str">
        <f>IF(OR($B160="",$A160&lt;=46),"",--MID('Key Analysis'!$C156,$A160-46,1))</f>
        <v/>
      </c>
      <c r="AX160" s="29" t="str">
        <f>IF(OR($B160="",$A160&lt;=47),"",--MID('Key Analysis'!$C156,$A160-47,1))</f>
        <v/>
      </c>
      <c r="AY160" s="29" t="str">
        <f>IF(OR($B160="",$A160&lt;=48),"",--MID('Key Analysis'!$C156,$A160-48,1))</f>
        <v/>
      </c>
      <c r="AZ160" s="29" t="str">
        <f>IF(OR($B160="",$A160&lt;=49),"",--MID('Key Analysis'!$C156,$A160-49,1))</f>
        <v/>
      </c>
      <c r="BA160" s="29" t="str">
        <f>IF(OR($B160="",$A160&lt;=50),"",--MID('Key Analysis'!$C156,$A160-50,1))</f>
        <v/>
      </c>
      <c r="BB160" s="29" t="str">
        <f>IF(OR($B160="",$A160&lt;=51),"",--MID('Key Analysis'!$C156,$A160-51,1))</f>
        <v/>
      </c>
      <c r="BC160" s="29" t="str">
        <f>IF(OR($B160="",$A160&lt;=52),"",--MID('Key Analysis'!$C156,$A160-52,1))</f>
        <v/>
      </c>
      <c r="BD160" s="29" t="str">
        <f>IF(OR($B160="",$A160&lt;=53),"",--MID('Key Analysis'!$C156,$A160-53,1))</f>
        <v/>
      </c>
      <c r="BE160" s="29" t="str">
        <f>IF(OR($B160="",$A160&lt;=54),"",--MID('Key Analysis'!$C156,$A160-54,1))</f>
        <v/>
      </c>
      <c r="BF160" s="29" t="str">
        <f>IF(OR($B160="",$A160&lt;=55),"",--MID('Key Analysis'!$C156,$A160-55,1))</f>
        <v/>
      </c>
      <c r="BG160" s="29" t="str">
        <f>IF(OR($B160="",$A160&lt;=56),"",--MID('Key Analysis'!$C156,$A160-56,1))</f>
        <v/>
      </c>
      <c r="BH160" s="29" t="str">
        <f>IF(OR($B160="",$A160&lt;=57),"",--MID('Key Analysis'!$C156,$A160-57,1))</f>
        <v/>
      </c>
      <c r="BI160" s="29" t="str">
        <f>IF(OR($B160="",$A160&lt;=58),"",--MID('Key Analysis'!$C156,$A160-58,1))</f>
        <v/>
      </c>
      <c r="BJ160" s="29" t="str">
        <f>IF(OR($B160="",$A160&lt;=59),"",--MID('Key Analysis'!$C156,$A160-59,1))</f>
        <v/>
      </c>
      <c r="BK160" s="29" t="str">
        <f>IF(OR($B160="",$A160&lt;=60),"",--MID('Key Analysis'!$C156,$A160-60,1))</f>
        <v/>
      </c>
      <c r="BL160" s="29" t="str">
        <f>IF(OR($B160="",$A160&lt;=61),"",--MID('Key Analysis'!$C156,$A160-61,1))</f>
        <v/>
      </c>
      <c r="BM160" s="29" t="str">
        <f>IF(OR($B160="",$A160&lt;=62),"",--MID('Key Analysis'!$C156,$A160-62,1))</f>
        <v/>
      </c>
      <c r="BN160" s="29" t="str">
        <f>IF(OR($B160="",$A160&lt;=63),"",--MID('Key Analysis'!$C156,$A160-63,1))</f>
        <v/>
      </c>
      <c r="BO160" s="29" t="str">
        <f>IF(OR($B160="",$A160&lt;=64),"",--MID('Key Analysis'!$C156,$A160-64,1))</f>
        <v/>
      </c>
      <c r="BP160" s="29" t="str">
        <f>IF(OR($B160="",$A160&lt;=65),"",--MID('Key Analysis'!$C156,$A160-65,1))</f>
        <v/>
      </c>
      <c r="BQ160" s="29" t="str">
        <f>IF(OR($B160="",$A160&lt;=66),"",--MID('Key Analysis'!$C156,$A160-66,1))</f>
        <v/>
      </c>
      <c r="BR160" s="29" t="str">
        <f>IF(OR($B160="",$A160&lt;=67),"",--MID('Key Analysis'!$C156,$A160-67,1))</f>
        <v/>
      </c>
      <c r="BS160" s="29" t="str">
        <f>IF(OR($B160="",$A160&lt;=68),"",--MID('Key Analysis'!$C156,$A160-68,1))</f>
        <v/>
      </c>
      <c r="BT160" s="29" t="str">
        <f>IF(OR($B160="",$A160&lt;=69),"",--MID('Key Analysis'!$C156,$A160-69,1))</f>
        <v/>
      </c>
      <c r="BU160" s="29" t="str">
        <f>IF(OR($B160="",$A160&lt;=70),"",--MID('Key Analysis'!$C156,$A160-70,1))</f>
        <v/>
      </c>
      <c r="BV160" s="29" t="str">
        <f>IF(OR($B160="",$A160&lt;=71),"",--MID('Key Analysis'!$C156,$A160-71,1))</f>
        <v/>
      </c>
      <c r="BW160" s="29" t="str">
        <f>IF(OR($B160="",$A160&lt;=72),"",--MID('Key Analysis'!$C156,$A160-72,1))</f>
        <v/>
      </c>
      <c r="BX160" s="29" t="str">
        <f>IF(OR($B160="",$A160&lt;=73),"",--MID('Key Analysis'!$C156,$A160-73,1))</f>
        <v/>
      </c>
      <c r="BY160" s="29" t="str">
        <f>IF(OR($B160="",$A160&lt;=74),"",--MID('Key Analysis'!$C156,$A160-74,1))</f>
        <v/>
      </c>
      <c r="BZ160" s="29" t="str">
        <f>IF(OR($B160="",$A160&lt;=75),"",--MID('Key Analysis'!$C156,$A160-75,1))</f>
        <v/>
      </c>
      <c r="CA160" s="29" t="str">
        <f>IF(OR($B160="",$A160&lt;=76),"",--MID('Key Analysis'!$C156,$A160-76,1))</f>
        <v/>
      </c>
      <c r="CB160" s="29" t="str">
        <f>IF(OR($B160="",$A160&lt;=77),"",--MID('Key Analysis'!$C156,$A160-77,1))</f>
        <v/>
      </c>
      <c r="CC160" s="29" t="str">
        <f>IF(OR($B160="",$A160&lt;=78),"",--MID('Key Analysis'!$C156,$A160-78,1))</f>
        <v/>
      </c>
      <c r="CD160" s="29" t="str">
        <f>IF(OR($B160="",$A160&lt;=79),"",--MID('Key Analysis'!$C156,$A160-79,1))</f>
        <v/>
      </c>
      <c r="CE160" s="29" t="str">
        <f>IF(OR($B160="",$A160&lt;=80),"",--MID('Key Analysis'!$C156,$A160-80,1))</f>
        <v/>
      </c>
      <c r="CF160" s="29" t="str">
        <f>IF(OR($B160="",$A160&lt;=81),"",--MID('Key Analysis'!$C156,$A160-81,1))</f>
        <v/>
      </c>
      <c r="CG160" s="29" t="str">
        <f>IF(OR($B160="",$A160&lt;=82),"",--MID('Key Analysis'!$C156,$A160-82,1))</f>
        <v/>
      </c>
      <c r="CH160" s="29" t="str">
        <f>IF(OR($B160="",$A160&lt;=83),"",--MID('Key Analysis'!$C156,$A160-83,1))</f>
        <v/>
      </c>
      <c r="CI160" s="29" t="str">
        <f>IF(OR($B160="",$A160&lt;=84),"",--MID('Key Analysis'!$C156,$A160-84,1))</f>
        <v/>
      </c>
      <c r="CJ160" s="29" t="str">
        <f>IF(OR($B160="",$A160&lt;=85),"",--MID('Key Analysis'!$C156,$A160-85,1))</f>
        <v/>
      </c>
      <c r="CK160" s="29" t="str">
        <f>IF(OR($B160="",$A160&lt;=86),"",--MID('Key Analysis'!$C156,$A160-86,1))</f>
        <v/>
      </c>
      <c r="CL160" s="29" t="str">
        <f>IF(OR($B160="",$A160&lt;=87),"",--MID('Key Analysis'!$C156,$A160-87,1))</f>
        <v/>
      </c>
      <c r="CM160" s="29" t="str">
        <f>IF(OR($B160="",$A160&lt;=88),"",--MID('Key Analysis'!$C156,$A160-88,1))</f>
        <v/>
      </c>
      <c r="CN160" s="29" t="str">
        <f>IF(OR($B160="",$A160&lt;=89),"",--MID('Key Analysis'!$C156,$A160-89,1))</f>
        <v/>
      </c>
      <c r="CO160" s="29" t="str">
        <f>IF(OR($B160="",$A160&lt;=90),"",--MID('Key Analysis'!$C156,$A160-90,1))</f>
        <v/>
      </c>
      <c r="CP160" s="29" t="str">
        <f>IF(OR($B160="",$A160&lt;=91),"",--MID('Key Analysis'!$C156,$A160-91,1))</f>
        <v/>
      </c>
      <c r="CQ160" s="29" t="str">
        <f>IF(OR($B160="",$A160&lt;=92),"",--MID('Key Analysis'!$C156,$A160-92,1))</f>
        <v/>
      </c>
      <c r="CR160" s="29" t="str">
        <f>IF(OR($B160="",$A160&lt;=93),"",--MID('Key Analysis'!$C156,$A160-93,1))</f>
        <v/>
      </c>
      <c r="CS160" s="29" t="str">
        <f>IF(OR($B160="",$A160&lt;=94),"",--MID('Key Analysis'!$C156,$A160-94,1))</f>
        <v/>
      </c>
      <c r="CT160" s="29" t="str">
        <f>IF(OR($B160="",$A160&lt;=95),"",--MID('Key Analysis'!$C156,$A160-95,1))</f>
        <v/>
      </c>
      <c r="CU160" s="29" t="str">
        <f>IF(OR($B160="",$A160&lt;=96),"",--MID('Key Analysis'!$C156,$A160-96,1))</f>
        <v/>
      </c>
      <c r="CV160" s="29" t="str">
        <f>IF(OR($B160="",$A160&lt;=97),"",--MID('Key Analysis'!$C156,$A160-97,1))</f>
        <v/>
      </c>
      <c r="CW160" s="29" t="str">
        <f>IF(OR($B160="",$A160&lt;=98),"",--MID('Key Analysis'!$C156,$A160-98,1))</f>
        <v/>
      </c>
      <c r="CX160" s="29" t="str">
        <f>IF(OR($B160="",$A160&lt;=99),"",--MID('Key Analysis'!$C156,$A160-99,1))</f>
        <v/>
      </c>
      <c r="CY160" s="29" t="str">
        <f>IF(OR($B160="",$A160&lt;=100),"",--MID('Key Analysis'!$C156,$A160-100,1))</f>
        <v/>
      </c>
      <c r="CZ160" s="29" t="str">
        <f>IF(OR($B160="",$A160&lt;=101),"",--MID('Key Analysis'!$C156,$A160-101,1))</f>
        <v/>
      </c>
      <c r="DA160" s="29" t="str">
        <f>IF(OR($B160="",$A160&lt;=102),"",--MID('Key Analysis'!$C156,$A160-102,1))</f>
        <v/>
      </c>
      <c r="DB160" s="29" t="str">
        <f>IF(OR($B160="",$A160&lt;=103),"",--MID('Key Analysis'!$C156,$A160-103,1))</f>
        <v/>
      </c>
      <c r="DC160" s="29" t="str">
        <f>IF(OR($B160="",$A160&lt;=104),"",--MID('Key Analysis'!$C156,$A160-104,1))</f>
        <v/>
      </c>
      <c r="DD160" s="29" t="str">
        <f>IF(OR($B160="",$A160&lt;=105),"",--MID('Key Analysis'!$C156,$A160-105,1))</f>
        <v/>
      </c>
      <c r="DE160" s="29" t="str">
        <f>IF(OR($B160="",$A160&lt;=106),"",--MID('Key Analysis'!$C156,$A160-106,1))</f>
        <v/>
      </c>
      <c r="DF160" s="29" t="str">
        <f>IF(OR($B160="",$A160&lt;=107),"",--MID('Key Analysis'!$C156,$A160-107,1))</f>
        <v/>
      </c>
      <c r="DG160" s="29" t="str">
        <f>IF(OR($B160="",$A160&lt;=108),"",--MID('Key Analysis'!$C156,$A160-108,1))</f>
        <v/>
      </c>
      <c r="DH160" s="29" t="str">
        <f>IF(OR($B160="",$A160&lt;=109),"",--MID('Key Analysis'!$C156,$A160-109,1))</f>
        <v/>
      </c>
      <c r="DI160" s="29" t="str">
        <f>IF(OR($B160="",$A160&lt;=110),"",--MID('Key Analysis'!$C156,$A160-110,1))</f>
        <v/>
      </c>
      <c r="DJ160" s="29" t="str">
        <f>IF(OR($B160="",$A160&lt;=111),"",--MID('Key Analysis'!$C156,$A160-111,1))</f>
        <v/>
      </c>
      <c r="DK160" s="29" t="str">
        <f>IF(OR($B160="",$A160&lt;=112),"",--MID('Key Analysis'!$C156,$A160-112,1))</f>
        <v/>
      </c>
      <c r="DL160" s="29" t="str">
        <f>IF(OR($B160="",$A160&lt;=113),"",--MID('Key Analysis'!$C156,$A160-113,1))</f>
        <v/>
      </c>
      <c r="DM160" s="29" t="str">
        <f>IF(OR($B160="",$A160&lt;=114),"",--MID('Key Analysis'!$C156,$A160-114,1))</f>
        <v/>
      </c>
      <c r="DN160" s="29" t="str">
        <f>IF(OR($B160="",$A160&lt;=115),"",--MID('Key Analysis'!$C156,$A160-115,1))</f>
        <v/>
      </c>
      <c r="DO160" s="29" t="str">
        <f>IF(OR($B160="",$A160&lt;=116),"",--MID('Key Analysis'!$C156,$A160-116,1))</f>
        <v/>
      </c>
      <c r="DP160" s="29" t="str">
        <f>IF(OR($B160="",$A160&lt;=117),"",--MID('Key Analysis'!$C156,$A160-117,1))</f>
        <v/>
      </c>
      <c r="DQ160" s="29" t="str">
        <f>IF(OR($B160="",$A160&lt;=118),"",--MID('Key Analysis'!$C156,$A160-118,1))</f>
        <v/>
      </c>
      <c r="DR160" s="29" t="str">
        <f>IF(OR($B160="",$A160&lt;=119),"",--MID('Key Analysis'!$C156,$A160-119,1))</f>
        <v/>
      </c>
      <c r="DS160" s="29" t="str">
        <f>IF(OR($B160="",$A160&lt;=120),"",--MID('Key Analysis'!$C156,$A160-120,1))</f>
        <v/>
      </c>
      <c r="DT160" s="29" t="str">
        <f>IF(OR($B160="",$A160&lt;=121),"",--MID('Key Analysis'!$C156,$A160-121,1))</f>
        <v/>
      </c>
      <c r="DU160" s="29" t="str">
        <f>IF(OR($B160="",$A160&lt;=122),"",--MID('Key Analysis'!$C156,$A160-122,1))</f>
        <v/>
      </c>
      <c r="DV160" s="29" t="str">
        <f>IF(OR($B160="",$A160&lt;=123),"",--MID('Key Analysis'!$C156,$A160-123,1))</f>
        <v/>
      </c>
      <c r="DW160" s="29" t="str">
        <f>IF(OR($B160="",$A160&lt;=124),"",--MID('Key Analysis'!$C156,$A160-124,1))</f>
        <v/>
      </c>
      <c r="DX160" s="29" t="str">
        <f>IF(OR($B160="",$A160&lt;=125),"",--MID('Key Analysis'!$C156,$A160-125,1))</f>
        <v/>
      </c>
      <c r="DY160" s="29" t="str">
        <f>IF(OR($B160="",$A160&lt;=126),"",--MID('Key Analysis'!$C156,$A160-126,1))</f>
        <v/>
      </c>
      <c r="DZ160" s="29" t="str">
        <f>IF(OR($B160="",$A160&lt;=127),"",--MID('Key Analysis'!$C156,$A160-127,1))</f>
        <v/>
      </c>
      <c r="EA160" s="29" t="str">
        <f>IF(OR($B160="",$A160&lt;=128),"",--MID('Key Analysis'!$C156,$A160-128,1))</f>
        <v/>
      </c>
      <c r="EB160" s="29" t="str">
        <f>IF(OR($B160="",$A160&lt;=129),"",--MID('Key Analysis'!$C156,$A160-129,1))</f>
        <v/>
      </c>
      <c r="EC160" s="29" t="str">
        <f>IF(OR($B160="",$A160&lt;=130),"",--MID('Key Analysis'!$C156,$A160-130,1))</f>
        <v/>
      </c>
      <c r="ED160" s="29" t="str">
        <f>IF(OR($B160="",$A160&lt;=131),"",--MID('Key Analysis'!$C156,$A160-131,1))</f>
        <v/>
      </c>
      <c r="EE160" s="29" t="str">
        <f>IF(OR($B160="",$A160&lt;=132),"",--MID('Key Analysis'!$C156,$A160-132,1))</f>
        <v/>
      </c>
      <c r="EF160" s="29" t="str">
        <f>IF(OR($B160="",$A160&lt;=133),"",--MID('Key Analysis'!$C156,$A160-133,1))</f>
        <v/>
      </c>
      <c r="EG160" s="29" t="str">
        <f>IF(OR($B160="",$A160&lt;=134),"",--MID('Key Analysis'!$C156,$A160-134,1))</f>
        <v/>
      </c>
      <c r="EH160" s="29"/>
      <c r="EI160" s="29" t="str">
        <f>IF(OR($B160="",$A160&lt;1),"",--MID('Key Analysis'!$C156,1,1))</f>
        <v/>
      </c>
      <c r="EJ160" s="29" t="str">
        <f>IF(OR($B160="",$A160&lt;2),"",--MID('Key Analysis'!$C156,2,1))</f>
        <v/>
      </c>
      <c r="EK160" s="29" t="str">
        <f>IF(OR($B160="",$A160&lt;3),"",--MID('Key Analysis'!$C156,3,1))</f>
        <v/>
      </c>
      <c r="EL160" s="29" t="str">
        <f>IF(OR($B160="",$A160&lt;4),"",--MID('Key Analysis'!$C156,4,1))</f>
        <v/>
      </c>
      <c r="EM160" s="29" t="str">
        <f>IF(OR($B160="",$A160&lt;5),"",--MID('Key Analysis'!$C156,5,1))</f>
        <v/>
      </c>
      <c r="EN160" s="29" t="str">
        <f>IF(OR($B160="",$A160&lt;6),"",--MID('Key Analysis'!$C156,6,1))</f>
        <v/>
      </c>
      <c r="EO160" s="29" t="str">
        <f>IF(OR($B160="",$A160&lt;7),"",--MID('Key Analysis'!$C156,7,1))</f>
        <v/>
      </c>
      <c r="EP160" s="29" t="str">
        <f>IF(OR($B160="",$A160&lt;8),"",--MID('Key Analysis'!$C156,8,1))</f>
        <v/>
      </c>
      <c r="EQ160" s="29" t="str">
        <f>IF(OR($B160="",$A160&lt;9),"",--MID('Key Analysis'!$C156,9,1))</f>
        <v/>
      </c>
      <c r="ER160" s="29" t="str">
        <f>IF(OR($B160="",$A160&lt;10),"",--MID('Key Analysis'!$C156,10,1))</f>
        <v/>
      </c>
      <c r="ES160" s="29" t="str">
        <f>IF(OR($B160="",$A160&lt;11),"",--MID('Key Analysis'!$C156,11,1))</f>
        <v/>
      </c>
      <c r="ET160" s="29" t="str">
        <f>IF(OR($B160="",$A160&lt;12),"",--MID('Key Analysis'!$C156,12,1))</f>
        <v/>
      </c>
      <c r="EU160" s="29" t="str">
        <f>IF(OR($B160="",$A160&lt;13),"",--MID('Key Analysis'!$C156,13,1))</f>
        <v/>
      </c>
      <c r="EV160" s="29" t="str">
        <f>IF(OR($B160="",$A160&lt;14),"",--MID('Key Analysis'!$C156,14,1))</f>
        <v/>
      </c>
      <c r="EW160" s="29" t="str">
        <f>IF(OR($B160="",$A160&lt;15),"",--MID('Key Analysis'!$C156,15,1))</f>
        <v/>
      </c>
      <c r="EX160" s="29" t="str">
        <f>IF(OR($B160="",$A160&lt;16),"",--MID('Key Analysis'!$C156,16,1))</f>
        <v/>
      </c>
      <c r="EY160" s="29" t="str">
        <f>IF(OR($B160="",$A160&lt;17),"",--MID('Key Analysis'!$C156,17,1))</f>
        <v/>
      </c>
      <c r="EZ160" s="29" t="str">
        <f>IF(OR($B160="",$A160&lt;18),"",--MID('Key Analysis'!$C156,18,1))</f>
        <v/>
      </c>
      <c r="FA160" s="29" t="str">
        <f>IF(OR($B160="",$A160&lt;19),"",--MID('Key Analysis'!$C156,19,1))</f>
        <v/>
      </c>
      <c r="FB160" s="29" t="str">
        <f>IF(OR($B160="",$A160&lt;20),"",--MID('Key Analysis'!$C156,20,1))</f>
        <v/>
      </c>
      <c r="FC160" s="29" t="str">
        <f>IF(OR($B160="",$A160&lt;21),"",--MID('Key Analysis'!$C156,21,1))</f>
        <v/>
      </c>
      <c r="FD160" s="29" t="str">
        <f>IF(OR($B160="",$A160&lt;22),"",--MID('Key Analysis'!$C156,22,1))</f>
        <v/>
      </c>
      <c r="FE160" s="29" t="str">
        <f>IF(OR($B160="",$A160&lt;23),"",--MID('Key Analysis'!$C156,23,1))</f>
        <v/>
      </c>
      <c r="FF160" s="29" t="str">
        <f>IF(OR($B160="",$A160&lt;24),"",--MID('Key Analysis'!$C156,24,1))</f>
        <v/>
      </c>
      <c r="FG160" s="29" t="str">
        <f>IF(OR($B160="",$A160&lt;25),"",--MID('Key Analysis'!$C156,25,1))</f>
        <v/>
      </c>
      <c r="FH160" s="29" t="str">
        <f>IF(OR($B160="",$A160&lt;26),"",--MID('Key Analysis'!$C156,26,1))</f>
        <v/>
      </c>
      <c r="FI160" s="29" t="str">
        <f>IF(OR($B160="",$A160&lt;27),"",--MID('Key Analysis'!$C156,27,1))</f>
        <v/>
      </c>
      <c r="FJ160" s="29" t="str">
        <f>IF(OR($B160="",$A160&lt;28),"",--MID('Key Analysis'!$C156,28,1))</f>
        <v/>
      </c>
      <c r="FK160" s="29" t="str">
        <f>IF(OR($B160="",$A160&lt;29),"",--MID('Key Analysis'!$C156,29,1))</f>
        <v/>
      </c>
      <c r="FL160" s="29" t="str">
        <f>IF(OR($B160="",$A160&lt;30),"",--MID('Key Analysis'!$C156,30,1))</f>
        <v/>
      </c>
      <c r="FM160" s="29" t="str">
        <f>IF(OR($B160="",$A160&lt;31),"",--MID('Key Analysis'!$C156,31,1))</f>
        <v/>
      </c>
      <c r="FN160" s="29" t="str">
        <f>IF(OR($B160="",$A160&lt;32),"",--MID('Key Analysis'!$C156,32,1))</f>
        <v/>
      </c>
      <c r="FO160" s="29" t="str">
        <f>IF(OR($B160="",$A160&lt;33),"",--MID('Key Analysis'!$C156,33,1))</f>
        <v/>
      </c>
      <c r="FP160" s="29" t="str">
        <f>IF(OR($B160="",$A160&lt;34),"",--MID('Key Analysis'!$C156,34,1))</f>
        <v/>
      </c>
      <c r="FQ160" s="29" t="str">
        <f>IF(OR($B160="",$A160&lt;35),"",--MID('Key Analysis'!$C156,35,1))</f>
        <v/>
      </c>
      <c r="FR160" s="29" t="str">
        <f>IF(OR($B160="",$A160&lt;36),"",--MID('Key Analysis'!$C156,36,1))</f>
        <v/>
      </c>
      <c r="FS160" s="29" t="str">
        <f>IF(OR($B160="",$A160&lt;37),"",--MID('Key Analysis'!$C156,37,1))</f>
        <v/>
      </c>
      <c r="FT160" s="29" t="str">
        <f>IF(OR($B160="",$A160&lt;38),"",--MID('Key Analysis'!$C156,38,1))</f>
        <v/>
      </c>
      <c r="FU160" s="29" t="str">
        <f>IF(OR($B160="",$A160&lt;39),"",--MID('Key Analysis'!$C156,39,1))</f>
        <v/>
      </c>
      <c r="FV160" s="29" t="str">
        <f>IF(OR($B160="",$A160&lt;40),"",--MID('Key Analysis'!$C156,40,1))</f>
        <v/>
      </c>
      <c r="FW160" s="29" t="str">
        <f>IF(OR($B160="",$A160&lt;41),"",--MID('Key Analysis'!$C156,41,1))</f>
        <v/>
      </c>
      <c r="FX160" s="29" t="str">
        <f>IF(OR($B160="",$A160&lt;42),"",--MID('Key Analysis'!$C156,42,1))</f>
        <v/>
      </c>
      <c r="FY160" s="29" t="str">
        <f>IF(OR($B160="",$A160&lt;43),"",--MID('Key Analysis'!$C156,43,1))</f>
        <v/>
      </c>
      <c r="FZ160" s="29" t="str">
        <f>IF(OR($B160="",$A160&lt;44),"",--MID('Key Analysis'!$C156,44,1))</f>
        <v/>
      </c>
      <c r="GA160" s="29" t="str">
        <f>IF(OR($B160="",$A160&lt;45),"",--MID('Key Analysis'!$C156,45,1))</f>
        <v/>
      </c>
      <c r="GB160" s="29" t="str">
        <f>IF(OR($B160="",$A160&lt;46),"",--MID('Key Analysis'!$C156,46,1))</f>
        <v/>
      </c>
      <c r="GC160" s="29" t="str">
        <f>IF(OR($B160="",$A160&lt;47),"",--MID('Key Analysis'!$C156,47,1))</f>
        <v/>
      </c>
      <c r="GD160" s="29" t="str">
        <f>IF(OR($B160="",$A160&lt;48),"",--MID('Key Analysis'!$C156,48,1))</f>
        <v/>
      </c>
      <c r="GE160" s="29" t="str">
        <f>IF(OR($B160="",$A160&lt;49),"",--MID('Key Analysis'!$C156,49,1))</f>
        <v/>
      </c>
      <c r="GF160" s="29" t="str">
        <f>IF(OR($B160="",$A160&lt;50),"",--MID('Key Analysis'!$C156,50,1))</f>
        <v/>
      </c>
      <c r="GG160" s="29" t="str">
        <f>IF(OR($B160="",$A160&lt;51),"",--MID('Key Analysis'!$C156,51,1))</f>
        <v/>
      </c>
      <c r="GH160" s="29" t="str">
        <f>IF(OR($B160="",$A160&lt;52),"",--MID('Key Analysis'!$C156,52,1))</f>
        <v/>
      </c>
      <c r="GI160" s="29" t="str">
        <f>IF(OR($B160="",$A160&lt;53),"",--MID('Key Analysis'!$C156,53,1))</f>
        <v/>
      </c>
      <c r="GJ160" s="29" t="str">
        <f>IF(OR($B160="",$A160&lt;54),"",--MID('Key Analysis'!$C156,54,1))</f>
        <v/>
      </c>
      <c r="GK160" s="29" t="str">
        <f>IF(OR($B160="",$A160&lt;55),"",--MID('Key Analysis'!$C156,55,1))</f>
        <v/>
      </c>
      <c r="GL160" s="29" t="str">
        <f>IF(OR($B160="",$A160&lt;56),"",--MID('Key Analysis'!$C156,56,1))</f>
        <v/>
      </c>
      <c r="GM160" s="29" t="str">
        <f>IF(OR($B160="",$A160&lt;57),"",--MID('Key Analysis'!$C156,57,1))</f>
        <v/>
      </c>
      <c r="GN160" s="29" t="str">
        <f>IF(OR($B160="",$A160&lt;58),"",--MID('Key Analysis'!$C156,58,1))</f>
        <v/>
      </c>
      <c r="GO160" s="29" t="str">
        <f>IF(OR($B160="",$A160&lt;59),"",--MID('Key Analysis'!$C156,59,1))</f>
        <v/>
      </c>
      <c r="GP160" s="29" t="str">
        <f>IF(OR($B160="",$A160&lt;60),"",--MID('Key Analysis'!$C156,60,1))</f>
        <v/>
      </c>
      <c r="GQ160" s="29" t="str">
        <f>IF(OR($B160="",$A160&lt;61),"",--MID('Key Analysis'!$C156,61,1))</f>
        <v/>
      </c>
      <c r="GR160" s="29" t="str">
        <f>IF(OR($B160="",$A160&lt;62),"",--MID('Key Analysis'!$C156,62,1))</f>
        <v/>
      </c>
      <c r="GS160" s="29" t="str">
        <f>IF(OR($B160="",$A160&lt;63),"",--MID('Key Analysis'!$C156,63,1))</f>
        <v/>
      </c>
      <c r="GT160" s="29" t="str">
        <f>IF(OR($B160="",$A160&lt;64),"",--MID('Key Analysis'!$C156,64,1))</f>
        <v/>
      </c>
      <c r="GU160" s="29" t="str">
        <f>IF(OR($B160="",$A160&lt;65),"",--MID('Key Analysis'!$C156,65,1))</f>
        <v/>
      </c>
      <c r="GV160" s="29" t="str">
        <f>IF(OR($B160="",$A160&lt;66),"",--MID('Key Analysis'!$C156,66,1))</f>
        <v/>
      </c>
      <c r="GW160" s="29" t="str">
        <f>IF(OR($B160="",$A160&lt;67),"",--MID('Key Analysis'!$C156,67,1))</f>
        <v/>
      </c>
      <c r="GX160" s="29" t="str">
        <f>IF(OR($B160="",$A160&lt;68),"",--MID('Key Analysis'!$C156,68,1))</f>
        <v/>
      </c>
      <c r="GY160" s="29" t="str">
        <f>IF(OR($B160="",$A160&lt;69),"",--MID('Key Analysis'!$C156,69,1))</f>
        <v/>
      </c>
      <c r="GZ160" s="29" t="str">
        <f>IF(OR($B160="",$A160&lt;70),"",--MID('Key Analysis'!$C156,70,1))</f>
        <v/>
      </c>
      <c r="HA160" s="29" t="str">
        <f>IF(OR($B160="",$A160&lt;71),"",--MID('Key Analysis'!$C156,71,1))</f>
        <v/>
      </c>
      <c r="HB160" s="29" t="str">
        <f>IF(OR($B160="",$A160&lt;72),"",--MID('Key Analysis'!$C156,72,1))</f>
        <v/>
      </c>
      <c r="HC160" s="29" t="str">
        <f>IF(OR($B160="",$A160&lt;73),"",--MID('Key Analysis'!$C156,73,1))</f>
        <v/>
      </c>
      <c r="HD160" s="29" t="str">
        <f>IF(OR($B160="",$A160&lt;74),"",--MID('Key Analysis'!$C156,74,1))</f>
        <v/>
      </c>
      <c r="HE160" s="29" t="str">
        <f>IF(OR($B160="",$A160&lt;75),"",--MID('Key Analysis'!$C156,75,1))</f>
        <v/>
      </c>
      <c r="HF160" s="29" t="str">
        <f>IF(OR($B160="",$A160&lt;76),"",--MID('Key Analysis'!$C156,76,1))</f>
        <v/>
      </c>
      <c r="HG160" s="29" t="str">
        <f>IF(OR($B160="",$A160&lt;77),"",--MID('Key Analysis'!$C156,77,1))</f>
        <v/>
      </c>
      <c r="HH160" s="29" t="str">
        <f>IF(OR($B160="",$A160&lt;78),"",--MID('Key Analysis'!$C156,78,1))</f>
        <v/>
      </c>
      <c r="HI160" s="29" t="str">
        <f>IF(OR($B160="",$A160&lt;79),"",--MID('Key Analysis'!$C156,79,1))</f>
        <v/>
      </c>
      <c r="HJ160" s="29" t="str">
        <f>IF(OR($B160="",$A160&lt;80),"",--MID('Key Analysis'!$C156,80,1))</f>
        <v/>
      </c>
      <c r="HK160" s="29" t="str">
        <f>IF(OR($B160="",$A160&lt;81),"",--MID('Key Analysis'!$C156,81,1))</f>
        <v/>
      </c>
      <c r="HL160" s="29" t="str">
        <f>IF(OR($B160="",$A160&lt;82),"",--MID('Key Analysis'!$C156,82,1))</f>
        <v/>
      </c>
      <c r="HM160" s="29" t="str">
        <f>IF(OR($B160="",$A160&lt;83),"",--MID('Key Analysis'!$C156,83,1))</f>
        <v/>
      </c>
      <c r="HN160" s="29" t="str">
        <f>IF(OR($B160="",$A160&lt;84),"",--MID('Key Analysis'!$C156,84,1))</f>
        <v/>
      </c>
      <c r="HO160" s="29" t="str">
        <f>IF(OR($B160="",$A160&lt;85),"",--MID('Key Analysis'!$C156,85,1))</f>
        <v/>
      </c>
      <c r="HP160" s="29" t="str">
        <f>IF(OR($B160="",$A160&lt;86),"",--MID('Key Analysis'!$C156,86,1))</f>
        <v/>
      </c>
      <c r="HQ160" s="29" t="str">
        <f>IF(OR($B160="",$A160&lt;87),"",--MID('Key Analysis'!$C156,87,1))</f>
        <v/>
      </c>
      <c r="HR160" s="29" t="str">
        <f>IF(OR($B160="",$A160&lt;88),"",--MID('Key Analysis'!$C156,88,1))</f>
        <v/>
      </c>
      <c r="HS160" s="29" t="str">
        <f>IF(OR($B160="",$A160&lt;89),"",--MID('Key Analysis'!$C156,89,1))</f>
        <v/>
      </c>
      <c r="HT160" s="29" t="str">
        <f>IF(OR($B160="",$A160&lt;90),"",--MID('Key Analysis'!$C156,90,1))</f>
        <v/>
      </c>
      <c r="HU160" s="29" t="str">
        <f>IF(OR($B160="",$A160&lt;91),"",--MID('Key Analysis'!$C156,91,1))</f>
        <v/>
      </c>
      <c r="HV160" s="29" t="str">
        <f>IF(OR($B160="",$A160&lt;92),"",--MID('Key Analysis'!$C156,92,1))</f>
        <v/>
      </c>
      <c r="HW160" s="29" t="str">
        <f>IF(OR($B160="",$A160&lt;93),"",--MID('Key Analysis'!$C156,93,1))</f>
        <v/>
      </c>
      <c r="HX160" s="29" t="str">
        <f>IF(OR($B160="",$A160&lt;94),"",--MID('Key Analysis'!$C156,94,1))</f>
        <v/>
      </c>
      <c r="HY160" s="29" t="str">
        <f>IF(OR($B160="",$A160&lt;95),"",--MID('Key Analysis'!$C156,95,1))</f>
        <v/>
      </c>
      <c r="HZ160" s="29" t="str">
        <f>IF(OR($B160="",$A160&lt;96),"",--MID('Key Analysis'!$C156,96,1))</f>
        <v/>
      </c>
      <c r="IA160" s="29" t="str">
        <f>IF(OR($B160="",$A160&lt;97),"",--MID('Key Analysis'!$C156,97,1))</f>
        <v/>
      </c>
      <c r="IB160" s="29" t="str">
        <f>IF(OR($B160="",$A160&lt;98),"",--MID('Key Analysis'!$C156,98,1))</f>
        <v/>
      </c>
      <c r="IC160" s="29" t="str">
        <f>IF(OR($B160="",$A160&lt;99),"",--MID('Key Analysis'!$C156,99,1))</f>
        <v/>
      </c>
      <c r="ID160" s="29" t="str">
        <f>IF(OR($B160="",$A160&lt;100),"",--MID('Key Analysis'!$C156,100,1))</f>
        <v/>
      </c>
      <c r="IE160" s="29" t="str">
        <f>IF(OR($B160="",$A160&lt;101),"",--MID('Key Analysis'!$C156,101,1))</f>
        <v/>
      </c>
      <c r="IF160" s="29" t="str">
        <f>IF(OR($B160="",$A160&lt;102),"",--MID('Key Analysis'!$C156,102,1))</f>
        <v/>
      </c>
      <c r="IG160" s="29" t="str">
        <f>IF(OR($B160="",$A160&lt;103),"",--MID('Key Analysis'!$C156,103,1))</f>
        <v/>
      </c>
      <c r="IH160" s="29" t="str">
        <f>IF(OR($B160="",$A160&lt;104),"",--MID('Key Analysis'!$C156,104,1))</f>
        <v/>
      </c>
      <c r="II160" s="29" t="str">
        <f>IF(OR($B160="",$A160&lt;105),"",--MID('Key Analysis'!$C156,105,1))</f>
        <v/>
      </c>
      <c r="IJ160" s="29" t="str">
        <f>IF(OR($B160="",$A160&lt;106),"",--MID('Key Analysis'!$C156,106,1))</f>
        <v/>
      </c>
      <c r="IK160" s="29" t="str">
        <f>IF(OR($B160="",$A160&lt;107),"",--MID('Key Analysis'!$C156,107,1))</f>
        <v/>
      </c>
      <c r="IL160" s="29" t="str">
        <f>IF(OR($B160="",$A160&lt;108),"",--MID('Key Analysis'!$C156,108,1))</f>
        <v/>
      </c>
      <c r="IM160" s="29" t="str">
        <f>IF(OR($B160="",$A160&lt;109),"",--MID('Key Analysis'!$C156,109,1))</f>
        <v/>
      </c>
      <c r="IN160" s="29" t="str">
        <f>IF(OR($B160="",$A160&lt;110),"",--MID('Key Analysis'!$C156,110,1))</f>
        <v/>
      </c>
      <c r="IO160" s="29" t="str">
        <f>IF(OR($B160="",$A160&lt;111),"",--MID('Key Analysis'!$C156,111,1))</f>
        <v/>
      </c>
      <c r="IP160" s="29" t="str">
        <f>IF(OR($B160="",$A160&lt;112),"",--MID('Key Analysis'!$C156,112,1))</f>
        <v/>
      </c>
      <c r="IQ160" s="29" t="str">
        <f>IF(OR($B160="",$A160&lt;113),"",--MID('Key Analysis'!$C156,113,1))</f>
        <v/>
      </c>
      <c r="IR160" s="29" t="str">
        <f>IF(OR($B160="",$A160&lt;114),"",--MID('Key Analysis'!$C156,114,1))</f>
        <v/>
      </c>
      <c r="IS160" s="29" t="str">
        <f>IF(OR($B160="",$A160&lt;115),"",--MID('Key Analysis'!$C156,115,1))</f>
        <v/>
      </c>
      <c r="IT160" s="29" t="str">
        <f>IF(OR($B160="",$A160&lt;116),"",--MID('Key Analysis'!$C156,116,1))</f>
        <v/>
      </c>
      <c r="IU160" s="29" t="str">
        <f>IF(OR($B160="",$A160&lt;117),"",--MID('Key Analysis'!$C156,117,1))</f>
        <v/>
      </c>
      <c r="IV160" s="29" t="str">
        <f>IF(OR($B160="",$A160&lt;118),"",--MID('Key Analysis'!$C156,118,1))</f>
        <v/>
      </c>
      <c r="IW160" s="29" t="str">
        <f>IF(OR($B160="",$A160&lt;119),"",--MID('Key Analysis'!$C156,119,1))</f>
        <v/>
      </c>
      <c r="IX160" s="29" t="str">
        <f>IF(OR($B160="",$A160&lt;120),"",--MID('Key Analysis'!$C156,120,1))</f>
        <v/>
      </c>
      <c r="IY160" s="29" t="str">
        <f>IF(OR($B160="",$A160&lt;121),"",--MID('Key Analysis'!$C156,121,1))</f>
        <v/>
      </c>
      <c r="IZ160" s="29" t="str">
        <f>IF(OR($B160="",$A160&lt;122),"",--MID('Key Analysis'!$C156,122,1))</f>
        <v/>
      </c>
      <c r="JA160" s="29" t="str">
        <f>IF(OR($B160="",$A160&lt;123),"",--MID('Key Analysis'!$C156,123,1))</f>
        <v/>
      </c>
      <c r="JB160" s="29" t="str">
        <f>IF(OR($B160="",$A160&lt;124),"",--MID('Key Analysis'!$C156,124,1))</f>
        <v/>
      </c>
      <c r="JC160" s="29" t="str">
        <f>IF(OR($B160="",$A160&lt;125),"",--MID('Key Analysis'!$C156,125,1))</f>
        <v/>
      </c>
      <c r="JD160" s="29" t="str">
        <f>IF(OR($B160="",$A160&lt;126),"",--MID('Key Analysis'!$C156,126,1))</f>
        <v/>
      </c>
      <c r="JE160" s="29" t="str">
        <f>IF(OR($B160="",$A160&lt;127),"",--MID('Key Analysis'!$C156,127,1))</f>
        <v/>
      </c>
      <c r="JF160" s="29" t="str">
        <f>IF(OR($B160="",$A160&lt;128),"",--MID('Key Analysis'!$C156,128,1))</f>
        <v/>
      </c>
      <c r="JG160" s="29" t="str">
        <f>IF(OR($B160="",$A160&lt;129),"",--MID('Key Analysis'!$C156,129,1))</f>
        <v/>
      </c>
      <c r="JH160" s="29" t="str">
        <f>IF(OR($B160="",$A160&lt;130),"",--MID('Key Analysis'!$C156,130,1))</f>
        <v/>
      </c>
      <c r="JI160" s="29" t="str">
        <f>IF(OR($B160="",$A160&lt;131),"",--MID('Key Analysis'!$C156,131,1))</f>
        <v/>
      </c>
      <c r="JJ160" s="29" t="str">
        <f>IF(OR($B160="",$A160&lt;132),"",--MID('Key Analysis'!$C156,132,1))</f>
        <v/>
      </c>
      <c r="JK160" s="29" t="str">
        <f>IF(OR($B160="",$A160&lt;133),"",--MID('Key Analysis'!$C156,133,1))</f>
        <v/>
      </c>
      <c r="JL160" s="29" t="str">
        <f>IF(OR($B160="",$A160&lt;134),"",--MID('Key Analysis'!$C156,134,1))</f>
        <v/>
      </c>
      <c r="JM160" s="29" t="str">
        <f>IF(OR($B160="",$A160&lt;135),"",--MID('Key Analysis'!$C156,135,1))</f>
        <v/>
      </c>
    </row>
    <row r="161" spans="1:273" x14ac:dyDescent="0.25">
      <c r="A161" s="21">
        <f>'Key Analysis'!A157</f>
        <v>156</v>
      </c>
      <c r="B161" s="30" t="str">
        <f>'Key Analysis'!B157</f>
        <v/>
      </c>
      <c r="C161" s="29" t="str">
        <f>IF(OR($B161="",$A161&lt;=0),"",--MID('Key Analysis'!$C157,$A161-0,1))</f>
        <v/>
      </c>
      <c r="D161" s="29" t="str">
        <f>IF(OR($B161="",$A161&lt;=1),"",--MID('Key Analysis'!$C157,$A161-1,1))</f>
        <v/>
      </c>
      <c r="E161" s="29" t="str">
        <f>IF(OR($B161="",$A161&lt;=2),"",--MID('Key Analysis'!$C157,$A161-2,1))</f>
        <v/>
      </c>
      <c r="F161" s="29" t="str">
        <f>IF(OR($B161="",$A161&lt;=3),"",--MID('Key Analysis'!$C157,$A161-3,1))</f>
        <v/>
      </c>
      <c r="G161" s="29" t="str">
        <f>IF(OR($B161="",$A161&lt;=4),"",--MID('Key Analysis'!$C157,$A161-4,1))</f>
        <v/>
      </c>
      <c r="H161" s="29" t="str">
        <f>IF(OR($B161="",$A161&lt;=5),"",--MID('Key Analysis'!$C157,$A161-5,1))</f>
        <v/>
      </c>
      <c r="I161" s="29" t="str">
        <f>IF(OR($B161="",$A161&lt;=6),"",--MID('Key Analysis'!$C157,$A161-6,1))</f>
        <v/>
      </c>
      <c r="J161" s="29" t="str">
        <f>IF(OR($B161="",$A161&lt;=7),"",--MID('Key Analysis'!$C157,$A161-7,1))</f>
        <v/>
      </c>
      <c r="K161" s="29" t="str">
        <f>IF(OR($B161="",$A161&lt;=8),"",--MID('Key Analysis'!$C157,$A161-8,1))</f>
        <v/>
      </c>
      <c r="L161" s="29" t="str">
        <f>IF(OR($B161="",$A161&lt;=9),"",--MID('Key Analysis'!$C157,$A161-9,1))</f>
        <v/>
      </c>
      <c r="M161" s="29" t="str">
        <f>IF(OR($B161="",$A161&lt;=10),"",--MID('Key Analysis'!$C157,$A161-10,1))</f>
        <v/>
      </c>
      <c r="N161" s="29" t="str">
        <f>IF(OR($B161="",$A161&lt;=11),"",--MID('Key Analysis'!$C157,$A161-11,1))</f>
        <v/>
      </c>
      <c r="O161" s="29" t="str">
        <f>IF(OR($B161="",$A161&lt;=12),"",--MID('Key Analysis'!$C157,$A161-12,1))</f>
        <v/>
      </c>
      <c r="P161" s="29" t="str">
        <f>IF(OR($B161="",$A161&lt;=13),"",--MID('Key Analysis'!$C157,$A161-13,1))</f>
        <v/>
      </c>
      <c r="Q161" s="29" t="str">
        <f>IF(OR($B161="",$A161&lt;=14),"",--MID('Key Analysis'!$C157,$A161-14,1))</f>
        <v/>
      </c>
      <c r="R161" s="29" t="str">
        <f>IF(OR($B161="",$A161&lt;=15),"",--MID('Key Analysis'!$C157,$A161-15,1))</f>
        <v/>
      </c>
      <c r="S161" s="29" t="str">
        <f>IF(OR($B161="",$A161&lt;=16),"",--MID('Key Analysis'!$C157,$A161-16,1))</f>
        <v/>
      </c>
      <c r="T161" s="29" t="str">
        <f>IF(OR($B161="",$A161&lt;=17),"",--MID('Key Analysis'!$C157,$A161-17,1))</f>
        <v/>
      </c>
      <c r="U161" s="29" t="str">
        <f>IF(OR($B161="",$A161&lt;=18),"",--MID('Key Analysis'!$C157,$A161-18,1))</f>
        <v/>
      </c>
      <c r="V161" s="29" t="str">
        <f>IF(OR($B161="",$A161&lt;=19),"",--MID('Key Analysis'!$C157,$A161-19,1))</f>
        <v/>
      </c>
      <c r="W161" s="29" t="str">
        <f>IF(OR($B161="",$A161&lt;=20),"",--MID('Key Analysis'!$C157,$A161-20,1))</f>
        <v/>
      </c>
      <c r="X161" s="29" t="str">
        <f>IF(OR($B161="",$A161&lt;=21),"",--MID('Key Analysis'!$C157,$A161-21,1))</f>
        <v/>
      </c>
      <c r="Y161" s="29" t="str">
        <f>IF(OR($B161="",$A161&lt;=22),"",--MID('Key Analysis'!$C157,$A161-22,1))</f>
        <v/>
      </c>
      <c r="Z161" s="29" t="str">
        <f>IF(OR($B161="",$A161&lt;=23),"",--MID('Key Analysis'!$C157,$A161-23,1))</f>
        <v/>
      </c>
      <c r="AA161" s="29" t="str">
        <f>IF(OR($B161="",$A161&lt;=24),"",--MID('Key Analysis'!$C157,$A161-24,1))</f>
        <v/>
      </c>
      <c r="AB161" s="29" t="str">
        <f>IF(OR($B161="",$A161&lt;=25),"",--MID('Key Analysis'!$C157,$A161-25,1))</f>
        <v/>
      </c>
      <c r="AC161" s="29" t="str">
        <f>IF(OR($B161="",$A161&lt;=26),"",--MID('Key Analysis'!$C157,$A161-26,1))</f>
        <v/>
      </c>
      <c r="AD161" s="29" t="str">
        <f>IF(OR($B161="",$A161&lt;=27),"",--MID('Key Analysis'!$C157,$A161-27,1))</f>
        <v/>
      </c>
      <c r="AE161" s="29" t="str">
        <f>IF(OR($B161="",$A161&lt;=28),"",--MID('Key Analysis'!$C157,$A161-28,1))</f>
        <v/>
      </c>
      <c r="AF161" s="29" t="str">
        <f>IF(OR($B161="",$A161&lt;=29),"",--MID('Key Analysis'!$C157,$A161-29,1))</f>
        <v/>
      </c>
      <c r="AG161" s="29" t="str">
        <f>IF(OR($B161="",$A161&lt;=30),"",--MID('Key Analysis'!$C157,$A161-30,1))</f>
        <v/>
      </c>
      <c r="AH161" s="29" t="str">
        <f>IF(OR($B161="",$A161&lt;=31),"",--MID('Key Analysis'!$C157,$A161-31,1))</f>
        <v/>
      </c>
      <c r="AI161" s="29" t="str">
        <f>IF(OR($B161="",$A161&lt;=32),"",--MID('Key Analysis'!$C157,$A161-32,1))</f>
        <v/>
      </c>
      <c r="AJ161" s="29" t="str">
        <f>IF(OR($B161="",$A161&lt;=33),"",--MID('Key Analysis'!$C157,$A161-33,1))</f>
        <v/>
      </c>
      <c r="AK161" s="29" t="str">
        <f>IF(OR($B161="",$A161&lt;=34),"",--MID('Key Analysis'!$C157,$A161-34,1))</f>
        <v/>
      </c>
      <c r="AL161" s="29" t="str">
        <f>IF(OR($B161="",$A161&lt;=35),"",--MID('Key Analysis'!$C157,$A161-35,1))</f>
        <v/>
      </c>
      <c r="AM161" s="29" t="str">
        <f>IF(OR($B161="",$A161&lt;=36),"",--MID('Key Analysis'!$C157,$A161-36,1))</f>
        <v/>
      </c>
      <c r="AN161" s="29" t="str">
        <f>IF(OR($B161="",$A161&lt;=37),"",--MID('Key Analysis'!$C157,$A161-37,1))</f>
        <v/>
      </c>
      <c r="AO161" s="29" t="str">
        <f>IF(OR($B161="",$A161&lt;=38),"",--MID('Key Analysis'!$C157,$A161-38,1))</f>
        <v/>
      </c>
      <c r="AP161" s="29" t="str">
        <f>IF(OR($B161="",$A161&lt;=39),"",--MID('Key Analysis'!$C157,$A161-39,1))</f>
        <v/>
      </c>
      <c r="AQ161" s="29" t="str">
        <f>IF(OR($B161="",$A161&lt;=40),"",--MID('Key Analysis'!$C157,$A161-40,1))</f>
        <v/>
      </c>
      <c r="AR161" s="29" t="str">
        <f>IF(OR($B161="",$A161&lt;=41),"",--MID('Key Analysis'!$C157,$A161-41,1))</f>
        <v/>
      </c>
      <c r="AS161" s="29" t="str">
        <f>IF(OR($B161="",$A161&lt;=42),"",--MID('Key Analysis'!$C157,$A161-42,1))</f>
        <v/>
      </c>
      <c r="AT161" s="29" t="str">
        <f>IF(OR($B161="",$A161&lt;=43),"",--MID('Key Analysis'!$C157,$A161-43,1))</f>
        <v/>
      </c>
      <c r="AU161" s="29" t="str">
        <f>IF(OR($B161="",$A161&lt;=44),"",--MID('Key Analysis'!$C157,$A161-44,1))</f>
        <v/>
      </c>
      <c r="AV161" s="29" t="str">
        <f>IF(OR($B161="",$A161&lt;=45),"",--MID('Key Analysis'!$C157,$A161-45,1))</f>
        <v/>
      </c>
      <c r="AW161" s="29" t="str">
        <f>IF(OR($B161="",$A161&lt;=46),"",--MID('Key Analysis'!$C157,$A161-46,1))</f>
        <v/>
      </c>
      <c r="AX161" s="29" t="str">
        <f>IF(OR($B161="",$A161&lt;=47),"",--MID('Key Analysis'!$C157,$A161-47,1))</f>
        <v/>
      </c>
      <c r="AY161" s="29" t="str">
        <f>IF(OR($B161="",$A161&lt;=48),"",--MID('Key Analysis'!$C157,$A161-48,1))</f>
        <v/>
      </c>
      <c r="AZ161" s="29" t="str">
        <f>IF(OR($B161="",$A161&lt;=49),"",--MID('Key Analysis'!$C157,$A161-49,1))</f>
        <v/>
      </c>
      <c r="BA161" s="29" t="str">
        <f>IF(OR($B161="",$A161&lt;=50),"",--MID('Key Analysis'!$C157,$A161-50,1))</f>
        <v/>
      </c>
      <c r="BB161" s="29" t="str">
        <f>IF(OR($B161="",$A161&lt;=51),"",--MID('Key Analysis'!$C157,$A161-51,1))</f>
        <v/>
      </c>
      <c r="BC161" s="29" t="str">
        <f>IF(OR($B161="",$A161&lt;=52),"",--MID('Key Analysis'!$C157,$A161-52,1))</f>
        <v/>
      </c>
      <c r="BD161" s="29" t="str">
        <f>IF(OR($B161="",$A161&lt;=53),"",--MID('Key Analysis'!$C157,$A161-53,1))</f>
        <v/>
      </c>
      <c r="BE161" s="29" t="str">
        <f>IF(OR($B161="",$A161&lt;=54),"",--MID('Key Analysis'!$C157,$A161-54,1))</f>
        <v/>
      </c>
      <c r="BF161" s="29" t="str">
        <f>IF(OR($B161="",$A161&lt;=55),"",--MID('Key Analysis'!$C157,$A161-55,1))</f>
        <v/>
      </c>
      <c r="BG161" s="29" t="str">
        <f>IF(OR($B161="",$A161&lt;=56),"",--MID('Key Analysis'!$C157,$A161-56,1))</f>
        <v/>
      </c>
      <c r="BH161" s="29" t="str">
        <f>IF(OR($B161="",$A161&lt;=57),"",--MID('Key Analysis'!$C157,$A161-57,1))</f>
        <v/>
      </c>
      <c r="BI161" s="29" t="str">
        <f>IF(OR($B161="",$A161&lt;=58),"",--MID('Key Analysis'!$C157,$A161-58,1))</f>
        <v/>
      </c>
      <c r="BJ161" s="29" t="str">
        <f>IF(OR($B161="",$A161&lt;=59),"",--MID('Key Analysis'!$C157,$A161-59,1))</f>
        <v/>
      </c>
      <c r="BK161" s="29" t="str">
        <f>IF(OR($B161="",$A161&lt;=60),"",--MID('Key Analysis'!$C157,$A161-60,1))</f>
        <v/>
      </c>
      <c r="BL161" s="29" t="str">
        <f>IF(OR($B161="",$A161&lt;=61),"",--MID('Key Analysis'!$C157,$A161-61,1))</f>
        <v/>
      </c>
      <c r="BM161" s="29" t="str">
        <f>IF(OR($B161="",$A161&lt;=62),"",--MID('Key Analysis'!$C157,$A161-62,1))</f>
        <v/>
      </c>
      <c r="BN161" s="29" t="str">
        <f>IF(OR($B161="",$A161&lt;=63),"",--MID('Key Analysis'!$C157,$A161-63,1))</f>
        <v/>
      </c>
      <c r="BO161" s="29" t="str">
        <f>IF(OR($B161="",$A161&lt;=64),"",--MID('Key Analysis'!$C157,$A161-64,1))</f>
        <v/>
      </c>
      <c r="BP161" s="29" t="str">
        <f>IF(OR($B161="",$A161&lt;=65),"",--MID('Key Analysis'!$C157,$A161-65,1))</f>
        <v/>
      </c>
      <c r="BQ161" s="29" t="str">
        <f>IF(OR($B161="",$A161&lt;=66),"",--MID('Key Analysis'!$C157,$A161-66,1))</f>
        <v/>
      </c>
      <c r="BR161" s="29" t="str">
        <f>IF(OR($B161="",$A161&lt;=67),"",--MID('Key Analysis'!$C157,$A161-67,1))</f>
        <v/>
      </c>
      <c r="BS161" s="29" t="str">
        <f>IF(OR($B161="",$A161&lt;=68),"",--MID('Key Analysis'!$C157,$A161-68,1))</f>
        <v/>
      </c>
      <c r="BT161" s="29" t="str">
        <f>IF(OR($B161="",$A161&lt;=69),"",--MID('Key Analysis'!$C157,$A161-69,1))</f>
        <v/>
      </c>
      <c r="BU161" s="29" t="str">
        <f>IF(OR($B161="",$A161&lt;=70),"",--MID('Key Analysis'!$C157,$A161-70,1))</f>
        <v/>
      </c>
      <c r="BV161" s="29" t="str">
        <f>IF(OR($B161="",$A161&lt;=71),"",--MID('Key Analysis'!$C157,$A161-71,1))</f>
        <v/>
      </c>
      <c r="BW161" s="29" t="str">
        <f>IF(OR($B161="",$A161&lt;=72),"",--MID('Key Analysis'!$C157,$A161-72,1))</f>
        <v/>
      </c>
      <c r="BX161" s="29" t="str">
        <f>IF(OR($B161="",$A161&lt;=73),"",--MID('Key Analysis'!$C157,$A161-73,1))</f>
        <v/>
      </c>
      <c r="BY161" s="29" t="str">
        <f>IF(OR($B161="",$A161&lt;=74),"",--MID('Key Analysis'!$C157,$A161-74,1))</f>
        <v/>
      </c>
      <c r="BZ161" s="29" t="str">
        <f>IF(OR($B161="",$A161&lt;=75),"",--MID('Key Analysis'!$C157,$A161-75,1))</f>
        <v/>
      </c>
      <c r="CA161" s="29" t="str">
        <f>IF(OR($B161="",$A161&lt;=76),"",--MID('Key Analysis'!$C157,$A161-76,1))</f>
        <v/>
      </c>
      <c r="CB161" s="29" t="str">
        <f>IF(OR($B161="",$A161&lt;=77),"",--MID('Key Analysis'!$C157,$A161-77,1))</f>
        <v/>
      </c>
      <c r="CC161" s="29" t="str">
        <f>IF(OR($B161="",$A161&lt;=78),"",--MID('Key Analysis'!$C157,$A161-78,1))</f>
        <v/>
      </c>
      <c r="CD161" s="29" t="str">
        <f>IF(OR($B161="",$A161&lt;=79),"",--MID('Key Analysis'!$C157,$A161-79,1))</f>
        <v/>
      </c>
      <c r="CE161" s="29" t="str">
        <f>IF(OR($B161="",$A161&lt;=80),"",--MID('Key Analysis'!$C157,$A161-80,1))</f>
        <v/>
      </c>
      <c r="CF161" s="29" t="str">
        <f>IF(OR($B161="",$A161&lt;=81),"",--MID('Key Analysis'!$C157,$A161-81,1))</f>
        <v/>
      </c>
      <c r="CG161" s="29" t="str">
        <f>IF(OR($B161="",$A161&lt;=82),"",--MID('Key Analysis'!$C157,$A161-82,1))</f>
        <v/>
      </c>
      <c r="CH161" s="29" t="str">
        <f>IF(OR($B161="",$A161&lt;=83),"",--MID('Key Analysis'!$C157,$A161-83,1))</f>
        <v/>
      </c>
      <c r="CI161" s="29" t="str">
        <f>IF(OR($B161="",$A161&lt;=84),"",--MID('Key Analysis'!$C157,$A161-84,1))</f>
        <v/>
      </c>
      <c r="CJ161" s="29" t="str">
        <f>IF(OR($B161="",$A161&lt;=85),"",--MID('Key Analysis'!$C157,$A161-85,1))</f>
        <v/>
      </c>
      <c r="CK161" s="29" t="str">
        <f>IF(OR($B161="",$A161&lt;=86),"",--MID('Key Analysis'!$C157,$A161-86,1))</f>
        <v/>
      </c>
      <c r="CL161" s="29" t="str">
        <f>IF(OR($B161="",$A161&lt;=87),"",--MID('Key Analysis'!$C157,$A161-87,1))</f>
        <v/>
      </c>
      <c r="CM161" s="29" t="str">
        <f>IF(OR($B161="",$A161&lt;=88),"",--MID('Key Analysis'!$C157,$A161-88,1))</f>
        <v/>
      </c>
      <c r="CN161" s="29" t="str">
        <f>IF(OR($B161="",$A161&lt;=89),"",--MID('Key Analysis'!$C157,$A161-89,1))</f>
        <v/>
      </c>
      <c r="CO161" s="29" t="str">
        <f>IF(OR($B161="",$A161&lt;=90),"",--MID('Key Analysis'!$C157,$A161-90,1))</f>
        <v/>
      </c>
      <c r="CP161" s="29" t="str">
        <f>IF(OR($B161="",$A161&lt;=91),"",--MID('Key Analysis'!$C157,$A161-91,1))</f>
        <v/>
      </c>
      <c r="CQ161" s="29" t="str">
        <f>IF(OR($B161="",$A161&lt;=92),"",--MID('Key Analysis'!$C157,$A161-92,1))</f>
        <v/>
      </c>
      <c r="CR161" s="29" t="str">
        <f>IF(OR($B161="",$A161&lt;=93),"",--MID('Key Analysis'!$C157,$A161-93,1))</f>
        <v/>
      </c>
      <c r="CS161" s="29" t="str">
        <f>IF(OR($B161="",$A161&lt;=94),"",--MID('Key Analysis'!$C157,$A161-94,1))</f>
        <v/>
      </c>
      <c r="CT161" s="29" t="str">
        <f>IF(OR($B161="",$A161&lt;=95),"",--MID('Key Analysis'!$C157,$A161-95,1))</f>
        <v/>
      </c>
      <c r="CU161" s="29" t="str">
        <f>IF(OR($B161="",$A161&lt;=96),"",--MID('Key Analysis'!$C157,$A161-96,1))</f>
        <v/>
      </c>
      <c r="CV161" s="29" t="str">
        <f>IF(OR($B161="",$A161&lt;=97),"",--MID('Key Analysis'!$C157,$A161-97,1))</f>
        <v/>
      </c>
      <c r="CW161" s="29" t="str">
        <f>IF(OR($B161="",$A161&lt;=98),"",--MID('Key Analysis'!$C157,$A161-98,1))</f>
        <v/>
      </c>
      <c r="CX161" s="29" t="str">
        <f>IF(OR($B161="",$A161&lt;=99),"",--MID('Key Analysis'!$C157,$A161-99,1))</f>
        <v/>
      </c>
      <c r="CY161" s="29" t="str">
        <f>IF(OR($B161="",$A161&lt;=100),"",--MID('Key Analysis'!$C157,$A161-100,1))</f>
        <v/>
      </c>
      <c r="CZ161" s="29" t="str">
        <f>IF(OR($B161="",$A161&lt;=101),"",--MID('Key Analysis'!$C157,$A161-101,1))</f>
        <v/>
      </c>
      <c r="DA161" s="29" t="str">
        <f>IF(OR($B161="",$A161&lt;=102),"",--MID('Key Analysis'!$C157,$A161-102,1))</f>
        <v/>
      </c>
      <c r="DB161" s="29" t="str">
        <f>IF(OR($B161="",$A161&lt;=103),"",--MID('Key Analysis'!$C157,$A161-103,1))</f>
        <v/>
      </c>
      <c r="DC161" s="29" t="str">
        <f>IF(OR($B161="",$A161&lt;=104),"",--MID('Key Analysis'!$C157,$A161-104,1))</f>
        <v/>
      </c>
      <c r="DD161" s="29" t="str">
        <f>IF(OR($B161="",$A161&lt;=105),"",--MID('Key Analysis'!$C157,$A161-105,1))</f>
        <v/>
      </c>
      <c r="DE161" s="29" t="str">
        <f>IF(OR($B161="",$A161&lt;=106),"",--MID('Key Analysis'!$C157,$A161-106,1))</f>
        <v/>
      </c>
      <c r="DF161" s="29" t="str">
        <f>IF(OR($B161="",$A161&lt;=107),"",--MID('Key Analysis'!$C157,$A161-107,1))</f>
        <v/>
      </c>
      <c r="DG161" s="29" t="str">
        <f>IF(OR($B161="",$A161&lt;=108),"",--MID('Key Analysis'!$C157,$A161-108,1))</f>
        <v/>
      </c>
      <c r="DH161" s="29" t="str">
        <f>IF(OR($B161="",$A161&lt;=109),"",--MID('Key Analysis'!$C157,$A161-109,1))</f>
        <v/>
      </c>
      <c r="DI161" s="29" t="str">
        <f>IF(OR($B161="",$A161&lt;=110),"",--MID('Key Analysis'!$C157,$A161-110,1))</f>
        <v/>
      </c>
      <c r="DJ161" s="29" t="str">
        <f>IF(OR($B161="",$A161&lt;=111),"",--MID('Key Analysis'!$C157,$A161-111,1))</f>
        <v/>
      </c>
      <c r="DK161" s="29" t="str">
        <f>IF(OR($B161="",$A161&lt;=112),"",--MID('Key Analysis'!$C157,$A161-112,1))</f>
        <v/>
      </c>
      <c r="DL161" s="29" t="str">
        <f>IF(OR($B161="",$A161&lt;=113),"",--MID('Key Analysis'!$C157,$A161-113,1))</f>
        <v/>
      </c>
      <c r="DM161" s="29" t="str">
        <f>IF(OR($B161="",$A161&lt;=114),"",--MID('Key Analysis'!$C157,$A161-114,1))</f>
        <v/>
      </c>
      <c r="DN161" s="29" t="str">
        <f>IF(OR($B161="",$A161&lt;=115),"",--MID('Key Analysis'!$C157,$A161-115,1))</f>
        <v/>
      </c>
      <c r="DO161" s="29" t="str">
        <f>IF(OR($B161="",$A161&lt;=116),"",--MID('Key Analysis'!$C157,$A161-116,1))</f>
        <v/>
      </c>
      <c r="DP161" s="29" t="str">
        <f>IF(OR($B161="",$A161&lt;=117),"",--MID('Key Analysis'!$C157,$A161-117,1))</f>
        <v/>
      </c>
      <c r="DQ161" s="29" t="str">
        <f>IF(OR($B161="",$A161&lt;=118),"",--MID('Key Analysis'!$C157,$A161-118,1))</f>
        <v/>
      </c>
      <c r="DR161" s="29" t="str">
        <f>IF(OR($B161="",$A161&lt;=119),"",--MID('Key Analysis'!$C157,$A161-119,1))</f>
        <v/>
      </c>
      <c r="DS161" s="29" t="str">
        <f>IF(OR($B161="",$A161&lt;=120),"",--MID('Key Analysis'!$C157,$A161-120,1))</f>
        <v/>
      </c>
      <c r="DT161" s="29" t="str">
        <f>IF(OR($B161="",$A161&lt;=121),"",--MID('Key Analysis'!$C157,$A161-121,1))</f>
        <v/>
      </c>
      <c r="DU161" s="29" t="str">
        <f>IF(OR($B161="",$A161&lt;=122),"",--MID('Key Analysis'!$C157,$A161-122,1))</f>
        <v/>
      </c>
      <c r="DV161" s="29" t="str">
        <f>IF(OR($B161="",$A161&lt;=123),"",--MID('Key Analysis'!$C157,$A161-123,1))</f>
        <v/>
      </c>
      <c r="DW161" s="29" t="str">
        <f>IF(OR($B161="",$A161&lt;=124),"",--MID('Key Analysis'!$C157,$A161-124,1))</f>
        <v/>
      </c>
      <c r="DX161" s="29" t="str">
        <f>IF(OR($B161="",$A161&lt;=125),"",--MID('Key Analysis'!$C157,$A161-125,1))</f>
        <v/>
      </c>
      <c r="DY161" s="29" t="str">
        <f>IF(OR($B161="",$A161&lt;=126),"",--MID('Key Analysis'!$C157,$A161-126,1))</f>
        <v/>
      </c>
      <c r="DZ161" s="29" t="str">
        <f>IF(OR($B161="",$A161&lt;=127),"",--MID('Key Analysis'!$C157,$A161-127,1))</f>
        <v/>
      </c>
      <c r="EA161" s="29" t="str">
        <f>IF(OR($B161="",$A161&lt;=128),"",--MID('Key Analysis'!$C157,$A161-128,1))</f>
        <v/>
      </c>
      <c r="EB161" s="29" t="str">
        <f>IF(OR($B161="",$A161&lt;=129),"",--MID('Key Analysis'!$C157,$A161-129,1))</f>
        <v/>
      </c>
      <c r="EC161" s="29" t="str">
        <f>IF(OR($B161="",$A161&lt;=130),"",--MID('Key Analysis'!$C157,$A161-130,1))</f>
        <v/>
      </c>
      <c r="ED161" s="29" t="str">
        <f>IF(OR($B161="",$A161&lt;=131),"",--MID('Key Analysis'!$C157,$A161-131,1))</f>
        <v/>
      </c>
      <c r="EE161" s="29" t="str">
        <f>IF(OR($B161="",$A161&lt;=132),"",--MID('Key Analysis'!$C157,$A161-132,1))</f>
        <v/>
      </c>
      <c r="EF161" s="29" t="str">
        <f>IF(OR($B161="",$A161&lt;=133),"",--MID('Key Analysis'!$C157,$A161-133,1))</f>
        <v/>
      </c>
      <c r="EG161" s="29" t="str">
        <f>IF(OR($B161="",$A161&lt;=134),"",--MID('Key Analysis'!$C157,$A161-134,1))</f>
        <v/>
      </c>
      <c r="EH161" s="29"/>
      <c r="EI161" s="29" t="str">
        <f>IF(OR($B161="",$A161&lt;1),"",--MID('Key Analysis'!$C157,1,1))</f>
        <v/>
      </c>
      <c r="EJ161" s="29" t="str">
        <f>IF(OR($B161="",$A161&lt;2),"",--MID('Key Analysis'!$C157,2,1))</f>
        <v/>
      </c>
      <c r="EK161" s="29" t="str">
        <f>IF(OR($B161="",$A161&lt;3),"",--MID('Key Analysis'!$C157,3,1))</f>
        <v/>
      </c>
      <c r="EL161" s="29" t="str">
        <f>IF(OR($B161="",$A161&lt;4),"",--MID('Key Analysis'!$C157,4,1))</f>
        <v/>
      </c>
      <c r="EM161" s="29" t="str">
        <f>IF(OR($B161="",$A161&lt;5),"",--MID('Key Analysis'!$C157,5,1))</f>
        <v/>
      </c>
      <c r="EN161" s="29" t="str">
        <f>IF(OR($B161="",$A161&lt;6),"",--MID('Key Analysis'!$C157,6,1))</f>
        <v/>
      </c>
      <c r="EO161" s="29" t="str">
        <f>IF(OR($B161="",$A161&lt;7),"",--MID('Key Analysis'!$C157,7,1))</f>
        <v/>
      </c>
      <c r="EP161" s="29" t="str">
        <f>IF(OR($B161="",$A161&lt;8),"",--MID('Key Analysis'!$C157,8,1))</f>
        <v/>
      </c>
      <c r="EQ161" s="29" t="str">
        <f>IF(OR($B161="",$A161&lt;9),"",--MID('Key Analysis'!$C157,9,1))</f>
        <v/>
      </c>
      <c r="ER161" s="29" t="str">
        <f>IF(OR($B161="",$A161&lt;10),"",--MID('Key Analysis'!$C157,10,1))</f>
        <v/>
      </c>
      <c r="ES161" s="29" t="str">
        <f>IF(OR($B161="",$A161&lt;11),"",--MID('Key Analysis'!$C157,11,1))</f>
        <v/>
      </c>
      <c r="ET161" s="29" t="str">
        <f>IF(OR($B161="",$A161&lt;12),"",--MID('Key Analysis'!$C157,12,1))</f>
        <v/>
      </c>
      <c r="EU161" s="29" t="str">
        <f>IF(OR($B161="",$A161&lt;13),"",--MID('Key Analysis'!$C157,13,1))</f>
        <v/>
      </c>
      <c r="EV161" s="29" t="str">
        <f>IF(OR($B161="",$A161&lt;14),"",--MID('Key Analysis'!$C157,14,1))</f>
        <v/>
      </c>
      <c r="EW161" s="29" t="str">
        <f>IF(OR($B161="",$A161&lt;15),"",--MID('Key Analysis'!$C157,15,1))</f>
        <v/>
      </c>
      <c r="EX161" s="29" t="str">
        <f>IF(OR($B161="",$A161&lt;16),"",--MID('Key Analysis'!$C157,16,1))</f>
        <v/>
      </c>
      <c r="EY161" s="29" t="str">
        <f>IF(OR($B161="",$A161&lt;17),"",--MID('Key Analysis'!$C157,17,1))</f>
        <v/>
      </c>
      <c r="EZ161" s="29" t="str">
        <f>IF(OR($B161="",$A161&lt;18),"",--MID('Key Analysis'!$C157,18,1))</f>
        <v/>
      </c>
      <c r="FA161" s="29" t="str">
        <f>IF(OR($B161="",$A161&lt;19),"",--MID('Key Analysis'!$C157,19,1))</f>
        <v/>
      </c>
      <c r="FB161" s="29" t="str">
        <f>IF(OR($B161="",$A161&lt;20),"",--MID('Key Analysis'!$C157,20,1))</f>
        <v/>
      </c>
      <c r="FC161" s="29" t="str">
        <f>IF(OR($B161="",$A161&lt;21),"",--MID('Key Analysis'!$C157,21,1))</f>
        <v/>
      </c>
      <c r="FD161" s="29" t="str">
        <f>IF(OR($B161="",$A161&lt;22),"",--MID('Key Analysis'!$C157,22,1))</f>
        <v/>
      </c>
      <c r="FE161" s="29" t="str">
        <f>IF(OR($B161="",$A161&lt;23),"",--MID('Key Analysis'!$C157,23,1))</f>
        <v/>
      </c>
      <c r="FF161" s="29" t="str">
        <f>IF(OR($B161="",$A161&lt;24),"",--MID('Key Analysis'!$C157,24,1))</f>
        <v/>
      </c>
      <c r="FG161" s="29" t="str">
        <f>IF(OR($B161="",$A161&lt;25),"",--MID('Key Analysis'!$C157,25,1))</f>
        <v/>
      </c>
      <c r="FH161" s="29" t="str">
        <f>IF(OR($B161="",$A161&lt;26),"",--MID('Key Analysis'!$C157,26,1))</f>
        <v/>
      </c>
      <c r="FI161" s="29" t="str">
        <f>IF(OR($B161="",$A161&lt;27),"",--MID('Key Analysis'!$C157,27,1))</f>
        <v/>
      </c>
      <c r="FJ161" s="29" t="str">
        <f>IF(OR($B161="",$A161&lt;28),"",--MID('Key Analysis'!$C157,28,1))</f>
        <v/>
      </c>
      <c r="FK161" s="29" t="str">
        <f>IF(OR($B161="",$A161&lt;29),"",--MID('Key Analysis'!$C157,29,1))</f>
        <v/>
      </c>
      <c r="FL161" s="29" t="str">
        <f>IF(OR($B161="",$A161&lt;30),"",--MID('Key Analysis'!$C157,30,1))</f>
        <v/>
      </c>
      <c r="FM161" s="29" t="str">
        <f>IF(OR($B161="",$A161&lt;31),"",--MID('Key Analysis'!$C157,31,1))</f>
        <v/>
      </c>
      <c r="FN161" s="29" t="str">
        <f>IF(OR($B161="",$A161&lt;32),"",--MID('Key Analysis'!$C157,32,1))</f>
        <v/>
      </c>
      <c r="FO161" s="29" t="str">
        <f>IF(OR($B161="",$A161&lt;33),"",--MID('Key Analysis'!$C157,33,1))</f>
        <v/>
      </c>
      <c r="FP161" s="29" t="str">
        <f>IF(OR($B161="",$A161&lt;34),"",--MID('Key Analysis'!$C157,34,1))</f>
        <v/>
      </c>
      <c r="FQ161" s="29" t="str">
        <f>IF(OR($B161="",$A161&lt;35),"",--MID('Key Analysis'!$C157,35,1))</f>
        <v/>
      </c>
      <c r="FR161" s="29" t="str">
        <f>IF(OR($B161="",$A161&lt;36),"",--MID('Key Analysis'!$C157,36,1))</f>
        <v/>
      </c>
      <c r="FS161" s="29" t="str">
        <f>IF(OR($B161="",$A161&lt;37),"",--MID('Key Analysis'!$C157,37,1))</f>
        <v/>
      </c>
      <c r="FT161" s="29" t="str">
        <f>IF(OR($B161="",$A161&lt;38),"",--MID('Key Analysis'!$C157,38,1))</f>
        <v/>
      </c>
      <c r="FU161" s="29" t="str">
        <f>IF(OR($B161="",$A161&lt;39),"",--MID('Key Analysis'!$C157,39,1))</f>
        <v/>
      </c>
      <c r="FV161" s="29" t="str">
        <f>IF(OR($B161="",$A161&lt;40),"",--MID('Key Analysis'!$C157,40,1))</f>
        <v/>
      </c>
      <c r="FW161" s="29" t="str">
        <f>IF(OR($B161="",$A161&lt;41),"",--MID('Key Analysis'!$C157,41,1))</f>
        <v/>
      </c>
      <c r="FX161" s="29" t="str">
        <f>IF(OR($B161="",$A161&lt;42),"",--MID('Key Analysis'!$C157,42,1))</f>
        <v/>
      </c>
      <c r="FY161" s="29" t="str">
        <f>IF(OR($B161="",$A161&lt;43),"",--MID('Key Analysis'!$C157,43,1))</f>
        <v/>
      </c>
      <c r="FZ161" s="29" t="str">
        <f>IF(OR($B161="",$A161&lt;44),"",--MID('Key Analysis'!$C157,44,1))</f>
        <v/>
      </c>
      <c r="GA161" s="29" t="str">
        <f>IF(OR($B161="",$A161&lt;45),"",--MID('Key Analysis'!$C157,45,1))</f>
        <v/>
      </c>
      <c r="GB161" s="29" t="str">
        <f>IF(OR($B161="",$A161&lt;46),"",--MID('Key Analysis'!$C157,46,1))</f>
        <v/>
      </c>
      <c r="GC161" s="29" t="str">
        <f>IF(OR($B161="",$A161&lt;47),"",--MID('Key Analysis'!$C157,47,1))</f>
        <v/>
      </c>
      <c r="GD161" s="29" t="str">
        <f>IF(OR($B161="",$A161&lt;48),"",--MID('Key Analysis'!$C157,48,1))</f>
        <v/>
      </c>
      <c r="GE161" s="29" t="str">
        <f>IF(OR($B161="",$A161&lt;49),"",--MID('Key Analysis'!$C157,49,1))</f>
        <v/>
      </c>
      <c r="GF161" s="29" t="str">
        <f>IF(OR($B161="",$A161&lt;50),"",--MID('Key Analysis'!$C157,50,1))</f>
        <v/>
      </c>
      <c r="GG161" s="29" t="str">
        <f>IF(OR($B161="",$A161&lt;51),"",--MID('Key Analysis'!$C157,51,1))</f>
        <v/>
      </c>
      <c r="GH161" s="29" t="str">
        <f>IF(OR($B161="",$A161&lt;52),"",--MID('Key Analysis'!$C157,52,1))</f>
        <v/>
      </c>
      <c r="GI161" s="29" t="str">
        <f>IF(OR($B161="",$A161&lt;53),"",--MID('Key Analysis'!$C157,53,1))</f>
        <v/>
      </c>
      <c r="GJ161" s="29" t="str">
        <f>IF(OR($B161="",$A161&lt;54),"",--MID('Key Analysis'!$C157,54,1))</f>
        <v/>
      </c>
      <c r="GK161" s="29" t="str">
        <f>IF(OR($B161="",$A161&lt;55),"",--MID('Key Analysis'!$C157,55,1))</f>
        <v/>
      </c>
      <c r="GL161" s="29" t="str">
        <f>IF(OR($B161="",$A161&lt;56),"",--MID('Key Analysis'!$C157,56,1))</f>
        <v/>
      </c>
      <c r="GM161" s="29" t="str">
        <f>IF(OR($B161="",$A161&lt;57),"",--MID('Key Analysis'!$C157,57,1))</f>
        <v/>
      </c>
      <c r="GN161" s="29" t="str">
        <f>IF(OR($B161="",$A161&lt;58),"",--MID('Key Analysis'!$C157,58,1))</f>
        <v/>
      </c>
      <c r="GO161" s="29" t="str">
        <f>IF(OR($B161="",$A161&lt;59),"",--MID('Key Analysis'!$C157,59,1))</f>
        <v/>
      </c>
      <c r="GP161" s="29" t="str">
        <f>IF(OR($B161="",$A161&lt;60),"",--MID('Key Analysis'!$C157,60,1))</f>
        <v/>
      </c>
      <c r="GQ161" s="29" t="str">
        <f>IF(OR($B161="",$A161&lt;61),"",--MID('Key Analysis'!$C157,61,1))</f>
        <v/>
      </c>
      <c r="GR161" s="29" t="str">
        <f>IF(OR($B161="",$A161&lt;62),"",--MID('Key Analysis'!$C157,62,1))</f>
        <v/>
      </c>
      <c r="GS161" s="29" t="str">
        <f>IF(OR($B161="",$A161&lt;63),"",--MID('Key Analysis'!$C157,63,1))</f>
        <v/>
      </c>
      <c r="GT161" s="29" t="str">
        <f>IF(OR($B161="",$A161&lt;64),"",--MID('Key Analysis'!$C157,64,1))</f>
        <v/>
      </c>
      <c r="GU161" s="29" t="str">
        <f>IF(OR($B161="",$A161&lt;65),"",--MID('Key Analysis'!$C157,65,1))</f>
        <v/>
      </c>
      <c r="GV161" s="29" t="str">
        <f>IF(OR($B161="",$A161&lt;66),"",--MID('Key Analysis'!$C157,66,1))</f>
        <v/>
      </c>
      <c r="GW161" s="29" t="str">
        <f>IF(OR($B161="",$A161&lt;67),"",--MID('Key Analysis'!$C157,67,1))</f>
        <v/>
      </c>
      <c r="GX161" s="29" t="str">
        <f>IF(OR($B161="",$A161&lt;68),"",--MID('Key Analysis'!$C157,68,1))</f>
        <v/>
      </c>
      <c r="GY161" s="29" t="str">
        <f>IF(OR($B161="",$A161&lt;69),"",--MID('Key Analysis'!$C157,69,1))</f>
        <v/>
      </c>
      <c r="GZ161" s="29" t="str">
        <f>IF(OR($B161="",$A161&lt;70),"",--MID('Key Analysis'!$C157,70,1))</f>
        <v/>
      </c>
      <c r="HA161" s="29" t="str">
        <f>IF(OR($B161="",$A161&lt;71),"",--MID('Key Analysis'!$C157,71,1))</f>
        <v/>
      </c>
      <c r="HB161" s="29" t="str">
        <f>IF(OR($B161="",$A161&lt;72),"",--MID('Key Analysis'!$C157,72,1))</f>
        <v/>
      </c>
      <c r="HC161" s="29" t="str">
        <f>IF(OR($B161="",$A161&lt;73),"",--MID('Key Analysis'!$C157,73,1))</f>
        <v/>
      </c>
      <c r="HD161" s="29" t="str">
        <f>IF(OR($B161="",$A161&lt;74),"",--MID('Key Analysis'!$C157,74,1))</f>
        <v/>
      </c>
      <c r="HE161" s="29" t="str">
        <f>IF(OR($B161="",$A161&lt;75),"",--MID('Key Analysis'!$C157,75,1))</f>
        <v/>
      </c>
      <c r="HF161" s="29" t="str">
        <f>IF(OR($B161="",$A161&lt;76),"",--MID('Key Analysis'!$C157,76,1))</f>
        <v/>
      </c>
      <c r="HG161" s="29" t="str">
        <f>IF(OR($B161="",$A161&lt;77),"",--MID('Key Analysis'!$C157,77,1))</f>
        <v/>
      </c>
      <c r="HH161" s="29" t="str">
        <f>IF(OR($B161="",$A161&lt;78),"",--MID('Key Analysis'!$C157,78,1))</f>
        <v/>
      </c>
      <c r="HI161" s="29" t="str">
        <f>IF(OR($B161="",$A161&lt;79),"",--MID('Key Analysis'!$C157,79,1))</f>
        <v/>
      </c>
      <c r="HJ161" s="29" t="str">
        <f>IF(OR($B161="",$A161&lt;80),"",--MID('Key Analysis'!$C157,80,1))</f>
        <v/>
      </c>
      <c r="HK161" s="29" t="str">
        <f>IF(OR($B161="",$A161&lt;81),"",--MID('Key Analysis'!$C157,81,1))</f>
        <v/>
      </c>
      <c r="HL161" s="29" t="str">
        <f>IF(OR($B161="",$A161&lt;82),"",--MID('Key Analysis'!$C157,82,1))</f>
        <v/>
      </c>
      <c r="HM161" s="29" t="str">
        <f>IF(OR($B161="",$A161&lt;83),"",--MID('Key Analysis'!$C157,83,1))</f>
        <v/>
      </c>
      <c r="HN161" s="29" t="str">
        <f>IF(OR($B161="",$A161&lt;84),"",--MID('Key Analysis'!$C157,84,1))</f>
        <v/>
      </c>
      <c r="HO161" s="29" t="str">
        <f>IF(OR($B161="",$A161&lt;85),"",--MID('Key Analysis'!$C157,85,1))</f>
        <v/>
      </c>
      <c r="HP161" s="29" t="str">
        <f>IF(OR($B161="",$A161&lt;86),"",--MID('Key Analysis'!$C157,86,1))</f>
        <v/>
      </c>
      <c r="HQ161" s="29" t="str">
        <f>IF(OR($B161="",$A161&lt;87),"",--MID('Key Analysis'!$C157,87,1))</f>
        <v/>
      </c>
      <c r="HR161" s="29" t="str">
        <f>IF(OR($B161="",$A161&lt;88),"",--MID('Key Analysis'!$C157,88,1))</f>
        <v/>
      </c>
      <c r="HS161" s="29" t="str">
        <f>IF(OR($B161="",$A161&lt;89),"",--MID('Key Analysis'!$C157,89,1))</f>
        <v/>
      </c>
      <c r="HT161" s="29" t="str">
        <f>IF(OR($B161="",$A161&lt;90),"",--MID('Key Analysis'!$C157,90,1))</f>
        <v/>
      </c>
      <c r="HU161" s="29" t="str">
        <f>IF(OR($B161="",$A161&lt;91),"",--MID('Key Analysis'!$C157,91,1))</f>
        <v/>
      </c>
      <c r="HV161" s="29" t="str">
        <f>IF(OR($B161="",$A161&lt;92),"",--MID('Key Analysis'!$C157,92,1))</f>
        <v/>
      </c>
      <c r="HW161" s="29" t="str">
        <f>IF(OR($B161="",$A161&lt;93),"",--MID('Key Analysis'!$C157,93,1))</f>
        <v/>
      </c>
      <c r="HX161" s="29" t="str">
        <f>IF(OR($B161="",$A161&lt;94),"",--MID('Key Analysis'!$C157,94,1))</f>
        <v/>
      </c>
      <c r="HY161" s="29" t="str">
        <f>IF(OR($B161="",$A161&lt;95),"",--MID('Key Analysis'!$C157,95,1))</f>
        <v/>
      </c>
      <c r="HZ161" s="29" t="str">
        <f>IF(OR($B161="",$A161&lt;96),"",--MID('Key Analysis'!$C157,96,1))</f>
        <v/>
      </c>
      <c r="IA161" s="29" t="str">
        <f>IF(OR($B161="",$A161&lt;97),"",--MID('Key Analysis'!$C157,97,1))</f>
        <v/>
      </c>
      <c r="IB161" s="29" t="str">
        <f>IF(OR($B161="",$A161&lt;98),"",--MID('Key Analysis'!$C157,98,1))</f>
        <v/>
      </c>
      <c r="IC161" s="29" t="str">
        <f>IF(OR($B161="",$A161&lt;99),"",--MID('Key Analysis'!$C157,99,1))</f>
        <v/>
      </c>
      <c r="ID161" s="29" t="str">
        <f>IF(OR($B161="",$A161&lt;100),"",--MID('Key Analysis'!$C157,100,1))</f>
        <v/>
      </c>
      <c r="IE161" s="29" t="str">
        <f>IF(OR($B161="",$A161&lt;101),"",--MID('Key Analysis'!$C157,101,1))</f>
        <v/>
      </c>
      <c r="IF161" s="29" t="str">
        <f>IF(OR($B161="",$A161&lt;102),"",--MID('Key Analysis'!$C157,102,1))</f>
        <v/>
      </c>
      <c r="IG161" s="29" t="str">
        <f>IF(OR($B161="",$A161&lt;103),"",--MID('Key Analysis'!$C157,103,1))</f>
        <v/>
      </c>
      <c r="IH161" s="29" t="str">
        <f>IF(OR($B161="",$A161&lt;104),"",--MID('Key Analysis'!$C157,104,1))</f>
        <v/>
      </c>
      <c r="II161" s="29" t="str">
        <f>IF(OR($B161="",$A161&lt;105),"",--MID('Key Analysis'!$C157,105,1))</f>
        <v/>
      </c>
      <c r="IJ161" s="29" t="str">
        <f>IF(OR($B161="",$A161&lt;106),"",--MID('Key Analysis'!$C157,106,1))</f>
        <v/>
      </c>
      <c r="IK161" s="29" t="str">
        <f>IF(OR($B161="",$A161&lt;107),"",--MID('Key Analysis'!$C157,107,1))</f>
        <v/>
      </c>
      <c r="IL161" s="29" t="str">
        <f>IF(OR($B161="",$A161&lt;108),"",--MID('Key Analysis'!$C157,108,1))</f>
        <v/>
      </c>
      <c r="IM161" s="29" t="str">
        <f>IF(OR($B161="",$A161&lt;109),"",--MID('Key Analysis'!$C157,109,1))</f>
        <v/>
      </c>
      <c r="IN161" s="29" t="str">
        <f>IF(OR($B161="",$A161&lt;110),"",--MID('Key Analysis'!$C157,110,1))</f>
        <v/>
      </c>
      <c r="IO161" s="29" t="str">
        <f>IF(OR($B161="",$A161&lt;111),"",--MID('Key Analysis'!$C157,111,1))</f>
        <v/>
      </c>
      <c r="IP161" s="29" t="str">
        <f>IF(OR($B161="",$A161&lt;112),"",--MID('Key Analysis'!$C157,112,1))</f>
        <v/>
      </c>
      <c r="IQ161" s="29" t="str">
        <f>IF(OR($B161="",$A161&lt;113),"",--MID('Key Analysis'!$C157,113,1))</f>
        <v/>
      </c>
      <c r="IR161" s="29" t="str">
        <f>IF(OR($B161="",$A161&lt;114),"",--MID('Key Analysis'!$C157,114,1))</f>
        <v/>
      </c>
      <c r="IS161" s="29" t="str">
        <f>IF(OR($B161="",$A161&lt;115),"",--MID('Key Analysis'!$C157,115,1))</f>
        <v/>
      </c>
      <c r="IT161" s="29" t="str">
        <f>IF(OR($B161="",$A161&lt;116),"",--MID('Key Analysis'!$C157,116,1))</f>
        <v/>
      </c>
      <c r="IU161" s="29" t="str">
        <f>IF(OR($B161="",$A161&lt;117),"",--MID('Key Analysis'!$C157,117,1))</f>
        <v/>
      </c>
      <c r="IV161" s="29" t="str">
        <f>IF(OR($B161="",$A161&lt;118),"",--MID('Key Analysis'!$C157,118,1))</f>
        <v/>
      </c>
      <c r="IW161" s="29" t="str">
        <f>IF(OR($B161="",$A161&lt;119),"",--MID('Key Analysis'!$C157,119,1))</f>
        <v/>
      </c>
      <c r="IX161" s="29" t="str">
        <f>IF(OR($B161="",$A161&lt;120),"",--MID('Key Analysis'!$C157,120,1))</f>
        <v/>
      </c>
      <c r="IY161" s="29" t="str">
        <f>IF(OR($B161="",$A161&lt;121),"",--MID('Key Analysis'!$C157,121,1))</f>
        <v/>
      </c>
      <c r="IZ161" s="29" t="str">
        <f>IF(OR($B161="",$A161&lt;122),"",--MID('Key Analysis'!$C157,122,1))</f>
        <v/>
      </c>
      <c r="JA161" s="29" t="str">
        <f>IF(OR($B161="",$A161&lt;123),"",--MID('Key Analysis'!$C157,123,1))</f>
        <v/>
      </c>
      <c r="JB161" s="29" t="str">
        <f>IF(OR($B161="",$A161&lt;124),"",--MID('Key Analysis'!$C157,124,1))</f>
        <v/>
      </c>
      <c r="JC161" s="29" t="str">
        <f>IF(OR($B161="",$A161&lt;125),"",--MID('Key Analysis'!$C157,125,1))</f>
        <v/>
      </c>
      <c r="JD161" s="29" t="str">
        <f>IF(OR($B161="",$A161&lt;126),"",--MID('Key Analysis'!$C157,126,1))</f>
        <v/>
      </c>
      <c r="JE161" s="29" t="str">
        <f>IF(OR($B161="",$A161&lt;127),"",--MID('Key Analysis'!$C157,127,1))</f>
        <v/>
      </c>
      <c r="JF161" s="29" t="str">
        <f>IF(OR($B161="",$A161&lt;128),"",--MID('Key Analysis'!$C157,128,1))</f>
        <v/>
      </c>
      <c r="JG161" s="29" t="str">
        <f>IF(OR($B161="",$A161&lt;129),"",--MID('Key Analysis'!$C157,129,1))</f>
        <v/>
      </c>
      <c r="JH161" s="29" t="str">
        <f>IF(OR($B161="",$A161&lt;130),"",--MID('Key Analysis'!$C157,130,1))</f>
        <v/>
      </c>
      <c r="JI161" s="29" t="str">
        <f>IF(OR($B161="",$A161&lt;131),"",--MID('Key Analysis'!$C157,131,1))</f>
        <v/>
      </c>
      <c r="JJ161" s="29" t="str">
        <f>IF(OR($B161="",$A161&lt;132),"",--MID('Key Analysis'!$C157,132,1))</f>
        <v/>
      </c>
      <c r="JK161" s="29" t="str">
        <f>IF(OR($B161="",$A161&lt;133),"",--MID('Key Analysis'!$C157,133,1))</f>
        <v/>
      </c>
      <c r="JL161" s="29" t="str">
        <f>IF(OR($B161="",$A161&lt;134),"",--MID('Key Analysis'!$C157,134,1))</f>
        <v/>
      </c>
      <c r="JM161" s="29" t="str">
        <f>IF(OR($B161="",$A161&lt;135),"",--MID('Key Analysis'!$C157,135,1))</f>
        <v/>
      </c>
    </row>
    <row r="162" spans="1:273" x14ac:dyDescent="0.25">
      <c r="A162" s="21">
        <f>'Key Analysis'!A158</f>
        <v>157</v>
      </c>
      <c r="B162" s="30" t="str">
        <f>'Key Analysis'!B158</f>
        <v/>
      </c>
      <c r="C162" s="29" t="str">
        <f>IF(OR($B162="",$A162&lt;=0),"",--MID('Key Analysis'!$C158,$A162-0,1))</f>
        <v/>
      </c>
      <c r="D162" s="29" t="str">
        <f>IF(OR($B162="",$A162&lt;=1),"",--MID('Key Analysis'!$C158,$A162-1,1))</f>
        <v/>
      </c>
      <c r="E162" s="29" t="str">
        <f>IF(OR($B162="",$A162&lt;=2),"",--MID('Key Analysis'!$C158,$A162-2,1))</f>
        <v/>
      </c>
      <c r="F162" s="29" t="str">
        <f>IF(OR($B162="",$A162&lt;=3),"",--MID('Key Analysis'!$C158,$A162-3,1))</f>
        <v/>
      </c>
      <c r="G162" s="29" t="str">
        <f>IF(OR($B162="",$A162&lt;=4),"",--MID('Key Analysis'!$C158,$A162-4,1))</f>
        <v/>
      </c>
      <c r="H162" s="29" t="str">
        <f>IF(OR($B162="",$A162&lt;=5),"",--MID('Key Analysis'!$C158,$A162-5,1))</f>
        <v/>
      </c>
      <c r="I162" s="29" t="str">
        <f>IF(OR($B162="",$A162&lt;=6),"",--MID('Key Analysis'!$C158,$A162-6,1))</f>
        <v/>
      </c>
      <c r="J162" s="29" t="str">
        <f>IF(OR($B162="",$A162&lt;=7),"",--MID('Key Analysis'!$C158,$A162-7,1))</f>
        <v/>
      </c>
      <c r="K162" s="29" t="str">
        <f>IF(OR($B162="",$A162&lt;=8),"",--MID('Key Analysis'!$C158,$A162-8,1))</f>
        <v/>
      </c>
      <c r="L162" s="29" t="str">
        <f>IF(OR($B162="",$A162&lt;=9),"",--MID('Key Analysis'!$C158,$A162-9,1))</f>
        <v/>
      </c>
      <c r="M162" s="29" t="str">
        <f>IF(OR($B162="",$A162&lt;=10),"",--MID('Key Analysis'!$C158,$A162-10,1))</f>
        <v/>
      </c>
      <c r="N162" s="29" t="str">
        <f>IF(OR($B162="",$A162&lt;=11),"",--MID('Key Analysis'!$C158,$A162-11,1))</f>
        <v/>
      </c>
      <c r="O162" s="29" t="str">
        <f>IF(OR($B162="",$A162&lt;=12),"",--MID('Key Analysis'!$C158,$A162-12,1))</f>
        <v/>
      </c>
      <c r="P162" s="29" t="str">
        <f>IF(OR($B162="",$A162&lt;=13),"",--MID('Key Analysis'!$C158,$A162-13,1))</f>
        <v/>
      </c>
      <c r="Q162" s="29" t="str">
        <f>IF(OR($B162="",$A162&lt;=14),"",--MID('Key Analysis'!$C158,$A162-14,1))</f>
        <v/>
      </c>
      <c r="R162" s="29" t="str">
        <f>IF(OR($B162="",$A162&lt;=15),"",--MID('Key Analysis'!$C158,$A162-15,1))</f>
        <v/>
      </c>
      <c r="S162" s="29" t="str">
        <f>IF(OR($B162="",$A162&lt;=16),"",--MID('Key Analysis'!$C158,$A162-16,1))</f>
        <v/>
      </c>
      <c r="T162" s="29" t="str">
        <f>IF(OR($B162="",$A162&lt;=17),"",--MID('Key Analysis'!$C158,$A162-17,1))</f>
        <v/>
      </c>
      <c r="U162" s="29" t="str">
        <f>IF(OR($B162="",$A162&lt;=18),"",--MID('Key Analysis'!$C158,$A162-18,1))</f>
        <v/>
      </c>
      <c r="V162" s="29" t="str">
        <f>IF(OR($B162="",$A162&lt;=19),"",--MID('Key Analysis'!$C158,$A162-19,1))</f>
        <v/>
      </c>
      <c r="W162" s="29" t="str">
        <f>IF(OR($B162="",$A162&lt;=20),"",--MID('Key Analysis'!$C158,$A162-20,1))</f>
        <v/>
      </c>
      <c r="X162" s="29" t="str">
        <f>IF(OR($B162="",$A162&lt;=21),"",--MID('Key Analysis'!$C158,$A162-21,1))</f>
        <v/>
      </c>
      <c r="Y162" s="29" t="str">
        <f>IF(OR($B162="",$A162&lt;=22),"",--MID('Key Analysis'!$C158,$A162-22,1))</f>
        <v/>
      </c>
      <c r="Z162" s="29" t="str">
        <f>IF(OR($B162="",$A162&lt;=23),"",--MID('Key Analysis'!$C158,$A162-23,1))</f>
        <v/>
      </c>
      <c r="AA162" s="29" t="str">
        <f>IF(OR($B162="",$A162&lt;=24),"",--MID('Key Analysis'!$C158,$A162-24,1))</f>
        <v/>
      </c>
      <c r="AB162" s="29" t="str">
        <f>IF(OR($B162="",$A162&lt;=25),"",--MID('Key Analysis'!$C158,$A162-25,1))</f>
        <v/>
      </c>
      <c r="AC162" s="29" t="str">
        <f>IF(OR($B162="",$A162&lt;=26),"",--MID('Key Analysis'!$C158,$A162-26,1))</f>
        <v/>
      </c>
      <c r="AD162" s="29" t="str">
        <f>IF(OR($B162="",$A162&lt;=27),"",--MID('Key Analysis'!$C158,$A162-27,1))</f>
        <v/>
      </c>
      <c r="AE162" s="29" t="str">
        <f>IF(OR($B162="",$A162&lt;=28),"",--MID('Key Analysis'!$C158,$A162-28,1))</f>
        <v/>
      </c>
      <c r="AF162" s="29" t="str">
        <f>IF(OR($B162="",$A162&lt;=29),"",--MID('Key Analysis'!$C158,$A162-29,1))</f>
        <v/>
      </c>
      <c r="AG162" s="29" t="str">
        <f>IF(OR($B162="",$A162&lt;=30),"",--MID('Key Analysis'!$C158,$A162-30,1))</f>
        <v/>
      </c>
      <c r="AH162" s="29" t="str">
        <f>IF(OR($B162="",$A162&lt;=31),"",--MID('Key Analysis'!$C158,$A162-31,1))</f>
        <v/>
      </c>
      <c r="AI162" s="29" t="str">
        <f>IF(OR($B162="",$A162&lt;=32),"",--MID('Key Analysis'!$C158,$A162-32,1))</f>
        <v/>
      </c>
      <c r="AJ162" s="29" t="str">
        <f>IF(OR($B162="",$A162&lt;=33),"",--MID('Key Analysis'!$C158,$A162-33,1))</f>
        <v/>
      </c>
      <c r="AK162" s="29" t="str">
        <f>IF(OR($B162="",$A162&lt;=34),"",--MID('Key Analysis'!$C158,$A162-34,1))</f>
        <v/>
      </c>
      <c r="AL162" s="29" t="str">
        <f>IF(OR($B162="",$A162&lt;=35),"",--MID('Key Analysis'!$C158,$A162-35,1))</f>
        <v/>
      </c>
      <c r="AM162" s="29" t="str">
        <f>IF(OR($B162="",$A162&lt;=36),"",--MID('Key Analysis'!$C158,$A162-36,1))</f>
        <v/>
      </c>
      <c r="AN162" s="29" t="str">
        <f>IF(OR($B162="",$A162&lt;=37),"",--MID('Key Analysis'!$C158,$A162-37,1))</f>
        <v/>
      </c>
      <c r="AO162" s="29" t="str">
        <f>IF(OR($B162="",$A162&lt;=38),"",--MID('Key Analysis'!$C158,$A162-38,1))</f>
        <v/>
      </c>
      <c r="AP162" s="29" t="str">
        <f>IF(OR($B162="",$A162&lt;=39),"",--MID('Key Analysis'!$C158,$A162-39,1))</f>
        <v/>
      </c>
      <c r="AQ162" s="29" t="str">
        <f>IF(OR($B162="",$A162&lt;=40),"",--MID('Key Analysis'!$C158,$A162-40,1))</f>
        <v/>
      </c>
      <c r="AR162" s="29" t="str">
        <f>IF(OR($B162="",$A162&lt;=41),"",--MID('Key Analysis'!$C158,$A162-41,1))</f>
        <v/>
      </c>
      <c r="AS162" s="29" t="str">
        <f>IF(OR($B162="",$A162&lt;=42),"",--MID('Key Analysis'!$C158,$A162-42,1))</f>
        <v/>
      </c>
      <c r="AT162" s="29" t="str">
        <f>IF(OR($B162="",$A162&lt;=43),"",--MID('Key Analysis'!$C158,$A162-43,1))</f>
        <v/>
      </c>
      <c r="AU162" s="29" t="str">
        <f>IF(OR($B162="",$A162&lt;=44),"",--MID('Key Analysis'!$C158,$A162-44,1))</f>
        <v/>
      </c>
      <c r="AV162" s="29" t="str">
        <f>IF(OR($B162="",$A162&lt;=45),"",--MID('Key Analysis'!$C158,$A162-45,1))</f>
        <v/>
      </c>
      <c r="AW162" s="29" t="str">
        <f>IF(OR($B162="",$A162&lt;=46),"",--MID('Key Analysis'!$C158,$A162-46,1))</f>
        <v/>
      </c>
      <c r="AX162" s="29" t="str">
        <f>IF(OR($B162="",$A162&lt;=47),"",--MID('Key Analysis'!$C158,$A162-47,1))</f>
        <v/>
      </c>
      <c r="AY162" s="29" t="str">
        <f>IF(OR($B162="",$A162&lt;=48),"",--MID('Key Analysis'!$C158,$A162-48,1))</f>
        <v/>
      </c>
      <c r="AZ162" s="29" t="str">
        <f>IF(OR($B162="",$A162&lt;=49),"",--MID('Key Analysis'!$C158,$A162-49,1))</f>
        <v/>
      </c>
      <c r="BA162" s="29" t="str">
        <f>IF(OR($B162="",$A162&lt;=50),"",--MID('Key Analysis'!$C158,$A162-50,1))</f>
        <v/>
      </c>
      <c r="BB162" s="29" t="str">
        <f>IF(OR($B162="",$A162&lt;=51),"",--MID('Key Analysis'!$C158,$A162-51,1))</f>
        <v/>
      </c>
      <c r="BC162" s="29" t="str">
        <f>IF(OR($B162="",$A162&lt;=52),"",--MID('Key Analysis'!$C158,$A162-52,1))</f>
        <v/>
      </c>
      <c r="BD162" s="29" t="str">
        <f>IF(OR($B162="",$A162&lt;=53),"",--MID('Key Analysis'!$C158,$A162-53,1))</f>
        <v/>
      </c>
      <c r="BE162" s="29" t="str">
        <f>IF(OR($B162="",$A162&lt;=54),"",--MID('Key Analysis'!$C158,$A162-54,1))</f>
        <v/>
      </c>
      <c r="BF162" s="29" t="str">
        <f>IF(OR($B162="",$A162&lt;=55),"",--MID('Key Analysis'!$C158,$A162-55,1))</f>
        <v/>
      </c>
      <c r="BG162" s="29" t="str">
        <f>IF(OR($B162="",$A162&lt;=56),"",--MID('Key Analysis'!$C158,$A162-56,1))</f>
        <v/>
      </c>
      <c r="BH162" s="29" t="str">
        <f>IF(OR($B162="",$A162&lt;=57),"",--MID('Key Analysis'!$C158,$A162-57,1))</f>
        <v/>
      </c>
      <c r="BI162" s="29" t="str">
        <f>IF(OR($B162="",$A162&lt;=58),"",--MID('Key Analysis'!$C158,$A162-58,1))</f>
        <v/>
      </c>
      <c r="BJ162" s="29" t="str">
        <f>IF(OR($B162="",$A162&lt;=59),"",--MID('Key Analysis'!$C158,$A162-59,1))</f>
        <v/>
      </c>
      <c r="BK162" s="29" t="str">
        <f>IF(OR($B162="",$A162&lt;=60),"",--MID('Key Analysis'!$C158,$A162-60,1))</f>
        <v/>
      </c>
      <c r="BL162" s="29" t="str">
        <f>IF(OR($B162="",$A162&lt;=61),"",--MID('Key Analysis'!$C158,$A162-61,1))</f>
        <v/>
      </c>
      <c r="BM162" s="29" t="str">
        <f>IF(OR($B162="",$A162&lt;=62),"",--MID('Key Analysis'!$C158,$A162-62,1))</f>
        <v/>
      </c>
      <c r="BN162" s="29" t="str">
        <f>IF(OR($B162="",$A162&lt;=63),"",--MID('Key Analysis'!$C158,$A162-63,1))</f>
        <v/>
      </c>
      <c r="BO162" s="29" t="str">
        <f>IF(OR($B162="",$A162&lt;=64),"",--MID('Key Analysis'!$C158,$A162-64,1))</f>
        <v/>
      </c>
      <c r="BP162" s="29" t="str">
        <f>IF(OR($B162="",$A162&lt;=65),"",--MID('Key Analysis'!$C158,$A162-65,1))</f>
        <v/>
      </c>
      <c r="BQ162" s="29" t="str">
        <f>IF(OR($B162="",$A162&lt;=66),"",--MID('Key Analysis'!$C158,$A162-66,1))</f>
        <v/>
      </c>
      <c r="BR162" s="29" t="str">
        <f>IF(OR($B162="",$A162&lt;=67),"",--MID('Key Analysis'!$C158,$A162-67,1))</f>
        <v/>
      </c>
      <c r="BS162" s="29" t="str">
        <f>IF(OR($B162="",$A162&lt;=68),"",--MID('Key Analysis'!$C158,$A162-68,1))</f>
        <v/>
      </c>
      <c r="BT162" s="29" t="str">
        <f>IF(OR($B162="",$A162&lt;=69),"",--MID('Key Analysis'!$C158,$A162-69,1))</f>
        <v/>
      </c>
      <c r="BU162" s="29" t="str">
        <f>IF(OR($B162="",$A162&lt;=70),"",--MID('Key Analysis'!$C158,$A162-70,1))</f>
        <v/>
      </c>
      <c r="BV162" s="29" t="str">
        <f>IF(OR($B162="",$A162&lt;=71),"",--MID('Key Analysis'!$C158,$A162-71,1))</f>
        <v/>
      </c>
      <c r="BW162" s="29" t="str">
        <f>IF(OR($B162="",$A162&lt;=72),"",--MID('Key Analysis'!$C158,$A162-72,1))</f>
        <v/>
      </c>
      <c r="BX162" s="29" t="str">
        <f>IF(OR($B162="",$A162&lt;=73),"",--MID('Key Analysis'!$C158,$A162-73,1))</f>
        <v/>
      </c>
      <c r="BY162" s="29" t="str">
        <f>IF(OR($B162="",$A162&lt;=74),"",--MID('Key Analysis'!$C158,$A162-74,1))</f>
        <v/>
      </c>
      <c r="BZ162" s="29" t="str">
        <f>IF(OR($B162="",$A162&lt;=75),"",--MID('Key Analysis'!$C158,$A162-75,1))</f>
        <v/>
      </c>
      <c r="CA162" s="29" t="str">
        <f>IF(OR($B162="",$A162&lt;=76),"",--MID('Key Analysis'!$C158,$A162-76,1))</f>
        <v/>
      </c>
      <c r="CB162" s="29" t="str">
        <f>IF(OR($B162="",$A162&lt;=77),"",--MID('Key Analysis'!$C158,$A162-77,1))</f>
        <v/>
      </c>
      <c r="CC162" s="29" t="str">
        <f>IF(OR($B162="",$A162&lt;=78),"",--MID('Key Analysis'!$C158,$A162-78,1))</f>
        <v/>
      </c>
      <c r="CD162" s="29" t="str">
        <f>IF(OR($B162="",$A162&lt;=79),"",--MID('Key Analysis'!$C158,$A162-79,1))</f>
        <v/>
      </c>
      <c r="CE162" s="29" t="str">
        <f>IF(OR($B162="",$A162&lt;=80),"",--MID('Key Analysis'!$C158,$A162-80,1))</f>
        <v/>
      </c>
      <c r="CF162" s="29" t="str">
        <f>IF(OR($B162="",$A162&lt;=81),"",--MID('Key Analysis'!$C158,$A162-81,1))</f>
        <v/>
      </c>
      <c r="CG162" s="29" t="str">
        <f>IF(OR($B162="",$A162&lt;=82),"",--MID('Key Analysis'!$C158,$A162-82,1))</f>
        <v/>
      </c>
      <c r="CH162" s="29" t="str">
        <f>IF(OR($B162="",$A162&lt;=83),"",--MID('Key Analysis'!$C158,$A162-83,1))</f>
        <v/>
      </c>
      <c r="CI162" s="29" t="str">
        <f>IF(OR($B162="",$A162&lt;=84),"",--MID('Key Analysis'!$C158,$A162-84,1))</f>
        <v/>
      </c>
      <c r="CJ162" s="29" t="str">
        <f>IF(OR($B162="",$A162&lt;=85),"",--MID('Key Analysis'!$C158,$A162-85,1))</f>
        <v/>
      </c>
      <c r="CK162" s="29" t="str">
        <f>IF(OR($B162="",$A162&lt;=86),"",--MID('Key Analysis'!$C158,$A162-86,1))</f>
        <v/>
      </c>
      <c r="CL162" s="29" t="str">
        <f>IF(OR($B162="",$A162&lt;=87),"",--MID('Key Analysis'!$C158,$A162-87,1))</f>
        <v/>
      </c>
      <c r="CM162" s="29" t="str">
        <f>IF(OR($B162="",$A162&lt;=88),"",--MID('Key Analysis'!$C158,$A162-88,1))</f>
        <v/>
      </c>
      <c r="CN162" s="29" t="str">
        <f>IF(OR($B162="",$A162&lt;=89),"",--MID('Key Analysis'!$C158,$A162-89,1))</f>
        <v/>
      </c>
      <c r="CO162" s="29" t="str">
        <f>IF(OR($B162="",$A162&lt;=90),"",--MID('Key Analysis'!$C158,$A162-90,1))</f>
        <v/>
      </c>
      <c r="CP162" s="29" t="str">
        <f>IF(OR($B162="",$A162&lt;=91),"",--MID('Key Analysis'!$C158,$A162-91,1))</f>
        <v/>
      </c>
      <c r="CQ162" s="29" t="str">
        <f>IF(OR($B162="",$A162&lt;=92),"",--MID('Key Analysis'!$C158,$A162-92,1))</f>
        <v/>
      </c>
      <c r="CR162" s="29" t="str">
        <f>IF(OR($B162="",$A162&lt;=93),"",--MID('Key Analysis'!$C158,$A162-93,1))</f>
        <v/>
      </c>
      <c r="CS162" s="29" t="str">
        <f>IF(OR($B162="",$A162&lt;=94),"",--MID('Key Analysis'!$C158,$A162-94,1))</f>
        <v/>
      </c>
      <c r="CT162" s="29" t="str">
        <f>IF(OR($B162="",$A162&lt;=95),"",--MID('Key Analysis'!$C158,$A162-95,1))</f>
        <v/>
      </c>
      <c r="CU162" s="29" t="str">
        <f>IF(OR($B162="",$A162&lt;=96),"",--MID('Key Analysis'!$C158,$A162-96,1))</f>
        <v/>
      </c>
      <c r="CV162" s="29" t="str">
        <f>IF(OR($B162="",$A162&lt;=97),"",--MID('Key Analysis'!$C158,$A162-97,1))</f>
        <v/>
      </c>
      <c r="CW162" s="29" t="str">
        <f>IF(OR($B162="",$A162&lt;=98),"",--MID('Key Analysis'!$C158,$A162-98,1))</f>
        <v/>
      </c>
      <c r="CX162" s="29" t="str">
        <f>IF(OR($B162="",$A162&lt;=99),"",--MID('Key Analysis'!$C158,$A162-99,1))</f>
        <v/>
      </c>
      <c r="CY162" s="29" t="str">
        <f>IF(OR($B162="",$A162&lt;=100),"",--MID('Key Analysis'!$C158,$A162-100,1))</f>
        <v/>
      </c>
      <c r="CZ162" s="29" t="str">
        <f>IF(OR($B162="",$A162&lt;=101),"",--MID('Key Analysis'!$C158,$A162-101,1))</f>
        <v/>
      </c>
      <c r="DA162" s="29" t="str">
        <f>IF(OR($B162="",$A162&lt;=102),"",--MID('Key Analysis'!$C158,$A162-102,1))</f>
        <v/>
      </c>
      <c r="DB162" s="29" t="str">
        <f>IF(OR($B162="",$A162&lt;=103),"",--MID('Key Analysis'!$C158,$A162-103,1))</f>
        <v/>
      </c>
      <c r="DC162" s="29" t="str">
        <f>IF(OR($B162="",$A162&lt;=104),"",--MID('Key Analysis'!$C158,$A162-104,1))</f>
        <v/>
      </c>
      <c r="DD162" s="29" t="str">
        <f>IF(OR($B162="",$A162&lt;=105),"",--MID('Key Analysis'!$C158,$A162-105,1))</f>
        <v/>
      </c>
      <c r="DE162" s="29" t="str">
        <f>IF(OR($B162="",$A162&lt;=106),"",--MID('Key Analysis'!$C158,$A162-106,1))</f>
        <v/>
      </c>
      <c r="DF162" s="29" t="str">
        <f>IF(OR($B162="",$A162&lt;=107),"",--MID('Key Analysis'!$C158,$A162-107,1))</f>
        <v/>
      </c>
      <c r="DG162" s="29" t="str">
        <f>IF(OR($B162="",$A162&lt;=108),"",--MID('Key Analysis'!$C158,$A162-108,1))</f>
        <v/>
      </c>
      <c r="DH162" s="29" t="str">
        <f>IF(OR($B162="",$A162&lt;=109),"",--MID('Key Analysis'!$C158,$A162-109,1))</f>
        <v/>
      </c>
      <c r="DI162" s="29" t="str">
        <f>IF(OR($B162="",$A162&lt;=110),"",--MID('Key Analysis'!$C158,$A162-110,1))</f>
        <v/>
      </c>
      <c r="DJ162" s="29" t="str">
        <f>IF(OR($B162="",$A162&lt;=111),"",--MID('Key Analysis'!$C158,$A162-111,1))</f>
        <v/>
      </c>
      <c r="DK162" s="29" t="str">
        <f>IF(OR($B162="",$A162&lt;=112),"",--MID('Key Analysis'!$C158,$A162-112,1))</f>
        <v/>
      </c>
      <c r="DL162" s="29" t="str">
        <f>IF(OR($B162="",$A162&lt;=113),"",--MID('Key Analysis'!$C158,$A162-113,1))</f>
        <v/>
      </c>
      <c r="DM162" s="29" t="str">
        <f>IF(OR($B162="",$A162&lt;=114),"",--MID('Key Analysis'!$C158,$A162-114,1))</f>
        <v/>
      </c>
      <c r="DN162" s="29" t="str">
        <f>IF(OR($B162="",$A162&lt;=115),"",--MID('Key Analysis'!$C158,$A162-115,1))</f>
        <v/>
      </c>
      <c r="DO162" s="29" t="str">
        <f>IF(OR($B162="",$A162&lt;=116),"",--MID('Key Analysis'!$C158,$A162-116,1))</f>
        <v/>
      </c>
      <c r="DP162" s="29" t="str">
        <f>IF(OR($B162="",$A162&lt;=117),"",--MID('Key Analysis'!$C158,$A162-117,1))</f>
        <v/>
      </c>
      <c r="DQ162" s="29" t="str">
        <f>IF(OR($B162="",$A162&lt;=118),"",--MID('Key Analysis'!$C158,$A162-118,1))</f>
        <v/>
      </c>
      <c r="DR162" s="29" t="str">
        <f>IF(OR($B162="",$A162&lt;=119),"",--MID('Key Analysis'!$C158,$A162-119,1))</f>
        <v/>
      </c>
      <c r="DS162" s="29" t="str">
        <f>IF(OR($B162="",$A162&lt;=120),"",--MID('Key Analysis'!$C158,$A162-120,1))</f>
        <v/>
      </c>
      <c r="DT162" s="29" t="str">
        <f>IF(OR($B162="",$A162&lt;=121),"",--MID('Key Analysis'!$C158,$A162-121,1))</f>
        <v/>
      </c>
      <c r="DU162" s="29" t="str">
        <f>IF(OR($B162="",$A162&lt;=122),"",--MID('Key Analysis'!$C158,$A162-122,1))</f>
        <v/>
      </c>
      <c r="DV162" s="29" t="str">
        <f>IF(OR($B162="",$A162&lt;=123),"",--MID('Key Analysis'!$C158,$A162-123,1))</f>
        <v/>
      </c>
      <c r="DW162" s="29" t="str">
        <f>IF(OR($B162="",$A162&lt;=124),"",--MID('Key Analysis'!$C158,$A162-124,1))</f>
        <v/>
      </c>
      <c r="DX162" s="29" t="str">
        <f>IF(OR($B162="",$A162&lt;=125),"",--MID('Key Analysis'!$C158,$A162-125,1))</f>
        <v/>
      </c>
      <c r="DY162" s="29" t="str">
        <f>IF(OR($B162="",$A162&lt;=126),"",--MID('Key Analysis'!$C158,$A162-126,1))</f>
        <v/>
      </c>
      <c r="DZ162" s="29" t="str">
        <f>IF(OR($B162="",$A162&lt;=127),"",--MID('Key Analysis'!$C158,$A162-127,1))</f>
        <v/>
      </c>
      <c r="EA162" s="29" t="str">
        <f>IF(OR($B162="",$A162&lt;=128),"",--MID('Key Analysis'!$C158,$A162-128,1))</f>
        <v/>
      </c>
      <c r="EB162" s="29" t="str">
        <f>IF(OR($B162="",$A162&lt;=129),"",--MID('Key Analysis'!$C158,$A162-129,1))</f>
        <v/>
      </c>
      <c r="EC162" s="29" t="str">
        <f>IF(OR($B162="",$A162&lt;=130),"",--MID('Key Analysis'!$C158,$A162-130,1))</f>
        <v/>
      </c>
      <c r="ED162" s="29" t="str">
        <f>IF(OR($B162="",$A162&lt;=131),"",--MID('Key Analysis'!$C158,$A162-131,1))</f>
        <v/>
      </c>
      <c r="EE162" s="29" t="str">
        <f>IF(OR($B162="",$A162&lt;=132),"",--MID('Key Analysis'!$C158,$A162-132,1))</f>
        <v/>
      </c>
      <c r="EF162" s="29" t="str">
        <f>IF(OR($B162="",$A162&lt;=133),"",--MID('Key Analysis'!$C158,$A162-133,1))</f>
        <v/>
      </c>
      <c r="EG162" s="29" t="str">
        <f>IF(OR($B162="",$A162&lt;=134),"",--MID('Key Analysis'!$C158,$A162-134,1))</f>
        <v/>
      </c>
      <c r="EH162" s="29"/>
      <c r="EI162" s="29" t="str">
        <f>IF(OR($B162="",$A162&lt;1),"",--MID('Key Analysis'!$C158,1,1))</f>
        <v/>
      </c>
      <c r="EJ162" s="29" t="str">
        <f>IF(OR($B162="",$A162&lt;2),"",--MID('Key Analysis'!$C158,2,1))</f>
        <v/>
      </c>
      <c r="EK162" s="29" t="str">
        <f>IF(OR($B162="",$A162&lt;3),"",--MID('Key Analysis'!$C158,3,1))</f>
        <v/>
      </c>
      <c r="EL162" s="29" t="str">
        <f>IF(OR($B162="",$A162&lt;4),"",--MID('Key Analysis'!$C158,4,1))</f>
        <v/>
      </c>
      <c r="EM162" s="29" t="str">
        <f>IF(OR($B162="",$A162&lt;5),"",--MID('Key Analysis'!$C158,5,1))</f>
        <v/>
      </c>
      <c r="EN162" s="29" t="str">
        <f>IF(OR($B162="",$A162&lt;6),"",--MID('Key Analysis'!$C158,6,1))</f>
        <v/>
      </c>
      <c r="EO162" s="29" t="str">
        <f>IF(OR($B162="",$A162&lt;7),"",--MID('Key Analysis'!$C158,7,1))</f>
        <v/>
      </c>
      <c r="EP162" s="29" t="str">
        <f>IF(OR($B162="",$A162&lt;8),"",--MID('Key Analysis'!$C158,8,1))</f>
        <v/>
      </c>
      <c r="EQ162" s="29" t="str">
        <f>IF(OR($B162="",$A162&lt;9),"",--MID('Key Analysis'!$C158,9,1))</f>
        <v/>
      </c>
      <c r="ER162" s="29" t="str">
        <f>IF(OR($B162="",$A162&lt;10),"",--MID('Key Analysis'!$C158,10,1))</f>
        <v/>
      </c>
      <c r="ES162" s="29" t="str">
        <f>IF(OR($B162="",$A162&lt;11),"",--MID('Key Analysis'!$C158,11,1))</f>
        <v/>
      </c>
      <c r="ET162" s="29" t="str">
        <f>IF(OR($B162="",$A162&lt;12),"",--MID('Key Analysis'!$C158,12,1))</f>
        <v/>
      </c>
      <c r="EU162" s="29" t="str">
        <f>IF(OR($B162="",$A162&lt;13),"",--MID('Key Analysis'!$C158,13,1))</f>
        <v/>
      </c>
      <c r="EV162" s="29" t="str">
        <f>IF(OR($B162="",$A162&lt;14),"",--MID('Key Analysis'!$C158,14,1))</f>
        <v/>
      </c>
      <c r="EW162" s="29" t="str">
        <f>IF(OR($B162="",$A162&lt;15),"",--MID('Key Analysis'!$C158,15,1))</f>
        <v/>
      </c>
      <c r="EX162" s="29" t="str">
        <f>IF(OR($B162="",$A162&lt;16),"",--MID('Key Analysis'!$C158,16,1))</f>
        <v/>
      </c>
      <c r="EY162" s="29" t="str">
        <f>IF(OR($B162="",$A162&lt;17),"",--MID('Key Analysis'!$C158,17,1))</f>
        <v/>
      </c>
      <c r="EZ162" s="29" t="str">
        <f>IF(OR($B162="",$A162&lt;18),"",--MID('Key Analysis'!$C158,18,1))</f>
        <v/>
      </c>
      <c r="FA162" s="29" t="str">
        <f>IF(OR($B162="",$A162&lt;19),"",--MID('Key Analysis'!$C158,19,1))</f>
        <v/>
      </c>
      <c r="FB162" s="29" t="str">
        <f>IF(OR($B162="",$A162&lt;20),"",--MID('Key Analysis'!$C158,20,1))</f>
        <v/>
      </c>
      <c r="FC162" s="29" t="str">
        <f>IF(OR($B162="",$A162&lt;21),"",--MID('Key Analysis'!$C158,21,1))</f>
        <v/>
      </c>
      <c r="FD162" s="29" t="str">
        <f>IF(OR($B162="",$A162&lt;22),"",--MID('Key Analysis'!$C158,22,1))</f>
        <v/>
      </c>
      <c r="FE162" s="29" t="str">
        <f>IF(OR($B162="",$A162&lt;23),"",--MID('Key Analysis'!$C158,23,1))</f>
        <v/>
      </c>
      <c r="FF162" s="29" t="str">
        <f>IF(OR($B162="",$A162&lt;24),"",--MID('Key Analysis'!$C158,24,1))</f>
        <v/>
      </c>
      <c r="FG162" s="29" t="str">
        <f>IF(OR($B162="",$A162&lt;25),"",--MID('Key Analysis'!$C158,25,1))</f>
        <v/>
      </c>
      <c r="FH162" s="29" t="str">
        <f>IF(OR($B162="",$A162&lt;26),"",--MID('Key Analysis'!$C158,26,1))</f>
        <v/>
      </c>
      <c r="FI162" s="29" t="str">
        <f>IF(OR($B162="",$A162&lt;27),"",--MID('Key Analysis'!$C158,27,1))</f>
        <v/>
      </c>
      <c r="FJ162" s="29" t="str">
        <f>IF(OR($B162="",$A162&lt;28),"",--MID('Key Analysis'!$C158,28,1))</f>
        <v/>
      </c>
      <c r="FK162" s="29" t="str">
        <f>IF(OR($B162="",$A162&lt;29),"",--MID('Key Analysis'!$C158,29,1))</f>
        <v/>
      </c>
      <c r="FL162" s="29" t="str">
        <f>IF(OR($B162="",$A162&lt;30),"",--MID('Key Analysis'!$C158,30,1))</f>
        <v/>
      </c>
      <c r="FM162" s="29" t="str">
        <f>IF(OR($B162="",$A162&lt;31),"",--MID('Key Analysis'!$C158,31,1))</f>
        <v/>
      </c>
      <c r="FN162" s="29" t="str">
        <f>IF(OR($B162="",$A162&lt;32),"",--MID('Key Analysis'!$C158,32,1))</f>
        <v/>
      </c>
      <c r="FO162" s="29" t="str">
        <f>IF(OR($B162="",$A162&lt;33),"",--MID('Key Analysis'!$C158,33,1))</f>
        <v/>
      </c>
      <c r="FP162" s="29" t="str">
        <f>IF(OR($B162="",$A162&lt;34),"",--MID('Key Analysis'!$C158,34,1))</f>
        <v/>
      </c>
      <c r="FQ162" s="29" t="str">
        <f>IF(OR($B162="",$A162&lt;35),"",--MID('Key Analysis'!$C158,35,1))</f>
        <v/>
      </c>
      <c r="FR162" s="29" t="str">
        <f>IF(OR($B162="",$A162&lt;36),"",--MID('Key Analysis'!$C158,36,1))</f>
        <v/>
      </c>
      <c r="FS162" s="29" t="str">
        <f>IF(OR($B162="",$A162&lt;37),"",--MID('Key Analysis'!$C158,37,1))</f>
        <v/>
      </c>
      <c r="FT162" s="29" t="str">
        <f>IF(OR($B162="",$A162&lt;38),"",--MID('Key Analysis'!$C158,38,1))</f>
        <v/>
      </c>
      <c r="FU162" s="29" t="str">
        <f>IF(OR($B162="",$A162&lt;39),"",--MID('Key Analysis'!$C158,39,1))</f>
        <v/>
      </c>
      <c r="FV162" s="29" t="str">
        <f>IF(OR($B162="",$A162&lt;40),"",--MID('Key Analysis'!$C158,40,1))</f>
        <v/>
      </c>
      <c r="FW162" s="29" t="str">
        <f>IF(OR($B162="",$A162&lt;41),"",--MID('Key Analysis'!$C158,41,1))</f>
        <v/>
      </c>
      <c r="FX162" s="29" t="str">
        <f>IF(OR($B162="",$A162&lt;42),"",--MID('Key Analysis'!$C158,42,1))</f>
        <v/>
      </c>
      <c r="FY162" s="29" t="str">
        <f>IF(OR($B162="",$A162&lt;43),"",--MID('Key Analysis'!$C158,43,1))</f>
        <v/>
      </c>
      <c r="FZ162" s="29" t="str">
        <f>IF(OR($B162="",$A162&lt;44),"",--MID('Key Analysis'!$C158,44,1))</f>
        <v/>
      </c>
      <c r="GA162" s="29" t="str">
        <f>IF(OR($B162="",$A162&lt;45),"",--MID('Key Analysis'!$C158,45,1))</f>
        <v/>
      </c>
      <c r="GB162" s="29" t="str">
        <f>IF(OR($B162="",$A162&lt;46),"",--MID('Key Analysis'!$C158,46,1))</f>
        <v/>
      </c>
      <c r="GC162" s="29" t="str">
        <f>IF(OR($B162="",$A162&lt;47),"",--MID('Key Analysis'!$C158,47,1))</f>
        <v/>
      </c>
      <c r="GD162" s="29" t="str">
        <f>IF(OR($B162="",$A162&lt;48),"",--MID('Key Analysis'!$C158,48,1))</f>
        <v/>
      </c>
      <c r="GE162" s="29" t="str">
        <f>IF(OR($B162="",$A162&lt;49),"",--MID('Key Analysis'!$C158,49,1))</f>
        <v/>
      </c>
      <c r="GF162" s="29" t="str">
        <f>IF(OR($B162="",$A162&lt;50),"",--MID('Key Analysis'!$C158,50,1))</f>
        <v/>
      </c>
      <c r="GG162" s="29" t="str">
        <f>IF(OR($B162="",$A162&lt;51),"",--MID('Key Analysis'!$C158,51,1))</f>
        <v/>
      </c>
      <c r="GH162" s="29" t="str">
        <f>IF(OR($B162="",$A162&lt;52),"",--MID('Key Analysis'!$C158,52,1))</f>
        <v/>
      </c>
      <c r="GI162" s="29" t="str">
        <f>IF(OR($B162="",$A162&lt;53),"",--MID('Key Analysis'!$C158,53,1))</f>
        <v/>
      </c>
      <c r="GJ162" s="29" t="str">
        <f>IF(OR($B162="",$A162&lt;54),"",--MID('Key Analysis'!$C158,54,1))</f>
        <v/>
      </c>
      <c r="GK162" s="29" t="str">
        <f>IF(OR($B162="",$A162&lt;55),"",--MID('Key Analysis'!$C158,55,1))</f>
        <v/>
      </c>
      <c r="GL162" s="29" t="str">
        <f>IF(OR($B162="",$A162&lt;56),"",--MID('Key Analysis'!$C158,56,1))</f>
        <v/>
      </c>
      <c r="GM162" s="29" t="str">
        <f>IF(OR($B162="",$A162&lt;57),"",--MID('Key Analysis'!$C158,57,1))</f>
        <v/>
      </c>
      <c r="GN162" s="29" t="str">
        <f>IF(OR($B162="",$A162&lt;58),"",--MID('Key Analysis'!$C158,58,1))</f>
        <v/>
      </c>
      <c r="GO162" s="29" t="str">
        <f>IF(OR($B162="",$A162&lt;59),"",--MID('Key Analysis'!$C158,59,1))</f>
        <v/>
      </c>
      <c r="GP162" s="29" t="str">
        <f>IF(OR($B162="",$A162&lt;60),"",--MID('Key Analysis'!$C158,60,1))</f>
        <v/>
      </c>
      <c r="GQ162" s="29" t="str">
        <f>IF(OR($B162="",$A162&lt;61),"",--MID('Key Analysis'!$C158,61,1))</f>
        <v/>
      </c>
      <c r="GR162" s="29" t="str">
        <f>IF(OR($B162="",$A162&lt;62),"",--MID('Key Analysis'!$C158,62,1))</f>
        <v/>
      </c>
      <c r="GS162" s="29" t="str">
        <f>IF(OR($B162="",$A162&lt;63),"",--MID('Key Analysis'!$C158,63,1))</f>
        <v/>
      </c>
      <c r="GT162" s="29" t="str">
        <f>IF(OR($B162="",$A162&lt;64),"",--MID('Key Analysis'!$C158,64,1))</f>
        <v/>
      </c>
      <c r="GU162" s="29" t="str">
        <f>IF(OR($B162="",$A162&lt;65),"",--MID('Key Analysis'!$C158,65,1))</f>
        <v/>
      </c>
      <c r="GV162" s="29" t="str">
        <f>IF(OR($B162="",$A162&lt;66),"",--MID('Key Analysis'!$C158,66,1))</f>
        <v/>
      </c>
      <c r="GW162" s="29" t="str">
        <f>IF(OR($B162="",$A162&lt;67),"",--MID('Key Analysis'!$C158,67,1))</f>
        <v/>
      </c>
      <c r="GX162" s="29" t="str">
        <f>IF(OR($B162="",$A162&lt;68),"",--MID('Key Analysis'!$C158,68,1))</f>
        <v/>
      </c>
      <c r="GY162" s="29" t="str">
        <f>IF(OR($B162="",$A162&lt;69),"",--MID('Key Analysis'!$C158,69,1))</f>
        <v/>
      </c>
      <c r="GZ162" s="29" t="str">
        <f>IF(OR($B162="",$A162&lt;70),"",--MID('Key Analysis'!$C158,70,1))</f>
        <v/>
      </c>
      <c r="HA162" s="29" t="str">
        <f>IF(OR($B162="",$A162&lt;71),"",--MID('Key Analysis'!$C158,71,1))</f>
        <v/>
      </c>
      <c r="HB162" s="29" t="str">
        <f>IF(OR($B162="",$A162&lt;72),"",--MID('Key Analysis'!$C158,72,1))</f>
        <v/>
      </c>
      <c r="HC162" s="29" t="str">
        <f>IF(OR($B162="",$A162&lt;73),"",--MID('Key Analysis'!$C158,73,1))</f>
        <v/>
      </c>
      <c r="HD162" s="29" t="str">
        <f>IF(OR($B162="",$A162&lt;74),"",--MID('Key Analysis'!$C158,74,1))</f>
        <v/>
      </c>
      <c r="HE162" s="29" t="str">
        <f>IF(OR($B162="",$A162&lt;75),"",--MID('Key Analysis'!$C158,75,1))</f>
        <v/>
      </c>
      <c r="HF162" s="29" t="str">
        <f>IF(OR($B162="",$A162&lt;76),"",--MID('Key Analysis'!$C158,76,1))</f>
        <v/>
      </c>
      <c r="HG162" s="29" t="str">
        <f>IF(OR($B162="",$A162&lt;77),"",--MID('Key Analysis'!$C158,77,1))</f>
        <v/>
      </c>
      <c r="HH162" s="29" t="str">
        <f>IF(OR($B162="",$A162&lt;78),"",--MID('Key Analysis'!$C158,78,1))</f>
        <v/>
      </c>
      <c r="HI162" s="29" t="str">
        <f>IF(OR($B162="",$A162&lt;79),"",--MID('Key Analysis'!$C158,79,1))</f>
        <v/>
      </c>
      <c r="HJ162" s="29" t="str">
        <f>IF(OR($B162="",$A162&lt;80),"",--MID('Key Analysis'!$C158,80,1))</f>
        <v/>
      </c>
      <c r="HK162" s="29" t="str">
        <f>IF(OR($B162="",$A162&lt;81),"",--MID('Key Analysis'!$C158,81,1))</f>
        <v/>
      </c>
      <c r="HL162" s="29" t="str">
        <f>IF(OR($B162="",$A162&lt;82),"",--MID('Key Analysis'!$C158,82,1))</f>
        <v/>
      </c>
      <c r="HM162" s="29" t="str">
        <f>IF(OR($B162="",$A162&lt;83),"",--MID('Key Analysis'!$C158,83,1))</f>
        <v/>
      </c>
      <c r="HN162" s="29" t="str">
        <f>IF(OR($B162="",$A162&lt;84),"",--MID('Key Analysis'!$C158,84,1))</f>
        <v/>
      </c>
      <c r="HO162" s="29" t="str">
        <f>IF(OR($B162="",$A162&lt;85),"",--MID('Key Analysis'!$C158,85,1))</f>
        <v/>
      </c>
      <c r="HP162" s="29" t="str">
        <f>IF(OR($B162="",$A162&lt;86),"",--MID('Key Analysis'!$C158,86,1))</f>
        <v/>
      </c>
      <c r="HQ162" s="29" t="str">
        <f>IF(OR($B162="",$A162&lt;87),"",--MID('Key Analysis'!$C158,87,1))</f>
        <v/>
      </c>
      <c r="HR162" s="29" t="str">
        <f>IF(OR($B162="",$A162&lt;88),"",--MID('Key Analysis'!$C158,88,1))</f>
        <v/>
      </c>
      <c r="HS162" s="29" t="str">
        <f>IF(OR($B162="",$A162&lt;89),"",--MID('Key Analysis'!$C158,89,1))</f>
        <v/>
      </c>
      <c r="HT162" s="29" t="str">
        <f>IF(OR($B162="",$A162&lt;90),"",--MID('Key Analysis'!$C158,90,1))</f>
        <v/>
      </c>
      <c r="HU162" s="29" t="str">
        <f>IF(OR($B162="",$A162&lt;91),"",--MID('Key Analysis'!$C158,91,1))</f>
        <v/>
      </c>
      <c r="HV162" s="29" t="str">
        <f>IF(OR($B162="",$A162&lt;92),"",--MID('Key Analysis'!$C158,92,1))</f>
        <v/>
      </c>
      <c r="HW162" s="29" t="str">
        <f>IF(OR($B162="",$A162&lt;93),"",--MID('Key Analysis'!$C158,93,1))</f>
        <v/>
      </c>
      <c r="HX162" s="29" t="str">
        <f>IF(OR($B162="",$A162&lt;94),"",--MID('Key Analysis'!$C158,94,1))</f>
        <v/>
      </c>
      <c r="HY162" s="29" t="str">
        <f>IF(OR($B162="",$A162&lt;95),"",--MID('Key Analysis'!$C158,95,1))</f>
        <v/>
      </c>
      <c r="HZ162" s="29" t="str">
        <f>IF(OR($B162="",$A162&lt;96),"",--MID('Key Analysis'!$C158,96,1))</f>
        <v/>
      </c>
      <c r="IA162" s="29" t="str">
        <f>IF(OR($B162="",$A162&lt;97),"",--MID('Key Analysis'!$C158,97,1))</f>
        <v/>
      </c>
      <c r="IB162" s="29" t="str">
        <f>IF(OR($B162="",$A162&lt;98),"",--MID('Key Analysis'!$C158,98,1))</f>
        <v/>
      </c>
      <c r="IC162" s="29" t="str">
        <f>IF(OR($B162="",$A162&lt;99),"",--MID('Key Analysis'!$C158,99,1))</f>
        <v/>
      </c>
      <c r="ID162" s="29" t="str">
        <f>IF(OR($B162="",$A162&lt;100),"",--MID('Key Analysis'!$C158,100,1))</f>
        <v/>
      </c>
      <c r="IE162" s="29" t="str">
        <f>IF(OR($B162="",$A162&lt;101),"",--MID('Key Analysis'!$C158,101,1))</f>
        <v/>
      </c>
      <c r="IF162" s="29" t="str">
        <f>IF(OR($B162="",$A162&lt;102),"",--MID('Key Analysis'!$C158,102,1))</f>
        <v/>
      </c>
      <c r="IG162" s="29" t="str">
        <f>IF(OR($B162="",$A162&lt;103),"",--MID('Key Analysis'!$C158,103,1))</f>
        <v/>
      </c>
      <c r="IH162" s="29" t="str">
        <f>IF(OR($B162="",$A162&lt;104),"",--MID('Key Analysis'!$C158,104,1))</f>
        <v/>
      </c>
      <c r="II162" s="29" t="str">
        <f>IF(OR($B162="",$A162&lt;105),"",--MID('Key Analysis'!$C158,105,1))</f>
        <v/>
      </c>
      <c r="IJ162" s="29" t="str">
        <f>IF(OR($B162="",$A162&lt;106),"",--MID('Key Analysis'!$C158,106,1))</f>
        <v/>
      </c>
      <c r="IK162" s="29" t="str">
        <f>IF(OR($B162="",$A162&lt;107),"",--MID('Key Analysis'!$C158,107,1))</f>
        <v/>
      </c>
      <c r="IL162" s="29" t="str">
        <f>IF(OR($B162="",$A162&lt;108),"",--MID('Key Analysis'!$C158,108,1))</f>
        <v/>
      </c>
      <c r="IM162" s="29" t="str">
        <f>IF(OR($B162="",$A162&lt;109),"",--MID('Key Analysis'!$C158,109,1))</f>
        <v/>
      </c>
      <c r="IN162" s="29" t="str">
        <f>IF(OR($B162="",$A162&lt;110),"",--MID('Key Analysis'!$C158,110,1))</f>
        <v/>
      </c>
      <c r="IO162" s="29" t="str">
        <f>IF(OR($B162="",$A162&lt;111),"",--MID('Key Analysis'!$C158,111,1))</f>
        <v/>
      </c>
      <c r="IP162" s="29" t="str">
        <f>IF(OR($B162="",$A162&lt;112),"",--MID('Key Analysis'!$C158,112,1))</f>
        <v/>
      </c>
      <c r="IQ162" s="29" t="str">
        <f>IF(OR($B162="",$A162&lt;113),"",--MID('Key Analysis'!$C158,113,1))</f>
        <v/>
      </c>
      <c r="IR162" s="29" t="str">
        <f>IF(OR($B162="",$A162&lt;114),"",--MID('Key Analysis'!$C158,114,1))</f>
        <v/>
      </c>
      <c r="IS162" s="29" t="str">
        <f>IF(OR($B162="",$A162&lt;115),"",--MID('Key Analysis'!$C158,115,1))</f>
        <v/>
      </c>
      <c r="IT162" s="29" t="str">
        <f>IF(OR($B162="",$A162&lt;116),"",--MID('Key Analysis'!$C158,116,1))</f>
        <v/>
      </c>
      <c r="IU162" s="29" t="str">
        <f>IF(OR($B162="",$A162&lt;117),"",--MID('Key Analysis'!$C158,117,1))</f>
        <v/>
      </c>
      <c r="IV162" s="29" t="str">
        <f>IF(OR($B162="",$A162&lt;118),"",--MID('Key Analysis'!$C158,118,1))</f>
        <v/>
      </c>
      <c r="IW162" s="29" t="str">
        <f>IF(OR($B162="",$A162&lt;119),"",--MID('Key Analysis'!$C158,119,1))</f>
        <v/>
      </c>
      <c r="IX162" s="29" t="str">
        <f>IF(OR($B162="",$A162&lt;120),"",--MID('Key Analysis'!$C158,120,1))</f>
        <v/>
      </c>
      <c r="IY162" s="29" t="str">
        <f>IF(OR($B162="",$A162&lt;121),"",--MID('Key Analysis'!$C158,121,1))</f>
        <v/>
      </c>
      <c r="IZ162" s="29" t="str">
        <f>IF(OR($B162="",$A162&lt;122),"",--MID('Key Analysis'!$C158,122,1))</f>
        <v/>
      </c>
      <c r="JA162" s="29" t="str">
        <f>IF(OR($B162="",$A162&lt;123),"",--MID('Key Analysis'!$C158,123,1))</f>
        <v/>
      </c>
      <c r="JB162" s="29" t="str">
        <f>IF(OR($B162="",$A162&lt;124),"",--MID('Key Analysis'!$C158,124,1))</f>
        <v/>
      </c>
      <c r="JC162" s="29" t="str">
        <f>IF(OR($B162="",$A162&lt;125),"",--MID('Key Analysis'!$C158,125,1))</f>
        <v/>
      </c>
      <c r="JD162" s="29" t="str">
        <f>IF(OR($B162="",$A162&lt;126),"",--MID('Key Analysis'!$C158,126,1))</f>
        <v/>
      </c>
      <c r="JE162" s="29" t="str">
        <f>IF(OR($B162="",$A162&lt;127),"",--MID('Key Analysis'!$C158,127,1))</f>
        <v/>
      </c>
      <c r="JF162" s="29" t="str">
        <f>IF(OR($B162="",$A162&lt;128),"",--MID('Key Analysis'!$C158,128,1))</f>
        <v/>
      </c>
      <c r="JG162" s="29" t="str">
        <f>IF(OR($B162="",$A162&lt;129),"",--MID('Key Analysis'!$C158,129,1))</f>
        <v/>
      </c>
      <c r="JH162" s="29" t="str">
        <f>IF(OR($B162="",$A162&lt;130),"",--MID('Key Analysis'!$C158,130,1))</f>
        <v/>
      </c>
      <c r="JI162" s="29" t="str">
        <f>IF(OR($B162="",$A162&lt;131),"",--MID('Key Analysis'!$C158,131,1))</f>
        <v/>
      </c>
      <c r="JJ162" s="29" t="str">
        <f>IF(OR($B162="",$A162&lt;132),"",--MID('Key Analysis'!$C158,132,1))</f>
        <v/>
      </c>
      <c r="JK162" s="29" t="str">
        <f>IF(OR($B162="",$A162&lt;133),"",--MID('Key Analysis'!$C158,133,1))</f>
        <v/>
      </c>
      <c r="JL162" s="29" t="str">
        <f>IF(OR($B162="",$A162&lt;134),"",--MID('Key Analysis'!$C158,134,1))</f>
        <v/>
      </c>
      <c r="JM162" s="29" t="str">
        <f>IF(OR($B162="",$A162&lt;135),"",--MID('Key Analysis'!$C158,135,1))</f>
        <v/>
      </c>
    </row>
    <row r="163" spans="1:273" x14ac:dyDescent="0.25">
      <c r="A163" s="21">
        <f>'Key Analysis'!A159</f>
        <v>158</v>
      </c>
      <c r="B163" s="30" t="str">
        <f>'Key Analysis'!B159</f>
        <v/>
      </c>
      <c r="C163" s="29" t="str">
        <f>IF(OR($B163="",$A163&lt;=0),"",--MID('Key Analysis'!$C159,$A163-0,1))</f>
        <v/>
      </c>
      <c r="D163" s="29" t="str">
        <f>IF(OR($B163="",$A163&lt;=1),"",--MID('Key Analysis'!$C159,$A163-1,1))</f>
        <v/>
      </c>
      <c r="E163" s="29" t="str">
        <f>IF(OR($B163="",$A163&lt;=2),"",--MID('Key Analysis'!$C159,$A163-2,1))</f>
        <v/>
      </c>
      <c r="F163" s="29" t="str">
        <f>IF(OR($B163="",$A163&lt;=3),"",--MID('Key Analysis'!$C159,$A163-3,1))</f>
        <v/>
      </c>
      <c r="G163" s="29" t="str">
        <f>IF(OR($B163="",$A163&lt;=4),"",--MID('Key Analysis'!$C159,$A163-4,1))</f>
        <v/>
      </c>
      <c r="H163" s="29" t="str">
        <f>IF(OR($B163="",$A163&lt;=5),"",--MID('Key Analysis'!$C159,$A163-5,1))</f>
        <v/>
      </c>
      <c r="I163" s="29" t="str">
        <f>IF(OR($B163="",$A163&lt;=6),"",--MID('Key Analysis'!$C159,$A163-6,1))</f>
        <v/>
      </c>
      <c r="J163" s="29" t="str">
        <f>IF(OR($B163="",$A163&lt;=7),"",--MID('Key Analysis'!$C159,$A163-7,1))</f>
        <v/>
      </c>
      <c r="K163" s="29" t="str">
        <f>IF(OR($B163="",$A163&lt;=8),"",--MID('Key Analysis'!$C159,$A163-8,1))</f>
        <v/>
      </c>
      <c r="L163" s="29" t="str">
        <f>IF(OR($B163="",$A163&lt;=9),"",--MID('Key Analysis'!$C159,$A163-9,1))</f>
        <v/>
      </c>
      <c r="M163" s="29" t="str">
        <f>IF(OR($B163="",$A163&lt;=10),"",--MID('Key Analysis'!$C159,$A163-10,1))</f>
        <v/>
      </c>
      <c r="N163" s="29" t="str">
        <f>IF(OR($B163="",$A163&lt;=11),"",--MID('Key Analysis'!$C159,$A163-11,1))</f>
        <v/>
      </c>
      <c r="O163" s="29" t="str">
        <f>IF(OR($B163="",$A163&lt;=12),"",--MID('Key Analysis'!$C159,$A163-12,1))</f>
        <v/>
      </c>
      <c r="P163" s="29" t="str">
        <f>IF(OR($B163="",$A163&lt;=13),"",--MID('Key Analysis'!$C159,$A163-13,1))</f>
        <v/>
      </c>
      <c r="Q163" s="29" t="str">
        <f>IF(OR($B163="",$A163&lt;=14),"",--MID('Key Analysis'!$C159,$A163-14,1))</f>
        <v/>
      </c>
      <c r="R163" s="29" t="str">
        <f>IF(OR($B163="",$A163&lt;=15),"",--MID('Key Analysis'!$C159,$A163-15,1))</f>
        <v/>
      </c>
      <c r="S163" s="29" t="str">
        <f>IF(OR($B163="",$A163&lt;=16),"",--MID('Key Analysis'!$C159,$A163-16,1))</f>
        <v/>
      </c>
      <c r="T163" s="29" t="str">
        <f>IF(OR($B163="",$A163&lt;=17),"",--MID('Key Analysis'!$C159,$A163-17,1))</f>
        <v/>
      </c>
      <c r="U163" s="29" t="str">
        <f>IF(OR($B163="",$A163&lt;=18),"",--MID('Key Analysis'!$C159,$A163-18,1))</f>
        <v/>
      </c>
      <c r="V163" s="29" t="str">
        <f>IF(OR($B163="",$A163&lt;=19),"",--MID('Key Analysis'!$C159,$A163-19,1))</f>
        <v/>
      </c>
      <c r="W163" s="29" t="str">
        <f>IF(OR($B163="",$A163&lt;=20),"",--MID('Key Analysis'!$C159,$A163-20,1))</f>
        <v/>
      </c>
      <c r="X163" s="29" t="str">
        <f>IF(OR($B163="",$A163&lt;=21),"",--MID('Key Analysis'!$C159,$A163-21,1))</f>
        <v/>
      </c>
      <c r="Y163" s="29" t="str">
        <f>IF(OR($B163="",$A163&lt;=22),"",--MID('Key Analysis'!$C159,$A163-22,1))</f>
        <v/>
      </c>
      <c r="Z163" s="29" t="str">
        <f>IF(OR($B163="",$A163&lt;=23),"",--MID('Key Analysis'!$C159,$A163-23,1))</f>
        <v/>
      </c>
      <c r="AA163" s="29" t="str">
        <f>IF(OR($B163="",$A163&lt;=24),"",--MID('Key Analysis'!$C159,$A163-24,1))</f>
        <v/>
      </c>
      <c r="AB163" s="29" t="str">
        <f>IF(OR($B163="",$A163&lt;=25),"",--MID('Key Analysis'!$C159,$A163-25,1))</f>
        <v/>
      </c>
      <c r="AC163" s="29" t="str">
        <f>IF(OR($B163="",$A163&lt;=26),"",--MID('Key Analysis'!$C159,$A163-26,1))</f>
        <v/>
      </c>
      <c r="AD163" s="29" t="str">
        <f>IF(OR($B163="",$A163&lt;=27),"",--MID('Key Analysis'!$C159,$A163-27,1))</f>
        <v/>
      </c>
      <c r="AE163" s="29" t="str">
        <f>IF(OR($B163="",$A163&lt;=28),"",--MID('Key Analysis'!$C159,$A163-28,1))</f>
        <v/>
      </c>
      <c r="AF163" s="29" t="str">
        <f>IF(OR($B163="",$A163&lt;=29),"",--MID('Key Analysis'!$C159,$A163-29,1))</f>
        <v/>
      </c>
      <c r="AG163" s="29" t="str">
        <f>IF(OR($B163="",$A163&lt;=30),"",--MID('Key Analysis'!$C159,$A163-30,1))</f>
        <v/>
      </c>
      <c r="AH163" s="29" t="str">
        <f>IF(OR($B163="",$A163&lt;=31),"",--MID('Key Analysis'!$C159,$A163-31,1))</f>
        <v/>
      </c>
      <c r="AI163" s="29" t="str">
        <f>IF(OR($B163="",$A163&lt;=32),"",--MID('Key Analysis'!$C159,$A163-32,1))</f>
        <v/>
      </c>
      <c r="AJ163" s="29" t="str">
        <f>IF(OR($B163="",$A163&lt;=33),"",--MID('Key Analysis'!$C159,$A163-33,1))</f>
        <v/>
      </c>
      <c r="AK163" s="29" t="str">
        <f>IF(OR($B163="",$A163&lt;=34),"",--MID('Key Analysis'!$C159,$A163-34,1))</f>
        <v/>
      </c>
      <c r="AL163" s="29" t="str">
        <f>IF(OR($B163="",$A163&lt;=35),"",--MID('Key Analysis'!$C159,$A163-35,1))</f>
        <v/>
      </c>
      <c r="AM163" s="29" t="str">
        <f>IF(OR($B163="",$A163&lt;=36),"",--MID('Key Analysis'!$C159,$A163-36,1))</f>
        <v/>
      </c>
      <c r="AN163" s="29" t="str">
        <f>IF(OR($B163="",$A163&lt;=37),"",--MID('Key Analysis'!$C159,$A163-37,1))</f>
        <v/>
      </c>
      <c r="AO163" s="29" t="str">
        <f>IF(OR($B163="",$A163&lt;=38),"",--MID('Key Analysis'!$C159,$A163-38,1))</f>
        <v/>
      </c>
      <c r="AP163" s="29" t="str">
        <f>IF(OR($B163="",$A163&lt;=39),"",--MID('Key Analysis'!$C159,$A163-39,1))</f>
        <v/>
      </c>
      <c r="AQ163" s="29" t="str">
        <f>IF(OR($B163="",$A163&lt;=40),"",--MID('Key Analysis'!$C159,$A163-40,1))</f>
        <v/>
      </c>
      <c r="AR163" s="29" t="str">
        <f>IF(OR($B163="",$A163&lt;=41),"",--MID('Key Analysis'!$C159,$A163-41,1))</f>
        <v/>
      </c>
      <c r="AS163" s="29" t="str">
        <f>IF(OR($B163="",$A163&lt;=42),"",--MID('Key Analysis'!$C159,$A163-42,1))</f>
        <v/>
      </c>
      <c r="AT163" s="29" t="str">
        <f>IF(OR($B163="",$A163&lt;=43),"",--MID('Key Analysis'!$C159,$A163-43,1))</f>
        <v/>
      </c>
      <c r="AU163" s="29" t="str">
        <f>IF(OR($B163="",$A163&lt;=44),"",--MID('Key Analysis'!$C159,$A163-44,1))</f>
        <v/>
      </c>
      <c r="AV163" s="29" t="str">
        <f>IF(OR($B163="",$A163&lt;=45),"",--MID('Key Analysis'!$C159,$A163-45,1))</f>
        <v/>
      </c>
      <c r="AW163" s="29" t="str">
        <f>IF(OR($B163="",$A163&lt;=46),"",--MID('Key Analysis'!$C159,$A163-46,1))</f>
        <v/>
      </c>
      <c r="AX163" s="29" t="str">
        <f>IF(OR($B163="",$A163&lt;=47),"",--MID('Key Analysis'!$C159,$A163-47,1))</f>
        <v/>
      </c>
      <c r="AY163" s="29" t="str">
        <f>IF(OR($B163="",$A163&lt;=48),"",--MID('Key Analysis'!$C159,$A163-48,1))</f>
        <v/>
      </c>
      <c r="AZ163" s="29" t="str">
        <f>IF(OR($B163="",$A163&lt;=49),"",--MID('Key Analysis'!$C159,$A163-49,1))</f>
        <v/>
      </c>
      <c r="BA163" s="29" t="str">
        <f>IF(OR($B163="",$A163&lt;=50),"",--MID('Key Analysis'!$C159,$A163-50,1))</f>
        <v/>
      </c>
      <c r="BB163" s="29" t="str">
        <f>IF(OR($B163="",$A163&lt;=51),"",--MID('Key Analysis'!$C159,$A163-51,1))</f>
        <v/>
      </c>
      <c r="BC163" s="29" t="str">
        <f>IF(OR($B163="",$A163&lt;=52),"",--MID('Key Analysis'!$C159,$A163-52,1))</f>
        <v/>
      </c>
      <c r="BD163" s="29" t="str">
        <f>IF(OR($B163="",$A163&lt;=53),"",--MID('Key Analysis'!$C159,$A163-53,1))</f>
        <v/>
      </c>
      <c r="BE163" s="29" t="str">
        <f>IF(OR($B163="",$A163&lt;=54),"",--MID('Key Analysis'!$C159,$A163-54,1))</f>
        <v/>
      </c>
      <c r="BF163" s="29" t="str">
        <f>IF(OR($B163="",$A163&lt;=55),"",--MID('Key Analysis'!$C159,$A163-55,1))</f>
        <v/>
      </c>
      <c r="BG163" s="29" t="str">
        <f>IF(OR($B163="",$A163&lt;=56),"",--MID('Key Analysis'!$C159,$A163-56,1))</f>
        <v/>
      </c>
      <c r="BH163" s="29" t="str">
        <f>IF(OR($B163="",$A163&lt;=57),"",--MID('Key Analysis'!$C159,$A163-57,1))</f>
        <v/>
      </c>
      <c r="BI163" s="29" t="str">
        <f>IF(OR($B163="",$A163&lt;=58),"",--MID('Key Analysis'!$C159,$A163-58,1))</f>
        <v/>
      </c>
      <c r="BJ163" s="29" t="str">
        <f>IF(OR($B163="",$A163&lt;=59),"",--MID('Key Analysis'!$C159,$A163-59,1))</f>
        <v/>
      </c>
      <c r="BK163" s="29" t="str">
        <f>IF(OR($B163="",$A163&lt;=60),"",--MID('Key Analysis'!$C159,$A163-60,1))</f>
        <v/>
      </c>
      <c r="BL163" s="29" t="str">
        <f>IF(OR($B163="",$A163&lt;=61),"",--MID('Key Analysis'!$C159,$A163-61,1))</f>
        <v/>
      </c>
      <c r="BM163" s="29" t="str">
        <f>IF(OR($B163="",$A163&lt;=62),"",--MID('Key Analysis'!$C159,$A163-62,1))</f>
        <v/>
      </c>
      <c r="BN163" s="29" t="str">
        <f>IF(OR($B163="",$A163&lt;=63),"",--MID('Key Analysis'!$C159,$A163-63,1))</f>
        <v/>
      </c>
      <c r="BO163" s="29" t="str">
        <f>IF(OR($B163="",$A163&lt;=64),"",--MID('Key Analysis'!$C159,$A163-64,1))</f>
        <v/>
      </c>
      <c r="BP163" s="29" t="str">
        <f>IF(OR($B163="",$A163&lt;=65),"",--MID('Key Analysis'!$C159,$A163-65,1))</f>
        <v/>
      </c>
      <c r="BQ163" s="29" t="str">
        <f>IF(OR($B163="",$A163&lt;=66),"",--MID('Key Analysis'!$C159,$A163-66,1))</f>
        <v/>
      </c>
      <c r="BR163" s="29" t="str">
        <f>IF(OR($B163="",$A163&lt;=67),"",--MID('Key Analysis'!$C159,$A163-67,1))</f>
        <v/>
      </c>
      <c r="BS163" s="29" t="str">
        <f>IF(OR($B163="",$A163&lt;=68),"",--MID('Key Analysis'!$C159,$A163-68,1))</f>
        <v/>
      </c>
      <c r="BT163" s="29" t="str">
        <f>IF(OR($B163="",$A163&lt;=69),"",--MID('Key Analysis'!$C159,$A163-69,1))</f>
        <v/>
      </c>
      <c r="BU163" s="29" t="str">
        <f>IF(OR($B163="",$A163&lt;=70),"",--MID('Key Analysis'!$C159,$A163-70,1))</f>
        <v/>
      </c>
      <c r="BV163" s="29" t="str">
        <f>IF(OR($B163="",$A163&lt;=71),"",--MID('Key Analysis'!$C159,$A163-71,1))</f>
        <v/>
      </c>
      <c r="BW163" s="29" t="str">
        <f>IF(OR($B163="",$A163&lt;=72),"",--MID('Key Analysis'!$C159,$A163-72,1))</f>
        <v/>
      </c>
      <c r="BX163" s="29" t="str">
        <f>IF(OR($B163="",$A163&lt;=73),"",--MID('Key Analysis'!$C159,$A163-73,1))</f>
        <v/>
      </c>
      <c r="BY163" s="29" t="str">
        <f>IF(OR($B163="",$A163&lt;=74),"",--MID('Key Analysis'!$C159,$A163-74,1))</f>
        <v/>
      </c>
      <c r="BZ163" s="29" t="str">
        <f>IF(OR($B163="",$A163&lt;=75),"",--MID('Key Analysis'!$C159,$A163-75,1))</f>
        <v/>
      </c>
      <c r="CA163" s="29" t="str">
        <f>IF(OR($B163="",$A163&lt;=76),"",--MID('Key Analysis'!$C159,$A163-76,1))</f>
        <v/>
      </c>
      <c r="CB163" s="29" t="str">
        <f>IF(OR($B163="",$A163&lt;=77),"",--MID('Key Analysis'!$C159,$A163-77,1))</f>
        <v/>
      </c>
      <c r="CC163" s="29" t="str">
        <f>IF(OR($B163="",$A163&lt;=78),"",--MID('Key Analysis'!$C159,$A163-78,1))</f>
        <v/>
      </c>
      <c r="CD163" s="29" t="str">
        <f>IF(OR($B163="",$A163&lt;=79),"",--MID('Key Analysis'!$C159,$A163-79,1))</f>
        <v/>
      </c>
      <c r="CE163" s="29" t="str">
        <f>IF(OR($B163="",$A163&lt;=80),"",--MID('Key Analysis'!$C159,$A163-80,1))</f>
        <v/>
      </c>
      <c r="CF163" s="29" t="str">
        <f>IF(OR($B163="",$A163&lt;=81),"",--MID('Key Analysis'!$C159,$A163-81,1))</f>
        <v/>
      </c>
      <c r="CG163" s="29" t="str">
        <f>IF(OR($B163="",$A163&lt;=82),"",--MID('Key Analysis'!$C159,$A163-82,1))</f>
        <v/>
      </c>
      <c r="CH163" s="29" t="str">
        <f>IF(OR($B163="",$A163&lt;=83),"",--MID('Key Analysis'!$C159,$A163-83,1))</f>
        <v/>
      </c>
      <c r="CI163" s="29" t="str">
        <f>IF(OR($B163="",$A163&lt;=84),"",--MID('Key Analysis'!$C159,$A163-84,1))</f>
        <v/>
      </c>
      <c r="CJ163" s="29" t="str">
        <f>IF(OR($B163="",$A163&lt;=85),"",--MID('Key Analysis'!$C159,$A163-85,1))</f>
        <v/>
      </c>
      <c r="CK163" s="29" t="str">
        <f>IF(OR($B163="",$A163&lt;=86),"",--MID('Key Analysis'!$C159,$A163-86,1))</f>
        <v/>
      </c>
      <c r="CL163" s="29" t="str">
        <f>IF(OR($B163="",$A163&lt;=87),"",--MID('Key Analysis'!$C159,$A163-87,1))</f>
        <v/>
      </c>
      <c r="CM163" s="29" t="str">
        <f>IF(OR($B163="",$A163&lt;=88),"",--MID('Key Analysis'!$C159,$A163-88,1))</f>
        <v/>
      </c>
      <c r="CN163" s="29" t="str">
        <f>IF(OR($B163="",$A163&lt;=89),"",--MID('Key Analysis'!$C159,$A163-89,1))</f>
        <v/>
      </c>
      <c r="CO163" s="29" t="str">
        <f>IF(OR($B163="",$A163&lt;=90),"",--MID('Key Analysis'!$C159,$A163-90,1))</f>
        <v/>
      </c>
      <c r="CP163" s="29" t="str">
        <f>IF(OR($B163="",$A163&lt;=91),"",--MID('Key Analysis'!$C159,$A163-91,1))</f>
        <v/>
      </c>
      <c r="CQ163" s="29" t="str">
        <f>IF(OR($B163="",$A163&lt;=92),"",--MID('Key Analysis'!$C159,$A163-92,1))</f>
        <v/>
      </c>
      <c r="CR163" s="29" t="str">
        <f>IF(OR($B163="",$A163&lt;=93),"",--MID('Key Analysis'!$C159,$A163-93,1))</f>
        <v/>
      </c>
      <c r="CS163" s="29" t="str">
        <f>IF(OR($B163="",$A163&lt;=94),"",--MID('Key Analysis'!$C159,$A163-94,1))</f>
        <v/>
      </c>
      <c r="CT163" s="29" t="str">
        <f>IF(OR($B163="",$A163&lt;=95),"",--MID('Key Analysis'!$C159,$A163-95,1))</f>
        <v/>
      </c>
      <c r="CU163" s="29" t="str">
        <f>IF(OR($B163="",$A163&lt;=96),"",--MID('Key Analysis'!$C159,$A163-96,1))</f>
        <v/>
      </c>
      <c r="CV163" s="29" t="str">
        <f>IF(OR($B163="",$A163&lt;=97),"",--MID('Key Analysis'!$C159,$A163-97,1))</f>
        <v/>
      </c>
      <c r="CW163" s="29" t="str">
        <f>IF(OR($B163="",$A163&lt;=98),"",--MID('Key Analysis'!$C159,$A163-98,1))</f>
        <v/>
      </c>
      <c r="CX163" s="29" t="str">
        <f>IF(OR($B163="",$A163&lt;=99),"",--MID('Key Analysis'!$C159,$A163-99,1))</f>
        <v/>
      </c>
      <c r="CY163" s="29" t="str">
        <f>IF(OR($B163="",$A163&lt;=100),"",--MID('Key Analysis'!$C159,$A163-100,1))</f>
        <v/>
      </c>
      <c r="CZ163" s="29" t="str">
        <f>IF(OR($B163="",$A163&lt;=101),"",--MID('Key Analysis'!$C159,$A163-101,1))</f>
        <v/>
      </c>
      <c r="DA163" s="29" t="str">
        <f>IF(OR($B163="",$A163&lt;=102),"",--MID('Key Analysis'!$C159,$A163-102,1))</f>
        <v/>
      </c>
      <c r="DB163" s="29" t="str">
        <f>IF(OR($B163="",$A163&lt;=103),"",--MID('Key Analysis'!$C159,$A163-103,1))</f>
        <v/>
      </c>
      <c r="DC163" s="29" t="str">
        <f>IF(OR($B163="",$A163&lt;=104),"",--MID('Key Analysis'!$C159,$A163-104,1))</f>
        <v/>
      </c>
      <c r="DD163" s="29" t="str">
        <f>IF(OR($B163="",$A163&lt;=105),"",--MID('Key Analysis'!$C159,$A163-105,1))</f>
        <v/>
      </c>
      <c r="DE163" s="29" t="str">
        <f>IF(OR($B163="",$A163&lt;=106),"",--MID('Key Analysis'!$C159,$A163-106,1))</f>
        <v/>
      </c>
      <c r="DF163" s="29" t="str">
        <f>IF(OR($B163="",$A163&lt;=107),"",--MID('Key Analysis'!$C159,$A163-107,1))</f>
        <v/>
      </c>
      <c r="DG163" s="29" t="str">
        <f>IF(OR($B163="",$A163&lt;=108),"",--MID('Key Analysis'!$C159,$A163-108,1))</f>
        <v/>
      </c>
      <c r="DH163" s="29" t="str">
        <f>IF(OR($B163="",$A163&lt;=109),"",--MID('Key Analysis'!$C159,$A163-109,1))</f>
        <v/>
      </c>
      <c r="DI163" s="29" t="str">
        <f>IF(OR($B163="",$A163&lt;=110),"",--MID('Key Analysis'!$C159,$A163-110,1))</f>
        <v/>
      </c>
      <c r="DJ163" s="29" t="str">
        <f>IF(OR($B163="",$A163&lt;=111),"",--MID('Key Analysis'!$C159,$A163-111,1))</f>
        <v/>
      </c>
      <c r="DK163" s="29" t="str">
        <f>IF(OR($B163="",$A163&lt;=112),"",--MID('Key Analysis'!$C159,$A163-112,1))</f>
        <v/>
      </c>
      <c r="DL163" s="29" t="str">
        <f>IF(OR($B163="",$A163&lt;=113),"",--MID('Key Analysis'!$C159,$A163-113,1))</f>
        <v/>
      </c>
      <c r="DM163" s="29" t="str">
        <f>IF(OR($B163="",$A163&lt;=114),"",--MID('Key Analysis'!$C159,$A163-114,1))</f>
        <v/>
      </c>
      <c r="DN163" s="29" t="str">
        <f>IF(OR($B163="",$A163&lt;=115),"",--MID('Key Analysis'!$C159,$A163-115,1))</f>
        <v/>
      </c>
      <c r="DO163" s="29" t="str">
        <f>IF(OR($B163="",$A163&lt;=116),"",--MID('Key Analysis'!$C159,$A163-116,1))</f>
        <v/>
      </c>
      <c r="DP163" s="29" t="str">
        <f>IF(OR($B163="",$A163&lt;=117),"",--MID('Key Analysis'!$C159,$A163-117,1))</f>
        <v/>
      </c>
      <c r="DQ163" s="29" t="str">
        <f>IF(OR($B163="",$A163&lt;=118),"",--MID('Key Analysis'!$C159,$A163-118,1))</f>
        <v/>
      </c>
      <c r="DR163" s="29" t="str">
        <f>IF(OR($B163="",$A163&lt;=119),"",--MID('Key Analysis'!$C159,$A163-119,1))</f>
        <v/>
      </c>
      <c r="DS163" s="29" t="str">
        <f>IF(OR($B163="",$A163&lt;=120),"",--MID('Key Analysis'!$C159,$A163-120,1))</f>
        <v/>
      </c>
      <c r="DT163" s="29" t="str">
        <f>IF(OR($B163="",$A163&lt;=121),"",--MID('Key Analysis'!$C159,$A163-121,1))</f>
        <v/>
      </c>
      <c r="DU163" s="29" t="str">
        <f>IF(OR($B163="",$A163&lt;=122),"",--MID('Key Analysis'!$C159,$A163-122,1))</f>
        <v/>
      </c>
      <c r="DV163" s="29" t="str">
        <f>IF(OR($B163="",$A163&lt;=123),"",--MID('Key Analysis'!$C159,$A163-123,1))</f>
        <v/>
      </c>
      <c r="DW163" s="29" t="str">
        <f>IF(OR($B163="",$A163&lt;=124),"",--MID('Key Analysis'!$C159,$A163-124,1))</f>
        <v/>
      </c>
      <c r="DX163" s="29" t="str">
        <f>IF(OR($B163="",$A163&lt;=125),"",--MID('Key Analysis'!$C159,$A163-125,1))</f>
        <v/>
      </c>
      <c r="DY163" s="29" t="str">
        <f>IF(OR($B163="",$A163&lt;=126),"",--MID('Key Analysis'!$C159,$A163-126,1))</f>
        <v/>
      </c>
      <c r="DZ163" s="29" t="str">
        <f>IF(OR($B163="",$A163&lt;=127),"",--MID('Key Analysis'!$C159,$A163-127,1))</f>
        <v/>
      </c>
      <c r="EA163" s="29" t="str">
        <f>IF(OR($B163="",$A163&lt;=128),"",--MID('Key Analysis'!$C159,$A163-128,1))</f>
        <v/>
      </c>
      <c r="EB163" s="29" t="str">
        <f>IF(OR($B163="",$A163&lt;=129),"",--MID('Key Analysis'!$C159,$A163-129,1))</f>
        <v/>
      </c>
      <c r="EC163" s="29" t="str">
        <f>IF(OR($B163="",$A163&lt;=130),"",--MID('Key Analysis'!$C159,$A163-130,1))</f>
        <v/>
      </c>
      <c r="ED163" s="29" t="str">
        <f>IF(OR($B163="",$A163&lt;=131),"",--MID('Key Analysis'!$C159,$A163-131,1))</f>
        <v/>
      </c>
      <c r="EE163" s="29" t="str">
        <f>IF(OR($B163="",$A163&lt;=132),"",--MID('Key Analysis'!$C159,$A163-132,1))</f>
        <v/>
      </c>
      <c r="EF163" s="29" t="str">
        <f>IF(OR($B163="",$A163&lt;=133),"",--MID('Key Analysis'!$C159,$A163-133,1))</f>
        <v/>
      </c>
      <c r="EG163" s="29" t="str">
        <f>IF(OR($B163="",$A163&lt;=134),"",--MID('Key Analysis'!$C159,$A163-134,1))</f>
        <v/>
      </c>
      <c r="EH163" s="29"/>
      <c r="EI163" s="29" t="str">
        <f>IF(OR($B163="",$A163&lt;1),"",--MID('Key Analysis'!$C159,1,1))</f>
        <v/>
      </c>
      <c r="EJ163" s="29" t="str">
        <f>IF(OR($B163="",$A163&lt;2),"",--MID('Key Analysis'!$C159,2,1))</f>
        <v/>
      </c>
      <c r="EK163" s="29" t="str">
        <f>IF(OR($B163="",$A163&lt;3),"",--MID('Key Analysis'!$C159,3,1))</f>
        <v/>
      </c>
      <c r="EL163" s="29" t="str">
        <f>IF(OR($B163="",$A163&lt;4),"",--MID('Key Analysis'!$C159,4,1))</f>
        <v/>
      </c>
      <c r="EM163" s="29" t="str">
        <f>IF(OR($B163="",$A163&lt;5),"",--MID('Key Analysis'!$C159,5,1))</f>
        <v/>
      </c>
      <c r="EN163" s="29" t="str">
        <f>IF(OR($B163="",$A163&lt;6),"",--MID('Key Analysis'!$C159,6,1))</f>
        <v/>
      </c>
      <c r="EO163" s="29" t="str">
        <f>IF(OR($B163="",$A163&lt;7),"",--MID('Key Analysis'!$C159,7,1))</f>
        <v/>
      </c>
      <c r="EP163" s="29" t="str">
        <f>IF(OR($B163="",$A163&lt;8),"",--MID('Key Analysis'!$C159,8,1))</f>
        <v/>
      </c>
      <c r="EQ163" s="29" t="str">
        <f>IF(OR($B163="",$A163&lt;9),"",--MID('Key Analysis'!$C159,9,1))</f>
        <v/>
      </c>
      <c r="ER163" s="29" t="str">
        <f>IF(OR($B163="",$A163&lt;10),"",--MID('Key Analysis'!$C159,10,1))</f>
        <v/>
      </c>
      <c r="ES163" s="29" t="str">
        <f>IF(OR($B163="",$A163&lt;11),"",--MID('Key Analysis'!$C159,11,1))</f>
        <v/>
      </c>
      <c r="ET163" s="29" t="str">
        <f>IF(OR($B163="",$A163&lt;12),"",--MID('Key Analysis'!$C159,12,1))</f>
        <v/>
      </c>
      <c r="EU163" s="29" t="str">
        <f>IF(OR($B163="",$A163&lt;13),"",--MID('Key Analysis'!$C159,13,1))</f>
        <v/>
      </c>
      <c r="EV163" s="29" t="str">
        <f>IF(OR($B163="",$A163&lt;14),"",--MID('Key Analysis'!$C159,14,1))</f>
        <v/>
      </c>
      <c r="EW163" s="29" t="str">
        <f>IF(OR($B163="",$A163&lt;15),"",--MID('Key Analysis'!$C159,15,1))</f>
        <v/>
      </c>
      <c r="EX163" s="29" t="str">
        <f>IF(OR($B163="",$A163&lt;16),"",--MID('Key Analysis'!$C159,16,1))</f>
        <v/>
      </c>
      <c r="EY163" s="29" t="str">
        <f>IF(OR($B163="",$A163&lt;17),"",--MID('Key Analysis'!$C159,17,1))</f>
        <v/>
      </c>
      <c r="EZ163" s="29" t="str">
        <f>IF(OR($B163="",$A163&lt;18),"",--MID('Key Analysis'!$C159,18,1))</f>
        <v/>
      </c>
      <c r="FA163" s="29" t="str">
        <f>IF(OR($B163="",$A163&lt;19),"",--MID('Key Analysis'!$C159,19,1))</f>
        <v/>
      </c>
      <c r="FB163" s="29" t="str">
        <f>IF(OR($B163="",$A163&lt;20),"",--MID('Key Analysis'!$C159,20,1))</f>
        <v/>
      </c>
      <c r="FC163" s="29" t="str">
        <f>IF(OR($B163="",$A163&lt;21),"",--MID('Key Analysis'!$C159,21,1))</f>
        <v/>
      </c>
      <c r="FD163" s="29" t="str">
        <f>IF(OR($B163="",$A163&lt;22),"",--MID('Key Analysis'!$C159,22,1))</f>
        <v/>
      </c>
      <c r="FE163" s="29" t="str">
        <f>IF(OR($B163="",$A163&lt;23),"",--MID('Key Analysis'!$C159,23,1))</f>
        <v/>
      </c>
      <c r="FF163" s="29" t="str">
        <f>IF(OR($B163="",$A163&lt;24),"",--MID('Key Analysis'!$C159,24,1))</f>
        <v/>
      </c>
      <c r="FG163" s="29" t="str">
        <f>IF(OR($B163="",$A163&lt;25),"",--MID('Key Analysis'!$C159,25,1))</f>
        <v/>
      </c>
      <c r="FH163" s="29" t="str">
        <f>IF(OR($B163="",$A163&lt;26),"",--MID('Key Analysis'!$C159,26,1))</f>
        <v/>
      </c>
      <c r="FI163" s="29" t="str">
        <f>IF(OR($B163="",$A163&lt;27),"",--MID('Key Analysis'!$C159,27,1))</f>
        <v/>
      </c>
      <c r="FJ163" s="29" t="str">
        <f>IF(OR($B163="",$A163&lt;28),"",--MID('Key Analysis'!$C159,28,1))</f>
        <v/>
      </c>
      <c r="FK163" s="29" t="str">
        <f>IF(OR($B163="",$A163&lt;29),"",--MID('Key Analysis'!$C159,29,1))</f>
        <v/>
      </c>
      <c r="FL163" s="29" t="str">
        <f>IF(OR($B163="",$A163&lt;30),"",--MID('Key Analysis'!$C159,30,1))</f>
        <v/>
      </c>
      <c r="FM163" s="29" t="str">
        <f>IF(OR($B163="",$A163&lt;31),"",--MID('Key Analysis'!$C159,31,1))</f>
        <v/>
      </c>
      <c r="FN163" s="29" t="str">
        <f>IF(OR($B163="",$A163&lt;32),"",--MID('Key Analysis'!$C159,32,1))</f>
        <v/>
      </c>
      <c r="FO163" s="29" t="str">
        <f>IF(OR($B163="",$A163&lt;33),"",--MID('Key Analysis'!$C159,33,1))</f>
        <v/>
      </c>
      <c r="FP163" s="29" t="str">
        <f>IF(OR($B163="",$A163&lt;34),"",--MID('Key Analysis'!$C159,34,1))</f>
        <v/>
      </c>
      <c r="FQ163" s="29" t="str">
        <f>IF(OR($B163="",$A163&lt;35),"",--MID('Key Analysis'!$C159,35,1))</f>
        <v/>
      </c>
      <c r="FR163" s="29" t="str">
        <f>IF(OR($B163="",$A163&lt;36),"",--MID('Key Analysis'!$C159,36,1))</f>
        <v/>
      </c>
      <c r="FS163" s="29" t="str">
        <f>IF(OR($B163="",$A163&lt;37),"",--MID('Key Analysis'!$C159,37,1))</f>
        <v/>
      </c>
      <c r="FT163" s="29" t="str">
        <f>IF(OR($B163="",$A163&lt;38),"",--MID('Key Analysis'!$C159,38,1))</f>
        <v/>
      </c>
      <c r="FU163" s="29" t="str">
        <f>IF(OR($B163="",$A163&lt;39),"",--MID('Key Analysis'!$C159,39,1))</f>
        <v/>
      </c>
      <c r="FV163" s="29" t="str">
        <f>IF(OR($B163="",$A163&lt;40),"",--MID('Key Analysis'!$C159,40,1))</f>
        <v/>
      </c>
      <c r="FW163" s="29" t="str">
        <f>IF(OR($B163="",$A163&lt;41),"",--MID('Key Analysis'!$C159,41,1))</f>
        <v/>
      </c>
      <c r="FX163" s="29" t="str">
        <f>IF(OR($B163="",$A163&lt;42),"",--MID('Key Analysis'!$C159,42,1))</f>
        <v/>
      </c>
      <c r="FY163" s="29" t="str">
        <f>IF(OR($B163="",$A163&lt;43),"",--MID('Key Analysis'!$C159,43,1))</f>
        <v/>
      </c>
      <c r="FZ163" s="29" t="str">
        <f>IF(OR($B163="",$A163&lt;44),"",--MID('Key Analysis'!$C159,44,1))</f>
        <v/>
      </c>
      <c r="GA163" s="29" t="str">
        <f>IF(OR($B163="",$A163&lt;45),"",--MID('Key Analysis'!$C159,45,1))</f>
        <v/>
      </c>
      <c r="GB163" s="29" t="str">
        <f>IF(OR($B163="",$A163&lt;46),"",--MID('Key Analysis'!$C159,46,1))</f>
        <v/>
      </c>
      <c r="GC163" s="29" t="str">
        <f>IF(OR($B163="",$A163&lt;47),"",--MID('Key Analysis'!$C159,47,1))</f>
        <v/>
      </c>
      <c r="GD163" s="29" t="str">
        <f>IF(OR($B163="",$A163&lt;48),"",--MID('Key Analysis'!$C159,48,1))</f>
        <v/>
      </c>
      <c r="GE163" s="29" t="str">
        <f>IF(OR($B163="",$A163&lt;49),"",--MID('Key Analysis'!$C159,49,1))</f>
        <v/>
      </c>
      <c r="GF163" s="29" t="str">
        <f>IF(OR($B163="",$A163&lt;50),"",--MID('Key Analysis'!$C159,50,1))</f>
        <v/>
      </c>
      <c r="GG163" s="29" t="str">
        <f>IF(OR($B163="",$A163&lt;51),"",--MID('Key Analysis'!$C159,51,1))</f>
        <v/>
      </c>
      <c r="GH163" s="29" t="str">
        <f>IF(OR($B163="",$A163&lt;52),"",--MID('Key Analysis'!$C159,52,1))</f>
        <v/>
      </c>
      <c r="GI163" s="29" t="str">
        <f>IF(OR($B163="",$A163&lt;53),"",--MID('Key Analysis'!$C159,53,1))</f>
        <v/>
      </c>
      <c r="GJ163" s="29" t="str">
        <f>IF(OR($B163="",$A163&lt;54),"",--MID('Key Analysis'!$C159,54,1))</f>
        <v/>
      </c>
      <c r="GK163" s="29" t="str">
        <f>IF(OR($B163="",$A163&lt;55),"",--MID('Key Analysis'!$C159,55,1))</f>
        <v/>
      </c>
      <c r="GL163" s="29" t="str">
        <f>IF(OR($B163="",$A163&lt;56),"",--MID('Key Analysis'!$C159,56,1))</f>
        <v/>
      </c>
      <c r="GM163" s="29" t="str">
        <f>IF(OR($B163="",$A163&lt;57),"",--MID('Key Analysis'!$C159,57,1))</f>
        <v/>
      </c>
      <c r="GN163" s="29" t="str">
        <f>IF(OR($B163="",$A163&lt;58),"",--MID('Key Analysis'!$C159,58,1))</f>
        <v/>
      </c>
      <c r="GO163" s="29" t="str">
        <f>IF(OR($B163="",$A163&lt;59),"",--MID('Key Analysis'!$C159,59,1))</f>
        <v/>
      </c>
      <c r="GP163" s="29" t="str">
        <f>IF(OR($B163="",$A163&lt;60),"",--MID('Key Analysis'!$C159,60,1))</f>
        <v/>
      </c>
      <c r="GQ163" s="29" t="str">
        <f>IF(OR($B163="",$A163&lt;61),"",--MID('Key Analysis'!$C159,61,1))</f>
        <v/>
      </c>
      <c r="GR163" s="29" t="str">
        <f>IF(OR($B163="",$A163&lt;62),"",--MID('Key Analysis'!$C159,62,1))</f>
        <v/>
      </c>
      <c r="GS163" s="29" t="str">
        <f>IF(OR($B163="",$A163&lt;63),"",--MID('Key Analysis'!$C159,63,1))</f>
        <v/>
      </c>
      <c r="GT163" s="29" t="str">
        <f>IF(OR($B163="",$A163&lt;64),"",--MID('Key Analysis'!$C159,64,1))</f>
        <v/>
      </c>
      <c r="GU163" s="29" t="str">
        <f>IF(OR($B163="",$A163&lt;65),"",--MID('Key Analysis'!$C159,65,1))</f>
        <v/>
      </c>
      <c r="GV163" s="29" t="str">
        <f>IF(OR($B163="",$A163&lt;66),"",--MID('Key Analysis'!$C159,66,1))</f>
        <v/>
      </c>
      <c r="GW163" s="29" t="str">
        <f>IF(OR($B163="",$A163&lt;67),"",--MID('Key Analysis'!$C159,67,1))</f>
        <v/>
      </c>
      <c r="GX163" s="29" t="str">
        <f>IF(OR($B163="",$A163&lt;68),"",--MID('Key Analysis'!$C159,68,1))</f>
        <v/>
      </c>
      <c r="GY163" s="29" t="str">
        <f>IF(OR($B163="",$A163&lt;69),"",--MID('Key Analysis'!$C159,69,1))</f>
        <v/>
      </c>
      <c r="GZ163" s="29" t="str">
        <f>IF(OR($B163="",$A163&lt;70),"",--MID('Key Analysis'!$C159,70,1))</f>
        <v/>
      </c>
      <c r="HA163" s="29" t="str">
        <f>IF(OR($B163="",$A163&lt;71),"",--MID('Key Analysis'!$C159,71,1))</f>
        <v/>
      </c>
      <c r="HB163" s="29" t="str">
        <f>IF(OR($B163="",$A163&lt;72),"",--MID('Key Analysis'!$C159,72,1))</f>
        <v/>
      </c>
      <c r="HC163" s="29" t="str">
        <f>IF(OR($B163="",$A163&lt;73),"",--MID('Key Analysis'!$C159,73,1))</f>
        <v/>
      </c>
      <c r="HD163" s="29" t="str">
        <f>IF(OR($B163="",$A163&lt;74),"",--MID('Key Analysis'!$C159,74,1))</f>
        <v/>
      </c>
      <c r="HE163" s="29" t="str">
        <f>IF(OR($B163="",$A163&lt;75),"",--MID('Key Analysis'!$C159,75,1))</f>
        <v/>
      </c>
      <c r="HF163" s="29" t="str">
        <f>IF(OR($B163="",$A163&lt;76),"",--MID('Key Analysis'!$C159,76,1))</f>
        <v/>
      </c>
      <c r="HG163" s="29" t="str">
        <f>IF(OR($B163="",$A163&lt;77),"",--MID('Key Analysis'!$C159,77,1))</f>
        <v/>
      </c>
      <c r="HH163" s="29" t="str">
        <f>IF(OR($B163="",$A163&lt;78),"",--MID('Key Analysis'!$C159,78,1))</f>
        <v/>
      </c>
      <c r="HI163" s="29" t="str">
        <f>IF(OR($B163="",$A163&lt;79),"",--MID('Key Analysis'!$C159,79,1))</f>
        <v/>
      </c>
      <c r="HJ163" s="29" t="str">
        <f>IF(OR($B163="",$A163&lt;80),"",--MID('Key Analysis'!$C159,80,1))</f>
        <v/>
      </c>
      <c r="HK163" s="29" t="str">
        <f>IF(OR($B163="",$A163&lt;81),"",--MID('Key Analysis'!$C159,81,1))</f>
        <v/>
      </c>
      <c r="HL163" s="29" t="str">
        <f>IF(OR($B163="",$A163&lt;82),"",--MID('Key Analysis'!$C159,82,1))</f>
        <v/>
      </c>
      <c r="HM163" s="29" t="str">
        <f>IF(OR($B163="",$A163&lt;83),"",--MID('Key Analysis'!$C159,83,1))</f>
        <v/>
      </c>
      <c r="HN163" s="29" t="str">
        <f>IF(OR($B163="",$A163&lt;84),"",--MID('Key Analysis'!$C159,84,1))</f>
        <v/>
      </c>
      <c r="HO163" s="29" t="str">
        <f>IF(OR($B163="",$A163&lt;85),"",--MID('Key Analysis'!$C159,85,1))</f>
        <v/>
      </c>
      <c r="HP163" s="29" t="str">
        <f>IF(OR($B163="",$A163&lt;86),"",--MID('Key Analysis'!$C159,86,1))</f>
        <v/>
      </c>
      <c r="HQ163" s="29" t="str">
        <f>IF(OR($B163="",$A163&lt;87),"",--MID('Key Analysis'!$C159,87,1))</f>
        <v/>
      </c>
      <c r="HR163" s="29" t="str">
        <f>IF(OR($B163="",$A163&lt;88),"",--MID('Key Analysis'!$C159,88,1))</f>
        <v/>
      </c>
      <c r="HS163" s="29" t="str">
        <f>IF(OR($B163="",$A163&lt;89),"",--MID('Key Analysis'!$C159,89,1))</f>
        <v/>
      </c>
      <c r="HT163" s="29" t="str">
        <f>IF(OR($B163="",$A163&lt;90),"",--MID('Key Analysis'!$C159,90,1))</f>
        <v/>
      </c>
      <c r="HU163" s="29" t="str">
        <f>IF(OR($B163="",$A163&lt;91),"",--MID('Key Analysis'!$C159,91,1))</f>
        <v/>
      </c>
      <c r="HV163" s="29" t="str">
        <f>IF(OR($B163="",$A163&lt;92),"",--MID('Key Analysis'!$C159,92,1))</f>
        <v/>
      </c>
      <c r="HW163" s="29" t="str">
        <f>IF(OR($B163="",$A163&lt;93),"",--MID('Key Analysis'!$C159,93,1))</f>
        <v/>
      </c>
      <c r="HX163" s="29" t="str">
        <f>IF(OR($B163="",$A163&lt;94),"",--MID('Key Analysis'!$C159,94,1))</f>
        <v/>
      </c>
      <c r="HY163" s="29" t="str">
        <f>IF(OR($B163="",$A163&lt;95),"",--MID('Key Analysis'!$C159,95,1))</f>
        <v/>
      </c>
      <c r="HZ163" s="29" t="str">
        <f>IF(OR($B163="",$A163&lt;96),"",--MID('Key Analysis'!$C159,96,1))</f>
        <v/>
      </c>
      <c r="IA163" s="29" t="str">
        <f>IF(OR($B163="",$A163&lt;97),"",--MID('Key Analysis'!$C159,97,1))</f>
        <v/>
      </c>
      <c r="IB163" s="29" t="str">
        <f>IF(OR($B163="",$A163&lt;98),"",--MID('Key Analysis'!$C159,98,1))</f>
        <v/>
      </c>
      <c r="IC163" s="29" t="str">
        <f>IF(OR($B163="",$A163&lt;99),"",--MID('Key Analysis'!$C159,99,1))</f>
        <v/>
      </c>
      <c r="ID163" s="29" t="str">
        <f>IF(OR($B163="",$A163&lt;100),"",--MID('Key Analysis'!$C159,100,1))</f>
        <v/>
      </c>
      <c r="IE163" s="29" t="str">
        <f>IF(OR($B163="",$A163&lt;101),"",--MID('Key Analysis'!$C159,101,1))</f>
        <v/>
      </c>
      <c r="IF163" s="29" t="str">
        <f>IF(OR($B163="",$A163&lt;102),"",--MID('Key Analysis'!$C159,102,1))</f>
        <v/>
      </c>
      <c r="IG163" s="29" t="str">
        <f>IF(OR($B163="",$A163&lt;103),"",--MID('Key Analysis'!$C159,103,1))</f>
        <v/>
      </c>
      <c r="IH163" s="29" t="str">
        <f>IF(OR($B163="",$A163&lt;104),"",--MID('Key Analysis'!$C159,104,1))</f>
        <v/>
      </c>
      <c r="II163" s="29" t="str">
        <f>IF(OR($B163="",$A163&lt;105),"",--MID('Key Analysis'!$C159,105,1))</f>
        <v/>
      </c>
      <c r="IJ163" s="29" t="str">
        <f>IF(OR($B163="",$A163&lt;106),"",--MID('Key Analysis'!$C159,106,1))</f>
        <v/>
      </c>
      <c r="IK163" s="29" t="str">
        <f>IF(OR($B163="",$A163&lt;107),"",--MID('Key Analysis'!$C159,107,1))</f>
        <v/>
      </c>
      <c r="IL163" s="29" t="str">
        <f>IF(OR($B163="",$A163&lt;108),"",--MID('Key Analysis'!$C159,108,1))</f>
        <v/>
      </c>
      <c r="IM163" s="29" t="str">
        <f>IF(OR($B163="",$A163&lt;109),"",--MID('Key Analysis'!$C159,109,1))</f>
        <v/>
      </c>
      <c r="IN163" s="29" t="str">
        <f>IF(OR($B163="",$A163&lt;110),"",--MID('Key Analysis'!$C159,110,1))</f>
        <v/>
      </c>
      <c r="IO163" s="29" t="str">
        <f>IF(OR($B163="",$A163&lt;111),"",--MID('Key Analysis'!$C159,111,1))</f>
        <v/>
      </c>
      <c r="IP163" s="29" t="str">
        <f>IF(OR($B163="",$A163&lt;112),"",--MID('Key Analysis'!$C159,112,1))</f>
        <v/>
      </c>
      <c r="IQ163" s="29" t="str">
        <f>IF(OR($B163="",$A163&lt;113),"",--MID('Key Analysis'!$C159,113,1))</f>
        <v/>
      </c>
      <c r="IR163" s="29" t="str">
        <f>IF(OR($B163="",$A163&lt;114),"",--MID('Key Analysis'!$C159,114,1))</f>
        <v/>
      </c>
      <c r="IS163" s="29" t="str">
        <f>IF(OR($B163="",$A163&lt;115),"",--MID('Key Analysis'!$C159,115,1))</f>
        <v/>
      </c>
      <c r="IT163" s="29" t="str">
        <f>IF(OR($B163="",$A163&lt;116),"",--MID('Key Analysis'!$C159,116,1))</f>
        <v/>
      </c>
      <c r="IU163" s="29" t="str">
        <f>IF(OR($B163="",$A163&lt;117),"",--MID('Key Analysis'!$C159,117,1))</f>
        <v/>
      </c>
      <c r="IV163" s="29" t="str">
        <f>IF(OR($B163="",$A163&lt;118),"",--MID('Key Analysis'!$C159,118,1))</f>
        <v/>
      </c>
      <c r="IW163" s="29" t="str">
        <f>IF(OR($B163="",$A163&lt;119),"",--MID('Key Analysis'!$C159,119,1))</f>
        <v/>
      </c>
      <c r="IX163" s="29" t="str">
        <f>IF(OR($B163="",$A163&lt;120),"",--MID('Key Analysis'!$C159,120,1))</f>
        <v/>
      </c>
      <c r="IY163" s="29" t="str">
        <f>IF(OR($B163="",$A163&lt;121),"",--MID('Key Analysis'!$C159,121,1))</f>
        <v/>
      </c>
      <c r="IZ163" s="29" t="str">
        <f>IF(OR($B163="",$A163&lt;122),"",--MID('Key Analysis'!$C159,122,1))</f>
        <v/>
      </c>
      <c r="JA163" s="29" t="str">
        <f>IF(OR($B163="",$A163&lt;123),"",--MID('Key Analysis'!$C159,123,1))</f>
        <v/>
      </c>
      <c r="JB163" s="29" t="str">
        <f>IF(OR($B163="",$A163&lt;124),"",--MID('Key Analysis'!$C159,124,1))</f>
        <v/>
      </c>
      <c r="JC163" s="29" t="str">
        <f>IF(OR($B163="",$A163&lt;125),"",--MID('Key Analysis'!$C159,125,1))</f>
        <v/>
      </c>
      <c r="JD163" s="29" t="str">
        <f>IF(OR($B163="",$A163&lt;126),"",--MID('Key Analysis'!$C159,126,1))</f>
        <v/>
      </c>
      <c r="JE163" s="29" t="str">
        <f>IF(OR($B163="",$A163&lt;127),"",--MID('Key Analysis'!$C159,127,1))</f>
        <v/>
      </c>
      <c r="JF163" s="29" t="str">
        <f>IF(OR($B163="",$A163&lt;128),"",--MID('Key Analysis'!$C159,128,1))</f>
        <v/>
      </c>
      <c r="JG163" s="29" t="str">
        <f>IF(OR($B163="",$A163&lt;129),"",--MID('Key Analysis'!$C159,129,1))</f>
        <v/>
      </c>
      <c r="JH163" s="29" t="str">
        <f>IF(OR($B163="",$A163&lt;130),"",--MID('Key Analysis'!$C159,130,1))</f>
        <v/>
      </c>
      <c r="JI163" s="29" t="str">
        <f>IF(OR($B163="",$A163&lt;131),"",--MID('Key Analysis'!$C159,131,1))</f>
        <v/>
      </c>
      <c r="JJ163" s="29" t="str">
        <f>IF(OR($B163="",$A163&lt;132),"",--MID('Key Analysis'!$C159,132,1))</f>
        <v/>
      </c>
      <c r="JK163" s="29" t="str">
        <f>IF(OR($B163="",$A163&lt;133),"",--MID('Key Analysis'!$C159,133,1))</f>
        <v/>
      </c>
      <c r="JL163" s="29" t="str">
        <f>IF(OR($B163="",$A163&lt;134),"",--MID('Key Analysis'!$C159,134,1))</f>
        <v/>
      </c>
      <c r="JM163" s="29" t="str">
        <f>IF(OR($B163="",$A163&lt;135),"",--MID('Key Analysis'!$C159,135,1))</f>
        <v/>
      </c>
    </row>
    <row r="164" spans="1:273" x14ac:dyDescent="0.25">
      <c r="A164" s="21">
        <f>'Key Analysis'!A160</f>
        <v>159</v>
      </c>
      <c r="B164" s="30" t="str">
        <f>'Key Analysis'!B160</f>
        <v/>
      </c>
      <c r="C164" s="29" t="str">
        <f>IF(OR($B164="",$A164&lt;=0),"",--MID('Key Analysis'!$C160,$A164-0,1))</f>
        <v/>
      </c>
      <c r="D164" s="29" t="str">
        <f>IF(OR($B164="",$A164&lt;=1),"",--MID('Key Analysis'!$C160,$A164-1,1))</f>
        <v/>
      </c>
      <c r="E164" s="29" t="str">
        <f>IF(OR($B164="",$A164&lt;=2),"",--MID('Key Analysis'!$C160,$A164-2,1))</f>
        <v/>
      </c>
      <c r="F164" s="29" t="str">
        <f>IF(OR($B164="",$A164&lt;=3),"",--MID('Key Analysis'!$C160,$A164-3,1))</f>
        <v/>
      </c>
      <c r="G164" s="29" t="str">
        <f>IF(OR($B164="",$A164&lt;=4),"",--MID('Key Analysis'!$C160,$A164-4,1))</f>
        <v/>
      </c>
      <c r="H164" s="29" t="str">
        <f>IF(OR($B164="",$A164&lt;=5),"",--MID('Key Analysis'!$C160,$A164-5,1))</f>
        <v/>
      </c>
      <c r="I164" s="29" t="str">
        <f>IF(OR($B164="",$A164&lt;=6),"",--MID('Key Analysis'!$C160,$A164-6,1))</f>
        <v/>
      </c>
      <c r="J164" s="29" t="str">
        <f>IF(OR($B164="",$A164&lt;=7),"",--MID('Key Analysis'!$C160,$A164-7,1))</f>
        <v/>
      </c>
      <c r="K164" s="29" t="str">
        <f>IF(OR($B164="",$A164&lt;=8),"",--MID('Key Analysis'!$C160,$A164-8,1))</f>
        <v/>
      </c>
      <c r="L164" s="29" t="str">
        <f>IF(OR($B164="",$A164&lt;=9),"",--MID('Key Analysis'!$C160,$A164-9,1))</f>
        <v/>
      </c>
      <c r="M164" s="29" t="str">
        <f>IF(OR($B164="",$A164&lt;=10),"",--MID('Key Analysis'!$C160,$A164-10,1))</f>
        <v/>
      </c>
      <c r="N164" s="29" t="str">
        <f>IF(OR($B164="",$A164&lt;=11),"",--MID('Key Analysis'!$C160,$A164-11,1))</f>
        <v/>
      </c>
      <c r="O164" s="29" t="str">
        <f>IF(OR($B164="",$A164&lt;=12),"",--MID('Key Analysis'!$C160,$A164-12,1))</f>
        <v/>
      </c>
      <c r="P164" s="29" t="str">
        <f>IF(OR($B164="",$A164&lt;=13),"",--MID('Key Analysis'!$C160,$A164-13,1))</f>
        <v/>
      </c>
      <c r="Q164" s="29" t="str">
        <f>IF(OR($B164="",$A164&lt;=14),"",--MID('Key Analysis'!$C160,$A164-14,1))</f>
        <v/>
      </c>
      <c r="R164" s="29" t="str">
        <f>IF(OR($B164="",$A164&lt;=15),"",--MID('Key Analysis'!$C160,$A164-15,1))</f>
        <v/>
      </c>
      <c r="S164" s="29" t="str">
        <f>IF(OR($B164="",$A164&lt;=16),"",--MID('Key Analysis'!$C160,$A164-16,1))</f>
        <v/>
      </c>
      <c r="T164" s="29" t="str">
        <f>IF(OR($B164="",$A164&lt;=17),"",--MID('Key Analysis'!$C160,$A164-17,1))</f>
        <v/>
      </c>
      <c r="U164" s="29" t="str">
        <f>IF(OR($B164="",$A164&lt;=18),"",--MID('Key Analysis'!$C160,$A164-18,1))</f>
        <v/>
      </c>
      <c r="V164" s="29" t="str">
        <f>IF(OR($B164="",$A164&lt;=19),"",--MID('Key Analysis'!$C160,$A164-19,1))</f>
        <v/>
      </c>
      <c r="W164" s="29" t="str">
        <f>IF(OR($B164="",$A164&lt;=20),"",--MID('Key Analysis'!$C160,$A164-20,1))</f>
        <v/>
      </c>
      <c r="X164" s="29" t="str">
        <f>IF(OR($B164="",$A164&lt;=21),"",--MID('Key Analysis'!$C160,$A164-21,1))</f>
        <v/>
      </c>
      <c r="Y164" s="29" t="str">
        <f>IF(OR($B164="",$A164&lt;=22),"",--MID('Key Analysis'!$C160,$A164-22,1))</f>
        <v/>
      </c>
      <c r="Z164" s="29" t="str">
        <f>IF(OR($B164="",$A164&lt;=23),"",--MID('Key Analysis'!$C160,$A164-23,1))</f>
        <v/>
      </c>
      <c r="AA164" s="29" t="str">
        <f>IF(OR($B164="",$A164&lt;=24),"",--MID('Key Analysis'!$C160,$A164-24,1))</f>
        <v/>
      </c>
      <c r="AB164" s="29" t="str">
        <f>IF(OR($B164="",$A164&lt;=25),"",--MID('Key Analysis'!$C160,$A164-25,1))</f>
        <v/>
      </c>
      <c r="AC164" s="29" t="str">
        <f>IF(OR($B164="",$A164&lt;=26),"",--MID('Key Analysis'!$C160,$A164-26,1))</f>
        <v/>
      </c>
      <c r="AD164" s="29" t="str">
        <f>IF(OR($B164="",$A164&lt;=27),"",--MID('Key Analysis'!$C160,$A164-27,1))</f>
        <v/>
      </c>
      <c r="AE164" s="29" t="str">
        <f>IF(OR($B164="",$A164&lt;=28),"",--MID('Key Analysis'!$C160,$A164-28,1))</f>
        <v/>
      </c>
      <c r="AF164" s="29" t="str">
        <f>IF(OR($B164="",$A164&lt;=29),"",--MID('Key Analysis'!$C160,$A164-29,1))</f>
        <v/>
      </c>
      <c r="AG164" s="29" t="str">
        <f>IF(OR($B164="",$A164&lt;=30),"",--MID('Key Analysis'!$C160,$A164-30,1))</f>
        <v/>
      </c>
      <c r="AH164" s="29" t="str">
        <f>IF(OR($B164="",$A164&lt;=31),"",--MID('Key Analysis'!$C160,$A164-31,1))</f>
        <v/>
      </c>
      <c r="AI164" s="29" t="str">
        <f>IF(OR($B164="",$A164&lt;=32),"",--MID('Key Analysis'!$C160,$A164-32,1))</f>
        <v/>
      </c>
      <c r="AJ164" s="29" t="str">
        <f>IF(OR($B164="",$A164&lt;=33),"",--MID('Key Analysis'!$C160,$A164-33,1))</f>
        <v/>
      </c>
      <c r="AK164" s="29" t="str">
        <f>IF(OR($B164="",$A164&lt;=34),"",--MID('Key Analysis'!$C160,$A164-34,1))</f>
        <v/>
      </c>
      <c r="AL164" s="29" t="str">
        <f>IF(OR($B164="",$A164&lt;=35),"",--MID('Key Analysis'!$C160,$A164-35,1))</f>
        <v/>
      </c>
      <c r="AM164" s="29" t="str">
        <f>IF(OR($B164="",$A164&lt;=36),"",--MID('Key Analysis'!$C160,$A164-36,1))</f>
        <v/>
      </c>
      <c r="AN164" s="29" t="str">
        <f>IF(OR($B164="",$A164&lt;=37),"",--MID('Key Analysis'!$C160,$A164-37,1))</f>
        <v/>
      </c>
      <c r="AO164" s="29" t="str">
        <f>IF(OR($B164="",$A164&lt;=38),"",--MID('Key Analysis'!$C160,$A164-38,1))</f>
        <v/>
      </c>
      <c r="AP164" s="29" t="str">
        <f>IF(OR($B164="",$A164&lt;=39),"",--MID('Key Analysis'!$C160,$A164-39,1))</f>
        <v/>
      </c>
      <c r="AQ164" s="29" t="str">
        <f>IF(OR($B164="",$A164&lt;=40),"",--MID('Key Analysis'!$C160,$A164-40,1))</f>
        <v/>
      </c>
      <c r="AR164" s="29" t="str">
        <f>IF(OR($B164="",$A164&lt;=41),"",--MID('Key Analysis'!$C160,$A164-41,1))</f>
        <v/>
      </c>
      <c r="AS164" s="29" t="str">
        <f>IF(OR($B164="",$A164&lt;=42),"",--MID('Key Analysis'!$C160,$A164-42,1))</f>
        <v/>
      </c>
      <c r="AT164" s="29" t="str">
        <f>IF(OR($B164="",$A164&lt;=43),"",--MID('Key Analysis'!$C160,$A164-43,1))</f>
        <v/>
      </c>
      <c r="AU164" s="29" t="str">
        <f>IF(OR($B164="",$A164&lt;=44),"",--MID('Key Analysis'!$C160,$A164-44,1))</f>
        <v/>
      </c>
      <c r="AV164" s="29" t="str">
        <f>IF(OR($B164="",$A164&lt;=45),"",--MID('Key Analysis'!$C160,$A164-45,1))</f>
        <v/>
      </c>
      <c r="AW164" s="29" t="str">
        <f>IF(OR($B164="",$A164&lt;=46),"",--MID('Key Analysis'!$C160,$A164-46,1))</f>
        <v/>
      </c>
      <c r="AX164" s="29" t="str">
        <f>IF(OR($B164="",$A164&lt;=47),"",--MID('Key Analysis'!$C160,$A164-47,1))</f>
        <v/>
      </c>
      <c r="AY164" s="29" t="str">
        <f>IF(OR($B164="",$A164&lt;=48),"",--MID('Key Analysis'!$C160,$A164-48,1))</f>
        <v/>
      </c>
      <c r="AZ164" s="29" t="str">
        <f>IF(OR($B164="",$A164&lt;=49),"",--MID('Key Analysis'!$C160,$A164-49,1))</f>
        <v/>
      </c>
      <c r="BA164" s="29" t="str">
        <f>IF(OR($B164="",$A164&lt;=50),"",--MID('Key Analysis'!$C160,$A164-50,1))</f>
        <v/>
      </c>
      <c r="BB164" s="29" t="str">
        <f>IF(OR($B164="",$A164&lt;=51),"",--MID('Key Analysis'!$C160,$A164-51,1))</f>
        <v/>
      </c>
      <c r="BC164" s="29" t="str">
        <f>IF(OR($B164="",$A164&lt;=52),"",--MID('Key Analysis'!$C160,$A164-52,1))</f>
        <v/>
      </c>
      <c r="BD164" s="29" t="str">
        <f>IF(OR($B164="",$A164&lt;=53),"",--MID('Key Analysis'!$C160,$A164-53,1))</f>
        <v/>
      </c>
      <c r="BE164" s="29" t="str">
        <f>IF(OR($B164="",$A164&lt;=54),"",--MID('Key Analysis'!$C160,$A164-54,1))</f>
        <v/>
      </c>
      <c r="BF164" s="29" t="str">
        <f>IF(OR($B164="",$A164&lt;=55),"",--MID('Key Analysis'!$C160,$A164-55,1))</f>
        <v/>
      </c>
      <c r="BG164" s="29" t="str">
        <f>IF(OR($B164="",$A164&lt;=56),"",--MID('Key Analysis'!$C160,$A164-56,1))</f>
        <v/>
      </c>
      <c r="BH164" s="29" t="str">
        <f>IF(OR($B164="",$A164&lt;=57),"",--MID('Key Analysis'!$C160,$A164-57,1))</f>
        <v/>
      </c>
      <c r="BI164" s="29" t="str">
        <f>IF(OR($B164="",$A164&lt;=58),"",--MID('Key Analysis'!$C160,$A164-58,1))</f>
        <v/>
      </c>
      <c r="BJ164" s="29" t="str">
        <f>IF(OR($B164="",$A164&lt;=59),"",--MID('Key Analysis'!$C160,$A164-59,1))</f>
        <v/>
      </c>
      <c r="BK164" s="29" t="str">
        <f>IF(OR($B164="",$A164&lt;=60),"",--MID('Key Analysis'!$C160,$A164-60,1))</f>
        <v/>
      </c>
      <c r="BL164" s="29" t="str">
        <f>IF(OR($B164="",$A164&lt;=61),"",--MID('Key Analysis'!$C160,$A164-61,1))</f>
        <v/>
      </c>
      <c r="BM164" s="29" t="str">
        <f>IF(OR($B164="",$A164&lt;=62),"",--MID('Key Analysis'!$C160,$A164-62,1))</f>
        <v/>
      </c>
      <c r="BN164" s="29" t="str">
        <f>IF(OR($B164="",$A164&lt;=63),"",--MID('Key Analysis'!$C160,$A164-63,1))</f>
        <v/>
      </c>
      <c r="BO164" s="29" t="str">
        <f>IF(OR($B164="",$A164&lt;=64),"",--MID('Key Analysis'!$C160,$A164-64,1))</f>
        <v/>
      </c>
      <c r="BP164" s="29" t="str">
        <f>IF(OR($B164="",$A164&lt;=65),"",--MID('Key Analysis'!$C160,$A164-65,1))</f>
        <v/>
      </c>
      <c r="BQ164" s="29" t="str">
        <f>IF(OR($B164="",$A164&lt;=66),"",--MID('Key Analysis'!$C160,$A164-66,1))</f>
        <v/>
      </c>
      <c r="BR164" s="29" t="str">
        <f>IF(OR($B164="",$A164&lt;=67),"",--MID('Key Analysis'!$C160,$A164-67,1))</f>
        <v/>
      </c>
      <c r="BS164" s="29" t="str">
        <f>IF(OR($B164="",$A164&lt;=68),"",--MID('Key Analysis'!$C160,$A164-68,1))</f>
        <v/>
      </c>
      <c r="BT164" s="29" t="str">
        <f>IF(OR($B164="",$A164&lt;=69),"",--MID('Key Analysis'!$C160,$A164-69,1))</f>
        <v/>
      </c>
      <c r="BU164" s="29" t="str">
        <f>IF(OR($B164="",$A164&lt;=70),"",--MID('Key Analysis'!$C160,$A164-70,1))</f>
        <v/>
      </c>
      <c r="BV164" s="29" t="str">
        <f>IF(OR($B164="",$A164&lt;=71),"",--MID('Key Analysis'!$C160,$A164-71,1))</f>
        <v/>
      </c>
      <c r="BW164" s="29" t="str">
        <f>IF(OR($B164="",$A164&lt;=72),"",--MID('Key Analysis'!$C160,$A164-72,1))</f>
        <v/>
      </c>
      <c r="BX164" s="29" t="str">
        <f>IF(OR($B164="",$A164&lt;=73),"",--MID('Key Analysis'!$C160,$A164-73,1))</f>
        <v/>
      </c>
      <c r="BY164" s="29" t="str">
        <f>IF(OR($B164="",$A164&lt;=74),"",--MID('Key Analysis'!$C160,$A164-74,1))</f>
        <v/>
      </c>
      <c r="BZ164" s="29" t="str">
        <f>IF(OR($B164="",$A164&lt;=75),"",--MID('Key Analysis'!$C160,$A164-75,1))</f>
        <v/>
      </c>
      <c r="CA164" s="29" t="str">
        <f>IF(OR($B164="",$A164&lt;=76),"",--MID('Key Analysis'!$C160,$A164-76,1))</f>
        <v/>
      </c>
      <c r="CB164" s="29" t="str">
        <f>IF(OR($B164="",$A164&lt;=77),"",--MID('Key Analysis'!$C160,$A164-77,1))</f>
        <v/>
      </c>
      <c r="CC164" s="29" t="str">
        <f>IF(OR($B164="",$A164&lt;=78),"",--MID('Key Analysis'!$C160,$A164-78,1))</f>
        <v/>
      </c>
      <c r="CD164" s="29" t="str">
        <f>IF(OR($B164="",$A164&lt;=79),"",--MID('Key Analysis'!$C160,$A164-79,1))</f>
        <v/>
      </c>
      <c r="CE164" s="29" t="str">
        <f>IF(OR($B164="",$A164&lt;=80),"",--MID('Key Analysis'!$C160,$A164-80,1))</f>
        <v/>
      </c>
      <c r="CF164" s="29" t="str">
        <f>IF(OR($B164="",$A164&lt;=81),"",--MID('Key Analysis'!$C160,$A164-81,1))</f>
        <v/>
      </c>
      <c r="CG164" s="29" t="str">
        <f>IF(OR($B164="",$A164&lt;=82),"",--MID('Key Analysis'!$C160,$A164-82,1))</f>
        <v/>
      </c>
      <c r="CH164" s="29" t="str">
        <f>IF(OR($B164="",$A164&lt;=83),"",--MID('Key Analysis'!$C160,$A164-83,1))</f>
        <v/>
      </c>
      <c r="CI164" s="29" t="str">
        <f>IF(OR($B164="",$A164&lt;=84),"",--MID('Key Analysis'!$C160,$A164-84,1))</f>
        <v/>
      </c>
      <c r="CJ164" s="29" t="str">
        <f>IF(OR($B164="",$A164&lt;=85),"",--MID('Key Analysis'!$C160,$A164-85,1))</f>
        <v/>
      </c>
      <c r="CK164" s="29" t="str">
        <f>IF(OR($B164="",$A164&lt;=86),"",--MID('Key Analysis'!$C160,$A164-86,1))</f>
        <v/>
      </c>
      <c r="CL164" s="29" t="str">
        <f>IF(OR($B164="",$A164&lt;=87),"",--MID('Key Analysis'!$C160,$A164-87,1))</f>
        <v/>
      </c>
      <c r="CM164" s="29" t="str">
        <f>IF(OR($B164="",$A164&lt;=88),"",--MID('Key Analysis'!$C160,$A164-88,1))</f>
        <v/>
      </c>
      <c r="CN164" s="29" t="str">
        <f>IF(OR($B164="",$A164&lt;=89),"",--MID('Key Analysis'!$C160,$A164-89,1))</f>
        <v/>
      </c>
      <c r="CO164" s="29" t="str">
        <f>IF(OR($B164="",$A164&lt;=90),"",--MID('Key Analysis'!$C160,$A164-90,1))</f>
        <v/>
      </c>
      <c r="CP164" s="29" t="str">
        <f>IF(OR($B164="",$A164&lt;=91),"",--MID('Key Analysis'!$C160,$A164-91,1))</f>
        <v/>
      </c>
      <c r="CQ164" s="29" t="str">
        <f>IF(OR($B164="",$A164&lt;=92),"",--MID('Key Analysis'!$C160,$A164-92,1))</f>
        <v/>
      </c>
      <c r="CR164" s="29" t="str">
        <f>IF(OR($B164="",$A164&lt;=93),"",--MID('Key Analysis'!$C160,$A164-93,1))</f>
        <v/>
      </c>
      <c r="CS164" s="29" t="str">
        <f>IF(OR($B164="",$A164&lt;=94),"",--MID('Key Analysis'!$C160,$A164-94,1))</f>
        <v/>
      </c>
      <c r="CT164" s="29" t="str">
        <f>IF(OR($B164="",$A164&lt;=95),"",--MID('Key Analysis'!$C160,$A164-95,1))</f>
        <v/>
      </c>
      <c r="CU164" s="29" t="str">
        <f>IF(OR($B164="",$A164&lt;=96),"",--MID('Key Analysis'!$C160,$A164-96,1))</f>
        <v/>
      </c>
      <c r="CV164" s="29" t="str">
        <f>IF(OR($B164="",$A164&lt;=97),"",--MID('Key Analysis'!$C160,$A164-97,1))</f>
        <v/>
      </c>
      <c r="CW164" s="29" t="str">
        <f>IF(OR($B164="",$A164&lt;=98),"",--MID('Key Analysis'!$C160,$A164-98,1))</f>
        <v/>
      </c>
      <c r="CX164" s="29" t="str">
        <f>IF(OR($B164="",$A164&lt;=99),"",--MID('Key Analysis'!$C160,$A164-99,1))</f>
        <v/>
      </c>
      <c r="CY164" s="29" t="str">
        <f>IF(OR($B164="",$A164&lt;=100),"",--MID('Key Analysis'!$C160,$A164-100,1))</f>
        <v/>
      </c>
      <c r="CZ164" s="29" t="str">
        <f>IF(OR($B164="",$A164&lt;=101),"",--MID('Key Analysis'!$C160,$A164-101,1))</f>
        <v/>
      </c>
      <c r="DA164" s="29" t="str">
        <f>IF(OR($B164="",$A164&lt;=102),"",--MID('Key Analysis'!$C160,$A164-102,1))</f>
        <v/>
      </c>
      <c r="DB164" s="29" t="str">
        <f>IF(OR($B164="",$A164&lt;=103),"",--MID('Key Analysis'!$C160,$A164-103,1))</f>
        <v/>
      </c>
      <c r="DC164" s="29" t="str">
        <f>IF(OR($B164="",$A164&lt;=104),"",--MID('Key Analysis'!$C160,$A164-104,1))</f>
        <v/>
      </c>
      <c r="DD164" s="29" t="str">
        <f>IF(OR($B164="",$A164&lt;=105),"",--MID('Key Analysis'!$C160,$A164-105,1))</f>
        <v/>
      </c>
      <c r="DE164" s="29" t="str">
        <f>IF(OR($B164="",$A164&lt;=106),"",--MID('Key Analysis'!$C160,$A164-106,1))</f>
        <v/>
      </c>
      <c r="DF164" s="29" t="str">
        <f>IF(OR($B164="",$A164&lt;=107),"",--MID('Key Analysis'!$C160,$A164-107,1))</f>
        <v/>
      </c>
      <c r="DG164" s="29" t="str">
        <f>IF(OR($B164="",$A164&lt;=108),"",--MID('Key Analysis'!$C160,$A164-108,1))</f>
        <v/>
      </c>
      <c r="DH164" s="29" t="str">
        <f>IF(OR($B164="",$A164&lt;=109),"",--MID('Key Analysis'!$C160,$A164-109,1))</f>
        <v/>
      </c>
      <c r="DI164" s="29" t="str">
        <f>IF(OR($B164="",$A164&lt;=110),"",--MID('Key Analysis'!$C160,$A164-110,1))</f>
        <v/>
      </c>
      <c r="DJ164" s="29" t="str">
        <f>IF(OR($B164="",$A164&lt;=111),"",--MID('Key Analysis'!$C160,$A164-111,1))</f>
        <v/>
      </c>
      <c r="DK164" s="29" t="str">
        <f>IF(OR($B164="",$A164&lt;=112),"",--MID('Key Analysis'!$C160,$A164-112,1))</f>
        <v/>
      </c>
      <c r="DL164" s="29" t="str">
        <f>IF(OR($B164="",$A164&lt;=113),"",--MID('Key Analysis'!$C160,$A164-113,1))</f>
        <v/>
      </c>
      <c r="DM164" s="29" t="str">
        <f>IF(OR($B164="",$A164&lt;=114),"",--MID('Key Analysis'!$C160,$A164-114,1))</f>
        <v/>
      </c>
      <c r="DN164" s="29" t="str">
        <f>IF(OR($B164="",$A164&lt;=115),"",--MID('Key Analysis'!$C160,$A164-115,1))</f>
        <v/>
      </c>
      <c r="DO164" s="29" t="str">
        <f>IF(OR($B164="",$A164&lt;=116),"",--MID('Key Analysis'!$C160,$A164-116,1))</f>
        <v/>
      </c>
      <c r="DP164" s="29" t="str">
        <f>IF(OR($B164="",$A164&lt;=117),"",--MID('Key Analysis'!$C160,$A164-117,1))</f>
        <v/>
      </c>
      <c r="DQ164" s="29" t="str">
        <f>IF(OR($B164="",$A164&lt;=118),"",--MID('Key Analysis'!$C160,$A164-118,1))</f>
        <v/>
      </c>
      <c r="DR164" s="29" t="str">
        <f>IF(OR($B164="",$A164&lt;=119),"",--MID('Key Analysis'!$C160,$A164-119,1))</f>
        <v/>
      </c>
      <c r="DS164" s="29" t="str">
        <f>IF(OR($B164="",$A164&lt;=120),"",--MID('Key Analysis'!$C160,$A164-120,1))</f>
        <v/>
      </c>
      <c r="DT164" s="29" t="str">
        <f>IF(OR($B164="",$A164&lt;=121),"",--MID('Key Analysis'!$C160,$A164-121,1))</f>
        <v/>
      </c>
      <c r="DU164" s="29" t="str">
        <f>IF(OR($B164="",$A164&lt;=122),"",--MID('Key Analysis'!$C160,$A164-122,1))</f>
        <v/>
      </c>
      <c r="DV164" s="29" t="str">
        <f>IF(OR($B164="",$A164&lt;=123),"",--MID('Key Analysis'!$C160,$A164-123,1))</f>
        <v/>
      </c>
      <c r="DW164" s="29" t="str">
        <f>IF(OR($B164="",$A164&lt;=124),"",--MID('Key Analysis'!$C160,$A164-124,1))</f>
        <v/>
      </c>
      <c r="DX164" s="29" t="str">
        <f>IF(OR($B164="",$A164&lt;=125),"",--MID('Key Analysis'!$C160,$A164-125,1))</f>
        <v/>
      </c>
      <c r="DY164" s="29" t="str">
        <f>IF(OR($B164="",$A164&lt;=126),"",--MID('Key Analysis'!$C160,$A164-126,1))</f>
        <v/>
      </c>
      <c r="DZ164" s="29" t="str">
        <f>IF(OR($B164="",$A164&lt;=127),"",--MID('Key Analysis'!$C160,$A164-127,1))</f>
        <v/>
      </c>
      <c r="EA164" s="29" t="str">
        <f>IF(OR($B164="",$A164&lt;=128),"",--MID('Key Analysis'!$C160,$A164-128,1))</f>
        <v/>
      </c>
      <c r="EB164" s="29" t="str">
        <f>IF(OR($B164="",$A164&lt;=129),"",--MID('Key Analysis'!$C160,$A164-129,1))</f>
        <v/>
      </c>
      <c r="EC164" s="29" t="str">
        <f>IF(OR($B164="",$A164&lt;=130),"",--MID('Key Analysis'!$C160,$A164-130,1))</f>
        <v/>
      </c>
      <c r="ED164" s="29" t="str">
        <f>IF(OR($B164="",$A164&lt;=131),"",--MID('Key Analysis'!$C160,$A164-131,1))</f>
        <v/>
      </c>
      <c r="EE164" s="29" t="str">
        <f>IF(OR($B164="",$A164&lt;=132),"",--MID('Key Analysis'!$C160,$A164-132,1))</f>
        <v/>
      </c>
      <c r="EF164" s="29" t="str">
        <f>IF(OR($B164="",$A164&lt;=133),"",--MID('Key Analysis'!$C160,$A164-133,1))</f>
        <v/>
      </c>
      <c r="EG164" s="29" t="str">
        <f>IF(OR($B164="",$A164&lt;=134),"",--MID('Key Analysis'!$C160,$A164-134,1))</f>
        <v/>
      </c>
      <c r="EH164" s="29"/>
      <c r="EI164" s="29" t="str">
        <f>IF(OR($B164="",$A164&lt;1),"",--MID('Key Analysis'!$C160,1,1))</f>
        <v/>
      </c>
      <c r="EJ164" s="29" t="str">
        <f>IF(OR($B164="",$A164&lt;2),"",--MID('Key Analysis'!$C160,2,1))</f>
        <v/>
      </c>
      <c r="EK164" s="29" t="str">
        <f>IF(OR($B164="",$A164&lt;3),"",--MID('Key Analysis'!$C160,3,1))</f>
        <v/>
      </c>
      <c r="EL164" s="29" t="str">
        <f>IF(OR($B164="",$A164&lt;4),"",--MID('Key Analysis'!$C160,4,1))</f>
        <v/>
      </c>
      <c r="EM164" s="29" t="str">
        <f>IF(OR($B164="",$A164&lt;5),"",--MID('Key Analysis'!$C160,5,1))</f>
        <v/>
      </c>
      <c r="EN164" s="29" t="str">
        <f>IF(OR($B164="",$A164&lt;6),"",--MID('Key Analysis'!$C160,6,1))</f>
        <v/>
      </c>
      <c r="EO164" s="29" t="str">
        <f>IF(OR($B164="",$A164&lt;7),"",--MID('Key Analysis'!$C160,7,1))</f>
        <v/>
      </c>
      <c r="EP164" s="29" t="str">
        <f>IF(OR($B164="",$A164&lt;8),"",--MID('Key Analysis'!$C160,8,1))</f>
        <v/>
      </c>
      <c r="EQ164" s="29" t="str">
        <f>IF(OR($B164="",$A164&lt;9),"",--MID('Key Analysis'!$C160,9,1))</f>
        <v/>
      </c>
      <c r="ER164" s="29" t="str">
        <f>IF(OR($B164="",$A164&lt;10),"",--MID('Key Analysis'!$C160,10,1))</f>
        <v/>
      </c>
      <c r="ES164" s="29" t="str">
        <f>IF(OR($B164="",$A164&lt;11),"",--MID('Key Analysis'!$C160,11,1))</f>
        <v/>
      </c>
      <c r="ET164" s="29" t="str">
        <f>IF(OR($B164="",$A164&lt;12),"",--MID('Key Analysis'!$C160,12,1))</f>
        <v/>
      </c>
      <c r="EU164" s="29" t="str">
        <f>IF(OR($B164="",$A164&lt;13),"",--MID('Key Analysis'!$C160,13,1))</f>
        <v/>
      </c>
      <c r="EV164" s="29" t="str">
        <f>IF(OR($B164="",$A164&lt;14),"",--MID('Key Analysis'!$C160,14,1))</f>
        <v/>
      </c>
      <c r="EW164" s="29" t="str">
        <f>IF(OR($B164="",$A164&lt;15),"",--MID('Key Analysis'!$C160,15,1))</f>
        <v/>
      </c>
      <c r="EX164" s="29" t="str">
        <f>IF(OR($B164="",$A164&lt;16),"",--MID('Key Analysis'!$C160,16,1))</f>
        <v/>
      </c>
      <c r="EY164" s="29" t="str">
        <f>IF(OR($B164="",$A164&lt;17),"",--MID('Key Analysis'!$C160,17,1))</f>
        <v/>
      </c>
      <c r="EZ164" s="29" t="str">
        <f>IF(OR($B164="",$A164&lt;18),"",--MID('Key Analysis'!$C160,18,1))</f>
        <v/>
      </c>
      <c r="FA164" s="29" t="str">
        <f>IF(OR($B164="",$A164&lt;19),"",--MID('Key Analysis'!$C160,19,1))</f>
        <v/>
      </c>
      <c r="FB164" s="29" t="str">
        <f>IF(OR($B164="",$A164&lt;20),"",--MID('Key Analysis'!$C160,20,1))</f>
        <v/>
      </c>
      <c r="FC164" s="29" t="str">
        <f>IF(OR($B164="",$A164&lt;21),"",--MID('Key Analysis'!$C160,21,1))</f>
        <v/>
      </c>
      <c r="FD164" s="29" t="str">
        <f>IF(OR($B164="",$A164&lt;22),"",--MID('Key Analysis'!$C160,22,1))</f>
        <v/>
      </c>
      <c r="FE164" s="29" t="str">
        <f>IF(OR($B164="",$A164&lt;23),"",--MID('Key Analysis'!$C160,23,1))</f>
        <v/>
      </c>
      <c r="FF164" s="29" t="str">
        <f>IF(OR($B164="",$A164&lt;24),"",--MID('Key Analysis'!$C160,24,1))</f>
        <v/>
      </c>
      <c r="FG164" s="29" t="str">
        <f>IF(OR($B164="",$A164&lt;25),"",--MID('Key Analysis'!$C160,25,1))</f>
        <v/>
      </c>
      <c r="FH164" s="29" t="str">
        <f>IF(OR($B164="",$A164&lt;26),"",--MID('Key Analysis'!$C160,26,1))</f>
        <v/>
      </c>
      <c r="FI164" s="29" t="str">
        <f>IF(OR($B164="",$A164&lt;27),"",--MID('Key Analysis'!$C160,27,1))</f>
        <v/>
      </c>
      <c r="FJ164" s="29" t="str">
        <f>IF(OR($B164="",$A164&lt;28),"",--MID('Key Analysis'!$C160,28,1))</f>
        <v/>
      </c>
      <c r="FK164" s="29" t="str">
        <f>IF(OR($B164="",$A164&lt;29),"",--MID('Key Analysis'!$C160,29,1))</f>
        <v/>
      </c>
      <c r="FL164" s="29" t="str">
        <f>IF(OR($B164="",$A164&lt;30),"",--MID('Key Analysis'!$C160,30,1))</f>
        <v/>
      </c>
      <c r="FM164" s="29" t="str">
        <f>IF(OR($B164="",$A164&lt;31),"",--MID('Key Analysis'!$C160,31,1))</f>
        <v/>
      </c>
      <c r="FN164" s="29" t="str">
        <f>IF(OR($B164="",$A164&lt;32),"",--MID('Key Analysis'!$C160,32,1))</f>
        <v/>
      </c>
      <c r="FO164" s="29" t="str">
        <f>IF(OR($B164="",$A164&lt;33),"",--MID('Key Analysis'!$C160,33,1))</f>
        <v/>
      </c>
      <c r="FP164" s="29" t="str">
        <f>IF(OR($B164="",$A164&lt;34),"",--MID('Key Analysis'!$C160,34,1))</f>
        <v/>
      </c>
      <c r="FQ164" s="29" t="str">
        <f>IF(OR($B164="",$A164&lt;35),"",--MID('Key Analysis'!$C160,35,1))</f>
        <v/>
      </c>
      <c r="FR164" s="29" t="str">
        <f>IF(OR($B164="",$A164&lt;36),"",--MID('Key Analysis'!$C160,36,1))</f>
        <v/>
      </c>
      <c r="FS164" s="29" t="str">
        <f>IF(OR($B164="",$A164&lt;37),"",--MID('Key Analysis'!$C160,37,1))</f>
        <v/>
      </c>
      <c r="FT164" s="29" t="str">
        <f>IF(OR($B164="",$A164&lt;38),"",--MID('Key Analysis'!$C160,38,1))</f>
        <v/>
      </c>
      <c r="FU164" s="29" t="str">
        <f>IF(OR($B164="",$A164&lt;39),"",--MID('Key Analysis'!$C160,39,1))</f>
        <v/>
      </c>
      <c r="FV164" s="29" t="str">
        <f>IF(OR($B164="",$A164&lt;40),"",--MID('Key Analysis'!$C160,40,1))</f>
        <v/>
      </c>
      <c r="FW164" s="29" t="str">
        <f>IF(OR($B164="",$A164&lt;41),"",--MID('Key Analysis'!$C160,41,1))</f>
        <v/>
      </c>
      <c r="FX164" s="29" t="str">
        <f>IF(OR($B164="",$A164&lt;42),"",--MID('Key Analysis'!$C160,42,1))</f>
        <v/>
      </c>
      <c r="FY164" s="29" t="str">
        <f>IF(OR($B164="",$A164&lt;43),"",--MID('Key Analysis'!$C160,43,1))</f>
        <v/>
      </c>
      <c r="FZ164" s="29" t="str">
        <f>IF(OR($B164="",$A164&lt;44),"",--MID('Key Analysis'!$C160,44,1))</f>
        <v/>
      </c>
      <c r="GA164" s="29" t="str">
        <f>IF(OR($B164="",$A164&lt;45),"",--MID('Key Analysis'!$C160,45,1))</f>
        <v/>
      </c>
      <c r="GB164" s="29" t="str">
        <f>IF(OR($B164="",$A164&lt;46),"",--MID('Key Analysis'!$C160,46,1))</f>
        <v/>
      </c>
      <c r="GC164" s="29" t="str">
        <f>IF(OR($B164="",$A164&lt;47),"",--MID('Key Analysis'!$C160,47,1))</f>
        <v/>
      </c>
      <c r="GD164" s="29" t="str">
        <f>IF(OR($B164="",$A164&lt;48),"",--MID('Key Analysis'!$C160,48,1))</f>
        <v/>
      </c>
      <c r="GE164" s="29" t="str">
        <f>IF(OR($B164="",$A164&lt;49),"",--MID('Key Analysis'!$C160,49,1))</f>
        <v/>
      </c>
      <c r="GF164" s="29" t="str">
        <f>IF(OR($B164="",$A164&lt;50),"",--MID('Key Analysis'!$C160,50,1))</f>
        <v/>
      </c>
      <c r="GG164" s="29" t="str">
        <f>IF(OR($B164="",$A164&lt;51),"",--MID('Key Analysis'!$C160,51,1))</f>
        <v/>
      </c>
      <c r="GH164" s="29" t="str">
        <f>IF(OR($B164="",$A164&lt;52),"",--MID('Key Analysis'!$C160,52,1))</f>
        <v/>
      </c>
      <c r="GI164" s="29" t="str">
        <f>IF(OR($B164="",$A164&lt;53),"",--MID('Key Analysis'!$C160,53,1))</f>
        <v/>
      </c>
      <c r="GJ164" s="29" t="str">
        <f>IF(OR($B164="",$A164&lt;54),"",--MID('Key Analysis'!$C160,54,1))</f>
        <v/>
      </c>
      <c r="GK164" s="29" t="str">
        <f>IF(OR($B164="",$A164&lt;55),"",--MID('Key Analysis'!$C160,55,1))</f>
        <v/>
      </c>
      <c r="GL164" s="29" t="str">
        <f>IF(OR($B164="",$A164&lt;56),"",--MID('Key Analysis'!$C160,56,1))</f>
        <v/>
      </c>
      <c r="GM164" s="29" t="str">
        <f>IF(OR($B164="",$A164&lt;57),"",--MID('Key Analysis'!$C160,57,1))</f>
        <v/>
      </c>
      <c r="GN164" s="29" t="str">
        <f>IF(OR($B164="",$A164&lt;58),"",--MID('Key Analysis'!$C160,58,1))</f>
        <v/>
      </c>
      <c r="GO164" s="29" t="str">
        <f>IF(OR($B164="",$A164&lt;59),"",--MID('Key Analysis'!$C160,59,1))</f>
        <v/>
      </c>
      <c r="GP164" s="29" t="str">
        <f>IF(OR($B164="",$A164&lt;60),"",--MID('Key Analysis'!$C160,60,1))</f>
        <v/>
      </c>
      <c r="GQ164" s="29" t="str">
        <f>IF(OR($B164="",$A164&lt;61),"",--MID('Key Analysis'!$C160,61,1))</f>
        <v/>
      </c>
      <c r="GR164" s="29" t="str">
        <f>IF(OR($B164="",$A164&lt;62),"",--MID('Key Analysis'!$C160,62,1))</f>
        <v/>
      </c>
      <c r="GS164" s="29" t="str">
        <f>IF(OR($B164="",$A164&lt;63),"",--MID('Key Analysis'!$C160,63,1))</f>
        <v/>
      </c>
      <c r="GT164" s="29" t="str">
        <f>IF(OR($B164="",$A164&lt;64),"",--MID('Key Analysis'!$C160,64,1))</f>
        <v/>
      </c>
      <c r="GU164" s="29" t="str">
        <f>IF(OR($B164="",$A164&lt;65),"",--MID('Key Analysis'!$C160,65,1))</f>
        <v/>
      </c>
      <c r="GV164" s="29" t="str">
        <f>IF(OR($B164="",$A164&lt;66),"",--MID('Key Analysis'!$C160,66,1))</f>
        <v/>
      </c>
      <c r="GW164" s="29" t="str">
        <f>IF(OR($B164="",$A164&lt;67),"",--MID('Key Analysis'!$C160,67,1))</f>
        <v/>
      </c>
      <c r="GX164" s="29" t="str">
        <f>IF(OR($B164="",$A164&lt;68),"",--MID('Key Analysis'!$C160,68,1))</f>
        <v/>
      </c>
      <c r="GY164" s="29" t="str">
        <f>IF(OR($B164="",$A164&lt;69),"",--MID('Key Analysis'!$C160,69,1))</f>
        <v/>
      </c>
      <c r="GZ164" s="29" t="str">
        <f>IF(OR($B164="",$A164&lt;70),"",--MID('Key Analysis'!$C160,70,1))</f>
        <v/>
      </c>
      <c r="HA164" s="29" t="str">
        <f>IF(OR($B164="",$A164&lt;71),"",--MID('Key Analysis'!$C160,71,1))</f>
        <v/>
      </c>
      <c r="HB164" s="29" t="str">
        <f>IF(OR($B164="",$A164&lt;72),"",--MID('Key Analysis'!$C160,72,1))</f>
        <v/>
      </c>
      <c r="HC164" s="29" t="str">
        <f>IF(OR($B164="",$A164&lt;73),"",--MID('Key Analysis'!$C160,73,1))</f>
        <v/>
      </c>
      <c r="HD164" s="29" t="str">
        <f>IF(OR($B164="",$A164&lt;74),"",--MID('Key Analysis'!$C160,74,1))</f>
        <v/>
      </c>
      <c r="HE164" s="29" t="str">
        <f>IF(OR($B164="",$A164&lt;75),"",--MID('Key Analysis'!$C160,75,1))</f>
        <v/>
      </c>
      <c r="HF164" s="29" t="str">
        <f>IF(OR($B164="",$A164&lt;76),"",--MID('Key Analysis'!$C160,76,1))</f>
        <v/>
      </c>
      <c r="HG164" s="29" t="str">
        <f>IF(OR($B164="",$A164&lt;77),"",--MID('Key Analysis'!$C160,77,1))</f>
        <v/>
      </c>
      <c r="HH164" s="29" t="str">
        <f>IF(OR($B164="",$A164&lt;78),"",--MID('Key Analysis'!$C160,78,1))</f>
        <v/>
      </c>
      <c r="HI164" s="29" t="str">
        <f>IF(OR($B164="",$A164&lt;79),"",--MID('Key Analysis'!$C160,79,1))</f>
        <v/>
      </c>
      <c r="HJ164" s="29" t="str">
        <f>IF(OR($B164="",$A164&lt;80),"",--MID('Key Analysis'!$C160,80,1))</f>
        <v/>
      </c>
      <c r="HK164" s="29" t="str">
        <f>IF(OR($B164="",$A164&lt;81),"",--MID('Key Analysis'!$C160,81,1))</f>
        <v/>
      </c>
      <c r="HL164" s="29" t="str">
        <f>IF(OR($B164="",$A164&lt;82),"",--MID('Key Analysis'!$C160,82,1))</f>
        <v/>
      </c>
      <c r="HM164" s="29" t="str">
        <f>IF(OR($B164="",$A164&lt;83),"",--MID('Key Analysis'!$C160,83,1))</f>
        <v/>
      </c>
      <c r="HN164" s="29" t="str">
        <f>IF(OR($B164="",$A164&lt;84),"",--MID('Key Analysis'!$C160,84,1))</f>
        <v/>
      </c>
      <c r="HO164" s="29" t="str">
        <f>IF(OR($B164="",$A164&lt;85),"",--MID('Key Analysis'!$C160,85,1))</f>
        <v/>
      </c>
      <c r="HP164" s="29" t="str">
        <f>IF(OR($B164="",$A164&lt;86),"",--MID('Key Analysis'!$C160,86,1))</f>
        <v/>
      </c>
      <c r="HQ164" s="29" t="str">
        <f>IF(OR($B164="",$A164&lt;87),"",--MID('Key Analysis'!$C160,87,1))</f>
        <v/>
      </c>
      <c r="HR164" s="29" t="str">
        <f>IF(OR($B164="",$A164&lt;88),"",--MID('Key Analysis'!$C160,88,1))</f>
        <v/>
      </c>
      <c r="HS164" s="29" t="str">
        <f>IF(OR($B164="",$A164&lt;89),"",--MID('Key Analysis'!$C160,89,1))</f>
        <v/>
      </c>
      <c r="HT164" s="29" t="str">
        <f>IF(OR($B164="",$A164&lt;90),"",--MID('Key Analysis'!$C160,90,1))</f>
        <v/>
      </c>
      <c r="HU164" s="29" t="str">
        <f>IF(OR($B164="",$A164&lt;91),"",--MID('Key Analysis'!$C160,91,1))</f>
        <v/>
      </c>
      <c r="HV164" s="29" t="str">
        <f>IF(OR($B164="",$A164&lt;92),"",--MID('Key Analysis'!$C160,92,1))</f>
        <v/>
      </c>
      <c r="HW164" s="29" t="str">
        <f>IF(OR($B164="",$A164&lt;93),"",--MID('Key Analysis'!$C160,93,1))</f>
        <v/>
      </c>
      <c r="HX164" s="29" t="str">
        <f>IF(OR($B164="",$A164&lt;94),"",--MID('Key Analysis'!$C160,94,1))</f>
        <v/>
      </c>
      <c r="HY164" s="29" t="str">
        <f>IF(OR($B164="",$A164&lt;95),"",--MID('Key Analysis'!$C160,95,1))</f>
        <v/>
      </c>
      <c r="HZ164" s="29" t="str">
        <f>IF(OR($B164="",$A164&lt;96),"",--MID('Key Analysis'!$C160,96,1))</f>
        <v/>
      </c>
      <c r="IA164" s="29" t="str">
        <f>IF(OR($B164="",$A164&lt;97),"",--MID('Key Analysis'!$C160,97,1))</f>
        <v/>
      </c>
      <c r="IB164" s="29" t="str">
        <f>IF(OR($B164="",$A164&lt;98),"",--MID('Key Analysis'!$C160,98,1))</f>
        <v/>
      </c>
      <c r="IC164" s="29" t="str">
        <f>IF(OR($B164="",$A164&lt;99),"",--MID('Key Analysis'!$C160,99,1))</f>
        <v/>
      </c>
      <c r="ID164" s="29" t="str">
        <f>IF(OR($B164="",$A164&lt;100),"",--MID('Key Analysis'!$C160,100,1))</f>
        <v/>
      </c>
      <c r="IE164" s="29" t="str">
        <f>IF(OR($B164="",$A164&lt;101),"",--MID('Key Analysis'!$C160,101,1))</f>
        <v/>
      </c>
      <c r="IF164" s="29" t="str">
        <f>IF(OR($B164="",$A164&lt;102),"",--MID('Key Analysis'!$C160,102,1))</f>
        <v/>
      </c>
      <c r="IG164" s="29" t="str">
        <f>IF(OR($B164="",$A164&lt;103),"",--MID('Key Analysis'!$C160,103,1))</f>
        <v/>
      </c>
      <c r="IH164" s="29" t="str">
        <f>IF(OR($B164="",$A164&lt;104),"",--MID('Key Analysis'!$C160,104,1))</f>
        <v/>
      </c>
      <c r="II164" s="29" t="str">
        <f>IF(OR($B164="",$A164&lt;105),"",--MID('Key Analysis'!$C160,105,1))</f>
        <v/>
      </c>
      <c r="IJ164" s="29" t="str">
        <f>IF(OR($B164="",$A164&lt;106),"",--MID('Key Analysis'!$C160,106,1))</f>
        <v/>
      </c>
      <c r="IK164" s="29" t="str">
        <f>IF(OR($B164="",$A164&lt;107),"",--MID('Key Analysis'!$C160,107,1))</f>
        <v/>
      </c>
      <c r="IL164" s="29" t="str">
        <f>IF(OR($B164="",$A164&lt;108),"",--MID('Key Analysis'!$C160,108,1))</f>
        <v/>
      </c>
      <c r="IM164" s="29" t="str">
        <f>IF(OR($B164="",$A164&lt;109),"",--MID('Key Analysis'!$C160,109,1))</f>
        <v/>
      </c>
      <c r="IN164" s="29" t="str">
        <f>IF(OR($B164="",$A164&lt;110),"",--MID('Key Analysis'!$C160,110,1))</f>
        <v/>
      </c>
      <c r="IO164" s="29" t="str">
        <f>IF(OR($B164="",$A164&lt;111),"",--MID('Key Analysis'!$C160,111,1))</f>
        <v/>
      </c>
      <c r="IP164" s="29" t="str">
        <f>IF(OR($B164="",$A164&lt;112),"",--MID('Key Analysis'!$C160,112,1))</f>
        <v/>
      </c>
      <c r="IQ164" s="29" t="str">
        <f>IF(OR($B164="",$A164&lt;113),"",--MID('Key Analysis'!$C160,113,1))</f>
        <v/>
      </c>
      <c r="IR164" s="29" t="str">
        <f>IF(OR($B164="",$A164&lt;114),"",--MID('Key Analysis'!$C160,114,1))</f>
        <v/>
      </c>
      <c r="IS164" s="29" t="str">
        <f>IF(OR($B164="",$A164&lt;115),"",--MID('Key Analysis'!$C160,115,1))</f>
        <v/>
      </c>
      <c r="IT164" s="29" t="str">
        <f>IF(OR($B164="",$A164&lt;116),"",--MID('Key Analysis'!$C160,116,1))</f>
        <v/>
      </c>
      <c r="IU164" s="29" t="str">
        <f>IF(OR($B164="",$A164&lt;117),"",--MID('Key Analysis'!$C160,117,1))</f>
        <v/>
      </c>
      <c r="IV164" s="29" t="str">
        <f>IF(OR($B164="",$A164&lt;118),"",--MID('Key Analysis'!$C160,118,1))</f>
        <v/>
      </c>
      <c r="IW164" s="29" t="str">
        <f>IF(OR($B164="",$A164&lt;119),"",--MID('Key Analysis'!$C160,119,1))</f>
        <v/>
      </c>
      <c r="IX164" s="29" t="str">
        <f>IF(OR($B164="",$A164&lt;120),"",--MID('Key Analysis'!$C160,120,1))</f>
        <v/>
      </c>
      <c r="IY164" s="29" t="str">
        <f>IF(OR($B164="",$A164&lt;121),"",--MID('Key Analysis'!$C160,121,1))</f>
        <v/>
      </c>
      <c r="IZ164" s="29" t="str">
        <f>IF(OR($B164="",$A164&lt;122),"",--MID('Key Analysis'!$C160,122,1))</f>
        <v/>
      </c>
      <c r="JA164" s="29" t="str">
        <f>IF(OR($B164="",$A164&lt;123),"",--MID('Key Analysis'!$C160,123,1))</f>
        <v/>
      </c>
      <c r="JB164" s="29" t="str">
        <f>IF(OR($B164="",$A164&lt;124),"",--MID('Key Analysis'!$C160,124,1))</f>
        <v/>
      </c>
      <c r="JC164" s="29" t="str">
        <f>IF(OR($B164="",$A164&lt;125),"",--MID('Key Analysis'!$C160,125,1))</f>
        <v/>
      </c>
      <c r="JD164" s="29" t="str">
        <f>IF(OR($B164="",$A164&lt;126),"",--MID('Key Analysis'!$C160,126,1))</f>
        <v/>
      </c>
      <c r="JE164" s="29" t="str">
        <f>IF(OR($B164="",$A164&lt;127),"",--MID('Key Analysis'!$C160,127,1))</f>
        <v/>
      </c>
      <c r="JF164" s="29" t="str">
        <f>IF(OR($B164="",$A164&lt;128),"",--MID('Key Analysis'!$C160,128,1))</f>
        <v/>
      </c>
      <c r="JG164" s="29" t="str">
        <f>IF(OR($B164="",$A164&lt;129),"",--MID('Key Analysis'!$C160,129,1))</f>
        <v/>
      </c>
      <c r="JH164" s="29" t="str">
        <f>IF(OR($B164="",$A164&lt;130),"",--MID('Key Analysis'!$C160,130,1))</f>
        <v/>
      </c>
      <c r="JI164" s="29" t="str">
        <f>IF(OR($B164="",$A164&lt;131),"",--MID('Key Analysis'!$C160,131,1))</f>
        <v/>
      </c>
      <c r="JJ164" s="29" t="str">
        <f>IF(OR($B164="",$A164&lt;132),"",--MID('Key Analysis'!$C160,132,1))</f>
        <v/>
      </c>
      <c r="JK164" s="29" t="str">
        <f>IF(OR($B164="",$A164&lt;133),"",--MID('Key Analysis'!$C160,133,1))</f>
        <v/>
      </c>
      <c r="JL164" s="29" t="str">
        <f>IF(OR($B164="",$A164&lt;134),"",--MID('Key Analysis'!$C160,134,1))</f>
        <v/>
      </c>
      <c r="JM164" s="29" t="str">
        <f>IF(OR($B164="",$A164&lt;135),"",--MID('Key Analysis'!$C160,135,1))</f>
        <v/>
      </c>
    </row>
    <row r="165" spans="1:273" x14ac:dyDescent="0.25">
      <c r="A165" s="21">
        <f>'Key Analysis'!A161</f>
        <v>160</v>
      </c>
      <c r="B165" s="30" t="str">
        <f>'Key Analysis'!B161</f>
        <v/>
      </c>
      <c r="C165" s="29" t="str">
        <f>IF(OR($B165="",$A165&lt;=0),"",--MID('Key Analysis'!$C161,$A165-0,1))</f>
        <v/>
      </c>
      <c r="D165" s="29" t="str">
        <f>IF(OR($B165="",$A165&lt;=1),"",--MID('Key Analysis'!$C161,$A165-1,1))</f>
        <v/>
      </c>
      <c r="E165" s="29" t="str">
        <f>IF(OR($B165="",$A165&lt;=2),"",--MID('Key Analysis'!$C161,$A165-2,1))</f>
        <v/>
      </c>
      <c r="F165" s="29" t="str">
        <f>IF(OR($B165="",$A165&lt;=3),"",--MID('Key Analysis'!$C161,$A165-3,1))</f>
        <v/>
      </c>
      <c r="G165" s="29" t="str">
        <f>IF(OR($B165="",$A165&lt;=4),"",--MID('Key Analysis'!$C161,$A165-4,1))</f>
        <v/>
      </c>
      <c r="H165" s="29" t="str">
        <f>IF(OR($B165="",$A165&lt;=5),"",--MID('Key Analysis'!$C161,$A165-5,1))</f>
        <v/>
      </c>
      <c r="I165" s="29" t="str">
        <f>IF(OR($B165="",$A165&lt;=6),"",--MID('Key Analysis'!$C161,$A165-6,1))</f>
        <v/>
      </c>
      <c r="J165" s="29" t="str">
        <f>IF(OR($B165="",$A165&lt;=7),"",--MID('Key Analysis'!$C161,$A165-7,1))</f>
        <v/>
      </c>
      <c r="K165" s="29" t="str">
        <f>IF(OR($B165="",$A165&lt;=8),"",--MID('Key Analysis'!$C161,$A165-8,1))</f>
        <v/>
      </c>
      <c r="L165" s="29" t="str">
        <f>IF(OR($B165="",$A165&lt;=9),"",--MID('Key Analysis'!$C161,$A165-9,1))</f>
        <v/>
      </c>
      <c r="M165" s="29" t="str">
        <f>IF(OR($B165="",$A165&lt;=10),"",--MID('Key Analysis'!$C161,$A165-10,1))</f>
        <v/>
      </c>
      <c r="N165" s="29" t="str">
        <f>IF(OR($B165="",$A165&lt;=11),"",--MID('Key Analysis'!$C161,$A165-11,1))</f>
        <v/>
      </c>
      <c r="O165" s="29" t="str">
        <f>IF(OR($B165="",$A165&lt;=12),"",--MID('Key Analysis'!$C161,$A165-12,1))</f>
        <v/>
      </c>
      <c r="P165" s="29" t="str">
        <f>IF(OR($B165="",$A165&lt;=13),"",--MID('Key Analysis'!$C161,$A165-13,1))</f>
        <v/>
      </c>
      <c r="Q165" s="29" t="str">
        <f>IF(OR($B165="",$A165&lt;=14),"",--MID('Key Analysis'!$C161,$A165-14,1))</f>
        <v/>
      </c>
      <c r="R165" s="29" t="str">
        <f>IF(OR($B165="",$A165&lt;=15),"",--MID('Key Analysis'!$C161,$A165-15,1))</f>
        <v/>
      </c>
      <c r="S165" s="29" t="str">
        <f>IF(OR($B165="",$A165&lt;=16),"",--MID('Key Analysis'!$C161,$A165-16,1))</f>
        <v/>
      </c>
      <c r="T165" s="29" t="str">
        <f>IF(OR($B165="",$A165&lt;=17),"",--MID('Key Analysis'!$C161,$A165-17,1))</f>
        <v/>
      </c>
      <c r="U165" s="29" t="str">
        <f>IF(OR($B165="",$A165&lt;=18),"",--MID('Key Analysis'!$C161,$A165-18,1))</f>
        <v/>
      </c>
      <c r="V165" s="29" t="str">
        <f>IF(OR($B165="",$A165&lt;=19),"",--MID('Key Analysis'!$C161,$A165-19,1))</f>
        <v/>
      </c>
      <c r="W165" s="29" t="str">
        <f>IF(OR($B165="",$A165&lt;=20),"",--MID('Key Analysis'!$C161,$A165-20,1))</f>
        <v/>
      </c>
      <c r="X165" s="29" t="str">
        <f>IF(OR($B165="",$A165&lt;=21),"",--MID('Key Analysis'!$C161,$A165-21,1))</f>
        <v/>
      </c>
      <c r="Y165" s="29" t="str">
        <f>IF(OR($B165="",$A165&lt;=22),"",--MID('Key Analysis'!$C161,$A165-22,1))</f>
        <v/>
      </c>
      <c r="Z165" s="29" t="str">
        <f>IF(OR($B165="",$A165&lt;=23),"",--MID('Key Analysis'!$C161,$A165-23,1))</f>
        <v/>
      </c>
      <c r="AA165" s="29" t="str">
        <f>IF(OR($B165="",$A165&lt;=24),"",--MID('Key Analysis'!$C161,$A165-24,1))</f>
        <v/>
      </c>
      <c r="AB165" s="29" t="str">
        <f>IF(OR($B165="",$A165&lt;=25),"",--MID('Key Analysis'!$C161,$A165-25,1))</f>
        <v/>
      </c>
      <c r="AC165" s="29" t="str">
        <f>IF(OR($B165="",$A165&lt;=26),"",--MID('Key Analysis'!$C161,$A165-26,1))</f>
        <v/>
      </c>
      <c r="AD165" s="29" t="str">
        <f>IF(OR($B165="",$A165&lt;=27),"",--MID('Key Analysis'!$C161,$A165-27,1))</f>
        <v/>
      </c>
      <c r="AE165" s="29" t="str">
        <f>IF(OR($B165="",$A165&lt;=28),"",--MID('Key Analysis'!$C161,$A165-28,1))</f>
        <v/>
      </c>
      <c r="AF165" s="29" t="str">
        <f>IF(OR($B165="",$A165&lt;=29),"",--MID('Key Analysis'!$C161,$A165-29,1))</f>
        <v/>
      </c>
      <c r="AG165" s="29" t="str">
        <f>IF(OR($B165="",$A165&lt;=30),"",--MID('Key Analysis'!$C161,$A165-30,1))</f>
        <v/>
      </c>
      <c r="AH165" s="29" t="str">
        <f>IF(OR($B165="",$A165&lt;=31),"",--MID('Key Analysis'!$C161,$A165-31,1))</f>
        <v/>
      </c>
      <c r="AI165" s="29" t="str">
        <f>IF(OR($B165="",$A165&lt;=32),"",--MID('Key Analysis'!$C161,$A165-32,1))</f>
        <v/>
      </c>
      <c r="AJ165" s="29" t="str">
        <f>IF(OR($B165="",$A165&lt;=33),"",--MID('Key Analysis'!$C161,$A165-33,1))</f>
        <v/>
      </c>
      <c r="AK165" s="29" t="str">
        <f>IF(OR($B165="",$A165&lt;=34),"",--MID('Key Analysis'!$C161,$A165-34,1))</f>
        <v/>
      </c>
      <c r="AL165" s="29" t="str">
        <f>IF(OR($B165="",$A165&lt;=35),"",--MID('Key Analysis'!$C161,$A165-35,1))</f>
        <v/>
      </c>
      <c r="AM165" s="29" t="str">
        <f>IF(OR($B165="",$A165&lt;=36),"",--MID('Key Analysis'!$C161,$A165-36,1))</f>
        <v/>
      </c>
      <c r="AN165" s="29" t="str">
        <f>IF(OR($B165="",$A165&lt;=37),"",--MID('Key Analysis'!$C161,$A165-37,1))</f>
        <v/>
      </c>
      <c r="AO165" s="29" t="str">
        <f>IF(OR($B165="",$A165&lt;=38),"",--MID('Key Analysis'!$C161,$A165-38,1))</f>
        <v/>
      </c>
      <c r="AP165" s="29" t="str">
        <f>IF(OR($B165="",$A165&lt;=39),"",--MID('Key Analysis'!$C161,$A165-39,1))</f>
        <v/>
      </c>
      <c r="AQ165" s="29" t="str">
        <f>IF(OR($B165="",$A165&lt;=40),"",--MID('Key Analysis'!$C161,$A165-40,1))</f>
        <v/>
      </c>
      <c r="AR165" s="29" t="str">
        <f>IF(OR($B165="",$A165&lt;=41),"",--MID('Key Analysis'!$C161,$A165-41,1))</f>
        <v/>
      </c>
      <c r="AS165" s="29" t="str">
        <f>IF(OR($B165="",$A165&lt;=42),"",--MID('Key Analysis'!$C161,$A165-42,1))</f>
        <v/>
      </c>
      <c r="AT165" s="29" t="str">
        <f>IF(OR($B165="",$A165&lt;=43),"",--MID('Key Analysis'!$C161,$A165-43,1))</f>
        <v/>
      </c>
      <c r="AU165" s="29" t="str">
        <f>IF(OR($B165="",$A165&lt;=44),"",--MID('Key Analysis'!$C161,$A165-44,1))</f>
        <v/>
      </c>
      <c r="AV165" s="29" t="str">
        <f>IF(OR($B165="",$A165&lt;=45),"",--MID('Key Analysis'!$C161,$A165-45,1))</f>
        <v/>
      </c>
      <c r="AW165" s="29" t="str">
        <f>IF(OR($B165="",$A165&lt;=46),"",--MID('Key Analysis'!$C161,$A165-46,1))</f>
        <v/>
      </c>
      <c r="AX165" s="29" t="str">
        <f>IF(OR($B165="",$A165&lt;=47),"",--MID('Key Analysis'!$C161,$A165-47,1))</f>
        <v/>
      </c>
      <c r="AY165" s="29" t="str">
        <f>IF(OR($B165="",$A165&lt;=48),"",--MID('Key Analysis'!$C161,$A165-48,1))</f>
        <v/>
      </c>
      <c r="AZ165" s="29" t="str">
        <f>IF(OR($B165="",$A165&lt;=49),"",--MID('Key Analysis'!$C161,$A165-49,1))</f>
        <v/>
      </c>
      <c r="BA165" s="29" t="str">
        <f>IF(OR($B165="",$A165&lt;=50),"",--MID('Key Analysis'!$C161,$A165-50,1))</f>
        <v/>
      </c>
      <c r="BB165" s="29" t="str">
        <f>IF(OR($B165="",$A165&lt;=51),"",--MID('Key Analysis'!$C161,$A165-51,1))</f>
        <v/>
      </c>
      <c r="BC165" s="29" t="str">
        <f>IF(OR($B165="",$A165&lt;=52),"",--MID('Key Analysis'!$C161,$A165-52,1))</f>
        <v/>
      </c>
      <c r="BD165" s="29" t="str">
        <f>IF(OR($B165="",$A165&lt;=53),"",--MID('Key Analysis'!$C161,$A165-53,1))</f>
        <v/>
      </c>
      <c r="BE165" s="29" t="str">
        <f>IF(OR($B165="",$A165&lt;=54),"",--MID('Key Analysis'!$C161,$A165-54,1))</f>
        <v/>
      </c>
      <c r="BF165" s="29" t="str">
        <f>IF(OR($B165="",$A165&lt;=55),"",--MID('Key Analysis'!$C161,$A165-55,1))</f>
        <v/>
      </c>
      <c r="BG165" s="29" t="str">
        <f>IF(OR($B165="",$A165&lt;=56),"",--MID('Key Analysis'!$C161,$A165-56,1))</f>
        <v/>
      </c>
      <c r="BH165" s="29" t="str">
        <f>IF(OR($B165="",$A165&lt;=57),"",--MID('Key Analysis'!$C161,$A165-57,1))</f>
        <v/>
      </c>
      <c r="BI165" s="29" t="str">
        <f>IF(OR($B165="",$A165&lt;=58),"",--MID('Key Analysis'!$C161,$A165-58,1))</f>
        <v/>
      </c>
      <c r="BJ165" s="29" t="str">
        <f>IF(OR($B165="",$A165&lt;=59),"",--MID('Key Analysis'!$C161,$A165-59,1))</f>
        <v/>
      </c>
      <c r="BK165" s="29" t="str">
        <f>IF(OR($B165="",$A165&lt;=60),"",--MID('Key Analysis'!$C161,$A165-60,1))</f>
        <v/>
      </c>
      <c r="BL165" s="29" t="str">
        <f>IF(OR($B165="",$A165&lt;=61),"",--MID('Key Analysis'!$C161,$A165-61,1))</f>
        <v/>
      </c>
      <c r="BM165" s="29" t="str">
        <f>IF(OR($B165="",$A165&lt;=62),"",--MID('Key Analysis'!$C161,$A165-62,1))</f>
        <v/>
      </c>
      <c r="BN165" s="29" t="str">
        <f>IF(OR($B165="",$A165&lt;=63),"",--MID('Key Analysis'!$C161,$A165-63,1))</f>
        <v/>
      </c>
      <c r="BO165" s="29" t="str">
        <f>IF(OR($B165="",$A165&lt;=64),"",--MID('Key Analysis'!$C161,$A165-64,1))</f>
        <v/>
      </c>
      <c r="BP165" s="29" t="str">
        <f>IF(OR($B165="",$A165&lt;=65),"",--MID('Key Analysis'!$C161,$A165-65,1))</f>
        <v/>
      </c>
      <c r="BQ165" s="29" t="str">
        <f>IF(OR($B165="",$A165&lt;=66),"",--MID('Key Analysis'!$C161,$A165-66,1))</f>
        <v/>
      </c>
      <c r="BR165" s="29" t="str">
        <f>IF(OR($B165="",$A165&lt;=67),"",--MID('Key Analysis'!$C161,$A165-67,1))</f>
        <v/>
      </c>
      <c r="BS165" s="29" t="str">
        <f>IF(OR($B165="",$A165&lt;=68),"",--MID('Key Analysis'!$C161,$A165-68,1))</f>
        <v/>
      </c>
      <c r="BT165" s="29" t="str">
        <f>IF(OR($B165="",$A165&lt;=69),"",--MID('Key Analysis'!$C161,$A165-69,1))</f>
        <v/>
      </c>
      <c r="BU165" s="29" t="str">
        <f>IF(OR($B165="",$A165&lt;=70),"",--MID('Key Analysis'!$C161,$A165-70,1))</f>
        <v/>
      </c>
      <c r="BV165" s="29" t="str">
        <f>IF(OR($B165="",$A165&lt;=71),"",--MID('Key Analysis'!$C161,$A165-71,1))</f>
        <v/>
      </c>
      <c r="BW165" s="29" t="str">
        <f>IF(OR($B165="",$A165&lt;=72),"",--MID('Key Analysis'!$C161,$A165-72,1))</f>
        <v/>
      </c>
      <c r="BX165" s="29" t="str">
        <f>IF(OR($B165="",$A165&lt;=73),"",--MID('Key Analysis'!$C161,$A165-73,1))</f>
        <v/>
      </c>
      <c r="BY165" s="29" t="str">
        <f>IF(OR($B165="",$A165&lt;=74),"",--MID('Key Analysis'!$C161,$A165-74,1))</f>
        <v/>
      </c>
      <c r="BZ165" s="29" t="str">
        <f>IF(OR($B165="",$A165&lt;=75),"",--MID('Key Analysis'!$C161,$A165-75,1))</f>
        <v/>
      </c>
      <c r="CA165" s="29" t="str">
        <f>IF(OR($B165="",$A165&lt;=76),"",--MID('Key Analysis'!$C161,$A165-76,1))</f>
        <v/>
      </c>
      <c r="CB165" s="29" t="str">
        <f>IF(OR($B165="",$A165&lt;=77),"",--MID('Key Analysis'!$C161,$A165-77,1))</f>
        <v/>
      </c>
      <c r="CC165" s="29" t="str">
        <f>IF(OR($B165="",$A165&lt;=78),"",--MID('Key Analysis'!$C161,$A165-78,1))</f>
        <v/>
      </c>
      <c r="CD165" s="29" t="str">
        <f>IF(OR($B165="",$A165&lt;=79),"",--MID('Key Analysis'!$C161,$A165-79,1))</f>
        <v/>
      </c>
      <c r="CE165" s="29" t="str">
        <f>IF(OR($B165="",$A165&lt;=80),"",--MID('Key Analysis'!$C161,$A165-80,1))</f>
        <v/>
      </c>
      <c r="CF165" s="29" t="str">
        <f>IF(OR($B165="",$A165&lt;=81),"",--MID('Key Analysis'!$C161,$A165-81,1))</f>
        <v/>
      </c>
      <c r="CG165" s="29" t="str">
        <f>IF(OR($B165="",$A165&lt;=82),"",--MID('Key Analysis'!$C161,$A165-82,1))</f>
        <v/>
      </c>
      <c r="CH165" s="29" t="str">
        <f>IF(OR($B165="",$A165&lt;=83),"",--MID('Key Analysis'!$C161,$A165-83,1))</f>
        <v/>
      </c>
      <c r="CI165" s="29" t="str">
        <f>IF(OR($B165="",$A165&lt;=84),"",--MID('Key Analysis'!$C161,$A165-84,1))</f>
        <v/>
      </c>
      <c r="CJ165" s="29" t="str">
        <f>IF(OR($B165="",$A165&lt;=85),"",--MID('Key Analysis'!$C161,$A165-85,1))</f>
        <v/>
      </c>
      <c r="CK165" s="29" t="str">
        <f>IF(OR($B165="",$A165&lt;=86),"",--MID('Key Analysis'!$C161,$A165-86,1))</f>
        <v/>
      </c>
      <c r="CL165" s="29" t="str">
        <f>IF(OR($B165="",$A165&lt;=87),"",--MID('Key Analysis'!$C161,$A165-87,1))</f>
        <v/>
      </c>
      <c r="CM165" s="29" t="str">
        <f>IF(OR($B165="",$A165&lt;=88),"",--MID('Key Analysis'!$C161,$A165-88,1))</f>
        <v/>
      </c>
      <c r="CN165" s="29" t="str">
        <f>IF(OR($B165="",$A165&lt;=89),"",--MID('Key Analysis'!$C161,$A165-89,1))</f>
        <v/>
      </c>
      <c r="CO165" s="29" t="str">
        <f>IF(OR($B165="",$A165&lt;=90),"",--MID('Key Analysis'!$C161,$A165-90,1))</f>
        <v/>
      </c>
      <c r="CP165" s="29" t="str">
        <f>IF(OR($B165="",$A165&lt;=91),"",--MID('Key Analysis'!$C161,$A165-91,1))</f>
        <v/>
      </c>
      <c r="CQ165" s="29" t="str">
        <f>IF(OR($B165="",$A165&lt;=92),"",--MID('Key Analysis'!$C161,$A165-92,1))</f>
        <v/>
      </c>
      <c r="CR165" s="29" t="str">
        <f>IF(OR($B165="",$A165&lt;=93),"",--MID('Key Analysis'!$C161,$A165-93,1))</f>
        <v/>
      </c>
      <c r="CS165" s="29" t="str">
        <f>IF(OR($B165="",$A165&lt;=94),"",--MID('Key Analysis'!$C161,$A165-94,1))</f>
        <v/>
      </c>
      <c r="CT165" s="29" t="str">
        <f>IF(OR($B165="",$A165&lt;=95),"",--MID('Key Analysis'!$C161,$A165-95,1))</f>
        <v/>
      </c>
      <c r="CU165" s="29" t="str">
        <f>IF(OR($B165="",$A165&lt;=96),"",--MID('Key Analysis'!$C161,$A165-96,1))</f>
        <v/>
      </c>
      <c r="CV165" s="29" t="str">
        <f>IF(OR($B165="",$A165&lt;=97),"",--MID('Key Analysis'!$C161,$A165-97,1))</f>
        <v/>
      </c>
      <c r="CW165" s="29" t="str">
        <f>IF(OR($B165="",$A165&lt;=98),"",--MID('Key Analysis'!$C161,$A165-98,1))</f>
        <v/>
      </c>
      <c r="CX165" s="29" t="str">
        <f>IF(OR($B165="",$A165&lt;=99),"",--MID('Key Analysis'!$C161,$A165-99,1))</f>
        <v/>
      </c>
      <c r="CY165" s="29" t="str">
        <f>IF(OR($B165="",$A165&lt;=100),"",--MID('Key Analysis'!$C161,$A165-100,1))</f>
        <v/>
      </c>
      <c r="CZ165" s="29" t="str">
        <f>IF(OR($B165="",$A165&lt;=101),"",--MID('Key Analysis'!$C161,$A165-101,1))</f>
        <v/>
      </c>
      <c r="DA165" s="29" t="str">
        <f>IF(OR($B165="",$A165&lt;=102),"",--MID('Key Analysis'!$C161,$A165-102,1))</f>
        <v/>
      </c>
      <c r="DB165" s="29" t="str">
        <f>IF(OR($B165="",$A165&lt;=103),"",--MID('Key Analysis'!$C161,$A165-103,1))</f>
        <v/>
      </c>
      <c r="DC165" s="29" t="str">
        <f>IF(OR($B165="",$A165&lt;=104),"",--MID('Key Analysis'!$C161,$A165-104,1))</f>
        <v/>
      </c>
      <c r="DD165" s="29" t="str">
        <f>IF(OR($B165="",$A165&lt;=105),"",--MID('Key Analysis'!$C161,$A165-105,1))</f>
        <v/>
      </c>
      <c r="DE165" s="29" t="str">
        <f>IF(OR($B165="",$A165&lt;=106),"",--MID('Key Analysis'!$C161,$A165-106,1))</f>
        <v/>
      </c>
      <c r="DF165" s="29" t="str">
        <f>IF(OR($B165="",$A165&lt;=107),"",--MID('Key Analysis'!$C161,$A165-107,1))</f>
        <v/>
      </c>
      <c r="DG165" s="29" t="str">
        <f>IF(OR($B165="",$A165&lt;=108),"",--MID('Key Analysis'!$C161,$A165-108,1))</f>
        <v/>
      </c>
      <c r="DH165" s="29" t="str">
        <f>IF(OR($B165="",$A165&lt;=109),"",--MID('Key Analysis'!$C161,$A165-109,1))</f>
        <v/>
      </c>
      <c r="DI165" s="29" t="str">
        <f>IF(OR($B165="",$A165&lt;=110),"",--MID('Key Analysis'!$C161,$A165-110,1))</f>
        <v/>
      </c>
      <c r="DJ165" s="29" t="str">
        <f>IF(OR($B165="",$A165&lt;=111),"",--MID('Key Analysis'!$C161,$A165-111,1))</f>
        <v/>
      </c>
      <c r="DK165" s="29" t="str">
        <f>IF(OR($B165="",$A165&lt;=112),"",--MID('Key Analysis'!$C161,$A165-112,1))</f>
        <v/>
      </c>
      <c r="DL165" s="29" t="str">
        <f>IF(OR($B165="",$A165&lt;=113),"",--MID('Key Analysis'!$C161,$A165-113,1))</f>
        <v/>
      </c>
      <c r="DM165" s="29" t="str">
        <f>IF(OR($B165="",$A165&lt;=114),"",--MID('Key Analysis'!$C161,$A165-114,1))</f>
        <v/>
      </c>
      <c r="DN165" s="29" t="str">
        <f>IF(OR($B165="",$A165&lt;=115),"",--MID('Key Analysis'!$C161,$A165-115,1))</f>
        <v/>
      </c>
      <c r="DO165" s="29" t="str">
        <f>IF(OR($B165="",$A165&lt;=116),"",--MID('Key Analysis'!$C161,$A165-116,1))</f>
        <v/>
      </c>
      <c r="DP165" s="29" t="str">
        <f>IF(OR($B165="",$A165&lt;=117),"",--MID('Key Analysis'!$C161,$A165-117,1))</f>
        <v/>
      </c>
      <c r="DQ165" s="29" t="str">
        <f>IF(OR($B165="",$A165&lt;=118),"",--MID('Key Analysis'!$C161,$A165-118,1))</f>
        <v/>
      </c>
      <c r="DR165" s="29" t="str">
        <f>IF(OR($B165="",$A165&lt;=119),"",--MID('Key Analysis'!$C161,$A165-119,1))</f>
        <v/>
      </c>
      <c r="DS165" s="29" t="str">
        <f>IF(OR($B165="",$A165&lt;=120),"",--MID('Key Analysis'!$C161,$A165-120,1))</f>
        <v/>
      </c>
      <c r="DT165" s="29" t="str">
        <f>IF(OR($B165="",$A165&lt;=121),"",--MID('Key Analysis'!$C161,$A165-121,1))</f>
        <v/>
      </c>
      <c r="DU165" s="29" t="str">
        <f>IF(OR($B165="",$A165&lt;=122),"",--MID('Key Analysis'!$C161,$A165-122,1))</f>
        <v/>
      </c>
      <c r="DV165" s="29" t="str">
        <f>IF(OR($B165="",$A165&lt;=123),"",--MID('Key Analysis'!$C161,$A165-123,1))</f>
        <v/>
      </c>
      <c r="DW165" s="29" t="str">
        <f>IF(OR($B165="",$A165&lt;=124),"",--MID('Key Analysis'!$C161,$A165-124,1))</f>
        <v/>
      </c>
      <c r="DX165" s="29" t="str">
        <f>IF(OR($B165="",$A165&lt;=125),"",--MID('Key Analysis'!$C161,$A165-125,1))</f>
        <v/>
      </c>
      <c r="DY165" s="29" t="str">
        <f>IF(OR($B165="",$A165&lt;=126),"",--MID('Key Analysis'!$C161,$A165-126,1))</f>
        <v/>
      </c>
      <c r="DZ165" s="29" t="str">
        <f>IF(OR($B165="",$A165&lt;=127),"",--MID('Key Analysis'!$C161,$A165-127,1))</f>
        <v/>
      </c>
      <c r="EA165" s="29" t="str">
        <f>IF(OR($B165="",$A165&lt;=128),"",--MID('Key Analysis'!$C161,$A165-128,1))</f>
        <v/>
      </c>
      <c r="EB165" s="29" t="str">
        <f>IF(OR($B165="",$A165&lt;=129),"",--MID('Key Analysis'!$C161,$A165-129,1))</f>
        <v/>
      </c>
      <c r="EC165" s="29" t="str">
        <f>IF(OR($B165="",$A165&lt;=130),"",--MID('Key Analysis'!$C161,$A165-130,1))</f>
        <v/>
      </c>
      <c r="ED165" s="29" t="str">
        <f>IF(OR($B165="",$A165&lt;=131),"",--MID('Key Analysis'!$C161,$A165-131,1))</f>
        <v/>
      </c>
      <c r="EE165" s="29" t="str">
        <f>IF(OR($B165="",$A165&lt;=132),"",--MID('Key Analysis'!$C161,$A165-132,1))</f>
        <v/>
      </c>
      <c r="EF165" s="29" t="str">
        <f>IF(OR($B165="",$A165&lt;=133),"",--MID('Key Analysis'!$C161,$A165-133,1))</f>
        <v/>
      </c>
      <c r="EG165" s="29" t="str">
        <f>IF(OR($B165="",$A165&lt;=134),"",--MID('Key Analysis'!$C161,$A165-134,1))</f>
        <v/>
      </c>
      <c r="EH165" s="29"/>
      <c r="EI165" s="29" t="str">
        <f>IF(OR($B165="",$A165&lt;1),"",--MID('Key Analysis'!$C161,1,1))</f>
        <v/>
      </c>
      <c r="EJ165" s="29" t="str">
        <f>IF(OR($B165="",$A165&lt;2),"",--MID('Key Analysis'!$C161,2,1))</f>
        <v/>
      </c>
      <c r="EK165" s="29" t="str">
        <f>IF(OR($B165="",$A165&lt;3),"",--MID('Key Analysis'!$C161,3,1))</f>
        <v/>
      </c>
      <c r="EL165" s="29" t="str">
        <f>IF(OR($B165="",$A165&lt;4),"",--MID('Key Analysis'!$C161,4,1))</f>
        <v/>
      </c>
      <c r="EM165" s="29" t="str">
        <f>IF(OR($B165="",$A165&lt;5),"",--MID('Key Analysis'!$C161,5,1))</f>
        <v/>
      </c>
      <c r="EN165" s="29" t="str">
        <f>IF(OR($B165="",$A165&lt;6),"",--MID('Key Analysis'!$C161,6,1))</f>
        <v/>
      </c>
      <c r="EO165" s="29" t="str">
        <f>IF(OR($B165="",$A165&lt;7),"",--MID('Key Analysis'!$C161,7,1))</f>
        <v/>
      </c>
      <c r="EP165" s="29" t="str">
        <f>IF(OR($B165="",$A165&lt;8),"",--MID('Key Analysis'!$C161,8,1))</f>
        <v/>
      </c>
      <c r="EQ165" s="29" t="str">
        <f>IF(OR($B165="",$A165&lt;9),"",--MID('Key Analysis'!$C161,9,1))</f>
        <v/>
      </c>
      <c r="ER165" s="29" t="str">
        <f>IF(OR($B165="",$A165&lt;10),"",--MID('Key Analysis'!$C161,10,1))</f>
        <v/>
      </c>
      <c r="ES165" s="29" t="str">
        <f>IF(OR($B165="",$A165&lt;11),"",--MID('Key Analysis'!$C161,11,1))</f>
        <v/>
      </c>
      <c r="ET165" s="29" t="str">
        <f>IF(OR($B165="",$A165&lt;12),"",--MID('Key Analysis'!$C161,12,1))</f>
        <v/>
      </c>
      <c r="EU165" s="29" t="str">
        <f>IF(OR($B165="",$A165&lt;13),"",--MID('Key Analysis'!$C161,13,1))</f>
        <v/>
      </c>
      <c r="EV165" s="29" t="str">
        <f>IF(OR($B165="",$A165&lt;14),"",--MID('Key Analysis'!$C161,14,1))</f>
        <v/>
      </c>
      <c r="EW165" s="29" t="str">
        <f>IF(OR($B165="",$A165&lt;15),"",--MID('Key Analysis'!$C161,15,1))</f>
        <v/>
      </c>
      <c r="EX165" s="29" t="str">
        <f>IF(OR($B165="",$A165&lt;16),"",--MID('Key Analysis'!$C161,16,1))</f>
        <v/>
      </c>
      <c r="EY165" s="29" t="str">
        <f>IF(OR($B165="",$A165&lt;17),"",--MID('Key Analysis'!$C161,17,1))</f>
        <v/>
      </c>
      <c r="EZ165" s="29" t="str">
        <f>IF(OR($B165="",$A165&lt;18),"",--MID('Key Analysis'!$C161,18,1))</f>
        <v/>
      </c>
      <c r="FA165" s="29" t="str">
        <f>IF(OR($B165="",$A165&lt;19),"",--MID('Key Analysis'!$C161,19,1))</f>
        <v/>
      </c>
      <c r="FB165" s="29" t="str">
        <f>IF(OR($B165="",$A165&lt;20),"",--MID('Key Analysis'!$C161,20,1))</f>
        <v/>
      </c>
      <c r="FC165" s="29" t="str">
        <f>IF(OR($B165="",$A165&lt;21),"",--MID('Key Analysis'!$C161,21,1))</f>
        <v/>
      </c>
      <c r="FD165" s="29" t="str">
        <f>IF(OR($B165="",$A165&lt;22),"",--MID('Key Analysis'!$C161,22,1))</f>
        <v/>
      </c>
      <c r="FE165" s="29" t="str">
        <f>IF(OR($B165="",$A165&lt;23),"",--MID('Key Analysis'!$C161,23,1))</f>
        <v/>
      </c>
      <c r="FF165" s="29" t="str">
        <f>IF(OR($B165="",$A165&lt;24),"",--MID('Key Analysis'!$C161,24,1))</f>
        <v/>
      </c>
      <c r="FG165" s="29" t="str">
        <f>IF(OR($B165="",$A165&lt;25),"",--MID('Key Analysis'!$C161,25,1))</f>
        <v/>
      </c>
      <c r="FH165" s="29" t="str">
        <f>IF(OR($B165="",$A165&lt;26),"",--MID('Key Analysis'!$C161,26,1))</f>
        <v/>
      </c>
      <c r="FI165" s="29" t="str">
        <f>IF(OR($B165="",$A165&lt;27),"",--MID('Key Analysis'!$C161,27,1))</f>
        <v/>
      </c>
      <c r="FJ165" s="29" t="str">
        <f>IF(OR($B165="",$A165&lt;28),"",--MID('Key Analysis'!$C161,28,1))</f>
        <v/>
      </c>
      <c r="FK165" s="29" t="str">
        <f>IF(OR($B165="",$A165&lt;29),"",--MID('Key Analysis'!$C161,29,1))</f>
        <v/>
      </c>
      <c r="FL165" s="29" t="str">
        <f>IF(OR($B165="",$A165&lt;30),"",--MID('Key Analysis'!$C161,30,1))</f>
        <v/>
      </c>
      <c r="FM165" s="29" t="str">
        <f>IF(OR($B165="",$A165&lt;31),"",--MID('Key Analysis'!$C161,31,1))</f>
        <v/>
      </c>
      <c r="FN165" s="29" t="str">
        <f>IF(OR($B165="",$A165&lt;32),"",--MID('Key Analysis'!$C161,32,1))</f>
        <v/>
      </c>
      <c r="FO165" s="29" t="str">
        <f>IF(OR($B165="",$A165&lt;33),"",--MID('Key Analysis'!$C161,33,1))</f>
        <v/>
      </c>
      <c r="FP165" s="29" t="str">
        <f>IF(OR($B165="",$A165&lt;34),"",--MID('Key Analysis'!$C161,34,1))</f>
        <v/>
      </c>
      <c r="FQ165" s="29" t="str">
        <f>IF(OR($B165="",$A165&lt;35),"",--MID('Key Analysis'!$C161,35,1))</f>
        <v/>
      </c>
      <c r="FR165" s="29" t="str">
        <f>IF(OR($B165="",$A165&lt;36),"",--MID('Key Analysis'!$C161,36,1))</f>
        <v/>
      </c>
      <c r="FS165" s="29" t="str">
        <f>IF(OR($B165="",$A165&lt;37),"",--MID('Key Analysis'!$C161,37,1))</f>
        <v/>
      </c>
      <c r="FT165" s="29" t="str">
        <f>IF(OR($B165="",$A165&lt;38),"",--MID('Key Analysis'!$C161,38,1))</f>
        <v/>
      </c>
      <c r="FU165" s="29" t="str">
        <f>IF(OR($B165="",$A165&lt;39),"",--MID('Key Analysis'!$C161,39,1))</f>
        <v/>
      </c>
      <c r="FV165" s="29" t="str">
        <f>IF(OR($B165="",$A165&lt;40),"",--MID('Key Analysis'!$C161,40,1))</f>
        <v/>
      </c>
      <c r="FW165" s="29" t="str">
        <f>IF(OR($B165="",$A165&lt;41),"",--MID('Key Analysis'!$C161,41,1))</f>
        <v/>
      </c>
      <c r="FX165" s="29" t="str">
        <f>IF(OR($B165="",$A165&lt;42),"",--MID('Key Analysis'!$C161,42,1))</f>
        <v/>
      </c>
      <c r="FY165" s="29" t="str">
        <f>IF(OR($B165="",$A165&lt;43),"",--MID('Key Analysis'!$C161,43,1))</f>
        <v/>
      </c>
      <c r="FZ165" s="29" t="str">
        <f>IF(OR($B165="",$A165&lt;44),"",--MID('Key Analysis'!$C161,44,1))</f>
        <v/>
      </c>
      <c r="GA165" s="29" t="str">
        <f>IF(OR($B165="",$A165&lt;45),"",--MID('Key Analysis'!$C161,45,1))</f>
        <v/>
      </c>
      <c r="GB165" s="29" t="str">
        <f>IF(OR($B165="",$A165&lt;46),"",--MID('Key Analysis'!$C161,46,1))</f>
        <v/>
      </c>
      <c r="GC165" s="29" t="str">
        <f>IF(OR($B165="",$A165&lt;47),"",--MID('Key Analysis'!$C161,47,1))</f>
        <v/>
      </c>
      <c r="GD165" s="29" t="str">
        <f>IF(OR($B165="",$A165&lt;48),"",--MID('Key Analysis'!$C161,48,1))</f>
        <v/>
      </c>
      <c r="GE165" s="29" t="str">
        <f>IF(OR($B165="",$A165&lt;49),"",--MID('Key Analysis'!$C161,49,1))</f>
        <v/>
      </c>
      <c r="GF165" s="29" t="str">
        <f>IF(OR($B165="",$A165&lt;50),"",--MID('Key Analysis'!$C161,50,1))</f>
        <v/>
      </c>
      <c r="GG165" s="29" t="str">
        <f>IF(OR($B165="",$A165&lt;51),"",--MID('Key Analysis'!$C161,51,1))</f>
        <v/>
      </c>
      <c r="GH165" s="29" t="str">
        <f>IF(OR($B165="",$A165&lt;52),"",--MID('Key Analysis'!$C161,52,1))</f>
        <v/>
      </c>
      <c r="GI165" s="29" t="str">
        <f>IF(OR($B165="",$A165&lt;53),"",--MID('Key Analysis'!$C161,53,1))</f>
        <v/>
      </c>
      <c r="GJ165" s="29" t="str">
        <f>IF(OR($B165="",$A165&lt;54),"",--MID('Key Analysis'!$C161,54,1))</f>
        <v/>
      </c>
      <c r="GK165" s="29" t="str">
        <f>IF(OR($B165="",$A165&lt;55),"",--MID('Key Analysis'!$C161,55,1))</f>
        <v/>
      </c>
      <c r="GL165" s="29" t="str">
        <f>IF(OR($B165="",$A165&lt;56),"",--MID('Key Analysis'!$C161,56,1))</f>
        <v/>
      </c>
      <c r="GM165" s="29" t="str">
        <f>IF(OR($B165="",$A165&lt;57),"",--MID('Key Analysis'!$C161,57,1))</f>
        <v/>
      </c>
      <c r="GN165" s="29" t="str">
        <f>IF(OR($B165="",$A165&lt;58),"",--MID('Key Analysis'!$C161,58,1))</f>
        <v/>
      </c>
      <c r="GO165" s="29" t="str">
        <f>IF(OR($B165="",$A165&lt;59),"",--MID('Key Analysis'!$C161,59,1))</f>
        <v/>
      </c>
      <c r="GP165" s="29" t="str">
        <f>IF(OR($B165="",$A165&lt;60),"",--MID('Key Analysis'!$C161,60,1))</f>
        <v/>
      </c>
      <c r="GQ165" s="29" t="str">
        <f>IF(OR($B165="",$A165&lt;61),"",--MID('Key Analysis'!$C161,61,1))</f>
        <v/>
      </c>
      <c r="GR165" s="29" t="str">
        <f>IF(OR($B165="",$A165&lt;62),"",--MID('Key Analysis'!$C161,62,1))</f>
        <v/>
      </c>
      <c r="GS165" s="29" t="str">
        <f>IF(OR($B165="",$A165&lt;63),"",--MID('Key Analysis'!$C161,63,1))</f>
        <v/>
      </c>
      <c r="GT165" s="29" t="str">
        <f>IF(OR($B165="",$A165&lt;64),"",--MID('Key Analysis'!$C161,64,1))</f>
        <v/>
      </c>
      <c r="GU165" s="29" t="str">
        <f>IF(OR($B165="",$A165&lt;65),"",--MID('Key Analysis'!$C161,65,1))</f>
        <v/>
      </c>
      <c r="GV165" s="29" t="str">
        <f>IF(OR($B165="",$A165&lt;66),"",--MID('Key Analysis'!$C161,66,1))</f>
        <v/>
      </c>
      <c r="GW165" s="29" t="str">
        <f>IF(OR($B165="",$A165&lt;67),"",--MID('Key Analysis'!$C161,67,1))</f>
        <v/>
      </c>
      <c r="GX165" s="29" t="str">
        <f>IF(OR($B165="",$A165&lt;68),"",--MID('Key Analysis'!$C161,68,1))</f>
        <v/>
      </c>
      <c r="GY165" s="29" t="str">
        <f>IF(OR($B165="",$A165&lt;69),"",--MID('Key Analysis'!$C161,69,1))</f>
        <v/>
      </c>
      <c r="GZ165" s="29" t="str">
        <f>IF(OR($B165="",$A165&lt;70),"",--MID('Key Analysis'!$C161,70,1))</f>
        <v/>
      </c>
      <c r="HA165" s="29" t="str">
        <f>IF(OR($B165="",$A165&lt;71),"",--MID('Key Analysis'!$C161,71,1))</f>
        <v/>
      </c>
      <c r="HB165" s="29" t="str">
        <f>IF(OR($B165="",$A165&lt;72),"",--MID('Key Analysis'!$C161,72,1))</f>
        <v/>
      </c>
      <c r="HC165" s="29" t="str">
        <f>IF(OR($B165="",$A165&lt;73),"",--MID('Key Analysis'!$C161,73,1))</f>
        <v/>
      </c>
      <c r="HD165" s="29" t="str">
        <f>IF(OR($B165="",$A165&lt;74),"",--MID('Key Analysis'!$C161,74,1))</f>
        <v/>
      </c>
      <c r="HE165" s="29" t="str">
        <f>IF(OR($B165="",$A165&lt;75),"",--MID('Key Analysis'!$C161,75,1))</f>
        <v/>
      </c>
      <c r="HF165" s="29" t="str">
        <f>IF(OR($B165="",$A165&lt;76),"",--MID('Key Analysis'!$C161,76,1))</f>
        <v/>
      </c>
      <c r="HG165" s="29" t="str">
        <f>IF(OR($B165="",$A165&lt;77),"",--MID('Key Analysis'!$C161,77,1))</f>
        <v/>
      </c>
      <c r="HH165" s="29" t="str">
        <f>IF(OR($B165="",$A165&lt;78),"",--MID('Key Analysis'!$C161,78,1))</f>
        <v/>
      </c>
      <c r="HI165" s="29" t="str">
        <f>IF(OR($B165="",$A165&lt;79),"",--MID('Key Analysis'!$C161,79,1))</f>
        <v/>
      </c>
      <c r="HJ165" s="29" t="str">
        <f>IF(OR($B165="",$A165&lt;80),"",--MID('Key Analysis'!$C161,80,1))</f>
        <v/>
      </c>
      <c r="HK165" s="29" t="str">
        <f>IF(OR($B165="",$A165&lt;81),"",--MID('Key Analysis'!$C161,81,1))</f>
        <v/>
      </c>
      <c r="HL165" s="29" t="str">
        <f>IF(OR($B165="",$A165&lt;82),"",--MID('Key Analysis'!$C161,82,1))</f>
        <v/>
      </c>
      <c r="HM165" s="29" t="str">
        <f>IF(OR($B165="",$A165&lt;83),"",--MID('Key Analysis'!$C161,83,1))</f>
        <v/>
      </c>
      <c r="HN165" s="29" t="str">
        <f>IF(OR($B165="",$A165&lt;84),"",--MID('Key Analysis'!$C161,84,1))</f>
        <v/>
      </c>
      <c r="HO165" s="29" t="str">
        <f>IF(OR($B165="",$A165&lt;85),"",--MID('Key Analysis'!$C161,85,1))</f>
        <v/>
      </c>
      <c r="HP165" s="29" t="str">
        <f>IF(OR($B165="",$A165&lt;86),"",--MID('Key Analysis'!$C161,86,1))</f>
        <v/>
      </c>
      <c r="HQ165" s="29" t="str">
        <f>IF(OR($B165="",$A165&lt;87),"",--MID('Key Analysis'!$C161,87,1))</f>
        <v/>
      </c>
      <c r="HR165" s="29" t="str">
        <f>IF(OR($B165="",$A165&lt;88),"",--MID('Key Analysis'!$C161,88,1))</f>
        <v/>
      </c>
      <c r="HS165" s="29" t="str">
        <f>IF(OR($B165="",$A165&lt;89),"",--MID('Key Analysis'!$C161,89,1))</f>
        <v/>
      </c>
      <c r="HT165" s="29" t="str">
        <f>IF(OR($B165="",$A165&lt;90),"",--MID('Key Analysis'!$C161,90,1))</f>
        <v/>
      </c>
      <c r="HU165" s="29" t="str">
        <f>IF(OR($B165="",$A165&lt;91),"",--MID('Key Analysis'!$C161,91,1))</f>
        <v/>
      </c>
      <c r="HV165" s="29" t="str">
        <f>IF(OR($B165="",$A165&lt;92),"",--MID('Key Analysis'!$C161,92,1))</f>
        <v/>
      </c>
      <c r="HW165" s="29" t="str">
        <f>IF(OR($B165="",$A165&lt;93),"",--MID('Key Analysis'!$C161,93,1))</f>
        <v/>
      </c>
      <c r="HX165" s="29" t="str">
        <f>IF(OR($B165="",$A165&lt;94),"",--MID('Key Analysis'!$C161,94,1))</f>
        <v/>
      </c>
      <c r="HY165" s="29" t="str">
        <f>IF(OR($B165="",$A165&lt;95),"",--MID('Key Analysis'!$C161,95,1))</f>
        <v/>
      </c>
      <c r="HZ165" s="29" t="str">
        <f>IF(OR($B165="",$A165&lt;96),"",--MID('Key Analysis'!$C161,96,1))</f>
        <v/>
      </c>
      <c r="IA165" s="29" t="str">
        <f>IF(OR($B165="",$A165&lt;97),"",--MID('Key Analysis'!$C161,97,1))</f>
        <v/>
      </c>
      <c r="IB165" s="29" t="str">
        <f>IF(OR($B165="",$A165&lt;98),"",--MID('Key Analysis'!$C161,98,1))</f>
        <v/>
      </c>
      <c r="IC165" s="29" t="str">
        <f>IF(OR($B165="",$A165&lt;99),"",--MID('Key Analysis'!$C161,99,1))</f>
        <v/>
      </c>
      <c r="ID165" s="29" t="str">
        <f>IF(OR($B165="",$A165&lt;100),"",--MID('Key Analysis'!$C161,100,1))</f>
        <v/>
      </c>
      <c r="IE165" s="29" t="str">
        <f>IF(OR($B165="",$A165&lt;101),"",--MID('Key Analysis'!$C161,101,1))</f>
        <v/>
      </c>
      <c r="IF165" s="29" t="str">
        <f>IF(OR($B165="",$A165&lt;102),"",--MID('Key Analysis'!$C161,102,1))</f>
        <v/>
      </c>
      <c r="IG165" s="29" t="str">
        <f>IF(OR($B165="",$A165&lt;103),"",--MID('Key Analysis'!$C161,103,1))</f>
        <v/>
      </c>
      <c r="IH165" s="29" t="str">
        <f>IF(OR($B165="",$A165&lt;104),"",--MID('Key Analysis'!$C161,104,1))</f>
        <v/>
      </c>
      <c r="II165" s="29" t="str">
        <f>IF(OR($B165="",$A165&lt;105),"",--MID('Key Analysis'!$C161,105,1))</f>
        <v/>
      </c>
      <c r="IJ165" s="29" t="str">
        <f>IF(OR($B165="",$A165&lt;106),"",--MID('Key Analysis'!$C161,106,1))</f>
        <v/>
      </c>
      <c r="IK165" s="29" t="str">
        <f>IF(OR($B165="",$A165&lt;107),"",--MID('Key Analysis'!$C161,107,1))</f>
        <v/>
      </c>
      <c r="IL165" s="29" t="str">
        <f>IF(OR($B165="",$A165&lt;108),"",--MID('Key Analysis'!$C161,108,1))</f>
        <v/>
      </c>
      <c r="IM165" s="29" t="str">
        <f>IF(OR($B165="",$A165&lt;109),"",--MID('Key Analysis'!$C161,109,1))</f>
        <v/>
      </c>
      <c r="IN165" s="29" t="str">
        <f>IF(OR($B165="",$A165&lt;110),"",--MID('Key Analysis'!$C161,110,1))</f>
        <v/>
      </c>
      <c r="IO165" s="29" t="str">
        <f>IF(OR($B165="",$A165&lt;111),"",--MID('Key Analysis'!$C161,111,1))</f>
        <v/>
      </c>
      <c r="IP165" s="29" t="str">
        <f>IF(OR($B165="",$A165&lt;112),"",--MID('Key Analysis'!$C161,112,1))</f>
        <v/>
      </c>
      <c r="IQ165" s="29" t="str">
        <f>IF(OR($B165="",$A165&lt;113),"",--MID('Key Analysis'!$C161,113,1))</f>
        <v/>
      </c>
      <c r="IR165" s="29" t="str">
        <f>IF(OR($B165="",$A165&lt;114),"",--MID('Key Analysis'!$C161,114,1))</f>
        <v/>
      </c>
      <c r="IS165" s="29" t="str">
        <f>IF(OR($B165="",$A165&lt;115),"",--MID('Key Analysis'!$C161,115,1))</f>
        <v/>
      </c>
      <c r="IT165" s="29" t="str">
        <f>IF(OR($B165="",$A165&lt;116),"",--MID('Key Analysis'!$C161,116,1))</f>
        <v/>
      </c>
      <c r="IU165" s="29" t="str">
        <f>IF(OR($B165="",$A165&lt;117),"",--MID('Key Analysis'!$C161,117,1))</f>
        <v/>
      </c>
      <c r="IV165" s="29" t="str">
        <f>IF(OR($B165="",$A165&lt;118),"",--MID('Key Analysis'!$C161,118,1))</f>
        <v/>
      </c>
      <c r="IW165" s="29" t="str">
        <f>IF(OR($B165="",$A165&lt;119),"",--MID('Key Analysis'!$C161,119,1))</f>
        <v/>
      </c>
      <c r="IX165" s="29" t="str">
        <f>IF(OR($B165="",$A165&lt;120),"",--MID('Key Analysis'!$C161,120,1))</f>
        <v/>
      </c>
      <c r="IY165" s="29" t="str">
        <f>IF(OR($B165="",$A165&lt;121),"",--MID('Key Analysis'!$C161,121,1))</f>
        <v/>
      </c>
      <c r="IZ165" s="29" t="str">
        <f>IF(OR($B165="",$A165&lt;122),"",--MID('Key Analysis'!$C161,122,1))</f>
        <v/>
      </c>
      <c r="JA165" s="29" t="str">
        <f>IF(OR($B165="",$A165&lt;123),"",--MID('Key Analysis'!$C161,123,1))</f>
        <v/>
      </c>
      <c r="JB165" s="29" t="str">
        <f>IF(OR($B165="",$A165&lt;124),"",--MID('Key Analysis'!$C161,124,1))</f>
        <v/>
      </c>
      <c r="JC165" s="29" t="str">
        <f>IF(OR($B165="",$A165&lt;125),"",--MID('Key Analysis'!$C161,125,1))</f>
        <v/>
      </c>
      <c r="JD165" s="29" t="str">
        <f>IF(OR($B165="",$A165&lt;126),"",--MID('Key Analysis'!$C161,126,1))</f>
        <v/>
      </c>
      <c r="JE165" s="29" t="str">
        <f>IF(OR($B165="",$A165&lt;127),"",--MID('Key Analysis'!$C161,127,1))</f>
        <v/>
      </c>
      <c r="JF165" s="29" t="str">
        <f>IF(OR($B165="",$A165&lt;128),"",--MID('Key Analysis'!$C161,128,1))</f>
        <v/>
      </c>
      <c r="JG165" s="29" t="str">
        <f>IF(OR($B165="",$A165&lt;129),"",--MID('Key Analysis'!$C161,129,1))</f>
        <v/>
      </c>
      <c r="JH165" s="29" t="str">
        <f>IF(OR($B165="",$A165&lt;130),"",--MID('Key Analysis'!$C161,130,1))</f>
        <v/>
      </c>
      <c r="JI165" s="29" t="str">
        <f>IF(OR($B165="",$A165&lt;131),"",--MID('Key Analysis'!$C161,131,1))</f>
        <v/>
      </c>
      <c r="JJ165" s="29" t="str">
        <f>IF(OR($B165="",$A165&lt;132),"",--MID('Key Analysis'!$C161,132,1))</f>
        <v/>
      </c>
      <c r="JK165" s="29" t="str">
        <f>IF(OR($B165="",$A165&lt;133),"",--MID('Key Analysis'!$C161,133,1))</f>
        <v/>
      </c>
      <c r="JL165" s="29" t="str">
        <f>IF(OR($B165="",$A165&lt;134),"",--MID('Key Analysis'!$C161,134,1))</f>
        <v/>
      </c>
      <c r="JM165" s="29" t="str">
        <f>IF(OR($B165="",$A165&lt;135),"",--MID('Key Analysis'!$C161,135,1))</f>
        <v/>
      </c>
    </row>
  </sheetData>
  <conditionalFormatting sqref="C6:JM165">
    <cfRule type="cellIs" dxfId="1" priority="1" operator="equal">
      <formula>1</formula>
    </cfRule>
  </conditionalFormatting>
  <conditionalFormatting sqref="C6:JM165">
    <cfRule type="cellIs" dxfId="0" priority="2" operator="equal">
      <formula>0</formula>
    </cfRule>
  </conditionalFormatting>
  <conditionalFormatting sqref="C5:JM5">
    <cfRule type="colorScale" priority="3">
      <colorScale>
        <cfvo type="min"/>
        <cfvo type="num" val="0"/>
        <cfvo type="max"/>
        <color rgb="FFF8696B"/>
        <color rgb="FFFFFF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3591-3053-4EB2-817D-84B66BEA225A}">
  <dimension ref="A1:J161"/>
  <sheetViews>
    <sheetView tabSelected="1" topLeftCell="D1" workbookViewId="0">
      <pane ySplit="1" topLeftCell="A50" activePane="bottomLeft" state="frozen"/>
      <selection pane="bottomLeft"/>
    </sheetView>
  </sheetViews>
  <sheetFormatPr defaultRowHeight="15" x14ac:dyDescent="0.25"/>
  <cols>
    <col min="1" max="1" width="57.140625" customWidth="1"/>
    <col min="2" max="3" width="21" customWidth="1"/>
    <col min="4" max="4" width="49.5703125" customWidth="1"/>
    <col min="6" max="9" width="17.140625" customWidth="1"/>
  </cols>
  <sheetData>
    <row r="1" spans="1:10" x14ac:dyDescent="0.25">
      <c r="A1" s="4" t="s">
        <v>6119</v>
      </c>
      <c r="B1" s="4" t="s">
        <v>6120</v>
      </c>
      <c r="C1" s="4" t="s">
        <v>6121</v>
      </c>
      <c r="D1" s="4" t="s">
        <v>6122</v>
      </c>
      <c r="F1" s="4" t="s">
        <v>0</v>
      </c>
      <c r="G1" s="4" t="s">
        <v>660</v>
      </c>
      <c r="H1" s="4" t="s">
        <v>6174</v>
      </c>
      <c r="I1" s="4" t="s">
        <v>659</v>
      </c>
      <c r="J1" s="4" t="s">
        <v>0</v>
      </c>
    </row>
    <row r="2" spans="1:10" x14ac:dyDescent="0.25">
      <c r="A2" t="s">
        <v>6123</v>
      </c>
      <c r="B2" s="21">
        <v>83</v>
      </c>
      <c r="C2" s="21"/>
      <c r="F2" s="21">
        <f>'Key Analysis'!A2</f>
        <v>1</v>
      </c>
      <c r="G2">
        <f>IF('Key Analysis'!B2="",NA(),'Key Analysis'!G2)</f>
        <v>1</v>
      </c>
      <c r="H2" s="32">
        <f>F2/2</f>
        <v>0.5</v>
      </c>
      <c r="I2" s="34">
        <f>IF('Key Analysis'!B2="",NA(),'Key Analysis'!F2)</f>
        <v>0</v>
      </c>
      <c r="J2" s="21">
        <f>F2</f>
        <v>1</v>
      </c>
    </row>
    <row r="3" spans="1:10" x14ac:dyDescent="0.25">
      <c r="A3" t="s">
        <v>6124</v>
      </c>
      <c r="B3" s="21">
        <v>74</v>
      </c>
      <c r="C3" s="21"/>
      <c r="D3" t="s">
        <v>6125</v>
      </c>
      <c r="F3" s="21">
        <f>'Key Analysis'!A3</f>
        <v>2</v>
      </c>
      <c r="G3">
        <f>IF('Key Analysis'!B3="",NA(),'Key Analysis'!G3)</f>
        <v>2</v>
      </c>
      <c r="H3" s="32">
        <f>F3/2</f>
        <v>1</v>
      </c>
      <c r="I3" s="34">
        <f>IF('Key Analysis'!B3="",NA(),'Key Analysis'!F3)</f>
        <v>0.5</v>
      </c>
      <c r="J3" s="21">
        <f>F3</f>
        <v>2</v>
      </c>
    </row>
    <row r="4" spans="1:10" x14ac:dyDescent="0.25">
      <c r="A4" t="s">
        <v>6126</v>
      </c>
      <c r="B4" s="23">
        <v>0.51320136914674297</v>
      </c>
      <c r="C4" s="23">
        <v>0.5</v>
      </c>
      <c r="D4" t="s">
        <v>6127</v>
      </c>
      <c r="F4" s="21">
        <f>'Key Analysis'!A4</f>
        <v>3</v>
      </c>
      <c r="G4">
        <f>IF('Key Analysis'!B4="",NA(),'Key Analysis'!G4)</f>
        <v>3</v>
      </c>
      <c r="H4" s="32">
        <f>F4/2</f>
        <v>1.5</v>
      </c>
      <c r="I4" s="34">
        <f>IF('Key Analysis'!B4="",NA(),'Key Analysis'!F4)</f>
        <v>0.75</v>
      </c>
      <c r="J4" s="21">
        <f>F4</f>
        <v>3</v>
      </c>
    </row>
    <row r="5" spans="1:10" x14ac:dyDescent="0.25">
      <c r="A5" t="s">
        <v>6128</v>
      </c>
      <c r="B5" s="23">
        <v>0.26509856694022998</v>
      </c>
      <c r="C5" s="23">
        <v>0.28867513459481298</v>
      </c>
      <c r="D5" t="s">
        <v>6129</v>
      </c>
      <c r="F5" s="21">
        <f>'Key Analysis'!A5</f>
        <v>4</v>
      </c>
      <c r="G5">
        <f>IF('Key Analysis'!B5="",NA(),'Key Analysis'!G5)</f>
        <v>1</v>
      </c>
      <c r="H5" s="32">
        <f>F5/2</f>
        <v>2</v>
      </c>
      <c r="I5" s="34">
        <f>IF('Key Analysis'!B5="",NA(),'Key Analysis'!F5)</f>
        <v>0</v>
      </c>
      <c r="J5" s="21">
        <f>F5</f>
        <v>4</v>
      </c>
    </row>
    <row r="6" spans="1:10" x14ac:dyDescent="0.25">
      <c r="A6" t="s">
        <v>6130</v>
      </c>
      <c r="B6" s="40">
        <f>(B4-C4)/(C5/SQRT(B3))</f>
        <v>0.39339194049387494</v>
      </c>
      <c r="C6" s="23">
        <v>0</v>
      </c>
      <c r="D6" t="s">
        <v>6131</v>
      </c>
      <c r="F6" s="21">
        <f>'Key Analysis'!A6</f>
        <v>5</v>
      </c>
      <c r="G6">
        <f>IF('Key Analysis'!B6="",NA(),'Key Analysis'!G6)</f>
        <v>3</v>
      </c>
      <c r="H6" s="32">
        <f>F6/2</f>
        <v>2.5</v>
      </c>
      <c r="I6" s="34">
        <f>IF('Key Analysis'!B6="",NA(),'Key Analysis'!F6)</f>
        <v>0.3125</v>
      </c>
      <c r="J6" s="21">
        <f>F6</f>
        <v>5</v>
      </c>
    </row>
    <row r="7" spans="1:10" x14ac:dyDescent="0.25">
      <c r="A7" t="s">
        <v>6132</v>
      </c>
      <c r="B7" s="21">
        <f>SUMIFS('Key Analysis'!G2:G161,'Key Analysis'!A2:A161,"&gt;=10")-B3</f>
        <v>1841</v>
      </c>
      <c r="C7" s="32">
        <f>B8/2</f>
        <v>1865.5</v>
      </c>
      <c r="D7" t="s">
        <v>6133</v>
      </c>
      <c r="F7" s="21">
        <f>'Key Analysis'!A7</f>
        <v>6</v>
      </c>
      <c r="G7">
        <f>IF('Key Analysis'!B7="",NA(),'Key Analysis'!G7)</f>
        <v>3</v>
      </c>
      <c r="H7" s="32">
        <f>F7/2</f>
        <v>3</v>
      </c>
      <c r="I7" s="34">
        <f>IF('Key Analysis'!B7="",NA(),'Key Analysis'!F7)</f>
        <v>0.53125</v>
      </c>
      <c r="J7" s="21">
        <f>F7</f>
        <v>6</v>
      </c>
    </row>
    <row r="8" spans="1:10" x14ac:dyDescent="0.25">
      <c r="A8" t="s">
        <v>6134</v>
      </c>
      <c r="B8" s="21">
        <f>SUMIFS('Key Analysis'!A2:A161,'Key Analysis'!A2:A161,"&gt;=10",'Key Analysis'!B2:B161,"?*")-B3</f>
        <v>3731</v>
      </c>
      <c r="C8" s="21"/>
      <c r="F8" s="21">
        <f>'Key Analysis'!A8</f>
        <v>7</v>
      </c>
      <c r="G8">
        <f>IF('Key Analysis'!B8="",NA(),'Key Analysis'!G8)</f>
        <v>3</v>
      </c>
      <c r="H8" s="32">
        <f>F8/2</f>
        <v>3.5</v>
      </c>
      <c r="I8" s="34">
        <f>IF('Key Analysis'!B8="",NA(),'Key Analysis'!F8)</f>
        <v>0.1875</v>
      </c>
      <c r="J8" s="21">
        <f>F8</f>
        <v>7</v>
      </c>
    </row>
    <row r="9" spans="1:10" x14ac:dyDescent="0.25">
      <c r="A9" t="s">
        <v>6135</v>
      </c>
      <c r="B9" s="40">
        <f>(B7-B8/2)/SQRT(B8/4)</f>
        <v>-0.80220147376006123</v>
      </c>
      <c r="C9" s="23">
        <v>0</v>
      </c>
      <c r="F9" s="21">
        <f>'Key Analysis'!A9</f>
        <v>8</v>
      </c>
      <c r="G9">
        <f>IF('Key Analysis'!B9="",NA(),'Key Analysis'!G9)</f>
        <v>3</v>
      </c>
      <c r="H9" s="32">
        <f>F9/2</f>
        <v>4</v>
      </c>
      <c r="I9" s="34">
        <f>IF('Key Analysis'!B9="",NA(),'Key Analysis'!F9)</f>
        <v>0.75</v>
      </c>
      <c r="J9" s="21">
        <f>F9</f>
        <v>8</v>
      </c>
    </row>
    <row r="10" spans="1:10" x14ac:dyDescent="0.25">
      <c r="A10" t="s">
        <v>6136</v>
      </c>
      <c r="B10" s="23">
        <v>5.8059443514850199E-2</v>
      </c>
      <c r="C10" s="23">
        <v>0</v>
      </c>
      <c r="D10" t="s">
        <v>6137</v>
      </c>
      <c r="F10" s="21">
        <f>'Key Analysis'!A10</f>
        <v>9</v>
      </c>
      <c r="G10">
        <f>IF('Key Analysis'!B10="",NA(),'Key Analysis'!G10)</f>
        <v>6</v>
      </c>
      <c r="H10" s="32">
        <f>F10/2</f>
        <v>4.5</v>
      </c>
      <c r="I10" s="34">
        <f>IF('Key Analysis'!B10="",NA(),'Key Analysis'!F10)</f>
        <v>0.82421875</v>
      </c>
      <c r="J10" s="21">
        <f>F10</f>
        <v>9</v>
      </c>
    </row>
    <row r="11" spans="1:10" x14ac:dyDescent="0.25">
      <c r="A11" t="s">
        <v>6138</v>
      </c>
      <c r="B11" s="23">
        <v>0.75409836065573799</v>
      </c>
      <c r="C11" s="23">
        <v>0</v>
      </c>
      <c r="D11" t="s">
        <v>6139</v>
      </c>
      <c r="F11" s="21">
        <f>'Key Analysis'!A11</f>
        <v>10</v>
      </c>
      <c r="G11">
        <f>IF('Key Analysis'!B11="",NA(),'Key Analysis'!G11)</f>
        <v>2</v>
      </c>
      <c r="H11" s="32">
        <f>F11/2</f>
        <v>5</v>
      </c>
      <c r="I11" s="34">
        <f>IF('Key Analysis'!B11="",NA(),'Key Analysis'!F11)</f>
        <v>3.90625E-3</v>
      </c>
      <c r="J11" s="21">
        <f>F11</f>
        <v>10</v>
      </c>
    </row>
    <row r="12" spans="1:10" x14ac:dyDescent="0.25">
      <c r="A12" t="s">
        <v>6140</v>
      </c>
      <c r="B12" s="23">
        <v>0.102250436823003</v>
      </c>
      <c r="C12" s="23">
        <v>0</v>
      </c>
      <c r="F12" s="21">
        <f>'Key Analysis'!A12</f>
        <v>11</v>
      </c>
      <c r="G12">
        <f>IF('Key Analysis'!B12="",NA(),'Key Analysis'!G12)</f>
        <v>4</v>
      </c>
      <c r="H12" s="32">
        <f>F12/2</f>
        <v>5.5</v>
      </c>
      <c r="I12" s="34">
        <f>IF('Key Analysis'!B12="",NA(),'Key Analysis'!F12)</f>
        <v>0.1279296875</v>
      </c>
      <c r="J12" s="21">
        <f>F12</f>
        <v>11</v>
      </c>
    </row>
    <row r="13" spans="1:10" x14ac:dyDescent="0.25">
      <c r="A13" t="s">
        <v>6141</v>
      </c>
      <c r="B13" s="23">
        <v>0.975563859121785</v>
      </c>
      <c r="C13" s="23">
        <v>1</v>
      </c>
      <c r="F13" s="21">
        <f>'Key Analysis'!A13</f>
        <v>12</v>
      </c>
      <c r="G13">
        <f>IF('Key Analysis'!B13="",NA(),'Key Analysis'!G13)</f>
        <v>8</v>
      </c>
      <c r="H13" s="32">
        <f>F13/2</f>
        <v>6</v>
      </c>
      <c r="I13" s="34">
        <f>IF('Key Analysis'!B13="",NA(),'Key Analysis'!F13)</f>
        <v>0.31005859375</v>
      </c>
      <c r="J13" s="21">
        <f>F13</f>
        <v>12</v>
      </c>
    </row>
    <row r="14" spans="1:10" x14ac:dyDescent="0.25">
      <c r="A14" t="s">
        <v>6142</v>
      </c>
      <c r="B14" s="23">
        <v>-2.66304687604677E-2</v>
      </c>
      <c r="C14" s="23">
        <v>0</v>
      </c>
      <c r="F14" s="21">
        <f>'Key Analysis'!A14</f>
        <v>13</v>
      </c>
      <c r="G14">
        <f>IF('Key Analysis'!B14="",NA(),'Key Analysis'!G14)</f>
        <v>4</v>
      </c>
      <c r="H14" s="32">
        <f>F14/2</f>
        <v>6.5</v>
      </c>
      <c r="I14" s="34">
        <f>IF('Key Analysis'!B14="",NA(),'Key Analysis'!F14)</f>
        <v>0.2734375</v>
      </c>
      <c r="J14" s="21">
        <f>F14</f>
        <v>13</v>
      </c>
    </row>
    <row r="15" spans="1:10" x14ac:dyDescent="0.25">
      <c r="A15" t="s">
        <v>6143</v>
      </c>
      <c r="B15" s="23">
        <v>2.81515773399157E-2</v>
      </c>
      <c r="C15" s="23">
        <v>0</v>
      </c>
      <c r="D15" t="s">
        <v>6144</v>
      </c>
      <c r="F15" s="21">
        <f>'Key Analysis'!A15</f>
        <v>14</v>
      </c>
      <c r="G15">
        <f>IF('Key Analysis'!B15="",NA(),'Key Analysis'!G15)</f>
        <v>5</v>
      </c>
      <c r="H15" s="32">
        <f>F15/2</f>
        <v>7</v>
      </c>
      <c r="I15" s="34">
        <f>IF('Key Analysis'!B15="",NA(),'Key Analysis'!F15)</f>
        <v>0.287109375</v>
      </c>
      <c r="J15" s="21">
        <f>F15</f>
        <v>14</v>
      </c>
    </row>
    <row r="16" spans="1:10" x14ac:dyDescent="0.25">
      <c r="A16" t="s">
        <v>6145</v>
      </c>
      <c r="B16" s="23">
        <v>0.93158573476775597</v>
      </c>
      <c r="C16" s="23">
        <v>1</v>
      </c>
      <c r="F16" s="21">
        <f>'Key Analysis'!A16</f>
        <v>15</v>
      </c>
      <c r="G16">
        <f>IF('Key Analysis'!B16="",NA(),'Key Analysis'!G16)</f>
        <v>9</v>
      </c>
      <c r="H16" s="32">
        <f>F16/2</f>
        <v>7.5</v>
      </c>
      <c r="I16" s="34">
        <f>IF('Key Analysis'!B16="",NA(),'Key Analysis'!F16)</f>
        <v>0.63983154296875</v>
      </c>
      <c r="J16" s="21">
        <f>F16</f>
        <v>15</v>
      </c>
    </row>
    <row r="17" spans="1:10" x14ac:dyDescent="0.25">
      <c r="A17" t="s">
        <v>6146</v>
      </c>
      <c r="B17" s="23">
        <v>-4.5245444799225501E-2</v>
      </c>
      <c r="C17" s="23">
        <v>0</v>
      </c>
      <c r="F17" s="21">
        <f>'Key Analysis'!A17</f>
        <v>16</v>
      </c>
      <c r="G17">
        <f>IF('Key Analysis'!B17="",NA(),'Key Analysis'!G17)</f>
        <v>8</v>
      </c>
      <c r="H17" s="32">
        <f>F17/2</f>
        <v>8</v>
      </c>
      <c r="I17" s="34">
        <f>IF('Key Analysis'!B17="",NA(),'Key Analysis'!F17)</f>
        <v>0.57196044921875</v>
      </c>
      <c r="J17" s="21">
        <f>F17</f>
        <v>16</v>
      </c>
    </row>
    <row r="18" spans="1:10" x14ac:dyDescent="0.25">
      <c r="A18" t="s">
        <v>6147</v>
      </c>
      <c r="B18" s="23">
        <v>0</v>
      </c>
      <c r="C18" s="23">
        <v>1.1499999999999999</v>
      </c>
      <c r="D18" t="s">
        <v>6148</v>
      </c>
      <c r="F18" s="21">
        <f>'Key Analysis'!A18</f>
        <v>17</v>
      </c>
      <c r="G18">
        <f>IF('Key Analysis'!B18="",NA(),'Key Analysis'!G18)</f>
        <v>11</v>
      </c>
      <c r="H18" s="32">
        <f>F18/2</f>
        <v>8.5</v>
      </c>
      <c r="I18" s="34">
        <f>IF('Key Analysis'!B18="",NA(),'Key Analysis'!F18)</f>
        <v>0.4621429443359375</v>
      </c>
      <c r="J18" s="21">
        <f>F18</f>
        <v>17</v>
      </c>
    </row>
    <row r="19" spans="1:10" x14ac:dyDescent="0.25">
      <c r="A19" t="s">
        <v>6149</v>
      </c>
      <c r="B19" s="21">
        <v>4</v>
      </c>
      <c r="C19" s="32">
        <f>0.0455*B3</f>
        <v>3.367</v>
      </c>
      <c r="F19" s="21">
        <f>'Key Analysis'!A19</f>
        <v>18</v>
      </c>
      <c r="G19">
        <f>IF('Key Analysis'!B19="",NA(),'Key Analysis'!G19)</f>
        <v>6</v>
      </c>
      <c r="H19" s="32">
        <f>F19/2</f>
        <v>9</v>
      </c>
      <c r="I19" s="34">
        <f>IF('Key Analysis'!B19="",NA(),'Key Analysis'!F19)</f>
        <v>0.51572418212890625</v>
      </c>
      <c r="J19" s="21">
        <f>F19</f>
        <v>18</v>
      </c>
    </row>
    <row r="20" spans="1:10" x14ac:dyDescent="0.25">
      <c r="A20" t="s">
        <v>6150</v>
      </c>
      <c r="B20" s="21" cm="1">
        <f t="array" ref="B20">MAX(ABS(IFERROR(--'Bit Heatmap'!C5:EG5,0)))</f>
        <v>3</v>
      </c>
      <c r="C20" s="32" t="s">
        <v>6151</v>
      </c>
      <c r="D20" t="s">
        <v>6175</v>
      </c>
      <c r="F20" s="21">
        <f>'Key Analysis'!A20</f>
        <v>19</v>
      </c>
      <c r="G20">
        <f>IF('Key Analysis'!B20="",NA(),'Key Analysis'!G20)</f>
        <v>12</v>
      </c>
      <c r="H20" s="32">
        <f>F20/2</f>
        <v>9.5</v>
      </c>
      <c r="I20" s="34">
        <f>IF('Key Analysis'!B20="",NA(),'Key Analysis'!F20)</f>
        <v>0.36388778686523438</v>
      </c>
      <c r="J20" s="21">
        <f>F20</f>
        <v>19</v>
      </c>
    </row>
    <row r="21" spans="1:10" x14ac:dyDescent="0.25">
      <c r="A21" t="s">
        <v>6152</v>
      </c>
      <c r="B21" s="23" cm="1">
        <f t="array" ref="B21">MAX(ABS(IFERROR(--'Bit Heatmap'!EJ5:JM5,0)))</f>
        <v>3.25493388482694</v>
      </c>
      <c r="C21" s="23" t="s">
        <v>6153</v>
      </c>
      <c r="D21" t="s">
        <v>6176</v>
      </c>
      <c r="F21" s="21">
        <f>'Key Analysis'!A21</f>
        <v>20</v>
      </c>
      <c r="G21">
        <f>IF('Key Analysis'!B21="",NA(),'Key Analysis'!G21)</f>
        <v>10</v>
      </c>
      <c r="H21" s="32">
        <f>F21/2</f>
        <v>10</v>
      </c>
      <c r="I21" s="34">
        <f>IF('Key Analysis'!B21="",NA(),'Key Analysis'!F21)</f>
        <v>0.64664649963378906</v>
      </c>
      <c r="J21" s="21">
        <f>F21</f>
        <v>20</v>
      </c>
    </row>
    <row r="22" spans="1:10" x14ac:dyDescent="0.25">
      <c r="A22" t="s">
        <v>6154</v>
      </c>
      <c r="B22" s="21">
        <v>4</v>
      </c>
      <c r="C22" s="23"/>
      <c r="D22" t="s">
        <v>6155</v>
      </c>
      <c r="F22" s="21">
        <f>'Key Analysis'!A22</f>
        <v>21</v>
      </c>
      <c r="G22">
        <f>IF('Key Analysis'!B22="",NA(),'Key Analysis'!G22)</f>
        <v>11</v>
      </c>
      <c r="H22" s="32">
        <f>F22/2</f>
        <v>10.5</v>
      </c>
      <c r="I22" s="34">
        <f>IF('Key Analysis'!B22="",NA(),'Key Analysis'!F22)</f>
        <v>0.72783279418945313</v>
      </c>
      <c r="J22" s="21">
        <f>F22</f>
        <v>21</v>
      </c>
    </row>
    <row r="23" spans="1:10" x14ac:dyDescent="0.25">
      <c r="A23" s="3" t="s">
        <v>6156</v>
      </c>
      <c r="B23" s="21"/>
      <c r="F23" s="21">
        <f>'Key Analysis'!A23</f>
        <v>22</v>
      </c>
      <c r="G23">
        <f>IF('Key Analysis'!B23="",NA(),'Key Analysis'!G23)</f>
        <v>12</v>
      </c>
      <c r="H23" s="32">
        <f>F23/2</f>
        <v>11</v>
      </c>
      <c r="I23" s="34">
        <f>IF('Key Analysis'!B23="",NA(),'Key Analysis'!F23)</f>
        <v>0.43408918380737305</v>
      </c>
      <c r="J23" s="21">
        <f>F23</f>
        <v>22</v>
      </c>
    </row>
    <row r="24" spans="1:10" x14ac:dyDescent="0.25">
      <c r="A24" s="4" t="s">
        <v>6157</v>
      </c>
      <c r="B24" s="4" t="s">
        <v>6158</v>
      </c>
      <c r="C24" s="4" t="s">
        <v>6159</v>
      </c>
      <c r="D24" s="4" t="s">
        <v>6160</v>
      </c>
      <c r="F24" s="21">
        <f>'Key Analysis'!A24</f>
        <v>23</v>
      </c>
      <c r="G24">
        <f>IF('Key Analysis'!B24="",NA(),'Key Analysis'!G24)</f>
        <v>12</v>
      </c>
      <c r="H24" s="32">
        <f>F24/2</f>
        <v>11.5</v>
      </c>
      <c r="I24" s="34">
        <f>IF('Key Analysis'!B24="",NA(),'Key Analysis'!F24)</f>
        <v>0.33485841751098633</v>
      </c>
      <c r="J24" s="21">
        <f>F24</f>
        <v>23</v>
      </c>
    </row>
    <row r="25" spans="1:10" x14ac:dyDescent="0.25">
      <c r="A25" t="s">
        <v>6161</v>
      </c>
      <c r="B25" s="21">
        <f>COUNTIFS('Key Analysis'!F2:F161,"&gt;=0",'Key Analysis'!F2:F161,"&lt;0.1",'Key Analysis'!A2:A161,"&gt;=10")</f>
        <v>5</v>
      </c>
      <c r="C25" s="32">
        <f>$B$3/10</f>
        <v>7.4</v>
      </c>
      <c r="D25" s="33">
        <f>(B25-C25)^2/C25</f>
        <v>0.77837837837837853</v>
      </c>
      <c r="F25" s="21">
        <f>'Key Analysis'!A25</f>
        <v>24</v>
      </c>
      <c r="G25">
        <f>IF('Key Analysis'!B25="",NA(),'Key Analysis'!G25)</f>
        <v>9</v>
      </c>
      <c r="H25" s="32">
        <f>F25/2</f>
        <v>12</v>
      </c>
      <c r="I25" s="34">
        <f>IF('Key Analysis'!B25="",NA(),'Key Analysis'!F25)</f>
        <v>0.7200322151184082</v>
      </c>
      <c r="J25" s="21">
        <f>F25</f>
        <v>24</v>
      </c>
    </row>
    <row r="26" spans="1:10" x14ac:dyDescent="0.25">
      <c r="A26" t="s">
        <v>6162</v>
      </c>
      <c r="B26" s="21">
        <f>COUNTIFS('Key Analysis'!F2:F161,"&gt;=0.1",'Key Analysis'!F2:F161,"&lt;0.2",'Key Analysis'!A2:A161,"&gt;=10")</f>
        <v>6</v>
      </c>
      <c r="C26" s="32">
        <f>$B$3/10</f>
        <v>7.4</v>
      </c>
      <c r="D26" s="33">
        <f>(B26-C26)^2/C26</f>
        <v>0.26486486486486499</v>
      </c>
      <c r="F26" s="21">
        <f>'Key Analysis'!A26</f>
        <v>25</v>
      </c>
      <c r="G26">
        <f>IF('Key Analysis'!B26="",NA(),'Key Analysis'!G26)</f>
        <v>17</v>
      </c>
      <c r="H26" s="32">
        <f>F26/2</f>
        <v>12.5</v>
      </c>
      <c r="I26" s="34">
        <f>IF('Key Analysis'!B26="",NA(),'Key Analysis'!F26)</f>
        <v>0.97801047563552856</v>
      </c>
      <c r="J26" s="21">
        <f>F26</f>
        <v>25</v>
      </c>
    </row>
    <row r="27" spans="1:10" x14ac:dyDescent="0.25">
      <c r="A27" t="s">
        <v>6163</v>
      </c>
      <c r="B27" s="21">
        <f>COUNTIFS('Key Analysis'!F2:F161,"&gt;=0.2",'Key Analysis'!F2:F161,"&lt;0.3",'Key Analysis'!A2:A161,"&gt;=10")</f>
        <v>7</v>
      </c>
      <c r="C27" s="32">
        <f>$B$3/10</f>
        <v>7.4</v>
      </c>
      <c r="D27" s="33">
        <f>(B27-C27)^2/C27</f>
        <v>2.1621621621621658E-2</v>
      </c>
      <c r="F27" s="21">
        <f>'Key Analysis'!A27</f>
        <v>26</v>
      </c>
      <c r="G27">
        <f>IF('Key Analysis'!B27="",NA(),'Key Analysis'!G27)</f>
        <v>11</v>
      </c>
      <c r="H27" s="32">
        <f>F27/2</f>
        <v>13</v>
      </c>
      <c r="I27" s="34">
        <f>IF('Key Analysis'!B27="",NA(),'Key Analysis'!F27)</f>
        <v>0.62538474798202515</v>
      </c>
      <c r="J27" s="21">
        <f>F27</f>
        <v>26</v>
      </c>
    </row>
    <row r="28" spans="1:10" x14ac:dyDescent="0.25">
      <c r="A28" t="s">
        <v>6164</v>
      </c>
      <c r="B28" s="21">
        <f>COUNTIFS('Key Analysis'!F2:F161,"&gt;=0.3",'Key Analysis'!F2:F161,"&lt;0.4",'Key Analysis'!A2:A161,"&gt;=10")</f>
        <v>9</v>
      </c>
      <c r="C28" s="32">
        <f>$B$3/10</f>
        <v>7.4</v>
      </c>
      <c r="D28" s="33">
        <f>(B28-C28)^2/C28</f>
        <v>0.34594594594594574</v>
      </c>
      <c r="F28" s="21">
        <f>'Key Analysis'!A28</f>
        <v>27</v>
      </c>
      <c r="G28">
        <f>IF('Key Analysis'!B28="",NA(),'Key Analysis'!G28)</f>
        <v>14</v>
      </c>
      <c r="H28" s="32">
        <f>F28/2</f>
        <v>13.5</v>
      </c>
      <c r="I28" s="34">
        <f>IF('Key Analysis'!B28="",NA(),'Key Analysis'!F28)</f>
        <v>0.66818411648273468</v>
      </c>
      <c r="J28" s="21">
        <f>F28</f>
        <v>27</v>
      </c>
    </row>
    <row r="29" spans="1:10" x14ac:dyDescent="0.25">
      <c r="A29" t="s">
        <v>6165</v>
      </c>
      <c r="B29" s="21">
        <f>COUNTIFS('Key Analysis'!F2:F161,"&gt;=0.4",'Key Analysis'!F2:F161,"&lt;0.5",'Key Analysis'!A2:A161,"&gt;=10")</f>
        <v>10</v>
      </c>
      <c r="C29" s="32">
        <f>$B$3/10</f>
        <v>7.4</v>
      </c>
      <c r="D29" s="33">
        <f>(B29-C29)^2/C29</f>
        <v>0.91351351351351318</v>
      </c>
      <c r="F29" s="21">
        <f>'Key Analysis'!A29</f>
        <v>28</v>
      </c>
      <c r="G29">
        <f>IF('Key Analysis'!B29="",NA(),'Key Analysis'!G29)</f>
        <v>14</v>
      </c>
      <c r="H29" s="32">
        <f>F29/2</f>
        <v>14</v>
      </c>
      <c r="I29" s="34">
        <f>IF('Key Analysis'!B29="",NA(),'Key Analysis'!F29)</f>
        <v>0.69600850343704224</v>
      </c>
      <c r="J29" s="21">
        <f>F29</f>
        <v>28</v>
      </c>
    </row>
    <row r="30" spans="1:10" x14ac:dyDescent="0.25">
      <c r="A30" t="s">
        <v>6166</v>
      </c>
      <c r="B30" s="21">
        <f>COUNTIFS('Key Analysis'!F2:F161,"&gt;=0.5",'Key Analysis'!F2:F161,"&lt;0.6",'Key Analysis'!A2:A161,"&gt;=10")</f>
        <v>4</v>
      </c>
      <c r="C30" s="32">
        <f>$B$3/10</f>
        <v>7.4</v>
      </c>
      <c r="D30" s="33">
        <f>(B30-C30)^2/C30</f>
        <v>1.5621621621621624</v>
      </c>
      <c r="F30" s="21">
        <f>'Key Analysis'!A30</f>
        <v>29</v>
      </c>
      <c r="G30">
        <f>IF('Key Analysis'!B30="",NA(),'Key Analysis'!G30)</f>
        <v>16</v>
      </c>
      <c r="H30" s="32">
        <f>F30/2</f>
        <v>14.5</v>
      </c>
      <c r="I30" s="34">
        <f>IF('Key Analysis'!B30="",NA(),'Key Analysis'!F30)</f>
        <v>0.49275695532560349</v>
      </c>
      <c r="J30" s="21">
        <f>F30</f>
        <v>29</v>
      </c>
    </row>
    <row r="31" spans="1:10" x14ac:dyDescent="0.25">
      <c r="A31" t="s">
        <v>6167</v>
      </c>
      <c r="B31" s="21">
        <f>COUNTIFS('Key Analysis'!F2:F161,"&gt;=0.6",'Key Analysis'!F2:F161,"&lt;0.7",'Key Analysis'!A2:A161,"&gt;=10")</f>
        <v>14</v>
      </c>
      <c r="C31" s="32">
        <f>$B$3/10</f>
        <v>7.4</v>
      </c>
      <c r="D31" s="33">
        <f>(B31-C31)^2/C31</f>
        <v>5.8864864864864854</v>
      </c>
      <c r="F31" s="21">
        <f>'Key Analysis'!A31</f>
        <v>30</v>
      </c>
      <c r="G31">
        <f>IF('Key Analysis'!B31="",NA(),'Key Analysis'!G31)</f>
        <v>16</v>
      </c>
      <c r="H31" s="32">
        <f>F31/2</f>
        <v>15</v>
      </c>
      <c r="I31" s="34">
        <f>IF('Key Analysis'!B31="",NA(),'Key Analysis'!F31)</f>
        <v>0.92441434413194656</v>
      </c>
      <c r="J31" s="21">
        <f>F31</f>
        <v>30</v>
      </c>
    </row>
    <row r="32" spans="1:10" x14ac:dyDescent="0.25">
      <c r="A32" t="s">
        <v>6168</v>
      </c>
      <c r="B32" s="21">
        <f>COUNTIFS('Key Analysis'!F2:F161,"&gt;=0.7",'Key Analysis'!F2:F161,"&lt;0.8",'Key Analysis'!A2:A161,"&gt;=10")</f>
        <v>7</v>
      </c>
      <c r="C32" s="32">
        <f>$B$3/10</f>
        <v>7.4</v>
      </c>
      <c r="D32" s="33">
        <f>(B32-C32)^2/C32</f>
        <v>2.1621621621621658E-2</v>
      </c>
      <c r="F32" s="21">
        <f>'Key Analysis'!A32</f>
        <v>31</v>
      </c>
      <c r="G32">
        <f>IF('Key Analysis'!B32="",NA(),'Key Analysis'!G32)</f>
        <v>21</v>
      </c>
      <c r="H32" s="32">
        <f>F32/2</f>
        <v>15.5</v>
      </c>
      <c r="I32" s="34">
        <f>IF('Key Analysis'!B32="",NA(),'Key Analysis'!F32)</f>
        <v>0.95800191815942526</v>
      </c>
      <c r="J32" s="21">
        <f>F32</f>
        <v>31</v>
      </c>
    </row>
    <row r="33" spans="1:10" x14ac:dyDescent="0.25">
      <c r="A33" t="s">
        <v>6169</v>
      </c>
      <c r="B33" s="21">
        <f>COUNTIFS('Key Analysis'!F2:F161,"&gt;=0.8",'Key Analysis'!F2:F161,"&lt;0.9",'Key Analysis'!A2:A161,"&gt;=10")</f>
        <v>5</v>
      </c>
      <c r="C33" s="32">
        <f>$B$3/10</f>
        <v>7.4</v>
      </c>
      <c r="D33" s="33">
        <f>(B33-C33)^2/C33</f>
        <v>0.77837837837837853</v>
      </c>
      <c r="F33" s="21">
        <f>'Key Analysis'!A33</f>
        <v>32</v>
      </c>
      <c r="G33">
        <f>IF('Key Analysis'!B33="",NA(),'Key Analysis'!G33)</f>
        <v>15</v>
      </c>
      <c r="H33" s="32">
        <f>F33/2</f>
        <v>16</v>
      </c>
      <c r="I33" s="34">
        <f>IF('Key Analysis'!B33="",NA(),'Key Analysis'!F33)</f>
        <v>0.44051053281873465</v>
      </c>
      <c r="J33" s="21">
        <f>F33</f>
        <v>32</v>
      </c>
    </row>
    <row r="34" spans="1:10" x14ac:dyDescent="0.25">
      <c r="A34" t="s">
        <v>6170</v>
      </c>
      <c r="B34" s="21">
        <f>COUNTIFS('Key Analysis'!F2:F161,"&gt;=0.9",'Key Analysis'!F2:F161,"&lt;1.01",'Key Analysis'!A2:A161,"&gt;=10")</f>
        <v>7</v>
      </c>
      <c r="C34" s="32">
        <f>$B$3/10</f>
        <v>7.4</v>
      </c>
      <c r="D34" s="33">
        <f>(B34-C34)^2/C34</f>
        <v>2.1621621621621658E-2</v>
      </c>
      <c r="F34" s="21">
        <f>'Key Analysis'!A34</f>
        <v>33</v>
      </c>
      <c r="G34">
        <f>IF('Key Analysis'!B34="",NA(),'Key Analysis'!G34)</f>
        <v>16</v>
      </c>
      <c r="H34" s="32">
        <f>F34/2</f>
        <v>16.5</v>
      </c>
      <c r="I34" s="34">
        <f>IF('Key Analysis'!B34="",NA(),'Key Analysis'!F34)</f>
        <v>0.66181426309049129</v>
      </c>
      <c r="J34" s="21">
        <f>F34</f>
        <v>33</v>
      </c>
    </row>
    <row r="35" spans="1:10" x14ac:dyDescent="0.25">
      <c r="A35" s="3" t="s">
        <v>6171</v>
      </c>
      <c r="B35" s="33">
        <f>SUM(D25:D34)</f>
        <v>10.594594594594595</v>
      </c>
      <c r="F35" s="21">
        <f>'Key Analysis'!A35</f>
        <v>34</v>
      </c>
      <c r="G35">
        <f>IF('Key Analysis'!B35="",NA(),'Key Analysis'!G35)</f>
        <v>16</v>
      </c>
      <c r="H35" s="32">
        <f>F35/2</f>
        <v>17</v>
      </c>
      <c r="I35" s="34">
        <f>IF('Key Analysis'!B35="",NA(),'Key Analysis'!F35)</f>
        <v>0.6453061435604468</v>
      </c>
      <c r="J35" s="21">
        <f>F35</f>
        <v>34</v>
      </c>
    </row>
    <row r="36" spans="1:10" x14ac:dyDescent="0.25">
      <c r="A36" s="3" t="s">
        <v>6172</v>
      </c>
      <c r="B36" s="23">
        <f>_xlfn.CHISQ.DIST.RT(B35,9)</f>
        <v>0.3045235186923605</v>
      </c>
      <c r="D36" t="s">
        <v>6173</v>
      </c>
      <c r="F36" s="21">
        <f>'Key Analysis'!A36</f>
        <v>35</v>
      </c>
      <c r="G36">
        <f>IF('Key Analysis'!B36="",NA(),'Key Analysis'!G36)</f>
        <v>15</v>
      </c>
      <c r="H36" s="32">
        <f>F36/2</f>
        <v>17.5</v>
      </c>
      <c r="I36" s="34">
        <f>IF('Key Analysis'!B36="",NA(),'Key Analysis'!F36)</f>
        <v>0.17072322126477957</v>
      </c>
      <c r="J36" s="21">
        <f>F36</f>
        <v>35</v>
      </c>
    </row>
    <row r="37" spans="1:10" x14ac:dyDescent="0.25">
      <c r="F37" s="21">
        <f>'Key Analysis'!A37</f>
        <v>36</v>
      </c>
      <c r="G37">
        <f>IF('Key Analysis'!B37="",NA(),'Key Analysis'!G37)</f>
        <v>17</v>
      </c>
      <c r="H37" s="32">
        <f>F37/2</f>
        <v>18</v>
      </c>
      <c r="I37" s="34">
        <f>IF('Key Analysis'!B37="",NA(),'Key Analysis'!F37)</f>
        <v>0.23364647093694657</v>
      </c>
      <c r="J37" s="21">
        <f>F37</f>
        <v>36</v>
      </c>
    </row>
    <row r="38" spans="1:10" x14ac:dyDescent="0.25">
      <c r="A38" s="3" t="s">
        <v>6177</v>
      </c>
      <c r="F38" s="21">
        <f>'Key Analysis'!A38</f>
        <v>37</v>
      </c>
      <c r="G38">
        <f>IF('Key Analysis'!B38="",NA(),'Key Analysis'!G38)</f>
        <v>22</v>
      </c>
      <c r="H38" s="32">
        <f>F38/2</f>
        <v>18.5</v>
      </c>
      <c r="I38" s="34">
        <f>IF('Key Analysis'!B38="",NA(),'Key Analysis'!F38)</f>
        <v>0.45885221128992271</v>
      </c>
      <c r="J38" s="21">
        <f>F38</f>
        <v>37</v>
      </c>
    </row>
    <row r="39" spans="1:10" x14ac:dyDescent="0.25">
      <c r="A39" t="s">
        <v>6178</v>
      </c>
      <c r="B39" t="s">
        <v>6179</v>
      </c>
      <c r="F39" s="21">
        <f>'Key Analysis'!A39</f>
        <v>38</v>
      </c>
      <c r="G39">
        <f>IF('Key Analysis'!B39="",NA(),'Key Analysis'!G39)</f>
        <v>17</v>
      </c>
      <c r="H39" s="32">
        <f>F39/2</f>
        <v>19</v>
      </c>
      <c r="I39" s="34">
        <f>IF('Key Analysis'!B39="",NA(),'Key Analysis'!F39)</f>
        <v>6.9358670734800398E-2</v>
      </c>
      <c r="J39" s="21">
        <f>F39</f>
        <v>38</v>
      </c>
    </row>
    <row r="40" spans="1:10" x14ac:dyDescent="0.25">
      <c r="A40" t="s">
        <v>6180</v>
      </c>
      <c r="B40" t="s">
        <v>6181</v>
      </c>
      <c r="D40" t="s">
        <v>6182</v>
      </c>
      <c r="F40" s="21">
        <f>'Key Analysis'!A40</f>
        <v>39</v>
      </c>
      <c r="G40">
        <f>IF('Key Analysis'!B40="",NA(),'Key Analysis'!G40)</f>
        <v>20</v>
      </c>
      <c r="H40" s="32">
        <f>F40/2</f>
        <v>19.5</v>
      </c>
      <c r="I40" s="34">
        <f>IF('Key Analysis'!B40="",NA(),'Key Analysis'!F40)</f>
        <v>0.17770457631922909</v>
      </c>
      <c r="J40" s="21">
        <f>F40</f>
        <v>39</v>
      </c>
    </row>
    <row r="41" spans="1:10" x14ac:dyDescent="0.25">
      <c r="F41" s="21">
        <f>'Key Analysis'!A41</f>
        <v>40</v>
      </c>
      <c r="G41">
        <f>IF('Key Analysis'!B41="",NA(),'Key Analysis'!G41)</f>
        <v>22</v>
      </c>
      <c r="H41" s="32">
        <f>F41/2</f>
        <v>20</v>
      </c>
      <c r="I41" s="34">
        <f>IF('Key Analysis'!B41="",NA(),'Key Analysis'!F41)</f>
        <v>0.82563128500987659</v>
      </c>
      <c r="J41" s="21">
        <f>F41</f>
        <v>40</v>
      </c>
    </row>
    <row r="42" spans="1:10" x14ac:dyDescent="0.25">
      <c r="F42" s="21">
        <f>'Key Analysis'!A42</f>
        <v>41</v>
      </c>
      <c r="G42">
        <f>IF('Key Analysis'!B42="",NA(),'Key Analysis'!G42)</f>
        <v>21</v>
      </c>
      <c r="H42" s="32">
        <f>F42/2</f>
        <v>20.5</v>
      </c>
      <c r="I42" s="34">
        <f>IF('Key Analysis'!B42="",NA(),'Key Analysis'!F42)</f>
        <v>0.32627265442988573</v>
      </c>
      <c r="J42" s="21">
        <f>F42</f>
        <v>41</v>
      </c>
    </row>
    <row r="43" spans="1:10" x14ac:dyDescent="0.25">
      <c r="F43" s="21">
        <f>'Key Analysis'!A43</f>
        <v>42</v>
      </c>
      <c r="G43">
        <f>IF('Key Analysis'!B43="",NA(),'Key Analysis'!G43)</f>
        <v>19</v>
      </c>
      <c r="H43" s="32">
        <f>F43/2</f>
        <v>21</v>
      </c>
      <c r="I43" s="34">
        <f>IF('Key Analysis'!B43="",NA(),'Key Analysis'!F43)</f>
        <v>0.31666390755663087</v>
      </c>
      <c r="J43" s="21">
        <f>F43</f>
        <v>42</v>
      </c>
    </row>
    <row r="44" spans="1:10" x14ac:dyDescent="0.25">
      <c r="F44" s="21">
        <f>'Key Analysis'!A44</f>
        <v>43</v>
      </c>
      <c r="G44">
        <f>IF('Key Analysis'!B44="",NA(),'Key Analysis'!G44)</f>
        <v>24</v>
      </c>
      <c r="H44" s="32">
        <f>F44/2</f>
        <v>21.5</v>
      </c>
      <c r="I44" s="34">
        <f>IF('Key Analysis'!B44="",NA(),'Key Analysis'!F44)</f>
        <v>0.68479597228383682</v>
      </c>
      <c r="J44" s="21">
        <f>F44</f>
        <v>43</v>
      </c>
    </row>
    <row r="45" spans="1:10" x14ac:dyDescent="0.25">
      <c r="F45" s="21">
        <f>'Key Analysis'!A45</f>
        <v>44</v>
      </c>
      <c r="G45">
        <f>IF('Key Analysis'!B45="",NA(),'Key Analysis'!G45)</f>
        <v>22</v>
      </c>
      <c r="H45" s="32">
        <f>F45/2</f>
        <v>22</v>
      </c>
      <c r="I45" s="34">
        <f>IF('Key Analysis'!B45="",NA(),'Key Analysis'!F45)</f>
        <v>0.75131865001628739</v>
      </c>
      <c r="J45" s="21">
        <f>F45</f>
        <v>44</v>
      </c>
    </row>
    <row r="46" spans="1:10" x14ac:dyDescent="0.25">
      <c r="F46" s="21">
        <f>'Key Analysis'!A46</f>
        <v>45</v>
      </c>
      <c r="G46">
        <f>IF('Key Analysis'!B46="",NA(),'Key Analysis'!G46)</f>
        <v>19</v>
      </c>
      <c r="H46" s="32">
        <f>F46/2</f>
        <v>22.5</v>
      </c>
      <c r="I46" s="34">
        <f>IF('Key Analysis'!B46="",NA(),'Key Analysis'!F46)</f>
        <v>0.13666732696611916</v>
      </c>
      <c r="J46" s="21">
        <f>F46</f>
        <v>45</v>
      </c>
    </row>
    <row r="47" spans="1:10" x14ac:dyDescent="0.25">
      <c r="F47" s="21">
        <f>'Key Analysis'!A47</f>
        <v>46</v>
      </c>
      <c r="G47">
        <f>IF('Key Analysis'!B47="",NA(),'Key Analysis'!G47)</f>
        <v>19</v>
      </c>
      <c r="H47" s="32">
        <f>F47/2</f>
        <v>23</v>
      </c>
      <c r="I47" s="34">
        <f>IF('Key Analysis'!B47="",NA(),'Key Analysis'!F47)</f>
        <v>0.46112229085167655</v>
      </c>
      <c r="J47" s="21">
        <f>F47</f>
        <v>46</v>
      </c>
    </row>
    <row r="48" spans="1:10" x14ac:dyDescent="0.25">
      <c r="F48" s="21">
        <f>'Key Analysis'!A48</f>
        <v>47</v>
      </c>
      <c r="G48">
        <f>IF('Key Analysis'!B48="",NA(),'Key Analysis'!G48)</f>
        <v>24</v>
      </c>
      <c r="H48" s="32">
        <f>F48/2</f>
        <v>23.5</v>
      </c>
      <c r="I48" s="34">
        <f>IF('Key Analysis'!B48="",NA(),'Key Analysis'!F48)</f>
        <v>0.70056550692507358</v>
      </c>
      <c r="J48" s="21">
        <f>F48</f>
        <v>47</v>
      </c>
    </row>
    <row r="49" spans="6:10" x14ac:dyDescent="0.25">
      <c r="F49" s="21">
        <f>'Key Analysis'!A49</f>
        <v>48</v>
      </c>
      <c r="G49">
        <f>IF('Key Analysis'!B49="",NA(),'Key Analysis'!G49)</f>
        <v>31</v>
      </c>
      <c r="H49" s="32">
        <f>F49/2</f>
        <v>24</v>
      </c>
      <c r="I49" s="34">
        <f>IF('Key Analysis'!B49="",NA(),'Key Analysis'!F49)</f>
        <v>0.35860726900065032</v>
      </c>
      <c r="J49" s="21">
        <f>F49</f>
        <v>48</v>
      </c>
    </row>
    <row r="50" spans="6:10" x14ac:dyDescent="0.25">
      <c r="F50" s="21">
        <f>'Key Analysis'!A50</f>
        <v>49</v>
      </c>
      <c r="G50">
        <f>IF('Key Analysis'!B50="",NA(),'Key Analysis'!G50)</f>
        <v>25</v>
      </c>
      <c r="H50" s="32">
        <f>F50/2</f>
        <v>24.5</v>
      </c>
      <c r="I50" s="34">
        <f>IF('Key Analysis'!B50="",NA(),'Key Analysis'!F50)</f>
        <v>0.45348233016493467</v>
      </c>
      <c r="J50" s="21">
        <f>F50</f>
        <v>49</v>
      </c>
    </row>
    <row r="51" spans="6:10" x14ac:dyDescent="0.25">
      <c r="F51" s="21">
        <f>'Key Analysis'!A51</f>
        <v>50</v>
      </c>
      <c r="G51">
        <f>IF('Key Analysis'!B51="",NA(),'Key Analysis'!G51)</f>
        <v>24</v>
      </c>
      <c r="H51" s="32">
        <f>F51/2</f>
        <v>25</v>
      </c>
      <c r="I51" s="34">
        <f>IF('Key Analysis'!B51="",NA(),'Key Analysis'!F51)</f>
        <v>8.560360020207014E-2</v>
      </c>
      <c r="J51" s="21">
        <f>F51</f>
        <v>50</v>
      </c>
    </row>
    <row r="52" spans="6:10" x14ac:dyDescent="0.25">
      <c r="F52" s="21">
        <f>'Key Analysis'!A52</f>
        <v>51</v>
      </c>
      <c r="G52">
        <f>IF('Key Analysis'!B52="",NA(),'Key Analysis'!G52)</f>
        <v>19</v>
      </c>
      <c r="H52" s="32">
        <f>F52/2</f>
        <v>25.5</v>
      </c>
      <c r="I52" s="34">
        <f>IF('Key Analysis'!B52="",NA(),'Key Analysis'!F52)</f>
        <v>0.82855465449616261</v>
      </c>
      <c r="J52" s="21">
        <f>F52</f>
        <v>51</v>
      </c>
    </row>
    <row r="53" spans="6:10" x14ac:dyDescent="0.25">
      <c r="F53" s="21">
        <f>'Key Analysis'!A53</f>
        <v>52</v>
      </c>
      <c r="G53">
        <f>IF('Key Analysis'!B53="",NA(),'Key Analysis'!G53)</f>
        <v>30</v>
      </c>
      <c r="H53" s="32">
        <f>F53/2</f>
        <v>26</v>
      </c>
      <c r="I53" s="34">
        <f>IF('Key Analysis'!B53="",NA(),'Key Analysis'!F53)</f>
        <v>0.87250021692650837</v>
      </c>
      <c r="J53" s="21">
        <f>F53</f>
        <v>52</v>
      </c>
    </row>
    <row r="54" spans="6:10" x14ac:dyDescent="0.25">
      <c r="F54" s="21">
        <f>'Key Analysis'!A54</f>
        <v>53</v>
      </c>
      <c r="G54">
        <f>IF('Key Analysis'!B54="",NA(),'Key Analysis'!G54)</f>
        <v>24</v>
      </c>
      <c r="H54" s="32">
        <f>F54/2</f>
        <v>26.5</v>
      </c>
      <c r="I54" s="34">
        <f>IF('Key Analysis'!B54="",NA(),'Key Analysis'!F54)</f>
        <v>0.50183953528462499</v>
      </c>
      <c r="J54" s="21">
        <f>F54</f>
        <v>53</v>
      </c>
    </row>
    <row r="55" spans="6:10" x14ac:dyDescent="0.25">
      <c r="F55" s="21">
        <f>'Key Analysis'!A55</f>
        <v>54</v>
      </c>
      <c r="G55">
        <f>IF('Key Analysis'!B55="",NA(),'Key Analysis'!G55)</f>
        <v>32</v>
      </c>
      <c r="H55" s="32">
        <f>F55/2</f>
        <v>27</v>
      </c>
      <c r="I55" s="34">
        <f>IF('Key Analysis'!B55="",NA(),'Key Analysis'!F55)</f>
        <v>0.10738698705333893</v>
      </c>
      <c r="J55" s="21">
        <f>F55</f>
        <v>54</v>
      </c>
    </row>
    <row r="56" spans="6:10" x14ac:dyDescent="0.25">
      <c r="F56" s="21">
        <f>'Key Analysis'!A56</f>
        <v>55</v>
      </c>
      <c r="G56">
        <f>IF('Key Analysis'!B56="",NA(),'Key Analysis'!G56)</f>
        <v>31</v>
      </c>
      <c r="H56" s="32">
        <f>F56/2</f>
        <v>27.5</v>
      </c>
      <c r="I56" s="34">
        <f>IF('Key Analysis'!B56="",NA(),'Key Analysis'!F56)</f>
        <v>0.66785421539635736</v>
      </c>
      <c r="J56" s="21">
        <f>F56</f>
        <v>55</v>
      </c>
    </row>
    <row r="57" spans="6:10" x14ac:dyDescent="0.25">
      <c r="F57" s="21">
        <f>'Key Analysis'!A57</f>
        <v>56</v>
      </c>
      <c r="G57">
        <f>IF('Key Analysis'!B57="",NA(),'Key Analysis'!G57)</f>
        <v>34</v>
      </c>
      <c r="H57" s="32">
        <f>F57/2</f>
        <v>28</v>
      </c>
      <c r="I57" s="34">
        <f>IF('Key Analysis'!B57="",NA(),'Key Analysis'!F57)</f>
        <v>0.22731664533239271</v>
      </c>
      <c r="J57" s="21">
        <f>F57</f>
        <v>56</v>
      </c>
    </row>
    <row r="58" spans="6:10" x14ac:dyDescent="0.25">
      <c r="F58" s="21">
        <f>'Key Analysis'!A58</f>
        <v>57</v>
      </c>
      <c r="G58">
        <f>IF('Key Analysis'!B58="",NA(),'Key Analysis'!G58)</f>
        <v>29</v>
      </c>
      <c r="H58" s="32">
        <f>F58/2</f>
        <v>28.5</v>
      </c>
      <c r="I58" s="34">
        <f>IF('Key Analysis'!B58="",NA(),'Key Analysis'!F58)</f>
        <v>0.91854530749500141</v>
      </c>
      <c r="J58" s="21">
        <f>F58</f>
        <v>57</v>
      </c>
    </row>
    <row r="59" spans="6:10" x14ac:dyDescent="0.25">
      <c r="F59" s="21">
        <f>'Key Analysis'!A59</f>
        <v>58</v>
      </c>
      <c r="G59">
        <f>IF('Key Analysis'!B59="",NA(),'Key Analysis'!G59)</f>
        <v>25</v>
      </c>
      <c r="H59" s="32">
        <f>F59/2</f>
        <v>29</v>
      </c>
      <c r="I59" s="34">
        <f>IF('Key Analysis'!B59="",NA(),'Key Analysis'!F59)</f>
        <v>0.38761688234471914</v>
      </c>
      <c r="J59" s="21">
        <f>F59</f>
        <v>58</v>
      </c>
    </row>
    <row r="60" spans="6:10" x14ac:dyDescent="0.25">
      <c r="F60" s="21">
        <f>'Key Analysis'!A60</f>
        <v>59</v>
      </c>
      <c r="G60">
        <f>IF('Key Analysis'!B60="",NA(),'Key Analysis'!G60)</f>
        <v>33</v>
      </c>
      <c r="H60" s="32">
        <f>F60/2</f>
        <v>29.5</v>
      </c>
      <c r="I60" s="34">
        <f>IF('Key Analysis'!B60="",NA(),'Key Analysis'!F60)</f>
        <v>0.821703844225953</v>
      </c>
      <c r="J60" s="21">
        <f>F60</f>
        <v>59</v>
      </c>
    </row>
    <row r="61" spans="6:10" x14ac:dyDescent="0.25">
      <c r="F61" s="21">
        <f>'Key Analysis'!A61</f>
        <v>60</v>
      </c>
      <c r="G61">
        <f>IF('Key Analysis'!B61="",NA(),'Key Analysis'!G61)</f>
        <v>32</v>
      </c>
      <c r="H61" s="32">
        <f>F61/2</f>
        <v>30</v>
      </c>
      <c r="I61" s="34">
        <f>IF('Key Analysis'!B61="",NA(),'Key Analysis'!F61)</f>
        <v>0.96898287643017167</v>
      </c>
      <c r="J61" s="21">
        <f>F61</f>
        <v>60</v>
      </c>
    </row>
    <row r="62" spans="6:10" x14ac:dyDescent="0.25">
      <c r="F62" s="21">
        <f>'Key Analysis'!A62</f>
        <v>61</v>
      </c>
      <c r="G62">
        <f>IF('Key Analysis'!B62="",NA(),'Key Analysis'!G62)</f>
        <v>29</v>
      </c>
      <c r="H62" s="32">
        <f>F62/2</f>
        <v>30.5</v>
      </c>
      <c r="I62" s="34">
        <f>IF('Key Analysis'!B62="",NA(),'Key Analysis'!F62)</f>
        <v>0.23667356096793157</v>
      </c>
      <c r="J62" s="21">
        <f>F62</f>
        <v>61</v>
      </c>
    </row>
    <row r="63" spans="6:10" x14ac:dyDescent="0.25">
      <c r="F63" s="21">
        <f>'Key Analysis'!A63</f>
        <v>62</v>
      </c>
      <c r="G63">
        <f>IF('Key Analysis'!B63="",NA(),'Key Analysis'!G63)</f>
        <v>34</v>
      </c>
      <c r="H63" s="32">
        <f>F63/2</f>
        <v>31</v>
      </c>
      <c r="I63" s="34">
        <f>IF('Key Analysis'!B63="",NA(),'Key Analysis'!F63)</f>
        <v>0.69498640058786654</v>
      </c>
      <c r="J63" s="21">
        <f>F63</f>
        <v>62</v>
      </c>
    </row>
    <row r="64" spans="6:10" x14ac:dyDescent="0.25">
      <c r="F64" s="21">
        <f>'Key Analysis'!A64</f>
        <v>63</v>
      </c>
      <c r="G64">
        <f>IF('Key Analysis'!B64="",NA(),'Key Analysis'!G64)</f>
        <v>36</v>
      </c>
      <c r="H64" s="32">
        <f>F64/2</f>
        <v>31.5</v>
      </c>
      <c r="I64" s="34">
        <f>IF('Key Analysis'!B64="",NA(),'Key Analysis'!F64)</f>
        <v>0.95009588978722626</v>
      </c>
      <c r="J64" s="21">
        <f>F64</f>
        <v>63</v>
      </c>
    </row>
    <row r="65" spans="6:10" x14ac:dyDescent="0.25">
      <c r="F65" s="21">
        <f>'Key Analysis'!A65</f>
        <v>64</v>
      </c>
      <c r="G65">
        <f>IF('Key Analysis'!B65="",NA(),'Key Analysis'!G65)</f>
        <v>30</v>
      </c>
      <c r="H65" s="32">
        <f>F65/2</f>
        <v>32</v>
      </c>
      <c r="I65" s="34">
        <f>IF('Key Analysis'!B65="",NA(),'Key Analysis'!F65)</f>
        <v>0.92984380186056415</v>
      </c>
      <c r="J65" s="21">
        <f>F65</f>
        <v>64</v>
      </c>
    </row>
    <row r="66" spans="6:10" x14ac:dyDescent="0.25">
      <c r="F66" s="21">
        <f>'Key Analysis'!A66</f>
        <v>65</v>
      </c>
      <c r="G66">
        <f>IF('Key Analysis'!B66="",NA(),'Key Analysis'!G66)</f>
        <v>29</v>
      </c>
      <c r="H66" s="32">
        <f>F66/2</f>
        <v>32.5</v>
      </c>
      <c r="I66" s="34">
        <f>IF('Key Analysis'!B66="",NA(),'Key Analysis'!F66)</f>
        <v>0.65711505455482788</v>
      </c>
      <c r="J66" s="21">
        <f>F66</f>
        <v>65</v>
      </c>
    </row>
    <row r="67" spans="6:10" x14ac:dyDescent="0.25">
      <c r="F67" s="21">
        <f>'Key Analysis'!A67</f>
        <v>66</v>
      </c>
      <c r="G67">
        <f>IF('Key Analysis'!B67="",NA(),'Key Analysis'!G67)</f>
        <v>38</v>
      </c>
      <c r="H67" s="32">
        <f>F67/2</f>
        <v>33</v>
      </c>
      <c r="I67" s="34">
        <f>IF('Key Analysis'!B67="",NA(),'Key Analysis'!F67)</f>
        <v>0.25621674386428273</v>
      </c>
      <c r="J67" s="21">
        <f>F67</f>
        <v>66</v>
      </c>
    </row>
    <row r="68" spans="6:10" x14ac:dyDescent="0.25">
      <c r="F68" s="21">
        <f>'Key Analysis'!A68</f>
        <v>67</v>
      </c>
      <c r="G68">
        <f>IF('Key Analysis'!B68="",NA(),'Key Analysis'!G68)</f>
        <v>31</v>
      </c>
      <c r="H68" s="32">
        <f>F68/2</f>
        <v>33.5</v>
      </c>
      <c r="I68" s="34">
        <f>IF('Key Analysis'!B68="",NA(),'Key Analysis'!F68)</f>
        <v>0.79783683061242705</v>
      </c>
      <c r="J68" s="21">
        <f>F68</f>
        <v>67</v>
      </c>
    </row>
    <row r="69" spans="6:10" x14ac:dyDescent="0.25">
      <c r="F69" s="21">
        <f>'Key Analysis'!A69</f>
        <v>68</v>
      </c>
      <c r="G69">
        <f>IF('Key Analysis'!B69="",NA(),'Key Analysis'!G69)</f>
        <v>33</v>
      </c>
      <c r="H69" s="32">
        <f>F69/2</f>
        <v>34</v>
      </c>
      <c r="I69" s="34">
        <f>IF('Key Analysis'!B69="",NA(),'Key Analysis'!F69)</f>
        <v>0.49008861221420635</v>
      </c>
      <c r="J69" s="21">
        <f>F69</f>
        <v>68</v>
      </c>
    </row>
    <row r="70" spans="6:10" x14ac:dyDescent="0.25">
      <c r="F70" s="21">
        <f>'Key Analysis'!A70</f>
        <v>69</v>
      </c>
      <c r="G70">
        <f>IF('Key Analysis'!B70="",NA(),'Key Analysis'!G70)</f>
        <v>35</v>
      </c>
      <c r="H70" s="32">
        <f>F70/2</f>
        <v>34.5</v>
      </c>
      <c r="I70" s="34">
        <f>IF('Key Analysis'!B70="",NA(),'Key Analysis'!F70)</f>
        <v>7.2051561393627539E-3</v>
      </c>
      <c r="J70" s="21">
        <f>F70</f>
        <v>69</v>
      </c>
    </row>
    <row r="71" spans="6:10" x14ac:dyDescent="0.25">
      <c r="F71" s="21">
        <f>'Key Analysis'!A71</f>
        <v>70</v>
      </c>
      <c r="G71">
        <f>IF('Key Analysis'!B71="",NA(),'Key Analysis'!G71)</f>
        <v>34</v>
      </c>
      <c r="H71" s="32">
        <f>F71/2</f>
        <v>35</v>
      </c>
      <c r="I71" s="34">
        <f>IF('Key Analysis'!B71="",NA(),'Key Analysis'!F71)</f>
        <v>0.64398418043204009</v>
      </c>
      <c r="J71" s="21">
        <f>F71</f>
        <v>70</v>
      </c>
    </row>
    <row r="72" spans="6:10" x14ac:dyDescent="0.25">
      <c r="F72" s="21">
        <f>'Key Analysis'!A72</f>
        <v>71</v>
      </c>
      <c r="G72" t="e">
        <f>IF('Key Analysis'!B72="",NA(),'Key Analysis'!G72)</f>
        <v>#N/A</v>
      </c>
      <c r="H72" s="32">
        <f>F72/2</f>
        <v>35.5</v>
      </c>
      <c r="I72" s="34" t="e">
        <f>IF('Key Analysis'!B72="",NA(),'Key Analysis'!F72)</f>
        <v>#N/A</v>
      </c>
      <c r="J72" s="21">
        <f>F72</f>
        <v>71</v>
      </c>
    </row>
    <row r="73" spans="6:10" x14ac:dyDescent="0.25">
      <c r="F73" s="21">
        <f>'Key Analysis'!A73</f>
        <v>72</v>
      </c>
      <c r="G73" t="e">
        <f>IF('Key Analysis'!B73="",NA(),'Key Analysis'!G73)</f>
        <v>#N/A</v>
      </c>
      <c r="H73" s="32">
        <f>F73/2</f>
        <v>36</v>
      </c>
      <c r="I73" s="34" t="e">
        <f>IF('Key Analysis'!B73="",NA(),'Key Analysis'!F73)</f>
        <v>#N/A</v>
      </c>
      <c r="J73" s="21">
        <f>F73</f>
        <v>72</v>
      </c>
    </row>
    <row r="74" spans="6:10" x14ac:dyDescent="0.25">
      <c r="F74" s="21">
        <f>'Key Analysis'!A74</f>
        <v>73</v>
      </c>
      <c r="G74" t="e">
        <f>IF('Key Analysis'!B74="",NA(),'Key Analysis'!G74)</f>
        <v>#N/A</v>
      </c>
      <c r="H74" s="32">
        <f>F74/2</f>
        <v>36.5</v>
      </c>
      <c r="I74" s="34" t="e">
        <f>IF('Key Analysis'!B74="",NA(),'Key Analysis'!F74)</f>
        <v>#N/A</v>
      </c>
      <c r="J74" s="21">
        <f>F74</f>
        <v>73</v>
      </c>
    </row>
    <row r="75" spans="6:10" x14ac:dyDescent="0.25">
      <c r="F75" s="21">
        <f>'Key Analysis'!A75</f>
        <v>74</v>
      </c>
      <c r="G75" t="e">
        <f>IF('Key Analysis'!B75="",NA(),'Key Analysis'!G75)</f>
        <v>#N/A</v>
      </c>
      <c r="H75" s="32">
        <f>F75/2</f>
        <v>37</v>
      </c>
      <c r="I75" s="34" t="e">
        <f>IF('Key Analysis'!B75="",NA(),'Key Analysis'!F75)</f>
        <v>#N/A</v>
      </c>
      <c r="J75" s="21">
        <f>F75</f>
        <v>74</v>
      </c>
    </row>
    <row r="76" spans="6:10" x14ac:dyDescent="0.25">
      <c r="F76" s="21">
        <f>'Key Analysis'!A76</f>
        <v>75</v>
      </c>
      <c r="G76">
        <f>IF('Key Analysis'!B76="",NA(),'Key Analysis'!G76)</f>
        <v>33</v>
      </c>
      <c r="H76" s="32">
        <f>F76/2</f>
        <v>37.5</v>
      </c>
      <c r="I76" s="34">
        <f>IF('Key Analysis'!B76="",NA(),'Key Analysis'!F76)</f>
        <v>0.19316889756160641</v>
      </c>
      <c r="J76" s="21">
        <f>F76</f>
        <v>75</v>
      </c>
    </row>
    <row r="77" spans="6:10" x14ac:dyDescent="0.25">
      <c r="F77" s="21">
        <f>'Key Analysis'!A77</f>
        <v>76</v>
      </c>
      <c r="G77" t="e">
        <f>IF('Key Analysis'!B77="",NA(),'Key Analysis'!G77)</f>
        <v>#N/A</v>
      </c>
      <c r="H77" s="32">
        <f>F77/2</f>
        <v>38</v>
      </c>
      <c r="I77" s="34" t="e">
        <f>IF('Key Analysis'!B77="",NA(),'Key Analysis'!F77)</f>
        <v>#N/A</v>
      </c>
      <c r="J77" s="21">
        <f>F77</f>
        <v>76</v>
      </c>
    </row>
    <row r="78" spans="6:10" x14ac:dyDescent="0.25">
      <c r="F78" s="21">
        <f>'Key Analysis'!A78</f>
        <v>77</v>
      </c>
      <c r="G78" t="e">
        <f>IF('Key Analysis'!B78="",NA(),'Key Analysis'!G78)</f>
        <v>#N/A</v>
      </c>
      <c r="H78" s="32">
        <f>F78/2</f>
        <v>38.5</v>
      </c>
      <c r="I78" s="34" t="e">
        <f>IF('Key Analysis'!B78="",NA(),'Key Analysis'!F78)</f>
        <v>#N/A</v>
      </c>
      <c r="J78" s="21">
        <f>F78</f>
        <v>77</v>
      </c>
    </row>
    <row r="79" spans="6:10" x14ac:dyDescent="0.25">
      <c r="F79" s="21">
        <f>'Key Analysis'!A79</f>
        <v>78</v>
      </c>
      <c r="G79" t="e">
        <f>IF('Key Analysis'!B79="",NA(),'Key Analysis'!G79)</f>
        <v>#N/A</v>
      </c>
      <c r="H79" s="32">
        <f>F79/2</f>
        <v>39</v>
      </c>
      <c r="I79" s="34" t="e">
        <f>IF('Key Analysis'!B79="",NA(),'Key Analysis'!F79)</f>
        <v>#N/A</v>
      </c>
      <c r="J79" s="21">
        <f>F79</f>
        <v>78</v>
      </c>
    </row>
    <row r="80" spans="6:10" x14ac:dyDescent="0.25">
      <c r="F80" s="21">
        <f>'Key Analysis'!A80</f>
        <v>79</v>
      </c>
      <c r="G80" t="e">
        <f>IF('Key Analysis'!B80="",NA(),'Key Analysis'!G80)</f>
        <v>#N/A</v>
      </c>
      <c r="H80" s="32">
        <f>F80/2</f>
        <v>39.5</v>
      </c>
      <c r="I80" s="34" t="e">
        <f>IF('Key Analysis'!B80="",NA(),'Key Analysis'!F80)</f>
        <v>#N/A</v>
      </c>
      <c r="J80" s="21">
        <f>F80</f>
        <v>79</v>
      </c>
    </row>
    <row r="81" spans="6:10" x14ac:dyDescent="0.25">
      <c r="F81" s="21">
        <f>'Key Analysis'!A81</f>
        <v>80</v>
      </c>
      <c r="G81">
        <f>IF('Key Analysis'!B81="",NA(),'Key Analysis'!G81)</f>
        <v>37</v>
      </c>
      <c r="H81" s="32">
        <f>F81/2</f>
        <v>40</v>
      </c>
      <c r="I81" s="34">
        <f>IF('Key Analysis'!B81="",NA(),'Key Analysis'!F81)</f>
        <v>0.82892947218488822</v>
      </c>
      <c r="J81" s="21">
        <f>F81</f>
        <v>80</v>
      </c>
    </row>
    <row r="82" spans="6:10" x14ac:dyDescent="0.25">
      <c r="F82" s="21">
        <f>'Key Analysis'!A82</f>
        <v>81</v>
      </c>
      <c r="G82" t="e">
        <f>IF('Key Analysis'!B82="",NA(),'Key Analysis'!G82)</f>
        <v>#N/A</v>
      </c>
      <c r="H82" s="32">
        <f>F82/2</f>
        <v>40.5</v>
      </c>
      <c r="I82" s="34" t="e">
        <f>IF('Key Analysis'!B82="",NA(),'Key Analysis'!F82)</f>
        <v>#N/A</v>
      </c>
      <c r="J82" s="21">
        <f>F82</f>
        <v>81</v>
      </c>
    </row>
    <row r="83" spans="6:10" x14ac:dyDescent="0.25">
      <c r="F83" s="21">
        <f>'Key Analysis'!A83</f>
        <v>82</v>
      </c>
      <c r="G83" t="e">
        <f>IF('Key Analysis'!B83="",NA(),'Key Analysis'!G83)</f>
        <v>#N/A</v>
      </c>
      <c r="H83" s="32">
        <f>F83/2</f>
        <v>41</v>
      </c>
      <c r="I83" s="34" t="e">
        <f>IF('Key Analysis'!B83="",NA(),'Key Analysis'!F83)</f>
        <v>#N/A</v>
      </c>
      <c r="J83" s="21">
        <f>F83</f>
        <v>82</v>
      </c>
    </row>
    <row r="84" spans="6:10" x14ac:dyDescent="0.25">
      <c r="F84" s="21">
        <f>'Key Analysis'!A84</f>
        <v>83</v>
      </c>
      <c r="G84" t="e">
        <f>IF('Key Analysis'!B84="",NA(),'Key Analysis'!G84)</f>
        <v>#N/A</v>
      </c>
      <c r="H84" s="32">
        <f>F84/2</f>
        <v>41.5</v>
      </c>
      <c r="I84" s="34" t="e">
        <f>IF('Key Analysis'!B84="",NA(),'Key Analysis'!F84)</f>
        <v>#N/A</v>
      </c>
      <c r="J84" s="21">
        <f>F84</f>
        <v>83</v>
      </c>
    </row>
    <row r="85" spans="6:10" x14ac:dyDescent="0.25">
      <c r="F85" s="21">
        <f>'Key Analysis'!A85</f>
        <v>84</v>
      </c>
      <c r="G85" t="e">
        <f>IF('Key Analysis'!B85="",NA(),'Key Analysis'!G85)</f>
        <v>#N/A</v>
      </c>
      <c r="H85" s="32">
        <f>F85/2</f>
        <v>42</v>
      </c>
      <c r="I85" s="34" t="e">
        <f>IF('Key Analysis'!B85="",NA(),'Key Analysis'!F85)</f>
        <v>#N/A</v>
      </c>
      <c r="J85" s="21">
        <f>F85</f>
        <v>84</v>
      </c>
    </row>
    <row r="86" spans="6:10" x14ac:dyDescent="0.25">
      <c r="F86" s="21">
        <f>'Key Analysis'!A86</f>
        <v>85</v>
      </c>
      <c r="G86">
        <f>IF('Key Analysis'!B86="",NA(),'Key Analysis'!G86)</f>
        <v>39</v>
      </c>
      <c r="H86" s="32">
        <f>F86/2</f>
        <v>42.5</v>
      </c>
      <c r="I86" s="34">
        <f>IF('Key Analysis'!B86="",NA(),'Key Analysis'!F86)</f>
        <v>9.0343769662314957E-2</v>
      </c>
      <c r="J86" s="21">
        <f>F86</f>
        <v>85</v>
      </c>
    </row>
    <row r="87" spans="6:10" x14ac:dyDescent="0.25">
      <c r="F87" s="21">
        <f>'Key Analysis'!A87</f>
        <v>86</v>
      </c>
      <c r="G87" t="e">
        <f>IF('Key Analysis'!B87="",NA(),'Key Analysis'!G87)</f>
        <v>#N/A</v>
      </c>
      <c r="H87" s="32">
        <f>F87/2</f>
        <v>43</v>
      </c>
      <c r="I87" s="34" t="e">
        <f>IF('Key Analysis'!B87="",NA(),'Key Analysis'!F87)</f>
        <v>#N/A</v>
      </c>
      <c r="J87" s="21">
        <f>F87</f>
        <v>86</v>
      </c>
    </row>
    <row r="88" spans="6:10" x14ac:dyDescent="0.25">
      <c r="F88" s="21">
        <f>'Key Analysis'!A88</f>
        <v>87</v>
      </c>
      <c r="G88" t="e">
        <f>IF('Key Analysis'!B88="",NA(),'Key Analysis'!G88)</f>
        <v>#N/A</v>
      </c>
      <c r="H88" s="32">
        <f>F88/2</f>
        <v>43.5</v>
      </c>
      <c r="I88" s="34" t="e">
        <f>IF('Key Analysis'!B88="",NA(),'Key Analysis'!F88)</f>
        <v>#N/A</v>
      </c>
      <c r="J88" s="21">
        <f>F88</f>
        <v>87</v>
      </c>
    </row>
    <row r="89" spans="6:10" x14ac:dyDescent="0.25">
      <c r="F89" s="21">
        <f>'Key Analysis'!A89</f>
        <v>88</v>
      </c>
      <c r="G89" t="e">
        <f>IF('Key Analysis'!B89="",NA(),'Key Analysis'!G89)</f>
        <v>#N/A</v>
      </c>
      <c r="H89" s="32">
        <f>F89/2</f>
        <v>44</v>
      </c>
      <c r="I89" s="34" t="e">
        <f>IF('Key Analysis'!B89="",NA(),'Key Analysis'!F89)</f>
        <v>#N/A</v>
      </c>
      <c r="J89" s="21">
        <f>F89</f>
        <v>88</v>
      </c>
    </row>
    <row r="90" spans="6:10" x14ac:dyDescent="0.25">
      <c r="F90" s="21">
        <f>'Key Analysis'!A90</f>
        <v>89</v>
      </c>
      <c r="G90" t="e">
        <f>IF('Key Analysis'!B90="",NA(),'Key Analysis'!G90)</f>
        <v>#N/A</v>
      </c>
      <c r="H90" s="32">
        <f>F90/2</f>
        <v>44.5</v>
      </c>
      <c r="I90" s="34" t="e">
        <f>IF('Key Analysis'!B90="",NA(),'Key Analysis'!F90)</f>
        <v>#N/A</v>
      </c>
      <c r="J90" s="21">
        <f>F90</f>
        <v>89</v>
      </c>
    </row>
    <row r="91" spans="6:10" x14ac:dyDescent="0.25">
      <c r="F91" s="21">
        <f>'Key Analysis'!A91</f>
        <v>90</v>
      </c>
      <c r="G91">
        <f>IF('Key Analysis'!B91="",NA(),'Key Analysis'!G91)</f>
        <v>43</v>
      </c>
      <c r="H91" s="32">
        <f>F91/2</f>
        <v>45</v>
      </c>
      <c r="I91" s="34">
        <f>IF('Key Analysis'!B91="",NA(),'Key Analysis'!F91)</f>
        <v>0.40234932690083985</v>
      </c>
      <c r="J91" s="21">
        <f>F91</f>
        <v>90</v>
      </c>
    </row>
    <row r="92" spans="6:10" x14ac:dyDescent="0.25">
      <c r="F92" s="21">
        <f>'Key Analysis'!A92</f>
        <v>91</v>
      </c>
      <c r="G92" t="e">
        <f>IF('Key Analysis'!B92="",NA(),'Key Analysis'!G92)</f>
        <v>#N/A</v>
      </c>
      <c r="H92" s="32">
        <f>F92/2</f>
        <v>45.5</v>
      </c>
      <c r="I92" s="34" t="e">
        <f>IF('Key Analysis'!B92="",NA(),'Key Analysis'!F92)</f>
        <v>#N/A</v>
      </c>
      <c r="J92" s="21">
        <f>F92</f>
        <v>91</v>
      </c>
    </row>
    <row r="93" spans="6:10" x14ac:dyDescent="0.25">
      <c r="F93" s="21">
        <f>'Key Analysis'!A93</f>
        <v>92</v>
      </c>
      <c r="G93" t="e">
        <f>IF('Key Analysis'!B93="",NA(),'Key Analysis'!G93)</f>
        <v>#N/A</v>
      </c>
      <c r="H93" s="32">
        <f>F93/2</f>
        <v>46</v>
      </c>
      <c r="I93" s="34" t="e">
        <f>IF('Key Analysis'!B93="",NA(),'Key Analysis'!F93)</f>
        <v>#N/A</v>
      </c>
      <c r="J93" s="21">
        <f>F93</f>
        <v>92</v>
      </c>
    </row>
    <row r="94" spans="6:10" x14ac:dyDescent="0.25">
      <c r="F94" s="21">
        <f>'Key Analysis'!A94</f>
        <v>93</v>
      </c>
      <c r="G94" t="e">
        <f>IF('Key Analysis'!B94="",NA(),'Key Analysis'!G94)</f>
        <v>#N/A</v>
      </c>
      <c r="H94" s="32">
        <f>F94/2</f>
        <v>46.5</v>
      </c>
      <c r="I94" s="34" t="e">
        <f>IF('Key Analysis'!B94="",NA(),'Key Analysis'!F94)</f>
        <v>#N/A</v>
      </c>
      <c r="J94" s="21">
        <f>F94</f>
        <v>93</v>
      </c>
    </row>
    <row r="95" spans="6:10" x14ac:dyDescent="0.25">
      <c r="F95" s="21">
        <f>'Key Analysis'!A95</f>
        <v>94</v>
      </c>
      <c r="G95" t="e">
        <f>IF('Key Analysis'!B95="",NA(),'Key Analysis'!G95)</f>
        <v>#N/A</v>
      </c>
      <c r="H95" s="32">
        <f>F95/2</f>
        <v>47</v>
      </c>
      <c r="I95" s="34" t="e">
        <f>IF('Key Analysis'!B95="",NA(),'Key Analysis'!F95)</f>
        <v>#N/A</v>
      </c>
      <c r="J95" s="21">
        <f>F95</f>
        <v>94</v>
      </c>
    </row>
    <row r="96" spans="6:10" x14ac:dyDescent="0.25">
      <c r="F96" s="21">
        <f>'Key Analysis'!A96</f>
        <v>95</v>
      </c>
      <c r="G96">
        <f>IF('Key Analysis'!B96="",NA(),'Key Analysis'!G96)</f>
        <v>48</v>
      </c>
      <c r="H96" s="32">
        <f>F96/2</f>
        <v>47.5</v>
      </c>
      <c r="I96" s="34">
        <f>IF('Key Analysis'!B96="",NA(),'Key Analysis'!F96)</f>
        <v>0.28872517784561275</v>
      </c>
      <c r="J96" s="21">
        <f>F96</f>
        <v>95</v>
      </c>
    </row>
    <row r="97" spans="6:10" x14ac:dyDescent="0.25">
      <c r="F97" s="21">
        <f>'Key Analysis'!A97</f>
        <v>96</v>
      </c>
      <c r="G97" t="e">
        <f>IF('Key Analysis'!B97="",NA(),'Key Analysis'!G97)</f>
        <v>#N/A</v>
      </c>
      <c r="H97" s="32">
        <f>F97/2</f>
        <v>48</v>
      </c>
      <c r="I97" s="34" t="e">
        <f>IF('Key Analysis'!B97="",NA(),'Key Analysis'!F97)</f>
        <v>#N/A</v>
      </c>
      <c r="J97" s="21">
        <f>F97</f>
        <v>96</v>
      </c>
    </row>
    <row r="98" spans="6:10" x14ac:dyDescent="0.25">
      <c r="F98" s="21">
        <f>'Key Analysis'!A98</f>
        <v>97</v>
      </c>
      <c r="G98" t="e">
        <f>IF('Key Analysis'!B98="",NA(),'Key Analysis'!G98)</f>
        <v>#N/A</v>
      </c>
      <c r="H98" s="32">
        <f>F98/2</f>
        <v>48.5</v>
      </c>
      <c r="I98" s="34" t="e">
        <f>IF('Key Analysis'!B98="",NA(),'Key Analysis'!F98)</f>
        <v>#N/A</v>
      </c>
      <c r="J98" s="21">
        <f>F98</f>
        <v>97</v>
      </c>
    </row>
    <row r="99" spans="6:10" x14ac:dyDescent="0.25">
      <c r="F99" s="21">
        <f>'Key Analysis'!A99</f>
        <v>98</v>
      </c>
      <c r="G99" t="e">
        <f>IF('Key Analysis'!B99="",NA(),'Key Analysis'!G99)</f>
        <v>#N/A</v>
      </c>
      <c r="H99" s="32">
        <f>F99/2</f>
        <v>49</v>
      </c>
      <c r="I99" s="34" t="e">
        <f>IF('Key Analysis'!B99="",NA(),'Key Analysis'!F99)</f>
        <v>#N/A</v>
      </c>
      <c r="J99" s="21">
        <f>F99</f>
        <v>98</v>
      </c>
    </row>
    <row r="100" spans="6:10" x14ac:dyDescent="0.25">
      <c r="F100" s="21">
        <f>'Key Analysis'!A100</f>
        <v>99</v>
      </c>
      <c r="G100" t="e">
        <f>IF('Key Analysis'!B100="",NA(),'Key Analysis'!G100)</f>
        <v>#N/A</v>
      </c>
      <c r="H100" s="32">
        <f>F100/2</f>
        <v>49.5</v>
      </c>
      <c r="I100" s="34" t="e">
        <f>IF('Key Analysis'!B100="",NA(),'Key Analysis'!F100)</f>
        <v>#N/A</v>
      </c>
      <c r="J100" s="21">
        <f>F100</f>
        <v>99</v>
      </c>
    </row>
    <row r="101" spans="6:10" x14ac:dyDescent="0.25">
      <c r="F101" s="21">
        <f>'Key Analysis'!A101</f>
        <v>100</v>
      </c>
      <c r="G101">
        <f>IF('Key Analysis'!B101="",NA(),'Key Analysis'!G101)</f>
        <v>53</v>
      </c>
      <c r="H101" s="32">
        <f>F101/2</f>
        <v>50</v>
      </c>
      <c r="I101" s="34">
        <f>IF('Key Analysis'!B101="",NA(),'Key Analysis'!F101)</f>
        <v>0.36981157668053022</v>
      </c>
      <c r="J101" s="21">
        <f>F101</f>
        <v>100</v>
      </c>
    </row>
    <row r="102" spans="6:10" x14ac:dyDescent="0.25">
      <c r="F102" s="21">
        <f>'Key Analysis'!A102</f>
        <v>101</v>
      </c>
      <c r="G102" t="e">
        <f>IF('Key Analysis'!B102="",NA(),'Key Analysis'!G102)</f>
        <v>#N/A</v>
      </c>
      <c r="H102" s="32">
        <f>F102/2</f>
        <v>50.5</v>
      </c>
      <c r="I102" s="34" t="e">
        <f>IF('Key Analysis'!B102="",NA(),'Key Analysis'!F102)</f>
        <v>#N/A</v>
      </c>
      <c r="J102" s="21">
        <f>F102</f>
        <v>101</v>
      </c>
    </row>
    <row r="103" spans="6:10" x14ac:dyDescent="0.25">
      <c r="F103" s="21">
        <f>'Key Analysis'!A103</f>
        <v>102</v>
      </c>
      <c r="G103" t="e">
        <f>IF('Key Analysis'!B103="",NA(),'Key Analysis'!G103)</f>
        <v>#N/A</v>
      </c>
      <c r="H103" s="32">
        <f>F103/2</f>
        <v>51</v>
      </c>
      <c r="I103" s="34" t="e">
        <f>IF('Key Analysis'!B103="",NA(),'Key Analysis'!F103)</f>
        <v>#N/A</v>
      </c>
      <c r="J103" s="21">
        <f>F103</f>
        <v>102</v>
      </c>
    </row>
    <row r="104" spans="6:10" x14ac:dyDescent="0.25">
      <c r="F104" s="21">
        <f>'Key Analysis'!A104</f>
        <v>103</v>
      </c>
      <c r="G104" t="e">
        <f>IF('Key Analysis'!B104="",NA(),'Key Analysis'!G104)</f>
        <v>#N/A</v>
      </c>
      <c r="H104" s="32">
        <f>F104/2</f>
        <v>51.5</v>
      </c>
      <c r="I104" s="34" t="e">
        <f>IF('Key Analysis'!B104="",NA(),'Key Analysis'!F104)</f>
        <v>#N/A</v>
      </c>
      <c r="J104" s="21">
        <f>F104</f>
        <v>103</v>
      </c>
    </row>
    <row r="105" spans="6:10" x14ac:dyDescent="0.25">
      <c r="F105" s="21">
        <f>'Key Analysis'!A105</f>
        <v>104</v>
      </c>
      <c r="G105" t="e">
        <f>IF('Key Analysis'!B105="",NA(),'Key Analysis'!G105)</f>
        <v>#N/A</v>
      </c>
      <c r="H105" s="32">
        <f>F105/2</f>
        <v>52</v>
      </c>
      <c r="I105" s="34" t="e">
        <f>IF('Key Analysis'!B105="",NA(),'Key Analysis'!F105)</f>
        <v>#N/A</v>
      </c>
      <c r="J105" s="21">
        <f>F105</f>
        <v>104</v>
      </c>
    </row>
    <row r="106" spans="6:10" x14ac:dyDescent="0.25">
      <c r="F106" s="21">
        <f>'Key Analysis'!A106</f>
        <v>105</v>
      </c>
      <c r="G106">
        <f>IF('Key Analysis'!B106="",NA(),'Key Analysis'!G106)</f>
        <v>58</v>
      </c>
      <c r="H106" s="32">
        <f>F106/2</f>
        <v>52.5</v>
      </c>
      <c r="I106" s="34">
        <f>IF('Key Analysis'!B106="",NA(),'Key Analysis'!F106)</f>
        <v>0.43391395367944147</v>
      </c>
      <c r="J106" s="21">
        <f>F106</f>
        <v>105</v>
      </c>
    </row>
    <row r="107" spans="6:10" x14ac:dyDescent="0.25">
      <c r="F107" s="21">
        <f>'Key Analysis'!A107</f>
        <v>106</v>
      </c>
      <c r="G107" t="e">
        <f>IF('Key Analysis'!B107="",NA(),'Key Analysis'!G107)</f>
        <v>#N/A</v>
      </c>
      <c r="H107" s="32">
        <f>F107/2</f>
        <v>53</v>
      </c>
      <c r="I107" s="34" t="e">
        <f>IF('Key Analysis'!B107="",NA(),'Key Analysis'!F107)</f>
        <v>#N/A</v>
      </c>
      <c r="J107" s="21">
        <f>F107</f>
        <v>106</v>
      </c>
    </row>
    <row r="108" spans="6:10" x14ac:dyDescent="0.25">
      <c r="F108" s="21">
        <f>'Key Analysis'!A108</f>
        <v>107</v>
      </c>
      <c r="G108" t="e">
        <f>IF('Key Analysis'!B108="",NA(),'Key Analysis'!G108)</f>
        <v>#N/A</v>
      </c>
      <c r="H108" s="32">
        <f>F108/2</f>
        <v>53.5</v>
      </c>
      <c r="I108" s="34" t="e">
        <f>IF('Key Analysis'!B108="",NA(),'Key Analysis'!F108)</f>
        <v>#N/A</v>
      </c>
      <c r="J108" s="21">
        <f>F108</f>
        <v>107</v>
      </c>
    </row>
    <row r="109" spans="6:10" x14ac:dyDescent="0.25">
      <c r="F109" s="21">
        <f>'Key Analysis'!A109</f>
        <v>108</v>
      </c>
      <c r="G109" t="e">
        <f>IF('Key Analysis'!B109="",NA(),'Key Analysis'!G109)</f>
        <v>#N/A</v>
      </c>
      <c r="H109" s="32">
        <f>F109/2</f>
        <v>54</v>
      </c>
      <c r="I109" s="34" t="e">
        <f>IF('Key Analysis'!B109="",NA(),'Key Analysis'!F109)</f>
        <v>#N/A</v>
      </c>
      <c r="J109" s="21">
        <f>F109</f>
        <v>108</v>
      </c>
    </row>
    <row r="110" spans="6:10" x14ac:dyDescent="0.25">
      <c r="F110" s="21">
        <f>'Key Analysis'!A110</f>
        <v>109</v>
      </c>
      <c r="G110" t="e">
        <f>IF('Key Analysis'!B110="",NA(),'Key Analysis'!G110)</f>
        <v>#N/A</v>
      </c>
      <c r="H110" s="32">
        <f>F110/2</f>
        <v>54.5</v>
      </c>
      <c r="I110" s="34" t="e">
        <f>IF('Key Analysis'!B110="",NA(),'Key Analysis'!F110)</f>
        <v>#N/A</v>
      </c>
      <c r="J110" s="21">
        <f>F110</f>
        <v>109</v>
      </c>
    </row>
    <row r="111" spans="6:10" x14ac:dyDescent="0.25">
      <c r="F111" s="21">
        <f>'Key Analysis'!A111</f>
        <v>110</v>
      </c>
      <c r="G111">
        <f>IF('Key Analysis'!B111="",NA(),'Key Analysis'!G111)</f>
        <v>55</v>
      </c>
      <c r="H111" s="32">
        <f>F111/2</f>
        <v>55</v>
      </c>
      <c r="I111" s="34">
        <f>IF('Key Analysis'!B111="",NA(),'Key Analysis'!F111)</f>
        <v>0.67979008574888644</v>
      </c>
      <c r="J111" s="21">
        <f>F111</f>
        <v>110</v>
      </c>
    </row>
    <row r="112" spans="6:10" x14ac:dyDescent="0.25">
      <c r="F112" s="21">
        <f>'Key Analysis'!A112</f>
        <v>111</v>
      </c>
      <c r="G112" t="e">
        <f>IF('Key Analysis'!B112="",NA(),'Key Analysis'!G112)</f>
        <v>#N/A</v>
      </c>
      <c r="H112" s="32">
        <f>F112/2</f>
        <v>55.5</v>
      </c>
      <c r="I112" s="34" t="e">
        <f>IF('Key Analysis'!B112="",NA(),'Key Analysis'!F112)</f>
        <v>#N/A</v>
      </c>
      <c r="J112" s="21">
        <f>F112</f>
        <v>111</v>
      </c>
    </row>
    <row r="113" spans="6:10" x14ac:dyDescent="0.25">
      <c r="F113" s="21">
        <f>'Key Analysis'!A113</f>
        <v>112</v>
      </c>
      <c r="G113" t="e">
        <f>IF('Key Analysis'!B113="",NA(),'Key Analysis'!G113)</f>
        <v>#N/A</v>
      </c>
      <c r="H113" s="32">
        <f>F113/2</f>
        <v>56</v>
      </c>
      <c r="I113" s="34" t="e">
        <f>IF('Key Analysis'!B113="",NA(),'Key Analysis'!F113)</f>
        <v>#N/A</v>
      </c>
      <c r="J113" s="21">
        <f>F113</f>
        <v>112</v>
      </c>
    </row>
    <row r="114" spans="6:10" x14ac:dyDescent="0.25">
      <c r="F114" s="21">
        <f>'Key Analysis'!A114</f>
        <v>113</v>
      </c>
      <c r="G114" t="e">
        <f>IF('Key Analysis'!B114="",NA(),'Key Analysis'!G114)</f>
        <v>#N/A</v>
      </c>
      <c r="H114" s="32">
        <f>F114/2</f>
        <v>56.5</v>
      </c>
      <c r="I114" s="34" t="e">
        <f>IF('Key Analysis'!B114="",NA(),'Key Analysis'!F114)</f>
        <v>#N/A</v>
      </c>
      <c r="J114" s="21">
        <f>F114</f>
        <v>113</v>
      </c>
    </row>
    <row r="115" spans="6:10" x14ac:dyDescent="0.25">
      <c r="F115" s="21">
        <f>'Key Analysis'!A115</f>
        <v>114</v>
      </c>
      <c r="G115" t="e">
        <f>IF('Key Analysis'!B115="",NA(),'Key Analysis'!G115)</f>
        <v>#N/A</v>
      </c>
      <c r="H115" s="32">
        <f>F115/2</f>
        <v>57</v>
      </c>
      <c r="I115" s="34" t="e">
        <f>IF('Key Analysis'!B115="",NA(),'Key Analysis'!F115)</f>
        <v>#N/A</v>
      </c>
      <c r="J115" s="21">
        <f>F115</f>
        <v>114</v>
      </c>
    </row>
    <row r="116" spans="6:10" x14ac:dyDescent="0.25">
      <c r="F116" s="21">
        <f>'Key Analysis'!A116</f>
        <v>115</v>
      </c>
      <c r="G116">
        <f>IF('Key Analysis'!B116="",NA(),'Key Analysis'!G116)</f>
        <v>59</v>
      </c>
      <c r="H116" s="32">
        <f>F116/2</f>
        <v>57.5</v>
      </c>
      <c r="I116" s="34">
        <f>IF('Key Analysis'!B116="",NA(),'Key Analysis'!F116)</f>
        <v>0.51494242759130382</v>
      </c>
      <c r="J116" s="21">
        <f>F116</f>
        <v>115</v>
      </c>
    </row>
    <row r="117" spans="6:10" x14ac:dyDescent="0.25">
      <c r="F117" s="21">
        <f>'Key Analysis'!A117</f>
        <v>116</v>
      </c>
      <c r="G117" t="e">
        <f>IF('Key Analysis'!B117="",NA(),'Key Analysis'!G117)</f>
        <v>#N/A</v>
      </c>
      <c r="H117" s="32">
        <f>F117/2</f>
        <v>58</v>
      </c>
      <c r="I117" s="34" t="e">
        <f>IF('Key Analysis'!B117="",NA(),'Key Analysis'!F117)</f>
        <v>#N/A</v>
      </c>
      <c r="J117" s="21">
        <f>F117</f>
        <v>116</v>
      </c>
    </row>
    <row r="118" spans="6:10" x14ac:dyDescent="0.25">
      <c r="F118" s="21">
        <f>'Key Analysis'!A118</f>
        <v>117</v>
      </c>
      <c r="G118" t="e">
        <f>IF('Key Analysis'!B118="",NA(),'Key Analysis'!G118)</f>
        <v>#N/A</v>
      </c>
      <c r="H118" s="32">
        <f>F118/2</f>
        <v>58.5</v>
      </c>
      <c r="I118" s="34" t="e">
        <f>IF('Key Analysis'!B118="",NA(),'Key Analysis'!F118)</f>
        <v>#N/A</v>
      </c>
      <c r="J118" s="21">
        <f>F118</f>
        <v>117</v>
      </c>
    </row>
    <row r="119" spans="6:10" x14ac:dyDescent="0.25">
      <c r="F119" s="21">
        <f>'Key Analysis'!A119</f>
        <v>118</v>
      </c>
      <c r="G119" t="e">
        <f>IF('Key Analysis'!B119="",NA(),'Key Analysis'!G119)</f>
        <v>#N/A</v>
      </c>
      <c r="H119" s="32">
        <f>F119/2</f>
        <v>59</v>
      </c>
      <c r="I119" s="34" t="e">
        <f>IF('Key Analysis'!B119="",NA(),'Key Analysis'!F119)</f>
        <v>#N/A</v>
      </c>
      <c r="J119" s="21">
        <f>F119</f>
        <v>118</v>
      </c>
    </row>
    <row r="120" spans="6:10" x14ac:dyDescent="0.25">
      <c r="F120" s="21">
        <f>'Key Analysis'!A120</f>
        <v>119</v>
      </c>
      <c r="G120" t="e">
        <f>IF('Key Analysis'!B120="",NA(),'Key Analysis'!G120)</f>
        <v>#N/A</v>
      </c>
      <c r="H120" s="32">
        <f>F120/2</f>
        <v>59.5</v>
      </c>
      <c r="I120" s="34" t="e">
        <f>IF('Key Analysis'!B120="",NA(),'Key Analysis'!F120)</f>
        <v>#N/A</v>
      </c>
      <c r="J120" s="21">
        <f>F120</f>
        <v>119</v>
      </c>
    </row>
    <row r="121" spans="6:10" x14ac:dyDescent="0.25">
      <c r="F121" s="21">
        <f>'Key Analysis'!A121</f>
        <v>120</v>
      </c>
      <c r="G121">
        <f>IF('Key Analysis'!B121="",NA(),'Key Analysis'!G121)</f>
        <v>59</v>
      </c>
      <c r="H121" s="32">
        <f>F121/2</f>
        <v>60</v>
      </c>
      <c r="I121" s="34">
        <f>IF('Key Analysis'!B121="",NA(),'Key Analysis'!F121)</f>
        <v>0.38327435738080873</v>
      </c>
      <c r="J121" s="21">
        <f>F121</f>
        <v>120</v>
      </c>
    </row>
    <row r="122" spans="6:10" x14ac:dyDescent="0.25">
      <c r="F122" s="21">
        <f>'Key Analysis'!A122</f>
        <v>121</v>
      </c>
      <c r="G122" t="e">
        <f>IF('Key Analysis'!B122="",NA(),'Key Analysis'!G122)</f>
        <v>#N/A</v>
      </c>
      <c r="H122" s="32">
        <f>F122/2</f>
        <v>60.5</v>
      </c>
      <c r="I122" s="34" t="e">
        <f>IF('Key Analysis'!B122="",NA(),'Key Analysis'!F122)</f>
        <v>#N/A</v>
      </c>
      <c r="J122" s="21">
        <f>F122</f>
        <v>121</v>
      </c>
    </row>
    <row r="123" spans="6:10" x14ac:dyDescent="0.25">
      <c r="F123" s="21">
        <f>'Key Analysis'!A123</f>
        <v>122</v>
      </c>
      <c r="G123" t="e">
        <f>IF('Key Analysis'!B123="",NA(),'Key Analysis'!G123)</f>
        <v>#N/A</v>
      </c>
      <c r="H123" s="32">
        <f>F123/2</f>
        <v>61</v>
      </c>
      <c r="I123" s="34" t="e">
        <f>IF('Key Analysis'!B123="",NA(),'Key Analysis'!F123)</f>
        <v>#N/A</v>
      </c>
      <c r="J123" s="21">
        <f>F123</f>
        <v>122</v>
      </c>
    </row>
    <row r="124" spans="6:10" x14ac:dyDescent="0.25">
      <c r="F124" s="21">
        <f>'Key Analysis'!A124</f>
        <v>123</v>
      </c>
      <c r="G124" t="e">
        <f>IF('Key Analysis'!B124="",NA(),'Key Analysis'!G124)</f>
        <v>#N/A</v>
      </c>
      <c r="H124" s="32">
        <f>F124/2</f>
        <v>61.5</v>
      </c>
      <c r="I124" s="34" t="e">
        <f>IF('Key Analysis'!B124="",NA(),'Key Analysis'!F124)</f>
        <v>#N/A</v>
      </c>
      <c r="J124" s="21">
        <f>F124</f>
        <v>123</v>
      </c>
    </row>
    <row r="125" spans="6:10" x14ac:dyDescent="0.25">
      <c r="F125" s="21">
        <f>'Key Analysis'!A125</f>
        <v>124</v>
      </c>
      <c r="G125" t="e">
        <f>IF('Key Analysis'!B125="",NA(),'Key Analysis'!G125)</f>
        <v>#N/A</v>
      </c>
      <c r="H125" s="32">
        <f>F125/2</f>
        <v>62</v>
      </c>
      <c r="I125" s="34" t="e">
        <f>IF('Key Analysis'!B125="",NA(),'Key Analysis'!F125)</f>
        <v>#N/A</v>
      </c>
      <c r="J125" s="21">
        <f>F125</f>
        <v>124</v>
      </c>
    </row>
    <row r="126" spans="6:10" x14ac:dyDescent="0.25">
      <c r="F126" s="21">
        <f>'Key Analysis'!A126</f>
        <v>125</v>
      </c>
      <c r="G126">
        <f>IF('Key Analysis'!B126="",NA(),'Key Analysis'!G126)</f>
        <v>58</v>
      </c>
      <c r="H126" s="32">
        <f>F126/2</f>
        <v>62.5</v>
      </c>
      <c r="I126" s="34">
        <f>IF('Key Analysis'!B126="",NA(),'Key Analysis'!F126)</f>
        <v>0.77032033994239701</v>
      </c>
      <c r="J126" s="21">
        <f>F126</f>
        <v>125</v>
      </c>
    </row>
    <row r="127" spans="6:10" x14ac:dyDescent="0.25">
      <c r="F127" s="21">
        <f>'Key Analysis'!A127</f>
        <v>126</v>
      </c>
      <c r="G127" t="e">
        <f>IF('Key Analysis'!B127="",NA(),'Key Analysis'!G127)</f>
        <v>#N/A</v>
      </c>
      <c r="H127" s="32">
        <f>F127/2</f>
        <v>63</v>
      </c>
      <c r="I127" s="34" t="e">
        <f>IF('Key Analysis'!B127="",NA(),'Key Analysis'!F127)</f>
        <v>#N/A</v>
      </c>
      <c r="J127" s="21">
        <f>F127</f>
        <v>126</v>
      </c>
    </row>
    <row r="128" spans="6:10" x14ac:dyDescent="0.25">
      <c r="F128" s="21">
        <f>'Key Analysis'!A128</f>
        <v>127</v>
      </c>
      <c r="G128" t="e">
        <f>IF('Key Analysis'!B128="",NA(),'Key Analysis'!G128)</f>
        <v>#N/A</v>
      </c>
      <c r="H128" s="32">
        <f>F128/2</f>
        <v>63.5</v>
      </c>
      <c r="I128" s="34" t="e">
        <f>IF('Key Analysis'!B128="",NA(),'Key Analysis'!F128)</f>
        <v>#N/A</v>
      </c>
      <c r="J128" s="21">
        <f>F128</f>
        <v>127</v>
      </c>
    </row>
    <row r="129" spans="6:10" x14ac:dyDescent="0.25">
      <c r="F129" s="21">
        <f>'Key Analysis'!A129</f>
        <v>128</v>
      </c>
      <c r="G129" t="e">
        <f>IF('Key Analysis'!B129="",NA(),'Key Analysis'!G129)</f>
        <v>#N/A</v>
      </c>
      <c r="H129" s="32">
        <f>F129/2</f>
        <v>64</v>
      </c>
      <c r="I129" s="34" t="e">
        <f>IF('Key Analysis'!B129="",NA(),'Key Analysis'!F129)</f>
        <v>#N/A</v>
      </c>
      <c r="J129" s="21">
        <f>F129</f>
        <v>128</v>
      </c>
    </row>
    <row r="130" spans="6:10" x14ac:dyDescent="0.25">
      <c r="F130" s="21">
        <f>'Key Analysis'!A130</f>
        <v>129</v>
      </c>
      <c r="G130" t="e">
        <f>IF('Key Analysis'!B130="",NA(),'Key Analysis'!G130)</f>
        <v>#N/A</v>
      </c>
      <c r="H130" s="32">
        <f>F130/2</f>
        <v>64.5</v>
      </c>
      <c r="I130" s="34" t="e">
        <f>IF('Key Analysis'!B130="",NA(),'Key Analysis'!F130)</f>
        <v>#N/A</v>
      </c>
      <c r="J130" s="21">
        <f>F130</f>
        <v>129</v>
      </c>
    </row>
    <row r="131" spans="6:10" x14ac:dyDescent="0.25">
      <c r="F131" s="21">
        <f>'Key Analysis'!A131</f>
        <v>130</v>
      </c>
      <c r="G131">
        <f>IF('Key Analysis'!B131="",NA(),'Key Analysis'!G131)</f>
        <v>65</v>
      </c>
      <c r="H131" s="32">
        <f>F131/2</f>
        <v>65</v>
      </c>
      <c r="I131" s="34">
        <f>IF('Key Analysis'!B131="",NA(),'Key Analysis'!F131)</f>
        <v>0.62199704166566772</v>
      </c>
      <c r="J131" s="21">
        <f>F131</f>
        <v>130</v>
      </c>
    </row>
    <row r="132" spans="6:10" x14ac:dyDescent="0.25">
      <c r="F132" s="21">
        <f>'Key Analysis'!A132</f>
        <v>131</v>
      </c>
      <c r="G132" t="e">
        <f>IF('Key Analysis'!B132="",NA(),'Key Analysis'!G132)</f>
        <v>#N/A</v>
      </c>
      <c r="H132" s="32">
        <f>F132/2</f>
        <v>65.5</v>
      </c>
      <c r="I132" s="34" t="e">
        <f>IF('Key Analysis'!B132="",NA(),'Key Analysis'!F132)</f>
        <v>#N/A</v>
      </c>
      <c r="J132" s="21">
        <f>F132</f>
        <v>131</v>
      </c>
    </row>
    <row r="133" spans="6:10" x14ac:dyDescent="0.25">
      <c r="F133" s="21">
        <f>'Key Analysis'!A133</f>
        <v>132</v>
      </c>
      <c r="G133" t="e">
        <f>IF('Key Analysis'!B133="",NA(),'Key Analysis'!G133)</f>
        <v>#N/A</v>
      </c>
      <c r="H133" s="32">
        <f>F133/2</f>
        <v>66</v>
      </c>
      <c r="I133" s="34" t="e">
        <f>IF('Key Analysis'!B133="",NA(),'Key Analysis'!F133)</f>
        <v>#N/A</v>
      </c>
      <c r="J133" s="21">
        <f>F133</f>
        <v>132</v>
      </c>
    </row>
    <row r="134" spans="6:10" x14ac:dyDescent="0.25">
      <c r="F134" s="21">
        <f>'Key Analysis'!A134</f>
        <v>133</v>
      </c>
      <c r="G134" t="e">
        <f>IF('Key Analysis'!B134="",NA(),'Key Analysis'!G134)</f>
        <v>#N/A</v>
      </c>
      <c r="H134" s="32">
        <f>F134/2</f>
        <v>66.5</v>
      </c>
      <c r="I134" s="34" t="e">
        <f>IF('Key Analysis'!B134="",NA(),'Key Analysis'!F134)</f>
        <v>#N/A</v>
      </c>
      <c r="J134" s="21">
        <f>F134</f>
        <v>133</v>
      </c>
    </row>
    <row r="135" spans="6:10" x14ac:dyDescent="0.25">
      <c r="F135" s="21">
        <f>'Key Analysis'!A135</f>
        <v>134</v>
      </c>
      <c r="G135" t="e">
        <f>IF('Key Analysis'!B135="",NA(),'Key Analysis'!G135)</f>
        <v>#N/A</v>
      </c>
      <c r="H135" s="32">
        <f>F135/2</f>
        <v>67</v>
      </c>
      <c r="I135" s="34" t="e">
        <f>IF('Key Analysis'!B135="",NA(),'Key Analysis'!F135)</f>
        <v>#N/A</v>
      </c>
      <c r="J135" s="21">
        <f>F135</f>
        <v>134</v>
      </c>
    </row>
    <row r="136" spans="6:10" x14ac:dyDescent="0.25">
      <c r="F136" s="21">
        <f>'Key Analysis'!A136</f>
        <v>135</v>
      </c>
      <c r="G136">
        <f>IF('Key Analysis'!B136="",NA(),'Key Analysis'!G136)</f>
        <v>70</v>
      </c>
      <c r="H136" s="32">
        <f>F136/2</f>
        <v>67.5</v>
      </c>
      <c r="I136" s="34">
        <f>IF('Key Analysis'!B136="",NA(),'Key Analysis'!F136)</f>
        <v>0.71213212740445497</v>
      </c>
      <c r="J136" s="21">
        <f>F136</f>
        <v>135</v>
      </c>
    </row>
    <row r="137" spans="6:10" x14ac:dyDescent="0.25">
      <c r="F137" s="21">
        <f>'Key Analysis'!A137</f>
        <v>136</v>
      </c>
      <c r="G137" t="e">
        <f>IF('Key Analysis'!B137="",NA(),'Key Analysis'!G137)</f>
        <v>#N/A</v>
      </c>
      <c r="H137" s="32">
        <f>F137/2</f>
        <v>68</v>
      </c>
      <c r="I137" s="34" t="e">
        <f>IF('Key Analysis'!B137="",NA(),'Key Analysis'!F137)</f>
        <v>#N/A</v>
      </c>
      <c r="J137" s="21">
        <f>F137</f>
        <v>136</v>
      </c>
    </row>
    <row r="138" spans="6:10" x14ac:dyDescent="0.25">
      <c r="F138" s="21">
        <f>'Key Analysis'!A138</f>
        <v>137</v>
      </c>
      <c r="G138" t="e">
        <f>IF('Key Analysis'!B138="",NA(),'Key Analysis'!G138)</f>
        <v>#N/A</v>
      </c>
      <c r="H138" s="32">
        <f>F138/2</f>
        <v>68.5</v>
      </c>
      <c r="I138" s="34" t="e">
        <f>IF('Key Analysis'!B138="",NA(),'Key Analysis'!F138)</f>
        <v>#N/A</v>
      </c>
      <c r="J138" s="21">
        <f>F138</f>
        <v>137</v>
      </c>
    </row>
    <row r="139" spans="6:10" x14ac:dyDescent="0.25">
      <c r="F139" s="21">
        <f>'Key Analysis'!A139</f>
        <v>138</v>
      </c>
      <c r="G139" t="e">
        <f>IF('Key Analysis'!B139="",NA(),'Key Analysis'!G139)</f>
        <v>#N/A</v>
      </c>
      <c r="H139" s="32">
        <f>F139/2</f>
        <v>69</v>
      </c>
      <c r="I139" s="34" t="e">
        <f>IF('Key Analysis'!B139="",NA(),'Key Analysis'!F139)</f>
        <v>#N/A</v>
      </c>
      <c r="J139" s="21">
        <f>F139</f>
        <v>138</v>
      </c>
    </row>
    <row r="140" spans="6:10" x14ac:dyDescent="0.25">
      <c r="F140" s="21">
        <f>'Key Analysis'!A140</f>
        <v>139</v>
      </c>
      <c r="G140" t="e">
        <f>IF('Key Analysis'!B140="",NA(),'Key Analysis'!G140)</f>
        <v>#N/A</v>
      </c>
      <c r="H140" s="32">
        <f>F140/2</f>
        <v>69.5</v>
      </c>
      <c r="I140" s="34" t="e">
        <f>IF('Key Analysis'!B140="",NA(),'Key Analysis'!F140)</f>
        <v>#N/A</v>
      </c>
      <c r="J140" s="21">
        <f>F140</f>
        <v>139</v>
      </c>
    </row>
    <row r="141" spans="6:10" x14ac:dyDescent="0.25">
      <c r="F141" s="21">
        <f>'Key Analysis'!A141</f>
        <v>140</v>
      </c>
      <c r="G141" t="e">
        <f>IF('Key Analysis'!B141="",NA(),'Key Analysis'!G141)</f>
        <v>#N/A</v>
      </c>
      <c r="H141" s="32">
        <f>F141/2</f>
        <v>70</v>
      </c>
      <c r="I141" s="34" t="e">
        <f>IF('Key Analysis'!B141="",NA(),'Key Analysis'!F141)</f>
        <v>#N/A</v>
      </c>
      <c r="J141" s="21">
        <f>F141</f>
        <v>140</v>
      </c>
    </row>
    <row r="142" spans="6:10" x14ac:dyDescent="0.25">
      <c r="F142" s="21">
        <f>'Key Analysis'!A142</f>
        <v>141</v>
      </c>
      <c r="G142" t="e">
        <f>IF('Key Analysis'!B142="",NA(),'Key Analysis'!G142)</f>
        <v>#N/A</v>
      </c>
      <c r="H142" s="32">
        <f>F142/2</f>
        <v>70.5</v>
      </c>
      <c r="I142" s="34" t="e">
        <f>IF('Key Analysis'!B142="",NA(),'Key Analysis'!F142)</f>
        <v>#N/A</v>
      </c>
      <c r="J142" s="21">
        <f>F142</f>
        <v>141</v>
      </c>
    </row>
    <row r="143" spans="6:10" x14ac:dyDescent="0.25">
      <c r="F143" s="21">
        <f>'Key Analysis'!A143</f>
        <v>142</v>
      </c>
      <c r="G143" t="e">
        <f>IF('Key Analysis'!B143="",NA(),'Key Analysis'!G143)</f>
        <v>#N/A</v>
      </c>
      <c r="H143" s="32">
        <f>F143/2</f>
        <v>71</v>
      </c>
      <c r="I143" s="34" t="e">
        <f>IF('Key Analysis'!B143="",NA(),'Key Analysis'!F143)</f>
        <v>#N/A</v>
      </c>
      <c r="J143" s="21">
        <f>F143</f>
        <v>142</v>
      </c>
    </row>
    <row r="144" spans="6:10" x14ac:dyDescent="0.25">
      <c r="F144" s="21">
        <f>'Key Analysis'!A144</f>
        <v>143</v>
      </c>
      <c r="G144" t="e">
        <f>IF('Key Analysis'!B144="",NA(),'Key Analysis'!G144)</f>
        <v>#N/A</v>
      </c>
      <c r="H144" s="32">
        <f>F144/2</f>
        <v>71.5</v>
      </c>
      <c r="I144" s="34" t="e">
        <f>IF('Key Analysis'!B144="",NA(),'Key Analysis'!F144)</f>
        <v>#N/A</v>
      </c>
      <c r="J144" s="21">
        <f>F144</f>
        <v>143</v>
      </c>
    </row>
    <row r="145" spans="6:10" x14ac:dyDescent="0.25">
      <c r="F145" s="21">
        <f>'Key Analysis'!A145</f>
        <v>144</v>
      </c>
      <c r="G145" t="e">
        <f>IF('Key Analysis'!B145="",NA(),'Key Analysis'!G145)</f>
        <v>#N/A</v>
      </c>
      <c r="H145" s="32">
        <f>F145/2</f>
        <v>72</v>
      </c>
      <c r="I145" s="34" t="e">
        <f>IF('Key Analysis'!B145="",NA(),'Key Analysis'!F145)</f>
        <v>#N/A</v>
      </c>
      <c r="J145" s="21">
        <f>F145</f>
        <v>144</v>
      </c>
    </row>
    <row r="146" spans="6:10" x14ac:dyDescent="0.25">
      <c r="F146" s="21">
        <f>'Key Analysis'!A146</f>
        <v>145</v>
      </c>
      <c r="G146" t="e">
        <f>IF('Key Analysis'!B146="",NA(),'Key Analysis'!G146)</f>
        <v>#N/A</v>
      </c>
      <c r="H146" s="32">
        <f>F146/2</f>
        <v>72.5</v>
      </c>
      <c r="I146" s="34" t="e">
        <f>IF('Key Analysis'!B146="",NA(),'Key Analysis'!F146)</f>
        <v>#N/A</v>
      </c>
      <c r="J146" s="21">
        <f>F146</f>
        <v>145</v>
      </c>
    </row>
    <row r="147" spans="6:10" x14ac:dyDescent="0.25">
      <c r="F147" s="21">
        <f>'Key Analysis'!A147</f>
        <v>146</v>
      </c>
      <c r="G147" t="e">
        <f>IF('Key Analysis'!B147="",NA(),'Key Analysis'!G147)</f>
        <v>#N/A</v>
      </c>
      <c r="H147" s="32">
        <f>F147/2</f>
        <v>73</v>
      </c>
      <c r="I147" s="34" t="e">
        <f>IF('Key Analysis'!B147="",NA(),'Key Analysis'!F147)</f>
        <v>#N/A</v>
      </c>
      <c r="J147" s="21">
        <f>F147</f>
        <v>146</v>
      </c>
    </row>
    <row r="148" spans="6:10" x14ac:dyDescent="0.25">
      <c r="F148" s="21">
        <f>'Key Analysis'!A148</f>
        <v>147</v>
      </c>
      <c r="G148" t="e">
        <f>IF('Key Analysis'!B148="",NA(),'Key Analysis'!G148)</f>
        <v>#N/A</v>
      </c>
      <c r="H148" s="32">
        <f>F148/2</f>
        <v>73.5</v>
      </c>
      <c r="I148" s="34" t="e">
        <f>IF('Key Analysis'!B148="",NA(),'Key Analysis'!F148)</f>
        <v>#N/A</v>
      </c>
      <c r="J148" s="21">
        <f>F148</f>
        <v>147</v>
      </c>
    </row>
    <row r="149" spans="6:10" x14ac:dyDescent="0.25">
      <c r="F149" s="21">
        <f>'Key Analysis'!A149</f>
        <v>148</v>
      </c>
      <c r="G149" t="e">
        <f>IF('Key Analysis'!B149="",NA(),'Key Analysis'!G149)</f>
        <v>#N/A</v>
      </c>
      <c r="H149" s="32">
        <f>F149/2</f>
        <v>74</v>
      </c>
      <c r="I149" s="34" t="e">
        <f>IF('Key Analysis'!B149="",NA(),'Key Analysis'!F149)</f>
        <v>#N/A</v>
      </c>
      <c r="J149" s="21">
        <f>F149</f>
        <v>148</v>
      </c>
    </row>
    <row r="150" spans="6:10" x14ac:dyDescent="0.25">
      <c r="F150" s="21">
        <f>'Key Analysis'!A150</f>
        <v>149</v>
      </c>
      <c r="G150" t="e">
        <f>IF('Key Analysis'!B150="",NA(),'Key Analysis'!G150)</f>
        <v>#N/A</v>
      </c>
      <c r="H150" s="32">
        <f>F150/2</f>
        <v>74.5</v>
      </c>
      <c r="I150" s="34" t="e">
        <f>IF('Key Analysis'!B150="",NA(),'Key Analysis'!F150)</f>
        <v>#N/A</v>
      </c>
      <c r="J150" s="21">
        <f>F150</f>
        <v>149</v>
      </c>
    </row>
    <row r="151" spans="6:10" x14ac:dyDescent="0.25">
      <c r="F151" s="21">
        <f>'Key Analysis'!A151</f>
        <v>150</v>
      </c>
      <c r="G151" t="e">
        <f>IF('Key Analysis'!B151="",NA(),'Key Analysis'!G151)</f>
        <v>#N/A</v>
      </c>
      <c r="H151" s="32">
        <f>F151/2</f>
        <v>75</v>
      </c>
      <c r="I151" s="34" t="e">
        <f>IF('Key Analysis'!B151="",NA(),'Key Analysis'!F151)</f>
        <v>#N/A</v>
      </c>
      <c r="J151" s="21">
        <f>F151</f>
        <v>150</v>
      </c>
    </row>
    <row r="152" spans="6:10" x14ac:dyDescent="0.25">
      <c r="F152" s="21">
        <f>'Key Analysis'!A152</f>
        <v>151</v>
      </c>
      <c r="G152" t="e">
        <f>IF('Key Analysis'!B152="",NA(),'Key Analysis'!G152)</f>
        <v>#N/A</v>
      </c>
      <c r="H152" s="32">
        <f>F152/2</f>
        <v>75.5</v>
      </c>
      <c r="I152" s="34" t="e">
        <f>IF('Key Analysis'!B152="",NA(),'Key Analysis'!F152)</f>
        <v>#N/A</v>
      </c>
      <c r="J152" s="21">
        <f>F152</f>
        <v>151</v>
      </c>
    </row>
    <row r="153" spans="6:10" x14ac:dyDescent="0.25">
      <c r="F153" s="21">
        <f>'Key Analysis'!A153</f>
        <v>152</v>
      </c>
      <c r="G153" t="e">
        <f>IF('Key Analysis'!B153="",NA(),'Key Analysis'!G153)</f>
        <v>#N/A</v>
      </c>
      <c r="H153" s="32">
        <f>F153/2</f>
        <v>76</v>
      </c>
      <c r="I153" s="34" t="e">
        <f>IF('Key Analysis'!B153="",NA(),'Key Analysis'!F153)</f>
        <v>#N/A</v>
      </c>
      <c r="J153" s="21">
        <f>F153</f>
        <v>152</v>
      </c>
    </row>
    <row r="154" spans="6:10" x14ac:dyDescent="0.25">
      <c r="F154" s="21">
        <f>'Key Analysis'!A154</f>
        <v>153</v>
      </c>
      <c r="G154" t="e">
        <f>IF('Key Analysis'!B154="",NA(),'Key Analysis'!G154)</f>
        <v>#N/A</v>
      </c>
      <c r="H154" s="32">
        <f>F154/2</f>
        <v>76.5</v>
      </c>
      <c r="I154" s="34" t="e">
        <f>IF('Key Analysis'!B154="",NA(),'Key Analysis'!F154)</f>
        <v>#N/A</v>
      </c>
      <c r="J154" s="21">
        <f>F154</f>
        <v>153</v>
      </c>
    </row>
    <row r="155" spans="6:10" x14ac:dyDescent="0.25">
      <c r="F155" s="21">
        <f>'Key Analysis'!A155</f>
        <v>154</v>
      </c>
      <c r="G155" t="e">
        <f>IF('Key Analysis'!B155="",NA(),'Key Analysis'!G155)</f>
        <v>#N/A</v>
      </c>
      <c r="H155" s="32">
        <f>F155/2</f>
        <v>77</v>
      </c>
      <c r="I155" s="34" t="e">
        <f>IF('Key Analysis'!B155="",NA(),'Key Analysis'!F155)</f>
        <v>#N/A</v>
      </c>
      <c r="J155" s="21">
        <f>F155</f>
        <v>154</v>
      </c>
    </row>
    <row r="156" spans="6:10" x14ac:dyDescent="0.25">
      <c r="F156" s="21">
        <f>'Key Analysis'!A156</f>
        <v>155</v>
      </c>
      <c r="G156" t="e">
        <f>IF('Key Analysis'!B156="",NA(),'Key Analysis'!G156)</f>
        <v>#N/A</v>
      </c>
      <c r="H156" s="32">
        <f>F156/2</f>
        <v>77.5</v>
      </c>
      <c r="I156" s="34" t="e">
        <f>IF('Key Analysis'!B156="",NA(),'Key Analysis'!F156)</f>
        <v>#N/A</v>
      </c>
      <c r="J156" s="21">
        <f>F156</f>
        <v>155</v>
      </c>
    </row>
    <row r="157" spans="6:10" x14ac:dyDescent="0.25">
      <c r="F157" s="21">
        <f>'Key Analysis'!A157</f>
        <v>156</v>
      </c>
      <c r="G157" t="e">
        <f>IF('Key Analysis'!B157="",NA(),'Key Analysis'!G157)</f>
        <v>#N/A</v>
      </c>
      <c r="H157" s="32">
        <f>F157/2</f>
        <v>78</v>
      </c>
      <c r="I157" s="34" t="e">
        <f>IF('Key Analysis'!B157="",NA(),'Key Analysis'!F157)</f>
        <v>#N/A</v>
      </c>
      <c r="J157" s="21">
        <f>F157</f>
        <v>156</v>
      </c>
    </row>
    <row r="158" spans="6:10" x14ac:dyDescent="0.25">
      <c r="F158" s="21">
        <f>'Key Analysis'!A158</f>
        <v>157</v>
      </c>
      <c r="G158" t="e">
        <f>IF('Key Analysis'!B158="",NA(),'Key Analysis'!G158)</f>
        <v>#N/A</v>
      </c>
      <c r="H158" s="32">
        <f>F158/2</f>
        <v>78.5</v>
      </c>
      <c r="I158" s="34" t="e">
        <f>IF('Key Analysis'!B158="",NA(),'Key Analysis'!F158)</f>
        <v>#N/A</v>
      </c>
      <c r="J158" s="21">
        <f>F158</f>
        <v>157</v>
      </c>
    </row>
    <row r="159" spans="6:10" x14ac:dyDescent="0.25">
      <c r="F159" s="21">
        <f>'Key Analysis'!A159</f>
        <v>158</v>
      </c>
      <c r="G159" t="e">
        <f>IF('Key Analysis'!B159="",NA(),'Key Analysis'!G159)</f>
        <v>#N/A</v>
      </c>
      <c r="H159" s="32">
        <f>F159/2</f>
        <v>79</v>
      </c>
      <c r="I159" s="34" t="e">
        <f>IF('Key Analysis'!B159="",NA(),'Key Analysis'!F159)</f>
        <v>#N/A</v>
      </c>
      <c r="J159" s="21">
        <f>F159</f>
        <v>158</v>
      </c>
    </row>
    <row r="160" spans="6:10" x14ac:dyDescent="0.25">
      <c r="F160" s="21">
        <f>'Key Analysis'!A160</f>
        <v>159</v>
      </c>
      <c r="G160" t="e">
        <f>IF('Key Analysis'!B160="",NA(),'Key Analysis'!G160)</f>
        <v>#N/A</v>
      </c>
      <c r="H160" s="32">
        <f>F160/2</f>
        <v>79.5</v>
      </c>
      <c r="I160" s="34" t="e">
        <f>IF('Key Analysis'!B160="",NA(),'Key Analysis'!F160)</f>
        <v>#N/A</v>
      </c>
      <c r="J160" s="21">
        <f>F160</f>
        <v>159</v>
      </c>
    </row>
    <row r="161" spans="6:10" x14ac:dyDescent="0.25">
      <c r="F161" s="21">
        <f>'Key Analysis'!A161</f>
        <v>160</v>
      </c>
      <c r="G161" t="e">
        <f>IF('Key Analysis'!B161="",NA(),'Key Analysis'!G161)</f>
        <v>#N/A</v>
      </c>
      <c r="H161" s="32">
        <f>F161/2</f>
        <v>80</v>
      </c>
      <c r="I161" s="34" t="e">
        <f>IF('Key Analysis'!B161="",NA(),'Key Analysis'!F161)</f>
        <v>#N/A</v>
      </c>
      <c r="J161" s="21">
        <f>F161</f>
        <v>160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puzzle-all</vt:lpstr>
      <vt:lpstr>Key Analysis</vt:lpstr>
      <vt:lpstr>Bit Heatmap</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 M</dc:creator>
  <cp:lastModifiedBy>L M</cp:lastModifiedBy>
  <dcterms:created xsi:type="dcterms:W3CDTF">2026-10-02T06:38:09Z</dcterms:created>
  <dcterms:modified xsi:type="dcterms:W3CDTF">2026-10-02T07:07:16Z</dcterms:modified>
</cp:coreProperties>
</file>